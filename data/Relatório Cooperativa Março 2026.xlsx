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rbt_m\Downloads\"/>
    </mc:Choice>
  </mc:AlternateContent>
  <xr:revisionPtr revIDLastSave="0" documentId="13_ncr:1_{5CE39D87-E911-48EC-884A-CBFFC76E65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560" i="1" l="1"/>
  <c r="J5560" i="1"/>
  <c r="I5560" i="1"/>
  <c r="G5560" i="1"/>
  <c r="F5560" i="1"/>
  <c r="E5560" i="1"/>
  <c r="D5560" i="1"/>
  <c r="C5560" i="1"/>
  <c r="B5560" i="1"/>
  <c r="A5560" i="1"/>
  <c r="S5559" i="1"/>
  <c r="O5559" i="1"/>
  <c r="K5559" i="1"/>
  <c r="J5559" i="1"/>
  <c r="I5559" i="1"/>
  <c r="H5559" i="1"/>
  <c r="G5559" i="1"/>
  <c r="F5559" i="1"/>
  <c r="E5559" i="1"/>
  <c r="D5559" i="1"/>
  <c r="C5559" i="1"/>
  <c r="B5559" i="1"/>
  <c r="A5559" i="1"/>
  <c r="R5558" i="1"/>
  <c r="J5558" i="1"/>
  <c r="I5558" i="1"/>
  <c r="G5558" i="1"/>
  <c r="F5558" i="1"/>
  <c r="E5558" i="1"/>
  <c r="D5558" i="1"/>
  <c r="C5558" i="1"/>
  <c r="B5558" i="1"/>
  <c r="A5558" i="1"/>
  <c r="S5557" i="1"/>
  <c r="O5557" i="1"/>
  <c r="K5557" i="1"/>
  <c r="J5557" i="1"/>
  <c r="I5557" i="1"/>
  <c r="H5557" i="1"/>
  <c r="G5557" i="1"/>
  <c r="F5557" i="1"/>
  <c r="E5557" i="1"/>
  <c r="D5557" i="1"/>
  <c r="C5557" i="1"/>
  <c r="B5557" i="1"/>
  <c r="A5557" i="1"/>
  <c r="R5556" i="1"/>
  <c r="J5556" i="1"/>
  <c r="I5556" i="1"/>
  <c r="G5556" i="1"/>
  <c r="F5556" i="1"/>
  <c r="E5556" i="1"/>
  <c r="D5556" i="1"/>
  <c r="C5556" i="1"/>
  <c r="B5556" i="1"/>
  <c r="A5556" i="1"/>
  <c r="S5555" i="1"/>
  <c r="O5555" i="1"/>
  <c r="K5555" i="1"/>
  <c r="J5555" i="1"/>
  <c r="I5555" i="1"/>
  <c r="H5555" i="1"/>
  <c r="G5555" i="1"/>
  <c r="F5555" i="1"/>
  <c r="E5555" i="1"/>
  <c r="D5555" i="1"/>
  <c r="C5555" i="1"/>
  <c r="B5555" i="1"/>
  <c r="A5555" i="1"/>
  <c r="R5554" i="1"/>
  <c r="J5554" i="1"/>
  <c r="I5554" i="1"/>
  <c r="G5554" i="1"/>
  <c r="F5554" i="1"/>
  <c r="E5554" i="1"/>
  <c r="D5554" i="1"/>
  <c r="C5554" i="1"/>
  <c r="B5554" i="1"/>
  <c r="A5554" i="1"/>
  <c r="S5553" i="1"/>
  <c r="O5553" i="1"/>
  <c r="K5553" i="1"/>
  <c r="J5553" i="1"/>
  <c r="I5553" i="1"/>
  <c r="H5553" i="1"/>
  <c r="G5553" i="1"/>
  <c r="F5553" i="1"/>
  <c r="E5553" i="1"/>
  <c r="D5553" i="1"/>
  <c r="C5553" i="1"/>
  <c r="B5553" i="1"/>
  <c r="A5553" i="1"/>
  <c r="R5552" i="1"/>
  <c r="J5552" i="1"/>
  <c r="I5552" i="1"/>
  <c r="G5552" i="1"/>
  <c r="F5552" i="1"/>
  <c r="E5552" i="1"/>
  <c r="D5552" i="1"/>
  <c r="C5552" i="1"/>
  <c r="B5552" i="1"/>
  <c r="A5552" i="1"/>
  <c r="S5551" i="1"/>
  <c r="O5551" i="1"/>
  <c r="K5551" i="1"/>
  <c r="J5551" i="1"/>
  <c r="I5551" i="1"/>
  <c r="H5551" i="1"/>
  <c r="G5551" i="1"/>
  <c r="F5551" i="1"/>
  <c r="E5551" i="1"/>
  <c r="D5551" i="1"/>
  <c r="C5551" i="1"/>
  <c r="B5551" i="1"/>
  <c r="A5551" i="1"/>
  <c r="R5550" i="1"/>
  <c r="J5550" i="1"/>
  <c r="I5550" i="1"/>
  <c r="G5550" i="1"/>
  <c r="F5550" i="1"/>
  <c r="E5550" i="1"/>
  <c r="D5550" i="1"/>
  <c r="C5550" i="1"/>
  <c r="B5550" i="1"/>
  <c r="A5550" i="1"/>
  <c r="S5549" i="1"/>
  <c r="O5549" i="1"/>
  <c r="K5549" i="1"/>
  <c r="J5549" i="1"/>
  <c r="I5549" i="1"/>
  <c r="H5549" i="1"/>
  <c r="G5549" i="1"/>
  <c r="F5549" i="1"/>
  <c r="E5549" i="1"/>
  <c r="D5549" i="1"/>
  <c r="C5549" i="1"/>
  <c r="B5549" i="1"/>
  <c r="A5549" i="1"/>
  <c r="R5548" i="1"/>
  <c r="J5548" i="1"/>
  <c r="I5548" i="1"/>
  <c r="G5548" i="1"/>
  <c r="F5548" i="1"/>
  <c r="E5548" i="1"/>
  <c r="D5548" i="1"/>
  <c r="C5548" i="1"/>
  <c r="B5548" i="1"/>
  <c r="A5548" i="1"/>
  <c r="S5547" i="1"/>
  <c r="O5547" i="1"/>
  <c r="K5547" i="1"/>
  <c r="J5547" i="1"/>
  <c r="I5547" i="1"/>
  <c r="H5547" i="1"/>
  <c r="G5547" i="1"/>
  <c r="F5547" i="1"/>
  <c r="E5547" i="1"/>
  <c r="D5547" i="1"/>
  <c r="C5547" i="1"/>
  <c r="B5547" i="1"/>
  <c r="A5547" i="1"/>
  <c r="R5546" i="1"/>
  <c r="J5546" i="1"/>
  <c r="I5546" i="1"/>
  <c r="G5546" i="1"/>
  <c r="F5546" i="1"/>
  <c r="E5546" i="1"/>
  <c r="D5546" i="1"/>
  <c r="C5546" i="1"/>
  <c r="B5546" i="1"/>
  <c r="A5546" i="1"/>
  <c r="S5545" i="1"/>
  <c r="O5545" i="1"/>
  <c r="K5545" i="1"/>
  <c r="J5545" i="1"/>
  <c r="I5545" i="1"/>
  <c r="H5545" i="1"/>
  <c r="G5545" i="1"/>
  <c r="F5545" i="1"/>
  <c r="E5545" i="1"/>
  <c r="D5545" i="1"/>
  <c r="C5545" i="1"/>
  <c r="B5545" i="1"/>
  <c r="A5545" i="1"/>
  <c r="R5544" i="1"/>
  <c r="J5544" i="1"/>
  <c r="I5544" i="1"/>
  <c r="G5544" i="1"/>
  <c r="F5544" i="1"/>
  <c r="E5544" i="1"/>
  <c r="D5544" i="1"/>
  <c r="C5544" i="1"/>
  <c r="B5544" i="1"/>
  <c r="A5544" i="1"/>
  <c r="S5543" i="1"/>
  <c r="O5543" i="1"/>
  <c r="K5543" i="1"/>
  <c r="J5543" i="1"/>
  <c r="I5543" i="1"/>
  <c r="H5543" i="1"/>
  <c r="G5543" i="1"/>
  <c r="F5543" i="1"/>
  <c r="E5543" i="1"/>
  <c r="D5543" i="1"/>
  <c r="C5543" i="1"/>
  <c r="B5543" i="1"/>
  <c r="A5543" i="1"/>
  <c r="R5542" i="1"/>
  <c r="J5542" i="1"/>
  <c r="I5542" i="1"/>
  <c r="G5542" i="1"/>
  <c r="F5542" i="1"/>
  <c r="E5542" i="1"/>
  <c r="D5542" i="1"/>
  <c r="C5542" i="1"/>
  <c r="B5542" i="1"/>
  <c r="A5542" i="1"/>
  <c r="S5541" i="1"/>
  <c r="O5541" i="1"/>
  <c r="K5541" i="1"/>
  <c r="J5541" i="1"/>
  <c r="I5541" i="1"/>
  <c r="H5541" i="1"/>
  <c r="G5541" i="1"/>
  <c r="F5541" i="1"/>
  <c r="E5541" i="1"/>
  <c r="D5541" i="1"/>
  <c r="C5541" i="1"/>
  <c r="B5541" i="1"/>
  <c r="A5541" i="1"/>
  <c r="R5540" i="1"/>
  <c r="J5540" i="1"/>
  <c r="I5540" i="1"/>
  <c r="G5540" i="1"/>
  <c r="F5540" i="1"/>
  <c r="E5540" i="1"/>
  <c r="D5540" i="1"/>
  <c r="C5540" i="1"/>
  <c r="B5540" i="1"/>
  <c r="A5540" i="1"/>
  <c r="S5539" i="1"/>
  <c r="O5539" i="1"/>
  <c r="K5539" i="1"/>
  <c r="J5539" i="1"/>
  <c r="I5539" i="1"/>
  <c r="H5539" i="1"/>
  <c r="G5539" i="1"/>
  <c r="F5539" i="1"/>
  <c r="E5539" i="1"/>
  <c r="D5539" i="1"/>
  <c r="C5539" i="1"/>
  <c r="B5539" i="1"/>
  <c r="A5539" i="1"/>
  <c r="R5538" i="1"/>
  <c r="J5538" i="1"/>
  <c r="I5538" i="1"/>
  <c r="G5538" i="1"/>
  <c r="F5538" i="1"/>
  <c r="E5538" i="1"/>
  <c r="D5538" i="1"/>
  <c r="C5538" i="1"/>
  <c r="B5538" i="1"/>
  <c r="A5538" i="1"/>
  <c r="S5537" i="1"/>
  <c r="O5537" i="1"/>
  <c r="K5537" i="1"/>
  <c r="J5537" i="1"/>
  <c r="I5537" i="1"/>
  <c r="H5537" i="1"/>
  <c r="G5537" i="1"/>
  <c r="F5537" i="1"/>
  <c r="E5537" i="1"/>
  <c r="D5537" i="1"/>
  <c r="C5537" i="1"/>
  <c r="B5537" i="1"/>
  <c r="A5537" i="1"/>
  <c r="R5536" i="1"/>
  <c r="J5536" i="1"/>
  <c r="I5536" i="1"/>
  <c r="G5536" i="1"/>
  <c r="F5536" i="1"/>
  <c r="E5536" i="1"/>
  <c r="D5536" i="1"/>
  <c r="C5536" i="1"/>
  <c r="B5536" i="1"/>
  <c r="A5536" i="1"/>
  <c r="S5535" i="1"/>
  <c r="O5535" i="1"/>
  <c r="K5535" i="1"/>
  <c r="J5535" i="1"/>
  <c r="I5535" i="1"/>
  <c r="H5535" i="1"/>
  <c r="G5535" i="1"/>
  <c r="F5535" i="1"/>
  <c r="E5535" i="1"/>
  <c r="D5535" i="1"/>
  <c r="C5535" i="1"/>
  <c r="B5535" i="1"/>
  <c r="A5535" i="1"/>
  <c r="R5534" i="1"/>
  <c r="J5534" i="1"/>
  <c r="I5534" i="1"/>
  <c r="G5534" i="1"/>
  <c r="F5534" i="1"/>
  <c r="E5534" i="1"/>
  <c r="D5534" i="1"/>
  <c r="C5534" i="1"/>
  <c r="B5534" i="1"/>
  <c r="A5534" i="1"/>
  <c r="S5533" i="1"/>
  <c r="O5533" i="1"/>
  <c r="K5533" i="1"/>
  <c r="J5533" i="1"/>
  <c r="I5533" i="1"/>
  <c r="H5533" i="1"/>
  <c r="G5533" i="1"/>
  <c r="F5533" i="1"/>
  <c r="E5533" i="1"/>
  <c r="D5533" i="1"/>
  <c r="C5533" i="1"/>
  <c r="B5533" i="1"/>
  <c r="A5533" i="1"/>
  <c r="R5532" i="1"/>
  <c r="J5532" i="1"/>
  <c r="I5532" i="1"/>
  <c r="G5532" i="1"/>
  <c r="F5532" i="1"/>
  <c r="E5532" i="1"/>
  <c r="D5532" i="1"/>
  <c r="C5532" i="1"/>
  <c r="B5532" i="1"/>
  <c r="A5532" i="1"/>
  <c r="S5531" i="1"/>
  <c r="O5531" i="1"/>
  <c r="K5531" i="1"/>
  <c r="J5531" i="1"/>
  <c r="I5531" i="1"/>
  <c r="H5531" i="1"/>
  <c r="G5531" i="1"/>
  <c r="F5531" i="1"/>
  <c r="E5531" i="1"/>
  <c r="D5531" i="1"/>
  <c r="C5531" i="1"/>
  <c r="B5531" i="1"/>
  <c r="A5531" i="1"/>
  <c r="R5530" i="1"/>
  <c r="J5530" i="1"/>
  <c r="I5530" i="1"/>
  <c r="G5530" i="1"/>
  <c r="F5530" i="1"/>
  <c r="E5530" i="1"/>
  <c r="D5530" i="1"/>
  <c r="C5530" i="1"/>
  <c r="B5530" i="1"/>
  <c r="A5530" i="1"/>
  <c r="S5529" i="1"/>
  <c r="O5529" i="1"/>
  <c r="K5529" i="1"/>
  <c r="J5529" i="1"/>
  <c r="I5529" i="1"/>
  <c r="H5529" i="1"/>
  <c r="G5529" i="1"/>
  <c r="F5529" i="1"/>
  <c r="E5529" i="1"/>
  <c r="D5529" i="1"/>
  <c r="C5529" i="1"/>
  <c r="B5529" i="1"/>
  <c r="A5529" i="1"/>
  <c r="R5528" i="1"/>
  <c r="J5528" i="1"/>
  <c r="I5528" i="1"/>
  <c r="G5528" i="1"/>
  <c r="F5528" i="1"/>
  <c r="E5528" i="1"/>
  <c r="D5528" i="1"/>
  <c r="C5528" i="1"/>
  <c r="B5528" i="1"/>
  <c r="A5528" i="1"/>
  <c r="S5527" i="1"/>
  <c r="O5527" i="1"/>
  <c r="K5527" i="1"/>
  <c r="J5527" i="1"/>
  <c r="I5527" i="1"/>
  <c r="H5527" i="1"/>
  <c r="G5527" i="1"/>
  <c r="F5527" i="1"/>
  <c r="E5527" i="1"/>
  <c r="D5527" i="1"/>
  <c r="C5527" i="1"/>
  <c r="B5527" i="1"/>
  <c r="A5527" i="1"/>
  <c r="R5526" i="1"/>
  <c r="J5526" i="1"/>
  <c r="I5526" i="1"/>
  <c r="G5526" i="1"/>
  <c r="F5526" i="1"/>
  <c r="E5526" i="1"/>
  <c r="D5526" i="1"/>
  <c r="C5526" i="1"/>
  <c r="B5526" i="1"/>
  <c r="A5526" i="1"/>
  <c r="S5525" i="1"/>
  <c r="O5525" i="1"/>
  <c r="K5525" i="1"/>
  <c r="J5525" i="1"/>
  <c r="I5525" i="1"/>
  <c r="H5525" i="1"/>
  <c r="G5525" i="1"/>
  <c r="F5525" i="1"/>
  <c r="E5525" i="1"/>
  <c r="D5525" i="1"/>
  <c r="C5525" i="1"/>
  <c r="B5525" i="1"/>
  <c r="A5525" i="1"/>
  <c r="R5524" i="1"/>
  <c r="J5524" i="1"/>
  <c r="I5524" i="1"/>
  <c r="G5524" i="1"/>
  <c r="F5524" i="1"/>
  <c r="E5524" i="1"/>
  <c r="D5524" i="1"/>
  <c r="C5524" i="1"/>
  <c r="B5524" i="1"/>
  <c r="A5524" i="1"/>
  <c r="S5523" i="1"/>
  <c r="O5523" i="1"/>
  <c r="K5523" i="1"/>
  <c r="J5523" i="1"/>
  <c r="I5523" i="1"/>
  <c r="H5523" i="1"/>
  <c r="G5523" i="1"/>
  <c r="F5523" i="1"/>
  <c r="E5523" i="1"/>
  <c r="D5523" i="1"/>
  <c r="C5523" i="1"/>
  <c r="B5523" i="1"/>
  <c r="A5523" i="1"/>
  <c r="R5522" i="1"/>
  <c r="J5522" i="1"/>
  <c r="I5522" i="1"/>
  <c r="G5522" i="1"/>
  <c r="F5522" i="1"/>
  <c r="E5522" i="1"/>
  <c r="D5522" i="1"/>
  <c r="C5522" i="1"/>
  <c r="B5522" i="1"/>
  <c r="A5522" i="1"/>
  <c r="S5521" i="1"/>
  <c r="O5521" i="1"/>
  <c r="K5521" i="1"/>
  <c r="J5521" i="1"/>
  <c r="I5521" i="1"/>
  <c r="H5521" i="1"/>
  <c r="G5521" i="1"/>
  <c r="F5521" i="1"/>
  <c r="E5521" i="1"/>
  <c r="D5521" i="1"/>
  <c r="C5521" i="1"/>
  <c r="B5521" i="1"/>
  <c r="A5521" i="1"/>
  <c r="R5520" i="1"/>
  <c r="J5520" i="1"/>
  <c r="I5520" i="1"/>
  <c r="G5520" i="1"/>
  <c r="F5520" i="1"/>
  <c r="E5520" i="1"/>
  <c r="D5520" i="1"/>
  <c r="C5520" i="1"/>
  <c r="B5520" i="1"/>
  <c r="A5520" i="1"/>
  <c r="S5519" i="1"/>
  <c r="O5519" i="1"/>
  <c r="K5519" i="1"/>
  <c r="J5519" i="1"/>
  <c r="I5519" i="1"/>
  <c r="H5519" i="1"/>
  <c r="G5519" i="1"/>
  <c r="F5519" i="1"/>
  <c r="E5519" i="1"/>
  <c r="D5519" i="1"/>
  <c r="C5519" i="1"/>
  <c r="B5519" i="1"/>
  <c r="A5519" i="1"/>
  <c r="R5518" i="1"/>
  <c r="J5518" i="1"/>
  <c r="I5518" i="1"/>
  <c r="G5518" i="1"/>
  <c r="F5518" i="1"/>
  <c r="E5518" i="1"/>
  <c r="D5518" i="1"/>
  <c r="C5518" i="1"/>
  <c r="B5518" i="1"/>
  <c r="A5518" i="1"/>
  <c r="S5517" i="1"/>
  <c r="O5517" i="1"/>
  <c r="K5517" i="1"/>
  <c r="J5517" i="1"/>
  <c r="I5517" i="1"/>
  <c r="H5517" i="1"/>
  <c r="G5517" i="1"/>
  <c r="F5517" i="1"/>
  <c r="E5517" i="1"/>
  <c r="D5517" i="1"/>
  <c r="C5517" i="1"/>
  <c r="B5517" i="1"/>
  <c r="A5517" i="1"/>
  <c r="R5516" i="1"/>
  <c r="J5516" i="1"/>
  <c r="I5516" i="1"/>
  <c r="G5516" i="1"/>
  <c r="F5516" i="1"/>
  <c r="E5516" i="1"/>
  <c r="D5516" i="1"/>
  <c r="C5516" i="1"/>
  <c r="B5516" i="1"/>
  <c r="A5516" i="1"/>
  <c r="S5515" i="1"/>
  <c r="O5515" i="1"/>
  <c r="K5515" i="1"/>
  <c r="J5515" i="1"/>
  <c r="I5515" i="1"/>
  <c r="H5515" i="1"/>
  <c r="G5515" i="1"/>
  <c r="F5515" i="1"/>
  <c r="E5515" i="1"/>
  <c r="D5515" i="1"/>
  <c r="C5515" i="1"/>
  <c r="B5515" i="1"/>
  <c r="A5515" i="1"/>
  <c r="R5514" i="1"/>
  <c r="J5514" i="1"/>
  <c r="I5514" i="1"/>
  <c r="G5514" i="1"/>
  <c r="F5514" i="1"/>
  <c r="E5514" i="1"/>
  <c r="D5514" i="1"/>
  <c r="C5514" i="1"/>
  <c r="B5514" i="1"/>
  <c r="A5514" i="1"/>
  <c r="S5513" i="1"/>
  <c r="O5513" i="1"/>
  <c r="K5513" i="1"/>
  <c r="J5513" i="1"/>
  <c r="I5513" i="1"/>
  <c r="H5513" i="1"/>
  <c r="G5513" i="1"/>
  <c r="F5513" i="1"/>
  <c r="E5513" i="1"/>
  <c r="D5513" i="1"/>
  <c r="C5513" i="1"/>
  <c r="B5513" i="1"/>
  <c r="A5513" i="1"/>
  <c r="R5512" i="1"/>
  <c r="J5512" i="1"/>
  <c r="I5512" i="1"/>
  <c r="G5512" i="1"/>
  <c r="F5512" i="1"/>
  <c r="E5512" i="1"/>
  <c r="D5512" i="1"/>
  <c r="C5512" i="1"/>
  <c r="B5512" i="1"/>
  <c r="A5512" i="1"/>
  <c r="S5511" i="1"/>
  <c r="O5511" i="1"/>
  <c r="K5511" i="1"/>
  <c r="J5511" i="1"/>
  <c r="I5511" i="1"/>
  <c r="H5511" i="1"/>
  <c r="G5511" i="1"/>
  <c r="F5511" i="1"/>
  <c r="E5511" i="1"/>
  <c r="D5511" i="1"/>
  <c r="C5511" i="1"/>
  <c r="B5511" i="1"/>
  <c r="A5511" i="1"/>
  <c r="R5510" i="1"/>
  <c r="J5510" i="1"/>
  <c r="I5510" i="1"/>
  <c r="G5510" i="1"/>
  <c r="F5510" i="1"/>
  <c r="E5510" i="1"/>
  <c r="D5510" i="1"/>
  <c r="C5510" i="1"/>
  <c r="B5510" i="1"/>
  <c r="A5510" i="1"/>
  <c r="S5509" i="1"/>
  <c r="O5509" i="1"/>
  <c r="K5509" i="1"/>
  <c r="J5509" i="1"/>
  <c r="I5509" i="1"/>
  <c r="H5509" i="1"/>
  <c r="G5509" i="1"/>
  <c r="F5509" i="1"/>
  <c r="E5509" i="1"/>
  <c r="D5509" i="1"/>
  <c r="C5509" i="1"/>
  <c r="B5509" i="1"/>
  <c r="A5509" i="1"/>
  <c r="R5508" i="1"/>
  <c r="J5508" i="1"/>
  <c r="I5508" i="1"/>
  <c r="G5508" i="1"/>
  <c r="F5508" i="1"/>
  <c r="E5508" i="1"/>
  <c r="D5508" i="1"/>
  <c r="C5508" i="1"/>
  <c r="B5508" i="1"/>
  <c r="A5508" i="1"/>
  <c r="S5507" i="1"/>
  <c r="O5507" i="1"/>
  <c r="K5507" i="1"/>
  <c r="J5507" i="1"/>
  <c r="I5507" i="1"/>
  <c r="H5507" i="1"/>
  <c r="G5507" i="1"/>
  <c r="F5507" i="1"/>
  <c r="E5507" i="1"/>
  <c r="D5507" i="1"/>
  <c r="C5507" i="1"/>
  <c r="B5507" i="1"/>
  <c r="A5507" i="1"/>
  <c r="R5506" i="1"/>
  <c r="J5506" i="1"/>
  <c r="I5506" i="1"/>
  <c r="G5506" i="1"/>
  <c r="F5506" i="1"/>
  <c r="E5506" i="1"/>
  <c r="D5506" i="1"/>
  <c r="C5506" i="1"/>
  <c r="B5506" i="1"/>
  <c r="A5506" i="1"/>
  <c r="S5505" i="1"/>
  <c r="O5505" i="1"/>
  <c r="K5505" i="1"/>
  <c r="J5505" i="1"/>
  <c r="I5505" i="1"/>
  <c r="H5505" i="1"/>
  <c r="G5505" i="1"/>
  <c r="F5505" i="1"/>
  <c r="E5505" i="1"/>
  <c r="D5505" i="1"/>
  <c r="C5505" i="1"/>
  <c r="B5505" i="1"/>
  <c r="A5505" i="1"/>
  <c r="R5504" i="1"/>
  <c r="J5504" i="1"/>
  <c r="I5504" i="1"/>
  <c r="G5504" i="1"/>
  <c r="F5504" i="1"/>
  <c r="E5504" i="1"/>
  <c r="D5504" i="1"/>
  <c r="C5504" i="1"/>
  <c r="B5504" i="1"/>
  <c r="A5504" i="1"/>
  <c r="S5503" i="1"/>
  <c r="O5503" i="1"/>
  <c r="K5503" i="1"/>
  <c r="J5503" i="1"/>
  <c r="I5503" i="1"/>
  <c r="H5503" i="1"/>
  <c r="G5503" i="1"/>
  <c r="F5503" i="1"/>
  <c r="E5503" i="1"/>
  <c r="D5503" i="1"/>
  <c r="C5503" i="1"/>
  <c r="B5503" i="1"/>
  <c r="A5503" i="1"/>
  <c r="R5502" i="1"/>
  <c r="J5502" i="1"/>
  <c r="I5502" i="1"/>
  <c r="G5502" i="1"/>
  <c r="F5502" i="1"/>
  <c r="E5502" i="1"/>
  <c r="D5502" i="1"/>
  <c r="C5502" i="1"/>
  <c r="B5502" i="1"/>
  <c r="A5502" i="1"/>
  <c r="S5501" i="1"/>
  <c r="O5501" i="1"/>
  <c r="K5501" i="1"/>
  <c r="J5501" i="1"/>
  <c r="I5501" i="1"/>
  <c r="H5501" i="1"/>
  <c r="G5501" i="1"/>
  <c r="F5501" i="1"/>
  <c r="E5501" i="1"/>
  <c r="D5501" i="1"/>
  <c r="C5501" i="1"/>
  <c r="B5501" i="1"/>
  <c r="A5501" i="1"/>
  <c r="R5500" i="1"/>
  <c r="J5500" i="1"/>
  <c r="I5500" i="1"/>
  <c r="G5500" i="1"/>
  <c r="F5500" i="1"/>
  <c r="E5500" i="1"/>
  <c r="D5500" i="1"/>
  <c r="C5500" i="1"/>
  <c r="B5500" i="1"/>
  <c r="A5500" i="1"/>
  <c r="S5499" i="1"/>
  <c r="O5499" i="1"/>
  <c r="K5499" i="1"/>
  <c r="J5499" i="1"/>
  <c r="I5499" i="1"/>
  <c r="H5499" i="1"/>
  <c r="G5499" i="1"/>
  <c r="F5499" i="1"/>
  <c r="E5499" i="1"/>
  <c r="D5499" i="1"/>
  <c r="C5499" i="1"/>
  <c r="B5499" i="1"/>
  <c r="A5499" i="1"/>
  <c r="R5498" i="1"/>
  <c r="J5498" i="1"/>
  <c r="I5498" i="1"/>
  <c r="G5498" i="1"/>
  <c r="F5498" i="1"/>
  <c r="E5498" i="1"/>
  <c r="D5498" i="1"/>
  <c r="C5498" i="1"/>
  <c r="B5498" i="1"/>
  <c r="A5498" i="1"/>
  <c r="S5497" i="1"/>
  <c r="O5497" i="1"/>
  <c r="K5497" i="1"/>
  <c r="J5497" i="1"/>
  <c r="I5497" i="1"/>
  <c r="H5497" i="1"/>
  <c r="G5497" i="1"/>
  <c r="F5497" i="1"/>
  <c r="E5497" i="1"/>
  <c r="D5497" i="1"/>
  <c r="C5497" i="1"/>
  <c r="B5497" i="1"/>
  <c r="A5497" i="1"/>
  <c r="R5496" i="1"/>
  <c r="J5496" i="1"/>
  <c r="I5496" i="1"/>
  <c r="G5496" i="1"/>
  <c r="F5496" i="1"/>
  <c r="E5496" i="1"/>
  <c r="D5496" i="1"/>
  <c r="C5496" i="1"/>
  <c r="B5496" i="1"/>
  <c r="A5496" i="1"/>
  <c r="S5495" i="1"/>
  <c r="O5495" i="1"/>
  <c r="K5495" i="1"/>
  <c r="J5495" i="1"/>
  <c r="I5495" i="1"/>
  <c r="H5495" i="1"/>
  <c r="G5495" i="1"/>
  <c r="F5495" i="1"/>
  <c r="E5495" i="1"/>
  <c r="D5495" i="1"/>
  <c r="C5495" i="1"/>
  <c r="B5495" i="1"/>
  <c r="A5495" i="1"/>
  <c r="R5494" i="1"/>
  <c r="J5494" i="1"/>
  <c r="I5494" i="1"/>
  <c r="G5494" i="1"/>
  <c r="F5494" i="1"/>
  <c r="E5494" i="1"/>
  <c r="D5494" i="1"/>
  <c r="C5494" i="1"/>
  <c r="B5494" i="1"/>
  <c r="A5494" i="1"/>
  <c r="S5493" i="1"/>
  <c r="O5493" i="1"/>
  <c r="K5493" i="1"/>
  <c r="J5493" i="1"/>
  <c r="I5493" i="1"/>
  <c r="H5493" i="1"/>
  <c r="G5493" i="1"/>
  <c r="F5493" i="1"/>
  <c r="E5493" i="1"/>
  <c r="D5493" i="1"/>
  <c r="C5493" i="1"/>
  <c r="B5493" i="1"/>
  <c r="A5493" i="1"/>
  <c r="R5492" i="1"/>
  <c r="J5492" i="1"/>
  <c r="I5492" i="1"/>
  <c r="G5492" i="1"/>
  <c r="F5492" i="1"/>
  <c r="E5492" i="1"/>
  <c r="D5492" i="1"/>
  <c r="C5492" i="1"/>
  <c r="B5492" i="1"/>
  <c r="A5492" i="1"/>
  <c r="S5491" i="1"/>
  <c r="O5491" i="1"/>
  <c r="K5491" i="1"/>
  <c r="J5491" i="1"/>
  <c r="I5491" i="1"/>
  <c r="H5491" i="1"/>
  <c r="G5491" i="1"/>
  <c r="F5491" i="1"/>
  <c r="E5491" i="1"/>
  <c r="D5491" i="1"/>
  <c r="C5491" i="1"/>
  <c r="B5491" i="1"/>
  <c r="A5491" i="1"/>
  <c r="R5490" i="1"/>
  <c r="J5490" i="1"/>
  <c r="I5490" i="1"/>
  <c r="G5490" i="1"/>
  <c r="F5490" i="1"/>
  <c r="E5490" i="1"/>
  <c r="D5490" i="1"/>
  <c r="C5490" i="1"/>
  <c r="B5490" i="1"/>
  <c r="A5490" i="1"/>
  <c r="S5489" i="1"/>
  <c r="O5489" i="1"/>
  <c r="K5489" i="1"/>
  <c r="J5489" i="1"/>
  <c r="I5489" i="1"/>
  <c r="H5489" i="1"/>
  <c r="G5489" i="1"/>
  <c r="F5489" i="1"/>
  <c r="E5489" i="1"/>
  <c r="D5489" i="1"/>
  <c r="C5489" i="1"/>
  <c r="B5489" i="1"/>
  <c r="A5489" i="1"/>
  <c r="R5488" i="1"/>
  <c r="J5488" i="1"/>
  <c r="I5488" i="1"/>
  <c r="G5488" i="1"/>
  <c r="F5488" i="1"/>
  <c r="E5488" i="1"/>
  <c r="D5488" i="1"/>
  <c r="C5488" i="1"/>
  <c r="B5488" i="1"/>
  <c r="A5488" i="1"/>
  <c r="S5487" i="1"/>
  <c r="O5487" i="1"/>
  <c r="K5487" i="1"/>
  <c r="J5487" i="1"/>
  <c r="I5487" i="1"/>
  <c r="H5487" i="1"/>
  <c r="G5487" i="1"/>
  <c r="F5487" i="1"/>
  <c r="E5487" i="1"/>
  <c r="D5487" i="1"/>
  <c r="C5487" i="1"/>
  <c r="B5487" i="1"/>
  <c r="A5487" i="1"/>
  <c r="R5486" i="1"/>
  <c r="J5486" i="1"/>
  <c r="I5486" i="1"/>
  <c r="G5486" i="1"/>
  <c r="F5486" i="1"/>
  <c r="E5486" i="1"/>
  <c r="D5486" i="1"/>
  <c r="C5486" i="1"/>
  <c r="B5486" i="1"/>
  <c r="A5486" i="1"/>
  <c r="S5485" i="1"/>
  <c r="O5485" i="1"/>
  <c r="K5485" i="1"/>
  <c r="J5485" i="1"/>
  <c r="I5485" i="1"/>
  <c r="H5485" i="1"/>
  <c r="G5485" i="1"/>
  <c r="F5485" i="1"/>
  <c r="E5485" i="1"/>
  <c r="D5485" i="1"/>
  <c r="C5485" i="1"/>
  <c r="B5485" i="1"/>
  <c r="A5485" i="1"/>
  <c r="R5484" i="1"/>
  <c r="J5484" i="1"/>
  <c r="I5484" i="1"/>
  <c r="G5484" i="1"/>
  <c r="F5484" i="1"/>
  <c r="E5484" i="1"/>
  <c r="D5484" i="1"/>
  <c r="C5484" i="1"/>
  <c r="B5484" i="1"/>
  <c r="A5484" i="1"/>
  <c r="S5483" i="1"/>
  <c r="O5483" i="1"/>
  <c r="K5483" i="1"/>
  <c r="J5483" i="1"/>
  <c r="I5483" i="1"/>
  <c r="H5483" i="1"/>
  <c r="G5483" i="1"/>
  <c r="F5483" i="1"/>
  <c r="E5483" i="1"/>
  <c r="D5483" i="1"/>
  <c r="C5483" i="1"/>
  <c r="B5483" i="1"/>
  <c r="A5483" i="1"/>
  <c r="R5482" i="1"/>
  <c r="J5482" i="1"/>
  <c r="I5482" i="1"/>
  <c r="G5482" i="1"/>
  <c r="F5482" i="1"/>
  <c r="E5482" i="1"/>
  <c r="D5482" i="1"/>
  <c r="C5482" i="1"/>
  <c r="B5482" i="1"/>
  <c r="A5482" i="1"/>
  <c r="S5481" i="1"/>
  <c r="O5481" i="1"/>
  <c r="K5481" i="1"/>
  <c r="J5481" i="1"/>
  <c r="I5481" i="1"/>
  <c r="H5481" i="1"/>
  <c r="G5481" i="1"/>
  <c r="F5481" i="1"/>
  <c r="E5481" i="1"/>
  <c r="D5481" i="1"/>
  <c r="C5481" i="1"/>
  <c r="B5481" i="1"/>
  <c r="A5481" i="1"/>
  <c r="R5480" i="1"/>
  <c r="J5480" i="1"/>
  <c r="I5480" i="1"/>
  <c r="G5480" i="1"/>
  <c r="F5480" i="1"/>
  <c r="E5480" i="1"/>
  <c r="D5480" i="1"/>
  <c r="C5480" i="1"/>
  <c r="B5480" i="1"/>
  <c r="A5480" i="1"/>
  <c r="S5479" i="1"/>
  <c r="O5479" i="1"/>
  <c r="K5479" i="1"/>
  <c r="J5479" i="1"/>
  <c r="I5479" i="1"/>
  <c r="H5479" i="1"/>
  <c r="G5479" i="1"/>
  <c r="F5479" i="1"/>
  <c r="E5479" i="1"/>
  <c r="D5479" i="1"/>
  <c r="C5479" i="1"/>
  <c r="B5479" i="1"/>
  <c r="A5479" i="1"/>
  <c r="R5478" i="1"/>
  <c r="J5478" i="1"/>
  <c r="I5478" i="1"/>
  <c r="G5478" i="1"/>
  <c r="F5478" i="1"/>
  <c r="E5478" i="1"/>
  <c r="D5478" i="1"/>
  <c r="C5478" i="1"/>
  <c r="B5478" i="1"/>
  <c r="A5478" i="1"/>
  <c r="S5477" i="1"/>
  <c r="O5477" i="1"/>
  <c r="K5477" i="1"/>
  <c r="J5477" i="1"/>
  <c r="I5477" i="1"/>
  <c r="H5477" i="1"/>
  <c r="G5477" i="1"/>
  <c r="F5477" i="1"/>
  <c r="E5477" i="1"/>
  <c r="D5477" i="1"/>
  <c r="C5477" i="1"/>
  <c r="B5477" i="1"/>
  <c r="A5477" i="1"/>
  <c r="R5476" i="1"/>
  <c r="J5476" i="1"/>
  <c r="I5476" i="1"/>
  <c r="G5476" i="1"/>
  <c r="F5476" i="1"/>
  <c r="E5476" i="1"/>
  <c r="D5476" i="1"/>
  <c r="C5476" i="1"/>
  <c r="B5476" i="1"/>
  <c r="A5476" i="1"/>
  <c r="S5475" i="1"/>
  <c r="O5475" i="1"/>
  <c r="K5475" i="1"/>
  <c r="J5475" i="1"/>
  <c r="I5475" i="1"/>
  <c r="H5475" i="1"/>
  <c r="G5475" i="1"/>
  <c r="F5475" i="1"/>
  <c r="E5475" i="1"/>
  <c r="D5475" i="1"/>
  <c r="C5475" i="1"/>
  <c r="B5475" i="1"/>
  <c r="A5475" i="1"/>
  <c r="R5474" i="1"/>
  <c r="J5474" i="1"/>
  <c r="I5474" i="1"/>
  <c r="G5474" i="1"/>
  <c r="F5474" i="1"/>
  <c r="E5474" i="1"/>
  <c r="D5474" i="1"/>
  <c r="C5474" i="1"/>
  <c r="B5474" i="1"/>
  <c r="A5474" i="1"/>
  <c r="S5473" i="1"/>
  <c r="O5473" i="1"/>
  <c r="K5473" i="1"/>
  <c r="J5473" i="1"/>
  <c r="I5473" i="1"/>
  <c r="H5473" i="1"/>
  <c r="G5473" i="1"/>
  <c r="F5473" i="1"/>
  <c r="E5473" i="1"/>
  <c r="D5473" i="1"/>
  <c r="C5473" i="1"/>
  <c r="B5473" i="1"/>
  <c r="A5473" i="1"/>
  <c r="R5472" i="1"/>
  <c r="J5472" i="1"/>
  <c r="I5472" i="1"/>
  <c r="G5472" i="1"/>
  <c r="F5472" i="1"/>
  <c r="E5472" i="1"/>
  <c r="D5472" i="1"/>
  <c r="C5472" i="1"/>
  <c r="B5472" i="1"/>
  <c r="A5472" i="1"/>
  <c r="S5471" i="1"/>
  <c r="O5471" i="1"/>
  <c r="K5471" i="1"/>
  <c r="J5471" i="1"/>
  <c r="I5471" i="1"/>
  <c r="H5471" i="1"/>
  <c r="G5471" i="1"/>
  <c r="F5471" i="1"/>
  <c r="E5471" i="1"/>
  <c r="D5471" i="1"/>
  <c r="C5471" i="1"/>
  <c r="B5471" i="1"/>
  <c r="A5471" i="1"/>
  <c r="R5470" i="1"/>
  <c r="J5470" i="1"/>
  <c r="I5470" i="1"/>
  <c r="G5470" i="1"/>
  <c r="F5470" i="1"/>
  <c r="E5470" i="1"/>
  <c r="D5470" i="1"/>
  <c r="C5470" i="1"/>
  <c r="B5470" i="1"/>
  <c r="A5470" i="1"/>
  <c r="S5469" i="1"/>
  <c r="O5469" i="1"/>
  <c r="K5469" i="1"/>
  <c r="J5469" i="1"/>
  <c r="I5469" i="1"/>
  <c r="H5469" i="1"/>
  <c r="G5469" i="1"/>
  <c r="F5469" i="1"/>
  <c r="E5469" i="1"/>
  <c r="D5469" i="1"/>
  <c r="C5469" i="1"/>
  <c r="B5469" i="1"/>
  <c r="A5469" i="1"/>
  <c r="R5468" i="1"/>
  <c r="J5468" i="1"/>
  <c r="I5468" i="1"/>
  <c r="G5468" i="1"/>
  <c r="F5468" i="1"/>
  <c r="E5468" i="1"/>
  <c r="D5468" i="1"/>
  <c r="C5468" i="1"/>
  <c r="B5468" i="1"/>
  <c r="A5468" i="1"/>
  <c r="S5467" i="1"/>
  <c r="O5467" i="1"/>
  <c r="K5467" i="1"/>
  <c r="J5467" i="1"/>
  <c r="I5467" i="1"/>
  <c r="H5467" i="1"/>
  <c r="G5467" i="1"/>
  <c r="F5467" i="1"/>
  <c r="E5467" i="1"/>
  <c r="D5467" i="1"/>
  <c r="C5467" i="1"/>
  <c r="B5467" i="1"/>
  <c r="A5467" i="1"/>
  <c r="R5466" i="1"/>
  <c r="J5466" i="1"/>
  <c r="I5466" i="1"/>
  <c r="G5466" i="1"/>
  <c r="F5466" i="1"/>
  <c r="E5466" i="1"/>
  <c r="D5466" i="1"/>
  <c r="C5466" i="1"/>
  <c r="B5466" i="1"/>
  <c r="A5466" i="1"/>
  <c r="S5465" i="1"/>
  <c r="O5465" i="1"/>
  <c r="K5465" i="1"/>
  <c r="J5465" i="1"/>
  <c r="I5465" i="1"/>
  <c r="H5465" i="1"/>
  <c r="G5465" i="1"/>
  <c r="F5465" i="1"/>
  <c r="E5465" i="1"/>
  <c r="D5465" i="1"/>
  <c r="C5465" i="1"/>
  <c r="B5465" i="1"/>
  <c r="A5465" i="1"/>
  <c r="R5464" i="1"/>
  <c r="J5464" i="1"/>
  <c r="I5464" i="1"/>
  <c r="G5464" i="1"/>
  <c r="F5464" i="1"/>
  <c r="E5464" i="1"/>
  <c r="D5464" i="1"/>
  <c r="C5464" i="1"/>
  <c r="B5464" i="1"/>
  <c r="A5464" i="1"/>
  <c r="S5463" i="1"/>
  <c r="O5463" i="1"/>
  <c r="K5463" i="1"/>
  <c r="J5463" i="1"/>
  <c r="I5463" i="1"/>
  <c r="H5463" i="1"/>
  <c r="G5463" i="1"/>
  <c r="F5463" i="1"/>
  <c r="E5463" i="1"/>
  <c r="D5463" i="1"/>
  <c r="C5463" i="1"/>
  <c r="B5463" i="1"/>
  <c r="A5463" i="1"/>
  <c r="R5462" i="1"/>
  <c r="J5462" i="1"/>
  <c r="I5462" i="1"/>
  <c r="G5462" i="1"/>
  <c r="F5462" i="1"/>
  <c r="E5462" i="1"/>
  <c r="D5462" i="1"/>
  <c r="C5462" i="1"/>
  <c r="B5462" i="1"/>
  <c r="A5462" i="1"/>
  <c r="S5461" i="1"/>
  <c r="O5461" i="1"/>
  <c r="K5461" i="1"/>
  <c r="J5461" i="1"/>
  <c r="I5461" i="1"/>
  <c r="H5461" i="1"/>
  <c r="G5461" i="1"/>
  <c r="F5461" i="1"/>
  <c r="E5461" i="1"/>
  <c r="D5461" i="1"/>
  <c r="C5461" i="1"/>
  <c r="B5461" i="1"/>
  <c r="A5461" i="1"/>
  <c r="R5460" i="1"/>
  <c r="J5460" i="1"/>
  <c r="I5460" i="1"/>
  <c r="G5460" i="1"/>
  <c r="F5460" i="1"/>
  <c r="E5460" i="1"/>
  <c r="D5460" i="1"/>
  <c r="C5460" i="1"/>
  <c r="B5460" i="1"/>
  <c r="A5460" i="1"/>
  <c r="S5459" i="1"/>
  <c r="O5459" i="1"/>
  <c r="K5459" i="1"/>
  <c r="J5459" i="1"/>
  <c r="I5459" i="1"/>
  <c r="H5459" i="1"/>
  <c r="G5459" i="1"/>
  <c r="F5459" i="1"/>
  <c r="E5459" i="1"/>
  <c r="D5459" i="1"/>
  <c r="C5459" i="1"/>
  <c r="B5459" i="1"/>
  <c r="A5459" i="1"/>
  <c r="R5458" i="1"/>
  <c r="J5458" i="1"/>
  <c r="I5458" i="1"/>
  <c r="G5458" i="1"/>
  <c r="F5458" i="1"/>
  <c r="E5458" i="1"/>
  <c r="D5458" i="1"/>
  <c r="C5458" i="1"/>
  <c r="B5458" i="1"/>
  <c r="A5458" i="1"/>
  <c r="S5457" i="1"/>
  <c r="O5457" i="1"/>
  <c r="K5457" i="1"/>
  <c r="J5457" i="1"/>
  <c r="I5457" i="1"/>
  <c r="H5457" i="1"/>
  <c r="G5457" i="1"/>
  <c r="F5457" i="1"/>
  <c r="E5457" i="1"/>
  <c r="D5457" i="1"/>
  <c r="C5457" i="1"/>
  <c r="B5457" i="1"/>
  <c r="A5457" i="1"/>
  <c r="R5456" i="1"/>
  <c r="J5456" i="1"/>
  <c r="I5456" i="1"/>
  <c r="G5456" i="1"/>
  <c r="F5456" i="1"/>
  <c r="E5456" i="1"/>
  <c r="D5456" i="1"/>
  <c r="C5456" i="1"/>
  <c r="B5456" i="1"/>
  <c r="A5456" i="1"/>
  <c r="S5455" i="1"/>
  <c r="O5455" i="1"/>
  <c r="K5455" i="1"/>
  <c r="J5455" i="1"/>
  <c r="I5455" i="1"/>
  <c r="H5455" i="1"/>
  <c r="G5455" i="1"/>
  <c r="F5455" i="1"/>
  <c r="E5455" i="1"/>
  <c r="D5455" i="1"/>
  <c r="C5455" i="1"/>
  <c r="B5455" i="1"/>
  <c r="A5455" i="1"/>
  <c r="R5454" i="1"/>
  <c r="J5454" i="1"/>
  <c r="I5454" i="1"/>
  <c r="G5454" i="1"/>
  <c r="F5454" i="1"/>
  <c r="E5454" i="1"/>
  <c r="D5454" i="1"/>
  <c r="C5454" i="1"/>
  <c r="B5454" i="1"/>
  <c r="A5454" i="1"/>
  <c r="S5453" i="1"/>
  <c r="O5453" i="1"/>
  <c r="K5453" i="1"/>
  <c r="J5453" i="1"/>
  <c r="I5453" i="1"/>
  <c r="H5453" i="1"/>
  <c r="G5453" i="1"/>
  <c r="F5453" i="1"/>
  <c r="E5453" i="1"/>
  <c r="D5453" i="1"/>
  <c r="C5453" i="1"/>
  <c r="B5453" i="1"/>
  <c r="A5453" i="1"/>
  <c r="R5452" i="1"/>
  <c r="J5452" i="1"/>
  <c r="I5452" i="1"/>
  <c r="G5452" i="1"/>
  <c r="F5452" i="1"/>
  <c r="E5452" i="1"/>
  <c r="D5452" i="1"/>
  <c r="C5452" i="1"/>
  <c r="B5452" i="1"/>
  <c r="A5452" i="1"/>
  <c r="S5451" i="1"/>
  <c r="O5451" i="1"/>
  <c r="K5451" i="1"/>
  <c r="J5451" i="1"/>
  <c r="I5451" i="1"/>
  <c r="H5451" i="1"/>
  <c r="G5451" i="1"/>
  <c r="F5451" i="1"/>
  <c r="E5451" i="1"/>
  <c r="D5451" i="1"/>
  <c r="C5451" i="1"/>
  <c r="B5451" i="1"/>
  <c r="A5451" i="1"/>
  <c r="R5450" i="1"/>
  <c r="J5450" i="1"/>
  <c r="I5450" i="1"/>
  <c r="G5450" i="1"/>
  <c r="F5450" i="1"/>
  <c r="E5450" i="1"/>
  <c r="D5450" i="1"/>
  <c r="C5450" i="1"/>
  <c r="B5450" i="1"/>
  <c r="A5450" i="1"/>
  <c r="S5449" i="1"/>
  <c r="O5449" i="1"/>
  <c r="K5449" i="1"/>
  <c r="J5449" i="1"/>
  <c r="I5449" i="1"/>
  <c r="H5449" i="1"/>
  <c r="G5449" i="1"/>
  <c r="F5449" i="1"/>
  <c r="E5449" i="1"/>
  <c r="D5449" i="1"/>
  <c r="C5449" i="1"/>
  <c r="B5449" i="1"/>
  <c r="A5449" i="1"/>
  <c r="R5448" i="1"/>
  <c r="J5448" i="1"/>
  <c r="I5448" i="1"/>
  <c r="G5448" i="1"/>
  <c r="F5448" i="1"/>
  <c r="E5448" i="1"/>
  <c r="D5448" i="1"/>
  <c r="C5448" i="1"/>
  <c r="B5448" i="1"/>
  <c r="A5448" i="1"/>
  <c r="S5447" i="1"/>
  <c r="O5447" i="1"/>
  <c r="K5447" i="1"/>
  <c r="J5447" i="1"/>
  <c r="I5447" i="1"/>
  <c r="H5447" i="1"/>
  <c r="G5447" i="1"/>
  <c r="F5447" i="1"/>
  <c r="E5447" i="1"/>
  <c r="D5447" i="1"/>
  <c r="C5447" i="1"/>
  <c r="B5447" i="1"/>
  <c r="A5447" i="1"/>
  <c r="R5446" i="1"/>
  <c r="J5446" i="1"/>
  <c r="I5446" i="1"/>
  <c r="G5446" i="1"/>
  <c r="F5446" i="1"/>
  <c r="E5446" i="1"/>
  <c r="D5446" i="1"/>
  <c r="C5446" i="1"/>
  <c r="B5446" i="1"/>
  <c r="A5446" i="1"/>
  <c r="S5445" i="1"/>
  <c r="O5445" i="1"/>
  <c r="K5445" i="1"/>
  <c r="J5445" i="1"/>
  <c r="I5445" i="1"/>
  <c r="H5445" i="1"/>
  <c r="G5445" i="1"/>
  <c r="F5445" i="1"/>
  <c r="E5445" i="1"/>
  <c r="D5445" i="1"/>
  <c r="C5445" i="1"/>
  <c r="B5445" i="1"/>
  <c r="A5445" i="1"/>
  <c r="R5444" i="1"/>
  <c r="J5444" i="1"/>
  <c r="I5444" i="1"/>
  <c r="G5444" i="1"/>
  <c r="F5444" i="1"/>
  <c r="E5444" i="1"/>
  <c r="D5444" i="1"/>
  <c r="C5444" i="1"/>
  <c r="B5444" i="1"/>
  <c r="A5444" i="1"/>
  <c r="S5443" i="1"/>
  <c r="O5443" i="1"/>
  <c r="K5443" i="1"/>
  <c r="J5443" i="1"/>
  <c r="I5443" i="1"/>
  <c r="H5443" i="1"/>
  <c r="G5443" i="1"/>
  <c r="F5443" i="1"/>
  <c r="E5443" i="1"/>
  <c r="D5443" i="1"/>
  <c r="C5443" i="1"/>
  <c r="B5443" i="1"/>
  <c r="A5443" i="1"/>
  <c r="R5442" i="1"/>
  <c r="J5442" i="1"/>
  <c r="I5442" i="1"/>
  <c r="G5442" i="1"/>
  <c r="F5442" i="1"/>
  <c r="E5442" i="1"/>
  <c r="D5442" i="1"/>
  <c r="C5442" i="1"/>
  <c r="B5442" i="1"/>
  <c r="A5442" i="1"/>
  <c r="S5441" i="1"/>
  <c r="O5441" i="1"/>
  <c r="K5441" i="1"/>
  <c r="J5441" i="1"/>
  <c r="I5441" i="1"/>
  <c r="H5441" i="1"/>
  <c r="G5441" i="1"/>
  <c r="F5441" i="1"/>
  <c r="E5441" i="1"/>
  <c r="D5441" i="1"/>
  <c r="C5441" i="1"/>
  <c r="B5441" i="1"/>
  <c r="A5441" i="1"/>
  <c r="R5440" i="1"/>
  <c r="J5440" i="1"/>
  <c r="I5440" i="1"/>
  <c r="G5440" i="1"/>
  <c r="F5440" i="1"/>
  <c r="E5440" i="1"/>
  <c r="D5440" i="1"/>
  <c r="C5440" i="1"/>
  <c r="B5440" i="1"/>
  <c r="A5440" i="1"/>
  <c r="S5439" i="1"/>
  <c r="O5439" i="1"/>
  <c r="K5439" i="1"/>
  <c r="J5439" i="1"/>
  <c r="I5439" i="1"/>
  <c r="H5439" i="1"/>
  <c r="G5439" i="1"/>
  <c r="F5439" i="1"/>
  <c r="E5439" i="1"/>
  <c r="D5439" i="1"/>
  <c r="C5439" i="1"/>
  <c r="B5439" i="1"/>
  <c r="A5439" i="1"/>
  <c r="R5438" i="1"/>
  <c r="J5438" i="1"/>
  <c r="I5438" i="1"/>
  <c r="G5438" i="1"/>
  <c r="F5438" i="1"/>
  <c r="E5438" i="1"/>
  <c r="D5438" i="1"/>
  <c r="C5438" i="1"/>
  <c r="B5438" i="1"/>
  <c r="A5438" i="1"/>
  <c r="S5437" i="1"/>
  <c r="O5437" i="1"/>
  <c r="K5437" i="1"/>
  <c r="J5437" i="1"/>
  <c r="I5437" i="1"/>
  <c r="H5437" i="1"/>
  <c r="G5437" i="1"/>
  <c r="F5437" i="1"/>
  <c r="E5437" i="1"/>
  <c r="D5437" i="1"/>
  <c r="C5437" i="1"/>
  <c r="B5437" i="1"/>
  <c r="A5437" i="1"/>
  <c r="R5436" i="1"/>
  <c r="J5436" i="1"/>
  <c r="I5436" i="1"/>
  <c r="G5436" i="1"/>
  <c r="F5436" i="1"/>
  <c r="E5436" i="1"/>
  <c r="D5436" i="1"/>
  <c r="C5436" i="1"/>
  <c r="B5436" i="1"/>
  <c r="A5436" i="1"/>
  <c r="S5435" i="1"/>
  <c r="O5435" i="1"/>
  <c r="K5435" i="1"/>
  <c r="J5435" i="1"/>
  <c r="I5435" i="1"/>
  <c r="H5435" i="1"/>
  <c r="G5435" i="1"/>
  <c r="F5435" i="1"/>
  <c r="E5435" i="1"/>
  <c r="D5435" i="1"/>
  <c r="C5435" i="1"/>
  <c r="B5435" i="1"/>
  <c r="A5435" i="1"/>
  <c r="R5434" i="1"/>
  <c r="J5434" i="1"/>
  <c r="I5434" i="1"/>
  <c r="G5434" i="1"/>
  <c r="F5434" i="1"/>
  <c r="E5434" i="1"/>
  <c r="D5434" i="1"/>
  <c r="C5434" i="1"/>
  <c r="B5434" i="1"/>
  <c r="A5434" i="1"/>
  <c r="S5433" i="1"/>
  <c r="O5433" i="1"/>
  <c r="K5433" i="1"/>
  <c r="J5433" i="1"/>
  <c r="I5433" i="1"/>
  <c r="H5433" i="1"/>
  <c r="G5433" i="1"/>
  <c r="F5433" i="1"/>
  <c r="E5433" i="1"/>
  <c r="D5433" i="1"/>
  <c r="C5433" i="1"/>
  <c r="B5433" i="1"/>
  <c r="A5433" i="1"/>
  <c r="S5432" i="1"/>
  <c r="O5432" i="1"/>
  <c r="K5432" i="1"/>
  <c r="J5432" i="1"/>
  <c r="I5432" i="1"/>
  <c r="H5432" i="1"/>
  <c r="G5432" i="1"/>
  <c r="F5432" i="1"/>
  <c r="E5432" i="1"/>
  <c r="D5432" i="1"/>
  <c r="C5432" i="1"/>
  <c r="B5432" i="1"/>
  <c r="A5432" i="1"/>
  <c r="R5431" i="1"/>
  <c r="J5431" i="1"/>
  <c r="I5431" i="1"/>
  <c r="G5431" i="1"/>
  <c r="F5431" i="1"/>
  <c r="E5431" i="1"/>
  <c r="D5431" i="1"/>
  <c r="C5431" i="1"/>
  <c r="B5431" i="1"/>
  <c r="A5431" i="1"/>
  <c r="S5430" i="1"/>
  <c r="O5430" i="1"/>
  <c r="K5430" i="1"/>
  <c r="J5430" i="1"/>
  <c r="I5430" i="1"/>
  <c r="H5430" i="1"/>
  <c r="G5430" i="1"/>
  <c r="F5430" i="1"/>
  <c r="E5430" i="1"/>
  <c r="D5430" i="1"/>
  <c r="C5430" i="1"/>
  <c r="B5430" i="1"/>
  <c r="A5430" i="1"/>
  <c r="R5429" i="1"/>
  <c r="J5429" i="1"/>
  <c r="I5429" i="1"/>
  <c r="G5429" i="1"/>
  <c r="F5429" i="1"/>
  <c r="E5429" i="1"/>
  <c r="D5429" i="1"/>
  <c r="C5429" i="1"/>
  <c r="B5429" i="1"/>
  <c r="A5429" i="1"/>
  <c r="S5428" i="1"/>
  <c r="O5428" i="1"/>
  <c r="K5428" i="1"/>
  <c r="J5428" i="1"/>
  <c r="I5428" i="1"/>
  <c r="H5428" i="1"/>
  <c r="G5428" i="1"/>
  <c r="F5428" i="1"/>
  <c r="E5428" i="1"/>
  <c r="D5428" i="1"/>
  <c r="C5428" i="1"/>
  <c r="B5428" i="1"/>
  <c r="A5428" i="1"/>
  <c r="R5427" i="1"/>
  <c r="J5427" i="1"/>
  <c r="I5427" i="1"/>
  <c r="G5427" i="1"/>
  <c r="F5427" i="1"/>
  <c r="E5427" i="1"/>
  <c r="D5427" i="1"/>
  <c r="C5427" i="1"/>
  <c r="B5427" i="1"/>
  <c r="A5427" i="1"/>
  <c r="S5426" i="1"/>
  <c r="O5426" i="1"/>
  <c r="K5426" i="1"/>
  <c r="J5426" i="1"/>
  <c r="I5426" i="1"/>
  <c r="H5426" i="1"/>
  <c r="G5426" i="1"/>
  <c r="F5426" i="1"/>
  <c r="E5426" i="1"/>
  <c r="D5426" i="1"/>
  <c r="C5426" i="1"/>
  <c r="B5426" i="1"/>
  <c r="A5426" i="1"/>
  <c r="R5425" i="1"/>
  <c r="J5425" i="1"/>
  <c r="I5425" i="1"/>
  <c r="G5425" i="1"/>
  <c r="F5425" i="1"/>
  <c r="E5425" i="1"/>
  <c r="D5425" i="1"/>
  <c r="C5425" i="1"/>
  <c r="B5425" i="1"/>
  <c r="A5425" i="1"/>
  <c r="S5424" i="1"/>
  <c r="O5424" i="1"/>
  <c r="K5424" i="1"/>
  <c r="J5424" i="1"/>
  <c r="I5424" i="1"/>
  <c r="H5424" i="1"/>
  <c r="G5424" i="1"/>
  <c r="F5424" i="1"/>
  <c r="E5424" i="1"/>
  <c r="D5424" i="1"/>
  <c r="C5424" i="1"/>
  <c r="B5424" i="1"/>
  <c r="A5424" i="1"/>
  <c r="R5423" i="1"/>
  <c r="J5423" i="1"/>
  <c r="I5423" i="1"/>
  <c r="G5423" i="1"/>
  <c r="F5423" i="1"/>
  <c r="E5423" i="1"/>
  <c r="D5423" i="1"/>
  <c r="C5423" i="1"/>
  <c r="B5423" i="1"/>
  <c r="A5423" i="1"/>
  <c r="S5422" i="1"/>
  <c r="O5422" i="1"/>
  <c r="K5422" i="1"/>
  <c r="J5422" i="1"/>
  <c r="I5422" i="1"/>
  <c r="H5422" i="1"/>
  <c r="G5422" i="1"/>
  <c r="F5422" i="1"/>
  <c r="E5422" i="1"/>
  <c r="D5422" i="1"/>
  <c r="C5422" i="1"/>
  <c r="B5422" i="1"/>
  <c r="A5422" i="1"/>
  <c r="R5421" i="1"/>
  <c r="J5421" i="1"/>
  <c r="I5421" i="1"/>
  <c r="G5421" i="1"/>
  <c r="F5421" i="1"/>
  <c r="E5421" i="1"/>
  <c r="D5421" i="1"/>
  <c r="C5421" i="1"/>
  <c r="B5421" i="1"/>
  <c r="A5421" i="1"/>
  <c r="S5420" i="1"/>
  <c r="O5420" i="1"/>
  <c r="K5420" i="1"/>
  <c r="J5420" i="1"/>
  <c r="I5420" i="1"/>
  <c r="H5420" i="1"/>
  <c r="G5420" i="1"/>
  <c r="F5420" i="1"/>
  <c r="E5420" i="1"/>
  <c r="D5420" i="1"/>
  <c r="C5420" i="1"/>
  <c r="B5420" i="1"/>
  <c r="A5420" i="1"/>
  <c r="R5419" i="1"/>
  <c r="J5419" i="1"/>
  <c r="I5419" i="1"/>
  <c r="G5419" i="1"/>
  <c r="F5419" i="1"/>
  <c r="E5419" i="1"/>
  <c r="D5419" i="1"/>
  <c r="C5419" i="1"/>
  <c r="B5419" i="1"/>
  <c r="A5419" i="1"/>
  <c r="S5418" i="1"/>
  <c r="O5418" i="1"/>
  <c r="K5418" i="1"/>
  <c r="J5418" i="1"/>
  <c r="I5418" i="1"/>
  <c r="H5418" i="1"/>
  <c r="G5418" i="1"/>
  <c r="F5418" i="1"/>
  <c r="E5418" i="1"/>
  <c r="D5418" i="1"/>
  <c r="C5418" i="1"/>
  <c r="B5418" i="1"/>
  <c r="A5418" i="1"/>
  <c r="R5417" i="1"/>
  <c r="J5417" i="1"/>
  <c r="I5417" i="1"/>
  <c r="G5417" i="1"/>
  <c r="F5417" i="1"/>
  <c r="E5417" i="1"/>
  <c r="D5417" i="1"/>
  <c r="C5417" i="1"/>
  <c r="B5417" i="1"/>
  <c r="A5417" i="1"/>
  <c r="S5416" i="1"/>
  <c r="O5416" i="1"/>
  <c r="K5416" i="1"/>
  <c r="J5416" i="1"/>
  <c r="I5416" i="1"/>
  <c r="H5416" i="1"/>
  <c r="G5416" i="1"/>
  <c r="F5416" i="1"/>
  <c r="E5416" i="1"/>
  <c r="D5416" i="1"/>
  <c r="C5416" i="1"/>
  <c r="B5416" i="1"/>
  <c r="A5416" i="1"/>
  <c r="R5415" i="1"/>
  <c r="J5415" i="1"/>
  <c r="I5415" i="1"/>
  <c r="G5415" i="1"/>
  <c r="F5415" i="1"/>
  <c r="E5415" i="1"/>
  <c r="D5415" i="1"/>
  <c r="C5415" i="1"/>
  <c r="B5415" i="1"/>
  <c r="A5415" i="1"/>
  <c r="S5414" i="1"/>
  <c r="O5414" i="1"/>
  <c r="K5414" i="1"/>
  <c r="J5414" i="1"/>
  <c r="I5414" i="1"/>
  <c r="H5414" i="1"/>
  <c r="G5414" i="1"/>
  <c r="F5414" i="1"/>
  <c r="E5414" i="1"/>
  <c r="D5414" i="1"/>
  <c r="C5414" i="1"/>
  <c r="B5414" i="1"/>
  <c r="A5414" i="1"/>
  <c r="R5413" i="1"/>
  <c r="J5413" i="1"/>
  <c r="I5413" i="1"/>
  <c r="G5413" i="1"/>
  <c r="F5413" i="1"/>
  <c r="E5413" i="1"/>
  <c r="D5413" i="1"/>
  <c r="C5413" i="1"/>
  <c r="B5413" i="1"/>
  <c r="A5413" i="1"/>
  <c r="S5412" i="1"/>
  <c r="O5412" i="1"/>
  <c r="K5412" i="1"/>
  <c r="J5412" i="1"/>
  <c r="I5412" i="1"/>
  <c r="H5412" i="1"/>
  <c r="G5412" i="1"/>
  <c r="F5412" i="1"/>
  <c r="E5412" i="1"/>
  <c r="D5412" i="1"/>
  <c r="C5412" i="1"/>
  <c r="B5412" i="1"/>
  <c r="A5412" i="1"/>
  <c r="R5411" i="1"/>
  <c r="J5411" i="1"/>
  <c r="I5411" i="1"/>
  <c r="G5411" i="1"/>
  <c r="F5411" i="1"/>
  <c r="E5411" i="1"/>
  <c r="D5411" i="1"/>
  <c r="C5411" i="1"/>
  <c r="B5411" i="1"/>
  <c r="A5411" i="1"/>
  <c r="S5410" i="1"/>
  <c r="O5410" i="1"/>
  <c r="K5410" i="1"/>
  <c r="J5410" i="1"/>
  <c r="I5410" i="1"/>
  <c r="H5410" i="1"/>
  <c r="G5410" i="1"/>
  <c r="F5410" i="1"/>
  <c r="E5410" i="1"/>
  <c r="D5410" i="1"/>
  <c r="C5410" i="1"/>
  <c r="B5410" i="1"/>
  <c r="A5410" i="1"/>
  <c r="R5409" i="1"/>
  <c r="J5409" i="1"/>
  <c r="I5409" i="1"/>
  <c r="G5409" i="1"/>
  <c r="F5409" i="1"/>
  <c r="E5409" i="1"/>
  <c r="D5409" i="1"/>
  <c r="C5409" i="1"/>
  <c r="B5409" i="1"/>
  <c r="A5409" i="1"/>
  <c r="S5408" i="1"/>
  <c r="O5408" i="1"/>
  <c r="K5408" i="1"/>
  <c r="J5408" i="1"/>
  <c r="I5408" i="1"/>
  <c r="H5408" i="1"/>
  <c r="G5408" i="1"/>
  <c r="F5408" i="1"/>
  <c r="E5408" i="1"/>
  <c r="D5408" i="1"/>
  <c r="C5408" i="1"/>
  <c r="B5408" i="1"/>
  <c r="A5408" i="1"/>
  <c r="R5407" i="1"/>
  <c r="J5407" i="1"/>
  <c r="I5407" i="1"/>
  <c r="G5407" i="1"/>
  <c r="F5407" i="1"/>
  <c r="E5407" i="1"/>
  <c r="D5407" i="1"/>
  <c r="C5407" i="1"/>
  <c r="B5407" i="1"/>
  <c r="A5407" i="1"/>
  <c r="S5406" i="1"/>
  <c r="O5406" i="1"/>
  <c r="K5406" i="1"/>
  <c r="J5406" i="1"/>
  <c r="I5406" i="1"/>
  <c r="H5406" i="1"/>
  <c r="G5406" i="1"/>
  <c r="F5406" i="1"/>
  <c r="E5406" i="1"/>
  <c r="D5406" i="1"/>
  <c r="C5406" i="1"/>
  <c r="B5406" i="1"/>
  <c r="A5406" i="1"/>
  <c r="R5405" i="1"/>
  <c r="J5405" i="1"/>
  <c r="I5405" i="1"/>
  <c r="G5405" i="1"/>
  <c r="F5405" i="1"/>
  <c r="E5405" i="1"/>
  <c r="D5405" i="1"/>
  <c r="C5405" i="1"/>
  <c r="B5405" i="1"/>
  <c r="A5405" i="1"/>
  <c r="S5404" i="1"/>
  <c r="O5404" i="1"/>
  <c r="K5404" i="1"/>
  <c r="J5404" i="1"/>
  <c r="I5404" i="1"/>
  <c r="H5404" i="1"/>
  <c r="G5404" i="1"/>
  <c r="F5404" i="1"/>
  <c r="E5404" i="1"/>
  <c r="D5404" i="1"/>
  <c r="C5404" i="1"/>
  <c r="B5404" i="1"/>
  <c r="A5404" i="1"/>
  <c r="R5403" i="1"/>
  <c r="J5403" i="1"/>
  <c r="I5403" i="1"/>
  <c r="G5403" i="1"/>
  <c r="F5403" i="1"/>
  <c r="E5403" i="1"/>
  <c r="D5403" i="1"/>
  <c r="C5403" i="1"/>
  <c r="B5403" i="1"/>
  <c r="A5403" i="1"/>
  <c r="S5402" i="1"/>
  <c r="O5402" i="1"/>
  <c r="K5402" i="1"/>
  <c r="J5402" i="1"/>
  <c r="I5402" i="1"/>
  <c r="H5402" i="1"/>
  <c r="G5402" i="1"/>
  <c r="F5402" i="1"/>
  <c r="E5402" i="1"/>
  <c r="D5402" i="1"/>
  <c r="C5402" i="1"/>
  <c r="B5402" i="1"/>
  <c r="A5402" i="1"/>
  <c r="R5401" i="1"/>
  <c r="J5401" i="1"/>
  <c r="I5401" i="1"/>
  <c r="G5401" i="1"/>
  <c r="F5401" i="1"/>
  <c r="E5401" i="1"/>
  <c r="D5401" i="1"/>
  <c r="C5401" i="1"/>
  <c r="B5401" i="1"/>
  <c r="A5401" i="1"/>
  <c r="S5400" i="1"/>
  <c r="O5400" i="1"/>
  <c r="K5400" i="1"/>
  <c r="J5400" i="1"/>
  <c r="I5400" i="1"/>
  <c r="H5400" i="1"/>
  <c r="G5400" i="1"/>
  <c r="F5400" i="1"/>
  <c r="E5400" i="1"/>
  <c r="D5400" i="1"/>
  <c r="C5400" i="1"/>
  <c r="B5400" i="1"/>
  <c r="A5400" i="1"/>
  <c r="R5399" i="1"/>
  <c r="J5399" i="1"/>
  <c r="I5399" i="1"/>
  <c r="G5399" i="1"/>
  <c r="F5399" i="1"/>
  <c r="E5399" i="1"/>
  <c r="D5399" i="1"/>
  <c r="C5399" i="1"/>
  <c r="B5399" i="1"/>
  <c r="A5399" i="1"/>
  <c r="S5398" i="1"/>
  <c r="O5398" i="1"/>
  <c r="K5398" i="1"/>
  <c r="J5398" i="1"/>
  <c r="I5398" i="1"/>
  <c r="H5398" i="1"/>
  <c r="G5398" i="1"/>
  <c r="F5398" i="1"/>
  <c r="E5398" i="1"/>
  <c r="D5398" i="1"/>
  <c r="C5398" i="1"/>
  <c r="B5398" i="1"/>
  <c r="A5398" i="1"/>
  <c r="R5397" i="1"/>
  <c r="J5397" i="1"/>
  <c r="I5397" i="1"/>
  <c r="G5397" i="1"/>
  <c r="F5397" i="1"/>
  <c r="E5397" i="1"/>
  <c r="D5397" i="1"/>
  <c r="C5397" i="1"/>
  <c r="B5397" i="1"/>
  <c r="A5397" i="1"/>
  <c r="S5396" i="1"/>
  <c r="O5396" i="1"/>
  <c r="K5396" i="1"/>
  <c r="J5396" i="1"/>
  <c r="I5396" i="1"/>
  <c r="H5396" i="1"/>
  <c r="G5396" i="1"/>
  <c r="F5396" i="1"/>
  <c r="E5396" i="1"/>
  <c r="D5396" i="1"/>
  <c r="C5396" i="1"/>
  <c r="B5396" i="1"/>
  <c r="A5396" i="1"/>
  <c r="R5395" i="1"/>
  <c r="J5395" i="1"/>
  <c r="I5395" i="1"/>
  <c r="G5395" i="1"/>
  <c r="F5395" i="1"/>
  <c r="E5395" i="1"/>
  <c r="D5395" i="1"/>
  <c r="C5395" i="1"/>
  <c r="B5395" i="1"/>
  <c r="A5395" i="1"/>
  <c r="S5394" i="1"/>
  <c r="O5394" i="1"/>
  <c r="K5394" i="1"/>
  <c r="J5394" i="1"/>
  <c r="I5394" i="1"/>
  <c r="H5394" i="1"/>
  <c r="G5394" i="1"/>
  <c r="F5394" i="1"/>
  <c r="E5394" i="1"/>
  <c r="D5394" i="1"/>
  <c r="C5394" i="1"/>
  <c r="B5394" i="1"/>
  <c r="A5394" i="1"/>
  <c r="R5393" i="1"/>
  <c r="J5393" i="1"/>
  <c r="I5393" i="1"/>
  <c r="G5393" i="1"/>
  <c r="F5393" i="1"/>
  <c r="E5393" i="1"/>
  <c r="D5393" i="1"/>
  <c r="C5393" i="1"/>
  <c r="B5393" i="1"/>
  <c r="A5393" i="1"/>
  <c r="S5392" i="1"/>
  <c r="O5392" i="1"/>
  <c r="K5392" i="1"/>
  <c r="J5392" i="1"/>
  <c r="I5392" i="1"/>
  <c r="H5392" i="1"/>
  <c r="G5392" i="1"/>
  <c r="F5392" i="1"/>
  <c r="E5392" i="1"/>
  <c r="D5392" i="1"/>
  <c r="C5392" i="1"/>
  <c r="B5392" i="1"/>
  <c r="A5392" i="1"/>
  <c r="R5391" i="1"/>
  <c r="J5391" i="1"/>
  <c r="I5391" i="1"/>
  <c r="G5391" i="1"/>
  <c r="F5391" i="1"/>
  <c r="E5391" i="1"/>
  <c r="D5391" i="1"/>
  <c r="C5391" i="1"/>
  <c r="B5391" i="1"/>
  <c r="A5391" i="1"/>
  <c r="S5390" i="1"/>
  <c r="O5390" i="1"/>
  <c r="K5390" i="1"/>
  <c r="J5390" i="1"/>
  <c r="I5390" i="1"/>
  <c r="H5390" i="1"/>
  <c r="G5390" i="1"/>
  <c r="F5390" i="1"/>
  <c r="E5390" i="1"/>
  <c r="D5390" i="1"/>
  <c r="C5390" i="1"/>
  <c r="B5390" i="1"/>
  <c r="A5390" i="1"/>
  <c r="R5389" i="1"/>
  <c r="J5389" i="1"/>
  <c r="I5389" i="1"/>
  <c r="G5389" i="1"/>
  <c r="F5389" i="1"/>
  <c r="E5389" i="1"/>
  <c r="D5389" i="1"/>
  <c r="C5389" i="1"/>
  <c r="B5389" i="1"/>
  <c r="A5389" i="1"/>
  <c r="S5388" i="1"/>
  <c r="O5388" i="1"/>
  <c r="K5388" i="1"/>
  <c r="J5388" i="1"/>
  <c r="I5388" i="1"/>
  <c r="H5388" i="1"/>
  <c r="G5388" i="1"/>
  <c r="F5388" i="1"/>
  <c r="E5388" i="1"/>
  <c r="D5388" i="1"/>
  <c r="C5388" i="1"/>
  <c r="B5388" i="1"/>
  <c r="A5388" i="1"/>
  <c r="R5387" i="1"/>
  <c r="J5387" i="1"/>
  <c r="I5387" i="1"/>
  <c r="G5387" i="1"/>
  <c r="F5387" i="1"/>
  <c r="E5387" i="1"/>
  <c r="D5387" i="1"/>
  <c r="C5387" i="1"/>
  <c r="B5387" i="1"/>
  <c r="A5387" i="1"/>
  <c r="S5386" i="1"/>
  <c r="O5386" i="1"/>
  <c r="K5386" i="1"/>
  <c r="J5386" i="1"/>
  <c r="I5386" i="1"/>
  <c r="H5386" i="1"/>
  <c r="G5386" i="1"/>
  <c r="F5386" i="1"/>
  <c r="E5386" i="1"/>
  <c r="D5386" i="1"/>
  <c r="C5386" i="1"/>
  <c r="B5386" i="1"/>
  <c r="A5386" i="1"/>
  <c r="R5385" i="1"/>
  <c r="J5385" i="1"/>
  <c r="I5385" i="1"/>
  <c r="G5385" i="1"/>
  <c r="F5385" i="1"/>
  <c r="E5385" i="1"/>
  <c r="D5385" i="1"/>
  <c r="C5385" i="1"/>
  <c r="B5385" i="1"/>
  <c r="A5385" i="1"/>
  <c r="S5384" i="1"/>
  <c r="O5384" i="1"/>
  <c r="K5384" i="1"/>
  <c r="J5384" i="1"/>
  <c r="I5384" i="1"/>
  <c r="H5384" i="1"/>
  <c r="G5384" i="1"/>
  <c r="F5384" i="1"/>
  <c r="E5384" i="1"/>
  <c r="D5384" i="1"/>
  <c r="C5384" i="1"/>
  <c r="B5384" i="1"/>
  <c r="A5384" i="1"/>
  <c r="R5383" i="1"/>
  <c r="J5383" i="1"/>
  <c r="I5383" i="1"/>
  <c r="G5383" i="1"/>
  <c r="F5383" i="1"/>
  <c r="E5383" i="1"/>
  <c r="D5383" i="1"/>
  <c r="C5383" i="1"/>
  <c r="B5383" i="1"/>
  <c r="A5383" i="1"/>
  <c r="S5382" i="1"/>
  <c r="O5382" i="1"/>
  <c r="K5382" i="1"/>
  <c r="J5382" i="1"/>
  <c r="I5382" i="1"/>
  <c r="H5382" i="1"/>
  <c r="G5382" i="1"/>
  <c r="F5382" i="1"/>
  <c r="E5382" i="1"/>
  <c r="D5382" i="1"/>
  <c r="C5382" i="1"/>
  <c r="B5382" i="1"/>
  <c r="A5382" i="1"/>
  <c r="R5381" i="1"/>
  <c r="J5381" i="1"/>
  <c r="I5381" i="1"/>
  <c r="G5381" i="1"/>
  <c r="F5381" i="1"/>
  <c r="E5381" i="1"/>
  <c r="D5381" i="1"/>
  <c r="C5381" i="1"/>
  <c r="B5381" i="1"/>
  <c r="A5381" i="1"/>
  <c r="S5380" i="1"/>
  <c r="O5380" i="1"/>
  <c r="K5380" i="1"/>
  <c r="J5380" i="1"/>
  <c r="I5380" i="1"/>
  <c r="H5380" i="1"/>
  <c r="G5380" i="1"/>
  <c r="F5380" i="1"/>
  <c r="E5380" i="1"/>
  <c r="D5380" i="1"/>
  <c r="C5380" i="1"/>
  <c r="B5380" i="1"/>
  <c r="A5380" i="1"/>
  <c r="R5379" i="1"/>
  <c r="J5379" i="1"/>
  <c r="I5379" i="1"/>
  <c r="G5379" i="1"/>
  <c r="F5379" i="1"/>
  <c r="E5379" i="1"/>
  <c r="D5379" i="1"/>
  <c r="C5379" i="1"/>
  <c r="B5379" i="1"/>
  <c r="A5379" i="1"/>
  <c r="S5378" i="1"/>
  <c r="O5378" i="1"/>
  <c r="K5378" i="1"/>
  <c r="J5378" i="1"/>
  <c r="I5378" i="1"/>
  <c r="H5378" i="1"/>
  <c r="G5378" i="1"/>
  <c r="F5378" i="1"/>
  <c r="E5378" i="1"/>
  <c r="D5378" i="1"/>
  <c r="C5378" i="1"/>
  <c r="B5378" i="1"/>
  <c r="A5378" i="1"/>
  <c r="R5377" i="1"/>
  <c r="J5377" i="1"/>
  <c r="I5377" i="1"/>
  <c r="G5377" i="1"/>
  <c r="F5377" i="1"/>
  <c r="E5377" i="1"/>
  <c r="D5377" i="1"/>
  <c r="C5377" i="1"/>
  <c r="B5377" i="1"/>
  <c r="A5377" i="1"/>
  <c r="S5376" i="1"/>
  <c r="O5376" i="1"/>
  <c r="K5376" i="1"/>
  <c r="J5376" i="1"/>
  <c r="I5376" i="1"/>
  <c r="H5376" i="1"/>
  <c r="G5376" i="1"/>
  <c r="F5376" i="1"/>
  <c r="E5376" i="1"/>
  <c r="D5376" i="1"/>
  <c r="C5376" i="1"/>
  <c r="B5376" i="1"/>
  <c r="A5376" i="1"/>
  <c r="R5375" i="1"/>
  <c r="J5375" i="1"/>
  <c r="I5375" i="1"/>
  <c r="G5375" i="1"/>
  <c r="F5375" i="1"/>
  <c r="E5375" i="1"/>
  <c r="D5375" i="1"/>
  <c r="C5375" i="1"/>
  <c r="B5375" i="1"/>
  <c r="A5375" i="1"/>
  <c r="S5374" i="1"/>
  <c r="O5374" i="1"/>
  <c r="K5374" i="1"/>
  <c r="J5374" i="1"/>
  <c r="I5374" i="1"/>
  <c r="H5374" i="1"/>
  <c r="G5374" i="1"/>
  <c r="F5374" i="1"/>
  <c r="E5374" i="1"/>
  <c r="D5374" i="1"/>
  <c r="C5374" i="1"/>
  <c r="B5374" i="1"/>
  <c r="A5374" i="1"/>
  <c r="R5373" i="1"/>
  <c r="J5373" i="1"/>
  <c r="I5373" i="1"/>
  <c r="G5373" i="1"/>
  <c r="F5373" i="1"/>
  <c r="E5373" i="1"/>
  <c r="D5373" i="1"/>
  <c r="C5373" i="1"/>
  <c r="B5373" i="1"/>
  <c r="A5373" i="1"/>
  <c r="S5372" i="1"/>
  <c r="O5372" i="1"/>
  <c r="K5372" i="1"/>
  <c r="J5372" i="1"/>
  <c r="I5372" i="1"/>
  <c r="H5372" i="1"/>
  <c r="G5372" i="1"/>
  <c r="F5372" i="1"/>
  <c r="E5372" i="1"/>
  <c r="D5372" i="1"/>
  <c r="C5372" i="1"/>
  <c r="B5372" i="1"/>
  <c r="A5372" i="1"/>
  <c r="R5371" i="1"/>
  <c r="J5371" i="1"/>
  <c r="I5371" i="1"/>
  <c r="G5371" i="1"/>
  <c r="F5371" i="1"/>
  <c r="E5371" i="1"/>
  <c r="D5371" i="1"/>
  <c r="C5371" i="1"/>
  <c r="B5371" i="1"/>
  <c r="A5371" i="1"/>
  <c r="S5370" i="1"/>
  <c r="O5370" i="1"/>
  <c r="K5370" i="1"/>
  <c r="J5370" i="1"/>
  <c r="I5370" i="1"/>
  <c r="H5370" i="1"/>
  <c r="G5370" i="1"/>
  <c r="F5370" i="1"/>
  <c r="E5370" i="1"/>
  <c r="D5370" i="1"/>
  <c r="C5370" i="1"/>
  <c r="B5370" i="1"/>
  <c r="A5370" i="1"/>
  <c r="R5369" i="1"/>
  <c r="J5369" i="1"/>
  <c r="I5369" i="1"/>
  <c r="G5369" i="1"/>
  <c r="F5369" i="1"/>
  <c r="E5369" i="1"/>
  <c r="D5369" i="1"/>
  <c r="C5369" i="1"/>
  <c r="B5369" i="1"/>
  <c r="A5369" i="1"/>
  <c r="S5368" i="1"/>
  <c r="O5368" i="1"/>
  <c r="K5368" i="1"/>
  <c r="J5368" i="1"/>
  <c r="I5368" i="1"/>
  <c r="H5368" i="1"/>
  <c r="G5368" i="1"/>
  <c r="F5368" i="1"/>
  <c r="E5368" i="1"/>
  <c r="D5368" i="1"/>
  <c r="C5368" i="1"/>
  <c r="B5368" i="1"/>
  <c r="A5368" i="1"/>
  <c r="R5367" i="1"/>
  <c r="J5367" i="1"/>
  <c r="I5367" i="1"/>
  <c r="G5367" i="1"/>
  <c r="F5367" i="1"/>
  <c r="E5367" i="1"/>
  <c r="D5367" i="1"/>
  <c r="C5367" i="1"/>
  <c r="B5367" i="1"/>
  <c r="A5367" i="1"/>
  <c r="S5366" i="1"/>
  <c r="O5366" i="1"/>
  <c r="K5366" i="1"/>
  <c r="J5366" i="1"/>
  <c r="I5366" i="1"/>
  <c r="H5366" i="1"/>
  <c r="G5366" i="1"/>
  <c r="F5366" i="1"/>
  <c r="E5366" i="1"/>
  <c r="D5366" i="1"/>
  <c r="C5366" i="1"/>
  <c r="B5366" i="1"/>
  <c r="A5366" i="1"/>
  <c r="R5365" i="1"/>
  <c r="J5365" i="1"/>
  <c r="I5365" i="1"/>
  <c r="G5365" i="1"/>
  <c r="F5365" i="1"/>
  <c r="E5365" i="1"/>
  <c r="D5365" i="1"/>
  <c r="C5365" i="1"/>
  <c r="B5365" i="1"/>
  <c r="A5365" i="1"/>
  <c r="S5364" i="1"/>
  <c r="O5364" i="1"/>
  <c r="K5364" i="1"/>
  <c r="J5364" i="1"/>
  <c r="I5364" i="1"/>
  <c r="H5364" i="1"/>
  <c r="G5364" i="1"/>
  <c r="F5364" i="1"/>
  <c r="E5364" i="1"/>
  <c r="D5364" i="1"/>
  <c r="C5364" i="1"/>
  <c r="B5364" i="1"/>
  <c r="A5364" i="1"/>
  <c r="R5363" i="1"/>
  <c r="J5363" i="1"/>
  <c r="I5363" i="1"/>
  <c r="G5363" i="1"/>
  <c r="F5363" i="1"/>
  <c r="E5363" i="1"/>
  <c r="D5363" i="1"/>
  <c r="C5363" i="1"/>
  <c r="B5363" i="1"/>
  <c r="A5363" i="1"/>
  <c r="S5362" i="1"/>
  <c r="O5362" i="1"/>
  <c r="K5362" i="1"/>
  <c r="J5362" i="1"/>
  <c r="I5362" i="1"/>
  <c r="H5362" i="1"/>
  <c r="G5362" i="1"/>
  <c r="F5362" i="1"/>
  <c r="E5362" i="1"/>
  <c r="D5362" i="1"/>
  <c r="C5362" i="1"/>
  <c r="B5362" i="1"/>
  <c r="A5362" i="1"/>
  <c r="R5361" i="1"/>
  <c r="J5361" i="1"/>
  <c r="I5361" i="1"/>
  <c r="G5361" i="1"/>
  <c r="F5361" i="1"/>
  <c r="E5361" i="1"/>
  <c r="D5361" i="1"/>
  <c r="C5361" i="1"/>
  <c r="B5361" i="1"/>
  <c r="A5361" i="1"/>
  <c r="S5360" i="1"/>
  <c r="O5360" i="1"/>
  <c r="K5360" i="1"/>
  <c r="J5360" i="1"/>
  <c r="I5360" i="1"/>
  <c r="H5360" i="1"/>
  <c r="G5360" i="1"/>
  <c r="F5360" i="1"/>
  <c r="E5360" i="1"/>
  <c r="D5360" i="1"/>
  <c r="C5360" i="1"/>
  <c r="B5360" i="1"/>
  <c r="A5360" i="1"/>
  <c r="R5359" i="1"/>
  <c r="J5359" i="1"/>
  <c r="I5359" i="1"/>
  <c r="G5359" i="1"/>
  <c r="F5359" i="1"/>
  <c r="E5359" i="1"/>
  <c r="D5359" i="1"/>
  <c r="C5359" i="1"/>
  <c r="B5359" i="1"/>
  <c r="A5359" i="1"/>
  <c r="S5358" i="1"/>
  <c r="O5358" i="1"/>
  <c r="K5358" i="1"/>
  <c r="J5358" i="1"/>
  <c r="I5358" i="1"/>
  <c r="H5358" i="1"/>
  <c r="G5358" i="1"/>
  <c r="F5358" i="1"/>
  <c r="E5358" i="1"/>
  <c r="D5358" i="1"/>
  <c r="C5358" i="1"/>
  <c r="B5358" i="1"/>
  <c r="A5358" i="1"/>
  <c r="R5357" i="1"/>
  <c r="J5357" i="1"/>
  <c r="I5357" i="1"/>
  <c r="G5357" i="1"/>
  <c r="F5357" i="1"/>
  <c r="E5357" i="1"/>
  <c r="D5357" i="1"/>
  <c r="C5357" i="1"/>
  <c r="B5357" i="1"/>
  <c r="A5357" i="1"/>
  <c r="S5356" i="1"/>
  <c r="O5356" i="1"/>
  <c r="K5356" i="1"/>
  <c r="J5356" i="1"/>
  <c r="I5356" i="1"/>
  <c r="H5356" i="1"/>
  <c r="G5356" i="1"/>
  <c r="F5356" i="1"/>
  <c r="E5356" i="1"/>
  <c r="D5356" i="1"/>
  <c r="C5356" i="1"/>
  <c r="B5356" i="1"/>
  <c r="A5356" i="1"/>
  <c r="R5355" i="1"/>
  <c r="J5355" i="1"/>
  <c r="I5355" i="1"/>
  <c r="G5355" i="1"/>
  <c r="F5355" i="1"/>
  <c r="E5355" i="1"/>
  <c r="D5355" i="1"/>
  <c r="C5355" i="1"/>
  <c r="B5355" i="1"/>
  <c r="A5355" i="1"/>
  <c r="S5354" i="1"/>
  <c r="O5354" i="1"/>
  <c r="K5354" i="1"/>
  <c r="J5354" i="1"/>
  <c r="I5354" i="1"/>
  <c r="H5354" i="1"/>
  <c r="G5354" i="1"/>
  <c r="F5354" i="1"/>
  <c r="E5354" i="1"/>
  <c r="D5354" i="1"/>
  <c r="C5354" i="1"/>
  <c r="B5354" i="1"/>
  <c r="A5354" i="1"/>
  <c r="R5353" i="1"/>
  <c r="J5353" i="1"/>
  <c r="I5353" i="1"/>
  <c r="G5353" i="1"/>
  <c r="F5353" i="1"/>
  <c r="E5353" i="1"/>
  <c r="D5353" i="1"/>
  <c r="C5353" i="1"/>
  <c r="B5353" i="1"/>
  <c r="A5353" i="1"/>
  <c r="S5352" i="1"/>
  <c r="O5352" i="1"/>
  <c r="K5352" i="1"/>
  <c r="J5352" i="1"/>
  <c r="I5352" i="1"/>
  <c r="H5352" i="1"/>
  <c r="G5352" i="1"/>
  <c r="F5352" i="1"/>
  <c r="E5352" i="1"/>
  <c r="D5352" i="1"/>
  <c r="C5352" i="1"/>
  <c r="B5352" i="1"/>
  <c r="A5352" i="1"/>
  <c r="R5351" i="1"/>
  <c r="J5351" i="1"/>
  <c r="I5351" i="1"/>
  <c r="G5351" i="1"/>
  <c r="F5351" i="1"/>
  <c r="E5351" i="1"/>
  <c r="D5351" i="1"/>
  <c r="C5351" i="1"/>
  <c r="B5351" i="1"/>
  <c r="A5351" i="1"/>
  <c r="S5350" i="1"/>
  <c r="O5350" i="1"/>
  <c r="K5350" i="1"/>
  <c r="J5350" i="1"/>
  <c r="I5350" i="1"/>
  <c r="H5350" i="1"/>
  <c r="G5350" i="1"/>
  <c r="F5350" i="1"/>
  <c r="E5350" i="1"/>
  <c r="D5350" i="1"/>
  <c r="C5350" i="1"/>
  <c r="B5350" i="1"/>
  <c r="A5350" i="1"/>
  <c r="R5349" i="1"/>
  <c r="J5349" i="1"/>
  <c r="I5349" i="1"/>
  <c r="G5349" i="1"/>
  <c r="F5349" i="1"/>
  <c r="E5349" i="1"/>
  <c r="D5349" i="1"/>
  <c r="C5349" i="1"/>
  <c r="B5349" i="1"/>
  <c r="A5349" i="1"/>
  <c r="S5348" i="1"/>
  <c r="O5348" i="1"/>
  <c r="K5348" i="1"/>
  <c r="J5348" i="1"/>
  <c r="I5348" i="1"/>
  <c r="H5348" i="1"/>
  <c r="G5348" i="1"/>
  <c r="F5348" i="1"/>
  <c r="E5348" i="1"/>
  <c r="D5348" i="1"/>
  <c r="C5348" i="1"/>
  <c r="B5348" i="1"/>
  <c r="A5348" i="1"/>
  <c r="R5347" i="1"/>
  <c r="J5347" i="1"/>
  <c r="I5347" i="1"/>
  <c r="G5347" i="1"/>
  <c r="F5347" i="1"/>
  <c r="E5347" i="1"/>
  <c r="D5347" i="1"/>
  <c r="C5347" i="1"/>
  <c r="B5347" i="1"/>
  <c r="A5347" i="1"/>
  <c r="S5346" i="1"/>
  <c r="O5346" i="1"/>
  <c r="K5346" i="1"/>
  <c r="J5346" i="1"/>
  <c r="I5346" i="1"/>
  <c r="H5346" i="1"/>
  <c r="G5346" i="1"/>
  <c r="F5346" i="1"/>
  <c r="E5346" i="1"/>
  <c r="D5346" i="1"/>
  <c r="C5346" i="1"/>
  <c r="B5346" i="1"/>
  <c r="A5346" i="1"/>
  <c r="R5345" i="1"/>
  <c r="J5345" i="1"/>
  <c r="I5345" i="1"/>
  <c r="G5345" i="1"/>
  <c r="F5345" i="1"/>
  <c r="E5345" i="1"/>
  <c r="D5345" i="1"/>
  <c r="C5345" i="1"/>
  <c r="B5345" i="1"/>
  <c r="A5345" i="1"/>
  <c r="S5344" i="1"/>
  <c r="O5344" i="1"/>
  <c r="K5344" i="1"/>
  <c r="J5344" i="1"/>
  <c r="I5344" i="1"/>
  <c r="H5344" i="1"/>
  <c r="G5344" i="1"/>
  <c r="F5344" i="1"/>
  <c r="E5344" i="1"/>
  <c r="D5344" i="1"/>
  <c r="C5344" i="1"/>
  <c r="B5344" i="1"/>
  <c r="A5344" i="1"/>
  <c r="R5343" i="1"/>
  <c r="J5343" i="1"/>
  <c r="I5343" i="1"/>
  <c r="G5343" i="1"/>
  <c r="F5343" i="1"/>
  <c r="E5343" i="1"/>
  <c r="D5343" i="1"/>
  <c r="C5343" i="1"/>
  <c r="B5343" i="1"/>
  <c r="A5343" i="1"/>
  <c r="S5342" i="1"/>
  <c r="O5342" i="1"/>
  <c r="K5342" i="1"/>
  <c r="J5342" i="1"/>
  <c r="I5342" i="1"/>
  <c r="H5342" i="1"/>
  <c r="G5342" i="1"/>
  <c r="F5342" i="1"/>
  <c r="E5342" i="1"/>
  <c r="D5342" i="1"/>
  <c r="C5342" i="1"/>
  <c r="B5342" i="1"/>
  <c r="A5342" i="1"/>
  <c r="R5341" i="1"/>
  <c r="J5341" i="1"/>
  <c r="I5341" i="1"/>
  <c r="G5341" i="1"/>
  <c r="F5341" i="1"/>
  <c r="E5341" i="1"/>
  <c r="D5341" i="1"/>
  <c r="C5341" i="1"/>
  <c r="B5341" i="1"/>
  <c r="A5341" i="1"/>
  <c r="S5340" i="1"/>
  <c r="O5340" i="1"/>
  <c r="K5340" i="1"/>
  <c r="J5340" i="1"/>
  <c r="I5340" i="1"/>
  <c r="H5340" i="1"/>
  <c r="G5340" i="1"/>
  <c r="F5340" i="1"/>
  <c r="E5340" i="1"/>
  <c r="D5340" i="1"/>
  <c r="C5340" i="1"/>
  <c r="B5340" i="1"/>
  <c r="A5340" i="1"/>
  <c r="R5339" i="1"/>
  <c r="J5339" i="1"/>
  <c r="I5339" i="1"/>
  <c r="G5339" i="1"/>
  <c r="F5339" i="1"/>
  <c r="E5339" i="1"/>
  <c r="D5339" i="1"/>
  <c r="C5339" i="1"/>
  <c r="B5339" i="1"/>
  <c r="A5339" i="1"/>
  <c r="S5338" i="1"/>
  <c r="O5338" i="1"/>
  <c r="K5338" i="1"/>
  <c r="J5338" i="1"/>
  <c r="I5338" i="1"/>
  <c r="H5338" i="1"/>
  <c r="G5338" i="1"/>
  <c r="F5338" i="1"/>
  <c r="E5338" i="1"/>
  <c r="D5338" i="1"/>
  <c r="C5338" i="1"/>
  <c r="B5338" i="1"/>
  <c r="A5338" i="1"/>
  <c r="R5337" i="1"/>
  <c r="J5337" i="1"/>
  <c r="I5337" i="1"/>
  <c r="G5337" i="1"/>
  <c r="F5337" i="1"/>
  <c r="E5337" i="1"/>
  <c r="D5337" i="1"/>
  <c r="C5337" i="1"/>
  <c r="B5337" i="1"/>
  <c r="A5337" i="1"/>
  <c r="S5336" i="1"/>
  <c r="O5336" i="1"/>
  <c r="K5336" i="1"/>
  <c r="J5336" i="1"/>
  <c r="I5336" i="1"/>
  <c r="H5336" i="1"/>
  <c r="G5336" i="1"/>
  <c r="F5336" i="1"/>
  <c r="E5336" i="1"/>
  <c r="D5336" i="1"/>
  <c r="C5336" i="1"/>
  <c r="B5336" i="1"/>
  <c r="A5336" i="1"/>
  <c r="R5335" i="1"/>
  <c r="J5335" i="1"/>
  <c r="I5335" i="1"/>
  <c r="G5335" i="1"/>
  <c r="F5335" i="1"/>
  <c r="E5335" i="1"/>
  <c r="D5335" i="1"/>
  <c r="C5335" i="1"/>
  <c r="B5335" i="1"/>
  <c r="A5335" i="1"/>
  <c r="S5334" i="1"/>
  <c r="O5334" i="1"/>
  <c r="K5334" i="1"/>
  <c r="J5334" i="1"/>
  <c r="I5334" i="1"/>
  <c r="H5334" i="1"/>
  <c r="G5334" i="1"/>
  <c r="F5334" i="1"/>
  <c r="E5334" i="1"/>
  <c r="D5334" i="1"/>
  <c r="C5334" i="1"/>
  <c r="B5334" i="1"/>
  <c r="A5334" i="1"/>
  <c r="R5333" i="1"/>
  <c r="J5333" i="1"/>
  <c r="I5333" i="1"/>
  <c r="G5333" i="1"/>
  <c r="F5333" i="1"/>
  <c r="E5333" i="1"/>
  <c r="D5333" i="1"/>
  <c r="C5333" i="1"/>
  <c r="B5333" i="1"/>
  <c r="A5333" i="1"/>
  <c r="S5332" i="1"/>
  <c r="O5332" i="1"/>
  <c r="K5332" i="1"/>
  <c r="J5332" i="1"/>
  <c r="I5332" i="1"/>
  <c r="H5332" i="1"/>
  <c r="G5332" i="1"/>
  <c r="F5332" i="1"/>
  <c r="E5332" i="1"/>
  <c r="D5332" i="1"/>
  <c r="C5332" i="1"/>
  <c r="B5332" i="1"/>
  <c r="A5332" i="1"/>
  <c r="R5331" i="1"/>
  <c r="J5331" i="1"/>
  <c r="I5331" i="1"/>
  <c r="G5331" i="1"/>
  <c r="F5331" i="1"/>
  <c r="E5331" i="1"/>
  <c r="D5331" i="1"/>
  <c r="C5331" i="1"/>
  <c r="B5331" i="1"/>
  <c r="A5331" i="1"/>
  <c r="S5330" i="1"/>
  <c r="O5330" i="1"/>
  <c r="K5330" i="1"/>
  <c r="J5330" i="1"/>
  <c r="I5330" i="1"/>
  <c r="H5330" i="1"/>
  <c r="G5330" i="1"/>
  <c r="F5330" i="1"/>
  <c r="E5330" i="1"/>
  <c r="D5330" i="1"/>
  <c r="C5330" i="1"/>
  <c r="B5330" i="1"/>
  <c r="A5330" i="1"/>
  <c r="R5329" i="1"/>
  <c r="J5329" i="1"/>
  <c r="I5329" i="1"/>
  <c r="G5329" i="1"/>
  <c r="F5329" i="1"/>
  <c r="E5329" i="1"/>
  <c r="D5329" i="1"/>
  <c r="C5329" i="1"/>
  <c r="B5329" i="1"/>
  <c r="A5329" i="1"/>
  <c r="S5328" i="1"/>
  <c r="O5328" i="1"/>
  <c r="K5328" i="1"/>
  <c r="J5328" i="1"/>
  <c r="I5328" i="1"/>
  <c r="H5328" i="1"/>
  <c r="G5328" i="1"/>
  <c r="F5328" i="1"/>
  <c r="E5328" i="1"/>
  <c r="D5328" i="1"/>
  <c r="C5328" i="1"/>
  <c r="B5328" i="1"/>
  <c r="A5328" i="1"/>
  <c r="R5327" i="1"/>
  <c r="J5327" i="1"/>
  <c r="I5327" i="1"/>
  <c r="G5327" i="1"/>
  <c r="F5327" i="1"/>
  <c r="E5327" i="1"/>
  <c r="D5327" i="1"/>
  <c r="C5327" i="1"/>
  <c r="B5327" i="1"/>
  <c r="A5327" i="1"/>
  <c r="S5326" i="1"/>
  <c r="O5326" i="1"/>
  <c r="K5326" i="1"/>
  <c r="J5326" i="1"/>
  <c r="I5326" i="1"/>
  <c r="H5326" i="1"/>
  <c r="G5326" i="1"/>
  <c r="F5326" i="1"/>
  <c r="E5326" i="1"/>
  <c r="D5326" i="1"/>
  <c r="C5326" i="1"/>
  <c r="B5326" i="1"/>
  <c r="A5326" i="1"/>
  <c r="R5325" i="1"/>
  <c r="J5325" i="1"/>
  <c r="I5325" i="1"/>
  <c r="G5325" i="1"/>
  <c r="F5325" i="1"/>
  <c r="E5325" i="1"/>
  <c r="D5325" i="1"/>
  <c r="C5325" i="1"/>
  <c r="B5325" i="1"/>
  <c r="A5325" i="1"/>
  <c r="S5324" i="1"/>
  <c r="O5324" i="1"/>
  <c r="K5324" i="1"/>
  <c r="J5324" i="1"/>
  <c r="I5324" i="1"/>
  <c r="H5324" i="1"/>
  <c r="G5324" i="1"/>
  <c r="F5324" i="1"/>
  <c r="E5324" i="1"/>
  <c r="D5324" i="1"/>
  <c r="C5324" i="1"/>
  <c r="B5324" i="1"/>
  <c r="A5324" i="1"/>
  <c r="R5323" i="1"/>
  <c r="J5323" i="1"/>
  <c r="I5323" i="1"/>
  <c r="G5323" i="1"/>
  <c r="F5323" i="1"/>
  <c r="E5323" i="1"/>
  <c r="D5323" i="1"/>
  <c r="C5323" i="1"/>
  <c r="B5323" i="1"/>
  <c r="A5323" i="1"/>
  <c r="S5322" i="1"/>
  <c r="O5322" i="1"/>
  <c r="K5322" i="1"/>
  <c r="J5322" i="1"/>
  <c r="I5322" i="1"/>
  <c r="H5322" i="1"/>
  <c r="G5322" i="1"/>
  <c r="F5322" i="1"/>
  <c r="E5322" i="1"/>
  <c r="D5322" i="1"/>
  <c r="C5322" i="1"/>
  <c r="B5322" i="1"/>
  <c r="A5322" i="1"/>
  <c r="R5321" i="1"/>
  <c r="J5321" i="1"/>
  <c r="I5321" i="1"/>
  <c r="G5321" i="1"/>
  <c r="F5321" i="1"/>
  <c r="E5321" i="1"/>
  <c r="D5321" i="1"/>
  <c r="C5321" i="1"/>
  <c r="B5321" i="1"/>
  <c r="A5321" i="1"/>
  <c r="S5320" i="1"/>
  <c r="O5320" i="1"/>
  <c r="K5320" i="1"/>
  <c r="J5320" i="1"/>
  <c r="I5320" i="1"/>
  <c r="H5320" i="1"/>
  <c r="G5320" i="1"/>
  <c r="F5320" i="1"/>
  <c r="E5320" i="1"/>
  <c r="D5320" i="1"/>
  <c r="C5320" i="1"/>
  <c r="B5320" i="1"/>
  <c r="A5320" i="1"/>
  <c r="R5319" i="1"/>
  <c r="J5319" i="1"/>
  <c r="I5319" i="1"/>
  <c r="G5319" i="1"/>
  <c r="F5319" i="1"/>
  <c r="E5319" i="1"/>
  <c r="D5319" i="1"/>
  <c r="C5319" i="1"/>
  <c r="B5319" i="1"/>
  <c r="A5319" i="1"/>
  <c r="S5318" i="1"/>
  <c r="O5318" i="1"/>
  <c r="K5318" i="1"/>
  <c r="J5318" i="1"/>
  <c r="I5318" i="1"/>
  <c r="H5318" i="1"/>
  <c r="G5318" i="1"/>
  <c r="F5318" i="1"/>
  <c r="E5318" i="1"/>
  <c r="D5318" i="1"/>
  <c r="C5318" i="1"/>
  <c r="B5318" i="1"/>
  <c r="A5318" i="1"/>
  <c r="R5317" i="1"/>
  <c r="J5317" i="1"/>
  <c r="I5317" i="1"/>
  <c r="G5317" i="1"/>
  <c r="F5317" i="1"/>
  <c r="E5317" i="1"/>
  <c r="D5317" i="1"/>
  <c r="C5317" i="1"/>
  <c r="B5317" i="1"/>
  <c r="A5317" i="1"/>
  <c r="S5316" i="1"/>
  <c r="O5316" i="1"/>
  <c r="K5316" i="1"/>
  <c r="J5316" i="1"/>
  <c r="I5316" i="1"/>
  <c r="H5316" i="1"/>
  <c r="G5316" i="1"/>
  <c r="F5316" i="1"/>
  <c r="E5316" i="1"/>
  <c r="D5316" i="1"/>
  <c r="C5316" i="1"/>
  <c r="B5316" i="1"/>
  <c r="A5316" i="1"/>
  <c r="R5315" i="1"/>
  <c r="J5315" i="1"/>
  <c r="I5315" i="1"/>
  <c r="G5315" i="1"/>
  <c r="F5315" i="1"/>
  <c r="E5315" i="1"/>
  <c r="D5315" i="1"/>
  <c r="C5315" i="1"/>
  <c r="B5315" i="1"/>
  <c r="A5315" i="1"/>
  <c r="S5314" i="1"/>
  <c r="O5314" i="1"/>
  <c r="K5314" i="1"/>
  <c r="J5314" i="1"/>
  <c r="I5314" i="1"/>
  <c r="H5314" i="1"/>
  <c r="G5314" i="1"/>
  <c r="F5314" i="1"/>
  <c r="E5314" i="1"/>
  <c r="D5314" i="1"/>
  <c r="C5314" i="1"/>
  <c r="B5314" i="1"/>
  <c r="A5314" i="1"/>
  <c r="R5313" i="1"/>
  <c r="J5313" i="1"/>
  <c r="I5313" i="1"/>
  <c r="G5313" i="1"/>
  <c r="F5313" i="1"/>
  <c r="E5313" i="1"/>
  <c r="D5313" i="1"/>
  <c r="C5313" i="1"/>
  <c r="B5313" i="1"/>
  <c r="A5313" i="1"/>
  <c r="S5312" i="1"/>
  <c r="O5312" i="1"/>
  <c r="K5312" i="1"/>
  <c r="J5312" i="1"/>
  <c r="I5312" i="1"/>
  <c r="H5312" i="1"/>
  <c r="G5312" i="1"/>
  <c r="F5312" i="1"/>
  <c r="E5312" i="1"/>
  <c r="D5312" i="1"/>
  <c r="C5312" i="1"/>
  <c r="B5312" i="1"/>
  <c r="A5312" i="1"/>
  <c r="R5311" i="1"/>
  <c r="J5311" i="1"/>
  <c r="I5311" i="1"/>
  <c r="G5311" i="1"/>
  <c r="F5311" i="1"/>
  <c r="E5311" i="1"/>
  <c r="D5311" i="1"/>
  <c r="C5311" i="1"/>
  <c r="B5311" i="1"/>
  <c r="A5311" i="1"/>
  <c r="S5310" i="1"/>
  <c r="O5310" i="1"/>
  <c r="K5310" i="1"/>
  <c r="J5310" i="1"/>
  <c r="I5310" i="1"/>
  <c r="H5310" i="1"/>
  <c r="G5310" i="1"/>
  <c r="F5310" i="1"/>
  <c r="E5310" i="1"/>
  <c r="D5310" i="1"/>
  <c r="C5310" i="1"/>
  <c r="B5310" i="1"/>
  <c r="A5310" i="1"/>
  <c r="R5309" i="1"/>
  <c r="J5309" i="1"/>
  <c r="I5309" i="1"/>
  <c r="G5309" i="1"/>
  <c r="F5309" i="1"/>
  <c r="E5309" i="1"/>
  <c r="D5309" i="1"/>
  <c r="C5309" i="1"/>
  <c r="B5309" i="1"/>
  <c r="A5309" i="1"/>
  <c r="S5308" i="1"/>
  <c r="O5308" i="1"/>
  <c r="K5308" i="1"/>
  <c r="J5308" i="1"/>
  <c r="I5308" i="1"/>
  <c r="H5308" i="1"/>
  <c r="G5308" i="1"/>
  <c r="F5308" i="1"/>
  <c r="E5308" i="1"/>
  <c r="D5308" i="1"/>
  <c r="C5308" i="1"/>
  <c r="B5308" i="1"/>
  <c r="A5308" i="1"/>
  <c r="R5307" i="1"/>
  <c r="J5307" i="1"/>
  <c r="I5307" i="1"/>
  <c r="G5307" i="1"/>
  <c r="F5307" i="1"/>
  <c r="E5307" i="1"/>
  <c r="D5307" i="1"/>
  <c r="C5307" i="1"/>
  <c r="B5307" i="1"/>
  <c r="A5307" i="1"/>
  <c r="S5306" i="1"/>
  <c r="O5306" i="1"/>
  <c r="K5306" i="1"/>
  <c r="J5306" i="1"/>
  <c r="I5306" i="1"/>
  <c r="H5306" i="1"/>
  <c r="G5306" i="1"/>
  <c r="F5306" i="1"/>
  <c r="E5306" i="1"/>
  <c r="D5306" i="1"/>
  <c r="C5306" i="1"/>
  <c r="B5306" i="1"/>
  <c r="A5306" i="1"/>
  <c r="R5305" i="1"/>
  <c r="J5305" i="1"/>
  <c r="I5305" i="1"/>
  <c r="G5305" i="1"/>
  <c r="F5305" i="1"/>
  <c r="E5305" i="1"/>
  <c r="D5305" i="1"/>
  <c r="C5305" i="1"/>
  <c r="B5305" i="1"/>
  <c r="A5305" i="1"/>
  <c r="S5304" i="1"/>
  <c r="O5304" i="1"/>
  <c r="K5304" i="1"/>
  <c r="J5304" i="1"/>
  <c r="I5304" i="1"/>
  <c r="H5304" i="1"/>
  <c r="G5304" i="1"/>
  <c r="F5304" i="1"/>
  <c r="E5304" i="1"/>
  <c r="D5304" i="1"/>
  <c r="C5304" i="1"/>
  <c r="B5304" i="1"/>
  <c r="A5304" i="1"/>
  <c r="R5303" i="1"/>
  <c r="J5303" i="1"/>
  <c r="I5303" i="1"/>
  <c r="G5303" i="1"/>
  <c r="F5303" i="1"/>
  <c r="E5303" i="1"/>
  <c r="D5303" i="1"/>
  <c r="C5303" i="1"/>
  <c r="B5303" i="1"/>
  <c r="A5303" i="1"/>
  <c r="S5302" i="1"/>
  <c r="O5302" i="1"/>
  <c r="K5302" i="1"/>
  <c r="J5302" i="1"/>
  <c r="I5302" i="1"/>
  <c r="H5302" i="1"/>
  <c r="G5302" i="1"/>
  <c r="F5302" i="1"/>
  <c r="E5302" i="1"/>
  <c r="D5302" i="1"/>
  <c r="C5302" i="1"/>
  <c r="B5302" i="1"/>
  <c r="A5302" i="1"/>
  <c r="R5301" i="1"/>
  <c r="J5301" i="1"/>
  <c r="I5301" i="1"/>
  <c r="G5301" i="1"/>
  <c r="F5301" i="1"/>
  <c r="E5301" i="1"/>
  <c r="D5301" i="1"/>
  <c r="C5301" i="1"/>
  <c r="B5301" i="1"/>
  <c r="A5301" i="1"/>
  <c r="S5300" i="1"/>
  <c r="O5300" i="1"/>
  <c r="K5300" i="1"/>
  <c r="J5300" i="1"/>
  <c r="I5300" i="1"/>
  <c r="H5300" i="1"/>
  <c r="G5300" i="1"/>
  <c r="F5300" i="1"/>
  <c r="E5300" i="1"/>
  <c r="D5300" i="1"/>
  <c r="C5300" i="1"/>
  <c r="B5300" i="1"/>
  <c r="A5300" i="1"/>
  <c r="R5299" i="1"/>
  <c r="J5299" i="1"/>
  <c r="I5299" i="1"/>
  <c r="G5299" i="1"/>
  <c r="F5299" i="1"/>
  <c r="E5299" i="1"/>
  <c r="D5299" i="1"/>
  <c r="C5299" i="1"/>
  <c r="B5299" i="1"/>
  <c r="A5299" i="1"/>
  <c r="S5298" i="1"/>
  <c r="O5298" i="1"/>
  <c r="K5298" i="1"/>
  <c r="J5298" i="1"/>
  <c r="I5298" i="1"/>
  <c r="H5298" i="1"/>
  <c r="G5298" i="1"/>
  <c r="F5298" i="1"/>
  <c r="E5298" i="1"/>
  <c r="D5298" i="1"/>
  <c r="C5298" i="1"/>
  <c r="B5298" i="1"/>
  <c r="A5298" i="1"/>
  <c r="R5297" i="1"/>
  <c r="J5297" i="1"/>
  <c r="I5297" i="1"/>
  <c r="G5297" i="1"/>
  <c r="F5297" i="1"/>
  <c r="E5297" i="1"/>
  <c r="D5297" i="1"/>
  <c r="C5297" i="1"/>
  <c r="B5297" i="1"/>
  <c r="A5297" i="1"/>
  <c r="S5296" i="1"/>
  <c r="O5296" i="1"/>
  <c r="K5296" i="1"/>
  <c r="J5296" i="1"/>
  <c r="I5296" i="1"/>
  <c r="H5296" i="1"/>
  <c r="G5296" i="1"/>
  <c r="F5296" i="1"/>
  <c r="E5296" i="1"/>
  <c r="D5296" i="1"/>
  <c r="C5296" i="1"/>
  <c r="B5296" i="1"/>
  <c r="A5296" i="1"/>
  <c r="R5295" i="1"/>
  <c r="J5295" i="1"/>
  <c r="I5295" i="1"/>
  <c r="G5295" i="1"/>
  <c r="F5295" i="1"/>
  <c r="E5295" i="1"/>
  <c r="D5295" i="1"/>
  <c r="C5295" i="1"/>
  <c r="B5295" i="1"/>
  <c r="A5295" i="1"/>
  <c r="S5294" i="1"/>
  <c r="O5294" i="1"/>
  <c r="K5294" i="1"/>
  <c r="J5294" i="1"/>
  <c r="I5294" i="1"/>
  <c r="H5294" i="1"/>
  <c r="G5294" i="1"/>
  <c r="F5294" i="1"/>
  <c r="E5294" i="1"/>
  <c r="D5294" i="1"/>
  <c r="C5294" i="1"/>
  <c r="B5294" i="1"/>
  <c r="A5294" i="1"/>
  <c r="R5293" i="1"/>
  <c r="J5293" i="1"/>
  <c r="I5293" i="1"/>
  <c r="G5293" i="1"/>
  <c r="F5293" i="1"/>
  <c r="E5293" i="1"/>
  <c r="D5293" i="1"/>
  <c r="C5293" i="1"/>
  <c r="B5293" i="1"/>
  <c r="A5293" i="1"/>
  <c r="S5292" i="1"/>
  <c r="O5292" i="1"/>
  <c r="K5292" i="1"/>
  <c r="J5292" i="1"/>
  <c r="I5292" i="1"/>
  <c r="H5292" i="1"/>
  <c r="G5292" i="1"/>
  <c r="F5292" i="1"/>
  <c r="E5292" i="1"/>
  <c r="D5292" i="1"/>
  <c r="C5292" i="1"/>
  <c r="B5292" i="1"/>
  <c r="A5292" i="1"/>
  <c r="R5291" i="1"/>
  <c r="J5291" i="1"/>
  <c r="I5291" i="1"/>
  <c r="G5291" i="1"/>
  <c r="F5291" i="1"/>
  <c r="E5291" i="1"/>
  <c r="D5291" i="1"/>
  <c r="C5291" i="1"/>
  <c r="B5291" i="1"/>
  <c r="A5291" i="1"/>
  <c r="S5290" i="1"/>
  <c r="O5290" i="1"/>
  <c r="K5290" i="1"/>
  <c r="J5290" i="1"/>
  <c r="I5290" i="1"/>
  <c r="H5290" i="1"/>
  <c r="G5290" i="1"/>
  <c r="F5290" i="1"/>
  <c r="E5290" i="1"/>
  <c r="D5290" i="1"/>
  <c r="C5290" i="1"/>
  <c r="B5290" i="1"/>
  <c r="A5290" i="1"/>
  <c r="R5289" i="1"/>
  <c r="J5289" i="1"/>
  <c r="I5289" i="1"/>
  <c r="G5289" i="1"/>
  <c r="F5289" i="1"/>
  <c r="E5289" i="1"/>
  <c r="D5289" i="1"/>
  <c r="C5289" i="1"/>
  <c r="B5289" i="1"/>
  <c r="A5289" i="1"/>
  <c r="S5288" i="1"/>
  <c r="O5288" i="1"/>
  <c r="K5288" i="1"/>
  <c r="J5288" i="1"/>
  <c r="I5288" i="1"/>
  <c r="H5288" i="1"/>
  <c r="G5288" i="1"/>
  <c r="F5288" i="1"/>
  <c r="E5288" i="1"/>
  <c r="D5288" i="1"/>
  <c r="C5288" i="1"/>
  <c r="B5288" i="1"/>
  <c r="A5288" i="1"/>
  <c r="R5287" i="1"/>
  <c r="J5287" i="1"/>
  <c r="I5287" i="1"/>
  <c r="G5287" i="1"/>
  <c r="F5287" i="1"/>
  <c r="E5287" i="1"/>
  <c r="D5287" i="1"/>
  <c r="C5287" i="1"/>
  <c r="B5287" i="1"/>
  <c r="A5287" i="1"/>
  <c r="S5286" i="1"/>
  <c r="O5286" i="1"/>
  <c r="K5286" i="1"/>
  <c r="J5286" i="1"/>
  <c r="I5286" i="1"/>
  <c r="H5286" i="1"/>
  <c r="G5286" i="1"/>
  <c r="F5286" i="1"/>
  <c r="E5286" i="1"/>
  <c r="D5286" i="1"/>
  <c r="C5286" i="1"/>
  <c r="B5286" i="1"/>
  <c r="A5286" i="1"/>
  <c r="R5285" i="1"/>
  <c r="J5285" i="1"/>
  <c r="I5285" i="1"/>
  <c r="G5285" i="1"/>
  <c r="F5285" i="1"/>
  <c r="E5285" i="1"/>
  <c r="D5285" i="1"/>
  <c r="C5285" i="1"/>
  <c r="B5285" i="1"/>
  <c r="A5285" i="1"/>
  <c r="S5284" i="1"/>
  <c r="O5284" i="1"/>
  <c r="K5284" i="1"/>
  <c r="J5284" i="1"/>
  <c r="I5284" i="1"/>
  <c r="H5284" i="1"/>
  <c r="G5284" i="1"/>
  <c r="F5284" i="1"/>
  <c r="E5284" i="1"/>
  <c r="D5284" i="1"/>
  <c r="C5284" i="1"/>
  <c r="B5284" i="1"/>
  <c r="A5284" i="1"/>
  <c r="R5283" i="1"/>
  <c r="J5283" i="1"/>
  <c r="I5283" i="1"/>
  <c r="G5283" i="1"/>
  <c r="F5283" i="1"/>
  <c r="E5283" i="1"/>
  <c r="D5283" i="1"/>
  <c r="C5283" i="1"/>
  <c r="B5283" i="1"/>
  <c r="A5283" i="1"/>
  <c r="S5282" i="1"/>
  <c r="O5282" i="1"/>
  <c r="K5282" i="1"/>
  <c r="J5282" i="1"/>
  <c r="I5282" i="1"/>
  <c r="H5282" i="1"/>
  <c r="G5282" i="1"/>
  <c r="F5282" i="1"/>
  <c r="E5282" i="1"/>
  <c r="D5282" i="1"/>
  <c r="C5282" i="1"/>
  <c r="B5282" i="1"/>
  <c r="A5282" i="1"/>
  <c r="R5281" i="1"/>
  <c r="J5281" i="1"/>
  <c r="I5281" i="1"/>
  <c r="G5281" i="1"/>
  <c r="F5281" i="1"/>
  <c r="E5281" i="1"/>
  <c r="D5281" i="1"/>
  <c r="C5281" i="1"/>
  <c r="B5281" i="1"/>
  <c r="A5281" i="1"/>
  <c r="S5280" i="1"/>
  <c r="O5280" i="1"/>
  <c r="K5280" i="1"/>
  <c r="J5280" i="1"/>
  <c r="I5280" i="1"/>
  <c r="H5280" i="1"/>
  <c r="G5280" i="1"/>
  <c r="F5280" i="1"/>
  <c r="E5280" i="1"/>
  <c r="D5280" i="1"/>
  <c r="C5280" i="1"/>
  <c r="B5280" i="1"/>
  <c r="A5280" i="1"/>
  <c r="R5279" i="1"/>
  <c r="J5279" i="1"/>
  <c r="I5279" i="1"/>
  <c r="G5279" i="1"/>
  <c r="F5279" i="1"/>
  <c r="E5279" i="1"/>
  <c r="D5279" i="1"/>
  <c r="C5279" i="1"/>
  <c r="B5279" i="1"/>
  <c r="A5279" i="1"/>
  <c r="S5278" i="1"/>
  <c r="O5278" i="1"/>
  <c r="K5278" i="1"/>
  <c r="J5278" i="1"/>
  <c r="I5278" i="1"/>
  <c r="H5278" i="1"/>
  <c r="G5278" i="1"/>
  <c r="F5278" i="1"/>
  <c r="E5278" i="1"/>
  <c r="D5278" i="1"/>
  <c r="C5278" i="1"/>
  <c r="B5278" i="1"/>
  <c r="A5278" i="1"/>
  <c r="R5277" i="1"/>
  <c r="J5277" i="1"/>
  <c r="I5277" i="1"/>
  <c r="G5277" i="1"/>
  <c r="F5277" i="1"/>
  <c r="E5277" i="1"/>
  <c r="D5277" i="1"/>
  <c r="C5277" i="1"/>
  <c r="B5277" i="1"/>
  <c r="A5277" i="1"/>
  <c r="S5276" i="1"/>
  <c r="O5276" i="1"/>
  <c r="K5276" i="1"/>
  <c r="J5276" i="1"/>
  <c r="I5276" i="1"/>
  <c r="H5276" i="1"/>
  <c r="G5276" i="1"/>
  <c r="F5276" i="1"/>
  <c r="E5276" i="1"/>
  <c r="D5276" i="1"/>
  <c r="C5276" i="1"/>
  <c r="B5276" i="1"/>
  <c r="A5276" i="1"/>
  <c r="R5275" i="1"/>
  <c r="J5275" i="1"/>
  <c r="I5275" i="1"/>
  <c r="G5275" i="1"/>
  <c r="F5275" i="1"/>
  <c r="E5275" i="1"/>
  <c r="D5275" i="1"/>
  <c r="C5275" i="1"/>
  <c r="B5275" i="1"/>
  <c r="A5275" i="1"/>
  <c r="S5274" i="1"/>
  <c r="O5274" i="1"/>
  <c r="K5274" i="1"/>
  <c r="J5274" i="1"/>
  <c r="I5274" i="1"/>
  <c r="H5274" i="1"/>
  <c r="G5274" i="1"/>
  <c r="F5274" i="1"/>
  <c r="E5274" i="1"/>
  <c r="D5274" i="1"/>
  <c r="C5274" i="1"/>
  <c r="B5274" i="1"/>
  <c r="A5274" i="1"/>
  <c r="R5273" i="1"/>
  <c r="J5273" i="1"/>
  <c r="I5273" i="1"/>
  <c r="G5273" i="1"/>
  <c r="F5273" i="1"/>
  <c r="E5273" i="1"/>
  <c r="D5273" i="1"/>
  <c r="C5273" i="1"/>
  <c r="B5273" i="1"/>
  <c r="A5273" i="1"/>
  <c r="S5272" i="1"/>
  <c r="O5272" i="1"/>
  <c r="K5272" i="1"/>
  <c r="J5272" i="1"/>
  <c r="I5272" i="1"/>
  <c r="H5272" i="1"/>
  <c r="G5272" i="1"/>
  <c r="F5272" i="1"/>
  <c r="E5272" i="1"/>
  <c r="D5272" i="1"/>
  <c r="C5272" i="1"/>
  <c r="B5272" i="1"/>
  <c r="A5272" i="1"/>
  <c r="R5271" i="1"/>
  <c r="J5271" i="1"/>
  <c r="I5271" i="1"/>
  <c r="G5271" i="1"/>
  <c r="F5271" i="1"/>
  <c r="E5271" i="1"/>
  <c r="D5271" i="1"/>
  <c r="C5271" i="1"/>
  <c r="B5271" i="1"/>
  <c r="A5271" i="1"/>
  <c r="S5270" i="1"/>
  <c r="O5270" i="1"/>
  <c r="K5270" i="1"/>
  <c r="J5270" i="1"/>
  <c r="I5270" i="1"/>
  <c r="H5270" i="1"/>
  <c r="G5270" i="1"/>
  <c r="F5270" i="1"/>
  <c r="E5270" i="1"/>
  <c r="D5270" i="1"/>
  <c r="C5270" i="1"/>
  <c r="B5270" i="1"/>
  <c r="A5270" i="1"/>
  <c r="R5269" i="1"/>
  <c r="J5269" i="1"/>
  <c r="I5269" i="1"/>
  <c r="G5269" i="1"/>
  <c r="F5269" i="1"/>
  <c r="E5269" i="1"/>
  <c r="D5269" i="1"/>
  <c r="C5269" i="1"/>
  <c r="B5269" i="1"/>
  <c r="A5269" i="1"/>
  <c r="S5268" i="1"/>
  <c r="O5268" i="1"/>
  <c r="K5268" i="1"/>
  <c r="J5268" i="1"/>
  <c r="I5268" i="1"/>
  <c r="H5268" i="1"/>
  <c r="G5268" i="1"/>
  <c r="F5268" i="1"/>
  <c r="E5268" i="1"/>
  <c r="D5268" i="1"/>
  <c r="C5268" i="1"/>
  <c r="B5268" i="1"/>
  <c r="A5268" i="1"/>
  <c r="R5267" i="1"/>
  <c r="J5267" i="1"/>
  <c r="I5267" i="1"/>
  <c r="G5267" i="1"/>
  <c r="F5267" i="1"/>
  <c r="E5267" i="1"/>
  <c r="D5267" i="1"/>
  <c r="C5267" i="1"/>
  <c r="B5267" i="1"/>
  <c r="A5267" i="1"/>
  <c r="S5266" i="1"/>
  <c r="O5266" i="1"/>
  <c r="K5266" i="1"/>
  <c r="J5266" i="1"/>
  <c r="I5266" i="1"/>
  <c r="H5266" i="1"/>
  <c r="G5266" i="1"/>
  <c r="F5266" i="1"/>
  <c r="E5266" i="1"/>
  <c r="D5266" i="1"/>
  <c r="C5266" i="1"/>
  <c r="B5266" i="1"/>
  <c r="A5266" i="1"/>
  <c r="R5265" i="1"/>
  <c r="J5265" i="1"/>
  <c r="I5265" i="1"/>
  <c r="G5265" i="1"/>
  <c r="F5265" i="1"/>
  <c r="E5265" i="1"/>
  <c r="D5265" i="1"/>
  <c r="C5265" i="1"/>
  <c r="B5265" i="1"/>
  <c r="A5265" i="1"/>
  <c r="S5264" i="1"/>
  <c r="O5264" i="1"/>
  <c r="K5264" i="1"/>
  <c r="J5264" i="1"/>
  <c r="I5264" i="1"/>
  <c r="H5264" i="1"/>
  <c r="G5264" i="1"/>
  <c r="F5264" i="1"/>
  <c r="E5264" i="1"/>
  <c r="D5264" i="1"/>
  <c r="C5264" i="1"/>
  <c r="B5264" i="1"/>
  <c r="A5264" i="1"/>
  <c r="R5263" i="1"/>
  <c r="J5263" i="1"/>
  <c r="I5263" i="1"/>
  <c r="G5263" i="1"/>
  <c r="F5263" i="1"/>
  <c r="E5263" i="1"/>
  <c r="D5263" i="1"/>
  <c r="C5263" i="1"/>
  <c r="B5263" i="1"/>
  <c r="A5263" i="1"/>
  <c r="S5262" i="1"/>
  <c r="O5262" i="1"/>
  <c r="K5262" i="1"/>
  <c r="J5262" i="1"/>
  <c r="I5262" i="1"/>
  <c r="H5262" i="1"/>
  <c r="G5262" i="1"/>
  <c r="F5262" i="1"/>
  <c r="E5262" i="1"/>
  <c r="D5262" i="1"/>
  <c r="C5262" i="1"/>
  <c r="B5262" i="1"/>
  <c r="A5262" i="1"/>
  <c r="R5261" i="1"/>
  <c r="J5261" i="1"/>
  <c r="I5261" i="1"/>
  <c r="G5261" i="1"/>
  <c r="F5261" i="1"/>
  <c r="E5261" i="1"/>
  <c r="D5261" i="1"/>
  <c r="C5261" i="1"/>
  <c r="B5261" i="1"/>
  <c r="A5261" i="1"/>
  <c r="S5260" i="1"/>
  <c r="O5260" i="1"/>
  <c r="K5260" i="1"/>
  <c r="J5260" i="1"/>
  <c r="I5260" i="1"/>
  <c r="H5260" i="1"/>
  <c r="G5260" i="1"/>
  <c r="F5260" i="1"/>
  <c r="E5260" i="1"/>
  <c r="D5260" i="1"/>
  <c r="C5260" i="1"/>
  <c r="B5260" i="1"/>
  <c r="A5260" i="1"/>
  <c r="R5259" i="1"/>
  <c r="J5259" i="1"/>
  <c r="I5259" i="1"/>
  <c r="G5259" i="1"/>
  <c r="F5259" i="1"/>
  <c r="E5259" i="1"/>
  <c r="D5259" i="1"/>
  <c r="C5259" i="1"/>
  <c r="B5259" i="1"/>
  <c r="A5259" i="1"/>
  <c r="S5258" i="1"/>
  <c r="O5258" i="1"/>
  <c r="K5258" i="1"/>
  <c r="J5258" i="1"/>
  <c r="I5258" i="1"/>
  <c r="H5258" i="1"/>
  <c r="G5258" i="1"/>
  <c r="F5258" i="1"/>
  <c r="E5258" i="1"/>
  <c r="D5258" i="1"/>
  <c r="C5258" i="1"/>
  <c r="B5258" i="1"/>
  <c r="A5258" i="1"/>
  <c r="R5257" i="1"/>
  <c r="J5257" i="1"/>
  <c r="I5257" i="1"/>
  <c r="G5257" i="1"/>
  <c r="F5257" i="1"/>
  <c r="E5257" i="1"/>
  <c r="D5257" i="1"/>
  <c r="C5257" i="1"/>
  <c r="B5257" i="1"/>
  <c r="A5257" i="1"/>
  <c r="S5256" i="1"/>
  <c r="O5256" i="1"/>
  <c r="K5256" i="1"/>
  <c r="J5256" i="1"/>
  <c r="I5256" i="1"/>
  <c r="H5256" i="1"/>
  <c r="G5256" i="1"/>
  <c r="F5256" i="1"/>
  <c r="E5256" i="1"/>
  <c r="D5256" i="1"/>
  <c r="C5256" i="1"/>
  <c r="B5256" i="1"/>
  <c r="A5256" i="1"/>
  <c r="R5255" i="1"/>
  <c r="J5255" i="1"/>
  <c r="I5255" i="1"/>
  <c r="G5255" i="1"/>
  <c r="F5255" i="1"/>
  <c r="E5255" i="1"/>
  <c r="D5255" i="1"/>
  <c r="C5255" i="1"/>
  <c r="B5255" i="1"/>
  <c r="A5255" i="1"/>
  <c r="S5254" i="1"/>
  <c r="O5254" i="1"/>
  <c r="K5254" i="1"/>
  <c r="J5254" i="1"/>
  <c r="I5254" i="1"/>
  <c r="H5254" i="1"/>
  <c r="G5254" i="1"/>
  <c r="F5254" i="1"/>
  <c r="E5254" i="1"/>
  <c r="D5254" i="1"/>
  <c r="C5254" i="1"/>
  <c r="B5254" i="1"/>
  <c r="A5254" i="1"/>
  <c r="R5253" i="1"/>
  <c r="J5253" i="1"/>
  <c r="I5253" i="1"/>
  <c r="G5253" i="1"/>
  <c r="F5253" i="1"/>
  <c r="E5253" i="1"/>
  <c r="D5253" i="1"/>
  <c r="C5253" i="1"/>
  <c r="B5253" i="1"/>
  <c r="A5253" i="1"/>
  <c r="S5252" i="1"/>
  <c r="O5252" i="1"/>
  <c r="K5252" i="1"/>
  <c r="J5252" i="1"/>
  <c r="I5252" i="1"/>
  <c r="H5252" i="1"/>
  <c r="G5252" i="1"/>
  <c r="F5252" i="1"/>
  <c r="E5252" i="1"/>
  <c r="D5252" i="1"/>
  <c r="C5252" i="1"/>
  <c r="B5252" i="1"/>
  <c r="A5252" i="1"/>
  <c r="R5251" i="1"/>
  <c r="J5251" i="1"/>
  <c r="I5251" i="1"/>
  <c r="G5251" i="1"/>
  <c r="F5251" i="1"/>
  <c r="E5251" i="1"/>
  <c r="D5251" i="1"/>
  <c r="C5251" i="1"/>
  <c r="B5251" i="1"/>
  <c r="A5251" i="1"/>
  <c r="S5250" i="1"/>
  <c r="O5250" i="1"/>
  <c r="K5250" i="1"/>
  <c r="J5250" i="1"/>
  <c r="I5250" i="1"/>
  <c r="H5250" i="1"/>
  <c r="G5250" i="1"/>
  <c r="F5250" i="1"/>
  <c r="E5250" i="1"/>
  <c r="D5250" i="1"/>
  <c r="C5250" i="1"/>
  <c r="B5250" i="1"/>
  <c r="A5250" i="1"/>
  <c r="R5249" i="1"/>
  <c r="J5249" i="1"/>
  <c r="I5249" i="1"/>
  <c r="G5249" i="1"/>
  <c r="F5249" i="1"/>
  <c r="E5249" i="1"/>
  <c r="D5249" i="1"/>
  <c r="C5249" i="1"/>
  <c r="B5249" i="1"/>
  <c r="A5249" i="1"/>
  <c r="S5248" i="1"/>
  <c r="O5248" i="1"/>
  <c r="K5248" i="1"/>
  <c r="J5248" i="1"/>
  <c r="I5248" i="1"/>
  <c r="H5248" i="1"/>
  <c r="G5248" i="1"/>
  <c r="F5248" i="1"/>
  <c r="E5248" i="1"/>
  <c r="D5248" i="1"/>
  <c r="C5248" i="1"/>
  <c r="B5248" i="1"/>
  <c r="A5248" i="1"/>
  <c r="R5247" i="1"/>
  <c r="J5247" i="1"/>
  <c r="I5247" i="1"/>
  <c r="G5247" i="1"/>
  <c r="F5247" i="1"/>
  <c r="E5247" i="1"/>
  <c r="D5247" i="1"/>
  <c r="C5247" i="1"/>
  <c r="B5247" i="1"/>
  <c r="A5247" i="1"/>
  <c r="S5246" i="1"/>
  <c r="O5246" i="1"/>
  <c r="K5246" i="1"/>
  <c r="J5246" i="1"/>
  <c r="I5246" i="1"/>
  <c r="H5246" i="1"/>
  <c r="G5246" i="1"/>
  <c r="F5246" i="1"/>
  <c r="E5246" i="1"/>
  <c r="D5246" i="1"/>
  <c r="C5246" i="1"/>
  <c r="B5246" i="1"/>
  <c r="A5246" i="1"/>
  <c r="R5245" i="1"/>
  <c r="J5245" i="1"/>
  <c r="I5245" i="1"/>
  <c r="G5245" i="1"/>
  <c r="F5245" i="1"/>
  <c r="E5245" i="1"/>
  <c r="D5245" i="1"/>
  <c r="C5245" i="1"/>
  <c r="B5245" i="1"/>
  <c r="A5245" i="1"/>
  <c r="S5244" i="1"/>
  <c r="O5244" i="1"/>
  <c r="K5244" i="1"/>
  <c r="J5244" i="1"/>
  <c r="I5244" i="1"/>
  <c r="H5244" i="1"/>
  <c r="G5244" i="1"/>
  <c r="F5244" i="1"/>
  <c r="E5244" i="1"/>
  <c r="D5244" i="1"/>
  <c r="C5244" i="1"/>
  <c r="B5244" i="1"/>
  <c r="A5244" i="1"/>
  <c r="R5243" i="1"/>
  <c r="J5243" i="1"/>
  <c r="I5243" i="1"/>
  <c r="G5243" i="1"/>
  <c r="F5243" i="1"/>
  <c r="E5243" i="1"/>
  <c r="D5243" i="1"/>
  <c r="C5243" i="1"/>
  <c r="B5243" i="1"/>
  <c r="A5243" i="1"/>
  <c r="S5242" i="1"/>
  <c r="O5242" i="1"/>
  <c r="K5242" i="1"/>
  <c r="J5242" i="1"/>
  <c r="I5242" i="1"/>
  <c r="H5242" i="1"/>
  <c r="G5242" i="1"/>
  <c r="F5242" i="1"/>
  <c r="E5242" i="1"/>
  <c r="D5242" i="1"/>
  <c r="C5242" i="1"/>
  <c r="B5242" i="1"/>
  <c r="A5242" i="1"/>
  <c r="R5241" i="1"/>
  <c r="J5241" i="1"/>
  <c r="I5241" i="1"/>
  <c r="G5241" i="1"/>
  <c r="F5241" i="1"/>
  <c r="E5241" i="1"/>
  <c r="D5241" i="1"/>
  <c r="C5241" i="1"/>
  <c r="B5241" i="1"/>
  <c r="A5241" i="1"/>
  <c r="S5240" i="1"/>
  <c r="O5240" i="1"/>
  <c r="K5240" i="1"/>
  <c r="J5240" i="1"/>
  <c r="I5240" i="1"/>
  <c r="H5240" i="1"/>
  <c r="G5240" i="1"/>
  <c r="F5240" i="1"/>
  <c r="E5240" i="1"/>
  <c r="D5240" i="1"/>
  <c r="C5240" i="1"/>
  <c r="B5240" i="1"/>
  <c r="A5240" i="1"/>
  <c r="R5239" i="1"/>
  <c r="J5239" i="1"/>
  <c r="I5239" i="1"/>
  <c r="G5239" i="1"/>
  <c r="F5239" i="1"/>
  <c r="E5239" i="1"/>
  <c r="D5239" i="1"/>
  <c r="C5239" i="1"/>
  <c r="B5239" i="1"/>
  <c r="A5239" i="1"/>
  <c r="S5238" i="1"/>
  <c r="O5238" i="1"/>
  <c r="K5238" i="1"/>
  <c r="J5238" i="1"/>
  <c r="I5238" i="1"/>
  <c r="H5238" i="1"/>
  <c r="G5238" i="1"/>
  <c r="F5238" i="1"/>
  <c r="E5238" i="1"/>
  <c r="D5238" i="1"/>
  <c r="C5238" i="1"/>
  <c r="B5238" i="1"/>
  <c r="A5238" i="1"/>
  <c r="R5237" i="1"/>
  <c r="J5237" i="1"/>
  <c r="I5237" i="1"/>
  <c r="G5237" i="1"/>
  <c r="F5237" i="1"/>
  <c r="E5237" i="1"/>
  <c r="D5237" i="1"/>
  <c r="C5237" i="1"/>
  <c r="B5237" i="1"/>
  <c r="A5237" i="1"/>
  <c r="S5236" i="1"/>
  <c r="O5236" i="1"/>
  <c r="K5236" i="1"/>
  <c r="J5236" i="1"/>
  <c r="I5236" i="1"/>
  <c r="H5236" i="1"/>
  <c r="G5236" i="1"/>
  <c r="F5236" i="1"/>
  <c r="E5236" i="1"/>
  <c r="D5236" i="1"/>
  <c r="C5236" i="1"/>
  <c r="B5236" i="1"/>
  <c r="A5236" i="1"/>
  <c r="R5235" i="1"/>
  <c r="J5235" i="1"/>
  <c r="I5235" i="1"/>
  <c r="G5235" i="1"/>
  <c r="F5235" i="1"/>
  <c r="E5235" i="1"/>
  <c r="D5235" i="1"/>
  <c r="C5235" i="1"/>
  <c r="B5235" i="1"/>
  <c r="A5235" i="1"/>
  <c r="S5234" i="1"/>
  <c r="O5234" i="1"/>
  <c r="K5234" i="1"/>
  <c r="J5234" i="1"/>
  <c r="I5234" i="1"/>
  <c r="H5234" i="1"/>
  <c r="G5234" i="1"/>
  <c r="F5234" i="1"/>
  <c r="E5234" i="1"/>
  <c r="D5234" i="1"/>
  <c r="C5234" i="1"/>
  <c r="B5234" i="1"/>
  <c r="A5234" i="1"/>
  <c r="R5233" i="1"/>
  <c r="J5233" i="1"/>
  <c r="I5233" i="1"/>
  <c r="G5233" i="1"/>
  <c r="F5233" i="1"/>
  <c r="E5233" i="1"/>
  <c r="D5233" i="1"/>
  <c r="C5233" i="1"/>
  <c r="B5233" i="1"/>
  <c r="A5233" i="1"/>
  <c r="S5232" i="1"/>
  <c r="O5232" i="1"/>
  <c r="K5232" i="1"/>
  <c r="J5232" i="1"/>
  <c r="I5232" i="1"/>
  <c r="H5232" i="1"/>
  <c r="G5232" i="1"/>
  <c r="F5232" i="1"/>
  <c r="E5232" i="1"/>
  <c r="D5232" i="1"/>
  <c r="C5232" i="1"/>
  <c r="B5232" i="1"/>
  <c r="A5232" i="1"/>
  <c r="R5231" i="1"/>
  <c r="J5231" i="1"/>
  <c r="I5231" i="1"/>
  <c r="G5231" i="1"/>
  <c r="F5231" i="1"/>
  <c r="E5231" i="1"/>
  <c r="D5231" i="1"/>
  <c r="C5231" i="1"/>
  <c r="B5231" i="1"/>
  <c r="A5231" i="1"/>
  <c r="S5230" i="1"/>
  <c r="O5230" i="1"/>
  <c r="K5230" i="1"/>
  <c r="J5230" i="1"/>
  <c r="I5230" i="1"/>
  <c r="H5230" i="1"/>
  <c r="G5230" i="1"/>
  <c r="F5230" i="1"/>
  <c r="E5230" i="1"/>
  <c r="D5230" i="1"/>
  <c r="C5230" i="1"/>
  <c r="B5230" i="1"/>
  <c r="A5230" i="1"/>
  <c r="R5229" i="1"/>
  <c r="J5229" i="1"/>
  <c r="I5229" i="1"/>
  <c r="G5229" i="1"/>
  <c r="F5229" i="1"/>
  <c r="E5229" i="1"/>
  <c r="D5229" i="1"/>
  <c r="C5229" i="1"/>
  <c r="B5229" i="1"/>
  <c r="A5229" i="1"/>
  <c r="S5228" i="1"/>
  <c r="O5228" i="1"/>
  <c r="K5228" i="1"/>
  <c r="J5228" i="1"/>
  <c r="I5228" i="1"/>
  <c r="H5228" i="1"/>
  <c r="G5228" i="1"/>
  <c r="F5228" i="1"/>
  <c r="E5228" i="1"/>
  <c r="D5228" i="1"/>
  <c r="C5228" i="1"/>
  <c r="B5228" i="1"/>
  <c r="A5228" i="1"/>
  <c r="R5227" i="1"/>
  <c r="J5227" i="1"/>
  <c r="I5227" i="1"/>
  <c r="G5227" i="1"/>
  <c r="F5227" i="1"/>
  <c r="E5227" i="1"/>
  <c r="D5227" i="1"/>
  <c r="C5227" i="1"/>
  <c r="B5227" i="1"/>
  <c r="A5227" i="1"/>
  <c r="S5226" i="1"/>
  <c r="O5226" i="1"/>
  <c r="K5226" i="1"/>
  <c r="J5226" i="1"/>
  <c r="I5226" i="1"/>
  <c r="H5226" i="1"/>
  <c r="G5226" i="1"/>
  <c r="F5226" i="1"/>
  <c r="E5226" i="1"/>
  <c r="D5226" i="1"/>
  <c r="C5226" i="1"/>
  <c r="B5226" i="1"/>
  <c r="A5226" i="1"/>
  <c r="R5225" i="1"/>
  <c r="J5225" i="1"/>
  <c r="I5225" i="1"/>
  <c r="G5225" i="1"/>
  <c r="F5225" i="1"/>
  <c r="E5225" i="1"/>
  <c r="D5225" i="1"/>
  <c r="C5225" i="1"/>
  <c r="B5225" i="1"/>
  <c r="A5225" i="1"/>
  <c r="S5224" i="1"/>
  <c r="O5224" i="1"/>
  <c r="K5224" i="1"/>
  <c r="J5224" i="1"/>
  <c r="I5224" i="1"/>
  <c r="H5224" i="1"/>
  <c r="G5224" i="1"/>
  <c r="F5224" i="1"/>
  <c r="E5224" i="1"/>
  <c r="D5224" i="1"/>
  <c r="C5224" i="1"/>
  <c r="B5224" i="1"/>
  <c r="A5224" i="1"/>
  <c r="R5223" i="1"/>
  <c r="J5223" i="1"/>
  <c r="I5223" i="1"/>
  <c r="G5223" i="1"/>
  <c r="F5223" i="1"/>
  <c r="E5223" i="1"/>
  <c r="D5223" i="1"/>
  <c r="C5223" i="1"/>
  <c r="B5223" i="1"/>
  <c r="A5223" i="1"/>
  <c r="S5222" i="1"/>
  <c r="O5222" i="1"/>
  <c r="K5222" i="1"/>
  <c r="J5222" i="1"/>
  <c r="I5222" i="1"/>
  <c r="H5222" i="1"/>
  <c r="G5222" i="1"/>
  <c r="F5222" i="1"/>
  <c r="E5222" i="1"/>
  <c r="D5222" i="1"/>
  <c r="C5222" i="1"/>
  <c r="B5222" i="1"/>
  <c r="A5222" i="1"/>
  <c r="R5221" i="1"/>
  <c r="J5221" i="1"/>
  <c r="I5221" i="1"/>
  <c r="G5221" i="1"/>
  <c r="F5221" i="1"/>
  <c r="E5221" i="1"/>
  <c r="D5221" i="1"/>
  <c r="C5221" i="1"/>
  <c r="B5221" i="1"/>
  <c r="A5221" i="1"/>
  <c r="S5220" i="1"/>
  <c r="O5220" i="1"/>
  <c r="K5220" i="1"/>
  <c r="J5220" i="1"/>
  <c r="I5220" i="1"/>
  <c r="H5220" i="1"/>
  <c r="G5220" i="1"/>
  <c r="F5220" i="1"/>
  <c r="E5220" i="1"/>
  <c r="D5220" i="1"/>
  <c r="C5220" i="1"/>
  <c r="B5220" i="1"/>
  <c r="A5220" i="1"/>
  <c r="R5219" i="1"/>
  <c r="J5219" i="1"/>
  <c r="I5219" i="1"/>
  <c r="G5219" i="1"/>
  <c r="F5219" i="1"/>
  <c r="E5219" i="1"/>
  <c r="D5219" i="1"/>
  <c r="C5219" i="1"/>
  <c r="B5219" i="1"/>
  <c r="A5219" i="1"/>
  <c r="S5218" i="1"/>
  <c r="O5218" i="1"/>
  <c r="K5218" i="1"/>
  <c r="J5218" i="1"/>
  <c r="I5218" i="1"/>
  <c r="H5218" i="1"/>
  <c r="G5218" i="1"/>
  <c r="F5218" i="1"/>
  <c r="E5218" i="1"/>
  <c r="D5218" i="1"/>
  <c r="C5218" i="1"/>
  <c r="B5218" i="1"/>
  <c r="A5218" i="1"/>
  <c r="R5217" i="1"/>
  <c r="J5217" i="1"/>
  <c r="I5217" i="1"/>
  <c r="G5217" i="1"/>
  <c r="F5217" i="1"/>
  <c r="E5217" i="1"/>
  <c r="D5217" i="1"/>
  <c r="C5217" i="1"/>
  <c r="B5217" i="1"/>
  <c r="A5217" i="1"/>
  <c r="S5216" i="1"/>
  <c r="O5216" i="1"/>
  <c r="K5216" i="1"/>
  <c r="J5216" i="1"/>
  <c r="I5216" i="1"/>
  <c r="H5216" i="1"/>
  <c r="G5216" i="1"/>
  <c r="F5216" i="1"/>
  <c r="E5216" i="1"/>
  <c r="D5216" i="1"/>
  <c r="C5216" i="1"/>
  <c r="B5216" i="1"/>
  <c r="A5216" i="1"/>
  <c r="R5215" i="1"/>
  <c r="J5215" i="1"/>
  <c r="I5215" i="1"/>
  <c r="G5215" i="1"/>
  <c r="F5215" i="1"/>
  <c r="E5215" i="1"/>
  <c r="D5215" i="1"/>
  <c r="C5215" i="1"/>
  <c r="B5215" i="1"/>
  <c r="A5215" i="1"/>
  <c r="S5214" i="1"/>
  <c r="O5214" i="1"/>
  <c r="K5214" i="1"/>
  <c r="J5214" i="1"/>
  <c r="I5214" i="1"/>
  <c r="H5214" i="1"/>
  <c r="G5214" i="1"/>
  <c r="F5214" i="1"/>
  <c r="E5214" i="1"/>
  <c r="D5214" i="1"/>
  <c r="C5214" i="1"/>
  <c r="B5214" i="1"/>
  <c r="A5214" i="1"/>
  <c r="R5213" i="1"/>
  <c r="J5213" i="1"/>
  <c r="I5213" i="1"/>
  <c r="G5213" i="1"/>
  <c r="F5213" i="1"/>
  <c r="E5213" i="1"/>
  <c r="D5213" i="1"/>
  <c r="C5213" i="1"/>
  <c r="B5213" i="1"/>
  <c r="A5213" i="1"/>
  <c r="S5212" i="1"/>
  <c r="O5212" i="1"/>
  <c r="K5212" i="1"/>
  <c r="J5212" i="1"/>
  <c r="I5212" i="1"/>
  <c r="H5212" i="1"/>
  <c r="G5212" i="1"/>
  <c r="F5212" i="1"/>
  <c r="E5212" i="1"/>
  <c r="D5212" i="1"/>
  <c r="C5212" i="1"/>
  <c r="B5212" i="1"/>
  <c r="A5212" i="1"/>
  <c r="R5211" i="1"/>
  <c r="J5211" i="1"/>
  <c r="I5211" i="1"/>
  <c r="G5211" i="1"/>
  <c r="F5211" i="1"/>
  <c r="E5211" i="1"/>
  <c r="D5211" i="1"/>
  <c r="C5211" i="1"/>
  <c r="B5211" i="1"/>
  <c r="A5211" i="1"/>
  <c r="S5210" i="1"/>
  <c r="O5210" i="1"/>
  <c r="K5210" i="1"/>
  <c r="J5210" i="1"/>
  <c r="I5210" i="1"/>
  <c r="H5210" i="1"/>
  <c r="G5210" i="1"/>
  <c r="F5210" i="1"/>
  <c r="E5210" i="1"/>
  <c r="D5210" i="1"/>
  <c r="C5210" i="1"/>
  <c r="B5210" i="1"/>
  <c r="A5210" i="1"/>
  <c r="R5209" i="1"/>
  <c r="J5209" i="1"/>
  <c r="I5209" i="1"/>
  <c r="G5209" i="1"/>
  <c r="F5209" i="1"/>
  <c r="E5209" i="1"/>
  <c r="D5209" i="1"/>
  <c r="C5209" i="1"/>
  <c r="B5209" i="1"/>
  <c r="A5209" i="1"/>
  <c r="S5208" i="1"/>
  <c r="O5208" i="1"/>
  <c r="K5208" i="1"/>
  <c r="J5208" i="1"/>
  <c r="I5208" i="1"/>
  <c r="H5208" i="1"/>
  <c r="G5208" i="1"/>
  <c r="F5208" i="1"/>
  <c r="E5208" i="1"/>
  <c r="D5208" i="1"/>
  <c r="C5208" i="1"/>
  <c r="B5208" i="1"/>
  <c r="A5208" i="1"/>
  <c r="R5207" i="1"/>
  <c r="J5207" i="1"/>
  <c r="I5207" i="1"/>
  <c r="G5207" i="1"/>
  <c r="F5207" i="1"/>
  <c r="E5207" i="1"/>
  <c r="D5207" i="1"/>
  <c r="C5207" i="1"/>
  <c r="B5207" i="1"/>
  <c r="A5207" i="1"/>
  <c r="S5206" i="1"/>
  <c r="O5206" i="1"/>
  <c r="K5206" i="1"/>
  <c r="J5206" i="1"/>
  <c r="I5206" i="1"/>
  <c r="H5206" i="1"/>
  <c r="G5206" i="1"/>
  <c r="F5206" i="1"/>
  <c r="E5206" i="1"/>
  <c r="D5206" i="1"/>
  <c r="C5206" i="1"/>
  <c r="B5206" i="1"/>
  <c r="A5206" i="1"/>
  <c r="R5205" i="1"/>
  <c r="J5205" i="1"/>
  <c r="I5205" i="1"/>
  <c r="G5205" i="1"/>
  <c r="F5205" i="1"/>
  <c r="E5205" i="1"/>
  <c r="D5205" i="1"/>
  <c r="C5205" i="1"/>
  <c r="B5205" i="1"/>
  <c r="A5205" i="1"/>
  <c r="S5204" i="1"/>
  <c r="O5204" i="1"/>
  <c r="K5204" i="1"/>
  <c r="J5204" i="1"/>
  <c r="I5204" i="1"/>
  <c r="H5204" i="1"/>
  <c r="G5204" i="1"/>
  <c r="F5204" i="1"/>
  <c r="E5204" i="1"/>
  <c r="D5204" i="1"/>
  <c r="C5204" i="1"/>
  <c r="B5204" i="1"/>
  <c r="A5204" i="1"/>
  <c r="R5203" i="1"/>
  <c r="J5203" i="1"/>
  <c r="I5203" i="1"/>
  <c r="G5203" i="1"/>
  <c r="F5203" i="1"/>
  <c r="E5203" i="1"/>
  <c r="D5203" i="1"/>
  <c r="C5203" i="1"/>
  <c r="B5203" i="1"/>
  <c r="A5203" i="1"/>
  <c r="S5202" i="1"/>
  <c r="O5202" i="1"/>
  <c r="K5202" i="1"/>
  <c r="J5202" i="1"/>
  <c r="I5202" i="1"/>
  <c r="H5202" i="1"/>
  <c r="G5202" i="1"/>
  <c r="F5202" i="1"/>
  <c r="E5202" i="1"/>
  <c r="D5202" i="1"/>
  <c r="C5202" i="1"/>
  <c r="B5202" i="1"/>
  <c r="A5202" i="1"/>
  <c r="R5201" i="1"/>
  <c r="J5201" i="1"/>
  <c r="I5201" i="1"/>
  <c r="G5201" i="1"/>
  <c r="F5201" i="1"/>
  <c r="E5201" i="1"/>
  <c r="D5201" i="1"/>
  <c r="C5201" i="1"/>
  <c r="B5201" i="1"/>
  <c r="A5201" i="1"/>
  <c r="S5200" i="1"/>
  <c r="O5200" i="1"/>
  <c r="K5200" i="1"/>
  <c r="J5200" i="1"/>
  <c r="I5200" i="1"/>
  <c r="H5200" i="1"/>
  <c r="G5200" i="1"/>
  <c r="F5200" i="1"/>
  <c r="E5200" i="1"/>
  <c r="D5200" i="1"/>
  <c r="C5200" i="1"/>
  <c r="B5200" i="1"/>
  <c r="A5200" i="1"/>
  <c r="R5199" i="1"/>
  <c r="J5199" i="1"/>
  <c r="I5199" i="1"/>
  <c r="G5199" i="1"/>
  <c r="F5199" i="1"/>
  <c r="E5199" i="1"/>
  <c r="D5199" i="1"/>
  <c r="C5199" i="1"/>
  <c r="B5199" i="1"/>
  <c r="A5199" i="1"/>
  <c r="S5198" i="1"/>
  <c r="O5198" i="1"/>
  <c r="K5198" i="1"/>
  <c r="J5198" i="1"/>
  <c r="I5198" i="1"/>
  <c r="H5198" i="1"/>
  <c r="G5198" i="1"/>
  <c r="F5198" i="1"/>
  <c r="E5198" i="1"/>
  <c r="D5198" i="1"/>
  <c r="C5198" i="1"/>
  <c r="B5198" i="1"/>
  <c r="A5198" i="1"/>
  <c r="R5197" i="1"/>
  <c r="J5197" i="1"/>
  <c r="I5197" i="1"/>
  <c r="G5197" i="1"/>
  <c r="F5197" i="1"/>
  <c r="E5197" i="1"/>
  <c r="D5197" i="1"/>
  <c r="C5197" i="1"/>
  <c r="B5197" i="1"/>
  <c r="A5197" i="1"/>
  <c r="S5196" i="1"/>
  <c r="O5196" i="1"/>
  <c r="K5196" i="1"/>
  <c r="J5196" i="1"/>
  <c r="I5196" i="1"/>
  <c r="H5196" i="1"/>
  <c r="G5196" i="1"/>
  <c r="F5196" i="1"/>
  <c r="E5196" i="1"/>
  <c r="D5196" i="1"/>
  <c r="C5196" i="1"/>
  <c r="B5196" i="1"/>
  <c r="A5196" i="1"/>
  <c r="R5195" i="1"/>
  <c r="J5195" i="1"/>
  <c r="I5195" i="1"/>
  <c r="G5195" i="1"/>
  <c r="F5195" i="1"/>
  <c r="E5195" i="1"/>
  <c r="D5195" i="1"/>
  <c r="C5195" i="1"/>
  <c r="B5195" i="1"/>
  <c r="A5195" i="1"/>
  <c r="S5194" i="1"/>
  <c r="O5194" i="1"/>
  <c r="K5194" i="1"/>
  <c r="J5194" i="1"/>
  <c r="I5194" i="1"/>
  <c r="H5194" i="1"/>
  <c r="G5194" i="1"/>
  <c r="F5194" i="1"/>
  <c r="E5194" i="1"/>
  <c r="D5194" i="1"/>
  <c r="C5194" i="1"/>
  <c r="B5194" i="1"/>
  <c r="A5194" i="1"/>
  <c r="R5193" i="1"/>
  <c r="J5193" i="1"/>
  <c r="I5193" i="1"/>
  <c r="G5193" i="1"/>
  <c r="F5193" i="1"/>
  <c r="E5193" i="1"/>
  <c r="D5193" i="1"/>
  <c r="C5193" i="1"/>
  <c r="B5193" i="1"/>
  <c r="A5193" i="1"/>
  <c r="S5192" i="1"/>
  <c r="O5192" i="1"/>
  <c r="K5192" i="1"/>
  <c r="J5192" i="1"/>
  <c r="I5192" i="1"/>
  <c r="H5192" i="1"/>
  <c r="G5192" i="1"/>
  <c r="F5192" i="1"/>
  <c r="E5192" i="1"/>
  <c r="D5192" i="1"/>
  <c r="C5192" i="1"/>
  <c r="B5192" i="1"/>
  <c r="A5192" i="1"/>
  <c r="R5191" i="1"/>
  <c r="J5191" i="1"/>
  <c r="I5191" i="1"/>
  <c r="G5191" i="1"/>
  <c r="F5191" i="1"/>
  <c r="E5191" i="1"/>
  <c r="D5191" i="1"/>
  <c r="C5191" i="1"/>
  <c r="B5191" i="1"/>
  <c r="A5191" i="1"/>
  <c r="S5190" i="1"/>
  <c r="O5190" i="1"/>
  <c r="K5190" i="1"/>
  <c r="J5190" i="1"/>
  <c r="I5190" i="1"/>
  <c r="H5190" i="1"/>
  <c r="G5190" i="1"/>
  <c r="F5190" i="1"/>
  <c r="E5190" i="1"/>
  <c r="D5190" i="1"/>
  <c r="C5190" i="1"/>
  <c r="B5190" i="1"/>
  <c r="A5190" i="1"/>
  <c r="R5189" i="1"/>
  <c r="J5189" i="1"/>
  <c r="I5189" i="1"/>
  <c r="G5189" i="1"/>
  <c r="F5189" i="1"/>
  <c r="E5189" i="1"/>
  <c r="D5189" i="1"/>
  <c r="C5189" i="1"/>
  <c r="B5189" i="1"/>
  <c r="A5189" i="1"/>
  <c r="S5188" i="1"/>
  <c r="O5188" i="1"/>
  <c r="K5188" i="1"/>
  <c r="J5188" i="1"/>
  <c r="I5188" i="1"/>
  <c r="H5188" i="1"/>
  <c r="G5188" i="1"/>
  <c r="F5188" i="1"/>
  <c r="E5188" i="1"/>
  <c r="D5188" i="1"/>
  <c r="C5188" i="1"/>
  <c r="B5188" i="1"/>
  <c r="A5188" i="1"/>
  <c r="R5187" i="1"/>
  <c r="J5187" i="1"/>
  <c r="I5187" i="1"/>
  <c r="G5187" i="1"/>
  <c r="F5187" i="1"/>
  <c r="E5187" i="1"/>
  <c r="D5187" i="1"/>
  <c r="C5187" i="1"/>
  <c r="B5187" i="1"/>
  <c r="A5187" i="1"/>
  <c r="S5186" i="1"/>
  <c r="O5186" i="1"/>
  <c r="K5186" i="1"/>
  <c r="J5186" i="1"/>
  <c r="I5186" i="1"/>
  <c r="H5186" i="1"/>
  <c r="G5186" i="1"/>
  <c r="F5186" i="1"/>
  <c r="E5186" i="1"/>
  <c r="D5186" i="1"/>
  <c r="C5186" i="1"/>
  <c r="B5186" i="1"/>
  <c r="A5186" i="1"/>
  <c r="R5185" i="1"/>
  <c r="J5185" i="1"/>
  <c r="I5185" i="1"/>
  <c r="G5185" i="1"/>
  <c r="F5185" i="1"/>
  <c r="E5185" i="1"/>
  <c r="D5185" i="1"/>
  <c r="C5185" i="1"/>
  <c r="B5185" i="1"/>
  <c r="A5185" i="1"/>
  <c r="S5184" i="1"/>
  <c r="O5184" i="1"/>
  <c r="K5184" i="1"/>
  <c r="J5184" i="1"/>
  <c r="I5184" i="1"/>
  <c r="H5184" i="1"/>
  <c r="G5184" i="1"/>
  <c r="F5184" i="1"/>
  <c r="E5184" i="1"/>
  <c r="D5184" i="1"/>
  <c r="C5184" i="1"/>
  <c r="B5184" i="1"/>
  <c r="A5184" i="1"/>
  <c r="R5183" i="1"/>
  <c r="J5183" i="1"/>
  <c r="I5183" i="1"/>
  <c r="G5183" i="1"/>
  <c r="F5183" i="1"/>
  <c r="E5183" i="1"/>
  <c r="D5183" i="1"/>
  <c r="C5183" i="1"/>
  <c r="B5183" i="1"/>
  <c r="A5183" i="1"/>
  <c r="S5182" i="1"/>
  <c r="O5182" i="1"/>
  <c r="K5182" i="1"/>
  <c r="J5182" i="1"/>
  <c r="I5182" i="1"/>
  <c r="H5182" i="1"/>
  <c r="G5182" i="1"/>
  <c r="F5182" i="1"/>
  <c r="E5182" i="1"/>
  <c r="D5182" i="1"/>
  <c r="C5182" i="1"/>
  <c r="B5182" i="1"/>
  <c r="A5182" i="1"/>
  <c r="R5181" i="1"/>
  <c r="J5181" i="1"/>
  <c r="I5181" i="1"/>
  <c r="G5181" i="1"/>
  <c r="F5181" i="1"/>
  <c r="E5181" i="1"/>
  <c r="D5181" i="1"/>
  <c r="C5181" i="1"/>
  <c r="B5181" i="1"/>
  <c r="A5181" i="1"/>
  <c r="S5180" i="1"/>
  <c r="O5180" i="1"/>
  <c r="K5180" i="1"/>
  <c r="J5180" i="1"/>
  <c r="I5180" i="1"/>
  <c r="H5180" i="1"/>
  <c r="G5180" i="1"/>
  <c r="F5180" i="1"/>
  <c r="E5180" i="1"/>
  <c r="D5180" i="1"/>
  <c r="C5180" i="1"/>
  <c r="B5180" i="1"/>
  <c r="A5180" i="1"/>
  <c r="R5179" i="1"/>
  <c r="J5179" i="1"/>
  <c r="I5179" i="1"/>
  <c r="G5179" i="1"/>
  <c r="F5179" i="1"/>
  <c r="E5179" i="1"/>
  <c r="D5179" i="1"/>
  <c r="C5179" i="1"/>
  <c r="B5179" i="1"/>
  <c r="A5179" i="1"/>
  <c r="S5178" i="1"/>
  <c r="O5178" i="1"/>
  <c r="K5178" i="1"/>
  <c r="J5178" i="1"/>
  <c r="I5178" i="1"/>
  <c r="H5178" i="1"/>
  <c r="G5178" i="1"/>
  <c r="F5178" i="1"/>
  <c r="E5178" i="1"/>
  <c r="D5178" i="1"/>
  <c r="C5178" i="1"/>
  <c r="B5178" i="1"/>
  <c r="A5178" i="1"/>
  <c r="R5177" i="1"/>
  <c r="J5177" i="1"/>
  <c r="I5177" i="1"/>
  <c r="G5177" i="1"/>
  <c r="F5177" i="1"/>
  <c r="E5177" i="1"/>
  <c r="D5177" i="1"/>
  <c r="C5177" i="1"/>
  <c r="B5177" i="1"/>
  <c r="A5177" i="1"/>
  <c r="S5176" i="1"/>
  <c r="O5176" i="1"/>
  <c r="K5176" i="1"/>
  <c r="J5176" i="1"/>
  <c r="I5176" i="1"/>
  <c r="H5176" i="1"/>
  <c r="G5176" i="1"/>
  <c r="F5176" i="1"/>
  <c r="E5176" i="1"/>
  <c r="D5176" i="1"/>
  <c r="C5176" i="1"/>
  <c r="B5176" i="1"/>
  <c r="A5176" i="1"/>
  <c r="R5175" i="1"/>
  <c r="J5175" i="1"/>
  <c r="I5175" i="1"/>
  <c r="G5175" i="1"/>
  <c r="F5175" i="1"/>
  <c r="E5175" i="1"/>
  <c r="D5175" i="1"/>
  <c r="C5175" i="1"/>
  <c r="B5175" i="1"/>
  <c r="A5175" i="1"/>
  <c r="S5174" i="1"/>
  <c r="O5174" i="1"/>
  <c r="K5174" i="1"/>
  <c r="J5174" i="1"/>
  <c r="I5174" i="1"/>
  <c r="H5174" i="1"/>
  <c r="G5174" i="1"/>
  <c r="F5174" i="1"/>
  <c r="E5174" i="1"/>
  <c r="D5174" i="1"/>
  <c r="C5174" i="1"/>
  <c r="B5174" i="1"/>
  <c r="A5174" i="1"/>
  <c r="R5173" i="1"/>
  <c r="J5173" i="1"/>
  <c r="I5173" i="1"/>
  <c r="G5173" i="1"/>
  <c r="F5173" i="1"/>
  <c r="E5173" i="1"/>
  <c r="D5173" i="1"/>
  <c r="C5173" i="1"/>
  <c r="B5173" i="1"/>
  <c r="A5173" i="1"/>
  <c r="S5172" i="1"/>
  <c r="O5172" i="1"/>
  <c r="K5172" i="1"/>
  <c r="J5172" i="1"/>
  <c r="I5172" i="1"/>
  <c r="H5172" i="1"/>
  <c r="G5172" i="1"/>
  <c r="F5172" i="1"/>
  <c r="E5172" i="1"/>
  <c r="D5172" i="1"/>
  <c r="C5172" i="1"/>
  <c r="B5172" i="1"/>
  <c r="A5172" i="1"/>
  <c r="R5171" i="1"/>
  <c r="J5171" i="1"/>
  <c r="I5171" i="1"/>
  <c r="G5171" i="1"/>
  <c r="F5171" i="1"/>
  <c r="E5171" i="1"/>
  <c r="D5171" i="1"/>
  <c r="C5171" i="1"/>
  <c r="B5171" i="1"/>
  <c r="A5171" i="1"/>
  <c r="S5170" i="1"/>
  <c r="O5170" i="1"/>
  <c r="K5170" i="1"/>
  <c r="J5170" i="1"/>
  <c r="I5170" i="1"/>
  <c r="H5170" i="1"/>
  <c r="G5170" i="1"/>
  <c r="F5170" i="1"/>
  <c r="E5170" i="1"/>
  <c r="D5170" i="1"/>
  <c r="C5170" i="1"/>
  <c r="B5170" i="1"/>
  <c r="A5170" i="1"/>
  <c r="R5169" i="1"/>
  <c r="J5169" i="1"/>
  <c r="I5169" i="1"/>
  <c r="G5169" i="1"/>
  <c r="F5169" i="1"/>
  <c r="E5169" i="1"/>
  <c r="D5169" i="1"/>
  <c r="C5169" i="1"/>
  <c r="B5169" i="1"/>
  <c r="A5169" i="1"/>
  <c r="S5168" i="1"/>
  <c r="O5168" i="1"/>
  <c r="K5168" i="1"/>
  <c r="J5168" i="1"/>
  <c r="I5168" i="1"/>
  <c r="H5168" i="1"/>
  <c r="G5168" i="1"/>
  <c r="F5168" i="1"/>
  <c r="E5168" i="1"/>
  <c r="D5168" i="1"/>
  <c r="C5168" i="1"/>
  <c r="B5168" i="1"/>
  <c r="A5168" i="1"/>
  <c r="R5167" i="1"/>
  <c r="J5167" i="1"/>
  <c r="I5167" i="1"/>
  <c r="G5167" i="1"/>
  <c r="F5167" i="1"/>
  <c r="E5167" i="1"/>
  <c r="D5167" i="1"/>
  <c r="C5167" i="1"/>
  <c r="B5167" i="1"/>
  <c r="A5167" i="1"/>
  <c r="S5166" i="1"/>
  <c r="O5166" i="1"/>
  <c r="K5166" i="1"/>
  <c r="J5166" i="1"/>
  <c r="I5166" i="1"/>
  <c r="H5166" i="1"/>
  <c r="G5166" i="1"/>
  <c r="F5166" i="1"/>
  <c r="E5166" i="1"/>
  <c r="D5166" i="1"/>
  <c r="C5166" i="1"/>
  <c r="B5166" i="1"/>
  <c r="A5166" i="1"/>
  <c r="R5165" i="1"/>
  <c r="J5165" i="1"/>
  <c r="I5165" i="1"/>
  <c r="G5165" i="1"/>
  <c r="F5165" i="1"/>
  <c r="E5165" i="1"/>
  <c r="D5165" i="1"/>
  <c r="C5165" i="1"/>
  <c r="B5165" i="1"/>
  <c r="A5165" i="1"/>
  <c r="S5164" i="1"/>
  <c r="O5164" i="1"/>
  <c r="K5164" i="1"/>
  <c r="J5164" i="1"/>
  <c r="I5164" i="1"/>
  <c r="H5164" i="1"/>
  <c r="G5164" i="1"/>
  <c r="F5164" i="1"/>
  <c r="E5164" i="1"/>
  <c r="D5164" i="1"/>
  <c r="C5164" i="1"/>
  <c r="B5164" i="1"/>
  <c r="A5164" i="1"/>
  <c r="R5163" i="1"/>
  <c r="J5163" i="1"/>
  <c r="I5163" i="1"/>
  <c r="G5163" i="1"/>
  <c r="F5163" i="1"/>
  <c r="E5163" i="1"/>
  <c r="D5163" i="1"/>
  <c r="C5163" i="1"/>
  <c r="B5163" i="1"/>
  <c r="A5163" i="1"/>
  <c r="S5162" i="1"/>
  <c r="O5162" i="1"/>
  <c r="K5162" i="1"/>
  <c r="J5162" i="1"/>
  <c r="I5162" i="1"/>
  <c r="H5162" i="1"/>
  <c r="G5162" i="1"/>
  <c r="F5162" i="1"/>
  <c r="E5162" i="1"/>
  <c r="D5162" i="1"/>
  <c r="C5162" i="1"/>
  <c r="B5162" i="1"/>
  <c r="A5162" i="1"/>
  <c r="R5161" i="1"/>
  <c r="J5161" i="1"/>
  <c r="I5161" i="1"/>
  <c r="G5161" i="1"/>
  <c r="F5161" i="1"/>
  <c r="E5161" i="1"/>
  <c r="D5161" i="1"/>
  <c r="C5161" i="1"/>
  <c r="B5161" i="1"/>
  <c r="A5161" i="1"/>
  <c r="S5160" i="1"/>
  <c r="O5160" i="1"/>
  <c r="K5160" i="1"/>
  <c r="J5160" i="1"/>
  <c r="I5160" i="1"/>
  <c r="H5160" i="1"/>
  <c r="G5160" i="1"/>
  <c r="F5160" i="1"/>
  <c r="E5160" i="1"/>
  <c r="D5160" i="1"/>
  <c r="C5160" i="1"/>
  <c r="B5160" i="1"/>
  <c r="A5160" i="1"/>
  <c r="R5159" i="1"/>
  <c r="J5159" i="1"/>
  <c r="I5159" i="1"/>
  <c r="G5159" i="1"/>
  <c r="F5159" i="1"/>
  <c r="E5159" i="1"/>
  <c r="D5159" i="1"/>
  <c r="C5159" i="1"/>
  <c r="B5159" i="1"/>
  <c r="A5159" i="1"/>
  <c r="S5158" i="1"/>
  <c r="O5158" i="1"/>
  <c r="K5158" i="1"/>
  <c r="J5158" i="1"/>
  <c r="I5158" i="1"/>
  <c r="H5158" i="1"/>
  <c r="G5158" i="1"/>
  <c r="F5158" i="1"/>
  <c r="E5158" i="1"/>
  <c r="D5158" i="1"/>
  <c r="C5158" i="1"/>
  <c r="B5158" i="1"/>
  <c r="A5158" i="1"/>
  <c r="R5157" i="1"/>
  <c r="J5157" i="1"/>
  <c r="I5157" i="1"/>
  <c r="G5157" i="1"/>
  <c r="F5157" i="1"/>
  <c r="E5157" i="1"/>
  <c r="D5157" i="1"/>
  <c r="C5157" i="1"/>
  <c r="B5157" i="1"/>
  <c r="A5157" i="1"/>
  <c r="S5156" i="1"/>
  <c r="O5156" i="1"/>
  <c r="K5156" i="1"/>
  <c r="J5156" i="1"/>
  <c r="I5156" i="1"/>
  <c r="H5156" i="1"/>
  <c r="G5156" i="1"/>
  <c r="F5156" i="1"/>
  <c r="E5156" i="1"/>
  <c r="D5156" i="1"/>
  <c r="C5156" i="1"/>
  <c r="B5156" i="1"/>
  <c r="A5156" i="1"/>
  <c r="R5155" i="1"/>
  <c r="J5155" i="1"/>
  <c r="I5155" i="1"/>
  <c r="G5155" i="1"/>
  <c r="F5155" i="1"/>
  <c r="E5155" i="1"/>
  <c r="D5155" i="1"/>
  <c r="C5155" i="1"/>
  <c r="B5155" i="1"/>
  <c r="A5155" i="1"/>
  <c r="S5154" i="1"/>
  <c r="O5154" i="1"/>
  <c r="K5154" i="1"/>
  <c r="J5154" i="1"/>
  <c r="I5154" i="1"/>
  <c r="H5154" i="1"/>
  <c r="G5154" i="1"/>
  <c r="F5154" i="1"/>
  <c r="E5154" i="1"/>
  <c r="D5154" i="1"/>
  <c r="C5154" i="1"/>
  <c r="B5154" i="1"/>
  <c r="A5154" i="1"/>
  <c r="R5153" i="1"/>
  <c r="J5153" i="1"/>
  <c r="I5153" i="1"/>
  <c r="G5153" i="1"/>
  <c r="F5153" i="1"/>
  <c r="E5153" i="1"/>
  <c r="D5153" i="1"/>
  <c r="C5153" i="1"/>
  <c r="B5153" i="1"/>
  <c r="A5153" i="1"/>
  <c r="S5152" i="1"/>
  <c r="O5152" i="1"/>
  <c r="K5152" i="1"/>
  <c r="J5152" i="1"/>
  <c r="I5152" i="1"/>
  <c r="H5152" i="1"/>
  <c r="G5152" i="1"/>
  <c r="F5152" i="1"/>
  <c r="E5152" i="1"/>
  <c r="D5152" i="1"/>
  <c r="C5152" i="1"/>
  <c r="B5152" i="1"/>
  <c r="A5152" i="1"/>
  <c r="R5151" i="1"/>
  <c r="J5151" i="1"/>
  <c r="I5151" i="1"/>
  <c r="G5151" i="1"/>
  <c r="F5151" i="1"/>
  <c r="E5151" i="1"/>
  <c r="D5151" i="1"/>
  <c r="C5151" i="1"/>
  <c r="B5151" i="1"/>
  <c r="A5151" i="1"/>
  <c r="S5150" i="1"/>
  <c r="O5150" i="1"/>
  <c r="K5150" i="1"/>
  <c r="J5150" i="1"/>
  <c r="I5150" i="1"/>
  <c r="H5150" i="1"/>
  <c r="G5150" i="1"/>
  <c r="F5150" i="1"/>
  <c r="E5150" i="1"/>
  <c r="D5150" i="1"/>
  <c r="C5150" i="1"/>
  <c r="B5150" i="1"/>
  <c r="A5150" i="1"/>
  <c r="R5149" i="1"/>
  <c r="J5149" i="1"/>
  <c r="I5149" i="1"/>
  <c r="G5149" i="1"/>
  <c r="F5149" i="1"/>
  <c r="E5149" i="1"/>
  <c r="D5149" i="1"/>
  <c r="C5149" i="1"/>
  <c r="B5149" i="1"/>
  <c r="A5149" i="1"/>
  <c r="S5148" i="1"/>
  <c r="O5148" i="1"/>
  <c r="K5148" i="1"/>
  <c r="J5148" i="1"/>
  <c r="I5148" i="1"/>
  <c r="H5148" i="1"/>
  <c r="G5148" i="1"/>
  <c r="F5148" i="1"/>
  <c r="E5148" i="1"/>
  <c r="D5148" i="1"/>
  <c r="C5148" i="1"/>
  <c r="B5148" i="1"/>
  <c r="A5148" i="1"/>
  <c r="R5147" i="1"/>
  <c r="J5147" i="1"/>
  <c r="I5147" i="1"/>
  <c r="G5147" i="1"/>
  <c r="F5147" i="1"/>
  <c r="E5147" i="1"/>
  <c r="D5147" i="1"/>
  <c r="C5147" i="1"/>
  <c r="B5147" i="1"/>
  <c r="A5147" i="1"/>
  <c r="S5146" i="1"/>
  <c r="O5146" i="1"/>
  <c r="K5146" i="1"/>
  <c r="J5146" i="1"/>
  <c r="I5146" i="1"/>
  <c r="H5146" i="1"/>
  <c r="G5146" i="1"/>
  <c r="F5146" i="1"/>
  <c r="E5146" i="1"/>
  <c r="D5146" i="1"/>
  <c r="C5146" i="1"/>
  <c r="B5146" i="1"/>
  <c r="A5146" i="1"/>
  <c r="R5145" i="1"/>
  <c r="J5145" i="1"/>
  <c r="I5145" i="1"/>
  <c r="G5145" i="1"/>
  <c r="F5145" i="1"/>
  <c r="E5145" i="1"/>
  <c r="D5145" i="1"/>
  <c r="C5145" i="1"/>
  <c r="B5145" i="1"/>
  <c r="A5145" i="1"/>
  <c r="S5144" i="1"/>
  <c r="O5144" i="1"/>
  <c r="K5144" i="1"/>
  <c r="J5144" i="1"/>
  <c r="I5144" i="1"/>
  <c r="H5144" i="1"/>
  <c r="G5144" i="1"/>
  <c r="F5144" i="1"/>
  <c r="E5144" i="1"/>
  <c r="D5144" i="1"/>
  <c r="C5144" i="1"/>
  <c r="B5144" i="1"/>
  <c r="A5144" i="1"/>
  <c r="R5143" i="1"/>
  <c r="J5143" i="1"/>
  <c r="I5143" i="1"/>
  <c r="G5143" i="1"/>
  <c r="F5143" i="1"/>
  <c r="E5143" i="1"/>
  <c r="D5143" i="1"/>
  <c r="C5143" i="1"/>
  <c r="B5143" i="1"/>
  <c r="A5143" i="1"/>
  <c r="S5142" i="1"/>
  <c r="O5142" i="1"/>
  <c r="K5142" i="1"/>
  <c r="J5142" i="1"/>
  <c r="I5142" i="1"/>
  <c r="H5142" i="1"/>
  <c r="G5142" i="1"/>
  <c r="F5142" i="1"/>
  <c r="E5142" i="1"/>
  <c r="D5142" i="1"/>
  <c r="C5142" i="1"/>
  <c r="B5142" i="1"/>
  <c r="A5142" i="1"/>
  <c r="R5141" i="1"/>
  <c r="J5141" i="1"/>
  <c r="I5141" i="1"/>
  <c r="G5141" i="1"/>
  <c r="F5141" i="1"/>
  <c r="E5141" i="1"/>
  <c r="D5141" i="1"/>
  <c r="C5141" i="1"/>
  <c r="B5141" i="1"/>
  <c r="A5141" i="1"/>
  <c r="S5140" i="1"/>
  <c r="O5140" i="1"/>
  <c r="K5140" i="1"/>
  <c r="J5140" i="1"/>
  <c r="I5140" i="1"/>
  <c r="H5140" i="1"/>
  <c r="G5140" i="1"/>
  <c r="F5140" i="1"/>
  <c r="E5140" i="1"/>
  <c r="D5140" i="1"/>
  <c r="C5140" i="1"/>
  <c r="B5140" i="1"/>
  <c r="A5140" i="1"/>
  <c r="R5139" i="1"/>
  <c r="J5139" i="1"/>
  <c r="I5139" i="1"/>
  <c r="G5139" i="1"/>
  <c r="F5139" i="1"/>
  <c r="E5139" i="1"/>
  <c r="D5139" i="1"/>
  <c r="C5139" i="1"/>
  <c r="B5139" i="1"/>
  <c r="A5139" i="1"/>
  <c r="S5138" i="1"/>
  <c r="O5138" i="1"/>
  <c r="K5138" i="1"/>
  <c r="J5138" i="1"/>
  <c r="I5138" i="1"/>
  <c r="H5138" i="1"/>
  <c r="G5138" i="1"/>
  <c r="F5138" i="1"/>
  <c r="E5138" i="1"/>
  <c r="D5138" i="1"/>
  <c r="C5138" i="1"/>
  <c r="B5138" i="1"/>
  <c r="A5138" i="1"/>
  <c r="R5137" i="1"/>
  <c r="J5137" i="1"/>
  <c r="I5137" i="1"/>
  <c r="G5137" i="1"/>
  <c r="F5137" i="1"/>
  <c r="E5137" i="1"/>
  <c r="D5137" i="1"/>
  <c r="C5137" i="1"/>
  <c r="B5137" i="1"/>
  <c r="A5137" i="1"/>
  <c r="S5136" i="1"/>
  <c r="O5136" i="1"/>
  <c r="K5136" i="1"/>
  <c r="J5136" i="1"/>
  <c r="I5136" i="1"/>
  <c r="H5136" i="1"/>
  <c r="G5136" i="1"/>
  <c r="F5136" i="1"/>
  <c r="E5136" i="1"/>
  <c r="D5136" i="1"/>
  <c r="C5136" i="1"/>
  <c r="B5136" i="1"/>
  <c r="A5136" i="1"/>
  <c r="R5135" i="1"/>
  <c r="J5135" i="1"/>
  <c r="I5135" i="1"/>
  <c r="G5135" i="1"/>
  <c r="F5135" i="1"/>
  <c r="E5135" i="1"/>
  <c r="D5135" i="1"/>
  <c r="C5135" i="1"/>
  <c r="B5135" i="1"/>
  <c r="A5135" i="1"/>
  <c r="S5134" i="1"/>
  <c r="O5134" i="1"/>
  <c r="K5134" i="1"/>
  <c r="J5134" i="1"/>
  <c r="I5134" i="1"/>
  <c r="H5134" i="1"/>
  <c r="G5134" i="1"/>
  <c r="F5134" i="1"/>
  <c r="E5134" i="1"/>
  <c r="D5134" i="1"/>
  <c r="C5134" i="1"/>
  <c r="B5134" i="1"/>
  <c r="A5134" i="1"/>
  <c r="R5133" i="1"/>
  <c r="J5133" i="1"/>
  <c r="I5133" i="1"/>
  <c r="G5133" i="1"/>
  <c r="F5133" i="1"/>
  <c r="E5133" i="1"/>
  <c r="D5133" i="1"/>
  <c r="C5133" i="1"/>
  <c r="B5133" i="1"/>
  <c r="A5133" i="1"/>
  <c r="S5132" i="1"/>
  <c r="O5132" i="1"/>
  <c r="K5132" i="1"/>
  <c r="J5132" i="1"/>
  <c r="I5132" i="1"/>
  <c r="H5132" i="1"/>
  <c r="G5132" i="1"/>
  <c r="F5132" i="1"/>
  <c r="E5132" i="1"/>
  <c r="D5132" i="1"/>
  <c r="C5132" i="1"/>
  <c r="B5132" i="1"/>
  <c r="A5132" i="1"/>
  <c r="R5131" i="1"/>
  <c r="J5131" i="1"/>
  <c r="I5131" i="1"/>
  <c r="G5131" i="1"/>
  <c r="F5131" i="1"/>
  <c r="E5131" i="1"/>
  <c r="D5131" i="1"/>
  <c r="C5131" i="1"/>
  <c r="B5131" i="1"/>
  <c r="A5131" i="1"/>
  <c r="S5130" i="1"/>
  <c r="O5130" i="1"/>
  <c r="K5130" i="1"/>
  <c r="J5130" i="1"/>
  <c r="I5130" i="1"/>
  <c r="H5130" i="1"/>
  <c r="G5130" i="1"/>
  <c r="F5130" i="1"/>
  <c r="E5130" i="1"/>
  <c r="D5130" i="1"/>
  <c r="C5130" i="1"/>
  <c r="B5130" i="1"/>
  <c r="A5130" i="1"/>
  <c r="R5129" i="1"/>
  <c r="J5129" i="1"/>
  <c r="I5129" i="1"/>
  <c r="G5129" i="1"/>
  <c r="F5129" i="1"/>
  <c r="E5129" i="1"/>
  <c r="D5129" i="1"/>
  <c r="C5129" i="1"/>
  <c r="B5129" i="1"/>
  <c r="A5129" i="1"/>
  <c r="S5128" i="1"/>
  <c r="O5128" i="1"/>
  <c r="K5128" i="1"/>
  <c r="J5128" i="1"/>
  <c r="I5128" i="1"/>
  <c r="H5128" i="1"/>
  <c r="G5128" i="1"/>
  <c r="F5128" i="1"/>
  <c r="E5128" i="1"/>
  <c r="D5128" i="1"/>
  <c r="C5128" i="1"/>
  <c r="B5128" i="1"/>
  <c r="A5128" i="1"/>
  <c r="R5127" i="1"/>
  <c r="J5127" i="1"/>
  <c r="I5127" i="1"/>
  <c r="G5127" i="1"/>
  <c r="F5127" i="1"/>
  <c r="E5127" i="1"/>
  <c r="D5127" i="1"/>
  <c r="C5127" i="1"/>
  <c r="B5127" i="1"/>
  <c r="A5127" i="1"/>
  <c r="S5126" i="1"/>
  <c r="O5126" i="1"/>
  <c r="K5126" i="1"/>
  <c r="J5126" i="1"/>
  <c r="I5126" i="1"/>
  <c r="H5126" i="1"/>
  <c r="G5126" i="1"/>
  <c r="F5126" i="1"/>
  <c r="E5126" i="1"/>
  <c r="D5126" i="1"/>
  <c r="C5126" i="1"/>
  <c r="B5126" i="1"/>
  <c r="A5126" i="1"/>
  <c r="R5125" i="1"/>
  <c r="J5125" i="1"/>
  <c r="I5125" i="1"/>
  <c r="G5125" i="1"/>
  <c r="F5125" i="1"/>
  <c r="E5125" i="1"/>
  <c r="D5125" i="1"/>
  <c r="C5125" i="1"/>
  <c r="B5125" i="1"/>
  <c r="A5125" i="1"/>
  <c r="S5124" i="1"/>
  <c r="O5124" i="1"/>
  <c r="K5124" i="1"/>
  <c r="J5124" i="1"/>
  <c r="I5124" i="1"/>
  <c r="H5124" i="1"/>
  <c r="G5124" i="1"/>
  <c r="F5124" i="1"/>
  <c r="E5124" i="1"/>
  <c r="D5124" i="1"/>
  <c r="C5124" i="1"/>
  <c r="B5124" i="1"/>
  <c r="A5124" i="1"/>
  <c r="R5123" i="1"/>
  <c r="J5123" i="1"/>
  <c r="I5123" i="1"/>
  <c r="G5123" i="1"/>
  <c r="F5123" i="1"/>
  <c r="E5123" i="1"/>
  <c r="D5123" i="1"/>
  <c r="C5123" i="1"/>
  <c r="B5123" i="1"/>
  <c r="A5123" i="1"/>
  <c r="S5122" i="1"/>
  <c r="O5122" i="1"/>
  <c r="K5122" i="1"/>
  <c r="J5122" i="1"/>
  <c r="I5122" i="1"/>
  <c r="H5122" i="1"/>
  <c r="G5122" i="1"/>
  <c r="F5122" i="1"/>
  <c r="E5122" i="1"/>
  <c r="D5122" i="1"/>
  <c r="C5122" i="1"/>
  <c r="B5122" i="1"/>
  <c r="A5122" i="1"/>
  <c r="R5121" i="1"/>
  <c r="J5121" i="1"/>
  <c r="I5121" i="1"/>
  <c r="G5121" i="1"/>
  <c r="F5121" i="1"/>
  <c r="E5121" i="1"/>
  <c r="D5121" i="1"/>
  <c r="C5121" i="1"/>
  <c r="B5121" i="1"/>
  <c r="A5121" i="1"/>
  <c r="S5120" i="1"/>
  <c r="O5120" i="1"/>
  <c r="K5120" i="1"/>
  <c r="J5120" i="1"/>
  <c r="I5120" i="1"/>
  <c r="H5120" i="1"/>
  <c r="G5120" i="1"/>
  <c r="F5120" i="1"/>
  <c r="E5120" i="1"/>
  <c r="D5120" i="1"/>
  <c r="C5120" i="1"/>
  <c r="B5120" i="1"/>
  <c r="A5120" i="1"/>
  <c r="R5119" i="1"/>
  <c r="J5119" i="1"/>
  <c r="I5119" i="1"/>
  <c r="G5119" i="1"/>
  <c r="F5119" i="1"/>
  <c r="E5119" i="1"/>
  <c r="D5119" i="1"/>
  <c r="C5119" i="1"/>
  <c r="B5119" i="1"/>
  <c r="A5119" i="1"/>
  <c r="S5118" i="1"/>
  <c r="O5118" i="1"/>
  <c r="K5118" i="1"/>
  <c r="J5118" i="1"/>
  <c r="I5118" i="1"/>
  <c r="H5118" i="1"/>
  <c r="G5118" i="1"/>
  <c r="F5118" i="1"/>
  <c r="E5118" i="1"/>
  <c r="D5118" i="1"/>
  <c r="C5118" i="1"/>
  <c r="B5118" i="1"/>
  <c r="A5118" i="1"/>
  <c r="R5117" i="1"/>
  <c r="J5117" i="1"/>
  <c r="I5117" i="1"/>
  <c r="G5117" i="1"/>
  <c r="F5117" i="1"/>
  <c r="E5117" i="1"/>
  <c r="D5117" i="1"/>
  <c r="C5117" i="1"/>
  <c r="B5117" i="1"/>
  <c r="A5117" i="1"/>
  <c r="S5116" i="1"/>
  <c r="O5116" i="1"/>
  <c r="K5116" i="1"/>
  <c r="J5116" i="1"/>
  <c r="I5116" i="1"/>
  <c r="H5116" i="1"/>
  <c r="G5116" i="1"/>
  <c r="F5116" i="1"/>
  <c r="E5116" i="1"/>
  <c r="D5116" i="1"/>
  <c r="C5116" i="1"/>
  <c r="B5116" i="1"/>
  <c r="A5116" i="1"/>
  <c r="R5115" i="1"/>
  <c r="J5115" i="1"/>
  <c r="I5115" i="1"/>
  <c r="G5115" i="1"/>
  <c r="F5115" i="1"/>
  <c r="E5115" i="1"/>
  <c r="D5115" i="1"/>
  <c r="C5115" i="1"/>
  <c r="B5115" i="1"/>
  <c r="A5115" i="1"/>
  <c r="S5114" i="1"/>
  <c r="O5114" i="1"/>
  <c r="K5114" i="1"/>
  <c r="J5114" i="1"/>
  <c r="I5114" i="1"/>
  <c r="H5114" i="1"/>
  <c r="G5114" i="1"/>
  <c r="F5114" i="1"/>
  <c r="E5114" i="1"/>
  <c r="D5114" i="1"/>
  <c r="C5114" i="1"/>
  <c r="B5114" i="1"/>
  <c r="A5114" i="1"/>
  <c r="R5113" i="1"/>
  <c r="J5113" i="1"/>
  <c r="I5113" i="1"/>
  <c r="G5113" i="1"/>
  <c r="F5113" i="1"/>
  <c r="E5113" i="1"/>
  <c r="D5113" i="1"/>
  <c r="C5113" i="1"/>
  <c r="B5113" i="1"/>
  <c r="A5113" i="1"/>
  <c r="S5112" i="1"/>
  <c r="O5112" i="1"/>
  <c r="K5112" i="1"/>
  <c r="J5112" i="1"/>
  <c r="I5112" i="1"/>
  <c r="H5112" i="1"/>
  <c r="G5112" i="1"/>
  <c r="F5112" i="1"/>
  <c r="E5112" i="1"/>
  <c r="D5112" i="1"/>
  <c r="C5112" i="1"/>
  <c r="B5112" i="1"/>
  <c r="A5112" i="1"/>
  <c r="R5111" i="1"/>
  <c r="J5111" i="1"/>
  <c r="I5111" i="1"/>
  <c r="G5111" i="1"/>
  <c r="F5111" i="1"/>
  <c r="E5111" i="1"/>
  <c r="D5111" i="1"/>
  <c r="C5111" i="1"/>
  <c r="B5111" i="1"/>
  <c r="A5111" i="1"/>
  <c r="S5110" i="1"/>
  <c r="O5110" i="1"/>
  <c r="K5110" i="1"/>
  <c r="J5110" i="1"/>
  <c r="I5110" i="1"/>
  <c r="H5110" i="1"/>
  <c r="G5110" i="1"/>
  <c r="F5110" i="1"/>
  <c r="E5110" i="1"/>
  <c r="D5110" i="1"/>
  <c r="C5110" i="1"/>
  <c r="B5110" i="1"/>
  <c r="A5110" i="1"/>
  <c r="R5109" i="1"/>
  <c r="J5109" i="1"/>
  <c r="I5109" i="1"/>
  <c r="G5109" i="1"/>
  <c r="F5109" i="1"/>
  <c r="E5109" i="1"/>
  <c r="D5109" i="1"/>
  <c r="C5109" i="1"/>
  <c r="B5109" i="1"/>
  <c r="A5109" i="1"/>
  <c r="S5108" i="1"/>
  <c r="O5108" i="1"/>
  <c r="K5108" i="1"/>
  <c r="J5108" i="1"/>
  <c r="I5108" i="1"/>
  <c r="H5108" i="1"/>
  <c r="G5108" i="1"/>
  <c r="F5108" i="1"/>
  <c r="E5108" i="1"/>
  <c r="D5108" i="1"/>
  <c r="C5108" i="1"/>
  <c r="B5108" i="1"/>
  <c r="A5108" i="1"/>
  <c r="R5107" i="1"/>
  <c r="J5107" i="1"/>
  <c r="I5107" i="1"/>
  <c r="G5107" i="1"/>
  <c r="F5107" i="1"/>
  <c r="E5107" i="1"/>
  <c r="D5107" i="1"/>
  <c r="C5107" i="1"/>
  <c r="B5107" i="1"/>
  <c r="A5107" i="1"/>
  <c r="S5106" i="1"/>
  <c r="O5106" i="1"/>
  <c r="K5106" i="1"/>
  <c r="J5106" i="1"/>
  <c r="I5106" i="1"/>
  <c r="H5106" i="1"/>
  <c r="G5106" i="1"/>
  <c r="F5106" i="1"/>
  <c r="E5106" i="1"/>
  <c r="D5106" i="1"/>
  <c r="C5106" i="1"/>
  <c r="B5106" i="1"/>
  <c r="A5106" i="1"/>
  <c r="R5105" i="1"/>
  <c r="J5105" i="1"/>
  <c r="I5105" i="1"/>
  <c r="G5105" i="1"/>
  <c r="F5105" i="1"/>
  <c r="E5105" i="1"/>
  <c r="D5105" i="1"/>
  <c r="C5105" i="1"/>
  <c r="B5105" i="1"/>
  <c r="A5105" i="1"/>
  <c r="S5104" i="1"/>
  <c r="O5104" i="1"/>
  <c r="K5104" i="1"/>
  <c r="J5104" i="1"/>
  <c r="I5104" i="1"/>
  <c r="H5104" i="1"/>
  <c r="G5104" i="1"/>
  <c r="F5104" i="1"/>
  <c r="E5104" i="1"/>
  <c r="D5104" i="1"/>
  <c r="C5104" i="1"/>
  <c r="B5104" i="1"/>
  <c r="A5104" i="1"/>
  <c r="R5103" i="1"/>
  <c r="J5103" i="1"/>
  <c r="I5103" i="1"/>
  <c r="G5103" i="1"/>
  <c r="F5103" i="1"/>
  <c r="E5103" i="1"/>
  <c r="D5103" i="1"/>
  <c r="C5103" i="1"/>
  <c r="B5103" i="1"/>
  <c r="A5103" i="1"/>
  <c r="S5102" i="1"/>
  <c r="O5102" i="1"/>
  <c r="K5102" i="1"/>
  <c r="J5102" i="1"/>
  <c r="I5102" i="1"/>
  <c r="H5102" i="1"/>
  <c r="G5102" i="1"/>
  <c r="F5102" i="1"/>
  <c r="E5102" i="1"/>
  <c r="D5102" i="1"/>
  <c r="C5102" i="1"/>
  <c r="B5102" i="1"/>
  <c r="A5102" i="1"/>
  <c r="R5101" i="1"/>
  <c r="J5101" i="1"/>
  <c r="I5101" i="1"/>
  <c r="G5101" i="1"/>
  <c r="F5101" i="1"/>
  <c r="E5101" i="1"/>
  <c r="D5101" i="1"/>
  <c r="C5101" i="1"/>
  <c r="B5101" i="1"/>
  <c r="A5101" i="1"/>
  <c r="S5100" i="1"/>
  <c r="O5100" i="1"/>
  <c r="K5100" i="1"/>
  <c r="J5100" i="1"/>
  <c r="I5100" i="1"/>
  <c r="H5100" i="1"/>
  <c r="G5100" i="1"/>
  <c r="F5100" i="1"/>
  <c r="E5100" i="1"/>
  <c r="D5100" i="1"/>
  <c r="C5100" i="1"/>
  <c r="B5100" i="1"/>
  <c r="A5100" i="1"/>
  <c r="R5099" i="1"/>
  <c r="J5099" i="1"/>
  <c r="I5099" i="1"/>
  <c r="G5099" i="1"/>
  <c r="F5099" i="1"/>
  <c r="E5099" i="1"/>
  <c r="D5099" i="1"/>
  <c r="C5099" i="1"/>
  <c r="B5099" i="1"/>
  <c r="A5099" i="1"/>
  <c r="S5098" i="1"/>
  <c r="O5098" i="1"/>
  <c r="K5098" i="1"/>
  <c r="J5098" i="1"/>
  <c r="I5098" i="1"/>
  <c r="H5098" i="1"/>
  <c r="G5098" i="1"/>
  <c r="F5098" i="1"/>
  <c r="E5098" i="1"/>
  <c r="D5098" i="1"/>
  <c r="C5098" i="1"/>
  <c r="B5098" i="1"/>
  <c r="A5098" i="1"/>
  <c r="R5097" i="1"/>
  <c r="J5097" i="1"/>
  <c r="I5097" i="1"/>
  <c r="G5097" i="1"/>
  <c r="F5097" i="1"/>
  <c r="E5097" i="1"/>
  <c r="D5097" i="1"/>
  <c r="C5097" i="1"/>
  <c r="B5097" i="1"/>
  <c r="A5097" i="1"/>
  <c r="S5096" i="1"/>
  <c r="O5096" i="1"/>
  <c r="K5096" i="1"/>
  <c r="J5096" i="1"/>
  <c r="I5096" i="1"/>
  <c r="H5096" i="1"/>
  <c r="G5096" i="1"/>
  <c r="F5096" i="1"/>
  <c r="E5096" i="1"/>
  <c r="D5096" i="1"/>
  <c r="C5096" i="1"/>
  <c r="B5096" i="1"/>
  <c r="A5096" i="1"/>
  <c r="R5095" i="1"/>
  <c r="J5095" i="1"/>
  <c r="I5095" i="1"/>
  <c r="G5095" i="1"/>
  <c r="F5095" i="1"/>
  <c r="E5095" i="1"/>
  <c r="D5095" i="1"/>
  <c r="C5095" i="1"/>
  <c r="B5095" i="1"/>
  <c r="A5095" i="1"/>
  <c r="S5094" i="1"/>
  <c r="O5094" i="1"/>
  <c r="K5094" i="1"/>
  <c r="J5094" i="1"/>
  <c r="I5094" i="1"/>
  <c r="H5094" i="1"/>
  <c r="G5094" i="1"/>
  <c r="F5094" i="1"/>
  <c r="E5094" i="1"/>
  <c r="D5094" i="1"/>
  <c r="C5094" i="1"/>
  <c r="B5094" i="1"/>
  <c r="A5094" i="1"/>
  <c r="R5093" i="1"/>
  <c r="J5093" i="1"/>
  <c r="I5093" i="1"/>
  <c r="G5093" i="1"/>
  <c r="F5093" i="1"/>
  <c r="E5093" i="1"/>
  <c r="D5093" i="1"/>
  <c r="C5093" i="1"/>
  <c r="B5093" i="1"/>
  <c r="A5093" i="1"/>
  <c r="S5092" i="1"/>
  <c r="O5092" i="1"/>
  <c r="K5092" i="1"/>
  <c r="J5092" i="1"/>
  <c r="I5092" i="1"/>
  <c r="H5092" i="1"/>
  <c r="G5092" i="1"/>
  <c r="F5092" i="1"/>
  <c r="E5092" i="1"/>
  <c r="D5092" i="1"/>
  <c r="C5092" i="1"/>
  <c r="B5092" i="1"/>
  <c r="A5092" i="1"/>
  <c r="R5091" i="1"/>
  <c r="J5091" i="1"/>
  <c r="I5091" i="1"/>
  <c r="G5091" i="1"/>
  <c r="F5091" i="1"/>
  <c r="E5091" i="1"/>
  <c r="D5091" i="1"/>
  <c r="C5091" i="1"/>
  <c r="B5091" i="1"/>
  <c r="A5091" i="1"/>
  <c r="S5090" i="1"/>
  <c r="O5090" i="1"/>
  <c r="K5090" i="1"/>
  <c r="J5090" i="1"/>
  <c r="I5090" i="1"/>
  <c r="H5090" i="1"/>
  <c r="G5090" i="1"/>
  <c r="F5090" i="1"/>
  <c r="E5090" i="1"/>
  <c r="D5090" i="1"/>
  <c r="C5090" i="1"/>
  <c r="B5090" i="1"/>
  <c r="A5090" i="1"/>
  <c r="R5089" i="1"/>
  <c r="J5089" i="1"/>
  <c r="I5089" i="1"/>
  <c r="G5089" i="1"/>
  <c r="F5089" i="1"/>
  <c r="E5089" i="1"/>
  <c r="D5089" i="1"/>
  <c r="C5089" i="1"/>
  <c r="B5089" i="1"/>
  <c r="A5089" i="1"/>
  <c r="S5088" i="1"/>
  <c r="O5088" i="1"/>
  <c r="K5088" i="1"/>
  <c r="J5088" i="1"/>
  <c r="I5088" i="1"/>
  <c r="H5088" i="1"/>
  <c r="G5088" i="1"/>
  <c r="F5088" i="1"/>
  <c r="E5088" i="1"/>
  <c r="D5088" i="1"/>
  <c r="C5088" i="1"/>
  <c r="B5088" i="1"/>
  <c r="A5088" i="1"/>
  <c r="R5087" i="1"/>
  <c r="J5087" i="1"/>
  <c r="I5087" i="1"/>
  <c r="G5087" i="1"/>
  <c r="F5087" i="1"/>
  <c r="E5087" i="1"/>
  <c r="D5087" i="1"/>
  <c r="C5087" i="1"/>
  <c r="B5087" i="1"/>
  <c r="A5087" i="1"/>
  <c r="S5086" i="1"/>
  <c r="O5086" i="1"/>
  <c r="K5086" i="1"/>
  <c r="J5086" i="1"/>
  <c r="I5086" i="1"/>
  <c r="H5086" i="1"/>
  <c r="G5086" i="1"/>
  <c r="F5086" i="1"/>
  <c r="E5086" i="1"/>
  <c r="D5086" i="1"/>
  <c r="C5086" i="1"/>
  <c r="B5086" i="1"/>
  <c r="A5086" i="1"/>
  <c r="R5085" i="1"/>
  <c r="J5085" i="1"/>
  <c r="I5085" i="1"/>
  <c r="G5085" i="1"/>
  <c r="F5085" i="1"/>
  <c r="E5085" i="1"/>
  <c r="D5085" i="1"/>
  <c r="C5085" i="1"/>
  <c r="B5085" i="1"/>
  <c r="A5085" i="1"/>
  <c r="S5084" i="1"/>
  <c r="O5084" i="1"/>
  <c r="K5084" i="1"/>
  <c r="J5084" i="1"/>
  <c r="I5084" i="1"/>
  <c r="H5084" i="1"/>
  <c r="G5084" i="1"/>
  <c r="F5084" i="1"/>
  <c r="E5084" i="1"/>
  <c r="D5084" i="1"/>
  <c r="C5084" i="1"/>
  <c r="B5084" i="1"/>
  <c r="A5084" i="1"/>
  <c r="R5083" i="1"/>
  <c r="J5083" i="1"/>
  <c r="I5083" i="1"/>
  <c r="G5083" i="1"/>
  <c r="F5083" i="1"/>
  <c r="E5083" i="1"/>
  <c r="D5083" i="1"/>
  <c r="C5083" i="1"/>
  <c r="B5083" i="1"/>
  <c r="A5083" i="1"/>
  <c r="S5082" i="1"/>
  <c r="O5082" i="1"/>
  <c r="K5082" i="1"/>
  <c r="J5082" i="1"/>
  <c r="I5082" i="1"/>
  <c r="H5082" i="1"/>
  <c r="G5082" i="1"/>
  <c r="F5082" i="1"/>
  <c r="E5082" i="1"/>
  <c r="D5082" i="1"/>
  <c r="C5082" i="1"/>
  <c r="B5082" i="1"/>
  <c r="A5082" i="1"/>
  <c r="R5081" i="1"/>
  <c r="J5081" i="1"/>
  <c r="I5081" i="1"/>
  <c r="G5081" i="1"/>
  <c r="F5081" i="1"/>
  <c r="E5081" i="1"/>
  <c r="D5081" i="1"/>
  <c r="C5081" i="1"/>
  <c r="B5081" i="1"/>
  <c r="A5081" i="1"/>
  <c r="S5080" i="1"/>
  <c r="O5080" i="1"/>
  <c r="K5080" i="1"/>
  <c r="J5080" i="1"/>
  <c r="I5080" i="1"/>
  <c r="H5080" i="1"/>
  <c r="G5080" i="1"/>
  <c r="F5080" i="1"/>
  <c r="E5080" i="1"/>
  <c r="D5080" i="1"/>
  <c r="C5080" i="1"/>
  <c r="B5080" i="1"/>
  <c r="A5080" i="1"/>
  <c r="R5079" i="1"/>
  <c r="J5079" i="1"/>
  <c r="I5079" i="1"/>
  <c r="G5079" i="1"/>
  <c r="F5079" i="1"/>
  <c r="E5079" i="1"/>
  <c r="D5079" i="1"/>
  <c r="C5079" i="1"/>
  <c r="B5079" i="1"/>
  <c r="A5079" i="1"/>
  <c r="S5078" i="1"/>
  <c r="O5078" i="1"/>
  <c r="K5078" i="1"/>
  <c r="J5078" i="1"/>
  <c r="I5078" i="1"/>
  <c r="H5078" i="1"/>
  <c r="G5078" i="1"/>
  <c r="F5078" i="1"/>
  <c r="E5078" i="1"/>
  <c r="D5078" i="1"/>
  <c r="C5078" i="1"/>
  <c r="B5078" i="1"/>
  <c r="A5078" i="1"/>
  <c r="R5077" i="1"/>
  <c r="J5077" i="1"/>
  <c r="I5077" i="1"/>
  <c r="G5077" i="1"/>
  <c r="F5077" i="1"/>
  <c r="E5077" i="1"/>
  <c r="D5077" i="1"/>
  <c r="C5077" i="1"/>
  <c r="B5077" i="1"/>
  <c r="A5077" i="1"/>
  <c r="S5076" i="1"/>
  <c r="O5076" i="1"/>
  <c r="K5076" i="1"/>
  <c r="J5076" i="1"/>
  <c r="I5076" i="1"/>
  <c r="H5076" i="1"/>
  <c r="G5076" i="1"/>
  <c r="F5076" i="1"/>
  <c r="E5076" i="1"/>
  <c r="D5076" i="1"/>
  <c r="C5076" i="1"/>
  <c r="B5076" i="1"/>
  <c r="A5076" i="1"/>
  <c r="R5075" i="1"/>
  <c r="J5075" i="1"/>
  <c r="I5075" i="1"/>
  <c r="G5075" i="1"/>
  <c r="F5075" i="1"/>
  <c r="E5075" i="1"/>
  <c r="D5075" i="1"/>
  <c r="C5075" i="1"/>
  <c r="B5075" i="1"/>
  <c r="A5075" i="1"/>
  <c r="S5074" i="1"/>
  <c r="O5074" i="1"/>
  <c r="K5074" i="1"/>
  <c r="J5074" i="1"/>
  <c r="I5074" i="1"/>
  <c r="H5074" i="1"/>
  <c r="G5074" i="1"/>
  <c r="F5074" i="1"/>
  <c r="E5074" i="1"/>
  <c r="D5074" i="1"/>
  <c r="C5074" i="1"/>
  <c r="B5074" i="1"/>
  <c r="A5074" i="1"/>
  <c r="R5073" i="1"/>
  <c r="J5073" i="1"/>
  <c r="I5073" i="1"/>
  <c r="G5073" i="1"/>
  <c r="F5073" i="1"/>
  <c r="E5073" i="1"/>
  <c r="D5073" i="1"/>
  <c r="C5073" i="1"/>
  <c r="B5073" i="1"/>
  <c r="A5073" i="1"/>
  <c r="S5072" i="1"/>
  <c r="O5072" i="1"/>
  <c r="K5072" i="1"/>
  <c r="J5072" i="1"/>
  <c r="I5072" i="1"/>
  <c r="H5072" i="1"/>
  <c r="G5072" i="1"/>
  <c r="F5072" i="1"/>
  <c r="E5072" i="1"/>
  <c r="D5072" i="1"/>
  <c r="C5072" i="1"/>
  <c r="B5072" i="1"/>
  <c r="A5072" i="1"/>
  <c r="R5071" i="1"/>
  <c r="J5071" i="1"/>
  <c r="I5071" i="1"/>
  <c r="G5071" i="1"/>
  <c r="F5071" i="1"/>
  <c r="E5071" i="1"/>
  <c r="D5071" i="1"/>
  <c r="C5071" i="1"/>
  <c r="B5071" i="1"/>
  <c r="A5071" i="1"/>
  <c r="S5070" i="1"/>
  <c r="O5070" i="1"/>
  <c r="K5070" i="1"/>
  <c r="J5070" i="1"/>
  <c r="I5070" i="1"/>
  <c r="H5070" i="1"/>
  <c r="G5070" i="1"/>
  <c r="F5070" i="1"/>
  <c r="E5070" i="1"/>
  <c r="D5070" i="1"/>
  <c r="C5070" i="1"/>
  <c r="B5070" i="1"/>
  <c r="A5070" i="1"/>
  <c r="R5069" i="1"/>
  <c r="J5069" i="1"/>
  <c r="I5069" i="1"/>
  <c r="G5069" i="1"/>
  <c r="F5069" i="1"/>
  <c r="E5069" i="1"/>
  <c r="D5069" i="1"/>
  <c r="C5069" i="1"/>
  <c r="B5069" i="1"/>
  <c r="A5069" i="1"/>
  <c r="S5068" i="1"/>
  <c r="O5068" i="1"/>
  <c r="K5068" i="1"/>
  <c r="J5068" i="1"/>
  <c r="I5068" i="1"/>
  <c r="H5068" i="1"/>
  <c r="G5068" i="1"/>
  <c r="F5068" i="1"/>
  <c r="E5068" i="1"/>
  <c r="D5068" i="1"/>
  <c r="C5068" i="1"/>
  <c r="B5068" i="1"/>
  <c r="A5068" i="1"/>
  <c r="R5067" i="1"/>
  <c r="J5067" i="1"/>
  <c r="I5067" i="1"/>
  <c r="G5067" i="1"/>
  <c r="F5067" i="1"/>
  <c r="E5067" i="1"/>
  <c r="D5067" i="1"/>
  <c r="C5067" i="1"/>
  <c r="B5067" i="1"/>
  <c r="A5067" i="1"/>
  <c r="S5066" i="1"/>
  <c r="O5066" i="1"/>
  <c r="K5066" i="1"/>
  <c r="J5066" i="1"/>
  <c r="I5066" i="1"/>
  <c r="H5066" i="1"/>
  <c r="G5066" i="1"/>
  <c r="F5066" i="1"/>
  <c r="E5066" i="1"/>
  <c r="D5066" i="1"/>
  <c r="C5066" i="1"/>
  <c r="B5066" i="1"/>
  <c r="A5066" i="1"/>
  <c r="R5065" i="1"/>
  <c r="J5065" i="1"/>
  <c r="I5065" i="1"/>
  <c r="G5065" i="1"/>
  <c r="F5065" i="1"/>
  <c r="E5065" i="1"/>
  <c r="D5065" i="1"/>
  <c r="C5065" i="1"/>
  <c r="B5065" i="1"/>
  <c r="A5065" i="1"/>
  <c r="S5064" i="1"/>
  <c r="O5064" i="1"/>
  <c r="K5064" i="1"/>
  <c r="J5064" i="1"/>
  <c r="I5064" i="1"/>
  <c r="H5064" i="1"/>
  <c r="G5064" i="1"/>
  <c r="F5064" i="1"/>
  <c r="E5064" i="1"/>
  <c r="D5064" i="1"/>
  <c r="C5064" i="1"/>
  <c r="B5064" i="1"/>
  <c r="A5064" i="1"/>
  <c r="R5063" i="1"/>
  <c r="J5063" i="1"/>
  <c r="I5063" i="1"/>
  <c r="G5063" i="1"/>
  <c r="F5063" i="1"/>
  <c r="E5063" i="1"/>
  <c r="D5063" i="1"/>
  <c r="C5063" i="1"/>
  <c r="B5063" i="1"/>
  <c r="A5063" i="1"/>
  <c r="S5062" i="1"/>
  <c r="O5062" i="1"/>
  <c r="K5062" i="1"/>
  <c r="J5062" i="1"/>
  <c r="I5062" i="1"/>
  <c r="H5062" i="1"/>
  <c r="G5062" i="1"/>
  <c r="F5062" i="1"/>
  <c r="E5062" i="1"/>
  <c r="D5062" i="1"/>
  <c r="C5062" i="1"/>
  <c r="B5062" i="1"/>
  <c r="A5062" i="1"/>
  <c r="R5061" i="1"/>
  <c r="J5061" i="1"/>
  <c r="I5061" i="1"/>
  <c r="G5061" i="1"/>
  <c r="F5061" i="1"/>
  <c r="E5061" i="1"/>
  <c r="D5061" i="1"/>
  <c r="C5061" i="1"/>
  <c r="B5061" i="1"/>
  <c r="A5061" i="1"/>
  <c r="S5060" i="1"/>
  <c r="O5060" i="1"/>
  <c r="K5060" i="1"/>
  <c r="J5060" i="1"/>
  <c r="I5060" i="1"/>
  <c r="H5060" i="1"/>
  <c r="G5060" i="1"/>
  <c r="F5060" i="1"/>
  <c r="E5060" i="1"/>
  <c r="D5060" i="1"/>
  <c r="C5060" i="1"/>
  <c r="B5060" i="1"/>
  <c r="A5060" i="1"/>
  <c r="R5059" i="1"/>
  <c r="J5059" i="1"/>
  <c r="I5059" i="1"/>
  <c r="G5059" i="1"/>
  <c r="F5059" i="1"/>
  <c r="E5059" i="1"/>
  <c r="D5059" i="1"/>
  <c r="C5059" i="1"/>
  <c r="B5059" i="1"/>
  <c r="A5059" i="1"/>
  <c r="S5058" i="1"/>
  <c r="O5058" i="1"/>
  <c r="K5058" i="1"/>
  <c r="J5058" i="1"/>
  <c r="I5058" i="1"/>
  <c r="H5058" i="1"/>
  <c r="G5058" i="1"/>
  <c r="F5058" i="1"/>
  <c r="E5058" i="1"/>
  <c r="D5058" i="1"/>
  <c r="C5058" i="1"/>
  <c r="B5058" i="1"/>
  <c r="A5058" i="1"/>
  <c r="R5057" i="1"/>
  <c r="J5057" i="1"/>
  <c r="I5057" i="1"/>
  <c r="G5057" i="1"/>
  <c r="F5057" i="1"/>
  <c r="E5057" i="1"/>
  <c r="D5057" i="1"/>
  <c r="C5057" i="1"/>
  <c r="B5057" i="1"/>
  <c r="A5057" i="1"/>
  <c r="S5056" i="1"/>
  <c r="O5056" i="1"/>
  <c r="K5056" i="1"/>
  <c r="J5056" i="1"/>
  <c r="I5056" i="1"/>
  <c r="H5056" i="1"/>
  <c r="G5056" i="1"/>
  <c r="F5056" i="1"/>
  <c r="E5056" i="1"/>
  <c r="D5056" i="1"/>
  <c r="C5056" i="1"/>
  <c r="B5056" i="1"/>
  <c r="A5056" i="1"/>
  <c r="R5055" i="1"/>
  <c r="J5055" i="1"/>
  <c r="I5055" i="1"/>
  <c r="G5055" i="1"/>
  <c r="F5055" i="1"/>
  <c r="E5055" i="1"/>
  <c r="D5055" i="1"/>
  <c r="C5055" i="1"/>
  <c r="B5055" i="1"/>
  <c r="A5055" i="1"/>
  <c r="S5054" i="1"/>
  <c r="O5054" i="1"/>
  <c r="K5054" i="1"/>
  <c r="J5054" i="1"/>
  <c r="I5054" i="1"/>
  <c r="H5054" i="1"/>
  <c r="G5054" i="1"/>
  <c r="F5054" i="1"/>
  <c r="E5054" i="1"/>
  <c r="D5054" i="1"/>
  <c r="C5054" i="1"/>
  <c r="B5054" i="1"/>
  <c r="A5054" i="1"/>
  <c r="R5053" i="1"/>
  <c r="J5053" i="1"/>
  <c r="I5053" i="1"/>
  <c r="G5053" i="1"/>
  <c r="F5053" i="1"/>
  <c r="E5053" i="1"/>
  <c r="D5053" i="1"/>
  <c r="C5053" i="1"/>
  <c r="B5053" i="1"/>
  <c r="A5053" i="1"/>
  <c r="S5052" i="1"/>
  <c r="O5052" i="1"/>
  <c r="K5052" i="1"/>
  <c r="J5052" i="1"/>
  <c r="I5052" i="1"/>
  <c r="H5052" i="1"/>
  <c r="G5052" i="1"/>
  <c r="F5052" i="1"/>
  <c r="E5052" i="1"/>
  <c r="D5052" i="1"/>
  <c r="C5052" i="1"/>
  <c r="B5052" i="1"/>
  <c r="A5052" i="1"/>
  <c r="R5051" i="1"/>
  <c r="J5051" i="1"/>
  <c r="I5051" i="1"/>
  <c r="G5051" i="1"/>
  <c r="F5051" i="1"/>
  <c r="E5051" i="1"/>
  <c r="D5051" i="1"/>
  <c r="C5051" i="1"/>
  <c r="B5051" i="1"/>
  <c r="A5051" i="1"/>
  <c r="S5050" i="1"/>
  <c r="O5050" i="1"/>
  <c r="K5050" i="1"/>
  <c r="J5050" i="1"/>
  <c r="I5050" i="1"/>
  <c r="H5050" i="1"/>
  <c r="G5050" i="1"/>
  <c r="F5050" i="1"/>
  <c r="E5050" i="1"/>
  <c r="D5050" i="1"/>
  <c r="C5050" i="1"/>
  <c r="B5050" i="1"/>
  <c r="A5050" i="1"/>
  <c r="R5049" i="1"/>
  <c r="J5049" i="1"/>
  <c r="I5049" i="1"/>
  <c r="G5049" i="1"/>
  <c r="F5049" i="1"/>
  <c r="E5049" i="1"/>
  <c r="D5049" i="1"/>
  <c r="C5049" i="1"/>
  <c r="B5049" i="1"/>
  <c r="A5049" i="1"/>
  <c r="S5048" i="1"/>
  <c r="O5048" i="1"/>
  <c r="K5048" i="1"/>
  <c r="J5048" i="1"/>
  <c r="I5048" i="1"/>
  <c r="H5048" i="1"/>
  <c r="G5048" i="1"/>
  <c r="F5048" i="1"/>
  <c r="E5048" i="1"/>
  <c r="D5048" i="1"/>
  <c r="C5048" i="1"/>
  <c r="B5048" i="1"/>
  <c r="A5048" i="1"/>
  <c r="R5047" i="1"/>
  <c r="J5047" i="1"/>
  <c r="I5047" i="1"/>
  <c r="G5047" i="1"/>
  <c r="F5047" i="1"/>
  <c r="E5047" i="1"/>
  <c r="D5047" i="1"/>
  <c r="C5047" i="1"/>
  <c r="B5047" i="1"/>
  <c r="A5047" i="1"/>
  <c r="S5046" i="1"/>
  <c r="O5046" i="1"/>
  <c r="K5046" i="1"/>
  <c r="J5046" i="1"/>
  <c r="I5046" i="1"/>
  <c r="H5046" i="1"/>
  <c r="G5046" i="1"/>
  <c r="F5046" i="1"/>
  <c r="E5046" i="1"/>
  <c r="D5046" i="1"/>
  <c r="C5046" i="1"/>
  <c r="B5046" i="1"/>
  <c r="A5046" i="1"/>
  <c r="R5045" i="1"/>
  <c r="J5045" i="1"/>
  <c r="I5045" i="1"/>
  <c r="G5045" i="1"/>
  <c r="F5045" i="1"/>
  <c r="E5045" i="1"/>
  <c r="D5045" i="1"/>
  <c r="C5045" i="1"/>
  <c r="B5045" i="1"/>
  <c r="A5045" i="1"/>
  <c r="S5044" i="1"/>
  <c r="O5044" i="1"/>
  <c r="K5044" i="1"/>
  <c r="J5044" i="1"/>
  <c r="I5044" i="1"/>
  <c r="H5044" i="1"/>
  <c r="G5044" i="1"/>
  <c r="F5044" i="1"/>
  <c r="E5044" i="1"/>
  <c r="D5044" i="1"/>
  <c r="C5044" i="1"/>
  <c r="B5044" i="1"/>
  <c r="A5044" i="1"/>
  <c r="R5043" i="1"/>
  <c r="J5043" i="1"/>
  <c r="I5043" i="1"/>
  <c r="G5043" i="1"/>
  <c r="F5043" i="1"/>
  <c r="E5043" i="1"/>
  <c r="D5043" i="1"/>
  <c r="C5043" i="1"/>
  <c r="B5043" i="1"/>
  <c r="A5043" i="1"/>
  <c r="S5042" i="1"/>
  <c r="O5042" i="1"/>
  <c r="K5042" i="1"/>
  <c r="J5042" i="1"/>
  <c r="I5042" i="1"/>
  <c r="H5042" i="1"/>
  <c r="G5042" i="1"/>
  <c r="F5042" i="1"/>
  <c r="E5042" i="1"/>
  <c r="D5042" i="1"/>
  <c r="C5042" i="1"/>
  <c r="B5042" i="1"/>
  <c r="A5042" i="1"/>
  <c r="R5041" i="1"/>
  <c r="J5041" i="1"/>
  <c r="I5041" i="1"/>
  <c r="G5041" i="1"/>
  <c r="F5041" i="1"/>
  <c r="E5041" i="1"/>
  <c r="D5041" i="1"/>
  <c r="C5041" i="1"/>
  <c r="B5041" i="1"/>
  <c r="A5041" i="1"/>
  <c r="S5040" i="1"/>
  <c r="O5040" i="1"/>
  <c r="K5040" i="1"/>
  <c r="J5040" i="1"/>
  <c r="I5040" i="1"/>
  <c r="H5040" i="1"/>
  <c r="G5040" i="1"/>
  <c r="F5040" i="1"/>
  <c r="E5040" i="1"/>
  <c r="D5040" i="1"/>
  <c r="C5040" i="1"/>
  <c r="B5040" i="1"/>
  <c r="A5040" i="1"/>
  <c r="R5039" i="1"/>
  <c r="J5039" i="1"/>
  <c r="I5039" i="1"/>
  <c r="G5039" i="1"/>
  <c r="F5039" i="1"/>
  <c r="E5039" i="1"/>
  <c r="D5039" i="1"/>
  <c r="C5039" i="1"/>
  <c r="B5039" i="1"/>
  <c r="A5039" i="1"/>
  <c r="S5038" i="1"/>
  <c r="O5038" i="1"/>
  <c r="K5038" i="1"/>
  <c r="J5038" i="1"/>
  <c r="I5038" i="1"/>
  <c r="H5038" i="1"/>
  <c r="G5038" i="1"/>
  <c r="F5038" i="1"/>
  <c r="E5038" i="1"/>
  <c r="D5038" i="1"/>
  <c r="C5038" i="1"/>
  <c r="B5038" i="1"/>
  <c r="A5038" i="1"/>
  <c r="R5037" i="1"/>
  <c r="J5037" i="1"/>
  <c r="I5037" i="1"/>
  <c r="G5037" i="1"/>
  <c r="F5037" i="1"/>
  <c r="E5037" i="1"/>
  <c r="D5037" i="1"/>
  <c r="C5037" i="1"/>
  <c r="B5037" i="1"/>
  <c r="A5037" i="1"/>
  <c r="S5036" i="1"/>
  <c r="O5036" i="1"/>
  <c r="K5036" i="1"/>
  <c r="J5036" i="1"/>
  <c r="I5036" i="1"/>
  <c r="H5036" i="1"/>
  <c r="G5036" i="1"/>
  <c r="F5036" i="1"/>
  <c r="E5036" i="1"/>
  <c r="D5036" i="1"/>
  <c r="C5036" i="1"/>
  <c r="B5036" i="1"/>
  <c r="A5036" i="1"/>
  <c r="R5035" i="1"/>
  <c r="J5035" i="1"/>
  <c r="I5035" i="1"/>
  <c r="G5035" i="1"/>
  <c r="F5035" i="1"/>
  <c r="E5035" i="1"/>
  <c r="D5035" i="1"/>
  <c r="C5035" i="1"/>
  <c r="B5035" i="1"/>
  <c r="A5035" i="1"/>
  <c r="S5034" i="1"/>
  <c r="O5034" i="1"/>
  <c r="K5034" i="1"/>
  <c r="J5034" i="1"/>
  <c r="I5034" i="1"/>
  <c r="H5034" i="1"/>
  <c r="G5034" i="1"/>
  <c r="F5034" i="1"/>
  <c r="E5034" i="1"/>
  <c r="D5034" i="1"/>
  <c r="C5034" i="1"/>
  <c r="B5034" i="1"/>
  <c r="A5034" i="1"/>
  <c r="R5033" i="1"/>
  <c r="J5033" i="1"/>
  <c r="I5033" i="1"/>
  <c r="G5033" i="1"/>
  <c r="F5033" i="1"/>
  <c r="E5033" i="1"/>
  <c r="D5033" i="1"/>
  <c r="C5033" i="1"/>
  <c r="B5033" i="1"/>
  <c r="A5033" i="1"/>
  <c r="S5032" i="1"/>
  <c r="O5032" i="1"/>
  <c r="K5032" i="1"/>
  <c r="J5032" i="1"/>
  <c r="I5032" i="1"/>
  <c r="H5032" i="1"/>
  <c r="G5032" i="1"/>
  <c r="F5032" i="1"/>
  <c r="E5032" i="1"/>
  <c r="D5032" i="1"/>
  <c r="C5032" i="1"/>
  <c r="B5032" i="1"/>
  <c r="A5032" i="1"/>
  <c r="R5031" i="1"/>
  <c r="J5031" i="1"/>
  <c r="I5031" i="1"/>
  <c r="G5031" i="1"/>
  <c r="F5031" i="1"/>
  <c r="E5031" i="1"/>
  <c r="D5031" i="1"/>
  <c r="C5031" i="1"/>
  <c r="B5031" i="1"/>
  <c r="A5031" i="1"/>
  <c r="S5030" i="1"/>
  <c r="O5030" i="1"/>
  <c r="K5030" i="1"/>
  <c r="J5030" i="1"/>
  <c r="I5030" i="1"/>
  <c r="H5030" i="1"/>
  <c r="G5030" i="1"/>
  <c r="F5030" i="1"/>
  <c r="E5030" i="1"/>
  <c r="D5030" i="1"/>
  <c r="C5030" i="1"/>
  <c r="B5030" i="1"/>
  <c r="A5030" i="1"/>
  <c r="R5029" i="1"/>
  <c r="J5029" i="1"/>
  <c r="I5029" i="1"/>
  <c r="G5029" i="1"/>
  <c r="F5029" i="1"/>
  <c r="E5029" i="1"/>
  <c r="D5029" i="1"/>
  <c r="C5029" i="1"/>
  <c r="B5029" i="1"/>
  <c r="A5029" i="1"/>
  <c r="S5028" i="1"/>
  <c r="O5028" i="1"/>
  <c r="K5028" i="1"/>
  <c r="J5028" i="1"/>
  <c r="I5028" i="1"/>
  <c r="H5028" i="1"/>
  <c r="G5028" i="1"/>
  <c r="F5028" i="1"/>
  <c r="E5028" i="1"/>
  <c r="D5028" i="1"/>
  <c r="C5028" i="1"/>
  <c r="B5028" i="1"/>
  <c r="A5028" i="1"/>
  <c r="R5027" i="1"/>
  <c r="J5027" i="1"/>
  <c r="I5027" i="1"/>
  <c r="G5027" i="1"/>
  <c r="F5027" i="1"/>
  <c r="E5027" i="1"/>
  <c r="D5027" i="1"/>
  <c r="C5027" i="1"/>
  <c r="B5027" i="1"/>
  <c r="A5027" i="1"/>
  <c r="S5026" i="1"/>
  <c r="O5026" i="1"/>
  <c r="K5026" i="1"/>
  <c r="J5026" i="1"/>
  <c r="I5026" i="1"/>
  <c r="H5026" i="1"/>
  <c r="G5026" i="1"/>
  <c r="F5026" i="1"/>
  <c r="E5026" i="1"/>
  <c r="D5026" i="1"/>
  <c r="C5026" i="1"/>
  <c r="B5026" i="1"/>
  <c r="A5026" i="1"/>
  <c r="R5025" i="1"/>
  <c r="J5025" i="1"/>
  <c r="I5025" i="1"/>
  <c r="G5025" i="1"/>
  <c r="F5025" i="1"/>
  <c r="E5025" i="1"/>
  <c r="D5025" i="1"/>
  <c r="C5025" i="1"/>
  <c r="B5025" i="1"/>
  <c r="A5025" i="1"/>
  <c r="S5024" i="1"/>
  <c r="O5024" i="1"/>
  <c r="K5024" i="1"/>
  <c r="J5024" i="1"/>
  <c r="I5024" i="1"/>
  <c r="H5024" i="1"/>
  <c r="G5024" i="1"/>
  <c r="F5024" i="1"/>
  <c r="E5024" i="1"/>
  <c r="D5024" i="1"/>
  <c r="C5024" i="1"/>
  <c r="B5024" i="1"/>
  <c r="A5024" i="1"/>
  <c r="R5023" i="1"/>
  <c r="J5023" i="1"/>
  <c r="I5023" i="1"/>
  <c r="G5023" i="1"/>
  <c r="F5023" i="1"/>
  <c r="E5023" i="1"/>
  <c r="D5023" i="1"/>
  <c r="C5023" i="1"/>
  <c r="B5023" i="1"/>
  <c r="A5023" i="1"/>
  <c r="S5022" i="1"/>
  <c r="O5022" i="1"/>
  <c r="K5022" i="1"/>
  <c r="J5022" i="1"/>
  <c r="I5022" i="1"/>
  <c r="H5022" i="1"/>
  <c r="G5022" i="1"/>
  <c r="F5022" i="1"/>
  <c r="E5022" i="1"/>
  <c r="D5022" i="1"/>
  <c r="C5022" i="1"/>
  <c r="B5022" i="1"/>
  <c r="A5022" i="1"/>
  <c r="R5021" i="1"/>
  <c r="J5021" i="1"/>
  <c r="I5021" i="1"/>
  <c r="G5021" i="1"/>
  <c r="F5021" i="1"/>
  <c r="E5021" i="1"/>
  <c r="D5021" i="1"/>
  <c r="C5021" i="1"/>
  <c r="B5021" i="1"/>
  <c r="A5021" i="1"/>
  <c r="S5020" i="1"/>
  <c r="O5020" i="1"/>
  <c r="K5020" i="1"/>
  <c r="J5020" i="1"/>
  <c r="I5020" i="1"/>
  <c r="H5020" i="1"/>
  <c r="G5020" i="1"/>
  <c r="F5020" i="1"/>
  <c r="E5020" i="1"/>
  <c r="D5020" i="1"/>
  <c r="C5020" i="1"/>
  <c r="B5020" i="1"/>
  <c r="A5020" i="1"/>
  <c r="R5019" i="1"/>
  <c r="J5019" i="1"/>
  <c r="I5019" i="1"/>
  <c r="G5019" i="1"/>
  <c r="F5019" i="1"/>
  <c r="E5019" i="1"/>
  <c r="D5019" i="1"/>
  <c r="C5019" i="1"/>
  <c r="B5019" i="1"/>
  <c r="A5019" i="1"/>
  <c r="S5018" i="1"/>
  <c r="O5018" i="1"/>
  <c r="K5018" i="1"/>
  <c r="J5018" i="1"/>
  <c r="I5018" i="1"/>
  <c r="H5018" i="1"/>
  <c r="G5018" i="1"/>
  <c r="F5018" i="1"/>
  <c r="E5018" i="1"/>
  <c r="D5018" i="1"/>
  <c r="C5018" i="1"/>
  <c r="B5018" i="1"/>
  <c r="A5018" i="1"/>
  <c r="R5017" i="1"/>
  <c r="J5017" i="1"/>
  <c r="I5017" i="1"/>
  <c r="G5017" i="1"/>
  <c r="F5017" i="1"/>
  <c r="E5017" i="1"/>
  <c r="D5017" i="1"/>
  <c r="C5017" i="1"/>
  <c r="B5017" i="1"/>
  <c r="A5017" i="1"/>
  <c r="S5016" i="1"/>
  <c r="O5016" i="1"/>
  <c r="K5016" i="1"/>
  <c r="J5016" i="1"/>
  <c r="I5016" i="1"/>
  <c r="H5016" i="1"/>
  <c r="G5016" i="1"/>
  <c r="F5016" i="1"/>
  <c r="E5016" i="1"/>
  <c r="D5016" i="1"/>
  <c r="C5016" i="1"/>
  <c r="B5016" i="1"/>
  <c r="A5016" i="1"/>
  <c r="R5015" i="1"/>
  <c r="J5015" i="1"/>
  <c r="I5015" i="1"/>
  <c r="G5015" i="1"/>
  <c r="F5015" i="1"/>
  <c r="E5015" i="1"/>
  <c r="D5015" i="1"/>
  <c r="C5015" i="1"/>
  <c r="B5015" i="1"/>
  <c r="A5015" i="1"/>
  <c r="S5014" i="1"/>
  <c r="O5014" i="1"/>
  <c r="K5014" i="1"/>
  <c r="J5014" i="1"/>
  <c r="I5014" i="1"/>
  <c r="H5014" i="1"/>
  <c r="G5014" i="1"/>
  <c r="F5014" i="1"/>
  <c r="E5014" i="1"/>
  <c r="D5014" i="1"/>
  <c r="C5014" i="1"/>
  <c r="B5014" i="1"/>
  <c r="A5014" i="1"/>
  <c r="R5013" i="1"/>
  <c r="J5013" i="1"/>
  <c r="I5013" i="1"/>
  <c r="G5013" i="1"/>
  <c r="F5013" i="1"/>
  <c r="E5013" i="1"/>
  <c r="D5013" i="1"/>
  <c r="C5013" i="1"/>
  <c r="B5013" i="1"/>
  <c r="A5013" i="1"/>
  <c r="S5012" i="1"/>
  <c r="O5012" i="1"/>
  <c r="K5012" i="1"/>
  <c r="J5012" i="1"/>
  <c r="I5012" i="1"/>
  <c r="H5012" i="1"/>
  <c r="G5012" i="1"/>
  <c r="F5012" i="1"/>
  <c r="E5012" i="1"/>
  <c r="D5012" i="1"/>
  <c r="C5012" i="1"/>
  <c r="B5012" i="1"/>
  <c r="A5012" i="1"/>
  <c r="R5011" i="1"/>
  <c r="J5011" i="1"/>
  <c r="I5011" i="1"/>
  <c r="G5011" i="1"/>
  <c r="F5011" i="1"/>
  <c r="E5011" i="1"/>
  <c r="D5011" i="1"/>
  <c r="C5011" i="1"/>
  <c r="B5011" i="1"/>
  <c r="A5011" i="1"/>
  <c r="S5010" i="1"/>
  <c r="O5010" i="1"/>
  <c r="K5010" i="1"/>
  <c r="J5010" i="1"/>
  <c r="I5010" i="1"/>
  <c r="H5010" i="1"/>
  <c r="G5010" i="1"/>
  <c r="F5010" i="1"/>
  <c r="E5010" i="1"/>
  <c r="D5010" i="1"/>
  <c r="C5010" i="1"/>
  <c r="B5010" i="1"/>
  <c r="A5010" i="1"/>
  <c r="R5009" i="1"/>
  <c r="J5009" i="1"/>
  <c r="I5009" i="1"/>
  <c r="G5009" i="1"/>
  <c r="F5009" i="1"/>
  <c r="E5009" i="1"/>
  <c r="D5009" i="1"/>
  <c r="C5009" i="1"/>
  <c r="B5009" i="1"/>
  <c r="A5009" i="1"/>
  <c r="S5008" i="1"/>
  <c r="O5008" i="1"/>
  <c r="K5008" i="1"/>
  <c r="J5008" i="1"/>
  <c r="I5008" i="1"/>
  <c r="H5008" i="1"/>
  <c r="G5008" i="1"/>
  <c r="F5008" i="1"/>
  <c r="E5008" i="1"/>
  <c r="D5008" i="1"/>
  <c r="C5008" i="1"/>
  <c r="B5008" i="1"/>
  <c r="A5008" i="1"/>
  <c r="R5007" i="1"/>
  <c r="J5007" i="1"/>
  <c r="I5007" i="1"/>
  <c r="G5007" i="1"/>
  <c r="F5007" i="1"/>
  <c r="E5007" i="1"/>
  <c r="D5007" i="1"/>
  <c r="C5007" i="1"/>
  <c r="B5007" i="1"/>
  <c r="A5007" i="1"/>
  <c r="S5006" i="1"/>
  <c r="O5006" i="1"/>
  <c r="K5006" i="1"/>
  <c r="J5006" i="1"/>
  <c r="I5006" i="1"/>
  <c r="H5006" i="1"/>
  <c r="G5006" i="1"/>
  <c r="F5006" i="1"/>
  <c r="E5006" i="1"/>
  <c r="D5006" i="1"/>
  <c r="C5006" i="1"/>
  <c r="B5006" i="1"/>
  <c r="A5006" i="1"/>
  <c r="R5005" i="1"/>
  <c r="J5005" i="1"/>
  <c r="I5005" i="1"/>
  <c r="G5005" i="1"/>
  <c r="F5005" i="1"/>
  <c r="E5005" i="1"/>
  <c r="D5005" i="1"/>
  <c r="C5005" i="1"/>
  <c r="B5005" i="1"/>
  <c r="A5005" i="1"/>
  <c r="S5004" i="1"/>
  <c r="O5004" i="1"/>
  <c r="K5004" i="1"/>
  <c r="J5004" i="1"/>
  <c r="I5004" i="1"/>
  <c r="H5004" i="1"/>
  <c r="G5004" i="1"/>
  <c r="F5004" i="1"/>
  <c r="E5004" i="1"/>
  <c r="D5004" i="1"/>
  <c r="C5004" i="1"/>
  <c r="B5004" i="1"/>
  <c r="A5004" i="1"/>
  <c r="R5003" i="1"/>
  <c r="J5003" i="1"/>
  <c r="I5003" i="1"/>
  <c r="G5003" i="1"/>
  <c r="F5003" i="1"/>
  <c r="E5003" i="1"/>
  <c r="D5003" i="1"/>
  <c r="C5003" i="1"/>
  <c r="B5003" i="1"/>
  <c r="A5003" i="1"/>
  <c r="S5002" i="1"/>
  <c r="O5002" i="1"/>
  <c r="K5002" i="1"/>
  <c r="J5002" i="1"/>
  <c r="I5002" i="1"/>
  <c r="H5002" i="1"/>
  <c r="G5002" i="1"/>
  <c r="F5002" i="1"/>
  <c r="E5002" i="1"/>
  <c r="D5002" i="1"/>
  <c r="C5002" i="1"/>
  <c r="B5002" i="1"/>
  <c r="A5002" i="1"/>
  <c r="R5001" i="1"/>
  <c r="J5001" i="1"/>
  <c r="I5001" i="1"/>
  <c r="G5001" i="1"/>
  <c r="F5001" i="1"/>
  <c r="E5001" i="1"/>
  <c r="D5001" i="1"/>
  <c r="C5001" i="1"/>
  <c r="B5001" i="1"/>
  <c r="A5001" i="1"/>
  <c r="S5000" i="1"/>
  <c r="O5000" i="1"/>
  <c r="K5000" i="1"/>
  <c r="J5000" i="1"/>
  <c r="I5000" i="1"/>
  <c r="H5000" i="1"/>
  <c r="G5000" i="1"/>
  <c r="F5000" i="1"/>
  <c r="E5000" i="1"/>
  <c r="D5000" i="1"/>
  <c r="C5000" i="1"/>
  <c r="B5000" i="1"/>
  <c r="A5000" i="1"/>
  <c r="R4999" i="1"/>
  <c r="J4999" i="1"/>
  <c r="I4999" i="1"/>
  <c r="G4999" i="1"/>
  <c r="F4999" i="1"/>
  <c r="E4999" i="1"/>
  <c r="D4999" i="1"/>
  <c r="C4999" i="1"/>
  <c r="B4999" i="1"/>
  <c r="A4999" i="1"/>
  <c r="S4998" i="1"/>
  <c r="O4998" i="1"/>
  <c r="K4998" i="1"/>
  <c r="J4998" i="1"/>
  <c r="I4998" i="1"/>
  <c r="H4998" i="1"/>
  <c r="G4998" i="1"/>
  <c r="F4998" i="1"/>
  <c r="E4998" i="1"/>
  <c r="D4998" i="1"/>
  <c r="C4998" i="1"/>
  <c r="B4998" i="1"/>
  <c r="A4998" i="1"/>
  <c r="R4997" i="1"/>
  <c r="J4997" i="1"/>
  <c r="I4997" i="1"/>
  <c r="G4997" i="1"/>
  <c r="F4997" i="1"/>
  <c r="E4997" i="1"/>
  <c r="D4997" i="1"/>
  <c r="C4997" i="1"/>
  <c r="B4997" i="1"/>
  <c r="A4997" i="1"/>
  <c r="S4996" i="1"/>
  <c r="O4996" i="1"/>
  <c r="K4996" i="1"/>
  <c r="J4996" i="1"/>
  <c r="I4996" i="1"/>
  <c r="H4996" i="1"/>
  <c r="G4996" i="1"/>
  <c r="F4996" i="1"/>
  <c r="E4996" i="1"/>
  <c r="D4996" i="1"/>
  <c r="C4996" i="1"/>
  <c r="B4996" i="1"/>
  <c r="A4996" i="1"/>
  <c r="R4995" i="1"/>
  <c r="J4995" i="1"/>
  <c r="I4995" i="1"/>
  <c r="G4995" i="1"/>
  <c r="F4995" i="1"/>
  <c r="E4995" i="1"/>
  <c r="D4995" i="1"/>
  <c r="C4995" i="1"/>
  <c r="B4995" i="1"/>
  <c r="A4995" i="1"/>
  <c r="S4994" i="1"/>
  <c r="O4994" i="1"/>
  <c r="K4994" i="1"/>
  <c r="J4994" i="1"/>
  <c r="I4994" i="1"/>
  <c r="H4994" i="1"/>
  <c r="G4994" i="1"/>
  <c r="F4994" i="1"/>
  <c r="E4994" i="1"/>
  <c r="D4994" i="1"/>
  <c r="C4994" i="1"/>
  <c r="B4994" i="1"/>
  <c r="A4994" i="1"/>
  <c r="R4993" i="1"/>
  <c r="J4993" i="1"/>
  <c r="I4993" i="1"/>
  <c r="G4993" i="1"/>
  <c r="F4993" i="1"/>
  <c r="E4993" i="1"/>
  <c r="D4993" i="1"/>
  <c r="C4993" i="1"/>
  <c r="B4993" i="1"/>
  <c r="A4993" i="1"/>
  <c r="S4992" i="1"/>
  <c r="O4992" i="1"/>
  <c r="K4992" i="1"/>
  <c r="J4992" i="1"/>
  <c r="I4992" i="1"/>
  <c r="H4992" i="1"/>
  <c r="G4992" i="1"/>
  <c r="F4992" i="1"/>
  <c r="E4992" i="1"/>
  <c r="D4992" i="1"/>
  <c r="C4992" i="1"/>
  <c r="B4992" i="1"/>
  <c r="A4992" i="1"/>
  <c r="R4991" i="1"/>
  <c r="J4991" i="1"/>
  <c r="I4991" i="1"/>
  <c r="G4991" i="1"/>
  <c r="F4991" i="1"/>
  <c r="E4991" i="1"/>
  <c r="D4991" i="1"/>
  <c r="C4991" i="1"/>
  <c r="B4991" i="1"/>
  <c r="A4991" i="1"/>
  <c r="S4990" i="1"/>
  <c r="O4990" i="1"/>
  <c r="K4990" i="1"/>
  <c r="J4990" i="1"/>
  <c r="I4990" i="1"/>
  <c r="H4990" i="1"/>
  <c r="G4990" i="1"/>
  <c r="F4990" i="1"/>
  <c r="E4990" i="1"/>
  <c r="D4990" i="1"/>
  <c r="C4990" i="1"/>
  <c r="B4990" i="1"/>
  <c r="A4990" i="1"/>
  <c r="R4989" i="1"/>
  <c r="J4989" i="1"/>
  <c r="I4989" i="1"/>
  <c r="G4989" i="1"/>
  <c r="F4989" i="1"/>
  <c r="E4989" i="1"/>
  <c r="D4989" i="1"/>
  <c r="C4989" i="1"/>
  <c r="B4989" i="1"/>
  <c r="A4989" i="1"/>
  <c r="S4988" i="1"/>
  <c r="O4988" i="1"/>
  <c r="K4988" i="1"/>
  <c r="J4988" i="1"/>
  <c r="I4988" i="1"/>
  <c r="H4988" i="1"/>
  <c r="G4988" i="1"/>
  <c r="F4988" i="1"/>
  <c r="E4988" i="1"/>
  <c r="D4988" i="1"/>
  <c r="C4988" i="1"/>
  <c r="B4988" i="1"/>
  <c r="A4988" i="1"/>
  <c r="R4987" i="1"/>
  <c r="J4987" i="1"/>
  <c r="I4987" i="1"/>
  <c r="G4987" i="1"/>
  <c r="F4987" i="1"/>
  <c r="E4987" i="1"/>
  <c r="D4987" i="1"/>
  <c r="C4987" i="1"/>
  <c r="B4987" i="1"/>
  <c r="A4987" i="1"/>
  <c r="S4986" i="1"/>
  <c r="O4986" i="1"/>
  <c r="K4986" i="1"/>
  <c r="J4986" i="1"/>
  <c r="I4986" i="1"/>
  <c r="H4986" i="1"/>
  <c r="G4986" i="1"/>
  <c r="F4986" i="1"/>
  <c r="E4986" i="1"/>
  <c r="D4986" i="1"/>
  <c r="C4986" i="1"/>
  <c r="B4986" i="1"/>
  <c r="A4986" i="1"/>
  <c r="R4985" i="1"/>
  <c r="J4985" i="1"/>
  <c r="I4985" i="1"/>
  <c r="G4985" i="1"/>
  <c r="F4985" i="1"/>
  <c r="E4985" i="1"/>
  <c r="D4985" i="1"/>
  <c r="C4985" i="1"/>
  <c r="B4985" i="1"/>
  <c r="A4985" i="1"/>
  <c r="S4984" i="1"/>
  <c r="O4984" i="1"/>
  <c r="K4984" i="1"/>
  <c r="J4984" i="1"/>
  <c r="I4984" i="1"/>
  <c r="H4984" i="1"/>
  <c r="G4984" i="1"/>
  <c r="F4984" i="1"/>
  <c r="E4984" i="1"/>
  <c r="D4984" i="1"/>
  <c r="C4984" i="1"/>
  <c r="B4984" i="1"/>
  <c r="A4984" i="1"/>
  <c r="R4983" i="1"/>
  <c r="J4983" i="1"/>
  <c r="I4983" i="1"/>
  <c r="G4983" i="1"/>
  <c r="F4983" i="1"/>
  <c r="E4983" i="1"/>
  <c r="D4983" i="1"/>
  <c r="C4983" i="1"/>
  <c r="B4983" i="1"/>
  <c r="A4983" i="1"/>
  <c r="S4982" i="1"/>
  <c r="O4982" i="1"/>
  <c r="K4982" i="1"/>
  <c r="J4982" i="1"/>
  <c r="I4982" i="1"/>
  <c r="H4982" i="1"/>
  <c r="G4982" i="1"/>
  <c r="F4982" i="1"/>
  <c r="E4982" i="1"/>
  <c r="D4982" i="1"/>
  <c r="C4982" i="1"/>
  <c r="B4982" i="1"/>
  <c r="A4982" i="1"/>
  <c r="R4981" i="1"/>
  <c r="J4981" i="1"/>
  <c r="I4981" i="1"/>
  <c r="G4981" i="1"/>
  <c r="F4981" i="1"/>
  <c r="E4981" i="1"/>
  <c r="D4981" i="1"/>
  <c r="C4981" i="1"/>
  <c r="B4981" i="1"/>
  <c r="A4981" i="1"/>
  <c r="S4980" i="1"/>
  <c r="O4980" i="1"/>
  <c r="K4980" i="1"/>
  <c r="J4980" i="1"/>
  <c r="I4980" i="1"/>
  <c r="H4980" i="1"/>
  <c r="G4980" i="1"/>
  <c r="F4980" i="1"/>
  <c r="E4980" i="1"/>
  <c r="D4980" i="1"/>
  <c r="C4980" i="1"/>
  <c r="B4980" i="1"/>
  <c r="A4980" i="1"/>
  <c r="R4979" i="1"/>
  <c r="J4979" i="1"/>
  <c r="I4979" i="1"/>
  <c r="G4979" i="1"/>
  <c r="F4979" i="1"/>
  <c r="E4979" i="1"/>
  <c r="D4979" i="1"/>
  <c r="C4979" i="1"/>
  <c r="B4979" i="1"/>
  <c r="A4979" i="1"/>
  <c r="S4978" i="1"/>
  <c r="O4978" i="1"/>
  <c r="K4978" i="1"/>
  <c r="J4978" i="1"/>
  <c r="I4978" i="1"/>
  <c r="H4978" i="1"/>
  <c r="G4978" i="1"/>
  <c r="F4978" i="1"/>
  <c r="E4978" i="1"/>
  <c r="D4978" i="1"/>
  <c r="C4978" i="1"/>
  <c r="B4978" i="1"/>
  <c r="A4978" i="1"/>
  <c r="R4977" i="1"/>
  <c r="J4977" i="1"/>
  <c r="I4977" i="1"/>
  <c r="G4977" i="1"/>
  <c r="F4977" i="1"/>
  <c r="E4977" i="1"/>
  <c r="D4977" i="1"/>
  <c r="C4977" i="1"/>
  <c r="B4977" i="1"/>
  <c r="A4977" i="1"/>
  <c r="S4976" i="1"/>
  <c r="O4976" i="1"/>
  <c r="K4976" i="1"/>
  <c r="J4976" i="1"/>
  <c r="I4976" i="1"/>
  <c r="H4976" i="1"/>
  <c r="G4976" i="1"/>
  <c r="F4976" i="1"/>
  <c r="E4976" i="1"/>
  <c r="D4976" i="1"/>
  <c r="C4976" i="1"/>
  <c r="B4976" i="1"/>
  <c r="A4976" i="1"/>
  <c r="R4975" i="1"/>
  <c r="J4975" i="1"/>
  <c r="I4975" i="1"/>
  <c r="G4975" i="1"/>
  <c r="F4975" i="1"/>
  <c r="E4975" i="1"/>
  <c r="D4975" i="1"/>
  <c r="C4975" i="1"/>
  <c r="B4975" i="1"/>
  <c r="A4975" i="1"/>
  <c r="S4974" i="1"/>
  <c r="O4974" i="1"/>
  <c r="K4974" i="1"/>
  <c r="J4974" i="1"/>
  <c r="I4974" i="1"/>
  <c r="H4974" i="1"/>
  <c r="G4974" i="1"/>
  <c r="F4974" i="1"/>
  <c r="E4974" i="1"/>
  <c r="D4974" i="1"/>
  <c r="C4974" i="1"/>
  <c r="B4974" i="1"/>
  <c r="A4974" i="1"/>
  <c r="R4973" i="1"/>
  <c r="J4973" i="1"/>
  <c r="I4973" i="1"/>
  <c r="G4973" i="1"/>
  <c r="F4973" i="1"/>
  <c r="E4973" i="1"/>
  <c r="D4973" i="1"/>
  <c r="C4973" i="1"/>
  <c r="B4973" i="1"/>
  <c r="A4973" i="1"/>
  <c r="S4972" i="1"/>
  <c r="O4972" i="1"/>
  <c r="K4972" i="1"/>
  <c r="J4972" i="1"/>
  <c r="I4972" i="1"/>
  <c r="H4972" i="1"/>
  <c r="G4972" i="1"/>
  <c r="F4972" i="1"/>
  <c r="E4972" i="1"/>
  <c r="D4972" i="1"/>
  <c r="C4972" i="1"/>
  <c r="B4972" i="1"/>
  <c r="A4972" i="1"/>
  <c r="R4971" i="1"/>
  <c r="J4971" i="1"/>
  <c r="I4971" i="1"/>
  <c r="G4971" i="1"/>
  <c r="F4971" i="1"/>
  <c r="E4971" i="1"/>
  <c r="D4971" i="1"/>
  <c r="C4971" i="1"/>
  <c r="B4971" i="1"/>
  <c r="A4971" i="1"/>
  <c r="S4970" i="1"/>
  <c r="O4970" i="1"/>
  <c r="K4970" i="1"/>
  <c r="J4970" i="1"/>
  <c r="I4970" i="1"/>
  <c r="H4970" i="1"/>
  <c r="G4970" i="1"/>
  <c r="F4970" i="1"/>
  <c r="E4970" i="1"/>
  <c r="D4970" i="1"/>
  <c r="C4970" i="1"/>
  <c r="B4970" i="1"/>
  <c r="A4970" i="1"/>
  <c r="R4969" i="1"/>
  <c r="J4969" i="1"/>
  <c r="I4969" i="1"/>
  <c r="G4969" i="1"/>
  <c r="F4969" i="1"/>
  <c r="E4969" i="1"/>
  <c r="D4969" i="1"/>
  <c r="C4969" i="1"/>
  <c r="B4969" i="1"/>
  <c r="A4969" i="1"/>
  <c r="S4968" i="1"/>
  <c r="O4968" i="1"/>
  <c r="K4968" i="1"/>
  <c r="J4968" i="1"/>
  <c r="I4968" i="1"/>
  <c r="H4968" i="1"/>
  <c r="G4968" i="1"/>
  <c r="F4968" i="1"/>
  <c r="E4968" i="1"/>
  <c r="D4968" i="1"/>
  <c r="C4968" i="1"/>
  <c r="B4968" i="1"/>
  <c r="A4968" i="1"/>
  <c r="R4967" i="1"/>
  <c r="J4967" i="1"/>
  <c r="I4967" i="1"/>
  <c r="G4967" i="1"/>
  <c r="F4967" i="1"/>
  <c r="E4967" i="1"/>
  <c r="D4967" i="1"/>
  <c r="C4967" i="1"/>
  <c r="B4967" i="1"/>
  <c r="A4967" i="1"/>
  <c r="S4966" i="1"/>
  <c r="O4966" i="1"/>
  <c r="K4966" i="1"/>
  <c r="J4966" i="1"/>
  <c r="I4966" i="1"/>
  <c r="H4966" i="1"/>
  <c r="G4966" i="1"/>
  <c r="F4966" i="1"/>
  <c r="E4966" i="1"/>
  <c r="D4966" i="1"/>
  <c r="C4966" i="1"/>
  <c r="B4966" i="1"/>
  <c r="A4966" i="1"/>
  <c r="R4965" i="1"/>
  <c r="J4965" i="1"/>
  <c r="I4965" i="1"/>
  <c r="G4965" i="1"/>
  <c r="F4965" i="1"/>
  <c r="E4965" i="1"/>
  <c r="D4965" i="1"/>
  <c r="C4965" i="1"/>
  <c r="B4965" i="1"/>
  <c r="A4965" i="1"/>
  <c r="S4964" i="1"/>
  <c r="O4964" i="1"/>
  <c r="K4964" i="1"/>
  <c r="J4964" i="1"/>
  <c r="I4964" i="1"/>
  <c r="H4964" i="1"/>
  <c r="G4964" i="1"/>
  <c r="F4964" i="1"/>
  <c r="E4964" i="1"/>
  <c r="D4964" i="1"/>
  <c r="C4964" i="1"/>
  <c r="B4964" i="1"/>
  <c r="A4964" i="1"/>
  <c r="R4963" i="1"/>
  <c r="J4963" i="1"/>
  <c r="I4963" i="1"/>
  <c r="G4963" i="1"/>
  <c r="F4963" i="1"/>
  <c r="E4963" i="1"/>
  <c r="D4963" i="1"/>
  <c r="C4963" i="1"/>
  <c r="B4963" i="1"/>
  <c r="A4963" i="1"/>
  <c r="S4962" i="1"/>
  <c r="O4962" i="1"/>
  <c r="K4962" i="1"/>
  <c r="J4962" i="1"/>
  <c r="I4962" i="1"/>
  <c r="H4962" i="1"/>
  <c r="G4962" i="1"/>
  <c r="F4962" i="1"/>
  <c r="E4962" i="1"/>
  <c r="D4962" i="1"/>
  <c r="C4962" i="1"/>
  <c r="B4962" i="1"/>
  <c r="A4962" i="1"/>
  <c r="R4961" i="1"/>
  <c r="J4961" i="1"/>
  <c r="I4961" i="1"/>
  <c r="G4961" i="1"/>
  <c r="F4961" i="1"/>
  <c r="E4961" i="1"/>
  <c r="D4961" i="1"/>
  <c r="C4961" i="1"/>
  <c r="B4961" i="1"/>
  <c r="A4961" i="1"/>
  <c r="S4960" i="1"/>
  <c r="O4960" i="1"/>
  <c r="K4960" i="1"/>
  <c r="J4960" i="1"/>
  <c r="I4960" i="1"/>
  <c r="H4960" i="1"/>
  <c r="G4960" i="1"/>
  <c r="F4960" i="1"/>
  <c r="E4960" i="1"/>
  <c r="D4960" i="1"/>
  <c r="C4960" i="1"/>
  <c r="B4960" i="1"/>
  <c r="A4960" i="1"/>
  <c r="R4959" i="1"/>
  <c r="J4959" i="1"/>
  <c r="I4959" i="1"/>
  <c r="G4959" i="1"/>
  <c r="F4959" i="1"/>
  <c r="E4959" i="1"/>
  <c r="D4959" i="1"/>
  <c r="C4959" i="1"/>
  <c r="B4959" i="1"/>
  <c r="A4959" i="1"/>
  <c r="S4958" i="1"/>
  <c r="O4958" i="1"/>
  <c r="K4958" i="1"/>
  <c r="J4958" i="1"/>
  <c r="I4958" i="1"/>
  <c r="H4958" i="1"/>
  <c r="G4958" i="1"/>
  <c r="F4958" i="1"/>
  <c r="E4958" i="1"/>
  <c r="D4958" i="1"/>
  <c r="C4958" i="1"/>
  <c r="B4958" i="1"/>
  <c r="A4958" i="1"/>
  <c r="R4957" i="1"/>
  <c r="J4957" i="1"/>
  <c r="I4957" i="1"/>
  <c r="G4957" i="1"/>
  <c r="F4957" i="1"/>
  <c r="E4957" i="1"/>
  <c r="D4957" i="1"/>
  <c r="C4957" i="1"/>
  <c r="B4957" i="1"/>
  <c r="A4957" i="1"/>
  <c r="S4956" i="1"/>
  <c r="O4956" i="1"/>
  <c r="K4956" i="1"/>
  <c r="J4956" i="1"/>
  <c r="I4956" i="1"/>
  <c r="H4956" i="1"/>
  <c r="G4956" i="1"/>
  <c r="F4956" i="1"/>
  <c r="E4956" i="1"/>
  <c r="D4956" i="1"/>
  <c r="C4956" i="1"/>
  <c r="B4956" i="1"/>
  <c r="A4956" i="1"/>
  <c r="R4955" i="1"/>
  <c r="J4955" i="1"/>
  <c r="I4955" i="1"/>
  <c r="G4955" i="1"/>
  <c r="F4955" i="1"/>
  <c r="E4955" i="1"/>
  <c r="D4955" i="1"/>
  <c r="C4955" i="1"/>
  <c r="B4955" i="1"/>
  <c r="A4955" i="1"/>
  <c r="S4954" i="1"/>
  <c r="O4954" i="1"/>
  <c r="K4954" i="1"/>
  <c r="J4954" i="1"/>
  <c r="I4954" i="1"/>
  <c r="H4954" i="1"/>
  <c r="G4954" i="1"/>
  <c r="F4954" i="1"/>
  <c r="E4954" i="1"/>
  <c r="D4954" i="1"/>
  <c r="C4954" i="1"/>
  <c r="B4954" i="1"/>
  <c r="A4954" i="1"/>
  <c r="R4953" i="1"/>
  <c r="J4953" i="1"/>
  <c r="I4953" i="1"/>
  <c r="G4953" i="1"/>
  <c r="F4953" i="1"/>
  <c r="E4953" i="1"/>
  <c r="D4953" i="1"/>
  <c r="C4953" i="1"/>
  <c r="B4953" i="1"/>
  <c r="A4953" i="1"/>
  <c r="S4952" i="1"/>
  <c r="O4952" i="1"/>
  <c r="K4952" i="1"/>
  <c r="J4952" i="1"/>
  <c r="I4952" i="1"/>
  <c r="H4952" i="1"/>
  <c r="G4952" i="1"/>
  <c r="F4952" i="1"/>
  <c r="E4952" i="1"/>
  <c r="D4952" i="1"/>
  <c r="C4952" i="1"/>
  <c r="B4952" i="1"/>
  <c r="A4952" i="1"/>
  <c r="R4951" i="1"/>
  <c r="J4951" i="1"/>
  <c r="I4951" i="1"/>
  <c r="G4951" i="1"/>
  <c r="F4951" i="1"/>
  <c r="E4951" i="1"/>
  <c r="D4951" i="1"/>
  <c r="C4951" i="1"/>
  <c r="B4951" i="1"/>
  <c r="A4951" i="1"/>
  <c r="S4950" i="1"/>
  <c r="O4950" i="1"/>
  <c r="K4950" i="1"/>
  <c r="J4950" i="1"/>
  <c r="I4950" i="1"/>
  <c r="H4950" i="1"/>
  <c r="G4950" i="1"/>
  <c r="F4950" i="1"/>
  <c r="E4950" i="1"/>
  <c r="D4950" i="1"/>
  <c r="C4950" i="1"/>
  <c r="B4950" i="1"/>
  <c r="A4950" i="1"/>
  <c r="R4949" i="1"/>
  <c r="J4949" i="1"/>
  <c r="I4949" i="1"/>
  <c r="G4949" i="1"/>
  <c r="F4949" i="1"/>
  <c r="E4949" i="1"/>
  <c r="D4949" i="1"/>
  <c r="C4949" i="1"/>
  <c r="B4949" i="1"/>
  <c r="A4949" i="1"/>
  <c r="S4948" i="1"/>
  <c r="O4948" i="1"/>
  <c r="K4948" i="1"/>
  <c r="J4948" i="1"/>
  <c r="I4948" i="1"/>
  <c r="H4948" i="1"/>
  <c r="G4948" i="1"/>
  <c r="F4948" i="1"/>
  <c r="E4948" i="1"/>
  <c r="D4948" i="1"/>
  <c r="C4948" i="1"/>
  <c r="B4948" i="1"/>
  <c r="A4948" i="1"/>
  <c r="R4947" i="1"/>
  <c r="J4947" i="1"/>
  <c r="I4947" i="1"/>
  <c r="G4947" i="1"/>
  <c r="F4947" i="1"/>
  <c r="E4947" i="1"/>
  <c r="D4947" i="1"/>
  <c r="C4947" i="1"/>
  <c r="B4947" i="1"/>
  <c r="A4947" i="1"/>
  <c r="S4946" i="1"/>
  <c r="O4946" i="1"/>
  <c r="K4946" i="1"/>
  <c r="J4946" i="1"/>
  <c r="I4946" i="1"/>
  <c r="H4946" i="1"/>
  <c r="G4946" i="1"/>
  <c r="F4946" i="1"/>
  <c r="E4946" i="1"/>
  <c r="D4946" i="1"/>
  <c r="C4946" i="1"/>
  <c r="B4946" i="1"/>
  <c r="A4946" i="1"/>
  <c r="R4945" i="1"/>
  <c r="J4945" i="1"/>
  <c r="I4945" i="1"/>
  <c r="G4945" i="1"/>
  <c r="F4945" i="1"/>
  <c r="E4945" i="1"/>
  <c r="D4945" i="1"/>
  <c r="C4945" i="1"/>
  <c r="B4945" i="1"/>
  <c r="A4945" i="1"/>
  <c r="S4944" i="1"/>
  <c r="O4944" i="1"/>
  <c r="K4944" i="1"/>
  <c r="J4944" i="1"/>
  <c r="I4944" i="1"/>
  <c r="H4944" i="1"/>
  <c r="G4944" i="1"/>
  <c r="F4944" i="1"/>
  <c r="E4944" i="1"/>
  <c r="D4944" i="1"/>
  <c r="C4944" i="1"/>
  <c r="B4944" i="1"/>
  <c r="A4944" i="1"/>
  <c r="R4943" i="1"/>
  <c r="J4943" i="1"/>
  <c r="I4943" i="1"/>
  <c r="G4943" i="1"/>
  <c r="F4943" i="1"/>
  <c r="E4943" i="1"/>
  <c r="D4943" i="1"/>
  <c r="C4943" i="1"/>
  <c r="B4943" i="1"/>
  <c r="A4943" i="1"/>
  <c r="S4942" i="1"/>
  <c r="O4942" i="1"/>
  <c r="K4942" i="1"/>
  <c r="J4942" i="1"/>
  <c r="I4942" i="1"/>
  <c r="H4942" i="1"/>
  <c r="G4942" i="1"/>
  <c r="F4942" i="1"/>
  <c r="E4942" i="1"/>
  <c r="D4942" i="1"/>
  <c r="C4942" i="1"/>
  <c r="B4942" i="1"/>
  <c r="A4942" i="1"/>
  <c r="R4941" i="1"/>
  <c r="J4941" i="1"/>
  <c r="I4941" i="1"/>
  <c r="G4941" i="1"/>
  <c r="F4941" i="1"/>
  <c r="E4941" i="1"/>
  <c r="D4941" i="1"/>
  <c r="C4941" i="1"/>
  <c r="B4941" i="1"/>
  <c r="A4941" i="1"/>
  <c r="S4940" i="1"/>
  <c r="O4940" i="1"/>
  <c r="K4940" i="1"/>
  <c r="J4940" i="1"/>
  <c r="I4940" i="1"/>
  <c r="H4940" i="1"/>
  <c r="G4940" i="1"/>
  <c r="F4940" i="1"/>
  <c r="E4940" i="1"/>
  <c r="D4940" i="1"/>
  <c r="C4940" i="1"/>
  <c r="B4940" i="1"/>
  <c r="A4940" i="1"/>
  <c r="R4939" i="1"/>
  <c r="J4939" i="1"/>
  <c r="I4939" i="1"/>
  <c r="G4939" i="1"/>
  <c r="F4939" i="1"/>
  <c r="E4939" i="1"/>
  <c r="D4939" i="1"/>
  <c r="C4939" i="1"/>
  <c r="B4939" i="1"/>
  <c r="A4939" i="1"/>
  <c r="S4938" i="1"/>
  <c r="O4938" i="1"/>
  <c r="K4938" i="1"/>
  <c r="J4938" i="1"/>
  <c r="I4938" i="1"/>
  <c r="H4938" i="1"/>
  <c r="G4938" i="1"/>
  <c r="F4938" i="1"/>
  <c r="E4938" i="1"/>
  <c r="D4938" i="1"/>
  <c r="C4938" i="1"/>
  <c r="B4938" i="1"/>
  <c r="A4938" i="1"/>
  <c r="R4937" i="1"/>
  <c r="J4937" i="1"/>
  <c r="I4937" i="1"/>
  <c r="G4937" i="1"/>
  <c r="F4937" i="1"/>
  <c r="E4937" i="1"/>
  <c r="D4937" i="1"/>
  <c r="C4937" i="1"/>
  <c r="B4937" i="1"/>
  <c r="A4937" i="1"/>
  <c r="S4936" i="1"/>
  <c r="O4936" i="1"/>
  <c r="K4936" i="1"/>
  <c r="J4936" i="1"/>
  <c r="I4936" i="1"/>
  <c r="H4936" i="1"/>
  <c r="G4936" i="1"/>
  <c r="F4936" i="1"/>
  <c r="E4936" i="1"/>
  <c r="D4936" i="1"/>
  <c r="C4936" i="1"/>
  <c r="B4936" i="1"/>
  <c r="A4936" i="1"/>
  <c r="R4935" i="1"/>
  <c r="J4935" i="1"/>
  <c r="I4935" i="1"/>
  <c r="G4935" i="1"/>
  <c r="F4935" i="1"/>
  <c r="E4935" i="1"/>
  <c r="D4935" i="1"/>
  <c r="C4935" i="1"/>
  <c r="B4935" i="1"/>
  <c r="A4935" i="1"/>
  <c r="S4934" i="1"/>
  <c r="O4934" i="1"/>
  <c r="K4934" i="1"/>
  <c r="J4934" i="1"/>
  <c r="I4934" i="1"/>
  <c r="H4934" i="1"/>
  <c r="G4934" i="1"/>
  <c r="F4934" i="1"/>
  <c r="E4934" i="1"/>
  <c r="D4934" i="1"/>
  <c r="C4934" i="1"/>
  <c r="B4934" i="1"/>
  <c r="A4934" i="1"/>
  <c r="R4933" i="1"/>
  <c r="J4933" i="1"/>
  <c r="I4933" i="1"/>
  <c r="G4933" i="1"/>
  <c r="F4933" i="1"/>
  <c r="E4933" i="1"/>
  <c r="D4933" i="1"/>
  <c r="C4933" i="1"/>
  <c r="B4933" i="1"/>
  <c r="A4933" i="1"/>
  <c r="S4932" i="1"/>
  <c r="O4932" i="1"/>
  <c r="K4932" i="1"/>
  <c r="J4932" i="1"/>
  <c r="I4932" i="1"/>
  <c r="H4932" i="1"/>
  <c r="G4932" i="1"/>
  <c r="F4932" i="1"/>
  <c r="E4932" i="1"/>
  <c r="D4932" i="1"/>
  <c r="C4932" i="1"/>
  <c r="B4932" i="1"/>
  <c r="A4932" i="1"/>
  <c r="R4931" i="1"/>
  <c r="J4931" i="1"/>
  <c r="I4931" i="1"/>
  <c r="G4931" i="1"/>
  <c r="F4931" i="1"/>
  <c r="E4931" i="1"/>
  <c r="D4931" i="1"/>
  <c r="C4931" i="1"/>
  <c r="B4931" i="1"/>
  <c r="A4931" i="1"/>
  <c r="S4930" i="1"/>
  <c r="O4930" i="1"/>
  <c r="K4930" i="1"/>
  <c r="J4930" i="1"/>
  <c r="I4930" i="1"/>
  <c r="H4930" i="1"/>
  <c r="G4930" i="1"/>
  <c r="F4930" i="1"/>
  <c r="E4930" i="1"/>
  <c r="D4930" i="1"/>
  <c r="C4930" i="1"/>
  <c r="B4930" i="1"/>
  <c r="A4930" i="1"/>
  <c r="R4929" i="1"/>
  <c r="J4929" i="1"/>
  <c r="I4929" i="1"/>
  <c r="G4929" i="1"/>
  <c r="F4929" i="1"/>
  <c r="E4929" i="1"/>
  <c r="D4929" i="1"/>
  <c r="C4929" i="1"/>
  <c r="B4929" i="1"/>
  <c r="A4929" i="1"/>
  <c r="S4928" i="1"/>
  <c r="O4928" i="1"/>
  <c r="K4928" i="1"/>
  <c r="J4928" i="1"/>
  <c r="I4928" i="1"/>
  <c r="H4928" i="1"/>
  <c r="G4928" i="1"/>
  <c r="F4928" i="1"/>
  <c r="E4928" i="1"/>
  <c r="D4928" i="1"/>
  <c r="C4928" i="1"/>
  <c r="B4928" i="1"/>
  <c r="A4928" i="1"/>
  <c r="R4927" i="1"/>
  <c r="J4927" i="1"/>
  <c r="I4927" i="1"/>
  <c r="G4927" i="1"/>
  <c r="F4927" i="1"/>
  <c r="E4927" i="1"/>
  <c r="D4927" i="1"/>
  <c r="C4927" i="1"/>
  <c r="B4927" i="1"/>
  <c r="A4927" i="1"/>
  <c r="S4926" i="1"/>
  <c r="O4926" i="1"/>
  <c r="K4926" i="1"/>
  <c r="J4926" i="1"/>
  <c r="I4926" i="1"/>
  <c r="H4926" i="1"/>
  <c r="G4926" i="1"/>
  <c r="F4926" i="1"/>
  <c r="E4926" i="1"/>
  <c r="D4926" i="1"/>
  <c r="C4926" i="1"/>
  <c r="B4926" i="1"/>
  <c r="A4926" i="1"/>
  <c r="R4925" i="1"/>
  <c r="J4925" i="1"/>
  <c r="I4925" i="1"/>
  <c r="G4925" i="1"/>
  <c r="F4925" i="1"/>
  <c r="E4925" i="1"/>
  <c r="D4925" i="1"/>
  <c r="C4925" i="1"/>
  <c r="B4925" i="1"/>
  <c r="A4925" i="1"/>
  <c r="S4924" i="1"/>
  <c r="O4924" i="1"/>
  <c r="K4924" i="1"/>
  <c r="J4924" i="1"/>
  <c r="I4924" i="1"/>
  <c r="H4924" i="1"/>
  <c r="G4924" i="1"/>
  <c r="F4924" i="1"/>
  <c r="E4924" i="1"/>
  <c r="D4924" i="1"/>
  <c r="C4924" i="1"/>
  <c r="B4924" i="1"/>
  <c r="A4924" i="1"/>
  <c r="R4923" i="1"/>
  <c r="J4923" i="1"/>
  <c r="I4923" i="1"/>
  <c r="G4923" i="1"/>
  <c r="F4923" i="1"/>
  <c r="E4923" i="1"/>
  <c r="D4923" i="1"/>
  <c r="C4923" i="1"/>
  <c r="B4923" i="1"/>
  <c r="A4923" i="1"/>
  <c r="S4922" i="1"/>
  <c r="O4922" i="1"/>
  <c r="K4922" i="1"/>
  <c r="J4922" i="1"/>
  <c r="I4922" i="1"/>
  <c r="H4922" i="1"/>
  <c r="G4922" i="1"/>
  <c r="F4922" i="1"/>
  <c r="E4922" i="1"/>
  <c r="D4922" i="1"/>
  <c r="C4922" i="1"/>
  <c r="B4922" i="1"/>
  <c r="A4922" i="1"/>
  <c r="R4921" i="1"/>
  <c r="J4921" i="1"/>
  <c r="I4921" i="1"/>
  <c r="G4921" i="1"/>
  <c r="F4921" i="1"/>
  <c r="E4921" i="1"/>
  <c r="D4921" i="1"/>
  <c r="C4921" i="1"/>
  <c r="B4921" i="1"/>
  <c r="A4921" i="1"/>
  <c r="S4920" i="1"/>
  <c r="O4920" i="1"/>
  <c r="K4920" i="1"/>
  <c r="J4920" i="1"/>
  <c r="I4920" i="1"/>
  <c r="H4920" i="1"/>
  <c r="G4920" i="1"/>
  <c r="F4920" i="1"/>
  <c r="E4920" i="1"/>
  <c r="D4920" i="1"/>
  <c r="C4920" i="1"/>
  <c r="B4920" i="1"/>
  <c r="A4920" i="1"/>
  <c r="R4919" i="1"/>
  <c r="J4919" i="1"/>
  <c r="I4919" i="1"/>
  <c r="G4919" i="1"/>
  <c r="F4919" i="1"/>
  <c r="E4919" i="1"/>
  <c r="D4919" i="1"/>
  <c r="C4919" i="1"/>
  <c r="B4919" i="1"/>
  <c r="A4919" i="1"/>
  <c r="S4918" i="1"/>
  <c r="O4918" i="1"/>
  <c r="K4918" i="1"/>
  <c r="J4918" i="1"/>
  <c r="I4918" i="1"/>
  <c r="H4918" i="1"/>
  <c r="G4918" i="1"/>
  <c r="F4918" i="1"/>
  <c r="E4918" i="1"/>
  <c r="D4918" i="1"/>
  <c r="C4918" i="1"/>
  <c r="B4918" i="1"/>
  <c r="A4918" i="1"/>
  <c r="R4917" i="1"/>
  <c r="J4917" i="1"/>
  <c r="I4917" i="1"/>
  <c r="G4917" i="1"/>
  <c r="F4917" i="1"/>
  <c r="E4917" i="1"/>
  <c r="D4917" i="1"/>
  <c r="C4917" i="1"/>
  <c r="B4917" i="1"/>
  <c r="A4917" i="1"/>
  <c r="S4916" i="1"/>
  <c r="O4916" i="1"/>
  <c r="K4916" i="1"/>
  <c r="J4916" i="1"/>
  <c r="I4916" i="1"/>
  <c r="H4916" i="1"/>
  <c r="G4916" i="1"/>
  <c r="F4916" i="1"/>
  <c r="E4916" i="1"/>
  <c r="D4916" i="1"/>
  <c r="C4916" i="1"/>
  <c r="B4916" i="1"/>
  <c r="A4916" i="1"/>
  <c r="R4915" i="1"/>
  <c r="J4915" i="1"/>
  <c r="I4915" i="1"/>
  <c r="G4915" i="1"/>
  <c r="F4915" i="1"/>
  <c r="E4915" i="1"/>
  <c r="D4915" i="1"/>
  <c r="C4915" i="1"/>
  <c r="B4915" i="1"/>
  <c r="A4915" i="1"/>
  <c r="S4914" i="1"/>
  <c r="O4914" i="1"/>
  <c r="K4914" i="1"/>
  <c r="J4914" i="1"/>
  <c r="I4914" i="1"/>
  <c r="H4914" i="1"/>
  <c r="G4914" i="1"/>
  <c r="F4914" i="1"/>
  <c r="E4914" i="1"/>
  <c r="D4914" i="1"/>
  <c r="C4914" i="1"/>
  <c r="B4914" i="1"/>
  <c r="A4914" i="1"/>
  <c r="R4913" i="1"/>
  <c r="J4913" i="1"/>
  <c r="I4913" i="1"/>
  <c r="G4913" i="1"/>
  <c r="F4913" i="1"/>
  <c r="E4913" i="1"/>
  <c r="D4913" i="1"/>
  <c r="C4913" i="1"/>
  <c r="B4913" i="1"/>
  <c r="A4913" i="1"/>
  <c r="S4912" i="1"/>
  <c r="O4912" i="1"/>
  <c r="K4912" i="1"/>
  <c r="J4912" i="1"/>
  <c r="I4912" i="1"/>
  <c r="H4912" i="1"/>
  <c r="G4912" i="1"/>
  <c r="F4912" i="1"/>
  <c r="E4912" i="1"/>
  <c r="D4912" i="1"/>
  <c r="C4912" i="1"/>
  <c r="B4912" i="1"/>
  <c r="A4912" i="1"/>
  <c r="R4911" i="1"/>
  <c r="J4911" i="1"/>
  <c r="I4911" i="1"/>
  <c r="G4911" i="1"/>
  <c r="F4911" i="1"/>
  <c r="E4911" i="1"/>
  <c r="D4911" i="1"/>
  <c r="C4911" i="1"/>
  <c r="B4911" i="1"/>
  <c r="A4911" i="1"/>
  <c r="S4910" i="1"/>
  <c r="O4910" i="1"/>
  <c r="K4910" i="1"/>
  <c r="J4910" i="1"/>
  <c r="I4910" i="1"/>
  <c r="H4910" i="1"/>
  <c r="G4910" i="1"/>
  <c r="F4910" i="1"/>
  <c r="E4910" i="1"/>
  <c r="D4910" i="1"/>
  <c r="C4910" i="1"/>
  <c r="B4910" i="1"/>
  <c r="A4910" i="1"/>
  <c r="R4909" i="1"/>
  <c r="J4909" i="1"/>
  <c r="I4909" i="1"/>
  <c r="G4909" i="1"/>
  <c r="F4909" i="1"/>
  <c r="E4909" i="1"/>
  <c r="D4909" i="1"/>
  <c r="C4909" i="1"/>
  <c r="B4909" i="1"/>
  <c r="A4909" i="1"/>
  <c r="S4908" i="1"/>
  <c r="O4908" i="1"/>
  <c r="K4908" i="1"/>
  <c r="J4908" i="1"/>
  <c r="I4908" i="1"/>
  <c r="H4908" i="1"/>
  <c r="G4908" i="1"/>
  <c r="F4908" i="1"/>
  <c r="E4908" i="1"/>
  <c r="D4908" i="1"/>
  <c r="C4908" i="1"/>
  <c r="B4908" i="1"/>
  <c r="A4908" i="1"/>
  <c r="R4907" i="1"/>
  <c r="J4907" i="1"/>
  <c r="I4907" i="1"/>
  <c r="G4907" i="1"/>
  <c r="F4907" i="1"/>
  <c r="E4907" i="1"/>
  <c r="D4907" i="1"/>
  <c r="C4907" i="1"/>
  <c r="B4907" i="1"/>
  <c r="A4907" i="1"/>
  <c r="S4906" i="1"/>
  <c r="O4906" i="1"/>
  <c r="K4906" i="1"/>
  <c r="J4906" i="1"/>
  <c r="I4906" i="1"/>
  <c r="H4906" i="1"/>
  <c r="G4906" i="1"/>
  <c r="F4906" i="1"/>
  <c r="E4906" i="1"/>
  <c r="D4906" i="1"/>
  <c r="C4906" i="1"/>
  <c r="B4906" i="1"/>
  <c r="A4906" i="1"/>
  <c r="R4905" i="1"/>
  <c r="J4905" i="1"/>
  <c r="I4905" i="1"/>
  <c r="G4905" i="1"/>
  <c r="F4905" i="1"/>
  <c r="E4905" i="1"/>
  <c r="D4905" i="1"/>
  <c r="C4905" i="1"/>
  <c r="B4905" i="1"/>
  <c r="A4905" i="1"/>
  <c r="S4904" i="1"/>
  <c r="O4904" i="1"/>
  <c r="K4904" i="1"/>
  <c r="J4904" i="1"/>
  <c r="I4904" i="1"/>
  <c r="H4904" i="1"/>
  <c r="G4904" i="1"/>
  <c r="F4904" i="1"/>
  <c r="E4904" i="1"/>
  <c r="D4904" i="1"/>
  <c r="C4904" i="1"/>
  <c r="B4904" i="1"/>
  <c r="A4904" i="1"/>
  <c r="R4903" i="1"/>
  <c r="J4903" i="1"/>
  <c r="I4903" i="1"/>
  <c r="G4903" i="1"/>
  <c r="F4903" i="1"/>
  <c r="E4903" i="1"/>
  <c r="D4903" i="1"/>
  <c r="C4903" i="1"/>
  <c r="B4903" i="1"/>
  <c r="A4903" i="1"/>
  <c r="S4902" i="1"/>
  <c r="O4902" i="1"/>
  <c r="K4902" i="1"/>
  <c r="J4902" i="1"/>
  <c r="I4902" i="1"/>
  <c r="H4902" i="1"/>
  <c r="G4902" i="1"/>
  <c r="F4902" i="1"/>
  <c r="E4902" i="1"/>
  <c r="D4902" i="1"/>
  <c r="C4902" i="1"/>
  <c r="B4902" i="1"/>
  <c r="A4902" i="1"/>
  <c r="R4901" i="1"/>
  <c r="J4901" i="1"/>
  <c r="I4901" i="1"/>
  <c r="G4901" i="1"/>
  <c r="F4901" i="1"/>
  <c r="E4901" i="1"/>
  <c r="D4901" i="1"/>
  <c r="C4901" i="1"/>
  <c r="B4901" i="1"/>
  <c r="A4901" i="1"/>
  <c r="S4900" i="1"/>
  <c r="O4900" i="1"/>
  <c r="K4900" i="1"/>
  <c r="J4900" i="1"/>
  <c r="I4900" i="1"/>
  <c r="H4900" i="1"/>
  <c r="G4900" i="1"/>
  <c r="F4900" i="1"/>
  <c r="E4900" i="1"/>
  <c r="D4900" i="1"/>
  <c r="C4900" i="1"/>
  <c r="B4900" i="1"/>
  <c r="A4900" i="1"/>
  <c r="R4899" i="1"/>
  <c r="J4899" i="1"/>
  <c r="I4899" i="1"/>
  <c r="G4899" i="1"/>
  <c r="F4899" i="1"/>
  <c r="E4899" i="1"/>
  <c r="D4899" i="1"/>
  <c r="C4899" i="1"/>
  <c r="B4899" i="1"/>
  <c r="A4899" i="1"/>
  <c r="S4898" i="1"/>
  <c r="O4898" i="1"/>
  <c r="K4898" i="1"/>
  <c r="J4898" i="1"/>
  <c r="I4898" i="1"/>
  <c r="H4898" i="1"/>
  <c r="G4898" i="1"/>
  <c r="F4898" i="1"/>
  <c r="E4898" i="1"/>
  <c r="D4898" i="1"/>
  <c r="C4898" i="1"/>
  <c r="B4898" i="1"/>
  <c r="A4898" i="1"/>
  <c r="R4897" i="1"/>
  <c r="J4897" i="1"/>
  <c r="I4897" i="1"/>
  <c r="G4897" i="1"/>
  <c r="F4897" i="1"/>
  <c r="E4897" i="1"/>
  <c r="D4897" i="1"/>
  <c r="C4897" i="1"/>
  <c r="B4897" i="1"/>
  <c r="A4897" i="1"/>
  <c r="S4896" i="1"/>
  <c r="O4896" i="1"/>
  <c r="K4896" i="1"/>
  <c r="J4896" i="1"/>
  <c r="I4896" i="1"/>
  <c r="H4896" i="1"/>
  <c r="G4896" i="1"/>
  <c r="F4896" i="1"/>
  <c r="E4896" i="1"/>
  <c r="D4896" i="1"/>
  <c r="C4896" i="1"/>
  <c r="B4896" i="1"/>
  <c r="A4896" i="1"/>
  <c r="R4895" i="1"/>
  <c r="J4895" i="1"/>
  <c r="I4895" i="1"/>
  <c r="G4895" i="1"/>
  <c r="F4895" i="1"/>
  <c r="E4895" i="1"/>
  <c r="D4895" i="1"/>
  <c r="C4895" i="1"/>
  <c r="B4895" i="1"/>
  <c r="A4895" i="1"/>
  <c r="S4894" i="1"/>
  <c r="O4894" i="1"/>
  <c r="K4894" i="1"/>
  <c r="J4894" i="1"/>
  <c r="I4894" i="1"/>
  <c r="H4894" i="1"/>
  <c r="G4894" i="1"/>
  <c r="F4894" i="1"/>
  <c r="E4894" i="1"/>
  <c r="D4894" i="1"/>
  <c r="C4894" i="1"/>
  <c r="B4894" i="1"/>
  <c r="A4894" i="1"/>
  <c r="R4893" i="1"/>
  <c r="J4893" i="1"/>
  <c r="I4893" i="1"/>
  <c r="G4893" i="1"/>
  <c r="F4893" i="1"/>
  <c r="E4893" i="1"/>
  <c r="D4893" i="1"/>
  <c r="C4893" i="1"/>
  <c r="B4893" i="1"/>
  <c r="A4893" i="1"/>
  <c r="S4892" i="1"/>
  <c r="O4892" i="1"/>
  <c r="K4892" i="1"/>
  <c r="J4892" i="1"/>
  <c r="I4892" i="1"/>
  <c r="H4892" i="1"/>
  <c r="G4892" i="1"/>
  <c r="F4892" i="1"/>
  <c r="E4892" i="1"/>
  <c r="D4892" i="1"/>
  <c r="C4892" i="1"/>
  <c r="B4892" i="1"/>
  <c r="A4892" i="1"/>
  <c r="R4891" i="1"/>
  <c r="J4891" i="1"/>
  <c r="I4891" i="1"/>
  <c r="G4891" i="1"/>
  <c r="F4891" i="1"/>
  <c r="E4891" i="1"/>
  <c r="D4891" i="1"/>
  <c r="C4891" i="1"/>
  <c r="B4891" i="1"/>
  <c r="A4891" i="1"/>
  <c r="S4890" i="1"/>
  <c r="O4890" i="1"/>
  <c r="K4890" i="1"/>
  <c r="J4890" i="1"/>
  <c r="I4890" i="1"/>
  <c r="H4890" i="1"/>
  <c r="G4890" i="1"/>
  <c r="F4890" i="1"/>
  <c r="E4890" i="1"/>
  <c r="D4890" i="1"/>
  <c r="C4890" i="1"/>
  <c r="B4890" i="1"/>
  <c r="A4890" i="1"/>
  <c r="R4889" i="1"/>
  <c r="J4889" i="1"/>
  <c r="I4889" i="1"/>
  <c r="G4889" i="1"/>
  <c r="F4889" i="1"/>
  <c r="E4889" i="1"/>
  <c r="D4889" i="1"/>
  <c r="C4889" i="1"/>
  <c r="B4889" i="1"/>
  <c r="A4889" i="1"/>
  <c r="S4888" i="1"/>
  <c r="O4888" i="1"/>
  <c r="K4888" i="1"/>
  <c r="J4888" i="1"/>
  <c r="I4888" i="1"/>
  <c r="H4888" i="1"/>
  <c r="G4888" i="1"/>
  <c r="F4888" i="1"/>
  <c r="E4888" i="1"/>
  <c r="D4888" i="1"/>
  <c r="C4888" i="1"/>
  <c r="B4888" i="1"/>
  <c r="A4888" i="1"/>
  <c r="R4887" i="1"/>
  <c r="J4887" i="1"/>
  <c r="I4887" i="1"/>
  <c r="G4887" i="1"/>
  <c r="F4887" i="1"/>
  <c r="E4887" i="1"/>
  <c r="D4887" i="1"/>
  <c r="C4887" i="1"/>
  <c r="B4887" i="1"/>
  <c r="A4887" i="1"/>
  <c r="S4886" i="1"/>
  <c r="O4886" i="1"/>
  <c r="K4886" i="1"/>
  <c r="J4886" i="1"/>
  <c r="I4886" i="1"/>
  <c r="H4886" i="1"/>
  <c r="G4886" i="1"/>
  <c r="F4886" i="1"/>
  <c r="E4886" i="1"/>
  <c r="D4886" i="1"/>
  <c r="C4886" i="1"/>
  <c r="B4886" i="1"/>
  <c r="A4886" i="1"/>
  <c r="R4885" i="1"/>
  <c r="J4885" i="1"/>
  <c r="I4885" i="1"/>
  <c r="G4885" i="1"/>
  <c r="F4885" i="1"/>
  <c r="E4885" i="1"/>
  <c r="D4885" i="1"/>
  <c r="C4885" i="1"/>
  <c r="B4885" i="1"/>
  <c r="A4885" i="1"/>
  <c r="S4884" i="1"/>
  <c r="O4884" i="1"/>
  <c r="K4884" i="1"/>
  <c r="J4884" i="1"/>
  <c r="I4884" i="1"/>
  <c r="H4884" i="1"/>
  <c r="G4884" i="1"/>
  <c r="F4884" i="1"/>
  <c r="E4884" i="1"/>
  <c r="D4884" i="1"/>
  <c r="C4884" i="1"/>
  <c r="B4884" i="1"/>
  <c r="A4884" i="1"/>
  <c r="R4883" i="1"/>
  <c r="J4883" i="1"/>
  <c r="I4883" i="1"/>
  <c r="G4883" i="1"/>
  <c r="F4883" i="1"/>
  <c r="E4883" i="1"/>
  <c r="D4883" i="1"/>
  <c r="C4883" i="1"/>
  <c r="B4883" i="1"/>
  <c r="A4883" i="1"/>
  <c r="S4882" i="1"/>
  <c r="O4882" i="1"/>
  <c r="K4882" i="1"/>
  <c r="J4882" i="1"/>
  <c r="I4882" i="1"/>
  <c r="H4882" i="1"/>
  <c r="G4882" i="1"/>
  <c r="F4882" i="1"/>
  <c r="E4882" i="1"/>
  <c r="D4882" i="1"/>
  <c r="C4882" i="1"/>
  <c r="B4882" i="1"/>
  <c r="A4882" i="1"/>
  <c r="R4881" i="1"/>
  <c r="J4881" i="1"/>
  <c r="I4881" i="1"/>
  <c r="G4881" i="1"/>
  <c r="F4881" i="1"/>
  <c r="E4881" i="1"/>
  <c r="D4881" i="1"/>
  <c r="C4881" i="1"/>
  <c r="B4881" i="1"/>
  <c r="A4881" i="1"/>
  <c r="S4880" i="1"/>
  <c r="O4880" i="1"/>
  <c r="K4880" i="1"/>
  <c r="J4880" i="1"/>
  <c r="I4880" i="1"/>
  <c r="H4880" i="1"/>
  <c r="G4880" i="1"/>
  <c r="F4880" i="1"/>
  <c r="E4880" i="1"/>
  <c r="D4880" i="1"/>
  <c r="C4880" i="1"/>
  <c r="B4880" i="1"/>
  <c r="A4880" i="1"/>
  <c r="R4879" i="1"/>
  <c r="J4879" i="1"/>
  <c r="I4879" i="1"/>
  <c r="G4879" i="1"/>
  <c r="F4879" i="1"/>
  <c r="E4879" i="1"/>
  <c r="D4879" i="1"/>
  <c r="C4879" i="1"/>
  <c r="B4879" i="1"/>
  <c r="A4879" i="1"/>
  <c r="S4878" i="1"/>
  <c r="O4878" i="1"/>
  <c r="K4878" i="1"/>
  <c r="J4878" i="1"/>
  <c r="I4878" i="1"/>
  <c r="H4878" i="1"/>
  <c r="G4878" i="1"/>
  <c r="F4878" i="1"/>
  <c r="E4878" i="1"/>
  <c r="D4878" i="1"/>
  <c r="C4878" i="1"/>
  <c r="B4878" i="1"/>
  <c r="A4878" i="1"/>
  <c r="R4877" i="1"/>
  <c r="J4877" i="1"/>
  <c r="I4877" i="1"/>
  <c r="G4877" i="1"/>
  <c r="F4877" i="1"/>
  <c r="E4877" i="1"/>
  <c r="D4877" i="1"/>
  <c r="C4877" i="1"/>
  <c r="B4877" i="1"/>
  <c r="A4877" i="1"/>
  <c r="S4876" i="1"/>
  <c r="O4876" i="1"/>
  <c r="K4876" i="1"/>
  <c r="J4876" i="1"/>
  <c r="I4876" i="1"/>
  <c r="H4876" i="1"/>
  <c r="G4876" i="1"/>
  <c r="F4876" i="1"/>
  <c r="E4876" i="1"/>
  <c r="D4876" i="1"/>
  <c r="C4876" i="1"/>
  <c r="B4876" i="1"/>
  <c r="A4876" i="1"/>
  <c r="R4875" i="1"/>
  <c r="J4875" i="1"/>
  <c r="I4875" i="1"/>
  <c r="G4875" i="1"/>
  <c r="F4875" i="1"/>
  <c r="E4875" i="1"/>
  <c r="D4875" i="1"/>
  <c r="C4875" i="1"/>
  <c r="B4875" i="1"/>
  <c r="A4875" i="1"/>
  <c r="S4874" i="1"/>
  <c r="O4874" i="1"/>
  <c r="K4874" i="1"/>
  <c r="J4874" i="1"/>
  <c r="I4874" i="1"/>
  <c r="H4874" i="1"/>
  <c r="G4874" i="1"/>
  <c r="F4874" i="1"/>
  <c r="E4874" i="1"/>
  <c r="D4874" i="1"/>
  <c r="C4874" i="1"/>
  <c r="B4874" i="1"/>
  <c r="A4874" i="1"/>
  <c r="R4873" i="1"/>
  <c r="J4873" i="1"/>
  <c r="I4873" i="1"/>
  <c r="G4873" i="1"/>
  <c r="F4873" i="1"/>
  <c r="E4873" i="1"/>
  <c r="D4873" i="1"/>
  <c r="C4873" i="1"/>
  <c r="B4873" i="1"/>
  <c r="A4873" i="1"/>
  <c r="S4872" i="1"/>
  <c r="O4872" i="1"/>
  <c r="K4872" i="1"/>
  <c r="J4872" i="1"/>
  <c r="I4872" i="1"/>
  <c r="H4872" i="1"/>
  <c r="G4872" i="1"/>
  <c r="F4872" i="1"/>
  <c r="E4872" i="1"/>
  <c r="D4872" i="1"/>
  <c r="C4872" i="1"/>
  <c r="B4872" i="1"/>
  <c r="A4872" i="1"/>
  <c r="R4871" i="1"/>
  <c r="J4871" i="1"/>
  <c r="I4871" i="1"/>
  <c r="G4871" i="1"/>
  <c r="F4871" i="1"/>
  <c r="E4871" i="1"/>
  <c r="D4871" i="1"/>
  <c r="C4871" i="1"/>
  <c r="B4871" i="1"/>
  <c r="A4871" i="1"/>
  <c r="S4870" i="1"/>
  <c r="O4870" i="1"/>
  <c r="K4870" i="1"/>
  <c r="J4870" i="1"/>
  <c r="I4870" i="1"/>
  <c r="H4870" i="1"/>
  <c r="G4870" i="1"/>
  <c r="F4870" i="1"/>
  <c r="E4870" i="1"/>
  <c r="D4870" i="1"/>
  <c r="C4870" i="1"/>
  <c r="B4870" i="1"/>
  <c r="A4870" i="1"/>
  <c r="R4869" i="1"/>
  <c r="J4869" i="1"/>
  <c r="I4869" i="1"/>
  <c r="G4869" i="1"/>
  <c r="F4869" i="1"/>
  <c r="E4869" i="1"/>
  <c r="D4869" i="1"/>
  <c r="C4869" i="1"/>
  <c r="B4869" i="1"/>
  <c r="A4869" i="1"/>
  <c r="S4868" i="1"/>
  <c r="O4868" i="1"/>
  <c r="K4868" i="1"/>
  <c r="J4868" i="1"/>
  <c r="I4868" i="1"/>
  <c r="H4868" i="1"/>
  <c r="G4868" i="1"/>
  <c r="F4868" i="1"/>
  <c r="E4868" i="1"/>
  <c r="D4868" i="1"/>
  <c r="C4868" i="1"/>
  <c r="B4868" i="1"/>
  <c r="A4868" i="1"/>
  <c r="R4867" i="1"/>
  <c r="J4867" i="1"/>
  <c r="I4867" i="1"/>
  <c r="G4867" i="1"/>
  <c r="F4867" i="1"/>
  <c r="E4867" i="1"/>
  <c r="D4867" i="1"/>
  <c r="C4867" i="1"/>
  <c r="B4867" i="1"/>
  <c r="A4867" i="1"/>
  <c r="S4866" i="1"/>
  <c r="O4866" i="1"/>
  <c r="K4866" i="1"/>
  <c r="J4866" i="1"/>
  <c r="I4866" i="1"/>
  <c r="H4866" i="1"/>
  <c r="G4866" i="1"/>
  <c r="F4866" i="1"/>
  <c r="E4866" i="1"/>
  <c r="D4866" i="1"/>
  <c r="C4866" i="1"/>
  <c r="B4866" i="1"/>
  <c r="A4866" i="1"/>
  <c r="R4865" i="1"/>
  <c r="J4865" i="1"/>
  <c r="I4865" i="1"/>
  <c r="G4865" i="1"/>
  <c r="F4865" i="1"/>
  <c r="E4865" i="1"/>
  <c r="D4865" i="1"/>
  <c r="C4865" i="1"/>
  <c r="B4865" i="1"/>
  <c r="A4865" i="1"/>
  <c r="S4864" i="1"/>
  <c r="O4864" i="1"/>
  <c r="K4864" i="1"/>
  <c r="J4864" i="1"/>
  <c r="I4864" i="1"/>
  <c r="H4864" i="1"/>
  <c r="G4864" i="1"/>
  <c r="F4864" i="1"/>
  <c r="E4864" i="1"/>
  <c r="D4864" i="1"/>
  <c r="C4864" i="1"/>
  <c r="B4864" i="1"/>
  <c r="A4864" i="1"/>
  <c r="R4863" i="1"/>
  <c r="J4863" i="1"/>
  <c r="I4863" i="1"/>
  <c r="G4863" i="1"/>
  <c r="F4863" i="1"/>
  <c r="E4863" i="1"/>
  <c r="D4863" i="1"/>
  <c r="C4863" i="1"/>
  <c r="B4863" i="1"/>
  <c r="A4863" i="1"/>
  <c r="S4862" i="1"/>
  <c r="O4862" i="1"/>
  <c r="K4862" i="1"/>
  <c r="J4862" i="1"/>
  <c r="I4862" i="1"/>
  <c r="H4862" i="1"/>
  <c r="G4862" i="1"/>
  <c r="F4862" i="1"/>
  <c r="E4862" i="1"/>
  <c r="D4862" i="1"/>
  <c r="C4862" i="1"/>
  <c r="B4862" i="1"/>
  <c r="A4862" i="1"/>
  <c r="R4861" i="1"/>
  <c r="J4861" i="1"/>
  <c r="I4861" i="1"/>
  <c r="G4861" i="1"/>
  <c r="F4861" i="1"/>
  <c r="E4861" i="1"/>
  <c r="D4861" i="1"/>
  <c r="C4861" i="1"/>
  <c r="B4861" i="1"/>
  <c r="A4861" i="1"/>
  <c r="S4860" i="1"/>
  <c r="O4860" i="1"/>
  <c r="K4860" i="1"/>
  <c r="J4860" i="1"/>
  <c r="I4860" i="1"/>
  <c r="H4860" i="1"/>
  <c r="G4860" i="1"/>
  <c r="F4860" i="1"/>
  <c r="E4860" i="1"/>
  <c r="D4860" i="1"/>
  <c r="C4860" i="1"/>
  <c r="B4860" i="1"/>
  <c r="A4860" i="1"/>
  <c r="R4859" i="1"/>
  <c r="J4859" i="1"/>
  <c r="I4859" i="1"/>
  <c r="G4859" i="1"/>
  <c r="F4859" i="1"/>
  <c r="E4859" i="1"/>
  <c r="D4859" i="1"/>
  <c r="C4859" i="1"/>
  <c r="B4859" i="1"/>
  <c r="A4859" i="1"/>
  <c r="S4858" i="1"/>
  <c r="O4858" i="1"/>
  <c r="K4858" i="1"/>
  <c r="J4858" i="1"/>
  <c r="I4858" i="1"/>
  <c r="H4858" i="1"/>
  <c r="G4858" i="1"/>
  <c r="F4858" i="1"/>
  <c r="E4858" i="1"/>
  <c r="D4858" i="1"/>
  <c r="C4858" i="1"/>
  <c r="B4858" i="1"/>
  <c r="A4858" i="1"/>
  <c r="R4857" i="1"/>
  <c r="J4857" i="1"/>
  <c r="I4857" i="1"/>
  <c r="G4857" i="1"/>
  <c r="F4857" i="1"/>
  <c r="E4857" i="1"/>
  <c r="D4857" i="1"/>
  <c r="C4857" i="1"/>
  <c r="B4857" i="1"/>
  <c r="A4857" i="1"/>
  <c r="S4856" i="1"/>
  <c r="O4856" i="1"/>
  <c r="K4856" i="1"/>
  <c r="J4856" i="1"/>
  <c r="I4856" i="1"/>
  <c r="H4856" i="1"/>
  <c r="G4856" i="1"/>
  <c r="F4856" i="1"/>
  <c r="E4856" i="1"/>
  <c r="D4856" i="1"/>
  <c r="C4856" i="1"/>
  <c r="B4856" i="1"/>
  <c r="A4856" i="1"/>
  <c r="R4855" i="1"/>
  <c r="J4855" i="1"/>
  <c r="I4855" i="1"/>
  <c r="G4855" i="1"/>
  <c r="F4855" i="1"/>
  <c r="E4855" i="1"/>
  <c r="D4855" i="1"/>
  <c r="C4855" i="1"/>
  <c r="B4855" i="1"/>
  <c r="A4855" i="1"/>
  <c r="S4854" i="1"/>
  <c r="O4854" i="1"/>
  <c r="K4854" i="1"/>
  <c r="J4854" i="1"/>
  <c r="I4854" i="1"/>
  <c r="H4854" i="1"/>
  <c r="G4854" i="1"/>
  <c r="F4854" i="1"/>
  <c r="E4854" i="1"/>
  <c r="D4854" i="1"/>
  <c r="C4854" i="1"/>
  <c r="B4854" i="1"/>
  <c r="A4854" i="1"/>
  <c r="R4853" i="1"/>
  <c r="J4853" i="1"/>
  <c r="I4853" i="1"/>
  <c r="G4853" i="1"/>
  <c r="F4853" i="1"/>
  <c r="E4853" i="1"/>
  <c r="D4853" i="1"/>
  <c r="C4853" i="1"/>
  <c r="B4853" i="1"/>
  <c r="A4853" i="1"/>
  <c r="S4852" i="1"/>
  <c r="O4852" i="1"/>
  <c r="K4852" i="1"/>
  <c r="J4852" i="1"/>
  <c r="I4852" i="1"/>
  <c r="H4852" i="1"/>
  <c r="G4852" i="1"/>
  <c r="F4852" i="1"/>
  <c r="E4852" i="1"/>
  <c r="D4852" i="1"/>
  <c r="C4852" i="1"/>
  <c r="B4852" i="1"/>
  <c r="A4852" i="1"/>
  <c r="R4851" i="1"/>
  <c r="J4851" i="1"/>
  <c r="I4851" i="1"/>
  <c r="G4851" i="1"/>
  <c r="F4851" i="1"/>
  <c r="E4851" i="1"/>
  <c r="D4851" i="1"/>
  <c r="C4851" i="1"/>
  <c r="B4851" i="1"/>
  <c r="A4851" i="1"/>
  <c r="S4850" i="1"/>
  <c r="O4850" i="1"/>
  <c r="K4850" i="1"/>
  <c r="J4850" i="1"/>
  <c r="I4850" i="1"/>
  <c r="H4850" i="1"/>
  <c r="G4850" i="1"/>
  <c r="F4850" i="1"/>
  <c r="E4850" i="1"/>
  <c r="D4850" i="1"/>
  <c r="C4850" i="1"/>
  <c r="B4850" i="1"/>
  <c r="A4850" i="1"/>
  <c r="R4849" i="1"/>
  <c r="J4849" i="1"/>
  <c r="I4849" i="1"/>
  <c r="G4849" i="1"/>
  <c r="F4849" i="1"/>
  <c r="E4849" i="1"/>
  <c r="D4849" i="1"/>
  <c r="C4849" i="1"/>
  <c r="B4849" i="1"/>
  <c r="A4849" i="1"/>
  <c r="S4848" i="1"/>
  <c r="O4848" i="1"/>
  <c r="K4848" i="1"/>
  <c r="J4848" i="1"/>
  <c r="I4848" i="1"/>
  <c r="H4848" i="1"/>
  <c r="G4848" i="1"/>
  <c r="F4848" i="1"/>
  <c r="E4848" i="1"/>
  <c r="D4848" i="1"/>
  <c r="C4848" i="1"/>
  <c r="B4848" i="1"/>
  <c r="A4848" i="1"/>
  <c r="R4847" i="1"/>
  <c r="J4847" i="1"/>
  <c r="I4847" i="1"/>
  <c r="G4847" i="1"/>
  <c r="F4847" i="1"/>
  <c r="E4847" i="1"/>
  <c r="D4847" i="1"/>
  <c r="C4847" i="1"/>
  <c r="B4847" i="1"/>
  <c r="A4847" i="1"/>
  <c r="S4846" i="1"/>
  <c r="O4846" i="1"/>
  <c r="K4846" i="1"/>
  <c r="J4846" i="1"/>
  <c r="I4846" i="1"/>
  <c r="H4846" i="1"/>
  <c r="G4846" i="1"/>
  <c r="F4846" i="1"/>
  <c r="E4846" i="1"/>
  <c r="D4846" i="1"/>
  <c r="C4846" i="1"/>
  <c r="B4846" i="1"/>
  <c r="A4846" i="1"/>
  <c r="R4845" i="1"/>
  <c r="J4845" i="1"/>
  <c r="I4845" i="1"/>
  <c r="G4845" i="1"/>
  <c r="F4845" i="1"/>
  <c r="E4845" i="1"/>
  <c r="D4845" i="1"/>
  <c r="C4845" i="1"/>
  <c r="B4845" i="1"/>
  <c r="A4845" i="1"/>
  <c r="S4844" i="1"/>
  <c r="O4844" i="1"/>
  <c r="K4844" i="1"/>
  <c r="J4844" i="1"/>
  <c r="I4844" i="1"/>
  <c r="H4844" i="1"/>
  <c r="G4844" i="1"/>
  <c r="F4844" i="1"/>
  <c r="E4844" i="1"/>
  <c r="D4844" i="1"/>
  <c r="C4844" i="1"/>
  <c r="B4844" i="1"/>
  <c r="A4844" i="1"/>
  <c r="R4843" i="1"/>
  <c r="J4843" i="1"/>
  <c r="I4843" i="1"/>
  <c r="G4843" i="1"/>
  <c r="F4843" i="1"/>
  <c r="E4843" i="1"/>
  <c r="D4843" i="1"/>
  <c r="C4843" i="1"/>
  <c r="B4843" i="1"/>
  <c r="A4843" i="1"/>
  <c r="S4842" i="1"/>
  <c r="O4842" i="1"/>
  <c r="K4842" i="1"/>
  <c r="J4842" i="1"/>
  <c r="I4842" i="1"/>
  <c r="H4842" i="1"/>
  <c r="G4842" i="1"/>
  <c r="F4842" i="1"/>
  <c r="E4842" i="1"/>
  <c r="D4842" i="1"/>
  <c r="C4842" i="1"/>
  <c r="B4842" i="1"/>
  <c r="A4842" i="1"/>
  <c r="R4841" i="1"/>
  <c r="J4841" i="1"/>
  <c r="I4841" i="1"/>
  <c r="G4841" i="1"/>
  <c r="F4841" i="1"/>
  <c r="E4841" i="1"/>
  <c r="D4841" i="1"/>
  <c r="C4841" i="1"/>
  <c r="B4841" i="1"/>
  <c r="A4841" i="1"/>
  <c r="S4840" i="1"/>
  <c r="O4840" i="1"/>
  <c r="K4840" i="1"/>
  <c r="J4840" i="1"/>
  <c r="I4840" i="1"/>
  <c r="H4840" i="1"/>
  <c r="G4840" i="1"/>
  <c r="F4840" i="1"/>
  <c r="E4840" i="1"/>
  <c r="D4840" i="1"/>
  <c r="C4840" i="1"/>
  <c r="B4840" i="1"/>
  <c r="A4840" i="1"/>
  <c r="R4839" i="1"/>
  <c r="J4839" i="1"/>
  <c r="I4839" i="1"/>
  <c r="G4839" i="1"/>
  <c r="F4839" i="1"/>
  <c r="E4839" i="1"/>
  <c r="D4839" i="1"/>
  <c r="C4839" i="1"/>
  <c r="B4839" i="1"/>
  <c r="A4839" i="1"/>
  <c r="S4838" i="1"/>
  <c r="O4838" i="1"/>
  <c r="K4838" i="1"/>
  <c r="J4838" i="1"/>
  <c r="I4838" i="1"/>
  <c r="H4838" i="1"/>
  <c r="G4838" i="1"/>
  <c r="F4838" i="1"/>
  <c r="E4838" i="1"/>
  <c r="D4838" i="1"/>
  <c r="C4838" i="1"/>
  <c r="B4838" i="1"/>
  <c r="A4838" i="1"/>
  <c r="R4837" i="1"/>
  <c r="J4837" i="1"/>
  <c r="I4837" i="1"/>
  <c r="G4837" i="1"/>
  <c r="F4837" i="1"/>
  <c r="E4837" i="1"/>
  <c r="D4837" i="1"/>
  <c r="C4837" i="1"/>
  <c r="B4837" i="1"/>
  <c r="A4837" i="1"/>
  <c r="S4836" i="1"/>
  <c r="O4836" i="1"/>
  <c r="K4836" i="1"/>
  <c r="J4836" i="1"/>
  <c r="I4836" i="1"/>
  <c r="H4836" i="1"/>
  <c r="G4836" i="1"/>
  <c r="F4836" i="1"/>
  <c r="E4836" i="1"/>
  <c r="D4836" i="1"/>
  <c r="C4836" i="1"/>
  <c r="B4836" i="1"/>
  <c r="A4836" i="1"/>
  <c r="R4835" i="1"/>
  <c r="J4835" i="1"/>
  <c r="I4835" i="1"/>
  <c r="G4835" i="1"/>
  <c r="F4835" i="1"/>
  <c r="E4835" i="1"/>
  <c r="D4835" i="1"/>
  <c r="C4835" i="1"/>
  <c r="B4835" i="1"/>
  <c r="A4835" i="1"/>
  <c r="S4834" i="1"/>
  <c r="O4834" i="1"/>
  <c r="K4834" i="1"/>
  <c r="J4834" i="1"/>
  <c r="I4834" i="1"/>
  <c r="H4834" i="1"/>
  <c r="G4834" i="1"/>
  <c r="F4834" i="1"/>
  <c r="E4834" i="1"/>
  <c r="D4834" i="1"/>
  <c r="C4834" i="1"/>
  <c r="B4834" i="1"/>
  <c r="A4834" i="1"/>
  <c r="R4833" i="1"/>
  <c r="J4833" i="1"/>
  <c r="I4833" i="1"/>
  <c r="G4833" i="1"/>
  <c r="F4833" i="1"/>
  <c r="E4833" i="1"/>
  <c r="D4833" i="1"/>
  <c r="C4833" i="1"/>
  <c r="B4833" i="1"/>
  <c r="A4833" i="1"/>
  <c r="S4832" i="1"/>
  <c r="O4832" i="1"/>
  <c r="K4832" i="1"/>
  <c r="J4832" i="1"/>
  <c r="I4832" i="1"/>
  <c r="H4832" i="1"/>
  <c r="G4832" i="1"/>
  <c r="F4832" i="1"/>
  <c r="E4832" i="1"/>
  <c r="D4832" i="1"/>
  <c r="C4832" i="1"/>
  <c r="B4832" i="1"/>
  <c r="A4832" i="1"/>
  <c r="R4831" i="1"/>
  <c r="J4831" i="1"/>
  <c r="I4831" i="1"/>
  <c r="G4831" i="1"/>
  <c r="F4831" i="1"/>
  <c r="E4831" i="1"/>
  <c r="D4831" i="1"/>
  <c r="C4831" i="1"/>
  <c r="B4831" i="1"/>
  <c r="A4831" i="1"/>
  <c r="S4830" i="1"/>
  <c r="O4830" i="1"/>
  <c r="K4830" i="1"/>
  <c r="J4830" i="1"/>
  <c r="I4830" i="1"/>
  <c r="H4830" i="1"/>
  <c r="G4830" i="1"/>
  <c r="F4830" i="1"/>
  <c r="E4830" i="1"/>
  <c r="D4830" i="1"/>
  <c r="C4830" i="1"/>
  <c r="B4830" i="1"/>
  <c r="A4830" i="1"/>
  <c r="R4829" i="1"/>
  <c r="J4829" i="1"/>
  <c r="I4829" i="1"/>
  <c r="G4829" i="1"/>
  <c r="F4829" i="1"/>
  <c r="E4829" i="1"/>
  <c r="D4829" i="1"/>
  <c r="C4829" i="1"/>
  <c r="B4829" i="1"/>
  <c r="A4829" i="1"/>
  <c r="S4828" i="1"/>
  <c r="O4828" i="1"/>
  <c r="K4828" i="1"/>
  <c r="J4828" i="1"/>
  <c r="I4828" i="1"/>
  <c r="H4828" i="1"/>
  <c r="G4828" i="1"/>
  <c r="F4828" i="1"/>
  <c r="E4828" i="1"/>
  <c r="D4828" i="1"/>
  <c r="C4828" i="1"/>
  <c r="B4828" i="1"/>
  <c r="A4828" i="1"/>
  <c r="R4827" i="1"/>
  <c r="J4827" i="1"/>
  <c r="I4827" i="1"/>
  <c r="G4827" i="1"/>
  <c r="F4827" i="1"/>
  <c r="E4827" i="1"/>
  <c r="D4827" i="1"/>
  <c r="C4827" i="1"/>
  <c r="B4827" i="1"/>
  <c r="A4827" i="1"/>
  <c r="S4826" i="1"/>
  <c r="O4826" i="1"/>
  <c r="K4826" i="1"/>
  <c r="J4826" i="1"/>
  <c r="I4826" i="1"/>
  <c r="H4826" i="1"/>
  <c r="G4826" i="1"/>
  <c r="F4826" i="1"/>
  <c r="E4826" i="1"/>
  <c r="D4826" i="1"/>
  <c r="C4826" i="1"/>
  <c r="B4826" i="1"/>
  <c r="A4826" i="1"/>
  <c r="R4825" i="1"/>
  <c r="J4825" i="1"/>
  <c r="I4825" i="1"/>
  <c r="G4825" i="1"/>
  <c r="F4825" i="1"/>
  <c r="E4825" i="1"/>
  <c r="D4825" i="1"/>
  <c r="C4825" i="1"/>
  <c r="B4825" i="1"/>
  <c r="A4825" i="1"/>
  <c r="S4824" i="1"/>
  <c r="O4824" i="1"/>
  <c r="K4824" i="1"/>
  <c r="J4824" i="1"/>
  <c r="I4824" i="1"/>
  <c r="H4824" i="1"/>
  <c r="G4824" i="1"/>
  <c r="F4824" i="1"/>
  <c r="E4824" i="1"/>
  <c r="D4824" i="1"/>
  <c r="C4824" i="1"/>
  <c r="B4824" i="1"/>
  <c r="A4824" i="1"/>
  <c r="R4823" i="1"/>
  <c r="J4823" i="1"/>
  <c r="I4823" i="1"/>
  <c r="G4823" i="1"/>
  <c r="F4823" i="1"/>
  <c r="E4823" i="1"/>
  <c r="D4823" i="1"/>
  <c r="C4823" i="1"/>
  <c r="B4823" i="1"/>
  <c r="A4823" i="1"/>
  <c r="S4822" i="1"/>
  <c r="O4822" i="1"/>
  <c r="K4822" i="1"/>
  <c r="J4822" i="1"/>
  <c r="I4822" i="1"/>
  <c r="H4822" i="1"/>
  <c r="G4822" i="1"/>
  <c r="F4822" i="1"/>
  <c r="E4822" i="1"/>
  <c r="D4822" i="1"/>
  <c r="C4822" i="1"/>
  <c r="B4822" i="1"/>
  <c r="A4822" i="1"/>
  <c r="R4821" i="1"/>
  <c r="J4821" i="1"/>
  <c r="I4821" i="1"/>
  <c r="G4821" i="1"/>
  <c r="F4821" i="1"/>
  <c r="E4821" i="1"/>
  <c r="D4821" i="1"/>
  <c r="C4821" i="1"/>
  <c r="B4821" i="1"/>
  <c r="A4821" i="1"/>
  <c r="S4820" i="1"/>
  <c r="O4820" i="1"/>
  <c r="K4820" i="1"/>
  <c r="J4820" i="1"/>
  <c r="I4820" i="1"/>
  <c r="H4820" i="1"/>
  <c r="G4820" i="1"/>
  <c r="F4820" i="1"/>
  <c r="E4820" i="1"/>
  <c r="D4820" i="1"/>
  <c r="C4820" i="1"/>
  <c r="B4820" i="1"/>
  <c r="A4820" i="1"/>
  <c r="R4819" i="1"/>
  <c r="J4819" i="1"/>
  <c r="I4819" i="1"/>
  <c r="G4819" i="1"/>
  <c r="F4819" i="1"/>
  <c r="E4819" i="1"/>
  <c r="D4819" i="1"/>
  <c r="C4819" i="1"/>
  <c r="B4819" i="1"/>
  <c r="A4819" i="1"/>
  <c r="S4818" i="1"/>
  <c r="O4818" i="1"/>
  <c r="K4818" i="1"/>
  <c r="J4818" i="1"/>
  <c r="I4818" i="1"/>
  <c r="H4818" i="1"/>
  <c r="G4818" i="1"/>
  <c r="F4818" i="1"/>
  <c r="E4818" i="1"/>
  <c r="D4818" i="1"/>
  <c r="C4818" i="1"/>
  <c r="B4818" i="1"/>
  <c r="A4818" i="1"/>
  <c r="R4817" i="1"/>
  <c r="J4817" i="1"/>
  <c r="I4817" i="1"/>
  <c r="G4817" i="1"/>
  <c r="F4817" i="1"/>
  <c r="E4817" i="1"/>
  <c r="D4817" i="1"/>
  <c r="C4817" i="1"/>
  <c r="B4817" i="1"/>
  <c r="A4817" i="1"/>
  <c r="S4816" i="1"/>
  <c r="O4816" i="1"/>
  <c r="K4816" i="1"/>
  <c r="J4816" i="1"/>
  <c r="I4816" i="1"/>
  <c r="H4816" i="1"/>
  <c r="G4816" i="1"/>
  <c r="F4816" i="1"/>
  <c r="E4816" i="1"/>
  <c r="D4816" i="1"/>
  <c r="C4816" i="1"/>
  <c r="B4816" i="1"/>
  <c r="A4816" i="1"/>
  <c r="R4815" i="1"/>
  <c r="J4815" i="1"/>
  <c r="I4815" i="1"/>
  <c r="G4815" i="1"/>
  <c r="F4815" i="1"/>
  <c r="E4815" i="1"/>
  <c r="D4815" i="1"/>
  <c r="C4815" i="1"/>
  <c r="B4815" i="1"/>
  <c r="A4815" i="1"/>
  <c r="S4814" i="1"/>
  <c r="O4814" i="1"/>
  <c r="K4814" i="1"/>
  <c r="J4814" i="1"/>
  <c r="I4814" i="1"/>
  <c r="H4814" i="1"/>
  <c r="G4814" i="1"/>
  <c r="F4814" i="1"/>
  <c r="E4814" i="1"/>
  <c r="D4814" i="1"/>
  <c r="C4814" i="1"/>
  <c r="B4814" i="1"/>
  <c r="A4814" i="1"/>
  <c r="R4813" i="1"/>
  <c r="J4813" i="1"/>
  <c r="I4813" i="1"/>
  <c r="G4813" i="1"/>
  <c r="F4813" i="1"/>
  <c r="E4813" i="1"/>
  <c r="D4813" i="1"/>
  <c r="C4813" i="1"/>
  <c r="B4813" i="1"/>
  <c r="A4813" i="1"/>
  <c r="S4812" i="1"/>
  <c r="O4812" i="1"/>
  <c r="K4812" i="1"/>
  <c r="J4812" i="1"/>
  <c r="I4812" i="1"/>
  <c r="H4812" i="1"/>
  <c r="G4812" i="1"/>
  <c r="F4812" i="1"/>
  <c r="E4812" i="1"/>
  <c r="D4812" i="1"/>
  <c r="C4812" i="1"/>
  <c r="B4812" i="1"/>
  <c r="A4812" i="1"/>
  <c r="R4811" i="1"/>
  <c r="J4811" i="1"/>
  <c r="I4811" i="1"/>
  <c r="G4811" i="1"/>
  <c r="F4811" i="1"/>
  <c r="E4811" i="1"/>
  <c r="D4811" i="1"/>
  <c r="C4811" i="1"/>
  <c r="B4811" i="1"/>
  <c r="A4811" i="1"/>
  <c r="S4810" i="1"/>
  <c r="O4810" i="1"/>
  <c r="K4810" i="1"/>
  <c r="J4810" i="1"/>
  <c r="I4810" i="1"/>
  <c r="H4810" i="1"/>
  <c r="G4810" i="1"/>
  <c r="F4810" i="1"/>
  <c r="E4810" i="1"/>
  <c r="D4810" i="1"/>
  <c r="C4810" i="1"/>
  <c r="B4810" i="1"/>
  <c r="A4810" i="1"/>
  <c r="R4809" i="1"/>
  <c r="J4809" i="1"/>
  <c r="I4809" i="1"/>
  <c r="G4809" i="1"/>
  <c r="F4809" i="1"/>
  <c r="E4809" i="1"/>
  <c r="D4809" i="1"/>
  <c r="C4809" i="1"/>
  <c r="B4809" i="1"/>
  <c r="A4809" i="1"/>
  <c r="S4808" i="1"/>
  <c r="O4808" i="1"/>
  <c r="K4808" i="1"/>
  <c r="J4808" i="1"/>
  <c r="I4808" i="1"/>
  <c r="H4808" i="1"/>
  <c r="G4808" i="1"/>
  <c r="F4808" i="1"/>
  <c r="E4808" i="1"/>
  <c r="D4808" i="1"/>
  <c r="C4808" i="1"/>
  <c r="B4808" i="1"/>
  <c r="A4808" i="1"/>
  <c r="R4807" i="1"/>
  <c r="J4807" i="1"/>
  <c r="I4807" i="1"/>
  <c r="G4807" i="1"/>
  <c r="F4807" i="1"/>
  <c r="E4807" i="1"/>
  <c r="D4807" i="1"/>
  <c r="C4807" i="1"/>
  <c r="B4807" i="1"/>
  <c r="A4807" i="1"/>
  <c r="S4806" i="1"/>
  <c r="O4806" i="1"/>
  <c r="K4806" i="1"/>
  <c r="J4806" i="1"/>
  <c r="I4806" i="1"/>
  <c r="H4806" i="1"/>
  <c r="G4806" i="1"/>
  <c r="F4806" i="1"/>
  <c r="E4806" i="1"/>
  <c r="D4806" i="1"/>
  <c r="C4806" i="1"/>
  <c r="B4806" i="1"/>
  <c r="A4806" i="1"/>
  <c r="R4805" i="1"/>
  <c r="J4805" i="1"/>
  <c r="I4805" i="1"/>
  <c r="G4805" i="1"/>
  <c r="F4805" i="1"/>
  <c r="E4805" i="1"/>
  <c r="D4805" i="1"/>
  <c r="C4805" i="1"/>
  <c r="B4805" i="1"/>
  <c r="A4805" i="1"/>
  <c r="S4804" i="1"/>
  <c r="O4804" i="1"/>
  <c r="K4804" i="1"/>
  <c r="J4804" i="1"/>
  <c r="I4804" i="1"/>
  <c r="H4804" i="1"/>
  <c r="G4804" i="1"/>
  <c r="F4804" i="1"/>
  <c r="E4804" i="1"/>
  <c r="D4804" i="1"/>
  <c r="C4804" i="1"/>
  <c r="B4804" i="1"/>
  <c r="A4804" i="1"/>
  <c r="R4803" i="1"/>
  <c r="J4803" i="1"/>
  <c r="I4803" i="1"/>
  <c r="G4803" i="1"/>
  <c r="F4803" i="1"/>
  <c r="E4803" i="1"/>
  <c r="D4803" i="1"/>
  <c r="C4803" i="1"/>
  <c r="B4803" i="1"/>
  <c r="A4803" i="1"/>
  <c r="S4802" i="1"/>
  <c r="O4802" i="1"/>
  <c r="K4802" i="1"/>
  <c r="J4802" i="1"/>
  <c r="I4802" i="1"/>
  <c r="H4802" i="1"/>
  <c r="G4802" i="1"/>
  <c r="F4802" i="1"/>
  <c r="E4802" i="1"/>
  <c r="D4802" i="1"/>
  <c r="C4802" i="1"/>
  <c r="B4802" i="1"/>
  <c r="A4802" i="1"/>
  <c r="R4801" i="1"/>
  <c r="J4801" i="1"/>
  <c r="I4801" i="1"/>
  <c r="G4801" i="1"/>
  <c r="F4801" i="1"/>
  <c r="E4801" i="1"/>
  <c r="D4801" i="1"/>
  <c r="C4801" i="1"/>
  <c r="B4801" i="1"/>
  <c r="A4801" i="1"/>
  <c r="S4800" i="1"/>
  <c r="O4800" i="1"/>
  <c r="K4800" i="1"/>
  <c r="J4800" i="1"/>
  <c r="I4800" i="1"/>
  <c r="H4800" i="1"/>
  <c r="G4800" i="1"/>
  <c r="F4800" i="1"/>
  <c r="E4800" i="1"/>
  <c r="D4800" i="1"/>
  <c r="C4800" i="1"/>
  <c r="B4800" i="1"/>
  <c r="A4800" i="1"/>
  <c r="R4799" i="1"/>
  <c r="J4799" i="1"/>
  <c r="I4799" i="1"/>
  <c r="G4799" i="1"/>
  <c r="F4799" i="1"/>
  <c r="E4799" i="1"/>
  <c r="D4799" i="1"/>
  <c r="C4799" i="1"/>
  <c r="B4799" i="1"/>
  <c r="A4799" i="1"/>
  <c r="S4798" i="1"/>
  <c r="O4798" i="1"/>
  <c r="K4798" i="1"/>
  <c r="J4798" i="1"/>
  <c r="I4798" i="1"/>
  <c r="H4798" i="1"/>
  <c r="G4798" i="1"/>
  <c r="F4798" i="1"/>
  <c r="E4798" i="1"/>
  <c r="D4798" i="1"/>
  <c r="C4798" i="1"/>
  <c r="B4798" i="1"/>
  <c r="A4798" i="1"/>
  <c r="R4797" i="1"/>
  <c r="J4797" i="1"/>
  <c r="I4797" i="1"/>
  <c r="G4797" i="1"/>
  <c r="F4797" i="1"/>
  <c r="E4797" i="1"/>
  <c r="D4797" i="1"/>
  <c r="C4797" i="1"/>
  <c r="B4797" i="1"/>
  <c r="A4797" i="1"/>
  <c r="S4796" i="1"/>
  <c r="O4796" i="1"/>
  <c r="K4796" i="1"/>
  <c r="J4796" i="1"/>
  <c r="I4796" i="1"/>
  <c r="H4796" i="1"/>
  <c r="G4796" i="1"/>
  <c r="F4796" i="1"/>
  <c r="E4796" i="1"/>
  <c r="D4796" i="1"/>
  <c r="C4796" i="1"/>
  <c r="B4796" i="1"/>
  <c r="A4796" i="1"/>
  <c r="R4795" i="1"/>
  <c r="J4795" i="1"/>
  <c r="I4795" i="1"/>
  <c r="G4795" i="1"/>
  <c r="F4795" i="1"/>
  <c r="E4795" i="1"/>
  <c r="D4795" i="1"/>
  <c r="C4795" i="1"/>
  <c r="B4795" i="1"/>
  <c r="A4795" i="1"/>
  <c r="S4794" i="1"/>
  <c r="O4794" i="1"/>
  <c r="K4794" i="1"/>
  <c r="J4794" i="1"/>
  <c r="I4794" i="1"/>
  <c r="H4794" i="1"/>
  <c r="G4794" i="1"/>
  <c r="F4794" i="1"/>
  <c r="E4794" i="1"/>
  <c r="D4794" i="1"/>
  <c r="C4794" i="1"/>
  <c r="B4794" i="1"/>
  <c r="A4794" i="1"/>
  <c r="R4793" i="1"/>
  <c r="J4793" i="1"/>
  <c r="I4793" i="1"/>
  <c r="G4793" i="1"/>
  <c r="F4793" i="1"/>
  <c r="E4793" i="1"/>
  <c r="D4793" i="1"/>
  <c r="C4793" i="1"/>
  <c r="B4793" i="1"/>
  <c r="A4793" i="1"/>
  <c r="S4792" i="1"/>
  <c r="O4792" i="1"/>
  <c r="K4792" i="1"/>
  <c r="J4792" i="1"/>
  <c r="I4792" i="1"/>
  <c r="H4792" i="1"/>
  <c r="G4792" i="1"/>
  <c r="F4792" i="1"/>
  <c r="E4792" i="1"/>
  <c r="D4792" i="1"/>
  <c r="C4792" i="1"/>
  <c r="B4792" i="1"/>
  <c r="A4792" i="1"/>
  <c r="R4791" i="1"/>
  <c r="J4791" i="1"/>
  <c r="I4791" i="1"/>
  <c r="G4791" i="1"/>
  <c r="F4791" i="1"/>
  <c r="E4791" i="1"/>
  <c r="D4791" i="1"/>
  <c r="C4791" i="1"/>
  <c r="B4791" i="1"/>
  <c r="A4791" i="1"/>
  <c r="S4790" i="1"/>
  <c r="O4790" i="1"/>
  <c r="K4790" i="1"/>
  <c r="J4790" i="1"/>
  <c r="I4790" i="1"/>
  <c r="H4790" i="1"/>
  <c r="G4790" i="1"/>
  <c r="F4790" i="1"/>
  <c r="E4790" i="1"/>
  <c r="D4790" i="1"/>
  <c r="C4790" i="1"/>
  <c r="B4790" i="1"/>
  <c r="A4790" i="1"/>
  <c r="R4789" i="1"/>
  <c r="J4789" i="1"/>
  <c r="I4789" i="1"/>
  <c r="G4789" i="1"/>
  <c r="F4789" i="1"/>
  <c r="E4789" i="1"/>
  <c r="D4789" i="1"/>
  <c r="C4789" i="1"/>
  <c r="B4789" i="1"/>
  <c r="A4789" i="1"/>
  <c r="S4788" i="1"/>
  <c r="O4788" i="1"/>
  <c r="K4788" i="1"/>
  <c r="J4788" i="1"/>
  <c r="I4788" i="1"/>
  <c r="H4788" i="1"/>
  <c r="G4788" i="1"/>
  <c r="F4788" i="1"/>
  <c r="E4788" i="1"/>
  <c r="D4788" i="1"/>
  <c r="C4788" i="1"/>
  <c r="B4788" i="1"/>
  <c r="A4788" i="1"/>
  <c r="R4787" i="1"/>
  <c r="J4787" i="1"/>
  <c r="I4787" i="1"/>
  <c r="G4787" i="1"/>
  <c r="F4787" i="1"/>
  <c r="E4787" i="1"/>
  <c r="D4787" i="1"/>
  <c r="C4787" i="1"/>
  <c r="B4787" i="1"/>
  <c r="A4787" i="1"/>
  <c r="S4786" i="1"/>
  <c r="O4786" i="1"/>
  <c r="K4786" i="1"/>
  <c r="J4786" i="1"/>
  <c r="I4786" i="1"/>
  <c r="H4786" i="1"/>
  <c r="G4786" i="1"/>
  <c r="F4786" i="1"/>
  <c r="E4786" i="1"/>
  <c r="D4786" i="1"/>
  <c r="C4786" i="1"/>
  <c r="B4786" i="1"/>
  <c r="A4786" i="1"/>
  <c r="R4785" i="1"/>
  <c r="J4785" i="1"/>
  <c r="I4785" i="1"/>
  <c r="G4785" i="1"/>
  <c r="F4785" i="1"/>
  <c r="E4785" i="1"/>
  <c r="D4785" i="1"/>
  <c r="C4785" i="1"/>
  <c r="B4785" i="1"/>
  <c r="A4785" i="1"/>
  <c r="S4784" i="1"/>
  <c r="O4784" i="1"/>
  <c r="K4784" i="1"/>
  <c r="J4784" i="1"/>
  <c r="I4784" i="1"/>
  <c r="H4784" i="1"/>
  <c r="G4784" i="1"/>
  <c r="F4784" i="1"/>
  <c r="E4784" i="1"/>
  <c r="D4784" i="1"/>
  <c r="C4784" i="1"/>
  <c r="B4784" i="1"/>
  <c r="A4784" i="1"/>
  <c r="R4783" i="1"/>
  <c r="J4783" i="1"/>
  <c r="I4783" i="1"/>
  <c r="G4783" i="1"/>
  <c r="F4783" i="1"/>
  <c r="E4783" i="1"/>
  <c r="D4783" i="1"/>
  <c r="C4783" i="1"/>
  <c r="B4783" i="1"/>
  <c r="A4783" i="1"/>
  <c r="S4782" i="1"/>
  <c r="O4782" i="1"/>
  <c r="K4782" i="1"/>
  <c r="J4782" i="1"/>
  <c r="I4782" i="1"/>
  <c r="H4782" i="1"/>
  <c r="G4782" i="1"/>
  <c r="F4782" i="1"/>
  <c r="E4782" i="1"/>
  <c r="D4782" i="1"/>
  <c r="C4782" i="1"/>
  <c r="B4782" i="1"/>
  <c r="A4782" i="1"/>
  <c r="R4781" i="1"/>
  <c r="J4781" i="1"/>
  <c r="I4781" i="1"/>
  <c r="G4781" i="1"/>
  <c r="F4781" i="1"/>
  <c r="E4781" i="1"/>
  <c r="D4781" i="1"/>
  <c r="C4781" i="1"/>
  <c r="B4781" i="1"/>
  <c r="A4781" i="1"/>
  <c r="S4780" i="1"/>
  <c r="O4780" i="1"/>
  <c r="K4780" i="1"/>
  <c r="J4780" i="1"/>
  <c r="I4780" i="1"/>
  <c r="H4780" i="1"/>
  <c r="G4780" i="1"/>
  <c r="F4780" i="1"/>
  <c r="E4780" i="1"/>
  <c r="D4780" i="1"/>
  <c r="C4780" i="1"/>
  <c r="B4780" i="1"/>
  <c r="A4780" i="1"/>
  <c r="R4779" i="1"/>
  <c r="J4779" i="1"/>
  <c r="I4779" i="1"/>
  <c r="G4779" i="1"/>
  <c r="F4779" i="1"/>
  <c r="E4779" i="1"/>
  <c r="D4779" i="1"/>
  <c r="C4779" i="1"/>
  <c r="B4779" i="1"/>
  <c r="A4779" i="1"/>
  <c r="S4778" i="1"/>
  <c r="O4778" i="1"/>
  <c r="K4778" i="1"/>
  <c r="J4778" i="1"/>
  <c r="I4778" i="1"/>
  <c r="H4778" i="1"/>
  <c r="G4778" i="1"/>
  <c r="F4778" i="1"/>
  <c r="E4778" i="1"/>
  <c r="D4778" i="1"/>
  <c r="C4778" i="1"/>
  <c r="B4778" i="1"/>
  <c r="A4778" i="1"/>
  <c r="R4777" i="1"/>
  <c r="J4777" i="1"/>
  <c r="I4777" i="1"/>
  <c r="G4777" i="1"/>
  <c r="F4777" i="1"/>
  <c r="E4777" i="1"/>
  <c r="D4777" i="1"/>
  <c r="C4777" i="1"/>
  <c r="B4777" i="1"/>
  <c r="A4777" i="1"/>
  <c r="S4776" i="1"/>
  <c r="O4776" i="1"/>
  <c r="K4776" i="1"/>
  <c r="J4776" i="1"/>
  <c r="I4776" i="1"/>
  <c r="H4776" i="1"/>
  <c r="G4776" i="1"/>
  <c r="F4776" i="1"/>
  <c r="E4776" i="1"/>
  <c r="D4776" i="1"/>
  <c r="C4776" i="1"/>
  <c r="B4776" i="1"/>
  <c r="A4776" i="1"/>
  <c r="R4775" i="1"/>
  <c r="J4775" i="1"/>
  <c r="I4775" i="1"/>
  <c r="G4775" i="1"/>
  <c r="F4775" i="1"/>
  <c r="E4775" i="1"/>
  <c r="D4775" i="1"/>
  <c r="C4775" i="1"/>
  <c r="B4775" i="1"/>
  <c r="A4775" i="1"/>
  <c r="S4774" i="1"/>
  <c r="O4774" i="1"/>
  <c r="K4774" i="1"/>
  <c r="J4774" i="1"/>
  <c r="I4774" i="1"/>
  <c r="H4774" i="1"/>
  <c r="G4774" i="1"/>
  <c r="F4774" i="1"/>
  <c r="E4774" i="1"/>
  <c r="D4774" i="1"/>
  <c r="C4774" i="1"/>
  <c r="B4774" i="1"/>
  <c r="A4774" i="1"/>
  <c r="R4773" i="1"/>
  <c r="J4773" i="1"/>
  <c r="I4773" i="1"/>
  <c r="G4773" i="1"/>
  <c r="F4773" i="1"/>
  <c r="E4773" i="1"/>
  <c r="D4773" i="1"/>
  <c r="C4773" i="1"/>
  <c r="B4773" i="1"/>
  <c r="A4773" i="1"/>
  <c r="S4772" i="1"/>
  <c r="O4772" i="1"/>
  <c r="K4772" i="1"/>
  <c r="J4772" i="1"/>
  <c r="I4772" i="1"/>
  <c r="H4772" i="1"/>
  <c r="G4772" i="1"/>
  <c r="F4772" i="1"/>
  <c r="E4772" i="1"/>
  <c r="D4772" i="1"/>
  <c r="C4772" i="1"/>
  <c r="B4772" i="1"/>
  <c r="A4772" i="1"/>
  <c r="R4771" i="1"/>
  <c r="J4771" i="1"/>
  <c r="I4771" i="1"/>
  <c r="G4771" i="1"/>
  <c r="F4771" i="1"/>
  <c r="E4771" i="1"/>
  <c r="D4771" i="1"/>
  <c r="C4771" i="1"/>
  <c r="B4771" i="1"/>
  <c r="A4771" i="1"/>
  <c r="S4770" i="1"/>
  <c r="O4770" i="1"/>
  <c r="K4770" i="1"/>
  <c r="J4770" i="1"/>
  <c r="I4770" i="1"/>
  <c r="H4770" i="1"/>
  <c r="G4770" i="1"/>
  <c r="F4770" i="1"/>
  <c r="E4770" i="1"/>
  <c r="D4770" i="1"/>
  <c r="C4770" i="1"/>
  <c r="B4770" i="1"/>
  <c r="A4770" i="1"/>
  <c r="R4769" i="1"/>
  <c r="J4769" i="1"/>
  <c r="I4769" i="1"/>
  <c r="G4769" i="1"/>
  <c r="F4769" i="1"/>
  <c r="E4769" i="1"/>
  <c r="D4769" i="1"/>
  <c r="C4769" i="1"/>
  <c r="B4769" i="1"/>
  <c r="A4769" i="1"/>
  <c r="S4768" i="1"/>
  <c r="O4768" i="1"/>
  <c r="K4768" i="1"/>
  <c r="J4768" i="1"/>
  <c r="I4768" i="1"/>
  <c r="H4768" i="1"/>
  <c r="G4768" i="1"/>
  <c r="F4768" i="1"/>
  <c r="E4768" i="1"/>
  <c r="D4768" i="1"/>
  <c r="C4768" i="1"/>
  <c r="B4768" i="1"/>
  <c r="A4768" i="1"/>
  <c r="R4767" i="1"/>
  <c r="J4767" i="1"/>
  <c r="I4767" i="1"/>
  <c r="G4767" i="1"/>
  <c r="F4767" i="1"/>
  <c r="E4767" i="1"/>
  <c r="D4767" i="1"/>
  <c r="C4767" i="1"/>
  <c r="B4767" i="1"/>
  <c r="A4767" i="1"/>
  <c r="S4766" i="1"/>
  <c r="O4766" i="1"/>
  <c r="K4766" i="1"/>
  <c r="J4766" i="1"/>
  <c r="I4766" i="1"/>
  <c r="H4766" i="1"/>
  <c r="G4766" i="1"/>
  <c r="F4766" i="1"/>
  <c r="E4766" i="1"/>
  <c r="D4766" i="1"/>
  <c r="C4766" i="1"/>
  <c r="B4766" i="1"/>
  <c r="A4766" i="1"/>
  <c r="R4765" i="1"/>
  <c r="J4765" i="1"/>
  <c r="I4765" i="1"/>
  <c r="G4765" i="1"/>
  <c r="F4765" i="1"/>
  <c r="E4765" i="1"/>
  <c r="D4765" i="1"/>
  <c r="C4765" i="1"/>
  <c r="B4765" i="1"/>
  <c r="A4765" i="1"/>
  <c r="S4764" i="1"/>
  <c r="O4764" i="1"/>
  <c r="K4764" i="1"/>
  <c r="J4764" i="1"/>
  <c r="I4764" i="1"/>
  <c r="H4764" i="1"/>
  <c r="G4764" i="1"/>
  <c r="F4764" i="1"/>
  <c r="E4764" i="1"/>
  <c r="D4764" i="1"/>
  <c r="C4764" i="1"/>
  <c r="B4764" i="1"/>
  <c r="A4764" i="1"/>
  <c r="R4763" i="1"/>
  <c r="J4763" i="1"/>
  <c r="I4763" i="1"/>
  <c r="G4763" i="1"/>
  <c r="F4763" i="1"/>
  <c r="E4763" i="1"/>
  <c r="D4763" i="1"/>
  <c r="C4763" i="1"/>
  <c r="B4763" i="1"/>
  <c r="A4763" i="1"/>
  <c r="S4762" i="1"/>
  <c r="O4762" i="1"/>
  <c r="K4762" i="1"/>
  <c r="J4762" i="1"/>
  <c r="I4762" i="1"/>
  <c r="H4762" i="1"/>
  <c r="G4762" i="1"/>
  <c r="F4762" i="1"/>
  <c r="E4762" i="1"/>
  <c r="D4762" i="1"/>
  <c r="C4762" i="1"/>
  <c r="B4762" i="1"/>
  <c r="A4762" i="1"/>
  <c r="R4761" i="1"/>
  <c r="J4761" i="1"/>
  <c r="I4761" i="1"/>
  <c r="G4761" i="1"/>
  <c r="F4761" i="1"/>
  <c r="E4761" i="1"/>
  <c r="D4761" i="1"/>
  <c r="C4761" i="1"/>
  <c r="B4761" i="1"/>
  <c r="A4761" i="1"/>
  <c r="S4760" i="1"/>
  <c r="O4760" i="1"/>
  <c r="K4760" i="1"/>
  <c r="J4760" i="1"/>
  <c r="I4760" i="1"/>
  <c r="H4760" i="1"/>
  <c r="G4760" i="1"/>
  <c r="F4760" i="1"/>
  <c r="E4760" i="1"/>
  <c r="D4760" i="1"/>
  <c r="C4760" i="1"/>
  <c r="B4760" i="1"/>
  <c r="A4760" i="1"/>
  <c r="R4759" i="1"/>
  <c r="J4759" i="1"/>
  <c r="I4759" i="1"/>
  <c r="G4759" i="1"/>
  <c r="F4759" i="1"/>
  <c r="E4759" i="1"/>
  <c r="D4759" i="1"/>
  <c r="C4759" i="1"/>
  <c r="B4759" i="1"/>
  <c r="A4759" i="1"/>
  <c r="S4758" i="1"/>
  <c r="O4758" i="1"/>
  <c r="K4758" i="1"/>
  <c r="J4758" i="1"/>
  <c r="I4758" i="1"/>
  <c r="H4758" i="1"/>
  <c r="G4758" i="1"/>
  <c r="F4758" i="1"/>
  <c r="E4758" i="1"/>
  <c r="D4758" i="1"/>
  <c r="C4758" i="1"/>
  <c r="B4758" i="1"/>
  <c r="A4758" i="1"/>
  <c r="R4757" i="1"/>
  <c r="J4757" i="1"/>
  <c r="I4757" i="1"/>
  <c r="G4757" i="1"/>
  <c r="F4757" i="1"/>
  <c r="E4757" i="1"/>
  <c r="D4757" i="1"/>
  <c r="C4757" i="1"/>
  <c r="B4757" i="1"/>
  <c r="A4757" i="1"/>
  <c r="S4756" i="1"/>
  <c r="O4756" i="1"/>
  <c r="K4756" i="1"/>
  <c r="J4756" i="1"/>
  <c r="I4756" i="1"/>
  <c r="H4756" i="1"/>
  <c r="G4756" i="1"/>
  <c r="F4756" i="1"/>
  <c r="E4756" i="1"/>
  <c r="D4756" i="1"/>
  <c r="C4756" i="1"/>
  <c r="B4756" i="1"/>
  <c r="A4756" i="1"/>
  <c r="R4755" i="1"/>
  <c r="J4755" i="1"/>
  <c r="I4755" i="1"/>
  <c r="G4755" i="1"/>
  <c r="F4755" i="1"/>
  <c r="E4755" i="1"/>
  <c r="D4755" i="1"/>
  <c r="C4755" i="1"/>
  <c r="B4755" i="1"/>
  <c r="A4755" i="1"/>
  <c r="S4754" i="1"/>
  <c r="O4754" i="1"/>
  <c r="K4754" i="1"/>
  <c r="J4754" i="1"/>
  <c r="I4754" i="1"/>
  <c r="H4754" i="1"/>
  <c r="G4754" i="1"/>
  <c r="F4754" i="1"/>
  <c r="E4754" i="1"/>
  <c r="D4754" i="1"/>
  <c r="C4754" i="1"/>
  <c r="B4754" i="1"/>
  <c r="A4754" i="1"/>
  <c r="R4753" i="1"/>
  <c r="J4753" i="1"/>
  <c r="I4753" i="1"/>
  <c r="G4753" i="1"/>
  <c r="F4753" i="1"/>
  <c r="E4753" i="1"/>
  <c r="D4753" i="1"/>
  <c r="C4753" i="1"/>
  <c r="B4753" i="1"/>
  <c r="A4753" i="1"/>
  <c r="S4752" i="1"/>
  <c r="O4752" i="1"/>
  <c r="K4752" i="1"/>
  <c r="J4752" i="1"/>
  <c r="I4752" i="1"/>
  <c r="H4752" i="1"/>
  <c r="G4752" i="1"/>
  <c r="F4752" i="1"/>
  <c r="E4752" i="1"/>
  <c r="D4752" i="1"/>
  <c r="C4752" i="1"/>
  <c r="B4752" i="1"/>
  <c r="A4752" i="1"/>
  <c r="R4751" i="1"/>
  <c r="J4751" i="1"/>
  <c r="I4751" i="1"/>
  <c r="G4751" i="1"/>
  <c r="F4751" i="1"/>
  <c r="E4751" i="1"/>
  <c r="D4751" i="1"/>
  <c r="C4751" i="1"/>
  <c r="B4751" i="1"/>
  <c r="A4751" i="1"/>
  <c r="S4750" i="1"/>
  <c r="O4750" i="1"/>
  <c r="K4750" i="1"/>
  <c r="J4750" i="1"/>
  <c r="I4750" i="1"/>
  <c r="H4750" i="1"/>
  <c r="G4750" i="1"/>
  <c r="F4750" i="1"/>
  <c r="E4750" i="1"/>
  <c r="D4750" i="1"/>
  <c r="C4750" i="1"/>
  <c r="B4750" i="1"/>
  <c r="A4750" i="1"/>
  <c r="R4749" i="1"/>
  <c r="J4749" i="1"/>
  <c r="I4749" i="1"/>
  <c r="G4749" i="1"/>
  <c r="F4749" i="1"/>
  <c r="E4749" i="1"/>
  <c r="D4749" i="1"/>
  <c r="C4749" i="1"/>
  <c r="B4749" i="1"/>
  <c r="A4749" i="1"/>
  <c r="S4748" i="1"/>
  <c r="O4748" i="1"/>
  <c r="K4748" i="1"/>
  <c r="J4748" i="1"/>
  <c r="I4748" i="1"/>
  <c r="H4748" i="1"/>
  <c r="G4748" i="1"/>
  <c r="F4748" i="1"/>
  <c r="E4748" i="1"/>
  <c r="D4748" i="1"/>
  <c r="C4748" i="1"/>
  <c r="B4748" i="1"/>
  <c r="A4748" i="1"/>
  <c r="R4747" i="1"/>
  <c r="J4747" i="1"/>
  <c r="I4747" i="1"/>
  <c r="G4747" i="1"/>
  <c r="F4747" i="1"/>
  <c r="E4747" i="1"/>
  <c r="D4747" i="1"/>
  <c r="C4747" i="1"/>
  <c r="B4747" i="1"/>
  <c r="A4747" i="1"/>
  <c r="S4746" i="1"/>
  <c r="O4746" i="1"/>
  <c r="K4746" i="1"/>
  <c r="J4746" i="1"/>
  <c r="I4746" i="1"/>
  <c r="H4746" i="1"/>
  <c r="G4746" i="1"/>
  <c r="F4746" i="1"/>
  <c r="E4746" i="1"/>
  <c r="D4746" i="1"/>
  <c r="C4746" i="1"/>
  <c r="B4746" i="1"/>
  <c r="A4746" i="1"/>
  <c r="R4745" i="1"/>
  <c r="J4745" i="1"/>
  <c r="I4745" i="1"/>
  <c r="G4745" i="1"/>
  <c r="F4745" i="1"/>
  <c r="E4745" i="1"/>
  <c r="D4745" i="1"/>
  <c r="C4745" i="1"/>
  <c r="B4745" i="1"/>
  <c r="A4745" i="1"/>
  <c r="S4744" i="1"/>
  <c r="O4744" i="1"/>
  <c r="K4744" i="1"/>
  <c r="J4744" i="1"/>
  <c r="I4744" i="1"/>
  <c r="H4744" i="1"/>
  <c r="G4744" i="1"/>
  <c r="F4744" i="1"/>
  <c r="E4744" i="1"/>
  <c r="D4744" i="1"/>
  <c r="C4744" i="1"/>
  <c r="B4744" i="1"/>
  <c r="A4744" i="1"/>
  <c r="R4743" i="1"/>
  <c r="J4743" i="1"/>
  <c r="I4743" i="1"/>
  <c r="G4743" i="1"/>
  <c r="F4743" i="1"/>
  <c r="E4743" i="1"/>
  <c r="D4743" i="1"/>
  <c r="C4743" i="1"/>
  <c r="B4743" i="1"/>
  <c r="A4743" i="1"/>
  <c r="S4742" i="1"/>
  <c r="O4742" i="1"/>
  <c r="K4742" i="1"/>
  <c r="J4742" i="1"/>
  <c r="I4742" i="1"/>
  <c r="H4742" i="1"/>
  <c r="G4742" i="1"/>
  <c r="F4742" i="1"/>
  <c r="E4742" i="1"/>
  <c r="D4742" i="1"/>
  <c r="C4742" i="1"/>
  <c r="B4742" i="1"/>
  <c r="A4742" i="1"/>
  <c r="R4741" i="1"/>
  <c r="J4741" i="1"/>
  <c r="I4741" i="1"/>
  <c r="G4741" i="1"/>
  <c r="F4741" i="1"/>
  <c r="E4741" i="1"/>
  <c r="D4741" i="1"/>
  <c r="C4741" i="1"/>
  <c r="B4741" i="1"/>
  <c r="A4741" i="1"/>
  <c r="S4740" i="1"/>
  <c r="O4740" i="1"/>
  <c r="K4740" i="1"/>
  <c r="J4740" i="1"/>
  <c r="I4740" i="1"/>
  <c r="H4740" i="1"/>
  <c r="G4740" i="1"/>
  <c r="F4740" i="1"/>
  <c r="E4740" i="1"/>
  <c r="D4740" i="1"/>
  <c r="C4740" i="1"/>
  <c r="B4740" i="1"/>
  <c r="A4740" i="1"/>
  <c r="R4739" i="1"/>
  <c r="J4739" i="1"/>
  <c r="I4739" i="1"/>
  <c r="G4739" i="1"/>
  <c r="F4739" i="1"/>
  <c r="E4739" i="1"/>
  <c r="D4739" i="1"/>
  <c r="C4739" i="1"/>
  <c r="B4739" i="1"/>
  <c r="A4739" i="1"/>
  <c r="S4738" i="1"/>
  <c r="O4738" i="1"/>
  <c r="K4738" i="1"/>
  <c r="J4738" i="1"/>
  <c r="I4738" i="1"/>
  <c r="H4738" i="1"/>
  <c r="G4738" i="1"/>
  <c r="F4738" i="1"/>
  <c r="E4738" i="1"/>
  <c r="D4738" i="1"/>
  <c r="C4738" i="1"/>
  <c r="B4738" i="1"/>
  <c r="A4738" i="1"/>
  <c r="R4737" i="1"/>
  <c r="J4737" i="1"/>
  <c r="I4737" i="1"/>
  <c r="G4737" i="1"/>
  <c r="F4737" i="1"/>
  <c r="E4737" i="1"/>
  <c r="D4737" i="1"/>
  <c r="C4737" i="1"/>
  <c r="B4737" i="1"/>
  <c r="A4737" i="1"/>
  <c r="S4736" i="1"/>
  <c r="O4736" i="1"/>
  <c r="K4736" i="1"/>
  <c r="J4736" i="1"/>
  <c r="I4736" i="1"/>
  <c r="H4736" i="1"/>
  <c r="G4736" i="1"/>
  <c r="F4736" i="1"/>
  <c r="E4736" i="1"/>
  <c r="D4736" i="1"/>
  <c r="C4736" i="1"/>
  <c r="B4736" i="1"/>
  <c r="A4736" i="1"/>
  <c r="R4735" i="1"/>
  <c r="J4735" i="1"/>
  <c r="I4735" i="1"/>
  <c r="G4735" i="1"/>
  <c r="F4735" i="1"/>
  <c r="E4735" i="1"/>
  <c r="D4735" i="1"/>
  <c r="C4735" i="1"/>
  <c r="B4735" i="1"/>
  <c r="A4735" i="1"/>
  <c r="S4734" i="1"/>
  <c r="O4734" i="1"/>
  <c r="K4734" i="1"/>
  <c r="J4734" i="1"/>
  <c r="I4734" i="1"/>
  <c r="H4734" i="1"/>
  <c r="G4734" i="1"/>
  <c r="F4734" i="1"/>
  <c r="E4734" i="1"/>
  <c r="D4734" i="1"/>
  <c r="C4734" i="1"/>
  <c r="B4734" i="1"/>
  <c r="A4734" i="1"/>
  <c r="R4733" i="1"/>
  <c r="J4733" i="1"/>
  <c r="I4733" i="1"/>
  <c r="G4733" i="1"/>
  <c r="F4733" i="1"/>
  <c r="E4733" i="1"/>
  <c r="D4733" i="1"/>
  <c r="C4733" i="1"/>
  <c r="B4733" i="1"/>
  <c r="A4733" i="1"/>
  <c r="S4732" i="1"/>
  <c r="O4732" i="1"/>
  <c r="K4732" i="1"/>
  <c r="J4732" i="1"/>
  <c r="I4732" i="1"/>
  <c r="H4732" i="1"/>
  <c r="G4732" i="1"/>
  <c r="F4732" i="1"/>
  <c r="E4732" i="1"/>
  <c r="D4732" i="1"/>
  <c r="C4732" i="1"/>
  <c r="B4732" i="1"/>
  <c r="A4732" i="1"/>
  <c r="R4731" i="1"/>
  <c r="J4731" i="1"/>
  <c r="I4731" i="1"/>
  <c r="G4731" i="1"/>
  <c r="F4731" i="1"/>
  <c r="E4731" i="1"/>
  <c r="D4731" i="1"/>
  <c r="C4731" i="1"/>
  <c r="B4731" i="1"/>
  <c r="A4731" i="1"/>
  <c r="S4730" i="1"/>
  <c r="O4730" i="1"/>
  <c r="K4730" i="1"/>
  <c r="J4730" i="1"/>
  <c r="I4730" i="1"/>
  <c r="H4730" i="1"/>
  <c r="G4730" i="1"/>
  <c r="F4730" i="1"/>
  <c r="E4730" i="1"/>
  <c r="D4730" i="1"/>
  <c r="C4730" i="1"/>
  <c r="B4730" i="1"/>
  <c r="A4730" i="1"/>
  <c r="R4729" i="1"/>
  <c r="J4729" i="1"/>
  <c r="I4729" i="1"/>
  <c r="G4729" i="1"/>
  <c r="F4729" i="1"/>
  <c r="E4729" i="1"/>
  <c r="D4729" i="1"/>
  <c r="C4729" i="1"/>
  <c r="B4729" i="1"/>
  <c r="A4729" i="1"/>
  <c r="S4728" i="1"/>
  <c r="O4728" i="1"/>
  <c r="K4728" i="1"/>
  <c r="J4728" i="1"/>
  <c r="I4728" i="1"/>
  <c r="H4728" i="1"/>
  <c r="G4728" i="1"/>
  <c r="F4728" i="1"/>
  <c r="E4728" i="1"/>
  <c r="D4728" i="1"/>
  <c r="C4728" i="1"/>
  <c r="B4728" i="1"/>
  <c r="A4728" i="1"/>
  <c r="R4727" i="1"/>
  <c r="J4727" i="1"/>
  <c r="I4727" i="1"/>
  <c r="G4727" i="1"/>
  <c r="F4727" i="1"/>
  <c r="E4727" i="1"/>
  <c r="D4727" i="1"/>
  <c r="C4727" i="1"/>
  <c r="B4727" i="1"/>
  <c r="A4727" i="1"/>
  <c r="S4726" i="1"/>
  <c r="O4726" i="1"/>
  <c r="K4726" i="1"/>
  <c r="J4726" i="1"/>
  <c r="I4726" i="1"/>
  <c r="H4726" i="1"/>
  <c r="G4726" i="1"/>
  <c r="F4726" i="1"/>
  <c r="E4726" i="1"/>
  <c r="D4726" i="1"/>
  <c r="C4726" i="1"/>
  <c r="B4726" i="1"/>
  <c r="A4726" i="1"/>
  <c r="R4725" i="1"/>
  <c r="J4725" i="1"/>
  <c r="I4725" i="1"/>
  <c r="G4725" i="1"/>
  <c r="F4725" i="1"/>
  <c r="E4725" i="1"/>
  <c r="D4725" i="1"/>
  <c r="C4725" i="1"/>
  <c r="B4725" i="1"/>
  <c r="A4725" i="1"/>
  <c r="S4724" i="1"/>
  <c r="O4724" i="1"/>
  <c r="K4724" i="1"/>
  <c r="J4724" i="1"/>
  <c r="I4724" i="1"/>
  <c r="H4724" i="1"/>
  <c r="G4724" i="1"/>
  <c r="F4724" i="1"/>
  <c r="E4724" i="1"/>
  <c r="D4724" i="1"/>
  <c r="C4724" i="1"/>
  <c r="B4724" i="1"/>
  <c r="A4724" i="1"/>
  <c r="R4723" i="1"/>
  <c r="J4723" i="1"/>
  <c r="I4723" i="1"/>
  <c r="G4723" i="1"/>
  <c r="F4723" i="1"/>
  <c r="E4723" i="1"/>
  <c r="D4723" i="1"/>
  <c r="C4723" i="1"/>
  <c r="B4723" i="1"/>
  <c r="A4723" i="1"/>
  <c r="S4722" i="1"/>
  <c r="O4722" i="1"/>
  <c r="K4722" i="1"/>
  <c r="J4722" i="1"/>
  <c r="I4722" i="1"/>
  <c r="H4722" i="1"/>
  <c r="G4722" i="1"/>
  <c r="F4722" i="1"/>
  <c r="E4722" i="1"/>
  <c r="D4722" i="1"/>
  <c r="C4722" i="1"/>
  <c r="B4722" i="1"/>
  <c r="A4722" i="1"/>
  <c r="R4721" i="1"/>
  <c r="J4721" i="1"/>
  <c r="I4721" i="1"/>
  <c r="G4721" i="1"/>
  <c r="F4721" i="1"/>
  <c r="E4721" i="1"/>
  <c r="D4721" i="1"/>
  <c r="C4721" i="1"/>
  <c r="B4721" i="1"/>
  <c r="A4721" i="1"/>
  <c r="S4720" i="1"/>
  <c r="O4720" i="1"/>
  <c r="K4720" i="1"/>
  <c r="J4720" i="1"/>
  <c r="I4720" i="1"/>
  <c r="H4720" i="1"/>
  <c r="G4720" i="1"/>
  <c r="F4720" i="1"/>
  <c r="E4720" i="1"/>
  <c r="D4720" i="1"/>
  <c r="C4720" i="1"/>
  <c r="B4720" i="1"/>
  <c r="A4720" i="1"/>
  <c r="R4719" i="1"/>
  <c r="J4719" i="1"/>
  <c r="I4719" i="1"/>
  <c r="G4719" i="1"/>
  <c r="F4719" i="1"/>
  <c r="E4719" i="1"/>
  <c r="D4719" i="1"/>
  <c r="C4719" i="1"/>
  <c r="B4719" i="1"/>
  <c r="A4719" i="1"/>
  <c r="S4718" i="1"/>
  <c r="O4718" i="1"/>
  <c r="K4718" i="1"/>
  <c r="J4718" i="1"/>
  <c r="I4718" i="1"/>
  <c r="H4718" i="1"/>
  <c r="G4718" i="1"/>
  <c r="F4718" i="1"/>
  <c r="E4718" i="1"/>
  <c r="D4718" i="1"/>
  <c r="C4718" i="1"/>
  <c r="B4718" i="1"/>
  <c r="A4718" i="1"/>
  <c r="R4717" i="1"/>
  <c r="J4717" i="1"/>
  <c r="I4717" i="1"/>
  <c r="G4717" i="1"/>
  <c r="F4717" i="1"/>
  <c r="E4717" i="1"/>
  <c r="D4717" i="1"/>
  <c r="C4717" i="1"/>
  <c r="B4717" i="1"/>
  <c r="A4717" i="1"/>
  <c r="S4716" i="1"/>
  <c r="O4716" i="1"/>
  <c r="K4716" i="1"/>
  <c r="J4716" i="1"/>
  <c r="I4716" i="1"/>
  <c r="H4716" i="1"/>
  <c r="G4716" i="1"/>
  <c r="F4716" i="1"/>
  <c r="E4716" i="1"/>
  <c r="D4716" i="1"/>
  <c r="C4716" i="1"/>
  <c r="B4716" i="1"/>
  <c r="A4716" i="1"/>
  <c r="R4715" i="1"/>
  <c r="J4715" i="1"/>
  <c r="I4715" i="1"/>
  <c r="G4715" i="1"/>
  <c r="F4715" i="1"/>
  <c r="E4715" i="1"/>
  <c r="D4715" i="1"/>
  <c r="C4715" i="1"/>
  <c r="B4715" i="1"/>
  <c r="A4715" i="1"/>
  <c r="S4714" i="1"/>
  <c r="O4714" i="1"/>
  <c r="K4714" i="1"/>
  <c r="J4714" i="1"/>
  <c r="I4714" i="1"/>
  <c r="H4714" i="1"/>
  <c r="G4714" i="1"/>
  <c r="F4714" i="1"/>
  <c r="E4714" i="1"/>
  <c r="D4714" i="1"/>
  <c r="C4714" i="1"/>
  <c r="B4714" i="1"/>
  <c r="A4714" i="1"/>
  <c r="R4713" i="1"/>
  <c r="J4713" i="1"/>
  <c r="I4713" i="1"/>
  <c r="G4713" i="1"/>
  <c r="F4713" i="1"/>
  <c r="E4713" i="1"/>
  <c r="D4713" i="1"/>
  <c r="C4713" i="1"/>
  <c r="B4713" i="1"/>
  <c r="A4713" i="1"/>
  <c r="S4712" i="1"/>
  <c r="O4712" i="1"/>
  <c r="K4712" i="1"/>
  <c r="J4712" i="1"/>
  <c r="I4712" i="1"/>
  <c r="H4712" i="1"/>
  <c r="G4712" i="1"/>
  <c r="F4712" i="1"/>
  <c r="E4712" i="1"/>
  <c r="D4712" i="1"/>
  <c r="C4712" i="1"/>
  <c r="B4712" i="1"/>
  <c r="A4712" i="1"/>
  <c r="R4711" i="1"/>
  <c r="J4711" i="1"/>
  <c r="I4711" i="1"/>
  <c r="G4711" i="1"/>
  <c r="F4711" i="1"/>
  <c r="E4711" i="1"/>
  <c r="D4711" i="1"/>
  <c r="C4711" i="1"/>
  <c r="B4711" i="1"/>
  <c r="A4711" i="1"/>
  <c r="S4710" i="1"/>
  <c r="O4710" i="1"/>
  <c r="K4710" i="1"/>
  <c r="J4710" i="1"/>
  <c r="I4710" i="1"/>
  <c r="H4710" i="1"/>
  <c r="G4710" i="1"/>
  <c r="F4710" i="1"/>
  <c r="E4710" i="1"/>
  <c r="D4710" i="1"/>
  <c r="C4710" i="1"/>
  <c r="B4710" i="1"/>
  <c r="A4710" i="1"/>
  <c r="R4709" i="1"/>
  <c r="J4709" i="1"/>
  <c r="I4709" i="1"/>
  <c r="G4709" i="1"/>
  <c r="F4709" i="1"/>
  <c r="E4709" i="1"/>
  <c r="D4709" i="1"/>
  <c r="C4709" i="1"/>
  <c r="B4709" i="1"/>
  <c r="A4709" i="1"/>
  <c r="S4708" i="1"/>
  <c r="O4708" i="1"/>
  <c r="K4708" i="1"/>
  <c r="J4708" i="1"/>
  <c r="I4708" i="1"/>
  <c r="H4708" i="1"/>
  <c r="G4708" i="1"/>
  <c r="F4708" i="1"/>
  <c r="E4708" i="1"/>
  <c r="D4708" i="1"/>
  <c r="C4708" i="1"/>
  <c r="B4708" i="1"/>
  <c r="A4708" i="1"/>
  <c r="R4707" i="1"/>
  <c r="J4707" i="1"/>
  <c r="I4707" i="1"/>
  <c r="G4707" i="1"/>
  <c r="F4707" i="1"/>
  <c r="E4707" i="1"/>
  <c r="D4707" i="1"/>
  <c r="C4707" i="1"/>
  <c r="B4707" i="1"/>
  <c r="A4707" i="1"/>
  <c r="S4706" i="1"/>
  <c r="O4706" i="1"/>
  <c r="K4706" i="1"/>
  <c r="J4706" i="1"/>
  <c r="I4706" i="1"/>
  <c r="H4706" i="1"/>
  <c r="G4706" i="1"/>
  <c r="F4706" i="1"/>
  <c r="E4706" i="1"/>
  <c r="D4706" i="1"/>
  <c r="C4706" i="1"/>
  <c r="B4706" i="1"/>
  <c r="A4706" i="1"/>
  <c r="R4705" i="1"/>
  <c r="J4705" i="1"/>
  <c r="I4705" i="1"/>
  <c r="G4705" i="1"/>
  <c r="F4705" i="1"/>
  <c r="E4705" i="1"/>
  <c r="D4705" i="1"/>
  <c r="C4705" i="1"/>
  <c r="B4705" i="1"/>
  <c r="A4705" i="1"/>
  <c r="S4704" i="1"/>
  <c r="O4704" i="1"/>
  <c r="K4704" i="1"/>
  <c r="J4704" i="1"/>
  <c r="I4704" i="1"/>
  <c r="H4704" i="1"/>
  <c r="G4704" i="1"/>
  <c r="F4704" i="1"/>
  <c r="E4704" i="1"/>
  <c r="D4704" i="1"/>
  <c r="C4704" i="1"/>
  <c r="B4704" i="1"/>
  <c r="A4704" i="1"/>
  <c r="R4703" i="1"/>
  <c r="J4703" i="1"/>
  <c r="I4703" i="1"/>
  <c r="G4703" i="1"/>
  <c r="F4703" i="1"/>
  <c r="E4703" i="1"/>
  <c r="D4703" i="1"/>
  <c r="C4703" i="1"/>
  <c r="B4703" i="1"/>
  <c r="A4703" i="1"/>
  <c r="S4702" i="1"/>
  <c r="O4702" i="1"/>
  <c r="K4702" i="1"/>
  <c r="J4702" i="1"/>
  <c r="I4702" i="1"/>
  <c r="H4702" i="1"/>
  <c r="G4702" i="1"/>
  <c r="F4702" i="1"/>
  <c r="E4702" i="1"/>
  <c r="D4702" i="1"/>
  <c r="C4702" i="1"/>
  <c r="B4702" i="1"/>
  <c r="A4702" i="1"/>
  <c r="R4701" i="1"/>
  <c r="J4701" i="1"/>
  <c r="I4701" i="1"/>
  <c r="G4701" i="1"/>
  <c r="F4701" i="1"/>
  <c r="E4701" i="1"/>
  <c r="D4701" i="1"/>
  <c r="C4701" i="1"/>
  <c r="B4701" i="1"/>
  <c r="A4701" i="1"/>
  <c r="S4700" i="1"/>
  <c r="O4700" i="1"/>
  <c r="K4700" i="1"/>
  <c r="J4700" i="1"/>
  <c r="I4700" i="1"/>
  <c r="H4700" i="1"/>
  <c r="G4700" i="1"/>
  <c r="F4700" i="1"/>
  <c r="E4700" i="1"/>
  <c r="D4700" i="1"/>
  <c r="C4700" i="1"/>
  <c r="B4700" i="1"/>
  <c r="A4700" i="1"/>
  <c r="R4699" i="1"/>
  <c r="J4699" i="1"/>
  <c r="I4699" i="1"/>
  <c r="G4699" i="1"/>
  <c r="F4699" i="1"/>
  <c r="E4699" i="1"/>
  <c r="D4699" i="1"/>
  <c r="C4699" i="1"/>
  <c r="B4699" i="1"/>
  <c r="A4699" i="1"/>
  <c r="S4698" i="1"/>
  <c r="O4698" i="1"/>
  <c r="K4698" i="1"/>
  <c r="J4698" i="1"/>
  <c r="I4698" i="1"/>
  <c r="H4698" i="1"/>
  <c r="G4698" i="1"/>
  <c r="F4698" i="1"/>
  <c r="E4698" i="1"/>
  <c r="D4698" i="1"/>
  <c r="C4698" i="1"/>
  <c r="B4698" i="1"/>
  <c r="A4698" i="1"/>
  <c r="R4697" i="1"/>
  <c r="J4697" i="1"/>
  <c r="I4697" i="1"/>
  <c r="G4697" i="1"/>
  <c r="F4697" i="1"/>
  <c r="E4697" i="1"/>
  <c r="D4697" i="1"/>
  <c r="C4697" i="1"/>
  <c r="B4697" i="1"/>
  <c r="A4697" i="1"/>
  <c r="S4696" i="1"/>
  <c r="O4696" i="1"/>
  <c r="K4696" i="1"/>
  <c r="J4696" i="1"/>
  <c r="I4696" i="1"/>
  <c r="H4696" i="1"/>
  <c r="G4696" i="1"/>
  <c r="F4696" i="1"/>
  <c r="E4696" i="1"/>
  <c r="D4696" i="1"/>
  <c r="C4696" i="1"/>
  <c r="B4696" i="1"/>
  <c r="A4696" i="1"/>
  <c r="R4695" i="1"/>
  <c r="J4695" i="1"/>
  <c r="I4695" i="1"/>
  <c r="G4695" i="1"/>
  <c r="F4695" i="1"/>
  <c r="E4695" i="1"/>
  <c r="D4695" i="1"/>
  <c r="C4695" i="1"/>
  <c r="B4695" i="1"/>
  <c r="A4695" i="1"/>
  <c r="S4694" i="1"/>
  <c r="O4694" i="1"/>
  <c r="K4694" i="1"/>
  <c r="J4694" i="1"/>
  <c r="I4694" i="1"/>
  <c r="H4694" i="1"/>
  <c r="G4694" i="1"/>
  <c r="F4694" i="1"/>
  <c r="E4694" i="1"/>
  <c r="D4694" i="1"/>
  <c r="C4694" i="1"/>
  <c r="B4694" i="1"/>
  <c r="A4694" i="1"/>
  <c r="R4693" i="1"/>
  <c r="J4693" i="1"/>
  <c r="I4693" i="1"/>
  <c r="G4693" i="1"/>
  <c r="F4693" i="1"/>
  <c r="E4693" i="1"/>
  <c r="D4693" i="1"/>
  <c r="C4693" i="1"/>
  <c r="B4693" i="1"/>
  <c r="A4693" i="1"/>
  <c r="S4692" i="1"/>
  <c r="O4692" i="1"/>
  <c r="K4692" i="1"/>
  <c r="J4692" i="1"/>
  <c r="I4692" i="1"/>
  <c r="H4692" i="1"/>
  <c r="G4692" i="1"/>
  <c r="F4692" i="1"/>
  <c r="E4692" i="1"/>
  <c r="D4692" i="1"/>
  <c r="C4692" i="1"/>
  <c r="B4692" i="1"/>
  <c r="A4692" i="1"/>
  <c r="R4691" i="1"/>
  <c r="J4691" i="1"/>
  <c r="I4691" i="1"/>
  <c r="G4691" i="1"/>
  <c r="F4691" i="1"/>
  <c r="E4691" i="1"/>
  <c r="D4691" i="1"/>
  <c r="C4691" i="1"/>
  <c r="B4691" i="1"/>
  <c r="A4691" i="1"/>
  <c r="S4690" i="1"/>
  <c r="O4690" i="1"/>
  <c r="K4690" i="1"/>
  <c r="J4690" i="1"/>
  <c r="I4690" i="1"/>
  <c r="H4690" i="1"/>
  <c r="G4690" i="1"/>
  <c r="F4690" i="1"/>
  <c r="E4690" i="1"/>
  <c r="D4690" i="1"/>
  <c r="C4690" i="1"/>
  <c r="B4690" i="1"/>
  <c r="A4690" i="1"/>
  <c r="R4689" i="1"/>
  <c r="J4689" i="1"/>
  <c r="I4689" i="1"/>
  <c r="G4689" i="1"/>
  <c r="F4689" i="1"/>
  <c r="E4689" i="1"/>
  <c r="D4689" i="1"/>
  <c r="C4689" i="1"/>
  <c r="B4689" i="1"/>
  <c r="A4689" i="1"/>
  <c r="S4688" i="1"/>
  <c r="O4688" i="1"/>
  <c r="K4688" i="1"/>
  <c r="J4688" i="1"/>
  <c r="I4688" i="1"/>
  <c r="H4688" i="1"/>
  <c r="G4688" i="1"/>
  <c r="F4688" i="1"/>
  <c r="E4688" i="1"/>
  <c r="D4688" i="1"/>
  <c r="C4688" i="1"/>
  <c r="B4688" i="1"/>
  <c r="A4688" i="1"/>
  <c r="R4687" i="1"/>
  <c r="J4687" i="1"/>
  <c r="I4687" i="1"/>
  <c r="G4687" i="1"/>
  <c r="F4687" i="1"/>
  <c r="E4687" i="1"/>
  <c r="D4687" i="1"/>
  <c r="C4687" i="1"/>
  <c r="B4687" i="1"/>
  <c r="A4687" i="1"/>
  <c r="S4686" i="1"/>
  <c r="O4686" i="1"/>
  <c r="K4686" i="1"/>
  <c r="J4686" i="1"/>
  <c r="I4686" i="1"/>
  <c r="H4686" i="1"/>
  <c r="G4686" i="1"/>
  <c r="F4686" i="1"/>
  <c r="E4686" i="1"/>
  <c r="D4686" i="1"/>
  <c r="C4686" i="1"/>
  <c r="B4686" i="1"/>
  <c r="A4686" i="1"/>
  <c r="R4685" i="1"/>
  <c r="J4685" i="1"/>
  <c r="I4685" i="1"/>
  <c r="G4685" i="1"/>
  <c r="F4685" i="1"/>
  <c r="E4685" i="1"/>
  <c r="D4685" i="1"/>
  <c r="C4685" i="1"/>
  <c r="B4685" i="1"/>
  <c r="A4685" i="1"/>
  <c r="S4684" i="1"/>
  <c r="O4684" i="1"/>
  <c r="K4684" i="1"/>
  <c r="J4684" i="1"/>
  <c r="I4684" i="1"/>
  <c r="H4684" i="1"/>
  <c r="G4684" i="1"/>
  <c r="F4684" i="1"/>
  <c r="E4684" i="1"/>
  <c r="D4684" i="1"/>
  <c r="C4684" i="1"/>
  <c r="B4684" i="1"/>
  <c r="A4684" i="1"/>
  <c r="R4683" i="1"/>
  <c r="J4683" i="1"/>
  <c r="I4683" i="1"/>
  <c r="G4683" i="1"/>
  <c r="F4683" i="1"/>
  <c r="E4683" i="1"/>
  <c r="D4683" i="1"/>
  <c r="C4683" i="1"/>
  <c r="B4683" i="1"/>
  <c r="A4683" i="1"/>
  <c r="S4682" i="1"/>
  <c r="O4682" i="1"/>
  <c r="K4682" i="1"/>
  <c r="J4682" i="1"/>
  <c r="I4682" i="1"/>
  <c r="H4682" i="1"/>
  <c r="G4682" i="1"/>
  <c r="F4682" i="1"/>
  <c r="E4682" i="1"/>
  <c r="D4682" i="1"/>
  <c r="C4682" i="1"/>
  <c r="B4682" i="1"/>
  <c r="A4682" i="1"/>
  <c r="R4681" i="1"/>
  <c r="J4681" i="1"/>
  <c r="I4681" i="1"/>
  <c r="G4681" i="1"/>
  <c r="F4681" i="1"/>
  <c r="E4681" i="1"/>
  <c r="D4681" i="1"/>
  <c r="C4681" i="1"/>
  <c r="B4681" i="1"/>
  <c r="A4681" i="1"/>
  <c r="S4680" i="1"/>
  <c r="O4680" i="1"/>
  <c r="K4680" i="1"/>
  <c r="J4680" i="1"/>
  <c r="I4680" i="1"/>
  <c r="H4680" i="1"/>
  <c r="G4680" i="1"/>
  <c r="F4680" i="1"/>
  <c r="E4680" i="1"/>
  <c r="D4680" i="1"/>
  <c r="C4680" i="1"/>
  <c r="B4680" i="1"/>
  <c r="A4680" i="1"/>
  <c r="R4679" i="1"/>
  <c r="J4679" i="1"/>
  <c r="I4679" i="1"/>
  <c r="G4679" i="1"/>
  <c r="F4679" i="1"/>
  <c r="E4679" i="1"/>
  <c r="D4679" i="1"/>
  <c r="C4679" i="1"/>
  <c r="B4679" i="1"/>
  <c r="A4679" i="1"/>
  <c r="S4678" i="1"/>
  <c r="O4678" i="1"/>
  <c r="K4678" i="1"/>
  <c r="J4678" i="1"/>
  <c r="I4678" i="1"/>
  <c r="H4678" i="1"/>
  <c r="G4678" i="1"/>
  <c r="F4678" i="1"/>
  <c r="E4678" i="1"/>
  <c r="D4678" i="1"/>
  <c r="C4678" i="1"/>
  <c r="B4678" i="1"/>
  <c r="A4678" i="1"/>
  <c r="R4677" i="1"/>
  <c r="J4677" i="1"/>
  <c r="I4677" i="1"/>
  <c r="G4677" i="1"/>
  <c r="F4677" i="1"/>
  <c r="E4677" i="1"/>
  <c r="D4677" i="1"/>
  <c r="C4677" i="1"/>
  <c r="B4677" i="1"/>
  <c r="A4677" i="1"/>
  <c r="S4676" i="1"/>
  <c r="O4676" i="1"/>
  <c r="K4676" i="1"/>
  <c r="J4676" i="1"/>
  <c r="I4676" i="1"/>
  <c r="H4676" i="1"/>
  <c r="G4676" i="1"/>
  <c r="F4676" i="1"/>
  <c r="E4676" i="1"/>
  <c r="D4676" i="1"/>
  <c r="C4676" i="1"/>
  <c r="B4676" i="1"/>
  <c r="A4676" i="1"/>
  <c r="R4675" i="1"/>
  <c r="J4675" i="1"/>
  <c r="I4675" i="1"/>
  <c r="G4675" i="1"/>
  <c r="F4675" i="1"/>
  <c r="E4675" i="1"/>
  <c r="D4675" i="1"/>
  <c r="C4675" i="1"/>
  <c r="B4675" i="1"/>
  <c r="A4675" i="1"/>
  <c r="S4674" i="1"/>
  <c r="O4674" i="1"/>
  <c r="K4674" i="1"/>
  <c r="J4674" i="1"/>
  <c r="I4674" i="1"/>
  <c r="H4674" i="1"/>
  <c r="G4674" i="1"/>
  <c r="F4674" i="1"/>
  <c r="E4674" i="1"/>
  <c r="D4674" i="1"/>
  <c r="C4674" i="1"/>
  <c r="B4674" i="1"/>
  <c r="A4674" i="1"/>
  <c r="R4673" i="1"/>
  <c r="J4673" i="1"/>
  <c r="I4673" i="1"/>
  <c r="G4673" i="1"/>
  <c r="F4673" i="1"/>
  <c r="E4673" i="1"/>
  <c r="D4673" i="1"/>
  <c r="C4673" i="1"/>
  <c r="B4673" i="1"/>
  <c r="A4673" i="1"/>
  <c r="S4672" i="1"/>
  <c r="O4672" i="1"/>
  <c r="K4672" i="1"/>
  <c r="J4672" i="1"/>
  <c r="I4672" i="1"/>
  <c r="H4672" i="1"/>
  <c r="G4672" i="1"/>
  <c r="F4672" i="1"/>
  <c r="E4672" i="1"/>
  <c r="D4672" i="1"/>
  <c r="C4672" i="1"/>
  <c r="B4672" i="1"/>
  <c r="A4672" i="1"/>
  <c r="R4671" i="1"/>
  <c r="J4671" i="1"/>
  <c r="I4671" i="1"/>
  <c r="G4671" i="1"/>
  <c r="F4671" i="1"/>
  <c r="E4671" i="1"/>
  <c r="D4671" i="1"/>
  <c r="C4671" i="1"/>
  <c r="B4671" i="1"/>
  <c r="A4671" i="1"/>
  <c r="S4670" i="1"/>
  <c r="O4670" i="1"/>
  <c r="K4670" i="1"/>
  <c r="J4670" i="1"/>
  <c r="I4670" i="1"/>
  <c r="H4670" i="1"/>
  <c r="G4670" i="1"/>
  <c r="F4670" i="1"/>
  <c r="E4670" i="1"/>
  <c r="D4670" i="1"/>
  <c r="C4670" i="1"/>
  <c r="B4670" i="1"/>
  <c r="A4670" i="1"/>
  <c r="R4669" i="1"/>
  <c r="J4669" i="1"/>
  <c r="I4669" i="1"/>
  <c r="G4669" i="1"/>
  <c r="F4669" i="1"/>
  <c r="E4669" i="1"/>
  <c r="D4669" i="1"/>
  <c r="C4669" i="1"/>
  <c r="B4669" i="1"/>
  <c r="A4669" i="1"/>
  <c r="S4668" i="1"/>
  <c r="O4668" i="1"/>
  <c r="K4668" i="1"/>
  <c r="J4668" i="1"/>
  <c r="I4668" i="1"/>
  <c r="H4668" i="1"/>
  <c r="G4668" i="1"/>
  <c r="F4668" i="1"/>
  <c r="E4668" i="1"/>
  <c r="D4668" i="1"/>
  <c r="C4668" i="1"/>
  <c r="B4668" i="1"/>
  <c r="A4668" i="1"/>
  <c r="R4667" i="1"/>
  <c r="J4667" i="1"/>
  <c r="I4667" i="1"/>
  <c r="G4667" i="1"/>
  <c r="F4667" i="1"/>
  <c r="E4667" i="1"/>
  <c r="D4667" i="1"/>
  <c r="C4667" i="1"/>
  <c r="B4667" i="1"/>
  <c r="A4667" i="1"/>
  <c r="S4666" i="1"/>
  <c r="O4666" i="1"/>
  <c r="K4666" i="1"/>
  <c r="J4666" i="1"/>
  <c r="I4666" i="1"/>
  <c r="H4666" i="1"/>
  <c r="G4666" i="1"/>
  <c r="F4666" i="1"/>
  <c r="E4666" i="1"/>
  <c r="D4666" i="1"/>
  <c r="C4666" i="1"/>
  <c r="B4666" i="1"/>
  <c r="A4666" i="1"/>
  <c r="R4665" i="1"/>
  <c r="J4665" i="1"/>
  <c r="I4665" i="1"/>
  <c r="G4665" i="1"/>
  <c r="F4665" i="1"/>
  <c r="E4665" i="1"/>
  <c r="D4665" i="1"/>
  <c r="C4665" i="1"/>
  <c r="B4665" i="1"/>
  <c r="A4665" i="1"/>
  <c r="S4664" i="1"/>
  <c r="O4664" i="1"/>
  <c r="K4664" i="1"/>
  <c r="J4664" i="1"/>
  <c r="I4664" i="1"/>
  <c r="H4664" i="1"/>
  <c r="G4664" i="1"/>
  <c r="F4664" i="1"/>
  <c r="E4664" i="1"/>
  <c r="D4664" i="1"/>
  <c r="C4664" i="1"/>
  <c r="B4664" i="1"/>
  <c r="A4664" i="1"/>
  <c r="R4663" i="1"/>
  <c r="J4663" i="1"/>
  <c r="I4663" i="1"/>
  <c r="G4663" i="1"/>
  <c r="F4663" i="1"/>
  <c r="E4663" i="1"/>
  <c r="D4663" i="1"/>
  <c r="C4663" i="1"/>
  <c r="B4663" i="1"/>
  <c r="A4663" i="1"/>
  <c r="S4662" i="1"/>
  <c r="O4662" i="1"/>
  <c r="K4662" i="1"/>
  <c r="J4662" i="1"/>
  <c r="I4662" i="1"/>
  <c r="H4662" i="1"/>
  <c r="G4662" i="1"/>
  <c r="F4662" i="1"/>
  <c r="E4662" i="1"/>
  <c r="D4662" i="1"/>
  <c r="C4662" i="1"/>
  <c r="B4662" i="1"/>
  <c r="A4662" i="1"/>
  <c r="R4661" i="1"/>
  <c r="J4661" i="1"/>
  <c r="I4661" i="1"/>
  <c r="G4661" i="1"/>
  <c r="F4661" i="1"/>
  <c r="E4661" i="1"/>
  <c r="D4661" i="1"/>
  <c r="C4661" i="1"/>
  <c r="B4661" i="1"/>
  <c r="A4661" i="1"/>
  <c r="S4660" i="1"/>
  <c r="O4660" i="1"/>
  <c r="K4660" i="1"/>
  <c r="J4660" i="1"/>
  <c r="I4660" i="1"/>
  <c r="H4660" i="1"/>
  <c r="G4660" i="1"/>
  <c r="F4660" i="1"/>
  <c r="E4660" i="1"/>
  <c r="D4660" i="1"/>
  <c r="C4660" i="1"/>
  <c r="B4660" i="1"/>
  <c r="A4660" i="1"/>
  <c r="R4659" i="1"/>
  <c r="J4659" i="1"/>
  <c r="I4659" i="1"/>
  <c r="G4659" i="1"/>
  <c r="F4659" i="1"/>
  <c r="E4659" i="1"/>
  <c r="D4659" i="1"/>
  <c r="C4659" i="1"/>
  <c r="B4659" i="1"/>
  <c r="A4659" i="1"/>
  <c r="S4658" i="1"/>
  <c r="O4658" i="1"/>
  <c r="K4658" i="1"/>
  <c r="J4658" i="1"/>
  <c r="I4658" i="1"/>
  <c r="H4658" i="1"/>
  <c r="G4658" i="1"/>
  <c r="F4658" i="1"/>
  <c r="E4658" i="1"/>
  <c r="D4658" i="1"/>
  <c r="C4658" i="1"/>
  <c r="B4658" i="1"/>
  <c r="A4658" i="1"/>
  <c r="R4657" i="1"/>
  <c r="J4657" i="1"/>
  <c r="I4657" i="1"/>
  <c r="G4657" i="1"/>
  <c r="F4657" i="1"/>
  <c r="E4657" i="1"/>
  <c r="D4657" i="1"/>
  <c r="C4657" i="1"/>
  <c r="B4657" i="1"/>
  <c r="A4657" i="1"/>
  <c r="S4656" i="1"/>
  <c r="O4656" i="1"/>
  <c r="K4656" i="1"/>
  <c r="J4656" i="1"/>
  <c r="I4656" i="1"/>
  <c r="H4656" i="1"/>
  <c r="G4656" i="1"/>
  <c r="F4656" i="1"/>
  <c r="E4656" i="1"/>
  <c r="D4656" i="1"/>
  <c r="C4656" i="1"/>
  <c r="B4656" i="1"/>
  <c r="A4656" i="1"/>
  <c r="R4655" i="1"/>
  <c r="J4655" i="1"/>
  <c r="I4655" i="1"/>
  <c r="G4655" i="1"/>
  <c r="F4655" i="1"/>
  <c r="E4655" i="1"/>
  <c r="D4655" i="1"/>
  <c r="C4655" i="1"/>
  <c r="B4655" i="1"/>
  <c r="A4655" i="1"/>
  <c r="S4654" i="1"/>
  <c r="O4654" i="1"/>
  <c r="K4654" i="1"/>
  <c r="J4654" i="1"/>
  <c r="I4654" i="1"/>
  <c r="H4654" i="1"/>
  <c r="G4654" i="1"/>
  <c r="F4654" i="1"/>
  <c r="E4654" i="1"/>
  <c r="D4654" i="1"/>
  <c r="C4654" i="1"/>
  <c r="B4654" i="1"/>
  <c r="A4654" i="1"/>
  <c r="R4653" i="1"/>
  <c r="J4653" i="1"/>
  <c r="I4653" i="1"/>
  <c r="G4653" i="1"/>
  <c r="F4653" i="1"/>
  <c r="E4653" i="1"/>
  <c r="D4653" i="1"/>
  <c r="C4653" i="1"/>
  <c r="B4653" i="1"/>
  <c r="A4653" i="1"/>
  <c r="S4652" i="1"/>
  <c r="O4652" i="1"/>
  <c r="K4652" i="1"/>
  <c r="J4652" i="1"/>
  <c r="I4652" i="1"/>
  <c r="H4652" i="1"/>
  <c r="G4652" i="1"/>
  <c r="F4652" i="1"/>
  <c r="E4652" i="1"/>
  <c r="D4652" i="1"/>
  <c r="C4652" i="1"/>
  <c r="B4652" i="1"/>
  <c r="A4652" i="1"/>
  <c r="R4651" i="1"/>
  <c r="J4651" i="1"/>
  <c r="I4651" i="1"/>
  <c r="G4651" i="1"/>
  <c r="F4651" i="1"/>
  <c r="E4651" i="1"/>
  <c r="D4651" i="1"/>
  <c r="C4651" i="1"/>
  <c r="B4651" i="1"/>
  <c r="A4651" i="1"/>
  <c r="S4650" i="1"/>
  <c r="O4650" i="1"/>
  <c r="K4650" i="1"/>
  <c r="J4650" i="1"/>
  <c r="I4650" i="1"/>
  <c r="H4650" i="1"/>
  <c r="G4650" i="1"/>
  <c r="F4650" i="1"/>
  <c r="E4650" i="1"/>
  <c r="D4650" i="1"/>
  <c r="C4650" i="1"/>
  <c r="B4650" i="1"/>
  <c r="A4650" i="1"/>
  <c r="R4649" i="1"/>
  <c r="J4649" i="1"/>
  <c r="I4649" i="1"/>
  <c r="G4649" i="1"/>
  <c r="F4649" i="1"/>
  <c r="E4649" i="1"/>
  <c r="D4649" i="1"/>
  <c r="C4649" i="1"/>
  <c r="B4649" i="1"/>
  <c r="A4649" i="1"/>
  <c r="S4648" i="1"/>
  <c r="O4648" i="1"/>
  <c r="K4648" i="1"/>
  <c r="J4648" i="1"/>
  <c r="I4648" i="1"/>
  <c r="H4648" i="1"/>
  <c r="G4648" i="1"/>
  <c r="F4648" i="1"/>
  <c r="E4648" i="1"/>
  <c r="D4648" i="1"/>
  <c r="C4648" i="1"/>
  <c r="B4648" i="1"/>
  <c r="A4648" i="1"/>
  <c r="R4647" i="1"/>
  <c r="J4647" i="1"/>
  <c r="I4647" i="1"/>
  <c r="G4647" i="1"/>
  <c r="F4647" i="1"/>
  <c r="E4647" i="1"/>
  <c r="D4647" i="1"/>
  <c r="C4647" i="1"/>
  <c r="B4647" i="1"/>
  <c r="A4647" i="1"/>
  <c r="S4646" i="1"/>
  <c r="O4646" i="1"/>
  <c r="K4646" i="1"/>
  <c r="J4646" i="1"/>
  <c r="I4646" i="1"/>
  <c r="H4646" i="1"/>
  <c r="G4646" i="1"/>
  <c r="F4646" i="1"/>
  <c r="E4646" i="1"/>
  <c r="D4646" i="1"/>
  <c r="C4646" i="1"/>
  <c r="B4646" i="1"/>
  <c r="A4646" i="1"/>
  <c r="R4645" i="1"/>
  <c r="J4645" i="1"/>
  <c r="I4645" i="1"/>
  <c r="G4645" i="1"/>
  <c r="F4645" i="1"/>
  <c r="E4645" i="1"/>
  <c r="D4645" i="1"/>
  <c r="C4645" i="1"/>
  <c r="B4645" i="1"/>
  <c r="A4645" i="1"/>
  <c r="S4644" i="1"/>
  <c r="O4644" i="1"/>
  <c r="K4644" i="1"/>
  <c r="J4644" i="1"/>
  <c r="I4644" i="1"/>
  <c r="H4644" i="1"/>
  <c r="G4644" i="1"/>
  <c r="F4644" i="1"/>
  <c r="E4644" i="1"/>
  <c r="D4644" i="1"/>
  <c r="C4644" i="1"/>
  <c r="B4644" i="1"/>
  <c r="A4644" i="1"/>
  <c r="R4643" i="1"/>
  <c r="J4643" i="1"/>
  <c r="I4643" i="1"/>
  <c r="G4643" i="1"/>
  <c r="F4643" i="1"/>
  <c r="E4643" i="1"/>
  <c r="D4643" i="1"/>
  <c r="C4643" i="1"/>
  <c r="B4643" i="1"/>
  <c r="A4643" i="1"/>
  <c r="R4642" i="1"/>
  <c r="J4642" i="1"/>
  <c r="I4642" i="1"/>
  <c r="G4642" i="1"/>
  <c r="F4642" i="1"/>
  <c r="E4642" i="1"/>
  <c r="D4642" i="1"/>
  <c r="C4642" i="1"/>
  <c r="B4642" i="1"/>
  <c r="A4642" i="1"/>
  <c r="R4641" i="1"/>
  <c r="J4641" i="1"/>
  <c r="I4641" i="1"/>
  <c r="G4641" i="1"/>
  <c r="F4641" i="1"/>
  <c r="E4641" i="1"/>
  <c r="D4641" i="1"/>
  <c r="C4641" i="1"/>
  <c r="B4641" i="1"/>
  <c r="A4641" i="1"/>
  <c r="S4640" i="1"/>
  <c r="O4640" i="1"/>
  <c r="K4640" i="1"/>
  <c r="J4640" i="1"/>
  <c r="I4640" i="1"/>
  <c r="H4640" i="1"/>
  <c r="G4640" i="1"/>
  <c r="F4640" i="1"/>
  <c r="E4640" i="1"/>
  <c r="D4640" i="1"/>
  <c r="C4640" i="1"/>
  <c r="B4640" i="1"/>
  <c r="A4640" i="1"/>
  <c r="R4639" i="1"/>
  <c r="J4639" i="1"/>
  <c r="I4639" i="1"/>
  <c r="G4639" i="1"/>
  <c r="F4639" i="1"/>
  <c r="E4639" i="1"/>
  <c r="D4639" i="1"/>
  <c r="C4639" i="1"/>
  <c r="B4639" i="1"/>
  <c r="A4639" i="1"/>
  <c r="S4638" i="1"/>
  <c r="O4638" i="1"/>
  <c r="K4638" i="1"/>
  <c r="J4638" i="1"/>
  <c r="I4638" i="1"/>
  <c r="H4638" i="1"/>
  <c r="G4638" i="1"/>
  <c r="F4638" i="1"/>
  <c r="E4638" i="1"/>
  <c r="D4638" i="1"/>
  <c r="C4638" i="1"/>
  <c r="B4638" i="1"/>
  <c r="A4638" i="1"/>
  <c r="R4637" i="1"/>
  <c r="J4637" i="1"/>
  <c r="I4637" i="1"/>
  <c r="G4637" i="1"/>
  <c r="F4637" i="1"/>
  <c r="E4637" i="1"/>
  <c r="D4637" i="1"/>
  <c r="C4637" i="1"/>
  <c r="B4637" i="1"/>
  <c r="A4637" i="1"/>
  <c r="S4636" i="1"/>
  <c r="O4636" i="1"/>
  <c r="K4636" i="1"/>
  <c r="J4636" i="1"/>
  <c r="I4636" i="1"/>
  <c r="H4636" i="1"/>
  <c r="G4636" i="1"/>
  <c r="F4636" i="1"/>
  <c r="E4636" i="1"/>
  <c r="D4636" i="1"/>
  <c r="C4636" i="1"/>
  <c r="B4636" i="1"/>
  <c r="A4636" i="1"/>
  <c r="R4635" i="1"/>
  <c r="J4635" i="1"/>
  <c r="I4635" i="1"/>
  <c r="G4635" i="1"/>
  <c r="F4635" i="1"/>
  <c r="E4635" i="1"/>
  <c r="D4635" i="1"/>
  <c r="C4635" i="1"/>
  <c r="B4635" i="1"/>
  <c r="A4635" i="1"/>
  <c r="S4634" i="1"/>
  <c r="O4634" i="1"/>
  <c r="K4634" i="1"/>
  <c r="J4634" i="1"/>
  <c r="I4634" i="1"/>
  <c r="H4634" i="1"/>
  <c r="G4634" i="1"/>
  <c r="F4634" i="1"/>
  <c r="E4634" i="1"/>
  <c r="D4634" i="1"/>
  <c r="C4634" i="1"/>
  <c r="B4634" i="1"/>
  <c r="A4634" i="1"/>
  <c r="R4633" i="1"/>
  <c r="J4633" i="1"/>
  <c r="I4633" i="1"/>
  <c r="G4633" i="1"/>
  <c r="F4633" i="1"/>
  <c r="E4633" i="1"/>
  <c r="D4633" i="1"/>
  <c r="C4633" i="1"/>
  <c r="B4633" i="1"/>
  <c r="A4633" i="1"/>
  <c r="S4632" i="1"/>
  <c r="O4632" i="1"/>
  <c r="K4632" i="1"/>
  <c r="J4632" i="1"/>
  <c r="I4632" i="1"/>
  <c r="H4632" i="1"/>
  <c r="G4632" i="1"/>
  <c r="F4632" i="1"/>
  <c r="E4632" i="1"/>
  <c r="D4632" i="1"/>
  <c r="C4632" i="1"/>
  <c r="B4632" i="1"/>
  <c r="A4632" i="1"/>
  <c r="R4631" i="1"/>
  <c r="J4631" i="1"/>
  <c r="I4631" i="1"/>
  <c r="G4631" i="1"/>
  <c r="F4631" i="1"/>
  <c r="E4631" i="1"/>
  <c r="D4631" i="1"/>
  <c r="C4631" i="1"/>
  <c r="B4631" i="1"/>
  <c r="A4631" i="1"/>
  <c r="S4630" i="1"/>
  <c r="O4630" i="1"/>
  <c r="K4630" i="1"/>
  <c r="J4630" i="1"/>
  <c r="I4630" i="1"/>
  <c r="H4630" i="1"/>
  <c r="G4630" i="1"/>
  <c r="F4630" i="1"/>
  <c r="E4630" i="1"/>
  <c r="D4630" i="1"/>
  <c r="C4630" i="1"/>
  <c r="B4630" i="1"/>
  <c r="A4630" i="1"/>
  <c r="R4629" i="1"/>
  <c r="J4629" i="1"/>
  <c r="I4629" i="1"/>
  <c r="G4629" i="1"/>
  <c r="F4629" i="1"/>
  <c r="E4629" i="1"/>
  <c r="D4629" i="1"/>
  <c r="C4629" i="1"/>
  <c r="B4629" i="1"/>
  <c r="A4629" i="1"/>
  <c r="R4628" i="1"/>
  <c r="J4628" i="1"/>
  <c r="I4628" i="1"/>
  <c r="G4628" i="1"/>
  <c r="F4628" i="1"/>
  <c r="E4628" i="1"/>
  <c r="D4628" i="1"/>
  <c r="C4628" i="1"/>
  <c r="B4628" i="1"/>
  <c r="A4628" i="1"/>
  <c r="R4627" i="1"/>
  <c r="J4627" i="1"/>
  <c r="I4627" i="1"/>
  <c r="G4627" i="1"/>
  <c r="F4627" i="1"/>
  <c r="E4627" i="1"/>
  <c r="D4627" i="1"/>
  <c r="C4627" i="1"/>
  <c r="B4627" i="1"/>
  <c r="A4627" i="1"/>
  <c r="R4626" i="1"/>
  <c r="J4626" i="1"/>
  <c r="I4626" i="1"/>
  <c r="G4626" i="1"/>
  <c r="F4626" i="1"/>
  <c r="E4626" i="1"/>
  <c r="D4626" i="1"/>
  <c r="C4626" i="1"/>
  <c r="B4626" i="1"/>
  <c r="A4626" i="1"/>
  <c r="R4625" i="1"/>
  <c r="J4625" i="1"/>
  <c r="I4625" i="1"/>
  <c r="G4625" i="1"/>
  <c r="F4625" i="1"/>
  <c r="E4625" i="1"/>
  <c r="D4625" i="1"/>
  <c r="C4625" i="1"/>
  <c r="B4625" i="1"/>
  <c r="A4625" i="1"/>
  <c r="R4624" i="1"/>
  <c r="J4624" i="1"/>
  <c r="I4624" i="1"/>
  <c r="G4624" i="1"/>
  <c r="F4624" i="1"/>
  <c r="E4624" i="1"/>
  <c r="D4624" i="1"/>
  <c r="C4624" i="1"/>
  <c r="B4624" i="1"/>
  <c r="A4624" i="1"/>
  <c r="S4623" i="1"/>
  <c r="O4623" i="1"/>
  <c r="K4623" i="1"/>
  <c r="J4623" i="1"/>
  <c r="I4623" i="1"/>
  <c r="H4623" i="1"/>
  <c r="G4623" i="1"/>
  <c r="F4623" i="1"/>
  <c r="E4623" i="1"/>
  <c r="D4623" i="1"/>
  <c r="C4623" i="1"/>
  <c r="B4623" i="1"/>
  <c r="A4623" i="1"/>
  <c r="R4622" i="1"/>
  <c r="J4622" i="1"/>
  <c r="I4622" i="1"/>
  <c r="G4622" i="1"/>
  <c r="F4622" i="1"/>
  <c r="E4622" i="1"/>
  <c r="D4622" i="1"/>
  <c r="C4622" i="1"/>
  <c r="B4622" i="1"/>
  <c r="A4622" i="1"/>
  <c r="S4621" i="1"/>
  <c r="O4621" i="1"/>
  <c r="K4621" i="1"/>
  <c r="J4621" i="1"/>
  <c r="I4621" i="1"/>
  <c r="H4621" i="1"/>
  <c r="G4621" i="1"/>
  <c r="F4621" i="1"/>
  <c r="E4621" i="1"/>
  <c r="D4621" i="1"/>
  <c r="C4621" i="1"/>
  <c r="B4621" i="1"/>
  <c r="A4621" i="1"/>
  <c r="R4620" i="1"/>
  <c r="J4620" i="1"/>
  <c r="I4620" i="1"/>
  <c r="G4620" i="1"/>
  <c r="F4620" i="1"/>
  <c r="E4620" i="1"/>
  <c r="D4620" i="1"/>
  <c r="C4620" i="1"/>
  <c r="B4620" i="1"/>
  <c r="A4620" i="1"/>
  <c r="S4619" i="1"/>
  <c r="O4619" i="1"/>
  <c r="K4619" i="1"/>
  <c r="J4619" i="1"/>
  <c r="I4619" i="1"/>
  <c r="H4619" i="1"/>
  <c r="G4619" i="1"/>
  <c r="F4619" i="1"/>
  <c r="E4619" i="1"/>
  <c r="D4619" i="1"/>
  <c r="C4619" i="1"/>
  <c r="B4619" i="1"/>
  <c r="A4619" i="1"/>
  <c r="R4618" i="1"/>
  <c r="J4618" i="1"/>
  <c r="I4618" i="1"/>
  <c r="G4618" i="1"/>
  <c r="F4618" i="1"/>
  <c r="E4618" i="1"/>
  <c r="D4618" i="1"/>
  <c r="C4618" i="1"/>
  <c r="B4618" i="1"/>
  <c r="A4618" i="1"/>
  <c r="R4617" i="1"/>
  <c r="J4617" i="1"/>
  <c r="I4617" i="1"/>
  <c r="G4617" i="1"/>
  <c r="F4617" i="1"/>
  <c r="E4617" i="1"/>
  <c r="D4617" i="1"/>
  <c r="C4617" i="1"/>
  <c r="B4617" i="1"/>
  <c r="A4617" i="1"/>
  <c r="S4616" i="1"/>
  <c r="O4616" i="1"/>
  <c r="K4616" i="1"/>
  <c r="J4616" i="1"/>
  <c r="I4616" i="1"/>
  <c r="H4616" i="1"/>
  <c r="G4616" i="1"/>
  <c r="F4616" i="1"/>
  <c r="E4616" i="1"/>
  <c r="D4616" i="1"/>
  <c r="C4616" i="1"/>
  <c r="B4616" i="1"/>
  <c r="A4616" i="1"/>
  <c r="R4615" i="1"/>
  <c r="J4615" i="1"/>
  <c r="I4615" i="1"/>
  <c r="G4615" i="1"/>
  <c r="F4615" i="1"/>
  <c r="E4615" i="1"/>
  <c r="D4615" i="1"/>
  <c r="C4615" i="1"/>
  <c r="B4615" i="1"/>
  <c r="A4615" i="1"/>
  <c r="R4614" i="1"/>
  <c r="J4614" i="1"/>
  <c r="I4614" i="1"/>
  <c r="G4614" i="1"/>
  <c r="F4614" i="1"/>
  <c r="E4614" i="1"/>
  <c r="D4614" i="1"/>
  <c r="C4614" i="1"/>
  <c r="B4614" i="1"/>
  <c r="A4614" i="1"/>
  <c r="R4613" i="1"/>
  <c r="J4613" i="1"/>
  <c r="I4613" i="1"/>
  <c r="G4613" i="1"/>
  <c r="F4613" i="1"/>
  <c r="E4613" i="1"/>
  <c r="D4613" i="1"/>
  <c r="C4613" i="1"/>
  <c r="B4613" i="1"/>
  <c r="A4613" i="1"/>
  <c r="R4612" i="1"/>
  <c r="J4612" i="1"/>
  <c r="I4612" i="1"/>
  <c r="G4612" i="1"/>
  <c r="F4612" i="1"/>
  <c r="E4612" i="1"/>
  <c r="D4612" i="1"/>
  <c r="C4612" i="1"/>
  <c r="B4612" i="1"/>
  <c r="A4612" i="1"/>
  <c r="S4611" i="1"/>
  <c r="O4611" i="1"/>
  <c r="K4611" i="1"/>
  <c r="J4611" i="1"/>
  <c r="I4611" i="1"/>
  <c r="H4611" i="1"/>
  <c r="G4611" i="1"/>
  <c r="F4611" i="1"/>
  <c r="E4611" i="1"/>
  <c r="D4611" i="1"/>
  <c r="C4611" i="1"/>
  <c r="B4611" i="1"/>
  <c r="A4611" i="1"/>
  <c r="R4610" i="1"/>
  <c r="J4610" i="1"/>
  <c r="I4610" i="1"/>
  <c r="G4610" i="1"/>
  <c r="F4610" i="1"/>
  <c r="E4610" i="1"/>
  <c r="D4610" i="1"/>
  <c r="C4610" i="1"/>
  <c r="B4610" i="1"/>
  <c r="A4610" i="1"/>
  <c r="R4609" i="1"/>
  <c r="J4609" i="1"/>
  <c r="I4609" i="1"/>
  <c r="G4609" i="1"/>
  <c r="F4609" i="1"/>
  <c r="E4609" i="1"/>
  <c r="D4609" i="1"/>
  <c r="C4609" i="1"/>
  <c r="B4609" i="1"/>
  <c r="A4609" i="1"/>
  <c r="R4608" i="1"/>
  <c r="J4608" i="1"/>
  <c r="I4608" i="1"/>
  <c r="G4608" i="1"/>
  <c r="F4608" i="1"/>
  <c r="E4608" i="1"/>
  <c r="D4608" i="1"/>
  <c r="C4608" i="1"/>
  <c r="B4608" i="1"/>
  <c r="A4608" i="1"/>
  <c r="R4607" i="1"/>
  <c r="J4607" i="1"/>
  <c r="I4607" i="1"/>
  <c r="G4607" i="1"/>
  <c r="F4607" i="1"/>
  <c r="E4607" i="1"/>
  <c r="D4607" i="1"/>
  <c r="C4607" i="1"/>
  <c r="B4607" i="1"/>
  <c r="A4607" i="1"/>
  <c r="S4606" i="1"/>
  <c r="O4606" i="1"/>
  <c r="K4606" i="1"/>
  <c r="J4606" i="1"/>
  <c r="I4606" i="1"/>
  <c r="H4606" i="1"/>
  <c r="G4606" i="1"/>
  <c r="F4606" i="1"/>
  <c r="E4606" i="1"/>
  <c r="D4606" i="1"/>
  <c r="C4606" i="1"/>
  <c r="B4606" i="1"/>
  <c r="A4606" i="1"/>
  <c r="R4605" i="1"/>
  <c r="J4605" i="1"/>
  <c r="I4605" i="1"/>
  <c r="G4605" i="1"/>
  <c r="F4605" i="1"/>
  <c r="E4605" i="1"/>
  <c r="D4605" i="1"/>
  <c r="C4605" i="1"/>
  <c r="B4605" i="1"/>
  <c r="A4605" i="1"/>
  <c r="S4604" i="1"/>
  <c r="O4604" i="1"/>
  <c r="K4604" i="1"/>
  <c r="J4604" i="1"/>
  <c r="I4604" i="1"/>
  <c r="H4604" i="1"/>
  <c r="G4604" i="1"/>
  <c r="F4604" i="1"/>
  <c r="E4604" i="1"/>
  <c r="D4604" i="1"/>
  <c r="C4604" i="1"/>
  <c r="B4604" i="1"/>
  <c r="A4604" i="1"/>
  <c r="R4603" i="1"/>
  <c r="J4603" i="1"/>
  <c r="I4603" i="1"/>
  <c r="G4603" i="1"/>
  <c r="F4603" i="1"/>
  <c r="E4603" i="1"/>
  <c r="D4603" i="1"/>
  <c r="C4603" i="1"/>
  <c r="B4603" i="1"/>
  <c r="A4603" i="1"/>
  <c r="S4602" i="1"/>
  <c r="O4602" i="1"/>
  <c r="K4602" i="1"/>
  <c r="J4602" i="1"/>
  <c r="I4602" i="1"/>
  <c r="H4602" i="1"/>
  <c r="G4602" i="1"/>
  <c r="F4602" i="1"/>
  <c r="E4602" i="1"/>
  <c r="D4602" i="1"/>
  <c r="C4602" i="1"/>
  <c r="B4602" i="1"/>
  <c r="A4602" i="1"/>
  <c r="R4601" i="1"/>
  <c r="J4601" i="1"/>
  <c r="I4601" i="1"/>
  <c r="G4601" i="1"/>
  <c r="F4601" i="1"/>
  <c r="E4601" i="1"/>
  <c r="D4601" i="1"/>
  <c r="C4601" i="1"/>
  <c r="B4601" i="1"/>
  <c r="A4601" i="1"/>
  <c r="S4600" i="1"/>
  <c r="O4600" i="1"/>
  <c r="K4600" i="1"/>
  <c r="J4600" i="1"/>
  <c r="I4600" i="1"/>
  <c r="H4600" i="1"/>
  <c r="G4600" i="1"/>
  <c r="F4600" i="1"/>
  <c r="E4600" i="1"/>
  <c r="D4600" i="1"/>
  <c r="C4600" i="1"/>
  <c r="B4600" i="1"/>
  <c r="A4600" i="1"/>
  <c r="R4599" i="1"/>
  <c r="J4599" i="1"/>
  <c r="I4599" i="1"/>
  <c r="G4599" i="1"/>
  <c r="F4599" i="1"/>
  <c r="E4599" i="1"/>
  <c r="D4599" i="1"/>
  <c r="C4599" i="1"/>
  <c r="B4599" i="1"/>
  <c r="A4599" i="1"/>
  <c r="S4598" i="1"/>
  <c r="O4598" i="1"/>
  <c r="K4598" i="1"/>
  <c r="J4598" i="1"/>
  <c r="I4598" i="1"/>
  <c r="H4598" i="1"/>
  <c r="G4598" i="1"/>
  <c r="F4598" i="1"/>
  <c r="E4598" i="1"/>
  <c r="D4598" i="1"/>
  <c r="C4598" i="1"/>
  <c r="B4598" i="1"/>
  <c r="A4598" i="1"/>
  <c r="R4597" i="1"/>
  <c r="J4597" i="1"/>
  <c r="I4597" i="1"/>
  <c r="G4597" i="1"/>
  <c r="F4597" i="1"/>
  <c r="E4597" i="1"/>
  <c r="D4597" i="1"/>
  <c r="C4597" i="1"/>
  <c r="B4597" i="1"/>
  <c r="A4597" i="1"/>
  <c r="S4596" i="1"/>
  <c r="O4596" i="1"/>
  <c r="K4596" i="1"/>
  <c r="J4596" i="1"/>
  <c r="I4596" i="1"/>
  <c r="H4596" i="1"/>
  <c r="G4596" i="1"/>
  <c r="F4596" i="1"/>
  <c r="E4596" i="1"/>
  <c r="D4596" i="1"/>
  <c r="C4596" i="1"/>
  <c r="B4596" i="1"/>
  <c r="A4596" i="1"/>
  <c r="R4595" i="1"/>
  <c r="J4595" i="1"/>
  <c r="I4595" i="1"/>
  <c r="G4595" i="1"/>
  <c r="F4595" i="1"/>
  <c r="E4595" i="1"/>
  <c r="D4595" i="1"/>
  <c r="C4595" i="1"/>
  <c r="B4595" i="1"/>
  <c r="A4595" i="1"/>
  <c r="S4594" i="1"/>
  <c r="O4594" i="1"/>
  <c r="K4594" i="1"/>
  <c r="J4594" i="1"/>
  <c r="I4594" i="1"/>
  <c r="H4594" i="1"/>
  <c r="G4594" i="1"/>
  <c r="F4594" i="1"/>
  <c r="E4594" i="1"/>
  <c r="D4594" i="1"/>
  <c r="C4594" i="1"/>
  <c r="B4594" i="1"/>
  <c r="A4594" i="1"/>
  <c r="R4593" i="1"/>
  <c r="J4593" i="1"/>
  <c r="I4593" i="1"/>
  <c r="G4593" i="1"/>
  <c r="F4593" i="1"/>
  <c r="E4593" i="1"/>
  <c r="D4593" i="1"/>
  <c r="C4593" i="1"/>
  <c r="B4593" i="1"/>
  <c r="A4593" i="1"/>
  <c r="S4592" i="1"/>
  <c r="O4592" i="1"/>
  <c r="K4592" i="1"/>
  <c r="J4592" i="1"/>
  <c r="I4592" i="1"/>
  <c r="H4592" i="1"/>
  <c r="G4592" i="1"/>
  <c r="F4592" i="1"/>
  <c r="E4592" i="1"/>
  <c r="D4592" i="1"/>
  <c r="C4592" i="1"/>
  <c r="B4592" i="1"/>
  <c r="A4592" i="1"/>
  <c r="R4591" i="1"/>
  <c r="J4591" i="1"/>
  <c r="I4591" i="1"/>
  <c r="G4591" i="1"/>
  <c r="F4591" i="1"/>
  <c r="E4591" i="1"/>
  <c r="D4591" i="1"/>
  <c r="C4591" i="1"/>
  <c r="B4591" i="1"/>
  <c r="A4591" i="1"/>
  <c r="R4590" i="1"/>
  <c r="J4590" i="1"/>
  <c r="I4590" i="1"/>
  <c r="G4590" i="1"/>
  <c r="F4590" i="1"/>
  <c r="E4590" i="1"/>
  <c r="D4590" i="1"/>
  <c r="C4590" i="1"/>
  <c r="B4590" i="1"/>
  <c r="A4590" i="1"/>
  <c r="R4589" i="1"/>
  <c r="J4589" i="1"/>
  <c r="I4589" i="1"/>
  <c r="G4589" i="1"/>
  <c r="F4589" i="1"/>
  <c r="E4589" i="1"/>
  <c r="D4589" i="1"/>
  <c r="C4589" i="1"/>
  <c r="B4589" i="1"/>
  <c r="A4589" i="1"/>
  <c r="R4588" i="1"/>
  <c r="J4588" i="1"/>
  <c r="I4588" i="1"/>
  <c r="G4588" i="1"/>
  <c r="F4588" i="1"/>
  <c r="E4588" i="1"/>
  <c r="D4588" i="1"/>
  <c r="C4588" i="1"/>
  <c r="B4588" i="1"/>
  <c r="A4588" i="1"/>
  <c r="S4587" i="1"/>
  <c r="O4587" i="1"/>
  <c r="K4587" i="1"/>
  <c r="J4587" i="1"/>
  <c r="I4587" i="1"/>
  <c r="H4587" i="1"/>
  <c r="G4587" i="1"/>
  <c r="F4587" i="1"/>
  <c r="E4587" i="1"/>
  <c r="D4587" i="1"/>
  <c r="C4587" i="1"/>
  <c r="B4587" i="1"/>
  <c r="A4587" i="1"/>
  <c r="R4586" i="1"/>
  <c r="J4586" i="1"/>
  <c r="I4586" i="1"/>
  <c r="G4586" i="1"/>
  <c r="F4586" i="1"/>
  <c r="E4586" i="1"/>
  <c r="D4586" i="1"/>
  <c r="C4586" i="1"/>
  <c r="B4586" i="1"/>
  <c r="A4586" i="1"/>
  <c r="R4585" i="1"/>
  <c r="J4585" i="1"/>
  <c r="I4585" i="1"/>
  <c r="G4585" i="1"/>
  <c r="F4585" i="1"/>
  <c r="E4585" i="1"/>
  <c r="D4585" i="1"/>
  <c r="C4585" i="1"/>
  <c r="B4585" i="1"/>
  <c r="A4585" i="1"/>
  <c r="R4584" i="1"/>
  <c r="J4584" i="1"/>
  <c r="I4584" i="1"/>
  <c r="G4584" i="1"/>
  <c r="F4584" i="1"/>
  <c r="E4584" i="1"/>
  <c r="D4584" i="1"/>
  <c r="C4584" i="1"/>
  <c r="B4584" i="1"/>
  <c r="A4584" i="1"/>
  <c r="R4583" i="1"/>
  <c r="J4583" i="1"/>
  <c r="I4583" i="1"/>
  <c r="G4583" i="1"/>
  <c r="F4583" i="1"/>
  <c r="E4583" i="1"/>
  <c r="D4583" i="1"/>
  <c r="C4583" i="1"/>
  <c r="B4583" i="1"/>
  <c r="A4583" i="1"/>
  <c r="R4582" i="1"/>
  <c r="J4582" i="1"/>
  <c r="I4582" i="1"/>
  <c r="G4582" i="1"/>
  <c r="F4582" i="1"/>
  <c r="E4582" i="1"/>
  <c r="D4582" i="1"/>
  <c r="C4582" i="1"/>
  <c r="B4582" i="1"/>
  <c r="A4582" i="1"/>
  <c r="R4581" i="1"/>
  <c r="J4581" i="1"/>
  <c r="I4581" i="1"/>
  <c r="G4581" i="1"/>
  <c r="F4581" i="1"/>
  <c r="E4581" i="1"/>
  <c r="D4581" i="1"/>
  <c r="C4581" i="1"/>
  <c r="B4581" i="1"/>
  <c r="A4581" i="1"/>
  <c r="S4580" i="1"/>
  <c r="O4580" i="1"/>
  <c r="K4580" i="1"/>
  <c r="J4580" i="1"/>
  <c r="I4580" i="1"/>
  <c r="H4580" i="1"/>
  <c r="G4580" i="1"/>
  <c r="F4580" i="1"/>
  <c r="E4580" i="1"/>
  <c r="D4580" i="1"/>
  <c r="C4580" i="1"/>
  <c r="B4580" i="1"/>
  <c r="A4580" i="1"/>
  <c r="R4579" i="1"/>
  <c r="J4579" i="1"/>
  <c r="I4579" i="1"/>
  <c r="G4579" i="1"/>
  <c r="F4579" i="1"/>
  <c r="E4579" i="1"/>
  <c r="D4579" i="1"/>
  <c r="C4579" i="1"/>
  <c r="B4579" i="1"/>
  <c r="A4579" i="1"/>
  <c r="S4578" i="1"/>
  <c r="O4578" i="1"/>
  <c r="K4578" i="1"/>
  <c r="J4578" i="1"/>
  <c r="I4578" i="1"/>
  <c r="H4578" i="1"/>
  <c r="G4578" i="1"/>
  <c r="F4578" i="1"/>
  <c r="E4578" i="1"/>
  <c r="D4578" i="1"/>
  <c r="C4578" i="1"/>
  <c r="B4578" i="1"/>
  <c r="A4578" i="1"/>
  <c r="R4577" i="1"/>
  <c r="J4577" i="1"/>
  <c r="I4577" i="1"/>
  <c r="G4577" i="1"/>
  <c r="F4577" i="1"/>
  <c r="E4577" i="1"/>
  <c r="D4577" i="1"/>
  <c r="C4577" i="1"/>
  <c r="B4577" i="1"/>
  <c r="A4577" i="1"/>
  <c r="R4576" i="1"/>
  <c r="J4576" i="1"/>
  <c r="I4576" i="1"/>
  <c r="G4576" i="1"/>
  <c r="F4576" i="1"/>
  <c r="E4576" i="1"/>
  <c r="D4576" i="1"/>
  <c r="C4576" i="1"/>
  <c r="B4576" i="1"/>
  <c r="A4576" i="1"/>
  <c r="R4575" i="1"/>
  <c r="J4575" i="1"/>
  <c r="I4575" i="1"/>
  <c r="G4575" i="1"/>
  <c r="F4575" i="1"/>
  <c r="E4575" i="1"/>
  <c r="D4575" i="1"/>
  <c r="C4575" i="1"/>
  <c r="B4575" i="1"/>
  <c r="A4575" i="1"/>
  <c r="S4574" i="1"/>
  <c r="O4574" i="1"/>
  <c r="K4574" i="1"/>
  <c r="J4574" i="1"/>
  <c r="I4574" i="1"/>
  <c r="H4574" i="1"/>
  <c r="G4574" i="1"/>
  <c r="F4574" i="1"/>
  <c r="E4574" i="1"/>
  <c r="D4574" i="1"/>
  <c r="C4574" i="1"/>
  <c r="B4574" i="1"/>
  <c r="A4574" i="1"/>
  <c r="R4573" i="1"/>
  <c r="J4573" i="1"/>
  <c r="I4573" i="1"/>
  <c r="G4573" i="1"/>
  <c r="F4573" i="1"/>
  <c r="E4573" i="1"/>
  <c r="D4573" i="1"/>
  <c r="C4573" i="1"/>
  <c r="B4573" i="1"/>
  <c r="A4573" i="1"/>
  <c r="S4572" i="1"/>
  <c r="O4572" i="1"/>
  <c r="K4572" i="1"/>
  <c r="J4572" i="1"/>
  <c r="I4572" i="1"/>
  <c r="H4572" i="1"/>
  <c r="G4572" i="1"/>
  <c r="F4572" i="1"/>
  <c r="E4572" i="1"/>
  <c r="D4572" i="1"/>
  <c r="C4572" i="1"/>
  <c r="B4572" i="1"/>
  <c r="A4572" i="1"/>
  <c r="R4571" i="1"/>
  <c r="J4571" i="1"/>
  <c r="I4571" i="1"/>
  <c r="G4571" i="1"/>
  <c r="F4571" i="1"/>
  <c r="E4571" i="1"/>
  <c r="D4571" i="1"/>
  <c r="C4571" i="1"/>
  <c r="B4571" i="1"/>
  <c r="A4571" i="1"/>
  <c r="S4570" i="1"/>
  <c r="O4570" i="1"/>
  <c r="K4570" i="1"/>
  <c r="J4570" i="1"/>
  <c r="I4570" i="1"/>
  <c r="H4570" i="1"/>
  <c r="G4570" i="1"/>
  <c r="F4570" i="1"/>
  <c r="E4570" i="1"/>
  <c r="D4570" i="1"/>
  <c r="C4570" i="1"/>
  <c r="B4570" i="1"/>
  <c r="A4570" i="1"/>
  <c r="R4569" i="1"/>
  <c r="J4569" i="1"/>
  <c r="I4569" i="1"/>
  <c r="G4569" i="1"/>
  <c r="F4569" i="1"/>
  <c r="E4569" i="1"/>
  <c r="D4569" i="1"/>
  <c r="C4569" i="1"/>
  <c r="B4569" i="1"/>
  <c r="A4569" i="1"/>
  <c r="R4568" i="1"/>
  <c r="J4568" i="1"/>
  <c r="I4568" i="1"/>
  <c r="G4568" i="1"/>
  <c r="F4568" i="1"/>
  <c r="E4568" i="1"/>
  <c r="D4568" i="1"/>
  <c r="C4568" i="1"/>
  <c r="B4568" i="1"/>
  <c r="A4568" i="1"/>
  <c r="S4567" i="1"/>
  <c r="O4567" i="1"/>
  <c r="K4567" i="1"/>
  <c r="J4567" i="1"/>
  <c r="I4567" i="1"/>
  <c r="H4567" i="1"/>
  <c r="G4567" i="1"/>
  <c r="F4567" i="1"/>
  <c r="E4567" i="1"/>
  <c r="D4567" i="1"/>
  <c r="C4567" i="1"/>
  <c r="B4567" i="1"/>
  <c r="A4567" i="1"/>
  <c r="R4566" i="1"/>
  <c r="J4566" i="1"/>
  <c r="I4566" i="1"/>
  <c r="G4566" i="1"/>
  <c r="F4566" i="1"/>
  <c r="E4566" i="1"/>
  <c r="D4566" i="1"/>
  <c r="C4566" i="1"/>
  <c r="B4566" i="1"/>
  <c r="A4566" i="1"/>
  <c r="R4565" i="1"/>
  <c r="J4565" i="1"/>
  <c r="I4565" i="1"/>
  <c r="G4565" i="1"/>
  <c r="F4565" i="1"/>
  <c r="E4565" i="1"/>
  <c r="D4565" i="1"/>
  <c r="C4565" i="1"/>
  <c r="B4565" i="1"/>
  <c r="A4565" i="1"/>
  <c r="R4564" i="1"/>
  <c r="J4564" i="1"/>
  <c r="I4564" i="1"/>
  <c r="G4564" i="1"/>
  <c r="F4564" i="1"/>
  <c r="E4564" i="1"/>
  <c r="D4564" i="1"/>
  <c r="C4564" i="1"/>
  <c r="B4564" i="1"/>
  <c r="A4564" i="1"/>
  <c r="R4563" i="1"/>
  <c r="J4563" i="1"/>
  <c r="I4563" i="1"/>
  <c r="G4563" i="1"/>
  <c r="F4563" i="1"/>
  <c r="E4563" i="1"/>
  <c r="D4563" i="1"/>
  <c r="C4563" i="1"/>
  <c r="B4563" i="1"/>
  <c r="A4563" i="1"/>
  <c r="R4562" i="1"/>
  <c r="J4562" i="1"/>
  <c r="I4562" i="1"/>
  <c r="G4562" i="1"/>
  <c r="F4562" i="1"/>
  <c r="E4562" i="1"/>
  <c r="D4562" i="1"/>
  <c r="C4562" i="1"/>
  <c r="B4562" i="1"/>
  <c r="A4562" i="1"/>
  <c r="S4561" i="1"/>
  <c r="O4561" i="1"/>
  <c r="K4561" i="1"/>
  <c r="J4561" i="1"/>
  <c r="I4561" i="1"/>
  <c r="H4561" i="1"/>
  <c r="G4561" i="1"/>
  <c r="F4561" i="1"/>
  <c r="E4561" i="1"/>
  <c r="D4561" i="1"/>
  <c r="C4561" i="1"/>
  <c r="B4561" i="1"/>
  <c r="A4561" i="1"/>
  <c r="R4560" i="1"/>
  <c r="J4560" i="1"/>
  <c r="I4560" i="1"/>
  <c r="G4560" i="1"/>
  <c r="F4560" i="1"/>
  <c r="E4560" i="1"/>
  <c r="D4560" i="1"/>
  <c r="C4560" i="1"/>
  <c r="B4560" i="1"/>
  <c r="A4560" i="1"/>
  <c r="R4559" i="1"/>
  <c r="J4559" i="1"/>
  <c r="I4559" i="1"/>
  <c r="G4559" i="1"/>
  <c r="F4559" i="1"/>
  <c r="E4559" i="1"/>
  <c r="D4559" i="1"/>
  <c r="C4559" i="1"/>
  <c r="B4559" i="1"/>
  <c r="A4559" i="1"/>
  <c r="R4558" i="1"/>
  <c r="J4558" i="1"/>
  <c r="I4558" i="1"/>
  <c r="G4558" i="1"/>
  <c r="F4558" i="1"/>
  <c r="E4558" i="1"/>
  <c r="D4558" i="1"/>
  <c r="C4558" i="1"/>
  <c r="B4558" i="1"/>
  <c r="A4558" i="1"/>
  <c r="S4557" i="1"/>
  <c r="O4557" i="1"/>
  <c r="K4557" i="1"/>
  <c r="J4557" i="1"/>
  <c r="I4557" i="1"/>
  <c r="H4557" i="1"/>
  <c r="G4557" i="1"/>
  <c r="F4557" i="1"/>
  <c r="E4557" i="1"/>
  <c r="D4557" i="1"/>
  <c r="C4557" i="1"/>
  <c r="B4557" i="1"/>
  <c r="A4557" i="1"/>
  <c r="R4556" i="1"/>
  <c r="J4556" i="1"/>
  <c r="I4556" i="1"/>
  <c r="G4556" i="1"/>
  <c r="F4556" i="1"/>
  <c r="E4556" i="1"/>
  <c r="D4556" i="1"/>
  <c r="C4556" i="1"/>
  <c r="B4556" i="1"/>
  <c r="A4556" i="1"/>
  <c r="S4555" i="1"/>
  <c r="O4555" i="1"/>
  <c r="K4555" i="1"/>
  <c r="J4555" i="1"/>
  <c r="I4555" i="1"/>
  <c r="H4555" i="1"/>
  <c r="G4555" i="1"/>
  <c r="F4555" i="1"/>
  <c r="E4555" i="1"/>
  <c r="D4555" i="1"/>
  <c r="C4555" i="1"/>
  <c r="B4555" i="1"/>
  <c r="A4555" i="1"/>
  <c r="R4554" i="1"/>
  <c r="J4554" i="1"/>
  <c r="I4554" i="1"/>
  <c r="G4554" i="1"/>
  <c r="F4554" i="1"/>
  <c r="E4554" i="1"/>
  <c r="D4554" i="1"/>
  <c r="C4554" i="1"/>
  <c r="B4554" i="1"/>
  <c r="A4554" i="1"/>
  <c r="S4553" i="1"/>
  <c r="O4553" i="1"/>
  <c r="K4553" i="1"/>
  <c r="J4553" i="1"/>
  <c r="I4553" i="1"/>
  <c r="H4553" i="1"/>
  <c r="G4553" i="1"/>
  <c r="F4553" i="1"/>
  <c r="E4553" i="1"/>
  <c r="D4553" i="1"/>
  <c r="C4553" i="1"/>
  <c r="B4553" i="1"/>
  <c r="A4553" i="1"/>
  <c r="R4552" i="1"/>
  <c r="J4552" i="1"/>
  <c r="I4552" i="1"/>
  <c r="G4552" i="1"/>
  <c r="F4552" i="1"/>
  <c r="E4552" i="1"/>
  <c r="D4552" i="1"/>
  <c r="C4552" i="1"/>
  <c r="B4552" i="1"/>
  <c r="A4552" i="1"/>
  <c r="S4551" i="1"/>
  <c r="O4551" i="1"/>
  <c r="K4551" i="1"/>
  <c r="J4551" i="1"/>
  <c r="I4551" i="1"/>
  <c r="H4551" i="1"/>
  <c r="G4551" i="1"/>
  <c r="F4551" i="1"/>
  <c r="E4551" i="1"/>
  <c r="D4551" i="1"/>
  <c r="C4551" i="1"/>
  <c r="B4551" i="1"/>
  <c r="A4551" i="1"/>
  <c r="R4550" i="1"/>
  <c r="J4550" i="1"/>
  <c r="I4550" i="1"/>
  <c r="G4550" i="1"/>
  <c r="F4550" i="1"/>
  <c r="E4550" i="1"/>
  <c r="D4550" i="1"/>
  <c r="C4550" i="1"/>
  <c r="B4550" i="1"/>
  <c r="A4550" i="1"/>
  <c r="S4549" i="1"/>
  <c r="O4549" i="1"/>
  <c r="K4549" i="1"/>
  <c r="J4549" i="1"/>
  <c r="I4549" i="1"/>
  <c r="H4549" i="1"/>
  <c r="G4549" i="1"/>
  <c r="F4549" i="1"/>
  <c r="E4549" i="1"/>
  <c r="D4549" i="1"/>
  <c r="C4549" i="1"/>
  <c r="B4549" i="1"/>
  <c r="A4549" i="1"/>
  <c r="R4548" i="1"/>
  <c r="J4548" i="1"/>
  <c r="I4548" i="1"/>
  <c r="G4548" i="1"/>
  <c r="F4548" i="1"/>
  <c r="E4548" i="1"/>
  <c r="D4548" i="1"/>
  <c r="C4548" i="1"/>
  <c r="B4548" i="1"/>
  <c r="A4548" i="1"/>
  <c r="S4547" i="1"/>
  <c r="O4547" i="1"/>
  <c r="K4547" i="1"/>
  <c r="J4547" i="1"/>
  <c r="I4547" i="1"/>
  <c r="H4547" i="1"/>
  <c r="G4547" i="1"/>
  <c r="F4547" i="1"/>
  <c r="E4547" i="1"/>
  <c r="D4547" i="1"/>
  <c r="C4547" i="1"/>
  <c r="B4547" i="1"/>
  <c r="A4547" i="1"/>
  <c r="R4546" i="1"/>
  <c r="J4546" i="1"/>
  <c r="I4546" i="1"/>
  <c r="G4546" i="1"/>
  <c r="F4546" i="1"/>
  <c r="E4546" i="1"/>
  <c r="D4546" i="1"/>
  <c r="C4546" i="1"/>
  <c r="B4546" i="1"/>
  <c r="A4546" i="1"/>
  <c r="S4545" i="1"/>
  <c r="O4545" i="1"/>
  <c r="K4545" i="1"/>
  <c r="J4545" i="1"/>
  <c r="I4545" i="1"/>
  <c r="H4545" i="1"/>
  <c r="G4545" i="1"/>
  <c r="F4545" i="1"/>
  <c r="E4545" i="1"/>
  <c r="D4545" i="1"/>
  <c r="C4545" i="1"/>
  <c r="B4545" i="1"/>
  <c r="A4545" i="1"/>
  <c r="R4544" i="1"/>
  <c r="J4544" i="1"/>
  <c r="I4544" i="1"/>
  <c r="G4544" i="1"/>
  <c r="F4544" i="1"/>
  <c r="E4544" i="1"/>
  <c r="D4544" i="1"/>
  <c r="C4544" i="1"/>
  <c r="B4544" i="1"/>
  <c r="A4544" i="1"/>
  <c r="S4543" i="1"/>
  <c r="O4543" i="1"/>
  <c r="K4543" i="1"/>
  <c r="J4543" i="1"/>
  <c r="I4543" i="1"/>
  <c r="H4543" i="1"/>
  <c r="G4543" i="1"/>
  <c r="F4543" i="1"/>
  <c r="E4543" i="1"/>
  <c r="D4543" i="1"/>
  <c r="C4543" i="1"/>
  <c r="B4543" i="1"/>
  <c r="A4543" i="1"/>
  <c r="R4542" i="1"/>
  <c r="J4542" i="1"/>
  <c r="I4542" i="1"/>
  <c r="G4542" i="1"/>
  <c r="F4542" i="1"/>
  <c r="E4542" i="1"/>
  <c r="D4542" i="1"/>
  <c r="C4542" i="1"/>
  <c r="B4542" i="1"/>
  <c r="A4542" i="1"/>
  <c r="S4541" i="1"/>
  <c r="O4541" i="1"/>
  <c r="K4541" i="1"/>
  <c r="J4541" i="1"/>
  <c r="I4541" i="1"/>
  <c r="H4541" i="1"/>
  <c r="G4541" i="1"/>
  <c r="F4541" i="1"/>
  <c r="E4541" i="1"/>
  <c r="D4541" i="1"/>
  <c r="C4541" i="1"/>
  <c r="B4541" i="1"/>
  <c r="A4541" i="1"/>
  <c r="R4540" i="1"/>
  <c r="J4540" i="1"/>
  <c r="I4540" i="1"/>
  <c r="G4540" i="1"/>
  <c r="F4540" i="1"/>
  <c r="E4540" i="1"/>
  <c r="D4540" i="1"/>
  <c r="C4540" i="1"/>
  <c r="B4540" i="1"/>
  <c r="A4540" i="1"/>
  <c r="S4539" i="1"/>
  <c r="O4539" i="1"/>
  <c r="K4539" i="1"/>
  <c r="J4539" i="1"/>
  <c r="I4539" i="1"/>
  <c r="H4539" i="1"/>
  <c r="G4539" i="1"/>
  <c r="F4539" i="1"/>
  <c r="E4539" i="1"/>
  <c r="D4539" i="1"/>
  <c r="C4539" i="1"/>
  <c r="B4539" i="1"/>
  <c r="A4539" i="1"/>
  <c r="R4538" i="1"/>
  <c r="J4538" i="1"/>
  <c r="I4538" i="1"/>
  <c r="G4538" i="1"/>
  <c r="F4538" i="1"/>
  <c r="E4538" i="1"/>
  <c r="D4538" i="1"/>
  <c r="C4538" i="1"/>
  <c r="B4538" i="1"/>
  <c r="A4538" i="1"/>
  <c r="S4537" i="1"/>
  <c r="O4537" i="1"/>
  <c r="K4537" i="1"/>
  <c r="J4537" i="1"/>
  <c r="I4537" i="1"/>
  <c r="H4537" i="1"/>
  <c r="G4537" i="1"/>
  <c r="F4537" i="1"/>
  <c r="E4537" i="1"/>
  <c r="D4537" i="1"/>
  <c r="C4537" i="1"/>
  <c r="B4537" i="1"/>
  <c r="A4537" i="1"/>
  <c r="R4536" i="1"/>
  <c r="J4536" i="1"/>
  <c r="I4536" i="1"/>
  <c r="G4536" i="1"/>
  <c r="F4536" i="1"/>
  <c r="E4536" i="1"/>
  <c r="D4536" i="1"/>
  <c r="C4536" i="1"/>
  <c r="B4536" i="1"/>
  <c r="A4536" i="1"/>
  <c r="S4535" i="1"/>
  <c r="O4535" i="1"/>
  <c r="K4535" i="1"/>
  <c r="J4535" i="1"/>
  <c r="I4535" i="1"/>
  <c r="H4535" i="1"/>
  <c r="G4535" i="1"/>
  <c r="F4535" i="1"/>
  <c r="E4535" i="1"/>
  <c r="D4535" i="1"/>
  <c r="C4535" i="1"/>
  <c r="B4535" i="1"/>
  <c r="A4535" i="1"/>
  <c r="R4534" i="1"/>
  <c r="J4534" i="1"/>
  <c r="I4534" i="1"/>
  <c r="G4534" i="1"/>
  <c r="F4534" i="1"/>
  <c r="E4534" i="1"/>
  <c r="D4534" i="1"/>
  <c r="C4534" i="1"/>
  <c r="B4534" i="1"/>
  <c r="A4534" i="1"/>
  <c r="S4533" i="1"/>
  <c r="O4533" i="1"/>
  <c r="K4533" i="1"/>
  <c r="J4533" i="1"/>
  <c r="I4533" i="1"/>
  <c r="H4533" i="1"/>
  <c r="G4533" i="1"/>
  <c r="F4533" i="1"/>
  <c r="E4533" i="1"/>
  <c r="D4533" i="1"/>
  <c r="C4533" i="1"/>
  <c r="B4533" i="1"/>
  <c r="A4533" i="1"/>
  <c r="R4532" i="1"/>
  <c r="J4532" i="1"/>
  <c r="I4532" i="1"/>
  <c r="G4532" i="1"/>
  <c r="F4532" i="1"/>
  <c r="E4532" i="1"/>
  <c r="D4532" i="1"/>
  <c r="C4532" i="1"/>
  <c r="B4532" i="1"/>
  <c r="A4532" i="1"/>
  <c r="S4531" i="1"/>
  <c r="O4531" i="1"/>
  <c r="K4531" i="1"/>
  <c r="J4531" i="1"/>
  <c r="I4531" i="1"/>
  <c r="H4531" i="1"/>
  <c r="G4531" i="1"/>
  <c r="F4531" i="1"/>
  <c r="E4531" i="1"/>
  <c r="D4531" i="1"/>
  <c r="C4531" i="1"/>
  <c r="B4531" i="1"/>
  <c r="A4531" i="1"/>
  <c r="R4530" i="1"/>
  <c r="J4530" i="1"/>
  <c r="I4530" i="1"/>
  <c r="G4530" i="1"/>
  <c r="F4530" i="1"/>
  <c r="E4530" i="1"/>
  <c r="D4530" i="1"/>
  <c r="C4530" i="1"/>
  <c r="B4530" i="1"/>
  <c r="A4530" i="1"/>
  <c r="S4529" i="1"/>
  <c r="O4529" i="1"/>
  <c r="K4529" i="1"/>
  <c r="J4529" i="1"/>
  <c r="I4529" i="1"/>
  <c r="H4529" i="1"/>
  <c r="G4529" i="1"/>
  <c r="F4529" i="1"/>
  <c r="E4529" i="1"/>
  <c r="D4529" i="1"/>
  <c r="C4529" i="1"/>
  <c r="B4529" i="1"/>
  <c r="A4529" i="1"/>
  <c r="R4528" i="1"/>
  <c r="J4528" i="1"/>
  <c r="I4528" i="1"/>
  <c r="G4528" i="1"/>
  <c r="F4528" i="1"/>
  <c r="E4528" i="1"/>
  <c r="D4528" i="1"/>
  <c r="C4528" i="1"/>
  <c r="B4528" i="1"/>
  <c r="A4528" i="1"/>
  <c r="S4527" i="1"/>
  <c r="O4527" i="1"/>
  <c r="K4527" i="1"/>
  <c r="J4527" i="1"/>
  <c r="I4527" i="1"/>
  <c r="H4527" i="1"/>
  <c r="G4527" i="1"/>
  <c r="F4527" i="1"/>
  <c r="E4527" i="1"/>
  <c r="D4527" i="1"/>
  <c r="C4527" i="1"/>
  <c r="B4527" i="1"/>
  <c r="A4527" i="1"/>
  <c r="R4526" i="1"/>
  <c r="J4526" i="1"/>
  <c r="I4526" i="1"/>
  <c r="G4526" i="1"/>
  <c r="F4526" i="1"/>
  <c r="E4526" i="1"/>
  <c r="D4526" i="1"/>
  <c r="C4526" i="1"/>
  <c r="B4526" i="1"/>
  <c r="A4526" i="1"/>
  <c r="S4525" i="1"/>
  <c r="O4525" i="1"/>
  <c r="K4525" i="1"/>
  <c r="J4525" i="1"/>
  <c r="I4525" i="1"/>
  <c r="H4525" i="1"/>
  <c r="G4525" i="1"/>
  <c r="F4525" i="1"/>
  <c r="E4525" i="1"/>
  <c r="D4525" i="1"/>
  <c r="C4525" i="1"/>
  <c r="B4525" i="1"/>
  <c r="A4525" i="1"/>
  <c r="R4524" i="1"/>
  <c r="J4524" i="1"/>
  <c r="I4524" i="1"/>
  <c r="G4524" i="1"/>
  <c r="F4524" i="1"/>
  <c r="E4524" i="1"/>
  <c r="D4524" i="1"/>
  <c r="C4524" i="1"/>
  <c r="B4524" i="1"/>
  <c r="A4524" i="1"/>
  <c r="S4523" i="1"/>
  <c r="O4523" i="1"/>
  <c r="K4523" i="1"/>
  <c r="J4523" i="1"/>
  <c r="I4523" i="1"/>
  <c r="H4523" i="1"/>
  <c r="G4523" i="1"/>
  <c r="F4523" i="1"/>
  <c r="E4523" i="1"/>
  <c r="D4523" i="1"/>
  <c r="C4523" i="1"/>
  <c r="B4523" i="1"/>
  <c r="A4523" i="1"/>
  <c r="R4522" i="1"/>
  <c r="J4522" i="1"/>
  <c r="I4522" i="1"/>
  <c r="G4522" i="1"/>
  <c r="F4522" i="1"/>
  <c r="E4522" i="1"/>
  <c r="D4522" i="1"/>
  <c r="C4522" i="1"/>
  <c r="B4522" i="1"/>
  <c r="A4522" i="1"/>
  <c r="S4521" i="1"/>
  <c r="O4521" i="1"/>
  <c r="K4521" i="1"/>
  <c r="J4521" i="1"/>
  <c r="I4521" i="1"/>
  <c r="H4521" i="1"/>
  <c r="G4521" i="1"/>
  <c r="F4521" i="1"/>
  <c r="E4521" i="1"/>
  <c r="D4521" i="1"/>
  <c r="C4521" i="1"/>
  <c r="B4521" i="1"/>
  <c r="A4521" i="1"/>
  <c r="R4520" i="1"/>
  <c r="J4520" i="1"/>
  <c r="I4520" i="1"/>
  <c r="G4520" i="1"/>
  <c r="F4520" i="1"/>
  <c r="E4520" i="1"/>
  <c r="D4520" i="1"/>
  <c r="C4520" i="1"/>
  <c r="B4520" i="1"/>
  <c r="A4520" i="1"/>
  <c r="S4519" i="1"/>
  <c r="O4519" i="1"/>
  <c r="K4519" i="1"/>
  <c r="J4519" i="1"/>
  <c r="I4519" i="1"/>
  <c r="H4519" i="1"/>
  <c r="G4519" i="1"/>
  <c r="F4519" i="1"/>
  <c r="E4519" i="1"/>
  <c r="D4519" i="1"/>
  <c r="C4519" i="1"/>
  <c r="B4519" i="1"/>
  <c r="A4519" i="1"/>
  <c r="R4518" i="1"/>
  <c r="J4518" i="1"/>
  <c r="I4518" i="1"/>
  <c r="G4518" i="1"/>
  <c r="F4518" i="1"/>
  <c r="E4518" i="1"/>
  <c r="D4518" i="1"/>
  <c r="C4518" i="1"/>
  <c r="B4518" i="1"/>
  <c r="A4518" i="1"/>
  <c r="S4517" i="1"/>
  <c r="O4517" i="1"/>
  <c r="K4517" i="1"/>
  <c r="J4517" i="1"/>
  <c r="I4517" i="1"/>
  <c r="H4517" i="1"/>
  <c r="G4517" i="1"/>
  <c r="F4517" i="1"/>
  <c r="E4517" i="1"/>
  <c r="D4517" i="1"/>
  <c r="C4517" i="1"/>
  <c r="B4517" i="1"/>
  <c r="A4517" i="1"/>
  <c r="R4516" i="1"/>
  <c r="J4516" i="1"/>
  <c r="I4516" i="1"/>
  <c r="G4516" i="1"/>
  <c r="F4516" i="1"/>
  <c r="E4516" i="1"/>
  <c r="D4516" i="1"/>
  <c r="C4516" i="1"/>
  <c r="B4516" i="1"/>
  <c r="A4516" i="1"/>
  <c r="S4515" i="1"/>
  <c r="O4515" i="1"/>
  <c r="K4515" i="1"/>
  <c r="J4515" i="1"/>
  <c r="I4515" i="1"/>
  <c r="H4515" i="1"/>
  <c r="G4515" i="1"/>
  <c r="F4515" i="1"/>
  <c r="E4515" i="1"/>
  <c r="D4515" i="1"/>
  <c r="C4515" i="1"/>
  <c r="B4515" i="1"/>
  <c r="A4515" i="1"/>
  <c r="R4514" i="1"/>
  <c r="J4514" i="1"/>
  <c r="I4514" i="1"/>
  <c r="G4514" i="1"/>
  <c r="F4514" i="1"/>
  <c r="E4514" i="1"/>
  <c r="D4514" i="1"/>
  <c r="C4514" i="1"/>
  <c r="B4514" i="1"/>
  <c r="A4514" i="1"/>
  <c r="S4513" i="1"/>
  <c r="O4513" i="1"/>
  <c r="K4513" i="1"/>
  <c r="J4513" i="1"/>
  <c r="I4513" i="1"/>
  <c r="H4513" i="1"/>
  <c r="G4513" i="1"/>
  <c r="F4513" i="1"/>
  <c r="E4513" i="1"/>
  <c r="D4513" i="1"/>
  <c r="C4513" i="1"/>
  <c r="B4513" i="1"/>
  <c r="A4513" i="1"/>
  <c r="R4512" i="1"/>
  <c r="J4512" i="1"/>
  <c r="I4512" i="1"/>
  <c r="G4512" i="1"/>
  <c r="F4512" i="1"/>
  <c r="E4512" i="1"/>
  <c r="D4512" i="1"/>
  <c r="C4512" i="1"/>
  <c r="B4512" i="1"/>
  <c r="A4512" i="1"/>
  <c r="S4511" i="1"/>
  <c r="O4511" i="1"/>
  <c r="K4511" i="1"/>
  <c r="J4511" i="1"/>
  <c r="I4511" i="1"/>
  <c r="H4511" i="1"/>
  <c r="G4511" i="1"/>
  <c r="F4511" i="1"/>
  <c r="E4511" i="1"/>
  <c r="D4511" i="1"/>
  <c r="C4511" i="1"/>
  <c r="B4511" i="1"/>
  <c r="A4511" i="1"/>
  <c r="R4510" i="1"/>
  <c r="J4510" i="1"/>
  <c r="I4510" i="1"/>
  <c r="G4510" i="1"/>
  <c r="F4510" i="1"/>
  <c r="E4510" i="1"/>
  <c r="D4510" i="1"/>
  <c r="C4510" i="1"/>
  <c r="B4510" i="1"/>
  <c r="A4510" i="1"/>
  <c r="S4509" i="1"/>
  <c r="O4509" i="1"/>
  <c r="K4509" i="1"/>
  <c r="J4509" i="1"/>
  <c r="I4509" i="1"/>
  <c r="H4509" i="1"/>
  <c r="G4509" i="1"/>
  <c r="F4509" i="1"/>
  <c r="E4509" i="1"/>
  <c r="D4509" i="1"/>
  <c r="C4509" i="1"/>
  <c r="B4509" i="1"/>
  <c r="A4509" i="1"/>
  <c r="R4508" i="1"/>
  <c r="J4508" i="1"/>
  <c r="I4508" i="1"/>
  <c r="G4508" i="1"/>
  <c r="F4508" i="1"/>
  <c r="E4508" i="1"/>
  <c r="D4508" i="1"/>
  <c r="C4508" i="1"/>
  <c r="B4508" i="1"/>
  <c r="A4508" i="1"/>
  <c r="R4507" i="1"/>
  <c r="J4507" i="1"/>
  <c r="I4507" i="1"/>
  <c r="G4507" i="1"/>
  <c r="F4507" i="1"/>
  <c r="E4507" i="1"/>
  <c r="D4507" i="1"/>
  <c r="C4507" i="1"/>
  <c r="B4507" i="1"/>
  <c r="A4507" i="1"/>
  <c r="R4506" i="1"/>
  <c r="J4506" i="1"/>
  <c r="I4506" i="1"/>
  <c r="G4506" i="1"/>
  <c r="F4506" i="1"/>
  <c r="E4506" i="1"/>
  <c r="D4506" i="1"/>
  <c r="C4506" i="1"/>
  <c r="B4506" i="1"/>
  <c r="A4506" i="1"/>
  <c r="R4505" i="1"/>
  <c r="J4505" i="1"/>
  <c r="I4505" i="1"/>
  <c r="G4505" i="1"/>
  <c r="F4505" i="1"/>
  <c r="E4505" i="1"/>
  <c r="D4505" i="1"/>
  <c r="C4505" i="1"/>
  <c r="B4505" i="1"/>
  <c r="A4505" i="1"/>
  <c r="S4504" i="1"/>
  <c r="O4504" i="1"/>
  <c r="K4504" i="1"/>
  <c r="J4504" i="1"/>
  <c r="I4504" i="1"/>
  <c r="H4504" i="1"/>
  <c r="G4504" i="1"/>
  <c r="F4504" i="1"/>
  <c r="E4504" i="1"/>
  <c r="D4504" i="1"/>
  <c r="C4504" i="1"/>
  <c r="B4504" i="1"/>
  <c r="A4504" i="1"/>
  <c r="R4503" i="1"/>
  <c r="J4503" i="1"/>
  <c r="I4503" i="1"/>
  <c r="G4503" i="1"/>
  <c r="F4503" i="1"/>
  <c r="E4503" i="1"/>
  <c r="D4503" i="1"/>
  <c r="C4503" i="1"/>
  <c r="B4503" i="1"/>
  <c r="A4503" i="1"/>
  <c r="R4502" i="1"/>
  <c r="J4502" i="1"/>
  <c r="I4502" i="1"/>
  <c r="G4502" i="1"/>
  <c r="F4502" i="1"/>
  <c r="E4502" i="1"/>
  <c r="D4502" i="1"/>
  <c r="C4502" i="1"/>
  <c r="B4502" i="1"/>
  <c r="A4502" i="1"/>
  <c r="R4501" i="1"/>
  <c r="J4501" i="1"/>
  <c r="I4501" i="1"/>
  <c r="G4501" i="1"/>
  <c r="F4501" i="1"/>
  <c r="E4501" i="1"/>
  <c r="D4501" i="1"/>
  <c r="C4501" i="1"/>
  <c r="B4501" i="1"/>
  <c r="A4501" i="1"/>
  <c r="R4500" i="1"/>
  <c r="J4500" i="1"/>
  <c r="I4500" i="1"/>
  <c r="G4500" i="1"/>
  <c r="F4500" i="1"/>
  <c r="E4500" i="1"/>
  <c r="D4500" i="1"/>
  <c r="C4500" i="1"/>
  <c r="B4500" i="1"/>
  <c r="A4500" i="1"/>
  <c r="R4499" i="1"/>
  <c r="J4499" i="1"/>
  <c r="I4499" i="1"/>
  <c r="G4499" i="1"/>
  <c r="F4499" i="1"/>
  <c r="E4499" i="1"/>
  <c r="D4499" i="1"/>
  <c r="C4499" i="1"/>
  <c r="B4499" i="1"/>
  <c r="A4499" i="1"/>
  <c r="R4498" i="1"/>
  <c r="J4498" i="1"/>
  <c r="I4498" i="1"/>
  <c r="G4498" i="1"/>
  <c r="F4498" i="1"/>
  <c r="E4498" i="1"/>
  <c r="D4498" i="1"/>
  <c r="C4498" i="1"/>
  <c r="B4498" i="1"/>
  <c r="A4498" i="1"/>
  <c r="R4497" i="1"/>
  <c r="J4497" i="1"/>
  <c r="I4497" i="1"/>
  <c r="G4497" i="1"/>
  <c r="F4497" i="1"/>
  <c r="E4497" i="1"/>
  <c r="D4497" i="1"/>
  <c r="C4497" i="1"/>
  <c r="B4497" i="1"/>
  <c r="A4497" i="1"/>
  <c r="R4496" i="1"/>
  <c r="J4496" i="1"/>
  <c r="I4496" i="1"/>
  <c r="G4496" i="1"/>
  <c r="F4496" i="1"/>
  <c r="E4496" i="1"/>
  <c r="D4496" i="1"/>
  <c r="C4496" i="1"/>
  <c r="B4496" i="1"/>
  <c r="A4496" i="1"/>
  <c r="R4495" i="1"/>
  <c r="J4495" i="1"/>
  <c r="I4495" i="1"/>
  <c r="G4495" i="1"/>
  <c r="F4495" i="1"/>
  <c r="E4495" i="1"/>
  <c r="D4495" i="1"/>
  <c r="C4495" i="1"/>
  <c r="B4495" i="1"/>
  <c r="A4495" i="1"/>
  <c r="R4494" i="1"/>
  <c r="J4494" i="1"/>
  <c r="I4494" i="1"/>
  <c r="G4494" i="1"/>
  <c r="F4494" i="1"/>
  <c r="E4494" i="1"/>
  <c r="D4494" i="1"/>
  <c r="C4494" i="1"/>
  <c r="B4494" i="1"/>
  <c r="A4494" i="1"/>
  <c r="R4493" i="1"/>
  <c r="J4493" i="1"/>
  <c r="I4493" i="1"/>
  <c r="G4493" i="1"/>
  <c r="F4493" i="1"/>
  <c r="E4493" i="1"/>
  <c r="D4493" i="1"/>
  <c r="C4493" i="1"/>
  <c r="B4493" i="1"/>
  <c r="A4493" i="1"/>
  <c r="R4492" i="1"/>
  <c r="J4492" i="1"/>
  <c r="I4492" i="1"/>
  <c r="G4492" i="1"/>
  <c r="F4492" i="1"/>
  <c r="E4492" i="1"/>
  <c r="D4492" i="1"/>
  <c r="C4492" i="1"/>
  <c r="B4492" i="1"/>
  <c r="A4492" i="1"/>
  <c r="R4491" i="1"/>
  <c r="J4491" i="1"/>
  <c r="I4491" i="1"/>
  <c r="G4491" i="1"/>
  <c r="F4491" i="1"/>
  <c r="E4491" i="1"/>
  <c r="D4491" i="1"/>
  <c r="C4491" i="1"/>
  <c r="B4491" i="1"/>
  <c r="A4491" i="1"/>
  <c r="R4490" i="1"/>
  <c r="J4490" i="1"/>
  <c r="I4490" i="1"/>
  <c r="G4490" i="1"/>
  <c r="F4490" i="1"/>
  <c r="E4490" i="1"/>
  <c r="D4490" i="1"/>
  <c r="C4490" i="1"/>
  <c r="B4490" i="1"/>
  <c r="A4490" i="1"/>
  <c r="R4489" i="1"/>
  <c r="J4489" i="1"/>
  <c r="I4489" i="1"/>
  <c r="G4489" i="1"/>
  <c r="F4489" i="1"/>
  <c r="E4489" i="1"/>
  <c r="D4489" i="1"/>
  <c r="C4489" i="1"/>
  <c r="B4489" i="1"/>
  <c r="A4489" i="1"/>
  <c r="R4488" i="1"/>
  <c r="J4488" i="1"/>
  <c r="I4488" i="1"/>
  <c r="G4488" i="1"/>
  <c r="F4488" i="1"/>
  <c r="E4488" i="1"/>
  <c r="D4488" i="1"/>
  <c r="C4488" i="1"/>
  <c r="B4488" i="1"/>
  <c r="A4488" i="1"/>
  <c r="R4487" i="1"/>
  <c r="J4487" i="1"/>
  <c r="I4487" i="1"/>
  <c r="G4487" i="1"/>
  <c r="F4487" i="1"/>
  <c r="E4487" i="1"/>
  <c r="D4487" i="1"/>
  <c r="C4487" i="1"/>
  <c r="B4487" i="1"/>
  <c r="A4487" i="1"/>
  <c r="S4486" i="1"/>
  <c r="O4486" i="1"/>
  <c r="K4486" i="1"/>
  <c r="J4486" i="1"/>
  <c r="I4486" i="1"/>
  <c r="H4486" i="1"/>
  <c r="G4486" i="1"/>
  <c r="F4486" i="1"/>
  <c r="E4486" i="1"/>
  <c r="D4486" i="1"/>
  <c r="C4486" i="1"/>
  <c r="B4486" i="1"/>
  <c r="A4486" i="1"/>
  <c r="R4485" i="1"/>
  <c r="J4485" i="1"/>
  <c r="I4485" i="1"/>
  <c r="G4485" i="1"/>
  <c r="F4485" i="1"/>
  <c r="E4485" i="1"/>
  <c r="D4485" i="1"/>
  <c r="C4485" i="1"/>
  <c r="B4485" i="1"/>
  <c r="A4485" i="1"/>
  <c r="R4484" i="1"/>
  <c r="J4484" i="1"/>
  <c r="I4484" i="1"/>
  <c r="G4484" i="1"/>
  <c r="F4484" i="1"/>
  <c r="E4484" i="1"/>
  <c r="D4484" i="1"/>
  <c r="C4484" i="1"/>
  <c r="B4484" i="1"/>
  <c r="A4484" i="1"/>
  <c r="R4483" i="1"/>
  <c r="J4483" i="1"/>
  <c r="I4483" i="1"/>
  <c r="G4483" i="1"/>
  <c r="F4483" i="1"/>
  <c r="E4483" i="1"/>
  <c r="D4483" i="1"/>
  <c r="C4483" i="1"/>
  <c r="B4483" i="1"/>
  <c r="A4483" i="1"/>
  <c r="R4482" i="1"/>
  <c r="J4482" i="1"/>
  <c r="I4482" i="1"/>
  <c r="G4482" i="1"/>
  <c r="F4482" i="1"/>
  <c r="E4482" i="1"/>
  <c r="D4482" i="1"/>
  <c r="C4482" i="1"/>
  <c r="B4482" i="1"/>
  <c r="A4482" i="1"/>
  <c r="R4481" i="1"/>
  <c r="J4481" i="1"/>
  <c r="I4481" i="1"/>
  <c r="G4481" i="1"/>
  <c r="F4481" i="1"/>
  <c r="E4481" i="1"/>
  <c r="D4481" i="1"/>
  <c r="C4481" i="1"/>
  <c r="B4481" i="1"/>
  <c r="A4481" i="1"/>
  <c r="R4480" i="1"/>
  <c r="J4480" i="1"/>
  <c r="I4480" i="1"/>
  <c r="G4480" i="1"/>
  <c r="F4480" i="1"/>
  <c r="E4480" i="1"/>
  <c r="D4480" i="1"/>
  <c r="C4480" i="1"/>
  <c r="B4480" i="1"/>
  <c r="A4480" i="1"/>
  <c r="R4479" i="1"/>
  <c r="J4479" i="1"/>
  <c r="I4479" i="1"/>
  <c r="G4479" i="1"/>
  <c r="F4479" i="1"/>
  <c r="E4479" i="1"/>
  <c r="D4479" i="1"/>
  <c r="C4479" i="1"/>
  <c r="B4479" i="1"/>
  <c r="A4479" i="1"/>
  <c r="R4478" i="1"/>
  <c r="J4478" i="1"/>
  <c r="I4478" i="1"/>
  <c r="G4478" i="1"/>
  <c r="F4478" i="1"/>
  <c r="E4478" i="1"/>
  <c r="D4478" i="1"/>
  <c r="C4478" i="1"/>
  <c r="B4478" i="1"/>
  <c r="A4478" i="1"/>
  <c r="R4477" i="1"/>
  <c r="J4477" i="1"/>
  <c r="I4477" i="1"/>
  <c r="G4477" i="1"/>
  <c r="F4477" i="1"/>
  <c r="E4477" i="1"/>
  <c r="D4477" i="1"/>
  <c r="C4477" i="1"/>
  <c r="B4477" i="1"/>
  <c r="A4477" i="1"/>
  <c r="R4476" i="1"/>
  <c r="J4476" i="1"/>
  <c r="I4476" i="1"/>
  <c r="G4476" i="1"/>
  <c r="F4476" i="1"/>
  <c r="E4476" i="1"/>
  <c r="D4476" i="1"/>
  <c r="C4476" i="1"/>
  <c r="B4476" i="1"/>
  <c r="A4476" i="1"/>
  <c r="R4475" i="1"/>
  <c r="J4475" i="1"/>
  <c r="I4475" i="1"/>
  <c r="G4475" i="1"/>
  <c r="F4475" i="1"/>
  <c r="E4475" i="1"/>
  <c r="D4475" i="1"/>
  <c r="C4475" i="1"/>
  <c r="B4475" i="1"/>
  <c r="A4475" i="1"/>
  <c r="R4474" i="1"/>
  <c r="J4474" i="1"/>
  <c r="I4474" i="1"/>
  <c r="G4474" i="1"/>
  <c r="F4474" i="1"/>
  <c r="E4474" i="1"/>
  <c r="D4474" i="1"/>
  <c r="C4474" i="1"/>
  <c r="B4474" i="1"/>
  <c r="A4474" i="1"/>
  <c r="R4473" i="1"/>
  <c r="J4473" i="1"/>
  <c r="I4473" i="1"/>
  <c r="G4473" i="1"/>
  <c r="F4473" i="1"/>
  <c r="E4473" i="1"/>
  <c r="D4473" i="1"/>
  <c r="C4473" i="1"/>
  <c r="B4473" i="1"/>
  <c r="A4473" i="1"/>
  <c r="R4472" i="1"/>
  <c r="J4472" i="1"/>
  <c r="I4472" i="1"/>
  <c r="G4472" i="1"/>
  <c r="F4472" i="1"/>
  <c r="E4472" i="1"/>
  <c r="D4472" i="1"/>
  <c r="C4472" i="1"/>
  <c r="B4472" i="1"/>
  <c r="A4472" i="1"/>
  <c r="R4471" i="1"/>
  <c r="J4471" i="1"/>
  <c r="I4471" i="1"/>
  <c r="G4471" i="1"/>
  <c r="F4471" i="1"/>
  <c r="E4471" i="1"/>
  <c r="D4471" i="1"/>
  <c r="C4471" i="1"/>
  <c r="B4471" i="1"/>
  <c r="A4471" i="1"/>
  <c r="R4470" i="1"/>
  <c r="J4470" i="1"/>
  <c r="I4470" i="1"/>
  <c r="G4470" i="1"/>
  <c r="F4470" i="1"/>
  <c r="E4470" i="1"/>
  <c r="D4470" i="1"/>
  <c r="C4470" i="1"/>
  <c r="B4470" i="1"/>
  <c r="A4470" i="1"/>
  <c r="R4469" i="1"/>
  <c r="J4469" i="1"/>
  <c r="I4469" i="1"/>
  <c r="G4469" i="1"/>
  <c r="F4469" i="1"/>
  <c r="E4469" i="1"/>
  <c r="D4469" i="1"/>
  <c r="C4469" i="1"/>
  <c r="B4469" i="1"/>
  <c r="A4469" i="1"/>
  <c r="R4468" i="1"/>
  <c r="J4468" i="1"/>
  <c r="I4468" i="1"/>
  <c r="G4468" i="1"/>
  <c r="F4468" i="1"/>
  <c r="E4468" i="1"/>
  <c r="D4468" i="1"/>
  <c r="C4468" i="1"/>
  <c r="B4468" i="1"/>
  <c r="A4468" i="1"/>
  <c r="R4467" i="1"/>
  <c r="J4467" i="1"/>
  <c r="I4467" i="1"/>
  <c r="G4467" i="1"/>
  <c r="F4467" i="1"/>
  <c r="E4467" i="1"/>
  <c r="D4467" i="1"/>
  <c r="C4467" i="1"/>
  <c r="B4467" i="1"/>
  <c r="A4467" i="1"/>
  <c r="R4466" i="1"/>
  <c r="J4466" i="1"/>
  <c r="I4466" i="1"/>
  <c r="G4466" i="1"/>
  <c r="F4466" i="1"/>
  <c r="E4466" i="1"/>
  <c r="D4466" i="1"/>
  <c r="C4466" i="1"/>
  <c r="B4466" i="1"/>
  <c r="A4466" i="1"/>
  <c r="R4465" i="1"/>
  <c r="J4465" i="1"/>
  <c r="I4465" i="1"/>
  <c r="G4465" i="1"/>
  <c r="F4465" i="1"/>
  <c r="E4465" i="1"/>
  <c r="D4465" i="1"/>
  <c r="C4465" i="1"/>
  <c r="B4465" i="1"/>
  <c r="A4465" i="1"/>
  <c r="R4464" i="1"/>
  <c r="J4464" i="1"/>
  <c r="I4464" i="1"/>
  <c r="G4464" i="1"/>
  <c r="F4464" i="1"/>
  <c r="E4464" i="1"/>
  <c r="D4464" i="1"/>
  <c r="C4464" i="1"/>
  <c r="B4464" i="1"/>
  <c r="A4464" i="1"/>
  <c r="R4463" i="1"/>
  <c r="J4463" i="1"/>
  <c r="I4463" i="1"/>
  <c r="G4463" i="1"/>
  <c r="F4463" i="1"/>
  <c r="E4463" i="1"/>
  <c r="D4463" i="1"/>
  <c r="C4463" i="1"/>
  <c r="B4463" i="1"/>
  <c r="A4463" i="1"/>
  <c r="R4462" i="1"/>
  <c r="J4462" i="1"/>
  <c r="I4462" i="1"/>
  <c r="G4462" i="1"/>
  <c r="F4462" i="1"/>
  <c r="E4462" i="1"/>
  <c r="D4462" i="1"/>
  <c r="C4462" i="1"/>
  <c r="B4462" i="1"/>
  <c r="A4462" i="1"/>
  <c r="R4461" i="1"/>
  <c r="J4461" i="1"/>
  <c r="I4461" i="1"/>
  <c r="G4461" i="1"/>
  <c r="F4461" i="1"/>
  <c r="E4461" i="1"/>
  <c r="D4461" i="1"/>
  <c r="C4461" i="1"/>
  <c r="B4461" i="1"/>
  <c r="A4461" i="1"/>
  <c r="R4460" i="1"/>
  <c r="J4460" i="1"/>
  <c r="I4460" i="1"/>
  <c r="G4460" i="1"/>
  <c r="F4460" i="1"/>
  <c r="E4460" i="1"/>
  <c r="D4460" i="1"/>
  <c r="C4460" i="1"/>
  <c r="B4460" i="1"/>
  <c r="A4460" i="1"/>
  <c r="R4459" i="1"/>
  <c r="J4459" i="1"/>
  <c r="I4459" i="1"/>
  <c r="G4459" i="1"/>
  <c r="F4459" i="1"/>
  <c r="E4459" i="1"/>
  <c r="D4459" i="1"/>
  <c r="C4459" i="1"/>
  <c r="B4459" i="1"/>
  <c r="A4459" i="1"/>
  <c r="R4458" i="1"/>
  <c r="J4458" i="1"/>
  <c r="I4458" i="1"/>
  <c r="G4458" i="1"/>
  <c r="F4458" i="1"/>
  <c r="E4458" i="1"/>
  <c r="D4458" i="1"/>
  <c r="C4458" i="1"/>
  <c r="B4458" i="1"/>
  <c r="A4458" i="1"/>
  <c r="R4457" i="1"/>
  <c r="J4457" i="1"/>
  <c r="I4457" i="1"/>
  <c r="G4457" i="1"/>
  <c r="F4457" i="1"/>
  <c r="E4457" i="1"/>
  <c r="D4457" i="1"/>
  <c r="C4457" i="1"/>
  <c r="B4457" i="1"/>
  <c r="A4457" i="1"/>
  <c r="R4456" i="1"/>
  <c r="J4456" i="1"/>
  <c r="I4456" i="1"/>
  <c r="G4456" i="1"/>
  <c r="F4456" i="1"/>
  <c r="E4456" i="1"/>
  <c r="D4456" i="1"/>
  <c r="C4456" i="1"/>
  <c r="B4456" i="1"/>
  <c r="A4456" i="1"/>
  <c r="R4455" i="1"/>
  <c r="J4455" i="1"/>
  <c r="I4455" i="1"/>
  <c r="G4455" i="1"/>
  <c r="F4455" i="1"/>
  <c r="E4455" i="1"/>
  <c r="D4455" i="1"/>
  <c r="C4455" i="1"/>
  <c r="B4455" i="1"/>
  <c r="A4455" i="1"/>
  <c r="R4454" i="1"/>
  <c r="J4454" i="1"/>
  <c r="I4454" i="1"/>
  <c r="G4454" i="1"/>
  <c r="F4454" i="1"/>
  <c r="E4454" i="1"/>
  <c r="D4454" i="1"/>
  <c r="C4454" i="1"/>
  <c r="B4454" i="1"/>
  <c r="A4454" i="1"/>
  <c r="R4453" i="1"/>
  <c r="J4453" i="1"/>
  <c r="I4453" i="1"/>
  <c r="G4453" i="1"/>
  <c r="F4453" i="1"/>
  <c r="E4453" i="1"/>
  <c r="D4453" i="1"/>
  <c r="C4453" i="1"/>
  <c r="B4453" i="1"/>
  <c r="A4453" i="1"/>
  <c r="R4452" i="1"/>
  <c r="J4452" i="1"/>
  <c r="I4452" i="1"/>
  <c r="G4452" i="1"/>
  <c r="F4452" i="1"/>
  <c r="E4452" i="1"/>
  <c r="D4452" i="1"/>
  <c r="C4452" i="1"/>
  <c r="B4452" i="1"/>
  <c r="A4452" i="1"/>
  <c r="R4451" i="1"/>
  <c r="J4451" i="1"/>
  <c r="I4451" i="1"/>
  <c r="G4451" i="1"/>
  <c r="F4451" i="1"/>
  <c r="E4451" i="1"/>
  <c r="D4451" i="1"/>
  <c r="C4451" i="1"/>
  <c r="B4451" i="1"/>
  <c r="A4451" i="1"/>
  <c r="R4450" i="1"/>
  <c r="J4450" i="1"/>
  <c r="I4450" i="1"/>
  <c r="G4450" i="1"/>
  <c r="F4450" i="1"/>
  <c r="E4450" i="1"/>
  <c r="D4450" i="1"/>
  <c r="C4450" i="1"/>
  <c r="B4450" i="1"/>
  <c r="A4450" i="1"/>
  <c r="R4449" i="1"/>
  <c r="J4449" i="1"/>
  <c r="I4449" i="1"/>
  <c r="G4449" i="1"/>
  <c r="F4449" i="1"/>
  <c r="E4449" i="1"/>
  <c r="D4449" i="1"/>
  <c r="C4449" i="1"/>
  <c r="B4449" i="1"/>
  <c r="A4449" i="1"/>
  <c r="R4448" i="1"/>
  <c r="J4448" i="1"/>
  <c r="I4448" i="1"/>
  <c r="G4448" i="1"/>
  <c r="F4448" i="1"/>
  <c r="E4448" i="1"/>
  <c r="D4448" i="1"/>
  <c r="C4448" i="1"/>
  <c r="B4448" i="1"/>
  <c r="A4448" i="1"/>
  <c r="R4447" i="1"/>
  <c r="J4447" i="1"/>
  <c r="I4447" i="1"/>
  <c r="G4447" i="1"/>
  <c r="F4447" i="1"/>
  <c r="E4447" i="1"/>
  <c r="D4447" i="1"/>
  <c r="C4447" i="1"/>
  <c r="B4447" i="1"/>
  <c r="A4447" i="1"/>
  <c r="R4446" i="1"/>
  <c r="J4446" i="1"/>
  <c r="I4446" i="1"/>
  <c r="G4446" i="1"/>
  <c r="F4446" i="1"/>
  <c r="E4446" i="1"/>
  <c r="D4446" i="1"/>
  <c r="C4446" i="1"/>
  <c r="B4446" i="1"/>
  <c r="A4446" i="1"/>
  <c r="R4445" i="1"/>
  <c r="J4445" i="1"/>
  <c r="I4445" i="1"/>
  <c r="G4445" i="1"/>
  <c r="F4445" i="1"/>
  <c r="E4445" i="1"/>
  <c r="D4445" i="1"/>
  <c r="C4445" i="1"/>
  <c r="B4445" i="1"/>
  <c r="A4445" i="1"/>
  <c r="R4444" i="1"/>
  <c r="J4444" i="1"/>
  <c r="I4444" i="1"/>
  <c r="G4444" i="1"/>
  <c r="F4444" i="1"/>
  <c r="E4444" i="1"/>
  <c r="D4444" i="1"/>
  <c r="C4444" i="1"/>
  <c r="B4444" i="1"/>
  <c r="A4444" i="1"/>
  <c r="R4443" i="1"/>
  <c r="J4443" i="1"/>
  <c r="I4443" i="1"/>
  <c r="G4443" i="1"/>
  <c r="F4443" i="1"/>
  <c r="E4443" i="1"/>
  <c r="D4443" i="1"/>
  <c r="C4443" i="1"/>
  <c r="B4443" i="1"/>
  <c r="A4443" i="1"/>
  <c r="R4442" i="1"/>
  <c r="J4442" i="1"/>
  <c r="I4442" i="1"/>
  <c r="G4442" i="1"/>
  <c r="F4442" i="1"/>
  <c r="E4442" i="1"/>
  <c r="D4442" i="1"/>
  <c r="C4442" i="1"/>
  <c r="B4442" i="1"/>
  <c r="A4442" i="1"/>
  <c r="R4441" i="1"/>
  <c r="J4441" i="1"/>
  <c r="I4441" i="1"/>
  <c r="G4441" i="1"/>
  <c r="F4441" i="1"/>
  <c r="E4441" i="1"/>
  <c r="D4441" i="1"/>
  <c r="C4441" i="1"/>
  <c r="B4441" i="1"/>
  <c r="A4441" i="1"/>
  <c r="R4440" i="1"/>
  <c r="J4440" i="1"/>
  <c r="I4440" i="1"/>
  <c r="G4440" i="1"/>
  <c r="F4440" i="1"/>
  <c r="E4440" i="1"/>
  <c r="D4440" i="1"/>
  <c r="C4440" i="1"/>
  <c r="B4440" i="1"/>
  <c r="A4440" i="1"/>
  <c r="R4439" i="1"/>
  <c r="J4439" i="1"/>
  <c r="I4439" i="1"/>
  <c r="G4439" i="1"/>
  <c r="F4439" i="1"/>
  <c r="E4439" i="1"/>
  <c r="D4439" i="1"/>
  <c r="C4439" i="1"/>
  <c r="B4439" i="1"/>
  <c r="A4439" i="1"/>
  <c r="R4438" i="1"/>
  <c r="J4438" i="1"/>
  <c r="I4438" i="1"/>
  <c r="G4438" i="1"/>
  <c r="F4438" i="1"/>
  <c r="E4438" i="1"/>
  <c r="D4438" i="1"/>
  <c r="C4438" i="1"/>
  <c r="B4438" i="1"/>
  <c r="A4438" i="1"/>
  <c r="R4437" i="1"/>
  <c r="J4437" i="1"/>
  <c r="I4437" i="1"/>
  <c r="G4437" i="1"/>
  <c r="F4437" i="1"/>
  <c r="E4437" i="1"/>
  <c r="D4437" i="1"/>
  <c r="C4437" i="1"/>
  <c r="B4437" i="1"/>
  <c r="A4437" i="1"/>
  <c r="R4436" i="1"/>
  <c r="J4436" i="1"/>
  <c r="I4436" i="1"/>
  <c r="G4436" i="1"/>
  <c r="F4436" i="1"/>
  <c r="E4436" i="1"/>
  <c r="D4436" i="1"/>
  <c r="C4436" i="1"/>
  <c r="B4436" i="1"/>
  <c r="A4436" i="1"/>
  <c r="S4435" i="1"/>
  <c r="O4435" i="1"/>
  <c r="K4435" i="1"/>
  <c r="J4435" i="1"/>
  <c r="I4435" i="1"/>
  <c r="H4435" i="1"/>
  <c r="G4435" i="1"/>
  <c r="F4435" i="1"/>
  <c r="E4435" i="1"/>
  <c r="D4435" i="1"/>
  <c r="C4435" i="1"/>
  <c r="B4435" i="1"/>
  <c r="A4435" i="1"/>
  <c r="R4434" i="1"/>
  <c r="J4434" i="1"/>
  <c r="I4434" i="1"/>
  <c r="G4434" i="1"/>
  <c r="F4434" i="1"/>
  <c r="E4434" i="1"/>
  <c r="D4434" i="1"/>
  <c r="C4434" i="1"/>
  <c r="B4434" i="1"/>
  <c r="A4434" i="1"/>
  <c r="S4433" i="1"/>
  <c r="O4433" i="1"/>
  <c r="K4433" i="1"/>
  <c r="J4433" i="1"/>
  <c r="I4433" i="1"/>
  <c r="H4433" i="1"/>
  <c r="G4433" i="1"/>
  <c r="F4433" i="1"/>
  <c r="E4433" i="1"/>
  <c r="D4433" i="1"/>
  <c r="C4433" i="1"/>
  <c r="B4433" i="1"/>
  <c r="A4433" i="1"/>
  <c r="R4432" i="1"/>
  <c r="J4432" i="1"/>
  <c r="I4432" i="1"/>
  <c r="G4432" i="1"/>
  <c r="F4432" i="1"/>
  <c r="E4432" i="1"/>
  <c r="D4432" i="1"/>
  <c r="C4432" i="1"/>
  <c r="B4432" i="1"/>
  <c r="A4432" i="1"/>
  <c r="S4431" i="1"/>
  <c r="O4431" i="1"/>
  <c r="K4431" i="1"/>
  <c r="J4431" i="1"/>
  <c r="I4431" i="1"/>
  <c r="H4431" i="1"/>
  <c r="G4431" i="1"/>
  <c r="F4431" i="1"/>
  <c r="E4431" i="1"/>
  <c r="D4431" i="1"/>
  <c r="C4431" i="1"/>
  <c r="B4431" i="1"/>
  <c r="A4431" i="1"/>
  <c r="R4430" i="1"/>
  <c r="J4430" i="1"/>
  <c r="I4430" i="1"/>
  <c r="G4430" i="1"/>
  <c r="F4430" i="1"/>
  <c r="E4430" i="1"/>
  <c r="D4430" i="1"/>
  <c r="C4430" i="1"/>
  <c r="B4430" i="1"/>
  <c r="A4430" i="1"/>
  <c r="S4429" i="1"/>
  <c r="O4429" i="1"/>
  <c r="K4429" i="1"/>
  <c r="J4429" i="1"/>
  <c r="I4429" i="1"/>
  <c r="H4429" i="1"/>
  <c r="G4429" i="1"/>
  <c r="F4429" i="1"/>
  <c r="E4429" i="1"/>
  <c r="D4429" i="1"/>
  <c r="C4429" i="1"/>
  <c r="B4429" i="1"/>
  <c r="A4429" i="1"/>
  <c r="R4428" i="1"/>
  <c r="J4428" i="1"/>
  <c r="I4428" i="1"/>
  <c r="G4428" i="1"/>
  <c r="F4428" i="1"/>
  <c r="E4428" i="1"/>
  <c r="D4428" i="1"/>
  <c r="C4428" i="1"/>
  <c r="B4428" i="1"/>
  <c r="A4428" i="1"/>
  <c r="S4427" i="1"/>
  <c r="O4427" i="1"/>
  <c r="K4427" i="1"/>
  <c r="J4427" i="1"/>
  <c r="I4427" i="1"/>
  <c r="H4427" i="1"/>
  <c r="G4427" i="1"/>
  <c r="F4427" i="1"/>
  <c r="E4427" i="1"/>
  <c r="D4427" i="1"/>
  <c r="C4427" i="1"/>
  <c r="B4427" i="1"/>
  <c r="A4427" i="1"/>
  <c r="R4426" i="1"/>
  <c r="J4426" i="1"/>
  <c r="I4426" i="1"/>
  <c r="G4426" i="1"/>
  <c r="F4426" i="1"/>
  <c r="E4426" i="1"/>
  <c r="D4426" i="1"/>
  <c r="C4426" i="1"/>
  <c r="B4426" i="1"/>
  <c r="A4426" i="1"/>
  <c r="S4425" i="1"/>
  <c r="O4425" i="1"/>
  <c r="K4425" i="1"/>
  <c r="J4425" i="1"/>
  <c r="I4425" i="1"/>
  <c r="H4425" i="1"/>
  <c r="G4425" i="1"/>
  <c r="F4425" i="1"/>
  <c r="E4425" i="1"/>
  <c r="D4425" i="1"/>
  <c r="C4425" i="1"/>
  <c r="B4425" i="1"/>
  <c r="A4425" i="1"/>
  <c r="R4424" i="1"/>
  <c r="J4424" i="1"/>
  <c r="I4424" i="1"/>
  <c r="G4424" i="1"/>
  <c r="F4424" i="1"/>
  <c r="E4424" i="1"/>
  <c r="D4424" i="1"/>
  <c r="C4424" i="1"/>
  <c r="B4424" i="1"/>
  <c r="A4424" i="1"/>
  <c r="S4423" i="1"/>
  <c r="O4423" i="1"/>
  <c r="K4423" i="1"/>
  <c r="J4423" i="1"/>
  <c r="I4423" i="1"/>
  <c r="H4423" i="1"/>
  <c r="G4423" i="1"/>
  <c r="F4423" i="1"/>
  <c r="E4423" i="1"/>
  <c r="D4423" i="1"/>
  <c r="C4423" i="1"/>
  <c r="B4423" i="1"/>
  <c r="A4423" i="1"/>
  <c r="R4422" i="1"/>
  <c r="J4422" i="1"/>
  <c r="I4422" i="1"/>
  <c r="G4422" i="1"/>
  <c r="F4422" i="1"/>
  <c r="E4422" i="1"/>
  <c r="D4422" i="1"/>
  <c r="C4422" i="1"/>
  <c r="B4422" i="1"/>
  <c r="A4422" i="1"/>
  <c r="S4421" i="1"/>
  <c r="O4421" i="1"/>
  <c r="K4421" i="1"/>
  <c r="J4421" i="1"/>
  <c r="I4421" i="1"/>
  <c r="H4421" i="1"/>
  <c r="G4421" i="1"/>
  <c r="F4421" i="1"/>
  <c r="E4421" i="1"/>
  <c r="D4421" i="1"/>
  <c r="C4421" i="1"/>
  <c r="B4421" i="1"/>
  <c r="A4421" i="1"/>
  <c r="R4420" i="1"/>
  <c r="J4420" i="1"/>
  <c r="I4420" i="1"/>
  <c r="G4420" i="1"/>
  <c r="F4420" i="1"/>
  <c r="E4420" i="1"/>
  <c r="D4420" i="1"/>
  <c r="C4420" i="1"/>
  <c r="B4420" i="1"/>
  <c r="A4420" i="1"/>
  <c r="S4419" i="1"/>
  <c r="O4419" i="1"/>
  <c r="K4419" i="1"/>
  <c r="J4419" i="1"/>
  <c r="I4419" i="1"/>
  <c r="H4419" i="1"/>
  <c r="G4419" i="1"/>
  <c r="F4419" i="1"/>
  <c r="E4419" i="1"/>
  <c r="D4419" i="1"/>
  <c r="C4419" i="1"/>
  <c r="B4419" i="1"/>
  <c r="A4419" i="1"/>
  <c r="R4418" i="1"/>
  <c r="J4418" i="1"/>
  <c r="I4418" i="1"/>
  <c r="G4418" i="1"/>
  <c r="F4418" i="1"/>
  <c r="E4418" i="1"/>
  <c r="D4418" i="1"/>
  <c r="C4418" i="1"/>
  <c r="B4418" i="1"/>
  <c r="A4418" i="1"/>
  <c r="S4417" i="1"/>
  <c r="O4417" i="1"/>
  <c r="K4417" i="1"/>
  <c r="J4417" i="1"/>
  <c r="I4417" i="1"/>
  <c r="H4417" i="1"/>
  <c r="G4417" i="1"/>
  <c r="F4417" i="1"/>
  <c r="E4417" i="1"/>
  <c r="D4417" i="1"/>
  <c r="C4417" i="1"/>
  <c r="B4417" i="1"/>
  <c r="A4417" i="1"/>
  <c r="R4416" i="1"/>
  <c r="J4416" i="1"/>
  <c r="I4416" i="1"/>
  <c r="G4416" i="1"/>
  <c r="F4416" i="1"/>
  <c r="E4416" i="1"/>
  <c r="D4416" i="1"/>
  <c r="C4416" i="1"/>
  <c r="B4416" i="1"/>
  <c r="A4416" i="1"/>
  <c r="S4415" i="1"/>
  <c r="O4415" i="1"/>
  <c r="K4415" i="1"/>
  <c r="J4415" i="1"/>
  <c r="I4415" i="1"/>
  <c r="H4415" i="1"/>
  <c r="G4415" i="1"/>
  <c r="F4415" i="1"/>
  <c r="E4415" i="1"/>
  <c r="D4415" i="1"/>
  <c r="C4415" i="1"/>
  <c r="B4415" i="1"/>
  <c r="A4415" i="1"/>
  <c r="R4414" i="1"/>
  <c r="J4414" i="1"/>
  <c r="I4414" i="1"/>
  <c r="G4414" i="1"/>
  <c r="F4414" i="1"/>
  <c r="E4414" i="1"/>
  <c r="D4414" i="1"/>
  <c r="C4414" i="1"/>
  <c r="B4414" i="1"/>
  <c r="A4414" i="1"/>
  <c r="S4413" i="1"/>
  <c r="O4413" i="1"/>
  <c r="K4413" i="1"/>
  <c r="J4413" i="1"/>
  <c r="I4413" i="1"/>
  <c r="H4413" i="1"/>
  <c r="G4413" i="1"/>
  <c r="F4413" i="1"/>
  <c r="E4413" i="1"/>
  <c r="D4413" i="1"/>
  <c r="C4413" i="1"/>
  <c r="B4413" i="1"/>
  <c r="A4413" i="1"/>
  <c r="R4412" i="1"/>
  <c r="J4412" i="1"/>
  <c r="I4412" i="1"/>
  <c r="G4412" i="1"/>
  <c r="F4412" i="1"/>
  <c r="E4412" i="1"/>
  <c r="D4412" i="1"/>
  <c r="C4412" i="1"/>
  <c r="B4412" i="1"/>
  <c r="A4412" i="1"/>
  <c r="S4411" i="1"/>
  <c r="O4411" i="1"/>
  <c r="K4411" i="1"/>
  <c r="J4411" i="1"/>
  <c r="I4411" i="1"/>
  <c r="H4411" i="1"/>
  <c r="G4411" i="1"/>
  <c r="F4411" i="1"/>
  <c r="E4411" i="1"/>
  <c r="D4411" i="1"/>
  <c r="C4411" i="1"/>
  <c r="B4411" i="1"/>
  <c r="A4411" i="1"/>
  <c r="R4410" i="1"/>
  <c r="J4410" i="1"/>
  <c r="I4410" i="1"/>
  <c r="G4410" i="1"/>
  <c r="F4410" i="1"/>
  <c r="E4410" i="1"/>
  <c r="D4410" i="1"/>
  <c r="C4410" i="1"/>
  <c r="B4410" i="1"/>
  <c r="A4410" i="1"/>
  <c r="S4409" i="1"/>
  <c r="O4409" i="1"/>
  <c r="K4409" i="1"/>
  <c r="J4409" i="1"/>
  <c r="I4409" i="1"/>
  <c r="H4409" i="1"/>
  <c r="G4409" i="1"/>
  <c r="F4409" i="1"/>
  <c r="E4409" i="1"/>
  <c r="D4409" i="1"/>
  <c r="C4409" i="1"/>
  <c r="B4409" i="1"/>
  <c r="A4409" i="1"/>
  <c r="R4408" i="1"/>
  <c r="J4408" i="1"/>
  <c r="I4408" i="1"/>
  <c r="G4408" i="1"/>
  <c r="F4408" i="1"/>
  <c r="E4408" i="1"/>
  <c r="D4408" i="1"/>
  <c r="C4408" i="1"/>
  <c r="B4408" i="1"/>
  <c r="A4408" i="1"/>
  <c r="S4407" i="1"/>
  <c r="O4407" i="1"/>
  <c r="K4407" i="1"/>
  <c r="J4407" i="1"/>
  <c r="I4407" i="1"/>
  <c r="H4407" i="1"/>
  <c r="G4407" i="1"/>
  <c r="F4407" i="1"/>
  <c r="E4407" i="1"/>
  <c r="D4407" i="1"/>
  <c r="C4407" i="1"/>
  <c r="B4407" i="1"/>
  <c r="A4407" i="1"/>
  <c r="R4406" i="1"/>
  <c r="J4406" i="1"/>
  <c r="I4406" i="1"/>
  <c r="G4406" i="1"/>
  <c r="F4406" i="1"/>
  <c r="E4406" i="1"/>
  <c r="D4406" i="1"/>
  <c r="C4406" i="1"/>
  <c r="B4406" i="1"/>
  <c r="A4406" i="1"/>
  <c r="S4405" i="1"/>
  <c r="O4405" i="1"/>
  <c r="K4405" i="1"/>
  <c r="J4405" i="1"/>
  <c r="I4405" i="1"/>
  <c r="H4405" i="1"/>
  <c r="G4405" i="1"/>
  <c r="F4405" i="1"/>
  <c r="E4405" i="1"/>
  <c r="D4405" i="1"/>
  <c r="C4405" i="1"/>
  <c r="B4405" i="1"/>
  <c r="A4405" i="1"/>
  <c r="R4404" i="1"/>
  <c r="J4404" i="1"/>
  <c r="I4404" i="1"/>
  <c r="G4404" i="1"/>
  <c r="F4404" i="1"/>
  <c r="E4404" i="1"/>
  <c r="D4404" i="1"/>
  <c r="C4404" i="1"/>
  <c r="B4404" i="1"/>
  <c r="A4404" i="1"/>
  <c r="S4403" i="1"/>
  <c r="O4403" i="1"/>
  <c r="K4403" i="1"/>
  <c r="J4403" i="1"/>
  <c r="I4403" i="1"/>
  <c r="H4403" i="1"/>
  <c r="G4403" i="1"/>
  <c r="F4403" i="1"/>
  <c r="E4403" i="1"/>
  <c r="D4403" i="1"/>
  <c r="C4403" i="1"/>
  <c r="B4403" i="1"/>
  <c r="A4403" i="1"/>
  <c r="R4402" i="1"/>
  <c r="J4402" i="1"/>
  <c r="I4402" i="1"/>
  <c r="G4402" i="1"/>
  <c r="F4402" i="1"/>
  <c r="E4402" i="1"/>
  <c r="D4402" i="1"/>
  <c r="C4402" i="1"/>
  <c r="B4402" i="1"/>
  <c r="A4402" i="1"/>
  <c r="S4401" i="1"/>
  <c r="O4401" i="1"/>
  <c r="K4401" i="1"/>
  <c r="J4401" i="1"/>
  <c r="I4401" i="1"/>
  <c r="H4401" i="1"/>
  <c r="G4401" i="1"/>
  <c r="F4401" i="1"/>
  <c r="E4401" i="1"/>
  <c r="D4401" i="1"/>
  <c r="C4401" i="1"/>
  <c r="B4401" i="1"/>
  <c r="A4401" i="1"/>
  <c r="R4400" i="1"/>
  <c r="J4400" i="1"/>
  <c r="I4400" i="1"/>
  <c r="G4400" i="1"/>
  <c r="F4400" i="1"/>
  <c r="E4400" i="1"/>
  <c r="D4400" i="1"/>
  <c r="C4400" i="1"/>
  <c r="B4400" i="1"/>
  <c r="A4400" i="1"/>
  <c r="S4399" i="1"/>
  <c r="O4399" i="1"/>
  <c r="K4399" i="1"/>
  <c r="J4399" i="1"/>
  <c r="I4399" i="1"/>
  <c r="H4399" i="1"/>
  <c r="G4399" i="1"/>
  <c r="F4399" i="1"/>
  <c r="E4399" i="1"/>
  <c r="D4399" i="1"/>
  <c r="C4399" i="1"/>
  <c r="B4399" i="1"/>
  <c r="A4399" i="1"/>
  <c r="R4398" i="1"/>
  <c r="J4398" i="1"/>
  <c r="I4398" i="1"/>
  <c r="G4398" i="1"/>
  <c r="F4398" i="1"/>
  <c r="E4398" i="1"/>
  <c r="D4398" i="1"/>
  <c r="C4398" i="1"/>
  <c r="B4398" i="1"/>
  <c r="A4398" i="1"/>
  <c r="S4397" i="1"/>
  <c r="O4397" i="1"/>
  <c r="K4397" i="1"/>
  <c r="J4397" i="1"/>
  <c r="I4397" i="1"/>
  <c r="H4397" i="1"/>
  <c r="G4397" i="1"/>
  <c r="F4397" i="1"/>
  <c r="E4397" i="1"/>
  <c r="D4397" i="1"/>
  <c r="C4397" i="1"/>
  <c r="B4397" i="1"/>
  <c r="A4397" i="1"/>
  <c r="R4396" i="1"/>
  <c r="J4396" i="1"/>
  <c r="I4396" i="1"/>
  <c r="G4396" i="1"/>
  <c r="F4396" i="1"/>
  <c r="E4396" i="1"/>
  <c r="D4396" i="1"/>
  <c r="C4396" i="1"/>
  <c r="B4396" i="1"/>
  <c r="A4396" i="1"/>
  <c r="S4395" i="1"/>
  <c r="O4395" i="1"/>
  <c r="K4395" i="1"/>
  <c r="J4395" i="1"/>
  <c r="I4395" i="1"/>
  <c r="H4395" i="1"/>
  <c r="G4395" i="1"/>
  <c r="F4395" i="1"/>
  <c r="E4395" i="1"/>
  <c r="D4395" i="1"/>
  <c r="C4395" i="1"/>
  <c r="B4395" i="1"/>
  <c r="A4395" i="1"/>
  <c r="R4394" i="1"/>
  <c r="J4394" i="1"/>
  <c r="I4394" i="1"/>
  <c r="G4394" i="1"/>
  <c r="F4394" i="1"/>
  <c r="E4394" i="1"/>
  <c r="D4394" i="1"/>
  <c r="C4394" i="1"/>
  <c r="B4394" i="1"/>
  <c r="A4394" i="1"/>
  <c r="S4393" i="1"/>
  <c r="O4393" i="1"/>
  <c r="K4393" i="1"/>
  <c r="J4393" i="1"/>
  <c r="I4393" i="1"/>
  <c r="H4393" i="1"/>
  <c r="G4393" i="1"/>
  <c r="F4393" i="1"/>
  <c r="E4393" i="1"/>
  <c r="D4393" i="1"/>
  <c r="C4393" i="1"/>
  <c r="B4393" i="1"/>
  <c r="A4393" i="1"/>
  <c r="R4392" i="1"/>
  <c r="J4392" i="1"/>
  <c r="I4392" i="1"/>
  <c r="G4392" i="1"/>
  <c r="F4392" i="1"/>
  <c r="E4392" i="1"/>
  <c r="D4392" i="1"/>
  <c r="C4392" i="1"/>
  <c r="B4392" i="1"/>
  <c r="A4392" i="1"/>
  <c r="S4391" i="1"/>
  <c r="O4391" i="1"/>
  <c r="K4391" i="1"/>
  <c r="J4391" i="1"/>
  <c r="I4391" i="1"/>
  <c r="H4391" i="1"/>
  <c r="G4391" i="1"/>
  <c r="F4391" i="1"/>
  <c r="E4391" i="1"/>
  <c r="D4391" i="1"/>
  <c r="C4391" i="1"/>
  <c r="B4391" i="1"/>
  <c r="A4391" i="1"/>
  <c r="R4390" i="1"/>
  <c r="J4390" i="1"/>
  <c r="I4390" i="1"/>
  <c r="G4390" i="1"/>
  <c r="F4390" i="1"/>
  <c r="E4390" i="1"/>
  <c r="D4390" i="1"/>
  <c r="C4390" i="1"/>
  <c r="B4390" i="1"/>
  <c r="A4390" i="1"/>
  <c r="S4389" i="1"/>
  <c r="O4389" i="1"/>
  <c r="K4389" i="1"/>
  <c r="J4389" i="1"/>
  <c r="I4389" i="1"/>
  <c r="H4389" i="1"/>
  <c r="G4389" i="1"/>
  <c r="F4389" i="1"/>
  <c r="E4389" i="1"/>
  <c r="D4389" i="1"/>
  <c r="C4389" i="1"/>
  <c r="B4389" i="1"/>
  <c r="A4389" i="1"/>
  <c r="R4388" i="1"/>
  <c r="J4388" i="1"/>
  <c r="I4388" i="1"/>
  <c r="G4388" i="1"/>
  <c r="F4388" i="1"/>
  <c r="E4388" i="1"/>
  <c r="D4388" i="1"/>
  <c r="C4388" i="1"/>
  <c r="B4388" i="1"/>
  <c r="A4388" i="1"/>
  <c r="S4387" i="1"/>
  <c r="O4387" i="1"/>
  <c r="K4387" i="1"/>
  <c r="J4387" i="1"/>
  <c r="I4387" i="1"/>
  <c r="H4387" i="1"/>
  <c r="G4387" i="1"/>
  <c r="F4387" i="1"/>
  <c r="E4387" i="1"/>
  <c r="D4387" i="1"/>
  <c r="C4387" i="1"/>
  <c r="B4387" i="1"/>
  <c r="A4387" i="1"/>
  <c r="R4386" i="1"/>
  <c r="J4386" i="1"/>
  <c r="I4386" i="1"/>
  <c r="G4386" i="1"/>
  <c r="F4386" i="1"/>
  <c r="E4386" i="1"/>
  <c r="D4386" i="1"/>
  <c r="C4386" i="1"/>
  <c r="B4386" i="1"/>
  <c r="A4386" i="1"/>
  <c r="S4385" i="1"/>
  <c r="O4385" i="1"/>
  <c r="K4385" i="1"/>
  <c r="J4385" i="1"/>
  <c r="I4385" i="1"/>
  <c r="H4385" i="1"/>
  <c r="G4385" i="1"/>
  <c r="F4385" i="1"/>
  <c r="E4385" i="1"/>
  <c r="D4385" i="1"/>
  <c r="C4385" i="1"/>
  <c r="B4385" i="1"/>
  <c r="A4385" i="1"/>
  <c r="R4384" i="1"/>
  <c r="J4384" i="1"/>
  <c r="I4384" i="1"/>
  <c r="G4384" i="1"/>
  <c r="F4384" i="1"/>
  <c r="E4384" i="1"/>
  <c r="D4384" i="1"/>
  <c r="C4384" i="1"/>
  <c r="B4384" i="1"/>
  <c r="A4384" i="1"/>
  <c r="S4383" i="1"/>
  <c r="O4383" i="1"/>
  <c r="K4383" i="1"/>
  <c r="J4383" i="1"/>
  <c r="I4383" i="1"/>
  <c r="H4383" i="1"/>
  <c r="G4383" i="1"/>
  <c r="F4383" i="1"/>
  <c r="E4383" i="1"/>
  <c r="D4383" i="1"/>
  <c r="C4383" i="1"/>
  <c r="B4383" i="1"/>
  <c r="A4383" i="1"/>
  <c r="R4382" i="1"/>
  <c r="J4382" i="1"/>
  <c r="I4382" i="1"/>
  <c r="G4382" i="1"/>
  <c r="F4382" i="1"/>
  <c r="E4382" i="1"/>
  <c r="D4382" i="1"/>
  <c r="C4382" i="1"/>
  <c r="B4382" i="1"/>
  <c r="A4382" i="1"/>
  <c r="S4381" i="1"/>
  <c r="O4381" i="1"/>
  <c r="K4381" i="1"/>
  <c r="J4381" i="1"/>
  <c r="I4381" i="1"/>
  <c r="H4381" i="1"/>
  <c r="G4381" i="1"/>
  <c r="F4381" i="1"/>
  <c r="E4381" i="1"/>
  <c r="D4381" i="1"/>
  <c r="C4381" i="1"/>
  <c r="B4381" i="1"/>
  <c r="A4381" i="1"/>
  <c r="R4380" i="1"/>
  <c r="J4380" i="1"/>
  <c r="I4380" i="1"/>
  <c r="G4380" i="1"/>
  <c r="F4380" i="1"/>
  <c r="E4380" i="1"/>
  <c r="D4380" i="1"/>
  <c r="C4380" i="1"/>
  <c r="B4380" i="1"/>
  <c r="A4380" i="1"/>
  <c r="S4379" i="1"/>
  <c r="O4379" i="1"/>
  <c r="K4379" i="1"/>
  <c r="J4379" i="1"/>
  <c r="I4379" i="1"/>
  <c r="H4379" i="1"/>
  <c r="G4379" i="1"/>
  <c r="F4379" i="1"/>
  <c r="E4379" i="1"/>
  <c r="D4379" i="1"/>
  <c r="C4379" i="1"/>
  <c r="B4379" i="1"/>
  <c r="A4379" i="1"/>
  <c r="R4378" i="1"/>
  <c r="J4378" i="1"/>
  <c r="I4378" i="1"/>
  <c r="G4378" i="1"/>
  <c r="F4378" i="1"/>
  <c r="E4378" i="1"/>
  <c r="D4378" i="1"/>
  <c r="C4378" i="1"/>
  <c r="B4378" i="1"/>
  <c r="A4378" i="1"/>
  <c r="S4377" i="1"/>
  <c r="O4377" i="1"/>
  <c r="K4377" i="1"/>
  <c r="J4377" i="1"/>
  <c r="I4377" i="1"/>
  <c r="H4377" i="1"/>
  <c r="G4377" i="1"/>
  <c r="F4377" i="1"/>
  <c r="E4377" i="1"/>
  <c r="D4377" i="1"/>
  <c r="C4377" i="1"/>
  <c r="B4377" i="1"/>
  <c r="A4377" i="1"/>
  <c r="R4376" i="1"/>
  <c r="J4376" i="1"/>
  <c r="I4376" i="1"/>
  <c r="G4376" i="1"/>
  <c r="F4376" i="1"/>
  <c r="E4376" i="1"/>
  <c r="D4376" i="1"/>
  <c r="C4376" i="1"/>
  <c r="B4376" i="1"/>
  <c r="A4376" i="1"/>
  <c r="S4375" i="1"/>
  <c r="O4375" i="1"/>
  <c r="K4375" i="1"/>
  <c r="J4375" i="1"/>
  <c r="I4375" i="1"/>
  <c r="H4375" i="1"/>
  <c r="G4375" i="1"/>
  <c r="F4375" i="1"/>
  <c r="E4375" i="1"/>
  <c r="D4375" i="1"/>
  <c r="C4375" i="1"/>
  <c r="B4375" i="1"/>
  <c r="A4375" i="1"/>
  <c r="R4374" i="1"/>
  <c r="J4374" i="1"/>
  <c r="I4374" i="1"/>
  <c r="G4374" i="1"/>
  <c r="F4374" i="1"/>
  <c r="E4374" i="1"/>
  <c r="D4374" i="1"/>
  <c r="C4374" i="1"/>
  <c r="B4374" i="1"/>
  <c r="A4374" i="1"/>
  <c r="S4373" i="1"/>
  <c r="O4373" i="1"/>
  <c r="K4373" i="1"/>
  <c r="J4373" i="1"/>
  <c r="I4373" i="1"/>
  <c r="H4373" i="1"/>
  <c r="G4373" i="1"/>
  <c r="F4373" i="1"/>
  <c r="E4373" i="1"/>
  <c r="D4373" i="1"/>
  <c r="C4373" i="1"/>
  <c r="B4373" i="1"/>
  <c r="A4373" i="1"/>
  <c r="R4372" i="1"/>
  <c r="J4372" i="1"/>
  <c r="I4372" i="1"/>
  <c r="G4372" i="1"/>
  <c r="F4372" i="1"/>
  <c r="E4372" i="1"/>
  <c r="D4372" i="1"/>
  <c r="C4372" i="1"/>
  <c r="B4372" i="1"/>
  <c r="A4372" i="1"/>
  <c r="S4371" i="1"/>
  <c r="O4371" i="1"/>
  <c r="K4371" i="1"/>
  <c r="J4371" i="1"/>
  <c r="I4371" i="1"/>
  <c r="H4371" i="1"/>
  <c r="G4371" i="1"/>
  <c r="F4371" i="1"/>
  <c r="E4371" i="1"/>
  <c r="D4371" i="1"/>
  <c r="C4371" i="1"/>
  <c r="B4371" i="1"/>
  <c r="A4371" i="1"/>
  <c r="R4370" i="1"/>
  <c r="J4370" i="1"/>
  <c r="I4370" i="1"/>
  <c r="G4370" i="1"/>
  <c r="F4370" i="1"/>
  <c r="E4370" i="1"/>
  <c r="D4370" i="1"/>
  <c r="C4370" i="1"/>
  <c r="B4370" i="1"/>
  <c r="A4370" i="1"/>
  <c r="S4369" i="1"/>
  <c r="O4369" i="1"/>
  <c r="K4369" i="1"/>
  <c r="J4369" i="1"/>
  <c r="I4369" i="1"/>
  <c r="H4369" i="1"/>
  <c r="G4369" i="1"/>
  <c r="F4369" i="1"/>
  <c r="E4369" i="1"/>
  <c r="D4369" i="1"/>
  <c r="C4369" i="1"/>
  <c r="B4369" i="1"/>
  <c r="A4369" i="1"/>
  <c r="R4368" i="1"/>
  <c r="J4368" i="1"/>
  <c r="I4368" i="1"/>
  <c r="G4368" i="1"/>
  <c r="F4368" i="1"/>
  <c r="E4368" i="1"/>
  <c r="D4368" i="1"/>
  <c r="C4368" i="1"/>
  <c r="B4368" i="1"/>
  <c r="A4368" i="1"/>
  <c r="S4367" i="1"/>
  <c r="O4367" i="1"/>
  <c r="K4367" i="1"/>
  <c r="J4367" i="1"/>
  <c r="I4367" i="1"/>
  <c r="H4367" i="1"/>
  <c r="G4367" i="1"/>
  <c r="F4367" i="1"/>
  <c r="E4367" i="1"/>
  <c r="D4367" i="1"/>
  <c r="C4367" i="1"/>
  <c r="B4367" i="1"/>
  <c r="A4367" i="1"/>
  <c r="R4366" i="1"/>
  <c r="J4366" i="1"/>
  <c r="I4366" i="1"/>
  <c r="G4366" i="1"/>
  <c r="F4366" i="1"/>
  <c r="E4366" i="1"/>
  <c r="D4366" i="1"/>
  <c r="C4366" i="1"/>
  <c r="B4366" i="1"/>
  <c r="A4366" i="1"/>
  <c r="S4365" i="1"/>
  <c r="O4365" i="1"/>
  <c r="K4365" i="1"/>
  <c r="J4365" i="1"/>
  <c r="I4365" i="1"/>
  <c r="H4365" i="1"/>
  <c r="G4365" i="1"/>
  <c r="F4365" i="1"/>
  <c r="E4365" i="1"/>
  <c r="D4365" i="1"/>
  <c r="C4365" i="1"/>
  <c r="B4365" i="1"/>
  <c r="A4365" i="1"/>
  <c r="R4364" i="1"/>
  <c r="J4364" i="1"/>
  <c r="I4364" i="1"/>
  <c r="G4364" i="1"/>
  <c r="F4364" i="1"/>
  <c r="E4364" i="1"/>
  <c r="D4364" i="1"/>
  <c r="C4364" i="1"/>
  <c r="B4364" i="1"/>
  <c r="A4364" i="1"/>
  <c r="S4363" i="1"/>
  <c r="O4363" i="1"/>
  <c r="K4363" i="1"/>
  <c r="J4363" i="1"/>
  <c r="I4363" i="1"/>
  <c r="H4363" i="1"/>
  <c r="G4363" i="1"/>
  <c r="F4363" i="1"/>
  <c r="E4363" i="1"/>
  <c r="D4363" i="1"/>
  <c r="C4363" i="1"/>
  <c r="B4363" i="1"/>
  <c r="A4363" i="1"/>
  <c r="R4362" i="1"/>
  <c r="J4362" i="1"/>
  <c r="I4362" i="1"/>
  <c r="G4362" i="1"/>
  <c r="F4362" i="1"/>
  <c r="E4362" i="1"/>
  <c r="D4362" i="1"/>
  <c r="C4362" i="1"/>
  <c r="B4362" i="1"/>
  <c r="A4362" i="1"/>
  <c r="S4361" i="1"/>
  <c r="O4361" i="1"/>
  <c r="K4361" i="1"/>
  <c r="J4361" i="1"/>
  <c r="I4361" i="1"/>
  <c r="H4361" i="1"/>
  <c r="G4361" i="1"/>
  <c r="F4361" i="1"/>
  <c r="E4361" i="1"/>
  <c r="D4361" i="1"/>
  <c r="C4361" i="1"/>
  <c r="B4361" i="1"/>
  <c r="A4361" i="1"/>
  <c r="R4360" i="1"/>
  <c r="J4360" i="1"/>
  <c r="I4360" i="1"/>
  <c r="G4360" i="1"/>
  <c r="F4360" i="1"/>
  <c r="E4360" i="1"/>
  <c r="D4360" i="1"/>
  <c r="C4360" i="1"/>
  <c r="B4360" i="1"/>
  <c r="A4360" i="1"/>
  <c r="S4359" i="1"/>
  <c r="O4359" i="1"/>
  <c r="K4359" i="1"/>
  <c r="J4359" i="1"/>
  <c r="I4359" i="1"/>
  <c r="H4359" i="1"/>
  <c r="G4359" i="1"/>
  <c r="F4359" i="1"/>
  <c r="E4359" i="1"/>
  <c r="D4359" i="1"/>
  <c r="C4359" i="1"/>
  <c r="B4359" i="1"/>
  <c r="A4359" i="1"/>
  <c r="R4358" i="1"/>
  <c r="J4358" i="1"/>
  <c r="I4358" i="1"/>
  <c r="G4358" i="1"/>
  <c r="F4358" i="1"/>
  <c r="E4358" i="1"/>
  <c r="D4358" i="1"/>
  <c r="C4358" i="1"/>
  <c r="B4358" i="1"/>
  <c r="A4358" i="1"/>
  <c r="S4357" i="1"/>
  <c r="O4357" i="1"/>
  <c r="K4357" i="1"/>
  <c r="J4357" i="1"/>
  <c r="I4357" i="1"/>
  <c r="H4357" i="1"/>
  <c r="G4357" i="1"/>
  <c r="F4357" i="1"/>
  <c r="E4357" i="1"/>
  <c r="D4357" i="1"/>
  <c r="C4357" i="1"/>
  <c r="B4357" i="1"/>
  <c r="A4357" i="1"/>
  <c r="R4356" i="1"/>
  <c r="J4356" i="1"/>
  <c r="I4356" i="1"/>
  <c r="G4356" i="1"/>
  <c r="F4356" i="1"/>
  <c r="E4356" i="1"/>
  <c r="D4356" i="1"/>
  <c r="C4356" i="1"/>
  <c r="B4356" i="1"/>
  <c r="A4356" i="1"/>
  <c r="S4355" i="1"/>
  <c r="O4355" i="1"/>
  <c r="K4355" i="1"/>
  <c r="J4355" i="1"/>
  <c r="I4355" i="1"/>
  <c r="H4355" i="1"/>
  <c r="G4355" i="1"/>
  <c r="F4355" i="1"/>
  <c r="E4355" i="1"/>
  <c r="D4355" i="1"/>
  <c r="C4355" i="1"/>
  <c r="B4355" i="1"/>
  <c r="A4355" i="1"/>
  <c r="R4354" i="1"/>
  <c r="J4354" i="1"/>
  <c r="I4354" i="1"/>
  <c r="G4354" i="1"/>
  <c r="F4354" i="1"/>
  <c r="E4354" i="1"/>
  <c r="D4354" i="1"/>
  <c r="C4354" i="1"/>
  <c r="B4354" i="1"/>
  <c r="A4354" i="1"/>
  <c r="S4353" i="1"/>
  <c r="O4353" i="1"/>
  <c r="K4353" i="1"/>
  <c r="J4353" i="1"/>
  <c r="I4353" i="1"/>
  <c r="H4353" i="1"/>
  <c r="G4353" i="1"/>
  <c r="F4353" i="1"/>
  <c r="E4353" i="1"/>
  <c r="D4353" i="1"/>
  <c r="C4353" i="1"/>
  <c r="B4353" i="1"/>
  <c r="A4353" i="1"/>
  <c r="R4352" i="1"/>
  <c r="J4352" i="1"/>
  <c r="I4352" i="1"/>
  <c r="G4352" i="1"/>
  <c r="F4352" i="1"/>
  <c r="E4352" i="1"/>
  <c r="D4352" i="1"/>
  <c r="C4352" i="1"/>
  <c r="B4352" i="1"/>
  <c r="A4352" i="1"/>
  <c r="S4351" i="1"/>
  <c r="O4351" i="1"/>
  <c r="K4351" i="1"/>
  <c r="J4351" i="1"/>
  <c r="I4351" i="1"/>
  <c r="H4351" i="1"/>
  <c r="G4351" i="1"/>
  <c r="F4351" i="1"/>
  <c r="E4351" i="1"/>
  <c r="D4351" i="1"/>
  <c r="C4351" i="1"/>
  <c r="B4351" i="1"/>
  <c r="A4351" i="1"/>
  <c r="R4350" i="1"/>
  <c r="J4350" i="1"/>
  <c r="I4350" i="1"/>
  <c r="G4350" i="1"/>
  <c r="F4350" i="1"/>
  <c r="E4350" i="1"/>
  <c r="D4350" i="1"/>
  <c r="C4350" i="1"/>
  <c r="B4350" i="1"/>
  <c r="A4350" i="1"/>
  <c r="S4349" i="1"/>
  <c r="O4349" i="1"/>
  <c r="K4349" i="1"/>
  <c r="J4349" i="1"/>
  <c r="I4349" i="1"/>
  <c r="H4349" i="1"/>
  <c r="G4349" i="1"/>
  <c r="F4349" i="1"/>
  <c r="E4349" i="1"/>
  <c r="D4349" i="1"/>
  <c r="C4349" i="1"/>
  <c r="B4349" i="1"/>
  <c r="A4349" i="1"/>
  <c r="R4348" i="1"/>
  <c r="J4348" i="1"/>
  <c r="I4348" i="1"/>
  <c r="G4348" i="1"/>
  <c r="F4348" i="1"/>
  <c r="E4348" i="1"/>
  <c r="D4348" i="1"/>
  <c r="C4348" i="1"/>
  <c r="B4348" i="1"/>
  <c r="A4348" i="1"/>
  <c r="S4347" i="1"/>
  <c r="O4347" i="1"/>
  <c r="K4347" i="1"/>
  <c r="J4347" i="1"/>
  <c r="I4347" i="1"/>
  <c r="H4347" i="1"/>
  <c r="G4347" i="1"/>
  <c r="F4347" i="1"/>
  <c r="E4347" i="1"/>
  <c r="D4347" i="1"/>
  <c r="C4347" i="1"/>
  <c r="B4347" i="1"/>
  <c r="A4347" i="1"/>
  <c r="R4346" i="1"/>
  <c r="J4346" i="1"/>
  <c r="I4346" i="1"/>
  <c r="G4346" i="1"/>
  <c r="F4346" i="1"/>
  <c r="E4346" i="1"/>
  <c r="D4346" i="1"/>
  <c r="C4346" i="1"/>
  <c r="B4346" i="1"/>
  <c r="A4346" i="1"/>
  <c r="S4345" i="1"/>
  <c r="O4345" i="1"/>
  <c r="K4345" i="1"/>
  <c r="J4345" i="1"/>
  <c r="I4345" i="1"/>
  <c r="H4345" i="1"/>
  <c r="G4345" i="1"/>
  <c r="F4345" i="1"/>
  <c r="E4345" i="1"/>
  <c r="D4345" i="1"/>
  <c r="C4345" i="1"/>
  <c r="B4345" i="1"/>
  <c r="A4345" i="1"/>
  <c r="R4344" i="1"/>
  <c r="J4344" i="1"/>
  <c r="I4344" i="1"/>
  <c r="G4344" i="1"/>
  <c r="F4344" i="1"/>
  <c r="E4344" i="1"/>
  <c r="D4344" i="1"/>
  <c r="C4344" i="1"/>
  <c r="B4344" i="1"/>
  <c r="A4344" i="1"/>
  <c r="S4343" i="1"/>
  <c r="O4343" i="1"/>
  <c r="K4343" i="1"/>
  <c r="J4343" i="1"/>
  <c r="I4343" i="1"/>
  <c r="H4343" i="1"/>
  <c r="G4343" i="1"/>
  <c r="F4343" i="1"/>
  <c r="E4343" i="1"/>
  <c r="D4343" i="1"/>
  <c r="C4343" i="1"/>
  <c r="B4343" i="1"/>
  <c r="A4343" i="1"/>
  <c r="R4342" i="1"/>
  <c r="J4342" i="1"/>
  <c r="I4342" i="1"/>
  <c r="G4342" i="1"/>
  <c r="F4342" i="1"/>
  <c r="E4342" i="1"/>
  <c r="D4342" i="1"/>
  <c r="C4342" i="1"/>
  <c r="B4342" i="1"/>
  <c r="A4342" i="1"/>
  <c r="S4341" i="1"/>
  <c r="O4341" i="1"/>
  <c r="K4341" i="1"/>
  <c r="J4341" i="1"/>
  <c r="I4341" i="1"/>
  <c r="H4341" i="1"/>
  <c r="G4341" i="1"/>
  <c r="F4341" i="1"/>
  <c r="E4341" i="1"/>
  <c r="D4341" i="1"/>
  <c r="C4341" i="1"/>
  <c r="B4341" i="1"/>
  <c r="A4341" i="1"/>
  <c r="R4340" i="1"/>
  <c r="J4340" i="1"/>
  <c r="I4340" i="1"/>
  <c r="G4340" i="1"/>
  <c r="F4340" i="1"/>
  <c r="E4340" i="1"/>
  <c r="D4340" i="1"/>
  <c r="C4340" i="1"/>
  <c r="B4340" i="1"/>
  <c r="A4340" i="1"/>
  <c r="S4339" i="1"/>
  <c r="O4339" i="1"/>
  <c r="K4339" i="1"/>
  <c r="J4339" i="1"/>
  <c r="I4339" i="1"/>
  <c r="H4339" i="1"/>
  <c r="G4339" i="1"/>
  <c r="F4339" i="1"/>
  <c r="E4339" i="1"/>
  <c r="D4339" i="1"/>
  <c r="C4339" i="1"/>
  <c r="B4339" i="1"/>
  <c r="A4339" i="1"/>
  <c r="R4338" i="1"/>
  <c r="J4338" i="1"/>
  <c r="I4338" i="1"/>
  <c r="G4338" i="1"/>
  <c r="F4338" i="1"/>
  <c r="E4338" i="1"/>
  <c r="D4338" i="1"/>
  <c r="C4338" i="1"/>
  <c r="B4338" i="1"/>
  <c r="A4338" i="1"/>
  <c r="S4337" i="1"/>
  <c r="O4337" i="1"/>
  <c r="K4337" i="1"/>
  <c r="J4337" i="1"/>
  <c r="I4337" i="1"/>
  <c r="H4337" i="1"/>
  <c r="G4337" i="1"/>
  <c r="F4337" i="1"/>
  <c r="E4337" i="1"/>
  <c r="D4337" i="1"/>
  <c r="C4337" i="1"/>
  <c r="B4337" i="1"/>
  <c r="A4337" i="1"/>
  <c r="R4336" i="1"/>
  <c r="J4336" i="1"/>
  <c r="I4336" i="1"/>
  <c r="G4336" i="1"/>
  <c r="F4336" i="1"/>
  <c r="E4336" i="1"/>
  <c r="D4336" i="1"/>
  <c r="C4336" i="1"/>
  <c r="B4336" i="1"/>
  <c r="A4336" i="1"/>
  <c r="S4335" i="1"/>
  <c r="O4335" i="1"/>
  <c r="K4335" i="1"/>
  <c r="J4335" i="1"/>
  <c r="I4335" i="1"/>
  <c r="H4335" i="1"/>
  <c r="G4335" i="1"/>
  <c r="F4335" i="1"/>
  <c r="E4335" i="1"/>
  <c r="D4335" i="1"/>
  <c r="C4335" i="1"/>
  <c r="B4335" i="1"/>
  <c r="A4335" i="1"/>
  <c r="R4334" i="1"/>
  <c r="J4334" i="1"/>
  <c r="I4334" i="1"/>
  <c r="G4334" i="1"/>
  <c r="F4334" i="1"/>
  <c r="E4334" i="1"/>
  <c r="D4334" i="1"/>
  <c r="C4334" i="1"/>
  <c r="B4334" i="1"/>
  <c r="A4334" i="1"/>
  <c r="S4333" i="1"/>
  <c r="O4333" i="1"/>
  <c r="K4333" i="1"/>
  <c r="J4333" i="1"/>
  <c r="I4333" i="1"/>
  <c r="H4333" i="1"/>
  <c r="G4333" i="1"/>
  <c r="F4333" i="1"/>
  <c r="E4333" i="1"/>
  <c r="D4333" i="1"/>
  <c r="C4333" i="1"/>
  <c r="B4333" i="1"/>
  <c r="A4333" i="1"/>
  <c r="R4332" i="1"/>
  <c r="J4332" i="1"/>
  <c r="I4332" i="1"/>
  <c r="G4332" i="1"/>
  <c r="F4332" i="1"/>
  <c r="E4332" i="1"/>
  <c r="D4332" i="1"/>
  <c r="C4332" i="1"/>
  <c r="B4332" i="1"/>
  <c r="A4332" i="1"/>
  <c r="S4331" i="1"/>
  <c r="O4331" i="1"/>
  <c r="K4331" i="1"/>
  <c r="J4331" i="1"/>
  <c r="I4331" i="1"/>
  <c r="H4331" i="1"/>
  <c r="G4331" i="1"/>
  <c r="F4331" i="1"/>
  <c r="E4331" i="1"/>
  <c r="D4331" i="1"/>
  <c r="C4331" i="1"/>
  <c r="B4331" i="1"/>
  <c r="A4331" i="1"/>
  <c r="R4330" i="1"/>
  <c r="J4330" i="1"/>
  <c r="I4330" i="1"/>
  <c r="G4330" i="1"/>
  <c r="F4330" i="1"/>
  <c r="E4330" i="1"/>
  <c r="D4330" i="1"/>
  <c r="C4330" i="1"/>
  <c r="B4330" i="1"/>
  <c r="A4330" i="1"/>
  <c r="S4329" i="1"/>
  <c r="O4329" i="1"/>
  <c r="K4329" i="1"/>
  <c r="J4329" i="1"/>
  <c r="I4329" i="1"/>
  <c r="H4329" i="1"/>
  <c r="G4329" i="1"/>
  <c r="F4329" i="1"/>
  <c r="E4329" i="1"/>
  <c r="D4329" i="1"/>
  <c r="C4329" i="1"/>
  <c r="B4329" i="1"/>
  <c r="A4329" i="1"/>
  <c r="R4328" i="1"/>
  <c r="J4328" i="1"/>
  <c r="I4328" i="1"/>
  <c r="G4328" i="1"/>
  <c r="F4328" i="1"/>
  <c r="E4328" i="1"/>
  <c r="D4328" i="1"/>
  <c r="C4328" i="1"/>
  <c r="B4328" i="1"/>
  <c r="A4328" i="1"/>
  <c r="S4327" i="1"/>
  <c r="O4327" i="1"/>
  <c r="K4327" i="1"/>
  <c r="J4327" i="1"/>
  <c r="I4327" i="1"/>
  <c r="H4327" i="1"/>
  <c r="G4327" i="1"/>
  <c r="F4327" i="1"/>
  <c r="E4327" i="1"/>
  <c r="D4327" i="1"/>
  <c r="C4327" i="1"/>
  <c r="B4327" i="1"/>
  <c r="A4327" i="1"/>
  <c r="R4326" i="1"/>
  <c r="J4326" i="1"/>
  <c r="I4326" i="1"/>
  <c r="G4326" i="1"/>
  <c r="F4326" i="1"/>
  <c r="E4326" i="1"/>
  <c r="D4326" i="1"/>
  <c r="C4326" i="1"/>
  <c r="B4326" i="1"/>
  <c r="A4326" i="1"/>
  <c r="S4325" i="1"/>
  <c r="O4325" i="1"/>
  <c r="K4325" i="1"/>
  <c r="J4325" i="1"/>
  <c r="I4325" i="1"/>
  <c r="H4325" i="1"/>
  <c r="G4325" i="1"/>
  <c r="F4325" i="1"/>
  <c r="E4325" i="1"/>
  <c r="D4325" i="1"/>
  <c r="C4325" i="1"/>
  <c r="B4325" i="1"/>
  <c r="A4325" i="1"/>
  <c r="R4324" i="1"/>
  <c r="J4324" i="1"/>
  <c r="I4324" i="1"/>
  <c r="G4324" i="1"/>
  <c r="F4324" i="1"/>
  <c r="E4324" i="1"/>
  <c r="D4324" i="1"/>
  <c r="C4324" i="1"/>
  <c r="B4324" i="1"/>
  <c r="A4324" i="1"/>
  <c r="S4323" i="1"/>
  <c r="O4323" i="1"/>
  <c r="K4323" i="1"/>
  <c r="J4323" i="1"/>
  <c r="I4323" i="1"/>
  <c r="H4323" i="1"/>
  <c r="G4323" i="1"/>
  <c r="F4323" i="1"/>
  <c r="E4323" i="1"/>
  <c r="D4323" i="1"/>
  <c r="C4323" i="1"/>
  <c r="B4323" i="1"/>
  <c r="A4323" i="1"/>
  <c r="R4322" i="1"/>
  <c r="J4322" i="1"/>
  <c r="I4322" i="1"/>
  <c r="G4322" i="1"/>
  <c r="F4322" i="1"/>
  <c r="E4322" i="1"/>
  <c r="D4322" i="1"/>
  <c r="C4322" i="1"/>
  <c r="B4322" i="1"/>
  <c r="A4322" i="1"/>
  <c r="S4321" i="1"/>
  <c r="O4321" i="1"/>
  <c r="K4321" i="1"/>
  <c r="J4321" i="1"/>
  <c r="I4321" i="1"/>
  <c r="H4321" i="1"/>
  <c r="G4321" i="1"/>
  <c r="F4321" i="1"/>
  <c r="E4321" i="1"/>
  <c r="D4321" i="1"/>
  <c r="C4321" i="1"/>
  <c r="B4321" i="1"/>
  <c r="A4321" i="1"/>
  <c r="R4320" i="1"/>
  <c r="J4320" i="1"/>
  <c r="I4320" i="1"/>
  <c r="G4320" i="1"/>
  <c r="F4320" i="1"/>
  <c r="E4320" i="1"/>
  <c r="D4320" i="1"/>
  <c r="C4320" i="1"/>
  <c r="B4320" i="1"/>
  <c r="A4320" i="1"/>
  <c r="S4319" i="1"/>
  <c r="O4319" i="1"/>
  <c r="K4319" i="1"/>
  <c r="J4319" i="1"/>
  <c r="I4319" i="1"/>
  <c r="H4319" i="1"/>
  <c r="G4319" i="1"/>
  <c r="F4319" i="1"/>
  <c r="E4319" i="1"/>
  <c r="D4319" i="1"/>
  <c r="C4319" i="1"/>
  <c r="B4319" i="1"/>
  <c r="A4319" i="1"/>
  <c r="R4318" i="1"/>
  <c r="J4318" i="1"/>
  <c r="I4318" i="1"/>
  <c r="G4318" i="1"/>
  <c r="F4318" i="1"/>
  <c r="E4318" i="1"/>
  <c r="D4318" i="1"/>
  <c r="C4318" i="1"/>
  <c r="B4318" i="1"/>
  <c r="A4318" i="1"/>
  <c r="S4317" i="1"/>
  <c r="O4317" i="1"/>
  <c r="K4317" i="1"/>
  <c r="J4317" i="1"/>
  <c r="I4317" i="1"/>
  <c r="H4317" i="1"/>
  <c r="G4317" i="1"/>
  <c r="F4317" i="1"/>
  <c r="E4317" i="1"/>
  <c r="D4317" i="1"/>
  <c r="C4317" i="1"/>
  <c r="B4317" i="1"/>
  <c r="A4317" i="1"/>
  <c r="R4316" i="1"/>
  <c r="J4316" i="1"/>
  <c r="I4316" i="1"/>
  <c r="G4316" i="1"/>
  <c r="F4316" i="1"/>
  <c r="E4316" i="1"/>
  <c r="D4316" i="1"/>
  <c r="C4316" i="1"/>
  <c r="B4316" i="1"/>
  <c r="A4316" i="1"/>
  <c r="S4315" i="1"/>
  <c r="O4315" i="1"/>
  <c r="K4315" i="1"/>
  <c r="J4315" i="1"/>
  <c r="I4315" i="1"/>
  <c r="H4315" i="1"/>
  <c r="G4315" i="1"/>
  <c r="F4315" i="1"/>
  <c r="E4315" i="1"/>
  <c r="D4315" i="1"/>
  <c r="C4315" i="1"/>
  <c r="B4315" i="1"/>
  <c r="A4315" i="1"/>
  <c r="R4314" i="1"/>
  <c r="J4314" i="1"/>
  <c r="I4314" i="1"/>
  <c r="G4314" i="1"/>
  <c r="F4314" i="1"/>
  <c r="E4314" i="1"/>
  <c r="D4314" i="1"/>
  <c r="C4314" i="1"/>
  <c r="B4314" i="1"/>
  <c r="A4314" i="1"/>
  <c r="S4313" i="1"/>
  <c r="O4313" i="1"/>
  <c r="K4313" i="1"/>
  <c r="J4313" i="1"/>
  <c r="I4313" i="1"/>
  <c r="H4313" i="1"/>
  <c r="G4313" i="1"/>
  <c r="F4313" i="1"/>
  <c r="E4313" i="1"/>
  <c r="D4313" i="1"/>
  <c r="C4313" i="1"/>
  <c r="B4313" i="1"/>
  <c r="A4313" i="1"/>
  <c r="R4312" i="1"/>
  <c r="J4312" i="1"/>
  <c r="I4312" i="1"/>
  <c r="G4312" i="1"/>
  <c r="F4312" i="1"/>
  <c r="E4312" i="1"/>
  <c r="D4312" i="1"/>
  <c r="C4312" i="1"/>
  <c r="B4312" i="1"/>
  <c r="A4312" i="1"/>
  <c r="S4311" i="1"/>
  <c r="O4311" i="1"/>
  <c r="K4311" i="1"/>
  <c r="J4311" i="1"/>
  <c r="I4311" i="1"/>
  <c r="H4311" i="1"/>
  <c r="G4311" i="1"/>
  <c r="F4311" i="1"/>
  <c r="E4311" i="1"/>
  <c r="D4311" i="1"/>
  <c r="C4311" i="1"/>
  <c r="B4311" i="1"/>
  <c r="A4311" i="1"/>
  <c r="R4310" i="1"/>
  <c r="J4310" i="1"/>
  <c r="I4310" i="1"/>
  <c r="G4310" i="1"/>
  <c r="F4310" i="1"/>
  <c r="E4310" i="1"/>
  <c r="D4310" i="1"/>
  <c r="C4310" i="1"/>
  <c r="B4310" i="1"/>
  <c r="A4310" i="1"/>
  <c r="S4309" i="1"/>
  <c r="O4309" i="1"/>
  <c r="K4309" i="1"/>
  <c r="J4309" i="1"/>
  <c r="I4309" i="1"/>
  <c r="H4309" i="1"/>
  <c r="G4309" i="1"/>
  <c r="F4309" i="1"/>
  <c r="E4309" i="1"/>
  <c r="D4309" i="1"/>
  <c r="C4309" i="1"/>
  <c r="B4309" i="1"/>
  <c r="A4309" i="1"/>
  <c r="R4308" i="1"/>
  <c r="J4308" i="1"/>
  <c r="I4308" i="1"/>
  <c r="G4308" i="1"/>
  <c r="F4308" i="1"/>
  <c r="E4308" i="1"/>
  <c r="D4308" i="1"/>
  <c r="C4308" i="1"/>
  <c r="B4308" i="1"/>
  <c r="A4308" i="1"/>
  <c r="S4307" i="1"/>
  <c r="O4307" i="1"/>
  <c r="K4307" i="1"/>
  <c r="J4307" i="1"/>
  <c r="I4307" i="1"/>
  <c r="H4307" i="1"/>
  <c r="G4307" i="1"/>
  <c r="F4307" i="1"/>
  <c r="E4307" i="1"/>
  <c r="D4307" i="1"/>
  <c r="C4307" i="1"/>
  <c r="B4307" i="1"/>
  <c r="A4307" i="1"/>
  <c r="R4306" i="1"/>
  <c r="J4306" i="1"/>
  <c r="I4306" i="1"/>
  <c r="G4306" i="1"/>
  <c r="F4306" i="1"/>
  <c r="E4306" i="1"/>
  <c r="D4306" i="1"/>
  <c r="C4306" i="1"/>
  <c r="B4306" i="1"/>
  <c r="A4306" i="1"/>
  <c r="S4305" i="1"/>
  <c r="O4305" i="1"/>
  <c r="K4305" i="1"/>
  <c r="J4305" i="1"/>
  <c r="I4305" i="1"/>
  <c r="H4305" i="1"/>
  <c r="G4305" i="1"/>
  <c r="F4305" i="1"/>
  <c r="E4305" i="1"/>
  <c r="D4305" i="1"/>
  <c r="C4305" i="1"/>
  <c r="B4305" i="1"/>
  <c r="A4305" i="1"/>
  <c r="R4304" i="1"/>
  <c r="J4304" i="1"/>
  <c r="I4304" i="1"/>
  <c r="G4304" i="1"/>
  <c r="F4304" i="1"/>
  <c r="E4304" i="1"/>
  <c r="D4304" i="1"/>
  <c r="C4304" i="1"/>
  <c r="B4304" i="1"/>
  <c r="A4304" i="1"/>
  <c r="S4303" i="1"/>
  <c r="O4303" i="1"/>
  <c r="K4303" i="1"/>
  <c r="J4303" i="1"/>
  <c r="I4303" i="1"/>
  <c r="H4303" i="1"/>
  <c r="G4303" i="1"/>
  <c r="F4303" i="1"/>
  <c r="E4303" i="1"/>
  <c r="D4303" i="1"/>
  <c r="C4303" i="1"/>
  <c r="B4303" i="1"/>
  <c r="A4303" i="1"/>
  <c r="R4302" i="1"/>
  <c r="J4302" i="1"/>
  <c r="I4302" i="1"/>
  <c r="G4302" i="1"/>
  <c r="F4302" i="1"/>
  <c r="E4302" i="1"/>
  <c r="D4302" i="1"/>
  <c r="C4302" i="1"/>
  <c r="B4302" i="1"/>
  <c r="A4302" i="1"/>
  <c r="S4301" i="1"/>
  <c r="O4301" i="1"/>
  <c r="K4301" i="1"/>
  <c r="J4301" i="1"/>
  <c r="I4301" i="1"/>
  <c r="H4301" i="1"/>
  <c r="G4301" i="1"/>
  <c r="F4301" i="1"/>
  <c r="E4301" i="1"/>
  <c r="D4301" i="1"/>
  <c r="C4301" i="1"/>
  <c r="B4301" i="1"/>
  <c r="A4301" i="1"/>
  <c r="R4300" i="1"/>
  <c r="J4300" i="1"/>
  <c r="I4300" i="1"/>
  <c r="G4300" i="1"/>
  <c r="F4300" i="1"/>
  <c r="E4300" i="1"/>
  <c r="D4300" i="1"/>
  <c r="C4300" i="1"/>
  <c r="B4300" i="1"/>
  <c r="A4300" i="1"/>
  <c r="S4299" i="1"/>
  <c r="O4299" i="1"/>
  <c r="K4299" i="1"/>
  <c r="J4299" i="1"/>
  <c r="I4299" i="1"/>
  <c r="H4299" i="1"/>
  <c r="G4299" i="1"/>
  <c r="F4299" i="1"/>
  <c r="E4299" i="1"/>
  <c r="D4299" i="1"/>
  <c r="C4299" i="1"/>
  <c r="B4299" i="1"/>
  <c r="A4299" i="1"/>
  <c r="R4298" i="1"/>
  <c r="J4298" i="1"/>
  <c r="I4298" i="1"/>
  <c r="G4298" i="1"/>
  <c r="F4298" i="1"/>
  <c r="E4298" i="1"/>
  <c r="D4298" i="1"/>
  <c r="C4298" i="1"/>
  <c r="B4298" i="1"/>
  <c r="A4298" i="1"/>
  <c r="S4297" i="1"/>
  <c r="O4297" i="1"/>
  <c r="K4297" i="1"/>
  <c r="J4297" i="1"/>
  <c r="I4297" i="1"/>
  <c r="H4297" i="1"/>
  <c r="G4297" i="1"/>
  <c r="F4297" i="1"/>
  <c r="E4297" i="1"/>
  <c r="D4297" i="1"/>
  <c r="C4297" i="1"/>
  <c r="B4297" i="1"/>
  <c r="A4297" i="1"/>
  <c r="R4296" i="1"/>
  <c r="J4296" i="1"/>
  <c r="I4296" i="1"/>
  <c r="G4296" i="1"/>
  <c r="F4296" i="1"/>
  <c r="E4296" i="1"/>
  <c r="D4296" i="1"/>
  <c r="C4296" i="1"/>
  <c r="B4296" i="1"/>
  <c r="A4296" i="1"/>
  <c r="S4295" i="1"/>
  <c r="O4295" i="1"/>
  <c r="K4295" i="1"/>
  <c r="J4295" i="1"/>
  <c r="I4295" i="1"/>
  <c r="H4295" i="1"/>
  <c r="G4295" i="1"/>
  <c r="F4295" i="1"/>
  <c r="E4295" i="1"/>
  <c r="D4295" i="1"/>
  <c r="C4295" i="1"/>
  <c r="B4295" i="1"/>
  <c r="A4295" i="1"/>
  <c r="R4294" i="1"/>
  <c r="J4294" i="1"/>
  <c r="I4294" i="1"/>
  <c r="G4294" i="1"/>
  <c r="F4294" i="1"/>
  <c r="E4294" i="1"/>
  <c r="D4294" i="1"/>
  <c r="C4294" i="1"/>
  <c r="B4294" i="1"/>
  <c r="A4294" i="1"/>
  <c r="S4293" i="1"/>
  <c r="O4293" i="1"/>
  <c r="K4293" i="1"/>
  <c r="J4293" i="1"/>
  <c r="I4293" i="1"/>
  <c r="H4293" i="1"/>
  <c r="G4293" i="1"/>
  <c r="F4293" i="1"/>
  <c r="E4293" i="1"/>
  <c r="D4293" i="1"/>
  <c r="C4293" i="1"/>
  <c r="B4293" i="1"/>
  <c r="A4293" i="1"/>
  <c r="R4292" i="1"/>
  <c r="J4292" i="1"/>
  <c r="I4292" i="1"/>
  <c r="G4292" i="1"/>
  <c r="F4292" i="1"/>
  <c r="E4292" i="1"/>
  <c r="D4292" i="1"/>
  <c r="C4292" i="1"/>
  <c r="B4292" i="1"/>
  <c r="A4292" i="1"/>
  <c r="S4291" i="1"/>
  <c r="O4291" i="1"/>
  <c r="K4291" i="1"/>
  <c r="J4291" i="1"/>
  <c r="I4291" i="1"/>
  <c r="H4291" i="1"/>
  <c r="G4291" i="1"/>
  <c r="F4291" i="1"/>
  <c r="E4291" i="1"/>
  <c r="D4291" i="1"/>
  <c r="C4291" i="1"/>
  <c r="B4291" i="1"/>
  <c r="A4291" i="1"/>
  <c r="R4290" i="1"/>
  <c r="J4290" i="1"/>
  <c r="I4290" i="1"/>
  <c r="G4290" i="1"/>
  <c r="F4290" i="1"/>
  <c r="E4290" i="1"/>
  <c r="D4290" i="1"/>
  <c r="C4290" i="1"/>
  <c r="B4290" i="1"/>
  <c r="A4290" i="1"/>
  <c r="S4289" i="1"/>
  <c r="O4289" i="1"/>
  <c r="K4289" i="1"/>
  <c r="J4289" i="1"/>
  <c r="I4289" i="1"/>
  <c r="H4289" i="1"/>
  <c r="G4289" i="1"/>
  <c r="F4289" i="1"/>
  <c r="E4289" i="1"/>
  <c r="D4289" i="1"/>
  <c r="C4289" i="1"/>
  <c r="B4289" i="1"/>
  <c r="A4289" i="1"/>
  <c r="R4288" i="1"/>
  <c r="J4288" i="1"/>
  <c r="I4288" i="1"/>
  <c r="G4288" i="1"/>
  <c r="F4288" i="1"/>
  <c r="E4288" i="1"/>
  <c r="D4288" i="1"/>
  <c r="C4288" i="1"/>
  <c r="B4288" i="1"/>
  <c r="A4288" i="1"/>
  <c r="S4287" i="1"/>
  <c r="O4287" i="1"/>
  <c r="K4287" i="1"/>
  <c r="J4287" i="1"/>
  <c r="I4287" i="1"/>
  <c r="H4287" i="1"/>
  <c r="G4287" i="1"/>
  <c r="F4287" i="1"/>
  <c r="E4287" i="1"/>
  <c r="D4287" i="1"/>
  <c r="C4287" i="1"/>
  <c r="B4287" i="1"/>
  <c r="A4287" i="1"/>
  <c r="R4286" i="1"/>
  <c r="J4286" i="1"/>
  <c r="I4286" i="1"/>
  <c r="G4286" i="1"/>
  <c r="F4286" i="1"/>
  <c r="E4286" i="1"/>
  <c r="D4286" i="1"/>
  <c r="C4286" i="1"/>
  <c r="B4286" i="1"/>
  <c r="A4286" i="1"/>
  <c r="S4285" i="1"/>
  <c r="O4285" i="1"/>
  <c r="K4285" i="1"/>
  <c r="J4285" i="1"/>
  <c r="I4285" i="1"/>
  <c r="H4285" i="1"/>
  <c r="G4285" i="1"/>
  <c r="F4285" i="1"/>
  <c r="E4285" i="1"/>
  <c r="D4285" i="1"/>
  <c r="C4285" i="1"/>
  <c r="B4285" i="1"/>
  <c r="A4285" i="1"/>
  <c r="R4284" i="1"/>
  <c r="J4284" i="1"/>
  <c r="I4284" i="1"/>
  <c r="G4284" i="1"/>
  <c r="F4284" i="1"/>
  <c r="E4284" i="1"/>
  <c r="D4284" i="1"/>
  <c r="C4284" i="1"/>
  <c r="B4284" i="1"/>
  <c r="A4284" i="1"/>
  <c r="S4283" i="1"/>
  <c r="O4283" i="1"/>
  <c r="K4283" i="1"/>
  <c r="J4283" i="1"/>
  <c r="I4283" i="1"/>
  <c r="H4283" i="1"/>
  <c r="G4283" i="1"/>
  <c r="F4283" i="1"/>
  <c r="E4283" i="1"/>
  <c r="D4283" i="1"/>
  <c r="C4283" i="1"/>
  <c r="B4283" i="1"/>
  <c r="A4283" i="1"/>
  <c r="R4282" i="1"/>
  <c r="J4282" i="1"/>
  <c r="I4282" i="1"/>
  <c r="G4282" i="1"/>
  <c r="F4282" i="1"/>
  <c r="E4282" i="1"/>
  <c r="D4282" i="1"/>
  <c r="C4282" i="1"/>
  <c r="B4282" i="1"/>
  <c r="A4282" i="1"/>
  <c r="S4281" i="1"/>
  <c r="O4281" i="1"/>
  <c r="K4281" i="1"/>
  <c r="J4281" i="1"/>
  <c r="I4281" i="1"/>
  <c r="H4281" i="1"/>
  <c r="G4281" i="1"/>
  <c r="F4281" i="1"/>
  <c r="E4281" i="1"/>
  <c r="D4281" i="1"/>
  <c r="C4281" i="1"/>
  <c r="B4281" i="1"/>
  <c r="A4281" i="1"/>
  <c r="R4280" i="1"/>
  <c r="J4280" i="1"/>
  <c r="I4280" i="1"/>
  <c r="G4280" i="1"/>
  <c r="F4280" i="1"/>
  <c r="E4280" i="1"/>
  <c r="D4280" i="1"/>
  <c r="C4280" i="1"/>
  <c r="B4280" i="1"/>
  <c r="A4280" i="1"/>
  <c r="S4279" i="1"/>
  <c r="O4279" i="1"/>
  <c r="K4279" i="1"/>
  <c r="J4279" i="1"/>
  <c r="I4279" i="1"/>
  <c r="H4279" i="1"/>
  <c r="G4279" i="1"/>
  <c r="F4279" i="1"/>
  <c r="E4279" i="1"/>
  <c r="D4279" i="1"/>
  <c r="C4279" i="1"/>
  <c r="B4279" i="1"/>
  <c r="A4279" i="1"/>
  <c r="R4278" i="1"/>
  <c r="J4278" i="1"/>
  <c r="I4278" i="1"/>
  <c r="G4278" i="1"/>
  <c r="F4278" i="1"/>
  <c r="E4278" i="1"/>
  <c r="D4278" i="1"/>
  <c r="C4278" i="1"/>
  <c r="B4278" i="1"/>
  <c r="A4278" i="1"/>
  <c r="S4277" i="1"/>
  <c r="O4277" i="1"/>
  <c r="K4277" i="1"/>
  <c r="J4277" i="1"/>
  <c r="I4277" i="1"/>
  <c r="H4277" i="1"/>
  <c r="G4277" i="1"/>
  <c r="F4277" i="1"/>
  <c r="E4277" i="1"/>
  <c r="D4277" i="1"/>
  <c r="C4277" i="1"/>
  <c r="B4277" i="1"/>
  <c r="A4277" i="1"/>
  <c r="R4276" i="1"/>
  <c r="J4276" i="1"/>
  <c r="I4276" i="1"/>
  <c r="G4276" i="1"/>
  <c r="F4276" i="1"/>
  <c r="E4276" i="1"/>
  <c r="D4276" i="1"/>
  <c r="C4276" i="1"/>
  <c r="B4276" i="1"/>
  <c r="A4276" i="1"/>
  <c r="S4275" i="1"/>
  <c r="O4275" i="1"/>
  <c r="K4275" i="1"/>
  <c r="J4275" i="1"/>
  <c r="I4275" i="1"/>
  <c r="H4275" i="1"/>
  <c r="G4275" i="1"/>
  <c r="F4275" i="1"/>
  <c r="E4275" i="1"/>
  <c r="D4275" i="1"/>
  <c r="C4275" i="1"/>
  <c r="B4275" i="1"/>
  <c r="A4275" i="1"/>
  <c r="R4274" i="1"/>
  <c r="J4274" i="1"/>
  <c r="I4274" i="1"/>
  <c r="G4274" i="1"/>
  <c r="F4274" i="1"/>
  <c r="E4274" i="1"/>
  <c r="D4274" i="1"/>
  <c r="C4274" i="1"/>
  <c r="B4274" i="1"/>
  <c r="A4274" i="1"/>
  <c r="S4273" i="1"/>
  <c r="O4273" i="1"/>
  <c r="K4273" i="1"/>
  <c r="J4273" i="1"/>
  <c r="I4273" i="1"/>
  <c r="H4273" i="1"/>
  <c r="G4273" i="1"/>
  <c r="F4273" i="1"/>
  <c r="E4273" i="1"/>
  <c r="D4273" i="1"/>
  <c r="C4273" i="1"/>
  <c r="B4273" i="1"/>
  <c r="A4273" i="1"/>
  <c r="R4272" i="1"/>
  <c r="J4272" i="1"/>
  <c r="I4272" i="1"/>
  <c r="G4272" i="1"/>
  <c r="F4272" i="1"/>
  <c r="E4272" i="1"/>
  <c r="D4272" i="1"/>
  <c r="C4272" i="1"/>
  <c r="B4272" i="1"/>
  <c r="A4272" i="1"/>
  <c r="S4271" i="1"/>
  <c r="O4271" i="1"/>
  <c r="K4271" i="1"/>
  <c r="J4271" i="1"/>
  <c r="I4271" i="1"/>
  <c r="H4271" i="1"/>
  <c r="G4271" i="1"/>
  <c r="F4271" i="1"/>
  <c r="E4271" i="1"/>
  <c r="D4271" i="1"/>
  <c r="C4271" i="1"/>
  <c r="B4271" i="1"/>
  <c r="A4271" i="1"/>
  <c r="R4270" i="1"/>
  <c r="J4270" i="1"/>
  <c r="I4270" i="1"/>
  <c r="G4270" i="1"/>
  <c r="F4270" i="1"/>
  <c r="E4270" i="1"/>
  <c r="D4270" i="1"/>
  <c r="C4270" i="1"/>
  <c r="B4270" i="1"/>
  <c r="A4270" i="1"/>
  <c r="S4269" i="1"/>
  <c r="O4269" i="1"/>
  <c r="K4269" i="1"/>
  <c r="J4269" i="1"/>
  <c r="I4269" i="1"/>
  <c r="H4269" i="1"/>
  <c r="G4269" i="1"/>
  <c r="F4269" i="1"/>
  <c r="E4269" i="1"/>
  <c r="D4269" i="1"/>
  <c r="C4269" i="1"/>
  <c r="B4269" i="1"/>
  <c r="A4269" i="1"/>
  <c r="R4268" i="1"/>
  <c r="J4268" i="1"/>
  <c r="I4268" i="1"/>
  <c r="G4268" i="1"/>
  <c r="F4268" i="1"/>
  <c r="E4268" i="1"/>
  <c r="D4268" i="1"/>
  <c r="C4268" i="1"/>
  <c r="B4268" i="1"/>
  <c r="A4268" i="1"/>
  <c r="S4267" i="1"/>
  <c r="O4267" i="1"/>
  <c r="K4267" i="1"/>
  <c r="J4267" i="1"/>
  <c r="I4267" i="1"/>
  <c r="H4267" i="1"/>
  <c r="G4267" i="1"/>
  <c r="F4267" i="1"/>
  <c r="E4267" i="1"/>
  <c r="D4267" i="1"/>
  <c r="C4267" i="1"/>
  <c r="B4267" i="1"/>
  <c r="A4267" i="1"/>
  <c r="R4266" i="1"/>
  <c r="J4266" i="1"/>
  <c r="I4266" i="1"/>
  <c r="G4266" i="1"/>
  <c r="F4266" i="1"/>
  <c r="E4266" i="1"/>
  <c r="D4266" i="1"/>
  <c r="C4266" i="1"/>
  <c r="B4266" i="1"/>
  <c r="A4266" i="1"/>
  <c r="S4265" i="1"/>
  <c r="O4265" i="1"/>
  <c r="K4265" i="1"/>
  <c r="J4265" i="1"/>
  <c r="I4265" i="1"/>
  <c r="H4265" i="1"/>
  <c r="G4265" i="1"/>
  <c r="F4265" i="1"/>
  <c r="E4265" i="1"/>
  <c r="D4265" i="1"/>
  <c r="C4265" i="1"/>
  <c r="B4265" i="1"/>
  <c r="A4265" i="1"/>
  <c r="R4264" i="1"/>
  <c r="J4264" i="1"/>
  <c r="I4264" i="1"/>
  <c r="G4264" i="1"/>
  <c r="F4264" i="1"/>
  <c r="E4264" i="1"/>
  <c r="D4264" i="1"/>
  <c r="C4264" i="1"/>
  <c r="B4264" i="1"/>
  <c r="A4264" i="1"/>
  <c r="S4263" i="1"/>
  <c r="O4263" i="1"/>
  <c r="K4263" i="1"/>
  <c r="J4263" i="1"/>
  <c r="I4263" i="1"/>
  <c r="H4263" i="1"/>
  <c r="G4263" i="1"/>
  <c r="F4263" i="1"/>
  <c r="E4263" i="1"/>
  <c r="D4263" i="1"/>
  <c r="C4263" i="1"/>
  <c r="B4263" i="1"/>
  <c r="A4263" i="1"/>
  <c r="R4262" i="1"/>
  <c r="J4262" i="1"/>
  <c r="I4262" i="1"/>
  <c r="G4262" i="1"/>
  <c r="F4262" i="1"/>
  <c r="E4262" i="1"/>
  <c r="D4262" i="1"/>
  <c r="C4262" i="1"/>
  <c r="B4262" i="1"/>
  <c r="A4262" i="1"/>
  <c r="S4261" i="1"/>
  <c r="O4261" i="1"/>
  <c r="K4261" i="1"/>
  <c r="J4261" i="1"/>
  <c r="I4261" i="1"/>
  <c r="H4261" i="1"/>
  <c r="G4261" i="1"/>
  <c r="F4261" i="1"/>
  <c r="E4261" i="1"/>
  <c r="D4261" i="1"/>
  <c r="C4261" i="1"/>
  <c r="B4261" i="1"/>
  <c r="A4261" i="1"/>
  <c r="R4260" i="1"/>
  <c r="J4260" i="1"/>
  <c r="I4260" i="1"/>
  <c r="G4260" i="1"/>
  <c r="F4260" i="1"/>
  <c r="E4260" i="1"/>
  <c r="D4260" i="1"/>
  <c r="C4260" i="1"/>
  <c r="B4260" i="1"/>
  <c r="A4260" i="1"/>
  <c r="S4259" i="1"/>
  <c r="O4259" i="1"/>
  <c r="K4259" i="1"/>
  <c r="J4259" i="1"/>
  <c r="I4259" i="1"/>
  <c r="H4259" i="1"/>
  <c r="G4259" i="1"/>
  <c r="F4259" i="1"/>
  <c r="E4259" i="1"/>
  <c r="D4259" i="1"/>
  <c r="C4259" i="1"/>
  <c r="B4259" i="1"/>
  <c r="A4259" i="1"/>
  <c r="R4258" i="1"/>
  <c r="J4258" i="1"/>
  <c r="I4258" i="1"/>
  <c r="G4258" i="1"/>
  <c r="F4258" i="1"/>
  <c r="E4258" i="1"/>
  <c r="D4258" i="1"/>
  <c r="C4258" i="1"/>
  <c r="B4258" i="1"/>
  <c r="A4258" i="1"/>
  <c r="S4257" i="1"/>
  <c r="O4257" i="1"/>
  <c r="K4257" i="1"/>
  <c r="J4257" i="1"/>
  <c r="I4257" i="1"/>
  <c r="H4257" i="1"/>
  <c r="G4257" i="1"/>
  <c r="F4257" i="1"/>
  <c r="E4257" i="1"/>
  <c r="D4257" i="1"/>
  <c r="C4257" i="1"/>
  <c r="B4257" i="1"/>
  <c r="A4257" i="1"/>
  <c r="R4256" i="1"/>
  <c r="J4256" i="1"/>
  <c r="I4256" i="1"/>
  <c r="G4256" i="1"/>
  <c r="F4256" i="1"/>
  <c r="E4256" i="1"/>
  <c r="D4256" i="1"/>
  <c r="C4256" i="1"/>
  <c r="B4256" i="1"/>
  <c r="A4256" i="1"/>
  <c r="S4255" i="1"/>
  <c r="O4255" i="1"/>
  <c r="K4255" i="1"/>
  <c r="J4255" i="1"/>
  <c r="I4255" i="1"/>
  <c r="H4255" i="1"/>
  <c r="G4255" i="1"/>
  <c r="F4255" i="1"/>
  <c r="E4255" i="1"/>
  <c r="D4255" i="1"/>
  <c r="C4255" i="1"/>
  <c r="B4255" i="1"/>
  <c r="A4255" i="1"/>
  <c r="R4254" i="1"/>
  <c r="J4254" i="1"/>
  <c r="I4254" i="1"/>
  <c r="G4254" i="1"/>
  <c r="F4254" i="1"/>
  <c r="E4254" i="1"/>
  <c r="D4254" i="1"/>
  <c r="C4254" i="1"/>
  <c r="B4254" i="1"/>
  <c r="A4254" i="1"/>
  <c r="S4253" i="1"/>
  <c r="O4253" i="1"/>
  <c r="K4253" i="1"/>
  <c r="J4253" i="1"/>
  <c r="I4253" i="1"/>
  <c r="H4253" i="1"/>
  <c r="G4253" i="1"/>
  <c r="F4253" i="1"/>
  <c r="E4253" i="1"/>
  <c r="D4253" i="1"/>
  <c r="C4253" i="1"/>
  <c r="B4253" i="1"/>
  <c r="A4253" i="1"/>
  <c r="R4252" i="1"/>
  <c r="J4252" i="1"/>
  <c r="I4252" i="1"/>
  <c r="G4252" i="1"/>
  <c r="F4252" i="1"/>
  <c r="E4252" i="1"/>
  <c r="D4252" i="1"/>
  <c r="C4252" i="1"/>
  <c r="B4252" i="1"/>
  <c r="A4252" i="1"/>
  <c r="S4251" i="1"/>
  <c r="O4251" i="1"/>
  <c r="K4251" i="1"/>
  <c r="J4251" i="1"/>
  <c r="I4251" i="1"/>
  <c r="H4251" i="1"/>
  <c r="G4251" i="1"/>
  <c r="F4251" i="1"/>
  <c r="E4251" i="1"/>
  <c r="D4251" i="1"/>
  <c r="C4251" i="1"/>
  <c r="B4251" i="1"/>
  <c r="A4251" i="1"/>
  <c r="R4250" i="1"/>
  <c r="J4250" i="1"/>
  <c r="I4250" i="1"/>
  <c r="G4250" i="1"/>
  <c r="F4250" i="1"/>
  <c r="E4250" i="1"/>
  <c r="D4250" i="1"/>
  <c r="C4250" i="1"/>
  <c r="B4250" i="1"/>
  <c r="A4250" i="1"/>
  <c r="S4249" i="1"/>
  <c r="O4249" i="1"/>
  <c r="K4249" i="1"/>
  <c r="J4249" i="1"/>
  <c r="I4249" i="1"/>
  <c r="H4249" i="1"/>
  <c r="G4249" i="1"/>
  <c r="F4249" i="1"/>
  <c r="E4249" i="1"/>
  <c r="D4249" i="1"/>
  <c r="C4249" i="1"/>
  <c r="B4249" i="1"/>
  <c r="A4249" i="1"/>
  <c r="R4248" i="1"/>
  <c r="J4248" i="1"/>
  <c r="I4248" i="1"/>
  <c r="G4248" i="1"/>
  <c r="F4248" i="1"/>
  <c r="E4248" i="1"/>
  <c r="D4248" i="1"/>
  <c r="C4248" i="1"/>
  <c r="B4248" i="1"/>
  <c r="A4248" i="1"/>
  <c r="S4247" i="1"/>
  <c r="O4247" i="1"/>
  <c r="K4247" i="1"/>
  <c r="J4247" i="1"/>
  <c r="I4247" i="1"/>
  <c r="H4247" i="1"/>
  <c r="G4247" i="1"/>
  <c r="F4247" i="1"/>
  <c r="E4247" i="1"/>
  <c r="D4247" i="1"/>
  <c r="C4247" i="1"/>
  <c r="B4247" i="1"/>
  <c r="A4247" i="1"/>
  <c r="R4246" i="1"/>
  <c r="J4246" i="1"/>
  <c r="I4246" i="1"/>
  <c r="G4246" i="1"/>
  <c r="F4246" i="1"/>
  <c r="E4246" i="1"/>
  <c r="D4246" i="1"/>
  <c r="C4246" i="1"/>
  <c r="B4246" i="1"/>
  <c r="A4246" i="1"/>
  <c r="S4245" i="1"/>
  <c r="O4245" i="1"/>
  <c r="K4245" i="1"/>
  <c r="J4245" i="1"/>
  <c r="I4245" i="1"/>
  <c r="H4245" i="1"/>
  <c r="G4245" i="1"/>
  <c r="F4245" i="1"/>
  <c r="E4245" i="1"/>
  <c r="D4245" i="1"/>
  <c r="C4245" i="1"/>
  <c r="B4245" i="1"/>
  <c r="A4245" i="1"/>
  <c r="R4244" i="1"/>
  <c r="J4244" i="1"/>
  <c r="I4244" i="1"/>
  <c r="G4244" i="1"/>
  <c r="F4244" i="1"/>
  <c r="E4244" i="1"/>
  <c r="D4244" i="1"/>
  <c r="C4244" i="1"/>
  <c r="B4244" i="1"/>
  <c r="A4244" i="1"/>
  <c r="S4243" i="1"/>
  <c r="O4243" i="1"/>
  <c r="K4243" i="1"/>
  <c r="J4243" i="1"/>
  <c r="I4243" i="1"/>
  <c r="H4243" i="1"/>
  <c r="G4243" i="1"/>
  <c r="F4243" i="1"/>
  <c r="E4243" i="1"/>
  <c r="D4243" i="1"/>
  <c r="C4243" i="1"/>
  <c r="B4243" i="1"/>
  <c r="A4243" i="1"/>
  <c r="R4242" i="1"/>
  <c r="J4242" i="1"/>
  <c r="I4242" i="1"/>
  <c r="G4242" i="1"/>
  <c r="F4242" i="1"/>
  <c r="E4242" i="1"/>
  <c r="D4242" i="1"/>
  <c r="C4242" i="1"/>
  <c r="B4242" i="1"/>
  <c r="A4242" i="1"/>
  <c r="S4241" i="1"/>
  <c r="O4241" i="1"/>
  <c r="K4241" i="1"/>
  <c r="J4241" i="1"/>
  <c r="I4241" i="1"/>
  <c r="H4241" i="1"/>
  <c r="G4241" i="1"/>
  <c r="F4241" i="1"/>
  <c r="E4241" i="1"/>
  <c r="D4241" i="1"/>
  <c r="C4241" i="1"/>
  <c r="B4241" i="1"/>
  <c r="A4241" i="1"/>
  <c r="R4240" i="1"/>
  <c r="J4240" i="1"/>
  <c r="I4240" i="1"/>
  <c r="G4240" i="1"/>
  <c r="F4240" i="1"/>
  <c r="E4240" i="1"/>
  <c r="D4240" i="1"/>
  <c r="C4240" i="1"/>
  <c r="B4240" i="1"/>
  <c r="A4240" i="1"/>
  <c r="S4239" i="1"/>
  <c r="O4239" i="1"/>
  <c r="K4239" i="1"/>
  <c r="J4239" i="1"/>
  <c r="I4239" i="1"/>
  <c r="H4239" i="1"/>
  <c r="G4239" i="1"/>
  <c r="F4239" i="1"/>
  <c r="E4239" i="1"/>
  <c r="D4239" i="1"/>
  <c r="C4239" i="1"/>
  <c r="B4239" i="1"/>
  <c r="A4239" i="1"/>
  <c r="R4238" i="1"/>
  <c r="J4238" i="1"/>
  <c r="I4238" i="1"/>
  <c r="G4238" i="1"/>
  <c r="F4238" i="1"/>
  <c r="E4238" i="1"/>
  <c r="D4238" i="1"/>
  <c r="C4238" i="1"/>
  <c r="B4238" i="1"/>
  <c r="A4238" i="1"/>
  <c r="S4237" i="1"/>
  <c r="O4237" i="1"/>
  <c r="K4237" i="1"/>
  <c r="J4237" i="1"/>
  <c r="I4237" i="1"/>
  <c r="H4237" i="1"/>
  <c r="G4237" i="1"/>
  <c r="F4237" i="1"/>
  <c r="E4237" i="1"/>
  <c r="D4237" i="1"/>
  <c r="C4237" i="1"/>
  <c r="B4237" i="1"/>
  <c r="A4237" i="1"/>
  <c r="R4236" i="1"/>
  <c r="J4236" i="1"/>
  <c r="I4236" i="1"/>
  <c r="G4236" i="1"/>
  <c r="F4236" i="1"/>
  <c r="E4236" i="1"/>
  <c r="D4236" i="1"/>
  <c r="C4236" i="1"/>
  <c r="B4236" i="1"/>
  <c r="A4236" i="1"/>
  <c r="S4235" i="1"/>
  <c r="O4235" i="1"/>
  <c r="K4235" i="1"/>
  <c r="J4235" i="1"/>
  <c r="I4235" i="1"/>
  <c r="H4235" i="1"/>
  <c r="G4235" i="1"/>
  <c r="F4235" i="1"/>
  <c r="E4235" i="1"/>
  <c r="D4235" i="1"/>
  <c r="C4235" i="1"/>
  <c r="B4235" i="1"/>
  <c r="A4235" i="1"/>
  <c r="R4234" i="1"/>
  <c r="J4234" i="1"/>
  <c r="I4234" i="1"/>
  <c r="G4234" i="1"/>
  <c r="F4234" i="1"/>
  <c r="E4234" i="1"/>
  <c r="D4234" i="1"/>
  <c r="C4234" i="1"/>
  <c r="B4234" i="1"/>
  <c r="A4234" i="1"/>
  <c r="S4233" i="1"/>
  <c r="O4233" i="1"/>
  <c r="K4233" i="1"/>
  <c r="J4233" i="1"/>
  <c r="I4233" i="1"/>
  <c r="H4233" i="1"/>
  <c r="G4233" i="1"/>
  <c r="F4233" i="1"/>
  <c r="E4233" i="1"/>
  <c r="D4233" i="1"/>
  <c r="C4233" i="1"/>
  <c r="B4233" i="1"/>
  <c r="A4233" i="1"/>
  <c r="R4232" i="1"/>
  <c r="J4232" i="1"/>
  <c r="I4232" i="1"/>
  <c r="G4232" i="1"/>
  <c r="F4232" i="1"/>
  <c r="E4232" i="1"/>
  <c r="D4232" i="1"/>
  <c r="C4232" i="1"/>
  <c r="B4232" i="1"/>
  <c r="A4232" i="1"/>
  <c r="S4231" i="1"/>
  <c r="O4231" i="1"/>
  <c r="K4231" i="1"/>
  <c r="J4231" i="1"/>
  <c r="I4231" i="1"/>
  <c r="H4231" i="1"/>
  <c r="G4231" i="1"/>
  <c r="F4231" i="1"/>
  <c r="E4231" i="1"/>
  <c r="D4231" i="1"/>
  <c r="C4231" i="1"/>
  <c r="B4231" i="1"/>
  <c r="A4231" i="1"/>
  <c r="R4230" i="1"/>
  <c r="J4230" i="1"/>
  <c r="I4230" i="1"/>
  <c r="G4230" i="1"/>
  <c r="F4230" i="1"/>
  <c r="E4230" i="1"/>
  <c r="D4230" i="1"/>
  <c r="C4230" i="1"/>
  <c r="B4230" i="1"/>
  <c r="A4230" i="1"/>
  <c r="S4229" i="1"/>
  <c r="O4229" i="1"/>
  <c r="K4229" i="1"/>
  <c r="J4229" i="1"/>
  <c r="I4229" i="1"/>
  <c r="H4229" i="1"/>
  <c r="G4229" i="1"/>
  <c r="F4229" i="1"/>
  <c r="E4229" i="1"/>
  <c r="D4229" i="1"/>
  <c r="C4229" i="1"/>
  <c r="B4229" i="1"/>
  <c r="A4229" i="1"/>
  <c r="R4228" i="1"/>
  <c r="J4228" i="1"/>
  <c r="I4228" i="1"/>
  <c r="G4228" i="1"/>
  <c r="F4228" i="1"/>
  <c r="E4228" i="1"/>
  <c r="D4228" i="1"/>
  <c r="C4228" i="1"/>
  <c r="B4228" i="1"/>
  <c r="A4228" i="1"/>
  <c r="S4227" i="1"/>
  <c r="O4227" i="1"/>
  <c r="K4227" i="1"/>
  <c r="J4227" i="1"/>
  <c r="I4227" i="1"/>
  <c r="H4227" i="1"/>
  <c r="G4227" i="1"/>
  <c r="F4227" i="1"/>
  <c r="E4227" i="1"/>
  <c r="D4227" i="1"/>
  <c r="C4227" i="1"/>
  <c r="B4227" i="1"/>
  <c r="A4227" i="1"/>
  <c r="R4226" i="1"/>
  <c r="J4226" i="1"/>
  <c r="I4226" i="1"/>
  <c r="G4226" i="1"/>
  <c r="F4226" i="1"/>
  <c r="E4226" i="1"/>
  <c r="D4226" i="1"/>
  <c r="C4226" i="1"/>
  <c r="B4226" i="1"/>
  <c r="A4226" i="1"/>
  <c r="S4225" i="1"/>
  <c r="O4225" i="1"/>
  <c r="K4225" i="1"/>
  <c r="J4225" i="1"/>
  <c r="I4225" i="1"/>
  <c r="H4225" i="1"/>
  <c r="G4225" i="1"/>
  <c r="F4225" i="1"/>
  <c r="E4225" i="1"/>
  <c r="D4225" i="1"/>
  <c r="C4225" i="1"/>
  <c r="B4225" i="1"/>
  <c r="A4225" i="1"/>
  <c r="R4224" i="1"/>
  <c r="J4224" i="1"/>
  <c r="I4224" i="1"/>
  <c r="G4224" i="1"/>
  <c r="F4224" i="1"/>
  <c r="E4224" i="1"/>
  <c r="D4224" i="1"/>
  <c r="C4224" i="1"/>
  <c r="B4224" i="1"/>
  <c r="A4224" i="1"/>
  <c r="S4223" i="1"/>
  <c r="O4223" i="1"/>
  <c r="K4223" i="1"/>
  <c r="J4223" i="1"/>
  <c r="I4223" i="1"/>
  <c r="H4223" i="1"/>
  <c r="G4223" i="1"/>
  <c r="F4223" i="1"/>
  <c r="E4223" i="1"/>
  <c r="D4223" i="1"/>
  <c r="C4223" i="1"/>
  <c r="B4223" i="1"/>
  <c r="A4223" i="1"/>
  <c r="R4222" i="1"/>
  <c r="J4222" i="1"/>
  <c r="I4222" i="1"/>
  <c r="G4222" i="1"/>
  <c r="F4222" i="1"/>
  <c r="E4222" i="1"/>
  <c r="D4222" i="1"/>
  <c r="C4222" i="1"/>
  <c r="B4222" i="1"/>
  <c r="A4222" i="1"/>
  <c r="S4221" i="1"/>
  <c r="O4221" i="1"/>
  <c r="K4221" i="1"/>
  <c r="J4221" i="1"/>
  <c r="I4221" i="1"/>
  <c r="H4221" i="1"/>
  <c r="G4221" i="1"/>
  <c r="F4221" i="1"/>
  <c r="E4221" i="1"/>
  <c r="D4221" i="1"/>
  <c r="C4221" i="1"/>
  <c r="B4221" i="1"/>
  <c r="A4221" i="1"/>
  <c r="R4220" i="1"/>
  <c r="J4220" i="1"/>
  <c r="I4220" i="1"/>
  <c r="G4220" i="1"/>
  <c r="F4220" i="1"/>
  <c r="E4220" i="1"/>
  <c r="D4220" i="1"/>
  <c r="C4220" i="1"/>
  <c r="B4220" i="1"/>
  <c r="A4220" i="1"/>
  <c r="S4219" i="1"/>
  <c r="O4219" i="1"/>
  <c r="K4219" i="1"/>
  <c r="J4219" i="1"/>
  <c r="I4219" i="1"/>
  <c r="H4219" i="1"/>
  <c r="G4219" i="1"/>
  <c r="F4219" i="1"/>
  <c r="E4219" i="1"/>
  <c r="D4219" i="1"/>
  <c r="C4219" i="1"/>
  <c r="B4219" i="1"/>
  <c r="A4219" i="1"/>
  <c r="R4218" i="1"/>
  <c r="J4218" i="1"/>
  <c r="I4218" i="1"/>
  <c r="G4218" i="1"/>
  <c r="F4218" i="1"/>
  <c r="E4218" i="1"/>
  <c r="D4218" i="1"/>
  <c r="C4218" i="1"/>
  <c r="B4218" i="1"/>
  <c r="A4218" i="1"/>
  <c r="S4217" i="1"/>
  <c r="O4217" i="1"/>
  <c r="K4217" i="1"/>
  <c r="J4217" i="1"/>
  <c r="I4217" i="1"/>
  <c r="H4217" i="1"/>
  <c r="G4217" i="1"/>
  <c r="F4217" i="1"/>
  <c r="E4217" i="1"/>
  <c r="D4217" i="1"/>
  <c r="C4217" i="1"/>
  <c r="B4217" i="1"/>
  <c r="A4217" i="1"/>
  <c r="R4216" i="1"/>
  <c r="J4216" i="1"/>
  <c r="I4216" i="1"/>
  <c r="G4216" i="1"/>
  <c r="F4216" i="1"/>
  <c r="E4216" i="1"/>
  <c r="D4216" i="1"/>
  <c r="C4216" i="1"/>
  <c r="B4216" i="1"/>
  <c r="A4216" i="1"/>
  <c r="S4215" i="1"/>
  <c r="O4215" i="1"/>
  <c r="K4215" i="1"/>
  <c r="J4215" i="1"/>
  <c r="I4215" i="1"/>
  <c r="H4215" i="1"/>
  <c r="G4215" i="1"/>
  <c r="F4215" i="1"/>
  <c r="E4215" i="1"/>
  <c r="D4215" i="1"/>
  <c r="C4215" i="1"/>
  <c r="B4215" i="1"/>
  <c r="A4215" i="1"/>
  <c r="R4214" i="1"/>
  <c r="J4214" i="1"/>
  <c r="I4214" i="1"/>
  <c r="G4214" i="1"/>
  <c r="F4214" i="1"/>
  <c r="E4214" i="1"/>
  <c r="D4214" i="1"/>
  <c r="C4214" i="1"/>
  <c r="B4214" i="1"/>
  <c r="A4214" i="1"/>
  <c r="S4213" i="1"/>
  <c r="O4213" i="1"/>
  <c r="K4213" i="1"/>
  <c r="J4213" i="1"/>
  <c r="I4213" i="1"/>
  <c r="H4213" i="1"/>
  <c r="G4213" i="1"/>
  <c r="F4213" i="1"/>
  <c r="E4213" i="1"/>
  <c r="D4213" i="1"/>
  <c r="C4213" i="1"/>
  <c r="B4213" i="1"/>
  <c r="A4213" i="1"/>
  <c r="R4212" i="1"/>
  <c r="J4212" i="1"/>
  <c r="I4212" i="1"/>
  <c r="G4212" i="1"/>
  <c r="F4212" i="1"/>
  <c r="E4212" i="1"/>
  <c r="D4212" i="1"/>
  <c r="C4212" i="1"/>
  <c r="B4212" i="1"/>
  <c r="A4212" i="1"/>
  <c r="S4211" i="1"/>
  <c r="O4211" i="1"/>
  <c r="K4211" i="1"/>
  <c r="J4211" i="1"/>
  <c r="I4211" i="1"/>
  <c r="H4211" i="1"/>
  <c r="G4211" i="1"/>
  <c r="F4211" i="1"/>
  <c r="E4211" i="1"/>
  <c r="D4211" i="1"/>
  <c r="C4211" i="1"/>
  <c r="B4211" i="1"/>
  <c r="A4211" i="1"/>
  <c r="R4210" i="1"/>
  <c r="J4210" i="1"/>
  <c r="I4210" i="1"/>
  <c r="G4210" i="1"/>
  <c r="F4210" i="1"/>
  <c r="E4210" i="1"/>
  <c r="D4210" i="1"/>
  <c r="C4210" i="1"/>
  <c r="B4210" i="1"/>
  <c r="A4210" i="1"/>
  <c r="S4209" i="1"/>
  <c r="O4209" i="1"/>
  <c r="K4209" i="1"/>
  <c r="J4209" i="1"/>
  <c r="I4209" i="1"/>
  <c r="H4209" i="1"/>
  <c r="G4209" i="1"/>
  <c r="F4209" i="1"/>
  <c r="E4209" i="1"/>
  <c r="D4209" i="1"/>
  <c r="C4209" i="1"/>
  <c r="B4209" i="1"/>
  <c r="A4209" i="1"/>
  <c r="R4208" i="1"/>
  <c r="J4208" i="1"/>
  <c r="I4208" i="1"/>
  <c r="G4208" i="1"/>
  <c r="F4208" i="1"/>
  <c r="E4208" i="1"/>
  <c r="D4208" i="1"/>
  <c r="C4208" i="1"/>
  <c r="B4208" i="1"/>
  <c r="A4208" i="1"/>
  <c r="S4207" i="1"/>
  <c r="O4207" i="1"/>
  <c r="K4207" i="1"/>
  <c r="J4207" i="1"/>
  <c r="I4207" i="1"/>
  <c r="H4207" i="1"/>
  <c r="G4207" i="1"/>
  <c r="F4207" i="1"/>
  <c r="E4207" i="1"/>
  <c r="D4207" i="1"/>
  <c r="C4207" i="1"/>
  <c r="B4207" i="1"/>
  <c r="A4207" i="1"/>
  <c r="R4206" i="1"/>
  <c r="J4206" i="1"/>
  <c r="I4206" i="1"/>
  <c r="G4206" i="1"/>
  <c r="F4206" i="1"/>
  <c r="E4206" i="1"/>
  <c r="D4206" i="1"/>
  <c r="C4206" i="1"/>
  <c r="B4206" i="1"/>
  <c r="A4206" i="1"/>
  <c r="S4205" i="1"/>
  <c r="O4205" i="1"/>
  <c r="K4205" i="1"/>
  <c r="J4205" i="1"/>
  <c r="I4205" i="1"/>
  <c r="H4205" i="1"/>
  <c r="G4205" i="1"/>
  <c r="F4205" i="1"/>
  <c r="E4205" i="1"/>
  <c r="D4205" i="1"/>
  <c r="C4205" i="1"/>
  <c r="B4205" i="1"/>
  <c r="A4205" i="1"/>
  <c r="R4204" i="1"/>
  <c r="J4204" i="1"/>
  <c r="I4204" i="1"/>
  <c r="G4204" i="1"/>
  <c r="F4204" i="1"/>
  <c r="E4204" i="1"/>
  <c r="D4204" i="1"/>
  <c r="C4204" i="1"/>
  <c r="B4204" i="1"/>
  <c r="A4204" i="1"/>
  <c r="S4203" i="1"/>
  <c r="O4203" i="1"/>
  <c r="K4203" i="1"/>
  <c r="J4203" i="1"/>
  <c r="I4203" i="1"/>
  <c r="H4203" i="1"/>
  <c r="G4203" i="1"/>
  <c r="F4203" i="1"/>
  <c r="E4203" i="1"/>
  <c r="D4203" i="1"/>
  <c r="C4203" i="1"/>
  <c r="B4203" i="1"/>
  <c r="A4203" i="1"/>
  <c r="R4202" i="1"/>
  <c r="J4202" i="1"/>
  <c r="I4202" i="1"/>
  <c r="G4202" i="1"/>
  <c r="F4202" i="1"/>
  <c r="E4202" i="1"/>
  <c r="D4202" i="1"/>
  <c r="C4202" i="1"/>
  <c r="B4202" i="1"/>
  <c r="A4202" i="1"/>
  <c r="S4201" i="1"/>
  <c r="O4201" i="1"/>
  <c r="K4201" i="1"/>
  <c r="J4201" i="1"/>
  <c r="I4201" i="1"/>
  <c r="H4201" i="1"/>
  <c r="G4201" i="1"/>
  <c r="F4201" i="1"/>
  <c r="E4201" i="1"/>
  <c r="D4201" i="1"/>
  <c r="C4201" i="1"/>
  <c r="B4201" i="1"/>
  <c r="A4201" i="1"/>
  <c r="R4200" i="1"/>
  <c r="J4200" i="1"/>
  <c r="I4200" i="1"/>
  <c r="G4200" i="1"/>
  <c r="F4200" i="1"/>
  <c r="E4200" i="1"/>
  <c r="D4200" i="1"/>
  <c r="C4200" i="1"/>
  <c r="B4200" i="1"/>
  <c r="A4200" i="1"/>
  <c r="S4199" i="1"/>
  <c r="O4199" i="1"/>
  <c r="K4199" i="1"/>
  <c r="J4199" i="1"/>
  <c r="I4199" i="1"/>
  <c r="H4199" i="1"/>
  <c r="G4199" i="1"/>
  <c r="F4199" i="1"/>
  <c r="E4199" i="1"/>
  <c r="D4199" i="1"/>
  <c r="C4199" i="1"/>
  <c r="B4199" i="1"/>
  <c r="A4199" i="1"/>
  <c r="R4198" i="1"/>
  <c r="J4198" i="1"/>
  <c r="I4198" i="1"/>
  <c r="G4198" i="1"/>
  <c r="F4198" i="1"/>
  <c r="E4198" i="1"/>
  <c r="D4198" i="1"/>
  <c r="C4198" i="1"/>
  <c r="B4198" i="1"/>
  <c r="A4198" i="1"/>
  <c r="S4197" i="1"/>
  <c r="O4197" i="1"/>
  <c r="K4197" i="1"/>
  <c r="J4197" i="1"/>
  <c r="I4197" i="1"/>
  <c r="H4197" i="1"/>
  <c r="G4197" i="1"/>
  <c r="F4197" i="1"/>
  <c r="E4197" i="1"/>
  <c r="D4197" i="1"/>
  <c r="C4197" i="1"/>
  <c r="B4197" i="1"/>
  <c r="A4197" i="1"/>
  <c r="R4196" i="1"/>
  <c r="J4196" i="1"/>
  <c r="I4196" i="1"/>
  <c r="G4196" i="1"/>
  <c r="F4196" i="1"/>
  <c r="E4196" i="1"/>
  <c r="D4196" i="1"/>
  <c r="C4196" i="1"/>
  <c r="B4196" i="1"/>
  <c r="A4196" i="1"/>
  <c r="S4195" i="1"/>
  <c r="O4195" i="1"/>
  <c r="K4195" i="1"/>
  <c r="J4195" i="1"/>
  <c r="I4195" i="1"/>
  <c r="H4195" i="1"/>
  <c r="G4195" i="1"/>
  <c r="F4195" i="1"/>
  <c r="E4195" i="1"/>
  <c r="D4195" i="1"/>
  <c r="C4195" i="1"/>
  <c r="B4195" i="1"/>
  <c r="A4195" i="1"/>
  <c r="R4194" i="1"/>
  <c r="J4194" i="1"/>
  <c r="I4194" i="1"/>
  <c r="G4194" i="1"/>
  <c r="F4194" i="1"/>
  <c r="E4194" i="1"/>
  <c r="D4194" i="1"/>
  <c r="C4194" i="1"/>
  <c r="B4194" i="1"/>
  <c r="A4194" i="1"/>
  <c r="S4193" i="1"/>
  <c r="O4193" i="1"/>
  <c r="K4193" i="1"/>
  <c r="J4193" i="1"/>
  <c r="I4193" i="1"/>
  <c r="H4193" i="1"/>
  <c r="G4193" i="1"/>
  <c r="F4193" i="1"/>
  <c r="E4193" i="1"/>
  <c r="D4193" i="1"/>
  <c r="C4193" i="1"/>
  <c r="B4193" i="1"/>
  <c r="A4193" i="1"/>
  <c r="R4192" i="1"/>
  <c r="J4192" i="1"/>
  <c r="I4192" i="1"/>
  <c r="G4192" i="1"/>
  <c r="F4192" i="1"/>
  <c r="E4192" i="1"/>
  <c r="D4192" i="1"/>
  <c r="C4192" i="1"/>
  <c r="B4192" i="1"/>
  <c r="A4192" i="1"/>
  <c r="S4191" i="1"/>
  <c r="O4191" i="1"/>
  <c r="K4191" i="1"/>
  <c r="J4191" i="1"/>
  <c r="I4191" i="1"/>
  <c r="H4191" i="1"/>
  <c r="G4191" i="1"/>
  <c r="F4191" i="1"/>
  <c r="E4191" i="1"/>
  <c r="D4191" i="1"/>
  <c r="C4191" i="1"/>
  <c r="B4191" i="1"/>
  <c r="A4191" i="1"/>
  <c r="R4190" i="1"/>
  <c r="J4190" i="1"/>
  <c r="I4190" i="1"/>
  <c r="G4190" i="1"/>
  <c r="F4190" i="1"/>
  <c r="E4190" i="1"/>
  <c r="D4190" i="1"/>
  <c r="C4190" i="1"/>
  <c r="B4190" i="1"/>
  <c r="A4190" i="1"/>
  <c r="S4189" i="1"/>
  <c r="O4189" i="1"/>
  <c r="K4189" i="1"/>
  <c r="J4189" i="1"/>
  <c r="I4189" i="1"/>
  <c r="H4189" i="1"/>
  <c r="G4189" i="1"/>
  <c r="F4189" i="1"/>
  <c r="E4189" i="1"/>
  <c r="D4189" i="1"/>
  <c r="C4189" i="1"/>
  <c r="B4189" i="1"/>
  <c r="A4189" i="1"/>
  <c r="R4188" i="1"/>
  <c r="J4188" i="1"/>
  <c r="I4188" i="1"/>
  <c r="G4188" i="1"/>
  <c r="F4188" i="1"/>
  <c r="E4188" i="1"/>
  <c r="D4188" i="1"/>
  <c r="C4188" i="1"/>
  <c r="B4188" i="1"/>
  <c r="A4188" i="1"/>
  <c r="S4187" i="1"/>
  <c r="O4187" i="1"/>
  <c r="K4187" i="1"/>
  <c r="J4187" i="1"/>
  <c r="I4187" i="1"/>
  <c r="H4187" i="1"/>
  <c r="G4187" i="1"/>
  <c r="F4187" i="1"/>
  <c r="E4187" i="1"/>
  <c r="D4187" i="1"/>
  <c r="C4187" i="1"/>
  <c r="B4187" i="1"/>
  <c r="A4187" i="1"/>
  <c r="R4186" i="1"/>
  <c r="J4186" i="1"/>
  <c r="I4186" i="1"/>
  <c r="G4186" i="1"/>
  <c r="F4186" i="1"/>
  <c r="E4186" i="1"/>
  <c r="D4186" i="1"/>
  <c r="C4186" i="1"/>
  <c r="B4186" i="1"/>
  <c r="A4186" i="1"/>
  <c r="S4185" i="1"/>
  <c r="O4185" i="1"/>
  <c r="K4185" i="1"/>
  <c r="J4185" i="1"/>
  <c r="I4185" i="1"/>
  <c r="H4185" i="1"/>
  <c r="G4185" i="1"/>
  <c r="F4185" i="1"/>
  <c r="E4185" i="1"/>
  <c r="D4185" i="1"/>
  <c r="C4185" i="1"/>
  <c r="B4185" i="1"/>
  <c r="A4185" i="1"/>
  <c r="R4184" i="1"/>
  <c r="J4184" i="1"/>
  <c r="I4184" i="1"/>
  <c r="G4184" i="1"/>
  <c r="F4184" i="1"/>
  <c r="E4184" i="1"/>
  <c r="D4184" i="1"/>
  <c r="C4184" i="1"/>
  <c r="B4184" i="1"/>
  <c r="A4184" i="1"/>
  <c r="S4183" i="1"/>
  <c r="O4183" i="1"/>
  <c r="K4183" i="1"/>
  <c r="J4183" i="1"/>
  <c r="I4183" i="1"/>
  <c r="H4183" i="1"/>
  <c r="G4183" i="1"/>
  <c r="F4183" i="1"/>
  <c r="E4183" i="1"/>
  <c r="D4183" i="1"/>
  <c r="C4183" i="1"/>
  <c r="B4183" i="1"/>
  <c r="A4183" i="1"/>
  <c r="R4182" i="1"/>
  <c r="J4182" i="1"/>
  <c r="I4182" i="1"/>
  <c r="G4182" i="1"/>
  <c r="F4182" i="1"/>
  <c r="E4182" i="1"/>
  <c r="D4182" i="1"/>
  <c r="C4182" i="1"/>
  <c r="B4182" i="1"/>
  <c r="A4182" i="1"/>
  <c r="S4181" i="1"/>
  <c r="O4181" i="1"/>
  <c r="K4181" i="1"/>
  <c r="J4181" i="1"/>
  <c r="I4181" i="1"/>
  <c r="H4181" i="1"/>
  <c r="G4181" i="1"/>
  <c r="F4181" i="1"/>
  <c r="E4181" i="1"/>
  <c r="D4181" i="1"/>
  <c r="C4181" i="1"/>
  <c r="B4181" i="1"/>
  <c r="A4181" i="1"/>
  <c r="R4180" i="1"/>
  <c r="J4180" i="1"/>
  <c r="I4180" i="1"/>
  <c r="G4180" i="1"/>
  <c r="F4180" i="1"/>
  <c r="E4180" i="1"/>
  <c r="D4180" i="1"/>
  <c r="C4180" i="1"/>
  <c r="B4180" i="1"/>
  <c r="A4180" i="1"/>
  <c r="S4179" i="1"/>
  <c r="O4179" i="1"/>
  <c r="K4179" i="1"/>
  <c r="J4179" i="1"/>
  <c r="I4179" i="1"/>
  <c r="H4179" i="1"/>
  <c r="G4179" i="1"/>
  <c r="F4179" i="1"/>
  <c r="E4179" i="1"/>
  <c r="D4179" i="1"/>
  <c r="C4179" i="1"/>
  <c r="B4179" i="1"/>
  <c r="A4179" i="1"/>
  <c r="R4178" i="1"/>
  <c r="J4178" i="1"/>
  <c r="I4178" i="1"/>
  <c r="G4178" i="1"/>
  <c r="F4178" i="1"/>
  <c r="E4178" i="1"/>
  <c r="D4178" i="1"/>
  <c r="C4178" i="1"/>
  <c r="B4178" i="1"/>
  <c r="A4178" i="1"/>
  <c r="S4177" i="1"/>
  <c r="O4177" i="1"/>
  <c r="K4177" i="1"/>
  <c r="J4177" i="1"/>
  <c r="I4177" i="1"/>
  <c r="H4177" i="1"/>
  <c r="G4177" i="1"/>
  <c r="F4177" i="1"/>
  <c r="E4177" i="1"/>
  <c r="D4177" i="1"/>
  <c r="C4177" i="1"/>
  <c r="B4177" i="1"/>
  <c r="A4177" i="1"/>
  <c r="R4176" i="1"/>
  <c r="J4176" i="1"/>
  <c r="I4176" i="1"/>
  <c r="G4176" i="1"/>
  <c r="F4176" i="1"/>
  <c r="E4176" i="1"/>
  <c r="D4176" i="1"/>
  <c r="C4176" i="1"/>
  <c r="B4176" i="1"/>
  <c r="A4176" i="1"/>
  <c r="S4175" i="1"/>
  <c r="O4175" i="1"/>
  <c r="K4175" i="1"/>
  <c r="J4175" i="1"/>
  <c r="I4175" i="1"/>
  <c r="H4175" i="1"/>
  <c r="G4175" i="1"/>
  <c r="F4175" i="1"/>
  <c r="E4175" i="1"/>
  <c r="D4175" i="1"/>
  <c r="C4175" i="1"/>
  <c r="B4175" i="1"/>
  <c r="A4175" i="1"/>
  <c r="R4174" i="1"/>
  <c r="J4174" i="1"/>
  <c r="I4174" i="1"/>
  <c r="G4174" i="1"/>
  <c r="F4174" i="1"/>
  <c r="E4174" i="1"/>
  <c r="D4174" i="1"/>
  <c r="C4174" i="1"/>
  <c r="B4174" i="1"/>
  <c r="A4174" i="1"/>
  <c r="S4173" i="1"/>
  <c r="O4173" i="1"/>
  <c r="K4173" i="1"/>
  <c r="J4173" i="1"/>
  <c r="I4173" i="1"/>
  <c r="H4173" i="1"/>
  <c r="G4173" i="1"/>
  <c r="F4173" i="1"/>
  <c r="E4173" i="1"/>
  <c r="D4173" i="1"/>
  <c r="C4173" i="1"/>
  <c r="B4173" i="1"/>
  <c r="A4173" i="1"/>
  <c r="R4172" i="1"/>
  <c r="J4172" i="1"/>
  <c r="I4172" i="1"/>
  <c r="G4172" i="1"/>
  <c r="F4172" i="1"/>
  <c r="E4172" i="1"/>
  <c r="D4172" i="1"/>
  <c r="C4172" i="1"/>
  <c r="B4172" i="1"/>
  <c r="A4172" i="1"/>
  <c r="S4171" i="1"/>
  <c r="O4171" i="1"/>
  <c r="K4171" i="1"/>
  <c r="J4171" i="1"/>
  <c r="I4171" i="1"/>
  <c r="H4171" i="1"/>
  <c r="G4171" i="1"/>
  <c r="F4171" i="1"/>
  <c r="E4171" i="1"/>
  <c r="D4171" i="1"/>
  <c r="C4171" i="1"/>
  <c r="B4171" i="1"/>
  <c r="A4171" i="1"/>
  <c r="R4170" i="1"/>
  <c r="J4170" i="1"/>
  <c r="I4170" i="1"/>
  <c r="G4170" i="1"/>
  <c r="F4170" i="1"/>
  <c r="E4170" i="1"/>
  <c r="D4170" i="1"/>
  <c r="C4170" i="1"/>
  <c r="B4170" i="1"/>
  <c r="A4170" i="1"/>
  <c r="S4169" i="1"/>
  <c r="O4169" i="1"/>
  <c r="K4169" i="1"/>
  <c r="J4169" i="1"/>
  <c r="I4169" i="1"/>
  <c r="H4169" i="1"/>
  <c r="G4169" i="1"/>
  <c r="F4169" i="1"/>
  <c r="E4169" i="1"/>
  <c r="D4169" i="1"/>
  <c r="C4169" i="1"/>
  <c r="B4169" i="1"/>
  <c r="A4169" i="1"/>
  <c r="R4168" i="1"/>
  <c r="J4168" i="1"/>
  <c r="I4168" i="1"/>
  <c r="G4168" i="1"/>
  <c r="F4168" i="1"/>
  <c r="E4168" i="1"/>
  <c r="D4168" i="1"/>
  <c r="C4168" i="1"/>
  <c r="B4168" i="1"/>
  <c r="A4168" i="1"/>
  <c r="S4167" i="1"/>
  <c r="O4167" i="1"/>
  <c r="K4167" i="1"/>
  <c r="J4167" i="1"/>
  <c r="I4167" i="1"/>
  <c r="H4167" i="1"/>
  <c r="G4167" i="1"/>
  <c r="F4167" i="1"/>
  <c r="E4167" i="1"/>
  <c r="D4167" i="1"/>
  <c r="C4167" i="1"/>
  <c r="B4167" i="1"/>
  <c r="A4167" i="1"/>
  <c r="R4166" i="1"/>
  <c r="J4166" i="1"/>
  <c r="I4166" i="1"/>
  <c r="G4166" i="1"/>
  <c r="F4166" i="1"/>
  <c r="E4166" i="1"/>
  <c r="D4166" i="1"/>
  <c r="C4166" i="1"/>
  <c r="B4166" i="1"/>
  <c r="A4166" i="1"/>
  <c r="S4165" i="1"/>
  <c r="O4165" i="1"/>
  <c r="K4165" i="1"/>
  <c r="J4165" i="1"/>
  <c r="I4165" i="1"/>
  <c r="H4165" i="1"/>
  <c r="G4165" i="1"/>
  <c r="F4165" i="1"/>
  <c r="E4165" i="1"/>
  <c r="D4165" i="1"/>
  <c r="C4165" i="1"/>
  <c r="B4165" i="1"/>
  <c r="A4165" i="1"/>
  <c r="R4164" i="1"/>
  <c r="J4164" i="1"/>
  <c r="I4164" i="1"/>
  <c r="G4164" i="1"/>
  <c r="F4164" i="1"/>
  <c r="E4164" i="1"/>
  <c r="D4164" i="1"/>
  <c r="C4164" i="1"/>
  <c r="B4164" i="1"/>
  <c r="A4164" i="1"/>
  <c r="S4163" i="1"/>
  <c r="O4163" i="1"/>
  <c r="K4163" i="1"/>
  <c r="J4163" i="1"/>
  <c r="I4163" i="1"/>
  <c r="H4163" i="1"/>
  <c r="G4163" i="1"/>
  <c r="F4163" i="1"/>
  <c r="E4163" i="1"/>
  <c r="D4163" i="1"/>
  <c r="C4163" i="1"/>
  <c r="B4163" i="1"/>
  <c r="A4163" i="1"/>
  <c r="R4162" i="1"/>
  <c r="J4162" i="1"/>
  <c r="I4162" i="1"/>
  <c r="G4162" i="1"/>
  <c r="F4162" i="1"/>
  <c r="E4162" i="1"/>
  <c r="D4162" i="1"/>
  <c r="C4162" i="1"/>
  <c r="B4162" i="1"/>
  <c r="A4162" i="1"/>
  <c r="S4161" i="1"/>
  <c r="O4161" i="1"/>
  <c r="K4161" i="1"/>
  <c r="J4161" i="1"/>
  <c r="I4161" i="1"/>
  <c r="H4161" i="1"/>
  <c r="G4161" i="1"/>
  <c r="F4161" i="1"/>
  <c r="E4161" i="1"/>
  <c r="D4161" i="1"/>
  <c r="C4161" i="1"/>
  <c r="B4161" i="1"/>
  <c r="A4161" i="1"/>
  <c r="R4160" i="1"/>
  <c r="J4160" i="1"/>
  <c r="I4160" i="1"/>
  <c r="G4160" i="1"/>
  <c r="F4160" i="1"/>
  <c r="E4160" i="1"/>
  <c r="D4160" i="1"/>
  <c r="C4160" i="1"/>
  <c r="B4160" i="1"/>
  <c r="A4160" i="1"/>
  <c r="S4159" i="1"/>
  <c r="O4159" i="1"/>
  <c r="K4159" i="1"/>
  <c r="J4159" i="1"/>
  <c r="I4159" i="1"/>
  <c r="H4159" i="1"/>
  <c r="G4159" i="1"/>
  <c r="F4159" i="1"/>
  <c r="E4159" i="1"/>
  <c r="D4159" i="1"/>
  <c r="C4159" i="1"/>
  <c r="B4159" i="1"/>
  <c r="A4159" i="1"/>
  <c r="R4158" i="1"/>
  <c r="J4158" i="1"/>
  <c r="I4158" i="1"/>
  <c r="G4158" i="1"/>
  <c r="F4158" i="1"/>
  <c r="E4158" i="1"/>
  <c r="D4158" i="1"/>
  <c r="C4158" i="1"/>
  <c r="B4158" i="1"/>
  <c r="A4158" i="1"/>
  <c r="S4157" i="1"/>
  <c r="O4157" i="1"/>
  <c r="K4157" i="1"/>
  <c r="J4157" i="1"/>
  <c r="I4157" i="1"/>
  <c r="H4157" i="1"/>
  <c r="G4157" i="1"/>
  <c r="F4157" i="1"/>
  <c r="E4157" i="1"/>
  <c r="D4157" i="1"/>
  <c r="C4157" i="1"/>
  <c r="B4157" i="1"/>
  <c r="A4157" i="1"/>
  <c r="R4156" i="1"/>
  <c r="J4156" i="1"/>
  <c r="I4156" i="1"/>
  <c r="G4156" i="1"/>
  <c r="F4156" i="1"/>
  <c r="E4156" i="1"/>
  <c r="D4156" i="1"/>
  <c r="C4156" i="1"/>
  <c r="B4156" i="1"/>
  <c r="A4156" i="1"/>
  <c r="S4155" i="1"/>
  <c r="O4155" i="1"/>
  <c r="K4155" i="1"/>
  <c r="J4155" i="1"/>
  <c r="I4155" i="1"/>
  <c r="H4155" i="1"/>
  <c r="G4155" i="1"/>
  <c r="F4155" i="1"/>
  <c r="E4155" i="1"/>
  <c r="D4155" i="1"/>
  <c r="C4155" i="1"/>
  <c r="B4155" i="1"/>
  <c r="A4155" i="1"/>
  <c r="R4154" i="1"/>
  <c r="J4154" i="1"/>
  <c r="I4154" i="1"/>
  <c r="G4154" i="1"/>
  <c r="F4154" i="1"/>
  <c r="E4154" i="1"/>
  <c r="D4154" i="1"/>
  <c r="C4154" i="1"/>
  <c r="B4154" i="1"/>
  <c r="A4154" i="1"/>
  <c r="S4153" i="1"/>
  <c r="O4153" i="1"/>
  <c r="K4153" i="1"/>
  <c r="J4153" i="1"/>
  <c r="I4153" i="1"/>
  <c r="H4153" i="1"/>
  <c r="G4153" i="1"/>
  <c r="F4153" i="1"/>
  <c r="E4153" i="1"/>
  <c r="D4153" i="1"/>
  <c r="C4153" i="1"/>
  <c r="B4153" i="1"/>
  <c r="A4153" i="1"/>
  <c r="R4152" i="1"/>
  <c r="J4152" i="1"/>
  <c r="I4152" i="1"/>
  <c r="G4152" i="1"/>
  <c r="F4152" i="1"/>
  <c r="E4152" i="1"/>
  <c r="D4152" i="1"/>
  <c r="C4152" i="1"/>
  <c r="B4152" i="1"/>
  <c r="A4152" i="1"/>
  <c r="S4151" i="1"/>
  <c r="O4151" i="1"/>
  <c r="K4151" i="1"/>
  <c r="J4151" i="1"/>
  <c r="I4151" i="1"/>
  <c r="H4151" i="1"/>
  <c r="G4151" i="1"/>
  <c r="F4151" i="1"/>
  <c r="E4151" i="1"/>
  <c r="D4151" i="1"/>
  <c r="C4151" i="1"/>
  <c r="B4151" i="1"/>
  <c r="A4151" i="1"/>
  <c r="R4150" i="1"/>
  <c r="J4150" i="1"/>
  <c r="I4150" i="1"/>
  <c r="G4150" i="1"/>
  <c r="F4150" i="1"/>
  <c r="E4150" i="1"/>
  <c r="D4150" i="1"/>
  <c r="C4150" i="1"/>
  <c r="B4150" i="1"/>
  <c r="A4150" i="1"/>
  <c r="S4149" i="1"/>
  <c r="O4149" i="1"/>
  <c r="K4149" i="1"/>
  <c r="J4149" i="1"/>
  <c r="I4149" i="1"/>
  <c r="H4149" i="1"/>
  <c r="G4149" i="1"/>
  <c r="F4149" i="1"/>
  <c r="E4149" i="1"/>
  <c r="D4149" i="1"/>
  <c r="C4149" i="1"/>
  <c r="B4149" i="1"/>
  <c r="A4149" i="1"/>
  <c r="R4148" i="1"/>
  <c r="J4148" i="1"/>
  <c r="I4148" i="1"/>
  <c r="G4148" i="1"/>
  <c r="F4148" i="1"/>
  <c r="E4148" i="1"/>
  <c r="D4148" i="1"/>
  <c r="C4148" i="1"/>
  <c r="B4148" i="1"/>
  <c r="A4148" i="1"/>
  <c r="S4147" i="1"/>
  <c r="O4147" i="1"/>
  <c r="K4147" i="1"/>
  <c r="J4147" i="1"/>
  <c r="I4147" i="1"/>
  <c r="H4147" i="1"/>
  <c r="G4147" i="1"/>
  <c r="F4147" i="1"/>
  <c r="E4147" i="1"/>
  <c r="D4147" i="1"/>
  <c r="C4147" i="1"/>
  <c r="B4147" i="1"/>
  <c r="A4147" i="1"/>
  <c r="R4146" i="1"/>
  <c r="J4146" i="1"/>
  <c r="I4146" i="1"/>
  <c r="G4146" i="1"/>
  <c r="F4146" i="1"/>
  <c r="E4146" i="1"/>
  <c r="D4146" i="1"/>
  <c r="C4146" i="1"/>
  <c r="B4146" i="1"/>
  <c r="A4146" i="1"/>
  <c r="S4145" i="1"/>
  <c r="O4145" i="1"/>
  <c r="K4145" i="1"/>
  <c r="J4145" i="1"/>
  <c r="I4145" i="1"/>
  <c r="H4145" i="1"/>
  <c r="G4145" i="1"/>
  <c r="F4145" i="1"/>
  <c r="E4145" i="1"/>
  <c r="D4145" i="1"/>
  <c r="C4145" i="1"/>
  <c r="B4145" i="1"/>
  <c r="A4145" i="1"/>
  <c r="R4144" i="1"/>
  <c r="J4144" i="1"/>
  <c r="I4144" i="1"/>
  <c r="G4144" i="1"/>
  <c r="F4144" i="1"/>
  <c r="E4144" i="1"/>
  <c r="D4144" i="1"/>
  <c r="C4144" i="1"/>
  <c r="B4144" i="1"/>
  <c r="A4144" i="1"/>
  <c r="S4143" i="1"/>
  <c r="O4143" i="1"/>
  <c r="K4143" i="1"/>
  <c r="J4143" i="1"/>
  <c r="I4143" i="1"/>
  <c r="H4143" i="1"/>
  <c r="G4143" i="1"/>
  <c r="F4143" i="1"/>
  <c r="E4143" i="1"/>
  <c r="D4143" i="1"/>
  <c r="C4143" i="1"/>
  <c r="B4143" i="1"/>
  <c r="A4143" i="1"/>
  <c r="R4142" i="1"/>
  <c r="J4142" i="1"/>
  <c r="I4142" i="1"/>
  <c r="G4142" i="1"/>
  <c r="F4142" i="1"/>
  <c r="E4142" i="1"/>
  <c r="D4142" i="1"/>
  <c r="C4142" i="1"/>
  <c r="B4142" i="1"/>
  <c r="A4142" i="1"/>
  <c r="S4141" i="1"/>
  <c r="O4141" i="1"/>
  <c r="K4141" i="1"/>
  <c r="J4141" i="1"/>
  <c r="I4141" i="1"/>
  <c r="H4141" i="1"/>
  <c r="G4141" i="1"/>
  <c r="F4141" i="1"/>
  <c r="E4141" i="1"/>
  <c r="D4141" i="1"/>
  <c r="C4141" i="1"/>
  <c r="B4141" i="1"/>
  <c r="A4141" i="1"/>
  <c r="R4140" i="1"/>
  <c r="J4140" i="1"/>
  <c r="I4140" i="1"/>
  <c r="G4140" i="1"/>
  <c r="F4140" i="1"/>
  <c r="E4140" i="1"/>
  <c r="D4140" i="1"/>
  <c r="C4140" i="1"/>
  <c r="B4140" i="1"/>
  <c r="A4140" i="1"/>
  <c r="S4139" i="1"/>
  <c r="O4139" i="1"/>
  <c r="K4139" i="1"/>
  <c r="J4139" i="1"/>
  <c r="I4139" i="1"/>
  <c r="H4139" i="1"/>
  <c r="G4139" i="1"/>
  <c r="F4139" i="1"/>
  <c r="E4139" i="1"/>
  <c r="D4139" i="1"/>
  <c r="C4139" i="1"/>
  <c r="B4139" i="1"/>
  <c r="A4139" i="1"/>
  <c r="R4138" i="1"/>
  <c r="J4138" i="1"/>
  <c r="I4138" i="1"/>
  <c r="G4138" i="1"/>
  <c r="F4138" i="1"/>
  <c r="E4138" i="1"/>
  <c r="D4138" i="1"/>
  <c r="C4138" i="1"/>
  <c r="B4138" i="1"/>
  <c r="A4138" i="1"/>
  <c r="S4137" i="1"/>
  <c r="O4137" i="1"/>
  <c r="K4137" i="1"/>
  <c r="J4137" i="1"/>
  <c r="I4137" i="1"/>
  <c r="H4137" i="1"/>
  <c r="G4137" i="1"/>
  <c r="F4137" i="1"/>
  <c r="E4137" i="1"/>
  <c r="D4137" i="1"/>
  <c r="C4137" i="1"/>
  <c r="B4137" i="1"/>
  <c r="A4137" i="1"/>
  <c r="R4136" i="1"/>
  <c r="J4136" i="1"/>
  <c r="I4136" i="1"/>
  <c r="G4136" i="1"/>
  <c r="F4136" i="1"/>
  <c r="E4136" i="1"/>
  <c r="D4136" i="1"/>
  <c r="C4136" i="1"/>
  <c r="B4136" i="1"/>
  <c r="A4136" i="1"/>
  <c r="S4135" i="1"/>
  <c r="O4135" i="1"/>
  <c r="K4135" i="1"/>
  <c r="J4135" i="1"/>
  <c r="I4135" i="1"/>
  <c r="H4135" i="1"/>
  <c r="G4135" i="1"/>
  <c r="F4135" i="1"/>
  <c r="E4135" i="1"/>
  <c r="D4135" i="1"/>
  <c r="C4135" i="1"/>
  <c r="B4135" i="1"/>
  <c r="A4135" i="1"/>
  <c r="R4134" i="1"/>
  <c r="J4134" i="1"/>
  <c r="I4134" i="1"/>
  <c r="G4134" i="1"/>
  <c r="F4134" i="1"/>
  <c r="E4134" i="1"/>
  <c r="D4134" i="1"/>
  <c r="C4134" i="1"/>
  <c r="B4134" i="1"/>
  <c r="A4134" i="1"/>
  <c r="S4133" i="1"/>
  <c r="O4133" i="1"/>
  <c r="K4133" i="1"/>
  <c r="J4133" i="1"/>
  <c r="I4133" i="1"/>
  <c r="H4133" i="1"/>
  <c r="G4133" i="1"/>
  <c r="F4133" i="1"/>
  <c r="E4133" i="1"/>
  <c r="D4133" i="1"/>
  <c r="C4133" i="1"/>
  <c r="B4133" i="1"/>
  <c r="A4133" i="1"/>
  <c r="R4132" i="1"/>
  <c r="J4132" i="1"/>
  <c r="I4132" i="1"/>
  <c r="G4132" i="1"/>
  <c r="F4132" i="1"/>
  <c r="E4132" i="1"/>
  <c r="D4132" i="1"/>
  <c r="C4132" i="1"/>
  <c r="B4132" i="1"/>
  <c r="A4132" i="1"/>
  <c r="S4131" i="1"/>
  <c r="O4131" i="1"/>
  <c r="K4131" i="1"/>
  <c r="J4131" i="1"/>
  <c r="I4131" i="1"/>
  <c r="H4131" i="1"/>
  <c r="G4131" i="1"/>
  <c r="F4131" i="1"/>
  <c r="E4131" i="1"/>
  <c r="D4131" i="1"/>
  <c r="C4131" i="1"/>
  <c r="B4131" i="1"/>
  <c r="A4131" i="1"/>
  <c r="R4130" i="1"/>
  <c r="J4130" i="1"/>
  <c r="I4130" i="1"/>
  <c r="G4130" i="1"/>
  <c r="F4130" i="1"/>
  <c r="E4130" i="1"/>
  <c r="D4130" i="1"/>
  <c r="C4130" i="1"/>
  <c r="B4130" i="1"/>
  <c r="A4130" i="1"/>
  <c r="S4129" i="1"/>
  <c r="O4129" i="1"/>
  <c r="K4129" i="1"/>
  <c r="J4129" i="1"/>
  <c r="I4129" i="1"/>
  <c r="H4129" i="1"/>
  <c r="G4129" i="1"/>
  <c r="F4129" i="1"/>
  <c r="E4129" i="1"/>
  <c r="D4129" i="1"/>
  <c r="C4129" i="1"/>
  <c r="B4129" i="1"/>
  <c r="A4129" i="1"/>
  <c r="R4128" i="1"/>
  <c r="J4128" i="1"/>
  <c r="I4128" i="1"/>
  <c r="G4128" i="1"/>
  <c r="F4128" i="1"/>
  <c r="E4128" i="1"/>
  <c r="D4128" i="1"/>
  <c r="C4128" i="1"/>
  <c r="B4128" i="1"/>
  <c r="A4128" i="1"/>
  <c r="S4127" i="1"/>
  <c r="O4127" i="1"/>
  <c r="K4127" i="1"/>
  <c r="J4127" i="1"/>
  <c r="I4127" i="1"/>
  <c r="H4127" i="1"/>
  <c r="G4127" i="1"/>
  <c r="F4127" i="1"/>
  <c r="E4127" i="1"/>
  <c r="D4127" i="1"/>
  <c r="C4127" i="1"/>
  <c r="B4127" i="1"/>
  <c r="A4127" i="1"/>
  <c r="R4126" i="1"/>
  <c r="J4126" i="1"/>
  <c r="I4126" i="1"/>
  <c r="G4126" i="1"/>
  <c r="F4126" i="1"/>
  <c r="E4126" i="1"/>
  <c r="D4126" i="1"/>
  <c r="C4126" i="1"/>
  <c r="B4126" i="1"/>
  <c r="A4126" i="1"/>
  <c r="S4125" i="1"/>
  <c r="O4125" i="1"/>
  <c r="K4125" i="1"/>
  <c r="J4125" i="1"/>
  <c r="I4125" i="1"/>
  <c r="H4125" i="1"/>
  <c r="G4125" i="1"/>
  <c r="F4125" i="1"/>
  <c r="E4125" i="1"/>
  <c r="D4125" i="1"/>
  <c r="C4125" i="1"/>
  <c r="B4125" i="1"/>
  <c r="A4125" i="1"/>
  <c r="R4124" i="1"/>
  <c r="J4124" i="1"/>
  <c r="I4124" i="1"/>
  <c r="G4124" i="1"/>
  <c r="F4124" i="1"/>
  <c r="E4124" i="1"/>
  <c r="D4124" i="1"/>
  <c r="C4124" i="1"/>
  <c r="B4124" i="1"/>
  <c r="A4124" i="1"/>
  <c r="S4123" i="1"/>
  <c r="O4123" i="1"/>
  <c r="K4123" i="1"/>
  <c r="J4123" i="1"/>
  <c r="I4123" i="1"/>
  <c r="H4123" i="1"/>
  <c r="G4123" i="1"/>
  <c r="F4123" i="1"/>
  <c r="E4123" i="1"/>
  <c r="D4123" i="1"/>
  <c r="C4123" i="1"/>
  <c r="B4123" i="1"/>
  <c r="A4123" i="1"/>
  <c r="R4122" i="1"/>
  <c r="J4122" i="1"/>
  <c r="I4122" i="1"/>
  <c r="G4122" i="1"/>
  <c r="F4122" i="1"/>
  <c r="E4122" i="1"/>
  <c r="D4122" i="1"/>
  <c r="C4122" i="1"/>
  <c r="B4122" i="1"/>
  <c r="A4122" i="1"/>
  <c r="S4121" i="1"/>
  <c r="O4121" i="1"/>
  <c r="K4121" i="1"/>
  <c r="J4121" i="1"/>
  <c r="I4121" i="1"/>
  <c r="H4121" i="1"/>
  <c r="G4121" i="1"/>
  <c r="F4121" i="1"/>
  <c r="E4121" i="1"/>
  <c r="D4121" i="1"/>
  <c r="C4121" i="1"/>
  <c r="B4121" i="1"/>
  <c r="A4121" i="1"/>
  <c r="R4120" i="1"/>
  <c r="J4120" i="1"/>
  <c r="I4120" i="1"/>
  <c r="G4120" i="1"/>
  <c r="F4120" i="1"/>
  <c r="E4120" i="1"/>
  <c r="D4120" i="1"/>
  <c r="C4120" i="1"/>
  <c r="B4120" i="1"/>
  <c r="A4120" i="1"/>
  <c r="S4119" i="1"/>
  <c r="O4119" i="1"/>
  <c r="K4119" i="1"/>
  <c r="J4119" i="1"/>
  <c r="I4119" i="1"/>
  <c r="H4119" i="1"/>
  <c r="G4119" i="1"/>
  <c r="F4119" i="1"/>
  <c r="E4119" i="1"/>
  <c r="D4119" i="1"/>
  <c r="C4119" i="1"/>
  <c r="B4119" i="1"/>
  <c r="A4119" i="1"/>
  <c r="R4118" i="1"/>
  <c r="J4118" i="1"/>
  <c r="I4118" i="1"/>
  <c r="G4118" i="1"/>
  <c r="F4118" i="1"/>
  <c r="E4118" i="1"/>
  <c r="D4118" i="1"/>
  <c r="C4118" i="1"/>
  <c r="B4118" i="1"/>
  <c r="A4118" i="1"/>
  <c r="S4117" i="1"/>
  <c r="O4117" i="1"/>
  <c r="K4117" i="1"/>
  <c r="J4117" i="1"/>
  <c r="I4117" i="1"/>
  <c r="H4117" i="1"/>
  <c r="G4117" i="1"/>
  <c r="F4117" i="1"/>
  <c r="E4117" i="1"/>
  <c r="D4117" i="1"/>
  <c r="C4117" i="1"/>
  <c r="B4117" i="1"/>
  <c r="A4117" i="1"/>
  <c r="R4116" i="1"/>
  <c r="J4116" i="1"/>
  <c r="I4116" i="1"/>
  <c r="G4116" i="1"/>
  <c r="F4116" i="1"/>
  <c r="E4116" i="1"/>
  <c r="D4116" i="1"/>
  <c r="C4116" i="1"/>
  <c r="B4116" i="1"/>
  <c r="A4116" i="1"/>
  <c r="S4115" i="1"/>
  <c r="O4115" i="1"/>
  <c r="K4115" i="1"/>
  <c r="J4115" i="1"/>
  <c r="I4115" i="1"/>
  <c r="H4115" i="1"/>
  <c r="G4115" i="1"/>
  <c r="F4115" i="1"/>
  <c r="E4115" i="1"/>
  <c r="D4115" i="1"/>
  <c r="C4115" i="1"/>
  <c r="B4115" i="1"/>
  <c r="A4115" i="1"/>
  <c r="R4114" i="1"/>
  <c r="J4114" i="1"/>
  <c r="I4114" i="1"/>
  <c r="G4114" i="1"/>
  <c r="F4114" i="1"/>
  <c r="E4114" i="1"/>
  <c r="D4114" i="1"/>
  <c r="C4114" i="1"/>
  <c r="B4114" i="1"/>
  <c r="A4114" i="1"/>
  <c r="S4113" i="1"/>
  <c r="O4113" i="1"/>
  <c r="K4113" i="1"/>
  <c r="J4113" i="1"/>
  <c r="I4113" i="1"/>
  <c r="H4113" i="1"/>
  <c r="G4113" i="1"/>
  <c r="F4113" i="1"/>
  <c r="E4113" i="1"/>
  <c r="D4113" i="1"/>
  <c r="C4113" i="1"/>
  <c r="B4113" i="1"/>
  <c r="A4113" i="1"/>
  <c r="R4112" i="1"/>
  <c r="J4112" i="1"/>
  <c r="I4112" i="1"/>
  <c r="G4112" i="1"/>
  <c r="F4112" i="1"/>
  <c r="E4112" i="1"/>
  <c r="D4112" i="1"/>
  <c r="C4112" i="1"/>
  <c r="B4112" i="1"/>
  <c r="A4112" i="1"/>
  <c r="S4111" i="1"/>
  <c r="O4111" i="1"/>
  <c r="K4111" i="1"/>
  <c r="J4111" i="1"/>
  <c r="I4111" i="1"/>
  <c r="H4111" i="1"/>
  <c r="G4111" i="1"/>
  <c r="F4111" i="1"/>
  <c r="E4111" i="1"/>
  <c r="D4111" i="1"/>
  <c r="C4111" i="1"/>
  <c r="B4111" i="1"/>
  <c r="A4111" i="1"/>
  <c r="R4110" i="1"/>
  <c r="J4110" i="1"/>
  <c r="I4110" i="1"/>
  <c r="G4110" i="1"/>
  <c r="F4110" i="1"/>
  <c r="E4110" i="1"/>
  <c r="D4110" i="1"/>
  <c r="C4110" i="1"/>
  <c r="B4110" i="1"/>
  <c r="A4110" i="1"/>
  <c r="S4109" i="1"/>
  <c r="O4109" i="1"/>
  <c r="K4109" i="1"/>
  <c r="J4109" i="1"/>
  <c r="I4109" i="1"/>
  <c r="H4109" i="1"/>
  <c r="G4109" i="1"/>
  <c r="F4109" i="1"/>
  <c r="E4109" i="1"/>
  <c r="D4109" i="1"/>
  <c r="C4109" i="1"/>
  <c r="B4109" i="1"/>
  <c r="A4109" i="1"/>
  <c r="R4108" i="1"/>
  <c r="J4108" i="1"/>
  <c r="I4108" i="1"/>
  <c r="G4108" i="1"/>
  <c r="F4108" i="1"/>
  <c r="E4108" i="1"/>
  <c r="D4108" i="1"/>
  <c r="C4108" i="1"/>
  <c r="B4108" i="1"/>
  <c r="A4108" i="1"/>
  <c r="S4107" i="1"/>
  <c r="O4107" i="1"/>
  <c r="K4107" i="1"/>
  <c r="J4107" i="1"/>
  <c r="I4107" i="1"/>
  <c r="H4107" i="1"/>
  <c r="G4107" i="1"/>
  <c r="F4107" i="1"/>
  <c r="E4107" i="1"/>
  <c r="D4107" i="1"/>
  <c r="C4107" i="1"/>
  <c r="B4107" i="1"/>
  <c r="A4107" i="1"/>
  <c r="R4106" i="1"/>
  <c r="J4106" i="1"/>
  <c r="I4106" i="1"/>
  <c r="G4106" i="1"/>
  <c r="F4106" i="1"/>
  <c r="E4106" i="1"/>
  <c r="D4106" i="1"/>
  <c r="C4106" i="1"/>
  <c r="B4106" i="1"/>
  <c r="A4106" i="1"/>
  <c r="S4105" i="1"/>
  <c r="O4105" i="1"/>
  <c r="K4105" i="1"/>
  <c r="J4105" i="1"/>
  <c r="I4105" i="1"/>
  <c r="H4105" i="1"/>
  <c r="G4105" i="1"/>
  <c r="F4105" i="1"/>
  <c r="E4105" i="1"/>
  <c r="D4105" i="1"/>
  <c r="C4105" i="1"/>
  <c r="B4105" i="1"/>
  <c r="A4105" i="1"/>
  <c r="R4104" i="1"/>
  <c r="J4104" i="1"/>
  <c r="I4104" i="1"/>
  <c r="G4104" i="1"/>
  <c r="F4104" i="1"/>
  <c r="E4104" i="1"/>
  <c r="D4104" i="1"/>
  <c r="C4104" i="1"/>
  <c r="B4104" i="1"/>
  <c r="A4104" i="1"/>
  <c r="S4103" i="1"/>
  <c r="O4103" i="1"/>
  <c r="K4103" i="1"/>
  <c r="J4103" i="1"/>
  <c r="I4103" i="1"/>
  <c r="H4103" i="1"/>
  <c r="G4103" i="1"/>
  <c r="F4103" i="1"/>
  <c r="E4103" i="1"/>
  <c r="D4103" i="1"/>
  <c r="C4103" i="1"/>
  <c r="B4103" i="1"/>
  <c r="A4103" i="1"/>
  <c r="R4102" i="1"/>
  <c r="J4102" i="1"/>
  <c r="I4102" i="1"/>
  <c r="G4102" i="1"/>
  <c r="F4102" i="1"/>
  <c r="E4102" i="1"/>
  <c r="D4102" i="1"/>
  <c r="C4102" i="1"/>
  <c r="B4102" i="1"/>
  <c r="A4102" i="1"/>
  <c r="S4101" i="1"/>
  <c r="O4101" i="1"/>
  <c r="K4101" i="1"/>
  <c r="J4101" i="1"/>
  <c r="I4101" i="1"/>
  <c r="H4101" i="1"/>
  <c r="G4101" i="1"/>
  <c r="F4101" i="1"/>
  <c r="E4101" i="1"/>
  <c r="D4101" i="1"/>
  <c r="C4101" i="1"/>
  <c r="B4101" i="1"/>
  <c r="A4101" i="1"/>
  <c r="R4100" i="1"/>
  <c r="J4100" i="1"/>
  <c r="I4100" i="1"/>
  <c r="G4100" i="1"/>
  <c r="F4100" i="1"/>
  <c r="E4100" i="1"/>
  <c r="D4100" i="1"/>
  <c r="C4100" i="1"/>
  <c r="B4100" i="1"/>
  <c r="A4100" i="1"/>
  <c r="S4099" i="1"/>
  <c r="O4099" i="1"/>
  <c r="K4099" i="1"/>
  <c r="J4099" i="1"/>
  <c r="I4099" i="1"/>
  <c r="H4099" i="1"/>
  <c r="G4099" i="1"/>
  <c r="F4099" i="1"/>
  <c r="E4099" i="1"/>
  <c r="D4099" i="1"/>
  <c r="C4099" i="1"/>
  <c r="B4099" i="1"/>
  <c r="A4099" i="1"/>
  <c r="R4098" i="1"/>
  <c r="J4098" i="1"/>
  <c r="I4098" i="1"/>
  <c r="G4098" i="1"/>
  <c r="F4098" i="1"/>
  <c r="E4098" i="1"/>
  <c r="D4098" i="1"/>
  <c r="C4098" i="1"/>
  <c r="B4098" i="1"/>
  <c r="A4098" i="1"/>
  <c r="S4097" i="1"/>
  <c r="O4097" i="1"/>
  <c r="K4097" i="1"/>
  <c r="J4097" i="1"/>
  <c r="I4097" i="1"/>
  <c r="H4097" i="1"/>
  <c r="G4097" i="1"/>
  <c r="F4097" i="1"/>
  <c r="E4097" i="1"/>
  <c r="D4097" i="1"/>
  <c r="C4097" i="1"/>
  <c r="B4097" i="1"/>
  <c r="A4097" i="1"/>
  <c r="R4096" i="1"/>
  <c r="J4096" i="1"/>
  <c r="I4096" i="1"/>
  <c r="G4096" i="1"/>
  <c r="F4096" i="1"/>
  <c r="E4096" i="1"/>
  <c r="D4096" i="1"/>
  <c r="C4096" i="1"/>
  <c r="B4096" i="1"/>
  <c r="A4096" i="1"/>
  <c r="S4095" i="1"/>
  <c r="O4095" i="1"/>
  <c r="K4095" i="1"/>
  <c r="J4095" i="1"/>
  <c r="I4095" i="1"/>
  <c r="H4095" i="1"/>
  <c r="G4095" i="1"/>
  <c r="F4095" i="1"/>
  <c r="E4095" i="1"/>
  <c r="D4095" i="1"/>
  <c r="C4095" i="1"/>
  <c r="B4095" i="1"/>
  <c r="A4095" i="1"/>
  <c r="R4094" i="1"/>
  <c r="J4094" i="1"/>
  <c r="I4094" i="1"/>
  <c r="G4094" i="1"/>
  <c r="F4094" i="1"/>
  <c r="E4094" i="1"/>
  <c r="D4094" i="1"/>
  <c r="C4094" i="1"/>
  <c r="B4094" i="1"/>
  <c r="A4094" i="1"/>
  <c r="S4093" i="1"/>
  <c r="O4093" i="1"/>
  <c r="K4093" i="1"/>
  <c r="J4093" i="1"/>
  <c r="I4093" i="1"/>
  <c r="H4093" i="1"/>
  <c r="G4093" i="1"/>
  <c r="F4093" i="1"/>
  <c r="E4093" i="1"/>
  <c r="D4093" i="1"/>
  <c r="C4093" i="1"/>
  <c r="B4093" i="1"/>
  <c r="A4093" i="1"/>
  <c r="R4092" i="1"/>
  <c r="J4092" i="1"/>
  <c r="I4092" i="1"/>
  <c r="G4092" i="1"/>
  <c r="F4092" i="1"/>
  <c r="E4092" i="1"/>
  <c r="D4092" i="1"/>
  <c r="C4092" i="1"/>
  <c r="B4092" i="1"/>
  <c r="A4092" i="1"/>
  <c r="S4091" i="1"/>
  <c r="O4091" i="1"/>
  <c r="K4091" i="1"/>
  <c r="J4091" i="1"/>
  <c r="I4091" i="1"/>
  <c r="H4091" i="1"/>
  <c r="G4091" i="1"/>
  <c r="F4091" i="1"/>
  <c r="E4091" i="1"/>
  <c r="D4091" i="1"/>
  <c r="C4091" i="1"/>
  <c r="B4091" i="1"/>
  <c r="A4091" i="1"/>
  <c r="R4090" i="1"/>
  <c r="J4090" i="1"/>
  <c r="I4090" i="1"/>
  <c r="G4090" i="1"/>
  <c r="F4090" i="1"/>
  <c r="E4090" i="1"/>
  <c r="D4090" i="1"/>
  <c r="C4090" i="1"/>
  <c r="B4090" i="1"/>
  <c r="A4090" i="1"/>
  <c r="S4089" i="1"/>
  <c r="O4089" i="1"/>
  <c r="K4089" i="1"/>
  <c r="J4089" i="1"/>
  <c r="I4089" i="1"/>
  <c r="H4089" i="1"/>
  <c r="G4089" i="1"/>
  <c r="F4089" i="1"/>
  <c r="E4089" i="1"/>
  <c r="D4089" i="1"/>
  <c r="C4089" i="1"/>
  <c r="B4089" i="1"/>
  <c r="A4089" i="1"/>
  <c r="R4088" i="1"/>
  <c r="J4088" i="1"/>
  <c r="I4088" i="1"/>
  <c r="G4088" i="1"/>
  <c r="F4088" i="1"/>
  <c r="E4088" i="1"/>
  <c r="D4088" i="1"/>
  <c r="C4088" i="1"/>
  <c r="B4088" i="1"/>
  <c r="A4088" i="1"/>
  <c r="S4087" i="1"/>
  <c r="O4087" i="1"/>
  <c r="K4087" i="1"/>
  <c r="J4087" i="1"/>
  <c r="I4087" i="1"/>
  <c r="H4087" i="1"/>
  <c r="G4087" i="1"/>
  <c r="F4087" i="1"/>
  <c r="E4087" i="1"/>
  <c r="D4087" i="1"/>
  <c r="C4087" i="1"/>
  <c r="B4087" i="1"/>
  <c r="A4087" i="1"/>
  <c r="R4086" i="1"/>
  <c r="J4086" i="1"/>
  <c r="I4086" i="1"/>
  <c r="G4086" i="1"/>
  <c r="F4086" i="1"/>
  <c r="E4086" i="1"/>
  <c r="D4086" i="1"/>
  <c r="C4086" i="1"/>
  <c r="B4086" i="1"/>
  <c r="A4086" i="1"/>
  <c r="S4085" i="1"/>
  <c r="O4085" i="1"/>
  <c r="K4085" i="1"/>
  <c r="J4085" i="1"/>
  <c r="I4085" i="1"/>
  <c r="H4085" i="1"/>
  <c r="G4085" i="1"/>
  <c r="F4085" i="1"/>
  <c r="E4085" i="1"/>
  <c r="D4085" i="1"/>
  <c r="C4085" i="1"/>
  <c r="B4085" i="1"/>
  <c r="A4085" i="1"/>
  <c r="R4084" i="1"/>
  <c r="J4084" i="1"/>
  <c r="I4084" i="1"/>
  <c r="G4084" i="1"/>
  <c r="F4084" i="1"/>
  <c r="E4084" i="1"/>
  <c r="D4084" i="1"/>
  <c r="C4084" i="1"/>
  <c r="B4084" i="1"/>
  <c r="A4084" i="1"/>
  <c r="S4083" i="1"/>
  <c r="O4083" i="1"/>
  <c r="K4083" i="1"/>
  <c r="J4083" i="1"/>
  <c r="I4083" i="1"/>
  <c r="H4083" i="1"/>
  <c r="G4083" i="1"/>
  <c r="F4083" i="1"/>
  <c r="E4083" i="1"/>
  <c r="D4083" i="1"/>
  <c r="C4083" i="1"/>
  <c r="B4083" i="1"/>
  <c r="A4083" i="1"/>
  <c r="R4082" i="1"/>
  <c r="J4082" i="1"/>
  <c r="I4082" i="1"/>
  <c r="G4082" i="1"/>
  <c r="F4082" i="1"/>
  <c r="E4082" i="1"/>
  <c r="D4082" i="1"/>
  <c r="C4082" i="1"/>
  <c r="B4082" i="1"/>
  <c r="A4082" i="1"/>
  <c r="S4081" i="1"/>
  <c r="O4081" i="1"/>
  <c r="K4081" i="1"/>
  <c r="J4081" i="1"/>
  <c r="I4081" i="1"/>
  <c r="H4081" i="1"/>
  <c r="G4081" i="1"/>
  <c r="F4081" i="1"/>
  <c r="E4081" i="1"/>
  <c r="D4081" i="1"/>
  <c r="C4081" i="1"/>
  <c r="B4081" i="1"/>
  <c r="A4081" i="1"/>
  <c r="R4080" i="1"/>
  <c r="J4080" i="1"/>
  <c r="I4080" i="1"/>
  <c r="G4080" i="1"/>
  <c r="F4080" i="1"/>
  <c r="E4080" i="1"/>
  <c r="D4080" i="1"/>
  <c r="C4080" i="1"/>
  <c r="B4080" i="1"/>
  <c r="A4080" i="1"/>
  <c r="S4079" i="1"/>
  <c r="O4079" i="1"/>
  <c r="K4079" i="1"/>
  <c r="J4079" i="1"/>
  <c r="I4079" i="1"/>
  <c r="H4079" i="1"/>
  <c r="G4079" i="1"/>
  <c r="F4079" i="1"/>
  <c r="E4079" i="1"/>
  <c r="D4079" i="1"/>
  <c r="C4079" i="1"/>
  <c r="B4079" i="1"/>
  <c r="A4079" i="1"/>
  <c r="R4078" i="1"/>
  <c r="J4078" i="1"/>
  <c r="I4078" i="1"/>
  <c r="G4078" i="1"/>
  <c r="F4078" i="1"/>
  <c r="E4078" i="1"/>
  <c r="D4078" i="1"/>
  <c r="C4078" i="1"/>
  <c r="B4078" i="1"/>
  <c r="A4078" i="1"/>
  <c r="S4077" i="1"/>
  <c r="O4077" i="1"/>
  <c r="K4077" i="1"/>
  <c r="J4077" i="1"/>
  <c r="I4077" i="1"/>
  <c r="H4077" i="1"/>
  <c r="G4077" i="1"/>
  <c r="F4077" i="1"/>
  <c r="E4077" i="1"/>
  <c r="D4077" i="1"/>
  <c r="C4077" i="1"/>
  <c r="B4077" i="1"/>
  <c r="A4077" i="1"/>
  <c r="R4076" i="1"/>
  <c r="J4076" i="1"/>
  <c r="I4076" i="1"/>
  <c r="G4076" i="1"/>
  <c r="F4076" i="1"/>
  <c r="E4076" i="1"/>
  <c r="D4076" i="1"/>
  <c r="C4076" i="1"/>
  <c r="B4076" i="1"/>
  <c r="A4076" i="1"/>
  <c r="S4075" i="1"/>
  <c r="O4075" i="1"/>
  <c r="K4075" i="1"/>
  <c r="J4075" i="1"/>
  <c r="I4075" i="1"/>
  <c r="H4075" i="1"/>
  <c r="G4075" i="1"/>
  <c r="F4075" i="1"/>
  <c r="E4075" i="1"/>
  <c r="D4075" i="1"/>
  <c r="C4075" i="1"/>
  <c r="B4075" i="1"/>
  <c r="A4075" i="1"/>
  <c r="R4074" i="1"/>
  <c r="J4074" i="1"/>
  <c r="I4074" i="1"/>
  <c r="G4074" i="1"/>
  <c r="F4074" i="1"/>
  <c r="E4074" i="1"/>
  <c r="D4074" i="1"/>
  <c r="C4074" i="1"/>
  <c r="B4074" i="1"/>
  <c r="A4074" i="1"/>
  <c r="S4073" i="1"/>
  <c r="O4073" i="1"/>
  <c r="K4073" i="1"/>
  <c r="J4073" i="1"/>
  <c r="I4073" i="1"/>
  <c r="H4073" i="1"/>
  <c r="G4073" i="1"/>
  <c r="F4073" i="1"/>
  <c r="E4073" i="1"/>
  <c r="D4073" i="1"/>
  <c r="C4073" i="1"/>
  <c r="B4073" i="1"/>
  <c r="A4073" i="1"/>
  <c r="R4072" i="1"/>
  <c r="J4072" i="1"/>
  <c r="I4072" i="1"/>
  <c r="G4072" i="1"/>
  <c r="F4072" i="1"/>
  <c r="E4072" i="1"/>
  <c r="D4072" i="1"/>
  <c r="C4072" i="1"/>
  <c r="B4072" i="1"/>
  <c r="A4072" i="1"/>
  <c r="S4071" i="1"/>
  <c r="O4071" i="1"/>
  <c r="K4071" i="1"/>
  <c r="J4071" i="1"/>
  <c r="I4071" i="1"/>
  <c r="H4071" i="1"/>
  <c r="G4071" i="1"/>
  <c r="F4071" i="1"/>
  <c r="E4071" i="1"/>
  <c r="D4071" i="1"/>
  <c r="C4071" i="1"/>
  <c r="B4071" i="1"/>
  <c r="A4071" i="1"/>
  <c r="R4070" i="1"/>
  <c r="J4070" i="1"/>
  <c r="I4070" i="1"/>
  <c r="G4070" i="1"/>
  <c r="F4070" i="1"/>
  <c r="E4070" i="1"/>
  <c r="D4070" i="1"/>
  <c r="C4070" i="1"/>
  <c r="B4070" i="1"/>
  <c r="A4070" i="1"/>
  <c r="S4069" i="1"/>
  <c r="O4069" i="1"/>
  <c r="K4069" i="1"/>
  <c r="J4069" i="1"/>
  <c r="I4069" i="1"/>
  <c r="H4069" i="1"/>
  <c r="G4069" i="1"/>
  <c r="F4069" i="1"/>
  <c r="E4069" i="1"/>
  <c r="D4069" i="1"/>
  <c r="C4069" i="1"/>
  <c r="B4069" i="1"/>
  <c r="A4069" i="1"/>
  <c r="R4068" i="1"/>
  <c r="J4068" i="1"/>
  <c r="I4068" i="1"/>
  <c r="G4068" i="1"/>
  <c r="F4068" i="1"/>
  <c r="E4068" i="1"/>
  <c r="D4068" i="1"/>
  <c r="C4068" i="1"/>
  <c r="B4068" i="1"/>
  <c r="A4068" i="1"/>
  <c r="S4067" i="1"/>
  <c r="O4067" i="1"/>
  <c r="K4067" i="1"/>
  <c r="J4067" i="1"/>
  <c r="I4067" i="1"/>
  <c r="H4067" i="1"/>
  <c r="G4067" i="1"/>
  <c r="F4067" i="1"/>
  <c r="E4067" i="1"/>
  <c r="D4067" i="1"/>
  <c r="C4067" i="1"/>
  <c r="B4067" i="1"/>
  <c r="A4067" i="1"/>
  <c r="R4066" i="1"/>
  <c r="J4066" i="1"/>
  <c r="I4066" i="1"/>
  <c r="G4066" i="1"/>
  <c r="F4066" i="1"/>
  <c r="E4066" i="1"/>
  <c r="D4066" i="1"/>
  <c r="C4066" i="1"/>
  <c r="B4066" i="1"/>
  <c r="A4066" i="1"/>
  <c r="S4065" i="1"/>
  <c r="O4065" i="1"/>
  <c r="K4065" i="1"/>
  <c r="J4065" i="1"/>
  <c r="I4065" i="1"/>
  <c r="H4065" i="1"/>
  <c r="G4065" i="1"/>
  <c r="F4065" i="1"/>
  <c r="E4065" i="1"/>
  <c r="D4065" i="1"/>
  <c r="C4065" i="1"/>
  <c r="B4065" i="1"/>
  <c r="A4065" i="1"/>
  <c r="R4064" i="1"/>
  <c r="J4064" i="1"/>
  <c r="I4064" i="1"/>
  <c r="G4064" i="1"/>
  <c r="F4064" i="1"/>
  <c r="E4064" i="1"/>
  <c r="D4064" i="1"/>
  <c r="C4064" i="1"/>
  <c r="B4064" i="1"/>
  <c r="A4064" i="1"/>
  <c r="S4063" i="1"/>
  <c r="O4063" i="1"/>
  <c r="K4063" i="1"/>
  <c r="J4063" i="1"/>
  <c r="I4063" i="1"/>
  <c r="H4063" i="1"/>
  <c r="G4063" i="1"/>
  <c r="F4063" i="1"/>
  <c r="E4063" i="1"/>
  <c r="D4063" i="1"/>
  <c r="C4063" i="1"/>
  <c r="B4063" i="1"/>
  <c r="A4063" i="1"/>
  <c r="R4062" i="1"/>
  <c r="J4062" i="1"/>
  <c r="I4062" i="1"/>
  <c r="G4062" i="1"/>
  <c r="F4062" i="1"/>
  <c r="E4062" i="1"/>
  <c r="D4062" i="1"/>
  <c r="C4062" i="1"/>
  <c r="B4062" i="1"/>
  <c r="A4062" i="1"/>
  <c r="S4061" i="1"/>
  <c r="O4061" i="1"/>
  <c r="K4061" i="1"/>
  <c r="J4061" i="1"/>
  <c r="I4061" i="1"/>
  <c r="H4061" i="1"/>
  <c r="G4061" i="1"/>
  <c r="F4061" i="1"/>
  <c r="E4061" i="1"/>
  <c r="D4061" i="1"/>
  <c r="C4061" i="1"/>
  <c r="B4061" i="1"/>
  <c r="A4061" i="1"/>
  <c r="R4060" i="1"/>
  <c r="J4060" i="1"/>
  <c r="I4060" i="1"/>
  <c r="G4060" i="1"/>
  <c r="F4060" i="1"/>
  <c r="E4060" i="1"/>
  <c r="D4060" i="1"/>
  <c r="C4060" i="1"/>
  <c r="B4060" i="1"/>
  <c r="A4060" i="1"/>
  <c r="S4059" i="1"/>
  <c r="O4059" i="1"/>
  <c r="K4059" i="1"/>
  <c r="J4059" i="1"/>
  <c r="I4059" i="1"/>
  <c r="H4059" i="1"/>
  <c r="G4059" i="1"/>
  <c r="F4059" i="1"/>
  <c r="E4059" i="1"/>
  <c r="D4059" i="1"/>
  <c r="C4059" i="1"/>
  <c r="B4059" i="1"/>
  <c r="A4059" i="1"/>
  <c r="R4058" i="1"/>
  <c r="J4058" i="1"/>
  <c r="I4058" i="1"/>
  <c r="G4058" i="1"/>
  <c r="F4058" i="1"/>
  <c r="E4058" i="1"/>
  <c r="D4058" i="1"/>
  <c r="C4058" i="1"/>
  <c r="B4058" i="1"/>
  <c r="A4058" i="1"/>
  <c r="S4057" i="1"/>
  <c r="O4057" i="1"/>
  <c r="K4057" i="1"/>
  <c r="J4057" i="1"/>
  <c r="I4057" i="1"/>
  <c r="H4057" i="1"/>
  <c r="G4057" i="1"/>
  <c r="F4057" i="1"/>
  <c r="E4057" i="1"/>
  <c r="D4057" i="1"/>
  <c r="C4057" i="1"/>
  <c r="B4057" i="1"/>
  <c r="A4057" i="1"/>
  <c r="R4056" i="1"/>
  <c r="J4056" i="1"/>
  <c r="I4056" i="1"/>
  <c r="G4056" i="1"/>
  <c r="F4056" i="1"/>
  <c r="E4056" i="1"/>
  <c r="D4056" i="1"/>
  <c r="C4056" i="1"/>
  <c r="B4056" i="1"/>
  <c r="A4056" i="1"/>
  <c r="S4055" i="1"/>
  <c r="O4055" i="1"/>
  <c r="K4055" i="1"/>
  <c r="J4055" i="1"/>
  <c r="I4055" i="1"/>
  <c r="H4055" i="1"/>
  <c r="G4055" i="1"/>
  <c r="F4055" i="1"/>
  <c r="E4055" i="1"/>
  <c r="D4055" i="1"/>
  <c r="C4055" i="1"/>
  <c r="B4055" i="1"/>
  <c r="A4055" i="1"/>
  <c r="R4054" i="1"/>
  <c r="J4054" i="1"/>
  <c r="I4054" i="1"/>
  <c r="G4054" i="1"/>
  <c r="F4054" i="1"/>
  <c r="E4054" i="1"/>
  <c r="D4054" i="1"/>
  <c r="C4054" i="1"/>
  <c r="B4054" i="1"/>
  <c r="A4054" i="1"/>
  <c r="S4053" i="1"/>
  <c r="O4053" i="1"/>
  <c r="K4053" i="1"/>
  <c r="J4053" i="1"/>
  <c r="I4053" i="1"/>
  <c r="H4053" i="1"/>
  <c r="G4053" i="1"/>
  <c r="F4053" i="1"/>
  <c r="E4053" i="1"/>
  <c r="D4053" i="1"/>
  <c r="C4053" i="1"/>
  <c r="B4053" i="1"/>
  <c r="A4053" i="1"/>
  <c r="R4052" i="1"/>
  <c r="J4052" i="1"/>
  <c r="I4052" i="1"/>
  <c r="G4052" i="1"/>
  <c r="F4052" i="1"/>
  <c r="E4052" i="1"/>
  <c r="D4052" i="1"/>
  <c r="C4052" i="1"/>
  <c r="B4052" i="1"/>
  <c r="A4052" i="1"/>
  <c r="S4051" i="1"/>
  <c r="O4051" i="1"/>
  <c r="K4051" i="1"/>
  <c r="J4051" i="1"/>
  <c r="I4051" i="1"/>
  <c r="H4051" i="1"/>
  <c r="G4051" i="1"/>
  <c r="F4051" i="1"/>
  <c r="E4051" i="1"/>
  <c r="D4051" i="1"/>
  <c r="C4051" i="1"/>
  <c r="B4051" i="1"/>
  <c r="A4051" i="1"/>
  <c r="R4050" i="1"/>
  <c r="J4050" i="1"/>
  <c r="I4050" i="1"/>
  <c r="G4050" i="1"/>
  <c r="F4050" i="1"/>
  <c r="E4050" i="1"/>
  <c r="D4050" i="1"/>
  <c r="C4050" i="1"/>
  <c r="B4050" i="1"/>
  <c r="A4050" i="1"/>
  <c r="S4049" i="1"/>
  <c r="O4049" i="1"/>
  <c r="K4049" i="1"/>
  <c r="J4049" i="1"/>
  <c r="I4049" i="1"/>
  <c r="H4049" i="1"/>
  <c r="G4049" i="1"/>
  <c r="F4049" i="1"/>
  <c r="E4049" i="1"/>
  <c r="D4049" i="1"/>
  <c r="C4049" i="1"/>
  <c r="B4049" i="1"/>
  <c r="A4049" i="1"/>
  <c r="R4048" i="1"/>
  <c r="J4048" i="1"/>
  <c r="I4048" i="1"/>
  <c r="G4048" i="1"/>
  <c r="F4048" i="1"/>
  <c r="E4048" i="1"/>
  <c r="D4048" i="1"/>
  <c r="C4048" i="1"/>
  <c r="B4048" i="1"/>
  <c r="A4048" i="1"/>
  <c r="S4047" i="1"/>
  <c r="O4047" i="1"/>
  <c r="K4047" i="1"/>
  <c r="J4047" i="1"/>
  <c r="I4047" i="1"/>
  <c r="H4047" i="1"/>
  <c r="G4047" i="1"/>
  <c r="F4047" i="1"/>
  <c r="E4047" i="1"/>
  <c r="D4047" i="1"/>
  <c r="C4047" i="1"/>
  <c r="B4047" i="1"/>
  <c r="A4047" i="1"/>
  <c r="R4046" i="1"/>
  <c r="J4046" i="1"/>
  <c r="I4046" i="1"/>
  <c r="G4046" i="1"/>
  <c r="F4046" i="1"/>
  <c r="E4046" i="1"/>
  <c r="D4046" i="1"/>
  <c r="C4046" i="1"/>
  <c r="B4046" i="1"/>
  <c r="A4046" i="1"/>
  <c r="S4045" i="1"/>
  <c r="O4045" i="1"/>
  <c r="K4045" i="1"/>
  <c r="J4045" i="1"/>
  <c r="I4045" i="1"/>
  <c r="H4045" i="1"/>
  <c r="G4045" i="1"/>
  <c r="F4045" i="1"/>
  <c r="E4045" i="1"/>
  <c r="D4045" i="1"/>
  <c r="C4045" i="1"/>
  <c r="B4045" i="1"/>
  <c r="A4045" i="1"/>
  <c r="R4044" i="1"/>
  <c r="J4044" i="1"/>
  <c r="I4044" i="1"/>
  <c r="G4044" i="1"/>
  <c r="F4044" i="1"/>
  <c r="E4044" i="1"/>
  <c r="D4044" i="1"/>
  <c r="C4044" i="1"/>
  <c r="B4044" i="1"/>
  <c r="A4044" i="1"/>
  <c r="S4043" i="1"/>
  <c r="O4043" i="1"/>
  <c r="K4043" i="1"/>
  <c r="J4043" i="1"/>
  <c r="I4043" i="1"/>
  <c r="H4043" i="1"/>
  <c r="G4043" i="1"/>
  <c r="F4043" i="1"/>
  <c r="E4043" i="1"/>
  <c r="D4043" i="1"/>
  <c r="C4043" i="1"/>
  <c r="B4043" i="1"/>
  <c r="A4043" i="1"/>
  <c r="R4042" i="1"/>
  <c r="J4042" i="1"/>
  <c r="I4042" i="1"/>
  <c r="G4042" i="1"/>
  <c r="F4042" i="1"/>
  <c r="E4042" i="1"/>
  <c r="D4042" i="1"/>
  <c r="C4042" i="1"/>
  <c r="B4042" i="1"/>
  <c r="A4042" i="1"/>
  <c r="S4041" i="1"/>
  <c r="O4041" i="1"/>
  <c r="K4041" i="1"/>
  <c r="J4041" i="1"/>
  <c r="I4041" i="1"/>
  <c r="H4041" i="1"/>
  <c r="G4041" i="1"/>
  <c r="F4041" i="1"/>
  <c r="E4041" i="1"/>
  <c r="D4041" i="1"/>
  <c r="C4041" i="1"/>
  <c r="B4041" i="1"/>
  <c r="A4041" i="1"/>
  <c r="R4040" i="1"/>
  <c r="J4040" i="1"/>
  <c r="I4040" i="1"/>
  <c r="G4040" i="1"/>
  <c r="F4040" i="1"/>
  <c r="E4040" i="1"/>
  <c r="D4040" i="1"/>
  <c r="C4040" i="1"/>
  <c r="B4040" i="1"/>
  <c r="A4040" i="1"/>
  <c r="S4039" i="1"/>
  <c r="O4039" i="1"/>
  <c r="K4039" i="1"/>
  <c r="J4039" i="1"/>
  <c r="I4039" i="1"/>
  <c r="H4039" i="1"/>
  <c r="G4039" i="1"/>
  <c r="F4039" i="1"/>
  <c r="E4039" i="1"/>
  <c r="D4039" i="1"/>
  <c r="C4039" i="1"/>
  <c r="B4039" i="1"/>
  <c r="A4039" i="1"/>
  <c r="R4038" i="1"/>
  <c r="J4038" i="1"/>
  <c r="I4038" i="1"/>
  <c r="G4038" i="1"/>
  <c r="F4038" i="1"/>
  <c r="E4038" i="1"/>
  <c r="D4038" i="1"/>
  <c r="C4038" i="1"/>
  <c r="B4038" i="1"/>
  <c r="A4038" i="1"/>
  <c r="S4037" i="1"/>
  <c r="O4037" i="1"/>
  <c r="K4037" i="1"/>
  <c r="J4037" i="1"/>
  <c r="I4037" i="1"/>
  <c r="H4037" i="1"/>
  <c r="G4037" i="1"/>
  <c r="F4037" i="1"/>
  <c r="E4037" i="1"/>
  <c r="D4037" i="1"/>
  <c r="C4037" i="1"/>
  <c r="B4037" i="1"/>
  <c r="A4037" i="1"/>
  <c r="R4036" i="1"/>
  <c r="J4036" i="1"/>
  <c r="I4036" i="1"/>
  <c r="G4036" i="1"/>
  <c r="F4036" i="1"/>
  <c r="E4036" i="1"/>
  <c r="D4036" i="1"/>
  <c r="C4036" i="1"/>
  <c r="B4036" i="1"/>
  <c r="A4036" i="1"/>
  <c r="S4035" i="1"/>
  <c r="O4035" i="1"/>
  <c r="K4035" i="1"/>
  <c r="J4035" i="1"/>
  <c r="I4035" i="1"/>
  <c r="H4035" i="1"/>
  <c r="G4035" i="1"/>
  <c r="F4035" i="1"/>
  <c r="E4035" i="1"/>
  <c r="D4035" i="1"/>
  <c r="C4035" i="1"/>
  <c r="B4035" i="1"/>
  <c r="A4035" i="1"/>
  <c r="R4034" i="1"/>
  <c r="J4034" i="1"/>
  <c r="I4034" i="1"/>
  <c r="G4034" i="1"/>
  <c r="F4034" i="1"/>
  <c r="E4034" i="1"/>
  <c r="D4034" i="1"/>
  <c r="C4034" i="1"/>
  <c r="B4034" i="1"/>
  <c r="A4034" i="1"/>
  <c r="S4033" i="1"/>
  <c r="O4033" i="1"/>
  <c r="K4033" i="1"/>
  <c r="J4033" i="1"/>
  <c r="I4033" i="1"/>
  <c r="H4033" i="1"/>
  <c r="G4033" i="1"/>
  <c r="F4033" i="1"/>
  <c r="E4033" i="1"/>
  <c r="D4033" i="1"/>
  <c r="C4033" i="1"/>
  <c r="B4033" i="1"/>
  <c r="A4033" i="1"/>
  <c r="R4032" i="1"/>
  <c r="J4032" i="1"/>
  <c r="I4032" i="1"/>
  <c r="G4032" i="1"/>
  <c r="F4032" i="1"/>
  <c r="E4032" i="1"/>
  <c r="D4032" i="1"/>
  <c r="C4032" i="1"/>
  <c r="B4032" i="1"/>
  <c r="A4032" i="1"/>
  <c r="S4031" i="1"/>
  <c r="O4031" i="1"/>
  <c r="K4031" i="1"/>
  <c r="J4031" i="1"/>
  <c r="I4031" i="1"/>
  <c r="H4031" i="1"/>
  <c r="G4031" i="1"/>
  <c r="F4031" i="1"/>
  <c r="E4031" i="1"/>
  <c r="D4031" i="1"/>
  <c r="C4031" i="1"/>
  <c r="B4031" i="1"/>
  <c r="A4031" i="1"/>
  <c r="R4030" i="1"/>
  <c r="J4030" i="1"/>
  <c r="I4030" i="1"/>
  <c r="G4030" i="1"/>
  <c r="F4030" i="1"/>
  <c r="E4030" i="1"/>
  <c r="D4030" i="1"/>
  <c r="C4030" i="1"/>
  <c r="B4030" i="1"/>
  <c r="A4030" i="1"/>
  <c r="S4029" i="1"/>
  <c r="O4029" i="1"/>
  <c r="K4029" i="1"/>
  <c r="J4029" i="1"/>
  <c r="I4029" i="1"/>
  <c r="H4029" i="1"/>
  <c r="G4029" i="1"/>
  <c r="F4029" i="1"/>
  <c r="E4029" i="1"/>
  <c r="D4029" i="1"/>
  <c r="C4029" i="1"/>
  <c r="B4029" i="1"/>
  <c r="A4029" i="1"/>
  <c r="R4028" i="1"/>
  <c r="J4028" i="1"/>
  <c r="I4028" i="1"/>
  <c r="G4028" i="1"/>
  <c r="F4028" i="1"/>
  <c r="E4028" i="1"/>
  <c r="D4028" i="1"/>
  <c r="C4028" i="1"/>
  <c r="B4028" i="1"/>
  <c r="A4028" i="1"/>
  <c r="S4027" i="1"/>
  <c r="O4027" i="1"/>
  <c r="K4027" i="1"/>
  <c r="J4027" i="1"/>
  <c r="I4027" i="1"/>
  <c r="H4027" i="1"/>
  <c r="G4027" i="1"/>
  <c r="F4027" i="1"/>
  <c r="E4027" i="1"/>
  <c r="D4027" i="1"/>
  <c r="C4027" i="1"/>
  <c r="B4027" i="1"/>
  <c r="A4027" i="1"/>
  <c r="R4026" i="1"/>
  <c r="J4026" i="1"/>
  <c r="I4026" i="1"/>
  <c r="G4026" i="1"/>
  <c r="F4026" i="1"/>
  <c r="E4026" i="1"/>
  <c r="D4026" i="1"/>
  <c r="C4026" i="1"/>
  <c r="B4026" i="1"/>
  <c r="A4026" i="1"/>
  <c r="S4025" i="1"/>
  <c r="O4025" i="1"/>
  <c r="K4025" i="1"/>
  <c r="J4025" i="1"/>
  <c r="I4025" i="1"/>
  <c r="H4025" i="1"/>
  <c r="G4025" i="1"/>
  <c r="F4025" i="1"/>
  <c r="E4025" i="1"/>
  <c r="D4025" i="1"/>
  <c r="C4025" i="1"/>
  <c r="B4025" i="1"/>
  <c r="A4025" i="1"/>
  <c r="R4024" i="1"/>
  <c r="J4024" i="1"/>
  <c r="I4024" i="1"/>
  <c r="G4024" i="1"/>
  <c r="F4024" i="1"/>
  <c r="E4024" i="1"/>
  <c r="D4024" i="1"/>
  <c r="C4024" i="1"/>
  <c r="B4024" i="1"/>
  <c r="A4024" i="1"/>
  <c r="S4023" i="1"/>
  <c r="O4023" i="1"/>
  <c r="K4023" i="1"/>
  <c r="J4023" i="1"/>
  <c r="I4023" i="1"/>
  <c r="H4023" i="1"/>
  <c r="G4023" i="1"/>
  <c r="F4023" i="1"/>
  <c r="E4023" i="1"/>
  <c r="D4023" i="1"/>
  <c r="C4023" i="1"/>
  <c r="B4023" i="1"/>
  <c r="A4023" i="1"/>
  <c r="R4022" i="1"/>
  <c r="J4022" i="1"/>
  <c r="I4022" i="1"/>
  <c r="G4022" i="1"/>
  <c r="F4022" i="1"/>
  <c r="E4022" i="1"/>
  <c r="D4022" i="1"/>
  <c r="C4022" i="1"/>
  <c r="B4022" i="1"/>
  <c r="A4022" i="1"/>
  <c r="S4021" i="1"/>
  <c r="O4021" i="1"/>
  <c r="K4021" i="1"/>
  <c r="J4021" i="1"/>
  <c r="I4021" i="1"/>
  <c r="H4021" i="1"/>
  <c r="G4021" i="1"/>
  <c r="F4021" i="1"/>
  <c r="E4021" i="1"/>
  <c r="D4021" i="1"/>
  <c r="C4021" i="1"/>
  <c r="B4021" i="1"/>
  <c r="A4021" i="1"/>
  <c r="R4020" i="1"/>
  <c r="J4020" i="1"/>
  <c r="I4020" i="1"/>
  <c r="G4020" i="1"/>
  <c r="F4020" i="1"/>
  <c r="E4020" i="1"/>
  <c r="D4020" i="1"/>
  <c r="C4020" i="1"/>
  <c r="B4020" i="1"/>
  <c r="A4020" i="1"/>
  <c r="S4019" i="1"/>
  <c r="O4019" i="1"/>
  <c r="K4019" i="1"/>
  <c r="J4019" i="1"/>
  <c r="I4019" i="1"/>
  <c r="H4019" i="1"/>
  <c r="G4019" i="1"/>
  <c r="F4019" i="1"/>
  <c r="E4019" i="1"/>
  <c r="D4019" i="1"/>
  <c r="C4019" i="1"/>
  <c r="B4019" i="1"/>
  <c r="A4019" i="1"/>
  <c r="R4018" i="1"/>
  <c r="J4018" i="1"/>
  <c r="I4018" i="1"/>
  <c r="G4018" i="1"/>
  <c r="F4018" i="1"/>
  <c r="E4018" i="1"/>
  <c r="D4018" i="1"/>
  <c r="C4018" i="1"/>
  <c r="B4018" i="1"/>
  <c r="A4018" i="1"/>
  <c r="S4017" i="1"/>
  <c r="O4017" i="1"/>
  <c r="K4017" i="1"/>
  <c r="J4017" i="1"/>
  <c r="I4017" i="1"/>
  <c r="H4017" i="1"/>
  <c r="G4017" i="1"/>
  <c r="F4017" i="1"/>
  <c r="E4017" i="1"/>
  <c r="D4017" i="1"/>
  <c r="C4017" i="1"/>
  <c r="B4017" i="1"/>
  <c r="A4017" i="1"/>
  <c r="R4016" i="1"/>
  <c r="J4016" i="1"/>
  <c r="I4016" i="1"/>
  <c r="G4016" i="1"/>
  <c r="F4016" i="1"/>
  <c r="E4016" i="1"/>
  <c r="D4016" i="1"/>
  <c r="C4016" i="1"/>
  <c r="B4016" i="1"/>
  <c r="A4016" i="1"/>
  <c r="S4015" i="1"/>
  <c r="O4015" i="1"/>
  <c r="K4015" i="1"/>
  <c r="J4015" i="1"/>
  <c r="I4015" i="1"/>
  <c r="H4015" i="1"/>
  <c r="G4015" i="1"/>
  <c r="F4015" i="1"/>
  <c r="E4015" i="1"/>
  <c r="D4015" i="1"/>
  <c r="C4015" i="1"/>
  <c r="B4015" i="1"/>
  <c r="A4015" i="1"/>
  <c r="R4014" i="1"/>
  <c r="J4014" i="1"/>
  <c r="I4014" i="1"/>
  <c r="G4014" i="1"/>
  <c r="F4014" i="1"/>
  <c r="E4014" i="1"/>
  <c r="D4014" i="1"/>
  <c r="C4014" i="1"/>
  <c r="B4014" i="1"/>
  <c r="A4014" i="1"/>
  <c r="S4013" i="1"/>
  <c r="O4013" i="1"/>
  <c r="K4013" i="1"/>
  <c r="J4013" i="1"/>
  <c r="I4013" i="1"/>
  <c r="H4013" i="1"/>
  <c r="G4013" i="1"/>
  <c r="F4013" i="1"/>
  <c r="E4013" i="1"/>
  <c r="D4013" i="1"/>
  <c r="C4013" i="1"/>
  <c r="B4013" i="1"/>
  <c r="A4013" i="1"/>
  <c r="R4012" i="1"/>
  <c r="J4012" i="1"/>
  <c r="I4012" i="1"/>
  <c r="G4012" i="1"/>
  <c r="F4012" i="1"/>
  <c r="E4012" i="1"/>
  <c r="D4012" i="1"/>
  <c r="C4012" i="1"/>
  <c r="B4012" i="1"/>
  <c r="A4012" i="1"/>
  <c r="S4011" i="1"/>
  <c r="O4011" i="1"/>
  <c r="K4011" i="1"/>
  <c r="J4011" i="1"/>
  <c r="I4011" i="1"/>
  <c r="H4011" i="1"/>
  <c r="G4011" i="1"/>
  <c r="F4011" i="1"/>
  <c r="E4011" i="1"/>
  <c r="D4011" i="1"/>
  <c r="C4011" i="1"/>
  <c r="B4011" i="1"/>
  <c r="A4011" i="1"/>
  <c r="R4010" i="1"/>
  <c r="J4010" i="1"/>
  <c r="I4010" i="1"/>
  <c r="G4010" i="1"/>
  <c r="F4010" i="1"/>
  <c r="E4010" i="1"/>
  <c r="D4010" i="1"/>
  <c r="C4010" i="1"/>
  <c r="B4010" i="1"/>
  <c r="A4010" i="1"/>
  <c r="S4009" i="1"/>
  <c r="O4009" i="1"/>
  <c r="K4009" i="1"/>
  <c r="J4009" i="1"/>
  <c r="I4009" i="1"/>
  <c r="H4009" i="1"/>
  <c r="G4009" i="1"/>
  <c r="F4009" i="1"/>
  <c r="E4009" i="1"/>
  <c r="D4009" i="1"/>
  <c r="C4009" i="1"/>
  <c r="B4009" i="1"/>
  <c r="A4009" i="1"/>
  <c r="R4008" i="1"/>
  <c r="J4008" i="1"/>
  <c r="I4008" i="1"/>
  <c r="G4008" i="1"/>
  <c r="F4008" i="1"/>
  <c r="E4008" i="1"/>
  <c r="D4008" i="1"/>
  <c r="C4008" i="1"/>
  <c r="B4008" i="1"/>
  <c r="A4008" i="1"/>
  <c r="S4007" i="1"/>
  <c r="O4007" i="1"/>
  <c r="K4007" i="1"/>
  <c r="J4007" i="1"/>
  <c r="I4007" i="1"/>
  <c r="H4007" i="1"/>
  <c r="G4007" i="1"/>
  <c r="F4007" i="1"/>
  <c r="E4007" i="1"/>
  <c r="D4007" i="1"/>
  <c r="C4007" i="1"/>
  <c r="B4007" i="1"/>
  <c r="A4007" i="1"/>
  <c r="R4006" i="1"/>
  <c r="J4006" i="1"/>
  <c r="I4006" i="1"/>
  <c r="G4006" i="1"/>
  <c r="F4006" i="1"/>
  <c r="E4006" i="1"/>
  <c r="D4006" i="1"/>
  <c r="C4006" i="1"/>
  <c r="B4006" i="1"/>
  <c r="A4006" i="1"/>
  <c r="S4005" i="1"/>
  <c r="O4005" i="1"/>
  <c r="K4005" i="1"/>
  <c r="J4005" i="1"/>
  <c r="I4005" i="1"/>
  <c r="H4005" i="1"/>
  <c r="G4005" i="1"/>
  <c r="F4005" i="1"/>
  <c r="E4005" i="1"/>
  <c r="D4005" i="1"/>
  <c r="C4005" i="1"/>
  <c r="B4005" i="1"/>
  <c r="A4005" i="1"/>
  <c r="R4004" i="1"/>
  <c r="J4004" i="1"/>
  <c r="I4004" i="1"/>
  <c r="G4004" i="1"/>
  <c r="F4004" i="1"/>
  <c r="E4004" i="1"/>
  <c r="D4004" i="1"/>
  <c r="C4004" i="1"/>
  <c r="B4004" i="1"/>
  <c r="A4004" i="1"/>
  <c r="S4003" i="1"/>
  <c r="O4003" i="1"/>
  <c r="K4003" i="1"/>
  <c r="J4003" i="1"/>
  <c r="I4003" i="1"/>
  <c r="H4003" i="1"/>
  <c r="G4003" i="1"/>
  <c r="F4003" i="1"/>
  <c r="E4003" i="1"/>
  <c r="D4003" i="1"/>
  <c r="C4003" i="1"/>
  <c r="B4003" i="1"/>
  <c r="A4003" i="1"/>
  <c r="R4002" i="1"/>
  <c r="J4002" i="1"/>
  <c r="I4002" i="1"/>
  <c r="G4002" i="1"/>
  <c r="F4002" i="1"/>
  <c r="E4002" i="1"/>
  <c r="D4002" i="1"/>
  <c r="C4002" i="1"/>
  <c r="B4002" i="1"/>
  <c r="A4002" i="1"/>
  <c r="S4001" i="1"/>
  <c r="O4001" i="1"/>
  <c r="K4001" i="1"/>
  <c r="J4001" i="1"/>
  <c r="I4001" i="1"/>
  <c r="H4001" i="1"/>
  <c r="G4001" i="1"/>
  <c r="F4001" i="1"/>
  <c r="E4001" i="1"/>
  <c r="D4001" i="1"/>
  <c r="C4001" i="1"/>
  <c r="B4001" i="1"/>
  <c r="A4001" i="1"/>
  <c r="R4000" i="1"/>
  <c r="J4000" i="1"/>
  <c r="I4000" i="1"/>
  <c r="G4000" i="1"/>
  <c r="F4000" i="1"/>
  <c r="E4000" i="1"/>
  <c r="D4000" i="1"/>
  <c r="C4000" i="1"/>
  <c r="B4000" i="1"/>
  <c r="A4000" i="1"/>
  <c r="S3999" i="1"/>
  <c r="O3999" i="1"/>
  <c r="K3999" i="1"/>
  <c r="J3999" i="1"/>
  <c r="I3999" i="1"/>
  <c r="H3999" i="1"/>
  <c r="G3999" i="1"/>
  <c r="F3999" i="1"/>
  <c r="E3999" i="1"/>
  <c r="D3999" i="1"/>
  <c r="C3999" i="1"/>
  <c r="B3999" i="1"/>
  <c r="A3999" i="1"/>
  <c r="R3998" i="1"/>
  <c r="J3998" i="1"/>
  <c r="I3998" i="1"/>
  <c r="G3998" i="1"/>
  <c r="F3998" i="1"/>
  <c r="E3998" i="1"/>
  <c r="D3998" i="1"/>
  <c r="C3998" i="1"/>
  <c r="B3998" i="1"/>
  <c r="A3998" i="1"/>
  <c r="S3997" i="1"/>
  <c r="O3997" i="1"/>
  <c r="K3997" i="1"/>
  <c r="J3997" i="1"/>
  <c r="I3997" i="1"/>
  <c r="H3997" i="1"/>
  <c r="G3997" i="1"/>
  <c r="F3997" i="1"/>
  <c r="E3997" i="1"/>
  <c r="D3997" i="1"/>
  <c r="C3997" i="1"/>
  <c r="B3997" i="1"/>
  <c r="A3997" i="1"/>
  <c r="R3996" i="1"/>
  <c r="J3996" i="1"/>
  <c r="I3996" i="1"/>
  <c r="G3996" i="1"/>
  <c r="F3996" i="1"/>
  <c r="E3996" i="1"/>
  <c r="D3996" i="1"/>
  <c r="C3996" i="1"/>
  <c r="B3996" i="1"/>
  <c r="A3996" i="1"/>
  <c r="S3995" i="1"/>
  <c r="O3995" i="1"/>
  <c r="K3995" i="1"/>
  <c r="J3995" i="1"/>
  <c r="I3995" i="1"/>
  <c r="H3995" i="1"/>
  <c r="G3995" i="1"/>
  <c r="F3995" i="1"/>
  <c r="E3995" i="1"/>
  <c r="D3995" i="1"/>
  <c r="C3995" i="1"/>
  <c r="B3995" i="1"/>
  <c r="A3995" i="1"/>
  <c r="R3994" i="1"/>
  <c r="J3994" i="1"/>
  <c r="I3994" i="1"/>
  <c r="G3994" i="1"/>
  <c r="F3994" i="1"/>
  <c r="E3994" i="1"/>
  <c r="D3994" i="1"/>
  <c r="C3994" i="1"/>
  <c r="B3994" i="1"/>
  <c r="A3994" i="1"/>
  <c r="S3993" i="1"/>
  <c r="O3993" i="1"/>
  <c r="K3993" i="1"/>
  <c r="J3993" i="1"/>
  <c r="I3993" i="1"/>
  <c r="H3993" i="1"/>
  <c r="G3993" i="1"/>
  <c r="F3993" i="1"/>
  <c r="E3993" i="1"/>
  <c r="D3993" i="1"/>
  <c r="C3993" i="1"/>
  <c r="B3993" i="1"/>
  <c r="A3993" i="1"/>
  <c r="R3992" i="1"/>
  <c r="J3992" i="1"/>
  <c r="I3992" i="1"/>
  <c r="G3992" i="1"/>
  <c r="F3992" i="1"/>
  <c r="E3992" i="1"/>
  <c r="D3992" i="1"/>
  <c r="C3992" i="1"/>
  <c r="B3992" i="1"/>
  <c r="A3992" i="1"/>
  <c r="S3991" i="1"/>
  <c r="O3991" i="1"/>
  <c r="K3991" i="1"/>
  <c r="J3991" i="1"/>
  <c r="I3991" i="1"/>
  <c r="H3991" i="1"/>
  <c r="G3991" i="1"/>
  <c r="F3991" i="1"/>
  <c r="E3991" i="1"/>
  <c r="D3991" i="1"/>
  <c r="C3991" i="1"/>
  <c r="B3991" i="1"/>
  <c r="A3991" i="1"/>
  <c r="R3990" i="1"/>
  <c r="J3990" i="1"/>
  <c r="I3990" i="1"/>
  <c r="G3990" i="1"/>
  <c r="F3990" i="1"/>
  <c r="E3990" i="1"/>
  <c r="D3990" i="1"/>
  <c r="C3990" i="1"/>
  <c r="B3990" i="1"/>
  <c r="A3990" i="1"/>
  <c r="S3989" i="1"/>
  <c r="O3989" i="1"/>
  <c r="K3989" i="1"/>
  <c r="J3989" i="1"/>
  <c r="I3989" i="1"/>
  <c r="H3989" i="1"/>
  <c r="G3989" i="1"/>
  <c r="F3989" i="1"/>
  <c r="E3989" i="1"/>
  <c r="D3989" i="1"/>
  <c r="C3989" i="1"/>
  <c r="B3989" i="1"/>
  <c r="A3989" i="1"/>
  <c r="R3988" i="1"/>
  <c r="J3988" i="1"/>
  <c r="I3988" i="1"/>
  <c r="G3988" i="1"/>
  <c r="F3988" i="1"/>
  <c r="E3988" i="1"/>
  <c r="D3988" i="1"/>
  <c r="C3988" i="1"/>
  <c r="B3988" i="1"/>
  <c r="A3988" i="1"/>
  <c r="S3987" i="1"/>
  <c r="O3987" i="1"/>
  <c r="K3987" i="1"/>
  <c r="J3987" i="1"/>
  <c r="I3987" i="1"/>
  <c r="H3987" i="1"/>
  <c r="G3987" i="1"/>
  <c r="F3987" i="1"/>
  <c r="E3987" i="1"/>
  <c r="D3987" i="1"/>
  <c r="C3987" i="1"/>
  <c r="B3987" i="1"/>
  <c r="A3987" i="1"/>
  <c r="R3986" i="1"/>
  <c r="J3986" i="1"/>
  <c r="I3986" i="1"/>
  <c r="G3986" i="1"/>
  <c r="F3986" i="1"/>
  <c r="E3986" i="1"/>
  <c r="D3986" i="1"/>
  <c r="C3986" i="1"/>
  <c r="B3986" i="1"/>
  <c r="A3986" i="1"/>
  <c r="S3985" i="1"/>
  <c r="O3985" i="1"/>
  <c r="K3985" i="1"/>
  <c r="J3985" i="1"/>
  <c r="I3985" i="1"/>
  <c r="H3985" i="1"/>
  <c r="G3985" i="1"/>
  <c r="F3985" i="1"/>
  <c r="E3985" i="1"/>
  <c r="D3985" i="1"/>
  <c r="C3985" i="1"/>
  <c r="B3985" i="1"/>
  <c r="A3985" i="1"/>
  <c r="R3984" i="1"/>
  <c r="J3984" i="1"/>
  <c r="I3984" i="1"/>
  <c r="G3984" i="1"/>
  <c r="F3984" i="1"/>
  <c r="E3984" i="1"/>
  <c r="D3984" i="1"/>
  <c r="C3984" i="1"/>
  <c r="B3984" i="1"/>
  <c r="A3984" i="1"/>
  <c r="S3983" i="1"/>
  <c r="O3983" i="1"/>
  <c r="K3983" i="1"/>
  <c r="J3983" i="1"/>
  <c r="I3983" i="1"/>
  <c r="H3983" i="1"/>
  <c r="G3983" i="1"/>
  <c r="F3983" i="1"/>
  <c r="E3983" i="1"/>
  <c r="D3983" i="1"/>
  <c r="C3983" i="1"/>
  <c r="B3983" i="1"/>
  <c r="A3983" i="1"/>
  <c r="R3982" i="1"/>
  <c r="J3982" i="1"/>
  <c r="I3982" i="1"/>
  <c r="G3982" i="1"/>
  <c r="F3982" i="1"/>
  <c r="E3982" i="1"/>
  <c r="D3982" i="1"/>
  <c r="C3982" i="1"/>
  <c r="B3982" i="1"/>
  <c r="A3982" i="1"/>
  <c r="S3981" i="1"/>
  <c r="O3981" i="1"/>
  <c r="K3981" i="1"/>
  <c r="J3981" i="1"/>
  <c r="I3981" i="1"/>
  <c r="H3981" i="1"/>
  <c r="G3981" i="1"/>
  <c r="F3981" i="1"/>
  <c r="E3981" i="1"/>
  <c r="D3981" i="1"/>
  <c r="C3981" i="1"/>
  <c r="B3981" i="1"/>
  <c r="A3981" i="1"/>
  <c r="R3980" i="1"/>
  <c r="J3980" i="1"/>
  <c r="I3980" i="1"/>
  <c r="G3980" i="1"/>
  <c r="F3980" i="1"/>
  <c r="E3980" i="1"/>
  <c r="D3980" i="1"/>
  <c r="C3980" i="1"/>
  <c r="B3980" i="1"/>
  <c r="A3980" i="1"/>
  <c r="S3979" i="1"/>
  <c r="O3979" i="1"/>
  <c r="K3979" i="1"/>
  <c r="J3979" i="1"/>
  <c r="I3979" i="1"/>
  <c r="H3979" i="1"/>
  <c r="G3979" i="1"/>
  <c r="F3979" i="1"/>
  <c r="E3979" i="1"/>
  <c r="D3979" i="1"/>
  <c r="C3979" i="1"/>
  <c r="B3979" i="1"/>
  <c r="A3979" i="1"/>
  <c r="R3978" i="1"/>
  <c r="J3978" i="1"/>
  <c r="I3978" i="1"/>
  <c r="G3978" i="1"/>
  <c r="F3978" i="1"/>
  <c r="E3978" i="1"/>
  <c r="D3978" i="1"/>
  <c r="C3978" i="1"/>
  <c r="B3978" i="1"/>
  <c r="A3978" i="1"/>
  <c r="S3977" i="1"/>
  <c r="O3977" i="1"/>
  <c r="K3977" i="1"/>
  <c r="J3977" i="1"/>
  <c r="I3977" i="1"/>
  <c r="H3977" i="1"/>
  <c r="G3977" i="1"/>
  <c r="F3977" i="1"/>
  <c r="E3977" i="1"/>
  <c r="D3977" i="1"/>
  <c r="C3977" i="1"/>
  <c r="B3977" i="1"/>
  <c r="A3977" i="1"/>
  <c r="R3976" i="1"/>
  <c r="J3976" i="1"/>
  <c r="I3976" i="1"/>
  <c r="G3976" i="1"/>
  <c r="F3976" i="1"/>
  <c r="E3976" i="1"/>
  <c r="D3976" i="1"/>
  <c r="C3976" i="1"/>
  <c r="B3976" i="1"/>
  <c r="A3976" i="1"/>
  <c r="S3975" i="1"/>
  <c r="O3975" i="1"/>
  <c r="K3975" i="1"/>
  <c r="J3975" i="1"/>
  <c r="I3975" i="1"/>
  <c r="H3975" i="1"/>
  <c r="G3975" i="1"/>
  <c r="F3975" i="1"/>
  <c r="E3975" i="1"/>
  <c r="D3975" i="1"/>
  <c r="C3975" i="1"/>
  <c r="B3975" i="1"/>
  <c r="A3975" i="1"/>
  <c r="R3974" i="1"/>
  <c r="J3974" i="1"/>
  <c r="I3974" i="1"/>
  <c r="G3974" i="1"/>
  <c r="F3974" i="1"/>
  <c r="E3974" i="1"/>
  <c r="D3974" i="1"/>
  <c r="C3974" i="1"/>
  <c r="B3974" i="1"/>
  <c r="A3974" i="1"/>
  <c r="S3973" i="1"/>
  <c r="O3973" i="1"/>
  <c r="K3973" i="1"/>
  <c r="J3973" i="1"/>
  <c r="I3973" i="1"/>
  <c r="H3973" i="1"/>
  <c r="G3973" i="1"/>
  <c r="F3973" i="1"/>
  <c r="E3973" i="1"/>
  <c r="D3973" i="1"/>
  <c r="C3973" i="1"/>
  <c r="B3973" i="1"/>
  <c r="A3973" i="1"/>
  <c r="R3972" i="1"/>
  <c r="J3972" i="1"/>
  <c r="I3972" i="1"/>
  <c r="G3972" i="1"/>
  <c r="F3972" i="1"/>
  <c r="E3972" i="1"/>
  <c r="D3972" i="1"/>
  <c r="C3972" i="1"/>
  <c r="B3972" i="1"/>
  <c r="A3972" i="1"/>
  <c r="S3971" i="1"/>
  <c r="O3971" i="1"/>
  <c r="K3971" i="1"/>
  <c r="J3971" i="1"/>
  <c r="I3971" i="1"/>
  <c r="H3971" i="1"/>
  <c r="G3971" i="1"/>
  <c r="F3971" i="1"/>
  <c r="E3971" i="1"/>
  <c r="D3971" i="1"/>
  <c r="C3971" i="1"/>
  <c r="B3971" i="1"/>
  <c r="A3971" i="1"/>
  <c r="R3970" i="1"/>
  <c r="J3970" i="1"/>
  <c r="I3970" i="1"/>
  <c r="G3970" i="1"/>
  <c r="F3970" i="1"/>
  <c r="E3970" i="1"/>
  <c r="D3970" i="1"/>
  <c r="C3970" i="1"/>
  <c r="B3970" i="1"/>
  <c r="A3970" i="1"/>
  <c r="S3969" i="1"/>
  <c r="O3969" i="1"/>
  <c r="K3969" i="1"/>
  <c r="J3969" i="1"/>
  <c r="I3969" i="1"/>
  <c r="H3969" i="1"/>
  <c r="G3969" i="1"/>
  <c r="F3969" i="1"/>
  <c r="E3969" i="1"/>
  <c r="D3969" i="1"/>
  <c r="C3969" i="1"/>
  <c r="B3969" i="1"/>
  <c r="A3969" i="1"/>
  <c r="R3968" i="1"/>
  <c r="J3968" i="1"/>
  <c r="I3968" i="1"/>
  <c r="G3968" i="1"/>
  <c r="F3968" i="1"/>
  <c r="E3968" i="1"/>
  <c r="D3968" i="1"/>
  <c r="C3968" i="1"/>
  <c r="B3968" i="1"/>
  <c r="A3968" i="1"/>
  <c r="S3967" i="1"/>
  <c r="O3967" i="1"/>
  <c r="K3967" i="1"/>
  <c r="J3967" i="1"/>
  <c r="I3967" i="1"/>
  <c r="H3967" i="1"/>
  <c r="G3967" i="1"/>
  <c r="F3967" i="1"/>
  <c r="E3967" i="1"/>
  <c r="D3967" i="1"/>
  <c r="C3967" i="1"/>
  <c r="B3967" i="1"/>
  <c r="A3967" i="1"/>
  <c r="R3966" i="1"/>
  <c r="J3966" i="1"/>
  <c r="I3966" i="1"/>
  <c r="G3966" i="1"/>
  <c r="F3966" i="1"/>
  <c r="E3966" i="1"/>
  <c r="D3966" i="1"/>
  <c r="C3966" i="1"/>
  <c r="B3966" i="1"/>
  <c r="A3966" i="1"/>
  <c r="S3965" i="1"/>
  <c r="O3965" i="1"/>
  <c r="K3965" i="1"/>
  <c r="J3965" i="1"/>
  <c r="I3965" i="1"/>
  <c r="H3965" i="1"/>
  <c r="G3965" i="1"/>
  <c r="F3965" i="1"/>
  <c r="E3965" i="1"/>
  <c r="D3965" i="1"/>
  <c r="C3965" i="1"/>
  <c r="B3965" i="1"/>
  <c r="A3965" i="1"/>
  <c r="R3964" i="1"/>
  <c r="J3964" i="1"/>
  <c r="I3964" i="1"/>
  <c r="G3964" i="1"/>
  <c r="F3964" i="1"/>
  <c r="E3964" i="1"/>
  <c r="D3964" i="1"/>
  <c r="C3964" i="1"/>
  <c r="B3964" i="1"/>
  <c r="A3964" i="1"/>
  <c r="S3963" i="1"/>
  <c r="O3963" i="1"/>
  <c r="K3963" i="1"/>
  <c r="J3963" i="1"/>
  <c r="I3963" i="1"/>
  <c r="H3963" i="1"/>
  <c r="G3963" i="1"/>
  <c r="F3963" i="1"/>
  <c r="E3963" i="1"/>
  <c r="D3963" i="1"/>
  <c r="C3963" i="1"/>
  <c r="B3963" i="1"/>
  <c r="A3963" i="1"/>
  <c r="R3962" i="1"/>
  <c r="J3962" i="1"/>
  <c r="I3962" i="1"/>
  <c r="G3962" i="1"/>
  <c r="F3962" i="1"/>
  <c r="E3962" i="1"/>
  <c r="D3962" i="1"/>
  <c r="C3962" i="1"/>
  <c r="B3962" i="1"/>
  <c r="A3962" i="1"/>
  <c r="S3961" i="1"/>
  <c r="O3961" i="1"/>
  <c r="K3961" i="1"/>
  <c r="J3961" i="1"/>
  <c r="I3961" i="1"/>
  <c r="H3961" i="1"/>
  <c r="G3961" i="1"/>
  <c r="F3961" i="1"/>
  <c r="E3961" i="1"/>
  <c r="D3961" i="1"/>
  <c r="C3961" i="1"/>
  <c r="B3961" i="1"/>
  <c r="A3961" i="1"/>
  <c r="R3960" i="1"/>
  <c r="J3960" i="1"/>
  <c r="I3960" i="1"/>
  <c r="G3960" i="1"/>
  <c r="F3960" i="1"/>
  <c r="E3960" i="1"/>
  <c r="D3960" i="1"/>
  <c r="C3960" i="1"/>
  <c r="B3960" i="1"/>
  <c r="A3960" i="1"/>
  <c r="S3959" i="1"/>
  <c r="O3959" i="1"/>
  <c r="K3959" i="1"/>
  <c r="J3959" i="1"/>
  <c r="I3959" i="1"/>
  <c r="H3959" i="1"/>
  <c r="G3959" i="1"/>
  <c r="F3959" i="1"/>
  <c r="E3959" i="1"/>
  <c r="D3959" i="1"/>
  <c r="C3959" i="1"/>
  <c r="B3959" i="1"/>
  <c r="A3959" i="1"/>
  <c r="R3958" i="1"/>
  <c r="J3958" i="1"/>
  <c r="I3958" i="1"/>
  <c r="G3958" i="1"/>
  <c r="F3958" i="1"/>
  <c r="E3958" i="1"/>
  <c r="D3958" i="1"/>
  <c r="C3958" i="1"/>
  <c r="B3958" i="1"/>
  <c r="A3958" i="1"/>
  <c r="S3957" i="1"/>
  <c r="O3957" i="1"/>
  <c r="K3957" i="1"/>
  <c r="J3957" i="1"/>
  <c r="I3957" i="1"/>
  <c r="H3957" i="1"/>
  <c r="G3957" i="1"/>
  <c r="F3957" i="1"/>
  <c r="E3957" i="1"/>
  <c r="D3957" i="1"/>
  <c r="C3957" i="1"/>
  <c r="B3957" i="1"/>
  <c r="A3957" i="1"/>
  <c r="R3956" i="1"/>
  <c r="J3956" i="1"/>
  <c r="I3956" i="1"/>
  <c r="G3956" i="1"/>
  <c r="F3956" i="1"/>
  <c r="E3956" i="1"/>
  <c r="D3956" i="1"/>
  <c r="C3956" i="1"/>
  <c r="B3956" i="1"/>
  <c r="A3956" i="1"/>
  <c r="S3955" i="1"/>
  <c r="O3955" i="1"/>
  <c r="K3955" i="1"/>
  <c r="J3955" i="1"/>
  <c r="I3955" i="1"/>
  <c r="H3955" i="1"/>
  <c r="G3955" i="1"/>
  <c r="F3955" i="1"/>
  <c r="E3955" i="1"/>
  <c r="D3955" i="1"/>
  <c r="C3955" i="1"/>
  <c r="B3955" i="1"/>
  <c r="A3955" i="1"/>
  <c r="R3954" i="1"/>
  <c r="J3954" i="1"/>
  <c r="I3954" i="1"/>
  <c r="G3954" i="1"/>
  <c r="F3954" i="1"/>
  <c r="E3954" i="1"/>
  <c r="D3954" i="1"/>
  <c r="C3954" i="1"/>
  <c r="B3954" i="1"/>
  <c r="A3954" i="1"/>
  <c r="S3953" i="1"/>
  <c r="O3953" i="1"/>
  <c r="K3953" i="1"/>
  <c r="J3953" i="1"/>
  <c r="I3953" i="1"/>
  <c r="H3953" i="1"/>
  <c r="G3953" i="1"/>
  <c r="F3953" i="1"/>
  <c r="E3953" i="1"/>
  <c r="D3953" i="1"/>
  <c r="C3953" i="1"/>
  <c r="B3953" i="1"/>
  <c r="A3953" i="1"/>
  <c r="R3952" i="1"/>
  <c r="J3952" i="1"/>
  <c r="I3952" i="1"/>
  <c r="G3952" i="1"/>
  <c r="F3952" i="1"/>
  <c r="E3952" i="1"/>
  <c r="D3952" i="1"/>
  <c r="C3952" i="1"/>
  <c r="B3952" i="1"/>
  <c r="A3952" i="1"/>
  <c r="S3951" i="1"/>
  <c r="O3951" i="1"/>
  <c r="K3951" i="1"/>
  <c r="J3951" i="1"/>
  <c r="I3951" i="1"/>
  <c r="H3951" i="1"/>
  <c r="G3951" i="1"/>
  <c r="F3951" i="1"/>
  <c r="E3951" i="1"/>
  <c r="D3951" i="1"/>
  <c r="C3951" i="1"/>
  <c r="B3951" i="1"/>
  <c r="A3951" i="1"/>
  <c r="R3950" i="1"/>
  <c r="J3950" i="1"/>
  <c r="I3950" i="1"/>
  <c r="G3950" i="1"/>
  <c r="F3950" i="1"/>
  <c r="E3950" i="1"/>
  <c r="D3950" i="1"/>
  <c r="C3950" i="1"/>
  <c r="B3950" i="1"/>
  <c r="A3950" i="1"/>
  <c r="S3949" i="1"/>
  <c r="O3949" i="1"/>
  <c r="K3949" i="1"/>
  <c r="J3949" i="1"/>
  <c r="I3949" i="1"/>
  <c r="H3949" i="1"/>
  <c r="G3949" i="1"/>
  <c r="F3949" i="1"/>
  <c r="E3949" i="1"/>
  <c r="D3949" i="1"/>
  <c r="C3949" i="1"/>
  <c r="B3949" i="1"/>
  <c r="A3949" i="1"/>
  <c r="R3948" i="1"/>
  <c r="J3948" i="1"/>
  <c r="I3948" i="1"/>
  <c r="G3948" i="1"/>
  <c r="F3948" i="1"/>
  <c r="E3948" i="1"/>
  <c r="D3948" i="1"/>
  <c r="C3948" i="1"/>
  <c r="B3948" i="1"/>
  <c r="A3948" i="1"/>
  <c r="S3947" i="1"/>
  <c r="O3947" i="1"/>
  <c r="K3947" i="1"/>
  <c r="J3947" i="1"/>
  <c r="I3947" i="1"/>
  <c r="H3947" i="1"/>
  <c r="G3947" i="1"/>
  <c r="F3947" i="1"/>
  <c r="E3947" i="1"/>
  <c r="D3947" i="1"/>
  <c r="C3947" i="1"/>
  <c r="B3947" i="1"/>
  <c r="A3947" i="1"/>
  <c r="R3946" i="1"/>
  <c r="J3946" i="1"/>
  <c r="I3946" i="1"/>
  <c r="G3946" i="1"/>
  <c r="F3946" i="1"/>
  <c r="E3946" i="1"/>
  <c r="D3946" i="1"/>
  <c r="C3946" i="1"/>
  <c r="B3946" i="1"/>
  <c r="A3946" i="1"/>
  <c r="S3945" i="1"/>
  <c r="O3945" i="1"/>
  <c r="K3945" i="1"/>
  <c r="J3945" i="1"/>
  <c r="I3945" i="1"/>
  <c r="H3945" i="1"/>
  <c r="G3945" i="1"/>
  <c r="F3945" i="1"/>
  <c r="E3945" i="1"/>
  <c r="D3945" i="1"/>
  <c r="C3945" i="1"/>
  <c r="B3945" i="1"/>
  <c r="A3945" i="1"/>
  <c r="R3944" i="1"/>
  <c r="J3944" i="1"/>
  <c r="I3944" i="1"/>
  <c r="G3944" i="1"/>
  <c r="F3944" i="1"/>
  <c r="E3944" i="1"/>
  <c r="D3944" i="1"/>
  <c r="C3944" i="1"/>
  <c r="B3944" i="1"/>
  <c r="A3944" i="1"/>
  <c r="S3943" i="1"/>
  <c r="O3943" i="1"/>
  <c r="K3943" i="1"/>
  <c r="J3943" i="1"/>
  <c r="I3943" i="1"/>
  <c r="H3943" i="1"/>
  <c r="G3943" i="1"/>
  <c r="F3943" i="1"/>
  <c r="E3943" i="1"/>
  <c r="D3943" i="1"/>
  <c r="C3943" i="1"/>
  <c r="B3943" i="1"/>
  <c r="A3943" i="1"/>
  <c r="R3942" i="1"/>
  <c r="J3942" i="1"/>
  <c r="I3942" i="1"/>
  <c r="G3942" i="1"/>
  <c r="F3942" i="1"/>
  <c r="E3942" i="1"/>
  <c r="D3942" i="1"/>
  <c r="C3942" i="1"/>
  <c r="B3942" i="1"/>
  <c r="A3942" i="1"/>
  <c r="S3941" i="1"/>
  <c r="O3941" i="1"/>
  <c r="K3941" i="1"/>
  <c r="J3941" i="1"/>
  <c r="I3941" i="1"/>
  <c r="H3941" i="1"/>
  <c r="G3941" i="1"/>
  <c r="F3941" i="1"/>
  <c r="E3941" i="1"/>
  <c r="D3941" i="1"/>
  <c r="C3941" i="1"/>
  <c r="B3941" i="1"/>
  <c r="A3941" i="1"/>
  <c r="R3940" i="1"/>
  <c r="J3940" i="1"/>
  <c r="I3940" i="1"/>
  <c r="G3940" i="1"/>
  <c r="F3940" i="1"/>
  <c r="E3940" i="1"/>
  <c r="D3940" i="1"/>
  <c r="C3940" i="1"/>
  <c r="B3940" i="1"/>
  <c r="A3940" i="1"/>
  <c r="S3939" i="1"/>
  <c r="O3939" i="1"/>
  <c r="K3939" i="1"/>
  <c r="J3939" i="1"/>
  <c r="I3939" i="1"/>
  <c r="H3939" i="1"/>
  <c r="G3939" i="1"/>
  <c r="F3939" i="1"/>
  <c r="E3939" i="1"/>
  <c r="D3939" i="1"/>
  <c r="C3939" i="1"/>
  <c r="B3939" i="1"/>
  <c r="A3939" i="1"/>
  <c r="R3938" i="1"/>
  <c r="J3938" i="1"/>
  <c r="I3938" i="1"/>
  <c r="G3938" i="1"/>
  <c r="F3938" i="1"/>
  <c r="E3938" i="1"/>
  <c r="D3938" i="1"/>
  <c r="C3938" i="1"/>
  <c r="B3938" i="1"/>
  <c r="A3938" i="1"/>
  <c r="S3937" i="1"/>
  <c r="O3937" i="1"/>
  <c r="K3937" i="1"/>
  <c r="J3937" i="1"/>
  <c r="I3937" i="1"/>
  <c r="H3937" i="1"/>
  <c r="G3937" i="1"/>
  <c r="F3937" i="1"/>
  <c r="E3937" i="1"/>
  <c r="D3937" i="1"/>
  <c r="C3937" i="1"/>
  <c r="B3937" i="1"/>
  <c r="A3937" i="1"/>
  <c r="R3936" i="1"/>
  <c r="J3936" i="1"/>
  <c r="I3936" i="1"/>
  <c r="G3936" i="1"/>
  <c r="F3936" i="1"/>
  <c r="E3936" i="1"/>
  <c r="D3936" i="1"/>
  <c r="C3936" i="1"/>
  <c r="B3936" i="1"/>
  <c r="A3936" i="1"/>
  <c r="S3935" i="1"/>
  <c r="O3935" i="1"/>
  <c r="K3935" i="1"/>
  <c r="J3935" i="1"/>
  <c r="I3935" i="1"/>
  <c r="H3935" i="1"/>
  <c r="G3935" i="1"/>
  <c r="F3935" i="1"/>
  <c r="E3935" i="1"/>
  <c r="D3935" i="1"/>
  <c r="C3935" i="1"/>
  <c r="B3935" i="1"/>
  <c r="A3935" i="1"/>
  <c r="R3934" i="1"/>
  <c r="J3934" i="1"/>
  <c r="I3934" i="1"/>
  <c r="G3934" i="1"/>
  <c r="F3934" i="1"/>
  <c r="E3934" i="1"/>
  <c r="D3934" i="1"/>
  <c r="C3934" i="1"/>
  <c r="B3934" i="1"/>
  <c r="A3934" i="1"/>
  <c r="S3933" i="1"/>
  <c r="O3933" i="1"/>
  <c r="K3933" i="1"/>
  <c r="J3933" i="1"/>
  <c r="I3933" i="1"/>
  <c r="H3933" i="1"/>
  <c r="G3933" i="1"/>
  <c r="F3933" i="1"/>
  <c r="E3933" i="1"/>
  <c r="D3933" i="1"/>
  <c r="C3933" i="1"/>
  <c r="B3933" i="1"/>
  <c r="A3933" i="1"/>
  <c r="R3932" i="1"/>
  <c r="J3932" i="1"/>
  <c r="I3932" i="1"/>
  <c r="G3932" i="1"/>
  <c r="F3932" i="1"/>
  <c r="E3932" i="1"/>
  <c r="D3932" i="1"/>
  <c r="C3932" i="1"/>
  <c r="B3932" i="1"/>
  <c r="A3932" i="1"/>
  <c r="S3931" i="1"/>
  <c r="O3931" i="1"/>
  <c r="K3931" i="1"/>
  <c r="J3931" i="1"/>
  <c r="I3931" i="1"/>
  <c r="H3931" i="1"/>
  <c r="G3931" i="1"/>
  <c r="F3931" i="1"/>
  <c r="E3931" i="1"/>
  <c r="D3931" i="1"/>
  <c r="C3931" i="1"/>
  <c r="B3931" i="1"/>
  <c r="A3931" i="1"/>
  <c r="R3930" i="1"/>
  <c r="J3930" i="1"/>
  <c r="I3930" i="1"/>
  <c r="G3930" i="1"/>
  <c r="F3930" i="1"/>
  <c r="E3930" i="1"/>
  <c r="D3930" i="1"/>
  <c r="C3930" i="1"/>
  <c r="B3930" i="1"/>
  <c r="A3930" i="1"/>
  <c r="S3929" i="1"/>
  <c r="O3929" i="1"/>
  <c r="K3929" i="1"/>
  <c r="J3929" i="1"/>
  <c r="I3929" i="1"/>
  <c r="H3929" i="1"/>
  <c r="G3929" i="1"/>
  <c r="F3929" i="1"/>
  <c r="E3929" i="1"/>
  <c r="D3929" i="1"/>
  <c r="C3929" i="1"/>
  <c r="B3929" i="1"/>
  <c r="A3929" i="1"/>
  <c r="R3928" i="1"/>
  <c r="J3928" i="1"/>
  <c r="I3928" i="1"/>
  <c r="G3928" i="1"/>
  <c r="F3928" i="1"/>
  <c r="E3928" i="1"/>
  <c r="D3928" i="1"/>
  <c r="C3928" i="1"/>
  <c r="B3928" i="1"/>
  <c r="A3928" i="1"/>
  <c r="S3927" i="1"/>
  <c r="O3927" i="1"/>
  <c r="K3927" i="1"/>
  <c r="J3927" i="1"/>
  <c r="I3927" i="1"/>
  <c r="H3927" i="1"/>
  <c r="G3927" i="1"/>
  <c r="F3927" i="1"/>
  <c r="E3927" i="1"/>
  <c r="D3927" i="1"/>
  <c r="C3927" i="1"/>
  <c r="B3927" i="1"/>
  <c r="A3927" i="1"/>
  <c r="R3926" i="1"/>
  <c r="J3926" i="1"/>
  <c r="I3926" i="1"/>
  <c r="G3926" i="1"/>
  <c r="F3926" i="1"/>
  <c r="E3926" i="1"/>
  <c r="D3926" i="1"/>
  <c r="C3926" i="1"/>
  <c r="B3926" i="1"/>
  <c r="A3926" i="1"/>
  <c r="S3925" i="1"/>
  <c r="O3925" i="1"/>
  <c r="K3925" i="1"/>
  <c r="J3925" i="1"/>
  <c r="I3925" i="1"/>
  <c r="H3925" i="1"/>
  <c r="G3925" i="1"/>
  <c r="F3925" i="1"/>
  <c r="E3925" i="1"/>
  <c r="D3925" i="1"/>
  <c r="C3925" i="1"/>
  <c r="B3925" i="1"/>
  <c r="A3925" i="1"/>
  <c r="R3924" i="1"/>
  <c r="J3924" i="1"/>
  <c r="I3924" i="1"/>
  <c r="G3924" i="1"/>
  <c r="F3924" i="1"/>
  <c r="E3924" i="1"/>
  <c r="D3924" i="1"/>
  <c r="C3924" i="1"/>
  <c r="B3924" i="1"/>
  <c r="A3924" i="1"/>
  <c r="S3923" i="1"/>
  <c r="O3923" i="1"/>
  <c r="K3923" i="1"/>
  <c r="J3923" i="1"/>
  <c r="I3923" i="1"/>
  <c r="H3923" i="1"/>
  <c r="G3923" i="1"/>
  <c r="F3923" i="1"/>
  <c r="E3923" i="1"/>
  <c r="D3923" i="1"/>
  <c r="C3923" i="1"/>
  <c r="B3923" i="1"/>
  <c r="A3923" i="1"/>
  <c r="R3922" i="1"/>
  <c r="J3922" i="1"/>
  <c r="I3922" i="1"/>
  <c r="G3922" i="1"/>
  <c r="F3922" i="1"/>
  <c r="E3922" i="1"/>
  <c r="D3922" i="1"/>
  <c r="C3922" i="1"/>
  <c r="B3922" i="1"/>
  <c r="A3922" i="1"/>
  <c r="S3921" i="1"/>
  <c r="O3921" i="1"/>
  <c r="K3921" i="1"/>
  <c r="J3921" i="1"/>
  <c r="I3921" i="1"/>
  <c r="H3921" i="1"/>
  <c r="G3921" i="1"/>
  <c r="F3921" i="1"/>
  <c r="E3921" i="1"/>
  <c r="D3921" i="1"/>
  <c r="C3921" i="1"/>
  <c r="B3921" i="1"/>
  <c r="A3921" i="1"/>
  <c r="R3920" i="1"/>
  <c r="J3920" i="1"/>
  <c r="I3920" i="1"/>
  <c r="G3920" i="1"/>
  <c r="F3920" i="1"/>
  <c r="E3920" i="1"/>
  <c r="D3920" i="1"/>
  <c r="C3920" i="1"/>
  <c r="B3920" i="1"/>
  <c r="A3920" i="1"/>
  <c r="S3919" i="1"/>
  <c r="O3919" i="1"/>
  <c r="K3919" i="1"/>
  <c r="J3919" i="1"/>
  <c r="I3919" i="1"/>
  <c r="H3919" i="1"/>
  <c r="G3919" i="1"/>
  <c r="F3919" i="1"/>
  <c r="E3919" i="1"/>
  <c r="D3919" i="1"/>
  <c r="C3919" i="1"/>
  <c r="B3919" i="1"/>
  <c r="A3919" i="1"/>
  <c r="R3918" i="1"/>
  <c r="J3918" i="1"/>
  <c r="I3918" i="1"/>
  <c r="G3918" i="1"/>
  <c r="F3918" i="1"/>
  <c r="E3918" i="1"/>
  <c r="D3918" i="1"/>
  <c r="C3918" i="1"/>
  <c r="B3918" i="1"/>
  <c r="A3918" i="1"/>
  <c r="S3917" i="1"/>
  <c r="O3917" i="1"/>
  <c r="K3917" i="1"/>
  <c r="J3917" i="1"/>
  <c r="I3917" i="1"/>
  <c r="H3917" i="1"/>
  <c r="G3917" i="1"/>
  <c r="F3917" i="1"/>
  <c r="E3917" i="1"/>
  <c r="D3917" i="1"/>
  <c r="C3917" i="1"/>
  <c r="B3917" i="1"/>
  <c r="A3917" i="1"/>
  <c r="R3916" i="1"/>
  <c r="J3916" i="1"/>
  <c r="I3916" i="1"/>
  <c r="G3916" i="1"/>
  <c r="F3916" i="1"/>
  <c r="E3916" i="1"/>
  <c r="D3916" i="1"/>
  <c r="C3916" i="1"/>
  <c r="B3916" i="1"/>
  <c r="A3916" i="1"/>
  <c r="S3915" i="1"/>
  <c r="O3915" i="1"/>
  <c r="K3915" i="1"/>
  <c r="J3915" i="1"/>
  <c r="I3915" i="1"/>
  <c r="H3915" i="1"/>
  <c r="G3915" i="1"/>
  <c r="F3915" i="1"/>
  <c r="E3915" i="1"/>
  <c r="D3915" i="1"/>
  <c r="C3915" i="1"/>
  <c r="B3915" i="1"/>
  <c r="A3915" i="1"/>
  <c r="R3914" i="1"/>
  <c r="J3914" i="1"/>
  <c r="I3914" i="1"/>
  <c r="G3914" i="1"/>
  <c r="F3914" i="1"/>
  <c r="E3914" i="1"/>
  <c r="D3914" i="1"/>
  <c r="C3914" i="1"/>
  <c r="B3914" i="1"/>
  <c r="A3914" i="1"/>
  <c r="S3913" i="1"/>
  <c r="O3913" i="1"/>
  <c r="K3913" i="1"/>
  <c r="J3913" i="1"/>
  <c r="I3913" i="1"/>
  <c r="H3913" i="1"/>
  <c r="G3913" i="1"/>
  <c r="F3913" i="1"/>
  <c r="E3913" i="1"/>
  <c r="D3913" i="1"/>
  <c r="C3913" i="1"/>
  <c r="B3913" i="1"/>
  <c r="A3913" i="1"/>
  <c r="R3912" i="1"/>
  <c r="J3912" i="1"/>
  <c r="I3912" i="1"/>
  <c r="G3912" i="1"/>
  <c r="F3912" i="1"/>
  <c r="E3912" i="1"/>
  <c r="D3912" i="1"/>
  <c r="C3912" i="1"/>
  <c r="B3912" i="1"/>
  <c r="A3912" i="1"/>
  <c r="S3911" i="1"/>
  <c r="O3911" i="1"/>
  <c r="K3911" i="1"/>
  <c r="J3911" i="1"/>
  <c r="I3911" i="1"/>
  <c r="H3911" i="1"/>
  <c r="G3911" i="1"/>
  <c r="F3911" i="1"/>
  <c r="E3911" i="1"/>
  <c r="D3911" i="1"/>
  <c r="C3911" i="1"/>
  <c r="B3911" i="1"/>
  <c r="A3911" i="1"/>
  <c r="R3910" i="1"/>
  <c r="J3910" i="1"/>
  <c r="I3910" i="1"/>
  <c r="G3910" i="1"/>
  <c r="F3910" i="1"/>
  <c r="E3910" i="1"/>
  <c r="D3910" i="1"/>
  <c r="C3910" i="1"/>
  <c r="B3910" i="1"/>
  <c r="A3910" i="1"/>
  <c r="S3909" i="1"/>
  <c r="O3909" i="1"/>
  <c r="K3909" i="1"/>
  <c r="J3909" i="1"/>
  <c r="I3909" i="1"/>
  <c r="H3909" i="1"/>
  <c r="G3909" i="1"/>
  <c r="F3909" i="1"/>
  <c r="E3909" i="1"/>
  <c r="D3909" i="1"/>
  <c r="C3909" i="1"/>
  <c r="B3909" i="1"/>
  <c r="A3909" i="1"/>
  <c r="R3908" i="1"/>
  <c r="J3908" i="1"/>
  <c r="I3908" i="1"/>
  <c r="G3908" i="1"/>
  <c r="F3908" i="1"/>
  <c r="E3908" i="1"/>
  <c r="D3908" i="1"/>
  <c r="C3908" i="1"/>
  <c r="B3908" i="1"/>
  <c r="A3908" i="1"/>
  <c r="S3907" i="1"/>
  <c r="O3907" i="1"/>
  <c r="K3907" i="1"/>
  <c r="J3907" i="1"/>
  <c r="I3907" i="1"/>
  <c r="H3907" i="1"/>
  <c r="G3907" i="1"/>
  <c r="F3907" i="1"/>
  <c r="E3907" i="1"/>
  <c r="D3907" i="1"/>
  <c r="C3907" i="1"/>
  <c r="B3907" i="1"/>
  <c r="A3907" i="1"/>
  <c r="R3906" i="1"/>
  <c r="J3906" i="1"/>
  <c r="I3906" i="1"/>
  <c r="G3906" i="1"/>
  <c r="F3906" i="1"/>
  <c r="E3906" i="1"/>
  <c r="D3906" i="1"/>
  <c r="C3906" i="1"/>
  <c r="B3906" i="1"/>
  <c r="A3906" i="1"/>
  <c r="S3905" i="1"/>
  <c r="O3905" i="1"/>
  <c r="K3905" i="1"/>
  <c r="J3905" i="1"/>
  <c r="I3905" i="1"/>
  <c r="H3905" i="1"/>
  <c r="G3905" i="1"/>
  <c r="F3905" i="1"/>
  <c r="E3905" i="1"/>
  <c r="D3905" i="1"/>
  <c r="C3905" i="1"/>
  <c r="B3905" i="1"/>
  <c r="A3905" i="1"/>
  <c r="R3904" i="1"/>
  <c r="J3904" i="1"/>
  <c r="I3904" i="1"/>
  <c r="G3904" i="1"/>
  <c r="F3904" i="1"/>
  <c r="E3904" i="1"/>
  <c r="D3904" i="1"/>
  <c r="C3904" i="1"/>
  <c r="B3904" i="1"/>
  <c r="A3904" i="1"/>
  <c r="S3903" i="1"/>
  <c r="O3903" i="1"/>
  <c r="K3903" i="1"/>
  <c r="J3903" i="1"/>
  <c r="I3903" i="1"/>
  <c r="H3903" i="1"/>
  <c r="G3903" i="1"/>
  <c r="F3903" i="1"/>
  <c r="E3903" i="1"/>
  <c r="D3903" i="1"/>
  <c r="C3903" i="1"/>
  <c r="B3903" i="1"/>
  <c r="A3903" i="1"/>
  <c r="R3902" i="1"/>
  <c r="J3902" i="1"/>
  <c r="I3902" i="1"/>
  <c r="G3902" i="1"/>
  <c r="F3902" i="1"/>
  <c r="E3902" i="1"/>
  <c r="D3902" i="1"/>
  <c r="C3902" i="1"/>
  <c r="B3902" i="1"/>
  <c r="A3902" i="1"/>
  <c r="S3901" i="1"/>
  <c r="O3901" i="1"/>
  <c r="K3901" i="1"/>
  <c r="J3901" i="1"/>
  <c r="I3901" i="1"/>
  <c r="H3901" i="1"/>
  <c r="G3901" i="1"/>
  <c r="F3901" i="1"/>
  <c r="E3901" i="1"/>
  <c r="D3901" i="1"/>
  <c r="C3901" i="1"/>
  <c r="B3901" i="1"/>
  <c r="A3901" i="1"/>
  <c r="R3900" i="1"/>
  <c r="J3900" i="1"/>
  <c r="I3900" i="1"/>
  <c r="G3900" i="1"/>
  <c r="F3900" i="1"/>
  <c r="E3900" i="1"/>
  <c r="D3900" i="1"/>
  <c r="C3900" i="1"/>
  <c r="B3900" i="1"/>
  <c r="A3900" i="1"/>
  <c r="S3899" i="1"/>
  <c r="O3899" i="1"/>
  <c r="K3899" i="1"/>
  <c r="J3899" i="1"/>
  <c r="I3899" i="1"/>
  <c r="H3899" i="1"/>
  <c r="G3899" i="1"/>
  <c r="F3899" i="1"/>
  <c r="E3899" i="1"/>
  <c r="D3899" i="1"/>
  <c r="C3899" i="1"/>
  <c r="B3899" i="1"/>
  <c r="A3899" i="1"/>
  <c r="R3898" i="1"/>
  <c r="J3898" i="1"/>
  <c r="I3898" i="1"/>
  <c r="G3898" i="1"/>
  <c r="F3898" i="1"/>
  <c r="E3898" i="1"/>
  <c r="D3898" i="1"/>
  <c r="C3898" i="1"/>
  <c r="B3898" i="1"/>
  <c r="A3898" i="1"/>
  <c r="S3897" i="1"/>
  <c r="O3897" i="1"/>
  <c r="K3897" i="1"/>
  <c r="J3897" i="1"/>
  <c r="I3897" i="1"/>
  <c r="H3897" i="1"/>
  <c r="G3897" i="1"/>
  <c r="F3897" i="1"/>
  <c r="E3897" i="1"/>
  <c r="D3897" i="1"/>
  <c r="C3897" i="1"/>
  <c r="B3897" i="1"/>
  <c r="A3897" i="1"/>
  <c r="R3896" i="1"/>
  <c r="J3896" i="1"/>
  <c r="I3896" i="1"/>
  <c r="G3896" i="1"/>
  <c r="F3896" i="1"/>
  <c r="E3896" i="1"/>
  <c r="D3896" i="1"/>
  <c r="C3896" i="1"/>
  <c r="B3896" i="1"/>
  <c r="A3896" i="1"/>
  <c r="S3895" i="1"/>
  <c r="O3895" i="1"/>
  <c r="K3895" i="1"/>
  <c r="J3895" i="1"/>
  <c r="I3895" i="1"/>
  <c r="H3895" i="1"/>
  <c r="G3895" i="1"/>
  <c r="F3895" i="1"/>
  <c r="E3895" i="1"/>
  <c r="D3895" i="1"/>
  <c r="C3895" i="1"/>
  <c r="B3895" i="1"/>
  <c r="A3895" i="1"/>
  <c r="R3894" i="1"/>
  <c r="J3894" i="1"/>
  <c r="I3894" i="1"/>
  <c r="G3894" i="1"/>
  <c r="F3894" i="1"/>
  <c r="E3894" i="1"/>
  <c r="D3894" i="1"/>
  <c r="C3894" i="1"/>
  <c r="B3894" i="1"/>
  <c r="A3894" i="1"/>
  <c r="S3893" i="1"/>
  <c r="O3893" i="1"/>
  <c r="K3893" i="1"/>
  <c r="J3893" i="1"/>
  <c r="I3893" i="1"/>
  <c r="H3893" i="1"/>
  <c r="G3893" i="1"/>
  <c r="F3893" i="1"/>
  <c r="E3893" i="1"/>
  <c r="D3893" i="1"/>
  <c r="C3893" i="1"/>
  <c r="B3893" i="1"/>
  <c r="A3893" i="1"/>
  <c r="R3892" i="1"/>
  <c r="J3892" i="1"/>
  <c r="I3892" i="1"/>
  <c r="G3892" i="1"/>
  <c r="F3892" i="1"/>
  <c r="E3892" i="1"/>
  <c r="D3892" i="1"/>
  <c r="C3892" i="1"/>
  <c r="B3892" i="1"/>
  <c r="A3892" i="1"/>
  <c r="S3891" i="1"/>
  <c r="O3891" i="1"/>
  <c r="K3891" i="1"/>
  <c r="J3891" i="1"/>
  <c r="I3891" i="1"/>
  <c r="H3891" i="1"/>
  <c r="G3891" i="1"/>
  <c r="F3891" i="1"/>
  <c r="E3891" i="1"/>
  <c r="D3891" i="1"/>
  <c r="C3891" i="1"/>
  <c r="B3891" i="1"/>
  <c r="A3891" i="1"/>
  <c r="R3890" i="1"/>
  <c r="J3890" i="1"/>
  <c r="I3890" i="1"/>
  <c r="G3890" i="1"/>
  <c r="F3890" i="1"/>
  <c r="E3890" i="1"/>
  <c r="D3890" i="1"/>
  <c r="C3890" i="1"/>
  <c r="B3890" i="1"/>
  <c r="A3890" i="1"/>
  <c r="S3889" i="1"/>
  <c r="O3889" i="1"/>
  <c r="K3889" i="1"/>
  <c r="J3889" i="1"/>
  <c r="I3889" i="1"/>
  <c r="H3889" i="1"/>
  <c r="G3889" i="1"/>
  <c r="F3889" i="1"/>
  <c r="E3889" i="1"/>
  <c r="D3889" i="1"/>
  <c r="C3889" i="1"/>
  <c r="B3889" i="1"/>
  <c r="A3889" i="1"/>
  <c r="R3888" i="1"/>
  <c r="J3888" i="1"/>
  <c r="I3888" i="1"/>
  <c r="G3888" i="1"/>
  <c r="F3888" i="1"/>
  <c r="E3888" i="1"/>
  <c r="D3888" i="1"/>
  <c r="C3888" i="1"/>
  <c r="B3888" i="1"/>
  <c r="A3888" i="1"/>
  <c r="S3887" i="1"/>
  <c r="O3887" i="1"/>
  <c r="K3887" i="1"/>
  <c r="J3887" i="1"/>
  <c r="I3887" i="1"/>
  <c r="H3887" i="1"/>
  <c r="G3887" i="1"/>
  <c r="F3887" i="1"/>
  <c r="E3887" i="1"/>
  <c r="D3887" i="1"/>
  <c r="C3887" i="1"/>
  <c r="B3887" i="1"/>
  <c r="A3887" i="1"/>
  <c r="R3886" i="1"/>
  <c r="J3886" i="1"/>
  <c r="I3886" i="1"/>
  <c r="G3886" i="1"/>
  <c r="F3886" i="1"/>
  <c r="E3886" i="1"/>
  <c r="D3886" i="1"/>
  <c r="C3886" i="1"/>
  <c r="B3886" i="1"/>
  <c r="A3886" i="1"/>
  <c r="S3885" i="1"/>
  <c r="O3885" i="1"/>
  <c r="K3885" i="1"/>
  <c r="J3885" i="1"/>
  <c r="I3885" i="1"/>
  <c r="H3885" i="1"/>
  <c r="G3885" i="1"/>
  <c r="F3885" i="1"/>
  <c r="E3885" i="1"/>
  <c r="D3885" i="1"/>
  <c r="C3885" i="1"/>
  <c r="B3885" i="1"/>
  <c r="A3885" i="1"/>
  <c r="R3884" i="1"/>
  <c r="J3884" i="1"/>
  <c r="I3884" i="1"/>
  <c r="G3884" i="1"/>
  <c r="F3884" i="1"/>
  <c r="E3884" i="1"/>
  <c r="D3884" i="1"/>
  <c r="C3884" i="1"/>
  <c r="B3884" i="1"/>
  <c r="A3884" i="1"/>
  <c r="S3883" i="1"/>
  <c r="O3883" i="1"/>
  <c r="K3883" i="1"/>
  <c r="J3883" i="1"/>
  <c r="I3883" i="1"/>
  <c r="H3883" i="1"/>
  <c r="G3883" i="1"/>
  <c r="F3883" i="1"/>
  <c r="E3883" i="1"/>
  <c r="D3883" i="1"/>
  <c r="C3883" i="1"/>
  <c r="B3883" i="1"/>
  <c r="A3883" i="1"/>
  <c r="R3882" i="1"/>
  <c r="J3882" i="1"/>
  <c r="I3882" i="1"/>
  <c r="G3882" i="1"/>
  <c r="F3882" i="1"/>
  <c r="E3882" i="1"/>
  <c r="D3882" i="1"/>
  <c r="C3882" i="1"/>
  <c r="B3882" i="1"/>
  <c r="A3882" i="1"/>
  <c r="S3881" i="1"/>
  <c r="O3881" i="1"/>
  <c r="K3881" i="1"/>
  <c r="J3881" i="1"/>
  <c r="I3881" i="1"/>
  <c r="H3881" i="1"/>
  <c r="G3881" i="1"/>
  <c r="F3881" i="1"/>
  <c r="E3881" i="1"/>
  <c r="D3881" i="1"/>
  <c r="C3881" i="1"/>
  <c r="B3881" i="1"/>
  <c r="A3881" i="1"/>
  <c r="R3880" i="1"/>
  <c r="J3880" i="1"/>
  <c r="I3880" i="1"/>
  <c r="G3880" i="1"/>
  <c r="F3880" i="1"/>
  <c r="E3880" i="1"/>
  <c r="D3880" i="1"/>
  <c r="C3880" i="1"/>
  <c r="B3880" i="1"/>
  <c r="A3880" i="1"/>
  <c r="S3879" i="1"/>
  <c r="O3879" i="1"/>
  <c r="K3879" i="1"/>
  <c r="J3879" i="1"/>
  <c r="I3879" i="1"/>
  <c r="H3879" i="1"/>
  <c r="G3879" i="1"/>
  <c r="F3879" i="1"/>
  <c r="E3879" i="1"/>
  <c r="D3879" i="1"/>
  <c r="C3879" i="1"/>
  <c r="B3879" i="1"/>
  <c r="A3879" i="1"/>
  <c r="R3878" i="1"/>
  <c r="J3878" i="1"/>
  <c r="I3878" i="1"/>
  <c r="G3878" i="1"/>
  <c r="F3878" i="1"/>
  <c r="E3878" i="1"/>
  <c r="D3878" i="1"/>
  <c r="C3878" i="1"/>
  <c r="B3878" i="1"/>
  <c r="A3878" i="1"/>
  <c r="S3877" i="1"/>
  <c r="O3877" i="1"/>
  <c r="K3877" i="1"/>
  <c r="J3877" i="1"/>
  <c r="I3877" i="1"/>
  <c r="H3877" i="1"/>
  <c r="G3877" i="1"/>
  <c r="F3877" i="1"/>
  <c r="E3877" i="1"/>
  <c r="D3877" i="1"/>
  <c r="C3877" i="1"/>
  <c r="B3877" i="1"/>
  <c r="A3877" i="1"/>
  <c r="R3876" i="1"/>
  <c r="J3876" i="1"/>
  <c r="I3876" i="1"/>
  <c r="G3876" i="1"/>
  <c r="F3876" i="1"/>
  <c r="E3876" i="1"/>
  <c r="D3876" i="1"/>
  <c r="C3876" i="1"/>
  <c r="B3876" i="1"/>
  <c r="A3876" i="1"/>
  <c r="S3875" i="1"/>
  <c r="O3875" i="1"/>
  <c r="K3875" i="1"/>
  <c r="J3875" i="1"/>
  <c r="I3875" i="1"/>
  <c r="H3875" i="1"/>
  <c r="G3875" i="1"/>
  <c r="F3875" i="1"/>
  <c r="E3875" i="1"/>
  <c r="D3875" i="1"/>
  <c r="C3875" i="1"/>
  <c r="B3875" i="1"/>
  <c r="A3875" i="1"/>
  <c r="R3874" i="1"/>
  <c r="J3874" i="1"/>
  <c r="I3874" i="1"/>
  <c r="G3874" i="1"/>
  <c r="F3874" i="1"/>
  <c r="E3874" i="1"/>
  <c r="D3874" i="1"/>
  <c r="C3874" i="1"/>
  <c r="B3874" i="1"/>
  <c r="A3874" i="1"/>
  <c r="S3873" i="1"/>
  <c r="O3873" i="1"/>
  <c r="K3873" i="1"/>
  <c r="J3873" i="1"/>
  <c r="I3873" i="1"/>
  <c r="H3873" i="1"/>
  <c r="G3873" i="1"/>
  <c r="F3873" i="1"/>
  <c r="E3873" i="1"/>
  <c r="D3873" i="1"/>
  <c r="C3873" i="1"/>
  <c r="B3873" i="1"/>
  <c r="A3873" i="1"/>
  <c r="R3872" i="1"/>
  <c r="J3872" i="1"/>
  <c r="I3872" i="1"/>
  <c r="G3872" i="1"/>
  <c r="F3872" i="1"/>
  <c r="E3872" i="1"/>
  <c r="D3872" i="1"/>
  <c r="C3872" i="1"/>
  <c r="B3872" i="1"/>
  <c r="A3872" i="1"/>
  <c r="S3871" i="1"/>
  <c r="O3871" i="1"/>
  <c r="K3871" i="1"/>
  <c r="J3871" i="1"/>
  <c r="I3871" i="1"/>
  <c r="H3871" i="1"/>
  <c r="G3871" i="1"/>
  <c r="F3871" i="1"/>
  <c r="E3871" i="1"/>
  <c r="D3871" i="1"/>
  <c r="C3871" i="1"/>
  <c r="B3871" i="1"/>
  <c r="A3871" i="1"/>
  <c r="R3870" i="1"/>
  <c r="J3870" i="1"/>
  <c r="I3870" i="1"/>
  <c r="G3870" i="1"/>
  <c r="F3870" i="1"/>
  <c r="E3870" i="1"/>
  <c r="D3870" i="1"/>
  <c r="C3870" i="1"/>
  <c r="B3870" i="1"/>
  <c r="A3870" i="1"/>
  <c r="S3869" i="1"/>
  <c r="O3869" i="1"/>
  <c r="K3869" i="1"/>
  <c r="J3869" i="1"/>
  <c r="I3869" i="1"/>
  <c r="H3869" i="1"/>
  <c r="G3869" i="1"/>
  <c r="F3869" i="1"/>
  <c r="E3869" i="1"/>
  <c r="D3869" i="1"/>
  <c r="C3869" i="1"/>
  <c r="B3869" i="1"/>
  <c r="A3869" i="1"/>
  <c r="R3868" i="1"/>
  <c r="J3868" i="1"/>
  <c r="I3868" i="1"/>
  <c r="G3868" i="1"/>
  <c r="F3868" i="1"/>
  <c r="E3868" i="1"/>
  <c r="D3868" i="1"/>
  <c r="C3868" i="1"/>
  <c r="B3868" i="1"/>
  <c r="A3868" i="1"/>
  <c r="S3867" i="1"/>
  <c r="O3867" i="1"/>
  <c r="K3867" i="1"/>
  <c r="J3867" i="1"/>
  <c r="I3867" i="1"/>
  <c r="H3867" i="1"/>
  <c r="G3867" i="1"/>
  <c r="F3867" i="1"/>
  <c r="E3867" i="1"/>
  <c r="D3867" i="1"/>
  <c r="C3867" i="1"/>
  <c r="B3867" i="1"/>
  <c r="A3867" i="1"/>
  <c r="R3866" i="1"/>
  <c r="J3866" i="1"/>
  <c r="I3866" i="1"/>
  <c r="G3866" i="1"/>
  <c r="F3866" i="1"/>
  <c r="E3866" i="1"/>
  <c r="D3866" i="1"/>
  <c r="C3866" i="1"/>
  <c r="B3866" i="1"/>
  <c r="A3866" i="1"/>
  <c r="S3865" i="1"/>
  <c r="O3865" i="1"/>
  <c r="K3865" i="1"/>
  <c r="J3865" i="1"/>
  <c r="I3865" i="1"/>
  <c r="H3865" i="1"/>
  <c r="G3865" i="1"/>
  <c r="F3865" i="1"/>
  <c r="E3865" i="1"/>
  <c r="D3865" i="1"/>
  <c r="C3865" i="1"/>
  <c r="B3865" i="1"/>
  <c r="A3865" i="1"/>
  <c r="R3864" i="1"/>
  <c r="J3864" i="1"/>
  <c r="I3864" i="1"/>
  <c r="G3864" i="1"/>
  <c r="F3864" i="1"/>
  <c r="E3864" i="1"/>
  <c r="D3864" i="1"/>
  <c r="C3864" i="1"/>
  <c r="B3864" i="1"/>
  <c r="A3864" i="1"/>
  <c r="S3863" i="1"/>
  <c r="O3863" i="1"/>
  <c r="K3863" i="1"/>
  <c r="J3863" i="1"/>
  <c r="I3863" i="1"/>
  <c r="H3863" i="1"/>
  <c r="G3863" i="1"/>
  <c r="F3863" i="1"/>
  <c r="E3863" i="1"/>
  <c r="D3863" i="1"/>
  <c r="C3863" i="1"/>
  <c r="B3863" i="1"/>
  <c r="A3863" i="1"/>
  <c r="R3862" i="1"/>
  <c r="J3862" i="1"/>
  <c r="I3862" i="1"/>
  <c r="G3862" i="1"/>
  <c r="F3862" i="1"/>
  <c r="E3862" i="1"/>
  <c r="D3862" i="1"/>
  <c r="C3862" i="1"/>
  <c r="B3862" i="1"/>
  <c r="A3862" i="1"/>
  <c r="S3861" i="1"/>
  <c r="O3861" i="1"/>
  <c r="K3861" i="1"/>
  <c r="J3861" i="1"/>
  <c r="I3861" i="1"/>
  <c r="H3861" i="1"/>
  <c r="G3861" i="1"/>
  <c r="F3861" i="1"/>
  <c r="E3861" i="1"/>
  <c r="D3861" i="1"/>
  <c r="C3861" i="1"/>
  <c r="B3861" i="1"/>
  <c r="A3861" i="1"/>
  <c r="R3860" i="1"/>
  <c r="J3860" i="1"/>
  <c r="I3860" i="1"/>
  <c r="G3860" i="1"/>
  <c r="F3860" i="1"/>
  <c r="E3860" i="1"/>
  <c r="D3860" i="1"/>
  <c r="C3860" i="1"/>
  <c r="B3860" i="1"/>
  <c r="A3860" i="1"/>
  <c r="S3859" i="1"/>
  <c r="O3859" i="1"/>
  <c r="K3859" i="1"/>
  <c r="J3859" i="1"/>
  <c r="I3859" i="1"/>
  <c r="H3859" i="1"/>
  <c r="G3859" i="1"/>
  <c r="F3859" i="1"/>
  <c r="E3859" i="1"/>
  <c r="D3859" i="1"/>
  <c r="C3859" i="1"/>
  <c r="B3859" i="1"/>
  <c r="A3859" i="1"/>
  <c r="R3858" i="1"/>
  <c r="J3858" i="1"/>
  <c r="I3858" i="1"/>
  <c r="G3858" i="1"/>
  <c r="F3858" i="1"/>
  <c r="E3858" i="1"/>
  <c r="D3858" i="1"/>
  <c r="C3858" i="1"/>
  <c r="B3858" i="1"/>
  <c r="A3858" i="1"/>
  <c r="S3857" i="1"/>
  <c r="O3857" i="1"/>
  <c r="K3857" i="1"/>
  <c r="J3857" i="1"/>
  <c r="I3857" i="1"/>
  <c r="H3857" i="1"/>
  <c r="G3857" i="1"/>
  <c r="F3857" i="1"/>
  <c r="E3857" i="1"/>
  <c r="D3857" i="1"/>
  <c r="C3857" i="1"/>
  <c r="B3857" i="1"/>
  <c r="A3857" i="1"/>
  <c r="R3856" i="1"/>
  <c r="J3856" i="1"/>
  <c r="I3856" i="1"/>
  <c r="G3856" i="1"/>
  <c r="F3856" i="1"/>
  <c r="E3856" i="1"/>
  <c r="D3856" i="1"/>
  <c r="C3856" i="1"/>
  <c r="B3856" i="1"/>
  <c r="A3856" i="1"/>
  <c r="S3855" i="1"/>
  <c r="O3855" i="1"/>
  <c r="K3855" i="1"/>
  <c r="J3855" i="1"/>
  <c r="I3855" i="1"/>
  <c r="H3855" i="1"/>
  <c r="G3855" i="1"/>
  <c r="F3855" i="1"/>
  <c r="E3855" i="1"/>
  <c r="D3855" i="1"/>
  <c r="C3855" i="1"/>
  <c r="B3855" i="1"/>
  <c r="A3855" i="1"/>
  <c r="R3854" i="1"/>
  <c r="J3854" i="1"/>
  <c r="I3854" i="1"/>
  <c r="G3854" i="1"/>
  <c r="F3854" i="1"/>
  <c r="E3854" i="1"/>
  <c r="D3854" i="1"/>
  <c r="C3854" i="1"/>
  <c r="B3854" i="1"/>
  <c r="A3854" i="1"/>
  <c r="S3853" i="1"/>
  <c r="O3853" i="1"/>
  <c r="K3853" i="1"/>
  <c r="J3853" i="1"/>
  <c r="I3853" i="1"/>
  <c r="H3853" i="1"/>
  <c r="G3853" i="1"/>
  <c r="F3853" i="1"/>
  <c r="E3853" i="1"/>
  <c r="D3853" i="1"/>
  <c r="C3853" i="1"/>
  <c r="B3853" i="1"/>
  <c r="A3853" i="1"/>
  <c r="R3852" i="1"/>
  <c r="J3852" i="1"/>
  <c r="I3852" i="1"/>
  <c r="G3852" i="1"/>
  <c r="F3852" i="1"/>
  <c r="E3852" i="1"/>
  <c r="D3852" i="1"/>
  <c r="C3852" i="1"/>
  <c r="B3852" i="1"/>
  <c r="A3852" i="1"/>
  <c r="S3851" i="1"/>
  <c r="O3851" i="1"/>
  <c r="K3851" i="1"/>
  <c r="J3851" i="1"/>
  <c r="I3851" i="1"/>
  <c r="H3851" i="1"/>
  <c r="G3851" i="1"/>
  <c r="F3851" i="1"/>
  <c r="E3851" i="1"/>
  <c r="D3851" i="1"/>
  <c r="C3851" i="1"/>
  <c r="B3851" i="1"/>
  <c r="A3851" i="1"/>
  <c r="R3850" i="1"/>
  <c r="J3850" i="1"/>
  <c r="I3850" i="1"/>
  <c r="G3850" i="1"/>
  <c r="F3850" i="1"/>
  <c r="E3850" i="1"/>
  <c r="D3850" i="1"/>
  <c r="C3850" i="1"/>
  <c r="B3850" i="1"/>
  <c r="A3850" i="1"/>
  <c r="S3849" i="1"/>
  <c r="O3849" i="1"/>
  <c r="K3849" i="1"/>
  <c r="J3849" i="1"/>
  <c r="I3849" i="1"/>
  <c r="H3849" i="1"/>
  <c r="G3849" i="1"/>
  <c r="F3849" i="1"/>
  <c r="E3849" i="1"/>
  <c r="D3849" i="1"/>
  <c r="C3849" i="1"/>
  <c r="B3849" i="1"/>
  <c r="A3849" i="1"/>
  <c r="R3848" i="1"/>
  <c r="J3848" i="1"/>
  <c r="I3848" i="1"/>
  <c r="G3848" i="1"/>
  <c r="F3848" i="1"/>
  <c r="E3848" i="1"/>
  <c r="D3848" i="1"/>
  <c r="C3848" i="1"/>
  <c r="B3848" i="1"/>
  <c r="A3848" i="1"/>
  <c r="S3847" i="1"/>
  <c r="O3847" i="1"/>
  <c r="K3847" i="1"/>
  <c r="J3847" i="1"/>
  <c r="I3847" i="1"/>
  <c r="H3847" i="1"/>
  <c r="G3847" i="1"/>
  <c r="F3847" i="1"/>
  <c r="E3847" i="1"/>
  <c r="D3847" i="1"/>
  <c r="C3847" i="1"/>
  <c r="B3847" i="1"/>
  <c r="A3847" i="1"/>
  <c r="R3846" i="1"/>
  <c r="J3846" i="1"/>
  <c r="I3846" i="1"/>
  <c r="G3846" i="1"/>
  <c r="F3846" i="1"/>
  <c r="E3846" i="1"/>
  <c r="D3846" i="1"/>
  <c r="C3846" i="1"/>
  <c r="B3846" i="1"/>
  <c r="A3846" i="1"/>
  <c r="S3845" i="1"/>
  <c r="O3845" i="1"/>
  <c r="K3845" i="1"/>
  <c r="J3845" i="1"/>
  <c r="I3845" i="1"/>
  <c r="H3845" i="1"/>
  <c r="G3845" i="1"/>
  <c r="F3845" i="1"/>
  <c r="E3845" i="1"/>
  <c r="D3845" i="1"/>
  <c r="C3845" i="1"/>
  <c r="B3845" i="1"/>
  <c r="A3845" i="1"/>
  <c r="R3844" i="1"/>
  <c r="J3844" i="1"/>
  <c r="I3844" i="1"/>
  <c r="G3844" i="1"/>
  <c r="F3844" i="1"/>
  <c r="E3844" i="1"/>
  <c r="D3844" i="1"/>
  <c r="C3844" i="1"/>
  <c r="B3844" i="1"/>
  <c r="A3844" i="1"/>
  <c r="S3843" i="1"/>
  <c r="O3843" i="1"/>
  <c r="K3843" i="1"/>
  <c r="J3843" i="1"/>
  <c r="I3843" i="1"/>
  <c r="H3843" i="1"/>
  <c r="G3843" i="1"/>
  <c r="F3843" i="1"/>
  <c r="E3843" i="1"/>
  <c r="D3843" i="1"/>
  <c r="C3843" i="1"/>
  <c r="B3843" i="1"/>
  <c r="A3843" i="1"/>
  <c r="R3842" i="1"/>
  <c r="J3842" i="1"/>
  <c r="I3842" i="1"/>
  <c r="G3842" i="1"/>
  <c r="F3842" i="1"/>
  <c r="E3842" i="1"/>
  <c r="D3842" i="1"/>
  <c r="C3842" i="1"/>
  <c r="B3842" i="1"/>
  <c r="A3842" i="1"/>
  <c r="S3841" i="1"/>
  <c r="O3841" i="1"/>
  <c r="K3841" i="1"/>
  <c r="J3841" i="1"/>
  <c r="I3841" i="1"/>
  <c r="H3841" i="1"/>
  <c r="G3841" i="1"/>
  <c r="F3841" i="1"/>
  <c r="E3841" i="1"/>
  <c r="D3841" i="1"/>
  <c r="C3841" i="1"/>
  <c r="B3841" i="1"/>
  <c r="A3841" i="1"/>
  <c r="R3840" i="1"/>
  <c r="J3840" i="1"/>
  <c r="I3840" i="1"/>
  <c r="G3840" i="1"/>
  <c r="F3840" i="1"/>
  <c r="E3840" i="1"/>
  <c r="D3840" i="1"/>
  <c r="C3840" i="1"/>
  <c r="B3840" i="1"/>
  <c r="A3840" i="1"/>
  <c r="S3839" i="1"/>
  <c r="O3839" i="1"/>
  <c r="K3839" i="1"/>
  <c r="J3839" i="1"/>
  <c r="I3839" i="1"/>
  <c r="H3839" i="1"/>
  <c r="G3839" i="1"/>
  <c r="F3839" i="1"/>
  <c r="E3839" i="1"/>
  <c r="D3839" i="1"/>
  <c r="C3839" i="1"/>
  <c r="B3839" i="1"/>
  <c r="A3839" i="1"/>
  <c r="R3838" i="1"/>
  <c r="J3838" i="1"/>
  <c r="I3838" i="1"/>
  <c r="G3838" i="1"/>
  <c r="F3838" i="1"/>
  <c r="E3838" i="1"/>
  <c r="D3838" i="1"/>
  <c r="C3838" i="1"/>
  <c r="B3838" i="1"/>
  <c r="A3838" i="1"/>
  <c r="S3837" i="1"/>
  <c r="O3837" i="1"/>
  <c r="K3837" i="1"/>
  <c r="J3837" i="1"/>
  <c r="I3837" i="1"/>
  <c r="H3837" i="1"/>
  <c r="G3837" i="1"/>
  <c r="F3837" i="1"/>
  <c r="E3837" i="1"/>
  <c r="D3837" i="1"/>
  <c r="C3837" i="1"/>
  <c r="B3837" i="1"/>
  <c r="A3837" i="1"/>
  <c r="R3836" i="1"/>
  <c r="J3836" i="1"/>
  <c r="I3836" i="1"/>
  <c r="G3836" i="1"/>
  <c r="F3836" i="1"/>
  <c r="E3836" i="1"/>
  <c r="D3836" i="1"/>
  <c r="C3836" i="1"/>
  <c r="B3836" i="1"/>
  <c r="A3836" i="1"/>
  <c r="S3835" i="1"/>
  <c r="O3835" i="1"/>
  <c r="K3835" i="1"/>
  <c r="J3835" i="1"/>
  <c r="I3835" i="1"/>
  <c r="H3835" i="1"/>
  <c r="G3835" i="1"/>
  <c r="F3835" i="1"/>
  <c r="E3835" i="1"/>
  <c r="D3835" i="1"/>
  <c r="C3835" i="1"/>
  <c r="B3835" i="1"/>
  <c r="A3835" i="1"/>
  <c r="R3834" i="1"/>
  <c r="J3834" i="1"/>
  <c r="I3834" i="1"/>
  <c r="G3834" i="1"/>
  <c r="F3834" i="1"/>
  <c r="E3834" i="1"/>
  <c r="D3834" i="1"/>
  <c r="C3834" i="1"/>
  <c r="B3834" i="1"/>
  <c r="A3834" i="1"/>
  <c r="S3833" i="1"/>
  <c r="O3833" i="1"/>
  <c r="K3833" i="1"/>
  <c r="J3833" i="1"/>
  <c r="I3833" i="1"/>
  <c r="H3833" i="1"/>
  <c r="G3833" i="1"/>
  <c r="F3833" i="1"/>
  <c r="E3833" i="1"/>
  <c r="D3833" i="1"/>
  <c r="C3833" i="1"/>
  <c r="B3833" i="1"/>
  <c r="A3833" i="1"/>
  <c r="R3832" i="1"/>
  <c r="J3832" i="1"/>
  <c r="I3832" i="1"/>
  <c r="G3832" i="1"/>
  <c r="F3832" i="1"/>
  <c r="E3832" i="1"/>
  <c r="D3832" i="1"/>
  <c r="C3832" i="1"/>
  <c r="B3832" i="1"/>
  <c r="A3832" i="1"/>
  <c r="S3831" i="1"/>
  <c r="O3831" i="1"/>
  <c r="K3831" i="1"/>
  <c r="J3831" i="1"/>
  <c r="I3831" i="1"/>
  <c r="H3831" i="1"/>
  <c r="G3831" i="1"/>
  <c r="F3831" i="1"/>
  <c r="E3831" i="1"/>
  <c r="D3831" i="1"/>
  <c r="C3831" i="1"/>
  <c r="B3831" i="1"/>
  <c r="A3831" i="1"/>
  <c r="R3830" i="1"/>
  <c r="J3830" i="1"/>
  <c r="I3830" i="1"/>
  <c r="G3830" i="1"/>
  <c r="F3830" i="1"/>
  <c r="E3830" i="1"/>
  <c r="D3830" i="1"/>
  <c r="C3830" i="1"/>
  <c r="B3830" i="1"/>
  <c r="A3830" i="1"/>
  <c r="S3829" i="1"/>
  <c r="O3829" i="1"/>
  <c r="K3829" i="1"/>
  <c r="J3829" i="1"/>
  <c r="I3829" i="1"/>
  <c r="H3829" i="1"/>
  <c r="G3829" i="1"/>
  <c r="F3829" i="1"/>
  <c r="E3829" i="1"/>
  <c r="D3829" i="1"/>
  <c r="C3829" i="1"/>
  <c r="B3829" i="1"/>
  <c r="A3829" i="1"/>
  <c r="R3828" i="1"/>
  <c r="J3828" i="1"/>
  <c r="I3828" i="1"/>
  <c r="G3828" i="1"/>
  <c r="F3828" i="1"/>
  <c r="E3828" i="1"/>
  <c r="D3828" i="1"/>
  <c r="C3828" i="1"/>
  <c r="B3828" i="1"/>
  <c r="A3828" i="1"/>
  <c r="S3827" i="1"/>
  <c r="O3827" i="1"/>
  <c r="K3827" i="1"/>
  <c r="J3827" i="1"/>
  <c r="I3827" i="1"/>
  <c r="H3827" i="1"/>
  <c r="G3827" i="1"/>
  <c r="F3827" i="1"/>
  <c r="E3827" i="1"/>
  <c r="D3827" i="1"/>
  <c r="C3827" i="1"/>
  <c r="B3827" i="1"/>
  <c r="A3827" i="1"/>
  <c r="R3826" i="1"/>
  <c r="J3826" i="1"/>
  <c r="I3826" i="1"/>
  <c r="G3826" i="1"/>
  <c r="F3826" i="1"/>
  <c r="E3826" i="1"/>
  <c r="D3826" i="1"/>
  <c r="C3826" i="1"/>
  <c r="B3826" i="1"/>
  <c r="A3826" i="1"/>
  <c r="S3825" i="1"/>
  <c r="O3825" i="1"/>
  <c r="K3825" i="1"/>
  <c r="J3825" i="1"/>
  <c r="I3825" i="1"/>
  <c r="H3825" i="1"/>
  <c r="G3825" i="1"/>
  <c r="F3825" i="1"/>
  <c r="E3825" i="1"/>
  <c r="D3825" i="1"/>
  <c r="C3825" i="1"/>
  <c r="B3825" i="1"/>
  <c r="A3825" i="1"/>
  <c r="R3824" i="1"/>
  <c r="J3824" i="1"/>
  <c r="I3824" i="1"/>
  <c r="G3824" i="1"/>
  <c r="F3824" i="1"/>
  <c r="E3824" i="1"/>
  <c r="D3824" i="1"/>
  <c r="C3824" i="1"/>
  <c r="B3824" i="1"/>
  <c r="A3824" i="1"/>
  <c r="S3823" i="1"/>
  <c r="O3823" i="1"/>
  <c r="K3823" i="1"/>
  <c r="J3823" i="1"/>
  <c r="I3823" i="1"/>
  <c r="H3823" i="1"/>
  <c r="G3823" i="1"/>
  <c r="F3823" i="1"/>
  <c r="E3823" i="1"/>
  <c r="D3823" i="1"/>
  <c r="C3823" i="1"/>
  <c r="B3823" i="1"/>
  <c r="A3823" i="1"/>
  <c r="R3822" i="1"/>
  <c r="J3822" i="1"/>
  <c r="I3822" i="1"/>
  <c r="G3822" i="1"/>
  <c r="F3822" i="1"/>
  <c r="E3822" i="1"/>
  <c r="D3822" i="1"/>
  <c r="C3822" i="1"/>
  <c r="B3822" i="1"/>
  <c r="A3822" i="1"/>
  <c r="S3821" i="1"/>
  <c r="O3821" i="1"/>
  <c r="K3821" i="1"/>
  <c r="J3821" i="1"/>
  <c r="I3821" i="1"/>
  <c r="H3821" i="1"/>
  <c r="G3821" i="1"/>
  <c r="F3821" i="1"/>
  <c r="E3821" i="1"/>
  <c r="D3821" i="1"/>
  <c r="C3821" i="1"/>
  <c r="B3821" i="1"/>
  <c r="A3821" i="1"/>
  <c r="R3820" i="1"/>
  <c r="J3820" i="1"/>
  <c r="I3820" i="1"/>
  <c r="G3820" i="1"/>
  <c r="F3820" i="1"/>
  <c r="E3820" i="1"/>
  <c r="D3820" i="1"/>
  <c r="C3820" i="1"/>
  <c r="B3820" i="1"/>
  <c r="A3820" i="1"/>
  <c r="S3819" i="1"/>
  <c r="O3819" i="1"/>
  <c r="K3819" i="1"/>
  <c r="J3819" i="1"/>
  <c r="I3819" i="1"/>
  <c r="H3819" i="1"/>
  <c r="G3819" i="1"/>
  <c r="F3819" i="1"/>
  <c r="E3819" i="1"/>
  <c r="D3819" i="1"/>
  <c r="C3819" i="1"/>
  <c r="B3819" i="1"/>
  <c r="A3819" i="1"/>
  <c r="R3818" i="1"/>
  <c r="J3818" i="1"/>
  <c r="I3818" i="1"/>
  <c r="G3818" i="1"/>
  <c r="F3818" i="1"/>
  <c r="E3818" i="1"/>
  <c r="D3818" i="1"/>
  <c r="C3818" i="1"/>
  <c r="B3818" i="1"/>
  <c r="A3818" i="1"/>
  <c r="S3817" i="1"/>
  <c r="O3817" i="1"/>
  <c r="K3817" i="1"/>
  <c r="J3817" i="1"/>
  <c r="I3817" i="1"/>
  <c r="H3817" i="1"/>
  <c r="G3817" i="1"/>
  <c r="F3817" i="1"/>
  <c r="E3817" i="1"/>
  <c r="D3817" i="1"/>
  <c r="C3817" i="1"/>
  <c r="B3817" i="1"/>
  <c r="A3817" i="1"/>
  <c r="R3816" i="1"/>
  <c r="J3816" i="1"/>
  <c r="I3816" i="1"/>
  <c r="G3816" i="1"/>
  <c r="F3816" i="1"/>
  <c r="E3816" i="1"/>
  <c r="D3816" i="1"/>
  <c r="C3816" i="1"/>
  <c r="B3816" i="1"/>
  <c r="A3816" i="1"/>
  <c r="S3815" i="1"/>
  <c r="O3815" i="1"/>
  <c r="K3815" i="1"/>
  <c r="J3815" i="1"/>
  <c r="I3815" i="1"/>
  <c r="H3815" i="1"/>
  <c r="G3815" i="1"/>
  <c r="F3815" i="1"/>
  <c r="E3815" i="1"/>
  <c r="D3815" i="1"/>
  <c r="C3815" i="1"/>
  <c r="B3815" i="1"/>
  <c r="A3815" i="1"/>
  <c r="R3814" i="1"/>
  <c r="J3814" i="1"/>
  <c r="I3814" i="1"/>
  <c r="G3814" i="1"/>
  <c r="F3814" i="1"/>
  <c r="E3814" i="1"/>
  <c r="D3814" i="1"/>
  <c r="C3814" i="1"/>
  <c r="B3814" i="1"/>
  <c r="A3814" i="1"/>
  <c r="S3813" i="1"/>
  <c r="O3813" i="1"/>
  <c r="K3813" i="1"/>
  <c r="J3813" i="1"/>
  <c r="I3813" i="1"/>
  <c r="H3813" i="1"/>
  <c r="G3813" i="1"/>
  <c r="F3813" i="1"/>
  <c r="E3813" i="1"/>
  <c r="D3813" i="1"/>
  <c r="C3813" i="1"/>
  <c r="B3813" i="1"/>
  <c r="A3813" i="1"/>
  <c r="R3812" i="1"/>
  <c r="J3812" i="1"/>
  <c r="I3812" i="1"/>
  <c r="G3812" i="1"/>
  <c r="F3812" i="1"/>
  <c r="E3812" i="1"/>
  <c r="D3812" i="1"/>
  <c r="C3812" i="1"/>
  <c r="B3812" i="1"/>
  <c r="A3812" i="1"/>
  <c r="S3811" i="1"/>
  <c r="O3811" i="1"/>
  <c r="K3811" i="1"/>
  <c r="J3811" i="1"/>
  <c r="I3811" i="1"/>
  <c r="H3811" i="1"/>
  <c r="G3811" i="1"/>
  <c r="F3811" i="1"/>
  <c r="E3811" i="1"/>
  <c r="D3811" i="1"/>
  <c r="C3811" i="1"/>
  <c r="B3811" i="1"/>
  <c r="A3811" i="1"/>
  <c r="R3810" i="1"/>
  <c r="J3810" i="1"/>
  <c r="I3810" i="1"/>
  <c r="G3810" i="1"/>
  <c r="F3810" i="1"/>
  <c r="E3810" i="1"/>
  <c r="D3810" i="1"/>
  <c r="C3810" i="1"/>
  <c r="B3810" i="1"/>
  <c r="A3810" i="1"/>
  <c r="S3809" i="1"/>
  <c r="O3809" i="1"/>
  <c r="K3809" i="1"/>
  <c r="J3809" i="1"/>
  <c r="I3809" i="1"/>
  <c r="H3809" i="1"/>
  <c r="G3809" i="1"/>
  <c r="F3809" i="1"/>
  <c r="E3809" i="1"/>
  <c r="D3809" i="1"/>
  <c r="C3809" i="1"/>
  <c r="B3809" i="1"/>
  <c r="A3809" i="1"/>
  <c r="R3808" i="1"/>
  <c r="J3808" i="1"/>
  <c r="I3808" i="1"/>
  <c r="G3808" i="1"/>
  <c r="F3808" i="1"/>
  <c r="E3808" i="1"/>
  <c r="D3808" i="1"/>
  <c r="C3808" i="1"/>
  <c r="B3808" i="1"/>
  <c r="A3808" i="1"/>
  <c r="S3807" i="1"/>
  <c r="O3807" i="1"/>
  <c r="K3807" i="1"/>
  <c r="J3807" i="1"/>
  <c r="I3807" i="1"/>
  <c r="H3807" i="1"/>
  <c r="G3807" i="1"/>
  <c r="F3807" i="1"/>
  <c r="E3807" i="1"/>
  <c r="D3807" i="1"/>
  <c r="C3807" i="1"/>
  <c r="B3807" i="1"/>
  <c r="A3807" i="1"/>
  <c r="R3806" i="1"/>
  <c r="J3806" i="1"/>
  <c r="I3806" i="1"/>
  <c r="G3806" i="1"/>
  <c r="F3806" i="1"/>
  <c r="E3806" i="1"/>
  <c r="D3806" i="1"/>
  <c r="C3806" i="1"/>
  <c r="B3806" i="1"/>
  <c r="A3806" i="1"/>
  <c r="S3805" i="1"/>
  <c r="O3805" i="1"/>
  <c r="K3805" i="1"/>
  <c r="J3805" i="1"/>
  <c r="I3805" i="1"/>
  <c r="H3805" i="1"/>
  <c r="G3805" i="1"/>
  <c r="F3805" i="1"/>
  <c r="E3805" i="1"/>
  <c r="D3805" i="1"/>
  <c r="C3805" i="1"/>
  <c r="B3805" i="1"/>
  <c r="A3805" i="1"/>
  <c r="R3804" i="1"/>
  <c r="J3804" i="1"/>
  <c r="I3804" i="1"/>
  <c r="G3804" i="1"/>
  <c r="F3804" i="1"/>
  <c r="E3804" i="1"/>
  <c r="D3804" i="1"/>
  <c r="C3804" i="1"/>
  <c r="B3804" i="1"/>
  <c r="A3804" i="1"/>
  <c r="S3803" i="1"/>
  <c r="O3803" i="1"/>
  <c r="K3803" i="1"/>
  <c r="J3803" i="1"/>
  <c r="I3803" i="1"/>
  <c r="H3803" i="1"/>
  <c r="G3803" i="1"/>
  <c r="F3803" i="1"/>
  <c r="E3803" i="1"/>
  <c r="D3803" i="1"/>
  <c r="C3803" i="1"/>
  <c r="B3803" i="1"/>
  <c r="A3803" i="1"/>
  <c r="R3802" i="1"/>
  <c r="J3802" i="1"/>
  <c r="I3802" i="1"/>
  <c r="G3802" i="1"/>
  <c r="F3802" i="1"/>
  <c r="E3802" i="1"/>
  <c r="D3802" i="1"/>
  <c r="C3802" i="1"/>
  <c r="B3802" i="1"/>
  <c r="A3802" i="1"/>
  <c r="S3801" i="1"/>
  <c r="O3801" i="1"/>
  <c r="K3801" i="1"/>
  <c r="J3801" i="1"/>
  <c r="I3801" i="1"/>
  <c r="H3801" i="1"/>
  <c r="G3801" i="1"/>
  <c r="F3801" i="1"/>
  <c r="E3801" i="1"/>
  <c r="D3801" i="1"/>
  <c r="C3801" i="1"/>
  <c r="B3801" i="1"/>
  <c r="A3801" i="1"/>
  <c r="R3800" i="1"/>
  <c r="J3800" i="1"/>
  <c r="I3800" i="1"/>
  <c r="G3800" i="1"/>
  <c r="F3800" i="1"/>
  <c r="E3800" i="1"/>
  <c r="D3800" i="1"/>
  <c r="C3800" i="1"/>
  <c r="B3800" i="1"/>
  <c r="A3800" i="1"/>
  <c r="S3799" i="1"/>
  <c r="O3799" i="1"/>
  <c r="K3799" i="1"/>
  <c r="J3799" i="1"/>
  <c r="I3799" i="1"/>
  <c r="H3799" i="1"/>
  <c r="G3799" i="1"/>
  <c r="F3799" i="1"/>
  <c r="E3799" i="1"/>
  <c r="D3799" i="1"/>
  <c r="C3799" i="1"/>
  <c r="B3799" i="1"/>
  <c r="A3799" i="1"/>
  <c r="R3798" i="1"/>
  <c r="J3798" i="1"/>
  <c r="I3798" i="1"/>
  <c r="G3798" i="1"/>
  <c r="F3798" i="1"/>
  <c r="E3798" i="1"/>
  <c r="D3798" i="1"/>
  <c r="C3798" i="1"/>
  <c r="B3798" i="1"/>
  <c r="A3798" i="1"/>
  <c r="S3797" i="1"/>
  <c r="O3797" i="1"/>
  <c r="K3797" i="1"/>
  <c r="J3797" i="1"/>
  <c r="I3797" i="1"/>
  <c r="H3797" i="1"/>
  <c r="G3797" i="1"/>
  <c r="F3797" i="1"/>
  <c r="E3797" i="1"/>
  <c r="D3797" i="1"/>
  <c r="C3797" i="1"/>
  <c r="B3797" i="1"/>
  <c r="A3797" i="1"/>
  <c r="R3796" i="1"/>
  <c r="J3796" i="1"/>
  <c r="I3796" i="1"/>
  <c r="G3796" i="1"/>
  <c r="F3796" i="1"/>
  <c r="E3796" i="1"/>
  <c r="D3796" i="1"/>
  <c r="C3796" i="1"/>
  <c r="B3796" i="1"/>
  <c r="A3796" i="1"/>
  <c r="S3795" i="1"/>
  <c r="O3795" i="1"/>
  <c r="K3795" i="1"/>
  <c r="J3795" i="1"/>
  <c r="I3795" i="1"/>
  <c r="H3795" i="1"/>
  <c r="G3795" i="1"/>
  <c r="F3795" i="1"/>
  <c r="E3795" i="1"/>
  <c r="D3795" i="1"/>
  <c r="C3795" i="1"/>
  <c r="B3795" i="1"/>
  <c r="A3795" i="1"/>
  <c r="R3794" i="1"/>
  <c r="J3794" i="1"/>
  <c r="I3794" i="1"/>
  <c r="G3794" i="1"/>
  <c r="F3794" i="1"/>
  <c r="E3794" i="1"/>
  <c r="D3794" i="1"/>
  <c r="C3794" i="1"/>
  <c r="B3794" i="1"/>
  <c r="A3794" i="1"/>
  <c r="S3793" i="1"/>
  <c r="O3793" i="1"/>
  <c r="K3793" i="1"/>
  <c r="J3793" i="1"/>
  <c r="I3793" i="1"/>
  <c r="H3793" i="1"/>
  <c r="G3793" i="1"/>
  <c r="F3793" i="1"/>
  <c r="E3793" i="1"/>
  <c r="D3793" i="1"/>
  <c r="C3793" i="1"/>
  <c r="B3793" i="1"/>
  <c r="A3793" i="1"/>
  <c r="R3792" i="1"/>
  <c r="J3792" i="1"/>
  <c r="I3792" i="1"/>
  <c r="G3792" i="1"/>
  <c r="F3792" i="1"/>
  <c r="E3792" i="1"/>
  <c r="D3792" i="1"/>
  <c r="C3792" i="1"/>
  <c r="B3792" i="1"/>
  <c r="A3792" i="1"/>
  <c r="S3791" i="1"/>
  <c r="O3791" i="1"/>
  <c r="K3791" i="1"/>
  <c r="J3791" i="1"/>
  <c r="I3791" i="1"/>
  <c r="H3791" i="1"/>
  <c r="G3791" i="1"/>
  <c r="F3791" i="1"/>
  <c r="E3791" i="1"/>
  <c r="D3791" i="1"/>
  <c r="C3791" i="1"/>
  <c r="B3791" i="1"/>
  <c r="A3791" i="1"/>
  <c r="R3790" i="1"/>
  <c r="J3790" i="1"/>
  <c r="I3790" i="1"/>
  <c r="G3790" i="1"/>
  <c r="F3790" i="1"/>
  <c r="E3790" i="1"/>
  <c r="D3790" i="1"/>
  <c r="C3790" i="1"/>
  <c r="B3790" i="1"/>
  <c r="A3790" i="1"/>
  <c r="S3789" i="1"/>
  <c r="O3789" i="1"/>
  <c r="K3789" i="1"/>
  <c r="J3789" i="1"/>
  <c r="I3789" i="1"/>
  <c r="H3789" i="1"/>
  <c r="G3789" i="1"/>
  <c r="F3789" i="1"/>
  <c r="E3789" i="1"/>
  <c r="D3789" i="1"/>
  <c r="C3789" i="1"/>
  <c r="B3789" i="1"/>
  <c r="A3789" i="1"/>
  <c r="R3788" i="1"/>
  <c r="J3788" i="1"/>
  <c r="I3788" i="1"/>
  <c r="G3788" i="1"/>
  <c r="F3788" i="1"/>
  <c r="E3788" i="1"/>
  <c r="D3788" i="1"/>
  <c r="C3788" i="1"/>
  <c r="B3788" i="1"/>
  <c r="A3788" i="1"/>
  <c r="S3787" i="1"/>
  <c r="O3787" i="1"/>
  <c r="K3787" i="1"/>
  <c r="J3787" i="1"/>
  <c r="I3787" i="1"/>
  <c r="H3787" i="1"/>
  <c r="G3787" i="1"/>
  <c r="F3787" i="1"/>
  <c r="E3787" i="1"/>
  <c r="D3787" i="1"/>
  <c r="C3787" i="1"/>
  <c r="B3787" i="1"/>
  <c r="A3787" i="1"/>
  <c r="R3786" i="1"/>
  <c r="J3786" i="1"/>
  <c r="I3786" i="1"/>
  <c r="G3786" i="1"/>
  <c r="F3786" i="1"/>
  <c r="E3786" i="1"/>
  <c r="D3786" i="1"/>
  <c r="C3786" i="1"/>
  <c r="B3786" i="1"/>
  <c r="A3786" i="1"/>
  <c r="S3785" i="1"/>
  <c r="O3785" i="1"/>
  <c r="K3785" i="1"/>
  <c r="J3785" i="1"/>
  <c r="I3785" i="1"/>
  <c r="H3785" i="1"/>
  <c r="G3785" i="1"/>
  <c r="F3785" i="1"/>
  <c r="E3785" i="1"/>
  <c r="D3785" i="1"/>
  <c r="C3785" i="1"/>
  <c r="B3785" i="1"/>
  <c r="A3785" i="1"/>
  <c r="R3784" i="1"/>
  <c r="J3784" i="1"/>
  <c r="I3784" i="1"/>
  <c r="G3784" i="1"/>
  <c r="F3784" i="1"/>
  <c r="E3784" i="1"/>
  <c r="D3784" i="1"/>
  <c r="C3784" i="1"/>
  <c r="B3784" i="1"/>
  <c r="A3784" i="1"/>
  <c r="S3783" i="1"/>
  <c r="O3783" i="1"/>
  <c r="K3783" i="1"/>
  <c r="J3783" i="1"/>
  <c r="I3783" i="1"/>
  <c r="H3783" i="1"/>
  <c r="G3783" i="1"/>
  <c r="F3783" i="1"/>
  <c r="E3783" i="1"/>
  <c r="D3783" i="1"/>
  <c r="C3783" i="1"/>
  <c r="B3783" i="1"/>
  <c r="A3783" i="1"/>
  <c r="R3782" i="1"/>
  <c r="J3782" i="1"/>
  <c r="I3782" i="1"/>
  <c r="G3782" i="1"/>
  <c r="F3782" i="1"/>
  <c r="E3782" i="1"/>
  <c r="D3782" i="1"/>
  <c r="C3782" i="1"/>
  <c r="B3782" i="1"/>
  <c r="A3782" i="1"/>
  <c r="S3781" i="1"/>
  <c r="O3781" i="1"/>
  <c r="K3781" i="1"/>
  <c r="J3781" i="1"/>
  <c r="I3781" i="1"/>
  <c r="H3781" i="1"/>
  <c r="G3781" i="1"/>
  <c r="F3781" i="1"/>
  <c r="E3781" i="1"/>
  <c r="D3781" i="1"/>
  <c r="C3781" i="1"/>
  <c r="B3781" i="1"/>
  <c r="A3781" i="1"/>
  <c r="R3780" i="1"/>
  <c r="J3780" i="1"/>
  <c r="I3780" i="1"/>
  <c r="G3780" i="1"/>
  <c r="F3780" i="1"/>
  <c r="E3780" i="1"/>
  <c r="D3780" i="1"/>
  <c r="C3780" i="1"/>
  <c r="B3780" i="1"/>
  <c r="A3780" i="1"/>
  <c r="S3779" i="1"/>
  <c r="O3779" i="1"/>
  <c r="K3779" i="1"/>
  <c r="J3779" i="1"/>
  <c r="I3779" i="1"/>
  <c r="H3779" i="1"/>
  <c r="G3779" i="1"/>
  <c r="F3779" i="1"/>
  <c r="E3779" i="1"/>
  <c r="D3779" i="1"/>
  <c r="C3779" i="1"/>
  <c r="B3779" i="1"/>
  <c r="A3779" i="1"/>
  <c r="R3778" i="1"/>
  <c r="J3778" i="1"/>
  <c r="I3778" i="1"/>
  <c r="G3778" i="1"/>
  <c r="F3778" i="1"/>
  <c r="E3778" i="1"/>
  <c r="D3778" i="1"/>
  <c r="C3778" i="1"/>
  <c r="B3778" i="1"/>
  <c r="A3778" i="1"/>
  <c r="S3777" i="1"/>
  <c r="O3777" i="1"/>
  <c r="K3777" i="1"/>
  <c r="J3777" i="1"/>
  <c r="I3777" i="1"/>
  <c r="H3777" i="1"/>
  <c r="G3777" i="1"/>
  <c r="F3777" i="1"/>
  <c r="E3777" i="1"/>
  <c r="D3777" i="1"/>
  <c r="C3777" i="1"/>
  <c r="B3777" i="1"/>
  <c r="A3777" i="1"/>
  <c r="R3776" i="1"/>
  <c r="J3776" i="1"/>
  <c r="I3776" i="1"/>
  <c r="G3776" i="1"/>
  <c r="F3776" i="1"/>
  <c r="E3776" i="1"/>
  <c r="D3776" i="1"/>
  <c r="C3776" i="1"/>
  <c r="B3776" i="1"/>
  <c r="A3776" i="1"/>
  <c r="S3775" i="1"/>
  <c r="O3775" i="1"/>
  <c r="K3775" i="1"/>
  <c r="J3775" i="1"/>
  <c r="I3775" i="1"/>
  <c r="H3775" i="1"/>
  <c r="G3775" i="1"/>
  <c r="F3775" i="1"/>
  <c r="E3775" i="1"/>
  <c r="D3775" i="1"/>
  <c r="C3775" i="1"/>
  <c r="B3775" i="1"/>
  <c r="A3775" i="1"/>
  <c r="R3774" i="1"/>
  <c r="J3774" i="1"/>
  <c r="I3774" i="1"/>
  <c r="G3774" i="1"/>
  <c r="F3774" i="1"/>
  <c r="E3774" i="1"/>
  <c r="D3774" i="1"/>
  <c r="C3774" i="1"/>
  <c r="B3774" i="1"/>
  <c r="A3774" i="1"/>
  <c r="S3773" i="1"/>
  <c r="O3773" i="1"/>
  <c r="K3773" i="1"/>
  <c r="J3773" i="1"/>
  <c r="I3773" i="1"/>
  <c r="H3773" i="1"/>
  <c r="G3773" i="1"/>
  <c r="F3773" i="1"/>
  <c r="E3773" i="1"/>
  <c r="D3773" i="1"/>
  <c r="C3773" i="1"/>
  <c r="B3773" i="1"/>
  <c r="A3773" i="1"/>
  <c r="R3772" i="1"/>
  <c r="J3772" i="1"/>
  <c r="I3772" i="1"/>
  <c r="G3772" i="1"/>
  <c r="F3772" i="1"/>
  <c r="E3772" i="1"/>
  <c r="D3772" i="1"/>
  <c r="C3772" i="1"/>
  <c r="B3772" i="1"/>
  <c r="A3772" i="1"/>
  <c r="S3771" i="1"/>
  <c r="O3771" i="1"/>
  <c r="K3771" i="1"/>
  <c r="J3771" i="1"/>
  <c r="I3771" i="1"/>
  <c r="H3771" i="1"/>
  <c r="G3771" i="1"/>
  <c r="F3771" i="1"/>
  <c r="E3771" i="1"/>
  <c r="D3771" i="1"/>
  <c r="C3771" i="1"/>
  <c r="B3771" i="1"/>
  <c r="A3771" i="1"/>
  <c r="R3770" i="1"/>
  <c r="J3770" i="1"/>
  <c r="I3770" i="1"/>
  <c r="G3770" i="1"/>
  <c r="F3770" i="1"/>
  <c r="E3770" i="1"/>
  <c r="D3770" i="1"/>
  <c r="C3770" i="1"/>
  <c r="B3770" i="1"/>
  <c r="A3770" i="1"/>
  <c r="S3769" i="1"/>
  <c r="O3769" i="1"/>
  <c r="K3769" i="1"/>
  <c r="J3769" i="1"/>
  <c r="I3769" i="1"/>
  <c r="H3769" i="1"/>
  <c r="G3769" i="1"/>
  <c r="F3769" i="1"/>
  <c r="E3769" i="1"/>
  <c r="D3769" i="1"/>
  <c r="C3769" i="1"/>
  <c r="B3769" i="1"/>
  <c r="A3769" i="1"/>
  <c r="R3768" i="1"/>
  <c r="J3768" i="1"/>
  <c r="I3768" i="1"/>
  <c r="G3768" i="1"/>
  <c r="F3768" i="1"/>
  <c r="E3768" i="1"/>
  <c r="D3768" i="1"/>
  <c r="C3768" i="1"/>
  <c r="B3768" i="1"/>
  <c r="A3768" i="1"/>
  <c r="S3767" i="1"/>
  <c r="O3767" i="1"/>
  <c r="K3767" i="1"/>
  <c r="J3767" i="1"/>
  <c r="I3767" i="1"/>
  <c r="H3767" i="1"/>
  <c r="G3767" i="1"/>
  <c r="F3767" i="1"/>
  <c r="E3767" i="1"/>
  <c r="D3767" i="1"/>
  <c r="C3767" i="1"/>
  <c r="B3767" i="1"/>
  <c r="A3767" i="1"/>
  <c r="R3766" i="1"/>
  <c r="J3766" i="1"/>
  <c r="I3766" i="1"/>
  <c r="G3766" i="1"/>
  <c r="F3766" i="1"/>
  <c r="E3766" i="1"/>
  <c r="D3766" i="1"/>
  <c r="C3766" i="1"/>
  <c r="B3766" i="1"/>
  <c r="A3766" i="1"/>
  <c r="S3765" i="1"/>
  <c r="O3765" i="1"/>
  <c r="K3765" i="1"/>
  <c r="J3765" i="1"/>
  <c r="I3765" i="1"/>
  <c r="H3765" i="1"/>
  <c r="G3765" i="1"/>
  <c r="F3765" i="1"/>
  <c r="E3765" i="1"/>
  <c r="D3765" i="1"/>
  <c r="C3765" i="1"/>
  <c r="B3765" i="1"/>
  <c r="A3765" i="1"/>
  <c r="R3764" i="1"/>
  <c r="J3764" i="1"/>
  <c r="I3764" i="1"/>
  <c r="G3764" i="1"/>
  <c r="F3764" i="1"/>
  <c r="E3764" i="1"/>
  <c r="D3764" i="1"/>
  <c r="C3764" i="1"/>
  <c r="B3764" i="1"/>
  <c r="A3764" i="1"/>
  <c r="S3763" i="1"/>
  <c r="O3763" i="1"/>
  <c r="K3763" i="1"/>
  <c r="J3763" i="1"/>
  <c r="I3763" i="1"/>
  <c r="H3763" i="1"/>
  <c r="G3763" i="1"/>
  <c r="F3763" i="1"/>
  <c r="E3763" i="1"/>
  <c r="D3763" i="1"/>
  <c r="C3763" i="1"/>
  <c r="B3763" i="1"/>
  <c r="A3763" i="1"/>
  <c r="R3762" i="1"/>
  <c r="J3762" i="1"/>
  <c r="I3762" i="1"/>
  <c r="G3762" i="1"/>
  <c r="F3762" i="1"/>
  <c r="E3762" i="1"/>
  <c r="D3762" i="1"/>
  <c r="C3762" i="1"/>
  <c r="B3762" i="1"/>
  <c r="A3762" i="1"/>
  <c r="S3761" i="1"/>
  <c r="O3761" i="1"/>
  <c r="K3761" i="1"/>
  <c r="J3761" i="1"/>
  <c r="I3761" i="1"/>
  <c r="H3761" i="1"/>
  <c r="G3761" i="1"/>
  <c r="F3761" i="1"/>
  <c r="E3761" i="1"/>
  <c r="D3761" i="1"/>
  <c r="C3761" i="1"/>
  <c r="B3761" i="1"/>
  <c r="A3761" i="1"/>
  <c r="R3760" i="1"/>
  <c r="J3760" i="1"/>
  <c r="I3760" i="1"/>
  <c r="G3760" i="1"/>
  <c r="F3760" i="1"/>
  <c r="E3760" i="1"/>
  <c r="D3760" i="1"/>
  <c r="C3760" i="1"/>
  <c r="B3760" i="1"/>
  <c r="A3760" i="1"/>
  <c r="S3759" i="1"/>
  <c r="O3759" i="1"/>
  <c r="K3759" i="1"/>
  <c r="J3759" i="1"/>
  <c r="I3759" i="1"/>
  <c r="H3759" i="1"/>
  <c r="G3759" i="1"/>
  <c r="F3759" i="1"/>
  <c r="E3759" i="1"/>
  <c r="D3759" i="1"/>
  <c r="C3759" i="1"/>
  <c r="B3759" i="1"/>
  <c r="A3759" i="1"/>
  <c r="R3758" i="1"/>
  <c r="J3758" i="1"/>
  <c r="I3758" i="1"/>
  <c r="G3758" i="1"/>
  <c r="F3758" i="1"/>
  <c r="E3758" i="1"/>
  <c r="D3758" i="1"/>
  <c r="C3758" i="1"/>
  <c r="B3758" i="1"/>
  <c r="A3758" i="1"/>
  <c r="S3757" i="1"/>
  <c r="O3757" i="1"/>
  <c r="K3757" i="1"/>
  <c r="J3757" i="1"/>
  <c r="I3757" i="1"/>
  <c r="H3757" i="1"/>
  <c r="G3757" i="1"/>
  <c r="F3757" i="1"/>
  <c r="E3757" i="1"/>
  <c r="D3757" i="1"/>
  <c r="C3757" i="1"/>
  <c r="B3757" i="1"/>
  <c r="A3757" i="1"/>
  <c r="R3756" i="1"/>
  <c r="J3756" i="1"/>
  <c r="I3756" i="1"/>
  <c r="G3756" i="1"/>
  <c r="F3756" i="1"/>
  <c r="E3756" i="1"/>
  <c r="D3756" i="1"/>
  <c r="C3756" i="1"/>
  <c r="B3756" i="1"/>
  <c r="A3756" i="1"/>
  <c r="S3755" i="1"/>
  <c r="O3755" i="1"/>
  <c r="K3755" i="1"/>
  <c r="J3755" i="1"/>
  <c r="I3755" i="1"/>
  <c r="H3755" i="1"/>
  <c r="G3755" i="1"/>
  <c r="F3755" i="1"/>
  <c r="E3755" i="1"/>
  <c r="D3755" i="1"/>
  <c r="C3755" i="1"/>
  <c r="B3755" i="1"/>
  <c r="A3755" i="1"/>
  <c r="R3754" i="1"/>
  <c r="J3754" i="1"/>
  <c r="I3754" i="1"/>
  <c r="G3754" i="1"/>
  <c r="F3754" i="1"/>
  <c r="E3754" i="1"/>
  <c r="D3754" i="1"/>
  <c r="C3754" i="1"/>
  <c r="B3754" i="1"/>
  <c r="A3754" i="1"/>
  <c r="S3753" i="1"/>
  <c r="O3753" i="1"/>
  <c r="K3753" i="1"/>
  <c r="J3753" i="1"/>
  <c r="I3753" i="1"/>
  <c r="H3753" i="1"/>
  <c r="G3753" i="1"/>
  <c r="F3753" i="1"/>
  <c r="E3753" i="1"/>
  <c r="D3753" i="1"/>
  <c r="C3753" i="1"/>
  <c r="B3753" i="1"/>
  <c r="A3753" i="1"/>
  <c r="R3752" i="1"/>
  <c r="J3752" i="1"/>
  <c r="I3752" i="1"/>
  <c r="G3752" i="1"/>
  <c r="F3752" i="1"/>
  <c r="E3752" i="1"/>
  <c r="D3752" i="1"/>
  <c r="C3752" i="1"/>
  <c r="B3752" i="1"/>
  <c r="A3752" i="1"/>
  <c r="S3751" i="1"/>
  <c r="O3751" i="1"/>
  <c r="K3751" i="1"/>
  <c r="J3751" i="1"/>
  <c r="I3751" i="1"/>
  <c r="H3751" i="1"/>
  <c r="G3751" i="1"/>
  <c r="F3751" i="1"/>
  <c r="E3751" i="1"/>
  <c r="D3751" i="1"/>
  <c r="C3751" i="1"/>
  <c r="B3751" i="1"/>
  <c r="A3751" i="1"/>
  <c r="R3750" i="1"/>
  <c r="J3750" i="1"/>
  <c r="I3750" i="1"/>
  <c r="G3750" i="1"/>
  <c r="F3750" i="1"/>
  <c r="E3750" i="1"/>
  <c r="D3750" i="1"/>
  <c r="C3750" i="1"/>
  <c r="B3750" i="1"/>
  <c r="A3750" i="1"/>
  <c r="S3749" i="1"/>
  <c r="O3749" i="1"/>
  <c r="K3749" i="1"/>
  <c r="J3749" i="1"/>
  <c r="I3749" i="1"/>
  <c r="H3749" i="1"/>
  <c r="G3749" i="1"/>
  <c r="F3749" i="1"/>
  <c r="E3749" i="1"/>
  <c r="D3749" i="1"/>
  <c r="C3749" i="1"/>
  <c r="B3749" i="1"/>
  <c r="A3749" i="1"/>
  <c r="R3748" i="1"/>
  <c r="J3748" i="1"/>
  <c r="I3748" i="1"/>
  <c r="G3748" i="1"/>
  <c r="F3748" i="1"/>
  <c r="E3748" i="1"/>
  <c r="D3748" i="1"/>
  <c r="C3748" i="1"/>
  <c r="B3748" i="1"/>
  <c r="A3748" i="1"/>
  <c r="S3747" i="1"/>
  <c r="O3747" i="1"/>
  <c r="K3747" i="1"/>
  <c r="J3747" i="1"/>
  <c r="I3747" i="1"/>
  <c r="H3747" i="1"/>
  <c r="G3747" i="1"/>
  <c r="F3747" i="1"/>
  <c r="E3747" i="1"/>
  <c r="D3747" i="1"/>
  <c r="C3747" i="1"/>
  <c r="B3747" i="1"/>
  <c r="A3747" i="1"/>
  <c r="R3746" i="1"/>
  <c r="J3746" i="1"/>
  <c r="I3746" i="1"/>
  <c r="G3746" i="1"/>
  <c r="F3746" i="1"/>
  <c r="E3746" i="1"/>
  <c r="D3746" i="1"/>
  <c r="C3746" i="1"/>
  <c r="B3746" i="1"/>
  <c r="A3746" i="1"/>
  <c r="S3745" i="1"/>
  <c r="O3745" i="1"/>
  <c r="K3745" i="1"/>
  <c r="J3745" i="1"/>
  <c r="I3745" i="1"/>
  <c r="H3745" i="1"/>
  <c r="G3745" i="1"/>
  <c r="F3745" i="1"/>
  <c r="E3745" i="1"/>
  <c r="D3745" i="1"/>
  <c r="C3745" i="1"/>
  <c r="B3745" i="1"/>
  <c r="A3745" i="1"/>
  <c r="R3744" i="1"/>
  <c r="J3744" i="1"/>
  <c r="I3744" i="1"/>
  <c r="G3744" i="1"/>
  <c r="F3744" i="1"/>
  <c r="E3744" i="1"/>
  <c r="D3744" i="1"/>
  <c r="C3744" i="1"/>
  <c r="B3744" i="1"/>
  <c r="A3744" i="1"/>
  <c r="S3743" i="1"/>
  <c r="O3743" i="1"/>
  <c r="K3743" i="1"/>
  <c r="J3743" i="1"/>
  <c r="I3743" i="1"/>
  <c r="H3743" i="1"/>
  <c r="G3743" i="1"/>
  <c r="F3743" i="1"/>
  <c r="E3743" i="1"/>
  <c r="D3743" i="1"/>
  <c r="C3743" i="1"/>
  <c r="B3743" i="1"/>
  <c r="A3743" i="1"/>
  <c r="R3742" i="1"/>
  <c r="J3742" i="1"/>
  <c r="I3742" i="1"/>
  <c r="G3742" i="1"/>
  <c r="F3742" i="1"/>
  <c r="E3742" i="1"/>
  <c r="D3742" i="1"/>
  <c r="C3742" i="1"/>
  <c r="B3742" i="1"/>
  <c r="A3742" i="1"/>
  <c r="S3741" i="1"/>
  <c r="O3741" i="1"/>
  <c r="K3741" i="1"/>
  <c r="J3741" i="1"/>
  <c r="I3741" i="1"/>
  <c r="H3741" i="1"/>
  <c r="G3741" i="1"/>
  <c r="F3741" i="1"/>
  <c r="E3741" i="1"/>
  <c r="D3741" i="1"/>
  <c r="C3741" i="1"/>
  <c r="B3741" i="1"/>
  <c r="A3741" i="1"/>
  <c r="R3740" i="1"/>
  <c r="J3740" i="1"/>
  <c r="I3740" i="1"/>
  <c r="G3740" i="1"/>
  <c r="F3740" i="1"/>
  <c r="E3740" i="1"/>
  <c r="D3740" i="1"/>
  <c r="C3740" i="1"/>
  <c r="B3740" i="1"/>
  <c r="A3740" i="1"/>
  <c r="S3739" i="1"/>
  <c r="O3739" i="1"/>
  <c r="K3739" i="1"/>
  <c r="J3739" i="1"/>
  <c r="I3739" i="1"/>
  <c r="H3739" i="1"/>
  <c r="G3739" i="1"/>
  <c r="F3739" i="1"/>
  <c r="E3739" i="1"/>
  <c r="D3739" i="1"/>
  <c r="C3739" i="1"/>
  <c r="B3739" i="1"/>
  <c r="A3739" i="1"/>
  <c r="R3738" i="1"/>
  <c r="J3738" i="1"/>
  <c r="I3738" i="1"/>
  <c r="G3738" i="1"/>
  <c r="F3738" i="1"/>
  <c r="E3738" i="1"/>
  <c r="D3738" i="1"/>
  <c r="C3738" i="1"/>
  <c r="B3738" i="1"/>
  <c r="A3738" i="1"/>
  <c r="S3737" i="1"/>
  <c r="O3737" i="1"/>
  <c r="K3737" i="1"/>
  <c r="J3737" i="1"/>
  <c r="I3737" i="1"/>
  <c r="H3737" i="1"/>
  <c r="G3737" i="1"/>
  <c r="F3737" i="1"/>
  <c r="E3737" i="1"/>
  <c r="D3737" i="1"/>
  <c r="C3737" i="1"/>
  <c r="B3737" i="1"/>
  <c r="A3737" i="1"/>
  <c r="R3736" i="1"/>
  <c r="J3736" i="1"/>
  <c r="I3736" i="1"/>
  <c r="G3736" i="1"/>
  <c r="F3736" i="1"/>
  <c r="E3736" i="1"/>
  <c r="D3736" i="1"/>
  <c r="C3736" i="1"/>
  <c r="B3736" i="1"/>
  <c r="A3736" i="1"/>
  <c r="S3735" i="1"/>
  <c r="O3735" i="1"/>
  <c r="K3735" i="1"/>
  <c r="J3735" i="1"/>
  <c r="I3735" i="1"/>
  <c r="H3735" i="1"/>
  <c r="G3735" i="1"/>
  <c r="F3735" i="1"/>
  <c r="E3735" i="1"/>
  <c r="D3735" i="1"/>
  <c r="C3735" i="1"/>
  <c r="B3735" i="1"/>
  <c r="A3735" i="1"/>
  <c r="R3734" i="1"/>
  <c r="J3734" i="1"/>
  <c r="I3734" i="1"/>
  <c r="G3734" i="1"/>
  <c r="F3734" i="1"/>
  <c r="E3734" i="1"/>
  <c r="D3734" i="1"/>
  <c r="C3734" i="1"/>
  <c r="B3734" i="1"/>
  <c r="A3734" i="1"/>
  <c r="S3733" i="1"/>
  <c r="O3733" i="1"/>
  <c r="K3733" i="1"/>
  <c r="J3733" i="1"/>
  <c r="I3733" i="1"/>
  <c r="H3733" i="1"/>
  <c r="G3733" i="1"/>
  <c r="F3733" i="1"/>
  <c r="E3733" i="1"/>
  <c r="D3733" i="1"/>
  <c r="C3733" i="1"/>
  <c r="B3733" i="1"/>
  <c r="A3733" i="1"/>
  <c r="R3732" i="1"/>
  <c r="J3732" i="1"/>
  <c r="I3732" i="1"/>
  <c r="G3732" i="1"/>
  <c r="F3732" i="1"/>
  <c r="E3732" i="1"/>
  <c r="D3732" i="1"/>
  <c r="C3732" i="1"/>
  <c r="B3732" i="1"/>
  <c r="A3732" i="1"/>
  <c r="S3731" i="1"/>
  <c r="O3731" i="1"/>
  <c r="K3731" i="1"/>
  <c r="J3731" i="1"/>
  <c r="I3731" i="1"/>
  <c r="H3731" i="1"/>
  <c r="G3731" i="1"/>
  <c r="F3731" i="1"/>
  <c r="E3731" i="1"/>
  <c r="D3731" i="1"/>
  <c r="C3731" i="1"/>
  <c r="B3731" i="1"/>
  <c r="A3731" i="1"/>
  <c r="R3730" i="1"/>
  <c r="J3730" i="1"/>
  <c r="I3730" i="1"/>
  <c r="G3730" i="1"/>
  <c r="F3730" i="1"/>
  <c r="E3730" i="1"/>
  <c r="D3730" i="1"/>
  <c r="C3730" i="1"/>
  <c r="B3730" i="1"/>
  <c r="A3730" i="1"/>
  <c r="S3729" i="1"/>
  <c r="O3729" i="1"/>
  <c r="K3729" i="1"/>
  <c r="J3729" i="1"/>
  <c r="I3729" i="1"/>
  <c r="H3729" i="1"/>
  <c r="G3729" i="1"/>
  <c r="F3729" i="1"/>
  <c r="E3729" i="1"/>
  <c r="D3729" i="1"/>
  <c r="C3729" i="1"/>
  <c r="B3729" i="1"/>
  <c r="A3729" i="1"/>
  <c r="R3728" i="1"/>
  <c r="J3728" i="1"/>
  <c r="I3728" i="1"/>
  <c r="G3728" i="1"/>
  <c r="F3728" i="1"/>
  <c r="E3728" i="1"/>
  <c r="D3728" i="1"/>
  <c r="C3728" i="1"/>
  <c r="B3728" i="1"/>
  <c r="A3728" i="1"/>
  <c r="S3727" i="1"/>
  <c r="O3727" i="1"/>
  <c r="K3727" i="1"/>
  <c r="J3727" i="1"/>
  <c r="I3727" i="1"/>
  <c r="H3727" i="1"/>
  <c r="G3727" i="1"/>
  <c r="F3727" i="1"/>
  <c r="E3727" i="1"/>
  <c r="D3727" i="1"/>
  <c r="C3727" i="1"/>
  <c r="B3727" i="1"/>
  <c r="A3727" i="1"/>
  <c r="R3726" i="1"/>
  <c r="J3726" i="1"/>
  <c r="I3726" i="1"/>
  <c r="G3726" i="1"/>
  <c r="F3726" i="1"/>
  <c r="E3726" i="1"/>
  <c r="D3726" i="1"/>
  <c r="C3726" i="1"/>
  <c r="B3726" i="1"/>
  <c r="A3726" i="1"/>
  <c r="S3725" i="1"/>
  <c r="O3725" i="1"/>
  <c r="K3725" i="1"/>
  <c r="J3725" i="1"/>
  <c r="I3725" i="1"/>
  <c r="H3725" i="1"/>
  <c r="G3725" i="1"/>
  <c r="F3725" i="1"/>
  <c r="E3725" i="1"/>
  <c r="D3725" i="1"/>
  <c r="C3725" i="1"/>
  <c r="B3725" i="1"/>
  <c r="A3725" i="1"/>
  <c r="R3724" i="1"/>
  <c r="J3724" i="1"/>
  <c r="I3724" i="1"/>
  <c r="G3724" i="1"/>
  <c r="F3724" i="1"/>
  <c r="E3724" i="1"/>
  <c r="D3724" i="1"/>
  <c r="C3724" i="1"/>
  <c r="B3724" i="1"/>
  <c r="A3724" i="1"/>
  <c r="S3723" i="1"/>
  <c r="O3723" i="1"/>
  <c r="K3723" i="1"/>
  <c r="J3723" i="1"/>
  <c r="I3723" i="1"/>
  <c r="H3723" i="1"/>
  <c r="G3723" i="1"/>
  <c r="F3723" i="1"/>
  <c r="E3723" i="1"/>
  <c r="D3723" i="1"/>
  <c r="C3723" i="1"/>
  <c r="B3723" i="1"/>
  <c r="A3723" i="1"/>
  <c r="R3722" i="1"/>
  <c r="J3722" i="1"/>
  <c r="I3722" i="1"/>
  <c r="G3722" i="1"/>
  <c r="F3722" i="1"/>
  <c r="E3722" i="1"/>
  <c r="D3722" i="1"/>
  <c r="C3722" i="1"/>
  <c r="B3722" i="1"/>
  <c r="A3722" i="1"/>
  <c r="S3721" i="1"/>
  <c r="O3721" i="1"/>
  <c r="K3721" i="1"/>
  <c r="J3721" i="1"/>
  <c r="I3721" i="1"/>
  <c r="H3721" i="1"/>
  <c r="G3721" i="1"/>
  <c r="F3721" i="1"/>
  <c r="E3721" i="1"/>
  <c r="D3721" i="1"/>
  <c r="C3721" i="1"/>
  <c r="B3721" i="1"/>
  <c r="A3721" i="1"/>
  <c r="R3720" i="1"/>
  <c r="J3720" i="1"/>
  <c r="I3720" i="1"/>
  <c r="G3720" i="1"/>
  <c r="F3720" i="1"/>
  <c r="E3720" i="1"/>
  <c r="D3720" i="1"/>
  <c r="C3720" i="1"/>
  <c r="B3720" i="1"/>
  <c r="A3720" i="1"/>
  <c r="S3719" i="1"/>
  <c r="O3719" i="1"/>
  <c r="K3719" i="1"/>
  <c r="J3719" i="1"/>
  <c r="I3719" i="1"/>
  <c r="H3719" i="1"/>
  <c r="G3719" i="1"/>
  <c r="F3719" i="1"/>
  <c r="E3719" i="1"/>
  <c r="D3719" i="1"/>
  <c r="C3719" i="1"/>
  <c r="B3719" i="1"/>
  <c r="A3719" i="1"/>
  <c r="R3718" i="1"/>
  <c r="J3718" i="1"/>
  <c r="I3718" i="1"/>
  <c r="G3718" i="1"/>
  <c r="F3718" i="1"/>
  <c r="E3718" i="1"/>
  <c r="D3718" i="1"/>
  <c r="C3718" i="1"/>
  <c r="B3718" i="1"/>
  <c r="A3718" i="1"/>
  <c r="S3717" i="1"/>
  <c r="O3717" i="1"/>
  <c r="K3717" i="1"/>
  <c r="J3717" i="1"/>
  <c r="I3717" i="1"/>
  <c r="H3717" i="1"/>
  <c r="G3717" i="1"/>
  <c r="F3717" i="1"/>
  <c r="E3717" i="1"/>
  <c r="D3717" i="1"/>
  <c r="C3717" i="1"/>
  <c r="B3717" i="1"/>
  <c r="A3717" i="1"/>
  <c r="R3716" i="1"/>
  <c r="J3716" i="1"/>
  <c r="I3716" i="1"/>
  <c r="G3716" i="1"/>
  <c r="F3716" i="1"/>
  <c r="E3716" i="1"/>
  <c r="D3716" i="1"/>
  <c r="C3716" i="1"/>
  <c r="B3716" i="1"/>
  <c r="A3716" i="1"/>
  <c r="S3715" i="1"/>
  <c r="O3715" i="1"/>
  <c r="K3715" i="1"/>
  <c r="J3715" i="1"/>
  <c r="I3715" i="1"/>
  <c r="H3715" i="1"/>
  <c r="G3715" i="1"/>
  <c r="F3715" i="1"/>
  <c r="E3715" i="1"/>
  <c r="D3715" i="1"/>
  <c r="C3715" i="1"/>
  <c r="B3715" i="1"/>
  <c r="A3715" i="1"/>
  <c r="R3714" i="1"/>
  <c r="J3714" i="1"/>
  <c r="I3714" i="1"/>
  <c r="G3714" i="1"/>
  <c r="F3714" i="1"/>
  <c r="E3714" i="1"/>
  <c r="D3714" i="1"/>
  <c r="C3714" i="1"/>
  <c r="B3714" i="1"/>
  <c r="A3714" i="1"/>
  <c r="S3713" i="1"/>
  <c r="O3713" i="1"/>
  <c r="K3713" i="1"/>
  <c r="J3713" i="1"/>
  <c r="I3713" i="1"/>
  <c r="H3713" i="1"/>
  <c r="G3713" i="1"/>
  <c r="F3713" i="1"/>
  <c r="E3713" i="1"/>
  <c r="D3713" i="1"/>
  <c r="C3713" i="1"/>
  <c r="B3713" i="1"/>
  <c r="A3713" i="1"/>
  <c r="R3712" i="1"/>
  <c r="J3712" i="1"/>
  <c r="I3712" i="1"/>
  <c r="G3712" i="1"/>
  <c r="F3712" i="1"/>
  <c r="E3712" i="1"/>
  <c r="D3712" i="1"/>
  <c r="C3712" i="1"/>
  <c r="B3712" i="1"/>
  <c r="A3712" i="1"/>
  <c r="S3711" i="1"/>
  <c r="O3711" i="1"/>
  <c r="K3711" i="1"/>
  <c r="J3711" i="1"/>
  <c r="I3711" i="1"/>
  <c r="H3711" i="1"/>
  <c r="G3711" i="1"/>
  <c r="F3711" i="1"/>
  <c r="E3711" i="1"/>
  <c r="D3711" i="1"/>
  <c r="C3711" i="1"/>
  <c r="B3711" i="1"/>
  <c r="A3711" i="1"/>
  <c r="R3710" i="1"/>
  <c r="J3710" i="1"/>
  <c r="I3710" i="1"/>
  <c r="G3710" i="1"/>
  <c r="F3710" i="1"/>
  <c r="E3710" i="1"/>
  <c r="D3710" i="1"/>
  <c r="C3710" i="1"/>
  <c r="B3710" i="1"/>
  <c r="A3710" i="1"/>
  <c r="S3709" i="1"/>
  <c r="O3709" i="1"/>
  <c r="K3709" i="1"/>
  <c r="J3709" i="1"/>
  <c r="I3709" i="1"/>
  <c r="H3709" i="1"/>
  <c r="G3709" i="1"/>
  <c r="F3709" i="1"/>
  <c r="E3709" i="1"/>
  <c r="D3709" i="1"/>
  <c r="C3709" i="1"/>
  <c r="B3709" i="1"/>
  <c r="A3709" i="1"/>
  <c r="R3708" i="1"/>
  <c r="J3708" i="1"/>
  <c r="I3708" i="1"/>
  <c r="G3708" i="1"/>
  <c r="F3708" i="1"/>
  <c r="E3708" i="1"/>
  <c r="D3708" i="1"/>
  <c r="C3708" i="1"/>
  <c r="B3708" i="1"/>
  <c r="A3708" i="1"/>
  <c r="S3707" i="1"/>
  <c r="O3707" i="1"/>
  <c r="K3707" i="1"/>
  <c r="J3707" i="1"/>
  <c r="I3707" i="1"/>
  <c r="H3707" i="1"/>
  <c r="G3707" i="1"/>
  <c r="F3707" i="1"/>
  <c r="E3707" i="1"/>
  <c r="D3707" i="1"/>
  <c r="C3707" i="1"/>
  <c r="B3707" i="1"/>
  <c r="A3707" i="1"/>
  <c r="R3706" i="1"/>
  <c r="J3706" i="1"/>
  <c r="I3706" i="1"/>
  <c r="G3706" i="1"/>
  <c r="F3706" i="1"/>
  <c r="E3706" i="1"/>
  <c r="D3706" i="1"/>
  <c r="C3706" i="1"/>
  <c r="B3706" i="1"/>
  <c r="A3706" i="1"/>
  <c r="S3705" i="1"/>
  <c r="O3705" i="1"/>
  <c r="K3705" i="1"/>
  <c r="J3705" i="1"/>
  <c r="I3705" i="1"/>
  <c r="H3705" i="1"/>
  <c r="G3705" i="1"/>
  <c r="F3705" i="1"/>
  <c r="E3705" i="1"/>
  <c r="D3705" i="1"/>
  <c r="C3705" i="1"/>
  <c r="B3705" i="1"/>
  <c r="A3705" i="1"/>
  <c r="R3704" i="1"/>
  <c r="J3704" i="1"/>
  <c r="I3704" i="1"/>
  <c r="G3704" i="1"/>
  <c r="F3704" i="1"/>
  <c r="E3704" i="1"/>
  <c r="D3704" i="1"/>
  <c r="C3704" i="1"/>
  <c r="B3704" i="1"/>
  <c r="A3704" i="1"/>
  <c r="S3703" i="1"/>
  <c r="O3703" i="1"/>
  <c r="K3703" i="1"/>
  <c r="J3703" i="1"/>
  <c r="I3703" i="1"/>
  <c r="H3703" i="1"/>
  <c r="G3703" i="1"/>
  <c r="F3703" i="1"/>
  <c r="E3703" i="1"/>
  <c r="D3703" i="1"/>
  <c r="C3703" i="1"/>
  <c r="B3703" i="1"/>
  <c r="A3703" i="1"/>
  <c r="R3702" i="1"/>
  <c r="J3702" i="1"/>
  <c r="I3702" i="1"/>
  <c r="G3702" i="1"/>
  <c r="F3702" i="1"/>
  <c r="E3702" i="1"/>
  <c r="D3702" i="1"/>
  <c r="C3702" i="1"/>
  <c r="B3702" i="1"/>
  <c r="A3702" i="1"/>
  <c r="S3701" i="1"/>
  <c r="O3701" i="1"/>
  <c r="K3701" i="1"/>
  <c r="J3701" i="1"/>
  <c r="I3701" i="1"/>
  <c r="H3701" i="1"/>
  <c r="G3701" i="1"/>
  <c r="F3701" i="1"/>
  <c r="E3701" i="1"/>
  <c r="D3701" i="1"/>
  <c r="C3701" i="1"/>
  <c r="B3701" i="1"/>
  <c r="A3701" i="1"/>
  <c r="R3700" i="1"/>
  <c r="J3700" i="1"/>
  <c r="I3700" i="1"/>
  <c r="G3700" i="1"/>
  <c r="F3700" i="1"/>
  <c r="E3700" i="1"/>
  <c r="D3700" i="1"/>
  <c r="C3700" i="1"/>
  <c r="B3700" i="1"/>
  <c r="A3700" i="1"/>
  <c r="S3699" i="1"/>
  <c r="O3699" i="1"/>
  <c r="K3699" i="1"/>
  <c r="J3699" i="1"/>
  <c r="I3699" i="1"/>
  <c r="H3699" i="1"/>
  <c r="G3699" i="1"/>
  <c r="F3699" i="1"/>
  <c r="E3699" i="1"/>
  <c r="D3699" i="1"/>
  <c r="C3699" i="1"/>
  <c r="B3699" i="1"/>
  <c r="A3699" i="1"/>
  <c r="R3698" i="1"/>
  <c r="J3698" i="1"/>
  <c r="I3698" i="1"/>
  <c r="G3698" i="1"/>
  <c r="F3698" i="1"/>
  <c r="E3698" i="1"/>
  <c r="D3698" i="1"/>
  <c r="C3698" i="1"/>
  <c r="B3698" i="1"/>
  <c r="A3698" i="1"/>
  <c r="S3697" i="1"/>
  <c r="O3697" i="1"/>
  <c r="K3697" i="1"/>
  <c r="J3697" i="1"/>
  <c r="I3697" i="1"/>
  <c r="H3697" i="1"/>
  <c r="G3697" i="1"/>
  <c r="F3697" i="1"/>
  <c r="E3697" i="1"/>
  <c r="D3697" i="1"/>
  <c r="C3697" i="1"/>
  <c r="B3697" i="1"/>
  <c r="A3697" i="1"/>
  <c r="R3696" i="1"/>
  <c r="J3696" i="1"/>
  <c r="I3696" i="1"/>
  <c r="G3696" i="1"/>
  <c r="F3696" i="1"/>
  <c r="E3696" i="1"/>
  <c r="D3696" i="1"/>
  <c r="C3696" i="1"/>
  <c r="B3696" i="1"/>
  <c r="A3696" i="1"/>
  <c r="S3695" i="1"/>
  <c r="O3695" i="1"/>
  <c r="K3695" i="1"/>
  <c r="J3695" i="1"/>
  <c r="I3695" i="1"/>
  <c r="H3695" i="1"/>
  <c r="G3695" i="1"/>
  <c r="F3695" i="1"/>
  <c r="E3695" i="1"/>
  <c r="D3695" i="1"/>
  <c r="C3695" i="1"/>
  <c r="B3695" i="1"/>
  <c r="A3695" i="1"/>
  <c r="R3694" i="1"/>
  <c r="J3694" i="1"/>
  <c r="I3694" i="1"/>
  <c r="G3694" i="1"/>
  <c r="F3694" i="1"/>
  <c r="E3694" i="1"/>
  <c r="D3694" i="1"/>
  <c r="C3694" i="1"/>
  <c r="B3694" i="1"/>
  <c r="A3694" i="1"/>
  <c r="S3693" i="1"/>
  <c r="O3693" i="1"/>
  <c r="K3693" i="1"/>
  <c r="J3693" i="1"/>
  <c r="I3693" i="1"/>
  <c r="H3693" i="1"/>
  <c r="G3693" i="1"/>
  <c r="F3693" i="1"/>
  <c r="E3693" i="1"/>
  <c r="D3693" i="1"/>
  <c r="C3693" i="1"/>
  <c r="B3693" i="1"/>
  <c r="A3693" i="1"/>
  <c r="R3692" i="1"/>
  <c r="J3692" i="1"/>
  <c r="I3692" i="1"/>
  <c r="G3692" i="1"/>
  <c r="F3692" i="1"/>
  <c r="E3692" i="1"/>
  <c r="D3692" i="1"/>
  <c r="C3692" i="1"/>
  <c r="B3692" i="1"/>
  <c r="A3692" i="1"/>
  <c r="S3691" i="1"/>
  <c r="O3691" i="1"/>
  <c r="K3691" i="1"/>
  <c r="J3691" i="1"/>
  <c r="I3691" i="1"/>
  <c r="H3691" i="1"/>
  <c r="G3691" i="1"/>
  <c r="F3691" i="1"/>
  <c r="E3691" i="1"/>
  <c r="D3691" i="1"/>
  <c r="C3691" i="1"/>
  <c r="B3691" i="1"/>
  <c r="A3691" i="1"/>
  <c r="R3690" i="1"/>
  <c r="J3690" i="1"/>
  <c r="I3690" i="1"/>
  <c r="G3690" i="1"/>
  <c r="F3690" i="1"/>
  <c r="E3690" i="1"/>
  <c r="D3690" i="1"/>
  <c r="C3690" i="1"/>
  <c r="B3690" i="1"/>
  <c r="A3690" i="1"/>
  <c r="S3689" i="1"/>
  <c r="O3689" i="1"/>
  <c r="K3689" i="1"/>
  <c r="J3689" i="1"/>
  <c r="I3689" i="1"/>
  <c r="H3689" i="1"/>
  <c r="G3689" i="1"/>
  <c r="F3689" i="1"/>
  <c r="E3689" i="1"/>
  <c r="D3689" i="1"/>
  <c r="C3689" i="1"/>
  <c r="B3689" i="1"/>
  <c r="A3689" i="1"/>
  <c r="R3688" i="1"/>
  <c r="J3688" i="1"/>
  <c r="I3688" i="1"/>
  <c r="G3688" i="1"/>
  <c r="F3688" i="1"/>
  <c r="E3688" i="1"/>
  <c r="D3688" i="1"/>
  <c r="C3688" i="1"/>
  <c r="B3688" i="1"/>
  <c r="A3688" i="1"/>
  <c r="S3687" i="1"/>
  <c r="O3687" i="1"/>
  <c r="K3687" i="1"/>
  <c r="J3687" i="1"/>
  <c r="I3687" i="1"/>
  <c r="H3687" i="1"/>
  <c r="G3687" i="1"/>
  <c r="F3687" i="1"/>
  <c r="E3687" i="1"/>
  <c r="D3687" i="1"/>
  <c r="C3687" i="1"/>
  <c r="B3687" i="1"/>
  <c r="A3687" i="1"/>
  <c r="R3686" i="1"/>
  <c r="J3686" i="1"/>
  <c r="I3686" i="1"/>
  <c r="G3686" i="1"/>
  <c r="F3686" i="1"/>
  <c r="E3686" i="1"/>
  <c r="D3686" i="1"/>
  <c r="C3686" i="1"/>
  <c r="B3686" i="1"/>
  <c r="A3686" i="1"/>
  <c r="S3685" i="1"/>
  <c r="O3685" i="1"/>
  <c r="K3685" i="1"/>
  <c r="J3685" i="1"/>
  <c r="I3685" i="1"/>
  <c r="H3685" i="1"/>
  <c r="G3685" i="1"/>
  <c r="F3685" i="1"/>
  <c r="E3685" i="1"/>
  <c r="D3685" i="1"/>
  <c r="C3685" i="1"/>
  <c r="B3685" i="1"/>
  <c r="A3685" i="1"/>
  <c r="R3684" i="1"/>
  <c r="J3684" i="1"/>
  <c r="I3684" i="1"/>
  <c r="G3684" i="1"/>
  <c r="F3684" i="1"/>
  <c r="E3684" i="1"/>
  <c r="D3684" i="1"/>
  <c r="C3684" i="1"/>
  <c r="B3684" i="1"/>
  <c r="A3684" i="1"/>
  <c r="S3683" i="1"/>
  <c r="O3683" i="1"/>
  <c r="K3683" i="1"/>
  <c r="J3683" i="1"/>
  <c r="I3683" i="1"/>
  <c r="H3683" i="1"/>
  <c r="G3683" i="1"/>
  <c r="F3683" i="1"/>
  <c r="E3683" i="1"/>
  <c r="D3683" i="1"/>
  <c r="C3683" i="1"/>
  <c r="B3683" i="1"/>
  <c r="A3683" i="1"/>
  <c r="R3682" i="1"/>
  <c r="J3682" i="1"/>
  <c r="I3682" i="1"/>
  <c r="G3682" i="1"/>
  <c r="F3682" i="1"/>
  <c r="E3682" i="1"/>
  <c r="D3682" i="1"/>
  <c r="C3682" i="1"/>
  <c r="B3682" i="1"/>
  <c r="A3682" i="1"/>
  <c r="S3681" i="1"/>
  <c r="O3681" i="1"/>
  <c r="K3681" i="1"/>
  <c r="J3681" i="1"/>
  <c r="I3681" i="1"/>
  <c r="H3681" i="1"/>
  <c r="G3681" i="1"/>
  <c r="F3681" i="1"/>
  <c r="E3681" i="1"/>
  <c r="D3681" i="1"/>
  <c r="C3681" i="1"/>
  <c r="B3681" i="1"/>
  <c r="A3681" i="1"/>
  <c r="R3680" i="1"/>
  <c r="J3680" i="1"/>
  <c r="I3680" i="1"/>
  <c r="G3680" i="1"/>
  <c r="F3680" i="1"/>
  <c r="E3680" i="1"/>
  <c r="D3680" i="1"/>
  <c r="C3680" i="1"/>
  <c r="B3680" i="1"/>
  <c r="A3680" i="1"/>
  <c r="S3679" i="1"/>
  <c r="O3679" i="1"/>
  <c r="K3679" i="1"/>
  <c r="J3679" i="1"/>
  <c r="I3679" i="1"/>
  <c r="H3679" i="1"/>
  <c r="G3679" i="1"/>
  <c r="F3679" i="1"/>
  <c r="E3679" i="1"/>
  <c r="D3679" i="1"/>
  <c r="C3679" i="1"/>
  <c r="B3679" i="1"/>
  <c r="A3679" i="1"/>
  <c r="R3678" i="1"/>
  <c r="J3678" i="1"/>
  <c r="I3678" i="1"/>
  <c r="G3678" i="1"/>
  <c r="F3678" i="1"/>
  <c r="E3678" i="1"/>
  <c r="D3678" i="1"/>
  <c r="C3678" i="1"/>
  <c r="B3678" i="1"/>
  <c r="A3678" i="1"/>
  <c r="S3677" i="1"/>
  <c r="O3677" i="1"/>
  <c r="K3677" i="1"/>
  <c r="J3677" i="1"/>
  <c r="I3677" i="1"/>
  <c r="H3677" i="1"/>
  <c r="G3677" i="1"/>
  <c r="F3677" i="1"/>
  <c r="E3677" i="1"/>
  <c r="D3677" i="1"/>
  <c r="C3677" i="1"/>
  <c r="B3677" i="1"/>
  <c r="A3677" i="1"/>
  <c r="R3676" i="1"/>
  <c r="J3676" i="1"/>
  <c r="I3676" i="1"/>
  <c r="G3676" i="1"/>
  <c r="F3676" i="1"/>
  <c r="E3676" i="1"/>
  <c r="D3676" i="1"/>
  <c r="C3676" i="1"/>
  <c r="B3676" i="1"/>
  <c r="A3676" i="1"/>
  <c r="S3675" i="1"/>
  <c r="O3675" i="1"/>
  <c r="K3675" i="1"/>
  <c r="J3675" i="1"/>
  <c r="I3675" i="1"/>
  <c r="H3675" i="1"/>
  <c r="G3675" i="1"/>
  <c r="F3675" i="1"/>
  <c r="E3675" i="1"/>
  <c r="D3675" i="1"/>
  <c r="C3675" i="1"/>
  <c r="B3675" i="1"/>
  <c r="A3675" i="1"/>
  <c r="R3674" i="1"/>
  <c r="J3674" i="1"/>
  <c r="I3674" i="1"/>
  <c r="G3674" i="1"/>
  <c r="F3674" i="1"/>
  <c r="E3674" i="1"/>
  <c r="D3674" i="1"/>
  <c r="C3674" i="1"/>
  <c r="B3674" i="1"/>
  <c r="A3674" i="1"/>
  <c r="S3673" i="1"/>
  <c r="O3673" i="1"/>
  <c r="K3673" i="1"/>
  <c r="J3673" i="1"/>
  <c r="I3673" i="1"/>
  <c r="H3673" i="1"/>
  <c r="G3673" i="1"/>
  <c r="F3673" i="1"/>
  <c r="E3673" i="1"/>
  <c r="D3673" i="1"/>
  <c r="C3673" i="1"/>
  <c r="B3673" i="1"/>
  <c r="A3673" i="1"/>
  <c r="R3672" i="1"/>
  <c r="J3672" i="1"/>
  <c r="I3672" i="1"/>
  <c r="G3672" i="1"/>
  <c r="F3672" i="1"/>
  <c r="E3672" i="1"/>
  <c r="D3672" i="1"/>
  <c r="C3672" i="1"/>
  <c r="B3672" i="1"/>
  <c r="A3672" i="1"/>
  <c r="S3671" i="1"/>
  <c r="O3671" i="1"/>
  <c r="K3671" i="1"/>
  <c r="J3671" i="1"/>
  <c r="I3671" i="1"/>
  <c r="H3671" i="1"/>
  <c r="G3671" i="1"/>
  <c r="F3671" i="1"/>
  <c r="E3671" i="1"/>
  <c r="D3671" i="1"/>
  <c r="C3671" i="1"/>
  <c r="B3671" i="1"/>
  <c r="A3671" i="1"/>
  <c r="R3670" i="1"/>
  <c r="J3670" i="1"/>
  <c r="I3670" i="1"/>
  <c r="G3670" i="1"/>
  <c r="F3670" i="1"/>
  <c r="E3670" i="1"/>
  <c r="D3670" i="1"/>
  <c r="C3670" i="1"/>
  <c r="B3670" i="1"/>
  <c r="A3670" i="1"/>
  <c r="S3669" i="1"/>
  <c r="O3669" i="1"/>
  <c r="K3669" i="1"/>
  <c r="J3669" i="1"/>
  <c r="I3669" i="1"/>
  <c r="H3669" i="1"/>
  <c r="G3669" i="1"/>
  <c r="F3669" i="1"/>
  <c r="E3669" i="1"/>
  <c r="D3669" i="1"/>
  <c r="C3669" i="1"/>
  <c r="B3669" i="1"/>
  <c r="A3669" i="1"/>
  <c r="R3668" i="1"/>
  <c r="J3668" i="1"/>
  <c r="I3668" i="1"/>
  <c r="G3668" i="1"/>
  <c r="F3668" i="1"/>
  <c r="E3668" i="1"/>
  <c r="D3668" i="1"/>
  <c r="C3668" i="1"/>
  <c r="B3668" i="1"/>
  <c r="A3668" i="1"/>
  <c r="S3667" i="1"/>
  <c r="O3667" i="1"/>
  <c r="K3667" i="1"/>
  <c r="J3667" i="1"/>
  <c r="I3667" i="1"/>
  <c r="H3667" i="1"/>
  <c r="G3667" i="1"/>
  <c r="F3667" i="1"/>
  <c r="E3667" i="1"/>
  <c r="D3667" i="1"/>
  <c r="C3667" i="1"/>
  <c r="B3667" i="1"/>
  <c r="A3667" i="1"/>
  <c r="R3666" i="1"/>
  <c r="J3666" i="1"/>
  <c r="I3666" i="1"/>
  <c r="G3666" i="1"/>
  <c r="F3666" i="1"/>
  <c r="E3666" i="1"/>
  <c r="D3666" i="1"/>
  <c r="C3666" i="1"/>
  <c r="B3666" i="1"/>
  <c r="A3666" i="1"/>
  <c r="S3665" i="1"/>
  <c r="O3665" i="1"/>
  <c r="K3665" i="1"/>
  <c r="J3665" i="1"/>
  <c r="I3665" i="1"/>
  <c r="H3665" i="1"/>
  <c r="G3665" i="1"/>
  <c r="F3665" i="1"/>
  <c r="E3665" i="1"/>
  <c r="D3665" i="1"/>
  <c r="C3665" i="1"/>
  <c r="B3665" i="1"/>
  <c r="A3665" i="1"/>
  <c r="R3664" i="1"/>
  <c r="J3664" i="1"/>
  <c r="I3664" i="1"/>
  <c r="G3664" i="1"/>
  <c r="F3664" i="1"/>
  <c r="E3664" i="1"/>
  <c r="D3664" i="1"/>
  <c r="C3664" i="1"/>
  <c r="B3664" i="1"/>
  <c r="A3664" i="1"/>
  <c r="S3663" i="1"/>
  <c r="O3663" i="1"/>
  <c r="K3663" i="1"/>
  <c r="J3663" i="1"/>
  <c r="I3663" i="1"/>
  <c r="H3663" i="1"/>
  <c r="G3663" i="1"/>
  <c r="F3663" i="1"/>
  <c r="E3663" i="1"/>
  <c r="D3663" i="1"/>
  <c r="C3663" i="1"/>
  <c r="B3663" i="1"/>
  <c r="A3663" i="1"/>
  <c r="R3662" i="1"/>
  <c r="J3662" i="1"/>
  <c r="I3662" i="1"/>
  <c r="G3662" i="1"/>
  <c r="F3662" i="1"/>
  <c r="E3662" i="1"/>
  <c r="D3662" i="1"/>
  <c r="C3662" i="1"/>
  <c r="B3662" i="1"/>
  <c r="A3662" i="1"/>
  <c r="S3661" i="1"/>
  <c r="O3661" i="1"/>
  <c r="K3661" i="1"/>
  <c r="J3661" i="1"/>
  <c r="I3661" i="1"/>
  <c r="H3661" i="1"/>
  <c r="G3661" i="1"/>
  <c r="F3661" i="1"/>
  <c r="E3661" i="1"/>
  <c r="D3661" i="1"/>
  <c r="C3661" i="1"/>
  <c r="B3661" i="1"/>
  <c r="A3661" i="1"/>
  <c r="R3660" i="1"/>
  <c r="J3660" i="1"/>
  <c r="I3660" i="1"/>
  <c r="G3660" i="1"/>
  <c r="F3660" i="1"/>
  <c r="E3660" i="1"/>
  <c r="D3660" i="1"/>
  <c r="C3660" i="1"/>
  <c r="B3660" i="1"/>
  <c r="A3660" i="1"/>
  <c r="S3659" i="1"/>
  <c r="O3659" i="1"/>
  <c r="K3659" i="1"/>
  <c r="J3659" i="1"/>
  <c r="I3659" i="1"/>
  <c r="H3659" i="1"/>
  <c r="G3659" i="1"/>
  <c r="F3659" i="1"/>
  <c r="E3659" i="1"/>
  <c r="D3659" i="1"/>
  <c r="C3659" i="1"/>
  <c r="B3659" i="1"/>
  <c r="A3659" i="1"/>
  <c r="R3658" i="1"/>
  <c r="J3658" i="1"/>
  <c r="I3658" i="1"/>
  <c r="G3658" i="1"/>
  <c r="F3658" i="1"/>
  <c r="E3658" i="1"/>
  <c r="D3658" i="1"/>
  <c r="C3658" i="1"/>
  <c r="B3658" i="1"/>
  <c r="A3658" i="1"/>
  <c r="S3657" i="1"/>
  <c r="O3657" i="1"/>
  <c r="K3657" i="1"/>
  <c r="J3657" i="1"/>
  <c r="I3657" i="1"/>
  <c r="H3657" i="1"/>
  <c r="G3657" i="1"/>
  <c r="F3657" i="1"/>
  <c r="E3657" i="1"/>
  <c r="D3657" i="1"/>
  <c r="C3657" i="1"/>
  <c r="B3657" i="1"/>
  <c r="A3657" i="1"/>
  <c r="R3656" i="1"/>
  <c r="J3656" i="1"/>
  <c r="I3656" i="1"/>
  <c r="G3656" i="1"/>
  <c r="F3656" i="1"/>
  <c r="E3656" i="1"/>
  <c r="D3656" i="1"/>
  <c r="C3656" i="1"/>
  <c r="B3656" i="1"/>
  <c r="A3656" i="1"/>
  <c r="S3655" i="1"/>
  <c r="O3655" i="1"/>
  <c r="K3655" i="1"/>
  <c r="J3655" i="1"/>
  <c r="I3655" i="1"/>
  <c r="H3655" i="1"/>
  <c r="G3655" i="1"/>
  <c r="F3655" i="1"/>
  <c r="E3655" i="1"/>
  <c r="D3655" i="1"/>
  <c r="C3655" i="1"/>
  <c r="B3655" i="1"/>
  <c r="A3655" i="1"/>
  <c r="R3654" i="1"/>
  <c r="J3654" i="1"/>
  <c r="I3654" i="1"/>
  <c r="G3654" i="1"/>
  <c r="F3654" i="1"/>
  <c r="E3654" i="1"/>
  <c r="D3654" i="1"/>
  <c r="C3654" i="1"/>
  <c r="B3654" i="1"/>
  <c r="A3654" i="1"/>
  <c r="S3653" i="1"/>
  <c r="O3653" i="1"/>
  <c r="K3653" i="1"/>
  <c r="J3653" i="1"/>
  <c r="I3653" i="1"/>
  <c r="H3653" i="1"/>
  <c r="G3653" i="1"/>
  <c r="F3653" i="1"/>
  <c r="E3653" i="1"/>
  <c r="D3653" i="1"/>
  <c r="C3653" i="1"/>
  <c r="B3653" i="1"/>
  <c r="A3653" i="1"/>
  <c r="R3652" i="1"/>
  <c r="J3652" i="1"/>
  <c r="I3652" i="1"/>
  <c r="G3652" i="1"/>
  <c r="F3652" i="1"/>
  <c r="E3652" i="1"/>
  <c r="D3652" i="1"/>
  <c r="C3652" i="1"/>
  <c r="B3652" i="1"/>
  <c r="A3652" i="1"/>
  <c r="S3651" i="1"/>
  <c r="O3651" i="1"/>
  <c r="K3651" i="1"/>
  <c r="J3651" i="1"/>
  <c r="I3651" i="1"/>
  <c r="H3651" i="1"/>
  <c r="G3651" i="1"/>
  <c r="F3651" i="1"/>
  <c r="E3651" i="1"/>
  <c r="D3651" i="1"/>
  <c r="C3651" i="1"/>
  <c r="B3651" i="1"/>
  <c r="A3651" i="1"/>
  <c r="R3650" i="1"/>
  <c r="J3650" i="1"/>
  <c r="I3650" i="1"/>
  <c r="G3650" i="1"/>
  <c r="F3650" i="1"/>
  <c r="E3650" i="1"/>
  <c r="D3650" i="1"/>
  <c r="C3650" i="1"/>
  <c r="B3650" i="1"/>
  <c r="A3650" i="1"/>
  <c r="S3649" i="1"/>
  <c r="O3649" i="1"/>
  <c r="K3649" i="1"/>
  <c r="J3649" i="1"/>
  <c r="I3649" i="1"/>
  <c r="H3649" i="1"/>
  <c r="G3649" i="1"/>
  <c r="F3649" i="1"/>
  <c r="E3649" i="1"/>
  <c r="D3649" i="1"/>
  <c r="C3649" i="1"/>
  <c r="B3649" i="1"/>
  <c r="A3649" i="1"/>
  <c r="R3648" i="1"/>
  <c r="J3648" i="1"/>
  <c r="I3648" i="1"/>
  <c r="G3648" i="1"/>
  <c r="F3648" i="1"/>
  <c r="E3648" i="1"/>
  <c r="D3648" i="1"/>
  <c r="C3648" i="1"/>
  <c r="B3648" i="1"/>
  <c r="A3648" i="1"/>
  <c r="S3647" i="1"/>
  <c r="O3647" i="1"/>
  <c r="K3647" i="1"/>
  <c r="J3647" i="1"/>
  <c r="I3647" i="1"/>
  <c r="H3647" i="1"/>
  <c r="G3647" i="1"/>
  <c r="F3647" i="1"/>
  <c r="E3647" i="1"/>
  <c r="D3647" i="1"/>
  <c r="C3647" i="1"/>
  <c r="B3647" i="1"/>
  <c r="A3647" i="1"/>
  <c r="R3646" i="1"/>
  <c r="J3646" i="1"/>
  <c r="I3646" i="1"/>
  <c r="G3646" i="1"/>
  <c r="F3646" i="1"/>
  <c r="E3646" i="1"/>
  <c r="D3646" i="1"/>
  <c r="C3646" i="1"/>
  <c r="B3646" i="1"/>
  <c r="A3646" i="1"/>
  <c r="S3645" i="1"/>
  <c r="O3645" i="1"/>
  <c r="K3645" i="1"/>
  <c r="J3645" i="1"/>
  <c r="I3645" i="1"/>
  <c r="H3645" i="1"/>
  <c r="G3645" i="1"/>
  <c r="F3645" i="1"/>
  <c r="E3645" i="1"/>
  <c r="D3645" i="1"/>
  <c r="C3645" i="1"/>
  <c r="B3645" i="1"/>
  <c r="A3645" i="1"/>
  <c r="R3644" i="1"/>
  <c r="J3644" i="1"/>
  <c r="I3644" i="1"/>
  <c r="G3644" i="1"/>
  <c r="F3644" i="1"/>
  <c r="E3644" i="1"/>
  <c r="D3644" i="1"/>
  <c r="C3644" i="1"/>
  <c r="B3644" i="1"/>
  <c r="A3644" i="1"/>
  <c r="S3643" i="1"/>
  <c r="O3643" i="1"/>
  <c r="K3643" i="1"/>
  <c r="J3643" i="1"/>
  <c r="I3643" i="1"/>
  <c r="H3643" i="1"/>
  <c r="G3643" i="1"/>
  <c r="F3643" i="1"/>
  <c r="E3643" i="1"/>
  <c r="D3643" i="1"/>
  <c r="C3643" i="1"/>
  <c r="B3643" i="1"/>
  <c r="A3643" i="1"/>
  <c r="R3642" i="1"/>
  <c r="J3642" i="1"/>
  <c r="I3642" i="1"/>
  <c r="G3642" i="1"/>
  <c r="F3642" i="1"/>
  <c r="E3642" i="1"/>
  <c r="D3642" i="1"/>
  <c r="C3642" i="1"/>
  <c r="B3642" i="1"/>
  <c r="A3642" i="1"/>
  <c r="S3641" i="1"/>
  <c r="O3641" i="1"/>
  <c r="K3641" i="1"/>
  <c r="J3641" i="1"/>
  <c r="I3641" i="1"/>
  <c r="H3641" i="1"/>
  <c r="G3641" i="1"/>
  <c r="F3641" i="1"/>
  <c r="E3641" i="1"/>
  <c r="D3641" i="1"/>
  <c r="C3641" i="1"/>
  <c r="B3641" i="1"/>
  <c r="A3641" i="1"/>
  <c r="R3640" i="1"/>
  <c r="J3640" i="1"/>
  <c r="I3640" i="1"/>
  <c r="G3640" i="1"/>
  <c r="F3640" i="1"/>
  <c r="E3640" i="1"/>
  <c r="D3640" i="1"/>
  <c r="C3640" i="1"/>
  <c r="B3640" i="1"/>
  <c r="A3640" i="1"/>
  <c r="S3639" i="1"/>
  <c r="O3639" i="1"/>
  <c r="K3639" i="1"/>
  <c r="J3639" i="1"/>
  <c r="I3639" i="1"/>
  <c r="H3639" i="1"/>
  <c r="G3639" i="1"/>
  <c r="F3639" i="1"/>
  <c r="E3639" i="1"/>
  <c r="D3639" i="1"/>
  <c r="C3639" i="1"/>
  <c r="B3639" i="1"/>
  <c r="A3639" i="1"/>
  <c r="R3638" i="1"/>
  <c r="J3638" i="1"/>
  <c r="I3638" i="1"/>
  <c r="G3638" i="1"/>
  <c r="F3638" i="1"/>
  <c r="E3638" i="1"/>
  <c r="D3638" i="1"/>
  <c r="C3638" i="1"/>
  <c r="B3638" i="1"/>
  <c r="A3638" i="1"/>
  <c r="S3637" i="1"/>
  <c r="O3637" i="1"/>
  <c r="K3637" i="1"/>
  <c r="J3637" i="1"/>
  <c r="I3637" i="1"/>
  <c r="H3637" i="1"/>
  <c r="G3637" i="1"/>
  <c r="F3637" i="1"/>
  <c r="E3637" i="1"/>
  <c r="D3637" i="1"/>
  <c r="C3637" i="1"/>
  <c r="B3637" i="1"/>
  <c r="A3637" i="1"/>
  <c r="R3636" i="1"/>
  <c r="J3636" i="1"/>
  <c r="I3636" i="1"/>
  <c r="G3636" i="1"/>
  <c r="F3636" i="1"/>
  <c r="E3636" i="1"/>
  <c r="D3636" i="1"/>
  <c r="C3636" i="1"/>
  <c r="B3636" i="1"/>
  <c r="A3636" i="1"/>
  <c r="S3635" i="1"/>
  <c r="O3635" i="1"/>
  <c r="K3635" i="1"/>
  <c r="J3635" i="1"/>
  <c r="I3635" i="1"/>
  <c r="H3635" i="1"/>
  <c r="G3635" i="1"/>
  <c r="F3635" i="1"/>
  <c r="E3635" i="1"/>
  <c r="D3635" i="1"/>
  <c r="C3635" i="1"/>
  <c r="B3635" i="1"/>
  <c r="A3635" i="1"/>
  <c r="R3634" i="1"/>
  <c r="J3634" i="1"/>
  <c r="I3634" i="1"/>
  <c r="G3634" i="1"/>
  <c r="F3634" i="1"/>
  <c r="E3634" i="1"/>
  <c r="D3634" i="1"/>
  <c r="C3634" i="1"/>
  <c r="B3634" i="1"/>
  <c r="A3634" i="1"/>
  <c r="S3633" i="1"/>
  <c r="O3633" i="1"/>
  <c r="K3633" i="1"/>
  <c r="J3633" i="1"/>
  <c r="I3633" i="1"/>
  <c r="H3633" i="1"/>
  <c r="G3633" i="1"/>
  <c r="F3633" i="1"/>
  <c r="E3633" i="1"/>
  <c r="D3633" i="1"/>
  <c r="C3633" i="1"/>
  <c r="B3633" i="1"/>
  <c r="A3633" i="1"/>
  <c r="R3632" i="1"/>
  <c r="J3632" i="1"/>
  <c r="I3632" i="1"/>
  <c r="G3632" i="1"/>
  <c r="F3632" i="1"/>
  <c r="E3632" i="1"/>
  <c r="D3632" i="1"/>
  <c r="C3632" i="1"/>
  <c r="B3632" i="1"/>
  <c r="A3632" i="1"/>
  <c r="S3631" i="1"/>
  <c r="O3631" i="1"/>
  <c r="K3631" i="1"/>
  <c r="J3631" i="1"/>
  <c r="I3631" i="1"/>
  <c r="H3631" i="1"/>
  <c r="G3631" i="1"/>
  <c r="F3631" i="1"/>
  <c r="E3631" i="1"/>
  <c r="D3631" i="1"/>
  <c r="C3631" i="1"/>
  <c r="B3631" i="1"/>
  <c r="A3631" i="1"/>
  <c r="R3630" i="1"/>
  <c r="J3630" i="1"/>
  <c r="I3630" i="1"/>
  <c r="G3630" i="1"/>
  <c r="F3630" i="1"/>
  <c r="E3630" i="1"/>
  <c r="D3630" i="1"/>
  <c r="C3630" i="1"/>
  <c r="B3630" i="1"/>
  <c r="A3630" i="1"/>
  <c r="S3629" i="1"/>
  <c r="O3629" i="1"/>
  <c r="K3629" i="1"/>
  <c r="J3629" i="1"/>
  <c r="I3629" i="1"/>
  <c r="H3629" i="1"/>
  <c r="G3629" i="1"/>
  <c r="F3629" i="1"/>
  <c r="E3629" i="1"/>
  <c r="D3629" i="1"/>
  <c r="C3629" i="1"/>
  <c r="B3629" i="1"/>
  <c r="A3629" i="1"/>
  <c r="R3628" i="1"/>
  <c r="J3628" i="1"/>
  <c r="I3628" i="1"/>
  <c r="G3628" i="1"/>
  <c r="F3628" i="1"/>
  <c r="E3628" i="1"/>
  <c r="D3628" i="1"/>
  <c r="C3628" i="1"/>
  <c r="B3628" i="1"/>
  <c r="A3628" i="1"/>
  <c r="S3627" i="1"/>
  <c r="O3627" i="1"/>
  <c r="K3627" i="1"/>
  <c r="J3627" i="1"/>
  <c r="I3627" i="1"/>
  <c r="H3627" i="1"/>
  <c r="G3627" i="1"/>
  <c r="F3627" i="1"/>
  <c r="E3627" i="1"/>
  <c r="D3627" i="1"/>
  <c r="C3627" i="1"/>
  <c r="B3627" i="1"/>
  <c r="A3627" i="1"/>
  <c r="R3626" i="1"/>
  <c r="J3626" i="1"/>
  <c r="I3626" i="1"/>
  <c r="G3626" i="1"/>
  <c r="F3626" i="1"/>
  <c r="E3626" i="1"/>
  <c r="D3626" i="1"/>
  <c r="C3626" i="1"/>
  <c r="B3626" i="1"/>
  <c r="A3626" i="1"/>
  <c r="S3625" i="1"/>
  <c r="O3625" i="1"/>
  <c r="K3625" i="1"/>
  <c r="J3625" i="1"/>
  <c r="I3625" i="1"/>
  <c r="H3625" i="1"/>
  <c r="G3625" i="1"/>
  <c r="F3625" i="1"/>
  <c r="E3625" i="1"/>
  <c r="D3625" i="1"/>
  <c r="C3625" i="1"/>
  <c r="B3625" i="1"/>
  <c r="A3625" i="1"/>
  <c r="R3624" i="1"/>
  <c r="J3624" i="1"/>
  <c r="I3624" i="1"/>
  <c r="G3624" i="1"/>
  <c r="F3624" i="1"/>
  <c r="E3624" i="1"/>
  <c r="D3624" i="1"/>
  <c r="C3624" i="1"/>
  <c r="B3624" i="1"/>
  <c r="A3624" i="1"/>
  <c r="S3623" i="1"/>
  <c r="O3623" i="1"/>
  <c r="K3623" i="1"/>
  <c r="J3623" i="1"/>
  <c r="I3623" i="1"/>
  <c r="H3623" i="1"/>
  <c r="G3623" i="1"/>
  <c r="F3623" i="1"/>
  <c r="E3623" i="1"/>
  <c r="D3623" i="1"/>
  <c r="C3623" i="1"/>
  <c r="B3623" i="1"/>
  <c r="A3623" i="1"/>
  <c r="R3622" i="1"/>
  <c r="J3622" i="1"/>
  <c r="I3622" i="1"/>
  <c r="G3622" i="1"/>
  <c r="F3622" i="1"/>
  <c r="E3622" i="1"/>
  <c r="D3622" i="1"/>
  <c r="C3622" i="1"/>
  <c r="B3622" i="1"/>
  <c r="A3622" i="1"/>
  <c r="S3621" i="1"/>
  <c r="O3621" i="1"/>
  <c r="K3621" i="1"/>
  <c r="J3621" i="1"/>
  <c r="I3621" i="1"/>
  <c r="H3621" i="1"/>
  <c r="G3621" i="1"/>
  <c r="F3621" i="1"/>
  <c r="E3621" i="1"/>
  <c r="D3621" i="1"/>
  <c r="C3621" i="1"/>
  <c r="B3621" i="1"/>
  <c r="A3621" i="1"/>
  <c r="R3620" i="1"/>
  <c r="J3620" i="1"/>
  <c r="I3620" i="1"/>
  <c r="G3620" i="1"/>
  <c r="F3620" i="1"/>
  <c r="E3620" i="1"/>
  <c r="D3620" i="1"/>
  <c r="C3620" i="1"/>
  <c r="B3620" i="1"/>
  <c r="A3620" i="1"/>
  <c r="S3619" i="1"/>
  <c r="O3619" i="1"/>
  <c r="K3619" i="1"/>
  <c r="J3619" i="1"/>
  <c r="I3619" i="1"/>
  <c r="H3619" i="1"/>
  <c r="G3619" i="1"/>
  <c r="F3619" i="1"/>
  <c r="E3619" i="1"/>
  <c r="D3619" i="1"/>
  <c r="C3619" i="1"/>
  <c r="B3619" i="1"/>
  <c r="A3619" i="1"/>
  <c r="R3618" i="1"/>
  <c r="J3618" i="1"/>
  <c r="I3618" i="1"/>
  <c r="G3618" i="1"/>
  <c r="F3618" i="1"/>
  <c r="E3618" i="1"/>
  <c r="D3618" i="1"/>
  <c r="C3618" i="1"/>
  <c r="B3618" i="1"/>
  <c r="A3618" i="1"/>
  <c r="S3617" i="1"/>
  <c r="O3617" i="1"/>
  <c r="K3617" i="1"/>
  <c r="J3617" i="1"/>
  <c r="I3617" i="1"/>
  <c r="H3617" i="1"/>
  <c r="G3617" i="1"/>
  <c r="F3617" i="1"/>
  <c r="E3617" i="1"/>
  <c r="D3617" i="1"/>
  <c r="C3617" i="1"/>
  <c r="B3617" i="1"/>
  <c r="A3617" i="1"/>
  <c r="R3616" i="1"/>
  <c r="J3616" i="1"/>
  <c r="I3616" i="1"/>
  <c r="G3616" i="1"/>
  <c r="F3616" i="1"/>
  <c r="E3616" i="1"/>
  <c r="D3616" i="1"/>
  <c r="C3616" i="1"/>
  <c r="B3616" i="1"/>
  <c r="A3616" i="1"/>
  <c r="S3615" i="1"/>
  <c r="O3615" i="1"/>
  <c r="K3615" i="1"/>
  <c r="J3615" i="1"/>
  <c r="I3615" i="1"/>
  <c r="H3615" i="1"/>
  <c r="G3615" i="1"/>
  <c r="F3615" i="1"/>
  <c r="E3615" i="1"/>
  <c r="D3615" i="1"/>
  <c r="C3615" i="1"/>
  <c r="B3615" i="1"/>
  <c r="A3615" i="1"/>
  <c r="R3614" i="1"/>
  <c r="J3614" i="1"/>
  <c r="I3614" i="1"/>
  <c r="G3614" i="1"/>
  <c r="F3614" i="1"/>
  <c r="E3614" i="1"/>
  <c r="D3614" i="1"/>
  <c r="C3614" i="1"/>
  <c r="B3614" i="1"/>
  <c r="A3614" i="1"/>
  <c r="S3613" i="1"/>
  <c r="O3613" i="1"/>
  <c r="K3613" i="1"/>
  <c r="J3613" i="1"/>
  <c r="I3613" i="1"/>
  <c r="H3613" i="1"/>
  <c r="G3613" i="1"/>
  <c r="F3613" i="1"/>
  <c r="E3613" i="1"/>
  <c r="D3613" i="1"/>
  <c r="C3613" i="1"/>
  <c r="B3613" i="1"/>
  <c r="A3613" i="1"/>
  <c r="R3612" i="1"/>
  <c r="J3612" i="1"/>
  <c r="I3612" i="1"/>
  <c r="G3612" i="1"/>
  <c r="F3612" i="1"/>
  <c r="E3612" i="1"/>
  <c r="D3612" i="1"/>
  <c r="C3612" i="1"/>
  <c r="B3612" i="1"/>
  <c r="A3612" i="1"/>
  <c r="S3611" i="1"/>
  <c r="O3611" i="1"/>
  <c r="K3611" i="1"/>
  <c r="J3611" i="1"/>
  <c r="I3611" i="1"/>
  <c r="H3611" i="1"/>
  <c r="G3611" i="1"/>
  <c r="F3611" i="1"/>
  <c r="E3611" i="1"/>
  <c r="D3611" i="1"/>
  <c r="C3611" i="1"/>
  <c r="B3611" i="1"/>
  <c r="A3611" i="1"/>
  <c r="R3610" i="1"/>
  <c r="J3610" i="1"/>
  <c r="I3610" i="1"/>
  <c r="G3610" i="1"/>
  <c r="F3610" i="1"/>
  <c r="E3610" i="1"/>
  <c r="D3610" i="1"/>
  <c r="C3610" i="1"/>
  <c r="B3610" i="1"/>
  <c r="A3610" i="1"/>
  <c r="S3609" i="1"/>
  <c r="O3609" i="1"/>
  <c r="K3609" i="1"/>
  <c r="J3609" i="1"/>
  <c r="I3609" i="1"/>
  <c r="H3609" i="1"/>
  <c r="G3609" i="1"/>
  <c r="F3609" i="1"/>
  <c r="E3609" i="1"/>
  <c r="D3609" i="1"/>
  <c r="C3609" i="1"/>
  <c r="B3609" i="1"/>
  <c r="A3609" i="1"/>
  <c r="R3608" i="1"/>
  <c r="J3608" i="1"/>
  <c r="I3608" i="1"/>
  <c r="G3608" i="1"/>
  <c r="F3608" i="1"/>
  <c r="E3608" i="1"/>
  <c r="D3608" i="1"/>
  <c r="C3608" i="1"/>
  <c r="B3608" i="1"/>
  <c r="A3608" i="1"/>
  <c r="S3607" i="1"/>
  <c r="O3607" i="1"/>
  <c r="K3607" i="1"/>
  <c r="J3607" i="1"/>
  <c r="I3607" i="1"/>
  <c r="H3607" i="1"/>
  <c r="G3607" i="1"/>
  <c r="F3607" i="1"/>
  <c r="E3607" i="1"/>
  <c r="D3607" i="1"/>
  <c r="C3607" i="1"/>
  <c r="B3607" i="1"/>
  <c r="A3607" i="1"/>
  <c r="R3606" i="1"/>
  <c r="J3606" i="1"/>
  <c r="I3606" i="1"/>
  <c r="G3606" i="1"/>
  <c r="F3606" i="1"/>
  <c r="E3606" i="1"/>
  <c r="D3606" i="1"/>
  <c r="C3606" i="1"/>
  <c r="B3606" i="1"/>
  <c r="A3606" i="1"/>
  <c r="S3605" i="1"/>
  <c r="O3605" i="1"/>
  <c r="K3605" i="1"/>
  <c r="J3605" i="1"/>
  <c r="I3605" i="1"/>
  <c r="H3605" i="1"/>
  <c r="G3605" i="1"/>
  <c r="F3605" i="1"/>
  <c r="E3605" i="1"/>
  <c r="D3605" i="1"/>
  <c r="C3605" i="1"/>
  <c r="B3605" i="1"/>
  <c r="A3605" i="1"/>
  <c r="R3604" i="1"/>
  <c r="J3604" i="1"/>
  <c r="I3604" i="1"/>
  <c r="G3604" i="1"/>
  <c r="F3604" i="1"/>
  <c r="E3604" i="1"/>
  <c r="D3604" i="1"/>
  <c r="C3604" i="1"/>
  <c r="B3604" i="1"/>
  <c r="A3604" i="1"/>
  <c r="S3603" i="1"/>
  <c r="O3603" i="1"/>
  <c r="K3603" i="1"/>
  <c r="J3603" i="1"/>
  <c r="I3603" i="1"/>
  <c r="H3603" i="1"/>
  <c r="G3603" i="1"/>
  <c r="F3603" i="1"/>
  <c r="E3603" i="1"/>
  <c r="D3603" i="1"/>
  <c r="C3603" i="1"/>
  <c r="B3603" i="1"/>
  <c r="A3603" i="1"/>
  <c r="R3602" i="1"/>
  <c r="J3602" i="1"/>
  <c r="I3602" i="1"/>
  <c r="G3602" i="1"/>
  <c r="F3602" i="1"/>
  <c r="E3602" i="1"/>
  <c r="D3602" i="1"/>
  <c r="C3602" i="1"/>
  <c r="B3602" i="1"/>
  <c r="A3602" i="1"/>
  <c r="S3601" i="1"/>
  <c r="O3601" i="1"/>
  <c r="K3601" i="1"/>
  <c r="J3601" i="1"/>
  <c r="I3601" i="1"/>
  <c r="H3601" i="1"/>
  <c r="G3601" i="1"/>
  <c r="F3601" i="1"/>
  <c r="E3601" i="1"/>
  <c r="D3601" i="1"/>
  <c r="C3601" i="1"/>
  <c r="B3601" i="1"/>
  <c r="A3601" i="1"/>
  <c r="R3600" i="1"/>
  <c r="J3600" i="1"/>
  <c r="I3600" i="1"/>
  <c r="G3600" i="1"/>
  <c r="F3600" i="1"/>
  <c r="E3600" i="1"/>
  <c r="D3600" i="1"/>
  <c r="C3600" i="1"/>
  <c r="B3600" i="1"/>
  <c r="A3600" i="1"/>
  <c r="S3599" i="1"/>
  <c r="O3599" i="1"/>
  <c r="K3599" i="1"/>
  <c r="J3599" i="1"/>
  <c r="I3599" i="1"/>
  <c r="H3599" i="1"/>
  <c r="G3599" i="1"/>
  <c r="F3599" i="1"/>
  <c r="E3599" i="1"/>
  <c r="D3599" i="1"/>
  <c r="C3599" i="1"/>
  <c r="B3599" i="1"/>
  <c r="A3599" i="1"/>
  <c r="R3598" i="1"/>
  <c r="J3598" i="1"/>
  <c r="I3598" i="1"/>
  <c r="G3598" i="1"/>
  <c r="F3598" i="1"/>
  <c r="E3598" i="1"/>
  <c r="D3598" i="1"/>
  <c r="C3598" i="1"/>
  <c r="B3598" i="1"/>
  <c r="A3598" i="1"/>
  <c r="S3597" i="1"/>
  <c r="O3597" i="1"/>
  <c r="K3597" i="1"/>
  <c r="J3597" i="1"/>
  <c r="I3597" i="1"/>
  <c r="H3597" i="1"/>
  <c r="G3597" i="1"/>
  <c r="F3597" i="1"/>
  <c r="E3597" i="1"/>
  <c r="D3597" i="1"/>
  <c r="C3597" i="1"/>
  <c r="B3597" i="1"/>
  <c r="A3597" i="1"/>
  <c r="R3596" i="1"/>
  <c r="J3596" i="1"/>
  <c r="I3596" i="1"/>
  <c r="G3596" i="1"/>
  <c r="F3596" i="1"/>
  <c r="E3596" i="1"/>
  <c r="D3596" i="1"/>
  <c r="C3596" i="1"/>
  <c r="B3596" i="1"/>
  <c r="A3596" i="1"/>
  <c r="S3595" i="1"/>
  <c r="O3595" i="1"/>
  <c r="K3595" i="1"/>
  <c r="J3595" i="1"/>
  <c r="I3595" i="1"/>
  <c r="H3595" i="1"/>
  <c r="G3595" i="1"/>
  <c r="F3595" i="1"/>
  <c r="E3595" i="1"/>
  <c r="D3595" i="1"/>
  <c r="C3595" i="1"/>
  <c r="B3595" i="1"/>
  <c r="A3595" i="1"/>
  <c r="R3594" i="1"/>
  <c r="J3594" i="1"/>
  <c r="I3594" i="1"/>
  <c r="G3594" i="1"/>
  <c r="F3594" i="1"/>
  <c r="E3594" i="1"/>
  <c r="D3594" i="1"/>
  <c r="C3594" i="1"/>
  <c r="B3594" i="1"/>
  <c r="A3594" i="1"/>
  <c r="S3593" i="1"/>
  <c r="O3593" i="1"/>
  <c r="K3593" i="1"/>
  <c r="J3593" i="1"/>
  <c r="I3593" i="1"/>
  <c r="H3593" i="1"/>
  <c r="G3593" i="1"/>
  <c r="F3593" i="1"/>
  <c r="E3593" i="1"/>
  <c r="D3593" i="1"/>
  <c r="C3593" i="1"/>
  <c r="B3593" i="1"/>
  <c r="A3593" i="1"/>
  <c r="R3592" i="1"/>
  <c r="J3592" i="1"/>
  <c r="I3592" i="1"/>
  <c r="G3592" i="1"/>
  <c r="F3592" i="1"/>
  <c r="E3592" i="1"/>
  <c r="D3592" i="1"/>
  <c r="C3592" i="1"/>
  <c r="B3592" i="1"/>
  <c r="A3592" i="1"/>
  <c r="S3591" i="1"/>
  <c r="O3591" i="1"/>
  <c r="K3591" i="1"/>
  <c r="J3591" i="1"/>
  <c r="I3591" i="1"/>
  <c r="H3591" i="1"/>
  <c r="G3591" i="1"/>
  <c r="F3591" i="1"/>
  <c r="E3591" i="1"/>
  <c r="D3591" i="1"/>
  <c r="C3591" i="1"/>
  <c r="B3591" i="1"/>
  <c r="A3591" i="1"/>
  <c r="R3590" i="1"/>
  <c r="J3590" i="1"/>
  <c r="I3590" i="1"/>
  <c r="G3590" i="1"/>
  <c r="F3590" i="1"/>
  <c r="E3590" i="1"/>
  <c r="D3590" i="1"/>
  <c r="C3590" i="1"/>
  <c r="B3590" i="1"/>
  <c r="A3590" i="1"/>
  <c r="S3589" i="1"/>
  <c r="O3589" i="1"/>
  <c r="K3589" i="1"/>
  <c r="J3589" i="1"/>
  <c r="I3589" i="1"/>
  <c r="H3589" i="1"/>
  <c r="G3589" i="1"/>
  <c r="F3589" i="1"/>
  <c r="E3589" i="1"/>
  <c r="D3589" i="1"/>
  <c r="C3589" i="1"/>
  <c r="B3589" i="1"/>
  <c r="A3589" i="1"/>
  <c r="R3588" i="1"/>
  <c r="J3588" i="1"/>
  <c r="I3588" i="1"/>
  <c r="G3588" i="1"/>
  <c r="F3588" i="1"/>
  <c r="E3588" i="1"/>
  <c r="D3588" i="1"/>
  <c r="C3588" i="1"/>
  <c r="B3588" i="1"/>
  <c r="A3588" i="1"/>
  <c r="S3587" i="1"/>
  <c r="O3587" i="1"/>
  <c r="K3587" i="1"/>
  <c r="J3587" i="1"/>
  <c r="I3587" i="1"/>
  <c r="H3587" i="1"/>
  <c r="G3587" i="1"/>
  <c r="F3587" i="1"/>
  <c r="E3587" i="1"/>
  <c r="D3587" i="1"/>
  <c r="C3587" i="1"/>
  <c r="B3587" i="1"/>
  <c r="A3587" i="1"/>
  <c r="R3586" i="1"/>
  <c r="J3586" i="1"/>
  <c r="I3586" i="1"/>
  <c r="G3586" i="1"/>
  <c r="F3586" i="1"/>
  <c r="E3586" i="1"/>
  <c r="D3586" i="1"/>
  <c r="C3586" i="1"/>
  <c r="B3586" i="1"/>
  <c r="A3586" i="1"/>
  <c r="S3585" i="1"/>
  <c r="O3585" i="1"/>
  <c r="K3585" i="1"/>
  <c r="J3585" i="1"/>
  <c r="I3585" i="1"/>
  <c r="H3585" i="1"/>
  <c r="G3585" i="1"/>
  <c r="F3585" i="1"/>
  <c r="E3585" i="1"/>
  <c r="D3585" i="1"/>
  <c r="C3585" i="1"/>
  <c r="B3585" i="1"/>
  <c r="A3585" i="1"/>
  <c r="R3584" i="1"/>
  <c r="J3584" i="1"/>
  <c r="I3584" i="1"/>
  <c r="G3584" i="1"/>
  <c r="F3584" i="1"/>
  <c r="E3584" i="1"/>
  <c r="D3584" i="1"/>
  <c r="C3584" i="1"/>
  <c r="B3584" i="1"/>
  <c r="A3584" i="1"/>
  <c r="S3583" i="1"/>
  <c r="O3583" i="1"/>
  <c r="K3583" i="1"/>
  <c r="J3583" i="1"/>
  <c r="I3583" i="1"/>
  <c r="H3583" i="1"/>
  <c r="G3583" i="1"/>
  <c r="F3583" i="1"/>
  <c r="E3583" i="1"/>
  <c r="D3583" i="1"/>
  <c r="C3583" i="1"/>
  <c r="B3583" i="1"/>
  <c r="A3583" i="1"/>
  <c r="R3582" i="1"/>
  <c r="J3582" i="1"/>
  <c r="I3582" i="1"/>
  <c r="G3582" i="1"/>
  <c r="F3582" i="1"/>
  <c r="E3582" i="1"/>
  <c r="D3582" i="1"/>
  <c r="C3582" i="1"/>
  <c r="B3582" i="1"/>
  <c r="A3582" i="1"/>
  <c r="S3581" i="1"/>
  <c r="O3581" i="1"/>
  <c r="K3581" i="1"/>
  <c r="J3581" i="1"/>
  <c r="I3581" i="1"/>
  <c r="H3581" i="1"/>
  <c r="G3581" i="1"/>
  <c r="F3581" i="1"/>
  <c r="E3581" i="1"/>
  <c r="D3581" i="1"/>
  <c r="C3581" i="1"/>
  <c r="B3581" i="1"/>
  <c r="A3581" i="1"/>
  <c r="R3580" i="1"/>
  <c r="J3580" i="1"/>
  <c r="I3580" i="1"/>
  <c r="G3580" i="1"/>
  <c r="F3580" i="1"/>
  <c r="E3580" i="1"/>
  <c r="D3580" i="1"/>
  <c r="C3580" i="1"/>
  <c r="B3580" i="1"/>
  <c r="A3580" i="1"/>
  <c r="S3579" i="1"/>
  <c r="O3579" i="1"/>
  <c r="K3579" i="1"/>
  <c r="J3579" i="1"/>
  <c r="I3579" i="1"/>
  <c r="H3579" i="1"/>
  <c r="G3579" i="1"/>
  <c r="F3579" i="1"/>
  <c r="E3579" i="1"/>
  <c r="D3579" i="1"/>
  <c r="C3579" i="1"/>
  <c r="B3579" i="1"/>
  <c r="A3579" i="1"/>
  <c r="R3578" i="1"/>
  <c r="J3578" i="1"/>
  <c r="I3578" i="1"/>
  <c r="G3578" i="1"/>
  <c r="F3578" i="1"/>
  <c r="E3578" i="1"/>
  <c r="D3578" i="1"/>
  <c r="C3578" i="1"/>
  <c r="B3578" i="1"/>
  <c r="A3578" i="1"/>
  <c r="S3577" i="1"/>
  <c r="O3577" i="1"/>
  <c r="K3577" i="1"/>
  <c r="J3577" i="1"/>
  <c r="I3577" i="1"/>
  <c r="H3577" i="1"/>
  <c r="G3577" i="1"/>
  <c r="F3577" i="1"/>
  <c r="E3577" i="1"/>
  <c r="D3577" i="1"/>
  <c r="C3577" i="1"/>
  <c r="B3577" i="1"/>
  <c r="A3577" i="1"/>
  <c r="R3576" i="1"/>
  <c r="J3576" i="1"/>
  <c r="I3576" i="1"/>
  <c r="G3576" i="1"/>
  <c r="F3576" i="1"/>
  <c r="E3576" i="1"/>
  <c r="D3576" i="1"/>
  <c r="C3576" i="1"/>
  <c r="B3576" i="1"/>
  <c r="A3576" i="1"/>
  <c r="S3575" i="1"/>
  <c r="O3575" i="1"/>
  <c r="K3575" i="1"/>
  <c r="J3575" i="1"/>
  <c r="I3575" i="1"/>
  <c r="H3575" i="1"/>
  <c r="G3575" i="1"/>
  <c r="F3575" i="1"/>
  <c r="E3575" i="1"/>
  <c r="D3575" i="1"/>
  <c r="C3575" i="1"/>
  <c r="B3575" i="1"/>
  <c r="A3575" i="1"/>
  <c r="R3574" i="1"/>
  <c r="J3574" i="1"/>
  <c r="I3574" i="1"/>
  <c r="G3574" i="1"/>
  <c r="F3574" i="1"/>
  <c r="E3574" i="1"/>
  <c r="D3574" i="1"/>
  <c r="C3574" i="1"/>
  <c r="B3574" i="1"/>
  <c r="A3574" i="1"/>
  <c r="S3573" i="1"/>
  <c r="O3573" i="1"/>
  <c r="K3573" i="1"/>
  <c r="J3573" i="1"/>
  <c r="I3573" i="1"/>
  <c r="H3573" i="1"/>
  <c r="G3573" i="1"/>
  <c r="F3573" i="1"/>
  <c r="E3573" i="1"/>
  <c r="D3573" i="1"/>
  <c r="C3573" i="1"/>
  <c r="B3573" i="1"/>
  <c r="A3573" i="1"/>
  <c r="R3572" i="1"/>
  <c r="J3572" i="1"/>
  <c r="I3572" i="1"/>
  <c r="G3572" i="1"/>
  <c r="F3572" i="1"/>
  <c r="E3572" i="1"/>
  <c r="D3572" i="1"/>
  <c r="C3572" i="1"/>
  <c r="B3572" i="1"/>
  <c r="A3572" i="1"/>
  <c r="S3571" i="1"/>
  <c r="O3571" i="1"/>
  <c r="K3571" i="1"/>
  <c r="J3571" i="1"/>
  <c r="I3571" i="1"/>
  <c r="H3571" i="1"/>
  <c r="G3571" i="1"/>
  <c r="F3571" i="1"/>
  <c r="E3571" i="1"/>
  <c r="D3571" i="1"/>
  <c r="C3571" i="1"/>
  <c r="B3571" i="1"/>
  <c r="A3571" i="1"/>
  <c r="R3570" i="1"/>
  <c r="J3570" i="1"/>
  <c r="I3570" i="1"/>
  <c r="G3570" i="1"/>
  <c r="F3570" i="1"/>
  <c r="E3570" i="1"/>
  <c r="D3570" i="1"/>
  <c r="C3570" i="1"/>
  <c r="B3570" i="1"/>
  <c r="A3570" i="1"/>
  <c r="S3569" i="1"/>
  <c r="O3569" i="1"/>
  <c r="K3569" i="1"/>
  <c r="J3569" i="1"/>
  <c r="I3569" i="1"/>
  <c r="H3569" i="1"/>
  <c r="G3569" i="1"/>
  <c r="F3569" i="1"/>
  <c r="E3569" i="1"/>
  <c r="D3569" i="1"/>
  <c r="C3569" i="1"/>
  <c r="B3569" i="1"/>
  <c r="A3569" i="1"/>
  <c r="R3568" i="1"/>
  <c r="J3568" i="1"/>
  <c r="I3568" i="1"/>
  <c r="G3568" i="1"/>
  <c r="F3568" i="1"/>
  <c r="E3568" i="1"/>
  <c r="D3568" i="1"/>
  <c r="C3568" i="1"/>
  <c r="B3568" i="1"/>
  <c r="A3568" i="1"/>
  <c r="S3567" i="1"/>
  <c r="O3567" i="1"/>
  <c r="K3567" i="1"/>
  <c r="J3567" i="1"/>
  <c r="I3567" i="1"/>
  <c r="H3567" i="1"/>
  <c r="G3567" i="1"/>
  <c r="F3567" i="1"/>
  <c r="E3567" i="1"/>
  <c r="D3567" i="1"/>
  <c r="C3567" i="1"/>
  <c r="B3567" i="1"/>
  <c r="A3567" i="1"/>
  <c r="R3566" i="1"/>
  <c r="J3566" i="1"/>
  <c r="I3566" i="1"/>
  <c r="G3566" i="1"/>
  <c r="F3566" i="1"/>
  <c r="E3566" i="1"/>
  <c r="D3566" i="1"/>
  <c r="C3566" i="1"/>
  <c r="B3566" i="1"/>
  <c r="A3566" i="1"/>
  <c r="S3565" i="1"/>
  <c r="O3565" i="1"/>
  <c r="K3565" i="1"/>
  <c r="J3565" i="1"/>
  <c r="I3565" i="1"/>
  <c r="H3565" i="1"/>
  <c r="G3565" i="1"/>
  <c r="F3565" i="1"/>
  <c r="E3565" i="1"/>
  <c r="D3565" i="1"/>
  <c r="C3565" i="1"/>
  <c r="B3565" i="1"/>
  <c r="A3565" i="1"/>
  <c r="R3564" i="1"/>
  <c r="J3564" i="1"/>
  <c r="I3564" i="1"/>
  <c r="G3564" i="1"/>
  <c r="F3564" i="1"/>
  <c r="E3564" i="1"/>
  <c r="D3564" i="1"/>
  <c r="C3564" i="1"/>
  <c r="B3564" i="1"/>
  <c r="A3564" i="1"/>
  <c r="S3563" i="1"/>
  <c r="O3563" i="1"/>
  <c r="K3563" i="1"/>
  <c r="J3563" i="1"/>
  <c r="I3563" i="1"/>
  <c r="H3563" i="1"/>
  <c r="G3563" i="1"/>
  <c r="F3563" i="1"/>
  <c r="E3563" i="1"/>
  <c r="D3563" i="1"/>
  <c r="C3563" i="1"/>
  <c r="B3563" i="1"/>
  <c r="A3563" i="1"/>
  <c r="R3562" i="1"/>
  <c r="J3562" i="1"/>
  <c r="I3562" i="1"/>
  <c r="G3562" i="1"/>
  <c r="F3562" i="1"/>
  <c r="E3562" i="1"/>
  <c r="D3562" i="1"/>
  <c r="C3562" i="1"/>
  <c r="B3562" i="1"/>
  <c r="A3562" i="1"/>
  <c r="S3561" i="1"/>
  <c r="O3561" i="1"/>
  <c r="K3561" i="1"/>
  <c r="J3561" i="1"/>
  <c r="I3561" i="1"/>
  <c r="H3561" i="1"/>
  <c r="G3561" i="1"/>
  <c r="F3561" i="1"/>
  <c r="E3561" i="1"/>
  <c r="D3561" i="1"/>
  <c r="C3561" i="1"/>
  <c r="B3561" i="1"/>
  <c r="A3561" i="1"/>
  <c r="R3560" i="1"/>
  <c r="J3560" i="1"/>
  <c r="I3560" i="1"/>
  <c r="G3560" i="1"/>
  <c r="F3560" i="1"/>
  <c r="E3560" i="1"/>
  <c r="D3560" i="1"/>
  <c r="C3560" i="1"/>
  <c r="B3560" i="1"/>
  <c r="A3560" i="1"/>
  <c r="S3559" i="1"/>
  <c r="O3559" i="1"/>
  <c r="K3559" i="1"/>
  <c r="J3559" i="1"/>
  <c r="I3559" i="1"/>
  <c r="H3559" i="1"/>
  <c r="G3559" i="1"/>
  <c r="F3559" i="1"/>
  <c r="E3559" i="1"/>
  <c r="D3559" i="1"/>
  <c r="C3559" i="1"/>
  <c r="B3559" i="1"/>
  <c r="A3559" i="1"/>
  <c r="R3558" i="1"/>
  <c r="J3558" i="1"/>
  <c r="I3558" i="1"/>
  <c r="G3558" i="1"/>
  <c r="F3558" i="1"/>
  <c r="E3558" i="1"/>
  <c r="D3558" i="1"/>
  <c r="C3558" i="1"/>
  <c r="B3558" i="1"/>
  <c r="A3558" i="1"/>
  <c r="S3557" i="1"/>
  <c r="O3557" i="1"/>
  <c r="K3557" i="1"/>
  <c r="J3557" i="1"/>
  <c r="I3557" i="1"/>
  <c r="H3557" i="1"/>
  <c r="G3557" i="1"/>
  <c r="F3557" i="1"/>
  <c r="E3557" i="1"/>
  <c r="D3557" i="1"/>
  <c r="C3557" i="1"/>
  <c r="B3557" i="1"/>
  <c r="A3557" i="1"/>
  <c r="R3556" i="1"/>
  <c r="J3556" i="1"/>
  <c r="I3556" i="1"/>
  <c r="G3556" i="1"/>
  <c r="F3556" i="1"/>
  <c r="E3556" i="1"/>
  <c r="D3556" i="1"/>
  <c r="C3556" i="1"/>
  <c r="B3556" i="1"/>
  <c r="A3556" i="1"/>
  <c r="S3555" i="1"/>
  <c r="O3555" i="1"/>
  <c r="K3555" i="1"/>
  <c r="J3555" i="1"/>
  <c r="I3555" i="1"/>
  <c r="H3555" i="1"/>
  <c r="G3555" i="1"/>
  <c r="F3555" i="1"/>
  <c r="E3555" i="1"/>
  <c r="D3555" i="1"/>
  <c r="C3555" i="1"/>
  <c r="B3555" i="1"/>
  <c r="A3555" i="1"/>
  <c r="R3554" i="1"/>
  <c r="J3554" i="1"/>
  <c r="I3554" i="1"/>
  <c r="G3554" i="1"/>
  <c r="F3554" i="1"/>
  <c r="E3554" i="1"/>
  <c r="D3554" i="1"/>
  <c r="C3554" i="1"/>
  <c r="B3554" i="1"/>
  <c r="A3554" i="1"/>
  <c r="S3553" i="1"/>
  <c r="O3553" i="1"/>
  <c r="K3553" i="1"/>
  <c r="J3553" i="1"/>
  <c r="I3553" i="1"/>
  <c r="H3553" i="1"/>
  <c r="G3553" i="1"/>
  <c r="F3553" i="1"/>
  <c r="E3553" i="1"/>
  <c r="D3553" i="1"/>
  <c r="C3553" i="1"/>
  <c r="B3553" i="1"/>
  <c r="A3553" i="1"/>
  <c r="R3552" i="1"/>
  <c r="J3552" i="1"/>
  <c r="I3552" i="1"/>
  <c r="G3552" i="1"/>
  <c r="F3552" i="1"/>
  <c r="E3552" i="1"/>
  <c r="D3552" i="1"/>
  <c r="C3552" i="1"/>
  <c r="B3552" i="1"/>
  <c r="A3552" i="1"/>
  <c r="S3551" i="1"/>
  <c r="O3551" i="1"/>
  <c r="K3551" i="1"/>
  <c r="J3551" i="1"/>
  <c r="I3551" i="1"/>
  <c r="H3551" i="1"/>
  <c r="G3551" i="1"/>
  <c r="F3551" i="1"/>
  <c r="E3551" i="1"/>
  <c r="D3551" i="1"/>
  <c r="C3551" i="1"/>
  <c r="B3551" i="1"/>
  <c r="A3551" i="1"/>
  <c r="R3550" i="1"/>
  <c r="J3550" i="1"/>
  <c r="I3550" i="1"/>
  <c r="G3550" i="1"/>
  <c r="F3550" i="1"/>
  <c r="E3550" i="1"/>
  <c r="D3550" i="1"/>
  <c r="C3550" i="1"/>
  <c r="B3550" i="1"/>
  <c r="A3550" i="1"/>
  <c r="S3549" i="1"/>
  <c r="O3549" i="1"/>
  <c r="K3549" i="1"/>
  <c r="J3549" i="1"/>
  <c r="I3549" i="1"/>
  <c r="H3549" i="1"/>
  <c r="G3549" i="1"/>
  <c r="F3549" i="1"/>
  <c r="E3549" i="1"/>
  <c r="D3549" i="1"/>
  <c r="C3549" i="1"/>
  <c r="B3549" i="1"/>
  <c r="A3549" i="1"/>
  <c r="R3548" i="1"/>
  <c r="J3548" i="1"/>
  <c r="I3548" i="1"/>
  <c r="G3548" i="1"/>
  <c r="F3548" i="1"/>
  <c r="E3548" i="1"/>
  <c r="D3548" i="1"/>
  <c r="C3548" i="1"/>
  <c r="B3548" i="1"/>
  <c r="A3548" i="1"/>
  <c r="S3547" i="1"/>
  <c r="O3547" i="1"/>
  <c r="K3547" i="1"/>
  <c r="J3547" i="1"/>
  <c r="I3547" i="1"/>
  <c r="H3547" i="1"/>
  <c r="G3547" i="1"/>
  <c r="F3547" i="1"/>
  <c r="E3547" i="1"/>
  <c r="D3547" i="1"/>
  <c r="C3547" i="1"/>
  <c r="B3547" i="1"/>
  <c r="A3547" i="1"/>
  <c r="R3546" i="1"/>
  <c r="J3546" i="1"/>
  <c r="I3546" i="1"/>
  <c r="G3546" i="1"/>
  <c r="F3546" i="1"/>
  <c r="E3546" i="1"/>
  <c r="D3546" i="1"/>
  <c r="C3546" i="1"/>
  <c r="B3546" i="1"/>
  <c r="A3546" i="1"/>
  <c r="S3545" i="1"/>
  <c r="O3545" i="1"/>
  <c r="K3545" i="1"/>
  <c r="J3545" i="1"/>
  <c r="I3545" i="1"/>
  <c r="H3545" i="1"/>
  <c r="G3545" i="1"/>
  <c r="F3545" i="1"/>
  <c r="E3545" i="1"/>
  <c r="D3545" i="1"/>
  <c r="C3545" i="1"/>
  <c r="B3545" i="1"/>
  <c r="A3545" i="1"/>
  <c r="R3544" i="1"/>
  <c r="J3544" i="1"/>
  <c r="I3544" i="1"/>
  <c r="G3544" i="1"/>
  <c r="F3544" i="1"/>
  <c r="E3544" i="1"/>
  <c r="D3544" i="1"/>
  <c r="C3544" i="1"/>
  <c r="B3544" i="1"/>
  <c r="A3544" i="1"/>
  <c r="S3543" i="1"/>
  <c r="O3543" i="1"/>
  <c r="K3543" i="1"/>
  <c r="J3543" i="1"/>
  <c r="I3543" i="1"/>
  <c r="H3543" i="1"/>
  <c r="G3543" i="1"/>
  <c r="F3543" i="1"/>
  <c r="E3543" i="1"/>
  <c r="D3543" i="1"/>
  <c r="C3543" i="1"/>
  <c r="B3543" i="1"/>
  <c r="A3543" i="1"/>
  <c r="R3542" i="1"/>
  <c r="J3542" i="1"/>
  <c r="I3542" i="1"/>
  <c r="G3542" i="1"/>
  <c r="F3542" i="1"/>
  <c r="E3542" i="1"/>
  <c r="D3542" i="1"/>
  <c r="C3542" i="1"/>
  <c r="B3542" i="1"/>
  <c r="A3542" i="1"/>
  <c r="S3541" i="1"/>
  <c r="O3541" i="1"/>
  <c r="K3541" i="1"/>
  <c r="J3541" i="1"/>
  <c r="I3541" i="1"/>
  <c r="H3541" i="1"/>
  <c r="G3541" i="1"/>
  <c r="F3541" i="1"/>
  <c r="E3541" i="1"/>
  <c r="D3541" i="1"/>
  <c r="C3541" i="1"/>
  <c r="B3541" i="1"/>
  <c r="A3541" i="1"/>
  <c r="R3540" i="1"/>
  <c r="J3540" i="1"/>
  <c r="I3540" i="1"/>
  <c r="G3540" i="1"/>
  <c r="F3540" i="1"/>
  <c r="E3540" i="1"/>
  <c r="D3540" i="1"/>
  <c r="C3540" i="1"/>
  <c r="B3540" i="1"/>
  <c r="A3540" i="1"/>
  <c r="S3539" i="1"/>
  <c r="O3539" i="1"/>
  <c r="K3539" i="1"/>
  <c r="J3539" i="1"/>
  <c r="I3539" i="1"/>
  <c r="H3539" i="1"/>
  <c r="G3539" i="1"/>
  <c r="F3539" i="1"/>
  <c r="E3539" i="1"/>
  <c r="D3539" i="1"/>
  <c r="C3539" i="1"/>
  <c r="B3539" i="1"/>
  <c r="A3539" i="1"/>
  <c r="R3538" i="1"/>
  <c r="J3538" i="1"/>
  <c r="I3538" i="1"/>
  <c r="G3538" i="1"/>
  <c r="F3538" i="1"/>
  <c r="E3538" i="1"/>
  <c r="D3538" i="1"/>
  <c r="C3538" i="1"/>
  <c r="B3538" i="1"/>
  <c r="A3538" i="1"/>
  <c r="S3537" i="1"/>
  <c r="O3537" i="1"/>
  <c r="K3537" i="1"/>
  <c r="J3537" i="1"/>
  <c r="I3537" i="1"/>
  <c r="H3537" i="1"/>
  <c r="G3537" i="1"/>
  <c r="F3537" i="1"/>
  <c r="E3537" i="1"/>
  <c r="D3537" i="1"/>
  <c r="C3537" i="1"/>
  <c r="B3537" i="1"/>
  <c r="A3537" i="1"/>
  <c r="R3536" i="1"/>
  <c r="J3536" i="1"/>
  <c r="I3536" i="1"/>
  <c r="G3536" i="1"/>
  <c r="F3536" i="1"/>
  <c r="E3536" i="1"/>
  <c r="D3536" i="1"/>
  <c r="C3536" i="1"/>
  <c r="B3536" i="1"/>
  <c r="A3536" i="1"/>
  <c r="S3535" i="1"/>
  <c r="O3535" i="1"/>
  <c r="K3535" i="1"/>
  <c r="J3535" i="1"/>
  <c r="I3535" i="1"/>
  <c r="H3535" i="1"/>
  <c r="G3535" i="1"/>
  <c r="F3535" i="1"/>
  <c r="E3535" i="1"/>
  <c r="D3535" i="1"/>
  <c r="C3535" i="1"/>
  <c r="B3535" i="1"/>
  <c r="A3535" i="1"/>
  <c r="R3534" i="1"/>
  <c r="J3534" i="1"/>
  <c r="I3534" i="1"/>
  <c r="G3534" i="1"/>
  <c r="F3534" i="1"/>
  <c r="E3534" i="1"/>
  <c r="D3534" i="1"/>
  <c r="C3534" i="1"/>
  <c r="B3534" i="1"/>
  <c r="A3534" i="1"/>
  <c r="S3533" i="1"/>
  <c r="O3533" i="1"/>
  <c r="K3533" i="1"/>
  <c r="J3533" i="1"/>
  <c r="I3533" i="1"/>
  <c r="H3533" i="1"/>
  <c r="G3533" i="1"/>
  <c r="F3533" i="1"/>
  <c r="E3533" i="1"/>
  <c r="D3533" i="1"/>
  <c r="C3533" i="1"/>
  <c r="B3533" i="1"/>
  <c r="A3533" i="1"/>
  <c r="R3532" i="1"/>
  <c r="J3532" i="1"/>
  <c r="I3532" i="1"/>
  <c r="G3532" i="1"/>
  <c r="F3532" i="1"/>
  <c r="E3532" i="1"/>
  <c r="D3532" i="1"/>
  <c r="C3532" i="1"/>
  <c r="B3532" i="1"/>
  <c r="A3532" i="1"/>
  <c r="S3531" i="1"/>
  <c r="O3531" i="1"/>
  <c r="K3531" i="1"/>
  <c r="J3531" i="1"/>
  <c r="I3531" i="1"/>
  <c r="H3531" i="1"/>
  <c r="G3531" i="1"/>
  <c r="F3531" i="1"/>
  <c r="E3531" i="1"/>
  <c r="D3531" i="1"/>
  <c r="C3531" i="1"/>
  <c r="B3531" i="1"/>
  <c r="A3531" i="1"/>
  <c r="R3530" i="1"/>
  <c r="J3530" i="1"/>
  <c r="I3530" i="1"/>
  <c r="G3530" i="1"/>
  <c r="F3530" i="1"/>
  <c r="E3530" i="1"/>
  <c r="D3530" i="1"/>
  <c r="C3530" i="1"/>
  <c r="B3530" i="1"/>
  <c r="A3530" i="1"/>
  <c r="S3529" i="1"/>
  <c r="O3529" i="1"/>
  <c r="K3529" i="1"/>
  <c r="J3529" i="1"/>
  <c r="I3529" i="1"/>
  <c r="H3529" i="1"/>
  <c r="G3529" i="1"/>
  <c r="F3529" i="1"/>
  <c r="E3529" i="1"/>
  <c r="D3529" i="1"/>
  <c r="C3529" i="1"/>
  <c r="B3529" i="1"/>
  <c r="A3529" i="1"/>
  <c r="R3528" i="1"/>
  <c r="J3528" i="1"/>
  <c r="I3528" i="1"/>
  <c r="G3528" i="1"/>
  <c r="F3528" i="1"/>
  <c r="E3528" i="1"/>
  <c r="D3528" i="1"/>
  <c r="C3528" i="1"/>
  <c r="B3528" i="1"/>
  <c r="A3528" i="1"/>
  <c r="S3527" i="1"/>
  <c r="O3527" i="1"/>
  <c r="K3527" i="1"/>
  <c r="J3527" i="1"/>
  <c r="I3527" i="1"/>
  <c r="H3527" i="1"/>
  <c r="G3527" i="1"/>
  <c r="F3527" i="1"/>
  <c r="E3527" i="1"/>
  <c r="D3527" i="1"/>
  <c r="C3527" i="1"/>
  <c r="B3527" i="1"/>
  <c r="A3527" i="1"/>
  <c r="R3526" i="1"/>
  <c r="J3526" i="1"/>
  <c r="I3526" i="1"/>
  <c r="G3526" i="1"/>
  <c r="F3526" i="1"/>
  <c r="E3526" i="1"/>
  <c r="D3526" i="1"/>
  <c r="C3526" i="1"/>
  <c r="B3526" i="1"/>
  <c r="A3526" i="1"/>
  <c r="S3525" i="1"/>
  <c r="O3525" i="1"/>
  <c r="K3525" i="1"/>
  <c r="J3525" i="1"/>
  <c r="I3525" i="1"/>
  <c r="H3525" i="1"/>
  <c r="G3525" i="1"/>
  <c r="F3525" i="1"/>
  <c r="E3525" i="1"/>
  <c r="D3525" i="1"/>
  <c r="C3525" i="1"/>
  <c r="B3525" i="1"/>
  <c r="A3525" i="1"/>
  <c r="R3524" i="1"/>
  <c r="J3524" i="1"/>
  <c r="I3524" i="1"/>
  <c r="G3524" i="1"/>
  <c r="F3524" i="1"/>
  <c r="E3524" i="1"/>
  <c r="D3524" i="1"/>
  <c r="C3524" i="1"/>
  <c r="B3524" i="1"/>
  <c r="A3524" i="1"/>
  <c r="S3523" i="1"/>
  <c r="O3523" i="1"/>
  <c r="K3523" i="1"/>
  <c r="J3523" i="1"/>
  <c r="I3523" i="1"/>
  <c r="H3523" i="1"/>
  <c r="G3523" i="1"/>
  <c r="F3523" i="1"/>
  <c r="E3523" i="1"/>
  <c r="D3523" i="1"/>
  <c r="C3523" i="1"/>
  <c r="B3523" i="1"/>
  <c r="A3523" i="1"/>
  <c r="R3522" i="1"/>
  <c r="J3522" i="1"/>
  <c r="I3522" i="1"/>
  <c r="G3522" i="1"/>
  <c r="F3522" i="1"/>
  <c r="E3522" i="1"/>
  <c r="D3522" i="1"/>
  <c r="C3522" i="1"/>
  <c r="B3522" i="1"/>
  <c r="A3522" i="1"/>
  <c r="S3521" i="1"/>
  <c r="O3521" i="1"/>
  <c r="K3521" i="1"/>
  <c r="J3521" i="1"/>
  <c r="I3521" i="1"/>
  <c r="H3521" i="1"/>
  <c r="G3521" i="1"/>
  <c r="F3521" i="1"/>
  <c r="E3521" i="1"/>
  <c r="D3521" i="1"/>
  <c r="C3521" i="1"/>
  <c r="B3521" i="1"/>
  <c r="A3521" i="1"/>
  <c r="R3520" i="1"/>
  <c r="J3520" i="1"/>
  <c r="I3520" i="1"/>
  <c r="G3520" i="1"/>
  <c r="F3520" i="1"/>
  <c r="E3520" i="1"/>
  <c r="D3520" i="1"/>
  <c r="C3520" i="1"/>
  <c r="B3520" i="1"/>
  <c r="A3520" i="1"/>
  <c r="S3519" i="1"/>
  <c r="O3519" i="1"/>
  <c r="K3519" i="1"/>
  <c r="J3519" i="1"/>
  <c r="I3519" i="1"/>
  <c r="H3519" i="1"/>
  <c r="G3519" i="1"/>
  <c r="F3519" i="1"/>
  <c r="E3519" i="1"/>
  <c r="D3519" i="1"/>
  <c r="C3519" i="1"/>
  <c r="B3519" i="1"/>
  <c r="A3519" i="1"/>
  <c r="R3518" i="1"/>
  <c r="J3518" i="1"/>
  <c r="I3518" i="1"/>
  <c r="G3518" i="1"/>
  <c r="F3518" i="1"/>
  <c r="E3518" i="1"/>
  <c r="D3518" i="1"/>
  <c r="C3518" i="1"/>
  <c r="B3518" i="1"/>
  <c r="A3518" i="1"/>
  <c r="S3517" i="1"/>
  <c r="O3517" i="1"/>
  <c r="K3517" i="1"/>
  <c r="J3517" i="1"/>
  <c r="I3517" i="1"/>
  <c r="H3517" i="1"/>
  <c r="G3517" i="1"/>
  <c r="F3517" i="1"/>
  <c r="E3517" i="1"/>
  <c r="D3517" i="1"/>
  <c r="C3517" i="1"/>
  <c r="B3517" i="1"/>
  <c r="A3517" i="1"/>
  <c r="R3516" i="1"/>
  <c r="J3516" i="1"/>
  <c r="I3516" i="1"/>
  <c r="G3516" i="1"/>
  <c r="F3516" i="1"/>
  <c r="E3516" i="1"/>
  <c r="D3516" i="1"/>
  <c r="C3516" i="1"/>
  <c r="B3516" i="1"/>
  <c r="A3516" i="1"/>
  <c r="S3515" i="1"/>
  <c r="O3515" i="1"/>
  <c r="K3515" i="1"/>
  <c r="J3515" i="1"/>
  <c r="I3515" i="1"/>
  <c r="H3515" i="1"/>
  <c r="G3515" i="1"/>
  <c r="F3515" i="1"/>
  <c r="E3515" i="1"/>
  <c r="D3515" i="1"/>
  <c r="C3515" i="1"/>
  <c r="B3515" i="1"/>
  <c r="A3515" i="1"/>
  <c r="R3514" i="1"/>
  <c r="J3514" i="1"/>
  <c r="I3514" i="1"/>
  <c r="G3514" i="1"/>
  <c r="F3514" i="1"/>
  <c r="E3514" i="1"/>
  <c r="D3514" i="1"/>
  <c r="C3514" i="1"/>
  <c r="B3514" i="1"/>
  <c r="A3514" i="1"/>
  <c r="S3513" i="1"/>
  <c r="O3513" i="1"/>
  <c r="K3513" i="1"/>
  <c r="J3513" i="1"/>
  <c r="I3513" i="1"/>
  <c r="H3513" i="1"/>
  <c r="G3513" i="1"/>
  <c r="F3513" i="1"/>
  <c r="E3513" i="1"/>
  <c r="D3513" i="1"/>
  <c r="C3513" i="1"/>
  <c r="B3513" i="1"/>
  <c r="A3513" i="1"/>
  <c r="R3512" i="1"/>
  <c r="J3512" i="1"/>
  <c r="I3512" i="1"/>
  <c r="G3512" i="1"/>
  <c r="F3512" i="1"/>
  <c r="E3512" i="1"/>
  <c r="D3512" i="1"/>
  <c r="C3512" i="1"/>
  <c r="B3512" i="1"/>
  <c r="A3512" i="1"/>
  <c r="S3511" i="1"/>
  <c r="O3511" i="1"/>
  <c r="K3511" i="1"/>
  <c r="J3511" i="1"/>
  <c r="I3511" i="1"/>
  <c r="H3511" i="1"/>
  <c r="G3511" i="1"/>
  <c r="F3511" i="1"/>
  <c r="E3511" i="1"/>
  <c r="D3511" i="1"/>
  <c r="C3511" i="1"/>
  <c r="B3511" i="1"/>
  <c r="A3511" i="1"/>
  <c r="R3510" i="1"/>
  <c r="J3510" i="1"/>
  <c r="I3510" i="1"/>
  <c r="G3510" i="1"/>
  <c r="F3510" i="1"/>
  <c r="E3510" i="1"/>
  <c r="D3510" i="1"/>
  <c r="C3510" i="1"/>
  <c r="B3510" i="1"/>
  <c r="A3510" i="1"/>
  <c r="S3509" i="1"/>
  <c r="O3509" i="1"/>
  <c r="K3509" i="1"/>
  <c r="J3509" i="1"/>
  <c r="I3509" i="1"/>
  <c r="H3509" i="1"/>
  <c r="G3509" i="1"/>
  <c r="F3509" i="1"/>
  <c r="E3509" i="1"/>
  <c r="D3509" i="1"/>
  <c r="C3509" i="1"/>
  <c r="B3509" i="1"/>
  <c r="A3509" i="1"/>
  <c r="R3508" i="1"/>
  <c r="J3508" i="1"/>
  <c r="I3508" i="1"/>
  <c r="G3508" i="1"/>
  <c r="F3508" i="1"/>
  <c r="E3508" i="1"/>
  <c r="D3508" i="1"/>
  <c r="C3508" i="1"/>
  <c r="B3508" i="1"/>
  <c r="A3508" i="1"/>
  <c r="S3507" i="1"/>
  <c r="O3507" i="1"/>
  <c r="K3507" i="1"/>
  <c r="J3507" i="1"/>
  <c r="I3507" i="1"/>
  <c r="H3507" i="1"/>
  <c r="G3507" i="1"/>
  <c r="F3507" i="1"/>
  <c r="E3507" i="1"/>
  <c r="D3507" i="1"/>
  <c r="C3507" i="1"/>
  <c r="B3507" i="1"/>
  <c r="A3507" i="1"/>
  <c r="R3506" i="1"/>
  <c r="J3506" i="1"/>
  <c r="I3506" i="1"/>
  <c r="G3506" i="1"/>
  <c r="F3506" i="1"/>
  <c r="E3506" i="1"/>
  <c r="D3506" i="1"/>
  <c r="C3506" i="1"/>
  <c r="B3506" i="1"/>
  <c r="A3506" i="1"/>
  <c r="S3505" i="1"/>
  <c r="O3505" i="1"/>
  <c r="K3505" i="1"/>
  <c r="J3505" i="1"/>
  <c r="I3505" i="1"/>
  <c r="H3505" i="1"/>
  <c r="G3505" i="1"/>
  <c r="F3505" i="1"/>
  <c r="E3505" i="1"/>
  <c r="D3505" i="1"/>
  <c r="C3505" i="1"/>
  <c r="B3505" i="1"/>
  <c r="A3505" i="1"/>
  <c r="R3504" i="1"/>
  <c r="J3504" i="1"/>
  <c r="I3504" i="1"/>
  <c r="G3504" i="1"/>
  <c r="F3504" i="1"/>
  <c r="E3504" i="1"/>
  <c r="D3504" i="1"/>
  <c r="C3504" i="1"/>
  <c r="B3504" i="1"/>
  <c r="A3504" i="1"/>
  <c r="S3503" i="1"/>
  <c r="O3503" i="1"/>
  <c r="K3503" i="1"/>
  <c r="J3503" i="1"/>
  <c r="I3503" i="1"/>
  <c r="H3503" i="1"/>
  <c r="G3503" i="1"/>
  <c r="F3503" i="1"/>
  <c r="E3503" i="1"/>
  <c r="D3503" i="1"/>
  <c r="C3503" i="1"/>
  <c r="B3503" i="1"/>
  <c r="A3503" i="1"/>
  <c r="R3502" i="1"/>
  <c r="J3502" i="1"/>
  <c r="I3502" i="1"/>
  <c r="G3502" i="1"/>
  <c r="F3502" i="1"/>
  <c r="E3502" i="1"/>
  <c r="D3502" i="1"/>
  <c r="C3502" i="1"/>
  <c r="B3502" i="1"/>
  <c r="A3502" i="1"/>
  <c r="S3501" i="1"/>
  <c r="O3501" i="1"/>
  <c r="K3501" i="1"/>
  <c r="J3501" i="1"/>
  <c r="I3501" i="1"/>
  <c r="H3501" i="1"/>
  <c r="G3501" i="1"/>
  <c r="F3501" i="1"/>
  <c r="E3501" i="1"/>
  <c r="D3501" i="1"/>
  <c r="C3501" i="1"/>
  <c r="B3501" i="1"/>
  <c r="A3501" i="1"/>
  <c r="R3500" i="1"/>
  <c r="J3500" i="1"/>
  <c r="I3500" i="1"/>
  <c r="G3500" i="1"/>
  <c r="F3500" i="1"/>
  <c r="E3500" i="1"/>
  <c r="D3500" i="1"/>
  <c r="C3500" i="1"/>
  <c r="B3500" i="1"/>
  <c r="A3500" i="1"/>
  <c r="S3499" i="1"/>
  <c r="O3499" i="1"/>
  <c r="K3499" i="1"/>
  <c r="J3499" i="1"/>
  <c r="I3499" i="1"/>
  <c r="H3499" i="1"/>
  <c r="G3499" i="1"/>
  <c r="F3499" i="1"/>
  <c r="E3499" i="1"/>
  <c r="D3499" i="1"/>
  <c r="C3499" i="1"/>
  <c r="B3499" i="1"/>
  <c r="A3499" i="1"/>
  <c r="R3498" i="1"/>
  <c r="J3498" i="1"/>
  <c r="I3498" i="1"/>
  <c r="G3498" i="1"/>
  <c r="F3498" i="1"/>
  <c r="E3498" i="1"/>
  <c r="D3498" i="1"/>
  <c r="C3498" i="1"/>
  <c r="B3498" i="1"/>
  <c r="A3498" i="1"/>
  <c r="S3497" i="1"/>
  <c r="O3497" i="1"/>
  <c r="K3497" i="1"/>
  <c r="J3497" i="1"/>
  <c r="I3497" i="1"/>
  <c r="H3497" i="1"/>
  <c r="G3497" i="1"/>
  <c r="F3497" i="1"/>
  <c r="E3497" i="1"/>
  <c r="D3497" i="1"/>
  <c r="C3497" i="1"/>
  <c r="B3497" i="1"/>
  <c r="A3497" i="1"/>
  <c r="R3496" i="1"/>
  <c r="J3496" i="1"/>
  <c r="I3496" i="1"/>
  <c r="G3496" i="1"/>
  <c r="F3496" i="1"/>
  <c r="E3496" i="1"/>
  <c r="D3496" i="1"/>
  <c r="C3496" i="1"/>
  <c r="B3496" i="1"/>
  <c r="A3496" i="1"/>
  <c r="S3495" i="1"/>
  <c r="O3495" i="1"/>
  <c r="K3495" i="1"/>
  <c r="J3495" i="1"/>
  <c r="I3495" i="1"/>
  <c r="H3495" i="1"/>
  <c r="G3495" i="1"/>
  <c r="F3495" i="1"/>
  <c r="E3495" i="1"/>
  <c r="D3495" i="1"/>
  <c r="C3495" i="1"/>
  <c r="B3495" i="1"/>
  <c r="A3495" i="1"/>
  <c r="R3494" i="1"/>
  <c r="J3494" i="1"/>
  <c r="I3494" i="1"/>
  <c r="G3494" i="1"/>
  <c r="F3494" i="1"/>
  <c r="E3494" i="1"/>
  <c r="D3494" i="1"/>
  <c r="C3494" i="1"/>
  <c r="B3494" i="1"/>
  <c r="A3494" i="1"/>
  <c r="S3493" i="1"/>
  <c r="O3493" i="1"/>
  <c r="K3493" i="1"/>
  <c r="J3493" i="1"/>
  <c r="I3493" i="1"/>
  <c r="H3493" i="1"/>
  <c r="G3493" i="1"/>
  <c r="F3493" i="1"/>
  <c r="E3493" i="1"/>
  <c r="D3493" i="1"/>
  <c r="C3493" i="1"/>
  <c r="B3493" i="1"/>
  <c r="A3493" i="1"/>
  <c r="R3492" i="1"/>
  <c r="J3492" i="1"/>
  <c r="I3492" i="1"/>
  <c r="G3492" i="1"/>
  <c r="F3492" i="1"/>
  <c r="E3492" i="1"/>
  <c r="D3492" i="1"/>
  <c r="C3492" i="1"/>
  <c r="B3492" i="1"/>
  <c r="A3492" i="1"/>
  <c r="R3491" i="1"/>
  <c r="J3491" i="1"/>
  <c r="I3491" i="1"/>
  <c r="G3491" i="1"/>
  <c r="F3491" i="1"/>
  <c r="E3491" i="1"/>
  <c r="D3491" i="1"/>
  <c r="C3491" i="1"/>
  <c r="B3491" i="1"/>
  <c r="A3491" i="1"/>
  <c r="R3490" i="1"/>
  <c r="J3490" i="1"/>
  <c r="I3490" i="1"/>
  <c r="G3490" i="1"/>
  <c r="F3490" i="1"/>
  <c r="E3490" i="1"/>
  <c r="D3490" i="1"/>
  <c r="C3490" i="1"/>
  <c r="B3490" i="1"/>
  <c r="A3490" i="1"/>
  <c r="R3489" i="1"/>
  <c r="J3489" i="1"/>
  <c r="I3489" i="1"/>
  <c r="G3489" i="1"/>
  <c r="F3489" i="1"/>
  <c r="E3489" i="1"/>
  <c r="D3489" i="1"/>
  <c r="C3489" i="1"/>
  <c r="B3489" i="1"/>
  <c r="A3489" i="1"/>
  <c r="R3488" i="1"/>
  <c r="J3488" i="1"/>
  <c r="I3488" i="1"/>
  <c r="G3488" i="1"/>
  <c r="F3488" i="1"/>
  <c r="E3488" i="1"/>
  <c r="D3488" i="1"/>
  <c r="C3488" i="1"/>
  <c r="B3488" i="1"/>
  <c r="A3488" i="1"/>
  <c r="R3487" i="1"/>
  <c r="J3487" i="1"/>
  <c r="I3487" i="1"/>
  <c r="G3487" i="1"/>
  <c r="F3487" i="1"/>
  <c r="E3487" i="1"/>
  <c r="D3487" i="1"/>
  <c r="C3487" i="1"/>
  <c r="B3487" i="1"/>
  <c r="A3487" i="1"/>
  <c r="S3486" i="1"/>
  <c r="O3486" i="1"/>
  <c r="K3486" i="1"/>
  <c r="J3486" i="1"/>
  <c r="I3486" i="1"/>
  <c r="H3486" i="1"/>
  <c r="G3486" i="1"/>
  <c r="F3486" i="1"/>
  <c r="E3486" i="1"/>
  <c r="D3486" i="1"/>
  <c r="C3486" i="1"/>
  <c r="B3486" i="1"/>
  <c r="A3486" i="1"/>
  <c r="R3485" i="1"/>
  <c r="J3485" i="1"/>
  <c r="I3485" i="1"/>
  <c r="G3485" i="1"/>
  <c r="F3485" i="1"/>
  <c r="E3485" i="1"/>
  <c r="D3485" i="1"/>
  <c r="C3485" i="1"/>
  <c r="B3485" i="1"/>
  <c r="A3485" i="1"/>
  <c r="S3484" i="1"/>
  <c r="O3484" i="1"/>
  <c r="K3484" i="1"/>
  <c r="J3484" i="1"/>
  <c r="I3484" i="1"/>
  <c r="H3484" i="1"/>
  <c r="G3484" i="1"/>
  <c r="F3484" i="1"/>
  <c r="E3484" i="1"/>
  <c r="D3484" i="1"/>
  <c r="C3484" i="1"/>
  <c r="B3484" i="1"/>
  <c r="A3484" i="1"/>
  <c r="R3483" i="1"/>
  <c r="J3483" i="1"/>
  <c r="I3483" i="1"/>
  <c r="G3483" i="1"/>
  <c r="F3483" i="1"/>
  <c r="E3483" i="1"/>
  <c r="D3483" i="1"/>
  <c r="C3483" i="1"/>
  <c r="B3483" i="1"/>
  <c r="A3483" i="1"/>
  <c r="S3482" i="1"/>
  <c r="O3482" i="1"/>
  <c r="K3482" i="1"/>
  <c r="J3482" i="1"/>
  <c r="I3482" i="1"/>
  <c r="H3482" i="1"/>
  <c r="G3482" i="1"/>
  <c r="F3482" i="1"/>
  <c r="E3482" i="1"/>
  <c r="D3482" i="1"/>
  <c r="C3482" i="1"/>
  <c r="B3482" i="1"/>
  <c r="A3482" i="1"/>
  <c r="R3481" i="1"/>
  <c r="J3481" i="1"/>
  <c r="I3481" i="1"/>
  <c r="G3481" i="1"/>
  <c r="F3481" i="1"/>
  <c r="E3481" i="1"/>
  <c r="D3481" i="1"/>
  <c r="C3481" i="1"/>
  <c r="B3481" i="1"/>
  <c r="A3481" i="1"/>
  <c r="S3480" i="1"/>
  <c r="O3480" i="1"/>
  <c r="K3480" i="1"/>
  <c r="J3480" i="1"/>
  <c r="I3480" i="1"/>
  <c r="H3480" i="1"/>
  <c r="G3480" i="1"/>
  <c r="F3480" i="1"/>
  <c r="E3480" i="1"/>
  <c r="D3480" i="1"/>
  <c r="C3480" i="1"/>
  <c r="B3480" i="1"/>
  <c r="A3480" i="1"/>
  <c r="R3479" i="1"/>
  <c r="J3479" i="1"/>
  <c r="I3479" i="1"/>
  <c r="G3479" i="1"/>
  <c r="F3479" i="1"/>
  <c r="E3479" i="1"/>
  <c r="D3479" i="1"/>
  <c r="C3479" i="1"/>
  <c r="B3479" i="1"/>
  <c r="A3479" i="1"/>
  <c r="R3478" i="1"/>
  <c r="J3478" i="1"/>
  <c r="I3478" i="1"/>
  <c r="G3478" i="1"/>
  <c r="F3478" i="1"/>
  <c r="E3478" i="1"/>
  <c r="D3478" i="1"/>
  <c r="C3478" i="1"/>
  <c r="B3478" i="1"/>
  <c r="A3478" i="1"/>
  <c r="R3477" i="1"/>
  <c r="J3477" i="1"/>
  <c r="I3477" i="1"/>
  <c r="G3477" i="1"/>
  <c r="F3477" i="1"/>
  <c r="E3477" i="1"/>
  <c r="D3477" i="1"/>
  <c r="C3477" i="1"/>
  <c r="B3477" i="1"/>
  <c r="A3477" i="1"/>
  <c r="S3476" i="1"/>
  <c r="O3476" i="1"/>
  <c r="K3476" i="1"/>
  <c r="J3476" i="1"/>
  <c r="I3476" i="1"/>
  <c r="H3476" i="1"/>
  <c r="G3476" i="1"/>
  <c r="F3476" i="1"/>
  <c r="E3476" i="1"/>
  <c r="D3476" i="1"/>
  <c r="C3476" i="1"/>
  <c r="B3476" i="1"/>
  <c r="A3476" i="1"/>
  <c r="R3475" i="1"/>
  <c r="J3475" i="1"/>
  <c r="I3475" i="1"/>
  <c r="G3475" i="1"/>
  <c r="F3475" i="1"/>
  <c r="E3475" i="1"/>
  <c r="D3475" i="1"/>
  <c r="C3475" i="1"/>
  <c r="B3475" i="1"/>
  <c r="A3475" i="1"/>
  <c r="S3474" i="1"/>
  <c r="O3474" i="1"/>
  <c r="K3474" i="1"/>
  <c r="J3474" i="1"/>
  <c r="I3474" i="1"/>
  <c r="H3474" i="1"/>
  <c r="G3474" i="1"/>
  <c r="F3474" i="1"/>
  <c r="E3474" i="1"/>
  <c r="D3474" i="1"/>
  <c r="C3474" i="1"/>
  <c r="B3474" i="1"/>
  <c r="A3474" i="1"/>
  <c r="R3473" i="1"/>
  <c r="J3473" i="1"/>
  <c r="I3473" i="1"/>
  <c r="G3473" i="1"/>
  <c r="F3473" i="1"/>
  <c r="E3473" i="1"/>
  <c r="D3473" i="1"/>
  <c r="C3473" i="1"/>
  <c r="B3473" i="1"/>
  <c r="A3473" i="1"/>
  <c r="S3472" i="1"/>
  <c r="O3472" i="1"/>
  <c r="K3472" i="1"/>
  <c r="J3472" i="1"/>
  <c r="I3472" i="1"/>
  <c r="H3472" i="1"/>
  <c r="G3472" i="1"/>
  <c r="F3472" i="1"/>
  <c r="E3472" i="1"/>
  <c r="D3472" i="1"/>
  <c r="C3472" i="1"/>
  <c r="B3472" i="1"/>
  <c r="A3472" i="1"/>
  <c r="R3471" i="1"/>
  <c r="J3471" i="1"/>
  <c r="I3471" i="1"/>
  <c r="G3471" i="1"/>
  <c r="F3471" i="1"/>
  <c r="E3471" i="1"/>
  <c r="D3471" i="1"/>
  <c r="C3471" i="1"/>
  <c r="B3471" i="1"/>
  <c r="A3471" i="1"/>
  <c r="S3470" i="1"/>
  <c r="O3470" i="1"/>
  <c r="K3470" i="1"/>
  <c r="J3470" i="1"/>
  <c r="I3470" i="1"/>
  <c r="H3470" i="1"/>
  <c r="G3470" i="1"/>
  <c r="F3470" i="1"/>
  <c r="E3470" i="1"/>
  <c r="D3470" i="1"/>
  <c r="C3470" i="1"/>
  <c r="B3470" i="1"/>
  <c r="A3470" i="1"/>
  <c r="R3469" i="1"/>
  <c r="J3469" i="1"/>
  <c r="I3469" i="1"/>
  <c r="G3469" i="1"/>
  <c r="F3469" i="1"/>
  <c r="E3469" i="1"/>
  <c r="D3469" i="1"/>
  <c r="C3469" i="1"/>
  <c r="B3469" i="1"/>
  <c r="A3469" i="1"/>
  <c r="S3468" i="1"/>
  <c r="O3468" i="1"/>
  <c r="K3468" i="1"/>
  <c r="J3468" i="1"/>
  <c r="I3468" i="1"/>
  <c r="H3468" i="1"/>
  <c r="G3468" i="1"/>
  <c r="F3468" i="1"/>
  <c r="E3468" i="1"/>
  <c r="D3468" i="1"/>
  <c r="C3468" i="1"/>
  <c r="B3468" i="1"/>
  <c r="A3468" i="1"/>
  <c r="R3467" i="1"/>
  <c r="J3467" i="1"/>
  <c r="I3467" i="1"/>
  <c r="G3467" i="1"/>
  <c r="F3467" i="1"/>
  <c r="E3467" i="1"/>
  <c r="D3467" i="1"/>
  <c r="C3467" i="1"/>
  <c r="B3467" i="1"/>
  <c r="A3467" i="1"/>
  <c r="S3466" i="1"/>
  <c r="O3466" i="1"/>
  <c r="K3466" i="1"/>
  <c r="J3466" i="1"/>
  <c r="I3466" i="1"/>
  <c r="H3466" i="1"/>
  <c r="G3466" i="1"/>
  <c r="F3466" i="1"/>
  <c r="E3466" i="1"/>
  <c r="D3466" i="1"/>
  <c r="C3466" i="1"/>
  <c r="B3466" i="1"/>
  <c r="A3466" i="1"/>
  <c r="R3465" i="1"/>
  <c r="J3465" i="1"/>
  <c r="I3465" i="1"/>
  <c r="G3465" i="1"/>
  <c r="F3465" i="1"/>
  <c r="E3465" i="1"/>
  <c r="D3465" i="1"/>
  <c r="C3465" i="1"/>
  <c r="B3465" i="1"/>
  <c r="A3465" i="1"/>
  <c r="S3464" i="1"/>
  <c r="O3464" i="1"/>
  <c r="K3464" i="1"/>
  <c r="J3464" i="1"/>
  <c r="I3464" i="1"/>
  <c r="H3464" i="1"/>
  <c r="G3464" i="1"/>
  <c r="F3464" i="1"/>
  <c r="E3464" i="1"/>
  <c r="D3464" i="1"/>
  <c r="C3464" i="1"/>
  <c r="B3464" i="1"/>
  <c r="A3464" i="1"/>
  <c r="R3463" i="1"/>
  <c r="J3463" i="1"/>
  <c r="I3463" i="1"/>
  <c r="G3463" i="1"/>
  <c r="F3463" i="1"/>
  <c r="E3463" i="1"/>
  <c r="D3463" i="1"/>
  <c r="C3463" i="1"/>
  <c r="B3463" i="1"/>
  <c r="A3463" i="1"/>
  <c r="S3462" i="1"/>
  <c r="O3462" i="1"/>
  <c r="K3462" i="1"/>
  <c r="J3462" i="1"/>
  <c r="I3462" i="1"/>
  <c r="H3462" i="1"/>
  <c r="G3462" i="1"/>
  <c r="F3462" i="1"/>
  <c r="E3462" i="1"/>
  <c r="D3462" i="1"/>
  <c r="C3462" i="1"/>
  <c r="B3462" i="1"/>
  <c r="A3462" i="1"/>
  <c r="R3461" i="1"/>
  <c r="J3461" i="1"/>
  <c r="I3461" i="1"/>
  <c r="G3461" i="1"/>
  <c r="F3461" i="1"/>
  <c r="E3461" i="1"/>
  <c r="D3461" i="1"/>
  <c r="C3461" i="1"/>
  <c r="B3461" i="1"/>
  <c r="A3461" i="1"/>
  <c r="S3460" i="1"/>
  <c r="O3460" i="1"/>
  <c r="K3460" i="1"/>
  <c r="J3460" i="1"/>
  <c r="I3460" i="1"/>
  <c r="H3460" i="1"/>
  <c r="G3460" i="1"/>
  <c r="F3460" i="1"/>
  <c r="E3460" i="1"/>
  <c r="D3460" i="1"/>
  <c r="C3460" i="1"/>
  <c r="B3460" i="1"/>
  <c r="A3460" i="1"/>
  <c r="R3459" i="1"/>
  <c r="J3459" i="1"/>
  <c r="I3459" i="1"/>
  <c r="G3459" i="1"/>
  <c r="F3459" i="1"/>
  <c r="E3459" i="1"/>
  <c r="D3459" i="1"/>
  <c r="C3459" i="1"/>
  <c r="B3459" i="1"/>
  <c r="A3459" i="1"/>
  <c r="S3458" i="1"/>
  <c r="O3458" i="1"/>
  <c r="K3458" i="1"/>
  <c r="J3458" i="1"/>
  <c r="I3458" i="1"/>
  <c r="H3458" i="1"/>
  <c r="G3458" i="1"/>
  <c r="F3458" i="1"/>
  <c r="E3458" i="1"/>
  <c r="D3458" i="1"/>
  <c r="C3458" i="1"/>
  <c r="B3458" i="1"/>
  <c r="A3458" i="1"/>
  <c r="R3457" i="1"/>
  <c r="J3457" i="1"/>
  <c r="I3457" i="1"/>
  <c r="G3457" i="1"/>
  <c r="F3457" i="1"/>
  <c r="E3457" i="1"/>
  <c r="D3457" i="1"/>
  <c r="C3457" i="1"/>
  <c r="B3457" i="1"/>
  <c r="A3457" i="1"/>
  <c r="S3456" i="1"/>
  <c r="O3456" i="1"/>
  <c r="K3456" i="1"/>
  <c r="J3456" i="1"/>
  <c r="I3456" i="1"/>
  <c r="H3456" i="1"/>
  <c r="G3456" i="1"/>
  <c r="F3456" i="1"/>
  <c r="E3456" i="1"/>
  <c r="D3456" i="1"/>
  <c r="C3456" i="1"/>
  <c r="B3456" i="1"/>
  <c r="A3456" i="1"/>
  <c r="R3455" i="1"/>
  <c r="J3455" i="1"/>
  <c r="I3455" i="1"/>
  <c r="G3455" i="1"/>
  <c r="F3455" i="1"/>
  <c r="E3455" i="1"/>
  <c r="D3455" i="1"/>
  <c r="C3455" i="1"/>
  <c r="B3455" i="1"/>
  <c r="A3455" i="1"/>
  <c r="S3454" i="1"/>
  <c r="O3454" i="1"/>
  <c r="K3454" i="1"/>
  <c r="J3454" i="1"/>
  <c r="I3454" i="1"/>
  <c r="H3454" i="1"/>
  <c r="G3454" i="1"/>
  <c r="F3454" i="1"/>
  <c r="E3454" i="1"/>
  <c r="D3454" i="1"/>
  <c r="C3454" i="1"/>
  <c r="B3454" i="1"/>
  <c r="A3454" i="1"/>
  <c r="R3453" i="1"/>
  <c r="J3453" i="1"/>
  <c r="I3453" i="1"/>
  <c r="G3453" i="1"/>
  <c r="F3453" i="1"/>
  <c r="E3453" i="1"/>
  <c r="D3453" i="1"/>
  <c r="C3453" i="1"/>
  <c r="B3453" i="1"/>
  <c r="A3453" i="1"/>
  <c r="S3452" i="1"/>
  <c r="O3452" i="1"/>
  <c r="K3452" i="1"/>
  <c r="J3452" i="1"/>
  <c r="I3452" i="1"/>
  <c r="H3452" i="1"/>
  <c r="G3452" i="1"/>
  <c r="F3452" i="1"/>
  <c r="E3452" i="1"/>
  <c r="D3452" i="1"/>
  <c r="C3452" i="1"/>
  <c r="B3452" i="1"/>
  <c r="A3452" i="1"/>
  <c r="R3451" i="1"/>
  <c r="J3451" i="1"/>
  <c r="I3451" i="1"/>
  <c r="G3451" i="1"/>
  <c r="F3451" i="1"/>
  <c r="E3451" i="1"/>
  <c r="D3451" i="1"/>
  <c r="C3451" i="1"/>
  <c r="B3451" i="1"/>
  <c r="A3451" i="1"/>
  <c r="S3450" i="1"/>
  <c r="O3450" i="1"/>
  <c r="K3450" i="1"/>
  <c r="J3450" i="1"/>
  <c r="I3450" i="1"/>
  <c r="H3450" i="1"/>
  <c r="G3450" i="1"/>
  <c r="F3450" i="1"/>
  <c r="E3450" i="1"/>
  <c r="D3450" i="1"/>
  <c r="C3450" i="1"/>
  <c r="B3450" i="1"/>
  <c r="A3450" i="1"/>
  <c r="R3449" i="1"/>
  <c r="J3449" i="1"/>
  <c r="I3449" i="1"/>
  <c r="G3449" i="1"/>
  <c r="F3449" i="1"/>
  <c r="E3449" i="1"/>
  <c r="D3449" i="1"/>
  <c r="C3449" i="1"/>
  <c r="B3449" i="1"/>
  <c r="A3449" i="1"/>
  <c r="S3448" i="1"/>
  <c r="O3448" i="1"/>
  <c r="K3448" i="1"/>
  <c r="J3448" i="1"/>
  <c r="I3448" i="1"/>
  <c r="H3448" i="1"/>
  <c r="G3448" i="1"/>
  <c r="F3448" i="1"/>
  <c r="E3448" i="1"/>
  <c r="D3448" i="1"/>
  <c r="C3448" i="1"/>
  <c r="B3448" i="1"/>
  <c r="A3448" i="1"/>
  <c r="R3447" i="1"/>
  <c r="J3447" i="1"/>
  <c r="I3447" i="1"/>
  <c r="G3447" i="1"/>
  <c r="F3447" i="1"/>
  <c r="E3447" i="1"/>
  <c r="D3447" i="1"/>
  <c r="C3447" i="1"/>
  <c r="B3447" i="1"/>
  <c r="A3447" i="1"/>
  <c r="S3446" i="1"/>
  <c r="O3446" i="1"/>
  <c r="K3446" i="1"/>
  <c r="J3446" i="1"/>
  <c r="I3446" i="1"/>
  <c r="H3446" i="1"/>
  <c r="G3446" i="1"/>
  <c r="F3446" i="1"/>
  <c r="E3446" i="1"/>
  <c r="D3446" i="1"/>
  <c r="C3446" i="1"/>
  <c r="B3446" i="1"/>
  <c r="A3446" i="1"/>
  <c r="R3445" i="1"/>
  <c r="J3445" i="1"/>
  <c r="I3445" i="1"/>
  <c r="G3445" i="1"/>
  <c r="F3445" i="1"/>
  <c r="E3445" i="1"/>
  <c r="D3445" i="1"/>
  <c r="C3445" i="1"/>
  <c r="B3445" i="1"/>
  <c r="A3445" i="1"/>
  <c r="S3444" i="1"/>
  <c r="O3444" i="1"/>
  <c r="K3444" i="1"/>
  <c r="J3444" i="1"/>
  <c r="I3444" i="1"/>
  <c r="H3444" i="1"/>
  <c r="G3444" i="1"/>
  <c r="F3444" i="1"/>
  <c r="E3444" i="1"/>
  <c r="D3444" i="1"/>
  <c r="C3444" i="1"/>
  <c r="B3444" i="1"/>
  <c r="A3444" i="1"/>
  <c r="R3443" i="1"/>
  <c r="J3443" i="1"/>
  <c r="I3443" i="1"/>
  <c r="G3443" i="1"/>
  <c r="F3443" i="1"/>
  <c r="E3443" i="1"/>
  <c r="D3443" i="1"/>
  <c r="C3443" i="1"/>
  <c r="B3443" i="1"/>
  <c r="A3443" i="1"/>
  <c r="S3442" i="1"/>
  <c r="O3442" i="1"/>
  <c r="K3442" i="1"/>
  <c r="J3442" i="1"/>
  <c r="I3442" i="1"/>
  <c r="H3442" i="1"/>
  <c r="G3442" i="1"/>
  <c r="F3442" i="1"/>
  <c r="E3442" i="1"/>
  <c r="D3442" i="1"/>
  <c r="C3442" i="1"/>
  <c r="B3442" i="1"/>
  <c r="A3442" i="1"/>
  <c r="R3441" i="1"/>
  <c r="J3441" i="1"/>
  <c r="I3441" i="1"/>
  <c r="G3441" i="1"/>
  <c r="F3441" i="1"/>
  <c r="E3441" i="1"/>
  <c r="D3441" i="1"/>
  <c r="C3441" i="1"/>
  <c r="B3441" i="1"/>
  <c r="A3441" i="1"/>
  <c r="S3440" i="1"/>
  <c r="O3440" i="1"/>
  <c r="K3440" i="1"/>
  <c r="J3440" i="1"/>
  <c r="I3440" i="1"/>
  <c r="H3440" i="1"/>
  <c r="G3440" i="1"/>
  <c r="F3440" i="1"/>
  <c r="E3440" i="1"/>
  <c r="D3440" i="1"/>
  <c r="C3440" i="1"/>
  <c r="B3440" i="1"/>
  <c r="A3440" i="1"/>
  <c r="R3439" i="1"/>
  <c r="J3439" i="1"/>
  <c r="I3439" i="1"/>
  <c r="G3439" i="1"/>
  <c r="F3439" i="1"/>
  <c r="E3439" i="1"/>
  <c r="D3439" i="1"/>
  <c r="C3439" i="1"/>
  <c r="B3439" i="1"/>
  <c r="A3439" i="1"/>
  <c r="S3438" i="1"/>
  <c r="O3438" i="1"/>
  <c r="K3438" i="1"/>
  <c r="J3438" i="1"/>
  <c r="I3438" i="1"/>
  <c r="H3438" i="1"/>
  <c r="G3438" i="1"/>
  <c r="F3438" i="1"/>
  <c r="E3438" i="1"/>
  <c r="D3438" i="1"/>
  <c r="C3438" i="1"/>
  <c r="B3438" i="1"/>
  <c r="A3438" i="1"/>
  <c r="R3437" i="1"/>
  <c r="J3437" i="1"/>
  <c r="I3437" i="1"/>
  <c r="G3437" i="1"/>
  <c r="F3437" i="1"/>
  <c r="E3437" i="1"/>
  <c r="D3437" i="1"/>
  <c r="C3437" i="1"/>
  <c r="B3437" i="1"/>
  <c r="A3437" i="1"/>
  <c r="S3436" i="1"/>
  <c r="O3436" i="1"/>
  <c r="K3436" i="1"/>
  <c r="J3436" i="1"/>
  <c r="I3436" i="1"/>
  <c r="H3436" i="1"/>
  <c r="G3436" i="1"/>
  <c r="F3436" i="1"/>
  <c r="E3436" i="1"/>
  <c r="D3436" i="1"/>
  <c r="C3436" i="1"/>
  <c r="B3436" i="1"/>
  <c r="A3436" i="1"/>
  <c r="R3435" i="1"/>
  <c r="J3435" i="1"/>
  <c r="I3435" i="1"/>
  <c r="G3435" i="1"/>
  <c r="F3435" i="1"/>
  <c r="E3435" i="1"/>
  <c r="D3435" i="1"/>
  <c r="C3435" i="1"/>
  <c r="B3435" i="1"/>
  <c r="A3435" i="1"/>
  <c r="S3434" i="1"/>
  <c r="O3434" i="1"/>
  <c r="K3434" i="1"/>
  <c r="J3434" i="1"/>
  <c r="I3434" i="1"/>
  <c r="H3434" i="1"/>
  <c r="G3434" i="1"/>
  <c r="F3434" i="1"/>
  <c r="E3434" i="1"/>
  <c r="D3434" i="1"/>
  <c r="C3434" i="1"/>
  <c r="B3434" i="1"/>
  <c r="A3434" i="1"/>
  <c r="R3433" i="1"/>
  <c r="J3433" i="1"/>
  <c r="I3433" i="1"/>
  <c r="G3433" i="1"/>
  <c r="F3433" i="1"/>
  <c r="E3433" i="1"/>
  <c r="D3433" i="1"/>
  <c r="C3433" i="1"/>
  <c r="B3433" i="1"/>
  <c r="A3433" i="1"/>
  <c r="S3432" i="1"/>
  <c r="O3432" i="1"/>
  <c r="K3432" i="1"/>
  <c r="J3432" i="1"/>
  <c r="I3432" i="1"/>
  <c r="H3432" i="1"/>
  <c r="G3432" i="1"/>
  <c r="F3432" i="1"/>
  <c r="E3432" i="1"/>
  <c r="D3432" i="1"/>
  <c r="C3432" i="1"/>
  <c r="B3432" i="1"/>
  <c r="A3432" i="1"/>
  <c r="R3431" i="1"/>
  <c r="J3431" i="1"/>
  <c r="I3431" i="1"/>
  <c r="G3431" i="1"/>
  <c r="F3431" i="1"/>
  <c r="E3431" i="1"/>
  <c r="D3431" i="1"/>
  <c r="C3431" i="1"/>
  <c r="B3431" i="1"/>
  <c r="A3431" i="1"/>
  <c r="S3430" i="1"/>
  <c r="O3430" i="1"/>
  <c r="K3430" i="1"/>
  <c r="J3430" i="1"/>
  <c r="I3430" i="1"/>
  <c r="H3430" i="1"/>
  <c r="G3430" i="1"/>
  <c r="F3430" i="1"/>
  <c r="E3430" i="1"/>
  <c r="D3430" i="1"/>
  <c r="C3430" i="1"/>
  <c r="B3430" i="1"/>
  <c r="A3430" i="1"/>
  <c r="R3429" i="1"/>
  <c r="J3429" i="1"/>
  <c r="I3429" i="1"/>
  <c r="G3429" i="1"/>
  <c r="F3429" i="1"/>
  <c r="E3429" i="1"/>
  <c r="D3429" i="1"/>
  <c r="C3429" i="1"/>
  <c r="B3429" i="1"/>
  <c r="A3429" i="1"/>
  <c r="S3428" i="1"/>
  <c r="O3428" i="1"/>
  <c r="K3428" i="1"/>
  <c r="J3428" i="1"/>
  <c r="I3428" i="1"/>
  <c r="H3428" i="1"/>
  <c r="G3428" i="1"/>
  <c r="F3428" i="1"/>
  <c r="E3428" i="1"/>
  <c r="D3428" i="1"/>
  <c r="C3428" i="1"/>
  <c r="B3428" i="1"/>
  <c r="A3428" i="1"/>
  <c r="R3427" i="1"/>
  <c r="J3427" i="1"/>
  <c r="I3427" i="1"/>
  <c r="G3427" i="1"/>
  <c r="F3427" i="1"/>
  <c r="E3427" i="1"/>
  <c r="D3427" i="1"/>
  <c r="C3427" i="1"/>
  <c r="B3427" i="1"/>
  <c r="A3427" i="1"/>
  <c r="S3426" i="1"/>
  <c r="O3426" i="1"/>
  <c r="K3426" i="1"/>
  <c r="J3426" i="1"/>
  <c r="I3426" i="1"/>
  <c r="H3426" i="1"/>
  <c r="G3426" i="1"/>
  <c r="F3426" i="1"/>
  <c r="E3426" i="1"/>
  <c r="D3426" i="1"/>
  <c r="C3426" i="1"/>
  <c r="B3426" i="1"/>
  <c r="A3426" i="1"/>
  <c r="R3425" i="1"/>
  <c r="J3425" i="1"/>
  <c r="I3425" i="1"/>
  <c r="G3425" i="1"/>
  <c r="F3425" i="1"/>
  <c r="E3425" i="1"/>
  <c r="D3425" i="1"/>
  <c r="C3425" i="1"/>
  <c r="B3425" i="1"/>
  <c r="A3425" i="1"/>
  <c r="S3424" i="1"/>
  <c r="O3424" i="1"/>
  <c r="K3424" i="1"/>
  <c r="J3424" i="1"/>
  <c r="I3424" i="1"/>
  <c r="H3424" i="1"/>
  <c r="G3424" i="1"/>
  <c r="F3424" i="1"/>
  <c r="E3424" i="1"/>
  <c r="D3424" i="1"/>
  <c r="C3424" i="1"/>
  <c r="B3424" i="1"/>
  <c r="A3424" i="1"/>
  <c r="R3423" i="1"/>
  <c r="J3423" i="1"/>
  <c r="I3423" i="1"/>
  <c r="G3423" i="1"/>
  <c r="F3423" i="1"/>
  <c r="E3423" i="1"/>
  <c r="D3423" i="1"/>
  <c r="C3423" i="1"/>
  <c r="B3423" i="1"/>
  <c r="A3423" i="1"/>
  <c r="S3422" i="1"/>
  <c r="O3422" i="1"/>
  <c r="K3422" i="1"/>
  <c r="J3422" i="1"/>
  <c r="I3422" i="1"/>
  <c r="H3422" i="1"/>
  <c r="G3422" i="1"/>
  <c r="F3422" i="1"/>
  <c r="E3422" i="1"/>
  <c r="D3422" i="1"/>
  <c r="C3422" i="1"/>
  <c r="B3422" i="1"/>
  <c r="A3422" i="1"/>
  <c r="R3421" i="1"/>
  <c r="J3421" i="1"/>
  <c r="I3421" i="1"/>
  <c r="G3421" i="1"/>
  <c r="F3421" i="1"/>
  <c r="E3421" i="1"/>
  <c r="D3421" i="1"/>
  <c r="C3421" i="1"/>
  <c r="B3421" i="1"/>
  <c r="A3421" i="1"/>
  <c r="S3420" i="1"/>
  <c r="O3420" i="1"/>
  <c r="K3420" i="1"/>
  <c r="J3420" i="1"/>
  <c r="I3420" i="1"/>
  <c r="H3420" i="1"/>
  <c r="G3420" i="1"/>
  <c r="F3420" i="1"/>
  <c r="E3420" i="1"/>
  <c r="D3420" i="1"/>
  <c r="C3420" i="1"/>
  <c r="B3420" i="1"/>
  <c r="A3420" i="1"/>
  <c r="R3419" i="1"/>
  <c r="J3419" i="1"/>
  <c r="I3419" i="1"/>
  <c r="G3419" i="1"/>
  <c r="F3419" i="1"/>
  <c r="E3419" i="1"/>
  <c r="D3419" i="1"/>
  <c r="C3419" i="1"/>
  <c r="B3419" i="1"/>
  <c r="A3419" i="1"/>
  <c r="S3418" i="1"/>
  <c r="O3418" i="1"/>
  <c r="K3418" i="1"/>
  <c r="J3418" i="1"/>
  <c r="I3418" i="1"/>
  <c r="H3418" i="1"/>
  <c r="G3418" i="1"/>
  <c r="F3418" i="1"/>
  <c r="E3418" i="1"/>
  <c r="D3418" i="1"/>
  <c r="C3418" i="1"/>
  <c r="B3418" i="1"/>
  <c r="A3418" i="1"/>
  <c r="R3417" i="1"/>
  <c r="J3417" i="1"/>
  <c r="I3417" i="1"/>
  <c r="G3417" i="1"/>
  <c r="F3417" i="1"/>
  <c r="E3417" i="1"/>
  <c r="D3417" i="1"/>
  <c r="C3417" i="1"/>
  <c r="B3417" i="1"/>
  <c r="A3417" i="1"/>
  <c r="S3416" i="1"/>
  <c r="O3416" i="1"/>
  <c r="K3416" i="1"/>
  <c r="J3416" i="1"/>
  <c r="I3416" i="1"/>
  <c r="H3416" i="1"/>
  <c r="G3416" i="1"/>
  <c r="F3416" i="1"/>
  <c r="E3416" i="1"/>
  <c r="D3416" i="1"/>
  <c r="C3416" i="1"/>
  <c r="B3416" i="1"/>
  <c r="A3416" i="1"/>
  <c r="R3415" i="1"/>
  <c r="J3415" i="1"/>
  <c r="I3415" i="1"/>
  <c r="G3415" i="1"/>
  <c r="F3415" i="1"/>
  <c r="E3415" i="1"/>
  <c r="D3415" i="1"/>
  <c r="C3415" i="1"/>
  <c r="B3415" i="1"/>
  <c r="A3415" i="1"/>
  <c r="S3414" i="1"/>
  <c r="O3414" i="1"/>
  <c r="K3414" i="1"/>
  <c r="J3414" i="1"/>
  <c r="I3414" i="1"/>
  <c r="H3414" i="1"/>
  <c r="G3414" i="1"/>
  <c r="F3414" i="1"/>
  <c r="E3414" i="1"/>
  <c r="D3414" i="1"/>
  <c r="C3414" i="1"/>
  <c r="B3414" i="1"/>
  <c r="A3414" i="1"/>
  <c r="R3413" i="1"/>
  <c r="J3413" i="1"/>
  <c r="I3413" i="1"/>
  <c r="G3413" i="1"/>
  <c r="F3413" i="1"/>
  <c r="E3413" i="1"/>
  <c r="D3413" i="1"/>
  <c r="C3413" i="1"/>
  <c r="B3413" i="1"/>
  <c r="A3413" i="1"/>
  <c r="S3412" i="1"/>
  <c r="O3412" i="1"/>
  <c r="K3412" i="1"/>
  <c r="J3412" i="1"/>
  <c r="I3412" i="1"/>
  <c r="H3412" i="1"/>
  <c r="G3412" i="1"/>
  <c r="F3412" i="1"/>
  <c r="E3412" i="1"/>
  <c r="D3412" i="1"/>
  <c r="C3412" i="1"/>
  <c r="B3412" i="1"/>
  <c r="A3412" i="1"/>
  <c r="R3411" i="1"/>
  <c r="J3411" i="1"/>
  <c r="I3411" i="1"/>
  <c r="G3411" i="1"/>
  <c r="F3411" i="1"/>
  <c r="E3411" i="1"/>
  <c r="D3411" i="1"/>
  <c r="C3411" i="1"/>
  <c r="B3411" i="1"/>
  <c r="A3411" i="1"/>
  <c r="S3410" i="1"/>
  <c r="O3410" i="1"/>
  <c r="K3410" i="1"/>
  <c r="J3410" i="1"/>
  <c r="I3410" i="1"/>
  <c r="H3410" i="1"/>
  <c r="G3410" i="1"/>
  <c r="F3410" i="1"/>
  <c r="E3410" i="1"/>
  <c r="D3410" i="1"/>
  <c r="C3410" i="1"/>
  <c r="B3410" i="1"/>
  <c r="A3410" i="1"/>
  <c r="R3409" i="1"/>
  <c r="J3409" i="1"/>
  <c r="I3409" i="1"/>
  <c r="G3409" i="1"/>
  <c r="F3409" i="1"/>
  <c r="E3409" i="1"/>
  <c r="D3409" i="1"/>
  <c r="C3409" i="1"/>
  <c r="B3409" i="1"/>
  <c r="A3409" i="1"/>
  <c r="S3408" i="1"/>
  <c r="O3408" i="1"/>
  <c r="K3408" i="1"/>
  <c r="J3408" i="1"/>
  <c r="I3408" i="1"/>
  <c r="H3408" i="1"/>
  <c r="G3408" i="1"/>
  <c r="F3408" i="1"/>
  <c r="E3408" i="1"/>
  <c r="D3408" i="1"/>
  <c r="C3408" i="1"/>
  <c r="B3408" i="1"/>
  <c r="A3408" i="1"/>
  <c r="R3407" i="1"/>
  <c r="J3407" i="1"/>
  <c r="I3407" i="1"/>
  <c r="G3407" i="1"/>
  <c r="F3407" i="1"/>
  <c r="E3407" i="1"/>
  <c r="D3407" i="1"/>
  <c r="C3407" i="1"/>
  <c r="B3407" i="1"/>
  <c r="A3407" i="1"/>
  <c r="S3406" i="1"/>
  <c r="O3406" i="1"/>
  <c r="K3406" i="1"/>
  <c r="J3406" i="1"/>
  <c r="I3406" i="1"/>
  <c r="H3406" i="1"/>
  <c r="G3406" i="1"/>
  <c r="F3406" i="1"/>
  <c r="E3406" i="1"/>
  <c r="D3406" i="1"/>
  <c r="C3406" i="1"/>
  <c r="B3406" i="1"/>
  <c r="A3406" i="1"/>
  <c r="R3405" i="1"/>
  <c r="J3405" i="1"/>
  <c r="I3405" i="1"/>
  <c r="G3405" i="1"/>
  <c r="F3405" i="1"/>
  <c r="E3405" i="1"/>
  <c r="D3405" i="1"/>
  <c r="C3405" i="1"/>
  <c r="B3405" i="1"/>
  <c r="A3405" i="1"/>
  <c r="S3404" i="1"/>
  <c r="O3404" i="1"/>
  <c r="K3404" i="1"/>
  <c r="J3404" i="1"/>
  <c r="I3404" i="1"/>
  <c r="H3404" i="1"/>
  <c r="G3404" i="1"/>
  <c r="F3404" i="1"/>
  <c r="E3404" i="1"/>
  <c r="D3404" i="1"/>
  <c r="C3404" i="1"/>
  <c r="B3404" i="1"/>
  <c r="A3404" i="1"/>
  <c r="R3403" i="1"/>
  <c r="J3403" i="1"/>
  <c r="I3403" i="1"/>
  <c r="G3403" i="1"/>
  <c r="F3403" i="1"/>
  <c r="E3403" i="1"/>
  <c r="D3403" i="1"/>
  <c r="C3403" i="1"/>
  <c r="B3403" i="1"/>
  <c r="A3403" i="1"/>
  <c r="S3402" i="1"/>
  <c r="O3402" i="1"/>
  <c r="K3402" i="1"/>
  <c r="J3402" i="1"/>
  <c r="I3402" i="1"/>
  <c r="H3402" i="1"/>
  <c r="G3402" i="1"/>
  <c r="F3402" i="1"/>
  <c r="E3402" i="1"/>
  <c r="D3402" i="1"/>
  <c r="C3402" i="1"/>
  <c r="B3402" i="1"/>
  <c r="A3402" i="1"/>
  <c r="R3401" i="1"/>
  <c r="J3401" i="1"/>
  <c r="I3401" i="1"/>
  <c r="G3401" i="1"/>
  <c r="F3401" i="1"/>
  <c r="E3401" i="1"/>
  <c r="D3401" i="1"/>
  <c r="C3401" i="1"/>
  <c r="B3401" i="1"/>
  <c r="A3401" i="1"/>
  <c r="S3400" i="1"/>
  <c r="O3400" i="1"/>
  <c r="K3400" i="1"/>
  <c r="J3400" i="1"/>
  <c r="I3400" i="1"/>
  <c r="H3400" i="1"/>
  <c r="G3400" i="1"/>
  <c r="F3400" i="1"/>
  <c r="E3400" i="1"/>
  <c r="D3400" i="1"/>
  <c r="C3400" i="1"/>
  <c r="B3400" i="1"/>
  <c r="A3400" i="1"/>
  <c r="R3399" i="1"/>
  <c r="J3399" i="1"/>
  <c r="I3399" i="1"/>
  <c r="G3399" i="1"/>
  <c r="F3399" i="1"/>
  <c r="E3399" i="1"/>
  <c r="D3399" i="1"/>
  <c r="C3399" i="1"/>
  <c r="B3399" i="1"/>
  <c r="A3399" i="1"/>
  <c r="S3398" i="1"/>
  <c r="O3398" i="1"/>
  <c r="K3398" i="1"/>
  <c r="J3398" i="1"/>
  <c r="I3398" i="1"/>
  <c r="H3398" i="1"/>
  <c r="G3398" i="1"/>
  <c r="F3398" i="1"/>
  <c r="E3398" i="1"/>
  <c r="D3398" i="1"/>
  <c r="C3398" i="1"/>
  <c r="B3398" i="1"/>
  <c r="A3398" i="1"/>
  <c r="R3397" i="1"/>
  <c r="J3397" i="1"/>
  <c r="I3397" i="1"/>
  <c r="G3397" i="1"/>
  <c r="F3397" i="1"/>
  <c r="E3397" i="1"/>
  <c r="D3397" i="1"/>
  <c r="C3397" i="1"/>
  <c r="B3397" i="1"/>
  <c r="A3397" i="1"/>
  <c r="S3396" i="1"/>
  <c r="O3396" i="1"/>
  <c r="K3396" i="1"/>
  <c r="J3396" i="1"/>
  <c r="I3396" i="1"/>
  <c r="H3396" i="1"/>
  <c r="G3396" i="1"/>
  <c r="F3396" i="1"/>
  <c r="E3396" i="1"/>
  <c r="D3396" i="1"/>
  <c r="C3396" i="1"/>
  <c r="B3396" i="1"/>
  <c r="A3396" i="1"/>
  <c r="R3395" i="1"/>
  <c r="J3395" i="1"/>
  <c r="I3395" i="1"/>
  <c r="G3395" i="1"/>
  <c r="F3395" i="1"/>
  <c r="E3395" i="1"/>
  <c r="D3395" i="1"/>
  <c r="C3395" i="1"/>
  <c r="B3395" i="1"/>
  <c r="A3395" i="1"/>
  <c r="S3394" i="1"/>
  <c r="O3394" i="1"/>
  <c r="K3394" i="1"/>
  <c r="J3394" i="1"/>
  <c r="I3394" i="1"/>
  <c r="H3394" i="1"/>
  <c r="G3394" i="1"/>
  <c r="F3394" i="1"/>
  <c r="E3394" i="1"/>
  <c r="D3394" i="1"/>
  <c r="C3394" i="1"/>
  <c r="B3394" i="1"/>
  <c r="A3394" i="1"/>
  <c r="R3393" i="1"/>
  <c r="J3393" i="1"/>
  <c r="I3393" i="1"/>
  <c r="G3393" i="1"/>
  <c r="F3393" i="1"/>
  <c r="E3393" i="1"/>
  <c r="D3393" i="1"/>
  <c r="C3393" i="1"/>
  <c r="B3393" i="1"/>
  <c r="A3393" i="1"/>
  <c r="S3392" i="1"/>
  <c r="O3392" i="1"/>
  <c r="K3392" i="1"/>
  <c r="J3392" i="1"/>
  <c r="I3392" i="1"/>
  <c r="H3392" i="1"/>
  <c r="G3392" i="1"/>
  <c r="F3392" i="1"/>
  <c r="E3392" i="1"/>
  <c r="D3392" i="1"/>
  <c r="C3392" i="1"/>
  <c r="B3392" i="1"/>
  <c r="A3392" i="1"/>
  <c r="R3391" i="1"/>
  <c r="J3391" i="1"/>
  <c r="I3391" i="1"/>
  <c r="G3391" i="1"/>
  <c r="F3391" i="1"/>
  <c r="E3391" i="1"/>
  <c r="D3391" i="1"/>
  <c r="C3391" i="1"/>
  <c r="B3391" i="1"/>
  <c r="A3391" i="1"/>
  <c r="S3390" i="1"/>
  <c r="O3390" i="1"/>
  <c r="K3390" i="1"/>
  <c r="J3390" i="1"/>
  <c r="I3390" i="1"/>
  <c r="H3390" i="1"/>
  <c r="G3390" i="1"/>
  <c r="F3390" i="1"/>
  <c r="E3390" i="1"/>
  <c r="D3390" i="1"/>
  <c r="C3390" i="1"/>
  <c r="B3390" i="1"/>
  <c r="A3390" i="1"/>
  <c r="R3389" i="1"/>
  <c r="J3389" i="1"/>
  <c r="I3389" i="1"/>
  <c r="G3389" i="1"/>
  <c r="F3389" i="1"/>
  <c r="E3389" i="1"/>
  <c r="D3389" i="1"/>
  <c r="C3389" i="1"/>
  <c r="B3389" i="1"/>
  <c r="A3389" i="1"/>
  <c r="S3388" i="1"/>
  <c r="O3388" i="1"/>
  <c r="K3388" i="1"/>
  <c r="J3388" i="1"/>
  <c r="I3388" i="1"/>
  <c r="H3388" i="1"/>
  <c r="G3388" i="1"/>
  <c r="F3388" i="1"/>
  <c r="E3388" i="1"/>
  <c r="D3388" i="1"/>
  <c r="C3388" i="1"/>
  <c r="B3388" i="1"/>
  <c r="A3388" i="1"/>
  <c r="R3387" i="1"/>
  <c r="J3387" i="1"/>
  <c r="I3387" i="1"/>
  <c r="G3387" i="1"/>
  <c r="F3387" i="1"/>
  <c r="E3387" i="1"/>
  <c r="D3387" i="1"/>
  <c r="C3387" i="1"/>
  <c r="B3387" i="1"/>
  <c r="A3387" i="1"/>
  <c r="S3386" i="1"/>
  <c r="O3386" i="1"/>
  <c r="K3386" i="1"/>
  <c r="J3386" i="1"/>
  <c r="I3386" i="1"/>
  <c r="H3386" i="1"/>
  <c r="G3386" i="1"/>
  <c r="F3386" i="1"/>
  <c r="E3386" i="1"/>
  <c r="D3386" i="1"/>
  <c r="C3386" i="1"/>
  <c r="B3386" i="1"/>
  <c r="A3386" i="1"/>
  <c r="R3385" i="1"/>
  <c r="J3385" i="1"/>
  <c r="I3385" i="1"/>
  <c r="G3385" i="1"/>
  <c r="F3385" i="1"/>
  <c r="E3385" i="1"/>
  <c r="D3385" i="1"/>
  <c r="C3385" i="1"/>
  <c r="B3385" i="1"/>
  <c r="A3385" i="1"/>
  <c r="S3384" i="1"/>
  <c r="O3384" i="1"/>
  <c r="K3384" i="1"/>
  <c r="J3384" i="1"/>
  <c r="I3384" i="1"/>
  <c r="H3384" i="1"/>
  <c r="G3384" i="1"/>
  <c r="F3384" i="1"/>
  <c r="E3384" i="1"/>
  <c r="D3384" i="1"/>
  <c r="C3384" i="1"/>
  <c r="B3384" i="1"/>
  <c r="A3384" i="1"/>
  <c r="R3383" i="1"/>
  <c r="J3383" i="1"/>
  <c r="I3383" i="1"/>
  <c r="G3383" i="1"/>
  <c r="F3383" i="1"/>
  <c r="E3383" i="1"/>
  <c r="D3383" i="1"/>
  <c r="C3383" i="1"/>
  <c r="B3383" i="1"/>
  <c r="A3383" i="1"/>
  <c r="S3382" i="1"/>
  <c r="O3382" i="1"/>
  <c r="K3382" i="1"/>
  <c r="J3382" i="1"/>
  <c r="I3382" i="1"/>
  <c r="H3382" i="1"/>
  <c r="G3382" i="1"/>
  <c r="F3382" i="1"/>
  <c r="E3382" i="1"/>
  <c r="D3382" i="1"/>
  <c r="C3382" i="1"/>
  <c r="B3382" i="1"/>
  <c r="A3382" i="1"/>
  <c r="R3381" i="1"/>
  <c r="J3381" i="1"/>
  <c r="I3381" i="1"/>
  <c r="G3381" i="1"/>
  <c r="F3381" i="1"/>
  <c r="E3381" i="1"/>
  <c r="D3381" i="1"/>
  <c r="C3381" i="1"/>
  <c r="B3381" i="1"/>
  <c r="A3381" i="1"/>
  <c r="S3380" i="1"/>
  <c r="O3380" i="1"/>
  <c r="K3380" i="1"/>
  <c r="J3380" i="1"/>
  <c r="I3380" i="1"/>
  <c r="H3380" i="1"/>
  <c r="G3380" i="1"/>
  <c r="F3380" i="1"/>
  <c r="E3380" i="1"/>
  <c r="D3380" i="1"/>
  <c r="C3380" i="1"/>
  <c r="B3380" i="1"/>
  <c r="A3380" i="1"/>
  <c r="R3379" i="1"/>
  <c r="J3379" i="1"/>
  <c r="I3379" i="1"/>
  <c r="G3379" i="1"/>
  <c r="F3379" i="1"/>
  <c r="E3379" i="1"/>
  <c r="D3379" i="1"/>
  <c r="C3379" i="1"/>
  <c r="B3379" i="1"/>
  <c r="A3379" i="1"/>
  <c r="S3378" i="1"/>
  <c r="O3378" i="1"/>
  <c r="K3378" i="1"/>
  <c r="J3378" i="1"/>
  <c r="I3378" i="1"/>
  <c r="H3378" i="1"/>
  <c r="G3378" i="1"/>
  <c r="F3378" i="1"/>
  <c r="E3378" i="1"/>
  <c r="D3378" i="1"/>
  <c r="C3378" i="1"/>
  <c r="B3378" i="1"/>
  <c r="A3378" i="1"/>
  <c r="R3377" i="1"/>
  <c r="J3377" i="1"/>
  <c r="I3377" i="1"/>
  <c r="G3377" i="1"/>
  <c r="F3377" i="1"/>
  <c r="E3377" i="1"/>
  <c r="D3377" i="1"/>
  <c r="C3377" i="1"/>
  <c r="B3377" i="1"/>
  <c r="A3377" i="1"/>
  <c r="S3376" i="1"/>
  <c r="O3376" i="1"/>
  <c r="K3376" i="1"/>
  <c r="J3376" i="1"/>
  <c r="I3376" i="1"/>
  <c r="H3376" i="1"/>
  <c r="G3376" i="1"/>
  <c r="F3376" i="1"/>
  <c r="E3376" i="1"/>
  <c r="D3376" i="1"/>
  <c r="C3376" i="1"/>
  <c r="B3376" i="1"/>
  <c r="A3376" i="1"/>
  <c r="R3375" i="1"/>
  <c r="J3375" i="1"/>
  <c r="I3375" i="1"/>
  <c r="G3375" i="1"/>
  <c r="F3375" i="1"/>
  <c r="E3375" i="1"/>
  <c r="D3375" i="1"/>
  <c r="C3375" i="1"/>
  <c r="B3375" i="1"/>
  <c r="A3375" i="1"/>
  <c r="S3374" i="1"/>
  <c r="O3374" i="1"/>
  <c r="K3374" i="1"/>
  <c r="J3374" i="1"/>
  <c r="I3374" i="1"/>
  <c r="H3374" i="1"/>
  <c r="G3374" i="1"/>
  <c r="F3374" i="1"/>
  <c r="E3374" i="1"/>
  <c r="D3374" i="1"/>
  <c r="C3374" i="1"/>
  <c r="B3374" i="1"/>
  <c r="A3374" i="1"/>
  <c r="R3373" i="1"/>
  <c r="J3373" i="1"/>
  <c r="I3373" i="1"/>
  <c r="G3373" i="1"/>
  <c r="F3373" i="1"/>
  <c r="E3373" i="1"/>
  <c r="D3373" i="1"/>
  <c r="C3373" i="1"/>
  <c r="B3373" i="1"/>
  <c r="A3373" i="1"/>
  <c r="S3372" i="1"/>
  <c r="O3372" i="1"/>
  <c r="K3372" i="1"/>
  <c r="J3372" i="1"/>
  <c r="I3372" i="1"/>
  <c r="H3372" i="1"/>
  <c r="G3372" i="1"/>
  <c r="F3372" i="1"/>
  <c r="E3372" i="1"/>
  <c r="D3372" i="1"/>
  <c r="C3372" i="1"/>
  <c r="B3372" i="1"/>
  <c r="A3372" i="1"/>
  <c r="R3371" i="1"/>
  <c r="J3371" i="1"/>
  <c r="I3371" i="1"/>
  <c r="G3371" i="1"/>
  <c r="F3371" i="1"/>
  <c r="E3371" i="1"/>
  <c r="D3371" i="1"/>
  <c r="C3371" i="1"/>
  <c r="B3371" i="1"/>
  <c r="A3371" i="1"/>
  <c r="S3370" i="1"/>
  <c r="O3370" i="1"/>
  <c r="K3370" i="1"/>
  <c r="J3370" i="1"/>
  <c r="I3370" i="1"/>
  <c r="H3370" i="1"/>
  <c r="G3370" i="1"/>
  <c r="F3370" i="1"/>
  <c r="E3370" i="1"/>
  <c r="D3370" i="1"/>
  <c r="C3370" i="1"/>
  <c r="B3370" i="1"/>
  <c r="A3370" i="1"/>
  <c r="R3369" i="1"/>
  <c r="J3369" i="1"/>
  <c r="I3369" i="1"/>
  <c r="G3369" i="1"/>
  <c r="F3369" i="1"/>
  <c r="E3369" i="1"/>
  <c r="D3369" i="1"/>
  <c r="C3369" i="1"/>
  <c r="B3369" i="1"/>
  <c r="A3369" i="1"/>
  <c r="S3368" i="1"/>
  <c r="O3368" i="1"/>
  <c r="K3368" i="1"/>
  <c r="J3368" i="1"/>
  <c r="I3368" i="1"/>
  <c r="H3368" i="1"/>
  <c r="G3368" i="1"/>
  <c r="F3368" i="1"/>
  <c r="E3368" i="1"/>
  <c r="D3368" i="1"/>
  <c r="C3368" i="1"/>
  <c r="B3368" i="1"/>
  <c r="A3368" i="1"/>
  <c r="R3367" i="1"/>
  <c r="J3367" i="1"/>
  <c r="I3367" i="1"/>
  <c r="G3367" i="1"/>
  <c r="F3367" i="1"/>
  <c r="E3367" i="1"/>
  <c r="D3367" i="1"/>
  <c r="C3367" i="1"/>
  <c r="B3367" i="1"/>
  <c r="A3367" i="1"/>
  <c r="S3366" i="1"/>
  <c r="O3366" i="1"/>
  <c r="K3366" i="1"/>
  <c r="J3366" i="1"/>
  <c r="I3366" i="1"/>
  <c r="H3366" i="1"/>
  <c r="G3366" i="1"/>
  <c r="F3366" i="1"/>
  <c r="E3366" i="1"/>
  <c r="D3366" i="1"/>
  <c r="C3366" i="1"/>
  <c r="B3366" i="1"/>
  <c r="A3366" i="1"/>
  <c r="R3365" i="1"/>
  <c r="J3365" i="1"/>
  <c r="I3365" i="1"/>
  <c r="G3365" i="1"/>
  <c r="F3365" i="1"/>
  <c r="E3365" i="1"/>
  <c r="D3365" i="1"/>
  <c r="C3365" i="1"/>
  <c r="B3365" i="1"/>
  <c r="A3365" i="1"/>
  <c r="S3364" i="1"/>
  <c r="O3364" i="1"/>
  <c r="K3364" i="1"/>
  <c r="J3364" i="1"/>
  <c r="I3364" i="1"/>
  <c r="H3364" i="1"/>
  <c r="G3364" i="1"/>
  <c r="F3364" i="1"/>
  <c r="E3364" i="1"/>
  <c r="D3364" i="1"/>
  <c r="C3364" i="1"/>
  <c r="B3364" i="1"/>
  <c r="A3364" i="1"/>
  <c r="R3363" i="1"/>
  <c r="J3363" i="1"/>
  <c r="I3363" i="1"/>
  <c r="G3363" i="1"/>
  <c r="F3363" i="1"/>
  <c r="E3363" i="1"/>
  <c r="D3363" i="1"/>
  <c r="C3363" i="1"/>
  <c r="B3363" i="1"/>
  <c r="A3363" i="1"/>
  <c r="S3362" i="1"/>
  <c r="O3362" i="1"/>
  <c r="K3362" i="1"/>
  <c r="J3362" i="1"/>
  <c r="I3362" i="1"/>
  <c r="H3362" i="1"/>
  <c r="G3362" i="1"/>
  <c r="F3362" i="1"/>
  <c r="E3362" i="1"/>
  <c r="D3362" i="1"/>
  <c r="C3362" i="1"/>
  <c r="B3362" i="1"/>
  <c r="A3362" i="1"/>
  <c r="R3361" i="1"/>
  <c r="J3361" i="1"/>
  <c r="I3361" i="1"/>
  <c r="G3361" i="1"/>
  <c r="F3361" i="1"/>
  <c r="E3361" i="1"/>
  <c r="D3361" i="1"/>
  <c r="C3361" i="1"/>
  <c r="B3361" i="1"/>
  <c r="A3361" i="1"/>
  <c r="S3360" i="1"/>
  <c r="O3360" i="1"/>
  <c r="K3360" i="1"/>
  <c r="J3360" i="1"/>
  <c r="I3360" i="1"/>
  <c r="H3360" i="1"/>
  <c r="G3360" i="1"/>
  <c r="F3360" i="1"/>
  <c r="E3360" i="1"/>
  <c r="D3360" i="1"/>
  <c r="C3360" i="1"/>
  <c r="B3360" i="1"/>
  <c r="A3360" i="1"/>
  <c r="R3359" i="1"/>
  <c r="J3359" i="1"/>
  <c r="I3359" i="1"/>
  <c r="G3359" i="1"/>
  <c r="F3359" i="1"/>
  <c r="E3359" i="1"/>
  <c r="D3359" i="1"/>
  <c r="C3359" i="1"/>
  <c r="B3359" i="1"/>
  <c r="A3359" i="1"/>
  <c r="S3358" i="1"/>
  <c r="O3358" i="1"/>
  <c r="K3358" i="1"/>
  <c r="J3358" i="1"/>
  <c r="I3358" i="1"/>
  <c r="H3358" i="1"/>
  <c r="G3358" i="1"/>
  <c r="F3358" i="1"/>
  <c r="E3358" i="1"/>
  <c r="D3358" i="1"/>
  <c r="C3358" i="1"/>
  <c r="B3358" i="1"/>
  <c r="A3358" i="1"/>
  <c r="R3357" i="1"/>
  <c r="J3357" i="1"/>
  <c r="I3357" i="1"/>
  <c r="G3357" i="1"/>
  <c r="F3357" i="1"/>
  <c r="E3357" i="1"/>
  <c r="D3357" i="1"/>
  <c r="C3357" i="1"/>
  <c r="B3357" i="1"/>
  <c r="A3357" i="1"/>
  <c r="S3356" i="1"/>
  <c r="O3356" i="1"/>
  <c r="K3356" i="1"/>
  <c r="J3356" i="1"/>
  <c r="I3356" i="1"/>
  <c r="H3356" i="1"/>
  <c r="G3356" i="1"/>
  <c r="F3356" i="1"/>
  <c r="E3356" i="1"/>
  <c r="D3356" i="1"/>
  <c r="C3356" i="1"/>
  <c r="B3356" i="1"/>
  <c r="A3356" i="1"/>
  <c r="R3355" i="1"/>
  <c r="J3355" i="1"/>
  <c r="I3355" i="1"/>
  <c r="G3355" i="1"/>
  <c r="F3355" i="1"/>
  <c r="E3355" i="1"/>
  <c r="D3355" i="1"/>
  <c r="C3355" i="1"/>
  <c r="B3355" i="1"/>
  <c r="A3355" i="1"/>
  <c r="S3354" i="1"/>
  <c r="O3354" i="1"/>
  <c r="K3354" i="1"/>
  <c r="J3354" i="1"/>
  <c r="I3354" i="1"/>
  <c r="H3354" i="1"/>
  <c r="G3354" i="1"/>
  <c r="F3354" i="1"/>
  <c r="E3354" i="1"/>
  <c r="D3354" i="1"/>
  <c r="C3354" i="1"/>
  <c r="B3354" i="1"/>
  <c r="A3354" i="1"/>
  <c r="R3353" i="1"/>
  <c r="J3353" i="1"/>
  <c r="I3353" i="1"/>
  <c r="G3353" i="1"/>
  <c r="F3353" i="1"/>
  <c r="E3353" i="1"/>
  <c r="D3353" i="1"/>
  <c r="C3353" i="1"/>
  <c r="B3353" i="1"/>
  <c r="A3353" i="1"/>
  <c r="S3352" i="1"/>
  <c r="O3352" i="1"/>
  <c r="K3352" i="1"/>
  <c r="J3352" i="1"/>
  <c r="I3352" i="1"/>
  <c r="H3352" i="1"/>
  <c r="G3352" i="1"/>
  <c r="F3352" i="1"/>
  <c r="E3352" i="1"/>
  <c r="D3352" i="1"/>
  <c r="C3352" i="1"/>
  <c r="B3352" i="1"/>
  <c r="A3352" i="1"/>
  <c r="R3351" i="1"/>
  <c r="J3351" i="1"/>
  <c r="I3351" i="1"/>
  <c r="G3351" i="1"/>
  <c r="F3351" i="1"/>
  <c r="E3351" i="1"/>
  <c r="D3351" i="1"/>
  <c r="C3351" i="1"/>
  <c r="B3351" i="1"/>
  <c r="A3351" i="1"/>
  <c r="S3350" i="1"/>
  <c r="O3350" i="1"/>
  <c r="K3350" i="1"/>
  <c r="J3350" i="1"/>
  <c r="I3350" i="1"/>
  <c r="H3350" i="1"/>
  <c r="G3350" i="1"/>
  <c r="F3350" i="1"/>
  <c r="E3350" i="1"/>
  <c r="D3350" i="1"/>
  <c r="C3350" i="1"/>
  <c r="B3350" i="1"/>
  <c r="A3350" i="1"/>
  <c r="R3349" i="1"/>
  <c r="J3349" i="1"/>
  <c r="I3349" i="1"/>
  <c r="G3349" i="1"/>
  <c r="F3349" i="1"/>
  <c r="E3349" i="1"/>
  <c r="D3349" i="1"/>
  <c r="C3349" i="1"/>
  <c r="B3349" i="1"/>
  <c r="A3349" i="1"/>
  <c r="S3348" i="1"/>
  <c r="O3348" i="1"/>
  <c r="K3348" i="1"/>
  <c r="J3348" i="1"/>
  <c r="I3348" i="1"/>
  <c r="H3348" i="1"/>
  <c r="G3348" i="1"/>
  <c r="F3348" i="1"/>
  <c r="E3348" i="1"/>
  <c r="D3348" i="1"/>
  <c r="C3348" i="1"/>
  <c r="B3348" i="1"/>
  <c r="A3348" i="1"/>
  <c r="R3347" i="1"/>
  <c r="J3347" i="1"/>
  <c r="I3347" i="1"/>
  <c r="G3347" i="1"/>
  <c r="F3347" i="1"/>
  <c r="E3347" i="1"/>
  <c r="D3347" i="1"/>
  <c r="C3347" i="1"/>
  <c r="B3347" i="1"/>
  <c r="A3347" i="1"/>
  <c r="S3346" i="1"/>
  <c r="O3346" i="1"/>
  <c r="K3346" i="1"/>
  <c r="J3346" i="1"/>
  <c r="I3346" i="1"/>
  <c r="H3346" i="1"/>
  <c r="G3346" i="1"/>
  <c r="F3346" i="1"/>
  <c r="E3346" i="1"/>
  <c r="D3346" i="1"/>
  <c r="C3346" i="1"/>
  <c r="B3346" i="1"/>
  <c r="A3346" i="1"/>
  <c r="R3345" i="1"/>
  <c r="J3345" i="1"/>
  <c r="I3345" i="1"/>
  <c r="G3345" i="1"/>
  <c r="F3345" i="1"/>
  <c r="E3345" i="1"/>
  <c r="D3345" i="1"/>
  <c r="C3345" i="1"/>
  <c r="B3345" i="1"/>
  <c r="A3345" i="1"/>
  <c r="S3344" i="1"/>
  <c r="O3344" i="1"/>
  <c r="K3344" i="1"/>
  <c r="J3344" i="1"/>
  <c r="I3344" i="1"/>
  <c r="H3344" i="1"/>
  <c r="G3344" i="1"/>
  <c r="F3344" i="1"/>
  <c r="E3344" i="1"/>
  <c r="D3344" i="1"/>
  <c r="C3344" i="1"/>
  <c r="B3344" i="1"/>
  <c r="A3344" i="1"/>
  <c r="R3343" i="1"/>
  <c r="J3343" i="1"/>
  <c r="I3343" i="1"/>
  <c r="G3343" i="1"/>
  <c r="F3343" i="1"/>
  <c r="E3343" i="1"/>
  <c r="D3343" i="1"/>
  <c r="C3343" i="1"/>
  <c r="B3343" i="1"/>
  <c r="A3343" i="1"/>
  <c r="S3342" i="1"/>
  <c r="O3342" i="1"/>
  <c r="K3342" i="1"/>
  <c r="J3342" i="1"/>
  <c r="I3342" i="1"/>
  <c r="H3342" i="1"/>
  <c r="G3342" i="1"/>
  <c r="F3342" i="1"/>
  <c r="E3342" i="1"/>
  <c r="D3342" i="1"/>
  <c r="C3342" i="1"/>
  <c r="B3342" i="1"/>
  <c r="A3342" i="1"/>
  <c r="R3341" i="1"/>
  <c r="J3341" i="1"/>
  <c r="I3341" i="1"/>
  <c r="G3341" i="1"/>
  <c r="F3341" i="1"/>
  <c r="E3341" i="1"/>
  <c r="D3341" i="1"/>
  <c r="C3341" i="1"/>
  <c r="B3341" i="1"/>
  <c r="A3341" i="1"/>
  <c r="S3340" i="1"/>
  <c r="O3340" i="1"/>
  <c r="K3340" i="1"/>
  <c r="J3340" i="1"/>
  <c r="I3340" i="1"/>
  <c r="H3340" i="1"/>
  <c r="G3340" i="1"/>
  <c r="F3340" i="1"/>
  <c r="E3340" i="1"/>
  <c r="D3340" i="1"/>
  <c r="C3340" i="1"/>
  <c r="B3340" i="1"/>
  <c r="A3340" i="1"/>
  <c r="R3339" i="1"/>
  <c r="J3339" i="1"/>
  <c r="I3339" i="1"/>
  <c r="G3339" i="1"/>
  <c r="F3339" i="1"/>
  <c r="E3339" i="1"/>
  <c r="D3339" i="1"/>
  <c r="C3339" i="1"/>
  <c r="B3339" i="1"/>
  <c r="A3339" i="1"/>
  <c r="S3338" i="1"/>
  <c r="O3338" i="1"/>
  <c r="K3338" i="1"/>
  <c r="J3338" i="1"/>
  <c r="I3338" i="1"/>
  <c r="H3338" i="1"/>
  <c r="G3338" i="1"/>
  <c r="F3338" i="1"/>
  <c r="E3338" i="1"/>
  <c r="D3338" i="1"/>
  <c r="C3338" i="1"/>
  <c r="B3338" i="1"/>
  <c r="A3338" i="1"/>
  <c r="R3337" i="1"/>
  <c r="J3337" i="1"/>
  <c r="I3337" i="1"/>
  <c r="G3337" i="1"/>
  <c r="F3337" i="1"/>
  <c r="E3337" i="1"/>
  <c r="D3337" i="1"/>
  <c r="C3337" i="1"/>
  <c r="B3337" i="1"/>
  <c r="A3337" i="1"/>
  <c r="S3336" i="1"/>
  <c r="O3336" i="1"/>
  <c r="K3336" i="1"/>
  <c r="J3336" i="1"/>
  <c r="I3336" i="1"/>
  <c r="H3336" i="1"/>
  <c r="G3336" i="1"/>
  <c r="F3336" i="1"/>
  <c r="E3336" i="1"/>
  <c r="D3336" i="1"/>
  <c r="C3336" i="1"/>
  <c r="B3336" i="1"/>
  <c r="A3336" i="1"/>
  <c r="R3335" i="1"/>
  <c r="J3335" i="1"/>
  <c r="I3335" i="1"/>
  <c r="G3335" i="1"/>
  <c r="F3335" i="1"/>
  <c r="E3335" i="1"/>
  <c r="D3335" i="1"/>
  <c r="C3335" i="1"/>
  <c r="B3335" i="1"/>
  <c r="A3335" i="1"/>
  <c r="S3334" i="1"/>
  <c r="O3334" i="1"/>
  <c r="K3334" i="1"/>
  <c r="J3334" i="1"/>
  <c r="I3334" i="1"/>
  <c r="H3334" i="1"/>
  <c r="G3334" i="1"/>
  <c r="F3334" i="1"/>
  <c r="E3334" i="1"/>
  <c r="D3334" i="1"/>
  <c r="C3334" i="1"/>
  <c r="B3334" i="1"/>
  <c r="A3334" i="1"/>
  <c r="R3333" i="1"/>
  <c r="J3333" i="1"/>
  <c r="I3333" i="1"/>
  <c r="G3333" i="1"/>
  <c r="F3333" i="1"/>
  <c r="E3333" i="1"/>
  <c r="D3333" i="1"/>
  <c r="C3333" i="1"/>
  <c r="B3333" i="1"/>
  <c r="A3333" i="1"/>
  <c r="S3332" i="1"/>
  <c r="O3332" i="1"/>
  <c r="K3332" i="1"/>
  <c r="J3332" i="1"/>
  <c r="I3332" i="1"/>
  <c r="H3332" i="1"/>
  <c r="G3332" i="1"/>
  <c r="F3332" i="1"/>
  <c r="E3332" i="1"/>
  <c r="D3332" i="1"/>
  <c r="C3332" i="1"/>
  <c r="B3332" i="1"/>
  <c r="A3332" i="1"/>
  <c r="R3331" i="1"/>
  <c r="J3331" i="1"/>
  <c r="I3331" i="1"/>
  <c r="G3331" i="1"/>
  <c r="F3331" i="1"/>
  <c r="E3331" i="1"/>
  <c r="D3331" i="1"/>
  <c r="C3331" i="1"/>
  <c r="B3331" i="1"/>
  <c r="A3331" i="1"/>
  <c r="S3330" i="1"/>
  <c r="O3330" i="1"/>
  <c r="K3330" i="1"/>
  <c r="J3330" i="1"/>
  <c r="I3330" i="1"/>
  <c r="H3330" i="1"/>
  <c r="G3330" i="1"/>
  <c r="F3330" i="1"/>
  <c r="E3330" i="1"/>
  <c r="D3330" i="1"/>
  <c r="C3330" i="1"/>
  <c r="B3330" i="1"/>
  <c r="A3330" i="1"/>
  <c r="R3329" i="1"/>
  <c r="J3329" i="1"/>
  <c r="I3329" i="1"/>
  <c r="G3329" i="1"/>
  <c r="F3329" i="1"/>
  <c r="E3329" i="1"/>
  <c r="D3329" i="1"/>
  <c r="C3329" i="1"/>
  <c r="B3329" i="1"/>
  <c r="A3329" i="1"/>
  <c r="S3328" i="1"/>
  <c r="O3328" i="1"/>
  <c r="K3328" i="1"/>
  <c r="J3328" i="1"/>
  <c r="I3328" i="1"/>
  <c r="H3328" i="1"/>
  <c r="G3328" i="1"/>
  <c r="F3328" i="1"/>
  <c r="E3328" i="1"/>
  <c r="D3328" i="1"/>
  <c r="C3328" i="1"/>
  <c r="B3328" i="1"/>
  <c r="A3328" i="1"/>
  <c r="R3327" i="1"/>
  <c r="J3327" i="1"/>
  <c r="I3327" i="1"/>
  <c r="G3327" i="1"/>
  <c r="F3327" i="1"/>
  <c r="E3327" i="1"/>
  <c r="D3327" i="1"/>
  <c r="C3327" i="1"/>
  <c r="B3327" i="1"/>
  <c r="A3327" i="1"/>
  <c r="S3326" i="1"/>
  <c r="O3326" i="1"/>
  <c r="K3326" i="1"/>
  <c r="J3326" i="1"/>
  <c r="I3326" i="1"/>
  <c r="H3326" i="1"/>
  <c r="G3326" i="1"/>
  <c r="F3326" i="1"/>
  <c r="E3326" i="1"/>
  <c r="D3326" i="1"/>
  <c r="C3326" i="1"/>
  <c r="B3326" i="1"/>
  <c r="A3326" i="1"/>
  <c r="R3325" i="1"/>
  <c r="J3325" i="1"/>
  <c r="I3325" i="1"/>
  <c r="G3325" i="1"/>
  <c r="F3325" i="1"/>
  <c r="E3325" i="1"/>
  <c r="D3325" i="1"/>
  <c r="C3325" i="1"/>
  <c r="B3325" i="1"/>
  <c r="A3325" i="1"/>
  <c r="S3324" i="1"/>
  <c r="O3324" i="1"/>
  <c r="K3324" i="1"/>
  <c r="J3324" i="1"/>
  <c r="I3324" i="1"/>
  <c r="H3324" i="1"/>
  <c r="G3324" i="1"/>
  <c r="F3324" i="1"/>
  <c r="E3324" i="1"/>
  <c r="D3324" i="1"/>
  <c r="C3324" i="1"/>
  <c r="B3324" i="1"/>
  <c r="A3324" i="1"/>
  <c r="R3323" i="1"/>
  <c r="J3323" i="1"/>
  <c r="I3323" i="1"/>
  <c r="G3323" i="1"/>
  <c r="F3323" i="1"/>
  <c r="E3323" i="1"/>
  <c r="D3323" i="1"/>
  <c r="C3323" i="1"/>
  <c r="B3323" i="1"/>
  <c r="A3323" i="1"/>
  <c r="S3322" i="1"/>
  <c r="O3322" i="1"/>
  <c r="K3322" i="1"/>
  <c r="J3322" i="1"/>
  <c r="I3322" i="1"/>
  <c r="H3322" i="1"/>
  <c r="G3322" i="1"/>
  <c r="F3322" i="1"/>
  <c r="E3322" i="1"/>
  <c r="D3322" i="1"/>
  <c r="C3322" i="1"/>
  <c r="B3322" i="1"/>
  <c r="A3322" i="1"/>
  <c r="R3321" i="1"/>
  <c r="J3321" i="1"/>
  <c r="I3321" i="1"/>
  <c r="G3321" i="1"/>
  <c r="F3321" i="1"/>
  <c r="E3321" i="1"/>
  <c r="D3321" i="1"/>
  <c r="C3321" i="1"/>
  <c r="B3321" i="1"/>
  <c r="A3321" i="1"/>
  <c r="S3320" i="1"/>
  <c r="O3320" i="1"/>
  <c r="K3320" i="1"/>
  <c r="J3320" i="1"/>
  <c r="I3320" i="1"/>
  <c r="H3320" i="1"/>
  <c r="G3320" i="1"/>
  <c r="F3320" i="1"/>
  <c r="E3320" i="1"/>
  <c r="D3320" i="1"/>
  <c r="C3320" i="1"/>
  <c r="B3320" i="1"/>
  <c r="A3320" i="1"/>
  <c r="R3319" i="1"/>
  <c r="J3319" i="1"/>
  <c r="I3319" i="1"/>
  <c r="G3319" i="1"/>
  <c r="F3319" i="1"/>
  <c r="E3319" i="1"/>
  <c r="D3319" i="1"/>
  <c r="C3319" i="1"/>
  <c r="B3319" i="1"/>
  <c r="A3319" i="1"/>
  <c r="S3318" i="1"/>
  <c r="O3318" i="1"/>
  <c r="K3318" i="1"/>
  <c r="J3318" i="1"/>
  <c r="I3318" i="1"/>
  <c r="H3318" i="1"/>
  <c r="G3318" i="1"/>
  <c r="F3318" i="1"/>
  <c r="E3318" i="1"/>
  <c r="D3318" i="1"/>
  <c r="C3318" i="1"/>
  <c r="B3318" i="1"/>
  <c r="A3318" i="1"/>
  <c r="R3317" i="1"/>
  <c r="J3317" i="1"/>
  <c r="I3317" i="1"/>
  <c r="G3317" i="1"/>
  <c r="F3317" i="1"/>
  <c r="E3317" i="1"/>
  <c r="D3317" i="1"/>
  <c r="C3317" i="1"/>
  <c r="B3317" i="1"/>
  <c r="A3317" i="1"/>
  <c r="S3316" i="1"/>
  <c r="O3316" i="1"/>
  <c r="K3316" i="1"/>
  <c r="J3316" i="1"/>
  <c r="I3316" i="1"/>
  <c r="H3316" i="1"/>
  <c r="G3316" i="1"/>
  <c r="F3316" i="1"/>
  <c r="E3316" i="1"/>
  <c r="D3316" i="1"/>
  <c r="C3316" i="1"/>
  <c r="B3316" i="1"/>
  <c r="A3316" i="1"/>
  <c r="R3315" i="1"/>
  <c r="J3315" i="1"/>
  <c r="I3315" i="1"/>
  <c r="G3315" i="1"/>
  <c r="F3315" i="1"/>
  <c r="E3315" i="1"/>
  <c r="D3315" i="1"/>
  <c r="C3315" i="1"/>
  <c r="B3315" i="1"/>
  <c r="A3315" i="1"/>
  <c r="S3314" i="1"/>
  <c r="O3314" i="1"/>
  <c r="K3314" i="1"/>
  <c r="J3314" i="1"/>
  <c r="I3314" i="1"/>
  <c r="H3314" i="1"/>
  <c r="G3314" i="1"/>
  <c r="F3314" i="1"/>
  <c r="E3314" i="1"/>
  <c r="D3314" i="1"/>
  <c r="C3314" i="1"/>
  <c r="B3314" i="1"/>
  <c r="A3314" i="1"/>
  <c r="R3313" i="1"/>
  <c r="J3313" i="1"/>
  <c r="I3313" i="1"/>
  <c r="G3313" i="1"/>
  <c r="F3313" i="1"/>
  <c r="E3313" i="1"/>
  <c r="D3313" i="1"/>
  <c r="C3313" i="1"/>
  <c r="B3313" i="1"/>
  <c r="A3313" i="1"/>
  <c r="S3312" i="1"/>
  <c r="O3312" i="1"/>
  <c r="K3312" i="1"/>
  <c r="J3312" i="1"/>
  <c r="I3312" i="1"/>
  <c r="H3312" i="1"/>
  <c r="G3312" i="1"/>
  <c r="F3312" i="1"/>
  <c r="E3312" i="1"/>
  <c r="D3312" i="1"/>
  <c r="C3312" i="1"/>
  <c r="B3312" i="1"/>
  <c r="A3312" i="1"/>
  <c r="R3311" i="1"/>
  <c r="J3311" i="1"/>
  <c r="I3311" i="1"/>
  <c r="G3311" i="1"/>
  <c r="F3311" i="1"/>
  <c r="E3311" i="1"/>
  <c r="D3311" i="1"/>
  <c r="C3311" i="1"/>
  <c r="B3311" i="1"/>
  <c r="A3311" i="1"/>
  <c r="S3310" i="1"/>
  <c r="O3310" i="1"/>
  <c r="K3310" i="1"/>
  <c r="J3310" i="1"/>
  <c r="I3310" i="1"/>
  <c r="H3310" i="1"/>
  <c r="G3310" i="1"/>
  <c r="F3310" i="1"/>
  <c r="E3310" i="1"/>
  <c r="D3310" i="1"/>
  <c r="C3310" i="1"/>
  <c r="B3310" i="1"/>
  <c r="A3310" i="1"/>
  <c r="R3309" i="1"/>
  <c r="J3309" i="1"/>
  <c r="I3309" i="1"/>
  <c r="G3309" i="1"/>
  <c r="F3309" i="1"/>
  <c r="E3309" i="1"/>
  <c r="D3309" i="1"/>
  <c r="C3309" i="1"/>
  <c r="B3309" i="1"/>
  <c r="A3309" i="1"/>
  <c r="S3308" i="1"/>
  <c r="O3308" i="1"/>
  <c r="K3308" i="1"/>
  <c r="J3308" i="1"/>
  <c r="I3308" i="1"/>
  <c r="H3308" i="1"/>
  <c r="G3308" i="1"/>
  <c r="F3308" i="1"/>
  <c r="E3308" i="1"/>
  <c r="D3308" i="1"/>
  <c r="C3308" i="1"/>
  <c r="B3308" i="1"/>
  <c r="A3308" i="1"/>
  <c r="R3307" i="1"/>
  <c r="J3307" i="1"/>
  <c r="I3307" i="1"/>
  <c r="G3307" i="1"/>
  <c r="F3307" i="1"/>
  <c r="E3307" i="1"/>
  <c r="D3307" i="1"/>
  <c r="C3307" i="1"/>
  <c r="B3307" i="1"/>
  <c r="A3307" i="1"/>
  <c r="S3306" i="1"/>
  <c r="O3306" i="1"/>
  <c r="K3306" i="1"/>
  <c r="J3306" i="1"/>
  <c r="I3306" i="1"/>
  <c r="H3306" i="1"/>
  <c r="G3306" i="1"/>
  <c r="F3306" i="1"/>
  <c r="E3306" i="1"/>
  <c r="D3306" i="1"/>
  <c r="C3306" i="1"/>
  <c r="B3306" i="1"/>
  <c r="A3306" i="1"/>
  <c r="R3305" i="1"/>
  <c r="J3305" i="1"/>
  <c r="I3305" i="1"/>
  <c r="G3305" i="1"/>
  <c r="F3305" i="1"/>
  <c r="E3305" i="1"/>
  <c r="D3305" i="1"/>
  <c r="C3305" i="1"/>
  <c r="B3305" i="1"/>
  <c r="A3305" i="1"/>
  <c r="S3304" i="1"/>
  <c r="O3304" i="1"/>
  <c r="K3304" i="1"/>
  <c r="J3304" i="1"/>
  <c r="I3304" i="1"/>
  <c r="H3304" i="1"/>
  <c r="G3304" i="1"/>
  <c r="F3304" i="1"/>
  <c r="E3304" i="1"/>
  <c r="D3304" i="1"/>
  <c r="C3304" i="1"/>
  <c r="B3304" i="1"/>
  <c r="A3304" i="1"/>
  <c r="R3303" i="1"/>
  <c r="J3303" i="1"/>
  <c r="I3303" i="1"/>
  <c r="G3303" i="1"/>
  <c r="F3303" i="1"/>
  <c r="E3303" i="1"/>
  <c r="D3303" i="1"/>
  <c r="C3303" i="1"/>
  <c r="B3303" i="1"/>
  <c r="A3303" i="1"/>
  <c r="S3302" i="1"/>
  <c r="O3302" i="1"/>
  <c r="K3302" i="1"/>
  <c r="J3302" i="1"/>
  <c r="I3302" i="1"/>
  <c r="H3302" i="1"/>
  <c r="G3302" i="1"/>
  <c r="F3302" i="1"/>
  <c r="E3302" i="1"/>
  <c r="D3302" i="1"/>
  <c r="C3302" i="1"/>
  <c r="B3302" i="1"/>
  <c r="A3302" i="1"/>
  <c r="R3301" i="1"/>
  <c r="J3301" i="1"/>
  <c r="I3301" i="1"/>
  <c r="G3301" i="1"/>
  <c r="F3301" i="1"/>
  <c r="E3301" i="1"/>
  <c r="D3301" i="1"/>
  <c r="C3301" i="1"/>
  <c r="B3301" i="1"/>
  <c r="A3301" i="1"/>
  <c r="S3300" i="1"/>
  <c r="O3300" i="1"/>
  <c r="K3300" i="1"/>
  <c r="J3300" i="1"/>
  <c r="I3300" i="1"/>
  <c r="H3300" i="1"/>
  <c r="G3300" i="1"/>
  <c r="F3300" i="1"/>
  <c r="E3300" i="1"/>
  <c r="D3300" i="1"/>
  <c r="C3300" i="1"/>
  <c r="B3300" i="1"/>
  <c r="A3300" i="1"/>
  <c r="R3299" i="1"/>
  <c r="J3299" i="1"/>
  <c r="I3299" i="1"/>
  <c r="G3299" i="1"/>
  <c r="F3299" i="1"/>
  <c r="E3299" i="1"/>
  <c r="D3299" i="1"/>
  <c r="C3299" i="1"/>
  <c r="B3299" i="1"/>
  <c r="A3299" i="1"/>
  <c r="S3298" i="1"/>
  <c r="O3298" i="1"/>
  <c r="K3298" i="1"/>
  <c r="J3298" i="1"/>
  <c r="I3298" i="1"/>
  <c r="H3298" i="1"/>
  <c r="G3298" i="1"/>
  <c r="F3298" i="1"/>
  <c r="E3298" i="1"/>
  <c r="D3298" i="1"/>
  <c r="C3298" i="1"/>
  <c r="B3298" i="1"/>
  <c r="A3298" i="1"/>
  <c r="R3297" i="1"/>
  <c r="J3297" i="1"/>
  <c r="I3297" i="1"/>
  <c r="G3297" i="1"/>
  <c r="F3297" i="1"/>
  <c r="E3297" i="1"/>
  <c r="D3297" i="1"/>
  <c r="C3297" i="1"/>
  <c r="B3297" i="1"/>
  <c r="A3297" i="1"/>
  <c r="S3296" i="1"/>
  <c r="O3296" i="1"/>
  <c r="K3296" i="1"/>
  <c r="J3296" i="1"/>
  <c r="I3296" i="1"/>
  <c r="H3296" i="1"/>
  <c r="G3296" i="1"/>
  <c r="F3296" i="1"/>
  <c r="E3296" i="1"/>
  <c r="D3296" i="1"/>
  <c r="C3296" i="1"/>
  <c r="B3296" i="1"/>
  <c r="A3296" i="1"/>
  <c r="R3295" i="1"/>
  <c r="J3295" i="1"/>
  <c r="I3295" i="1"/>
  <c r="G3295" i="1"/>
  <c r="F3295" i="1"/>
  <c r="E3295" i="1"/>
  <c r="D3295" i="1"/>
  <c r="C3295" i="1"/>
  <c r="B3295" i="1"/>
  <c r="A3295" i="1"/>
  <c r="S3294" i="1"/>
  <c r="O3294" i="1"/>
  <c r="K3294" i="1"/>
  <c r="J3294" i="1"/>
  <c r="I3294" i="1"/>
  <c r="H3294" i="1"/>
  <c r="G3294" i="1"/>
  <c r="F3294" i="1"/>
  <c r="E3294" i="1"/>
  <c r="D3294" i="1"/>
  <c r="C3294" i="1"/>
  <c r="B3294" i="1"/>
  <c r="A3294" i="1"/>
  <c r="R3293" i="1"/>
  <c r="J3293" i="1"/>
  <c r="I3293" i="1"/>
  <c r="G3293" i="1"/>
  <c r="F3293" i="1"/>
  <c r="E3293" i="1"/>
  <c r="D3293" i="1"/>
  <c r="C3293" i="1"/>
  <c r="B3293" i="1"/>
  <c r="A3293" i="1"/>
  <c r="S3292" i="1"/>
  <c r="O3292" i="1"/>
  <c r="K3292" i="1"/>
  <c r="J3292" i="1"/>
  <c r="I3292" i="1"/>
  <c r="H3292" i="1"/>
  <c r="G3292" i="1"/>
  <c r="F3292" i="1"/>
  <c r="E3292" i="1"/>
  <c r="D3292" i="1"/>
  <c r="C3292" i="1"/>
  <c r="B3292" i="1"/>
  <c r="A3292" i="1"/>
  <c r="R3291" i="1"/>
  <c r="J3291" i="1"/>
  <c r="I3291" i="1"/>
  <c r="G3291" i="1"/>
  <c r="F3291" i="1"/>
  <c r="E3291" i="1"/>
  <c r="D3291" i="1"/>
  <c r="C3291" i="1"/>
  <c r="B3291" i="1"/>
  <c r="A3291" i="1"/>
  <c r="S3290" i="1"/>
  <c r="O3290" i="1"/>
  <c r="K3290" i="1"/>
  <c r="J3290" i="1"/>
  <c r="I3290" i="1"/>
  <c r="H3290" i="1"/>
  <c r="G3290" i="1"/>
  <c r="F3290" i="1"/>
  <c r="E3290" i="1"/>
  <c r="D3290" i="1"/>
  <c r="C3290" i="1"/>
  <c r="B3290" i="1"/>
  <c r="A3290" i="1"/>
  <c r="R3289" i="1"/>
  <c r="J3289" i="1"/>
  <c r="I3289" i="1"/>
  <c r="G3289" i="1"/>
  <c r="F3289" i="1"/>
  <c r="E3289" i="1"/>
  <c r="D3289" i="1"/>
  <c r="C3289" i="1"/>
  <c r="B3289" i="1"/>
  <c r="A3289" i="1"/>
  <c r="S3288" i="1"/>
  <c r="O3288" i="1"/>
  <c r="K3288" i="1"/>
  <c r="J3288" i="1"/>
  <c r="I3288" i="1"/>
  <c r="H3288" i="1"/>
  <c r="G3288" i="1"/>
  <c r="F3288" i="1"/>
  <c r="E3288" i="1"/>
  <c r="D3288" i="1"/>
  <c r="C3288" i="1"/>
  <c r="B3288" i="1"/>
  <c r="A3288" i="1"/>
  <c r="R3287" i="1"/>
  <c r="J3287" i="1"/>
  <c r="I3287" i="1"/>
  <c r="G3287" i="1"/>
  <c r="F3287" i="1"/>
  <c r="E3287" i="1"/>
  <c r="D3287" i="1"/>
  <c r="C3287" i="1"/>
  <c r="B3287" i="1"/>
  <c r="A3287" i="1"/>
  <c r="S3286" i="1"/>
  <c r="O3286" i="1"/>
  <c r="K3286" i="1"/>
  <c r="J3286" i="1"/>
  <c r="I3286" i="1"/>
  <c r="H3286" i="1"/>
  <c r="G3286" i="1"/>
  <c r="F3286" i="1"/>
  <c r="E3286" i="1"/>
  <c r="D3286" i="1"/>
  <c r="C3286" i="1"/>
  <c r="B3286" i="1"/>
  <c r="A3286" i="1"/>
  <c r="R3285" i="1"/>
  <c r="J3285" i="1"/>
  <c r="I3285" i="1"/>
  <c r="G3285" i="1"/>
  <c r="F3285" i="1"/>
  <c r="E3285" i="1"/>
  <c r="D3285" i="1"/>
  <c r="C3285" i="1"/>
  <c r="B3285" i="1"/>
  <c r="A3285" i="1"/>
  <c r="S3284" i="1"/>
  <c r="O3284" i="1"/>
  <c r="K3284" i="1"/>
  <c r="J3284" i="1"/>
  <c r="I3284" i="1"/>
  <c r="H3284" i="1"/>
  <c r="G3284" i="1"/>
  <c r="F3284" i="1"/>
  <c r="E3284" i="1"/>
  <c r="D3284" i="1"/>
  <c r="C3284" i="1"/>
  <c r="B3284" i="1"/>
  <c r="A3284" i="1"/>
  <c r="R3283" i="1"/>
  <c r="J3283" i="1"/>
  <c r="I3283" i="1"/>
  <c r="G3283" i="1"/>
  <c r="F3283" i="1"/>
  <c r="E3283" i="1"/>
  <c r="D3283" i="1"/>
  <c r="C3283" i="1"/>
  <c r="B3283" i="1"/>
  <c r="A3283" i="1"/>
  <c r="S3282" i="1"/>
  <c r="O3282" i="1"/>
  <c r="K3282" i="1"/>
  <c r="J3282" i="1"/>
  <c r="I3282" i="1"/>
  <c r="H3282" i="1"/>
  <c r="G3282" i="1"/>
  <c r="F3282" i="1"/>
  <c r="E3282" i="1"/>
  <c r="D3282" i="1"/>
  <c r="C3282" i="1"/>
  <c r="B3282" i="1"/>
  <c r="A3282" i="1"/>
  <c r="R3281" i="1"/>
  <c r="J3281" i="1"/>
  <c r="I3281" i="1"/>
  <c r="G3281" i="1"/>
  <c r="F3281" i="1"/>
  <c r="E3281" i="1"/>
  <c r="D3281" i="1"/>
  <c r="C3281" i="1"/>
  <c r="B3281" i="1"/>
  <c r="A3281" i="1"/>
  <c r="S3280" i="1"/>
  <c r="O3280" i="1"/>
  <c r="K3280" i="1"/>
  <c r="J3280" i="1"/>
  <c r="I3280" i="1"/>
  <c r="H3280" i="1"/>
  <c r="G3280" i="1"/>
  <c r="F3280" i="1"/>
  <c r="E3280" i="1"/>
  <c r="D3280" i="1"/>
  <c r="C3280" i="1"/>
  <c r="B3280" i="1"/>
  <c r="A3280" i="1"/>
  <c r="R3279" i="1"/>
  <c r="J3279" i="1"/>
  <c r="I3279" i="1"/>
  <c r="G3279" i="1"/>
  <c r="F3279" i="1"/>
  <c r="E3279" i="1"/>
  <c r="D3279" i="1"/>
  <c r="C3279" i="1"/>
  <c r="B3279" i="1"/>
  <c r="A3279" i="1"/>
  <c r="S3278" i="1"/>
  <c r="O3278" i="1"/>
  <c r="K3278" i="1"/>
  <c r="J3278" i="1"/>
  <c r="I3278" i="1"/>
  <c r="H3278" i="1"/>
  <c r="G3278" i="1"/>
  <c r="F3278" i="1"/>
  <c r="E3278" i="1"/>
  <c r="D3278" i="1"/>
  <c r="C3278" i="1"/>
  <c r="B3278" i="1"/>
  <c r="A3278" i="1"/>
  <c r="R3277" i="1"/>
  <c r="J3277" i="1"/>
  <c r="I3277" i="1"/>
  <c r="G3277" i="1"/>
  <c r="F3277" i="1"/>
  <c r="E3277" i="1"/>
  <c r="D3277" i="1"/>
  <c r="C3277" i="1"/>
  <c r="B3277" i="1"/>
  <c r="A3277" i="1"/>
  <c r="S3276" i="1"/>
  <c r="O3276" i="1"/>
  <c r="K3276" i="1"/>
  <c r="J3276" i="1"/>
  <c r="I3276" i="1"/>
  <c r="H3276" i="1"/>
  <c r="G3276" i="1"/>
  <c r="F3276" i="1"/>
  <c r="E3276" i="1"/>
  <c r="D3276" i="1"/>
  <c r="C3276" i="1"/>
  <c r="B3276" i="1"/>
  <c r="A3276" i="1"/>
  <c r="R3275" i="1"/>
  <c r="J3275" i="1"/>
  <c r="I3275" i="1"/>
  <c r="G3275" i="1"/>
  <c r="F3275" i="1"/>
  <c r="E3275" i="1"/>
  <c r="D3275" i="1"/>
  <c r="C3275" i="1"/>
  <c r="B3275" i="1"/>
  <c r="A3275" i="1"/>
  <c r="S3274" i="1"/>
  <c r="O3274" i="1"/>
  <c r="K3274" i="1"/>
  <c r="J3274" i="1"/>
  <c r="I3274" i="1"/>
  <c r="H3274" i="1"/>
  <c r="G3274" i="1"/>
  <c r="F3274" i="1"/>
  <c r="E3274" i="1"/>
  <c r="D3274" i="1"/>
  <c r="C3274" i="1"/>
  <c r="B3274" i="1"/>
  <c r="A3274" i="1"/>
  <c r="R3273" i="1"/>
  <c r="J3273" i="1"/>
  <c r="I3273" i="1"/>
  <c r="G3273" i="1"/>
  <c r="F3273" i="1"/>
  <c r="E3273" i="1"/>
  <c r="D3273" i="1"/>
  <c r="C3273" i="1"/>
  <c r="B3273" i="1"/>
  <c r="A3273" i="1"/>
  <c r="S3272" i="1"/>
  <c r="O3272" i="1"/>
  <c r="K3272" i="1"/>
  <c r="J3272" i="1"/>
  <c r="I3272" i="1"/>
  <c r="H3272" i="1"/>
  <c r="G3272" i="1"/>
  <c r="F3272" i="1"/>
  <c r="E3272" i="1"/>
  <c r="D3272" i="1"/>
  <c r="C3272" i="1"/>
  <c r="B3272" i="1"/>
  <c r="A3272" i="1"/>
  <c r="R3271" i="1"/>
  <c r="J3271" i="1"/>
  <c r="I3271" i="1"/>
  <c r="G3271" i="1"/>
  <c r="F3271" i="1"/>
  <c r="E3271" i="1"/>
  <c r="D3271" i="1"/>
  <c r="C3271" i="1"/>
  <c r="B3271" i="1"/>
  <c r="A3271" i="1"/>
  <c r="S3270" i="1"/>
  <c r="O3270" i="1"/>
  <c r="K3270" i="1"/>
  <c r="J3270" i="1"/>
  <c r="I3270" i="1"/>
  <c r="H3270" i="1"/>
  <c r="G3270" i="1"/>
  <c r="F3270" i="1"/>
  <c r="E3270" i="1"/>
  <c r="D3270" i="1"/>
  <c r="C3270" i="1"/>
  <c r="B3270" i="1"/>
  <c r="A3270" i="1"/>
  <c r="R3269" i="1"/>
  <c r="J3269" i="1"/>
  <c r="I3269" i="1"/>
  <c r="G3269" i="1"/>
  <c r="F3269" i="1"/>
  <c r="E3269" i="1"/>
  <c r="D3269" i="1"/>
  <c r="C3269" i="1"/>
  <c r="B3269" i="1"/>
  <c r="A3269" i="1"/>
  <c r="S3268" i="1"/>
  <c r="O3268" i="1"/>
  <c r="K3268" i="1"/>
  <c r="J3268" i="1"/>
  <c r="I3268" i="1"/>
  <c r="H3268" i="1"/>
  <c r="G3268" i="1"/>
  <c r="F3268" i="1"/>
  <c r="E3268" i="1"/>
  <c r="D3268" i="1"/>
  <c r="C3268" i="1"/>
  <c r="B3268" i="1"/>
  <c r="A3268" i="1"/>
  <c r="R3267" i="1"/>
  <c r="J3267" i="1"/>
  <c r="I3267" i="1"/>
  <c r="G3267" i="1"/>
  <c r="F3267" i="1"/>
  <c r="E3267" i="1"/>
  <c r="D3267" i="1"/>
  <c r="C3267" i="1"/>
  <c r="B3267" i="1"/>
  <c r="A3267" i="1"/>
  <c r="S3266" i="1"/>
  <c r="O3266" i="1"/>
  <c r="K3266" i="1"/>
  <c r="J3266" i="1"/>
  <c r="I3266" i="1"/>
  <c r="H3266" i="1"/>
  <c r="G3266" i="1"/>
  <c r="F3266" i="1"/>
  <c r="E3266" i="1"/>
  <c r="D3266" i="1"/>
  <c r="C3266" i="1"/>
  <c r="B3266" i="1"/>
  <c r="A3266" i="1"/>
  <c r="R3265" i="1"/>
  <c r="J3265" i="1"/>
  <c r="I3265" i="1"/>
  <c r="G3265" i="1"/>
  <c r="F3265" i="1"/>
  <c r="E3265" i="1"/>
  <c r="D3265" i="1"/>
  <c r="C3265" i="1"/>
  <c r="B3265" i="1"/>
  <c r="A3265" i="1"/>
  <c r="S3264" i="1"/>
  <c r="O3264" i="1"/>
  <c r="K3264" i="1"/>
  <c r="J3264" i="1"/>
  <c r="I3264" i="1"/>
  <c r="H3264" i="1"/>
  <c r="G3264" i="1"/>
  <c r="F3264" i="1"/>
  <c r="E3264" i="1"/>
  <c r="D3264" i="1"/>
  <c r="C3264" i="1"/>
  <c r="B3264" i="1"/>
  <c r="A3264" i="1"/>
  <c r="R3263" i="1"/>
  <c r="J3263" i="1"/>
  <c r="I3263" i="1"/>
  <c r="G3263" i="1"/>
  <c r="F3263" i="1"/>
  <c r="E3263" i="1"/>
  <c r="D3263" i="1"/>
  <c r="C3263" i="1"/>
  <c r="B3263" i="1"/>
  <c r="A3263" i="1"/>
  <c r="S3262" i="1"/>
  <c r="O3262" i="1"/>
  <c r="K3262" i="1"/>
  <c r="J3262" i="1"/>
  <c r="I3262" i="1"/>
  <c r="H3262" i="1"/>
  <c r="G3262" i="1"/>
  <c r="F3262" i="1"/>
  <c r="E3262" i="1"/>
  <c r="D3262" i="1"/>
  <c r="C3262" i="1"/>
  <c r="B3262" i="1"/>
  <c r="A3262" i="1"/>
  <c r="R3261" i="1"/>
  <c r="J3261" i="1"/>
  <c r="I3261" i="1"/>
  <c r="G3261" i="1"/>
  <c r="F3261" i="1"/>
  <c r="E3261" i="1"/>
  <c r="D3261" i="1"/>
  <c r="C3261" i="1"/>
  <c r="B3261" i="1"/>
  <c r="A3261" i="1"/>
  <c r="S3260" i="1"/>
  <c r="O3260" i="1"/>
  <c r="K3260" i="1"/>
  <c r="J3260" i="1"/>
  <c r="I3260" i="1"/>
  <c r="H3260" i="1"/>
  <c r="G3260" i="1"/>
  <c r="F3260" i="1"/>
  <c r="E3260" i="1"/>
  <c r="D3260" i="1"/>
  <c r="C3260" i="1"/>
  <c r="B3260" i="1"/>
  <c r="A3260" i="1"/>
  <c r="R3259" i="1"/>
  <c r="J3259" i="1"/>
  <c r="I3259" i="1"/>
  <c r="G3259" i="1"/>
  <c r="F3259" i="1"/>
  <c r="E3259" i="1"/>
  <c r="D3259" i="1"/>
  <c r="C3259" i="1"/>
  <c r="B3259" i="1"/>
  <c r="A3259" i="1"/>
  <c r="S3258" i="1"/>
  <c r="O3258" i="1"/>
  <c r="K3258" i="1"/>
  <c r="J3258" i="1"/>
  <c r="I3258" i="1"/>
  <c r="H3258" i="1"/>
  <c r="G3258" i="1"/>
  <c r="F3258" i="1"/>
  <c r="E3258" i="1"/>
  <c r="D3258" i="1"/>
  <c r="C3258" i="1"/>
  <c r="B3258" i="1"/>
  <c r="A3258" i="1"/>
  <c r="R3257" i="1"/>
  <c r="J3257" i="1"/>
  <c r="I3257" i="1"/>
  <c r="G3257" i="1"/>
  <c r="F3257" i="1"/>
  <c r="E3257" i="1"/>
  <c r="D3257" i="1"/>
  <c r="C3257" i="1"/>
  <c r="B3257" i="1"/>
  <c r="A3257" i="1"/>
  <c r="S3256" i="1"/>
  <c r="O3256" i="1"/>
  <c r="K3256" i="1"/>
  <c r="J3256" i="1"/>
  <c r="I3256" i="1"/>
  <c r="H3256" i="1"/>
  <c r="G3256" i="1"/>
  <c r="F3256" i="1"/>
  <c r="E3256" i="1"/>
  <c r="D3256" i="1"/>
  <c r="C3256" i="1"/>
  <c r="B3256" i="1"/>
  <c r="A3256" i="1"/>
  <c r="R3255" i="1"/>
  <c r="J3255" i="1"/>
  <c r="I3255" i="1"/>
  <c r="G3255" i="1"/>
  <c r="F3255" i="1"/>
  <c r="E3255" i="1"/>
  <c r="D3255" i="1"/>
  <c r="C3255" i="1"/>
  <c r="B3255" i="1"/>
  <c r="A3255" i="1"/>
  <c r="S3254" i="1"/>
  <c r="O3254" i="1"/>
  <c r="K3254" i="1"/>
  <c r="J3254" i="1"/>
  <c r="I3254" i="1"/>
  <c r="H3254" i="1"/>
  <c r="G3254" i="1"/>
  <c r="F3254" i="1"/>
  <c r="E3254" i="1"/>
  <c r="D3254" i="1"/>
  <c r="C3254" i="1"/>
  <c r="B3254" i="1"/>
  <c r="A3254" i="1"/>
  <c r="R3253" i="1"/>
  <c r="J3253" i="1"/>
  <c r="I3253" i="1"/>
  <c r="G3253" i="1"/>
  <c r="F3253" i="1"/>
  <c r="E3253" i="1"/>
  <c r="D3253" i="1"/>
  <c r="C3253" i="1"/>
  <c r="B3253" i="1"/>
  <c r="A3253" i="1"/>
  <c r="S3252" i="1"/>
  <c r="O3252" i="1"/>
  <c r="K3252" i="1"/>
  <c r="J3252" i="1"/>
  <c r="I3252" i="1"/>
  <c r="H3252" i="1"/>
  <c r="G3252" i="1"/>
  <c r="F3252" i="1"/>
  <c r="E3252" i="1"/>
  <c r="D3252" i="1"/>
  <c r="C3252" i="1"/>
  <c r="B3252" i="1"/>
  <c r="A3252" i="1"/>
  <c r="R3251" i="1"/>
  <c r="J3251" i="1"/>
  <c r="I3251" i="1"/>
  <c r="G3251" i="1"/>
  <c r="F3251" i="1"/>
  <c r="E3251" i="1"/>
  <c r="D3251" i="1"/>
  <c r="C3251" i="1"/>
  <c r="B3251" i="1"/>
  <c r="A3251" i="1"/>
  <c r="S3250" i="1"/>
  <c r="O3250" i="1"/>
  <c r="K3250" i="1"/>
  <c r="J3250" i="1"/>
  <c r="I3250" i="1"/>
  <c r="H3250" i="1"/>
  <c r="G3250" i="1"/>
  <c r="F3250" i="1"/>
  <c r="E3250" i="1"/>
  <c r="D3250" i="1"/>
  <c r="C3250" i="1"/>
  <c r="B3250" i="1"/>
  <c r="A3250" i="1"/>
  <c r="R3249" i="1"/>
  <c r="J3249" i="1"/>
  <c r="I3249" i="1"/>
  <c r="G3249" i="1"/>
  <c r="F3249" i="1"/>
  <c r="E3249" i="1"/>
  <c r="D3249" i="1"/>
  <c r="C3249" i="1"/>
  <c r="B3249" i="1"/>
  <c r="A3249" i="1"/>
  <c r="S3248" i="1"/>
  <c r="O3248" i="1"/>
  <c r="K3248" i="1"/>
  <c r="J3248" i="1"/>
  <c r="I3248" i="1"/>
  <c r="H3248" i="1"/>
  <c r="G3248" i="1"/>
  <c r="F3248" i="1"/>
  <c r="E3248" i="1"/>
  <c r="D3248" i="1"/>
  <c r="C3248" i="1"/>
  <c r="B3248" i="1"/>
  <c r="A3248" i="1"/>
  <c r="R3247" i="1"/>
  <c r="J3247" i="1"/>
  <c r="I3247" i="1"/>
  <c r="G3247" i="1"/>
  <c r="F3247" i="1"/>
  <c r="E3247" i="1"/>
  <c r="D3247" i="1"/>
  <c r="C3247" i="1"/>
  <c r="B3247" i="1"/>
  <c r="A3247" i="1"/>
  <c r="S3246" i="1"/>
  <c r="O3246" i="1"/>
  <c r="K3246" i="1"/>
  <c r="J3246" i="1"/>
  <c r="I3246" i="1"/>
  <c r="H3246" i="1"/>
  <c r="G3246" i="1"/>
  <c r="F3246" i="1"/>
  <c r="E3246" i="1"/>
  <c r="D3246" i="1"/>
  <c r="C3246" i="1"/>
  <c r="B3246" i="1"/>
  <c r="A3246" i="1"/>
  <c r="R3245" i="1"/>
  <c r="J3245" i="1"/>
  <c r="I3245" i="1"/>
  <c r="G3245" i="1"/>
  <c r="F3245" i="1"/>
  <c r="E3245" i="1"/>
  <c r="D3245" i="1"/>
  <c r="C3245" i="1"/>
  <c r="B3245" i="1"/>
  <c r="A3245" i="1"/>
  <c r="S3244" i="1"/>
  <c r="O3244" i="1"/>
  <c r="K3244" i="1"/>
  <c r="J3244" i="1"/>
  <c r="I3244" i="1"/>
  <c r="H3244" i="1"/>
  <c r="G3244" i="1"/>
  <c r="F3244" i="1"/>
  <c r="E3244" i="1"/>
  <c r="D3244" i="1"/>
  <c r="C3244" i="1"/>
  <c r="B3244" i="1"/>
  <c r="A3244" i="1"/>
  <c r="R3243" i="1"/>
  <c r="J3243" i="1"/>
  <c r="I3243" i="1"/>
  <c r="G3243" i="1"/>
  <c r="F3243" i="1"/>
  <c r="E3243" i="1"/>
  <c r="D3243" i="1"/>
  <c r="C3243" i="1"/>
  <c r="B3243" i="1"/>
  <c r="A3243" i="1"/>
  <c r="S3242" i="1"/>
  <c r="O3242" i="1"/>
  <c r="K3242" i="1"/>
  <c r="J3242" i="1"/>
  <c r="I3242" i="1"/>
  <c r="H3242" i="1"/>
  <c r="G3242" i="1"/>
  <c r="F3242" i="1"/>
  <c r="E3242" i="1"/>
  <c r="D3242" i="1"/>
  <c r="C3242" i="1"/>
  <c r="B3242" i="1"/>
  <c r="A3242" i="1"/>
  <c r="R3241" i="1"/>
  <c r="J3241" i="1"/>
  <c r="I3241" i="1"/>
  <c r="G3241" i="1"/>
  <c r="F3241" i="1"/>
  <c r="E3241" i="1"/>
  <c r="D3241" i="1"/>
  <c r="C3241" i="1"/>
  <c r="B3241" i="1"/>
  <c r="A3241" i="1"/>
  <c r="S3240" i="1"/>
  <c r="O3240" i="1"/>
  <c r="K3240" i="1"/>
  <c r="J3240" i="1"/>
  <c r="I3240" i="1"/>
  <c r="H3240" i="1"/>
  <c r="G3240" i="1"/>
  <c r="F3240" i="1"/>
  <c r="E3240" i="1"/>
  <c r="D3240" i="1"/>
  <c r="C3240" i="1"/>
  <c r="B3240" i="1"/>
  <c r="A3240" i="1"/>
  <c r="R3239" i="1"/>
  <c r="J3239" i="1"/>
  <c r="I3239" i="1"/>
  <c r="G3239" i="1"/>
  <c r="F3239" i="1"/>
  <c r="E3239" i="1"/>
  <c r="D3239" i="1"/>
  <c r="C3239" i="1"/>
  <c r="B3239" i="1"/>
  <c r="A3239" i="1"/>
  <c r="R3238" i="1"/>
  <c r="J3238" i="1"/>
  <c r="I3238" i="1"/>
  <c r="G3238" i="1"/>
  <c r="F3238" i="1"/>
  <c r="E3238" i="1"/>
  <c r="D3238" i="1"/>
  <c r="C3238" i="1"/>
  <c r="B3238" i="1"/>
  <c r="A3238" i="1"/>
  <c r="R3237" i="1"/>
  <c r="J3237" i="1"/>
  <c r="I3237" i="1"/>
  <c r="G3237" i="1"/>
  <c r="F3237" i="1"/>
  <c r="E3237" i="1"/>
  <c r="D3237" i="1"/>
  <c r="C3237" i="1"/>
  <c r="B3237" i="1"/>
  <c r="A3237" i="1"/>
  <c r="R3236" i="1"/>
  <c r="J3236" i="1"/>
  <c r="I3236" i="1"/>
  <c r="G3236" i="1"/>
  <c r="F3236" i="1"/>
  <c r="E3236" i="1"/>
  <c r="D3236" i="1"/>
  <c r="C3236" i="1"/>
  <c r="B3236" i="1"/>
  <c r="A3236" i="1"/>
  <c r="R3235" i="1"/>
  <c r="J3235" i="1"/>
  <c r="I3235" i="1"/>
  <c r="G3235" i="1"/>
  <c r="F3235" i="1"/>
  <c r="E3235" i="1"/>
  <c r="D3235" i="1"/>
  <c r="C3235" i="1"/>
  <c r="B3235" i="1"/>
  <c r="A3235" i="1"/>
  <c r="R3234" i="1"/>
  <c r="J3234" i="1"/>
  <c r="I3234" i="1"/>
  <c r="G3234" i="1"/>
  <c r="F3234" i="1"/>
  <c r="E3234" i="1"/>
  <c r="D3234" i="1"/>
  <c r="C3234" i="1"/>
  <c r="B3234" i="1"/>
  <c r="A3234" i="1"/>
  <c r="R3233" i="1"/>
  <c r="J3233" i="1"/>
  <c r="I3233" i="1"/>
  <c r="G3233" i="1"/>
  <c r="F3233" i="1"/>
  <c r="E3233" i="1"/>
  <c r="D3233" i="1"/>
  <c r="C3233" i="1"/>
  <c r="B3233" i="1"/>
  <c r="A3233" i="1"/>
  <c r="R3232" i="1"/>
  <c r="J3232" i="1"/>
  <c r="I3232" i="1"/>
  <c r="G3232" i="1"/>
  <c r="F3232" i="1"/>
  <c r="E3232" i="1"/>
  <c r="D3232" i="1"/>
  <c r="C3232" i="1"/>
  <c r="B3232" i="1"/>
  <c r="A3232" i="1"/>
  <c r="R3231" i="1"/>
  <c r="J3231" i="1"/>
  <c r="I3231" i="1"/>
  <c r="G3231" i="1"/>
  <c r="F3231" i="1"/>
  <c r="E3231" i="1"/>
  <c r="D3231" i="1"/>
  <c r="C3231" i="1"/>
  <c r="B3231" i="1"/>
  <c r="A3231" i="1"/>
  <c r="R3230" i="1"/>
  <c r="J3230" i="1"/>
  <c r="I3230" i="1"/>
  <c r="G3230" i="1"/>
  <c r="F3230" i="1"/>
  <c r="E3230" i="1"/>
  <c r="D3230" i="1"/>
  <c r="C3230" i="1"/>
  <c r="B3230" i="1"/>
  <c r="A3230" i="1"/>
  <c r="R3229" i="1"/>
  <c r="J3229" i="1"/>
  <c r="I3229" i="1"/>
  <c r="G3229" i="1"/>
  <c r="F3229" i="1"/>
  <c r="E3229" i="1"/>
  <c r="D3229" i="1"/>
  <c r="C3229" i="1"/>
  <c r="B3229" i="1"/>
  <c r="A3229" i="1"/>
  <c r="R3228" i="1"/>
  <c r="J3228" i="1"/>
  <c r="I3228" i="1"/>
  <c r="G3228" i="1"/>
  <c r="F3228" i="1"/>
  <c r="E3228" i="1"/>
  <c r="D3228" i="1"/>
  <c r="C3228" i="1"/>
  <c r="B3228" i="1"/>
  <c r="A3228" i="1"/>
  <c r="R3227" i="1"/>
  <c r="J3227" i="1"/>
  <c r="I3227" i="1"/>
  <c r="G3227" i="1"/>
  <c r="F3227" i="1"/>
  <c r="E3227" i="1"/>
  <c r="D3227" i="1"/>
  <c r="C3227" i="1"/>
  <c r="B3227" i="1"/>
  <c r="A3227" i="1"/>
  <c r="R3226" i="1"/>
  <c r="J3226" i="1"/>
  <c r="I3226" i="1"/>
  <c r="G3226" i="1"/>
  <c r="F3226" i="1"/>
  <c r="E3226" i="1"/>
  <c r="D3226" i="1"/>
  <c r="C3226" i="1"/>
  <c r="B3226" i="1"/>
  <c r="A3226" i="1"/>
  <c r="R3225" i="1"/>
  <c r="J3225" i="1"/>
  <c r="I3225" i="1"/>
  <c r="G3225" i="1"/>
  <c r="F3225" i="1"/>
  <c r="E3225" i="1"/>
  <c r="D3225" i="1"/>
  <c r="C3225" i="1"/>
  <c r="B3225" i="1"/>
  <c r="A3225" i="1"/>
  <c r="R3224" i="1"/>
  <c r="J3224" i="1"/>
  <c r="I3224" i="1"/>
  <c r="G3224" i="1"/>
  <c r="F3224" i="1"/>
  <c r="E3224" i="1"/>
  <c r="D3224" i="1"/>
  <c r="C3224" i="1"/>
  <c r="B3224" i="1"/>
  <c r="A3224" i="1"/>
  <c r="R3223" i="1"/>
  <c r="J3223" i="1"/>
  <c r="I3223" i="1"/>
  <c r="G3223" i="1"/>
  <c r="F3223" i="1"/>
  <c r="E3223" i="1"/>
  <c r="D3223" i="1"/>
  <c r="C3223" i="1"/>
  <c r="B3223" i="1"/>
  <c r="A3223" i="1"/>
  <c r="R3222" i="1"/>
  <c r="J3222" i="1"/>
  <c r="I3222" i="1"/>
  <c r="G3222" i="1"/>
  <c r="F3222" i="1"/>
  <c r="E3222" i="1"/>
  <c r="D3222" i="1"/>
  <c r="C3222" i="1"/>
  <c r="B3222" i="1"/>
  <c r="A3222" i="1"/>
  <c r="R3221" i="1"/>
  <c r="J3221" i="1"/>
  <c r="I3221" i="1"/>
  <c r="G3221" i="1"/>
  <c r="F3221" i="1"/>
  <c r="E3221" i="1"/>
  <c r="D3221" i="1"/>
  <c r="C3221" i="1"/>
  <c r="B3221" i="1"/>
  <c r="A3221" i="1"/>
  <c r="R3220" i="1"/>
  <c r="J3220" i="1"/>
  <c r="I3220" i="1"/>
  <c r="G3220" i="1"/>
  <c r="F3220" i="1"/>
  <c r="E3220" i="1"/>
  <c r="D3220" i="1"/>
  <c r="C3220" i="1"/>
  <c r="B3220" i="1"/>
  <c r="A3220" i="1"/>
  <c r="R3219" i="1"/>
  <c r="J3219" i="1"/>
  <c r="I3219" i="1"/>
  <c r="G3219" i="1"/>
  <c r="F3219" i="1"/>
  <c r="E3219" i="1"/>
  <c r="D3219" i="1"/>
  <c r="C3219" i="1"/>
  <c r="B3219" i="1"/>
  <c r="A3219" i="1"/>
  <c r="R3218" i="1"/>
  <c r="J3218" i="1"/>
  <c r="I3218" i="1"/>
  <c r="G3218" i="1"/>
  <c r="F3218" i="1"/>
  <c r="E3218" i="1"/>
  <c r="D3218" i="1"/>
  <c r="C3218" i="1"/>
  <c r="B3218" i="1"/>
  <c r="A3218" i="1"/>
  <c r="R3217" i="1"/>
  <c r="J3217" i="1"/>
  <c r="I3217" i="1"/>
  <c r="G3217" i="1"/>
  <c r="F3217" i="1"/>
  <c r="E3217" i="1"/>
  <c r="D3217" i="1"/>
  <c r="C3217" i="1"/>
  <c r="B3217" i="1"/>
  <c r="A3217" i="1"/>
  <c r="R3216" i="1"/>
  <c r="J3216" i="1"/>
  <c r="I3216" i="1"/>
  <c r="G3216" i="1"/>
  <c r="F3216" i="1"/>
  <c r="E3216" i="1"/>
  <c r="D3216" i="1"/>
  <c r="C3216" i="1"/>
  <c r="B3216" i="1"/>
  <c r="A3216" i="1"/>
  <c r="R3215" i="1"/>
  <c r="J3215" i="1"/>
  <c r="I3215" i="1"/>
  <c r="G3215" i="1"/>
  <c r="F3215" i="1"/>
  <c r="E3215" i="1"/>
  <c r="D3215" i="1"/>
  <c r="C3215" i="1"/>
  <c r="B3215" i="1"/>
  <c r="A3215" i="1"/>
  <c r="R3214" i="1"/>
  <c r="J3214" i="1"/>
  <c r="I3214" i="1"/>
  <c r="G3214" i="1"/>
  <c r="F3214" i="1"/>
  <c r="E3214" i="1"/>
  <c r="D3214" i="1"/>
  <c r="C3214" i="1"/>
  <c r="B3214" i="1"/>
  <c r="A3214" i="1"/>
  <c r="R3213" i="1"/>
  <c r="J3213" i="1"/>
  <c r="I3213" i="1"/>
  <c r="G3213" i="1"/>
  <c r="F3213" i="1"/>
  <c r="E3213" i="1"/>
  <c r="D3213" i="1"/>
  <c r="C3213" i="1"/>
  <c r="B3213" i="1"/>
  <c r="A3213" i="1"/>
  <c r="R3212" i="1"/>
  <c r="J3212" i="1"/>
  <c r="I3212" i="1"/>
  <c r="G3212" i="1"/>
  <c r="F3212" i="1"/>
  <c r="E3212" i="1"/>
  <c r="D3212" i="1"/>
  <c r="C3212" i="1"/>
  <c r="B3212" i="1"/>
  <c r="A3212" i="1"/>
  <c r="R3211" i="1"/>
  <c r="J3211" i="1"/>
  <c r="I3211" i="1"/>
  <c r="G3211" i="1"/>
  <c r="F3211" i="1"/>
  <c r="E3211" i="1"/>
  <c r="D3211" i="1"/>
  <c r="C3211" i="1"/>
  <c r="B3211" i="1"/>
  <c r="A3211" i="1"/>
  <c r="R3210" i="1"/>
  <c r="J3210" i="1"/>
  <c r="I3210" i="1"/>
  <c r="G3210" i="1"/>
  <c r="F3210" i="1"/>
  <c r="E3210" i="1"/>
  <c r="D3210" i="1"/>
  <c r="C3210" i="1"/>
  <c r="B3210" i="1"/>
  <c r="A3210" i="1"/>
  <c r="R3209" i="1"/>
  <c r="J3209" i="1"/>
  <c r="I3209" i="1"/>
  <c r="G3209" i="1"/>
  <c r="F3209" i="1"/>
  <c r="E3209" i="1"/>
  <c r="D3209" i="1"/>
  <c r="C3209" i="1"/>
  <c r="B3209" i="1"/>
  <c r="A3209" i="1"/>
  <c r="R3208" i="1"/>
  <c r="J3208" i="1"/>
  <c r="I3208" i="1"/>
  <c r="G3208" i="1"/>
  <c r="F3208" i="1"/>
  <c r="E3208" i="1"/>
  <c r="D3208" i="1"/>
  <c r="C3208" i="1"/>
  <c r="B3208" i="1"/>
  <c r="A3208" i="1"/>
  <c r="R3207" i="1"/>
  <c r="J3207" i="1"/>
  <c r="I3207" i="1"/>
  <c r="G3207" i="1"/>
  <c r="F3207" i="1"/>
  <c r="E3207" i="1"/>
  <c r="D3207" i="1"/>
  <c r="C3207" i="1"/>
  <c r="B3207" i="1"/>
  <c r="A3207" i="1"/>
  <c r="R3206" i="1"/>
  <c r="J3206" i="1"/>
  <c r="I3206" i="1"/>
  <c r="G3206" i="1"/>
  <c r="F3206" i="1"/>
  <c r="E3206" i="1"/>
  <c r="D3206" i="1"/>
  <c r="C3206" i="1"/>
  <c r="B3206" i="1"/>
  <c r="A3206" i="1"/>
  <c r="R3205" i="1"/>
  <c r="J3205" i="1"/>
  <c r="I3205" i="1"/>
  <c r="G3205" i="1"/>
  <c r="F3205" i="1"/>
  <c r="E3205" i="1"/>
  <c r="D3205" i="1"/>
  <c r="C3205" i="1"/>
  <c r="B3205" i="1"/>
  <c r="A3205" i="1"/>
  <c r="R3204" i="1"/>
  <c r="J3204" i="1"/>
  <c r="I3204" i="1"/>
  <c r="G3204" i="1"/>
  <c r="F3204" i="1"/>
  <c r="E3204" i="1"/>
  <c r="D3204" i="1"/>
  <c r="C3204" i="1"/>
  <c r="B3204" i="1"/>
  <c r="A3204" i="1"/>
  <c r="R3203" i="1"/>
  <c r="J3203" i="1"/>
  <c r="I3203" i="1"/>
  <c r="G3203" i="1"/>
  <c r="F3203" i="1"/>
  <c r="E3203" i="1"/>
  <c r="D3203" i="1"/>
  <c r="C3203" i="1"/>
  <c r="B3203" i="1"/>
  <c r="A3203" i="1"/>
  <c r="R3202" i="1"/>
  <c r="J3202" i="1"/>
  <c r="I3202" i="1"/>
  <c r="G3202" i="1"/>
  <c r="F3202" i="1"/>
  <c r="E3202" i="1"/>
  <c r="D3202" i="1"/>
  <c r="C3202" i="1"/>
  <c r="B3202" i="1"/>
  <c r="A3202" i="1"/>
  <c r="R3201" i="1"/>
  <c r="J3201" i="1"/>
  <c r="I3201" i="1"/>
  <c r="G3201" i="1"/>
  <c r="F3201" i="1"/>
  <c r="E3201" i="1"/>
  <c r="D3201" i="1"/>
  <c r="C3201" i="1"/>
  <c r="B3201" i="1"/>
  <c r="A3201" i="1"/>
  <c r="R3200" i="1"/>
  <c r="J3200" i="1"/>
  <c r="I3200" i="1"/>
  <c r="G3200" i="1"/>
  <c r="F3200" i="1"/>
  <c r="E3200" i="1"/>
  <c r="D3200" i="1"/>
  <c r="C3200" i="1"/>
  <c r="B3200" i="1"/>
  <c r="A3200" i="1"/>
  <c r="R3199" i="1"/>
  <c r="J3199" i="1"/>
  <c r="I3199" i="1"/>
  <c r="G3199" i="1"/>
  <c r="F3199" i="1"/>
  <c r="E3199" i="1"/>
  <c r="D3199" i="1"/>
  <c r="C3199" i="1"/>
  <c r="B3199" i="1"/>
  <c r="A3199" i="1"/>
  <c r="R3198" i="1"/>
  <c r="J3198" i="1"/>
  <c r="I3198" i="1"/>
  <c r="G3198" i="1"/>
  <c r="F3198" i="1"/>
  <c r="E3198" i="1"/>
  <c r="D3198" i="1"/>
  <c r="C3198" i="1"/>
  <c r="B3198" i="1"/>
  <c r="A3198" i="1"/>
  <c r="R3197" i="1"/>
  <c r="J3197" i="1"/>
  <c r="I3197" i="1"/>
  <c r="G3197" i="1"/>
  <c r="F3197" i="1"/>
  <c r="E3197" i="1"/>
  <c r="D3197" i="1"/>
  <c r="C3197" i="1"/>
  <c r="B3197" i="1"/>
  <c r="A3197" i="1"/>
  <c r="R3196" i="1"/>
  <c r="J3196" i="1"/>
  <c r="I3196" i="1"/>
  <c r="G3196" i="1"/>
  <c r="F3196" i="1"/>
  <c r="E3196" i="1"/>
  <c r="D3196" i="1"/>
  <c r="C3196" i="1"/>
  <c r="B3196" i="1"/>
  <c r="A3196" i="1"/>
  <c r="R3195" i="1"/>
  <c r="J3195" i="1"/>
  <c r="I3195" i="1"/>
  <c r="G3195" i="1"/>
  <c r="F3195" i="1"/>
  <c r="E3195" i="1"/>
  <c r="D3195" i="1"/>
  <c r="C3195" i="1"/>
  <c r="B3195" i="1"/>
  <c r="A3195" i="1"/>
  <c r="R3194" i="1"/>
  <c r="J3194" i="1"/>
  <c r="I3194" i="1"/>
  <c r="G3194" i="1"/>
  <c r="F3194" i="1"/>
  <c r="E3194" i="1"/>
  <c r="D3194" i="1"/>
  <c r="C3194" i="1"/>
  <c r="B3194" i="1"/>
  <c r="A3194" i="1"/>
  <c r="R3193" i="1"/>
  <c r="J3193" i="1"/>
  <c r="I3193" i="1"/>
  <c r="G3193" i="1"/>
  <c r="F3193" i="1"/>
  <c r="E3193" i="1"/>
  <c r="D3193" i="1"/>
  <c r="C3193" i="1"/>
  <c r="B3193" i="1"/>
  <c r="A3193" i="1"/>
  <c r="R3192" i="1"/>
  <c r="J3192" i="1"/>
  <c r="I3192" i="1"/>
  <c r="G3192" i="1"/>
  <c r="F3192" i="1"/>
  <c r="E3192" i="1"/>
  <c r="D3192" i="1"/>
  <c r="C3192" i="1"/>
  <c r="B3192" i="1"/>
  <c r="A3192" i="1"/>
  <c r="R3191" i="1"/>
  <c r="J3191" i="1"/>
  <c r="I3191" i="1"/>
  <c r="G3191" i="1"/>
  <c r="F3191" i="1"/>
  <c r="E3191" i="1"/>
  <c r="D3191" i="1"/>
  <c r="C3191" i="1"/>
  <c r="B3191" i="1"/>
  <c r="A3191" i="1"/>
  <c r="S3190" i="1"/>
  <c r="O3190" i="1"/>
  <c r="K3190" i="1"/>
  <c r="J3190" i="1"/>
  <c r="I3190" i="1"/>
  <c r="H3190" i="1"/>
  <c r="G3190" i="1"/>
  <c r="F3190" i="1"/>
  <c r="E3190" i="1"/>
  <c r="D3190" i="1"/>
  <c r="C3190" i="1"/>
  <c r="B3190" i="1"/>
  <c r="A3190" i="1"/>
  <c r="R3189" i="1"/>
  <c r="J3189" i="1"/>
  <c r="I3189" i="1"/>
  <c r="G3189" i="1"/>
  <c r="F3189" i="1"/>
  <c r="E3189" i="1"/>
  <c r="D3189" i="1"/>
  <c r="C3189" i="1"/>
  <c r="B3189" i="1"/>
  <c r="A3189" i="1"/>
  <c r="R3188" i="1"/>
  <c r="J3188" i="1"/>
  <c r="I3188" i="1"/>
  <c r="G3188" i="1"/>
  <c r="F3188" i="1"/>
  <c r="E3188" i="1"/>
  <c r="D3188" i="1"/>
  <c r="C3188" i="1"/>
  <c r="B3188" i="1"/>
  <c r="A3188" i="1"/>
  <c r="R3187" i="1"/>
  <c r="J3187" i="1"/>
  <c r="I3187" i="1"/>
  <c r="G3187" i="1"/>
  <c r="F3187" i="1"/>
  <c r="E3187" i="1"/>
  <c r="D3187" i="1"/>
  <c r="C3187" i="1"/>
  <c r="B3187" i="1"/>
  <c r="A3187" i="1"/>
  <c r="R3186" i="1"/>
  <c r="J3186" i="1"/>
  <c r="I3186" i="1"/>
  <c r="G3186" i="1"/>
  <c r="F3186" i="1"/>
  <c r="E3186" i="1"/>
  <c r="D3186" i="1"/>
  <c r="C3186" i="1"/>
  <c r="B3186" i="1"/>
  <c r="A3186" i="1"/>
  <c r="R3185" i="1"/>
  <c r="J3185" i="1"/>
  <c r="I3185" i="1"/>
  <c r="G3185" i="1"/>
  <c r="F3185" i="1"/>
  <c r="E3185" i="1"/>
  <c r="D3185" i="1"/>
  <c r="C3185" i="1"/>
  <c r="B3185" i="1"/>
  <c r="A3185" i="1"/>
  <c r="R3184" i="1"/>
  <c r="J3184" i="1"/>
  <c r="I3184" i="1"/>
  <c r="G3184" i="1"/>
  <c r="F3184" i="1"/>
  <c r="E3184" i="1"/>
  <c r="D3184" i="1"/>
  <c r="C3184" i="1"/>
  <c r="B3184" i="1"/>
  <c r="A3184" i="1"/>
  <c r="R3183" i="1"/>
  <c r="J3183" i="1"/>
  <c r="I3183" i="1"/>
  <c r="G3183" i="1"/>
  <c r="F3183" i="1"/>
  <c r="E3183" i="1"/>
  <c r="D3183" i="1"/>
  <c r="C3183" i="1"/>
  <c r="B3183" i="1"/>
  <c r="A3183" i="1"/>
  <c r="R3182" i="1"/>
  <c r="J3182" i="1"/>
  <c r="I3182" i="1"/>
  <c r="G3182" i="1"/>
  <c r="F3182" i="1"/>
  <c r="E3182" i="1"/>
  <c r="D3182" i="1"/>
  <c r="C3182" i="1"/>
  <c r="B3182" i="1"/>
  <c r="A3182" i="1"/>
  <c r="R3181" i="1"/>
  <c r="J3181" i="1"/>
  <c r="I3181" i="1"/>
  <c r="G3181" i="1"/>
  <c r="F3181" i="1"/>
  <c r="E3181" i="1"/>
  <c r="D3181" i="1"/>
  <c r="C3181" i="1"/>
  <c r="B3181" i="1"/>
  <c r="A3181" i="1"/>
  <c r="R3180" i="1"/>
  <c r="J3180" i="1"/>
  <c r="I3180" i="1"/>
  <c r="G3180" i="1"/>
  <c r="F3180" i="1"/>
  <c r="E3180" i="1"/>
  <c r="D3180" i="1"/>
  <c r="C3180" i="1"/>
  <c r="B3180" i="1"/>
  <c r="A3180" i="1"/>
  <c r="R3179" i="1"/>
  <c r="J3179" i="1"/>
  <c r="I3179" i="1"/>
  <c r="G3179" i="1"/>
  <c r="F3179" i="1"/>
  <c r="E3179" i="1"/>
  <c r="D3179" i="1"/>
  <c r="C3179" i="1"/>
  <c r="B3179" i="1"/>
  <c r="A3179" i="1"/>
  <c r="R3178" i="1"/>
  <c r="J3178" i="1"/>
  <c r="I3178" i="1"/>
  <c r="G3178" i="1"/>
  <c r="F3178" i="1"/>
  <c r="E3178" i="1"/>
  <c r="D3178" i="1"/>
  <c r="C3178" i="1"/>
  <c r="B3178" i="1"/>
  <c r="A3178" i="1"/>
  <c r="R3177" i="1"/>
  <c r="J3177" i="1"/>
  <c r="I3177" i="1"/>
  <c r="G3177" i="1"/>
  <c r="F3177" i="1"/>
  <c r="E3177" i="1"/>
  <c r="D3177" i="1"/>
  <c r="C3177" i="1"/>
  <c r="B3177" i="1"/>
  <c r="A3177" i="1"/>
  <c r="R3176" i="1"/>
  <c r="J3176" i="1"/>
  <c r="I3176" i="1"/>
  <c r="G3176" i="1"/>
  <c r="F3176" i="1"/>
  <c r="E3176" i="1"/>
  <c r="D3176" i="1"/>
  <c r="C3176" i="1"/>
  <c r="B3176" i="1"/>
  <c r="A3176" i="1"/>
  <c r="R3175" i="1"/>
  <c r="J3175" i="1"/>
  <c r="I3175" i="1"/>
  <c r="G3175" i="1"/>
  <c r="F3175" i="1"/>
  <c r="E3175" i="1"/>
  <c r="D3175" i="1"/>
  <c r="C3175" i="1"/>
  <c r="B3175" i="1"/>
  <c r="A3175" i="1"/>
  <c r="R3174" i="1"/>
  <c r="J3174" i="1"/>
  <c r="I3174" i="1"/>
  <c r="G3174" i="1"/>
  <c r="F3174" i="1"/>
  <c r="E3174" i="1"/>
  <c r="D3174" i="1"/>
  <c r="C3174" i="1"/>
  <c r="B3174" i="1"/>
  <c r="A3174" i="1"/>
  <c r="R3173" i="1"/>
  <c r="J3173" i="1"/>
  <c r="I3173" i="1"/>
  <c r="G3173" i="1"/>
  <c r="F3173" i="1"/>
  <c r="E3173" i="1"/>
  <c r="D3173" i="1"/>
  <c r="C3173" i="1"/>
  <c r="B3173" i="1"/>
  <c r="A3173" i="1"/>
  <c r="S3172" i="1"/>
  <c r="O3172" i="1"/>
  <c r="K3172" i="1"/>
  <c r="J3172" i="1"/>
  <c r="I3172" i="1"/>
  <c r="H3172" i="1"/>
  <c r="G3172" i="1"/>
  <c r="F3172" i="1"/>
  <c r="E3172" i="1"/>
  <c r="D3172" i="1"/>
  <c r="C3172" i="1"/>
  <c r="B3172" i="1"/>
  <c r="A3172" i="1"/>
  <c r="R3171" i="1"/>
  <c r="J3171" i="1"/>
  <c r="I3171" i="1"/>
  <c r="G3171" i="1"/>
  <c r="F3171" i="1"/>
  <c r="E3171" i="1"/>
  <c r="D3171" i="1"/>
  <c r="C3171" i="1"/>
  <c r="B3171" i="1"/>
  <c r="A3171" i="1"/>
  <c r="R3170" i="1"/>
  <c r="J3170" i="1"/>
  <c r="I3170" i="1"/>
  <c r="G3170" i="1"/>
  <c r="F3170" i="1"/>
  <c r="E3170" i="1"/>
  <c r="D3170" i="1"/>
  <c r="C3170" i="1"/>
  <c r="B3170" i="1"/>
  <c r="A3170" i="1"/>
  <c r="R3169" i="1"/>
  <c r="J3169" i="1"/>
  <c r="I3169" i="1"/>
  <c r="G3169" i="1"/>
  <c r="F3169" i="1"/>
  <c r="E3169" i="1"/>
  <c r="D3169" i="1"/>
  <c r="C3169" i="1"/>
  <c r="B3169" i="1"/>
  <c r="A3169" i="1"/>
  <c r="R3168" i="1"/>
  <c r="J3168" i="1"/>
  <c r="I3168" i="1"/>
  <c r="G3168" i="1"/>
  <c r="F3168" i="1"/>
  <c r="E3168" i="1"/>
  <c r="D3168" i="1"/>
  <c r="C3168" i="1"/>
  <c r="B3168" i="1"/>
  <c r="A3168" i="1"/>
  <c r="R3167" i="1"/>
  <c r="J3167" i="1"/>
  <c r="I3167" i="1"/>
  <c r="G3167" i="1"/>
  <c r="F3167" i="1"/>
  <c r="E3167" i="1"/>
  <c r="D3167" i="1"/>
  <c r="C3167" i="1"/>
  <c r="B3167" i="1"/>
  <c r="A3167" i="1"/>
  <c r="R3166" i="1"/>
  <c r="J3166" i="1"/>
  <c r="I3166" i="1"/>
  <c r="G3166" i="1"/>
  <c r="F3166" i="1"/>
  <c r="E3166" i="1"/>
  <c r="D3166" i="1"/>
  <c r="C3166" i="1"/>
  <c r="B3166" i="1"/>
  <c r="A3166" i="1"/>
  <c r="R3165" i="1"/>
  <c r="J3165" i="1"/>
  <c r="I3165" i="1"/>
  <c r="G3165" i="1"/>
  <c r="F3165" i="1"/>
  <c r="E3165" i="1"/>
  <c r="D3165" i="1"/>
  <c r="C3165" i="1"/>
  <c r="B3165" i="1"/>
  <c r="A3165" i="1"/>
  <c r="R3164" i="1"/>
  <c r="J3164" i="1"/>
  <c r="I3164" i="1"/>
  <c r="G3164" i="1"/>
  <c r="F3164" i="1"/>
  <c r="E3164" i="1"/>
  <c r="D3164" i="1"/>
  <c r="C3164" i="1"/>
  <c r="B3164" i="1"/>
  <c r="A3164" i="1"/>
  <c r="R3163" i="1"/>
  <c r="J3163" i="1"/>
  <c r="I3163" i="1"/>
  <c r="G3163" i="1"/>
  <c r="F3163" i="1"/>
  <c r="E3163" i="1"/>
  <c r="D3163" i="1"/>
  <c r="C3163" i="1"/>
  <c r="B3163" i="1"/>
  <c r="A3163" i="1"/>
  <c r="R3162" i="1"/>
  <c r="J3162" i="1"/>
  <c r="I3162" i="1"/>
  <c r="G3162" i="1"/>
  <c r="F3162" i="1"/>
  <c r="E3162" i="1"/>
  <c r="D3162" i="1"/>
  <c r="C3162" i="1"/>
  <c r="B3162" i="1"/>
  <c r="A3162" i="1"/>
  <c r="S3161" i="1"/>
  <c r="O3161" i="1"/>
  <c r="K3161" i="1"/>
  <c r="J3161" i="1"/>
  <c r="I3161" i="1"/>
  <c r="H3161" i="1"/>
  <c r="G3161" i="1"/>
  <c r="F3161" i="1"/>
  <c r="E3161" i="1"/>
  <c r="D3161" i="1"/>
  <c r="C3161" i="1"/>
  <c r="B3161" i="1"/>
  <c r="A3161" i="1"/>
  <c r="R3160" i="1"/>
  <c r="J3160" i="1"/>
  <c r="I3160" i="1"/>
  <c r="G3160" i="1"/>
  <c r="F3160" i="1"/>
  <c r="E3160" i="1"/>
  <c r="D3160" i="1"/>
  <c r="C3160" i="1"/>
  <c r="B3160" i="1"/>
  <c r="A3160" i="1"/>
  <c r="S3159" i="1"/>
  <c r="O3159" i="1"/>
  <c r="K3159" i="1"/>
  <c r="J3159" i="1"/>
  <c r="I3159" i="1"/>
  <c r="H3159" i="1"/>
  <c r="G3159" i="1"/>
  <c r="F3159" i="1"/>
  <c r="E3159" i="1"/>
  <c r="D3159" i="1"/>
  <c r="C3159" i="1"/>
  <c r="B3159" i="1"/>
  <c r="A3159" i="1"/>
  <c r="R3158" i="1"/>
  <c r="J3158" i="1"/>
  <c r="I3158" i="1"/>
  <c r="G3158" i="1"/>
  <c r="F3158" i="1"/>
  <c r="E3158" i="1"/>
  <c r="D3158" i="1"/>
  <c r="C3158" i="1"/>
  <c r="B3158" i="1"/>
  <c r="A3158" i="1"/>
  <c r="S3157" i="1"/>
  <c r="O3157" i="1"/>
  <c r="K3157" i="1"/>
  <c r="J3157" i="1"/>
  <c r="I3157" i="1"/>
  <c r="H3157" i="1"/>
  <c r="G3157" i="1"/>
  <c r="F3157" i="1"/>
  <c r="E3157" i="1"/>
  <c r="D3157" i="1"/>
  <c r="C3157" i="1"/>
  <c r="B3157" i="1"/>
  <c r="A3157" i="1"/>
  <c r="R3156" i="1"/>
  <c r="J3156" i="1"/>
  <c r="I3156" i="1"/>
  <c r="G3156" i="1"/>
  <c r="F3156" i="1"/>
  <c r="E3156" i="1"/>
  <c r="D3156" i="1"/>
  <c r="C3156" i="1"/>
  <c r="B3156" i="1"/>
  <c r="A3156" i="1"/>
  <c r="R3155" i="1"/>
  <c r="J3155" i="1"/>
  <c r="I3155" i="1"/>
  <c r="G3155" i="1"/>
  <c r="F3155" i="1"/>
  <c r="E3155" i="1"/>
  <c r="D3155" i="1"/>
  <c r="C3155" i="1"/>
  <c r="B3155" i="1"/>
  <c r="A3155" i="1"/>
  <c r="S3154" i="1"/>
  <c r="O3154" i="1"/>
  <c r="K3154" i="1"/>
  <c r="J3154" i="1"/>
  <c r="I3154" i="1"/>
  <c r="H3154" i="1"/>
  <c r="G3154" i="1"/>
  <c r="F3154" i="1"/>
  <c r="E3154" i="1"/>
  <c r="D3154" i="1"/>
  <c r="C3154" i="1"/>
  <c r="B3154" i="1"/>
  <c r="A3154" i="1"/>
  <c r="R3153" i="1"/>
  <c r="J3153" i="1"/>
  <c r="I3153" i="1"/>
  <c r="G3153" i="1"/>
  <c r="F3153" i="1"/>
  <c r="E3153" i="1"/>
  <c r="D3153" i="1"/>
  <c r="C3153" i="1"/>
  <c r="B3153" i="1"/>
  <c r="A3153" i="1"/>
  <c r="R3152" i="1"/>
  <c r="J3152" i="1"/>
  <c r="I3152" i="1"/>
  <c r="G3152" i="1"/>
  <c r="F3152" i="1"/>
  <c r="E3152" i="1"/>
  <c r="D3152" i="1"/>
  <c r="C3152" i="1"/>
  <c r="B3152" i="1"/>
  <c r="A3152" i="1"/>
  <c r="R3151" i="1"/>
  <c r="J3151" i="1"/>
  <c r="I3151" i="1"/>
  <c r="G3151" i="1"/>
  <c r="F3151" i="1"/>
  <c r="E3151" i="1"/>
  <c r="D3151" i="1"/>
  <c r="C3151" i="1"/>
  <c r="B3151" i="1"/>
  <c r="A3151" i="1"/>
  <c r="R3150" i="1"/>
  <c r="J3150" i="1"/>
  <c r="I3150" i="1"/>
  <c r="G3150" i="1"/>
  <c r="F3150" i="1"/>
  <c r="E3150" i="1"/>
  <c r="D3150" i="1"/>
  <c r="C3150" i="1"/>
  <c r="B3150" i="1"/>
  <c r="A3150" i="1"/>
  <c r="S3149" i="1"/>
  <c r="O3149" i="1"/>
  <c r="K3149" i="1"/>
  <c r="J3149" i="1"/>
  <c r="I3149" i="1"/>
  <c r="H3149" i="1"/>
  <c r="G3149" i="1"/>
  <c r="F3149" i="1"/>
  <c r="E3149" i="1"/>
  <c r="D3149" i="1"/>
  <c r="C3149" i="1"/>
  <c r="B3149" i="1"/>
  <c r="A3149" i="1"/>
  <c r="R3148" i="1"/>
  <c r="J3148" i="1"/>
  <c r="I3148" i="1"/>
  <c r="G3148" i="1"/>
  <c r="F3148" i="1"/>
  <c r="E3148" i="1"/>
  <c r="D3148" i="1"/>
  <c r="C3148" i="1"/>
  <c r="B3148" i="1"/>
  <c r="A3148" i="1"/>
  <c r="S3147" i="1"/>
  <c r="O3147" i="1"/>
  <c r="K3147" i="1"/>
  <c r="J3147" i="1"/>
  <c r="I3147" i="1"/>
  <c r="H3147" i="1"/>
  <c r="G3147" i="1"/>
  <c r="F3147" i="1"/>
  <c r="E3147" i="1"/>
  <c r="D3147" i="1"/>
  <c r="C3147" i="1"/>
  <c r="B3147" i="1"/>
  <c r="A3147" i="1"/>
  <c r="R3146" i="1"/>
  <c r="J3146" i="1"/>
  <c r="I3146" i="1"/>
  <c r="G3146" i="1"/>
  <c r="F3146" i="1"/>
  <c r="E3146" i="1"/>
  <c r="D3146" i="1"/>
  <c r="C3146" i="1"/>
  <c r="B3146" i="1"/>
  <c r="A3146" i="1"/>
  <c r="R3145" i="1"/>
  <c r="J3145" i="1"/>
  <c r="I3145" i="1"/>
  <c r="G3145" i="1"/>
  <c r="F3145" i="1"/>
  <c r="E3145" i="1"/>
  <c r="D3145" i="1"/>
  <c r="C3145" i="1"/>
  <c r="B3145" i="1"/>
  <c r="A3145" i="1"/>
  <c r="R3144" i="1"/>
  <c r="J3144" i="1"/>
  <c r="I3144" i="1"/>
  <c r="G3144" i="1"/>
  <c r="F3144" i="1"/>
  <c r="E3144" i="1"/>
  <c r="D3144" i="1"/>
  <c r="C3144" i="1"/>
  <c r="B3144" i="1"/>
  <c r="A3144" i="1"/>
  <c r="R3143" i="1"/>
  <c r="J3143" i="1"/>
  <c r="I3143" i="1"/>
  <c r="G3143" i="1"/>
  <c r="F3143" i="1"/>
  <c r="E3143" i="1"/>
  <c r="D3143" i="1"/>
  <c r="C3143" i="1"/>
  <c r="B3143" i="1"/>
  <c r="A3143" i="1"/>
  <c r="S3142" i="1"/>
  <c r="O3142" i="1"/>
  <c r="K3142" i="1"/>
  <c r="J3142" i="1"/>
  <c r="I3142" i="1"/>
  <c r="H3142" i="1"/>
  <c r="G3142" i="1"/>
  <c r="F3142" i="1"/>
  <c r="E3142" i="1"/>
  <c r="D3142" i="1"/>
  <c r="C3142" i="1"/>
  <c r="B3142" i="1"/>
  <c r="A3142" i="1"/>
  <c r="R3141" i="1"/>
  <c r="J3141" i="1"/>
  <c r="I3141" i="1"/>
  <c r="G3141" i="1"/>
  <c r="F3141" i="1"/>
  <c r="E3141" i="1"/>
  <c r="D3141" i="1"/>
  <c r="C3141" i="1"/>
  <c r="B3141" i="1"/>
  <c r="A3141" i="1"/>
  <c r="R3140" i="1"/>
  <c r="J3140" i="1"/>
  <c r="I3140" i="1"/>
  <c r="G3140" i="1"/>
  <c r="F3140" i="1"/>
  <c r="E3140" i="1"/>
  <c r="D3140" i="1"/>
  <c r="C3140" i="1"/>
  <c r="B3140" i="1"/>
  <c r="A3140" i="1"/>
  <c r="R3139" i="1"/>
  <c r="J3139" i="1"/>
  <c r="I3139" i="1"/>
  <c r="G3139" i="1"/>
  <c r="F3139" i="1"/>
  <c r="E3139" i="1"/>
  <c r="D3139" i="1"/>
  <c r="C3139" i="1"/>
  <c r="B3139" i="1"/>
  <c r="A3139" i="1"/>
  <c r="S3138" i="1"/>
  <c r="O3138" i="1"/>
  <c r="K3138" i="1"/>
  <c r="J3138" i="1"/>
  <c r="I3138" i="1"/>
  <c r="H3138" i="1"/>
  <c r="G3138" i="1"/>
  <c r="F3138" i="1"/>
  <c r="E3138" i="1"/>
  <c r="D3138" i="1"/>
  <c r="C3138" i="1"/>
  <c r="B3138" i="1"/>
  <c r="A3138" i="1"/>
  <c r="R3137" i="1"/>
  <c r="J3137" i="1"/>
  <c r="I3137" i="1"/>
  <c r="G3137" i="1"/>
  <c r="F3137" i="1"/>
  <c r="E3137" i="1"/>
  <c r="D3137" i="1"/>
  <c r="C3137" i="1"/>
  <c r="B3137" i="1"/>
  <c r="A3137" i="1"/>
  <c r="S3136" i="1"/>
  <c r="O3136" i="1"/>
  <c r="K3136" i="1"/>
  <c r="J3136" i="1"/>
  <c r="I3136" i="1"/>
  <c r="H3136" i="1"/>
  <c r="G3136" i="1"/>
  <c r="F3136" i="1"/>
  <c r="E3136" i="1"/>
  <c r="D3136" i="1"/>
  <c r="C3136" i="1"/>
  <c r="B3136" i="1"/>
  <c r="A3136" i="1"/>
  <c r="R3135" i="1"/>
  <c r="J3135" i="1"/>
  <c r="I3135" i="1"/>
  <c r="G3135" i="1"/>
  <c r="F3135" i="1"/>
  <c r="E3135" i="1"/>
  <c r="D3135" i="1"/>
  <c r="C3135" i="1"/>
  <c r="B3135" i="1"/>
  <c r="A3135" i="1"/>
  <c r="S3134" i="1"/>
  <c r="O3134" i="1"/>
  <c r="K3134" i="1"/>
  <c r="J3134" i="1"/>
  <c r="I3134" i="1"/>
  <c r="H3134" i="1"/>
  <c r="G3134" i="1"/>
  <c r="F3134" i="1"/>
  <c r="E3134" i="1"/>
  <c r="D3134" i="1"/>
  <c r="C3134" i="1"/>
  <c r="B3134" i="1"/>
  <c r="A3134" i="1"/>
  <c r="R3133" i="1"/>
  <c r="J3133" i="1"/>
  <c r="I3133" i="1"/>
  <c r="G3133" i="1"/>
  <c r="F3133" i="1"/>
  <c r="E3133" i="1"/>
  <c r="D3133" i="1"/>
  <c r="C3133" i="1"/>
  <c r="B3133" i="1"/>
  <c r="A3133" i="1"/>
  <c r="S3132" i="1"/>
  <c r="O3132" i="1"/>
  <c r="K3132" i="1"/>
  <c r="J3132" i="1"/>
  <c r="I3132" i="1"/>
  <c r="H3132" i="1"/>
  <c r="G3132" i="1"/>
  <c r="F3132" i="1"/>
  <c r="E3132" i="1"/>
  <c r="D3132" i="1"/>
  <c r="C3132" i="1"/>
  <c r="B3132" i="1"/>
  <c r="A3132" i="1"/>
  <c r="R3131" i="1"/>
  <c r="J3131" i="1"/>
  <c r="I3131" i="1"/>
  <c r="G3131" i="1"/>
  <c r="F3131" i="1"/>
  <c r="E3131" i="1"/>
  <c r="D3131" i="1"/>
  <c r="C3131" i="1"/>
  <c r="B3131" i="1"/>
  <c r="A3131" i="1"/>
  <c r="R3130" i="1"/>
  <c r="J3130" i="1"/>
  <c r="I3130" i="1"/>
  <c r="G3130" i="1"/>
  <c r="F3130" i="1"/>
  <c r="E3130" i="1"/>
  <c r="D3130" i="1"/>
  <c r="C3130" i="1"/>
  <c r="B3130" i="1"/>
  <c r="A3130" i="1"/>
  <c r="S3129" i="1"/>
  <c r="O3129" i="1"/>
  <c r="K3129" i="1"/>
  <c r="J3129" i="1"/>
  <c r="I3129" i="1"/>
  <c r="H3129" i="1"/>
  <c r="G3129" i="1"/>
  <c r="F3129" i="1"/>
  <c r="E3129" i="1"/>
  <c r="D3129" i="1"/>
  <c r="C3129" i="1"/>
  <c r="B3129" i="1"/>
  <c r="A3129" i="1"/>
  <c r="R3128" i="1"/>
  <c r="J3128" i="1"/>
  <c r="I3128" i="1"/>
  <c r="G3128" i="1"/>
  <c r="F3128" i="1"/>
  <c r="E3128" i="1"/>
  <c r="D3128" i="1"/>
  <c r="C3128" i="1"/>
  <c r="B3128" i="1"/>
  <c r="A3128" i="1"/>
  <c r="R3127" i="1"/>
  <c r="J3127" i="1"/>
  <c r="I3127" i="1"/>
  <c r="G3127" i="1"/>
  <c r="F3127" i="1"/>
  <c r="E3127" i="1"/>
  <c r="D3127" i="1"/>
  <c r="C3127" i="1"/>
  <c r="B3127" i="1"/>
  <c r="A3127" i="1"/>
  <c r="R3126" i="1"/>
  <c r="J3126" i="1"/>
  <c r="I3126" i="1"/>
  <c r="G3126" i="1"/>
  <c r="F3126" i="1"/>
  <c r="E3126" i="1"/>
  <c r="D3126" i="1"/>
  <c r="C3126" i="1"/>
  <c r="B3126" i="1"/>
  <c r="A3126" i="1"/>
  <c r="R3125" i="1"/>
  <c r="J3125" i="1"/>
  <c r="I3125" i="1"/>
  <c r="G3125" i="1"/>
  <c r="F3125" i="1"/>
  <c r="E3125" i="1"/>
  <c r="D3125" i="1"/>
  <c r="C3125" i="1"/>
  <c r="B3125" i="1"/>
  <c r="A3125" i="1"/>
  <c r="R3124" i="1"/>
  <c r="J3124" i="1"/>
  <c r="I3124" i="1"/>
  <c r="G3124" i="1"/>
  <c r="F3124" i="1"/>
  <c r="E3124" i="1"/>
  <c r="D3124" i="1"/>
  <c r="C3124" i="1"/>
  <c r="B3124" i="1"/>
  <c r="A3124" i="1"/>
  <c r="S3123" i="1"/>
  <c r="O3123" i="1"/>
  <c r="K3123" i="1"/>
  <c r="J3123" i="1"/>
  <c r="I3123" i="1"/>
  <c r="H3123" i="1"/>
  <c r="G3123" i="1"/>
  <c r="F3123" i="1"/>
  <c r="E3123" i="1"/>
  <c r="D3123" i="1"/>
  <c r="C3123" i="1"/>
  <c r="B3123" i="1"/>
  <c r="A3123" i="1"/>
  <c r="R3122" i="1"/>
  <c r="J3122" i="1"/>
  <c r="I3122" i="1"/>
  <c r="G3122" i="1"/>
  <c r="F3122" i="1"/>
  <c r="E3122" i="1"/>
  <c r="D3122" i="1"/>
  <c r="C3122" i="1"/>
  <c r="B3122" i="1"/>
  <c r="A3122" i="1"/>
  <c r="R3121" i="1"/>
  <c r="J3121" i="1"/>
  <c r="I3121" i="1"/>
  <c r="G3121" i="1"/>
  <c r="F3121" i="1"/>
  <c r="E3121" i="1"/>
  <c r="D3121" i="1"/>
  <c r="C3121" i="1"/>
  <c r="B3121" i="1"/>
  <c r="A3121" i="1"/>
  <c r="R3120" i="1"/>
  <c r="J3120" i="1"/>
  <c r="I3120" i="1"/>
  <c r="G3120" i="1"/>
  <c r="F3120" i="1"/>
  <c r="E3120" i="1"/>
  <c r="D3120" i="1"/>
  <c r="C3120" i="1"/>
  <c r="B3120" i="1"/>
  <c r="A3120" i="1"/>
  <c r="S3119" i="1"/>
  <c r="O3119" i="1"/>
  <c r="K3119" i="1"/>
  <c r="J3119" i="1"/>
  <c r="I3119" i="1"/>
  <c r="H3119" i="1"/>
  <c r="G3119" i="1"/>
  <c r="F3119" i="1"/>
  <c r="E3119" i="1"/>
  <c r="D3119" i="1"/>
  <c r="C3119" i="1"/>
  <c r="B3119" i="1"/>
  <c r="A3119" i="1"/>
  <c r="R3118" i="1"/>
  <c r="J3118" i="1"/>
  <c r="I3118" i="1"/>
  <c r="G3118" i="1"/>
  <c r="F3118" i="1"/>
  <c r="E3118" i="1"/>
  <c r="D3118" i="1"/>
  <c r="C3118" i="1"/>
  <c r="B3118" i="1"/>
  <c r="A3118" i="1"/>
  <c r="S3117" i="1"/>
  <c r="O3117" i="1"/>
  <c r="K3117" i="1"/>
  <c r="J3117" i="1"/>
  <c r="I3117" i="1"/>
  <c r="H3117" i="1"/>
  <c r="G3117" i="1"/>
  <c r="F3117" i="1"/>
  <c r="E3117" i="1"/>
  <c r="D3117" i="1"/>
  <c r="C3117" i="1"/>
  <c r="B3117" i="1"/>
  <c r="A3117" i="1"/>
  <c r="R3116" i="1"/>
  <c r="J3116" i="1"/>
  <c r="I3116" i="1"/>
  <c r="G3116" i="1"/>
  <c r="F3116" i="1"/>
  <c r="E3116" i="1"/>
  <c r="D3116" i="1"/>
  <c r="C3116" i="1"/>
  <c r="B3116" i="1"/>
  <c r="A3116" i="1"/>
  <c r="S3115" i="1"/>
  <c r="O3115" i="1"/>
  <c r="K3115" i="1"/>
  <c r="J3115" i="1"/>
  <c r="I3115" i="1"/>
  <c r="H3115" i="1"/>
  <c r="G3115" i="1"/>
  <c r="F3115" i="1"/>
  <c r="E3115" i="1"/>
  <c r="D3115" i="1"/>
  <c r="C3115" i="1"/>
  <c r="B3115" i="1"/>
  <c r="A3115" i="1"/>
  <c r="R3114" i="1"/>
  <c r="J3114" i="1"/>
  <c r="I3114" i="1"/>
  <c r="G3114" i="1"/>
  <c r="F3114" i="1"/>
  <c r="E3114" i="1"/>
  <c r="D3114" i="1"/>
  <c r="C3114" i="1"/>
  <c r="B3114" i="1"/>
  <c r="A3114" i="1"/>
  <c r="S3113" i="1"/>
  <c r="O3113" i="1"/>
  <c r="K3113" i="1"/>
  <c r="J3113" i="1"/>
  <c r="I3113" i="1"/>
  <c r="H3113" i="1"/>
  <c r="G3113" i="1"/>
  <c r="F3113" i="1"/>
  <c r="E3113" i="1"/>
  <c r="D3113" i="1"/>
  <c r="C3113" i="1"/>
  <c r="B3113" i="1"/>
  <c r="A3113" i="1"/>
  <c r="R3112" i="1"/>
  <c r="J3112" i="1"/>
  <c r="I3112" i="1"/>
  <c r="G3112" i="1"/>
  <c r="F3112" i="1"/>
  <c r="E3112" i="1"/>
  <c r="D3112" i="1"/>
  <c r="C3112" i="1"/>
  <c r="B3112" i="1"/>
  <c r="A3112" i="1"/>
  <c r="S3111" i="1"/>
  <c r="O3111" i="1"/>
  <c r="K3111" i="1"/>
  <c r="J3111" i="1"/>
  <c r="I3111" i="1"/>
  <c r="H3111" i="1"/>
  <c r="G3111" i="1"/>
  <c r="F3111" i="1"/>
  <c r="E3111" i="1"/>
  <c r="D3111" i="1"/>
  <c r="C3111" i="1"/>
  <c r="B3111" i="1"/>
  <c r="A3111" i="1"/>
  <c r="R3110" i="1"/>
  <c r="J3110" i="1"/>
  <c r="I3110" i="1"/>
  <c r="G3110" i="1"/>
  <c r="F3110" i="1"/>
  <c r="E3110" i="1"/>
  <c r="D3110" i="1"/>
  <c r="C3110" i="1"/>
  <c r="B3110" i="1"/>
  <c r="A3110" i="1"/>
  <c r="S3109" i="1"/>
  <c r="O3109" i="1"/>
  <c r="K3109" i="1"/>
  <c r="J3109" i="1"/>
  <c r="I3109" i="1"/>
  <c r="H3109" i="1"/>
  <c r="G3109" i="1"/>
  <c r="F3109" i="1"/>
  <c r="E3109" i="1"/>
  <c r="D3109" i="1"/>
  <c r="C3109" i="1"/>
  <c r="B3109" i="1"/>
  <c r="A3109" i="1"/>
  <c r="R3108" i="1"/>
  <c r="J3108" i="1"/>
  <c r="I3108" i="1"/>
  <c r="G3108" i="1"/>
  <c r="F3108" i="1"/>
  <c r="E3108" i="1"/>
  <c r="D3108" i="1"/>
  <c r="C3108" i="1"/>
  <c r="B3108" i="1"/>
  <c r="A3108" i="1"/>
  <c r="S3107" i="1"/>
  <c r="O3107" i="1"/>
  <c r="K3107" i="1"/>
  <c r="J3107" i="1"/>
  <c r="I3107" i="1"/>
  <c r="H3107" i="1"/>
  <c r="G3107" i="1"/>
  <c r="F3107" i="1"/>
  <c r="E3107" i="1"/>
  <c r="D3107" i="1"/>
  <c r="C3107" i="1"/>
  <c r="B3107" i="1"/>
  <c r="A3107" i="1"/>
  <c r="R3106" i="1"/>
  <c r="J3106" i="1"/>
  <c r="I3106" i="1"/>
  <c r="G3106" i="1"/>
  <c r="F3106" i="1"/>
  <c r="E3106" i="1"/>
  <c r="D3106" i="1"/>
  <c r="C3106" i="1"/>
  <c r="B3106" i="1"/>
  <c r="A3106" i="1"/>
  <c r="S3105" i="1"/>
  <c r="O3105" i="1"/>
  <c r="K3105" i="1"/>
  <c r="J3105" i="1"/>
  <c r="I3105" i="1"/>
  <c r="H3105" i="1"/>
  <c r="G3105" i="1"/>
  <c r="F3105" i="1"/>
  <c r="E3105" i="1"/>
  <c r="D3105" i="1"/>
  <c r="C3105" i="1"/>
  <c r="B3105" i="1"/>
  <c r="A3105" i="1"/>
  <c r="R3104" i="1"/>
  <c r="J3104" i="1"/>
  <c r="I3104" i="1"/>
  <c r="G3104" i="1"/>
  <c r="F3104" i="1"/>
  <c r="E3104" i="1"/>
  <c r="D3104" i="1"/>
  <c r="C3104" i="1"/>
  <c r="B3104" i="1"/>
  <c r="A3104" i="1"/>
  <c r="S3103" i="1"/>
  <c r="O3103" i="1"/>
  <c r="K3103" i="1"/>
  <c r="J3103" i="1"/>
  <c r="I3103" i="1"/>
  <c r="H3103" i="1"/>
  <c r="G3103" i="1"/>
  <c r="F3103" i="1"/>
  <c r="E3103" i="1"/>
  <c r="D3103" i="1"/>
  <c r="C3103" i="1"/>
  <c r="B3103" i="1"/>
  <c r="A3103" i="1"/>
  <c r="R3102" i="1"/>
  <c r="J3102" i="1"/>
  <c r="I3102" i="1"/>
  <c r="G3102" i="1"/>
  <c r="F3102" i="1"/>
  <c r="E3102" i="1"/>
  <c r="D3102" i="1"/>
  <c r="C3102" i="1"/>
  <c r="B3102" i="1"/>
  <c r="A3102" i="1"/>
  <c r="S3101" i="1"/>
  <c r="O3101" i="1"/>
  <c r="K3101" i="1"/>
  <c r="J3101" i="1"/>
  <c r="I3101" i="1"/>
  <c r="H3101" i="1"/>
  <c r="G3101" i="1"/>
  <c r="F3101" i="1"/>
  <c r="E3101" i="1"/>
  <c r="D3101" i="1"/>
  <c r="C3101" i="1"/>
  <c r="B3101" i="1"/>
  <c r="A3101" i="1"/>
  <c r="R3100" i="1"/>
  <c r="J3100" i="1"/>
  <c r="I3100" i="1"/>
  <c r="G3100" i="1"/>
  <c r="F3100" i="1"/>
  <c r="E3100" i="1"/>
  <c r="D3100" i="1"/>
  <c r="C3100" i="1"/>
  <c r="B3100" i="1"/>
  <c r="A3100" i="1"/>
  <c r="S3099" i="1"/>
  <c r="O3099" i="1"/>
  <c r="K3099" i="1"/>
  <c r="J3099" i="1"/>
  <c r="I3099" i="1"/>
  <c r="H3099" i="1"/>
  <c r="G3099" i="1"/>
  <c r="F3099" i="1"/>
  <c r="E3099" i="1"/>
  <c r="D3099" i="1"/>
  <c r="C3099" i="1"/>
  <c r="B3099" i="1"/>
  <c r="A3099" i="1"/>
  <c r="R3098" i="1"/>
  <c r="J3098" i="1"/>
  <c r="I3098" i="1"/>
  <c r="G3098" i="1"/>
  <c r="F3098" i="1"/>
  <c r="E3098" i="1"/>
  <c r="D3098" i="1"/>
  <c r="C3098" i="1"/>
  <c r="B3098" i="1"/>
  <c r="A3098" i="1"/>
  <c r="S3097" i="1"/>
  <c r="O3097" i="1"/>
  <c r="K3097" i="1"/>
  <c r="J3097" i="1"/>
  <c r="I3097" i="1"/>
  <c r="H3097" i="1"/>
  <c r="G3097" i="1"/>
  <c r="F3097" i="1"/>
  <c r="E3097" i="1"/>
  <c r="D3097" i="1"/>
  <c r="C3097" i="1"/>
  <c r="B3097" i="1"/>
  <c r="A3097" i="1"/>
  <c r="R3096" i="1"/>
  <c r="J3096" i="1"/>
  <c r="I3096" i="1"/>
  <c r="G3096" i="1"/>
  <c r="F3096" i="1"/>
  <c r="E3096" i="1"/>
  <c r="D3096" i="1"/>
  <c r="C3096" i="1"/>
  <c r="B3096" i="1"/>
  <c r="A3096" i="1"/>
  <c r="S3095" i="1"/>
  <c r="O3095" i="1"/>
  <c r="K3095" i="1"/>
  <c r="J3095" i="1"/>
  <c r="I3095" i="1"/>
  <c r="H3095" i="1"/>
  <c r="G3095" i="1"/>
  <c r="F3095" i="1"/>
  <c r="E3095" i="1"/>
  <c r="D3095" i="1"/>
  <c r="C3095" i="1"/>
  <c r="B3095" i="1"/>
  <c r="A3095" i="1"/>
  <c r="R3094" i="1"/>
  <c r="J3094" i="1"/>
  <c r="I3094" i="1"/>
  <c r="G3094" i="1"/>
  <c r="F3094" i="1"/>
  <c r="E3094" i="1"/>
  <c r="D3094" i="1"/>
  <c r="C3094" i="1"/>
  <c r="B3094" i="1"/>
  <c r="A3094" i="1"/>
  <c r="S3093" i="1"/>
  <c r="O3093" i="1"/>
  <c r="K3093" i="1"/>
  <c r="J3093" i="1"/>
  <c r="I3093" i="1"/>
  <c r="H3093" i="1"/>
  <c r="G3093" i="1"/>
  <c r="F3093" i="1"/>
  <c r="E3093" i="1"/>
  <c r="D3093" i="1"/>
  <c r="C3093" i="1"/>
  <c r="B3093" i="1"/>
  <c r="A3093" i="1"/>
  <c r="R3092" i="1"/>
  <c r="J3092" i="1"/>
  <c r="I3092" i="1"/>
  <c r="G3092" i="1"/>
  <c r="F3092" i="1"/>
  <c r="E3092" i="1"/>
  <c r="D3092" i="1"/>
  <c r="C3092" i="1"/>
  <c r="B3092" i="1"/>
  <c r="A3092" i="1"/>
  <c r="S3091" i="1"/>
  <c r="O3091" i="1"/>
  <c r="K3091" i="1"/>
  <c r="J3091" i="1"/>
  <c r="I3091" i="1"/>
  <c r="H3091" i="1"/>
  <c r="G3091" i="1"/>
  <c r="F3091" i="1"/>
  <c r="E3091" i="1"/>
  <c r="D3091" i="1"/>
  <c r="C3091" i="1"/>
  <c r="B3091" i="1"/>
  <c r="A3091" i="1"/>
  <c r="R3090" i="1"/>
  <c r="J3090" i="1"/>
  <c r="I3090" i="1"/>
  <c r="G3090" i="1"/>
  <c r="F3090" i="1"/>
  <c r="E3090" i="1"/>
  <c r="D3090" i="1"/>
  <c r="C3090" i="1"/>
  <c r="B3090" i="1"/>
  <c r="A3090" i="1"/>
  <c r="S3089" i="1"/>
  <c r="O3089" i="1"/>
  <c r="K3089" i="1"/>
  <c r="J3089" i="1"/>
  <c r="I3089" i="1"/>
  <c r="H3089" i="1"/>
  <c r="G3089" i="1"/>
  <c r="F3089" i="1"/>
  <c r="E3089" i="1"/>
  <c r="D3089" i="1"/>
  <c r="C3089" i="1"/>
  <c r="B3089" i="1"/>
  <c r="A3089" i="1"/>
  <c r="R3088" i="1"/>
  <c r="J3088" i="1"/>
  <c r="I3088" i="1"/>
  <c r="G3088" i="1"/>
  <c r="F3088" i="1"/>
  <c r="E3088" i="1"/>
  <c r="D3088" i="1"/>
  <c r="C3088" i="1"/>
  <c r="B3088" i="1"/>
  <c r="A3088" i="1"/>
  <c r="S3087" i="1"/>
  <c r="O3087" i="1"/>
  <c r="K3087" i="1"/>
  <c r="J3087" i="1"/>
  <c r="I3087" i="1"/>
  <c r="H3087" i="1"/>
  <c r="G3087" i="1"/>
  <c r="F3087" i="1"/>
  <c r="E3087" i="1"/>
  <c r="D3087" i="1"/>
  <c r="C3087" i="1"/>
  <c r="B3087" i="1"/>
  <c r="A3087" i="1"/>
  <c r="R3086" i="1"/>
  <c r="J3086" i="1"/>
  <c r="I3086" i="1"/>
  <c r="G3086" i="1"/>
  <c r="F3086" i="1"/>
  <c r="E3086" i="1"/>
  <c r="D3086" i="1"/>
  <c r="C3086" i="1"/>
  <c r="B3086" i="1"/>
  <c r="A3086" i="1"/>
  <c r="S3085" i="1"/>
  <c r="O3085" i="1"/>
  <c r="K3085" i="1"/>
  <c r="J3085" i="1"/>
  <c r="I3085" i="1"/>
  <c r="H3085" i="1"/>
  <c r="G3085" i="1"/>
  <c r="F3085" i="1"/>
  <c r="E3085" i="1"/>
  <c r="D3085" i="1"/>
  <c r="C3085" i="1"/>
  <c r="B3085" i="1"/>
  <c r="A3085" i="1"/>
  <c r="R3084" i="1"/>
  <c r="J3084" i="1"/>
  <c r="I3084" i="1"/>
  <c r="G3084" i="1"/>
  <c r="F3084" i="1"/>
  <c r="E3084" i="1"/>
  <c r="D3084" i="1"/>
  <c r="C3084" i="1"/>
  <c r="B3084" i="1"/>
  <c r="A3084" i="1"/>
  <c r="S3083" i="1"/>
  <c r="O3083" i="1"/>
  <c r="K3083" i="1"/>
  <c r="J3083" i="1"/>
  <c r="I3083" i="1"/>
  <c r="H3083" i="1"/>
  <c r="G3083" i="1"/>
  <c r="F3083" i="1"/>
  <c r="E3083" i="1"/>
  <c r="D3083" i="1"/>
  <c r="C3083" i="1"/>
  <c r="B3083" i="1"/>
  <c r="A3083" i="1"/>
  <c r="R3082" i="1"/>
  <c r="J3082" i="1"/>
  <c r="I3082" i="1"/>
  <c r="G3082" i="1"/>
  <c r="F3082" i="1"/>
  <c r="E3082" i="1"/>
  <c r="D3082" i="1"/>
  <c r="C3082" i="1"/>
  <c r="B3082" i="1"/>
  <c r="A3082" i="1"/>
  <c r="S3081" i="1"/>
  <c r="O3081" i="1"/>
  <c r="K3081" i="1"/>
  <c r="J3081" i="1"/>
  <c r="I3081" i="1"/>
  <c r="H3081" i="1"/>
  <c r="G3081" i="1"/>
  <c r="F3081" i="1"/>
  <c r="E3081" i="1"/>
  <c r="D3081" i="1"/>
  <c r="C3081" i="1"/>
  <c r="B3081" i="1"/>
  <c r="A3081" i="1"/>
  <c r="R3080" i="1"/>
  <c r="J3080" i="1"/>
  <c r="I3080" i="1"/>
  <c r="G3080" i="1"/>
  <c r="F3080" i="1"/>
  <c r="E3080" i="1"/>
  <c r="D3080" i="1"/>
  <c r="C3080" i="1"/>
  <c r="B3080" i="1"/>
  <c r="A3080" i="1"/>
  <c r="S3079" i="1"/>
  <c r="O3079" i="1"/>
  <c r="K3079" i="1"/>
  <c r="J3079" i="1"/>
  <c r="I3079" i="1"/>
  <c r="H3079" i="1"/>
  <c r="G3079" i="1"/>
  <c r="F3079" i="1"/>
  <c r="E3079" i="1"/>
  <c r="D3079" i="1"/>
  <c r="C3079" i="1"/>
  <c r="B3079" i="1"/>
  <c r="A3079" i="1"/>
  <c r="R3078" i="1"/>
  <c r="J3078" i="1"/>
  <c r="I3078" i="1"/>
  <c r="G3078" i="1"/>
  <c r="F3078" i="1"/>
  <c r="E3078" i="1"/>
  <c r="D3078" i="1"/>
  <c r="C3078" i="1"/>
  <c r="B3078" i="1"/>
  <c r="A3078" i="1"/>
  <c r="S3077" i="1"/>
  <c r="O3077" i="1"/>
  <c r="K3077" i="1"/>
  <c r="J3077" i="1"/>
  <c r="I3077" i="1"/>
  <c r="H3077" i="1"/>
  <c r="G3077" i="1"/>
  <c r="F3077" i="1"/>
  <c r="E3077" i="1"/>
  <c r="D3077" i="1"/>
  <c r="C3077" i="1"/>
  <c r="B3077" i="1"/>
  <c r="A3077" i="1"/>
  <c r="R3076" i="1"/>
  <c r="J3076" i="1"/>
  <c r="I3076" i="1"/>
  <c r="G3076" i="1"/>
  <c r="F3076" i="1"/>
  <c r="E3076" i="1"/>
  <c r="D3076" i="1"/>
  <c r="C3076" i="1"/>
  <c r="B3076" i="1"/>
  <c r="A3076" i="1"/>
  <c r="S3075" i="1"/>
  <c r="O3075" i="1"/>
  <c r="K3075" i="1"/>
  <c r="J3075" i="1"/>
  <c r="I3075" i="1"/>
  <c r="H3075" i="1"/>
  <c r="G3075" i="1"/>
  <c r="F3075" i="1"/>
  <c r="E3075" i="1"/>
  <c r="D3075" i="1"/>
  <c r="C3075" i="1"/>
  <c r="B3075" i="1"/>
  <c r="A3075" i="1"/>
  <c r="R3074" i="1"/>
  <c r="J3074" i="1"/>
  <c r="I3074" i="1"/>
  <c r="G3074" i="1"/>
  <c r="F3074" i="1"/>
  <c r="E3074" i="1"/>
  <c r="D3074" i="1"/>
  <c r="C3074" i="1"/>
  <c r="B3074" i="1"/>
  <c r="A3074" i="1"/>
  <c r="S3073" i="1"/>
  <c r="O3073" i="1"/>
  <c r="K3073" i="1"/>
  <c r="J3073" i="1"/>
  <c r="I3073" i="1"/>
  <c r="H3073" i="1"/>
  <c r="G3073" i="1"/>
  <c r="F3073" i="1"/>
  <c r="E3073" i="1"/>
  <c r="D3073" i="1"/>
  <c r="C3073" i="1"/>
  <c r="B3073" i="1"/>
  <c r="A3073" i="1"/>
  <c r="R3072" i="1"/>
  <c r="J3072" i="1"/>
  <c r="I3072" i="1"/>
  <c r="G3072" i="1"/>
  <c r="F3072" i="1"/>
  <c r="E3072" i="1"/>
  <c r="D3072" i="1"/>
  <c r="C3072" i="1"/>
  <c r="B3072" i="1"/>
  <c r="A3072" i="1"/>
  <c r="S3071" i="1"/>
  <c r="O3071" i="1"/>
  <c r="K3071" i="1"/>
  <c r="J3071" i="1"/>
  <c r="I3071" i="1"/>
  <c r="H3071" i="1"/>
  <c r="G3071" i="1"/>
  <c r="F3071" i="1"/>
  <c r="E3071" i="1"/>
  <c r="D3071" i="1"/>
  <c r="C3071" i="1"/>
  <c r="B3071" i="1"/>
  <c r="A3071" i="1"/>
  <c r="R3070" i="1"/>
  <c r="J3070" i="1"/>
  <c r="I3070" i="1"/>
  <c r="G3070" i="1"/>
  <c r="F3070" i="1"/>
  <c r="E3070" i="1"/>
  <c r="D3070" i="1"/>
  <c r="C3070" i="1"/>
  <c r="B3070" i="1"/>
  <c r="A3070" i="1"/>
  <c r="S3069" i="1"/>
  <c r="O3069" i="1"/>
  <c r="K3069" i="1"/>
  <c r="J3069" i="1"/>
  <c r="I3069" i="1"/>
  <c r="H3069" i="1"/>
  <c r="G3069" i="1"/>
  <c r="F3069" i="1"/>
  <c r="E3069" i="1"/>
  <c r="D3069" i="1"/>
  <c r="C3069" i="1"/>
  <c r="B3069" i="1"/>
  <c r="A3069" i="1"/>
  <c r="R3068" i="1"/>
  <c r="J3068" i="1"/>
  <c r="I3068" i="1"/>
  <c r="G3068" i="1"/>
  <c r="F3068" i="1"/>
  <c r="E3068" i="1"/>
  <c r="D3068" i="1"/>
  <c r="C3068" i="1"/>
  <c r="B3068" i="1"/>
  <c r="A3068" i="1"/>
  <c r="S3067" i="1"/>
  <c r="O3067" i="1"/>
  <c r="K3067" i="1"/>
  <c r="J3067" i="1"/>
  <c r="I3067" i="1"/>
  <c r="H3067" i="1"/>
  <c r="G3067" i="1"/>
  <c r="F3067" i="1"/>
  <c r="E3067" i="1"/>
  <c r="D3067" i="1"/>
  <c r="C3067" i="1"/>
  <c r="B3067" i="1"/>
  <c r="A3067" i="1"/>
  <c r="R3066" i="1"/>
  <c r="J3066" i="1"/>
  <c r="I3066" i="1"/>
  <c r="G3066" i="1"/>
  <c r="F3066" i="1"/>
  <c r="E3066" i="1"/>
  <c r="D3066" i="1"/>
  <c r="C3066" i="1"/>
  <c r="B3066" i="1"/>
  <c r="A3066" i="1"/>
  <c r="S3065" i="1"/>
  <c r="O3065" i="1"/>
  <c r="K3065" i="1"/>
  <c r="J3065" i="1"/>
  <c r="I3065" i="1"/>
  <c r="H3065" i="1"/>
  <c r="G3065" i="1"/>
  <c r="F3065" i="1"/>
  <c r="E3065" i="1"/>
  <c r="D3065" i="1"/>
  <c r="C3065" i="1"/>
  <c r="B3065" i="1"/>
  <c r="A3065" i="1"/>
  <c r="R3064" i="1"/>
  <c r="J3064" i="1"/>
  <c r="I3064" i="1"/>
  <c r="G3064" i="1"/>
  <c r="F3064" i="1"/>
  <c r="E3064" i="1"/>
  <c r="D3064" i="1"/>
  <c r="C3064" i="1"/>
  <c r="B3064" i="1"/>
  <c r="A3064" i="1"/>
  <c r="S3063" i="1"/>
  <c r="O3063" i="1"/>
  <c r="K3063" i="1"/>
  <c r="J3063" i="1"/>
  <c r="I3063" i="1"/>
  <c r="H3063" i="1"/>
  <c r="G3063" i="1"/>
  <c r="F3063" i="1"/>
  <c r="E3063" i="1"/>
  <c r="D3063" i="1"/>
  <c r="C3063" i="1"/>
  <c r="B3063" i="1"/>
  <c r="A3063" i="1"/>
  <c r="R3062" i="1"/>
  <c r="J3062" i="1"/>
  <c r="I3062" i="1"/>
  <c r="G3062" i="1"/>
  <c r="F3062" i="1"/>
  <c r="E3062" i="1"/>
  <c r="D3062" i="1"/>
  <c r="C3062" i="1"/>
  <c r="B3062" i="1"/>
  <c r="A3062" i="1"/>
  <c r="S3061" i="1"/>
  <c r="O3061" i="1"/>
  <c r="K3061" i="1"/>
  <c r="J3061" i="1"/>
  <c r="I3061" i="1"/>
  <c r="H3061" i="1"/>
  <c r="G3061" i="1"/>
  <c r="F3061" i="1"/>
  <c r="E3061" i="1"/>
  <c r="D3061" i="1"/>
  <c r="C3061" i="1"/>
  <c r="B3061" i="1"/>
  <c r="A3061" i="1"/>
  <c r="R3060" i="1"/>
  <c r="J3060" i="1"/>
  <c r="I3060" i="1"/>
  <c r="G3060" i="1"/>
  <c r="F3060" i="1"/>
  <c r="E3060" i="1"/>
  <c r="D3060" i="1"/>
  <c r="C3060" i="1"/>
  <c r="B3060" i="1"/>
  <c r="A3060" i="1"/>
  <c r="S3059" i="1"/>
  <c r="O3059" i="1"/>
  <c r="K3059" i="1"/>
  <c r="J3059" i="1"/>
  <c r="I3059" i="1"/>
  <c r="H3059" i="1"/>
  <c r="G3059" i="1"/>
  <c r="F3059" i="1"/>
  <c r="E3059" i="1"/>
  <c r="D3059" i="1"/>
  <c r="C3059" i="1"/>
  <c r="B3059" i="1"/>
  <c r="A3059" i="1"/>
  <c r="R3058" i="1"/>
  <c r="J3058" i="1"/>
  <c r="I3058" i="1"/>
  <c r="G3058" i="1"/>
  <c r="F3058" i="1"/>
  <c r="E3058" i="1"/>
  <c r="D3058" i="1"/>
  <c r="C3058" i="1"/>
  <c r="B3058" i="1"/>
  <c r="A3058" i="1"/>
  <c r="S3057" i="1"/>
  <c r="O3057" i="1"/>
  <c r="K3057" i="1"/>
  <c r="J3057" i="1"/>
  <c r="I3057" i="1"/>
  <c r="H3057" i="1"/>
  <c r="G3057" i="1"/>
  <c r="F3057" i="1"/>
  <c r="E3057" i="1"/>
  <c r="D3057" i="1"/>
  <c r="C3057" i="1"/>
  <c r="B3057" i="1"/>
  <c r="A3057" i="1"/>
  <c r="R3056" i="1"/>
  <c r="J3056" i="1"/>
  <c r="I3056" i="1"/>
  <c r="G3056" i="1"/>
  <c r="F3056" i="1"/>
  <c r="E3056" i="1"/>
  <c r="D3056" i="1"/>
  <c r="C3056" i="1"/>
  <c r="B3056" i="1"/>
  <c r="A3056" i="1"/>
  <c r="S3055" i="1"/>
  <c r="O3055" i="1"/>
  <c r="K3055" i="1"/>
  <c r="J3055" i="1"/>
  <c r="I3055" i="1"/>
  <c r="H3055" i="1"/>
  <c r="G3055" i="1"/>
  <c r="F3055" i="1"/>
  <c r="E3055" i="1"/>
  <c r="D3055" i="1"/>
  <c r="C3055" i="1"/>
  <c r="B3055" i="1"/>
  <c r="A3055" i="1"/>
  <c r="R3054" i="1"/>
  <c r="J3054" i="1"/>
  <c r="I3054" i="1"/>
  <c r="G3054" i="1"/>
  <c r="F3054" i="1"/>
  <c r="E3054" i="1"/>
  <c r="D3054" i="1"/>
  <c r="C3054" i="1"/>
  <c r="B3054" i="1"/>
  <c r="A3054" i="1"/>
  <c r="S3053" i="1"/>
  <c r="O3053" i="1"/>
  <c r="K3053" i="1"/>
  <c r="J3053" i="1"/>
  <c r="I3053" i="1"/>
  <c r="H3053" i="1"/>
  <c r="G3053" i="1"/>
  <c r="F3053" i="1"/>
  <c r="E3053" i="1"/>
  <c r="D3053" i="1"/>
  <c r="C3053" i="1"/>
  <c r="B3053" i="1"/>
  <c r="A3053" i="1"/>
  <c r="R3052" i="1"/>
  <c r="J3052" i="1"/>
  <c r="I3052" i="1"/>
  <c r="G3052" i="1"/>
  <c r="F3052" i="1"/>
  <c r="E3052" i="1"/>
  <c r="D3052" i="1"/>
  <c r="C3052" i="1"/>
  <c r="B3052" i="1"/>
  <c r="A3052" i="1"/>
  <c r="S3051" i="1"/>
  <c r="O3051" i="1"/>
  <c r="K3051" i="1"/>
  <c r="J3051" i="1"/>
  <c r="I3051" i="1"/>
  <c r="H3051" i="1"/>
  <c r="G3051" i="1"/>
  <c r="F3051" i="1"/>
  <c r="E3051" i="1"/>
  <c r="D3051" i="1"/>
  <c r="C3051" i="1"/>
  <c r="B3051" i="1"/>
  <c r="A3051" i="1"/>
  <c r="R3050" i="1"/>
  <c r="J3050" i="1"/>
  <c r="I3050" i="1"/>
  <c r="G3050" i="1"/>
  <c r="F3050" i="1"/>
  <c r="E3050" i="1"/>
  <c r="D3050" i="1"/>
  <c r="C3050" i="1"/>
  <c r="B3050" i="1"/>
  <c r="A3050" i="1"/>
  <c r="S3049" i="1"/>
  <c r="O3049" i="1"/>
  <c r="K3049" i="1"/>
  <c r="J3049" i="1"/>
  <c r="I3049" i="1"/>
  <c r="H3049" i="1"/>
  <c r="G3049" i="1"/>
  <c r="F3049" i="1"/>
  <c r="E3049" i="1"/>
  <c r="D3049" i="1"/>
  <c r="C3049" i="1"/>
  <c r="B3049" i="1"/>
  <c r="A3049" i="1"/>
  <c r="R3048" i="1"/>
  <c r="J3048" i="1"/>
  <c r="I3048" i="1"/>
  <c r="G3048" i="1"/>
  <c r="F3048" i="1"/>
  <c r="E3048" i="1"/>
  <c r="D3048" i="1"/>
  <c r="C3048" i="1"/>
  <c r="B3048" i="1"/>
  <c r="A3048" i="1"/>
  <c r="S3047" i="1"/>
  <c r="O3047" i="1"/>
  <c r="K3047" i="1"/>
  <c r="J3047" i="1"/>
  <c r="I3047" i="1"/>
  <c r="H3047" i="1"/>
  <c r="G3047" i="1"/>
  <c r="F3047" i="1"/>
  <c r="E3047" i="1"/>
  <c r="D3047" i="1"/>
  <c r="C3047" i="1"/>
  <c r="B3047" i="1"/>
  <c r="A3047" i="1"/>
  <c r="R3046" i="1"/>
  <c r="J3046" i="1"/>
  <c r="I3046" i="1"/>
  <c r="G3046" i="1"/>
  <c r="F3046" i="1"/>
  <c r="E3046" i="1"/>
  <c r="D3046" i="1"/>
  <c r="C3046" i="1"/>
  <c r="B3046" i="1"/>
  <c r="A3046" i="1"/>
  <c r="S3045" i="1"/>
  <c r="O3045" i="1"/>
  <c r="K3045" i="1"/>
  <c r="J3045" i="1"/>
  <c r="I3045" i="1"/>
  <c r="H3045" i="1"/>
  <c r="G3045" i="1"/>
  <c r="F3045" i="1"/>
  <c r="E3045" i="1"/>
  <c r="D3045" i="1"/>
  <c r="C3045" i="1"/>
  <c r="B3045" i="1"/>
  <c r="A3045" i="1"/>
  <c r="R3044" i="1"/>
  <c r="J3044" i="1"/>
  <c r="I3044" i="1"/>
  <c r="G3044" i="1"/>
  <c r="F3044" i="1"/>
  <c r="E3044" i="1"/>
  <c r="D3044" i="1"/>
  <c r="C3044" i="1"/>
  <c r="B3044" i="1"/>
  <c r="A3044" i="1"/>
  <c r="S3043" i="1"/>
  <c r="O3043" i="1"/>
  <c r="K3043" i="1"/>
  <c r="J3043" i="1"/>
  <c r="I3043" i="1"/>
  <c r="H3043" i="1"/>
  <c r="G3043" i="1"/>
  <c r="F3043" i="1"/>
  <c r="E3043" i="1"/>
  <c r="D3043" i="1"/>
  <c r="C3043" i="1"/>
  <c r="B3043" i="1"/>
  <c r="A3043" i="1"/>
  <c r="R3042" i="1"/>
  <c r="J3042" i="1"/>
  <c r="I3042" i="1"/>
  <c r="G3042" i="1"/>
  <c r="F3042" i="1"/>
  <c r="E3042" i="1"/>
  <c r="D3042" i="1"/>
  <c r="C3042" i="1"/>
  <c r="B3042" i="1"/>
  <c r="A3042" i="1"/>
  <c r="S3041" i="1"/>
  <c r="O3041" i="1"/>
  <c r="K3041" i="1"/>
  <c r="J3041" i="1"/>
  <c r="I3041" i="1"/>
  <c r="H3041" i="1"/>
  <c r="G3041" i="1"/>
  <c r="F3041" i="1"/>
  <c r="E3041" i="1"/>
  <c r="D3041" i="1"/>
  <c r="C3041" i="1"/>
  <c r="B3041" i="1"/>
  <c r="A3041" i="1"/>
  <c r="R3040" i="1"/>
  <c r="J3040" i="1"/>
  <c r="I3040" i="1"/>
  <c r="G3040" i="1"/>
  <c r="F3040" i="1"/>
  <c r="E3040" i="1"/>
  <c r="D3040" i="1"/>
  <c r="C3040" i="1"/>
  <c r="B3040" i="1"/>
  <c r="A3040" i="1"/>
  <c r="S3039" i="1"/>
  <c r="O3039" i="1"/>
  <c r="K3039" i="1"/>
  <c r="J3039" i="1"/>
  <c r="I3039" i="1"/>
  <c r="H3039" i="1"/>
  <c r="G3039" i="1"/>
  <c r="F3039" i="1"/>
  <c r="E3039" i="1"/>
  <c r="D3039" i="1"/>
  <c r="C3039" i="1"/>
  <c r="B3039" i="1"/>
  <c r="A3039" i="1"/>
  <c r="R3038" i="1"/>
  <c r="J3038" i="1"/>
  <c r="I3038" i="1"/>
  <c r="G3038" i="1"/>
  <c r="F3038" i="1"/>
  <c r="E3038" i="1"/>
  <c r="D3038" i="1"/>
  <c r="C3038" i="1"/>
  <c r="B3038" i="1"/>
  <c r="A3038" i="1"/>
  <c r="S3037" i="1"/>
  <c r="O3037" i="1"/>
  <c r="K3037" i="1"/>
  <c r="J3037" i="1"/>
  <c r="I3037" i="1"/>
  <c r="H3037" i="1"/>
  <c r="G3037" i="1"/>
  <c r="F3037" i="1"/>
  <c r="E3037" i="1"/>
  <c r="D3037" i="1"/>
  <c r="C3037" i="1"/>
  <c r="B3037" i="1"/>
  <c r="A3037" i="1"/>
  <c r="R3036" i="1"/>
  <c r="J3036" i="1"/>
  <c r="I3036" i="1"/>
  <c r="G3036" i="1"/>
  <c r="F3036" i="1"/>
  <c r="E3036" i="1"/>
  <c r="D3036" i="1"/>
  <c r="C3036" i="1"/>
  <c r="B3036" i="1"/>
  <c r="A3036" i="1"/>
  <c r="S3035" i="1"/>
  <c r="O3035" i="1"/>
  <c r="K3035" i="1"/>
  <c r="J3035" i="1"/>
  <c r="I3035" i="1"/>
  <c r="H3035" i="1"/>
  <c r="G3035" i="1"/>
  <c r="F3035" i="1"/>
  <c r="E3035" i="1"/>
  <c r="D3035" i="1"/>
  <c r="C3035" i="1"/>
  <c r="B3035" i="1"/>
  <c r="A3035" i="1"/>
  <c r="R3034" i="1"/>
  <c r="J3034" i="1"/>
  <c r="I3034" i="1"/>
  <c r="G3034" i="1"/>
  <c r="F3034" i="1"/>
  <c r="E3034" i="1"/>
  <c r="D3034" i="1"/>
  <c r="C3034" i="1"/>
  <c r="B3034" i="1"/>
  <c r="A3034" i="1"/>
  <c r="S3033" i="1"/>
  <c r="O3033" i="1"/>
  <c r="K3033" i="1"/>
  <c r="J3033" i="1"/>
  <c r="I3033" i="1"/>
  <c r="H3033" i="1"/>
  <c r="G3033" i="1"/>
  <c r="F3033" i="1"/>
  <c r="E3033" i="1"/>
  <c r="D3033" i="1"/>
  <c r="C3033" i="1"/>
  <c r="B3033" i="1"/>
  <c r="A3033" i="1"/>
  <c r="R3032" i="1"/>
  <c r="J3032" i="1"/>
  <c r="I3032" i="1"/>
  <c r="G3032" i="1"/>
  <c r="F3032" i="1"/>
  <c r="E3032" i="1"/>
  <c r="D3032" i="1"/>
  <c r="C3032" i="1"/>
  <c r="B3032" i="1"/>
  <c r="A3032" i="1"/>
  <c r="S3031" i="1"/>
  <c r="O3031" i="1"/>
  <c r="K3031" i="1"/>
  <c r="J3031" i="1"/>
  <c r="I3031" i="1"/>
  <c r="H3031" i="1"/>
  <c r="G3031" i="1"/>
  <c r="F3031" i="1"/>
  <c r="E3031" i="1"/>
  <c r="D3031" i="1"/>
  <c r="C3031" i="1"/>
  <c r="B3031" i="1"/>
  <c r="A3031" i="1"/>
  <c r="R3030" i="1"/>
  <c r="J3030" i="1"/>
  <c r="I3030" i="1"/>
  <c r="G3030" i="1"/>
  <c r="F3030" i="1"/>
  <c r="E3030" i="1"/>
  <c r="D3030" i="1"/>
  <c r="C3030" i="1"/>
  <c r="B3030" i="1"/>
  <c r="A3030" i="1"/>
  <c r="S3029" i="1"/>
  <c r="O3029" i="1"/>
  <c r="K3029" i="1"/>
  <c r="J3029" i="1"/>
  <c r="I3029" i="1"/>
  <c r="H3029" i="1"/>
  <c r="G3029" i="1"/>
  <c r="F3029" i="1"/>
  <c r="E3029" i="1"/>
  <c r="D3029" i="1"/>
  <c r="C3029" i="1"/>
  <c r="B3029" i="1"/>
  <c r="A3029" i="1"/>
  <c r="R3028" i="1"/>
  <c r="J3028" i="1"/>
  <c r="I3028" i="1"/>
  <c r="G3028" i="1"/>
  <c r="F3028" i="1"/>
  <c r="E3028" i="1"/>
  <c r="D3028" i="1"/>
  <c r="C3028" i="1"/>
  <c r="B3028" i="1"/>
  <c r="A3028" i="1"/>
  <c r="S3027" i="1"/>
  <c r="O3027" i="1"/>
  <c r="K3027" i="1"/>
  <c r="J3027" i="1"/>
  <c r="I3027" i="1"/>
  <c r="H3027" i="1"/>
  <c r="G3027" i="1"/>
  <c r="F3027" i="1"/>
  <c r="E3027" i="1"/>
  <c r="D3027" i="1"/>
  <c r="C3027" i="1"/>
  <c r="B3027" i="1"/>
  <c r="A3027" i="1"/>
  <c r="R3026" i="1"/>
  <c r="J3026" i="1"/>
  <c r="I3026" i="1"/>
  <c r="G3026" i="1"/>
  <c r="F3026" i="1"/>
  <c r="E3026" i="1"/>
  <c r="D3026" i="1"/>
  <c r="C3026" i="1"/>
  <c r="B3026" i="1"/>
  <c r="A3026" i="1"/>
  <c r="S3025" i="1"/>
  <c r="O3025" i="1"/>
  <c r="K3025" i="1"/>
  <c r="J3025" i="1"/>
  <c r="I3025" i="1"/>
  <c r="H3025" i="1"/>
  <c r="G3025" i="1"/>
  <c r="F3025" i="1"/>
  <c r="E3025" i="1"/>
  <c r="D3025" i="1"/>
  <c r="C3025" i="1"/>
  <c r="B3025" i="1"/>
  <c r="A3025" i="1"/>
  <c r="R3024" i="1"/>
  <c r="J3024" i="1"/>
  <c r="I3024" i="1"/>
  <c r="G3024" i="1"/>
  <c r="F3024" i="1"/>
  <c r="E3024" i="1"/>
  <c r="D3024" i="1"/>
  <c r="C3024" i="1"/>
  <c r="B3024" i="1"/>
  <c r="A3024" i="1"/>
  <c r="S3023" i="1"/>
  <c r="O3023" i="1"/>
  <c r="K3023" i="1"/>
  <c r="J3023" i="1"/>
  <c r="I3023" i="1"/>
  <c r="H3023" i="1"/>
  <c r="G3023" i="1"/>
  <c r="F3023" i="1"/>
  <c r="E3023" i="1"/>
  <c r="D3023" i="1"/>
  <c r="C3023" i="1"/>
  <c r="B3023" i="1"/>
  <c r="A3023" i="1"/>
  <c r="R3022" i="1"/>
  <c r="J3022" i="1"/>
  <c r="I3022" i="1"/>
  <c r="G3022" i="1"/>
  <c r="F3022" i="1"/>
  <c r="E3022" i="1"/>
  <c r="D3022" i="1"/>
  <c r="C3022" i="1"/>
  <c r="B3022" i="1"/>
  <c r="A3022" i="1"/>
  <c r="S3021" i="1"/>
  <c r="O3021" i="1"/>
  <c r="K3021" i="1"/>
  <c r="J3021" i="1"/>
  <c r="I3021" i="1"/>
  <c r="H3021" i="1"/>
  <c r="G3021" i="1"/>
  <c r="F3021" i="1"/>
  <c r="E3021" i="1"/>
  <c r="D3021" i="1"/>
  <c r="C3021" i="1"/>
  <c r="B3021" i="1"/>
  <c r="A3021" i="1"/>
  <c r="R3020" i="1"/>
  <c r="J3020" i="1"/>
  <c r="I3020" i="1"/>
  <c r="G3020" i="1"/>
  <c r="F3020" i="1"/>
  <c r="E3020" i="1"/>
  <c r="D3020" i="1"/>
  <c r="C3020" i="1"/>
  <c r="B3020" i="1"/>
  <c r="A3020" i="1"/>
  <c r="S3019" i="1"/>
  <c r="O3019" i="1"/>
  <c r="K3019" i="1"/>
  <c r="J3019" i="1"/>
  <c r="I3019" i="1"/>
  <c r="H3019" i="1"/>
  <c r="G3019" i="1"/>
  <c r="F3019" i="1"/>
  <c r="E3019" i="1"/>
  <c r="D3019" i="1"/>
  <c r="C3019" i="1"/>
  <c r="B3019" i="1"/>
  <c r="A3019" i="1"/>
  <c r="R3018" i="1"/>
  <c r="J3018" i="1"/>
  <c r="I3018" i="1"/>
  <c r="G3018" i="1"/>
  <c r="F3018" i="1"/>
  <c r="E3018" i="1"/>
  <c r="D3018" i="1"/>
  <c r="C3018" i="1"/>
  <c r="B3018" i="1"/>
  <c r="A3018" i="1"/>
  <c r="S3017" i="1"/>
  <c r="O3017" i="1"/>
  <c r="K3017" i="1"/>
  <c r="J3017" i="1"/>
  <c r="I3017" i="1"/>
  <c r="H3017" i="1"/>
  <c r="G3017" i="1"/>
  <c r="F3017" i="1"/>
  <c r="E3017" i="1"/>
  <c r="D3017" i="1"/>
  <c r="C3017" i="1"/>
  <c r="B3017" i="1"/>
  <c r="A3017" i="1"/>
  <c r="R3016" i="1"/>
  <c r="J3016" i="1"/>
  <c r="I3016" i="1"/>
  <c r="G3016" i="1"/>
  <c r="F3016" i="1"/>
  <c r="E3016" i="1"/>
  <c r="D3016" i="1"/>
  <c r="C3016" i="1"/>
  <c r="B3016" i="1"/>
  <c r="A3016" i="1"/>
  <c r="S3015" i="1"/>
  <c r="O3015" i="1"/>
  <c r="K3015" i="1"/>
  <c r="J3015" i="1"/>
  <c r="I3015" i="1"/>
  <c r="H3015" i="1"/>
  <c r="G3015" i="1"/>
  <c r="F3015" i="1"/>
  <c r="E3015" i="1"/>
  <c r="D3015" i="1"/>
  <c r="C3015" i="1"/>
  <c r="B3015" i="1"/>
  <c r="A3015" i="1"/>
  <c r="R3014" i="1"/>
  <c r="J3014" i="1"/>
  <c r="I3014" i="1"/>
  <c r="G3014" i="1"/>
  <c r="F3014" i="1"/>
  <c r="E3014" i="1"/>
  <c r="D3014" i="1"/>
  <c r="C3014" i="1"/>
  <c r="B3014" i="1"/>
  <c r="A3014" i="1"/>
  <c r="S3013" i="1"/>
  <c r="O3013" i="1"/>
  <c r="K3013" i="1"/>
  <c r="J3013" i="1"/>
  <c r="I3013" i="1"/>
  <c r="H3013" i="1"/>
  <c r="G3013" i="1"/>
  <c r="F3013" i="1"/>
  <c r="E3013" i="1"/>
  <c r="D3013" i="1"/>
  <c r="C3013" i="1"/>
  <c r="B3013" i="1"/>
  <c r="A3013" i="1"/>
  <c r="R3012" i="1"/>
  <c r="J3012" i="1"/>
  <c r="I3012" i="1"/>
  <c r="G3012" i="1"/>
  <c r="F3012" i="1"/>
  <c r="E3012" i="1"/>
  <c r="D3012" i="1"/>
  <c r="C3012" i="1"/>
  <c r="B3012" i="1"/>
  <c r="A3012" i="1"/>
  <c r="S3011" i="1"/>
  <c r="O3011" i="1"/>
  <c r="K3011" i="1"/>
  <c r="J3011" i="1"/>
  <c r="I3011" i="1"/>
  <c r="H3011" i="1"/>
  <c r="G3011" i="1"/>
  <c r="F3011" i="1"/>
  <c r="E3011" i="1"/>
  <c r="D3011" i="1"/>
  <c r="C3011" i="1"/>
  <c r="B3011" i="1"/>
  <c r="A3011" i="1"/>
  <c r="R3010" i="1"/>
  <c r="J3010" i="1"/>
  <c r="I3010" i="1"/>
  <c r="G3010" i="1"/>
  <c r="F3010" i="1"/>
  <c r="E3010" i="1"/>
  <c r="D3010" i="1"/>
  <c r="C3010" i="1"/>
  <c r="B3010" i="1"/>
  <c r="A3010" i="1"/>
  <c r="S3009" i="1"/>
  <c r="O3009" i="1"/>
  <c r="K3009" i="1"/>
  <c r="J3009" i="1"/>
  <c r="I3009" i="1"/>
  <c r="H3009" i="1"/>
  <c r="G3009" i="1"/>
  <c r="F3009" i="1"/>
  <c r="E3009" i="1"/>
  <c r="D3009" i="1"/>
  <c r="C3009" i="1"/>
  <c r="B3009" i="1"/>
  <c r="A3009" i="1"/>
  <c r="R3008" i="1"/>
  <c r="J3008" i="1"/>
  <c r="I3008" i="1"/>
  <c r="G3008" i="1"/>
  <c r="F3008" i="1"/>
  <c r="E3008" i="1"/>
  <c r="D3008" i="1"/>
  <c r="C3008" i="1"/>
  <c r="B3008" i="1"/>
  <c r="A3008" i="1"/>
  <c r="S3007" i="1"/>
  <c r="O3007" i="1"/>
  <c r="K3007" i="1"/>
  <c r="J3007" i="1"/>
  <c r="I3007" i="1"/>
  <c r="H3007" i="1"/>
  <c r="G3007" i="1"/>
  <c r="F3007" i="1"/>
  <c r="E3007" i="1"/>
  <c r="D3007" i="1"/>
  <c r="C3007" i="1"/>
  <c r="B3007" i="1"/>
  <c r="A3007" i="1"/>
  <c r="R3006" i="1"/>
  <c r="J3006" i="1"/>
  <c r="I3006" i="1"/>
  <c r="G3006" i="1"/>
  <c r="F3006" i="1"/>
  <c r="E3006" i="1"/>
  <c r="D3006" i="1"/>
  <c r="C3006" i="1"/>
  <c r="B3006" i="1"/>
  <c r="A3006" i="1"/>
  <c r="S3005" i="1"/>
  <c r="O3005" i="1"/>
  <c r="K3005" i="1"/>
  <c r="J3005" i="1"/>
  <c r="I3005" i="1"/>
  <c r="H3005" i="1"/>
  <c r="G3005" i="1"/>
  <c r="F3005" i="1"/>
  <c r="E3005" i="1"/>
  <c r="D3005" i="1"/>
  <c r="C3005" i="1"/>
  <c r="B3005" i="1"/>
  <c r="A3005" i="1"/>
  <c r="R3004" i="1"/>
  <c r="J3004" i="1"/>
  <c r="I3004" i="1"/>
  <c r="G3004" i="1"/>
  <c r="F3004" i="1"/>
  <c r="E3004" i="1"/>
  <c r="D3004" i="1"/>
  <c r="C3004" i="1"/>
  <c r="B3004" i="1"/>
  <c r="A3004" i="1"/>
  <c r="S3003" i="1"/>
  <c r="O3003" i="1"/>
  <c r="K3003" i="1"/>
  <c r="J3003" i="1"/>
  <c r="I3003" i="1"/>
  <c r="H3003" i="1"/>
  <c r="G3003" i="1"/>
  <c r="F3003" i="1"/>
  <c r="E3003" i="1"/>
  <c r="D3003" i="1"/>
  <c r="C3003" i="1"/>
  <c r="B3003" i="1"/>
  <c r="A3003" i="1"/>
  <c r="R3002" i="1"/>
  <c r="J3002" i="1"/>
  <c r="I3002" i="1"/>
  <c r="G3002" i="1"/>
  <c r="F3002" i="1"/>
  <c r="E3002" i="1"/>
  <c r="D3002" i="1"/>
  <c r="C3002" i="1"/>
  <c r="B3002" i="1"/>
  <c r="A3002" i="1"/>
  <c r="S3001" i="1"/>
  <c r="O3001" i="1"/>
  <c r="K3001" i="1"/>
  <c r="J3001" i="1"/>
  <c r="I3001" i="1"/>
  <c r="H3001" i="1"/>
  <c r="G3001" i="1"/>
  <c r="F3001" i="1"/>
  <c r="E3001" i="1"/>
  <c r="D3001" i="1"/>
  <c r="C3001" i="1"/>
  <c r="B3001" i="1"/>
  <c r="A3001" i="1"/>
  <c r="R3000" i="1"/>
  <c r="J3000" i="1"/>
  <c r="I3000" i="1"/>
  <c r="G3000" i="1"/>
  <c r="F3000" i="1"/>
  <c r="E3000" i="1"/>
  <c r="D3000" i="1"/>
  <c r="C3000" i="1"/>
  <c r="B3000" i="1"/>
  <c r="A3000" i="1"/>
  <c r="S2999" i="1"/>
  <c r="O2999" i="1"/>
  <c r="K2999" i="1"/>
  <c r="J2999" i="1"/>
  <c r="I2999" i="1"/>
  <c r="H2999" i="1"/>
  <c r="G2999" i="1"/>
  <c r="F2999" i="1"/>
  <c r="E2999" i="1"/>
  <c r="D2999" i="1"/>
  <c r="C2999" i="1"/>
  <c r="B2999" i="1"/>
  <c r="A2999" i="1"/>
  <c r="R2998" i="1"/>
  <c r="J2998" i="1"/>
  <c r="I2998" i="1"/>
  <c r="G2998" i="1"/>
  <c r="F2998" i="1"/>
  <c r="E2998" i="1"/>
  <c r="D2998" i="1"/>
  <c r="C2998" i="1"/>
  <c r="B2998" i="1"/>
  <c r="A2998" i="1"/>
  <c r="S2997" i="1"/>
  <c r="O2997" i="1"/>
  <c r="K2997" i="1"/>
  <c r="J2997" i="1"/>
  <c r="I2997" i="1"/>
  <c r="H2997" i="1"/>
  <c r="G2997" i="1"/>
  <c r="F2997" i="1"/>
  <c r="E2997" i="1"/>
  <c r="D2997" i="1"/>
  <c r="C2997" i="1"/>
  <c r="B2997" i="1"/>
  <c r="A2997" i="1"/>
  <c r="R2996" i="1"/>
  <c r="J2996" i="1"/>
  <c r="I2996" i="1"/>
  <c r="G2996" i="1"/>
  <c r="F2996" i="1"/>
  <c r="E2996" i="1"/>
  <c r="D2996" i="1"/>
  <c r="C2996" i="1"/>
  <c r="B2996" i="1"/>
  <c r="A2996" i="1"/>
  <c r="S2995" i="1"/>
  <c r="O2995" i="1"/>
  <c r="K2995" i="1"/>
  <c r="J2995" i="1"/>
  <c r="I2995" i="1"/>
  <c r="H2995" i="1"/>
  <c r="G2995" i="1"/>
  <c r="F2995" i="1"/>
  <c r="E2995" i="1"/>
  <c r="D2995" i="1"/>
  <c r="C2995" i="1"/>
  <c r="B2995" i="1"/>
  <c r="A2995" i="1"/>
  <c r="R2994" i="1"/>
  <c r="J2994" i="1"/>
  <c r="I2994" i="1"/>
  <c r="G2994" i="1"/>
  <c r="F2994" i="1"/>
  <c r="E2994" i="1"/>
  <c r="D2994" i="1"/>
  <c r="C2994" i="1"/>
  <c r="B2994" i="1"/>
  <c r="A2994" i="1"/>
  <c r="S2993" i="1"/>
  <c r="O2993" i="1"/>
  <c r="K2993" i="1"/>
  <c r="J2993" i="1"/>
  <c r="I2993" i="1"/>
  <c r="H2993" i="1"/>
  <c r="G2993" i="1"/>
  <c r="F2993" i="1"/>
  <c r="E2993" i="1"/>
  <c r="D2993" i="1"/>
  <c r="C2993" i="1"/>
  <c r="B2993" i="1"/>
  <c r="A2993" i="1"/>
  <c r="R2992" i="1"/>
  <c r="J2992" i="1"/>
  <c r="I2992" i="1"/>
  <c r="G2992" i="1"/>
  <c r="F2992" i="1"/>
  <c r="E2992" i="1"/>
  <c r="D2992" i="1"/>
  <c r="C2992" i="1"/>
  <c r="B2992" i="1"/>
  <c r="A2992" i="1"/>
  <c r="S2991" i="1"/>
  <c r="O2991" i="1"/>
  <c r="K2991" i="1"/>
  <c r="J2991" i="1"/>
  <c r="I2991" i="1"/>
  <c r="H2991" i="1"/>
  <c r="G2991" i="1"/>
  <c r="F2991" i="1"/>
  <c r="E2991" i="1"/>
  <c r="D2991" i="1"/>
  <c r="C2991" i="1"/>
  <c r="B2991" i="1"/>
  <c r="A2991" i="1"/>
  <c r="R2990" i="1"/>
  <c r="J2990" i="1"/>
  <c r="I2990" i="1"/>
  <c r="G2990" i="1"/>
  <c r="F2990" i="1"/>
  <c r="E2990" i="1"/>
  <c r="D2990" i="1"/>
  <c r="C2990" i="1"/>
  <c r="B2990" i="1"/>
  <c r="A2990" i="1"/>
  <c r="S2989" i="1"/>
  <c r="O2989" i="1"/>
  <c r="K2989" i="1"/>
  <c r="J2989" i="1"/>
  <c r="I2989" i="1"/>
  <c r="H2989" i="1"/>
  <c r="G2989" i="1"/>
  <c r="F2989" i="1"/>
  <c r="E2989" i="1"/>
  <c r="D2989" i="1"/>
  <c r="C2989" i="1"/>
  <c r="B2989" i="1"/>
  <c r="A2989" i="1"/>
  <c r="R2988" i="1"/>
  <c r="J2988" i="1"/>
  <c r="I2988" i="1"/>
  <c r="G2988" i="1"/>
  <c r="F2988" i="1"/>
  <c r="E2988" i="1"/>
  <c r="D2988" i="1"/>
  <c r="C2988" i="1"/>
  <c r="B2988" i="1"/>
  <c r="A2988" i="1"/>
  <c r="S2987" i="1"/>
  <c r="O2987" i="1"/>
  <c r="K2987" i="1"/>
  <c r="J2987" i="1"/>
  <c r="I2987" i="1"/>
  <c r="H2987" i="1"/>
  <c r="G2987" i="1"/>
  <c r="F2987" i="1"/>
  <c r="E2987" i="1"/>
  <c r="D2987" i="1"/>
  <c r="C2987" i="1"/>
  <c r="B2987" i="1"/>
  <c r="A2987" i="1"/>
  <c r="R2986" i="1"/>
  <c r="J2986" i="1"/>
  <c r="I2986" i="1"/>
  <c r="G2986" i="1"/>
  <c r="F2986" i="1"/>
  <c r="E2986" i="1"/>
  <c r="D2986" i="1"/>
  <c r="C2986" i="1"/>
  <c r="B2986" i="1"/>
  <c r="A2986" i="1"/>
  <c r="S2985" i="1"/>
  <c r="O2985" i="1"/>
  <c r="K2985" i="1"/>
  <c r="J2985" i="1"/>
  <c r="I2985" i="1"/>
  <c r="H2985" i="1"/>
  <c r="G2985" i="1"/>
  <c r="F2985" i="1"/>
  <c r="E2985" i="1"/>
  <c r="D2985" i="1"/>
  <c r="C2985" i="1"/>
  <c r="B2985" i="1"/>
  <c r="A2985" i="1"/>
  <c r="R2984" i="1"/>
  <c r="J2984" i="1"/>
  <c r="I2984" i="1"/>
  <c r="G2984" i="1"/>
  <c r="F2984" i="1"/>
  <c r="E2984" i="1"/>
  <c r="D2984" i="1"/>
  <c r="C2984" i="1"/>
  <c r="B2984" i="1"/>
  <c r="A2984" i="1"/>
  <c r="S2983" i="1"/>
  <c r="O2983" i="1"/>
  <c r="K2983" i="1"/>
  <c r="J2983" i="1"/>
  <c r="I2983" i="1"/>
  <c r="H2983" i="1"/>
  <c r="G2983" i="1"/>
  <c r="F2983" i="1"/>
  <c r="E2983" i="1"/>
  <c r="D2983" i="1"/>
  <c r="C2983" i="1"/>
  <c r="B2983" i="1"/>
  <c r="A2983" i="1"/>
  <c r="R2982" i="1"/>
  <c r="J2982" i="1"/>
  <c r="I2982" i="1"/>
  <c r="G2982" i="1"/>
  <c r="F2982" i="1"/>
  <c r="E2982" i="1"/>
  <c r="D2982" i="1"/>
  <c r="C2982" i="1"/>
  <c r="B2982" i="1"/>
  <c r="A2982" i="1"/>
  <c r="S2981" i="1"/>
  <c r="O2981" i="1"/>
  <c r="K2981" i="1"/>
  <c r="J2981" i="1"/>
  <c r="I2981" i="1"/>
  <c r="H2981" i="1"/>
  <c r="G2981" i="1"/>
  <c r="F2981" i="1"/>
  <c r="E2981" i="1"/>
  <c r="D2981" i="1"/>
  <c r="C2981" i="1"/>
  <c r="B2981" i="1"/>
  <c r="A2981" i="1"/>
  <c r="R2980" i="1"/>
  <c r="J2980" i="1"/>
  <c r="I2980" i="1"/>
  <c r="G2980" i="1"/>
  <c r="F2980" i="1"/>
  <c r="E2980" i="1"/>
  <c r="D2980" i="1"/>
  <c r="C2980" i="1"/>
  <c r="B2980" i="1"/>
  <c r="A2980" i="1"/>
  <c r="S2979" i="1"/>
  <c r="O2979" i="1"/>
  <c r="K2979" i="1"/>
  <c r="J2979" i="1"/>
  <c r="I2979" i="1"/>
  <c r="H2979" i="1"/>
  <c r="G2979" i="1"/>
  <c r="F2979" i="1"/>
  <c r="E2979" i="1"/>
  <c r="D2979" i="1"/>
  <c r="C2979" i="1"/>
  <c r="B2979" i="1"/>
  <c r="A2979" i="1"/>
  <c r="R2978" i="1"/>
  <c r="J2978" i="1"/>
  <c r="I2978" i="1"/>
  <c r="G2978" i="1"/>
  <c r="F2978" i="1"/>
  <c r="E2978" i="1"/>
  <c r="D2978" i="1"/>
  <c r="C2978" i="1"/>
  <c r="B2978" i="1"/>
  <c r="A2978" i="1"/>
  <c r="S2977" i="1"/>
  <c r="O2977" i="1"/>
  <c r="K2977" i="1"/>
  <c r="J2977" i="1"/>
  <c r="I2977" i="1"/>
  <c r="H2977" i="1"/>
  <c r="G2977" i="1"/>
  <c r="F2977" i="1"/>
  <c r="E2977" i="1"/>
  <c r="D2977" i="1"/>
  <c r="C2977" i="1"/>
  <c r="B2977" i="1"/>
  <c r="A2977" i="1"/>
  <c r="R2976" i="1"/>
  <c r="J2976" i="1"/>
  <c r="I2976" i="1"/>
  <c r="G2976" i="1"/>
  <c r="F2976" i="1"/>
  <c r="E2976" i="1"/>
  <c r="D2976" i="1"/>
  <c r="C2976" i="1"/>
  <c r="B2976" i="1"/>
  <c r="A2976" i="1"/>
  <c r="S2975" i="1"/>
  <c r="O2975" i="1"/>
  <c r="K2975" i="1"/>
  <c r="J2975" i="1"/>
  <c r="I2975" i="1"/>
  <c r="H2975" i="1"/>
  <c r="G2975" i="1"/>
  <c r="F2975" i="1"/>
  <c r="E2975" i="1"/>
  <c r="D2975" i="1"/>
  <c r="C2975" i="1"/>
  <c r="B2975" i="1"/>
  <c r="A2975" i="1"/>
  <c r="R2974" i="1"/>
  <c r="J2974" i="1"/>
  <c r="I2974" i="1"/>
  <c r="G2974" i="1"/>
  <c r="F2974" i="1"/>
  <c r="E2974" i="1"/>
  <c r="D2974" i="1"/>
  <c r="C2974" i="1"/>
  <c r="B2974" i="1"/>
  <c r="A2974" i="1"/>
  <c r="S2973" i="1"/>
  <c r="O2973" i="1"/>
  <c r="K2973" i="1"/>
  <c r="J2973" i="1"/>
  <c r="I2973" i="1"/>
  <c r="H2973" i="1"/>
  <c r="G2973" i="1"/>
  <c r="F2973" i="1"/>
  <c r="E2973" i="1"/>
  <c r="D2973" i="1"/>
  <c r="C2973" i="1"/>
  <c r="B2973" i="1"/>
  <c r="A2973" i="1"/>
  <c r="R2972" i="1"/>
  <c r="J2972" i="1"/>
  <c r="I2972" i="1"/>
  <c r="G2972" i="1"/>
  <c r="F2972" i="1"/>
  <c r="E2972" i="1"/>
  <c r="D2972" i="1"/>
  <c r="C2972" i="1"/>
  <c r="B2972" i="1"/>
  <c r="A2972" i="1"/>
  <c r="S2971" i="1"/>
  <c r="O2971" i="1"/>
  <c r="K2971" i="1"/>
  <c r="J2971" i="1"/>
  <c r="I2971" i="1"/>
  <c r="H2971" i="1"/>
  <c r="G2971" i="1"/>
  <c r="F2971" i="1"/>
  <c r="E2971" i="1"/>
  <c r="D2971" i="1"/>
  <c r="C2971" i="1"/>
  <c r="B2971" i="1"/>
  <c r="A2971" i="1"/>
  <c r="R2970" i="1"/>
  <c r="J2970" i="1"/>
  <c r="I2970" i="1"/>
  <c r="G2970" i="1"/>
  <c r="F2970" i="1"/>
  <c r="E2970" i="1"/>
  <c r="D2970" i="1"/>
  <c r="C2970" i="1"/>
  <c r="B2970" i="1"/>
  <c r="A2970" i="1"/>
  <c r="S2969" i="1"/>
  <c r="O2969" i="1"/>
  <c r="K2969" i="1"/>
  <c r="J2969" i="1"/>
  <c r="I2969" i="1"/>
  <c r="H2969" i="1"/>
  <c r="G2969" i="1"/>
  <c r="F2969" i="1"/>
  <c r="E2969" i="1"/>
  <c r="D2969" i="1"/>
  <c r="C2969" i="1"/>
  <c r="B2969" i="1"/>
  <c r="A2969" i="1"/>
  <c r="R2968" i="1"/>
  <c r="J2968" i="1"/>
  <c r="I2968" i="1"/>
  <c r="G2968" i="1"/>
  <c r="F2968" i="1"/>
  <c r="E2968" i="1"/>
  <c r="D2968" i="1"/>
  <c r="C2968" i="1"/>
  <c r="B2968" i="1"/>
  <c r="A2968" i="1"/>
  <c r="S2967" i="1"/>
  <c r="O2967" i="1"/>
  <c r="K2967" i="1"/>
  <c r="J2967" i="1"/>
  <c r="I2967" i="1"/>
  <c r="H2967" i="1"/>
  <c r="G2967" i="1"/>
  <c r="F2967" i="1"/>
  <c r="E2967" i="1"/>
  <c r="D2967" i="1"/>
  <c r="C2967" i="1"/>
  <c r="B2967" i="1"/>
  <c r="A2967" i="1"/>
  <c r="R2966" i="1"/>
  <c r="J2966" i="1"/>
  <c r="I2966" i="1"/>
  <c r="G2966" i="1"/>
  <c r="F2966" i="1"/>
  <c r="E2966" i="1"/>
  <c r="D2966" i="1"/>
  <c r="C2966" i="1"/>
  <c r="B2966" i="1"/>
  <c r="A2966" i="1"/>
  <c r="S2965" i="1"/>
  <c r="O2965" i="1"/>
  <c r="K2965" i="1"/>
  <c r="J2965" i="1"/>
  <c r="I2965" i="1"/>
  <c r="H2965" i="1"/>
  <c r="G2965" i="1"/>
  <c r="F2965" i="1"/>
  <c r="E2965" i="1"/>
  <c r="D2965" i="1"/>
  <c r="C2965" i="1"/>
  <c r="B2965" i="1"/>
  <c r="A2965" i="1"/>
  <c r="R2964" i="1"/>
  <c r="J2964" i="1"/>
  <c r="I2964" i="1"/>
  <c r="G2964" i="1"/>
  <c r="F2964" i="1"/>
  <c r="E2964" i="1"/>
  <c r="D2964" i="1"/>
  <c r="C2964" i="1"/>
  <c r="B2964" i="1"/>
  <c r="A2964" i="1"/>
  <c r="S2963" i="1"/>
  <c r="O2963" i="1"/>
  <c r="K2963" i="1"/>
  <c r="J2963" i="1"/>
  <c r="I2963" i="1"/>
  <c r="H2963" i="1"/>
  <c r="G2963" i="1"/>
  <c r="F2963" i="1"/>
  <c r="E2963" i="1"/>
  <c r="D2963" i="1"/>
  <c r="C2963" i="1"/>
  <c r="B2963" i="1"/>
  <c r="A2963" i="1"/>
  <c r="R2962" i="1"/>
  <c r="J2962" i="1"/>
  <c r="I2962" i="1"/>
  <c r="G2962" i="1"/>
  <c r="F2962" i="1"/>
  <c r="E2962" i="1"/>
  <c r="D2962" i="1"/>
  <c r="C2962" i="1"/>
  <c r="B2962" i="1"/>
  <c r="A2962" i="1"/>
  <c r="S2961" i="1"/>
  <c r="O2961" i="1"/>
  <c r="K2961" i="1"/>
  <c r="J2961" i="1"/>
  <c r="I2961" i="1"/>
  <c r="H2961" i="1"/>
  <c r="G2961" i="1"/>
  <c r="F2961" i="1"/>
  <c r="E2961" i="1"/>
  <c r="D2961" i="1"/>
  <c r="C2961" i="1"/>
  <c r="B2961" i="1"/>
  <c r="A2961" i="1"/>
  <c r="R2960" i="1"/>
  <c r="J2960" i="1"/>
  <c r="I2960" i="1"/>
  <c r="G2960" i="1"/>
  <c r="F2960" i="1"/>
  <c r="E2960" i="1"/>
  <c r="D2960" i="1"/>
  <c r="C2960" i="1"/>
  <c r="B2960" i="1"/>
  <c r="A2960" i="1"/>
  <c r="S2959" i="1"/>
  <c r="O2959" i="1"/>
  <c r="K2959" i="1"/>
  <c r="J2959" i="1"/>
  <c r="I2959" i="1"/>
  <c r="H2959" i="1"/>
  <c r="G2959" i="1"/>
  <c r="F2959" i="1"/>
  <c r="E2959" i="1"/>
  <c r="D2959" i="1"/>
  <c r="C2959" i="1"/>
  <c r="B2959" i="1"/>
  <c r="A2959" i="1"/>
  <c r="R2958" i="1"/>
  <c r="J2958" i="1"/>
  <c r="I2958" i="1"/>
  <c r="G2958" i="1"/>
  <c r="F2958" i="1"/>
  <c r="E2958" i="1"/>
  <c r="D2958" i="1"/>
  <c r="C2958" i="1"/>
  <c r="B2958" i="1"/>
  <c r="A2958" i="1"/>
  <c r="S2957" i="1"/>
  <c r="O2957" i="1"/>
  <c r="K2957" i="1"/>
  <c r="J2957" i="1"/>
  <c r="I2957" i="1"/>
  <c r="H2957" i="1"/>
  <c r="G2957" i="1"/>
  <c r="F2957" i="1"/>
  <c r="E2957" i="1"/>
  <c r="D2957" i="1"/>
  <c r="C2957" i="1"/>
  <c r="B2957" i="1"/>
  <c r="A2957" i="1"/>
  <c r="R2956" i="1"/>
  <c r="J2956" i="1"/>
  <c r="I2956" i="1"/>
  <c r="G2956" i="1"/>
  <c r="F2956" i="1"/>
  <c r="E2956" i="1"/>
  <c r="D2956" i="1"/>
  <c r="C2956" i="1"/>
  <c r="B2956" i="1"/>
  <c r="A2956" i="1"/>
  <c r="S2955" i="1"/>
  <c r="O2955" i="1"/>
  <c r="K2955" i="1"/>
  <c r="J2955" i="1"/>
  <c r="I2955" i="1"/>
  <c r="H2955" i="1"/>
  <c r="G2955" i="1"/>
  <c r="F2955" i="1"/>
  <c r="E2955" i="1"/>
  <c r="D2955" i="1"/>
  <c r="C2955" i="1"/>
  <c r="B2955" i="1"/>
  <c r="A2955" i="1"/>
  <c r="R2954" i="1"/>
  <c r="J2954" i="1"/>
  <c r="I2954" i="1"/>
  <c r="G2954" i="1"/>
  <c r="F2954" i="1"/>
  <c r="E2954" i="1"/>
  <c r="D2954" i="1"/>
  <c r="C2954" i="1"/>
  <c r="B2954" i="1"/>
  <c r="A2954" i="1"/>
  <c r="S2953" i="1"/>
  <c r="O2953" i="1"/>
  <c r="K2953" i="1"/>
  <c r="J2953" i="1"/>
  <c r="I2953" i="1"/>
  <c r="H2953" i="1"/>
  <c r="G2953" i="1"/>
  <c r="F2953" i="1"/>
  <c r="E2953" i="1"/>
  <c r="D2953" i="1"/>
  <c r="C2953" i="1"/>
  <c r="B2953" i="1"/>
  <c r="A2953" i="1"/>
  <c r="R2952" i="1"/>
  <c r="J2952" i="1"/>
  <c r="I2952" i="1"/>
  <c r="G2952" i="1"/>
  <c r="F2952" i="1"/>
  <c r="E2952" i="1"/>
  <c r="D2952" i="1"/>
  <c r="C2952" i="1"/>
  <c r="B2952" i="1"/>
  <c r="A2952" i="1"/>
  <c r="S2951" i="1"/>
  <c r="O2951" i="1"/>
  <c r="K2951" i="1"/>
  <c r="J2951" i="1"/>
  <c r="I2951" i="1"/>
  <c r="H2951" i="1"/>
  <c r="G2951" i="1"/>
  <c r="F2951" i="1"/>
  <c r="E2951" i="1"/>
  <c r="D2951" i="1"/>
  <c r="C2951" i="1"/>
  <c r="B2951" i="1"/>
  <c r="A2951" i="1"/>
  <c r="R2950" i="1"/>
  <c r="J2950" i="1"/>
  <c r="I2950" i="1"/>
  <c r="G2950" i="1"/>
  <c r="F2950" i="1"/>
  <c r="E2950" i="1"/>
  <c r="D2950" i="1"/>
  <c r="C2950" i="1"/>
  <c r="B2950" i="1"/>
  <c r="A2950" i="1"/>
  <c r="S2949" i="1"/>
  <c r="O2949" i="1"/>
  <c r="K2949" i="1"/>
  <c r="J2949" i="1"/>
  <c r="I2949" i="1"/>
  <c r="H2949" i="1"/>
  <c r="G2949" i="1"/>
  <c r="F2949" i="1"/>
  <c r="E2949" i="1"/>
  <c r="D2949" i="1"/>
  <c r="C2949" i="1"/>
  <c r="B2949" i="1"/>
  <c r="A2949" i="1"/>
  <c r="R2948" i="1"/>
  <c r="J2948" i="1"/>
  <c r="I2948" i="1"/>
  <c r="G2948" i="1"/>
  <c r="F2948" i="1"/>
  <c r="E2948" i="1"/>
  <c r="D2948" i="1"/>
  <c r="C2948" i="1"/>
  <c r="B2948" i="1"/>
  <c r="A2948" i="1"/>
  <c r="S2947" i="1"/>
  <c r="O2947" i="1"/>
  <c r="K2947" i="1"/>
  <c r="J2947" i="1"/>
  <c r="I2947" i="1"/>
  <c r="H2947" i="1"/>
  <c r="G2947" i="1"/>
  <c r="F2947" i="1"/>
  <c r="E2947" i="1"/>
  <c r="D2947" i="1"/>
  <c r="C2947" i="1"/>
  <c r="B2947" i="1"/>
  <c r="A2947" i="1"/>
  <c r="R2946" i="1"/>
  <c r="J2946" i="1"/>
  <c r="I2946" i="1"/>
  <c r="G2946" i="1"/>
  <c r="F2946" i="1"/>
  <c r="E2946" i="1"/>
  <c r="D2946" i="1"/>
  <c r="C2946" i="1"/>
  <c r="B2946" i="1"/>
  <c r="A2946" i="1"/>
  <c r="S2945" i="1"/>
  <c r="O2945" i="1"/>
  <c r="K2945" i="1"/>
  <c r="J2945" i="1"/>
  <c r="I2945" i="1"/>
  <c r="H2945" i="1"/>
  <c r="G2945" i="1"/>
  <c r="F2945" i="1"/>
  <c r="E2945" i="1"/>
  <c r="D2945" i="1"/>
  <c r="C2945" i="1"/>
  <c r="B2945" i="1"/>
  <c r="A2945" i="1"/>
  <c r="R2944" i="1"/>
  <c r="J2944" i="1"/>
  <c r="I2944" i="1"/>
  <c r="G2944" i="1"/>
  <c r="F2944" i="1"/>
  <c r="E2944" i="1"/>
  <c r="D2944" i="1"/>
  <c r="C2944" i="1"/>
  <c r="B2944" i="1"/>
  <c r="A2944" i="1"/>
  <c r="S2943" i="1"/>
  <c r="O2943" i="1"/>
  <c r="K2943" i="1"/>
  <c r="J2943" i="1"/>
  <c r="I2943" i="1"/>
  <c r="H2943" i="1"/>
  <c r="G2943" i="1"/>
  <c r="F2943" i="1"/>
  <c r="E2943" i="1"/>
  <c r="D2943" i="1"/>
  <c r="C2943" i="1"/>
  <c r="B2943" i="1"/>
  <c r="A2943" i="1"/>
  <c r="R2942" i="1"/>
  <c r="J2942" i="1"/>
  <c r="I2942" i="1"/>
  <c r="G2942" i="1"/>
  <c r="F2942" i="1"/>
  <c r="E2942" i="1"/>
  <c r="D2942" i="1"/>
  <c r="C2942" i="1"/>
  <c r="B2942" i="1"/>
  <c r="A2942" i="1"/>
  <c r="S2941" i="1"/>
  <c r="O2941" i="1"/>
  <c r="K2941" i="1"/>
  <c r="J2941" i="1"/>
  <c r="I2941" i="1"/>
  <c r="H2941" i="1"/>
  <c r="G2941" i="1"/>
  <c r="F2941" i="1"/>
  <c r="E2941" i="1"/>
  <c r="D2941" i="1"/>
  <c r="C2941" i="1"/>
  <c r="B2941" i="1"/>
  <c r="A2941" i="1"/>
  <c r="R2940" i="1"/>
  <c r="J2940" i="1"/>
  <c r="I2940" i="1"/>
  <c r="G2940" i="1"/>
  <c r="F2940" i="1"/>
  <c r="E2940" i="1"/>
  <c r="D2940" i="1"/>
  <c r="C2940" i="1"/>
  <c r="B2940" i="1"/>
  <c r="A2940" i="1"/>
  <c r="S2939" i="1"/>
  <c r="O2939" i="1"/>
  <c r="K2939" i="1"/>
  <c r="J2939" i="1"/>
  <c r="I2939" i="1"/>
  <c r="H2939" i="1"/>
  <c r="G2939" i="1"/>
  <c r="F2939" i="1"/>
  <c r="E2939" i="1"/>
  <c r="D2939" i="1"/>
  <c r="C2939" i="1"/>
  <c r="B2939" i="1"/>
  <c r="A2939" i="1"/>
  <c r="R2938" i="1"/>
  <c r="J2938" i="1"/>
  <c r="I2938" i="1"/>
  <c r="G2938" i="1"/>
  <c r="F2938" i="1"/>
  <c r="E2938" i="1"/>
  <c r="D2938" i="1"/>
  <c r="C2938" i="1"/>
  <c r="B2938" i="1"/>
  <c r="A2938" i="1"/>
  <c r="S2937" i="1"/>
  <c r="O2937" i="1"/>
  <c r="K2937" i="1"/>
  <c r="J2937" i="1"/>
  <c r="I2937" i="1"/>
  <c r="H2937" i="1"/>
  <c r="G2937" i="1"/>
  <c r="F2937" i="1"/>
  <c r="E2937" i="1"/>
  <c r="D2937" i="1"/>
  <c r="C2937" i="1"/>
  <c r="B2937" i="1"/>
  <c r="A2937" i="1"/>
  <c r="R2936" i="1"/>
  <c r="J2936" i="1"/>
  <c r="I2936" i="1"/>
  <c r="G2936" i="1"/>
  <c r="F2936" i="1"/>
  <c r="E2936" i="1"/>
  <c r="D2936" i="1"/>
  <c r="C2936" i="1"/>
  <c r="B2936" i="1"/>
  <c r="A2936" i="1"/>
  <c r="S2935" i="1"/>
  <c r="O2935" i="1"/>
  <c r="K2935" i="1"/>
  <c r="J2935" i="1"/>
  <c r="I2935" i="1"/>
  <c r="H2935" i="1"/>
  <c r="G2935" i="1"/>
  <c r="F2935" i="1"/>
  <c r="E2935" i="1"/>
  <c r="D2935" i="1"/>
  <c r="C2935" i="1"/>
  <c r="B2935" i="1"/>
  <c r="A2935" i="1"/>
  <c r="R2934" i="1"/>
  <c r="J2934" i="1"/>
  <c r="I2934" i="1"/>
  <c r="G2934" i="1"/>
  <c r="F2934" i="1"/>
  <c r="E2934" i="1"/>
  <c r="D2934" i="1"/>
  <c r="C2934" i="1"/>
  <c r="B2934" i="1"/>
  <c r="A2934" i="1"/>
  <c r="S2933" i="1"/>
  <c r="O2933" i="1"/>
  <c r="K2933" i="1"/>
  <c r="J2933" i="1"/>
  <c r="I2933" i="1"/>
  <c r="H2933" i="1"/>
  <c r="G2933" i="1"/>
  <c r="F2933" i="1"/>
  <c r="E2933" i="1"/>
  <c r="D2933" i="1"/>
  <c r="C2933" i="1"/>
  <c r="B2933" i="1"/>
  <c r="A2933" i="1"/>
  <c r="R2932" i="1"/>
  <c r="J2932" i="1"/>
  <c r="I2932" i="1"/>
  <c r="G2932" i="1"/>
  <c r="F2932" i="1"/>
  <c r="E2932" i="1"/>
  <c r="D2932" i="1"/>
  <c r="C2932" i="1"/>
  <c r="B2932" i="1"/>
  <c r="A2932" i="1"/>
  <c r="S2931" i="1"/>
  <c r="O2931" i="1"/>
  <c r="K2931" i="1"/>
  <c r="J2931" i="1"/>
  <c r="I2931" i="1"/>
  <c r="H2931" i="1"/>
  <c r="G2931" i="1"/>
  <c r="F2931" i="1"/>
  <c r="E2931" i="1"/>
  <c r="D2931" i="1"/>
  <c r="C2931" i="1"/>
  <c r="B2931" i="1"/>
  <c r="A2931" i="1"/>
  <c r="R2930" i="1"/>
  <c r="J2930" i="1"/>
  <c r="I2930" i="1"/>
  <c r="G2930" i="1"/>
  <c r="F2930" i="1"/>
  <c r="E2930" i="1"/>
  <c r="D2930" i="1"/>
  <c r="C2930" i="1"/>
  <c r="B2930" i="1"/>
  <c r="A2930" i="1"/>
  <c r="S2929" i="1"/>
  <c r="O2929" i="1"/>
  <c r="K2929" i="1"/>
  <c r="J2929" i="1"/>
  <c r="I2929" i="1"/>
  <c r="H2929" i="1"/>
  <c r="G2929" i="1"/>
  <c r="F2929" i="1"/>
  <c r="E2929" i="1"/>
  <c r="D2929" i="1"/>
  <c r="C2929" i="1"/>
  <c r="B2929" i="1"/>
  <c r="A2929" i="1"/>
  <c r="R2928" i="1"/>
  <c r="J2928" i="1"/>
  <c r="I2928" i="1"/>
  <c r="G2928" i="1"/>
  <c r="F2928" i="1"/>
  <c r="E2928" i="1"/>
  <c r="D2928" i="1"/>
  <c r="C2928" i="1"/>
  <c r="B2928" i="1"/>
  <c r="A2928" i="1"/>
  <c r="S2927" i="1"/>
  <c r="O2927" i="1"/>
  <c r="K2927" i="1"/>
  <c r="J2927" i="1"/>
  <c r="I2927" i="1"/>
  <c r="H2927" i="1"/>
  <c r="G2927" i="1"/>
  <c r="F2927" i="1"/>
  <c r="E2927" i="1"/>
  <c r="D2927" i="1"/>
  <c r="C2927" i="1"/>
  <c r="B2927" i="1"/>
  <c r="A2927" i="1"/>
  <c r="R2926" i="1"/>
  <c r="J2926" i="1"/>
  <c r="I2926" i="1"/>
  <c r="G2926" i="1"/>
  <c r="F2926" i="1"/>
  <c r="E2926" i="1"/>
  <c r="D2926" i="1"/>
  <c r="C2926" i="1"/>
  <c r="B2926" i="1"/>
  <c r="A2926" i="1"/>
  <c r="S2925" i="1"/>
  <c r="O2925" i="1"/>
  <c r="K2925" i="1"/>
  <c r="J2925" i="1"/>
  <c r="I2925" i="1"/>
  <c r="H2925" i="1"/>
  <c r="G2925" i="1"/>
  <c r="F2925" i="1"/>
  <c r="E2925" i="1"/>
  <c r="D2925" i="1"/>
  <c r="C2925" i="1"/>
  <c r="B2925" i="1"/>
  <c r="A2925" i="1"/>
  <c r="R2924" i="1"/>
  <c r="J2924" i="1"/>
  <c r="I2924" i="1"/>
  <c r="G2924" i="1"/>
  <c r="F2924" i="1"/>
  <c r="E2924" i="1"/>
  <c r="D2924" i="1"/>
  <c r="C2924" i="1"/>
  <c r="B2924" i="1"/>
  <c r="A2924" i="1"/>
  <c r="S2923" i="1"/>
  <c r="O2923" i="1"/>
  <c r="K2923" i="1"/>
  <c r="J2923" i="1"/>
  <c r="I2923" i="1"/>
  <c r="H2923" i="1"/>
  <c r="G2923" i="1"/>
  <c r="F2923" i="1"/>
  <c r="E2923" i="1"/>
  <c r="D2923" i="1"/>
  <c r="C2923" i="1"/>
  <c r="B2923" i="1"/>
  <c r="A2923" i="1"/>
  <c r="R2922" i="1"/>
  <c r="J2922" i="1"/>
  <c r="I2922" i="1"/>
  <c r="G2922" i="1"/>
  <c r="F2922" i="1"/>
  <c r="E2922" i="1"/>
  <c r="D2922" i="1"/>
  <c r="C2922" i="1"/>
  <c r="B2922" i="1"/>
  <c r="A2922" i="1"/>
  <c r="S2921" i="1"/>
  <c r="O2921" i="1"/>
  <c r="K2921" i="1"/>
  <c r="J2921" i="1"/>
  <c r="I2921" i="1"/>
  <c r="H2921" i="1"/>
  <c r="G2921" i="1"/>
  <c r="F2921" i="1"/>
  <c r="E2921" i="1"/>
  <c r="D2921" i="1"/>
  <c r="C2921" i="1"/>
  <c r="B2921" i="1"/>
  <c r="A2921" i="1"/>
  <c r="R2920" i="1"/>
  <c r="J2920" i="1"/>
  <c r="I2920" i="1"/>
  <c r="G2920" i="1"/>
  <c r="F2920" i="1"/>
  <c r="E2920" i="1"/>
  <c r="D2920" i="1"/>
  <c r="C2920" i="1"/>
  <c r="B2920" i="1"/>
  <c r="A2920" i="1"/>
  <c r="S2919" i="1"/>
  <c r="O2919" i="1"/>
  <c r="K2919" i="1"/>
  <c r="J2919" i="1"/>
  <c r="I2919" i="1"/>
  <c r="H2919" i="1"/>
  <c r="G2919" i="1"/>
  <c r="F2919" i="1"/>
  <c r="E2919" i="1"/>
  <c r="D2919" i="1"/>
  <c r="C2919" i="1"/>
  <c r="B2919" i="1"/>
  <c r="A2919" i="1"/>
  <c r="R2918" i="1"/>
  <c r="J2918" i="1"/>
  <c r="I2918" i="1"/>
  <c r="G2918" i="1"/>
  <c r="F2918" i="1"/>
  <c r="E2918" i="1"/>
  <c r="D2918" i="1"/>
  <c r="C2918" i="1"/>
  <c r="B2918" i="1"/>
  <c r="A2918" i="1"/>
  <c r="S2917" i="1"/>
  <c r="O2917" i="1"/>
  <c r="K2917" i="1"/>
  <c r="J2917" i="1"/>
  <c r="I2917" i="1"/>
  <c r="H2917" i="1"/>
  <c r="G2917" i="1"/>
  <c r="F2917" i="1"/>
  <c r="E2917" i="1"/>
  <c r="D2917" i="1"/>
  <c r="C2917" i="1"/>
  <c r="B2917" i="1"/>
  <c r="A2917" i="1"/>
  <c r="R2916" i="1"/>
  <c r="J2916" i="1"/>
  <c r="I2916" i="1"/>
  <c r="G2916" i="1"/>
  <c r="F2916" i="1"/>
  <c r="E2916" i="1"/>
  <c r="D2916" i="1"/>
  <c r="C2916" i="1"/>
  <c r="B2916" i="1"/>
  <c r="A2916" i="1"/>
  <c r="S2915" i="1"/>
  <c r="O2915" i="1"/>
  <c r="K2915" i="1"/>
  <c r="J2915" i="1"/>
  <c r="I2915" i="1"/>
  <c r="H2915" i="1"/>
  <c r="G2915" i="1"/>
  <c r="F2915" i="1"/>
  <c r="E2915" i="1"/>
  <c r="D2915" i="1"/>
  <c r="C2915" i="1"/>
  <c r="B2915" i="1"/>
  <c r="A2915" i="1"/>
  <c r="R2914" i="1"/>
  <c r="J2914" i="1"/>
  <c r="I2914" i="1"/>
  <c r="G2914" i="1"/>
  <c r="F2914" i="1"/>
  <c r="E2914" i="1"/>
  <c r="D2914" i="1"/>
  <c r="C2914" i="1"/>
  <c r="B2914" i="1"/>
  <c r="A2914" i="1"/>
  <c r="S2913" i="1"/>
  <c r="O2913" i="1"/>
  <c r="K2913" i="1"/>
  <c r="J2913" i="1"/>
  <c r="I2913" i="1"/>
  <c r="H2913" i="1"/>
  <c r="G2913" i="1"/>
  <c r="F2913" i="1"/>
  <c r="E2913" i="1"/>
  <c r="D2913" i="1"/>
  <c r="C2913" i="1"/>
  <c r="B2913" i="1"/>
  <c r="A2913" i="1"/>
  <c r="R2912" i="1"/>
  <c r="J2912" i="1"/>
  <c r="I2912" i="1"/>
  <c r="G2912" i="1"/>
  <c r="F2912" i="1"/>
  <c r="E2912" i="1"/>
  <c r="D2912" i="1"/>
  <c r="C2912" i="1"/>
  <c r="B2912" i="1"/>
  <c r="A2912" i="1"/>
  <c r="S2911" i="1"/>
  <c r="O2911" i="1"/>
  <c r="K2911" i="1"/>
  <c r="J2911" i="1"/>
  <c r="I2911" i="1"/>
  <c r="H2911" i="1"/>
  <c r="G2911" i="1"/>
  <c r="F2911" i="1"/>
  <c r="E2911" i="1"/>
  <c r="D2911" i="1"/>
  <c r="C2911" i="1"/>
  <c r="B2911" i="1"/>
  <c r="A2911" i="1"/>
  <c r="R2910" i="1"/>
  <c r="J2910" i="1"/>
  <c r="I2910" i="1"/>
  <c r="G2910" i="1"/>
  <c r="F2910" i="1"/>
  <c r="E2910" i="1"/>
  <c r="D2910" i="1"/>
  <c r="C2910" i="1"/>
  <c r="B2910" i="1"/>
  <c r="A2910" i="1"/>
  <c r="S2909" i="1"/>
  <c r="O2909" i="1"/>
  <c r="K2909" i="1"/>
  <c r="J2909" i="1"/>
  <c r="I2909" i="1"/>
  <c r="H2909" i="1"/>
  <c r="G2909" i="1"/>
  <c r="F2909" i="1"/>
  <c r="E2909" i="1"/>
  <c r="D2909" i="1"/>
  <c r="C2909" i="1"/>
  <c r="B2909" i="1"/>
  <c r="A2909" i="1"/>
  <c r="R2908" i="1"/>
  <c r="J2908" i="1"/>
  <c r="I2908" i="1"/>
  <c r="G2908" i="1"/>
  <c r="F2908" i="1"/>
  <c r="E2908" i="1"/>
  <c r="D2908" i="1"/>
  <c r="C2908" i="1"/>
  <c r="B2908" i="1"/>
  <c r="A2908" i="1"/>
  <c r="S2907" i="1"/>
  <c r="O2907" i="1"/>
  <c r="K2907" i="1"/>
  <c r="J2907" i="1"/>
  <c r="I2907" i="1"/>
  <c r="H2907" i="1"/>
  <c r="G2907" i="1"/>
  <c r="F2907" i="1"/>
  <c r="E2907" i="1"/>
  <c r="D2907" i="1"/>
  <c r="C2907" i="1"/>
  <c r="B2907" i="1"/>
  <c r="A2907" i="1"/>
  <c r="R2906" i="1"/>
  <c r="J2906" i="1"/>
  <c r="I2906" i="1"/>
  <c r="G2906" i="1"/>
  <c r="F2906" i="1"/>
  <c r="E2906" i="1"/>
  <c r="D2906" i="1"/>
  <c r="C2906" i="1"/>
  <c r="B2906" i="1"/>
  <c r="A2906" i="1"/>
  <c r="S2905" i="1"/>
  <c r="O2905" i="1"/>
  <c r="K2905" i="1"/>
  <c r="J2905" i="1"/>
  <c r="I2905" i="1"/>
  <c r="H2905" i="1"/>
  <c r="G2905" i="1"/>
  <c r="F2905" i="1"/>
  <c r="E2905" i="1"/>
  <c r="D2905" i="1"/>
  <c r="C2905" i="1"/>
  <c r="B2905" i="1"/>
  <c r="A2905" i="1"/>
  <c r="R2904" i="1"/>
  <c r="J2904" i="1"/>
  <c r="I2904" i="1"/>
  <c r="G2904" i="1"/>
  <c r="F2904" i="1"/>
  <c r="E2904" i="1"/>
  <c r="D2904" i="1"/>
  <c r="C2904" i="1"/>
  <c r="B2904" i="1"/>
  <c r="A2904" i="1"/>
  <c r="S2903" i="1"/>
  <c r="O2903" i="1"/>
  <c r="K2903" i="1"/>
  <c r="J2903" i="1"/>
  <c r="I2903" i="1"/>
  <c r="H2903" i="1"/>
  <c r="G2903" i="1"/>
  <c r="F2903" i="1"/>
  <c r="E2903" i="1"/>
  <c r="D2903" i="1"/>
  <c r="C2903" i="1"/>
  <c r="B2903" i="1"/>
  <c r="A2903" i="1"/>
  <c r="R2902" i="1"/>
  <c r="J2902" i="1"/>
  <c r="I2902" i="1"/>
  <c r="G2902" i="1"/>
  <c r="F2902" i="1"/>
  <c r="E2902" i="1"/>
  <c r="D2902" i="1"/>
  <c r="C2902" i="1"/>
  <c r="B2902" i="1"/>
  <c r="A2902" i="1"/>
  <c r="S2901" i="1"/>
  <c r="O2901" i="1"/>
  <c r="K2901" i="1"/>
  <c r="J2901" i="1"/>
  <c r="I2901" i="1"/>
  <c r="H2901" i="1"/>
  <c r="G2901" i="1"/>
  <c r="F2901" i="1"/>
  <c r="E2901" i="1"/>
  <c r="D2901" i="1"/>
  <c r="C2901" i="1"/>
  <c r="B2901" i="1"/>
  <c r="A2901" i="1"/>
  <c r="R2900" i="1"/>
  <c r="J2900" i="1"/>
  <c r="I2900" i="1"/>
  <c r="G2900" i="1"/>
  <c r="F2900" i="1"/>
  <c r="E2900" i="1"/>
  <c r="D2900" i="1"/>
  <c r="C2900" i="1"/>
  <c r="B2900" i="1"/>
  <c r="A2900" i="1"/>
  <c r="S2899" i="1"/>
  <c r="O2899" i="1"/>
  <c r="K2899" i="1"/>
  <c r="J2899" i="1"/>
  <c r="I2899" i="1"/>
  <c r="H2899" i="1"/>
  <c r="G2899" i="1"/>
  <c r="F2899" i="1"/>
  <c r="E2899" i="1"/>
  <c r="D2899" i="1"/>
  <c r="C2899" i="1"/>
  <c r="B2899" i="1"/>
  <c r="A2899" i="1"/>
  <c r="R2898" i="1"/>
  <c r="J2898" i="1"/>
  <c r="I2898" i="1"/>
  <c r="G2898" i="1"/>
  <c r="F2898" i="1"/>
  <c r="E2898" i="1"/>
  <c r="D2898" i="1"/>
  <c r="C2898" i="1"/>
  <c r="B2898" i="1"/>
  <c r="A2898" i="1"/>
  <c r="S2897" i="1"/>
  <c r="O2897" i="1"/>
  <c r="K2897" i="1"/>
  <c r="J2897" i="1"/>
  <c r="I2897" i="1"/>
  <c r="H2897" i="1"/>
  <c r="G2897" i="1"/>
  <c r="F2897" i="1"/>
  <c r="E2897" i="1"/>
  <c r="D2897" i="1"/>
  <c r="C2897" i="1"/>
  <c r="B2897" i="1"/>
  <c r="A2897" i="1"/>
  <c r="R2896" i="1"/>
  <c r="J2896" i="1"/>
  <c r="I2896" i="1"/>
  <c r="G2896" i="1"/>
  <c r="F2896" i="1"/>
  <c r="E2896" i="1"/>
  <c r="D2896" i="1"/>
  <c r="C2896" i="1"/>
  <c r="B2896" i="1"/>
  <c r="A2896" i="1"/>
  <c r="S2895" i="1"/>
  <c r="O2895" i="1"/>
  <c r="K2895" i="1"/>
  <c r="J2895" i="1"/>
  <c r="I2895" i="1"/>
  <c r="H2895" i="1"/>
  <c r="G2895" i="1"/>
  <c r="F2895" i="1"/>
  <c r="E2895" i="1"/>
  <c r="D2895" i="1"/>
  <c r="C2895" i="1"/>
  <c r="B2895" i="1"/>
  <c r="A2895" i="1"/>
  <c r="R2894" i="1"/>
  <c r="J2894" i="1"/>
  <c r="I2894" i="1"/>
  <c r="G2894" i="1"/>
  <c r="F2894" i="1"/>
  <c r="E2894" i="1"/>
  <c r="D2894" i="1"/>
  <c r="C2894" i="1"/>
  <c r="B2894" i="1"/>
  <c r="A2894" i="1"/>
  <c r="S2893" i="1"/>
  <c r="O2893" i="1"/>
  <c r="K2893" i="1"/>
  <c r="J2893" i="1"/>
  <c r="I2893" i="1"/>
  <c r="H2893" i="1"/>
  <c r="G2893" i="1"/>
  <c r="F2893" i="1"/>
  <c r="E2893" i="1"/>
  <c r="D2893" i="1"/>
  <c r="C2893" i="1"/>
  <c r="B2893" i="1"/>
  <c r="A2893" i="1"/>
  <c r="R2892" i="1"/>
  <c r="J2892" i="1"/>
  <c r="I2892" i="1"/>
  <c r="G2892" i="1"/>
  <c r="F2892" i="1"/>
  <c r="E2892" i="1"/>
  <c r="D2892" i="1"/>
  <c r="C2892" i="1"/>
  <c r="B2892" i="1"/>
  <c r="A2892" i="1"/>
  <c r="S2891" i="1"/>
  <c r="O2891" i="1"/>
  <c r="K2891" i="1"/>
  <c r="J2891" i="1"/>
  <c r="I2891" i="1"/>
  <c r="H2891" i="1"/>
  <c r="G2891" i="1"/>
  <c r="F2891" i="1"/>
  <c r="E2891" i="1"/>
  <c r="D2891" i="1"/>
  <c r="C2891" i="1"/>
  <c r="B2891" i="1"/>
  <c r="A2891" i="1"/>
  <c r="R2890" i="1"/>
  <c r="J2890" i="1"/>
  <c r="I2890" i="1"/>
  <c r="G2890" i="1"/>
  <c r="F2890" i="1"/>
  <c r="E2890" i="1"/>
  <c r="D2890" i="1"/>
  <c r="C2890" i="1"/>
  <c r="B2890" i="1"/>
  <c r="A2890" i="1"/>
  <c r="S2889" i="1"/>
  <c r="O2889" i="1"/>
  <c r="K2889" i="1"/>
  <c r="J2889" i="1"/>
  <c r="I2889" i="1"/>
  <c r="H2889" i="1"/>
  <c r="G2889" i="1"/>
  <c r="F2889" i="1"/>
  <c r="E2889" i="1"/>
  <c r="D2889" i="1"/>
  <c r="C2889" i="1"/>
  <c r="B2889" i="1"/>
  <c r="A2889" i="1"/>
  <c r="R2888" i="1"/>
  <c r="J2888" i="1"/>
  <c r="I2888" i="1"/>
  <c r="G2888" i="1"/>
  <c r="F2888" i="1"/>
  <c r="E2888" i="1"/>
  <c r="D2888" i="1"/>
  <c r="C2888" i="1"/>
  <c r="B2888" i="1"/>
  <c r="A2888" i="1"/>
  <c r="S2887" i="1"/>
  <c r="O2887" i="1"/>
  <c r="K2887" i="1"/>
  <c r="J2887" i="1"/>
  <c r="I2887" i="1"/>
  <c r="H2887" i="1"/>
  <c r="G2887" i="1"/>
  <c r="F2887" i="1"/>
  <c r="E2887" i="1"/>
  <c r="D2887" i="1"/>
  <c r="C2887" i="1"/>
  <c r="B2887" i="1"/>
  <c r="A2887" i="1"/>
  <c r="R2886" i="1"/>
  <c r="J2886" i="1"/>
  <c r="I2886" i="1"/>
  <c r="G2886" i="1"/>
  <c r="F2886" i="1"/>
  <c r="E2886" i="1"/>
  <c r="D2886" i="1"/>
  <c r="C2886" i="1"/>
  <c r="B2886" i="1"/>
  <c r="A2886" i="1"/>
  <c r="S2885" i="1"/>
  <c r="O2885" i="1"/>
  <c r="K2885" i="1"/>
  <c r="J2885" i="1"/>
  <c r="I2885" i="1"/>
  <c r="H2885" i="1"/>
  <c r="G2885" i="1"/>
  <c r="F2885" i="1"/>
  <c r="E2885" i="1"/>
  <c r="D2885" i="1"/>
  <c r="C2885" i="1"/>
  <c r="B2885" i="1"/>
  <c r="A2885" i="1"/>
  <c r="R2884" i="1"/>
  <c r="J2884" i="1"/>
  <c r="I2884" i="1"/>
  <c r="G2884" i="1"/>
  <c r="F2884" i="1"/>
  <c r="E2884" i="1"/>
  <c r="D2884" i="1"/>
  <c r="C2884" i="1"/>
  <c r="B2884" i="1"/>
  <c r="A2884" i="1"/>
  <c r="S2883" i="1"/>
  <c r="O2883" i="1"/>
  <c r="K2883" i="1"/>
  <c r="J2883" i="1"/>
  <c r="I2883" i="1"/>
  <c r="H2883" i="1"/>
  <c r="G2883" i="1"/>
  <c r="F2883" i="1"/>
  <c r="E2883" i="1"/>
  <c r="D2883" i="1"/>
  <c r="C2883" i="1"/>
  <c r="B2883" i="1"/>
  <c r="A2883" i="1"/>
  <c r="R2882" i="1"/>
  <c r="J2882" i="1"/>
  <c r="I2882" i="1"/>
  <c r="G2882" i="1"/>
  <c r="F2882" i="1"/>
  <c r="E2882" i="1"/>
  <c r="D2882" i="1"/>
  <c r="C2882" i="1"/>
  <c r="B2882" i="1"/>
  <c r="A2882" i="1"/>
  <c r="S2881" i="1"/>
  <c r="O2881" i="1"/>
  <c r="K2881" i="1"/>
  <c r="J2881" i="1"/>
  <c r="I2881" i="1"/>
  <c r="H2881" i="1"/>
  <c r="G2881" i="1"/>
  <c r="F2881" i="1"/>
  <c r="E2881" i="1"/>
  <c r="D2881" i="1"/>
  <c r="C2881" i="1"/>
  <c r="B2881" i="1"/>
  <c r="A2881" i="1"/>
  <c r="R2880" i="1"/>
  <c r="J2880" i="1"/>
  <c r="I2880" i="1"/>
  <c r="G2880" i="1"/>
  <c r="F2880" i="1"/>
  <c r="E2880" i="1"/>
  <c r="D2880" i="1"/>
  <c r="C2880" i="1"/>
  <c r="B2880" i="1"/>
  <c r="A2880" i="1"/>
  <c r="S2879" i="1"/>
  <c r="O2879" i="1"/>
  <c r="K2879" i="1"/>
  <c r="J2879" i="1"/>
  <c r="I2879" i="1"/>
  <c r="H2879" i="1"/>
  <c r="G2879" i="1"/>
  <c r="F2879" i="1"/>
  <c r="E2879" i="1"/>
  <c r="D2879" i="1"/>
  <c r="C2879" i="1"/>
  <c r="B2879" i="1"/>
  <c r="A2879" i="1"/>
  <c r="R2878" i="1"/>
  <c r="J2878" i="1"/>
  <c r="I2878" i="1"/>
  <c r="G2878" i="1"/>
  <c r="F2878" i="1"/>
  <c r="E2878" i="1"/>
  <c r="D2878" i="1"/>
  <c r="C2878" i="1"/>
  <c r="B2878" i="1"/>
  <c r="A2878" i="1"/>
  <c r="S2877" i="1"/>
  <c r="O2877" i="1"/>
  <c r="K2877" i="1"/>
  <c r="J2877" i="1"/>
  <c r="I2877" i="1"/>
  <c r="H2877" i="1"/>
  <c r="G2877" i="1"/>
  <c r="F2877" i="1"/>
  <c r="E2877" i="1"/>
  <c r="D2877" i="1"/>
  <c r="C2877" i="1"/>
  <c r="B2877" i="1"/>
  <c r="A2877" i="1"/>
  <c r="R2876" i="1"/>
  <c r="J2876" i="1"/>
  <c r="I2876" i="1"/>
  <c r="G2876" i="1"/>
  <c r="F2876" i="1"/>
  <c r="E2876" i="1"/>
  <c r="D2876" i="1"/>
  <c r="C2876" i="1"/>
  <c r="B2876" i="1"/>
  <c r="A2876" i="1"/>
  <c r="S2875" i="1"/>
  <c r="O2875" i="1"/>
  <c r="K2875" i="1"/>
  <c r="J2875" i="1"/>
  <c r="I2875" i="1"/>
  <c r="H2875" i="1"/>
  <c r="G2875" i="1"/>
  <c r="F2875" i="1"/>
  <c r="E2875" i="1"/>
  <c r="D2875" i="1"/>
  <c r="C2875" i="1"/>
  <c r="B2875" i="1"/>
  <c r="A2875" i="1"/>
  <c r="R2874" i="1"/>
  <c r="J2874" i="1"/>
  <c r="I2874" i="1"/>
  <c r="G2874" i="1"/>
  <c r="F2874" i="1"/>
  <c r="E2874" i="1"/>
  <c r="D2874" i="1"/>
  <c r="C2874" i="1"/>
  <c r="B2874" i="1"/>
  <c r="A2874" i="1"/>
  <c r="S2873" i="1"/>
  <c r="O2873" i="1"/>
  <c r="K2873" i="1"/>
  <c r="J2873" i="1"/>
  <c r="I2873" i="1"/>
  <c r="H2873" i="1"/>
  <c r="G2873" i="1"/>
  <c r="F2873" i="1"/>
  <c r="E2873" i="1"/>
  <c r="D2873" i="1"/>
  <c r="C2873" i="1"/>
  <c r="B2873" i="1"/>
  <c r="A2873" i="1"/>
  <c r="R2872" i="1"/>
  <c r="J2872" i="1"/>
  <c r="I2872" i="1"/>
  <c r="G2872" i="1"/>
  <c r="F2872" i="1"/>
  <c r="E2872" i="1"/>
  <c r="D2872" i="1"/>
  <c r="C2872" i="1"/>
  <c r="B2872" i="1"/>
  <c r="A2872" i="1"/>
  <c r="S2871" i="1"/>
  <c r="O2871" i="1"/>
  <c r="K2871" i="1"/>
  <c r="J2871" i="1"/>
  <c r="I2871" i="1"/>
  <c r="H2871" i="1"/>
  <c r="G2871" i="1"/>
  <c r="F2871" i="1"/>
  <c r="E2871" i="1"/>
  <c r="D2871" i="1"/>
  <c r="C2871" i="1"/>
  <c r="B2871" i="1"/>
  <c r="A2871" i="1"/>
  <c r="R2870" i="1"/>
  <c r="J2870" i="1"/>
  <c r="I2870" i="1"/>
  <c r="G2870" i="1"/>
  <c r="F2870" i="1"/>
  <c r="E2870" i="1"/>
  <c r="D2870" i="1"/>
  <c r="C2870" i="1"/>
  <c r="B2870" i="1"/>
  <c r="A2870" i="1"/>
  <c r="S2869" i="1"/>
  <c r="O2869" i="1"/>
  <c r="K2869" i="1"/>
  <c r="J2869" i="1"/>
  <c r="I2869" i="1"/>
  <c r="H2869" i="1"/>
  <c r="G2869" i="1"/>
  <c r="F2869" i="1"/>
  <c r="E2869" i="1"/>
  <c r="D2869" i="1"/>
  <c r="C2869" i="1"/>
  <c r="B2869" i="1"/>
  <c r="A2869" i="1"/>
  <c r="R2868" i="1"/>
  <c r="J2868" i="1"/>
  <c r="I2868" i="1"/>
  <c r="G2868" i="1"/>
  <c r="F2868" i="1"/>
  <c r="E2868" i="1"/>
  <c r="D2868" i="1"/>
  <c r="C2868" i="1"/>
  <c r="B2868" i="1"/>
  <c r="A2868" i="1"/>
  <c r="S2867" i="1"/>
  <c r="O2867" i="1"/>
  <c r="K2867" i="1"/>
  <c r="J2867" i="1"/>
  <c r="I2867" i="1"/>
  <c r="H2867" i="1"/>
  <c r="G2867" i="1"/>
  <c r="F2867" i="1"/>
  <c r="E2867" i="1"/>
  <c r="D2867" i="1"/>
  <c r="C2867" i="1"/>
  <c r="B2867" i="1"/>
  <c r="A2867" i="1"/>
  <c r="R2866" i="1"/>
  <c r="J2866" i="1"/>
  <c r="I2866" i="1"/>
  <c r="G2866" i="1"/>
  <c r="F2866" i="1"/>
  <c r="E2866" i="1"/>
  <c r="D2866" i="1"/>
  <c r="C2866" i="1"/>
  <c r="B2866" i="1"/>
  <c r="A2866" i="1"/>
  <c r="S2865" i="1"/>
  <c r="O2865" i="1"/>
  <c r="K2865" i="1"/>
  <c r="J2865" i="1"/>
  <c r="I2865" i="1"/>
  <c r="H2865" i="1"/>
  <c r="G2865" i="1"/>
  <c r="F2865" i="1"/>
  <c r="E2865" i="1"/>
  <c r="D2865" i="1"/>
  <c r="C2865" i="1"/>
  <c r="B2865" i="1"/>
  <c r="A2865" i="1"/>
  <c r="R2864" i="1"/>
  <c r="J2864" i="1"/>
  <c r="I2864" i="1"/>
  <c r="G2864" i="1"/>
  <c r="F2864" i="1"/>
  <c r="E2864" i="1"/>
  <c r="D2864" i="1"/>
  <c r="C2864" i="1"/>
  <c r="B2864" i="1"/>
  <c r="A2864" i="1"/>
  <c r="S2863" i="1"/>
  <c r="O2863" i="1"/>
  <c r="K2863" i="1"/>
  <c r="J2863" i="1"/>
  <c r="I2863" i="1"/>
  <c r="H2863" i="1"/>
  <c r="G2863" i="1"/>
  <c r="F2863" i="1"/>
  <c r="E2863" i="1"/>
  <c r="D2863" i="1"/>
  <c r="C2863" i="1"/>
  <c r="B2863" i="1"/>
  <c r="A2863" i="1"/>
  <c r="R2862" i="1"/>
  <c r="J2862" i="1"/>
  <c r="I2862" i="1"/>
  <c r="G2862" i="1"/>
  <c r="F2862" i="1"/>
  <c r="E2862" i="1"/>
  <c r="D2862" i="1"/>
  <c r="C2862" i="1"/>
  <c r="B2862" i="1"/>
  <c r="A2862" i="1"/>
  <c r="S2861" i="1"/>
  <c r="O2861" i="1"/>
  <c r="K2861" i="1"/>
  <c r="J2861" i="1"/>
  <c r="I2861" i="1"/>
  <c r="H2861" i="1"/>
  <c r="G2861" i="1"/>
  <c r="F2861" i="1"/>
  <c r="E2861" i="1"/>
  <c r="D2861" i="1"/>
  <c r="C2861" i="1"/>
  <c r="B2861" i="1"/>
  <c r="A2861" i="1"/>
  <c r="R2860" i="1"/>
  <c r="J2860" i="1"/>
  <c r="I2860" i="1"/>
  <c r="G2860" i="1"/>
  <c r="F2860" i="1"/>
  <c r="E2860" i="1"/>
  <c r="D2860" i="1"/>
  <c r="C2860" i="1"/>
  <c r="B2860" i="1"/>
  <c r="A2860" i="1"/>
  <c r="S2859" i="1"/>
  <c r="O2859" i="1"/>
  <c r="K2859" i="1"/>
  <c r="J2859" i="1"/>
  <c r="I2859" i="1"/>
  <c r="H2859" i="1"/>
  <c r="G2859" i="1"/>
  <c r="F2859" i="1"/>
  <c r="E2859" i="1"/>
  <c r="D2859" i="1"/>
  <c r="C2859" i="1"/>
  <c r="B2859" i="1"/>
  <c r="A2859" i="1"/>
  <c r="R2858" i="1"/>
  <c r="J2858" i="1"/>
  <c r="I2858" i="1"/>
  <c r="G2858" i="1"/>
  <c r="F2858" i="1"/>
  <c r="E2858" i="1"/>
  <c r="D2858" i="1"/>
  <c r="C2858" i="1"/>
  <c r="B2858" i="1"/>
  <c r="A2858" i="1"/>
  <c r="S2857" i="1"/>
  <c r="O2857" i="1"/>
  <c r="K2857" i="1"/>
  <c r="J2857" i="1"/>
  <c r="I2857" i="1"/>
  <c r="H2857" i="1"/>
  <c r="G2857" i="1"/>
  <c r="F2857" i="1"/>
  <c r="E2857" i="1"/>
  <c r="D2857" i="1"/>
  <c r="C2857" i="1"/>
  <c r="B2857" i="1"/>
  <c r="A2857" i="1"/>
  <c r="R2856" i="1"/>
  <c r="J2856" i="1"/>
  <c r="I2856" i="1"/>
  <c r="G2856" i="1"/>
  <c r="F2856" i="1"/>
  <c r="E2856" i="1"/>
  <c r="D2856" i="1"/>
  <c r="C2856" i="1"/>
  <c r="B2856" i="1"/>
  <c r="A2856" i="1"/>
  <c r="S2855" i="1"/>
  <c r="O2855" i="1"/>
  <c r="K2855" i="1"/>
  <c r="J2855" i="1"/>
  <c r="I2855" i="1"/>
  <c r="H2855" i="1"/>
  <c r="G2855" i="1"/>
  <c r="F2855" i="1"/>
  <c r="E2855" i="1"/>
  <c r="D2855" i="1"/>
  <c r="C2855" i="1"/>
  <c r="B2855" i="1"/>
  <c r="A2855" i="1"/>
  <c r="R2854" i="1"/>
  <c r="J2854" i="1"/>
  <c r="I2854" i="1"/>
  <c r="G2854" i="1"/>
  <c r="F2854" i="1"/>
  <c r="E2854" i="1"/>
  <c r="D2854" i="1"/>
  <c r="C2854" i="1"/>
  <c r="B2854" i="1"/>
  <c r="A2854" i="1"/>
  <c r="S2853" i="1"/>
  <c r="O2853" i="1"/>
  <c r="K2853" i="1"/>
  <c r="J2853" i="1"/>
  <c r="I2853" i="1"/>
  <c r="H2853" i="1"/>
  <c r="G2853" i="1"/>
  <c r="F2853" i="1"/>
  <c r="E2853" i="1"/>
  <c r="D2853" i="1"/>
  <c r="C2853" i="1"/>
  <c r="B2853" i="1"/>
  <c r="A2853" i="1"/>
  <c r="R2852" i="1"/>
  <c r="J2852" i="1"/>
  <c r="I2852" i="1"/>
  <c r="G2852" i="1"/>
  <c r="F2852" i="1"/>
  <c r="E2852" i="1"/>
  <c r="D2852" i="1"/>
  <c r="C2852" i="1"/>
  <c r="B2852" i="1"/>
  <c r="A2852" i="1"/>
  <c r="S2851" i="1"/>
  <c r="O2851" i="1"/>
  <c r="K2851" i="1"/>
  <c r="J2851" i="1"/>
  <c r="I2851" i="1"/>
  <c r="H2851" i="1"/>
  <c r="G2851" i="1"/>
  <c r="F2851" i="1"/>
  <c r="E2851" i="1"/>
  <c r="D2851" i="1"/>
  <c r="C2851" i="1"/>
  <c r="B2851" i="1"/>
  <c r="A2851" i="1"/>
  <c r="R2850" i="1"/>
  <c r="J2850" i="1"/>
  <c r="I2850" i="1"/>
  <c r="G2850" i="1"/>
  <c r="F2850" i="1"/>
  <c r="E2850" i="1"/>
  <c r="D2850" i="1"/>
  <c r="C2850" i="1"/>
  <c r="B2850" i="1"/>
  <c r="A2850" i="1"/>
  <c r="S2849" i="1"/>
  <c r="O2849" i="1"/>
  <c r="K2849" i="1"/>
  <c r="J2849" i="1"/>
  <c r="I2849" i="1"/>
  <c r="H2849" i="1"/>
  <c r="G2849" i="1"/>
  <c r="F2849" i="1"/>
  <c r="E2849" i="1"/>
  <c r="D2849" i="1"/>
  <c r="C2849" i="1"/>
  <c r="B2849" i="1"/>
  <c r="A2849" i="1"/>
  <c r="R2848" i="1"/>
  <c r="J2848" i="1"/>
  <c r="I2848" i="1"/>
  <c r="G2848" i="1"/>
  <c r="F2848" i="1"/>
  <c r="E2848" i="1"/>
  <c r="D2848" i="1"/>
  <c r="C2848" i="1"/>
  <c r="B2848" i="1"/>
  <c r="A2848" i="1"/>
  <c r="S2847" i="1"/>
  <c r="O2847" i="1"/>
  <c r="K2847" i="1"/>
  <c r="J2847" i="1"/>
  <c r="I2847" i="1"/>
  <c r="H2847" i="1"/>
  <c r="G2847" i="1"/>
  <c r="F2847" i="1"/>
  <c r="E2847" i="1"/>
  <c r="D2847" i="1"/>
  <c r="C2847" i="1"/>
  <c r="B2847" i="1"/>
  <c r="A2847" i="1"/>
  <c r="R2846" i="1"/>
  <c r="J2846" i="1"/>
  <c r="I2846" i="1"/>
  <c r="G2846" i="1"/>
  <c r="F2846" i="1"/>
  <c r="E2846" i="1"/>
  <c r="D2846" i="1"/>
  <c r="C2846" i="1"/>
  <c r="B2846" i="1"/>
  <c r="A2846" i="1"/>
  <c r="S2845" i="1"/>
  <c r="O2845" i="1"/>
  <c r="K2845" i="1"/>
  <c r="J2845" i="1"/>
  <c r="I2845" i="1"/>
  <c r="H2845" i="1"/>
  <c r="G2845" i="1"/>
  <c r="F2845" i="1"/>
  <c r="E2845" i="1"/>
  <c r="D2845" i="1"/>
  <c r="C2845" i="1"/>
  <c r="B2845" i="1"/>
  <c r="A2845" i="1"/>
  <c r="R2844" i="1"/>
  <c r="J2844" i="1"/>
  <c r="I2844" i="1"/>
  <c r="G2844" i="1"/>
  <c r="F2844" i="1"/>
  <c r="E2844" i="1"/>
  <c r="D2844" i="1"/>
  <c r="C2844" i="1"/>
  <c r="B2844" i="1"/>
  <c r="A2844" i="1"/>
  <c r="S2843" i="1"/>
  <c r="O2843" i="1"/>
  <c r="K2843" i="1"/>
  <c r="J2843" i="1"/>
  <c r="I2843" i="1"/>
  <c r="H2843" i="1"/>
  <c r="G2843" i="1"/>
  <c r="F2843" i="1"/>
  <c r="E2843" i="1"/>
  <c r="D2843" i="1"/>
  <c r="C2843" i="1"/>
  <c r="B2843" i="1"/>
  <c r="A2843" i="1"/>
  <c r="R2842" i="1"/>
  <c r="J2842" i="1"/>
  <c r="I2842" i="1"/>
  <c r="G2842" i="1"/>
  <c r="F2842" i="1"/>
  <c r="E2842" i="1"/>
  <c r="D2842" i="1"/>
  <c r="C2842" i="1"/>
  <c r="B2842" i="1"/>
  <c r="A2842" i="1"/>
  <c r="S2841" i="1"/>
  <c r="O2841" i="1"/>
  <c r="K2841" i="1"/>
  <c r="J2841" i="1"/>
  <c r="I2841" i="1"/>
  <c r="H2841" i="1"/>
  <c r="G2841" i="1"/>
  <c r="F2841" i="1"/>
  <c r="E2841" i="1"/>
  <c r="D2841" i="1"/>
  <c r="C2841" i="1"/>
  <c r="B2841" i="1"/>
  <c r="A2841" i="1"/>
  <c r="R2840" i="1"/>
  <c r="J2840" i="1"/>
  <c r="I2840" i="1"/>
  <c r="G2840" i="1"/>
  <c r="F2840" i="1"/>
  <c r="E2840" i="1"/>
  <c r="D2840" i="1"/>
  <c r="C2840" i="1"/>
  <c r="B2840" i="1"/>
  <c r="A2840" i="1"/>
  <c r="S2839" i="1"/>
  <c r="O2839" i="1"/>
  <c r="K2839" i="1"/>
  <c r="J2839" i="1"/>
  <c r="I2839" i="1"/>
  <c r="H2839" i="1"/>
  <c r="G2839" i="1"/>
  <c r="F2839" i="1"/>
  <c r="E2839" i="1"/>
  <c r="D2839" i="1"/>
  <c r="C2839" i="1"/>
  <c r="B2839" i="1"/>
  <c r="A2839" i="1"/>
  <c r="R2838" i="1"/>
  <c r="J2838" i="1"/>
  <c r="I2838" i="1"/>
  <c r="G2838" i="1"/>
  <c r="F2838" i="1"/>
  <c r="E2838" i="1"/>
  <c r="D2838" i="1"/>
  <c r="C2838" i="1"/>
  <c r="B2838" i="1"/>
  <c r="A2838" i="1"/>
  <c r="S2837" i="1"/>
  <c r="O2837" i="1"/>
  <c r="K2837" i="1"/>
  <c r="J2837" i="1"/>
  <c r="I2837" i="1"/>
  <c r="H2837" i="1"/>
  <c r="G2837" i="1"/>
  <c r="F2837" i="1"/>
  <c r="E2837" i="1"/>
  <c r="D2837" i="1"/>
  <c r="C2837" i="1"/>
  <c r="B2837" i="1"/>
  <c r="A2837" i="1"/>
  <c r="R2836" i="1"/>
  <c r="J2836" i="1"/>
  <c r="I2836" i="1"/>
  <c r="G2836" i="1"/>
  <c r="F2836" i="1"/>
  <c r="E2836" i="1"/>
  <c r="D2836" i="1"/>
  <c r="C2836" i="1"/>
  <c r="B2836" i="1"/>
  <c r="A2836" i="1"/>
  <c r="S2835" i="1"/>
  <c r="O2835" i="1"/>
  <c r="K2835" i="1"/>
  <c r="J2835" i="1"/>
  <c r="I2835" i="1"/>
  <c r="H2835" i="1"/>
  <c r="G2835" i="1"/>
  <c r="F2835" i="1"/>
  <c r="E2835" i="1"/>
  <c r="D2835" i="1"/>
  <c r="C2835" i="1"/>
  <c r="B2835" i="1"/>
  <c r="A2835" i="1"/>
  <c r="R2834" i="1"/>
  <c r="J2834" i="1"/>
  <c r="I2834" i="1"/>
  <c r="G2834" i="1"/>
  <c r="F2834" i="1"/>
  <c r="E2834" i="1"/>
  <c r="D2834" i="1"/>
  <c r="C2834" i="1"/>
  <c r="B2834" i="1"/>
  <c r="A2834" i="1"/>
  <c r="S2833" i="1"/>
  <c r="O2833" i="1"/>
  <c r="K2833" i="1"/>
  <c r="J2833" i="1"/>
  <c r="I2833" i="1"/>
  <c r="H2833" i="1"/>
  <c r="G2833" i="1"/>
  <c r="F2833" i="1"/>
  <c r="E2833" i="1"/>
  <c r="D2833" i="1"/>
  <c r="C2833" i="1"/>
  <c r="B2833" i="1"/>
  <c r="A2833" i="1"/>
  <c r="R2832" i="1"/>
  <c r="J2832" i="1"/>
  <c r="I2832" i="1"/>
  <c r="G2832" i="1"/>
  <c r="F2832" i="1"/>
  <c r="E2832" i="1"/>
  <c r="D2832" i="1"/>
  <c r="C2832" i="1"/>
  <c r="B2832" i="1"/>
  <c r="A2832" i="1"/>
  <c r="S2831" i="1"/>
  <c r="O2831" i="1"/>
  <c r="K2831" i="1"/>
  <c r="J2831" i="1"/>
  <c r="I2831" i="1"/>
  <c r="H2831" i="1"/>
  <c r="G2831" i="1"/>
  <c r="F2831" i="1"/>
  <c r="E2831" i="1"/>
  <c r="D2831" i="1"/>
  <c r="C2831" i="1"/>
  <c r="B2831" i="1"/>
  <c r="A2831" i="1"/>
  <c r="R2830" i="1"/>
  <c r="J2830" i="1"/>
  <c r="I2830" i="1"/>
  <c r="G2830" i="1"/>
  <c r="F2830" i="1"/>
  <c r="E2830" i="1"/>
  <c r="D2830" i="1"/>
  <c r="C2830" i="1"/>
  <c r="B2830" i="1"/>
  <c r="A2830" i="1"/>
  <c r="S2829" i="1"/>
  <c r="O2829" i="1"/>
  <c r="K2829" i="1"/>
  <c r="J2829" i="1"/>
  <c r="I2829" i="1"/>
  <c r="H2829" i="1"/>
  <c r="G2829" i="1"/>
  <c r="F2829" i="1"/>
  <c r="E2829" i="1"/>
  <c r="D2829" i="1"/>
  <c r="C2829" i="1"/>
  <c r="B2829" i="1"/>
  <c r="A2829" i="1"/>
  <c r="R2828" i="1"/>
  <c r="J2828" i="1"/>
  <c r="I2828" i="1"/>
  <c r="G2828" i="1"/>
  <c r="F2828" i="1"/>
  <c r="E2828" i="1"/>
  <c r="D2828" i="1"/>
  <c r="C2828" i="1"/>
  <c r="B2828" i="1"/>
  <c r="A2828" i="1"/>
  <c r="S2827" i="1"/>
  <c r="O2827" i="1"/>
  <c r="K2827" i="1"/>
  <c r="J2827" i="1"/>
  <c r="I2827" i="1"/>
  <c r="H2827" i="1"/>
  <c r="G2827" i="1"/>
  <c r="F2827" i="1"/>
  <c r="E2827" i="1"/>
  <c r="D2827" i="1"/>
  <c r="C2827" i="1"/>
  <c r="B2827" i="1"/>
  <c r="A2827" i="1"/>
  <c r="R2826" i="1"/>
  <c r="J2826" i="1"/>
  <c r="I2826" i="1"/>
  <c r="G2826" i="1"/>
  <c r="F2826" i="1"/>
  <c r="E2826" i="1"/>
  <c r="D2826" i="1"/>
  <c r="C2826" i="1"/>
  <c r="B2826" i="1"/>
  <c r="A2826" i="1"/>
  <c r="S2825" i="1"/>
  <c r="O2825" i="1"/>
  <c r="K2825" i="1"/>
  <c r="J2825" i="1"/>
  <c r="I2825" i="1"/>
  <c r="H2825" i="1"/>
  <c r="G2825" i="1"/>
  <c r="F2825" i="1"/>
  <c r="E2825" i="1"/>
  <c r="D2825" i="1"/>
  <c r="C2825" i="1"/>
  <c r="B2825" i="1"/>
  <c r="A2825" i="1"/>
  <c r="R2824" i="1"/>
  <c r="J2824" i="1"/>
  <c r="I2824" i="1"/>
  <c r="G2824" i="1"/>
  <c r="F2824" i="1"/>
  <c r="E2824" i="1"/>
  <c r="D2824" i="1"/>
  <c r="C2824" i="1"/>
  <c r="B2824" i="1"/>
  <c r="A2824" i="1"/>
  <c r="S2823" i="1"/>
  <c r="O2823" i="1"/>
  <c r="K2823" i="1"/>
  <c r="J2823" i="1"/>
  <c r="I2823" i="1"/>
  <c r="H2823" i="1"/>
  <c r="G2823" i="1"/>
  <c r="F2823" i="1"/>
  <c r="E2823" i="1"/>
  <c r="D2823" i="1"/>
  <c r="C2823" i="1"/>
  <c r="B2823" i="1"/>
  <c r="A2823" i="1"/>
  <c r="R2822" i="1"/>
  <c r="J2822" i="1"/>
  <c r="I2822" i="1"/>
  <c r="G2822" i="1"/>
  <c r="F2822" i="1"/>
  <c r="E2822" i="1"/>
  <c r="D2822" i="1"/>
  <c r="C2822" i="1"/>
  <c r="B2822" i="1"/>
  <c r="A2822" i="1"/>
  <c r="S2821" i="1"/>
  <c r="O2821" i="1"/>
  <c r="K2821" i="1"/>
  <c r="J2821" i="1"/>
  <c r="I2821" i="1"/>
  <c r="H2821" i="1"/>
  <c r="G2821" i="1"/>
  <c r="F2821" i="1"/>
  <c r="E2821" i="1"/>
  <c r="D2821" i="1"/>
  <c r="C2821" i="1"/>
  <c r="B2821" i="1"/>
  <c r="A2821" i="1"/>
  <c r="R2820" i="1"/>
  <c r="J2820" i="1"/>
  <c r="I2820" i="1"/>
  <c r="G2820" i="1"/>
  <c r="F2820" i="1"/>
  <c r="E2820" i="1"/>
  <c r="D2820" i="1"/>
  <c r="C2820" i="1"/>
  <c r="B2820" i="1"/>
  <c r="A2820" i="1"/>
  <c r="S2819" i="1"/>
  <c r="O2819" i="1"/>
  <c r="K2819" i="1"/>
  <c r="J2819" i="1"/>
  <c r="I2819" i="1"/>
  <c r="H2819" i="1"/>
  <c r="G2819" i="1"/>
  <c r="F2819" i="1"/>
  <c r="E2819" i="1"/>
  <c r="D2819" i="1"/>
  <c r="C2819" i="1"/>
  <c r="B2819" i="1"/>
  <c r="A2819" i="1"/>
  <c r="R2818" i="1"/>
  <c r="J2818" i="1"/>
  <c r="I2818" i="1"/>
  <c r="G2818" i="1"/>
  <c r="F2818" i="1"/>
  <c r="E2818" i="1"/>
  <c r="D2818" i="1"/>
  <c r="C2818" i="1"/>
  <c r="B2818" i="1"/>
  <c r="A2818" i="1"/>
  <c r="S2817" i="1"/>
  <c r="O2817" i="1"/>
  <c r="K2817" i="1"/>
  <c r="J2817" i="1"/>
  <c r="I2817" i="1"/>
  <c r="H2817" i="1"/>
  <c r="G2817" i="1"/>
  <c r="F2817" i="1"/>
  <c r="E2817" i="1"/>
  <c r="D2817" i="1"/>
  <c r="C2817" i="1"/>
  <c r="B2817" i="1"/>
  <c r="A2817" i="1"/>
  <c r="R2816" i="1"/>
  <c r="J2816" i="1"/>
  <c r="I2816" i="1"/>
  <c r="G2816" i="1"/>
  <c r="F2816" i="1"/>
  <c r="E2816" i="1"/>
  <c r="D2816" i="1"/>
  <c r="C2816" i="1"/>
  <c r="B2816" i="1"/>
  <c r="A2816" i="1"/>
  <c r="S2815" i="1"/>
  <c r="O2815" i="1"/>
  <c r="K2815" i="1"/>
  <c r="J2815" i="1"/>
  <c r="I2815" i="1"/>
  <c r="H2815" i="1"/>
  <c r="G2815" i="1"/>
  <c r="F2815" i="1"/>
  <c r="E2815" i="1"/>
  <c r="D2815" i="1"/>
  <c r="C2815" i="1"/>
  <c r="B2815" i="1"/>
  <c r="A2815" i="1"/>
  <c r="R2814" i="1"/>
  <c r="J2814" i="1"/>
  <c r="I2814" i="1"/>
  <c r="G2814" i="1"/>
  <c r="F2814" i="1"/>
  <c r="E2814" i="1"/>
  <c r="D2814" i="1"/>
  <c r="C2814" i="1"/>
  <c r="B2814" i="1"/>
  <c r="A2814" i="1"/>
  <c r="S2813" i="1"/>
  <c r="O2813" i="1"/>
  <c r="K2813" i="1"/>
  <c r="J2813" i="1"/>
  <c r="I2813" i="1"/>
  <c r="H2813" i="1"/>
  <c r="G2813" i="1"/>
  <c r="F2813" i="1"/>
  <c r="E2813" i="1"/>
  <c r="D2813" i="1"/>
  <c r="C2813" i="1"/>
  <c r="B2813" i="1"/>
  <c r="A2813" i="1"/>
  <c r="R2812" i="1"/>
  <c r="J2812" i="1"/>
  <c r="I2812" i="1"/>
  <c r="G2812" i="1"/>
  <c r="F2812" i="1"/>
  <c r="E2812" i="1"/>
  <c r="D2812" i="1"/>
  <c r="C2812" i="1"/>
  <c r="B2812" i="1"/>
  <c r="A2812" i="1"/>
  <c r="S2811" i="1"/>
  <c r="O2811" i="1"/>
  <c r="K2811" i="1"/>
  <c r="J2811" i="1"/>
  <c r="I2811" i="1"/>
  <c r="H2811" i="1"/>
  <c r="G2811" i="1"/>
  <c r="F2811" i="1"/>
  <c r="E2811" i="1"/>
  <c r="D2811" i="1"/>
  <c r="C2811" i="1"/>
  <c r="B2811" i="1"/>
  <c r="A2811" i="1"/>
  <c r="R2810" i="1"/>
  <c r="J2810" i="1"/>
  <c r="I2810" i="1"/>
  <c r="G2810" i="1"/>
  <c r="F2810" i="1"/>
  <c r="E2810" i="1"/>
  <c r="D2810" i="1"/>
  <c r="C2810" i="1"/>
  <c r="B2810" i="1"/>
  <c r="A2810" i="1"/>
  <c r="S2809" i="1"/>
  <c r="O2809" i="1"/>
  <c r="K2809" i="1"/>
  <c r="J2809" i="1"/>
  <c r="I2809" i="1"/>
  <c r="H2809" i="1"/>
  <c r="G2809" i="1"/>
  <c r="F2809" i="1"/>
  <c r="E2809" i="1"/>
  <c r="D2809" i="1"/>
  <c r="C2809" i="1"/>
  <c r="B2809" i="1"/>
  <c r="A2809" i="1"/>
  <c r="R2808" i="1"/>
  <c r="J2808" i="1"/>
  <c r="I2808" i="1"/>
  <c r="G2808" i="1"/>
  <c r="F2808" i="1"/>
  <c r="E2808" i="1"/>
  <c r="D2808" i="1"/>
  <c r="C2808" i="1"/>
  <c r="B2808" i="1"/>
  <c r="A2808" i="1"/>
  <c r="S2807" i="1"/>
  <c r="O2807" i="1"/>
  <c r="K2807" i="1"/>
  <c r="J2807" i="1"/>
  <c r="I2807" i="1"/>
  <c r="H2807" i="1"/>
  <c r="G2807" i="1"/>
  <c r="F2807" i="1"/>
  <c r="E2807" i="1"/>
  <c r="D2807" i="1"/>
  <c r="C2807" i="1"/>
  <c r="B2807" i="1"/>
  <c r="A2807" i="1"/>
  <c r="R2806" i="1"/>
  <c r="J2806" i="1"/>
  <c r="I2806" i="1"/>
  <c r="G2806" i="1"/>
  <c r="F2806" i="1"/>
  <c r="E2806" i="1"/>
  <c r="D2806" i="1"/>
  <c r="C2806" i="1"/>
  <c r="B2806" i="1"/>
  <c r="A2806" i="1"/>
  <c r="S2805" i="1"/>
  <c r="O2805" i="1"/>
  <c r="K2805" i="1"/>
  <c r="J2805" i="1"/>
  <c r="I2805" i="1"/>
  <c r="H2805" i="1"/>
  <c r="G2805" i="1"/>
  <c r="F2805" i="1"/>
  <c r="E2805" i="1"/>
  <c r="D2805" i="1"/>
  <c r="C2805" i="1"/>
  <c r="B2805" i="1"/>
  <c r="A2805" i="1"/>
  <c r="R2804" i="1"/>
  <c r="J2804" i="1"/>
  <c r="I2804" i="1"/>
  <c r="G2804" i="1"/>
  <c r="F2804" i="1"/>
  <c r="E2804" i="1"/>
  <c r="D2804" i="1"/>
  <c r="C2804" i="1"/>
  <c r="B2804" i="1"/>
  <c r="A2804" i="1"/>
  <c r="S2803" i="1"/>
  <c r="O2803" i="1"/>
  <c r="K2803" i="1"/>
  <c r="J2803" i="1"/>
  <c r="I2803" i="1"/>
  <c r="H2803" i="1"/>
  <c r="G2803" i="1"/>
  <c r="F2803" i="1"/>
  <c r="E2803" i="1"/>
  <c r="D2803" i="1"/>
  <c r="C2803" i="1"/>
  <c r="B2803" i="1"/>
  <c r="A2803" i="1"/>
  <c r="R2802" i="1"/>
  <c r="J2802" i="1"/>
  <c r="I2802" i="1"/>
  <c r="G2802" i="1"/>
  <c r="F2802" i="1"/>
  <c r="E2802" i="1"/>
  <c r="D2802" i="1"/>
  <c r="C2802" i="1"/>
  <c r="B2802" i="1"/>
  <c r="A2802" i="1"/>
  <c r="S2801" i="1"/>
  <c r="O2801" i="1"/>
  <c r="K2801" i="1"/>
  <c r="J2801" i="1"/>
  <c r="I2801" i="1"/>
  <c r="H2801" i="1"/>
  <c r="G2801" i="1"/>
  <c r="F2801" i="1"/>
  <c r="E2801" i="1"/>
  <c r="D2801" i="1"/>
  <c r="C2801" i="1"/>
  <c r="B2801" i="1"/>
  <c r="A2801" i="1"/>
  <c r="R2800" i="1"/>
  <c r="J2800" i="1"/>
  <c r="I2800" i="1"/>
  <c r="G2800" i="1"/>
  <c r="F2800" i="1"/>
  <c r="E2800" i="1"/>
  <c r="D2800" i="1"/>
  <c r="C2800" i="1"/>
  <c r="B2800" i="1"/>
  <c r="A2800" i="1"/>
  <c r="S2799" i="1"/>
  <c r="O2799" i="1"/>
  <c r="K2799" i="1"/>
  <c r="J2799" i="1"/>
  <c r="I2799" i="1"/>
  <c r="H2799" i="1"/>
  <c r="G2799" i="1"/>
  <c r="F2799" i="1"/>
  <c r="E2799" i="1"/>
  <c r="D2799" i="1"/>
  <c r="C2799" i="1"/>
  <c r="B2799" i="1"/>
  <c r="A2799" i="1"/>
  <c r="R2798" i="1"/>
  <c r="J2798" i="1"/>
  <c r="I2798" i="1"/>
  <c r="G2798" i="1"/>
  <c r="F2798" i="1"/>
  <c r="E2798" i="1"/>
  <c r="D2798" i="1"/>
  <c r="C2798" i="1"/>
  <c r="B2798" i="1"/>
  <c r="A2798" i="1"/>
  <c r="S2797" i="1"/>
  <c r="O2797" i="1"/>
  <c r="K2797" i="1"/>
  <c r="J2797" i="1"/>
  <c r="I2797" i="1"/>
  <c r="H2797" i="1"/>
  <c r="G2797" i="1"/>
  <c r="F2797" i="1"/>
  <c r="E2797" i="1"/>
  <c r="D2797" i="1"/>
  <c r="C2797" i="1"/>
  <c r="B2797" i="1"/>
  <c r="A2797" i="1"/>
  <c r="R2796" i="1"/>
  <c r="J2796" i="1"/>
  <c r="I2796" i="1"/>
  <c r="G2796" i="1"/>
  <c r="F2796" i="1"/>
  <c r="E2796" i="1"/>
  <c r="D2796" i="1"/>
  <c r="C2796" i="1"/>
  <c r="B2796" i="1"/>
  <c r="A2796" i="1"/>
  <c r="S2795" i="1"/>
  <c r="O2795" i="1"/>
  <c r="K2795" i="1"/>
  <c r="J2795" i="1"/>
  <c r="I2795" i="1"/>
  <c r="H2795" i="1"/>
  <c r="G2795" i="1"/>
  <c r="F2795" i="1"/>
  <c r="E2795" i="1"/>
  <c r="D2795" i="1"/>
  <c r="C2795" i="1"/>
  <c r="B2795" i="1"/>
  <c r="A2795" i="1"/>
  <c r="R2794" i="1"/>
  <c r="J2794" i="1"/>
  <c r="I2794" i="1"/>
  <c r="G2794" i="1"/>
  <c r="F2794" i="1"/>
  <c r="E2794" i="1"/>
  <c r="D2794" i="1"/>
  <c r="C2794" i="1"/>
  <c r="B2794" i="1"/>
  <c r="A2794" i="1"/>
  <c r="S2793" i="1"/>
  <c r="O2793" i="1"/>
  <c r="K2793" i="1"/>
  <c r="J2793" i="1"/>
  <c r="I2793" i="1"/>
  <c r="H2793" i="1"/>
  <c r="G2793" i="1"/>
  <c r="F2793" i="1"/>
  <c r="E2793" i="1"/>
  <c r="D2793" i="1"/>
  <c r="C2793" i="1"/>
  <c r="B2793" i="1"/>
  <c r="A2793" i="1"/>
  <c r="R2792" i="1"/>
  <c r="J2792" i="1"/>
  <c r="I2792" i="1"/>
  <c r="G2792" i="1"/>
  <c r="F2792" i="1"/>
  <c r="E2792" i="1"/>
  <c r="D2792" i="1"/>
  <c r="C2792" i="1"/>
  <c r="B2792" i="1"/>
  <c r="A2792" i="1"/>
  <c r="S2791" i="1"/>
  <c r="O2791" i="1"/>
  <c r="K2791" i="1"/>
  <c r="J2791" i="1"/>
  <c r="I2791" i="1"/>
  <c r="H2791" i="1"/>
  <c r="G2791" i="1"/>
  <c r="F2791" i="1"/>
  <c r="E2791" i="1"/>
  <c r="D2791" i="1"/>
  <c r="C2791" i="1"/>
  <c r="B2791" i="1"/>
  <c r="A2791" i="1"/>
  <c r="R2790" i="1"/>
  <c r="J2790" i="1"/>
  <c r="I2790" i="1"/>
  <c r="G2790" i="1"/>
  <c r="F2790" i="1"/>
  <c r="E2790" i="1"/>
  <c r="D2790" i="1"/>
  <c r="C2790" i="1"/>
  <c r="B2790" i="1"/>
  <c r="A2790" i="1"/>
  <c r="S2789" i="1"/>
  <c r="O2789" i="1"/>
  <c r="K2789" i="1"/>
  <c r="J2789" i="1"/>
  <c r="I2789" i="1"/>
  <c r="H2789" i="1"/>
  <c r="G2789" i="1"/>
  <c r="F2789" i="1"/>
  <c r="E2789" i="1"/>
  <c r="D2789" i="1"/>
  <c r="C2789" i="1"/>
  <c r="B2789" i="1"/>
  <c r="A2789" i="1"/>
  <c r="R2788" i="1"/>
  <c r="J2788" i="1"/>
  <c r="I2788" i="1"/>
  <c r="G2788" i="1"/>
  <c r="F2788" i="1"/>
  <c r="E2788" i="1"/>
  <c r="D2788" i="1"/>
  <c r="C2788" i="1"/>
  <c r="B2788" i="1"/>
  <c r="A2788" i="1"/>
  <c r="S2787" i="1"/>
  <c r="O2787" i="1"/>
  <c r="K2787" i="1"/>
  <c r="J2787" i="1"/>
  <c r="I2787" i="1"/>
  <c r="H2787" i="1"/>
  <c r="G2787" i="1"/>
  <c r="F2787" i="1"/>
  <c r="E2787" i="1"/>
  <c r="D2787" i="1"/>
  <c r="C2787" i="1"/>
  <c r="B2787" i="1"/>
  <c r="A2787" i="1"/>
  <c r="R2786" i="1"/>
  <c r="J2786" i="1"/>
  <c r="I2786" i="1"/>
  <c r="G2786" i="1"/>
  <c r="F2786" i="1"/>
  <c r="E2786" i="1"/>
  <c r="D2786" i="1"/>
  <c r="C2786" i="1"/>
  <c r="B2786" i="1"/>
  <c r="A2786" i="1"/>
  <c r="S2785" i="1"/>
  <c r="O2785" i="1"/>
  <c r="K2785" i="1"/>
  <c r="J2785" i="1"/>
  <c r="I2785" i="1"/>
  <c r="H2785" i="1"/>
  <c r="G2785" i="1"/>
  <c r="F2785" i="1"/>
  <c r="E2785" i="1"/>
  <c r="D2785" i="1"/>
  <c r="C2785" i="1"/>
  <c r="B2785" i="1"/>
  <c r="A2785" i="1"/>
  <c r="R2784" i="1"/>
  <c r="J2784" i="1"/>
  <c r="I2784" i="1"/>
  <c r="G2784" i="1"/>
  <c r="F2784" i="1"/>
  <c r="E2784" i="1"/>
  <c r="D2784" i="1"/>
  <c r="C2784" i="1"/>
  <c r="B2784" i="1"/>
  <c r="A2784" i="1"/>
  <c r="S2783" i="1"/>
  <c r="O2783" i="1"/>
  <c r="K2783" i="1"/>
  <c r="J2783" i="1"/>
  <c r="I2783" i="1"/>
  <c r="H2783" i="1"/>
  <c r="G2783" i="1"/>
  <c r="F2783" i="1"/>
  <c r="E2783" i="1"/>
  <c r="D2783" i="1"/>
  <c r="C2783" i="1"/>
  <c r="B2783" i="1"/>
  <c r="A2783" i="1"/>
  <c r="R2782" i="1"/>
  <c r="J2782" i="1"/>
  <c r="I2782" i="1"/>
  <c r="G2782" i="1"/>
  <c r="F2782" i="1"/>
  <c r="E2782" i="1"/>
  <c r="D2782" i="1"/>
  <c r="C2782" i="1"/>
  <c r="B2782" i="1"/>
  <c r="A2782" i="1"/>
  <c r="S2781" i="1"/>
  <c r="O2781" i="1"/>
  <c r="K2781" i="1"/>
  <c r="J2781" i="1"/>
  <c r="I2781" i="1"/>
  <c r="H2781" i="1"/>
  <c r="G2781" i="1"/>
  <c r="F2781" i="1"/>
  <c r="E2781" i="1"/>
  <c r="D2781" i="1"/>
  <c r="C2781" i="1"/>
  <c r="B2781" i="1"/>
  <c r="A2781" i="1"/>
  <c r="R2780" i="1"/>
  <c r="J2780" i="1"/>
  <c r="I2780" i="1"/>
  <c r="G2780" i="1"/>
  <c r="F2780" i="1"/>
  <c r="E2780" i="1"/>
  <c r="D2780" i="1"/>
  <c r="C2780" i="1"/>
  <c r="B2780" i="1"/>
  <c r="A2780" i="1"/>
  <c r="S2779" i="1"/>
  <c r="O2779" i="1"/>
  <c r="K2779" i="1"/>
  <c r="J2779" i="1"/>
  <c r="I2779" i="1"/>
  <c r="H2779" i="1"/>
  <c r="G2779" i="1"/>
  <c r="F2779" i="1"/>
  <c r="E2779" i="1"/>
  <c r="D2779" i="1"/>
  <c r="C2779" i="1"/>
  <c r="B2779" i="1"/>
  <c r="A2779" i="1"/>
  <c r="R2778" i="1"/>
  <c r="J2778" i="1"/>
  <c r="I2778" i="1"/>
  <c r="G2778" i="1"/>
  <c r="F2778" i="1"/>
  <c r="E2778" i="1"/>
  <c r="D2778" i="1"/>
  <c r="C2778" i="1"/>
  <c r="B2778" i="1"/>
  <c r="A2778" i="1"/>
  <c r="S2777" i="1"/>
  <c r="O2777" i="1"/>
  <c r="K2777" i="1"/>
  <c r="J2777" i="1"/>
  <c r="I2777" i="1"/>
  <c r="H2777" i="1"/>
  <c r="G2777" i="1"/>
  <c r="F2777" i="1"/>
  <c r="E2777" i="1"/>
  <c r="D2777" i="1"/>
  <c r="C2777" i="1"/>
  <c r="B2777" i="1"/>
  <c r="A2777" i="1"/>
  <c r="R2776" i="1"/>
  <c r="J2776" i="1"/>
  <c r="I2776" i="1"/>
  <c r="G2776" i="1"/>
  <c r="F2776" i="1"/>
  <c r="E2776" i="1"/>
  <c r="D2776" i="1"/>
  <c r="C2776" i="1"/>
  <c r="B2776" i="1"/>
  <c r="A2776" i="1"/>
  <c r="S2775" i="1"/>
  <c r="O2775" i="1"/>
  <c r="K2775" i="1"/>
  <c r="J2775" i="1"/>
  <c r="I2775" i="1"/>
  <c r="H2775" i="1"/>
  <c r="G2775" i="1"/>
  <c r="F2775" i="1"/>
  <c r="E2775" i="1"/>
  <c r="D2775" i="1"/>
  <c r="C2775" i="1"/>
  <c r="B2775" i="1"/>
  <c r="A2775" i="1"/>
  <c r="R2774" i="1"/>
  <c r="J2774" i="1"/>
  <c r="I2774" i="1"/>
  <c r="G2774" i="1"/>
  <c r="F2774" i="1"/>
  <c r="E2774" i="1"/>
  <c r="D2774" i="1"/>
  <c r="C2774" i="1"/>
  <c r="B2774" i="1"/>
  <c r="A2774" i="1"/>
  <c r="S2773" i="1"/>
  <c r="O2773" i="1"/>
  <c r="K2773" i="1"/>
  <c r="J2773" i="1"/>
  <c r="I2773" i="1"/>
  <c r="H2773" i="1"/>
  <c r="G2773" i="1"/>
  <c r="F2773" i="1"/>
  <c r="E2773" i="1"/>
  <c r="D2773" i="1"/>
  <c r="C2773" i="1"/>
  <c r="B2773" i="1"/>
  <c r="A2773" i="1"/>
  <c r="R2772" i="1"/>
  <c r="J2772" i="1"/>
  <c r="I2772" i="1"/>
  <c r="G2772" i="1"/>
  <c r="F2772" i="1"/>
  <c r="E2772" i="1"/>
  <c r="D2772" i="1"/>
  <c r="C2772" i="1"/>
  <c r="B2772" i="1"/>
  <c r="A2772" i="1"/>
  <c r="S2771" i="1"/>
  <c r="O2771" i="1"/>
  <c r="K2771" i="1"/>
  <c r="J2771" i="1"/>
  <c r="I2771" i="1"/>
  <c r="H2771" i="1"/>
  <c r="G2771" i="1"/>
  <c r="F2771" i="1"/>
  <c r="E2771" i="1"/>
  <c r="D2771" i="1"/>
  <c r="C2771" i="1"/>
  <c r="B2771" i="1"/>
  <c r="A2771" i="1"/>
  <c r="R2770" i="1"/>
  <c r="J2770" i="1"/>
  <c r="I2770" i="1"/>
  <c r="G2770" i="1"/>
  <c r="F2770" i="1"/>
  <c r="E2770" i="1"/>
  <c r="D2770" i="1"/>
  <c r="C2770" i="1"/>
  <c r="B2770" i="1"/>
  <c r="A2770" i="1"/>
  <c r="S2769" i="1"/>
  <c r="O2769" i="1"/>
  <c r="K2769" i="1"/>
  <c r="J2769" i="1"/>
  <c r="I2769" i="1"/>
  <c r="H2769" i="1"/>
  <c r="G2769" i="1"/>
  <c r="F2769" i="1"/>
  <c r="E2769" i="1"/>
  <c r="D2769" i="1"/>
  <c r="C2769" i="1"/>
  <c r="B2769" i="1"/>
  <c r="A2769" i="1"/>
  <c r="R2768" i="1"/>
  <c r="J2768" i="1"/>
  <c r="I2768" i="1"/>
  <c r="G2768" i="1"/>
  <c r="F2768" i="1"/>
  <c r="E2768" i="1"/>
  <c r="D2768" i="1"/>
  <c r="C2768" i="1"/>
  <c r="B2768" i="1"/>
  <c r="A2768" i="1"/>
  <c r="S2767" i="1"/>
  <c r="O2767" i="1"/>
  <c r="K2767" i="1"/>
  <c r="J2767" i="1"/>
  <c r="I2767" i="1"/>
  <c r="H2767" i="1"/>
  <c r="G2767" i="1"/>
  <c r="F2767" i="1"/>
  <c r="E2767" i="1"/>
  <c r="D2767" i="1"/>
  <c r="C2767" i="1"/>
  <c r="B2767" i="1"/>
  <c r="A2767" i="1"/>
  <c r="R2766" i="1"/>
  <c r="J2766" i="1"/>
  <c r="I2766" i="1"/>
  <c r="G2766" i="1"/>
  <c r="F2766" i="1"/>
  <c r="E2766" i="1"/>
  <c r="D2766" i="1"/>
  <c r="C2766" i="1"/>
  <c r="B2766" i="1"/>
  <c r="A2766" i="1"/>
  <c r="S2765" i="1"/>
  <c r="O2765" i="1"/>
  <c r="K2765" i="1"/>
  <c r="J2765" i="1"/>
  <c r="I2765" i="1"/>
  <c r="H2765" i="1"/>
  <c r="G2765" i="1"/>
  <c r="F2765" i="1"/>
  <c r="E2765" i="1"/>
  <c r="D2765" i="1"/>
  <c r="C2765" i="1"/>
  <c r="B2765" i="1"/>
  <c r="A2765" i="1"/>
  <c r="R2764" i="1"/>
  <c r="J2764" i="1"/>
  <c r="I2764" i="1"/>
  <c r="G2764" i="1"/>
  <c r="F2764" i="1"/>
  <c r="E2764" i="1"/>
  <c r="D2764" i="1"/>
  <c r="C2764" i="1"/>
  <c r="B2764" i="1"/>
  <c r="A2764" i="1"/>
  <c r="S2763" i="1"/>
  <c r="O2763" i="1"/>
  <c r="K2763" i="1"/>
  <c r="J2763" i="1"/>
  <c r="I2763" i="1"/>
  <c r="H2763" i="1"/>
  <c r="G2763" i="1"/>
  <c r="F2763" i="1"/>
  <c r="E2763" i="1"/>
  <c r="D2763" i="1"/>
  <c r="C2763" i="1"/>
  <c r="B2763" i="1"/>
  <c r="A2763" i="1"/>
  <c r="R2762" i="1"/>
  <c r="J2762" i="1"/>
  <c r="I2762" i="1"/>
  <c r="G2762" i="1"/>
  <c r="F2762" i="1"/>
  <c r="E2762" i="1"/>
  <c r="D2762" i="1"/>
  <c r="C2762" i="1"/>
  <c r="B2762" i="1"/>
  <c r="A2762" i="1"/>
  <c r="S2761" i="1"/>
  <c r="O2761" i="1"/>
  <c r="K2761" i="1"/>
  <c r="J2761" i="1"/>
  <c r="I2761" i="1"/>
  <c r="H2761" i="1"/>
  <c r="G2761" i="1"/>
  <c r="F2761" i="1"/>
  <c r="E2761" i="1"/>
  <c r="D2761" i="1"/>
  <c r="C2761" i="1"/>
  <c r="B2761" i="1"/>
  <c r="A2761" i="1"/>
  <c r="R2760" i="1"/>
  <c r="J2760" i="1"/>
  <c r="I2760" i="1"/>
  <c r="G2760" i="1"/>
  <c r="F2760" i="1"/>
  <c r="E2760" i="1"/>
  <c r="D2760" i="1"/>
  <c r="C2760" i="1"/>
  <c r="B2760" i="1"/>
  <c r="A2760" i="1"/>
  <c r="S2759" i="1"/>
  <c r="O2759" i="1"/>
  <c r="K2759" i="1"/>
  <c r="J2759" i="1"/>
  <c r="I2759" i="1"/>
  <c r="H2759" i="1"/>
  <c r="G2759" i="1"/>
  <c r="F2759" i="1"/>
  <c r="E2759" i="1"/>
  <c r="D2759" i="1"/>
  <c r="C2759" i="1"/>
  <c r="B2759" i="1"/>
  <c r="A2759" i="1"/>
  <c r="R2758" i="1"/>
  <c r="J2758" i="1"/>
  <c r="I2758" i="1"/>
  <c r="G2758" i="1"/>
  <c r="F2758" i="1"/>
  <c r="E2758" i="1"/>
  <c r="D2758" i="1"/>
  <c r="C2758" i="1"/>
  <c r="B2758" i="1"/>
  <c r="A2758" i="1"/>
  <c r="S2757" i="1"/>
  <c r="O2757" i="1"/>
  <c r="K2757" i="1"/>
  <c r="J2757" i="1"/>
  <c r="I2757" i="1"/>
  <c r="H2757" i="1"/>
  <c r="G2757" i="1"/>
  <c r="F2757" i="1"/>
  <c r="E2757" i="1"/>
  <c r="D2757" i="1"/>
  <c r="C2757" i="1"/>
  <c r="B2757" i="1"/>
  <c r="A2757" i="1"/>
  <c r="R2756" i="1"/>
  <c r="J2756" i="1"/>
  <c r="I2756" i="1"/>
  <c r="G2756" i="1"/>
  <c r="F2756" i="1"/>
  <c r="E2756" i="1"/>
  <c r="D2756" i="1"/>
  <c r="C2756" i="1"/>
  <c r="B2756" i="1"/>
  <c r="A2756" i="1"/>
  <c r="S2755" i="1"/>
  <c r="O2755" i="1"/>
  <c r="K2755" i="1"/>
  <c r="J2755" i="1"/>
  <c r="I2755" i="1"/>
  <c r="H2755" i="1"/>
  <c r="G2755" i="1"/>
  <c r="F2755" i="1"/>
  <c r="E2755" i="1"/>
  <c r="D2755" i="1"/>
  <c r="C2755" i="1"/>
  <c r="B2755" i="1"/>
  <c r="A2755" i="1"/>
  <c r="R2754" i="1"/>
  <c r="J2754" i="1"/>
  <c r="I2754" i="1"/>
  <c r="G2754" i="1"/>
  <c r="F2754" i="1"/>
  <c r="E2754" i="1"/>
  <c r="D2754" i="1"/>
  <c r="C2754" i="1"/>
  <c r="B2754" i="1"/>
  <c r="A2754" i="1"/>
  <c r="S2753" i="1"/>
  <c r="O2753" i="1"/>
  <c r="K2753" i="1"/>
  <c r="J2753" i="1"/>
  <c r="I2753" i="1"/>
  <c r="H2753" i="1"/>
  <c r="G2753" i="1"/>
  <c r="F2753" i="1"/>
  <c r="E2753" i="1"/>
  <c r="D2753" i="1"/>
  <c r="C2753" i="1"/>
  <c r="B2753" i="1"/>
  <c r="A2753" i="1"/>
  <c r="R2752" i="1"/>
  <c r="J2752" i="1"/>
  <c r="I2752" i="1"/>
  <c r="G2752" i="1"/>
  <c r="F2752" i="1"/>
  <c r="E2752" i="1"/>
  <c r="D2752" i="1"/>
  <c r="C2752" i="1"/>
  <c r="B2752" i="1"/>
  <c r="A2752" i="1"/>
  <c r="S2751" i="1"/>
  <c r="O2751" i="1"/>
  <c r="K2751" i="1"/>
  <c r="J2751" i="1"/>
  <c r="I2751" i="1"/>
  <c r="H2751" i="1"/>
  <c r="G2751" i="1"/>
  <c r="F2751" i="1"/>
  <c r="E2751" i="1"/>
  <c r="D2751" i="1"/>
  <c r="C2751" i="1"/>
  <c r="B2751" i="1"/>
  <c r="A2751" i="1"/>
  <c r="R2750" i="1"/>
  <c r="J2750" i="1"/>
  <c r="I2750" i="1"/>
  <c r="G2750" i="1"/>
  <c r="F2750" i="1"/>
  <c r="E2750" i="1"/>
  <c r="D2750" i="1"/>
  <c r="C2750" i="1"/>
  <c r="B2750" i="1"/>
  <c r="A2750" i="1"/>
  <c r="S2749" i="1"/>
  <c r="O2749" i="1"/>
  <c r="K2749" i="1"/>
  <c r="J2749" i="1"/>
  <c r="I2749" i="1"/>
  <c r="H2749" i="1"/>
  <c r="G2749" i="1"/>
  <c r="F2749" i="1"/>
  <c r="E2749" i="1"/>
  <c r="D2749" i="1"/>
  <c r="C2749" i="1"/>
  <c r="B2749" i="1"/>
  <c r="A2749" i="1"/>
  <c r="R2748" i="1"/>
  <c r="J2748" i="1"/>
  <c r="I2748" i="1"/>
  <c r="G2748" i="1"/>
  <c r="F2748" i="1"/>
  <c r="E2748" i="1"/>
  <c r="D2748" i="1"/>
  <c r="C2748" i="1"/>
  <c r="B2748" i="1"/>
  <c r="A2748" i="1"/>
  <c r="S2747" i="1"/>
  <c r="O2747" i="1"/>
  <c r="K2747" i="1"/>
  <c r="J2747" i="1"/>
  <c r="I2747" i="1"/>
  <c r="H2747" i="1"/>
  <c r="G2747" i="1"/>
  <c r="F2747" i="1"/>
  <c r="E2747" i="1"/>
  <c r="D2747" i="1"/>
  <c r="C2747" i="1"/>
  <c r="B2747" i="1"/>
  <c r="A2747" i="1"/>
  <c r="R2746" i="1"/>
  <c r="J2746" i="1"/>
  <c r="I2746" i="1"/>
  <c r="G2746" i="1"/>
  <c r="F2746" i="1"/>
  <c r="E2746" i="1"/>
  <c r="D2746" i="1"/>
  <c r="C2746" i="1"/>
  <c r="B2746" i="1"/>
  <c r="A2746" i="1"/>
  <c r="S2745" i="1"/>
  <c r="O2745" i="1"/>
  <c r="K2745" i="1"/>
  <c r="J2745" i="1"/>
  <c r="I2745" i="1"/>
  <c r="H2745" i="1"/>
  <c r="G2745" i="1"/>
  <c r="F2745" i="1"/>
  <c r="E2745" i="1"/>
  <c r="D2745" i="1"/>
  <c r="C2745" i="1"/>
  <c r="B2745" i="1"/>
  <c r="A2745" i="1"/>
  <c r="R2744" i="1"/>
  <c r="J2744" i="1"/>
  <c r="I2744" i="1"/>
  <c r="G2744" i="1"/>
  <c r="F2744" i="1"/>
  <c r="E2744" i="1"/>
  <c r="D2744" i="1"/>
  <c r="C2744" i="1"/>
  <c r="B2744" i="1"/>
  <c r="A2744" i="1"/>
  <c r="S2743" i="1"/>
  <c r="O2743" i="1"/>
  <c r="K2743" i="1"/>
  <c r="J2743" i="1"/>
  <c r="I2743" i="1"/>
  <c r="H2743" i="1"/>
  <c r="G2743" i="1"/>
  <c r="F2743" i="1"/>
  <c r="E2743" i="1"/>
  <c r="D2743" i="1"/>
  <c r="C2743" i="1"/>
  <c r="B2743" i="1"/>
  <c r="A2743" i="1"/>
  <c r="R2742" i="1"/>
  <c r="J2742" i="1"/>
  <c r="I2742" i="1"/>
  <c r="G2742" i="1"/>
  <c r="F2742" i="1"/>
  <c r="E2742" i="1"/>
  <c r="D2742" i="1"/>
  <c r="C2742" i="1"/>
  <c r="B2742" i="1"/>
  <c r="A2742" i="1"/>
  <c r="S2741" i="1"/>
  <c r="O2741" i="1"/>
  <c r="K2741" i="1"/>
  <c r="J2741" i="1"/>
  <c r="I2741" i="1"/>
  <c r="H2741" i="1"/>
  <c r="G2741" i="1"/>
  <c r="F2741" i="1"/>
  <c r="E2741" i="1"/>
  <c r="D2741" i="1"/>
  <c r="C2741" i="1"/>
  <c r="B2741" i="1"/>
  <c r="A2741" i="1"/>
  <c r="R2740" i="1"/>
  <c r="J2740" i="1"/>
  <c r="I2740" i="1"/>
  <c r="G2740" i="1"/>
  <c r="F2740" i="1"/>
  <c r="E2740" i="1"/>
  <c r="D2740" i="1"/>
  <c r="C2740" i="1"/>
  <c r="B2740" i="1"/>
  <c r="A2740" i="1"/>
  <c r="S2739" i="1"/>
  <c r="O2739" i="1"/>
  <c r="K2739" i="1"/>
  <c r="J2739" i="1"/>
  <c r="I2739" i="1"/>
  <c r="H2739" i="1"/>
  <c r="G2739" i="1"/>
  <c r="F2739" i="1"/>
  <c r="E2739" i="1"/>
  <c r="D2739" i="1"/>
  <c r="C2739" i="1"/>
  <c r="B2739" i="1"/>
  <c r="A2739" i="1"/>
  <c r="R2738" i="1"/>
  <c r="J2738" i="1"/>
  <c r="I2738" i="1"/>
  <c r="G2738" i="1"/>
  <c r="F2738" i="1"/>
  <c r="E2738" i="1"/>
  <c r="D2738" i="1"/>
  <c r="C2738" i="1"/>
  <c r="B2738" i="1"/>
  <c r="A2738" i="1"/>
  <c r="S2737" i="1"/>
  <c r="O2737" i="1"/>
  <c r="K2737" i="1"/>
  <c r="J2737" i="1"/>
  <c r="I2737" i="1"/>
  <c r="H2737" i="1"/>
  <c r="G2737" i="1"/>
  <c r="F2737" i="1"/>
  <c r="E2737" i="1"/>
  <c r="D2737" i="1"/>
  <c r="C2737" i="1"/>
  <c r="B2737" i="1"/>
  <c r="A2737" i="1"/>
  <c r="R2736" i="1"/>
  <c r="J2736" i="1"/>
  <c r="I2736" i="1"/>
  <c r="G2736" i="1"/>
  <c r="F2736" i="1"/>
  <c r="E2736" i="1"/>
  <c r="D2736" i="1"/>
  <c r="C2736" i="1"/>
  <c r="B2736" i="1"/>
  <c r="A2736" i="1"/>
  <c r="S2735" i="1"/>
  <c r="O2735" i="1"/>
  <c r="K2735" i="1"/>
  <c r="J2735" i="1"/>
  <c r="I2735" i="1"/>
  <c r="H2735" i="1"/>
  <c r="G2735" i="1"/>
  <c r="F2735" i="1"/>
  <c r="E2735" i="1"/>
  <c r="D2735" i="1"/>
  <c r="C2735" i="1"/>
  <c r="B2735" i="1"/>
  <c r="A2735" i="1"/>
  <c r="R2734" i="1"/>
  <c r="J2734" i="1"/>
  <c r="I2734" i="1"/>
  <c r="G2734" i="1"/>
  <c r="F2734" i="1"/>
  <c r="E2734" i="1"/>
  <c r="D2734" i="1"/>
  <c r="C2734" i="1"/>
  <c r="B2734" i="1"/>
  <c r="A2734" i="1"/>
  <c r="S2733" i="1"/>
  <c r="O2733" i="1"/>
  <c r="K2733" i="1"/>
  <c r="J2733" i="1"/>
  <c r="I2733" i="1"/>
  <c r="H2733" i="1"/>
  <c r="G2733" i="1"/>
  <c r="F2733" i="1"/>
  <c r="E2733" i="1"/>
  <c r="D2733" i="1"/>
  <c r="C2733" i="1"/>
  <c r="B2733" i="1"/>
  <c r="A2733" i="1"/>
  <c r="R2732" i="1"/>
  <c r="J2732" i="1"/>
  <c r="I2732" i="1"/>
  <c r="G2732" i="1"/>
  <c r="F2732" i="1"/>
  <c r="E2732" i="1"/>
  <c r="D2732" i="1"/>
  <c r="C2732" i="1"/>
  <c r="B2732" i="1"/>
  <c r="A2732" i="1"/>
  <c r="S2731" i="1"/>
  <c r="O2731" i="1"/>
  <c r="K2731" i="1"/>
  <c r="J2731" i="1"/>
  <c r="I2731" i="1"/>
  <c r="H2731" i="1"/>
  <c r="G2731" i="1"/>
  <c r="F2731" i="1"/>
  <c r="E2731" i="1"/>
  <c r="D2731" i="1"/>
  <c r="C2731" i="1"/>
  <c r="B2731" i="1"/>
  <c r="A2731" i="1"/>
  <c r="R2730" i="1"/>
  <c r="J2730" i="1"/>
  <c r="I2730" i="1"/>
  <c r="G2730" i="1"/>
  <c r="F2730" i="1"/>
  <c r="E2730" i="1"/>
  <c r="D2730" i="1"/>
  <c r="C2730" i="1"/>
  <c r="B2730" i="1"/>
  <c r="A2730" i="1"/>
  <c r="S2729" i="1"/>
  <c r="O2729" i="1"/>
  <c r="K2729" i="1"/>
  <c r="J2729" i="1"/>
  <c r="I2729" i="1"/>
  <c r="H2729" i="1"/>
  <c r="G2729" i="1"/>
  <c r="F2729" i="1"/>
  <c r="E2729" i="1"/>
  <c r="D2729" i="1"/>
  <c r="C2729" i="1"/>
  <c r="B2729" i="1"/>
  <c r="A2729" i="1"/>
  <c r="R2728" i="1"/>
  <c r="J2728" i="1"/>
  <c r="I2728" i="1"/>
  <c r="G2728" i="1"/>
  <c r="F2728" i="1"/>
  <c r="E2728" i="1"/>
  <c r="D2728" i="1"/>
  <c r="C2728" i="1"/>
  <c r="B2728" i="1"/>
  <c r="A2728" i="1"/>
  <c r="S2727" i="1"/>
  <c r="O2727" i="1"/>
  <c r="K2727" i="1"/>
  <c r="J2727" i="1"/>
  <c r="I2727" i="1"/>
  <c r="H2727" i="1"/>
  <c r="G2727" i="1"/>
  <c r="F2727" i="1"/>
  <c r="E2727" i="1"/>
  <c r="D2727" i="1"/>
  <c r="C2727" i="1"/>
  <c r="B2727" i="1"/>
  <c r="A2727" i="1"/>
  <c r="R2726" i="1"/>
  <c r="J2726" i="1"/>
  <c r="I2726" i="1"/>
  <c r="G2726" i="1"/>
  <c r="F2726" i="1"/>
  <c r="E2726" i="1"/>
  <c r="D2726" i="1"/>
  <c r="C2726" i="1"/>
  <c r="B2726" i="1"/>
  <c r="A2726" i="1"/>
  <c r="S2725" i="1"/>
  <c r="O2725" i="1"/>
  <c r="K2725" i="1"/>
  <c r="J2725" i="1"/>
  <c r="I2725" i="1"/>
  <c r="H2725" i="1"/>
  <c r="G2725" i="1"/>
  <c r="F2725" i="1"/>
  <c r="E2725" i="1"/>
  <c r="D2725" i="1"/>
  <c r="C2725" i="1"/>
  <c r="B2725" i="1"/>
  <c r="A2725" i="1"/>
  <c r="R2724" i="1"/>
  <c r="J2724" i="1"/>
  <c r="I2724" i="1"/>
  <c r="G2724" i="1"/>
  <c r="F2724" i="1"/>
  <c r="E2724" i="1"/>
  <c r="D2724" i="1"/>
  <c r="C2724" i="1"/>
  <c r="B2724" i="1"/>
  <c r="A2724" i="1"/>
  <c r="S2723" i="1"/>
  <c r="O2723" i="1"/>
  <c r="K2723" i="1"/>
  <c r="J2723" i="1"/>
  <c r="I2723" i="1"/>
  <c r="H2723" i="1"/>
  <c r="G2723" i="1"/>
  <c r="F2723" i="1"/>
  <c r="E2723" i="1"/>
  <c r="D2723" i="1"/>
  <c r="C2723" i="1"/>
  <c r="B2723" i="1"/>
  <c r="A2723" i="1"/>
  <c r="R2722" i="1"/>
  <c r="J2722" i="1"/>
  <c r="I2722" i="1"/>
  <c r="G2722" i="1"/>
  <c r="F2722" i="1"/>
  <c r="E2722" i="1"/>
  <c r="D2722" i="1"/>
  <c r="C2722" i="1"/>
  <c r="B2722" i="1"/>
  <c r="A2722" i="1"/>
  <c r="S2721" i="1"/>
  <c r="O2721" i="1"/>
  <c r="K2721" i="1"/>
  <c r="J2721" i="1"/>
  <c r="I2721" i="1"/>
  <c r="H2721" i="1"/>
  <c r="G2721" i="1"/>
  <c r="F2721" i="1"/>
  <c r="E2721" i="1"/>
  <c r="D2721" i="1"/>
  <c r="C2721" i="1"/>
  <c r="B2721" i="1"/>
  <c r="A2721" i="1"/>
  <c r="R2720" i="1"/>
  <c r="J2720" i="1"/>
  <c r="I2720" i="1"/>
  <c r="G2720" i="1"/>
  <c r="F2720" i="1"/>
  <c r="E2720" i="1"/>
  <c r="D2720" i="1"/>
  <c r="C2720" i="1"/>
  <c r="B2720" i="1"/>
  <c r="A2720" i="1"/>
  <c r="S2719" i="1"/>
  <c r="O2719" i="1"/>
  <c r="K2719" i="1"/>
  <c r="J2719" i="1"/>
  <c r="I2719" i="1"/>
  <c r="H2719" i="1"/>
  <c r="G2719" i="1"/>
  <c r="F2719" i="1"/>
  <c r="E2719" i="1"/>
  <c r="D2719" i="1"/>
  <c r="C2719" i="1"/>
  <c r="B2719" i="1"/>
  <c r="A2719" i="1"/>
  <c r="R2718" i="1"/>
  <c r="J2718" i="1"/>
  <c r="I2718" i="1"/>
  <c r="G2718" i="1"/>
  <c r="F2718" i="1"/>
  <c r="E2718" i="1"/>
  <c r="D2718" i="1"/>
  <c r="C2718" i="1"/>
  <c r="B2718" i="1"/>
  <c r="A2718" i="1"/>
  <c r="S2717" i="1"/>
  <c r="O2717" i="1"/>
  <c r="K2717" i="1"/>
  <c r="J2717" i="1"/>
  <c r="I2717" i="1"/>
  <c r="H2717" i="1"/>
  <c r="G2717" i="1"/>
  <c r="F2717" i="1"/>
  <c r="E2717" i="1"/>
  <c r="D2717" i="1"/>
  <c r="C2717" i="1"/>
  <c r="B2717" i="1"/>
  <c r="A2717" i="1"/>
  <c r="R2716" i="1"/>
  <c r="J2716" i="1"/>
  <c r="I2716" i="1"/>
  <c r="G2716" i="1"/>
  <c r="F2716" i="1"/>
  <c r="E2716" i="1"/>
  <c r="D2716" i="1"/>
  <c r="C2716" i="1"/>
  <c r="B2716" i="1"/>
  <c r="A2716" i="1"/>
  <c r="S2715" i="1"/>
  <c r="O2715" i="1"/>
  <c r="K2715" i="1"/>
  <c r="J2715" i="1"/>
  <c r="I2715" i="1"/>
  <c r="H2715" i="1"/>
  <c r="G2715" i="1"/>
  <c r="F2715" i="1"/>
  <c r="E2715" i="1"/>
  <c r="D2715" i="1"/>
  <c r="C2715" i="1"/>
  <c r="B2715" i="1"/>
  <c r="A2715" i="1"/>
  <c r="R2714" i="1"/>
  <c r="J2714" i="1"/>
  <c r="I2714" i="1"/>
  <c r="G2714" i="1"/>
  <c r="F2714" i="1"/>
  <c r="E2714" i="1"/>
  <c r="D2714" i="1"/>
  <c r="C2714" i="1"/>
  <c r="B2714" i="1"/>
  <c r="A2714" i="1"/>
  <c r="S2713" i="1"/>
  <c r="O2713" i="1"/>
  <c r="K2713" i="1"/>
  <c r="J2713" i="1"/>
  <c r="I2713" i="1"/>
  <c r="H2713" i="1"/>
  <c r="G2713" i="1"/>
  <c r="F2713" i="1"/>
  <c r="E2713" i="1"/>
  <c r="D2713" i="1"/>
  <c r="C2713" i="1"/>
  <c r="B2713" i="1"/>
  <c r="A2713" i="1"/>
  <c r="R2712" i="1"/>
  <c r="J2712" i="1"/>
  <c r="I2712" i="1"/>
  <c r="G2712" i="1"/>
  <c r="F2712" i="1"/>
  <c r="E2712" i="1"/>
  <c r="D2712" i="1"/>
  <c r="C2712" i="1"/>
  <c r="B2712" i="1"/>
  <c r="A2712" i="1"/>
  <c r="S2711" i="1"/>
  <c r="O2711" i="1"/>
  <c r="K2711" i="1"/>
  <c r="J2711" i="1"/>
  <c r="I2711" i="1"/>
  <c r="H2711" i="1"/>
  <c r="G2711" i="1"/>
  <c r="F2711" i="1"/>
  <c r="E2711" i="1"/>
  <c r="D2711" i="1"/>
  <c r="C2711" i="1"/>
  <c r="B2711" i="1"/>
  <c r="A2711" i="1"/>
  <c r="R2710" i="1"/>
  <c r="J2710" i="1"/>
  <c r="I2710" i="1"/>
  <c r="G2710" i="1"/>
  <c r="F2710" i="1"/>
  <c r="E2710" i="1"/>
  <c r="D2710" i="1"/>
  <c r="C2710" i="1"/>
  <c r="B2710" i="1"/>
  <c r="A2710" i="1"/>
  <c r="S2709" i="1"/>
  <c r="O2709" i="1"/>
  <c r="K2709" i="1"/>
  <c r="J2709" i="1"/>
  <c r="I2709" i="1"/>
  <c r="H2709" i="1"/>
  <c r="G2709" i="1"/>
  <c r="F2709" i="1"/>
  <c r="E2709" i="1"/>
  <c r="D2709" i="1"/>
  <c r="C2709" i="1"/>
  <c r="B2709" i="1"/>
  <c r="A2709" i="1"/>
  <c r="R2708" i="1"/>
  <c r="J2708" i="1"/>
  <c r="I2708" i="1"/>
  <c r="G2708" i="1"/>
  <c r="F2708" i="1"/>
  <c r="E2708" i="1"/>
  <c r="D2708" i="1"/>
  <c r="C2708" i="1"/>
  <c r="B2708" i="1"/>
  <c r="A2708" i="1"/>
  <c r="S2707" i="1"/>
  <c r="O2707" i="1"/>
  <c r="K2707" i="1"/>
  <c r="J2707" i="1"/>
  <c r="I2707" i="1"/>
  <c r="H2707" i="1"/>
  <c r="G2707" i="1"/>
  <c r="F2707" i="1"/>
  <c r="E2707" i="1"/>
  <c r="D2707" i="1"/>
  <c r="C2707" i="1"/>
  <c r="B2707" i="1"/>
  <c r="A2707" i="1"/>
  <c r="R2706" i="1"/>
  <c r="J2706" i="1"/>
  <c r="I2706" i="1"/>
  <c r="G2706" i="1"/>
  <c r="F2706" i="1"/>
  <c r="E2706" i="1"/>
  <c r="D2706" i="1"/>
  <c r="C2706" i="1"/>
  <c r="B2706" i="1"/>
  <c r="A2706" i="1"/>
  <c r="S2705" i="1"/>
  <c r="O2705" i="1"/>
  <c r="K2705" i="1"/>
  <c r="J2705" i="1"/>
  <c r="I2705" i="1"/>
  <c r="H2705" i="1"/>
  <c r="G2705" i="1"/>
  <c r="F2705" i="1"/>
  <c r="E2705" i="1"/>
  <c r="D2705" i="1"/>
  <c r="C2705" i="1"/>
  <c r="B2705" i="1"/>
  <c r="A2705" i="1"/>
  <c r="R2704" i="1"/>
  <c r="J2704" i="1"/>
  <c r="I2704" i="1"/>
  <c r="G2704" i="1"/>
  <c r="F2704" i="1"/>
  <c r="E2704" i="1"/>
  <c r="D2704" i="1"/>
  <c r="C2704" i="1"/>
  <c r="B2704" i="1"/>
  <c r="A2704" i="1"/>
  <c r="S2703" i="1"/>
  <c r="O2703" i="1"/>
  <c r="K2703" i="1"/>
  <c r="J2703" i="1"/>
  <c r="I2703" i="1"/>
  <c r="H2703" i="1"/>
  <c r="G2703" i="1"/>
  <c r="F2703" i="1"/>
  <c r="E2703" i="1"/>
  <c r="D2703" i="1"/>
  <c r="C2703" i="1"/>
  <c r="B2703" i="1"/>
  <c r="A2703" i="1"/>
  <c r="R2702" i="1"/>
  <c r="J2702" i="1"/>
  <c r="I2702" i="1"/>
  <c r="G2702" i="1"/>
  <c r="F2702" i="1"/>
  <c r="E2702" i="1"/>
  <c r="D2702" i="1"/>
  <c r="C2702" i="1"/>
  <c r="B2702" i="1"/>
  <c r="A2702" i="1"/>
  <c r="S2701" i="1"/>
  <c r="O2701" i="1"/>
  <c r="K2701" i="1"/>
  <c r="J2701" i="1"/>
  <c r="I2701" i="1"/>
  <c r="H2701" i="1"/>
  <c r="G2701" i="1"/>
  <c r="F2701" i="1"/>
  <c r="E2701" i="1"/>
  <c r="D2701" i="1"/>
  <c r="C2701" i="1"/>
  <c r="B2701" i="1"/>
  <c r="A2701" i="1"/>
  <c r="R2700" i="1"/>
  <c r="J2700" i="1"/>
  <c r="I2700" i="1"/>
  <c r="G2700" i="1"/>
  <c r="F2700" i="1"/>
  <c r="E2700" i="1"/>
  <c r="D2700" i="1"/>
  <c r="C2700" i="1"/>
  <c r="B2700" i="1"/>
  <c r="A2700" i="1"/>
  <c r="S2699" i="1"/>
  <c r="O2699" i="1"/>
  <c r="K2699" i="1"/>
  <c r="J2699" i="1"/>
  <c r="I2699" i="1"/>
  <c r="H2699" i="1"/>
  <c r="G2699" i="1"/>
  <c r="F2699" i="1"/>
  <c r="E2699" i="1"/>
  <c r="D2699" i="1"/>
  <c r="C2699" i="1"/>
  <c r="B2699" i="1"/>
  <c r="A2699" i="1"/>
  <c r="R2698" i="1"/>
  <c r="J2698" i="1"/>
  <c r="I2698" i="1"/>
  <c r="G2698" i="1"/>
  <c r="F2698" i="1"/>
  <c r="E2698" i="1"/>
  <c r="D2698" i="1"/>
  <c r="C2698" i="1"/>
  <c r="B2698" i="1"/>
  <c r="A2698" i="1"/>
  <c r="S2697" i="1"/>
  <c r="O2697" i="1"/>
  <c r="K2697" i="1"/>
  <c r="J2697" i="1"/>
  <c r="I2697" i="1"/>
  <c r="H2697" i="1"/>
  <c r="G2697" i="1"/>
  <c r="F2697" i="1"/>
  <c r="E2697" i="1"/>
  <c r="D2697" i="1"/>
  <c r="C2697" i="1"/>
  <c r="B2697" i="1"/>
  <c r="A2697" i="1"/>
  <c r="R2696" i="1"/>
  <c r="J2696" i="1"/>
  <c r="I2696" i="1"/>
  <c r="G2696" i="1"/>
  <c r="F2696" i="1"/>
  <c r="E2696" i="1"/>
  <c r="D2696" i="1"/>
  <c r="C2696" i="1"/>
  <c r="B2696" i="1"/>
  <c r="A2696" i="1"/>
  <c r="S2695" i="1"/>
  <c r="O2695" i="1"/>
  <c r="K2695" i="1"/>
  <c r="J2695" i="1"/>
  <c r="I2695" i="1"/>
  <c r="H2695" i="1"/>
  <c r="G2695" i="1"/>
  <c r="F2695" i="1"/>
  <c r="E2695" i="1"/>
  <c r="D2695" i="1"/>
  <c r="C2695" i="1"/>
  <c r="B2695" i="1"/>
  <c r="A2695" i="1"/>
  <c r="R2694" i="1"/>
  <c r="J2694" i="1"/>
  <c r="I2694" i="1"/>
  <c r="G2694" i="1"/>
  <c r="F2694" i="1"/>
  <c r="E2694" i="1"/>
  <c r="D2694" i="1"/>
  <c r="C2694" i="1"/>
  <c r="B2694" i="1"/>
  <c r="A2694" i="1"/>
  <c r="S2693" i="1"/>
  <c r="O2693" i="1"/>
  <c r="K2693" i="1"/>
  <c r="J2693" i="1"/>
  <c r="I2693" i="1"/>
  <c r="H2693" i="1"/>
  <c r="G2693" i="1"/>
  <c r="F2693" i="1"/>
  <c r="E2693" i="1"/>
  <c r="D2693" i="1"/>
  <c r="C2693" i="1"/>
  <c r="B2693" i="1"/>
  <c r="A2693" i="1"/>
  <c r="R2692" i="1"/>
  <c r="J2692" i="1"/>
  <c r="I2692" i="1"/>
  <c r="G2692" i="1"/>
  <c r="F2692" i="1"/>
  <c r="E2692" i="1"/>
  <c r="D2692" i="1"/>
  <c r="C2692" i="1"/>
  <c r="B2692" i="1"/>
  <c r="A2692" i="1"/>
  <c r="S2691" i="1"/>
  <c r="O2691" i="1"/>
  <c r="K2691" i="1"/>
  <c r="J2691" i="1"/>
  <c r="I2691" i="1"/>
  <c r="H2691" i="1"/>
  <c r="G2691" i="1"/>
  <c r="F2691" i="1"/>
  <c r="E2691" i="1"/>
  <c r="D2691" i="1"/>
  <c r="C2691" i="1"/>
  <c r="B2691" i="1"/>
  <c r="A2691" i="1"/>
  <c r="R2690" i="1"/>
  <c r="J2690" i="1"/>
  <c r="I2690" i="1"/>
  <c r="G2690" i="1"/>
  <c r="F2690" i="1"/>
  <c r="E2690" i="1"/>
  <c r="D2690" i="1"/>
  <c r="C2690" i="1"/>
  <c r="B2690" i="1"/>
  <c r="A2690" i="1"/>
  <c r="S2689" i="1"/>
  <c r="O2689" i="1"/>
  <c r="K2689" i="1"/>
  <c r="J2689" i="1"/>
  <c r="I2689" i="1"/>
  <c r="H2689" i="1"/>
  <c r="G2689" i="1"/>
  <c r="F2689" i="1"/>
  <c r="E2689" i="1"/>
  <c r="D2689" i="1"/>
  <c r="C2689" i="1"/>
  <c r="B2689" i="1"/>
  <c r="A2689" i="1"/>
  <c r="R2688" i="1"/>
  <c r="J2688" i="1"/>
  <c r="I2688" i="1"/>
  <c r="G2688" i="1"/>
  <c r="F2688" i="1"/>
  <c r="E2688" i="1"/>
  <c r="D2688" i="1"/>
  <c r="C2688" i="1"/>
  <c r="B2688" i="1"/>
  <c r="A2688" i="1"/>
  <c r="S2687" i="1"/>
  <c r="O2687" i="1"/>
  <c r="K2687" i="1"/>
  <c r="J2687" i="1"/>
  <c r="I2687" i="1"/>
  <c r="H2687" i="1"/>
  <c r="G2687" i="1"/>
  <c r="F2687" i="1"/>
  <c r="E2687" i="1"/>
  <c r="D2687" i="1"/>
  <c r="C2687" i="1"/>
  <c r="B2687" i="1"/>
  <c r="A2687" i="1"/>
  <c r="R2686" i="1"/>
  <c r="J2686" i="1"/>
  <c r="I2686" i="1"/>
  <c r="G2686" i="1"/>
  <c r="F2686" i="1"/>
  <c r="E2686" i="1"/>
  <c r="D2686" i="1"/>
  <c r="C2686" i="1"/>
  <c r="B2686" i="1"/>
  <c r="A2686" i="1"/>
  <c r="S2685" i="1"/>
  <c r="O2685" i="1"/>
  <c r="K2685" i="1"/>
  <c r="J2685" i="1"/>
  <c r="I2685" i="1"/>
  <c r="H2685" i="1"/>
  <c r="G2685" i="1"/>
  <c r="F2685" i="1"/>
  <c r="E2685" i="1"/>
  <c r="D2685" i="1"/>
  <c r="C2685" i="1"/>
  <c r="B2685" i="1"/>
  <c r="A2685" i="1"/>
  <c r="R2684" i="1"/>
  <c r="J2684" i="1"/>
  <c r="I2684" i="1"/>
  <c r="G2684" i="1"/>
  <c r="F2684" i="1"/>
  <c r="E2684" i="1"/>
  <c r="D2684" i="1"/>
  <c r="C2684" i="1"/>
  <c r="B2684" i="1"/>
  <c r="A2684" i="1"/>
  <c r="S2683" i="1"/>
  <c r="O2683" i="1"/>
  <c r="K2683" i="1"/>
  <c r="J2683" i="1"/>
  <c r="I2683" i="1"/>
  <c r="H2683" i="1"/>
  <c r="G2683" i="1"/>
  <c r="F2683" i="1"/>
  <c r="E2683" i="1"/>
  <c r="D2683" i="1"/>
  <c r="C2683" i="1"/>
  <c r="B2683" i="1"/>
  <c r="A2683" i="1"/>
  <c r="R2682" i="1"/>
  <c r="J2682" i="1"/>
  <c r="I2682" i="1"/>
  <c r="G2682" i="1"/>
  <c r="F2682" i="1"/>
  <c r="E2682" i="1"/>
  <c r="D2682" i="1"/>
  <c r="C2682" i="1"/>
  <c r="B2682" i="1"/>
  <c r="A2682" i="1"/>
  <c r="S2681" i="1"/>
  <c r="O2681" i="1"/>
  <c r="K2681" i="1"/>
  <c r="J2681" i="1"/>
  <c r="I2681" i="1"/>
  <c r="H2681" i="1"/>
  <c r="G2681" i="1"/>
  <c r="F2681" i="1"/>
  <c r="E2681" i="1"/>
  <c r="D2681" i="1"/>
  <c r="C2681" i="1"/>
  <c r="B2681" i="1"/>
  <c r="A2681" i="1"/>
  <c r="R2680" i="1"/>
  <c r="J2680" i="1"/>
  <c r="I2680" i="1"/>
  <c r="G2680" i="1"/>
  <c r="F2680" i="1"/>
  <c r="E2680" i="1"/>
  <c r="D2680" i="1"/>
  <c r="C2680" i="1"/>
  <c r="B2680" i="1"/>
  <c r="A2680" i="1"/>
  <c r="S2679" i="1"/>
  <c r="O2679" i="1"/>
  <c r="K2679" i="1"/>
  <c r="J2679" i="1"/>
  <c r="I2679" i="1"/>
  <c r="H2679" i="1"/>
  <c r="G2679" i="1"/>
  <c r="F2679" i="1"/>
  <c r="E2679" i="1"/>
  <c r="D2679" i="1"/>
  <c r="C2679" i="1"/>
  <c r="B2679" i="1"/>
  <c r="A2679" i="1"/>
  <c r="R2678" i="1"/>
  <c r="J2678" i="1"/>
  <c r="I2678" i="1"/>
  <c r="G2678" i="1"/>
  <c r="F2678" i="1"/>
  <c r="E2678" i="1"/>
  <c r="D2678" i="1"/>
  <c r="C2678" i="1"/>
  <c r="B2678" i="1"/>
  <c r="A2678" i="1"/>
  <c r="S2677" i="1"/>
  <c r="O2677" i="1"/>
  <c r="K2677" i="1"/>
  <c r="J2677" i="1"/>
  <c r="I2677" i="1"/>
  <c r="H2677" i="1"/>
  <c r="G2677" i="1"/>
  <c r="F2677" i="1"/>
  <c r="E2677" i="1"/>
  <c r="D2677" i="1"/>
  <c r="C2677" i="1"/>
  <c r="B2677" i="1"/>
  <c r="A2677" i="1"/>
  <c r="R2676" i="1"/>
  <c r="J2676" i="1"/>
  <c r="I2676" i="1"/>
  <c r="G2676" i="1"/>
  <c r="F2676" i="1"/>
  <c r="E2676" i="1"/>
  <c r="D2676" i="1"/>
  <c r="C2676" i="1"/>
  <c r="B2676" i="1"/>
  <c r="A2676" i="1"/>
  <c r="S2675" i="1"/>
  <c r="O2675" i="1"/>
  <c r="K2675" i="1"/>
  <c r="J2675" i="1"/>
  <c r="I2675" i="1"/>
  <c r="H2675" i="1"/>
  <c r="G2675" i="1"/>
  <c r="F2675" i="1"/>
  <c r="E2675" i="1"/>
  <c r="D2675" i="1"/>
  <c r="C2675" i="1"/>
  <c r="B2675" i="1"/>
  <c r="A2675" i="1"/>
  <c r="R2674" i="1"/>
  <c r="J2674" i="1"/>
  <c r="I2674" i="1"/>
  <c r="G2674" i="1"/>
  <c r="F2674" i="1"/>
  <c r="E2674" i="1"/>
  <c r="D2674" i="1"/>
  <c r="C2674" i="1"/>
  <c r="B2674" i="1"/>
  <c r="A2674" i="1"/>
  <c r="S2673" i="1"/>
  <c r="O2673" i="1"/>
  <c r="K2673" i="1"/>
  <c r="J2673" i="1"/>
  <c r="I2673" i="1"/>
  <c r="H2673" i="1"/>
  <c r="G2673" i="1"/>
  <c r="F2673" i="1"/>
  <c r="E2673" i="1"/>
  <c r="D2673" i="1"/>
  <c r="C2673" i="1"/>
  <c r="B2673" i="1"/>
  <c r="A2673" i="1"/>
  <c r="R2672" i="1"/>
  <c r="J2672" i="1"/>
  <c r="I2672" i="1"/>
  <c r="G2672" i="1"/>
  <c r="F2672" i="1"/>
  <c r="E2672" i="1"/>
  <c r="D2672" i="1"/>
  <c r="C2672" i="1"/>
  <c r="B2672" i="1"/>
  <c r="A2672" i="1"/>
  <c r="S2671" i="1"/>
  <c r="O2671" i="1"/>
  <c r="K2671" i="1"/>
  <c r="J2671" i="1"/>
  <c r="I2671" i="1"/>
  <c r="H2671" i="1"/>
  <c r="G2671" i="1"/>
  <c r="F2671" i="1"/>
  <c r="E2671" i="1"/>
  <c r="D2671" i="1"/>
  <c r="C2671" i="1"/>
  <c r="B2671" i="1"/>
  <c r="A2671" i="1"/>
  <c r="R2670" i="1"/>
  <c r="J2670" i="1"/>
  <c r="I2670" i="1"/>
  <c r="G2670" i="1"/>
  <c r="F2670" i="1"/>
  <c r="E2670" i="1"/>
  <c r="D2670" i="1"/>
  <c r="C2670" i="1"/>
  <c r="B2670" i="1"/>
  <c r="A2670" i="1"/>
  <c r="S2669" i="1"/>
  <c r="O2669" i="1"/>
  <c r="K2669" i="1"/>
  <c r="J2669" i="1"/>
  <c r="I2669" i="1"/>
  <c r="H2669" i="1"/>
  <c r="G2669" i="1"/>
  <c r="F2669" i="1"/>
  <c r="E2669" i="1"/>
  <c r="D2669" i="1"/>
  <c r="C2669" i="1"/>
  <c r="B2669" i="1"/>
  <c r="A2669" i="1"/>
  <c r="R2668" i="1"/>
  <c r="J2668" i="1"/>
  <c r="I2668" i="1"/>
  <c r="G2668" i="1"/>
  <c r="F2668" i="1"/>
  <c r="E2668" i="1"/>
  <c r="D2668" i="1"/>
  <c r="C2668" i="1"/>
  <c r="B2668" i="1"/>
  <c r="A2668" i="1"/>
  <c r="S2667" i="1"/>
  <c r="O2667" i="1"/>
  <c r="K2667" i="1"/>
  <c r="J2667" i="1"/>
  <c r="I2667" i="1"/>
  <c r="H2667" i="1"/>
  <c r="G2667" i="1"/>
  <c r="F2667" i="1"/>
  <c r="E2667" i="1"/>
  <c r="D2667" i="1"/>
  <c r="C2667" i="1"/>
  <c r="B2667" i="1"/>
  <c r="A2667" i="1"/>
  <c r="R2666" i="1"/>
  <c r="J2666" i="1"/>
  <c r="I2666" i="1"/>
  <c r="G2666" i="1"/>
  <c r="F2666" i="1"/>
  <c r="E2666" i="1"/>
  <c r="D2666" i="1"/>
  <c r="C2666" i="1"/>
  <c r="B2666" i="1"/>
  <c r="A2666" i="1"/>
  <c r="S2665" i="1"/>
  <c r="O2665" i="1"/>
  <c r="K2665" i="1"/>
  <c r="J2665" i="1"/>
  <c r="I2665" i="1"/>
  <c r="H2665" i="1"/>
  <c r="G2665" i="1"/>
  <c r="F2665" i="1"/>
  <c r="E2665" i="1"/>
  <c r="D2665" i="1"/>
  <c r="C2665" i="1"/>
  <c r="B2665" i="1"/>
  <c r="A2665" i="1"/>
  <c r="R2664" i="1"/>
  <c r="J2664" i="1"/>
  <c r="I2664" i="1"/>
  <c r="G2664" i="1"/>
  <c r="F2664" i="1"/>
  <c r="E2664" i="1"/>
  <c r="D2664" i="1"/>
  <c r="C2664" i="1"/>
  <c r="B2664" i="1"/>
  <c r="A2664" i="1"/>
  <c r="S2663" i="1"/>
  <c r="O2663" i="1"/>
  <c r="K2663" i="1"/>
  <c r="J2663" i="1"/>
  <c r="I2663" i="1"/>
  <c r="H2663" i="1"/>
  <c r="G2663" i="1"/>
  <c r="F2663" i="1"/>
  <c r="E2663" i="1"/>
  <c r="D2663" i="1"/>
  <c r="C2663" i="1"/>
  <c r="B2663" i="1"/>
  <c r="A2663" i="1"/>
  <c r="R2662" i="1"/>
  <c r="J2662" i="1"/>
  <c r="I2662" i="1"/>
  <c r="G2662" i="1"/>
  <c r="F2662" i="1"/>
  <c r="E2662" i="1"/>
  <c r="D2662" i="1"/>
  <c r="C2662" i="1"/>
  <c r="B2662" i="1"/>
  <c r="A2662" i="1"/>
  <c r="S2661" i="1"/>
  <c r="O2661" i="1"/>
  <c r="K2661" i="1"/>
  <c r="J2661" i="1"/>
  <c r="I2661" i="1"/>
  <c r="H2661" i="1"/>
  <c r="G2661" i="1"/>
  <c r="F2661" i="1"/>
  <c r="E2661" i="1"/>
  <c r="D2661" i="1"/>
  <c r="C2661" i="1"/>
  <c r="B2661" i="1"/>
  <c r="A2661" i="1"/>
  <c r="R2660" i="1"/>
  <c r="J2660" i="1"/>
  <c r="I2660" i="1"/>
  <c r="G2660" i="1"/>
  <c r="F2660" i="1"/>
  <c r="E2660" i="1"/>
  <c r="D2660" i="1"/>
  <c r="C2660" i="1"/>
  <c r="B2660" i="1"/>
  <c r="A2660" i="1"/>
  <c r="S2659" i="1"/>
  <c r="O2659" i="1"/>
  <c r="K2659" i="1"/>
  <c r="J2659" i="1"/>
  <c r="I2659" i="1"/>
  <c r="H2659" i="1"/>
  <c r="G2659" i="1"/>
  <c r="F2659" i="1"/>
  <c r="E2659" i="1"/>
  <c r="D2659" i="1"/>
  <c r="C2659" i="1"/>
  <c r="B2659" i="1"/>
  <c r="A2659" i="1"/>
  <c r="R2658" i="1"/>
  <c r="J2658" i="1"/>
  <c r="I2658" i="1"/>
  <c r="G2658" i="1"/>
  <c r="F2658" i="1"/>
  <c r="E2658" i="1"/>
  <c r="D2658" i="1"/>
  <c r="C2658" i="1"/>
  <c r="B2658" i="1"/>
  <c r="A2658" i="1"/>
  <c r="S2657" i="1"/>
  <c r="O2657" i="1"/>
  <c r="K2657" i="1"/>
  <c r="J2657" i="1"/>
  <c r="I2657" i="1"/>
  <c r="H2657" i="1"/>
  <c r="G2657" i="1"/>
  <c r="F2657" i="1"/>
  <c r="E2657" i="1"/>
  <c r="D2657" i="1"/>
  <c r="C2657" i="1"/>
  <c r="B2657" i="1"/>
  <c r="A2657" i="1"/>
  <c r="R2656" i="1"/>
  <c r="J2656" i="1"/>
  <c r="I2656" i="1"/>
  <c r="G2656" i="1"/>
  <c r="F2656" i="1"/>
  <c r="E2656" i="1"/>
  <c r="D2656" i="1"/>
  <c r="C2656" i="1"/>
  <c r="B2656" i="1"/>
  <c r="A2656" i="1"/>
  <c r="S2655" i="1"/>
  <c r="O2655" i="1"/>
  <c r="K2655" i="1"/>
  <c r="J2655" i="1"/>
  <c r="I2655" i="1"/>
  <c r="H2655" i="1"/>
  <c r="G2655" i="1"/>
  <c r="F2655" i="1"/>
  <c r="E2655" i="1"/>
  <c r="D2655" i="1"/>
  <c r="C2655" i="1"/>
  <c r="B2655" i="1"/>
  <c r="A2655" i="1"/>
  <c r="R2654" i="1"/>
  <c r="J2654" i="1"/>
  <c r="I2654" i="1"/>
  <c r="G2654" i="1"/>
  <c r="F2654" i="1"/>
  <c r="E2654" i="1"/>
  <c r="D2654" i="1"/>
  <c r="C2654" i="1"/>
  <c r="B2654" i="1"/>
  <c r="A2654" i="1"/>
  <c r="S2653" i="1"/>
  <c r="O2653" i="1"/>
  <c r="K2653" i="1"/>
  <c r="J2653" i="1"/>
  <c r="I2653" i="1"/>
  <c r="H2653" i="1"/>
  <c r="G2653" i="1"/>
  <c r="F2653" i="1"/>
  <c r="E2653" i="1"/>
  <c r="D2653" i="1"/>
  <c r="C2653" i="1"/>
  <c r="B2653" i="1"/>
  <c r="A2653" i="1"/>
  <c r="R2652" i="1"/>
  <c r="J2652" i="1"/>
  <c r="I2652" i="1"/>
  <c r="G2652" i="1"/>
  <c r="F2652" i="1"/>
  <c r="E2652" i="1"/>
  <c r="D2652" i="1"/>
  <c r="C2652" i="1"/>
  <c r="B2652" i="1"/>
  <c r="A2652" i="1"/>
  <c r="S2651" i="1"/>
  <c r="O2651" i="1"/>
  <c r="K2651" i="1"/>
  <c r="J2651" i="1"/>
  <c r="I2651" i="1"/>
  <c r="H2651" i="1"/>
  <c r="G2651" i="1"/>
  <c r="F2651" i="1"/>
  <c r="E2651" i="1"/>
  <c r="D2651" i="1"/>
  <c r="C2651" i="1"/>
  <c r="B2651" i="1"/>
  <c r="A2651" i="1"/>
  <c r="R2650" i="1"/>
  <c r="J2650" i="1"/>
  <c r="I2650" i="1"/>
  <c r="G2650" i="1"/>
  <c r="F2650" i="1"/>
  <c r="E2650" i="1"/>
  <c r="D2650" i="1"/>
  <c r="C2650" i="1"/>
  <c r="B2650" i="1"/>
  <c r="A2650" i="1"/>
  <c r="S2649" i="1"/>
  <c r="O2649" i="1"/>
  <c r="K2649" i="1"/>
  <c r="J2649" i="1"/>
  <c r="I2649" i="1"/>
  <c r="H2649" i="1"/>
  <c r="G2649" i="1"/>
  <c r="F2649" i="1"/>
  <c r="E2649" i="1"/>
  <c r="D2649" i="1"/>
  <c r="C2649" i="1"/>
  <c r="B2649" i="1"/>
  <c r="A2649" i="1"/>
  <c r="R2648" i="1"/>
  <c r="J2648" i="1"/>
  <c r="I2648" i="1"/>
  <c r="G2648" i="1"/>
  <c r="F2648" i="1"/>
  <c r="E2648" i="1"/>
  <c r="D2648" i="1"/>
  <c r="C2648" i="1"/>
  <c r="B2648" i="1"/>
  <c r="A2648" i="1"/>
  <c r="S2647" i="1"/>
  <c r="O2647" i="1"/>
  <c r="K2647" i="1"/>
  <c r="J2647" i="1"/>
  <c r="I2647" i="1"/>
  <c r="H2647" i="1"/>
  <c r="G2647" i="1"/>
  <c r="F2647" i="1"/>
  <c r="E2647" i="1"/>
  <c r="D2647" i="1"/>
  <c r="C2647" i="1"/>
  <c r="B2647" i="1"/>
  <c r="A2647" i="1"/>
  <c r="R2646" i="1"/>
  <c r="J2646" i="1"/>
  <c r="I2646" i="1"/>
  <c r="G2646" i="1"/>
  <c r="F2646" i="1"/>
  <c r="E2646" i="1"/>
  <c r="D2646" i="1"/>
  <c r="C2646" i="1"/>
  <c r="B2646" i="1"/>
  <c r="A2646" i="1"/>
  <c r="S2645" i="1"/>
  <c r="O2645" i="1"/>
  <c r="K2645" i="1"/>
  <c r="J2645" i="1"/>
  <c r="I2645" i="1"/>
  <c r="H2645" i="1"/>
  <c r="G2645" i="1"/>
  <c r="F2645" i="1"/>
  <c r="E2645" i="1"/>
  <c r="D2645" i="1"/>
  <c r="C2645" i="1"/>
  <c r="B2645" i="1"/>
  <c r="A2645" i="1"/>
  <c r="R2644" i="1"/>
  <c r="J2644" i="1"/>
  <c r="I2644" i="1"/>
  <c r="G2644" i="1"/>
  <c r="F2644" i="1"/>
  <c r="E2644" i="1"/>
  <c r="D2644" i="1"/>
  <c r="C2644" i="1"/>
  <c r="B2644" i="1"/>
  <c r="A2644" i="1"/>
  <c r="S2643" i="1"/>
  <c r="O2643" i="1"/>
  <c r="K2643" i="1"/>
  <c r="J2643" i="1"/>
  <c r="I2643" i="1"/>
  <c r="H2643" i="1"/>
  <c r="G2643" i="1"/>
  <c r="F2643" i="1"/>
  <c r="E2643" i="1"/>
  <c r="D2643" i="1"/>
  <c r="C2643" i="1"/>
  <c r="B2643" i="1"/>
  <c r="A2643" i="1"/>
  <c r="R2642" i="1"/>
  <c r="J2642" i="1"/>
  <c r="I2642" i="1"/>
  <c r="G2642" i="1"/>
  <c r="F2642" i="1"/>
  <c r="E2642" i="1"/>
  <c r="D2642" i="1"/>
  <c r="C2642" i="1"/>
  <c r="B2642" i="1"/>
  <c r="A2642" i="1"/>
  <c r="S2641" i="1"/>
  <c r="O2641" i="1"/>
  <c r="K2641" i="1"/>
  <c r="J2641" i="1"/>
  <c r="I2641" i="1"/>
  <c r="H2641" i="1"/>
  <c r="G2641" i="1"/>
  <c r="F2641" i="1"/>
  <c r="E2641" i="1"/>
  <c r="D2641" i="1"/>
  <c r="C2641" i="1"/>
  <c r="B2641" i="1"/>
  <c r="A2641" i="1"/>
  <c r="R2640" i="1"/>
  <c r="J2640" i="1"/>
  <c r="I2640" i="1"/>
  <c r="G2640" i="1"/>
  <c r="F2640" i="1"/>
  <c r="E2640" i="1"/>
  <c r="D2640" i="1"/>
  <c r="C2640" i="1"/>
  <c r="B2640" i="1"/>
  <c r="A2640" i="1"/>
  <c r="S2639" i="1"/>
  <c r="O2639" i="1"/>
  <c r="K2639" i="1"/>
  <c r="J2639" i="1"/>
  <c r="I2639" i="1"/>
  <c r="H2639" i="1"/>
  <c r="G2639" i="1"/>
  <c r="F2639" i="1"/>
  <c r="E2639" i="1"/>
  <c r="D2639" i="1"/>
  <c r="C2639" i="1"/>
  <c r="B2639" i="1"/>
  <c r="A2639" i="1"/>
  <c r="R2638" i="1"/>
  <c r="J2638" i="1"/>
  <c r="I2638" i="1"/>
  <c r="G2638" i="1"/>
  <c r="F2638" i="1"/>
  <c r="E2638" i="1"/>
  <c r="D2638" i="1"/>
  <c r="C2638" i="1"/>
  <c r="B2638" i="1"/>
  <c r="A2638" i="1"/>
  <c r="S2637" i="1"/>
  <c r="O2637" i="1"/>
  <c r="K2637" i="1"/>
  <c r="J2637" i="1"/>
  <c r="I2637" i="1"/>
  <c r="H2637" i="1"/>
  <c r="G2637" i="1"/>
  <c r="F2637" i="1"/>
  <c r="E2637" i="1"/>
  <c r="D2637" i="1"/>
  <c r="C2637" i="1"/>
  <c r="B2637" i="1"/>
  <c r="A2637" i="1"/>
  <c r="R2636" i="1"/>
  <c r="J2636" i="1"/>
  <c r="I2636" i="1"/>
  <c r="G2636" i="1"/>
  <c r="F2636" i="1"/>
  <c r="E2636" i="1"/>
  <c r="D2636" i="1"/>
  <c r="C2636" i="1"/>
  <c r="B2636" i="1"/>
  <c r="A2636" i="1"/>
  <c r="S2635" i="1"/>
  <c r="O2635" i="1"/>
  <c r="K2635" i="1"/>
  <c r="J2635" i="1"/>
  <c r="I2635" i="1"/>
  <c r="H2635" i="1"/>
  <c r="G2635" i="1"/>
  <c r="F2635" i="1"/>
  <c r="E2635" i="1"/>
  <c r="D2635" i="1"/>
  <c r="C2635" i="1"/>
  <c r="B2635" i="1"/>
  <c r="A2635" i="1"/>
  <c r="R2634" i="1"/>
  <c r="J2634" i="1"/>
  <c r="I2634" i="1"/>
  <c r="G2634" i="1"/>
  <c r="F2634" i="1"/>
  <c r="E2634" i="1"/>
  <c r="D2634" i="1"/>
  <c r="C2634" i="1"/>
  <c r="B2634" i="1"/>
  <c r="A2634" i="1"/>
  <c r="S2633" i="1"/>
  <c r="O2633" i="1"/>
  <c r="K2633" i="1"/>
  <c r="J2633" i="1"/>
  <c r="I2633" i="1"/>
  <c r="H2633" i="1"/>
  <c r="G2633" i="1"/>
  <c r="F2633" i="1"/>
  <c r="E2633" i="1"/>
  <c r="D2633" i="1"/>
  <c r="C2633" i="1"/>
  <c r="B2633" i="1"/>
  <c r="A2633" i="1"/>
  <c r="R2632" i="1"/>
  <c r="J2632" i="1"/>
  <c r="I2632" i="1"/>
  <c r="G2632" i="1"/>
  <c r="F2632" i="1"/>
  <c r="E2632" i="1"/>
  <c r="D2632" i="1"/>
  <c r="C2632" i="1"/>
  <c r="B2632" i="1"/>
  <c r="A2632" i="1"/>
  <c r="S2631" i="1"/>
  <c r="O2631" i="1"/>
  <c r="K2631" i="1"/>
  <c r="J2631" i="1"/>
  <c r="I2631" i="1"/>
  <c r="H2631" i="1"/>
  <c r="G2631" i="1"/>
  <c r="F2631" i="1"/>
  <c r="E2631" i="1"/>
  <c r="D2631" i="1"/>
  <c r="C2631" i="1"/>
  <c r="B2631" i="1"/>
  <c r="A2631" i="1"/>
  <c r="R2630" i="1"/>
  <c r="J2630" i="1"/>
  <c r="I2630" i="1"/>
  <c r="G2630" i="1"/>
  <c r="F2630" i="1"/>
  <c r="E2630" i="1"/>
  <c r="D2630" i="1"/>
  <c r="C2630" i="1"/>
  <c r="B2630" i="1"/>
  <c r="A2630" i="1"/>
  <c r="S2629" i="1"/>
  <c r="O2629" i="1"/>
  <c r="K2629" i="1"/>
  <c r="J2629" i="1"/>
  <c r="I2629" i="1"/>
  <c r="H2629" i="1"/>
  <c r="G2629" i="1"/>
  <c r="F2629" i="1"/>
  <c r="E2629" i="1"/>
  <c r="D2629" i="1"/>
  <c r="C2629" i="1"/>
  <c r="B2629" i="1"/>
  <c r="A2629" i="1"/>
  <c r="R2628" i="1"/>
  <c r="J2628" i="1"/>
  <c r="I2628" i="1"/>
  <c r="G2628" i="1"/>
  <c r="F2628" i="1"/>
  <c r="E2628" i="1"/>
  <c r="D2628" i="1"/>
  <c r="C2628" i="1"/>
  <c r="B2628" i="1"/>
  <c r="A2628" i="1"/>
  <c r="S2627" i="1"/>
  <c r="O2627" i="1"/>
  <c r="K2627" i="1"/>
  <c r="J2627" i="1"/>
  <c r="I2627" i="1"/>
  <c r="H2627" i="1"/>
  <c r="G2627" i="1"/>
  <c r="F2627" i="1"/>
  <c r="E2627" i="1"/>
  <c r="D2627" i="1"/>
  <c r="C2627" i="1"/>
  <c r="B2627" i="1"/>
  <c r="A2627" i="1"/>
  <c r="R2626" i="1"/>
  <c r="J2626" i="1"/>
  <c r="I2626" i="1"/>
  <c r="G2626" i="1"/>
  <c r="F2626" i="1"/>
  <c r="E2626" i="1"/>
  <c r="D2626" i="1"/>
  <c r="C2626" i="1"/>
  <c r="B2626" i="1"/>
  <c r="A2626" i="1"/>
  <c r="S2625" i="1"/>
  <c r="O2625" i="1"/>
  <c r="K2625" i="1"/>
  <c r="J2625" i="1"/>
  <c r="I2625" i="1"/>
  <c r="H2625" i="1"/>
  <c r="G2625" i="1"/>
  <c r="F2625" i="1"/>
  <c r="E2625" i="1"/>
  <c r="D2625" i="1"/>
  <c r="C2625" i="1"/>
  <c r="B2625" i="1"/>
  <c r="A2625" i="1"/>
  <c r="R2624" i="1"/>
  <c r="J2624" i="1"/>
  <c r="I2624" i="1"/>
  <c r="G2624" i="1"/>
  <c r="F2624" i="1"/>
  <c r="E2624" i="1"/>
  <c r="D2624" i="1"/>
  <c r="C2624" i="1"/>
  <c r="B2624" i="1"/>
  <c r="A2624" i="1"/>
  <c r="S2623" i="1"/>
  <c r="O2623" i="1"/>
  <c r="K2623" i="1"/>
  <c r="J2623" i="1"/>
  <c r="I2623" i="1"/>
  <c r="H2623" i="1"/>
  <c r="G2623" i="1"/>
  <c r="F2623" i="1"/>
  <c r="E2623" i="1"/>
  <c r="D2623" i="1"/>
  <c r="C2623" i="1"/>
  <c r="B2623" i="1"/>
  <c r="A2623" i="1"/>
  <c r="R2622" i="1"/>
  <c r="J2622" i="1"/>
  <c r="I2622" i="1"/>
  <c r="G2622" i="1"/>
  <c r="F2622" i="1"/>
  <c r="E2622" i="1"/>
  <c r="D2622" i="1"/>
  <c r="C2622" i="1"/>
  <c r="B2622" i="1"/>
  <c r="A2622" i="1"/>
  <c r="S2621" i="1"/>
  <c r="O2621" i="1"/>
  <c r="K2621" i="1"/>
  <c r="J2621" i="1"/>
  <c r="I2621" i="1"/>
  <c r="H2621" i="1"/>
  <c r="G2621" i="1"/>
  <c r="F2621" i="1"/>
  <c r="E2621" i="1"/>
  <c r="D2621" i="1"/>
  <c r="C2621" i="1"/>
  <c r="B2621" i="1"/>
  <c r="A2621" i="1"/>
  <c r="R2620" i="1"/>
  <c r="J2620" i="1"/>
  <c r="I2620" i="1"/>
  <c r="G2620" i="1"/>
  <c r="F2620" i="1"/>
  <c r="E2620" i="1"/>
  <c r="D2620" i="1"/>
  <c r="C2620" i="1"/>
  <c r="B2620" i="1"/>
  <c r="A2620" i="1"/>
  <c r="S2619" i="1"/>
  <c r="O2619" i="1"/>
  <c r="K2619" i="1"/>
  <c r="J2619" i="1"/>
  <c r="I2619" i="1"/>
  <c r="H2619" i="1"/>
  <c r="G2619" i="1"/>
  <c r="F2619" i="1"/>
  <c r="E2619" i="1"/>
  <c r="D2619" i="1"/>
  <c r="C2619" i="1"/>
  <c r="B2619" i="1"/>
  <c r="A2619" i="1"/>
  <c r="R2618" i="1"/>
  <c r="J2618" i="1"/>
  <c r="I2618" i="1"/>
  <c r="G2618" i="1"/>
  <c r="F2618" i="1"/>
  <c r="E2618" i="1"/>
  <c r="D2618" i="1"/>
  <c r="C2618" i="1"/>
  <c r="B2618" i="1"/>
  <c r="A2618" i="1"/>
  <c r="S2617" i="1"/>
  <c r="O2617" i="1"/>
  <c r="K2617" i="1"/>
  <c r="J2617" i="1"/>
  <c r="I2617" i="1"/>
  <c r="H2617" i="1"/>
  <c r="G2617" i="1"/>
  <c r="F2617" i="1"/>
  <c r="E2617" i="1"/>
  <c r="D2617" i="1"/>
  <c r="C2617" i="1"/>
  <c r="B2617" i="1"/>
  <c r="A2617" i="1"/>
  <c r="R2616" i="1"/>
  <c r="J2616" i="1"/>
  <c r="I2616" i="1"/>
  <c r="G2616" i="1"/>
  <c r="F2616" i="1"/>
  <c r="E2616" i="1"/>
  <c r="D2616" i="1"/>
  <c r="C2616" i="1"/>
  <c r="B2616" i="1"/>
  <c r="A2616" i="1"/>
  <c r="S2615" i="1"/>
  <c r="O2615" i="1"/>
  <c r="K2615" i="1"/>
  <c r="J2615" i="1"/>
  <c r="I2615" i="1"/>
  <c r="H2615" i="1"/>
  <c r="G2615" i="1"/>
  <c r="F2615" i="1"/>
  <c r="E2615" i="1"/>
  <c r="D2615" i="1"/>
  <c r="C2615" i="1"/>
  <c r="B2615" i="1"/>
  <c r="A2615" i="1"/>
  <c r="R2614" i="1"/>
  <c r="J2614" i="1"/>
  <c r="I2614" i="1"/>
  <c r="G2614" i="1"/>
  <c r="F2614" i="1"/>
  <c r="E2614" i="1"/>
  <c r="D2614" i="1"/>
  <c r="C2614" i="1"/>
  <c r="B2614" i="1"/>
  <c r="A2614" i="1"/>
  <c r="S2613" i="1"/>
  <c r="O2613" i="1"/>
  <c r="K2613" i="1"/>
  <c r="J2613" i="1"/>
  <c r="I2613" i="1"/>
  <c r="H2613" i="1"/>
  <c r="G2613" i="1"/>
  <c r="F2613" i="1"/>
  <c r="E2613" i="1"/>
  <c r="D2613" i="1"/>
  <c r="C2613" i="1"/>
  <c r="B2613" i="1"/>
  <c r="A2613" i="1"/>
  <c r="R2612" i="1"/>
  <c r="J2612" i="1"/>
  <c r="I2612" i="1"/>
  <c r="G2612" i="1"/>
  <c r="F2612" i="1"/>
  <c r="E2612" i="1"/>
  <c r="D2612" i="1"/>
  <c r="C2612" i="1"/>
  <c r="B2612" i="1"/>
  <c r="A2612" i="1"/>
  <c r="S2611" i="1"/>
  <c r="O2611" i="1"/>
  <c r="K2611" i="1"/>
  <c r="J2611" i="1"/>
  <c r="I2611" i="1"/>
  <c r="H2611" i="1"/>
  <c r="G2611" i="1"/>
  <c r="F2611" i="1"/>
  <c r="E2611" i="1"/>
  <c r="D2611" i="1"/>
  <c r="C2611" i="1"/>
  <c r="B2611" i="1"/>
  <c r="A2611" i="1"/>
  <c r="R2610" i="1"/>
  <c r="J2610" i="1"/>
  <c r="I2610" i="1"/>
  <c r="G2610" i="1"/>
  <c r="F2610" i="1"/>
  <c r="E2610" i="1"/>
  <c r="D2610" i="1"/>
  <c r="C2610" i="1"/>
  <c r="B2610" i="1"/>
  <c r="A2610" i="1"/>
  <c r="S2609" i="1"/>
  <c r="O2609" i="1"/>
  <c r="K2609" i="1"/>
  <c r="J2609" i="1"/>
  <c r="I2609" i="1"/>
  <c r="H2609" i="1"/>
  <c r="G2609" i="1"/>
  <c r="F2609" i="1"/>
  <c r="E2609" i="1"/>
  <c r="D2609" i="1"/>
  <c r="C2609" i="1"/>
  <c r="B2609" i="1"/>
  <c r="A2609" i="1"/>
  <c r="R2608" i="1"/>
  <c r="J2608" i="1"/>
  <c r="I2608" i="1"/>
  <c r="G2608" i="1"/>
  <c r="F2608" i="1"/>
  <c r="E2608" i="1"/>
  <c r="D2608" i="1"/>
  <c r="C2608" i="1"/>
  <c r="B2608" i="1"/>
  <c r="A2608" i="1"/>
  <c r="S2607" i="1"/>
  <c r="O2607" i="1"/>
  <c r="K2607" i="1"/>
  <c r="J2607" i="1"/>
  <c r="I2607" i="1"/>
  <c r="H2607" i="1"/>
  <c r="G2607" i="1"/>
  <c r="F2607" i="1"/>
  <c r="E2607" i="1"/>
  <c r="D2607" i="1"/>
  <c r="C2607" i="1"/>
  <c r="B2607" i="1"/>
  <c r="A2607" i="1"/>
  <c r="R2606" i="1"/>
  <c r="J2606" i="1"/>
  <c r="I2606" i="1"/>
  <c r="G2606" i="1"/>
  <c r="F2606" i="1"/>
  <c r="E2606" i="1"/>
  <c r="D2606" i="1"/>
  <c r="C2606" i="1"/>
  <c r="B2606" i="1"/>
  <c r="A2606" i="1"/>
  <c r="S2605" i="1"/>
  <c r="O2605" i="1"/>
  <c r="K2605" i="1"/>
  <c r="J2605" i="1"/>
  <c r="I2605" i="1"/>
  <c r="H2605" i="1"/>
  <c r="G2605" i="1"/>
  <c r="F2605" i="1"/>
  <c r="E2605" i="1"/>
  <c r="D2605" i="1"/>
  <c r="C2605" i="1"/>
  <c r="B2605" i="1"/>
  <c r="A2605" i="1"/>
  <c r="R2604" i="1"/>
  <c r="J2604" i="1"/>
  <c r="I2604" i="1"/>
  <c r="G2604" i="1"/>
  <c r="F2604" i="1"/>
  <c r="E2604" i="1"/>
  <c r="D2604" i="1"/>
  <c r="C2604" i="1"/>
  <c r="B2604" i="1"/>
  <c r="A2604" i="1"/>
  <c r="S2603" i="1"/>
  <c r="O2603" i="1"/>
  <c r="K2603" i="1"/>
  <c r="J2603" i="1"/>
  <c r="I2603" i="1"/>
  <c r="H2603" i="1"/>
  <c r="G2603" i="1"/>
  <c r="F2603" i="1"/>
  <c r="E2603" i="1"/>
  <c r="D2603" i="1"/>
  <c r="C2603" i="1"/>
  <c r="B2603" i="1"/>
  <c r="A2603" i="1"/>
  <c r="R2602" i="1"/>
  <c r="J2602" i="1"/>
  <c r="I2602" i="1"/>
  <c r="G2602" i="1"/>
  <c r="F2602" i="1"/>
  <c r="E2602" i="1"/>
  <c r="D2602" i="1"/>
  <c r="C2602" i="1"/>
  <c r="B2602" i="1"/>
  <c r="A2602" i="1"/>
  <c r="S2601" i="1"/>
  <c r="O2601" i="1"/>
  <c r="K2601" i="1"/>
  <c r="J2601" i="1"/>
  <c r="I2601" i="1"/>
  <c r="H2601" i="1"/>
  <c r="G2601" i="1"/>
  <c r="F2601" i="1"/>
  <c r="E2601" i="1"/>
  <c r="D2601" i="1"/>
  <c r="C2601" i="1"/>
  <c r="B2601" i="1"/>
  <c r="A2601" i="1"/>
  <c r="R2600" i="1"/>
  <c r="J2600" i="1"/>
  <c r="I2600" i="1"/>
  <c r="G2600" i="1"/>
  <c r="F2600" i="1"/>
  <c r="E2600" i="1"/>
  <c r="D2600" i="1"/>
  <c r="C2600" i="1"/>
  <c r="B2600" i="1"/>
  <c r="A2600" i="1"/>
  <c r="S2599" i="1"/>
  <c r="O2599" i="1"/>
  <c r="K2599" i="1"/>
  <c r="J2599" i="1"/>
  <c r="I2599" i="1"/>
  <c r="H2599" i="1"/>
  <c r="G2599" i="1"/>
  <c r="F2599" i="1"/>
  <c r="E2599" i="1"/>
  <c r="D2599" i="1"/>
  <c r="C2599" i="1"/>
  <c r="B2599" i="1"/>
  <c r="A2599" i="1"/>
  <c r="R2598" i="1"/>
  <c r="J2598" i="1"/>
  <c r="I2598" i="1"/>
  <c r="G2598" i="1"/>
  <c r="F2598" i="1"/>
  <c r="E2598" i="1"/>
  <c r="D2598" i="1"/>
  <c r="C2598" i="1"/>
  <c r="B2598" i="1"/>
  <c r="A2598" i="1"/>
  <c r="S2597" i="1"/>
  <c r="O2597" i="1"/>
  <c r="K2597" i="1"/>
  <c r="J2597" i="1"/>
  <c r="I2597" i="1"/>
  <c r="H2597" i="1"/>
  <c r="G2597" i="1"/>
  <c r="F2597" i="1"/>
  <c r="E2597" i="1"/>
  <c r="D2597" i="1"/>
  <c r="C2597" i="1"/>
  <c r="B2597" i="1"/>
  <c r="A2597" i="1"/>
  <c r="R2596" i="1"/>
  <c r="J2596" i="1"/>
  <c r="I2596" i="1"/>
  <c r="G2596" i="1"/>
  <c r="F2596" i="1"/>
  <c r="E2596" i="1"/>
  <c r="D2596" i="1"/>
  <c r="C2596" i="1"/>
  <c r="B2596" i="1"/>
  <c r="A2596" i="1"/>
  <c r="S2595" i="1"/>
  <c r="O2595" i="1"/>
  <c r="K2595" i="1"/>
  <c r="J2595" i="1"/>
  <c r="I2595" i="1"/>
  <c r="H2595" i="1"/>
  <c r="G2595" i="1"/>
  <c r="F2595" i="1"/>
  <c r="E2595" i="1"/>
  <c r="D2595" i="1"/>
  <c r="C2595" i="1"/>
  <c r="B2595" i="1"/>
  <c r="A2595" i="1"/>
  <c r="R2594" i="1"/>
  <c r="J2594" i="1"/>
  <c r="I2594" i="1"/>
  <c r="G2594" i="1"/>
  <c r="F2594" i="1"/>
  <c r="E2594" i="1"/>
  <c r="D2594" i="1"/>
  <c r="C2594" i="1"/>
  <c r="B2594" i="1"/>
  <c r="A2594" i="1"/>
  <c r="S2593" i="1"/>
  <c r="O2593" i="1"/>
  <c r="K2593" i="1"/>
  <c r="J2593" i="1"/>
  <c r="I2593" i="1"/>
  <c r="H2593" i="1"/>
  <c r="G2593" i="1"/>
  <c r="F2593" i="1"/>
  <c r="E2593" i="1"/>
  <c r="D2593" i="1"/>
  <c r="C2593" i="1"/>
  <c r="B2593" i="1"/>
  <c r="A2593" i="1"/>
  <c r="R2592" i="1"/>
  <c r="J2592" i="1"/>
  <c r="I2592" i="1"/>
  <c r="G2592" i="1"/>
  <c r="F2592" i="1"/>
  <c r="E2592" i="1"/>
  <c r="D2592" i="1"/>
  <c r="C2592" i="1"/>
  <c r="B2592" i="1"/>
  <c r="A2592" i="1"/>
  <c r="S2591" i="1"/>
  <c r="O2591" i="1"/>
  <c r="K2591" i="1"/>
  <c r="J2591" i="1"/>
  <c r="I2591" i="1"/>
  <c r="H2591" i="1"/>
  <c r="G2591" i="1"/>
  <c r="F2591" i="1"/>
  <c r="E2591" i="1"/>
  <c r="D2591" i="1"/>
  <c r="C2591" i="1"/>
  <c r="B2591" i="1"/>
  <c r="A2591" i="1"/>
  <c r="R2590" i="1"/>
  <c r="J2590" i="1"/>
  <c r="I2590" i="1"/>
  <c r="G2590" i="1"/>
  <c r="F2590" i="1"/>
  <c r="E2590" i="1"/>
  <c r="D2590" i="1"/>
  <c r="C2590" i="1"/>
  <c r="B2590" i="1"/>
  <c r="A2590" i="1"/>
  <c r="S2589" i="1"/>
  <c r="O2589" i="1"/>
  <c r="K2589" i="1"/>
  <c r="J2589" i="1"/>
  <c r="I2589" i="1"/>
  <c r="H2589" i="1"/>
  <c r="G2589" i="1"/>
  <c r="F2589" i="1"/>
  <c r="E2589" i="1"/>
  <c r="D2589" i="1"/>
  <c r="C2589" i="1"/>
  <c r="B2589" i="1"/>
  <c r="A2589" i="1"/>
  <c r="R2588" i="1"/>
  <c r="J2588" i="1"/>
  <c r="I2588" i="1"/>
  <c r="G2588" i="1"/>
  <c r="F2588" i="1"/>
  <c r="E2588" i="1"/>
  <c r="D2588" i="1"/>
  <c r="C2588" i="1"/>
  <c r="B2588" i="1"/>
  <c r="A2588" i="1"/>
  <c r="S2587" i="1"/>
  <c r="O2587" i="1"/>
  <c r="K2587" i="1"/>
  <c r="J2587" i="1"/>
  <c r="I2587" i="1"/>
  <c r="H2587" i="1"/>
  <c r="G2587" i="1"/>
  <c r="F2587" i="1"/>
  <c r="E2587" i="1"/>
  <c r="D2587" i="1"/>
  <c r="C2587" i="1"/>
  <c r="B2587" i="1"/>
  <c r="A2587" i="1"/>
  <c r="R2586" i="1"/>
  <c r="J2586" i="1"/>
  <c r="I2586" i="1"/>
  <c r="G2586" i="1"/>
  <c r="F2586" i="1"/>
  <c r="E2586" i="1"/>
  <c r="D2586" i="1"/>
  <c r="C2586" i="1"/>
  <c r="B2586" i="1"/>
  <c r="A2586" i="1"/>
  <c r="S2585" i="1"/>
  <c r="O2585" i="1"/>
  <c r="K2585" i="1"/>
  <c r="J2585" i="1"/>
  <c r="I2585" i="1"/>
  <c r="H2585" i="1"/>
  <c r="G2585" i="1"/>
  <c r="F2585" i="1"/>
  <c r="E2585" i="1"/>
  <c r="D2585" i="1"/>
  <c r="C2585" i="1"/>
  <c r="B2585" i="1"/>
  <c r="A2585" i="1"/>
  <c r="R2584" i="1"/>
  <c r="J2584" i="1"/>
  <c r="I2584" i="1"/>
  <c r="G2584" i="1"/>
  <c r="F2584" i="1"/>
  <c r="E2584" i="1"/>
  <c r="D2584" i="1"/>
  <c r="C2584" i="1"/>
  <c r="B2584" i="1"/>
  <c r="A2584" i="1"/>
  <c r="S2583" i="1"/>
  <c r="O2583" i="1"/>
  <c r="K2583" i="1"/>
  <c r="J2583" i="1"/>
  <c r="I2583" i="1"/>
  <c r="H2583" i="1"/>
  <c r="G2583" i="1"/>
  <c r="F2583" i="1"/>
  <c r="E2583" i="1"/>
  <c r="D2583" i="1"/>
  <c r="C2583" i="1"/>
  <c r="B2583" i="1"/>
  <c r="A2583" i="1"/>
  <c r="R2582" i="1"/>
  <c r="J2582" i="1"/>
  <c r="I2582" i="1"/>
  <c r="G2582" i="1"/>
  <c r="F2582" i="1"/>
  <c r="E2582" i="1"/>
  <c r="D2582" i="1"/>
  <c r="C2582" i="1"/>
  <c r="B2582" i="1"/>
  <c r="A2582" i="1"/>
  <c r="S2581" i="1"/>
  <c r="O2581" i="1"/>
  <c r="K2581" i="1"/>
  <c r="J2581" i="1"/>
  <c r="I2581" i="1"/>
  <c r="H2581" i="1"/>
  <c r="G2581" i="1"/>
  <c r="F2581" i="1"/>
  <c r="E2581" i="1"/>
  <c r="D2581" i="1"/>
  <c r="C2581" i="1"/>
  <c r="B2581" i="1"/>
  <c r="A2581" i="1"/>
  <c r="R2580" i="1"/>
  <c r="J2580" i="1"/>
  <c r="I2580" i="1"/>
  <c r="G2580" i="1"/>
  <c r="F2580" i="1"/>
  <c r="E2580" i="1"/>
  <c r="D2580" i="1"/>
  <c r="C2580" i="1"/>
  <c r="B2580" i="1"/>
  <c r="A2580" i="1"/>
  <c r="S2579" i="1"/>
  <c r="O2579" i="1"/>
  <c r="K2579" i="1"/>
  <c r="J2579" i="1"/>
  <c r="I2579" i="1"/>
  <c r="H2579" i="1"/>
  <c r="G2579" i="1"/>
  <c r="F2579" i="1"/>
  <c r="E2579" i="1"/>
  <c r="D2579" i="1"/>
  <c r="C2579" i="1"/>
  <c r="B2579" i="1"/>
  <c r="A2579" i="1"/>
  <c r="R2578" i="1"/>
  <c r="J2578" i="1"/>
  <c r="I2578" i="1"/>
  <c r="G2578" i="1"/>
  <c r="F2578" i="1"/>
  <c r="E2578" i="1"/>
  <c r="D2578" i="1"/>
  <c r="C2578" i="1"/>
  <c r="B2578" i="1"/>
  <c r="A2578" i="1"/>
  <c r="S2577" i="1"/>
  <c r="O2577" i="1"/>
  <c r="K2577" i="1"/>
  <c r="J2577" i="1"/>
  <c r="I2577" i="1"/>
  <c r="H2577" i="1"/>
  <c r="G2577" i="1"/>
  <c r="F2577" i="1"/>
  <c r="E2577" i="1"/>
  <c r="D2577" i="1"/>
  <c r="C2577" i="1"/>
  <c r="B2577" i="1"/>
  <c r="A2577" i="1"/>
  <c r="R2576" i="1"/>
  <c r="J2576" i="1"/>
  <c r="I2576" i="1"/>
  <c r="G2576" i="1"/>
  <c r="F2576" i="1"/>
  <c r="E2576" i="1"/>
  <c r="D2576" i="1"/>
  <c r="C2576" i="1"/>
  <c r="B2576" i="1"/>
  <c r="A2576" i="1"/>
  <c r="S2575" i="1"/>
  <c r="O2575" i="1"/>
  <c r="K2575" i="1"/>
  <c r="J2575" i="1"/>
  <c r="I2575" i="1"/>
  <c r="H2575" i="1"/>
  <c r="G2575" i="1"/>
  <c r="F2575" i="1"/>
  <c r="E2575" i="1"/>
  <c r="D2575" i="1"/>
  <c r="C2575" i="1"/>
  <c r="B2575" i="1"/>
  <c r="A2575" i="1"/>
  <c r="R2574" i="1"/>
  <c r="J2574" i="1"/>
  <c r="I2574" i="1"/>
  <c r="G2574" i="1"/>
  <c r="F2574" i="1"/>
  <c r="E2574" i="1"/>
  <c r="D2574" i="1"/>
  <c r="C2574" i="1"/>
  <c r="B2574" i="1"/>
  <c r="A2574" i="1"/>
  <c r="S2573" i="1"/>
  <c r="O2573" i="1"/>
  <c r="K2573" i="1"/>
  <c r="J2573" i="1"/>
  <c r="I2573" i="1"/>
  <c r="H2573" i="1"/>
  <c r="G2573" i="1"/>
  <c r="F2573" i="1"/>
  <c r="E2573" i="1"/>
  <c r="D2573" i="1"/>
  <c r="C2573" i="1"/>
  <c r="B2573" i="1"/>
  <c r="A2573" i="1"/>
  <c r="R2572" i="1"/>
  <c r="J2572" i="1"/>
  <c r="I2572" i="1"/>
  <c r="G2572" i="1"/>
  <c r="F2572" i="1"/>
  <c r="E2572" i="1"/>
  <c r="D2572" i="1"/>
  <c r="C2572" i="1"/>
  <c r="B2572" i="1"/>
  <c r="A2572" i="1"/>
  <c r="S2571" i="1"/>
  <c r="O2571" i="1"/>
  <c r="K2571" i="1"/>
  <c r="J2571" i="1"/>
  <c r="I2571" i="1"/>
  <c r="H2571" i="1"/>
  <c r="G2571" i="1"/>
  <c r="F2571" i="1"/>
  <c r="E2571" i="1"/>
  <c r="D2571" i="1"/>
  <c r="C2571" i="1"/>
  <c r="B2571" i="1"/>
  <c r="A2571" i="1"/>
  <c r="R2570" i="1"/>
  <c r="J2570" i="1"/>
  <c r="I2570" i="1"/>
  <c r="G2570" i="1"/>
  <c r="F2570" i="1"/>
  <c r="E2570" i="1"/>
  <c r="D2570" i="1"/>
  <c r="C2570" i="1"/>
  <c r="B2570" i="1"/>
  <c r="A2570" i="1"/>
  <c r="S2569" i="1"/>
  <c r="O2569" i="1"/>
  <c r="K2569" i="1"/>
  <c r="J2569" i="1"/>
  <c r="I2569" i="1"/>
  <c r="H2569" i="1"/>
  <c r="G2569" i="1"/>
  <c r="F2569" i="1"/>
  <c r="E2569" i="1"/>
  <c r="D2569" i="1"/>
  <c r="C2569" i="1"/>
  <c r="B2569" i="1"/>
  <c r="A2569" i="1"/>
  <c r="R2568" i="1"/>
  <c r="J2568" i="1"/>
  <c r="I2568" i="1"/>
  <c r="G2568" i="1"/>
  <c r="F2568" i="1"/>
  <c r="E2568" i="1"/>
  <c r="D2568" i="1"/>
  <c r="C2568" i="1"/>
  <c r="B2568" i="1"/>
  <c r="A2568" i="1"/>
  <c r="R2567" i="1"/>
  <c r="J2567" i="1"/>
  <c r="I2567" i="1"/>
  <c r="G2567" i="1"/>
  <c r="F2567" i="1"/>
  <c r="E2567" i="1"/>
  <c r="D2567" i="1"/>
  <c r="C2567" i="1"/>
  <c r="B2567" i="1"/>
  <c r="A2567" i="1"/>
  <c r="R2566" i="1"/>
  <c r="J2566" i="1"/>
  <c r="I2566" i="1"/>
  <c r="G2566" i="1"/>
  <c r="F2566" i="1"/>
  <c r="E2566" i="1"/>
  <c r="D2566" i="1"/>
  <c r="C2566" i="1"/>
  <c r="B2566" i="1"/>
  <c r="A2566" i="1"/>
  <c r="R2565" i="1"/>
  <c r="J2565" i="1"/>
  <c r="I2565" i="1"/>
  <c r="G2565" i="1"/>
  <c r="F2565" i="1"/>
  <c r="E2565" i="1"/>
  <c r="D2565" i="1"/>
  <c r="C2565" i="1"/>
  <c r="B2565" i="1"/>
  <c r="A2565" i="1"/>
  <c r="R2564" i="1"/>
  <c r="J2564" i="1"/>
  <c r="I2564" i="1"/>
  <c r="G2564" i="1"/>
  <c r="F2564" i="1"/>
  <c r="E2564" i="1"/>
  <c r="D2564" i="1"/>
  <c r="C2564" i="1"/>
  <c r="B2564" i="1"/>
  <c r="A2564" i="1"/>
  <c r="R2563" i="1"/>
  <c r="J2563" i="1"/>
  <c r="I2563" i="1"/>
  <c r="G2563" i="1"/>
  <c r="F2563" i="1"/>
  <c r="E2563" i="1"/>
  <c r="D2563" i="1"/>
  <c r="C2563" i="1"/>
  <c r="B2563" i="1"/>
  <c r="A2563" i="1"/>
  <c r="R2562" i="1"/>
  <c r="J2562" i="1"/>
  <c r="I2562" i="1"/>
  <c r="G2562" i="1"/>
  <c r="F2562" i="1"/>
  <c r="E2562" i="1"/>
  <c r="D2562" i="1"/>
  <c r="C2562" i="1"/>
  <c r="B2562" i="1"/>
  <c r="A2562" i="1"/>
  <c r="R2561" i="1"/>
  <c r="J2561" i="1"/>
  <c r="I2561" i="1"/>
  <c r="G2561" i="1"/>
  <c r="F2561" i="1"/>
  <c r="E2561" i="1"/>
  <c r="D2561" i="1"/>
  <c r="C2561" i="1"/>
  <c r="B2561" i="1"/>
  <c r="A2561" i="1"/>
  <c r="R2560" i="1"/>
  <c r="J2560" i="1"/>
  <c r="I2560" i="1"/>
  <c r="G2560" i="1"/>
  <c r="F2560" i="1"/>
  <c r="E2560" i="1"/>
  <c r="D2560" i="1"/>
  <c r="C2560" i="1"/>
  <c r="B2560" i="1"/>
  <c r="A2560" i="1"/>
  <c r="R2559" i="1"/>
  <c r="J2559" i="1"/>
  <c r="I2559" i="1"/>
  <c r="G2559" i="1"/>
  <c r="F2559" i="1"/>
  <c r="E2559" i="1"/>
  <c r="D2559" i="1"/>
  <c r="C2559" i="1"/>
  <c r="B2559" i="1"/>
  <c r="A2559" i="1"/>
  <c r="R2558" i="1"/>
  <c r="J2558" i="1"/>
  <c r="I2558" i="1"/>
  <c r="G2558" i="1"/>
  <c r="F2558" i="1"/>
  <c r="E2558" i="1"/>
  <c r="D2558" i="1"/>
  <c r="C2558" i="1"/>
  <c r="B2558" i="1"/>
  <c r="A2558" i="1"/>
  <c r="R2557" i="1"/>
  <c r="J2557" i="1"/>
  <c r="I2557" i="1"/>
  <c r="G2557" i="1"/>
  <c r="F2557" i="1"/>
  <c r="E2557" i="1"/>
  <c r="D2557" i="1"/>
  <c r="C2557" i="1"/>
  <c r="B2557" i="1"/>
  <c r="A2557" i="1"/>
  <c r="R2556" i="1"/>
  <c r="J2556" i="1"/>
  <c r="I2556" i="1"/>
  <c r="G2556" i="1"/>
  <c r="F2556" i="1"/>
  <c r="E2556" i="1"/>
  <c r="D2556" i="1"/>
  <c r="C2556" i="1"/>
  <c r="B2556" i="1"/>
  <c r="A2556" i="1"/>
  <c r="S2555" i="1"/>
  <c r="O2555" i="1"/>
  <c r="K2555" i="1"/>
  <c r="J2555" i="1"/>
  <c r="I2555" i="1"/>
  <c r="H2555" i="1"/>
  <c r="G2555" i="1"/>
  <c r="F2555" i="1"/>
  <c r="E2555" i="1"/>
  <c r="D2555" i="1"/>
  <c r="C2555" i="1"/>
  <c r="B2555" i="1"/>
  <c r="A2555" i="1"/>
  <c r="R2554" i="1"/>
  <c r="J2554" i="1"/>
  <c r="I2554" i="1"/>
  <c r="G2554" i="1"/>
  <c r="F2554" i="1"/>
  <c r="E2554" i="1"/>
  <c r="D2554" i="1"/>
  <c r="C2554" i="1"/>
  <c r="B2554" i="1"/>
  <c r="A2554" i="1"/>
  <c r="S2553" i="1"/>
  <c r="O2553" i="1"/>
  <c r="K2553" i="1"/>
  <c r="J2553" i="1"/>
  <c r="I2553" i="1"/>
  <c r="H2553" i="1"/>
  <c r="G2553" i="1"/>
  <c r="F2553" i="1"/>
  <c r="E2553" i="1"/>
  <c r="D2553" i="1"/>
  <c r="C2553" i="1"/>
  <c r="B2553" i="1"/>
  <c r="A2553" i="1"/>
  <c r="R2552" i="1"/>
  <c r="J2552" i="1"/>
  <c r="I2552" i="1"/>
  <c r="G2552" i="1"/>
  <c r="F2552" i="1"/>
  <c r="E2552" i="1"/>
  <c r="D2552" i="1"/>
  <c r="C2552" i="1"/>
  <c r="B2552" i="1"/>
  <c r="A2552" i="1"/>
  <c r="S2551" i="1"/>
  <c r="O2551" i="1"/>
  <c r="K2551" i="1"/>
  <c r="J2551" i="1"/>
  <c r="I2551" i="1"/>
  <c r="H2551" i="1"/>
  <c r="G2551" i="1"/>
  <c r="F2551" i="1"/>
  <c r="E2551" i="1"/>
  <c r="D2551" i="1"/>
  <c r="C2551" i="1"/>
  <c r="B2551" i="1"/>
  <c r="A2551" i="1"/>
  <c r="R2550" i="1"/>
  <c r="J2550" i="1"/>
  <c r="I2550" i="1"/>
  <c r="G2550" i="1"/>
  <c r="F2550" i="1"/>
  <c r="E2550" i="1"/>
  <c r="D2550" i="1"/>
  <c r="C2550" i="1"/>
  <c r="B2550" i="1"/>
  <c r="A2550" i="1"/>
  <c r="S2549" i="1"/>
  <c r="O2549" i="1"/>
  <c r="K2549" i="1"/>
  <c r="J2549" i="1"/>
  <c r="I2549" i="1"/>
  <c r="H2549" i="1"/>
  <c r="G2549" i="1"/>
  <c r="F2549" i="1"/>
  <c r="E2549" i="1"/>
  <c r="D2549" i="1"/>
  <c r="C2549" i="1"/>
  <c r="B2549" i="1"/>
  <c r="A2549" i="1"/>
  <c r="R2548" i="1"/>
  <c r="J2548" i="1"/>
  <c r="I2548" i="1"/>
  <c r="G2548" i="1"/>
  <c r="F2548" i="1"/>
  <c r="E2548" i="1"/>
  <c r="D2548" i="1"/>
  <c r="C2548" i="1"/>
  <c r="B2548" i="1"/>
  <c r="A2548" i="1"/>
  <c r="S2547" i="1"/>
  <c r="O2547" i="1"/>
  <c r="K2547" i="1"/>
  <c r="J2547" i="1"/>
  <c r="I2547" i="1"/>
  <c r="H2547" i="1"/>
  <c r="G2547" i="1"/>
  <c r="F2547" i="1"/>
  <c r="E2547" i="1"/>
  <c r="D2547" i="1"/>
  <c r="C2547" i="1"/>
  <c r="B2547" i="1"/>
  <c r="A2547" i="1"/>
  <c r="R2546" i="1"/>
  <c r="J2546" i="1"/>
  <c r="I2546" i="1"/>
  <c r="G2546" i="1"/>
  <c r="F2546" i="1"/>
  <c r="E2546" i="1"/>
  <c r="D2546" i="1"/>
  <c r="C2546" i="1"/>
  <c r="B2546" i="1"/>
  <c r="A2546" i="1"/>
  <c r="S2545" i="1"/>
  <c r="O2545" i="1"/>
  <c r="K2545" i="1"/>
  <c r="J2545" i="1"/>
  <c r="I2545" i="1"/>
  <c r="H2545" i="1"/>
  <c r="G2545" i="1"/>
  <c r="F2545" i="1"/>
  <c r="E2545" i="1"/>
  <c r="D2545" i="1"/>
  <c r="C2545" i="1"/>
  <c r="B2545" i="1"/>
  <c r="A2545" i="1"/>
  <c r="R2544" i="1"/>
  <c r="J2544" i="1"/>
  <c r="I2544" i="1"/>
  <c r="G2544" i="1"/>
  <c r="F2544" i="1"/>
  <c r="E2544" i="1"/>
  <c r="D2544" i="1"/>
  <c r="C2544" i="1"/>
  <c r="B2544" i="1"/>
  <c r="A2544" i="1"/>
  <c r="S2543" i="1"/>
  <c r="O2543" i="1"/>
  <c r="K2543" i="1"/>
  <c r="J2543" i="1"/>
  <c r="I2543" i="1"/>
  <c r="H2543" i="1"/>
  <c r="G2543" i="1"/>
  <c r="F2543" i="1"/>
  <c r="E2543" i="1"/>
  <c r="D2543" i="1"/>
  <c r="C2543" i="1"/>
  <c r="B2543" i="1"/>
  <c r="A2543" i="1"/>
  <c r="R2542" i="1"/>
  <c r="J2542" i="1"/>
  <c r="I2542" i="1"/>
  <c r="G2542" i="1"/>
  <c r="F2542" i="1"/>
  <c r="E2542" i="1"/>
  <c r="D2542" i="1"/>
  <c r="C2542" i="1"/>
  <c r="B2542" i="1"/>
  <c r="A2542" i="1"/>
  <c r="S2541" i="1"/>
  <c r="O2541" i="1"/>
  <c r="K2541" i="1"/>
  <c r="J2541" i="1"/>
  <c r="I2541" i="1"/>
  <c r="H2541" i="1"/>
  <c r="G2541" i="1"/>
  <c r="F2541" i="1"/>
  <c r="E2541" i="1"/>
  <c r="D2541" i="1"/>
  <c r="C2541" i="1"/>
  <c r="B2541" i="1"/>
  <c r="A2541" i="1"/>
  <c r="R2540" i="1"/>
  <c r="J2540" i="1"/>
  <c r="I2540" i="1"/>
  <c r="G2540" i="1"/>
  <c r="F2540" i="1"/>
  <c r="E2540" i="1"/>
  <c r="D2540" i="1"/>
  <c r="C2540" i="1"/>
  <c r="B2540" i="1"/>
  <c r="A2540" i="1"/>
  <c r="S2539" i="1"/>
  <c r="O2539" i="1"/>
  <c r="K2539" i="1"/>
  <c r="J2539" i="1"/>
  <c r="I2539" i="1"/>
  <c r="H2539" i="1"/>
  <c r="G2539" i="1"/>
  <c r="F2539" i="1"/>
  <c r="E2539" i="1"/>
  <c r="D2539" i="1"/>
  <c r="C2539" i="1"/>
  <c r="B2539" i="1"/>
  <c r="A2539" i="1"/>
  <c r="R2538" i="1"/>
  <c r="J2538" i="1"/>
  <c r="I2538" i="1"/>
  <c r="G2538" i="1"/>
  <c r="F2538" i="1"/>
  <c r="E2538" i="1"/>
  <c r="D2538" i="1"/>
  <c r="C2538" i="1"/>
  <c r="B2538" i="1"/>
  <c r="A2538" i="1"/>
  <c r="S2537" i="1"/>
  <c r="O2537" i="1"/>
  <c r="K2537" i="1"/>
  <c r="J2537" i="1"/>
  <c r="I2537" i="1"/>
  <c r="H2537" i="1"/>
  <c r="G2537" i="1"/>
  <c r="F2537" i="1"/>
  <c r="E2537" i="1"/>
  <c r="D2537" i="1"/>
  <c r="C2537" i="1"/>
  <c r="B2537" i="1"/>
  <c r="A2537" i="1"/>
  <c r="R2536" i="1"/>
  <c r="J2536" i="1"/>
  <c r="I2536" i="1"/>
  <c r="G2536" i="1"/>
  <c r="F2536" i="1"/>
  <c r="E2536" i="1"/>
  <c r="D2536" i="1"/>
  <c r="C2536" i="1"/>
  <c r="B2536" i="1"/>
  <c r="A2536" i="1"/>
  <c r="S2535" i="1"/>
  <c r="O2535" i="1"/>
  <c r="K2535" i="1"/>
  <c r="J2535" i="1"/>
  <c r="I2535" i="1"/>
  <c r="H2535" i="1"/>
  <c r="G2535" i="1"/>
  <c r="F2535" i="1"/>
  <c r="E2535" i="1"/>
  <c r="D2535" i="1"/>
  <c r="C2535" i="1"/>
  <c r="B2535" i="1"/>
  <c r="A2535" i="1"/>
  <c r="R2534" i="1"/>
  <c r="J2534" i="1"/>
  <c r="I2534" i="1"/>
  <c r="G2534" i="1"/>
  <c r="F2534" i="1"/>
  <c r="E2534" i="1"/>
  <c r="D2534" i="1"/>
  <c r="C2534" i="1"/>
  <c r="B2534" i="1"/>
  <c r="A2534" i="1"/>
  <c r="S2533" i="1"/>
  <c r="O2533" i="1"/>
  <c r="K2533" i="1"/>
  <c r="J2533" i="1"/>
  <c r="I2533" i="1"/>
  <c r="H2533" i="1"/>
  <c r="G2533" i="1"/>
  <c r="F2533" i="1"/>
  <c r="E2533" i="1"/>
  <c r="D2533" i="1"/>
  <c r="C2533" i="1"/>
  <c r="B2533" i="1"/>
  <c r="A2533" i="1"/>
  <c r="R2532" i="1"/>
  <c r="J2532" i="1"/>
  <c r="I2532" i="1"/>
  <c r="G2532" i="1"/>
  <c r="F2532" i="1"/>
  <c r="E2532" i="1"/>
  <c r="D2532" i="1"/>
  <c r="C2532" i="1"/>
  <c r="B2532" i="1"/>
  <c r="A2532" i="1"/>
  <c r="S2531" i="1"/>
  <c r="O2531" i="1"/>
  <c r="K2531" i="1"/>
  <c r="J2531" i="1"/>
  <c r="I2531" i="1"/>
  <c r="H2531" i="1"/>
  <c r="G2531" i="1"/>
  <c r="F2531" i="1"/>
  <c r="E2531" i="1"/>
  <c r="D2531" i="1"/>
  <c r="C2531" i="1"/>
  <c r="B2531" i="1"/>
  <c r="A2531" i="1"/>
  <c r="R2530" i="1"/>
  <c r="J2530" i="1"/>
  <c r="I2530" i="1"/>
  <c r="G2530" i="1"/>
  <c r="F2530" i="1"/>
  <c r="E2530" i="1"/>
  <c r="D2530" i="1"/>
  <c r="C2530" i="1"/>
  <c r="B2530" i="1"/>
  <c r="A2530" i="1"/>
  <c r="S2529" i="1"/>
  <c r="O2529" i="1"/>
  <c r="K2529" i="1"/>
  <c r="J2529" i="1"/>
  <c r="I2529" i="1"/>
  <c r="H2529" i="1"/>
  <c r="G2529" i="1"/>
  <c r="F2529" i="1"/>
  <c r="E2529" i="1"/>
  <c r="D2529" i="1"/>
  <c r="C2529" i="1"/>
  <c r="B2529" i="1"/>
  <c r="A2529" i="1"/>
  <c r="R2528" i="1"/>
  <c r="J2528" i="1"/>
  <c r="I2528" i="1"/>
  <c r="G2528" i="1"/>
  <c r="F2528" i="1"/>
  <c r="E2528" i="1"/>
  <c r="D2528" i="1"/>
  <c r="C2528" i="1"/>
  <c r="B2528" i="1"/>
  <c r="A2528" i="1"/>
  <c r="S2527" i="1"/>
  <c r="O2527" i="1"/>
  <c r="K2527" i="1"/>
  <c r="J2527" i="1"/>
  <c r="I2527" i="1"/>
  <c r="H2527" i="1"/>
  <c r="G2527" i="1"/>
  <c r="F2527" i="1"/>
  <c r="E2527" i="1"/>
  <c r="D2527" i="1"/>
  <c r="C2527" i="1"/>
  <c r="B2527" i="1"/>
  <c r="A2527" i="1"/>
  <c r="R2526" i="1"/>
  <c r="J2526" i="1"/>
  <c r="I2526" i="1"/>
  <c r="G2526" i="1"/>
  <c r="F2526" i="1"/>
  <c r="E2526" i="1"/>
  <c r="D2526" i="1"/>
  <c r="C2526" i="1"/>
  <c r="B2526" i="1"/>
  <c r="A2526" i="1"/>
  <c r="S2525" i="1"/>
  <c r="O2525" i="1"/>
  <c r="K2525" i="1"/>
  <c r="J2525" i="1"/>
  <c r="I2525" i="1"/>
  <c r="H2525" i="1"/>
  <c r="G2525" i="1"/>
  <c r="F2525" i="1"/>
  <c r="E2525" i="1"/>
  <c r="D2525" i="1"/>
  <c r="C2525" i="1"/>
  <c r="B2525" i="1"/>
  <c r="A2525" i="1"/>
  <c r="R2524" i="1"/>
  <c r="J2524" i="1"/>
  <c r="I2524" i="1"/>
  <c r="G2524" i="1"/>
  <c r="F2524" i="1"/>
  <c r="E2524" i="1"/>
  <c r="D2524" i="1"/>
  <c r="C2524" i="1"/>
  <c r="B2524" i="1"/>
  <c r="A2524" i="1"/>
  <c r="S2523" i="1"/>
  <c r="O2523" i="1"/>
  <c r="K2523" i="1"/>
  <c r="J2523" i="1"/>
  <c r="I2523" i="1"/>
  <c r="H2523" i="1"/>
  <c r="G2523" i="1"/>
  <c r="F2523" i="1"/>
  <c r="E2523" i="1"/>
  <c r="D2523" i="1"/>
  <c r="C2523" i="1"/>
  <c r="B2523" i="1"/>
  <c r="A2523" i="1"/>
  <c r="R2522" i="1"/>
  <c r="J2522" i="1"/>
  <c r="I2522" i="1"/>
  <c r="G2522" i="1"/>
  <c r="F2522" i="1"/>
  <c r="E2522" i="1"/>
  <c r="D2522" i="1"/>
  <c r="C2522" i="1"/>
  <c r="B2522" i="1"/>
  <c r="A2522" i="1"/>
  <c r="S2521" i="1"/>
  <c r="O2521" i="1"/>
  <c r="K2521" i="1"/>
  <c r="J2521" i="1"/>
  <c r="I2521" i="1"/>
  <c r="H2521" i="1"/>
  <c r="G2521" i="1"/>
  <c r="F2521" i="1"/>
  <c r="E2521" i="1"/>
  <c r="D2521" i="1"/>
  <c r="C2521" i="1"/>
  <c r="B2521" i="1"/>
  <c r="A2521" i="1"/>
  <c r="R2520" i="1"/>
  <c r="J2520" i="1"/>
  <c r="I2520" i="1"/>
  <c r="G2520" i="1"/>
  <c r="F2520" i="1"/>
  <c r="E2520" i="1"/>
  <c r="D2520" i="1"/>
  <c r="C2520" i="1"/>
  <c r="B2520" i="1"/>
  <c r="A2520" i="1"/>
  <c r="S2519" i="1"/>
  <c r="O2519" i="1"/>
  <c r="K2519" i="1"/>
  <c r="J2519" i="1"/>
  <c r="I2519" i="1"/>
  <c r="H2519" i="1"/>
  <c r="G2519" i="1"/>
  <c r="F2519" i="1"/>
  <c r="E2519" i="1"/>
  <c r="D2519" i="1"/>
  <c r="C2519" i="1"/>
  <c r="B2519" i="1"/>
  <c r="A2519" i="1"/>
  <c r="R2518" i="1"/>
  <c r="J2518" i="1"/>
  <c r="I2518" i="1"/>
  <c r="G2518" i="1"/>
  <c r="F2518" i="1"/>
  <c r="E2518" i="1"/>
  <c r="D2518" i="1"/>
  <c r="C2518" i="1"/>
  <c r="B2518" i="1"/>
  <c r="A2518" i="1"/>
  <c r="S2517" i="1"/>
  <c r="O2517" i="1"/>
  <c r="K2517" i="1"/>
  <c r="J2517" i="1"/>
  <c r="I2517" i="1"/>
  <c r="H2517" i="1"/>
  <c r="G2517" i="1"/>
  <c r="F2517" i="1"/>
  <c r="E2517" i="1"/>
  <c r="D2517" i="1"/>
  <c r="C2517" i="1"/>
  <c r="B2517" i="1"/>
  <c r="A2517" i="1"/>
  <c r="R2516" i="1"/>
  <c r="J2516" i="1"/>
  <c r="I2516" i="1"/>
  <c r="G2516" i="1"/>
  <c r="F2516" i="1"/>
  <c r="E2516" i="1"/>
  <c r="D2516" i="1"/>
  <c r="C2516" i="1"/>
  <c r="B2516" i="1"/>
  <c r="A2516" i="1"/>
  <c r="S2515" i="1"/>
  <c r="O2515" i="1"/>
  <c r="K2515" i="1"/>
  <c r="J2515" i="1"/>
  <c r="I2515" i="1"/>
  <c r="H2515" i="1"/>
  <c r="G2515" i="1"/>
  <c r="F2515" i="1"/>
  <c r="E2515" i="1"/>
  <c r="D2515" i="1"/>
  <c r="C2515" i="1"/>
  <c r="B2515" i="1"/>
  <c r="A2515" i="1"/>
  <c r="R2514" i="1"/>
  <c r="J2514" i="1"/>
  <c r="I2514" i="1"/>
  <c r="G2514" i="1"/>
  <c r="F2514" i="1"/>
  <c r="E2514" i="1"/>
  <c r="D2514" i="1"/>
  <c r="C2514" i="1"/>
  <c r="B2514" i="1"/>
  <c r="A2514" i="1"/>
  <c r="S2513" i="1"/>
  <c r="O2513" i="1"/>
  <c r="K2513" i="1"/>
  <c r="J2513" i="1"/>
  <c r="I2513" i="1"/>
  <c r="H2513" i="1"/>
  <c r="G2513" i="1"/>
  <c r="F2513" i="1"/>
  <c r="E2513" i="1"/>
  <c r="D2513" i="1"/>
  <c r="C2513" i="1"/>
  <c r="B2513" i="1"/>
  <c r="A2513" i="1"/>
  <c r="R2512" i="1"/>
  <c r="J2512" i="1"/>
  <c r="I2512" i="1"/>
  <c r="G2512" i="1"/>
  <c r="F2512" i="1"/>
  <c r="E2512" i="1"/>
  <c r="D2512" i="1"/>
  <c r="C2512" i="1"/>
  <c r="B2512" i="1"/>
  <c r="A2512" i="1"/>
  <c r="R2511" i="1"/>
  <c r="J2511" i="1"/>
  <c r="I2511" i="1"/>
  <c r="G2511" i="1"/>
  <c r="F2511" i="1"/>
  <c r="E2511" i="1"/>
  <c r="D2511" i="1"/>
  <c r="C2511" i="1"/>
  <c r="B2511" i="1"/>
  <c r="A2511" i="1"/>
  <c r="R2510" i="1"/>
  <c r="J2510" i="1"/>
  <c r="I2510" i="1"/>
  <c r="G2510" i="1"/>
  <c r="F2510" i="1"/>
  <c r="E2510" i="1"/>
  <c r="D2510" i="1"/>
  <c r="C2510" i="1"/>
  <c r="B2510" i="1"/>
  <c r="A2510" i="1"/>
  <c r="R2509" i="1"/>
  <c r="J2509" i="1"/>
  <c r="I2509" i="1"/>
  <c r="G2509" i="1"/>
  <c r="F2509" i="1"/>
  <c r="E2509" i="1"/>
  <c r="D2509" i="1"/>
  <c r="C2509" i="1"/>
  <c r="B2509" i="1"/>
  <c r="A2509" i="1"/>
  <c r="S2508" i="1"/>
  <c r="O2508" i="1"/>
  <c r="K2508" i="1"/>
  <c r="J2508" i="1"/>
  <c r="I2508" i="1"/>
  <c r="H2508" i="1"/>
  <c r="G2508" i="1"/>
  <c r="F2508" i="1"/>
  <c r="E2508" i="1"/>
  <c r="D2508" i="1"/>
  <c r="C2508" i="1"/>
  <c r="B2508" i="1"/>
  <c r="A2508" i="1"/>
  <c r="R2507" i="1"/>
  <c r="J2507" i="1"/>
  <c r="I2507" i="1"/>
  <c r="G2507" i="1"/>
  <c r="F2507" i="1"/>
  <c r="E2507" i="1"/>
  <c r="D2507" i="1"/>
  <c r="C2507" i="1"/>
  <c r="B2507" i="1"/>
  <c r="A2507" i="1"/>
  <c r="S2506" i="1"/>
  <c r="O2506" i="1"/>
  <c r="K2506" i="1"/>
  <c r="J2506" i="1"/>
  <c r="I2506" i="1"/>
  <c r="H2506" i="1"/>
  <c r="G2506" i="1"/>
  <c r="F2506" i="1"/>
  <c r="E2506" i="1"/>
  <c r="D2506" i="1"/>
  <c r="C2506" i="1"/>
  <c r="B2506" i="1"/>
  <c r="A2506" i="1"/>
  <c r="R2505" i="1"/>
  <c r="J2505" i="1"/>
  <c r="I2505" i="1"/>
  <c r="G2505" i="1"/>
  <c r="F2505" i="1"/>
  <c r="E2505" i="1"/>
  <c r="D2505" i="1"/>
  <c r="C2505" i="1"/>
  <c r="B2505" i="1"/>
  <c r="A2505" i="1"/>
  <c r="S2504" i="1"/>
  <c r="O2504" i="1"/>
  <c r="K2504" i="1"/>
  <c r="J2504" i="1"/>
  <c r="I2504" i="1"/>
  <c r="H2504" i="1"/>
  <c r="G2504" i="1"/>
  <c r="F2504" i="1"/>
  <c r="E2504" i="1"/>
  <c r="D2504" i="1"/>
  <c r="C2504" i="1"/>
  <c r="B2504" i="1"/>
  <c r="A2504" i="1"/>
  <c r="R2503" i="1"/>
  <c r="J2503" i="1"/>
  <c r="I2503" i="1"/>
  <c r="G2503" i="1"/>
  <c r="F2503" i="1"/>
  <c r="E2503" i="1"/>
  <c r="D2503" i="1"/>
  <c r="C2503" i="1"/>
  <c r="B2503" i="1"/>
  <c r="A2503" i="1"/>
  <c r="S2502" i="1"/>
  <c r="O2502" i="1"/>
  <c r="K2502" i="1"/>
  <c r="J2502" i="1"/>
  <c r="I2502" i="1"/>
  <c r="H2502" i="1"/>
  <c r="G2502" i="1"/>
  <c r="F2502" i="1"/>
  <c r="E2502" i="1"/>
  <c r="D2502" i="1"/>
  <c r="C2502" i="1"/>
  <c r="B2502" i="1"/>
  <c r="A2502" i="1"/>
  <c r="R2501" i="1"/>
  <c r="J2501" i="1"/>
  <c r="I2501" i="1"/>
  <c r="G2501" i="1"/>
  <c r="F2501" i="1"/>
  <c r="E2501" i="1"/>
  <c r="D2501" i="1"/>
  <c r="C2501" i="1"/>
  <c r="B2501" i="1"/>
  <c r="A2501" i="1"/>
  <c r="S2500" i="1"/>
  <c r="O2500" i="1"/>
  <c r="K2500" i="1"/>
  <c r="J2500" i="1"/>
  <c r="I2500" i="1"/>
  <c r="H2500" i="1"/>
  <c r="G2500" i="1"/>
  <c r="F2500" i="1"/>
  <c r="E2500" i="1"/>
  <c r="D2500" i="1"/>
  <c r="C2500" i="1"/>
  <c r="B2500" i="1"/>
  <c r="A2500" i="1"/>
  <c r="R2499" i="1"/>
  <c r="J2499" i="1"/>
  <c r="I2499" i="1"/>
  <c r="G2499" i="1"/>
  <c r="F2499" i="1"/>
  <c r="E2499" i="1"/>
  <c r="D2499" i="1"/>
  <c r="C2499" i="1"/>
  <c r="B2499" i="1"/>
  <c r="A2499" i="1"/>
  <c r="S2498" i="1"/>
  <c r="O2498" i="1"/>
  <c r="K2498" i="1"/>
  <c r="J2498" i="1"/>
  <c r="I2498" i="1"/>
  <c r="H2498" i="1"/>
  <c r="G2498" i="1"/>
  <c r="F2498" i="1"/>
  <c r="E2498" i="1"/>
  <c r="D2498" i="1"/>
  <c r="C2498" i="1"/>
  <c r="B2498" i="1"/>
  <c r="A2498" i="1"/>
  <c r="R2497" i="1"/>
  <c r="J2497" i="1"/>
  <c r="I2497" i="1"/>
  <c r="G2497" i="1"/>
  <c r="F2497" i="1"/>
  <c r="E2497" i="1"/>
  <c r="D2497" i="1"/>
  <c r="C2497" i="1"/>
  <c r="B2497" i="1"/>
  <c r="A2497" i="1"/>
  <c r="R2496" i="1"/>
  <c r="J2496" i="1"/>
  <c r="I2496" i="1"/>
  <c r="G2496" i="1"/>
  <c r="F2496" i="1"/>
  <c r="E2496" i="1"/>
  <c r="D2496" i="1"/>
  <c r="C2496" i="1"/>
  <c r="B2496" i="1"/>
  <c r="A2496" i="1"/>
  <c r="R2495" i="1"/>
  <c r="J2495" i="1"/>
  <c r="I2495" i="1"/>
  <c r="G2495" i="1"/>
  <c r="F2495" i="1"/>
  <c r="E2495" i="1"/>
  <c r="D2495" i="1"/>
  <c r="C2495" i="1"/>
  <c r="B2495" i="1"/>
  <c r="A2495" i="1"/>
  <c r="R2494" i="1"/>
  <c r="J2494" i="1"/>
  <c r="I2494" i="1"/>
  <c r="G2494" i="1"/>
  <c r="F2494" i="1"/>
  <c r="E2494" i="1"/>
  <c r="D2494" i="1"/>
  <c r="C2494" i="1"/>
  <c r="B2494" i="1"/>
  <c r="A2494" i="1"/>
  <c r="S2493" i="1"/>
  <c r="O2493" i="1"/>
  <c r="K2493" i="1"/>
  <c r="J2493" i="1"/>
  <c r="I2493" i="1"/>
  <c r="H2493" i="1"/>
  <c r="G2493" i="1"/>
  <c r="F2493" i="1"/>
  <c r="E2493" i="1"/>
  <c r="D2493" i="1"/>
  <c r="C2493" i="1"/>
  <c r="B2493" i="1"/>
  <c r="A2493" i="1"/>
  <c r="R2492" i="1"/>
  <c r="J2492" i="1"/>
  <c r="I2492" i="1"/>
  <c r="G2492" i="1"/>
  <c r="F2492" i="1"/>
  <c r="E2492" i="1"/>
  <c r="D2492" i="1"/>
  <c r="C2492" i="1"/>
  <c r="B2492" i="1"/>
  <c r="A2492" i="1"/>
  <c r="S2491" i="1"/>
  <c r="O2491" i="1"/>
  <c r="K2491" i="1"/>
  <c r="J2491" i="1"/>
  <c r="I2491" i="1"/>
  <c r="H2491" i="1"/>
  <c r="G2491" i="1"/>
  <c r="F2491" i="1"/>
  <c r="E2491" i="1"/>
  <c r="D2491" i="1"/>
  <c r="C2491" i="1"/>
  <c r="B2491" i="1"/>
  <c r="A2491" i="1"/>
  <c r="R2490" i="1"/>
  <c r="J2490" i="1"/>
  <c r="I2490" i="1"/>
  <c r="G2490" i="1"/>
  <c r="F2490" i="1"/>
  <c r="E2490" i="1"/>
  <c r="D2490" i="1"/>
  <c r="C2490" i="1"/>
  <c r="B2490" i="1"/>
  <c r="A2490" i="1"/>
  <c r="S2489" i="1"/>
  <c r="O2489" i="1"/>
  <c r="K2489" i="1"/>
  <c r="J2489" i="1"/>
  <c r="I2489" i="1"/>
  <c r="H2489" i="1"/>
  <c r="G2489" i="1"/>
  <c r="F2489" i="1"/>
  <c r="E2489" i="1"/>
  <c r="D2489" i="1"/>
  <c r="C2489" i="1"/>
  <c r="B2489" i="1"/>
  <c r="A2489" i="1"/>
  <c r="R2488" i="1"/>
  <c r="J2488" i="1"/>
  <c r="I2488" i="1"/>
  <c r="G2488" i="1"/>
  <c r="F2488" i="1"/>
  <c r="E2488" i="1"/>
  <c r="D2488" i="1"/>
  <c r="C2488" i="1"/>
  <c r="B2488" i="1"/>
  <c r="A2488" i="1"/>
  <c r="S2487" i="1"/>
  <c r="O2487" i="1"/>
  <c r="K2487" i="1"/>
  <c r="J2487" i="1"/>
  <c r="I2487" i="1"/>
  <c r="H2487" i="1"/>
  <c r="G2487" i="1"/>
  <c r="F2487" i="1"/>
  <c r="E2487" i="1"/>
  <c r="D2487" i="1"/>
  <c r="C2487" i="1"/>
  <c r="B2487" i="1"/>
  <c r="A2487" i="1"/>
  <c r="R2486" i="1"/>
  <c r="J2486" i="1"/>
  <c r="I2486" i="1"/>
  <c r="G2486" i="1"/>
  <c r="F2486" i="1"/>
  <c r="E2486" i="1"/>
  <c r="D2486" i="1"/>
  <c r="C2486" i="1"/>
  <c r="B2486" i="1"/>
  <c r="A2486" i="1"/>
  <c r="S2485" i="1"/>
  <c r="O2485" i="1"/>
  <c r="K2485" i="1"/>
  <c r="J2485" i="1"/>
  <c r="I2485" i="1"/>
  <c r="H2485" i="1"/>
  <c r="G2485" i="1"/>
  <c r="F2485" i="1"/>
  <c r="E2485" i="1"/>
  <c r="D2485" i="1"/>
  <c r="C2485" i="1"/>
  <c r="B2485" i="1"/>
  <c r="A2485" i="1"/>
  <c r="R2484" i="1"/>
  <c r="J2484" i="1"/>
  <c r="I2484" i="1"/>
  <c r="G2484" i="1"/>
  <c r="F2484" i="1"/>
  <c r="E2484" i="1"/>
  <c r="D2484" i="1"/>
  <c r="C2484" i="1"/>
  <c r="B2484" i="1"/>
  <c r="A2484" i="1"/>
  <c r="R2483" i="1"/>
  <c r="J2483" i="1"/>
  <c r="I2483" i="1"/>
  <c r="G2483" i="1"/>
  <c r="F2483" i="1"/>
  <c r="E2483" i="1"/>
  <c r="D2483" i="1"/>
  <c r="C2483" i="1"/>
  <c r="B2483" i="1"/>
  <c r="A2483" i="1"/>
  <c r="R2482" i="1"/>
  <c r="J2482" i="1"/>
  <c r="I2482" i="1"/>
  <c r="G2482" i="1"/>
  <c r="F2482" i="1"/>
  <c r="E2482" i="1"/>
  <c r="D2482" i="1"/>
  <c r="C2482" i="1"/>
  <c r="B2482" i="1"/>
  <c r="A2482" i="1"/>
  <c r="S2481" i="1"/>
  <c r="O2481" i="1"/>
  <c r="K2481" i="1"/>
  <c r="J2481" i="1"/>
  <c r="I2481" i="1"/>
  <c r="H2481" i="1"/>
  <c r="G2481" i="1"/>
  <c r="F2481" i="1"/>
  <c r="E2481" i="1"/>
  <c r="D2481" i="1"/>
  <c r="C2481" i="1"/>
  <c r="B2481" i="1"/>
  <c r="A2481" i="1"/>
  <c r="R2480" i="1"/>
  <c r="J2480" i="1"/>
  <c r="I2480" i="1"/>
  <c r="G2480" i="1"/>
  <c r="F2480" i="1"/>
  <c r="E2480" i="1"/>
  <c r="D2480" i="1"/>
  <c r="C2480" i="1"/>
  <c r="B2480" i="1"/>
  <c r="A2480" i="1"/>
  <c r="S2479" i="1"/>
  <c r="O2479" i="1"/>
  <c r="K2479" i="1"/>
  <c r="J2479" i="1"/>
  <c r="I2479" i="1"/>
  <c r="H2479" i="1"/>
  <c r="G2479" i="1"/>
  <c r="F2479" i="1"/>
  <c r="E2479" i="1"/>
  <c r="D2479" i="1"/>
  <c r="C2479" i="1"/>
  <c r="B2479" i="1"/>
  <c r="A2479" i="1"/>
  <c r="R2478" i="1"/>
  <c r="J2478" i="1"/>
  <c r="I2478" i="1"/>
  <c r="G2478" i="1"/>
  <c r="F2478" i="1"/>
  <c r="E2478" i="1"/>
  <c r="D2478" i="1"/>
  <c r="C2478" i="1"/>
  <c r="B2478" i="1"/>
  <c r="A2478" i="1"/>
  <c r="R2477" i="1"/>
  <c r="J2477" i="1"/>
  <c r="I2477" i="1"/>
  <c r="G2477" i="1"/>
  <c r="F2477" i="1"/>
  <c r="E2477" i="1"/>
  <c r="D2477" i="1"/>
  <c r="C2477" i="1"/>
  <c r="B2477" i="1"/>
  <c r="A2477" i="1"/>
  <c r="R2476" i="1"/>
  <c r="J2476" i="1"/>
  <c r="I2476" i="1"/>
  <c r="G2476" i="1"/>
  <c r="F2476" i="1"/>
  <c r="E2476" i="1"/>
  <c r="D2476" i="1"/>
  <c r="C2476" i="1"/>
  <c r="B2476" i="1"/>
  <c r="A2476" i="1"/>
  <c r="R2475" i="1"/>
  <c r="J2475" i="1"/>
  <c r="I2475" i="1"/>
  <c r="G2475" i="1"/>
  <c r="F2475" i="1"/>
  <c r="E2475" i="1"/>
  <c r="D2475" i="1"/>
  <c r="C2475" i="1"/>
  <c r="B2475" i="1"/>
  <c r="A2475" i="1"/>
  <c r="S2474" i="1"/>
  <c r="O2474" i="1"/>
  <c r="K2474" i="1"/>
  <c r="J2474" i="1"/>
  <c r="I2474" i="1"/>
  <c r="H2474" i="1"/>
  <c r="G2474" i="1"/>
  <c r="F2474" i="1"/>
  <c r="E2474" i="1"/>
  <c r="D2474" i="1"/>
  <c r="C2474" i="1"/>
  <c r="B2474" i="1"/>
  <c r="A2474" i="1"/>
  <c r="R2473" i="1"/>
  <c r="J2473" i="1"/>
  <c r="I2473" i="1"/>
  <c r="G2473" i="1"/>
  <c r="F2473" i="1"/>
  <c r="E2473" i="1"/>
  <c r="D2473" i="1"/>
  <c r="C2473" i="1"/>
  <c r="B2473" i="1"/>
  <c r="A2473" i="1"/>
  <c r="S2472" i="1"/>
  <c r="O2472" i="1"/>
  <c r="K2472" i="1"/>
  <c r="J2472" i="1"/>
  <c r="I2472" i="1"/>
  <c r="H2472" i="1"/>
  <c r="G2472" i="1"/>
  <c r="F2472" i="1"/>
  <c r="E2472" i="1"/>
  <c r="D2472" i="1"/>
  <c r="C2472" i="1"/>
  <c r="B2472" i="1"/>
  <c r="A2472" i="1"/>
  <c r="R2471" i="1"/>
  <c r="J2471" i="1"/>
  <c r="I2471" i="1"/>
  <c r="G2471" i="1"/>
  <c r="F2471" i="1"/>
  <c r="E2471" i="1"/>
  <c r="D2471" i="1"/>
  <c r="C2471" i="1"/>
  <c r="B2471" i="1"/>
  <c r="A2471" i="1"/>
  <c r="S2470" i="1"/>
  <c r="O2470" i="1"/>
  <c r="K2470" i="1"/>
  <c r="J2470" i="1"/>
  <c r="I2470" i="1"/>
  <c r="H2470" i="1"/>
  <c r="G2470" i="1"/>
  <c r="F2470" i="1"/>
  <c r="E2470" i="1"/>
  <c r="D2470" i="1"/>
  <c r="C2470" i="1"/>
  <c r="B2470" i="1"/>
  <c r="A2470" i="1"/>
  <c r="R2469" i="1"/>
  <c r="J2469" i="1"/>
  <c r="I2469" i="1"/>
  <c r="G2469" i="1"/>
  <c r="F2469" i="1"/>
  <c r="E2469" i="1"/>
  <c r="D2469" i="1"/>
  <c r="C2469" i="1"/>
  <c r="B2469" i="1"/>
  <c r="A2469" i="1"/>
  <c r="S2468" i="1"/>
  <c r="O2468" i="1"/>
  <c r="K2468" i="1"/>
  <c r="J2468" i="1"/>
  <c r="I2468" i="1"/>
  <c r="H2468" i="1"/>
  <c r="G2468" i="1"/>
  <c r="F2468" i="1"/>
  <c r="E2468" i="1"/>
  <c r="D2468" i="1"/>
  <c r="C2468" i="1"/>
  <c r="B2468" i="1"/>
  <c r="A2468" i="1"/>
  <c r="R2467" i="1"/>
  <c r="J2467" i="1"/>
  <c r="I2467" i="1"/>
  <c r="G2467" i="1"/>
  <c r="F2467" i="1"/>
  <c r="E2467" i="1"/>
  <c r="D2467" i="1"/>
  <c r="C2467" i="1"/>
  <c r="B2467" i="1"/>
  <c r="A2467" i="1"/>
  <c r="S2466" i="1"/>
  <c r="O2466" i="1"/>
  <c r="K2466" i="1"/>
  <c r="J2466" i="1"/>
  <c r="I2466" i="1"/>
  <c r="H2466" i="1"/>
  <c r="G2466" i="1"/>
  <c r="F2466" i="1"/>
  <c r="E2466" i="1"/>
  <c r="D2466" i="1"/>
  <c r="C2466" i="1"/>
  <c r="B2466" i="1"/>
  <c r="A2466" i="1"/>
  <c r="R2465" i="1"/>
  <c r="J2465" i="1"/>
  <c r="I2465" i="1"/>
  <c r="G2465" i="1"/>
  <c r="F2465" i="1"/>
  <c r="E2465" i="1"/>
  <c r="D2465" i="1"/>
  <c r="C2465" i="1"/>
  <c r="B2465" i="1"/>
  <c r="A2465" i="1"/>
  <c r="S2464" i="1"/>
  <c r="O2464" i="1"/>
  <c r="K2464" i="1"/>
  <c r="J2464" i="1"/>
  <c r="I2464" i="1"/>
  <c r="H2464" i="1"/>
  <c r="G2464" i="1"/>
  <c r="F2464" i="1"/>
  <c r="E2464" i="1"/>
  <c r="D2464" i="1"/>
  <c r="C2464" i="1"/>
  <c r="B2464" i="1"/>
  <c r="A2464" i="1"/>
  <c r="R2463" i="1"/>
  <c r="J2463" i="1"/>
  <c r="I2463" i="1"/>
  <c r="G2463" i="1"/>
  <c r="F2463" i="1"/>
  <c r="E2463" i="1"/>
  <c r="D2463" i="1"/>
  <c r="C2463" i="1"/>
  <c r="B2463" i="1"/>
  <c r="A2463" i="1"/>
  <c r="S2462" i="1"/>
  <c r="O2462" i="1"/>
  <c r="K2462" i="1"/>
  <c r="J2462" i="1"/>
  <c r="I2462" i="1"/>
  <c r="H2462" i="1"/>
  <c r="G2462" i="1"/>
  <c r="F2462" i="1"/>
  <c r="E2462" i="1"/>
  <c r="D2462" i="1"/>
  <c r="C2462" i="1"/>
  <c r="B2462" i="1"/>
  <c r="A2462" i="1"/>
  <c r="R2461" i="1"/>
  <c r="J2461" i="1"/>
  <c r="I2461" i="1"/>
  <c r="G2461" i="1"/>
  <c r="F2461" i="1"/>
  <c r="E2461" i="1"/>
  <c r="D2461" i="1"/>
  <c r="C2461" i="1"/>
  <c r="B2461" i="1"/>
  <c r="A2461" i="1"/>
  <c r="S2460" i="1"/>
  <c r="O2460" i="1"/>
  <c r="K2460" i="1"/>
  <c r="J2460" i="1"/>
  <c r="I2460" i="1"/>
  <c r="H2460" i="1"/>
  <c r="G2460" i="1"/>
  <c r="F2460" i="1"/>
  <c r="E2460" i="1"/>
  <c r="D2460" i="1"/>
  <c r="C2460" i="1"/>
  <c r="B2460" i="1"/>
  <c r="A2460" i="1"/>
  <c r="R2459" i="1"/>
  <c r="J2459" i="1"/>
  <c r="I2459" i="1"/>
  <c r="G2459" i="1"/>
  <c r="F2459" i="1"/>
  <c r="E2459" i="1"/>
  <c r="D2459" i="1"/>
  <c r="C2459" i="1"/>
  <c r="B2459" i="1"/>
  <c r="A2459" i="1"/>
  <c r="R2458" i="1"/>
  <c r="J2458" i="1"/>
  <c r="I2458" i="1"/>
  <c r="G2458" i="1"/>
  <c r="F2458" i="1"/>
  <c r="E2458" i="1"/>
  <c r="D2458" i="1"/>
  <c r="C2458" i="1"/>
  <c r="B2458" i="1"/>
  <c r="A2458" i="1"/>
  <c r="S2457" i="1"/>
  <c r="O2457" i="1"/>
  <c r="K2457" i="1"/>
  <c r="J2457" i="1"/>
  <c r="I2457" i="1"/>
  <c r="H2457" i="1"/>
  <c r="G2457" i="1"/>
  <c r="F2457" i="1"/>
  <c r="E2457" i="1"/>
  <c r="D2457" i="1"/>
  <c r="C2457" i="1"/>
  <c r="B2457" i="1"/>
  <c r="A2457" i="1"/>
  <c r="R2456" i="1"/>
  <c r="J2456" i="1"/>
  <c r="I2456" i="1"/>
  <c r="G2456" i="1"/>
  <c r="F2456" i="1"/>
  <c r="E2456" i="1"/>
  <c r="D2456" i="1"/>
  <c r="C2456" i="1"/>
  <c r="B2456" i="1"/>
  <c r="A2456" i="1"/>
  <c r="R2455" i="1"/>
  <c r="J2455" i="1"/>
  <c r="I2455" i="1"/>
  <c r="G2455" i="1"/>
  <c r="F2455" i="1"/>
  <c r="E2455" i="1"/>
  <c r="D2455" i="1"/>
  <c r="C2455" i="1"/>
  <c r="B2455" i="1"/>
  <c r="A2455" i="1"/>
  <c r="S2454" i="1"/>
  <c r="O2454" i="1"/>
  <c r="K2454" i="1"/>
  <c r="J2454" i="1"/>
  <c r="I2454" i="1"/>
  <c r="H2454" i="1"/>
  <c r="G2454" i="1"/>
  <c r="F2454" i="1"/>
  <c r="E2454" i="1"/>
  <c r="D2454" i="1"/>
  <c r="C2454" i="1"/>
  <c r="B2454" i="1"/>
  <c r="A2454" i="1"/>
  <c r="R2453" i="1"/>
  <c r="J2453" i="1"/>
  <c r="I2453" i="1"/>
  <c r="G2453" i="1"/>
  <c r="F2453" i="1"/>
  <c r="E2453" i="1"/>
  <c r="D2453" i="1"/>
  <c r="C2453" i="1"/>
  <c r="B2453" i="1"/>
  <c r="A2453" i="1"/>
  <c r="S2452" i="1"/>
  <c r="O2452" i="1"/>
  <c r="K2452" i="1"/>
  <c r="J2452" i="1"/>
  <c r="I2452" i="1"/>
  <c r="H2452" i="1"/>
  <c r="G2452" i="1"/>
  <c r="F2452" i="1"/>
  <c r="E2452" i="1"/>
  <c r="D2452" i="1"/>
  <c r="C2452" i="1"/>
  <c r="B2452" i="1"/>
  <c r="A2452" i="1"/>
  <c r="R2451" i="1"/>
  <c r="J2451" i="1"/>
  <c r="I2451" i="1"/>
  <c r="G2451" i="1"/>
  <c r="F2451" i="1"/>
  <c r="E2451" i="1"/>
  <c r="D2451" i="1"/>
  <c r="C2451" i="1"/>
  <c r="B2451" i="1"/>
  <c r="A2451" i="1"/>
  <c r="R2450" i="1"/>
  <c r="J2450" i="1"/>
  <c r="I2450" i="1"/>
  <c r="G2450" i="1"/>
  <c r="F2450" i="1"/>
  <c r="E2450" i="1"/>
  <c r="D2450" i="1"/>
  <c r="C2450" i="1"/>
  <c r="B2450" i="1"/>
  <c r="A2450" i="1"/>
  <c r="S2449" i="1"/>
  <c r="O2449" i="1"/>
  <c r="K2449" i="1"/>
  <c r="J2449" i="1"/>
  <c r="I2449" i="1"/>
  <c r="H2449" i="1"/>
  <c r="G2449" i="1"/>
  <c r="F2449" i="1"/>
  <c r="E2449" i="1"/>
  <c r="D2449" i="1"/>
  <c r="C2449" i="1"/>
  <c r="B2449" i="1"/>
  <c r="A2449" i="1"/>
  <c r="R2448" i="1"/>
  <c r="J2448" i="1"/>
  <c r="I2448" i="1"/>
  <c r="G2448" i="1"/>
  <c r="F2448" i="1"/>
  <c r="E2448" i="1"/>
  <c r="D2448" i="1"/>
  <c r="C2448" i="1"/>
  <c r="B2448" i="1"/>
  <c r="A2448" i="1"/>
  <c r="S2447" i="1"/>
  <c r="O2447" i="1"/>
  <c r="K2447" i="1"/>
  <c r="J2447" i="1"/>
  <c r="I2447" i="1"/>
  <c r="H2447" i="1"/>
  <c r="G2447" i="1"/>
  <c r="F2447" i="1"/>
  <c r="E2447" i="1"/>
  <c r="D2447" i="1"/>
  <c r="C2447" i="1"/>
  <c r="B2447" i="1"/>
  <c r="A2447" i="1"/>
  <c r="R2446" i="1"/>
  <c r="J2446" i="1"/>
  <c r="I2446" i="1"/>
  <c r="G2446" i="1"/>
  <c r="F2446" i="1"/>
  <c r="E2446" i="1"/>
  <c r="D2446" i="1"/>
  <c r="C2446" i="1"/>
  <c r="B2446" i="1"/>
  <c r="A2446" i="1"/>
  <c r="S2445" i="1"/>
  <c r="O2445" i="1"/>
  <c r="K2445" i="1"/>
  <c r="J2445" i="1"/>
  <c r="I2445" i="1"/>
  <c r="H2445" i="1"/>
  <c r="G2445" i="1"/>
  <c r="F2445" i="1"/>
  <c r="E2445" i="1"/>
  <c r="D2445" i="1"/>
  <c r="C2445" i="1"/>
  <c r="B2445" i="1"/>
  <c r="A2445" i="1"/>
  <c r="R2444" i="1"/>
  <c r="J2444" i="1"/>
  <c r="I2444" i="1"/>
  <c r="G2444" i="1"/>
  <c r="F2444" i="1"/>
  <c r="E2444" i="1"/>
  <c r="D2444" i="1"/>
  <c r="C2444" i="1"/>
  <c r="B2444" i="1"/>
  <c r="A2444" i="1"/>
  <c r="R2443" i="1"/>
  <c r="J2443" i="1"/>
  <c r="I2443" i="1"/>
  <c r="G2443" i="1"/>
  <c r="F2443" i="1"/>
  <c r="E2443" i="1"/>
  <c r="D2443" i="1"/>
  <c r="C2443" i="1"/>
  <c r="B2443" i="1"/>
  <c r="A2443" i="1"/>
  <c r="S2442" i="1"/>
  <c r="O2442" i="1"/>
  <c r="K2442" i="1"/>
  <c r="J2442" i="1"/>
  <c r="I2442" i="1"/>
  <c r="H2442" i="1"/>
  <c r="G2442" i="1"/>
  <c r="F2442" i="1"/>
  <c r="E2442" i="1"/>
  <c r="D2442" i="1"/>
  <c r="C2442" i="1"/>
  <c r="B2442" i="1"/>
  <c r="A2442" i="1"/>
  <c r="R2441" i="1"/>
  <c r="J2441" i="1"/>
  <c r="I2441" i="1"/>
  <c r="G2441" i="1"/>
  <c r="F2441" i="1"/>
  <c r="E2441" i="1"/>
  <c r="D2441" i="1"/>
  <c r="C2441" i="1"/>
  <c r="B2441" i="1"/>
  <c r="A2441" i="1"/>
  <c r="S2440" i="1"/>
  <c r="O2440" i="1"/>
  <c r="K2440" i="1"/>
  <c r="J2440" i="1"/>
  <c r="I2440" i="1"/>
  <c r="H2440" i="1"/>
  <c r="G2440" i="1"/>
  <c r="F2440" i="1"/>
  <c r="E2440" i="1"/>
  <c r="D2440" i="1"/>
  <c r="C2440" i="1"/>
  <c r="B2440" i="1"/>
  <c r="A2440" i="1"/>
  <c r="R2439" i="1"/>
  <c r="J2439" i="1"/>
  <c r="I2439" i="1"/>
  <c r="G2439" i="1"/>
  <c r="F2439" i="1"/>
  <c r="E2439" i="1"/>
  <c r="D2439" i="1"/>
  <c r="C2439" i="1"/>
  <c r="B2439" i="1"/>
  <c r="A2439" i="1"/>
  <c r="S2438" i="1"/>
  <c r="O2438" i="1"/>
  <c r="K2438" i="1"/>
  <c r="J2438" i="1"/>
  <c r="I2438" i="1"/>
  <c r="H2438" i="1"/>
  <c r="G2438" i="1"/>
  <c r="F2438" i="1"/>
  <c r="E2438" i="1"/>
  <c r="D2438" i="1"/>
  <c r="C2438" i="1"/>
  <c r="B2438" i="1"/>
  <c r="A2438" i="1"/>
  <c r="R2437" i="1"/>
  <c r="J2437" i="1"/>
  <c r="I2437" i="1"/>
  <c r="G2437" i="1"/>
  <c r="F2437" i="1"/>
  <c r="E2437" i="1"/>
  <c r="D2437" i="1"/>
  <c r="C2437" i="1"/>
  <c r="B2437" i="1"/>
  <c r="A2437" i="1"/>
  <c r="S2436" i="1"/>
  <c r="O2436" i="1"/>
  <c r="K2436" i="1"/>
  <c r="J2436" i="1"/>
  <c r="I2436" i="1"/>
  <c r="H2436" i="1"/>
  <c r="G2436" i="1"/>
  <c r="F2436" i="1"/>
  <c r="E2436" i="1"/>
  <c r="D2436" i="1"/>
  <c r="C2436" i="1"/>
  <c r="B2436" i="1"/>
  <c r="A2436" i="1"/>
  <c r="R2435" i="1"/>
  <c r="J2435" i="1"/>
  <c r="I2435" i="1"/>
  <c r="G2435" i="1"/>
  <c r="F2435" i="1"/>
  <c r="E2435" i="1"/>
  <c r="D2435" i="1"/>
  <c r="C2435" i="1"/>
  <c r="B2435" i="1"/>
  <c r="A2435" i="1"/>
  <c r="S2434" i="1"/>
  <c r="O2434" i="1"/>
  <c r="K2434" i="1"/>
  <c r="J2434" i="1"/>
  <c r="I2434" i="1"/>
  <c r="H2434" i="1"/>
  <c r="G2434" i="1"/>
  <c r="F2434" i="1"/>
  <c r="E2434" i="1"/>
  <c r="D2434" i="1"/>
  <c r="C2434" i="1"/>
  <c r="B2434" i="1"/>
  <c r="A2434" i="1"/>
  <c r="R2433" i="1"/>
  <c r="J2433" i="1"/>
  <c r="I2433" i="1"/>
  <c r="G2433" i="1"/>
  <c r="F2433" i="1"/>
  <c r="E2433" i="1"/>
  <c r="D2433" i="1"/>
  <c r="C2433" i="1"/>
  <c r="B2433" i="1"/>
  <c r="A2433" i="1"/>
  <c r="S2432" i="1"/>
  <c r="O2432" i="1"/>
  <c r="K2432" i="1"/>
  <c r="J2432" i="1"/>
  <c r="I2432" i="1"/>
  <c r="H2432" i="1"/>
  <c r="G2432" i="1"/>
  <c r="F2432" i="1"/>
  <c r="E2432" i="1"/>
  <c r="D2432" i="1"/>
  <c r="C2432" i="1"/>
  <c r="B2432" i="1"/>
  <c r="A2432" i="1"/>
  <c r="R2431" i="1"/>
  <c r="J2431" i="1"/>
  <c r="I2431" i="1"/>
  <c r="G2431" i="1"/>
  <c r="F2431" i="1"/>
  <c r="E2431" i="1"/>
  <c r="D2431" i="1"/>
  <c r="C2431" i="1"/>
  <c r="B2431" i="1"/>
  <c r="A2431" i="1"/>
  <c r="S2430" i="1"/>
  <c r="O2430" i="1"/>
  <c r="K2430" i="1"/>
  <c r="J2430" i="1"/>
  <c r="I2430" i="1"/>
  <c r="H2430" i="1"/>
  <c r="G2430" i="1"/>
  <c r="F2430" i="1"/>
  <c r="E2430" i="1"/>
  <c r="D2430" i="1"/>
  <c r="C2430" i="1"/>
  <c r="B2430" i="1"/>
  <c r="A2430" i="1"/>
  <c r="R2429" i="1"/>
  <c r="J2429" i="1"/>
  <c r="I2429" i="1"/>
  <c r="G2429" i="1"/>
  <c r="F2429" i="1"/>
  <c r="E2429" i="1"/>
  <c r="D2429" i="1"/>
  <c r="C2429" i="1"/>
  <c r="B2429" i="1"/>
  <c r="A2429" i="1"/>
  <c r="S2428" i="1"/>
  <c r="O2428" i="1"/>
  <c r="K2428" i="1"/>
  <c r="J2428" i="1"/>
  <c r="I2428" i="1"/>
  <c r="H2428" i="1"/>
  <c r="G2428" i="1"/>
  <c r="F2428" i="1"/>
  <c r="E2428" i="1"/>
  <c r="D2428" i="1"/>
  <c r="C2428" i="1"/>
  <c r="B2428" i="1"/>
  <c r="A2428" i="1"/>
  <c r="R2427" i="1"/>
  <c r="J2427" i="1"/>
  <c r="I2427" i="1"/>
  <c r="G2427" i="1"/>
  <c r="F2427" i="1"/>
  <c r="E2427" i="1"/>
  <c r="D2427" i="1"/>
  <c r="C2427" i="1"/>
  <c r="B2427" i="1"/>
  <c r="A2427" i="1"/>
  <c r="S2426" i="1"/>
  <c r="O2426" i="1"/>
  <c r="K2426" i="1"/>
  <c r="J2426" i="1"/>
  <c r="I2426" i="1"/>
  <c r="H2426" i="1"/>
  <c r="G2426" i="1"/>
  <c r="F2426" i="1"/>
  <c r="E2426" i="1"/>
  <c r="D2426" i="1"/>
  <c r="C2426" i="1"/>
  <c r="B2426" i="1"/>
  <c r="A2426" i="1"/>
  <c r="R2425" i="1"/>
  <c r="J2425" i="1"/>
  <c r="I2425" i="1"/>
  <c r="G2425" i="1"/>
  <c r="F2425" i="1"/>
  <c r="E2425" i="1"/>
  <c r="D2425" i="1"/>
  <c r="C2425" i="1"/>
  <c r="B2425" i="1"/>
  <c r="A2425" i="1"/>
  <c r="S2424" i="1"/>
  <c r="O2424" i="1"/>
  <c r="K2424" i="1"/>
  <c r="J2424" i="1"/>
  <c r="I2424" i="1"/>
  <c r="H2424" i="1"/>
  <c r="G2424" i="1"/>
  <c r="F2424" i="1"/>
  <c r="E2424" i="1"/>
  <c r="D2424" i="1"/>
  <c r="C2424" i="1"/>
  <c r="B2424" i="1"/>
  <c r="A2424" i="1"/>
  <c r="R2423" i="1"/>
  <c r="J2423" i="1"/>
  <c r="I2423" i="1"/>
  <c r="G2423" i="1"/>
  <c r="F2423" i="1"/>
  <c r="E2423" i="1"/>
  <c r="D2423" i="1"/>
  <c r="C2423" i="1"/>
  <c r="B2423" i="1"/>
  <c r="A2423" i="1"/>
  <c r="R2422" i="1"/>
  <c r="J2422" i="1"/>
  <c r="I2422" i="1"/>
  <c r="G2422" i="1"/>
  <c r="F2422" i="1"/>
  <c r="E2422" i="1"/>
  <c r="D2422" i="1"/>
  <c r="C2422" i="1"/>
  <c r="B2422" i="1"/>
  <c r="A2422" i="1"/>
  <c r="S2421" i="1"/>
  <c r="O2421" i="1"/>
  <c r="K2421" i="1"/>
  <c r="J2421" i="1"/>
  <c r="I2421" i="1"/>
  <c r="H2421" i="1"/>
  <c r="G2421" i="1"/>
  <c r="F2421" i="1"/>
  <c r="E2421" i="1"/>
  <c r="D2421" i="1"/>
  <c r="C2421" i="1"/>
  <c r="B2421" i="1"/>
  <c r="A2421" i="1"/>
  <c r="R2420" i="1"/>
  <c r="J2420" i="1"/>
  <c r="I2420" i="1"/>
  <c r="G2420" i="1"/>
  <c r="F2420" i="1"/>
  <c r="E2420" i="1"/>
  <c r="D2420" i="1"/>
  <c r="C2420" i="1"/>
  <c r="B2420" i="1"/>
  <c r="A2420" i="1"/>
  <c r="S2419" i="1"/>
  <c r="O2419" i="1"/>
  <c r="K2419" i="1"/>
  <c r="J2419" i="1"/>
  <c r="I2419" i="1"/>
  <c r="H2419" i="1"/>
  <c r="G2419" i="1"/>
  <c r="F2419" i="1"/>
  <c r="E2419" i="1"/>
  <c r="D2419" i="1"/>
  <c r="C2419" i="1"/>
  <c r="B2419" i="1"/>
  <c r="A2419" i="1"/>
  <c r="R2418" i="1"/>
  <c r="J2418" i="1"/>
  <c r="I2418" i="1"/>
  <c r="G2418" i="1"/>
  <c r="F2418" i="1"/>
  <c r="E2418" i="1"/>
  <c r="D2418" i="1"/>
  <c r="C2418" i="1"/>
  <c r="B2418" i="1"/>
  <c r="A2418" i="1"/>
  <c r="S2417" i="1"/>
  <c r="O2417" i="1"/>
  <c r="K2417" i="1"/>
  <c r="J2417" i="1"/>
  <c r="I2417" i="1"/>
  <c r="H2417" i="1"/>
  <c r="G2417" i="1"/>
  <c r="F2417" i="1"/>
  <c r="E2417" i="1"/>
  <c r="D2417" i="1"/>
  <c r="C2417" i="1"/>
  <c r="B2417" i="1"/>
  <c r="A2417" i="1"/>
  <c r="R2416" i="1"/>
  <c r="J2416" i="1"/>
  <c r="I2416" i="1"/>
  <c r="G2416" i="1"/>
  <c r="F2416" i="1"/>
  <c r="E2416" i="1"/>
  <c r="D2416" i="1"/>
  <c r="C2416" i="1"/>
  <c r="B2416" i="1"/>
  <c r="A2416" i="1"/>
  <c r="S2415" i="1"/>
  <c r="O2415" i="1"/>
  <c r="K2415" i="1"/>
  <c r="J2415" i="1"/>
  <c r="I2415" i="1"/>
  <c r="H2415" i="1"/>
  <c r="G2415" i="1"/>
  <c r="F2415" i="1"/>
  <c r="E2415" i="1"/>
  <c r="D2415" i="1"/>
  <c r="C2415" i="1"/>
  <c r="B2415" i="1"/>
  <c r="A2415" i="1"/>
  <c r="R2414" i="1"/>
  <c r="J2414" i="1"/>
  <c r="I2414" i="1"/>
  <c r="G2414" i="1"/>
  <c r="F2414" i="1"/>
  <c r="E2414" i="1"/>
  <c r="D2414" i="1"/>
  <c r="C2414" i="1"/>
  <c r="B2414" i="1"/>
  <c r="A2414" i="1"/>
  <c r="S2413" i="1"/>
  <c r="O2413" i="1"/>
  <c r="K2413" i="1"/>
  <c r="J2413" i="1"/>
  <c r="I2413" i="1"/>
  <c r="H2413" i="1"/>
  <c r="G2413" i="1"/>
  <c r="F2413" i="1"/>
  <c r="E2413" i="1"/>
  <c r="D2413" i="1"/>
  <c r="C2413" i="1"/>
  <c r="B2413" i="1"/>
  <c r="A2413" i="1"/>
  <c r="R2412" i="1"/>
  <c r="J2412" i="1"/>
  <c r="I2412" i="1"/>
  <c r="G2412" i="1"/>
  <c r="F2412" i="1"/>
  <c r="E2412" i="1"/>
  <c r="D2412" i="1"/>
  <c r="C2412" i="1"/>
  <c r="B2412" i="1"/>
  <c r="A2412" i="1"/>
  <c r="R2411" i="1"/>
  <c r="J2411" i="1"/>
  <c r="I2411" i="1"/>
  <c r="G2411" i="1"/>
  <c r="F2411" i="1"/>
  <c r="E2411" i="1"/>
  <c r="D2411" i="1"/>
  <c r="C2411" i="1"/>
  <c r="B2411" i="1"/>
  <c r="A2411" i="1"/>
  <c r="S2410" i="1"/>
  <c r="O2410" i="1"/>
  <c r="K2410" i="1"/>
  <c r="J2410" i="1"/>
  <c r="I2410" i="1"/>
  <c r="H2410" i="1"/>
  <c r="G2410" i="1"/>
  <c r="F2410" i="1"/>
  <c r="E2410" i="1"/>
  <c r="D2410" i="1"/>
  <c r="C2410" i="1"/>
  <c r="B2410" i="1"/>
  <c r="A2410" i="1"/>
  <c r="R2409" i="1"/>
  <c r="J2409" i="1"/>
  <c r="I2409" i="1"/>
  <c r="G2409" i="1"/>
  <c r="F2409" i="1"/>
  <c r="E2409" i="1"/>
  <c r="D2409" i="1"/>
  <c r="C2409" i="1"/>
  <c r="B2409" i="1"/>
  <c r="A2409" i="1"/>
  <c r="S2408" i="1"/>
  <c r="O2408" i="1"/>
  <c r="K2408" i="1"/>
  <c r="J2408" i="1"/>
  <c r="I2408" i="1"/>
  <c r="H2408" i="1"/>
  <c r="G2408" i="1"/>
  <c r="F2408" i="1"/>
  <c r="E2408" i="1"/>
  <c r="D2408" i="1"/>
  <c r="C2408" i="1"/>
  <c r="B2408" i="1"/>
  <c r="A2408" i="1"/>
  <c r="R2407" i="1"/>
  <c r="J2407" i="1"/>
  <c r="I2407" i="1"/>
  <c r="G2407" i="1"/>
  <c r="F2407" i="1"/>
  <c r="E2407" i="1"/>
  <c r="D2407" i="1"/>
  <c r="C2407" i="1"/>
  <c r="B2407" i="1"/>
  <c r="A2407" i="1"/>
  <c r="R2406" i="1"/>
  <c r="J2406" i="1"/>
  <c r="I2406" i="1"/>
  <c r="G2406" i="1"/>
  <c r="F2406" i="1"/>
  <c r="E2406" i="1"/>
  <c r="D2406" i="1"/>
  <c r="C2406" i="1"/>
  <c r="B2406" i="1"/>
  <c r="A2406" i="1"/>
  <c r="S2405" i="1"/>
  <c r="O2405" i="1"/>
  <c r="K2405" i="1"/>
  <c r="J2405" i="1"/>
  <c r="I2405" i="1"/>
  <c r="H2405" i="1"/>
  <c r="G2405" i="1"/>
  <c r="F2405" i="1"/>
  <c r="E2405" i="1"/>
  <c r="D2405" i="1"/>
  <c r="C2405" i="1"/>
  <c r="B2405" i="1"/>
  <c r="A2405" i="1"/>
  <c r="R2404" i="1"/>
  <c r="J2404" i="1"/>
  <c r="I2404" i="1"/>
  <c r="G2404" i="1"/>
  <c r="F2404" i="1"/>
  <c r="E2404" i="1"/>
  <c r="D2404" i="1"/>
  <c r="C2404" i="1"/>
  <c r="B2404" i="1"/>
  <c r="A2404" i="1"/>
  <c r="S2403" i="1"/>
  <c r="O2403" i="1"/>
  <c r="K2403" i="1"/>
  <c r="J2403" i="1"/>
  <c r="I2403" i="1"/>
  <c r="H2403" i="1"/>
  <c r="G2403" i="1"/>
  <c r="F2403" i="1"/>
  <c r="E2403" i="1"/>
  <c r="D2403" i="1"/>
  <c r="C2403" i="1"/>
  <c r="B2403" i="1"/>
  <c r="A2403" i="1"/>
  <c r="R2402" i="1"/>
  <c r="J2402" i="1"/>
  <c r="I2402" i="1"/>
  <c r="G2402" i="1"/>
  <c r="F2402" i="1"/>
  <c r="E2402" i="1"/>
  <c r="D2402" i="1"/>
  <c r="C2402" i="1"/>
  <c r="B2402" i="1"/>
  <c r="A2402" i="1"/>
  <c r="S2401" i="1"/>
  <c r="O2401" i="1"/>
  <c r="K2401" i="1"/>
  <c r="J2401" i="1"/>
  <c r="I2401" i="1"/>
  <c r="H2401" i="1"/>
  <c r="G2401" i="1"/>
  <c r="F2401" i="1"/>
  <c r="E2401" i="1"/>
  <c r="D2401" i="1"/>
  <c r="C2401" i="1"/>
  <c r="B2401" i="1"/>
  <c r="A2401" i="1"/>
  <c r="R2400" i="1"/>
  <c r="J2400" i="1"/>
  <c r="I2400" i="1"/>
  <c r="G2400" i="1"/>
  <c r="F2400" i="1"/>
  <c r="E2400" i="1"/>
  <c r="D2400" i="1"/>
  <c r="C2400" i="1"/>
  <c r="B2400" i="1"/>
  <c r="A2400" i="1"/>
  <c r="R2399" i="1"/>
  <c r="J2399" i="1"/>
  <c r="I2399" i="1"/>
  <c r="G2399" i="1"/>
  <c r="F2399" i="1"/>
  <c r="E2399" i="1"/>
  <c r="D2399" i="1"/>
  <c r="C2399" i="1"/>
  <c r="B2399" i="1"/>
  <c r="A2399" i="1"/>
  <c r="S2398" i="1"/>
  <c r="O2398" i="1"/>
  <c r="K2398" i="1"/>
  <c r="J2398" i="1"/>
  <c r="I2398" i="1"/>
  <c r="H2398" i="1"/>
  <c r="G2398" i="1"/>
  <c r="F2398" i="1"/>
  <c r="E2398" i="1"/>
  <c r="D2398" i="1"/>
  <c r="C2398" i="1"/>
  <c r="B2398" i="1"/>
  <c r="A2398" i="1"/>
  <c r="R2397" i="1"/>
  <c r="J2397" i="1"/>
  <c r="I2397" i="1"/>
  <c r="G2397" i="1"/>
  <c r="F2397" i="1"/>
  <c r="E2397" i="1"/>
  <c r="D2397" i="1"/>
  <c r="C2397" i="1"/>
  <c r="B2397" i="1"/>
  <c r="A2397" i="1"/>
  <c r="S2396" i="1"/>
  <c r="O2396" i="1"/>
  <c r="K2396" i="1"/>
  <c r="J2396" i="1"/>
  <c r="I2396" i="1"/>
  <c r="H2396" i="1"/>
  <c r="G2396" i="1"/>
  <c r="F2396" i="1"/>
  <c r="E2396" i="1"/>
  <c r="D2396" i="1"/>
  <c r="C2396" i="1"/>
  <c r="B2396" i="1"/>
  <c r="A2396" i="1"/>
  <c r="R2395" i="1"/>
  <c r="J2395" i="1"/>
  <c r="I2395" i="1"/>
  <c r="G2395" i="1"/>
  <c r="F2395" i="1"/>
  <c r="E2395" i="1"/>
  <c r="D2395" i="1"/>
  <c r="C2395" i="1"/>
  <c r="B2395" i="1"/>
  <c r="A2395" i="1"/>
  <c r="S2394" i="1"/>
  <c r="O2394" i="1"/>
  <c r="K2394" i="1"/>
  <c r="J2394" i="1"/>
  <c r="I2394" i="1"/>
  <c r="H2394" i="1"/>
  <c r="G2394" i="1"/>
  <c r="F2394" i="1"/>
  <c r="E2394" i="1"/>
  <c r="D2394" i="1"/>
  <c r="C2394" i="1"/>
  <c r="B2394" i="1"/>
  <c r="A2394" i="1"/>
  <c r="R2393" i="1"/>
  <c r="J2393" i="1"/>
  <c r="I2393" i="1"/>
  <c r="G2393" i="1"/>
  <c r="F2393" i="1"/>
  <c r="E2393" i="1"/>
  <c r="D2393" i="1"/>
  <c r="C2393" i="1"/>
  <c r="B2393" i="1"/>
  <c r="A2393" i="1"/>
  <c r="R2392" i="1"/>
  <c r="J2392" i="1"/>
  <c r="I2392" i="1"/>
  <c r="G2392" i="1"/>
  <c r="F2392" i="1"/>
  <c r="E2392" i="1"/>
  <c r="D2392" i="1"/>
  <c r="C2392" i="1"/>
  <c r="B2392" i="1"/>
  <c r="A2392" i="1"/>
  <c r="S2391" i="1"/>
  <c r="O2391" i="1"/>
  <c r="K2391" i="1"/>
  <c r="J2391" i="1"/>
  <c r="I2391" i="1"/>
  <c r="H2391" i="1"/>
  <c r="G2391" i="1"/>
  <c r="F2391" i="1"/>
  <c r="E2391" i="1"/>
  <c r="D2391" i="1"/>
  <c r="C2391" i="1"/>
  <c r="B2391" i="1"/>
  <c r="A2391" i="1"/>
  <c r="R2390" i="1"/>
  <c r="J2390" i="1"/>
  <c r="I2390" i="1"/>
  <c r="G2390" i="1"/>
  <c r="F2390" i="1"/>
  <c r="E2390" i="1"/>
  <c r="D2390" i="1"/>
  <c r="C2390" i="1"/>
  <c r="B2390" i="1"/>
  <c r="A2390" i="1"/>
  <c r="S2389" i="1"/>
  <c r="O2389" i="1"/>
  <c r="K2389" i="1"/>
  <c r="J2389" i="1"/>
  <c r="I2389" i="1"/>
  <c r="H2389" i="1"/>
  <c r="G2389" i="1"/>
  <c r="F2389" i="1"/>
  <c r="E2389" i="1"/>
  <c r="D2389" i="1"/>
  <c r="C2389" i="1"/>
  <c r="B2389" i="1"/>
  <c r="A2389" i="1"/>
  <c r="R2388" i="1"/>
  <c r="J2388" i="1"/>
  <c r="I2388" i="1"/>
  <c r="G2388" i="1"/>
  <c r="F2388" i="1"/>
  <c r="E2388" i="1"/>
  <c r="D2388" i="1"/>
  <c r="C2388" i="1"/>
  <c r="B2388" i="1"/>
  <c r="A2388" i="1"/>
  <c r="S2387" i="1"/>
  <c r="O2387" i="1"/>
  <c r="K2387" i="1"/>
  <c r="J2387" i="1"/>
  <c r="I2387" i="1"/>
  <c r="H2387" i="1"/>
  <c r="G2387" i="1"/>
  <c r="F2387" i="1"/>
  <c r="E2387" i="1"/>
  <c r="D2387" i="1"/>
  <c r="C2387" i="1"/>
  <c r="B2387" i="1"/>
  <c r="A2387" i="1"/>
  <c r="R2386" i="1"/>
  <c r="J2386" i="1"/>
  <c r="I2386" i="1"/>
  <c r="G2386" i="1"/>
  <c r="F2386" i="1"/>
  <c r="E2386" i="1"/>
  <c r="D2386" i="1"/>
  <c r="C2386" i="1"/>
  <c r="B2386" i="1"/>
  <c r="A2386" i="1"/>
  <c r="S2385" i="1"/>
  <c r="O2385" i="1"/>
  <c r="K2385" i="1"/>
  <c r="J2385" i="1"/>
  <c r="I2385" i="1"/>
  <c r="H2385" i="1"/>
  <c r="G2385" i="1"/>
  <c r="F2385" i="1"/>
  <c r="E2385" i="1"/>
  <c r="D2385" i="1"/>
  <c r="C2385" i="1"/>
  <c r="B2385" i="1"/>
  <c r="A2385" i="1"/>
  <c r="R2384" i="1"/>
  <c r="J2384" i="1"/>
  <c r="I2384" i="1"/>
  <c r="G2384" i="1"/>
  <c r="F2384" i="1"/>
  <c r="E2384" i="1"/>
  <c r="D2384" i="1"/>
  <c r="C2384" i="1"/>
  <c r="B2384" i="1"/>
  <c r="A2384" i="1"/>
  <c r="S2383" i="1"/>
  <c r="O2383" i="1"/>
  <c r="K2383" i="1"/>
  <c r="J2383" i="1"/>
  <c r="I2383" i="1"/>
  <c r="H2383" i="1"/>
  <c r="G2383" i="1"/>
  <c r="F2383" i="1"/>
  <c r="E2383" i="1"/>
  <c r="D2383" i="1"/>
  <c r="C2383" i="1"/>
  <c r="B2383" i="1"/>
  <c r="A2383" i="1"/>
  <c r="R2382" i="1"/>
  <c r="J2382" i="1"/>
  <c r="I2382" i="1"/>
  <c r="G2382" i="1"/>
  <c r="F2382" i="1"/>
  <c r="E2382" i="1"/>
  <c r="D2382" i="1"/>
  <c r="C2382" i="1"/>
  <c r="B2382" i="1"/>
  <c r="A2382" i="1"/>
  <c r="S2381" i="1"/>
  <c r="O2381" i="1"/>
  <c r="K2381" i="1"/>
  <c r="J2381" i="1"/>
  <c r="I2381" i="1"/>
  <c r="H2381" i="1"/>
  <c r="G2381" i="1"/>
  <c r="F2381" i="1"/>
  <c r="E2381" i="1"/>
  <c r="D2381" i="1"/>
  <c r="C2381" i="1"/>
  <c r="B2381" i="1"/>
  <c r="A2381" i="1"/>
  <c r="R2380" i="1"/>
  <c r="J2380" i="1"/>
  <c r="I2380" i="1"/>
  <c r="G2380" i="1"/>
  <c r="F2380" i="1"/>
  <c r="E2380" i="1"/>
  <c r="D2380" i="1"/>
  <c r="C2380" i="1"/>
  <c r="B2380" i="1"/>
  <c r="A2380" i="1"/>
  <c r="S2379" i="1"/>
  <c r="O2379" i="1"/>
  <c r="K2379" i="1"/>
  <c r="J2379" i="1"/>
  <c r="I2379" i="1"/>
  <c r="H2379" i="1"/>
  <c r="G2379" i="1"/>
  <c r="F2379" i="1"/>
  <c r="E2379" i="1"/>
  <c r="D2379" i="1"/>
  <c r="C2379" i="1"/>
  <c r="B2379" i="1"/>
  <c r="A2379" i="1"/>
  <c r="R2378" i="1"/>
  <c r="J2378" i="1"/>
  <c r="I2378" i="1"/>
  <c r="G2378" i="1"/>
  <c r="F2378" i="1"/>
  <c r="E2378" i="1"/>
  <c r="D2378" i="1"/>
  <c r="C2378" i="1"/>
  <c r="B2378" i="1"/>
  <c r="A2378" i="1"/>
  <c r="S2377" i="1"/>
  <c r="O2377" i="1"/>
  <c r="K2377" i="1"/>
  <c r="J2377" i="1"/>
  <c r="I2377" i="1"/>
  <c r="H2377" i="1"/>
  <c r="G2377" i="1"/>
  <c r="F2377" i="1"/>
  <c r="E2377" i="1"/>
  <c r="D2377" i="1"/>
  <c r="C2377" i="1"/>
  <c r="B2377" i="1"/>
  <c r="A2377" i="1"/>
  <c r="R2376" i="1"/>
  <c r="J2376" i="1"/>
  <c r="I2376" i="1"/>
  <c r="G2376" i="1"/>
  <c r="F2376" i="1"/>
  <c r="E2376" i="1"/>
  <c r="D2376" i="1"/>
  <c r="C2376" i="1"/>
  <c r="B2376" i="1"/>
  <c r="A2376" i="1"/>
  <c r="R2375" i="1"/>
  <c r="J2375" i="1"/>
  <c r="I2375" i="1"/>
  <c r="G2375" i="1"/>
  <c r="F2375" i="1"/>
  <c r="E2375" i="1"/>
  <c r="D2375" i="1"/>
  <c r="C2375" i="1"/>
  <c r="B2375" i="1"/>
  <c r="A2375" i="1"/>
  <c r="S2374" i="1"/>
  <c r="O2374" i="1"/>
  <c r="K2374" i="1"/>
  <c r="J2374" i="1"/>
  <c r="I2374" i="1"/>
  <c r="H2374" i="1"/>
  <c r="G2374" i="1"/>
  <c r="F2374" i="1"/>
  <c r="E2374" i="1"/>
  <c r="D2374" i="1"/>
  <c r="C2374" i="1"/>
  <c r="B2374" i="1"/>
  <c r="A2374" i="1"/>
  <c r="R2373" i="1"/>
  <c r="J2373" i="1"/>
  <c r="I2373" i="1"/>
  <c r="G2373" i="1"/>
  <c r="F2373" i="1"/>
  <c r="E2373" i="1"/>
  <c r="D2373" i="1"/>
  <c r="C2373" i="1"/>
  <c r="B2373" i="1"/>
  <c r="A2373" i="1"/>
  <c r="S2372" i="1"/>
  <c r="O2372" i="1"/>
  <c r="K2372" i="1"/>
  <c r="J2372" i="1"/>
  <c r="I2372" i="1"/>
  <c r="H2372" i="1"/>
  <c r="G2372" i="1"/>
  <c r="F2372" i="1"/>
  <c r="E2372" i="1"/>
  <c r="D2372" i="1"/>
  <c r="C2372" i="1"/>
  <c r="B2372" i="1"/>
  <c r="A2372" i="1"/>
  <c r="R2371" i="1"/>
  <c r="J2371" i="1"/>
  <c r="I2371" i="1"/>
  <c r="G2371" i="1"/>
  <c r="F2371" i="1"/>
  <c r="E2371" i="1"/>
  <c r="D2371" i="1"/>
  <c r="C2371" i="1"/>
  <c r="B2371" i="1"/>
  <c r="A2371" i="1"/>
  <c r="S2370" i="1"/>
  <c r="O2370" i="1"/>
  <c r="K2370" i="1"/>
  <c r="J2370" i="1"/>
  <c r="I2370" i="1"/>
  <c r="H2370" i="1"/>
  <c r="G2370" i="1"/>
  <c r="F2370" i="1"/>
  <c r="E2370" i="1"/>
  <c r="D2370" i="1"/>
  <c r="C2370" i="1"/>
  <c r="B2370" i="1"/>
  <c r="A2370" i="1"/>
  <c r="R2369" i="1"/>
  <c r="J2369" i="1"/>
  <c r="I2369" i="1"/>
  <c r="G2369" i="1"/>
  <c r="F2369" i="1"/>
  <c r="E2369" i="1"/>
  <c r="D2369" i="1"/>
  <c r="C2369" i="1"/>
  <c r="B2369" i="1"/>
  <c r="A2369" i="1"/>
  <c r="S2368" i="1"/>
  <c r="O2368" i="1"/>
  <c r="K2368" i="1"/>
  <c r="J2368" i="1"/>
  <c r="I2368" i="1"/>
  <c r="H2368" i="1"/>
  <c r="G2368" i="1"/>
  <c r="F2368" i="1"/>
  <c r="E2368" i="1"/>
  <c r="D2368" i="1"/>
  <c r="C2368" i="1"/>
  <c r="B2368" i="1"/>
  <c r="A2368" i="1"/>
  <c r="R2367" i="1"/>
  <c r="J2367" i="1"/>
  <c r="I2367" i="1"/>
  <c r="G2367" i="1"/>
  <c r="F2367" i="1"/>
  <c r="E2367" i="1"/>
  <c r="D2367" i="1"/>
  <c r="C2367" i="1"/>
  <c r="B2367" i="1"/>
  <c r="A2367" i="1"/>
  <c r="S2366" i="1"/>
  <c r="O2366" i="1"/>
  <c r="K2366" i="1"/>
  <c r="J2366" i="1"/>
  <c r="I2366" i="1"/>
  <c r="H2366" i="1"/>
  <c r="G2366" i="1"/>
  <c r="F2366" i="1"/>
  <c r="E2366" i="1"/>
  <c r="D2366" i="1"/>
  <c r="C2366" i="1"/>
  <c r="B2366" i="1"/>
  <c r="A2366" i="1"/>
  <c r="R2365" i="1"/>
  <c r="J2365" i="1"/>
  <c r="I2365" i="1"/>
  <c r="G2365" i="1"/>
  <c r="F2365" i="1"/>
  <c r="E2365" i="1"/>
  <c r="D2365" i="1"/>
  <c r="C2365" i="1"/>
  <c r="B2365" i="1"/>
  <c r="A2365" i="1"/>
  <c r="S2364" i="1"/>
  <c r="O2364" i="1"/>
  <c r="K2364" i="1"/>
  <c r="J2364" i="1"/>
  <c r="I2364" i="1"/>
  <c r="H2364" i="1"/>
  <c r="G2364" i="1"/>
  <c r="F2364" i="1"/>
  <c r="E2364" i="1"/>
  <c r="D2364" i="1"/>
  <c r="C2364" i="1"/>
  <c r="B2364" i="1"/>
  <c r="A2364" i="1"/>
  <c r="R2363" i="1"/>
  <c r="J2363" i="1"/>
  <c r="I2363" i="1"/>
  <c r="G2363" i="1"/>
  <c r="F2363" i="1"/>
  <c r="E2363" i="1"/>
  <c r="D2363" i="1"/>
  <c r="C2363" i="1"/>
  <c r="B2363" i="1"/>
  <c r="A2363" i="1"/>
  <c r="S2362" i="1"/>
  <c r="O2362" i="1"/>
  <c r="K2362" i="1"/>
  <c r="J2362" i="1"/>
  <c r="I2362" i="1"/>
  <c r="H2362" i="1"/>
  <c r="G2362" i="1"/>
  <c r="F2362" i="1"/>
  <c r="E2362" i="1"/>
  <c r="D2362" i="1"/>
  <c r="C2362" i="1"/>
  <c r="B2362" i="1"/>
  <c r="A2362" i="1"/>
  <c r="R2361" i="1"/>
  <c r="J2361" i="1"/>
  <c r="I2361" i="1"/>
  <c r="G2361" i="1"/>
  <c r="F2361" i="1"/>
  <c r="E2361" i="1"/>
  <c r="D2361" i="1"/>
  <c r="C2361" i="1"/>
  <c r="B2361" i="1"/>
  <c r="A2361" i="1"/>
  <c r="S2360" i="1"/>
  <c r="O2360" i="1"/>
  <c r="K2360" i="1"/>
  <c r="J2360" i="1"/>
  <c r="I2360" i="1"/>
  <c r="H2360" i="1"/>
  <c r="G2360" i="1"/>
  <c r="F2360" i="1"/>
  <c r="E2360" i="1"/>
  <c r="D2360" i="1"/>
  <c r="C2360" i="1"/>
  <c r="B2360" i="1"/>
  <c r="A2360" i="1"/>
  <c r="R2359" i="1"/>
  <c r="J2359" i="1"/>
  <c r="I2359" i="1"/>
  <c r="G2359" i="1"/>
  <c r="F2359" i="1"/>
  <c r="E2359" i="1"/>
  <c r="D2359" i="1"/>
  <c r="C2359" i="1"/>
  <c r="B2359" i="1"/>
  <c r="A2359" i="1"/>
  <c r="S2358" i="1"/>
  <c r="O2358" i="1"/>
  <c r="K2358" i="1"/>
  <c r="J2358" i="1"/>
  <c r="I2358" i="1"/>
  <c r="H2358" i="1"/>
  <c r="G2358" i="1"/>
  <c r="F2358" i="1"/>
  <c r="E2358" i="1"/>
  <c r="D2358" i="1"/>
  <c r="C2358" i="1"/>
  <c r="B2358" i="1"/>
  <c r="A2358" i="1"/>
  <c r="R2357" i="1"/>
  <c r="J2357" i="1"/>
  <c r="I2357" i="1"/>
  <c r="G2357" i="1"/>
  <c r="F2357" i="1"/>
  <c r="E2357" i="1"/>
  <c r="D2357" i="1"/>
  <c r="C2357" i="1"/>
  <c r="B2357" i="1"/>
  <c r="A2357" i="1"/>
  <c r="S2356" i="1"/>
  <c r="O2356" i="1"/>
  <c r="K2356" i="1"/>
  <c r="J2356" i="1"/>
  <c r="I2356" i="1"/>
  <c r="H2356" i="1"/>
  <c r="G2356" i="1"/>
  <c r="F2356" i="1"/>
  <c r="E2356" i="1"/>
  <c r="D2356" i="1"/>
  <c r="C2356" i="1"/>
  <c r="B2356" i="1"/>
  <c r="A2356" i="1"/>
  <c r="R2355" i="1"/>
  <c r="J2355" i="1"/>
  <c r="I2355" i="1"/>
  <c r="G2355" i="1"/>
  <c r="F2355" i="1"/>
  <c r="E2355" i="1"/>
  <c r="D2355" i="1"/>
  <c r="C2355" i="1"/>
  <c r="B2355" i="1"/>
  <c r="A2355" i="1"/>
  <c r="S2354" i="1"/>
  <c r="O2354" i="1"/>
  <c r="K2354" i="1"/>
  <c r="J2354" i="1"/>
  <c r="I2354" i="1"/>
  <c r="H2354" i="1"/>
  <c r="G2354" i="1"/>
  <c r="F2354" i="1"/>
  <c r="E2354" i="1"/>
  <c r="D2354" i="1"/>
  <c r="C2354" i="1"/>
  <c r="B2354" i="1"/>
  <c r="A2354" i="1"/>
  <c r="R2353" i="1"/>
  <c r="J2353" i="1"/>
  <c r="I2353" i="1"/>
  <c r="G2353" i="1"/>
  <c r="F2353" i="1"/>
  <c r="E2353" i="1"/>
  <c r="D2353" i="1"/>
  <c r="C2353" i="1"/>
  <c r="B2353" i="1"/>
  <c r="A2353" i="1"/>
  <c r="S2352" i="1"/>
  <c r="O2352" i="1"/>
  <c r="K2352" i="1"/>
  <c r="J2352" i="1"/>
  <c r="I2352" i="1"/>
  <c r="H2352" i="1"/>
  <c r="G2352" i="1"/>
  <c r="F2352" i="1"/>
  <c r="E2352" i="1"/>
  <c r="D2352" i="1"/>
  <c r="C2352" i="1"/>
  <c r="B2352" i="1"/>
  <c r="A2352" i="1"/>
  <c r="R2351" i="1"/>
  <c r="J2351" i="1"/>
  <c r="I2351" i="1"/>
  <c r="G2351" i="1"/>
  <c r="F2351" i="1"/>
  <c r="E2351" i="1"/>
  <c r="D2351" i="1"/>
  <c r="C2351" i="1"/>
  <c r="B2351" i="1"/>
  <c r="A2351" i="1"/>
  <c r="S2350" i="1"/>
  <c r="O2350" i="1"/>
  <c r="K2350" i="1"/>
  <c r="J2350" i="1"/>
  <c r="I2350" i="1"/>
  <c r="H2350" i="1"/>
  <c r="G2350" i="1"/>
  <c r="F2350" i="1"/>
  <c r="E2350" i="1"/>
  <c r="D2350" i="1"/>
  <c r="C2350" i="1"/>
  <c r="B2350" i="1"/>
  <c r="A2350" i="1"/>
  <c r="R2349" i="1"/>
  <c r="J2349" i="1"/>
  <c r="I2349" i="1"/>
  <c r="G2349" i="1"/>
  <c r="F2349" i="1"/>
  <c r="E2349" i="1"/>
  <c r="D2349" i="1"/>
  <c r="C2349" i="1"/>
  <c r="B2349" i="1"/>
  <c r="A2349" i="1"/>
  <c r="R2348" i="1"/>
  <c r="J2348" i="1"/>
  <c r="I2348" i="1"/>
  <c r="G2348" i="1"/>
  <c r="F2348" i="1"/>
  <c r="E2348" i="1"/>
  <c r="D2348" i="1"/>
  <c r="C2348" i="1"/>
  <c r="B2348" i="1"/>
  <c r="A2348" i="1"/>
  <c r="S2347" i="1"/>
  <c r="O2347" i="1"/>
  <c r="K2347" i="1"/>
  <c r="J2347" i="1"/>
  <c r="I2347" i="1"/>
  <c r="H2347" i="1"/>
  <c r="G2347" i="1"/>
  <c r="F2347" i="1"/>
  <c r="E2347" i="1"/>
  <c r="D2347" i="1"/>
  <c r="C2347" i="1"/>
  <c r="B2347" i="1"/>
  <c r="A2347" i="1"/>
  <c r="R2346" i="1"/>
  <c r="J2346" i="1"/>
  <c r="I2346" i="1"/>
  <c r="G2346" i="1"/>
  <c r="F2346" i="1"/>
  <c r="E2346" i="1"/>
  <c r="D2346" i="1"/>
  <c r="C2346" i="1"/>
  <c r="B2346" i="1"/>
  <c r="A2346" i="1"/>
  <c r="R2345" i="1"/>
  <c r="J2345" i="1"/>
  <c r="I2345" i="1"/>
  <c r="G2345" i="1"/>
  <c r="F2345" i="1"/>
  <c r="E2345" i="1"/>
  <c r="D2345" i="1"/>
  <c r="C2345" i="1"/>
  <c r="B2345" i="1"/>
  <c r="A2345" i="1"/>
  <c r="S2344" i="1"/>
  <c r="O2344" i="1"/>
  <c r="K2344" i="1"/>
  <c r="J2344" i="1"/>
  <c r="I2344" i="1"/>
  <c r="H2344" i="1"/>
  <c r="G2344" i="1"/>
  <c r="F2344" i="1"/>
  <c r="E2344" i="1"/>
  <c r="D2344" i="1"/>
  <c r="C2344" i="1"/>
  <c r="B2344" i="1"/>
  <c r="A2344" i="1"/>
  <c r="R2343" i="1"/>
  <c r="J2343" i="1"/>
  <c r="I2343" i="1"/>
  <c r="G2343" i="1"/>
  <c r="F2343" i="1"/>
  <c r="E2343" i="1"/>
  <c r="D2343" i="1"/>
  <c r="C2343" i="1"/>
  <c r="B2343" i="1"/>
  <c r="A2343" i="1"/>
  <c r="S2342" i="1"/>
  <c r="O2342" i="1"/>
  <c r="K2342" i="1"/>
  <c r="J2342" i="1"/>
  <c r="I2342" i="1"/>
  <c r="H2342" i="1"/>
  <c r="G2342" i="1"/>
  <c r="F2342" i="1"/>
  <c r="E2342" i="1"/>
  <c r="D2342" i="1"/>
  <c r="C2342" i="1"/>
  <c r="B2342" i="1"/>
  <c r="A2342" i="1"/>
  <c r="R2341" i="1"/>
  <c r="J2341" i="1"/>
  <c r="I2341" i="1"/>
  <c r="G2341" i="1"/>
  <c r="F2341" i="1"/>
  <c r="E2341" i="1"/>
  <c r="D2341" i="1"/>
  <c r="C2341" i="1"/>
  <c r="B2341" i="1"/>
  <c r="A2341" i="1"/>
  <c r="S2340" i="1"/>
  <c r="O2340" i="1"/>
  <c r="K2340" i="1"/>
  <c r="J2340" i="1"/>
  <c r="I2340" i="1"/>
  <c r="H2340" i="1"/>
  <c r="G2340" i="1"/>
  <c r="F2340" i="1"/>
  <c r="E2340" i="1"/>
  <c r="D2340" i="1"/>
  <c r="C2340" i="1"/>
  <c r="B2340" i="1"/>
  <c r="A2340" i="1"/>
  <c r="R2339" i="1"/>
  <c r="J2339" i="1"/>
  <c r="I2339" i="1"/>
  <c r="G2339" i="1"/>
  <c r="F2339" i="1"/>
  <c r="E2339" i="1"/>
  <c r="D2339" i="1"/>
  <c r="C2339" i="1"/>
  <c r="B2339" i="1"/>
  <c r="A2339" i="1"/>
  <c r="R2338" i="1"/>
  <c r="J2338" i="1"/>
  <c r="I2338" i="1"/>
  <c r="G2338" i="1"/>
  <c r="F2338" i="1"/>
  <c r="E2338" i="1"/>
  <c r="D2338" i="1"/>
  <c r="C2338" i="1"/>
  <c r="B2338" i="1"/>
  <c r="A2338" i="1"/>
  <c r="S2337" i="1"/>
  <c r="O2337" i="1"/>
  <c r="K2337" i="1"/>
  <c r="J2337" i="1"/>
  <c r="I2337" i="1"/>
  <c r="H2337" i="1"/>
  <c r="G2337" i="1"/>
  <c r="F2337" i="1"/>
  <c r="E2337" i="1"/>
  <c r="D2337" i="1"/>
  <c r="C2337" i="1"/>
  <c r="B2337" i="1"/>
  <c r="A2337" i="1"/>
  <c r="R2336" i="1"/>
  <c r="J2336" i="1"/>
  <c r="I2336" i="1"/>
  <c r="G2336" i="1"/>
  <c r="F2336" i="1"/>
  <c r="E2336" i="1"/>
  <c r="D2336" i="1"/>
  <c r="C2336" i="1"/>
  <c r="B2336" i="1"/>
  <c r="A2336" i="1"/>
  <c r="R2335" i="1"/>
  <c r="J2335" i="1"/>
  <c r="I2335" i="1"/>
  <c r="G2335" i="1"/>
  <c r="F2335" i="1"/>
  <c r="E2335" i="1"/>
  <c r="D2335" i="1"/>
  <c r="C2335" i="1"/>
  <c r="B2335" i="1"/>
  <c r="A2335" i="1"/>
  <c r="S2334" i="1"/>
  <c r="O2334" i="1"/>
  <c r="K2334" i="1"/>
  <c r="J2334" i="1"/>
  <c r="I2334" i="1"/>
  <c r="H2334" i="1"/>
  <c r="G2334" i="1"/>
  <c r="F2334" i="1"/>
  <c r="E2334" i="1"/>
  <c r="D2334" i="1"/>
  <c r="C2334" i="1"/>
  <c r="B2334" i="1"/>
  <c r="A2334" i="1"/>
  <c r="R2333" i="1"/>
  <c r="J2333" i="1"/>
  <c r="I2333" i="1"/>
  <c r="G2333" i="1"/>
  <c r="F2333" i="1"/>
  <c r="E2333" i="1"/>
  <c r="D2333" i="1"/>
  <c r="C2333" i="1"/>
  <c r="B2333" i="1"/>
  <c r="A2333" i="1"/>
  <c r="S2332" i="1"/>
  <c r="O2332" i="1"/>
  <c r="K2332" i="1"/>
  <c r="J2332" i="1"/>
  <c r="I2332" i="1"/>
  <c r="H2332" i="1"/>
  <c r="G2332" i="1"/>
  <c r="F2332" i="1"/>
  <c r="E2332" i="1"/>
  <c r="D2332" i="1"/>
  <c r="C2332" i="1"/>
  <c r="B2332" i="1"/>
  <c r="A2332" i="1"/>
  <c r="R2331" i="1"/>
  <c r="J2331" i="1"/>
  <c r="I2331" i="1"/>
  <c r="G2331" i="1"/>
  <c r="F2331" i="1"/>
  <c r="E2331" i="1"/>
  <c r="D2331" i="1"/>
  <c r="C2331" i="1"/>
  <c r="B2331" i="1"/>
  <c r="A2331" i="1"/>
  <c r="S2330" i="1"/>
  <c r="O2330" i="1"/>
  <c r="K2330" i="1"/>
  <c r="J2330" i="1"/>
  <c r="I2330" i="1"/>
  <c r="H2330" i="1"/>
  <c r="G2330" i="1"/>
  <c r="F2330" i="1"/>
  <c r="E2330" i="1"/>
  <c r="D2330" i="1"/>
  <c r="C2330" i="1"/>
  <c r="B2330" i="1"/>
  <c r="A2330" i="1"/>
  <c r="R2329" i="1"/>
  <c r="J2329" i="1"/>
  <c r="I2329" i="1"/>
  <c r="G2329" i="1"/>
  <c r="F2329" i="1"/>
  <c r="E2329" i="1"/>
  <c r="D2329" i="1"/>
  <c r="C2329" i="1"/>
  <c r="B2329" i="1"/>
  <c r="A2329" i="1"/>
  <c r="R2328" i="1"/>
  <c r="J2328" i="1"/>
  <c r="I2328" i="1"/>
  <c r="G2328" i="1"/>
  <c r="F2328" i="1"/>
  <c r="E2328" i="1"/>
  <c r="D2328" i="1"/>
  <c r="C2328" i="1"/>
  <c r="B2328" i="1"/>
  <c r="A2328" i="1"/>
  <c r="S2327" i="1"/>
  <c r="O2327" i="1"/>
  <c r="K2327" i="1"/>
  <c r="J2327" i="1"/>
  <c r="I2327" i="1"/>
  <c r="H2327" i="1"/>
  <c r="G2327" i="1"/>
  <c r="F2327" i="1"/>
  <c r="E2327" i="1"/>
  <c r="D2327" i="1"/>
  <c r="C2327" i="1"/>
  <c r="B2327" i="1"/>
  <c r="A2327" i="1"/>
  <c r="R2326" i="1"/>
  <c r="J2326" i="1"/>
  <c r="I2326" i="1"/>
  <c r="G2326" i="1"/>
  <c r="F2326" i="1"/>
  <c r="E2326" i="1"/>
  <c r="D2326" i="1"/>
  <c r="C2326" i="1"/>
  <c r="B2326" i="1"/>
  <c r="A2326" i="1"/>
  <c r="R2325" i="1"/>
  <c r="J2325" i="1"/>
  <c r="I2325" i="1"/>
  <c r="G2325" i="1"/>
  <c r="F2325" i="1"/>
  <c r="E2325" i="1"/>
  <c r="D2325" i="1"/>
  <c r="C2325" i="1"/>
  <c r="B2325" i="1"/>
  <c r="A2325" i="1"/>
  <c r="S2324" i="1"/>
  <c r="O2324" i="1"/>
  <c r="K2324" i="1"/>
  <c r="J2324" i="1"/>
  <c r="I2324" i="1"/>
  <c r="H2324" i="1"/>
  <c r="G2324" i="1"/>
  <c r="F2324" i="1"/>
  <c r="E2324" i="1"/>
  <c r="D2324" i="1"/>
  <c r="C2324" i="1"/>
  <c r="B2324" i="1"/>
  <c r="A2324" i="1"/>
  <c r="R2323" i="1"/>
  <c r="J2323" i="1"/>
  <c r="I2323" i="1"/>
  <c r="G2323" i="1"/>
  <c r="F2323" i="1"/>
  <c r="E2323" i="1"/>
  <c r="D2323" i="1"/>
  <c r="C2323" i="1"/>
  <c r="B2323" i="1"/>
  <c r="A2323" i="1"/>
  <c r="S2322" i="1"/>
  <c r="O2322" i="1"/>
  <c r="K2322" i="1"/>
  <c r="J2322" i="1"/>
  <c r="I2322" i="1"/>
  <c r="H2322" i="1"/>
  <c r="G2322" i="1"/>
  <c r="F2322" i="1"/>
  <c r="E2322" i="1"/>
  <c r="D2322" i="1"/>
  <c r="C2322" i="1"/>
  <c r="B2322" i="1"/>
  <c r="A2322" i="1"/>
  <c r="R2321" i="1"/>
  <c r="J2321" i="1"/>
  <c r="I2321" i="1"/>
  <c r="G2321" i="1"/>
  <c r="F2321" i="1"/>
  <c r="E2321" i="1"/>
  <c r="D2321" i="1"/>
  <c r="C2321" i="1"/>
  <c r="B2321" i="1"/>
  <c r="A2321" i="1"/>
  <c r="S2320" i="1"/>
  <c r="O2320" i="1"/>
  <c r="K2320" i="1"/>
  <c r="J2320" i="1"/>
  <c r="I2320" i="1"/>
  <c r="H2320" i="1"/>
  <c r="G2320" i="1"/>
  <c r="F2320" i="1"/>
  <c r="E2320" i="1"/>
  <c r="D2320" i="1"/>
  <c r="C2320" i="1"/>
  <c r="B2320" i="1"/>
  <c r="A2320" i="1"/>
  <c r="R2319" i="1"/>
  <c r="J2319" i="1"/>
  <c r="I2319" i="1"/>
  <c r="G2319" i="1"/>
  <c r="F2319" i="1"/>
  <c r="E2319" i="1"/>
  <c r="D2319" i="1"/>
  <c r="C2319" i="1"/>
  <c r="B2319" i="1"/>
  <c r="A2319" i="1"/>
  <c r="S2318" i="1"/>
  <c r="O2318" i="1"/>
  <c r="K2318" i="1"/>
  <c r="J2318" i="1"/>
  <c r="I2318" i="1"/>
  <c r="H2318" i="1"/>
  <c r="G2318" i="1"/>
  <c r="F2318" i="1"/>
  <c r="E2318" i="1"/>
  <c r="D2318" i="1"/>
  <c r="C2318" i="1"/>
  <c r="B2318" i="1"/>
  <c r="A2318" i="1"/>
  <c r="R2317" i="1"/>
  <c r="J2317" i="1"/>
  <c r="I2317" i="1"/>
  <c r="G2317" i="1"/>
  <c r="F2317" i="1"/>
  <c r="E2317" i="1"/>
  <c r="D2317" i="1"/>
  <c r="C2317" i="1"/>
  <c r="B2317" i="1"/>
  <c r="A2317" i="1"/>
  <c r="S2316" i="1"/>
  <c r="O2316" i="1"/>
  <c r="K2316" i="1"/>
  <c r="J2316" i="1"/>
  <c r="I2316" i="1"/>
  <c r="H2316" i="1"/>
  <c r="G2316" i="1"/>
  <c r="F2316" i="1"/>
  <c r="E2316" i="1"/>
  <c r="D2316" i="1"/>
  <c r="C2316" i="1"/>
  <c r="B2316" i="1"/>
  <c r="A2316" i="1"/>
  <c r="R2315" i="1"/>
  <c r="J2315" i="1"/>
  <c r="I2315" i="1"/>
  <c r="G2315" i="1"/>
  <c r="F2315" i="1"/>
  <c r="E2315" i="1"/>
  <c r="D2315" i="1"/>
  <c r="C2315" i="1"/>
  <c r="B2315" i="1"/>
  <c r="A2315" i="1"/>
  <c r="R2314" i="1"/>
  <c r="J2314" i="1"/>
  <c r="I2314" i="1"/>
  <c r="G2314" i="1"/>
  <c r="F2314" i="1"/>
  <c r="E2314" i="1"/>
  <c r="D2314" i="1"/>
  <c r="C2314" i="1"/>
  <c r="B2314" i="1"/>
  <c r="A2314" i="1"/>
  <c r="S2313" i="1"/>
  <c r="O2313" i="1"/>
  <c r="K2313" i="1"/>
  <c r="J2313" i="1"/>
  <c r="I2313" i="1"/>
  <c r="H2313" i="1"/>
  <c r="G2313" i="1"/>
  <c r="F2313" i="1"/>
  <c r="E2313" i="1"/>
  <c r="D2313" i="1"/>
  <c r="C2313" i="1"/>
  <c r="B2313" i="1"/>
  <c r="A2313" i="1"/>
  <c r="R2312" i="1"/>
  <c r="J2312" i="1"/>
  <c r="I2312" i="1"/>
  <c r="G2312" i="1"/>
  <c r="F2312" i="1"/>
  <c r="E2312" i="1"/>
  <c r="D2312" i="1"/>
  <c r="C2312" i="1"/>
  <c r="B2312" i="1"/>
  <c r="A2312" i="1"/>
  <c r="S2311" i="1"/>
  <c r="O2311" i="1"/>
  <c r="K2311" i="1"/>
  <c r="J2311" i="1"/>
  <c r="I2311" i="1"/>
  <c r="H2311" i="1"/>
  <c r="G2311" i="1"/>
  <c r="F2311" i="1"/>
  <c r="E2311" i="1"/>
  <c r="D2311" i="1"/>
  <c r="C2311" i="1"/>
  <c r="B2311" i="1"/>
  <c r="A2311" i="1"/>
  <c r="R2310" i="1"/>
  <c r="J2310" i="1"/>
  <c r="I2310" i="1"/>
  <c r="G2310" i="1"/>
  <c r="F2310" i="1"/>
  <c r="E2310" i="1"/>
  <c r="D2310" i="1"/>
  <c r="C2310" i="1"/>
  <c r="B2310" i="1"/>
  <c r="A2310" i="1"/>
  <c r="R2309" i="1"/>
  <c r="J2309" i="1"/>
  <c r="I2309" i="1"/>
  <c r="G2309" i="1"/>
  <c r="F2309" i="1"/>
  <c r="E2309" i="1"/>
  <c r="D2309" i="1"/>
  <c r="C2309" i="1"/>
  <c r="B2309" i="1"/>
  <c r="A2309" i="1"/>
  <c r="S2308" i="1"/>
  <c r="O2308" i="1"/>
  <c r="K2308" i="1"/>
  <c r="J2308" i="1"/>
  <c r="I2308" i="1"/>
  <c r="H2308" i="1"/>
  <c r="G2308" i="1"/>
  <c r="F2308" i="1"/>
  <c r="E2308" i="1"/>
  <c r="D2308" i="1"/>
  <c r="C2308" i="1"/>
  <c r="B2308" i="1"/>
  <c r="A2308" i="1"/>
  <c r="R2307" i="1"/>
  <c r="J2307" i="1"/>
  <c r="I2307" i="1"/>
  <c r="G2307" i="1"/>
  <c r="F2307" i="1"/>
  <c r="E2307" i="1"/>
  <c r="D2307" i="1"/>
  <c r="C2307" i="1"/>
  <c r="B2307" i="1"/>
  <c r="A2307" i="1"/>
  <c r="S2306" i="1"/>
  <c r="O2306" i="1"/>
  <c r="K2306" i="1"/>
  <c r="J2306" i="1"/>
  <c r="I2306" i="1"/>
  <c r="H2306" i="1"/>
  <c r="G2306" i="1"/>
  <c r="F2306" i="1"/>
  <c r="E2306" i="1"/>
  <c r="D2306" i="1"/>
  <c r="C2306" i="1"/>
  <c r="B2306" i="1"/>
  <c r="A2306" i="1"/>
  <c r="R2305" i="1"/>
  <c r="J2305" i="1"/>
  <c r="I2305" i="1"/>
  <c r="G2305" i="1"/>
  <c r="F2305" i="1"/>
  <c r="E2305" i="1"/>
  <c r="D2305" i="1"/>
  <c r="C2305" i="1"/>
  <c r="B2305" i="1"/>
  <c r="A2305" i="1"/>
  <c r="S2304" i="1"/>
  <c r="O2304" i="1"/>
  <c r="K2304" i="1"/>
  <c r="J2304" i="1"/>
  <c r="I2304" i="1"/>
  <c r="H2304" i="1"/>
  <c r="G2304" i="1"/>
  <c r="F2304" i="1"/>
  <c r="E2304" i="1"/>
  <c r="D2304" i="1"/>
  <c r="C2304" i="1"/>
  <c r="B2304" i="1"/>
  <c r="A2304" i="1"/>
  <c r="R2303" i="1"/>
  <c r="J2303" i="1"/>
  <c r="I2303" i="1"/>
  <c r="G2303" i="1"/>
  <c r="F2303" i="1"/>
  <c r="E2303" i="1"/>
  <c r="D2303" i="1"/>
  <c r="C2303" i="1"/>
  <c r="B2303" i="1"/>
  <c r="A2303" i="1"/>
  <c r="S2302" i="1"/>
  <c r="O2302" i="1"/>
  <c r="K2302" i="1"/>
  <c r="J2302" i="1"/>
  <c r="I2302" i="1"/>
  <c r="H2302" i="1"/>
  <c r="G2302" i="1"/>
  <c r="F2302" i="1"/>
  <c r="E2302" i="1"/>
  <c r="D2302" i="1"/>
  <c r="C2302" i="1"/>
  <c r="B2302" i="1"/>
  <c r="A2302" i="1"/>
  <c r="R2301" i="1"/>
  <c r="J2301" i="1"/>
  <c r="I2301" i="1"/>
  <c r="G2301" i="1"/>
  <c r="F2301" i="1"/>
  <c r="E2301" i="1"/>
  <c r="D2301" i="1"/>
  <c r="C2301" i="1"/>
  <c r="B2301" i="1"/>
  <c r="A2301" i="1"/>
  <c r="S2300" i="1"/>
  <c r="O2300" i="1"/>
  <c r="K2300" i="1"/>
  <c r="J2300" i="1"/>
  <c r="I2300" i="1"/>
  <c r="H2300" i="1"/>
  <c r="G2300" i="1"/>
  <c r="F2300" i="1"/>
  <c r="E2300" i="1"/>
  <c r="D2300" i="1"/>
  <c r="C2300" i="1"/>
  <c r="B2300" i="1"/>
  <c r="A2300" i="1"/>
  <c r="R2299" i="1"/>
  <c r="J2299" i="1"/>
  <c r="I2299" i="1"/>
  <c r="G2299" i="1"/>
  <c r="F2299" i="1"/>
  <c r="E2299" i="1"/>
  <c r="D2299" i="1"/>
  <c r="C2299" i="1"/>
  <c r="B2299" i="1"/>
  <c r="A2299" i="1"/>
  <c r="S2298" i="1"/>
  <c r="O2298" i="1"/>
  <c r="K2298" i="1"/>
  <c r="J2298" i="1"/>
  <c r="I2298" i="1"/>
  <c r="H2298" i="1"/>
  <c r="G2298" i="1"/>
  <c r="F2298" i="1"/>
  <c r="E2298" i="1"/>
  <c r="D2298" i="1"/>
  <c r="C2298" i="1"/>
  <c r="B2298" i="1"/>
  <c r="A2298" i="1"/>
  <c r="R2297" i="1"/>
  <c r="J2297" i="1"/>
  <c r="I2297" i="1"/>
  <c r="G2297" i="1"/>
  <c r="F2297" i="1"/>
  <c r="E2297" i="1"/>
  <c r="D2297" i="1"/>
  <c r="C2297" i="1"/>
  <c r="B2297" i="1"/>
  <c r="A2297" i="1"/>
  <c r="S2296" i="1"/>
  <c r="O2296" i="1"/>
  <c r="K2296" i="1"/>
  <c r="J2296" i="1"/>
  <c r="I2296" i="1"/>
  <c r="H2296" i="1"/>
  <c r="G2296" i="1"/>
  <c r="F2296" i="1"/>
  <c r="E2296" i="1"/>
  <c r="D2296" i="1"/>
  <c r="C2296" i="1"/>
  <c r="B2296" i="1"/>
  <c r="A2296" i="1"/>
  <c r="R2295" i="1"/>
  <c r="J2295" i="1"/>
  <c r="I2295" i="1"/>
  <c r="G2295" i="1"/>
  <c r="F2295" i="1"/>
  <c r="E2295" i="1"/>
  <c r="D2295" i="1"/>
  <c r="C2295" i="1"/>
  <c r="B2295" i="1"/>
  <c r="A2295" i="1"/>
  <c r="S2294" i="1"/>
  <c r="O2294" i="1"/>
  <c r="K2294" i="1"/>
  <c r="J2294" i="1"/>
  <c r="I2294" i="1"/>
  <c r="H2294" i="1"/>
  <c r="G2294" i="1"/>
  <c r="F2294" i="1"/>
  <c r="E2294" i="1"/>
  <c r="D2294" i="1"/>
  <c r="C2294" i="1"/>
  <c r="B2294" i="1"/>
  <c r="A2294" i="1"/>
  <c r="R2293" i="1"/>
  <c r="J2293" i="1"/>
  <c r="I2293" i="1"/>
  <c r="G2293" i="1"/>
  <c r="F2293" i="1"/>
  <c r="E2293" i="1"/>
  <c r="D2293" i="1"/>
  <c r="C2293" i="1"/>
  <c r="B2293" i="1"/>
  <c r="A2293" i="1"/>
  <c r="S2292" i="1"/>
  <c r="O2292" i="1"/>
  <c r="K2292" i="1"/>
  <c r="J2292" i="1"/>
  <c r="I2292" i="1"/>
  <c r="H2292" i="1"/>
  <c r="G2292" i="1"/>
  <c r="F2292" i="1"/>
  <c r="E2292" i="1"/>
  <c r="D2292" i="1"/>
  <c r="C2292" i="1"/>
  <c r="B2292" i="1"/>
  <c r="A2292" i="1"/>
  <c r="R2291" i="1"/>
  <c r="J2291" i="1"/>
  <c r="I2291" i="1"/>
  <c r="G2291" i="1"/>
  <c r="F2291" i="1"/>
  <c r="E2291" i="1"/>
  <c r="D2291" i="1"/>
  <c r="C2291" i="1"/>
  <c r="B2291" i="1"/>
  <c r="A2291" i="1"/>
  <c r="S2290" i="1"/>
  <c r="O2290" i="1"/>
  <c r="K2290" i="1"/>
  <c r="J2290" i="1"/>
  <c r="I2290" i="1"/>
  <c r="H2290" i="1"/>
  <c r="G2290" i="1"/>
  <c r="F2290" i="1"/>
  <c r="E2290" i="1"/>
  <c r="D2290" i="1"/>
  <c r="C2290" i="1"/>
  <c r="B2290" i="1"/>
  <c r="A2290" i="1"/>
  <c r="R2289" i="1"/>
  <c r="J2289" i="1"/>
  <c r="I2289" i="1"/>
  <c r="G2289" i="1"/>
  <c r="F2289" i="1"/>
  <c r="E2289" i="1"/>
  <c r="D2289" i="1"/>
  <c r="C2289" i="1"/>
  <c r="B2289" i="1"/>
  <c r="A2289" i="1"/>
  <c r="R2288" i="1"/>
  <c r="J2288" i="1"/>
  <c r="I2288" i="1"/>
  <c r="G2288" i="1"/>
  <c r="F2288" i="1"/>
  <c r="E2288" i="1"/>
  <c r="D2288" i="1"/>
  <c r="C2288" i="1"/>
  <c r="B2288" i="1"/>
  <c r="A2288" i="1"/>
  <c r="S2287" i="1"/>
  <c r="O2287" i="1"/>
  <c r="K2287" i="1"/>
  <c r="J2287" i="1"/>
  <c r="I2287" i="1"/>
  <c r="H2287" i="1"/>
  <c r="G2287" i="1"/>
  <c r="F2287" i="1"/>
  <c r="E2287" i="1"/>
  <c r="D2287" i="1"/>
  <c r="C2287" i="1"/>
  <c r="B2287" i="1"/>
  <c r="A2287" i="1"/>
  <c r="R2286" i="1"/>
  <c r="J2286" i="1"/>
  <c r="I2286" i="1"/>
  <c r="G2286" i="1"/>
  <c r="F2286" i="1"/>
  <c r="E2286" i="1"/>
  <c r="D2286" i="1"/>
  <c r="C2286" i="1"/>
  <c r="B2286" i="1"/>
  <c r="A2286" i="1"/>
  <c r="R2285" i="1"/>
  <c r="J2285" i="1"/>
  <c r="I2285" i="1"/>
  <c r="G2285" i="1"/>
  <c r="F2285" i="1"/>
  <c r="E2285" i="1"/>
  <c r="D2285" i="1"/>
  <c r="C2285" i="1"/>
  <c r="B2285" i="1"/>
  <c r="A2285" i="1"/>
  <c r="S2284" i="1"/>
  <c r="O2284" i="1"/>
  <c r="K2284" i="1"/>
  <c r="J2284" i="1"/>
  <c r="I2284" i="1"/>
  <c r="H2284" i="1"/>
  <c r="G2284" i="1"/>
  <c r="F2284" i="1"/>
  <c r="E2284" i="1"/>
  <c r="D2284" i="1"/>
  <c r="C2284" i="1"/>
  <c r="B2284" i="1"/>
  <c r="A2284" i="1"/>
  <c r="R2283" i="1"/>
  <c r="J2283" i="1"/>
  <c r="I2283" i="1"/>
  <c r="G2283" i="1"/>
  <c r="F2283" i="1"/>
  <c r="E2283" i="1"/>
  <c r="D2283" i="1"/>
  <c r="C2283" i="1"/>
  <c r="B2283" i="1"/>
  <c r="A2283" i="1"/>
  <c r="R2282" i="1"/>
  <c r="J2282" i="1"/>
  <c r="I2282" i="1"/>
  <c r="G2282" i="1"/>
  <c r="F2282" i="1"/>
  <c r="E2282" i="1"/>
  <c r="D2282" i="1"/>
  <c r="C2282" i="1"/>
  <c r="B2282" i="1"/>
  <c r="A2282" i="1"/>
  <c r="S2281" i="1"/>
  <c r="O2281" i="1"/>
  <c r="K2281" i="1"/>
  <c r="J2281" i="1"/>
  <c r="I2281" i="1"/>
  <c r="H2281" i="1"/>
  <c r="G2281" i="1"/>
  <c r="F2281" i="1"/>
  <c r="E2281" i="1"/>
  <c r="D2281" i="1"/>
  <c r="C2281" i="1"/>
  <c r="B2281" i="1"/>
  <c r="A2281" i="1"/>
  <c r="R2280" i="1"/>
  <c r="J2280" i="1"/>
  <c r="I2280" i="1"/>
  <c r="G2280" i="1"/>
  <c r="F2280" i="1"/>
  <c r="E2280" i="1"/>
  <c r="D2280" i="1"/>
  <c r="C2280" i="1"/>
  <c r="B2280" i="1"/>
  <c r="A2280" i="1"/>
  <c r="S2279" i="1"/>
  <c r="O2279" i="1"/>
  <c r="K2279" i="1"/>
  <c r="J2279" i="1"/>
  <c r="I2279" i="1"/>
  <c r="H2279" i="1"/>
  <c r="G2279" i="1"/>
  <c r="F2279" i="1"/>
  <c r="E2279" i="1"/>
  <c r="D2279" i="1"/>
  <c r="C2279" i="1"/>
  <c r="B2279" i="1"/>
  <c r="A2279" i="1"/>
  <c r="R2278" i="1"/>
  <c r="J2278" i="1"/>
  <c r="I2278" i="1"/>
  <c r="G2278" i="1"/>
  <c r="F2278" i="1"/>
  <c r="E2278" i="1"/>
  <c r="D2278" i="1"/>
  <c r="C2278" i="1"/>
  <c r="B2278" i="1"/>
  <c r="A2278" i="1"/>
  <c r="S2277" i="1"/>
  <c r="O2277" i="1"/>
  <c r="K2277" i="1"/>
  <c r="J2277" i="1"/>
  <c r="I2277" i="1"/>
  <c r="H2277" i="1"/>
  <c r="G2277" i="1"/>
  <c r="F2277" i="1"/>
  <c r="E2277" i="1"/>
  <c r="D2277" i="1"/>
  <c r="C2277" i="1"/>
  <c r="B2277" i="1"/>
  <c r="A2277" i="1"/>
  <c r="R2276" i="1"/>
  <c r="J2276" i="1"/>
  <c r="I2276" i="1"/>
  <c r="G2276" i="1"/>
  <c r="F2276" i="1"/>
  <c r="E2276" i="1"/>
  <c r="D2276" i="1"/>
  <c r="C2276" i="1"/>
  <c r="B2276" i="1"/>
  <c r="A2276" i="1"/>
  <c r="S2275" i="1"/>
  <c r="O2275" i="1"/>
  <c r="K2275" i="1"/>
  <c r="J2275" i="1"/>
  <c r="I2275" i="1"/>
  <c r="H2275" i="1"/>
  <c r="G2275" i="1"/>
  <c r="F2275" i="1"/>
  <c r="E2275" i="1"/>
  <c r="D2275" i="1"/>
  <c r="C2275" i="1"/>
  <c r="B2275" i="1"/>
  <c r="A2275" i="1"/>
  <c r="R2274" i="1"/>
  <c r="J2274" i="1"/>
  <c r="I2274" i="1"/>
  <c r="G2274" i="1"/>
  <c r="F2274" i="1"/>
  <c r="E2274" i="1"/>
  <c r="D2274" i="1"/>
  <c r="C2274" i="1"/>
  <c r="B2274" i="1"/>
  <c r="A2274" i="1"/>
  <c r="S2273" i="1"/>
  <c r="O2273" i="1"/>
  <c r="K2273" i="1"/>
  <c r="J2273" i="1"/>
  <c r="I2273" i="1"/>
  <c r="H2273" i="1"/>
  <c r="G2273" i="1"/>
  <c r="F2273" i="1"/>
  <c r="E2273" i="1"/>
  <c r="D2273" i="1"/>
  <c r="C2273" i="1"/>
  <c r="B2273" i="1"/>
  <c r="A2273" i="1"/>
  <c r="R2272" i="1"/>
  <c r="J2272" i="1"/>
  <c r="I2272" i="1"/>
  <c r="G2272" i="1"/>
  <c r="F2272" i="1"/>
  <c r="E2272" i="1"/>
  <c r="D2272" i="1"/>
  <c r="C2272" i="1"/>
  <c r="B2272" i="1"/>
  <c r="A2272" i="1"/>
  <c r="S2271" i="1"/>
  <c r="O2271" i="1"/>
  <c r="K2271" i="1"/>
  <c r="J2271" i="1"/>
  <c r="I2271" i="1"/>
  <c r="H2271" i="1"/>
  <c r="G2271" i="1"/>
  <c r="F2271" i="1"/>
  <c r="E2271" i="1"/>
  <c r="D2271" i="1"/>
  <c r="C2271" i="1"/>
  <c r="B2271" i="1"/>
  <c r="A2271" i="1"/>
  <c r="R2270" i="1"/>
  <c r="J2270" i="1"/>
  <c r="I2270" i="1"/>
  <c r="G2270" i="1"/>
  <c r="F2270" i="1"/>
  <c r="E2270" i="1"/>
  <c r="D2270" i="1"/>
  <c r="C2270" i="1"/>
  <c r="B2270" i="1"/>
  <c r="A2270" i="1"/>
  <c r="R2269" i="1"/>
  <c r="J2269" i="1"/>
  <c r="I2269" i="1"/>
  <c r="G2269" i="1"/>
  <c r="F2269" i="1"/>
  <c r="E2269" i="1"/>
  <c r="D2269" i="1"/>
  <c r="C2269" i="1"/>
  <c r="B2269" i="1"/>
  <c r="A2269" i="1"/>
  <c r="S2268" i="1"/>
  <c r="O2268" i="1"/>
  <c r="K2268" i="1"/>
  <c r="J2268" i="1"/>
  <c r="I2268" i="1"/>
  <c r="H2268" i="1"/>
  <c r="G2268" i="1"/>
  <c r="F2268" i="1"/>
  <c r="E2268" i="1"/>
  <c r="D2268" i="1"/>
  <c r="C2268" i="1"/>
  <c r="B2268" i="1"/>
  <c r="A2268" i="1"/>
  <c r="R2267" i="1"/>
  <c r="J2267" i="1"/>
  <c r="I2267" i="1"/>
  <c r="G2267" i="1"/>
  <c r="F2267" i="1"/>
  <c r="E2267" i="1"/>
  <c r="D2267" i="1"/>
  <c r="C2267" i="1"/>
  <c r="B2267" i="1"/>
  <c r="A2267" i="1"/>
  <c r="S2266" i="1"/>
  <c r="O2266" i="1"/>
  <c r="K2266" i="1"/>
  <c r="J2266" i="1"/>
  <c r="I2266" i="1"/>
  <c r="H2266" i="1"/>
  <c r="G2266" i="1"/>
  <c r="F2266" i="1"/>
  <c r="E2266" i="1"/>
  <c r="D2266" i="1"/>
  <c r="C2266" i="1"/>
  <c r="B2266" i="1"/>
  <c r="A2266" i="1"/>
  <c r="R2265" i="1"/>
  <c r="J2265" i="1"/>
  <c r="I2265" i="1"/>
  <c r="G2265" i="1"/>
  <c r="F2265" i="1"/>
  <c r="E2265" i="1"/>
  <c r="D2265" i="1"/>
  <c r="C2265" i="1"/>
  <c r="B2265" i="1"/>
  <c r="A2265" i="1"/>
  <c r="S2264" i="1"/>
  <c r="O2264" i="1"/>
  <c r="K2264" i="1"/>
  <c r="J2264" i="1"/>
  <c r="I2264" i="1"/>
  <c r="H2264" i="1"/>
  <c r="G2264" i="1"/>
  <c r="F2264" i="1"/>
  <c r="E2264" i="1"/>
  <c r="D2264" i="1"/>
  <c r="C2264" i="1"/>
  <c r="B2264" i="1"/>
  <c r="A2264" i="1"/>
  <c r="R2263" i="1"/>
  <c r="J2263" i="1"/>
  <c r="I2263" i="1"/>
  <c r="G2263" i="1"/>
  <c r="F2263" i="1"/>
  <c r="E2263" i="1"/>
  <c r="D2263" i="1"/>
  <c r="C2263" i="1"/>
  <c r="B2263" i="1"/>
  <c r="A2263" i="1"/>
  <c r="S2262" i="1"/>
  <c r="O2262" i="1"/>
  <c r="K2262" i="1"/>
  <c r="J2262" i="1"/>
  <c r="I2262" i="1"/>
  <c r="H2262" i="1"/>
  <c r="G2262" i="1"/>
  <c r="F2262" i="1"/>
  <c r="E2262" i="1"/>
  <c r="D2262" i="1"/>
  <c r="C2262" i="1"/>
  <c r="B2262" i="1"/>
  <c r="A2262" i="1"/>
  <c r="R2261" i="1"/>
  <c r="J2261" i="1"/>
  <c r="I2261" i="1"/>
  <c r="G2261" i="1"/>
  <c r="F2261" i="1"/>
  <c r="E2261" i="1"/>
  <c r="D2261" i="1"/>
  <c r="C2261" i="1"/>
  <c r="B2261" i="1"/>
  <c r="A2261" i="1"/>
  <c r="S2260" i="1"/>
  <c r="O2260" i="1"/>
  <c r="K2260" i="1"/>
  <c r="J2260" i="1"/>
  <c r="I2260" i="1"/>
  <c r="H2260" i="1"/>
  <c r="G2260" i="1"/>
  <c r="F2260" i="1"/>
  <c r="E2260" i="1"/>
  <c r="D2260" i="1"/>
  <c r="C2260" i="1"/>
  <c r="B2260" i="1"/>
  <c r="A2260" i="1"/>
  <c r="R2259" i="1"/>
  <c r="J2259" i="1"/>
  <c r="I2259" i="1"/>
  <c r="G2259" i="1"/>
  <c r="F2259" i="1"/>
  <c r="E2259" i="1"/>
  <c r="D2259" i="1"/>
  <c r="C2259" i="1"/>
  <c r="B2259" i="1"/>
  <c r="A2259" i="1"/>
  <c r="S2258" i="1"/>
  <c r="O2258" i="1"/>
  <c r="K2258" i="1"/>
  <c r="J2258" i="1"/>
  <c r="I2258" i="1"/>
  <c r="H2258" i="1"/>
  <c r="G2258" i="1"/>
  <c r="F2258" i="1"/>
  <c r="E2258" i="1"/>
  <c r="D2258" i="1"/>
  <c r="C2258" i="1"/>
  <c r="B2258" i="1"/>
  <c r="A2258" i="1"/>
  <c r="R2257" i="1"/>
  <c r="J2257" i="1"/>
  <c r="I2257" i="1"/>
  <c r="G2257" i="1"/>
  <c r="F2257" i="1"/>
  <c r="E2257" i="1"/>
  <c r="D2257" i="1"/>
  <c r="C2257" i="1"/>
  <c r="B2257" i="1"/>
  <c r="A2257" i="1"/>
  <c r="S2256" i="1"/>
  <c r="O2256" i="1"/>
  <c r="K2256" i="1"/>
  <c r="J2256" i="1"/>
  <c r="I2256" i="1"/>
  <c r="H2256" i="1"/>
  <c r="G2256" i="1"/>
  <c r="F2256" i="1"/>
  <c r="E2256" i="1"/>
  <c r="D2256" i="1"/>
  <c r="C2256" i="1"/>
  <c r="B2256" i="1"/>
  <c r="A2256" i="1"/>
  <c r="R2255" i="1"/>
  <c r="J2255" i="1"/>
  <c r="I2255" i="1"/>
  <c r="G2255" i="1"/>
  <c r="F2255" i="1"/>
  <c r="E2255" i="1"/>
  <c r="D2255" i="1"/>
  <c r="C2255" i="1"/>
  <c r="B2255" i="1"/>
  <c r="A2255" i="1"/>
  <c r="S2254" i="1"/>
  <c r="O2254" i="1"/>
  <c r="K2254" i="1"/>
  <c r="J2254" i="1"/>
  <c r="I2254" i="1"/>
  <c r="H2254" i="1"/>
  <c r="G2254" i="1"/>
  <c r="F2254" i="1"/>
  <c r="E2254" i="1"/>
  <c r="D2254" i="1"/>
  <c r="C2254" i="1"/>
  <c r="B2254" i="1"/>
  <c r="A2254" i="1"/>
  <c r="R2253" i="1"/>
  <c r="J2253" i="1"/>
  <c r="I2253" i="1"/>
  <c r="G2253" i="1"/>
  <c r="F2253" i="1"/>
  <c r="E2253" i="1"/>
  <c r="D2253" i="1"/>
  <c r="C2253" i="1"/>
  <c r="B2253" i="1"/>
  <c r="A2253" i="1"/>
  <c r="S2252" i="1"/>
  <c r="O2252" i="1"/>
  <c r="K2252" i="1"/>
  <c r="J2252" i="1"/>
  <c r="I2252" i="1"/>
  <c r="H2252" i="1"/>
  <c r="G2252" i="1"/>
  <c r="F2252" i="1"/>
  <c r="E2252" i="1"/>
  <c r="D2252" i="1"/>
  <c r="C2252" i="1"/>
  <c r="B2252" i="1"/>
  <c r="A2252" i="1"/>
  <c r="R2251" i="1"/>
  <c r="J2251" i="1"/>
  <c r="I2251" i="1"/>
  <c r="G2251" i="1"/>
  <c r="F2251" i="1"/>
  <c r="E2251" i="1"/>
  <c r="D2251" i="1"/>
  <c r="C2251" i="1"/>
  <c r="B2251" i="1"/>
  <c r="A2251" i="1"/>
  <c r="S2250" i="1"/>
  <c r="O2250" i="1"/>
  <c r="K2250" i="1"/>
  <c r="J2250" i="1"/>
  <c r="I2250" i="1"/>
  <c r="H2250" i="1"/>
  <c r="G2250" i="1"/>
  <c r="F2250" i="1"/>
  <c r="E2250" i="1"/>
  <c r="D2250" i="1"/>
  <c r="C2250" i="1"/>
  <c r="B2250" i="1"/>
  <c r="A2250" i="1"/>
  <c r="R2249" i="1"/>
  <c r="J2249" i="1"/>
  <c r="I2249" i="1"/>
  <c r="G2249" i="1"/>
  <c r="F2249" i="1"/>
  <c r="E2249" i="1"/>
  <c r="D2249" i="1"/>
  <c r="C2249" i="1"/>
  <c r="B2249" i="1"/>
  <c r="A2249" i="1"/>
  <c r="R2248" i="1"/>
  <c r="J2248" i="1"/>
  <c r="I2248" i="1"/>
  <c r="G2248" i="1"/>
  <c r="F2248" i="1"/>
  <c r="E2248" i="1"/>
  <c r="D2248" i="1"/>
  <c r="C2248" i="1"/>
  <c r="B2248" i="1"/>
  <c r="A2248" i="1"/>
  <c r="S2247" i="1"/>
  <c r="O2247" i="1"/>
  <c r="K2247" i="1"/>
  <c r="J2247" i="1"/>
  <c r="I2247" i="1"/>
  <c r="H2247" i="1"/>
  <c r="G2247" i="1"/>
  <c r="F2247" i="1"/>
  <c r="E2247" i="1"/>
  <c r="D2247" i="1"/>
  <c r="C2247" i="1"/>
  <c r="B2247" i="1"/>
  <c r="A2247" i="1"/>
  <c r="R2246" i="1"/>
  <c r="J2246" i="1"/>
  <c r="I2246" i="1"/>
  <c r="G2246" i="1"/>
  <c r="F2246" i="1"/>
  <c r="E2246" i="1"/>
  <c r="D2246" i="1"/>
  <c r="C2246" i="1"/>
  <c r="B2246" i="1"/>
  <c r="A2246" i="1"/>
  <c r="S2245" i="1"/>
  <c r="O2245" i="1"/>
  <c r="K2245" i="1"/>
  <c r="J2245" i="1"/>
  <c r="I2245" i="1"/>
  <c r="H2245" i="1"/>
  <c r="G2245" i="1"/>
  <c r="F2245" i="1"/>
  <c r="E2245" i="1"/>
  <c r="D2245" i="1"/>
  <c r="C2245" i="1"/>
  <c r="B2245" i="1"/>
  <c r="A2245" i="1"/>
  <c r="R2244" i="1"/>
  <c r="J2244" i="1"/>
  <c r="I2244" i="1"/>
  <c r="G2244" i="1"/>
  <c r="F2244" i="1"/>
  <c r="E2244" i="1"/>
  <c r="D2244" i="1"/>
  <c r="C2244" i="1"/>
  <c r="B2244" i="1"/>
  <c r="A2244" i="1"/>
  <c r="S2243" i="1"/>
  <c r="O2243" i="1"/>
  <c r="K2243" i="1"/>
  <c r="J2243" i="1"/>
  <c r="I2243" i="1"/>
  <c r="H2243" i="1"/>
  <c r="G2243" i="1"/>
  <c r="F2243" i="1"/>
  <c r="E2243" i="1"/>
  <c r="D2243" i="1"/>
  <c r="C2243" i="1"/>
  <c r="B2243" i="1"/>
  <c r="A2243" i="1"/>
  <c r="R2242" i="1"/>
  <c r="J2242" i="1"/>
  <c r="I2242" i="1"/>
  <c r="G2242" i="1"/>
  <c r="F2242" i="1"/>
  <c r="E2242" i="1"/>
  <c r="D2242" i="1"/>
  <c r="C2242" i="1"/>
  <c r="B2242" i="1"/>
  <c r="A2242" i="1"/>
  <c r="S2241" i="1"/>
  <c r="O2241" i="1"/>
  <c r="K2241" i="1"/>
  <c r="J2241" i="1"/>
  <c r="I2241" i="1"/>
  <c r="H2241" i="1"/>
  <c r="G2241" i="1"/>
  <c r="F2241" i="1"/>
  <c r="E2241" i="1"/>
  <c r="D2241" i="1"/>
  <c r="C2241" i="1"/>
  <c r="B2241" i="1"/>
  <c r="A2241" i="1"/>
  <c r="R2240" i="1"/>
  <c r="J2240" i="1"/>
  <c r="I2240" i="1"/>
  <c r="G2240" i="1"/>
  <c r="F2240" i="1"/>
  <c r="E2240" i="1"/>
  <c r="D2240" i="1"/>
  <c r="C2240" i="1"/>
  <c r="B2240" i="1"/>
  <c r="A2240" i="1"/>
  <c r="S2239" i="1"/>
  <c r="O2239" i="1"/>
  <c r="K2239" i="1"/>
  <c r="J2239" i="1"/>
  <c r="I2239" i="1"/>
  <c r="H2239" i="1"/>
  <c r="G2239" i="1"/>
  <c r="F2239" i="1"/>
  <c r="E2239" i="1"/>
  <c r="D2239" i="1"/>
  <c r="C2239" i="1"/>
  <c r="B2239" i="1"/>
  <c r="A2239" i="1"/>
  <c r="R2238" i="1"/>
  <c r="J2238" i="1"/>
  <c r="I2238" i="1"/>
  <c r="G2238" i="1"/>
  <c r="F2238" i="1"/>
  <c r="E2238" i="1"/>
  <c r="D2238" i="1"/>
  <c r="C2238" i="1"/>
  <c r="B2238" i="1"/>
  <c r="A2238" i="1"/>
  <c r="S2237" i="1"/>
  <c r="O2237" i="1"/>
  <c r="K2237" i="1"/>
  <c r="J2237" i="1"/>
  <c r="I2237" i="1"/>
  <c r="H2237" i="1"/>
  <c r="G2237" i="1"/>
  <c r="F2237" i="1"/>
  <c r="E2237" i="1"/>
  <c r="D2237" i="1"/>
  <c r="C2237" i="1"/>
  <c r="B2237" i="1"/>
  <c r="A2237" i="1"/>
  <c r="R2236" i="1"/>
  <c r="J2236" i="1"/>
  <c r="I2236" i="1"/>
  <c r="G2236" i="1"/>
  <c r="F2236" i="1"/>
  <c r="E2236" i="1"/>
  <c r="D2236" i="1"/>
  <c r="C2236" i="1"/>
  <c r="B2236" i="1"/>
  <c r="A2236" i="1"/>
  <c r="R2235" i="1"/>
  <c r="J2235" i="1"/>
  <c r="I2235" i="1"/>
  <c r="G2235" i="1"/>
  <c r="F2235" i="1"/>
  <c r="E2235" i="1"/>
  <c r="D2235" i="1"/>
  <c r="C2235" i="1"/>
  <c r="B2235" i="1"/>
  <c r="A2235" i="1"/>
  <c r="S2234" i="1"/>
  <c r="O2234" i="1"/>
  <c r="K2234" i="1"/>
  <c r="J2234" i="1"/>
  <c r="I2234" i="1"/>
  <c r="H2234" i="1"/>
  <c r="G2234" i="1"/>
  <c r="F2234" i="1"/>
  <c r="E2234" i="1"/>
  <c r="D2234" i="1"/>
  <c r="C2234" i="1"/>
  <c r="B2234" i="1"/>
  <c r="A2234" i="1"/>
  <c r="R2233" i="1"/>
  <c r="J2233" i="1"/>
  <c r="I2233" i="1"/>
  <c r="G2233" i="1"/>
  <c r="F2233" i="1"/>
  <c r="E2233" i="1"/>
  <c r="D2233" i="1"/>
  <c r="C2233" i="1"/>
  <c r="B2233" i="1"/>
  <c r="A2233" i="1"/>
  <c r="R2232" i="1"/>
  <c r="J2232" i="1"/>
  <c r="I2232" i="1"/>
  <c r="G2232" i="1"/>
  <c r="F2232" i="1"/>
  <c r="E2232" i="1"/>
  <c r="D2232" i="1"/>
  <c r="C2232" i="1"/>
  <c r="B2232" i="1"/>
  <c r="A2232" i="1"/>
  <c r="R2231" i="1"/>
  <c r="J2231" i="1"/>
  <c r="I2231" i="1"/>
  <c r="G2231" i="1"/>
  <c r="F2231" i="1"/>
  <c r="E2231" i="1"/>
  <c r="D2231" i="1"/>
  <c r="C2231" i="1"/>
  <c r="B2231" i="1"/>
  <c r="A2231" i="1"/>
  <c r="S2230" i="1"/>
  <c r="O2230" i="1"/>
  <c r="K2230" i="1"/>
  <c r="J2230" i="1"/>
  <c r="I2230" i="1"/>
  <c r="H2230" i="1"/>
  <c r="G2230" i="1"/>
  <c r="F2230" i="1"/>
  <c r="E2230" i="1"/>
  <c r="D2230" i="1"/>
  <c r="C2230" i="1"/>
  <c r="B2230" i="1"/>
  <c r="A2230" i="1"/>
  <c r="R2229" i="1"/>
  <c r="J2229" i="1"/>
  <c r="I2229" i="1"/>
  <c r="G2229" i="1"/>
  <c r="F2229" i="1"/>
  <c r="E2229" i="1"/>
  <c r="D2229" i="1"/>
  <c r="C2229" i="1"/>
  <c r="B2229" i="1"/>
  <c r="A2229" i="1"/>
  <c r="R2228" i="1"/>
  <c r="J2228" i="1"/>
  <c r="I2228" i="1"/>
  <c r="G2228" i="1"/>
  <c r="F2228" i="1"/>
  <c r="E2228" i="1"/>
  <c r="D2228" i="1"/>
  <c r="C2228" i="1"/>
  <c r="B2228" i="1"/>
  <c r="A2228" i="1"/>
  <c r="R2227" i="1"/>
  <c r="J2227" i="1"/>
  <c r="I2227" i="1"/>
  <c r="G2227" i="1"/>
  <c r="F2227" i="1"/>
  <c r="E2227" i="1"/>
  <c r="D2227" i="1"/>
  <c r="C2227" i="1"/>
  <c r="B2227" i="1"/>
  <c r="A2227" i="1"/>
  <c r="R2226" i="1"/>
  <c r="J2226" i="1"/>
  <c r="I2226" i="1"/>
  <c r="G2226" i="1"/>
  <c r="F2226" i="1"/>
  <c r="E2226" i="1"/>
  <c r="D2226" i="1"/>
  <c r="C2226" i="1"/>
  <c r="B2226" i="1"/>
  <c r="A2226" i="1"/>
  <c r="R2225" i="1"/>
  <c r="J2225" i="1"/>
  <c r="I2225" i="1"/>
  <c r="G2225" i="1"/>
  <c r="F2225" i="1"/>
  <c r="E2225" i="1"/>
  <c r="D2225" i="1"/>
  <c r="C2225" i="1"/>
  <c r="B2225" i="1"/>
  <c r="A2225" i="1"/>
  <c r="R2224" i="1"/>
  <c r="J2224" i="1"/>
  <c r="I2224" i="1"/>
  <c r="G2224" i="1"/>
  <c r="F2224" i="1"/>
  <c r="E2224" i="1"/>
  <c r="D2224" i="1"/>
  <c r="C2224" i="1"/>
  <c r="B2224" i="1"/>
  <c r="A2224" i="1"/>
  <c r="S2223" i="1"/>
  <c r="O2223" i="1"/>
  <c r="K2223" i="1"/>
  <c r="J2223" i="1"/>
  <c r="I2223" i="1"/>
  <c r="H2223" i="1"/>
  <c r="G2223" i="1"/>
  <c r="F2223" i="1"/>
  <c r="E2223" i="1"/>
  <c r="D2223" i="1"/>
  <c r="C2223" i="1"/>
  <c r="B2223" i="1"/>
  <c r="A2223" i="1"/>
  <c r="R2222" i="1"/>
  <c r="J2222" i="1"/>
  <c r="I2222" i="1"/>
  <c r="G2222" i="1"/>
  <c r="F2222" i="1"/>
  <c r="E2222" i="1"/>
  <c r="D2222" i="1"/>
  <c r="C2222" i="1"/>
  <c r="B2222" i="1"/>
  <c r="A2222" i="1"/>
  <c r="S2221" i="1"/>
  <c r="O2221" i="1"/>
  <c r="K2221" i="1"/>
  <c r="J2221" i="1"/>
  <c r="I2221" i="1"/>
  <c r="H2221" i="1"/>
  <c r="G2221" i="1"/>
  <c r="F2221" i="1"/>
  <c r="E2221" i="1"/>
  <c r="D2221" i="1"/>
  <c r="C2221" i="1"/>
  <c r="B2221" i="1"/>
  <c r="A2221" i="1"/>
  <c r="R2220" i="1"/>
  <c r="J2220" i="1"/>
  <c r="I2220" i="1"/>
  <c r="G2220" i="1"/>
  <c r="F2220" i="1"/>
  <c r="E2220" i="1"/>
  <c r="D2220" i="1"/>
  <c r="C2220" i="1"/>
  <c r="B2220" i="1"/>
  <c r="A2220" i="1"/>
  <c r="S2219" i="1"/>
  <c r="O2219" i="1"/>
  <c r="K2219" i="1"/>
  <c r="J2219" i="1"/>
  <c r="I2219" i="1"/>
  <c r="H2219" i="1"/>
  <c r="G2219" i="1"/>
  <c r="F2219" i="1"/>
  <c r="E2219" i="1"/>
  <c r="D2219" i="1"/>
  <c r="C2219" i="1"/>
  <c r="B2219" i="1"/>
  <c r="A2219" i="1"/>
  <c r="R2218" i="1"/>
  <c r="J2218" i="1"/>
  <c r="I2218" i="1"/>
  <c r="G2218" i="1"/>
  <c r="F2218" i="1"/>
  <c r="E2218" i="1"/>
  <c r="D2218" i="1"/>
  <c r="C2218" i="1"/>
  <c r="B2218" i="1"/>
  <c r="A2218" i="1"/>
  <c r="S2217" i="1"/>
  <c r="O2217" i="1"/>
  <c r="K2217" i="1"/>
  <c r="J2217" i="1"/>
  <c r="I2217" i="1"/>
  <c r="H2217" i="1"/>
  <c r="G2217" i="1"/>
  <c r="F2217" i="1"/>
  <c r="E2217" i="1"/>
  <c r="D2217" i="1"/>
  <c r="C2217" i="1"/>
  <c r="B2217" i="1"/>
  <c r="A2217" i="1"/>
  <c r="R2216" i="1"/>
  <c r="J2216" i="1"/>
  <c r="I2216" i="1"/>
  <c r="G2216" i="1"/>
  <c r="F2216" i="1"/>
  <c r="E2216" i="1"/>
  <c r="D2216" i="1"/>
  <c r="C2216" i="1"/>
  <c r="B2216" i="1"/>
  <c r="A2216" i="1"/>
  <c r="S2215" i="1"/>
  <c r="O2215" i="1"/>
  <c r="K2215" i="1"/>
  <c r="J2215" i="1"/>
  <c r="I2215" i="1"/>
  <c r="H2215" i="1"/>
  <c r="G2215" i="1"/>
  <c r="F2215" i="1"/>
  <c r="E2215" i="1"/>
  <c r="D2215" i="1"/>
  <c r="C2215" i="1"/>
  <c r="B2215" i="1"/>
  <c r="A2215" i="1"/>
  <c r="R2214" i="1"/>
  <c r="J2214" i="1"/>
  <c r="I2214" i="1"/>
  <c r="G2214" i="1"/>
  <c r="F2214" i="1"/>
  <c r="E2214" i="1"/>
  <c r="D2214" i="1"/>
  <c r="C2214" i="1"/>
  <c r="B2214" i="1"/>
  <c r="A2214" i="1"/>
  <c r="R2213" i="1"/>
  <c r="J2213" i="1"/>
  <c r="I2213" i="1"/>
  <c r="G2213" i="1"/>
  <c r="F2213" i="1"/>
  <c r="E2213" i="1"/>
  <c r="D2213" i="1"/>
  <c r="C2213" i="1"/>
  <c r="B2213" i="1"/>
  <c r="A2213" i="1"/>
  <c r="S2212" i="1"/>
  <c r="O2212" i="1"/>
  <c r="K2212" i="1"/>
  <c r="J2212" i="1"/>
  <c r="I2212" i="1"/>
  <c r="H2212" i="1"/>
  <c r="G2212" i="1"/>
  <c r="F2212" i="1"/>
  <c r="E2212" i="1"/>
  <c r="D2212" i="1"/>
  <c r="C2212" i="1"/>
  <c r="B2212" i="1"/>
  <c r="A2212" i="1"/>
  <c r="R2211" i="1"/>
  <c r="J2211" i="1"/>
  <c r="I2211" i="1"/>
  <c r="G2211" i="1"/>
  <c r="F2211" i="1"/>
  <c r="E2211" i="1"/>
  <c r="D2211" i="1"/>
  <c r="C2211" i="1"/>
  <c r="B2211" i="1"/>
  <c r="A2211" i="1"/>
  <c r="S2210" i="1"/>
  <c r="O2210" i="1"/>
  <c r="K2210" i="1"/>
  <c r="J2210" i="1"/>
  <c r="I2210" i="1"/>
  <c r="H2210" i="1"/>
  <c r="G2210" i="1"/>
  <c r="F2210" i="1"/>
  <c r="E2210" i="1"/>
  <c r="D2210" i="1"/>
  <c r="C2210" i="1"/>
  <c r="B2210" i="1"/>
  <c r="A2210" i="1"/>
  <c r="R2209" i="1"/>
  <c r="J2209" i="1"/>
  <c r="I2209" i="1"/>
  <c r="G2209" i="1"/>
  <c r="F2209" i="1"/>
  <c r="E2209" i="1"/>
  <c r="D2209" i="1"/>
  <c r="C2209" i="1"/>
  <c r="B2209" i="1"/>
  <c r="A2209" i="1"/>
  <c r="R2208" i="1"/>
  <c r="J2208" i="1"/>
  <c r="I2208" i="1"/>
  <c r="G2208" i="1"/>
  <c r="F2208" i="1"/>
  <c r="E2208" i="1"/>
  <c r="D2208" i="1"/>
  <c r="C2208" i="1"/>
  <c r="B2208" i="1"/>
  <c r="A2208" i="1"/>
  <c r="R2207" i="1"/>
  <c r="J2207" i="1"/>
  <c r="I2207" i="1"/>
  <c r="G2207" i="1"/>
  <c r="F2207" i="1"/>
  <c r="E2207" i="1"/>
  <c r="D2207" i="1"/>
  <c r="C2207" i="1"/>
  <c r="B2207" i="1"/>
  <c r="A2207" i="1"/>
  <c r="R2206" i="1"/>
  <c r="J2206" i="1"/>
  <c r="I2206" i="1"/>
  <c r="G2206" i="1"/>
  <c r="F2206" i="1"/>
  <c r="E2206" i="1"/>
  <c r="D2206" i="1"/>
  <c r="C2206" i="1"/>
  <c r="B2206" i="1"/>
  <c r="A2206" i="1"/>
  <c r="R2205" i="1"/>
  <c r="J2205" i="1"/>
  <c r="I2205" i="1"/>
  <c r="G2205" i="1"/>
  <c r="F2205" i="1"/>
  <c r="E2205" i="1"/>
  <c r="D2205" i="1"/>
  <c r="C2205" i="1"/>
  <c r="B2205" i="1"/>
  <c r="A2205" i="1"/>
  <c r="R2204" i="1"/>
  <c r="J2204" i="1"/>
  <c r="I2204" i="1"/>
  <c r="G2204" i="1"/>
  <c r="F2204" i="1"/>
  <c r="E2204" i="1"/>
  <c r="D2204" i="1"/>
  <c r="C2204" i="1"/>
  <c r="B2204" i="1"/>
  <c r="A2204" i="1"/>
  <c r="R2203" i="1"/>
  <c r="J2203" i="1"/>
  <c r="I2203" i="1"/>
  <c r="G2203" i="1"/>
  <c r="F2203" i="1"/>
  <c r="E2203" i="1"/>
  <c r="D2203" i="1"/>
  <c r="C2203" i="1"/>
  <c r="B2203" i="1"/>
  <c r="A2203" i="1"/>
  <c r="R2202" i="1"/>
  <c r="J2202" i="1"/>
  <c r="I2202" i="1"/>
  <c r="G2202" i="1"/>
  <c r="F2202" i="1"/>
  <c r="E2202" i="1"/>
  <c r="D2202" i="1"/>
  <c r="C2202" i="1"/>
  <c r="B2202" i="1"/>
  <c r="A2202" i="1"/>
  <c r="R2201" i="1"/>
  <c r="J2201" i="1"/>
  <c r="I2201" i="1"/>
  <c r="G2201" i="1"/>
  <c r="F2201" i="1"/>
  <c r="E2201" i="1"/>
  <c r="D2201" i="1"/>
  <c r="C2201" i="1"/>
  <c r="B2201" i="1"/>
  <c r="A2201" i="1"/>
  <c r="R2200" i="1"/>
  <c r="J2200" i="1"/>
  <c r="I2200" i="1"/>
  <c r="G2200" i="1"/>
  <c r="F2200" i="1"/>
  <c r="E2200" i="1"/>
  <c r="D2200" i="1"/>
  <c r="C2200" i="1"/>
  <c r="B2200" i="1"/>
  <c r="A2200" i="1"/>
  <c r="R2199" i="1"/>
  <c r="J2199" i="1"/>
  <c r="I2199" i="1"/>
  <c r="G2199" i="1"/>
  <c r="F2199" i="1"/>
  <c r="E2199" i="1"/>
  <c r="D2199" i="1"/>
  <c r="C2199" i="1"/>
  <c r="B2199" i="1"/>
  <c r="A2199" i="1"/>
  <c r="R2198" i="1"/>
  <c r="J2198" i="1"/>
  <c r="I2198" i="1"/>
  <c r="G2198" i="1"/>
  <c r="F2198" i="1"/>
  <c r="E2198" i="1"/>
  <c r="D2198" i="1"/>
  <c r="C2198" i="1"/>
  <c r="B2198" i="1"/>
  <c r="A2198" i="1"/>
  <c r="R2197" i="1"/>
  <c r="J2197" i="1"/>
  <c r="I2197" i="1"/>
  <c r="G2197" i="1"/>
  <c r="F2197" i="1"/>
  <c r="E2197" i="1"/>
  <c r="D2197" i="1"/>
  <c r="C2197" i="1"/>
  <c r="B2197" i="1"/>
  <c r="A2197" i="1"/>
  <c r="R2196" i="1"/>
  <c r="J2196" i="1"/>
  <c r="I2196" i="1"/>
  <c r="G2196" i="1"/>
  <c r="F2196" i="1"/>
  <c r="E2196" i="1"/>
  <c r="D2196" i="1"/>
  <c r="C2196" i="1"/>
  <c r="B2196" i="1"/>
  <c r="A2196" i="1"/>
  <c r="R2195" i="1"/>
  <c r="J2195" i="1"/>
  <c r="I2195" i="1"/>
  <c r="G2195" i="1"/>
  <c r="F2195" i="1"/>
  <c r="E2195" i="1"/>
  <c r="D2195" i="1"/>
  <c r="C2195" i="1"/>
  <c r="B2195" i="1"/>
  <c r="A2195" i="1"/>
  <c r="R2194" i="1"/>
  <c r="J2194" i="1"/>
  <c r="I2194" i="1"/>
  <c r="G2194" i="1"/>
  <c r="F2194" i="1"/>
  <c r="E2194" i="1"/>
  <c r="D2194" i="1"/>
  <c r="C2194" i="1"/>
  <c r="B2194" i="1"/>
  <c r="A2194" i="1"/>
  <c r="R2193" i="1"/>
  <c r="J2193" i="1"/>
  <c r="I2193" i="1"/>
  <c r="G2193" i="1"/>
  <c r="F2193" i="1"/>
  <c r="E2193" i="1"/>
  <c r="D2193" i="1"/>
  <c r="C2193" i="1"/>
  <c r="B2193" i="1"/>
  <c r="A2193" i="1"/>
  <c r="R2192" i="1"/>
  <c r="J2192" i="1"/>
  <c r="I2192" i="1"/>
  <c r="G2192" i="1"/>
  <c r="F2192" i="1"/>
  <c r="E2192" i="1"/>
  <c r="D2192" i="1"/>
  <c r="C2192" i="1"/>
  <c r="B2192" i="1"/>
  <c r="A2192" i="1"/>
  <c r="R2191" i="1"/>
  <c r="J2191" i="1"/>
  <c r="I2191" i="1"/>
  <c r="G2191" i="1"/>
  <c r="F2191" i="1"/>
  <c r="E2191" i="1"/>
  <c r="D2191" i="1"/>
  <c r="C2191" i="1"/>
  <c r="B2191" i="1"/>
  <c r="A2191" i="1"/>
  <c r="R2190" i="1"/>
  <c r="J2190" i="1"/>
  <c r="I2190" i="1"/>
  <c r="G2190" i="1"/>
  <c r="F2190" i="1"/>
  <c r="E2190" i="1"/>
  <c r="D2190" i="1"/>
  <c r="C2190" i="1"/>
  <c r="B2190" i="1"/>
  <c r="A2190" i="1"/>
  <c r="R2189" i="1"/>
  <c r="J2189" i="1"/>
  <c r="I2189" i="1"/>
  <c r="G2189" i="1"/>
  <c r="F2189" i="1"/>
  <c r="E2189" i="1"/>
  <c r="D2189" i="1"/>
  <c r="C2189" i="1"/>
  <c r="B2189" i="1"/>
  <c r="A2189" i="1"/>
  <c r="R2188" i="1"/>
  <c r="J2188" i="1"/>
  <c r="I2188" i="1"/>
  <c r="G2188" i="1"/>
  <c r="F2188" i="1"/>
  <c r="E2188" i="1"/>
  <c r="D2188" i="1"/>
  <c r="C2188" i="1"/>
  <c r="B2188" i="1"/>
  <c r="A2188" i="1"/>
  <c r="R2187" i="1"/>
  <c r="J2187" i="1"/>
  <c r="I2187" i="1"/>
  <c r="G2187" i="1"/>
  <c r="F2187" i="1"/>
  <c r="E2187" i="1"/>
  <c r="D2187" i="1"/>
  <c r="C2187" i="1"/>
  <c r="B2187" i="1"/>
  <c r="A2187" i="1"/>
  <c r="R2186" i="1"/>
  <c r="J2186" i="1"/>
  <c r="I2186" i="1"/>
  <c r="G2186" i="1"/>
  <c r="F2186" i="1"/>
  <c r="E2186" i="1"/>
  <c r="D2186" i="1"/>
  <c r="C2186" i="1"/>
  <c r="B2186" i="1"/>
  <c r="A2186" i="1"/>
  <c r="R2185" i="1"/>
  <c r="J2185" i="1"/>
  <c r="I2185" i="1"/>
  <c r="G2185" i="1"/>
  <c r="F2185" i="1"/>
  <c r="E2185" i="1"/>
  <c r="D2185" i="1"/>
  <c r="C2185" i="1"/>
  <c r="B2185" i="1"/>
  <c r="A2185" i="1"/>
  <c r="R2184" i="1"/>
  <c r="J2184" i="1"/>
  <c r="I2184" i="1"/>
  <c r="G2184" i="1"/>
  <c r="F2184" i="1"/>
  <c r="E2184" i="1"/>
  <c r="D2184" i="1"/>
  <c r="C2184" i="1"/>
  <c r="B2184" i="1"/>
  <c r="A2184" i="1"/>
  <c r="R2183" i="1"/>
  <c r="J2183" i="1"/>
  <c r="I2183" i="1"/>
  <c r="G2183" i="1"/>
  <c r="F2183" i="1"/>
  <c r="E2183" i="1"/>
  <c r="D2183" i="1"/>
  <c r="C2183" i="1"/>
  <c r="B2183" i="1"/>
  <c r="A2183" i="1"/>
  <c r="R2182" i="1"/>
  <c r="J2182" i="1"/>
  <c r="I2182" i="1"/>
  <c r="G2182" i="1"/>
  <c r="F2182" i="1"/>
  <c r="E2182" i="1"/>
  <c r="D2182" i="1"/>
  <c r="C2182" i="1"/>
  <c r="B2182" i="1"/>
  <c r="A2182" i="1"/>
  <c r="R2181" i="1"/>
  <c r="J2181" i="1"/>
  <c r="I2181" i="1"/>
  <c r="G2181" i="1"/>
  <c r="F2181" i="1"/>
  <c r="E2181" i="1"/>
  <c r="D2181" i="1"/>
  <c r="C2181" i="1"/>
  <c r="B2181" i="1"/>
  <c r="A2181" i="1"/>
  <c r="R2180" i="1"/>
  <c r="J2180" i="1"/>
  <c r="I2180" i="1"/>
  <c r="G2180" i="1"/>
  <c r="F2180" i="1"/>
  <c r="E2180" i="1"/>
  <c r="D2180" i="1"/>
  <c r="C2180" i="1"/>
  <c r="B2180" i="1"/>
  <c r="A2180" i="1"/>
  <c r="R2179" i="1"/>
  <c r="J2179" i="1"/>
  <c r="I2179" i="1"/>
  <c r="G2179" i="1"/>
  <c r="F2179" i="1"/>
  <c r="E2179" i="1"/>
  <c r="D2179" i="1"/>
  <c r="C2179" i="1"/>
  <c r="B2179" i="1"/>
  <c r="A2179" i="1"/>
  <c r="R2178" i="1"/>
  <c r="J2178" i="1"/>
  <c r="I2178" i="1"/>
  <c r="G2178" i="1"/>
  <c r="F2178" i="1"/>
  <c r="E2178" i="1"/>
  <c r="D2178" i="1"/>
  <c r="C2178" i="1"/>
  <c r="B2178" i="1"/>
  <c r="A2178" i="1"/>
  <c r="R2177" i="1"/>
  <c r="J2177" i="1"/>
  <c r="I2177" i="1"/>
  <c r="G2177" i="1"/>
  <c r="F2177" i="1"/>
  <c r="E2177" i="1"/>
  <c r="D2177" i="1"/>
  <c r="C2177" i="1"/>
  <c r="B2177" i="1"/>
  <c r="A2177" i="1"/>
  <c r="R2176" i="1"/>
  <c r="J2176" i="1"/>
  <c r="I2176" i="1"/>
  <c r="G2176" i="1"/>
  <c r="F2176" i="1"/>
  <c r="E2176" i="1"/>
  <c r="D2176" i="1"/>
  <c r="C2176" i="1"/>
  <c r="B2176" i="1"/>
  <c r="A2176" i="1"/>
  <c r="R2175" i="1"/>
  <c r="J2175" i="1"/>
  <c r="I2175" i="1"/>
  <c r="G2175" i="1"/>
  <c r="F2175" i="1"/>
  <c r="E2175" i="1"/>
  <c r="D2175" i="1"/>
  <c r="C2175" i="1"/>
  <c r="B2175" i="1"/>
  <c r="A2175" i="1"/>
  <c r="R2174" i="1"/>
  <c r="J2174" i="1"/>
  <c r="I2174" i="1"/>
  <c r="G2174" i="1"/>
  <c r="F2174" i="1"/>
  <c r="E2174" i="1"/>
  <c r="D2174" i="1"/>
  <c r="C2174" i="1"/>
  <c r="B2174" i="1"/>
  <c r="A2174" i="1"/>
  <c r="R2173" i="1"/>
  <c r="J2173" i="1"/>
  <c r="I2173" i="1"/>
  <c r="G2173" i="1"/>
  <c r="F2173" i="1"/>
  <c r="E2173" i="1"/>
  <c r="D2173" i="1"/>
  <c r="C2173" i="1"/>
  <c r="B2173" i="1"/>
  <c r="A2173" i="1"/>
  <c r="R2172" i="1"/>
  <c r="J2172" i="1"/>
  <c r="I2172" i="1"/>
  <c r="G2172" i="1"/>
  <c r="F2172" i="1"/>
  <c r="E2172" i="1"/>
  <c r="D2172" i="1"/>
  <c r="C2172" i="1"/>
  <c r="B2172" i="1"/>
  <c r="A2172" i="1"/>
  <c r="R2171" i="1"/>
  <c r="J2171" i="1"/>
  <c r="I2171" i="1"/>
  <c r="G2171" i="1"/>
  <c r="F2171" i="1"/>
  <c r="E2171" i="1"/>
  <c r="D2171" i="1"/>
  <c r="C2171" i="1"/>
  <c r="B2171" i="1"/>
  <c r="A2171" i="1"/>
  <c r="R2170" i="1"/>
  <c r="J2170" i="1"/>
  <c r="I2170" i="1"/>
  <c r="G2170" i="1"/>
  <c r="F2170" i="1"/>
  <c r="E2170" i="1"/>
  <c r="D2170" i="1"/>
  <c r="C2170" i="1"/>
  <c r="B2170" i="1"/>
  <c r="A2170" i="1"/>
  <c r="R2169" i="1"/>
  <c r="J2169" i="1"/>
  <c r="I2169" i="1"/>
  <c r="G2169" i="1"/>
  <c r="F2169" i="1"/>
  <c r="E2169" i="1"/>
  <c r="D2169" i="1"/>
  <c r="C2169" i="1"/>
  <c r="B2169" i="1"/>
  <c r="A2169" i="1"/>
  <c r="R2168" i="1"/>
  <c r="J2168" i="1"/>
  <c r="I2168" i="1"/>
  <c r="G2168" i="1"/>
  <c r="F2168" i="1"/>
  <c r="E2168" i="1"/>
  <c r="D2168" i="1"/>
  <c r="C2168" i="1"/>
  <c r="B2168" i="1"/>
  <c r="A2168" i="1"/>
  <c r="R2167" i="1"/>
  <c r="J2167" i="1"/>
  <c r="I2167" i="1"/>
  <c r="G2167" i="1"/>
  <c r="F2167" i="1"/>
  <c r="E2167" i="1"/>
  <c r="D2167" i="1"/>
  <c r="C2167" i="1"/>
  <c r="B2167" i="1"/>
  <c r="A2167" i="1"/>
  <c r="R2166" i="1"/>
  <c r="J2166" i="1"/>
  <c r="I2166" i="1"/>
  <c r="G2166" i="1"/>
  <c r="F2166" i="1"/>
  <c r="E2166" i="1"/>
  <c r="D2166" i="1"/>
  <c r="C2166" i="1"/>
  <c r="B2166" i="1"/>
  <c r="A2166" i="1"/>
  <c r="R2165" i="1"/>
  <c r="J2165" i="1"/>
  <c r="I2165" i="1"/>
  <c r="G2165" i="1"/>
  <c r="F2165" i="1"/>
  <c r="E2165" i="1"/>
  <c r="D2165" i="1"/>
  <c r="C2165" i="1"/>
  <c r="B2165" i="1"/>
  <c r="A2165" i="1"/>
  <c r="R2164" i="1"/>
  <c r="J2164" i="1"/>
  <c r="I2164" i="1"/>
  <c r="G2164" i="1"/>
  <c r="F2164" i="1"/>
  <c r="E2164" i="1"/>
  <c r="D2164" i="1"/>
  <c r="C2164" i="1"/>
  <c r="B2164" i="1"/>
  <c r="A2164" i="1"/>
  <c r="R2163" i="1"/>
  <c r="J2163" i="1"/>
  <c r="I2163" i="1"/>
  <c r="G2163" i="1"/>
  <c r="F2163" i="1"/>
  <c r="E2163" i="1"/>
  <c r="D2163" i="1"/>
  <c r="C2163" i="1"/>
  <c r="B2163" i="1"/>
  <c r="A2163" i="1"/>
  <c r="R2162" i="1"/>
  <c r="J2162" i="1"/>
  <c r="I2162" i="1"/>
  <c r="G2162" i="1"/>
  <c r="F2162" i="1"/>
  <c r="E2162" i="1"/>
  <c r="D2162" i="1"/>
  <c r="C2162" i="1"/>
  <c r="B2162" i="1"/>
  <c r="A2162" i="1"/>
  <c r="R2161" i="1"/>
  <c r="J2161" i="1"/>
  <c r="I2161" i="1"/>
  <c r="G2161" i="1"/>
  <c r="F2161" i="1"/>
  <c r="E2161" i="1"/>
  <c r="D2161" i="1"/>
  <c r="C2161" i="1"/>
  <c r="B2161" i="1"/>
  <c r="A2161" i="1"/>
  <c r="S2160" i="1"/>
  <c r="O2160" i="1"/>
  <c r="K2160" i="1"/>
  <c r="J2160" i="1"/>
  <c r="I2160" i="1"/>
  <c r="H2160" i="1"/>
  <c r="G2160" i="1"/>
  <c r="F2160" i="1"/>
  <c r="E2160" i="1"/>
  <c r="D2160" i="1"/>
  <c r="C2160" i="1"/>
  <c r="B2160" i="1"/>
  <c r="A2160" i="1"/>
  <c r="R2159" i="1"/>
  <c r="J2159" i="1"/>
  <c r="I2159" i="1"/>
  <c r="G2159" i="1"/>
  <c r="F2159" i="1"/>
  <c r="E2159" i="1"/>
  <c r="D2159" i="1"/>
  <c r="C2159" i="1"/>
  <c r="B2159" i="1"/>
  <c r="A2159" i="1"/>
  <c r="R2158" i="1"/>
  <c r="J2158" i="1"/>
  <c r="I2158" i="1"/>
  <c r="G2158" i="1"/>
  <c r="F2158" i="1"/>
  <c r="E2158" i="1"/>
  <c r="D2158" i="1"/>
  <c r="C2158" i="1"/>
  <c r="B2158" i="1"/>
  <c r="A2158" i="1"/>
  <c r="R2157" i="1"/>
  <c r="J2157" i="1"/>
  <c r="I2157" i="1"/>
  <c r="G2157" i="1"/>
  <c r="F2157" i="1"/>
  <c r="E2157" i="1"/>
  <c r="D2157" i="1"/>
  <c r="C2157" i="1"/>
  <c r="B2157" i="1"/>
  <c r="A2157" i="1"/>
  <c r="R2156" i="1"/>
  <c r="J2156" i="1"/>
  <c r="I2156" i="1"/>
  <c r="G2156" i="1"/>
  <c r="F2156" i="1"/>
  <c r="E2156" i="1"/>
  <c r="D2156" i="1"/>
  <c r="C2156" i="1"/>
  <c r="B2156" i="1"/>
  <c r="A2156" i="1"/>
  <c r="R2155" i="1"/>
  <c r="J2155" i="1"/>
  <c r="I2155" i="1"/>
  <c r="G2155" i="1"/>
  <c r="F2155" i="1"/>
  <c r="E2155" i="1"/>
  <c r="D2155" i="1"/>
  <c r="C2155" i="1"/>
  <c r="B2155" i="1"/>
  <c r="A2155" i="1"/>
  <c r="R2154" i="1"/>
  <c r="J2154" i="1"/>
  <c r="I2154" i="1"/>
  <c r="G2154" i="1"/>
  <c r="F2154" i="1"/>
  <c r="E2154" i="1"/>
  <c r="D2154" i="1"/>
  <c r="C2154" i="1"/>
  <c r="B2154" i="1"/>
  <c r="A2154" i="1"/>
  <c r="R2153" i="1"/>
  <c r="J2153" i="1"/>
  <c r="I2153" i="1"/>
  <c r="G2153" i="1"/>
  <c r="F2153" i="1"/>
  <c r="E2153" i="1"/>
  <c r="D2153" i="1"/>
  <c r="C2153" i="1"/>
  <c r="B2153" i="1"/>
  <c r="A2153" i="1"/>
  <c r="R2152" i="1"/>
  <c r="J2152" i="1"/>
  <c r="I2152" i="1"/>
  <c r="G2152" i="1"/>
  <c r="F2152" i="1"/>
  <c r="E2152" i="1"/>
  <c r="D2152" i="1"/>
  <c r="C2152" i="1"/>
  <c r="B2152" i="1"/>
  <c r="A2152" i="1"/>
  <c r="R2151" i="1"/>
  <c r="J2151" i="1"/>
  <c r="I2151" i="1"/>
  <c r="G2151" i="1"/>
  <c r="F2151" i="1"/>
  <c r="E2151" i="1"/>
  <c r="D2151" i="1"/>
  <c r="C2151" i="1"/>
  <c r="B2151" i="1"/>
  <c r="A2151" i="1"/>
  <c r="R2150" i="1"/>
  <c r="J2150" i="1"/>
  <c r="I2150" i="1"/>
  <c r="G2150" i="1"/>
  <c r="F2150" i="1"/>
  <c r="E2150" i="1"/>
  <c r="D2150" i="1"/>
  <c r="C2150" i="1"/>
  <c r="B2150" i="1"/>
  <c r="A2150" i="1"/>
  <c r="S2149" i="1"/>
  <c r="O2149" i="1"/>
  <c r="K2149" i="1"/>
  <c r="J2149" i="1"/>
  <c r="I2149" i="1"/>
  <c r="H2149" i="1"/>
  <c r="G2149" i="1"/>
  <c r="F2149" i="1"/>
  <c r="E2149" i="1"/>
  <c r="D2149" i="1"/>
  <c r="C2149" i="1"/>
  <c r="B2149" i="1"/>
  <c r="A2149" i="1"/>
  <c r="R2148" i="1"/>
  <c r="J2148" i="1"/>
  <c r="I2148" i="1"/>
  <c r="G2148" i="1"/>
  <c r="F2148" i="1"/>
  <c r="E2148" i="1"/>
  <c r="D2148" i="1"/>
  <c r="C2148" i="1"/>
  <c r="B2148" i="1"/>
  <c r="A2148" i="1"/>
  <c r="R2147" i="1"/>
  <c r="J2147" i="1"/>
  <c r="I2147" i="1"/>
  <c r="G2147" i="1"/>
  <c r="F2147" i="1"/>
  <c r="E2147" i="1"/>
  <c r="D2147" i="1"/>
  <c r="C2147" i="1"/>
  <c r="B2147" i="1"/>
  <c r="A2147" i="1"/>
  <c r="R2146" i="1"/>
  <c r="J2146" i="1"/>
  <c r="I2146" i="1"/>
  <c r="G2146" i="1"/>
  <c r="F2146" i="1"/>
  <c r="E2146" i="1"/>
  <c r="D2146" i="1"/>
  <c r="C2146" i="1"/>
  <c r="B2146" i="1"/>
  <c r="A2146" i="1"/>
  <c r="R2145" i="1"/>
  <c r="J2145" i="1"/>
  <c r="I2145" i="1"/>
  <c r="G2145" i="1"/>
  <c r="F2145" i="1"/>
  <c r="E2145" i="1"/>
  <c r="D2145" i="1"/>
  <c r="C2145" i="1"/>
  <c r="B2145" i="1"/>
  <c r="A2145" i="1"/>
  <c r="R2144" i="1"/>
  <c r="J2144" i="1"/>
  <c r="I2144" i="1"/>
  <c r="G2144" i="1"/>
  <c r="F2144" i="1"/>
  <c r="E2144" i="1"/>
  <c r="D2144" i="1"/>
  <c r="C2144" i="1"/>
  <c r="B2144" i="1"/>
  <c r="A2144" i="1"/>
  <c r="R2143" i="1"/>
  <c r="J2143" i="1"/>
  <c r="I2143" i="1"/>
  <c r="G2143" i="1"/>
  <c r="F2143" i="1"/>
  <c r="E2143" i="1"/>
  <c r="D2143" i="1"/>
  <c r="C2143" i="1"/>
  <c r="B2143" i="1"/>
  <c r="A2143" i="1"/>
  <c r="R2142" i="1"/>
  <c r="J2142" i="1"/>
  <c r="I2142" i="1"/>
  <c r="G2142" i="1"/>
  <c r="F2142" i="1"/>
  <c r="E2142" i="1"/>
  <c r="D2142" i="1"/>
  <c r="C2142" i="1"/>
  <c r="B2142" i="1"/>
  <c r="A2142" i="1"/>
  <c r="R2141" i="1"/>
  <c r="J2141" i="1"/>
  <c r="I2141" i="1"/>
  <c r="G2141" i="1"/>
  <c r="F2141" i="1"/>
  <c r="E2141" i="1"/>
  <c r="D2141" i="1"/>
  <c r="C2141" i="1"/>
  <c r="B2141" i="1"/>
  <c r="A2141" i="1"/>
  <c r="R2140" i="1"/>
  <c r="J2140" i="1"/>
  <c r="I2140" i="1"/>
  <c r="G2140" i="1"/>
  <c r="F2140" i="1"/>
  <c r="E2140" i="1"/>
  <c r="D2140" i="1"/>
  <c r="C2140" i="1"/>
  <c r="B2140" i="1"/>
  <c r="A2140" i="1"/>
  <c r="R2139" i="1"/>
  <c r="J2139" i="1"/>
  <c r="I2139" i="1"/>
  <c r="G2139" i="1"/>
  <c r="F2139" i="1"/>
  <c r="E2139" i="1"/>
  <c r="D2139" i="1"/>
  <c r="C2139" i="1"/>
  <c r="B2139" i="1"/>
  <c r="A2139" i="1"/>
  <c r="R2138" i="1"/>
  <c r="J2138" i="1"/>
  <c r="I2138" i="1"/>
  <c r="G2138" i="1"/>
  <c r="F2138" i="1"/>
  <c r="E2138" i="1"/>
  <c r="D2138" i="1"/>
  <c r="C2138" i="1"/>
  <c r="B2138" i="1"/>
  <c r="A2138" i="1"/>
  <c r="R2137" i="1"/>
  <c r="J2137" i="1"/>
  <c r="I2137" i="1"/>
  <c r="G2137" i="1"/>
  <c r="F2137" i="1"/>
  <c r="E2137" i="1"/>
  <c r="D2137" i="1"/>
  <c r="C2137" i="1"/>
  <c r="B2137" i="1"/>
  <c r="A2137" i="1"/>
  <c r="R2136" i="1"/>
  <c r="J2136" i="1"/>
  <c r="I2136" i="1"/>
  <c r="G2136" i="1"/>
  <c r="F2136" i="1"/>
  <c r="E2136" i="1"/>
  <c r="D2136" i="1"/>
  <c r="C2136" i="1"/>
  <c r="B2136" i="1"/>
  <c r="A2136" i="1"/>
  <c r="R2135" i="1"/>
  <c r="J2135" i="1"/>
  <c r="I2135" i="1"/>
  <c r="G2135" i="1"/>
  <c r="F2135" i="1"/>
  <c r="E2135" i="1"/>
  <c r="D2135" i="1"/>
  <c r="C2135" i="1"/>
  <c r="B2135" i="1"/>
  <c r="A2135" i="1"/>
  <c r="R2134" i="1"/>
  <c r="J2134" i="1"/>
  <c r="I2134" i="1"/>
  <c r="G2134" i="1"/>
  <c r="F2134" i="1"/>
  <c r="E2134" i="1"/>
  <c r="D2134" i="1"/>
  <c r="C2134" i="1"/>
  <c r="B2134" i="1"/>
  <c r="A2134" i="1"/>
  <c r="R2133" i="1"/>
  <c r="J2133" i="1"/>
  <c r="I2133" i="1"/>
  <c r="G2133" i="1"/>
  <c r="F2133" i="1"/>
  <c r="E2133" i="1"/>
  <c r="D2133" i="1"/>
  <c r="C2133" i="1"/>
  <c r="B2133" i="1"/>
  <c r="A2133" i="1"/>
  <c r="R2132" i="1"/>
  <c r="J2132" i="1"/>
  <c r="I2132" i="1"/>
  <c r="G2132" i="1"/>
  <c r="F2132" i="1"/>
  <c r="E2132" i="1"/>
  <c r="D2132" i="1"/>
  <c r="C2132" i="1"/>
  <c r="B2132" i="1"/>
  <c r="A2132" i="1"/>
  <c r="S2131" i="1"/>
  <c r="O2131" i="1"/>
  <c r="K2131" i="1"/>
  <c r="J2131" i="1"/>
  <c r="I2131" i="1"/>
  <c r="H2131" i="1"/>
  <c r="G2131" i="1"/>
  <c r="F2131" i="1"/>
  <c r="E2131" i="1"/>
  <c r="D2131" i="1"/>
  <c r="C2131" i="1"/>
  <c r="B2131" i="1"/>
  <c r="A2131" i="1"/>
  <c r="R2130" i="1"/>
  <c r="J2130" i="1"/>
  <c r="I2130" i="1"/>
  <c r="G2130" i="1"/>
  <c r="F2130" i="1"/>
  <c r="E2130" i="1"/>
  <c r="D2130" i="1"/>
  <c r="C2130" i="1"/>
  <c r="B2130" i="1"/>
  <c r="A2130" i="1"/>
  <c r="S2129" i="1"/>
  <c r="O2129" i="1"/>
  <c r="K2129" i="1"/>
  <c r="J2129" i="1"/>
  <c r="I2129" i="1"/>
  <c r="H2129" i="1"/>
  <c r="G2129" i="1"/>
  <c r="F2129" i="1"/>
  <c r="E2129" i="1"/>
  <c r="D2129" i="1"/>
  <c r="C2129" i="1"/>
  <c r="B2129" i="1"/>
  <c r="A2129" i="1"/>
  <c r="R2128" i="1"/>
  <c r="J2128" i="1"/>
  <c r="I2128" i="1"/>
  <c r="G2128" i="1"/>
  <c r="F2128" i="1"/>
  <c r="E2128" i="1"/>
  <c r="D2128" i="1"/>
  <c r="C2128" i="1"/>
  <c r="B2128" i="1"/>
  <c r="A2128" i="1"/>
  <c r="S2127" i="1"/>
  <c r="O2127" i="1"/>
  <c r="K2127" i="1"/>
  <c r="J2127" i="1"/>
  <c r="I2127" i="1"/>
  <c r="H2127" i="1"/>
  <c r="G2127" i="1"/>
  <c r="F2127" i="1"/>
  <c r="E2127" i="1"/>
  <c r="D2127" i="1"/>
  <c r="C2127" i="1"/>
  <c r="B2127" i="1"/>
  <c r="A2127" i="1"/>
  <c r="R2126" i="1"/>
  <c r="J2126" i="1"/>
  <c r="I2126" i="1"/>
  <c r="G2126" i="1"/>
  <c r="F2126" i="1"/>
  <c r="E2126" i="1"/>
  <c r="D2126" i="1"/>
  <c r="C2126" i="1"/>
  <c r="B2126" i="1"/>
  <c r="A2126" i="1"/>
  <c r="S2125" i="1"/>
  <c r="O2125" i="1"/>
  <c r="K2125" i="1"/>
  <c r="J2125" i="1"/>
  <c r="I2125" i="1"/>
  <c r="H2125" i="1"/>
  <c r="G2125" i="1"/>
  <c r="F2125" i="1"/>
  <c r="E2125" i="1"/>
  <c r="D2125" i="1"/>
  <c r="C2125" i="1"/>
  <c r="B2125" i="1"/>
  <c r="A2125" i="1"/>
  <c r="R2124" i="1"/>
  <c r="J2124" i="1"/>
  <c r="I2124" i="1"/>
  <c r="G2124" i="1"/>
  <c r="F2124" i="1"/>
  <c r="E2124" i="1"/>
  <c r="D2124" i="1"/>
  <c r="C2124" i="1"/>
  <c r="B2124" i="1"/>
  <c r="A2124" i="1"/>
  <c r="S2123" i="1"/>
  <c r="O2123" i="1"/>
  <c r="K2123" i="1"/>
  <c r="J2123" i="1"/>
  <c r="I2123" i="1"/>
  <c r="H2123" i="1"/>
  <c r="G2123" i="1"/>
  <c r="F2123" i="1"/>
  <c r="E2123" i="1"/>
  <c r="D2123" i="1"/>
  <c r="C2123" i="1"/>
  <c r="B2123" i="1"/>
  <c r="A2123" i="1"/>
  <c r="R2122" i="1"/>
  <c r="J2122" i="1"/>
  <c r="I2122" i="1"/>
  <c r="G2122" i="1"/>
  <c r="F2122" i="1"/>
  <c r="E2122" i="1"/>
  <c r="D2122" i="1"/>
  <c r="C2122" i="1"/>
  <c r="B2122" i="1"/>
  <c r="A2122" i="1"/>
  <c r="S2121" i="1"/>
  <c r="O2121" i="1"/>
  <c r="K2121" i="1"/>
  <c r="J2121" i="1"/>
  <c r="I2121" i="1"/>
  <c r="H2121" i="1"/>
  <c r="G2121" i="1"/>
  <c r="F2121" i="1"/>
  <c r="E2121" i="1"/>
  <c r="D2121" i="1"/>
  <c r="C2121" i="1"/>
  <c r="B2121" i="1"/>
  <c r="A2121" i="1"/>
  <c r="R2120" i="1"/>
  <c r="J2120" i="1"/>
  <c r="I2120" i="1"/>
  <c r="G2120" i="1"/>
  <c r="F2120" i="1"/>
  <c r="E2120" i="1"/>
  <c r="D2120" i="1"/>
  <c r="C2120" i="1"/>
  <c r="B2120" i="1"/>
  <c r="A2120" i="1"/>
  <c r="S2119" i="1"/>
  <c r="O2119" i="1"/>
  <c r="K2119" i="1"/>
  <c r="J2119" i="1"/>
  <c r="I2119" i="1"/>
  <c r="H2119" i="1"/>
  <c r="G2119" i="1"/>
  <c r="F2119" i="1"/>
  <c r="E2119" i="1"/>
  <c r="D2119" i="1"/>
  <c r="C2119" i="1"/>
  <c r="B2119" i="1"/>
  <c r="A2119" i="1"/>
  <c r="R2118" i="1"/>
  <c r="J2118" i="1"/>
  <c r="I2118" i="1"/>
  <c r="G2118" i="1"/>
  <c r="F2118" i="1"/>
  <c r="E2118" i="1"/>
  <c r="D2118" i="1"/>
  <c r="C2118" i="1"/>
  <c r="B2118" i="1"/>
  <c r="A2118" i="1"/>
  <c r="S2117" i="1"/>
  <c r="O2117" i="1"/>
  <c r="K2117" i="1"/>
  <c r="J2117" i="1"/>
  <c r="I2117" i="1"/>
  <c r="H2117" i="1"/>
  <c r="G2117" i="1"/>
  <c r="F2117" i="1"/>
  <c r="E2117" i="1"/>
  <c r="D2117" i="1"/>
  <c r="C2117" i="1"/>
  <c r="B2117" i="1"/>
  <c r="A2117" i="1"/>
  <c r="R2116" i="1"/>
  <c r="J2116" i="1"/>
  <c r="I2116" i="1"/>
  <c r="G2116" i="1"/>
  <c r="F2116" i="1"/>
  <c r="E2116" i="1"/>
  <c r="D2116" i="1"/>
  <c r="C2116" i="1"/>
  <c r="B2116" i="1"/>
  <c r="A2116" i="1"/>
  <c r="S2115" i="1"/>
  <c r="O2115" i="1"/>
  <c r="K2115" i="1"/>
  <c r="J2115" i="1"/>
  <c r="I2115" i="1"/>
  <c r="H2115" i="1"/>
  <c r="G2115" i="1"/>
  <c r="F2115" i="1"/>
  <c r="E2115" i="1"/>
  <c r="D2115" i="1"/>
  <c r="C2115" i="1"/>
  <c r="B2115" i="1"/>
  <c r="A2115" i="1"/>
  <c r="R2114" i="1"/>
  <c r="J2114" i="1"/>
  <c r="I2114" i="1"/>
  <c r="G2114" i="1"/>
  <c r="F2114" i="1"/>
  <c r="E2114" i="1"/>
  <c r="D2114" i="1"/>
  <c r="C2114" i="1"/>
  <c r="B2114" i="1"/>
  <c r="A2114" i="1"/>
  <c r="S2113" i="1"/>
  <c r="O2113" i="1"/>
  <c r="K2113" i="1"/>
  <c r="J2113" i="1"/>
  <c r="I2113" i="1"/>
  <c r="H2113" i="1"/>
  <c r="G2113" i="1"/>
  <c r="F2113" i="1"/>
  <c r="E2113" i="1"/>
  <c r="D2113" i="1"/>
  <c r="C2113" i="1"/>
  <c r="B2113" i="1"/>
  <c r="A2113" i="1"/>
  <c r="R2112" i="1"/>
  <c r="J2112" i="1"/>
  <c r="I2112" i="1"/>
  <c r="G2112" i="1"/>
  <c r="F2112" i="1"/>
  <c r="E2112" i="1"/>
  <c r="D2112" i="1"/>
  <c r="C2112" i="1"/>
  <c r="B2112" i="1"/>
  <c r="A2112" i="1"/>
  <c r="S2111" i="1"/>
  <c r="O2111" i="1"/>
  <c r="K2111" i="1"/>
  <c r="J2111" i="1"/>
  <c r="I2111" i="1"/>
  <c r="H2111" i="1"/>
  <c r="G2111" i="1"/>
  <c r="F2111" i="1"/>
  <c r="E2111" i="1"/>
  <c r="D2111" i="1"/>
  <c r="C2111" i="1"/>
  <c r="B2111" i="1"/>
  <c r="A2111" i="1"/>
  <c r="R2110" i="1"/>
  <c r="J2110" i="1"/>
  <c r="I2110" i="1"/>
  <c r="G2110" i="1"/>
  <c r="F2110" i="1"/>
  <c r="E2110" i="1"/>
  <c r="D2110" i="1"/>
  <c r="C2110" i="1"/>
  <c r="B2110" i="1"/>
  <c r="A2110" i="1"/>
  <c r="R2109" i="1"/>
  <c r="J2109" i="1"/>
  <c r="I2109" i="1"/>
  <c r="G2109" i="1"/>
  <c r="F2109" i="1"/>
  <c r="E2109" i="1"/>
  <c r="D2109" i="1"/>
  <c r="C2109" i="1"/>
  <c r="B2109" i="1"/>
  <c r="A2109" i="1"/>
  <c r="S2108" i="1"/>
  <c r="O2108" i="1"/>
  <c r="K2108" i="1"/>
  <c r="J2108" i="1"/>
  <c r="I2108" i="1"/>
  <c r="H2108" i="1"/>
  <c r="G2108" i="1"/>
  <c r="F2108" i="1"/>
  <c r="E2108" i="1"/>
  <c r="D2108" i="1"/>
  <c r="C2108" i="1"/>
  <c r="B2108" i="1"/>
  <c r="A2108" i="1"/>
  <c r="R2107" i="1"/>
  <c r="J2107" i="1"/>
  <c r="I2107" i="1"/>
  <c r="G2107" i="1"/>
  <c r="F2107" i="1"/>
  <c r="E2107" i="1"/>
  <c r="D2107" i="1"/>
  <c r="C2107" i="1"/>
  <c r="B2107" i="1"/>
  <c r="A2107" i="1"/>
  <c r="S2106" i="1"/>
  <c r="O2106" i="1"/>
  <c r="K2106" i="1"/>
  <c r="J2106" i="1"/>
  <c r="I2106" i="1"/>
  <c r="H2106" i="1"/>
  <c r="G2106" i="1"/>
  <c r="F2106" i="1"/>
  <c r="E2106" i="1"/>
  <c r="D2106" i="1"/>
  <c r="C2106" i="1"/>
  <c r="B2106" i="1"/>
  <c r="A2106" i="1"/>
  <c r="R2105" i="1"/>
  <c r="J2105" i="1"/>
  <c r="I2105" i="1"/>
  <c r="G2105" i="1"/>
  <c r="F2105" i="1"/>
  <c r="E2105" i="1"/>
  <c r="D2105" i="1"/>
  <c r="C2105" i="1"/>
  <c r="B2105" i="1"/>
  <c r="A2105" i="1"/>
  <c r="S2104" i="1"/>
  <c r="O2104" i="1"/>
  <c r="K2104" i="1"/>
  <c r="J2104" i="1"/>
  <c r="I2104" i="1"/>
  <c r="H2104" i="1"/>
  <c r="G2104" i="1"/>
  <c r="F2104" i="1"/>
  <c r="E2104" i="1"/>
  <c r="D2104" i="1"/>
  <c r="C2104" i="1"/>
  <c r="B2104" i="1"/>
  <c r="A2104" i="1"/>
  <c r="R2103" i="1"/>
  <c r="J2103" i="1"/>
  <c r="I2103" i="1"/>
  <c r="G2103" i="1"/>
  <c r="F2103" i="1"/>
  <c r="E2103" i="1"/>
  <c r="D2103" i="1"/>
  <c r="C2103" i="1"/>
  <c r="B2103" i="1"/>
  <c r="A2103" i="1"/>
  <c r="S2102" i="1"/>
  <c r="O2102" i="1"/>
  <c r="K2102" i="1"/>
  <c r="J2102" i="1"/>
  <c r="I2102" i="1"/>
  <c r="H2102" i="1"/>
  <c r="G2102" i="1"/>
  <c r="F2102" i="1"/>
  <c r="E2102" i="1"/>
  <c r="D2102" i="1"/>
  <c r="C2102" i="1"/>
  <c r="B2102" i="1"/>
  <c r="A2102" i="1"/>
  <c r="R2101" i="1"/>
  <c r="J2101" i="1"/>
  <c r="I2101" i="1"/>
  <c r="G2101" i="1"/>
  <c r="F2101" i="1"/>
  <c r="E2101" i="1"/>
  <c r="D2101" i="1"/>
  <c r="C2101" i="1"/>
  <c r="B2101" i="1"/>
  <c r="A2101" i="1"/>
  <c r="S2100" i="1"/>
  <c r="O2100" i="1"/>
  <c r="K2100" i="1"/>
  <c r="J2100" i="1"/>
  <c r="I2100" i="1"/>
  <c r="H2100" i="1"/>
  <c r="G2100" i="1"/>
  <c r="F2100" i="1"/>
  <c r="E2100" i="1"/>
  <c r="D2100" i="1"/>
  <c r="C2100" i="1"/>
  <c r="B2100" i="1"/>
  <c r="A2100" i="1"/>
  <c r="R2099" i="1"/>
  <c r="J2099" i="1"/>
  <c r="I2099" i="1"/>
  <c r="G2099" i="1"/>
  <c r="F2099" i="1"/>
  <c r="E2099" i="1"/>
  <c r="D2099" i="1"/>
  <c r="C2099" i="1"/>
  <c r="B2099" i="1"/>
  <c r="A2099" i="1"/>
  <c r="S2098" i="1"/>
  <c r="O2098" i="1"/>
  <c r="K2098" i="1"/>
  <c r="J2098" i="1"/>
  <c r="I2098" i="1"/>
  <c r="H2098" i="1"/>
  <c r="G2098" i="1"/>
  <c r="F2098" i="1"/>
  <c r="E2098" i="1"/>
  <c r="D2098" i="1"/>
  <c r="C2098" i="1"/>
  <c r="B2098" i="1"/>
  <c r="A2098" i="1"/>
  <c r="R2097" i="1"/>
  <c r="J2097" i="1"/>
  <c r="I2097" i="1"/>
  <c r="G2097" i="1"/>
  <c r="F2097" i="1"/>
  <c r="E2097" i="1"/>
  <c r="D2097" i="1"/>
  <c r="C2097" i="1"/>
  <c r="B2097" i="1"/>
  <c r="A2097" i="1"/>
  <c r="S2096" i="1"/>
  <c r="O2096" i="1"/>
  <c r="K2096" i="1"/>
  <c r="J2096" i="1"/>
  <c r="I2096" i="1"/>
  <c r="H2096" i="1"/>
  <c r="G2096" i="1"/>
  <c r="F2096" i="1"/>
  <c r="E2096" i="1"/>
  <c r="D2096" i="1"/>
  <c r="C2096" i="1"/>
  <c r="B2096" i="1"/>
  <c r="A2096" i="1"/>
  <c r="R2095" i="1"/>
  <c r="J2095" i="1"/>
  <c r="I2095" i="1"/>
  <c r="G2095" i="1"/>
  <c r="F2095" i="1"/>
  <c r="E2095" i="1"/>
  <c r="D2095" i="1"/>
  <c r="C2095" i="1"/>
  <c r="B2095" i="1"/>
  <c r="A2095" i="1"/>
  <c r="S2094" i="1"/>
  <c r="O2094" i="1"/>
  <c r="K2094" i="1"/>
  <c r="J2094" i="1"/>
  <c r="I2094" i="1"/>
  <c r="H2094" i="1"/>
  <c r="G2094" i="1"/>
  <c r="F2094" i="1"/>
  <c r="E2094" i="1"/>
  <c r="D2094" i="1"/>
  <c r="C2094" i="1"/>
  <c r="B2094" i="1"/>
  <c r="A2094" i="1"/>
  <c r="R2093" i="1"/>
  <c r="J2093" i="1"/>
  <c r="I2093" i="1"/>
  <c r="G2093" i="1"/>
  <c r="F2093" i="1"/>
  <c r="E2093" i="1"/>
  <c r="D2093" i="1"/>
  <c r="C2093" i="1"/>
  <c r="B2093" i="1"/>
  <c r="A2093" i="1"/>
  <c r="S2092" i="1"/>
  <c r="O2092" i="1"/>
  <c r="K2092" i="1"/>
  <c r="J2092" i="1"/>
  <c r="I2092" i="1"/>
  <c r="H2092" i="1"/>
  <c r="G2092" i="1"/>
  <c r="F2092" i="1"/>
  <c r="E2092" i="1"/>
  <c r="D2092" i="1"/>
  <c r="C2092" i="1"/>
  <c r="B2092" i="1"/>
  <c r="A2092" i="1"/>
  <c r="R2091" i="1"/>
  <c r="J2091" i="1"/>
  <c r="I2091" i="1"/>
  <c r="G2091" i="1"/>
  <c r="F2091" i="1"/>
  <c r="E2091" i="1"/>
  <c r="D2091" i="1"/>
  <c r="C2091" i="1"/>
  <c r="B2091" i="1"/>
  <c r="A2091" i="1"/>
  <c r="S2090" i="1"/>
  <c r="O2090" i="1"/>
  <c r="K2090" i="1"/>
  <c r="J2090" i="1"/>
  <c r="I2090" i="1"/>
  <c r="H2090" i="1"/>
  <c r="G2090" i="1"/>
  <c r="F2090" i="1"/>
  <c r="E2090" i="1"/>
  <c r="D2090" i="1"/>
  <c r="C2090" i="1"/>
  <c r="B2090" i="1"/>
  <c r="A2090" i="1"/>
  <c r="R2089" i="1"/>
  <c r="J2089" i="1"/>
  <c r="I2089" i="1"/>
  <c r="G2089" i="1"/>
  <c r="F2089" i="1"/>
  <c r="E2089" i="1"/>
  <c r="D2089" i="1"/>
  <c r="C2089" i="1"/>
  <c r="B2089" i="1"/>
  <c r="A2089" i="1"/>
  <c r="S2088" i="1"/>
  <c r="O2088" i="1"/>
  <c r="K2088" i="1"/>
  <c r="J2088" i="1"/>
  <c r="I2088" i="1"/>
  <c r="H2088" i="1"/>
  <c r="G2088" i="1"/>
  <c r="F2088" i="1"/>
  <c r="E2088" i="1"/>
  <c r="D2088" i="1"/>
  <c r="C2088" i="1"/>
  <c r="B2088" i="1"/>
  <c r="A2088" i="1"/>
  <c r="R2087" i="1"/>
  <c r="J2087" i="1"/>
  <c r="I2087" i="1"/>
  <c r="G2087" i="1"/>
  <c r="F2087" i="1"/>
  <c r="E2087" i="1"/>
  <c r="D2087" i="1"/>
  <c r="C2087" i="1"/>
  <c r="B2087" i="1"/>
  <c r="A2087" i="1"/>
  <c r="S2086" i="1"/>
  <c r="O2086" i="1"/>
  <c r="K2086" i="1"/>
  <c r="J2086" i="1"/>
  <c r="I2086" i="1"/>
  <c r="H2086" i="1"/>
  <c r="G2086" i="1"/>
  <c r="F2086" i="1"/>
  <c r="E2086" i="1"/>
  <c r="D2086" i="1"/>
  <c r="C2086" i="1"/>
  <c r="B2086" i="1"/>
  <c r="A2086" i="1"/>
  <c r="R2085" i="1"/>
  <c r="J2085" i="1"/>
  <c r="I2085" i="1"/>
  <c r="G2085" i="1"/>
  <c r="F2085" i="1"/>
  <c r="E2085" i="1"/>
  <c r="D2085" i="1"/>
  <c r="C2085" i="1"/>
  <c r="B2085" i="1"/>
  <c r="A2085" i="1"/>
  <c r="S2084" i="1"/>
  <c r="O2084" i="1"/>
  <c r="K2084" i="1"/>
  <c r="J2084" i="1"/>
  <c r="I2084" i="1"/>
  <c r="H2084" i="1"/>
  <c r="G2084" i="1"/>
  <c r="F2084" i="1"/>
  <c r="E2084" i="1"/>
  <c r="D2084" i="1"/>
  <c r="C2084" i="1"/>
  <c r="B2084" i="1"/>
  <c r="A2084" i="1"/>
  <c r="R2083" i="1"/>
  <c r="J2083" i="1"/>
  <c r="I2083" i="1"/>
  <c r="G2083" i="1"/>
  <c r="F2083" i="1"/>
  <c r="E2083" i="1"/>
  <c r="D2083" i="1"/>
  <c r="C2083" i="1"/>
  <c r="B2083" i="1"/>
  <c r="A2083" i="1"/>
  <c r="S2082" i="1"/>
  <c r="O2082" i="1"/>
  <c r="K2082" i="1"/>
  <c r="J2082" i="1"/>
  <c r="I2082" i="1"/>
  <c r="H2082" i="1"/>
  <c r="G2082" i="1"/>
  <c r="F2082" i="1"/>
  <c r="E2082" i="1"/>
  <c r="D2082" i="1"/>
  <c r="C2082" i="1"/>
  <c r="B2082" i="1"/>
  <c r="A2082" i="1"/>
  <c r="R2081" i="1"/>
  <c r="J2081" i="1"/>
  <c r="I2081" i="1"/>
  <c r="G2081" i="1"/>
  <c r="F2081" i="1"/>
  <c r="E2081" i="1"/>
  <c r="D2081" i="1"/>
  <c r="C2081" i="1"/>
  <c r="B2081" i="1"/>
  <c r="A2081" i="1"/>
  <c r="S2080" i="1"/>
  <c r="O2080" i="1"/>
  <c r="K2080" i="1"/>
  <c r="J2080" i="1"/>
  <c r="I2080" i="1"/>
  <c r="H2080" i="1"/>
  <c r="G2080" i="1"/>
  <c r="F2080" i="1"/>
  <c r="E2080" i="1"/>
  <c r="D2080" i="1"/>
  <c r="C2080" i="1"/>
  <c r="B2080" i="1"/>
  <c r="A2080" i="1"/>
  <c r="R2079" i="1"/>
  <c r="J2079" i="1"/>
  <c r="I2079" i="1"/>
  <c r="G2079" i="1"/>
  <c r="F2079" i="1"/>
  <c r="E2079" i="1"/>
  <c r="D2079" i="1"/>
  <c r="C2079" i="1"/>
  <c r="B2079" i="1"/>
  <c r="A2079" i="1"/>
  <c r="S2078" i="1"/>
  <c r="O2078" i="1"/>
  <c r="K2078" i="1"/>
  <c r="J2078" i="1"/>
  <c r="I2078" i="1"/>
  <c r="H2078" i="1"/>
  <c r="G2078" i="1"/>
  <c r="F2078" i="1"/>
  <c r="E2078" i="1"/>
  <c r="D2078" i="1"/>
  <c r="C2078" i="1"/>
  <c r="B2078" i="1"/>
  <c r="A2078" i="1"/>
  <c r="R2077" i="1"/>
  <c r="J2077" i="1"/>
  <c r="I2077" i="1"/>
  <c r="G2077" i="1"/>
  <c r="F2077" i="1"/>
  <c r="E2077" i="1"/>
  <c r="D2077" i="1"/>
  <c r="C2077" i="1"/>
  <c r="B2077" i="1"/>
  <c r="A2077" i="1"/>
  <c r="S2076" i="1"/>
  <c r="O2076" i="1"/>
  <c r="K2076" i="1"/>
  <c r="J2076" i="1"/>
  <c r="I2076" i="1"/>
  <c r="H2076" i="1"/>
  <c r="G2076" i="1"/>
  <c r="F2076" i="1"/>
  <c r="E2076" i="1"/>
  <c r="D2076" i="1"/>
  <c r="C2076" i="1"/>
  <c r="B2076" i="1"/>
  <c r="A2076" i="1"/>
  <c r="R2075" i="1"/>
  <c r="J2075" i="1"/>
  <c r="I2075" i="1"/>
  <c r="G2075" i="1"/>
  <c r="F2075" i="1"/>
  <c r="E2075" i="1"/>
  <c r="D2075" i="1"/>
  <c r="C2075" i="1"/>
  <c r="B2075" i="1"/>
  <c r="A2075" i="1"/>
  <c r="S2074" i="1"/>
  <c r="O2074" i="1"/>
  <c r="K2074" i="1"/>
  <c r="J2074" i="1"/>
  <c r="I2074" i="1"/>
  <c r="H2074" i="1"/>
  <c r="G2074" i="1"/>
  <c r="F2074" i="1"/>
  <c r="E2074" i="1"/>
  <c r="D2074" i="1"/>
  <c r="C2074" i="1"/>
  <c r="B2074" i="1"/>
  <c r="A2074" i="1"/>
  <c r="R2073" i="1"/>
  <c r="J2073" i="1"/>
  <c r="I2073" i="1"/>
  <c r="G2073" i="1"/>
  <c r="F2073" i="1"/>
  <c r="E2073" i="1"/>
  <c r="D2073" i="1"/>
  <c r="C2073" i="1"/>
  <c r="B2073" i="1"/>
  <c r="A2073" i="1"/>
  <c r="S2072" i="1"/>
  <c r="O2072" i="1"/>
  <c r="K2072" i="1"/>
  <c r="J2072" i="1"/>
  <c r="I2072" i="1"/>
  <c r="H2072" i="1"/>
  <c r="G2072" i="1"/>
  <c r="F2072" i="1"/>
  <c r="E2072" i="1"/>
  <c r="D2072" i="1"/>
  <c r="C2072" i="1"/>
  <c r="B2072" i="1"/>
  <c r="A2072" i="1"/>
  <c r="R2071" i="1"/>
  <c r="J2071" i="1"/>
  <c r="I2071" i="1"/>
  <c r="G2071" i="1"/>
  <c r="F2071" i="1"/>
  <c r="E2071" i="1"/>
  <c r="D2071" i="1"/>
  <c r="C2071" i="1"/>
  <c r="B2071" i="1"/>
  <c r="A2071" i="1"/>
  <c r="S2070" i="1"/>
  <c r="O2070" i="1"/>
  <c r="K2070" i="1"/>
  <c r="J2070" i="1"/>
  <c r="I2070" i="1"/>
  <c r="H2070" i="1"/>
  <c r="G2070" i="1"/>
  <c r="F2070" i="1"/>
  <c r="E2070" i="1"/>
  <c r="D2070" i="1"/>
  <c r="C2070" i="1"/>
  <c r="B2070" i="1"/>
  <c r="A2070" i="1"/>
  <c r="R2069" i="1"/>
  <c r="J2069" i="1"/>
  <c r="I2069" i="1"/>
  <c r="G2069" i="1"/>
  <c r="F2069" i="1"/>
  <c r="E2069" i="1"/>
  <c r="D2069" i="1"/>
  <c r="C2069" i="1"/>
  <c r="B2069" i="1"/>
  <c r="A2069" i="1"/>
  <c r="S2068" i="1"/>
  <c r="O2068" i="1"/>
  <c r="K2068" i="1"/>
  <c r="J2068" i="1"/>
  <c r="I2068" i="1"/>
  <c r="H2068" i="1"/>
  <c r="G2068" i="1"/>
  <c r="F2068" i="1"/>
  <c r="E2068" i="1"/>
  <c r="D2068" i="1"/>
  <c r="C2068" i="1"/>
  <c r="B2068" i="1"/>
  <c r="A2068" i="1"/>
  <c r="R2067" i="1"/>
  <c r="J2067" i="1"/>
  <c r="I2067" i="1"/>
  <c r="G2067" i="1"/>
  <c r="F2067" i="1"/>
  <c r="E2067" i="1"/>
  <c r="D2067" i="1"/>
  <c r="C2067" i="1"/>
  <c r="B2067" i="1"/>
  <c r="A2067" i="1"/>
  <c r="S2066" i="1"/>
  <c r="O2066" i="1"/>
  <c r="K2066" i="1"/>
  <c r="J2066" i="1"/>
  <c r="I2066" i="1"/>
  <c r="H2066" i="1"/>
  <c r="G2066" i="1"/>
  <c r="F2066" i="1"/>
  <c r="E2066" i="1"/>
  <c r="D2066" i="1"/>
  <c r="C2066" i="1"/>
  <c r="B2066" i="1"/>
  <c r="A2066" i="1"/>
  <c r="R2065" i="1"/>
  <c r="J2065" i="1"/>
  <c r="I2065" i="1"/>
  <c r="G2065" i="1"/>
  <c r="F2065" i="1"/>
  <c r="E2065" i="1"/>
  <c r="D2065" i="1"/>
  <c r="C2065" i="1"/>
  <c r="B2065" i="1"/>
  <c r="A2065" i="1"/>
  <c r="S2064" i="1"/>
  <c r="O2064" i="1"/>
  <c r="K2064" i="1"/>
  <c r="J2064" i="1"/>
  <c r="I2064" i="1"/>
  <c r="H2064" i="1"/>
  <c r="G2064" i="1"/>
  <c r="F2064" i="1"/>
  <c r="E2064" i="1"/>
  <c r="D2064" i="1"/>
  <c r="C2064" i="1"/>
  <c r="B2064" i="1"/>
  <c r="A2064" i="1"/>
  <c r="R2063" i="1"/>
  <c r="J2063" i="1"/>
  <c r="I2063" i="1"/>
  <c r="G2063" i="1"/>
  <c r="F2063" i="1"/>
  <c r="E2063" i="1"/>
  <c r="D2063" i="1"/>
  <c r="C2063" i="1"/>
  <c r="B2063" i="1"/>
  <c r="A2063" i="1"/>
  <c r="S2062" i="1"/>
  <c r="O2062" i="1"/>
  <c r="K2062" i="1"/>
  <c r="J2062" i="1"/>
  <c r="I2062" i="1"/>
  <c r="H2062" i="1"/>
  <c r="G2062" i="1"/>
  <c r="F2062" i="1"/>
  <c r="E2062" i="1"/>
  <c r="D2062" i="1"/>
  <c r="C2062" i="1"/>
  <c r="B2062" i="1"/>
  <c r="A2062" i="1"/>
  <c r="R2061" i="1"/>
  <c r="J2061" i="1"/>
  <c r="I2061" i="1"/>
  <c r="G2061" i="1"/>
  <c r="F2061" i="1"/>
  <c r="E2061" i="1"/>
  <c r="D2061" i="1"/>
  <c r="C2061" i="1"/>
  <c r="B2061" i="1"/>
  <c r="A2061" i="1"/>
  <c r="S2060" i="1"/>
  <c r="O2060" i="1"/>
  <c r="K2060" i="1"/>
  <c r="J2060" i="1"/>
  <c r="I2060" i="1"/>
  <c r="H2060" i="1"/>
  <c r="G2060" i="1"/>
  <c r="F2060" i="1"/>
  <c r="E2060" i="1"/>
  <c r="D2060" i="1"/>
  <c r="C2060" i="1"/>
  <c r="B2060" i="1"/>
  <c r="A2060" i="1"/>
  <c r="R2059" i="1"/>
  <c r="J2059" i="1"/>
  <c r="I2059" i="1"/>
  <c r="G2059" i="1"/>
  <c r="F2059" i="1"/>
  <c r="E2059" i="1"/>
  <c r="D2059" i="1"/>
  <c r="C2059" i="1"/>
  <c r="B2059" i="1"/>
  <c r="A2059" i="1"/>
  <c r="S2058" i="1"/>
  <c r="O2058" i="1"/>
  <c r="K2058" i="1"/>
  <c r="J2058" i="1"/>
  <c r="I2058" i="1"/>
  <c r="H2058" i="1"/>
  <c r="G2058" i="1"/>
  <c r="F2058" i="1"/>
  <c r="E2058" i="1"/>
  <c r="D2058" i="1"/>
  <c r="C2058" i="1"/>
  <c r="B2058" i="1"/>
  <c r="A2058" i="1"/>
  <c r="R2057" i="1"/>
  <c r="J2057" i="1"/>
  <c r="I2057" i="1"/>
  <c r="G2057" i="1"/>
  <c r="F2057" i="1"/>
  <c r="E2057" i="1"/>
  <c r="D2057" i="1"/>
  <c r="C2057" i="1"/>
  <c r="B2057" i="1"/>
  <c r="A2057" i="1"/>
  <c r="S2056" i="1"/>
  <c r="O2056" i="1"/>
  <c r="K2056" i="1"/>
  <c r="J2056" i="1"/>
  <c r="I2056" i="1"/>
  <c r="H2056" i="1"/>
  <c r="G2056" i="1"/>
  <c r="F2056" i="1"/>
  <c r="E2056" i="1"/>
  <c r="D2056" i="1"/>
  <c r="C2056" i="1"/>
  <c r="B2056" i="1"/>
  <c r="A2056" i="1"/>
  <c r="R2055" i="1"/>
  <c r="J2055" i="1"/>
  <c r="I2055" i="1"/>
  <c r="G2055" i="1"/>
  <c r="F2055" i="1"/>
  <c r="E2055" i="1"/>
  <c r="D2055" i="1"/>
  <c r="C2055" i="1"/>
  <c r="B2055" i="1"/>
  <c r="A2055" i="1"/>
  <c r="S2054" i="1"/>
  <c r="O2054" i="1"/>
  <c r="K2054" i="1"/>
  <c r="J2054" i="1"/>
  <c r="I2054" i="1"/>
  <c r="H2054" i="1"/>
  <c r="G2054" i="1"/>
  <c r="F2054" i="1"/>
  <c r="E2054" i="1"/>
  <c r="D2054" i="1"/>
  <c r="C2054" i="1"/>
  <c r="B2054" i="1"/>
  <c r="A2054" i="1"/>
  <c r="R2053" i="1"/>
  <c r="J2053" i="1"/>
  <c r="I2053" i="1"/>
  <c r="G2053" i="1"/>
  <c r="F2053" i="1"/>
  <c r="E2053" i="1"/>
  <c r="D2053" i="1"/>
  <c r="C2053" i="1"/>
  <c r="B2053" i="1"/>
  <c r="A2053" i="1"/>
  <c r="S2052" i="1"/>
  <c r="O2052" i="1"/>
  <c r="K2052" i="1"/>
  <c r="J2052" i="1"/>
  <c r="I2052" i="1"/>
  <c r="H2052" i="1"/>
  <c r="G2052" i="1"/>
  <c r="F2052" i="1"/>
  <c r="E2052" i="1"/>
  <c r="D2052" i="1"/>
  <c r="C2052" i="1"/>
  <c r="B2052" i="1"/>
  <c r="A2052" i="1"/>
  <c r="R2051" i="1"/>
  <c r="J2051" i="1"/>
  <c r="I2051" i="1"/>
  <c r="G2051" i="1"/>
  <c r="F2051" i="1"/>
  <c r="E2051" i="1"/>
  <c r="D2051" i="1"/>
  <c r="C2051" i="1"/>
  <c r="B2051" i="1"/>
  <c r="A2051" i="1"/>
  <c r="S2050" i="1"/>
  <c r="O2050" i="1"/>
  <c r="K2050" i="1"/>
  <c r="J2050" i="1"/>
  <c r="I2050" i="1"/>
  <c r="H2050" i="1"/>
  <c r="G2050" i="1"/>
  <c r="F2050" i="1"/>
  <c r="E2050" i="1"/>
  <c r="D2050" i="1"/>
  <c r="C2050" i="1"/>
  <c r="B2050" i="1"/>
  <c r="A2050" i="1"/>
  <c r="R2049" i="1"/>
  <c r="J2049" i="1"/>
  <c r="I2049" i="1"/>
  <c r="G2049" i="1"/>
  <c r="F2049" i="1"/>
  <c r="E2049" i="1"/>
  <c r="D2049" i="1"/>
  <c r="C2049" i="1"/>
  <c r="B2049" i="1"/>
  <c r="A2049" i="1"/>
  <c r="S2048" i="1"/>
  <c r="O2048" i="1"/>
  <c r="K2048" i="1"/>
  <c r="J2048" i="1"/>
  <c r="I2048" i="1"/>
  <c r="H2048" i="1"/>
  <c r="G2048" i="1"/>
  <c r="F2048" i="1"/>
  <c r="E2048" i="1"/>
  <c r="D2048" i="1"/>
  <c r="C2048" i="1"/>
  <c r="B2048" i="1"/>
  <c r="A2048" i="1"/>
  <c r="R2047" i="1"/>
  <c r="J2047" i="1"/>
  <c r="I2047" i="1"/>
  <c r="G2047" i="1"/>
  <c r="F2047" i="1"/>
  <c r="E2047" i="1"/>
  <c r="D2047" i="1"/>
  <c r="C2047" i="1"/>
  <c r="B2047" i="1"/>
  <c r="A2047" i="1"/>
  <c r="S2046" i="1"/>
  <c r="O2046" i="1"/>
  <c r="K2046" i="1"/>
  <c r="J2046" i="1"/>
  <c r="I2046" i="1"/>
  <c r="H2046" i="1"/>
  <c r="G2046" i="1"/>
  <c r="F2046" i="1"/>
  <c r="E2046" i="1"/>
  <c r="D2046" i="1"/>
  <c r="C2046" i="1"/>
  <c r="B2046" i="1"/>
  <c r="A2046" i="1"/>
  <c r="R2045" i="1"/>
  <c r="J2045" i="1"/>
  <c r="I2045" i="1"/>
  <c r="G2045" i="1"/>
  <c r="F2045" i="1"/>
  <c r="E2045" i="1"/>
  <c r="D2045" i="1"/>
  <c r="C2045" i="1"/>
  <c r="B2045" i="1"/>
  <c r="A2045" i="1"/>
  <c r="S2044" i="1"/>
  <c r="O2044" i="1"/>
  <c r="K2044" i="1"/>
  <c r="J2044" i="1"/>
  <c r="I2044" i="1"/>
  <c r="H2044" i="1"/>
  <c r="G2044" i="1"/>
  <c r="F2044" i="1"/>
  <c r="E2044" i="1"/>
  <c r="D2044" i="1"/>
  <c r="C2044" i="1"/>
  <c r="B2044" i="1"/>
  <c r="A2044" i="1"/>
  <c r="R2043" i="1"/>
  <c r="J2043" i="1"/>
  <c r="I2043" i="1"/>
  <c r="G2043" i="1"/>
  <c r="F2043" i="1"/>
  <c r="E2043" i="1"/>
  <c r="D2043" i="1"/>
  <c r="C2043" i="1"/>
  <c r="B2043" i="1"/>
  <c r="A2043" i="1"/>
  <c r="S2042" i="1"/>
  <c r="O2042" i="1"/>
  <c r="K2042" i="1"/>
  <c r="J2042" i="1"/>
  <c r="I2042" i="1"/>
  <c r="H2042" i="1"/>
  <c r="G2042" i="1"/>
  <c r="F2042" i="1"/>
  <c r="E2042" i="1"/>
  <c r="D2042" i="1"/>
  <c r="C2042" i="1"/>
  <c r="B2042" i="1"/>
  <c r="A2042" i="1"/>
  <c r="R2041" i="1"/>
  <c r="J2041" i="1"/>
  <c r="I2041" i="1"/>
  <c r="G2041" i="1"/>
  <c r="F2041" i="1"/>
  <c r="E2041" i="1"/>
  <c r="D2041" i="1"/>
  <c r="C2041" i="1"/>
  <c r="B2041" i="1"/>
  <c r="A2041" i="1"/>
  <c r="S2040" i="1"/>
  <c r="O2040" i="1"/>
  <c r="K2040" i="1"/>
  <c r="J2040" i="1"/>
  <c r="I2040" i="1"/>
  <c r="H2040" i="1"/>
  <c r="G2040" i="1"/>
  <c r="F2040" i="1"/>
  <c r="E2040" i="1"/>
  <c r="D2040" i="1"/>
  <c r="C2040" i="1"/>
  <c r="B2040" i="1"/>
  <c r="A2040" i="1"/>
  <c r="R2039" i="1"/>
  <c r="J2039" i="1"/>
  <c r="I2039" i="1"/>
  <c r="G2039" i="1"/>
  <c r="F2039" i="1"/>
  <c r="E2039" i="1"/>
  <c r="D2039" i="1"/>
  <c r="C2039" i="1"/>
  <c r="B2039" i="1"/>
  <c r="A2039" i="1"/>
  <c r="S2038" i="1"/>
  <c r="O2038" i="1"/>
  <c r="K2038" i="1"/>
  <c r="J2038" i="1"/>
  <c r="I2038" i="1"/>
  <c r="H2038" i="1"/>
  <c r="G2038" i="1"/>
  <c r="F2038" i="1"/>
  <c r="E2038" i="1"/>
  <c r="D2038" i="1"/>
  <c r="C2038" i="1"/>
  <c r="B2038" i="1"/>
  <c r="A2038" i="1"/>
  <c r="R2037" i="1"/>
  <c r="J2037" i="1"/>
  <c r="I2037" i="1"/>
  <c r="G2037" i="1"/>
  <c r="F2037" i="1"/>
  <c r="E2037" i="1"/>
  <c r="D2037" i="1"/>
  <c r="C2037" i="1"/>
  <c r="B2037" i="1"/>
  <c r="A2037" i="1"/>
  <c r="S2036" i="1"/>
  <c r="O2036" i="1"/>
  <c r="K2036" i="1"/>
  <c r="J2036" i="1"/>
  <c r="I2036" i="1"/>
  <c r="H2036" i="1"/>
  <c r="G2036" i="1"/>
  <c r="F2036" i="1"/>
  <c r="E2036" i="1"/>
  <c r="D2036" i="1"/>
  <c r="C2036" i="1"/>
  <c r="B2036" i="1"/>
  <c r="A2036" i="1"/>
  <c r="R2035" i="1"/>
  <c r="J2035" i="1"/>
  <c r="I2035" i="1"/>
  <c r="G2035" i="1"/>
  <c r="F2035" i="1"/>
  <c r="E2035" i="1"/>
  <c r="D2035" i="1"/>
  <c r="C2035" i="1"/>
  <c r="B2035" i="1"/>
  <c r="A2035" i="1"/>
  <c r="S2034" i="1"/>
  <c r="O2034" i="1"/>
  <c r="K2034" i="1"/>
  <c r="J2034" i="1"/>
  <c r="I2034" i="1"/>
  <c r="H2034" i="1"/>
  <c r="G2034" i="1"/>
  <c r="F2034" i="1"/>
  <c r="E2034" i="1"/>
  <c r="D2034" i="1"/>
  <c r="C2034" i="1"/>
  <c r="B2034" i="1"/>
  <c r="A2034" i="1"/>
  <c r="R2033" i="1"/>
  <c r="J2033" i="1"/>
  <c r="I2033" i="1"/>
  <c r="G2033" i="1"/>
  <c r="F2033" i="1"/>
  <c r="E2033" i="1"/>
  <c r="D2033" i="1"/>
  <c r="C2033" i="1"/>
  <c r="B2033" i="1"/>
  <c r="A2033" i="1"/>
  <c r="S2032" i="1"/>
  <c r="O2032" i="1"/>
  <c r="K2032" i="1"/>
  <c r="J2032" i="1"/>
  <c r="I2032" i="1"/>
  <c r="H2032" i="1"/>
  <c r="G2032" i="1"/>
  <c r="F2032" i="1"/>
  <c r="E2032" i="1"/>
  <c r="D2032" i="1"/>
  <c r="C2032" i="1"/>
  <c r="B2032" i="1"/>
  <c r="A2032" i="1"/>
  <c r="R2031" i="1"/>
  <c r="J2031" i="1"/>
  <c r="I2031" i="1"/>
  <c r="G2031" i="1"/>
  <c r="F2031" i="1"/>
  <c r="E2031" i="1"/>
  <c r="D2031" i="1"/>
  <c r="C2031" i="1"/>
  <c r="B2031" i="1"/>
  <c r="A2031" i="1"/>
  <c r="S2030" i="1"/>
  <c r="O2030" i="1"/>
  <c r="K2030" i="1"/>
  <c r="J2030" i="1"/>
  <c r="I2030" i="1"/>
  <c r="H2030" i="1"/>
  <c r="G2030" i="1"/>
  <c r="F2030" i="1"/>
  <c r="E2030" i="1"/>
  <c r="D2030" i="1"/>
  <c r="C2030" i="1"/>
  <c r="B2030" i="1"/>
  <c r="A2030" i="1"/>
  <c r="R2029" i="1"/>
  <c r="J2029" i="1"/>
  <c r="I2029" i="1"/>
  <c r="G2029" i="1"/>
  <c r="F2029" i="1"/>
  <c r="E2029" i="1"/>
  <c r="D2029" i="1"/>
  <c r="C2029" i="1"/>
  <c r="B2029" i="1"/>
  <c r="A2029" i="1"/>
  <c r="S2028" i="1"/>
  <c r="O2028" i="1"/>
  <c r="K2028" i="1"/>
  <c r="J2028" i="1"/>
  <c r="I2028" i="1"/>
  <c r="H2028" i="1"/>
  <c r="G2028" i="1"/>
  <c r="F2028" i="1"/>
  <c r="E2028" i="1"/>
  <c r="D2028" i="1"/>
  <c r="C2028" i="1"/>
  <c r="B2028" i="1"/>
  <c r="A2028" i="1"/>
  <c r="R2027" i="1"/>
  <c r="J2027" i="1"/>
  <c r="I2027" i="1"/>
  <c r="G2027" i="1"/>
  <c r="F2027" i="1"/>
  <c r="E2027" i="1"/>
  <c r="D2027" i="1"/>
  <c r="C2027" i="1"/>
  <c r="B2027" i="1"/>
  <c r="A2027" i="1"/>
  <c r="S2026" i="1"/>
  <c r="O2026" i="1"/>
  <c r="K2026" i="1"/>
  <c r="J2026" i="1"/>
  <c r="I2026" i="1"/>
  <c r="H2026" i="1"/>
  <c r="G2026" i="1"/>
  <c r="F2026" i="1"/>
  <c r="E2026" i="1"/>
  <c r="D2026" i="1"/>
  <c r="C2026" i="1"/>
  <c r="B2026" i="1"/>
  <c r="A2026" i="1"/>
  <c r="R2025" i="1"/>
  <c r="J2025" i="1"/>
  <c r="I2025" i="1"/>
  <c r="G2025" i="1"/>
  <c r="F2025" i="1"/>
  <c r="E2025" i="1"/>
  <c r="D2025" i="1"/>
  <c r="C2025" i="1"/>
  <c r="B2025" i="1"/>
  <c r="A2025" i="1"/>
  <c r="S2024" i="1"/>
  <c r="O2024" i="1"/>
  <c r="K2024" i="1"/>
  <c r="J2024" i="1"/>
  <c r="I2024" i="1"/>
  <c r="H2024" i="1"/>
  <c r="G2024" i="1"/>
  <c r="F2024" i="1"/>
  <c r="E2024" i="1"/>
  <c r="D2024" i="1"/>
  <c r="C2024" i="1"/>
  <c r="B2024" i="1"/>
  <c r="A2024" i="1"/>
  <c r="R2023" i="1"/>
  <c r="J2023" i="1"/>
  <c r="I2023" i="1"/>
  <c r="G2023" i="1"/>
  <c r="F2023" i="1"/>
  <c r="E2023" i="1"/>
  <c r="D2023" i="1"/>
  <c r="C2023" i="1"/>
  <c r="B2023" i="1"/>
  <c r="A2023" i="1"/>
  <c r="S2022" i="1"/>
  <c r="O2022" i="1"/>
  <c r="K2022" i="1"/>
  <c r="J2022" i="1"/>
  <c r="I2022" i="1"/>
  <c r="H2022" i="1"/>
  <c r="G2022" i="1"/>
  <c r="F2022" i="1"/>
  <c r="E2022" i="1"/>
  <c r="D2022" i="1"/>
  <c r="C2022" i="1"/>
  <c r="B2022" i="1"/>
  <c r="A2022" i="1"/>
  <c r="R2021" i="1"/>
  <c r="J2021" i="1"/>
  <c r="I2021" i="1"/>
  <c r="G2021" i="1"/>
  <c r="F2021" i="1"/>
  <c r="E2021" i="1"/>
  <c r="D2021" i="1"/>
  <c r="C2021" i="1"/>
  <c r="B2021" i="1"/>
  <c r="A2021" i="1"/>
  <c r="S2020" i="1"/>
  <c r="O2020" i="1"/>
  <c r="K2020" i="1"/>
  <c r="J2020" i="1"/>
  <c r="I2020" i="1"/>
  <c r="H2020" i="1"/>
  <c r="G2020" i="1"/>
  <c r="F2020" i="1"/>
  <c r="E2020" i="1"/>
  <c r="D2020" i="1"/>
  <c r="C2020" i="1"/>
  <c r="B2020" i="1"/>
  <c r="A2020" i="1"/>
  <c r="R2019" i="1"/>
  <c r="J2019" i="1"/>
  <c r="I2019" i="1"/>
  <c r="G2019" i="1"/>
  <c r="F2019" i="1"/>
  <c r="E2019" i="1"/>
  <c r="D2019" i="1"/>
  <c r="C2019" i="1"/>
  <c r="B2019" i="1"/>
  <c r="A2019" i="1"/>
  <c r="S2018" i="1"/>
  <c r="O2018" i="1"/>
  <c r="K2018" i="1"/>
  <c r="J2018" i="1"/>
  <c r="I2018" i="1"/>
  <c r="H2018" i="1"/>
  <c r="G2018" i="1"/>
  <c r="F2018" i="1"/>
  <c r="E2018" i="1"/>
  <c r="D2018" i="1"/>
  <c r="C2018" i="1"/>
  <c r="B2018" i="1"/>
  <c r="A2018" i="1"/>
  <c r="R2017" i="1"/>
  <c r="J2017" i="1"/>
  <c r="I2017" i="1"/>
  <c r="G2017" i="1"/>
  <c r="F2017" i="1"/>
  <c r="E2017" i="1"/>
  <c r="D2017" i="1"/>
  <c r="C2017" i="1"/>
  <c r="B2017" i="1"/>
  <c r="A2017" i="1"/>
  <c r="S2016" i="1"/>
  <c r="O2016" i="1"/>
  <c r="K2016" i="1"/>
  <c r="J2016" i="1"/>
  <c r="I2016" i="1"/>
  <c r="H2016" i="1"/>
  <c r="G2016" i="1"/>
  <c r="F2016" i="1"/>
  <c r="E2016" i="1"/>
  <c r="D2016" i="1"/>
  <c r="C2016" i="1"/>
  <c r="B2016" i="1"/>
  <c r="A2016" i="1"/>
  <c r="R2015" i="1"/>
  <c r="J2015" i="1"/>
  <c r="I2015" i="1"/>
  <c r="G2015" i="1"/>
  <c r="F2015" i="1"/>
  <c r="E2015" i="1"/>
  <c r="D2015" i="1"/>
  <c r="C2015" i="1"/>
  <c r="B2015" i="1"/>
  <c r="A2015" i="1"/>
  <c r="S2014" i="1"/>
  <c r="O2014" i="1"/>
  <c r="K2014" i="1"/>
  <c r="J2014" i="1"/>
  <c r="I2014" i="1"/>
  <c r="H2014" i="1"/>
  <c r="G2014" i="1"/>
  <c r="F2014" i="1"/>
  <c r="E2014" i="1"/>
  <c r="D2014" i="1"/>
  <c r="C2014" i="1"/>
  <c r="B2014" i="1"/>
  <c r="A2014" i="1"/>
  <c r="R2013" i="1"/>
  <c r="J2013" i="1"/>
  <c r="I2013" i="1"/>
  <c r="G2013" i="1"/>
  <c r="F2013" i="1"/>
  <c r="E2013" i="1"/>
  <c r="D2013" i="1"/>
  <c r="C2013" i="1"/>
  <c r="B2013" i="1"/>
  <c r="A2013" i="1"/>
  <c r="S2012" i="1"/>
  <c r="O2012" i="1"/>
  <c r="K2012" i="1"/>
  <c r="J2012" i="1"/>
  <c r="I2012" i="1"/>
  <c r="H2012" i="1"/>
  <c r="G2012" i="1"/>
  <c r="F2012" i="1"/>
  <c r="E2012" i="1"/>
  <c r="D2012" i="1"/>
  <c r="C2012" i="1"/>
  <c r="B2012" i="1"/>
  <c r="A2012" i="1"/>
  <c r="R2011" i="1"/>
  <c r="J2011" i="1"/>
  <c r="I2011" i="1"/>
  <c r="G2011" i="1"/>
  <c r="F2011" i="1"/>
  <c r="E2011" i="1"/>
  <c r="D2011" i="1"/>
  <c r="C2011" i="1"/>
  <c r="B2011" i="1"/>
  <c r="A2011" i="1"/>
  <c r="S2010" i="1"/>
  <c r="O2010" i="1"/>
  <c r="K2010" i="1"/>
  <c r="J2010" i="1"/>
  <c r="I2010" i="1"/>
  <c r="H2010" i="1"/>
  <c r="G2010" i="1"/>
  <c r="F2010" i="1"/>
  <c r="E2010" i="1"/>
  <c r="D2010" i="1"/>
  <c r="C2010" i="1"/>
  <c r="B2010" i="1"/>
  <c r="A2010" i="1"/>
  <c r="R2009" i="1"/>
  <c r="J2009" i="1"/>
  <c r="I2009" i="1"/>
  <c r="G2009" i="1"/>
  <c r="F2009" i="1"/>
  <c r="E2009" i="1"/>
  <c r="D2009" i="1"/>
  <c r="C2009" i="1"/>
  <c r="B2009" i="1"/>
  <c r="A2009" i="1"/>
  <c r="S2008" i="1"/>
  <c r="O2008" i="1"/>
  <c r="K2008" i="1"/>
  <c r="J2008" i="1"/>
  <c r="I2008" i="1"/>
  <c r="H2008" i="1"/>
  <c r="G2008" i="1"/>
  <c r="F2008" i="1"/>
  <c r="E2008" i="1"/>
  <c r="D2008" i="1"/>
  <c r="C2008" i="1"/>
  <c r="B2008" i="1"/>
  <c r="A2008" i="1"/>
  <c r="R2007" i="1"/>
  <c r="J2007" i="1"/>
  <c r="I2007" i="1"/>
  <c r="G2007" i="1"/>
  <c r="F2007" i="1"/>
  <c r="E2007" i="1"/>
  <c r="D2007" i="1"/>
  <c r="C2007" i="1"/>
  <c r="B2007" i="1"/>
  <c r="A2007" i="1"/>
  <c r="S2006" i="1"/>
  <c r="O2006" i="1"/>
  <c r="K2006" i="1"/>
  <c r="J2006" i="1"/>
  <c r="I2006" i="1"/>
  <c r="H2006" i="1"/>
  <c r="G2006" i="1"/>
  <c r="F2006" i="1"/>
  <c r="E2006" i="1"/>
  <c r="D2006" i="1"/>
  <c r="C2006" i="1"/>
  <c r="B2006" i="1"/>
  <c r="A2006" i="1"/>
  <c r="R2005" i="1"/>
  <c r="J2005" i="1"/>
  <c r="I2005" i="1"/>
  <c r="G2005" i="1"/>
  <c r="F2005" i="1"/>
  <c r="E2005" i="1"/>
  <c r="D2005" i="1"/>
  <c r="C2005" i="1"/>
  <c r="B2005" i="1"/>
  <c r="A2005" i="1"/>
  <c r="S2004" i="1"/>
  <c r="O2004" i="1"/>
  <c r="K2004" i="1"/>
  <c r="J2004" i="1"/>
  <c r="I2004" i="1"/>
  <c r="H2004" i="1"/>
  <c r="G2004" i="1"/>
  <c r="F2004" i="1"/>
  <c r="E2004" i="1"/>
  <c r="D2004" i="1"/>
  <c r="C2004" i="1"/>
  <c r="B2004" i="1"/>
  <c r="A2004" i="1"/>
  <c r="R2003" i="1"/>
  <c r="J2003" i="1"/>
  <c r="I2003" i="1"/>
  <c r="G2003" i="1"/>
  <c r="F2003" i="1"/>
  <c r="E2003" i="1"/>
  <c r="D2003" i="1"/>
  <c r="C2003" i="1"/>
  <c r="B2003" i="1"/>
  <c r="A2003" i="1"/>
  <c r="S2002" i="1"/>
  <c r="O2002" i="1"/>
  <c r="K2002" i="1"/>
  <c r="J2002" i="1"/>
  <c r="I2002" i="1"/>
  <c r="H2002" i="1"/>
  <c r="G2002" i="1"/>
  <c r="F2002" i="1"/>
  <c r="E2002" i="1"/>
  <c r="D2002" i="1"/>
  <c r="C2002" i="1"/>
  <c r="B2002" i="1"/>
  <c r="A2002" i="1"/>
  <c r="R2001" i="1"/>
  <c r="J2001" i="1"/>
  <c r="I2001" i="1"/>
  <c r="G2001" i="1"/>
  <c r="F2001" i="1"/>
  <c r="E2001" i="1"/>
  <c r="D2001" i="1"/>
  <c r="C2001" i="1"/>
  <c r="B2001" i="1"/>
  <c r="A2001" i="1"/>
  <c r="S2000" i="1"/>
  <c r="O2000" i="1"/>
  <c r="K2000" i="1"/>
  <c r="J2000" i="1"/>
  <c r="I2000" i="1"/>
  <c r="H2000" i="1"/>
  <c r="G2000" i="1"/>
  <c r="F2000" i="1"/>
  <c r="E2000" i="1"/>
  <c r="D2000" i="1"/>
  <c r="C2000" i="1"/>
  <c r="B2000" i="1"/>
  <c r="A2000" i="1"/>
  <c r="R1999" i="1"/>
  <c r="J1999" i="1"/>
  <c r="I1999" i="1"/>
  <c r="G1999" i="1"/>
  <c r="F1999" i="1"/>
  <c r="E1999" i="1"/>
  <c r="D1999" i="1"/>
  <c r="C1999" i="1"/>
  <c r="B1999" i="1"/>
  <c r="A1999" i="1"/>
  <c r="S1998" i="1"/>
  <c r="O1998" i="1"/>
  <c r="K1998" i="1"/>
  <c r="J1998" i="1"/>
  <c r="I1998" i="1"/>
  <c r="H1998" i="1"/>
  <c r="G1998" i="1"/>
  <c r="F1998" i="1"/>
  <c r="E1998" i="1"/>
  <c r="D1998" i="1"/>
  <c r="C1998" i="1"/>
  <c r="B1998" i="1"/>
  <c r="A1998" i="1"/>
  <c r="R1997" i="1"/>
  <c r="J1997" i="1"/>
  <c r="I1997" i="1"/>
  <c r="G1997" i="1"/>
  <c r="F1997" i="1"/>
  <c r="E1997" i="1"/>
  <c r="D1997" i="1"/>
  <c r="C1997" i="1"/>
  <c r="B1997" i="1"/>
  <c r="A1997" i="1"/>
  <c r="S1996" i="1"/>
  <c r="O1996" i="1"/>
  <c r="K1996" i="1"/>
  <c r="J1996" i="1"/>
  <c r="I1996" i="1"/>
  <c r="H1996" i="1"/>
  <c r="G1996" i="1"/>
  <c r="F1996" i="1"/>
  <c r="E1996" i="1"/>
  <c r="D1996" i="1"/>
  <c r="C1996" i="1"/>
  <c r="B1996" i="1"/>
  <c r="A1996" i="1"/>
  <c r="R1995" i="1"/>
  <c r="J1995" i="1"/>
  <c r="I1995" i="1"/>
  <c r="G1995" i="1"/>
  <c r="F1995" i="1"/>
  <c r="E1995" i="1"/>
  <c r="D1995" i="1"/>
  <c r="C1995" i="1"/>
  <c r="B1995" i="1"/>
  <c r="A1995" i="1"/>
  <c r="S1994" i="1"/>
  <c r="O1994" i="1"/>
  <c r="K1994" i="1"/>
  <c r="J1994" i="1"/>
  <c r="I1994" i="1"/>
  <c r="H1994" i="1"/>
  <c r="G1994" i="1"/>
  <c r="F1994" i="1"/>
  <c r="E1994" i="1"/>
  <c r="D1994" i="1"/>
  <c r="C1994" i="1"/>
  <c r="B1994" i="1"/>
  <c r="A1994" i="1"/>
  <c r="R1993" i="1"/>
  <c r="J1993" i="1"/>
  <c r="I1993" i="1"/>
  <c r="G1993" i="1"/>
  <c r="F1993" i="1"/>
  <c r="E1993" i="1"/>
  <c r="D1993" i="1"/>
  <c r="C1993" i="1"/>
  <c r="B1993" i="1"/>
  <c r="A1993" i="1"/>
  <c r="S1992" i="1"/>
  <c r="O1992" i="1"/>
  <c r="K1992" i="1"/>
  <c r="J1992" i="1"/>
  <c r="I1992" i="1"/>
  <c r="H1992" i="1"/>
  <c r="G1992" i="1"/>
  <c r="F1992" i="1"/>
  <c r="E1992" i="1"/>
  <c r="D1992" i="1"/>
  <c r="C1992" i="1"/>
  <c r="B1992" i="1"/>
  <c r="A1992" i="1"/>
  <c r="R1991" i="1"/>
  <c r="J1991" i="1"/>
  <c r="I1991" i="1"/>
  <c r="G1991" i="1"/>
  <c r="F1991" i="1"/>
  <c r="E1991" i="1"/>
  <c r="D1991" i="1"/>
  <c r="C1991" i="1"/>
  <c r="B1991" i="1"/>
  <c r="A1991" i="1"/>
  <c r="S1990" i="1"/>
  <c r="O1990" i="1"/>
  <c r="K1990" i="1"/>
  <c r="J1990" i="1"/>
  <c r="I1990" i="1"/>
  <c r="H1990" i="1"/>
  <c r="G1990" i="1"/>
  <c r="F1990" i="1"/>
  <c r="E1990" i="1"/>
  <c r="D1990" i="1"/>
  <c r="C1990" i="1"/>
  <c r="B1990" i="1"/>
  <c r="A1990" i="1"/>
  <c r="R1989" i="1"/>
  <c r="J1989" i="1"/>
  <c r="I1989" i="1"/>
  <c r="G1989" i="1"/>
  <c r="F1989" i="1"/>
  <c r="E1989" i="1"/>
  <c r="D1989" i="1"/>
  <c r="C1989" i="1"/>
  <c r="B1989" i="1"/>
  <c r="A1989" i="1"/>
  <c r="S1988" i="1"/>
  <c r="O1988" i="1"/>
  <c r="K1988" i="1"/>
  <c r="J1988" i="1"/>
  <c r="I1988" i="1"/>
  <c r="H1988" i="1"/>
  <c r="G1988" i="1"/>
  <c r="F1988" i="1"/>
  <c r="E1988" i="1"/>
  <c r="D1988" i="1"/>
  <c r="C1988" i="1"/>
  <c r="B1988" i="1"/>
  <c r="A1988" i="1"/>
  <c r="R1987" i="1"/>
  <c r="J1987" i="1"/>
  <c r="I1987" i="1"/>
  <c r="G1987" i="1"/>
  <c r="F1987" i="1"/>
  <c r="E1987" i="1"/>
  <c r="D1987" i="1"/>
  <c r="C1987" i="1"/>
  <c r="B1987" i="1"/>
  <c r="A1987" i="1"/>
  <c r="S1986" i="1"/>
  <c r="O1986" i="1"/>
  <c r="K1986" i="1"/>
  <c r="J1986" i="1"/>
  <c r="I1986" i="1"/>
  <c r="H1986" i="1"/>
  <c r="G1986" i="1"/>
  <c r="F1986" i="1"/>
  <c r="E1986" i="1"/>
  <c r="D1986" i="1"/>
  <c r="C1986" i="1"/>
  <c r="B1986" i="1"/>
  <c r="A1986" i="1"/>
  <c r="R1985" i="1"/>
  <c r="J1985" i="1"/>
  <c r="I1985" i="1"/>
  <c r="G1985" i="1"/>
  <c r="F1985" i="1"/>
  <c r="E1985" i="1"/>
  <c r="D1985" i="1"/>
  <c r="C1985" i="1"/>
  <c r="B1985" i="1"/>
  <c r="A1985" i="1"/>
  <c r="S1984" i="1"/>
  <c r="O1984" i="1"/>
  <c r="K1984" i="1"/>
  <c r="J1984" i="1"/>
  <c r="I1984" i="1"/>
  <c r="H1984" i="1"/>
  <c r="G1984" i="1"/>
  <c r="F1984" i="1"/>
  <c r="E1984" i="1"/>
  <c r="D1984" i="1"/>
  <c r="C1984" i="1"/>
  <c r="B1984" i="1"/>
  <c r="A1984" i="1"/>
  <c r="R1983" i="1"/>
  <c r="J1983" i="1"/>
  <c r="I1983" i="1"/>
  <c r="G1983" i="1"/>
  <c r="F1983" i="1"/>
  <c r="E1983" i="1"/>
  <c r="D1983" i="1"/>
  <c r="C1983" i="1"/>
  <c r="B1983" i="1"/>
  <c r="A1983" i="1"/>
  <c r="S1982" i="1"/>
  <c r="O1982" i="1"/>
  <c r="K1982" i="1"/>
  <c r="J1982" i="1"/>
  <c r="I1982" i="1"/>
  <c r="H1982" i="1"/>
  <c r="G1982" i="1"/>
  <c r="F1982" i="1"/>
  <c r="E1982" i="1"/>
  <c r="D1982" i="1"/>
  <c r="C1982" i="1"/>
  <c r="B1982" i="1"/>
  <c r="A1982" i="1"/>
  <c r="R1981" i="1"/>
  <c r="J1981" i="1"/>
  <c r="I1981" i="1"/>
  <c r="G1981" i="1"/>
  <c r="F1981" i="1"/>
  <c r="E1981" i="1"/>
  <c r="D1981" i="1"/>
  <c r="C1981" i="1"/>
  <c r="B1981" i="1"/>
  <c r="A1981" i="1"/>
  <c r="S1980" i="1"/>
  <c r="O1980" i="1"/>
  <c r="K1980" i="1"/>
  <c r="J1980" i="1"/>
  <c r="I1980" i="1"/>
  <c r="H1980" i="1"/>
  <c r="G1980" i="1"/>
  <c r="F1980" i="1"/>
  <c r="E1980" i="1"/>
  <c r="D1980" i="1"/>
  <c r="C1980" i="1"/>
  <c r="B1980" i="1"/>
  <c r="A1980" i="1"/>
  <c r="R1979" i="1"/>
  <c r="J1979" i="1"/>
  <c r="I1979" i="1"/>
  <c r="G1979" i="1"/>
  <c r="F1979" i="1"/>
  <c r="E1979" i="1"/>
  <c r="D1979" i="1"/>
  <c r="C1979" i="1"/>
  <c r="B1979" i="1"/>
  <c r="A1979" i="1"/>
  <c r="S1978" i="1"/>
  <c r="O1978" i="1"/>
  <c r="K1978" i="1"/>
  <c r="J1978" i="1"/>
  <c r="I1978" i="1"/>
  <c r="H1978" i="1"/>
  <c r="G1978" i="1"/>
  <c r="F1978" i="1"/>
  <c r="E1978" i="1"/>
  <c r="D1978" i="1"/>
  <c r="C1978" i="1"/>
  <c r="B1978" i="1"/>
  <c r="A1978" i="1"/>
  <c r="R1977" i="1"/>
  <c r="J1977" i="1"/>
  <c r="I1977" i="1"/>
  <c r="G1977" i="1"/>
  <c r="F1977" i="1"/>
  <c r="E1977" i="1"/>
  <c r="D1977" i="1"/>
  <c r="C1977" i="1"/>
  <c r="B1977" i="1"/>
  <c r="A1977" i="1"/>
  <c r="S1976" i="1"/>
  <c r="O1976" i="1"/>
  <c r="K1976" i="1"/>
  <c r="J1976" i="1"/>
  <c r="I1976" i="1"/>
  <c r="H1976" i="1"/>
  <c r="G1976" i="1"/>
  <c r="F1976" i="1"/>
  <c r="E1976" i="1"/>
  <c r="D1976" i="1"/>
  <c r="C1976" i="1"/>
  <c r="B1976" i="1"/>
  <c r="A1976" i="1"/>
  <c r="R1975" i="1"/>
  <c r="J1975" i="1"/>
  <c r="I1975" i="1"/>
  <c r="G1975" i="1"/>
  <c r="F1975" i="1"/>
  <c r="E1975" i="1"/>
  <c r="D1975" i="1"/>
  <c r="C1975" i="1"/>
  <c r="B1975" i="1"/>
  <c r="A1975" i="1"/>
  <c r="S1974" i="1"/>
  <c r="O1974" i="1"/>
  <c r="K1974" i="1"/>
  <c r="J1974" i="1"/>
  <c r="I1974" i="1"/>
  <c r="H1974" i="1"/>
  <c r="G1974" i="1"/>
  <c r="F1974" i="1"/>
  <c r="E1974" i="1"/>
  <c r="D1974" i="1"/>
  <c r="C1974" i="1"/>
  <c r="B1974" i="1"/>
  <c r="A1974" i="1"/>
  <c r="R1973" i="1"/>
  <c r="J1973" i="1"/>
  <c r="I1973" i="1"/>
  <c r="G1973" i="1"/>
  <c r="F1973" i="1"/>
  <c r="E1973" i="1"/>
  <c r="D1973" i="1"/>
  <c r="C1973" i="1"/>
  <c r="B1973" i="1"/>
  <c r="A1973" i="1"/>
  <c r="S1972" i="1"/>
  <c r="O1972" i="1"/>
  <c r="K1972" i="1"/>
  <c r="J1972" i="1"/>
  <c r="I1972" i="1"/>
  <c r="H1972" i="1"/>
  <c r="G1972" i="1"/>
  <c r="F1972" i="1"/>
  <c r="E1972" i="1"/>
  <c r="D1972" i="1"/>
  <c r="C1972" i="1"/>
  <c r="B1972" i="1"/>
  <c r="A1972" i="1"/>
  <c r="R1971" i="1"/>
  <c r="J1971" i="1"/>
  <c r="I1971" i="1"/>
  <c r="G1971" i="1"/>
  <c r="F1971" i="1"/>
  <c r="E1971" i="1"/>
  <c r="D1971" i="1"/>
  <c r="C1971" i="1"/>
  <c r="B1971" i="1"/>
  <c r="A1971" i="1"/>
  <c r="S1970" i="1"/>
  <c r="O1970" i="1"/>
  <c r="K1970" i="1"/>
  <c r="J1970" i="1"/>
  <c r="I1970" i="1"/>
  <c r="H1970" i="1"/>
  <c r="G1970" i="1"/>
  <c r="F1970" i="1"/>
  <c r="E1970" i="1"/>
  <c r="D1970" i="1"/>
  <c r="C1970" i="1"/>
  <c r="B1970" i="1"/>
  <c r="A1970" i="1"/>
  <c r="R1969" i="1"/>
  <c r="J1969" i="1"/>
  <c r="I1969" i="1"/>
  <c r="G1969" i="1"/>
  <c r="F1969" i="1"/>
  <c r="E1969" i="1"/>
  <c r="D1969" i="1"/>
  <c r="C1969" i="1"/>
  <c r="B1969" i="1"/>
  <c r="A1969" i="1"/>
  <c r="S1968" i="1"/>
  <c r="O1968" i="1"/>
  <c r="K1968" i="1"/>
  <c r="J1968" i="1"/>
  <c r="I1968" i="1"/>
  <c r="H1968" i="1"/>
  <c r="G1968" i="1"/>
  <c r="F1968" i="1"/>
  <c r="E1968" i="1"/>
  <c r="D1968" i="1"/>
  <c r="C1968" i="1"/>
  <c r="B1968" i="1"/>
  <c r="A1968" i="1"/>
  <c r="R1967" i="1"/>
  <c r="J1967" i="1"/>
  <c r="I1967" i="1"/>
  <c r="G1967" i="1"/>
  <c r="F1967" i="1"/>
  <c r="E1967" i="1"/>
  <c r="D1967" i="1"/>
  <c r="C1967" i="1"/>
  <c r="B1967" i="1"/>
  <c r="A1967" i="1"/>
  <c r="S1966" i="1"/>
  <c r="O1966" i="1"/>
  <c r="K1966" i="1"/>
  <c r="J1966" i="1"/>
  <c r="I1966" i="1"/>
  <c r="H1966" i="1"/>
  <c r="G1966" i="1"/>
  <c r="F1966" i="1"/>
  <c r="E1966" i="1"/>
  <c r="D1966" i="1"/>
  <c r="C1966" i="1"/>
  <c r="B1966" i="1"/>
  <c r="A1966" i="1"/>
  <c r="R1965" i="1"/>
  <c r="J1965" i="1"/>
  <c r="I1965" i="1"/>
  <c r="G1965" i="1"/>
  <c r="F1965" i="1"/>
  <c r="E1965" i="1"/>
  <c r="D1965" i="1"/>
  <c r="C1965" i="1"/>
  <c r="B1965" i="1"/>
  <c r="A1965" i="1"/>
  <c r="S1964" i="1"/>
  <c r="O1964" i="1"/>
  <c r="K1964" i="1"/>
  <c r="J1964" i="1"/>
  <c r="I1964" i="1"/>
  <c r="H1964" i="1"/>
  <c r="G1964" i="1"/>
  <c r="F1964" i="1"/>
  <c r="E1964" i="1"/>
  <c r="D1964" i="1"/>
  <c r="C1964" i="1"/>
  <c r="B1964" i="1"/>
  <c r="A1964" i="1"/>
  <c r="R1963" i="1"/>
  <c r="J1963" i="1"/>
  <c r="I1963" i="1"/>
  <c r="G1963" i="1"/>
  <c r="F1963" i="1"/>
  <c r="E1963" i="1"/>
  <c r="D1963" i="1"/>
  <c r="C1963" i="1"/>
  <c r="B1963" i="1"/>
  <c r="A1963" i="1"/>
  <c r="S1962" i="1"/>
  <c r="O1962" i="1"/>
  <c r="K1962" i="1"/>
  <c r="J1962" i="1"/>
  <c r="I1962" i="1"/>
  <c r="H1962" i="1"/>
  <c r="G1962" i="1"/>
  <c r="F1962" i="1"/>
  <c r="E1962" i="1"/>
  <c r="D1962" i="1"/>
  <c r="C1962" i="1"/>
  <c r="B1962" i="1"/>
  <c r="A1962" i="1"/>
  <c r="R1961" i="1"/>
  <c r="J1961" i="1"/>
  <c r="I1961" i="1"/>
  <c r="G1961" i="1"/>
  <c r="F1961" i="1"/>
  <c r="E1961" i="1"/>
  <c r="D1961" i="1"/>
  <c r="C1961" i="1"/>
  <c r="B1961" i="1"/>
  <c r="A1961" i="1"/>
  <c r="S1960" i="1"/>
  <c r="O1960" i="1"/>
  <c r="K1960" i="1"/>
  <c r="J1960" i="1"/>
  <c r="I1960" i="1"/>
  <c r="H1960" i="1"/>
  <c r="G1960" i="1"/>
  <c r="F1960" i="1"/>
  <c r="E1960" i="1"/>
  <c r="D1960" i="1"/>
  <c r="C1960" i="1"/>
  <c r="B1960" i="1"/>
  <c r="A1960" i="1"/>
  <c r="R1959" i="1"/>
  <c r="J1959" i="1"/>
  <c r="I1959" i="1"/>
  <c r="G1959" i="1"/>
  <c r="F1959" i="1"/>
  <c r="E1959" i="1"/>
  <c r="D1959" i="1"/>
  <c r="C1959" i="1"/>
  <c r="B1959" i="1"/>
  <c r="A1959" i="1"/>
  <c r="S1958" i="1"/>
  <c r="O1958" i="1"/>
  <c r="K1958" i="1"/>
  <c r="J1958" i="1"/>
  <c r="I1958" i="1"/>
  <c r="H1958" i="1"/>
  <c r="G1958" i="1"/>
  <c r="F1958" i="1"/>
  <c r="E1958" i="1"/>
  <c r="D1958" i="1"/>
  <c r="C1958" i="1"/>
  <c r="B1958" i="1"/>
  <c r="A1958" i="1"/>
  <c r="R1957" i="1"/>
  <c r="J1957" i="1"/>
  <c r="I1957" i="1"/>
  <c r="G1957" i="1"/>
  <c r="F1957" i="1"/>
  <c r="E1957" i="1"/>
  <c r="D1957" i="1"/>
  <c r="C1957" i="1"/>
  <c r="B1957" i="1"/>
  <c r="A1957" i="1"/>
  <c r="S1956" i="1"/>
  <c r="O1956" i="1"/>
  <c r="K1956" i="1"/>
  <c r="J1956" i="1"/>
  <c r="I1956" i="1"/>
  <c r="H1956" i="1"/>
  <c r="G1956" i="1"/>
  <c r="F1956" i="1"/>
  <c r="E1956" i="1"/>
  <c r="D1956" i="1"/>
  <c r="C1956" i="1"/>
  <c r="B1956" i="1"/>
  <c r="A1956" i="1"/>
  <c r="R1955" i="1"/>
  <c r="J1955" i="1"/>
  <c r="I1955" i="1"/>
  <c r="G1955" i="1"/>
  <c r="F1955" i="1"/>
  <c r="E1955" i="1"/>
  <c r="D1955" i="1"/>
  <c r="C1955" i="1"/>
  <c r="B1955" i="1"/>
  <c r="A1955" i="1"/>
  <c r="S1954" i="1"/>
  <c r="O1954" i="1"/>
  <c r="K1954" i="1"/>
  <c r="J1954" i="1"/>
  <c r="I1954" i="1"/>
  <c r="H1954" i="1"/>
  <c r="G1954" i="1"/>
  <c r="F1954" i="1"/>
  <c r="E1954" i="1"/>
  <c r="D1954" i="1"/>
  <c r="C1954" i="1"/>
  <c r="B1954" i="1"/>
  <c r="A1954" i="1"/>
  <c r="R1953" i="1"/>
  <c r="J1953" i="1"/>
  <c r="I1953" i="1"/>
  <c r="G1953" i="1"/>
  <c r="F1953" i="1"/>
  <c r="E1953" i="1"/>
  <c r="D1953" i="1"/>
  <c r="C1953" i="1"/>
  <c r="B1953" i="1"/>
  <c r="A1953" i="1"/>
  <c r="S1952" i="1"/>
  <c r="O1952" i="1"/>
  <c r="K1952" i="1"/>
  <c r="J1952" i="1"/>
  <c r="I1952" i="1"/>
  <c r="H1952" i="1"/>
  <c r="G1952" i="1"/>
  <c r="F1952" i="1"/>
  <c r="E1952" i="1"/>
  <c r="D1952" i="1"/>
  <c r="C1952" i="1"/>
  <c r="B1952" i="1"/>
  <c r="A1952" i="1"/>
  <c r="R1951" i="1"/>
  <c r="J1951" i="1"/>
  <c r="I1951" i="1"/>
  <c r="G1951" i="1"/>
  <c r="F1951" i="1"/>
  <c r="E1951" i="1"/>
  <c r="D1951" i="1"/>
  <c r="C1951" i="1"/>
  <c r="B1951" i="1"/>
  <c r="A1951" i="1"/>
  <c r="S1950" i="1"/>
  <c r="O1950" i="1"/>
  <c r="K1950" i="1"/>
  <c r="J1950" i="1"/>
  <c r="I1950" i="1"/>
  <c r="H1950" i="1"/>
  <c r="G1950" i="1"/>
  <c r="F1950" i="1"/>
  <c r="E1950" i="1"/>
  <c r="D1950" i="1"/>
  <c r="C1950" i="1"/>
  <c r="B1950" i="1"/>
  <c r="A1950" i="1"/>
  <c r="R1949" i="1"/>
  <c r="J1949" i="1"/>
  <c r="I1949" i="1"/>
  <c r="G1949" i="1"/>
  <c r="F1949" i="1"/>
  <c r="E1949" i="1"/>
  <c r="D1949" i="1"/>
  <c r="C1949" i="1"/>
  <c r="B1949" i="1"/>
  <c r="A1949" i="1"/>
  <c r="S1948" i="1"/>
  <c r="O1948" i="1"/>
  <c r="K1948" i="1"/>
  <c r="J1948" i="1"/>
  <c r="I1948" i="1"/>
  <c r="H1948" i="1"/>
  <c r="G1948" i="1"/>
  <c r="F1948" i="1"/>
  <c r="E1948" i="1"/>
  <c r="D1948" i="1"/>
  <c r="C1948" i="1"/>
  <c r="B1948" i="1"/>
  <c r="A1948" i="1"/>
  <c r="R1947" i="1"/>
  <c r="J1947" i="1"/>
  <c r="I1947" i="1"/>
  <c r="G1947" i="1"/>
  <c r="F1947" i="1"/>
  <c r="E1947" i="1"/>
  <c r="D1947" i="1"/>
  <c r="C1947" i="1"/>
  <c r="B1947" i="1"/>
  <c r="A1947" i="1"/>
  <c r="S1946" i="1"/>
  <c r="O1946" i="1"/>
  <c r="K1946" i="1"/>
  <c r="J1946" i="1"/>
  <c r="I1946" i="1"/>
  <c r="H1946" i="1"/>
  <c r="G1946" i="1"/>
  <c r="F1946" i="1"/>
  <c r="E1946" i="1"/>
  <c r="D1946" i="1"/>
  <c r="C1946" i="1"/>
  <c r="B1946" i="1"/>
  <c r="A1946" i="1"/>
  <c r="R1945" i="1"/>
  <c r="J1945" i="1"/>
  <c r="I1945" i="1"/>
  <c r="G1945" i="1"/>
  <c r="F1945" i="1"/>
  <c r="E1945" i="1"/>
  <c r="D1945" i="1"/>
  <c r="C1945" i="1"/>
  <c r="B1945" i="1"/>
  <c r="A1945" i="1"/>
  <c r="S1944" i="1"/>
  <c r="O1944" i="1"/>
  <c r="K1944" i="1"/>
  <c r="J1944" i="1"/>
  <c r="I1944" i="1"/>
  <c r="H1944" i="1"/>
  <c r="G1944" i="1"/>
  <c r="F1944" i="1"/>
  <c r="E1944" i="1"/>
  <c r="D1944" i="1"/>
  <c r="C1944" i="1"/>
  <c r="B1944" i="1"/>
  <c r="A1944" i="1"/>
  <c r="R1943" i="1"/>
  <c r="J1943" i="1"/>
  <c r="I1943" i="1"/>
  <c r="G1943" i="1"/>
  <c r="F1943" i="1"/>
  <c r="E1943" i="1"/>
  <c r="D1943" i="1"/>
  <c r="C1943" i="1"/>
  <c r="B1943" i="1"/>
  <c r="A1943" i="1"/>
  <c r="S1942" i="1"/>
  <c r="O1942" i="1"/>
  <c r="K1942" i="1"/>
  <c r="J1942" i="1"/>
  <c r="I1942" i="1"/>
  <c r="H1942" i="1"/>
  <c r="G1942" i="1"/>
  <c r="F1942" i="1"/>
  <c r="E1942" i="1"/>
  <c r="D1942" i="1"/>
  <c r="C1942" i="1"/>
  <c r="B1942" i="1"/>
  <c r="A1942" i="1"/>
  <c r="R1941" i="1"/>
  <c r="J1941" i="1"/>
  <c r="I1941" i="1"/>
  <c r="G1941" i="1"/>
  <c r="F1941" i="1"/>
  <c r="E1941" i="1"/>
  <c r="D1941" i="1"/>
  <c r="C1941" i="1"/>
  <c r="B1941" i="1"/>
  <c r="A1941" i="1"/>
  <c r="S1940" i="1"/>
  <c r="O1940" i="1"/>
  <c r="K1940" i="1"/>
  <c r="J1940" i="1"/>
  <c r="I1940" i="1"/>
  <c r="H1940" i="1"/>
  <c r="G1940" i="1"/>
  <c r="F1940" i="1"/>
  <c r="E1940" i="1"/>
  <c r="D1940" i="1"/>
  <c r="C1940" i="1"/>
  <c r="B1940" i="1"/>
  <c r="A1940" i="1"/>
  <c r="R1939" i="1"/>
  <c r="J1939" i="1"/>
  <c r="I1939" i="1"/>
  <c r="G1939" i="1"/>
  <c r="F1939" i="1"/>
  <c r="E1939" i="1"/>
  <c r="D1939" i="1"/>
  <c r="C1939" i="1"/>
  <c r="B1939" i="1"/>
  <c r="A1939" i="1"/>
  <c r="S1938" i="1"/>
  <c r="O1938" i="1"/>
  <c r="K1938" i="1"/>
  <c r="J1938" i="1"/>
  <c r="I1938" i="1"/>
  <c r="H1938" i="1"/>
  <c r="G1938" i="1"/>
  <c r="F1938" i="1"/>
  <c r="E1938" i="1"/>
  <c r="D1938" i="1"/>
  <c r="C1938" i="1"/>
  <c r="B1938" i="1"/>
  <c r="A1938" i="1"/>
  <c r="R1937" i="1"/>
  <c r="J1937" i="1"/>
  <c r="I1937" i="1"/>
  <c r="G1937" i="1"/>
  <c r="F1937" i="1"/>
  <c r="E1937" i="1"/>
  <c r="D1937" i="1"/>
  <c r="C1937" i="1"/>
  <c r="B1937" i="1"/>
  <c r="A1937" i="1"/>
  <c r="S1936" i="1"/>
  <c r="O1936" i="1"/>
  <c r="K1936" i="1"/>
  <c r="J1936" i="1"/>
  <c r="I1936" i="1"/>
  <c r="H1936" i="1"/>
  <c r="G1936" i="1"/>
  <c r="F1936" i="1"/>
  <c r="E1936" i="1"/>
  <c r="D1936" i="1"/>
  <c r="C1936" i="1"/>
  <c r="B1936" i="1"/>
  <c r="A1936" i="1"/>
  <c r="R1935" i="1"/>
  <c r="J1935" i="1"/>
  <c r="I1935" i="1"/>
  <c r="G1935" i="1"/>
  <c r="F1935" i="1"/>
  <c r="E1935" i="1"/>
  <c r="D1935" i="1"/>
  <c r="C1935" i="1"/>
  <c r="B1935" i="1"/>
  <c r="A1935" i="1"/>
  <c r="S1934" i="1"/>
  <c r="O1934" i="1"/>
  <c r="K1934" i="1"/>
  <c r="J1934" i="1"/>
  <c r="I1934" i="1"/>
  <c r="H1934" i="1"/>
  <c r="G1934" i="1"/>
  <c r="F1934" i="1"/>
  <c r="E1934" i="1"/>
  <c r="D1934" i="1"/>
  <c r="C1934" i="1"/>
  <c r="B1934" i="1"/>
  <c r="A1934" i="1"/>
  <c r="R1933" i="1"/>
  <c r="J1933" i="1"/>
  <c r="I1933" i="1"/>
  <c r="G1933" i="1"/>
  <c r="F1933" i="1"/>
  <c r="E1933" i="1"/>
  <c r="D1933" i="1"/>
  <c r="C1933" i="1"/>
  <c r="B1933" i="1"/>
  <c r="A1933" i="1"/>
  <c r="S1932" i="1"/>
  <c r="O1932" i="1"/>
  <c r="K1932" i="1"/>
  <c r="J1932" i="1"/>
  <c r="I1932" i="1"/>
  <c r="H1932" i="1"/>
  <c r="G1932" i="1"/>
  <c r="F1932" i="1"/>
  <c r="E1932" i="1"/>
  <c r="D1932" i="1"/>
  <c r="C1932" i="1"/>
  <c r="B1932" i="1"/>
  <c r="A1932" i="1"/>
  <c r="R1931" i="1"/>
  <c r="J1931" i="1"/>
  <c r="I1931" i="1"/>
  <c r="G1931" i="1"/>
  <c r="F1931" i="1"/>
  <c r="E1931" i="1"/>
  <c r="D1931" i="1"/>
  <c r="C1931" i="1"/>
  <c r="B1931" i="1"/>
  <c r="A1931" i="1"/>
  <c r="S1930" i="1"/>
  <c r="O1930" i="1"/>
  <c r="K1930" i="1"/>
  <c r="J1930" i="1"/>
  <c r="I1930" i="1"/>
  <c r="H1930" i="1"/>
  <c r="G1930" i="1"/>
  <c r="F1930" i="1"/>
  <c r="E1930" i="1"/>
  <c r="D1930" i="1"/>
  <c r="C1930" i="1"/>
  <c r="B1930" i="1"/>
  <c r="A1930" i="1"/>
  <c r="R1929" i="1"/>
  <c r="J1929" i="1"/>
  <c r="I1929" i="1"/>
  <c r="G1929" i="1"/>
  <c r="F1929" i="1"/>
  <c r="E1929" i="1"/>
  <c r="D1929" i="1"/>
  <c r="C1929" i="1"/>
  <c r="B1929" i="1"/>
  <c r="A1929" i="1"/>
  <c r="S1928" i="1"/>
  <c r="O1928" i="1"/>
  <c r="K1928" i="1"/>
  <c r="J1928" i="1"/>
  <c r="I1928" i="1"/>
  <c r="H1928" i="1"/>
  <c r="G1928" i="1"/>
  <c r="F1928" i="1"/>
  <c r="E1928" i="1"/>
  <c r="D1928" i="1"/>
  <c r="C1928" i="1"/>
  <c r="B1928" i="1"/>
  <c r="A1928" i="1"/>
  <c r="R1927" i="1"/>
  <c r="J1927" i="1"/>
  <c r="I1927" i="1"/>
  <c r="G1927" i="1"/>
  <c r="F1927" i="1"/>
  <c r="E1927" i="1"/>
  <c r="D1927" i="1"/>
  <c r="C1927" i="1"/>
  <c r="B1927" i="1"/>
  <c r="A1927" i="1"/>
  <c r="S1926" i="1"/>
  <c r="O1926" i="1"/>
  <c r="K1926" i="1"/>
  <c r="J1926" i="1"/>
  <c r="I1926" i="1"/>
  <c r="H1926" i="1"/>
  <c r="G1926" i="1"/>
  <c r="F1926" i="1"/>
  <c r="E1926" i="1"/>
  <c r="D1926" i="1"/>
  <c r="C1926" i="1"/>
  <c r="B1926" i="1"/>
  <c r="A1926" i="1"/>
  <c r="R1925" i="1"/>
  <c r="J1925" i="1"/>
  <c r="I1925" i="1"/>
  <c r="G1925" i="1"/>
  <c r="F1925" i="1"/>
  <c r="E1925" i="1"/>
  <c r="D1925" i="1"/>
  <c r="C1925" i="1"/>
  <c r="B1925" i="1"/>
  <c r="A1925" i="1"/>
  <c r="S1924" i="1"/>
  <c r="O1924" i="1"/>
  <c r="K1924" i="1"/>
  <c r="J1924" i="1"/>
  <c r="I1924" i="1"/>
  <c r="H1924" i="1"/>
  <c r="G1924" i="1"/>
  <c r="F1924" i="1"/>
  <c r="E1924" i="1"/>
  <c r="D1924" i="1"/>
  <c r="C1924" i="1"/>
  <c r="B1924" i="1"/>
  <c r="A1924" i="1"/>
  <c r="R1923" i="1"/>
  <c r="J1923" i="1"/>
  <c r="I1923" i="1"/>
  <c r="G1923" i="1"/>
  <c r="F1923" i="1"/>
  <c r="E1923" i="1"/>
  <c r="D1923" i="1"/>
  <c r="C1923" i="1"/>
  <c r="B1923" i="1"/>
  <c r="A1923" i="1"/>
  <c r="S1922" i="1"/>
  <c r="O1922" i="1"/>
  <c r="K1922" i="1"/>
  <c r="J1922" i="1"/>
  <c r="I1922" i="1"/>
  <c r="H1922" i="1"/>
  <c r="G1922" i="1"/>
  <c r="F1922" i="1"/>
  <c r="E1922" i="1"/>
  <c r="D1922" i="1"/>
  <c r="C1922" i="1"/>
  <c r="B1922" i="1"/>
  <c r="A1922" i="1"/>
  <c r="R1921" i="1"/>
  <c r="J1921" i="1"/>
  <c r="I1921" i="1"/>
  <c r="G1921" i="1"/>
  <c r="F1921" i="1"/>
  <c r="E1921" i="1"/>
  <c r="D1921" i="1"/>
  <c r="C1921" i="1"/>
  <c r="B1921" i="1"/>
  <c r="A1921" i="1"/>
  <c r="S1920" i="1"/>
  <c r="O1920" i="1"/>
  <c r="K1920" i="1"/>
  <c r="J1920" i="1"/>
  <c r="I1920" i="1"/>
  <c r="H1920" i="1"/>
  <c r="G1920" i="1"/>
  <c r="F1920" i="1"/>
  <c r="E1920" i="1"/>
  <c r="D1920" i="1"/>
  <c r="C1920" i="1"/>
  <c r="B1920" i="1"/>
  <c r="A1920" i="1"/>
  <c r="R1919" i="1"/>
  <c r="J1919" i="1"/>
  <c r="I1919" i="1"/>
  <c r="G1919" i="1"/>
  <c r="F1919" i="1"/>
  <c r="E1919" i="1"/>
  <c r="D1919" i="1"/>
  <c r="C1919" i="1"/>
  <c r="B1919" i="1"/>
  <c r="A1919" i="1"/>
  <c r="S1918" i="1"/>
  <c r="O1918" i="1"/>
  <c r="K1918" i="1"/>
  <c r="J1918" i="1"/>
  <c r="I1918" i="1"/>
  <c r="H1918" i="1"/>
  <c r="G1918" i="1"/>
  <c r="F1918" i="1"/>
  <c r="E1918" i="1"/>
  <c r="D1918" i="1"/>
  <c r="C1918" i="1"/>
  <c r="B1918" i="1"/>
  <c r="A1918" i="1"/>
  <c r="R1917" i="1"/>
  <c r="J1917" i="1"/>
  <c r="I1917" i="1"/>
  <c r="G1917" i="1"/>
  <c r="F1917" i="1"/>
  <c r="E1917" i="1"/>
  <c r="D1917" i="1"/>
  <c r="C1917" i="1"/>
  <c r="B1917" i="1"/>
  <c r="A1917" i="1"/>
  <c r="S1916" i="1"/>
  <c r="O1916" i="1"/>
  <c r="K1916" i="1"/>
  <c r="J1916" i="1"/>
  <c r="I1916" i="1"/>
  <c r="H1916" i="1"/>
  <c r="G1916" i="1"/>
  <c r="F1916" i="1"/>
  <c r="E1916" i="1"/>
  <c r="D1916" i="1"/>
  <c r="C1916" i="1"/>
  <c r="B1916" i="1"/>
  <c r="A1916" i="1"/>
  <c r="R1915" i="1"/>
  <c r="J1915" i="1"/>
  <c r="I1915" i="1"/>
  <c r="G1915" i="1"/>
  <c r="F1915" i="1"/>
  <c r="E1915" i="1"/>
  <c r="D1915" i="1"/>
  <c r="C1915" i="1"/>
  <c r="B1915" i="1"/>
  <c r="A1915" i="1"/>
  <c r="S1914" i="1"/>
  <c r="O1914" i="1"/>
  <c r="K1914" i="1"/>
  <c r="J1914" i="1"/>
  <c r="I1914" i="1"/>
  <c r="H1914" i="1"/>
  <c r="G1914" i="1"/>
  <c r="F1914" i="1"/>
  <c r="E1914" i="1"/>
  <c r="D1914" i="1"/>
  <c r="C1914" i="1"/>
  <c r="B1914" i="1"/>
  <c r="A1914" i="1"/>
  <c r="R1913" i="1"/>
  <c r="J1913" i="1"/>
  <c r="I1913" i="1"/>
  <c r="G1913" i="1"/>
  <c r="F1913" i="1"/>
  <c r="E1913" i="1"/>
  <c r="D1913" i="1"/>
  <c r="C1913" i="1"/>
  <c r="B1913" i="1"/>
  <c r="A1913" i="1"/>
  <c r="S1912" i="1"/>
  <c r="O1912" i="1"/>
  <c r="K1912" i="1"/>
  <c r="J1912" i="1"/>
  <c r="I1912" i="1"/>
  <c r="H1912" i="1"/>
  <c r="G1912" i="1"/>
  <c r="F1912" i="1"/>
  <c r="E1912" i="1"/>
  <c r="D1912" i="1"/>
  <c r="C1912" i="1"/>
  <c r="B1912" i="1"/>
  <c r="A1912" i="1"/>
  <c r="R1911" i="1"/>
  <c r="J1911" i="1"/>
  <c r="I1911" i="1"/>
  <c r="G1911" i="1"/>
  <c r="F1911" i="1"/>
  <c r="E1911" i="1"/>
  <c r="D1911" i="1"/>
  <c r="C1911" i="1"/>
  <c r="B1911" i="1"/>
  <c r="A1911" i="1"/>
  <c r="S1910" i="1"/>
  <c r="O1910" i="1"/>
  <c r="K1910" i="1"/>
  <c r="J1910" i="1"/>
  <c r="I1910" i="1"/>
  <c r="H1910" i="1"/>
  <c r="G1910" i="1"/>
  <c r="F1910" i="1"/>
  <c r="E1910" i="1"/>
  <c r="D1910" i="1"/>
  <c r="C1910" i="1"/>
  <c r="B1910" i="1"/>
  <c r="A1910" i="1"/>
  <c r="R1909" i="1"/>
  <c r="J1909" i="1"/>
  <c r="I1909" i="1"/>
  <c r="G1909" i="1"/>
  <c r="F1909" i="1"/>
  <c r="E1909" i="1"/>
  <c r="D1909" i="1"/>
  <c r="C1909" i="1"/>
  <c r="B1909" i="1"/>
  <c r="A1909" i="1"/>
  <c r="S1908" i="1"/>
  <c r="O1908" i="1"/>
  <c r="K1908" i="1"/>
  <c r="J1908" i="1"/>
  <c r="I1908" i="1"/>
  <c r="H1908" i="1"/>
  <c r="G1908" i="1"/>
  <c r="F1908" i="1"/>
  <c r="E1908" i="1"/>
  <c r="D1908" i="1"/>
  <c r="C1908" i="1"/>
  <c r="B1908" i="1"/>
  <c r="A1908" i="1"/>
  <c r="R1907" i="1"/>
  <c r="J1907" i="1"/>
  <c r="I1907" i="1"/>
  <c r="G1907" i="1"/>
  <c r="F1907" i="1"/>
  <c r="E1907" i="1"/>
  <c r="D1907" i="1"/>
  <c r="C1907" i="1"/>
  <c r="B1907" i="1"/>
  <c r="A1907" i="1"/>
  <c r="S1906" i="1"/>
  <c r="O1906" i="1"/>
  <c r="K1906" i="1"/>
  <c r="J1906" i="1"/>
  <c r="I1906" i="1"/>
  <c r="H1906" i="1"/>
  <c r="G1906" i="1"/>
  <c r="F1906" i="1"/>
  <c r="E1906" i="1"/>
  <c r="D1906" i="1"/>
  <c r="C1906" i="1"/>
  <c r="B1906" i="1"/>
  <c r="A1906" i="1"/>
  <c r="R1905" i="1"/>
  <c r="J1905" i="1"/>
  <c r="I1905" i="1"/>
  <c r="G1905" i="1"/>
  <c r="F1905" i="1"/>
  <c r="E1905" i="1"/>
  <c r="D1905" i="1"/>
  <c r="C1905" i="1"/>
  <c r="B1905" i="1"/>
  <c r="A1905" i="1"/>
  <c r="S1904" i="1"/>
  <c r="O1904" i="1"/>
  <c r="K1904" i="1"/>
  <c r="J1904" i="1"/>
  <c r="I1904" i="1"/>
  <c r="H1904" i="1"/>
  <c r="G1904" i="1"/>
  <c r="F1904" i="1"/>
  <c r="E1904" i="1"/>
  <c r="D1904" i="1"/>
  <c r="C1904" i="1"/>
  <c r="B1904" i="1"/>
  <c r="A1904" i="1"/>
  <c r="R1903" i="1"/>
  <c r="J1903" i="1"/>
  <c r="I1903" i="1"/>
  <c r="G1903" i="1"/>
  <c r="F1903" i="1"/>
  <c r="E1903" i="1"/>
  <c r="D1903" i="1"/>
  <c r="C1903" i="1"/>
  <c r="B1903" i="1"/>
  <c r="A1903" i="1"/>
  <c r="S1902" i="1"/>
  <c r="O1902" i="1"/>
  <c r="K1902" i="1"/>
  <c r="J1902" i="1"/>
  <c r="I1902" i="1"/>
  <c r="H1902" i="1"/>
  <c r="G1902" i="1"/>
  <c r="F1902" i="1"/>
  <c r="E1902" i="1"/>
  <c r="D1902" i="1"/>
  <c r="C1902" i="1"/>
  <c r="B1902" i="1"/>
  <c r="A1902" i="1"/>
  <c r="R1901" i="1"/>
  <c r="J1901" i="1"/>
  <c r="I1901" i="1"/>
  <c r="G1901" i="1"/>
  <c r="F1901" i="1"/>
  <c r="E1901" i="1"/>
  <c r="D1901" i="1"/>
  <c r="C1901" i="1"/>
  <c r="B1901" i="1"/>
  <c r="A1901" i="1"/>
  <c r="S1900" i="1"/>
  <c r="O1900" i="1"/>
  <c r="K1900" i="1"/>
  <c r="J1900" i="1"/>
  <c r="I1900" i="1"/>
  <c r="H1900" i="1"/>
  <c r="G1900" i="1"/>
  <c r="F1900" i="1"/>
  <c r="E1900" i="1"/>
  <c r="D1900" i="1"/>
  <c r="C1900" i="1"/>
  <c r="B1900" i="1"/>
  <c r="A1900" i="1"/>
  <c r="R1899" i="1"/>
  <c r="J1899" i="1"/>
  <c r="I1899" i="1"/>
  <c r="G1899" i="1"/>
  <c r="F1899" i="1"/>
  <c r="E1899" i="1"/>
  <c r="D1899" i="1"/>
  <c r="C1899" i="1"/>
  <c r="B1899" i="1"/>
  <c r="A1899" i="1"/>
  <c r="S1898" i="1"/>
  <c r="O1898" i="1"/>
  <c r="K1898" i="1"/>
  <c r="J1898" i="1"/>
  <c r="I1898" i="1"/>
  <c r="H1898" i="1"/>
  <c r="G1898" i="1"/>
  <c r="F1898" i="1"/>
  <c r="E1898" i="1"/>
  <c r="D1898" i="1"/>
  <c r="C1898" i="1"/>
  <c r="B1898" i="1"/>
  <c r="A1898" i="1"/>
  <c r="R1897" i="1"/>
  <c r="J1897" i="1"/>
  <c r="I1897" i="1"/>
  <c r="G1897" i="1"/>
  <c r="F1897" i="1"/>
  <c r="E1897" i="1"/>
  <c r="D1897" i="1"/>
  <c r="C1897" i="1"/>
  <c r="B1897" i="1"/>
  <c r="A1897" i="1"/>
  <c r="S1896" i="1"/>
  <c r="O1896" i="1"/>
  <c r="K1896" i="1"/>
  <c r="J1896" i="1"/>
  <c r="I1896" i="1"/>
  <c r="H1896" i="1"/>
  <c r="G1896" i="1"/>
  <c r="F1896" i="1"/>
  <c r="E1896" i="1"/>
  <c r="D1896" i="1"/>
  <c r="C1896" i="1"/>
  <c r="B1896" i="1"/>
  <c r="A1896" i="1"/>
  <c r="R1895" i="1"/>
  <c r="J1895" i="1"/>
  <c r="I1895" i="1"/>
  <c r="G1895" i="1"/>
  <c r="F1895" i="1"/>
  <c r="E1895" i="1"/>
  <c r="D1895" i="1"/>
  <c r="C1895" i="1"/>
  <c r="B1895" i="1"/>
  <c r="A1895" i="1"/>
  <c r="S1894" i="1"/>
  <c r="O1894" i="1"/>
  <c r="K1894" i="1"/>
  <c r="J1894" i="1"/>
  <c r="I1894" i="1"/>
  <c r="H1894" i="1"/>
  <c r="G1894" i="1"/>
  <c r="F1894" i="1"/>
  <c r="E1894" i="1"/>
  <c r="D1894" i="1"/>
  <c r="C1894" i="1"/>
  <c r="B1894" i="1"/>
  <c r="A1894" i="1"/>
  <c r="R1893" i="1"/>
  <c r="J1893" i="1"/>
  <c r="I1893" i="1"/>
  <c r="G1893" i="1"/>
  <c r="F1893" i="1"/>
  <c r="E1893" i="1"/>
  <c r="D1893" i="1"/>
  <c r="C1893" i="1"/>
  <c r="B1893" i="1"/>
  <c r="A1893" i="1"/>
  <c r="S1892" i="1"/>
  <c r="O1892" i="1"/>
  <c r="K1892" i="1"/>
  <c r="J1892" i="1"/>
  <c r="I1892" i="1"/>
  <c r="H1892" i="1"/>
  <c r="G1892" i="1"/>
  <c r="F1892" i="1"/>
  <c r="E1892" i="1"/>
  <c r="D1892" i="1"/>
  <c r="C1892" i="1"/>
  <c r="B1892" i="1"/>
  <c r="A1892" i="1"/>
  <c r="R1891" i="1"/>
  <c r="J1891" i="1"/>
  <c r="I1891" i="1"/>
  <c r="G1891" i="1"/>
  <c r="F1891" i="1"/>
  <c r="E1891" i="1"/>
  <c r="D1891" i="1"/>
  <c r="C1891" i="1"/>
  <c r="B1891" i="1"/>
  <c r="A1891" i="1"/>
  <c r="S1890" i="1"/>
  <c r="O1890" i="1"/>
  <c r="K1890" i="1"/>
  <c r="J1890" i="1"/>
  <c r="I1890" i="1"/>
  <c r="H1890" i="1"/>
  <c r="G1890" i="1"/>
  <c r="F1890" i="1"/>
  <c r="E1890" i="1"/>
  <c r="D1890" i="1"/>
  <c r="C1890" i="1"/>
  <c r="B1890" i="1"/>
  <c r="A1890" i="1"/>
  <c r="R1889" i="1"/>
  <c r="J1889" i="1"/>
  <c r="I1889" i="1"/>
  <c r="G1889" i="1"/>
  <c r="F1889" i="1"/>
  <c r="E1889" i="1"/>
  <c r="D1889" i="1"/>
  <c r="C1889" i="1"/>
  <c r="B1889" i="1"/>
  <c r="A1889" i="1"/>
  <c r="S1888" i="1"/>
  <c r="O1888" i="1"/>
  <c r="K1888" i="1"/>
  <c r="J1888" i="1"/>
  <c r="I1888" i="1"/>
  <c r="H1888" i="1"/>
  <c r="G1888" i="1"/>
  <c r="F1888" i="1"/>
  <c r="E1888" i="1"/>
  <c r="D1888" i="1"/>
  <c r="C1888" i="1"/>
  <c r="B1888" i="1"/>
  <c r="A1888" i="1"/>
  <c r="R1887" i="1"/>
  <c r="J1887" i="1"/>
  <c r="I1887" i="1"/>
  <c r="G1887" i="1"/>
  <c r="F1887" i="1"/>
  <c r="E1887" i="1"/>
  <c r="D1887" i="1"/>
  <c r="C1887" i="1"/>
  <c r="B1887" i="1"/>
  <c r="A1887" i="1"/>
  <c r="S1886" i="1"/>
  <c r="O1886" i="1"/>
  <c r="K1886" i="1"/>
  <c r="J1886" i="1"/>
  <c r="I1886" i="1"/>
  <c r="H1886" i="1"/>
  <c r="G1886" i="1"/>
  <c r="F1886" i="1"/>
  <c r="E1886" i="1"/>
  <c r="D1886" i="1"/>
  <c r="C1886" i="1"/>
  <c r="B1886" i="1"/>
  <c r="A1886" i="1"/>
  <c r="R1885" i="1"/>
  <c r="J1885" i="1"/>
  <c r="I1885" i="1"/>
  <c r="G1885" i="1"/>
  <c r="F1885" i="1"/>
  <c r="E1885" i="1"/>
  <c r="D1885" i="1"/>
  <c r="C1885" i="1"/>
  <c r="B1885" i="1"/>
  <c r="A1885" i="1"/>
  <c r="S1884" i="1"/>
  <c r="O1884" i="1"/>
  <c r="K1884" i="1"/>
  <c r="J1884" i="1"/>
  <c r="I1884" i="1"/>
  <c r="H1884" i="1"/>
  <c r="G1884" i="1"/>
  <c r="F1884" i="1"/>
  <c r="E1884" i="1"/>
  <c r="D1884" i="1"/>
  <c r="C1884" i="1"/>
  <c r="B1884" i="1"/>
  <c r="A1884" i="1"/>
  <c r="R1883" i="1"/>
  <c r="J1883" i="1"/>
  <c r="I1883" i="1"/>
  <c r="G1883" i="1"/>
  <c r="F1883" i="1"/>
  <c r="E1883" i="1"/>
  <c r="D1883" i="1"/>
  <c r="C1883" i="1"/>
  <c r="B1883" i="1"/>
  <c r="A1883" i="1"/>
  <c r="S1882" i="1"/>
  <c r="O1882" i="1"/>
  <c r="K1882" i="1"/>
  <c r="J1882" i="1"/>
  <c r="I1882" i="1"/>
  <c r="H1882" i="1"/>
  <c r="G1882" i="1"/>
  <c r="F1882" i="1"/>
  <c r="E1882" i="1"/>
  <c r="D1882" i="1"/>
  <c r="C1882" i="1"/>
  <c r="B1882" i="1"/>
  <c r="A1882" i="1"/>
  <c r="R1881" i="1"/>
  <c r="J1881" i="1"/>
  <c r="I1881" i="1"/>
  <c r="G1881" i="1"/>
  <c r="F1881" i="1"/>
  <c r="E1881" i="1"/>
  <c r="D1881" i="1"/>
  <c r="C1881" i="1"/>
  <c r="B1881" i="1"/>
  <c r="A1881" i="1"/>
  <c r="S1880" i="1"/>
  <c r="O1880" i="1"/>
  <c r="K1880" i="1"/>
  <c r="J1880" i="1"/>
  <c r="I1880" i="1"/>
  <c r="H1880" i="1"/>
  <c r="G1880" i="1"/>
  <c r="F1880" i="1"/>
  <c r="E1880" i="1"/>
  <c r="D1880" i="1"/>
  <c r="C1880" i="1"/>
  <c r="B1880" i="1"/>
  <c r="A1880" i="1"/>
  <c r="R1879" i="1"/>
  <c r="J1879" i="1"/>
  <c r="I1879" i="1"/>
  <c r="G1879" i="1"/>
  <c r="F1879" i="1"/>
  <c r="E1879" i="1"/>
  <c r="D1879" i="1"/>
  <c r="C1879" i="1"/>
  <c r="B1879" i="1"/>
  <c r="A1879" i="1"/>
  <c r="S1878" i="1"/>
  <c r="O1878" i="1"/>
  <c r="K1878" i="1"/>
  <c r="J1878" i="1"/>
  <c r="I1878" i="1"/>
  <c r="H1878" i="1"/>
  <c r="G1878" i="1"/>
  <c r="F1878" i="1"/>
  <c r="E1878" i="1"/>
  <c r="D1878" i="1"/>
  <c r="C1878" i="1"/>
  <c r="B1878" i="1"/>
  <c r="A1878" i="1"/>
  <c r="R1877" i="1"/>
  <c r="J1877" i="1"/>
  <c r="I1877" i="1"/>
  <c r="G1877" i="1"/>
  <c r="F1877" i="1"/>
  <c r="E1877" i="1"/>
  <c r="D1877" i="1"/>
  <c r="C1877" i="1"/>
  <c r="B1877" i="1"/>
  <c r="A1877" i="1"/>
  <c r="S1876" i="1"/>
  <c r="O1876" i="1"/>
  <c r="K1876" i="1"/>
  <c r="J1876" i="1"/>
  <c r="I1876" i="1"/>
  <c r="H1876" i="1"/>
  <c r="G1876" i="1"/>
  <c r="F1876" i="1"/>
  <c r="E1876" i="1"/>
  <c r="D1876" i="1"/>
  <c r="C1876" i="1"/>
  <c r="B1876" i="1"/>
  <c r="A1876" i="1"/>
  <c r="R1875" i="1"/>
  <c r="J1875" i="1"/>
  <c r="I1875" i="1"/>
  <c r="G1875" i="1"/>
  <c r="F1875" i="1"/>
  <c r="E1875" i="1"/>
  <c r="D1875" i="1"/>
  <c r="C1875" i="1"/>
  <c r="B1875" i="1"/>
  <c r="A1875" i="1"/>
  <c r="S1874" i="1"/>
  <c r="O1874" i="1"/>
  <c r="K1874" i="1"/>
  <c r="J1874" i="1"/>
  <c r="I1874" i="1"/>
  <c r="H1874" i="1"/>
  <c r="G1874" i="1"/>
  <c r="F1874" i="1"/>
  <c r="E1874" i="1"/>
  <c r="D1874" i="1"/>
  <c r="C1874" i="1"/>
  <c r="B1874" i="1"/>
  <c r="A1874" i="1"/>
  <c r="R1873" i="1"/>
  <c r="J1873" i="1"/>
  <c r="I1873" i="1"/>
  <c r="G1873" i="1"/>
  <c r="F1873" i="1"/>
  <c r="E1873" i="1"/>
  <c r="D1873" i="1"/>
  <c r="C1873" i="1"/>
  <c r="B1873" i="1"/>
  <c r="A1873" i="1"/>
  <c r="S1872" i="1"/>
  <c r="O1872" i="1"/>
  <c r="K1872" i="1"/>
  <c r="J1872" i="1"/>
  <c r="I1872" i="1"/>
  <c r="H1872" i="1"/>
  <c r="G1872" i="1"/>
  <c r="F1872" i="1"/>
  <c r="E1872" i="1"/>
  <c r="D1872" i="1"/>
  <c r="C1872" i="1"/>
  <c r="B1872" i="1"/>
  <c r="A1872" i="1"/>
  <c r="R1871" i="1"/>
  <c r="J1871" i="1"/>
  <c r="I1871" i="1"/>
  <c r="G1871" i="1"/>
  <c r="F1871" i="1"/>
  <c r="E1871" i="1"/>
  <c r="D1871" i="1"/>
  <c r="C1871" i="1"/>
  <c r="B1871" i="1"/>
  <c r="A1871" i="1"/>
  <c r="S1870" i="1"/>
  <c r="O1870" i="1"/>
  <c r="K1870" i="1"/>
  <c r="J1870" i="1"/>
  <c r="I1870" i="1"/>
  <c r="H1870" i="1"/>
  <c r="G1870" i="1"/>
  <c r="F1870" i="1"/>
  <c r="E1870" i="1"/>
  <c r="D1870" i="1"/>
  <c r="C1870" i="1"/>
  <c r="B1870" i="1"/>
  <c r="A1870" i="1"/>
  <c r="R1869" i="1"/>
  <c r="J1869" i="1"/>
  <c r="I1869" i="1"/>
  <c r="G1869" i="1"/>
  <c r="F1869" i="1"/>
  <c r="E1869" i="1"/>
  <c r="D1869" i="1"/>
  <c r="C1869" i="1"/>
  <c r="B1869" i="1"/>
  <c r="A1869" i="1"/>
  <c r="S1868" i="1"/>
  <c r="O1868" i="1"/>
  <c r="K1868" i="1"/>
  <c r="J1868" i="1"/>
  <c r="I1868" i="1"/>
  <c r="H1868" i="1"/>
  <c r="G1868" i="1"/>
  <c r="F1868" i="1"/>
  <c r="E1868" i="1"/>
  <c r="D1868" i="1"/>
  <c r="C1868" i="1"/>
  <c r="B1868" i="1"/>
  <c r="A1868" i="1"/>
  <c r="R1867" i="1"/>
  <c r="J1867" i="1"/>
  <c r="I1867" i="1"/>
  <c r="G1867" i="1"/>
  <c r="F1867" i="1"/>
  <c r="E1867" i="1"/>
  <c r="D1867" i="1"/>
  <c r="C1867" i="1"/>
  <c r="B1867" i="1"/>
  <c r="A1867" i="1"/>
  <c r="S1866" i="1"/>
  <c r="O1866" i="1"/>
  <c r="K1866" i="1"/>
  <c r="J1866" i="1"/>
  <c r="I1866" i="1"/>
  <c r="H1866" i="1"/>
  <c r="G1866" i="1"/>
  <c r="F1866" i="1"/>
  <c r="E1866" i="1"/>
  <c r="D1866" i="1"/>
  <c r="C1866" i="1"/>
  <c r="B1866" i="1"/>
  <c r="A1866" i="1"/>
  <c r="R1865" i="1"/>
  <c r="J1865" i="1"/>
  <c r="I1865" i="1"/>
  <c r="G1865" i="1"/>
  <c r="F1865" i="1"/>
  <c r="E1865" i="1"/>
  <c r="D1865" i="1"/>
  <c r="C1865" i="1"/>
  <c r="B1865" i="1"/>
  <c r="A1865" i="1"/>
  <c r="S1864" i="1"/>
  <c r="O1864" i="1"/>
  <c r="K1864" i="1"/>
  <c r="J1864" i="1"/>
  <c r="I1864" i="1"/>
  <c r="H1864" i="1"/>
  <c r="G1864" i="1"/>
  <c r="F1864" i="1"/>
  <c r="E1864" i="1"/>
  <c r="D1864" i="1"/>
  <c r="C1864" i="1"/>
  <c r="B1864" i="1"/>
  <c r="A1864" i="1"/>
  <c r="R1863" i="1"/>
  <c r="J1863" i="1"/>
  <c r="I1863" i="1"/>
  <c r="G1863" i="1"/>
  <c r="F1863" i="1"/>
  <c r="E1863" i="1"/>
  <c r="D1863" i="1"/>
  <c r="C1863" i="1"/>
  <c r="B1863" i="1"/>
  <c r="A1863" i="1"/>
  <c r="S1862" i="1"/>
  <c r="O1862" i="1"/>
  <c r="K1862" i="1"/>
  <c r="J1862" i="1"/>
  <c r="I1862" i="1"/>
  <c r="H1862" i="1"/>
  <c r="G1862" i="1"/>
  <c r="F1862" i="1"/>
  <c r="E1862" i="1"/>
  <c r="D1862" i="1"/>
  <c r="C1862" i="1"/>
  <c r="B1862" i="1"/>
  <c r="A1862" i="1"/>
  <c r="R1861" i="1"/>
  <c r="J1861" i="1"/>
  <c r="I1861" i="1"/>
  <c r="G1861" i="1"/>
  <c r="F1861" i="1"/>
  <c r="E1861" i="1"/>
  <c r="D1861" i="1"/>
  <c r="C1861" i="1"/>
  <c r="B1861" i="1"/>
  <c r="A1861" i="1"/>
  <c r="S1860" i="1"/>
  <c r="O1860" i="1"/>
  <c r="K1860" i="1"/>
  <c r="J1860" i="1"/>
  <c r="I1860" i="1"/>
  <c r="H1860" i="1"/>
  <c r="G1860" i="1"/>
  <c r="F1860" i="1"/>
  <c r="E1860" i="1"/>
  <c r="D1860" i="1"/>
  <c r="C1860" i="1"/>
  <c r="B1860" i="1"/>
  <c r="A1860" i="1"/>
  <c r="R1859" i="1"/>
  <c r="J1859" i="1"/>
  <c r="I1859" i="1"/>
  <c r="G1859" i="1"/>
  <c r="F1859" i="1"/>
  <c r="E1859" i="1"/>
  <c r="D1859" i="1"/>
  <c r="C1859" i="1"/>
  <c r="B1859" i="1"/>
  <c r="A1859" i="1"/>
  <c r="S1858" i="1"/>
  <c r="O1858" i="1"/>
  <c r="K1858" i="1"/>
  <c r="J1858" i="1"/>
  <c r="I1858" i="1"/>
  <c r="H1858" i="1"/>
  <c r="G1858" i="1"/>
  <c r="F1858" i="1"/>
  <c r="E1858" i="1"/>
  <c r="D1858" i="1"/>
  <c r="C1858" i="1"/>
  <c r="B1858" i="1"/>
  <c r="A1858" i="1"/>
  <c r="R1857" i="1"/>
  <c r="J1857" i="1"/>
  <c r="I1857" i="1"/>
  <c r="G1857" i="1"/>
  <c r="F1857" i="1"/>
  <c r="E1857" i="1"/>
  <c r="D1857" i="1"/>
  <c r="C1857" i="1"/>
  <c r="B1857" i="1"/>
  <c r="A1857" i="1"/>
  <c r="S1856" i="1"/>
  <c r="O1856" i="1"/>
  <c r="K1856" i="1"/>
  <c r="J1856" i="1"/>
  <c r="I1856" i="1"/>
  <c r="H1856" i="1"/>
  <c r="G1856" i="1"/>
  <c r="F1856" i="1"/>
  <c r="E1856" i="1"/>
  <c r="D1856" i="1"/>
  <c r="C1856" i="1"/>
  <c r="B1856" i="1"/>
  <c r="A1856" i="1"/>
  <c r="R1855" i="1"/>
  <c r="J1855" i="1"/>
  <c r="I1855" i="1"/>
  <c r="G1855" i="1"/>
  <c r="F1855" i="1"/>
  <c r="E1855" i="1"/>
  <c r="D1855" i="1"/>
  <c r="C1855" i="1"/>
  <c r="B1855" i="1"/>
  <c r="A1855" i="1"/>
  <c r="S1854" i="1"/>
  <c r="O1854" i="1"/>
  <c r="K1854" i="1"/>
  <c r="J1854" i="1"/>
  <c r="I1854" i="1"/>
  <c r="H1854" i="1"/>
  <c r="G1854" i="1"/>
  <c r="F1854" i="1"/>
  <c r="E1854" i="1"/>
  <c r="D1854" i="1"/>
  <c r="C1854" i="1"/>
  <c r="B1854" i="1"/>
  <c r="A1854" i="1"/>
  <c r="R1853" i="1"/>
  <c r="J1853" i="1"/>
  <c r="I1853" i="1"/>
  <c r="G1853" i="1"/>
  <c r="F1853" i="1"/>
  <c r="E1853" i="1"/>
  <c r="D1853" i="1"/>
  <c r="C1853" i="1"/>
  <c r="B1853" i="1"/>
  <c r="A1853" i="1"/>
  <c r="S1852" i="1"/>
  <c r="O1852" i="1"/>
  <c r="K1852" i="1"/>
  <c r="J1852" i="1"/>
  <c r="I1852" i="1"/>
  <c r="H1852" i="1"/>
  <c r="G1852" i="1"/>
  <c r="F1852" i="1"/>
  <c r="E1852" i="1"/>
  <c r="D1852" i="1"/>
  <c r="C1852" i="1"/>
  <c r="B1852" i="1"/>
  <c r="A1852" i="1"/>
  <c r="R1851" i="1"/>
  <c r="J1851" i="1"/>
  <c r="I1851" i="1"/>
  <c r="G1851" i="1"/>
  <c r="F1851" i="1"/>
  <c r="E1851" i="1"/>
  <c r="D1851" i="1"/>
  <c r="C1851" i="1"/>
  <c r="B1851" i="1"/>
  <c r="A1851" i="1"/>
  <c r="S1850" i="1"/>
  <c r="O1850" i="1"/>
  <c r="K1850" i="1"/>
  <c r="J1850" i="1"/>
  <c r="I1850" i="1"/>
  <c r="H1850" i="1"/>
  <c r="G1850" i="1"/>
  <c r="F1850" i="1"/>
  <c r="E1850" i="1"/>
  <c r="D1850" i="1"/>
  <c r="C1850" i="1"/>
  <c r="B1850" i="1"/>
  <c r="A1850" i="1"/>
  <c r="R1849" i="1"/>
  <c r="J1849" i="1"/>
  <c r="I1849" i="1"/>
  <c r="G1849" i="1"/>
  <c r="F1849" i="1"/>
  <c r="E1849" i="1"/>
  <c r="D1849" i="1"/>
  <c r="C1849" i="1"/>
  <c r="B1849" i="1"/>
  <c r="A1849" i="1"/>
  <c r="S1848" i="1"/>
  <c r="O1848" i="1"/>
  <c r="K1848" i="1"/>
  <c r="J1848" i="1"/>
  <c r="I1848" i="1"/>
  <c r="H1848" i="1"/>
  <c r="G1848" i="1"/>
  <c r="F1848" i="1"/>
  <c r="E1848" i="1"/>
  <c r="D1848" i="1"/>
  <c r="C1848" i="1"/>
  <c r="B1848" i="1"/>
  <c r="A1848" i="1"/>
  <c r="R1847" i="1"/>
  <c r="J1847" i="1"/>
  <c r="I1847" i="1"/>
  <c r="G1847" i="1"/>
  <c r="F1847" i="1"/>
  <c r="E1847" i="1"/>
  <c r="D1847" i="1"/>
  <c r="C1847" i="1"/>
  <c r="B1847" i="1"/>
  <c r="A1847" i="1"/>
  <c r="S1846" i="1"/>
  <c r="O1846" i="1"/>
  <c r="K1846" i="1"/>
  <c r="J1846" i="1"/>
  <c r="I1846" i="1"/>
  <c r="H1846" i="1"/>
  <c r="G1846" i="1"/>
  <c r="F1846" i="1"/>
  <c r="E1846" i="1"/>
  <c r="D1846" i="1"/>
  <c r="C1846" i="1"/>
  <c r="B1846" i="1"/>
  <c r="A1846" i="1"/>
  <c r="R1845" i="1"/>
  <c r="J1845" i="1"/>
  <c r="I1845" i="1"/>
  <c r="G1845" i="1"/>
  <c r="F1845" i="1"/>
  <c r="E1845" i="1"/>
  <c r="D1845" i="1"/>
  <c r="C1845" i="1"/>
  <c r="B1845" i="1"/>
  <c r="A1845" i="1"/>
  <c r="S1844" i="1"/>
  <c r="O1844" i="1"/>
  <c r="K1844" i="1"/>
  <c r="J1844" i="1"/>
  <c r="I1844" i="1"/>
  <c r="H1844" i="1"/>
  <c r="G1844" i="1"/>
  <c r="F1844" i="1"/>
  <c r="E1844" i="1"/>
  <c r="D1844" i="1"/>
  <c r="C1844" i="1"/>
  <c r="B1844" i="1"/>
  <c r="A1844" i="1"/>
  <c r="R1843" i="1"/>
  <c r="J1843" i="1"/>
  <c r="I1843" i="1"/>
  <c r="G1843" i="1"/>
  <c r="F1843" i="1"/>
  <c r="E1843" i="1"/>
  <c r="D1843" i="1"/>
  <c r="C1843" i="1"/>
  <c r="B1843" i="1"/>
  <c r="A1843" i="1"/>
  <c r="S1842" i="1"/>
  <c r="O1842" i="1"/>
  <c r="K1842" i="1"/>
  <c r="J1842" i="1"/>
  <c r="I1842" i="1"/>
  <c r="H1842" i="1"/>
  <c r="G1842" i="1"/>
  <c r="F1842" i="1"/>
  <c r="E1842" i="1"/>
  <c r="D1842" i="1"/>
  <c r="C1842" i="1"/>
  <c r="B1842" i="1"/>
  <c r="A1842" i="1"/>
  <c r="R1841" i="1"/>
  <c r="J1841" i="1"/>
  <c r="I1841" i="1"/>
  <c r="G1841" i="1"/>
  <c r="F1841" i="1"/>
  <c r="E1841" i="1"/>
  <c r="D1841" i="1"/>
  <c r="C1841" i="1"/>
  <c r="B1841" i="1"/>
  <c r="A1841" i="1"/>
  <c r="S1840" i="1"/>
  <c r="O1840" i="1"/>
  <c r="K1840" i="1"/>
  <c r="J1840" i="1"/>
  <c r="I1840" i="1"/>
  <c r="H1840" i="1"/>
  <c r="G1840" i="1"/>
  <c r="F1840" i="1"/>
  <c r="E1840" i="1"/>
  <c r="D1840" i="1"/>
  <c r="C1840" i="1"/>
  <c r="B1840" i="1"/>
  <c r="A1840" i="1"/>
  <c r="R1839" i="1"/>
  <c r="J1839" i="1"/>
  <c r="I1839" i="1"/>
  <c r="G1839" i="1"/>
  <c r="F1839" i="1"/>
  <c r="E1839" i="1"/>
  <c r="D1839" i="1"/>
  <c r="C1839" i="1"/>
  <c r="B1839" i="1"/>
  <c r="A1839" i="1"/>
  <c r="S1838" i="1"/>
  <c r="O1838" i="1"/>
  <c r="K1838" i="1"/>
  <c r="J1838" i="1"/>
  <c r="I1838" i="1"/>
  <c r="H1838" i="1"/>
  <c r="G1838" i="1"/>
  <c r="F1838" i="1"/>
  <c r="E1838" i="1"/>
  <c r="D1838" i="1"/>
  <c r="C1838" i="1"/>
  <c r="B1838" i="1"/>
  <c r="A1838" i="1"/>
  <c r="R1837" i="1"/>
  <c r="J1837" i="1"/>
  <c r="I1837" i="1"/>
  <c r="G1837" i="1"/>
  <c r="F1837" i="1"/>
  <c r="E1837" i="1"/>
  <c r="D1837" i="1"/>
  <c r="C1837" i="1"/>
  <c r="B1837" i="1"/>
  <c r="A1837" i="1"/>
  <c r="S1836" i="1"/>
  <c r="O1836" i="1"/>
  <c r="K1836" i="1"/>
  <c r="J1836" i="1"/>
  <c r="I1836" i="1"/>
  <c r="H1836" i="1"/>
  <c r="G1836" i="1"/>
  <c r="F1836" i="1"/>
  <c r="E1836" i="1"/>
  <c r="D1836" i="1"/>
  <c r="C1836" i="1"/>
  <c r="B1836" i="1"/>
  <c r="A1836" i="1"/>
  <c r="R1835" i="1"/>
  <c r="J1835" i="1"/>
  <c r="I1835" i="1"/>
  <c r="G1835" i="1"/>
  <c r="F1835" i="1"/>
  <c r="E1835" i="1"/>
  <c r="D1835" i="1"/>
  <c r="C1835" i="1"/>
  <c r="B1835" i="1"/>
  <c r="A1835" i="1"/>
  <c r="S1834" i="1"/>
  <c r="O1834" i="1"/>
  <c r="K1834" i="1"/>
  <c r="J1834" i="1"/>
  <c r="I1834" i="1"/>
  <c r="H1834" i="1"/>
  <c r="G1834" i="1"/>
  <c r="F1834" i="1"/>
  <c r="E1834" i="1"/>
  <c r="D1834" i="1"/>
  <c r="C1834" i="1"/>
  <c r="B1834" i="1"/>
  <c r="A1834" i="1"/>
  <c r="R1833" i="1"/>
  <c r="J1833" i="1"/>
  <c r="I1833" i="1"/>
  <c r="G1833" i="1"/>
  <c r="F1833" i="1"/>
  <c r="E1833" i="1"/>
  <c r="D1833" i="1"/>
  <c r="C1833" i="1"/>
  <c r="B1833" i="1"/>
  <c r="A1833" i="1"/>
  <c r="S1832" i="1"/>
  <c r="O1832" i="1"/>
  <c r="K1832" i="1"/>
  <c r="J1832" i="1"/>
  <c r="I1832" i="1"/>
  <c r="H1832" i="1"/>
  <c r="G1832" i="1"/>
  <c r="F1832" i="1"/>
  <c r="E1832" i="1"/>
  <c r="D1832" i="1"/>
  <c r="C1832" i="1"/>
  <c r="B1832" i="1"/>
  <c r="A1832" i="1"/>
  <c r="R1831" i="1"/>
  <c r="J1831" i="1"/>
  <c r="I1831" i="1"/>
  <c r="G1831" i="1"/>
  <c r="F1831" i="1"/>
  <c r="E1831" i="1"/>
  <c r="D1831" i="1"/>
  <c r="C1831" i="1"/>
  <c r="B1831" i="1"/>
  <c r="A1831" i="1"/>
  <c r="S1830" i="1"/>
  <c r="O1830" i="1"/>
  <c r="K1830" i="1"/>
  <c r="J1830" i="1"/>
  <c r="I1830" i="1"/>
  <c r="H1830" i="1"/>
  <c r="G1830" i="1"/>
  <c r="F1830" i="1"/>
  <c r="E1830" i="1"/>
  <c r="D1830" i="1"/>
  <c r="C1830" i="1"/>
  <c r="B1830" i="1"/>
  <c r="A1830" i="1"/>
  <c r="R1829" i="1"/>
  <c r="J1829" i="1"/>
  <c r="I1829" i="1"/>
  <c r="G1829" i="1"/>
  <c r="F1829" i="1"/>
  <c r="E1829" i="1"/>
  <c r="D1829" i="1"/>
  <c r="C1829" i="1"/>
  <c r="B1829" i="1"/>
  <c r="A1829" i="1"/>
  <c r="S1828" i="1"/>
  <c r="O1828" i="1"/>
  <c r="K1828" i="1"/>
  <c r="J1828" i="1"/>
  <c r="I1828" i="1"/>
  <c r="H1828" i="1"/>
  <c r="G1828" i="1"/>
  <c r="F1828" i="1"/>
  <c r="E1828" i="1"/>
  <c r="D1828" i="1"/>
  <c r="C1828" i="1"/>
  <c r="B1828" i="1"/>
  <c r="A1828" i="1"/>
  <c r="R1827" i="1"/>
  <c r="J1827" i="1"/>
  <c r="I1827" i="1"/>
  <c r="G1827" i="1"/>
  <c r="F1827" i="1"/>
  <c r="E1827" i="1"/>
  <c r="D1827" i="1"/>
  <c r="C1827" i="1"/>
  <c r="B1827" i="1"/>
  <c r="A1827" i="1"/>
  <c r="S1826" i="1"/>
  <c r="O1826" i="1"/>
  <c r="K1826" i="1"/>
  <c r="J1826" i="1"/>
  <c r="I1826" i="1"/>
  <c r="H1826" i="1"/>
  <c r="G1826" i="1"/>
  <c r="F1826" i="1"/>
  <c r="E1826" i="1"/>
  <c r="D1826" i="1"/>
  <c r="C1826" i="1"/>
  <c r="B1826" i="1"/>
  <c r="A1826" i="1"/>
  <c r="R1825" i="1"/>
  <c r="J1825" i="1"/>
  <c r="I1825" i="1"/>
  <c r="G1825" i="1"/>
  <c r="F1825" i="1"/>
  <c r="E1825" i="1"/>
  <c r="D1825" i="1"/>
  <c r="C1825" i="1"/>
  <c r="B1825" i="1"/>
  <c r="A1825" i="1"/>
  <c r="S1824" i="1"/>
  <c r="O1824" i="1"/>
  <c r="K1824" i="1"/>
  <c r="J1824" i="1"/>
  <c r="I1824" i="1"/>
  <c r="H1824" i="1"/>
  <c r="G1824" i="1"/>
  <c r="F1824" i="1"/>
  <c r="E1824" i="1"/>
  <c r="D1824" i="1"/>
  <c r="C1824" i="1"/>
  <c r="B1824" i="1"/>
  <c r="A1824" i="1"/>
  <c r="R1823" i="1"/>
  <c r="J1823" i="1"/>
  <c r="I1823" i="1"/>
  <c r="G1823" i="1"/>
  <c r="F1823" i="1"/>
  <c r="E1823" i="1"/>
  <c r="D1823" i="1"/>
  <c r="C1823" i="1"/>
  <c r="B1823" i="1"/>
  <c r="A1823" i="1"/>
  <c r="S1822" i="1"/>
  <c r="O1822" i="1"/>
  <c r="K1822" i="1"/>
  <c r="J1822" i="1"/>
  <c r="I1822" i="1"/>
  <c r="H1822" i="1"/>
  <c r="G1822" i="1"/>
  <c r="F1822" i="1"/>
  <c r="E1822" i="1"/>
  <c r="D1822" i="1"/>
  <c r="C1822" i="1"/>
  <c r="B1822" i="1"/>
  <c r="A1822" i="1"/>
  <c r="R1821" i="1"/>
  <c r="J1821" i="1"/>
  <c r="I1821" i="1"/>
  <c r="G1821" i="1"/>
  <c r="F1821" i="1"/>
  <c r="E1821" i="1"/>
  <c r="D1821" i="1"/>
  <c r="C1821" i="1"/>
  <c r="B1821" i="1"/>
  <c r="A1821" i="1"/>
  <c r="S1820" i="1"/>
  <c r="O1820" i="1"/>
  <c r="K1820" i="1"/>
  <c r="J1820" i="1"/>
  <c r="I1820" i="1"/>
  <c r="H1820" i="1"/>
  <c r="G1820" i="1"/>
  <c r="F1820" i="1"/>
  <c r="E1820" i="1"/>
  <c r="D1820" i="1"/>
  <c r="C1820" i="1"/>
  <c r="B1820" i="1"/>
  <c r="A1820" i="1"/>
  <c r="R1819" i="1"/>
  <c r="J1819" i="1"/>
  <c r="I1819" i="1"/>
  <c r="G1819" i="1"/>
  <c r="F1819" i="1"/>
  <c r="E1819" i="1"/>
  <c r="D1819" i="1"/>
  <c r="C1819" i="1"/>
  <c r="B1819" i="1"/>
  <c r="A1819" i="1"/>
  <c r="S1818" i="1"/>
  <c r="O1818" i="1"/>
  <c r="K1818" i="1"/>
  <c r="J1818" i="1"/>
  <c r="I1818" i="1"/>
  <c r="H1818" i="1"/>
  <c r="G1818" i="1"/>
  <c r="F1818" i="1"/>
  <c r="E1818" i="1"/>
  <c r="D1818" i="1"/>
  <c r="C1818" i="1"/>
  <c r="B1818" i="1"/>
  <c r="A1818" i="1"/>
  <c r="R1817" i="1"/>
  <c r="J1817" i="1"/>
  <c r="I1817" i="1"/>
  <c r="G1817" i="1"/>
  <c r="F1817" i="1"/>
  <c r="E1817" i="1"/>
  <c r="D1817" i="1"/>
  <c r="C1817" i="1"/>
  <c r="B1817" i="1"/>
  <c r="A1817" i="1"/>
  <c r="S1816" i="1"/>
  <c r="O1816" i="1"/>
  <c r="K1816" i="1"/>
  <c r="J1816" i="1"/>
  <c r="I1816" i="1"/>
  <c r="H1816" i="1"/>
  <c r="G1816" i="1"/>
  <c r="F1816" i="1"/>
  <c r="E1816" i="1"/>
  <c r="D1816" i="1"/>
  <c r="C1816" i="1"/>
  <c r="B1816" i="1"/>
  <c r="A1816" i="1"/>
  <c r="R1815" i="1"/>
  <c r="J1815" i="1"/>
  <c r="I1815" i="1"/>
  <c r="G1815" i="1"/>
  <c r="F1815" i="1"/>
  <c r="E1815" i="1"/>
  <c r="D1815" i="1"/>
  <c r="C1815" i="1"/>
  <c r="B1815" i="1"/>
  <c r="A1815" i="1"/>
  <c r="S1814" i="1"/>
  <c r="O1814" i="1"/>
  <c r="K1814" i="1"/>
  <c r="J1814" i="1"/>
  <c r="I1814" i="1"/>
  <c r="H1814" i="1"/>
  <c r="G1814" i="1"/>
  <c r="F1814" i="1"/>
  <c r="E1814" i="1"/>
  <c r="D1814" i="1"/>
  <c r="C1814" i="1"/>
  <c r="B1814" i="1"/>
  <c r="A1814" i="1"/>
  <c r="R1813" i="1"/>
  <c r="J1813" i="1"/>
  <c r="I1813" i="1"/>
  <c r="G1813" i="1"/>
  <c r="F1813" i="1"/>
  <c r="E1813" i="1"/>
  <c r="D1813" i="1"/>
  <c r="C1813" i="1"/>
  <c r="B1813" i="1"/>
  <c r="A1813" i="1"/>
  <c r="S1812" i="1"/>
  <c r="O1812" i="1"/>
  <c r="K1812" i="1"/>
  <c r="J1812" i="1"/>
  <c r="I1812" i="1"/>
  <c r="H1812" i="1"/>
  <c r="G1812" i="1"/>
  <c r="F1812" i="1"/>
  <c r="E1812" i="1"/>
  <c r="D1812" i="1"/>
  <c r="C1812" i="1"/>
  <c r="B1812" i="1"/>
  <c r="A1812" i="1"/>
  <c r="R1811" i="1"/>
  <c r="J1811" i="1"/>
  <c r="I1811" i="1"/>
  <c r="G1811" i="1"/>
  <c r="F1811" i="1"/>
  <c r="E1811" i="1"/>
  <c r="D1811" i="1"/>
  <c r="C1811" i="1"/>
  <c r="B1811" i="1"/>
  <c r="A1811" i="1"/>
  <c r="S1810" i="1"/>
  <c r="O1810" i="1"/>
  <c r="K1810" i="1"/>
  <c r="J1810" i="1"/>
  <c r="I1810" i="1"/>
  <c r="H1810" i="1"/>
  <c r="G1810" i="1"/>
  <c r="F1810" i="1"/>
  <c r="E1810" i="1"/>
  <c r="D1810" i="1"/>
  <c r="C1810" i="1"/>
  <c r="B1810" i="1"/>
  <c r="A1810" i="1"/>
  <c r="R1809" i="1"/>
  <c r="J1809" i="1"/>
  <c r="I1809" i="1"/>
  <c r="G1809" i="1"/>
  <c r="F1809" i="1"/>
  <c r="E1809" i="1"/>
  <c r="D1809" i="1"/>
  <c r="C1809" i="1"/>
  <c r="B1809" i="1"/>
  <c r="A1809" i="1"/>
  <c r="S1808" i="1"/>
  <c r="O1808" i="1"/>
  <c r="K1808" i="1"/>
  <c r="J1808" i="1"/>
  <c r="I1808" i="1"/>
  <c r="H1808" i="1"/>
  <c r="G1808" i="1"/>
  <c r="F1808" i="1"/>
  <c r="E1808" i="1"/>
  <c r="D1808" i="1"/>
  <c r="C1808" i="1"/>
  <c r="B1808" i="1"/>
  <c r="A1808" i="1"/>
  <c r="R1807" i="1"/>
  <c r="J1807" i="1"/>
  <c r="I1807" i="1"/>
  <c r="G1807" i="1"/>
  <c r="F1807" i="1"/>
  <c r="E1807" i="1"/>
  <c r="D1807" i="1"/>
  <c r="C1807" i="1"/>
  <c r="B1807" i="1"/>
  <c r="A1807" i="1"/>
  <c r="S1806" i="1"/>
  <c r="O1806" i="1"/>
  <c r="K1806" i="1"/>
  <c r="J1806" i="1"/>
  <c r="I1806" i="1"/>
  <c r="H1806" i="1"/>
  <c r="G1806" i="1"/>
  <c r="F1806" i="1"/>
  <c r="E1806" i="1"/>
  <c r="D1806" i="1"/>
  <c r="C1806" i="1"/>
  <c r="B1806" i="1"/>
  <c r="A1806" i="1"/>
  <c r="R1805" i="1"/>
  <c r="J1805" i="1"/>
  <c r="I1805" i="1"/>
  <c r="G1805" i="1"/>
  <c r="F1805" i="1"/>
  <c r="E1805" i="1"/>
  <c r="D1805" i="1"/>
  <c r="C1805" i="1"/>
  <c r="B1805" i="1"/>
  <c r="A1805" i="1"/>
  <c r="S1804" i="1"/>
  <c r="O1804" i="1"/>
  <c r="K1804" i="1"/>
  <c r="J1804" i="1"/>
  <c r="I1804" i="1"/>
  <c r="H1804" i="1"/>
  <c r="G1804" i="1"/>
  <c r="F1804" i="1"/>
  <c r="E1804" i="1"/>
  <c r="D1804" i="1"/>
  <c r="C1804" i="1"/>
  <c r="B1804" i="1"/>
  <c r="A1804" i="1"/>
  <c r="R1803" i="1"/>
  <c r="J1803" i="1"/>
  <c r="I1803" i="1"/>
  <c r="G1803" i="1"/>
  <c r="F1803" i="1"/>
  <c r="E1803" i="1"/>
  <c r="D1803" i="1"/>
  <c r="C1803" i="1"/>
  <c r="B1803" i="1"/>
  <c r="A1803" i="1"/>
  <c r="S1802" i="1"/>
  <c r="O1802" i="1"/>
  <c r="K1802" i="1"/>
  <c r="J1802" i="1"/>
  <c r="I1802" i="1"/>
  <c r="H1802" i="1"/>
  <c r="G1802" i="1"/>
  <c r="F1802" i="1"/>
  <c r="E1802" i="1"/>
  <c r="D1802" i="1"/>
  <c r="C1802" i="1"/>
  <c r="B1802" i="1"/>
  <c r="A1802" i="1"/>
  <c r="R1801" i="1"/>
  <c r="J1801" i="1"/>
  <c r="I1801" i="1"/>
  <c r="G1801" i="1"/>
  <c r="F1801" i="1"/>
  <c r="E1801" i="1"/>
  <c r="D1801" i="1"/>
  <c r="C1801" i="1"/>
  <c r="B1801" i="1"/>
  <c r="A1801" i="1"/>
  <c r="S1800" i="1"/>
  <c r="O1800" i="1"/>
  <c r="K1800" i="1"/>
  <c r="J1800" i="1"/>
  <c r="I1800" i="1"/>
  <c r="H1800" i="1"/>
  <c r="G1800" i="1"/>
  <c r="F1800" i="1"/>
  <c r="E1800" i="1"/>
  <c r="D1800" i="1"/>
  <c r="C1800" i="1"/>
  <c r="B1800" i="1"/>
  <c r="A1800" i="1"/>
  <c r="R1799" i="1"/>
  <c r="J1799" i="1"/>
  <c r="I1799" i="1"/>
  <c r="G1799" i="1"/>
  <c r="F1799" i="1"/>
  <c r="E1799" i="1"/>
  <c r="D1799" i="1"/>
  <c r="C1799" i="1"/>
  <c r="B1799" i="1"/>
  <c r="A1799" i="1"/>
  <c r="S1798" i="1"/>
  <c r="O1798" i="1"/>
  <c r="K1798" i="1"/>
  <c r="J1798" i="1"/>
  <c r="I1798" i="1"/>
  <c r="H1798" i="1"/>
  <c r="G1798" i="1"/>
  <c r="F1798" i="1"/>
  <c r="E1798" i="1"/>
  <c r="D1798" i="1"/>
  <c r="C1798" i="1"/>
  <c r="B1798" i="1"/>
  <c r="A1798" i="1"/>
  <c r="R1797" i="1"/>
  <c r="J1797" i="1"/>
  <c r="I1797" i="1"/>
  <c r="G1797" i="1"/>
  <c r="F1797" i="1"/>
  <c r="E1797" i="1"/>
  <c r="D1797" i="1"/>
  <c r="C1797" i="1"/>
  <c r="B1797" i="1"/>
  <c r="A1797" i="1"/>
  <c r="S1796" i="1"/>
  <c r="O1796" i="1"/>
  <c r="K1796" i="1"/>
  <c r="J1796" i="1"/>
  <c r="I1796" i="1"/>
  <c r="H1796" i="1"/>
  <c r="G1796" i="1"/>
  <c r="F1796" i="1"/>
  <c r="E1796" i="1"/>
  <c r="D1796" i="1"/>
  <c r="C1796" i="1"/>
  <c r="B1796" i="1"/>
  <c r="A1796" i="1"/>
  <c r="R1795" i="1"/>
  <c r="J1795" i="1"/>
  <c r="I1795" i="1"/>
  <c r="G1795" i="1"/>
  <c r="F1795" i="1"/>
  <c r="E1795" i="1"/>
  <c r="D1795" i="1"/>
  <c r="C1795" i="1"/>
  <c r="B1795" i="1"/>
  <c r="A1795" i="1"/>
  <c r="S1794" i="1"/>
  <c r="O1794" i="1"/>
  <c r="K1794" i="1"/>
  <c r="J1794" i="1"/>
  <c r="I1794" i="1"/>
  <c r="H1794" i="1"/>
  <c r="G1794" i="1"/>
  <c r="F1794" i="1"/>
  <c r="E1794" i="1"/>
  <c r="D1794" i="1"/>
  <c r="C1794" i="1"/>
  <c r="B1794" i="1"/>
  <c r="A1794" i="1"/>
  <c r="R1793" i="1"/>
  <c r="J1793" i="1"/>
  <c r="I1793" i="1"/>
  <c r="G1793" i="1"/>
  <c r="F1793" i="1"/>
  <c r="E1793" i="1"/>
  <c r="D1793" i="1"/>
  <c r="C1793" i="1"/>
  <c r="B1793" i="1"/>
  <c r="A1793" i="1"/>
  <c r="S1792" i="1"/>
  <c r="O1792" i="1"/>
  <c r="K1792" i="1"/>
  <c r="J1792" i="1"/>
  <c r="I1792" i="1"/>
  <c r="H1792" i="1"/>
  <c r="G1792" i="1"/>
  <c r="F1792" i="1"/>
  <c r="E1792" i="1"/>
  <c r="D1792" i="1"/>
  <c r="C1792" i="1"/>
  <c r="B1792" i="1"/>
  <c r="A1792" i="1"/>
  <c r="R1791" i="1"/>
  <c r="J1791" i="1"/>
  <c r="I1791" i="1"/>
  <c r="G1791" i="1"/>
  <c r="F1791" i="1"/>
  <c r="E1791" i="1"/>
  <c r="D1791" i="1"/>
  <c r="C1791" i="1"/>
  <c r="B1791" i="1"/>
  <c r="A1791" i="1"/>
  <c r="S1790" i="1"/>
  <c r="O1790" i="1"/>
  <c r="K1790" i="1"/>
  <c r="J1790" i="1"/>
  <c r="I1790" i="1"/>
  <c r="H1790" i="1"/>
  <c r="G1790" i="1"/>
  <c r="F1790" i="1"/>
  <c r="E1790" i="1"/>
  <c r="D1790" i="1"/>
  <c r="C1790" i="1"/>
  <c r="B1790" i="1"/>
  <c r="A1790" i="1"/>
  <c r="R1789" i="1"/>
  <c r="J1789" i="1"/>
  <c r="I1789" i="1"/>
  <c r="G1789" i="1"/>
  <c r="F1789" i="1"/>
  <c r="E1789" i="1"/>
  <c r="D1789" i="1"/>
  <c r="C1789" i="1"/>
  <c r="B1789" i="1"/>
  <c r="A1789" i="1"/>
  <c r="R1788" i="1"/>
  <c r="J1788" i="1"/>
  <c r="I1788" i="1"/>
  <c r="G1788" i="1"/>
  <c r="F1788" i="1"/>
  <c r="E1788" i="1"/>
  <c r="D1788" i="1"/>
  <c r="C1788" i="1"/>
  <c r="B1788" i="1"/>
  <c r="A1788" i="1"/>
  <c r="R1787" i="1"/>
  <c r="J1787" i="1"/>
  <c r="I1787" i="1"/>
  <c r="G1787" i="1"/>
  <c r="F1787" i="1"/>
  <c r="E1787" i="1"/>
  <c r="D1787" i="1"/>
  <c r="C1787" i="1"/>
  <c r="B1787" i="1"/>
  <c r="A1787" i="1"/>
  <c r="S1786" i="1"/>
  <c r="O1786" i="1"/>
  <c r="K1786" i="1"/>
  <c r="J1786" i="1"/>
  <c r="I1786" i="1"/>
  <c r="H1786" i="1"/>
  <c r="G1786" i="1"/>
  <c r="F1786" i="1"/>
  <c r="E1786" i="1"/>
  <c r="D1786" i="1"/>
  <c r="C1786" i="1"/>
  <c r="B1786" i="1"/>
  <c r="A1786" i="1"/>
  <c r="R1785" i="1"/>
  <c r="J1785" i="1"/>
  <c r="I1785" i="1"/>
  <c r="G1785" i="1"/>
  <c r="F1785" i="1"/>
  <c r="E1785" i="1"/>
  <c r="D1785" i="1"/>
  <c r="C1785" i="1"/>
  <c r="B1785" i="1"/>
  <c r="A1785" i="1"/>
  <c r="S1784" i="1"/>
  <c r="O1784" i="1"/>
  <c r="K1784" i="1"/>
  <c r="J1784" i="1"/>
  <c r="I1784" i="1"/>
  <c r="H1784" i="1"/>
  <c r="G1784" i="1"/>
  <c r="F1784" i="1"/>
  <c r="E1784" i="1"/>
  <c r="D1784" i="1"/>
  <c r="C1784" i="1"/>
  <c r="B1784" i="1"/>
  <c r="A1784" i="1"/>
  <c r="R1783" i="1"/>
  <c r="J1783" i="1"/>
  <c r="I1783" i="1"/>
  <c r="G1783" i="1"/>
  <c r="F1783" i="1"/>
  <c r="E1783" i="1"/>
  <c r="D1783" i="1"/>
  <c r="C1783" i="1"/>
  <c r="B1783" i="1"/>
  <c r="A1783" i="1"/>
  <c r="S1782" i="1"/>
  <c r="O1782" i="1"/>
  <c r="K1782" i="1"/>
  <c r="J1782" i="1"/>
  <c r="I1782" i="1"/>
  <c r="H1782" i="1"/>
  <c r="G1782" i="1"/>
  <c r="F1782" i="1"/>
  <c r="E1782" i="1"/>
  <c r="D1782" i="1"/>
  <c r="C1782" i="1"/>
  <c r="B1782" i="1"/>
  <c r="A1782" i="1"/>
  <c r="R1781" i="1"/>
  <c r="J1781" i="1"/>
  <c r="I1781" i="1"/>
  <c r="G1781" i="1"/>
  <c r="F1781" i="1"/>
  <c r="E1781" i="1"/>
  <c r="D1781" i="1"/>
  <c r="C1781" i="1"/>
  <c r="B1781" i="1"/>
  <c r="A1781" i="1"/>
  <c r="S1780" i="1"/>
  <c r="O1780" i="1"/>
  <c r="K1780" i="1"/>
  <c r="J1780" i="1"/>
  <c r="I1780" i="1"/>
  <c r="H1780" i="1"/>
  <c r="G1780" i="1"/>
  <c r="F1780" i="1"/>
  <c r="E1780" i="1"/>
  <c r="D1780" i="1"/>
  <c r="C1780" i="1"/>
  <c r="B1780" i="1"/>
  <c r="A1780" i="1"/>
  <c r="R1779" i="1"/>
  <c r="J1779" i="1"/>
  <c r="I1779" i="1"/>
  <c r="G1779" i="1"/>
  <c r="F1779" i="1"/>
  <c r="E1779" i="1"/>
  <c r="D1779" i="1"/>
  <c r="C1779" i="1"/>
  <c r="B1779" i="1"/>
  <c r="A1779" i="1"/>
  <c r="S1778" i="1"/>
  <c r="O1778" i="1"/>
  <c r="K1778" i="1"/>
  <c r="J1778" i="1"/>
  <c r="I1778" i="1"/>
  <c r="H1778" i="1"/>
  <c r="G1778" i="1"/>
  <c r="F1778" i="1"/>
  <c r="E1778" i="1"/>
  <c r="D1778" i="1"/>
  <c r="C1778" i="1"/>
  <c r="B1778" i="1"/>
  <c r="A1778" i="1"/>
  <c r="R1777" i="1"/>
  <c r="J1777" i="1"/>
  <c r="I1777" i="1"/>
  <c r="G1777" i="1"/>
  <c r="F1777" i="1"/>
  <c r="E1777" i="1"/>
  <c r="D1777" i="1"/>
  <c r="C1777" i="1"/>
  <c r="B1777" i="1"/>
  <c r="A1777" i="1"/>
  <c r="S1776" i="1"/>
  <c r="O1776" i="1"/>
  <c r="K1776" i="1"/>
  <c r="J1776" i="1"/>
  <c r="I1776" i="1"/>
  <c r="H1776" i="1"/>
  <c r="G1776" i="1"/>
  <c r="F1776" i="1"/>
  <c r="E1776" i="1"/>
  <c r="D1776" i="1"/>
  <c r="C1776" i="1"/>
  <c r="B1776" i="1"/>
  <c r="A1776" i="1"/>
  <c r="R1775" i="1"/>
  <c r="J1775" i="1"/>
  <c r="I1775" i="1"/>
  <c r="G1775" i="1"/>
  <c r="F1775" i="1"/>
  <c r="E1775" i="1"/>
  <c r="D1775" i="1"/>
  <c r="C1775" i="1"/>
  <c r="B1775" i="1"/>
  <c r="A1775" i="1"/>
  <c r="S1774" i="1"/>
  <c r="O1774" i="1"/>
  <c r="K1774" i="1"/>
  <c r="J1774" i="1"/>
  <c r="I1774" i="1"/>
  <c r="H1774" i="1"/>
  <c r="G1774" i="1"/>
  <c r="F1774" i="1"/>
  <c r="E1774" i="1"/>
  <c r="D1774" i="1"/>
  <c r="C1774" i="1"/>
  <c r="B1774" i="1"/>
  <c r="A1774" i="1"/>
  <c r="R1773" i="1"/>
  <c r="J1773" i="1"/>
  <c r="I1773" i="1"/>
  <c r="G1773" i="1"/>
  <c r="F1773" i="1"/>
  <c r="E1773" i="1"/>
  <c r="D1773" i="1"/>
  <c r="C1773" i="1"/>
  <c r="B1773" i="1"/>
  <c r="A1773" i="1"/>
  <c r="S1772" i="1"/>
  <c r="O1772" i="1"/>
  <c r="K1772" i="1"/>
  <c r="J1772" i="1"/>
  <c r="I1772" i="1"/>
  <c r="H1772" i="1"/>
  <c r="G1772" i="1"/>
  <c r="F1772" i="1"/>
  <c r="E1772" i="1"/>
  <c r="D1772" i="1"/>
  <c r="C1772" i="1"/>
  <c r="B1772" i="1"/>
  <c r="A1772" i="1"/>
  <c r="R1771" i="1"/>
  <c r="J1771" i="1"/>
  <c r="I1771" i="1"/>
  <c r="G1771" i="1"/>
  <c r="F1771" i="1"/>
  <c r="E1771" i="1"/>
  <c r="D1771" i="1"/>
  <c r="C1771" i="1"/>
  <c r="B1771" i="1"/>
  <c r="A1771" i="1"/>
  <c r="S1770" i="1"/>
  <c r="O1770" i="1"/>
  <c r="K1770" i="1"/>
  <c r="J1770" i="1"/>
  <c r="I1770" i="1"/>
  <c r="H1770" i="1"/>
  <c r="G1770" i="1"/>
  <c r="F1770" i="1"/>
  <c r="E1770" i="1"/>
  <c r="D1770" i="1"/>
  <c r="C1770" i="1"/>
  <c r="B1770" i="1"/>
  <c r="A1770" i="1"/>
  <c r="R1769" i="1"/>
  <c r="J1769" i="1"/>
  <c r="I1769" i="1"/>
  <c r="G1769" i="1"/>
  <c r="F1769" i="1"/>
  <c r="E1769" i="1"/>
  <c r="D1769" i="1"/>
  <c r="C1769" i="1"/>
  <c r="B1769" i="1"/>
  <c r="A1769" i="1"/>
  <c r="S1768" i="1"/>
  <c r="O1768" i="1"/>
  <c r="K1768" i="1"/>
  <c r="J1768" i="1"/>
  <c r="I1768" i="1"/>
  <c r="H1768" i="1"/>
  <c r="G1768" i="1"/>
  <c r="F1768" i="1"/>
  <c r="E1768" i="1"/>
  <c r="D1768" i="1"/>
  <c r="C1768" i="1"/>
  <c r="B1768" i="1"/>
  <c r="A1768" i="1"/>
  <c r="R1767" i="1"/>
  <c r="J1767" i="1"/>
  <c r="I1767" i="1"/>
  <c r="G1767" i="1"/>
  <c r="F1767" i="1"/>
  <c r="E1767" i="1"/>
  <c r="D1767" i="1"/>
  <c r="C1767" i="1"/>
  <c r="B1767" i="1"/>
  <c r="A1767" i="1"/>
  <c r="S1766" i="1"/>
  <c r="O1766" i="1"/>
  <c r="K1766" i="1"/>
  <c r="J1766" i="1"/>
  <c r="I1766" i="1"/>
  <c r="H1766" i="1"/>
  <c r="G1766" i="1"/>
  <c r="F1766" i="1"/>
  <c r="E1766" i="1"/>
  <c r="D1766" i="1"/>
  <c r="C1766" i="1"/>
  <c r="B1766" i="1"/>
  <c r="A1766" i="1"/>
  <c r="R1765" i="1"/>
  <c r="J1765" i="1"/>
  <c r="I1765" i="1"/>
  <c r="G1765" i="1"/>
  <c r="F1765" i="1"/>
  <c r="E1765" i="1"/>
  <c r="D1765" i="1"/>
  <c r="C1765" i="1"/>
  <c r="B1765" i="1"/>
  <c r="A1765" i="1"/>
  <c r="S1764" i="1"/>
  <c r="O1764" i="1"/>
  <c r="K1764" i="1"/>
  <c r="J1764" i="1"/>
  <c r="I1764" i="1"/>
  <c r="H1764" i="1"/>
  <c r="G1764" i="1"/>
  <c r="F1764" i="1"/>
  <c r="E1764" i="1"/>
  <c r="D1764" i="1"/>
  <c r="C1764" i="1"/>
  <c r="B1764" i="1"/>
  <c r="A1764" i="1"/>
  <c r="R1763" i="1"/>
  <c r="J1763" i="1"/>
  <c r="I1763" i="1"/>
  <c r="G1763" i="1"/>
  <c r="F1763" i="1"/>
  <c r="E1763" i="1"/>
  <c r="D1763" i="1"/>
  <c r="C1763" i="1"/>
  <c r="B1763" i="1"/>
  <c r="A1763" i="1"/>
  <c r="S1762" i="1"/>
  <c r="O1762" i="1"/>
  <c r="K1762" i="1"/>
  <c r="J1762" i="1"/>
  <c r="I1762" i="1"/>
  <c r="H1762" i="1"/>
  <c r="G1762" i="1"/>
  <c r="F1762" i="1"/>
  <c r="E1762" i="1"/>
  <c r="D1762" i="1"/>
  <c r="C1762" i="1"/>
  <c r="B1762" i="1"/>
  <c r="A1762" i="1"/>
  <c r="R1761" i="1"/>
  <c r="J1761" i="1"/>
  <c r="I1761" i="1"/>
  <c r="G1761" i="1"/>
  <c r="F1761" i="1"/>
  <c r="E1761" i="1"/>
  <c r="D1761" i="1"/>
  <c r="C1761" i="1"/>
  <c r="B1761" i="1"/>
  <c r="A1761" i="1"/>
  <c r="S1760" i="1"/>
  <c r="O1760" i="1"/>
  <c r="K1760" i="1"/>
  <c r="J1760" i="1"/>
  <c r="I1760" i="1"/>
  <c r="H1760" i="1"/>
  <c r="G1760" i="1"/>
  <c r="F1760" i="1"/>
  <c r="E1760" i="1"/>
  <c r="D1760" i="1"/>
  <c r="C1760" i="1"/>
  <c r="B1760" i="1"/>
  <c r="A1760" i="1"/>
  <c r="R1759" i="1"/>
  <c r="J1759" i="1"/>
  <c r="I1759" i="1"/>
  <c r="G1759" i="1"/>
  <c r="F1759" i="1"/>
  <c r="E1759" i="1"/>
  <c r="D1759" i="1"/>
  <c r="C1759" i="1"/>
  <c r="B1759" i="1"/>
  <c r="A1759" i="1"/>
  <c r="S1758" i="1"/>
  <c r="O1758" i="1"/>
  <c r="K1758" i="1"/>
  <c r="J1758" i="1"/>
  <c r="I1758" i="1"/>
  <c r="H1758" i="1"/>
  <c r="G1758" i="1"/>
  <c r="F1758" i="1"/>
  <c r="E1758" i="1"/>
  <c r="D1758" i="1"/>
  <c r="C1758" i="1"/>
  <c r="B1758" i="1"/>
  <c r="A1758" i="1"/>
  <c r="R1757" i="1"/>
  <c r="J1757" i="1"/>
  <c r="I1757" i="1"/>
  <c r="G1757" i="1"/>
  <c r="F1757" i="1"/>
  <c r="E1757" i="1"/>
  <c r="D1757" i="1"/>
  <c r="C1757" i="1"/>
  <c r="B1757" i="1"/>
  <c r="A1757" i="1"/>
  <c r="S1756" i="1"/>
  <c r="O1756" i="1"/>
  <c r="K1756" i="1"/>
  <c r="J1756" i="1"/>
  <c r="I1756" i="1"/>
  <c r="H1756" i="1"/>
  <c r="G1756" i="1"/>
  <c r="F1756" i="1"/>
  <c r="E1756" i="1"/>
  <c r="D1756" i="1"/>
  <c r="C1756" i="1"/>
  <c r="B1756" i="1"/>
  <c r="A1756" i="1"/>
  <c r="R1755" i="1"/>
  <c r="J1755" i="1"/>
  <c r="I1755" i="1"/>
  <c r="G1755" i="1"/>
  <c r="F1755" i="1"/>
  <c r="E1755" i="1"/>
  <c r="D1755" i="1"/>
  <c r="C1755" i="1"/>
  <c r="B1755" i="1"/>
  <c r="A1755" i="1"/>
  <c r="R1754" i="1"/>
  <c r="J1754" i="1"/>
  <c r="I1754" i="1"/>
  <c r="G1754" i="1"/>
  <c r="F1754" i="1"/>
  <c r="E1754" i="1"/>
  <c r="D1754" i="1"/>
  <c r="C1754" i="1"/>
  <c r="B1754" i="1"/>
  <c r="A1754" i="1"/>
  <c r="S1753" i="1"/>
  <c r="O1753" i="1"/>
  <c r="K1753" i="1"/>
  <c r="J1753" i="1"/>
  <c r="I1753" i="1"/>
  <c r="H1753" i="1"/>
  <c r="G1753" i="1"/>
  <c r="F1753" i="1"/>
  <c r="E1753" i="1"/>
  <c r="D1753" i="1"/>
  <c r="C1753" i="1"/>
  <c r="B1753" i="1"/>
  <c r="A1753" i="1"/>
  <c r="R1752" i="1"/>
  <c r="J1752" i="1"/>
  <c r="I1752" i="1"/>
  <c r="G1752" i="1"/>
  <c r="F1752" i="1"/>
  <c r="E1752" i="1"/>
  <c r="D1752" i="1"/>
  <c r="C1752" i="1"/>
  <c r="B1752" i="1"/>
  <c r="A1752" i="1"/>
  <c r="S1751" i="1"/>
  <c r="O1751" i="1"/>
  <c r="K1751" i="1"/>
  <c r="J1751" i="1"/>
  <c r="I1751" i="1"/>
  <c r="H1751" i="1"/>
  <c r="G1751" i="1"/>
  <c r="F1751" i="1"/>
  <c r="E1751" i="1"/>
  <c r="D1751" i="1"/>
  <c r="C1751" i="1"/>
  <c r="B1751" i="1"/>
  <c r="A1751" i="1"/>
  <c r="R1750" i="1"/>
  <c r="J1750" i="1"/>
  <c r="I1750" i="1"/>
  <c r="G1750" i="1"/>
  <c r="F1750" i="1"/>
  <c r="E1750" i="1"/>
  <c r="D1750" i="1"/>
  <c r="C1750" i="1"/>
  <c r="B1750" i="1"/>
  <c r="A1750" i="1"/>
  <c r="S1749" i="1"/>
  <c r="O1749" i="1"/>
  <c r="K1749" i="1"/>
  <c r="J1749" i="1"/>
  <c r="I1749" i="1"/>
  <c r="H1749" i="1"/>
  <c r="G1749" i="1"/>
  <c r="F1749" i="1"/>
  <c r="E1749" i="1"/>
  <c r="D1749" i="1"/>
  <c r="C1749" i="1"/>
  <c r="B1749" i="1"/>
  <c r="A1749" i="1"/>
  <c r="R1748" i="1"/>
  <c r="J1748" i="1"/>
  <c r="I1748" i="1"/>
  <c r="G1748" i="1"/>
  <c r="F1748" i="1"/>
  <c r="E1748" i="1"/>
  <c r="D1748" i="1"/>
  <c r="C1748" i="1"/>
  <c r="B1748" i="1"/>
  <c r="A1748" i="1"/>
  <c r="S1747" i="1"/>
  <c r="O1747" i="1"/>
  <c r="K1747" i="1"/>
  <c r="J1747" i="1"/>
  <c r="I1747" i="1"/>
  <c r="H1747" i="1"/>
  <c r="G1747" i="1"/>
  <c r="F1747" i="1"/>
  <c r="E1747" i="1"/>
  <c r="D1747" i="1"/>
  <c r="C1747" i="1"/>
  <c r="B1747" i="1"/>
  <c r="A1747" i="1"/>
  <c r="R1746" i="1"/>
  <c r="J1746" i="1"/>
  <c r="I1746" i="1"/>
  <c r="G1746" i="1"/>
  <c r="F1746" i="1"/>
  <c r="E1746" i="1"/>
  <c r="D1746" i="1"/>
  <c r="C1746" i="1"/>
  <c r="B1746" i="1"/>
  <c r="A1746" i="1"/>
  <c r="S1745" i="1"/>
  <c r="O1745" i="1"/>
  <c r="K1745" i="1"/>
  <c r="J1745" i="1"/>
  <c r="I1745" i="1"/>
  <c r="H1745" i="1"/>
  <c r="G1745" i="1"/>
  <c r="F1745" i="1"/>
  <c r="E1745" i="1"/>
  <c r="D1745" i="1"/>
  <c r="C1745" i="1"/>
  <c r="B1745" i="1"/>
  <c r="A1745" i="1"/>
  <c r="R1744" i="1"/>
  <c r="J1744" i="1"/>
  <c r="I1744" i="1"/>
  <c r="G1744" i="1"/>
  <c r="F1744" i="1"/>
  <c r="E1744" i="1"/>
  <c r="D1744" i="1"/>
  <c r="C1744" i="1"/>
  <c r="B1744" i="1"/>
  <c r="A1744" i="1"/>
  <c r="S1743" i="1"/>
  <c r="O1743" i="1"/>
  <c r="K1743" i="1"/>
  <c r="J1743" i="1"/>
  <c r="I1743" i="1"/>
  <c r="H1743" i="1"/>
  <c r="G1743" i="1"/>
  <c r="F1743" i="1"/>
  <c r="E1743" i="1"/>
  <c r="D1743" i="1"/>
  <c r="C1743" i="1"/>
  <c r="B1743" i="1"/>
  <c r="A1743" i="1"/>
  <c r="R1742" i="1"/>
  <c r="J1742" i="1"/>
  <c r="I1742" i="1"/>
  <c r="G1742" i="1"/>
  <c r="F1742" i="1"/>
  <c r="E1742" i="1"/>
  <c r="D1742" i="1"/>
  <c r="C1742" i="1"/>
  <c r="B1742" i="1"/>
  <c r="A1742" i="1"/>
  <c r="S1741" i="1"/>
  <c r="O1741" i="1"/>
  <c r="K1741" i="1"/>
  <c r="J1741" i="1"/>
  <c r="I1741" i="1"/>
  <c r="H1741" i="1"/>
  <c r="G1741" i="1"/>
  <c r="F1741" i="1"/>
  <c r="E1741" i="1"/>
  <c r="D1741" i="1"/>
  <c r="C1741" i="1"/>
  <c r="B1741" i="1"/>
  <c r="A1741" i="1"/>
  <c r="R1740" i="1"/>
  <c r="J1740" i="1"/>
  <c r="I1740" i="1"/>
  <c r="G1740" i="1"/>
  <c r="F1740" i="1"/>
  <c r="E1740" i="1"/>
  <c r="D1740" i="1"/>
  <c r="C1740" i="1"/>
  <c r="B1740" i="1"/>
  <c r="A1740" i="1"/>
  <c r="S1739" i="1"/>
  <c r="O1739" i="1"/>
  <c r="K1739" i="1"/>
  <c r="J1739" i="1"/>
  <c r="I1739" i="1"/>
  <c r="H1739" i="1"/>
  <c r="G1739" i="1"/>
  <c r="F1739" i="1"/>
  <c r="E1739" i="1"/>
  <c r="D1739" i="1"/>
  <c r="C1739" i="1"/>
  <c r="B1739" i="1"/>
  <c r="A1739" i="1"/>
  <c r="R1738" i="1"/>
  <c r="J1738" i="1"/>
  <c r="I1738" i="1"/>
  <c r="G1738" i="1"/>
  <c r="F1738" i="1"/>
  <c r="E1738" i="1"/>
  <c r="D1738" i="1"/>
  <c r="C1738" i="1"/>
  <c r="B1738" i="1"/>
  <c r="A1738" i="1"/>
  <c r="S1737" i="1"/>
  <c r="O1737" i="1"/>
  <c r="K1737" i="1"/>
  <c r="J1737" i="1"/>
  <c r="I1737" i="1"/>
  <c r="H1737" i="1"/>
  <c r="G1737" i="1"/>
  <c r="F1737" i="1"/>
  <c r="E1737" i="1"/>
  <c r="D1737" i="1"/>
  <c r="C1737" i="1"/>
  <c r="B1737" i="1"/>
  <c r="A1737" i="1"/>
  <c r="R1736" i="1"/>
  <c r="J1736" i="1"/>
  <c r="I1736" i="1"/>
  <c r="G1736" i="1"/>
  <c r="F1736" i="1"/>
  <c r="E1736" i="1"/>
  <c r="D1736" i="1"/>
  <c r="C1736" i="1"/>
  <c r="B1736" i="1"/>
  <c r="A1736" i="1"/>
  <c r="S1735" i="1"/>
  <c r="O1735" i="1"/>
  <c r="K1735" i="1"/>
  <c r="J1735" i="1"/>
  <c r="I1735" i="1"/>
  <c r="H1735" i="1"/>
  <c r="G1735" i="1"/>
  <c r="F1735" i="1"/>
  <c r="E1735" i="1"/>
  <c r="D1735" i="1"/>
  <c r="C1735" i="1"/>
  <c r="B1735" i="1"/>
  <c r="A1735" i="1"/>
  <c r="R1734" i="1"/>
  <c r="J1734" i="1"/>
  <c r="I1734" i="1"/>
  <c r="G1734" i="1"/>
  <c r="F1734" i="1"/>
  <c r="E1734" i="1"/>
  <c r="D1734" i="1"/>
  <c r="C1734" i="1"/>
  <c r="B1734" i="1"/>
  <c r="A1734" i="1"/>
  <c r="S1733" i="1"/>
  <c r="O1733" i="1"/>
  <c r="K1733" i="1"/>
  <c r="J1733" i="1"/>
  <c r="I1733" i="1"/>
  <c r="H1733" i="1"/>
  <c r="G1733" i="1"/>
  <c r="F1733" i="1"/>
  <c r="E1733" i="1"/>
  <c r="D1733" i="1"/>
  <c r="C1733" i="1"/>
  <c r="B1733" i="1"/>
  <c r="A1733" i="1"/>
  <c r="R1732" i="1"/>
  <c r="J1732" i="1"/>
  <c r="I1732" i="1"/>
  <c r="G1732" i="1"/>
  <c r="F1732" i="1"/>
  <c r="E1732" i="1"/>
  <c r="D1732" i="1"/>
  <c r="C1732" i="1"/>
  <c r="B1732" i="1"/>
  <c r="A1732" i="1"/>
  <c r="R1731" i="1"/>
  <c r="J1731" i="1"/>
  <c r="I1731" i="1"/>
  <c r="G1731" i="1"/>
  <c r="F1731" i="1"/>
  <c r="E1731" i="1"/>
  <c r="D1731" i="1"/>
  <c r="C1731" i="1"/>
  <c r="B1731" i="1"/>
  <c r="A1731" i="1"/>
  <c r="S1730" i="1"/>
  <c r="O1730" i="1"/>
  <c r="K1730" i="1"/>
  <c r="J1730" i="1"/>
  <c r="I1730" i="1"/>
  <c r="H1730" i="1"/>
  <c r="G1730" i="1"/>
  <c r="F1730" i="1"/>
  <c r="E1730" i="1"/>
  <c r="D1730" i="1"/>
  <c r="C1730" i="1"/>
  <c r="B1730" i="1"/>
  <c r="A1730" i="1"/>
  <c r="R1729" i="1"/>
  <c r="J1729" i="1"/>
  <c r="I1729" i="1"/>
  <c r="G1729" i="1"/>
  <c r="F1729" i="1"/>
  <c r="E1729" i="1"/>
  <c r="D1729" i="1"/>
  <c r="C1729" i="1"/>
  <c r="B1729" i="1"/>
  <c r="A1729" i="1"/>
  <c r="S1728" i="1"/>
  <c r="O1728" i="1"/>
  <c r="K1728" i="1"/>
  <c r="J1728" i="1"/>
  <c r="I1728" i="1"/>
  <c r="H1728" i="1"/>
  <c r="G1728" i="1"/>
  <c r="F1728" i="1"/>
  <c r="E1728" i="1"/>
  <c r="D1728" i="1"/>
  <c r="C1728" i="1"/>
  <c r="B1728" i="1"/>
  <c r="A1728" i="1"/>
  <c r="R1727" i="1"/>
  <c r="J1727" i="1"/>
  <c r="I1727" i="1"/>
  <c r="G1727" i="1"/>
  <c r="F1727" i="1"/>
  <c r="E1727" i="1"/>
  <c r="D1727" i="1"/>
  <c r="C1727" i="1"/>
  <c r="B1727" i="1"/>
  <c r="A1727" i="1"/>
  <c r="S1726" i="1"/>
  <c r="O1726" i="1"/>
  <c r="K1726" i="1"/>
  <c r="J1726" i="1"/>
  <c r="I1726" i="1"/>
  <c r="H1726" i="1"/>
  <c r="G1726" i="1"/>
  <c r="F1726" i="1"/>
  <c r="E1726" i="1"/>
  <c r="D1726" i="1"/>
  <c r="C1726" i="1"/>
  <c r="B1726" i="1"/>
  <c r="A1726" i="1"/>
  <c r="R1725" i="1"/>
  <c r="J1725" i="1"/>
  <c r="I1725" i="1"/>
  <c r="G1725" i="1"/>
  <c r="F1725" i="1"/>
  <c r="E1725" i="1"/>
  <c r="D1725" i="1"/>
  <c r="C1725" i="1"/>
  <c r="B1725" i="1"/>
  <c r="A1725" i="1"/>
  <c r="S1724" i="1"/>
  <c r="O1724" i="1"/>
  <c r="K1724" i="1"/>
  <c r="J1724" i="1"/>
  <c r="I1724" i="1"/>
  <c r="H1724" i="1"/>
  <c r="G1724" i="1"/>
  <c r="F1724" i="1"/>
  <c r="E1724" i="1"/>
  <c r="D1724" i="1"/>
  <c r="C1724" i="1"/>
  <c r="B1724" i="1"/>
  <c r="A1724" i="1"/>
  <c r="R1723" i="1"/>
  <c r="J1723" i="1"/>
  <c r="I1723" i="1"/>
  <c r="G1723" i="1"/>
  <c r="F1723" i="1"/>
  <c r="E1723" i="1"/>
  <c r="D1723" i="1"/>
  <c r="C1723" i="1"/>
  <c r="B1723" i="1"/>
  <c r="A1723" i="1"/>
  <c r="S1722" i="1"/>
  <c r="O1722" i="1"/>
  <c r="K1722" i="1"/>
  <c r="J1722" i="1"/>
  <c r="I1722" i="1"/>
  <c r="H1722" i="1"/>
  <c r="G1722" i="1"/>
  <c r="F1722" i="1"/>
  <c r="E1722" i="1"/>
  <c r="D1722" i="1"/>
  <c r="C1722" i="1"/>
  <c r="B1722" i="1"/>
  <c r="A1722" i="1"/>
  <c r="R1721" i="1"/>
  <c r="J1721" i="1"/>
  <c r="I1721" i="1"/>
  <c r="G1721" i="1"/>
  <c r="F1721" i="1"/>
  <c r="E1721" i="1"/>
  <c r="D1721" i="1"/>
  <c r="C1721" i="1"/>
  <c r="B1721" i="1"/>
  <c r="A1721" i="1"/>
  <c r="S1720" i="1"/>
  <c r="O1720" i="1"/>
  <c r="K1720" i="1"/>
  <c r="J1720" i="1"/>
  <c r="I1720" i="1"/>
  <c r="H1720" i="1"/>
  <c r="G1720" i="1"/>
  <c r="F1720" i="1"/>
  <c r="E1720" i="1"/>
  <c r="D1720" i="1"/>
  <c r="C1720" i="1"/>
  <c r="B1720" i="1"/>
  <c r="A1720" i="1"/>
  <c r="R1719" i="1"/>
  <c r="J1719" i="1"/>
  <c r="I1719" i="1"/>
  <c r="G1719" i="1"/>
  <c r="F1719" i="1"/>
  <c r="E1719" i="1"/>
  <c r="D1719" i="1"/>
  <c r="C1719" i="1"/>
  <c r="B1719" i="1"/>
  <c r="A1719" i="1"/>
  <c r="S1718" i="1"/>
  <c r="O1718" i="1"/>
  <c r="K1718" i="1"/>
  <c r="J1718" i="1"/>
  <c r="I1718" i="1"/>
  <c r="H1718" i="1"/>
  <c r="G1718" i="1"/>
  <c r="F1718" i="1"/>
  <c r="E1718" i="1"/>
  <c r="D1718" i="1"/>
  <c r="C1718" i="1"/>
  <c r="B1718" i="1"/>
  <c r="A1718" i="1"/>
  <c r="R1717" i="1"/>
  <c r="J1717" i="1"/>
  <c r="I1717" i="1"/>
  <c r="G1717" i="1"/>
  <c r="F1717" i="1"/>
  <c r="E1717" i="1"/>
  <c r="D1717" i="1"/>
  <c r="C1717" i="1"/>
  <c r="B1717" i="1"/>
  <c r="A1717" i="1"/>
  <c r="S1716" i="1"/>
  <c r="O1716" i="1"/>
  <c r="K1716" i="1"/>
  <c r="J1716" i="1"/>
  <c r="I1716" i="1"/>
  <c r="H1716" i="1"/>
  <c r="G1716" i="1"/>
  <c r="F1716" i="1"/>
  <c r="E1716" i="1"/>
  <c r="D1716" i="1"/>
  <c r="C1716" i="1"/>
  <c r="B1716" i="1"/>
  <c r="A1716" i="1"/>
  <c r="R1715" i="1"/>
  <c r="J1715" i="1"/>
  <c r="I1715" i="1"/>
  <c r="G1715" i="1"/>
  <c r="F1715" i="1"/>
  <c r="E1715" i="1"/>
  <c r="D1715" i="1"/>
  <c r="C1715" i="1"/>
  <c r="B1715" i="1"/>
  <c r="A1715" i="1"/>
  <c r="S1714" i="1"/>
  <c r="O1714" i="1"/>
  <c r="K1714" i="1"/>
  <c r="J1714" i="1"/>
  <c r="I1714" i="1"/>
  <c r="H1714" i="1"/>
  <c r="G1714" i="1"/>
  <c r="F1714" i="1"/>
  <c r="E1714" i="1"/>
  <c r="D1714" i="1"/>
  <c r="C1714" i="1"/>
  <c r="B1714" i="1"/>
  <c r="A1714" i="1"/>
  <c r="R1713" i="1"/>
  <c r="J1713" i="1"/>
  <c r="I1713" i="1"/>
  <c r="G1713" i="1"/>
  <c r="F1713" i="1"/>
  <c r="E1713" i="1"/>
  <c r="D1713" i="1"/>
  <c r="C1713" i="1"/>
  <c r="B1713" i="1"/>
  <c r="A1713" i="1"/>
  <c r="S1712" i="1"/>
  <c r="O1712" i="1"/>
  <c r="K1712" i="1"/>
  <c r="J1712" i="1"/>
  <c r="I1712" i="1"/>
  <c r="H1712" i="1"/>
  <c r="G1712" i="1"/>
  <c r="F1712" i="1"/>
  <c r="E1712" i="1"/>
  <c r="D1712" i="1"/>
  <c r="C1712" i="1"/>
  <c r="B1712" i="1"/>
  <c r="A1712" i="1"/>
  <c r="R1711" i="1"/>
  <c r="J1711" i="1"/>
  <c r="I1711" i="1"/>
  <c r="G1711" i="1"/>
  <c r="F1711" i="1"/>
  <c r="E1711" i="1"/>
  <c r="D1711" i="1"/>
  <c r="C1711" i="1"/>
  <c r="B1711" i="1"/>
  <c r="A1711" i="1"/>
  <c r="S1710" i="1"/>
  <c r="O1710" i="1"/>
  <c r="K1710" i="1"/>
  <c r="J1710" i="1"/>
  <c r="I1710" i="1"/>
  <c r="H1710" i="1"/>
  <c r="G1710" i="1"/>
  <c r="F1710" i="1"/>
  <c r="E1710" i="1"/>
  <c r="D1710" i="1"/>
  <c r="C1710" i="1"/>
  <c r="B1710" i="1"/>
  <c r="A1710" i="1"/>
  <c r="R1709" i="1"/>
  <c r="J1709" i="1"/>
  <c r="I1709" i="1"/>
  <c r="G1709" i="1"/>
  <c r="F1709" i="1"/>
  <c r="E1709" i="1"/>
  <c r="D1709" i="1"/>
  <c r="C1709" i="1"/>
  <c r="B1709" i="1"/>
  <c r="A1709" i="1"/>
  <c r="S1708" i="1"/>
  <c r="O1708" i="1"/>
  <c r="K1708" i="1"/>
  <c r="J1708" i="1"/>
  <c r="I1708" i="1"/>
  <c r="H1708" i="1"/>
  <c r="G1708" i="1"/>
  <c r="F1708" i="1"/>
  <c r="E1708" i="1"/>
  <c r="D1708" i="1"/>
  <c r="C1708" i="1"/>
  <c r="B1708" i="1"/>
  <c r="A1708" i="1"/>
  <c r="R1707" i="1"/>
  <c r="J1707" i="1"/>
  <c r="I1707" i="1"/>
  <c r="G1707" i="1"/>
  <c r="F1707" i="1"/>
  <c r="E1707" i="1"/>
  <c r="D1707" i="1"/>
  <c r="C1707" i="1"/>
  <c r="B1707" i="1"/>
  <c r="A1707" i="1"/>
  <c r="S1706" i="1"/>
  <c r="O1706" i="1"/>
  <c r="K1706" i="1"/>
  <c r="J1706" i="1"/>
  <c r="I1706" i="1"/>
  <c r="H1706" i="1"/>
  <c r="G1706" i="1"/>
  <c r="F1706" i="1"/>
  <c r="E1706" i="1"/>
  <c r="D1706" i="1"/>
  <c r="C1706" i="1"/>
  <c r="B1706" i="1"/>
  <c r="A1706" i="1"/>
  <c r="R1705" i="1"/>
  <c r="J1705" i="1"/>
  <c r="I1705" i="1"/>
  <c r="G1705" i="1"/>
  <c r="F1705" i="1"/>
  <c r="E1705" i="1"/>
  <c r="D1705" i="1"/>
  <c r="C1705" i="1"/>
  <c r="B1705" i="1"/>
  <c r="A1705" i="1"/>
  <c r="S1704" i="1"/>
  <c r="O1704" i="1"/>
  <c r="K1704" i="1"/>
  <c r="J1704" i="1"/>
  <c r="I1704" i="1"/>
  <c r="H1704" i="1"/>
  <c r="G1704" i="1"/>
  <c r="F1704" i="1"/>
  <c r="E1704" i="1"/>
  <c r="D1704" i="1"/>
  <c r="C1704" i="1"/>
  <c r="B1704" i="1"/>
  <c r="A1704" i="1"/>
  <c r="R1703" i="1"/>
  <c r="J1703" i="1"/>
  <c r="I1703" i="1"/>
  <c r="G1703" i="1"/>
  <c r="F1703" i="1"/>
  <c r="E1703" i="1"/>
  <c r="D1703" i="1"/>
  <c r="C1703" i="1"/>
  <c r="B1703" i="1"/>
  <c r="A1703" i="1"/>
  <c r="S1702" i="1"/>
  <c r="O1702" i="1"/>
  <c r="K1702" i="1"/>
  <c r="J1702" i="1"/>
  <c r="I1702" i="1"/>
  <c r="H1702" i="1"/>
  <c r="G1702" i="1"/>
  <c r="F1702" i="1"/>
  <c r="E1702" i="1"/>
  <c r="D1702" i="1"/>
  <c r="C1702" i="1"/>
  <c r="B1702" i="1"/>
  <c r="A1702" i="1"/>
  <c r="R1701" i="1"/>
  <c r="J1701" i="1"/>
  <c r="I1701" i="1"/>
  <c r="G1701" i="1"/>
  <c r="F1701" i="1"/>
  <c r="E1701" i="1"/>
  <c r="D1701" i="1"/>
  <c r="C1701" i="1"/>
  <c r="B1701" i="1"/>
  <c r="A1701" i="1"/>
  <c r="S1700" i="1"/>
  <c r="O1700" i="1"/>
  <c r="K1700" i="1"/>
  <c r="J1700" i="1"/>
  <c r="I1700" i="1"/>
  <c r="H1700" i="1"/>
  <c r="G1700" i="1"/>
  <c r="F1700" i="1"/>
  <c r="E1700" i="1"/>
  <c r="D1700" i="1"/>
  <c r="C1700" i="1"/>
  <c r="B1700" i="1"/>
  <c r="A1700" i="1"/>
  <c r="R1699" i="1"/>
  <c r="J1699" i="1"/>
  <c r="I1699" i="1"/>
  <c r="G1699" i="1"/>
  <c r="F1699" i="1"/>
  <c r="E1699" i="1"/>
  <c r="D1699" i="1"/>
  <c r="C1699" i="1"/>
  <c r="B1699" i="1"/>
  <c r="A1699" i="1"/>
  <c r="S1698" i="1"/>
  <c r="O1698" i="1"/>
  <c r="K1698" i="1"/>
  <c r="J1698" i="1"/>
  <c r="I1698" i="1"/>
  <c r="H1698" i="1"/>
  <c r="G1698" i="1"/>
  <c r="F1698" i="1"/>
  <c r="E1698" i="1"/>
  <c r="D1698" i="1"/>
  <c r="C1698" i="1"/>
  <c r="B1698" i="1"/>
  <c r="A1698" i="1"/>
  <c r="R1697" i="1"/>
  <c r="J1697" i="1"/>
  <c r="I1697" i="1"/>
  <c r="G1697" i="1"/>
  <c r="F1697" i="1"/>
  <c r="E1697" i="1"/>
  <c r="D1697" i="1"/>
  <c r="C1697" i="1"/>
  <c r="B1697" i="1"/>
  <c r="A1697" i="1"/>
  <c r="S1696" i="1"/>
  <c r="O1696" i="1"/>
  <c r="K1696" i="1"/>
  <c r="J1696" i="1"/>
  <c r="I1696" i="1"/>
  <c r="H1696" i="1"/>
  <c r="G1696" i="1"/>
  <c r="F1696" i="1"/>
  <c r="E1696" i="1"/>
  <c r="D1696" i="1"/>
  <c r="C1696" i="1"/>
  <c r="B1696" i="1"/>
  <c r="A1696" i="1"/>
  <c r="R1695" i="1"/>
  <c r="J1695" i="1"/>
  <c r="I1695" i="1"/>
  <c r="G1695" i="1"/>
  <c r="F1695" i="1"/>
  <c r="E1695" i="1"/>
  <c r="D1695" i="1"/>
  <c r="C1695" i="1"/>
  <c r="B1695" i="1"/>
  <c r="A1695" i="1"/>
  <c r="S1694" i="1"/>
  <c r="O1694" i="1"/>
  <c r="K1694" i="1"/>
  <c r="J1694" i="1"/>
  <c r="I1694" i="1"/>
  <c r="H1694" i="1"/>
  <c r="G1694" i="1"/>
  <c r="F1694" i="1"/>
  <c r="E1694" i="1"/>
  <c r="D1694" i="1"/>
  <c r="C1694" i="1"/>
  <c r="B1694" i="1"/>
  <c r="A1694" i="1"/>
  <c r="R1693" i="1"/>
  <c r="J1693" i="1"/>
  <c r="I1693" i="1"/>
  <c r="G1693" i="1"/>
  <c r="F1693" i="1"/>
  <c r="E1693" i="1"/>
  <c r="D1693" i="1"/>
  <c r="C1693" i="1"/>
  <c r="B1693" i="1"/>
  <c r="A1693" i="1"/>
  <c r="S1692" i="1"/>
  <c r="O1692" i="1"/>
  <c r="K1692" i="1"/>
  <c r="J1692" i="1"/>
  <c r="I1692" i="1"/>
  <c r="H1692" i="1"/>
  <c r="G1692" i="1"/>
  <c r="F1692" i="1"/>
  <c r="E1692" i="1"/>
  <c r="D1692" i="1"/>
  <c r="C1692" i="1"/>
  <c r="B1692" i="1"/>
  <c r="A1692" i="1"/>
  <c r="R1691" i="1"/>
  <c r="J1691" i="1"/>
  <c r="I1691" i="1"/>
  <c r="G1691" i="1"/>
  <c r="F1691" i="1"/>
  <c r="E1691" i="1"/>
  <c r="D1691" i="1"/>
  <c r="C1691" i="1"/>
  <c r="B1691" i="1"/>
  <c r="A1691" i="1"/>
  <c r="S1690" i="1"/>
  <c r="O1690" i="1"/>
  <c r="K1690" i="1"/>
  <c r="J1690" i="1"/>
  <c r="I1690" i="1"/>
  <c r="H1690" i="1"/>
  <c r="G1690" i="1"/>
  <c r="F1690" i="1"/>
  <c r="E1690" i="1"/>
  <c r="D1690" i="1"/>
  <c r="C1690" i="1"/>
  <c r="B1690" i="1"/>
  <c r="A1690" i="1"/>
  <c r="R1689" i="1"/>
  <c r="J1689" i="1"/>
  <c r="I1689" i="1"/>
  <c r="G1689" i="1"/>
  <c r="F1689" i="1"/>
  <c r="E1689" i="1"/>
  <c r="D1689" i="1"/>
  <c r="C1689" i="1"/>
  <c r="B1689" i="1"/>
  <c r="A1689" i="1"/>
  <c r="S1688" i="1"/>
  <c r="O1688" i="1"/>
  <c r="K1688" i="1"/>
  <c r="J1688" i="1"/>
  <c r="I1688" i="1"/>
  <c r="H1688" i="1"/>
  <c r="G1688" i="1"/>
  <c r="F1688" i="1"/>
  <c r="E1688" i="1"/>
  <c r="D1688" i="1"/>
  <c r="C1688" i="1"/>
  <c r="B1688" i="1"/>
  <c r="A1688" i="1"/>
  <c r="R1687" i="1"/>
  <c r="J1687" i="1"/>
  <c r="I1687" i="1"/>
  <c r="G1687" i="1"/>
  <c r="F1687" i="1"/>
  <c r="E1687" i="1"/>
  <c r="D1687" i="1"/>
  <c r="C1687" i="1"/>
  <c r="B1687" i="1"/>
  <c r="A1687" i="1"/>
  <c r="S1686" i="1"/>
  <c r="O1686" i="1"/>
  <c r="K1686" i="1"/>
  <c r="J1686" i="1"/>
  <c r="I1686" i="1"/>
  <c r="H1686" i="1"/>
  <c r="G1686" i="1"/>
  <c r="F1686" i="1"/>
  <c r="E1686" i="1"/>
  <c r="D1686" i="1"/>
  <c r="C1686" i="1"/>
  <c r="B1686" i="1"/>
  <c r="A1686" i="1"/>
  <c r="R1685" i="1"/>
  <c r="J1685" i="1"/>
  <c r="I1685" i="1"/>
  <c r="G1685" i="1"/>
  <c r="F1685" i="1"/>
  <c r="E1685" i="1"/>
  <c r="D1685" i="1"/>
  <c r="C1685" i="1"/>
  <c r="B1685" i="1"/>
  <c r="A1685" i="1"/>
  <c r="S1684" i="1"/>
  <c r="O1684" i="1"/>
  <c r="K1684" i="1"/>
  <c r="J1684" i="1"/>
  <c r="I1684" i="1"/>
  <c r="H1684" i="1"/>
  <c r="G1684" i="1"/>
  <c r="F1684" i="1"/>
  <c r="E1684" i="1"/>
  <c r="D1684" i="1"/>
  <c r="C1684" i="1"/>
  <c r="B1684" i="1"/>
  <c r="A1684" i="1"/>
  <c r="R1683" i="1"/>
  <c r="J1683" i="1"/>
  <c r="I1683" i="1"/>
  <c r="G1683" i="1"/>
  <c r="F1683" i="1"/>
  <c r="E1683" i="1"/>
  <c r="D1683" i="1"/>
  <c r="C1683" i="1"/>
  <c r="B1683" i="1"/>
  <c r="A1683" i="1"/>
  <c r="R1682" i="1"/>
  <c r="J1682" i="1"/>
  <c r="I1682" i="1"/>
  <c r="G1682" i="1"/>
  <c r="F1682" i="1"/>
  <c r="E1682" i="1"/>
  <c r="D1682" i="1"/>
  <c r="C1682" i="1"/>
  <c r="B1682" i="1"/>
  <c r="A1682" i="1"/>
  <c r="S1681" i="1"/>
  <c r="O1681" i="1"/>
  <c r="K1681" i="1"/>
  <c r="J1681" i="1"/>
  <c r="I1681" i="1"/>
  <c r="H1681" i="1"/>
  <c r="G1681" i="1"/>
  <c r="F1681" i="1"/>
  <c r="E1681" i="1"/>
  <c r="D1681" i="1"/>
  <c r="C1681" i="1"/>
  <c r="B1681" i="1"/>
  <c r="A1681" i="1"/>
  <c r="R1680" i="1"/>
  <c r="J1680" i="1"/>
  <c r="I1680" i="1"/>
  <c r="G1680" i="1"/>
  <c r="F1680" i="1"/>
  <c r="E1680" i="1"/>
  <c r="D1680" i="1"/>
  <c r="C1680" i="1"/>
  <c r="B1680" i="1"/>
  <c r="A1680" i="1"/>
  <c r="S1679" i="1"/>
  <c r="O1679" i="1"/>
  <c r="K1679" i="1"/>
  <c r="J1679" i="1"/>
  <c r="I1679" i="1"/>
  <c r="H1679" i="1"/>
  <c r="G1679" i="1"/>
  <c r="F1679" i="1"/>
  <c r="E1679" i="1"/>
  <c r="D1679" i="1"/>
  <c r="C1679" i="1"/>
  <c r="B1679" i="1"/>
  <c r="A1679" i="1"/>
  <c r="R1678" i="1"/>
  <c r="J1678" i="1"/>
  <c r="I1678" i="1"/>
  <c r="G1678" i="1"/>
  <c r="F1678" i="1"/>
  <c r="E1678" i="1"/>
  <c r="D1678" i="1"/>
  <c r="C1678" i="1"/>
  <c r="B1678" i="1"/>
  <c r="A1678" i="1"/>
  <c r="S1677" i="1"/>
  <c r="O1677" i="1"/>
  <c r="K1677" i="1"/>
  <c r="J1677" i="1"/>
  <c r="I1677" i="1"/>
  <c r="H1677" i="1"/>
  <c r="G1677" i="1"/>
  <c r="F1677" i="1"/>
  <c r="E1677" i="1"/>
  <c r="D1677" i="1"/>
  <c r="C1677" i="1"/>
  <c r="B1677" i="1"/>
  <c r="A1677" i="1"/>
  <c r="R1676" i="1"/>
  <c r="J1676" i="1"/>
  <c r="I1676" i="1"/>
  <c r="G1676" i="1"/>
  <c r="F1676" i="1"/>
  <c r="E1676" i="1"/>
  <c r="D1676" i="1"/>
  <c r="C1676" i="1"/>
  <c r="B1676" i="1"/>
  <c r="A1676" i="1"/>
  <c r="R1675" i="1"/>
  <c r="J1675" i="1"/>
  <c r="I1675" i="1"/>
  <c r="G1675" i="1"/>
  <c r="F1675" i="1"/>
  <c r="E1675" i="1"/>
  <c r="D1675" i="1"/>
  <c r="C1675" i="1"/>
  <c r="B1675" i="1"/>
  <c r="A1675" i="1"/>
  <c r="S1674" i="1"/>
  <c r="O1674" i="1"/>
  <c r="K1674" i="1"/>
  <c r="J1674" i="1"/>
  <c r="I1674" i="1"/>
  <c r="H1674" i="1"/>
  <c r="G1674" i="1"/>
  <c r="F1674" i="1"/>
  <c r="E1674" i="1"/>
  <c r="D1674" i="1"/>
  <c r="C1674" i="1"/>
  <c r="B1674" i="1"/>
  <c r="A1674" i="1"/>
  <c r="R1673" i="1"/>
  <c r="J1673" i="1"/>
  <c r="I1673" i="1"/>
  <c r="G1673" i="1"/>
  <c r="F1673" i="1"/>
  <c r="E1673" i="1"/>
  <c r="D1673" i="1"/>
  <c r="C1673" i="1"/>
  <c r="B1673" i="1"/>
  <c r="A1673" i="1"/>
  <c r="S1672" i="1"/>
  <c r="O1672" i="1"/>
  <c r="K1672" i="1"/>
  <c r="J1672" i="1"/>
  <c r="I1672" i="1"/>
  <c r="H1672" i="1"/>
  <c r="G1672" i="1"/>
  <c r="F1672" i="1"/>
  <c r="E1672" i="1"/>
  <c r="D1672" i="1"/>
  <c r="C1672" i="1"/>
  <c r="B1672" i="1"/>
  <c r="A1672" i="1"/>
  <c r="R1671" i="1"/>
  <c r="J1671" i="1"/>
  <c r="I1671" i="1"/>
  <c r="G1671" i="1"/>
  <c r="F1671" i="1"/>
  <c r="E1671" i="1"/>
  <c r="D1671" i="1"/>
  <c r="C1671" i="1"/>
  <c r="B1671" i="1"/>
  <c r="A1671" i="1"/>
  <c r="S1670" i="1"/>
  <c r="O1670" i="1"/>
  <c r="K1670" i="1"/>
  <c r="J1670" i="1"/>
  <c r="I1670" i="1"/>
  <c r="H1670" i="1"/>
  <c r="G1670" i="1"/>
  <c r="F1670" i="1"/>
  <c r="E1670" i="1"/>
  <c r="D1670" i="1"/>
  <c r="C1670" i="1"/>
  <c r="B1670" i="1"/>
  <c r="A1670" i="1"/>
  <c r="R1669" i="1"/>
  <c r="J1669" i="1"/>
  <c r="I1669" i="1"/>
  <c r="G1669" i="1"/>
  <c r="F1669" i="1"/>
  <c r="E1669" i="1"/>
  <c r="D1669" i="1"/>
  <c r="C1669" i="1"/>
  <c r="B1669" i="1"/>
  <c r="A1669" i="1"/>
  <c r="S1668" i="1"/>
  <c r="O1668" i="1"/>
  <c r="K1668" i="1"/>
  <c r="J1668" i="1"/>
  <c r="I1668" i="1"/>
  <c r="H1668" i="1"/>
  <c r="G1668" i="1"/>
  <c r="F1668" i="1"/>
  <c r="E1668" i="1"/>
  <c r="D1668" i="1"/>
  <c r="C1668" i="1"/>
  <c r="B1668" i="1"/>
  <c r="A1668" i="1"/>
  <c r="R1667" i="1"/>
  <c r="J1667" i="1"/>
  <c r="I1667" i="1"/>
  <c r="G1667" i="1"/>
  <c r="F1667" i="1"/>
  <c r="E1667" i="1"/>
  <c r="D1667" i="1"/>
  <c r="C1667" i="1"/>
  <c r="B1667" i="1"/>
  <c r="A1667" i="1"/>
  <c r="S1666" i="1"/>
  <c r="O1666" i="1"/>
  <c r="K1666" i="1"/>
  <c r="J1666" i="1"/>
  <c r="I1666" i="1"/>
  <c r="H1666" i="1"/>
  <c r="G1666" i="1"/>
  <c r="F1666" i="1"/>
  <c r="E1666" i="1"/>
  <c r="D1666" i="1"/>
  <c r="C1666" i="1"/>
  <c r="B1666" i="1"/>
  <c r="A1666" i="1"/>
  <c r="R1665" i="1"/>
  <c r="J1665" i="1"/>
  <c r="I1665" i="1"/>
  <c r="G1665" i="1"/>
  <c r="F1665" i="1"/>
  <c r="E1665" i="1"/>
  <c r="D1665" i="1"/>
  <c r="C1665" i="1"/>
  <c r="B1665" i="1"/>
  <c r="A1665" i="1"/>
  <c r="S1664" i="1"/>
  <c r="O1664" i="1"/>
  <c r="K1664" i="1"/>
  <c r="J1664" i="1"/>
  <c r="I1664" i="1"/>
  <c r="H1664" i="1"/>
  <c r="G1664" i="1"/>
  <c r="F1664" i="1"/>
  <c r="E1664" i="1"/>
  <c r="D1664" i="1"/>
  <c r="C1664" i="1"/>
  <c r="B1664" i="1"/>
  <c r="A1664" i="1"/>
  <c r="R1663" i="1"/>
  <c r="J1663" i="1"/>
  <c r="I1663" i="1"/>
  <c r="G1663" i="1"/>
  <c r="F1663" i="1"/>
  <c r="E1663" i="1"/>
  <c r="D1663" i="1"/>
  <c r="C1663" i="1"/>
  <c r="B1663" i="1"/>
  <c r="A1663" i="1"/>
  <c r="S1662" i="1"/>
  <c r="O1662" i="1"/>
  <c r="K1662" i="1"/>
  <c r="J1662" i="1"/>
  <c r="I1662" i="1"/>
  <c r="H1662" i="1"/>
  <c r="G1662" i="1"/>
  <c r="F1662" i="1"/>
  <c r="E1662" i="1"/>
  <c r="D1662" i="1"/>
  <c r="C1662" i="1"/>
  <c r="B1662" i="1"/>
  <c r="A1662" i="1"/>
  <c r="R1661" i="1"/>
  <c r="J1661" i="1"/>
  <c r="I1661" i="1"/>
  <c r="G1661" i="1"/>
  <c r="F1661" i="1"/>
  <c r="E1661" i="1"/>
  <c r="D1661" i="1"/>
  <c r="C1661" i="1"/>
  <c r="B1661" i="1"/>
  <c r="A1661" i="1"/>
  <c r="S1660" i="1"/>
  <c r="O1660" i="1"/>
  <c r="K1660" i="1"/>
  <c r="J1660" i="1"/>
  <c r="I1660" i="1"/>
  <c r="H1660" i="1"/>
  <c r="G1660" i="1"/>
  <c r="F1660" i="1"/>
  <c r="E1660" i="1"/>
  <c r="D1660" i="1"/>
  <c r="C1660" i="1"/>
  <c r="B1660" i="1"/>
  <c r="A1660" i="1"/>
  <c r="R1659" i="1"/>
  <c r="J1659" i="1"/>
  <c r="I1659" i="1"/>
  <c r="G1659" i="1"/>
  <c r="F1659" i="1"/>
  <c r="E1659" i="1"/>
  <c r="D1659" i="1"/>
  <c r="C1659" i="1"/>
  <c r="B1659" i="1"/>
  <c r="A1659" i="1"/>
  <c r="S1658" i="1"/>
  <c r="O1658" i="1"/>
  <c r="K1658" i="1"/>
  <c r="J1658" i="1"/>
  <c r="I1658" i="1"/>
  <c r="H1658" i="1"/>
  <c r="G1658" i="1"/>
  <c r="F1658" i="1"/>
  <c r="E1658" i="1"/>
  <c r="D1658" i="1"/>
  <c r="C1658" i="1"/>
  <c r="B1658" i="1"/>
  <c r="A1658" i="1"/>
  <c r="R1657" i="1"/>
  <c r="J1657" i="1"/>
  <c r="I1657" i="1"/>
  <c r="G1657" i="1"/>
  <c r="F1657" i="1"/>
  <c r="E1657" i="1"/>
  <c r="D1657" i="1"/>
  <c r="C1657" i="1"/>
  <c r="B1657" i="1"/>
  <c r="A1657" i="1"/>
  <c r="S1656" i="1"/>
  <c r="O1656" i="1"/>
  <c r="K1656" i="1"/>
  <c r="J1656" i="1"/>
  <c r="I1656" i="1"/>
  <c r="H1656" i="1"/>
  <c r="G1656" i="1"/>
  <c r="F1656" i="1"/>
  <c r="E1656" i="1"/>
  <c r="D1656" i="1"/>
  <c r="C1656" i="1"/>
  <c r="B1656" i="1"/>
  <c r="A1656" i="1"/>
  <c r="R1655" i="1"/>
  <c r="J1655" i="1"/>
  <c r="I1655" i="1"/>
  <c r="G1655" i="1"/>
  <c r="F1655" i="1"/>
  <c r="E1655" i="1"/>
  <c r="D1655" i="1"/>
  <c r="C1655" i="1"/>
  <c r="B1655" i="1"/>
  <c r="A1655" i="1"/>
  <c r="S1654" i="1"/>
  <c r="O1654" i="1"/>
  <c r="K1654" i="1"/>
  <c r="J1654" i="1"/>
  <c r="I1654" i="1"/>
  <c r="H1654" i="1"/>
  <c r="G1654" i="1"/>
  <c r="F1654" i="1"/>
  <c r="E1654" i="1"/>
  <c r="D1654" i="1"/>
  <c r="C1654" i="1"/>
  <c r="B1654" i="1"/>
  <c r="A1654" i="1"/>
  <c r="R1653" i="1"/>
  <c r="J1653" i="1"/>
  <c r="I1653" i="1"/>
  <c r="G1653" i="1"/>
  <c r="F1653" i="1"/>
  <c r="E1653" i="1"/>
  <c r="D1653" i="1"/>
  <c r="C1653" i="1"/>
  <c r="B1653" i="1"/>
  <c r="A1653" i="1"/>
  <c r="S1652" i="1"/>
  <c r="O1652" i="1"/>
  <c r="K1652" i="1"/>
  <c r="J1652" i="1"/>
  <c r="I1652" i="1"/>
  <c r="H1652" i="1"/>
  <c r="G1652" i="1"/>
  <c r="F1652" i="1"/>
  <c r="E1652" i="1"/>
  <c r="D1652" i="1"/>
  <c r="C1652" i="1"/>
  <c r="B1652" i="1"/>
  <c r="A1652" i="1"/>
  <c r="R1651" i="1"/>
  <c r="J1651" i="1"/>
  <c r="I1651" i="1"/>
  <c r="G1651" i="1"/>
  <c r="F1651" i="1"/>
  <c r="E1651" i="1"/>
  <c r="D1651" i="1"/>
  <c r="C1651" i="1"/>
  <c r="B1651" i="1"/>
  <c r="A1651" i="1"/>
  <c r="S1650" i="1"/>
  <c r="O1650" i="1"/>
  <c r="K1650" i="1"/>
  <c r="J1650" i="1"/>
  <c r="I1650" i="1"/>
  <c r="H1650" i="1"/>
  <c r="G1650" i="1"/>
  <c r="F1650" i="1"/>
  <c r="E1650" i="1"/>
  <c r="D1650" i="1"/>
  <c r="C1650" i="1"/>
  <c r="B1650" i="1"/>
  <c r="A1650" i="1"/>
  <c r="R1649" i="1"/>
  <c r="J1649" i="1"/>
  <c r="I1649" i="1"/>
  <c r="G1649" i="1"/>
  <c r="F1649" i="1"/>
  <c r="E1649" i="1"/>
  <c r="D1649" i="1"/>
  <c r="C1649" i="1"/>
  <c r="B1649" i="1"/>
  <c r="A1649" i="1"/>
  <c r="R1648" i="1"/>
  <c r="J1648" i="1"/>
  <c r="I1648" i="1"/>
  <c r="G1648" i="1"/>
  <c r="F1648" i="1"/>
  <c r="E1648" i="1"/>
  <c r="D1648" i="1"/>
  <c r="C1648" i="1"/>
  <c r="B1648" i="1"/>
  <c r="A1648" i="1"/>
  <c r="S1647" i="1"/>
  <c r="O1647" i="1"/>
  <c r="K1647" i="1"/>
  <c r="J1647" i="1"/>
  <c r="I1647" i="1"/>
  <c r="H1647" i="1"/>
  <c r="G1647" i="1"/>
  <c r="F1647" i="1"/>
  <c r="E1647" i="1"/>
  <c r="D1647" i="1"/>
  <c r="C1647" i="1"/>
  <c r="B1647" i="1"/>
  <c r="A1647" i="1"/>
  <c r="R1646" i="1"/>
  <c r="J1646" i="1"/>
  <c r="I1646" i="1"/>
  <c r="G1646" i="1"/>
  <c r="F1646" i="1"/>
  <c r="E1646" i="1"/>
  <c r="D1646" i="1"/>
  <c r="C1646" i="1"/>
  <c r="B1646" i="1"/>
  <c r="A1646" i="1"/>
  <c r="R1645" i="1"/>
  <c r="J1645" i="1"/>
  <c r="I1645" i="1"/>
  <c r="G1645" i="1"/>
  <c r="F1645" i="1"/>
  <c r="E1645" i="1"/>
  <c r="D1645" i="1"/>
  <c r="C1645" i="1"/>
  <c r="B1645" i="1"/>
  <c r="A1645" i="1"/>
  <c r="R1644" i="1"/>
  <c r="J1644" i="1"/>
  <c r="I1644" i="1"/>
  <c r="G1644" i="1"/>
  <c r="F1644" i="1"/>
  <c r="E1644" i="1"/>
  <c r="D1644" i="1"/>
  <c r="C1644" i="1"/>
  <c r="B1644" i="1"/>
  <c r="A1644" i="1"/>
  <c r="R1643" i="1"/>
  <c r="J1643" i="1"/>
  <c r="I1643" i="1"/>
  <c r="G1643" i="1"/>
  <c r="F1643" i="1"/>
  <c r="E1643" i="1"/>
  <c r="D1643" i="1"/>
  <c r="C1643" i="1"/>
  <c r="B1643" i="1"/>
  <c r="A1643" i="1"/>
  <c r="R1642" i="1"/>
  <c r="J1642" i="1"/>
  <c r="I1642" i="1"/>
  <c r="G1642" i="1"/>
  <c r="F1642" i="1"/>
  <c r="E1642" i="1"/>
  <c r="D1642" i="1"/>
  <c r="C1642" i="1"/>
  <c r="B1642" i="1"/>
  <c r="A1642" i="1"/>
  <c r="S1641" i="1"/>
  <c r="O1641" i="1"/>
  <c r="K1641" i="1"/>
  <c r="J1641" i="1"/>
  <c r="I1641" i="1"/>
  <c r="H1641" i="1"/>
  <c r="G1641" i="1"/>
  <c r="F1641" i="1"/>
  <c r="E1641" i="1"/>
  <c r="D1641" i="1"/>
  <c r="C1641" i="1"/>
  <c r="B1641" i="1"/>
  <c r="A1641" i="1"/>
  <c r="R1640" i="1"/>
  <c r="J1640" i="1"/>
  <c r="I1640" i="1"/>
  <c r="G1640" i="1"/>
  <c r="F1640" i="1"/>
  <c r="E1640" i="1"/>
  <c r="D1640" i="1"/>
  <c r="C1640" i="1"/>
  <c r="B1640" i="1"/>
  <c r="A1640" i="1"/>
  <c r="R1639" i="1"/>
  <c r="J1639" i="1"/>
  <c r="I1639" i="1"/>
  <c r="G1639" i="1"/>
  <c r="F1639" i="1"/>
  <c r="E1639" i="1"/>
  <c r="D1639" i="1"/>
  <c r="C1639" i="1"/>
  <c r="B1639" i="1"/>
  <c r="A1639" i="1"/>
  <c r="S1638" i="1"/>
  <c r="O1638" i="1"/>
  <c r="K1638" i="1"/>
  <c r="J1638" i="1"/>
  <c r="I1638" i="1"/>
  <c r="H1638" i="1"/>
  <c r="G1638" i="1"/>
  <c r="F1638" i="1"/>
  <c r="E1638" i="1"/>
  <c r="D1638" i="1"/>
  <c r="C1638" i="1"/>
  <c r="B1638" i="1"/>
  <c r="A1638" i="1"/>
  <c r="R1637" i="1"/>
  <c r="J1637" i="1"/>
  <c r="I1637" i="1"/>
  <c r="G1637" i="1"/>
  <c r="F1637" i="1"/>
  <c r="E1637" i="1"/>
  <c r="D1637" i="1"/>
  <c r="C1637" i="1"/>
  <c r="B1637" i="1"/>
  <c r="A1637" i="1"/>
  <c r="R1636" i="1"/>
  <c r="J1636" i="1"/>
  <c r="I1636" i="1"/>
  <c r="G1636" i="1"/>
  <c r="F1636" i="1"/>
  <c r="E1636" i="1"/>
  <c r="D1636" i="1"/>
  <c r="C1636" i="1"/>
  <c r="B1636" i="1"/>
  <c r="A1636" i="1"/>
  <c r="R1635" i="1"/>
  <c r="J1635" i="1"/>
  <c r="I1635" i="1"/>
  <c r="G1635" i="1"/>
  <c r="F1635" i="1"/>
  <c r="E1635" i="1"/>
  <c r="D1635" i="1"/>
  <c r="C1635" i="1"/>
  <c r="B1635" i="1"/>
  <c r="A1635" i="1"/>
  <c r="R1634" i="1"/>
  <c r="J1634" i="1"/>
  <c r="I1634" i="1"/>
  <c r="G1634" i="1"/>
  <c r="F1634" i="1"/>
  <c r="E1634" i="1"/>
  <c r="D1634" i="1"/>
  <c r="C1634" i="1"/>
  <c r="B1634" i="1"/>
  <c r="A1634" i="1"/>
  <c r="R1633" i="1"/>
  <c r="J1633" i="1"/>
  <c r="I1633" i="1"/>
  <c r="G1633" i="1"/>
  <c r="F1633" i="1"/>
  <c r="E1633" i="1"/>
  <c r="D1633" i="1"/>
  <c r="C1633" i="1"/>
  <c r="B1633" i="1"/>
  <c r="A1633" i="1"/>
  <c r="R1632" i="1"/>
  <c r="J1632" i="1"/>
  <c r="I1632" i="1"/>
  <c r="G1632" i="1"/>
  <c r="F1632" i="1"/>
  <c r="E1632" i="1"/>
  <c r="D1632" i="1"/>
  <c r="C1632" i="1"/>
  <c r="B1632" i="1"/>
  <c r="A1632" i="1"/>
  <c r="S1631" i="1"/>
  <c r="O1631" i="1"/>
  <c r="K1631" i="1"/>
  <c r="J1631" i="1"/>
  <c r="I1631" i="1"/>
  <c r="H1631" i="1"/>
  <c r="G1631" i="1"/>
  <c r="F1631" i="1"/>
  <c r="E1631" i="1"/>
  <c r="D1631" i="1"/>
  <c r="C1631" i="1"/>
  <c r="B1631" i="1"/>
  <c r="A1631" i="1"/>
  <c r="R1630" i="1"/>
  <c r="J1630" i="1"/>
  <c r="I1630" i="1"/>
  <c r="G1630" i="1"/>
  <c r="F1630" i="1"/>
  <c r="E1630" i="1"/>
  <c r="D1630" i="1"/>
  <c r="C1630" i="1"/>
  <c r="B1630" i="1"/>
  <c r="A1630" i="1"/>
  <c r="R1629" i="1"/>
  <c r="J1629" i="1"/>
  <c r="I1629" i="1"/>
  <c r="G1629" i="1"/>
  <c r="F1629" i="1"/>
  <c r="E1629" i="1"/>
  <c r="D1629" i="1"/>
  <c r="C1629" i="1"/>
  <c r="B1629" i="1"/>
  <c r="A1629" i="1"/>
  <c r="R1628" i="1"/>
  <c r="J1628" i="1"/>
  <c r="I1628" i="1"/>
  <c r="G1628" i="1"/>
  <c r="F1628" i="1"/>
  <c r="E1628" i="1"/>
  <c r="D1628" i="1"/>
  <c r="C1628" i="1"/>
  <c r="B1628" i="1"/>
  <c r="A1628" i="1"/>
  <c r="R1627" i="1"/>
  <c r="J1627" i="1"/>
  <c r="I1627" i="1"/>
  <c r="G1627" i="1"/>
  <c r="F1627" i="1"/>
  <c r="E1627" i="1"/>
  <c r="D1627" i="1"/>
  <c r="C1627" i="1"/>
  <c r="B1627" i="1"/>
  <c r="A1627" i="1"/>
  <c r="S1626" i="1"/>
  <c r="O1626" i="1"/>
  <c r="K1626" i="1"/>
  <c r="J1626" i="1"/>
  <c r="I1626" i="1"/>
  <c r="H1626" i="1"/>
  <c r="G1626" i="1"/>
  <c r="F1626" i="1"/>
  <c r="E1626" i="1"/>
  <c r="D1626" i="1"/>
  <c r="C1626" i="1"/>
  <c r="B1626" i="1"/>
  <c r="A1626" i="1"/>
  <c r="R1625" i="1"/>
  <c r="J1625" i="1"/>
  <c r="I1625" i="1"/>
  <c r="G1625" i="1"/>
  <c r="F1625" i="1"/>
  <c r="E1625" i="1"/>
  <c r="D1625" i="1"/>
  <c r="C1625" i="1"/>
  <c r="B1625" i="1"/>
  <c r="A1625" i="1"/>
  <c r="S1624" i="1"/>
  <c r="O1624" i="1"/>
  <c r="K1624" i="1"/>
  <c r="J1624" i="1"/>
  <c r="I1624" i="1"/>
  <c r="H1624" i="1"/>
  <c r="G1624" i="1"/>
  <c r="F1624" i="1"/>
  <c r="E1624" i="1"/>
  <c r="D1624" i="1"/>
  <c r="C1624" i="1"/>
  <c r="B1624" i="1"/>
  <c r="A1624" i="1"/>
  <c r="R1623" i="1"/>
  <c r="J1623" i="1"/>
  <c r="I1623" i="1"/>
  <c r="G1623" i="1"/>
  <c r="F1623" i="1"/>
  <c r="E1623" i="1"/>
  <c r="D1623" i="1"/>
  <c r="C1623" i="1"/>
  <c r="B1623" i="1"/>
  <c r="A1623" i="1"/>
  <c r="R1622" i="1"/>
  <c r="J1622" i="1"/>
  <c r="I1622" i="1"/>
  <c r="G1622" i="1"/>
  <c r="F1622" i="1"/>
  <c r="E1622" i="1"/>
  <c r="D1622" i="1"/>
  <c r="C1622" i="1"/>
  <c r="B1622" i="1"/>
  <c r="A1622" i="1"/>
  <c r="R1621" i="1"/>
  <c r="J1621" i="1"/>
  <c r="I1621" i="1"/>
  <c r="G1621" i="1"/>
  <c r="F1621" i="1"/>
  <c r="E1621" i="1"/>
  <c r="D1621" i="1"/>
  <c r="C1621" i="1"/>
  <c r="B1621" i="1"/>
  <c r="A1621" i="1"/>
  <c r="R1620" i="1"/>
  <c r="J1620" i="1"/>
  <c r="I1620" i="1"/>
  <c r="G1620" i="1"/>
  <c r="F1620" i="1"/>
  <c r="E1620" i="1"/>
  <c r="D1620" i="1"/>
  <c r="C1620" i="1"/>
  <c r="B1620" i="1"/>
  <c r="A1620" i="1"/>
  <c r="S1619" i="1"/>
  <c r="O1619" i="1"/>
  <c r="K1619" i="1"/>
  <c r="J1619" i="1"/>
  <c r="I1619" i="1"/>
  <c r="H1619" i="1"/>
  <c r="G1619" i="1"/>
  <c r="F1619" i="1"/>
  <c r="E1619" i="1"/>
  <c r="D1619" i="1"/>
  <c r="C1619" i="1"/>
  <c r="B1619" i="1"/>
  <c r="A1619" i="1"/>
  <c r="R1618" i="1"/>
  <c r="J1618" i="1"/>
  <c r="I1618" i="1"/>
  <c r="G1618" i="1"/>
  <c r="F1618" i="1"/>
  <c r="E1618" i="1"/>
  <c r="D1618" i="1"/>
  <c r="C1618" i="1"/>
  <c r="B1618" i="1"/>
  <c r="A1618" i="1"/>
  <c r="R1617" i="1"/>
  <c r="J1617" i="1"/>
  <c r="I1617" i="1"/>
  <c r="G1617" i="1"/>
  <c r="F1617" i="1"/>
  <c r="E1617" i="1"/>
  <c r="D1617" i="1"/>
  <c r="C1617" i="1"/>
  <c r="B1617" i="1"/>
  <c r="A1617" i="1"/>
  <c r="R1616" i="1"/>
  <c r="J1616" i="1"/>
  <c r="I1616" i="1"/>
  <c r="G1616" i="1"/>
  <c r="F1616" i="1"/>
  <c r="E1616" i="1"/>
  <c r="D1616" i="1"/>
  <c r="C1616" i="1"/>
  <c r="B1616" i="1"/>
  <c r="A1616" i="1"/>
  <c r="R1615" i="1"/>
  <c r="J1615" i="1"/>
  <c r="I1615" i="1"/>
  <c r="G1615" i="1"/>
  <c r="F1615" i="1"/>
  <c r="E1615" i="1"/>
  <c r="D1615" i="1"/>
  <c r="C1615" i="1"/>
  <c r="B1615" i="1"/>
  <c r="A1615" i="1"/>
  <c r="S1614" i="1"/>
  <c r="O1614" i="1"/>
  <c r="K1614" i="1"/>
  <c r="J1614" i="1"/>
  <c r="I1614" i="1"/>
  <c r="H1614" i="1"/>
  <c r="G1614" i="1"/>
  <c r="F1614" i="1"/>
  <c r="E1614" i="1"/>
  <c r="D1614" i="1"/>
  <c r="C1614" i="1"/>
  <c r="B1614" i="1"/>
  <c r="A1614" i="1"/>
  <c r="R1613" i="1"/>
  <c r="J1613" i="1"/>
  <c r="I1613" i="1"/>
  <c r="G1613" i="1"/>
  <c r="F1613" i="1"/>
  <c r="E1613" i="1"/>
  <c r="D1613" i="1"/>
  <c r="C1613" i="1"/>
  <c r="B1613" i="1"/>
  <c r="A1613" i="1"/>
  <c r="S1612" i="1"/>
  <c r="O1612" i="1"/>
  <c r="K1612" i="1"/>
  <c r="J1612" i="1"/>
  <c r="I1612" i="1"/>
  <c r="H1612" i="1"/>
  <c r="G1612" i="1"/>
  <c r="F1612" i="1"/>
  <c r="E1612" i="1"/>
  <c r="D1612" i="1"/>
  <c r="C1612" i="1"/>
  <c r="B1612" i="1"/>
  <c r="A1612" i="1"/>
  <c r="R1611" i="1"/>
  <c r="J1611" i="1"/>
  <c r="I1611" i="1"/>
  <c r="G1611" i="1"/>
  <c r="F1611" i="1"/>
  <c r="E1611" i="1"/>
  <c r="D1611" i="1"/>
  <c r="C1611" i="1"/>
  <c r="B1611" i="1"/>
  <c r="A1611" i="1"/>
  <c r="R1610" i="1"/>
  <c r="J1610" i="1"/>
  <c r="I1610" i="1"/>
  <c r="G1610" i="1"/>
  <c r="F1610" i="1"/>
  <c r="E1610" i="1"/>
  <c r="D1610" i="1"/>
  <c r="C1610" i="1"/>
  <c r="B1610" i="1"/>
  <c r="A1610" i="1"/>
  <c r="R1609" i="1"/>
  <c r="J1609" i="1"/>
  <c r="I1609" i="1"/>
  <c r="G1609" i="1"/>
  <c r="F1609" i="1"/>
  <c r="E1609" i="1"/>
  <c r="D1609" i="1"/>
  <c r="C1609" i="1"/>
  <c r="B1609" i="1"/>
  <c r="A1609" i="1"/>
  <c r="S1608" i="1"/>
  <c r="O1608" i="1"/>
  <c r="K1608" i="1"/>
  <c r="J1608" i="1"/>
  <c r="I1608" i="1"/>
  <c r="H1608" i="1"/>
  <c r="G1608" i="1"/>
  <c r="F1608" i="1"/>
  <c r="E1608" i="1"/>
  <c r="D1608" i="1"/>
  <c r="C1608" i="1"/>
  <c r="B1608" i="1"/>
  <c r="A1608" i="1"/>
  <c r="R1607" i="1"/>
  <c r="J1607" i="1"/>
  <c r="I1607" i="1"/>
  <c r="G1607" i="1"/>
  <c r="F1607" i="1"/>
  <c r="E1607" i="1"/>
  <c r="D1607" i="1"/>
  <c r="C1607" i="1"/>
  <c r="B1607" i="1"/>
  <c r="A1607" i="1"/>
  <c r="S1606" i="1"/>
  <c r="O1606" i="1"/>
  <c r="K1606" i="1"/>
  <c r="J1606" i="1"/>
  <c r="I1606" i="1"/>
  <c r="H1606" i="1"/>
  <c r="G1606" i="1"/>
  <c r="F1606" i="1"/>
  <c r="E1606" i="1"/>
  <c r="D1606" i="1"/>
  <c r="C1606" i="1"/>
  <c r="B1606" i="1"/>
  <c r="A1606" i="1"/>
  <c r="R1605" i="1"/>
  <c r="J1605" i="1"/>
  <c r="I1605" i="1"/>
  <c r="G1605" i="1"/>
  <c r="F1605" i="1"/>
  <c r="E1605" i="1"/>
  <c r="D1605" i="1"/>
  <c r="C1605" i="1"/>
  <c r="B1605" i="1"/>
  <c r="A1605" i="1"/>
  <c r="S1604" i="1"/>
  <c r="O1604" i="1"/>
  <c r="K1604" i="1"/>
  <c r="J1604" i="1"/>
  <c r="I1604" i="1"/>
  <c r="H1604" i="1"/>
  <c r="G1604" i="1"/>
  <c r="F1604" i="1"/>
  <c r="E1604" i="1"/>
  <c r="D1604" i="1"/>
  <c r="C1604" i="1"/>
  <c r="B1604" i="1"/>
  <c r="A1604" i="1"/>
  <c r="R1603" i="1"/>
  <c r="J1603" i="1"/>
  <c r="I1603" i="1"/>
  <c r="G1603" i="1"/>
  <c r="F1603" i="1"/>
  <c r="E1603" i="1"/>
  <c r="D1603" i="1"/>
  <c r="C1603" i="1"/>
  <c r="B1603" i="1"/>
  <c r="A1603" i="1"/>
  <c r="R1602" i="1"/>
  <c r="J1602" i="1"/>
  <c r="I1602" i="1"/>
  <c r="G1602" i="1"/>
  <c r="F1602" i="1"/>
  <c r="E1602" i="1"/>
  <c r="D1602" i="1"/>
  <c r="C1602" i="1"/>
  <c r="B1602" i="1"/>
  <c r="A1602" i="1"/>
  <c r="R1601" i="1"/>
  <c r="J1601" i="1"/>
  <c r="I1601" i="1"/>
  <c r="G1601" i="1"/>
  <c r="F1601" i="1"/>
  <c r="E1601" i="1"/>
  <c r="D1601" i="1"/>
  <c r="C1601" i="1"/>
  <c r="B1601" i="1"/>
  <c r="A1601" i="1"/>
  <c r="S1600" i="1"/>
  <c r="O1600" i="1"/>
  <c r="K1600" i="1"/>
  <c r="J1600" i="1"/>
  <c r="I1600" i="1"/>
  <c r="H1600" i="1"/>
  <c r="G1600" i="1"/>
  <c r="F1600" i="1"/>
  <c r="E1600" i="1"/>
  <c r="D1600" i="1"/>
  <c r="C1600" i="1"/>
  <c r="B1600" i="1"/>
  <c r="A1600" i="1"/>
  <c r="R1599" i="1"/>
  <c r="J1599" i="1"/>
  <c r="I1599" i="1"/>
  <c r="G1599" i="1"/>
  <c r="F1599" i="1"/>
  <c r="E1599" i="1"/>
  <c r="D1599" i="1"/>
  <c r="C1599" i="1"/>
  <c r="B1599" i="1"/>
  <c r="A1599" i="1"/>
  <c r="S1598" i="1"/>
  <c r="O1598" i="1"/>
  <c r="K1598" i="1"/>
  <c r="J1598" i="1"/>
  <c r="I1598" i="1"/>
  <c r="H1598" i="1"/>
  <c r="G1598" i="1"/>
  <c r="F1598" i="1"/>
  <c r="E1598" i="1"/>
  <c r="D1598" i="1"/>
  <c r="C1598" i="1"/>
  <c r="B1598" i="1"/>
  <c r="A1598" i="1"/>
  <c r="R1597" i="1"/>
  <c r="J1597" i="1"/>
  <c r="I1597" i="1"/>
  <c r="G1597" i="1"/>
  <c r="F1597" i="1"/>
  <c r="E1597" i="1"/>
  <c r="D1597" i="1"/>
  <c r="C1597" i="1"/>
  <c r="B1597" i="1"/>
  <c r="A1597" i="1"/>
  <c r="S1596" i="1"/>
  <c r="O1596" i="1"/>
  <c r="K1596" i="1"/>
  <c r="J1596" i="1"/>
  <c r="I1596" i="1"/>
  <c r="H1596" i="1"/>
  <c r="G1596" i="1"/>
  <c r="F1596" i="1"/>
  <c r="E1596" i="1"/>
  <c r="D1596" i="1"/>
  <c r="C1596" i="1"/>
  <c r="B1596" i="1"/>
  <c r="A1596" i="1"/>
  <c r="R1595" i="1"/>
  <c r="J1595" i="1"/>
  <c r="I1595" i="1"/>
  <c r="G1595" i="1"/>
  <c r="F1595" i="1"/>
  <c r="E1595" i="1"/>
  <c r="D1595" i="1"/>
  <c r="C1595" i="1"/>
  <c r="B1595" i="1"/>
  <c r="A1595" i="1"/>
  <c r="S1594" i="1"/>
  <c r="O1594" i="1"/>
  <c r="K1594" i="1"/>
  <c r="J1594" i="1"/>
  <c r="I1594" i="1"/>
  <c r="H1594" i="1"/>
  <c r="G1594" i="1"/>
  <c r="F1594" i="1"/>
  <c r="E1594" i="1"/>
  <c r="D1594" i="1"/>
  <c r="C1594" i="1"/>
  <c r="B1594" i="1"/>
  <c r="A1594" i="1"/>
  <c r="R1593" i="1"/>
  <c r="J1593" i="1"/>
  <c r="I1593" i="1"/>
  <c r="G1593" i="1"/>
  <c r="F1593" i="1"/>
  <c r="E1593" i="1"/>
  <c r="D1593" i="1"/>
  <c r="C1593" i="1"/>
  <c r="B1593" i="1"/>
  <c r="A1593" i="1"/>
  <c r="S1592" i="1"/>
  <c r="O1592" i="1"/>
  <c r="K1592" i="1"/>
  <c r="J1592" i="1"/>
  <c r="I1592" i="1"/>
  <c r="H1592" i="1"/>
  <c r="G1592" i="1"/>
  <c r="F1592" i="1"/>
  <c r="E1592" i="1"/>
  <c r="D1592" i="1"/>
  <c r="C1592" i="1"/>
  <c r="B1592" i="1"/>
  <c r="A1592" i="1"/>
  <c r="R1591" i="1"/>
  <c r="J1591" i="1"/>
  <c r="I1591" i="1"/>
  <c r="G1591" i="1"/>
  <c r="F1591" i="1"/>
  <c r="E1591" i="1"/>
  <c r="D1591" i="1"/>
  <c r="C1591" i="1"/>
  <c r="B1591" i="1"/>
  <c r="A1591" i="1"/>
  <c r="S1590" i="1"/>
  <c r="O1590" i="1"/>
  <c r="K1590" i="1"/>
  <c r="J1590" i="1"/>
  <c r="I1590" i="1"/>
  <c r="H1590" i="1"/>
  <c r="G1590" i="1"/>
  <c r="F1590" i="1"/>
  <c r="E1590" i="1"/>
  <c r="D1590" i="1"/>
  <c r="C1590" i="1"/>
  <c r="B1590" i="1"/>
  <c r="A1590" i="1"/>
  <c r="R1589" i="1"/>
  <c r="J1589" i="1"/>
  <c r="I1589" i="1"/>
  <c r="G1589" i="1"/>
  <c r="F1589" i="1"/>
  <c r="E1589" i="1"/>
  <c r="D1589" i="1"/>
  <c r="C1589" i="1"/>
  <c r="B1589" i="1"/>
  <c r="A1589" i="1"/>
  <c r="S1588" i="1"/>
  <c r="O1588" i="1"/>
  <c r="K1588" i="1"/>
  <c r="J1588" i="1"/>
  <c r="I1588" i="1"/>
  <c r="H1588" i="1"/>
  <c r="G1588" i="1"/>
  <c r="F1588" i="1"/>
  <c r="E1588" i="1"/>
  <c r="D1588" i="1"/>
  <c r="C1588" i="1"/>
  <c r="B1588" i="1"/>
  <c r="A1588" i="1"/>
  <c r="R1587" i="1"/>
  <c r="J1587" i="1"/>
  <c r="I1587" i="1"/>
  <c r="G1587" i="1"/>
  <c r="F1587" i="1"/>
  <c r="E1587" i="1"/>
  <c r="D1587" i="1"/>
  <c r="C1587" i="1"/>
  <c r="B1587" i="1"/>
  <c r="A1587" i="1"/>
  <c r="S1586" i="1"/>
  <c r="O1586" i="1"/>
  <c r="K1586" i="1"/>
  <c r="J1586" i="1"/>
  <c r="I1586" i="1"/>
  <c r="H1586" i="1"/>
  <c r="G1586" i="1"/>
  <c r="F1586" i="1"/>
  <c r="E1586" i="1"/>
  <c r="D1586" i="1"/>
  <c r="C1586" i="1"/>
  <c r="B1586" i="1"/>
  <c r="A1586" i="1"/>
  <c r="R1585" i="1"/>
  <c r="J1585" i="1"/>
  <c r="I1585" i="1"/>
  <c r="G1585" i="1"/>
  <c r="F1585" i="1"/>
  <c r="E1585" i="1"/>
  <c r="D1585" i="1"/>
  <c r="C1585" i="1"/>
  <c r="B1585" i="1"/>
  <c r="A1585" i="1"/>
  <c r="S1584" i="1"/>
  <c r="O1584" i="1"/>
  <c r="K1584" i="1"/>
  <c r="J1584" i="1"/>
  <c r="I1584" i="1"/>
  <c r="H1584" i="1"/>
  <c r="G1584" i="1"/>
  <c r="F1584" i="1"/>
  <c r="E1584" i="1"/>
  <c r="D1584" i="1"/>
  <c r="C1584" i="1"/>
  <c r="B1584" i="1"/>
  <c r="A1584" i="1"/>
  <c r="R1583" i="1"/>
  <c r="J1583" i="1"/>
  <c r="I1583" i="1"/>
  <c r="G1583" i="1"/>
  <c r="F1583" i="1"/>
  <c r="E1583" i="1"/>
  <c r="D1583" i="1"/>
  <c r="C1583" i="1"/>
  <c r="B1583" i="1"/>
  <c r="A1583" i="1"/>
  <c r="S1582" i="1"/>
  <c r="O1582" i="1"/>
  <c r="K1582" i="1"/>
  <c r="J1582" i="1"/>
  <c r="I1582" i="1"/>
  <c r="H1582" i="1"/>
  <c r="G1582" i="1"/>
  <c r="F1582" i="1"/>
  <c r="E1582" i="1"/>
  <c r="D1582" i="1"/>
  <c r="C1582" i="1"/>
  <c r="B1582" i="1"/>
  <c r="A1582" i="1"/>
  <c r="R1581" i="1"/>
  <c r="J1581" i="1"/>
  <c r="I1581" i="1"/>
  <c r="G1581" i="1"/>
  <c r="F1581" i="1"/>
  <c r="E1581" i="1"/>
  <c r="D1581" i="1"/>
  <c r="C1581" i="1"/>
  <c r="B1581" i="1"/>
  <c r="A1581" i="1"/>
  <c r="R1580" i="1"/>
  <c r="J1580" i="1"/>
  <c r="I1580" i="1"/>
  <c r="G1580" i="1"/>
  <c r="F1580" i="1"/>
  <c r="E1580" i="1"/>
  <c r="D1580" i="1"/>
  <c r="C1580" i="1"/>
  <c r="B1580" i="1"/>
  <c r="A1580" i="1"/>
  <c r="R1579" i="1"/>
  <c r="J1579" i="1"/>
  <c r="I1579" i="1"/>
  <c r="G1579" i="1"/>
  <c r="F1579" i="1"/>
  <c r="E1579" i="1"/>
  <c r="D1579" i="1"/>
  <c r="C1579" i="1"/>
  <c r="B1579" i="1"/>
  <c r="A1579" i="1"/>
  <c r="S1578" i="1"/>
  <c r="O1578" i="1"/>
  <c r="K1578" i="1"/>
  <c r="J1578" i="1"/>
  <c r="I1578" i="1"/>
  <c r="H1578" i="1"/>
  <c r="G1578" i="1"/>
  <c r="F1578" i="1"/>
  <c r="E1578" i="1"/>
  <c r="D1578" i="1"/>
  <c r="C1578" i="1"/>
  <c r="B1578" i="1"/>
  <c r="A1578" i="1"/>
  <c r="R1577" i="1"/>
  <c r="J1577" i="1"/>
  <c r="I1577" i="1"/>
  <c r="G1577" i="1"/>
  <c r="F1577" i="1"/>
  <c r="E1577" i="1"/>
  <c r="D1577" i="1"/>
  <c r="C1577" i="1"/>
  <c r="B1577" i="1"/>
  <c r="A1577" i="1"/>
  <c r="S1576" i="1"/>
  <c r="O1576" i="1"/>
  <c r="K1576" i="1"/>
  <c r="J1576" i="1"/>
  <c r="I1576" i="1"/>
  <c r="H1576" i="1"/>
  <c r="G1576" i="1"/>
  <c r="F1576" i="1"/>
  <c r="E1576" i="1"/>
  <c r="D1576" i="1"/>
  <c r="C1576" i="1"/>
  <c r="B1576" i="1"/>
  <c r="A1576" i="1"/>
  <c r="R1575" i="1"/>
  <c r="J1575" i="1"/>
  <c r="I1575" i="1"/>
  <c r="G1575" i="1"/>
  <c r="F1575" i="1"/>
  <c r="E1575" i="1"/>
  <c r="D1575" i="1"/>
  <c r="C1575" i="1"/>
  <c r="B1575" i="1"/>
  <c r="A1575" i="1"/>
  <c r="S1574" i="1"/>
  <c r="O1574" i="1"/>
  <c r="K1574" i="1"/>
  <c r="J1574" i="1"/>
  <c r="I1574" i="1"/>
  <c r="H1574" i="1"/>
  <c r="G1574" i="1"/>
  <c r="F1574" i="1"/>
  <c r="E1574" i="1"/>
  <c r="D1574" i="1"/>
  <c r="C1574" i="1"/>
  <c r="B1574" i="1"/>
  <c r="A1574" i="1"/>
  <c r="R1573" i="1"/>
  <c r="J1573" i="1"/>
  <c r="I1573" i="1"/>
  <c r="G1573" i="1"/>
  <c r="F1573" i="1"/>
  <c r="E1573" i="1"/>
  <c r="D1573" i="1"/>
  <c r="C1573" i="1"/>
  <c r="B1573" i="1"/>
  <c r="A1573" i="1"/>
  <c r="S1572" i="1"/>
  <c r="O1572" i="1"/>
  <c r="K1572" i="1"/>
  <c r="J1572" i="1"/>
  <c r="I1572" i="1"/>
  <c r="H1572" i="1"/>
  <c r="G1572" i="1"/>
  <c r="F1572" i="1"/>
  <c r="E1572" i="1"/>
  <c r="D1572" i="1"/>
  <c r="C1572" i="1"/>
  <c r="B1572" i="1"/>
  <c r="A1572" i="1"/>
  <c r="R1571" i="1"/>
  <c r="J1571" i="1"/>
  <c r="I1571" i="1"/>
  <c r="G1571" i="1"/>
  <c r="F1571" i="1"/>
  <c r="E1571" i="1"/>
  <c r="D1571" i="1"/>
  <c r="C1571" i="1"/>
  <c r="B1571" i="1"/>
  <c r="A1571" i="1"/>
  <c r="S1570" i="1"/>
  <c r="O1570" i="1"/>
  <c r="K1570" i="1"/>
  <c r="J1570" i="1"/>
  <c r="I1570" i="1"/>
  <c r="H1570" i="1"/>
  <c r="G1570" i="1"/>
  <c r="F1570" i="1"/>
  <c r="E1570" i="1"/>
  <c r="D1570" i="1"/>
  <c r="C1570" i="1"/>
  <c r="B1570" i="1"/>
  <c r="A1570" i="1"/>
  <c r="R1569" i="1"/>
  <c r="J1569" i="1"/>
  <c r="I1569" i="1"/>
  <c r="G1569" i="1"/>
  <c r="F1569" i="1"/>
  <c r="E1569" i="1"/>
  <c r="D1569" i="1"/>
  <c r="C1569" i="1"/>
  <c r="B1569" i="1"/>
  <c r="A1569" i="1"/>
  <c r="S1568" i="1"/>
  <c r="O1568" i="1"/>
  <c r="K1568" i="1"/>
  <c r="J1568" i="1"/>
  <c r="I1568" i="1"/>
  <c r="H1568" i="1"/>
  <c r="G1568" i="1"/>
  <c r="F1568" i="1"/>
  <c r="E1568" i="1"/>
  <c r="D1568" i="1"/>
  <c r="C1568" i="1"/>
  <c r="B1568" i="1"/>
  <c r="A1568" i="1"/>
  <c r="R1567" i="1"/>
  <c r="J1567" i="1"/>
  <c r="I1567" i="1"/>
  <c r="G1567" i="1"/>
  <c r="F1567" i="1"/>
  <c r="E1567" i="1"/>
  <c r="D1567" i="1"/>
  <c r="C1567" i="1"/>
  <c r="B1567" i="1"/>
  <c r="A1567" i="1"/>
  <c r="S1566" i="1"/>
  <c r="O1566" i="1"/>
  <c r="K1566" i="1"/>
  <c r="J1566" i="1"/>
  <c r="I1566" i="1"/>
  <c r="H1566" i="1"/>
  <c r="G1566" i="1"/>
  <c r="F1566" i="1"/>
  <c r="E1566" i="1"/>
  <c r="D1566" i="1"/>
  <c r="C1566" i="1"/>
  <c r="B1566" i="1"/>
  <c r="A1566" i="1"/>
  <c r="R1565" i="1"/>
  <c r="J1565" i="1"/>
  <c r="I1565" i="1"/>
  <c r="G1565" i="1"/>
  <c r="F1565" i="1"/>
  <c r="E1565" i="1"/>
  <c r="D1565" i="1"/>
  <c r="C1565" i="1"/>
  <c r="B1565" i="1"/>
  <c r="A1565" i="1"/>
  <c r="R1564" i="1"/>
  <c r="J1564" i="1"/>
  <c r="I1564" i="1"/>
  <c r="G1564" i="1"/>
  <c r="F1564" i="1"/>
  <c r="E1564" i="1"/>
  <c r="D1564" i="1"/>
  <c r="C1564" i="1"/>
  <c r="B1564" i="1"/>
  <c r="A1564" i="1"/>
  <c r="S1563" i="1"/>
  <c r="O1563" i="1"/>
  <c r="K1563" i="1"/>
  <c r="J1563" i="1"/>
  <c r="I1563" i="1"/>
  <c r="H1563" i="1"/>
  <c r="G1563" i="1"/>
  <c r="F1563" i="1"/>
  <c r="E1563" i="1"/>
  <c r="D1563" i="1"/>
  <c r="C1563" i="1"/>
  <c r="B1563" i="1"/>
  <c r="A1563" i="1"/>
  <c r="R1562" i="1"/>
  <c r="J1562" i="1"/>
  <c r="I1562" i="1"/>
  <c r="G1562" i="1"/>
  <c r="F1562" i="1"/>
  <c r="E1562" i="1"/>
  <c r="D1562" i="1"/>
  <c r="C1562" i="1"/>
  <c r="B1562" i="1"/>
  <c r="A1562" i="1"/>
  <c r="S1561" i="1"/>
  <c r="O1561" i="1"/>
  <c r="K1561" i="1"/>
  <c r="J1561" i="1"/>
  <c r="I1561" i="1"/>
  <c r="H1561" i="1"/>
  <c r="G1561" i="1"/>
  <c r="F1561" i="1"/>
  <c r="E1561" i="1"/>
  <c r="D1561" i="1"/>
  <c r="C1561" i="1"/>
  <c r="B1561" i="1"/>
  <c r="A1561" i="1"/>
  <c r="R1560" i="1"/>
  <c r="J1560" i="1"/>
  <c r="I1560" i="1"/>
  <c r="G1560" i="1"/>
  <c r="F1560" i="1"/>
  <c r="E1560" i="1"/>
  <c r="D1560" i="1"/>
  <c r="C1560" i="1"/>
  <c r="B1560" i="1"/>
  <c r="A1560" i="1"/>
  <c r="S1559" i="1"/>
  <c r="O1559" i="1"/>
  <c r="K1559" i="1"/>
  <c r="J1559" i="1"/>
  <c r="I1559" i="1"/>
  <c r="H1559" i="1"/>
  <c r="G1559" i="1"/>
  <c r="F1559" i="1"/>
  <c r="E1559" i="1"/>
  <c r="D1559" i="1"/>
  <c r="C1559" i="1"/>
  <c r="B1559" i="1"/>
  <c r="A1559" i="1"/>
  <c r="R1558" i="1"/>
  <c r="J1558" i="1"/>
  <c r="I1558" i="1"/>
  <c r="G1558" i="1"/>
  <c r="F1558" i="1"/>
  <c r="E1558" i="1"/>
  <c r="D1558" i="1"/>
  <c r="C1558" i="1"/>
  <c r="B1558" i="1"/>
  <c r="A1558" i="1"/>
  <c r="S1557" i="1"/>
  <c r="O1557" i="1"/>
  <c r="K1557" i="1"/>
  <c r="J1557" i="1"/>
  <c r="I1557" i="1"/>
  <c r="H1557" i="1"/>
  <c r="G1557" i="1"/>
  <c r="F1557" i="1"/>
  <c r="E1557" i="1"/>
  <c r="D1557" i="1"/>
  <c r="C1557" i="1"/>
  <c r="B1557" i="1"/>
  <c r="A1557" i="1"/>
  <c r="R1556" i="1"/>
  <c r="J1556" i="1"/>
  <c r="I1556" i="1"/>
  <c r="G1556" i="1"/>
  <c r="F1556" i="1"/>
  <c r="E1556" i="1"/>
  <c r="D1556" i="1"/>
  <c r="C1556" i="1"/>
  <c r="B1556" i="1"/>
  <c r="A1556" i="1"/>
  <c r="S1555" i="1"/>
  <c r="O1555" i="1"/>
  <c r="K1555" i="1"/>
  <c r="J1555" i="1"/>
  <c r="I1555" i="1"/>
  <c r="H1555" i="1"/>
  <c r="G1555" i="1"/>
  <c r="F1555" i="1"/>
  <c r="E1555" i="1"/>
  <c r="D1555" i="1"/>
  <c r="C1555" i="1"/>
  <c r="B1555" i="1"/>
  <c r="A1555" i="1"/>
  <c r="R1554" i="1"/>
  <c r="J1554" i="1"/>
  <c r="I1554" i="1"/>
  <c r="G1554" i="1"/>
  <c r="F1554" i="1"/>
  <c r="E1554" i="1"/>
  <c r="D1554" i="1"/>
  <c r="C1554" i="1"/>
  <c r="B1554" i="1"/>
  <c r="A1554" i="1"/>
  <c r="S1553" i="1"/>
  <c r="O1553" i="1"/>
  <c r="K1553" i="1"/>
  <c r="J1553" i="1"/>
  <c r="I1553" i="1"/>
  <c r="H1553" i="1"/>
  <c r="G1553" i="1"/>
  <c r="F1553" i="1"/>
  <c r="E1553" i="1"/>
  <c r="D1553" i="1"/>
  <c r="C1553" i="1"/>
  <c r="B1553" i="1"/>
  <c r="A1553" i="1"/>
  <c r="R1552" i="1"/>
  <c r="J1552" i="1"/>
  <c r="I1552" i="1"/>
  <c r="G1552" i="1"/>
  <c r="F1552" i="1"/>
  <c r="E1552" i="1"/>
  <c r="D1552" i="1"/>
  <c r="C1552" i="1"/>
  <c r="B1552" i="1"/>
  <c r="A1552" i="1"/>
  <c r="S1551" i="1"/>
  <c r="O1551" i="1"/>
  <c r="K1551" i="1"/>
  <c r="J1551" i="1"/>
  <c r="I1551" i="1"/>
  <c r="H1551" i="1"/>
  <c r="G1551" i="1"/>
  <c r="F1551" i="1"/>
  <c r="E1551" i="1"/>
  <c r="D1551" i="1"/>
  <c r="C1551" i="1"/>
  <c r="B1551" i="1"/>
  <c r="A1551" i="1"/>
  <c r="R1550" i="1"/>
  <c r="J1550" i="1"/>
  <c r="I1550" i="1"/>
  <c r="G1550" i="1"/>
  <c r="F1550" i="1"/>
  <c r="E1550" i="1"/>
  <c r="D1550" i="1"/>
  <c r="C1550" i="1"/>
  <c r="B1550" i="1"/>
  <c r="A1550" i="1"/>
  <c r="S1549" i="1"/>
  <c r="O1549" i="1"/>
  <c r="K1549" i="1"/>
  <c r="J1549" i="1"/>
  <c r="I1549" i="1"/>
  <c r="H1549" i="1"/>
  <c r="G1549" i="1"/>
  <c r="F1549" i="1"/>
  <c r="E1549" i="1"/>
  <c r="D1549" i="1"/>
  <c r="C1549" i="1"/>
  <c r="B1549" i="1"/>
  <c r="A1549" i="1"/>
  <c r="R1548" i="1"/>
  <c r="J1548" i="1"/>
  <c r="I1548" i="1"/>
  <c r="G1548" i="1"/>
  <c r="F1548" i="1"/>
  <c r="E1548" i="1"/>
  <c r="D1548" i="1"/>
  <c r="C1548" i="1"/>
  <c r="B1548" i="1"/>
  <c r="A1548" i="1"/>
  <c r="S1547" i="1"/>
  <c r="O1547" i="1"/>
  <c r="K1547" i="1"/>
  <c r="J1547" i="1"/>
  <c r="I1547" i="1"/>
  <c r="H1547" i="1"/>
  <c r="G1547" i="1"/>
  <c r="F1547" i="1"/>
  <c r="E1547" i="1"/>
  <c r="D1547" i="1"/>
  <c r="C1547" i="1"/>
  <c r="B1547" i="1"/>
  <c r="A1547" i="1"/>
  <c r="R1546" i="1"/>
  <c r="J1546" i="1"/>
  <c r="I1546" i="1"/>
  <c r="G1546" i="1"/>
  <c r="F1546" i="1"/>
  <c r="E1546" i="1"/>
  <c r="D1546" i="1"/>
  <c r="C1546" i="1"/>
  <c r="B1546" i="1"/>
  <c r="A1546" i="1"/>
  <c r="S1545" i="1"/>
  <c r="O1545" i="1"/>
  <c r="K1545" i="1"/>
  <c r="J1545" i="1"/>
  <c r="I1545" i="1"/>
  <c r="H1545" i="1"/>
  <c r="G1545" i="1"/>
  <c r="F1545" i="1"/>
  <c r="E1545" i="1"/>
  <c r="D1545" i="1"/>
  <c r="C1545" i="1"/>
  <c r="B1545" i="1"/>
  <c r="A1545" i="1"/>
  <c r="R1544" i="1"/>
  <c r="J1544" i="1"/>
  <c r="I1544" i="1"/>
  <c r="G1544" i="1"/>
  <c r="F1544" i="1"/>
  <c r="E1544" i="1"/>
  <c r="D1544" i="1"/>
  <c r="C1544" i="1"/>
  <c r="B1544" i="1"/>
  <c r="A1544" i="1"/>
  <c r="R1543" i="1"/>
  <c r="J1543" i="1"/>
  <c r="I1543" i="1"/>
  <c r="G1543" i="1"/>
  <c r="F1543" i="1"/>
  <c r="E1543" i="1"/>
  <c r="D1543" i="1"/>
  <c r="C1543" i="1"/>
  <c r="B1543" i="1"/>
  <c r="A1543" i="1"/>
  <c r="R1542" i="1"/>
  <c r="J1542" i="1"/>
  <c r="I1542" i="1"/>
  <c r="G1542" i="1"/>
  <c r="F1542" i="1"/>
  <c r="E1542" i="1"/>
  <c r="D1542" i="1"/>
  <c r="C1542" i="1"/>
  <c r="B1542" i="1"/>
  <c r="A1542" i="1"/>
  <c r="R1541" i="1"/>
  <c r="J1541" i="1"/>
  <c r="I1541" i="1"/>
  <c r="G1541" i="1"/>
  <c r="F1541" i="1"/>
  <c r="E1541" i="1"/>
  <c r="D1541" i="1"/>
  <c r="C1541" i="1"/>
  <c r="B1541" i="1"/>
  <c r="A1541" i="1"/>
  <c r="R1540" i="1"/>
  <c r="J1540" i="1"/>
  <c r="I1540" i="1"/>
  <c r="G1540" i="1"/>
  <c r="F1540" i="1"/>
  <c r="E1540" i="1"/>
  <c r="D1540" i="1"/>
  <c r="C1540" i="1"/>
  <c r="B1540" i="1"/>
  <c r="A1540" i="1"/>
  <c r="R1539" i="1"/>
  <c r="J1539" i="1"/>
  <c r="I1539" i="1"/>
  <c r="G1539" i="1"/>
  <c r="F1539" i="1"/>
  <c r="E1539" i="1"/>
  <c r="D1539" i="1"/>
  <c r="C1539" i="1"/>
  <c r="B1539" i="1"/>
  <c r="A1539" i="1"/>
  <c r="R1538" i="1"/>
  <c r="J1538" i="1"/>
  <c r="I1538" i="1"/>
  <c r="G1538" i="1"/>
  <c r="F1538" i="1"/>
  <c r="E1538" i="1"/>
  <c r="D1538" i="1"/>
  <c r="C1538" i="1"/>
  <c r="B1538" i="1"/>
  <c r="A1538" i="1"/>
  <c r="R1537" i="1"/>
  <c r="J1537" i="1"/>
  <c r="I1537" i="1"/>
  <c r="G1537" i="1"/>
  <c r="F1537" i="1"/>
  <c r="E1537" i="1"/>
  <c r="D1537" i="1"/>
  <c r="C1537" i="1"/>
  <c r="B1537" i="1"/>
  <c r="A1537" i="1"/>
  <c r="R1536" i="1"/>
  <c r="J1536" i="1"/>
  <c r="I1536" i="1"/>
  <c r="G1536" i="1"/>
  <c r="F1536" i="1"/>
  <c r="E1536" i="1"/>
  <c r="D1536" i="1"/>
  <c r="C1536" i="1"/>
  <c r="B1536" i="1"/>
  <c r="A1536" i="1"/>
  <c r="R1535" i="1"/>
  <c r="J1535" i="1"/>
  <c r="I1535" i="1"/>
  <c r="G1535" i="1"/>
  <c r="F1535" i="1"/>
  <c r="E1535" i="1"/>
  <c r="D1535" i="1"/>
  <c r="C1535" i="1"/>
  <c r="B1535" i="1"/>
  <c r="A1535" i="1"/>
  <c r="R1534" i="1"/>
  <c r="J1534" i="1"/>
  <c r="I1534" i="1"/>
  <c r="G1534" i="1"/>
  <c r="F1534" i="1"/>
  <c r="E1534" i="1"/>
  <c r="D1534" i="1"/>
  <c r="C1534" i="1"/>
  <c r="B1534" i="1"/>
  <c r="A1534" i="1"/>
  <c r="R1533" i="1"/>
  <c r="J1533" i="1"/>
  <c r="I1533" i="1"/>
  <c r="G1533" i="1"/>
  <c r="F1533" i="1"/>
  <c r="E1533" i="1"/>
  <c r="D1533" i="1"/>
  <c r="C1533" i="1"/>
  <c r="B1533" i="1"/>
  <c r="A1533" i="1"/>
  <c r="R1532" i="1"/>
  <c r="J1532" i="1"/>
  <c r="I1532" i="1"/>
  <c r="G1532" i="1"/>
  <c r="F1532" i="1"/>
  <c r="E1532" i="1"/>
  <c r="D1532" i="1"/>
  <c r="C1532" i="1"/>
  <c r="B1532" i="1"/>
  <c r="A1532" i="1"/>
  <c r="R1531" i="1"/>
  <c r="J1531" i="1"/>
  <c r="I1531" i="1"/>
  <c r="G1531" i="1"/>
  <c r="F1531" i="1"/>
  <c r="E1531" i="1"/>
  <c r="D1531" i="1"/>
  <c r="C1531" i="1"/>
  <c r="B1531" i="1"/>
  <c r="A1531" i="1"/>
  <c r="R1530" i="1"/>
  <c r="J1530" i="1"/>
  <c r="I1530" i="1"/>
  <c r="G1530" i="1"/>
  <c r="F1530" i="1"/>
  <c r="E1530" i="1"/>
  <c r="D1530" i="1"/>
  <c r="C1530" i="1"/>
  <c r="B1530" i="1"/>
  <c r="A1530" i="1"/>
  <c r="R1529" i="1"/>
  <c r="J1529" i="1"/>
  <c r="I1529" i="1"/>
  <c r="G1529" i="1"/>
  <c r="F1529" i="1"/>
  <c r="E1529" i="1"/>
  <c r="D1529" i="1"/>
  <c r="C1529" i="1"/>
  <c r="B1529" i="1"/>
  <c r="A1529" i="1"/>
  <c r="R1528" i="1"/>
  <c r="J1528" i="1"/>
  <c r="I1528" i="1"/>
  <c r="G1528" i="1"/>
  <c r="F1528" i="1"/>
  <c r="E1528" i="1"/>
  <c r="D1528" i="1"/>
  <c r="C1528" i="1"/>
  <c r="B1528" i="1"/>
  <c r="A1528" i="1"/>
  <c r="R1527" i="1"/>
  <c r="J1527" i="1"/>
  <c r="I1527" i="1"/>
  <c r="G1527" i="1"/>
  <c r="F1527" i="1"/>
  <c r="E1527" i="1"/>
  <c r="D1527" i="1"/>
  <c r="C1527" i="1"/>
  <c r="B1527" i="1"/>
  <c r="A1527" i="1"/>
  <c r="S1526" i="1"/>
  <c r="O1526" i="1"/>
  <c r="K1526" i="1"/>
  <c r="J1526" i="1"/>
  <c r="I1526" i="1"/>
  <c r="H1526" i="1"/>
  <c r="G1526" i="1"/>
  <c r="F1526" i="1"/>
  <c r="E1526" i="1"/>
  <c r="D1526" i="1"/>
  <c r="C1526" i="1"/>
  <c r="B1526" i="1"/>
  <c r="A1526" i="1"/>
  <c r="R1525" i="1"/>
  <c r="J1525" i="1"/>
  <c r="I1525" i="1"/>
  <c r="G1525" i="1"/>
  <c r="F1525" i="1"/>
  <c r="E1525" i="1"/>
  <c r="D1525" i="1"/>
  <c r="C1525" i="1"/>
  <c r="B1525" i="1"/>
  <c r="A1525" i="1"/>
  <c r="S1524" i="1"/>
  <c r="O1524" i="1"/>
  <c r="K1524" i="1"/>
  <c r="J1524" i="1"/>
  <c r="I1524" i="1"/>
  <c r="H1524" i="1"/>
  <c r="G1524" i="1"/>
  <c r="F1524" i="1"/>
  <c r="E1524" i="1"/>
  <c r="D1524" i="1"/>
  <c r="C1524" i="1"/>
  <c r="B1524" i="1"/>
  <c r="A1524" i="1"/>
  <c r="R1523" i="1"/>
  <c r="J1523" i="1"/>
  <c r="I1523" i="1"/>
  <c r="G1523" i="1"/>
  <c r="F1523" i="1"/>
  <c r="E1523" i="1"/>
  <c r="D1523" i="1"/>
  <c r="C1523" i="1"/>
  <c r="B1523" i="1"/>
  <c r="A1523" i="1"/>
  <c r="R1522" i="1"/>
  <c r="J1522" i="1"/>
  <c r="I1522" i="1"/>
  <c r="G1522" i="1"/>
  <c r="F1522" i="1"/>
  <c r="E1522" i="1"/>
  <c r="D1522" i="1"/>
  <c r="C1522" i="1"/>
  <c r="B1522" i="1"/>
  <c r="A1522" i="1"/>
  <c r="R1521" i="1"/>
  <c r="J1521" i="1"/>
  <c r="I1521" i="1"/>
  <c r="G1521" i="1"/>
  <c r="F1521" i="1"/>
  <c r="E1521" i="1"/>
  <c r="D1521" i="1"/>
  <c r="C1521" i="1"/>
  <c r="B1521" i="1"/>
  <c r="A1521" i="1"/>
  <c r="R1520" i="1"/>
  <c r="J1520" i="1"/>
  <c r="I1520" i="1"/>
  <c r="G1520" i="1"/>
  <c r="F1520" i="1"/>
  <c r="E1520" i="1"/>
  <c r="D1520" i="1"/>
  <c r="C1520" i="1"/>
  <c r="B1520" i="1"/>
  <c r="A1520" i="1"/>
  <c r="R1519" i="1"/>
  <c r="J1519" i="1"/>
  <c r="I1519" i="1"/>
  <c r="G1519" i="1"/>
  <c r="F1519" i="1"/>
  <c r="E1519" i="1"/>
  <c r="D1519" i="1"/>
  <c r="C1519" i="1"/>
  <c r="B1519" i="1"/>
  <c r="A1519" i="1"/>
  <c r="R1518" i="1"/>
  <c r="J1518" i="1"/>
  <c r="I1518" i="1"/>
  <c r="G1518" i="1"/>
  <c r="F1518" i="1"/>
  <c r="E1518" i="1"/>
  <c r="D1518" i="1"/>
  <c r="C1518" i="1"/>
  <c r="B1518" i="1"/>
  <c r="A1518" i="1"/>
  <c r="S1517" i="1"/>
  <c r="O1517" i="1"/>
  <c r="K1517" i="1"/>
  <c r="J1517" i="1"/>
  <c r="I1517" i="1"/>
  <c r="H1517" i="1"/>
  <c r="G1517" i="1"/>
  <c r="F1517" i="1"/>
  <c r="E1517" i="1"/>
  <c r="D1517" i="1"/>
  <c r="C1517" i="1"/>
  <c r="B1517" i="1"/>
  <c r="A1517" i="1"/>
  <c r="R1516" i="1"/>
  <c r="J1516" i="1"/>
  <c r="I1516" i="1"/>
  <c r="G1516" i="1"/>
  <c r="F1516" i="1"/>
  <c r="E1516" i="1"/>
  <c r="D1516" i="1"/>
  <c r="C1516" i="1"/>
  <c r="B1516" i="1"/>
  <c r="A1516" i="1"/>
  <c r="S1515" i="1"/>
  <c r="O1515" i="1"/>
  <c r="K1515" i="1"/>
  <c r="J1515" i="1"/>
  <c r="I1515" i="1"/>
  <c r="H1515" i="1"/>
  <c r="G1515" i="1"/>
  <c r="F1515" i="1"/>
  <c r="E1515" i="1"/>
  <c r="D1515" i="1"/>
  <c r="C1515" i="1"/>
  <c r="B1515" i="1"/>
  <c r="A1515" i="1"/>
  <c r="R1514" i="1"/>
  <c r="J1514" i="1"/>
  <c r="I1514" i="1"/>
  <c r="G1514" i="1"/>
  <c r="F1514" i="1"/>
  <c r="E1514" i="1"/>
  <c r="D1514" i="1"/>
  <c r="C1514" i="1"/>
  <c r="B1514" i="1"/>
  <c r="A1514" i="1"/>
  <c r="S1513" i="1"/>
  <c r="O1513" i="1"/>
  <c r="K1513" i="1"/>
  <c r="J1513" i="1"/>
  <c r="I1513" i="1"/>
  <c r="H1513" i="1"/>
  <c r="G1513" i="1"/>
  <c r="F1513" i="1"/>
  <c r="E1513" i="1"/>
  <c r="D1513" i="1"/>
  <c r="C1513" i="1"/>
  <c r="B1513" i="1"/>
  <c r="A1513" i="1"/>
  <c r="R1512" i="1"/>
  <c r="J1512" i="1"/>
  <c r="I1512" i="1"/>
  <c r="G1512" i="1"/>
  <c r="F1512" i="1"/>
  <c r="E1512" i="1"/>
  <c r="D1512" i="1"/>
  <c r="C1512" i="1"/>
  <c r="B1512" i="1"/>
  <c r="A1512" i="1"/>
  <c r="R1511" i="1"/>
  <c r="J1511" i="1"/>
  <c r="I1511" i="1"/>
  <c r="G1511" i="1"/>
  <c r="F1511" i="1"/>
  <c r="E1511" i="1"/>
  <c r="D1511" i="1"/>
  <c r="C1511" i="1"/>
  <c r="B1511" i="1"/>
  <c r="A1511" i="1"/>
  <c r="S1510" i="1"/>
  <c r="O1510" i="1"/>
  <c r="K1510" i="1"/>
  <c r="J1510" i="1"/>
  <c r="I1510" i="1"/>
  <c r="H1510" i="1"/>
  <c r="G1510" i="1"/>
  <c r="F1510" i="1"/>
  <c r="E1510" i="1"/>
  <c r="D1510" i="1"/>
  <c r="C1510" i="1"/>
  <c r="B1510" i="1"/>
  <c r="A1510" i="1"/>
  <c r="R1509" i="1"/>
  <c r="J1509" i="1"/>
  <c r="I1509" i="1"/>
  <c r="G1509" i="1"/>
  <c r="F1509" i="1"/>
  <c r="E1509" i="1"/>
  <c r="D1509" i="1"/>
  <c r="C1509" i="1"/>
  <c r="B1509" i="1"/>
  <c r="A1509" i="1"/>
  <c r="S1508" i="1"/>
  <c r="O1508" i="1"/>
  <c r="K1508" i="1"/>
  <c r="J1508" i="1"/>
  <c r="I1508" i="1"/>
  <c r="H1508" i="1"/>
  <c r="G1508" i="1"/>
  <c r="F1508" i="1"/>
  <c r="E1508" i="1"/>
  <c r="D1508" i="1"/>
  <c r="C1508" i="1"/>
  <c r="B1508" i="1"/>
  <c r="A1508" i="1"/>
  <c r="R1507" i="1"/>
  <c r="J1507" i="1"/>
  <c r="I1507" i="1"/>
  <c r="G1507" i="1"/>
  <c r="F1507" i="1"/>
  <c r="E1507" i="1"/>
  <c r="D1507" i="1"/>
  <c r="C1507" i="1"/>
  <c r="B1507" i="1"/>
  <c r="A1507" i="1"/>
  <c r="S1506" i="1"/>
  <c r="O1506" i="1"/>
  <c r="K1506" i="1"/>
  <c r="J1506" i="1"/>
  <c r="I1506" i="1"/>
  <c r="H1506" i="1"/>
  <c r="G1506" i="1"/>
  <c r="F1506" i="1"/>
  <c r="E1506" i="1"/>
  <c r="D1506" i="1"/>
  <c r="C1506" i="1"/>
  <c r="B1506" i="1"/>
  <c r="A1506" i="1"/>
  <c r="R1505" i="1"/>
  <c r="J1505" i="1"/>
  <c r="I1505" i="1"/>
  <c r="G1505" i="1"/>
  <c r="F1505" i="1"/>
  <c r="E1505" i="1"/>
  <c r="D1505" i="1"/>
  <c r="C1505" i="1"/>
  <c r="B1505" i="1"/>
  <c r="A1505" i="1"/>
  <c r="S1504" i="1"/>
  <c r="O1504" i="1"/>
  <c r="K1504" i="1"/>
  <c r="J1504" i="1"/>
  <c r="I1504" i="1"/>
  <c r="H1504" i="1"/>
  <c r="G1504" i="1"/>
  <c r="F1504" i="1"/>
  <c r="E1504" i="1"/>
  <c r="D1504" i="1"/>
  <c r="C1504" i="1"/>
  <c r="B1504" i="1"/>
  <c r="A1504" i="1"/>
  <c r="R1503" i="1"/>
  <c r="J1503" i="1"/>
  <c r="I1503" i="1"/>
  <c r="G1503" i="1"/>
  <c r="F1503" i="1"/>
  <c r="E1503" i="1"/>
  <c r="D1503" i="1"/>
  <c r="C1503" i="1"/>
  <c r="B1503" i="1"/>
  <c r="A1503" i="1"/>
  <c r="S1502" i="1"/>
  <c r="O1502" i="1"/>
  <c r="K1502" i="1"/>
  <c r="J1502" i="1"/>
  <c r="I1502" i="1"/>
  <c r="H1502" i="1"/>
  <c r="G1502" i="1"/>
  <c r="F1502" i="1"/>
  <c r="E1502" i="1"/>
  <c r="D1502" i="1"/>
  <c r="C1502" i="1"/>
  <c r="B1502" i="1"/>
  <c r="A1502" i="1"/>
  <c r="R1501" i="1"/>
  <c r="J1501" i="1"/>
  <c r="I1501" i="1"/>
  <c r="G1501" i="1"/>
  <c r="F1501" i="1"/>
  <c r="E1501" i="1"/>
  <c r="D1501" i="1"/>
  <c r="C1501" i="1"/>
  <c r="B1501" i="1"/>
  <c r="A1501" i="1"/>
  <c r="S1500" i="1"/>
  <c r="O1500" i="1"/>
  <c r="K1500" i="1"/>
  <c r="J1500" i="1"/>
  <c r="I1500" i="1"/>
  <c r="H1500" i="1"/>
  <c r="G1500" i="1"/>
  <c r="F1500" i="1"/>
  <c r="E1500" i="1"/>
  <c r="D1500" i="1"/>
  <c r="C1500" i="1"/>
  <c r="B1500" i="1"/>
  <c r="A1500" i="1"/>
  <c r="R1499" i="1"/>
  <c r="J1499" i="1"/>
  <c r="I1499" i="1"/>
  <c r="G1499" i="1"/>
  <c r="F1499" i="1"/>
  <c r="E1499" i="1"/>
  <c r="D1499" i="1"/>
  <c r="C1499" i="1"/>
  <c r="B1499" i="1"/>
  <c r="A1499" i="1"/>
  <c r="S1498" i="1"/>
  <c r="O1498" i="1"/>
  <c r="K1498" i="1"/>
  <c r="J1498" i="1"/>
  <c r="I1498" i="1"/>
  <c r="H1498" i="1"/>
  <c r="G1498" i="1"/>
  <c r="F1498" i="1"/>
  <c r="E1498" i="1"/>
  <c r="D1498" i="1"/>
  <c r="C1498" i="1"/>
  <c r="B1498" i="1"/>
  <c r="A1498" i="1"/>
  <c r="R1497" i="1"/>
  <c r="J1497" i="1"/>
  <c r="I1497" i="1"/>
  <c r="G1497" i="1"/>
  <c r="F1497" i="1"/>
  <c r="E1497" i="1"/>
  <c r="D1497" i="1"/>
  <c r="C1497" i="1"/>
  <c r="B1497" i="1"/>
  <c r="A1497" i="1"/>
  <c r="S1496" i="1"/>
  <c r="O1496" i="1"/>
  <c r="K1496" i="1"/>
  <c r="J1496" i="1"/>
  <c r="I1496" i="1"/>
  <c r="H1496" i="1"/>
  <c r="G1496" i="1"/>
  <c r="F1496" i="1"/>
  <c r="E1496" i="1"/>
  <c r="D1496" i="1"/>
  <c r="C1496" i="1"/>
  <c r="B1496" i="1"/>
  <c r="A1496" i="1"/>
  <c r="R1495" i="1"/>
  <c r="J1495" i="1"/>
  <c r="I1495" i="1"/>
  <c r="G1495" i="1"/>
  <c r="F1495" i="1"/>
  <c r="E1495" i="1"/>
  <c r="D1495" i="1"/>
  <c r="C1495" i="1"/>
  <c r="B1495" i="1"/>
  <c r="A1495" i="1"/>
  <c r="R1494" i="1"/>
  <c r="J1494" i="1"/>
  <c r="I1494" i="1"/>
  <c r="G1494" i="1"/>
  <c r="F1494" i="1"/>
  <c r="E1494" i="1"/>
  <c r="D1494" i="1"/>
  <c r="C1494" i="1"/>
  <c r="B1494" i="1"/>
  <c r="A1494" i="1"/>
  <c r="S1493" i="1"/>
  <c r="O1493" i="1"/>
  <c r="K1493" i="1"/>
  <c r="J1493" i="1"/>
  <c r="I1493" i="1"/>
  <c r="H1493" i="1"/>
  <c r="G1493" i="1"/>
  <c r="F1493" i="1"/>
  <c r="E1493" i="1"/>
  <c r="D1493" i="1"/>
  <c r="C1493" i="1"/>
  <c r="B1493" i="1"/>
  <c r="A1493" i="1"/>
  <c r="R1492" i="1"/>
  <c r="J1492" i="1"/>
  <c r="I1492" i="1"/>
  <c r="G1492" i="1"/>
  <c r="F1492" i="1"/>
  <c r="E1492" i="1"/>
  <c r="D1492" i="1"/>
  <c r="C1492" i="1"/>
  <c r="B1492" i="1"/>
  <c r="A1492" i="1"/>
  <c r="S1491" i="1"/>
  <c r="O1491" i="1"/>
  <c r="K1491" i="1"/>
  <c r="J1491" i="1"/>
  <c r="I1491" i="1"/>
  <c r="H1491" i="1"/>
  <c r="G1491" i="1"/>
  <c r="F1491" i="1"/>
  <c r="E1491" i="1"/>
  <c r="D1491" i="1"/>
  <c r="C1491" i="1"/>
  <c r="B1491" i="1"/>
  <c r="A1491" i="1"/>
  <c r="R1490" i="1"/>
  <c r="J1490" i="1"/>
  <c r="I1490" i="1"/>
  <c r="G1490" i="1"/>
  <c r="F1490" i="1"/>
  <c r="E1490" i="1"/>
  <c r="D1490" i="1"/>
  <c r="C1490" i="1"/>
  <c r="B1490" i="1"/>
  <c r="A1490" i="1"/>
  <c r="S1489" i="1"/>
  <c r="O1489" i="1"/>
  <c r="K1489" i="1"/>
  <c r="J1489" i="1"/>
  <c r="I1489" i="1"/>
  <c r="H1489" i="1"/>
  <c r="G1489" i="1"/>
  <c r="F1489" i="1"/>
  <c r="E1489" i="1"/>
  <c r="D1489" i="1"/>
  <c r="C1489" i="1"/>
  <c r="B1489" i="1"/>
  <c r="A1489" i="1"/>
  <c r="R1488" i="1"/>
  <c r="J1488" i="1"/>
  <c r="I1488" i="1"/>
  <c r="G1488" i="1"/>
  <c r="F1488" i="1"/>
  <c r="E1488" i="1"/>
  <c r="D1488" i="1"/>
  <c r="C1488" i="1"/>
  <c r="B1488" i="1"/>
  <c r="A1488" i="1"/>
  <c r="S1487" i="1"/>
  <c r="O1487" i="1"/>
  <c r="K1487" i="1"/>
  <c r="J1487" i="1"/>
  <c r="I1487" i="1"/>
  <c r="H1487" i="1"/>
  <c r="G1487" i="1"/>
  <c r="F1487" i="1"/>
  <c r="E1487" i="1"/>
  <c r="D1487" i="1"/>
  <c r="C1487" i="1"/>
  <c r="B1487" i="1"/>
  <c r="A1487" i="1"/>
  <c r="R1486" i="1"/>
  <c r="J1486" i="1"/>
  <c r="I1486" i="1"/>
  <c r="G1486" i="1"/>
  <c r="F1486" i="1"/>
  <c r="E1486" i="1"/>
  <c r="D1486" i="1"/>
  <c r="C1486" i="1"/>
  <c r="B1486" i="1"/>
  <c r="A1486" i="1"/>
  <c r="S1485" i="1"/>
  <c r="O1485" i="1"/>
  <c r="K1485" i="1"/>
  <c r="J1485" i="1"/>
  <c r="I1485" i="1"/>
  <c r="H1485" i="1"/>
  <c r="G1485" i="1"/>
  <c r="F1485" i="1"/>
  <c r="E1485" i="1"/>
  <c r="D1485" i="1"/>
  <c r="C1485" i="1"/>
  <c r="B1485" i="1"/>
  <c r="A1485" i="1"/>
  <c r="R1484" i="1"/>
  <c r="J1484" i="1"/>
  <c r="I1484" i="1"/>
  <c r="G1484" i="1"/>
  <c r="F1484" i="1"/>
  <c r="E1484" i="1"/>
  <c r="D1484" i="1"/>
  <c r="C1484" i="1"/>
  <c r="B1484" i="1"/>
  <c r="A1484" i="1"/>
  <c r="S1483" i="1"/>
  <c r="O1483" i="1"/>
  <c r="K1483" i="1"/>
  <c r="J1483" i="1"/>
  <c r="I1483" i="1"/>
  <c r="H1483" i="1"/>
  <c r="G1483" i="1"/>
  <c r="F1483" i="1"/>
  <c r="E1483" i="1"/>
  <c r="D1483" i="1"/>
  <c r="C1483" i="1"/>
  <c r="B1483" i="1"/>
  <c r="A1483" i="1"/>
  <c r="R1482" i="1"/>
  <c r="J1482" i="1"/>
  <c r="I1482" i="1"/>
  <c r="G1482" i="1"/>
  <c r="F1482" i="1"/>
  <c r="E1482" i="1"/>
  <c r="D1482" i="1"/>
  <c r="C1482" i="1"/>
  <c r="B1482" i="1"/>
  <c r="A1482" i="1"/>
  <c r="S1481" i="1"/>
  <c r="O1481" i="1"/>
  <c r="K1481" i="1"/>
  <c r="J1481" i="1"/>
  <c r="I1481" i="1"/>
  <c r="H1481" i="1"/>
  <c r="G1481" i="1"/>
  <c r="F1481" i="1"/>
  <c r="E1481" i="1"/>
  <c r="D1481" i="1"/>
  <c r="C1481" i="1"/>
  <c r="B1481" i="1"/>
  <c r="A1481" i="1"/>
  <c r="R1480" i="1"/>
  <c r="J1480" i="1"/>
  <c r="I1480" i="1"/>
  <c r="G1480" i="1"/>
  <c r="F1480" i="1"/>
  <c r="E1480" i="1"/>
  <c r="D1480" i="1"/>
  <c r="C1480" i="1"/>
  <c r="B1480" i="1"/>
  <c r="A1480" i="1"/>
  <c r="S1479" i="1"/>
  <c r="O1479" i="1"/>
  <c r="K1479" i="1"/>
  <c r="J1479" i="1"/>
  <c r="I1479" i="1"/>
  <c r="H1479" i="1"/>
  <c r="G1479" i="1"/>
  <c r="F1479" i="1"/>
  <c r="E1479" i="1"/>
  <c r="D1479" i="1"/>
  <c r="C1479" i="1"/>
  <c r="B1479" i="1"/>
  <c r="A1479" i="1"/>
  <c r="R1478" i="1"/>
  <c r="J1478" i="1"/>
  <c r="I1478" i="1"/>
  <c r="G1478" i="1"/>
  <c r="F1478" i="1"/>
  <c r="E1478" i="1"/>
  <c r="D1478" i="1"/>
  <c r="C1478" i="1"/>
  <c r="B1478" i="1"/>
  <c r="A1478" i="1"/>
  <c r="S1477" i="1"/>
  <c r="O1477" i="1"/>
  <c r="K1477" i="1"/>
  <c r="J1477" i="1"/>
  <c r="I1477" i="1"/>
  <c r="H1477" i="1"/>
  <c r="G1477" i="1"/>
  <c r="F1477" i="1"/>
  <c r="E1477" i="1"/>
  <c r="D1477" i="1"/>
  <c r="C1477" i="1"/>
  <c r="B1477" i="1"/>
  <c r="A1477" i="1"/>
  <c r="R1476" i="1"/>
  <c r="J1476" i="1"/>
  <c r="I1476" i="1"/>
  <c r="G1476" i="1"/>
  <c r="F1476" i="1"/>
  <c r="E1476" i="1"/>
  <c r="D1476" i="1"/>
  <c r="C1476" i="1"/>
  <c r="B1476" i="1"/>
  <c r="A1476" i="1"/>
  <c r="S1475" i="1"/>
  <c r="O1475" i="1"/>
  <c r="K1475" i="1"/>
  <c r="J1475" i="1"/>
  <c r="I1475" i="1"/>
  <c r="H1475" i="1"/>
  <c r="G1475" i="1"/>
  <c r="F1475" i="1"/>
  <c r="E1475" i="1"/>
  <c r="D1475" i="1"/>
  <c r="C1475" i="1"/>
  <c r="B1475" i="1"/>
  <c r="A1475" i="1"/>
  <c r="R1474" i="1"/>
  <c r="J1474" i="1"/>
  <c r="I1474" i="1"/>
  <c r="G1474" i="1"/>
  <c r="F1474" i="1"/>
  <c r="E1474" i="1"/>
  <c r="D1474" i="1"/>
  <c r="C1474" i="1"/>
  <c r="B1474" i="1"/>
  <c r="A1474" i="1"/>
  <c r="S1473" i="1"/>
  <c r="O1473" i="1"/>
  <c r="K1473" i="1"/>
  <c r="J1473" i="1"/>
  <c r="I1473" i="1"/>
  <c r="H1473" i="1"/>
  <c r="G1473" i="1"/>
  <c r="F1473" i="1"/>
  <c r="E1473" i="1"/>
  <c r="D1473" i="1"/>
  <c r="C1473" i="1"/>
  <c r="B1473" i="1"/>
  <c r="A1473" i="1"/>
  <c r="R1472" i="1"/>
  <c r="J1472" i="1"/>
  <c r="I1472" i="1"/>
  <c r="G1472" i="1"/>
  <c r="F1472" i="1"/>
  <c r="E1472" i="1"/>
  <c r="D1472" i="1"/>
  <c r="C1472" i="1"/>
  <c r="B1472" i="1"/>
  <c r="A1472" i="1"/>
  <c r="R1471" i="1"/>
  <c r="J1471" i="1"/>
  <c r="I1471" i="1"/>
  <c r="G1471" i="1"/>
  <c r="F1471" i="1"/>
  <c r="E1471" i="1"/>
  <c r="D1471" i="1"/>
  <c r="C1471" i="1"/>
  <c r="B1471" i="1"/>
  <c r="A1471" i="1"/>
  <c r="R1470" i="1"/>
  <c r="J1470" i="1"/>
  <c r="I1470" i="1"/>
  <c r="G1470" i="1"/>
  <c r="F1470" i="1"/>
  <c r="E1470" i="1"/>
  <c r="D1470" i="1"/>
  <c r="C1470" i="1"/>
  <c r="B1470" i="1"/>
  <c r="A1470" i="1"/>
  <c r="R1469" i="1"/>
  <c r="J1469" i="1"/>
  <c r="I1469" i="1"/>
  <c r="G1469" i="1"/>
  <c r="F1469" i="1"/>
  <c r="E1469" i="1"/>
  <c r="D1469" i="1"/>
  <c r="C1469" i="1"/>
  <c r="B1469" i="1"/>
  <c r="A1469" i="1"/>
  <c r="R1468" i="1"/>
  <c r="J1468" i="1"/>
  <c r="I1468" i="1"/>
  <c r="G1468" i="1"/>
  <c r="F1468" i="1"/>
  <c r="E1468" i="1"/>
  <c r="D1468" i="1"/>
  <c r="C1468" i="1"/>
  <c r="B1468" i="1"/>
  <c r="A1468" i="1"/>
  <c r="R1467" i="1"/>
  <c r="J1467" i="1"/>
  <c r="I1467" i="1"/>
  <c r="G1467" i="1"/>
  <c r="F1467" i="1"/>
  <c r="E1467" i="1"/>
  <c r="D1467" i="1"/>
  <c r="C1467" i="1"/>
  <c r="B1467" i="1"/>
  <c r="A1467" i="1"/>
  <c r="S1466" i="1"/>
  <c r="O1466" i="1"/>
  <c r="K1466" i="1"/>
  <c r="J1466" i="1"/>
  <c r="I1466" i="1"/>
  <c r="H1466" i="1"/>
  <c r="G1466" i="1"/>
  <c r="F1466" i="1"/>
  <c r="E1466" i="1"/>
  <c r="D1466" i="1"/>
  <c r="C1466" i="1"/>
  <c r="B1466" i="1"/>
  <c r="A1466" i="1"/>
  <c r="R1465" i="1"/>
  <c r="J1465" i="1"/>
  <c r="I1465" i="1"/>
  <c r="G1465" i="1"/>
  <c r="F1465" i="1"/>
  <c r="E1465" i="1"/>
  <c r="D1465" i="1"/>
  <c r="C1465" i="1"/>
  <c r="B1465" i="1"/>
  <c r="A1465" i="1"/>
  <c r="S1464" i="1"/>
  <c r="O1464" i="1"/>
  <c r="K1464" i="1"/>
  <c r="J1464" i="1"/>
  <c r="I1464" i="1"/>
  <c r="H1464" i="1"/>
  <c r="G1464" i="1"/>
  <c r="F1464" i="1"/>
  <c r="E1464" i="1"/>
  <c r="D1464" i="1"/>
  <c r="C1464" i="1"/>
  <c r="B1464" i="1"/>
  <c r="A1464" i="1"/>
  <c r="R1463" i="1"/>
  <c r="J1463" i="1"/>
  <c r="I1463" i="1"/>
  <c r="G1463" i="1"/>
  <c r="F1463" i="1"/>
  <c r="E1463" i="1"/>
  <c r="D1463" i="1"/>
  <c r="C1463" i="1"/>
  <c r="B1463" i="1"/>
  <c r="A1463" i="1"/>
  <c r="S1462" i="1"/>
  <c r="O1462" i="1"/>
  <c r="K1462" i="1"/>
  <c r="J1462" i="1"/>
  <c r="I1462" i="1"/>
  <c r="H1462" i="1"/>
  <c r="G1462" i="1"/>
  <c r="F1462" i="1"/>
  <c r="E1462" i="1"/>
  <c r="D1462" i="1"/>
  <c r="C1462" i="1"/>
  <c r="B1462" i="1"/>
  <c r="A1462" i="1"/>
  <c r="R1461" i="1"/>
  <c r="J1461" i="1"/>
  <c r="I1461" i="1"/>
  <c r="G1461" i="1"/>
  <c r="F1461" i="1"/>
  <c r="E1461" i="1"/>
  <c r="D1461" i="1"/>
  <c r="C1461" i="1"/>
  <c r="B1461" i="1"/>
  <c r="A1461" i="1"/>
  <c r="S1460" i="1"/>
  <c r="O1460" i="1"/>
  <c r="K1460" i="1"/>
  <c r="J1460" i="1"/>
  <c r="I1460" i="1"/>
  <c r="H1460" i="1"/>
  <c r="G1460" i="1"/>
  <c r="F1460" i="1"/>
  <c r="E1460" i="1"/>
  <c r="D1460" i="1"/>
  <c r="C1460" i="1"/>
  <c r="B1460" i="1"/>
  <c r="A1460" i="1"/>
  <c r="R1459" i="1"/>
  <c r="J1459" i="1"/>
  <c r="I1459" i="1"/>
  <c r="G1459" i="1"/>
  <c r="F1459" i="1"/>
  <c r="E1459" i="1"/>
  <c r="D1459" i="1"/>
  <c r="C1459" i="1"/>
  <c r="B1459" i="1"/>
  <c r="A1459" i="1"/>
  <c r="S1458" i="1"/>
  <c r="O1458" i="1"/>
  <c r="K1458" i="1"/>
  <c r="J1458" i="1"/>
  <c r="I1458" i="1"/>
  <c r="H1458" i="1"/>
  <c r="G1458" i="1"/>
  <c r="F1458" i="1"/>
  <c r="E1458" i="1"/>
  <c r="D1458" i="1"/>
  <c r="C1458" i="1"/>
  <c r="B1458" i="1"/>
  <c r="A1458" i="1"/>
  <c r="R1457" i="1"/>
  <c r="J1457" i="1"/>
  <c r="I1457" i="1"/>
  <c r="G1457" i="1"/>
  <c r="F1457" i="1"/>
  <c r="E1457" i="1"/>
  <c r="D1457" i="1"/>
  <c r="C1457" i="1"/>
  <c r="B1457" i="1"/>
  <c r="A1457" i="1"/>
  <c r="S1456" i="1"/>
  <c r="O1456" i="1"/>
  <c r="K1456" i="1"/>
  <c r="J1456" i="1"/>
  <c r="I1456" i="1"/>
  <c r="H1456" i="1"/>
  <c r="G1456" i="1"/>
  <c r="F1456" i="1"/>
  <c r="E1456" i="1"/>
  <c r="D1456" i="1"/>
  <c r="C1456" i="1"/>
  <c r="B1456" i="1"/>
  <c r="A1456" i="1"/>
  <c r="R1455" i="1"/>
  <c r="J1455" i="1"/>
  <c r="I1455" i="1"/>
  <c r="G1455" i="1"/>
  <c r="F1455" i="1"/>
  <c r="E1455" i="1"/>
  <c r="D1455" i="1"/>
  <c r="C1455" i="1"/>
  <c r="B1455" i="1"/>
  <c r="A1455" i="1"/>
  <c r="S1454" i="1"/>
  <c r="O1454" i="1"/>
  <c r="K1454" i="1"/>
  <c r="J1454" i="1"/>
  <c r="I1454" i="1"/>
  <c r="H1454" i="1"/>
  <c r="G1454" i="1"/>
  <c r="F1454" i="1"/>
  <c r="E1454" i="1"/>
  <c r="D1454" i="1"/>
  <c r="C1454" i="1"/>
  <c r="B1454" i="1"/>
  <c r="A1454" i="1"/>
  <c r="R1453" i="1"/>
  <c r="J1453" i="1"/>
  <c r="I1453" i="1"/>
  <c r="G1453" i="1"/>
  <c r="F1453" i="1"/>
  <c r="E1453" i="1"/>
  <c r="D1453" i="1"/>
  <c r="C1453" i="1"/>
  <c r="B1453" i="1"/>
  <c r="A1453" i="1"/>
  <c r="S1452" i="1"/>
  <c r="O1452" i="1"/>
  <c r="K1452" i="1"/>
  <c r="J1452" i="1"/>
  <c r="I1452" i="1"/>
  <c r="H1452" i="1"/>
  <c r="G1452" i="1"/>
  <c r="F1452" i="1"/>
  <c r="E1452" i="1"/>
  <c r="D1452" i="1"/>
  <c r="C1452" i="1"/>
  <c r="B1452" i="1"/>
  <c r="A1452" i="1"/>
  <c r="R1451" i="1"/>
  <c r="J1451" i="1"/>
  <c r="I1451" i="1"/>
  <c r="G1451" i="1"/>
  <c r="F1451" i="1"/>
  <c r="E1451" i="1"/>
  <c r="D1451" i="1"/>
  <c r="C1451" i="1"/>
  <c r="B1451" i="1"/>
  <c r="A1451" i="1"/>
  <c r="S1450" i="1"/>
  <c r="O1450" i="1"/>
  <c r="K1450" i="1"/>
  <c r="J1450" i="1"/>
  <c r="I1450" i="1"/>
  <c r="H1450" i="1"/>
  <c r="G1450" i="1"/>
  <c r="F1450" i="1"/>
  <c r="E1450" i="1"/>
  <c r="D1450" i="1"/>
  <c r="C1450" i="1"/>
  <c r="B1450" i="1"/>
  <c r="A1450" i="1"/>
  <c r="R1449" i="1"/>
  <c r="J1449" i="1"/>
  <c r="I1449" i="1"/>
  <c r="G1449" i="1"/>
  <c r="F1449" i="1"/>
  <c r="E1449" i="1"/>
  <c r="D1449" i="1"/>
  <c r="C1449" i="1"/>
  <c r="B1449" i="1"/>
  <c r="A1449" i="1"/>
  <c r="S1448" i="1"/>
  <c r="O1448" i="1"/>
  <c r="K1448" i="1"/>
  <c r="J1448" i="1"/>
  <c r="I1448" i="1"/>
  <c r="H1448" i="1"/>
  <c r="G1448" i="1"/>
  <c r="F1448" i="1"/>
  <c r="E1448" i="1"/>
  <c r="D1448" i="1"/>
  <c r="C1448" i="1"/>
  <c r="B1448" i="1"/>
  <c r="A1448" i="1"/>
  <c r="R1447" i="1"/>
  <c r="J1447" i="1"/>
  <c r="I1447" i="1"/>
  <c r="G1447" i="1"/>
  <c r="F1447" i="1"/>
  <c r="E1447" i="1"/>
  <c r="D1447" i="1"/>
  <c r="C1447" i="1"/>
  <c r="B1447" i="1"/>
  <c r="A1447" i="1"/>
  <c r="S1446" i="1"/>
  <c r="O1446" i="1"/>
  <c r="K1446" i="1"/>
  <c r="J1446" i="1"/>
  <c r="I1446" i="1"/>
  <c r="H1446" i="1"/>
  <c r="G1446" i="1"/>
  <c r="F1446" i="1"/>
  <c r="E1446" i="1"/>
  <c r="D1446" i="1"/>
  <c r="C1446" i="1"/>
  <c r="B1446" i="1"/>
  <c r="A1446" i="1"/>
  <c r="R1445" i="1"/>
  <c r="J1445" i="1"/>
  <c r="I1445" i="1"/>
  <c r="G1445" i="1"/>
  <c r="F1445" i="1"/>
  <c r="E1445" i="1"/>
  <c r="D1445" i="1"/>
  <c r="C1445" i="1"/>
  <c r="B1445" i="1"/>
  <c r="A1445" i="1"/>
  <c r="S1444" i="1"/>
  <c r="O1444" i="1"/>
  <c r="K1444" i="1"/>
  <c r="J1444" i="1"/>
  <c r="I1444" i="1"/>
  <c r="H1444" i="1"/>
  <c r="G1444" i="1"/>
  <c r="F1444" i="1"/>
  <c r="E1444" i="1"/>
  <c r="D1444" i="1"/>
  <c r="C1444" i="1"/>
  <c r="B1444" i="1"/>
  <c r="A1444" i="1"/>
  <c r="R1443" i="1"/>
  <c r="J1443" i="1"/>
  <c r="I1443" i="1"/>
  <c r="G1443" i="1"/>
  <c r="F1443" i="1"/>
  <c r="E1443" i="1"/>
  <c r="D1443" i="1"/>
  <c r="C1443" i="1"/>
  <c r="B1443" i="1"/>
  <c r="A1443" i="1"/>
  <c r="S1442" i="1"/>
  <c r="O1442" i="1"/>
  <c r="K1442" i="1"/>
  <c r="J1442" i="1"/>
  <c r="I1442" i="1"/>
  <c r="H1442" i="1"/>
  <c r="G1442" i="1"/>
  <c r="F1442" i="1"/>
  <c r="E1442" i="1"/>
  <c r="D1442" i="1"/>
  <c r="C1442" i="1"/>
  <c r="B1442" i="1"/>
  <c r="A1442" i="1"/>
  <c r="R1441" i="1"/>
  <c r="J1441" i="1"/>
  <c r="I1441" i="1"/>
  <c r="G1441" i="1"/>
  <c r="F1441" i="1"/>
  <c r="E1441" i="1"/>
  <c r="D1441" i="1"/>
  <c r="C1441" i="1"/>
  <c r="B1441" i="1"/>
  <c r="A1441" i="1"/>
  <c r="S1440" i="1"/>
  <c r="O1440" i="1"/>
  <c r="K1440" i="1"/>
  <c r="J1440" i="1"/>
  <c r="I1440" i="1"/>
  <c r="H1440" i="1"/>
  <c r="G1440" i="1"/>
  <c r="F1440" i="1"/>
  <c r="E1440" i="1"/>
  <c r="D1440" i="1"/>
  <c r="C1440" i="1"/>
  <c r="B1440" i="1"/>
  <c r="A1440" i="1"/>
  <c r="R1439" i="1"/>
  <c r="J1439" i="1"/>
  <c r="I1439" i="1"/>
  <c r="G1439" i="1"/>
  <c r="F1439" i="1"/>
  <c r="E1439" i="1"/>
  <c r="D1439" i="1"/>
  <c r="C1439" i="1"/>
  <c r="B1439" i="1"/>
  <c r="A1439" i="1"/>
  <c r="S1438" i="1"/>
  <c r="O1438" i="1"/>
  <c r="K1438" i="1"/>
  <c r="J1438" i="1"/>
  <c r="I1438" i="1"/>
  <c r="H1438" i="1"/>
  <c r="G1438" i="1"/>
  <c r="F1438" i="1"/>
  <c r="E1438" i="1"/>
  <c r="D1438" i="1"/>
  <c r="C1438" i="1"/>
  <c r="B1438" i="1"/>
  <c r="A1438" i="1"/>
  <c r="R1437" i="1"/>
  <c r="J1437" i="1"/>
  <c r="I1437" i="1"/>
  <c r="G1437" i="1"/>
  <c r="F1437" i="1"/>
  <c r="E1437" i="1"/>
  <c r="D1437" i="1"/>
  <c r="C1437" i="1"/>
  <c r="B1437" i="1"/>
  <c r="A1437" i="1"/>
  <c r="S1436" i="1"/>
  <c r="O1436" i="1"/>
  <c r="K1436" i="1"/>
  <c r="J1436" i="1"/>
  <c r="I1436" i="1"/>
  <c r="H1436" i="1"/>
  <c r="G1436" i="1"/>
  <c r="F1436" i="1"/>
  <c r="E1436" i="1"/>
  <c r="D1436" i="1"/>
  <c r="C1436" i="1"/>
  <c r="B1436" i="1"/>
  <c r="A1436" i="1"/>
  <c r="R1435" i="1"/>
  <c r="J1435" i="1"/>
  <c r="I1435" i="1"/>
  <c r="G1435" i="1"/>
  <c r="F1435" i="1"/>
  <c r="E1435" i="1"/>
  <c r="D1435" i="1"/>
  <c r="C1435" i="1"/>
  <c r="B1435" i="1"/>
  <c r="A1435" i="1"/>
  <c r="S1434" i="1"/>
  <c r="O1434" i="1"/>
  <c r="K1434" i="1"/>
  <c r="J1434" i="1"/>
  <c r="I1434" i="1"/>
  <c r="H1434" i="1"/>
  <c r="G1434" i="1"/>
  <c r="F1434" i="1"/>
  <c r="E1434" i="1"/>
  <c r="D1434" i="1"/>
  <c r="C1434" i="1"/>
  <c r="B1434" i="1"/>
  <c r="A1434" i="1"/>
  <c r="R1433" i="1"/>
  <c r="J1433" i="1"/>
  <c r="I1433" i="1"/>
  <c r="G1433" i="1"/>
  <c r="F1433" i="1"/>
  <c r="E1433" i="1"/>
  <c r="D1433" i="1"/>
  <c r="C1433" i="1"/>
  <c r="B1433" i="1"/>
  <c r="A1433" i="1"/>
  <c r="S1432" i="1"/>
  <c r="O1432" i="1"/>
  <c r="K1432" i="1"/>
  <c r="J1432" i="1"/>
  <c r="I1432" i="1"/>
  <c r="H1432" i="1"/>
  <c r="G1432" i="1"/>
  <c r="F1432" i="1"/>
  <c r="E1432" i="1"/>
  <c r="D1432" i="1"/>
  <c r="C1432" i="1"/>
  <c r="B1432" i="1"/>
  <c r="A1432" i="1"/>
  <c r="R1431" i="1"/>
  <c r="J1431" i="1"/>
  <c r="I1431" i="1"/>
  <c r="G1431" i="1"/>
  <c r="F1431" i="1"/>
  <c r="E1431" i="1"/>
  <c r="D1431" i="1"/>
  <c r="C1431" i="1"/>
  <c r="B1431" i="1"/>
  <c r="A1431" i="1"/>
  <c r="R1430" i="1"/>
  <c r="J1430" i="1"/>
  <c r="I1430" i="1"/>
  <c r="G1430" i="1"/>
  <c r="F1430" i="1"/>
  <c r="E1430" i="1"/>
  <c r="D1430" i="1"/>
  <c r="C1430" i="1"/>
  <c r="B1430" i="1"/>
  <c r="A1430" i="1"/>
  <c r="S1429" i="1"/>
  <c r="O1429" i="1"/>
  <c r="K1429" i="1"/>
  <c r="J1429" i="1"/>
  <c r="I1429" i="1"/>
  <c r="H1429" i="1"/>
  <c r="G1429" i="1"/>
  <c r="F1429" i="1"/>
  <c r="E1429" i="1"/>
  <c r="D1429" i="1"/>
  <c r="C1429" i="1"/>
  <c r="B1429" i="1"/>
  <c r="A1429" i="1"/>
  <c r="R1428" i="1"/>
  <c r="J1428" i="1"/>
  <c r="I1428" i="1"/>
  <c r="G1428" i="1"/>
  <c r="F1428" i="1"/>
  <c r="E1428" i="1"/>
  <c r="D1428" i="1"/>
  <c r="C1428" i="1"/>
  <c r="B1428" i="1"/>
  <c r="A1428" i="1"/>
  <c r="S1427" i="1"/>
  <c r="O1427" i="1"/>
  <c r="K1427" i="1"/>
  <c r="J1427" i="1"/>
  <c r="I1427" i="1"/>
  <c r="H1427" i="1"/>
  <c r="G1427" i="1"/>
  <c r="F1427" i="1"/>
  <c r="E1427" i="1"/>
  <c r="D1427" i="1"/>
  <c r="C1427" i="1"/>
  <c r="B1427" i="1"/>
  <c r="A1427" i="1"/>
  <c r="R1426" i="1"/>
  <c r="J1426" i="1"/>
  <c r="I1426" i="1"/>
  <c r="G1426" i="1"/>
  <c r="F1426" i="1"/>
  <c r="E1426" i="1"/>
  <c r="D1426" i="1"/>
  <c r="C1426" i="1"/>
  <c r="B1426" i="1"/>
  <c r="A1426" i="1"/>
  <c r="S1425" i="1"/>
  <c r="O1425" i="1"/>
  <c r="K1425" i="1"/>
  <c r="J1425" i="1"/>
  <c r="I1425" i="1"/>
  <c r="H1425" i="1"/>
  <c r="G1425" i="1"/>
  <c r="F1425" i="1"/>
  <c r="E1425" i="1"/>
  <c r="D1425" i="1"/>
  <c r="C1425" i="1"/>
  <c r="B1425" i="1"/>
  <c r="A1425" i="1"/>
  <c r="R1424" i="1"/>
  <c r="J1424" i="1"/>
  <c r="I1424" i="1"/>
  <c r="G1424" i="1"/>
  <c r="F1424" i="1"/>
  <c r="E1424" i="1"/>
  <c r="D1424" i="1"/>
  <c r="C1424" i="1"/>
  <c r="B1424" i="1"/>
  <c r="A1424" i="1"/>
  <c r="S1423" i="1"/>
  <c r="O1423" i="1"/>
  <c r="K1423" i="1"/>
  <c r="J1423" i="1"/>
  <c r="I1423" i="1"/>
  <c r="H1423" i="1"/>
  <c r="G1423" i="1"/>
  <c r="F1423" i="1"/>
  <c r="E1423" i="1"/>
  <c r="D1423" i="1"/>
  <c r="C1423" i="1"/>
  <c r="B1423" i="1"/>
  <c r="A1423" i="1"/>
  <c r="R1422" i="1"/>
  <c r="J1422" i="1"/>
  <c r="I1422" i="1"/>
  <c r="G1422" i="1"/>
  <c r="F1422" i="1"/>
  <c r="E1422" i="1"/>
  <c r="D1422" i="1"/>
  <c r="C1422" i="1"/>
  <c r="B1422" i="1"/>
  <c r="A1422" i="1"/>
  <c r="S1421" i="1"/>
  <c r="O1421" i="1"/>
  <c r="K1421" i="1"/>
  <c r="J1421" i="1"/>
  <c r="I1421" i="1"/>
  <c r="H1421" i="1"/>
  <c r="G1421" i="1"/>
  <c r="F1421" i="1"/>
  <c r="E1421" i="1"/>
  <c r="D1421" i="1"/>
  <c r="C1421" i="1"/>
  <c r="B1421" i="1"/>
  <c r="A1421" i="1"/>
  <c r="R1420" i="1"/>
  <c r="J1420" i="1"/>
  <c r="I1420" i="1"/>
  <c r="G1420" i="1"/>
  <c r="F1420" i="1"/>
  <c r="E1420" i="1"/>
  <c r="D1420" i="1"/>
  <c r="C1420" i="1"/>
  <c r="B1420" i="1"/>
  <c r="A1420" i="1"/>
  <c r="S1419" i="1"/>
  <c r="O1419" i="1"/>
  <c r="K1419" i="1"/>
  <c r="J1419" i="1"/>
  <c r="I1419" i="1"/>
  <c r="H1419" i="1"/>
  <c r="G1419" i="1"/>
  <c r="F1419" i="1"/>
  <c r="E1419" i="1"/>
  <c r="D1419" i="1"/>
  <c r="C1419" i="1"/>
  <c r="B1419" i="1"/>
  <c r="A1419" i="1"/>
  <c r="R1418" i="1"/>
  <c r="J1418" i="1"/>
  <c r="I1418" i="1"/>
  <c r="G1418" i="1"/>
  <c r="F1418" i="1"/>
  <c r="E1418" i="1"/>
  <c r="D1418" i="1"/>
  <c r="C1418" i="1"/>
  <c r="B1418" i="1"/>
  <c r="A1418" i="1"/>
  <c r="S1417" i="1"/>
  <c r="O1417" i="1"/>
  <c r="K1417" i="1"/>
  <c r="J1417" i="1"/>
  <c r="I1417" i="1"/>
  <c r="H1417" i="1"/>
  <c r="G1417" i="1"/>
  <c r="F1417" i="1"/>
  <c r="E1417" i="1"/>
  <c r="D1417" i="1"/>
  <c r="C1417" i="1"/>
  <c r="B1417" i="1"/>
  <c r="A1417" i="1"/>
  <c r="R1416" i="1"/>
  <c r="J1416" i="1"/>
  <c r="I1416" i="1"/>
  <c r="G1416" i="1"/>
  <c r="F1416" i="1"/>
  <c r="E1416" i="1"/>
  <c r="D1416" i="1"/>
  <c r="C1416" i="1"/>
  <c r="B1416" i="1"/>
  <c r="A1416" i="1"/>
  <c r="S1415" i="1"/>
  <c r="O1415" i="1"/>
  <c r="K1415" i="1"/>
  <c r="J1415" i="1"/>
  <c r="I1415" i="1"/>
  <c r="H1415" i="1"/>
  <c r="G1415" i="1"/>
  <c r="F1415" i="1"/>
  <c r="E1415" i="1"/>
  <c r="D1415" i="1"/>
  <c r="C1415" i="1"/>
  <c r="B1415" i="1"/>
  <c r="A1415" i="1"/>
  <c r="R1414" i="1"/>
  <c r="J1414" i="1"/>
  <c r="I1414" i="1"/>
  <c r="G1414" i="1"/>
  <c r="F1414" i="1"/>
  <c r="E1414" i="1"/>
  <c r="D1414" i="1"/>
  <c r="C1414" i="1"/>
  <c r="B1414" i="1"/>
  <c r="A1414" i="1"/>
  <c r="S1413" i="1"/>
  <c r="O1413" i="1"/>
  <c r="K1413" i="1"/>
  <c r="J1413" i="1"/>
  <c r="I1413" i="1"/>
  <c r="H1413" i="1"/>
  <c r="G1413" i="1"/>
  <c r="F1413" i="1"/>
  <c r="E1413" i="1"/>
  <c r="D1413" i="1"/>
  <c r="C1413" i="1"/>
  <c r="B1413" i="1"/>
  <c r="A1413" i="1"/>
  <c r="R1412" i="1"/>
  <c r="J1412" i="1"/>
  <c r="I1412" i="1"/>
  <c r="G1412" i="1"/>
  <c r="F1412" i="1"/>
  <c r="E1412" i="1"/>
  <c r="D1412" i="1"/>
  <c r="C1412" i="1"/>
  <c r="B1412" i="1"/>
  <c r="A1412" i="1"/>
  <c r="S1411" i="1"/>
  <c r="O1411" i="1"/>
  <c r="K1411" i="1"/>
  <c r="J1411" i="1"/>
  <c r="I1411" i="1"/>
  <c r="H1411" i="1"/>
  <c r="G1411" i="1"/>
  <c r="F1411" i="1"/>
  <c r="E1411" i="1"/>
  <c r="D1411" i="1"/>
  <c r="C1411" i="1"/>
  <c r="B1411" i="1"/>
  <c r="A1411" i="1"/>
  <c r="R1410" i="1"/>
  <c r="J1410" i="1"/>
  <c r="I1410" i="1"/>
  <c r="G1410" i="1"/>
  <c r="F1410" i="1"/>
  <c r="E1410" i="1"/>
  <c r="D1410" i="1"/>
  <c r="C1410" i="1"/>
  <c r="B1410" i="1"/>
  <c r="A1410" i="1"/>
  <c r="S1409" i="1"/>
  <c r="O1409" i="1"/>
  <c r="K1409" i="1"/>
  <c r="J1409" i="1"/>
  <c r="I1409" i="1"/>
  <c r="H1409" i="1"/>
  <c r="G1409" i="1"/>
  <c r="F1409" i="1"/>
  <c r="E1409" i="1"/>
  <c r="D1409" i="1"/>
  <c r="C1409" i="1"/>
  <c r="B1409" i="1"/>
  <c r="A1409" i="1"/>
  <c r="R1408" i="1"/>
  <c r="J1408" i="1"/>
  <c r="I1408" i="1"/>
  <c r="G1408" i="1"/>
  <c r="F1408" i="1"/>
  <c r="E1408" i="1"/>
  <c r="D1408" i="1"/>
  <c r="C1408" i="1"/>
  <c r="B1408" i="1"/>
  <c r="A1408" i="1"/>
  <c r="S1407" i="1"/>
  <c r="O1407" i="1"/>
  <c r="K1407" i="1"/>
  <c r="J1407" i="1"/>
  <c r="I1407" i="1"/>
  <c r="H1407" i="1"/>
  <c r="G1407" i="1"/>
  <c r="F1407" i="1"/>
  <c r="E1407" i="1"/>
  <c r="D1407" i="1"/>
  <c r="C1407" i="1"/>
  <c r="B1407" i="1"/>
  <c r="A1407" i="1"/>
  <c r="R1406" i="1"/>
  <c r="J1406" i="1"/>
  <c r="I1406" i="1"/>
  <c r="G1406" i="1"/>
  <c r="F1406" i="1"/>
  <c r="E1406" i="1"/>
  <c r="D1406" i="1"/>
  <c r="C1406" i="1"/>
  <c r="B1406" i="1"/>
  <c r="A1406" i="1"/>
  <c r="S1405" i="1"/>
  <c r="O1405" i="1"/>
  <c r="K1405" i="1"/>
  <c r="J1405" i="1"/>
  <c r="I1405" i="1"/>
  <c r="H1405" i="1"/>
  <c r="G1405" i="1"/>
  <c r="F1405" i="1"/>
  <c r="E1405" i="1"/>
  <c r="D1405" i="1"/>
  <c r="C1405" i="1"/>
  <c r="B1405" i="1"/>
  <c r="A1405" i="1"/>
  <c r="R1404" i="1"/>
  <c r="J1404" i="1"/>
  <c r="I1404" i="1"/>
  <c r="G1404" i="1"/>
  <c r="F1404" i="1"/>
  <c r="E1404" i="1"/>
  <c r="D1404" i="1"/>
  <c r="C1404" i="1"/>
  <c r="B1404" i="1"/>
  <c r="A1404" i="1"/>
  <c r="S1403" i="1"/>
  <c r="O1403" i="1"/>
  <c r="K1403" i="1"/>
  <c r="J1403" i="1"/>
  <c r="I1403" i="1"/>
  <c r="H1403" i="1"/>
  <c r="G1403" i="1"/>
  <c r="F1403" i="1"/>
  <c r="E1403" i="1"/>
  <c r="D1403" i="1"/>
  <c r="C1403" i="1"/>
  <c r="B1403" i="1"/>
  <c r="A1403" i="1"/>
  <c r="R1402" i="1"/>
  <c r="J1402" i="1"/>
  <c r="I1402" i="1"/>
  <c r="G1402" i="1"/>
  <c r="F1402" i="1"/>
  <c r="E1402" i="1"/>
  <c r="D1402" i="1"/>
  <c r="C1402" i="1"/>
  <c r="B1402" i="1"/>
  <c r="A1402" i="1"/>
  <c r="S1401" i="1"/>
  <c r="O1401" i="1"/>
  <c r="K1401" i="1"/>
  <c r="J1401" i="1"/>
  <c r="I1401" i="1"/>
  <c r="H1401" i="1"/>
  <c r="G1401" i="1"/>
  <c r="F1401" i="1"/>
  <c r="E1401" i="1"/>
  <c r="D1401" i="1"/>
  <c r="C1401" i="1"/>
  <c r="B1401" i="1"/>
  <c r="A1401" i="1"/>
  <c r="R1400" i="1"/>
  <c r="J1400" i="1"/>
  <c r="I1400" i="1"/>
  <c r="G1400" i="1"/>
  <c r="F1400" i="1"/>
  <c r="E1400" i="1"/>
  <c r="D1400" i="1"/>
  <c r="C1400" i="1"/>
  <c r="B1400" i="1"/>
  <c r="A1400" i="1"/>
  <c r="S1399" i="1"/>
  <c r="O1399" i="1"/>
  <c r="K1399" i="1"/>
  <c r="J1399" i="1"/>
  <c r="I1399" i="1"/>
  <c r="H1399" i="1"/>
  <c r="G1399" i="1"/>
  <c r="F1399" i="1"/>
  <c r="E1399" i="1"/>
  <c r="D1399" i="1"/>
  <c r="C1399" i="1"/>
  <c r="B1399" i="1"/>
  <c r="A1399" i="1"/>
  <c r="R1398" i="1"/>
  <c r="J1398" i="1"/>
  <c r="I1398" i="1"/>
  <c r="G1398" i="1"/>
  <c r="F1398" i="1"/>
  <c r="E1398" i="1"/>
  <c r="D1398" i="1"/>
  <c r="C1398" i="1"/>
  <c r="B1398" i="1"/>
  <c r="A1398" i="1"/>
  <c r="S1397" i="1"/>
  <c r="O1397" i="1"/>
  <c r="K1397" i="1"/>
  <c r="J1397" i="1"/>
  <c r="I1397" i="1"/>
  <c r="H1397" i="1"/>
  <c r="G1397" i="1"/>
  <c r="F1397" i="1"/>
  <c r="E1397" i="1"/>
  <c r="D1397" i="1"/>
  <c r="C1397" i="1"/>
  <c r="B1397" i="1"/>
  <c r="A1397" i="1"/>
  <c r="R1396" i="1"/>
  <c r="J1396" i="1"/>
  <c r="I1396" i="1"/>
  <c r="G1396" i="1"/>
  <c r="F1396" i="1"/>
  <c r="E1396" i="1"/>
  <c r="D1396" i="1"/>
  <c r="C1396" i="1"/>
  <c r="B1396" i="1"/>
  <c r="A1396" i="1"/>
  <c r="S1395" i="1"/>
  <c r="O1395" i="1"/>
  <c r="K1395" i="1"/>
  <c r="J1395" i="1"/>
  <c r="I1395" i="1"/>
  <c r="H1395" i="1"/>
  <c r="G1395" i="1"/>
  <c r="F1395" i="1"/>
  <c r="E1395" i="1"/>
  <c r="D1395" i="1"/>
  <c r="C1395" i="1"/>
  <c r="B1395" i="1"/>
  <c r="A1395" i="1"/>
  <c r="R1394" i="1"/>
  <c r="J1394" i="1"/>
  <c r="I1394" i="1"/>
  <c r="G1394" i="1"/>
  <c r="F1394" i="1"/>
  <c r="E1394" i="1"/>
  <c r="D1394" i="1"/>
  <c r="C1394" i="1"/>
  <c r="B1394" i="1"/>
  <c r="A1394" i="1"/>
  <c r="S1393" i="1"/>
  <c r="O1393" i="1"/>
  <c r="K1393" i="1"/>
  <c r="J1393" i="1"/>
  <c r="I1393" i="1"/>
  <c r="H1393" i="1"/>
  <c r="G1393" i="1"/>
  <c r="F1393" i="1"/>
  <c r="E1393" i="1"/>
  <c r="D1393" i="1"/>
  <c r="C1393" i="1"/>
  <c r="B1393" i="1"/>
  <c r="A1393" i="1"/>
  <c r="R1392" i="1"/>
  <c r="J1392" i="1"/>
  <c r="I1392" i="1"/>
  <c r="G1392" i="1"/>
  <c r="F1392" i="1"/>
  <c r="E1392" i="1"/>
  <c r="D1392" i="1"/>
  <c r="C1392" i="1"/>
  <c r="B1392" i="1"/>
  <c r="A1392" i="1"/>
  <c r="S1391" i="1"/>
  <c r="O1391" i="1"/>
  <c r="K1391" i="1"/>
  <c r="J1391" i="1"/>
  <c r="I1391" i="1"/>
  <c r="H1391" i="1"/>
  <c r="G1391" i="1"/>
  <c r="F1391" i="1"/>
  <c r="E1391" i="1"/>
  <c r="D1391" i="1"/>
  <c r="C1391" i="1"/>
  <c r="B1391" i="1"/>
  <c r="A1391" i="1"/>
  <c r="R1390" i="1"/>
  <c r="J1390" i="1"/>
  <c r="I1390" i="1"/>
  <c r="G1390" i="1"/>
  <c r="F1390" i="1"/>
  <c r="E1390" i="1"/>
  <c r="D1390" i="1"/>
  <c r="C1390" i="1"/>
  <c r="B1390" i="1"/>
  <c r="A1390" i="1"/>
  <c r="S1389" i="1"/>
  <c r="O1389" i="1"/>
  <c r="K1389" i="1"/>
  <c r="J1389" i="1"/>
  <c r="I1389" i="1"/>
  <c r="H1389" i="1"/>
  <c r="G1389" i="1"/>
  <c r="F1389" i="1"/>
  <c r="E1389" i="1"/>
  <c r="D1389" i="1"/>
  <c r="C1389" i="1"/>
  <c r="B1389" i="1"/>
  <c r="A1389" i="1"/>
  <c r="R1388" i="1"/>
  <c r="J1388" i="1"/>
  <c r="I1388" i="1"/>
  <c r="G1388" i="1"/>
  <c r="F1388" i="1"/>
  <c r="E1388" i="1"/>
  <c r="D1388" i="1"/>
  <c r="C1388" i="1"/>
  <c r="B1388" i="1"/>
  <c r="A1388" i="1"/>
  <c r="R1387" i="1"/>
  <c r="J1387" i="1"/>
  <c r="I1387" i="1"/>
  <c r="G1387" i="1"/>
  <c r="F1387" i="1"/>
  <c r="E1387" i="1"/>
  <c r="D1387" i="1"/>
  <c r="C1387" i="1"/>
  <c r="B1387" i="1"/>
  <c r="A1387" i="1"/>
  <c r="S1386" i="1"/>
  <c r="O1386" i="1"/>
  <c r="K1386" i="1"/>
  <c r="J1386" i="1"/>
  <c r="I1386" i="1"/>
  <c r="H1386" i="1"/>
  <c r="G1386" i="1"/>
  <c r="F1386" i="1"/>
  <c r="E1386" i="1"/>
  <c r="D1386" i="1"/>
  <c r="C1386" i="1"/>
  <c r="B1386" i="1"/>
  <c r="A1386" i="1"/>
  <c r="R1385" i="1"/>
  <c r="J1385" i="1"/>
  <c r="I1385" i="1"/>
  <c r="G1385" i="1"/>
  <c r="F1385" i="1"/>
  <c r="E1385" i="1"/>
  <c r="D1385" i="1"/>
  <c r="C1385" i="1"/>
  <c r="B1385" i="1"/>
  <c r="A1385" i="1"/>
  <c r="S1384" i="1"/>
  <c r="O1384" i="1"/>
  <c r="K1384" i="1"/>
  <c r="J1384" i="1"/>
  <c r="I1384" i="1"/>
  <c r="H1384" i="1"/>
  <c r="G1384" i="1"/>
  <c r="F1384" i="1"/>
  <c r="E1384" i="1"/>
  <c r="D1384" i="1"/>
  <c r="C1384" i="1"/>
  <c r="B1384" i="1"/>
  <c r="A1384" i="1"/>
  <c r="R1383" i="1"/>
  <c r="J1383" i="1"/>
  <c r="I1383" i="1"/>
  <c r="G1383" i="1"/>
  <c r="F1383" i="1"/>
  <c r="E1383" i="1"/>
  <c r="D1383" i="1"/>
  <c r="C1383" i="1"/>
  <c r="B1383" i="1"/>
  <c r="A1383" i="1"/>
  <c r="S1382" i="1"/>
  <c r="O1382" i="1"/>
  <c r="K1382" i="1"/>
  <c r="J1382" i="1"/>
  <c r="I1382" i="1"/>
  <c r="H1382" i="1"/>
  <c r="G1382" i="1"/>
  <c r="F1382" i="1"/>
  <c r="E1382" i="1"/>
  <c r="D1382" i="1"/>
  <c r="C1382" i="1"/>
  <c r="B1382" i="1"/>
  <c r="A1382" i="1"/>
  <c r="R1381" i="1"/>
  <c r="J1381" i="1"/>
  <c r="I1381" i="1"/>
  <c r="G1381" i="1"/>
  <c r="F1381" i="1"/>
  <c r="E1381" i="1"/>
  <c r="D1381" i="1"/>
  <c r="C1381" i="1"/>
  <c r="B1381" i="1"/>
  <c r="A1381" i="1"/>
  <c r="S1380" i="1"/>
  <c r="O1380" i="1"/>
  <c r="K1380" i="1"/>
  <c r="J1380" i="1"/>
  <c r="I1380" i="1"/>
  <c r="H1380" i="1"/>
  <c r="G1380" i="1"/>
  <c r="F1380" i="1"/>
  <c r="E1380" i="1"/>
  <c r="D1380" i="1"/>
  <c r="C1380" i="1"/>
  <c r="B1380" i="1"/>
  <c r="A1380" i="1"/>
  <c r="R1379" i="1"/>
  <c r="J1379" i="1"/>
  <c r="I1379" i="1"/>
  <c r="G1379" i="1"/>
  <c r="F1379" i="1"/>
  <c r="E1379" i="1"/>
  <c r="D1379" i="1"/>
  <c r="C1379" i="1"/>
  <c r="B1379" i="1"/>
  <c r="A1379" i="1"/>
  <c r="S1378" i="1"/>
  <c r="O1378" i="1"/>
  <c r="K1378" i="1"/>
  <c r="J1378" i="1"/>
  <c r="I1378" i="1"/>
  <c r="H1378" i="1"/>
  <c r="G1378" i="1"/>
  <c r="F1378" i="1"/>
  <c r="E1378" i="1"/>
  <c r="D1378" i="1"/>
  <c r="C1378" i="1"/>
  <c r="B1378" i="1"/>
  <c r="A1378" i="1"/>
  <c r="R1377" i="1"/>
  <c r="J1377" i="1"/>
  <c r="I1377" i="1"/>
  <c r="G1377" i="1"/>
  <c r="F1377" i="1"/>
  <c r="E1377" i="1"/>
  <c r="D1377" i="1"/>
  <c r="C1377" i="1"/>
  <c r="B1377" i="1"/>
  <c r="A1377" i="1"/>
  <c r="S1376" i="1"/>
  <c r="O1376" i="1"/>
  <c r="K1376" i="1"/>
  <c r="J1376" i="1"/>
  <c r="I1376" i="1"/>
  <c r="H1376" i="1"/>
  <c r="G1376" i="1"/>
  <c r="F1376" i="1"/>
  <c r="E1376" i="1"/>
  <c r="D1376" i="1"/>
  <c r="C1376" i="1"/>
  <c r="B1376" i="1"/>
  <c r="A1376" i="1"/>
  <c r="R1375" i="1"/>
  <c r="J1375" i="1"/>
  <c r="I1375" i="1"/>
  <c r="G1375" i="1"/>
  <c r="F1375" i="1"/>
  <c r="E1375" i="1"/>
  <c r="D1375" i="1"/>
  <c r="C1375" i="1"/>
  <c r="B1375" i="1"/>
  <c r="A1375" i="1"/>
  <c r="S1374" i="1"/>
  <c r="O1374" i="1"/>
  <c r="K1374" i="1"/>
  <c r="J1374" i="1"/>
  <c r="I1374" i="1"/>
  <c r="H1374" i="1"/>
  <c r="G1374" i="1"/>
  <c r="F1374" i="1"/>
  <c r="E1374" i="1"/>
  <c r="D1374" i="1"/>
  <c r="C1374" i="1"/>
  <c r="B1374" i="1"/>
  <c r="A1374" i="1"/>
  <c r="R1373" i="1"/>
  <c r="J1373" i="1"/>
  <c r="I1373" i="1"/>
  <c r="G1373" i="1"/>
  <c r="F1373" i="1"/>
  <c r="E1373" i="1"/>
  <c r="D1373" i="1"/>
  <c r="C1373" i="1"/>
  <c r="B1373" i="1"/>
  <c r="A1373" i="1"/>
  <c r="S1372" i="1"/>
  <c r="O1372" i="1"/>
  <c r="K1372" i="1"/>
  <c r="J1372" i="1"/>
  <c r="I1372" i="1"/>
  <c r="H1372" i="1"/>
  <c r="G1372" i="1"/>
  <c r="F1372" i="1"/>
  <c r="E1372" i="1"/>
  <c r="D1372" i="1"/>
  <c r="C1372" i="1"/>
  <c r="B1372" i="1"/>
  <c r="A1372" i="1"/>
  <c r="R1371" i="1"/>
  <c r="J1371" i="1"/>
  <c r="I1371" i="1"/>
  <c r="G1371" i="1"/>
  <c r="F1371" i="1"/>
  <c r="E1371" i="1"/>
  <c r="D1371" i="1"/>
  <c r="C1371" i="1"/>
  <c r="B1371" i="1"/>
  <c r="A1371" i="1"/>
  <c r="S1370" i="1"/>
  <c r="O1370" i="1"/>
  <c r="K1370" i="1"/>
  <c r="J1370" i="1"/>
  <c r="I1370" i="1"/>
  <c r="H1370" i="1"/>
  <c r="G1370" i="1"/>
  <c r="F1370" i="1"/>
  <c r="E1370" i="1"/>
  <c r="D1370" i="1"/>
  <c r="C1370" i="1"/>
  <c r="B1370" i="1"/>
  <c r="A1370" i="1"/>
  <c r="R1369" i="1"/>
  <c r="J1369" i="1"/>
  <c r="I1369" i="1"/>
  <c r="G1369" i="1"/>
  <c r="F1369" i="1"/>
  <c r="E1369" i="1"/>
  <c r="D1369" i="1"/>
  <c r="C1369" i="1"/>
  <c r="B1369" i="1"/>
  <c r="A1369" i="1"/>
  <c r="S1368" i="1"/>
  <c r="O1368" i="1"/>
  <c r="K1368" i="1"/>
  <c r="J1368" i="1"/>
  <c r="I1368" i="1"/>
  <c r="H1368" i="1"/>
  <c r="G1368" i="1"/>
  <c r="F1368" i="1"/>
  <c r="E1368" i="1"/>
  <c r="D1368" i="1"/>
  <c r="C1368" i="1"/>
  <c r="B1368" i="1"/>
  <c r="A1368" i="1"/>
  <c r="R1367" i="1"/>
  <c r="J1367" i="1"/>
  <c r="I1367" i="1"/>
  <c r="G1367" i="1"/>
  <c r="F1367" i="1"/>
  <c r="E1367" i="1"/>
  <c r="D1367" i="1"/>
  <c r="C1367" i="1"/>
  <c r="B1367" i="1"/>
  <c r="A1367" i="1"/>
  <c r="S1366" i="1"/>
  <c r="O1366" i="1"/>
  <c r="K1366" i="1"/>
  <c r="J1366" i="1"/>
  <c r="I1366" i="1"/>
  <c r="H1366" i="1"/>
  <c r="G1366" i="1"/>
  <c r="F1366" i="1"/>
  <c r="E1366" i="1"/>
  <c r="D1366" i="1"/>
  <c r="C1366" i="1"/>
  <c r="B1366" i="1"/>
  <c r="A1366" i="1"/>
  <c r="R1365" i="1"/>
  <c r="J1365" i="1"/>
  <c r="I1365" i="1"/>
  <c r="G1365" i="1"/>
  <c r="F1365" i="1"/>
  <c r="E1365" i="1"/>
  <c r="D1365" i="1"/>
  <c r="C1365" i="1"/>
  <c r="B1365" i="1"/>
  <c r="A1365" i="1"/>
  <c r="S1364" i="1"/>
  <c r="O1364" i="1"/>
  <c r="K1364" i="1"/>
  <c r="J1364" i="1"/>
  <c r="I1364" i="1"/>
  <c r="H1364" i="1"/>
  <c r="G1364" i="1"/>
  <c r="F1364" i="1"/>
  <c r="E1364" i="1"/>
  <c r="D1364" i="1"/>
  <c r="C1364" i="1"/>
  <c r="B1364" i="1"/>
  <c r="A1364" i="1"/>
  <c r="R1363" i="1"/>
  <c r="J1363" i="1"/>
  <c r="I1363" i="1"/>
  <c r="G1363" i="1"/>
  <c r="F1363" i="1"/>
  <c r="E1363" i="1"/>
  <c r="D1363" i="1"/>
  <c r="C1363" i="1"/>
  <c r="B1363" i="1"/>
  <c r="A1363" i="1"/>
  <c r="S1362" i="1"/>
  <c r="O1362" i="1"/>
  <c r="K1362" i="1"/>
  <c r="J1362" i="1"/>
  <c r="I1362" i="1"/>
  <c r="H1362" i="1"/>
  <c r="G1362" i="1"/>
  <c r="F1362" i="1"/>
  <c r="E1362" i="1"/>
  <c r="D1362" i="1"/>
  <c r="C1362" i="1"/>
  <c r="B1362" i="1"/>
  <c r="A1362" i="1"/>
  <c r="R1361" i="1"/>
  <c r="J1361" i="1"/>
  <c r="I1361" i="1"/>
  <c r="G1361" i="1"/>
  <c r="F1361" i="1"/>
  <c r="E1361" i="1"/>
  <c r="D1361" i="1"/>
  <c r="C1361" i="1"/>
  <c r="B1361" i="1"/>
  <c r="A1361" i="1"/>
  <c r="S1360" i="1"/>
  <c r="O1360" i="1"/>
  <c r="K1360" i="1"/>
  <c r="J1360" i="1"/>
  <c r="I1360" i="1"/>
  <c r="H1360" i="1"/>
  <c r="G1360" i="1"/>
  <c r="F1360" i="1"/>
  <c r="E1360" i="1"/>
  <c r="D1360" i="1"/>
  <c r="C1360" i="1"/>
  <c r="B1360" i="1"/>
  <c r="A1360" i="1"/>
  <c r="R1359" i="1"/>
  <c r="J1359" i="1"/>
  <c r="I1359" i="1"/>
  <c r="G1359" i="1"/>
  <c r="F1359" i="1"/>
  <c r="E1359" i="1"/>
  <c r="D1359" i="1"/>
  <c r="C1359" i="1"/>
  <c r="B1359" i="1"/>
  <c r="A1359" i="1"/>
  <c r="S1358" i="1"/>
  <c r="O1358" i="1"/>
  <c r="K1358" i="1"/>
  <c r="J1358" i="1"/>
  <c r="I1358" i="1"/>
  <c r="H1358" i="1"/>
  <c r="G1358" i="1"/>
  <c r="F1358" i="1"/>
  <c r="E1358" i="1"/>
  <c r="D1358" i="1"/>
  <c r="C1358" i="1"/>
  <c r="B1358" i="1"/>
  <c r="A1358" i="1"/>
  <c r="R1357" i="1"/>
  <c r="J1357" i="1"/>
  <c r="I1357" i="1"/>
  <c r="G1357" i="1"/>
  <c r="F1357" i="1"/>
  <c r="E1357" i="1"/>
  <c r="D1357" i="1"/>
  <c r="C1357" i="1"/>
  <c r="B1357" i="1"/>
  <c r="A1357" i="1"/>
  <c r="S1356" i="1"/>
  <c r="O1356" i="1"/>
  <c r="K1356" i="1"/>
  <c r="J1356" i="1"/>
  <c r="I1356" i="1"/>
  <c r="H1356" i="1"/>
  <c r="G1356" i="1"/>
  <c r="F1356" i="1"/>
  <c r="E1356" i="1"/>
  <c r="D1356" i="1"/>
  <c r="C1356" i="1"/>
  <c r="B1356" i="1"/>
  <c r="A1356" i="1"/>
  <c r="R1355" i="1"/>
  <c r="J1355" i="1"/>
  <c r="I1355" i="1"/>
  <c r="G1355" i="1"/>
  <c r="F1355" i="1"/>
  <c r="E1355" i="1"/>
  <c r="D1355" i="1"/>
  <c r="C1355" i="1"/>
  <c r="B1355" i="1"/>
  <c r="A1355" i="1"/>
  <c r="S1354" i="1"/>
  <c r="O1354" i="1"/>
  <c r="K1354" i="1"/>
  <c r="J1354" i="1"/>
  <c r="I1354" i="1"/>
  <c r="H1354" i="1"/>
  <c r="G1354" i="1"/>
  <c r="F1354" i="1"/>
  <c r="E1354" i="1"/>
  <c r="D1354" i="1"/>
  <c r="C1354" i="1"/>
  <c r="B1354" i="1"/>
  <c r="A1354" i="1"/>
  <c r="R1353" i="1"/>
  <c r="J1353" i="1"/>
  <c r="I1353" i="1"/>
  <c r="G1353" i="1"/>
  <c r="F1353" i="1"/>
  <c r="E1353" i="1"/>
  <c r="D1353" i="1"/>
  <c r="C1353" i="1"/>
  <c r="B1353" i="1"/>
  <c r="A1353" i="1"/>
  <c r="S1352" i="1"/>
  <c r="O1352" i="1"/>
  <c r="K1352" i="1"/>
  <c r="J1352" i="1"/>
  <c r="I1352" i="1"/>
  <c r="H1352" i="1"/>
  <c r="G1352" i="1"/>
  <c r="F1352" i="1"/>
  <c r="E1352" i="1"/>
  <c r="D1352" i="1"/>
  <c r="C1352" i="1"/>
  <c r="B1352" i="1"/>
  <c r="A1352" i="1"/>
  <c r="R1351" i="1"/>
  <c r="J1351" i="1"/>
  <c r="I1351" i="1"/>
  <c r="G1351" i="1"/>
  <c r="F1351" i="1"/>
  <c r="E1351" i="1"/>
  <c r="D1351" i="1"/>
  <c r="C1351" i="1"/>
  <c r="B1351" i="1"/>
  <c r="A1351" i="1"/>
  <c r="S1350" i="1"/>
  <c r="O1350" i="1"/>
  <c r="K1350" i="1"/>
  <c r="J1350" i="1"/>
  <c r="I1350" i="1"/>
  <c r="H1350" i="1"/>
  <c r="G1350" i="1"/>
  <c r="F1350" i="1"/>
  <c r="E1350" i="1"/>
  <c r="D1350" i="1"/>
  <c r="C1350" i="1"/>
  <c r="B1350" i="1"/>
  <c r="A1350" i="1"/>
  <c r="R1349" i="1"/>
  <c r="J1349" i="1"/>
  <c r="I1349" i="1"/>
  <c r="G1349" i="1"/>
  <c r="F1349" i="1"/>
  <c r="E1349" i="1"/>
  <c r="D1349" i="1"/>
  <c r="C1349" i="1"/>
  <c r="B1349" i="1"/>
  <c r="A1349" i="1"/>
  <c r="S1348" i="1"/>
  <c r="O1348" i="1"/>
  <c r="K1348" i="1"/>
  <c r="J1348" i="1"/>
  <c r="I1348" i="1"/>
  <c r="H1348" i="1"/>
  <c r="G1348" i="1"/>
  <c r="F1348" i="1"/>
  <c r="E1348" i="1"/>
  <c r="D1348" i="1"/>
  <c r="C1348" i="1"/>
  <c r="B1348" i="1"/>
  <c r="A1348" i="1"/>
  <c r="R1347" i="1"/>
  <c r="J1347" i="1"/>
  <c r="I1347" i="1"/>
  <c r="G1347" i="1"/>
  <c r="F1347" i="1"/>
  <c r="E1347" i="1"/>
  <c r="D1347" i="1"/>
  <c r="C1347" i="1"/>
  <c r="B1347" i="1"/>
  <c r="A1347" i="1"/>
  <c r="R1346" i="1"/>
  <c r="J1346" i="1"/>
  <c r="I1346" i="1"/>
  <c r="G1346" i="1"/>
  <c r="F1346" i="1"/>
  <c r="E1346" i="1"/>
  <c r="D1346" i="1"/>
  <c r="C1346" i="1"/>
  <c r="B1346" i="1"/>
  <c r="A1346" i="1"/>
  <c r="R1345" i="1"/>
  <c r="J1345" i="1"/>
  <c r="I1345" i="1"/>
  <c r="G1345" i="1"/>
  <c r="F1345" i="1"/>
  <c r="E1345" i="1"/>
  <c r="D1345" i="1"/>
  <c r="C1345" i="1"/>
  <c r="B1345" i="1"/>
  <c r="A1345" i="1"/>
  <c r="S1344" i="1"/>
  <c r="O1344" i="1"/>
  <c r="K1344" i="1"/>
  <c r="J1344" i="1"/>
  <c r="I1344" i="1"/>
  <c r="H1344" i="1"/>
  <c r="G1344" i="1"/>
  <c r="F1344" i="1"/>
  <c r="E1344" i="1"/>
  <c r="D1344" i="1"/>
  <c r="C1344" i="1"/>
  <c r="B1344" i="1"/>
  <c r="A1344" i="1"/>
  <c r="R1343" i="1"/>
  <c r="J1343" i="1"/>
  <c r="I1343" i="1"/>
  <c r="G1343" i="1"/>
  <c r="F1343" i="1"/>
  <c r="E1343" i="1"/>
  <c r="D1343" i="1"/>
  <c r="C1343" i="1"/>
  <c r="B1343" i="1"/>
  <c r="A1343" i="1"/>
  <c r="S1342" i="1"/>
  <c r="O1342" i="1"/>
  <c r="K1342" i="1"/>
  <c r="J1342" i="1"/>
  <c r="I1342" i="1"/>
  <c r="H1342" i="1"/>
  <c r="G1342" i="1"/>
  <c r="F1342" i="1"/>
  <c r="E1342" i="1"/>
  <c r="D1342" i="1"/>
  <c r="C1342" i="1"/>
  <c r="B1342" i="1"/>
  <c r="A1342" i="1"/>
  <c r="R1341" i="1"/>
  <c r="J1341" i="1"/>
  <c r="I1341" i="1"/>
  <c r="G1341" i="1"/>
  <c r="F1341" i="1"/>
  <c r="E1341" i="1"/>
  <c r="D1341" i="1"/>
  <c r="C1341" i="1"/>
  <c r="B1341" i="1"/>
  <c r="A1341" i="1"/>
  <c r="S1340" i="1"/>
  <c r="O1340" i="1"/>
  <c r="K1340" i="1"/>
  <c r="J1340" i="1"/>
  <c r="I1340" i="1"/>
  <c r="H1340" i="1"/>
  <c r="G1340" i="1"/>
  <c r="F1340" i="1"/>
  <c r="E1340" i="1"/>
  <c r="D1340" i="1"/>
  <c r="C1340" i="1"/>
  <c r="B1340" i="1"/>
  <c r="A1340" i="1"/>
  <c r="R1339" i="1"/>
  <c r="J1339" i="1"/>
  <c r="I1339" i="1"/>
  <c r="G1339" i="1"/>
  <c r="F1339" i="1"/>
  <c r="E1339" i="1"/>
  <c r="D1339" i="1"/>
  <c r="C1339" i="1"/>
  <c r="B1339" i="1"/>
  <c r="A1339" i="1"/>
  <c r="S1338" i="1"/>
  <c r="O1338" i="1"/>
  <c r="K1338" i="1"/>
  <c r="J1338" i="1"/>
  <c r="I1338" i="1"/>
  <c r="H1338" i="1"/>
  <c r="G1338" i="1"/>
  <c r="F1338" i="1"/>
  <c r="E1338" i="1"/>
  <c r="D1338" i="1"/>
  <c r="C1338" i="1"/>
  <c r="B1338" i="1"/>
  <c r="A1338" i="1"/>
  <c r="R1337" i="1"/>
  <c r="J1337" i="1"/>
  <c r="I1337" i="1"/>
  <c r="G1337" i="1"/>
  <c r="F1337" i="1"/>
  <c r="E1337" i="1"/>
  <c r="D1337" i="1"/>
  <c r="C1337" i="1"/>
  <c r="B1337" i="1"/>
  <c r="A1337" i="1"/>
  <c r="S1336" i="1"/>
  <c r="O1336" i="1"/>
  <c r="K1336" i="1"/>
  <c r="J1336" i="1"/>
  <c r="I1336" i="1"/>
  <c r="H1336" i="1"/>
  <c r="G1336" i="1"/>
  <c r="F1336" i="1"/>
  <c r="E1336" i="1"/>
  <c r="D1336" i="1"/>
  <c r="C1336" i="1"/>
  <c r="B1336" i="1"/>
  <c r="A1336" i="1"/>
  <c r="R1335" i="1"/>
  <c r="J1335" i="1"/>
  <c r="I1335" i="1"/>
  <c r="G1335" i="1"/>
  <c r="F1335" i="1"/>
  <c r="E1335" i="1"/>
  <c r="D1335" i="1"/>
  <c r="C1335" i="1"/>
  <c r="B1335" i="1"/>
  <c r="A1335" i="1"/>
  <c r="S1334" i="1"/>
  <c r="O1334" i="1"/>
  <c r="K1334" i="1"/>
  <c r="J1334" i="1"/>
  <c r="I1334" i="1"/>
  <c r="H1334" i="1"/>
  <c r="G1334" i="1"/>
  <c r="F1334" i="1"/>
  <c r="E1334" i="1"/>
  <c r="D1334" i="1"/>
  <c r="C1334" i="1"/>
  <c r="B1334" i="1"/>
  <c r="A1334" i="1"/>
  <c r="R1333" i="1"/>
  <c r="J1333" i="1"/>
  <c r="I1333" i="1"/>
  <c r="G1333" i="1"/>
  <c r="F1333" i="1"/>
  <c r="E1333" i="1"/>
  <c r="D1333" i="1"/>
  <c r="C1333" i="1"/>
  <c r="B1333" i="1"/>
  <c r="A1333" i="1"/>
  <c r="S1332" i="1"/>
  <c r="O1332" i="1"/>
  <c r="K1332" i="1"/>
  <c r="J1332" i="1"/>
  <c r="I1332" i="1"/>
  <c r="H1332" i="1"/>
  <c r="G1332" i="1"/>
  <c r="F1332" i="1"/>
  <c r="E1332" i="1"/>
  <c r="D1332" i="1"/>
  <c r="C1332" i="1"/>
  <c r="B1332" i="1"/>
  <c r="A1332" i="1"/>
  <c r="R1331" i="1"/>
  <c r="J1331" i="1"/>
  <c r="I1331" i="1"/>
  <c r="G1331" i="1"/>
  <c r="F1331" i="1"/>
  <c r="E1331" i="1"/>
  <c r="D1331" i="1"/>
  <c r="C1331" i="1"/>
  <c r="B1331" i="1"/>
  <c r="A1331" i="1"/>
  <c r="S1330" i="1"/>
  <c r="O1330" i="1"/>
  <c r="K1330" i="1"/>
  <c r="J1330" i="1"/>
  <c r="I1330" i="1"/>
  <c r="H1330" i="1"/>
  <c r="G1330" i="1"/>
  <c r="F1330" i="1"/>
  <c r="E1330" i="1"/>
  <c r="D1330" i="1"/>
  <c r="C1330" i="1"/>
  <c r="B1330" i="1"/>
  <c r="A1330" i="1"/>
  <c r="R1329" i="1"/>
  <c r="J1329" i="1"/>
  <c r="I1329" i="1"/>
  <c r="G1329" i="1"/>
  <c r="F1329" i="1"/>
  <c r="E1329" i="1"/>
  <c r="D1329" i="1"/>
  <c r="C1329" i="1"/>
  <c r="B1329" i="1"/>
  <c r="A1329" i="1"/>
  <c r="S1328" i="1"/>
  <c r="O1328" i="1"/>
  <c r="K1328" i="1"/>
  <c r="J1328" i="1"/>
  <c r="I1328" i="1"/>
  <c r="H1328" i="1"/>
  <c r="G1328" i="1"/>
  <c r="F1328" i="1"/>
  <c r="E1328" i="1"/>
  <c r="D1328" i="1"/>
  <c r="C1328" i="1"/>
  <c r="B1328" i="1"/>
  <c r="A1328" i="1"/>
  <c r="R1327" i="1"/>
  <c r="J1327" i="1"/>
  <c r="I1327" i="1"/>
  <c r="G1327" i="1"/>
  <c r="F1327" i="1"/>
  <c r="E1327" i="1"/>
  <c r="D1327" i="1"/>
  <c r="C1327" i="1"/>
  <c r="B1327" i="1"/>
  <c r="A1327" i="1"/>
  <c r="S1326" i="1"/>
  <c r="O1326" i="1"/>
  <c r="K1326" i="1"/>
  <c r="J1326" i="1"/>
  <c r="I1326" i="1"/>
  <c r="H1326" i="1"/>
  <c r="G1326" i="1"/>
  <c r="F1326" i="1"/>
  <c r="E1326" i="1"/>
  <c r="D1326" i="1"/>
  <c r="C1326" i="1"/>
  <c r="B1326" i="1"/>
  <c r="A1326" i="1"/>
  <c r="R1325" i="1"/>
  <c r="J1325" i="1"/>
  <c r="I1325" i="1"/>
  <c r="G1325" i="1"/>
  <c r="F1325" i="1"/>
  <c r="E1325" i="1"/>
  <c r="D1325" i="1"/>
  <c r="C1325" i="1"/>
  <c r="B1325" i="1"/>
  <c r="A1325" i="1"/>
  <c r="S1324" i="1"/>
  <c r="O1324" i="1"/>
  <c r="K1324" i="1"/>
  <c r="J1324" i="1"/>
  <c r="I1324" i="1"/>
  <c r="H1324" i="1"/>
  <c r="G1324" i="1"/>
  <c r="F1324" i="1"/>
  <c r="E1324" i="1"/>
  <c r="D1324" i="1"/>
  <c r="C1324" i="1"/>
  <c r="B1324" i="1"/>
  <c r="A1324" i="1"/>
  <c r="R1323" i="1"/>
  <c r="J1323" i="1"/>
  <c r="I1323" i="1"/>
  <c r="G1323" i="1"/>
  <c r="F1323" i="1"/>
  <c r="E1323" i="1"/>
  <c r="D1323" i="1"/>
  <c r="C1323" i="1"/>
  <c r="B1323" i="1"/>
  <c r="A1323" i="1"/>
  <c r="S1322" i="1"/>
  <c r="O1322" i="1"/>
  <c r="K1322" i="1"/>
  <c r="J1322" i="1"/>
  <c r="I1322" i="1"/>
  <c r="H1322" i="1"/>
  <c r="G1322" i="1"/>
  <c r="F1322" i="1"/>
  <c r="E1322" i="1"/>
  <c r="D1322" i="1"/>
  <c r="C1322" i="1"/>
  <c r="B1322" i="1"/>
  <c r="A1322" i="1"/>
  <c r="R1321" i="1"/>
  <c r="J1321" i="1"/>
  <c r="I1321" i="1"/>
  <c r="G1321" i="1"/>
  <c r="F1321" i="1"/>
  <c r="E1321" i="1"/>
  <c r="D1321" i="1"/>
  <c r="C1321" i="1"/>
  <c r="B1321" i="1"/>
  <c r="A1321" i="1"/>
  <c r="S1320" i="1"/>
  <c r="O1320" i="1"/>
  <c r="K1320" i="1"/>
  <c r="J1320" i="1"/>
  <c r="I1320" i="1"/>
  <c r="H1320" i="1"/>
  <c r="G1320" i="1"/>
  <c r="F1320" i="1"/>
  <c r="E1320" i="1"/>
  <c r="D1320" i="1"/>
  <c r="C1320" i="1"/>
  <c r="B1320" i="1"/>
  <c r="A1320" i="1"/>
  <c r="R1319" i="1"/>
  <c r="J1319" i="1"/>
  <c r="I1319" i="1"/>
  <c r="G1319" i="1"/>
  <c r="F1319" i="1"/>
  <c r="E1319" i="1"/>
  <c r="D1319" i="1"/>
  <c r="C1319" i="1"/>
  <c r="B1319" i="1"/>
  <c r="A1319" i="1"/>
  <c r="S1318" i="1"/>
  <c r="O1318" i="1"/>
  <c r="K1318" i="1"/>
  <c r="J1318" i="1"/>
  <c r="I1318" i="1"/>
  <c r="H1318" i="1"/>
  <c r="G1318" i="1"/>
  <c r="F1318" i="1"/>
  <c r="E1318" i="1"/>
  <c r="D1318" i="1"/>
  <c r="C1318" i="1"/>
  <c r="B1318" i="1"/>
  <c r="A1318" i="1"/>
  <c r="R1317" i="1"/>
  <c r="J1317" i="1"/>
  <c r="I1317" i="1"/>
  <c r="G1317" i="1"/>
  <c r="F1317" i="1"/>
  <c r="E1317" i="1"/>
  <c r="D1317" i="1"/>
  <c r="C1317" i="1"/>
  <c r="B1317" i="1"/>
  <c r="A1317" i="1"/>
  <c r="S1316" i="1"/>
  <c r="O1316" i="1"/>
  <c r="K1316" i="1"/>
  <c r="J1316" i="1"/>
  <c r="I1316" i="1"/>
  <c r="H1316" i="1"/>
  <c r="G1316" i="1"/>
  <c r="F1316" i="1"/>
  <c r="E1316" i="1"/>
  <c r="D1316" i="1"/>
  <c r="C1316" i="1"/>
  <c r="B1316" i="1"/>
  <c r="A1316" i="1"/>
  <c r="R1315" i="1"/>
  <c r="J1315" i="1"/>
  <c r="I1315" i="1"/>
  <c r="G1315" i="1"/>
  <c r="F1315" i="1"/>
  <c r="E1315" i="1"/>
  <c r="D1315" i="1"/>
  <c r="C1315" i="1"/>
  <c r="B1315" i="1"/>
  <c r="A1315" i="1"/>
  <c r="S1314" i="1"/>
  <c r="O1314" i="1"/>
  <c r="K1314" i="1"/>
  <c r="J1314" i="1"/>
  <c r="I1314" i="1"/>
  <c r="H1314" i="1"/>
  <c r="G1314" i="1"/>
  <c r="F1314" i="1"/>
  <c r="E1314" i="1"/>
  <c r="D1314" i="1"/>
  <c r="C1314" i="1"/>
  <c r="B1314" i="1"/>
  <c r="A1314" i="1"/>
  <c r="R1313" i="1"/>
  <c r="J1313" i="1"/>
  <c r="I1313" i="1"/>
  <c r="G1313" i="1"/>
  <c r="F1313" i="1"/>
  <c r="E1313" i="1"/>
  <c r="D1313" i="1"/>
  <c r="C1313" i="1"/>
  <c r="B1313" i="1"/>
  <c r="A1313" i="1"/>
  <c r="S1312" i="1"/>
  <c r="O1312" i="1"/>
  <c r="K1312" i="1"/>
  <c r="J1312" i="1"/>
  <c r="I1312" i="1"/>
  <c r="H1312" i="1"/>
  <c r="G1312" i="1"/>
  <c r="F1312" i="1"/>
  <c r="E1312" i="1"/>
  <c r="D1312" i="1"/>
  <c r="C1312" i="1"/>
  <c r="B1312" i="1"/>
  <c r="A1312" i="1"/>
  <c r="R1311" i="1"/>
  <c r="J1311" i="1"/>
  <c r="I1311" i="1"/>
  <c r="G1311" i="1"/>
  <c r="F1311" i="1"/>
  <c r="E1311" i="1"/>
  <c r="D1311" i="1"/>
  <c r="C1311" i="1"/>
  <c r="B1311" i="1"/>
  <c r="A1311" i="1"/>
  <c r="S1310" i="1"/>
  <c r="O1310" i="1"/>
  <c r="K1310" i="1"/>
  <c r="J1310" i="1"/>
  <c r="I1310" i="1"/>
  <c r="H1310" i="1"/>
  <c r="G1310" i="1"/>
  <c r="F1310" i="1"/>
  <c r="E1310" i="1"/>
  <c r="D1310" i="1"/>
  <c r="C1310" i="1"/>
  <c r="B1310" i="1"/>
  <c r="A1310" i="1"/>
  <c r="R1309" i="1"/>
  <c r="J1309" i="1"/>
  <c r="I1309" i="1"/>
  <c r="G1309" i="1"/>
  <c r="F1309" i="1"/>
  <c r="E1309" i="1"/>
  <c r="D1309" i="1"/>
  <c r="C1309" i="1"/>
  <c r="B1309" i="1"/>
  <c r="A1309" i="1"/>
  <c r="S1308" i="1"/>
  <c r="O1308" i="1"/>
  <c r="K1308" i="1"/>
  <c r="J1308" i="1"/>
  <c r="I1308" i="1"/>
  <c r="H1308" i="1"/>
  <c r="G1308" i="1"/>
  <c r="F1308" i="1"/>
  <c r="E1308" i="1"/>
  <c r="D1308" i="1"/>
  <c r="C1308" i="1"/>
  <c r="B1308" i="1"/>
  <c r="A1308" i="1"/>
  <c r="R1307" i="1"/>
  <c r="J1307" i="1"/>
  <c r="I1307" i="1"/>
  <c r="G1307" i="1"/>
  <c r="F1307" i="1"/>
  <c r="E1307" i="1"/>
  <c r="D1307" i="1"/>
  <c r="C1307" i="1"/>
  <c r="B1307" i="1"/>
  <c r="A1307" i="1"/>
  <c r="S1306" i="1"/>
  <c r="O1306" i="1"/>
  <c r="K1306" i="1"/>
  <c r="J1306" i="1"/>
  <c r="I1306" i="1"/>
  <c r="H1306" i="1"/>
  <c r="G1306" i="1"/>
  <c r="F1306" i="1"/>
  <c r="E1306" i="1"/>
  <c r="D1306" i="1"/>
  <c r="C1306" i="1"/>
  <c r="B1306" i="1"/>
  <c r="A1306" i="1"/>
  <c r="R1305" i="1"/>
  <c r="J1305" i="1"/>
  <c r="I1305" i="1"/>
  <c r="G1305" i="1"/>
  <c r="F1305" i="1"/>
  <c r="E1305" i="1"/>
  <c r="D1305" i="1"/>
  <c r="C1305" i="1"/>
  <c r="B1305" i="1"/>
  <c r="A1305" i="1"/>
  <c r="S1304" i="1"/>
  <c r="O1304" i="1"/>
  <c r="K1304" i="1"/>
  <c r="J1304" i="1"/>
  <c r="I1304" i="1"/>
  <c r="H1304" i="1"/>
  <c r="G1304" i="1"/>
  <c r="F1304" i="1"/>
  <c r="E1304" i="1"/>
  <c r="D1304" i="1"/>
  <c r="C1304" i="1"/>
  <c r="B1304" i="1"/>
  <c r="A1304" i="1"/>
  <c r="R1303" i="1"/>
  <c r="J1303" i="1"/>
  <c r="I1303" i="1"/>
  <c r="G1303" i="1"/>
  <c r="F1303" i="1"/>
  <c r="E1303" i="1"/>
  <c r="D1303" i="1"/>
  <c r="C1303" i="1"/>
  <c r="B1303" i="1"/>
  <c r="A1303" i="1"/>
  <c r="S1302" i="1"/>
  <c r="O1302" i="1"/>
  <c r="K1302" i="1"/>
  <c r="J1302" i="1"/>
  <c r="I1302" i="1"/>
  <c r="H1302" i="1"/>
  <c r="G1302" i="1"/>
  <c r="F1302" i="1"/>
  <c r="E1302" i="1"/>
  <c r="D1302" i="1"/>
  <c r="C1302" i="1"/>
  <c r="B1302" i="1"/>
  <c r="A1302" i="1"/>
  <c r="R1301" i="1"/>
  <c r="J1301" i="1"/>
  <c r="I1301" i="1"/>
  <c r="G1301" i="1"/>
  <c r="F1301" i="1"/>
  <c r="E1301" i="1"/>
  <c r="D1301" i="1"/>
  <c r="C1301" i="1"/>
  <c r="B1301" i="1"/>
  <c r="A1301" i="1"/>
  <c r="R1300" i="1"/>
  <c r="J1300" i="1"/>
  <c r="I1300" i="1"/>
  <c r="G1300" i="1"/>
  <c r="F1300" i="1"/>
  <c r="E1300" i="1"/>
  <c r="D1300" i="1"/>
  <c r="C1300" i="1"/>
  <c r="B1300" i="1"/>
  <c r="A1300" i="1"/>
  <c r="S1299" i="1"/>
  <c r="O1299" i="1"/>
  <c r="K1299" i="1"/>
  <c r="J1299" i="1"/>
  <c r="I1299" i="1"/>
  <c r="H1299" i="1"/>
  <c r="G1299" i="1"/>
  <c r="F1299" i="1"/>
  <c r="E1299" i="1"/>
  <c r="D1299" i="1"/>
  <c r="C1299" i="1"/>
  <c r="B1299" i="1"/>
  <c r="A1299" i="1"/>
  <c r="R1298" i="1"/>
  <c r="J1298" i="1"/>
  <c r="I1298" i="1"/>
  <c r="G1298" i="1"/>
  <c r="F1298" i="1"/>
  <c r="E1298" i="1"/>
  <c r="D1298" i="1"/>
  <c r="C1298" i="1"/>
  <c r="B1298" i="1"/>
  <c r="A1298" i="1"/>
  <c r="S1297" i="1"/>
  <c r="O1297" i="1"/>
  <c r="K1297" i="1"/>
  <c r="J1297" i="1"/>
  <c r="I1297" i="1"/>
  <c r="H1297" i="1"/>
  <c r="G1297" i="1"/>
  <c r="F1297" i="1"/>
  <c r="E1297" i="1"/>
  <c r="D1297" i="1"/>
  <c r="C1297" i="1"/>
  <c r="B1297" i="1"/>
  <c r="A1297" i="1"/>
  <c r="R1296" i="1"/>
  <c r="J1296" i="1"/>
  <c r="I1296" i="1"/>
  <c r="G1296" i="1"/>
  <c r="F1296" i="1"/>
  <c r="E1296" i="1"/>
  <c r="D1296" i="1"/>
  <c r="C1296" i="1"/>
  <c r="B1296" i="1"/>
  <c r="A1296" i="1"/>
  <c r="S1295" i="1"/>
  <c r="O1295" i="1"/>
  <c r="K1295" i="1"/>
  <c r="J1295" i="1"/>
  <c r="I1295" i="1"/>
  <c r="H1295" i="1"/>
  <c r="G1295" i="1"/>
  <c r="F1295" i="1"/>
  <c r="E1295" i="1"/>
  <c r="D1295" i="1"/>
  <c r="C1295" i="1"/>
  <c r="B1295" i="1"/>
  <c r="A1295" i="1"/>
  <c r="R1294" i="1"/>
  <c r="J1294" i="1"/>
  <c r="I1294" i="1"/>
  <c r="G1294" i="1"/>
  <c r="F1294" i="1"/>
  <c r="E1294" i="1"/>
  <c r="D1294" i="1"/>
  <c r="C1294" i="1"/>
  <c r="B1294" i="1"/>
  <c r="A1294" i="1"/>
  <c r="S1293" i="1"/>
  <c r="O1293" i="1"/>
  <c r="K1293" i="1"/>
  <c r="J1293" i="1"/>
  <c r="I1293" i="1"/>
  <c r="H1293" i="1"/>
  <c r="G1293" i="1"/>
  <c r="F1293" i="1"/>
  <c r="E1293" i="1"/>
  <c r="D1293" i="1"/>
  <c r="C1293" i="1"/>
  <c r="B1293" i="1"/>
  <c r="A1293" i="1"/>
  <c r="R1292" i="1"/>
  <c r="J1292" i="1"/>
  <c r="I1292" i="1"/>
  <c r="G1292" i="1"/>
  <c r="F1292" i="1"/>
  <c r="E1292" i="1"/>
  <c r="D1292" i="1"/>
  <c r="C1292" i="1"/>
  <c r="B1292" i="1"/>
  <c r="A1292" i="1"/>
  <c r="R1291" i="1"/>
  <c r="J1291" i="1"/>
  <c r="I1291" i="1"/>
  <c r="G1291" i="1"/>
  <c r="F1291" i="1"/>
  <c r="E1291" i="1"/>
  <c r="D1291" i="1"/>
  <c r="C1291" i="1"/>
  <c r="B1291" i="1"/>
  <c r="A1291" i="1"/>
  <c r="R1290" i="1"/>
  <c r="J1290" i="1"/>
  <c r="I1290" i="1"/>
  <c r="G1290" i="1"/>
  <c r="F1290" i="1"/>
  <c r="E1290" i="1"/>
  <c r="D1290" i="1"/>
  <c r="C1290" i="1"/>
  <c r="B1290" i="1"/>
  <c r="A1290" i="1"/>
  <c r="R1289" i="1"/>
  <c r="J1289" i="1"/>
  <c r="I1289" i="1"/>
  <c r="G1289" i="1"/>
  <c r="F1289" i="1"/>
  <c r="E1289" i="1"/>
  <c r="D1289" i="1"/>
  <c r="C1289" i="1"/>
  <c r="B1289" i="1"/>
  <c r="A1289" i="1"/>
  <c r="R1288" i="1"/>
  <c r="J1288" i="1"/>
  <c r="I1288" i="1"/>
  <c r="G1288" i="1"/>
  <c r="F1288" i="1"/>
  <c r="E1288" i="1"/>
  <c r="D1288" i="1"/>
  <c r="C1288" i="1"/>
  <c r="B1288" i="1"/>
  <c r="A1288" i="1"/>
  <c r="S1287" i="1"/>
  <c r="O1287" i="1"/>
  <c r="K1287" i="1"/>
  <c r="J1287" i="1"/>
  <c r="I1287" i="1"/>
  <c r="H1287" i="1"/>
  <c r="G1287" i="1"/>
  <c r="F1287" i="1"/>
  <c r="E1287" i="1"/>
  <c r="D1287" i="1"/>
  <c r="C1287" i="1"/>
  <c r="B1287" i="1"/>
  <c r="A1287" i="1"/>
  <c r="R1286" i="1"/>
  <c r="J1286" i="1"/>
  <c r="I1286" i="1"/>
  <c r="G1286" i="1"/>
  <c r="F1286" i="1"/>
  <c r="E1286" i="1"/>
  <c r="D1286" i="1"/>
  <c r="C1286" i="1"/>
  <c r="B1286" i="1"/>
  <c r="A1286" i="1"/>
  <c r="S1285" i="1"/>
  <c r="O1285" i="1"/>
  <c r="K1285" i="1"/>
  <c r="J1285" i="1"/>
  <c r="I1285" i="1"/>
  <c r="H1285" i="1"/>
  <c r="G1285" i="1"/>
  <c r="F1285" i="1"/>
  <c r="E1285" i="1"/>
  <c r="D1285" i="1"/>
  <c r="C1285" i="1"/>
  <c r="B1285" i="1"/>
  <c r="A1285" i="1"/>
  <c r="R1284" i="1"/>
  <c r="J1284" i="1"/>
  <c r="I1284" i="1"/>
  <c r="G1284" i="1"/>
  <c r="F1284" i="1"/>
  <c r="E1284" i="1"/>
  <c r="D1284" i="1"/>
  <c r="C1284" i="1"/>
  <c r="B1284" i="1"/>
  <c r="A1284" i="1"/>
  <c r="S1283" i="1"/>
  <c r="O1283" i="1"/>
  <c r="K1283" i="1"/>
  <c r="J1283" i="1"/>
  <c r="I1283" i="1"/>
  <c r="H1283" i="1"/>
  <c r="G1283" i="1"/>
  <c r="F1283" i="1"/>
  <c r="E1283" i="1"/>
  <c r="D1283" i="1"/>
  <c r="C1283" i="1"/>
  <c r="B1283" i="1"/>
  <c r="A1283" i="1"/>
  <c r="R1282" i="1"/>
  <c r="J1282" i="1"/>
  <c r="I1282" i="1"/>
  <c r="G1282" i="1"/>
  <c r="F1282" i="1"/>
  <c r="E1282" i="1"/>
  <c r="D1282" i="1"/>
  <c r="C1282" i="1"/>
  <c r="B1282" i="1"/>
  <c r="A1282" i="1"/>
  <c r="S1281" i="1"/>
  <c r="O1281" i="1"/>
  <c r="K1281" i="1"/>
  <c r="J1281" i="1"/>
  <c r="I1281" i="1"/>
  <c r="H1281" i="1"/>
  <c r="G1281" i="1"/>
  <c r="F1281" i="1"/>
  <c r="E1281" i="1"/>
  <c r="D1281" i="1"/>
  <c r="C1281" i="1"/>
  <c r="B1281" i="1"/>
  <c r="A1281" i="1"/>
  <c r="R1280" i="1"/>
  <c r="J1280" i="1"/>
  <c r="I1280" i="1"/>
  <c r="G1280" i="1"/>
  <c r="F1280" i="1"/>
  <c r="E1280" i="1"/>
  <c r="D1280" i="1"/>
  <c r="C1280" i="1"/>
  <c r="B1280" i="1"/>
  <c r="A1280" i="1"/>
  <c r="S1279" i="1"/>
  <c r="O1279" i="1"/>
  <c r="K1279" i="1"/>
  <c r="J1279" i="1"/>
  <c r="I1279" i="1"/>
  <c r="H1279" i="1"/>
  <c r="G1279" i="1"/>
  <c r="F1279" i="1"/>
  <c r="E1279" i="1"/>
  <c r="D1279" i="1"/>
  <c r="C1279" i="1"/>
  <c r="B1279" i="1"/>
  <c r="A1279" i="1"/>
  <c r="R1278" i="1"/>
  <c r="J1278" i="1"/>
  <c r="I1278" i="1"/>
  <c r="G1278" i="1"/>
  <c r="F1278" i="1"/>
  <c r="E1278" i="1"/>
  <c r="D1278" i="1"/>
  <c r="C1278" i="1"/>
  <c r="B1278" i="1"/>
  <c r="A1278" i="1"/>
  <c r="S1277" i="1"/>
  <c r="O1277" i="1"/>
  <c r="K1277" i="1"/>
  <c r="J1277" i="1"/>
  <c r="I1277" i="1"/>
  <c r="H1277" i="1"/>
  <c r="G1277" i="1"/>
  <c r="F1277" i="1"/>
  <c r="E1277" i="1"/>
  <c r="D1277" i="1"/>
  <c r="C1277" i="1"/>
  <c r="B1277" i="1"/>
  <c r="A1277" i="1"/>
  <c r="R1276" i="1"/>
  <c r="J1276" i="1"/>
  <c r="I1276" i="1"/>
  <c r="G1276" i="1"/>
  <c r="F1276" i="1"/>
  <c r="E1276" i="1"/>
  <c r="D1276" i="1"/>
  <c r="C1276" i="1"/>
  <c r="B1276" i="1"/>
  <c r="A1276" i="1"/>
  <c r="S1275" i="1"/>
  <c r="O1275" i="1"/>
  <c r="K1275" i="1"/>
  <c r="J1275" i="1"/>
  <c r="I1275" i="1"/>
  <c r="H1275" i="1"/>
  <c r="G1275" i="1"/>
  <c r="F1275" i="1"/>
  <c r="E1275" i="1"/>
  <c r="D1275" i="1"/>
  <c r="C1275" i="1"/>
  <c r="B1275" i="1"/>
  <c r="A1275" i="1"/>
  <c r="R1274" i="1"/>
  <c r="J1274" i="1"/>
  <c r="I1274" i="1"/>
  <c r="G1274" i="1"/>
  <c r="F1274" i="1"/>
  <c r="E1274" i="1"/>
  <c r="D1274" i="1"/>
  <c r="C1274" i="1"/>
  <c r="B1274" i="1"/>
  <c r="A1274" i="1"/>
  <c r="S1273" i="1"/>
  <c r="O1273" i="1"/>
  <c r="K1273" i="1"/>
  <c r="J1273" i="1"/>
  <c r="I1273" i="1"/>
  <c r="H1273" i="1"/>
  <c r="G1273" i="1"/>
  <c r="F1273" i="1"/>
  <c r="E1273" i="1"/>
  <c r="D1273" i="1"/>
  <c r="C1273" i="1"/>
  <c r="B1273" i="1"/>
  <c r="A1273" i="1"/>
  <c r="R1272" i="1"/>
  <c r="J1272" i="1"/>
  <c r="I1272" i="1"/>
  <c r="G1272" i="1"/>
  <c r="F1272" i="1"/>
  <c r="E1272" i="1"/>
  <c r="D1272" i="1"/>
  <c r="C1272" i="1"/>
  <c r="B1272" i="1"/>
  <c r="A1272" i="1"/>
  <c r="S1271" i="1"/>
  <c r="O1271" i="1"/>
  <c r="K1271" i="1"/>
  <c r="J1271" i="1"/>
  <c r="I1271" i="1"/>
  <c r="H1271" i="1"/>
  <c r="G1271" i="1"/>
  <c r="F1271" i="1"/>
  <c r="E1271" i="1"/>
  <c r="D1271" i="1"/>
  <c r="C1271" i="1"/>
  <c r="B1271" i="1"/>
  <c r="A1271" i="1"/>
  <c r="R1270" i="1"/>
  <c r="J1270" i="1"/>
  <c r="I1270" i="1"/>
  <c r="G1270" i="1"/>
  <c r="F1270" i="1"/>
  <c r="E1270" i="1"/>
  <c r="D1270" i="1"/>
  <c r="C1270" i="1"/>
  <c r="B1270" i="1"/>
  <c r="A1270" i="1"/>
  <c r="S1269" i="1"/>
  <c r="O1269" i="1"/>
  <c r="K1269" i="1"/>
  <c r="J1269" i="1"/>
  <c r="I1269" i="1"/>
  <c r="H1269" i="1"/>
  <c r="G1269" i="1"/>
  <c r="F1269" i="1"/>
  <c r="E1269" i="1"/>
  <c r="D1269" i="1"/>
  <c r="C1269" i="1"/>
  <c r="B1269" i="1"/>
  <c r="A1269" i="1"/>
  <c r="R1268" i="1"/>
  <c r="J1268" i="1"/>
  <c r="I1268" i="1"/>
  <c r="G1268" i="1"/>
  <c r="F1268" i="1"/>
  <c r="E1268" i="1"/>
  <c r="D1268" i="1"/>
  <c r="C1268" i="1"/>
  <c r="B1268" i="1"/>
  <c r="A1268" i="1"/>
  <c r="R1267" i="1"/>
  <c r="J1267" i="1"/>
  <c r="I1267" i="1"/>
  <c r="G1267" i="1"/>
  <c r="F1267" i="1"/>
  <c r="E1267" i="1"/>
  <c r="D1267" i="1"/>
  <c r="C1267" i="1"/>
  <c r="B1267" i="1"/>
  <c r="A1267" i="1"/>
  <c r="R1266" i="1"/>
  <c r="J1266" i="1"/>
  <c r="I1266" i="1"/>
  <c r="G1266" i="1"/>
  <c r="F1266" i="1"/>
  <c r="E1266" i="1"/>
  <c r="D1266" i="1"/>
  <c r="C1266" i="1"/>
  <c r="B1266" i="1"/>
  <c r="A1266" i="1"/>
  <c r="S1265" i="1"/>
  <c r="O1265" i="1"/>
  <c r="K1265" i="1"/>
  <c r="J1265" i="1"/>
  <c r="I1265" i="1"/>
  <c r="H1265" i="1"/>
  <c r="G1265" i="1"/>
  <c r="F1265" i="1"/>
  <c r="E1265" i="1"/>
  <c r="D1265" i="1"/>
  <c r="C1265" i="1"/>
  <c r="B1265" i="1"/>
  <c r="A1265" i="1"/>
  <c r="R1264" i="1"/>
  <c r="J1264" i="1"/>
  <c r="I1264" i="1"/>
  <c r="G1264" i="1"/>
  <c r="F1264" i="1"/>
  <c r="E1264" i="1"/>
  <c r="D1264" i="1"/>
  <c r="C1264" i="1"/>
  <c r="B1264" i="1"/>
  <c r="A1264" i="1"/>
  <c r="S1263" i="1"/>
  <c r="O1263" i="1"/>
  <c r="K1263" i="1"/>
  <c r="J1263" i="1"/>
  <c r="I1263" i="1"/>
  <c r="H1263" i="1"/>
  <c r="G1263" i="1"/>
  <c r="F1263" i="1"/>
  <c r="E1263" i="1"/>
  <c r="D1263" i="1"/>
  <c r="C1263" i="1"/>
  <c r="B1263" i="1"/>
  <c r="A1263" i="1"/>
  <c r="R1262" i="1"/>
  <c r="J1262" i="1"/>
  <c r="I1262" i="1"/>
  <c r="G1262" i="1"/>
  <c r="F1262" i="1"/>
  <c r="E1262" i="1"/>
  <c r="D1262" i="1"/>
  <c r="C1262" i="1"/>
  <c r="B1262" i="1"/>
  <c r="A1262" i="1"/>
  <c r="S1261" i="1"/>
  <c r="O1261" i="1"/>
  <c r="K1261" i="1"/>
  <c r="J1261" i="1"/>
  <c r="I1261" i="1"/>
  <c r="H1261" i="1"/>
  <c r="G1261" i="1"/>
  <c r="F1261" i="1"/>
  <c r="E1261" i="1"/>
  <c r="D1261" i="1"/>
  <c r="C1261" i="1"/>
  <c r="B1261" i="1"/>
  <c r="A1261" i="1"/>
  <c r="R1260" i="1"/>
  <c r="J1260" i="1"/>
  <c r="I1260" i="1"/>
  <c r="G1260" i="1"/>
  <c r="F1260" i="1"/>
  <c r="E1260" i="1"/>
  <c r="D1260" i="1"/>
  <c r="C1260" i="1"/>
  <c r="B1260" i="1"/>
  <c r="A1260" i="1"/>
  <c r="S1259" i="1"/>
  <c r="O1259" i="1"/>
  <c r="K1259" i="1"/>
  <c r="J1259" i="1"/>
  <c r="I1259" i="1"/>
  <c r="H1259" i="1"/>
  <c r="G1259" i="1"/>
  <c r="F1259" i="1"/>
  <c r="E1259" i="1"/>
  <c r="D1259" i="1"/>
  <c r="C1259" i="1"/>
  <c r="B1259" i="1"/>
  <c r="A1259" i="1"/>
  <c r="R1258" i="1"/>
  <c r="J1258" i="1"/>
  <c r="I1258" i="1"/>
  <c r="G1258" i="1"/>
  <c r="F1258" i="1"/>
  <c r="E1258" i="1"/>
  <c r="D1258" i="1"/>
  <c r="C1258" i="1"/>
  <c r="B1258" i="1"/>
  <c r="A1258" i="1"/>
  <c r="S1257" i="1"/>
  <c r="O1257" i="1"/>
  <c r="K1257" i="1"/>
  <c r="J1257" i="1"/>
  <c r="I1257" i="1"/>
  <c r="H1257" i="1"/>
  <c r="G1257" i="1"/>
  <c r="F1257" i="1"/>
  <c r="E1257" i="1"/>
  <c r="D1257" i="1"/>
  <c r="C1257" i="1"/>
  <c r="B1257" i="1"/>
  <c r="A1257" i="1"/>
  <c r="R1256" i="1"/>
  <c r="J1256" i="1"/>
  <c r="I1256" i="1"/>
  <c r="G1256" i="1"/>
  <c r="F1256" i="1"/>
  <c r="E1256" i="1"/>
  <c r="D1256" i="1"/>
  <c r="C1256" i="1"/>
  <c r="B1256" i="1"/>
  <c r="A1256" i="1"/>
  <c r="S1255" i="1"/>
  <c r="O1255" i="1"/>
  <c r="K1255" i="1"/>
  <c r="J1255" i="1"/>
  <c r="I1255" i="1"/>
  <c r="H1255" i="1"/>
  <c r="G1255" i="1"/>
  <c r="F1255" i="1"/>
  <c r="E1255" i="1"/>
  <c r="D1255" i="1"/>
  <c r="C1255" i="1"/>
  <c r="B1255" i="1"/>
  <c r="A1255" i="1"/>
  <c r="R1254" i="1"/>
  <c r="J1254" i="1"/>
  <c r="I1254" i="1"/>
  <c r="G1254" i="1"/>
  <c r="F1254" i="1"/>
  <c r="E1254" i="1"/>
  <c r="D1254" i="1"/>
  <c r="C1254" i="1"/>
  <c r="B1254" i="1"/>
  <c r="A1254" i="1"/>
  <c r="S1253" i="1"/>
  <c r="O1253" i="1"/>
  <c r="K1253" i="1"/>
  <c r="J1253" i="1"/>
  <c r="I1253" i="1"/>
  <c r="H1253" i="1"/>
  <c r="G1253" i="1"/>
  <c r="F1253" i="1"/>
  <c r="E1253" i="1"/>
  <c r="D1253" i="1"/>
  <c r="C1253" i="1"/>
  <c r="B1253" i="1"/>
  <c r="A1253" i="1"/>
  <c r="R1252" i="1"/>
  <c r="J1252" i="1"/>
  <c r="I1252" i="1"/>
  <c r="G1252" i="1"/>
  <c r="F1252" i="1"/>
  <c r="E1252" i="1"/>
  <c r="D1252" i="1"/>
  <c r="C1252" i="1"/>
  <c r="B1252" i="1"/>
  <c r="A1252" i="1"/>
  <c r="S1251" i="1"/>
  <c r="O1251" i="1"/>
  <c r="K1251" i="1"/>
  <c r="J1251" i="1"/>
  <c r="I1251" i="1"/>
  <c r="H1251" i="1"/>
  <c r="G1251" i="1"/>
  <c r="F1251" i="1"/>
  <c r="E1251" i="1"/>
  <c r="D1251" i="1"/>
  <c r="C1251" i="1"/>
  <c r="B1251" i="1"/>
  <c r="A1251" i="1"/>
  <c r="R1250" i="1"/>
  <c r="J1250" i="1"/>
  <c r="I1250" i="1"/>
  <c r="G1250" i="1"/>
  <c r="F1250" i="1"/>
  <c r="E1250" i="1"/>
  <c r="D1250" i="1"/>
  <c r="C1250" i="1"/>
  <c r="B1250" i="1"/>
  <c r="A1250" i="1"/>
  <c r="S1249" i="1"/>
  <c r="O1249" i="1"/>
  <c r="K1249" i="1"/>
  <c r="J1249" i="1"/>
  <c r="I1249" i="1"/>
  <c r="H1249" i="1"/>
  <c r="G1249" i="1"/>
  <c r="F1249" i="1"/>
  <c r="E1249" i="1"/>
  <c r="D1249" i="1"/>
  <c r="C1249" i="1"/>
  <c r="B1249" i="1"/>
  <c r="A1249" i="1"/>
  <c r="R1248" i="1"/>
  <c r="J1248" i="1"/>
  <c r="I1248" i="1"/>
  <c r="G1248" i="1"/>
  <c r="F1248" i="1"/>
  <c r="E1248" i="1"/>
  <c r="D1248" i="1"/>
  <c r="C1248" i="1"/>
  <c r="B1248" i="1"/>
  <c r="A1248" i="1"/>
  <c r="S1247" i="1"/>
  <c r="O1247" i="1"/>
  <c r="K1247" i="1"/>
  <c r="J1247" i="1"/>
  <c r="I1247" i="1"/>
  <c r="H1247" i="1"/>
  <c r="G1247" i="1"/>
  <c r="F1247" i="1"/>
  <c r="E1247" i="1"/>
  <c r="D1247" i="1"/>
  <c r="C1247" i="1"/>
  <c r="B1247" i="1"/>
  <c r="A1247" i="1"/>
  <c r="R1246" i="1"/>
  <c r="J1246" i="1"/>
  <c r="I1246" i="1"/>
  <c r="G1246" i="1"/>
  <c r="F1246" i="1"/>
  <c r="E1246" i="1"/>
  <c r="D1246" i="1"/>
  <c r="C1246" i="1"/>
  <c r="B1246" i="1"/>
  <c r="A1246" i="1"/>
  <c r="S1245" i="1"/>
  <c r="O1245" i="1"/>
  <c r="K1245" i="1"/>
  <c r="J1245" i="1"/>
  <c r="I1245" i="1"/>
  <c r="H1245" i="1"/>
  <c r="G1245" i="1"/>
  <c r="F1245" i="1"/>
  <c r="E1245" i="1"/>
  <c r="D1245" i="1"/>
  <c r="C1245" i="1"/>
  <c r="B1245" i="1"/>
  <c r="A1245" i="1"/>
  <c r="R1244" i="1"/>
  <c r="J1244" i="1"/>
  <c r="I1244" i="1"/>
  <c r="G1244" i="1"/>
  <c r="F1244" i="1"/>
  <c r="E1244" i="1"/>
  <c r="D1244" i="1"/>
  <c r="C1244" i="1"/>
  <c r="B1244" i="1"/>
  <c r="A1244" i="1"/>
  <c r="S1243" i="1"/>
  <c r="O1243" i="1"/>
  <c r="K1243" i="1"/>
  <c r="J1243" i="1"/>
  <c r="I1243" i="1"/>
  <c r="H1243" i="1"/>
  <c r="G1243" i="1"/>
  <c r="F1243" i="1"/>
  <c r="E1243" i="1"/>
  <c r="D1243" i="1"/>
  <c r="C1243" i="1"/>
  <c r="B1243" i="1"/>
  <c r="A1243" i="1"/>
  <c r="R1242" i="1"/>
  <c r="J1242" i="1"/>
  <c r="I1242" i="1"/>
  <c r="G1242" i="1"/>
  <c r="F1242" i="1"/>
  <c r="E1242" i="1"/>
  <c r="D1242" i="1"/>
  <c r="C1242" i="1"/>
  <c r="B1242" i="1"/>
  <c r="A1242" i="1"/>
  <c r="S1241" i="1"/>
  <c r="O1241" i="1"/>
  <c r="K1241" i="1"/>
  <c r="J1241" i="1"/>
  <c r="I1241" i="1"/>
  <c r="H1241" i="1"/>
  <c r="G1241" i="1"/>
  <c r="F1241" i="1"/>
  <c r="E1241" i="1"/>
  <c r="D1241" i="1"/>
  <c r="C1241" i="1"/>
  <c r="B1241" i="1"/>
  <c r="A1241" i="1"/>
  <c r="R1240" i="1"/>
  <c r="J1240" i="1"/>
  <c r="I1240" i="1"/>
  <c r="G1240" i="1"/>
  <c r="F1240" i="1"/>
  <c r="E1240" i="1"/>
  <c r="D1240" i="1"/>
  <c r="C1240" i="1"/>
  <c r="B1240" i="1"/>
  <c r="A1240" i="1"/>
  <c r="S1239" i="1"/>
  <c r="O1239" i="1"/>
  <c r="K1239" i="1"/>
  <c r="J1239" i="1"/>
  <c r="I1239" i="1"/>
  <c r="H1239" i="1"/>
  <c r="G1239" i="1"/>
  <c r="F1239" i="1"/>
  <c r="E1239" i="1"/>
  <c r="D1239" i="1"/>
  <c r="C1239" i="1"/>
  <c r="B1239" i="1"/>
  <c r="A1239" i="1"/>
  <c r="R1238" i="1"/>
  <c r="J1238" i="1"/>
  <c r="I1238" i="1"/>
  <c r="G1238" i="1"/>
  <c r="F1238" i="1"/>
  <c r="E1238" i="1"/>
  <c r="D1238" i="1"/>
  <c r="C1238" i="1"/>
  <c r="B1238" i="1"/>
  <c r="A1238" i="1"/>
  <c r="S1237" i="1"/>
  <c r="O1237" i="1"/>
  <c r="K1237" i="1"/>
  <c r="J1237" i="1"/>
  <c r="I1237" i="1"/>
  <c r="H1237" i="1"/>
  <c r="G1237" i="1"/>
  <c r="F1237" i="1"/>
  <c r="E1237" i="1"/>
  <c r="D1237" i="1"/>
  <c r="C1237" i="1"/>
  <c r="B1237" i="1"/>
  <c r="A1237" i="1"/>
  <c r="R1236" i="1"/>
  <c r="J1236" i="1"/>
  <c r="I1236" i="1"/>
  <c r="G1236" i="1"/>
  <c r="F1236" i="1"/>
  <c r="E1236" i="1"/>
  <c r="D1236" i="1"/>
  <c r="C1236" i="1"/>
  <c r="B1236" i="1"/>
  <c r="A1236" i="1"/>
  <c r="S1235" i="1"/>
  <c r="O1235" i="1"/>
  <c r="K1235" i="1"/>
  <c r="J1235" i="1"/>
  <c r="I1235" i="1"/>
  <c r="H1235" i="1"/>
  <c r="G1235" i="1"/>
  <c r="F1235" i="1"/>
  <c r="E1235" i="1"/>
  <c r="D1235" i="1"/>
  <c r="C1235" i="1"/>
  <c r="B1235" i="1"/>
  <c r="A1235" i="1"/>
  <c r="R1234" i="1"/>
  <c r="J1234" i="1"/>
  <c r="I1234" i="1"/>
  <c r="G1234" i="1"/>
  <c r="F1234" i="1"/>
  <c r="E1234" i="1"/>
  <c r="D1234" i="1"/>
  <c r="C1234" i="1"/>
  <c r="B1234" i="1"/>
  <c r="A1234" i="1"/>
  <c r="S1233" i="1"/>
  <c r="O1233" i="1"/>
  <c r="K1233" i="1"/>
  <c r="J1233" i="1"/>
  <c r="I1233" i="1"/>
  <c r="H1233" i="1"/>
  <c r="G1233" i="1"/>
  <c r="F1233" i="1"/>
  <c r="E1233" i="1"/>
  <c r="D1233" i="1"/>
  <c r="C1233" i="1"/>
  <c r="B1233" i="1"/>
  <c r="A1233" i="1"/>
  <c r="R1232" i="1"/>
  <c r="J1232" i="1"/>
  <c r="I1232" i="1"/>
  <c r="G1232" i="1"/>
  <c r="F1232" i="1"/>
  <c r="E1232" i="1"/>
  <c r="D1232" i="1"/>
  <c r="C1232" i="1"/>
  <c r="B1232" i="1"/>
  <c r="A1232" i="1"/>
  <c r="S1231" i="1"/>
  <c r="O1231" i="1"/>
  <c r="K1231" i="1"/>
  <c r="J1231" i="1"/>
  <c r="I1231" i="1"/>
  <c r="H1231" i="1"/>
  <c r="G1231" i="1"/>
  <c r="F1231" i="1"/>
  <c r="E1231" i="1"/>
  <c r="D1231" i="1"/>
  <c r="C1231" i="1"/>
  <c r="B1231" i="1"/>
  <c r="A1231" i="1"/>
  <c r="R1230" i="1"/>
  <c r="J1230" i="1"/>
  <c r="I1230" i="1"/>
  <c r="G1230" i="1"/>
  <c r="F1230" i="1"/>
  <c r="E1230" i="1"/>
  <c r="D1230" i="1"/>
  <c r="C1230" i="1"/>
  <c r="B1230" i="1"/>
  <c r="A1230" i="1"/>
  <c r="S1229" i="1"/>
  <c r="O1229" i="1"/>
  <c r="K1229" i="1"/>
  <c r="J1229" i="1"/>
  <c r="I1229" i="1"/>
  <c r="H1229" i="1"/>
  <c r="G1229" i="1"/>
  <c r="F1229" i="1"/>
  <c r="E1229" i="1"/>
  <c r="D1229" i="1"/>
  <c r="C1229" i="1"/>
  <c r="B1229" i="1"/>
  <c r="A1229" i="1"/>
  <c r="R1228" i="1"/>
  <c r="J1228" i="1"/>
  <c r="I1228" i="1"/>
  <c r="G1228" i="1"/>
  <c r="F1228" i="1"/>
  <c r="E1228" i="1"/>
  <c r="D1228" i="1"/>
  <c r="C1228" i="1"/>
  <c r="B1228" i="1"/>
  <c r="A1228" i="1"/>
  <c r="S1227" i="1"/>
  <c r="O1227" i="1"/>
  <c r="K1227" i="1"/>
  <c r="J1227" i="1"/>
  <c r="I1227" i="1"/>
  <c r="H1227" i="1"/>
  <c r="G1227" i="1"/>
  <c r="F1227" i="1"/>
  <c r="E1227" i="1"/>
  <c r="D1227" i="1"/>
  <c r="C1227" i="1"/>
  <c r="B1227" i="1"/>
  <c r="A1227" i="1"/>
  <c r="R1226" i="1"/>
  <c r="J1226" i="1"/>
  <c r="I1226" i="1"/>
  <c r="G1226" i="1"/>
  <c r="F1226" i="1"/>
  <c r="E1226" i="1"/>
  <c r="D1226" i="1"/>
  <c r="C1226" i="1"/>
  <c r="B1226" i="1"/>
  <c r="A1226" i="1"/>
  <c r="S1225" i="1"/>
  <c r="O1225" i="1"/>
  <c r="K1225" i="1"/>
  <c r="J1225" i="1"/>
  <c r="I1225" i="1"/>
  <c r="H1225" i="1"/>
  <c r="G1225" i="1"/>
  <c r="F1225" i="1"/>
  <c r="E1225" i="1"/>
  <c r="D1225" i="1"/>
  <c r="C1225" i="1"/>
  <c r="B1225" i="1"/>
  <c r="A1225" i="1"/>
  <c r="R1224" i="1"/>
  <c r="J1224" i="1"/>
  <c r="I1224" i="1"/>
  <c r="G1224" i="1"/>
  <c r="F1224" i="1"/>
  <c r="E1224" i="1"/>
  <c r="D1224" i="1"/>
  <c r="C1224" i="1"/>
  <c r="B1224" i="1"/>
  <c r="A1224" i="1"/>
  <c r="S1223" i="1"/>
  <c r="O1223" i="1"/>
  <c r="K1223" i="1"/>
  <c r="J1223" i="1"/>
  <c r="I1223" i="1"/>
  <c r="H1223" i="1"/>
  <c r="G1223" i="1"/>
  <c r="F1223" i="1"/>
  <c r="E1223" i="1"/>
  <c r="D1223" i="1"/>
  <c r="C1223" i="1"/>
  <c r="B1223" i="1"/>
  <c r="A1223" i="1"/>
  <c r="R1222" i="1"/>
  <c r="J1222" i="1"/>
  <c r="I1222" i="1"/>
  <c r="G1222" i="1"/>
  <c r="F1222" i="1"/>
  <c r="E1222" i="1"/>
  <c r="D1222" i="1"/>
  <c r="C1222" i="1"/>
  <c r="B1222" i="1"/>
  <c r="A1222" i="1"/>
  <c r="S1221" i="1"/>
  <c r="O1221" i="1"/>
  <c r="K1221" i="1"/>
  <c r="J1221" i="1"/>
  <c r="I1221" i="1"/>
  <c r="H1221" i="1"/>
  <c r="G1221" i="1"/>
  <c r="F1221" i="1"/>
  <c r="E1221" i="1"/>
  <c r="D1221" i="1"/>
  <c r="C1221" i="1"/>
  <c r="B1221" i="1"/>
  <c r="A1221" i="1"/>
  <c r="R1220" i="1"/>
  <c r="J1220" i="1"/>
  <c r="I1220" i="1"/>
  <c r="G1220" i="1"/>
  <c r="F1220" i="1"/>
  <c r="E1220" i="1"/>
  <c r="D1220" i="1"/>
  <c r="C1220" i="1"/>
  <c r="B1220" i="1"/>
  <c r="A1220" i="1"/>
  <c r="S1219" i="1"/>
  <c r="O1219" i="1"/>
  <c r="K1219" i="1"/>
  <c r="J1219" i="1"/>
  <c r="I1219" i="1"/>
  <c r="H1219" i="1"/>
  <c r="G1219" i="1"/>
  <c r="F1219" i="1"/>
  <c r="E1219" i="1"/>
  <c r="D1219" i="1"/>
  <c r="C1219" i="1"/>
  <c r="B1219" i="1"/>
  <c r="A1219" i="1"/>
  <c r="R1218" i="1"/>
  <c r="J1218" i="1"/>
  <c r="I1218" i="1"/>
  <c r="G1218" i="1"/>
  <c r="F1218" i="1"/>
  <c r="E1218" i="1"/>
  <c r="D1218" i="1"/>
  <c r="C1218" i="1"/>
  <c r="B1218" i="1"/>
  <c r="A1218" i="1"/>
  <c r="S1217" i="1"/>
  <c r="O1217" i="1"/>
  <c r="K1217" i="1"/>
  <c r="J1217" i="1"/>
  <c r="I1217" i="1"/>
  <c r="H1217" i="1"/>
  <c r="G1217" i="1"/>
  <c r="F1217" i="1"/>
  <c r="E1217" i="1"/>
  <c r="D1217" i="1"/>
  <c r="C1217" i="1"/>
  <c r="B1217" i="1"/>
  <c r="A1217" i="1"/>
  <c r="R1216" i="1"/>
  <c r="J1216" i="1"/>
  <c r="I1216" i="1"/>
  <c r="G1216" i="1"/>
  <c r="F1216" i="1"/>
  <c r="E1216" i="1"/>
  <c r="D1216" i="1"/>
  <c r="C1216" i="1"/>
  <c r="B1216" i="1"/>
  <c r="A1216" i="1"/>
  <c r="S1215" i="1"/>
  <c r="O1215" i="1"/>
  <c r="K1215" i="1"/>
  <c r="J1215" i="1"/>
  <c r="I1215" i="1"/>
  <c r="H1215" i="1"/>
  <c r="G1215" i="1"/>
  <c r="F1215" i="1"/>
  <c r="E1215" i="1"/>
  <c r="D1215" i="1"/>
  <c r="C1215" i="1"/>
  <c r="B1215" i="1"/>
  <c r="A1215" i="1"/>
  <c r="R1214" i="1"/>
  <c r="J1214" i="1"/>
  <c r="I1214" i="1"/>
  <c r="G1214" i="1"/>
  <c r="F1214" i="1"/>
  <c r="E1214" i="1"/>
  <c r="D1214" i="1"/>
  <c r="C1214" i="1"/>
  <c r="B1214" i="1"/>
  <c r="A1214" i="1"/>
  <c r="S1213" i="1"/>
  <c r="O1213" i="1"/>
  <c r="K1213" i="1"/>
  <c r="J1213" i="1"/>
  <c r="I1213" i="1"/>
  <c r="H1213" i="1"/>
  <c r="G1213" i="1"/>
  <c r="F1213" i="1"/>
  <c r="E1213" i="1"/>
  <c r="D1213" i="1"/>
  <c r="C1213" i="1"/>
  <c r="B1213" i="1"/>
  <c r="A1213" i="1"/>
  <c r="R1212" i="1"/>
  <c r="J1212" i="1"/>
  <c r="I1212" i="1"/>
  <c r="G1212" i="1"/>
  <c r="F1212" i="1"/>
  <c r="E1212" i="1"/>
  <c r="D1212" i="1"/>
  <c r="C1212" i="1"/>
  <c r="B1212" i="1"/>
  <c r="A1212" i="1"/>
  <c r="S1211" i="1"/>
  <c r="O1211" i="1"/>
  <c r="K1211" i="1"/>
  <c r="J1211" i="1"/>
  <c r="I1211" i="1"/>
  <c r="H1211" i="1"/>
  <c r="G1211" i="1"/>
  <c r="F1211" i="1"/>
  <c r="E1211" i="1"/>
  <c r="D1211" i="1"/>
  <c r="C1211" i="1"/>
  <c r="B1211" i="1"/>
  <c r="A1211" i="1"/>
  <c r="R1210" i="1"/>
  <c r="J1210" i="1"/>
  <c r="I1210" i="1"/>
  <c r="G1210" i="1"/>
  <c r="F1210" i="1"/>
  <c r="E1210" i="1"/>
  <c r="D1210" i="1"/>
  <c r="C1210" i="1"/>
  <c r="B1210" i="1"/>
  <c r="A1210" i="1"/>
  <c r="S1209" i="1"/>
  <c r="O1209" i="1"/>
  <c r="K1209" i="1"/>
  <c r="J1209" i="1"/>
  <c r="I1209" i="1"/>
  <c r="H1209" i="1"/>
  <c r="G1209" i="1"/>
  <c r="F1209" i="1"/>
  <c r="E1209" i="1"/>
  <c r="D1209" i="1"/>
  <c r="C1209" i="1"/>
  <c r="B1209" i="1"/>
  <c r="A1209" i="1"/>
  <c r="R1208" i="1"/>
  <c r="J1208" i="1"/>
  <c r="I1208" i="1"/>
  <c r="G1208" i="1"/>
  <c r="F1208" i="1"/>
  <c r="E1208" i="1"/>
  <c r="D1208" i="1"/>
  <c r="C1208" i="1"/>
  <c r="B1208" i="1"/>
  <c r="A1208" i="1"/>
  <c r="S1207" i="1"/>
  <c r="O1207" i="1"/>
  <c r="K1207" i="1"/>
  <c r="J1207" i="1"/>
  <c r="I1207" i="1"/>
  <c r="H1207" i="1"/>
  <c r="G1207" i="1"/>
  <c r="F1207" i="1"/>
  <c r="E1207" i="1"/>
  <c r="D1207" i="1"/>
  <c r="C1207" i="1"/>
  <c r="B1207" i="1"/>
  <c r="A1207" i="1"/>
  <c r="R1206" i="1"/>
  <c r="J1206" i="1"/>
  <c r="I1206" i="1"/>
  <c r="G1206" i="1"/>
  <c r="F1206" i="1"/>
  <c r="E1206" i="1"/>
  <c r="D1206" i="1"/>
  <c r="C1206" i="1"/>
  <c r="B1206" i="1"/>
  <c r="A1206" i="1"/>
  <c r="S1205" i="1"/>
  <c r="O1205" i="1"/>
  <c r="K1205" i="1"/>
  <c r="J1205" i="1"/>
  <c r="I1205" i="1"/>
  <c r="H1205" i="1"/>
  <c r="G1205" i="1"/>
  <c r="F1205" i="1"/>
  <c r="E1205" i="1"/>
  <c r="D1205" i="1"/>
  <c r="C1205" i="1"/>
  <c r="B1205" i="1"/>
  <c r="A1205" i="1"/>
  <c r="R1204" i="1"/>
  <c r="J1204" i="1"/>
  <c r="I1204" i="1"/>
  <c r="G1204" i="1"/>
  <c r="F1204" i="1"/>
  <c r="E1204" i="1"/>
  <c r="D1204" i="1"/>
  <c r="C1204" i="1"/>
  <c r="B1204" i="1"/>
  <c r="A1204" i="1"/>
  <c r="S1203" i="1"/>
  <c r="O1203" i="1"/>
  <c r="K1203" i="1"/>
  <c r="J1203" i="1"/>
  <c r="I1203" i="1"/>
  <c r="H1203" i="1"/>
  <c r="G1203" i="1"/>
  <c r="F1203" i="1"/>
  <c r="E1203" i="1"/>
  <c r="D1203" i="1"/>
  <c r="C1203" i="1"/>
  <c r="B1203" i="1"/>
  <c r="A1203" i="1"/>
  <c r="R1202" i="1"/>
  <c r="J1202" i="1"/>
  <c r="I1202" i="1"/>
  <c r="G1202" i="1"/>
  <c r="F1202" i="1"/>
  <c r="E1202" i="1"/>
  <c r="D1202" i="1"/>
  <c r="C1202" i="1"/>
  <c r="B1202" i="1"/>
  <c r="A1202" i="1"/>
  <c r="S1201" i="1"/>
  <c r="O1201" i="1"/>
  <c r="K1201" i="1"/>
  <c r="J1201" i="1"/>
  <c r="I1201" i="1"/>
  <c r="H1201" i="1"/>
  <c r="G1201" i="1"/>
  <c r="F1201" i="1"/>
  <c r="E1201" i="1"/>
  <c r="D1201" i="1"/>
  <c r="C1201" i="1"/>
  <c r="B1201" i="1"/>
  <c r="A1201" i="1"/>
  <c r="R1200" i="1"/>
  <c r="J1200" i="1"/>
  <c r="I1200" i="1"/>
  <c r="G1200" i="1"/>
  <c r="F1200" i="1"/>
  <c r="E1200" i="1"/>
  <c r="D1200" i="1"/>
  <c r="C1200" i="1"/>
  <c r="B1200" i="1"/>
  <c r="A1200" i="1"/>
  <c r="S1199" i="1"/>
  <c r="O1199" i="1"/>
  <c r="K1199" i="1"/>
  <c r="J1199" i="1"/>
  <c r="I1199" i="1"/>
  <c r="H1199" i="1"/>
  <c r="G1199" i="1"/>
  <c r="F1199" i="1"/>
  <c r="E1199" i="1"/>
  <c r="D1199" i="1"/>
  <c r="C1199" i="1"/>
  <c r="B1199" i="1"/>
  <c r="A1199" i="1"/>
  <c r="R1198" i="1"/>
  <c r="J1198" i="1"/>
  <c r="I1198" i="1"/>
  <c r="G1198" i="1"/>
  <c r="F1198" i="1"/>
  <c r="E1198" i="1"/>
  <c r="D1198" i="1"/>
  <c r="C1198" i="1"/>
  <c r="B1198" i="1"/>
  <c r="A1198" i="1"/>
  <c r="S1197" i="1"/>
  <c r="O1197" i="1"/>
  <c r="K1197" i="1"/>
  <c r="J1197" i="1"/>
  <c r="I1197" i="1"/>
  <c r="H1197" i="1"/>
  <c r="G1197" i="1"/>
  <c r="F1197" i="1"/>
  <c r="E1197" i="1"/>
  <c r="D1197" i="1"/>
  <c r="C1197" i="1"/>
  <c r="B1197" i="1"/>
  <c r="A1197" i="1"/>
  <c r="R1196" i="1"/>
  <c r="J1196" i="1"/>
  <c r="I1196" i="1"/>
  <c r="G1196" i="1"/>
  <c r="F1196" i="1"/>
  <c r="E1196" i="1"/>
  <c r="D1196" i="1"/>
  <c r="C1196" i="1"/>
  <c r="B1196" i="1"/>
  <c r="A1196" i="1"/>
  <c r="S1195" i="1"/>
  <c r="O1195" i="1"/>
  <c r="K1195" i="1"/>
  <c r="J1195" i="1"/>
  <c r="I1195" i="1"/>
  <c r="H1195" i="1"/>
  <c r="G1195" i="1"/>
  <c r="F1195" i="1"/>
  <c r="E1195" i="1"/>
  <c r="D1195" i="1"/>
  <c r="C1195" i="1"/>
  <c r="B1195" i="1"/>
  <c r="A1195" i="1"/>
  <c r="R1194" i="1"/>
  <c r="J1194" i="1"/>
  <c r="I1194" i="1"/>
  <c r="G1194" i="1"/>
  <c r="F1194" i="1"/>
  <c r="E1194" i="1"/>
  <c r="D1194" i="1"/>
  <c r="C1194" i="1"/>
  <c r="B1194" i="1"/>
  <c r="A1194" i="1"/>
  <c r="S1193" i="1"/>
  <c r="O1193" i="1"/>
  <c r="K1193" i="1"/>
  <c r="J1193" i="1"/>
  <c r="I1193" i="1"/>
  <c r="H1193" i="1"/>
  <c r="G1193" i="1"/>
  <c r="F1193" i="1"/>
  <c r="E1193" i="1"/>
  <c r="D1193" i="1"/>
  <c r="C1193" i="1"/>
  <c r="B1193" i="1"/>
  <c r="A1193" i="1"/>
  <c r="R1192" i="1"/>
  <c r="J1192" i="1"/>
  <c r="I1192" i="1"/>
  <c r="G1192" i="1"/>
  <c r="F1192" i="1"/>
  <c r="E1192" i="1"/>
  <c r="D1192" i="1"/>
  <c r="C1192" i="1"/>
  <c r="B1192" i="1"/>
  <c r="A1192" i="1"/>
  <c r="S1191" i="1"/>
  <c r="O1191" i="1"/>
  <c r="K1191" i="1"/>
  <c r="J1191" i="1"/>
  <c r="I1191" i="1"/>
  <c r="H1191" i="1"/>
  <c r="G1191" i="1"/>
  <c r="F1191" i="1"/>
  <c r="E1191" i="1"/>
  <c r="D1191" i="1"/>
  <c r="C1191" i="1"/>
  <c r="B1191" i="1"/>
  <c r="A1191" i="1"/>
  <c r="R1190" i="1"/>
  <c r="J1190" i="1"/>
  <c r="I1190" i="1"/>
  <c r="G1190" i="1"/>
  <c r="F1190" i="1"/>
  <c r="E1190" i="1"/>
  <c r="D1190" i="1"/>
  <c r="C1190" i="1"/>
  <c r="B1190" i="1"/>
  <c r="A1190" i="1"/>
  <c r="S1189" i="1"/>
  <c r="O1189" i="1"/>
  <c r="K1189" i="1"/>
  <c r="J1189" i="1"/>
  <c r="I1189" i="1"/>
  <c r="H1189" i="1"/>
  <c r="G1189" i="1"/>
  <c r="F1189" i="1"/>
  <c r="E1189" i="1"/>
  <c r="D1189" i="1"/>
  <c r="C1189" i="1"/>
  <c r="B1189" i="1"/>
  <c r="A1189" i="1"/>
  <c r="R1188" i="1"/>
  <c r="J1188" i="1"/>
  <c r="I1188" i="1"/>
  <c r="G1188" i="1"/>
  <c r="F1188" i="1"/>
  <c r="E1188" i="1"/>
  <c r="D1188" i="1"/>
  <c r="C1188" i="1"/>
  <c r="B1188" i="1"/>
  <c r="A1188" i="1"/>
  <c r="S1187" i="1"/>
  <c r="O1187" i="1"/>
  <c r="K1187" i="1"/>
  <c r="J1187" i="1"/>
  <c r="I1187" i="1"/>
  <c r="H1187" i="1"/>
  <c r="G1187" i="1"/>
  <c r="F1187" i="1"/>
  <c r="E1187" i="1"/>
  <c r="D1187" i="1"/>
  <c r="C1187" i="1"/>
  <c r="B1187" i="1"/>
  <c r="A1187" i="1"/>
  <c r="R1186" i="1"/>
  <c r="J1186" i="1"/>
  <c r="I1186" i="1"/>
  <c r="G1186" i="1"/>
  <c r="F1186" i="1"/>
  <c r="E1186" i="1"/>
  <c r="D1186" i="1"/>
  <c r="C1186" i="1"/>
  <c r="B1186" i="1"/>
  <c r="A1186" i="1"/>
  <c r="S1185" i="1"/>
  <c r="O1185" i="1"/>
  <c r="K1185" i="1"/>
  <c r="J1185" i="1"/>
  <c r="I1185" i="1"/>
  <c r="H1185" i="1"/>
  <c r="G1185" i="1"/>
  <c r="F1185" i="1"/>
  <c r="E1185" i="1"/>
  <c r="D1185" i="1"/>
  <c r="C1185" i="1"/>
  <c r="B1185" i="1"/>
  <c r="A1185" i="1"/>
  <c r="R1184" i="1"/>
  <c r="J1184" i="1"/>
  <c r="I1184" i="1"/>
  <c r="G1184" i="1"/>
  <c r="F1184" i="1"/>
  <c r="E1184" i="1"/>
  <c r="D1184" i="1"/>
  <c r="C1184" i="1"/>
  <c r="B1184" i="1"/>
  <c r="A1184" i="1"/>
  <c r="S1183" i="1"/>
  <c r="O1183" i="1"/>
  <c r="K1183" i="1"/>
  <c r="J1183" i="1"/>
  <c r="I1183" i="1"/>
  <c r="H1183" i="1"/>
  <c r="G1183" i="1"/>
  <c r="F1183" i="1"/>
  <c r="E1183" i="1"/>
  <c r="D1183" i="1"/>
  <c r="C1183" i="1"/>
  <c r="B1183" i="1"/>
  <c r="A1183" i="1"/>
  <c r="R1182" i="1"/>
  <c r="J1182" i="1"/>
  <c r="I1182" i="1"/>
  <c r="G1182" i="1"/>
  <c r="F1182" i="1"/>
  <c r="E1182" i="1"/>
  <c r="D1182" i="1"/>
  <c r="C1182" i="1"/>
  <c r="B1182" i="1"/>
  <c r="A1182" i="1"/>
  <c r="S1181" i="1"/>
  <c r="O1181" i="1"/>
  <c r="K1181" i="1"/>
  <c r="J1181" i="1"/>
  <c r="I1181" i="1"/>
  <c r="H1181" i="1"/>
  <c r="G1181" i="1"/>
  <c r="F1181" i="1"/>
  <c r="E1181" i="1"/>
  <c r="D1181" i="1"/>
  <c r="C1181" i="1"/>
  <c r="B1181" i="1"/>
  <c r="A1181" i="1"/>
  <c r="R1180" i="1"/>
  <c r="J1180" i="1"/>
  <c r="I1180" i="1"/>
  <c r="G1180" i="1"/>
  <c r="F1180" i="1"/>
  <c r="E1180" i="1"/>
  <c r="D1180" i="1"/>
  <c r="C1180" i="1"/>
  <c r="B1180" i="1"/>
  <c r="A1180" i="1"/>
  <c r="S1179" i="1"/>
  <c r="O1179" i="1"/>
  <c r="K1179" i="1"/>
  <c r="J1179" i="1"/>
  <c r="I1179" i="1"/>
  <c r="H1179" i="1"/>
  <c r="G1179" i="1"/>
  <c r="F1179" i="1"/>
  <c r="E1179" i="1"/>
  <c r="D1179" i="1"/>
  <c r="C1179" i="1"/>
  <c r="B1179" i="1"/>
  <c r="A1179" i="1"/>
  <c r="R1178" i="1"/>
  <c r="J1178" i="1"/>
  <c r="I1178" i="1"/>
  <c r="G1178" i="1"/>
  <c r="F1178" i="1"/>
  <c r="E1178" i="1"/>
  <c r="D1178" i="1"/>
  <c r="C1178" i="1"/>
  <c r="B1178" i="1"/>
  <c r="A1178" i="1"/>
  <c r="S1177" i="1"/>
  <c r="O1177" i="1"/>
  <c r="K1177" i="1"/>
  <c r="J1177" i="1"/>
  <c r="I1177" i="1"/>
  <c r="H1177" i="1"/>
  <c r="G1177" i="1"/>
  <c r="F1177" i="1"/>
  <c r="E1177" i="1"/>
  <c r="D1177" i="1"/>
  <c r="C1177" i="1"/>
  <c r="B1177" i="1"/>
  <c r="A1177" i="1"/>
  <c r="R1176" i="1"/>
  <c r="J1176" i="1"/>
  <c r="I1176" i="1"/>
  <c r="G1176" i="1"/>
  <c r="F1176" i="1"/>
  <c r="E1176" i="1"/>
  <c r="D1176" i="1"/>
  <c r="C1176" i="1"/>
  <c r="B1176" i="1"/>
  <c r="A1176" i="1"/>
  <c r="S1175" i="1"/>
  <c r="O1175" i="1"/>
  <c r="K1175" i="1"/>
  <c r="J1175" i="1"/>
  <c r="I1175" i="1"/>
  <c r="H1175" i="1"/>
  <c r="G1175" i="1"/>
  <c r="F1175" i="1"/>
  <c r="E1175" i="1"/>
  <c r="D1175" i="1"/>
  <c r="C1175" i="1"/>
  <c r="B1175" i="1"/>
  <c r="A1175" i="1"/>
  <c r="R1174" i="1"/>
  <c r="J1174" i="1"/>
  <c r="I1174" i="1"/>
  <c r="G1174" i="1"/>
  <c r="F1174" i="1"/>
  <c r="E1174" i="1"/>
  <c r="D1174" i="1"/>
  <c r="C1174" i="1"/>
  <c r="B1174" i="1"/>
  <c r="A1174" i="1"/>
  <c r="S1173" i="1"/>
  <c r="O1173" i="1"/>
  <c r="K1173" i="1"/>
  <c r="J1173" i="1"/>
  <c r="I1173" i="1"/>
  <c r="H1173" i="1"/>
  <c r="G1173" i="1"/>
  <c r="F1173" i="1"/>
  <c r="E1173" i="1"/>
  <c r="D1173" i="1"/>
  <c r="C1173" i="1"/>
  <c r="B1173" i="1"/>
  <c r="A1173" i="1"/>
  <c r="R1172" i="1"/>
  <c r="J1172" i="1"/>
  <c r="I1172" i="1"/>
  <c r="G1172" i="1"/>
  <c r="F1172" i="1"/>
  <c r="E1172" i="1"/>
  <c r="D1172" i="1"/>
  <c r="C1172" i="1"/>
  <c r="B1172" i="1"/>
  <c r="A1172" i="1"/>
  <c r="R1171" i="1"/>
  <c r="J1171" i="1"/>
  <c r="I1171" i="1"/>
  <c r="G1171" i="1"/>
  <c r="F1171" i="1"/>
  <c r="E1171" i="1"/>
  <c r="D1171" i="1"/>
  <c r="C1171" i="1"/>
  <c r="B1171" i="1"/>
  <c r="A1171" i="1"/>
  <c r="S1170" i="1"/>
  <c r="O1170" i="1"/>
  <c r="K1170" i="1"/>
  <c r="J1170" i="1"/>
  <c r="I1170" i="1"/>
  <c r="H1170" i="1"/>
  <c r="G1170" i="1"/>
  <c r="F1170" i="1"/>
  <c r="E1170" i="1"/>
  <c r="D1170" i="1"/>
  <c r="C1170" i="1"/>
  <c r="B1170" i="1"/>
  <c r="A1170" i="1"/>
  <c r="R1169" i="1"/>
  <c r="J1169" i="1"/>
  <c r="I1169" i="1"/>
  <c r="G1169" i="1"/>
  <c r="F1169" i="1"/>
  <c r="E1169" i="1"/>
  <c r="D1169" i="1"/>
  <c r="C1169" i="1"/>
  <c r="B1169" i="1"/>
  <c r="A1169" i="1"/>
  <c r="S1168" i="1"/>
  <c r="O1168" i="1"/>
  <c r="K1168" i="1"/>
  <c r="J1168" i="1"/>
  <c r="I1168" i="1"/>
  <c r="H1168" i="1"/>
  <c r="G1168" i="1"/>
  <c r="F1168" i="1"/>
  <c r="E1168" i="1"/>
  <c r="D1168" i="1"/>
  <c r="C1168" i="1"/>
  <c r="B1168" i="1"/>
  <c r="A1168" i="1"/>
  <c r="R1167" i="1"/>
  <c r="J1167" i="1"/>
  <c r="I1167" i="1"/>
  <c r="G1167" i="1"/>
  <c r="F1167" i="1"/>
  <c r="E1167" i="1"/>
  <c r="D1167" i="1"/>
  <c r="C1167" i="1"/>
  <c r="B1167" i="1"/>
  <c r="A1167" i="1"/>
  <c r="S1166" i="1"/>
  <c r="O1166" i="1"/>
  <c r="K1166" i="1"/>
  <c r="J1166" i="1"/>
  <c r="I1166" i="1"/>
  <c r="H1166" i="1"/>
  <c r="G1166" i="1"/>
  <c r="F1166" i="1"/>
  <c r="E1166" i="1"/>
  <c r="D1166" i="1"/>
  <c r="C1166" i="1"/>
  <c r="B1166" i="1"/>
  <c r="A1166" i="1"/>
  <c r="R1165" i="1"/>
  <c r="J1165" i="1"/>
  <c r="I1165" i="1"/>
  <c r="G1165" i="1"/>
  <c r="F1165" i="1"/>
  <c r="E1165" i="1"/>
  <c r="D1165" i="1"/>
  <c r="C1165" i="1"/>
  <c r="B1165" i="1"/>
  <c r="A1165" i="1"/>
  <c r="S1164" i="1"/>
  <c r="O1164" i="1"/>
  <c r="K1164" i="1"/>
  <c r="J1164" i="1"/>
  <c r="I1164" i="1"/>
  <c r="H1164" i="1"/>
  <c r="G1164" i="1"/>
  <c r="F1164" i="1"/>
  <c r="E1164" i="1"/>
  <c r="D1164" i="1"/>
  <c r="C1164" i="1"/>
  <c r="B1164" i="1"/>
  <c r="A1164" i="1"/>
  <c r="R1163" i="1"/>
  <c r="J1163" i="1"/>
  <c r="I1163" i="1"/>
  <c r="G1163" i="1"/>
  <c r="F1163" i="1"/>
  <c r="E1163" i="1"/>
  <c r="D1163" i="1"/>
  <c r="C1163" i="1"/>
  <c r="B1163" i="1"/>
  <c r="A1163" i="1"/>
  <c r="S1162" i="1"/>
  <c r="O1162" i="1"/>
  <c r="K1162" i="1"/>
  <c r="J1162" i="1"/>
  <c r="I1162" i="1"/>
  <c r="H1162" i="1"/>
  <c r="G1162" i="1"/>
  <c r="F1162" i="1"/>
  <c r="E1162" i="1"/>
  <c r="D1162" i="1"/>
  <c r="C1162" i="1"/>
  <c r="B1162" i="1"/>
  <c r="A1162" i="1"/>
  <c r="R1161" i="1"/>
  <c r="J1161" i="1"/>
  <c r="I1161" i="1"/>
  <c r="G1161" i="1"/>
  <c r="F1161" i="1"/>
  <c r="E1161" i="1"/>
  <c r="D1161" i="1"/>
  <c r="C1161" i="1"/>
  <c r="B1161" i="1"/>
  <c r="A1161" i="1"/>
  <c r="S1160" i="1"/>
  <c r="O1160" i="1"/>
  <c r="K1160" i="1"/>
  <c r="J1160" i="1"/>
  <c r="I1160" i="1"/>
  <c r="H1160" i="1"/>
  <c r="G1160" i="1"/>
  <c r="F1160" i="1"/>
  <c r="E1160" i="1"/>
  <c r="D1160" i="1"/>
  <c r="C1160" i="1"/>
  <c r="B1160" i="1"/>
  <c r="A1160" i="1"/>
  <c r="R1159" i="1"/>
  <c r="J1159" i="1"/>
  <c r="I1159" i="1"/>
  <c r="G1159" i="1"/>
  <c r="F1159" i="1"/>
  <c r="E1159" i="1"/>
  <c r="D1159" i="1"/>
  <c r="C1159" i="1"/>
  <c r="B1159" i="1"/>
  <c r="A1159" i="1"/>
  <c r="S1158" i="1"/>
  <c r="O1158" i="1"/>
  <c r="K1158" i="1"/>
  <c r="J1158" i="1"/>
  <c r="I1158" i="1"/>
  <c r="H1158" i="1"/>
  <c r="G1158" i="1"/>
  <c r="F1158" i="1"/>
  <c r="E1158" i="1"/>
  <c r="D1158" i="1"/>
  <c r="C1158" i="1"/>
  <c r="B1158" i="1"/>
  <c r="A1158" i="1"/>
  <c r="R1157" i="1"/>
  <c r="J1157" i="1"/>
  <c r="I1157" i="1"/>
  <c r="G1157" i="1"/>
  <c r="F1157" i="1"/>
  <c r="E1157" i="1"/>
  <c r="D1157" i="1"/>
  <c r="C1157" i="1"/>
  <c r="B1157" i="1"/>
  <c r="A1157" i="1"/>
  <c r="S1156" i="1"/>
  <c r="O1156" i="1"/>
  <c r="K1156" i="1"/>
  <c r="J1156" i="1"/>
  <c r="I1156" i="1"/>
  <c r="H1156" i="1"/>
  <c r="G1156" i="1"/>
  <c r="F1156" i="1"/>
  <c r="E1156" i="1"/>
  <c r="D1156" i="1"/>
  <c r="C1156" i="1"/>
  <c r="B1156" i="1"/>
  <c r="A1156" i="1"/>
  <c r="R1155" i="1"/>
  <c r="J1155" i="1"/>
  <c r="I1155" i="1"/>
  <c r="G1155" i="1"/>
  <c r="F1155" i="1"/>
  <c r="E1155" i="1"/>
  <c r="D1155" i="1"/>
  <c r="C1155" i="1"/>
  <c r="B1155" i="1"/>
  <c r="A1155" i="1"/>
  <c r="S1154" i="1"/>
  <c r="O1154" i="1"/>
  <c r="K1154" i="1"/>
  <c r="J1154" i="1"/>
  <c r="I1154" i="1"/>
  <c r="H1154" i="1"/>
  <c r="G1154" i="1"/>
  <c r="F1154" i="1"/>
  <c r="E1154" i="1"/>
  <c r="D1154" i="1"/>
  <c r="C1154" i="1"/>
  <c r="B1154" i="1"/>
  <c r="A1154" i="1"/>
  <c r="R1153" i="1"/>
  <c r="J1153" i="1"/>
  <c r="I1153" i="1"/>
  <c r="G1153" i="1"/>
  <c r="F1153" i="1"/>
  <c r="E1153" i="1"/>
  <c r="D1153" i="1"/>
  <c r="C1153" i="1"/>
  <c r="B1153" i="1"/>
  <c r="A1153" i="1"/>
  <c r="S1152" i="1"/>
  <c r="O1152" i="1"/>
  <c r="K1152" i="1"/>
  <c r="J1152" i="1"/>
  <c r="I1152" i="1"/>
  <c r="H1152" i="1"/>
  <c r="G1152" i="1"/>
  <c r="F1152" i="1"/>
  <c r="E1152" i="1"/>
  <c r="D1152" i="1"/>
  <c r="C1152" i="1"/>
  <c r="B1152" i="1"/>
  <c r="A1152" i="1"/>
  <c r="R1151" i="1"/>
  <c r="J1151" i="1"/>
  <c r="I1151" i="1"/>
  <c r="G1151" i="1"/>
  <c r="F1151" i="1"/>
  <c r="E1151" i="1"/>
  <c r="D1151" i="1"/>
  <c r="C1151" i="1"/>
  <c r="B1151" i="1"/>
  <c r="A1151" i="1"/>
  <c r="S1150" i="1"/>
  <c r="O1150" i="1"/>
  <c r="K1150" i="1"/>
  <c r="J1150" i="1"/>
  <c r="I1150" i="1"/>
  <c r="H1150" i="1"/>
  <c r="G1150" i="1"/>
  <c r="F1150" i="1"/>
  <c r="E1150" i="1"/>
  <c r="D1150" i="1"/>
  <c r="C1150" i="1"/>
  <c r="B1150" i="1"/>
  <c r="A1150" i="1"/>
  <c r="R1149" i="1"/>
  <c r="J1149" i="1"/>
  <c r="I1149" i="1"/>
  <c r="G1149" i="1"/>
  <c r="F1149" i="1"/>
  <c r="E1149" i="1"/>
  <c r="D1149" i="1"/>
  <c r="C1149" i="1"/>
  <c r="B1149" i="1"/>
  <c r="A1149" i="1"/>
  <c r="S1148" i="1"/>
  <c r="O1148" i="1"/>
  <c r="K1148" i="1"/>
  <c r="J1148" i="1"/>
  <c r="I1148" i="1"/>
  <c r="H1148" i="1"/>
  <c r="G1148" i="1"/>
  <c r="F1148" i="1"/>
  <c r="E1148" i="1"/>
  <c r="D1148" i="1"/>
  <c r="C1148" i="1"/>
  <c r="B1148" i="1"/>
  <c r="A1148" i="1"/>
  <c r="R1147" i="1"/>
  <c r="J1147" i="1"/>
  <c r="I1147" i="1"/>
  <c r="G1147" i="1"/>
  <c r="F1147" i="1"/>
  <c r="E1147" i="1"/>
  <c r="D1147" i="1"/>
  <c r="C1147" i="1"/>
  <c r="B1147" i="1"/>
  <c r="A1147" i="1"/>
  <c r="S1146" i="1"/>
  <c r="O1146" i="1"/>
  <c r="K1146" i="1"/>
  <c r="J1146" i="1"/>
  <c r="I1146" i="1"/>
  <c r="H1146" i="1"/>
  <c r="G1146" i="1"/>
  <c r="F1146" i="1"/>
  <c r="E1146" i="1"/>
  <c r="D1146" i="1"/>
  <c r="C1146" i="1"/>
  <c r="B1146" i="1"/>
  <c r="A1146" i="1"/>
  <c r="R1145" i="1"/>
  <c r="J1145" i="1"/>
  <c r="I1145" i="1"/>
  <c r="G1145" i="1"/>
  <c r="F1145" i="1"/>
  <c r="E1145" i="1"/>
  <c r="D1145" i="1"/>
  <c r="C1145" i="1"/>
  <c r="B1145" i="1"/>
  <c r="A1145" i="1"/>
  <c r="S1144" i="1"/>
  <c r="O1144" i="1"/>
  <c r="K1144" i="1"/>
  <c r="J1144" i="1"/>
  <c r="I1144" i="1"/>
  <c r="H1144" i="1"/>
  <c r="G1144" i="1"/>
  <c r="F1144" i="1"/>
  <c r="E1144" i="1"/>
  <c r="D1144" i="1"/>
  <c r="C1144" i="1"/>
  <c r="B1144" i="1"/>
  <c r="A1144" i="1"/>
  <c r="R1143" i="1"/>
  <c r="J1143" i="1"/>
  <c r="I1143" i="1"/>
  <c r="G1143" i="1"/>
  <c r="F1143" i="1"/>
  <c r="E1143" i="1"/>
  <c r="D1143" i="1"/>
  <c r="C1143" i="1"/>
  <c r="B1143" i="1"/>
  <c r="A1143" i="1"/>
  <c r="S1142" i="1"/>
  <c r="O1142" i="1"/>
  <c r="K1142" i="1"/>
  <c r="J1142" i="1"/>
  <c r="I1142" i="1"/>
  <c r="H1142" i="1"/>
  <c r="G1142" i="1"/>
  <c r="F1142" i="1"/>
  <c r="E1142" i="1"/>
  <c r="D1142" i="1"/>
  <c r="C1142" i="1"/>
  <c r="B1142" i="1"/>
  <c r="A1142" i="1"/>
  <c r="R1141" i="1"/>
  <c r="J1141" i="1"/>
  <c r="I1141" i="1"/>
  <c r="G1141" i="1"/>
  <c r="F1141" i="1"/>
  <c r="E1141" i="1"/>
  <c r="D1141" i="1"/>
  <c r="C1141" i="1"/>
  <c r="B1141" i="1"/>
  <c r="A1141" i="1"/>
  <c r="S1140" i="1"/>
  <c r="O1140" i="1"/>
  <c r="K1140" i="1"/>
  <c r="J1140" i="1"/>
  <c r="I1140" i="1"/>
  <c r="H1140" i="1"/>
  <c r="G1140" i="1"/>
  <c r="F1140" i="1"/>
  <c r="E1140" i="1"/>
  <c r="D1140" i="1"/>
  <c r="C1140" i="1"/>
  <c r="B1140" i="1"/>
  <c r="A1140" i="1"/>
  <c r="R1139" i="1"/>
  <c r="J1139" i="1"/>
  <c r="I1139" i="1"/>
  <c r="G1139" i="1"/>
  <c r="F1139" i="1"/>
  <c r="E1139" i="1"/>
  <c r="D1139" i="1"/>
  <c r="C1139" i="1"/>
  <c r="B1139" i="1"/>
  <c r="A1139" i="1"/>
  <c r="S1138" i="1"/>
  <c r="O1138" i="1"/>
  <c r="K1138" i="1"/>
  <c r="J1138" i="1"/>
  <c r="I1138" i="1"/>
  <c r="H1138" i="1"/>
  <c r="G1138" i="1"/>
  <c r="F1138" i="1"/>
  <c r="E1138" i="1"/>
  <c r="D1138" i="1"/>
  <c r="C1138" i="1"/>
  <c r="B1138" i="1"/>
  <c r="A1138" i="1"/>
  <c r="R1137" i="1"/>
  <c r="J1137" i="1"/>
  <c r="I1137" i="1"/>
  <c r="G1137" i="1"/>
  <c r="F1137" i="1"/>
  <c r="E1137" i="1"/>
  <c r="D1137" i="1"/>
  <c r="C1137" i="1"/>
  <c r="B1137" i="1"/>
  <c r="A1137" i="1"/>
  <c r="S1136" i="1"/>
  <c r="O1136" i="1"/>
  <c r="K1136" i="1"/>
  <c r="J1136" i="1"/>
  <c r="I1136" i="1"/>
  <c r="H1136" i="1"/>
  <c r="G1136" i="1"/>
  <c r="F1136" i="1"/>
  <c r="E1136" i="1"/>
  <c r="D1136" i="1"/>
  <c r="C1136" i="1"/>
  <c r="B1136" i="1"/>
  <c r="A1136" i="1"/>
  <c r="R1135" i="1"/>
  <c r="J1135" i="1"/>
  <c r="I1135" i="1"/>
  <c r="G1135" i="1"/>
  <c r="F1135" i="1"/>
  <c r="E1135" i="1"/>
  <c r="D1135" i="1"/>
  <c r="C1135" i="1"/>
  <c r="B1135" i="1"/>
  <c r="A1135" i="1"/>
  <c r="S1134" i="1"/>
  <c r="O1134" i="1"/>
  <c r="K1134" i="1"/>
  <c r="J1134" i="1"/>
  <c r="I1134" i="1"/>
  <c r="H1134" i="1"/>
  <c r="G1134" i="1"/>
  <c r="F1134" i="1"/>
  <c r="E1134" i="1"/>
  <c r="D1134" i="1"/>
  <c r="C1134" i="1"/>
  <c r="B1134" i="1"/>
  <c r="A1134" i="1"/>
  <c r="R1133" i="1"/>
  <c r="J1133" i="1"/>
  <c r="I1133" i="1"/>
  <c r="G1133" i="1"/>
  <c r="F1133" i="1"/>
  <c r="E1133" i="1"/>
  <c r="D1133" i="1"/>
  <c r="C1133" i="1"/>
  <c r="B1133" i="1"/>
  <c r="A1133" i="1"/>
  <c r="S1132" i="1"/>
  <c r="O1132" i="1"/>
  <c r="K1132" i="1"/>
  <c r="J1132" i="1"/>
  <c r="I1132" i="1"/>
  <c r="H1132" i="1"/>
  <c r="G1132" i="1"/>
  <c r="F1132" i="1"/>
  <c r="E1132" i="1"/>
  <c r="D1132" i="1"/>
  <c r="C1132" i="1"/>
  <c r="B1132" i="1"/>
  <c r="A1132" i="1"/>
  <c r="R1131" i="1"/>
  <c r="J1131" i="1"/>
  <c r="I1131" i="1"/>
  <c r="G1131" i="1"/>
  <c r="F1131" i="1"/>
  <c r="E1131" i="1"/>
  <c r="D1131" i="1"/>
  <c r="C1131" i="1"/>
  <c r="B1131" i="1"/>
  <c r="A1131" i="1"/>
  <c r="S1130" i="1"/>
  <c r="O1130" i="1"/>
  <c r="K1130" i="1"/>
  <c r="J1130" i="1"/>
  <c r="I1130" i="1"/>
  <c r="H1130" i="1"/>
  <c r="G1130" i="1"/>
  <c r="F1130" i="1"/>
  <c r="E1130" i="1"/>
  <c r="D1130" i="1"/>
  <c r="C1130" i="1"/>
  <c r="B1130" i="1"/>
  <c r="A1130" i="1"/>
  <c r="R1129" i="1"/>
  <c r="J1129" i="1"/>
  <c r="I1129" i="1"/>
  <c r="G1129" i="1"/>
  <c r="F1129" i="1"/>
  <c r="E1129" i="1"/>
  <c r="D1129" i="1"/>
  <c r="C1129" i="1"/>
  <c r="B1129" i="1"/>
  <c r="A1129" i="1"/>
  <c r="S1128" i="1"/>
  <c r="O1128" i="1"/>
  <c r="K1128" i="1"/>
  <c r="J1128" i="1"/>
  <c r="I1128" i="1"/>
  <c r="H1128" i="1"/>
  <c r="G1128" i="1"/>
  <c r="F1128" i="1"/>
  <c r="E1128" i="1"/>
  <c r="D1128" i="1"/>
  <c r="C1128" i="1"/>
  <c r="B1128" i="1"/>
  <c r="A1128" i="1"/>
  <c r="R1127" i="1"/>
  <c r="J1127" i="1"/>
  <c r="I1127" i="1"/>
  <c r="G1127" i="1"/>
  <c r="F1127" i="1"/>
  <c r="E1127" i="1"/>
  <c r="D1127" i="1"/>
  <c r="C1127" i="1"/>
  <c r="B1127" i="1"/>
  <c r="A1127" i="1"/>
  <c r="R1126" i="1"/>
  <c r="J1126" i="1"/>
  <c r="I1126" i="1"/>
  <c r="G1126" i="1"/>
  <c r="F1126" i="1"/>
  <c r="E1126" i="1"/>
  <c r="D1126" i="1"/>
  <c r="C1126" i="1"/>
  <c r="B1126" i="1"/>
  <c r="A1126" i="1"/>
  <c r="S1125" i="1"/>
  <c r="O1125" i="1"/>
  <c r="K1125" i="1"/>
  <c r="J1125" i="1"/>
  <c r="I1125" i="1"/>
  <c r="H1125" i="1"/>
  <c r="G1125" i="1"/>
  <c r="F1125" i="1"/>
  <c r="E1125" i="1"/>
  <c r="D1125" i="1"/>
  <c r="C1125" i="1"/>
  <c r="B1125" i="1"/>
  <c r="A1125" i="1"/>
  <c r="R1124" i="1"/>
  <c r="J1124" i="1"/>
  <c r="I1124" i="1"/>
  <c r="G1124" i="1"/>
  <c r="F1124" i="1"/>
  <c r="E1124" i="1"/>
  <c r="D1124" i="1"/>
  <c r="C1124" i="1"/>
  <c r="B1124" i="1"/>
  <c r="A1124" i="1"/>
  <c r="S1123" i="1"/>
  <c r="O1123" i="1"/>
  <c r="K1123" i="1"/>
  <c r="J1123" i="1"/>
  <c r="I1123" i="1"/>
  <c r="H1123" i="1"/>
  <c r="G1123" i="1"/>
  <c r="F1123" i="1"/>
  <c r="E1123" i="1"/>
  <c r="D1123" i="1"/>
  <c r="C1123" i="1"/>
  <c r="B1123" i="1"/>
  <c r="A1123" i="1"/>
  <c r="R1122" i="1"/>
  <c r="J1122" i="1"/>
  <c r="I1122" i="1"/>
  <c r="G1122" i="1"/>
  <c r="F1122" i="1"/>
  <c r="E1122" i="1"/>
  <c r="D1122" i="1"/>
  <c r="C1122" i="1"/>
  <c r="B1122" i="1"/>
  <c r="A1122" i="1"/>
  <c r="S1121" i="1"/>
  <c r="O1121" i="1"/>
  <c r="K1121" i="1"/>
  <c r="J1121" i="1"/>
  <c r="I1121" i="1"/>
  <c r="H1121" i="1"/>
  <c r="G1121" i="1"/>
  <c r="F1121" i="1"/>
  <c r="E1121" i="1"/>
  <c r="D1121" i="1"/>
  <c r="C1121" i="1"/>
  <c r="B1121" i="1"/>
  <c r="A1121" i="1"/>
  <c r="R1120" i="1"/>
  <c r="J1120" i="1"/>
  <c r="I1120" i="1"/>
  <c r="G1120" i="1"/>
  <c r="F1120" i="1"/>
  <c r="E1120" i="1"/>
  <c r="D1120" i="1"/>
  <c r="C1120" i="1"/>
  <c r="B1120" i="1"/>
  <c r="A1120" i="1"/>
  <c r="S1119" i="1"/>
  <c r="O1119" i="1"/>
  <c r="K1119" i="1"/>
  <c r="J1119" i="1"/>
  <c r="I1119" i="1"/>
  <c r="H1119" i="1"/>
  <c r="G1119" i="1"/>
  <c r="F1119" i="1"/>
  <c r="E1119" i="1"/>
  <c r="D1119" i="1"/>
  <c r="C1119" i="1"/>
  <c r="B1119" i="1"/>
  <c r="A1119" i="1"/>
  <c r="R1118" i="1"/>
  <c r="J1118" i="1"/>
  <c r="I1118" i="1"/>
  <c r="G1118" i="1"/>
  <c r="F1118" i="1"/>
  <c r="E1118" i="1"/>
  <c r="D1118" i="1"/>
  <c r="C1118" i="1"/>
  <c r="B1118" i="1"/>
  <c r="A1118" i="1"/>
  <c r="S1117" i="1"/>
  <c r="O1117" i="1"/>
  <c r="K1117" i="1"/>
  <c r="J1117" i="1"/>
  <c r="I1117" i="1"/>
  <c r="H1117" i="1"/>
  <c r="G1117" i="1"/>
  <c r="F1117" i="1"/>
  <c r="E1117" i="1"/>
  <c r="D1117" i="1"/>
  <c r="C1117" i="1"/>
  <c r="B1117" i="1"/>
  <c r="A1117" i="1"/>
  <c r="R1116" i="1"/>
  <c r="J1116" i="1"/>
  <c r="I1116" i="1"/>
  <c r="G1116" i="1"/>
  <c r="F1116" i="1"/>
  <c r="E1116" i="1"/>
  <c r="D1116" i="1"/>
  <c r="C1116" i="1"/>
  <c r="B1116" i="1"/>
  <c r="A1116" i="1"/>
  <c r="S1115" i="1"/>
  <c r="O1115" i="1"/>
  <c r="K1115" i="1"/>
  <c r="J1115" i="1"/>
  <c r="I1115" i="1"/>
  <c r="H1115" i="1"/>
  <c r="G1115" i="1"/>
  <c r="F1115" i="1"/>
  <c r="E1115" i="1"/>
  <c r="D1115" i="1"/>
  <c r="C1115" i="1"/>
  <c r="B1115" i="1"/>
  <c r="A1115" i="1"/>
  <c r="R1114" i="1"/>
  <c r="J1114" i="1"/>
  <c r="I1114" i="1"/>
  <c r="G1114" i="1"/>
  <c r="F1114" i="1"/>
  <c r="E1114" i="1"/>
  <c r="D1114" i="1"/>
  <c r="C1114" i="1"/>
  <c r="B1114" i="1"/>
  <c r="A1114" i="1"/>
  <c r="S1113" i="1"/>
  <c r="O1113" i="1"/>
  <c r="K1113" i="1"/>
  <c r="J1113" i="1"/>
  <c r="I1113" i="1"/>
  <c r="H1113" i="1"/>
  <c r="G1113" i="1"/>
  <c r="F1113" i="1"/>
  <c r="E1113" i="1"/>
  <c r="D1113" i="1"/>
  <c r="C1113" i="1"/>
  <c r="B1113" i="1"/>
  <c r="A1113" i="1"/>
  <c r="R1112" i="1"/>
  <c r="J1112" i="1"/>
  <c r="I1112" i="1"/>
  <c r="G1112" i="1"/>
  <c r="F1112" i="1"/>
  <c r="E1112" i="1"/>
  <c r="D1112" i="1"/>
  <c r="C1112" i="1"/>
  <c r="B1112" i="1"/>
  <c r="A1112" i="1"/>
  <c r="S1111" i="1"/>
  <c r="O1111" i="1"/>
  <c r="K1111" i="1"/>
  <c r="J1111" i="1"/>
  <c r="I1111" i="1"/>
  <c r="H1111" i="1"/>
  <c r="G1111" i="1"/>
  <c r="F1111" i="1"/>
  <c r="E1111" i="1"/>
  <c r="D1111" i="1"/>
  <c r="C1111" i="1"/>
  <c r="B1111" i="1"/>
  <c r="A1111" i="1"/>
  <c r="R1110" i="1"/>
  <c r="J1110" i="1"/>
  <c r="I1110" i="1"/>
  <c r="G1110" i="1"/>
  <c r="F1110" i="1"/>
  <c r="E1110" i="1"/>
  <c r="D1110" i="1"/>
  <c r="C1110" i="1"/>
  <c r="B1110" i="1"/>
  <c r="A1110" i="1"/>
  <c r="S1109" i="1"/>
  <c r="O1109" i="1"/>
  <c r="K1109" i="1"/>
  <c r="J1109" i="1"/>
  <c r="I1109" i="1"/>
  <c r="H1109" i="1"/>
  <c r="G1109" i="1"/>
  <c r="F1109" i="1"/>
  <c r="E1109" i="1"/>
  <c r="D1109" i="1"/>
  <c r="C1109" i="1"/>
  <c r="B1109" i="1"/>
  <c r="A1109" i="1"/>
  <c r="R1108" i="1"/>
  <c r="J1108" i="1"/>
  <c r="I1108" i="1"/>
  <c r="G1108" i="1"/>
  <c r="F1108" i="1"/>
  <c r="E1108" i="1"/>
  <c r="D1108" i="1"/>
  <c r="C1108" i="1"/>
  <c r="B1108" i="1"/>
  <c r="A1108" i="1"/>
  <c r="S1107" i="1"/>
  <c r="O1107" i="1"/>
  <c r="K1107" i="1"/>
  <c r="J1107" i="1"/>
  <c r="I1107" i="1"/>
  <c r="H1107" i="1"/>
  <c r="G1107" i="1"/>
  <c r="F1107" i="1"/>
  <c r="E1107" i="1"/>
  <c r="D1107" i="1"/>
  <c r="C1107" i="1"/>
  <c r="B1107" i="1"/>
  <c r="A1107" i="1"/>
  <c r="R1106" i="1"/>
  <c r="J1106" i="1"/>
  <c r="I1106" i="1"/>
  <c r="G1106" i="1"/>
  <c r="F1106" i="1"/>
  <c r="E1106" i="1"/>
  <c r="D1106" i="1"/>
  <c r="C1106" i="1"/>
  <c r="B1106" i="1"/>
  <c r="A1106" i="1"/>
  <c r="S1105" i="1"/>
  <c r="O1105" i="1"/>
  <c r="K1105" i="1"/>
  <c r="J1105" i="1"/>
  <c r="I1105" i="1"/>
  <c r="H1105" i="1"/>
  <c r="G1105" i="1"/>
  <c r="F1105" i="1"/>
  <c r="E1105" i="1"/>
  <c r="D1105" i="1"/>
  <c r="C1105" i="1"/>
  <c r="B1105" i="1"/>
  <c r="A1105" i="1"/>
  <c r="R1104" i="1"/>
  <c r="J1104" i="1"/>
  <c r="I1104" i="1"/>
  <c r="G1104" i="1"/>
  <c r="F1104" i="1"/>
  <c r="E1104" i="1"/>
  <c r="D1104" i="1"/>
  <c r="C1104" i="1"/>
  <c r="B1104" i="1"/>
  <c r="A1104" i="1"/>
  <c r="S1103" i="1"/>
  <c r="O1103" i="1"/>
  <c r="K1103" i="1"/>
  <c r="J1103" i="1"/>
  <c r="I1103" i="1"/>
  <c r="H1103" i="1"/>
  <c r="G1103" i="1"/>
  <c r="F1103" i="1"/>
  <c r="E1103" i="1"/>
  <c r="D1103" i="1"/>
  <c r="C1103" i="1"/>
  <c r="B1103" i="1"/>
  <c r="A1103" i="1"/>
  <c r="R1102" i="1"/>
  <c r="J1102" i="1"/>
  <c r="I1102" i="1"/>
  <c r="G1102" i="1"/>
  <c r="F1102" i="1"/>
  <c r="E1102" i="1"/>
  <c r="D1102" i="1"/>
  <c r="C1102" i="1"/>
  <c r="B1102" i="1"/>
  <c r="A1102" i="1"/>
  <c r="S1101" i="1"/>
  <c r="O1101" i="1"/>
  <c r="K1101" i="1"/>
  <c r="J1101" i="1"/>
  <c r="I1101" i="1"/>
  <c r="H1101" i="1"/>
  <c r="G1101" i="1"/>
  <c r="F1101" i="1"/>
  <c r="E1101" i="1"/>
  <c r="D1101" i="1"/>
  <c r="C1101" i="1"/>
  <c r="B1101" i="1"/>
  <c r="A1101" i="1"/>
  <c r="R1100" i="1"/>
  <c r="J1100" i="1"/>
  <c r="I1100" i="1"/>
  <c r="G1100" i="1"/>
  <c r="F1100" i="1"/>
  <c r="E1100" i="1"/>
  <c r="D1100" i="1"/>
  <c r="C1100" i="1"/>
  <c r="B1100" i="1"/>
  <c r="A1100" i="1"/>
  <c r="S1099" i="1"/>
  <c r="O1099" i="1"/>
  <c r="K1099" i="1"/>
  <c r="J1099" i="1"/>
  <c r="I1099" i="1"/>
  <c r="H1099" i="1"/>
  <c r="G1099" i="1"/>
  <c r="F1099" i="1"/>
  <c r="E1099" i="1"/>
  <c r="D1099" i="1"/>
  <c r="C1099" i="1"/>
  <c r="B1099" i="1"/>
  <c r="A1099" i="1"/>
  <c r="R1098" i="1"/>
  <c r="J1098" i="1"/>
  <c r="I1098" i="1"/>
  <c r="G1098" i="1"/>
  <c r="F1098" i="1"/>
  <c r="E1098" i="1"/>
  <c r="D1098" i="1"/>
  <c r="C1098" i="1"/>
  <c r="B1098" i="1"/>
  <c r="A1098" i="1"/>
  <c r="S1097" i="1"/>
  <c r="O1097" i="1"/>
  <c r="K1097" i="1"/>
  <c r="J1097" i="1"/>
  <c r="I1097" i="1"/>
  <c r="H1097" i="1"/>
  <c r="G1097" i="1"/>
  <c r="F1097" i="1"/>
  <c r="E1097" i="1"/>
  <c r="D1097" i="1"/>
  <c r="C1097" i="1"/>
  <c r="B1097" i="1"/>
  <c r="A1097" i="1"/>
  <c r="R1096" i="1"/>
  <c r="J1096" i="1"/>
  <c r="I1096" i="1"/>
  <c r="G1096" i="1"/>
  <c r="F1096" i="1"/>
  <c r="E1096" i="1"/>
  <c r="D1096" i="1"/>
  <c r="C1096" i="1"/>
  <c r="B1096" i="1"/>
  <c r="A1096" i="1"/>
  <c r="R1095" i="1"/>
  <c r="J1095" i="1"/>
  <c r="I1095" i="1"/>
  <c r="G1095" i="1"/>
  <c r="F1095" i="1"/>
  <c r="E1095" i="1"/>
  <c r="D1095" i="1"/>
  <c r="C1095" i="1"/>
  <c r="B1095" i="1"/>
  <c r="A1095" i="1"/>
  <c r="S1094" i="1"/>
  <c r="O1094" i="1"/>
  <c r="K1094" i="1"/>
  <c r="J1094" i="1"/>
  <c r="I1094" i="1"/>
  <c r="H1094" i="1"/>
  <c r="G1094" i="1"/>
  <c r="F1094" i="1"/>
  <c r="E1094" i="1"/>
  <c r="D1094" i="1"/>
  <c r="C1094" i="1"/>
  <c r="B1094" i="1"/>
  <c r="A1094" i="1"/>
  <c r="R1093" i="1"/>
  <c r="J1093" i="1"/>
  <c r="I1093" i="1"/>
  <c r="G1093" i="1"/>
  <c r="F1093" i="1"/>
  <c r="E1093" i="1"/>
  <c r="D1093" i="1"/>
  <c r="C1093" i="1"/>
  <c r="B1093" i="1"/>
  <c r="A1093" i="1"/>
  <c r="S1092" i="1"/>
  <c r="O1092" i="1"/>
  <c r="K1092" i="1"/>
  <c r="J1092" i="1"/>
  <c r="I1092" i="1"/>
  <c r="H1092" i="1"/>
  <c r="G1092" i="1"/>
  <c r="F1092" i="1"/>
  <c r="E1092" i="1"/>
  <c r="D1092" i="1"/>
  <c r="C1092" i="1"/>
  <c r="B1092" i="1"/>
  <c r="A1092" i="1"/>
  <c r="R1091" i="1"/>
  <c r="J1091" i="1"/>
  <c r="I1091" i="1"/>
  <c r="G1091" i="1"/>
  <c r="F1091" i="1"/>
  <c r="E1091" i="1"/>
  <c r="D1091" i="1"/>
  <c r="C1091" i="1"/>
  <c r="B1091" i="1"/>
  <c r="A1091" i="1"/>
  <c r="S1090" i="1"/>
  <c r="O1090" i="1"/>
  <c r="K1090" i="1"/>
  <c r="J1090" i="1"/>
  <c r="I1090" i="1"/>
  <c r="H1090" i="1"/>
  <c r="G1090" i="1"/>
  <c r="F1090" i="1"/>
  <c r="E1090" i="1"/>
  <c r="D1090" i="1"/>
  <c r="C1090" i="1"/>
  <c r="B1090" i="1"/>
  <c r="A1090" i="1"/>
  <c r="R1089" i="1"/>
  <c r="J1089" i="1"/>
  <c r="I1089" i="1"/>
  <c r="G1089" i="1"/>
  <c r="F1089" i="1"/>
  <c r="E1089" i="1"/>
  <c r="D1089" i="1"/>
  <c r="C1089" i="1"/>
  <c r="B1089" i="1"/>
  <c r="A1089" i="1"/>
  <c r="S1088" i="1"/>
  <c r="O1088" i="1"/>
  <c r="K1088" i="1"/>
  <c r="J1088" i="1"/>
  <c r="I1088" i="1"/>
  <c r="H1088" i="1"/>
  <c r="G1088" i="1"/>
  <c r="F1088" i="1"/>
  <c r="E1088" i="1"/>
  <c r="D1088" i="1"/>
  <c r="C1088" i="1"/>
  <c r="B1088" i="1"/>
  <c r="A1088" i="1"/>
  <c r="R1087" i="1"/>
  <c r="J1087" i="1"/>
  <c r="I1087" i="1"/>
  <c r="G1087" i="1"/>
  <c r="F1087" i="1"/>
  <c r="E1087" i="1"/>
  <c r="D1087" i="1"/>
  <c r="C1087" i="1"/>
  <c r="B1087" i="1"/>
  <c r="A1087" i="1"/>
  <c r="S1086" i="1"/>
  <c r="O1086" i="1"/>
  <c r="K1086" i="1"/>
  <c r="J1086" i="1"/>
  <c r="I1086" i="1"/>
  <c r="H1086" i="1"/>
  <c r="G1086" i="1"/>
  <c r="F1086" i="1"/>
  <c r="E1086" i="1"/>
  <c r="D1086" i="1"/>
  <c r="C1086" i="1"/>
  <c r="B1086" i="1"/>
  <c r="A1086" i="1"/>
  <c r="R1085" i="1"/>
  <c r="J1085" i="1"/>
  <c r="I1085" i="1"/>
  <c r="G1085" i="1"/>
  <c r="F1085" i="1"/>
  <c r="E1085" i="1"/>
  <c r="D1085" i="1"/>
  <c r="C1085" i="1"/>
  <c r="B1085" i="1"/>
  <c r="A1085" i="1"/>
  <c r="S1084" i="1"/>
  <c r="O1084" i="1"/>
  <c r="K1084" i="1"/>
  <c r="J1084" i="1"/>
  <c r="I1084" i="1"/>
  <c r="H1084" i="1"/>
  <c r="G1084" i="1"/>
  <c r="F1084" i="1"/>
  <c r="E1084" i="1"/>
  <c r="D1084" i="1"/>
  <c r="C1084" i="1"/>
  <c r="B1084" i="1"/>
  <c r="A1084" i="1"/>
  <c r="R1083" i="1"/>
  <c r="J1083" i="1"/>
  <c r="I1083" i="1"/>
  <c r="G1083" i="1"/>
  <c r="F1083" i="1"/>
  <c r="E1083" i="1"/>
  <c r="D1083" i="1"/>
  <c r="C1083" i="1"/>
  <c r="B1083" i="1"/>
  <c r="A1083" i="1"/>
  <c r="S1082" i="1"/>
  <c r="O1082" i="1"/>
  <c r="K1082" i="1"/>
  <c r="J1082" i="1"/>
  <c r="I1082" i="1"/>
  <c r="H1082" i="1"/>
  <c r="G1082" i="1"/>
  <c r="F1082" i="1"/>
  <c r="E1082" i="1"/>
  <c r="D1082" i="1"/>
  <c r="C1082" i="1"/>
  <c r="B1082" i="1"/>
  <c r="A1082" i="1"/>
  <c r="R1081" i="1"/>
  <c r="J1081" i="1"/>
  <c r="I1081" i="1"/>
  <c r="G1081" i="1"/>
  <c r="F1081" i="1"/>
  <c r="E1081" i="1"/>
  <c r="D1081" i="1"/>
  <c r="C1081" i="1"/>
  <c r="B1081" i="1"/>
  <c r="A1081" i="1"/>
  <c r="R1080" i="1"/>
  <c r="J1080" i="1"/>
  <c r="I1080" i="1"/>
  <c r="G1080" i="1"/>
  <c r="F1080" i="1"/>
  <c r="E1080" i="1"/>
  <c r="D1080" i="1"/>
  <c r="C1080" i="1"/>
  <c r="B1080" i="1"/>
  <c r="A1080" i="1"/>
  <c r="R1079" i="1"/>
  <c r="J1079" i="1"/>
  <c r="I1079" i="1"/>
  <c r="G1079" i="1"/>
  <c r="F1079" i="1"/>
  <c r="E1079" i="1"/>
  <c r="D1079" i="1"/>
  <c r="C1079" i="1"/>
  <c r="B1079" i="1"/>
  <c r="A1079" i="1"/>
  <c r="R1078" i="1"/>
  <c r="J1078" i="1"/>
  <c r="I1078" i="1"/>
  <c r="G1078" i="1"/>
  <c r="F1078" i="1"/>
  <c r="E1078" i="1"/>
  <c r="D1078" i="1"/>
  <c r="C1078" i="1"/>
  <c r="B1078" i="1"/>
  <c r="A1078" i="1"/>
  <c r="S1077" i="1"/>
  <c r="O1077" i="1"/>
  <c r="K1077" i="1"/>
  <c r="J1077" i="1"/>
  <c r="I1077" i="1"/>
  <c r="H1077" i="1"/>
  <c r="G1077" i="1"/>
  <c r="F1077" i="1"/>
  <c r="E1077" i="1"/>
  <c r="D1077" i="1"/>
  <c r="C1077" i="1"/>
  <c r="B1077" i="1"/>
  <c r="A1077" i="1"/>
  <c r="R1076" i="1"/>
  <c r="J1076" i="1"/>
  <c r="I1076" i="1"/>
  <c r="G1076" i="1"/>
  <c r="F1076" i="1"/>
  <c r="E1076" i="1"/>
  <c r="D1076" i="1"/>
  <c r="C1076" i="1"/>
  <c r="B1076" i="1"/>
  <c r="A1076" i="1"/>
  <c r="S1075" i="1"/>
  <c r="O1075" i="1"/>
  <c r="K1075" i="1"/>
  <c r="J1075" i="1"/>
  <c r="I1075" i="1"/>
  <c r="H1075" i="1"/>
  <c r="G1075" i="1"/>
  <c r="F1075" i="1"/>
  <c r="E1075" i="1"/>
  <c r="D1075" i="1"/>
  <c r="C1075" i="1"/>
  <c r="B1075" i="1"/>
  <c r="A1075" i="1"/>
  <c r="R1074" i="1"/>
  <c r="J1074" i="1"/>
  <c r="I1074" i="1"/>
  <c r="G1074" i="1"/>
  <c r="F1074" i="1"/>
  <c r="E1074" i="1"/>
  <c r="D1074" i="1"/>
  <c r="C1074" i="1"/>
  <c r="B1074" i="1"/>
  <c r="A1074" i="1"/>
  <c r="S1073" i="1"/>
  <c r="O1073" i="1"/>
  <c r="K1073" i="1"/>
  <c r="J1073" i="1"/>
  <c r="I1073" i="1"/>
  <c r="H1073" i="1"/>
  <c r="G1073" i="1"/>
  <c r="F1073" i="1"/>
  <c r="E1073" i="1"/>
  <c r="D1073" i="1"/>
  <c r="C1073" i="1"/>
  <c r="B1073" i="1"/>
  <c r="A1073" i="1"/>
  <c r="R1072" i="1"/>
  <c r="J1072" i="1"/>
  <c r="I1072" i="1"/>
  <c r="G1072" i="1"/>
  <c r="F1072" i="1"/>
  <c r="E1072" i="1"/>
  <c r="D1072" i="1"/>
  <c r="C1072" i="1"/>
  <c r="B1072" i="1"/>
  <c r="A1072" i="1"/>
  <c r="S1071" i="1"/>
  <c r="O1071" i="1"/>
  <c r="K1071" i="1"/>
  <c r="J1071" i="1"/>
  <c r="I1071" i="1"/>
  <c r="H1071" i="1"/>
  <c r="G1071" i="1"/>
  <c r="F1071" i="1"/>
  <c r="E1071" i="1"/>
  <c r="D1071" i="1"/>
  <c r="C1071" i="1"/>
  <c r="B1071" i="1"/>
  <c r="A1071" i="1"/>
  <c r="R1070" i="1"/>
  <c r="J1070" i="1"/>
  <c r="I1070" i="1"/>
  <c r="G1070" i="1"/>
  <c r="F1070" i="1"/>
  <c r="E1070" i="1"/>
  <c r="D1070" i="1"/>
  <c r="C1070" i="1"/>
  <c r="B1070" i="1"/>
  <c r="A1070" i="1"/>
  <c r="S1069" i="1"/>
  <c r="O1069" i="1"/>
  <c r="K1069" i="1"/>
  <c r="J1069" i="1"/>
  <c r="I1069" i="1"/>
  <c r="H1069" i="1"/>
  <c r="G1069" i="1"/>
  <c r="F1069" i="1"/>
  <c r="E1069" i="1"/>
  <c r="D1069" i="1"/>
  <c r="C1069" i="1"/>
  <c r="B1069" i="1"/>
  <c r="A1069" i="1"/>
  <c r="R1068" i="1"/>
  <c r="J1068" i="1"/>
  <c r="I1068" i="1"/>
  <c r="G1068" i="1"/>
  <c r="F1068" i="1"/>
  <c r="E1068" i="1"/>
  <c r="D1068" i="1"/>
  <c r="C1068" i="1"/>
  <c r="B1068" i="1"/>
  <c r="A1068" i="1"/>
  <c r="S1067" i="1"/>
  <c r="O1067" i="1"/>
  <c r="K1067" i="1"/>
  <c r="J1067" i="1"/>
  <c r="I1067" i="1"/>
  <c r="H1067" i="1"/>
  <c r="G1067" i="1"/>
  <c r="F1067" i="1"/>
  <c r="E1067" i="1"/>
  <c r="D1067" i="1"/>
  <c r="C1067" i="1"/>
  <c r="B1067" i="1"/>
  <c r="A1067" i="1"/>
  <c r="R1066" i="1"/>
  <c r="J1066" i="1"/>
  <c r="I1066" i="1"/>
  <c r="G1066" i="1"/>
  <c r="F1066" i="1"/>
  <c r="E1066" i="1"/>
  <c r="D1066" i="1"/>
  <c r="C1066" i="1"/>
  <c r="B1066" i="1"/>
  <c r="A1066" i="1"/>
  <c r="S1065" i="1"/>
  <c r="O1065" i="1"/>
  <c r="K1065" i="1"/>
  <c r="J1065" i="1"/>
  <c r="I1065" i="1"/>
  <c r="H1065" i="1"/>
  <c r="G1065" i="1"/>
  <c r="F1065" i="1"/>
  <c r="E1065" i="1"/>
  <c r="D1065" i="1"/>
  <c r="C1065" i="1"/>
  <c r="B1065" i="1"/>
  <c r="A1065" i="1"/>
  <c r="R1064" i="1"/>
  <c r="J1064" i="1"/>
  <c r="I1064" i="1"/>
  <c r="G1064" i="1"/>
  <c r="F1064" i="1"/>
  <c r="E1064" i="1"/>
  <c r="D1064" i="1"/>
  <c r="C1064" i="1"/>
  <c r="B1064" i="1"/>
  <c r="A1064" i="1"/>
  <c r="S1063" i="1"/>
  <c r="O1063" i="1"/>
  <c r="K1063" i="1"/>
  <c r="J1063" i="1"/>
  <c r="I1063" i="1"/>
  <c r="H1063" i="1"/>
  <c r="G1063" i="1"/>
  <c r="F1063" i="1"/>
  <c r="E1063" i="1"/>
  <c r="D1063" i="1"/>
  <c r="C1063" i="1"/>
  <c r="B1063" i="1"/>
  <c r="A1063" i="1"/>
  <c r="R1062" i="1"/>
  <c r="J1062" i="1"/>
  <c r="I1062" i="1"/>
  <c r="G1062" i="1"/>
  <c r="F1062" i="1"/>
  <c r="E1062" i="1"/>
  <c r="D1062" i="1"/>
  <c r="C1062" i="1"/>
  <c r="B1062" i="1"/>
  <c r="A1062" i="1"/>
  <c r="S1061" i="1"/>
  <c r="O1061" i="1"/>
  <c r="K1061" i="1"/>
  <c r="J1061" i="1"/>
  <c r="I1061" i="1"/>
  <c r="H1061" i="1"/>
  <c r="G1061" i="1"/>
  <c r="F1061" i="1"/>
  <c r="E1061" i="1"/>
  <c r="D1061" i="1"/>
  <c r="C1061" i="1"/>
  <c r="B1061" i="1"/>
  <c r="A1061" i="1"/>
  <c r="R1060" i="1"/>
  <c r="J1060" i="1"/>
  <c r="I1060" i="1"/>
  <c r="G1060" i="1"/>
  <c r="F1060" i="1"/>
  <c r="E1060" i="1"/>
  <c r="D1060" i="1"/>
  <c r="C1060" i="1"/>
  <c r="B1060" i="1"/>
  <c r="A1060" i="1"/>
  <c r="S1059" i="1"/>
  <c r="O1059" i="1"/>
  <c r="K1059" i="1"/>
  <c r="J1059" i="1"/>
  <c r="I1059" i="1"/>
  <c r="H1059" i="1"/>
  <c r="G1059" i="1"/>
  <c r="F1059" i="1"/>
  <c r="E1059" i="1"/>
  <c r="D1059" i="1"/>
  <c r="C1059" i="1"/>
  <c r="B1059" i="1"/>
  <c r="A1059" i="1"/>
  <c r="R1058" i="1"/>
  <c r="J1058" i="1"/>
  <c r="I1058" i="1"/>
  <c r="G1058" i="1"/>
  <c r="F1058" i="1"/>
  <c r="E1058" i="1"/>
  <c r="D1058" i="1"/>
  <c r="C1058" i="1"/>
  <c r="B1058" i="1"/>
  <c r="A1058" i="1"/>
  <c r="S1057" i="1"/>
  <c r="O1057" i="1"/>
  <c r="K1057" i="1"/>
  <c r="J1057" i="1"/>
  <c r="I1057" i="1"/>
  <c r="H1057" i="1"/>
  <c r="G1057" i="1"/>
  <c r="F1057" i="1"/>
  <c r="E1057" i="1"/>
  <c r="D1057" i="1"/>
  <c r="C1057" i="1"/>
  <c r="B1057" i="1"/>
  <c r="A1057" i="1"/>
  <c r="R1056" i="1"/>
  <c r="J1056" i="1"/>
  <c r="I1056" i="1"/>
  <c r="G1056" i="1"/>
  <c r="F1056" i="1"/>
  <c r="E1056" i="1"/>
  <c r="D1056" i="1"/>
  <c r="C1056" i="1"/>
  <c r="B1056" i="1"/>
  <c r="A1056" i="1"/>
  <c r="S1055" i="1"/>
  <c r="O1055" i="1"/>
  <c r="K1055" i="1"/>
  <c r="J1055" i="1"/>
  <c r="I1055" i="1"/>
  <c r="H1055" i="1"/>
  <c r="G1055" i="1"/>
  <c r="F1055" i="1"/>
  <c r="E1055" i="1"/>
  <c r="D1055" i="1"/>
  <c r="C1055" i="1"/>
  <c r="B1055" i="1"/>
  <c r="A1055" i="1"/>
  <c r="R1054" i="1"/>
  <c r="J1054" i="1"/>
  <c r="I1054" i="1"/>
  <c r="G1054" i="1"/>
  <c r="F1054" i="1"/>
  <c r="E1054" i="1"/>
  <c r="D1054" i="1"/>
  <c r="C1054" i="1"/>
  <c r="B1054" i="1"/>
  <c r="A1054" i="1"/>
  <c r="S1053" i="1"/>
  <c r="O1053" i="1"/>
  <c r="K1053" i="1"/>
  <c r="J1053" i="1"/>
  <c r="I1053" i="1"/>
  <c r="H1053" i="1"/>
  <c r="G1053" i="1"/>
  <c r="F1053" i="1"/>
  <c r="E1053" i="1"/>
  <c r="D1053" i="1"/>
  <c r="C1053" i="1"/>
  <c r="B1053" i="1"/>
  <c r="A1053" i="1"/>
  <c r="R1052" i="1"/>
  <c r="J1052" i="1"/>
  <c r="I1052" i="1"/>
  <c r="G1052" i="1"/>
  <c r="F1052" i="1"/>
  <c r="E1052" i="1"/>
  <c r="D1052" i="1"/>
  <c r="C1052" i="1"/>
  <c r="B1052" i="1"/>
  <c r="A1052" i="1"/>
  <c r="S1051" i="1"/>
  <c r="O1051" i="1"/>
  <c r="K1051" i="1"/>
  <c r="J1051" i="1"/>
  <c r="I1051" i="1"/>
  <c r="H1051" i="1"/>
  <c r="G1051" i="1"/>
  <c r="F1051" i="1"/>
  <c r="E1051" i="1"/>
  <c r="D1051" i="1"/>
  <c r="C1051" i="1"/>
  <c r="B1051" i="1"/>
  <c r="A1051" i="1"/>
  <c r="R1050" i="1"/>
  <c r="J1050" i="1"/>
  <c r="I1050" i="1"/>
  <c r="G1050" i="1"/>
  <c r="F1050" i="1"/>
  <c r="E1050" i="1"/>
  <c r="D1050" i="1"/>
  <c r="C1050" i="1"/>
  <c r="B1050" i="1"/>
  <c r="A1050" i="1"/>
  <c r="S1049" i="1"/>
  <c r="O1049" i="1"/>
  <c r="K1049" i="1"/>
  <c r="J1049" i="1"/>
  <c r="I1049" i="1"/>
  <c r="H1049" i="1"/>
  <c r="G1049" i="1"/>
  <c r="F1049" i="1"/>
  <c r="E1049" i="1"/>
  <c r="D1049" i="1"/>
  <c r="C1049" i="1"/>
  <c r="B1049" i="1"/>
  <c r="A1049" i="1"/>
  <c r="R1048" i="1"/>
  <c r="J1048" i="1"/>
  <c r="I1048" i="1"/>
  <c r="G1048" i="1"/>
  <c r="F1048" i="1"/>
  <c r="E1048" i="1"/>
  <c r="D1048" i="1"/>
  <c r="C1048" i="1"/>
  <c r="B1048" i="1"/>
  <c r="A1048" i="1"/>
  <c r="S1047" i="1"/>
  <c r="O1047" i="1"/>
  <c r="K1047" i="1"/>
  <c r="J1047" i="1"/>
  <c r="I1047" i="1"/>
  <c r="H1047" i="1"/>
  <c r="G1047" i="1"/>
  <c r="F1047" i="1"/>
  <c r="E1047" i="1"/>
  <c r="D1047" i="1"/>
  <c r="C1047" i="1"/>
  <c r="B1047" i="1"/>
  <c r="A1047" i="1"/>
  <c r="R1046" i="1"/>
  <c r="J1046" i="1"/>
  <c r="I1046" i="1"/>
  <c r="G1046" i="1"/>
  <c r="F1046" i="1"/>
  <c r="E1046" i="1"/>
  <c r="D1046" i="1"/>
  <c r="C1046" i="1"/>
  <c r="B1046" i="1"/>
  <c r="A1046" i="1"/>
  <c r="S1045" i="1"/>
  <c r="O1045" i="1"/>
  <c r="K1045" i="1"/>
  <c r="J1045" i="1"/>
  <c r="I1045" i="1"/>
  <c r="H1045" i="1"/>
  <c r="G1045" i="1"/>
  <c r="F1045" i="1"/>
  <c r="E1045" i="1"/>
  <c r="D1045" i="1"/>
  <c r="C1045" i="1"/>
  <c r="B1045" i="1"/>
  <c r="A1045" i="1"/>
  <c r="R1044" i="1"/>
  <c r="J1044" i="1"/>
  <c r="I1044" i="1"/>
  <c r="G1044" i="1"/>
  <c r="F1044" i="1"/>
  <c r="E1044" i="1"/>
  <c r="D1044" i="1"/>
  <c r="C1044" i="1"/>
  <c r="B1044" i="1"/>
  <c r="A1044" i="1"/>
  <c r="S1043" i="1"/>
  <c r="O1043" i="1"/>
  <c r="K1043" i="1"/>
  <c r="J1043" i="1"/>
  <c r="I1043" i="1"/>
  <c r="H1043" i="1"/>
  <c r="G1043" i="1"/>
  <c r="F1043" i="1"/>
  <c r="E1043" i="1"/>
  <c r="D1043" i="1"/>
  <c r="C1043" i="1"/>
  <c r="B1043" i="1"/>
  <c r="A1043" i="1"/>
  <c r="R1042" i="1"/>
  <c r="J1042" i="1"/>
  <c r="I1042" i="1"/>
  <c r="G1042" i="1"/>
  <c r="F1042" i="1"/>
  <c r="E1042" i="1"/>
  <c r="D1042" i="1"/>
  <c r="C1042" i="1"/>
  <c r="B1042" i="1"/>
  <c r="A1042" i="1"/>
  <c r="S1041" i="1"/>
  <c r="O1041" i="1"/>
  <c r="K1041" i="1"/>
  <c r="J1041" i="1"/>
  <c r="I1041" i="1"/>
  <c r="H1041" i="1"/>
  <c r="G1041" i="1"/>
  <c r="F1041" i="1"/>
  <c r="E1041" i="1"/>
  <c r="D1041" i="1"/>
  <c r="C1041" i="1"/>
  <c r="B1041" i="1"/>
  <c r="A1041" i="1"/>
  <c r="R1040" i="1"/>
  <c r="J1040" i="1"/>
  <c r="I1040" i="1"/>
  <c r="G1040" i="1"/>
  <c r="F1040" i="1"/>
  <c r="E1040" i="1"/>
  <c r="D1040" i="1"/>
  <c r="C1040" i="1"/>
  <c r="B1040" i="1"/>
  <c r="A1040" i="1"/>
  <c r="S1039" i="1"/>
  <c r="O1039" i="1"/>
  <c r="K1039" i="1"/>
  <c r="J1039" i="1"/>
  <c r="I1039" i="1"/>
  <c r="H1039" i="1"/>
  <c r="G1039" i="1"/>
  <c r="F1039" i="1"/>
  <c r="E1039" i="1"/>
  <c r="D1039" i="1"/>
  <c r="C1039" i="1"/>
  <c r="B1039" i="1"/>
  <c r="A1039" i="1"/>
  <c r="R1038" i="1"/>
  <c r="J1038" i="1"/>
  <c r="I1038" i="1"/>
  <c r="G1038" i="1"/>
  <c r="F1038" i="1"/>
  <c r="E1038" i="1"/>
  <c r="D1038" i="1"/>
  <c r="C1038" i="1"/>
  <c r="B1038" i="1"/>
  <c r="A1038" i="1"/>
  <c r="S1037" i="1"/>
  <c r="O1037" i="1"/>
  <c r="K1037" i="1"/>
  <c r="J1037" i="1"/>
  <c r="I1037" i="1"/>
  <c r="H1037" i="1"/>
  <c r="G1037" i="1"/>
  <c r="F1037" i="1"/>
  <c r="E1037" i="1"/>
  <c r="D1037" i="1"/>
  <c r="C1037" i="1"/>
  <c r="B1037" i="1"/>
  <c r="A1037" i="1"/>
  <c r="R1036" i="1"/>
  <c r="J1036" i="1"/>
  <c r="I1036" i="1"/>
  <c r="G1036" i="1"/>
  <c r="F1036" i="1"/>
  <c r="E1036" i="1"/>
  <c r="D1036" i="1"/>
  <c r="C1036" i="1"/>
  <c r="B1036" i="1"/>
  <c r="A1036" i="1"/>
  <c r="R1035" i="1"/>
  <c r="J1035" i="1"/>
  <c r="I1035" i="1"/>
  <c r="G1035" i="1"/>
  <c r="F1035" i="1"/>
  <c r="E1035" i="1"/>
  <c r="D1035" i="1"/>
  <c r="C1035" i="1"/>
  <c r="B1035" i="1"/>
  <c r="A1035" i="1"/>
  <c r="S1034" i="1"/>
  <c r="O1034" i="1"/>
  <c r="K1034" i="1"/>
  <c r="J1034" i="1"/>
  <c r="I1034" i="1"/>
  <c r="H1034" i="1"/>
  <c r="G1034" i="1"/>
  <c r="F1034" i="1"/>
  <c r="E1034" i="1"/>
  <c r="D1034" i="1"/>
  <c r="C1034" i="1"/>
  <c r="B1034" i="1"/>
  <c r="A1034" i="1"/>
  <c r="R1033" i="1"/>
  <c r="J1033" i="1"/>
  <c r="I1033" i="1"/>
  <c r="G1033" i="1"/>
  <c r="F1033" i="1"/>
  <c r="E1033" i="1"/>
  <c r="D1033" i="1"/>
  <c r="C1033" i="1"/>
  <c r="B1033" i="1"/>
  <c r="A1033" i="1"/>
  <c r="R1032" i="1"/>
  <c r="J1032" i="1"/>
  <c r="I1032" i="1"/>
  <c r="G1032" i="1"/>
  <c r="F1032" i="1"/>
  <c r="E1032" i="1"/>
  <c r="D1032" i="1"/>
  <c r="C1032" i="1"/>
  <c r="B1032" i="1"/>
  <c r="A1032" i="1"/>
  <c r="S1031" i="1"/>
  <c r="O1031" i="1"/>
  <c r="K1031" i="1"/>
  <c r="J1031" i="1"/>
  <c r="I1031" i="1"/>
  <c r="H1031" i="1"/>
  <c r="G1031" i="1"/>
  <c r="F1031" i="1"/>
  <c r="E1031" i="1"/>
  <c r="D1031" i="1"/>
  <c r="C1031" i="1"/>
  <c r="B1031" i="1"/>
  <c r="A1031" i="1"/>
  <c r="R1030" i="1"/>
  <c r="J1030" i="1"/>
  <c r="I1030" i="1"/>
  <c r="G1030" i="1"/>
  <c r="F1030" i="1"/>
  <c r="E1030" i="1"/>
  <c r="D1030" i="1"/>
  <c r="C1030" i="1"/>
  <c r="B1030" i="1"/>
  <c r="A1030" i="1"/>
  <c r="S1029" i="1"/>
  <c r="O1029" i="1"/>
  <c r="K1029" i="1"/>
  <c r="J1029" i="1"/>
  <c r="I1029" i="1"/>
  <c r="H1029" i="1"/>
  <c r="G1029" i="1"/>
  <c r="F1029" i="1"/>
  <c r="E1029" i="1"/>
  <c r="D1029" i="1"/>
  <c r="C1029" i="1"/>
  <c r="B1029" i="1"/>
  <c r="A1029" i="1"/>
  <c r="R1028" i="1"/>
  <c r="J1028" i="1"/>
  <c r="I1028" i="1"/>
  <c r="G1028" i="1"/>
  <c r="F1028" i="1"/>
  <c r="E1028" i="1"/>
  <c r="D1028" i="1"/>
  <c r="C1028" i="1"/>
  <c r="B1028" i="1"/>
  <c r="A1028" i="1"/>
  <c r="R1027" i="1"/>
  <c r="J1027" i="1"/>
  <c r="I1027" i="1"/>
  <c r="G1027" i="1"/>
  <c r="F1027" i="1"/>
  <c r="E1027" i="1"/>
  <c r="D1027" i="1"/>
  <c r="C1027" i="1"/>
  <c r="B1027" i="1"/>
  <c r="A1027" i="1"/>
  <c r="S1026" i="1"/>
  <c r="O1026" i="1"/>
  <c r="K1026" i="1"/>
  <c r="J1026" i="1"/>
  <c r="I1026" i="1"/>
  <c r="H1026" i="1"/>
  <c r="G1026" i="1"/>
  <c r="F1026" i="1"/>
  <c r="E1026" i="1"/>
  <c r="D1026" i="1"/>
  <c r="C1026" i="1"/>
  <c r="B1026" i="1"/>
  <c r="A1026" i="1"/>
  <c r="R1025" i="1"/>
  <c r="J1025" i="1"/>
  <c r="I1025" i="1"/>
  <c r="G1025" i="1"/>
  <c r="F1025" i="1"/>
  <c r="E1025" i="1"/>
  <c r="D1025" i="1"/>
  <c r="C1025" i="1"/>
  <c r="B1025" i="1"/>
  <c r="A1025" i="1"/>
  <c r="S1024" i="1"/>
  <c r="O1024" i="1"/>
  <c r="K1024" i="1"/>
  <c r="J1024" i="1"/>
  <c r="I1024" i="1"/>
  <c r="H1024" i="1"/>
  <c r="G1024" i="1"/>
  <c r="F1024" i="1"/>
  <c r="E1024" i="1"/>
  <c r="D1024" i="1"/>
  <c r="C1024" i="1"/>
  <c r="B1024" i="1"/>
  <c r="A1024" i="1"/>
  <c r="R1023" i="1"/>
  <c r="J1023" i="1"/>
  <c r="I1023" i="1"/>
  <c r="G1023" i="1"/>
  <c r="F1023" i="1"/>
  <c r="E1023" i="1"/>
  <c r="D1023" i="1"/>
  <c r="C1023" i="1"/>
  <c r="B1023" i="1"/>
  <c r="A1023" i="1"/>
  <c r="S1022" i="1"/>
  <c r="O1022" i="1"/>
  <c r="K1022" i="1"/>
  <c r="J1022" i="1"/>
  <c r="I1022" i="1"/>
  <c r="H1022" i="1"/>
  <c r="G1022" i="1"/>
  <c r="F1022" i="1"/>
  <c r="E1022" i="1"/>
  <c r="D1022" i="1"/>
  <c r="C1022" i="1"/>
  <c r="B1022" i="1"/>
  <c r="A1022" i="1"/>
  <c r="R1021" i="1"/>
  <c r="J1021" i="1"/>
  <c r="I1021" i="1"/>
  <c r="G1021" i="1"/>
  <c r="F1021" i="1"/>
  <c r="E1021" i="1"/>
  <c r="D1021" i="1"/>
  <c r="C1021" i="1"/>
  <c r="B1021" i="1"/>
  <c r="A1021" i="1"/>
  <c r="S1020" i="1"/>
  <c r="O1020" i="1"/>
  <c r="K1020" i="1"/>
  <c r="J1020" i="1"/>
  <c r="I1020" i="1"/>
  <c r="H1020" i="1"/>
  <c r="G1020" i="1"/>
  <c r="F1020" i="1"/>
  <c r="E1020" i="1"/>
  <c r="D1020" i="1"/>
  <c r="C1020" i="1"/>
  <c r="B1020" i="1"/>
  <c r="A1020" i="1"/>
  <c r="R1019" i="1"/>
  <c r="J1019" i="1"/>
  <c r="I1019" i="1"/>
  <c r="G1019" i="1"/>
  <c r="F1019" i="1"/>
  <c r="E1019" i="1"/>
  <c r="D1019" i="1"/>
  <c r="C1019" i="1"/>
  <c r="B1019" i="1"/>
  <c r="A1019" i="1"/>
  <c r="S1018" i="1"/>
  <c r="O1018" i="1"/>
  <c r="K1018" i="1"/>
  <c r="J1018" i="1"/>
  <c r="I1018" i="1"/>
  <c r="H1018" i="1"/>
  <c r="G1018" i="1"/>
  <c r="F1018" i="1"/>
  <c r="E1018" i="1"/>
  <c r="D1018" i="1"/>
  <c r="C1018" i="1"/>
  <c r="B1018" i="1"/>
  <c r="A1018" i="1"/>
  <c r="R1017" i="1"/>
  <c r="J1017" i="1"/>
  <c r="I1017" i="1"/>
  <c r="G1017" i="1"/>
  <c r="F1017" i="1"/>
  <c r="E1017" i="1"/>
  <c r="D1017" i="1"/>
  <c r="C1017" i="1"/>
  <c r="B1017" i="1"/>
  <c r="A1017" i="1"/>
  <c r="R1016" i="1"/>
  <c r="J1016" i="1"/>
  <c r="I1016" i="1"/>
  <c r="G1016" i="1"/>
  <c r="F1016" i="1"/>
  <c r="E1016" i="1"/>
  <c r="D1016" i="1"/>
  <c r="C1016" i="1"/>
  <c r="B1016" i="1"/>
  <c r="A1016" i="1"/>
  <c r="R1015" i="1"/>
  <c r="J1015" i="1"/>
  <c r="I1015" i="1"/>
  <c r="G1015" i="1"/>
  <c r="F1015" i="1"/>
  <c r="E1015" i="1"/>
  <c r="D1015" i="1"/>
  <c r="C1015" i="1"/>
  <c r="B1015" i="1"/>
  <c r="A1015" i="1"/>
  <c r="S1014" i="1"/>
  <c r="O1014" i="1"/>
  <c r="K1014" i="1"/>
  <c r="J1014" i="1"/>
  <c r="I1014" i="1"/>
  <c r="H1014" i="1"/>
  <c r="G1014" i="1"/>
  <c r="F1014" i="1"/>
  <c r="E1014" i="1"/>
  <c r="D1014" i="1"/>
  <c r="C1014" i="1"/>
  <c r="B1014" i="1"/>
  <c r="A1014" i="1"/>
  <c r="R1013" i="1"/>
  <c r="J1013" i="1"/>
  <c r="I1013" i="1"/>
  <c r="G1013" i="1"/>
  <c r="F1013" i="1"/>
  <c r="E1013" i="1"/>
  <c r="D1013" i="1"/>
  <c r="C1013" i="1"/>
  <c r="B1013" i="1"/>
  <c r="A1013" i="1"/>
  <c r="R1012" i="1"/>
  <c r="J1012" i="1"/>
  <c r="I1012" i="1"/>
  <c r="G1012" i="1"/>
  <c r="F1012" i="1"/>
  <c r="E1012" i="1"/>
  <c r="D1012" i="1"/>
  <c r="C1012" i="1"/>
  <c r="B1012" i="1"/>
  <c r="A1012" i="1"/>
  <c r="S1011" i="1"/>
  <c r="O1011" i="1"/>
  <c r="K1011" i="1"/>
  <c r="J1011" i="1"/>
  <c r="I1011" i="1"/>
  <c r="H1011" i="1"/>
  <c r="G1011" i="1"/>
  <c r="F1011" i="1"/>
  <c r="E1011" i="1"/>
  <c r="D1011" i="1"/>
  <c r="C1011" i="1"/>
  <c r="B1011" i="1"/>
  <c r="A1011" i="1"/>
  <c r="R1010" i="1"/>
  <c r="J1010" i="1"/>
  <c r="I1010" i="1"/>
  <c r="G1010" i="1"/>
  <c r="F1010" i="1"/>
  <c r="E1010" i="1"/>
  <c r="D1010" i="1"/>
  <c r="C1010" i="1"/>
  <c r="B1010" i="1"/>
  <c r="A1010" i="1"/>
  <c r="R1009" i="1"/>
  <c r="J1009" i="1"/>
  <c r="I1009" i="1"/>
  <c r="G1009" i="1"/>
  <c r="F1009" i="1"/>
  <c r="E1009" i="1"/>
  <c r="D1009" i="1"/>
  <c r="C1009" i="1"/>
  <c r="B1009" i="1"/>
  <c r="A1009" i="1"/>
  <c r="R1008" i="1"/>
  <c r="J1008" i="1"/>
  <c r="I1008" i="1"/>
  <c r="G1008" i="1"/>
  <c r="F1008" i="1"/>
  <c r="E1008" i="1"/>
  <c r="D1008" i="1"/>
  <c r="C1008" i="1"/>
  <c r="B1008" i="1"/>
  <c r="A1008" i="1"/>
  <c r="R1007" i="1"/>
  <c r="J1007" i="1"/>
  <c r="I1007" i="1"/>
  <c r="G1007" i="1"/>
  <c r="F1007" i="1"/>
  <c r="E1007" i="1"/>
  <c r="D1007" i="1"/>
  <c r="C1007" i="1"/>
  <c r="B1007" i="1"/>
  <c r="A1007" i="1"/>
  <c r="S1006" i="1"/>
  <c r="O1006" i="1"/>
  <c r="K1006" i="1"/>
  <c r="J1006" i="1"/>
  <c r="I1006" i="1"/>
  <c r="H1006" i="1"/>
  <c r="G1006" i="1"/>
  <c r="F1006" i="1"/>
  <c r="E1006" i="1"/>
  <c r="D1006" i="1"/>
  <c r="C1006" i="1"/>
  <c r="B1006" i="1"/>
  <c r="A1006" i="1"/>
  <c r="R1005" i="1"/>
  <c r="J1005" i="1"/>
  <c r="I1005" i="1"/>
  <c r="G1005" i="1"/>
  <c r="F1005" i="1"/>
  <c r="E1005" i="1"/>
  <c r="D1005" i="1"/>
  <c r="C1005" i="1"/>
  <c r="B1005" i="1"/>
  <c r="A1005" i="1"/>
  <c r="R1004" i="1"/>
  <c r="J1004" i="1"/>
  <c r="I1004" i="1"/>
  <c r="G1004" i="1"/>
  <c r="F1004" i="1"/>
  <c r="E1004" i="1"/>
  <c r="D1004" i="1"/>
  <c r="C1004" i="1"/>
  <c r="B1004" i="1"/>
  <c r="A1004" i="1"/>
  <c r="R1003" i="1"/>
  <c r="J1003" i="1"/>
  <c r="I1003" i="1"/>
  <c r="G1003" i="1"/>
  <c r="F1003" i="1"/>
  <c r="E1003" i="1"/>
  <c r="D1003" i="1"/>
  <c r="C1003" i="1"/>
  <c r="B1003" i="1"/>
  <c r="A1003" i="1"/>
  <c r="R1002" i="1"/>
  <c r="J1002" i="1"/>
  <c r="I1002" i="1"/>
  <c r="G1002" i="1"/>
  <c r="F1002" i="1"/>
  <c r="E1002" i="1"/>
  <c r="D1002" i="1"/>
  <c r="C1002" i="1"/>
  <c r="B1002" i="1"/>
  <c r="A1002" i="1"/>
  <c r="S1001" i="1"/>
  <c r="O1001" i="1"/>
  <c r="K1001" i="1"/>
  <c r="J1001" i="1"/>
  <c r="I1001" i="1"/>
  <c r="H1001" i="1"/>
  <c r="G1001" i="1"/>
  <c r="F1001" i="1"/>
  <c r="E1001" i="1"/>
  <c r="D1001" i="1"/>
  <c r="C1001" i="1"/>
  <c r="B1001" i="1"/>
  <c r="A1001" i="1"/>
  <c r="R1000" i="1"/>
  <c r="J1000" i="1"/>
  <c r="I1000" i="1"/>
  <c r="G1000" i="1"/>
  <c r="F1000" i="1"/>
  <c r="E1000" i="1"/>
  <c r="D1000" i="1"/>
  <c r="C1000" i="1"/>
  <c r="B1000" i="1"/>
  <c r="A1000" i="1"/>
  <c r="S999" i="1"/>
  <c r="O999" i="1"/>
  <c r="K999" i="1"/>
  <c r="J999" i="1"/>
  <c r="I999" i="1"/>
  <c r="H999" i="1"/>
  <c r="G999" i="1"/>
  <c r="F999" i="1"/>
  <c r="E999" i="1"/>
  <c r="D999" i="1"/>
  <c r="C999" i="1"/>
  <c r="B999" i="1"/>
  <c r="A999" i="1"/>
  <c r="R998" i="1"/>
  <c r="J998" i="1"/>
  <c r="I998" i="1"/>
  <c r="G998" i="1"/>
  <c r="F998" i="1"/>
  <c r="E998" i="1"/>
  <c r="D998" i="1"/>
  <c r="C998" i="1"/>
  <c r="B998" i="1"/>
  <c r="A998" i="1"/>
  <c r="R997" i="1"/>
  <c r="J997" i="1"/>
  <c r="I997" i="1"/>
  <c r="G997" i="1"/>
  <c r="F997" i="1"/>
  <c r="E997" i="1"/>
  <c r="D997" i="1"/>
  <c r="C997" i="1"/>
  <c r="B997" i="1"/>
  <c r="A997" i="1"/>
  <c r="R996" i="1"/>
  <c r="J996" i="1"/>
  <c r="I996" i="1"/>
  <c r="G996" i="1"/>
  <c r="F996" i="1"/>
  <c r="E996" i="1"/>
  <c r="D996" i="1"/>
  <c r="C996" i="1"/>
  <c r="B996" i="1"/>
  <c r="A996" i="1"/>
  <c r="R995" i="1"/>
  <c r="J995" i="1"/>
  <c r="I995" i="1"/>
  <c r="G995" i="1"/>
  <c r="F995" i="1"/>
  <c r="E995" i="1"/>
  <c r="D995" i="1"/>
  <c r="C995" i="1"/>
  <c r="B995" i="1"/>
  <c r="A995" i="1"/>
  <c r="S994" i="1"/>
  <c r="O994" i="1"/>
  <c r="K994" i="1"/>
  <c r="J994" i="1"/>
  <c r="I994" i="1"/>
  <c r="H994" i="1"/>
  <c r="G994" i="1"/>
  <c r="F994" i="1"/>
  <c r="E994" i="1"/>
  <c r="D994" i="1"/>
  <c r="C994" i="1"/>
  <c r="B994" i="1"/>
  <c r="A994" i="1"/>
  <c r="R993" i="1"/>
  <c r="J993" i="1"/>
  <c r="I993" i="1"/>
  <c r="G993" i="1"/>
  <c r="F993" i="1"/>
  <c r="E993" i="1"/>
  <c r="D993" i="1"/>
  <c r="C993" i="1"/>
  <c r="B993" i="1"/>
  <c r="A993" i="1"/>
  <c r="R992" i="1"/>
  <c r="J992" i="1"/>
  <c r="I992" i="1"/>
  <c r="G992" i="1"/>
  <c r="F992" i="1"/>
  <c r="E992" i="1"/>
  <c r="D992" i="1"/>
  <c r="C992" i="1"/>
  <c r="B992" i="1"/>
  <c r="A992" i="1"/>
  <c r="R991" i="1"/>
  <c r="J991" i="1"/>
  <c r="I991" i="1"/>
  <c r="G991" i="1"/>
  <c r="F991" i="1"/>
  <c r="E991" i="1"/>
  <c r="D991" i="1"/>
  <c r="C991" i="1"/>
  <c r="B991" i="1"/>
  <c r="A991" i="1"/>
  <c r="R990" i="1"/>
  <c r="J990" i="1"/>
  <c r="I990" i="1"/>
  <c r="G990" i="1"/>
  <c r="F990" i="1"/>
  <c r="E990" i="1"/>
  <c r="D990" i="1"/>
  <c r="C990" i="1"/>
  <c r="B990" i="1"/>
  <c r="A990" i="1"/>
  <c r="S989" i="1"/>
  <c r="O989" i="1"/>
  <c r="K989" i="1"/>
  <c r="J989" i="1"/>
  <c r="I989" i="1"/>
  <c r="H989" i="1"/>
  <c r="G989" i="1"/>
  <c r="F989" i="1"/>
  <c r="E989" i="1"/>
  <c r="D989" i="1"/>
  <c r="C989" i="1"/>
  <c r="B989" i="1"/>
  <c r="A989" i="1"/>
  <c r="R988" i="1"/>
  <c r="J988" i="1"/>
  <c r="I988" i="1"/>
  <c r="G988" i="1"/>
  <c r="F988" i="1"/>
  <c r="E988" i="1"/>
  <c r="D988" i="1"/>
  <c r="C988" i="1"/>
  <c r="B988" i="1"/>
  <c r="A988" i="1"/>
  <c r="S987" i="1"/>
  <c r="O987" i="1"/>
  <c r="K987" i="1"/>
  <c r="J987" i="1"/>
  <c r="I987" i="1"/>
  <c r="H987" i="1"/>
  <c r="G987" i="1"/>
  <c r="F987" i="1"/>
  <c r="E987" i="1"/>
  <c r="D987" i="1"/>
  <c r="C987" i="1"/>
  <c r="B987" i="1"/>
  <c r="A987" i="1"/>
  <c r="R986" i="1"/>
  <c r="J986" i="1"/>
  <c r="I986" i="1"/>
  <c r="G986" i="1"/>
  <c r="F986" i="1"/>
  <c r="E986" i="1"/>
  <c r="D986" i="1"/>
  <c r="C986" i="1"/>
  <c r="B986" i="1"/>
  <c r="A986" i="1"/>
  <c r="S985" i="1"/>
  <c r="O985" i="1"/>
  <c r="K985" i="1"/>
  <c r="J985" i="1"/>
  <c r="I985" i="1"/>
  <c r="H985" i="1"/>
  <c r="G985" i="1"/>
  <c r="F985" i="1"/>
  <c r="E985" i="1"/>
  <c r="D985" i="1"/>
  <c r="C985" i="1"/>
  <c r="B985" i="1"/>
  <c r="A985" i="1"/>
  <c r="R984" i="1"/>
  <c r="J984" i="1"/>
  <c r="I984" i="1"/>
  <c r="G984" i="1"/>
  <c r="F984" i="1"/>
  <c r="E984" i="1"/>
  <c r="D984" i="1"/>
  <c r="C984" i="1"/>
  <c r="B984" i="1"/>
  <c r="A984" i="1"/>
  <c r="R983" i="1"/>
  <c r="J983" i="1"/>
  <c r="I983" i="1"/>
  <c r="G983" i="1"/>
  <c r="F983" i="1"/>
  <c r="E983" i="1"/>
  <c r="D983" i="1"/>
  <c r="C983" i="1"/>
  <c r="B983" i="1"/>
  <c r="A983" i="1"/>
  <c r="R982" i="1"/>
  <c r="J982" i="1"/>
  <c r="I982" i="1"/>
  <c r="G982" i="1"/>
  <c r="F982" i="1"/>
  <c r="E982" i="1"/>
  <c r="D982" i="1"/>
  <c r="C982" i="1"/>
  <c r="B982" i="1"/>
  <c r="A982" i="1"/>
  <c r="R981" i="1"/>
  <c r="J981" i="1"/>
  <c r="I981" i="1"/>
  <c r="G981" i="1"/>
  <c r="F981" i="1"/>
  <c r="E981" i="1"/>
  <c r="D981" i="1"/>
  <c r="C981" i="1"/>
  <c r="B981" i="1"/>
  <c r="A981" i="1"/>
  <c r="R980" i="1"/>
  <c r="J980" i="1"/>
  <c r="I980" i="1"/>
  <c r="G980" i="1"/>
  <c r="F980" i="1"/>
  <c r="E980" i="1"/>
  <c r="D980" i="1"/>
  <c r="C980" i="1"/>
  <c r="B980" i="1"/>
  <c r="A980" i="1"/>
  <c r="S979" i="1"/>
  <c r="O979" i="1"/>
  <c r="K979" i="1"/>
  <c r="J979" i="1"/>
  <c r="I979" i="1"/>
  <c r="H979" i="1"/>
  <c r="G979" i="1"/>
  <c r="F979" i="1"/>
  <c r="E979" i="1"/>
  <c r="D979" i="1"/>
  <c r="C979" i="1"/>
  <c r="B979" i="1"/>
  <c r="A979" i="1"/>
  <c r="R978" i="1"/>
  <c r="J978" i="1"/>
  <c r="I978" i="1"/>
  <c r="G978" i="1"/>
  <c r="F978" i="1"/>
  <c r="E978" i="1"/>
  <c r="D978" i="1"/>
  <c r="C978" i="1"/>
  <c r="B978" i="1"/>
  <c r="A978" i="1"/>
  <c r="R977" i="1"/>
  <c r="J977" i="1"/>
  <c r="I977" i="1"/>
  <c r="G977" i="1"/>
  <c r="F977" i="1"/>
  <c r="E977" i="1"/>
  <c r="D977" i="1"/>
  <c r="C977" i="1"/>
  <c r="B977" i="1"/>
  <c r="A977" i="1"/>
  <c r="R976" i="1"/>
  <c r="J976" i="1"/>
  <c r="I976" i="1"/>
  <c r="G976" i="1"/>
  <c r="F976" i="1"/>
  <c r="E976" i="1"/>
  <c r="D976" i="1"/>
  <c r="C976" i="1"/>
  <c r="B976" i="1"/>
  <c r="A976" i="1"/>
  <c r="R975" i="1"/>
  <c r="J975" i="1"/>
  <c r="I975" i="1"/>
  <c r="G975" i="1"/>
  <c r="F975" i="1"/>
  <c r="E975" i="1"/>
  <c r="D975" i="1"/>
  <c r="C975" i="1"/>
  <c r="B975" i="1"/>
  <c r="A975" i="1"/>
  <c r="R974" i="1"/>
  <c r="J974" i="1"/>
  <c r="I974" i="1"/>
  <c r="G974" i="1"/>
  <c r="F974" i="1"/>
  <c r="E974" i="1"/>
  <c r="D974" i="1"/>
  <c r="C974" i="1"/>
  <c r="B974" i="1"/>
  <c r="A974" i="1"/>
  <c r="S973" i="1"/>
  <c r="O973" i="1"/>
  <c r="K973" i="1"/>
  <c r="J973" i="1"/>
  <c r="I973" i="1"/>
  <c r="H973" i="1"/>
  <c r="G973" i="1"/>
  <c r="F973" i="1"/>
  <c r="E973" i="1"/>
  <c r="D973" i="1"/>
  <c r="C973" i="1"/>
  <c r="B973" i="1"/>
  <c r="A973" i="1"/>
  <c r="R972" i="1"/>
  <c r="J972" i="1"/>
  <c r="I972" i="1"/>
  <c r="G972" i="1"/>
  <c r="F972" i="1"/>
  <c r="E972" i="1"/>
  <c r="D972" i="1"/>
  <c r="C972" i="1"/>
  <c r="B972" i="1"/>
  <c r="A972" i="1"/>
  <c r="R971" i="1"/>
  <c r="J971" i="1"/>
  <c r="I971" i="1"/>
  <c r="G971" i="1"/>
  <c r="F971" i="1"/>
  <c r="E971" i="1"/>
  <c r="D971" i="1"/>
  <c r="C971" i="1"/>
  <c r="B971" i="1"/>
  <c r="A971" i="1"/>
  <c r="R970" i="1"/>
  <c r="J970" i="1"/>
  <c r="I970" i="1"/>
  <c r="G970" i="1"/>
  <c r="F970" i="1"/>
  <c r="E970" i="1"/>
  <c r="D970" i="1"/>
  <c r="C970" i="1"/>
  <c r="B970" i="1"/>
  <c r="A970" i="1"/>
  <c r="R969" i="1"/>
  <c r="J969" i="1"/>
  <c r="I969" i="1"/>
  <c r="G969" i="1"/>
  <c r="F969" i="1"/>
  <c r="E969" i="1"/>
  <c r="D969" i="1"/>
  <c r="C969" i="1"/>
  <c r="B969" i="1"/>
  <c r="A969" i="1"/>
  <c r="S968" i="1"/>
  <c r="O968" i="1"/>
  <c r="K968" i="1"/>
  <c r="J968" i="1"/>
  <c r="I968" i="1"/>
  <c r="H968" i="1"/>
  <c r="G968" i="1"/>
  <c r="F968" i="1"/>
  <c r="E968" i="1"/>
  <c r="D968" i="1"/>
  <c r="C968" i="1"/>
  <c r="B968" i="1"/>
  <c r="A968" i="1"/>
  <c r="R967" i="1"/>
  <c r="J967" i="1"/>
  <c r="I967" i="1"/>
  <c r="G967" i="1"/>
  <c r="F967" i="1"/>
  <c r="E967" i="1"/>
  <c r="D967" i="1"/>
  <c r="C967" i="1"/>
  <c r="B967" i="1"/>
  <c r="A967" i="1"/>
  <c r="R966" i="1"/>
  <c r="J966" i="1"/>
  <c r="I966" i="1"/>
  <c r="G966" i="1"/>
  <c r="F966" i="1"/>
  <c r="E966" i="1"/>
  <c r="D966" i="1"/>
  <c r="C966" i="1"/>
  <c r="B966" i="1"/>
  <c r="A966" i="1"/>
  <c r="R965" i="1"/>
  <c r="J965" i="1"/>
  <c r="I965" i="1"/>
  <c r="G965" i="1"/>
  <c r="F965" i="1"/>
  <c r="E965" i="1"/>
  <c r="D965" i="1"/>
  <c r="C965" i="1"/>
  <c r="B965" i="1"/>
  <c r="A965" i="1"/>
  <c r="R964" i="1"/>
  <c r="J964" i="1"/>
  <c r="I964" i="1"/>
  <c r="G964" i="1"/>
  <c r="F964" i="1"/>
  <c r="E964" i="1"/>
  <c r="D964" i="1"/>
  <c r="C964" i="1"/>
  <c r="B964" i="1"/>
  <c r="A964" i="1"/>
  <c r="S963" i="1"/>
  <c r="O963" i="1"/>
  <c r="K963" i="1"/>
  <c r="J963" i="1"/>
  <c r="I963" i="1"/>
  <c r="H963" i="1"/>
  <c r="G963" i="1"/>
  <c r="F963" i="1"/>
  <c r="E963" i="1"/>
  <c r="D963" i="1"/>
  <c r="C963" i="1"/>
  <c r="B963" i="1"/>
  <c r="A963" i="1"/>
  <c r="R962" i="1"/>
  <c r="J962" i="1"/>
  <c r="I962" i="1"/>
  <c r="G962" i="1"/>
  <c r="F962" i="1"/>
  <c r="E962" i="1"/>
  <c r="D962" i="1"/>
  <c r="C962" i="1"/>
  <c r="B962" i="1"/>
  <c r="A962" i="1"/>
  <c r="R961" i="1"/>
  <c r="J961" i="1"/>
  <c r="I961" i="1"/>
  <c r="G961" i="1"/>
  <c r="F961" i="1"/>
  <c r="E961" i="1"/>
  <c r="D961" i="1"/>
  <c r="C961" i="1"/>
  <c r="B961" i="1"/>
  <c r="A961" i="1"/>
  <c r="R960" i="1"/>
  <c r="J960" i="1"/>
  <c r="I960" i="1"/>
  <c r="G960" i="1"/>
  <c r="F960" i="1"/>
  <c r="E960" i="1"/>
  <c r="D960" i="1"/>
  <c r="C960" i="1"/>
  <c r="B960" i="1"/>
  <c r="A960" i="1"/>
  <c r="S959" i="1"/>
  <c r="O959" i="1"/>
  <c r="K959" i="1"/>
  <c r="J959" i="1"/>
  <c r="I959" i="1"/>
  <c r="H959" i="1"/>
  <c r="G959" i="1"/>
  <c r="F959" i="1"/>
  <c r="E959" i="1"/>
  <c r="D959" i="1"/>
  <c r="C959" i="1"/>
  <c r="B959" i="1"/>
  <c r="A959" i="1"/>
  <c r="R958" i="1"/>
  <c r="J958" i="1"/>
  <c r="I958" i="1"/>
  <c r="G958" i="1"/>
  <c r="F958" i="1"/>
  <c r="E958" i="1"/>
  <c r="D958" i="1"/>
  <c r="C958" i="1"/>
  <c r="B958" i="1"/>
  <c r="A958" i="1"/>
  <c r="R957" i="1"/>
  <c r="J957" i="1"/>
  <c r="I957" i="1"/>
  <c r="G957" i="1"/>
  <c r="F957" i="1"/>
  <c r="E957" i="1"/>
  <c r="D957" i="1"/>
  <c r="C957" i="1"/>
  <c r="B957" i="1"/>
  <c r="A957" i="1"/>
  <c r="R956" i="1"/>
  <c r="J956" i="1"/>
  <c r="I956" i="1"/>
  <c r="G956" i="1"/>
  <c r="F956" i="1"/>
  <c r="E956" i="1"/>
  <c r="D956" i="1"/>
  <c r="C956" i="1"/>
  <c r="B956" i="1"/>
  <c r="A956" i="1"/>
  <c r="S955" i="1"/>
  <c r="O955" i="1"/>
  <c r="K955" i="1"/>
  <c r="J955" i="1"/>
  <c r="I955" i="1"/>
  <c r="H955" i="1"/>
  <c r="G955" i="1"/>
  <c r="F955" i="1"/>
  <c r="E955" i="1"/>
  <c r="D955" i="1"/>
  <c r="C955" i="1"/>
  <c r="B955" i="1"/>
  <c r="A955" i="1"/>
  <c r="R954" i="1"/>
  <c r="J954" i="1"/>
  <c r="I954" i="1"/>
  <c r="G954" i="1"/>
  <c r="F954" i="1"/>
  <c r="E954" i="1"/>
  <c r="D954" i="1"/>
  <c r="C954" i="1"/>
  <c r="B954" i="1"/>
  <c r="A954" i="1"/>
  <c r="R953" i="1"/>
  <c r="J953" i="1"/>
  <c r="I953" i="1"/>
  <c r="G953" i="1"/>
  <c r="F953" i="1"/>
  <c r="E953" i="1"/>
  <c r="D953" i="1"/>
  <c r="C953" i="1"/>
  <c r="B953" i="1"/>
  <c r="A953" i="1"/>
  <c r="R952" i="1"/>
  <c r="J952" i="1"/>
  <c r="I952" i="1"/>
  <c r="G952" i="1"/>
  <c r="F952" i="1"/>
  <c r="E952" i="1"/>
  <c r="D952" i="1"/>
  <c r="C952" i="1"/>
  <c r="B952" i="1"/>
  <c r="A952" i="1"/>
  <c r="R951" i="1"/>
  <c r="J951" i="1"/>
  <c r="I951" i="1"/>
  <c r="G951" i="1"/>
  <c r="F951" i="1"/>
  <c r="E951" i="1"/>
  <c r="D951" i="1"/>
  <c r="C951" i="1"/>
  <c r="B951" i="1"/>
  <c r="A951" i="1"/>
  <c r="R950" i="1"/>
  <c r="J950" i="1"/>
  <c r="I950" i="1"/>
  <c r="G950" i="1"/>
  <c r="F950" i="1"/>
  <c r="E950" i="1"/>
  <c r="D950" i="1"/>
  <c r="C950" i="1"/>
  <c r="B950" i="1"/>
  <c r="A950" i="1"/>
  <c r="R949" i="1"/>
  <c r="J949" i="1"/>
  <c r="I949" i="1"/>
  <c r="G949" i="1"/>
  <c r="F949" i="1"/>
  <c r="E949" i="1"/>
  <c r="D949" i="1"/>
  <c r="C949" i="1"/>
  <c r="B949" i="1"/>
  <c r="A949" i="1"/>
  <c r="S948" i="1"/>
  <c r="O948" i="1"/>
  <c r="K948" i="1"/>
  <c r="J948" i="1"/>
  <c r="I948" i="1"/>
  <c r="H948" i="1"/>
  <c r="G948" i="1"/>
  <c r="F948" i="1"/>
  <c r="E948" i="1"/>
  <c r="D948" i="1"/>
  <c r="C948" i="1"/>
  <c r="B948" i="1"/>
  <c r="A948" i="1"/>
  <c r="R947" i="1"/>
  <c r="J947" i="1"/>
  <c r="I947" i="1"/>
  <c r="G947" i="1"/>
  <c r="F947" i="1"/>
  <c r="E947" i="1"/>
  <c r="D947" i="1"/>
  <c r="C947" i="1"/>
  <c r="B947" i="1"/>
  <c r="A947" i="1"/>
  <c r="R946" i="1"/>
  <c r="J946" i="1"/>
  <c r="I946" i="1"/>
  <c r="G946" i="1"/>
  <c r="F946" i="1"/>
  <c r="E946" i="1"/>
  <c r="D946" i="1"/>
  <c r="C946" i="1"/>
  <c r="B946" i="1"/>
  <c r="A946" i="1"/>
  <c r="R945" i="1"/>
  <c r="J945" i="1"/>
  <c r="I945" i="1"/>
  <c r="G945" i="1"/>
  <c r="F945" i="1"/>
  <c r="E945" i="1"/>
  <c r="D945" i="1"/>
  <c r="C945" i="1"/>
  <c r="B945" i="1"/>
  <c r="A945" i="1"/>
  <c r="R944" i="1"/>
  <c r="J944" i="1"/>
  <c r="I944" i="1"/>
  <c r="G944" i="1"/>
  <c r="F944" i="1"/>
  <c r="E944" i="1"/>
  <c r="D944" i="1"/>
  <c r="C944" i="1"/>
  <c r="B944" i="1"/>
  <c r="A944" i="1"/>
  <c r="R943" i="1"/>
  <c r="J943" i="1"/>
  <c r="I943" i="1"/>
  <c r="G943" i="1"/>
  <c r="F943" i="1"/>
  <c r="E943" i="1"/>
  <c r="D943" i="1"/>
  <c r="C943" i="1"/>
  <c r="B943" i="1"/>
  <c r="A943" i="1"/>
  <c r="R942" i="1"/>
  <c r="J942" i="1"/>
  <c r="I942" i="1"/>
  <c r="G942" i="1"/>
  <c r="F942" i="1"/>
  <c r="E942" i="1"/>
  <c r="D942" i="1"/>
  <c r="C942" i="1"/>
  <c r="B942" i="1"/>
  <c r="A942" i="1"/>
  <c r="S941" i="1"/>
  <c r="O941" i="1"/>
  <c r="K941" i="1"/>
  <c r="J941" i="1"/>
  <c r="I941" i="1"/>
  <c r="H941" i="1"/>
  <c r="G941" i="1"/>
  <c r="F941" i="1"/>
  <c r="E941" i="1"/>
  <c r="D941" i="1"/>
  <c r="C941" i="1"/>
  <c r="B941" i="1"/>
  <c r="A941" i="1"/>
  <c r="R940" i="1"/>
  <c r="J940" i="1"/>
  <c r="I940" i="1"/>
  <c r="G940" i="1"/>
  <c r="F940" i="1"/>
  <c r="E940" i="1"/>
  <c r="D940" i="1"/>
  <c r="C940" i="1"/>
  <c r="B940" i="1"/>
  <c r="A940" i="1"/>
  <c r="R939" i="1"/>
  <c r="J939" i="1"/>
  <c r="I939" i="1"/>
  <c r="G939" i="1"/>
  <c r="F939" i="1"/>
  <c r="E939" i="1"/>
  <c r="D939" i="1"/>
  <c r="C939" i="1"/>
  <c r="B939" i="1"/>
  <c r="A939" i="1"/>
  <c r="R938" i="1"/>
  <c r="J938" i="1"/>
  <c r="I938" i="1"/>
  <c r="G938" i="1"/>
  <c r="F938" i="1"/>
  <c r="E938" i="1"/>
  <c r="D938" i="1"/>
  <c r="C938" i="1"/>
  <c r="B938" i="1"/>
  <c r="A938" i="1"/>
  <c r="R937" i="1"/>
  <c r="J937" i="1"/>
  <c r="I937" i="1"/>
  <c r="G937" i="1"/>
  <c r="F937" i="1"/>
  <c r="E937" i="1"/>
  <c r="D937" i="1"/>
  <c r="C937" i="1"/>
  <c r="B937" i="1"/>
  <c r="A937" i="1"/>
  <c r="R936" i="1"/>
  <c r="J936" i="1"/>
  <c r="I936" i="1"/>
  <c r="G936" i="1"/>
  <c r="F936" i="1"/>
  <c r="E936" i="1"/>
  <c r="D936" i="1"/>
  <c r="C936" i="1"/>
  <c r="B936" i="1"/>
  <c r="A936" i="1"/>
  <c r="R935" i="1"/>
  <c r="J935" i="1"/>
  <c r="I935" i="1"/>
  <c r="G935" i="1"/>
  <c r="F935" i="1"/>
  <c r="E935" i="1"/>
  <c r="D935" i="1"/>
  <c r="C935" i="1"/>
  <c r="B935" i="1"/>
  <c r="A935" i="1"/>
  <c r="S934" i="1"/>
  <c r="O934" i="1"/>
  <c r="K934" i="1"/>
  <c r="J934" i="1"/>
  <c r="I934" i="1"/>
  <c r="H934" i="1"/>
  <c r="G934" i="1"/>
  <c r="F934" i="1"/>
  <c r="E934" i="1"/>
  <c r="D934" i="1"/>
  <c r="C934" i="1"/>
  <c r="B934" i="1"/>
  <c r="A934" i="1"/>
  <c r="R933" i="1"/>
  <c r="J933" i="1"/>
  <c r="I933" i="1"/>
  <c r="G933" i="1"/>
  <c r="F933" i="1"/>
  <c r="E933" i="1"/>
  <c r="D933" i="1"/>
  <c r="C933" i="1"/>
  <c r="B933" i="1"/>
  <c r="A933" i="1"/>
  <c r="S932" i="1"/>
  <c r="O932" i="1"/>
  <c r="K932" i="1"/>
  <c r="J932" i="1"/>
  <c r="I932" i="1"/>
  <c r="H932" i="1"/>
  <c r="G932" i="1"/>
  <c r="F932" i="1"/>
  <c r="E932" i="1"/>
  <c r="D932" i="1"/>
  <c r="C932" i="1"/>
  <c r="B932" i="1"/>
  <c r="A932" i="1"/>
  <c r="R931" i="1"/>
  <c r="J931" i="1"/>
  <c r="I931" i="1"/>
  <c r="G931" i="1"/>
  <c r="F931" i="1"/>
  <c r="E931" i="1"/>
  <c r="D931" i="1"/>
  <c r="C931" i="1"/>
  <c r="B931" i="1"/>
  <c r="A931" i="1"/>
  <c r="S930" i="1"/>
  <c r="O930" i="1"/>
  <c r="K930" i="1"/>
  <c r="J930" i="1"/>
  <c r="I930" i="1"/>
  <c r="H930" i="1"/>
  <c r="G930" i="1"/>
  <c r="F930" i="1"/>
  <c r="E930" i="1"/>
  <c r="D930" i="1"/>
  <c r="C930" i="1"/>
  <c r="B930" i="1"/>
  <c r="A930" i="1"/>
  <c r="R929" i="1"/>
  <c r="J929" i="1"/>
  <c r="I929" i="1"/>
  <c r="G929" i="1"/>
  <c r="F929" i="1"/>
  <c r="E929" i="1"/>
  <c r="D929" i="1"/>
  <c r="C929" i="1"/>
  <c r="B929" i="1"/>
  <c r="A929" i="1"/>
  <c r="R928" i="1"/>
  <c r="J928" i="1"/>
  <c r="I928" i="1"/>
  <c r="G928" i="1"/>
  <c r="F928" i="1"/>
  <c r="E928" i="1"/>
  <c r="D928" i="1"/>
  <c r="C928" i="1"/>
  <c r="B928" i="1"/>
  <c r="A928" i="1"/>
  <c r="S927" i="1"/>
  <c r="O927" i="1"/>
  <c r="K927" i="1"/>
  <c r="J927" i="1"/>
  <c r="I927" i="1"/>
  <c r="H927" i="1"/>
  <c r="G927" i="1"/>
  <c r="F927" i="1"/>
  <c r="E927" i="1"/>
  <c r="D927" i="1"/>
  <c r="C927" i="1"/>
  <c r="B927" i="1"/>
  <c r="A927" i="1"/>
  <c r="R926" i="1"/>
  <c r="J926" i="1"/>
  <c r="I926" i="1"/>
  <c r="G926" i="1"/>
  <c r="F926" i="1"/>
  <c r="E926" i="1"/>
  <c r="D926" i="1"/>
  <c r="C926" i="1"/>
  <c r="B926" i="1"/>
  <c r="A926" i="1"/>
  <c r="R925" i="1"/>
  <c r="J925" i="1"/>
  <c r="I925" i="1"/>
  <c r="G925" i="1"/>
  <c r="F925" i="1"/>
  <c r="E925" i="1"/>
  <c r="D925" i="1"/>
  <c r="C925" i="1"/>
  <c r="B925" i="1"/>
  <c r="A925" i="1"/>
  <c r="S924" i="1"/>
  <c r="O924" i="1"/>
  <c r="K924" i="1"/>
  <c r="J924" i="1"/>
  <c r="I924" i="1"/>
  <c r="H924" i="1"/>
  <c r="G924" i="1"/>
  <c r="F924" i="1"/>
  <c r="E924" i="1"/>
  <c r="D924" i="1"/>
  <c r="C924" i="1"/>
  <c r="B924" i="1"/>
  <c r="A924" i="1"/>
  <c r="R923" i="1"/>
  <c r="J923" i="1"/>
  <c r="I923" i="1"/>
  <c r="G923" i="1"/>
  <c r="F923" i="1"/>
  <c r="E923" i="1"/>
  <c r="D923" i="1"/>
  <c r="C923" i="1"/>
  <c r="B923" i="1"/>
  <c r="A923" i="1"/>
  <c r="S922" i="1"/>
  <c r="O922" i="1"/>
  <c r="K922" i="1"/>
  <c r="J922" i="1"/>
  <c r="I922" i="1"/>
  <c r="H922" i="1"/>
  <c r="G922" i="1"/>
  <c r="F922" i="1"/>
  <c r="E922" i="1"/>
  <c r="D922" i="1"/>
  <c r="C922" i="1"/>
  <c r="B922" i="1"/>
  <c r="A922" i="1"/>
  <c r="R921" i="1"/>
  <c r="J921" i="1"/>
  <c r="I921" i="1"/>
  <c r="G921" i="1"/>
  <c r="F921" i="1"/>
  <c r="E921" i="1"/>
  <c r="D921" i="1"/>
  <c r="C921" i="1"/>
  <c r="B921" i="1"/>
  <c r="A921" i="1"/>
  <c r="S920" i="1"/>
  <c r="O920" i="1"/>
  <c r="K920" i="1"/>
  <c r="J920" i="1"/>
  <c r="I920" i="1"/>
  <c r="H920" i="1"/>
  <c r="G920" i="1"/>
  <c r="F920" i="1"/>
  <c r="E920" i="1"/>
  <c r="D920" i="1"/>
  <c r="C920" i="1"/>
  <c r="B920" i="1"/>
  <c r="A920" i="1"/>
  <c r="R919" i="1"/>
  <c r="J919" i="1"/>
  <c r="I919" i="1"/>
  <c r="G919" i="1"/>
  <c r="F919" i="1"/>
  <c r="E919" i="1"/>
  <c r="D919" i="1"/>
  <c r="C919" i="1"/>
  <c r="B919" i="1"/>
  <c r="A919" i="1"/>
  <c r="R918" i="1"/>
  <c r="J918" i="1"/>
  <c r="I918" i="1"/>
  <c r="G918" i="1"/>
  <c r="F918" i="1"/>
  <c r="E918" i="1"/>
  <c r="D918" i="1"/>
  <c r="C918" i="1"/>
  <c r="B918" i="1"/>
  <c r="A918" i="1"/>
  <c r="S917" i="1"/>
  <c r="O917" i="1"/>
  <c r="K917" i="1"/>
  <c r="J917" i="1"/>
  <c r="I917" i="1"/>
  <c r="H917" i="1"/>
  <c r="G917" i="1"/>
  <c r="F917" i="1"/>
  <c r="E917" i="1"/>
  <c r="D917" i="1"/>
  <c r="C917" i="1"/>
  <c r="B917" i="1"/>
  <c r="A917" i="1"/>
  <c r="R916" i="1"/>
  <c r="J916" i="1"/>
  <c r="I916" i="1"/>
  <c r="G916" i="1"/>
  <c r="F916" i="1"/>
  <c r="E916" i="1"/>
  <c r="D916" i="1"/>
  <c r="C916" i="1"/>
  <c r="B916" i="1"/>
  <c r="A916" i="1"/>
  <c r="R915" i="1"/>
  <c r="J915" i="1"/>
  <c r="I915" i="1"/>
  <c r="G915" i="1"/>
  <c r="F915" i="1"/>
  <c r="E915" i="1"/>
  <c r="D915" i="1"/>
  <c r="C915" i="1"/>
  <c r="B915" i="1"/>
  <c r="A915" i="1"/>
  <c r="R914" i="1"/>
  <c r="J914" i="1"/>
  <c r="I914" i="1"/>
  <c r="G914" i="1"/>
  <c r="F914" i="1"/>
  <c r="E914" i="1"/>
  <c r="D914" i="1"/>
  <c r="C914" i="1"/>
  <c r="B914" i="1"/>
  <c r="A914" i="1"/>
  <c r="S913" i="1"/>
  <c r="O913" i="1"/>
  <c r="K913" i="1"/>
  <c r="J913" i="1"/>
  <c r="I913" i="1"/>
  <c r="H913" i="1"/>
  <c r="G913" i="1"/>
  <c r="F913" i="1"/>
  <c r="E913" i="1"/>
  <c r="D913" i="1"/>
  <c r="C913" i="1"/>
  <c r="B913" i="1"/>
  <c r="A913" i="1"/>
  <c r="R912" i="1"/>
  <c r="J912" i="1"/>
  <c r="I912" i="1"/>
  <c r="G912" i="1"/>
  <c r="F912" i="1"/>
  <c r="E912" i="1"/>
  <c r="D912" i="1"/>
  <c r="C912" i="1"/>
  <c r="B912" i="1"/>
  <c r="A912" i="1"/>
  <c r="S911" i="1"/>
  <c r="O911" i="1"/>
  <c r="K911" i="1"/>
  <c r="J911" i="1"/>
  <c r="I911" i="1"/>
  <c r="H911" i="1"/>
  <c r="G911" i="1"/>
  <c r="F911" i="1"/>
  <c r="E911" i="1"/>
  <c r="D911" i="1"/>
  <c r="C911" i="1"/>
  <c r="B911" i="1"/>
  <c r="A911" i="1"/>
  <c r="R910" i="1"/>
  <c r="J910" i="1"/>
  <c r="I910" i="1"/>
  <c r="G910" i="1"/>
  <c r="F910" i="1"/>
  <c r="E910" i="1"/>
  <c r="D910" i="1"/>
  <c r="C910" i="1"/>
  <c r="B910" i="1"/>
  <c r="A910" i="1"/>
  <c r="S909" i="1"/>
  <c r="O909" i="1"/>
  <c r="K909" i="1"/>
  <c r="J909" i="1"/>
  <c r="I909" i="1"/>
  <c r="H909" i="1"/>
  <c r="G909" i="1"/>
  <c r="F909" i="1"/>
  <c r="E909" i="1"/>
  <c r="D909" i="1"/>
  <c r="C909" i="1"/>
  <c r="B909" i="1"/>
  <c r="A909" i="1"/>
  <c r="R908" i="1"/>
  <c r="J908" i="1"/>
  <c r="I908" i="1"/>
  <c r="G908" i="1"/>
  <c r="F908" i="1"/>
  <c r="E908" i="1"/>
  <c r="D908" i="1"/>
  <c r="C908" i="1"/>
  <c r="B908" i="1"/>
  <c r="A908" i="1"/>
  <c r="S907" i="1"/>
  <c r="O907" i="1"/>
  <c r="K907" i="1"/>
  <c r="J907" i="1"/>
  <c r="I907" i="1"/>
  <c r="H907" i="1"/>
  <c r="G907" i="1"/>
  <c r="F907" i="1"/>
  <c r="E907" i="1"/>
  <c r="D907" i="1"/>
  <c r="C907" i="1"/>
  <c r="B907" i="1"/>
  <c r="A907" i="1"/>
  <c r="R906" i="1"/>
  <c r="J906" i="1"/>
  <c r="I906" i="1"/>
  <c r="G906" i="1"/>
  <c r="F906" i="1"/>
  <c r="E906" i="1"/>
  <c r="D906" i="1"/>
  <c r="C906" i="1"/>
  <c r="B906" i="1"/>
  <c r="A906" i="1"/>
  <c r="S905" i="1"/>
  <c r="O905" i="1"/>
  <c r="K905" i="1"/>
  <c r="J905" i="1"/>
  <c r="I905" i="1"/>
  <c r="H905" i="1"/>
  <c r="G905" i="1"/>
  <c r="F905" i="1"/>
  <c r="E905" i="1"/>
  <c r="D905" i="1"/>
  <c r="C905" i="1"/>
  <c r="B905" i="1"/>
  <c r="A905" i="1"/>
  <c r="R904" i="1"/>
  <c r="J904" i="1"/>
  <c r="I904" i="1"/>
  <c r="G904" i="1"/>
  <c r="F904" i="1"/>
  <c r="E904" i="1"/>
  <c r="D904" i="1"/>
  <c r="C904" i="1"/>
  <c r="B904" i="1"/>
  <c r="A904" i="1"/>
  <c r="S903" i="1"/>
  <c r="O903" i="1"/>
  <c r="K903" i="1"/>
  <c r="J903" i="1"/>
  <c r="I903" i="1"/>
  <c r="H903" i="1"/>
  <c r="G903" i="1"/>
  <c r="F903" i="1"/>
  <c r="E903" i="1"/>
  <c r="D903" i="1"/>
  <c r="C903" i="1"/>
  <c r="B903" i="1"/>
  <c r="A903" i="1"/>
  <c r="R902" i="1"/>
  <c r="J902" i="1"/>
  <c r="I902" i="1"/>
  <c r="G902" i="1"/>
  <c r="F902" i="1"/>
  <c r="E902" i="1"/>
  <c r="D902" i="1"/>
  <c r="C902" i="1"/>
  <c r="B902" i="1"/>
  <c r="A902" i="1"/>
  <c r="S901" i="1"/>
  <c r="O901" i="1"/>
  <c r="K901" i="1"/>
  <c r="J901" i="1"/>
  <c r="I901" i="1"/>
  <c r="H901" i="1"/>
  <c r="G901" i="1"/>
  <c r="F901" i="1"/>
  <c r="E901" i="1"/>
  <c r="D901" i="1"/>
  <c r="C901" i="1"/>
  <c r="B901" i="1"/>
  <c r="A901" i="1"/>
  <c r="R900" i="1"/>
  <c r="J900" i="1"/>
  <c r="I900" i="1"/>
  <c r="G900" i="1"/>
  <c r="F900" i="1"/>
  <c r="E900" i="1"/>
  <c r="D900" i="1"/>
  <c r="C900" i="1"/>
  <c r="B900" i="1"/>
  <c r="A900" i="1"/>
  <c r="S899" i="1"/>
  <c r="O899" i="1"/>
  <c r="K899" i="1"/>
  <c r="J899" i="1"/>
  <c r="I899" i="1"/>
  <c r="H899" i="1"/>
  <c r="G899" i="1"/>
  <c r="F899" i="1"/>
  <c r="E899" i="1"/>
  <c r="D899" i="1"/>
  <c r="C899" i="1"/>
  <c r="B899" i="1"/>
  <c r="A899" i="1"/>
  <c r="R898" i="1"/>
  <c r="J898" i="1"/>
  <c r="I898" i="1"/>
  <c r="G898" i="1"/>
  <c r="F898" i="1"/>
  <c r="E898" i="1"/>
  <c r="D898" i="1"/>
  <c r="C898" i="1"/>
  <c r="B898" i="1"/>
  <c r="A898" i="1"/>
  <c r="S897" i="1"/>
  <c r="O897" i="1"/>
  <c r="K897" i="1"/>
  <c r="J897" i="1"/>
  <c r="I897" i="1"/>
  <c r="H897" i="1"/>
  <c r="G897" i="1"/>
  <c r="F897" i="1"/>
  <c r="E897" i="1"/>
  <c r="D897" i="1"/>
  <c r="C897" i="1"/>
  <c r="B897" i="1"/>
  <c r="A897" i="1"/>
  <c r="R896" i="1"/>
  <c r="J896" i="1"/>
  <c r="I896" i="1"/>
  <c r="G896" i="1"/>
  <c r="F896" i="1"/>
  <c r="E896" i="1"/>
  <c r="D896" i="1"/>
  <c r="C896" i="1"/>
  <c r="B896" i="1"/>
  <c r="A896" i="1"/>
  <c r="S895" i="1"/>
  <c r="O895" i="1"/>
  <c r="K895" i="1"/>
  <c r="J895" i="1"/>
  <c r="I895" i="1"/>
  <c r="H895" i="1"/>
  <c r="G895" i="1"/>
  <c r="F895" i="1"/>
  <c r="E895" i="1"/>
  <c r="D895" i="1"/>
  <c r="C895" i="1"/>
  <c r="B895" i="1"/>
  <c r="A895" i="1"/>
  <c r="R894" i="1"/>
  <c r="J894" i="1"/>
  <c r="I894" i="1"/>
  <c r="G894" i="1"/>
  <c r="F894" i="1"/>
  <c r="E894" i="1"/>
  <c r="D894" i="1"/>
  <c r="C894" i="1"/>
  <c r="B894" i="1"/>
  <c r="A894" i="1"/>
  <c r="S893" i="1"/>
  <c r="O893" i="1"/>
  <c r="K893" i="1"/>
  <c r="J893" i="1"/>
  <c r="I893" i="1"/>
  <c r="H893" i="1"/>
  <c r="G893" i="1"/>
  <c r="F893" i="1"/>
  <c r="E893" i="1"/>
  <c r="D893" i="1"/>
  <c r="C893" i="1"/>
  <c r="B893" i="1"/>
  <c r="A893" i="1"/>
  <c r="R892" i="1"/>
  <c r="J892" i="1"/>
  <c r="I892" i="1"/>
  <c r="G892" i="1"/>
  <c r="F892" i="1"/>
  <c r="E892" i="1"/>
  <c r="D892" i="1"/>
  <c r="C892" i="1"/>
  <c r="B892" i="1"/>
  <c r="A892" i="1"/>
  <c r="S891" i="1"/>
  <c r="O891" i="1"/>
  <c r="K891" i="1"/>
  <c r="J891" i="1"/>
  <c r="I891" i="1"/>
  <c r="H891" i="1"/>
  <c r="G891" i="1"/>
  <c r="F891" i="1"/>
  <c r="E891" i="1"/>
  <c r="D891" i="1"/>
  <c r="C891" i="1"/>
  <c r="B891" i="1"/>
  <c r="A891" i="1"/>
  <c r="R890" i="1"/>
  <c r="J890" i="1"/>
  <c r="I890" i="1"/>
  <c r="G890" i="1"/>
  <c r="F890" i="1"/>
  <c r="E890" i="1"/>
  <c r="D890" i="1"/>
  <c r="C890" i="1"/>
  <c r="B890" i="1"/>
  <c r="A890" i="1"/>
  <c r="S889" i="1"/>
  <c r="O889" i="1"/>
  <c r="K889" i="1"/>
  <c r="J889" i="1"/>
  <c r="I889" i="1"/>
  <c r="H889" i="1"/>
  <c r="G889" i="1"/>
  <c r="F889" i="1"/>
  <c r="E889" i="1"/>
  <c r="D889" i="1"/>
  <c r="C889" i="1"/>
  <c r="B889" i="1"/>
  <c r="A889" i="1"/>
  <c r="R888" i="1"/>
  <c r="J888" i="1"/>
  <c r="I888" i="1"/>
  <c r="G888" i="1"/>
  <c r="F888" i="1"/>
  <c r="E888" i="1"/>
  <c r="D888" i="1"/>
  <c r="C888" i="1"/>
  <c r="B888" i="1"/>
  <c r="A888" i="1"/>
  <c r="S887" i="1"/>
  <c r="O887" i="1"/>
  <c r="K887" i="1"/>
  <c r="J887" i="1"/>
  <c r="I887" i="1"/>
  <c r="H887" i="1"/>
  <c r="G887" i="1"/>
  <c r="F887" i="1"/>
  <c r="E887" i="1"/>
  <c r="D887" i="1"/>
  <c r="C887" i="1"/>
  <c r="B887" i="1"/>
  <c r="A887" i="1"/>
  <c r="R886" i="1"/>
  <c r="J886" i="1"/>
  <c r="I886" i="1"/>
  <c r="G886" i="1"/>
  <c r="F886" i="1"/>
  <c r="E886" i="1"/>
  <c r="D886" i="1"/>
  <c r="C886" i="1"/>
  <c r="B886" i="1"/>
  <c r="A886" i="1"/>
  <c r="S885" i="1"/>
  <c r="O885" i="1"/>
  <c r="K885" i="1"/>
  <c r="J885" i="1"/>
  <c r="I885" i="1"/>
  <c r="H885" i="1"/>
  <c r="G885" i="1"/>
  <c r="F885" i="1"/>
  <c r="E885" i="1"/>
  <c r="D885" i="1"/>
  <c r="C885" i="1"/>
  <c r="B885" i="1"/>
  <c r="A885" i="1"/>
  <c r="R884" i="1"/>
  <c r="J884" i="1"/>
  <c r="I884" i="1"/>
  <c r="G884" i="1"/>
  <c r="F884" i="1"/>
  <c r="E884" i="1"/>
  <c r="D884" i="1"/>
  <c r="C884" i="1"/>
  <c r="B884" i="1"/>
  <c r="A884" i="1"/>
  <c r="S883" i="1"/>
  <c r="O883" i="1"/>
  <c r="K883" i="1"/>
  <c r="J883" i="1"/>
  <c r="I883" i="1"/>
  <c r="H883" i="1"/>
  <c r="G883" i="1"/>
  <c r="F883" i="1"/>
  <c r="E883" i="1"/>
  <c r="D883" i="1"/>
  <c r="C883" i="1"/>
  <c r="B883" i="1"/>
  <c r="A883" i="1"/>
  <c r="R882" i="1"/>
  <c r="J882" i="1"/>
  <c r="I882" i="1"/>
  <c r="G882" i="1"/>
  <c r="F882" i="1"/>
  <c r="E882" i="1"/>
  <c r="D882" i="1"/>
  <c r="C882" i="1"/>
  <c r="B882" i="1"/>
  <c r="A882" i="1"/>
  <c r="S881" i="1"/>
  <c r="O881" i="1"/>
  <c r="K881" i="1"/>
  <c r="J881" i="1"/>
  <c r="I881" i="1"/>
  <c r="H881" i="1"/>
  <c r="G881" i="1"/>
  <c r="F881" i="1"/>
  <c r="E881" i="1"/>
  <c r="D881" i="1"/>
  <c r="C881" i="1"/>
  <c r="B881" i="1"/>
  <c r="A881" i="1"/>
  <c r="R880" i="1"/>
  <c r="J880" i="1"/>
  <c r="I880" i="1"/>
  <c r="G880" i="1"/>
  <c r="F880" i="1"/>
  <c r="E880" i="1"/>
  <c r="D880" i="1"/>
  <c r="C880" i="1"/>
  <c r="B880" i="1"/>
  <c r="A880" i="1"/>
  <c r="S879" i="1"/>
  <c r="O879" i="1"/>
  <c r="K879" i="1"/>
  <c r="J879" i="1"/>
  <c r="I879" i="1"/>
  <c r="H879" i="1"/>
  <c r="G879" i="1"/>
  <c r="F879" i="1"/>
  <c r="E879" i="1"/>
  <c r="D879" i="1"/>
  <c r="C879" i="1"/>
  <c r="B879" i="1"/>
  <c r="A879" i="1"/>
  <c r="R878" i="1"/>
  <c r="J878" i="1"/>
  <c r="I878" i="1"/>
  <c r="G878" i="1"/>
  <c r="F878" i="1"/>
  <c r="E878" i="1"/>
  <c r="D878" i="1"/>
  <c r="C878" i="1"/>
  <c r="B878" i="1"/>
  <c r="A878" i="1"/>
  <c r="S877" i="1"/>
  <c r="O877" i="1"/>
  <c r="K877" i="1"/>
  <c r="J877" i="1"/>
  <c r="I877" i="1"/>
  <c r="H877" i="1"/>
  <c r="G877" i="1"/>
  <c r="F877" i="1"/>
  <c r="E877" i="1"/>
  <c r="D877" i="1"/>
  <c r="C877" i="1"/>
  <c r="B877" i="1"/>
  <c r="A877" i="1"/>
  <c r="R876" i="1"/>
  <c r="J876" i="1"/>
  <c r="I876" i="1"/>
  <c r="G876" i="1"/>
  <c r="F876" i="1"/>
  <c r="E876" i="1"/>
  <c r="D876" i="1"/>
  <c r="C876" i="1"/>
  <c r="B876" i="1"/>
  <c r="A876" i="1"/>
  <c r="S875" i="1"/>
  <c r="O875" i="1"/>
  <c r="K875" i="1"/>
  <c r="J875" i="1"/>
  <c r="I875" i="1"/>
  <c r="H875" i="1"/>
  <c r="G875" i="1"/>
  <c r="F875" i="1"/>
  <c r="E875" i="1"/>
  <c r="D875" i="1"/>
  <c r="C875" i="1"/>
  <c r="B875" i="1"/>
  <c r="A875" i="1"/>
  <c r="R874" i="1"/>
  <c r="J874" i="1"/>
  <c r="I874" i="1"/>
  <c r="G874" i="1"/>
  <c r="F874" i="1"/>
  <c r="E874" i="1"/>
  <c r="D874" i="1"/>
  <c r="C874" i="1"/>
  <c r="B874" i="1"/>
  <c r="A874" i="1"/>
  <c r="S873" i="1"/>
  <c r="O873" i="1"/>
  <c r="K873" i="1"/>
  <c r="J873" i="1"/>
  <c r="I873" i="1"/>
  <c r="H873" i="1"/>
  <c r="G873" i="1"/>
  <c r="F873" i="1"/>
  <c r="E873" i="1"/>
  <c r="D873" i="1"/>
  <c r="C873" i="1"/>
  <c r="B873" i="1"/>
  <c r="A873" i="1"/>
  <c r="R872" i="1"/>
  <c r="J872" i="1"/>
  <c r="I872" i="1"/>
  <c r="G872" i="1"/>
  <c r="F872" i="1"/>
  <c r="E872" i="1"/>
  <c r="D872" i="1"/>
  <c r="C872" i="1"/>
  <c r="B872" i="1"/>
  <c r="A872" i="1"/>
  <c r="S871" i="1"/>
  <c r="O871" i="1"/>
  <c r="K871" i="1"/>
  <c r="J871" i="1"/>
  <c r="I871" i="1"/>
  <c r="H871" i="1"/>
  <c r="G871" i="1"/>
  <c r="F871" i="1"/>
  <c r="E871" i="1"/>
  <c r="D871" i="1"/>
  <c r="C871" i="1"/>
  <c r="B871" i="1"/>
  <c r="A871" i="1"/>
  <c r="R870" i="1"/>
  <c r="J870" i="1"/>
  <c r="I870" i="1"/>
  <c r="G870" i="1"/>
  <c r="F870" i="1"/>
  <c r="E870" i="1"/>
  <c r="D870" i="1"/>
  <c r="C870" i="1"/>
  <c r="B870" i="1"/>
  <c r="A870" i="1"/>
  <c r="S869" i="1"/>
  <c r="O869" i="1"/>
  <c r="K869" i="1"/>
  <c r="J869" i="1"/>
  <c r="I869" i="1"/>
  <c r="H869" i="1"/>
  <c r="G869" i="1"/>
  <c r="F869" i="1"/>
  <c r="E869" i="1"/>
  <c r="D869" i="1"/>
  <c r="C869" i="1"/>
  <c r="B869" i="1"/>
  <c r="A869" i="1"/>
  <c r="R868" i="1"/>
  <c r="J868" i="1"/>
  <c r="I868" i="1"/>
  <c r="G868" i="1"/>
  <c r="F868" i="1"/>
  <c r="E868" i="1"/>
  <c r="D868" i="1"/>
  <c r="C868" i="1"/>
  <c r="B868" i="1"/>
  <c r="A868" i="1"/>
  <c r="S867" i="1"/>
  <c r="O867" i="1"/>
  <c r="K867" i="1"/>
  <c r="J867" i="1"/>
  <c r="I867" i="1"/>
  <c r="H867" i="1"/>
  <c r="G867" i="1"/>
  <c r="F867" i="1"/>
  <c r="E867" i="1"/>
  <c r="D867" i="1"/>
  <c r="C867" i="1"/>
  <c r="B867" i="1"/>
  <c r="A867" i="1"/>
  <c r="R866" i="1"/>
  <c r="J866" i="1"/>
  <c r="I866" i="1"/>
  <c r="G866" i="1"/>
  <c r="F866" i="1"/>
  <c r="E866" i="1"/>
  <c r="D866" i="1"/>
  <c r="C866" i="1"/>
  <c r="B866" i="1"/>
  <c r="A866" i="1"/>
  <c r="S865" i="1"/>
  <c r="O865" i="1"/>
  <c r="K865" i="1"/>
  <c r="J865" i="1"/>
  <c r="I865" i="1"/>
  <c r="H865" i="1"/>
  <c r="G865" i="1"/>
  <c r="F865" i="1"/>
  <c r="E865" i="1"/>
  <c r="D865" i="1"/>
  <c r="C865" i="1"/>
  <c r="B865" i="1"/>
  <c r="A865" i="1"/>
  <c r="R864" i="1"/>
  <c r="J864" i="1"/>
  <c r="I864" i="1"/>
  <c r="G864" i="1"/>
  <c r="F864" i="1"/>
  <c r="E864" i="1"/>
  <c r="D864" i="1"/>
  <c r="C864" i="1"/>
  <c r="B864" i="1"/>
  <c r="A864" i="1"/>
  <c r="S863" i="1"/>
  <c r="O863" i="1"/>
  <c r="K863" i="1"/>
  <c r="J863" i="1"/>
  <c r="I863" i="1"/>
  <c r="H863" i="1"/>
  <c r="G863" i="1"/>
  <c r="F863" i="1"/>
  <c r="E863" i="1"/>
  <c r="D863" i="1"/>
  <c r="C863" i="1"/>
  <c r="B863" i="1"/>
  <c r="A863" i="1"/>
  <c r="R862" i="1"/>
  <c r="J862" i="1"/>
  <c r="I862" i="1"/>
  <c r="G862" i="1"/>
  <c r="F862" i="1"/>
  <c r="E862" i="1"/>
  <c r="D862" i="1"/>
  <c r="C862" i="1"/>
  <c r="B862" i="1"/>
  <c r="A862" i="1"/>
  <c r="S861" i="1"/>
  <c r="O861" i="1"/>
  <c r="K861" i="1"/>
  <c r="J861" i="1"/>
  <c r="I861" i="1"/>
  <c r="H861" i="1"/>
  <c r="G861" i="1"/>
  <c r="F861" i="1"/>
  <c r="E861" i="1"/>
  <c r="D861" i="1"/>
  <c r="C861" i="1"/>
  <c r="B861" i="1"/>
  <c r="A861" i="1"/>
  <c r="R860" i="1"/>
  <c r="J860" i="1"/>
  <c r="I860" i="1"/>
  <c r="G860" i="1"/>
  <c r="F860" i="1"/>
  <c r="E860" i="1"/>
  <c r="D860" i="1"/>
  <c r="C860" i="1"/>
  <c r="B860" i="1"/>
  <c r="A860" i="1"/>
  <c r="S859" i="1"/>
  <c r="O859" i="1"/>
  <c r="K859" i="1"/>
  <c r="J859" i="1"/>
  <c r="I859" i="1"/>
  <c r="H859" i="1"/>
  <c r="G859" i="1"/>
  <c r="F859" i="1"/>
  <c r="E859" i="1"/>
  <c r="D859" i="1"/>
  <c r="C859" i="1"/>
  <c r="B859" i="1"/>
  <c r="A859" i="1"/>
  <c r="R858" i="1"/>
  <c r="J858" i="1"/>
  <c r="I858" i="1"/>
  <c r="G858" i="1"/>
  <c r="F858" i="1"/>
  <c r="E858" i="1"/>
  <c r="D858" i="1"/>
  <c r="C858" i="1"/>
  <c r="B858" i="1"/>
  <c r="A858" i="1"/>
  <c r="S857" i="1"/>
  <c r="O857" i="1"/>
  <c r="K857" i="1"/>
  <c r="J857" i="1"/>
  <c r="I857" i="1"/>
  <c r="H857" i="1"/>
  <c r="G857" i="1"/>
  <c r="F857" i="1"/>
  <c r="E857" i="1"/>
  <c r="D857" i="1"/>
  <c r="C857" i="1"/>
  <c r="B857" i="1"/>
  <c r="A857" i="1"/>
  <c r="R856" i="1"/>
  <c r="J856" i="1"/>
  <c r="I856" i="1"/>
  <c r="G856" i="1"/>
  <c r="F856" i="1"/>
  <c r="E856" i="1"/>
  <c r="D856" i="1"/>
  <c r="C856" i="1"/>
  <c r="B856" i="1"/>
  <c r="A856" i="1"/>
  <c r="R855" i="1"/>
  <c r="J855" i="1"/>
  <c r="I855" i="1"/>
  <c r="G855" i="1"/>
  <c r="F855" i="1"/>
  <c r="E855" i="1"/>
  <c r="D855" i="1"/>
  <c r="C855" i="1"/>
  <c r="B855" i="1"/>
  <c r="A855" i="1"/>
  <c r="S854" i="1"/>
  <c r="O854" i="1"/>
  <c r="K854" i="1"/>
  <c r="J854" i="1"/>
  <c r="I854" i="1"/>
  <c r="H854" i="1"/>
  <c r="G854" i="1"/>
  <c r="F854" i="1"/>
  <c r="E854" i="1"/>
  <c r="D854" i="1"/>
  <c r="C854" i="1"/>
  <c r="B854" i="1"/>
  <c r="A854" i="1"/>
  <c r="R853" i="1"/>
  <c r="J853" i="1"/>
  <c r="I853" i="1"/>
  <c r="G853" i="1"/>
  <c r="F853" i="1"/>
  <c r="E853" i="1"/>
  <c r="D853" i="1"/>
  <c r="C853" i="1"/>
  <c r="B853" i="1"/>
  <c r="A853" i="1"/>
  <c r="R852" i="1"/>
  <c r="J852" i="1"/>
  <c r="I852" i="1"/>
  <c r="G852" i="1"/>
  <c r="F852" i="1"/>
  <c r="E852" i="1"/>
  <c r="D852" i="1"/>
  <c r="C852" i="1"/>
  <c r="B852" i="1"/>
  <c r="A852" i="1"/>
  <c r="S851" i="1"/>
  <c r="O851" i="1"/>
  <c r="K851" i="1"/>
  <c r="J851" i="1"/>
  <c r="I851" i="1"/>
  <c r="H851" i="1"/>
  <c r="G851" i="1"/>
  <c r="F851" i="1"/>
  <c r="E851" i="1"/>
  <c r="D851" i="1"/>
  <c r="C851" i="1"/>
  <c r="B851" i="1"/>
  <c r="A851" i="1"/>
  <c r="R850" i="1"/>
  <c r="J850" i="1"/>
  <c r="I850" i="1"/>
  <c r="G850" i="1"/>
  <c r="F850" i="1"/>
  <c r="E850" i="1"/>
  <c r="D850" i="1"/>
  <c r="C850" i="1"/>
  <c r="B850" i="1"/>
  <c r="A850" i="1"/>
  <c r="S849" i="1"/>
  <c r="O849" i="1"/>
  <c r="K849" i="1"/>
  <c r="J849" i="1"/>
  <c r="I849" i="1"/>
  <c r="H849" i="1"/>
  <c r="G849" i="1"/>
  <c r="F849" i="1"/>
  <c r="E849" i="1"/>
  <c r="D849" i="1"/>
  <c r="C849" i="1"/>
  <c r="B849" i="1"/>
  <c r="A849" i="1"/>
  <c r="R848" i="1"/>
  <c r="J848" i="1"/>
  <c r="I848" i="1"/>
  <c r="G848" i="1"/>
  <c r="F848" i="1"/>
  <c r="E848" i="1"/>
  <c r="D848" i="1"/>
  <c r="C848" i="1"/>
  <c r="B848" i="1"/>
  <c r="A848" i="1"/>
  <c r="S847" i="1"/>
  <c r="O847" i="1"/>
  <c r="K847" i="1"/>
  <c r="J847" i="1"/>
  <c r="I847" i="1"/>
  <c r="H847" i="1"/>
  <c r="G847" i="1"/>
  <c r="F847" i="1"/>
  <c r="E847" i="1"/>
  <c r="D847" i="1"/>
  <c r="C847" i="1"/>
  <c r="B847" i="1"/>
  <c r="A847" i="1"/>
  <c r="R846" i="1"/>
  <c r="J846" i="1"/>
  <c r="I846" i="1"/>
  <c r="G846" i="1"/>
  <c r="F846" i="1"/>
  <c r="E846" i="1"/>
  <c r="D846" i="1"/>
  <c r="C846" i="1"/>
  <c r="B846" i="1"/>
  <c r="A846" i="1"/>
  <c r="S845" i="1"/>
  <c r="O845" i="1"/>
  <c r="K845" i="1"/>
  <c r="J845" i="1"/>
  <c r="I845" i="1"/>
  <c r="H845" i="1"/>
  <c r="G845" i="1"/>
  <c r="F845" i="1"/>
  <c r="E845" i="1"/>
  <c r="D845" i="1"/>
  <c r="C845" i="1"/>
  <c r="B845" i="1"/>
  <c r="A845" i="1"/>
  <c r="R844" i="1"/>
  <c r="J844" i="1"/>
  <c r="I844" i="1"/>
  <c r="G844" i="1"/>
  <c r="F844" i="1"/>
  <c r="E844" i="1"/>
  <c r="D844" i="1"/>
  <c r="C844" i="1"/>
  <c r="B844" i="1"/>
  <c r="A844" i="1"/>
  <c r="S843" i="1"/>
  <c r="O843" i="1"/>
  <c r="K843" i="1"/>
  <c r="J843" i="1"/>
  <c r="I843" i="1"/>
  <c r="H843" i="1"/>
  <c r="G843" i="1"/>
  <c r="F843" i="1"/>
  <c r="E843" i="1"/>
  <c r="D843" i="1"/>
  <c r="C843" i="1"/>
  <c r="B843" i="1"/>
  <c r="A843" i="1"/>
  <c r="R842" i="1"/>
  <c r="J842" i="1"/>
  <c r="I842" i="1"/>
  <c r="G842" i="1"/>
  <c r="F842" i="1"/>
  <c r="E842" i="1"/>
  <c r="D842" i="1"/>
  <c r="C842" i="1"/>
  <c r="B842" i="1"/>
  <c r="A842" i="1"/>
  <c r="S841" i="1"/>
  <c r="O841" i="1"/>
  <c r="K841" i="1"/>
  <c r="J841" i="1"/>
  <c r="I841" i="1"/>
  <c r="H841" i="1"/>
  <c r="G841" i="1"/>
  <c r="F841" i="1"/>
  <c r="E841" i="1"/>
  <c r="D841" i="1"/>
  <c r="C841" i="1"/>
  <c r="B841" i="1"/>
  <c r="A841" i="1"/>
  <c r="R840" i="1"/>
  <c r="J840" i="1"/>
  <c r="I840" i="1"/>
  <c r="G840" i="1"/>
  <c r="F840" i="1"/>
  <c r="E840" i="1"/>
  <c r="D840" i="1"/>
  <c r="C840" i="1"/>
  <c r="B840" i="1"/>
  <c r="A840" i="1"/>
  <c r="S839" i="1"/>
  <c r="O839" i="1"/>
  <c r="K839" i="1"/>
  <c r="J839" i="1"/>
  <c r="I839" i="1"/>
  <c r="H839" i="1"/>
  <c r="G839" i="1"/>
  <c r="F839" i="1"/>
  <c r="E839" i="1"/>
  <c r="D839" i="1"/>
  <c r="C839" i="1"/>
  <c r="B839" i="1"/>
  <c r="A839" i="1"/>
  <c r="R838" i="1"/>
  <c r="J838" i="1"/>
  <c r="I838" i="1"/>
  <c r="G838" i="1"/>
  <c r="F838" i="1"/>
  <c r="E838" i="1"/>
  <c r="D838" i="1"/>
  <c r="C838" i="1"/>
  <c r="B838" i="1"/>
  <c r="A838" i="1"/>
  <c r="S837" i="1"/>
  <c r="O837" i="1"/>
  <c r="K837" i="1"/>
  <c r="J837" i="1"/>
  <c r="I837" i="1"/>
  <c r="H837" i="1"/>
  <c r="G837" i="1"/>
  <c r="F837" i="1"/>
  <c r="E837" i="1"/>
  <c r="D837" i="1"/>
  <c r="C837" i="1"/>
  <c r="B837" i="1"/>
  <c r="A837" i="1"/>
  <c r="R836" i="1"/>
  <c r="J836" i="1"/>
  <c r="I836" i="1"/>
  <c r="G836" i="1"/>
  <c r="F836" i="1"/>
  <c r="E836" i="1"/>
  <c r="D836" i="1"/>
  <c r="C836" i="1"/>
  <c r="B836" i="1"/>
  <c r="A836" i="1"/>
  <c r="S835" i="1"/>
  <c r="O835" i="1"/>
  <c r="K835" i="1"/>
  <c r="J835" i="1"/>
  <c r="I835" i="1"/>
  <c r="H835" i="1"/>
  <c r="G835" i="1"/>
  <c r="F835" i="1"/>
  <c r="E835" i="1"/>
  <c r="D835" i="1"/>
  <c r="C835" i="1"/>
  <c r="B835" i="1"/>
  <c r="A835" i="1"/>
  <c r="R834" i="1"/>
  <c r="J834" i="1"/>
  <c r="I834" i="1"/>
  <c r="G834" i="1"/>
  <c r="F834" i="1"/>
  <c r="E834" i="1"/>
  <c r="D834" i="1"/>
  <c r="C834" i="1"/>
  <c r="B834" i="1"/>
  <c r="A834" i="1"/>
  <c r="S833" i="1"/>
  <c r="O833" i="1"/>
  <c r="K833" i="1"/>
  <c r="J833" i="1"/>
  <c r="I833" i="1"/>
  <c r="H833" i="1"/>
  <c r="G833" i="1"/>
  <c r="F833" i="1"/>
  <c r="E833" i="1"/>
  <c r="D833" i="1"/>
  <c r="C833" i="1"/>
  <c r="B833" i="1"/>
  <c r="A833" i="1"/>
  <c r="R832" i="1"/>
  <c r="J832" i="1"/>
  <c r="I832" i="1"/>
  <c r="G832" i="1"/>
  <c r="F832" i="1"/>
  <c r="E832" i="1"/>
  <c r="D832" i="1"/>
  <c r="C832" i="1"/>
  <c r="B832" i="1"/>
  <c r="A832" i="1"/>
  <c r="S831" i="1"/>
  <c r="O831" i="1"/>
  <c r="K831" i="1"/>
  <c r="J831" i="1"/>
  <c r="I831" i="1"/>
  <c r="H831" i="1"/>
  <c r="G831" i="1"/>
  <c r="F831" i="1"/>
  <c r="E831" i="1"/>
  <c r="D831" i="1"/>
  <c r="C831" i="1"/>
  <c r="B831" i="1"/>
  <c r="A831" i="1"/>
  <c r="R830" i="1"/>
  <c r="J830" i="1"/>
  <c r="I830" i="1"/>
  <c r="G830" i="1"/>
  <c r="F830" i="1"/>
  <c r="E830" i="1"/>
  <c r="D830" i="1"/>
  <c r="C830" i="1"/>
  <c r="B830" i="1"/>
  <c r="A830" i="1"/>
  <c r="S829" i="1"/>
  <c r="O829" i="1"/>
  <c r="K829" i="1"/>
  <c r="J829" i="1"/>
  <c r="I829" i="1"/>
  <c r="H829" i="1"/>
  <c r="G829" i="1"/>
  <c r="F829" i="1"/>
  <c r="E829" i="1"/>
  <c r="D829" i="1"/>
  <c r="C829" i="1"/>
  <c r="B829" i="1"/>
  <c r="A829" i="1"/>
  <c r="R828" i="1"/>
  <c r="J828" i="1"/>
  <c r="I828" i="1"/>
  <c r="G828" i="1"/>
  <c r="F828" i="1"/>
  <c r="E828" i="1"/>
  <c r="D828" i="1"/>
  <c r="C828" i="1"/>
  <c r="B828" i="1"/>
  <c r="A828" i="1"/>
  <c r="S827" i="1"/>
  <c r="O827" i="1"/>
  <c r="K827" i="1"/>
  <c r="J827" i="1"/>
  <c r="I827" i="1"/>
  <c r="H827" i="1"/>
  <c r="G827" i="1"/>
  <c r="F827" i="1"/>
  <c r="E827" i="1"/>
  <c r="D827" i="1"/>
  <c r="C827" i="1"/>
  <c r="B827" i="1"/>
  <c r="A827" i="1"/>
  <c r="R826" i="1"/>
  <c r="J826" i="1"/>
  <c r="I826" i="1"/>
  <c r="G826" i="1"/>
  <c r="F826" i="1"/>
  <c r="E826" i="1"/>
  <c r="D826" i="1"/>
  <c r="C826" i="1"/>
  <c r="B826" i="1"/>
  <c r="A826" i="1"/>
  <c r="S825" i="1"/>
  <c r="O825" i="1"/>
  <c r="K825" i="1"/>
  <c r="J825" i="1"/>
  <c r="I825" i="1"/>
  <c r="H825" i="1"/>
  <c r="G825" i="1"/>
  <c r="F825" i="1"/>
  <c r="E825" i="1"/>
  <c r="D825" i="1"/>
  <c r="C825" i="1"/>
  <c r="B825" i="1"/>
  <c r="A825" i="1"/>
  <c r="R824" i="1"/>
  <c r="J824" i="1"/>
  <c r="I824" i="1"/>
  <c r="G824" i="1"/>
  <c r="F824" i="1"/>
  <c r="E824" i="1"/>
  <c r="D824" i="1"/>
  <c r="C824" i="1"/>
  <c r="B824" i="1"/>
  <c r="A824" i="1"/>
  <c r="S823" i="1"/>
  <c r="O823" i="1"/>
  <c r="K823" i="1"/>
  <c r="J823" i="1"/>
  <c r="I823" i="1"/>
  <c r="H823" i="1"/>
  <c r="G823" i="1"/>
  <c r="F823" i="1"/>
  <c r="E823" i="1"/>
  <c r="D823" i="1"/>
  <c r="C823" i="1"/>
  <c r="B823" i="1"/>
  <c r="A823" i="1"/>
  <c r="R822" i="1"/>
  <c r="J822" i="1"/>
  <c r="I822" i="1"/>
  <c r="G822" i="1"/>
  <c r="F822" i="1"/>
  <c r="E822" i="1"/>
  <c r="D822" i="1"/>
  <c r="C822" i="1"/>
  <c r="B822" i="1"/>
  <c r="A822" i="1"/>
  <c r="S821" i="1"/>
  <c r="O821" i="1"/>
  <c r="K821" i="1"/>
  <c r="J821" i="1"/>
  <c r="I821" i="1"/>
  <c r="H821" i="1"/>
  <c r="G821" i="1"/>
  <c r="F821" i="1"/>
  <c r="E821" i="1"/>
  <c r="D821" i="1"/>
  <c r="C821" i="1"/>
  <c r="B821" i="1"/>
  <c r="A821" i="1"/>
  <c r="R820" i="1"/>
  <c r="J820" i="1"/>
  <c r="I820" i="1"/>
  <c r="G820" i="1"/>
  <c r="F820" i="1"/>
  <c r="E820" i="1"/>
  <c r="D820" i="1"/>
  <c r="C820" i="1"/>
  <c r="B820" i="1"/>
  <c r="A820" i="1"/>
  <c r="S819" i="1"/>
  <c r="O819" i="1"/>
  <c r="K819" i="1"/>
  <c r="J819" i="1"/>
  <c r="I819" i="1"/>
  <c r="H819" i="1"/>
  <c r="G819" i="1"/>
  <c r="F819" i="1"/>
  <c r="E819" i="1"/>
  <c r="D819" i="1"/>
  <c r="C819" i="1"/>
  <c r="B819" i="1"/>
  <c r="A819" i="1"/>
  <c r="R818" i="1"/>
  <c r="J818" i="1"/>
  <c r="I818" i="1"/>
  <c r="G818" i="1"/>
  <c r="F818" i="1"/>
  <c r="E818" i="1"/>
  <c r="D818" i="1"/>
  <c r="C818" i="1"/>
  <c r="B818" i="1"/>
  <c r="A818" i="1"/>
  <c r="S817" i="1"/>
  <c r="O817" i="1"/>
  <c r="K817" i="1"/>
  <c r="J817" i="1"/>
  <c r="I817" i="1"/>
  <c r="H817" i="1"/>
  <c r="G817" i="1"/>
  <c r="F817" i="1"/>
  <c r="E817" i="1"/>
  <c r="D817" i="1"/>
  <c r="C817" i="1"/>
  <c r="B817" i="1"/>
  <c r="A817" i="1"/>
  <c r="R816" i="1"/>
  <c r="J816" i="1"/>
  <c r="I816" i="1"/>
  <c r="G816" i="1"/>
  <c r="F816" i="1"/>
  <c r="E816" i="1"/>
  <c r="D816" i="1"/>
  <c r="C816" i="1"/>
  <c r="B816" i="1"/>
  <c r="A816" i="1"/>
  <c r="S815" i="1"/>
  <c r="O815" i="1"/>
  <c r="K815" i="1"/>
  <c r="J815" i="1"/>
  <c r="I815" i="1"/>
  <c r="H815" i="1"/>
  <c r="G815" i="1"/>
  <c r="F815" i="1"/>
  <c r="E815" i="1"/>
  <c r="D815" i="1"/>
  <c r="C815" i="1"/>
  <c r="B815" i="1"/>
  <c r="A815" i="1"/>
  <c r="R814" i="1"/>
  <c r="J814" i="1"/>
  <c r="I814" i="1"/>
  <c r="G814" i="1"/>
  <c r="F814" i="1"/>
  <c r="E814" i="1"/>
  <c r="D814" i="1"/>
  <c r="C814" i="1"/>
  <c r="B814" i="1"/>
  <c r="A814" i="1"/>
  <c r="S813" i="1"/>
  <c r="O813" i="1"/>
  <c r="K813" i="1"/>
  <c r="J813" i="1"/>
  <c r="I813" i="1"/>
  <c r="H813" i="1"/>
  <c r="G813" i="1"/>
  <c r="F813" i="1"/>
  <c r="E813" i="1"/>
  <c r="D813" i="1"/>
  <c r="C813" i="1"/>
  <c r="B813" i="1"/>
  <c r="A813" i="1"/>
  <c r="R812" i="1"/>
  <c r="J812" i="1"/>
  <c r="I812" i="1"/>
  <c r="G812" i="1"/>
  <c r="F812" i="1"/>
  <c r="E812" i="1"/>
  <c r="D812" i="1"/>
  <c r="C812" i="1"/>
  <c r="B812" i="1"/>
  <c r="A812" i="1"/>
  <c r="S811" i="1"/>
  <c r="O811" i="1"/>
  <c r="K811" i="1"/>
  <c r="J811" i="1"/>
  <c r="I811" i="1"/>
  <c r="H811" i="1"/>
  <c r="G811" i="1"/>
  <c r="F811" i="1"/>
  <c r="E811" i="1"/>
  <c r="D811" i="1"/>
  <c r="C811" i="1"/>
  <c r="B811" i="1"/>
  <c r="A811" i="1"/>
  <c r="R810" i="1"/>
  <c r="J810" i="1"/>
  <c r="I810" i="1"/>
  <c r="G810" i="1"/>
  <c r="F810" i="1"/>
  <c r="E810" i="1"/>
  <c r="D810" i="1"/>
  <c r="C810" i="1"/>
  <c r="B810" i="1"/>
  <c r="A810" i="1"/>
  <c r="S809" i="1"/>
  <c r="O809" i="1"/>
  <c r="K809" i="1"/>
  <c r="J809" i="1"/>
  <c r="I809" i="1"/>
  <c r="H809" i="1"/>
  <c r="G809" i="1"/>
  <c r="F809" i="1"/>
  <c r="E809" i="1"/>
  <c r="D809" i="1"/>
  <c r="C809" i="1"/>
  <c r="B809" i="1"/>
  <c r="A809" i="1"/>
  <c r="R808" i="1"/>
  <c r="J808" i="1"/>
  <c r="I808" i="1"/>
  <c r="G808" i="1"/>
  <c r="F808" i="1"/>
  <c r="E808" i="1"/>
  <c r="D808" i="1"/>
  <c r="C808" i="1"/>
  <c r="B808" i="1"/>
  <c r="A808" i="1"/>
  <c r="S807" i="1"/>
  <c r="O807" i="1"/>
  <c r="K807" i="1"/>
  <c r="J807" i="1"/>
  <c r="I807" i="1"/>
  <c r="H807" i="1"/>
  <c r="G807" i="1"/>
  <c r="F807" i="1"/>
  <c r="E807" i="1"/>
  <c r="D807" i="1"/>
  <c r="C807" i="1"/>
  <c r="B807" i="1"/>
  <c r="A807" i="1"/>
  <c r="R806" i="1"/>
  <c r="J806" i="1"/>
  <c r="I806" i="1"/>
  <c r="G806" i="1"/>
  <c r="F806" i="1"/>
  <c r="E806" i="1"/>
  <c r="D806" i="1"/>
  <c r="C806" i="1"/>
  <c r="B806" i="1"/>
  <c r="A806" i="1"/>
  <c r="R805" i="1"/>
  <c r="J805" i="1"/>
  <c r="I805" i="1"/>
  <c r="G805" i="1"/>
  <c r="F805" i="1"/>
  <c r="E805" i="1"/>
  <c r="D805" i="1"/>
  <c r="C805" i="1"/>
  <c r="B805" i="1"/>
  <c r="A805" i="1"/>
  <c r="R804" i="1"/>
  <c r="J804" i="1"/>
  <c r="I804" i="1"/>
  <c r="G804" i="1"/>
  <c r="F804" i="1"/>
  <c r="E804" i="1"/>
  <c r="D804" i="1"/>
  <c r="C804" i="1"/>
  <c r="B804" i="1"/>
  <c r="A804" i="1"/>
  <c r="S803" i="1"/>
  <c r="O803" i="1"/>
  <c r="K803" i="1"/>
  <c r="J803" i="1"/>
  <c r="I803" i="1"/>
  <c r="H803" i="1"/>
  <c r="G803" i="1"/>
  <c r="F803" i="1"/>
  <c r="E803" i="1"/>
  <c r="D803" i="1"/>
  <c r="C803" i="1"/>
  <c r="B803" i="1"/>
  <c r="A803" i="1"/>
  <c r="R802" i="1"/>
  <c r="J802" i="1"/>
  <c r="I802" i="1"/>
  <c r="G802" i="1"/>
  <c r="F802" i="1"/>
  <c r="E802" i="1"/>
  <c r="D802" i="1"/>
  <c r="C802" i="1"/>
  <c r="B802" i="1"/>
  <c r="A802" i="1"/>
  <c r="S801" i="1"/>
  <c r="O801" i="1"/>
  <c r="K801" i="1"/>
  <c r="J801" i="1"/>
  <c r="I801" i="1"/>
  <c r="H801" i="1"/>
  <c r="G801" i="1"/>
  <c r="F801" i="1"/>
  <c r="E801" i="1"/>
  <c r="D801" i="1"/>
  <c r="C801" i="1"/>
  <c r="B801" i="1"/>
  <c r="A801" i="1"/>
  <c r="R800" i="1"/>
  <c r="J800" i="1"/>
  <c r="I800" i="1"/>
  <c r="G800" i="1"/>
  <c r="F800" i="1"/>
  <c r="E800" i="1"/>
  <c r="D800" i="1"/>
  <c r="C800" i="1"/>
  <c r="B800" i="1"/>
  <c r="A800" i="1"/>
  <c r="R799" i="1"/>
  <c r="J799" i="1"/>
  <c r="I799" i="1"/>
  <c r="G799" i="1"/>
  <c r="F799" i="1"/>
  <c r="E799" i="1"/>
  <c r="D799" i="1"/>
  <c r="C799" i="1"/>
  <c r="B799" i="1"/>
  <c r="A799" i="1"/>
  <c r="R798" i="1"/>
  <c r="J798" i="1"/>
  <c r="I798" i="1"/>
  <c r="G798" i="1"/>
  <c r="F798" i="1"/>
  <c r="E798" i="1"/>
  <c r="D798" i="1"/>
  <c r="C798" i="1"/>
  <c r="B798" i="1"/>
  <c r="A798" i="1"/>
  <c r="S797" i="1"/>
  <c r="O797" i="1"/>
  <c r="K797" i="1"/>
  <c r="J797" i="1"/>
  <c r="I797" i="1"/>
  <c r="H797" i="1"/>
  <c r="G797" i="1"/>
  <c r="F797" i="1"/>
  <c r="E797" i="1"/>
  <c r="D797" i="1"/>
  <c r="C797" i="1"/>
  <c r="B797" i="1"/>
  <c r="A797" i="1"/>
  <c r="R796" i="1"/>
  <c r="J796" i="1"/>
  <c r="I796" i="1"/>
  <c r="G796" i="1"/>
  <c r="F796" i="1"/>
  <c r="E796" i="1"/>
  <c r="D796" i="1"/>
  <c r="C796" i="1"/>
  <c r="B796" i="1"/>
  <c r="A796" i="1"/>
  <c r="S795" i="1"/>
  <c r="O795" i="1"/>
  <c r="K795" i="1"/>
  <c r="J795" i="1"/>
  <c r="I795" i="1"/>
  <c r="H795" i="1"/>
  <c r="G795" i="1"/>
  <c r="F795" i="1"/>
  <c r="E795" i="1"/>
  <c r="D795" i="1"/>
  <c r="C795" i="1"/>
  <c r="B795" i="1"/>
  <c r="A795" i="1"/>
  <c r="R794" i="1"/>
  <c r="J794" i="1"/>
  <c r="I794" i="1"/>
  <c r="G794" i="1"/>
  <c r="F794" i="1"/>
  <c r="E794" i="1"/>
  <c r="D794" i="1"/>
  <c r="C794" i="1"/>
  <c r="B794" i="1"/>
  <c r="A794" i="1"/>
  <c r="R793" i="1"/>
  <c r="J793" i="1"/>
  <c r="I793" i="1"/>
  <c r="G793" i="1"/>
  <c r="F793" i="1"/>
  <c r="E793" i="1"/>
  <c r="D793" i="1"/>
  <c r="C793" i="1"/>
  <c r="B793" i="1"/>
  <c r="A793" i="1"/>
  <c r="R792" i="1"/>
  <c r="J792" i="1"/>
  <c r="I792" i="1"/>
  <c r="G792" i="1"/>
  <c r="F792" i="1"/>
  <c r="E792" i="1"/>
  <c r="D792" i="1"/>
  <c r="C792" i="1"/>
  <c r="B792" i="1"/>
  <c r="A792" i="1"/>
  <c r="S791" i="1"/>
  <c r="O791" i="1"/>
  <c r="K791" i="1"/>
  <c r="J791" i="1"/>
  <c r="I791" i="1"/>
  <c r="H791" i="1"/>
  <c r="G791" i="1"/>
  <c r="F791" i="1"/>
  <c r="E791" i="1"/>
  <c r="D791" i="1"/>
  <c r="C791" i="1"/>
  <c r="B791" i="1"/>
  <c r="A791" i="1"/>
  <c r="R790" i="1"/>
  <c r="J790" i="1"/>
  <c r="I790" i="1"/>
  <c r="G790" i="1"/>
  <c r="F790" i="1"/>
  <c r="E790" i="1"/>
  <c r="D790" i="1"/>
  <c r="C790" i="1"/>
  <c r="B790" i="1"/>
  <c r="A790" i="1"/>
  <c r="R789" i="1"/>
  <c r="J789" i="1"/>
  <c r="I789" i="1"/>
  <c r="G789" i="1"/>
  <c r="F789" i="1"/>
  <c r="E789" i="1"/>
  <c r="D789" i="1"/>
  <c r="C789" i="1"/>
  <c r="B789" i="1"/>
  <c r="A789" i="1"/>
  <c r="R788" i="1"/>
  <c r="J788" i="1"/>
  <c r="I788" i="1"/>
  <c r="G788" i="1"/>
  <c r="F788" i="1"/>
  <c r="E788" i="1"/>
  <c r="D788" i="1"/>
  <c r="C788" i="1"/>
  <c r="B788" i="1"/>
  <c r="A788" i="1"/>
  <c r="S787" i="1"/>
  <c r="O787" i="1"/>
  <c r="K787" i="1"/>
  <c r="J787" i="1"/>
  <c r="I787" i="1"/>
  <c r="H787" i="1"/>
  <c r="G787" i="1"/>
  <c r="F787" i="1"/>
  <c r="E787" i="1"/>
  <c r="D787" i="1"/>
  <c r="C787" i="1"/>
  <c r="B787" i="1"/>
  <c r="A787" i="1"/>
  <c r="R786" i="1"/>
  <c r="J786" i="1"/>
  <c r="I786" i="1"/>
  <c r="G786" i="1"/>
  <c r="F786" i="1"/>
  <c r="E786" i="1"/>
  <c r="D786" i="1"/>
  <c r="C786" i="1"/>
  <c r="B786" i="1"/>
  <c r="A786" i="1"/>
  <c r="S785" i="1"/>
  <c r="O785" i="1"/>
  <c r="K785" i="1"/>
  <c r="J785" i="1"/>
  <c r="I785" i="1"/>
  <c r="H785" i="1"/>
  <c r="G785" i="1"/>
  <c r="F785" i="1"/>
  <c r="E785" i="1"/>
  <c r="D785" i="1"/>
  <c r="C785" i="1"/>
  <c r="B785" i="1"/>
  <c r="A785" i="1"/>
  <c r="R784" i="1"/>
  <c r="J784" i="1"/>
  <c r="I784" i="1"/>
  <c r="G784" i="1"/>
  <c r="F784" i="1"/>
  <c r="E784" i="1"/>
  <c r="D784" i="1"/>
  <c r="C784" i="1"/>
  <c r="B784" i="1"/>
  <c r="A784" i="1"/>
  <c r="R783" i="1"/>
  <c r="J783" i="1"/>
  <c r="I783" i="1"/>
  <c r="G783" i="1"/>
  <c r="F783" i="1"/>
  <c r="E783" i="1"/>
  <c r="D783" i="1"/>
  <c r="C783" i="1"/>
  <c r="B783" i="1"/>
  <c r="A783" i="1"/>
  <c r="R782" i="1"/>
  <c r="J782" i="1"/>
  <c r="I782" i="1"/>
  <c r="G782" i="1"/>
  <c r="F782" i="1"/>
  <c r="E782" i="1"/>
  <c r="D782" i="1"/>
  <c r="C782" i="1"/>
  <c r="B782" i="1"/>
  <c r="A782" i="1"/>
  <c r="S781" i="1"/>
  <c r="O781" i="1"/>
  <c r="K781" i="1"/>
  <c r="J781" i="1"/>
  <c r="I781" i="1"/>
  <c r="H781" i="1"/>
  <c r="G781" i="1"/>
  <c r="F781" i="1"/>
  <c r="E781" i="1"/>
  <c r="D781" i="1"/>
  <c r="C781" i="1"/>
  <c r="B781" i="1"/>
  <c r="A781" i="1"/>
  <c r="R780" i="1"/>
  <c r="J780" i="1"/>
  <c r="I780" i="1"/>
  <c r="G780" i="1"/>
  <c r="F780" i="1"/>
  <c r="E780" i="1"/>
  <c r="D780" i="1"/>
  <c r="C780" i="1"/>
  <c r="B780" i="1"/>
  <c r="A780" i="1"/>
  <c r="S779" i="1"/>
  <c r="O779" i="1"/>
  <c r="K779" i="1"/>
  <c r="J779" i="1"/>
  <c r="I779" i="1"/>
  <c r="H779" i="1"/>
  <c r="G779" i="1"/>
  <c r="F779" i="1"/>
  <c r="E779" i="1"/>
  <c r="D779" i="1"/>
  <c r="C779" i="1"/>
  <c r="B779" i="1"/>
  <c r="A779" i="1"/>
  <c r="R778" i="1"/>
  <c r="J778" i="1"/>
  <c r="I778" i="1"/>
  <c r="G778" i="1"/>
  <c r="F778" i="1"/>
  <c r="E778" i="1"/>
  <c r="D778" i="1"/>
  <c r="C778" i="1"/>
  <c r="B778" i="1"/>
  <c r="A778" i="1"/>
  <c r="S777" i="1"/>
  <c r="O777" i="1"/>
  <c r="K777" i="1"/>
  <c r="J777" i="1"/>
  <c r="I777" i="1"/>
  <c r="H777" i="1"/>
  <c r="G777" i="1"/>
  <c r="F777" i="1"/>
  <c r="E777" i="1"/>
  <c r="D777" i="1"/>
  <c r="C777" i="1"/>
  <c r="B777" i="1"/>
  <c r="A777" i="1"/>
  <c r="R776" i="1"/>
  <c r="J776" i="1"/>
  <c r="I776" i="1"/>
  <c r="G776" i="1"/>
  <c r="F776" i="1"/>
  <c r="E776" i="1"/>
  <c r="D776" i="1"/>
  <c r="C776" i="1"/>
  <c r="B776" i="1"/>
  <c r="A776" i="1"/>
  <c r="R775" i="1"/>
  <c r="J775" i="1"/>
  <c r="I775" i="1"/>
  <c r="G775" i="1"/>
  <c r="F775" i="1"/>
  <c r="E775" i="1"/>
  <c r="D775" i="1"/>
  <c r="C775" i="1"/>
  <c r="B775" i="1"/>
  <c r="A775" i="1"/>
  <c r="R774" i="1"/>
  <c r="J774" i="1"/>
  <c r="I774" i="1"/>
  <c r="G774" i="1"/>
  <c r="F774" i="1"/>
  <c r="E774" i="1"/>
  <c r="D774" i="1"/>
  <c r="C774" i="1"/>
  <c r="B774" i="1"/>
  <c r="A774" i="1"/>
  <c r="S773" i="1"/>
  <c r="O773" i="1"/>
  <c r="K773" i="1"/>
  <c r="J773" i="1"/>
  <c r="I773" i="1"/>
  <c r="H773" i="1"/>
  <c r="G773" i="1"/>
  <c r="F773" i="1"/>
  <c r="E773" i="1"/>
  <c r="D773" i="1"/>
  <c r="C773" i="1"/>
  <c r="B773" i="1"/>
  <c r="A773" i="1"/>
  <c r="R772" i="1"/>
  <c r="J772" i="1"/>
  <c r="I772" i="1"/>
  <c r="G772" i="1"/>
  <c r="F772" i="1"/>
  <c r="E772" i="1"/>
  <c r="D772" i="1"/>
  <c r="C772" i="1"/>
  <c r="B772" i="1"/>
  <c r="A772" i="1"/>
  <c r="R771" i="1"/>
  <c r="J771" i="1"/>
  <c r="I771" i="1"/>
  <c r="G771" i="1"/>
  <c r="F771" i="1"/>
  <c r="E771" i="1"/>
  <c r="D771" i="1"/>
  <c r="C771" i="1"/>
  <c r="B771" i="1"/>
  <c r="A771" i="1"/>
  <c r="R770" i="1"/>
  <c r="J770" i="1"/>
  <c r="I770" i="1"/>
  <c r="G770" i="1"/>
  <c r="F770" i="1"/>
  <c r="E770" i="1"/>
  <c r="D770" i="1"/>
  <c r="C770" i="1"/>
  <c r="B770" i="1"/>
  <c r="A770" i="1"/>
  <c r="R769" i="1"/>
  <c r="J769" i="1"/>
  <c r="I769" i="1"/>
  <c r="G769" i="1"/>
  <c r="F769" i="1"/>
  <c r="E769" i="1"/>
  <c r="D769" i="1"/>
  <c r="C769" i="1"/>
  <c r="B769" i="1"/>
  <c r="A769" i="1"/>
  <c r="S768" i="1"/>
  <c r="O768" i="1"/>
  <c r="K768" i="1"/>
  <c r="J768" i="1"/>
  <c r="I768" i="1"/>
  <c r="H768" i="1"/>
  <c r="G768" i="1"/>
  <c r="F768" i="1"/>
  <c r="E768" i="1"/>
  <c r="D768" i="1"/>
  <c r="C768" i="1"/>
  <c r="B768" i="1"/>
  <c r="A768" i="1"/>
  <c r="R767" i="1"/>
  <c r="J767" i="1"/>
  <c r="I767" i="1"/>
  <c r="G767" i="1"/>
  <c r="F767" i="1"/>
  <c r="E767" i="1"/>
  <c r="D767" i="1"/>
  <c r="C767" i="1"/>
  <c r="B767" i="1"/>
  <c r="A767" i="1"/>
  <c r="S766" i="1"/>
  <c r="O766" i="1"/>
  <c r="K766" i="1"/>
  <c r="J766" i="1"/>
  <c r="I766" i="1"/>
  <c r="H766" i="1"/>
  <c r="G766" i="1"/>
  <c r="F766" i="1"/>
  <c r="E766" i="1"/>
  <c r="D766" i="1"/>
  <c r="C766" i="1"/>
  <c r="B766" i="1"/>
  <c r="A766" i="1"/>
  <c r="R765" i="1"/>
  <c r="J765" i="1"/>
  <c r="I765" i="1"/>
  <c r="G765" i="1"/>
  <c r="F765" i="1"/>
  <c r="E765" i="1"/>
  <c r="D765" i="1"/>
  <c r="C765" i="1"/>
  <c r="B765" i="1"/>
  <c r="A765" i="1"/>
  <c r="R764" i="1"/>
  <c r="J764" i="1"/>
  <c r="I764" i="1"/>
  <c r="G764" i="1"/>
  <c r="F764" i="1"/>
  <c r="E764" i="1"/>
  <c r="D764" i="1"/>
  <c r="C764" i="1"/>
  <c r="B764" i="1"/>
  <c r="A764" i="1"/>
  <c r="S763" i="1"/>
  <c r="O763" i="1"/>
  <c r="K763" i="1"/>
  <c r="J763" i="1"/>
  <c r="I763" i="1"/>
  <c r="H763" i="1"/>
  <c r="G763" i="1"/>
  <c r="F763" i="1"/>
  <c r="E763" i="1"/>
  <c r="D763" i="1"/>
  <c r="C763" i="1"/>
  <c r="B763" i="1"/>
  <c r="A763" i="1"/>
  <c r="R762" i="1"/>
  <c r="J762" i="1"/>
  <c r="I762" i="1"/>
  <c r="G762" i="1"/>
  <c r="F762" i="1"/>
  <c r="E762" i="1"/>
  <c r="D762" i="1"/>
  <c r="C762" i="1"/>
  <c r="B762" i="1"/>
  <c r="A762" i="1"/>
  <c r="S761" i="1"/>
  <c r="O761" i="1"/>
  <c r="K761" i="1"/>
  <c r="J761" i="1"/>
  <c r="I761" i="1"/>
  <c r="H761" i="1"/>
  <c r="G761" i="1"/>
  <c r="F761" i="1"/>
  <c r="E761" i="1"/>
  <c r="D761" i="1"/>
  <c r="C761" i="1"/>
  <c r="B761" i="1"/>
  <c r="A761" i="1"/>
  <c r="R760" i="1"/>
  <c r="J760" i="1"/>
  <c r="I760" i="1"/>
  <c r="G760" i="1"/>
  <c r="F760" i="1"/>
  <c r="E760" i="1"/>
  <c r="D760" i="1"/>
  <c r="C760" i="1"/>
  <c r="B760" i="1"/>
  <c r="A760" i="1"/>
  <c r="S759" i="1"/>
  <c r="O759" i="1"/>
  <c r="K759" i="1"/>
  <c r="J759" i="1"/>
  <c r="I759" i="1"/>
  <c r="H759" i="1"/>
  <c r="G759" i="1"/>
  <c r="F759" i="1"/>
  <c r="E759" i="1"/>
  <c r="D759" i="1"/>
  <c r="C759" i="1"/>
  <c r="B759" i="1"/>
  <c r="A759" i="1"/>
  <c r="R758" i="1"/>
  <c r="J758" i="1"/>
  <c r="I758" i="1"/>
  <c r="G758" i="1"/>
  <c r="F758" i="1"/>
  <c r="E758" i="1"/>
  <c r="D758" i="1"/>
  <c r="C758" i="1"/>
  <c r="B758" i="1"/>
  <c r="A758" i="1"/>
  <c r="S757" i="1"/>
  <c r="O757" i="1"/>
  <c r="K757" i="1"/>
  <c r="J757" i="1"/>
  <c r="I757" i="1"/>
  <c r="H757" i="1"/>
  <c r="G757" i="1"/>
  <c r="F757" i="1"/>
  <c r="E757" i="1"/>
  <c r="D757" i="1"/>
  <c r="C757" i="1"/>
  <c r="B757" i="1"/>
  <c r="A757" i="1"/>
  <c r="R756" i="1"/>
  <c r="J756" i="1"/>
  <c r="I756" i="1"/>
  <c r="G756" i="1"/>
  <c r="F756" i="1"/>
  <c r="E756" i="1"/>
  <c r="D756" i="1"/>
  <c r="C756" i="1"/>
  <c r="B756" i="1"/>
  <c r="A756" i="1"/>
  <c r="S755" i="1"/>
  <c r="O755" i="1"/>
  <c r="K755" i="1"/>
  <c r="J755" i="1"/>
  <c r="I755" i="1"/>
  <c r="H755" i="1"/>
  <c r="G755" i="1"/>
  <c r="F755" i="1"/>
  <c r="E755" i="1"/>
  <c r="D755" i="1"/>
  <c r="C755" i="1"/>
  <c r="B755" i="1"/>
  <c r="A755" i="1"/>
  <c r="R754" i="1"/>
  <c r="J754" i="1"/>
  <c r="I754" i="1"/>
  <c r="G754" i="1"/>
  <c r="F754" i="1"/>
  <c r="E754" i="1"/>
  <c r="D754" i="1"/>
  <c r="C754" i="1"/>
  <c r="B754" i="1"/>
  <c r="A754" i="1"/>
  <c r="S753" i="1"/>
  <c r="O753" i="1"/>
  <c r="K753" i="1"/>
  <c r="J753" i="1"/>
  <c r="I753" i="1"/>
  <c r="H753" i="1"/>
  <c r="G753" i="1"/>
  <c r="F753" i="1"/>
  <c r="E753" i="1"/>
  <c r="D753" i="1"/>
  <c r="C753" i="1"/>
  <c r="B753" i="1"/>
  <c r="A753" i="1"/>
  <c r="R752" i="1"/>
  <c r="J752" i="1"/>
  <c r="I752" i="1"/>
  <c r="G752" i="1"/>
  <c r="F752" i="1"/>
  <c r="E752" i="1"/>
  <c r="D752" i="1"/>
  <c r="C752" i="1"/>
  <c r="B752" i="1"/>
  <c r="A752" i="1"/>
  <c r="S751" i="1"/>
  <c r="O751" i="1"/>
  <c r="K751" i="1"/>
  <c r="J751" i="1"/>
  <c r="I751" i="1"/>
  <c r="H751" i="1"/>
  <c r="G751" i="1"/>
  <c r="F751" i="1"/>
  <c r="E751" i="1"/>
  <c r="D751" i="1"/>
  <c r="C751" i="1"/>
  <c r="B751" i="1"/>
  <c r="A751" i="1"/>
  <c r="R750" i="1"/>
  <c r="J750" i="1"/>
  <c r="I750" i="1"/>
  <c r="G750" i="1"/>
  <c r="F750" i="1"/>
  <c r="E750" i="1"/>
  <c r="D750" i="1"/>
  <c r="C750" i="1"/>
  <c r="B750" i="1"/>
  <c r="A750" i="1"/>
  <c r="S749" i="1"/>
  <c r="O749" i="1"/>
  <c r="K749" i="1"/>
  <c r="J749" i="1"/>
  <c r="I749" i="1"/>
  <c r="H749" i="1"/>
  <c r="G749" i="1"/>
  <c r="F749" i="1"/>
  <c r="E749" i="1"/>
  <c r="D749" i="1"/>
  <c r="C749" i="1"/>
  <c r="B749" i="1"/>
  <c r="A749" i="1"/>
  <c r="R748" i="1"/>
  <c r="J748" i="1"/>
  <c r="I748" i="1"/>
  <c r="G748" i="1"/>
  <c r="F748" i="1"/>
  <c r="E748" i="1"/>
  <c r="D748" i="1"/>
  <c r="C748" i="1"/>
  <c r="B748" i="1"/>
  <c r="A748" i="1"/>
  <c r="S747" i="1"/>
  <c r="O747" i="1"/>
  <c r="K747" i="1"/>
  <c r="J747" i="1"/>
  <c r="I747" i="1"/>
  <c r="H747" i="1"/>
  <c r="G747" i="1"/>
  <c r="F747" i="1"/>
  <c r="E747" i="1"/>
  <c r="D747" i="1"/>
  <c r="C747" i="1"/>
  <c r="B747" i="1"/>
  <c r="A747" i="1"/>
  <c r="R746" i="1"/>
  <c r="J746" i="1"/>
  <c r="I746" i="1"/>
  <c r="G746" i="1"/>
  <c r="F746" i="1"/>
  <c r="E746" i="1"/>
  <c r="D746" i="1"/>
  <c r="C746" i="1"/>
  <c r="B746" i="1"/>
  <c r="A746" i="1"/>
  <c r="S745" i="1"/>
  <c r="O745" i="1"/>
  <c r="K745" i="1"/>
  <c r="J745" i="1"/>
  <c r="I745" i="1"/>
  <c r="H745" i="1"/>
  <c r="G745" i="1"/>
  <c r="F745" i="1"/>
  <c r="E745" i="1"/>
  <c r="D745" i="1"/>
  <c r="C745" i="1"/>
  <c r="B745" i="1"/>
  <c r="A745" i="1"/>
  <c r="R744" i="1"/>
  <c r="J744" i="1"/>
  <c r="I744" i="1"/>
  <c r="G744" i="1"/>
  <c r="F744" i="1"/>
  <c r="E744" i="1"/>
  <c r="D744" i="1"/>
  <c r="C744" i="1"/>
  <c r="B744" i="1"/>
  <c r="A744" i="1"/>
  <c r="R743" i="1"/>
  <c r="J743" i="1"/>
  <c r="I743" i="1"/>
  <c r="G743" i="1"/>
  <c r="F743" i="1"/>
  <c r="E743" i="1"/>
  <c r="D743" i="1"/>
  <c r="C743" i="1"/>
  <c r="B743" i="1"/>
  <c r="A743" i="1"/>
  <c r="S742" i="1"/>
  <c r="O742" i="1"/>
  <c r="K742" i="1"/>
  <c r="J742" i="1"/>
  <c r="I742" i="1"/>
  <c r="H742" i="1"/>
  <c r="G742" i="1"/>
  <c r="F742" i="1"/>
  <c r="E742" i="1"/>
  <c r="D742" i="1"/>
  <c r="C742" i="1"/>
  <c r="B742" i="1"/>
  <c r="A742" i="1"/>
  <c r="R741" i="1"/>
  <c r="J741" i="1"/>
  <c r="I741" i="1"/>
  <c r="G741" i="1"/>
  <c r="F741" i="1"/>
  <c r="E741" i="1"/>
  <c r="D741" i="1"/>
  <c r="C741" i="1"/>
  <c r="B741" i="1"/>
  <c r="A741" i="1"/>
  <c r="S740" i="1"/>
  <c r="O740" i="1"/>
  <c r="K740" i="1"/>
  <c r="J740" i="1"/>
  <c r="I740" i="1"/>
  <c r="H740" i="1"/>
  <c r="G740" i="1"/>
  <c r="F740" i="1"/>
  <c r="E740" i="1"/>
  <c r="D740" i="1"/>
  <c r="C740" i="1"/>
  <c r="B740" i="1"/>
  <c r="A740" i="1"/>
  <c r="R739" i="1"/>
  <c r="J739" i="1"/>
  <c r="I739" i="1"/>
  <c r="G739" i="1"/>
  <c r="F739" i="1"/>
  <c r="E739" i="1"/>
  <c r="D739" i="1"/>
  <c r="C739" i="1"/>
  <c r="B739" i="1"/>
  <c r="A739" i="1"/>
  <c r="S738" i="1"/>
  <c r="O738" i="1"/>
  <c r="K738" i="1"/>
  <c r="J738" i="1"/>
  <c r="I738" i="1"/>
  <c r="H738" i="1"/>
  <c r="G738" i="1"/>
  <c r="F738" i="1"/>
  <c r="E738" i="1"/>
  <c r="D738" i="1"/>
  <c r="C738" i="1"/>
  <c r="B738" i="1"/>
  <c r="A738" i="1"/>
  <c r="R737" i="1"/>
  <c r="J737" i="1"/>
  <c r="I737" i="1"/>
  <c r="G737" i="1"/>
  <c r="F737" i="1"/>
  <c r="E737" i="1"/>
  <c r="D737" i="1"/>
  <c r="C737" i="1"/>
  <c r="B737" i="1"/>
  <c r="A737" i="1"/>
  <c r="S736" i="1"/>
  <c r="O736" i="1"/>
  <c r="K736" i="1"/>
  <c r="J736" i="1"/>
  <c r="I736" i="1"/>
  <c r="H736" i="1"/>
  <c r="G736" i="1"/>
  <c r="F736" i="1"/>
  <c r="E736" i="1"/>
  <c r="D736" i="1"/>
  <c r="C736" i="1"/>
  <c r="B736" i="1"/>
  <c r="A736" i="1"/>
  <c r="R735" i="1"/>
  <c r="J735" i="1"/>
  <c r="I735" i="1"/>
  <c r="G735" i="1"/>
  <c r="F735" i="1"/>
  <c r="E735" i="1"/>
  <c r="D735" i="1"/>
  <c r="C735" i="1"/>
  <c r="B735" i="1"/>
  <c r="A735" i="1"/>
  <c r="S734" i="1"/>
  <c r="O734" i="1"/>
  <c r="K734" i="1"/>
  <c r="J734" i="1"/>
  <c r="I734" i="1"/>
  <c r="H734" i="1"/>
  <c r="G734" i="1"/>
  <c r="F734" i="1"/>
  <c r="E734" i="1"/>
  <c r="D734" i="1"/>
  <c r="C734" i="1"/>
  <c r="B734" i="1"/>
  <c r="A734" i="1"/>
  <c r="R733" i="1"/>
  <c r="J733" i="1"/>
  <c r="I733" i="1"/>
  <c r="G733" i="1"/>
  <c r="F733" i="1"/>
  <c r="E733" i="1"/>
  <c r="D733" i="1"/>
  <c r="C733" i="1"/>
  <c r="B733" i="1"/>
  <c r="A733" i="1"/>
  <c r="S732" i="1"/>
  <c r="O732" i="1"/>
  <c r="K732" i="1"/>
  <c r="J732" i="1"/>
  <c r="I732" i="1"/>
  <c r="H732" i="1"/>
  <c r="G732" i="1"/>
  <c r="F732" i="1"/>
  <c r="E732" i="1"/>
  <c r="D732" i="1"/>
  <c r="C732" i="1"/>
  <c r="B732" i="1"/>
  <c r="A732" i="1"/>
  <c r="R731" i="1"/>
  <c r="J731" i="1"/>
  <c r="I731" i="1"/>
  <c r="G731" i="1"/>
  <c r="F731" i="1"/>
  <c r="E731" i="1"/>
  <c r="D731" i="1"/>
  <c r="C731" i="1"/>
  <c r="B731" i="1"/>
  <c r="A731" i="1"/>
  <c r="S730" i="1"/>
  <c r="O730" i="1"/>
  <c r="K730" i="1"/>
  <c r="J730" i="1"/>
  <c r="I730" i="1"/>
  <c r="H730" i="1"/>
  <c r="G730" i="1"/>
  <c r="F730" i="1"/>
  <c r="E730" i="1"/>
  <c r="D730" i="1"/>
  <c r="C730" i="1"/>
  <c r="B730" i="1"/>
  <c r="A730" i="1"/>
  <c r="R729" i="1"/>
  <c r="J729" i="1"/>
  <c r="I729" i="1"/>
  <c r="G729" i="1"/>
  <c r="F729" i="1"/>
  <c r="E729" i="1"/>
  <c r="D729" i="1"/>
  <c r="C729" i="1"/>
  <c r="B729" i="1"/>
  <c r="A729" i="1"/>
  <c r="S728" i="1"/>
  <c r="O728" i="1"/>
  <c r="K728" i="1"/>
  <c r="J728" i="1"/>
  <c r="I728" i="1"/>
  <c r="H728" i="1"/>
  <c r="G728" i="1"/>
  <c r="F728" i="1"/>
  <c r="E728" i="1"/>
  <c r="D728" i="1"/>
  <c r="C728" i="1"/>
  <c r="B728" i="1"/>
  <c r="A728" i="1"/>
  <c r="R727" i="1"/>
  <c r="J727" i="1"/>
  <c r="I727" i="1"/>
  <c r="G727" i="1"/>
  <c r="F727" i="1"/>
  <c r="E727" i="1"/>
  <c r="D727" i="1"/>
  <c r="C727" i="1"/>
  <c r="B727" i="1"/>
  <c r="A727" i="1"/>
  <c r="S726" i="1"/>
  <c r="O726" i="1"/>
  <c r="K726" i="1"/>
  <c r="J726" i="1"/>
  <c r="I726" i="1"/>
  <c r="H726" i="1"/>
  <c r="G726" i="1"/>
  <c r="F726" i="1"/>
  <c r="E726" i="1"/>
  <c r="D726" i="1"/>
  <c r="C726" i="1"/>
  <c r="B726" i="1"/>
  <c r="A726" i="1"/>
  <c r="R725" i="1"/>
  <c r="J725" i="1"/>
  <c r="I725" i="1"/>
  <c r="G725" i="1"/>
  <c r="F725" i="1"/>
  <c r="E725" i="1"/>
  <c r="D725" i="1"/>
  <c r="C725" i="1"/>
  <c r="B725" i="1"/>
  <c r="A725" i="1"/>
  <c r="R724" i="1"/>
  <c r="J724" i="1"/>
  <c r="I724" i="1"/>
  <c r="G724" i="1"/>
  <c r="F724" i="1"/>
  <c r="E724" i="1"/>
  <c r="D724" i="1"/>
  <c r="C724" i="1"/>
  <c r="B724" i="1"/>
  <c r="A724" i="1"/>
  <c r="S723" i="1"/>
  <c r="O723" i="1"/>
  <c r="K723" i="1"/>
  <c r="J723" i="1"/>
  <c r="I723" i="1"/>
  <c r="H723" i="1"/>
  <c r="G723" i="1"/>
  <c r="F723" i="1"/>
  <c r="E723" i="1"/>
  <c r="D723" i="1"/>
  <c r="C723" i="1"/>
  <c r="B723" i="1"/>
  <c r="A723" i="1"/>
  <c r="R722" i="1"/>
  <c r="J722" i="1"/>
  <c r="I722" i="1"/>
  <c r="G722" i="1"/>
  <c r="F722" i="1"/>
  <c r="E722" i="1"/>
  <c r="D722" i="1"/>
  <c r="C722" i="1"/>
  <c r="B722" i="1"/>
  <c r="A722" i="1"/>
  <c r="R721" i="1"/>
  <c r="J721" i="1"/>
  <c r="I721" i="1"/>
  <c r="G721" i="1"/>
  <c r="F721" i="1"/>
  <c r="E721" i="1"/>
  <c r="D721" i="1"/>
  <c r="C721" i="1"/>
  <c r="B721" i="1"/>
  <c r="A721" i="1"/>
  <c r="S720" i="1"/>
  <c r="O720" i="1"/>
  <c r="K720" i="1"/>
  <c r="J720" i="1"/>
  <c r="I720" i="1"/>
  <c r="H720" i="1"/>
  <c r="G720" i="1"/>
  <c r="F720" i="1"/>
  <c r="E720" i="1"/>
  <c r="D720" i="1"/>
  <c r="C720" i="1"/>
  <c r="B720" i="1"/>
  <c r="A720" i="1"/>
  <c r="R719" i="1"/>
  <c r="J719" i="1"/>
  <c r="I719" i="1"/>
  <c r="G719" i="1"/>
  <c r="F719" i="1"/>
  <c r="E719" i="1"/>
  <c r="D719" i="1"/>
  <c r="C719" i="1"/>
  <c r="B719" i="1"/>
  <c r="A719" i="1"/>
  <c r="R718" i="1"/>
  <c r="J718" i="1"/>
  <c r="I718" i="1"/>
  <c r="G718" i="1"/>
  <c r="F718" i="1"/>
  <c r="E718" i="1"/>
  <c r="D718" i="1"/>
  <c r="C718" i="1"/>
  <c r="B718" i="1"/>
  <c r="A718" i="1"/>
  <c r="S717" i="1"/>
  <c r="O717" i="1"/>
  <c r="K717" i="1"/>
  <c r="J717" i="1"/>
  <c r="I717" i="1"/>
  <c r="H717" i="1"/>
  <c r="G717" i="1"/>
  <c r="F717" i="1"/>
  <c r="E717" i="1"/>
  <c r="D717" i="1"/>
  <c r="C717" i="1"/>
  <c r="B717" i="1"/>
  <c r="A717" i="1"/>
  <c r="R716" i="1"/>
  <c r="J716" i="1"/>
  <c r="I716" i="1"/>
  <c r="G716" i="1"/>
  <c r="F716" i="1"/>
  <c r="E716" i="1"/>
  <c r="D716" i="1"/>
  <c r="C716" i="1"/>
  <c r="B716" i="1"/>
  <c r="A716" i="1"/>
  <c r="S715" i="1"/>
  <c r="O715" i="1"/>
  <c r="K715" i="1"/>
  <c r="J715" i="1"/>
  <c r="I715" i="1"/>
  <c r="H715" i="1"/>
  <c r="G715" i="1"/>
  <c r="F715" i="1"/>
  <c r="E715" i="1"/>
  <c r="D715" i="1"/>
  <c r="C715" i="1"/>
  <c r="B715" i="1"/>
  <c r="A715" i="1"/>
  <c r="R714" i="1"/>
  <c r="J714" i="1"/>
  <c r="I714" i="1"/>
  <c r="G714" i="1"/>
  <c r="F714" i="1"/>
  <c r="E714" i="1"/>
  <c r="D714" i="1"/>
  <c r="C714" i="1"/>
  <c r="B714" i="1"/>
  <c r="A714" i="1"/>
  <c r="S713" i="1"/>
  <c r="O713" i="1"/>
  <c r="K713" i="1"/>
  <c r="J713" i="1"/>
  <c r="I713" i="1"/>
  <c r="H713" i="1"/>
  <c r="G713" i="1"/>
  <c r="F713" i="1"/>
  <c r="E713" i="1"/>
  <c r="D713" i="1"/>
  <c r="C713" i="1"/>
  <c r="B713" i="1"/>
  <c r="A713" i="1"/>
  <c r="R712" i="1"/>
  <c r="J712" i="1"/>
  <c r="I712" i="1"/>
  <c r="G712" i="1"/>
  <c r="F712" i="1"/>
  <c r="E712" i="1"/>
  <c r="D712" i="1"/>
  <c r="C712" i="1"/>
  <c r="B712" i="1"/>
  <c r="A712" i="1"/>
  <c r="S711" i="1"/>
  <c r="O711" i="1"/>
  <c r="K711" i="1"/>
  <c r="J711" i="1"/>
  <c r="I711" i="1"/>
  <c r="H711" i="1"/>
  <c r="G711" i="1"/>
  <c r="F711" i="1"/>
  <c r="E711" i="1"/>
  <c r="D711" i="1"/>
  <c r="C711" i="1"/>
  <c r="B711" i="1"/>
  <c r="A711" i="1"/>
  <c r="R710" i="1"/>
  <c r="J710" i="1"/>
  <c r="I710" i="1"/>
  <c r="G710" i="1"/>
  <c r="F710" i="1"/>
  <c r="E710" i="1"/>
  <c r="D710" i="1"/>
  <c r="C710" i="1"/>
  <c r="B710" i="1"/>
  <c r="A710" i="1"/>
  <c r="S709" i="1"/>
  <c r="O709" i="1"/>
  <c r="K709" i="1"/>
  <c r="J709" i="1"/>
  <c r="I709" i="1"/>
  <c r="H709" i="1"/>
  <c r="G709" i="1"/>
  <c r="F709" i="1"/>
  <c r="E709" i="1"/>
  <c r="D709" i="1"/>
  <c r="C709" i="1"/>
  <c r="B709" i="1"/>
  <c r="A709" i="1"/>
  <c r="R708" i="1"/>
  <c r="J708" i="1"/>
  <c r="I708" i="1"/>
  <c r="G708" i="1"/>
  <c r="F708" i="1"/>
  <c r="E708" i="1"/>
  <c r="D708" i="1"/>
  <c r="C708" i="1"/>
  <c r="B708" i="1"/>
  <c r="A708" i="1"/>
  <c r="S707" i="1"/>
  <c r="O707" i="1"/>
  <c r="K707" i="1"/>
  <c r="J707" i="1"/>
  <c r="I707" i="1"/>
  <c r="H707" i="1"/>
  <c r="G707" i="1"/>
  <c r="F707" i="1"/>
  <c r="E707" i="1"/>
  <c r="D707" i="1"/>
  <c r="C707" i="1"/>
  <c r="B707" i="1"/>
  <c r="A707" i="1"/>
  <c r="R706" i="1"/>
  <c r="J706" i="1"/>
  <c r="I706" i="1"/>
  <c r="G706" i="1"/>
  <c r="F706" i="1"/>
  <c r="E706" i="1"/>
  <c r="D706" i="1"/>
  <c r="C706" i="1"/>
  <c r="B706" i="1"/>
  <c r="A706" i="1"/>
  <c r="R705" i="1"/>
  <c r="J705" i="1"/>
  <c r="I705" i="1"/>
  <c r="G705" i="1"/>
  <c r="F705" i="1"/>
  <c r="E705" i="1"/>
  <c r="D705" i="1"/>
  <c r="C705" i="1"/>
  <c r="B705" i="1"/>
  <c r="A705" i="1"/>
  <c r="S704" i="1"/>
  <c r="O704" i="1"/>
  <c r="K704" i="1"/>
  <c r="J704" i="1"/>
  <c r="I704" i="1"/>
  <c r="H704" i="1"/>
  <c r="G704" i="1"/>
  <c r="F704" i="1"/>
  <c r="E704" i="1"/>
  <c r="D704" i="1"/>
  <c r="C704" i="1"/>
  <c r="B704" i="1"/>
  <c r="A704" i="1"/>
  <c r="R703" i="1"/>
  <c r="J703" i="1"/>
  <c r="I703" i="1"/>
  <c r="G703" i="1"/>
  <c r="F703" i="1"/>
  <c r="E703" i="1"/>
  <c r="D703" i="1"/>
  <c r="C703" i="1"/>
  <c r="B703" i="1"/>
  <c r="A703" i="1"/>
  <c r="S702" i="1"/>
  <c r="O702" i="1"/>
  <c r="K702" i="1"/>
  <c r="J702" i="1"/>
  <c r="I702" i="1"/>
  <c r="H702" i="1"/>
  <c r="G702" i="1"/>
  <c r="F702" i="1"/>
  <c r="E702" i="1"/>
  <c r="D702" i="1"/>
  <c r="C702" i="1"/>
  <c r="B702" i="1"/>
  <c r="A702" i="1"/>
  <c r="R701" i="1"/>
  <c r="J701" i="1"/>
  <c r="I701" i="1"/>
  <c r="G701" i="1"/>
  <c r="F701" i="1"/>
  <c r="E701" i="1"/>
  <c r="D701" i="1"/>
  <c r="C701" i="1"/>
  <c r="B701" i="1"/>
  <c r="A701" i="1"/>
  <c r="S700" i="1"/>
  <c r="O700" i="1"/>
  <c r="K700" i="1"/>
  <c r="J700" i="1"/>
  <c r="I700" i="1"/>
  <c r="H700" i="1"/>
  <c r="G700" i="1"/>
  <c r="F700" i="1"/>
  <c r="E700" i="1"/>
  <c r="D700" i="1"/>
  <c r="C700" i="1"/>
  <c r="B700" i="1"/>
  <c r="A700" i="1"/>
  <c r="R699" i="1"/>
  <c r="J699" i="1"/>
  <c r="I699" i="1"/>
  <c r="G699" i="1"/>
  <c r="F699" i="1"/>
  <c r="E699" i="1"/>
  <c r="D699" i="1"/>
  <c r="C699" i="1"/>
  <c r="B699" i="1"/>
  <c r="A699" i="1"/>
  <c r="S698" i="1"/>
  <c r="O698" i="1"/>
  <c r="K698" i="1"/>
  <c r="J698" i="1"/>
  <c r="I698" i="1"/>
  <c r="H698" i="1"/>
  <c r="G698" i="1"/>
  <c r="F698" i="1"/>
  <c r="E698" i="1"/>
  <c r="D698" i="1"/>
  <c r="C698" i="1"/>
  <c r="B698" i="1"/>
  <c r="A698" i="1"/>
  <c r="R697" i="1"/>
  <c r="J697" i="1"/>
  <c r="I697" i="1"/>
  <c r="G697" i="1"/>
  <c r="F697" i="1"/>
  <c r="E697" i="1"/>
  <c r="D697" i="1"/>
  <c r="C697" i="1"/>
  <c r="B697" i="1"/>
  <c r="A697" i="1"/>
  <c r="S696" i="1"/>
  <c r="O696" i="1"/>
  <c r="K696" i="1"/>
  <c r="J696" i="1"/>
  <c r="I696" i="1"/>
  <c r="H696" i="1"/>
  <c r="G696" i="1"/>
  <c r="F696" i="1"/>
  <c r="E696" i="1"/>
  <c r="D696" i="1"/>
  <c r="C696" i="1"/>
  <c r="B696" i="1"/>
  <c r="A696" i="1"/>
  <c r="R695" i="1"/>
  <c r="J695" i="1"/>
  <c r="I695" i="1"/>
  <c r="G695" i="1"/>
  <c r="F695" i="1"/>
  <c r="E695" i="1"/>
  <c r="D695" i="1"/>
  <c r="C695" i="1"/>
  <c r="B695" i="1"/>
  <c r="A695" i="1"/>
  <c r="S694" i="1"/>
  <c r="O694" i="1"/>
  <c r="K694" i="1"/>
  <c r="J694" i="1"/>
  <c r="I694" i="1"/>
  <c r="H694" i="1"/>
  <c r="G694" i="1"/>
  <c r="F694" i="1"/>
  <c r="E694" i="1"/>
  <c r="D694" i="1"/>
  <c r="C694" i="1"/>
  <c r="B694" i="1"/>
  <c r="A694" i="1"/>
  <c r="R693" i="1"/>
  <c r="J693" i="1"/>
  <c r="I693" i="1"/>
  <c r="G693" i="1"/>
  <c r="F693" i="1"/>
  <c r="E693" i="1"/>
  <c r="D693" i="1"/>
  <c r="C693" i="1"/>
  <c r="B693" i="1"/>
  <c r="A693" i="1"/>
  <c r="S692" i="1"/>
  <c r="O692" i="1"/>
  <c r="K692" i="1"/>
  <c r="J692" i="1"/>
  <c r="I692" i="1"/>
  <c r="H692" i="1"/>
  <c r="G692" i="1"/>
  <c r="F692" i="1"/>
  <c r="E692" i="1"/>
  <c r="D692" i="1"/>
  <c r="C692" i="1"/>
  <c r="B692" i="1"/>
  <c r="A692" i="1"/>
  <c r="R691" i="1"/>
  <c r="J691" i="1"/>
  <c r="I691" i="1"/>
  <c r="G691" i="1"/>
  <c r="F691" i="1"/>
  <c r="E691" i="1"/>
  <c r="D691" i="1"/>
  <c r="C691" i="1"/>
  <c r="B691" i="1"/>
  <c r="A691" i="1"/>
  <c r="R690" i="1"/>
  <c r="J690" i="1"/>
  <c r="I690" i="1"/>
  <c r="G690" i="1"/>
  <c r="F690" i="1"/>
  <c r="E690" i="1"/>
  <c r="D690" i="1"/>
  <c r="C690" i="1"/>
  <c r="B690" i="1"/>
  <c r="A690" i="1"/>
  <c r="S689" i="1"/>
  <c r="O689" i="1"/>
  <c r="K689" i="1"/>
  <c r="J689" i="1"/>
  <c r="I689" i="1"/>
  <c r="H689" i="1"/>
  <c r="G689" i="1"/>
  <c r="F689" i="1"/>
  <c r="E689" i="1"/>
  <c r="D689" i="1"/>
  <c r="C689" i="1"/>
  <c r="B689" i="1"/>
  <c r="A689" i="1"/>
  <c r="R688" i="1"/>
  <c r="J688" i="1"/>
  <c r="I688" i="1"/>
  <c r="G688" i="1"/>
  <c r="F688" i="1"/>
  <c r="E688" i="1"/>
  <c r="D688" i="1"/>
  <c r="C688" i="1"/>
  <c r="B688" i="1"/>
  <c r="A688" i="1"/>
  <c r="S687" i="1"/>
  <c r="O687" i="1"/>
  <c r="K687" i="1"/>
  <c r="J687" i="1"/>
  <c r="I687" i="1"/>
  <c r="H687" i="1"/>
  <c r="G687" i="1"/>
  <c r="F687" i="1"/>
  <c r="E687" i="1"/>
  <c r="D687" i="1"/>
  <c r="C687" i="1"/>
  <c r="B687" i="1"/>
  <c r="A687" i="1"/>
  <c r="R686" i="1"/>
  <c r="J686" i="1"/>
  <c r="I686" i="1"/>
  <c r="G686" i="1"/>
  <c r="F686" i="1"/>
  <c r="E686" i="1"/>
  <c r="D686" i="1"/>
  <c r="C686" i="1"/>
  <c r="B686" i="1"/>
  <c r="A686" i="1"/>
  <c r="S685" i="1"/>
  <c r="O685" i="1"/>
  <c r="K685" i="1"/>
  <c r="J685" i="1"/>
  <c r="I685" i="1"/>
  <c r="H685" i="1"/>
  <c r="G685" i="1"/>
  <c r="F685" i="1"/>
  <c r="E685" i="1"/>
  <c r="D685" i="1"/>
  <c r="C685" i="1"/>
  <c r="B685" i="1"/>
  <c r="A685" i="1"/>
  <c r="R684" i="1"/>
  <c r="J684" i="1"/>
  <c r="I684" i="1"/>
  <c r="G684" i="1"/>
  <c r="F684" i="1"/>
  <c r="E684" i="1"/>
  <c r="D684" i="1"/>
  <c r="C684" i="1"/>
  <c r="B684" i="1"/>
  <c r="A684" i="1"/>
  <c r="S683" i="1"/>
  <c r="O683" i="1"/>
  <c r="K683" i="1"/>
  <c r="J683" i="1"/>
  <c r="I683" i="1"/>
  <c r="H683" i="1"/>
  <c r="G683" i="1"/>
  <c r="F683" i="1"/>
  <c r="E683" i="1"/>
  <c r="D683" i="1"/>
  <c r="C683" i="1"/>
  <c r="B683" i="1"/>
  <c r="A683" i="1"/>
  <c r="R682" i="1"/>
  <c r="J682" i="1"/>
  <c r="I682" i="1"/>
  <c r="G682" i="1"/>
  <c r="F682" i="1"/>
  <c r="E682" i="1"/>
  <c r="D682" i="1"/>
  <c r="C682" i="1"/>
  <c r="B682" i="1"/>
  <c r="A682" i="1"/>
  <c r="S681" i="1"/>
  <c r="O681" i="1"/>
  <c r="K681" i="1"/>
  <c r="J681" i="1"/>
  <c r="I681" i="1"/>
  <c r="H681" i="1"/>
  <c r="G681" i="1"/>
  <c r="F681" i="1"/>
  <c r="E681" i="1"/>
  <c r="D681" i="1"/>
  <c r="C681" i="1"/>
  <c r="B681" i="1"/>
  <c r="A681" i="1"/>
  <c r="R680" i="1"/>
  <c r="J680" i="1"/>
  <c r="I680" i="1"/>
  <c r="G680" i="1"/>
  <c r="F680" i="1"/>
  <c r="E680" i="1"/>
  <c r="D680" i="1"/>
  <c r="C680" i="1"/>
  <c r="B680" i="1"/>
  <c r="A680" i="1"/>
  <c r="S679" i="1"/>
  <c r="O679" i="1"/>
  <c r="K679" i="1"/>
  <c r="J679" i="1"/>
  <c r="I679" i="1"/>
  <c r="H679" i="1"/>
  <c r="G679" i="1"/>
  <c r="F679" i="1"/>
  <c r="E679" i="1"/>
  <c r="D679" i="1"/>
  <c r="C679" i="1"/>
  <c r="B679" i="1"/>
  <c r="A679" i="1"/>
  <c r="R678" i="1"/>
  <c r="J678" i="1"/>
  <c r="I678" i="1"/>
  <c r="G678" i="1"/>
  <c r="F678" i="1"/>
  <c r="E678" i="1"/>
  <c r="D678" i="1"/>
  <c r="C678" i="1"/>
  <c r="B678" i="1"/>
  <c r="A678" i="1"/>
  <c r="S677" i="1"/>
  <c r="O677" i="1"/>
  <c r="K677" i="1"/>
  <c r="J677" i="1"/>
  <c r="I677" i="1"/>
  <c r="H677" i="1"/>
  <c r="G677" i="1"/>
  <c r="F677" i="1"/>
  <c r="E677" i="1"/>
  <c r="D677" i="1"/>
  <c r="C677" i="1"/>
  <c r="B677" i="1"/>
  <c r="A677" i="1"/>
  <c r="R676" i="1"/>
  <c r="J676" i="1"/>
  <c r="I676" i="1"/>
  <c r="G676" i="1"/>
  <c r="F676" i="1"/>
  <c r="E676" i="1"/>
  <c r="D676" i="1"/>
  <c r="C676" i="1"/>
  <c r="B676" i="1"/>
  <c r="A676" i="1"/>
  <c r="S675" i="1"/>
  <c r="O675" i="1"/>
  <c r="K675" i="1"/>
  <c r="J675" i="1"/>
  <c r="I675" i="1"/>
  <c r="H675" i="1"/>
  <c r="G675" i="1"/>
  <c r="F675" i="1"/>
  <c r="E675" i="1"/>
  <c r="D675" i="1"/>
  <c r="C675" i="1"/>
  <c r="B675" i="1"/>
  <c r="A675" i="1"/>
  <c r="R674" i="1"/>
  <c r="J674" i="1"/>
  <c r="I674" i="1"/>
  <c r="G674" i="1"/>
  <c r="F674" i="1"/>
  <c r="E674" i="1"/>
  <c r="D674" i="1"/>
  <c r="C674" i="1"/>
  <c r="B674" i="1"/>
  <c r="A674" i="1"/>
  <c r="R673" i="1"/>
  <c r="J673" i="1"/>
  <c r="I673" i="1"/>
  <c r="G673" i="1"/>
  <c r="F673" i="1"/>
  <c r="E673" i="1"/>
  <c r="D673" i="1"/>
  <c r="C673" i="1"/>
  <c r="B673" i="1"/>
  <c r="A673" i="1"/>
  <c r="R672" i="1"/>
  <c r="J672" i="1"/>
  <c r="I672" i="1"/>
  <c r="G672" i="1"/>
  <c r="F672" i="1"/>
  <c r="E672" i="1"/>
  <c r="D672" i="1"/>
  <c r="C672" i="1"/>
  <c r="B672" i="1"/>
  <c r="A672" i="1"/>
  <c r="R671" i="1"/>
  <c r="J671" i="1"/>
  <c r="I671" i="1"/>
  <c r="G671" i="1"/>
  <c r="F671" i="1"/>
  <c r="E671" i="1"/>
  <c r="D671" i="1"/>
  <c r="C671" i="1"/>
  <c r="B671" i="1"/>
  <c r="A671" i="1"/>
  <c r="S670" i="1"/>
  <c r="O670" i="1"/>
  <c r="K670" i="1"/>
  <c r="J670" i="1"/>
  <c r="I670" i="1"/>
  <c r="H670" i="1"/>
  <c r="G670" i="1"/>
  <c r="F670" i="1"/>
  <c r="E670" i="1"/>
  <c r="D670" i="1"/>
  <c r="C670" i="1"/>
  <c r="B670" i="1"/>
  <c r="A670" i="1"/>
  <c r="R669" i="1"/>
  <c r="J669" i="1"/>
  <c r="I669" i="1"/>
  <c r="G669" i="1"/>
  <c r="F669" i="1"/>
  <c r="E669" i="1"/>
  <c r="D669" i="1"/>
  <c r="C669" i="1"/>
  <c r="B669" i="1"/>
  <c r="A669" i="1"/>
  <c r="S668" i="1"/>
  <c r="O668" i="1"/>
  <c r="K668" i="1"/>
  <c r="J668" i="1"/>
  <c r="I668" i="1"/>
  <c r="H668" i="1"/>
  <c r="G668" i="1"/>
  <c r="F668" i="1"/>
  <c r="E668" i="1"/>
  <c r="D668" i="1"/>
  <c r="C668" i="1"/>
  <c r="B668" i="1"/>
  <c r="A668" i="1"/>
  <c r="R667" i="1"/>
  <c r="J667" i="1"/>
  <c r="I667" i="1"/>
  <c r="G667" i="1"/>
  <c r="F667" i="1"/>
  <c r="E667" i="1"/>
  <c r="D667" i="1"/>
  <c r="C667" i="1"/>
  <c r="B667" i="1"/>
  <c r="A667" i="1"/>
  <c r="S666" i="1"/>
  <c r="O666" i="1"/>
  <c r="K666" i="1"/>
  <c r="J666" i="1"/>
  <c r="I666" i="1"/>
  <c r="H666" i="1"/>
  <c r="G666" i="1"/>
  <c r="F666" i="1"/>
  <c r="E666" i="1"/>
  <c r="D666" i="1"/>
  <c r="C666" i="1"/>
  <c r="B666" i="1"/>
  <c r="A666" i="1"/>
  <c r="R665" i="1"/>
  <c r="J665" i="1"/>
  <c r="I665" i="1"/>
  <c r="G665" i="1"/>
  <c r="F665" i="1"/>
  <c r="E665" i="1"/>
  <c r="D665" i="1"/>
  <c r="C665" i="1"/>
  <c r="B665" i="1"/>
  <c r="A665" i="1"/>
  <c r="S664" i="1"/>
  <c r="O664" i="1"/>
  <c r="K664" i="1"/>
  <c r="J664" i="1"/>
  <c r="I664" i="1"/>
  <c r="H664" i="1"/>
  <c r="G664" i="1"/>
  <c r="F664" i="1"/>
  <c r="E664" i="1"/>
  <c r="D664" i="1"/>
  <c r="C664" i="1"/>
  <c r="B664" i="1"/>
  <c r="A664" i="1"/>
  <c r="R663" i="1"/>
  <c r="J663" i="1"/>
  <c r="I663" i="1"/>
  <c r="G663" i="1"/>
  <c r="F663" i="1"/>
  <c r="E663" i="1"/>
  <c r="D663" i="1"/>
  <c r="C663" i="1"/>
  <c r="B663" i="1"/>
  <c r="A663" i="1"/>
  <c r="S662" i="1"/>
  <c r="O662" i="1"/>
  <c r="K662" i="1"/>
  <c r="J662" i="1"/>
  <c r="I662" i="1"/>
  <c r="H662" i="1"/>
  <c r="G662" i="1"/>
  <c r="F662" i="1"/>
  <c r="E662" i="1"/>
  <c r="D662" i="1"/>
  <c r="C662" i="1"/>
  <c r="B662" i="1"/>
  <c r="A662" i="1"/>
  <c r="R661" i="1"/>
  <c r="J661" i="1"/>
  <c r="I661" i="1"/>
  <c r="G661" i="1"/>
  <c r="F661" i="1"/>
  <c r="E661" i="1"/>
  <c r="D661" i="1"/>
  <c r="C661" i="1"/>
  <c r="B661" i="1"/>
  <c r="A661" i="1"/>
  <c r="S660" i="1"/>
  <c r="O660" i="1"/>
  <c r="K660" i="1"/>
  <c r="J660" i="1"/>
  <c r="I660" i="1"/>
  <c r="H660" i="1"/>
  <c r="G660" i="1"/>
  <c r="F660" i="1"/>
  <c r="E660" i="1"/>
  <c r="D660" i="1"/>
  <c r="C660" i="1"/>
  <c r="B660" i="1"/>
  <c r="A660" i="1"/>
  <c r="R659" i="1"/>
  <c r="J659" i="1"/>
  <c r="I659" i="1"/>
  <c r="G659" i="1"/>
  <c r="F659" i="1"/>
  <c r="E659" i="1"/>
  <c r="D659" i="1"/>
  <c r="C659" i="1"/>
  <c r="B659" i="1"/>
  <c r="A659" i="1"/>
  <c r="S658" i="1"/>
  <c r="O658" i="1"/>
  <c r="K658" i="1"/>
  <c r="J658" i="1"/>
  <c r="I658" i="1"/>
  <c r="H658" i="1"/>
  <c r="G658" i="1"/>
  <c r="F658" i="1"/>
  <c r="E658" i="1"/>
  <c r="D658" i="1"/>
  <c r="C658" i="1"/>
  <c r="B658" i="1"/>
  <c r="A658" i="1"/>
  <c r="R657" i="1"/>
  <c r="J657" i="1"/>
  <c r="I657" i="1"/>
  <c r="G657" i="1"/>
  <c r="F657" i="1"/>
  <c r="E657" i="1"/>
  <c r="D657" i="1"/>
  <c r="C657" i="1"/>
  <c r="B657" i="1"/>
  <c r="A657" i="1"/>
  <c r="R656" i="1"/>
  <c r="J656" i="1"/>
  <c r="I656" i="1"/>
  <c r="G656" i="1"/>
  <c r="F656" i="1"/>
  <c r="E656" i="1"/>
  <c r="D656" i="1"/>
  <c r="C656" i="1"/>
  <c r="B656" i="1"/>
  <c r="A656" i="1"/>
  <c r="R655" i="1"/>
  <c r="J655" i="1"/>
  <c r="I655" i="1"/>
  <c r="G655" i="1"/>
  <c r="F655" i="1"/>
  <c r="E655" i="1"/>
  <c r="D655" i="1"/>
  <c r="C655" i="1"/>
  <c r="B655" i="1"/>
  <c r="A655" i="1"/>
  <c r="R654" i="1"/>
  <c r="J654" i="1"/>
  <c r="I654" i="1"/>
  <c r="G654" i="1"/>
  <c r="F654" i="1"/>
  <c r="E654" i="1"/>
  <c r="D654" i="1"/>
  <c r="C654" i="1"/>
  <c r="B654" i="1"/>
  <c r="A654" i="1"/>
  <c r="S653" i="1"/>
  <c r="O653" i="1"/>
  <c r="K653" i="1"/>
  <c r="J653" i="1"/>
  <c r="I653" i="1"/>
  <c r="H653" i="1"/>
  <c r="G653" i="1"/>
  <c r="F653" i="1"/>
  <c r="E653" i="1"/>
  <c r="D653" i="1"/>
  <c r="C653" i="1"/>
  <c r="B653" i="1"/>
  <c r="A653" i="1"/>
  <c r="R652" i="1"/>
  <c r="J652" i="1"/>
  <c r="I652" i="1"/>
  <c r="G652" i="1"/>
  <c r="F652" i="1"/>
  <c r="E652" i="1"/>
  <c r="D652" i="1"/>
  <c r="C652" i="1"/>
  <c r="B652" i="1"/>
  <c r="A652" i="1"/>
  <c r="S651" i="1"/>
  <c r="O651" i="1"/>
  <c r="K651" i="1"/>
  <c r="J651" i="1"/>
  <c r="I651" i="1"/>
  <c r="H651" i="1"/>
  <c r="G651" i="1"/>
  <c r="F651" i="1"/>
  <c r="E651" i="1"/>
  <c r="D651" i="1"/>
  <c r="C651" i="1"/>
  <c r="B651" i="1"/>
  <c r="A651" i="1"/>
  <c r="R650" i="1"/>
  <c r="J650" i="1"/>
  <c r="I650" i="1"/>
  <c r="G650" i="1"/>
  <c r="F650" i="1"/>
  <c r="E650" i="1"/>
  <c r="D650" i="1"/>
  <c r="C650" i="1"/>
  <c r="B650" i="1"/>
  <c r="A650" i="1"/>
  <c r="S649" i="1"/>
  <c r="O649" i="1"/>
  <c r="K649" i="1"/>
  <c r="J649" i="1"/>
  <c r="I649" i="1"/>
  <c r="H649" i="1"/>
  <c r="G649" i="1"/>
  <c r="F649" i="1"/>
  <c r="E649" i="1"/>
  <c r="D649" i="1"/>
  <c r="C649" i="1"/>
  <c r="B649" i="1"/>
  <c r="A649" i="1"/>
  <c r="R648" i="1"/>
  <c r="J648" i="1"/>
  <c r="I648" i="1"/>
  <c r="G648" i="1"/>
  <c r="F648" i="1"/>
  <c r="E648" i="1"/>
  <c r="D648" i="1"/>
  <c r="C648" i="1"/>
  <c r="B648" i="1"/>
  <c r="A648" i="1"/>
  <c r="S647" i="1"/>
  <c r="O647" i="1"/>
  <c r="K647" i="1"/>
  <c r="J647" i="1"/>
  <c r="I647" i="1"/>
  <c r="H647" i="1"/>
  <c r="G647" i="1"/>
  <c r="F647" i="1"/>
  <c r="E647" i="1"/>
  <c r="D647" i="1"/>
  <c r="C647" i="1"/>
  <c r="B647" i="1"/>
  <c r="A647" i="1"/>
  <c r="R646" i="1"/>
  <c r="J646" i="1"/>
  <c r="I646" i="1"/>
  <c r="G646" i="1"/>
  <c r="F646" i="1"/>
  <c r="E646" i="1"/>
  <c r="D646" i="1"/>
  <c r="C646" i="1"/>
  <c r="B646" i="1"/>
  <c r="A646" i="1"/>
  <c r="S645" i="1"/>
  <c r="O645" i="1"/>
  <c r="K645" i="1"/>
  <c r="J645" i="1"/>
  <c r="I645" i="1"/>
  <c r="H645" i="1"/>
  <c r="G645" i="1"/>
  <c r="F645" i="1"/>
  <c r="E645" i="1"/>
  <c r="D645" i="1"/>
  <c r="C645" i="1"/>
  <c r="B645" i="1"/>
  <c r="A645" i="1"/>
  <c r="R644" i="1"/>
  <c r="J644" i="1"/>
  <c r="I644" i="1"/>
  <c r="G644" i="1"/>
  <c r="F644" i="1"/>
  <c r="E644" i="1"/>
  <c r="D644" i="1"/>
  <c r="C644" i="1"/>
  <c r="B644" i="1"/>
  <c r="A644" i="1"/>
  <c r="R643" i="1"/>
  <c r="J643" i="1"/>
  <c r="I643" i="1"/>
  <c r="G643" i="1"/>
  <c r="F643" i="1"/>
  <c r="E643" i="1"/>
  <c r="D643" i="1"/>
  <c r="C643" i="1"/>
  <c r="B643" i="1"/>
  <c r="A643" i="1"/>
  <c r="R642" i="1"/>
  <c r="J642" i="1"/>
  <c r="I642" i="1"/>
  <c r="G642" i="1"/>
  <c r="F642" i="1"/>
  <c r="E642" i="1"/>
  <c r="D642" i="1"/>
  <c r="C642" i="1"/>
  <c r="B642" i="1"/>
  <c r="A642" i="1"/>
  <c r="S641" i="1"/>
  <c r="O641" i="1"/>
  <c r="K641" i="1"/>
  <c r="J641" i="1"/>
  <c r="I641" i="1"/>
  <c r="H641" i="1"/>
  <c r="G641" i="1"/>
  <c r="F641" i="1"/>
  <c r="E641" i="1"/>
  <c r="D641" i="1"/>
  <c r="C641" i="1"/>
  <c r="B641" i="1"/>
  <c r="A641" i="1"/>
  <c r="R640" i="1"/>
  <c r="J640" i="1"/>
  <c r="I640" i="1"/>
  <c r="G640" i="1"/>
  <c r="F640" i="1"/>
  <c r="E640" i="1"/>
  <c r="D640" i="1"/>
  <c r="C640" i="1"/>
  <c r="B640" i="1"/>
  <c r="A640" i="1"/>
  <c r="S639" i="1"/>
  <c r="O639" i="1"/>
  <c r="K639" i="1"/>
  <c r="J639" i="1"/>
  <c r="I639" i="1"/>
  <c r="H639" i="1"/>
  <c r="G639" i="1"/>
  <c r="F639" i="1"/>
  <c r="E639" i="1"/>
  <c r="D639" i="1"/>
  <c r="C639" i="1"/>
  <c r="B639" i="1"/>
  <c r="A639" i="1"/>
  <c r="R638" i="1"/>
  <c r="J638" i="1"/>
  <c r="I638" i="1"/>
  <c r="G638" i="1"/>
  <c r="F638" i="1"/>
  <c r="E638" i="1"/>
  <c r="D638" i="1"/>
  <c r="C638" i="1"/>
  <c r="B638" i="1"/>
  <c r="A638" i="1"/>
  <c r="R637" i="1"/>
  <c r="J637" i="1"/>
  <c r="I637" i="1"/>
  <c r="G637" i="1"/>
  <c r="F637" i="1"/>
  <c r="E637" i="1"/>
  <c r="D637" i="1"/>
  <c r="C637" i="1"/>
  <c r="B637" i="1"/>
  <c r="A637" i="1"/>
  <c r="R636" i="1"/>
  <c r="J636" i="1"/>
  <c r="I636" i="1"/>
  <c r="G636" i="1"/>
  <c r="F636" i="1"/>
  <c r="E636" i="1"/>
  <c r="D636" i="1"/>
  <c r="C636" i="1"/>
  <c r="B636" i="1"/>
  <c r="A636" i="1"/>
  <c r="R635" i="1"/>
  <c r="J635" i="1"/>
  <c r="I635" i="1"/>
  <c r="G635" i="1"/>
  <c r="F635" i="1"/>
  <c r="E635" i="1"/>
  <c r="D635" i="1"/>
  <c r="C635" i="1"/>
  <c r="B635" i="1"/>
  <c r="A635" i="1"/>
  <c r="S634" i="1"/>
  <c r="O634" i="1"/>
  <c r="K634" i="1"/>
  <c r="J634" i="1"/>
  <c r="I634" i="1"/>
  <c r="H634" i="1"/>
  <c r="G634" i="1"/>
  <c r="F634" i="1"/>
  <c r="E634" i="1"/>
  <c r="D634" i="1"/>
  <c r="C634" i="1"/>
  <c r="B634" i="1"/>
  <c r="A634" i="1"/>
  <c r="R633" i="1"/>
  <c r="J633" i="1"/>
  <c r="I633" i="1"/>
  <c r="G633" i="1"/>
  <c r="F633" i="1"/>
  <c r="E633" i="1"/>
  <c r="D633" i="1"/>
  <c r="C633" i="1"/>
  <c r="B633" i="1"/>
  <c r="A633" i="1"/>
  <c r="S632" i="1"/>
  <c r="O632" i="1"/>
  <c r="K632" i="1"/>
  <c r="J632" i="1"/>
  <c r="I632" i="1"/>
  <c r="H632" i="1"/>
  <c r="G632" i="1"/>
  <c r="F632" i="1"/>
  <c r="E632" i="1"/>
  <c r="D632" i="1"/>
  <c r="C632" i="1"/>
  <c r="B632" i="1"/>
  <c r="A632" i="1"/>
  <c r="R631" i="1"/>
  <c r="J631" i="1"/>
  <c r="I631" i="1"/>
  <c r="G631" i="1"/>
  <c r="F631" i="1"/>
  <c r="E631" i="1"/>
  <c r="D631" i="1"/>
  <c r="C631" i="1"/>
  <c r="B631" i="1"/>
  <c r="A631" i="1"/>
  <c r="S630" i="1"/>
  <c r="O630" i="1"/>
  <c r="K630" i="1"/>
  <c r="J630" i="1"/>
  <c r="I630" i="1"/>
  <c r="H630" i="1"/>
  <c r="G630" i="1"/>
  <c r="F630" i="1"/>
  <c r="E630" i="1"/>
  <c r="D630" i="1"/>
  <c r="C630" i="1"/>
  <c r="B630" i="1"/>
  <c r="A630" i="1"/>
  <c r="R629" i="1"/>
  <c r="J629" i="1"/>
  <c r="I629" i="1"/>
  <c r="G629" i="1"/>
  <c r="F629" i="1"/>
  <c r="E629" i="1"/>
  <c r="D629" i="1"/>
  <c r="C629" i="1"/>
  <c r="B629" i="1"/>
  <c r="A629" i="1"/>
  <c r="S628" i="1"/>
  <c r="O628" i="1"/>
  <c r="K628" i="1"/>
  <c r="J628" i="1"/>
  <c r="I628" i="1"/>
  <c r="H628" i="1"/>
  <c r="G628" i="1"/>
  <c r="F628" i="1"/>
  <c r="E628" i="1"/>
  <c r="D628" i="1"/>
  <c r="C628" i="1"/>
  <c r="B628" i="1"/>
  <c r="A628" i="1"/>
  <c r="R627" i="1"/>
  <c r="J627" i="1"/>
  <c r="I627" i="1"/>
  <c r="G627" i="1"/>
  <c r="F627" i="1"/>
  <c r="E627" i="1"/>
  <c r="D627" i="1"/>
  <c r="C627" i="1"/>
  <c r="B627" i="1"/>
  <c r="A627" i="1"/>
  <c r="S626" i="1"/>
  <c r="O626" i="1"/>
  <c r="K626" i="1"/>
  <c r="J626" i="1"/>
  <c r="I626" i="1"/>
  <c r="H626" i="1"/>
  <c r="G626" i="1"/>
  <c r="F626" i="1"/>
  <c r="E626" i="1"/>
  <c r="D626" i="1"/>
  <c r="C626" i="1"/>
  <c r="B626" i="1"/>
  <c r="A626" i="1"/>
  <c r="R625" i="1"/>
  <c r="J625" i="1"/>
  <c r="I625" i="1"/>
  <c r="G625" i="1"/>
  <c r="F625" i="1"/>
  <c r="E625" i="1"/>
  <c r="D625" i="1"/>
  <c r="C625" i="1"/>
  <c r="B625" i="1"/>
  <c r="A625" i="1"/>
  <c r="S624" i="1"/>
  <c r="O624" i="1"/>
  <c r="K624" i="1"/>
  <c r="J624" i="1"/>
  <c r="I624" i="1"/>
  <c r="H624" i="1"/>
  <c r="G624" i="1"/>
  <c r="F624" i="1"/>
  <c r="E624" i="1"/>
  <c r="D624" i="1"/>
  <c r="C624" i="1"/>
  <c r="B624" i="1"/>
  <c r="A624" i="1"/>
  <c r="R623" i="1"/>
  <c r="J623" i="1"/>
  <c r="I623" i="1"/>
  <c r="G623" i="1"/>
  <c r="F623" i="1"/>
  <c r="E623" i="1"/>
  <c r="D623" i="1"/>
  <c r="C623" i="1"/>
  <c r="B623" i="1"/>
  <c r="A623" i="1"/>
  <c r="S622" i="1"/>
  <c r="O622" i="1"/>
  <c r="K622" i="1"/>
  <c r="J622" i="1"/>
  <c r="I622" i="1"/>
  <c r="H622" i="1"/>
  <c r="G622" i="1"/>
  <c r="F622" i="1"/>
  <c r="E622" i="1"/>
  <c r="D622" i="1"/>
  <c r="C622" i="1"/>
  <c r="B622" i="1"/>
  <c r="A622" i="1"/>
  <c r="R621" i="1"/>
  <c r="J621" i="1"/>
  <c r="I621" i="1"/>
  <c r="G621" i="1"/>
  <c r="F621" i="1"/>
  <c r="E621" i="1"/>
  <c r="D621" i="1"/>
  <c r="C621" i="1"/>
  <c r="B621" i="1"/>
  <c r="A621" i="1"/>
  <c r="S620" i="1"/>
  <c r="O620" i="1"/>
  <c r="K620" i="1"/>
  <c r="J620" i="1"/>
  <c r="I620" i="1"/>
  <c r="H620" i="1"/>
  <c r="G620" i="1"/>
  <c r="F620" i="1"/>
  <c r="E620" i="1"/>
  <c r="D620" i="1"/>
  <c r="C620" i="1"/>
  <c r="B620" i="1"/>
  <c r="A620" i="1"/>
  <c r="R619" i="1"/>
  <c r="J619" i="1"/>
  <c r="I619" i="1"/>
  <c r="G619" i="1"/>
  <c r="F619" i="1"/>
  <c r="E619" i="1"/>
  <c r="D619" i="1"/>
  <c r="C619" i="1"/>
  <c r="B619" i="1"/>
  <c r="A619" i="1"/>
  <c r="R618" i="1"/>
  <c r="J618" i="1"/>
  <c r="I618" i="1"/>
  <c r="G618" i="1"/>
  <c r="F618" i="1"/>
  <c r="E618" i="1"/>
  <c r="D618" i="1"/>
  <c r="C618" i="1"/>
  <c r="B618" i="1"/>
  <c r="A618" i="1"/>
  <c r="S617" i="1"/>
  <c r="O617" i="1"/>
  <c r="K617" i="1"/>
  <c r="J617" i="1"/>
  <c r="I617" i="1"/>
  <c r="H617" i="1"/>
  <c r="G617" i="1"/>
  <c r="F617" i="1"/>
  <c r="E617" i="1"/>
  <c r="D617" i="1"/>
  <c r="C617" i="1"/>
  <c r="B617" i="1"/>
  <c r="A617" i="1"/>
  <c r="R616" i="1"/>
  <c r="J616" i="1"/>
  <c r="I616" i="1"/>
  <c r="G616" i="1"/>
  <c r="F616" i="1"/>
  <c r="E616" i="1"/>
  <c r="D616" i="1"/>
  <c r="C616" i="1"/>
  <c r="B616" i="1"/>
  <c r="A616" i="1"/>
  <c r="R615" i="1"/>
  <c r="J615" i="1"/>
  <c r="I615" i="1"/>
  <c r="G615" i="1"/>
  <c r="F615" i="1"/>
  <c r="E615" i="1"/>
  <c r="D615" i="1"/>
  <c r="C615" i="1"/>
  <c r="B615" i="1"/>
  <c r="A615" i="1"/>
  <c r="S614" i="1"/>
  <c r="O614" i="1"/>
  <c r="K614" i="1"/>
  <c r="J614" i="1"/>
  <c r="I614" i="1"/>
  <c r="H614" i="1"/>
  <c r="G614" i="1"/>
  <c r="F614" i="1"/>
  <c r="E614" i="1"/>
  <c r="D614" i="1"/>
  <c r="C614" i="1"/>
  <c r="B614" i="1"/>
  <c r="A614" i="1"/>
  <c r="R613" i="1"/>
  <c r="J613" i="1"/>
  <c r="I613" i="1"/>
  <c r="G613" i="1"/>
  <c r="F613" i="1"/>
  <c r="E613" i="1"/>
  <c r="D613" i="1"/>
  <c r="C613" i="1"/>
  <c r="B613" i="1"/>
  <c r="A613" i="1"/>
  <c r="S612" i="1"/>
  <c r="O612" i="1"/>
  <c r="K612" i="1"/>
  <c r="J612" i="1"/>
  <c r="I612" i="1"/>
  <c r="H612" i="1"/>
  <c r="G612" i="1"/>
  <c r="F612" i="1"/>
  <c r="E612" i="1"/>
  <c r="D612" i="1"/>
  <c r="C612" i="1"/>
  <c r="B612" i="1"/>
  <c r="A612" i="1"/>
  <c r="R611" i="1"/>
  <c r="J611" i="1"/>
  <c r="I611" i="1"/>
  <c r="G611" i="1"/>
  <c r="F611" i="1"/>
  <c r="E611" i="1"/>
  <c r="D611" i="1"/>
  <c r="C611" i="1"/>
  <c r="B611" i="1"/>
  <c r="A611" i="1"/>
  <c r="R610" i="1"/>
  <c r="J610" i="1"/>
  <c r="I610" i="1"/>
  <c r="G610" i="1"/>
  <c r="F610" i="1"/>
  <c r="E610" i="1"/>
  <c r="D610" i="1"/>
  <c r="C610" i="1"/>
  <c r="B610" i="1"/>
  <c r="A610" i="1"/>
  <c r="S609" i="1"/>
  <c r="O609" i="1"/>
  <c r="K609" i="1"/>
  <c r="J609" i="1"/>
  <c r="I609" i="1"/>
  <c r="H609" i="1"/>
  <c r="G609" i="1"/>
  <c r="F609" i="1"/>
  <c r="E609" i="1"/>
  <c r="D609" i="1"/>
  <c r="C609" i="1"/>
  <c r="B609" i="1"/>
  <c r="A609" i="1"/>
  <c r="R608" i="1"/>
  <c r="J608" i="1"/>
  <c r="I608" i="1"/>
  <c r="G608" i="1"/>
  <c r="F608" i="1"/>
  <c r="E608" i="1"/>
  <c r="D608" i="1"/>
  <c r="C608" i="1"/>
  <c r="B608" i="1"/>
  <c r="A608" i="1"/>
  <c r="S607" i="1"/>
  <c r="O607" i="1"/>
  <c r="K607" i="1"/>
  <c r="J607" i="1"/>
  <c r="I607" i="1"/>
  <c r="H607" i="1"/>
  <c r="G607" i="1"/>
  <c r="F607" i="1"/>
  <c r="E607" i="1"/>
  <c r="D607" i="1"/>
  <c r="C607" i="1"/>
  <c r="B607" i="1"/>
  <c r="A607" i="1"/>
  <c r="R606" i="1"/>
  <c r="J606" i="1"/>
  <c r="I606" i="1"/>
  <c r="G606" i="1"/>
  <c r="F606" i="1"/>
  <c r="E606" i="1"/>
  <c r="D606" i="1"/>
  <c r="C606" i="1"/>
  <c r="B606" i="1"/>
  <c r="A606" i="1"/>
  <c r="S605" i="1"/>
  <c r="O605" i="1"/>
  <c r="K605" i="1"/>
  <c r="J605" i="1"/>
  <c r="I605" i="1"/>
  <c r="H605" i="1"/>
  <c r="G605" i="1"/>
  <c r="F605" i="1"/>
  <c r="E605" i="1"/>
  <c r="D605" i="1"/>
  <c r="C605" i="1"/>
  <c r="B605" i="1"/>
  <c r="A605" i="1"/>
  <c r="R604" i="1"/>
  <c r="J604" i="1"/>
  <c r="I604" i="1"/>
  <c r="G604" i="1"/>
  <c r="F604" i="1"/>
  <c r="E604" i="1"/>
  <c r="D604" i="1"/>
  <c r="C604" i="1"/>
  <c r="B604" i="1"/>
  <c r="A604" i="1"/>
  <c r="R603" i="1"/>
  <c r="J603" i="1"/>
  <c r="I603" i="1"/>
  <c r="G603" i="1"/>
  <c r="F603" i="1"/>
  <c r="E603" i="1"/>
  <c r="D603" i="1"/>
  <c r="C603" i="1"/>
  <c r="B603" i="1"/>
  <c r="A603" i="1"/>
  <c r="S602" i="1"/>
  <c r="O602" i="1"/>
  <c r="K602" i="1"/>
  <c r="J602" i="1"/>
  <c r="I602" i="1"/>
  <c r="H602" i="1"/>
  <c r="G602" i="1"/>
  <c r="F602" i="1"/>
  <c r="E602" i="1"/>
  <c r="D602" i="1"/>
  <c r="C602" i="1"/>
  <c r="B602" i="1"/>
  <c r="A602" i="1"/>
  <c r="R601" i="1"/>
  <c r="J601" i="1"/>
  <c r="I601" i="1"/>
  <c r="G601" i="1"/>
  <c r="F601" i="1"/>
  <c r="E601" i="1"/>
  <c r="D601" i="1"/>
  <c r="C601" i="1"/>
  <c r="B601" i="1"/>
  <c r="A601" i="1"/>
  <c r="S600" i="1"/>
  <c r="O600" i="1"/>
  <c r="K600" i="1"/>
  <c r="J600" i="1"/>
  <c r="I600" i="1"/>
  <c r="H600" i="1"/>
  <c r="G600" i="1"/>
  <c r="F600" i="1"/>
  <c r="E600" i="1"/>
  <c r="D600" i="1"/>
  <c r="C600" i="1"/>
  <c r="B600" i="1"/>
  <c r="A600" i="1"/>
  <c r="R599" i="1"/>
  <c r="J599" i="1"/>
  <c r="I599" i="1"/>
  <c r="G599" i="1"/>
  <c r="F599" i="1"/>
  <c r="E599" i="1"/>
  <c r="D599" i="1"/>
  <c r="C599" i="1"/>
  <c r="B599" i="1"/>
  <c r="A599" i="1"/>
  <c r="S598" i="1"/>
  <c r="O598" i="1"/>
  <c r="K598" i="1"/>
  <c r="J598" i="1"/>
  <c r="I598" i="1"/>
  <c r="H598" i="1"/>
  <c r="G598" i="1"/>
  <c r="F598" i="1"/>
  <c r="E598" i="1"/>
  <c r="D598" i="1"/>
  <c r="C598" i="1"/>
  <c r="B598" i="1"/>
  <c r="A598" i="1"/>
  <c r="R597" i="1"/>
  <c r="J597" i="1"/>
  <c r="I597" i="1"/>
  <c r="G597" i="1"/>
  <c r="F597" i="1"/>
  <c r="E597" i="1"/>
  <c r="D597" i="1"/>
  <c r="C597" i="1"/>
  <c r="B597" i="1"/>
  <c r="A597" i="1"/>
  <c r="S596" i="1"/>
  <c r="O596" i="1"/>
  <c r="K596" i="1"/>
  <c r="J596" i="1"/>
  <c r="I596" i="1"/>
  <c r="H596" i="1"/>
  <c r="G596" i="1"/>
  <c r="F596" i="1"/>
  <c r="E596" i="1"/>
  <c r="D596" i="1"/>
  <c r="C596" i="1"/>
  <c r="B596" i="1"/>
  <c r="A596" i="1"/>
  <c r="R595" i="1"/>
  <c r="J595" i="1"/>
  <c r="I595" i="1"/>
  <c r="G595" i="1"/>
  <c r="F595" i="1"/>
  <c r="E595" i="1"/>
  <c r="D595" i="1"/>
  <c r="C595" i="1"/>
  <c r="B595" i="1"/>
  <c r="A595" i="1"/>
  <c r="S594" i="1"/>
  <c r="O594" i="1"/>
  <c r="K594" i="1"/>
  <c r="J594" i="1"/>
  <c r="I594" i="1"/>
  <c r="H594" i="1"/>
  <c r="G594" i="1"/>
  <c r="F594" i="1"/>
  <c r="E594" i="1"/>
  <c r="D594" i="1"/>
  <c r="C594" i="1"/>
  <c r="B594" i="1"/>
  <c r="A594" i="1"/>
  <c r="R593" i="1"/>
  <c r="J593" i="1"/>
  <c r="I593" i="1"/>
  <c r="G593" i="1"/>
  <c r="F593" i="1"/>
  <c r="E593" i="1"/>
  <c r="D593" i="1"/>
  <c r="C593" i="1"/>
  <c r="B593" i="1"/>
  <c r="A593" i="1"/>
  <c r="S592" i="1"/>
  <c r="O592" i="1"/>
  <c r="K592" i="1"/>
  <c r="J592" i="1"/>
  <c r="I592" i="1"/>
  <c r="H592" i="1"/>
  <c r="G592" i="1"/>
  <c r="F592" i="1"/>
  <c r="E592" i="1"/>
  <c r="D592" i="1"/>
  <c r="C592" i="1"/>
  <c r="B592" i="1"/>
  <c r="A592" i="1"/>
  <c r="R591" i="1"/>
  <c r="J591" i="1"/>
  <c r="I591" i="1"/>
  <c r="G591" i="1"/>
  <c r="F591" i="1"/>
  <c r="E591" i="1"/>
  <c r="D591" i="1"/>
  <c r="C591" i="1"/>
  <c r="B591" i="1"/>
  <c r="A591" i="1"/>
  <c r="S590" i="1"/>
  <c r="O590" i="1"/>
  <c r="K590" i="1"/>
  <c r="J590" i="1"/>
  <c r="I590" i="1"/>
  <c r="H590" i="1"/>
  <c r="G590" i="1"/>
  <c r="F590" i="1"/>
  <c r="E590" i="1"/>
  <c r="D590" i="1"/>
  <c r="C590" i="1"/>
  <c r="B590" i="1"/>
  <c r="A590" i="1"/>
  <c r="R589" i="1"/>
  <c r="J589" i="1"/>
  <c r="I589" i="1"/>
  <c r="G589" i="1"/>
  <c r="F589" i="1"/>
  <c r="E589" i="1"/>
  <c r="D589" i="1"/>
  <c r="C589" i="1"/>
  <c r="B589" i="1"/>
  <c r="A589" i="1"/>
  <c r="S588" i="1"/>
  <c r="O588" i="1"/>
  <c r="K588" i="1"/>
  <c r="J588" i="1"/>
  <c r="I588" i="1"/>
  <c r="H588" i="1"/>
  <c r="G588" i="1"/>
  <c r="F588" i="1"/>
  <c r="E588" i="1"/>
  <c r="D588" i="1"/>
  <c r="C588" i="1"/>
  <c r="B588" i="1"/>
  <c r="A588" i="1"/>
  <c r="R587" i="1"/>
  <c r="J587" i="1"/>
  <c r="I587" i="1"/>
  <c r="G587" i="1"/>
  <c r="F587" i="1"/>
  <c r="E587" i="1"/>
  <c r="D587" i="1"/>
  <c r="C587" i="1"/>
  <c r="B587" i="1"/>
  <c r="A587" i="1"/>
  <c r="S586" i="1"/>
  <c r="O586" i="1"/>
  <c r="K586" i="1"/>
  <c r="J586" i="1"/>
  <c r="I586" i="1"/>
  <c r="H586" i="1"/>
  <c r="G586" i="1"/>
  <c r="F586" i="1"/>
  <c r="E586" i="1"/>
  <c r="D586" i="1"/>
  <c r="C586" i="1"/>
  <c r="B586" i="1"/>
  <c r="A586" i="1"/>
  <c r="R585" i="1"/>
  <c r="J585" i="1"/>
  <c r="I585" i="1"/>
  <c r="G585" i="1"/>
  <c r="F585" i="1"/>
  <c r="E585" i="1"/>
  <c r="D585" i="1"/>
  <c r="C585" i="1"/>
  <c r="B585" i="1"/>
  <c r="A585" i="1"/>
  <c r="R584" i="1"/>
  <c r="J584" i="1"/>
  <c r="I584" i="1"/>
  <c r="G584" i="1"/>
  <c r="F584" i="1"/>
  <c r="E584" i="1"/>
  <c r="D584" i="1"/>
  <c r="C584" i="1"/>
  <c r="B584" i="1"/>
  <c r="A584" i="1"/>
  <c r="S583" i="1"/>
  <c r="O583" i="1"/>
  <c r="K583" i="1"/>
  <c r="J583" i="1"/>
  <c r="I583" i="1"/>
  <c r="H583" i="1"/>
  <c r="G583" i="1"/>
  <c r="F583" i="1"/>
  <c r="E583" i="1"/>
  <c r="D583" i="1"/>
  <c r="C583" i="1"/>
  <c r="B583" i="1"/>
  <c r="A583" i="1"/>
  <c r="R582" i="1"/>
  <c r="J582" i="1"/>
  <c r="I582" i="1"/>
  <c r="G582" i="1"/>
  <c r="F582" i="1"/>
  <c r="E582" i="1"/>
  <c r="D582" i="1"/>
  <c r="C582" i="1"/>
  <c r="B582" i="1"/>
  <c r="A582" i="1"/>
  <c r="S581" i="1"/>
  <c r="O581" i="1"/>
  <c r="K581" i="1"/>
  <c r="J581" i="1"/>
  <c r="I581" i="1"/>
  <c r="H581" i="1"/>
  <c r="G581" i="1"/>
  <c r="F581" i="1"/>
  <c r="E581" i="1"/>
  <c r="D581" i="1"/>
  <c r="C581" i="1"/>
  <c r="B581" i="1"/>
  <c r="A581" i="1"/>
  <c r="R580" i="1"/>
  <c r="J580" i="1"/>
  <c r="I580" i="1"/>
  <c r="G580" i="1"/>
  <c r="F580" i="1"/>
  <c r="E580" i="1"/>
  <c r="D580" i="1"/>
  <c r="C580" i="1"/>
  <c r="B580" i="1"/>
  <c r="A580" i="1"/>
  <c r="R579" i="1"/>
  <c r="J579" i="1"/>
  <c r="I579" i="1"/>
  <c r="G579" i="1"/>
  <c r="F579" i="1"/>
  <c r="E579" i="1"/>
  <c r="D579" i="1"/>
  <c r="C579" i="1"/>
  <c r="B579" i="1"/>
  <c r="A579" i="1"/>
  <c r="S578" i="1"/>
  <c r="O578" i="1"/>
  <c r="K578" i="1"/>
  <c r="J578" i="1"/>
  <c r="I578" i="1"/>
  <c r="H578" i="1"/>
  <c r="G578" i="1"/>
  <c r="F578" i="1"/>
  <c r="E578" i="1"/>
  <c r="D578" i="1"/>
  <c r="C578" i="1"/>
  <c r="B578" i="1"/>
  <c r="A578" i="1"/>
  <c r="R577" i="1"/>
  <c r="J577" i="1"/>
  <c r="I577" i="1"/>
  <c r="G577" i="1"/>
  <c r="F577" i="1"/>
  <c r="E577" i="1"/>
  <c r="D577" i="1"/>
  <c r="C577" i="1"/>
  <c r="B577" i="1"/>
  <c r="A577" i="1"/>
  <c r="S576" i="1"/>
  <c r="O576" i="1"/>
  <c r="K576" i="1"/>
  <c r="J576" i="1"/>
  <c r="I576" i="1"/>
  <c r="H576" i="1"/>
  <c r="G576" i="1"/>
  <c r="F576" i="1"/>
  <c r="E576" i="1"/>
  <c r="D576" i="1"/>
  <c r="C576" i="1"/>
  <c r="B576" i="1"/>
  <c r="A576" i="1"/>
  <c r="R575" i="1"/>
  <c r="J575" i="1"/>
  <c r="I575" i="1"/>
  <c r="G575" i="1"/>
  <c r="F575" i="1"/>
  <c r="E575" i="1"/>
  <c r="D575" i="1"/>
  <c r="C575" i="1"/>
  <c r="B575" i="1"/>
  <c r="A575" i="1"/>
  <c r="S574" i="1"/>
  <c r="O574" i="1"/>
  <c r="K574" i="1"/>
  <c r="J574" i="1"/>
  <c r="I574" i="1"/>
  <c r="H574" i="1"/>
  <c r="G574" i="1"/>
  <c r="F574" i="1"/>
  <c r="E574" i="1"/>
  <c r="D574" i="1"/>
  <c r="C574" i="1"/>
  <c r="B574" i="1"/>
  <c r="A574" i="1"/>
  <c r="R573" i="1"/>
  <c r="J573" i="1"/>
  <c r="I573" i="1"/>
  <c r="G573" i="1"/>
  <c r="F573" i="1"/>
  <c r="E573" i="1"/>
  <c r="D573" i="1"/>
  <c r="C573" i="1"/>
  <c r="B573" i="1"/>
  <c r="A573" i="1"/>
  <c r="S572" i="1"/>
  <c r="O572" i="1"/>
  <c r="K572" i="1"/>
  <c r="J572" i="1"/>
  <c r="I572" i="1"/>
  <c r="H572" i="1"/>
  <c r="G572" i="1"/>
  <c r="F572" i="1"/>
  <c r="E572" i="1"/>
  <c r="D572" i="1"/>
  <c r="C572" i="1"/>
  <c r="B572" i="1"/>
  <c r="A572" i="1"/>
  <c r="R571" i="1"/>
  <c r="J571" i="1"/>
  <c r="I571" i="1"/>
  <c r="G571" i="1"/>
  <c r="F571" i="1"/>
  <c r="E571" i="1"/>
  <c r="D571" i="1"/>
  <c r="C571" i="1"/>
  <c r="B571" i="1"/>
  <c r="A571" i="1"/>
  <c r="S570" i="1"/>
  <c r="O570" i="1"/>
  <c r="K570" i="1"/>
  <c r="J570" i="1"/>
  <c r="I570" i="1"/>
  <c r="H570" i="1"/>
  <c r="G570" i="1"/>
  <c r="F570" i="1"/>
  <c r="E570" i="1"/>
  <c r="D570" i="1"/>
  <c r="C570" i="1"/>
  <c r="B570" i="1"/>
  <c r="A570" i="1"/>
  <c r="R569" i="1"/>
  <c r="J569" i="1"/>
  <c r="I569" i="1"/>
  <c r="G569" i="1"/>
  <c r="F569" i="1"/>
  <c r="E569" i="1"/>
  <c r="D569" i="1"/>
  <c r="C569" i="1"/>
  <c r="B569" i="1"/>
  <c r="A569" i="1"/>
  <c r="S568" i="1"/>
  <c r="O568" i="1"/>
  <c r="K568" i="1"/>
  <c r="J568" i="1"/>
  <c r="I568" i="1"/>
  <c r="H568" i="1"/>
  <c r="G568" i="1"/>
  <c r="F568" i="1"/>
  <c r="E568" i="1"/>
  <c r="D568" i="1"/>
  <c r="C568" i="1"/>
  <c r="B568" i="1"/>
  <c r="A568" i="1"/>
  <c r="R567" i="1"/>
  <c r="J567" i="1"/>
  <c r="I567" i="1"/>
  <c r="G567" i="1"/>
  <c r="F567" i="1"/>
  <c r="E567" i="1"/>
  <c r="D567" i="1"/>
  <c r="C567" i="1"/>
  <c r="B567" i="1"/>
  <c r="A567" i="1"/>
  <c r="S566" i="1"/>
  <c r="O566" i="1"/>
  <c r="K566" i="1"/>
  <c r="J566" i="1"/>
  <c r="I566" i="1"/>
  <c r="H566" i="1"/>
  <c r="G566" i="1"/>
  <c r="F566" i="1"/>
  <c r="E566" i="1"/>
  <c r="D566" i="1"/>
  <c r="C566" i="1"/>
  <c r="B566" i="1"/>
  <c r="A566" i="1"/>
  <c r="R565" i="1"/>
  <c r="J565" i="1"/>
  <c r="I565" i="1"/>
  <c r="G565" i="1"/>
  <c r="F565" i="1"/>
  <c r="E565" i="1"/>
  <c r="D565" i="1"/>
  <c r="C565" i="1"/>
  <c r="B565" i="1"/>
  <c r="A565" i="1"/>
  <c r="S564" i="1"/>
  <c r="O564" i="1"/>
  <c r="K564" i="1"/>
  <c r="J564" i="1"/>
  <c r="I564" i="1"/>
  <c r="H564" i="1"/>
  <c r="G564" i="1"/>
  <c r="F564" i="1"/>
  <c r="E564" i="1"/>
  <c r="D564" i="1"/>
  <c r="C564" i="1"/>
  <c r="B564" i="1"/>
  <c r="A564" i="1"/>
  <c r="R563" i="1"/>
  <c r="J563" i="1"/>
  <c r="I563" i="1"/>
  <c r="G563" i="1"/>
  <c r="F563" i="1"/>
  <c r="E563" i="1"/>
  <c r="D563" i="1"/>
  <c r="C563" i="1"/>
  <c r="B563" i="1"/>
  <c r="A563" i="1"/>
  <c r="S562" i="1"/>
  <c r="O562" i="1"/>
  <c r="K562" i="1"/>
  <c r="J562" i="1"/>
  <c r="I562" i="1"/>
  <c r="H562" i="1"/>
  <c r="G562" i="1"/>
  <c r="F562" i="1"/>
  <c r="E562" i="1"/>
  <c r="D562" i="1"/>
  <c r="C562" i="1"/>
  <c r="B562" i="1"/>
  <c r="A562" i="1"/>
  <c r="R561" i="1"/>
  <c r="J561" i="1"/>
  <c r="I561" i="1"/>
  <c r="G561" i="1"/>
  <c r="F561" i="1"/>
  <c r="E561" i="1"/>
  <c r="D561" i="1"/>
  <c r="C561" i="1"/>
  <c r="B561" i="1"/>
  <c r="A561" i="1"/>
  <c r="S560" i="1"/>
  <c r="O560" i="1"/>
  <c r="K560" i="1"/>
  <c r="J560" i="1"/>
  <c r="I560" i="1"/>
  <c r="H560" i="1"/>
  <c r="G560" i="1"/>
  <c r="F560" i="1"/>
  <c r="E560" i="1"/>
  <c r="D560" i="1"/>
  <c r="C560" i="1"/>
  <c r="B560" i="1"/>
  <c r="A560" i="1"/>
  <c r="R559" i="1"/>
  <c r="J559" i="1"/>
  <c r="I559" i="1"/>
  <c r="G559" i="1"/>
  <c r="F559" i="1"/>
  <c r="E559" i="1"/>
  <c r="D559" i="1"/>
  <c r="C559" i="1"/>
  <c r="B559" i="1"/>
  <c r="A559" i="1"/>
  <c r="S558" i="1"/>
  <c r="O558" i="1"/>
  <c r="K558" i="1"/>
  <c r="J558" i="1"/>
  <c r="I558" i="1"/>
  <c r="H558" i="1"/>
  <c r="G558" i="1"/>
  <c r="F558" i="1"/>
  <c r="E558" i="1"/>
  <c r="D558" i="1"/>
  <c r="C558" i="1"/>
  <c r="B558" i="1"/>
  <c r="A558" i="1"/>
  <c r="R557" i="1"/>
  <c r="J557" i="1"/>
  <c r="I557" i="1"/>
  <c r="G557" i="1"/>
  <c r="F557" i="1"/>
  <c r="E557" i="1"/>
  <c r="D557" i="1"/>
  <c r="C557" i="1"/>
  <c r="B557" i="1"/>
  <c r="A557" i="1"/>
  <c r="R556" i="1"/>
  <c r="J556" i="1"/>
  <c r="I556" i="1"/>
  <c r="G556" i="1"/>
  <c r="F556" i="1"/>
  <c r="E556" i="1"/>
  <c r="D556" i="1"/>
  <c r="C556" i="1"/>
  <c r="B556" i="1"/>
  <c r="A556" i="1"/>
  <c r="S555" i="1"/>
  <c r="O555" i="1"/>
  <c r="K555" i="1"/>
  <c r="J555" i="1"/>
  <c r="I555" i="1"/>
  <c r="H555" i="1"/>
  <c r="G555" i="1"/>
  <c r="F555" i="1"/>
  <c r="E555" i="1"/>
  <c r="D555" i="1"/>
  <c r="C555" i="1"/>
  <c r="B555" i="1"/>
  <c r="A555" i="1"/>
  <c r="R554" i="1"/>
  <c r="J554" i="1"/>
  <c r="I554" i="1"/>
  <c r="G554" i="1"/>
  <c r="F554" i="1"/>
  <c r="E554" i="1"/>
  <c r="D554" i="1"/>
  <c r="C554" i="1"/>
  <c r="B554" i="1"/>
  <c r="A554" i="1"/>
  <c r="S553" i="1"/>
  <c r="O553" i="1"/>
  <c r="K553" i="1"/>
  <c r="J553" i="1"/>
  <c r="I553" i="1"/>
  <c r="H553" i="1"/>
  <c r="G553" i="1"/>
  <c r="F553" i="1"/>
  <c r="E553" i="1"/>
  <c r="D553" i="1"/>
  <c r="C553" i="1"/>
  <c r="B553" i="1"/>
  <c r="A553" i="1"/>
  <c r="R552" i="1"/>
  <c r="J552" i="1"/>
  <c r="I552" i="1"/>
  <c r="G552" i="1"/>
  <c r="F552" i="1"/>
  <c r="E552" i="1"/>
  <c r="D552" i="1"/>
  <c r="C552" i="1"/>
  <c r="B552" i="1"/>
  <c r="A552" i="1"/>
  <c r="S551" i="1"/>
  <c r="O551" i="1"/>
  <c r="K551" i="1"/>
  <c r="J551" i="1"/>
  <c r="I551" i="1"/>
  <c r="H551" i="1"/>
  <c r="G551" i="1"/>
  <c r="F551" i="1"/>
  <c r="E551" i="1"/>
  <c r="D551" i="1"/>
  <c r="C551" i="1"/>
  <c r="B551" i="1"/>
  <c r="A551" i="1"/>
  <c r="R550" i="1"/>
  <c r="J550" i="1"/>
  <c r="I550" i="1"/>
  <c r="G550" i="1"/>
  <c r="F550" i="1"/>
  <c r="E550" i="1"/>
  <c r="D550" i="1"/>
  <c r="C550" i="1"/>
  <c r="B550" i="1"/>
  <c r="A550" i="1"/>
  <c r="S549" i="1"/>
  <c r="O549" i="1"/>
  <c r="K549" i="1"/>
  <c r="J549" i="1"/>
  <c r="I549" i="1"/>
  <c r="H549" i="1"/>
  <c r="G549" i="1"/>
  <c r="F549" i="1"/>
  <c r="E549" i="1"/>
  <c r="D549" i="1"/>
  <c r="C549" i="1"/>
  <c r="B549" i="1"/>
  <c r="A549" i="1"/>
  <c r="R548" i="1"/>
  <c r="J548" i="1"/>
  <c r="I548" i="1"/>
  <c r="G548" i="1"/>
  <c r="F548" i="1"/>
  <c r="E548" i="1"/>
  <c r="D548" i="1"/>
  <c r="C548" i="1"/>
  <c r="B548" i="1"/>
  <c r="A548" i="1"/>
  <c r="S547" i="1"/>
  <c r="O547" i="1"/>
  <c r="K547" i="1"/>
  <c r="J547" i="1"/>
  <c r="I547" i="1"/>
  <c r="H547" i="1"/>
  <c r="G547" i="1"/>
  <c r="F547" i="1"/>
  <c r="E547" i="1"/>
  <c r="D547" i="1"/>
  <c r="C547" i="1"/>
  <c r="B547" i="1"/>
  <c r="A547" i="1"/>
  <c r="R546" i="1"/>
  <c r="J546" i="1"/>
  <c r="I546" i="1"/>
  <c r="G546" i="1"/>
  <c r="F546" i="1"/>
  <c r="E546" i="1"/>
  <c r="D546" i="1"/>
  <c r="C546" i="1"/>
  <c r="B546" i="1"/>
  <c r="A546" i="1"/>
  <c r="S545" i="1"/>
  <c r="O545" i="1"/>
  <c r="K545" i="1"/>
  <c r="J545" i="1"/>
  <c r="I545" i="1"/>
  <c r="H545" i="1"/>
  <c r="G545" i="1"/>
  <c r="F545" i="1"/>
  <c r="E545" i="1"/>
  <c r="D545" i="1"/>
  <c r="C545" i="1"/>
  <c r="B545" i="1"/>
  <c r="A545" i="1"/>
  <c r="R544" i="1"/>
  <c r="J544" i="1"/>
  <c r="I544" i="1"/>
  <c r="G544" i="1"/>
  <c r="F544" i="1"/>
  <c r="E544" i="1"/>
  <c r="D544" i="1"/>
  <c r="C544" i="1"/>
  <c r="B544" i="1"/>
  <c r="A544" i="1"/>
  <c r="S543" i="1"/>
  <c r="O543" i="1"/>
  <c r="K543" i="1"/>
  <c r="J543" i="1"/>
  <c r="I543" i="1"/>
  <c r="H543" i="1"/>
  <c r="G543" i="1"/>
  <c r="F543" i="1"/>
  <c r="E543" i="1"/>
  <c r="D543" i="1"/>
  <c r="C543" i="1"/>
  <c r="B543" i="1"/>
  <c r="A543" i="1"/>
  <c r="R542" i="1"/>
  <c r="J542" i="1"/>
  <c r="I542" i="1"/>
  <c r="G542" i="1"/>
  <c r="F542" i="1"/>
  <c r="E542" i="1"/>
  <c r="D542" i="1"/>
  <c r="C542" i="1"/>
  <c r="B542" i="1"/>
  <c r="A542" i="1"/>
  <c r="R541" i="1"/>
  <c r="J541" i="1"/>
  <c r="I541" i="1"/>
  <c r="G541" i="1"/>
  <c r="F541" i="1"/>
  <c r="E541" i="1"/>
  <c r="D541" i="1"/>
  <c r="C541" i="1"/>
  <c r="B541" i="1"/>
  <c r="A541" i="1"/>
  <c r="S540" i="1"/>
  <c r="O540" i="1"/>
  <c r="K540" i="1"/>
  <c r="J540" i="1"/>
  <c r="I540" i="1"/>
  <c r="H540" i="1"/>
  <c r="G540" i="1"/>
  <c r="F540" i="1"/>
  <c r="E540" i="1"/>
  <c r="D540" i="1"/>
  <c r="C540" i="1"/>
  <c r="B540" i="1"/>
  <c r="A540" i="1"/>
  <c r="R539" i="1"/>
  <c r="J539" i="1"/>
  <c r="I539" i="1"/>
  <c r="G539" i="1"/>
  <c r="F539" i="1"/>
  <c r="E539" i="1"/>
  <c r="D539" i="1"/>
  <c r="C539" i="1"/>
  <c r="B539" i="1"/>
  <c r="A539" i="1"/>
  <c r="S538" i="1"/>
  <c r="O538" i="1"/>
  <c r="K538" i="1"/>
  <c r="J538" i="1"/>
  <c r="I538" i="1"/>
  <c r="H538" i="1"/>
  <c r="G538" i="1"/>
  <c r="F538" i="1"/>
  <c r="E538" i="1"/>
  <c r="D538" i="1"/>
  <c r="C538" i="1"/>
  <c r="B538" i="1"/>
  <c r="A538" i="1"/>
  <c r="R537" i="1"/>
  <c r="J537" i="1"/>
  <c r="I537" i="1"/>
  <c r="G537" i="1"/>
  <c r="F537" i="1"/>
  <c r="E537" i="1"/>
  <c r="D537" i="1"/>
  <c r="C537" i="1"/>
  <c r="B537" i="1"/>
  <c r="A537" i="1"/>
  <c r="S536" i="1"/>
  <c r="O536" i="1"/>
  <c r="K536" i="1"/>
  <c r="J536" i="1"/>
  <c r="I536" i="1"/>
  <c r="H536" i="1"/>
  <c r="G536" i="1"/>
  <c r="F536" i="1"/>
  <c r="E536" i="1"/>
  <c r="D536" i="1"/>
  <c r="C536" i="1"/>
  <c r="B536" i="1"/>
  <c r="A536" i="1"/>
  <c r="R535" i="1"/>
  <c r="J535" i="1"/>
  <c r="I535" i="1"/>
  <c r="G535" i="1"/>
  <c r="F535" i="1"/>
  <c r="E535" i="1"/>
  <c r="D535" i="1"/>
  <c r="C535" i="1"/>
  <c r="B535" i="1"/>
  <c r="A535" i="1"/>
  <c r="S534" i="1"/>
  <c r="O534" i="1"/>
  <c r="K534" i="1"/>
  <c r="J534" i="1"/>
  <c r="I534" i="1"/>
  <c r="H534" i="1"/>
  <c r="G534" i="1"/>
  <c r="F534" i="1"/>
  <c r="E534" i="1"/>
  <c r="D534" i="1"/>
  <c r="C534" i="1"/>
  <c r="B534" i="1"/>
  <c r="A534" i="1"/>
  <c r="R533" i="1"/>
  <c r="J533" i="1"/>
  <c r="I533" i="1"/>
  <c r="G533" i="1"/>
  <c r="F533" i="1"/>
  <c r="E533" i="1"/>
  <c r="D533" i="1"/>
  <c r="C533" i="1"/>
  <c r="B533" i="1"/>
  <c r="A533" i="1"/>
  <c r="S532" i="1"/>
  <c r="O532" i="1"/>
  <c r="K532" i="1"/>
  <c r="J532" i="1"/>
  <c r="I532" i="1"/>
  <c r="H532" i="1"/>
  <c r="G532" i="1"/>
  <c r="F532" i="1"/>
  <c r="E532" i="1"/>
  <c r="D532" i="1"/>
  <c r="C532" i="1"/>
  <c r="B532" i="1"/>
  <c r="A532" i="1"/>
  <c r="R531" i="1"/>
  <c r="J531" i="1"/>
  <c r="I531" i="1"/>
  <c r="G531" i="1"/>
  <c r="F531" i="1"/>
  <c r="E531" i="1"/>
  <c r="D531" i="1"/>
  <c r="C531" i="1"/>
  <c r="B531" i="1"/>
  <c r="A531" i="1"/>
  <c r="S530" i="1"/>
  <c r="O530" i="1"/>
  <c r="K530" i="1"/>
  <c r="J530" i="1"/>
  <c r="I530" i="1"/>
  <c r="H530" i="1"/>
  <c r="G530" i="1"/>
  <c r="F530" i="1"/>
  <c r="E530" i="1"/>
  <c r="D530" i="1"/>
  <c r="C530" i="1"/>
  <c r="B530" i="1"/>
  <c r="A530" i="1"/>
  <c r="R529" i="1"/>
  <c r="J529" i="1"/>
  <c r="I529" i="1"/>
  <c r="G529" i="1"/>
  <c r="F529" i="1"/>
  <c r="E529" i="1"/>
  <c r="D529" i="1"/>
  <c r="C529" i="1"/>
  <c r="B529" i="1"/>
  <c r="A529" i="1"/>
  <c r="S528" i="1"/>
  <c r="O528" i="1"/>
  <c r="K528" i="1"/>
  <c r="J528" i="1"/>
  <c r="I528" i="1"/>
  <c r="H528" i="1"/>
  <c r="G528" i="1"/>
  <c r="F528" i="1"/>
  <c r="E528" i="1"/>
  <c r="D528" i="1"/>
  <c r="C528" i="1"/>
  <c r="B528" i="1"/>
  <c r="A528" i="1"/>
  <c r="R527" i="1"/>
  <c r="J527" i="1"/>
  <c r="I527" i="1"/>
  <c r="G527" i="1"/>
  <c r="F527" i="1"/>
  <c r="E527" i="1"/>
  <c r="D527" i="1"/>
  <c r="C527" i="1"/>
  <c r="B527" i="1"/>
  <c r="A527" i="1"/>
  <c r="S526" i="1"/>
  <c r="O526" i="1"/>
  <c r="K526" i="1"/>
  <c r="J526" i="1"/>
  <c r="I526" i="1"/>
  <c r="H526" i="1"/>
  <c r="G526" i="1"/>
  <c r="F526" i="1"/>
  <c r="E526" i="1"/>
  <c r="D526" i="1"/>
  <c r="C526" i="1"/>
  <c r="B526" i="1"/>
  <c r="A526" i="1"/>
  <c r="R525" i="1"/>
  <c r="J525" i="1"/>
  <c r="I525" i="1"/>
  <c r="G525" i="1"/>
  <c r="F525" i="1"/>
  <c r="E525" i="1"/>
  <c r="D525" i="1"/>
  <c r="C525" i="1"/>
  <c r="B525" i="1"/>
  <c r="A525" i="1"/>
  <c r="S524" i="1"/>
  <c r="O524" i="1"/>
  <c r="K524" i="1"/>
  <c r="J524" i="1"/>
  <c r="I524" i="1"/>
  <c r="H524" i="1"/>
  <c r="G524" i="1"/>
  <c r="F524" i="1"/>
  <c r="E524" i="1"/>
  <c r="D524" i="1"/>
  <c r="C524" i="1"/>
  <c r="B524" i="1"/>
  <c r="A524" i="1"/>
  <c r="R523" i="1"/>
  <c r="J523" i="1"/>
  <c r="I523" i="1"/>
  <c r="G523" i="1"/>
  <c r="F523" i="1"/>
  <c r="E523" i="1"/>
  <c r="D523" i="1"/>
  <c r="C523" i="1"/>
  <c r="B523" i="1"/>
  <c r="A523" i="1"/>
  <c r="S522" i="1"/>
  <c r="O522" i="1"/>
  <c r="K522" i="1"/>
  <c r="J522" i="1"/>
  <c r="I522" i="1"/>
  <c r="H522" i="1"/>
  <c r="G522" i="1"/>
  <c r="F522" i="1"/>
  <c r="E522" i="1"/>
  <c r="D522" i="1"/>
  <c r="C522" i="1"/>
  <c r="B522" i="1"/>
  <c r="A522" i="1"/>
  <c r="R521" i="1"/>
  <c r="J521" i="1"/>
  <c r="I521" i="1"/>
  <c r="G521" i="1"/>
  <c r="F521" i="1"/>
  <c r="E521" i="1"/>
  <c r="D521" i="1"/>
  <c r="C521" i="1"/>
  <c r="B521" i="1"/>
  <c r="A521" i="1"/>
  <c r="S520" i="1"/>
  <c r="O520" i="1"/>
  <c r="K520" i="1"/>
  <c r="J520" i="1"/>
  <c r="I520" i="1"/>
  <c r="H520" i="1"/>
  <c r="G520" i="1"/>
  <c r="F520" i="1"/>
  <c r="E520" i="1"/>
  <c r="D520" i="1"/>
  <c r="C520" i="1"/>
  <c r="B520" i="1"/>
  <c r="A520" i="1"/>
  <c r="R519" i="1"/>
  <c r="J519" i="1"/>
  <c r="I519" i="1"/>
  <c r="G519" i="1"/>
  <c r="F519" i="1"/>
  <c r="E519" i="1"/>
  <c r="D519" i="1"/>
  <c r="C519" i="1"/>
  <c r="B519" i="1"/>
  <c r="A519" i="1"/>
  <c r="S518" i="1"/>
  <c r="O518" i="1"/>
  <c r="K518" i="1"/>
  <c r="J518" i="1"/>
  <c r="I518" i="1"/>
  <c r="H518" i="1"/>
  <c r="G518" i="1"/>
  <c r="F518" i="1"/>
  <c r="E518" i="1"/>
  <c r="D518" i="1"/>
  <c r="C518" i="1"/>
  <c r="B518" i="1"/>
  <c r="A518" i="1"/>
  <c r="R517" i="1"/>
  <c r="J517" i="1"/>
  <c r="I517" i="1"/>
  <c r="G517" i="1"/>
  <c r="F517" i="1"/>
  <c r="E517" i="1"/>
  <c r="D517" i="1"/>
  <c r="C517" i="1"/>
  <c r="B517" i="1"/>
  <c r="A517" i="1"/>
  <c r="S516" i="1"/>
  <c r="O516" i="1"/>
  <c r="K516" i="1"/>
  <c r="J516" i="1"/>
  <c r="I516" i="1"/>
  <c r="H516" i="1"/>
  <c r="G516" i="1"/>
  <c r="F516" i="1"/>
  <c r="E516" i="1"/>
  <c r="D516" i="1"/>
  <c r="C516" i="1"/>
  <c r="B516" i="1"/>
  <c r="A516" i="1"/>
  <c r="R515" i="1"/>
  <c r="J515" i="1"/>
  <c r="I515" i="1"/>
  <c r="G515" i="1"/>
  <c r="F515" i="1"/>
  <c r="E515" i="1"/>
  <c r="D515" i="1"/>
  <c r="C515" i="1"/>
  <c r="B515" i="1"/>
  <c r="A515" i="1"/>
  <c r="S514" i="1"/>
  <c r="O514" i="1"/>
  <c r="K514" i="1"/>
  <c r="J514" i="1"/>
  <c r="I514" i="1"/>
  <c r="H514" i="1"/>
  <c r="G514" i="1"/>
  <c r="F514" i="1"/>
  <c r="E514" i="1"/>
  <c r="D514" i="1"/>
  <c r="C514" i="1"/>
  <c r="B514" i="1"/>
  <c r="A514" i="1"/>
  <c r="R513" i="1"/>
  <c r="J513" i="1"/>
  <c r="I513" i="1"/>
  <c r="G513" i="1"/>
  <c r="F513" i="1"/>
  <c r="E513" i="1"/>
  <c r="D513" i="1"/>
  <c r="C513" i="1"/>
  <c r="B513" i="1"/>
  <c r="A513" i="1"/>
  <c r="S512" i="1"/>
  <c r="O512" i="1"/>
  <c r="K512" i="1"/>
  <c r="J512" i="1"/>
  <c r="I512" i="1"/>
  <c r="H512" i="1"/>
  <c r="G512" i="1"/>
  <c r="F512" i="1"/>
  <c r="E512" i="1"/>
  <c r="D512" i="1"/>
  <c r="C512" i="1"/>
  <c r="B512" i="1"/>
  <c r="A512" i="1"/>
  <c r="R511" i="1"/>
  <c r="J511" i="1"/>
  <c r="I511" i="1"/>
  <c r="G511" i="1"/>
  <c r="F511" i="1"/>
  <c r="E511" i="1"/>
  <c r="D511" i="1"/>
  <c r="C511" i="1"/>
  <c r="B511" i="1"/>
  <c r="A511" i="1"/>
  <c r="S510" i="1"/>
  <c r="O510" i="1"/>
  <c r="K510" i="1"/>
  <c r="J510" i="1"/>
  <c r="I510" i="1"/>
  <c r="H510" i="1"/>
  <c r="G510" i="1"/>
  <c r="F510" i="1"/>
  <c r="E510" i="1"/>
  <c r="D510" i="1"/>
  <c r="C510" i="1"/>
  <c r="B510" i="1"/>
  <c r="A510" i="1"/>
  <c r="R509" i="1"/>
  <c r="J509" i="1"/>
  <c r="I509" i="1"/>
  <c r="G509" i="1"/>
  <c r="F509" i="1"/>
  <c r="E509" i="1"/>
  <c r="D509" i="1"/>
  <c r="C509" i="1"/>
  <c r="B509" i="1"/>
  <c r="A509" i="1"/>
  <c r="S508" i="1"/>
  <c r="O508" i="1"/>
  <c r="K508" i="1"/>
  <c r="J508" i="1"/>
  <c r="I508" i="1"/>
  <c r="H508" i="1"/>
  <c r="G508" i="1"/>
  <c r="F508" i="1"/>
  <c r="E508" i="1"/>
  <c r="D508" i="1"/>
  <c r="C508" i="1"/>
  <c r="B508" i="1"/>
  <c r="A508" i="1"/>
  <c r="R507" i="1"/>
  <c r="J507" i="1"/>
  <c r="I507" i="1"/>
  <c r="G507" i="1"/>
  <c r="F507" i="1"/>
  <c r="E507" i="1"/>
  <c r="D507" i="1"/>
  <c r="C507" i="1"/>
  <c r="B507" i="1"/>
  <c r="A507" i="1"/>
  <c r="R506" i="1"/>
  <c r="J506" i="1"/>
  <c r="I506" i="1"/>
  <c r="G506" i="1"/>
  <c r="F506" i="1"/>
  <c r="E506" i="1"/>
  <c r="D506" i="1"/>
  <c r="C506" i="1"/>
  <c r="B506" i="1"/>
  <c r="A506" i="1"/>
  <c r="S505" i="1"/>
  <c r="O505" i="1"/>
  <c r="K505" i="1"/>
  <c r="J505" i="1"/>
  <c r="I505" i="1"/>
  <c r="H505" i="1"/>
  <c r="G505" i="1"/>
  <c r="F505" i="1"/>
  <c r="E505" i="1"/>
  <c r="D505" i="1"/>
  <c r="C505" i="1"/>
  <c r="B505" i="1"/>
  <c r="A505" i="1"/>
  <c r="R504" i="1"/>
  <c r="J504" i="1"/>
  <c r="I504" i="1"/>
  <c r="G504" i="1"/>
  <c r="F504" i="1"/>
  <c r="E504" i="1"/>
  <c r="D504" i="1"/>
  <c r="C504" i="1"/>
  <c r="B504" i="1"/>
  <c r="A504" i="1"/>
  <c r="S503" i="1"/>
  <c r="O503" i="1"/>
  <c r="K503" i="1"/>
  <c r="J503" i="1"/>
  <c r="I503" i="1"/>
  <c r="H503" i="1"/>
  <c r="G503" i="1"/>
  <c r="F503" i="1"/>
  <c r="E503" i="1"/>
  <c r="D503" i="1"/>
  <c r="C503" i="1"/>
  <c r="B503" i="1"/>
  <c r="A503" i="1"/>
  <c r="R502" i="1"/>
  <c r="J502" i="1"/>
  <c r="I502" i="1"/>
  <c r="G502" i="1"/>
  <c r="F502" i="1"/>
  <c r="E502" i="1"/>
  <c r="D502" i="1"/>
  <c r="C502" i="1"/>
  <c r="B502" i="1"/>
  <c r="A502" i="1"/>
  <c r="S501" i="1"/>
  <c r="O501" i="1"/>
  <c r="K501" i="1"/>
  <c r="J501" i="1"/>
  <c r="I501" i="1"/>
  <c r="H501" i="1"/>
  <c r="G501" i="1"/>
  <c r="F501" i="1"/>
  <c r="E501" i="1"/>
  <c r="D501" i="1"/>
  <c r="C501" i="1"/>
  <c r="B501" i="1"/>
  <c r="A501" i="1"/>
  <c r="R500" i="1"/>
  <c r="J500" i="1"/>
  <c r="I500" i="1"/>
  <c r="G500" i="1"/>
  <c r="F500" i="1"/>
  <c r="E500" i="1"/>
  <c r="D500" i="1"/>
  <c r="C500" i="1"/>
  <c r="B500" i="1"/>
  <c r="A500" i="1"/>
  <c r="S499" i="1"/>
  <c r="O499" i="1"/>
  <c r="K499" i="1"/>
  <c r="J499" i="1"/>
  <c r="I499" i="1"/>
  <c r="H499" i="1"/>
  <c r="G499" i="1"/>
  <c r="F499" i="1"/>
  <c r="E499" i="1"/>
  <c r="D499" i="1"/>
  <c r="C499" i="1"/>
  <c r="B499" i="1"/>
  <c r="A499" i="1"/>
  <c r="R498" i="1"/>
  <c r="J498" i="1"/>
  <c r="I498" i="1"/>
  <c r="G498" i="1"/>
  <c r="F498" i="1"/>
  <c r="E498" i="1"/>
  <c r="D498" i="1"/>
  <c r="C498" i="1"/>
  <c r="B498" i="1"/>
  <c r="A498" i="1"/>
  <c r="R497" i="1"/>
  <c r="J497" i="1"/>
  <c r="I497" i="1"/>
  <c r="G497" i="1"/>
  <c r="F497" i="1"/>
  <c r="E497" i="1"/>
  <c r="D497" i="1"/>
  <c r="C497" i="1"/>
  <c r="B497" i="1"/>
  <c r="A497" i="1"/>
  <c r="S496" i="1"/>
  <c r="O496" i="1"/>
  <c r="K496" i="1"/>
  <c r="J496" i="1"/>
  <c r="I496" i="1"/>
  <c r="H496" i="1"/>
  <c r="G496" i="1"/>
  <c r="F496" i="1"/>
  <c r="E496" i="1"/>
  <c r="D496" i="1"/>
  <c r="C496" i="1"/>
  <c r="B496" i="1"/>
  <c r="A496" i="1"/>
  <c r="R495" i="1"/>
  <c r="J495" i="1"/>
  <c r="I495" i="1"/>
  <c r="G495" i="1"/>
  <c r="F495" i="1"/>
  <c r="E495" i="1"/>
  <c r="D495" i="1"/>
  <c r="C495" i="1"/>
  <c r="B495" i="1"/>
  <c r="A495" i="1"/>
  <c r="S494" i="1"/>
  <c r="O494" i="1"/>
  <c r="K494" i="1"/>
  <c r="J494" i="1"/>
  <c r="I494" i="1"/>
  <c r="H494" i="1"/>
  <c r="G494" i="1"/>
  <c r="F494" i="1"/>
  <c r="E494" i="1"/>
  <c r="D494" i="1"/>
  <c r="C494" i="1"/>
  <c r="B494" i="1"/>
  <c r="A494" i="1"/>
  <c r="R493" i="1"/>
  <c r="J493" i="1"/>
  <c r="I493" i="1"/>
  <c r="G493" i="1"/>
  <c r="F493" i="1"/>
  <c r="E493" i="1"/>
  <c r="D493" i="1"/>
  <c r="C493" i="1"/>
  <c r="B493" i="1"/>
  <c r="A493" i="1"/>
  <c r="S492" i="1"/>
  <c r="O492" i="1"/>
  <c r="K492" i="1"/>
  <c r="J492" i="1"/>
  <c r="I492" i="1"/>
  <c r="H492" i="1"/>
  <c r="G492" i="1"/>
  <c r="F492" i="1"/>
  <c r="E492" i="1"/>
  <c r="D492" i="1"/>
  <c r="C492" i="1"/>
  <c r="B492" i="1"/>
  <c r="A492" i="1"/>
  <c r="R491" i="1"/>
  <c r="J491" i="1"/>
  <c r="I491" i="1"/>
  <c r="G491" i="1"/>
  <c r="F491" i="1"/>
  <c r="E491" i="1"/>
  <c r="D491" i="1"/>
  <c r="C491" i="1"/>
  <c r="B491" i="1"/>
  <c r="A491" i="1"/>
  <c r="R490" i="1"/>
  <c r="J490" i="1"/>
  <c r="I490" i="1"/>
  <c r="G490" i="1"/>
  <c r="F490" i="1"/>
  <c r="E490" i="1"/>
  <c r="D490" i="1"/>
  <c r="C490" i="1"/>
  <c r="B490" i="1"/>
  <c r="A490" i="1"/>
  <c r="S489" i="1"/>
  <c r="O489" i="1"/>
  <c r="K489" i="1"/>
  <c r="J489" i="1"/>
  <c r="I489" i="1"/>
  <c r="H489" i="1"/>
  <c r="G489" i="1"/>
  <c r="F489" i="1"/>
  <c r="E489" i="1"/>
  <c r="D489" i="1"/>
  <c r="C489" i="1"/>
  <c r="B489" i="1"/>
  <c r="A489" i="1"/>
  <c r="R488" i="1"/>
  <c r="J488" i="1"/>
  <c r="I488" i="1"/>
  <c r="G488" i="1"/>
  <c r="F488" i="1"/>
  <c r="E488" i="1"/>
  <c r="D488" i="1"/>
  <c r="C488" i="1"/>
  <c r="B488" i="1"/>
  <c r="A488" i="1"/>
  <c r="R487" i="1"/>
  <c r="J487" i="1"/>
  <c r="I487" i="1"/>
  <c r="G487" i="1"/>
  <c r="F487" i="1"/>
  <c r="E487" i="1"/>
  <c r="D487" i="1"/>
  <c r="C487" i="1"/>
  <c r="B487" i="1"/>
  <c r="A487" i="1"/>
  <c r="S486" i="1"/>
  <c r="O486" i="1"/>
  <c r="K486" i="1"/>
  <c r="J486" i="1"/>
  <c r="I486" i="1"/>
  <c r="H486" i="1"/>
  <c r="G486" i="1"/>
  <c r="F486" i="1"/>
  <c r="E486" i="1"/>
  <c r="D486" i="1"/>
  <c r="C486" i="1"/>
  <c r="B486" i="1"/>
  <c r="A486" i="1"/>
  <c r="R485" i="1"/>
  <c r="J485" i="1"/>
  <c r="I485" i="1"/>
  <c r="G485" i="1"/>
  <c r="F485" i="1"/>
  <c r="E485" i="1"/>
  <c r="D485" i="1"/>
  <c r="C485" i="1"/>
  <c r="B485" i="1"/>
  <c r="A485" i="1"/>
  <c r="S484" i="1"/>
  <c r="O484" i="1"/>
  <c r="K484" i="1"/>
  <c r="J484" i="1"/>
  <c r="I484" i="1"/>
  <c r="H484" i="1"/>
  <c r="G484" i="1"/>
  <c r="F484" i="1"/>
  <c r="E484" i="1"/>
  <c r="D484" i="1"/>
  <c r="C484" i="1"/>
  <c r="B484" i="1"/>
  <c r="A484" i="1"/>
  <c r="R483" i="1"/>
  <c r="J483" i="1"/>
  <c r="I483" i="1"/>
  <c r="G483" i="1"/>
  <c r="F483" i="1"/>
  <c r="E483" i="1"/>
  <c r="D483" i="1"/>
  <c r="C483" i="1"/>
  <c r="B483" i="1"/>
  <c r="A483" i="1"/>
  <c r="S482" i="1"/>
  <c r="O482" i="1"/>
  <c r="K482" i="1"/>
  <c r="J482" i="1"/>
  <c r="I482" i="1"/>
  <c r="H482" i="1"/>
  <c r="G482" i="1"/>
  <c r="F482" i="1"/>
  <c r="E482" i="1"/>
  <c r="D482" i="1"/>
  <c r="C482" i="1"/>
  <c r="B482" i="1"/>
  <c r="A482" i="1"/>
  <c r="R481" i="1"/>
  <c r="J481" i="1"/>
  <c r="I481" i="1"/>
  <c r="G481" i="1"/>
  <c r="F481" i="1"/>
  <c r="E481" i="1"/>
  <c r="D481" i="1"/>
  <c r="C481" i="1"/>
  <c r="B481" i="1"/>
  <c r="A481" i="1"/>
  <c r="S480" i="1"/>
  <c r="O480" i="1"/>
  <c r="K480" i="1"/>
  <c r="J480" i="1"/>
  <c r="I480" i="1"/>
  <c r="H480" i="1"/>
  <c r="G480" i="1"/>
  <c r="F480" i="1"/>
  <c r="E480" i="1"/>
  <c r="D480" i="1"/>
  <c r="C480" i="1"/>
  <c r="B480" i="1"/>
  <c r="A480" i="1"/>
  <c r="R479" i="1"/>
  <c r="J479" i="1"/>
  <c r="I479" i="1"/>
  <c r="G479" i="1"/>
  <c r="F479" i="1"/>
  <c r="E479" i="1"/>
  <c r="D479" i="1"/>
  <c r="C479" i="1"/>
  <c r="B479" i="1"/>
  <c r="A479" i="1"/>
  <c r="R478" i="1"/>
  <c r="J478" i="1"/>
  <c r="I478" i="1"/>
  <c r="G478" i="1"/>
  <c r="F478" i="1"/>
  <c r="E478" i="1"/>
  <c r="D478" i="1"/>
  <c r="C478" i="1"/>
  <c r="B478" i="1"/>
  <c r="A478" i="1"/>
  <c r="S477" i="1"/>
  <c r="O477" i="1"/>
  <c r="K477" i="1"/>
  <c r="J477" i="1"/>
  <c r="I477" i="1"/>
  <c r="H477" i="1"/>
  <c r="G477" i="1"/>
  <c r="F477" i="1"/>
  <c r="E477" i="1"/>
  <c r="D477" i="1"/>
  <c r="C477" i="1"/>
  <c r="B477" i="1"/>
  <c r="A477" i="1"/>
  <c r="R476" i="1"/>
  <c r="J476" i="1"/>
  <c r="I476" i="1"/>
  <c r="G476" i="1"/>
  <c r="F476" i="1"/>
  <c r="E476" i="1"/>
  <c r="D476" i="1"/>
  <c r="C476" i="1"/>
  <c r="B476" i="1"/>
  <c r="A476" i="1"/>
  <c r="S475" i="1"/>
  <c r="O475" i="1"/>
  <c r="K475" i="1"/>
  <c r="J475" i="1"/>
  <c r="I475" i="1"/>
  <c r="H475" i="1"/>
  <c r="G475" i="1"/>
  <c r="F475" i="1"/>
  <c r="E475" i="1"/>
  <c r="D475" i="1"/>
  <c r="C475" i="1"/>
  <c r="B475" i="1"/>
  <c r="A475" i="1"/>
  <c r="R474" i="1"/>
  <c r="J474" i="1"/>
  <c r="I474" i="1"/>
  <c r="G474" i="1"/>
  <c r="F474" i="1"/>
  <c r="E474" i="1"/>
  <c r="D474" i="1"/>
  <c r="C474" i="1"/>
  <c r="B474" i="1"/>
  <c r="A474" i="1"/>
  <c r="R473" i="1"/>
  <c r="J473" i="1"/>
  <c r="I473" i="1"/>
  <c r="G473" i="1"/>
  <c r="F473" i="1"/>
  <c r="E473" i="1"/>
  <c r="D473" i="1"/>
  <c r="C473" i="1"/>
  <c r="B473" i="1"/>
  <c r="A473" i="1"/>
  <c r="S472" i="1"/>
  <c r="O472" i="1"/>
  <c r="K472" i="1"/>
  <c r="J472" i="1"/>
  <c r="I472" i="1"/>
  <c r="H472" i="1"/>
  <c r="G472" i="1"/>
  <c r="F472" i="1"/>
  <c r="E472" i="1"/>
  <c r="D472" i="1"/>
  <c r="C472" i="1"/>
  <c r="B472" i="1"/>
  <c r="A472" i="1"/>
  <c r="R471" i="1"/>
  <c r="J471" i="1"/>
  <c r="I471" i="1"/>
  <c r="G471" i="1"/>
  <c r="F471" i="1"/>
  <c r="E471" i="1"/>
  <c r="D471" i="1"/>
  <c r="C471" i="1"/>
  <c r="B471" i="1"/>
  <c r="A471" i="1"/>
  <c r="S470" i="1"/>
  <c r="O470" i="1"/>
  <c r="K470" i="1"/>
  <c r="J470" i="1"/>
  <c r="I470" i="1"/>
  <c r="H470" i="1"/>
  <c r="G470" i="1"/>
  <c r="F470" i="1"/>
  <c r="E470" i="1"/>
  <c r="D470" i="1"/>
  <c r="C470" i="1"/>
  <c r="B470" i="1"/>
  <c r="A470" i="1"/>
  <c r="R469" i="1"/>
  <c r="J469" i="1"/>
  <c r="I469" i="1"/>
  <c r="G469" i="1"/>
  <c r="F469" i="1"/>
  <c r="E469" i="1"/>
  <c r="D469" i="1"/>
  <c r="C469" i="1"/>
  <c r="B469" i="1"/>
  <c r="A469" i="1"/>
  <c r="S468" i="1"/>
  <c r="O468" i="1"/>
  <c r="K468" i="1"/>
  <c r="J468" i="1"/>
  <c r="I468" i="1"/>
  <c r="H468" i="1"/>
  <c r="G468" i="1"/>
  <c r="F468" i="1"/>
  <c r="E468" i="1"/>
  <c r="D468" i="1"/>
  <c r="C468" i="1"/>
  <c r="B468" i="1"/>
  <c r="A468" i="1"/>
  <c r="R467" i="1"/>
  <c r="J467" i="1"/>
  <c r="I467" i="1"/>
  <c r="G467" i="1"/>
  <c r="F467" i="1"/>
  <c r="E467" i="1"/>
  <c r="D467" i="1"/>
  <c r="C467" i="1"/>
  <c r="B467" i="1"/>
  <c r="A467" i="1"/>
  <c r="S466" i="1"/>
  <c r="O466" i="1"/>
  <c r="K466" i="1"/>
  <c r="J466" i="1"/>
  <c r="I466" i="1"/>
  <c r="H466" i="1"/>
  <c r="G466" i="1"/>
  <c r="F466" i="1"/>
  <c r="E466" i="1"/>
  <c r="D466" i="1"/>
  <c r="C466" i="1"/>
  <c r="B466" i="1"/>
  <c r="A466" i="1"/>
  <c r="R465" i="1"/>
  <c r="J465" i="1"/>
  <c r="I465" i="1"/>
  <c r="G465" i="1"/>
  <c r="F465" i="1"/>
  <c r="E465" i="1"/>
  <c r="D465" i="1"/>
  <c r="C465" i="1"/>
  <c r="B465" i="1"/>
  <c r="A465" i="1"/>
  <c r="S464" i="1"/>
  <c r="O464" i="1"/>
  <c r="K464" i="1"/>
  <c r="J464" i="1"/>
  <c r="I464" i="1"/>
  <c r="H464" i="1"/>
  <c r="G464" i="1"/>
  <c r="F464" i="1"/>
  <c r="E464" i="1"/>
  <c r="D464" i="1"/>
  <c r="C464" i="1"/>
  <c r="B464" i="1"/>
  <c r="A464" i="1"/>
  <c r="R463" i="1"/>
  <c r="J463" i="1"/>
  <c r="I463" i="1"/>
  <c r="G463" i="1"/>
  <c r="F463" i="1"/>
  <c r="E463" i="1"/>
  <c r="D463" i="1"/>
  <c r="C463" i="1"/>
  <c r="B463" i="1"/>
  <c r="A463" i="1"/>
  <c r="S462" i="1"/>
  <c r="O462" i="1"/>
  <c r="K462" i="1"/>
  <c r="J462" i="1"/>
  <c r="I462" i="1"/>
  <c r="H462" i="1"/>
  <c r="G462" i="1"/>
  <c r="F462" i="1"/>
  <c r="E462" i="1"/>
  <c r="D462" i="1"/>
  <c r="C462" i="1"/>
  <c r="B462" i="1"/>
  <c r="A462" i="1"/>
  <c r="R461" i="1"/>
  <c r="J461" i="1"/>
  <c r="I461" i="1"/>
  <c r="G461" i="1"/>
  <c r="F461" i="1"/>
  <c r="E461" i="1"/>
  <c r="D461" i="1"/>
  <c r="C461" i="1"/>
  <c r="B461" i="1"/>
  <c r="A461" i="1"/>
  <c r="S460" i="1"/>
  <c r="O460" i="1"/>
  <c r="K460" i="1"/>
  <c r="J460" i="1"/>
  <c r="I460" i="1"/>
  <c r="H460" i="1"/>
  <c r="G460" i="1"/>
  <c r="F460" i="1"/>
  <c r="E460" i="1"/>
  <c r="D460" i="1"/>
  <c r="C460" i="1"/>
  <c r="B460" i="1"/>
  <c r="A460" i="1"/>
  <c r="R459" i="1"/>
  <c r="J459" i="1"/>
  <c r="I459" i="1"/>
  <c r="G459" i="1"/>
  <c r="F459" i="1"/>
  <c r="E459" i="1"/>
  <c r="D459" i="1"/>
  <c r="C459" i="1"/>
  <c r="B459" i="1"/>
  <c r="A459" i="1"/>
  <c r="S458" i="1"/>
  <c r="O458" i="1"/>
  <c r="K458" i="1"/>
  <c r="J458" i="1"/>
  <c r="I458" i="1"/>
  <c r="H458" i="1"/>
  <c r="G458" i="1"/>
  <c r="F458" i="1"/>
  <c r="E458" i="1"/>
  <c r="D458" i="1"/>
  <c r="C458" i="1"/>
  <c r="B458" i="1"/>
  <c r="A458" i="1"/>
  <c r="R457" i="1"/>
  <c r="J457" i="1"/>
  <c r="I457" i="1"/>
  <c r="G457" i="1"/>
  <c r="F457" i="1"/>
  <c r="E457" i="1"/>
  <c r="D457" i="1"/>
  <c r="C457" i="1"/>
  <c r="B457" i="1"/>
  <c r="A457" i="1"/>
  <c r="S456" i="1"/>
  <c r="O456" i="1"/>
  <c r="K456" i="1"/>
  <c r="J456" i="1"/>
  <c r="I456" i="1"/>
  <c r="H456" i="1"/>
  <c r="G456" i="1"/>
  <c r="F456" i="1"/>
  <c r="E456" i="1"/>
  <c r="D456" i="1"/>
  <c r="C456" i="1"/>
  <c r="B456" i="1"/>
  <c r="A456" i="1"/>
  <c r="R455" i="1"/>
  <c r="J455" i="1"/>
  <c r="I455" i="1"/>
  <c r="G455" i="1"/>
  <c r="F455" i="1"/>
  <c r="E455" i="1"/>
  <c r="D455" i="1"/>
  <c r="C455" i="1"/>
  <c r="B455" i="1"/>
  <c r="A455" i="1"/>
  <c r="S454" i="1"/>
  <c r="O454" i="1"/>
  <c r="K454" i="1"/>
  <c r="J454" i="1"/>
  <c r="I454" i="1"/>
  <c r="H454" i="1"/>
  <c r="G454" i="1"/>
  <c r="F454" i="1"/>
  <c r="E454" i="1"/>
  <c r="D454" i="1"/>
  <c r="C454" i="1"/>
  <c r="B454" i="1"/>
  <c r="A454" i="1"/>
  <c r="R453" i="1"/>
  <c r="J453" i="1"/>
  <c r="I453" i="1"/>
  <c r="G453" i="1"/>
  <c r="F453" i="1"/>
  <c r="E453" i="1"/>
  <c r="D453" i="1"/>
  <c r="C453" i="1"/>
  <c r="B453" i="1"/>
  <c r="A453" i="1"/>
  <c r="S452" i="1"/>
  <c r="O452" i="1"/>
  <c r="K452" i="1"/>
  <c r="J452" i="1"/>
  <c r="I452" i="1"/>
  <c r="H452" i="1"/>
  <c r="G452" i="1"/>
  <c r="F452" i="1"/>
  <c r="E452" i="1"/>
  <c r="D452" i="1"/>
  <c r="C452" i="1"/>
  <c r="B452" i="1"/>
  <c r="A452" i="1"/>
  <c r="R451" i="1"/>
  <c r="J451" i="1"/>
  <c r="I451" i="1"/>
  <c r="G451" i="1"/>
  <c r="F451" i="1"/>
  <c r="E451" i="1"/>
  <c r="D451" i="1"/>
  <c r="C451" i="1"/>
  <c r="B451" i="1"/>
  <c r="A451" i="1"/>
  <c r="S450" i="1"/>
  <c r="O450" i="1"/>
  <c r="K450" i="1"/>
  <c r="J450" i="1"/>
  <c r="I450" i="1"/>
  <c r="H450" i="1"/>
  <c r="G450" i="1"/>
  <c r="F450" i="1"/>
  <c r="E450" i="1"/>
  <c r="D450" i="1"/>
  <c r="C450" i="1"/>
  <c r="B450" i="1"/>
  <c r="A450" i="1"/>
  <c r="R449" i="1"/>
  <c r="J449" i="1"/>
  <c r="I449" i="1"/>
  <c r="G449" i="1"/>
  <c r="F449" i="1"/>
  <c r="E449" i="1"/>
  <c r="D449" i="1"/>
  <c r="C449" i="1"/>
  <c r="B449" i="1"/>
  <c r="A449" i="1"/>
  <c r="S448" i="1"/>
  <c r="O448" i="1"/>
  <c r="K448" i="1"/>
  <c r="J448" i="1"/>
  <c r="I448" i="1"/>
  <c r="H448" i="1"/>
  <c r="G448" i="1"/>
  <c r="F448" i="1"/>
  <c r="E448" i="1"/>
  <c r="D448" i="1"/>
  <c r="C448" i="1"/>
  <c r="B448" i="1"/>
  <c r="A448" i="1"/>
  <c r="R447" i="1"/>
  <c r="J447" i="1"/>
  <c r="I447" i="1"/>
  <c r="G447" i="1"/>
  <c r="F447" i="1"/>
  <c r="E447" i="1"/>
  <c r="D447" i="1"/>
  <c r="C447" i="1"/>
  <c r="B447" i="1"/>
  <c r="A447" i="1"/>
  <c r="S446" i="1"/>
  <c r="O446" i="1"/>
  <c r="K446" i="1"/>
  <c r="J446" i="1"/>
  <c r="I446" i="1"/>
  <c r="H446" i="1"/>
  <c r="G446" i="1"/>
  <c r="F446" i="1"/>
  <c r="E446" i="1"/>
  <c r="D446" i="1"/>
  <c r="C446" i="1"/>
  <c r="B446" i="1"/>
  <c r="A446" i="1"/>
  <c r="R445" i="1"/>
  <c r="J445" i="1"/>
  <c r="I445" i="1"/>
  <c r="G445" i="1"/>
  <c r="F445" i="1"/>
  <c r="E445" i="1"/>
  <c r="D445" i="1"/>
  <c r="C445" i="1"/>
  <c r="B445" i="1"/>
  <c r="A445" i="1"/>
  <c r="S444" i="1"/>
  <c r="O444" i="1"/>
  <c r="K444" i="1"/>
  <c r="J444" i="1"/>
  <c r="I444" i="1"/>
  <c r="H444" i="1"/>
  <c r="G444" i="1"/>
  <c r="F444" i="1"/>
  <c r="E444" i="1"/>
  <c r="D444" i="1"/>
  <c r="C444" i="1"/>
  <c r="B444" i="1"/>
  <c r="A444" i="1"/>
  <c r="R443" i="1"/>
  <c r="J443" i="1"/>
  <c r="I443" i="1"/>
  <c r="G443" i="1"/>
  <c r="F443" i="1"/>
  <c r="E443" i="1"/>
  <c r="D443" i="1"/>
  <c r="C443" i="1"/>
  <c r="B443" i="1"/>
  <c r="A443" i="1"/>
  <c r="S442" i="1"/>
  <c r="O442" i="1"/>
  <c r="K442" i="1"/>
  <c r="J442" i="1"/>
  <c r="I442" i="1"/>
  <c r="H442" i="1"/>
  <c r="G442" i="1"/>
  <c r="F442" i="1"/>
  <c r="E442" i="1"/>
  <c r="D442" i="1"/>
  <c r="C442" i="1"/>
  <c r="B442" i="1"/>
  <c r="A442" i="1"/>
  <c r="R441" i="1"/>
  <c r="J441" i="1"/>
  <c r="I441" i="1"/>
  <c r="G441" i="1"/>
  <c r="F441" i="1"/>
  <c r="E441" i="1"/>
  <c r="D441" i="1"/>
  <c r="C441" i="1"/>
  <c r="B441" i="1"/>
  <c r="A441" i="1"/>
  <c r="S440" i="1"/>
  <c r="O440" i="1"/>
  <c r="K440" i="1"/>
  <c r="J440" i="1"/>
  <c r="I440" i="1"/>
  <c r="H440" i="1"/>
  <c r="G440" i="1"/>
  <c r="F440" i="1"/>
  <c r="E440" i="1"/>
  <c r="D440" i="1"/>
  <c r="C440" i="1"/>
  <c r="B440" i="1"/>
  <c r="A440" i="1"/>
  <c r="R439" i="1"/>
  <c r="J439" i="1"/>
  <c r="I439" i="1"/>
  <c r="G439" i="1"/>
  <c r="F439" i="1"/>
  <c r="E439" i="1"/>
  <c r="D439" i="1"/>
  <c r="C439" i="1"/>
  <c r="B439" i="1"/>
  <c r="A439" i="1"/>
  <c r="S438" i="1"/>
  <c r="O438" i="1"/>
  <c r="K438" i="1"/>
  <c r="J438" i="1"/>
  <c r="I438" i="1"/>
  <c r="H438" i="1"/>
  <c r="G438" i="1"/>
  <c r="F438" i="1"/>
  <c r="E438" i="1"/>
  <c r="D438" i="1"/>
  <c r="C438" i="1"/>
  <c r="B438" i="1"/>
  <c r="A438" i="1"/>
  <c r="R437" i="1"/>
  <c r="J437" i="1"/>
  <c r="I437" i="1"/>
  <c r="G437" i="1"/>
  <c r="F437" i="1"/>
  <c r="E437" i="1"/>
  <c r="D437" i="1"/>
  <c r="C437" i="1"/>
  <c r="B437" i="1"/>
  <c r="A437" i="1"/>
  <c r="S436" i="1"/>
  <c r="O436" i="1"/>
  <c r="K436" i="1"/>
  <c r="J436" i="1"/>
  <c r="I436" i="1"/>
  <c r="H436" i="1"/>
  <c r="G436" i="1"/>
  <c r="F436" i="1"/>
  <c r="E436" i="1"/>
  <c r="D436" i="1"/>
  <c r="C436" i="1"/>
  <c r="B436" i="1"/>
  <c r="A436" i="1"/>
  <c r="R435" i="1"/>
  <c r="J435" i="1"/>
  <c r="I435" i="1"/>
  <c r="G435" i="1"/>
  <c r="F435" i="1"/>
  <c r="E435" i="1"/>
  <c r="D435" i="1"/>
  <c r="C435" i="1"/>
  <c r="B435" i="1"/>
  <c r="A435" i="1"/>
  <c r="S434" i="1"/>
  <c r="O434" i="1"/>
  <c r="K434" i="1"/>
  <c r="J434" i="1"/>
  <c r="I434" i="1"/>
  <c r="H434" i="1"/>
  <c r="G434" i="1"/>
  <c r="F434" i="1"/>
  <c r="E434" i="1"/>
  <c r="D434" i="1"/>
  <c r="C434" i="1"/>
  <c r="B434" i="1"/>
  <c r="A434" i="1"/>
  <c r="R433" i="1"/>
  <c r="J433" i="1"/>
  <c r="I433" i="1"/>
  <c r="G433" i="1"/>
  <c r="F433" i="1"/>
  <c r="E433" i="1"/>
  <c r="D433" i="1"/>
  <c r="C433" i="1"/>
  <c r="B433" i="1"/>
  <c r="A433" i="1"/>
  <c r="S432" i="1"/>
  <c r="O432" i="1"/>
  <c r="K432" i="1"/>
  <c r="J432" i="1"/>
  <c r="I432" i="1"/>
  <c r="H432" i="1"/>
  <c r="G432" i="1"/>
  <c r="F432" i="1"/>
  <c r="E432" i="1"/>
  <c r="D432" i="1"/>
  <c r="C432" i="1"/>
  <c r="B432" i="1"/>
  <c r="A432" i="1"/>
  <c r="R431" i="1"/>
  <c r="J431" i="1"/>
  <c r="I431" i="1"/>
  <c r="G431" i="1"/>
  <c r="F431" i="1"/>
  <c r="E431" i="1"/>
  <c r="D431" i="1"/>
  <c r="C431" i="1"/>
  <c r="B431" i="1"/>
  <c r="A431" i="1"/>
  <c r="S430" i="1"/>
  <c r="O430" i="1"/>
  <c r="K430" i="1"/>
  <c r="J430" i="1"/>
  <c r="I430" i="1"/>
  <c r="H430" i="1"/>
  <c r="G430" i="1"/>
  <c r="F430" i="1"/>
  <c r="E430" i="1"/>
  <c r="D430" i="1"/>
  <c r="C430" i="1"/>
  <c r="B430" i="1"/>
  <c r="A430" i="1"/>
  <c r="R429" i="1"/>
  <c r="J429" i="1"/>
  <c r="I429" i="1"/>
  <c r="G429" i="1"/>
  <c r="F429" i="1"/>
  <c r="E429" i="1"/>
  <c r="D429" i="1"/>
  <c r="C429" i="1"/>
  <c r="B429" i="1"/>
  <c r="A429" i="1"/>
  <c r="S428" i="1"/>
  <c r="O428" i="1"/>
  <c r="K428" i="1"/>
  <c r="J428" i="1"/>
  <c r="I428" i="1"/>
  <c r="H428" i="1"/>
  <c r="G428" i="1"/>
  <c r="F428" i="1"/>
  <c r="E428" i="1"/>
  <c r="D428" i="1"/>
  <c r="C428" i="1"/>
  <c r="B428" i="1"/>
  <c r="A428" i="1"/>
  <c r="R427" i="1"/>
  <c r="J427" i="1"/>
  <c r="I427" i="1"/>
  <c r="G427" i="1"/>
  <c r="F427" i="1"/>
  <c r="E427" i="1"/>
  <c r="D427" i="1"/>
  <c r="C427" i="1"/>
  <c r="B427" i="1"/>
  <c r="A427" i="1"/>
  <c r="S426" i="1"/>
  <c r="O426" i="1"/>
  <c r="K426" i="1"/>
  <c r="J426" i="1"/>
  <c r="I426" i="1"/>
  <c r="H426" i="1"/>
  <c r="G426" i="1"/>
  <c r="F426" i="1"/>
  <c r="E426" i="1"/>
  <c r="D426" i="1"/>
  <c r="C426" i="1"/>
  <c r="B426" i="1"/>
  <c r="A426" i="1"/>
  <c r="R425" i="1"/>
  <c r="J425" i="1"/>
  <c r="I425" i="1"/>
  <c r="G425" i="1"/>
  <c r="F425" i="1"/>
  <c r="E425" i="1"/>
  <c r="D425" i="1"/>
  <c r="C425" i="1"/>
  <c r="B425" i="1"/>
  <c r="A425" i="1"/>
  <c r="S424" i="1"/>
  <c r="O424" i="1"/>
  <c r="K424" i="1"/>
  <c r="J424" i="1"/>
  <c r="I424" i="1"/>
  <c r="H424" i="1"/>
  <c r="G424" i="1"/>
  <c r="F424" i="1"/>
  <c r="E424" i="1"/>
  <c r="D424" i="1"/>
  <c r="C424" i="1"/>
  <c r="B424" i="1"/>
  <c r="A424" i="1"/>
  <c r="R423" i="1"/>
  <c r="J423" i="1"/>
  <c r="I423" i="1"/>
  <c r="G423" i="1"/>
  <c r="F423" i="1"/>
  <c r="E423" i="1"/>
  <c r="D423" i="1"/>
  <c r="C423" i="1"/>
  <c r="B423" i="1"/>
  <c r="A423" i="1"/>
  <c r="S422" i="1"/>
  <c r="O422" i="1"/>
  <c r="K422" i="1"/>
  <c r="J422" i="1"/>
  <c r="I422" i="1"/>
  <c r="H422" i="1"/>
  <c r="G422" i="1"/>
  <c r="F422" i="1"/>
  <c r="E422" i="1"/>
  <c r="D422" i="1"/>
  <c r="C422" i="1"/>
  <c r="B422" i="1"/>
  <c r="A422" i="1"/>
  <c r="R421" i="1"/>
  <c r="J421" i="1"/>
  <c r="I421" i="1"/>
  <c r="G421" i="1"/>
  <c r="F421" i="1"/>
  <c r="E421" i="1"/>
  <c r="D421" i="1"/>
  <c r="C421" i="1"/>
  <c r="B421" i="1"/>
  <c r="A421" i="1"/>
  <c r="S420" i="1"/>
  <c r="O420" i="1"/>
  <c r="K420" i="1"/>
  <c r="J420" i="1"/>
  <c r="I420" i="1"/>
  <c r="H420" i="1"/>
  <c r="G420" i="1"/>
  <c r="F420" i="1"/>
  <c r="E420" i="1"/>
  <c r="D420" i="1"/>
  <c r="C420" i="1"/>
  <c r="B420" i="1"/>
  <c r="A420" i="1"/>
  <c r="R419" i="1"/>
  <c r="J419" i="1"/>
  <c r="I419" i="1"/>
  <c r="G419" i="1"/>
  <c r="F419" i="1"/>
  <c r="E419" i="1"/>
  <c r="D419" i="1"/>
  <c r="C419" i="1"/>
  <c r="B419" i="1"/>
  <c r="A419" i="1"/>
  <c r="S418" i="1"/>
  <c r="O418" i="1"/>
  <c r="K418" i="1"/>
  <c r="J418" i="1"/>
  <c r="I418" i="1"/>
  <c r="H418" i="1"/>
  <c r="G418" i="1"/>
  <c r="F418" i="1"/>
  <c r="E418" i="1"/>
  <c r="D418" i="1"/>
  <c r="C418" i="1"/>
  <c r="B418" i="1"/>
  <c r="A418" i="1"/>
  <c r="R417" i="1"/>
  <c r="J417" i="1"/>
  <c r="I417" i="1"/>
  <c r="G417" i="1"/>
  <c r="F417" i="1"/>
  <c r="E417" i="1"/>
  <c r="D417" i="1"/>
  <c r="C417" i="1"/>
  <c r="B417" i="1"/>
  <c r="A417" i="1"/>
  <c r="S416" i="1"/>
  <c r="O416" i="1"/>
  <c r="K416" i="1"/>
  <c r="J416" i="1"/>
  <c r="I416" i="1"/>
  <c r="H416" i="1"/>
  <c r="G416" i="1"/>
  <c r="F416" i="1"/>
  <c r="E416" i="1"/>
  <c r="D416" i="1"/>
  <c r="C416" i="1"/>
  <c r="B416" i="1"/>
  <c r="A416" i="1"/>
  <c r="R415" i="1"/>
  <c r="J415" i="1"/>
  <c r="I415" i="1"/>
  <c r="G415" i="1"/>
  <c r="F415" i="1"/>
  <c r="E415" i="1"/>
  <c r="D415" i="1"/>
  <c r="C415" i="1"/>
  <c r="B415" i="1"/>
  <c r="A415" i="1"/>
  <c r="S414" i="1"/>
  <c r="O414" i="1"/>
  <c r="K414" i="1"/>
  <c r="J414" i="1"/>
  <c r="I414" i="1"/>
  <c r="H414" i="1"/>
  <c r="G414" i="1"/>
  <c r="F414" i="1"/>
  <c r="E414" i="1"/>
  <c r="D414" i="1"/>
  <c r="C414" i="1"/>
  <c r="B414" i="1"/>
  <c r="A414" i="1"/>
  <c r="R413" i="1"/>
  <c r="J413" i="1"/>
  <c r="I413" i="1"/>
  <c r="G413" i="1"/>
  <c r="F413" i="1"/>
  <c r="E413" i="1"/>
  <c r="D413" i="1"/>
  <c r="C413" i="1"/>
  <c r="B413" i="1"/>
  <c r="A413" i="1"/>
  <c r="S412" i="1"/>
  <c r="O412" i="1"/>
  <c r="K412" i="1"/>
  <c r="J412" i="1"/>
  <c r="I412" i="1"/>
  <c r="H412" i="1"/>
  <c r="G412" i="1"/>
  <c r="F412" i="1"/>
  <c r="E412" i="1"/>
  <c r="D412" i="1"/>
  <c r="C412" i="1"/>
  <c r="B412" i="1"/>
  <c r="A412" i="1"/>
  <c r="R411" i="1"/>
  <c r="J411" i="1"/>
  <c r="I411" i="1"/>
  <c r="G411" i="1"/>
  <c r="F411" i="1"/>
  <c r="E411" i="1"/>
  <c r="D411" i="1"/>
  <c r="C411" i="1"/>
  <c r="B411" i="1"/>
  <c r="A411" i="1"/>
  <c r="S410" i="1"/>
  <c r="O410" i="1"/>
  <c r="K410" i="1"/>
  <c r="J410" i="1"/>
  <c r="I410" i="1"/>
  <c r="H410" i="1"/>
  <c r="G410" i="1"/>
  <c r="F410" i="1"/>
  <c r="E410" i="1"/>
  <c r="D410" i="1"/>
  <c r="C410" i="1"/>
  <c r="B410" i="1"/>
  <c r="A410" i="1"/>
  <c r="R409" i="1"/>
  <c r="J409" i="1"/>
  <c r="I409" i="1"/>
  <c r="G409" i="1"/>
  <c r="F409" i="1"/>
  <c r="E409" i="1"/>
  <c r="D409" i="1"/>
  <c r="C409" i="1"/>
  <c r="B409" i="1"/>
  <c r="A409" i="1"/>
  <c r="S408" i="1"/>
  <c r="O408" i="1"/>
  <c r="K408" i="1"/>
  <c r="J408" i="1"/>
  <c r="I408" i="1"/>
  <c r="H408" i="1"/>
  <c r="G408" i="1"/>
  <c r="F408" i="1"/>
  <c r="E408" i="1"/>
  <c r="D408" i="1"/>
  <c r="C408" i="1"/>
  <c r="B408" i="1"/>
  <c r="A408" i="1"/>
  <c r="R407" i="1"/>
  <c r="J407" i="1"/>
  <c r="I407" i="1"/>
  <c r="G407" i="1"/>
  <c r="F407" i="1"/>
  <c r="E407" i="1"/>
  <c r="D407" i="1"/>
  <c r="C407" i="1"/>
  <c r="B407" i="1"/>
  <c r="A407" i="1"/>
  <c r="R406" i="1"/>
  <c r="J406" i="1"/>
  <c r="I406" i="1"/>
  <c r="G406" i="1"/>
  <c r="F406" i="1"/>
  <c r="E406" i="1"/>
  <c r="D406" i="1"/>
  <c r="C406" i="1"/>
  <c r="B406" i="1"/>
  <c r="A406" i="1"/>
  <c r="R405" i="1"/>
  <c r="J405" i="1"/>
  <c r="I405" i="1"/>
  <c r="G405" i="1"/>
  <c r="F405" i="1"/>
  <c r="E405" i="1"/>
  <c r="D405" i="1"/>
  <c r="C405" i="1"/>
  <c r="B405" i="1"/>
  <c r="A405" i="1"/>
  <c r="R404" i="1"/>
  <c r="J404" i="1"/>
  <c r="I404" i="1"/>
  <c r="G404" i="1"/>
  <c r="F404" i="1"/>
  <c r="E404" i="1"/>
  <c r="D404" i="1"/>
  <c r="C404" i="1"/>
  <c r="B404" i="1"/>
  <c r="A404" i="1"/>
  <c r="R403" i="1"/>
  <c r="J403" i="1"/>
  <c r="I403" i="1"/>
  <c r="G403" i="1"/>
  <c r="F403" i="1"/>
  <c r="E403" i="1"/>
  <c r="D403" i="1"/>
  <c r="C403" i="1"/>
  <c r="B403" i="1"/>
  <c r="A403" i="1"/>
  <c r="R402" i="1"/>
  <c r="J402" i="1"/>
  <c r="I402" i="1"/>
  <c r="G402" i="1"/>
  <c r="F402" i="1"/>
  <c r="E402" i="1"/>
  <c r="D402" i="1"/>
  <c r="C402" i="1"/>
  <c r="B402" i="1"/>
  <c r="A402" i="1"/>
  <c r="R401" i="1"/>
  <c r="J401" i="1"/>
  <c r="I401" i="1"/>
  <c r="G401" i="1"/>
  <c r="F401" i="1"/>
  <c r="E401" i="1"/>
  <c r="D401" i="1"/>
  <c r="C401" i="1"/>
  <c r="B401" i="1"/>
  <c r="A401" i="1"/>
  <c r="R400" i="1"/>
  <c r="J400" i="1"/>
  <c r="I400" i="1"/>
  <c r="G400" i="1"/>
  <c r="F400" i="1"/>
  <c r="E400" i="1"/>
  <c r="D400" i="1"/>
  <c r="C400" i="1"/>
  <c r="B400" i="1"/>
  <c r="A400" i="1"/>
  <c r="R399" i="1"/>
  <c r="J399" i="1"/>
  <c r="I399" i="1"/>
  <c r="G399" i="1"/>
  <c r="F399" i="1"/>
  <c r="E399" i="1"/>
  <c r="D399" i="1"/>
  <c r="C399" i="1"/>
  <c r="B399" i="1"/>
  <c r="A399" i="1"/>
  <c r="R398" i="1"/>
  <c r="J398" i="1"/>
  <c r="I398" i="1"/>
  <c r="G398" i="1"/>
  <c r="F398" i="1"/>
  <c r="E398" i="1"/>
  <c r="D398" i="1"/>
  <c r="C398" i="1"/>
  <c r="B398" i="1"/>
  <c r="A398" i="1"/>
  <c r="S397" i="1"/>
  <c r="O397" i="1"/>
  <c r="K397" i="1"/>
  <c r="J397" i="1"/>
  <c r="I397" i="1"/>
  <c r="H397" i="1"/>
  <c r="G397" i="1"/>
  <c r="F397" i="1"/>
  <c r="E397" i="1"/>
  <c r="D397" i="1"/>
  <c r="C397" i="1"/>
  <c r="B397" i="1"/>
  <c r="A397" i="1"/>
  <c r="R396" i="1"/>
  <c r="J396" i="1"/>
  <c r="I396" i="1"/>
  <c r="G396" i="1"/>
  <c r="F396" i="1"/>
  <c r="E396" i="1"/>
  <c r="D396" i="1"/>
  <c r="C396" i="1"/>
  <c r="B396" i="1"/>
  <c r="A396" i="1"/>
  <c r="S395" i="1"/>
  <c r="O395" i="1"/>
  <c r="K395" i="1"/>
  <c r="J395" i="1"/>
  <c r="I395" i="1"/>
  <c r="H395" i="1"/>
  <c r="G395" i="1"/>
  <c r="F395" i="1"/>
  <c r="E395" i="1"/>
  <c r="D395" i="1"/>
  <c r="C395" i="1"/>
  <c r="B395" i="1"/>
  <c r="A395" i="1"/>
  <c r="R394" i="1"/>
  <c r="J394" i="1"/>
  <c r="I394" i="1"/>
  <c r="G394" i="1"/>
  <c r="F394" i="1"/>
  <c r="E394" i="1"/>
  <c r="D394" i="1"/>
  <c r="C394" i="1"/>
  <c r="B394" i="1"/>
  <c r="A394" i="1"/>
  <c r="R393" i="1"/>
  <c r="J393" i="1"/>
  <c r="I393" i="1"/>
  <c r="G393" i="1"/>
  <c r="F393" i="1"/>
  <c r="E393" i="1"/>
  <c r="D393" i="1"/>
  <c r="C393" i="1"/>
  <c r="B393" i="1"/>
  <c r="A393" i="1"/>
  <c r="R392" i="1"/>
  <c r="J392" i="1"/>
  <c r="I392" i="1"/>
  <c r="G392" i="1"/>
  <c r="F392" i="1"/>
  <c r="E392" i="1"/>
  <c r="D392" i="1"/>
  <c r="C392" i="1"/>
  <c r="B392" i="1"/>
  <c r="A392" i="1"/>
  <c r="R391" i="1"/>
  <c r="J391" i="1"/>
  <c r="I391" i="1"/>
  <c r="G391" i="1"/>
  <c r="F391" i="1"/>
  <c r="E391" i="1"/>
  <c r="D391" i="1"/>
  <c r="C391" i="1"/>
  <c r="B391" i="1"/>
  <c r="A391" i="1"/>
  <c r="R390" i="1"/>
  <c r="J390" i="1"/>
  <c r="I390" i="1"/>
  <c r="G390" i="1"/>
  <c r="F390" i="1"/>
  <c r="E390" i="1"/>
  <c r="D390" i="1"/>
  <c r="C390" i="1"/>
  <c r="B390" i="1"/>
  <c r="A390" i="1"/>
  <c r="R389" i="1"/>
  <c r="J389" i="1"/>
  <c r="I389" i="1"/>
  <c r="G389" i="1"/>
  <c r="F389" i="1"/>
  <c r="E389" i="1"/>
  <c r="D389" i="1"/>
  <c r="C389" i="1"/>
  <c r="B389" i="1"/>
  <c r="A389" i="1"/>
  <c r="R388" i="1"/>
  <c r="J388" i="1"/>
  <c r="I388" i="1"/>
  <c r="G388" i="1"/>
  <c r="F388" i="1"/>
  <c r="E388" i="1"/>
  <c r="D388" i="1"/>
  <c r="C388" i="1"/>
  <c r="B388" i="1"/>
  <c r="A388" i="1"/>
  <c r="S387" i="1"/>
  <c r="O387" i="1"/>
  <c r="K387" i="1"/>
  <c r="J387" i="1"/>
  <c r="I387" i="1"/>
  <c r="H387" i="1"/>
  <c r="G387" i="1"/>
  <c r="F387" i="1"/>
  <c r="E387" i="1"/>
  <c r="D387" i="1"/>
  <c r="C387" i="1"/>
  <c r="B387" i="1"/>
  <c r="A387" i="1"/>
  <c r="R386" i="1"/>
  <c r="J386" i="1"/>
  <c r="I386" i="1"/>
  <c r="G386" i="1"/>
  <c r="F386" i="1"/>
  <c r="E386" i="1"/>
  <c r="D386" i="1"/>
  <c r="C386" i="1"/>
  <c r="B386" i="1"/>
  <c r="A386" i="1"/>
  <c r="S385" i="1"/>
  <c r="O385" i="1"/>
  <c r="K385" i="1"/>
  <c r="J385" i="1"/>
  <c r="I385" i="1"/>
  <c r="H385" i="1"/>
  <c r="G385" i="1"/>
  <c r="F385" i="1"/>
  <c r="E385" i="1"/>
  <c r="D385" i="1"/>
  <c r="C385" i="1"/>
  <c r="B385" i="1"/>
  <c r="A385" i="1"/>
  <c r="R384" i="1"/>
  <c r="J384" i="1"/>
  <c r="I384" i="1"/>
  <c r="G384" i="1"/>
  <c r="F384" i="1"/>
  <c r="E384" i="1"/>
  <c r="D384" i="1"/>
  <c r="C384" i="1"/>
  <c r="B384" i="1"/>
  <c r="A384" i="1"/>
  <c r="S383" i="1"/>
  <c r="O383" i="1"/>
  <c r="K383" i="1"/>
  <c r="J383" i="1"/>
  <c r="I383" i="1"/>
  <c r="H383" i="1"/>
  <c r="G383" i="1"/>
  <c r="F383" i="1"/>
  <c r="E383" i="1"/>
  <c r="D383" i="1"/>
  <c r="C383" i="1"/>
  <c r="B383" i="1"/>
  <c r="A383" i="1"/>
  <c r="R382" i="1"/>
  <c r="J382" i="1"/>
  <c r="I382" i="1"/>
  <c r="G382" i="1"/>
  <c r="F382" i="1"/>
  <c r="E382" i="1"/>
  <c r="D382" i="1"/>
  <c r="C382" i="1"/>
  <c r="B382" i="1"/>
  <c r="A382" i="1"/>
  <c r="R381" i="1"/>
  <c r="J381" i="1"/>
  <c r="I381" i="1"/>
  <c r="G381" i="1"/>
  <c r="F381" i="1"/>
  <c r="E381" i="1"/>
  <c r="D381" i="1"/>
  <c r="C381" i="1"/>
  <c r="B381" i="1"/>
  <c r="A381" i="1"/>
  <c r="R380" i="1"/>
  <c r="J380" i="1"/>
  <c r="I380" i="1"/>
  <c r="G380" i="1"/>
  <c r="F380" i="1"/>
  <c r="E380" i="1"/>
  <c r="D380" i="1"/>
  <c r="C380" i="1"/>
  <c r="B380" i="1"/>
  <c r="A380" i="1"/>
  <c r="S379" i="1"/>
  <c r="O379" i="1"/>
  <c r="K379" i="1"/>
  <c r="J379" i="1"/>
  <c r="I379" i="1"/>
  <c r="H379" i="1"/>
  <c r="G379" i="1"/>
  <c r="F379" i="1"/>
  <c r="E379" i="1"/>
  <c r="D379" i="1"/>
  <c r="C379" i="1"/>
  <c r="B379" i="1"/>
  <c r="A379" i="1"/>
  <c r="R378" i="1"/>
  <c r="J378" i="1"/>
  <c r="I378" i="1"/>
  <c r="G378" i="1"/>
  <c r="F378" i="1"/>
  <c r="E378" i="1"/>
  <c r="D378" i="1"/>
  <c r="C378" i="1"/>
  <c r="B378" i="1"/>
  <c r="A378" i="1"/>
  <c r="R377" i="1"/>
  <c r="J377" i="1"/>
  <c r="I377" i="1"/>
  <c r="G377" i="1"/>
  <c r="F377" i="1"/>
  <c r="E377" i="1"/>
  <c r="D377" i="1"/>
  <c r="C377" i="1"/>
  <c r="B377" i="1"/>
  <c r="A377" i="1"/>
  <c r="S376" i="1"/>
  <c r="O376" i="1"/>
  <c r="K376" i="1"/>
  <c r="J376" i="1"/>
  <c r="I376" i="1"/>
  <c r="H376" i="1"/>
  <c r="G376" i="1"/>
  <c r="F376" i="1"/>
  <c r="E376" i="1"/>
  <c r="D376" i="1"/>
  <c r="C376" i="1"/>
  <c r="B376" i="1"/>
  <c r="A376" i="1"/>
  <c r="R375" i="1"/>
  <c r="J375" i="1"/>
  <c r="I375" i="1"/>
  <c r="G375" i="1"/>
  <c r="F375" i="1"/>
  <c r="E375" i="1"/>
  <c r="D375" i="1"/>
  <c r="C375" i="1"/>
  <c r="B375" i="1"/>
  <c r="A375" i="1"/>
  <c r="R374" i="1"/>
  <c r="J374" i="1"/>
  <c r="I374" i="1"/>
  <c r="G374" i="1"/>
  <c r="F374" i="1"/>
  <c r="E374" i="1"/>
  <c r="D374" i="1"/>
  <c r="C374" i="1"/>
  <c r="B374" i="1"/>
  <c r="A374" i="1"/>
  <c r="R373" i="1"/>
  <c r="J373" i="1"/>
  <c r="I373" i="1"/>
  <c r="G373" i="1"/>
  <c r="F373" i="1"/>
  <c r="E373" i="1"/>
  <c r="D373" i="1"/>
  <c r="C373" i="1"/>
  <c r="B373" i="1"/>
  <c r="A373" i="1"/>
  <c r="R372" i="1"/>
  <c r="J372" i="1"/>
  <c r="I372" i="1"/>
  <c r="G372" i="1"/>
  <c r="F372" i="1"/>
  <c r="E372" i="1"/>
  <c r="D372" i="1"/>
  <c r="C372" i="1"/>
  <c r="B372" i="1"/>
  <c r="A372" i="1"/>
  <c r="S371" i="1"/>
  <c r="O371" i="1"/>
  <c r="K371" i="1"/>
  <c r="J371" i="1"/>
  <c r="I371" i="1"/>
  <c r="H371" i="1"/>
  <c r="G371" i="1"/>
  <c r="F371" i="1"/>
  <c r="E371" i="1"/>
  <c r="D371" i="1"/>
  <c r="C371" i="1"/>
  <c r="B371" i="1"/>
  <c r="A371" i="1"/>
  <c r="R370" i="1"/>
  <c r="J370" i="1"/>
  <c r="I370" i="1"/>
  <c r="G370" i="1"/>
  <c r="F370" i="1"/>
  <c r="E370" i="1"/>
  <c r="D370" i="1"/>
  <c r="C370" i="1"/>
  <c r="B370" i="1"/>
  <c r="A370" i="1"/>
  <c r="S369" i="1"/>
  <c r="O369" i="1"/>
  <c r="K369" i="1"/>
  <c r="J369" i="1"/>
  <c r="I369" i="1"/>
  <c r="H369" i="1"/>
  <c r="G369" i="1"/>
  <c r="F369" i="1"/>
  <c r="E369" i="1"/>
  <c r="D369" i="1"/>
  <c r="C369" i="1"/>
  <c r="B369" i="1"/>
  <c r="A369" i="1"/>
  <c r="R368" i="1"/>
  <c r="J368" i="1"/>
  <c r="I368" i="1"/>
  <c r="G368" i="1"/>
  <c r="F368" i="1"/>
  <c r="E368" i="1"/>
  <c r="D368" i="1"/>
  <c r="C368" i="1"/>
  <c r="B368" i="1"/>
  <c r="A368" i="1"/>
  <c r="S367" i="1"/>
  <c r="O367" i="1"/>
  <c r="K367" i="1"/>
  <c r="J367" i="1"/>
  <c r="I367" i="1"/>
  <c r="H367" i="1"/>
  <c r="G367" i="1"/>
  <c r="F367" i="1"/>
  <c r="E367" i="1"/>
  <c r="D367" i="1"/>
  <c r="C367" i="1"/>
  <c r="B367" i="1"/>
  <c r="A367" i="1"/>
  <c r="R366" i="1"/>
  <c r="J366" i="1"/>
  <c r="I366" i="1"/>
  <c r="G366" i="1"/>
  <c r="F366" i="1"/>
  <c r="E366" i="1"/>
  <c r="D366" i="1"/>
  <c r="C366" i="1"/>
  <c r="B366" i="1"/>
  <c r="A366" i="1"/>
  <c r="R365" i="1"/>
  <c r="J365" i="1"/>
  <c r="I365" i="1"/>
  <c r="G365" i="1"/>
  <c r="F365" i="1"/>
  <c r="E365" i="1"/>
  <c r="D365" i="1"/>
  <c r="C365" i="1"/>
  <c r="B365" i="1"/>
  <c r="A365" i="1"/>
  <c r="R364" i="1"/>
  <c r="J364" i="1"/>
  <c r="I364" i="1"/>
  <c r="G364" i="1"/>
  <c r="F364" i="1"/>
  <c r="E364" i="1"/>
  <c r="D364" i="1"/>
  <c r="C364" i="1"/>
  <c r="B364" i="1"/>
  <c r="A364" i="1"/>
  <c r="R363" i="1"/>
  <c r="J363" i="1"/>
  <c r="I363" i="1"/>
  <c r="G363" i="1"/>
  <c r="F363" i="1"/>
  <c r="E363" i="1"/>
  <c r="D363" i="1"/>
  <c r="C363" i="1"/>
  <c r="B363" i="1"/>
  <c r="A363" i="1"/>
  <c r="S362" i="1"/>
  <c r="O362" i="1"/>
  <c r="K362" i="1"/>
  <c r="J362" i="1"/>
  <c r="I362" i="1"/>
  <c r="H362" i="1"/>
  <c r="G362" i="1"/>
  <c r="F362" i="1"/>
  <c r="E362" i="1"/>
  <c r="D362" i="1"/>
  <c r="C362" i="1"/>
  <c r="B362" i="1"/>
  <c r="A362" i="1"/>
  <c r="R361" i="1"/>
  <c r="J361" i="1"/>
  <c r="I361" i="1"/>
  <c r="G361" i="1"/>
  <c r="F361" i="1"/>
  <c r="E361" i="1"/>
  <c r="D361" i="1"/>
  <c r="C361" i="1"/>
  <c r="B361" i="1"/>
  <c r="A361" i="1"/>
  <c r="S360" i="1"/>
  <c r="O360" i="1"/>
  <c r="K360" i="1"/>
  <c r="J360" i="1"/>
  <c r="I360" i="1"/>
  <c r="H360" i="1"/>
  <c r="G360" i="1"/>
  <c r="F360" i="1"/>
  <c r="E360" i="1"/>
  <c r="D360" i="1"/>
  <c r="C360" i="1"/>
  <c r="B360" i="1"/>
  <c r="A360" i="1"/>
  <c r="R359" i="1"/>
  <c r="J359" i="1"/>
  <c r="I359" i="1"/>
  <c r="G359" i="1"/>
  <c r="F359" i="1"/>
  <c r="E359" i="1"/>
  <c r="D359" i="1"/>
  <c r="C359" i="1"/>
  <c r="B359" i="1"/>
  <c r="A359" i="1"/>
  <c r="S358" i="1"/>
  <c r="O358" i="1"/>
  <c r="K358" i="1"/>
  <c r="J358" i="1"/>
  <c r="I358" i="1"/>
  <c r="H358" i="1"/>
  <c r="G358" i="1"/>
  <c r="F358" i="1"/>
  <c r="E358" i="1"/>
  <c r="D358" i="1"/>
  <c r="C358" i="1"/>
  <c r="B358" i="1"/>
  <c r="A358" i="1"/>
  <c r="R357" i="1"/>
  <c r="J357" i="1"/>
  <c r="I357" i="1"/>
  <c r="G357" i="1"/>
  <c r="F357" i="1"/>
  <c r="E357" i="1"/>
  <c r="D357" i="1"/>
  <c r="C357" i="1"/>
  <c r="B357" i="1"/>
  <c r="A357" i="1"/>
  <c r="R356" i="1"/>
  <c r="J356" i="1"/>
  <c r="I356" i="1"/>
  <c r="G356" i="1"/>
  <c r="F356" i="1"/>
  <c r="E356" i="1"/>
  <c r="D356" i="1"/>
  <c r="C356" i="1"/>
  <c r="B356" i="1"/>
  <c r="A356" i="1"/>
  <c r="R355" i="1"/>
  <c r="J355" i="1"/>
  <c r="I355" i="1"/>
  <c r="G355" i="1"/>
  <c r="F355" i="1"/>
  <c r="E355" i="1"/>
  <c r="D355" i="1"/>
  <c r="C355" i="1"/>
  <c r="B355" i="1"/>
  <c r="A355" i="1"/>
  <c r="R354" i="1"/>
  <c r="J354" i="1"/>
  <c r="I354" i="1"/>
  <c r="G354" i="1"/>
  <c r="F354" i="1"/>
  <c r="E354" i="1"/>
  <c r="D354" i="1"/>
  <c r="C354" i="1"/>
  <c r="B354" i="1"/>
  <c r="A354" i="1"/>
  <c r="R353" i="1"/>
  <c r="J353" i="1"/>
  <c r="I353" i="1"/>
  <c r="G353" i="1"/>
  <c r="F353" i="1"/>
  <c r="E353" i="1"/>
  <c r="D353" i="1"/>
  <c r="C353" i="1"/>
  <c r="B353" i="1"/>
  <c r="A353" i="1"/>
  <c r="S352" i="1"/>
  <c r="O352" i="1"/>
  <c r="K352" i="1"/>
  <c r="J352" i="1"/>
  <c r="I352" i="1"/>
  <c r="H352" i="1"/>
  <c r="G352" i="1"/>
  <c r="F352" i="1"/>
  <c r="E352" i="1"/>
  <c r="D352" i="1"/>
  <c r="C352" i="1"/>
  <c r="B352" i="1"/>
  <c r="A352" i="1"/>
  <c r="R351" i="1"/>
  <c r="J351" i="1"/>
  <c r="I351" i="1"/>
  <c r="G351" i="1"/>
  <c r="F351" i="1"/>
  <c r="E351" i="1"/>
  <c r="D351" i="1"/>
  <c r="C351" i="1"/>
  <c r="B351" i="1"/>
  <c r="A351" i="1"/>
  <c r="R350" i="1"/>
  <c r="J350" i="1"/>
  <c r="I350" i="1"/>
  <c r="G350" i="1"/>
  <c r="F350" i="1"/>
  <c r="E350" i="1"/>
  <c r="D350" i="1"/>
  <c r="C350" i="1"/>
  <c r="B350" i="1"/>
  <c r="A350" i="1"/>
  <c r="R349" i="1"/>
  <c r="J349" i="1"/>
  <c r="I349" i="1"/>
  <c r="G349" i="1"/>
  <c r="F349" i="1"/>
  <c r="E349" i="1"/>
  <c r="D349" i="1"/>
  <c r="C349" i="1"/>
  <c r="B349" i="1"/>
  <c r="A349" i="1"/>
  <c r="R348" i="1"/>
  <c r="J348" i="1"/>
  <c r="I348" i="1"/>
  <c r="G348" i="1"/>
  <c r="F348" i="1"/>
  <c r="E348" i="1"/>
  <c r="D348" i="1"/>
  <c r="C348" i="1"/>
  <c r="B348" i="1"/>
  <c r="A348" i="1"/>
  <c r="S347" i="1"/>
  <c r="O347" i="1"/>
  <c r="K347" i="1"/>
  <c r="J347" i="1"/>
  <c r="I347" i="1"/>
  <c r="H347" i="1"/>
  <c r="G347" i="1"/>
  <c r="F347" i="1"/>
  <c r="E347" i="1"/>
  <c r="D347" i="1"/>
  <c r="C347" i="1"/>
  <c r="B347" i="1"/>
  <c r="A347" i="1"/>
  <c r="R346" i="1"/>
  <c r="J346" i="1"/>
  <c r="I346" i="1"/>
  <c r="G346" i="1"/>
  <c r="F346" i="1"/>
  <c r="E346" i="1"/>
  <c r="D346" i="1"/>
  <c r="C346" i="1"/>
  <c r="B346" i="1"/>
  <c r="A346" i="1"/>
  <c r="R345" i="1"/>
  <c r="J345" i="1"/>
  <c r="I345" i="1"/>
  <c r="G345" i="1"/>
  <c r="F345" i="1"/>
  <c r="E345" i="1"/>
  <c r="D345" i="1"/>
  <c r="C345" i="1"/>
  <c r="B345" i="1"/>
  <c r="A345" i="1"/>
  <c r="R344" i="1"/>
  <c r="J344" i="1"/>
  <c r="I344" i="1"/>
  <c r="G344" i="1"/>
  <c r="F344" i="1"/>
  <c r="E344" i="1"/>
  <c r="D344" i="1"/>
  <c r="C344" i="1"/>
  <c r="B344" i="1"/>
  <c r="A344" i="1"/>
  <c r="S343" i="1"/>
  <c r="O343" i="1"/>
  <c r="K343" i="1"/>
  <c r="J343" i="1"/>
  <c r="I343" i="1"/>
  <c r="H343" i="1"/>
  <c r="G343" i="1"/>
  <c r="F343" i="1"/>
  <c r="E343" i="1"/>
  <c r="D343" i="1"/>
  <c r="C343" i="1"/>
  <c r="B343" i="1"/>
  <c r="A343" i="1"/>
  <c r="R342" i="1"/>
  <c r="J342" i="1"/>
  <c r="I342" i="1"/>
  <c r="G342" i="1"/>
  <c r="F342" i="1"/>
  <c r="E342" i="1"/>
  <c r="D342" i="1"/>
  <c r="C342" i="1"/>
  <c r="B342" i="1"/>
  <c r="A342" i="1"/>
  <c r="R341" i="1"/>
  <c r="J341" i="1"/>
  <c r="I341" i="1"/>
  <c r="G341" i="1"/>
  <c r="F341" i="1"/>
  <c r="E341" i="1"/>
  <c r="D341" i="1"/>
  <c r="C341" i="1"/>
  <c r="B341" i="1"/>
  <c r="A341" i="1"/>
  <c r="R340" i="1"/>
  <c r="J340" i="1"/>
  <c r="I340" i="1"/>
  <c r="G340" i="1"/>
  <c r="F340" i="1"/>
  <c r="E340" i="1"/>
  <c r="D340" i="1"/>
  <c r="C340" i="1"/>
  <c r="B340" i="1"/>
  <c r="A340" i="1"/>
  <c r="R339" i="1"/>
  <c r="J339" i="1"/>
  <c r="I339" i="1"/>
  <c r="G339" i="1"/>
  <c r="F339" i="1"/>
  <c r="E339" i="1"/>
  <c r="D339" i="1"/>
  <c r="C339" i="1"/>
  <c r="B339" i="1"/>
  <c r="A339" i="1"/>
  <c r="R338" i="1"/>
  <c r="J338" i="1"/>
  <c r="I338" i="1"/>
  <c r="G338" i="1"/>
  <c r="F338" i="1"/>
  <c r="E338" i="1"/>
  <c r="D338" i="1"/>
  <c r="C338" i="1"/>
  <c r="B338" i="1"/>
  <c r="A338" i="1"/>
  <c r="R337" i="1"/>
  <c r="J337" i="1"/>
  <c r="I337" i="1"/>
  <c r="G337" i="1"/>
  <c r="F337" i="1"/>
  <c r="E337" i="1"/>
  <c r="D337" i="1"/>
  <c r="C337" i="1"/>
  <c r="B337" i="1"/>
  <c r="A337" i="1"/>
  <c r="S336" i="1"/>
  <c r="O336" i="1"/>
  <c r="K336" i="1"/>
  <c r="J336" i="1"/>
  <c r="I336" i="1"/>
  <c r="H336" i="1"/>
  <c r="G336" i="1"/>
  <c r="F336" i="1"/>
  <c r="E336" i="1"/>
  <c r="D336" i="1"/>
  <c r="C336" i="1"/>
  <c r="B336" i="1"/>
  <c r="A336" i="1"/>
  <c r="R335" i="1"/>
  <c r="J335" i="1"/>
  <c r="I335" i="1"/>
  <c r="G335" i="1"/>
  <c r="F335" i="1"/>
  <c r="E335" i="1"/>
  <c r="D335" i="1"/>
  <c r="C335" i="1"/>
  <c r="B335" i="1"/>
  <c r="A335" i="1"/>
  <c r="S334" i="1"/>
  <c r="O334" i="1"/>
  <c r="K334" i="1"/>
  <c r="J334" i="1"/>
  <c r="I334" i="1"/>
  <c r="H334" i="1"/>
  <c r="G334" i="1"/>
  <c r="F334" i="1"/>
  <c r="E334" i="1"/>
  <c r="D334" i="1"/>
  <c r="C334" i="1"/>
  <c r="B334" i="1"/>
  <c r="A334" i="1"/>
  <c r="R333" i="1"/>
  <c r="J333" i="1"/>
  <c r="I333" i="1"/>
  <c r="G333" i="1"/>
  <c r="F333" i="1"/>
  <c r="E333" i="1"/>
  <c r="D333" i="1"/>
  <c r="C333" i="1"/>
  <c r="B333" i="1"/>
  <c r="A333" i="1"/>
  <c r="R332" i="1"/>
  <c r="J332" i="1"/>
  <c r="I332" i="1"/>
  <c r="G332" i="1"/>
  <c r="F332" i="1"/>
  <c r="E332" i="1"/>
  <c r="D332" i="1"/>
  <c r="C332" i="1"/>
  <c r="B332" i="1"/>
  <c r="A332" i="1"/>
  <c r="S331" i="1"/>
  <c r="O331" i="1"/>
  <c r="K331" i="1"/>
  <c r="J331" i="1"/>
  <c r="I331" i="1"/>
  <c r="H331" i="1"/>
  <c r="G331" i="1"/>
  <c r="F331" i="1"/>
  <c r="E331" i="1"/>
  <c r="D331" i="1"/>
  <c r="C331" i="1"/>
  <c r="B331" i="1"/>
  <c r="A331" i="1"/>
  <c r="R330" i="1"/>
  <c r="J330" i="1"/>
  <c r="I330" i="1"/>
  <c r="G330" i="1"/>
  <c r="F330" i="1"/>
  <c r="E330" i="1"/>
  <c r="D330" i="1"/>
  <c r="C330" i="1"/>
  <c r="B330" i="1"/>
  <c r="A330" i="1"/>
  <c r="S329" i="1"/>
  <c r="O329" i="1"/>
  <c r="K329" i="1"/>
  <c r="J329" i="1"/>
  <c r="I329" i="1"/>
  <c r="H329" i="1"/>
  <c r="G329" i="1"/>
  <c r="F329" i="1"/>
  <c r="E329" i="1"/>
  <c r="D329" i="1"/>
  <c r="C329" i="1"/>
  <c r="B329" i="1"/>
  <c r="A329" i="1"/>
  <c r="R328" i="1"/>
  <c r="J328" i="1"/>
  <c r="I328" i="1"/>
  <c r="G328" i="1"/>
  <c r="F328" i="1"/>
  <c r="E328" i="1"/>
  <c r="D328" i="1"/>
  <c r="C328" i="1"/>
  <c r="B328" i="1"/>
  <c r="A328" i="1"/>
  <c r="S327" i="1"/>
  <c r="O327" i="1"/>
  <c r="K327" i="1"/>
  <c r="J327" i="1"/>
  <c r="I327" i="1"/>
  <c r="H327" i="1"/>
  <c r="G327" i="1"/>
  <c r="F327" i="1"/>
  <c r="E327" i="1"/>
  <c r="D327" i="1"/>
  <c r="C327" i="1"/>
  <c r="B327" i="1"/>
  <c r="A327" i="1"/>
  <c r="R326" i="1"/>
  <c r="J326" i="1"/>
  <c r="I326" i="1"/>
  <c r="G326" i="1"/>
  <c r="F326" i="1"/>
  <c r="E326" i="1"/>
  <c r="D326" i="1"/>
  <c r="C326" i="1"/>
  <c r="B326" i="1"/>
  <c r="A326" i="1"/>
  <c r="S325" i="1"/>
  <c r="O325" i="1"/>
  <c r="K325" i="1"/>
  <c r="J325" i="1"/>
  <c r="I325" i="1"/>
  <c r="H325" i="1"/>
  <c r="G325" i="1"/>
  <c r="F325" i="1"/>
  <c r="E325" i="1"/>
  <c r="D325" i="1"/>
  <c r="C325" i="1"/>
  <c r="B325" i="1"/>
  <c r="A325" i="1"/>
  <c r="R324" i="1"/>
  <c r="J324" i="1"/>
  <c r="I324" i="1"/>
  <c r="G324" i="1"/>
  <c r="F324" i="1"/>
  <c r="E324" i="1"/>
  <c r="D324" i="1"/>
  <c r="C324" i="1"/>
  <c r="B324" i="1"/>
  <c r="A324" i="1"/>
  <c r="S323" i="1"/>
  <c r="O323" i="1"/>
  <c r="K323" i="1"/>
  <c r="J323" i="1"/>
  <c r="I323" i="1"/>
  <c r="H323" i="1"/>
  <c r="G323" i="1"/>
  <c r="F323" i="1"/>
  <c r="E323" i="1"/>
  <c r="D323" i="1"/>
  <c r="C323" i="1"/>
  <c r="B323" i="1"/>
  <c r="A323" i="1"/>
  <c r="R322" i="1"/>
  <c r="J322" i="1"/>
  <c r="I322" i="1"/>
  <c r="G322" i="1"/>
  <c r="F322" i="1"/>
  <c r="E322" i="1"/>
  <c r="D322" i="1"/>
  <c r="C322" i="1"/>
  <c r="B322" i="1"/>
  <c r="A322" i="1"/>
  <c r="S321" i="1"/>
  <c r="O321" i="1"/>
  <c r="K321" i="1"/>
  <c r="J321" i="1"/>
  <c r="I321" i="1"/>
  <c r="H321" i="1"/>
  <c r="G321" i="1"/>
  <c r="F321" i="1"/>
  <c r="E321" i="1"/>
  <c r="D321" i="1"/>
  <c r="C321" i="1"/>
  <c r="B321" i="1"/>
  <c r="A321" i="1"/>
  <c r="R320" i="1"/>
  <c r="J320" i="1"/>
  <c r="I320" i="1"/>
  <c r="G320" i="1"/>
  <c r="F320" i="1"/>
  <c r="E320" i="1"/>
  <c r="D320" i="1"/>
  <c r="C320" i="1"/>
  <c r="B320" i="1"/>
  <c r="A320" i="1"/>
  <c r="S319" i="1"/>
  <c r="O319" i="1"/>
  <c r="K319" i="1"/>
  <c r="J319" i="1"/>
  <c r="I319" i="1"/>
  <c r="H319" i="1"/>
  <c r="G319" i="1"/>
  <c r="F319" i="1"/>
  <c r="E319" i="1"/>
  <c r="D319" i="1"/>
  <c r="C319" i="1"/>
  <c r="B319" i="1"/>
  <c r="A319" i="1"/>
  <c r="R318" i="1"/>
  <c r="J318" i="1"/>
  <c r="I318" i="1"/>
  <c r="G318" i="1"/>
  <c r="F318" i="1"/>
  <c r="E318" i="1"/>
  <c r="D318" i="1"/>
  <c r="C318" i="1"/>
  <c r="B318" i="1"/>
  <c r="A318" i="1"/>
  <c r="S317" i="1"/>
  <c r="O317" i="1"/>
  <c r="K317" i="1"/>
  <c r="J317" i="1"/>
  <c r="I317" i="1"/>
  <c r="H317" i="1"/>
  <c r="G317" i="1"/>
  <c r="F317" i="1"/>
  <c r="E317" i="1"/>
  <c r="D317" i="1"/>
  <c r="C317" i="1"/>
  <c r="B317" i="1"/>
  <c r="A317" i="1"/>
  <c r="R316" i="1"/>
  <c r="J316" i="1"/>
  <c r="I316" i="1"/>
  <c r="G316" i="1"/>
  <c r="F316" i="1"/>
  <c r="E316" i="1"/>
  <c r="D316" i="1"/>
  <c r="C316" i="1"/>
  <c r="B316" i="1"/>
  <c r="A316" i="1"/>
  <c r="S315" i="1"/>
  <c r="O315" i="1"/>
  <c r="K315" i="1"/>
  <c r="J315" i="1"/>
  <c r="I315" i="1"/>
  <c r="H315" i="1"/>
  <c r="G315" i="1"/>
  <c r="F315" i="1"/>
  <c r="E315" i="1"/>
  <c r="D315" i="1"/>
  <c r="C315" i="1"/>
  <c r="B315" i="1"/>
  <c r="A315" i="1"/>
  <c r="R314" i="1"/>
  <c r="J314" i="1"/>
  <c r="I314" i="1"/>
  <c r="G314" i="1"/>
  <c r="F314" i="1"/>
  <c r="E314" i="1"/>
  <c r="D314" i="1"/>
  <c r="C314" i="1"/>
  <c r="B314" i="1"/>
  <c r="A314" i="1"/>
  <c r="S313" i="1"/>
  <c r="O313" i="1"/>
  <c r="K313" i="1"/>
  <c r="J313" i="1"/>
  <c r="I313" i="1"/>
  <c r="H313" i="1"/>
  <c r="G313" i="1"/>
  <c r="F313" i="1"/>
  <c r="E313" i="1"/>
  <c r="D313" i="1"/>
  <c r="C313" i="1"/>
  <c r="B313" i="1"/>
  <c r="A313" i="1"/>
  <c r="R312" i="1"/>
  <c r="J312" i="1"/>
  <c r="I312" i="1"/>
  <c r="G312" i="1"/>
  <c r="F312" i="1"/>
  <c r="E312" i="1"/>
  <c r="D312" i="1"/>
  <c r="C312" i="1"/>
  <c r="B312" i="1"/>
  <c r="A312" i="1"/>
  <c r="R311" i="1"/>
  <c r="J311" i="1"/>
  <c r="I311" i="1"/>
  <c r="G311" i="1"/>
  <c r="F311" i="1"/>
  <c r="E311" i="1"/>
  <c r="D311" i="1"/>
  <c r="C311" i="1"/>
  <c r="B311" i="1"/>
  <c r="A311" i="1"/>
  <c r="S310" i="1"/>
  <c r="O310" i="1"/>
  <c r="K310" i="1"/>
  <c r="J310" i="1"/>
  <c r="I310" i="1"/>
  <c r="H310" i="1"/>
  <c r="G310" i="1"/>
  <c r="F310" i="1"/>
  <c r="E310" i="1"/>
  <c r="D310" i="1"/>
  <c r="C310" i="1"/>
  <c r="B310" i="1"/>
  <c r="A310" i="1"/>
  <c r="R309" i="1"/>
  <c r="J309" i="1"/>
  <c r="I309" i="1"/>
  <c r="G309" i="1"/>
  <c r="F309" i="1"/>
  <c r="E309" i="1"/>
  <c r="D309" i="1"/>
  <c r="C309" i="1"/>
  <c r="B309" i="1"/>
  <c r="A309" i="1"/>
  <c r="S308" i="1"/>
  <c r="O308" i="1"/>
  <c r="K308" i="1"/>
  <c r="J308" i="1"/>
  <c r="I308" i="1"/>
  <c r="H308" i="1"/>
  <c r="G308" i="1"/>
  <c r="F308" i="1"/>
  <c r="E308" i="1"/>
  <c r="D308" i="1"/>
  <c r="C308" i="1"/>
  <c r="B308" i="1"/>
  <c r="A308" i="1"/>
  <c r="R307" i="1"/>
  <c r="J307" i="1"/>
  <c r="I307" i="1"/>
  <c r="G307" i="1"/>
  <c r="F307" i="1"/>
  <c r="E307" i="1"/>
  <c r="D307" i="1"/>
  <c r="C307" i="1"/>
  <c r="B307" i="1"/>
  <c r="A307" i="1"/>
  <c r="S306" i="1"/>
  <c r="O306" i="1"/>
  <c r="K306" i="1"/>
  <c r="J306" i="1"/>
  <c r="I306" i="1"/>
  <c r="H306" i="1"/>
  <c r="G306" i="1"/>
  <c r="F306" i="1"/>
  <c r="E306" i="1"/>
  <c r="D306" i="1"/>
  <c r="C306" i="1"/>
  <c r="B306" i="1"/>
  <c r="A306" i="1"/>
  <c r="R305" i="1"/>
  <c r="J305" i="1"/>
  <c r="I305" i="1"/>
  <c r="G305" i="1"/>
  <c r="F305" i="1"/>
  <c r="E305" i="1"/>
  <c r="D305" i="1"/>
  <c r="C305" i="1"/>
  <c r="B305" i="1"/>
  <c r="A305" i="1"/>
  <c r="S304" i="1"/>
  <c r="O304" i="1"/>
  <c r="K304" i="1"/>
  <c r="J304" i="1"/>
  <c r="I304" i="1"/>
  <c r="H304" i="1"/>
  <c r="G304" i="1"/>
  <c r="F304" i="1"/>
  <c r="E304" i="1"/>
  <c r="D304" i="1"/>
  <c r="C304" i="1"/>
  <c r="B304" i="1"/>
  <c r="A304" i="1"/>
  <c r="R303" i="1"/>
  <c r="J303" i="1"/>
  <c r="I303" i="1"/>
  <c r="G303" i="1"/>
  <c r="F303" i="1"/>
  <c r="E303" i="1"/>
  <c r="D303" i="1"/>
  <c r="C303" i="1"/>
  <c r="B303" i="1"/>
  <c r="A303" i="1"/>
  <c r="S302" i="1"/>
  <c r="O302" i="1"/>
  <c r="K302" i="1"/>
  <c r="J302" i="1"/>
  <c r="I302" i="1"/>
  <c r="H302" i="1"/>
  <c r="G302" i="1"/>
  <c r="F302" i="1"/>
  <c r="E302" i="1"/>
  <c r="D302" i="1"/>
  <c r="C302" i="1"/>
  <c r="B302" i="1"/>
  <c r="A302" i="1"/>
  <c r="R301" i="1"/>
  <c r="J301" i="1"/>
  <c r="I301" i="1"/>
  <c r="G301" i="1"/>
  <c r="F301" i="1"/>
  <c r="E301" i="1"/>
  <c r="D301" i="1"/>
  <c r="C301" i="1"/>
  <c r="B301" i="1"/>
  <c r="A301" i="1"/>
  <c r="S300" i="1"/>
  <c r="O300" i="1"/>
  <c r="K300" i="1"/>
  <c r="J300" i="1"/>
  <c r="I300" i="1"/>
  <c r="H300" i="1"/>
  <c r="G300" i="1"/>
  <c r="F300" i="1"/>
  <c r="E300" i="1"/>
  <c r="D300" i="1"/>
  <c r="C300" i="1"/>
  <c r="B300" i="1"/>
  <c r="A300" i="1"/>
  <c r="R299" i="1"/>
  <c r="J299" i="1"/>
  <c r="I299" i="1"/>
  <c r="G299" i="1"/>
  <c r="F299" i="1"/>
  <c r="E299" i="1"/>
  <c r="D299" i="1"/>
  <c r="C299" i="1"/>
  <c r="B299" i="1"/>
  <c r="A299" i="1"/>
  <c r="S298" i="1"/>
  <c r="O298" i="1"/>
  <c r="K298" i="1"/>
  <c r="J298" i="1"/>
  <c r="I298" i="1"/>
  <c r="H298" i="1"/>
  <c r="G298" i="1"/>
  <c r="F298" i="1"/>
  <c r="E298" i="1"/>
  <c r="D298" i="1"/>
  <c r="C298" i="1"/>
  <c r="B298" i="1"/>
  <c r="A298" i="1"/>
  <c r="R297" i="1"/>
  <c r="J297" i="1"/>
  <c r="I297" i="1"/>
  <c r="G297" i="1"/>
  <c r="F297" i="1"/>
  <c r="E297" i="1"/>
  <c r="D297" i="1"/>
  <c r="C297" i="1"/>
  <c r="B297" i="1"/>
  <c r="A297" i="1"/>
  <c r="S296" i="1"/>
  <c r="O296" i="1"/>
  <c r="K296" i="1"/>
  <c r="J296" i="1"/>
  <c r="I296" i="1"/>
  <c r="H296" i="1"/>
  <c r="G296" i="1"/>
  <c r="F296" i="1"/>
  <c r="E296" i="1"/>
  <c r="D296" i="1"/>
  <c r="C296" i="1"/>
  <c r="B296" i="1"/>
  <c r="A296" i="1"/>
  <c r="R295" i="1"/>
  <c r="J295" i="1"/>
  <c r="I295" i="1"/>
  <c r="G295" i="1"/>
  <c r="F295" i="1"/>
  <c r="E295" i="1"/>
  <c r="D295" i="1"/>
  <c r="C295" i="1"/>
  <c r="B295" i="1"/>
  <c r="A295" i="1"/>
  <c r="S294" i="1"/>
  <c r="O294" i="1"/>
  <c r="K294" i="1"/>
  <c r="J294" i="1"/>
  <c r="I294" i="1"/>
  <c r="H294" i="1"/>
  <c r="G294" i="1"/>
  <c r="F294" i="1"/>
  <c r="E294" i="1"/>
  <c r="D294" i="1"/>
  <c r="C294" i="1"/>
  <c r="B294" i="1"/>
  <c r="A294" i="1"/>
  <c r="R293" i="1"/>
  <c r="J293" i="1"/>
  <c r="I293" i="1"/>
  <c r="G293" i="1"/>
  <c r="F293" i="1"/>
  <c r="E293" i="1"/>
  <c r="D293" i="1"/>
  <c r="C293" i="1"/>
  <c r="B293" i="1"/>
  <c r="A293" i="1"/>
  <c r="S292" i="1"/>
  <c r="O292" i="1"/>
  <c r="K292" i="1"/>
  <c r="J292" i="1"/>
  <c r="I292" i="1"/>
  <c r="H292" i="1"/>
  <c r="G292" i="1"/>
  <c r="F292" i="1"/>
  <c r="E292" i="1"/>
  <c r="D292" i="1"/>
  <c r="C292" i="1"/>
  <c r="B292" i="1"/>
  <c r="A292" i="1"/>
  <c r="R291" i="1"/>
  <c r="J291" i="1"/>
  <c r="I291" i="1"/>
  <c r="G291" i="1"/>
  <c r="F291" i="1"/>
  <c r="E291" i="1"/>
  <c r="D291" i="1"/>
  <c r="C291" i="1"/>
  <c r="B291" i="1"/>
  <c r="A291" i="1"/>
  <c r="S290" i="1"/>
  <c r="O290" i="1"/>
  <c r="K290" i="1"/>
  <c r="J290" i="1"/>
  <c r="I290" i="1"/>
  <c r="H290" i="1"/>
  <c r="G290" i="1"/>
  <c r="F290" i="1"/>
  <c r="E290" i="1"/>
  <c r="D290" i="1"/>
  <c r="C290" i="1"/>
  <c r="B290" i="1"/>
  <c r="A290" i="1"/>
  <c r="R289" i="1"/>
  <c r="J289" i="1"/>
  <c r="I289" i="1"/>
  <c r="G289" i="1"/>
  <c r="F289" i="1"/>
  <c r="E289" i="1"/>
  <c r="D289" i="1"/>
  <c r="C289" i="1"/>
  <c r="B289" i="1"/>
  <c r="A289" i="1"/>
  <c r="S288" i="1"/>
  <c r="O288" i="1"/>
  <c r="K288" i="1"/>
  <c r="J288" i="1"/>
  <c r="I288" i="1"/>
  <c r="H288" i="1"/>
  <c r="G288" i="1"/>
  <c r="F288" i="1"/>
  <c r="E288" i="1"/>
  <c r="D288" i="1"/>
  <c r="C288" i="1"/>
  <c r="B288" i="1"/>
  <c r="A288" i="1"/>
  <c r="R287" i="1"/>
  <c r="J287" i="1"/>
  <c r="I287" i="1"/>
  <c r="G287" i="1"/>
  <c r="F287" i="1"/>
  <c r="E287" i="1"/>
  <c r="D287" i="1"/>
  <c r="C287" i="1"/>
  <c r="B287" i="1"/>
  <c r="A287" i="1"/>
  <c r="R286" i="1"/>
  <c r="J286" i="1"/>
  <c r="I286" i="1"/>
  <c r="G286" i="1"/>
  <c r="F286" i="1"/>
  <c r="E286" i="1"/>
  <c r="D286" i="1"/>
  <c r="C286" i="1"/>
  <c r="B286" i="1"/>
  <c r="A286" i="1"/>
  <c r="R285" i="1"/>
  <c r="J285" i="1"/>
  <c r="I285" i="1"/>
  <c r="G285" i="1"/>
  <c r="F285" i="1"/>
  <c r="E285" i="1"/>
  <c r="D285" i="1"/>
  <c r="C285" i="1"/>
  <c r="B285" i="1"/>
  <c r="A285" i="1"/>
  <c r="R284" i="1"/>
  <c r="J284" i="1"/>
  <c r="I284" i="1"/>
  <c r="G284" i="1"/>
  <c r="F284" i="1"/>
  <c r="E284" i="1"/>
  <c r="D284" i="1"/>
  <c r="C284" i="1"/>
  <c r="B284" i="1"/>
  <c r="A284" i="1"/>
  <c r="R283" i="1"/>
  <c r="J283" i="1"/>
  <c r="I283" i="1"/>
  <c r="G283" i="1"/>
  <c r="F283" i="1"/>
  <c r="E283" i="1"/>
  <c r="D283" i="1"/>
  <c r="C283" i="1"/>
  <c r="B283" i="1"/>
  <c r="A283" i="1"/>
  <c r="R282" i="1"/>
  <c r="J282" i="1"/>
  <c r="I282" i="1"/>
  <c r="G282" i="1"/>
  <c r="F282" i="1"/>
  <c r="E282" i="1"/>
  <c r="D282" i="1"/>
  <c r="C282" i="1"/>
  <c r="B282" i="1"/>
  <c r="A282" i="1"/>
  <c r="S281" i="1"/>
  <c r="O281" i="1"/>
  <c r="K281" i="1"/>
  <c r="J281" i="1"/>
  <c r="I281" i="1"/>
  <c r="H281" i="1"/>
  <c r="G281" i="1"/>
  <c r="F281" i="1"/>
  <c r="E281" i="1"/>
  <c r="D281" i="1"/>
  <c r="C281" i="1"/>
  <c r="B281" i="1"/>
  <c r="A281" i="1"/>
  <c r="S280" i="1"/>
  <c r="O280" i="1"/>
  <c r="K280" i="1"/>
  <c r="J280" i="1"/>
  <c r="I280" i="1"/>
  <c r="H280" i="1"/>
  <c r="G280" i="1"/>
  <c r="F280" i="1"/>
  <c r="E280" i="1"/>
  <c r="D280" i="1"/>
  <c r="C280" i="1"/>
  <c r="B280" i="1"/>
  <c r="A280" i="1"/>
  <c r="S279" i="1"/>
  <c r="O279" i="1"/>
  <c r="K279" i="1"/>
  <c r="J279" i="1"/>
  <c r="I279" i="1"/>
  <c r="H279" i="1"/>
  <c r="G279" i="1"/>
  <c r="F279" i="1"/>
  <c r="E279" i="1"/>
  <c r="D279" i="1"/>
  <c r="C279" i="1"/>
  <c r="B279" i="1"/>
  <c r="A279" i="1"/>
  <c r="R278" i="1"/>
  <c r="J278" i="1"/>
  <c r="I278" i="1"/>
  <c r="G278" i="1"/>
  <c r="F278" i="1"/>
  <c r="E278" i="1"/>
  <c r="D278" i="1"/>
  <c r="C278" i="1"/>
  <c r="B278" i="1"/>
  <c r="A278" i="1"/>
  <c r="S277" i="1"/>
  <c r="O277" i="1"/>
  <c r="K277" i="1"/>
  <c r="J277" i="1"/>
  <c r="I277" i="1"/>
  <c r="H277" i="1"/>
  <c r="G277" i="1"/>
  <c r="F277" i="1"/>
  <c r="E277" i="1"/>
  <c r="D277" i="1"/>
  <c r="C277" i="1"/>
  <c r="B277" i="1"/>
  <c r="A277" i="1"/>
  <c r="R276" i="1"/>
  <c r="J276" i="1"/>
  <c r="I276" i="1"/>
  <c r="G276" i="1"/>
  <c r="F276" i="1"/>
  <c r="E276" i="1"/>
  <c r="D276" i="1"/>
  <c r="C276" i="1"/>
  <c r="B276" i="1"/>
  <c r="A276" i="1"/>
  <c r="R275" i="1"/>
  <c r="J275" i="1"/>
  <c r="I275" i="1"/>
  <c r="G275" i="1"/>
  <c r="F275" i="1"/>
  <c r="E275" i="1"/>
  <c r="D275" i="1"/>
  <c r="C275" i="1"/>
  <c r="B275" i="1"/>
  <c r="A275" i="1"/>
  <c r="S274" i="1"/>
  <c r="O274" i="1"/>
  <c r="K274" i="1"/>
  <c r="J274" i="1"/>
  <c r="I274" i="1"/>
  <c r="H274" i="1"/>
  <c r="G274" i="1"/>
  <c r="F274" i="1"/>
  <c r="E274" i="1"/>
  <c r="D274" i="1"/>
  <c r="C274" i="1"/>
  <c r="B274" i="1"/>
  <c r="A274" i="1"/>
  <c r="R273" i="1"/>
  <c r="J273" i="1"/>
  <c r="I273" i="1"/>
  <c r="G273" i="1"/>
  <c r="F273" i="1"/>
  <c r="E273" i="1"/>
  <c r="D273" i="1"/>
  <c r="C273" i="1"/>
  <c r="B273" i="1"/>
  <c r="A273" i="1"/>
  <c r="S272" i="1"/>
  <c r="O272" i="1"/>
  <c r="K272" i="1"/>
  <c r="J272" i="1"/>
  <c r="I272" i="1"/>
  <c r="H272" i="1"/>
  <c r="G272" i="1"/>
  <c r="F272" i="1"/>
  <c r="E272" i="1"/>
  <c r="D272" i="1"/>
  <c r="C272" i="1"/>
  <c r="B272" i="1"/>
  <c r="A272" i="1"/>
  <c r="R271" i="1"/>
  <c r="J271" i="1"/>
  <c r="I271" i="1"/>
  <c r="G271" i="1"/>
  <c r="F271" i="1"/>
  <c r="E271" i="1"/>
  <c r="D271" i="1"/>
  <c r="C271" i="1"/>
  <c r="B271" i="1"/>
  <c r="A271" i="1"/>
  <c r="S270" i="1"/>
  <c r="O270" i="1"/>
  <c r="K270" i="1"/>
  <c r="J270" i="1"/>
  <c r="I270" i="1"/>
  <c r="H270" i="1"/>
  <c r="G270" i="1"/>
  <c r="F270" i="1"/>
  <c r="E270" i="1"/>
  <c r="D270" i="1"/>
  <c r="C270" i="1"/>
  <c r="B270" i="1"/>
  <c r="A270" i="1"/>
  <c r="R269" i="1"/>
  <c r="J269" i="1"/>
  <c r="I269" i="1"/>
  <c r="G269" i="1"/>
  <c r="F269" i="1"/>
  <c r="E269" i="1"/>
  <c r="D269" i="1"/>
  <c r="C269" i="1"/>
  <c r="B269" i="1"/>
  <c r="A269" i="1"/>
  <c r="R268" i="1"/>
  <c r="J268" i="1"/>
  <c r="I268" i="1"/>
  <c r="G268" i="1"/>
  <c r="F268" i="1"/>
  <c r="E268" i="1"/>
  <c r="D268" i="1"/>
  <c r="C268" i="1"/>
  <c r="B268" i="1"/>
  <c r="A268" i="1"/>
  <c r="R267" i="1"/>
  <c r="J267" i="1"/>
  <c r="I267" i="1"/>
  <c r="G267" i="1"/>
  <c r="F267" i="1"/>
  <c r="E267" i="1"/>
  <c r="D267" i="1"/>
  <c r="C267" i="1"/>
  <c r="B267" i="1"/>
  <c r="A267" i="1"/>
  <c r="R266" i="1"/>
  <c r="J266" i="1"/>
  <c r="I266" i="1"/>
  <c r="G266" i="1"/>
  <c r="F266" i="1"/>
  <c r="E266" i="1"/>
  <c r="D266" i="1"/>
  <c r="C266" i="1"/>
  <c r="B266" i="1"/>
  <c r="A266" i="1"/>
  <c r="R265" i="1"/>
  <c r="J265" i="1"/>
  <c r="I265" i="1"/>
  <c r="G265" i="1"/>
  <c r="F265" i="1"/>
  <c r="E265" i="1"/>
  <c r="D265" i="1"/>
  <c r="C265" i="1"/>
  <c r="B265" i="1"/>
  <c r="A265" i="1"/>
  <c r="R264" i="1"/>
  <c r="J264" i="1"/>
  <c r="I264" i="1"/>
  <c r="G264" i="1"/>
  <c r="F264" i="1"/>
  <c r="E264" i="1"/>
  <c r="D264" i="1"/>
  <c r="C264" i="1"/>
  <c r="B264" i="1"/>
  <c r="A264" i="1"/>
  <c r="R263" i="1"/>
  <c r="J263" i="1"/>
  <c r="I263" i="1"/>
  <c r="G263" i="1"/>
  <c r="F263" i="1"/>
  <c r="E263" i="1"/>
  <c r="D263" i="1"/>
  <c r="C263" i="1"/>
  <c r="B263" i="1"/>
  <c r="A263" i="1"/>
  <c r="R262" i="1"/>
  <c r="J262" i="1"/>
  <c r="I262" i="1"/>
  <c r="G262" i="1"/>
  <c r="F262" i="1"/>
  <c r="E262" i="1"/>
  <c r="D262" i="1"/>
  <c r="C262" i="1"/>
  <c r="B262" i="1"/>
  <c r="A262" i="1"/>
  <c r="R261" i="1"/>
  <c r="J261" i="1"/>
  <c r="I261" i="1"/>
  <c r="G261" i="1"/>
  <c r="F261" i="1"/>
  <c r="E261" i="1"/>
  <c r="D261" i="1"/>
  <c r="C261" i="1"/>
  <c r="B261" i="1"/>
  <c r="A261" i="1"/>
  <c r="R260" i="1"/>
  <c r="J260" i="1"/>
  <c r="I260" i="1"/>
  <c r="G260" i="1"/>
  <c r="F260" i="1"/>
  <c r="E260" i="1"/>
  <c r="D260" i="1"/>
  <c r="C260" i="1"/>
  <c r="B260" i="1"/>
  <c r="A260" i="1"/>
  <c r="S259" i="1"/>
  <c r="O259" i="1"/>
  <c r="K259" i="1"/>
  <c r="J259" i="1"/>
  <c r="I259" i="1"/>
  <c r="H259" i="1"/>
  <c r="G259" i="1"/>
  <c r="F259" i="1"/>
  <c r="E259" i="1"/>
  <c r="D259" i="1"/>
  <c r="C259" i="1"/>
  <c r="B259" i="1"/>
  <c r="A259" i="1"/>
  <c r="R258" i="1"/>
  <c r="J258" i="1"/>
  <c r="I258" i="1"/>
  <c r="G258" i="1"/>
  <c r="F258" i="1"/>
  <c r="E258" i="1"/>
  <c r="D258" i="1"/>
  <c r="C258" i="1"/>
  <c r="B258" i="1"/>
  <c r="A258" i="1"/>
  <c r="R257" i="1"/>
  <c r="J257" i="1"/>
  <c r="I257" i="1"/>
  <c r="G257" i="1"/>
  <c r="F257" i="1"/>
  <c r="E257" i="1"/>
  <c r="D257" i="1"/>
  <c r="C257" i="1"/>
  <c r="B257" i="1"/>
  <c r="A257" i="1"/>
  <c r="R256" i="1"/>
  <c r="J256" i="1"/>
  <c r="I256" i="1"/>
  <c r="G256" i="1"/>
  <c r="F256" i="1"/>
  <c r="E256" i="1"/>
  <c r="D256" i="1"/>
  <c r="C256" i="1"/>
  <c r="B256" i="1"/>
  <c r="A256" i="1"/>
  <c r="R255" i="1"/>
  <c r="J255" i="1"/>
  <c r="I255" i="1"/>
  <c r="G255" i="1"/>
  <c r="F255" i="1"/>
  <c r="E255" i="1"/>
  <c r="D255" i="1"/>
  <c r="C255" i="1"/>
  <c r="B255" i="1"/>
  <c r="A255" i="1"/>
  <c r="R254" i="1"/>
  <c r="J254" i="1"/>
  <c r="I254" i="1"/>
  <c r="G254" i="1"/>
  <c r="F254" i="1"/>
  <c r="E254" i="1"/>
  <c r="D254" i="1"/>
  <c r="C254" i="1"/>
  <c r="B254" i="1"/>
  <c r="A254" i="1"/>
  <c r="R253" i="1"/>
  <c r="J253" i="1"/>
  <c r="I253" i="1"/>
  <c r="G253" i="1"/>
  <c r="F253" i="1"/>
  <c r="E253" i="1"/>
  <c r="D253" i="1"/>
  <c r="C253" i="1"/>
  <c r="B253" i="1"/>
  <c r="A253" i="1"/>
  <c r="R252" i="1"/>
  <c r="J252" i="1"/>
  <c r="I252" i="1"/>
  <c r="G252" i="1"/>
  <c r="F252" i="1"/>
  <c r="E252" i="1"/>
  <c r="D252" i="1"/>
  <c r="C252" i="1"/>
  <c r="B252" i="1"/>
  <c r="A252" i="1"/>
  <c r="R251" i="1"/>
  <c r="J251" i="1"/>
  <c r="I251" i="1"/>
  <c r="G251" i="1"/>
  <c r="F251" i="1"/>
  <c r="E251" i="1"/>
  <c r="D251" i="1"/>
  <c r="C251" i="1"/>
  <c r="B251" i="1"/>
  <c r="A251" i="1"/>
  <c r="R250" i="1"/>
  <c r="J250" i="1"/>
  <c r="I250" i="1"/>
  <c r="G250" i="1"/>
  <c r="F250" i="1"/>
  <c r="E250" i="1"/>
  <c r="D250" i="1"/>
  <c r="C250" i="1"/>
  <c r="B250" i="1"/>
  <c r="A250" i="1"/>
  <c r="R249" i="1"/>
  <c r="J249" i="1"/>
  <c r="I249" i="1"/>
  <c r="G249" i="1"/>
  <c r="F249" i="1"/>
  <c r="E249" i="1"/>
  <c r="D249" i="1"/>
  <c r="C249" i="1"/>
  <c r="B249" i="1"/>
  <c r="A249" i="1"/>
  <c r="R248" i="1"/>
  <c r="J248" i="1"/>
  <c r="I248" i="1"/>
  <c r="G248" i="1"/>
  <c r="F248" i="1"/>
  <c r="E248" i="1"/>
  <c r="D248" i="1"/>
  <c r="C248" i="1"/>
  <c r="B248" i="1"/>
  <c r="A248" i="1"/>
  <c r="R247" i="1"/>
  <c r="J247" i="1"/>
  <c r="I247" i="1"/>
  <c r="G247" i="1"/>
  <c r="F247" i="1"/>
  <c r="E247" i="1"/>
  <c r="D247" i="1"/>
  <c r="C247" i="1"/>
  <c r="B247" i="1"/>
  <c r="A247" i="1"/>
  <c r="R246" i="1"/>
  <c r="J246" i="1"/>
  <c r="I246" i="1"/>
  <c r="G246" i="1"/>
  <c r="F246" i="1"/>
  <c r="E246" i="1"/>
  <c r="D246" i="1"/>
  <c r="C246" i="1"/>
  <c r="B246" i="1"/>
  <c r="A246" i="1"/>
  <c r="R245" i="1"/>
  <c r="J245" i="1"/>
  <c r="I245" i="1"/>
  <c r="G245" i="1"/>
  <c r="F245" i="1"/>
  <c r="E245" i="1"/>
  <c r="D245" i="1"/>
  <c r="C245" i="1"/>
  <c r="B245" i="1"/>
  <c r="A245" i="1"/>
  <c r="R244" i="1"/>
  <c r="J244" i="1"/>
  <c r="I244" i="1"/>
  <c r="G244" i="1"/>
  <c r="F244" i="1"/>
  <c r="E244" i="1"/>
  <c r="D244" i="1"/>
  <c r="C244" i="1"/>
  <c r="B244" i="1"/>
  <c r="A244" i="1"/>
  <c r="R243" i="1"/>
  <c r="J243" i="1"/>
  <c r="I243" i="1"/>
  <c r="G243" i="1"/>
  <c r="F243" i="1"/>
  <c r="E243" i="1"/>
  <c r="D243" i="1"/>
  <c r="C243" i="1"/>
  <c r="B243" i="1"/>
  <c r="A243" i="1"/>
  <c r="R242" i="1"/>
  <c r="J242" i="1"/>
  <c r="I242" i="1"/>
  <c r="G242" i="1"/>
  <c r="F242" i="1"/>
  <c r="E242" i="1"/>
  <c r="D242" i="1"/>
  <c r="C242" i="1"/>
  <c r="B242" i="1"/>
  <c r="A242" i="1"/>
  <c r="S241" i="1"/>
  <c r="O241" i="1"/>
  <c r="K241" i="1"/>
  <c r="J241" i="1"/>
  <c r="I241" i="1"/>
  <c r="H241" i="1"/>
  <c r="G241" i="1"/>
  <c r="F241" i="1"/>
  <c r="E241" i="1"/>
  <c r="D241" i="1"/>
  <c r="C241" i="1"/>
  <c r="B241" i="1"/>
  <c r="A241" i="1"/>
  <c r="R240" i="1"/>
  <c r="J240" i="1"/>
  <c r="I240" i="1"/>
  <c r="G240" i="1"/>
  <c r="F240" i="1"/>
  <c r="E240" i="1"/>
  <c r="D240" i="1"/>
  <c r="C240" i="1"/>
  <c r="B240" i="1"/>
  <c r="A240" i="1"/>
  <c r="R239" i="1"/>
  <c r="J239" i="1"/>
  <c r="I239" i="1"/>
  <c r="G239" i="1"/>
  <c r="F239" i="1"/>
  <c r="E239" i="1"/>
  <c r="D239" i="1"/>
  <c r="C239" i="1"/>
  <c r="B239" i="1"/>
  <c r="A239" i="1"/>
  <c r="R238" i="1"/>
  <c r="J238" i="1"/>
  <c r="I238" i="1"/>
  <c r="G238" i="1"/>
  <c r="F238" i="1"/>
  <c r="E238" i="1"/>
  <c r="D238" i="1"/>
  <c r="C238" i="1"/>
  <c r="B238" i="1"/>
  <c r="A238" i="1"/>
  <c r="R237" i="1"/>
  <c r="J237" i="1"/>
  <c r="I237" i="1"/>
  <c r="G237" i="1"/>
  <c r="F237" i="1"/>
  <c r="E237" i="1"/>
  <c r="D237" i="1"/>
  <c r="C237" i="1"/>
  <c r="B237" i="1"/>
  <c r="A237" i="1"/>
  <c r="R236" i="1"/>
  <c r="J236" i="1"/>
  <c r="I236" i="1"/>
  <c r="G236" i="1"/>
  <c r="F236" i="1"/>
  <c r="E236" i="1"/>
  <c r="D236" i="1"/>
  <c r="C236" i="1"/>
  <c r="B236" i="1"/>
  <c r="A236" i="1"/>
  <c r="R235" i="1"/>
  <c r="J235" i="1"/>
  <c r="I235" i="1"/>
  <c r="G235" i="1"/>
  <c r="F235" i="1"/>
  <c r="E235" i="1"/>
  <c r="D235" i="1"/>
  <c r="C235" i="1"/>
  <c r="B235" i="1"/>
  <c r="A235" i="1"/>
  <c r="R234" i="1"/>
  <c r="J234" i="1"/>
  <c r="I234" i="1"/>
  <c r="G234" i="1"/>
  <c r="F234" i="1"/>
  <c r="E234" i="1"/>
  <c r="D234" i="1"/>
  <c r="C234" i="1"/>
  <c r="B234" i="1"/>
  <c r="A234" i="1"/>
  <c r="R233" i="1"/>
  <c r="J233" i="1"/>
  <c r="I233" i="1"/>
  <c r="G233" i="1"/>
  <c r="F233" i="1"/>
  <c r="E233" i="1"/>
  <c r="D233" i="1"/>
  <c r="C233" i="1"/>
  <c r="B233" i="1"/>
  <c r="A233" i="1"/>
  <c r="R232" i="1"/>
  <c r="J232" i="1"/>
  <c r="I232" i="1"/>
  <c r="G232" i="1"/>
  <c r="F232" i="1"/>
  <c r="E232" i="1"/>
  <c r="D232" i="1"/>
  <c r="C232" i="1"/>
  <c r="B232" i="1"/>
  <c r="A232" i="1"/>
  <c r="R231" i="1"/>
  <c r="J231" i="1"/>
  <c r="I231" i="1"/>
  <c r="G231" i="1"/>
  <c r="F231" i="1"/>
  <c r="E231" i="1"/>
  <c r="D231" i="1"/>
  <c r="C231" i="1"/>
  <c r="B231" i="1"/>
  <c r="A231" i="1"/>
  <c r="R230" i="1"/>
  <c r="J230" i="1"/>
  <c r="I230" i="1"/>
  <c r="G230" i="1"/>
  <c r="F230" i="1"/>
  <c r="E230" i="1"/>
  <c r="D230" i="1"/>
  <c r="C230" i="1"/>
  <c r="B230" i="1"/>
  <c r="A230" i="1"/>
  <c r="R229" i="1"/>
  <c r="J229" i="1"/>
  <c r="I229" i="1"/>
  <c r="G229" i="1"/>
  <c r="F229" i="1"/>
  <c r="E229" i="1"/>
  <c r="D229" i="1"/>
  <c r="C229" i="1"/>
  <c r="B229" i="1"/>
  <c r="A229" i="1"/>
  <c r="R228" i="1"/>
  <c r="J228" i="1"/>
  <c r="I228" i="1"/>
  <c r="G228" i="1"/>
  <c r="F228" i="1"/>
  <c r="E228" i="1"/>
  <c r="D228" i="1"/>
  <c r="C228" i="1"/>
  <c r="B228" i="1"/>
  <c r="A228" i="1"/>
  <c r="R227" i="1"/>
  <c r="J227" i="1"/>
  <c r="I227" i="1"/>
  <c r="G227" i="1"/>
  <c r="F227" i="1"/>
  <c r="E227" i="1"/>
  <c r="D227" i="1"/>
  <c r="C227" i="1"/>
  <c r="B227" i="1"/>
  <c r="A227" i="1"/>
  <c r="R226" i="1"/>
  <c r="J226" i="1"/>
  <c r="I226" i="1"/>
  <c r="G226" i="1"/>
  <c r="F226" i="1"/>
  <c r="E226" i="1"/>
  <c r="D226" i="1"/>
  <c r="C226" i="1"/>
  <c r="B226" i="1"/>
  <c r="A226" i="1"/>
  <c r="R225" i="1"/>
  <c r="J225" i="1"/>
  <c r="I225" i="1"/>
  <c r="G225" i="1"/>
  <c r="F225" i="1"/>
  <c r="E225" i="1"/>
  <c r="D225" i="1"/>
  <c r="C225" i="1"/>
  <c r="B225" i="1"/>
  <c r="A225" i="1"/>
  <c r="R224" i="1"/>
  <c r="J224" i="1"/>
  <c r="I224" i="1"/>
  <c r="G224" i="1"/>
  <c r="F224" i="1"/>
  <c r="E224" i="1"/>
  <c r="D224" i="1"/>
  <c r="C224" i="1"/>
  <c r="B224" i="1"/>
  <c r="A224" i="1"/>
  <c r="R223" i="1"/>
  <c r="J223" i="1"/>
  <c r="I223" i="1"/>
  <c r="G223" i="1"/>
  <c r="F223" i="1"/>
  <c r="E223" i="1"/>
  <c r="D223" i="1"/>
  <c r="C223" i="1"/>
  <c r="B223" i="1"/>
  <c r="A223" i="1"/>
  <c r="R222" i="1"/>
  <c r="J222" i="1"/>
  <c r="I222" i="1"/>
  <c r="G222" i="1"/>
  <c r="F222" i="1"/>
  <c r="E222" i="1"/>
  <c r="D222" i="1"/>
  <c r="C222" i="1"/>
  <c r="B222" i="1"/>
  <c r="A222" i="1"/>
  <c r="R221" i="1"/>
  <c r="J221" i="1"/>
  <c r="I221" i="1"/>
  <c r="G221" i="1"/>
  <c r="F221" i="1"/>
  <c r="E221" i="1"/>
  <c r="D221" i="1"/>
  <c r="C221" i="1"/>
  <c r="B221" i="1"/>
  <c r="A221" i="1"/>
  <c r="R220" i="1"/>
  <c r="J220" i="1"/>
  <c r="I220" i="1"/>
  <c r="G220" i="1"/>
  <c r="F220" i="1"/>
  <c r="E220" i="1"/>
  <c r="D220" i="1"/>
  <c r="C220" i="1"/>
  <c r="B220" i="1"/>
  <c r="A220" i="1"/>
  <c r="R219" i="1"/>
  <c r="J219" i="1"/>
  <c r="I219" i="1"/>
  <c r="G219" i="1"/>
  <c r="F219" i="1"/>
  <c r="E219" i="1"/>
  <c r="D219" i="1"/>
  <c r="C219" i="1"/>
  <c r="B219" i="1"/>
  <c r="A219" i="1"/>
  <c r="R218" i="1"/>
  <c r="J218" i="1"/>
  <c r="I218" i="1"/>
  <c r="G218" i="1"/>
  <c r="F218" i="1"/>
  <c r="E218" i="1"/>
  <c r="D218" i="1"/>
  <c r="C218" i="1"/>
  <c r="B218" i="1"/>
  <c r="A218" i="1"/>
  <c r="R217" i="1"/>
  <c r="J217" i="1"/>
  <c r="I217" i="1"/>
  <c r="G217" i="1"/>
  <c r="F217" i="1"/>
  <c r="E217" i="1"/>
  <c r="D217" i="1"/>
  <c r="C217" i="1"/>
  <c r="B217" i="1"/>
  <c r="A217" i="1"/>
  <c r="R216" i="1"/>
  <c r="J216" i="1"/>
  <c r="I216" i="1"/>
  <c r="G216" i="1"/>
  <c r="F216" i="1"/>
  <c r="E216" i="1"/>
  <c r="D216" i="1"/>
  <c r="C216" i="1"/>
  <c r="B216" i="1"/>
  <c r="A216" i="1"/>
  <c r="R215" i="1"/>
  <c r="J215" i="1"/>
  <c r="I215" i="1"/>
  <c r="G215" i="1"/>
  <c r="F215" i="1"/>
  <c r="E215" i="1"/>
  <c r="D215" i="1"/>
  <c r="C215" i="1"/>
  <c r="B215" i="1"/>
  <c r="A215" i="1"/>
  <c r="R214" i="1"/>
  <c r="J214" i="1"/>
  <c r="I214" i="1"/>
  <c r="G214" i="1"/>
  <c r="F214" i="1"/>
  <c r="E214" i="1"/>
  <c r="D214" i="1"/>
  <c r="C214" i="1"/>
  <c r="B214" i="1"/>
  <c r="A214" i="1"/>
  <c r="R213" i="1"/>
  <c r="J213" i="1"/>
  <c r="I213" i="1"/>
  <c r="G213" i="1"/>
  <c r="F213" i="1"/>
  <c r="E213" i="1"/>
  <c r="D213" i="1"/>
  <c r="C213" i="1"/>
  <c r="B213" i="1"/>
  <c r="A213" i="1"/>
  <c r="R212" i="1"/>
  <c r="J212" i="1"/>
  <c r="I212" i="1"/>
  <c r="G212" i="1"/>
  <c r="F212" i="1"/>
  <c r="E212" i="1"/>
  <c r="D212" i="1"/>
  <c r="C212" i="1"/>
  <c r="B212" i="1"/>
  <c r="A212" i="1"/>
  <c r="R211" i="1"/>
  <c r="J211" i="1"/>
  <c r="I211" i="1"/>
  <c r="G211" i="1"/>
  <c r="F211" i="1"/>
  <c r="E211" i="1"/>
  <c r="D211" i="1"/>
  <c r="C211" i="1"/>
  <c r="B211" i="1"/>
  <c r="A211" i="1"/>
  <c r="R210" i="1"/>
  <c r="J210" i="1"/>
  <c r="I210" i="1"/>
  <c r="G210" i="1"/>
  <c r="F210" i="1"/>
  <c r="E210" i="1"/>
  <c r="D210" i="1"/>
  <c r="C210" i="1"/>
  <c r="B210" i="1"/>
  <c r="A210" i="1"/>
  <c r="R209" i="1"/>
  <c r="J209" i="1"/>
  <c r="I209" i="1"/>
  <c r="G209" i="1"/>
  <c r="F209" i="1"/>
  <c r="E209" i="1"/>
  <c r="D209" i="1"/>
  <c r="C209" i="1"/>
  <c r="B209" i="1"/>
  <c r="A209" i="1"/>
  <c r="R208" i="1"/>
  <c r="J208" i="1"/>
  <c r="I208" i="1"/>
  <c r="G208" i="1"/>
  <c r="F208" i="1"/>
  <c r="E208" i="1"/>
  <c r="D208" i="1"/>
  <c r="C208" i="1"/>
  <c r="B208" i="1"/>
  <c r="A208" i="1"/>
  <c r="R207" i="1"/>
  <c r="J207" i="1"/>
  <c r="I207" i="1"/>
  <c r="G207" i="1"/>
  <c r="F207" i="1"/>
  <c r="E207" i="1"/>
  <c r="D207" i="1"/>
  <c r="C207" i="1"/>
  <c r="B207" i="1"/>
  <c r="A207" i="1"/>
  <c r="R206" i="1"/>
  <c r="J206" i="1"/>
  <c r="I206" i="1"/>
  <c r="G206" i="1"/>
  <c r="F206" i="1"/>
  <c r="E206" i="1"/>
  <c r="D206" i="1"/>
  <c r="C206" i="1"/>
  <c r="B206" i="1"/>
  <c r="A206" i="1"/>
  <c r="R205" i="1"/>
  <c r="J205" i="1"/>
  <c r="I205" i="1"/>
  <c r="G205" i="1"/>
  <c r="F205" i="1"/>
  <c r="E205" i="1"/>
  <c r="D205" i="1"/>
  <c r="C205" i="1"/>
  <c r="B205" i="1"/>
  <c r="A205" i="1"/>
  <c r="R204" i="1"/>
  <c r="J204" i="1"/>
  <c r="I204" i="1"/>
  <c r="G204" i="1"/>
  <c r="F204" i="1"/>
  <c r="E204" i="1"/>
  <c r="D204" i="1"/>
  <c r="C204" i="1"/>
  <c r="B204" i="1"/>
  <c r="A204" i="1"/>
  <c r="R203" i="1"/>
  <c r="J203" i="1"/>
  <c r="I203" i="1"/>
  <c r="G203" i="1"/>
  <c r="F203" i="1"/>
  <c r="E203" i="1"/>
  <c r="D203" i="1"/>
  <c r="C203" i="1"/>
  <c r="B203" i="1"/>
  <c r="A203" i="1"/>
  <c r="R202" i="1"/>
  <c r="J202" i="1"/>
  <c r="I202" i="1"/>
  <c r="G202" i="1"/>
  <c r="F202" i="1"/>
  <c r="E202" i="1"/>
  <c r="D202" i="1"/>
  <c r="C202" i="1"/>
  <c r="B202" i="1"/>
  <c r="A202" i="1"/>
  <c r="R201" i="1"/>
  <c r="J201" i="1"/>
  <c r="I201" i="1"/>
  <c r="G201" i="1"/>
  <c r="F201" i="1"/>
  <c r="E201" i="1"/>
  <c r="D201" i="1"/>
  <c r="C201" i="1"/>
  <c r="B201" i="1"/>
  <c r="A201" i="1"/>
  <c r="R200" i="1"/>
  <c r="J200" i="1"/>
  <c r="I200" i="1"/>
  <c r="G200" i="1"/>
  <c r="F200" i="1"/>
  <c r="E200" i="1"/>
  <c r="D200" i="1"/>
  <c r="C200" i="1"/>
  <c r="B200" i="1"/>
  <c r="A200" i="1"/>
  <c r="R199" i="1"/>
  <c r="J199" i="1"/>
  <c r="I199" i="1"/>
  <c r="G199" i="1"/>
  <c r="F199" i="1"/>
  <c r="E199" i="1"/>
  <c r="D199" i="1"/>
  <c r="C199" i="1"/>
  <c r="B199" i="1"/>
  <c r="A199" i="1"/>
  <c r="R198" i="1"/>
  <c r="J198" i="1"/>
  <c r="I198" i="1"/>
  <c r="G198" i="1"/>
  <c r="F198" i="1"/>
  <c r="E198" i="1"/>
  <c r="D198" i="1"/>
  <c r="C198" i="1"/>
  <c r="B198" i="1"/>
  <c r="A198" i="1"/>
  <c r="R197" i="1"/>
  <c r="J197" i="1"/>
  <c r="I197" i="1"/>
  <c r="G197" i="1"/>
  <c r="F197" i="1"/>
  <c r="E197" i="1"/>
  <c r="D197" i="1"/>
  <c r="C197" i="1"/>
  <c r="B197" i="1"/>
  <c r="A197" i="1"/>
  <c r="R196" i="1"/>
  <c r="J196" i="1"/>
  <c r="I196" i="1"/>
  <c r="G196" i="1"/>
  <c r="F196" i="1"/>
  <c r="E196" i="1"/>
  <c r="D196" i="1"/>
  <c r="C196" i="1"/>
  <c r="B196" i="1"/>
  <c r="A196" i="1"/>
  <c r="R195" i="1"/>
  <c r="J195" i="1"/>
  <c r="I195" i="1"/>
  <c r="G195" i="1"/>
  <c r="F195" i="1"/>
  <c r="E195" i="1"/>
  <c r="D195" i="1"/>
  <c r="C195" i="1"/>
  <c r="B195" i="1"/>
  <c r="A195" i="1"/>
  <c r="R194" i="1"/>
  <c r="J194" i="1"/>
  <c r="I194" i="1"/>
  <c r="G194" i="1"/>
  <c r="F194" i="1"/>
  <c r="E194" i="1"/>
  <c r="D194" i="1"/>
  <c r="C194" i="1"/>
  <c r="B194" i="1"/>
  <c r="A194" i="1"/>
  <c r="R193" i="1"/>
  <c r="J193" i="1"/>
  <c r="I193" i="1"/>
  <c r="G193" i="1"/>
  <c r="F193" i="1"/>
  <c r="E193" i="1"/>
  <c r="D193" i="1"/>
  <c r="C193" i="1"/>
  <c r="B193" i="1"/>
  <c r="A193" i="1"/>
  <c r="R192" i="1"/>
  <c r="J192" i="1"/>
  <c r="I192" i="1"/>
  <c r="G192" i="1"/>
  <c r="F192" i="1"/>
  <c r="E192" i="1"/>
  <c r="D192" i="1"/>
  <c r="C192" i="1"/>
  <c r="B192" i="1"/>
  <c r="A192" i="1"/>
  <c r="S191" i="1"/>
  <c r="O191" i="1"/>
  <c r="K191" i="1"/>
  <c r="J191" i="1"/>
  <c r="I191" i="1"/>
  <c r="H191" i="1"/>
  <c r="G191" i="1"/>
  <c r="F191" i="1"/>
  <c r="E191" i="1"/>
  <c r="D191" i="1"/>
  <c r="C191" i="1"/>
  <c r="B191" i="1"/>
  <c r="A191" i="1"/>
  <c r="R190" i="1"/>
  <c r="J190" i="1"/>
  <c r="I190" i="1"/>
  <c r="G190" i="1"/>
  <c r="F190" i="1"/>
  <c r="E190" i="1"/>
  <c r="D190" i="1"/>
  <c r="C190" i="1"/>
  <c r="B190" i="1"/>
  <c r="A190" i="1"/>
  <c r="S189" i="1"/>
  <c r="O189" i="1"/>
  <c r="K189" i="1"/>
  <c r="J189" i="1"/>
  <c r="I189" i="1"/>
  <c r="H189" i="1"/>
  <c r="G189" i="1"/>
  <c r="F189" i="1"/>
  <c r="E189" i="1"/>
  <c r="D189" i="1"/>
  <c r="C189" i="1"/>
  <c r="B189" i="1"/>
  <c r="A189" i="1"/>
  <c r="R188" i="1"/>
  <c r="J188" i="1"/>
  <c r="I188" i="1"/>
  <c r="G188" i="1"/>
  <c r="F188" i="1"/>
  <c r="E188" i="1"/>
  <c r="D188" i="1"/>
  <c r="C188" i="1"/>
  <c r="B188" i="1"/>
  <c r="A188" i="1"/>
  <c r="S187" i="1"/>
  <c r="O187" i="1"/>
  <c r="K187" i="1"/>
  <c r="J187" i="1"/>
  <c r="I187" i="1"/>
  <c r="H187" i="1"/>
  <c r="G187" i="1"/>
  <c r="F187" i="1"/>
  <c r="E187" i="1"/>
  <c r="D187" i="1"/>
  <c r="C187" i="1"/>
  <c r="B187" i="1"/>
  <c r="A187" i="1"/>
  <c r="R186" i="1"/>
  <c r="J186" i="1"/>
  <c r="I186" i="1"/>
  <c r="G186" i="1"/>
  <c r="F186" i="1"/>
  <c r="E186" i="1"/>
  <c r="D186" i="1"/>
  <c r="C186" i="1"/>
  <c r="B186" i="1"/>
  <c r="A186" i="1"/>
  <c r="S185" i="1"/>
  <c r="O185" i="1"/>
  <c r="K185" i="1"/>
  <c r="J185" i="1"/>
  <c r="I185" i="1"/>
  <c r="H185" i="1"/>
  <c r="G185" i="1"/>
  <c r="F185" i="1"/>
  <c r="E185" i="1"/>
  <c r="D185" i="1"/>
  <c r="C185" i="1"/>
  <c r="B185" i="1"/>
  <c r="A185" i="1"/>
  <c r="R184" i="1"/>
  <c r="J184" i="1"/>
  <c r="I184" i="1"/>
  <c r="G184" i="1"/>
  <c r="F184" i="1"/>
  <c r="E184" i="1"/>
  <c r="D184" i="1"/>
  <c r="C184" i="1"/>
  <c r="B184" i="1"/>
  <c r="A184" i="1"/>
  <c r="R183" i="1"/>
  <c r="J183" i="1"/>
  <c r="I183" i="1"/>
  <c r="G183" i="1"/>
  <c r="F183" i="1"/>
  <c r="E183" i="1"/>
  <c r="D183" i="1"/>
  <c r="C183" i="1"/>
  <c r="B183" i="1"/>
  <c r="A183" i="1"/>
  <c r="S182" i="1"/>
  <c r="O182" i="1"/>
  <c r="K182" i="1"/>
  <c r="J182" i="1"/>
  <c r="I182" i="1"/>
  <c r="H182" i="1"/>
  <c r="G182" i="1"/>
  <c r="F182" i="1"/>
  <c r="E182" i="1"/>
  <c r="D182" i="1"/>
  <c r="C182" i="1"/>
  <c r="B182" i="1"/>
  <c r="A182" i="1"/>
  <c r="R181" i="1"/>
  <c r="J181" i="1"/>
  <c r="I181" i="1"/>
  <c r="G181" i="1"/>
  <c r="F181" i="1"/>
  <c r="E181" i="1"/>
  <c r="D181" i="1"/>
  <c r="C181" i="1"/>
  <c r="B181" i="1"/>
  <c r="A181" i="1"/>
  <c r="S180" i="1"/>
  <c r="O180" i="1"/>
  <c r="K180" i="1"/>
  <c r="J180" i="1"/>
  <c r="I180" i="1"/>
  <c r="H180" i="1"/>
  <c r="G180" i="1"/>
  <c r="F180" i="1"/>
  <c r="E180" i="1"/>
  <c r="D180" i="1"/>
  <c r="C180" i="1"/>
  <c r="B180" i="1"/>
  <c r="A180" i="1"/>
  <c r="R179" i="1"/>
  <c r="J179" i="1"/>
  <c r="I179" i="1"/>
  <c r="G179" i="1"/>
  <c r="F179" i="1"/>
  <c r="E179" i="1"/>
  <c r="D179" i="1"/>
  <c r="C179" i="1"/>
  <c r="B179" i="1"/>
  <c r="A179" i="1"/>
  <c r="S178" i="1"/>
  <c r="O178" i="1"/>
  <c r="K178" i="1"/>
  <c r="J178" i="1"/>
  <c r="I178" i="1"/>
  <c r="H178" i="1"/>
  <c r="G178" i="1"/>
  <c r="F178" i="1"/>
  <c r="E178" i="1"/>
  <c r="D178" i="1"/>
  <c r="C178" i="1"/>
  <c r="B178" i="1"/>
  <c r="A178" i="1"/>
  <c r="R177" i="1"/>
  <c r="J177" i="1"/>
  <c r="I177" i="1"/>
  <c r="G177" i="1"/>
  <c r="F177" i="1"/>
  <c r="E177" i="1"/>
  <c r="D177" i="1"/>
  <c r="C177" i="1"/>
  <c r="B177" i="1"/>
  <c r="A177" i="1"/>
  <c r="S176" i="1"/>
  <c r="O176" i="1"/>
  <c r="K176" i="1"/>
  <c r="J176" i="1"/>
  <c r="I176" i="1"/>
  <c r="H176" i="1"/>
  <c r="G176" i="1"/>
  <c r="F176" i="1"/>
  <c r="E176" i="1"/>
  <c r="D176" i="1"/>
  <c r="C176" i="1"/>
  <c r="B176" i="1"/>
  <c r="A176" i="1"/>
  <c r="R175" i="1"/>
  <c r="J175" i="1"/>
  <c r="I175" i="1"/>
  <c r="G175" i="1"/>
  <c r="F175" i="1"/>
  <c r="E175" i="1"/>
  <c r="D175" i="1"/>
  <c r="C175" i="1"/>
  <c r="B175" i="1"/>
  <c r="A175" i="1"/>
  <c r="R174" i="1"/>
  <c r="J174" i="1"/>
  <c r="I174" i="1"/>
  <c r="G174" i="1"/>
  <c r="F174" i="1"/>
  <c r="E174" i="1"/>
  <c r="D174" i="1"/>
  <c r="C174" i="1"/>
  <c r="B174" i="1"/>
  <c r="A174" i="1"/>
  <c r="S173" i="1"/>
  <c r="O173" i="1"/>
  <c r="K173" i="1"/>
  <c r="J173" i="1"/>
  <c r="I173" i="1"/>
  <c r="H173" i="1"/>
  <c r="G173" i="1"/>
  <c r="F173" i="1"/>
  <c r="E173" i="1"/>
  <c r="D173" i="1"/>
  <c r="C173" i="1"/>
  <c r="B173" i="1"/>
  <c r="A173" i="1"/>
  <c r="R172" i="1"/>
  <c r="J172" i="1"/>
  <c r="I172" i="1"/>
  <c r="G172" i="1"/>
  <c r="F172" i="1"/>
  <c r="E172" i="1"/>
  <c r="D172" i="1"/>
  <c r="C172" i="1"/>
  <c r="B172" i="1"/>
  <c r="A172" i="1"/>
  <c r="S171" i="1"/>
  <c r="O171" i="1"/>
  <c r="K171" i="1"/>
  <c r="J171" i="1"/>
  <c r="I171" i="1"/>
  <c r="H171" i="1"/>
  <c r="G171" i="1"/>
  <c r="F171" i="1"/>
  <c r="E171" i="1"/>
  <c r="D171" i="1"/>
  <c r="C171" i="1"/>
  <c r="B171" i="1"/>
  <c r="A171" i="1"/>
  <c r="R170" i="1"/>
  <c r="J170" i="1"/>
  <c r="I170" i="1"/>
  <c r="G170" i="1"/>
  <c r="F170" i="1"/>
  <c r="E170" i="1"/>
  <c r="D170" i="1"/>
  <c r="C170" i="1"/>
  <c r="B170" i="1"/>
  <c r="A170" i="1"/>
  <c r="S169" i="1"/>
  <c r="O169" i="1"/>
  <c r="K169" i="1"/>
  <c r="J169" i="1"/>
  <c r="I169" i="1"/>
  <c r="H169" i="1"/>
  <c r="G169" i="1"/>
  <c r="F169" i="1"/>
  <c r="E169" i="1"/>
  <c r="D169" i="1"/>
  <c r="C169" i="1"/>
  <c r="B169" i="1"/>
  <c r="A169" i="1"/>
  <c r="R168" i="1"/>
  <c r="J168" i="1"/>
  <c r="I168" i="1"/>
  <c r="G168" i="1"/>
  <c r="F168" i="1"/>
  <c r="E168" i="1"/>
  <c r="D168" i="1"/>
  <c r="C168" i="1"/>
  <c r="B168" i="1"/>
  <c r="A168" i="1"/>
  <c r="S167" i="1"/>
  <c r="O167" i="1"/>
  <c r="K167" i="1"/>
  <c r="J167" i="1"/>
  <c r="I167" i="1"/>
  <c r="H167" i="1"/>
  <c r="G167" i="1"/>
  <c r="F167" i="1"/>
  <c r="E167" i="1"/>
  <c r="D167" i="1"/>
  <c r="C167" i="1"/>
  <c r="B167" i="1"/>
  <c r="A167" i="1"/>
  <c r="R166" i="1"/>
  <c r="J166" i="1"/>
  <c r="I166" i="1"/>
  <c r="G166" i="1"/>
  <c r="F166" i="1"/>
  <c r="E166" i="1"/>
  <c r="D166" i="1"/>
  <c r="C166" i="1"/>
  <c r="B166" i="1"/>
  <c r="A166" i="1"/>
  <c r="S165" i="1"/>
  <c r="O165" i="1"/>
  <c r="K165" i="1"/>
  <c r="J165" i="1"/>
  <c r="I165" i="1"/>
  <c r="H165" i="1"/>
  <c r="G165" i="1"/>
  <c r="F165" i="1"/>
  <c r="E165" i="1"/>
  <c r="D165" i="1"/>
  <c r="C165" i="1"/>
  <c r="B165" i="1"/>
  <c r="A165" i="1"/>
  <c r="R164" i="1"/>
  <c r="J164" i="1"/>
  <c r="I164" i="1"/>
  <c r="G164" i="1"/>
  <c r="F164" i="1"/>
  <c r="E164" i="1"/>
  <c r="D164" i="1"/>
  <c r="C164" i="1"/>
  <c r="B164" i="1"/>
  <c r="A164" i="1"/>
  <c r="S163" i="1"/>
  <c r="O163" i="1"/>
  <c r="K163" i="1"/>
  <c r="J163" i="1"/>
  <c r="I163" i="1"/>
  <c r="H163" i="1"/>
  <c r="G163" i="1"/>
  <c r="F163" i="1"/>
  <c r="E163" i="1"/>
  <c r="D163" i="1"/>
  <c r="C163" i="1"/>
  <c r="B163" i="1"/>
  <c r="A163" i="1"/>
  <c r="R162" i="1"/>
  <c r="J162" i="1"/>
  <c r="I162" i="1"/>
  <c r="G162" i="1"/>
  <c r="F162" i="1"/>
  <c r="E162" i="1"/>
  <c r="D162" i="1"/>
  <c r="C162" i="1"/>
  <c r="B162" i="1"/>
  <c r="A162" i="1"/>
  <c r="S161" i="1"/>
  <c r="O161" i="1"/>
  <c r="K161" i="1"/>
  <c r="J161" i="1"/>
  <c r="I161" i="1"/>
  <c r="H161" i="1"/>
  <c r="G161" i="1"/>
  <c r="F161" i="1"/>
  <c r="E161" i="1"/>
  <c r="D161" i="1"/>
  <c r="C161" i="1"/>
  <c r="B161" i="1"/>
  <c r="A161" i="1"/>
  <c r="R160" i="1"/>
  <c r="J160" i="1"/>
  <c r="I160" i="1"/>
  <c r="G160" i="1"/>
  <c r="F160" i="1"/>
  <c r="E160" i="1"/>
  <c r="D160" i="1"/>
  <c r="C160" i="1"/>
  <c r="B160" i="1"/>
  <c r="A160" i="1"/>
  <c r="R159" i="1"/>
  <c r="J159" i="1"/>
  <c r="I159" i="1"/>
  <c r="G159" i="1"/>
  <c r="F159" i="1"/>
  <c r="E159" i="1"/>
  <c r="D159" i="1"/>
  <c r="C159" i="1"/>
  <c r="B159" i="1"/>
  <c r="A159" i="1"/>
  <c r="S158" i="1"/>
  <c r="O158" i="1"/>
  <c r="K158" i="1"/>
  <c r="J158" i="1"/>
  <c r="I158" i="1"/>
  <c r="H158" i="1"/>
  <c r="G158" i="1"/>
  <c r="F158" i="1"/>
  <c r="E158" i="1"/>
  <c r="D158" i="1"/>
  <c r="C158" i="1"/>
  <c r="B158" i="1"/>
  <c r="A158" i="1"/>
  <c r="R157" i="1"/>
  <c r="J157" i="1"/>
  <c r="I157" i="1"/>
  <c r="G157" i="1"/>
  <c r="F157" i="1"/>
  <c r="E157" i="1"/>
  <c r="D157" i="1"/>
  <c r="C157" i="1"/>
  <c r="B157" i="1"/>
  <c r="A157" i="1"/>
  <c r="S156" i="1"/>
  <c r="O156" i="1"/>
  <c r="K156" i="1"/>
  <c r="J156" i="1"/>
  <c r="I156" i="1"/>
  <c r="H156" i="1"/>
  <c r="G156" i="1"/>
  <c r="F156" i="1"/>
  <c r="E156" i="1"/>
  <c r="D156" i="1"/>
  <c r="C156" i="1"/>
  <c r="B156" i="1"/>
  <c r="A156" i="1"/>
  <c r="R155" i="1"/>
  <c r="J155" i="1"/>
  <c r="I155" i="1"/>
  <c r="G155" i="1"/>
  <c r="F155" i="1"/>
  <c r="E155" i="1"/>
  <c r="D155" i="1"/>
  <c r="C155" i="1"/>
  <c r="B155" i="1"/>
  <c r="A155" i="1"/>
  <c r="S154" i="1"/>
  <c r="O154" i="1"/>
  <c r="K154" i="1"/>
  <c r="J154" i="1"/>
  <c r="I154" i="1"/>
  <c r="H154" i="1"/>
  <c r="G154" i="1"/>
  <c r="F154" i="1"/>
  <c r="E154" i="1"/>
  <c r="D154" i="1"/>
  <c r="C154" i="1"/>
  <c r="B154" i="1"/>
  <c r="A154" i="1"/>
  <c r="R153" i="1"/>
  <c r="J153" i="1"/>
  <c r="I153" i="1"/>
  <c r="G153" i="1"/>
  <c r="F153" i="1"/>
  <c r="E153" i="1"/>
  <c r="D153" i="1"/>
  <c r="C153" i="1"/>
  <c r="B153" i="1"/>
  <c r="A153" i="1"/>
  <c r="S152" i="1"/>
  <c r="O152" i="1"/>
  <c r="K152" i="1"/>
  <c r="J152" i="1"/>
  <c r="I152" i="1"/>
  <c r="H152" i="1"/>
  <c r="G152" i="1"/>
  <c r="F152" i="1"/>
  <c r="E152" i="1"/>
  <c r="D152" i="1"/>
  <c r="C152" i="1"/>
  <c r="B152" i="1"/>
  <c r="A152" i="1"/>
  <c r="R151" i="1"/>
  <c r="J151" i="1"/>
  <c r="I151" i="1"/>
  <c r="G151" i="1"/>
  <c r="F151" i="1"/>
  <c r="E151" i="1"/>
  <c r="D151" i="1"/>
  <c r="C151" i="1"/>
  <c r="B151" i="1"/>
  <c r="A151" i="1"/>
  <c r="S150" i="1"/>
  <c r="O150" i="1"/>
  <c r="K150" i="1"/>
  <c r="J150" i="1"/>
  <c r="I150" i="1"/>
  <c r="H150" i="1"/>
  <c r="G150" i="1"/>
  <c r="F150" i="1"/>
  <c r="E150" i="1"/>
  <c r="D150" i="1"/>
  <c r="C150" i="1"/>
  <c r="B150" i="1"/>
  <c r="A150" i="1"/>
  <c r="R149" i="1"/>
  <c r="J149" i="1"/>
  <c r="I149" i="1"/>
  <c r="G149" i="1"/>
  <c r="F149" i="1"/>
  <c r="E149" i="1"/>
  <c r="D149" i="1"/>
  <c r="C149" i="1"/>
  <c r="B149" i="1"/>
  <c r="A149" i="1"/>
  <c r="S148" i="1"/>
  <c r="O148" i="1"/>
  <c r="K148" i="1"/>
  <c r="J148" i="1"/>
  <c r="I148" i="1"/>
  <c r="H148" i="1"/>
  <c r="G148" i="1"/>
  <c r="F148" i="1"/>
  <c r="E148" i="1"/>
  <c r="D148" i="1"/>
  <c r="C148" i="1"/>
  <c r="B148" i="1"/>
  <c r="A148" i="1"/>
  <c r="R147" i="1"/>
  <c r="J147" i="1"/>
  <c r="I147" i="1"/>
  <c r="G147" i="1"/>
  <c r="F147" i="1"/>
  <c r="E147" i="1"/>
  <c r="D147" i="1"/>
  <c r="C147" i="1"/>
  <c r="B147" i="1"/>
  <c r="A147" i="1"/>
  <c r="S146" i="1"/>
  <c r="O146" i="1"/>
  <c r="K146" i="1"/>
  <c r="J146" i="1"/>
  <c r="I146" i="1"/>
  <c r="H146" i="1"/>
  <c r="G146" i="1"/>
  <c r="F146" i="1"/>
  <c r="E146" i="1"/>
  <c r="D146" i="1"/>
  <c r="C146" i="1"/>
  <c r="B146" i="1"/>
  <c r="A146" i="1"/>
  <c r="R145" i="1"/>
  <c r="J145" i="1"/>
  <c r="I145" i="1"/>
  <c r="G145" i="1"/>
  <c r="F145" i="1"/>
  <c r="E145" i="1"/>
  <c r="D145" i="1"/>
  <c r="C145" i="1"/>
  <c r="B145" i="1"/>
  <c r="A145" i="1"/>
  <c r="S144" i="1"/>
  <c r="O144" i="1"/>
  <c r="K144" i="1"/>
  <c r="J144" i="1"/>
  <c r="I144" i="1"/>
  <c r="H144" i="1"/>
  <c r="G144" i="1"/>
  <c r="F144" i="1"/>
  <c r="E144" i="1"/>
  <c r="D144" i="1"/>
  <c r="C144" i="1"/>
  <c r="B144" i="1"/>
  <c r="A144" i="1"/>
  <c r="R143" i="1"/>
  <c r="J143" i="1"/>
  <c r="I143" i="1"/>
  <c r="G143" i="1"/>
  <c r="F143" i="1"/>
  <c r="E143" i="1"/>
  <c r="D143" i="1"/>
  <c r="C143" i="1"/>
  <c r="B143" i="1"/>
  <c r="A143" i="1"/>
  <c r="S142" i="1"/>
  <c r="O142" i="1"/>
  <c r="K142" i="1"/>
  <c r="J142" i="1"/>
  <c r="I142" i="1"/>
  <c r="H142" i="1"/>
  <c r="G142" i="1"/>
  <c r="F142" i="1"/>
  <c r="E142" i="1"/>
  <c r="D142" i="1"/>
  <c r="C142" i="1"/>
  <c r="B142" i="1"/>
  <c r="A142" i="1"/>
  <c r="R141" i="1"/>
  <c r="J141" i="1"/>
  <c r="I141" i="1"/>
  <c r="G141" i="1"/>
  <c r="F141" i="1"/>
  <c r="E141" i="1"/>
  <c r="D141" i="1"/>
  <c r="C141" i="1"/>
  <c r="B141" i="1"/>
  <c r="A141" i="1"/>
  <c r="S140" i="1"/>
  <c r="O140" i="1"/>
  <c r="K140" i="1"/>
  <c r="J140" i="1"/>
  <c r="I140" i="1"/>
  <c r="H140" i="1"/>
  <c r="G140" i="1"/>
  <c r="F140" i="1"/>
  <c r="E140" i="1"/>
  <c r="D140" i="1"/>
  <c r="C140" i="1"/>
  <c r="B140" i="1"/>
  <c r="A140" i="1"/>
  <c r="R139" i="1"/>
  <c r="J139" i="1"/>
  <c r="I139" i="1"/>
  <c r="G139" i="1"/>
  <c r="F139" i="1"/>
  <c r="E139" i="1"/>
  <c r="D139" i="1"/>
  <c r="C139" i="1"/>
  <c r="B139" i="1"/>
  <c r="A139" i="1"/>
  <c r="S138" i="1"/>
  <c r="O138" i="1"/>
  <c r="K138" i="1"/>
  <c r="J138" i="1"/>
  <c r="I138" i="1"/>
  <c r="H138" i="1"/>
  <c r="G138" i="1"/>
  <c r="F138" i="1"/>
  <c r="E138" i="1"/>
  <c r="D138" i="1"/>
  <c r="C138" i="1"/>
  <c r="B138" i="1"/>
  <c r="A138" i="1"/>
  <c r="R137" i="1"/>
  <c r="J137" i="1"/>
  <c r="I137" i="1"/>
  <c r="G137" i="1"/>
  <c r="F137" i="1"/>
  <c r="E137" i="1"/>
  <c r="D137" i="1"/>
  <c r="C137" i="1"/>
  <c r="B137" i="1"/>
  <c r="A137" i="1"/>
  <c r="S136" i="1"/>
  <c r="O136" i="1"/>
  <c r="K136" i="1"/>
  <c r="J136" i="1"/>
  <c r="I136" i="1"/>
  <c r="H136" i="1"/>
  <c r="G136" i="1"/>
  <c r="F136" i="1"/>
  <c r="E136" i="1"/>
  <c r="D136" i="1"/>
  <c r="C136" i="1"/>
  <c r="B136" i="1"/>
  <c r="A136" i="1"/>
  <c r="R135" i="1"/>
  <c r="J135" i="1"/>
  <c r="I135" i="1"/>
  <c r="G135" i="1"/>
  <c r="F135" i="1"/>
  <c r="E135" i="1"/>
  <c r="D135" i="1"/>
  <c r="C135" i="1"/>
  <c r="B135" i="1"/>
  <c r="A135" i="1"/>
  <c r="S134" i="1"/>
  <c r="O134" i="1"/>
  <c r="K134" i="1"/>
  <c r="J134" i="1"/>
  <c r="I134" i="1"/>
  <c r="H134" i="1"/>
  <c r="G134" i="1"/>
  <c r="F134" i="1"/>
  <c r="E134" i="1"/>
  <c r="D134" i="1"/>
  <c r="C134" i="1"/>
  <c r="B134" i="1"/>
  <c r="A134" i="1"/>
  <c r="R133" i="1"/>
  <c r="J133" i="1"/>
  <c r="I133" i="1"/>
  <c r="G133" i="1"/>
  <c r="F133" i="1"/>
  <c r="E133" i="1"/>
  <c r="D133" i="1"/>
  <c r="C133" i="1"/>
  <c r="B133" i="1"/>
  <c r="A133" i="1"/>
  <c r="R132" i="1"/>
  <c r="J132" i="1"/>
  <c r="I132" i="1"/>
  <c r="G132" i="1"/>
  <c r="F132" i="1"/>
  <c r="E132" i="1"/>
  <c r="D132" i="1"/>
  <c r="C132" i="1"/>
  <c r="B132" i="1"/>
  <c r="A132" i="1"/>
  <c r="S131" i="1"/>
  <c r="O131" i="1"/>
  <c r="K131" i="1"/>
  <c r="J131" i="1"/>
  <c r="I131" i="1"/>
  <c r="H131" i="1"/>
  <c r="G131" i="1"/>
  <c r="F131" i="1"/>
  <c r="E131" i="1"/>
  <c r="D131" i="1"/>
  <c r="C131" i="1"/>
  <c r="B131" i="1"/>
  <c r="A131" i="1"/>
  <c r="R130" i="1"/>
  <c r="J130" i="1"/>
  <c r="I130" i="1"/>
  <c r="G130" i="1"/>
  <c r="F130" i="1"/>
  <c r="E130" i="1"/>
  <c r="D130" i="1"/>
  <c r="C130" i="1"/>
  <c r="B130" i="1"/>
  <c r="A130" i="1"/>
  <c r="S129" i="1"/>
  <c r="O129" i="1"/>
  <c r="K129" i="1"/>
  <c r="J129" i="1"/>
  <c r="I129" i="1"/>
  <c r="H129" i="1"/>
  <c r="G129" i="1"/>
  <c r="F129" i="1"/>
  <c r="E129" i="1"/>
  <c r="D129" i="1"/>
  <c r="C129" i="1"/>
  <c r="B129" i="1"/>
  <c r="A129" i="1"/>
  <c r="R128" i="1"/>
  <c r="J128" i="1"/>
  <c r="I128" i="1"/>
  <c r="G128" i="1"/>
  <c r="F128" i="1"/>
  <c r="E128" i="1"/>
  <c r="D128" i="1"/>
  <c r="C128" i="1"/>
  <c r="B128" i="1"/>
  <c r="A128" i="1"/>
  <c r="S127" i="1"/>
  <c r="O127" i="1"/>
  <c r="K127" i="1"/>
  <c r="J127" i="1"/>
  <c r="I127" i="1"/>
  <c r="H127" i="1"/>
  <c r="G127" i="1"/>
  <c r="F127" i="1"/>
  <c r="E127" i="1"/>
  <c r="D127" i="1"/>
  <c r="C127" i="1"/>
  <c r="B127" i="1"/>
  <c r="A127" i="1"/>
  <c r="R126" i="1"/>
  <c r="J126" i="1"/>
  <c r="I126" i="1"/>
  <c r="G126" i="1"/>
  <c r="F126" i="1"/>
  <c r="E126" i="1"/>
  <c r="D126" i="1"/>
  <c r="C126" i="1"/>
  <c r="B126" i="1"/>
  <c r="A126" i="1"/>
  <c r="S125" i="1"/>
  <c r="O125" i="1"/>
  <c r="K125" i="1"/>
  <c r="J125" i="1"/>
  <c r="I125" i="1"/>
  <c r="H125" i="1"/>
  <c r="G125" i="1"/>
  <c r="F125" i="1"/>
  <c r="E125" i="1"/>
  <c r="D125" i="1"/>
  <c r="C125" i="1"/>
  <c r="B125" i="1"/>
  <c r="A125" i="1"/>
  <c r="R124" i="1"/>
  <c r="J124" i="1"/>
  <c r="I124" i="1"/>
  <c r="G124" i="1"/>
  <c r="F124" i="1"/>
  <c r="E124" i="1"/>
  <c r="D124" i="1"/>
  <c r="C124" i="1"/>
  <c r="B124" i="1"/>
  <c r="A124" i="1"/>
  <c r="R123" i="1"/>
  <c r="J123" i="1"/>
  <c r="I123" i="1"/>
  <c r="G123" i="1"/>
  <c r="F123" i="1"/>
  <c r="E123" i="1"/>
  <c r="D123" i="1"/>
  <c r="C123" i="1"/>
  <c r="B123" i="1"/>
  <c r="A123" i="1"/>
  <c r="R122" i="1"/>
  <c r="J122" i="1"/>
  <c r="I122" i="1"/>
  <c r="G122" i="1"/>
  <c r="F122" i="1"/>
  <c r="E122" i="1"/>
  <c r="D122" i="1"/>
  <c r="C122" i="1"/>
  <c r="B122" i="1"/>
  <c r="A122" i="1"/>
  <c r="R121" i="1"/>
  <c r="J121" i="1"/>
  <c r="I121" i="1"/>
  <c r="G121" i="1"/>
  <c r="F121" i="1"/>
  <c r="E121" i="1"/>
  <c r="D121" i="1"/>
  <c r="C121" i="1"/>
  <c r="B121" i="1"/>
  <c r="A121" i="1"/>
  <c r="R120" i="1"/>
  <c r="J120" i="1"/>
  <c r="I120" i="1"/>
  <c r="G120" i="1"/>
  <c r="F120" i="1"/>
  <c r="E120" i="1"/>
  <c r="D120" i="1"/>
  <c r="C120" i="1"/>
  <c r="B120" i="1"/>
  <c r="A120" i="1"/>
  <c r="R119" i="1"/>
  <c r="J119" i="1"/>
  <c r="I119" i="1"/>
  <c r="G119" i="1"/>
  <c r="F119" i="1"/>
  <c r="E119" i="1"/>
  <c r="D119" i="1"/>
  <c r="C119" i="1"/>
  <c r="B119" i="1"/>
  <c r="A119" i="1"/>
  <c r="R118" i="1"/>
  <c r="J118" i="1"/>
  <c r="I118" i="1"/>
  <c r="G118" i="1"/>
  <c r="F118" i="1"/>
  <c r="E118" i="1"/>
  <c r="D118" i="1"/>
  <c r="C118" i="1"/>
  <c r="B118" i="1"/>
  <c r="A118" i="1"/>
  <c r="R117" i="1"/>
  <c r="J117" i="1"/>
  <c r="I117" i="1"/>
  <c r="G117" i="1"/>
  <c r="F117" i="1"/>
  <c r="E117" i="1"/>
  <c r="D117" i="1"/>
  <c r="C117" i="1"/>
  <c r="B117" i="1"/>
  <c r="A117" i="1"/>
  <c r="R116" i="1"/>
  <c r="J116" i="1"/>
  <c r="I116" i="1"/>
  <c r="G116" i="1"/>
  <c r="F116" i="1"/>
  <c r="E116" i="1"/>
  <c r="D116" i="1"/>
  <c r="C116" i="1"/>
  <c r="B116" i="1"/>
  <c r="A116" i="1"/>
  <c r="R115" i="1"/>
  <c r="J115" i="1"/>
  <c r="I115" i="1"/>
  <c r="G115" i="1"/>
  <c r="F115" i="1"/>
  <c r="E115" i="1"/>
  <c r="D115" i="1"/>
  <c r="C115" i="1"/>
  <c r="B115" i="1"/>
  <c r="A115" i="1"/>
  <c r="S114" i="1"/>
  <c r="O114" i="1"/>
  <c r="K114" i="1"/>
  <c r="J114" i="1"/>
  <c r="I114" i="1"/>
  <c r="H114" i="1"/>
  <c r="G114" i="1"/>
  <c r="F114" i="1"/>
  <c r="E114" i="1"/>
  <c r="D114" i="1"/>
  <c r="C114" i="1"/>
  <c r="B114" i="1"/>
  <c r="A114" i="1"/>
  <c r="R113" i="1"/>
  <c r="J113" i="1"/>
  <c r="I113" i="1"/>
  <c r="G113" i="1"/>
  <c r="F113" i="1"/>
  <c r="E113" i="1"/>
  <c r="D113" i="1"/>
  <c r="C113" i="1"/>
  <c r="B113" i="1"/>
  <c r="A113" i="1"/>
  <c r="S112" i="1"/>
  <c r="O112" i="1"/>
  <c r="K112" i="1"/>
  <c r="J112" i="1"/>
  <c r="I112" i="1"/>
  <c r="H112" i="1"/>
  <c r="G112" i="1"/>
  <c r="F112" i="1"/>
  <c r="E112" i="1"/>
  <c r="D112" i="1"/>
  <c r="C112" i="1"/>
  <c r="B112" i="1"/>
  <c r="A112" i="1"/>
  <c r="R111" i="1"/>
  <c r="J111" i="1"/>
  <c r="I111" i="1"/>
  <c r="G111" i="1"/>
  <c r="F111" i="1"/>
  <c r="E111" i="1"/>
  <c r="D111" i="1"/>
  <c r="C111" i="1"/>
  <c r="B111" i="1"/>
  <c r="A111" i="1"/>
  <c r="R110" i="1"/>
  <c r="J110" i="1"/>
  <c r="I110" i="1"/>
  <c r="G110" i="1"/>
  <c r="F110" i="1"/>
  <c r="E110" i="1"/>
  <c r="D110" i="1"/>
  <c r="C110" i="1"/>
  <c r="B110" i="1"/>
  <c r="A110" i="1"/>
  <c r="S109" i="1"/>
  <c r="O109" i="1"/>
  <c r="K109" i="1"/>
  <c r="J109" i="1"/>
  <c r="I109" i="1"/>
  <c r="H109" i="1"/>
  <c r="G109" i="1"/>
  <c r="F109" i="1"/>
  <c r="E109" i="1"/>
  <c r="D109" i="1"/>
  <c r="C109" i="1"/>
  <c r="B109" i="1"/>
  <c r="A109" i="1"/>
  <c r="R108" i="1"/>
  <c r="J108" i="1"/>
  <c r="I108" i="1"/>
  <c r="G108" i="1"/>
  <c r="F108" i="1"/>
  <c r="E108" i="1"/>
  <c r="D108" i="1"/>
  <c r="C108" i="1"/>
  <c r="B108" i="1"/>
  <c r="A108" i="1"/>
  <c r="R107" i="1"/>
  <c r="J107" i="1"/>
  <c r="I107" i="1"/>
  <c r="G107" i="1"/>
  <c r="F107" i="1"/>
  <c r="E107" i="1"/>
  <c r="D107" i="1"/>
  <c r="C107" i="1"/>
  <c r="B107" i="1"/>
  <c r="A107" i="1"/>
  <c r="S106" i="1"/>
  <c r="O106" i="1"/>
  <c r="K106" i="1"/>
  <c r="J106" i="1"/>
  <c r="I106" i="1"/>
  <c r="H106" i="1"/>
  <c r="G106" i="1"/>
  <c r="F106" i="1"/>
  <c r="E106" i="1"/>
  <c r="D106" i="1"/>
  <c r="C106" i="1"/>
  <c r="B106" i="1"/>
  <c r="A106" i="1"/>
  <c r="R105" i="1"/>
  <c r="J105" i="1"/>
  <c r="I105" i="1"/>
  <c r="G105" i="1"/>
  <c r="F105" i="1"/>
  <c r="E105" i="1"/>
  <c r="D105" i="1"/>
  <c r="C105" i="1"/>
  <c r="B105" i="1"/>
  <c r="A105" i="1"/>
  <c r="S104" i="1"/>
  <c r="O104" i="1"/>
  <c r="K104" i="1"/>
  <c r="J104" i="1"/>
  <c r="I104" i="1"/>
  <c r="H104" i="1"/>
  <c r="G104" i="1"/>
  <c r="F104" i="1"/>
  <c r="E104" i="1"/>
  <c r="D104" i="1"/>
  <c r="C104" i="1"/>
  <c r="B104" i="1"/>
  <c r="A104" i="1"/>
  <c r="R103" i="1"/>
  <c r="J103" i="1"/>
  <c r="I103" i="1"/>
  <c r="G103" i="1"/>
  <c r="F103" i="1"/>
  <c r="E103" i="1"/>
  <c r="D103" i="1"/>
  <c r="C103" i="1"/>
  <c r="B103" i="1"/>
  <c r="A103" i="1"/>
  <c r="R102" i="1"/>
  <c r="J102" i="1"/>
  <c r="I102" i="1"/>
  <c r="G102" i="1"/>
  <c r="F102" i="1"/>
  <c r="E102" i="1"/>
  <c r="D102" i="1"/>
  <c r="C102" i="1"/>
  <c r="B102" i="1"/>
  <c r="A102" i="1"/>
  <c r="S101" i="1"/>
  <c r="O101" i="1"/>
  <c r="K101" i="1"/>
  <c r="J101" i="1"/>
  <c r="I101" i="1"/>
  <c r="H101" i="1"/>
  <c r="G101" i="1"/>
  <c r="F101" i="1"/>
  <c r="E101" i="1"/>
  <c r="D101" i="1"/>
  <c r="C101" i="1"/>
  <c r="B101" i="1"/>
  <c r="A101" i="1"/>
  <c r="R100" i="1"/>
  <c r="J100" i="1"/>
  <c r="I100" i="1"/>
  <c r="G100" i="1"/>
  <c r="F100" i="1"/>
  <c r="E100" i="1"/>
  <c r="D100" i="1"/>
  <c r="C100" i="1"/>
  <c r="B100" i="1"/>
  <c r="A100" i="1"/>
  <c r="R99" i="1"/>
  <c r="J99" i="1"/>
  <c r="I99" i="1"/>
  <c r="G99" i="1"/>
  <c r="F99" i="1"/>
  <c r="E99" i="1"/>
  <c r="D99" i="1"/>
  <c r="C99" i="1"/>
  <c r="B99" i="1"/>
  <c r="A99" i="1"/>
  <c r="S98" i="1"/>
  <c r="O98" i="1"/>
  <c r="K98" i="1"/>
  <c r="J98" i="1"/>
  <c r="I98" i="1"/>
  <c r="H98" i="1"/>
  <c r="G98" i="1"/>
  <c r="F98" i="1"/>
  <c r="E98" i="1"/>
  <c r="D98" i="1"/>
  <c r="C98" i="1"/>
  <c r="B98" i="1"/>
  <c r="A98" i="1"/>
  <c r="R97" i="1"/>
  <c r="J97" i="1"/>
  <c r="I97" i="1"/>
  <c r="G97" i="1"/>
  <c r="F97" i="1"/>
  <c r="E97" i="1"/>
  <c r="D97" i="1"/>
  <c r="C97" i="1"/>
  <c r="B97" i="1"/>
  <c r="A97" i="1"/>
  <c r="R96" i="1"/>
  <c r="J96" i="1"/>
  <c r="I96" i="1"/>
  <c r="G96" i="1"/>
  <c r="F96" i="1"/>
  <c r="E96" i="1"/>
  <c r="D96" i="1"/>
  <c r="C96" i="1"/>
  <c r="B96" i="1"/>
  <c r="A96" i="1"/>
  <c r="R95" i="1"/>
  <c r="J95" i="1"/>
  <c r="I95" i="1"/>
  <c r="G95" i="1"/>
  <c r="F95" i="1"/>
  <c r="E95" i="1"/>
  <c r="D95" i="1"/>
  <c r="C95" i="1"/>
  <c r="B95" i="1"/>
  <c r="A95" i="1"/>
  <c r="S94" i="1"/>
  <c r="O94" i="1"/>
  <c r="K94" i="1"/>
  <c r="J94" i="1"/>
  <c r="I94" i="1"/>
  <c r="H94" i="1"/>
  <c r="G94" i="1"/>
  <c r="F94" i="1"/>
  <c r="E94" i="1"/>
  <c r="D94" i="1"/>
  <c r="C94" i="1"/>
  <c r="B94" i="1"/>
  <c r="A94" i="1"/>
  <c r="R93" i="1"/>
  <c r="J93" i="1"/>
  <c r="I93" i="1"/>
  <c r="G93" i="1"/>
  <c r="F93" i="1"/>
  <c r="E93" i="1"/>
  <c r="D93" i="1"/>
  <c r="C93" i="1"/>
  <c r="B93" i="1"/>
  <c r="A93" i="1"/>
  <c r="R92" i="1"/>
  <c r="J92" i="1"/>
  <c r="I92" i="1"/>
  <c r="G92" i="1"/>
  <c r="F92" i="1"/>
  <c r="E92" i="1"/>
  <c r="D92" i="1"/>
  <c r="C92" i="1"/>
  <c r="B92" i="1"/>
  <c r="A92" i="1"/>
  <c r="R91" i="1"/>
  <c r="J91" i="1"/>
  <c r="I91" i="1"/>
  <c r="G91" i="1"/>
  <c r="F91" i="1"/>
  <c r="E91" i="1"/>
  <c r="D91" i="1"/>
  <c r="C91" i="1"/>
  <c r="B91" i="1"/>
  <c r="A91" i="1"/>
  <c r="R90" i="1"/>
  <c r="J90" i="1"/>
  <c r="I90" i="1"/>
  <c r="G90" i="1"/>
  <c r="F90" i="1"/>
  <c r="E90" i="1"/>
  <c r="D90" i="1"/>
  <c r="C90" i="1"/>
  <c r="B90" i="1"/>
  <c r="A90" i="1"/>
  <c r="S89" i="1"/>
  <c r="O89" i="1"/>
  <c r="K89" i="1"/>
  <c r="J89" i="1"/>
  <c r="I89" i="1"/>
  <c r="H89" i="1"/>
  <c r="G89" i="1"/>
  <c r="F89" i="1"/>
  <c r="E89" i="1"/>
  <c r="D89" i="1"/>
  <c r="C89" i="1"/>
  <c r="B89" i="1"/>
  <c r="A89" i="1"/>
  <c r="R88" i="1"/>
  <c r="J88" i="1"/>
  <c r="I88" i="1"/>
  <c r="G88" i="1"/>
  <c r="F88" i="1"/>
  <c r="E88" i="1"/>
  <c r="D88" i="1"/>
  <c r="C88" i="1"/>
  <c r="B88" i="1"/>
  <c r="A88" i="1"/>
  <c r="R87" i="1"/>
  <c r="J87" i="1"/>
  <c r="I87" i="1"/>
  <c r="G87" i="1"/>
  <c r="F87" i="1"/>
  <c r="E87" i="1"/>
  <c r="D87" i="1"/>
  <c r="C87" i="1"/>
  <c r="B87" i="1"/>
  <c r="A87" i="1"/>
  <c r="R86" i="1"/>
  <c r="J86" i="1"/>
  <c r="I86" i="1"/>
  <c r="G86" i="1"/>
  <c r="F86" i="1"/>
  <c r="E86" i="1"/>
  <c r="D86" i="1"/>
  <c r="C86" i="1"/>
  <c r="B86" i="1"/>
  <c r="A86" i="1"/>
  <c r="S85" i="1"/>
  <c r="O85" i="1"/>
  <c r="K85" i="1"/>
  <c r="J85" i="1"/>
  <c r="I85" i="1"/>
  <c r="H85" i="1"/>
  <c r="G85" i="1"/>
  <c r="F85" i="1"/>
  <c r="E85" i="1"/>
  <c r="D85" i="1"/>
  <c r="C85" i="1"/>
  <c r="B85" i="1"/>
  <c r="A85" i="1"/>
  <c r="R84" i="1"/>
  <c r="J84" i="1"/>
  <c r="I84" i="1"/>
  <c r="G84" i="1"/>
  <c r="F84" i="1"/>
  <c r="E84" i="1"/>
  <c r="D84" i="1"/>
  <c r="C84" i="1"/>
  <c r="B84" i="1"/>
  <c r="A84" i="1"/>
  <c r="S83" i="1"/>
  <c r="O83" i="1"/>
  <c r="K83" i="1"/>
  <c r="J83" i="1"/>
  <c r="I83" i="1"/>
  <c r="H83" i="1"/>
  <c r="G83" i="1"/>
  <c r="F83" i="1"/>
  <c r="E83" i="1"/>
  <c r="D83" i="1"/>
  <c r="C83" i="1"/>
  <c r="B83" i="1"/>
  <c r="A83" i="1"/>
  <c r="R82" i="1"/>
  <c r="J82" i="1"/>
  <c r="I82" i="1"/>
  <c r="G82" i="1"/>
  <c r="F82" i="1"/>
  <c r="E82" i="1"/>
  <c r="D82" i="1"/>
  <c r="C82" i="1"/>
  <c r="B82" i="1"/>
  <c r="A82" i="1"/>
  <c r="R81" i="1"/>
  <c r="J81" i="1"/>
  <c r="I81" i="1"/>
  <c r="G81" i="1"/>
  <c r="F81" i="1"/>
  <c r="E81" i="1"/>
  <c r="D81" i="1"/>
  <c r="C81" i="1"/>
  <c r="B81" i="1"/>
  <c r="A81" i="1"/>
  <c r="R80" i="1"/>
  <c r="J80" i="1"/>
  <c r="I80" i="1"/>
  <c r="G80" i="1"/>
  <c r="F80" i="1"/>
  <c r="E80" i="1"/>
  <c r="D80" i="1"/>
  <c r="C80" i="1"/>
  <c r="B80" i="1"/>
  <c r="A80" i="1"/>
  <c r="R79" i="1"/>
  <c r="J79" i="1"/>
  <c r="I79" i="1"/>
  <c r="G79" i="1"/>
  <c r="F79" i="1"/>
  <c r="E79" i="1"/>
  <c r="D79" i="1"/>
  <c r="C79" i="1"/>
  <c r="B79" i="1"/>
  <c r="A79" i="1"/>
  <c r="S78" i="1"/>
  <c r="O78" i="1"/>
  <c r="K78" i="1"/>
  <c r="J78" i="1"/>
  <c r="I78" i="1"/>
  <c r="H78" i="1"/>
  <c r="G78" i="1"/>
  <c r="F78" i="1"/>
  <c r="E78" i="1"/>
  <c r="D78" i="1"/>
  <c r="C78" i="1"/>
  <c r="B78" i="1"/>
  <c r="A78" i="1"/>
  <c r="R77" i="1"/>
  <c r="J77" i="1"/>
  <c r="I77" i="1"/>
  <c r="G77" i="1"/>
  <c r="F77" i="1"/>
  <c r="E77" i="1"/>
  <c r="D77" i="1"/>
  <c r="C77" i="1"/>
  <c r="B77" i="1"/>
  <c r="A77" i="1"/>
  <c r="S76" i="1"/>
  <c r="O76" i="1"/>
  <c r="K76" i="1"/>
  <c r="J76" i="1"/>
  <c r="I76" i="1"/>
  <c r="H76" i="1"/>
  <c r="G76" i="1"/>
  <c r="F76" i="1"/>
  <c r="E76" i="1"/>
  <c r="D76" i="1"/>
  <c r="C76" i="1"/>
  <c r="B76" i="1"/>
  <c r="A76" i="1"/>
  <c r="R75" i="1"/>
  <c r="J75" i="1"/>
  <c r="I75" i="1"/>
  <c r="G75" i="1"/>
  <c r="F75" i="1"/>
  <c r="E75" i="1"/>
  <c r="D75" i="1"/>
  <c r="C75" i="1"/>
  <c r="B75" i="1"/>
  <c r="A75" i="1"/>
  <c r="R74" i="1"/>
  <c r="J74" i="1"/>
  <c r="I74" i="1"/>
  <c r="G74" i="1"/>
  <c r="F74" i="1"/>
  <c r="E74" i="1"/>
  <c r="D74" i="1"/>
  <c r="C74" i="1"/>
  <c r="B74" i="1"/>
  <c r="A74" i="1"/>
  <c r="R73" i="1"/>
  <c r="J73" i="1"/>
  <c r="I73" i="1"/>
  <c r="G73" i="1"/>
  <c r="F73" i="1"/>
  <c r="E73" i="1"/>
  <c r="D73" i="1"/>
  <c r="C73" i="1"/>
  <c r="B73" i="1"/>
  <c r="A73" i="1"/>
  <c r="R72" i="1"/>
  <c r="J72" i="1"/>
  <c r="I72" i="1"/>
  <c r="G72" i="1"/>
  <c r="F72" i="1"/>
  <c r="E72" i="1"/>
  <c r="D72" i="1"/>
  <c r="C72" i="1"/>
  <c r="B72" i="1"/>
  <c r="A72" i="1"/>
  <c r="R71" i="1"/>
  <c r="J71" i="1"/>
  <c r="I71" i="1"/>
  <c r="G71" i="1"/>
  <c r="F71" i="1"/>
  <c r="E71" i="1"/>
  <c r="D71" i="1"/>
  <c r="C71" i="1"/>
  <c r="B71" i="1"/>
  <c r="A71" i="1"/>
  <c r="S70" i="1"/>
  <c r="O70" i="1"/>
  <c r="K70" i="1"/>
  <c r="J70" i="1"/>
  <c r="I70" i="1"/>
  <c r="H70" i="1"/>
  <c r="G70" i="1"/>
  <c r="F70" i="1"/>
  <c r="E70" i="1"/>
  <c r="D70" i="1"/>
  <c r="C70" i="1"/>
  <c r="B70" i="1"/>
  <c r="A70" i="1"/>
  <c r="R69" i="1"/>
  <c r="J69" i="1"/>
  <c r="I69" i="1"/>
  <c r="G69" i="1"/>
  <c r="F69" i="1"/>
  <c r="E69" i="1"/>
  <c r="D69" i="1"/>
  <c r="C69" i="1"/>
  <c r="B69" i="1"/>
  <c r="A69" i="1"/>
  <c r="R68" i="1"/>
  <c r="J68" i="1"/>
  <c r="I68" i="1"/>
  <c r="G68" i="1"/>
  <c r="F68" i="1"/>
  <c r="E68" i="1"/>
  <c r="D68" i="1"/>
  <c r="C68" i="1"/>
  <c r="B68" i="1"/>
  <c r="A68" i="1"/>
  <c r="R67" i="1"/>
  <c r="J67" i="1"/>
  <c r="I67" i="1"/>
  <c r="G67" i="1"/>
  <c r="F67" i="1"/>
  <c r="E67" i="1"/>
  <c r="D67" i="1"/>
  <c r="C67" i="1"/>
  <c r="B67" i="1"/>
  <c r="A67" i="1"/>
  <c r="R66" i="1"/>
  <c r="J66" i="1"/>
  <c r="I66" i="1"/>
  <c r="G66" i="1"/>
  <c r="F66" i="1"/>
  <c r="E66" i="1"/>
  <c r="D66" i="1"/>
  <c r="C66" i="1"/>
  <c r="B66" i="1"/>
  <c r="A66" i="1"/>
  <c r="S65" i="1"/>
  <c r="O65" i="1"/>
  <c r="K65" i="1"/>
  <c r="J65" i="1"/>
  <c r="I65" i="1"/>
  <c r="H65" i="1"/>
  <c r="G65" i="1"/>
  <c r="F65" i="1"/>
  <c r="E65" i="1"/>
  <c r="D65" i="1"/>
  <c r="C65" i="1"/>
  <c r="B65" i="1"/>
  <c r="A65" i="1"/>
  <c r="R64" i="1"/>
  <c r="J64" i="1"/>
  <c r="I64" i="1"/>
  <c r="G64" i="1"/>
  <c r="F64" i="1"/>
  <c r="E64" i="1"/>
  <c r="D64" i="1"/>
  <c r="C64" i="1"/>
  <c r="B64" i="1"/>
  <c r="A64" i="1"/>
  <c r="R63" i="1"/>
  <c r="J63" i="1"/>
  <c r="I63" i="1"/>
  <c r="G63" i="1"/>
  <c r="F63" i="1"/>
  <c r="E63" i="1"/>
  <c r="D63" i="1"/>
  <c r="C63" i="1"/>
  <c r="B63" i="1"/>
  <c r="A63" i="1"/>
  <c r="R62" i="1"/>
  <c r="J62" i="1"/>
  <c r="I62" i="1"/>
  <c r="G62" i="1"/>
  <c r="F62" i="1"/>
  <c r="E62" i="1"/>
  <c r="D62" i="1"/>
  <c r="C62" i="1"/>
  <c r="B62" i="1"/>
  <c r="A62" i="1"/>
  <c r="S61" i="1"/>
  <c r="O61" i="1"/>
  <c r="K61" i="1"/>
  <c r="J61" i="1"/>
  <c r="I61" i="1"/>
  <c r="H61" i="1"/>
  <c r="G61" i="1"/>
  <c r="F61" i="1"/>
  <c r="E61" i="1"/>
  <c r="D61" i="1"/>
  <c r="C61" i="1"/>
  <c r="B61" i="1"/>
  <c r="A61" i="1"/>
  <c r="R60" i="1"/>
  <c r="J60" i="1"/>
  <c r="I60" i="1"/>
  <c r="G60" i="1"/>
  <c r="F60" i="1"/>
  <c r="E60" i="1"/>
  <c r="D60" i="1"/>
  <c r="C60" i="1"/>
  <c r="B60" i="1"/>
  <c r="A60" i="1"/>
  <c r="R59" i="1"/>
  <c r="J59" i="1"/>
  <c r="I59" i="1"/>
  <c r="G59" i="1"/>
  <c r="F59" i="1"/>
  <c r="E59" i="1"/>
  <c r="D59" i="1"/>
  <c r="C59" i="1"/>
  <c r="B59" i="1"/>
  <c r="A59" i="1"/>
  <c r="S58" i="1"/>
  <c r="O58" i="1"/>
  <c r="K58" i="1"/>
  <c r="J58" i="1"/>
  <c r="I58" i="1"/>
  <c r="H58" i="1"/>
  <c r="G58" i="1"/>
  <c r="F58" i="1"/>
  <c r="E58" i="1"/>
  <c r="D58" i="1"/>
  <c r="C58" i="1"/>
  <c r="B58" i="1"/>
  <c r="A58" i="1"/>
  <c r="R57" i="1"/>
  <c r="J57" i="1"/>
  <c r="I57" i="1"/>
  <c r="G57" i="1"/>
  <c r="F57" i="1"/>
  <c r="E57" i="1"/>
  <c r="D57" i="1"/>
  <c r="C57" i="1"/>
  <c r="B57" i="1"/>
  <c r="A57" i="1"/>
  <c r="S56" i="1"/>
  <c r="O56" i="1"/>
  <c r="K56" i="1"/>
  <c r="J56" i="1"/>
  <c r="I56" i="1"/>
  <c r="H56" i="1"/>
  <c r="G56" i="1"/>
  <c r="F56" i="1"/>
  <c r="E56" i="1"/>
  <c r="D56" i="1"/>
  <c r="C56" i="1"/>
  <c r="B56" i="1"/>
  <c r="A56" i="1"/>
  <c r="R55" i="1"/>
  <c r="J55" i="1"/>
  <c r="I55" i="1"/>
  <c r="G55" i="1"/>
  <c r="F55" i="1"/>
  <c r="E55" i="1"/>
  <c r="D55" i="1"/>
  <c r="C55" i="1"/>
  <c r="B55" i="1"/>
  <c r="A55" i="1"/>
  <c r="S54" i="1"/>
  <c r="O54" i="1"/>
  <c r="K54" i="1"/>
  <c r="J54" i="1"/>
  <c r="I54" i="1"/>
  <c r="H54" i="1"/>
  <c r="G54" i="1"/>
  <c r="F54" i="1"/>
  <c r="E54" i="1"/>
  <c r="D54" i="1"/>
  <c r="C54" i="1"/>
  <c r="B54" i="1"/>
  <c r="A54" i="1"/>
  <c r="R53" i="1"/>
  <c r="J53" i="1"/>
  <c r="I53" i="1"/>
  <c r="G53" i="1"/>
  <c r="F53" i="1"/>
  <c r="E53" i="1"/>
  <c r="D53" i="1"/>
  <c r="C53" i="1"/>
  <c r="B53" i="1"/>
  <c r="A53" i="1"/>
  <c r="S52" i="1"/>
  <c r="O52" i="1"/>
  <c r="K52" i="1"/>
  <c r="J52" i="1"/>
  <c r="I52" i="1"/>
  <c r="H52" i="1"/>
  <c r="G52" i="1"/>
  <c r="F52" i="1"/>
  <c r="E52" i="1"/>
  <c r="D52" i="1"/>
  <c r="C52" i="1"/>
  <c r="B52" i="1"/>
  <c r="A52" i="1"/>
  <c r="R51" i="1"/>
  <c r="J51" i="1"/>
  <c r="I51" i="1"/>
  <c r="G51" i="1"/>
  <c r="F51" i="1"/>
  <c r="E51" i="1"/>
  <c r="D51" i="1"/>
  <c r="C51" i="1"/>
  <c r="B51" i="1"/>
  <c r="A51" i="1"/>
  <c r="S50" i="1"/>
  <c r="O50" i="1"/>
  <c r="K50" i="1"/>
  <c r="J50" i="1"/>
  <c r="I50" i="1"/>
  <c r="H50" i="1"/>
  <c r="G50" i="1"/>
  <c r="F50" i="1"/>
  <c r="E50" i="1"/>
  <c r="D50" i="1"/>
  <c r="C50" i="1"/>
  <c r="B50" i="1"/>
  <c r="A50" i="1"/>
  <c r="R49" i="1"/>
  <c r="J49" i="1"/>
  <c r="I49" i="1"/>
  <c r="G49" i="1"/>
  <c r="F49" i="1"/>
  <c r="E49" i="1"/>
  <c r="D49" i="1"/>
  <c r="C49" i="1"/>
  <c r="B49" i="1"/>
  <c r="A49" i="1"/>
  <c r="S48" i="1"/>
  <c r="O48" i="1"/>
  <c r="K48" i="1"/>
  <c r="J48" i="1"/>
  <c r="I48" i="1"/>
  <c r="H48" i="1"/>
  <c r="G48" i="1"/>
  <c r="F48" i="1"/>
  <c r="E48" i="1"/>
  <c r="D48" i="1"/>
  <c r="C48" i="1"/>
  <c r="B48" i="1"/>
  <c r="A48" i="1"/>
  <c r="R47" i="1"/>
  <c r="J47" i="1"/>
  <c r="I47" i="1"/>
  <c r="G47" i="1"/>
  <c r="F47" i="1"/>
  <c r="E47" i="1"/>
  <c r="D47" i="1"/>
  <c r="C47" i="1"/>
  <c r="B47" i="1"/>
  <c r="A47" i="1"/>
  <c r="S46" i="1"/>
  <c r="O46" i="1"/>
  <c r="K46" i="1"/>
  <c r="J46" i="1"/>
  <c r="I46" i="1"/>
  <c r="H46" i="1"/>
  <c r="G46" i="1"/>
  <c r="F46" i="1"/>
  <c r="E46" i="1"/>
  <c r="D46" i="1"/>
  <c r="C46" i="1"/>
  <c r="B46" i="1"/>
  <c r="A46" i="1"/>
  <c r="R45" i="1"/>
  <c r="J45" i="1"/>
  <c r="I45" i="1"/>
  <c r="G45" i="1"/>
  <c r="F45" i="1"/>
  <c r="E45" i="1"/>
  <c r="D45" i="1"/>
  <c r="C45" i="1"/>
  <c r="B45" i="1"/>
  <c r="A45" i="1"/>
  <c r="R44" i="1"/>
  <c r="J44" i="1"/>
  <c r="I44" i="1"/>
  <c r="G44" i="1"/>
  <c r="F44" i="1"/>
  <c r="E44" i="1"/>
  <c r="D44" i="1"/>
  <c r="C44" i="1"/>
  <c r="B44" i="1"/>
  <c r="A44" i="1"/>
  <c r="R43" i="1"/>
  <c r="J43" i="1"/>
  <c r="I43" i="1"/>
  <c r="G43" i="1"/>
  <c r="F43" i="1"/>
  <c r="E43" i="1"/>
  <c r="D43" i="1"/>
  <c r="C43" i="1"/>
  <c r="B43" i="1"/>
  <c r="A43" i="1"/>
  <c r="S42" i="1"/>
  <c r="O42" i="1"/>
  <c r="K42" i="1"/>
  <c r="J42" i="1"/>
  <c r="I42" i="1"/>
  <c r="H42" i="1"/>
  <c r="G42" i="1"/>
  <c r="F42" i="1"/>
  <c r="E42" i="1"/>
  <c r="D42" i="1"/>
  <c r="C42" i="1"/>
  <c r="B42" i="1"/>
  <c r="A42" i="1"/>
  <c r="R41" i="1"/>
  <c r="J41" i="1"/>
  <c r="I41" i="1"/>
  <c r="G41" i="1"/>
  <c r="F41" i="1"/>
  <c r="E41" i="1"/>
  <c r="D41" i="1"/>
  <c r="C41" i="1"/>
  <c r="B41" i="1"/>
  <c r="A41" i="1"/>
  <c r="S40" i="1"/>
  <c r="O40" i="1"/>
  <c r="K40" i="1"/>
  <c r="J40" i="1"/>
  <c r="I40" i="1"/>
  <c r="H40" i="1"/>
  <c r="G40" i="1"/>
  <c r="F40" i="1"/>
  <c r="E40" i="1"/>
  <c r="D40" i="1"/>
  <c r="C40" i="1"/>
  <c r="B40" i="1"/>
  <c r="A40" i="1"/>
  <c r="R39" i="1"/>
  <c r="J39" i="1"/>
  <c r="I39" i="1"/>
  <c r="G39" i="1"/>
  <c r="F39" i="1"/>
  <c r="E39" i="1"/>
  <c r="D39" i="1"/>
  <c r="C39" i="1"/>
  <c r="B39" i="1"/>
  <c r="A39" i="1"/>
  <c r="S38" i="1"/>
  <c r="O38" i="1"/>
  <c r="K38" i="1"/>
  <c r="J38" i="1"/>
  <c r="I38" i="1"/>
  <c r="H38" i="1"/>
  <c r="G38" i="1"/>
  <c r="F38" i="1"/>
  <c r="E38" i="1"/>
  <c r="D38" i="1"/>
  <c r="C38" i="1"/>
  <c r="B38" i="1"/>
  <c r="A38" i="1"/>
  <c r="R37" i="1"/>
  <c r="J37" i="1"/>
  <c r="I37" i="1"/>
  <c r="G37" i="1"/>
  <c r="F37" i="1"/>
  <c r="E37" i="1"/>
  <c r="D37" i="1"/>
  <c r="C37" i="1"/>
  <c r="B37" i="1"/>
  <c r="A37" i="1"/>
  <c r="S36" i="1"/>
  <c r="O36" i="1"/>
  <c r="K36" i="1"/>
  <c r="J36" i="1"/>
  <c r="I36" i="1"/>
  <c r="H36" i="1"/>
  <c r="G36" i="1"/>
  <c r="F36" i="1"/>
  <c r="E36" i="1"/>
  <c r="D36" i="1"/>
  <c r="C36" i="1"/>
  <c r="B36" i="1"/>
  <c r="A36" i="1"/>
  <c r="R35" i="1"/>
  <c r="J35" i="1"/>
  <c r="I35" i="1"/>
  <c r="G35" i="1"/>
  <c r="F35" i="1"/>
  <c r="E35" i="1"/>
  <c r="D35" i="1"/>
  <c r="C35" i="1"/>
  <c r="B35" i="1"/>
  <c r="A35" i="1"/>
  <c r="R34" i="1"/>
  <c r="J34" i="1"/>
  <c r="I34" i="1"/>
  <c r="G34" i="1"/>
  <c r="F34" i="1"/>
  <c r="E34" i="1"/>
  <c r="D34" i="1"/>
  <c r="C34" i="1"/>
  <c r="B34" i="1"/>
  <c r="A34" i="1"/>
  <c r="S33" i="1"/>
  <c r="O33" i="1"/>
  <c r="K33" i="1"/>
  <c r="J33" i="1"/>
  <c r="I33" i="1"/>
  <c r="H33" i="1"/>
  <c r="G33" i="1"/>
  <c r="F33" i="1"/>
  <c r="E33" i="1"/>
  <c r="D33" i="1"/>
  <c r="C33" i="1"/>
  <c r="B33" i="1"/>
  <c r="A33" i="1"/>
  <c r="R32" i="1"/>
  <c r="J32" i="1"/>
  <c r="I32" i="1"/>
  <c r="G32" i="1"/>
  <c r="F32" i="1"/>
  <c r="E32" i="1"/>
  <c r="D32" i="1"/>
  <c r="C32" i="1"/>
  <c r="B32" i="1"/>
  <c r="A32" i="1"/>
  <c r="S31" i="1"/>
  <c r="O31" i="1"/>
  <c r="K31" i="1"/>
  <c r="J31" i="1"/>
  <c r="I31" i="1"/>
  <c r="H31" i="1"/>
  <c r="G31" i="1"/>
  <c r="F31" i="1"/>
  <c r="E31" i="1"/>
  <c r="D31" i="1"/>
  <c r="C31" i="1"/>
  <c r="B31" i="1"/>
  <c r="A31" i="1"/>
  <c r="R30" i="1"/>
  <c r="J30" i="1"/>
  <c r="I30" i="1"/>
  <c r="G30" i="1"/>
  <c r="F30" i="1"/>
  <c r="E30" i="1"/>
  <c r="D30" i="1"/>
  <c r="C30" i="1"/>
  <c r="B30" i="1"/>
  <c r="A30" i="1"/>
  <c r="S29" i="1"/>
  <c r="O29" i="1"/>
  <c r="K29" i="1"/>
  <c r="J29" i="1"/>
  <c r="I29" i="1"/>
  <c r="H29" i="1"/>
  <c r="G29" i="1"/>
  <c r="F29" i="1"/>
  <c r="E29" i="1"/>
  <c r="D29" i="1"/>
  <c r="C29" i="1"/>
  <c r="B29" i="1"/>
  <c r="A29" i="1"/>
  <c r="R28" i="1"/>
  <c r="J28" i="1"/>
  <c r="I28" i="1"/>
  <c r="G28" i="1"/>
  <c r="F28" i="1"/>
  <c r="E28" i="1"/>
  <c r="D28" i="1"/>
  <c r="C28" i="1"/>
  <c r="B28" i="1"/>
  <c r="A28" i="1"/>
  <c r="S27" i="1"/>
  <c r="O27" i="1"/>
  <c r="K27" i="1"/>
  <c r="J27" i="1"/>
  <c r="I27" i="1"/>
  <c r="H27" i="1"/>
  <c r="G27" i="1"/>
  <c r="F27" i="1"/>
  <c r="E27" i="1"/>
  <c r="D27" i="1"/>
  <c r="C27" i="1"/>
  <c r="B27" i="1"/>
  <c r="A27" i="1"/>
  <c r="R26" i="1"/>
  <c r="J26" i="1"/>
  <c r="I26" i="1"/>
  <c r="G26" i="1"/>
  <c r="F26" i="1"/>
  <c r="E26" i="1"/>
  <c r="D26" i="1"/>
  <c r="C26" i="1"/>
  <c r="B26" i="1"/>
  <c r="A26" i="1"/>
  <c r="S25" i="1"/>
  <c r="O25" i="1"/>
  <c r="K25" i="1"/>
  <c r="J25" i="1"/>
  <c r="I25" i="1"/>
  <c r="H25" i="1"/>
  <c r="G25" i="1"/>
  <c r="F25" i="1"/>
  <c r="E25" i="1"/>
  <c r="D25" i="1"/>
  <c r="C25" i="1"/>
  <c r="B25" i="1"/>
  <c r="A25" i="1"/>
  <c r="S24" i="1"/>
  <c r="O24" i="1"/>
  <c r="K24" i="1"/>
  <c r="J24" i="1"/>
  <c r="I24" i="1"/>
  <c r="H24" i="1"/>
  <c r="G24" i="1"/>
  <c r="F24" i="1"/>
  <c r="E24" i="1"/>
  <c r="D24" i="1"/>
  <c r="C24" i="1"/>
  <c r="B24" i="1"/>
  <c r="A24" i="1"/>
  <c r="R23" i="1"/>
  <c r="J23" i="1"/>
  <c r="I23" i="1"/>
  <c r="G23" i="1"/>
  <c r="F23" i="1"/>
  <c r="E23" i="1"/>
  <c r="D23" i="1"/>
  <c r="C23" i="1"/>
  <c r="B23" i="1"/>
  <c r="A23" i="1"/>
  <c r="S22" i="1"/>
  <c r="O22" i="1"/>
  <c r="K22" i="1"/>
  <c r="J22" i="1"/>
  <c r="I22" i="1"/>
  <c r="H22" i="1"/>
  <c r="G22" i="1"/>
  <c r="F22" i="1"/>
  <c r="E22" i="1"/>
  <c r="D22" i="1"/>
  <c r="C22" i="1"/>
  <c r="B22" i="1"/>
  <c r="A22" i="1"/>
  <c r="R21" i="1"/>
  <c r="J21" i="1"/>
  <c r="I21" i="1"/>
  <c r="G21" i="1"/>
  <c r="F21" i="1"/>
  <c r="E21" i="1"/>
  <c r="D21" i="1"/>
  <c r="C21" i="1"/>
  <c r="B21" i="1"/>
  <c r="A21" i="1"/>
  <c r="S20" i="1"/>
  <c r="O20" i="1"/>
  <c r="K20" i="1"/>
  <c r="J20" i="1"/>
  <c r="I20" i="1"/>
  <c r="H20" i="1"/>
  <c r="G20" i="1"/>
  <c r="F20" i="1"/>
  <c r="E20" i="1"/>
  <c r="D20" i="1"/>
  <c r="C20" i="1"/>
  <c r="B20" i="1"/>
  <c r="A20" i="1"/>
  <c r="R19" i="1"/>
  <c r="J19" i="1"/>
  <c r="I19" i="1"/>
  <c r="G19" i="1"/>
  <c r="F19" i="1"/>
  <c r="E19" i="1"/>
  <c r="D19" i="1"/>
  <c r="C19" i="1"/>
  <c r="B19" i="1"/>
  <c r="A19" i="1"/>
  <c r="S18" i="1"/>
  <c r="O18" i="1"/>
  <c r="K18" i="1"/>
  <c r="J18" i="1"/>
  <c r="I18" i="1"/>
  <c r="H18" i="1"/>
  <c r="G18" i="1"/>
  <c r="F18" i="1"/>
  <c r="E18" i="1"/>
  <c r="D18" i="1"/>
  <c r="C18" i="1"/>
  <c r="B18" i="1"/>
  <c r="A18" i="1"/>
  <c r="R17" i="1"/>
  <c r="J17" i="1"/>
  <c r="I17" i="1"/>
  <c r="G17" i="1"/>
  <c r="F17" i="1"/>
  <c r="E17" i="1"/>
  <c r="D17" i="1"/>
  <c r="C17" i="1"/>
  <c r="B17" i="1"/>
  <c r="A17" i="1"/>
  <c r="S16" i="1"/>
  <c r="O16" i="1"/>
  <c r="K16" i="1"/>
  <c r="J16" i="1"/>
  <c r="I16" i="1"/>
  <c r="H16" i="1"/>
  <c r="G16" i="1"/>
  <c r="F16" i="1"/>
  <c r="E16" i="1"/>
  <c r="D16" i="1"/>
  <c r="C16" i="1"/>
  <c r="B16" i="1"/>
  <c r="A16" i="1"/>
  <c r="R15" i="1"/>
  <c r="J15" i="1"/>
  <c r="I15" i="1"/>
  <c r="G15" i="1"/>
  <c r="F15" i="1"/>
  <c r="E15" i="1"/>
  <c r="D15" i="1"/>
  <c r="C15" i="1"/>
  <c r="B15" i="1"/>
  <c r="A15" i="1"/>
  <c r="S14" i="1"/>
  <c r="O14" i="1"/>
  <c r="K14" i="1"/>
  <c r="J14" i="1"/>
  <c r="I14" i="1"/>
  <c r="H14" i="1"/>
  <c r="G14" i="1"/>
  <c r="F14" i="1"/>
  <c r="E14" i="1"/>
  <c r="D14" i="1"/>
  <c r="C14" i="1"/>
  <c r="B14" i="1"/>
  <c r="A14" i="1"/>
  <c r="R13" i="1"/>
  <c r="J13" i="1"/>
  <c r="I13" i="1"/>
  <c r="G13" i="1"/>
  <c r="F13" i="1"/>
  <c r="E13" i="1"/>
  <c r="D13" i="1"/>
  <c r="C13" i="1"/>
  <c r="B13" i="1"/>
  <c r="A13" i="1"/>
  <c r="S12" i="1"/>
  <c r="O12" i="1"/>
  <c r="K12" i="1"/>
  <c r="J12" i="1"/>
  <c r="I12" i="1"/>
  <c r="H12" i="1"/>
  <c r="G12" i="1"/>
  <c r="F12" i="1"/>
  <c r="E12" i="1"/>
  <c r="D12" i="1"/>
  <c r="C12" i="1"/>
  <c r="B12" i="1"/>
  <c r="A12" i="1"/>
  <c r="R11" i="1"/>
  <c r="J11" i="1"/>
  <c r="I11" i="1"/>
  <c r="G11" i="1"/>
  <c r="F11" i="1"/>
  <c r="E11" i="1"/>
  <c r="D11" i="1"/>
  <c r="C11" i="1"/>
  <c r="B11" i="1"/>
  <c r="A11" i="1"/>
  <c r="S10" i="1"/>
  <c r="O10" i="1"/>
  <c r="K10" i="1"/>
  <c r="J10" i="1"/>
  <c r="I10" i="1"/>
  <c r="H10" i="1"/>
  <c r="G10" i="1"/>
  <c r="F10" i="1"/>
  <c r="E10" i="1"/>
  <c r="D10" i="1"/>
  <c r="C10" i="1"/>
  <c r="B10" i="1"/>
  <c r="A10" i="1"/>
  <c r="R9" i="1"/>
  <c r="J9" i="1"/>
  <c r="I9" i="1"/>
  <c r="G9" i="1"/>
  <c r="F9" i="1"/>
  <c r="E9" i="1"/>
  <c r="D9" i="1"/>
  <c r="C9" i="1"/>
  <c r="B9" i="1"/>
  <c r="A9" i="1"/>
  <c r="S8" i="1"/>
  <c r="O8" i="1"/>
  <c r="K8" i="1"/>
  <c r="J8" i="1"/>
  <c r="I8" i="1"/>
  <c r="H8" i="1"/>
  <c r="G8" i="1"/>
  <c r="F8" i="1"/>
  <c r="E8" i="1"/>
  <c r="D8" i="1"/>
  <c r="C8" i="1"/>
  <c r="B8" i="1"/>
  <c r="A8" i="1"/>
  <c r="R7" i="1"/>
  <c r="J7" i="1"/>
  <c r="I7" i="1"/>
  <c r="G7" i="1"/>
  <c r="F7" i="1"/>
  <c r="E7" i="1"/>
  <c r="D7" i="1"/>
  <c r="C7" i="1"/>
  <c r="B7" i="1"/>
  <c r="A7" i="1"/>
  <c r="S6" i="1"/>
  <c r="O6" i="1"/>
  <c r="K6" i="1"/>
  <c r="J6" i="1"/>
  <c r="I6" i="1"/>
  <c r="H6" i="1"/>
  <c r="G6" i="1"/>
  <c r="F6" i="1"/>
  <c r="E6" i="1"/>
  <c r="D6" i="1"/>
  <c r="C6" i="1"/>
  <c r="B6" i="1"/>
  <c r="A6" i="1"/>
  <c r="R5" i="1"/>
  <c r="J5" i="1"/>
  <c r="I5" i="1"/>
  <c r="G5" i="1"/>
  <c r="F5" i="1"/>
  <c r="E5" i="1"/>
  <c r="D5" i="1"/>
  <c r="C5" i="1"/>
  <c r="B5" i="1"/>
  <c r="A5" i="1"/>
  <c r="S4" i="1"/>
  <c r="O4" i="1"/>
  <c r="K4" i="1"/>
  <c r="J4" i="1"/>
  <c r="I4" i="1"/>
  <c r="H4" i="1"/>
  <c r="G4" i="1"/>
  <c r="F4" i="1"/>
  <c r="E4" i="1"/>
  <c r="D4" i="1"/>
  <c r="C4" i="1"/>
  <c r="B4" i="1"/>
  <c r="A4" i="1"/>
  <c r="R3" i="1"/>
  <c r="J3" i="1"/>
  <c r="I3" i="1"/>
  <c r="G3" i="1"/>
  <c r="F3" i="1"/>
  <c r="E3" i="1"/>
  <c r="D3" i="1"/>
  <c r="C3" i="1"/>
  <c r="B3" i="1"/>
  <c r="A3" i="1"/>
  <c r="S2" i="1"/>
  <c r="O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<sst xmlns="http://schemas.openxmlformats.org/spreadsheetml/2006/main" count="14914" uniqueCount="1514">
  <si>
    <t>DATA MOVIMENTO</t>
  </si>
  <si>
    <t>ENTRADA/SAÍDA</t>
  </si>
  <si>
    <t>TIPO TÍTULO</t>
  </si>
  <si>
    <t>NÚMERO DOCTO</t>
  </si>
  <si>
    <t>PARC</t>
  </si>
  <si>
    <t>QUEM GEROU</t>
  </si>
  <si>
    <t>PARCEIROV (FARMÁCIA PAGADOR OU ENTREGADOR)</t>
  </si>
  <si>
    <t>REFERENTE</t>
  </si>
  <si>
    <t>VENCIMENTO</t>
  </si>
  <si>
    <t>EMISSÃO</t>
  </si>
  <si>
    <t>PAGAMENTO</t>
  </si>
  <si>
    <t>VALOR ORIGINAL</t>
  </si>
  <si>
    <t>VALOR PAGO / RECEBIDO</t>
  </si>
  <si>
    <t>CONTA</t>
  </si>
  <si>
    <t>PLANO DE CONTAS</t>
  </si>
  <si>
    <t>VALOR MOV.CONTA</t>
  </si>
  <si>
    <t>VALOR RATEADO PARA O PRESTADOR</t>
  </si>
  <si>
    <t>CENTRO DE CUSTO (FARMÁCIA PRESTADORA)</t>
  </si>
  <si>
    <t>BANCO / CAIXA</t>
  </si>
  <si>
    <t>REGISTRO MOVIMENTO</t>
  </si>
  <si>
    <t>REGISTRO COMPROMISSO</t>
  </si>
  <si>
    <t>BANCO</t>
  </si>
  <si>
    <t>CAIXA MOVIMENTAÇÃO OPERACIONAL (132)</t>
  </si>
  <si>
    <t xml:space="preserve">REEMBOLSO DE ADIANTAMENTO DE PAGAMENTO </t>
  </si>
  <si>
    <t>ENTRADA DE REEMBOLSO ADIANTAMENTO</t>
  </si>
  <si>
    <t>ENTRADA DE REEMBOLSO ADIANTAMENTO (129)</t>
  </si>
  <si>
    <t>Serv.Prest. 23/02/2026 a 01/03/2026 - PIX: CPF - CHAVE: 480.727.928-90</t>
  </si>
  <si>
    <t>PAGAMENTO DE ENTREGADORES</t>
  </si>
  <si>
    <t>Serv.Prest. 23/02/2026 a 01/03/2026 - PIX: CPF - CHAVE: 142.473.524-66</t>
  </si>
  <si>
    <t>Serv.Prest. 23/02/2026 a 01/03/2026 - PIX: CELULAR - CHAVE: (11) 96180-2717</t>
  </si>
  <si>
    <t>DIARIA DE MOTOBOY</t>
  </si>
  <si>
    <t>Serv.Prest. 23/02/2026 a 01/03/2026 - PIX: CELULAR - CHAVE: (19) 98944-4977</t>
  </si>
  <si>
    <t>REEMBOLSO ADIANTAMENTO</t>
  </si>
  <si>
    <t>BANCO CORA (102)</t>
  </si>
  <si>
    <t>PLANO FARMACIA PARA COOPERADOS</t>
  </si>
  <si>
    <t>PLANOS E SEGUROS</t>
  </si>
  <si>
    <t>Serv.Prest. DIÁRIA 01/03/2026 - PIX: CELULAR - CHAVE: (11) 97702-1316</t>
  </si>
  <si>
    <t>BANCO C6 (149)</t>
  </si>
  <si>
    <t>REEMBOLSO CHAT GPT</t>
  </si>
  <si>
    <t>SOFTWARE / LICENÇAS</t>
  </si>
  <si>
    <t>ADIANTAMENTO Serv.Prest. 23/02/2026 a 01/03/2026 - PIX: CNPJ - CHAVE: 64.557.825/0001-94</t>
  </si>
  <si>
    <t>CONTA DE TELEFONE COMERCIAL FLUX</t>
  </si>
  <si>
    <t>Serv.Prest. DIÁRIA 01/03/2026 - PIX: CPF - CHAVE: 497.247.788-19</t>
  </si>
  <si>
    <t>Serv.Prest. DIÁRIAS 26/02, 28/02 E 01/03/2026 - PIX: CELULAR - CHAVE: (19) 98985-7796</t>
  </si>
  <si>
    <t>Serv.Prest. ADIANTAMENTO 23/02/2026 a 01/03/2026 - PIX: CPF - CHAVE: 438.843.248-29</t>
  </si>
  <si>
    <t>Serv.Prest. 26/02/2026 a 01/03/2026 - PIX: CPF - CHAVE: 241.948.348-01</t>
  </si>
  <si>
    <t>Serv.Prest. DIÁRIAS 28/02, 01/03/2026 - PIX: CPF - CHAVE: 249.315.678-19</t>
  </si>
  <si>
    <t>Serv.Prest. DIARIA 01/03/2026 - PIX: CPF - CHAVE: 385.908.908-05</t>
  </si>
  <si>
    <t>Serv.Prest. DIARIAS 23/02, 24/02 E 25/02/2026 - PIX: CPF - CHAVE: 276.110.698-96</t>
  </si>
  <si>
    <t>Serv.Prest. DIARIA 27/02/2026  - PIX: CPF - CHAVE: 052.353.883-99</t>
  </si>
  <si>
    <t>Serv.Prest. DIARIA 01/03/2026 - PIX: CELULAR - CHAVE: (11) 94910-8689</t>
  </si>
  <si>
    <t>Serv.Prest. DIÁRIA 01/03/2026 - PIX: CELULAR - CHAVE: (11) 94848-0368</t>
  </si>
  <si>
    <t>Serv.Prest. DIÁRIA 23/02/2026  - PIX: CELULAR - CHAVE: (11) 99293-5521</t>
  </si>
  <si>
    <t>Serv.Prest. DIÁRIA 01/03/2026 - PIX: CELULAR - CHAVE: (11) 99239-3232</t>
  </si>
  <si>
    <t>Serv.Prest. DIÁRIA 01/03/2026 - PIX: CELULAR - CHAVE: (11) 99293-5521</t>
  </si>
  <si>
    <t>Serv.Prest. DIÁRIA 01/03/2026 - PIX: CPF - CHAVE: 499.340.868-40</t>
  </si>
  <si>
    <t>Serv.Prest. DIÁRIA 01/03/2026 - PIX: E-MAIL - CHAVE: ramalhogabriel155@gmail.com</t>
  </si>
  <si>
    <t>Serv.Prest. DIÁRIA 01/03/2026 - PIX: CPF - CHAVE: 423.685.688-32</t>
  </si>
  <si>
    <t>Serv.Prest. DIÁRIA 01/03/2026 - PIX: CPF - CHAVE: 302.919.358-69</t>
  </si>
  <si>
    <t>Serv.Prest. DIÁRIA 01/03/2026 - PIX: CELULAR - CHAVE: (11) 98484-6837</t>
  </si>
  <si>
    <t>Serv.Prest. DIÁRIA 01/03/2026 - PIX: CELULAR - CHAVE: (11) 95038-0621</t>
  </si>
  <si>
    <t>Serv.Prest. DIÁRIA 01/03/2026 - PIX: CELULAR - CHAVE: (11) 95054-2206</t>
  </si>
  <si>
    <t>Serv.Prest. DIÁRIA 27/0/2026 - PIX: CPF - CHAVE: 604.319.363-90</t>
  </si>
  <si>
    <t>Serv.Prest. DIÁRIA 01/03/2026 - PIX: CPF - CHAVE: 135.653.486-40</t>
  </si>
  <si>
    <t>Serv.Prest. DIÁRIA 01/03/2026 - PIX: CPF - CHAVE: 124.921.066-67</t>
  </si>
  <si>
    <t>Serv.Prest. DIÁRIA 01/03/2026 - PIX: CPF - CHAVE: 106.393.056-10</t>
  </si>
  <si>
    <t>Serv.Prest. DIÁRIA 01/03/2026 - PIX: CELULAR - CHAVE: (11) 98281-4526</t>
  </si>
  <si>
    <t>Serv.Prest. DIÁRIA 01/03/2026 - PIX: CPF - CHAVE: 396.877.618-65</t>
  </si>
  <si>
    <t>Serv.Prest. DIÁRIA 01/03/2026 - PIX: CELULAR - CHAVE: (11) 98776-2232</t>
  </si>
  <si>
    <t>Serv.Prest. 22/02/2026 E 01/03/2026 DIÁRIA - PIX: CPF - CHAVE: 866.153.356-20</t>
  </si>
  <si>
    <t>Serv.Prest. ADIANTAMENTO 23/02/2026 a 01/03/2026 - PIX: CPF - CHAVE: 396.124.108-28</t>
  </si>
  <si>
    <t>Serv.Prest. DIÁRIA 01/03/2026 - PIX: CELULAR - CHAVE: (73) 99982-9939</t>
  </si>
  <si>
    <t>Serv.Prest.DIÁRIA 28/02/2026 e 01/03/2026 - PIX: E-MAIL - CHAVE: geovanisilvasantos311@gmail.com</t>
  </si>
  <si>
    <t>Serv.Prest. ADIANTAMENTO 23/02/2026 a 01/03/2026 - PIX: CPF - CHAVE: 034.458.495-01</t>
  </si>
  <si>
    <t>Serv.Prest. ADIANTAMENTO 23/02/2026 a 01/03/2026 - PIX: CELULAR - CHAVE: (19) 98258-0687</t>
  </si>
  <si>
    <t>Serv.Prest. DIÁRIA 01/03/2026 - PIX: CPF - CHAVE: 768.859.176-72</t>
  </si>
  <si>
    <t>ADIANTAMENTO Serv.Prest. 16/02/2026 a 22/02/2026 - PIX: CNPJ - CHAVE: 64.557.825/0001-94</t>
  </si>
  <si>
    <t xml:space="preserve">VALE TRANSPORTE - MARÇO/26 - 23 DIAS </t>
  </si>
  <si>
    <t>VALE TRANSPORTE</t>
  </si>
  <si>
    <t>SERVIDOR SITE COOPERATIVA - coopmob.com.br - MARÇO/2026</t>
  </si>
  <si>
    <t>VALE TRANSPORTE - 13 DIAS (MARÇO/26)</t>
  </si>
  <si>
    <t>VALE TRANSPORTE - 20 DIAS (MARÇO/2026)</t>
  </si>
  <si>
    <t>VALE TRANSPORTE - 20 DIAS (MARÇO/26)</t>
  </si>
  <si>
    <t>VALE TRANSPORTE 20 DIAS (MARÇO/2026)</t>
  </si>
  <si>
    <t>Serv.Prest. DIARIA 23/02 e 24/02/2026 - PAGAR OTAVIO MENDES CHAVE PIX: (11) 97040-4497</t>
  </si>
  <si>
    <t>Serv.Prest. Serv.Prest. DIARIAS 26/02, 27/02 e 28/02/2026 - GUILHERME AMARAL CHAVE PIX: 442.268.128-16</t>
  </si>
  <si>
    <t>Serv.Prest. DIARIA 01/03/2026 - PIX: CELULAR - CHAVE: (32) 99841-7315</t>
  </si>
  <si>
    <t>Serv.Prest. DIARIA 01/03/2026 - PIX: E-MAIL - CHAVE: ericsilva8marcena@gmail.com</t>
  </si>
  <si>
    <t>Serv.Prest. DIARIAS 27/02, 28/02 E 01/03/2026 - PIX: CELULAR - CHAVE: (31) 99373-5678</t>
  </si>
  <si>
    <t>Serv.Prest. DIARIA 28/02 E 01/03/2026 - PIX: CELULAR - CHAVE: (31) 99607-6585</t>
  </si>
  <si>
    <t>Serv.Prest. DIARIA 01/03/2026 - PIX: CPF - CHAVE: 105.020.076-48</t>
  </si>
  <si>
    <t>Serv.Prest. DIARIA 01/03/2026 - PIX: CPF - CHAVE: 152.577.816-11</t>
  </si>
  <si>
    <t>Serv.Prest. DIARIA 01/03/2026 - PIX: CELULAR - CHAVE: (32) 98703-8039</t>
  </si>
  <si>
    <t>Serv.Prest. DIARIA 01/03/2026 - PIX: CELULAR - CHAVE: (32) 98889-7793</t>
  </si>
  <si>
    <t>Serv.Prest. DIARIA 01/03/2026 - PIX: CELULAR - CHAVE: (33) 99194-2339</t>
  </si>
  <si>
    <t>Serv.Prest. 16/02/2026 a 22/02/2026 - PIX: CNPJ - CHAVE: 35.986.676/0001-80</t>
  </si>
  <si>
    <t>Serv.Prest. 23/02/2026 a 01/03/2026 - PIX: CNPJ - CHAVE: 35.986.676/0001-80</t>
  </si>
  <si>
    <t>COTA COOPERATIVA</t>
  </si>
  <si>
    <t>ENTRADA DE CAPITAL</t>
  </si>
  <si>
    <t>ENTRADA DE CAPITAL (106)</t>
  </si>
  <si>
    <t>Serv.Prest. 01/02/2026 a 28/02/2026 - PIX: NÃO CADASTRADO - CHAVE: CEF AG 2986 CONTA 2292-5 POUPANÇA</t>
  </si>
  <si>
    <t>Serv.Prest. 16/02/2026 a 22/02/2026 - RPS: 2334 - NFSe: 406</t>
  </si>
  <si>
    <t>RECEITAS COM ENTREGAS</t>
  </si>
  <si>
    <t>RECEITAS COM ENTREGAS (303)</t>
  </si>
  <si>
    <t>Serv.Prest. 16/02/2026 a 22/02/2026 - RPS: 2335 - NFSe: 407</t>
  </si>
  <si>
    <t>Serv.Prest. 16/02/2026 a 22/02/2026 - RPS: 2336 - NFSe: 408</t>
  </si>
  <si>
    <t>Serv.Prest. DIARIA 24/02/2026 - PAGAR  GUILHERME DA SILVA CHAVE PIX:  11978728230</t>
  </si>
  <si>
    <t>Serv.Prest. DIARIAS 26/02, 27/02 e 28/02/2026 - PAGAR REINALDO JOLY CHAVE PIX: 14 982058697</t>
  </si>
  <si>
    <t>Serv.Prest. 23/02/2026 a 01/03/2026 - PIX: CPF - CHAVE: 121.297.376-33</t>
  </si>
  <si>
    <t xml:space="preserve">Serv.Prest. DIARIA 01/03/2026 - PIX: CPF - CHAVE: 530.612.488-70 </t>
  </si>
  <si>
    <t>BANCO SICREDI (143)</t>
  </si>
  <si>
    <t>Serv.Prest. 23/02/2026 a 01/03/2026 - RPS: 2343 - NFSe: 415</t>
  </si>
  <si>
    <t>REEMBOLSO DE ADIANTAMENTO Serv.Prest. 23/02/2026 a 01/03/2026 - PIX: CPF - CHAVE: 606.687.663-52</t>
  </si>
  <si>
    <t>Serv.Prest. 16/02/2026 a 22/02/2026 - RPS: 2290 - NFSe: 362</t>
  </si>
  <si>
    <t>Serv.Prest. 16/02/2026 a 22/02/2026 - RPS: 2291 - NFSe: 363</t>
  </si>
  <si>
    <t>Serv.Prest. 16/02/2026 a 22/02/2026 - RPS: 2292 - NFSe: 364</t>
  </si>
  <si>
    <t>Serv.Prest. 23/02/2026 a 01/03/2026 - RPS: 2368 - NFSe: 440</t>
  </si>
  <si>
    <t>Serv.Prest. 23/02/2026 a 01/03/2026 - RPS: 2344 - NFSe: 416</t>
  </si>
  <si>
    <t>Serv.Prest. 23/02/2026 a 01/03/2026 - RPS: 2345 - NFSe: 417</t>
  </si>
  <si>
    <t>Serv.Prest. 23/02/2026 a 01/03/2026 - RPS: 2346 - NFSe: 418</t>
  </si>
  <si>
    <t>Serv.Prest. 23/02/2026 a 01/03/2026 - RPS: 2348 - NFSe: 420</t>
  </si>
  <si>
    <t>Serv.Prest. 23/02/2026 a 01/03/2026 - RPS: 2349 - NFSe: 421</t>
  </si>
  <si>
    <t>Serv.Prest. 23/02/2026 a 01/03/2026 - RPS: 2350 - NFSe: 422</t>
  </si>
  <si>
    <t>Serv.Prest. 23/02/2026 a 01/03/2026 - RPS: 2351 - NFSe: 423</t>
  </si>
  <si>
    <t>Serv.Prest. 23/02/2026 a 01/03/2026 - RPS: 2352 - NFSe: 424</t>
  </si>
  <si>
    <t>Serv.Prest. 23/02/2026 a 01/03/2026 - RPS: 2357 - NFSe: 429</t>
  </si>
  <si>
    <t>Serv.Prest. 23/02/2026 a 01/03/2026 - RPS: 2358 - NFSe: 430</t>
  </si>
  <si>
    <t>Serv.Prest. 23/02/2026 a 01/03/2026 - RPS: 2359 - NFSe: 431</t>
  </si>
  <si>
    <t>Serv.Prest. 23/02/2026 a 01/03/2026 - RPS: 2360 - NFSe: 432</t>
  </si>
  <si>
    <t>Serv.Prest. 23/02/2026 a 01/03/2026 - RPS: 2361 - NFSe: 433</t>
  </si>
  <si>
    <t>Serv.Prest. 23/02/2026 a 01/03/2026 - RPS: 2362 - NFSe: 434</t>
  </si>
  <si>
    <t>Serv.Prest. 23/02/2026 a 01/03/2026 - RPS: 2363 - NFSe: 435</t>
  </si>
  <si>
    <t>Serv.Prest. 23/02/2026 a 01/03/2026 - RPS: 2364 - NFSe: 436</t>
  </si>
  <si>
    <t>Serv.Prest. 23/02/2026 a 01/03/2026 - RPS: 2369 - NFSe: 441</t>
  </si>
  <si>
    <t>Serv.Prest. 23/02/2026 a 01/03/2026 - RPS: 2370 - NFSe: 442</t>
  </si>
  <si>
    <t>Serv.Prest. 23/02/2026 a 01/03/2026 - RPS: 2371 - NFSe: 443</t>
  </si>
  <si>
    <t>Serv.Prest. 23/02/2026 a 01/03/2026 - RPS: 2372 - NFSe: 444</t>
  </si>
  <si>
    <t>Serv.Prest. 23/02/2026 a 01/03/2026 - RPS: 2373 - NFSe: 445</t>
  </si>
  <si>
    <t>Serv.Prest. 23/02/2026 a 01/03/2026 - RPS: 2374 - NFSe: 446</t>
  </si>
  <si>
    <t>Serv.Prest. 23/02/2026 a 01/03/2026 - RPS: 2375 - NFSe: 447</t>
  </si>
  <si>
    <t>Serv.Prest. 23/02/2026 a 01/03/2026 - RPS: 2376 - NFSe: 448</t>
  </si>
  <si>
    <t>Serv.Prest. 23/02/2026 a 01/03/2026 - RPS: 2377 - NFSe: 449</t>
  </si>
  <si>
    <t>Serv.Prest. 23/02/2026 a 01/03/2026 - RPS: 2378 - NFSe: 450</t>
  </si>
  <si>
    <t>Serv.Prest. 23/02/2026 a 01/03/2026 - RPS: 2379 - NFSe: 451</t>
  </si>
  <si>
    <t>Serv.Prest. 23/02/2026 a 01/03/2026 - RPS: 2380 - NFSe: 452</t>
  </si>
  <si>
    <t>Serv.Prest. 23/02/2026 a 01/03/2026 - RPS: 2381 - NFSe: 453</t>
  </si>
  <si>
    <t>Serv.Prest. 23/02/2026 a 01/03/2026 - RPS: 2382 - NFSe: 454</t>
  </si>
  <si>
    <t>Serv.Prest. 23/02/2026 a 01/03/2026 - RPS: 2383 - NFSe: 455</t>
  </si>
  <si>
    <t xml:space="preserve">PACOTE DE CERTIFICADO DIGITAL (2/4) </t>
  </si>
  <si>
    <t>Serv.Prest. 23/02/2026 a 01/03/2026 - PIX: CPF - CHAVE: 116.683.686-09</t>
  </si>
  <si>
    <t>PAGAMENTO PRESTACAO SERVICOS MENSAL 03/2026</t>
  </si>
  <si>
    <t>PAGAMENTO DE FUNCIONÁRIOS</t>
  </si>
  <si>
    <t>Serv.Prest. 23/02/2026 a 01/03/2026 - PIX: CPF - CHAVE: 866.153.356-20</t>
  </si>
  <si>
    <t>REEMBOLSO MENSALIDADE PACOTE ADOBE</t>
  </si>
  <si>
    <t>PAGAMENTO SERVIÇO MENSAL REF. 01/2026</t>
  </si>
  <si>
    <t>PRESTACAO DE SERVICOS 03/2026</t>
  </si>
  <si>
    <t>PAGAMENTO PRESTACAO SERVICOS MENSAL 01/2026</t>
  </si>
  <si>
    <t>PAGAMENTO PRESTACAO SERVICOS MENSAL 02/2026</t>
  </si>
  <si>
    <t>PRESTAÇÃO DE SERVIÇOS 03/2026</t>
  </si>
  <si>
    <t>PRESTAÇÃO DE SERVIÇOS MARÇO/2026</t>
  </si>
  <si>
    <t>PAGAMENTO PRESTACAO DE SERVICOS - PIX CELULAR (11) 99181-5502</t>
  </si>
  <si>
    <t>BOLSA ESTAGIO - 2 HORARIOS</t>
  </si>
  <si>
    <t>BONUS DE PRODUTIVIDADE MARÇO/2025</t>
  </si>
  <si>
    <t>BONUS DE PRODUTIVIDADE MARÇO/2026</t>
  </si>
  <si>
    <t>Serv.Prest. 16/02/2026 a 22/02/2026 - PIX: CELULAR - CHAVE: (33) 99877-0415</t>
  </si>
  <si>
    <t>Serv.Prest. 16/02/2026 a 22/02/2026 - PIX: CPF - CHAVE: 108.723.916-80</t>
  </si>
  <si>
    <t>Serv.Prest. 16/02/2026 a 22/02/2026 - PIX: CELULAR - CHAVE: (43) 99875-6490</t>
  </si>
  <si>
    <t>Serv.Prest. 16/02/2026 a 22/02/2026 - PIX: CELULAR - CHAVE: (43) 99630-7532</t>
  </si>
  <si>
    <t>Serv.Prest. 16/02/2026 a 22/02/2026 - PIX: CPF - CHAVE: 004.682.359-06</t>
  </si>
  <si>
    <t>Serv.Prest. 16/02/2026 a 22/02/2026 - PIX: CELULAR - CHAVE: (43) 99934-1696</t>
  </si>
  <si>
    <t>Serv.Prest. 16/02/2026 a 22/02/2026 - PIX: CPF - CHAVE: 074.604.219-10</t>
  </si>
  <si>
    <t>Serv.Prest. 16/02/2026 a 22/02/2026 - PIX: CELULAR - CHAVE: (43) 99830-8026</t>
  </si>
  <si>
    <t>Serv.Prest. 16/02/2026 a 22/02/2026 - PIX: CPF - CHAVE: 057.011.936-75</t>
  </si>
  <si>
    <t>Serv.Prest. 16/02/2026 a 22/02/2026 - PIX: CPF - CHAVE: 099.626.666-60</t>
  </si>
  <si>
    <t>Serv.Prest. 16/02/2026 a 22/02/2026 - PIX: CPF - CHAVE: 125.636.656-04</t>
  </si>
  <si>
    <t>Serv.Prest. 16/02/2026 a 22/02/2026 - PIX: CELULAR - CHAVE: (31) 98556-3149</t>
  </si>
  <si>
    <t>Serv.Prest. 16/02/2026 a 22/02/2026 - PIX: CELULAR - CHAVE: (33) 99861-2274</t>
  </si>
  <si>
    <t>Serv.Prest. 16/02/2026 a 22/02/2026 - PIX: CPF - CHAVE: 037.192.076-09</t>
  </si>
  <si>
    <t>Serv.Prest. 16/02/2026 a 22/02/2026 - PIX: CNPJ - CHAVE: 64.409.849/0001-04</t>
  </si>
  <si>
    <t>Serv.Prest. 16/02/2026 a 22/02/2026 - PIX: CPF - CHAVE: 155.328.666-94</t>
  </si>
  <si>
    <t>Serv.Prest. 16/02/2026 a 22/02/2026 - PIX: CELULAR - CHAVE: (32) 98896-0708</t>
  </si>
  <si>
    <t>Serv.Prest. 16/02/2026 a 22/02/2026 - PIX: CELULAR - CHAVE: (33) 98899-5294</t>
  </si>
  <si>
    <t>Serv.Prest. 16/02/2026 a 22/02/2026 - PIX: CELULAR - CHAVE: (32) 99928-9092</t>
  </si>
  <si>
    <t>Serv.Prest. 16/02/2026 a 22/02/2026 - PIX: CELULAR - CHAVE: (32) 99166-8238</t>
  </si>
  <si>
    <t>Serv.Prest. 16/02/2026 a 22/02/2026 - PIX: CELULAR - CHAVE: (33) 98845-4528</t>
  </si>
  <si>
    <t>Serv.Prest. 16/02/2026 a 22/02/2026 - PIX: CELULAR - CHAVE: (31) 98511-2851</t>
  </si>
  <si>
    <t>Serv.Prest. 16/02/2026 a 22/02/2026 - PIX: CELULAR - CHAVE: (32) 99177-6167</t>
  </si>
  <si>
    <t>Serv.Prest. 16/02/2026 a 22/02/2026 - PIX: CPF - CHAVE: 110.483.296-82</t>
  </si>
  <si>
    <t>Serv.Prest. 16/02/2026 a 22/02/2026 - PIX: CPF - CHAVE: 162.540.206-61</t>
  </si>
  <si>
    <t>Serv.Prest. 16/02/2026 a 22/02/2026 - PIX: CELULAR - CHAVE: (33) 98749-5105</t>
  </si>
  <si>
    <t>Serv.Prest. 16/02/2026 a 22/02/2026 - PIX: CELULAR - CHAVE: (33) 99802-1883</t>
  </si>
  <si>
    <t>Serv.Prest. 16/02/2026 a 22/02/2026 - PIX: CELULAR - CHAVE: (31) 99610-7049</t>
  </si>
  <si>
    <t>Serv.Prest. 16/02/2026 a 22/02/2026 - PIX: E-MAIL - CHAVE: turano296801@gmail.com</t>
  </si>
  <si>
    <t>Serv.Prest. 16/02/2026 a 22/02/2026 - PIX: CHAVE ALEATÓRIA - CHAVE: fa1cc12c-4f59-4ff9-b237-7274b08cf38e</t>
  </si>
  <si>
    <t>Serv.Prest. 16/02/2026 a 22/02/2026 - PIX: CELULAR - CHAVE: (33) 99874-0376</t>
  </si>
  <si>
    <t>Serv.Prest. 16/02/2026 a 22/02/2026 - PIX: CELULAR - CHAVE: (33) 98890-5095</t>
  </si>
  <si>
    <t>Serv.Prest. 16/02/2026 a 22/02/2026 - PIX: CNPJ - CHAVE: 64.839.868/0001-62</t>
  </si>
  <si>
    <t>Serv.Prest. 16/02/2026 a 22/02/2026 - PIX: CPF - CHAVE: 141.134.256-98</t>
  </si>
  <si>
    <t>Serv.Prest. 16/02/2026 a 22/02/2026 - PIX: CPF - CHAVE: 070.073.316-70</t>
  </si>
  <si>
    <t>Serv.Prest. 16/02/2026 a 22/02/2026 - PIX: E-MAIL - CHAVE: ezequielcorrea123@gmail.com</t>
  </si>
  <si>
    <t>Serv.Prest. 16/02/2026 a 22/02/2026 - PIX: CELULAR - CHAVE: (31) 98483-3242</t>
  </si>
  <si>
    <t>Serv.Prest. 16/02/2026 a 22/02/2026 - PIX: CPF - CHAVE: 160.160.216-28</t>
  </si>
  <si>
    <t>Serv.Prest. 16/02/2026 a 22/02/2026 - PIX: CPF - CHAVE: 163.440.926-45</t>
  </si>
  <si>
    <t>Serv.Prest. 16/02/2026 a 22/02/2026 - PIX: CPF - CHAVE: 179.800.027-09</t>
  </si>
  <si>
    <t>Serv.Prest. 16/02/2026 a 22/02/2026 - PIX: CNPJ - CHAVE: 41.602.926/0001-34</t>
  </si>
  <si>
    <t>Serv.Prest. 16/02/2026 a 22/02/2026 - PIX: CPF - CHAVE: 386.313.426-53</t>
  </si>
  <si>
    <t>Serv.Prest. 16/02/2026 a 22/02/2026 - PIX: CELULAR - CHAVE: (33) 99706-4860</t>
  </si>
  <si>
    <t>Serv.Prest. 16/02/2026 a 22/02/2026 - PIX: CPF - CHAVE: 113.084.266-58</t>
  </si>
  <si>
    <t>Serv.Prest. 16/02/2026 a 22/02/2026 - PIX: CPF - CHAVE: 067.393.286-92</t>
  </si>
  <si>
    <t>Serv.Prest. 16/02/2026 a 22/02/2026 - PIX: CELULAR - CHAVE: (31) 99812-7173</t>
  </si>
  <si>
    <t>Serv.Prest. 16/02/2026 a 22/02/2026 - PIX: CPF - CHAVE: 126.873.296-65</t>
  </si>
  <si>
    <t>Serv.Prest. 16/02/2026 a 22/02/2026 - PIX: CELULAR - CHAVE: (33) 98836-6015</t>
  </si>
  <si>
    <t>Serv.Prest. 16/02/2026 a 22/02/2026 - PIX: E-MAIL - CHAVE: jhonantanlacerda@gmail.com</t>
  </si>
  <si>
    <t>Serv.Prest. 16/02/2026 a 22/02/2026 - PIX: CELULAR - CHAVE: (33) 99924-7557</t>
  </si>
  <si>
    <t>Serv.Prest. 16/02/2026 a 22/02/2026 - PIX: CPF - CHAVE: 602.838.315-53</t>
  </si>
  <si>
    <t>Serv.Prest. 16/02/2026 a 22/02/2026 - PIX: E-MAIL - CHAVE: jcarlosctga36@hotmail.com</t>
  </si>
  <si>
    <t>Serv.Prest. 16/02/2026 a 22/02/2026 - PIX: CPF - CHAVE: 012.459.366-62</t>
  </si>
  <si>
    <t>Serv.Prest. 16/02/2026 a 22/02/2026 - PIX: CPF - CHAVE: 077.488.126-75</t>
  </si>
  <si>
    <t>Serv.Prest. 16/02/2026 a 22/02/2026 - PIX: E-MAIL - CHAVE: juninhomachado789@gmail.com</t>
  </si>
  <si>
    <t>Serv.Prest. 16/02/2026 a 22/02/2026 - PIX: CELULAR - CHAVE: (33) 99106-9330</t>
  </si>
  <si>
    <t>Serv.Prest. 16/02/2026 a 22/02/2026 - PIX: CPF - CHAVE: 057.893.536-81</t>
  </si>
  <si>
    <t>Serv.Prest. 16/02/2026 a 22/02/2026 - PIX: CELULAR - CHAVE: (31) 97145-0796</t>
  </si>
  <si>
    <t>Serv.Prest. 16/02/2026 a 22/02/2026 - PIX: CELULAR - CHAVE: (31) 99850-4727</t>
  </si>
  <si>
    <t>Serv.Prest. 16/02/2026 a 22/02/2026 - PIX: CELULAR - CHAVE: (33) 98749-4693</t>
  </si>
  <si>
    <t>Serv.Prest. 16/02/2026 a 22/02/2026 - PIX: CPF - CHAVE: 161.508.516-56</t>
  </si>
  <si>
    <t>Serv.Prest. 16/02/2026 a 22/02/2026 - PIX: CELULAR - CHAVE: (33) 99172-0627</t>
  </si>
  <si>
    <t>Serv.Prest. 16/02/2026 a 22/02/2026 - PIX: CELULAR - CHAVE: (33) 99981-6650</t>
  </si>
  <si>
    <t>Serv.Prest. 16/02/2026 a 22/02/2026 - PIX: CPF - CHAVE: 101.220.976-88</t>
  </si>
  <si>
    <t>Serv.Prest. 16/02/2026 a 22/02/2026 - PIX: CPF - CHAVE: 705.097.186-39</t>
  </si>
  <si>
    <t>Serv.Prest. 16/02/2026 a 22/02/2026 - PIX: CELULAR - CHAVE: (33) 98427-3872</t>
  </si>
  <si>
    <t>Serv.Prest. 16/02/2026 a 22/02/2026 - PIX: E-MAIL - CHAVE: dih.mdr@gmail.com</t>
  </si>
  <si>
    <t>Serv.Prest. 16/02/2026 a 22/02/2026 - PIX: CPF - CHAVE: 142.716.106-23</t>
  </si>
  <si>
    <t>Serv.Prest. 16/02/2026 a 22/02/2026 - PIX: CNPJ - CHAVE: 64.142.681/0001-05</t>
  </si>
  <si>
    <t>Serv.Prest. 16/02/2026 a 22/02/2026 - PIX: CELULAR - CHAVE: (31) 99076-6539</t>
  </si>
  <si>
    <t>Serv.Prest. 16/02/2026 a 22/02/2026 - PIX: CELULAR - CHAVE: (33) 99845-0493</t>
  </si>
  <si>
    <t>Serv.Prest. 16/02/2026 a 22/02/2026 - PIX: CPF - CHAVE: 123.020.026-60</t>
  </si>
  <si>
    <t>Serv.Prest. 16/02/2026 a 22/02/2026 - PIX: CPF - CHAVE: 108.680.396-59</t>
  </si>
  <si>
    <t>Serv.Prest. 16/02/2026 a 22/02/2026 - PIX: CPF - CHAVE: 037.974.316-78</t>
  </si>
  <si>
    <t>Serv.Prest. 16/02/2026 a 22/02/2026 - PIX: CELULAR - CHAVE: (31) 99216-8711</t>
  </si>
  <si>
    <t>Serv.Prest. 16/02/2026 a 22/02/2026 - PIX: CELULAR - CHAVE: (31) 97339-3761</t>
  </si>
  <si>
    <t>Serv.Prest. 16/02/2026 a 22/02/2026 - PIX: CPF - CHAVE: 135.640.066-30</t>
  </si>
  <si>
    <t>Serv.Prest. 16/02/2026 a 22/02/2026 - PIX: CELULAR - CHAVE: (24) 99846-2202</t>
  </si>
  <si>
    <t>Serv.Prest. 16/02/2026 a 22/02/2026 - PIX: CELULAR - CHAVE: (31) 99959-5414</t>
  </si>
  <si>
    <t>Serv.Prest. 16/02/2026 a 22/02/2026 - PIX: CPF - CHAVE: 072.968.086-08</t>
  </si>
  <si>
    <t>Serv.Prest. 16/02/2026 a 22/02/2026 - PIX: CPF - CHAVE: 012.783.036-77</t>
  </si>
  <si>
    <t>Serv.Prest. 16/02/2026 a 22/02/2026 - PIX: E-MAIL - CHAVE: roger.l.borges04@gmail.com</t>
  </si>
  <si>
    <t>Serv.Prest. 16/02/2026 a 22/02/2026 - PIX: CPF - CHAVE: 700.147.856-33</t>
  </si>
  <si>
    <t>Serv.Prest. 16/02/2026 a 22/02/2026 - PIX: CNPJ - CHAVE: 64.690.606/0001-89</t>
  </si>
  <si>
    <t>Serv.Prest. 16/02/2026 a 22/02/2026 - PIX: CPF - CHAVE: 048.151.276-46</t>
  </si>
  <si>
    <t>Serv.Prest. 16/02/2026 a 22/02/2026 - PIX: CPF - CHAVE: 097.855.786-74</t>
  </si>
  <si>
    <t>Serv.Prest. 16/02/2026 a 22/02/2026 - PIX: CELULAR - CHAVE: (33) 99880-7941</t>
  </si>
  <si>
    <t>Serv.Prest. 16/02/2026 a 22/02/2026 - PIX: CELULAR - CHAVE: (33) 99973-4407</t>
  </si>
  <si>
    <t>Serv.Prest. 16/02/2026 a 22/02/2026 - PIX: CPF - CHAVE: 092.566.416-23</t>
  </si>
  <si>
    <t>Serv.Prest. 16/02/2026 a 22/02/2026 - PIX: CPF - CHAVE: 130.194.566-81</t>
  </si>
  <si>
    <t>Serv.Prest. 16/02/2026 a 22/02/2026 - PIX: CELULAR - CHAVE: (33) 99118-9032</t>
  </si>
  <si>
    <t>Serv.Prest. 16/02/2026 a 22/02/2026 - PIX: CPF - CHAVE: 097.245.586-81</t>
  </si>
  <si>
    <t>Serv.Prest. 16/02/2026 a 22/02/2026 - PIX: CPF - CHAVE: 700.454.836-80</t>
  </si>
  <si>
    <t>Serv.Prest. 16/02/2026 a 22/02/2026 - PIX: CELULAR - CHAVE: (33) 98806-5772</t>
  </si>
  <si>
    <t>Serv.Prest. 16/02/2026 a 22/02/2026 - PIX: CELULAR - CHAVE: (33) 99996-3668</t>
  </si>
  <si>
    <t>Serv.Prest. 16/02/2026 a 22/02/2026 - PIX: CELULAR - CHAVE: (31) 99506-2265</t>
  </si>
  <si>
    <t>Serv.Prest. 16/02/2026 a 22/02/2026 - PIX: E-MAIL - CHAVE: wilianvieirawrv3578@gmail.com</t>
  </si>
  <si>
    <t>Serv.Prest. 16/02/2026 a 22/02/2026 - PIX: CELULAR - CHAVE: (33) 99859-8751</t>
  </si>
  <si>
    <t>Serv.Prest. 16/02/2026 a 22/02/2026 - PIX: CPF - CHAVE: 036.875.515-04</t>
  </si>
  <si>
    <t>Serv.Prest. 16/02/2026 a 22/02/2026 - PIX: CELULAR - CHAVE: (73) 99966-7211</t>
  </si>
  <si>
    <t>Serv.Prest. 16/02/2026 a 22/02/2026 - PIX: CELULAR - CHAVE: (73) 99192-1028</t>
  </si>
  <si>
    <t>Serv.Prest. 16/02/2026 a 22/02/2026 - PIX: CPF - CHAVE: 094.947.395-23</t>
  </si>
  <si>
    <t>Serv.Prest. 16/02/2026 a 22/02/2026 - PIX: E-MAIL - CHAVE: ericgomes508@gmail.com</t>
  </si>
  <si>
    <t>Serv.Prest. 16/02/2026 a 22/02/2026 - PIX: CPF - CHAVE: 087.398.185-51</t>
  </si>
  <si>
    <t>Serv.Prest. 16/02/2026 a 22/02/2026 - PIX: E-MAIL - CHAVE: geovanisilvasantos311@gmail.com</t>
  </si>
  <si>
    <t>Serv.Prest. 16/02/2026 a 22/02/2026 - PIX: CELULAR - CHAVE: (73) 99941-8352</t>
  </si>
  <si>
    <t>Serv.Prest. 16/02/2026 a 22/02/2026 - PIX: CELULAR - CHAVE: (73) 988381077</t>
  </si>
  <si>
    <t>Serv.Prest. 16/02/2026 a 22/02/2026 - PIX: CPF - CHAVE: 768.859.176-72</t>
  </si>
  <si>
    <t>Serv.Prest. 16/02/2026 a 22/02/2026 - PIX: CELULAR - CHAVE: (73) 99816-5318</t>
  </si>
  <si>
    <t>Serv.Prest. 16/02/2026 a 22/02/2026 - PIX: CPF - CHAVE: 439.169.103-53</t>
  </si>
  <si>
    <t>Serv.Prest. 16/02/2026 a 22/02/2026 - PIX: CELULAR - CHAVE: (73) 99856-1756</t>
  </si>
  <si>
    <t>Serv.Prest. 16/02/2026 a 22/02/2026 - PIX: CPF - CHAVE: 860.305.455-07</t>
  </si>
  <si>
    <t>Serv.Prest. 16/02/2026 a 22/02/2026 - PIX: CPF - CHAVE: 009.476.175-23</t>
  </si>
  <si>
    <t>Serv.Prest. 16/02/2026 a 22/02/2026 - PIX: CELULAR - CHAVE: (73) 98105-2187</t>
  </si>
  <si>
    <t>Serv.Prest. 16/02/2026 a 22/02/2026 - PIX: CPF - CHAVE: 094.700.685-05</t>
  </si>
  <si>
    <t>Serv.Prest. 16/02/2026 a 22/02/2026 - PIX: CELULAR - CHAVE: (73) 99803-0715</t>
  </si>
  <si>
    <t>Serv.Prest. 16/02/2026 a 22/02/2026 - PIX: CPF - CHAVE: 157.217.827-22</t>
  </si>
  <si>
    <t>Serv.Prest. 16/02/2026 a 22/02/2026 - PIX: CNPJ - CHAVE: 65.104.813/0001-77</t>
  </si>
  <si>
    <t>Serv.Prest. 16/02/2026 a 22/02/2026 - PIX: CELULAR - CHAVE: (73) 99178-4624</t>
  </si>
  <si>
    <t>Serv.Prest. 16/02/2026 a 22/02/2026 - PIX: CPF - CHAVE: 003.157.195-67</t>
  </si>
  <si>
    <t>Serv.Prest. 16/02/2026 a 22/02/2026 - PIX: CNPJ - CHAVE: 33.412.676/0001-41</t>
  </si>
  <si>
    <t>Serv.Prest. 16/02/2026 a 22/02/2026 - PIX: CPF - CHAVE: 007.842.745-25</t>
  </si>
  <si>
    <t>Serv.Prest. 16/02/2026 a 22/02/2026 - PIX: CELULAR - CHAVE: (73) 99948-4152</t>
  </si>
  <si>
    <t>Serv.Prest. 16/02/2026 a 22/02/2026 - PIX: CELULAR - CHAVE: (73) 99977-2721</t>
  </si>
  <si>
    <t>Serv.Prest. 16/02/2026 a 22/02/2026 - PIX: CPF - CHAVE: 072.209.985-11</t>
  </si>
  <si>
    <t>Serv.Prest. 16/02/2026 a 22/02/2026 - PIX: CELULAR - CHAVE: (73) 99818-9718</t>
  </si>
  <si>
    <t>Serv.Prest. 16/02/2026 a 22/02/2026 - PIX: CPF - CHAVE: 079.068.045-97</t>
  </si>
  <si>
    <t>Serv.Prest. 16/02/2026 a 22/02/2026 - PIX: CPF - CHAVE: 096.891.935-97</t>
  </si>
  <si>
    <t>Serv.Prest. 16/02/2026 a 22/02/2026 - PIX: CELULAR - CHAVE: (27) 99657-5904</t>
  </si>
  <si>
    <t>Serv.Prest. 16/02/2026 a 22/02/2026 - PIX: CELULAR - CHAVE: (27) 99811-6850</t>
  </si>
  <si>
    <t>Serv.Prest. 16/02/2026 a 22/02/2026 - PIX: CELULAR - CHAVE: (27) 99869-8144</t>
  </si>
  <si>
    <t>Serv.Prest. 16/02/2026 a 22/02/2026 - PIX: CNPJ - CHAVE: 40.359.224/0001-09</t>
  </si>
  <si>
    <t>Serv.Prest. 16/02/2026 a 22/02/2026 - PIX: CPF - CHAVE: 096.116.707-61</t>
  </si>
  <si>
    <t>Serv.Prest. 16/02/2026 a 22/02/2026 - PIX: CPF - CHAVE: 121.963.507-37</t>
  </si>
  <si>
    <t>Serv.Prest. 16/02/2026 a 22/02/2026 - PIX: CELULAR - CHAVE: (33) 99194-2339</t>
  </si>
  <si>
    <t>Serv.Prest. 16/02/2026 a 22/02/2026 - PIX: CNPJ - CHAVE: 64.557.825/0001-94</t>
  </si>
  <si>
    <t>Serv.Prest. 16/02/2026 a 22/02/2026 - PIX: CPF - CHAVE: 096.774.686-85</t>
  </si>
  <si>
    <t>Serv.Prest. 16/02/2026 a 22/02/2026 - PIX: CELULAR - CHAVE: (37) 99197-6834</t>
  </si>
  <si>
    <t>Serv.Prest. 23/02/2026 a 01/03/2026 - PIX: CPF - CHAVE: 034.458.495-01</t>
  </si>
  <si>
    <t>Serv.Prest. 23/02/2026 a 01/03/2026 - PIX: CPF - CHAVE: 373.103.168-00</t>
  </si>
  <si>
    <t>Serv.Prest. 23/02/2026 a 01/03/2026 - PIX: CELULAR - CHAVE: (19) 99893-1311</t>
  </si>
  <si>
    <t>Serv.Prest. 23/02/2026 a 01/03/2026 - PIX: CPF - CHAVE: 085.309.406-36</t>
  </si>
  <si>
    <t>Serv.Prest. 23/02/2026 a 01/03/2026 - PIX: CPF - CHAVE: 397.101.368-60</t>
  </si>
  <si>
    <t>Serv.Prest. 23/02/2026 a 01/03/2026 - PIX: CPF - CHAVE: 438.843.248-29</t>
  </si>
  <si>
    <t>Serv.Prest. 23/02/2026 a 01/03/2026 - PIX: CELULAR - CHAVE: (19) 99674-2835</t>
  </si>
  <si>
    <t>Serv.Prest. 23/02/2026 a 01/03/2026 - PIX: CELULAR - CHAVE: (19) 98258-0687</t>
  </si>
  <si>
    <t>Serv.Prest. 23/02/2026 a 01/03/2026 - PIX: CNPJ - CHAVE: 48.182.907/0001-45</t>
  </si>
  <si>
    <t>Serv.Prest. 23/02/2026 a 01/03/2026 - PIX: CELULAR - CHAVE: (19) 97145-1624</t>
  </si>
  <si>
    <t>Serv.Prest. 23/02/2026 a 01/03/2026 - PIX: CELULAR - CHAVE: (19) 99994-0858</t>
  </si>
  <si>
    <t>Serv.Prest. 23/02/2026 a 01/03/2026 - PIX: CELULAR - CHAVE: (19) 97822-4918</t>
  </si>
  <si>
    <t>Serv.Prest. 23/02/2026 a 01/03/2026 - PIX: CPF - CHAVE: 472.998.978-30</t>
  </si>
  <si>
    <t>Serv.Prest. 23/02/2026 a 01/03/2026 - PIX: CPF - CHAVE: 533.495.008-70</t>
  </si>
  <si>
    <t>Serv.Prest. 23/02/2026 a 01/03/2026 - PIX: CELULAR - CHAVE: (71) 99696-7530</t>
  </si>
  <si>
    <t>Serv.Prest. 23/02/2026 a 01/03/2026 - PIX: CELULAR - CHAVE: (71) 99214-9256</t>
  </si>
  <si>
    <t>Serv.Prest. 23/02/2026 a 01/03/2026 - PIX: E-MAIL - CHAVE: edvam18.alves@gmail.com</t>
  </si>
  <si>
    <t>Serv.Prest. 23/02/2026 a 01/03/2026 - PIX: CPF - CHAVE: 048.672.645-20</t>
  </si>
  <si>
    <t>Serv.Prest. 23/02/2026 a 01/03/2026 - PIX: CELULAR - CHAVE: (71) 98124-7946</t>
  </si>
  <si>
    <t>Serv.Prest. 23/02/2026 a 01/03/2026 - PIX: CELULAR - CHAVE: (11) 95552-9905</t>
  </si>
  <si>
    <t>Serv.Prest. 23/02/2026 a 01/03/2026 - PIX: CPF - CHAVE: 505.341.528-56</t>
  </si>
  <si>
    <t>Serv.Prest. 23/02/2026 a 01/03/2026 - PIX: CELULAR - CHAVE: (11) 91214-6176</t>
  </si>
  <si>
    <t>Serv.Prest. 23/02/2026 a 01/03/2026 - PIX: CPF - CHAVE: 157.591.436-03</t>
  </si>
  <si>
    <t>Serv.Prest. 23/02/2026 a 01/03/2026 - PIX: CELULAR - CHAVE: (32) 99920-0416</t>
  </si>
  <si>
    <t>Serv.Prest. 23/02/2026 a 01/03/2026 - PIX: CNPJ - CHAVE: 51.676.704/0001-10</t>
  </si>
  <si>
    <t>Serv.Prest. 23/02/2026 a 01/03/2026 - PIX: CPF - CHAVE: 140.108.466-40</t>
  </si>
  <si>
    <t>Serv.Prest. 23/02/2026 a 01/03/2026 - PIX: CPF - CHAVE: 606.687.663-52</t>
  </si>
  <si>
    <t>Serv.Prest. 23/02/2026 a 01/03/2026 - PIX: CPF - CHAVE: 121.158.778-96</t>
  </si>
  <si>
    <t>Serv.Prest. 23/02/2026 a 01/03/2026 - PIX: CPF - CHAVE: 355.445.218-16</t>
  </si>
  <si>
    <t>Serv.Prest. 23/02/2026 a 01/03/2026 - PIX: CELULAR - CHAVE: (11) 99593-3129</t>
  </si>
  <si>
    <t>Serv.Prest. DIÁRIA 01/03/2026 PIX 84299452534</t>
  </si>
  <si>
    <t>Serv.Prest. 23/02/2026 a 01/03/2026 - PIX: E-MAIL - CHAVE: doug6866@gmail.com</t>
  </si>
  <si>
    <t>Serv.Prest. 23/02/2026 a 01/03/2026 - PIX: CELULAR - CHAVE: (11) 97402-1586</t>
  </si>
  <si>
    <t>Serv.Prest. 23/02/2026 a 01/03/2026 - PIX: CELULAR - CHAVE: (11) 99992-0816</t>
  </si>
  <si>
    <t>Serv.Prest. 23/02/2026 a 01/03/2026 - PIX: CPF - CHAVE: 100.826.516-04</t>
  </si>
  <si>
    <t>Serv.Prest. 23/02/2026 a 01/03/2026 - PIX: CNPJ - CHAVE: 64.735.042/0001-53</t>
  </si>
  <si>
    <t>Serv.Prest. 23/02/2026 a 01/03/2026 - PIX: CPF - CHAVE: 304.384.838-12</t>
  </si>
  <si>
    <t>Serv.Prest. 23/02/2026 a 01/03/2026 - PIX: CPF - CHAVE: 491.327.628-01</t>
  </si>
  <si>
    <t>Serv.Prest. 23/02/2026 a 01/03/2026 - PIX: CPF - CHAVE: 388.052.378-92</t>
  </si>
  <si>
    <t>Serv.Prest. 23/02/2026 a 01/03/2026 - PIX: CELULAR - CHAVE: (37) 99146-2630</t>
  </si>
  <si>
    <t>Serv.Prest. 23/02/2026 a 01/03/2026 - PIX: CPF - CHAVE: 020.590.606-05</t>
  </si>
  <si>
    <t>Serv.Prest. 23/02/2026 a 01/03/2026 - PIX: E-MAIL - CHAVE: karinasilvaaparecida1286@gmail.com</t>
  </si>
  <si>
    <t>Serv.Prest. 23/02/2026 a 01/03/2026 - PIX: CELULAR - CHAVE: (37) 99197-6834</t>
  </si>
  <si>
    <t>Serv.Prest. 23/02/2026 a 01/03/2026 - PIX: CELULAR - CHAVE: (37) 99138-1777</t>
  </si>
  <si>
    <t>Serv.Prest. 23/02/2026 a 01/03/2026 - PIX: CELULAR - CHAVE: (37) 98841-8571</t>
  </si>
  <si>
    <t>Serv.Prest. 23/02/2026 a 01/03/2026 - PIX: CELULAR - CHAVE: (31) 99376-7989</t>
  </si>
  <si>
    <t>Serv.Prest. 23/02/2026 a 01/03/2026 - PIX: CELULAR - CHAVE: (32) 98492-7371</t>
  </si>
  <si>
    <t>Serv.Prest. 23/02/2026 a 01/03/2026 - PIX: CPF - CHAVE: 016.203.336-27</t>
  </si>
  <si>
    <t>Serv.Prest. 23/02/2026 a 01/03/2026 - PIX: CPF - CHAVE: 103.983.366-79</t>
  </si>
  <si>
    <t>Serv.Prest. 23/02/2026 a 01/03/2026 - PIX: CPF - CHAVE: 138.263.636-98</t>
  </si>
  <si>
    <t>Serv.Prest. 23/02/2026 a 01/03/2026 - PIX: CPF - CHAVE: 128.367.756-37</t>
  </si>
  <si>
    <t>Serv.Prest. 23/02/2026 a 01/03/2026 - PIX: E-MAIL - CHAVE: claudioverdinho2009@hotmail.com</t>
  </si>
  <si>
    <t>Serv.Prest. 23/02/2026 a 01/03/2026 - PIX: CPF - CHAVE: 124.575.099-20</t>
  </si>
  <si>
    <t>Serv.Prest. 23/02/2026 a 01/03/2026 - PIX: CPF - CHAVE: 114.806.766-32</t>
  </si>
  <si>
    <t>Serv.Prest. 23/02/2026 a 01/03/2026 - PIX: CPF - CHAVE: 026.311.016-85</t>
  </si>
  <si>
    <t>Serv.Prest. 23/02/2026 a 01/03/2026 - PIX: CELULAR - CHAVE: (28) 99904-4082</t>
  </si>
  <si>
    <t>Serv.Prest. 23/02/2026 a 01/03/2026 - PIX: CELULAR - CHAVE: (28) 98816-4170</t>
  </si>
  <si>
    <t>Serv.Prest. 23/02/2026 a 01/03/2026 - PIX: E-MAIL - CHAVE: taison10032@hotmail.com</t>
  </si>
  <si>
    <t>Serv.Prest. 23/02/2026 a 01/03/2026 - PIX: CPF - CHAVE: 396.124.108-28</t>
  </si>
  <si>
    <t>Serv.Prest. 23/02/2026 a 01/03/2026 - PIX: CPF - CHAVE: 568.250.486-00</t>
  </si>
  <si>
    <t>Serv.Prest. 23/02/2026 a 01/03/2026 - PIX: E-MAIL - CHAVE: flaviovictorxiaomi@gmail.com</t>
  </si>
  <si>
    <t>Serv.Prest. 23/02/2026 a 01/03/2026 - PIX: CPF - CHAVE: 138.798.486-10</t>
  </si>
  <si>
    <t>Serv.Prest. 23/02/2026 a 01/03/2026 - PIX: CPF - CHAVE: 506.934.998-85</t>
  </si>
  <si>
    <t>Serv.Prest. 23/02/2026 a 01/03/2026 - PIX: CPF - CHAVE: 293.775.028-10</t>
  </si>
  <si>
    <t>Serv.Prest. 23/02/2026 a 01/03/2026 - PIX: CELULAR - CHAVE: (11) 98144-5840</t>
  </si>
  <si>
    <t>Serv.Prest. 23/02/2026 A 01/03/2026 - PIX: CELULAR - CHAVE: (11) 98281-4526</t>
  </si>
  <si>
    <t>Serv.Prest. 23/02/2026 a 01/03/2026 - PIX: CELULAR - CHAVE: (11) 98484-6837</t>
  </si>
  <si>
    <t>Serv.Prest. 23/02/2026 a 01/03/2026 - PIX: CPF - CHAVE: 361.750.258-06</t>
  </si>
  <si>
    <t>Serv.Prest. 23/02/2026 a 01/03/2026 - PIX: CPF - CHAVE: 471.142.438-55</t>
  </si>
  <si>
    <t>Serv.Prest. 23/02/2026 a 01/03/2026 - PIX: CELULAR - CHAVE: (11) 94195-2534</t>
  </si>
  <si>
    <t>Serv.Prest. 23/02/2026 a 01/03/2026 - PIX: CELULAR - CHAVE: (11) 99270-3082</t>
  </si>
  <si>
    <t>Serv.Prest. 23/02/2026 a 01/03/2026 - PIX: CELULAR - CHAVE: (11) 95906-5439</t>
  </si>
  <si>
    <t>Serv.Prest. 23/02/2026 a 01/03/2026 - PIX: CPF - CHAVE: 026.422.254-70</t>
  </si>
  <si>
    <t>Serv.Prest. 23/02/2026 a 01/03/2026 - PIX: CELULAR - CHAVE: (11) 98439-2238</t>
  </si>
  <si>
    <t>Serv.Prest. 23/02/2026 a 01/03/2026 - PIX: CELULAR - CHAVE: (11) 91097-0937</t>
  </si>
  <si>
    <t>Serv.Prest. 23/02/2026 a 01/03/2026 - PIX: E-MAIL - CHAVE: vicentedanilo51@gmail.com</t>
  </si>
  <si>
    <t>Serv.Prest. 23/02/2026 a 01/03/2026 - PIX: CPF - CHAVE: 370.849.948-40</t>
  </si>
  <si>
    <t>Serv.Prest. 23/02/2026 a 01/03/2026 - PIX: CPF - CHAVE: 500.480.978-02</t>
  </si>
  <si>
    <t>Serv.Prest. 23/02/2026 a 01/03/2026 - PIX: CPF - CHAVE: 489.237.478-40</t>
  </si>
  <si>
    <t>Serv.Prest. 23/02/2026 a 01/03/2026 - PIX: CELULAR - CHAVE: (11) 91487-0314</t>
  </si>
  <si>
    <t>Serv.Prest. 23/02/2026 a 01/03/2026 - PIX: CELULAR - CHAVE: (11) 95054-2206</t>
  </si>
  <si>
    <t>Serv.Prest. 23/02/2026 a 01/03/2026 - PIX: CPF - CHAVE: 419.678.508-52</t>
  </si>
  <si>
    <t>Serv.Prest. 23/02/2026 a 01/03/2026 - PIX: CPF - CHAVE: 499.814.888-52</t>
  </si>
  <si>
    <t>Serv.Prest. 23/02/2026 a 01/03/2026 - PIX: CPF - CHAVE: 423.685.688-32</t>
  </si>
  <si>
    <t>Serv.Prest. 23/02/2026 a 01/03/2026 - PIX: CPF - CHAVE: 396.877.618-65</t>
  </si>
  <si>
    <t>Serv.Prest. 23/02/2026 a 01/03/2026 - PIX: CELULAR - CHAVE: (11) 95038-0621</t>
  </si>
  <si>
    <t>Serv.Prest. 23/02/2026 a 01/03/2026 - PIX: CELULAR - CHAVE: (11) 96662-0343</t>
  </si>
  <si>
    <t>Serv.Prest. 23/02/2026 a 01/03/2026 - PIX: CELULAR - CHAVE: (11) 98776-2232</t>
  </si>
  <si>
    <t>Serv.Prest. 23/02/2026 a 01/03/2026 - PIX: CELULAR - CHAVE: (34) 99688-5705</t>
  </si>
  <si>
    <t>Serv.Prest. 23/02/2026 a 01/03/2026 - PIX: CELULAR - CHAVE: (34) 99694-0926</t>
  </si>
  <si>
    <t>Serv.Prest. 23/02/2026 a 01/03/2026 - PIX: CHAVE ALEATÓRIA - CHAVE: b7127766-e2b6-47e0-bdc0-95f13babb6f4</t>
  </si>
  <si>
    <t>Serv.Prest. 23/02/2026 a 01/03/2026 - PIX: E-MAIL - CHAVE: wender.56@hotmail.com</t>
  </si>
  <si>
    <t>Serv.Prest. 23/02/2026 a 01/03/2026 - PIX: CELULAR - CHAVE: (73) 98166-3325</t>
  </si>
  <si>
    <t>Serv.Prest. 23/02/2026 a 01/03/2026 - PIX: CPF - CHAVE: 378.223.888-51</t>
  </si>
  <si>
    <t>Serv.Prest. 23/02/2026 a 01/03/2026 - PIX: CPF - CHAVE: 097.245.586-81</t>
  </si>
  <si>
    <t>Serv.Prest. DIÁRIA 04/03/2026 - PIX: CELULAR - CHAVE: (19) 98944-4977</t>
  </si>
  <si>
    <t>Serv.Prest. DIÁRIA 02/03/2026 - PIX: E-MAIL - CHAVE: gouveavictor4@gmail.com</t>
  </si>
  <si>
    <t>Serv.Prest. DIÁRIA 02/03/2026 - PIX: CELULAR - CHAVE: (11) 99593-3129</t>
  </si>
  <si>
    <t>Serv.Prest. DIÁRIA 22/02, 02/03, 03/03 E 04/03/2026 PIX: 27611069896</t>
  </si>
  <si>
    <t>Serv. Prest. DIÁRIA NOTURNA 28/02/2026 CHAVE PIX: CELULAR 14 982058697</t>
  </si>
  <si>
    <t>Serv.Prest. 16/02/2026 a 22/02/2026 - PIX: CELULAR - CHAVE: (00) 00000-0000</t>
  </si>
  <si>
    <t>Serv.Prest. 16/02/2026 a 22/02/2026 - PRESTADORES DE PGM RIBEIRAO PRETO DANIEL DE JESUS</t>
  </si>
  <si>
    <t>Serv.Prest. 02/03/2026 a 08/03/2026 - PIX: NÃO CADASTRADO - CHAVE: 0</t>
  </si>
  <si>
    <t>Serv.Prest. 23/02/2026 a 01/03/2026 - PIX: CELULAR - CHAVE: (11) 98482-0070</t>
  </si>
  <si>
    <t>Serv.Prest. 23/02/2026 a 01/03/2026 - RPS: 2356 - NFSe: 428</t>
  </si>
  <si>
    <t>Serv.Prest. 23/02/2026 a 01/03/2026 - PIX: CELULAR - CHAVE: (11) 97702-1316</t>
  </si>
  <si>
    <t>Serv.Prest. 23/02/2026 a 01/03/2026 - PIX:  - CHAVE: 329845288837</t>
  </si>
  <si>
    <t>Serv.Prest. 23/02/2026 a 01/03/2026 - PIX: CELULAR - CHAVE: (32) 99800-1691</t>
  </si>
  <si>
    <t>Serv.Prest. 23/02/2026 a 01/03/2026 - PIX: CELULAR - CHAVE: (11) 95554-0443</t>
  </si>
  <si>
    <t>Serv.Prest. 23/02/2026 a 01/03/2026 - PIX: CPF - CHAVE: 768.859.176-72</t>
  </si>
  <si>
    <t>COMPLEMENTO.Serv.Prest. 23/02/2026 a 01/03/2026 - PIX: CELULAR - CHAVE: (11) 91097-0937</t>
  </si>
  <si>
    <t>ADIANTAMENTO Serv.Prest. 02/03/2026 a 08/03/2026 - PIX: CELULAR - CHAVE: (11) 98144-5840</t>
  </si>
  <si>
    <t>COMPLEMENTO.Serv.Prest. 23/02/2026 a 01/03/2026 - PIX: CELULAR - CHAVE: (33) 99194-2339</t>
  </si>
  <si>
    <t xml:space="preserve">DEVOLUÇÃO INTEGRAL DE 25 COTAS </t>
  </si>
  <si>
    <t>DEVOLUÇÃO COTA COOPERATIVA</t>
  </si>
  <si>
    <t>COMPLEMENTO.Serv.Prest. 23/02/2026 a 01/03/2026 - PIX: CELULAR - CHAVE: (28) 99904-4082</t>
  </si>
  <si>
    <t>COMPLEMENTO.Serv.Prest. 16/02/2026 a 22/02/2026 - PIX: CPF - CHAVE: 096.774.686-85</t>
  </si>
  <si>
    <t>Serv.Prest. 16/02/2026 a 22/02/2026 - PIX: CNPJ - CHAVE: 24.309.889/0001-51</t>
  </si>
  <si>
    <t>COMPLEMENTO.Serv.Prest. 16/02/2026 a 22/02/2026 - PIX: CELULAR - CHAVE: (32) 99166-8238</t>
  </si>
  <si>
    <t>Serv.Prest. 02/03/2026 a 08/03/2026 - PIX: CELULAR - CHAVE: (11) 99593-3129</t>
  </si>
  <si>
    <t>Serv.Prest. 02/03/2026 a 08/03/2026 - PIX: E-MAIL - CHAVE: gouveavictor4@gmail.com</t>
  </si>
  <si>
    <t>Serv.Prest. 02/03/2026 a 08/03/2026 - PIX: CELULAR - CHAVE: (19) 98944-4977</t>
  </si>
  <si>
    <t>Serv.Prest. 02/03/2026 a 08/03/2026 - PIX: CELULAR - CHAVE: (62) 99550-3226</t>
  </si>
  <si>
    <t>Serv.Prest. 02/03/2026 a 08/03/2026 - PIX: CELULAR - CHAVE: (11) 98144-5840</t>
  </si>
  <si>
    <t>Serv.Prest. 23/02/2026 a 01/03/2026 - PIX: CELULAR - CHAVE: (43) 99875-6490</t>
  </si>
  <si>
    <t>Serv.Prest. 02/03/2026 a 08/03/2026 - PIX: CPF - CHAVE: 157.591.436-03</t>
  </si>
  <si>
    <t>Serv.Prest. 23/02/2026 a 01/03/2026 - PIX: CPF - CHAVE: 037.192.076-09</t>
  </si>
  <si>
    <t>Serv.Prest. 02/03/2026 a 08/03/2026 - PIX: CELULAR - CHAVE: (33) 99110-6940</t>
  </si>
  <si>
    <t>COTAS COOPERATIVA</t>
  </si>
  <si>
    <t>Serv.Prest. 23/02/2026 a 01/03/2026 - PIX: CPF - CHAVE: 155.328.666-94</t>
  </si>
  <si>
    <t>Serv.Prest. 23/02/2026 a 01/03/2026 - PIX: E-MAIL - CHAVE: turano296801@gmail.com</t>
  </si>
  <si>
    <t>Serv.Prest. 02/03/2026 a 08/03/2026 - PIX: CELULAR - CHAVE: (71) 99214-9256</t>
  </si>
  <si>
    <t>Serv.Prest. 02/03/2026 a 08/03/2026 - PIX: CELULAR - CHAVE: (11) 95552-9905</t>
  </si>
  <si>
    <t>Serv.Prest. 23/02/2026 a 01/03/2026 - PIX: CPF - CHAVE: 094.947.395-23</t>
  </si>
  <si>
    <t>Serv.Prest. 02/03/2026 a 08/03/2026 - PIX: CELULAR - CHAVE: (11) 95038-0621</t>
  </si>
  <si>
    <t>Serv.Prest. 02/03/2026 a 08/03/2026 - PIX: CPF - CHAVE: 471.142.438-55</t>
  </si>
  <si>
    <t>Serv.Prest. 02/03/2026 a 08/03/2026 - PIX: CELULAR - CHAVE: (11) 95054-2206</t>
  </si>
  <si>
    <t>Serv.Prest. 23/02/2026 a 01/03/2026 - PIX: CNPJ - CHAVE: 40.359.224/0001-09</t>
  </si>
  <si>
    <t>Serv.Prest. 23/02/2026 a 01/03/2026 - PIX: CELULAR - CHAVE: (33) 98836-6015</t>
  </si>
  <si>
    <t>Serv.Prest. 02/03/2026 a 08/03/2026 - PIX: CPF - CHAVE: 124.575.099-20</t>
  </si>
  <si>
    <t>Serv.Prest. 23/02/2026 a 01/03/2026 - PIX: CPF - CHAVE: 860.305.455-07</t>
  </si>
  <si>
    <t>Serv.Prest. 23/02/2026 a 01/03/2026 - PIX: CPF - CHAVE: 094.700.685-05</t>
  </si>
  <si>
    <t>Serv.Prest. 02/03/2026 a 08/03/2026 - PIX: CELULAR - CHAVE: (11) 95906-5439</t>
  </si>
  <si>
    <t>Serv.Prest. 23/02/2026 a 01/03/2026 - PIX: CELULAR - CHAVE: (33) 99172-0627</t>
  </si>
  <si>
    <t>Serv.Prest. 23/02/2026 a 01/03/2026 - PIX: CPF - CHAVE: 101.220.976-88</t>
  </si>
  <si>
    <t>Serv.Prest. 23/02/2026 a 01/03/2026 - PIX: CPF - CHAVE: 142.716.106-23</t>
  </si>
  <si>
    <t>Serv.Prest. 02/03/2026 a 08/03/2026 - PIX: CELULAR - CHAVE: (11) 99992-0816</t>
  </si>
  <si>
    <t>Serv.Prest. 02/03/2026 a 08/03/2026 - PIX: CPF - CHAVE: 489.237.478-40</t>
  </si>
  <si>
    <t>Serv.Prest. 23/02/2026 a 01/03/2026 - PIX: CELULAR - CHAVE: (24) 99846-2202</t>
  </si>
  <si>
    <t>Serv.Prest. 23/02/2026 a 01/03/2026 - PIX: CELULAR - CHAVE: (31) 99959-5414</t>
  </si>
  <si>
    <t>Serv.Prest. 23/02/2026 a 01/03/2026 - PIX: CPF - CHAVE: 072.968.086-08</t>
  </si>
  <si>
    <t>Serv.Prest. 02/03/2026 a 08/03/2026 - PIX: CPF - CHAVE: 506.934.998-85</t>
  </si>
  <si>
    <t>Serv.Prest. 02/03/2026 a 08/03/2026 - PIX: CPF - CHAVE: 396.124.108-28</t>
  </si>
  <si>
    <t>Serv.Prest. 02/03/2026 a 08/03/2026 - PIX: CELULAR - CHAVE: (37) 99138-1777</t>
  </si>
  <si>
    <t>Serv.Prest. 23/02/2026 a 01/03/2026 - PIX: CELULAR - CHAVE: (33) 99973-4407</t>
  </si>
  <si>
    <t>Serv.Prest. 23/02/2026 a 01/03/2026 - PIX: CPF - CHAVE: 092.566.416-23</t>
  </si>
  <si>
    <t>COTA COOPERADO</t>
  </si>
  <si>
    <t>Serv.Prest. 23/02/2026 a 01/03/2026 - PIX: CPF - CHAVE: 096.891.935-97</t>
  </si>
  <si>
    <t>Serv.Prest. 23/02/2026 a 01/03/2026 - PIX: CELULAR - CHAVE: (33) 99859-8751</t>
  </si>
  <si>
    <t>Serv.Prest. 02/03/2026 a 08/03/2026 - PIX: CELULAR - CHAVE: (28) 98816-4170</t>
  </si>
  <si>
    <t xml:space="preserve">DEVOLUÇÃO DE 3 COTAS COOPERATIVAS </t>
  </si>
  <si>
    <t>Serv.Prest. DIÁRIA 08/03/2026 - PIX: CPF - CHAVE: 768.859.176-72</t>
  </si>
  <si>
    <t>Serv.Prest. DIÁRIA 07/03/2026 e 08/03/2026 - PIX: CPF - CHAVE: 276.110.698-96</t>
  </si>
  <si>
    <t>Serv.Prest. DIÁRIA 08/03/2026 - PIX: CELULAR - CHAVE: (11) 94910-8689</t>
  </si>
  <si>
    <t>Serv.Prest. DIÁRIA 08/03/2026 - PIX: E-MAIL - CHAVE: doug6866@gmail.com</t>
  </si>
  <si>
    <t>Serv.Prest. DIÁRIA 03/03/, 05/03, 07/03 e 08/03/2026 - PIX: CELULAR - CHAVE: (19) 98985-7796</t>
  </si>
  <si>
    <t>Serv.Prest. DIÁRIA 06/03/2026 e 07/03/2026 - PIX: CPF - CHAVE: 249.315.678-19</t>
  </si>
  <si>
    <t>Serv.Prest. DIÁRIA 07/03/2026 e 08/03/2026 - PIX: CELULAR - CHAVE: (19) 98944-4977</t>
  </si>
  <si>
    <t>Serv.Prest. DIÁRIA 08/03/2026 - PIX: CELULAR - CHAVE: (11) 99293-5521</t>
  </si>
  <si>
    <t>Serv.Prest. DIÁRIA 08/03/2026 - PIX: CPF - CHAVE: 423.685.688-32</t>
  </si>
  <si>
    <t>Serv.Prest. DIÁRIA 08/03/2026 - PIX: CELULAR - CHAVE: (11) 95038-0621</t>
  </si>
  <si>
    <t>Serv.Prest. DIÁRIA 08/03/2026 - PIX: CPF - CHAVE: 530.612.488-70</t>
  </si>
  <si>
    <t>Serv.Prest. DIÁRIA 08/03/2026 - PIX: CELULAR - CHAVE: (11) 95054-2206</t>
  </si>
  <si>
    <t>Serv.Prest. DIÁRIA 08/03/2026 - PIX: CPF - CHAVE: 499.340.868-40</t>
  </si>
  <si>
    <t>Serv.Prest. DIÁRIA 08/03/2026 - PIX: CPF - CHAVE: 302.919.358-69</t>
  </si>
  <si>
    <t>Serv.Prest. DIÁRIA 08/03/2026 - PIX: CELULAR - CHAVE: (32) 98492-7371</t>
  </si>
  <si>
    <t>Serv.Prest. DIÁRIA 08/03/2026 - PIX: CELULAR - CHAVE: (11) 99239-3232</t>
  </si>
  <si>
    <t>Serv.Prest. DIÁRIA 08/03/2026 - PIX: CELULAR - CHAVE: (11) 98281-4526</t>
  </si>
  <si>
    <t>Serv.Prest. DIÁRIA 08/03/2026 - PIX: E-MAIL - CHAVE: ramalhogabriel155@gmail.com</t>
  </si>
  <si>
    <t>Serv.Prest. DIÁRIA 08/03/2026 - PIX: CELULAR - CHAVE: (11) 98776-2232</t>
  </si>
  <si>
    <t>Serv.Prest. DIÁRIA 08/03/2026 - PIX: CPF - CHAVE: 396.877.618-65</t>
  </si>
  <si>
    <t>Serv.Prest. 02/03/2026 a 08/03/2026 - PIX: CELULAR - CHAVE: (73) 99982-9939</t>
  </si>
  <si>
    <t>Serv.Prest. DIÁRIA 08/03/2026 - PIX: CELULAR - CHAVE: (32) 99841-7315</t>
  </si>
  <si>
    <t>Serv.Prest. DIÁRIA 08/03/2026 - PIX: E-MAIL - CHAVE: ericsilva8marcena@gmail.com</t>
  </si>
  <si>
    <t>Serv.Prest. 06/03, 07/03 e 08/03/2026 - PIX: CELULAR - CHAVE: (31) 99373-5678</t>
  </si>
  <si>
    <t>Serv.Prest. 07/03/2026 e 08/03/2026 - PIX: CELULAR - CHAVE: (31) 99607-6585</t>
  </si>
  <si>
    <t>Serv.Prest. DIÁRIA 08/03/2026 - PIX: CPF - CHAVE: 105.020.076-48</t>
  </si>
  <si>
    <t>Serv.Prest. DIÁRIA 08/03/2026 - PIX: CPF - CHAVE: 152.577.816-11</t>
  </si>
  <si>
    <t>Serv.Prest. DIÁRIA 08/03/2026 - PIX: CELULAR - CHAVE: (32) 98703-8039</t>
  </si>
  <si>
    <t>Serv.Prest. DIÁRIA 06/03/2026 - PIX: CPF - CHAVE: 016.203.336-27</t>
  </si>
  <si>
    <t>Serv.Prest. DIÁRIA 08/03/2026 - PIX: CELULAR - CHAVE: (32) 98889-7793</t>
  </si>
  <si>
    <t>Serv.Prest. DIÁRIA 08/03/2026 - PIX: E-MAIL - CHAVE: juninhomachado789@gmail.com</t>
  </si>
  <si>
    <t>Serv.Prest. DIÁRIA 08/03/2026 - PIX: CELULAR - CHAVE: (11) 98484-6837</t>
  </si>
  <si>
    <t xml:space="preserve">PARCELAMENTO REFIM ISS </t>
  </si>
  <si>
    <t>ISS</t>
  </si>
  <si>
    <t>PARCELAMENTO ISS</t>
  </si>
  <si>
    <t xml:space="preserve">PARCELAMENTO ISS </t>
  </si>
  <si>
    <t>SEGURO VEICULAR - RICHARD HENRIQUE DE SILVA - PLACA HCD3186</t>
  </si>
  <si>
    <t>Serv.Prest. 02/03/2026 a 08/03/2026 - PIX: CELULAR - CHAVE: (11) 98776-2232</t>
  </si>
  <si>
    <t>Serv.Prest. 02/03/2026 a 08/03/2026 - PIX: CELULAR - CHAVE: (43) 99875-6490</t>
  </si>
  <si>
    <t>Serv.Prest. 02/03/2026 a 08/03/2026 - PIX: CELULAR - CHAVE: (34) 99688-5705</t>
  </si>
  <si>
    <t>Serv.Prest. 23/02/2026 a 01/03/2026 - PIX: CPF - CHAVE: 079.930.865-07</t>
  </si>
  <si>
    <t>Serv.Prest. 02/03/2026 a 08/03/2026 - PIX: CPF - CHAVE: 103.983.366-79</t>
  </si>
  <si>
    <t>Serv.Prest. 23/02/2026 a 01/03/2026 - PIX: CELULAR - CHAVE: (43) 99630-7532</t>
  </si>
  <si>
    <t>Serv.Prest. 23/02/2026 a 01/03/2026 - PIX: CELULAR - CHAVE: (33) 98749-5105</t>
  </si>
  <si>
    <t>Serv.Prest. 02/03/2026 a 08/03/2026 - PIX: CELULAR - CHAVE: (11) 97402-1586</t>
  </si>
  <si>
    <t>Serv.Prest. 02/03/2026 a 08/03/2026 - PIX: CPF - CHAVE: 138.798.486-10</t>
  </si>
  <si>
    <t>Serv.Prest. 23/02/2026 a 01/03/2026 - PIX: CPF - CHAVE: 004.682.359-06</t>
  </si>
  <si>
    <t>Serv.Prest. 23/02/2026 a 01/03/2026 - PIX: CELULAR - CHAVE: (43) 99934-1696</t>
  </si>
  <si>
    <t>Serv.Prest. 23/02/2026 a 01/03/2026 - PIX: CPF - CHAVE: 074.604.219-10</t>
  </si>
  <si>
    <t>Serv.Prest. 02/03/2026 a 08/03/2026 - PIX: CPF - CHAVE: 138.263.636-98</t>
  </si>
  <si>
    <t>Serv.Prest. 23/02/2026 a 01/03/2026 - PIX: CNPJ - CHAVE: 64.142.681/0001-05</t>
  </si>
  <si>
    <t>Serv.Prest. 02/03/2026 a 08/03/2026 - PIX: CPF - CHAVE: 128.367.756-37</t>
  </si>
  <si>
    <t>Serv.Prest. 02/03/2026 a 08/03/2026 - PIX: E-MAIL - CHAVE: vicentedanilo51@gmail.com</t>
  </si>
  <si>
    <t>Serv.Prest. 23/02/2026 a 01/03/2026 - PIX: CNPJ - CHAVE: 64.839.868/0001-62</t>
  </si>
  <si>
    <t>Serv.Prest. 02/03/2026 a 08/03/2026 - PIX: E-MAIL - CHAVE: edvam18.alves@gmail.com</t>
  </si>
  <si>
    <t>Serv.Prest. 02/03/2026 a 08/03/2026 - PIX: CPF - CHAVE: 505.341.528-56</t>
  </si>
  <si>
    <t>Serv.Prest. 02/03/2026 a 08/03/2026 - PIX: CELULAR - CHAVE: (71) 98124-7946</t>
  </si>
  <si>
    <t xml:space="preserve">COTA COOPERATIVA </t>
  </si>
  <si>
    <t>Serv.Prest. 02/03/2026 a 08/03/2026 - PIX: CPF - CHAVE: 034.458.495-01</t>
  </si>
  <si>
    <t>Serv.Prest. 02/03/2026 a 08/03/2026 - PIX: CELULAR - CHAVE: (19) 97145-1624</t>
  </si>
  <si>
    <t>Serv.Prest. 02/03/2026 a 08/03/2026 - PIX: CELULAR - CHAVE: (71) 99696-7530</t>
  </si>
  <si>
    <t>Serv.Prest. 23/02/2026 a 01/03/2026 - PIX: CPF - CHAVE: 099.626.666-60</t>
  </si>
  <si>
    <t>Serv.Prest. 02/03/2026 a 08/03/2026 - PIX: CELULAR - CHAVE: (32) 99920-0416</t>
  </si>
  <si>
    <t>Serv.Prest. 02/03/2026 a 08/03/2026 - PIX: CNPJ - CHAVE: 51.676.704/0001-10</t>
  </si>
  <si>
    <t>Serv.Prest. 02/03/2026 a 08/03/2026 - PIX: CPF - CHAVE: 140.108.466-40</t>
  </si>
  <si>
    <t>Serv.Prest. 23/02/2026 a 01/03/2026 - PIX: CPF - CHAVE: 007.842.745-25</t>
  </si>
  <si>
    <t>Serv.Prest. 23/02/2026 a 01/03/2026 - PIX: CPF - CHAVE: 121.963.507-37</t>
  </si>
  <si>
    <t>Serv.Prest. 02/03/2026 a 08/03/2026 - PIX: CELULAR - CHAVE: (11) 91214-6176</t>
  </si>
  <si>
    <t>SERVIDOR PARA UTILIZAÇÃO SD</t>
  </si>
  <si>
    <t>SERVIDOR SITE COOPERATIVA - coopmob.com.br  MARÇO/2026</t>
  </si>
  <si>
    <t>Serv.Prest. 16/02/2026 a 22/02/2026 - RPS: 2294 - NFSe: 366</t>
  </si>
  <si>
    <t>Serv.Prest. 02/03/2026 a 08/03/2026 - PIX: CELULAR - CHAVE: (37) 99146-2630</t>
  </si>
  <si>
    <t>Serv.Prest. 23/02/2026 a 01/03/2026 - PIX: E-MAIL - CHAVE: ericgomes508@gmail.com</t>
  </si>
  <si>
    <t>Serv.Prest. 02/03/2026 a 08/03/2026 - PIX: CELULAR - CHAVE: (31) 99376-7989</t>
  </si>
  <si>
    <t>Serv.Prest. 23/02/2026 a 01/03/2026 - PIX: CELULAR - CHAVE: (73) 98105-2187</t>
  </si>
  <si>
    <t>Serv.Prest. 23/02/2026 a 01/03/2026 - PIX: CPF - CHAVE: 161.508.516-56</t>
  </si>
  <si>
    <t>Serv.Prest. 23/02/2026 a 01/03/2026 - PIX: CPF - CHAVE: 003.157.195-67</t>
  </si>
  <si>
    <t>Serv.Prest. 02/03/2026 a 08/03/2026 - PIX: CELULAR - CHAVE: (73) 98166-3325</t>
  </si>
  <si>
    <t>Serv.Prest. 02/03/2026 a 08/03/2026 - PIX: CPF - CHAVE: 378.223.888-51</t>
  </si>
  <si>
    <t>Serv.Prest. 23/02/2026 a 01/03/2026 - PIX: CELULAR - CHAVE: (73) 99818-9718</t>
  </si>
  <si>
    <t>Serv.Prest. 23/02/2026 a 01/03/2026 - PIX: CELULAR - CHAVE: (33) 98749-4693</t>
  </si>
  <si>
    <t>Serv.Prest. 02/03/2026 a 08/03/2026 - RPS: 2399 - NFSe: 471</t>
  </si>
  <si>
    <t>Serv.Prest. 02/03/2026 a 08/03/2026 - RPS: 2413 - NFSe: 485</t>
  </si>
  <si>
    <t>Serv.Prest. 02/03/2026 a 08/03/2026 - RPS: 2409 - NFSe: 481</t>
  </si>
  <si>
    <t>Serv.Prest. 23/02/2026 a 01/03/2026 - RPS: 2384 - NFSe: 456</t>
  </si>
  <si>
    <t>Serv.Prest. 02/03/2026 a 08/03/2026 - PIX: CNPJ - CHAVE: 64.735.042/0001-53</t>
  </si>
  <si>
    <t>DESCONTO COTA COOPERADO</t>
  </si>
  <si>
    <t>Serv.Prest. 02/03/2026 a 08/03/2026 - PIX: CPF - CHAVE: 016.203.336-27</t>
  </si>
  <si>
    <t>Serv.Prest. 02/03/2026 a 08/03/2026 - PIX: CPF - CHAVE: 100.826.516-04</t>
  </si>
  <si>
    <t>Serv.Prest. 23/02/2026 a 01/03/2026 - RPS: 2341 - NFSe: 413</t>
  </si>
  <si>
    <t>Serv.Prest. 23/02/2026 a 01/03/2026 - RPS: 2342 - NFSe: 414</t>
  </si>
  <si>
    <t>Serv.Prest. 23/02/2026 a 01/03/2026 - RPS: 2366 - NFSe: 438</t>
  </si>
  <si>
    <t>Serv.Prest. 02/03/2026 a 08/03/2026 - RPS: 2393 - NFSe: 465</t>
  </si>
  <si>
    <t>Serv.Prest. 02/03/2026 a 08/03/2026 - RPS: 2394 - NFSe: 466</t>
  </si>
  <si>
    <t>Serv.Prest. 02/03/2026 a 08/03/2026 - RPS: 2395 - NFSe: 467</t>
  </si>
  <si>
    <t>Serv.Prest. 02/03/2026 a 08/03/2026 - RPS: 2396 - NFSe: 468</t>
  </si>
  <si>
    <t>Serv.Prest. 02/03/2026 a 08/03/2026 - RPS: 2397 - NFSe: 469</t>
  </si>
  <si>
    <t>Serv.Prest. 02/03/2026 a 08/03/2026 - RPS: 2400 - NFSe: 472</t>
  </si>
  <si>
    <t>Serv.Prest. 02/03/2026 a 08/03/2026 - RPS: 2401 - NFSe: 473</t>
  </si>
  <si>
    <t>Serv.Prest. 02/03/2026 a 08/03/2026 - RPS: 2402 - NFSe: 474</t>
  </si>
  <si>
    <t>Serv.Prest. 02/03/2026 a 08/03/2026 - RPS: 2403 - NFSe: 475</t>
  </si>
  <si>
    <t>Serv.Prest. 02/03/2026 a 08/03/2026 - RPS: 2404 - NFSe: 476</t>
  </si>
  <si>
    <t>Serv.Prest. 02/03/2026 a 08/03/2026 - RPS: 2405 - NFSe: 477</t>
  </si>
  <si>
    <t>Serv.Prest. 02/03/2026 a 08/03/2026 - RPS: 2406 - NFSe: 478</t>
  </si>
  <si>
    <t>Serv.Prest. 02/03/2026 a 08/03/2026 - RPS: 2407 - NFSe: 479</t>
  </si>
  <si>
    <t>Serv.Prest. 02/03/2026 a 08/03/2026 - RPS: 2411 - NFSe: 483</t>
  </si>
  <si>
    <t>Serv.Prest. 02/03/2026 a 08/03/2026 - RPS: 2414 - NFSe: 486</t>
  </si>
  <si>
    <t>Serv.Prest. 02/03/2026 a 08/03/2026 - RPS: 2417 - NFSe: 489</t>
  </si>
  <si>
    <t>Serv.Prest. 02/03/2026 a 08/03/2026 - RPS: 2418 - NFSe: 490</t>
  </si>
  <si>
    <t>Serv.Prest. 02/03/2026 a 08/03/2026 - RPS: 2419 - NFSe: 491</t>
  </si>
  <si>
    <t>Serv.Prest. 02/03/2026 a 08/03/2026 - RPS: 2420 - NFSe: 492</t>
  </si>
  <si>
    <t>Serv.Prest. 02/03/2026 a 08/03/2026 - RPS: 2421 - NFSe: 493</t>
  </si>
  <si>
    <t>Serv.Prest. 02/03/2026 a 08/03/2026 - RPS: 2422 - NFSe: 494</t>
  </si>
  <si>
    <t>Serv.Prest. 02/03/2026 a 08/03/2026 - RPS: 2423 - NFSe: 495</t>
  </si>
  <si>
    <t>Serv.Prest. 02/03/2026 a 08/03/2026 - RPS: 2424 - NFSe: 496</t>
  </si>
  <si>
    <t>Serv.Prest. 02/03/2026 a 08/03/2026 - RPS: 2425 - NFSe: 497</t>
  </si>
  <si>
    <t>Serv.Prest. 02/03/2026 a 08/03/2026 - RPS: 2426 - NFSe: 498</t>
  </si>
  <si>
    <t>Serv.Prest. 02/03/2026 a 08/03/2026 - RPS: 2427 - NFSe: 499</t>
  </si>
  <si>
    <t>Serv.Prest. 02/03/2026 a 08/03/2026 - RPS: 2428 - NFSe: 500</t>
  </si>
  <si>
    <t>Serv.Prest. 02/03/2026 a 08/03/2026 - RPS: 2429 - NFSe: 501</t>
  </si>
  <si>
    <t>Serv.Prest. 02/03/2026 a 08/03/2026 - RPS: 2430 - NFSe: 502</t>
  </si>
  <si>
    <t>Serv.Prest. 02/03/2026 a 08/03/2026 - RPS: 2431 - NFSe: 503</t>
  </si>
  <si>
    <t>Serv.Prest. 02/03/2026 a 08/03/2026 - RPS: 2432 - NFSe: 504</t>
  </si>
  <si>
    <t>Serv.Prest. 02/03/2026 a 08/03/2026 - PIX: CPF - CHAVE: 116.683.686-09</t>
  </si>
  <si>
    <t>Serv.Prest. 02/03/2026 a 08/03/2026 - PIX: CELULAR - CHAVE: (11) 97702-1316</t>
  </si>
  <si>
    <t>Serv.Prest. DIÁRIA 26/02/2026 - PIX: CHAVE: 1197044497</t>
  </si>
  <si>
    <t>Serv.Prest. 01/03[/2026 a 08/03/2026 - PIX: NÃO CADASTRADO - CHAVE: CEF AG 2986 CONTA 2292-5 POUPANÇA</t>
  </si>
  <si>
    <t xml:space="preserve">REEMBOLSO UBER UM DIA </t>
  </si>
  <si>
    <t>DESPESAS COM REEMBOLSOS</t>
  </si>
  <si>
    <t xml:space="preserve">DESPESAS REEMBOLSO - VIAGEM LIMEIRA RIO CLARO </t>
  </si>
  <si>
    <t xml:space="preserve">DESPESAS REEMBOLSON - KALUNGA OFFICE 365 </t>
  </si>
  <si>
    <t xml:space="preserve">DESPESAS REEMBOLSO - UBER </t>
  </si>
  <si>
    <t>DESPESAS COM VIAGENS OPERACIONAIS</t>
  </si>
  <si>
    <t xml:space="preserve">DESPESAS REEMBOLSO - UBER - ENCONTRO LÍDERES </t>
  </si>
  <si>
    <t xml:space="preserve">DESPESAS REEMBOLSO - ESTACIONAMENTO </t>
  </si>
  <si>
    <t>Serv.Prest. 23/02/2026 a 01/03/2026 - PIX: CELULAR - CHAVE: (31) 98483-3242</t>
  </si>
  <si>
    <t>Serv.Prest. 02/03/2026 a 08/03/2026 - PIX: E-MAIL - CHAVE: flaviovictorxiaomi@gmail.com</t>
  </si>
  <si>
    <t>Serv.Prest. 02/03/2026 a 08/03/2026 - PIX: CPF - CHAVE: 438.843.248-29</t>
  </si>
  <si>
    <t>VALE TRANSPORTE (5 DIAS) E REEMBOLSO UBER</t>
  </si>
  <si>
    <t xml:space="preserve">REEMBOLSO DESPESAS UBER </t>
  </si>
  <si>
    <t xml:space="preserve">REEMBOLSO DE DESPESAS DE VIAGEM - ESCRITÓRIO UBERLANDIA </t>
  </si>
  <si>
    <t>Serv.Prest. 02/03/2026 a 08/03/2026 - PIX: CPF - CHAVE: 866.153.356-20</t>
  </si>
  <si>
    <t>Guia DIFAL referente ao mês 02/2026</t>
  </si>
  <si>
    <t>OUTRAS DESPESAS / TAXAS</t>
  </si>
  <si>
    <t>VALE TRANSPORTE - 8 DIAS (MARÇO/26)</t>
  </si>
  <si>
    <t>REEMBOLSO DESPESAS COM UBER</t>
  </si>
  <si>
    <t>Serv.Prest. 10/03/2026 - PIX: CELULAR - CHAVE: (19) 98944-4977</t>
  </si>
  <si>
    <t>Serv.Prest. DIÁRIA 27/02/2026 - PIX: CELULAR - CHAVE: 11992935521</t>
  </si>
  <si>
    <t>Serv.Prest. 02/03/2026 a 08/03/2026 - PIX: E-MAIL - CHAVE: taison10032@hotmail.com</t>
  </si>
  <si>
    <t>Serv.Prest. 23/02/2026 a 01/03/2026 - PIX: CELULAR - CHAVE: (43) 99830-8026</t>
  </si>
  <si>
    <t>Serv.Prest. 23/02/2026 a 01/03/2026 - PIX: CELULAR - CHAVE: (34) 99832-8427</t>
  </si>
  <si>
    <t>Serv.Prest. 23/02/2026 a 01/03/2026 - PIX: CPF - CHAVE: 096.774.686-85</t>
  </si>
  <si>
    <t>Serv.Prest. 23/02/2026 a 01/03/2026 - PIX: CNPJ - CHAVE: 24.309.889/0001-51</t>
  </si>
  <si>
    <t>Serv.Prest. 23/02/2026 a 01/03/2026 - PIX: CPF - CHAVE: 125.932.666-78</t>
  </si>
  <si>
    <t>Serv.Prest. 23/02/2026 a 01/03/2026 - PIX: CNPJ - CHAVE: 64.557.825/0001-94</t>
  </si>
  <si>
    <t>Serv.Prest. 02/03/2026 a 08/03/2026 - PIX: CPF - CHAVE: 048.672.645-20</t>
  </si>
  <si>
    <t>Serv.Prest. 02/03/2026 a 08/03/2026 - PIX: CELULAR - CHAVE: (32) 98452-8837</t>
  </si>
  <si>
    <t>Serv.Prest. 02/03/2026 a 08/03/2026 - PIX: CPF - CHAVE: 121.158.778-96</t>
  </si>
  <si>
    <t>Serv.Prest. 02/03/2026 a 08/03/2026 - PIX: CPF - CHAVE: 355.445.218-16</t>
  </si>
  <si>
    <t>Serv.Prest. 02/03/2026 a 08/03/2026 - PIX: CPF - CHAVE: 480.727.928-90</t>
  </si>
  <si>
    <t>Serv.Prest. 02/03/2026 a 08/03/2026 - PIX: CELULAR - CHAVE: (32) 98492-7371</t>
  </si>
  <si>
    <t>Serv.Prest. 02/03/2026 a 08/03/2026 - PIX: CELULAR - CHAVE: (11) 98482-0070</t>
  </si>
  <si>
    <t>Serv.Prest. 02/03/2026 a 08/03/2026 - PIX: E-MAIL - CHAVE: claudioverdinho2009@hotmail.com</t>
  </si>
  <si>
    <t>Serv.Prest. 02/03/2026 a 08/03/2026 - PIX: CPF - CHAVE: 114.806.766-32</t>
  </si>
  <si>
    <t>Serv.Prest. 02/03/2026 a 08/03/2026 - PIX: CPF - CHAVE: 026.311.016-85</t>
  </si>
  <si>
    <t>Serv.Prest. 02/03/2026 a 08/03/2026 - PIX: CELULAR - CHAVE: (28) 99904-4082</t>
  </si>
  <si>
    <t>Serv.Prest. 02/03/2026 a 08/03/2026 - PIX: CPF - CHAVE: 491.327.628-01</t>
  </si>
  <si>
    <t>Serv.Prest. 02/03/2026 a 08/03/2026 - PIX: CPF - CHAVE: 388.052.378-92</t>
  </si>
  <si>
    <t>Serv.Prest. 02/03/2026 a 08/03/2026 - PIX: CPF - CHAVE: 020.590.606-05</t>
  </si>
  <si>
    <t>Serv.Prest. 02/03/2026 a 08/03/2026 - PIX: E-MAIL - CHAVE: karinasilvaaparecida1286@gmail.com</t>
  </si>
  <si>
    <t>Serv.Prest. 02/03/2026 a 08/03/2026 - PIX: CELULAR - CHAVE: (37) 99197-6834</t>
  </si>
  <si>
    <t>Serv.Prest. 02/03/2026 a 08/03/2026 - PIX: CELULAR - CHAVE: (37) 98841-8571</t>
  </si>
  <si>
    <t>Serv.Prest. 02/03/2026 a 08/03/2026 - PIX: E-MAIL - CHAVE: doug6866@gmail.com</t>
  </si>
  <si>
    <t>Serv.Prest. 02/03/2026 a 08/03/2026 - PIX: CPF - CHAVE: 568.250.486-00</t>
  </si>
  <si>
    <t>Serv.Prest. 02/03/2026 a 08/03/2026 - PIX: CPF - CHAVE: 373.103.168-00</t>
  </si>
  <si>
    <t>Serv.Prest. 02/03/2026 a 08/03/2026 - PIX: CELULAR - CHAVE: (19) 99893-1311</t>
  </si>
  <si>
    <t>Serv.Prest. 02/03/2026 a 08/03/2026 - PIX: CPF - CHAVE: 085.309.406-36</t>
  </si>
  <si>
    <t>Serv.Prest. 02/03/2026 a 08/03/2026 - PIX: CPF - CHAVE: 397.101.368-60</t>
  </si>
  <si>
    <t>Serv.Prest. 02/03/2026 a 08/03/2026 - PIX: CELULAR - CHAVE: (19) 98709-1753</t>
  </si>
  <si>
    <t>Serv.Prest. 02/03/2026 a 08/03/2026 - PIX: CELULAR - CHAVE: (19) 99674-2835</t>
  </si>
  <si>
    <t>Serv.Prest. 02/03/2026 a 08/03/2026 - PIX: CELULAR - CHAVE: (19) 98258-0687</t>
  </si>
  <si>
    <t>Serv.Prest. 02/03/2026 a 08/03/2026 - PIX: CNPJ - CHAVE: 48.182.907/0001-45</t>
  </si>
  <si>
    <t>Serv.Prest. 02/03/2026 a 08/03/2026 - PIX: CELULAR - CHAVE: (19) 99994-0858</t>
  </si>
  <si>
    <t>Serv.Prest. 02/03/2026 a 08/03/2026 - PIX: CELULAR - CHAVE: (19) 97822-4918</t>
  </si>
  <si>
    <t>Serv.Prest. 02/03/2026 a 08/03/2026 - PIX: CPF - CHAVE: 472.998.978-30</t>
  </si>
  <si>
    <t>Serv.Prest. 02/03/2026 a 08/03/2026 - PIX: CPF - CHAVE: 533.495.008-70</t>
  </si>
  <si>
    <t>Serv.Prest. 02/03/2026 a 08/03/2026 - PIX: CPF - CHAVE: 026.422.254-70</t>
  </si>
  <si>
    <t>Serv.Prest. 02/03/2026 a 08/03/2026 - PIX: CPF - CHAVE: 419.678.508-52</t>
  </si>
  <si>
    <t>Serv.Prest. 02/03/2026 a 08/03/2026 - PIX: CPF - CHAVE: 500.480.978-02</t>
  </si>
  <si>
    <t>Serv.Prest. 02/03/2026 a 08/03/2026 - PIX: CELULAR - CHAVE: (11) 91487-0314</t>
  </si>
  <si>
    <t>Serv.Prest. 02/03/2026 a 08/03/2026 - PIX: CELULAR - CHAVE: (11) 98439-2238</t>
  </si>
  <si>
    <t>Serv.Prest. 02/03/2026 a 08/03/2026 - PIX: CELULAR - CHAVE: (11) 91097-0937</t>
  </si>
  <si>
    <t>Serv.Prest. 02/03/2026 a 08/03/2026 - PIX: CPF - CHAVE: 499.814.888-52</t>
  </si>
  <si>
    <t>Serv.Prest. 02/03/2026 a 08/03/2026 - PIX: CPF - CHAVE: 423.685.688-32</t>
  </si>
  <si>
    <t>Serv.Prest. 02/03/2026 a 08/03/2026 - PIX: CELULAR - CHAVE: (11) 94195-2534</t>
  </si>
  <si>
    <t>Serv.Prest. 02/03/2026 a 08/03/2026 - PIX: CELULAR - CHAVE: (11) 99270-3082</t>
  </si>
  <si>
    <t>Serv.Prest. 02/03/2026 a 08/03/2026 - PIX: CELULAR - CHAVE: (11) 98281-4526</t>
  </si>
  <si>
    <t>Serv.Prest. 02/03/2026 a 08/03/2026 - PIX: CPF - CHAVE: 370.849.948-40</t>
  </si>
  <si>
    <t>Serv.Prest. 02/03/2026 a 08/03/2026 - PIX: NÃO CADASTRADO - CHAVE: -</t>
  </si>
  <si>
    <t>Serv.Prest. 02/03/2026 a 08/03/2026 - PIX: CPF - CHAVE: 396.877.618-65</t>
  </si>
  <si>
    <t>Serv.Prest. 02/02/2026 a 08/03/2026 - PIX: CELULAR - CHAVE: (11) 98484-6837</t>
  </si>
  <si>
    <t>Serv.Prest. 02/03/2026 a 08/03/2026 - PIX: CPF - CHAVE: 361.750.258-06</t>
  </si>
  <si>
    <t>Serv.Prest. 02/03/2026 a 08/03/2026 - PAGAR GUILHERME AMARAL PIX: CPF: 442.268.128-16</t>
  </si>
  <si>
    <t>Serv.Prest. 02/03/2026 a 08/03/2026 - PIX: CELULAR - CHAVE: (14) 98205-8697</t>
  </si>
  <si>
    <t>Serv.Prest. 02/03/2026 a 08/03/2026 - PIX: CPF - CHAVE: 125.932.666-78</t>
  </si>
  <si>
    <t>Serv.Prest. DIARIA 08/03/2026 - PIX: CELULAR - CHAVE: (34) 99991-3450</t>
  </si>
  <si>
    <t>Serv.Prest. DIARIA 08/03/2026 - PIX: CELULAR - CHAVE: (34) 99688-5705</t>
  </si>
  <si>
    <t>Serv.Prest. 02/03/2026 a 08/03/2026 - PIX: CHAVE ALEATÓRIA - CHAVE: b7127766-e2b6-47e0-bdc0-95f13babb6f4</t>
  </si>
  <si>
    <t>Serv.Prest. 02/03/2026 a 08/03/2026 - PIX: E-MAIL - CHAVE: wender.56@hotmail.com</t>
  </si>
  <si>
    <t>Serv.Prest. DIÁRIA 08/03/2026 - PIX: CPF - CHAVE: 106.393.056-10</t>
  </si>
  <si>
    <t>Serv.Prest. DIÁRIA 09/03, 10/03/ e 11/03 - PIX: CPF - CHAVE: 276.110.698-96</t>
  </si>
  <si>
    <t>Serv.Prest. 09/03/, 10/03/ E 11/03 - PIX: E-MAIL - CHAVE: gouveavictor4@gmail.com</t>
  </si>
  <si>
    <t>Serv.Prest. DIÁRIA 08/03/2026 - PIX: CPF - CHAVE: 497.247.788-19</t>
  </si>
  <si>
    <t>Serv.Prest. 23/02/2026 a 01/03/2026 - RPS: 2387 - NFSe: 459</t>
  </si>
  <si>
    <t>Serv.Prest. 23/02/2026 a 01/03/2026 - RPS: 2386 - NFSe: 458</t>
  </si>
  <si>
    <t>Serv.Prest. 23/02/2026 a 01/03/2026 - RPS: 2388 - NFSe: 460</t>
  </si>
  <si>
    <t>Serv.Prest. 23/02/2026 a 01/02/2026 - PIX: CELULAR - CHAVE: (73) 988381077</t>
  </si>
  <si>
    <t>Serv.Prest. 01/03/2026 a 08/03/2026 - PIX: CNPJ - CHAVE: 64.557.825/0001-94</t>
  </si>
  <si>
    <t>Guia ISSQN referente ao mês 02/2026</t>
  </si>
  <si>
    <t>Serv.Prest. DIARIA 12/03/2026 - PIX: CELULAR - CHAVE: (11) 99593-3129</t>
  </si>
  <si>
    <t>PAGAMENTO PRESTACAO DE SERVICO 03/2026</t>
  </si>
  <si>
    <t>Serv.Prest. 16/02/2026 a 22/02/2026 - PIX: CPF: CHAVE - 659.144.816-00</t>
  </si>
  <si>
    <t>Serv.Prest. 23/02/2026 a 01/03/2026 - PIX: CELULAR - CHAVE: (27) 99657-5904</t>
  </si>
  <si>
    <t>Serv.Prest. 23/02/2026 a 01/03/2026 - PIX: CELULAR - CHAVE: (27) 99811-6850</t>
  </si>
  <si>
    <t>Serv.Prest. 23/02/2026 a 01/03/2026 - PIX: CELULAR - CHAVE: (27) 99869-8144</t>
  </si>
  <si>
    <t>Serv.Prest. 23/02/2026 a 01/03/2026 - PIX: CPF - CHAVE: 096.116.707-61</t>
  </si>
  <si>
    <t>Serv.Prest. 23/02/2026 a 01/03/2026 - PIX: CELULAR - CHAVE: (00) 00000-0000</t>
  </si>
  <si>
    <t>Serv.Prest. 23/02/2026 a 01/03/2026 - PIX: CELULAR - CHAVE: (73) 99966-7211</t>
  </si>
  <si>
    <t>Serv.Prest. 23/02/2026 a 01/03/2026 - PIX: CELULAR - CHAVE: (73) 99192-1028</t>
  </si>
  <si>
    <t>Serv.Prest. 23/02/2026 a 01/03/2026 - PIX: CPF - CHAVE: 087.398.185-51</t>
  </si>
  <si>
    <t>Serv.Prest. 23/02/2026 a 01/03/2026 - PIX: CELULAR - CHAVE: (73) 99941-8352</t>
  </si>
  <si>
    <t>Serv.Prest. 23/02/2026 a 01/03/2026 - PIX: CELULAR - CHAVE: (73) 99816-5318</t>
  </si>
  <si>
    <t>Serv.Prest. 23/02/2026 a 01/03/2026 - PIX: CPF - CHAVE: 439.169.103-53</t>
  </si>
  <si>
    <t>Serv.Prest. 23/02/2026 a 01/03/2026 - PIX: CELULAR - CHAVE: (73) 99856-1756</t>
  </si>
  <si>
    <t>Serv.Prest. 23/02/2026 a 01/03/2026 - PIX: CPF - CHAVE: 009.476.175-23</t>
  </si>
  <si>
    <t>Serv.Prest. 23/02/2026 a 01/03/2026 - PIX: CELULAR - CHAVE: (73) 99803-0715</t>
  </si>
  <si>
    <t>Serv.Prest. 23/02/2026 a 01/03/2026 - PIX: CPF - CHAVE: 157.217.827-22</t>
  </si>
  <si>
    <t>Serv.Prest. 23/02/2026 a 01/03/2026 - PIX: CNPJ - CHAVE: 65.104.813/0001-77</t>
  </si>
  <si>
    <t>Serv.Prest. 23/02/2026 a 01/03/2026 - PIX: CELULAR - CHAVE: (73) 99178-4624</t>
  </si>
  <si>
    <t>Serv.Prest. 23/02/2026 a 01/03/2026 - PIX: CNPJ - CHAVE: 33.412.676/0001-41</t>
  </si>
  <si>
    <t>Serv.Prest. 23/02/2026 a 01/03/2026 - PIX: CELULAR - CHAVE: (73) 99977-2721</t>
  </si>
  <si>
    <t>Serv.Prest. 23/02/2026 a 01/03/2026 - PIX: CPF - CHAVE: 072.209.985-11</t>
  </si>
  <si>
    <t>Serv.Prest. 23/02/2026 a 01/03/2026 - PIX: CPF - CHAVE: 079.068.045-97</t>
  </si>
  <si>
    <t>Serv.Prest. 23/02/2026 a 01/03/2026 - PIX: CPF - CHAVE: 108.723.916-80</t>
  </si>
  <si>
    <t>Serv.Prest. 23/02/2026 a 01/03/2026 - PIX: CELULAR - CHAVE: (33) 99877-0415</t>
  </si>
  <si>
    <t>Serv.Prest. 23/02/2026 a 01/03/2026 - PIX: CPF - CHAVE: 125.636.656-04</t>
  </si>
  <si>
    <t>Serv.Prest. 23/02/2026 a 01/03/2026 - PIX: CELULAR - CHAVE: (31) 98556-3149</t>
  </si>
  <si>
    <t>Serv.Prest. 23/02/2026 a 01/03/2026 - PIX: CELULAR - CHAVE: (33) 99861-2274</t>
  </si>
  <si>
    <t>Serv.Prest. 23/02/2026 a 01/03/2026 - PIX: CELULAR - CHAVE: (33) 99110-6940</t>
  </si>
  <si>
    <t>Serv.Prest. 23/02/2026 a 01/03/2026 - PIX: CNPJ - CHAVE: 64.409.849/0001-04</t>
  </si>
  <si>
    <t>Serv.Prest. 23/02/2026 a 01/03/2026 - PIX: CELULAR - CHAVE: (32) 98896-0708</t>
  </si>
  <si>
    <t>Serv.Prest. 23/02/2026 a 01/03/2026 - PIX: CELULAR - CHAVE: (33) 98899-5294</t>
  </si>
  <si>
    <t>Serv.Prest. 23/02/2026 a 01/03/2026 - PIX: CELULAR - CHAVE: (32) 99928-9092</t>
  </si>
  <si>
    <t>Serv.Prest. 23/02/2026 a 01/03/2026 - PIX: CELULAR - CHAVE: (32) 99166-8238</t>
  </si>
  <si>
    <t>Serv.Prest. 23/02/2026 a 01/03/2026 - PIX: CELULAR - CHAVE: (33) 98845-4528</t>
  </si>
  <si>
    <t>Serv.Prest. 23/02/2026 a 01/03/2026 - PIX: CELULAR - CHAVE: (31) 98511-2851</t>
  </si>
  <si>
    <t>Serv.Prest. 23/02/2026 a 01/03/2026 - PIX: CELULAR - CHAVE: (32) 99177-6167</t>
  </si>
  <si>
    <t>Serv.Prest. 23/02/2026 a 01/03/2026 - PIX: CPF - CHAVE: 110.483.296-82</t>
  </si>
  <si>
    <t>Serv.Prest. 23/02/2026 a 01/03/2026 - PIX: CELULAR - CHAVE: (33) 99802-1883</t>
  </si>
  <si>
    <t>Serv.Prest. 23/02/2026 a 01/03/2026 - PIX: CELULAR - CHAVE: (31) 99610-7049</t>
  </si>
  <si>
    <t>Serv.Prest. 23/02/2026 a 01/03/2026 - PIX: CHAVE ALEATÓRIA - CHAVE: fa1cc12c-4f59-4ff9-b237-7274b08cf38e</t>
  </si>
  <si>
    <t>Serv.Prest. 23/02/2026 a 01/03/2026 - PIX: CELULAR - CHAVE: (33) 99874-0376</t>
  </si>
  <si>
    <t>Serv.Prest. 23/02/2026 a 01/03/2026 - PIX: CELULAR - CHAVE: (33) 98890-5095</t>
  </si>
  <si>
    <t>Serv.Prest. 23/02/2026 a 01/03/2026 - PIX: CPF - CHAVE: 141.134.256-98</t>
  </si>
  <si>
    <t>Serv.Prest. 23/02/2026 a 01/03/2026 - PIX: CPF - CHAVE: 070.073.316-70</t>
  </si>
  <si>
    <t>Serv.Prest. 23/02/2026 a 01/03/2026 - PIX: E-MAIL - CHAVE: ezequielcorrea123@gmail.com</t>
  </si>
  <si>
    <t>Serv.Prest. 23/02/2026 a 01/03/2026 - PIX: CPF - CHAVE: 163.440.926-45</t>
  </si>
  <si>
    <t>Serv.Prest. 23/02/2026 a 01/03/2026 - PIX: CPF - CHAVE: 179.800.027-09</t>
  </si>
  <si>
    <t>Serv.Prest. 23/02/2026 a 01/03/2026 - PIX: CELULAR - CHAVE: (33) 98408-4618</t>
  </si>
  <si>
    <t>Serv.Prest. 23/02/2026 a 01/03/2026 - PIX: CNPJ - CHAVE: 41.602.926/0001-34</t>
  </si>
  <si>
    <t>Serv.Prest. 23/02/2026 a 01/03/2026 - PIX: CPF - CHAVE: 386.313.426-53</t>
  </si>
  <si>
    <t>Serv.Prest. 23/02/2026 a 01/03/2026 - PIX: CELULAR - CHAVE: (33) 99706-4860</t>
  </si>
  <si>
    <t>Serv.Prest. 23/02/2026 a 01/03/2026 - PIX: CPF - CHAVE: 113.084.266-58</t>
  </si>
  <si>
    <t>Serv.Prest. 23/02/2026 a 01/03/2026 - PIX: CELULAR - CHAVE: (33) 98429-0263</t>
  </si>
  <si>
    <t>Serv.Prest. 23/02/2026 a 01/03/2026 - PIX: CELULAR - CHAVE: (31) 99812-7173</t>
  </si>
  <si>
    <t>Serv.Prest. 23/02/2026 a 01/03/2026 - PIX: CPF - CHAVE: 126.873.296-65</t>
  </si>
  <si>
    <t>Serv.Prest. 23/02/2026 a 01/03/2026 - PIX: E-MAIL - CHAVE: jhonantanlacerda@gmail.com</t>
  </si>
  <si>
    <t>Serv.Prest. 23/02/2026 a 01/03/2026 - PIX: CELULAR - CHAVE: (33) 99924-7557</t>
  </si>
  <si>
    <t>Serv.Prest. 23/02/2026 a 01/03/2026 - PIX: CPF - CHAVE: 602.838.315-53</t>
  </si>
  <si>
    <t>Serv.Prest. 23/02/2026 a 01/03/2026 - PIX: E-MAIL - CHAVE: jcarlosctga36@hotmail.com</t>
  </si>
  <si>
    <t>Serv.Prest. 23/02/2026 a 01/03/2026 - PIX: CPF - CHAVE: 012.459.366-62</t>
  </si>
  <si>
    <t>Serv.Prest. 23/02/2026 a 01/03/2026 - PIX: CELULAR - CHAVE: (64) 98124-5160</t>
  </si>
  <si>
    <t>Serv.Prest. 23/02/2026 a 01/03/2026 - PIX: CELULAR - CHAVE: (31) 98674-8323</t>
  </si>
  <si>
    <t>Serv.Prest. 23/02/2026 a 01/03/2026 - PIX: E-MAIL - CHAVE: juninhomachado789@gmail.com</t>
  </si>
  <si>
    <t>Serv.Prest. 23/02/2026 a 01/03/2026 - PIX: CELULAR - CHAVE: (33) 99106-9330</t>
  </si>
  <si>
    <t>Serv.Prest. 23/02/2026 a 01/03/2026 - PIX: CPF - CHAVE: 057.893.536-81</t>
  </si>
  <si>
    <t>Serv.Prest. 23/02/2026 a 01/03/2026 - PIX: CELULAR - CHAVE: (31) 97145-0796</t>
  </si>
  <si>
    <t>Serv.Prest. 23/02/2026 a 01/03/2026 - PIX: CELULAR - CHAVE: (33) 99981-6650</t>
  </si>
  <si>
    <t>Serv.Prest. 23/02/2026 a 01/03/2026 - PIX: CPF - CHAVE: 705.097.186-39</t>
  </si>
  <si>
    <t>Serv.Prest. 23/02/2026 a 01/03/2026 - PIX: CELULAR - CHAVE: (33) 98427-3872</t>
  </si>
  <si>
    <t>Serv.Prest. 23/02/2026 a 01/03/2026 - PIX: E-MAIL - CHAVE: dih.mdr@gmail.com</t>
  </si>
  <si>
    <t>Serv.Prest. 23/02/2026 a 01/03/2026 - PIX: CELULAR - CHAVE: (33) 99194-2339</t>
  </si>
  <si>
    <t>Serv.Prest. 23/02/2026 a 01/03/2026 - PIX: CELULAR - CHAVE: (31) 99076-6539</t>
  </si>
  <si>
    <t>Serv.Prest. 23/02/2026 a 01/03/2026 - PIX: CELULAR - CHAVE: (33) 99845-0493</t>
  </si>
  <si>
    <t>Serv.Prest. 23/02/2026 a 01/03/2026 - PIX: CPF - CHAVE: 123.020.026-60</t>
  </si>
  <si>
    <t>Serv.Prest. 23/02/2026 a 01/03/2026 - PIX: CPF - CHAVE: 108.680.396-59</t>
  </si>
  <si>
    <t>Serv.Prest. 23/02/2026 a 01/03/2026 - PIX: CPF - CHAVE: 037.974.316-78</t>
  </si>
  <si>
    <t>Serv.Prest. 23/02/2026 a 01/03/2026 - PIX: CELULAR - CHAVE: (31) 99216-8711</t>
  </si>
  <si>
    <t>Serv.Prest. 23/02/2026 a 01/03/2026 - PIX: CELULAR - CHAVE: (31) 97339-3761</t>
  </si>
  <si>
    <t>Serv.Prest. 23/02/2026 a 01/03/2026 - PIX: CPF - CHAVE: 135.640.066-30</t>
  </si>
  <si>
    <t>Serv.Prest. 23/02/2026 a 01/03/2026 - PIX: CPF - CHAVE: 012.783.036-77</t>
  </si>
  <si>
    <t>Serv.Prest. 23/02/2026 a 01/03/2026 - PIX: E-MAIL - CHAVE: roger.l.borges04@gmail.com</t>
  </si>
  <si>
    <t>Serv.Prest. 23/02/2026 a 01/03/2026 - PIX: CPF - CHAVE: 700.147.856-33</t>
  </si>
  <si>
    <t>Serv.Prest. 23/02/2026 a 01/03/2026 - PIX: CNPJ - CHAVE: 64.690.606/0001-89</t>
  </si>
  <si>
    <t>Serv.Prest. 23/02/2026 a 01/03/2026 - PIX: CPF - CHAVE: 048.151.276-46</t>
  </si>
  <si>
    <t>Serv.Prest. 23/02/2026 a 01/03/2026 - PIX: CPF - CHAVE: 097.855.786-74</t>
  </si>
  <si>
    <t>Serv.Prest. 23/02/2026 a 01/03/2026 - PIX: CELULAR - CHAVE: (33) 99880-7941</t>
  </si>
  <si>
    <t>Serv.Prest. 23/02/2026 a 01/03/2026 - PIX: CPF - CHAVE: 130.194.566-81</t>
  </si>
  <si>
    <t>Serv.Prest. 23/02/2026 a 01/03/2026 - PIX: CELULAR - CHAVE: (33) 99118-9032</t>
  </si>
  <si>
    <t>Serv.Prest. 23/02/2026 a 01/03/2026 - PIX: CPF - CHAVE: 700.454.836-80</t>
  </si>
  <si>
    <t>Serv.Prest. 23/02/2026 a 01/03/2026 - PIX: CELULAR - CHAVE: (33) 98806-5772</t>
  </si>
  <si>
    <t>Serv.Prest. 23/02/2026 a 01/03/2026 - PIX: CELULAR - CHAVE: (33) 99996-3668</t>
  </si>
  <si>
    <t>Serv.Prest. 23/02/2026 a 01/03/2026 - PIX: CELULAR - CHAVE: (31) 99506-2265</t>
  </si>
  <si>
    <t>Serv.Prest. 23/02/2026 a 01/03/2026 - PIX: E-MAIL - CHAVE: wilianvieirawrv3578@gmail.com</t>
  </si>
  <si>
    <t>Serv.Prest.COMPLEMENTO 02/03/2026 a 08/03/2026 - PIX: CHAVE ALEATÓRIA - CHAVE: b7127766-e2b6-47e0-bdc0-95f13babb6f4</t>
  </si>
  <si>
    <t>Serv.Prest.COMPLEMENTO 02/03/2026 a 08/03/2026 - PIX: E-MAIL - CHAVE: wender.56@hotmail.com</t>
  </si>
  <si>
    <t>Serv.Prest. 02/03/2026 a 08/03/2026- PIX: CELULAR - CHAVE: (34) 99694-0926</t>
  </si>
  <si>
    <t>Serv.Prest. DIÁRIA 10/03/2026 - PIX: CPF - CHAVE: 497.247.788-19</t>
  </si>
  <si>
    <t>Serv.Prest.DIARIAS 10/03 E 11/03/2026 - PIX: CELULAR - CHAVE: (28) 98816-4170</t>
  </si>
  <si>
    <t>Serv.Prest.COMPLEMENTO 02/03/2026 a 08/03/2026 - PIX: E-MAIL - CHAVE: karinasilvaaparecida1286@gmail.com</t>
  </si>
  <si>
    <t>Serv.Prest.COMPLEMENTO 02/03/2026 a 08/03/2026 - PIX: CELULAR - CHAVE: (37) 99197-6834</t>
  </si>
  <si>
    <t>Serv.Prest.COMPLEMENTO 02/03/2026 a 08/03/2026 - PIX: CPF - CHAVE: 020.590.606-05</t>
  </si>
  <si>
    <t>Serv.Prest.COMPLEMENTO 02/03/2026 a 08/03/2026 - PIX: CELULAR - CHAVE: (37) 99138-1777</t>
  </si>
  <si>
    <t>Prest.Serv. DIARIAS 10/03 e 11/03/2026 - PIX CHAVE: (11)94139-4820</t>
  </si>
  <si>
    <t xml:space="preserve">Serv.Prest. DIÁRIA 07/03 e 09/03/2026 - PIX: CPF - CHAVE: 302.919.358-69 </t>
  </si>
  <si>
    <t>Serv.Prest. COMPLEMENTO 02/03/2026 a 08/03/2026 - PIX: CPF - CHAVE: 491.327.628-01</t>
  </si>
  <si>
    <t>Serv.Prest. DIARIA 04/03 a 07/03/2026 - PIX CHAVE: 528.279.248-62</t>
  </si>
  <si>
    <t>Serv.Prest. DIARIA 12/03/2026 PIX: CELULAR - CHAVE: (11) 96180-2717</t>
  </si>
  <si>
    <t>PRESTAÇÃO DE SERVIÇO FEVEREIRO/2026 CHAVE PIX: 49368461000100</t>
  </si>
  <si>
    <t xml:space="preserve">DIARIA 14/03/2026 </t>
  </si>
  <si>
    <t>Serv.Prest. DIARIA 14/03/2026 - PIX: CELULAR - CHAVE: (62) 98459-3826</t>
  </si>
  <si>
    <t>PAGAMENTO LIDERANÇA REF. MES 02/2026 - PIX: CPF - CHAVE: 091.575.986-14</t>
  </si>
  <si>
    <t>PAGAMENTO COMISSAO LIDERES</t>
  </si>
  <si>
    <t>REEMBOLSO ADIANTAMENTO LIDERANÇA</t>
  </si>
  <si>
    <t>Serv.Prest. DIÁRIA 15/03/2026 - PIX: CELULAR - CHAVE: (11) 97702-1316</t>
  </si>
  <si>
    <t>Serv.Prest. 09/03/2026 a 15/03/2026 - PIX: E-MAIL - CHAVE: zulupaulinho@gmail.com</t>
  </si>
  <si>
    <t>Serv.Prest. 09/03/2026 a 15/03/2026 - PIX: CPF - CHAVE: 385.908.908-05</t>
  </si>
  <si>
    <t>Serv.Prest. 09/03/2026 a 15/03/2026 - PIX: E-MAIL - CHAVE: doug6866@gmail.com</t>
  </si>
  <si>
    <t>Serv.Prest. DIÁRIA 15/03/2026 - PIX: CELULAR - CHAVE: (11) 95038-0621</t>
  </si>
  <si>
    <t>Serv.Prest. DIÁRIA 15/03/2026 - PIX: CELULAR - CHAVE: (11) 99220-4018</t>
  </si>
  <si>
    <t>Serv.Prest. 09/03/2026 a 15/03/2026 - PIX: CELULAR - CHAVE: (11) 99220-4018</t>
  </si>
  <si>
    <t>Serv.Prest. DIÁRIA 15/03/2026 - PIX: E-MAIL - CHAVE: ramalhogabriel155@gmail.com</t>
  </si>
  <si>
    <t>Serv.Prest. DIÁRIA 15/03/2026 - PIX: CPF - CHAVE: 423.685.688-32</t>
  </si>
  <si>
    <t>Serv.Prest. DIÁRIA 15/03/2026 - PIX: CPF - CHAVE: 499.340.868-40</t>
  </si>
  <si>
    <t>Serv.Prest. DIÁRIA 15/03/2026 - PIX: CPF - CHAVE: 427.090.718-51</t>
  </si>
  <si>
    <t>Serv.Prest. DIÁRIA 09/03/2026 a 13/03/2026 - PIX: CPF - CHAVE: 530.612.488-70</t>
  </si>
  <si>
    <t>Serv.Prest. DIÁRIA 15/03/2026 - PIX: CPF - CHAVE: 276.110.698-96</t>
  </si>
  <si>
    <t>Serv.Prest. DIÁRIA 09/03/2026 - PIX: CELULAR - CHAVE: (19) 98944-4977</t>
  </si>
  <si>
    <t>Serv.Prest. DIÁRIA 15/03/2026 - PIX: CPF - CHAVE: 052.353.883-99</t>
  </si>
  <si>
    <t>Serv.Prest. DIÁRIA 14/03/2026 - PIX: CPF - CHAVE: 142.473.524-66</t>
  </si>
  <si>
    <t>Serv.Prest. DIARIA 15/03/2026 - PIX: CELULAR - CHAVE: (11) 96180-2717</t>
  </si>
  <si>
    <t>Serv.Prest. DIÁRIA 15/03/2026 - PIX: CELULAR - CHAVE: (11) 94910-8689</t>
  </si>
  <si>
    <t>Serv.Prest. DIARIA 15/03/2026 - PIX: CPF - CHAVE: 135.653.486-40</t>
  </si>
  <si>
    <t>Serv.Prest. DIÁRIA 15/03/2026 - PIX: CPF - CHAVE: 396.877.618-65</t>
  </si>
  <si>
    <t>Serv.Prest. DIÁRIA 15/03/2026 - PIX: CELULAR - CHAVE: (11) 98281-4526</t>
  </si>
  <si>
    <t>Serv.Prest. DIARIA 5/03/2026 - PIX: CELULAR - CHAVE: (73) 99982-9939</t>
  </si>
  <si>
    <t>Serv.Prest.DIARIA 15/03/2026 - PIX: E-MAIL - CHAVE: ericsilva8marcena@gmail.com</t>
  </si>
  <si>
    <t>Serv.Prest. DIARIA 13/03, 14/03 E 5/03/2026 - PIX: CELULAR - CHAVE: (31) 99373-5678</t>
  </si>
  <si>
    <t>Serv.Prest. DIARIA 14/03 E 15/03/2026 - PIX: CELULAR - CHAVE: (31) 99607-6585</t>
  </si>
  <si>
    <t>Serv.Prest. DIARIA 15/03/2026 - PIX: CPF - CHAVE: 105.020.076-48</t>
  </si>
  <si>
    <t>Serv.Prest. DIARIA 15/03/2026 - PIX: CPF - CHAVE: 768.859.176-72</t>
  </si>
  <si>
    <t>Serv.Prest. DIARIA 15/03/2026 - PIX: CELULAR - CHAVE: (32) 98703-8039</t>
  </si>
  <si>
    <t>Serv.Prest. DIARIA 15/03/2026 - PIX: CELULAR - CHAVE: (32) 98889-7793</t>
  </si>
  <si>
    <t>Serv.Prest. 09/03/2026 a 15/03/2026 - PIX: CELULAR - CHAVE: (11) 98484-6837</t>
  </si>
  <si>
    <t>Serv.Prest. 09/03/2026 a 15/03/2026 - PIX: CELULAR - CHAVE: (11) 95054-2206</t>
  </si>
  <si>
    <t>Serv.Prest. 09/03/2026 a 15/03/2026 - PIX: CELULAR - CHAVE: (11) 98776-2232</t>
  </si>
  <si>
    <t>Serv.Prest. DIARIA 12/03/2026 - PIX: CPF - CHAVE: 500.480.978-02</t>
  </si>
  <si>
    <t>Serv.Prest. DIÁRIA 15/03/2026 - PIX: CPF - CHAVE: 152.577.816-11</t>
  </si>
  <si>
    <t>Serv.Prest. DIARIA 15/03/2026 - PIX: CELULAR - CHAVE: (33) 99194-2339</t>
  </si>
  <si>
    <t>Serv.Prest. DIARIA 15/03/2026 - PIX: CPF - CHAVE: 123.020.026-60</t>
  </si>
  <si>
    <t xml:space="preserve">TAXA FUNCIONAMENTO PREFEITURA UBERLANDIA </t>
  </si>
  <si>
    <t>Serv.Prest. 09/03/2026 a 15/03/2026 - PIX: CPF - CHAVE: 054.700.811-25</t>
  </si>
  <si>
    <t>Serv.Prest. 02/03/2026 a 08/03/2026 - PIX: CNPJ - CHAVE: 35.986.676/0001-80</t>
  </si>
  <si>
    <t>Serv.Prest. 09/03/2026 a 15/03/2026 - PIX: CNPJ - CHAVE: 35.986.676/0001-80</t>
  </si>
  <si>
    <t>Serv.Prest. 02/03/2026 a 08/03/2026 - PIX: CPF - CHAVE: 097.245.586-81</t>
  </si>
  <si>
    <t>Serv.Prest. 09/03/2026 a 15/03/2026 - PIX: CELULAR - CHAVE: (73) 988381077</t>
  </si>
  <si>
    <t>DESCONTO COTA COOPERATIVA</t>
  </si>
  <si>
    <t>Serv.Prest. 02/03/2026 a 08/03/2026 - PIX: CELULAR - CHAVE: (31) 98483-3242</t>
  </si>
  <si>
    <t>Serv.Prest. 02/03/2026 a 08/03/2026 - PIX: CPF - CHAVE: 113.084.266-58</t>
  </si>
  <si>
    <t>Serv.Prest. 02/03/2026 a 08/03/2026 - PIX: CELULAR - CHAVE: (32) 98896-0708</t>
  </si>
  <si>
    <t>Serv.Prest. 09/03/2026 a 15/03/2026 - PIX: CELULAR - CHAVE: (32) 98896-0708</t>
  </si>
  <si>
    <t>Serv.Prest. 09/03/2026 a 15/03/2026 - PIX: E-MAIL - CHAVE: claudioverdinho2009@hotmail.com</t>
  </si>
  <si>
    <t>Serv.Prest. 02/03/2026 a 08/03/2026 - PIX: CELULAR - CHAVE: (32) 99177-6167</t>
  </si>
  <si>
    <t>Serv.Prest. 02/03/2026 a 08/03/2026 - PIX: CELULAR - CHAVE: (73) 98191-0061</t>
  </si>
  <si>
    <t>Serv.Prest. 02/03/2026 a 08/03/2026 - PIX: CELULAR - CHAVE: (33) 99802-1883</t>
  </si>
  <si>
    <t>Serv.Prest. 02/03/2026 a 08/03/2026 - PIX: CELULAR - CHAVE: (31) 99610-7049</t>
  </si>
  <si>
    <t>Serv.Prest. 02/03/2026 a 08/03/2026 - PIX: CPF - CHAVE: 141.134.256-98</t>
  </si>
  <si>
    <t>Serv.Prest. 09/03/2026 a 15/03/2026 - PIX: CPF - CHAVE: 048.672.645-20</t>
  </si>
  <si>
    <t>Serv.Prest. 02/03/2026 a 08/03/2026 - PIX: CPF - CHAVE: 070.073.316-70</t>
  </si>
  <si>
    <t>Serv.Prest. 02/03/2026 a 08/03/2026 - PIX: CELULAR - CHAVE: (33) 99706-4860</t>
  </si>
  <si>
    <t>Serv.Prest. 02/03/2026 a 08/03/2026 - PIX: CELULAR - CHAVE: (33) 98429-0263</t>
  </si>
  <si>
    <t>Serv.Prest. 02/03/2026 a 08/03/2026 - PIX: CPF - CHAVE: 439.169.103-53</t>
  </si>
  <si>
    <t>Serv.Prest. 02/03/2026 a 08/03/2026 - PIX: CELULAR - CHAVE: (31) 99812-7173</t>
  </si>
  <si>
    <t>Serv.Prest. 02/03/2026 a 08/03/2026 - PIX: CPF - CHAVE: 126.873.296-65</t>
  </si>
  <si>
    <t>Serv.Prest. 02/03/2026 a 08/03/2026 - PIX: E-MAIL - CHAVE: juninhomachado789@gmail.com</t>
  </si>
  <si>
    <t>Serv.Prest. 02/03/2026 a 08/03/2026 - PIX: CELULAR - CHAVE: (73) 99803-0715</t>
  </si>
  <si>
    <t>Serv.Prest. 09/03/2026 a 15/03/2026 - PIX: CPF - CHAVE: 705.097.186-39</t>
  </si>
  <si>
    <t>Serv.Prest. 02/03/2026 a 08/03/2026 - PIX: E-MAIL - CHAVE: dih.mdr@gmail.com</t>
  </si>
  <si>
    <t>Serv.Prest. 02/03/2026 a 08/03/2026 - PIX: CPF - CHAVE: 123.020.026-60</t>
  </si>
  <si>
    <t>Serv.Prest. 02/03/2026 a 08/03/2026 - PIX: CELULAR - CHAVE: (73) 99977-2721</t>
  </si>
  <si>
    <t>Serv.Prest. 09/03/2026 a 15/03/2026 - PIX: CELULAR - CHAVE: (37) 98841-8571</t>
  </si>
  <si>
    <t>Serv.Prest. 02/03/2026 a 08/03/2026 - PIX: CPF - CHAVE: 130.194.566-81</t>
  </si>
  <si>
    <t>Serv.Prest. 02/03/2026 a 08/03/2026 - PIX: CELULAR - CHAVE: (32) 99800-1691</t>
  </si>
  <si>
    <t>Serv.Prest. 02/03/2026 a 08/03/2026 - PIX: CELULAR - CHAVE: (33) 98806-5772</t>
  </si>
  <si>
    <t>Serv.Prest. 02/03/2026 a 08/03/2026 - PIX: CELULAR - CHAVE: (31) 99506-2265</t>
  </si>
  <si>
    <t>Serv.Prest. 02/03/2026 a 08/03/2026 - PIX: E-MAIL - CHAVE: wilianvieirawrv3578@gmail.com</t>
  </si>
  <si>
    <t>Serv.Prest. 09/03/2026 a 15/03/2026 - PIX: E-MAIL - CHAVE: wilianvieirawrv3578@gmail.com</t>
  </si>
  <si>
    <t xml:space="preserve">REEMBOLSO UNIFORMES </t>
  </si>
  <si>
    <t>RECEITAS COM REEMBOLSOS</t>
  </si>
  <si>
    <t>RECEITAS COM REEMBOLSOS (108)</t>
  </si>
  <si>
    <t>Serv.Prest. 09/03/2026 a 15/03/2026 - PIX: CELULAR - CHAVE: (71) 99696-7530</t>
  </si>
  <si>
    <t xml:space="preserve">REEMBOLSO UNIFORME </t>
  </si>
  <si>
    <t>Serv.Prest. 09/03/2026 a 15/03/2026 - PIX: CELULAR - CHAVE: (19) 98944-4977</t>
  </si>
  <si>
    <t>REEMBOLSO UNIFORMES</t>
  </si>
  <si>
    <t>Serv.Prest. 09/03/2026 a 15/03/2026 - PIX: CPF - CHAVE: 361.750.258-06</t>
  </si>
  <si>
    <t>Serv.Prest. 02/03/2026 a 08/03/2026 - PIX: CPF - CHAVE: 110.483.296-82</t>
  </si>
  <si>
    <t>Serv.Prest. 02/03/2026 a 08/03/2026 - PIX: CELULAR - CHAVE: (73) 99966-7211</t>
  </si>
  <si>
    <t>Serv.Prest. 09/03/2026 a 15/03/2026 - PIX: CELULAR - CHAVE: (73) 99966-7211</t>
  </si>
  <si>
    <t>Serv.Prest. 09/03/2026 a 15/03/2026 - PIX: CELULAR - CHAVE: (71) 99214-9256</t>
  </si>
  <si>
    <t>Serv.Prest. 02/03/2026 a 08/03/2026 - PIX: E-MAIL - CHAVE: ericgomes508@gmail.com</t>
  </si>
  <si>
    <t>REEMBOLSO UNIFORME</t>
  </si>
  <si>
    <t>Serv.Prest. 09/03/2026 a 15/03/2026 - PIX: CPF - CHAVE: 471.142.438-55</t>
  </si>
  <si>
    <t>Serv.Prest. 09/03/2026 a 15/03/2026 - PIX: CELULAR - CHAVE: (11) 94195-2534</t>
  </si>
  <si>
    <t>Serv.Prest. 02/03/2026 a 08/03/2026 - PIX: CPF - CHAVE: 157.217.827-22</t>
  </si>
  <si>
    <t>Serv.Prest. 09/03/2026 a 15/03/2026 - PIX: CPF - CHAVE: 157.217.827-22</t>
  </si>
  <si>
    <t>Serv.Prest. 09/03/2026 a 15/03/2026 - PIX: CELULAR - CHAVE: (11) 95906-5439</t>
  </si>
  <si>
    <t>Serv.Prest. 09/03/2026 a 15/03/2026 - PIX: CPF - CHAVE: 026.422.254-70</t>
  </si>
  <si>
    <t>Serv.Prest. 02/03/2026 a 08/03/2026 - PIX: CELULAR - CHAVE: (73) 99178-4624</t>
  </si>
  <si>
    <t>Serv.Prest. 09/03/2026 a 15/03/2026 - PIX: CELULAR - CHAVE: (73) 99178-4624</t>
  </si>
  <si>
    <t>Serv.Prest. 09/03/2026 a 15/03/2026 - PIX: CPF - CHAVE: 396.877.618-65</t>
  </si>
  <si>
    <t>Serv.Prest. 02/03/2026 a 08/03/2026 - PIX: CELULAR - CHAVE: (33) 99194-2339</t>
  </si>
  <si>
    <t>Serv.Prest. 09/03/2026 a 15/03/2026 - PIX: CELULAR - CHAVE: (11) 98144-5840</t>
  </si>
  <si>
    <t>Serv.Prest. 09/03/2026 a 15/03/2026 - PIX: CELULAR - CHAVE: (11) 97702-1316</t>
  </si>
  <si>
    <t>Serv.Prest. 02/03/2026 a 08/03/2026 - PIX: CNPJ - CHAVE: 33.412.676/0001-41</t>
  </si>
  <si>
    <t>Serv.Prest. 09/03/2026 a 15/03/2026 - PIX: CNPJ - CHAVE: 33.412.676/0001-41</t>
  </si>
  <si>
    <t>Serv.Prest. 09/03/2026 a 15/03/2026 - PIX: CELULAR - CHAVE: (11) 99270-3082</t>
  </si>
  <si>
    <t>Serv.Prest. 09/03/2026 a 15/03/2026 - PIX: CELULAR - CHAVE: (73) 98166-3325</t>
  </si>
  <si>
    <t>Serv.Prest. 09/03/2026 a 15/03/2026 - PIX: CPF - CHAVE: 506.934.998-85</t>
  </si>
  <si>
    <t>REEMBOLSO BAG</t>
  </si>
  <si>
    <t>Serv.Prest. 09/03/2026 a 15/03/2026 - PIX: CPF - CHAVE: 026.311.016-85</t>
  </si>
  <si>
    <t>Serv.Prest. 02/03/2026 a 08/03/2026 - PIX: CELULAR - CHAVE: (33) 99874-0376</t>
  </si>
  <si>
    <t>Serv.Prest. 09/03/2026 a 15/03/2026 - PIX: CELULAR - CHAVE: (33) 99874-0376</t>
  </si>
  <si>
    <t>Serv.Prest. 02/03/2026 a 08/03/2026 - PIX: CELULAR - CHAVE: (73) 988381077</t>
  </si>
  <si>
    <t>Serv.Prest. 09/03/2026 a 15/03/2026 - PIX: CNPJ - CHAVE: 48.182.907/0001-45</t>
  </si>
  <si>
    <t>Serv.Prest. 02/03/2026 a 08/03/2026 - PIX: CPF - CHAVE: 101.220.976-88</t>
  </si>
  <si>
    <t>Serv.Prest. 09/03/2026 a 15/03/2026 - PIX: CPF - CHAVE: 101.220.976-88</t>
  </si>
  <si>
    <t>Serv.Prest. 02/03/2026 a 08/03/2026 - PIX: CELULAR - CHAVE: (33) 98749-4693</t>
  </si>
  <si>
    <t>Serv.Prest. 09/03/2026 a 15/03/2026 - PIX: CELULAR - CHAVE: (33) 98749-4693</t>
  </si>
  <si>
    <t>Serv.Prest. 02/03/2026 a 08/03/2026 - PIX: CPF - CHAVE: 125.636.656-04</t>
  </si>
  <si>
    <t>Serv.Prest. 09/03/2026 a 15/03/2026 - PIX: CPF - CHAVE: 125.636.656-04</t>
  </si>
  <si>
    <t>REELMBOLSO CERTIFICADO DIGITAL 1/2</t>
  </si>
  <si>
    <t>Serv.Prest. 02/03/2026 a 08/03/2026 - PIX: CELULAR - CHAVE: (33) 99859-8751</t>
  </si>
  <si>
    <t>Serv.Prest. 02/03/2026 a 08/03/2026 - PIX: CPF - CHAVE: 097.855.786-74</t>
  </si>
  <si>
    <t>Serv.Prest. 02/03/2026 a 08/03/2026 - PIX: CNPJ - CHAVE: 64.409.849/0001-04</t>
  </si>
  <si>
    <t>Serv.Prest. 02/03/2026 a 08/03/2026 - PIX: CPF - CHAVE: 135.640.066-30</t>
  </si>
  <si>
    <t>Serv.Prest. 09/03/2026 a 15/03/2026 - PIX: CELULAR - CHAVE: (33) 99110-6940</t>
  </si>
  <si>
    <t>Serv.Prest. 02/03/2026 a 08/03/2026 - PIX: CPF - CHAVE: 037.974.316-78</t>
  </si>
  <si>
    <t>Serv.Prest. 02/03/2026 a 08/03/2026 - PIX: CELULAR - CHAVE: (31) 98556-3149</t>
  </si>
  <si>
    <t>Serv.Prest. 09/03/2026 a 15/03/2026 - PIX: CELULAR - CHAVE: (11) 98281-4526</t>
  </si>
  <si>
    <t>Serv.Prest. 02/03/2026 a 08/03/2026 - PIX: CELULAR - CHAVE: (31) 99076-6539</t>
  </si>
  <si>
    <t>Serv.Prest. 09/03/2026 a 15/03/2026 - PIX: CELULAR - CHAVE: (28) 99904-4082</t>
  </si>
  <si>
    <t>Serv.Prest. 02/03/2026 a 08/03/2026 - PIX: CHAVE ALEATÓRIA - CHAVE: fa1cc12c-4f59-4ff9-b237-7274b08cf38e</t>
  </si>
  <si>
    <t>Serv.Prest. 02/03/2026 a 08/03/2026 - PIX: CELULAR - CHAVE: (33) 99106-9330</t>
  </si>
  <si>
    <t>Serv.Prest. 02/03/2026 a 08/03/2026 - PIX: CPF - CHAVE: 121.297.376-33</t>
  </si>
  <si>
    <t>Serv.Prest. 02/03/2026 a 08/03/2026 - PIX: CPF - CHAVE: 179.800.027-09</t>
  </si>
  <si>
    <t>Serv.Prest. 02/03/2026 a 08/03/2026 - PIX: CELULAR - CHAVE: (27) 99869-8144</t>
  </si>
  <si>
    <t>Serv.Prest. 02/03/2026 a 08/03/2026 - PIX: CELULAR - CHAVE: (33) 98427-3872</t>
  </si>
  <si>
    <t>Serv.Prest. 09/03/2026 a 15/03/2026 - PIX: CELULAR - CHAVE: (32) 99920-0416</t>
  </si>
  <si>
    <t>Serv.Prest. 02/03/2026 a 08/03/2026 - PIX: CELULAR - CHAVE: (73) 98105-2187</t>
  </si>
  <si>
    <t>Serv.Prest. 09/03/2026 a 15/03/2026 - RPS: 2445 - NFSe: 517</t>
  </si>
  <si>
    <t>Serv.Prest. 09/03/2026 a 15/03/2026 - RPS: 2453 - NFSe: 525</t>
  </si>
  <si>
    <t>Serv.Prest. 09/03/2026 a 15/03/2026 - RPS: 2457 - NFSe: 529</t>
  </si>
  <si>
    <t>Serv.Prest. 09/03/2026 a 15/03/2026 - RPS: 2460 - NFSe: 532</t>
  </si>
  <si>
    <t>Serv.Prest. 09/03/2026 a 15/03/2026 - RPS: 2459 - NFSe: 531</t>
  </si>
  <si>
    <t>Serv.Prest. 09/03/2026 a 15/03/2026 - RPS: 2449 - NFSe: 521</t>
  </si>
  <si>
    <t>Serv.Prest. 09/03/2026 a 15/03/2026 - RPS: 2446 - NFSe: 518</t>
  </si>
  <si>
    <t>Serv.Prest. 09/03/2026 a 15/03/2026 - RPS: 2455 - NFSe: 527</t>
  </si>
  <si>
    <t>Serv.Prest. 09/03/2026 a 15/03/2026 - RPS: 2456 - NFSe: 528</t>
  </si>
  <si>
    <t>Serv.Prest. 09/03/2026 a 15/03/2026 - RPS: 2458 - NFSe: 530</t>
  </si>
  <si>
    <t>Serv.Prest. 09/03/2026 a 15/03/2026 - RPS: 2463 - NFSe: 535</t>
  </si>
  <si>
    <t>Serv.Prest. 09/03/2026 a 15/03/2026 - RPS: 2464 - NFSe: 536</t>
  </si>
  <si>
    <t>Serv.Prest. 09/03/2026 a 15/03/2026 - RPS: 2465 - NFSe: 537</t>
  </si>
  <si>
    <t>Serv.Prest. 09/03/2026 a 15/03/2026 - RPS: 2467 - NFSe: 539</t>
  </si>
  <si>
    <t>Serv.Prest. 09/03/2026 a 15/03/2026 - RPS: 2468 - NFSe: 540</t>
  </si>
  <si>
    <t>Serv.Prest. 09/03/2026 a 15/03/2026 - RPS: 2469 - NFSe: 541</t>
  </si>
  <si>
    <t>Serv.Prest. 09/03/2026 a 15/03/2026 - RPS: 2470 - NFSe: 542</t>
  </si>
  <si>
    <t>Serv.Prest. 09/03/2026 a 15/03/2026 - RPS: 2471 - NFSe: 543</t>
  </si>
  <si>
    <t>Serv.Prest. 09/03/2026 a 15/03/2026 - RPS: 2472 - NFSe: 544</t>
  </si>
  <si>
    <t>Serv.Prest. 09/03/2026 a 15/03/2026 - RPS: 2474 - NFSe: 546</t>
  </si>
  <si>
    <t>Serv.Prest. 09/03/2026 a 15/03/2026 - RPS: 2475 - NFSe: 547</t>
  </si>
  <si>
    <t>Serv.Prest. 09/03/2026 a 15/03/2026 - RPS: 2476 - NFSe: 548</t>
  </si>
  <si>
    <t>Serv.Prest. 09/03/2026 a 15/03/2026 - RPS: 2477 - NFSe: 549</t>
  </si>
  <si>
    <t>Serv.Prest. 02/03/2026 a 08/03/2026 - RPS: 2433 - NFSe: 505</t>
  </si>
  <si>
    <t>Serv.Prest. 02/03/2026 a 08/03/2026 - RPS: 2434 - NFSe: 506</t>
  </si>
  <si>
    <t>Serv.Prest. 02/03/2026 a 08/03/2026 - RPS: 2435 - NFSe: 507</t>
  </si>
  <si>
    <t>CLUBE DE BENEFICIOS MOTOBOYS - PIX CPF 03291254600</t>
  </si>
  <si>
    <t>SEGURO CAPEMISA APOLICE Nº 1018200570131</t>
  </si>
  <si>
    <t>Serv.Prest. 02/03/2026 a 08/03/2026 - VITOR PIX: E-MAIL: costavitoor77@gmail.com</t>
  </si>
  <si>
    <t>Serv.Prest. 09/03/2026 a 15/03/2026 - PIX: CPF - CHAVE: 034.458.495-01</t>
  </si>
  <si>
    <t>Serv.Prest. 02/03/2026 a 08/03/2026 - PIX: CELULAR - CHAVE: (24) 99846-2202</t>
  </si>
  <si>
    <t>Serv.Prest. 09/03/2026 a 15/03/2026 - PIX: CELULAR - CHAVE: (37) 99197-6834</t>
  </si>
  <si>
    <t>Serv.Prest. 02/03/2026 a 08/03/2026 - PIX: CELULAR - CHAVE: (31) 98511-2851</t>
  </si>
  <si>
    <t>Serv.Prest. 02/03/2026 a 08/03/2026 - PIX: CPF - CHAVE: 012.783.036-77</t>
  </si>
  <si>
    <t>Serv.Prest. 02/03/2026 a 08/03/2026 - PIX: CELULAR - CHAVE: (33) 98845-4528</t>
  </si>
  <si>
    <t>Serv.Prest. 02/03/2026 a 08/03/2026 - PIX: CPF - CHAVE: 155.328.666-94</t>
  </si>
  <si>
    <t>Serv.Prest. 02/03/2026 a 08/03/2026 - PIX: CPF - CHAVE: 860.305.455-07</t>
  </si>
  <si>
    <t>Serv.Prest. 02/03/2026 a 08/03/2026 - PIX: CELULAR - CHAVE: (31) 97145-0796</t>
  </si>
  <si>
    <t>Serv.Prest. 02/03/2026 a 08/03/2026 - PIX: CELULAR - CHAVE: (33) 99118-9032</t>
  </si>
  <si>
    <t>Serv.Prest. 02/03/2026 a 08/03/2026 - PIX: CPF - CHAVE: 072.968.086-08</t>
  </si>
  <si>
    <t>Serv.Prest. 02/03/2026 a 08/03/2026 - PIX: CELULAR - CHAVE: (31) 99216-8711</t>
  </si>
  <si>
    <t>Serv.Prest. 02/03/2026 a 08/03/2026 - PIX: CELULAR - CHAVE: (31) 98674-8323</t>
  </si>
  <si>
    <t>Serv.Prest. 02/03/2026 a 08/03/2026 - PIX: CPF - CHAVE: 012.459.366-62</t>
  </si>
  <si>
    <t>Serv.Prest. 02/03/2026 a 08/03/2026 - PIX: CPF - CHAVE: 163.440.926-45</t>
  </si>
  <si>
    <t>Serv.Prest. 02/03/2026 a 08/03/2026 - PIX: CELULAR - CHAVE: (32) 99928-9092</t>
  </si>
  <si>
    <t>Serv.Prest. 02/03/2026 a 08/03/2026 - PIX: CELULAR - CHAVE: (33) 99973-4407</t>
  </si>
  <si>
    <t>Serv.Prest. 02/03/2026 a 08/03/2026 - PIX: E-MAIL - CHAVE: roger.l.borges04@gmail.com</t>
  </si>
  <si>
    <t>Serv.Prest. 02/03/2026 a 08/03/2026 - PIX: CELULAR - CHAVE: (31) 97339-3761</t>
  </si>
  <si>
    <t>Serv.Prest. 09/03/2026 a 15/03/2026 - PIX: E-MAIL - CHAVE: edvam18.alves@gmail.com</t>
  </si>
  <si>
    <t>Serv.Prest. 02/03/2026 a 08/03/2026 - PIX: CPF - CHAVE: 142.716.106-23</t>
  </si>
  <si>
    <t>Serv.Prest. 02/03/2026 a 08/03/2026 - PIX: CELULAR - CHAVE: (33) 99924-7557</t>
  </si>
  <si>
    <t>Serv.Prest. 02/03/2026 a 08/03/2026 - PIX: CNPJ - CHAVE: 64.142.681/0001-05</t>
  </si>
  <si>
    <t>Serv.Prest. 09/03/2026 a 15/03/2026 - PIX: CELULAR - CHAVE: (34) 99688-5705</t>
  </si>
  <si>
    <t>Serv.Prest. 02/03/2026 a 08/03/2026 - PIX: E-MAIL - CHAVE: jhonantanlacerda@gmail.com</t>
  </si>
  <si>
    <t>Serv.Prest. 09/03/2026 a 15/03/2026 - PIX: E-MAIL - CHAVE: flaviovictorxiaomi@gmail.com</t>
  </si>
  <si>
    <t>Serv.Prest. 02/03/2026 a 08/03/2026 - PIX: CNPJ - CHAVE: 65.104.813/0001-77</t>
  </si>
  <si>
    <t>Serv.Prest. 09/03/2026 a 15/03/2026 - PIX: CPF - CHAVE: 124.575.099-20</t>
  </si>
  <si>
    <t>Serv.Prest. 02/03/2026 a 08/03/2026 - PIX: CPF - CHAVE: 108.680.396-59</t>
  </si>
  <si>
    <t>Serv.Prest. 02/03/2026 a 08/03/2026 - PIX: CELULAR - CHAVE: (33) 99981-6650</t>
  </si>
  <si>
    <t>Serv.Prest. 02/03/2026 a 08/03/2026 - PIX: CPF - CHAVE: 022.635.946-80</t>
  </si>
  <si>
    <t>Serv.Prest. 02/03/2026 a 08/03/2026 - PIX: CPF - CHAVE: 096.116.707-61</t>
  </si>
  <si>
    <t>Serv.Prest. 02/03/2026 a 08/03/2026 - PIX: E-MAIL - CHAVE: turano296801@gmail.com</t>
  </si>
  <si>
    <t>Serv.Prest. 02/03/2026 a 08/03/2026 - PIX: CELULAR - CHAVE: (33) 99996-3668</t>
  </si>
  <si>
    <t>Serv.Prest. 02/03/2026 a 08/03/2026 - PIX: CPF - CHAVE: 108.982.386-09</t>
  </si>
  <si>
    <t>Serv.Prest. 09/03/2026 a 15/03/2026 - RPS: 2454 - NFSe: 526</t>
  </si>
  <si>
    <t>Serv.Prest. 09/03/2026 a 15/03/2026 - RPS: 2462 - NFSe: 534</t>
  </si>
  <si>
    <t>Serv.Prest. 09/03/2026 a 15/03/2026 - RPS: 2479 - NFSe: 551</t>
  </si>
  <si>
    <t>Serv.Prest. 09/03/2026 a 15/03/2026 - RPS: 2481 - NFSe: 553</t>
  </si>
  <si>
    <t>Serv.Prest. 09/03/2026 a 15/03/2026 - RPS: 2473 - NFSe: 545</t>
  </si>
  <si>
    <t>Serv.Prest. 09/03/2026 a 15/03/2026 - RPS: 2478 - NFSe: 550</t>
  </si>
  <si>
    <t>Serv.Prest. 09/03/2026 a 15/03/2026 - RPS: 2448 - NFSe: 520</t>
  </si>
  <si>
    <t>Serv.Prest. 09/03/2026 a 15/03/2026 - PIX: CPF - CHAVE: 866.153.356-20</t>
  </si>
  <si>
    <t>Serv.Prest. 02/03/2026 a 08/03/2026 - PIX: CELULAR - CHAVE: (00) 00000-0000</t>
  </si>
  <si>
    <t xml:space="preserve">DIARIA 17/03/2026 PIX: 04346123163 </t>
  </si>
  <si>
    <t>Serv.Prest. 09/03/2026 a 15/03/2026 - PIX: CPF - CHAVE: 116.683.686-09</t>
  </si>
  <si>
    <t>Serv.Prest. 09/03/2026 a 15/03/2026 - PIX: CPF - CHAVE: 701.088.016-67</t>
  </si>
  <si>
    <t>Serv.Prest. 02/03/2026 a 08/03/2026 - PIX: CELULAR - CHAVE: (43) 99630-7532</t>
  </si>
  <si>
    <t>Serv.Prest. 02/03/2026 a 08/03/2026 - PIX: CPF - CHAVE: 004.682.359-06</t>
  </si>
  <si>
    <t>Serv.Prest. 02/03/2026 a 08/03/2026 - PIX: CELULAR - CHAVE: (43) 99934-1696</t>
  </si>
  <si>
    <t>Serv.Prest. 02/03/2026 a 08/03/2026 - PIX: CPF - CHAVE: 074.604.219-10</t>
  </si>
  <si>
    <t>Serv.Prest. 02/03/2026 a 08/03/2026 - PIX: CELULAR - CHAVE: (43) 99830-8026</t>
  </si>
  <si>
    <t>Serv.Prest. 02/03/2026 a 08/03/2026 - PIX: CPF - CHAVE: 079.930.865-07</t>
  </si>
  <si>
    <t>Serv.Prest. 02/03/2026 a 08/03/2026 - PIX: CNPJ - CHAVE: 64.557.825/0001-94</t>
  </si>
  <si>
    <t>Serv.Prest. 02/03/2026 a 08/03/2026 - PIX: CPF - CHAVE: 099.626.666-60</t>
  </si>
  <si>
    <t>Serv.Prest. 02/03/2026 a 08/03/2026 - PIX: CPF - CHAVE: 108.723.916-80</t>
  </si>
  <si>
    <t>Serv.Prest. 02/03/2026 a 08/03/2026 - PIX: CELULAR - CHAVE: (27) 99657-5904</t>
  </si>
  <si>
    <t>Serv.Prest. 02/03/2026 a 08/03/2026 - PIX: CELULAR - CHAVE: (27) 99811-6850</t>
  </si>
  <si>
    <t>Serv.Prest. 02/03/2026 a 08/03/2026 - PIX: CNPJ - CHAVE: 40.359.224/0001-09</t>
  </si>
  <si>
    <t>Serv.Prest. 02/03/2026 a 08/03/2026 - PIX: CPF - CHAVE: 121.963.507-37</t>
  </si>
  <si>
    <t>Serv.Prest. 02/03/2026 a 08/03/2026 - PIX: CELULAR - CHAVE: (73) 99192-1028</t>
  </si>
  <si>
    <t>Serv.Prest. 02/03/2026 a 08/03/2026 - PIX: E-MAIL - CHAVE: geovanisilvasantos311@gmail.com</t>
  </si>
  <si>
    <t>Serv.Prest. 02/03/2026 a 08/03/2026 - PIX: CELULAR - CHAVE: (73) 99941-8352</t>
  </si>
  <si>
    <t>Serv.Prest. 02/03/2026 a 08/03/2026 - PIX: CPF - CHAVE: 768.859.176-72</t>
  </si>
  <si>
    <t>Serv.Prest. 02/03/2026 a 08/03/2026 - PIX: CELULAR - CHAVE: (73) 99816-5318</t>
  </si>
  <si>
    <t>Serv.Prest. 02/03/2026 a 08/03/2026 - PIX: CELULAR - CHAVE: (73) 99856-1756</t>
  </si>
  <si>
    <t>Serv.Prest. 02/03/2026 a 08/03/2026 - PIX: CPF - CHAVE: 009.476.175-23</t>
  </si>
  <si>
    <t>Serv.Prest. 02/03/2026 a 08/03/2026 - PIX: CPF - CHAVE: 094.700.685-05</t>
  </si>
  <si>
    <t>Serv.Prest. 02/03/2026 a 08/03/2026 - PIX: CPF - CHAVE: 003.157.195-67</t>
  </si>
  <si>
    <t>Serv.Prest. 02/03/2026 a 08/03/2026 - PIX: CPF - CHAVE: 072.209.985-11</t>
  </si>
  <si>
    <t>Serv.Prest. 02/03/2026 a 08/03/2026 - PIX: CELULAR - CHAVE: (73) 99818-9718</t>
  </si>
  <si>
    <t>Serv.Prest. 02/03/2026 a 08/03/2026 - PIX: CPF - CHAVE: 079.068.045-97</t>
  </si>
  <si>
    <t>Serv.Prest. 02/03/2026 a 08/03/2026 - PIX: CPF - CHAVE: 096.891.935-97</t>
  </si>
  <si>
    <t>Serv.Prest. 02/03/2026 a 08/03/2026 - PIX: CELULAR - CHAVE: (33) 99861-2274</t>
  </si>
  <si>
    <t>Serv.Prest. 02/03/2026 a 08/03/2026 - PIX: CPF - CHAVE: 037.192.076-09</t>
  </si>
  <si>
    <t>Serv.Prest. 02/03/2026 a 08/03/2026 - PIX: CELULAR - CHAVE: (33) 98899-5294</t>
  </si>
  <si>
    <t>Serv.Prest. 02/03/2026 a 08/03/2026 - PIX: CELULAR - CHAVE: (32) 99166-8238</t>
  </si>
  <si>
    <t>Serv.Prest. 02/03/2026 a 08/03/2026 - PIX: CPF - CHAVE: 162.540.206-61</t>
  </si>
  <si>
    <t>Serv.Prest. 02/03/2026 a 08/03/2026 - PIX: CELULAR - CHAVE: (33) 98749-5105</t>
  </si>
  <si>
    <t>Serv.Prest. 02/03/2026 a 08/03/2026 - PIX: CNPJ - CHAVE: 64.839.868/0001-62</t>
  </si>
  <si>
    <t>Serv.Prest. 02/03/2026 a 08/03/2026 - PIX: E-MAIL - CHAVE: ezequielcorrea123@gmail.com</t>
  </si>
  <si>
    <t>Serv.Prest. 02/03/2026 a 08/03/2026 - PIX: CELULAR - CHAVE: (33) 98408-4618</t>
  </si>
  <si>
    <t>Serv.Prest. 02/03/2026 a 08/03/2026 - PIX: CNPJ - CHAVE: 41.602.926/0001-34</t>
  </si>
  <si>
    <t>Serv.Prest. 02/03/2026 a 08/03/2026 - PIX: CPF - CHAVE: 386.313.426-53</t>
  </si>
  <si>
    <t>Serv.Prest. 02/03/2026 a 08/03/2026 - PIX: CELULAR - CHAVE: (33) 98836-6015</t>
  </si>
  <si>
    <t>Serv.Prest. 02/03/2026 a 08/03/2026 - PIX: CPF - CHAVE: 602.838.315-53</t>
  </si>
  <si>
    <t>Serv.Prest. 02/03/2026 a 08/03/2026 - PIX: E-MAIL - CHAVE: jcarlosctga36@hotmail.com</t>
  </si>
  <si>
    <t>Serv.Prest. 02/03/2026 a 08/03/2026 - PIX: CPF - CHAVE: 057.893.536-81</t>
  </si>
  <si>
    <t>Serv.Prest. 02/03/2026 a 08/03/2026 - PIX: CPF - CHAVE: 161.508.516-56</t>
  </si>
  <si>
    <t>Serv.Prest. 02/03/2026 a 08/03/2026 - PIX: CELULAR - CHAVE: (33) 99172-0627</t>
  </si>
  <si>
    <t>Serv.Prest. 02/03/2026 a 08/03/2026 - PIX: CELULAR - CHAVE: (33) 99845-0493</t>
  </si>
  <si>
    <t>Serv.Prest. 02/03/2026 a 08/03/2026 - PIX: CPF - CHAVE: 700.147.856-33</t>
  </si>
  <si>
    <t>Serv.Prest. 02/03/2026 a 08/03/2026 - PIX: CNPJ - CHAVE: 64.690.606/0001-89</t>
  </si>
  <si>
    <t>Serv.Prest. 02/03/2026 a 08/03/2026 - PIX: CPF - CHAVE: 048.151.276-46</t>
  </si>
  <si>
    <t>Serv.Prest. 02/03/2026 a 08/03/2026 - PIX: CELULAR - CHAVE: (33) 99880-7941</t>
  </si>
  <si>
    <t>Serv.Prest. 02/03/2026 a 08/03/2026 - PIX: CPF - CHAVE: 092.566.416-23</t>
  </si>
  <si>
    <t>Serv.Prest. 02/03/2026 a 08/03/2026 - PIX: CPF - CHAVE: 700.454.836-80</t>
  </si>
  <si>
    <t>Serv.Prest. 02/03/2026 a 08/03/2026 - PIX: CELULAR - CHAVE: (34) 99314-4680</t>
  </si>
  <si>
    <t>Serv.Prest. 02/03/2026 a 08/03/2026 - PIX: CELULAR - CHAVE: (34) 99832-8427</t>
  </si>
  <si>
    <t>Serv.Prest. 02/03/2026 a 08/03/2026 - PIX: CPF - CHAVE: 096.774.686-85</t>
  </si>
  <si>
    <t>Serv.Prest. 02/03/2026 a 08/03/2026 - PIX: CNPJ - CHAVE: 24.309.889/0001-51</t>
  </si>
  <si>
    <t>Serv.Prest. 09/03/2026 a 15/03/2026 - PIX: CPF - CHAVE: 497.247.788-19</t>
  </si>
  <si>
    <t>Serv.Prest. 09/03/2026 a 15/03/2026 - PIX: CELULAR - CHAVE: (19) 98985-7796</t>
  </si>
  <si>
    <t>Serv.Prest. 09/03/2026 a 15/03/2026 - PIX: CPF - CHAVE: 373.103.168-00</t>
  </si>
  <si>
    <t>Serv.Prest. 09/03/2026 a 15/03/2026 - PIX: CELULAR - CHAVE: (19) 99893-1311</t>
  </si>
  <si>
    <t>Serv.Prest. 09/03/2026 a 15/03/2026 - PIX: CPF - CHAVE: 085.309.406-36</t>
  </si>
  <si>
    <t>Serv.Prest. 09/03/2026 a 15/03/2026 - PIX: CPF - CHAVE: 397.101.368-60</t>
  </si>
  <si>
    <t>Serv.Prest. 09/03/2026 a 15/03/2026 - PIX: CPF - CHAVE: 438.843.248-29</t>
  </si>
  <si>
    <t>Serv.Prest. 09/03/2026 a 15/03/2026 - PIX: CELULAR - CHAVE: (19) 99674-2835</t>
  </si>
  <si>
    <t>Serv.Prest. 09/03/2026 a 15/03/2026 - PIX: CELULAR - CHAVE: (19) 98258-0687</t>
  </si>
  <si>
    <t>Serv.Prest. 09/03/2026 a 15/03/2026 - PIX: CELULAR - CHAVE: (19) 97145-1624</t>
  </si>
  <si>
    <t>Serv.Prest. 09/03/2026 a 15/03/2026 - PIX: CELULAR - CHAVE: (19) 99994-0858</t>
  </si>
  <si>
    <t>Serv.Prest. 09/03/2026 a 15/03/2026 - PIX: CELULAR - CHAVE: (19) 97822-4918</t>
  </si>
  <si>
    <t>Serv.Prest. 09/03/2026 a 15/03/2026 - PIX: CPF - CHAVE: 472.998.978-30</t>
  </si>
  <si>
    <t>Serv.Prest. 09/03/2026 a 15/03/2026 - PIX: CPF - CHAVE: 533.495.008-70</t>
  </si>
  <si>
    <t>Serv.Prest. 09/03/2026 a 15/03/2026 - PIX: CELULAR - CHAVE: (37) 99146-2630</t>
  </si>
  <si>
    <t>Serv.Prest. 09/03/2026 a 15/03/2026 - PIX: CPF - CHAVE: 020.590.606-05</t>
  </si>
  <si>
    <t>Serv.Prest. 09/03/2026 a 15/03/2026 - PIX: E-MAIL - CHAVE: karinasilvaaparecida1286@gmail.com</t>
  </si>
  <si>
    <t>Serv.Prest. 09/03/2026 a 15/03/2026 - PIX: CELULAR - CHAVE: (37) 99138-1777</t>
  </si>
  <si>
    <t>Serv.Prest. 09/03/2026 a 15/03/2026 - PIX: CELULAR - CHAVE: (11) 95552-9905</t>
  </si>
  <si>
    <t>Serv.Prest. 09/03/2026 a 15/03/2026 - PIX: CPF - CHAVE: 505.341.528-56</t>
  </si>
  <si>
    <t>Serv.Prest. 09/03/2026 a 15/03/2026 - PIX: CELULAR - CHAVE: (11) 91214-6176</t>
  </si>
  <si>
    <t>Serv.Prest. 09/03/2026 a 15/03/2026 - PIX: CPF - CHAVE: 157.591.436-03</t>
  </si>
  <si>
    <t>Serv.Prest. 09/03/2026 a 15/03/2026 - PIX: CNPJ - CHAVE: 51.676.704/0001-10</t>
  </si>
  <si>
    <t>Serv.Prest. 09/03/2026 a 15/03/2026 - PIX: CPF - CHAVE: 140.108.466-40</t>
  </si>
  <si>
    <t>Serv.Prest. 09/03/2026 a 15/03/2026 - PIX: CELULAR - CHAVE: (32) 98452-8837</t>
  </si>
  <si>
    <t>Serv.Prest. 09/03/2026 a 15/03/2026 - PIX: CELULAR - CHAVE: (62) 99550-3226</t>
  </si>
  <si>
    <t>Serv.Prest. 09/03/2026 a 15/03/2026 - PIX: E-MAIL - CHAVE: taison10032@hotmail.com</t>
  </si>
  <si>
    <t>Serv.Prest. 09/03/2026 a 15/03/2026 - PIX: CPF - CHAVE: 702.454.186-52</t>
  </si>
  <si>
    <t>Serv.Prest. 09/03/2026 a 15/03/2026 - PIX: CPF - CHAVE: 568.250.486-00</t>
  </si>
  <si>
    <t>Serv.Prest. 09/03/2026 a 15/03/2026 - PIX: CPF - CHAVE: 103.983.366-79</t>
  </si>
  <si>
    <t>Serv.Prest. 09/03/2026 a 15/03/2026 - PIX: CELULAR - CHAVE: (31) 99181-6538</t>
  </si>
  <si>
    <t>Serv.Prest. 09/03/2026 a 15/03/2026 - PIX: CPF - CHAVE: 138.263.636-98</t>
  </si>
  <si>
    <t>Serv.Prest. 09/03/2026 a 15/03/2026 - PIX: CPF - CHAVE: 128.367.756-37</t>
  </si>
  <si>
    <t>Serv.Prest. 09/03/2026 a 15/03/2026 - PIX: CPF - CHAVE: 138.798.486-10</t>
  </si>
  <si>
    <t>Serv.Prest. 09/03/2026 a 15/03/2026 - PIX: CELULAR - CHAVE: (32) 98492-7371</t>
  </si>
  <si>
    <t>Serv.Prest. 09/03/2026 a 15/03/2026 - PIX: CPF - CHAVE: 016.203.336-27</t>
  </si>
  <si>
    <t>Serv.Prest. 09/03/2026 a 15/03/2026 - PIX: CELULAR - CHAVE: (32) 99950-0526</t>
  </si>
  <si>
    <t>Serv.Prest. 09/03/2026 a 15/03/2026 - PIX: CNPJ - CHAVE: 64.735.042/0001-53</t>
  </si>
  <si>
    <t>Serv.Prest. 09/03/2026 a 15/03/2026 - PIX: CPF - CHAVE: 114.806.766-32</t>
  </si>
  <si>
    <t>Serv.Prest. 09/03/2026 a 15/03/2026 - PIX: CELULAR - CHAVE: (28) 98816-4170</t>
  </si>
  <si>
    <t>Serv.Prest. 09/03/2026 a 15/03/2026 - PIX: CELULAR - CHAVE: (31) 99376-7989</t>
  </si>
  <si>
    <t>Serv.Prest. 09/03/2026 a 15/03/2026 - PIX: CPF - CHAVE: 121.158.778-96</t>
  </si>
  <si>
    <t>Serv.Prest. 09/03/2026 a 15/03/2026 - PIX: CELULAR - CHAVE: (11) 99593-3129</t>
  </si>
  <si>
    <t>Serv.Prest. 09/03/2026 a 15/03/2026 - PIX: CPF - CHAVE: 355.445.218-16</t>
  </si>
  <si>
    <t>Serv.Prest. 09/03/2026 a 15/03/2026 - PIX: CPF - CHAVE: 480.727.928-90</t>
  </si>
  <si>
    <t>Serv.Prest. 09/03/2026 a 15/03/2026 - PIX: CELULAR - CHAVE: (11) 95038-0621</t>
  </si>
  <si>
    <t>Serv.Prest. 09/03/2026 a 15/03/2026 - PIX: CPF - CHAVE: 370.849.948-40</t>
  </si>
  <si>
    <t>Serv.Prest. 09/03/2026 a 15/03/2026 - PIX: CPF - CHAVE: 528.279.248-62</t>
  </si>
  <si>
    <t>Serv.Prest. 09/03/2026 a 15/03/2026 - PIX: E-MAIL - CHAVE: costavitoor77@gmail.com</t>
  </si>
  <si>
    <t>Serv.Prest. 09/03/2026 a 15/03/2026 - PIX: CPF - CHAVE: 499.814.888-52</t>
  </si>
  <si>
    <t>Serv.Prest. 09/03/2026 a 15/03/2026 - PIX: CPF - CHAVE: 423.685.688-32</t>
  </si>
  <si>
    <t>Serv.Prest. 09/03/2026 a 15/03/2026 - PIX: CPF - CHAVE: 442.268.128-16</t>
  </si>
  <si>
    <t>Serv.Prest. 09/03/2026 a 15/03/2026 - PIX: CELULAR - CHAVE: (11) 94139-4820</t>
  </si>
  <si>
    <t>Serv.Prest. 09/03/2026 a 15/03/2026 - PIX: CPF - CHAVE: 419.678.508-52</t>
  </si>
  <si>
    <t>Serv.Prest. 09/03/2026 a 15/03/2026 - PIX: CELULAR - CHAVE: (11) 98439-2238</t>
  </si>
  <si>
    <t>Serv.Prest. 09/03/2026 a 15/03/2026 - PIX: CELULAR - CHAVE: (11) 91097-0937</t>
  </si>
  <si>
    <t>Serv.Prest. 09/03/2026 a 15/03/2026 - PIX: CPF - CHAVE: 489.237.478-40</t>
  </si>
  <si>
    <t>Serv.Prest. 09/03/2026 a 15/03/2026 - PIX: CELULAR - CHAVE: (11) 99239-3232</t>
  </si>
  <si>
    <t>Serv.Prest. 09/03/2026 a 15/03/2026 - PIX: CELULAR - CHAVE: (11) 91487-0314</t>
  </si>
  <si>
    <t>Serv.Prest. 09/03/2026 a 15/03/2026 - PIX: CPF - CHAVE: 500.480.978-02</t>
  </si>
  <si>
    <t>Serv.Prest. 09/03/2026 a 15/03/2026 - PIX: CPF - CHAVE: 491.327.628-01</t>
  </si>
  <si>
    <t>Serv.Prest. 09/03/2026 a 15/03/2026 - PIX: CPF - CHAVE: 388.052.378-92</t>
  </si>
  <si>
    <t>Serv.Prest. 09/03/2026 a 15/03/2026 - PIX: E-MAIL - CHAVE: gouveavictor4@gmail.com</t>
  </si>
  <si>
    <t>Serv.Prest. 09/03/2026 a 15/03/2026 - PIX: CPF - CHAVE: 396.124.108-28</t>
  </si>
  <si>
    <t>Serv.Prest. 09/03/2026 a 15/03/2026 - PIX: CPF - CHAVE: 100.826.516-04</t>
  </si>
  <si>
    <t>Serv.Prest. 09/03/2026 a 15/03/2026 - PIX: CELULAR - CHAVE: (34) 99694-0926</t>
  </si>
  <si>
    <t>Serv.Prest. 09/03/2026 a 15/03/2026 - PIX: CHAVE ALEATÓRIA - CHAVE: b7127766-e2b6-47e0-bdc0-95f13babb6f4</t>
  </si>
  <si>
    <t>Serv.Prest. 09/03/2026 a 15/03/2026 - PIX: E-MAIL - CHAVE: wender.56@hotmail.com</t>
  </si>
  <si>
    <t>Serv.Prest. 09/03/2026 a 15/03/2026 - PIX: CPF - CHAVE: 378.223.888-51</t>
  </si>
  <si>
    <t>Serv.Prest. 09/03/2026 a 15/03/2026 - PIX: CELULAR - CHAVE: (11) 97402-1586</t>
  </si>
  <si>
    <t>Serv.Prest. 09/03/2026 a 15/03/2026 - PIX: CPF - CHAVE: 052.353.883-99</t>
  </si>
  <si>
    <t>Serv.Prest. 09/03/2026 a 15/03/2026 - PIX: CPF - CHAVE: 142.473.524-66</t>
  </si>
  <si>
    <t>Serv.Prest. 09/03/2026 a 15/03/2026 - PIX: CELULAR - CHAVE: (11) 99992-0816</t>
  </si>
  <si>
    <t>Serv.Prest. 09/03/2026 a 15/03/2026 - PIX: CELULAR - CHAVE: (11) 96180-2717</t>
  </si>
  <si>
    <t xml:space="preserve">DEVOLUÇÃO DE 11 COTAS </t>
  </si>
  <si>
    <t>DEVOLUÇÃO INTEGRAL DAS 4 COTAS PAGAS</t>
  </si>
  <si>
    <t>Serv.Prest. 24/02/2026 a 01/03/2026 - PIX: CPF - CHAVE: 022.635.946-80</t>
  </si>
  <si>
    <t>Serv.Prest. 23/02/2026 a 01/03/2026 - PIX: CPF - CHAVE: 162.540.206-61</t>
  </si>
  <si>
    <t>Serv.Prest. 02/03/2026 a 08/03/2026 - PIX: CPF - CHAVE: 188.964.706-33</t>
  </si>
  <si>
    <t>DIARIA 19032026</t>
  </si>
  <si>
    <t xml:space="preserve">DIARIA 19/03/2026 PIX: 04346123163 </t>
  </si>
  <si>
    <t>Serv.Prest. 09/03/2026 a 15/03/2026 - RPS: 2461 - NFSe: 533</t>
  </si>
  <si>
    <t>Serv.Prest. 09/03/2026 a 15/03/2026 - RPS: 2480 - NFSe: 552</t>
  </si>
  <si>
    <t>Serv.Prest.DIARIA 17/03/2026 - PIX: CELULAR - CHAVE: (11) 99593-3129</t>
  </si>
  <si>
    <t>Serv.Prest.DIARIA 18/03/2026 - PIX: CELULAR - CHAVE: (11) 99593-3129</t>
  </si>
  <si>
    <t>Serv.Prest.Complemento 02/03/2026 a 08/03/2026 - PIX: CELULAR - CHAVE: (37) 99197-6834</t>
  </si>
  <si>
    <t>Serv.Prest.Complemento 09/03/2026 a 15/03/2026 - PIX: CPF - CHAVE: 705.097.186-39</t>
  </si>
  <si>
    <t>Serv.Prest.DIARIA 16/03/2026 - PIX: CPF - CHAVE: 241.948.348-01</t>
  </si>
  <si>
    <t>Serv.Prest.DIARIA 17/03/2026 - PIX: CPF - CHAVE: 126.873.296-65</t>
  </si>
  <si>
    <t>INSS PRESTADORES MES 02/2026</t>
  </si>
  <si>
    <t>INSS</t>
  </si>
  <si>
    <t xml:space="preserve">MANUTENÇÃO SERVIDOR SD </t>
  </si>
  <si>
    <t>CONTABILIDADE 07/2025</t>
  </si>
  <si>
    <t>CONTABILIDADE</t>
  </si>
  <si>
    <t>Serv.Prest. 09/03/2026 a 15/03/2026 - RPS: 2444 - NFSe: 516</t>
  </si>
  <si>
    <t>Serv.Prest. 16/03/2026 a 22/03/2026 - PIX: CNPJ - CHAVE: 49.607.413/0001-28</t>
  </si>
  <si>
    <t>Serv.Prest. 16/03/2026 a 22/03/2026 - PIX: CELULAR - CHAVE: (62) 98459-3826</t>
  </si>
  <si>
    <t>Serv.Prest. 02/03/2026 a 08/03/2026 - PIX: CELULAR - CHAVE: (31) 99959-5414</t>
  </si>
  <si>
    <t>Serv.Prest.DIARIA 15/03/2026 - PIX: CELULAR - CHAVE: (31) 99959-5414</t>
  </si>
  <si>
    <t>Serv.Prest.COMPLEMENTO 09/03/2026 a 15/03/2026 - PIX: CELULAR - CHAVE: (34) 99694-0926</t>
  </si>
  <si>
    <t>VALE TRANSPORTE (12 DIAS)</t>
  </si>
  <si>
    <t>Serv.Prest. 16/03/2026 a 22/03/2026 - PIX: CELULAR - CHAVE: (11) 97702-1316</t>
  </si>
  <si>
    <t>Serv.Prest. 09/03/2026 a 15/03/2026 - PIX: CELULAR - CHAVE: (32) 99841-7315</t>
  </si>
  <si>
    <t>Serv.Prest. 16/03/2026 a 22/03/2026 - PIX: CELULAR - CHAVE: (11) 95038-0621</t>
  </si>
  <si>
    <t>Serv.Prest. 16/03/2026 a 22/03/2026 - PIX: CPF - CHAVE: 497.247.788-19</t>
  </si>
  <si>
    <t>Serv.Prest. 16/03/2026 a 22/03/2026 - PIX: CPF - CHAVE: 360.975.508-39</t>
  </si>
  <si>
    <t>Serv.Prest. 16/03/2026 a 22/03/2026 - PIX: CELULAR - CHAVE: (11) 99293-5521</t>
  </si>
  <si>
    <t>Serv.Prest. 16/03/2026 a 22/03/2026 - PIX: CELULAR - CHAVE: (11) 99220-4018</t>
  </si>
  <si>
    <t>Serv.Prest. 16/03/2026 a 22/03/2026 - PIX: CELULAR - CHAVE: (11) 97040-4497</t>
  </si>
  <si>
    <t>Serv.Prest. 16/03/2026 a 22/03/2026 - PIX: CELULAR - CHAVE: (11) 98776-2232</t>
  </si>
  <si>
    <t>Serv.Prest. 16/03/2026 a 22/03/2026 - PIX: E-MAIL - CHAVE: ramalhogabriel155@gmail.com</t>
  </si>
  <si>
    <t>Serv.Prest. 16/03/2026 a 22/03/2026 - PIX: CPF - CHAVE: 396.877.618-65</t>
  </si>
  <si>
    <t>Serv.Prest. 16/03/2026 a 22/03/2026 - PIX: CPF - CHAVE: 423.685.688-32</t>
  </si>
  <si>
    <t>Serv.Prest. 16/03/2026 a 22/03/2026 - ANTONIO MARQUES PIX: CPF - CHAVE: 001.327.392-24</t>
  </si>
  <si>
    <t>Serv.Prest. 16/03/2026 a 22/03/2026 - PIX: CPF - CHAVE: 499.340.868-40</t>
  </si>
  <si>
    <t>Serv.Prest. 16/03/2026 a 22/03/2026 - PIX: CELULAR - CHAVE: (11) 99239-3232</t>
  </si>
  <si>
    <t>Serv.Prest. 16/03/2026 a 22/03/2026 - PIX: CELULAR - CHAVE: (11) 95054-2206</t>
  </si>
  <si>
    <t>Serv.Prest. 16/03/2026 a 22/03/2026 - PIX: CELULAR - CHAVE: (11) 98281-4526</t>
  </si>
  <si>
    <t>Serv.Prest. 16/03/2026 a 22/03/2026 - PIX: CPF - CHAVE: 530.612.488-70</t>
  </si>
  <si>
    <t>Serv.Prest.DIARIA 23/03/2026 - ANTONIO MARQUES PIX: CPF - CHAVE: 001.327.392-24</t>
  </si>
  <si>
    <t>Serv.Prest. 16/03/2026 a 22/03/2026 - PIX: CPF - CHAVE: 135.653.486-40</t>
  </si>
  <si>
    <t>Serv.Prest. 16/03/2026 a 22/03/2026 - PIX: CPF - CHAVE: 106.393.056-10</t>
  </si>
  <si>
    <t>Serv.Prest. 16/03/2026 a 22/03/2026 - PIX: CELULAR - CHAVE: (34) 99688-5705</t>
  </si>
  <si>
    <t>Serv.Prest. 16/03/2026 a 22/03/2026 - PIX: CELULAR - CHAVE: (11) 94910-8689</t>
  </si>
  <si>
    <t>Serv.Prest. 16/03/2026 a 22/03/2026 - PIX: CPF - CHAVE: 143.810.496-08</t>
  </si>
  <si>
    <t>Serv.Prest. 16/03/2026 a 22/03/2026 - PIX: E-MAIL - CHAVE: doug6866@gmail.com</t>
  </si>
  <si>
    <t>Serv.Prest. 16/03/2026 a 22/03/2026 - PIX: CPF - CHAVE: 142.473.524-66</t>
  </si>
  <si>
    <t>Serv.Prest. 16/03/2026 a 22/03/2026 - PIX: CPF - CHAVE: 276.110.698-96</t>
  </si>
  <si>
    <t>Serv.Prest. 16/03/2026 a 22/03/2026 - PIX: E-MAIL - CHAVE: gouveavictor4@gmail.com</t>
  </si>
  <si>
    <t>Serv.Prest. DIÁRIA 22/03/2026 - PIX: CELULAR - CHAVE: (73) 99982-9939</t>
  </si>
  <si>
    <t>Serv.Prest. DIÁRIA 22/03/2026 - PIX: CELULAR - CHAVE: (73) 99949-0087</t>
  </si>
  <si>
    <t>Serv.Prest. 16/03/2026 a 22/03/2026 - PIX: CELULAR - CHAVE: (32) 99910-8064</t>
  </si>
  <si>
    <t>Serv.Prest. 16/03/2026 a 22/03/2026 - PIX: CELULAR - CHAVE: (32) 99841-7315</t>
  </si>
  <si>
    <t>Serv.Prest. 16/03/2026 a 22/03/2026 - PIX: E-MAIL - CHAVE: ericsilva8marcena@gmail.com</t>
  </si>
  <si>
    <t>Serv.Prest. 16/03/2026 a 22/03/2026 - PIX: CELULAR - CHAVE: (31) 99373-5678</t>
  </si>
  <si>
    <t>Serv.Prest. 16/03/2026 a 22/03/2026 - PIX: CELULAR - CHAVE: (31) 99607-6585</t>
  </si>
  <si>
    <t>Serv.Prest. 16/03/2026 a 22/03/2026 - PIX: CPF - CHAVE: 105.020.076-48</t>
  </si>
  <si>
    <t>Serv.Prest. 16/03/2026 a 22/03/2026 - PIX: CPF - CHAVE: 152.577.816-11</t>
  </si>
  <si>
    <t>Serv.Prest. 16/03/2026 a 22/03/2026 - PIX: CELULAR - CHAVE: (32) 98703-8039</t>
  </si>
  <si>
    <t>Serv.Prest. 16/03/2026 a 22/03/2026 - PIX: CELULAR - CHAVE: (32) 98889-7793</t>
  </si>
  <si>
    <t>Serv.Prest. 09/03/2026 a 15/03/2026 - PIX: E-MAIL - CHAVE: juninhomachado789@gmail.com</t>
  </si>
  <si>
    <t>Serv.Prest. 16/03/2026 a 22/03/2026 - PIX: CPF - CHAVE: 768.859.176-72</t>
  </si>
  <si>
    <t>PLATAFORMA DE ASSINATUARS DIGITAIS</t>
  </si>
  <si>
    <t>Serv.Prest. 16/03/2026 a 22/03/2026 - PIX: CPF - CHAVE: 866.153.356-20</t>
  </si>
  <si>
    <t>Serv.Prest. 09/03/2026 a 15/03/2026 - RPS: 2486 - NFSe: 558</t>
  </si>
  <si>
    <t>Serv.Prest. 09/03/2026 a 15/03/2026 - RPS: 2484 - NFSe: 556</t>
  </si>
  <si>
    <t>Serv.Prest. 09/03/2026 a 15/03/2026 - RPS: 2485 - NFSe: 557</t>
  </si>
  <si>
    <t>Serv.Prest. 16/03/2026 a 22/03/2026 - RPS: 2527 - NFSe: 599</t>
  </si>
  <si>
    <t>Serv.Prest. 16/03/2026 a 22/03/2026 - RPS: 2525 - NFSe: 597</t>
  </si>
  <si>
    <t>Serv.Prest. 16/03/2026 a 22/03/2026 - PIX: CELULAR - CHAVE: (11) 98484-6837</t>
  </si>
  <si>
    <t>Serv.Prest. 16/03/2026 a 22/03/2026 - PIX: CELULAR - CHAVE: (71) 99214-9256</t>
  </si>
  <si>
    <t>Serv.Prest. 16/03/2026 a 22/03/2026 - PIX: CPF - CHAVE: 471.142.438-55</t>
  </si>
  <si>
    <t>Serv.Prest. 16/03/2026 a 22/03/2026 - PIX: CELULAR - CHAVE: (11) 94195-2534</t>
  </si>
  <si>
    <t>Serv.Prest. 16/03/2026 a 22/03/2026 - PIX: CPF - CHAVE: 026.311.016-85</t>
  </si>
  <si>
    <t>Serv.Prest. 16/03/2026 a 22/03/2026 - PIX: CELULAR - CHAVE: (11) 95906-5439</t>
  </si>
  <si>
    <t>Serv.Prest. 16/03/2026 a 22/03/2026 - PIX: CNPJ - CHAVE: 48.182.907/0001-45</t>
  </si>
  <si>
    <t>Serv.Prest. 16/03/2026 a 22/03/2026 - PIX: CELULAR - CHAVE: (73) 98166-3325</t>
  </si>
  <si>
    <t>PLANO TELEMEDICINA COOPERADOS</t>
  </si>
  <si>
    <t>Serv.Prest. 16/03/2026 a 22/03/2026 - PIX: CELULAR - CHAVE: (43) 99875-6490</t>
  </si>
  <si>
    <t>Serv.Prest. 16/03/2026 a 22/03/2026 - RPS: 2491 - NFSe: 563</t>
  </si>
  <si>
    <t>Serv.Prest. 16/03/2026 a 22/03/2026 - RPS: 2492 - NFSe: 564</t>
  </si>
  <si>
    <t>Serv.Prest. 16/03/2026 a 22/03/2026 - RPS: 2493 - NFSe: 565</t>
  </si>
  <si>
    <t>Serv.Prest. 16/03/2026 a 22/03/2026 - RPS: 2495 - NFSe: 567</t>
  </si>
  <si>
    <t>Serv.Prest. 16/03/2026 a 22/03/2026 - RPS: 2496 - NFSe: 568</t>
  </si>
  <si>
    <t>Serv.Prest. 16/03/2026 a 22/03/2026 - RPS: 2497 - NFSe: 569</t>
  </si>
  <si>
    <t>Serv.Prest. 16/03/2026 a 22/03/2026 - RPS: 2498 - NFSe: 570</t>
  </si>
  <si>
    <t>Serv.Prest. 16/03/2026 a 22/03/2026 - RPS: 2499 - NFSe: 571</t>
  </si>
  <si>
    <t>Serv.Prest. 16/03/2026 a 22/03/2026 - RPS: 2501 - NFSe: 573</t>
  </si>
  <si>
    <t>Serv.Prest. 16/03/2026 a 22/03/2026 - RPS: 2502 - NFSe: 574</t>
  </si>
  <si>
    <t>Serv.Prest. 16/03/2026 a 22/03/2026 - RPS: 2503 - NFSe: 575</t>
  </si>
  <si>
    <t>Serv.Prest. 16/03/2026 a 22/03/2026 - RPS: 2505 - NFSe: 577</t>
  </si>
  <si>
    <t>Serv.Prest. 16/03/2026 a 22/03/2026 - RPS: 2512 - NFSe: 584</t>
  </si>
  <si>
    <t>Serv.Prest. 16/03/2026 a 22/03/2026 - RPS: 2519 - NFSe: 591</t>
  </si>
  <si>
    <t>Serv.Prest. 16/03/2026 a 22/03/2026 - RPS: 2522 - NFSe: 594</t>
  </si>
  <si>
    <t>Serv.Prest. 16/03/2026 a 22/03/2026 - RPS: 2524 - NFSe: 596</t>
  </si>
  <si>
    <t>Serv.Prest. 16/03/2026 a 22/03/2026 - RPS: 2529 - NFSe: 601</t>
  </si>
  <si>
    <t>Serv.Prest. 16/03/2026 a 22/03/2026 - RPS: 2530 - NFSe: 602</t>
  </si>
  <si>
    <t>Serv.Prest. 16/03/2026 a 22/03/2026 - RPS: 2494 - NFSe: 566</t>
  </si>
  <si>
    <t>Serv.Prest. 16/03/2026 a 22/03/2026 - RPS: 2500 - NFSe: 572</t>
  </si>
  <si>
    <t>Serv.Prest. 16/03/2026 a 22/03/2026 - RPS: 2504 - NFSe: 576</t>
  </si>
  <si>
    <t>Serv.Prest. 16/03/2026 a 22/03/2026 - RPS: 2506 - NFSe: 578</t>
  </si>
  <si>
    <t>Serv.Prest. 16/03/2026 a 22/03/2026 - RPS: 2516 - NFSe: 588</t>
  </si>
  <si>
    <t>Serv.Prest. 09/03/2026 a 15/03/2026 - RPS: 2443 - NFSe: 515</t>
  </si>
  <si>
    <t xml:space="preserve">Prest.Serv.Diaria 23/03, 24/03 e 25/03/2026 </t>
  </si>
  <si>
    <t>Serv.Prest. 09/03/2026 a 15/03/2026 - RPS: 2441 - NFSe: 513</t>
  </si>
  <si>
    <t>Serv.Prest. 09/03/2026 a 15/03/2026 - RPS: 2442 - NFSe: 514</t>
  </si>
  <si>
    <t>Serv.Prest. 16/03/2026 a 22/03/2026 - RPS: 2511 - NFSe: 583</t>
  </si>
  <si>
    <t>Serv.Prest. 16/03/2026 a 22/03/2026 - RPS: 2515 - NFSe: 587</t>
  </si>
  <si>
    <t>Serv.Prest. 16/03/2026 a 22/03/2026 - RPS: 2518 - NFSe: 590</t>
  </si>
  <si>
    <t>Serv.Prest. 16/03/2026 a 22/03/2026 - RPS: 2520 - NFSe: 592</t>
  </si>
  <si>
    <t>Serv.Prest. 16/03/2026 a 22/03/2026 - RPS: 2521 - NFSe: 593</t>
  </si>
  <si>
    <t>Serv.Prest. 16/03/2026 a 22/03/2026 - RPS: 2526 - NFSe: 598</t>
  </si>
  <si>
    <t>Serv.Prest. 16/03/2026 a 22/03/2026 - RPS: 2528 - NFSe: 600</t>
  </si>
  <si>
    <t>Serv.Prest. 16/03/2026 a 22/03/2026 - RPS: 2534 - NFSe: 606</t>
  </si>
  <si>
    <t>Serv.Prest. 16/03/2026 a 22/03/2026 - RPS: 2513 - NFSe: 585</t>
  </si>
  <si>
    <t>ASSESSORIA JURIDICA</t>
  </si>
  <si>
    <t>HONORARIOS ADVOCATICIOS</t>
  </si>
  <si>
    <t xml:space="preserve">PACOTE DE CERTIFICADO DIGITAL (1/4) </t>
  </si>
  <si>
    <t>Serv.Prest. 09/03/2026 a 15/03/2026 - PIX: CPF - CHAVE: 094.700.685-05</t>
  </si>
  <si>
    <t>Serv.Prest. 09/03/2026 a 15/03/2026 - PIX: CELULAR - CHAVE: (43) 99875-6490</t>
  </si>
  <si>
    <t>Serv.Prest. 09/03/2026 a 15/03/2026 - PIX: CPF - CHAVE: 004.682.359-06</t>
  </si>
  <si>
    <t>Serv.Prest. 09/03/2026 a 15/03/2026 - PIX: CELULAR - CHAVE: (43) 99934-1696</t>
  </si>
  <si>
    <t>Serv.Prest. 09/03/2026 a 15/03/2026 - PIX: CPF - CHAVE: 074.604.219-10</t>
  </si>
  <si>
    <t>Serv.Prest. 09/03/2026 a 15/03/2026 - PIX: CELULAR - CHAVE: (43) 99830-8026</t>
  </si>
  <si>
    <t>Serv.Prest. 09/03/2026 a 15/03/2026 - PIX: CNPJ - CHAVE: 64.557.825/0001-94</t>
  </si>
  <si>
    <t>Serv.Prest. 09/03/2026 a 15/03/2026 - PIX: NÃO CADASTRADO - CHAVE: -</t>
  </si>
  <si>
    <t>Serv.Prest. 09/03/2026 a 15/03/2026 - PIX: CELULAR - CHAVE: (34) 99832-8427</t>
  </si>
  <si>
    <t>Serv.Prest. 09/03/2026 a 15/03/2026 - PIX: CPF - CHAVE: 096.774.686-85</t>
  </si>
  <si>
    <t>Serv.Prest. 09/03/2026 a 15/03/2026 - PIX: CNPJ - CHAVE: 24.309.889/0001-51</t>
  </si>
  <si>
    <t>Serv.Prest. 09/03/2026 a 15/03/2026 - PIX: CPF - CHAVE: 056.550.335-93</t>
  </si>
  <si>
    <t>Serv.Prest. 09/03/2026 a 15/03/2026 - PIX: CELULAR - CHAVE: (73) 99192-1028</t>
  </si>
  <si>
    <t>Serv.Prest. 09/03/2026 a 15/03/2026 - PIX: E-MAIL - CHAVE: ericgomes508@gmail.com</t>
  </si>
  <si>
    <t>Serv.Prest. 09/03/2026 a 15/03/2026 - PIX: CELULAR - CHAVE: (73) 99941-8352</t>
  </si>
  <si>
    <t>Serv.Prest. DIÁRIA 22/03/2026 - PIX: CPF - CHAVE: 768.859.176-72</t>
  </si>
  <si>
    <t>Serv.Prest. 09/03/2026 a 15/03/2026 - PIX: CELULAR - CHAVE: (73) 99816-5318</t>
  </si>
  <si>
    <t>Serv.Prest. 09/03/2026 a 15/03/2026 - PIX: CPF - CHAVE: 439.169.103-53</t>
  </si>
  <si>
    <t>Serv.Prest. 09/03/2026 a 15/03/2026 - PIX: CELULAR - CHAVE: (73) 99856-1756</t>
  </si>
  <si>
    <t>Serv.Prest. 09/03/2026 a 15/03/2026 - PIX: CPF - CHAVE: 860.305.455-07</t>
  </si>
  <si>
    <t>Serv.Prest. 09/03/2026 a 15/03/2026 - PIX: CPF - CHAVE: 009.476.175-23</t>
  </si>
  <si>
    <t>Serv.Prest. 09/03/2026 a 15/03/2026 - PIX: CELULAR - CHAVE: (73) 98105-2187</t>
  </si>
  <si>
    <t>Serv.Prest. 09/03/2026 a 15/03/2026 - PIX: CELULAR - CHAVE: (73) 99803-0715</t>
  </si>
  <si>
    <t>Serv.Prest. 09/03/2026 a 15/03/2026 - PIX: CNPJ - CHAVE: 65.104.813/0001-77</t>
  </si>
  <si>
    <t>Serv.Prest. 09/03/2026 a 15/03/2026 - PIX: CPF - CHAVE: 003.157.195-67</t>
  </si>
  <si>
    <t>Serv.Prest. 09/03/2026 a 15/03/2026 - PIX: CELULAR - CHAVE: (73) 99977-2721</t>
  </si>
  <si>
    <t>Serv.Prest. 09/03/2026 a 15/03/2026 - PIX: CELULAR - CHAVE: (73) 99818-9718</t>
  </si>
  <si>
    <t>Serv.Prest. 09/03/2026 a 15/03/2026 - PIX: CPF - CHAVE: 079.068.045-97</t>
  </si>
  <si>
    <t>Serv.Prest. 09/03/2026 a 15/03/2026 - PIX: CPF - CHAVE: 096.891.935-97</t>
  </si>
  <si>
    <t>Serv.Prest. 09/03/2026 a 15/03/2026 - PIX: CELULAR - CHAVE: (27) 99811-6850</t>
  </si>
  <si>
    <t>Serv.Prest. 09/03/2026 a 15/03/2026 - PIX: CELULAR - CHAVE: (27) 99869-8144</t>
  </si>
  <si>
    <t>Serv.Prest. 09/03/2026 a 15/03/2026 - PIX: CNPJ - CHAVE: 40.359.224/0001-09</t>
  </si>
  <si>
    <t>Serv.Prest. 09/03/2026 a 15/03/2026 - PIX: CPF - CHAVE: 096.116.707-61</t>
  </si>
  <si>
    <t>Serv.Prest. 09/03/2026 a 15/03/2026 - PIX: CPF - CHAVE: 108.723.916-80</t>
  </si>
  <si>
    <t>Serv.Prest. 09/03/2026 a 15/03/2026 - PIX: CPF - CHAVE: 099.626.666-60</t>
  </si>
  <si>
    <t>Serv.Prest. 09/03/2026 a 15/03/2026 - PIX: CELULAR - CHAVE: (31) 98556-3149</t>
  </si>
  <si>
    <t>Serv.Prest. 09/03/2026 a 15/03/2026 - PIX: CELULAR - CHAVE: (33) 99861-2274</t>
  </si>
  <si>
    <t>Serv.Prest. 09/03/2026 a 15/03/2026 - PIX: CPF - CHAVE: 037.192.076-09</t>
  </si>
  <si>
    <t>Serv.Prest. 09/03/2026 a 15/03/2026 - PIX: CNPJ - CHAVE: 64.409.849/0001-04</t>
  </si>
  <si>
    <t>Serv.Prest. 09/03/2026 a 15/03/2026 - PIX: CPF - CHAVE: 155.328.666-94</t>
  </si>
  <si>
    <t>Serv.Prest. 09/03/2026 a 15/03/2026 - PIX: CELULAR - CHAVE: (33) 98899-5294</t>
  </si>
  <si>
    <t>Serv.Prest. 09/03/2026 a 15/03/2026 - PIX: CELULAR - CHAVE: (32) 99928-9092</t>
  </si>
  <si>
    <t>Serv.Prest. 09/03/2026 a 15/03/2026 - PIX: CELULAR - CHAVE: (32) 99166-8238</t>
  </si>
  <si>
    <t>Serv.Prest. 09/03/2026 a 15/03/2026 - PIX: CELULAR - CHAVE: (33) 98845-4528</t>
  </si>
  <si>
    <t>Serv.Prest. 09/03/2026 a 15/03/2026 - PIX: CELULAR - CHAVE: (31) 98511-2851</t>
  </si>
  <si>
    <t>Serv.Prest. 09/03/2026 a 15/03/2026 - PIX: CELULAR - CHAVE: (32) 99177-6167</t>
  </si>
  <si>
    <t>Serv.Prest. 09/03/2026 a 15/03/2026 - PIX: CPF - CHAVE: 110.483.296-82</t>
  </si>
  <si>
    <t>Serv.Prest. 09/03/2026 a 15/03/2026 - PIX: CPF - CHAVE: 162.540.206-61</t>
  </si>
  <si>
    <t>Serv.Prest. 09/03/2026 a 15/03/2026 - PIX: CELULAR - CHAVE: (33) 98749-5105</t>
  </si>
  <si>
    <t>Serv.Prest. 09/03/2026 a 15/03/2026 - PIX: CELULAR - CHAVE: (33) 99802-1883</t>
  </si>
  <si>
    <t>Serv.Prest. 09/03/2026 a 15/03/2026 - PIX: CELULAR - CHAVE: (31) 99610-7049</t>
  </si>
  <si>
    <t>Serv.Prest. 09/03/2026 a 15/03/2026 - PIX: E-MAIL - CHAVE: turano296801@gmail.com</t>
  </si>
  <si>
    <t>Serv.Prest. 09/03/2026 a 15/03/2026 - PIX: CHAVE ALEATÓRIA - CHAVE: fa1cc12c-4f59-4ff9-b237-7274b08cf38e</t>
  </si>
  <si>
    <t>Serv.Prest. 09/03/2026 a 15/03/2026 - PIX: CNPJ - CHAVE: 64.839.868/0001-62</t>
  </si>
  <si>
    <t>Serv.Prest. 09/03/2026 a 15/03/2026 - PIX: CPF - CHAVE: 141.134.256-98</t>
  </si>
  <si>
    <t>Serv.Prest. 09/03/2026 a 15/03/2026 - PIX: CPF - CHAVE: 108.982.386-09</t>
  </si>
  <si>
    <t>Serv.Prest. 09/03/2026 a 15/03/2026 - PIX: CPF - CHAVE: 070.073.316-70</t>
  </si>
  <si>
    <t>Serv.Prest. 09/03/2026 a 15/03/2026 - PIX: E-MAIL - CHAVE: ezequielcorrea123@gmail.com</t>
  </si>
  <si>
    <t>Serv.Prest. 09/03/2026 a 15/03/2026 - PIX: CELULAR - CHAVE: (31) 98483-3242</t>
  </si>
  <si>
    <t>Serv.Prest. 09/03/2026 a 15/03/2026 - PIX: CPF - CHAVE: 163.440.926-45</t>
  </si>
  <si>
    <t>Serv.Prest. 09/03/2026 a 15/03/2026 - PIX: CPF - CHAVE: 179.800.027-09</t>
  </si>
  <si>
    <t>Serv.Prest. 09/03/2026 a 15/03/2026 - PIX: CELULAR - CHAVE: (33) 98408-4618</t>
  </si>
  <si>
    <t>Serv.Prest. 09/03/2026 a 15/03/2026 - PIX: CNPJ - CHAVE: 41.602.926/0001-34</t>
  </si>
  <si>
    <t>Serv.Prest. 09/03/2026 a 15/03/2026 - PIX: CPF - CHAVE: 386.313.426-53</t>
  </si>
  <si>
    <t>Serv.Prest. 09/03/2026 a 15/03/2026 - PIX: CELULAR - CHAVE: (33) 99706-4860</t>
  </si>
  <si>
    <t>Serv.Prest. 09/03/2026 a 15/03/2026 - PIX: CPF - CHAVE: 113.084.266-58</t>
  </si>
  <si>
    <t>Serv.Prest. 09/03/2026 a 15/03/2026 - PIX: CELULAR - CHAVE: (33) 98429-0263</t>
  </si>
  <si>
    <t>Serv.Prest. 09/03/2026 a 15/03/2026 - PIX: CPF - CHAVE: 121.297.376-33</t>
  </si>
  <si>
    <t>Serv.Prest. 09/03/2026 a 15/03/2026 - PIX: CELULAR - CHAVE: (31) 99812-7173</t>
  </si>
  <si>
    <t>Serv.Prest. 09/03/2026 a 15/03/2026 - PIX: CPF - CHAVE: 126.873.296-65</t>
  </si>
  <si>
    <t>Serv.Prest. 09/03/2026 a 15/03/2026 - PIX: CELULAR - CHAVE: (33) 98836-6015</t>
  </si>
  <si>
    <t>Serv.Prest. 09/03/2026 a 15/03/2026 - PIX: E-MAIL - CHAVE: jhonantanlacerda@gmail.com</t>
  </si>
  <si>
    <t>Serv.Prest. 09/03/2026 a 15/03/2026 - PIX: CELULAR - CHAVE: (33) 99924-7557</t>
  </si>
  <si>
    <t>Serv.Prest. 09/03/2026 a 15/03/2026 - PIX: CPF - CHAVE: 602.838.315-53</t>
  </si>
  <si>
    <t>Serv.Prest. 09/03/2026 a 15/03/2026 - PIX: E-MAIL - CHAVE: jcarlosctga36@hotmail.com</t>
  </si>
  <si>
    <t>Serv.Prest. 09/03/2026 a 15/03/2026 - PIX: CPF - CHAVE: 012.459.366-62</t>
  </si>
  <si>
    <t>Serv.Prest. 09/03/2026 a 15/03/2026 - PIX: CELULAR - CHAVE: (31) 98674-8323</t>
  </si>
  <si>
    <t>Serv.Prest. 09/03/2026 a 15/03/2026 - PIX: CELULAR - CHAVE: (33) 99106-9330</t>
  </si>
  <si>
    <t>Serv.Prest. 09/03/2026 a 15/03/2026 - PIX: CPF - CHAVE: 057.893.536-81</t>
  </si>
  <si>
    <t>Serv.Prest. 09/03/2026 a 15/03/2026 - PIX: CELULAR - CHAVE: (31) 97145-0796</t>
  </si>
  <si>
    <t>Serv.Prest. 09/03/2026 a 15/03/2026 - PIX: CNPJ - CHAVE: 58.302.826/0001-95</t>
  </si>
  <si>
    <t>Serv.Prest. 09/03/2026 a 15/03/2026 - PIX: CPF - CHAVE: 022.635.946-80</t>
  </si>
  <si>
    <t>Serv.Prest. 09/03/2026 a 15/03/2026 - PIX: CELULAR - CHAVE: (33) 99172-0627</t>
  </si>
  <si>
    <t>Serv.Prest. 09/03/2026 a 15/03/2026 - PIX: CELULAR - CHAVE: (33) 99981-6650</t>
  </si>
  <si>
    <t>Serv.Prest. 09/03/2026 a 15/03/2026 - PIX: CELULAR - CHAVE: (33) 98427-3872</t>
  </si>
  <si>
    <t>Serv.Prest. 09/03/2026 a 15/03/2026 - PIX: E-MAIL - CHAVE: dih.mdr@gmail.com</t>
  </si>
  <si>
    <t>Serv.Prest. 09/03/2026 a 15/03/2026 - PIX: CELULAR - CHAVE: (33) 99194-2339</t>
  </si>
  <si>
    <t>Serv.Prest. 09/03/2026 a 15/03/2026 - PIX: CPF - CHAVE: 142.716.106-23</t>
  </si>
  <si>
    <t>Serv.Prest. 09/03/2026 a 15/03/2026 - PIX: CNPJ - CHAVE: 64.142.681/0001-05</t>
  </si>
  <si>
    <t>Serv.Prest. 09/03/2026 a 15/03/2026 - PIX: CELULAR - CHAVE: (31) 99076-6539</t>
  </si>
  <si>
    <t>Serv.Prest. 09/03/2026 a 15/03/2026 - PIX: CELULAR - CHAVE: (33) 99845-0493</t>
  </si>
  <si>
    <t>Serv.Prest. 09/03/2026 a 15/03/2026 - PIX: CPF - CHAVE: 123.020.026-60</t>
  </si>
  <si>
    <t>Serv.Prest. 09/03/2026 a 15/03/2026 - PIX: CPF - CHAVE: 108.680.396-59</t>
  </si>
  <si>
    <t>Serv.Prest. 09/03/2026 a 15/03/2026 - PIX: CPF - CHAVE: 037.974.316-78</t>
  </si>
  <si>
    <t>Serv.Prest. 09/03/2026 a 15/03/2026 - PIX: CELULAR - CHAVE: (31) 99216-8711</t>
  </si>
  <si>
    <t>Serv.Prest. 09/03/2026 a 15/03/2026 - PIX: CELULAR - CHAVE: (31) 97339-3761</t>
  </si>
  <si>
    <t>Serv.Prest. 09/03/2026 a 15/03/2026 - PIX: CPF - CHAVE: 135.640.066-30</t>
  </si>
  <si>
    <t>Serv.Prest. 09/03/2026 a 15/03/2026 - PIX: CELULAR - CHAVE: (24) 99846-2202</t>
  </si>
  <si>
    <t>Serv.Prest. 09/03/2026 a 15/03/2026 - PIX: CELULAR - CHAVE: (31) 99959-5414</t>
  </si>
  <si>
    <t>Serv.Prest. 09/03/2026 a 15/03/2026 - PIX: CPF - CHAVE: 072.968.086-08</t>
  </si>
  <si>
    <t>Serv.Prest. 09/03/2026 a 15/03/2026 - PIX: CPF - CHAVE: 012.783.036-77</t>
  </si>
  <si>
    <t>Serv.Prest. 09/03/2026 a 15/03/2026 - PIX: E-MAIL - CHAVE: roger.l.borges04@gmail.com</t>
  </si>
  <si>
    <t>Serv.Prest. 09/03/2026 a 15/03/2026 - PIX: CPF - CHAVE: 700.147.856-33</t>
  </si>
  <si>
    <t>Serv.Prest. 09/03/2026 a 15/03/2026 - PIX: CNPJ - CHAVE: 64.690.606/0001-89</t>
  </si>
  <si>
    <t>Serv.Prest. 09/03/2026 a 15/03/2026 - PIX: CPF - CHAVE: 048.151.276-46</t>
  </si>
  <si>
    <t>Serv.Prest. 09/03/2026 a 15/03/2026 - PIX: CPF - CHAVE: 097.855.786-74</t>
  </si>
  <si>
    <t>Serv.Prest. 09/03/2026 a 15/03/2026 - PIX: CELULAR - CHAVE: (33) 99880-7941</t>
  </si>
  <si>
    <t>Serv.Prest. 09/03/2026 a 15/03/2026 - PIX: CELULAR - CHAVE: (33) 99973-4407</t>
  </si>
  <si>
    <t>Serv.Prest. 09/03/2026 a 15/03/2026 - PIX: CPF - CHAVE: 092.566.416-23</t>
  </si>
  <si>
    <t>Serv.Prest. 09/03/2026 a 15/03/2026 - PIX: CPF - CHAVE: 130.194.566-81</t>
  </si>
  <si>
    <t>Serv.Prest. 09/03/2026 a 15/03/2026 - PIX: CELULAR - CHAVE: (33) 99118-9032</t>
  </si>
  <si>
    <t>Serv.Prest. 09/03/2026 a 15/03/2026 - PIX: CPF - CHAVE: 097.245.586-81</t>
  </si>
  <si>
    <t>Serv.Prest. 09/03/2026 a 15/03/2026 - PIX: CELULAR - CHAVE: (32) 99800-1691</t>
  </si>
  <si>
    <t>Serv.Prest. 09/03/2026 a 15/03/2026 - PIX: CPF - CHAVE: 700.454.836-80</t>
  </si>
  <si>
    <t>Serv.Prest. 09/03/2026 a 15/03/2026 - PIX: CELULAR - CHAVE: (33) 98806-5772</t>
  </si>
  <si>
    <t>Serv.Prest. 09/03/2026 a 15/03/2026 - PIX: CELULAR - CHAVE: (33) 99996-3668</t>
  </si>
  <si>
    <t>Serv.Prest. 09/03/2026 a 15/03/2026 - PIX: CELULAR - CHAVE: (31) 99506-2265</t>
  </si>
  <si>
    <t>Serv.Prest. 09/03/2026 a 15/03/2026 - PIX: CELULAR - CHAVE: (33) 99859-8751</t>
  </si>
  <si>
    <t>Serv.Prest. 09/03/2026 a 15/03/2026 - PIX: E-MAIL - CHAVE: geovanisilvasantos311@gmail.com</t>
  </si>
  <si>
    <t>Serv.Prest. 16/03/2026 a 22/03/2026 - PIX: CPF - CHAVE: 499.814.888-52</t>
  </si>
  <si>
    <t>Serv.Prest.COMPLEMENTO 09/03/2026 a 15/03/2026 - PIX: CPF - CHAVE: 500.480.978-02</t>
  </si>
  <si>
    <t>Serv.Prest. 16/03/2026 a 22/03/2026 - PIX: CELULAR - CHAVE: (19) 98985-7796</t>
  </si>
  <si>
    <t>Serv.Prest. 16/03/2026 a 22/03/2026 - PIX: CPF - CHAVE: 373.103.168-00</t>
  </si>
  <si>
    <t>Serv.Prest. 16/03/2026 a 22/03/2026 - PIX: CELULAR - CHAVE: (19) 99893-1311</t>
  </si>
  <si>
    <t>Serv.Prest. 16/03/2026 a 22/03/2026 - PIX: CPF - CHAVE: 085.309.406-36</t>
  </si>
  <si>
    <t>Serv.Prest. 16/03/2026 a 22/03/2026 - PIX: CPF - CHAVE: 397.101.368-60</t>
  </si>
  <si>
    <t>Serv.Prest. 16/03/2026 a 22/03/2026 - PIX: CPF - CHAVE: 438.843.248-29</t>
  </si>
  <si>
    <t>Serv.Prest. 16/03/2026 a 22/03/2026 - PIX: CELULAR - CHAVE: (19) 99674-2835</t>
  </si>
  <si>
    <t>Serv.Prest. 16/03/2026 a 22/03/2026 - PIX: CELULAR - CHAVE: (19) 98258-0687</t>
  </si>
  <si>
    <t>Serv.Prest. 16/03/2026 a 22/03/2026 - PIX: CELULAR - CHAVE: (19) 97145-1624</t>
  </si>
  <si>
    <t>Serv.Prest. 16/03/2026 a 22/03/2026 - PIX: CELULAR - CHAVE: (19) 99994-0858</t>
  </si>
  <si>
    <t>Serv.Prest. 16/03/2026 a 22/03/2026 - PIX: CPF - CHAVE: 472.998.978-30</t>
  </si>
  <si>
    <t>Serv.Prest. 16/03/2026 a 22/03/2026 - PIX: CPF - CHAVE: 533.495.008-70</t>
  </si>
  <si>
    <t>Serv.Prest. 16/03/2026 a 22/03/2026 - PIX: CELULAR - CHAVE: (19) 99652-4078</t>
  </si>
  <si>
    <t>Serv.Prest. 16/03/2026 a 22/03/2026 - PIX: CPF - CHAVE: 241.948.348-01</t>
  </si>
  <si>
    <t>Serv.Prest. 16/03/2026 a 22/03/2026 - PIX: CPF - CHAVE: 249.315.678-19</t>
  </si>
  <si>
    <t>Serv.Prest. 16/03/2026 a 22/03/2026 - PIX: CPF - CHAVE: 442.268.128-16</t>
  </si>
  <si>
    <t>Serv.Prest. 16/03/2026 a 22/03/2026 - PIX: CELULAR - CHAVE: (11) 94139-4820</t>
  </si>
  <si>
    <t>Serv.Prest. 16/03/2026 a 22/03/2026 - PAGAR PARA ANTONIO MARCOS DIAS PIX: CPF - CHAVE: 001.327.392-24</t>
  </si>
  <si>
    <t>Serv.Prest. 16/03/2026 a 22/03/2026  PAGAR PARA ANTONIO MARCOS DIAS PIX: CPF - CHAVE: 001.327.392-24</t>
  </si>
  <si>
    <t>Serv.Prest. 16/03/2026 a 22/03/2026 - PIX: CPF - CHAVE: 370.849.948-40</t>
  </si>
  <si>
    <t>Serv.Prest. 16/03/2026 a 22/03/2026 - PIX: CPF - CHAVE: 528.279.248-62</t>
  </si>
  <si>
    <t>Serv.Prest. 16/03/2026 a 22/03/2026 - PIX: E-MAIL - CHAVE: costavitoor77@gmail.com</t>
  </si>
  <si>
    <t>Serv.Prest. 16/03/2026 a 22/03/2026 - PIX: CPF - CHAVE: 378.967.078-29</t>
  </si>
  <si>
    <t>Serv.Prest. 16/03/2026 a 22/03/2026 - PIX: CPF - CHAVE: 419.678.508-52</t>
  </si>
  <si>
    <t>Serv.Prest. 16/03/2026 a 22/03/2026 - PIX: CPF - CHAVE: 026.422.254-70</t>
  </si>
  <si>
    <t>Serv.Prest. 16/03/2026 a 22/03/2026 - PIX: CELULAR - CHAVE: (11) 98439-2238</t>
  </si>
  <si>
    <t>Serv.Prest. 16/03/2026 a 22/03/2026 - PIX: CELULAR - CHAVE: (11) 91097-0937</t>
  </si>
  <si>
    <t>Serv.Prest. 16/03/2026 a 22/03/2026 - PIX: CPF - CHAVE: 489.237.478-40</t>
  </si>
  <si>
    <t>Serv.Prest. 16/03/2026 a 22/03/2026 - PIX: CELULAR - CHAVE: (11) 99270-3082</t>
  </si>
  <si>
    <t>Serv.Prest. 16/03/2026 a 22/03/2026 - PIX: CELULAR - CHAVE: (11) 91487-0314</t>
  </si>
  <si>
    <t>Serv.Prest. 16/03/2026 a 22/03/2026 - PIX: CELULAR - CHAVE: (11) 997779726</t>
  </si>
  <si>
    <t>Serv.Prest. 16/03/2026 a 22/03/2026 - PIX: CPF - CHAVE: 500.480.978-02</t>
  </si>
  <si>
    <t>Serv.Prest. 16/03/2026 a 22/03/2026 - PIX: CPF - CHAVE: 116.683.686-09</t>
  </si>
  <si>
    <t>Serv.Prest. 16/03/2026 a 22/03/2026 - PIX: CELULAR - CHAVE: (32) 99950-0526</t>
  </si>
  <si>
    <t>Serv.Prest. 16/03/2026 a 22/03/2026 - PIX: CHAVE ALEATÓRIA - CHAVE: b7127766-e2b6-47e0-bdc0-95f13babb6f4</t>
  </si>
  <si>
    <t>Serv.Prest. 16/03/2026 a 22/03/2026 - PIX: E-MAIL - CHAVE: wender.56@hotmail.com</t>
  </si>
  <si>
    <t>Serv.Prest. 16/03/2026 a 22/03/2026 - PIX: CNPJ - CHAVE: 64.735.042/0001-53</t>
  </si>
  <si>
    <t>Serv.Prest. 16/03/2026 a 22/03/2026 - PIX: CELULAR - CHAVE: (34) 99694-0926</t>
  </si>
  <si>
    <t>Serv.Prest. 16/03/2026 a 22/03/2026 - PIX: CPF - CHAVE: 016.203.336-27</t>
  </si>
  <si>
    <t>Serv.Prest. 16/03/2026 a 22/03/2026 - PIX: CELULAR - CHAVE: (37) 99146-2630</t>
  </si>
  <si>
    <t>Serv.Prest. 16/03/2026 a 22/03/2026 - PIX: CPF - CHAVE: 020.590.606-05</t>
  </si>
  <si>
    <t>Serv.Prest. 16/03/2026 a 22/03/2026 - PIX: E-MAIL - CHAVE: karinasilvaaparecida1286@gmail.com</t>
  </si>
  <si>
    <t>Serv.Prest. 16/03/2026 a 22/03/2026 - PIX: CELULAR - CHAVE: (37) 99197-6834</t>
  </si>
  <si>
    <t>Serv.Prest. 16/03/2026 a 22/03/2026 - PIX: CELULAR - CHAVE: (37) 99138-1777</t>
  </si>
  <si>
    <t>Serv.Prest. 16/03/2026 a 22/03/2026 - PIX: CELULAR - CHAVE: (37) 98841-8571</t>
  </si>
  <si>
    <t>Serv.Prest. 16/03/2026 a 22/03/2026 - PIX: CPF - CHAVE: 103.983.366-79</t>
  </si>
  <si>
    <t>Serv.Prest. 16/03/2026 a 22/03/2026 - PIX: CELULAR - CHAVE: (31) 99181-6538</t>
  </si>
  <si>
    <t>Serv.Prest. 16/03/2026 a 22/03/2026 - PIX: CPF - CHAVE: 138.263.636-98</t>
  </si>
  <si>
    <t>Serv.Prest. 16/03/2026 a 22/03/2026 - PIX: CPF - CHAVE: 128.367.756-37</t>
  </si>
  <si>
    <t>Serv.Prest. 16/03/2026 a 22/03/2026 - PIX: CELULAR - CHAVE: (11) 95552-9905</t>
  </si>
  <si>
    <t>Serv.Prest. 16/03/2026 a 22/03/2026 - PIX: CPF - CHAVE: 505.341.528-56</t>
  </si>
  <si>
    <t>Serv.Prest. 16/03/2026 a 22/03/2026 - PIX: CELULAR - CHAVE: (11) 91214-6176</t>
  </si>
  <si>
    <t>Serv.Prest. 16/03/2026 a 22/03/2026 - PIX: CPF - CHAVE: 157.591.436-03</t>
  </si>
  <si>
    <t>Serv.Prest. 16/03/2026 a 22/03/2026 - PIX: CELULAR - CHAVE: (32) 99920-0416</t>
  </si>
  <si>
    <t>Serv.Prest. 16/03/2026 a 22/03/2026 - PIX: CNPJ - CHAVE: 51.676.704/0001-10</t>
  </si>
  <si>
    <t>Serv.Prest. 16/03/2026 a 22/03/2026 - PIX: CPF - CHAVE: 140.108.466-40</t>
  </si>
  <si>
    <t>Serv.Prest. 16/03/2026 a 22/03/2026 - PIX: CELULAR - CHAVE: (32) 98452-8837</t>
  </si>
  <si>
    <t>Serv.Prest. 16/03/2026 a 22/03/2026 - PIX: CELULAR - CHAVE: (31) 99376-7989</t>
  </si>
  <si>
    <t>Serv.Prest. 16/03/2026 a 22/03/2026 - PIX: E-MAIL - CHAVE: claudioverdinho2009@hotmail.com</t>
  </si>
  <si>
    <t>Serv.Prest. 16/03/2026 a 22/03/2026 - PIX: CPF - CHAVE: 124.575.099-20</t>
  </si>
  <si>
    <t>Serv.Prest. 16/03/2026 a 22/03/2026 - PIX: CPF - CHAVE: 114.806.766-32</t>
  </si>
  <si>
    <t>Serv.Prest. 16/03/2026 a 22/03/2026 - PIX: CPF - CHAVE: 701.088.016-67</t>
  </si>
  <si>
    <t>Serv.Prest. 16/03/2026 a 22/03/2026 - PIX: CPF - CHAVE: 138.798.486-10</t>
  </si>
  <si>
    <t>Serv.Prest. 16/03/2026 a 22/03/2026 - PIX: CPF - CHAVE: 396.124.108-28</t>
  </si>
  <si>
    <t>Serv.Prest. 16/03/2026 a 22/03/2026 - PIX: CELULAR - CHAVE: (62) 99550-3226</t>
  </si>
  <si>
    <t>Serv.Prest. 16/03/2026 a 22/03/2026 - PIX: E-MAIL - CHAVE: taison10032@hotmail.com</t>
  </si>
  <si>
    <t>Serv.Prest. 16/03/2026 a 22/03/2026 - PIX: CPF - CHAVE: 702.454.186-52</t>
  </si>
  <si>
    <t>Serv.Prest. 16/03/2026 a 22/03/2026 - PIX: CPF - CHAVE: 568.250.486-00</t>
  </si>
  <si>
    <t>Serv.Prest. 16/03/2026 a 22/03/2026 - PIX: E-MAIL - CHAVE: flaviovictorxiaomi@gmail.com</t>
  </si>
  <si>
    <t>Serv.Prest. 16/03/2026 a 22/03/2026 - PIX: CELULAR - CHAVE: (32) 98492-7371</t>
  </si>
  <si>
    <t>Serv.Prest. 16/03/2026 a 22/03/2026 - PIX: CPF - CHAVE: 121.158.778-96</t>
  </si>
  <si>
    <t>Serv.Prest. 16/03/2026 a 22/03/2026 - PIX: CELULAR - CHAVE: (11) 99593-3129</t>
  </si>
  <si>
    <t>Serv.Prest. 16/03/2026 a 22/03/2026 - PIX: CPF - CHAVE: 355.445.218-16</t>
  </si>
  <si>
    <t>Serv.Prest. 16/03/2026 a 22/03/2026 - PIX: CPF - CHAVE: 480.727.928-90</t>
  </si>
  <si>
    <t>Serv.Prest. 16/03/2026 a 22/03/2026 - PIX: CELULAR - CHAVE: (19) 98944-4977</t>
  </si>
  <si>
    <t>Serv.Prest. 16/03/2026 a 22/03/2026 - PIX: CELULAR - CHAVE: (11) 97402-1586</t>
  </si>
  <si>
    <t>Serv.Prest. 16/03/2026 a 22/03/2026 - PIX: CELULAR - CHAVE: (11) 99992-0816</t>
  </si>
  <si>
    <t>Serv.Prest. 16/03/2026 a 22/03/2026 - PIX: CELULAR - CHAVE: (28) 99904-4082</t>
  </si>
  <si>
    <t>Serv.Prest. 16/03/2026 a 22/03/2026 - PIX: CELULAR - CHAVE: (28) 98816-4170</t>
  </si>
  <si>
    <t>Serv.Prest. 16/03/2026 a 22/03/2026 - PIX: CPF - CHAVE: 491.327.628-01</t>
  </si>
  <si>
    <t>Serv.Prest. 16/03/2026 a 22/03/2026 - PIX: CPF - CHAVE: 388.052.378-92</t>
  </si>
  <si>
    <t>Serv.Prest. 16/03/2026 a 22/03/2026 - PIX: CPF - CHAVE: 378.223.888-51</t>
  </si>
  <si>
    <t>Serv.Prest. 16/03/2026 a 22/03/2026 - PIX: CPF - CHAVE: 188.964.706-33</t>
  </si>
  <si>
    <t>Serv.Prest. 16/03/2026 a 22/03/2026 - PIX: CPF - CHAVE: 052.353.883-99</t>
  </si>
  <si>
    <t>Serv.Prest. 16/03/2026 a 22/03/2026 - PIX: CPF - CHAVE: 097.245.586-81</t>
  </si>
  <si>
    <t>Serv.Prest. 16/03/2026 a 22/03/2026 - PIX: CELULAR - CHAVE: (11) 96180-2717</t>
  </si>
  <si>
    <t>Serv.Prest. 16/03/2026 a 22/03/2026 - PIX: CELULAR - CHAVE: (71) 99696-7530</t>
  </si>
  <si>
    <t>Serv.Prest. 16/03/2026 a 22/03/2026 - PIX: E-MAIL - CHAVE: edvam18.alves@gmail.com</t>
  </si>
  <si>
    <t>Serv.Prest. 16/03/2026 a 22/03/2026 - PIX: CPF - CHAVE: 048.672.645-20</t>
  </si>
  <si>
    <t xml:space="preserve">REEMBOLSO COM DESPESAS FEIRA BH </t>
  </si>
  <si>
    <t>Serv.Prest.DIARIA 24/03/2026 - PIX: CELULAR - CHAVE: (31) 99373-5678</t>
  </si>
  <si>
    <t>Serv.Prest.DIARIA 23/03/2026 - PIX: CPF - CHAVE: 142.473.524-66</t>
  </si>
  <si>
    <t>DIARIAS 21/03, 22/03/2026 CHAVE PIX: CELULAR: (19) 99938-5703</t>
  </si>
  <si>
    <t>Serv.Prest. 16/03/2026 a 22/03/2026 - RPS: 2510 - NFSe: 582</t>
  </si>
  <si>
    <t>Serv.Prest. 16/03/2026 a 22/03/2026 - RPS: 2536 - NFSe: 608</t>
  </si>
  <si>
    <t>Serv.Prest. 16/03/2026 a 22/03/2026 - RPS: 2514 - NFSe: 586</t>
  </si>
  <si>
    <t>Serv.Prest. 23/03/2026 a 29/03/2026 - PIX: CPF - CHAVE: 497.247.788-19</t>
  </si>
  <si>
    <t>Serv.Prest. 23/03/2026 a 29/03/2026 - PIX: CPF - CHAVE: 461.830.618-16</t>
  </si>
  <si>
    <t>Serv.Prest. 23/03/2026 a 29/03/2026 - PIX: CELULAR - CHAVE: (11) 97702-1316</t>
  </si>
  <si>
    <t>Serv.Prest. 23/03/2026 a 29/03/2026 - PIX: CPF - CHAVE: 427.090.718-51</t>
  </si>
  <si>
    <t>Serv.Prest.DIARIA 23/03/2026 - PIX: CPF - CHAVE: 143.810.496-08</t>
  </si>
  <si>
    <t>Serv.Prest. 23/03/2026 a 29/03/2026 - PIX: CPF - CHAVE: 360.975.508-39</t>
  </si>
  <si>
    <t>Serv.Prest. 23/03/2026 a 29/03/2026 - PIX: CELULAR - CHAVE: (73) 99982-9939</t>
  </si>
  <si>
    <t>Serv.Prest. 23/03/2026 a 29/03/2026 - PIX: CELULAR - CHAVE: (73) 99949-0087</t>
  </si>
  <si>
    <t>Serv.Prest. 23/03/2026 a 29/03/2026 - PIX: CPF - CHAVE: 768.859.176-72</t>
  </si>
  <si>
    <t>Serv.Prest. 23/03/2026 a 29/03/2026 - PIX: CELULAR - CHAVE: (11) 95038-0621</t>
  </si>
  <si>
    <t>Serv.Prest. 23/03/2026 a 29/03/2026 - PIX: CPF - CHAVE: 507.243.348-07</t>
  </si>
  <si>
    <t>Serv.Prest. 23/03/2026 a 29/03/2026 - PIX: CPF - CHAVE: 396.877.618-65</t>
  </si>
  <si>
    <t>Serv.Prest. 23/03/2026 a 29/03/2026 - PIX: CELULAR - CHAVE: (11) 98484-6837</t>
  </si>
  <si>
    <t>Serv.Prest. 23/03/2026 a 29/03/2026 - PIX: CPF - CHAVE: 423.685.688-32</t>
  </si>
  <si>
    <t>Serv.Prest. 23/03/2026 a 29/03/2026 - PIX: CPF - CHAVE: 353.941.578-55</t>
  </si>
  <si>
    <t>Serv.Prest. 23/03/2026 a 29/03/2026 - PIX: CPF - CHAVE: 499.340.868-40</t>
  </si>
  <si>
    <t>Serv.Prest. 23/03/2026 a 29/03/2026 - PIX: CELULAR - CHAVE: (11) 99239-3232</t>
  </si>
  <si>
    <t>Serv.Prest. 23/03/2026 a 29/03/2026 - PIX: CELULAR - CHAVE: (11) 95054-2206</t>
  </si>
  <si>
    <t>Serv.Prest. 23/03/2026 a 29/03/2026 - PIX: CELULAR - CHAVE: (11) 98281-4526</t>
  </si>
  <si>
    <t>Serv.Prest. 23/03/2026 a 29/03/2026 - PIX: CPF - CHAVE: 530.612.488-70</t>
  </si>
  <si>
    <t>Serv.Prest. 23/03/2026 a 29/03/2026 - PIX: CELULAR - CHAVE: (11) 98482-0070</t>
  </si>
  <si>
    <t>Serv.Prest. 23/03/2026 a 29/03/2026 - PIX: CPF - CHAVE: 385.908.908-05</t>
  </si>
  <si>
    <t>Serv.Prest. 23/03/2026 a 29/03/2026 - PIX: CELULAR - CHAVE: (11) 94910-8689</t>
  </si>
  <si>
    <t>Serv.Prest. 23/03/2026 a 29/03/2026 - PIX: CPF - CHAVE: 052.353.883-99</t>
  </si>
  <si>
    <t>Serv.Prest. 23/03/2026 a 29/03/2026 - PIX: CPF - CHAVE: 142.473.524-66</t>
  </si>
  <si>
    <t>Serv.Prest.DIARIA 29/03/2026 - PIX: CELULAR - CHAVE: (19) 98944-4977</t>
  </si>
  <si>
    <t>Serv.Prest. 23/03/2026 a 29/03/2026 - PIX: E-MAIL - CHAVE: gouveavictor4@gmail.com</t>
  </si>
  <si>
    <t>Serv.Prest. 23/03/2026 a 29/03/2026 - PIX: CELULAR - CHAVE: (32) 99910-8064</t>
  </si>
  <si>
    <t>Serv.Prest. 23/03/2026 a 29/03/2026 - PIX: CELULAR - CHAVE: (32) 99841-7315</t>
  </si>
  <si>
    <t>Serv.Prest. 23/03/2026 a 29/03/2026 - PIX: E-MAIL - CHAVE: ericsilva8marcena@gmail.com</t>
  </si>
  <si>
    <t>Serv.Prest. 23/03/2026 a 29/03/2026 - PIX: CELULAR - CHAVE: (31) 99607-6585</t>
  </si>
  <si>
    <t>Serv.Prest. 23/03/2026 a 29/03/2026 - PIX: CPF - CHAVE: 105.020.076-48</t>
  </si>
  <si>
    <t>Serv.Prest. 23/03/2026 a 29/03/2026 - PIX: CPF - CHAVE: 152.577.816-11</t>
  </si>
  <si>
    <t>Serv.Prest. 23/03/2026 a 29/03/2026 - PIX: CELULAR - CHAVE: (32) 98703-8039</t>
  </si>
  <si>
    <t>Serv.Prest. 23/03/2026 a 29/03/2026 - PIX: CELULAR - CHAVE: (33) 99194-2339</t>
  </si>
  <si>
    <t>Serv.Prest. 23/03/2026 a 29/03/2026 - PIX: CPF - CHAVE: 108.723.916-80</t>
  </si>
  <si>
    <t>PAGAMENTO PRESTACAO DE SERVICO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</si>
</sst>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60"/>
  <sheetViews>
    <sheetView tabSelected="1" workbookViewId="0">
      <pane activePane="bottomRight" state="frozen"/>
      <selection activeCell="A2" activeCellId="1" sqref="A1:XFD1 A2:XFD2"/>
    </sheetView>
  </sheetViews>
  <sheetFormatPr defaultColWidth="9.109375" defaultRowHeight="14.4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tr">
        <f t="shared" ref="A2:A24" si="0">("02/03/2026")</f>
        <v>02/03/2026</v>
      </c>
      <c r="B2" t="str">
        <f>"ENTRADA"</f>
        <v>ENTRADA</v>
      </c>
      <c r="C2" t="str">
        <f t="shared" ref="C2:C19" si="1">"PIX"</f>
        <v>PIX</v>
      </c>
      <c r="D2" t="str">
        <f>"05032026"</f>
        <v>05032026</v>
      </c>
      <c r="E2" t="str">
        <f>""</f>
        <v/>
      </c>
      <c r="F2" t="str">
        <f t="shared" ref="F2:F65" si="2">"COM"</f>
        <v>COM</v>
      </c>
      <c r="G2" t="str">
        <f>"MURILO TURRINI (1126)"</f>
        <v>MURILO TURRINI (1126)</v>
      </c>
      <c r="H2" t="str">
        <f>"REEMBOLSO DE ADIANTAMENTO DE PAGAMENTO "</f>
        <v xml:space="preserve">REEMBOLSO DE ADIANTAMENTO DE PAGAMENTO </v>
      </c>
      <c r="I2" t="str">
        <f>("05/03/2026")</f>
        <v>05/03/2026</v>
      </c>
      <c r="J2" t="str">
        <f>("05/03/2026")</f>
        <v>05/03/2026</v>
      </c>
      <c r="K2" t="str">
        <f>("02/03/2026")</f>
        <v>02/03/2026</v>
      </c>
      <c r="L2">
        <v>100</v>
      </c>
      <c r="M2">
        <v>100</v>
      </c>
      <c r="N2">
        <v>129</v>
      </c>
      <c r="O2" t="str">
        <f>"ENTRADA DE REEMBOLSO ADIANTAMENTO"</f>
        <v>ENTRADA DE REEMBOLSO ADIANTAMENTO</v>
      </c>
      <c r="P2">
        <v>100</v>
      </c>
      <c r="S2" t="str">
        <f>"ENTRADA DE REEMBOLSO ADIANTAMENTO (129)"</f>
        <v>ENTRADA DE REEMBOLSO ADIANTAMENTO (129)</v>
      </c>
      <c r="T2">
        <v>29929</v>
      </c>
      <c r="U2">
        <v>33789</v>
      </c>
      <c r="V2" t="s">
        <v>22</v>
      </c>
    </row>
    <row r="3" spans="1:22">
      <c r="A3" t="str">
        <f t="shared" si="0"/>
        <v>02/03/2026</v>
      </c>
      <c r="B3" t="str">
        <f>"ENTRADA"</f>
        <v>ENTRADA</v>
      </c>
      <c r="C3" t="str">
        <f t="shared" si="1"/>
        <v>PIX</v>
      </c>
      <c r="D3" t="str">
        <f>"05032026"</f>
        <v>05032026</v>
      </c>
      <c r="E3" t="str">
        <f>""</f>
        <v/>
      </c>
      <c r="F3" t="str">
        <f t="shared" si="2"/>
        <v>COM</v>
      </c>
      <c r="G3" t="str">
        <f>"MURILO TURRINI (1126)"</f>
        <v>MURILO TURRINI (1126)</v>
      </c>
      <c r="H3" t="s">
        <v>23</v>
      </c>
      <c r="I3" t="str">
        <f>("05/03/2026")</f>
        <v>05/03/2026</v>
      </c>
      <c r="J3" t="str">
        <f>("05/03/2026")</f>
        <v>05/03/2026</v>
      </c>
      <c r="K3">
        <v>46083</v>
      </c>
      <c r="N3">
        <v>129</v>
      </c>
      <c r="O3" t="s">
        <v>24</v>
      </c>
      <c r="Q3">
        <v>100</v>
      </c>
      <c r="R3" t="str">
        <f>"MURILO TURRINI (1126)"</f>
        <v>MURILO TURRINI (1126)</v>
      </c>
      <c r="S3" t="s">
        <v>25</v>
      </c>
      <c r="T3">
        <v>29929</v>
      </c>
      <c r="U3">
        <v>33789</v>
      </c>
      <c r="V3" t="s">
        <v>22</v>
      </c>
    </row>
    <row r="4" spans="1:22">
      <c r="A4" t="str">
        <f t="shared" si="0"/>
        <v>02/03/2026</v>
      </c>
      <c r="B4" t="str">
        <f t="shared" ref="B4:B19" si="3">"SAÍDA"</f>
        <v>SAÍDA</v>
      </c>
      <c r="C4" t="str">
        <f t="shared" si="1"/>
        <v>PIX</v>
      </c>
      <c r="D4" t="str">
        <f>"33883"</f>
        <v>33883</v>
      </c>
      <c r="E4" t="str">
        <f t="shared" ref="E4:E13" si="4">"1"</f>
        <v>1</v>
      </c>
      <c r="F4" t="str">
        <f t="shared" si="2"/>
        <v>COM</v>
      </c>
      <c r="G4" t="str">
        <f>"MURILO TURRINI (1126)"</f>
        <v>MURILO TURRINI (1126)</v>
      </c>
      <c r="H4" t="str">
        <f>"Serv.Prest. 23/02/2026 a 01/03/2026 - PIX: CPF - CHAVE: 480.727.928-90"</f>
        <v>Serv.Prest. 23/02/2026 a 01/03/2026 - PIX: CPF - CHAVE: 480.727.928-90</v>
      </c>
      <c r="I4" t="str">
        <f t="shared" ref="I4:I13" si="5">("05/03/2026")</f>
        <v>05/03/2026</v>
      </c>
      <c r="J4" t="str">
        <f>("02/03/2026")</f>
        <v>02/03/2026</v>
      </c>
      <c r="K4" t="str">
        <f>("02/03/2026")</f>
        <v>02/03/2026</v>
      </c>
      <c r="L4">
        <v>100</v>
      </c>
      <c r="M4">
        <v>100</v>
      </c>
      <c r="N4">
        <v>109</v>
      </c>
      <c r="O4" t="str">
        <f>"PAGAMENTO DE ENTREGADORES"</f>
        <v>PAGAMENTO DE ENTREGADORES</v>
      </c>
      <c r="P4">
        <v>100</v>
      </c>
      <c r="S4" t="str">
        <f>"CAIXA MOVIMENTAÇÃO OPERACIONAL (132)"</f>
        <v>CAIXA MOVIMENTAÇÃO OPERACIONAL (132)</v>
      </c>
      <c r="T4">
        <v>29930</v>
      </c>
      <c r="U4">
        <v>33885</v>
      </c>
      <c r="V4" t="s">
        <v>22</v>
      </c>
    </row>
    <row r="5" spans="1:22">
      <c r="A5" t="str">
        <f t="shared" si="0"/>
        <v>02/03/2026</v>
      </c>
      <c r="B5" t="str">
        <f t="shared" si="3"/>
        <v>SAÍDA</v>
      </c>
      <c r="C5" t="str">
        <f t="shared" si="1"/>
        <v>PIX</v>
      </c>
      <c r="D5" t="str">
        <f>"33883"</f>
        <v>33883</v>
      </c>
      <c r="E5" t="str">
        <f t="shared" si="4"/>
        <v>1</v>
      </c>
      <c r="F5" t="str">
        <f t="shared" si="2"/>
        <v>COM</v>
      </c>
      <c r="G5" t="str">
        <f>"MURILO TURRINI (1126)"</f>
        <v>MURILO TURRINI (1126)</v>
      </c>
      <c r="H5" t="s">
        <v>26</v>
      </c>
      <c r="I5" t="str">
        <f t="shared" si="5"/>
        <v>05/03/2026</v>
      </c>
      <c r="J5" t="str">
        <f t="shared" ref="J5:J19" si="6">("02/03/2026")</f>
        <v>02/03/2026</v>
      </c>
      <c r="K5">
        <v>46083</v>
      </c>
      <c r="N5">
        <v>109</v>
      </c>
      <c r="O5" t="s">
        <v>27</v>
      </c>
      <c r="Q5">
        <v>100</v>
      </c>
      <c r="R5" t="str">
        <f>"DROGARIA ISABELLA (10276)"</f>
        <v>DROGARIA ISABELLA (10276)</v>
      </c>
      <c r="S5" t="s">
        <v>22</v>
      </c>
      <c r="T5">
        <v>29930</v>
      </c>
      <c r="U5">
        <v>33885</v>
      </c>
      <c r="V5" t="s">
        <v>22</v>
      </c>
    </row>
    <row r="6" spans="1:22">
      <c r="A6" t="str">
        <f t="shared" si="0"/>
        <v>02/03/2026</v>
      </c>
      <c r="B6" t="str">
        <f t="shared" si="3"/>
        <v>SAÍDA</v>
      </c>
      <c r="C6" t="str">
        <f t="shared" si="1"/>
        <v>PIX</v>
      </c>
      <c r="D6" t="str">
        <f>"33892"</f>
        <v>33892</v>
      </c>
      <c r="E6" t="str">
        <f t="shared" si="4"/>
        <v>1</v>
      </c>
      <c r="F6" t="str">
        <f t="shared" si="2"/>
        <v>COM</v>
      </c>
      <c r="G6" t="str">
        <f>"JOSE ADILSON DA SILVA (1168)"</f>
        <v>JOSE ADILSON DA SILVA (1168)</v>
      </c>
      <c r="H6" t="str">
        <f>"Serv.Prest. 23/02/2026 a 01/03/2026 - PIX: CPF - CHAVE: 142.473.524-66"</f>
        <v>Serv.Prest. 23/02/2026 a 01/03/2026 - PIX: CPF - CHAVE: 142.473.524-66</v>
      </c>
      <c r="I6" t="str">
        <f t="shared" si="5"/>
        <v>05/03/2026</v>
      </c>
      <c r="J6" t="str">
        <f t="shared" si="6"/>
        <v>02/03/2026</v>
      </c>
      <c r="K6" t="str">
        <f>("02/03/2026")</f>
        <v>02/03/2026</v>
      </c>
      <c r="L6">
        <v>147</v>
      </c>
      <c r="M6">
        <v>150</v>
      </c>
      <c r="N6">
        <v>109</v>
      </c>
      <c r="O6" t="str">
        <f>"PAGAMENTO DE ENTREGADORES"</f>
        <v>PAGAMENTO DE ENTREGADORES</v>
      </c>
      <c r="P6">
        <v>150</v>
      </c>
      <c r="S6" t="str">
        <f>"CAIXA MOVIMENTAÇÃO OPERACIONAL (132)"</f>
        <v>CAIXA MOVIMENTAÇÃO OPERACIONAL (132)</v>
      </c>
      <c r="T6">
        <v>29931</v>
      </c>
      <c r="U6">
        <v>33892</v>
      </c>
      <c r="V6" t="s">
        <v>22</v>
      </c>
    </row>
    <row r="7" spans="1:22">
      <c r="A7" t="str">
        <f t="shared" si="0"/>
        <v>02/03/2026</v>
      </c>
      <c r="B7" t="str">
        <f t="shared" si="3"/>
        <v>SAÍDA</v>
      </c>
      <c r="C7" t="str">
        <f t="shared" si="1"/>
        <v>PIX</v>
      </c>
      <c r="D7" t="str">
        <f>"33892"</f>
        <v>33892</v>
      </c>
      <c r="E7" t="str">
        <f t="shared" si="4"/>
        <v>1</v>
      </c>
      <c r="F7" t="str">
        <f t="shared" si="2"/>
        <v>COM</v>
      </c>
      <c r="G7" t="str">
        <f>"JOSE ADILSON DA SILVA (1168)"</f>
        <v>JOSE ADILSON DA SILVA (1168)</v>
      </c>
      <c r="H7" t="s">
        <v>28</v>
      </c>
      <c r="I7" t="str">
        <f t="shared" si="5"/>
        <v>05/03/2026</v>
      </c>
      <c r="J7" t="str">
        <f t="shared" si="6"/>
        <v>02/03/2026</v>
      </c>
      <c r="K7">
        <v>46083</v>
      </c>
      <c r="N7">
        <v>109</v>
      </c>
      <c r="O7" t="s">
        <v>27</v>
      </c>
      <c r="Q7">
        <v>150</v>
      </c>
      <c r="R7" t="str">
        <f>"DROGARIA MORENO LTDA (10171)"</f>
        <v>DROGARIA MORENO LTDA (10171)</v>
      </c>
      <c r="S7" t="s">
        <v>22</v>
      </c>
      <c r="T7">
        <v>29931</v>
      </c>
      <c r="U7">
        <v>33892</v>
      </c>
      <c r="V7" t="s">
        <v>22</v>
      </c>
    </row>
    <row r="8" spans="1:22">
      <c r="A8" t="str">
        <f t="shared" si="0"/>
        <v>02/03/2026</v>
      </c>
      <c r="B8" t="str">
        <f t="shared" si="3"/>
        <v>SAÍDA</v>
      </c>
      <c r="C8" t="str">
        <f t="shared" si="1"/>
        <v>PIX</v>
      </c>
      <c r="D8" t="str">
        <f t="shared" ref="D8:D13" si="7">"33894"</f>
        <v>33894</v>
      </c>
      <c r="E8" t="str">
        <f t="shared" si="4"/>
        <v>1</v>
      </c>
      <c r="F8" t="str">
        <f t="shared" si="2"/>
        <v>COM</v>
      </c>
      <c r="G8" t="str">
        <f t="shared" ref="G8:G15" si="8">"VALDIR PEREIRA PINHEIRO (1146)"</f>
        <v>VALDIR PEREIRA PINHEIRO (1146)</v>
      </c>
      <c r="H8" t="str">
        <f>"Serv.Prest. 23/02/2026 a 01/03/2026 - PIX: CELULAR - CHAVE: (11) 96180-2717"</f>
        <v>Serv.Prest. 23/02/2026 a 01/03/2026 - PIX: CELULAR - CHAVE: (11) 96180-2717</v>
      </c>
      <c r="I8" t="str">
        <f t="shared" si="5"/>
        <v>05/03/2026</v>
      </c>
      <c r="J8" t="str">
        <f t="shared" si="6"/>
        <v>02/03/2026</v>
      </c>
      <c r="K8" t="str">
        <f>("02/03/2026")</f>
        <v>02/03/2026</v>
      </c>
      <c r="L8">
        <v>150</v>
      </c>
      <c r="M8">
        <v>150</v>
      </c>
      <c r="N8">
        <v>109</v>
      </c>
      <c r="O8" t="str">
        <f>"PAGAMENTO DE ENTREGADORES"</f>
        <v>PAGAMENTO DE ENTREGADORES</v>
      </c>
      <c r="P8">
        <v>150</v>
      </c>
      <c r="S8" t="str">
        <f>"CAIXA MOVIMENTAÇÃO OPERACIONAL (132)"</f>
        <v>CAIXA MOVIMENTAÇÃO OPERACIONAL (132)</v>
      </c>
      <c r="T8">
        <v>29932</v>
      </c>
      <c r="U8">
        <v>33895</v>
      </c>
      <c r="V8" t="s">
        <v>22</v>
      </c>
    </row>
    <row r="9" spans="1:22">
      <c r="A9" t="str">
        <f t="shared" si="0"/>
        <v>02/03/2026</v>
      </c>
      <c r="B9" t="str">
        <f t="shared" si="3"/>
        <v>SAÍDA</v>
      </c>
      <c r="C9" t="str">
        <f t="shared" si="1"/>
        <v>PIX</v>
      </c>
      <c r="D9" t="str">
        <f t="shared" si="7"/>
        <v>33894</v>
      </c>
      <c r="E9" t="str">
        <f t="shared" si="4"/>
        <v>1</v>
      </c>
      <c r="F9" t="str">
        <f t="shared" si="2"/>
        <v>COM</v>
      </c>
      <c r="G9" t="str">
        <f t="shared" si="8"/>
        <v>VALDIR PEREIRA PINHEIRO (1146)</v>
      </c>
      <c r="H9" t="s">
        <v>29</v>
      </c>
      <c r="I9" t="str">
        <f t="shared" si="5"/>
        <v>05/03/2026</v>
      </c>
      <c r="J9" t="str">
        <f t="shared" si="6"/>
        <v>02/03/2026</v>
      </c>
      <c r="K9">
        <v>46083</v>
      </c>
      <c r="N9">
        <v>109</v>
      </c>
      <c r="O9" t="s">
        <v>27</v>
      </c>
      <c r="Q9">
        <v>150</v>
      </c>
      <c r="R9" t="str">
        <f>"DROGARIA MORENO LTDA (10171)"</f>
        <v>DROGARIA MORENO LTDA (10171)</v>
      </c>
      <c r="S9" t="s">
        <v>22</v>
      </c>
      <c r="T9">
        <v>29932</v>
      </c>
      <c r="U9">
        <v>33895</v>
      </c>
      <c r="V9" t="s">
        <v>22</v>
      </c>
    </row>
    <row r="10" spans="1:22">
      <c r="A10" t="str">
        <f t="shared" si="0"/>
        <v>02/03/2026</v>
      </c>
      <c r="B10" t="str">
        <f t="shared" si="3"/>
        <v>SAÍDA</v>
      </c>
      <c r="C10" t="str">
        <f t="shared" si="1"/>
        <v>PIX</v>
      </c>
      <c r="D10" t="str">
        <f t="shared" si="7"/>
        <v>33894</v>
      </c>
      <c r="E10" t="str">
        <f t="shared" si="4"/>
        <v>1</v>
      </c>
      <c r="F10" t="str">
        <f t="shared" si="2"/>
        <v>COM</v>
      </c>
      <c r="G10" t="str">
        <f t="shared" si="8"/>
        <v>VALDIR PEREIRA PINHEIRO (1146)</v>
      </c>
      <c r="H10" t="str">
        <f>"Serv.Prest. 23/02/2026 a 01/03/2026 - PIX: CELULAR - CHAVE: (11) 96180-2717"</f>
        <v>Serv.Prest. 23/02/2026 a 01/03/2026 - PIX: CELULAR - CHAVE: (11) 96180-2717</v>
      </c>
      <c r="I10" t="str">
        <f t="shared" si="5"/>
        <v>05/03/2026</v>
      </c>
      <c r="J10" t="str">
        <f t="shared" si="6"/>
        <v>02/03/2026</v>
      </c>
      <c r="K10" t="str">
        <f>("02/03/2026")</f>
        <v>02/03/2026</v>
      </c>
      <c r="L10">
        <v>150</v>
      </c>
      <c r="M10">
        <v>150</v>
      </c>
      <c r="N10">
        <v>109</v>
      </c>
      <c r="O10" t="str">
        <f>"PAGAMENTO DE ENTREGADORES"</f>
        <v>PAGAMENTO DE ENTREGADORES</v>
      </c>
      <c r="P10">
        <v>150</v>
      </c>
      <c r="S10" t="str">
        <f>"CAIXA MOVIMENTAÇÃO OPERACIONAL (132)"</f>
        <v>CAIXA MOVIMENTAÇÃO OPERACIONAL (132)</v>
      </c>
      <c r="T10">
        <v>29933</v>
      </c>
      <c r="U10">
        <v>33896</v>
      </c>
      <c r="V10" t="s">
        <v>22</v>
      </c>
    </row>
    <row r="11" spans="1:22">
      <c r="A11" t="str">
        <f t="shared" si="0"/>
        <v>02/03/2026</v>
      </c>
      <c r="B11" t="str">
        <f t="shared" si="3"/>
        <v>SAÍDA</v>
      </c>
      <c r="C11" t="str">
        <f t="shared" si="1"/>
        <v>PIX</v>
      </c>
      <c r="D11" t="str">
        <f t="shared" si="7"/>
        <v>33894</v>
      </c>
      <c r="E11" t="str">
        <f t="shared" si="4"/>
        <v>1</v>
      </c>
      <c r="F11" t="str">
        <f t="shared" si="2"/>
        <v>COM</v>
      </c>
      <c r="G11" t="str">
        <f t="shared" si="8"/>
        <v>VALDIR PEREIRA PINHEIRO (1146)</v>
      </c>
      <c r="H11" t="s">
        <v>29</v>
      </c>
      <c r="I11" t="str">
        <f t="shared" si="5"/>
        <v>05/03/2026</v>
      </c>
      <c r="J11" t="str">
        <f t="shared" si="6"/>
        <v>02/03/2026</v>
      </c>
      <c r="K11">
        <v>46083</v>
      </c>
      <c r="N11">
        <v>109</v>
      </c>
      <c r="O11" t="s">
        <v>27</v>
      </c>
      <c r="Q11">
        <v>150</v>
      </c>
      <c r="R11" t="str">
        <f>"DROGARIA MORENO LTDA (10171)"</f>
        <v>DROGARIA MORENO LTDA (10171)</v>
      </c>
      <c r="S11" t="s">
        <v>22</v>
      </c>
      <c r="T11">
        <v>29933</v>
      </c>
      <c r="U11">
        <v>33896</v>
      </c>
      <c r="V11" t="s">
        <v>22</v>
      </c>
    </row>
    <row r="12" spans="1:22">
      <c r="A12" t="str">
        <f t="shared" si="0"/>
        <v>02/03/2026</v>
      </c>
      <c r="B12" t="str">
        <f t="shared" si="3"/>
        <v>SAÍDA</v>
      </c>
      <c r="C12" t="str">
        <f t="shared" si="1"/>
        <v>PIX</v>
      </c>
      <c r="D12" t="str">
        <f t="shared" si="7"/>
        <v>33894</v>
      </c>
      <c r="E12" t="str">
        <f t="shared" si="4"/>
        <v>1</v>
      </c>
      <c r="F12" t="str">
        <f t="shared" si="2"/>
        <v>COM</v>
      </c>
      <c r="G12" t="str">
        <f t="shared" si="8"/>
        <v>VALDIR PEREIRA PINHEIRO (1146)</v>
      </c>
      <c r="H12" t="str">
        <f>"Serv.Prest. 23/02/2026 a 01/03/2026 - PIX: CELULAR - CHAVE: (11) 96180-2717"</f>
        <v>Serv.Prest. 23/02/2026 a 01/03/2026 - PIX: CELULAR - CHAVE: (11) 96180-2717</v>
      </c>
      <c r="I12" t="str">
        <f t="shared" si="5"/>
        <v>05/03/2026</v>
      </c>
      <c r="J12" t="str">
        <f t="shared" si="6"/>
        <v>02/03/2026</v>
      </c>
      <c r="K12" t="str">
        <f>("02/03/2026")</f>
        <v>02/03/2026</v>
      </c>
      <c r="L12">
        <v>71</v>
      </c>
      <c r="M12">
        <v>150</v>
      </c>
      <c r="N12">
        <v>109</v>
      </c>
      <c r="O12" t="str">
        <f>"PAGAMENTO DE ENTREGADORES"</f>
        <v>PAGAMENTO DE ENTREGADORES</v>
      </c>
      <c r="P12">
        <v>150</v>
      </c>
      <c r="S12" t="str">
        <f>"CAIXA MOVIMENTAÇÃO OPERACIONAL (132)"</f>
        <v>CAIXA MOVIMENTAÇÃO OPERACIONAL (132)</v>
      </c>
      <c r="T12">
        <v>29934</v>
      </c>
      <c r="U12">
        <v>33894</v>
      </c>
      <c r="V12" t="s">
        <v>22</v>
      </c>
    </row>
    <row r="13" spans="1:22">
      <c r="A13" t="str">
        <f t="shared" si="0"/>
        <v>02/03/2026</v>
      </c>
      <c r="B13" t="str">
        <f t="shared" si="3"/>
        <v>SAÍDA</v>
      </c>
      <c r="C13" t="str">
        <f t="shared" si="1"/>
        <v>PIX</v>
      </c>
      <c r="D13" t="str">
        <f t="shared" si="7"/>
        <v>33894</v>
      </c>
      <c r="E13" t="str">
        <f t="shared" si="4"/>
        <v>1</v>
      </c>
      <c r="F13" t="str">
        <f t="shared" si="2"/>
        <v>COM</v>
      </c>
      <c r="G13" t="str">
        <f t="shared" si="8"/>
        <v>VALDIR PEREIRA PINHEIRO (1146)</v>
      </c>
      <c r="H13" t="s">
        <v>29</v>
      </c>
      <c r="I13" t="str">
        <f t="shared" si="5"/>
        <v>05/03/2026</v>
      </c>
      <c r="J13" t="str">
        <f t="shared" si="6"/>
        <v>02/03/2026</v>
      </c>
      <c r="K13">
        <v>46083</v>
      </c>
      <c r="N13">
        <v>109</v>
      </c>
      <c r="O13" t="s">
        <v>27</v>
      </c>
      <c r="Q13">
        <v>150</v>
      </c>
      <c r="R13" t="str">
        <f>"DROGARIA MORENO LTDA (10171)"</f>
        <v>DROGARIA MORENO LTDA (10171)</v>
      </c>
      <c r="S13" t="s">
        <v>22</v>
      </c>
      <c r="T13">
        <v>29934</v>
      </c>
      <c r="U13">
        <v>33894</v>
      </c>
      <c r="V13" t="s">
        <v>22</v>
      </c>
    </row>
    <row r="14" spans="1:22">
      <c r="A14" t="str">
        <f t="shared" si="0"/>
        <v>02/03/2026</v>
      </c>
      <c r="B14" t="str">
        <f t="shared" si="3"/>
        <v>SAÍDA</v>
      </c>
      <c r="C14" t="str">
        <f t="shared" si="1"/>
        <v>PIX</v>
      </c>
      <c r="D14" t="str">
        <f>"02032026"</f>
        <v>02032026</v>
      </c>
      <c r="E14" t="str">
        <f>""</f>
        <v/>
      </c>
      <c r="F14" t="str">
        <f t="shared" si="2"/>
        <v>COM</v>
      </c>
      <c r="G14" t="str">
        <f t="shared" si="8"/>
        <v>VALDIR PEREIRA PINHEIRO (1146)</v>
      </c>
      <c r="H14" t="str">
        <f>"Serv.Prest. 23/02/2026 a 01/03/2026 - PIX: CELULAR - CHAVE: (11) 96180-2717"</f>
        <v>Serv.Prest. 23/02/2026 a 01/03/2026 - PIX: CELULAR - CHAVE: (11) 96180-2717</v>
      </c>
      <c r="I14" t="str">
        <f>("02/03/2026")</f>
        <v>02/03/2026</v>
      </c>
      <c r="J14" t="str">
        <f t="shared" si="6"/>
        <v>02/03/2026</v>
      </c>
      <c r="K14" t="str">
        <f>("02/03/2026")</f>
        <v>02/03/2026</v>
      </c>
      <c r="L14">
        <v>150</v>
      </c>
      <c r="M14">
        <v>150</v>
      </c>
      <c r="N14">
        <v>134</v>
      </c>
      <c r="O14" t="str">
        <f>"DIARIA DE MOTOBOY"</f>
        <v>DIARIA DE MOTOBOY</v>
      </c>
      <c r="P14">
        <v>150</v>
      </c>
      <c r="S14" t="str">
        <f>"CAIXA MOVIMENTAÇÃO OPERACIONAL (132)"</f>
        <v>CAIXA MOVIMENTAÇÃO OPERACIONAL (132)</v>
      </c>
      <c r="T14">
        <v>29935</v>
      </c>
      <c r="U14">
        <v>33897</v>
      </c>
      <c r="V14" t="s">
        <v>22</v>
      </c>
    </row>
    <row r="15" spans="1:22">
      <c r="A15" t="str">
        <f t="shared" si="0"/>
        <v>02/03/2026</v>
      </c>
      <c r="B15" t="str">
        <f t="shared" si="3"/>
        <v>SAÍDA</v>
      </c>
      <c r="C15" t="str">
        <f t="shared" si="1"/>
        <v>PIX</v>
      </c>
      <c r="D15" t="str">
        <f>"02032026"</f>
        <v>02032026</v>
      </c>
      <c r="E15" t="str">
        <f>""</f>
        <v/>
      </c>
      <c r="F15" t="str">
        <f t="shared" si="2"/>
        <v>COM</v>
      </c>
      <c r="G15" t="str">
        <f t="shared" si="8"/>
        <v>VALDIR PEREIRA PINHEIRO (1146)</v>
      </c>
      <c r="H15" t="s">
        <v>29</v>
      </c>
      <c r="I15" t="str">
        <f>("02/03/2026")</f>
        <v>02/03/2026</v>
      </c>
      <c r="J15" t="str">
        <f t="shared" si="6"/>
        <v>02/03/2026</v>
      </c>
      <c r="K15">
        <v>46083</v>
      </c>
      <c r="N15">
        <v>134</v>
      </c>
      <c r="O15" t="s">
        <v>30</v>
      </c>
      <c r="Q15">
        <v>150</v>
      </c>
      <c r="R15" t="str">
        <f>"DROGARIA MORENO LTDA (10171)"</f>
        <v>DROGARIA MORENO LTDA (10171)</v>
      </c>
      <c r="S15" t="s">
        <v>22</v>
      </c>
      <c r="T15">
        <v>29935</v>
      </c>
      <c r="U15">
        <v>33897</v>
      </c>
      <c r="V15" t="s">
        <v>22</v>
      </c>
    </row>
    <row r="16" spans="1:22">
      <c r="A16" t="str">
        <f t="shared" si="0"/>
        <v>02/03/2026</v>
      </c>
      <c r="B16" t="str">
        <f t="shared" si="3"/>
        <v>SAÍDA</v>
      </c>
      <c r="C16" t="str">
        <f t="shared" si="1"/>
        <v>PIX</v>
      </c>
      <c r="D16" t="str">
        <f>"33890"</f>
        <v>33890</v>
      </c>
      <c r="E16" t="str">
        <f>"1"</f>
        <v>1</v>
      </c>
      <c r="F16" t="str">
        <f t="shared" si="2"/>
        <v>COM</v>
      </c>
      <c r="G16" t="str">
        <f t="shared" ref="G16:G21" si="9">"ALLAN SILVA DAMACENA (790)"</f>
        <v>ALLAN SILVA DAMACENA (790)</v>
      </c>
      <c r="H16" t="str">
        <f>"Serv.Prest. 23/02/2026 a 01/03/2026 - PIX: CELULAR - CHAVE: (19) 98944-4977"</f>
        <v>Serv.Prest. 23/02/2026 a 01/03/2026 - PIX: CELULAR - CHAVE: (19) 98944-4977</v>
      </c>
      <c r="I16" t="str">
        <f t="shared" ref="I16:I21" si="10">("05/03/2026")</f>
        <v>05/03/2026</v>
      </c>
      <c r="J16" t="str">
        <f t="shared" si="6"/>
        <v>02/03/2026</v>
      </c>
      <c r="K16" t="str">
        <f>("02/03/2026")</f>
        <v>02/03/2026</v>
      </c>
      <c r="L16">
        <v>150</v>
      </c>
      <c r="M16">
        <v>150</v>
      </c>
      <c r="N16">
        <v>134</v>
      </c>
      <c r="O16" t="str">
        <f>"DIARIA DE MOTOBOY"</f>
        <v>DIARIA DE MOTOBOY</v>
      </c>
      <c r="P16">
        <v>150</v>
      </c>
      <c r="S16" t="str">
        <f>"CAIXA MOVIMENTAÇÃO OPERACIONAL (132)"</f>
        <v>CAIXA MOVIMENTAÇÃO OPERACIONAL (132)</v>
      </c>
      <c r="T16">
        <v>29936</v>
      </c>
      <c r="U16">
        <v>33898</v>
      </c>
      <c r="V16" t="s">
        <v>22</v>
      </c>
    </row>
    <row r="17" spans="1:22">
      <c r="A17" t="str">
        <f t="shared" si="0"/>
        <v>02/03/2026</v>
      </c>
      <c r="B17" t="str">
        <f t="shared" si="3"/>
        <v>SAÍDA</v>
      </c>
      <c r="C17" t="str">
        <f t="shared" si="1"/>
        <v>PIX</v>
      </c>
      <c r="D17" t="str">
        <f>"33890"</f>
        <v>33890</v>
      </c>
      <c r="E17" t="str">
        <f>"1"</f>
        <v>1</v>
      </c>
      <c r="F17" t="str">
        <f t="shared" si="2"/>
        <v>COM</v>
      </c>
      <c r="G17" t="str">
        <f t="shared" si="9"/>
        <v>ALLAN SILVA DAMACENA (790)</v>
      </c>
      <c r="H17" t="s">
        <v>31</v>
      </c>
      <c r="I17" t="str">
        <f t="shared" si="10"/>
        <v>05/03/2026</v>
      </c>
      <c r="J17" t="str">
        <f t="shared" si="6"/>
        <v>02/03/2026</v>
      </c>
      <c r="K17">
        <v>46083</v>
      </c>
      <c r="N17">
        <v>134</v>
      </c>
      <c r="O17" t="s">
        <v>30</v>
      </c>
      <c r="Q17">
        <v>150</v>
      </c>
      <c r="R17" t="str">
        <f>"DROGARIA MORENO LTDA (10171)"</f>
        <v>DROGARIA MORENO LTDA (10171)</v>
      </c>
      <c r="S17" t="s">
        <v>22</v>
      </c>
      <c r="T17">
        <v>29936</v>
      </c>
      <c r="U17">
        <v>33898</v>
      </c>
      <c r="V17" t="s">
        <v>22</v>
      </c>
    </row>
    <row r="18" spans="1:22">
      <c r="A18" t="str">
        <f t="shared" si="0"/>
        <v>02/03/2026</v>
      </c>
      <c r="B18" t="str">
        <f t="shared" si="3"/>
        <v>SAÍDA</v>
      </c>
      <c r="C18" t="str">
        <f t="shared" si="1"/>
        <v>PIX</v>
      </c>
      <c r="D18" t="str">
        <f>"33890"</f>
        <v>33890</v>
      </c>
      <c r="E18" t="str">
        <f>"1"</f>
        <v>1</v>
      </c>
      <c r="F18" t="str">
        <f t="shared" si="2"/>
        <v>COM</v>
      </c>
      <c r="G18" t="str">
        <f t="shared" si="9"/>
        <v>ALLAN SILVA DAMACENA (790)</v>
      </c>
      <c r="H18" t="str">
        <f>"Serv.Prest. 23/02/2026 a 01/03/2026 - PIX: CELULAR - CHAVE: (19) 98944-4977"</f>
        <v>Serv.Prest. 23/02/2026 a 01/03/2026 - PIX: CELULAR - CHAVE: (19) 98944-4977</v>
      </c>
      <c r="I18" t="str">
        <f t="shared" si="10"/>
        <v>05/03/2026</v>
      </c>
      <c r="J18" t="str">
        <f t="shared" si="6"/>
        <v>02/03/2026</v>
      </c>
      <c r="K18" t="str">
        <f>("02/03/2026")</f>
        <v>02/03/2026</v>
      </c>
      <c r="L18">
        <v>100</v>
      </c>
      <c r="M18">
        <v>100</v>
      </c>
      <c r="N18">
        <v>109</v>
      </c>
      <c r="O18" t="str">
        <f>"PAGAMENTO DE ENTREGADORES"</f>
        <v>PAGAMENTO DE ENTREGADORES</v>
      </c>
      <c r="P18">
        <v>100</v>
      </c>
      <c r="S18" t="str">
        <f>"CAIXA MOVIMENTAÇÃO OPERACIONAL (132)"</f>
        <v>CAIXA MOVIMENTAÇÃO OPERACIONAL (132)</v>
      </c>
      <c r="T18">
        <v>29937</v>
      </c>
      <c r="U18">
        <v>33899</v>
      </c>
      <c r="V18" t="s">
        <v>22</v>
      </c>
    </row>
    <row r="19" spans="1:22">
      <c r="A19" t="str">
        <f t="shared" si="0"/>
        <v>02/03/2026</v>
      </c>
      <c r="B19" t="str">
        <f t="shared" si="3"/>
        <v>SAÍDA</v>
      </c>
      <c r="C19" t="str">
        <f t="shared" si="1"/>
        <v>PIX</v>
      </c>
      <c r="D19" t="str">
        <f>"33890"</f>
        <v>33890</v>
      </c>
      <c r="E19" t="str">
        <f>"1"</f>
        <v>1</v>
      </c>
      <c r="F19" t="str">
        <f t="shared" si="2"/>
        <v>COM</v>
      </c>
      <c r="G19" t="str">
        <f t="shared" si="9"/>
        <v>ALLAN SILVA DAMACENA (790)</v>
      </c>
      <c r="H19" t="s">
        <v>31</v>
      </c>
      <c r="I19" t="str">
        <f t="shared" si="10"/>
        <v>05/03/2026</v>
      </c>
      <c r="J19" t="str">
        <f t="shared" si="6"/>
        <v>02/03/2026</v>
      </c>
      <c r="K19">
        <v>46083</v>
      </c>
      <c r="N19">
        <v>109</v>
      </c>
      <c r="O19" t="s">
        <v>27</v>
      </c>
      <c r="Q19">
        <v>100</v>
      </c>
      <c r="R19" t="str">
        <f>"DROGARIA MORENO LTDA (10171)"</f>
        <v>DROGARIA MORENO LTDA (10171)</v>
      </c>
      <c r="S19" t="s">
        <v>22</v>
      </c>
      <c r="T19">
        <v>29937</v>
      </c>
      <c r="U19">
        <v>33899</v>
      </c>
      <c r="V19" t="s">
        <v>22</v>
      </c>
    </row>
    <row r="20" spans="1:22">
      <c r="A20" t="str">
        <f t="shared" si="0"/>
        <v>02/03/2026</v>
      </c>
      <c r="B20" t="str">
        <f>"ENTRADA"</f>
        <v>ENTRADA</v>
      </c>
      <c r="C20" t="str">
        <f>"DINHEIRO"</f>
        <v>DINHEIRO</v>
      </c>
      <c r="D20" t="str">
        <f>"0503"</f>
        <v>0503</v>
      </c>
      <c r="E20" t="str">
        <f>"26"</f>
        <v>26</v>
      </c>
      <c r="F20" t="str">
        <f t="shared" si="2"/>
        <v>COM</v>
      </c>
      <c r="G20" t="str">
        <f t="shared" si="9"/>
        <v>ALLAN SILVA DAMACENA (790)</v>
      </c>
      <c r="H20" t="str">
        <f>"REEMBOLSO ADIANTAMENTO"</f>
        <v>REEMBOLSO ADIANTAMENTO</v>
      </c>
      <c r="I20" t="str">
        <f t="shared" si="10"/>
        <v>05/03/2026</v>
      </c>
      <c r="J20" t="str">
        <f>("20/01/2026")</f>
        <v>20/01/2026</v>
      </c>
      <c r="K20" t="str">
        <f>("02/03/2026")</f>
        <v>02/03/2026</v>
      </c>
      <c r="L20">
        <v>100</v>
      </c>
      <c r="M20">
        <v>100</v>
      </c>
      <c r="N20">
        <v>129</v>
      </c>
      <c r="O20" t="str">
        <f>"ENTRADA DE REEMBOLSO ADIANTAMENTO"</f>
        <v>ENTRADA DE REEMBOLSO ADIANTAMENTO</v>
      </c>
      <c r="P20">
        <v>100</v>
      </c>
      <c r="S20" t="str">
        <f>"ENTRADA DE REEMBOLSO ADIANTAMENTO (129)"</f>
        <v>ENTRADA DE REEMBOLSO ADIANTAMENTO (129)</v>
      </c>
      <c r="T20">
        <v>29938</v>
      </c>
      <c r="U20">
        <v>31141</v>
      </c>
      <c r="V20" t="s">
        <v>22</v>
      </c>
    </row>
    <row r="21" spans="1:22">
      <c r="A21" t="str">
        <f t="shared" si="0"/>
        <v>02/03/2026</v>
      </c>
      <c r="B21" t="str">
        <f>"ENTRADA"</f>
        <v>ENTRADA</v>
      </c>
      <c r="C21" t="str">
        <f>"DINHEIRO"</f>
        <v>DINHEIRO</v>
      </c>
      <c r="D21" t="str">
        <f>"0503"</f>
        <v>0503</v>
      </c>
      <c r="E21" t="str">
        <f>"26"</f>
        <v>26</v>
      </c>
      <c r="F21" t="str">
        <f t="shared" si="2"/>
        <v>COM</v>
      </c>
      <c r="G21" t="str">
        <f t="shared" si="9"/>
        <v>ALLAN SILVA DAMACENA (790)</v>
      </c>
      <c r="H21" t="s">
        <v>32</v>
      </c>
      <c r="I21" t="str">
        <f t="shared" si="10"/>
        <v>05/03/2026</v>
      </c>
      <c r="J21" t="str">
        <f>("20/01/2026")</f>
        <v>20/01/2026</v>
      </c>
      <c r="K21">
        <v>46083</v>
      </c>
      <c r="N21">
        <v>129</v>
      </c>
      <c r="O21" t="s">
        <v>24</v>
      </c>
      <c r="Q21">
        <v>100</v>
      </c>
      <c r="R21" t="str">
        <f>"DROGARIA MORENO LTDA (10171)"</f>
        <v>DROGARIA MORENO LTDA (10171)</v>
      </c>
      <c r="S21" t="s">
        <v>25</v>
      </c>
      <c r="T21">
        <v>29938</v>
      </c>
      <c r="U21">
        <v>31141</v>
      </c>
      <c r="V21" t="s">
        <v>22</v>
      </c>
    </row>
    <row r="22" spans="1:22">
      <c r="A22" t="str">
        <f t="shared" si="0"/>
        <v>02/03/2026</v>
      </c>
      <c r="B22" t="str">
        <f t="shared" ref="B22:B53" si="11">"SAÍDA"</f>
        <v>SAÍDA</v>
      </c>
      <c r="C22" t="str">
        <f>"BOLETO"</f>
        <v>BOLETO</v>
      </c>
      <c r="D22" t="str">
        <f>"0002840126"</f>
        <v>0002840126</v>
      </c>
      <c r="E22" t="str">
        <f>"3"</f>
        <v>3</v>
      </c>
      <c r="F22" t="str">
        <f t="shared" si="2"/>
        <v>COM</v>
      </c>
      <c r="G22" t="str">
        <f>"FUNCIONAL HEALTH TECH SOLUCOES EM SAUDE S.A. (20075)"</f>
        <v>FUNCIONAL HEALTH TECH SOLUCOES EM SAUDE S.A. (20075)</v>
      </c>
      <c r="H22" t="str">
        <f>"PLANO FARMACIA PARA COOPERADOS"</f>
        <v>PLANO FARMACIA PARA COOPERADOS</v>
      </c>
      <c r="I22" t="str">
        <f>("02/03/2026")</f>
        <v>02/03/2026</v>
      </c>
      <c r="J22" t="str">
        <f>("21/01/2026")</f>
        <v>21/01/2026</v>
      </c>
      <c r="K22" t="str">
        <f>("02/03/2026")</f>
        <v>02/03/2026</v>
      </c>
      <c r="L22">
        <v>528</v>
      </c>
      <c r="M22">
        <v>528</v>
      </c>
      <c r="N22">
        <v>192</v>
      </c>
      <c r="O22" t="str">
        <f>"PLANOS E SEGUROS"</f>
        <v>PLANOS E SEGUROS</v>
      </c>
      <c r="P22">
        <v>528</v>
      </c>
      <c r="S22" t="str">
        <f>"BANCO CORA (102)"</f>
        <v>BANCO CORA (102)</v>
      </c>
      <c r="T22">
        <v>29939</v>
      </c>
      <c r="U22">
        <v>31167</v>
      </c>
      <c r="V22" t="s">
        <v>33</v>
      </c>
    </row>
    <row r="23" spans="1:22">
      <c r="A23" t="str">
        <f t="shared" si="0"/>
        <v>02/03/2026</v>
      </c>
      <c r="B23" t="str">
        <f t="shared" si="11"/>
        <v>SAÍDA</v>
      </c>
      <c r="C23" t="str">
        <f>"BOLETO"</f>
        <v>BOLETO</v>
      </c>
      <c r="D23" t="str">
        <f>"0002840126"</f>
        <v>0002840126</v>
      </c>
      <c r="E23" t="str">
        <f>"3"</f>
        <v>3</v>
      </c>
      <c r="F23" t="str">
        <f t="shared" si="2"/>
        <v>COM</v>
      </c>
      <c r="G23" t="str">
        <f>"FUNCIONAL HEALTH TECH SOLUCOES EM SAUDE S.A. (20075)"</f>
        <v>FUNCIONAL HEALTH TECH SOLUCOES EM SAUDE S.A. (20075)</v>
      </c>
      <c r="H23" t="s">
        <v>34</v>
      </c>
      <c r="I23" t="str">
        <f>("02/03/2026")</f>
        <v>02/03/2026</v>
      </c>
      <c r="J23" t="str">
        <f>("21/01/2026")</f>
        <v>21/01/2026</v>
      </c>
      <c r="K23">
        <v>46083</v>
      </c>
      <c r="N23">
        <v>192</v>
      </c>
      <c r="O23" t="s">
        <v>35</v>
      </c>
      <c r="Q23">
        <v>528</v>
      </c>
      <c r="R23" t="str">
        <f>"FUNCIONAL HEALTH TECH SOLUCOES EM SAUDE S.A. (20075)"</f>
        <v>FUNCIONAL HEALTH TECH SOLUCOES EM SAUDE S.A. (20075)</v>
      </c>
      <c r="S23" t="s">
        <v>33</v>
      </c>
      <c r="T23">
        <v>29939</v>
      </c>
      <c r="U23">
        <v>31167</v>
      </c>
      <c r="V23" t="s">
        <v>33</v>
      </c>
    </row>
    <row r="24" spans="1:22">
      <c r="A24" t="str">
        <f t="shared" si="0"/>
        <v>02/03/2026</v>
      </c>
      <c r="B24" t="str">
        <f t="shared" si="11"/>
        <v>SAÍDA</v>
      </c>
      <c r="C24" t="str">
        <f t="shared" ref="C24:C55" si="12">"PIX"</f>
        <v>PIX</v>
      </c>
      <c r="D24" t="str">
        <f>"7000"</f>
        <v>7000</v>
      </c>
      <c r="E24" t="str">
        <f>""</f>
        <v/>
      </c>
      <c r="F24" t="str">
        <f t="shared" si="2"/>
        <v>COM</v>
      </c>
      <c r="G24" t="str">
        <f>"AGORA MIDIA MARKETING DIRETO LTDA (20047)"</f>
        <v>AGORA MIDIA MARKETING DIRETO LTDA (20047)</v>
      </c>
      <c r="H24" t="str">
        <f>"SERVIÇO DE ACESSORIA EM MARKETING DIGITAL FEV/2026 PIX: CNPJ: 47430535000166"</f>
        <v>SERVIÇO DE ACESSORIA EM MARKETING DIGITAL FEV/2026 PIX: CNPJ: 47430535000166</v>
      </c>
      <c r="I24" t="str">
        <f>("02/03/2026")</f>
        <v>02/03/2026</v>
      </c>
      <c r="J24" t="str">
        <f>("01/02/2026")</f>
        <v>01/02/2026</v>
      </c>
      <c r="K24" t="str">
        <f>("02/03/2026")</f>
        <v>02/03/2026</v>
      </c>
      <c r="L24">
        <v>1700</v>
      </c>
      <c r="M24">
        <v>1700</v>
      </c>
      <c r="N24">
        <v>127</v>
      </c>
      <c r="O24" t="str">
        <f>"PUBLICIDADE E PROPAGANDAS"</f>
        <v>PUBLICIDADE E PROPAGANDAS</v>
      </c>
      <c r="P24">
        <v>1700</v>
      </c>
      <c r="S24" t="str">
        <f>"BANCO CORA (102)"</f>
        <v>BANCO CORA (102)</v>
      </c>
      <c r="T24">
        <v>29940</v>
      </c>
      <c r="U24">
        <v>33816</v>
      </c>
      <c r="V24" t="s">
        <v>33</v>
      </c>
    </row>
    <row r="25" spans="1:22">
      <c r="A25" t="str">
        <f t="shared" ref="A25:A56" si="13">("03/03/2026")</f>
        <v>03/03/2026</v>
      </c>
      <c r="B25" t="str">
        <f t="shared" si="11"/>
        <v>SAÍDA</v>
      </c>
      <c r="C25" t="str">
        <f t="shared" si="12"/>
        <v>PIX</v>
      </c>
      <c r="D25" t="str">
        <f>"33996"</f>
        <v>33996</v>
      </c>
      <c r="E25" t="str">
        <f>"1"</f>
        <v>1</v>
      </c>
      <c r="F25" t="str">
        <f t="shared" si="2"/>
        <v>COM</v>
      </c>
      <c r="G25" t="str">
        <f>"MATEUS VIEIRA DE SOUZA (1019)"</f>
        <v>MATEUS VIEIRA DE SOUZA (1019)</v>
      </c>
      <c r="H25" t="str">
        <f>"Serv.Prest. DIÁRIA 01/03/2026 - PIX: CELULAR - CHAVE: (11) 97702-1316"</f>
        <v>Serv.Prest. DIÁRIA 01/03/2026 - PIX: CELULAR - CHAVE: (11) 97702-1316</v>
      </c>
      <c r="I25" t="str">
        <f>("03/03/2026")</f>
        <v>03/03/2026</v>
      </c>
      <c r="J25" t="str">
        <f>("03/03/2026")</f>
        <v>03/03/2026</v>
      </c>
      <c r="K25" t="str">
        <f>("03/03/2026")</f>
        <v>03/03/2026</v>
      </c>
      <c r="L25">
        <v>250</v>
      </c>
      <c r="M25">
        <v>250</v>
      </c>
      <c r="N25">
        <v>134</v>
      </c>
      <c r="O25" t="str">
        <f>"DIARIA DE MOTOBOY"</f>
        <v>DIARIA DE MOTOBOY</v>
      </c>
      <c r="P25">
        <v>250</v>
      </c>
      <c r="S25" t="str">
        <f>"BANCO CORA (102)"</f>
        <v>BANCO CORA (102)</v>
      </c>
      <c r="T25">
        <v>29941</v>
      </c>
      <c r="U25">
        <v>34014</v>
      </c>
      <c r="V25" t="s">
        <v>33</v>
      </c>
    </row>
    <row r="26" spans="1:22">
      <c r="A26" t="str">
        <f t="shared" si="13"/>
        <v>03/03/2026</v>
      </c>
      <c r="B26" t="str">
        <f t="shared" si="11"/>
        <v>SAÍDA</v>
      </c>
      <c r="C26" t="str">
        <f t="shared" si="12"/>
        <v>PIX</v>
      </c>
      <c r="D26" t="str">
        <f>"33996"</f>
        <v>33996</v>
      </c>
      <c r="E26" t="str">
        <f>"1"</f>
        <v>1</v>
      </c>
      <c r="F26" t="str">
        <f t="shared" si="2"/>
        <v>COM</v>
      </c>
      <c r="G26" t="str">
        <f>"MATEUS VIEIRA DE SOUZA (1019)"</f>
        <v>MATEUS VIEIRA DE SOUZA (1019)</v>
      </c>
      <c r="H26" t="s">
        <v>36</v>
      </c>
      <c r="I26" t="str">
        <f>("03/03/2026")</f>
        <v>03/03/2026</v>
      </c>
      <c r="J26" t="str">
        <f>("03/03/2026")</f>
        <v>03/03/2026</v>
      </c>
      <c r="K26">
        <v>46084</v>
      </c>
      <c r="N26">
        <v>134</v>
      </c>
      <c r="O26" t="s">
        <v>30</v>
      </c>
      <c r="Q26">
        <v>250</v>
      </c>
      <c r="R26" t="str">
        <f>"PENSE FARMA 47 (10232)"</f>
        <v>PENSE FARMA 47 (10232)</v>
      </c>
      <c r="S26" t="s">
        <v>33</v>
      </c>
      <c r="T26">
        <v>29941</v>
      </c>
      <c r="U26">
        <v>34014</v>
      </c>
      <c r="V26" t="s">
        <v>33</v>
      </c>
    </row>
    <row r="27" spans="1:22">
      <c r="A27" t="str">
        <f t="shared" si="13"/>
        <v>03/03/2026</v>
      </c>
      <c r="B27" t="str">
        <f t="shared" si="11"/>
        <v>SAÍDA</v>
      </c>
      <c r="C27" t="str">
        <f t="shared" si="12"/>
        <v>PIX</v>
      </c>
      <c r="D27" t="str">
        <f>"13012026"</f>
        <v>13012026</v>
      </c>
      <c r="E27" t="str">
        <f>"3"</f>
        <v>3</v>
      </c>
      <c r="F27" t="str">
        <f t="shared" si="2"/>
        <v>COM</v>
      </c>
      <c r="G27" t="str">
        <f>"54.235.509 ROBERT MAGDIEL DE CARVALHO (20004)"</f>
        <v>54.235.509 ROBERT MAGDIEL DE CARVALHO (20004)</v>
      </c>
      <c r="H27" t="str">
        <f>"REEMBOLSO CHAT GPT"</f>
        <v>REEMBOLSO CHAT GPT</v>
      </c>
      <c r="I27" t="str">
        <f t="shared" ref="I27:I58" si="14">("03/03/2026")</f>
        <v>03/03/2026</v>
      </c>
      <c r="J27" t="str">
        <f>("01/01/2026")</f>
        <v>01/01/2026</v>
      </c>
      <c r="K27" t="str">
        <f>("03/03/2026")</f>
        <v>03/03/2026</v>
      </c>
      <c r="L27">
        <v>130.49</v>
      </c>
      <c r="M27">
        <v>130.49</v>
      </c>
      <c r="N27">
        <v>104</v>
      </c>
      <c r="O27" t="str">
        <f>"SOFTWARE / LICENÇAS"</f>
        <v>SOFTWARE / LICENÇAS</v>
      </c>
      <c r="P27">
        <v>130.49</v>
      </c>
      <c r="S27" t="str">
        <f>"BANCO C6 (149)"</f>
        <v>BANCO C6 (149)</v>
      </c>
      <c r="T27">
        <v>29942</v>
      </c>
      <c r="U27">
        <v>30370</v>
      </c>
      <c r="V27" t="s">
        <v>37</v>
      </c>
    </row>
    <row r="28" spans="1:22">
      <c r="A28" t="str">
        <f t="shared" si="13"/>
        <v>03/03/2026</v>
      </c>
      <c r="B28" t="str">
        <f t="shared" si="11"/>
        <v>SAÍDA</v>
      </c>
      <c r="C28" t="str">
        <f t="shared" si="12"/>
        <v>PIX</v>
      </c>
      <c r="D28" t="str">
        <f>"13012026"</f>
        <v>13012026</v>
      </c>
      <c r="E28" t="str">
        <f>"3"</f>
        <v>3</v>
      </c>
      <c r="F28" t="str">
        <f t="shared" si="2"/>
        <v>COM</v>
      </c>
      <c r="G28" t="str">
        <f>"54.235.509 ROBERT MAGDIEL DE CARVALHO (20004)"</f>
        <v>54.235.509 ROBERT MAGDIEL DE CARVALHO (20004)</v>
      </c>
      <c r="H28" t="s">
        <v>38</v>
      </c>
      <c r="I28" t="str">
        <f t="shared" si="14"/>
        <v>03/03/2026</v>
      </c>
      <c r="J28" t="str">
        <f>("01/01/2026")</f>
        <v>01/01/2026</v>
      </c>
      <c r="K28">
        <v>46084</v>
      </c>
      <c r="N28">
        <v>104</v>
      </c>
      <c r="O28" t="s">
        <v>39</v>
      </c>
      <c r="Q28">
        <v>130.49</v>
      </c>
      <c r="R28" t="str">
        <f>"54.235.509 ROBERT MAGDIEL DE CARVALHO (20004)"</f>
        <v>54.235.509 ROBERT MAGDIEL DE CARVALHO (20004)</v>
      </c>
      <c r="S28" t="s">
        <v>37</v>
      </c>
      <c r="T28">
        <v>29942</v>
      </c>
      <c r="U28">
        <v>30370</v>
      </c>
      <c r="V28" t="s">
        <v>37</v>
      </c>
    </row>
    <row r="29" spans="1:22">
      <c r="A29" t="str">
        <f t="shared" si="13"/>
        <v>03/03/2026</v>
      </c>
      <c r="B29" t="str">
        <f t="shared" si="11"/>
        <v>SAÍDA</v>
      </c>
      <c r="C29" t="str">
        <f t="shared" si="12"/>
        <v>PIX</v>
      </c>
      <c r="D29" t="str">
        <f>"34039"</f>
        <v>34039</v>
      </c>
      <c r="E29" t="str">
        <f>"1"</f>
        <v>1</v>
      </c>
      <c r="F29" t="str">
        <f t="shared" si="2"/>
        <v>COM</v>
      </c>
      <c r="G29" t="str">
        <f>"PEDRO HENRIQUE MARQUES DA SILVA (1316)"</f>
        <v>PEDRO HENRIQUE MARQUES DA SILVA (1316)</v>
      </c>
      <c r="H29" t="str">
        <f>"ADIANTAMENTO Serv.Prest. 23/02/2026 a 01/03/2026 - PIX: CNPJ - CHAVE: 64.557.825/0001-94"</f>
        <v>ADIANTAMENTO Serv.Prest. 23/02/2026 a 01/03/2026 - PIX: CNPJ - CHAVE: 64.557.825/0001-94</v>
      </c>
      <c r="I29" t="str">
        <f t="shared" si="14"/>
        <v>03/03/2026</v>
      </c>
      <c r="J29" t="str">
        <f>("03/03/2026")</f>
        <v>03/03/2026</v>
      </c>
      <c r="K29" t="str">
        <f>("03/03/2026")</f>
        <v>03/03/2026</v>
      </c>
      <c r="L29">
        <v>400</v>
      </c>
      <c r="M29">
        <v>400</v>
      </c>
      <c r="N29">
        <v>109</v>
      </c>
      <c r="O29" t="str">
        <f>"PAGAMENTO DE ENTREGADORES"</f>
        <v>PAGAMENTO DE ENTREGADORES</v>
      </c>
      <c r="P29">
        <v>400</v>
      </c>
      <c r="S29" t="str">
        <f>"BANCO C6 (149)"</f>
        <v>BANCO C6 (149)</v>
      </c>
      <c r="T29">
        <v>29943</v>
      </c>
      <c r="U29">
        <v>34093</v>
      </c>
      <c r="V29" t="s">
        <v>37</v>
      </c>
    </row>
    <row r="30" spans="1:22">
      <c r="A30" t="str">
        <f t="shared" si="13"/>
        <v>03/03/2026</v>
      </c>
      <c r="B30" t="str">
        <f t="shared" si="11"/>
        <v>SAÍDA</v>
      </c>
      <c r="C30" t="str">
        <f t="shared" si="12"/>
        <v>PIX</v>
      </c>
      <c r="D30" t="str">
        <f>"34039"</f>
        <v>34039</v>
      </c>
      <c r="E30" t="str">
        <f>"1"</f>
        <v>1</v>
      </c>
      <c r="F30" t="str">
        <f t="shared" si="2"/>
        <v>COM</v>
      </c>
      <c r="G30" t="str">
        <f>"PEDRO HENRIQUE MARQUES DA SILVA (1316)"</f>
        <v>PEDRO HENRIQUE MARQUES DA SILVA (1316)</v>
      </c>
      <c r="H30" t="s">
        <v>40</v>
      </c>
      <c r="I30" t="str">
        <f t="shared" si="14"/>
        <v>03/03/2026</v>
      </c>
      <c r="J30" t="str">
        <f>("03/03/2026")</f>
        <v>03/03/2026</v>
      </c>
      <c r="K30">
        <v>46084</v>
      </c>
      <c r="N30">
        <v>109</v>
      </c>
      <c r="O30" t="s">
        <v>27</v>
      </c>
      <c r="Q30">
        <v>400</v>
      </c>
      <c r="R30" t="str">
        <f>"PAGUE MENOS 321 (10295)"</f>
        <v>PAGUE MENOS 321 (10295)</v>
      </c>
      <c r="S30" t="s">
        <v>37</v>
      </c>
      <c r="T30">
        <v>29943</v>
      </c>
      <c r="U30">
        <v>34093</v>
      </c>
      <c r="V30" t="s">
        <v>37</v>
      </c>
    </row>
    <row r="31" spans="1:22">
      <c r="A31" t="str">
        <f t="shared" si="13"/>
        <v>03/03/2026</v>
      </c>
      <c r="B31" t="str">
        <f t="shared" si="11"/>
        <v>SAÍDA</v>
      </c>
      <c r="C31" t="str">
        <f t="shared" si="12"/>
        <v>PIX</v>
      </c>
      <c r="D31" t="str">
        <f>"26022026"</f>
        <v>26022026</v>
      </c>
      <c r="E31" t="str">
        <f>""</f>
        <v/>
      </c>
      <c r="F31" t="str">
        <f t="shared" si="2"/>
        <v>COM</v>
      </c>
      <c r="G31" t="str">
        <f>"63.452.905 ISABELLA ILIDIO BRIZOLLA (20130)"</f>
        <v>63.452.905 ISABELLA ILIDIO BRIZOLLA (20130)</v>
      </c>
      <c r="H31" t="str">
        <f>"CONTA DE TELEFONE COMERCIAL FLUX"</f>
        <v>CONTA DE TELEFONE COMERCIAL FLUX</v>
      </c>
      <c r="I31" t="str">
        <f t="shared" si="14"/>
        <v>03/03/2026</v>
      </c>
      <c r="J31" t="str">
        <f>("25/02/2026")</f>
        <v>25/02/2026</v>
      </c>
      <c r="K31" t="str">
        <f>("03/03/2026")</f>
        <v>03/03/2026</v>
      </c>
      <c r="L31">
        <v>55</v>
      </c>
      <c r="M31">
        <v>55</v>
      </c>
      <c r="N31">
        <v>192</v>
      </c>
      <c r="O31" t="str">
        <f>"PLANOS E SEGUROS"</f>
        <v>PLANOS E SEGUROS</v>
      </c>
      <c r="P31">
        <v>55</v>
      </c>
      <c r="S31" t="str">
        <f>"BANCO C6 (149)"</f>
        <v>BANCO C6 (149)</v>
      </c>
      <c r="T31">
        <v>29944</v>
      </c>
      <c r="U31">
        <v>33790</v>
      </c>
      <c r="V31" t="s">
        <v>37</v>
      </c>
    </row>
    <row r="32" spans="1:22">
      <c r="A32" t="str">
        <f t="shared" si="13"/>
        <v>03/03/2026</v>
      </c>
      <c r="B32" t="str">
        <f t="shared" si="11"/>
        <v>SAÍDA</v>
      </c>
      <c r="C32" t="str">
        <f t="shared" si="12"/>
        <v>PIX</v>
      </c>
      <c r="D32" t="str">
        <f>"26022026"</f>
        <v>26022026</v>
      </c>
      <c r="E32" t="str">
        <f>""</f>
        <v/>
      </c>
      <c r="F32" t="str">
        <f t="shared" si="2"/>
        <v>COM</v>
      </c>
      <c r="G32" t="str">
        <f>"63.452.905 ISABELLA ILIDIO BRIZOLLA (20130)"</f>
        <v>63.452.905 ISABELLA ILIDIO BRIZOLLA (20130)</v>
      </c>
      <c r="H32" t="s">
        <v>41</v>
      </c>
      <c r="I32" t="str">
        <f t="shared" si="14"/>
        <v>03/03/2026</v>
      </c>
      <c r="J32" t="str">
        <f>("25/02/2026")</f>
        <v>25/02/2026</v>
      </c>
      <c r="K32">
        <v>46084</v>
      </c>
      <c r="N32">
        <v>192</v>
      </c>
      <c r="O32" t="s">
        <v>35</v>
      </c>
      <c r="Q32">
        <v>55</v>
      </c>
      <c r="R32" t="str">
        <f>"63.452.905 ISABELLA ILIDIO BRIZOLLA (20130)"</f>
        <v>63.452.905 ISABELLA ILIDIO BRIZOLLA (20130)</v>
      </c>
      <c r="S32" t="s">
        <v>37</v>
      </c>
      <c r="T32">
        <v>29944</v>
      </c>
      <c r="U32">
        <v>33790</v>
      </c>
      <c r="V32" t="s">
        <v>37</v>
      </c>
    </row>
    <row r="33" spans="1:22">
      <c r="A33" t="str">
        <f t="shared" si="13"/>
        <v>03/03/2026</v>
      </c>
      <c r="B33" t="str">
        <f t="shared" si="11"/>
        <v>SAÍDA</v>
      </c>
      <c r="C33" t="str">
        <f t="shared" si="12"/>
        <v>PIX</v>
      </c>
      <c r="D33" t="str">
        <f>"33839"</f>
        <v>33839</v>
      </c>
      <c r="E33" t="str">
        <f t="shared" ref="E33:E64" si="15">"1"</f>
        <v>1</v>
      </c>
      <c r="F33" t="str">
        <f t="shared" si="2"/>
        <v>COM</v>
      </c>
      <c r="G33" t="str">
        <f>"ALEXANDRE PEREIRA DE SOUZA (1252)"</f>
        <v>ALEXANDRE PEREIRA DE SOUZA (1252)</v>
      </c>
      <c r="H33" t="str">
        <f>"Serv.Prest. DIÁRIA 01/03/2026 - PIX: CPF - CHAVE: 497.247.788-19"</f>
        <v>Serv.Prest. DIÁRIA 01/03/2026 - PIX: CPF - CHAVE: 497.247.788-19</v>
      </c>
      <c r="I33" t="str">
        <f t="shared" si="14"/>
        <v>03/03/2026</v>
      </c>
      <c r="J33" t="str">
        <f t="shared" ref="J33:J53" si="16">("02/03/2026")</f>
        <v>02/03/2026</v>
      </c>
      <c r="K33" t="str">
        <f>("03/03/2026")</f>
        <v>03/03/2026</v>
      </c>
      <c r="L33">
        <v>119</v>
      </c>
      <c r="M33">
        <v>119</v>
      </c>
      <c r="N33">
        <v>134</v>
      </c>
      <c r="O33" t="str">
        <f>"DIARIA DE MOTOBOY"</f>
        <v>DIARIA DE MOTOBOY</v>
      </c>
      <c r="P33">
        <v>119</v>
      </c>
      <c r="S33" t="str">
        <f>"BANCO C6 (149)"</f>
        <v>BANCO C6 (149)</v>
      </c>
      <c r="T33">
        <v>29945</v>
      </c>
      <c r="U33">
        <v>33839</v>
      </c>
      <c r="V33" t="s">
        <v>37</v>
      </c>
    </row>
    <row r="34" spans="1:22">
      <c r="A34" t="str">
        <f t="shared" si="13"/>
        <v>03/03/2026</v>
      </c>
      <c r="B34" t="str">
        <f t="shared" si="11"/>
        <v>SAÍDA</v>
      </c>
      <c r="C34" t="str">
        <f t="shared" si="12"/>
        <v>PIX</v>
      </c>
      <c r="D34" t="str">
        <f>"33839"</f>
        <v>33839</v>
      </c>
      <c r="E34" t="str">
        <f t="shared" si="15"/>
        <v>1</v>
      </c>
      <c r="F34" t="str">
        <f t="shared" si="2"/>
        <v>COM</v>
      </c>
      <c r="G34" t="str">
        <f>"ALEXANDRE PEREIRA DE SOUZA (1252)"</f>
        <v>ALEXANDRE PEREIRA DE SOUZA (1252)</v>
      </c>
      <c r="H34" t="s">
        <v>42</v>
      </c>
      <c r="I34" t="str">
        <f t="shared" si="14"/>
        <v>03/03/2026</v>
      </c>
      <c r="J34" t="str">
        <f t="shared" si="16"/>
        <v>02/03/2026</v>
      </c>
      <c r="K34">
        <v>46084</v>
      </c>
      <c r="N34">
        <v>134</v>
      </c>
      <c r="O34" t="s">
        <v>30</v>
      </c>
      <c r="Q34">
        <v>105.01</v>
      </c>
      <c r="R34" t="str">
        <f>"BEM TE FAZ LOJA 3 (10287)"</f>
        <v>BEM TE FAZ LOJA 3 (10287)</v>
      </c>
      <c r="S34" t="s">
        <v>37</v>
      </c>
      <c r="T34">
        <v>29945</v>
      </c>
      <c r="U34">
        <v>33839</v>
      </c>
      <c r="V34" t="s">
        <v>37</v>
      </c>
    </row>
    <row r="35" spans="1:22">
      <c r="A35" t="str">
        <f t="shared" si="13"/>
        <v>03/03/2026</v>
      </c>
      <c r="B35" t="str">
        <f t="shared" si="11"/>
        <v>SAÍDA</v>
      </c>
      <c r="C35" t="str">
        <f t="shared" si="12"/>
        <v>PIX</v>
      </c>
      <c r="D35" t="str">
        <f>"33839"</f>
        <v>33839</v>
      </c>
      <c r="E35" t="str">
        <f t="shared" si="15"/>
        <v>1</v>
      </c>
      <c r="F35" t="str">
        <f t="shared" si="2"/>
        <v>COM</v>
      </c>
      <c r="G35" t="str">
        <f>"ALEXANDRE PEREIRA DE SOUZA (1252)"</f>
        <v>ALEXANDRE PEREIRA DE SOUZA (1252)</v>
      </c>
      <c r="H35" t="s">
        <v>42</v>
      </c>
      <c r="I35" t="str">
        <f t="shared" si="14"/>
        <v>03/03/2026</v>
      </c>
      <c r="J35" t="str">
        <f t="shared" si="16"/>
        <v>02/03/2026</v>
      </c>
      <c r="K35">
        <v>46084</v>
      </c>
      <c r="N35">
        <v>134</v>
      </c>
      <c r="O35" t="s">
        <v>30</v>
      </c>
      <c r="Q35">
        <v>13.99</v>
      </c>
      <c r="R35" t="str">
        <f>"BEM TE FAZ 05 (10294)"</f>
        <v>BEM TE FAZ 05 (10294)</v>
      </c>
      <c r="S35" t="s">
        <v>37</v>
      </c>
      <c r="T35">
        <v>29945</v>
      </c>
      <c r="U35">
        <v>33839</v>
      </c>
      <c r="V35" t="s">
        <v>37</v>
      </c>
    </row>
    <row r="36" spans="1:22">
      <c r="A36" t="str">
        <f t="shared" si="13"/>
        <v>03/03/2026</v>
      </c>
      <c r="B36" t="str">
        <f t="shared" si="11"/>
        <v>SAÍDA</v>
      </c>
      <c r="C36" t="str">
        <f t="shared" si="12"/>
        <v>PIX</v>
      </c>
      <c r="D36" t="str">
        <f>"33841"</f>
        <v>33841</v>
      </c>
      <c r="E36" t="str">
        <f t="shared" si="15"/>
        <v>1</v>
      </c>
      <c r="F36" t="str">
        <f t="shared" si="2"/>
        <v>COM</v>
      </c>
      <c r="G36" t="str">
        <f>"CARLOS ALBERTO FELIX JUNIOR (1312)"</f>
        <v>CARLOS ALBERTO FELIX JUNIOR (1312)</v>
      </c>
      <c r="H36" t="str">
        <f>"Serv.Prest. DIÁRIAS 26/02, 28/02 E 01/03/2026 - PIX: CELULAR - CHAVE: (19) 98985-7796"</f>
        <v>Serv.Prest. DIÁRIAS 26/02, 28/02 E 01/03/2026 - PIX: CELULAR - CHAVE: (19) 98985-7796</v>
      </c>
      <c r="I36" t="str">
        <f t="shared" si="14"/>
        <v>03/03/2026</v>
      </c>
      <c r="J36" t="str">
        <f t="shared" si="16"/>
        <v>02/03/2026</v>
      </c>
      <c r="K36" t="str">
        <f>("03/03/2026")</f>
        <v>03/03/2026</v>
      </c>
      <c r="L36">
        <v>966</v>
      </c>
      <c r="M36">
        <v>574</v>
      </c>
      <c r="N36">
        <v>134</v>
      </c>
      <c r="O36" t="str">
        <f>"DIARIA DE MOTOBOY"</f>
        <v>DIARIA DE MOTOBOY</v>
      </c>
      <c r="P36">
        <v>574</v>
      </c>
      <c r="S36" t="str">
        <f>"BANCO C6 (149)"</f>
        <v>BANCO C6 (149)</v>
      </c>
      <c r="T36">
        <v>29946</v>
      </c>
      <c r="U36">
        <v>33841</v>
      </c>
      <c r="V36" t="s">
        <v>37</v>
      </c>
    </row>
    <row r="37" spans="1:22">
      <c r="A37" t="str">
        <f t="shared" si="13"/>
        <v>03/03/2026</v>
      </c>
      <c r="B37" t="str">
        <f t="shared" si="11"/>
        <v>SAÍDA</v>
      </c>
      <c r="C37" t="str">
        <f t="shared" si="12"/>
        <v>PIX</v>
      </c>
      <c r="D37" t="str">
        <f>"33841"</f>
        <v>33841</v>
      </c>
      <c r="E37" t="str">
        <f t="shared" si="15"/>
        <v>1</v>
      </c>
      <c r="F37" t="str">
        <f t="shared" si="2"/>
        <v>COM</v>
      </c>
      <c r="G37" t="str">
        <f>"CARLOS ALBERTO FELIX JUNIOR (1312)"</f>
        <v>CARLOS ALBERTO FELIX JUNIOR (1312)</v>
      </c>
      <c r="H37" t="s">
        <v>43</v>
      </c>
      <c r="I37" t="str">
        <f t="shared" si="14"/>
        <v>03/03/2026</v>
      </c>
      <c r="J37" t="str">
        <f t="shared" si="16"/>
        <v>02/03/2026</v>
      </c>
      <c r="K37">
        <v>46084</v>
      </c>
      <c r="N37">
        <v>134</v>
      </c>
      <c r="O37" t="s">
        <v>30</v>
      </c>
      <c r="Q37">
        <v>574</v>
      </c>
      <c r="R37" t="str">
        <f>"BEM TE FAZ LOJA 3 (10287)"</f>
        <v>BEM TE FAZ LOJA 3 (10287)</v>
      </c>
      <c r="S37" t="s">
        <v>37</v>
      </c>
      <c r="T37">
        <v>29946</v>
      </c>
      <c r="U37">
        <v>33841</v>
      </c>
      <c r="V37" t="s">
        <v>37</v>
      </c>
    </row>
    <row r="38" spans="1:22">
      <c r="A38" t="str">
        <f t="shared" si="13"/>
        <v>03/03/2026</v>
      </c>
      <c r="B38" t="str">
        <f t="shared" si="11"/>
        <v>SAÍDA</v>
      </c>
      <c r="C38" t="str">
        <f t="shared" si="12"/>
        <v>PIX</v>
      </c>
      <c r="D38" t="str">
        <f>"33846"</f>
        <v>33846</v>
      </c>
      <c r="E38" t="str">
        <f t="shared" si="15"/>
        <v>1</v>
      </c>
      <c r="F38" t="str">
        <f t="shared" si="2"/>
        <v>COM</v>
      </c>
      <c r="G38" t="str">
        <f>"JOAO VITOR DA SILVA (1232)"</f>
        <v>JOAO VITOR DA SILVA (1232)</v>
      </c>
      <c r="H38" t="str">
        <f>"Serv.Prest. ADIANTAMENTO 23/02/2026 a 01/03/2026 - PIX: CPF - CHAVE: 438.843.248-29"</f>
        <v>Serv.Prest. ADIANTAMENTO 23/02/2026 a 01/03/2026 - PIX: CPF - CHAVE: 438.843.248-29</v>
      </c>
      <c r="I38" t="str">
        <f t="shared" si="14"/>
        <v>03/03/2026</v>
      </c>
      <c r="J38" t="str">
        <f t="shared" si="16"/>
        <v>02/03/2026</v>
      </c>
      <c r="K38" t="str">
        <f>("03/03/2026")</f>
        <v>03/03/2026</v>
      </c>
      <c r="L38">
        <v>100</v>
      </c>
      <c r="M38">
        <v>100</v>
      </c>
      <c r="N38">
        <v>109</v>
      </c>
      <c r="O38" t="str">
        <f>"PAGAMENTO DE ENTREGADORES"</f>
        <v>PAGAMENTO DE ENTREGADORES</v>
      </c>
      <c r="P38">
        <v>100</v>
      </c>
      <c r="S38" t="str">
        <f>"BANCO C6 (149)"</f>
        <v>BANCO C6 (149)</v>
      </c>
      <c r="T38">
        <v>29947</v>
      </c>
      <c r="U38">
        <v>34090</v>
      </c>
      <c r="V38" t="s">
        <v>37</v>
      </c>
    </row>
    <row r="39" spans="1:22">
      <c r="A39" t="str">
        <f t="shared" si="13"/>
        <v>03/03/2026</v>
      </c>
      <c r="B39" t="str">
        <f t="shared" si="11"/>
        <v>SAÍDA</v>
      </c>
      <c r="C39" t="str">
        <f t="shared" si="12"/>
        <v>PIX</v>
      </c>
      <c r="D39" t="str">
        <f>"33846"</f>
        <v>33846</v>
      </c>
      <c r="E39" t="str">
        <f t="shared" si="15"/>
        <v>1</v>
      </c>
      <c r="F39" t="str">
        <f t="shared" si="2"/>
        <v>COM</v>
      </c>
      <c r="G39" t="str">
        <f>"JOAO VITOR DA SILVA (1232)"</f>
        <v>JOAO VITOR DA SILVA (1232)</v>
      </c>
      <c r="H39" t="s">
        <v>44</v>
      </c>
      <c r="I39" t="str">
        <f t="shared" si="14"/>
        <v>03/03/2026</v>
      </c>
      <c r="J39" t="str">
        <f t="shared" si="16"/>
        <v>02/03/2026</v>
      </c>
      <c r="K39">
        <v>46084</v>
      </c>
      <c r="N39">
        <v>109</v>
      </c>
      <c r="O39" t="s">
        <v>27</v>
      </c>
      <c r="Q39">
        <v>100</v>
      </c>
      <c r="R39" t="str">
        <f>"BEM TE FAZ LOJA 3 (10287)"</f>
        <v>BEM TE FAZ LOJA 3 (10287)</v>
      </c>
      <c r="S39" t="s">
        <v>37</v>
      </c>
      <c r="T39">
        <v>29947</v>
      </c>
      <c r="U39">
        <v>34090</v>
      </c>
      <c r="V39" t="s">
        <v>37</v>
      </c>
    </row>
    <row r="40" spans="1:22">
      <c r="A40" t="str">
        <f t="shared" si="13"/>
        <v>03/03/2026</v>
      </c>
      <c r="B40" t="str">
        <f t="shared" si="11"/>
        <v>SAÍDA</v>
      </c>
      <c r="C40" t="str">
        <f t="shared" si="12"/>
        <v>PIX</v>
      </c>
      <c r="D40" t="str">
        <f>"33855"</f>
        <v>33855</v>
      </c>
      <c r="E40" t="str">
        <f t="shared" si="15"/>
        <v>1</v>
      </c>
      <c r="F40" t="str">
        <f t="shared" si="2"/>
        <v>COM</v>
      </c>
      <c r="G40" t="str">
        <f>"VICTOR RAFAEL MARCULINO DE SOUZA (1250)"</f>
        <v>VICTOR RAFAEL MARCULINO DE SOUZA (1250)</v>
      </c>
      <c r="H40" t="str">
        <f>"Serv.Prest. 26/02/2026 a 01/03/2026 - PIX: CPF - CHAVE: 241.948.348-01"</f>
        <v>Serv.Prest. 26/02/2026 a 01/03/2026 - PIX: CPF - CHAVE: 241.948.348-01</v>
      </c>
      <c r="I40" t="str">
        <f t="shared" si="14"/>
        <v>03/03/2026</v>
      </c>
      <c r="J40" t="str">
        <f t="shared" si="16"/>
        <v>02/03/2026</v>
      </c>
      <c r="K40" t="str">
        <f>("03/03/2026")</f>
        <v>03/03/2026</v>
      </c>
      <c r="L40">
        <v>896</v>
      </c>
      <c r="M40">
        <v>896</v>
      </c>
      <c r="N40">
        <v>134</v>
      </c>
      <c r="O40" t="str">
        <f>"DIARIA DE MOTOBOY"</f>
        <v>DIARIA DE MOTOBOY</v>
      </c>
      <c r="P40">
        <v>896</v>
      </c>
      <c r="S40" t="str">
        <f>"BANCO C6 (149)"</f>
        <v>BANCO C6 (149)</v>
      </c>
      <c r="T40">
        <v>29948</v>
      </c>
      <c r="U40">
        <v>33855</v>
      </c>
      <c r="V40" t="s">
        <v>37</v>
      </c>
    </row>
    <row r="41" spans="1:22">
      <c r="A41" t="str">
        <f t="shared" si="13"/>
        <v>03/03/2026</v>
      </c>
      <c r="B41" t="str">
        <f t="shared" si="11"/>
        <v>SAÍDA</v>
      </c>
      <c r="C41" t="str">
        <f t="shared" si="12"/>
        <v>PIX</v>
      </c>
      <c r="D41" t="str">
        <f>"33855"</f>
        <v>33855</v>
      </c>
      <c r="E41" t="str">
        <f t="shared" si="15"/>
        <v>1</v>
      </c>
      <c r="F41" t="str">
        <f t="shared" si="2"/>
        <v>COM</v>
      </c>
      <c r="G41" t="str">
        <f>"VICTOR RAFAEL MARCULINO DE SOUZA (1250)"</f>
        <v>VICTOR RAFAEL MARCULINO DE SOUZA (1250)</v>
      </c>
      <c r="H41" t="s">
        <v>45</v>
      </c>
      <c r="I41" t="str">
        <f t="shared" si="14"/>
        <v>03/03/2026</v>
      </c>
      <c r="J41" t="str">
        <f t="shared" si="16"/>
        <v>02/03/2026</v>
      </c>
      <c r="K41">
        <v>46084</v>
      </c>
      <c r="N41">
        <v>134</v>
      </c>
      <c r="O41" t="s">
        <v>30</v>
      </c>
      <c r="Q41">
        <v>896</v>
      </c>
      <c r="R41" t="str">
        <f>"BEM TE FAZ LOJA 3 (10287)"</f>
        <v>BEM TE FAZ LOJA 3 (10287)</v>
      </c>
      <c r="S41" t="s">
        <v>37</v>
      </c>
      <c r="T41">
        <v>29948</v>
      </c>
      <c r="U41">
        <v>33855</v>
      </c>
      <c r="V41" t="s">
        <v>37</v>
      </c>
    </row>
    <row r="42" spans="1:22">
      <c r="A42" t="str">
        <f t="shared" si="13"/>
        <v>03/03/2026</v>
      </c>
      <c r="B42" t="str">
        <f t="shared" si="11"/>
        <v>SAÍDA</v>
      </c>
      <c r="C42" t="str">
        <f t="shared" si="12"/>
        <v>PIX</v>
      </c>
      <c r="D42" t="str">
        <f>"33856"</f>
        <v>33856</v>
      </c>
      <c r="E42" t="str">
        <f t="shared" si="15"/>
        <v>1</v>
      </c>
      <c r="F42" t="str">
        <f t="shared" si="2"/>
        <v>COM</v>
      </c>
      <c r="G42" t="str">
        <f>"VIRLEY JOSE DA SILVA (1352)"</f>
        <v>VIRLEY JOSE DA SILVA (1352)</v>
      </c>
      <c r="H42" t="str">
        <f>"Serv.Prest. DIÁRIAS 28/02, 01/03/2026 - PIX: CPF - CHAVE: 249.315.678-19"</f>
        <v>Serv.Prest. DIÁRIAS 28/02, 01/03/2026 - PIX: CPF - CHAVE: 249.315.678-19</v>
      </c>
      <c r="I42" t="str">
        <f t="shared" si="14"/>
        <v>03/03/2026</v>
      </c>
      <c r="J42" t="str">
        <f t="shared" si="16"/>
        <v>02/03/2026</v>
      </c>
      <c r="K42" t="str">
        <f>("03/03/2026")</f>
        <v>03/03/2026</v>
      </c>
      <c r="L42">
        <v>651</v>
      </c>
      <c r="M42">
        <v>654</v>
      </c>
      <c r="N42">
        <v>134</v>
      </c>
      <c r="O42" t="str">
        <f>"DIARIA DE MOTOBOY"</f>
        <v>DIARIA DE MOTOBOY</v>
      </c>
      <c r="P42">
        <v>654</v>
      </c>
      <c r="S42" t="str">
        <f>"BANCO C6 (149)"</f>
        <v>BANCO C6 (149)</v>
      </c>
      <c r="T42">
        <v>29949</v>
      </c>
      <c r="U42">
        <v>33856</v>
      </c>
      <c r="V42" t="s">
        <v>37</v>
      </c>
    </row>
    <row r="43" spans="1:22">
      <c r="A43" t="str">
        <f t="shared" si="13"/>
        <v>03/03/2026</v>
      </c>
      <c r="B43" t="str">
        <f t="shared" si="11"/>
        <v>SAÍDA</v>
      </c>
      <c r="C43" t="str">
        <f t="shared" si="12"/>
        <v>PIX</v>
      </c>
      <c r="D43" t="str">
        <f>"33856"</f>
        <v>33856</v>
      </c>
      <c r="E43" t="str">
        <f t="shared" si="15"/>
        <v>1</v>
      </c>
      <c r="F43" t="str">
        <f t="shared" si="2"/>
        <v>COM</v>
      </c>
      <c r="G43" t="str">
        <f>"VIRLEY JOSE DA SILVA (1352)"</f>
        <v>VIRLEY JOSE DA SILVA (1352)</v>
      </c>
      <c r="H43" t="s">
        <v>46</v>
      </c>
      <c r="I43" t="str">
        <f t="shared" si="14"/>
        <v>03/03/2026</v>
      </c>
      <c r="J43" t="str">
        <f t="shared" si="16"/>
        <v>02/03/2026</v>
      </c>
      <c r="K43">
        <v>46084</v>
      </c>
      <c r="N43">
        <v>134</v>
      </c>
      <c r="O43" t="s">
        <v>30</v>
      </c>
      <c r="Q43">
        <v>555.57000000000005</v>
      </c>
      <c r="R43" t="str">
        <f>"BEM TE FAZ LOJA 6 (10284)"</f>
        <v>BEM TE FAZ LOJA 6 (10284)</v>
      </c>
      <c r="S43" t="s">
        <v>37</v>
      </c>
      <c r="T43">
        <v>29949</v>
      </c>
      <c r="U43">
        <v>33856</v>
      </c>
      <c r="V43" t="s">
        <v>37</v>
      </c>
    </row>
    <row r="44" spans="1:22">
      <c r="A44" t="str">
        <f t="shared" si="13"/>
        <v>03/03/2026</v>
      </c>
      <c r="B44" t="str">
        <f t="shared" si="11"/>
        <v>SAÍDA</v>
      </c>
      <c r="C44" t="str">
        <f t="shared" si="12"/>
        <v>PIX</v>
      </c>
      <c r="D44" t="str">
        <f>"33856"</f>
        <v>33856</v>
      </c>
      <c r="E44" t="str">
        <f t="shared" si="15"/>
        <v>1</v>
      </c>
      <c r="F44" t="str">
        <f t="shared" si="2"/>
        <v>COM</v>
      </c>
      <c r="G44" t="str">
        <f>"VIRLEY JOSE DA SILVA (1352)"</f>
        <v>VIRLEY JOSE DA SILVA (1352)</v>
      </c>
      <c r="H44" t="s">
        <v>46</v>
      </c>
      <c r="I44" t="str">
        <f t="shared" si="14"/>
        <v>03/03/2026</v>
      </c>
      <c r="J44" t="str">
        <f t="shared" si="16"/>
        <v>02/03/2026</v>
      </c>
      <c r="K44">
        <v>46084</v>
      </c>
      <c r="N44">
        <v>134</v>
      </c>
      <c r="O44" t="s">
        <v>30</v>
      </c>
      <c r="Q44">
        <v>14.06</v>
      </c>
      <c r="R44" t="str">
        <f>"BEM TE FAZ LOJA 7 (10285)"</f>
        <v>BEM TE FAZ LOJA 7 (10285)</v>
      </c>
      <c r="S44" t="s">
        <v>37</v>
      </c>
      <c r="T44">
        <v>29949</v>
      </c>
      <c r="U44">
        <v>33856</v>
      </c>
      <c r="V44" t="s">
        <v>37</v>
      </c>
    </row>
    <row r="45" spans="1:22">
      <c r="A45" t="str">
        <f t="shared" si="13"/>
        <v>03/03/2026</v>
      </c>
      <c r="B45" t="str">
        <f t="shared" si="11"/>
        <v>SAÍDA</v>
      </c>
      <c r="C45" t="str">
        <f t="shared" si="12"/>
        <v>PIX</v>
      </c>
      <c r="D45" t="str">
        <f>"33856"</f>
        <v>33856</v>
      </c>
      <c r="E45" t="str">
        <f t="shared" si="15"/>
        <v>1</v>
      </c>
      <c r="F45" t="str">
        <f t="shared" si="2"/>
        <v>COM</v>
      </c>
      <c r="G45" t="str">
        <f>"VIRLEY JOSE DA SILVA (1352)"</f>
        <v>VIRLEY JOSE DA SILVA (1352)</v>
      </c>
      <c r="H45" t="s">
        <v>46</v>
      </c>
      <c r="I45" t="str">
        <f t="shared" si="14"/>
        <v>03/03/2026</v>
      </c>
      <c r="J45" t="str">
        <f t="shared" si="16"/>
        <v>02/03/2026</v>
      </c>
      <c r="K45">
        <v>46084</v>
      </c>
      <c r="N45">
        <v>134</v>
      </c>
      <c r="O45" t="s">
        <v>30</v>
      </c>
      <c r="Q45">
        <v>84.37</v>
      </c>
      <c r="R45" t="str">
        <f>"BEM TE FAZ LOJA 9 (10286)"</f>
        <v>BEM TE FAZ LOJA 9 (10286)</v>
      </c>
      <c r="S45" t="s">
        <v>37</v>
      </c>
      <c r="T45">
        <v>29949</v>
      </c>
      <c r="U45">
        <v>33856</v>
      </c>
      <c r="V45" t="s">
        <v>37</v>
      </c>
    </row>
    <row r="46" spans="1:22">
      <c r="A46" t="str">
        <f t="shared" si="13"/>
        <v>03/03/2026</v>
      </c>
      <c r="B46" t="str">
        <f t="shared" si="11"/>
        <v>SAÍDA</v>
      </c>
      <c r="C46" t="str">
        <f t="shared" si="12"/>
        <v>PIX</v>
      </c>
      <c r="D46" t="str">
        <f>"33888"</f>
        <v>33888</v>
      </c>
      <c r="E46" t="str">
        <f t="shared" si="15"/>
        <v>1</v>
      </c>
      <c r="F46" t="str">
        <f t="shared" si="2"/>
        <v>COM</v>
      </c>
      <c r="G46" t="str">
        <f>"THIAGO RODRIGUES DA SILVA (1327)"</f>
        <v>THIAGO RODRIGUES DA SILVA (1327)</v>
      </c>
      <c r="H46" t="str">
        <f>"Serv.Prest. DIARIA 01/03/2026 - PIX: CPF - CHAVE: 385.908.908-05"</f>
        <v>Serv.Prest. DIARIA 01/03/2026 - PIX: CPF - CHAVE: 385.908.908-05</v>
      </c>
      <c r="I46" t="str">
        <f t="shared" si="14"/>
        <v>03/03/2026</v>
      </c>
      <c r="J46" t="str">
        <f t="shared" si="16"/>
        <v>02/03/2026</v>
      </c>
      <c r="K46" t="str">
        <f>("03/03/2026")</f>
        <v>03/03/2026</v>
      </c>
      <c r="L46">
        <v>126</v>
      </c>
      <c r="M46">
        <v>130</v>
      </c>
      <c r="N46">
        <v>134</v>
      </c>
      <c r="O46" t="str">
        <f>"DIARIA DE MOTOBOY"</f>
        <v>DIARIA DE MOTOBOY</v>
      </c>
      <c r="P46">
        <v>130</v>
      </c>
      <c r="S46" t="str">
        <f>"BANCO C6 (149)"</f>
        <v>BANCO C6 (149)</v>
      </c>
      <c r="T46">
        <v>29950</v>
      </c>
      <c r="U46">
        <v>33888</v>
      </c>
      <c r="V46" t="s">
        <v>37</v>
      </c>
    </row>
    <row r="47" spans="1:22">
      <c r="A47" t="str">
        <f t="shared" si="13"/>
        <v>03/03/2026</v>
      </c>
      <c r="B47" t="str">
        <f t="shared" si="11"/>
        <v>SAÍDA</v>
      </c>
      <c r="C47" t="str">
        <f t="shared" si="12"/>
        <v>PIX</v>
      </c>
      <c r="D47" t="str">
        <f>"33888"</f>
        <v>33888</v>
      </c>
      <c r="E47" t="str">
        <f t="shared" si="15"/>
        <v>1</v>
      </c>
      <c r="F47" t="str">
        <f t="shared" si="2"/>
        <v>COM</v>
      </c>
      <c r="G47" t="str">
        <f>"THIAGO RODRIGUES DA SILVA (1327)"</f>
        <v>THIAGO RODRIGUES DA SILVA (1327)</v>
      </c>
      <c r="H47" t="s">
        <v>47</v>
      </c>
      <c r="I47" t="str">
        <f t="shared" si="14"/>
        <v>03/03/2026</v>
      </c>
      <c r="J47" t="str">
        <f t="shared" si="16"/>
        <v>02/03/2026</v>
      </c>
      <c r="K47">
        <v>46084</v>
      </c>
      <c r="N47">
        <v>134</v>
      </c>
      <c r="O47" t="s">
        <v>30</v>
      </c>
      <c r="Q47">
        <v>130</v>
      </c>
      <c r="R47" t="str">
        <f>"DROGARIA MEDIC CENTER LTDA (10172)"</f>
        <v>DROGARIA MEDIC CENTER LTDA (10172)</v>
      </c>
      <c r="S47" t="s">
        <v>37</v>
      </c>
      <c r="T47">
        <v>29950</v>
      </c>
      <c r="U47">
        <v>33888</v>
      </c>
      <c r="V47" t="s">
        <v>37</v>
      </c>
    </row>
    <row r="48" spans="1:22">
      <c r="A48" t="str">
        <f t="shared" si="13"/>
        <v>03/03/2026</v>
      </c>
      <c r="B48" t="str">
        <f t="shared" si="11"/>
        <v>SAÍDA</v>
      </c>
      <c r="C48" t="str">
        <f t="shared" si="12"/>
        <v>PIX</v>
      </c>
      <c r="D48" t="str">
        <f>"33904"</f>
        <v>33904</v>
      </c>
      <c r="E48" t="str">
        <f t="shared" si="15"/>
        <v>1</v>
      </c>
      <c r="F48" t="str">
        <f t="shared" si="2"/>
        <v>COM</v>
      </c>
      <c r="G48" t="str">
        <f>"ELIEL PEREIRA BARBOZA DE LIMA (1321)"</f>
        <v>ELIEL PEREIRA BARBOZA DE LIMA (1321)</v>
      </c>
      <c r="H48" t="str">
        <f>"Serv.Prest. DIARIAS 23/02, 24/02 E 25/02/2026 - PIX: CPF - CHAVE: 276.110.698-96"</f>
        <v>Serv.Prest. DIARIAS 23/02, 24/02 E 25/02/2026 - PIX: CPF - CHAVE: 276.110.698-96</v>
      </c>
      <c r="I48" t="str">
        <f t="shared" si="14"/>
        <v>03/03/2026</v>
      </c>
      <c r="J48" t="str">
        <f t="shared" si="16"/>
        <v>02/03/2026</v>
      </c>
      <c r="K48" t="str">
        <f>("03/03/2026")</f>
        <v>03/03/2026</v>
      </c>
      <c r="L48">
        <v>385</v>
      </c>
      <c r="M48">
        <v>390</v>
      </c>
      <c r="N48">
        <v>134</v>
      </c>
      <c r="O48" t="str">
        <f>"DIARIA DE MOTOBOY"</f>
        <v>DIARIA DE MOTOBOY</v>
      </c>
      <c r="P48">
        <v>390</v>
      </c>
      <c r="S48" t="str">
        <f>"BANCO C6 (149)"</f>
        <v>BANCO C6 (149)</v>
      </c>
      <c r="T48">
        <v>29951</v>
      </c>
      <c r="U48">
        <v>33904</v>
      </c>
      <c r="V48" t="s">
        <v>37</v>
      </c>
    </row>
    <row r="49" spans="1:22">
      <c r="A49" t="str">
        <f t="shared" si="13"/>
        <v>03/03/2026</v>
      </c>
      <c r="B49" t="str">
        <f t="shared" si="11"/>
        <v>SAÍDA</v>
      </c>
      <c r="C49" t="str">
        <f t="shared" si="12"/>
        <v>PIX</v>
      </c>
      <c r="D49" t="str">
        <f>"33904"</f>
        <v>33904</v>
      </c>
      <c r="E49" t="str">
        <f t="shared" si="15"/>
        <v>1</v>
      </c>
      <c r="F49" t="str">
        <f t="shared" si="2"/>
        <v>COM</v>
      </c>
      <c r="G49" t="str">
        <f>"ELIEL PEREIRA BARBOZA DE LIMA (1321)"</f>
        <v>ELIEL PEREIRA BARBOZA DE LIMA (1321)</v>
      </c>
      <c r="H49" t="s">
        <v>48</v>
      </c>
      <c r="I49" t="str">
        <f t="shared" si="14"/>
        <v>03/03/2026</v>
      </c>
      <c r="J49" t="str">
        <f t="shared" si="16"/>
        <v>02/03/2026</v>
      </c>
      <c r="K49">
        <v>46084</v>
      </c>
      <c r="N49">
        <v>134</v>
      </c>
      <c r="O49" t="s">
        <v>30</v>
      </c>
      <c r="Q49">
        <v>390</v>
      </c>
      <c r="R49" t="str">
        <f>"FARMACIA ROSAS (10288)"</f>
        <v>FARMACIA ROSAS (10288)</v>
      </c>
      <c r="S49" t="s">
        <v>37</v>
      </c>
      <c r="T49">
        <v>29951</v>
      </c>
      <c r="U49">
        <v>33904</v>
      </c>
      <c r="V49" t="s">
        <v>37</v>
      </c>
    </row>
    <row r="50" spans="1:22">
      <c r="A50" t="str">
        <f t="shared" si="13"/>
        <v>03/03/2026</v>
      </c>
      <c r="B50" t="str">
        <f t="shared" si="11"/>
        <v>SAÍDA</v>
      </c>
      <c r="C50" t="str">
        <f t="shared" si="12"/>
        <v>PIX</v>
      </c>
      <c r="D50" t="str">
        <f>"33919"</f>
        <v>33919</v>
      </c>
      <c r="E50" t="str">
        <f t="shared" si="15"/>
        <v>1</v>
      </c>
      <c r="F50" t="str">
        <f t="shared" si="2"/>
        <v>COM</v>
      </c>
      <c r="G50" t="str">
        <f>"JOEL ARAGAO SALES (864)"</f>
        <v>JOEL ARAGAO SALES (864)</v>
      </c>
      <c r="H50" t="str">
        <f>"Serv.Prest. DIARIA 27/02/2026  - PIX: CPF - CHAVE: 052.353.883-99"</f>
        <v>Serv.Prest. DIARIA 27/02/2026  - PIX: CPF - CHAVE: 052.353.883-99</v>
      </c>
      <c r="I50" t="str">
        <f t="shared" si="14"/>
        <v>03/03/2026</v>
      </c>
      <c r="J50" t="str">
        <f t="shared" si="16"/>
        <v>02/03/2026</v>
      </c>
      <c r="K50" t="str">
        <f>("03/03/2026")</f>
        <v>03/03/2026</v>
      </c>
      <c r="L50">
        <v>126</v>
      </c>
      <c r="M50">
        <v>130</v>
      </c>
      <c r="N50">
        <v>134</v>
      </c>
      <c r="O50" t="str">
        <f>"DIARIA DE MOTOBOY"</f>
        <v>DIARIA DE MOTOBOY</v>
      </c>
      <c r="P50">
        <v>130</v>
      </c>
      <c r="S50" t="str">
        <f>"BANCO C6 (149)"</f>
        <v>BANCO C6 (149)</v>
      </c>
      <c r="T50">
        <v>29952</v>
      </c>
      <c r="U50">
        <v>33919</v>
      </c>
      <c r="V50" t="s">
        <v>37</v>
      </c>
    </row>
    <row r="51" spans="1:22">
      <c r="A51" t="str">
        <f t="shared" si="13"/>
        <v>03/03/2026</v>
      </c>
      <c r="B51" t="str">
        <f t="shared" si="11"/>
        <v>SAÍDA</v>
      </c>
      <c r="C51" t="str">
        <f t="shared" si="12"/>
        <v>PIX</v>
      </c>
      <c r="D51" t="str">
        <f>"33919"</f>
        <v>33919</v>
      </c>
      <c r="E51" t="str">
        <f t="shared" si="15"/>
        <v>1</v>
      </c>
      <c r="F51" t="str">
        <f t="shared" si="2"/>
        <v>COM</v>
      </c>
      <c r="G51" t="str">
        <f>"JOEL ARAGAO SALES (864)"</f>
        <v>JOEL ARAGAO SALES (864)</v>
      </c>
      <c r="H51" t="s">
        <v>49</v>
      </c>
      <c r="I51" t="str">
        <f t="shared" si="14"/>
        <v>03/03/2026</v>
      </c>
      <c r="J51" t="str">
        <f t="shared" si="16"/>
        <v>02/03/2026</v>
      </c>
      <c r="K51">
        <v>46084</v>
      </c>
      <c r="N51">
        <v>134</v>
      </c>
      <c r="O51" t="s">
        <v>30</v>
      </c>
      <c r="Q51">
        <v>130</v>
      </c>
      <c r="R51" t="str">
        <f>"DROGARIA TOTAL JUNDIAI (10177)"</f>
        <v>DROGARIA TOTAL JUNDIAI (10177)</v>
      </c>
      <c r="S51" t="s">
        <v>37</v>
      </c>
      <c r="T51">
        <v>29952</v>
      </c>
      <c r="U51">
        <v>33919</v>
      </c>
      <c r="V51" t="s">
        <v>37</v>
      </c>
    </row>
    <row r="52" spans="1:22">
      <c r="A52" t="str">
        <f t="shared" si="13"/>
        <v>03/03/2026</v>
      </c>
      <c r="B52" t="str">
        <f t="shared" si="11"/>
        <v>SAÍDA</v>
      </c>
      <c r="C52" t="str">
        <f t="shared" si="12"/>
        <v>PIX</v>
      </c>
      <c r="D52" t="str">
        <f>"33943"</f>
        <v>33943</v>
      </c>
      <c r="E52" t="str">
        <f t="shared" si="15"/>
        <v>1</v>
      </c>
      <c r="F52" t="str">
        <f t="shared" si="2"/>
        <v>COM</v>
      </c>
      <c r="G52" t="str">
        <f>"FRANCISCO LUCIANO DE LIMA (1062)"</f>
        <v>FRANCISCO LUCIANO DE LIMA (1062)</v>
      </c>
      <c r="H52" t="str">
        <f>"Serv.Prest. DIARIA 01/03/2026 - PIX: CELULAR - CHAVE: (11) 94910-8689"</f>
        <v>Serv.Prest. DIARIA 01/03/2026 - PIX: CELULAR - CHAVE: (11) 94910-8689</v>
      </c>
      <c r="I52" t="str">
        <f t="shared" si="14"/>
        <v>03/03/2026</v>
      </c>
      <c r="J52" t="str">
        <f t="shared" si="16"/>
        <v>02/03/2026</v>
      </c>
      <c r="K52" t="str">
        <f>("03/03/2026")</f>
        <v>03/03/2026</v>
      </c>
      <c r="L52">
        <v>140</v>
      </c>
      <c r="M52">
        <v>140</v>
      </c>
      <c r="N52">
        <v>134</v>
      </c>
      <c r="O52" t="str">
        <f>"DIARIA DE MOTOBOY"</f>
        <v>DIARIA DE MOTOBOY</v>
      </c>
      <c r="P52">
        <v>140</v>
      </c>
      <c r="S52" t="str">
        <f>"BANCO C6 (149)"</f>
        <v>BANCO C6 (149)</v>
      </c>
      <c r="T52">
        <v>29953</v>
      </c>
      <c r="U52">
        <v>33943</v>
      </c>
      <c r="V52" t="s">
        <v>37</v>
      </c>
    </row>
    <row r="53" spans="1:22">
      <c r="A53" t="str">
        <f t="shared" si="13"/>
        <v>03/03/2026</v>
      </c>
      <c r="B53" t="str">
        <f t="shared" si="11"/>
        <v>SAÍDA</v>
      </c>
      <c r="C53" t="str">
        <f t="shared" si="12"/>
        <v>PIX</v>
      </c>
      <c r="D53" t="str">
        <f>"33943"</f>
        <v>33943</v>
      </c>
      <c r="E53" t="str">
        <f t="shared" si="15"/>
        <v>1</v>
      </c>
      <c r="F53" t="str">
        <f t="shared" si="2"/>
        <v>COM</v>
      </c>
      <c r="G53" t="str">
        <f>"FRANCISCO LUCIANO DE LIMA (1062)"</f>
        <v>FRANCISCO LUCIANO DE LIMA (1062)</v>
      </c>
      <c r="H53" t="s">
        <v>50</v>
      </c>
      <c r="I53" t="str">
        <f t="shared" si="14"/>
        <v>03/03/2026</v>
      </c>
      <c r="J53" t="str">
        <f t="shared" si="16"/>
        <v>02/03/2026</v>
      </c>
      <c r="K53">
        <v>46084</v>
      </c>
      <c r="N53">
        <v>134</v>
      </c>
      <c r="O53" t="s">
        <v>30</v>
      </c>
      <c r="Q53">
        <v>140</v>
      </c>
      <c r="R53" t="str">
        <f>"DROGA ELIDA (10121)"</f>
        <v>DROGA ELIDA (10121)</v>
      </c>
      <c r="S53" t="s">
        <v>37</v>
      </c>
      <c r="T53">
        <v>29953</v>
      </c>
      <c r="U53">
        <v>33943</v>
      </c>
      <c r="V53" t="s">
        <v>37</v>
      </c>
    </row>
    <row r="54" spans="1:22">
      <c r="A54" t="str">
        <f t="shared" si="13"/>
        <v>03/03/2026</v>
      </c>
      <c r="B54" t="str">
        <f t="shared" ref="B54:B85" si="17">"SAÍDA"</f>
        <v>SAÍDA</v>
      </c>
      <c r="C54" t="str">
        <f t="shared" si="12"/>
        <v>PIX</v>
      </c>
      <c r="D54" t="str">
        <f>"33960"</f>
        <v>33960</v>
      </c>
      <c r="E54" t="str">
        <f t="shared" si="15"/>
        <v>1</v>
      </c>
      <c r="F54" t="str">
        <f t="shared" si="2"/>
        <v>COM</v>
      </c>
      <c r="G54" t="str">
        <f>"CLEBER GARCIA DA SILVA (1113)"</f>
        <v>CLEBER GARCIA DA SILVA (1113)</v>
      </c>
      <c r="H54" t="str">
        <f>"Serv.Prest. DIÁRIA 01/03/2026 - PIX: CELULAR - CHAVE: (11) 94848-0368"</f>
        <v>Serv.Prest. DIÁRIA 01/03/2026 - PIX: CELULAR - CHAVE: (11) 94848-0368</v>
      </c>
      <c r="I54" t="str">
        <f t="shared" si="14"/>
        <v>03/03/2026</v>
      </c>
      <c r="J54" t="str">
        <f>("03/03/2026")</f>
        <v>03/03/2026</v>
      </c>
      <c r="K54" t="str">
        <f>("03/03/2026")</f>
        <v>03/03/2026</v>
      </c>
      <c r="L54">
        <v>250</v>
      </c>
      <c r="M54">
        <v>250</v>
      </c>
      <c r="N54">
        <v>134</v>
      </c>
      <c r="O54" t="str">
        <f>"DIARIA DE MOTOBOY"</f>
        <v>DIARIA DE MOTOBOY</v>
      </c>
      <c r="P54">
        <v>250</v>
      </c>
      <c r="S54" t="str">
        <f>"BANCO C6 (149)"</f>
        <v>BANCO C6 (149)</v>
      </c>
      <c r="T54">
        <v>29954</v>
      </c>
      <c r="U54">
        <v>33960</v>
      </c>
      <c r="V54" t="s">
        <v>37</v>
      </c>
    </row>
    <row r="55" spans="1:22">
      <c r="A55" t="str">
        <f t="shared" si="13"/>
        <v>03/03/2026</v>
      </c>
      <c r="B55" t="str">
        <f t="shared" si="17"/>
        <v>SAÍDA</v>
      </c>
      <c r="C55" t="str">
        <f t="shared" si="12"/>
        <v>PIX</v>
      </c>
      <c r="D55" t="str">
        <f>"33960"</f>
        <v>33960</v>
      </c>
      <c r="E55" t="str">
        <f t="shared" si="15"/>
        <v>1</v>
      </c>
      <c r="F55" t="str">
        <f t="shared" si="2"/>
        <v>COM</v>
      </c>
      <c r="G55" t="str">
        <f>"CLEBER GARCIA DA SILVA (1113)"</f>
        <v>CLEBER GARCIA DA SILVA (1113)</v>
      </c>
      <c r="H55" t="s">
        <v>51</v>
      </c>
      <c r="I55" t="str">
        <f t="shared" si="14"/>
        <v>03/03/2026</v>
      </c>
      <c r="J55" t="str">
        <f t="shared" ref="J55:J86" si="18">("03/03/2026")</f>
        <v>03/03/2026</v>
      </c>
      <c r="K55">
        <v>46084</v>
      </c>
      <c r="N55">
        <v>134</v>
      </c>
      <c r="O55" t="s">
        <v>30</v>
      </c>
      <c r="Q55">
        <v>250</v>
      </c>
      <c r="R55" t="str">
        <f>"PENSE FARMA 46 (10194)"</f>
        <v>PENSE FARMA 46 (10194)</v>
      </c>
      <c r="S55" t="s">
        <v>37</v>
      </c>
      <c r="T55">
        <v>29954</v>
      </c>
      <c r="U55">
        <v>33960</v>
      </c>
      <c r="V55" t="s">
        <v>37</v>
      </c>
    </row>
    <row r="56" spans="1:22">
      <c r="A56" t="str">
        <f t="shared" si="13"/>
        <v>03/03/2026</v>
      </c>
      <c r="B56" t="str">
        <f t="shared" si="17"/>
        <v>SAÍDA</v>
      </c>
      <c r="C56" t="str">
        <f t="shared" ref="C56:C87" si="19">"PIX"</f>
        <v>PIX</v>
      </c>
      <c r="D56" t="str">
        <f>"33970"</f>
        <v>33970</v>
      </c>
      <c r="E56" t="str">
        <f t="shared" si="15"/>
        <v>1</v>
      </c>
      <c r="F56" t="str">
        <f t="shared" si="2"/>
        <v>COM</v>
      </c>
      <c r="G56" t="str">
        <f>"HENRIQUE VALENTIM FERREIRA (1083)"</f>
        <v>HENRIQUE VALENTIM FERREIRA (1083)</v>
      </c>
      <c r="H56" t="str">
        <f>"Serv.Prest. DIÁRIA 23/02/2026  - PIX: CELULAR - CHAVE: (11) 99293-5521"</f>
        <v>Serv.Prest. DIÁRIA 23/02/2026  - PIX: CELULAR - CHAVE: (11) 99293-5521</v>
      </c>
      <c r="I56" t="str">
        <f t="shared" si="14"/>
        <v>03/03/2026</v>
      </c>
      <c r="J56" t="str">
        <f t="shared" si="18"/>
        <v>03/03/2026</v>
      </c>
      <c r="K56" t="str">
        <f>("03/03/2026")</f>
        <v>03/03/2026</v>
      </c>
      <c r="L56">
        <v>180</v>
      </c>
      <c r="M56">
        <v>180</v>
      </c>
      <c r="N56">
        <v>134</v>
      </c>
      <c r="O56" t="str">
        <f>"DIARIA DE MOTOBOY"</f>
        <v>DIARIA DE MOTOBOY</v>
      </c>
      <c r="P56">
        <v>180</v>
      </c>
      <c r="S56" t="str">
        <f>"BANCO C6 (149)"</f>
        <v>BANCO C6 (149)</v>
      </c>
      <c r="T56">
        <v>29955</v>
      </c>
      <c r="U56">
        <v>33970</v>
      </c>
      <c r="V56" t="s">
        <v>37</v>
      </c>
    </row>
    <row r="57" spans="1:22">
      <c r="A57" t="str">
        <f t="shared" ref="A57:A88" si="20">("03/03/2026")</f>
        <v>03/03/2026</v>
      </c>
      <c r="B57" t="str">
        <f t="shared" si="17"/>
        <v>SAÍDA</v>
      </c>
      <c r="C57" t="str">
        <f t="shared" si="19"/>
        <v>PIX</v>
      </c>
      <c r="D57" t="str">
        <f>"33970"</f>
        <v>33970</v>
      </c>
      <c r="E57" t="str">
        <f t="shared" si="15"/>
        <v>1</v>
      </c>
      <c r="F57" t="str">
        <f t="shared" si="2"/>
        <v>COM</v>
      </c>
      <c r="G57" t="str">
        <f>"HENRIQUE VALENTIM FERREIRA (1083)"</f>
        <v>HENRIQUE VALENTIM FERREIRA (1083)</v>
      </c>
      <c r="H57" t="s">
        <v>52</v>
      </c>
      <c r="I57" t="str">
        <f t="shared" si="14"/>
        <v>03/03/2026</v>
      </c>
      <c r="J57" t="str">
        <f t="shared" si="18"/>
        <v>03/03/2026</v>
      </c>
      <c r="K57">
        <v>46084</v>
      </c>
      <c r="N57">
        <v>134</v>
      </c>
      <c r="O57" t="s">
        <v>30</v>
      </c>
      <c r="Q57">
        <v>180</v>
      </c>
      <c r="R57" t="str">
        <f>"PENSE FARMA 19 (10223)"</f>
        <v>PENSE FARMA 19 (10223)</v>
      </c>
      <c r="S57" t="s">
        <v>37</v>
      </c>
      <c r="T57">
        <v>29955</v>
      </c>
      <c r="U57">
        <v>33970</v>
      </c>
      <c r="V57" t="s">
        <v>37</v>
      </c>
    </row>
    <row r="58" spans="1:22">
      <c r="A58" t="str">
        <f t="shared" si="20"/>
        <v>03/03/2026</v>
      </c>
      <c r="B58" t="str">
        <f t="shared" si="17"/>
        <v>SAÍDA</v>
      </c>
      <c r="C58" t="str">
        <f t="shared" si="19"/>
        <v>PIX</v>
      </c>
      <c r="D58" t="str">
        <f>"33975"</f>
        <v>33975</v>
      </c>
      <c r="E58" t="str">
        <f t="shared" si="15"/>
        <v>1</v>
      </c>
      <c r="F58" t="str">
        <f t="shared" si="2"/>
        <v>COM</v>
      </c>
      <c r="G58" t="str">
        <f>"RODOLFO RAFAEL BALSI LIMA (1077)"</f>
        <v>RODOLFO RAFAEL BALSI LIMA (1077)</v>
      </c>
      <c r="H58" t="str">
        <f>"Serv.Prest. DIÁRIA 01/03/2026 - PIX: CELULAR - CHAVE: (11) 99239-3232"</f>
        <v>Serv.Prest. DIÁRIA 01/03/2026 - PIX: CELULAR - CHAVE: (11) 99239-3232</v>
      </c>
      <c r="I58" t="str">
        <f t="shared" si="14"/>
        <v>03/03/2026</v>
      </c>
      <c r="J58" t="str">
        <f t="shared" si="18"/>
        <v>03/03/2026</v>
      </c>
      <c r="K58" t="str">
        <f>("03/03/2026")</f>
        <v>03/03/2026</v>
      </c>
      <c r="L58">
        <v>250</v>
      </c>
      <c r="M58">
        <v>250</v>
      </c>
      <c r="N58">
        <v>134</v>
      </c>
      <c r="O58" t="str">
        <f>"DIARIA DE MOTOBOY"</f>
        <v>DIARIA DE MOTOBOY</v>
      </c>
      <c r="P58">
        <v>250</v>
      </c>
      <c r="S58" t="str">
        <f>"BANCO C6 (149)"</f>
        <v>BANCO C6 (149)</v>
      </c>
      <c r="T58">
        <v>29956</v>
      </c>
      <c r="U58">
        <v>33975</v>
      </c>
      <c r="V58" t="s">
        <v>37</v>
      </c>
    </row>
    <row r="59" spans="1:22">
      <c r="A59" t="str">
        <f t="shared" si="20"/>
        <v>03/03/2026</v>
      </c>
      <c r="B59" t="str">
        <f t="shared" si="17"/>
        <v>SAÍDA</v>
      </c>
      <c r="C59" t="str">
        <f t="shared" si="19"/>
        <v>PIX</v>
      </c>
      <c r="D59" t="str">
        <f>"33975"</f>
        <v>33975</v>
      </c>
      <c r="E59" t="str">
        <f t="shared" si="15"/>
        <v>1</v>
      </c>
      <c r="F59" t="str">
        <f t="shared" si="2"/>
        <v>COM</v>
      </c>
      <c r="G59" t="str">
        <f>"RODOLFO RAFAEL BALSI LIMA (1077)"</f>
        <v>RODOLFO RAFAEL BALSI LIMA (1077)</v>
      </c>
      <c r="H59" t="s">
        <v>53</v>
      </c>
      <c r="I59" t="str">
        <f t="shared" ref="I59:I90" si="21">("03/03/2026")</f>
        <v>03/03/2026</v>
      </c>
      <c r="J59" t="str">
        <f t="shared" si="18"/>
        <v>03/03/2026</v>
      </c>
      <c r="K59">
        <v>46084</v>
      </c>
      <c r="N59">
        <v>134</v>
      </c>
      <c r="O59" t="s">
        <v>30</v>
      </c>
      <c r="Q59">
        <v>125</v>
      </c>
      <c r="R59" t="str">
        <f>"PENSE FARMA 20 (10203)"</f>
        <v>PENSE FARMA 20 (10203)</v>
      </c>
      <c r="S59" t="s">
        <v>37</v>
      </c>
      <c r="T59">
        <v>29956</v>
      </c>
      <c r="U59">
        <v>33975</v>
      </c>
      <c r="V59" t="s">
        <v>37</v>
      </c>
    </row>
    <row r="60" spans="1:22">
      <c r="A60" t="str">
        <f t="shared" si="20"/>
        <v>03/03/2026</v>
      </c>
      <c r="B60" t="str">
        <f t="shared" si="17"/>
        <v>SAÍDA</v>
      </c>
      <c r="C60" t="str">
        <f t="shared" si="19"/>
        <v>PIX</v>
      </c>
      <c r="D60" t="str">
        <f>"33975"</f>
        <v>33975</v>
      </c>
      <c r="E60" t="str">
        <f t="shared" si="15"/>
        <v>1</v>
      </c>
      <c r="F60" t="str">
        <f t="shared" si="2"/>
        <v>COM</v>
      </c>
      <c r="G60" t="str">
        <f>"RODOLFO RAFAEL BALSI LIMA (1077)"</f>
        <v>RODOLFO RAFAEL BALSI LIMA (1077)</v>
      </c>
      <c r="H60" t="s">
        <v>53</v>
      </c>
      <c r="I60" t="str">
        <f t="shared" si="21"/>
        <v>03/03/2026</v>
      </c>
      <c r="J60" t="str">
        <f t="shared" si="18"/>
        <v>03/03/2026</v>
      </c>
      <c r="K60">
        <v>46084</v>
      </c>
      <c r="N60">
        <v>134</v>
      </c>
      <c r="O60" t="s">
        <v>30</v>
      </c>
      <c r="Q60">
        <v>125</v>
      </c>
      <c r="R60" t="str">
        <f>"PENSE FARMA 36 (10206)"</f>
        <v>PENSE FARMA 36 (10206)</v>
      </c>
      <c r="S60" t="s">
        <v>37</v>
      </c>
      <c r="T60">
        <v>29956</v>
      </c>
      <c r="U60">
        <v>33975</v>
      </c>
      <c r="V60" t="s">
        <v>37</v>
      </c>
    </row>
    <row r="61" spans="1:22">
      <c r="A61" t="str">
        <f t="shared" si="20"/>
        <v>03/03/2026</v>
      </c>
      <c r="B61" t="str">
        <f t="shared" si="17"/>
        <v>SAÍDA</v>
      </c>
      <c r="C61" t="str">
        <f t="shared" si="19"/>
        <v>PIX</v>
      </c>
      <c r="D61" t="str">
        <f>"33977"</f>
        <v>33977</v>
      </c>
      <c r="E61" t="str">
        <f t="shared" si="15"/>
        <v>1</v>
      </c>
      <c r="F61" t="str">
        <f t="shared" si="2"/>
        <v>COM</v>
      </c>
      <c r="G61" t="str">
        <f>"HENRIQUE VALENTIM FERREIRA (1083)"</f>
        <v>HENRIQUE VALENTIM FERREIRA (1083)</v>
      </c>
      <c r="H61" t="str">
        <f>"Serv.Prest. DIÁRIA 01/03/2026 - PIX: CELULAR - CHAVE: (11) 99293-5521"</f>
        <v>Serv.Prest. DIÁRIA 01/03/2026 - PIX: CELULAR - CHAVE: (11) 99293-5521</v>
      </c>
      <c r="I61" t="str">
        <f t="shared" si="21"/>
        <v>03/03/2026</v>
      </c>
      <c r="J61" t="str">
        <f t="shared" si="18"/>
        <v>03/03/2026</v>
      </c>
      <c r="K61" t="str">
        <f>("03/03/2026")</f>
        <v>03/03/2026</v>
      </c>
      <c r="L61">
        <v>250</v>
      </c>
      <c r="M61">
        <v>250</v>
      </c>
      <c r="N61">
        <v>134</v>
      </c>
      <c r="O61" t="str">
        <f>"DIARIA DE MOTOBOY"</f>
        <v>DIARIA DE MOTOBOY</v>
      </c>
      <c r="P61">
        <v>250</v>
      </c>
      <c r="S61" t="str">
        <f>"BANCO C6 (149)"</f>
        <v>BANCO C6 (149)</v>
      </c>
      <c r="T61">
        <v>29957</v>
      </c>
      <c r="U61">
        <v>33977</v>
      </c>
      <c r="V61" t="s">
        <v>37</v>
      </c>
    </row>
    <row r="62" spans="1:22">
      <c r="A62" t="str">
        <f t="shared" si="20"/>
        <v>03/03/2026</v>
      </c>
      <c r="B62" t="str">
        <f t="shared" si="17"/>
        <v>SAÍDA</v>
      </c>
      <c r="C62" t="str">
        <f t="shared" si="19"/>
        <v>PIX</v>
      </c>
      <c r="D62" t="str">
        <f>"33977"</f>
        <v>33977</v>
      </c>
      <c r="E62" t="str">
        <f t="shared" si="15"/>
        <v>1</v>
      </c>
      <c r="F62" t="str">
        <f t="shared" si="2"/>
        <v>COM</v>
      </c>
      <c r="G62" t="str">
        <f>"HENRIQUE VALENTIM FERREIRA (1083)"</f>
        <v>HENRIQUE VALENTIM FERREIRA (1083)</v>
      </c>
      <c r="H62" t="s">
        <v>54</v>
      </c>
      <c r="I62" t="str">
        <f t="shared" si="21"/>
        <v>03/03/2026</v>
      </c>
      <c r="J62" t="str">
        <f t="shared" si="18"/>
        <v>03/03/2026</v>
      </c>
      <c r="K62">
        <v>46084</v>
      </c>
      <c r="N62">
        <v>134</v>
      </c>
      <c r="O62" t="s">
        <v>30</v>
      </c>
      <c r="Q62">
        <v>83.33</v>
      </c>
      <c r="R62" t="str">
        <f>"PENSE FARMA 05 (10200)"</f>
        <v>PENSE FARMA 05 (10200)</v>
      </c>
      <c r="S62" t="s">
        <v>37</v>
      </c>
      <c r="T62">
        <v>29957</v>
      </c>
      <c r="U62">
        <v>33977</v>
      </c>
      <c r="V62" t="s">
        <v>37</v>
      </c>
    </row>
    <row r="63" spans="1:22">
      <c r="A63" t="str">
        <f t="shared" si="20"/>
        <v>03/03/2026</v>
      </c>
      <c r="B63" t="str">
        <f t="shared" si="17"/>
        <v>SAÍDA</v>
      </c>
      <c r="C63" t="str">
        <f t="shared" si="19"/>
        <v>PIX</v>
      </c>
      <c r="D63" t="str">
        <f>"33977"</f>
        <v>33977</v>
      </c>
      <c r="E63" t="str">
        <f t="shared" si="15"/>
        <v>1</v>
      </c>
      <c r="F63" t="str">
        <f t="shared" si="2"/>
        <v>COM</v>
      </c>
      <c r="G63" t="str">
        <f>"HENRIQUE VALENTIM FERREIRA (1083)"</f>
        <v>HENRIQUE VALENTIM FERREIRA (1083)</v>
      </c>
      <c r="H63" t="s">
        <v>54</v>
      </c>
      <c r="I63" t="str">
        <f t="shared" si="21"/>
        <v>03/03/2026</v>
      </c>
      <c r="J63" t="str">
        <f t="shared" si="18"/>
        <v>03/03/2026</v>
      </c>
      <c r="K63">
        <v>46084</v>
      </c>
      <c r="N63">
        <v>134</v>
      </c>
      <c r="O63" t="s">
        <v>30</v>
      </c>
      <c r="Q63">
        <v>83.32</v>
      </c>
      <c r="R63" t="str">
        <f>"PENSE FARMA 13 (10202)"</f>
        <v>PENSE FARMA 13 (10202)</v>
      </c>
      <c r="S63" t="s">
        <v>37</v>
      </c>
      <c r="T63">
        <v>29957</v>
      </c>
      <c r="U63">
        <v>33977</v>
      </c>
      <c r="V63" t="s">
        <v>37</v>
      </c>
    </row>
    <row r="64" spans="1:22">
      <c r="A64" t="str">
        <f t="shared" si="20"/>
        <v>03/03/2026</v>
      </c>
      <c r="B64" t="str">
        <f t="shared" si="17"/>
        <v>SAÍDA</v>
      </c>
      <c r="C64" t="str">
        <f t="shared" si="19"/>
        <v>PIX</v>
      </c>
      <c r="D64" t="str">
        <f>"33977"</f>
        <v>33977</v>
      </c>
      <c r="E64" t="str">
        <f t="shared" si="15"/>
        <v>1</v>
      </c>
      <c r="F64" t="str">
        <f t="shared" si="2"/>
        <v>COM</v>
      </c>
      <c r="G64" t="str">
        <f>"HENRIQUE VALENTIM FERREIRA (1083)"</f>
        <v>HENRIQUE VALENTIM FERREIRA (1083)</v>
      </c>
      <c r="H64" t="s">
        <v>54</v>
      </c>
      <c r="I64" t="str">
        <f t="shared" si="21"/>
        <v>03/03/2026</v>
      </c>
      <c r="J64" t="str">
        <f t="shared" si="18"/>
        <v>03/03/2026</v>
      </c>
      <c r="K64">
        <v>46084</v>
      </c>
      <c r="N64">
        <v>134</v>
      </c>
      <c r="O64" t="s">
        <v>30</v>
      </c>
      <c r="Q64">
        <v>83.35</v>
      </c>
      <c r="R64" t="str">
        <f>"PENSE FARMA 27 (10204)"</f>
        <v>PENSE FARMA 27 (10204)</v>
      </c>
      <c r="S64" t="s">
        <v>37</v>
      </c>
      <c r="T64">
        <v>29957</v>
      </c>
      <c r="U64">
        <v>33977</v>
      </c>
      <c r="V64" t="s">
        <v>37</v>
      </c>
    </row>
    <row r="65" spans="1:22">
      <c r="A65" t="str">
        <f t="shared" si="20"/>
        <v>03/03/2026</v>
      </c>
      <c r="B65" t="str">
        <f t="shared" si="17"/>
        <v>SAÍDA</v>
      </c>
      <c r="C65" t="str">
        <f t="shared" si="19"/>
        <v>PIX</v>
      </c>
      <c r="D65" t="str">
        <f>"33983"</f>
        <v>33983</v>
      </c>
      <c r="E65" t="str">
        <f t="shared" ref="E65:E96" si="22">"1"</f>
        <v>1</v>
      </c>
      <c r="F65" t="str">
        <f t="shared" si="2"/>
        <v>COM</v>
      </c>
      <c r="G65" t="str">
        <f>"MILENA MARTINELI BRANCO DA SILVA (1344)"</f>
        <v>MILENA MARTINELI BRANCO DA SILVA (1344)</v>
      </c>
      <c r="H65" t="str">
        <f>"Serv.Prest. DIÁRIA 01/03/2026 - PIX: CPF - CHAVE: 499.340.868-40"</f>
        <v>Serv.Prest. DIÁRIA 01/03/2026 - PIX: CPF - CHAVE: 499.340.868-40</v>
      </c>
      <c r="I65" t="str">
        <f t="shared" si="21"/>
        <v>03/03/2026</v>
      </c>
      <c r="J65" t="str">
        <f t="shared" si="18"/>
        <v>03/03/2026</v>
      </c>
      <c r="K65" t="str">
        <f>("03/03/2026")</f>
        <v>03/03/2026</v>
      </c>
      <c r="L65">
        <v>250</v>
      </c>
      <c r="M65">
        <v>250</v>
      </c>
      <c r="N65">
        <v>134</v>
      </c>
      <c r="O65" t="str">
        <f>"DIARIA DE MOTOBOY"</f>
        <v>DIARIA DE MOTOBOY</v>
      </c>
      <c r="P65">
        <v>250</v>
      </c>
      <c r="S65" t="str">
        <f>"BANCO C6 (149)"</f>
        <v>BANCO C6 (149)</v>
      </c>
      <c r="T65">
        <v>29958</v>
      </c>
      <c r="U65">
        <v>33983</v>
      </c>
      <c r="V65" t="s">
        <v>37</v>
      </c>
    </row>
    <row r="66" spans="1:22">
      <c r="A66" t="str">
        <f t="shared" si="20"/>
        <v>03/03/2026</v>
      </c>
      <c r="B66" t="str">
        <f t="shared" si="17"/>
        <v>SAÍDA</v>
      </c>
      <c r="C66" t="str">
        <f t="shared" si="19"/>
        <v>PIX</v>
      </c>
      <c r="D66" t="str">
        <f>"33983"</f>
        <v>33983</v>
      </c>
      <c r="E66" t="str">
        <f t="shared" si="22"/>
        <v>1</v>
      </c>
      <c r="F66" t="str">
        <f t="shared" ref="F66:F129" si="23">"COM"</f>
        <v>COM</v>
      </c>
      <c r="G66" t="str">
        <f>"MILENA MARTINELI BRANCO DA SILVA (1344)"</f>
        <v>MILENA MARTINELI BRANCO DA SILVA (1344)</v>
      </c>
      <c r="H66" t="s">
        <v>55</v>
      </c>
      <c r="I66" t="str">
        <f t="shared" si="21"/>
        <v>03/03/2026</v>
      </c>
      <c r="J66" t="str">
        <f t="shared" si="18"/>
        <v>03/03/2026</v>
      </c>
      <c r="K66">
        <v>46084</v>
      </c>
      <c r="N66">
        <v>134</v>
      </c>
      <c r="O66" t="s">
        <v>30</v>
      </c>
      <c r="Q66">
        <v>62.5</v>
      </c>
      <c r="R66" t="str">
        <f>"PENSE FARMA 31 (10205)"</f>
        <v>PENSE FARMA 31 (10205)</v>
      </c>
      <c r="S66" t="s">
        <v>37</v>
      </c>
      <c r="T66">
        <v>29958</v>
      </c>
      <c r="U66">
        <v>33983</v>
      </c>
      <c r="V66" t="s">
        <v>37</v>
      </c>
    </row>
    <row r="67" spans="1:22">
      <c r="A67" t="str">
        <f t="shared" si="20"/>
        <v>03/03/2026</v>
      </c>
      <c r="B67" t="str">
        <f t="shared" si="17"/>
        <v>SAÍDA</v>
      </c>
      <c r="C67" t="str">
        <f t="shared" si="19"/>
        <v>PIX</v>
      </c>
      <c r="D67" t="str">
        <f>"33983"</f>
        <v>33983</v>
      </c>
      <c r="E67" t="str">
        <f t="shared" si="22"/>
        <v>1</v>
      </c>
      <c r="F67" t="str">
        <f t="shared" si="23"/>
        <v>COM</v>
      </c>
      <c r="G67" t="str">
        <f>"MILENA MARTINELI BRANCO DA SILVA (1344)"</f>
        <v>MILENA MARTINELI BRANCO DA SILVA (1344)</v>
      </c>
      <c r="H67" t="s">
        <v>55</v>
      </c>
      <c r="I67" t="str">
        <f t="shared" si="21"/>
        <v>03/03/2026</v>
      </c>
      <c r="J67" t="str">
        <f t="shared" si="18"/>
        <v>03/03/2026</v>
      </c>
      <c r="K67">
        <v>46084</v>
      </c>
      <c r="N67">
        <v>134</v>
      </c>
      <c r="O67" t="s">
        <v>30</v>
      </c>
      <c r="Q67">
        <v>62.5</v>
      </c>
      <c r="R67" t="str">
        <f>"PENSE FARMA 16 (10221)"</f>
        <v>PENSE FARMA 16 (10221)</v>
      </c>
      <c r="S67" t="s">
        <v>37</v>
      </c>
      <c r="T67">
        <v>29958</v>
      </c>
      <c r="U67">
        <v>33983</v>
      </c>
      <c r="V67" t="s">
        <v>37</v>
      </c>
    </row>
    <row r="68" spans="1:22">
      <c r="A68" t="str">
        <f t="shared" si="20"/>
        <v>03/03/2026</v>
      </c>
      <c r="B68" t="str">
        <f t="shared" si="17"/>
        <v>SAÍDA</v>
      </c>
      <c r="C68" t="str">
        <f t="shared" si="19"/>
        <v>PIX</v>
      </c>
      <c r="D68" t="str">
        <f>"33983"</f>
        <v>33983</v>
      </c>
      <c r="E68" t="str">
        <f t="shared" si="22"/>
        <v>1</v>
      </c>
      <c r="F68" t="str">
        <f t="shared" si="23"/>
        <v>COM</v>
      </c>
      <c r="G68" t="str">
        <f>"MILENA MARTINELI BRANCO DA SILVA (1344)"</f>
        <v>MILENA MARTINELI BRANCO DA SILVA (1344)</v>
      </c>
      <c r="H68" t="s">
        <v>55</v>
      </c>
      <c r="I68" t="str">
        <f t="shared" si="21"/>
        <v>03/03/2026</v>
      </c>
      <c r="J68" t="str">
        <f t="shared" si="18"/>
        <v>03/03/2026</v>
      </c>
      <c r="K68">
        <v>46084</v>
      </c>
      <c r="N68">
        <v>134</v>
      </c>
      <c r="O68" t="s">
        <v>30</v>
      </c>
      <c r="Q68">
        <v>62.5</v>
      </c>
      <c r="R68" t="str">
        <f>"PENSE FARMA 17 (10222)"</f>
        <v>PENSE FARMA 17 (10222)</v>
      </c>
      <c r="S68" t="s">
        <v>37</v>
      </c>
      <c r="T68">
        <v>29958</v>
      </c>
      <c r="U68">
        <v>33983</v>
      </c>
      <c r="V68" t="s">
        <v>37</v>
      </c>
    </row>
    <row r="69" spans="1:22">
      <c r="A69" t="str">
        <f t="shared" si="20"/>
        <v>03/03/2026</v>
      </c>
      <c r="B69" t="str">
        <f t="shared" si="17"/>
        <v>SAÍDA</v>
      </c>
      <c r="C69" t="str">
        <f t="shared" si="19"/>
        <v>PIX</v>
      </c>
      <c r="D69" t="str">
        <f>"33983"</f>
        <v>33983</v>
      </c>
      <c r="E69" t="str">
        <f t="shared" si="22"/>
        <v>1</v>
      </c>
      <c r="F69" t="str">
        <f t="shared" si="23"/>
        <v>COM</v>
      </c>
      <c r="G69" t="str">
        <f>"MILENA MARTINELI BRANCO DA SILVA (1344)"</f>
        <v>MILENA MARTINELI BRANCO DA SILVA (1344)</v>
      </c>
      <c r="H69" t="s">
        <v>55</v>
      </c>
      <c r="I69" t="str">
        <f t="shared" si="21"/>
        <v>03/03/2026</v>
      </c>
      <c r="J69" t="str">
        <f t="shared" si="18"/>
        <v>03/03/2026</v>
      </c>
      <c r="K69">
        <v>46084</v>
      </c>
      <c r="N69">
        <v>134</v>
      </c>
      <c r="O69" t="s">
        <v>30</v>
      </c>
      <c r="Q69">
        <v>62.5</v>
      </c>
      <c r="R69" t="str">
        <f>"PENSE FARMA 62 (10274)"</f>
        <v>PENSE FARMA 62 (10274)</v>
      </c>
      <c r="S69" t="s">
        <v>37</v>
      </c>
      <c r="T69">
        <v>29958</v>
      </c>
      <c r="U69">
        <v>33983</v>
      </c>
      <c r="V69" t="s">
        <v>37</v>
      </c>
    </row>
    <row r="70" spans="1:22">
      <c r="A70" t="str">
        <f t="shared" si="20"/>
        <v>03/03/2026</v>
      </c>
      <c r="B70" t="str">
        <f t="shared" si="17"/>
        <v>SAÍDA</v>
      </c>
      <c r="C70" t="str">
        <f t="shared" si="19"/>
        <v>PIX</v>
      </c>
      <c r="D70" t="str">
        <f t="shared" ref="D70:D75" si="24">"33987"</f>
        <v>33987</v>
      </c>
      <c r="E70" t="str">
        <f t="shared" si="22"/>
        <v>1</v>
      </c>
      <c r="F70" t="str">
        <f t="shared" si="23"/>
        <v>COM</v>
      </c>
      <c r="G70" t="str">
        <f t="shared" ref="G70:G75" si="25">"GABRIEL RAMALHO LOPES (1343)"</f>
        <v>GABRIEL RAMALHO LOPES (1343)</v>
      </c>
      <c r="H70" t="str">
        <f>"Serv.Prest. DIÁRIA 01/03/2026 - PIX: E-MAIL - CHAVE: ramalhogabriel155@gmail.com"</f>
        <v>Serv.Prest. DIÁRIA 01/03/2026 - PIX: E-MAIL - CHAVE: ramalhogabriel155@gmail.com</v>
      </c>
      <c r="I70" t="str">
        <f t="shared" si="21"/>
        <v>03/03/2026</v>
      </c>
      <c r="J70" t="str">
        <f t="shared" si="18"/>
        <v>03/03/2026</v>
      </c>
      <c r="K70" t="str">
        <f>("03/03/2026")</f>
        <v>03/03/2026</v>
      </c>
      <c r="L70">
        <v>250</v>
      </c>
      <c r="M70">
        <v>250</v>
      </c>
      <c r="N70">
        <v>134</v>
      </c>
      <c r="O70" t="str">
        <f>"DIARIA DE MOTOBOY"</f>
        <v>DIARIA DE MOTOBOY</v>
      </c>
      <c r="P70">
        <v>250</v>
      </c>
      <c r="S70" t="str">
        <f>"BANCO C6 (149)"</f>
        <v>BANCO C6 (149)</v>
      </c>
      <c r="T70">
        <v>29959</v>
      </c>
      <c r="U70">
        <v>33987</v>
      </c>
      <c r="V70" t="s">
        <v>37</v>
      </c>
    </row>
    <row r="71" spans="1:22">
      <c r="A71" t="str">
        <f t="shared" si="20"/>
        <v>03/03/2026</v>
      </c>
      <c r="B71" t="str">
        <f t="shared" si="17"/>
        <v>SAÍDA</v>
      </c>
      <c r="C71" t="str">
        <f t="shared" si="19"/>
        <v>PIX</v>
      </c>
      <c r="D71" t="str">
        <f t="shared" si="24"/>
        <v>33987</v>
      </c>
      <c r="E71" t="str">
        <f t="shared" si="22"/>
        <v>1</v>
      </c>
      <c r="F71" t="str">
        <f t="shared" si="23"/>
        <v>COM</v>
      </c>
      <c r="G71" t="str">
        <f t="shared" si="25"/>
        <v>GABRIEL RAMALHO LOPES (1343)</v>
      </c>
      <c r="H71" t="s">
        <v>56</v>
      </c>
      <c r="I71" t="str">
        <f t="shared" si="21"/>
        <v>03/03/2026</v>
      </c>
      <c r="J71" t="str">
        <f t="shared" si="18"/>
        <v>03/03/2026</v>
      </c>
      <c r="K71">
        <v>46084</v>
      </c>
      <c r="N71">
        <v>134</v>
      </c>
      <c r="O71" t="s">
        <v>30</v>
      </c>
      <c r="Q71">
        <v>50</v>
      </c>
      <c r="R71" t="str">
        <f>"PENSE FARMA 08 (10217)"</f>
        <v>PENSE FARMA 08 (10217)</v>
      </c>
      <c r="S71" t="s">
        <v>37</v>
      </c>
      <c r="T71">
        <v>29959</v>
      </c>
      <c r="U71">
        <v>33987</v>
      </c>
      <c r="V71" t="s">
        <v>37</v>
      </c>
    </row>
    <row r="72" spans="1:22">
      <c r="A72" t="str">
        <f t="shared" si="20"/>
        <v>03/03/2026</v>
      </c>
      <c r="B72" t="str">
        <f t="shared" si="17"/>
        <v>SAÍDA</v>
      </c>
      <c r="C72" t="str">
        <f t="shared" si="19"/>
        <v>PIX</v>
      </c>
      <c r="D72" t="str">
        <f t="shared" si="24"/>
        <v>33987</v>
      </c>
      <c r="E72" t="str">
        <f t="shared" si="22"/>
        <v>1</v>
      </c>
      <c r="F72" t="str">
        <f t="shared" si="23"/>
        <v>COM</v>
      </c>
      <c r="G72" t="str">
        <f t="shared" si="25"/>
        <v>GABRIEL RAMALHO LOPES (1343)</v>
      </c>
      <c r="H72" t="s">
        <v>56</v>
      </c>
      <c r="I72" t="str">
        <f t="shared" si="21"/>
        <v>03/03/2026</v>
      </c>
      <c r="J72" t="str">
        <f t="shared" si="18"/>
        <v>03/03/2026</v>
      </c>
      <c r="K72">
        <v>46084</v>
      </c>
      <c r="N72">
        <v>134</v>
      </c>
      <c r="O72" t="s">
        <v>30</v>
      </c>
      <c r="Q72">
        <v>50</v>
      </c>
      <c r="R72" t="str">
        <f>"PENSE FARMA 11 (10220)"</f>
        <v>PENSE FARMA 11 (10220)</v>
      </c>
      <c r="S72" t="s">
        <v>37</v>
      </c>
      <c r="T72">
        <v>29959</v>
      </c>
      <c r="U72">
        <v>33987</v>
      </c>
      <c r="V72" t="s">
        <v>37</v>
      </c>
    </row>
    <row r="73" spans="1:22">
      <c r="A73" t="str">
        <f t="shared" si="20"/>
        <v>03/03/2026</v>
      </c>
      <c r="B73" t="str">
        <f t="shared" si="17"/>
        <v>SAÍDA</v>
      </c>
      <c r="C73" t="str">
        <f t="shared" si="19"/>
        <v>PIX</v>
      </c>
      <c r="D73" t="str">
        <f t="shared" si="24"/>
        <v>33987</v>
      </c>
      <c r="E73" t="str">
        <f t="shared" si="22"/>
        <v>1</v>
      </c>
      <c r="F73" t="str">
        <f t="shared" si="23"/>
        <v>COM</v>
      </c>
      <c r="G73" t="str">
        <f t="shared" si="25"/>
        <v>GABRIEL RAMALHO LOPES (1343)</v>
      </c>
      <c r="H73" t="s">
        <v>56</v>
      </c>
      <c r="I73" t="str">
        <f t="shared" si="21"/>
        <v>03/03/2026</v>
      </c>
      <c r="J73" t="str">
        <f t="shared" si="18"/>
        <v>03/03/2026</v>
      </c>
      <c r="K73">
        <v>46084</v>
      </c>
      <c r="N73">
        <v>134</v>
      </c>
      <c r="O73" t="s">
        <v>30</v>
      </c>
      <c r="Q73">
        <v>50</v>
      </c>
      <c r="R73" t="str">
        <f>"PENSE FARMA 41 (10229)"</f>
        <v>PENSE FARMA 41 (10229)</v>
      </c>
      <c r="S73" t="s">
        <v>37</v>
      </c>
      <c r="T73">
        <v>29959</v>
      </c>
      <c r="U73">
        <v>33987</v>
      </c>
      <c r="V73" t="s">
        <v>37</v>
      </c>
    </row>
    <row r="74" spans="1:22">
      <c r="A74" t="str">
        <f t="shared" si="20"/>
        <v>03/03/2026</v>
      </c>
      <c r="B74" t="str">
        <f t="shared" si="17"/>
        <v>SAÍDA</v>
      </c>
      <c r="C74" t="str">
        <f t="shared" si="19"/>
        <v>PIX</v>
      </c>
      <c r="D74" t="str">
        <f t="shared" si="24"/>
        <v>33987</v>
      </c>
      <c r="E74" t="str">
        <f t="shared" si="22"/>
        <v>1</v>
      </c>
      <c r="F74" t="str">
        <f t="shared" si="23"/>
        <v>COM</v>
      </c>
      <c r="G74" t="str">
        <f t="shared" si="25"/>
        <v>GABRIEL RAMALHO LOPES (1343)</v>
      </c>
      <c r="H74" t="s">
        <v>56</v>
      </c>
      <c r="I74" t="str">
        <f t="shared" si="21"/>
        <v>03/03/2026</v>
      </c>
      <c r="J74" t="str">
        <f t="shared" si="18"/>
        <v>03/03/2026</v>
      </c>
      <c r="K74">
        <v>46084</v>
      </c>
      <c r="N74">
        <v>134</v>
      </c>
      <c r="O74" t="s">
        <v>30</v>
      </c>
      <c r="Q74">
        <v>50</v>
      </c>
      <c r="R74" t="str">
        <f>"PENSE FARMA 42 (10230)"</f>
        <v>PENSE FARMA 42 (10230)</v>
      </c>
      <c r="S74" t="s">
        <v>37</v>
      </c>
      <c r="T74">
        <v>29959</v>
      </c>
      <c r="U74">
        <v>33987</v>
      </c>
      <c r="V74" t="s">
        <v>37</v>
      </c>
    </row>
    <row r="75" spans="1:22">
      <c r="A75" t="str">
        <f t="shared" si="20"/>
        <v>03/03/2026</v>
      </c>
      <c r="B75" t="str">
        <f t="shared" si="17"/>
        <v>SAÍDA</v>
      </c>
      <c r="C75" t="str">
        <f t="shared" si="19"/>
        <v>PIX</v>
      </c>
      <c r="D75" t="str">
        <f t="shared" si="24"/>
        <v>33987</v>
      </c>
      <c r="E75" t="str">
        <f t="shared" si="22"/>
        <v>1</v>
      </c>
      <c r="F75" t="str">
        <f t="shared" si="23"/>
        <v>COM</v>
      </c>
      <c r="G75" t="str">
        <f t="shared" si="25"/>
        <v>GABRIEL RAMALHO LOPES (1343)</v>
      </c>
      <c r="H75" t="s">
        <v>56</v>
      </c>
      <c r="I75" t="str">
        <f t="shared" si="21"/>
        <v>03/03/2026</v>
      </c>
      <c r="J75" t="str">
        <f t="shared" si="18"/>
        <v>03/03/2026</v>
      </c>
      <c r="K75">
        <v>46084</v>
      </c>
      <c r="N75">
        <v>134</v>
      </c>
      <c r="O75" t="s">
        <v>30</v>
      </c>
      <c r="Q75">
        <v>50</v>
      </c>
      <c r="R75" t="str">
        <f>"PENSE FARMA 52 (10236)"</f>
        <v>PENSE FARMA 52 (10236)</v>
      </c>
      <c r="S75" t="s">
        <v>37</v>
      </c>
      <c r="T75">
        <v>29959</v>
      </c>
      <c r="U75">
        <v>33987</v>
      </c>
      <c r="V75" t="s">
        <v>37</v>
      </c>
    </row>
    <row r="76" spans="1:22">
      <c r="A76" t="str">
        <f t="shared" si="20"/>
        <v>03/03/2026</v>
      </c>
      <c r="B76" t="str">
        <f t="shared" si="17"/>
        <v>SAÍDA</v>
      </c>
      <c r="C76" t="str">
        <f t="shared" si="19"/>
        <v>PIX</v>
      </c>
      <c r="D76" t="str">
        <f>"33998"</f>
        <v>33998</v>
      </c>
      <c r="E76" t="str">
        <f t="shared" si="22"/>
        <v>1</v>
      </c>
      <c r="F76" t="str">
        <f t="shared" si="23"/>
        <v>COM</v>
      </c>
      <c r="G76" t="str">
        <f>"JEFFERSON AMORIM DA SILVA (940)"</f>
        <v>JEFFERSON AMORIM DA SILVA (940)</v>
      </c>
      <c r="H76" t="str">
        <f>"Serv.Prest. DIÁRIA 01/03/2026 - PIX: CPF - CHAVE: 423.685.688-32"</f>
        <v>Serv.Prest. DIÁRIA 01/03/2026 - PIX: CPF - CHAVE: 423.685.688-32</v>
      </c>
      <c r="I76" t="str">
        <f t="shared" si="21"/>
        <v>03/03/2026</v>
      </c>
      <c r="J76" t="str">
        <f t="shared" si="18"/>
        <v>03/03/2026</v>
      </c>
      <c r="K76" t="str">
        <f>("03/03/2026")</f>
        <v>03/03/2026</v>
      </c>
      <c r="L76">
        <v>250</v>
      </c>
      <c r="M76">
        <v>250</v>
      </c>
      <c r="N76">
        <v>134</v>
      </c>
      <c r="O76" t="str">
        <f>"DIARIA DE MOTOBOY"</f>
        <v>DIARIA DE MOTOBOY</v>
      </c>
      <c r="P76">
        <v>250</v>
      </c>
      <c r="S76" t="str">
        <f>"BANCO C6 (149)"</f>
        <v>BANCO C6 (149)</v>
      </c>
      <c r="T76">
        <v>29960</v>
      </c>
      <c r="U76">
        <v>33998</v>
      </c>
      <c r="V76" t="s">
        <v>37</v>
      </c>
    </row>
    <row r="77" spans="1:22">
      <c r="A77" t="str">
        <f t="shared" si="20"/>
        <v>03/03/2026</v>
      </c>
      <c r="B77" t="str">
        <f t="shared" si="17"/>
        <v>SAÍDA</v>
      </c>
      <c r="C77" t="str">
        <f t="shared" si="19"/>
        <v>PIX</v>
      </c>
      <c r="D77" t="str">
        <f>"33998"</f>
        <v>33998</v>
      </c>
      <c r="E77" t="str">
        <f t="shared" si="22"/>
        <v>1</v>
      </c>
      <c r="F77" t="str">
        <f t="shared" si="23"/>
        <v>COM</v>
      </c>
      <c r="G77" t="str">
        <f>"JEFFERSON AMORIM DA SILVA (940)"</f>
        <v>JEFFERSON AMORIM DA SILVA (940)</v>
      </c>
      <c r="H77" t="s">
        <v>57</v>
      </c>
      <c r="I77" t="str">
        <f t="shared" si="21"/>
        <v>03/03/2026</v>
      </c>
      <c r="J77" t="str">
        <f t="shared" si="18"/>
        <v>03/03/2026</v>
      </c>
      <c r="K77">
        <v>46084</v>
      </c>
      <c r="N77">
        <v>134</v>
      </c>
      <c r="O77" t="s">
        <v>30</v>
      </c>
      <c r="Q77">
        <v>250</v>
      </c>
      <c r="R77" t="str">
        <f>"PENSE FARMA 25 (10224)"</f>
        <v>PENSE FARMA 25 (10224)</v>
      </c>
      <c r="S77" t="s">
        <v>37</v>
      </c>
      <c r="T77">
        <v>29960</v>
      </c>
      <c r="U77">
        <v>33998</v>
      </c>
      <c r="V77" t="s">
        <v>37</v>
      </c>
    </row>
    <row r="78" spans="1:22">
      <c r="A78" t="str">
        <f t="shared" si="20"/>
        <v>03/03/2026</v>
      </c>
      <c r="B78" t="str">
        <f t="shared" si="17"/>
        <v>SAÍDA</v>
      </c>
      <c r="C78" t="str">
        <f t="shared" si="19"/>
        <v>PIX</v>
      </c>
      <c r="D78" t="str">
        <f>"34003"</f>
        <v>34003</v>
      </c>
      <c r="E78" t="str">
        <f t="shared" si="22"/>
        <v>1</v>
      </c>
      <c r="F78" t="str">
        <f t="shared" si="23"/>
        <v>COM</v>
      </c>
      <c r="G78" t="str">
        <f>"PAULO ROGERIO DA SILVA (1123)"</f>
        <v>PAULO ROGERIO DA SILVA (1123)</v>
      </c>
      <c r="H78" t="str">
        <f>"Serv.Prest. DIÁRIA 01/03/2026 - PIX: CPF - CHAVE: 302.919.358-69"</f>
        <v>Serv.Prest. DIÁRIA 01/03/2026 - PIX: CPF - CHAVE: 302.919.358-69</v>
      </c>
      <c r="I78" t="str">
        <f t="shared" si="21"/>
        <v>03/03/2026</v>
      </c>
      <c r="J78" t="str">
        <f t="shared" si="18"/>
        <v>03/03/2026</v>
      </c>
      <c r="K78" t="str">
        <f>("03/03/2026")</f>
        <v>03/03/2026</v>
      </c>
      <c r="L78">
        <v>250</v>
      </c>
      <c r="M78">
        <v>250</v>
      </c>
      <c r="N78">
        <v>134</v>
      </c>
      <c r="O78" t="str">
        <f>"DIARIA DE MOTOBOY"</f>
        <v>DIARIA DE MOTOBOY</v>
      </c>
      <c r="P78">
        <v>250</v>
      </c>
      <c r="S78" t="str">
        <f>"BANCO C6 (149)"</f>
        <v>BANCO C6 (149)</v>
      </c>
      <c r="T78">
        <v>29961</v>
      </c>
      <c r="U78">
        <v>34003</v>
      </c>
      <c r="V78" t="s">
        <v>37</v>
      </c>
    </row>
    <row r="79" spans="1:22">
      <c r="A79" t="str">
        <f t="shared" si="20"/>
        <v>03/03/2026</v>
      </c>
      <c r="B79" t="str">
        <f t="shared" si="17"/>
        <v>SAÍDA</v>
      </c>
      <c r="C79" t="str">
        <f t="shared" si="19"/>
        <v>PIX</v>
      </c>
      <c r="D79" t="str">
        <f>"34003"</f>
        <v>34003</v>
      </c>
      <c r="E79" t="str">
        <f t="shared" si="22"/>
        <v>1</v>
      </c>
      <c r="F79" t="str">
        <f t="shared" si="23"/>
        <v>COM</v>
      </c>
      <c r="G79" t="str">
        <f>"PAULO ROGERIO DA SILVA (1123)"</f>
        <v>PAULO ROGERIO DA SILVA (1123)</v>
      </c>
      <c r="H79" t="s">
        <v>58</v>
      </c>
      <c r="I79" t="str">
        <f t="shared" si="21"/>
        <v>03/03/2026</v>
      </c>
      <c r="J79" t="str">
        <f t="shared" si="18"/>
        <v>03/03/2026</v>
      </c>
      <c r="K79">
        <v>46084</v>
      </c>
      <c r="N79">
        <v>134</v>
      </c>
      <c r="O79" t="s">
        <v>30</v>
      </c>
      <c r="Q79">
        <v>62.5</v>
      </c>
      <c r="R79" t="str">
        <f>"PENSE FARMA 15 (10195)"</f>
        <v>PENSE FARMA 15 (10195)</v>
      </c>
      <c r="S79" t="s">
        <v>37</v>
      </c>
      <c r="T79">
        <v>29961</v>
      </c>
      <c r="U79">
        <v>34003</v>
      </c>
      <c r="V79" t="s">
        <v>37</v>
      </c>
    </row>
    <row r="80" spans="1:22">
      <c r="A80" t="str">
        <f t="shared" si="20"/>
        <v>03/03/2026</v>
      </c>
      <c r="B80" t="str">
        <f t="shared" si="17"/>
        <v>SAÍDA</v>
      </c>
      <c r="C80" t="str">
        <f t="shared" si="19"/>
        <v>PIX</v>
      </c>
      <c r="D80" t="str">
        <f>"34003"</f>
        <v>34003</v>
      </c>
      <c r="E80" t="str">
        <f t="shared" si="22"/>
        <v>1</v>
      </c>
      <c r="F80" t="str">
        <f t="shared" si="23"/>
        <v>COM</v>
      </c>
      <c r="G80" t="str">
        <f>"PAULO ROGERIO DA SILVA (1123)"</f>
        <v>PAULO ROGERIO DA SILVA (1123)</v>
      </c>
      <c r="H80" t="s">
        <v>58</v>
      </c>
      <c r="I80" t="str">
        <f t="shared" si="21"/>
        <v>03/03/2026</v>
      </c>
      <c r="J80" t="str">
        <f t="shared" si="18"/>
        <v>03/03/2026</v>
      </c>
      <c r="K80">
        <v>46084</v>
      </c>
      <c r="N80">
        <v>134</v>
      </c>
      <c r="O80" t="s">
        <v>30</v>
      </c>
      <c r="Q80">
        <v>62.5</v>
      </c>
      <c r="R80" t="str">
        <f>"PENSE FARMA 26 (10196)"</f>
        <v>PENSE FARMA 26 (10196)</v>
      </c>
      <c r="S80" t="s">
        <v>37</v>
      </c>
      <c r="T80">
        <v>29961</v>
      </c>
      <c r="U80">
        <v>34003</v>
      </c>
      <c r="V80" t="s">
        <v>37</v>
      </c>
    </row>
    <row r="81" spans="1:22">
      <c r="A81" t="str">
        <f t="shared" si="20"/>
        <v>03/03/2026</v>
      </c>
      <c r="B81" t="str">
        <f t="shared" si="17"/>
        <v>SAÍDA</v>
      </c>
      <c r="C81" t="str">
        <f t="shared" si="19"/>
        <v>PIX</v>
      </c>
      <c r="D81" t="str">
        <f>"34003"</f>
        <v>34003</v>
      </c>
      <c r="E81" t="str">
        <f t="shared" si="22"/>
        <v>1</v>
      </c>
      <c r="F81" t="str">
        <f t="shared" si="23"/>
        <v>COM</v>
      </c>
      <c r="G81" t="str">
        <f>"PAULO ROGERIO DA SILVA (1123)"</f>
        <v>PAULO ROGERIO DA SILVA (1123)</v>
      </c>
      <c r="H81" t="s">
        <v>58</v>
      </c>
      <c r="I81" t="str">
        <f t="shared" si="21"/>
        <v>03/03/2026</v>
      </c>
      <c r="J81" t="str">
        <f t="shared" si="18"/>
        <v>03/03/2026</v>
      </c>
      <c r="K81">
        <v>46084</v>
      </c>
      <c r="N81">
        <v>134</v>
      </c>
      <c r="O81" t="s">
        <v>30</v>
      </c>
      <c r="Q81">
        <v>62.5</v>
      </c>
      <c r="R81" t="str">
        <f>"PENSE FARMA 60 (10197)"</f>
        <v>PENSE FARMA 60 (10197)</v>
      </c>
      <c r="S81" t="s">
        <v>37</v>
      </c>
      <c r="T81">
        <v>29961</v>
      </c>
      <c r="U81">
        <v>34003</v>
      </c>
      <c r="V81" t="s">
        <v>37</v>
      </c>
    </row>
    <row r="82" spans="1:22">
      <c r="A82" t="str">
        <f t="shared" si="20"/>
        <v>03/03/2026</v>
      </c>
      <c r="B82" t="str">
        <f t="shared" si="17"/>
        <v>SAÍDA</v>
      </c>
      <c r="C82" t="str">
        <f t="shared" si="19"/>
        <v>PIX</v>
      </c>
      <c r="D82" t="str">
        <f>"34003"</f>
        <v>34003</v>
      </c>
      <c r="E82" t="str">
        <f t="shared" si="22"/>
        <v>1</v>
      </c>
      <c r="F82" t="str">
        <f t="shared" si="23"/>
        <v>COM</v>
      </c>
      <c r="G82" t="str">
        <f>"PAULO ROGERIO DA SILVA (1123)"</f>
        <v>PAULO ROGERIO DA SILVA (1123)</v>
      </c>
      <c r="H82" t="s">
        <v>58</v>
      </c>
      <c r="I82" t="str">
        <f t="shared" si="21"/>
        <v>03/03/2026</v>
      </c>
      <c r="J82" t="str">
        <f t="shared" si="18"/>
        <v>03/03/2026</v>
      </c>
      <c r="K82">
        <v>46084</v>
      </c>
      <c r="N82">
        <v>134</v>
      </c>
      <c r="O82" t="s">
        <v>30</v>
      </c>
      <c r="Q82">
        <v>62.5</v>
      </c>
      <c r="R82" t="str">
        <f>"PENSE FARMA 61 (10243)"</f>
        <v>PENSE FARMA 61 (10243)</v>
      </c>
      <c r="S82" t="s">
        <v>37</v>
      </c>
      <c r="T82">
        <v>29961</v>
      </c>
      <c r="U82">
        <v>34003</v>
      </c>
      <c r="V82" t="s">
        <v>37</v>
      </c>
    </row>
    <row r="83" spans="1:22">
      <c r="A83" t="str">
        <f t="shared" si="20"/>
        <v>03/03/2026</v>
      </c>
      <c r="B83" t="str">
        <f t="shared" si="17"/>
        <v>SAÍDA</v>
      </c>
      <c r="C83" t="str">
        <f t="shared" si="19"/>
        <v>PIX</v>
      </c>
      <c r="D83" t="str">
        <f>"33968"</f>
        <v>33968</v>
      </c>
      <c r="E83" t="str">
        <f t="shared" si="22"/>
        <v>1</v>
      </c>
      <c r="F83" t="str">
        <f t="shared" si="23"/>
        <v>COM</v>
      </c>
      <c r="G83" t="str">
        <f>"ALAN COSTA SILVA (994)"</f>
        <v>ALAN COSTA SILVA (994)</v>
      </c>
      <c r="H83" t="str">
        <f>"Serv.Prest. DIÁRIA 01/03/2026 - PIX: CELULAR - CHAVE: (11) 98484-6837"</f>
        <v>Serv.Prest. DIÁRIA 01/03/2026 - PIX: CELULAR - CHAVE: (11) 98484-6837</v>
      </c>
      <c r="I83" t="str">
        <f t="shared" si="21"/>
        <v>03/03/2026</v>
      </c>
      <c r="J83" t="str">
        <f t="shared" si="18"/>
        <v>03/03/2026</v>
      </c>
      <c r="K83" t="str">
        <f>("03/03/2026")</f>
        <v>03/03/2026</v>
      </c>
      <c r="L83">
        <v>250</v>
      </c>
      <c r="M83">
        <v>250</v>
      </c>
      <c r="N83">
        <v>134</v>
      </c>
      <c r="O83" t="str">
        <f>"DIARIA DE MOTOBOY"</f>
        <v>DIARIA DE MOTOBOY</v>
      </c>
      <c r="P83">
        <v>250</v>
      </c>
      <c r="S83" t="str">
        <f>"BANCO C6 (149)"</f>
        <v>BANCO C6 (149)</v>
      </c>
      <c r="T83">
        <v>29962</v>
      </c>
      <c r="U83">
        <v>34042</v>
      </c>
      <c r="V83" t="s">
        <v>37</v>
      </c>
    </row>
    <row r="84" spans="1:22">
      <c r="A84" t="str">
        <f t="shared" si="20"/>
        <v>03/03/2026</v>
      </c>
      <c r="B84" t="str">
        <f t="shared" si="17"/>
        <v>SAÍDA</v>
      </c>
      <c r="C84" t="str">
        <f t="shared" si="19"/>
        <v>PIX</v>
      </c>
      <c r="D84" t="str">
        <f>"33968"</f>
        <v>33968</v>
      </c>
      <c r="E84" t="str">
        <f t="shared" si="22"/>
        <v>1</v>
      </c>
      <c r="F84" t="str">
        <f t="shared" si="23"/>
        <v>COM</v>
      </c>
      <c r="G84" t="str">
        <f>"ALAN COSTA SILVA (994)"</f>
        <v>ALAN COSTA SILVA (994)</v>
      </c>
      <c r="H84" t="s">
        <v>59</v>
      </c>
      <c r="I84" t="str">
        <f t="shared" si="21"/>
        <v>03/03/2026</v>
      </c>
      <c r="J84" t="str">
        <f t="shared" si="18"/>
        <v>03/03/2026</v>
      </c>
      <c r="K84">
        <v>46084</v>
      </c>
      <c r="N84">
        <v>134</v>
      </c>
      <c r="O84" t="s">
        <v>30</v>
      </c>
      <c r="Q84">
        <v>250</v>
      </c>
      <c r="R84" t="str">
        <f>"PENSE FARMA 19 (10223)"</f>
        <v>PENSE FARMA 19 (10223)</v>
      </c>
      <c r="S84" t="s">
        <v>37</v>
      </c>
      <c r="T84">
        <v>29962</v>
      </c>
      <c r="U84">
        <v>34042</v>
      </c>
      <c r="V84" t="s">
        <v>37</v>
      </c>
    </row>
    <row r="85" spans="1:22">
      <c r="A85" t="str">
        <f t="shared" si="20"/>
        <v>03/03/2026</v>
      </c>
      <c r="B85" t="str">
        <f t="shared" si="17"/>
        <v>SAÍDA</v>
      </c>
      <c r="C85" t="str">
        <f t="shared" si="19"/>
        <v>PIX</v>
      </c>
      <c r="D85" t="str">
        <f>"34007"</f>
        <v>34007</v>
      </c>
      <c r="E85" t="str">
        <f t="shared" si="22"/>
        <v>1</v>
      </c>
      <c r="F85" t="str">
        <f t="shared" si="23"/>
        <v>COM</v>
      </c>
      <c r="G85" t="str">
        <f>"ERIC RODRIGUES TEIXEIRA (939)"</f>
        <v>ERIC RODRIGUES TEIXEIRA (939)</v>
      </c>
      <c r="H85" t="str">
        <f>"Serv.Prest. DIÁRIA 01/03/2026 - PIX: CELULAR - CHAVE: (11) 95038-0621"</f>
        <v>Serv.Prest. DIÁRIA 01/03/2026 - PIX: CELULAR - CHAVE: (11) 95038-0621</v>
      </c>
      <c r="I85" t="str">
        <f t="shared" si="21"/>
        <v>03/03/2026</v>
      </c>
      <c r="J85" t="str">
        <f t="shared" si="18"/>
        <v>03/03/2026</v>
      </c>
      <c r="K85" t="str">
        <f>("03/03/2026")</f>
        <v>03/03/2026</v>
      </c>
      <c r="L85">
        <v>250</v>
      </c>
      <c r="M85">
        <v>250</v>
      </c>
      <c r="N85">
        <v>134</v>
      </c>
      <c r="O85" t="str">
        <f>"DIARIA DE MOTOBOY"</f>
        <v>DIARIA DE MOTOBOY</v>
      </c>
      <c r="P85">
        <v>250</v>
      </c>
      <c r="S85" t="str">
        <f>"BANCO C6 (149)"</f>
        <v>BANCO C6 (149)</v>
      </c>
      <c r="T85">
        <v>29963</v>
      </c>
      <c r="U85">
        <v>34015</v>
      </c>
      <c r="V85" t="s">
        <v>37</v>
      </c>
    </row>
    <row r="86" spans="1:22">
      <c r="A86" t="str">
        <f t="shared" si="20"/>
        <v>03/03/2026</v>
      </c>
      <c r="B86" t="str">
        <f t="shared" ref="B86:B117" si="26">"SAÍDA"</f>
        <v>SAÍDA</v>
      </c>
      <c r="C86" t="str">
        <f t="shared" si="19"/>
        <v>PIX</v>
      </c>
      <c r="D86" t="str">
        <f>"34007"</f>
        <v>34007</v>
      </c>
      <c r="E86" t="str">
        <f t="shared" si="22"/>
        <v>1</v>
      </c>
      <c r="F86" t="str">
        <f t="shared" si="23"/>
        <v>COM</v>
      </c>
      <c r="G86" t="str">
        <f>"ERIC RODRIGUES TEIXEIRA (939)"</f>
        <v>ERIC RODRIGUES TEIXEIRA (939)</v>
      </c>
      <c r="H86" t="s">
        <v>60</v>
      </c>
      <c r="I86" t="str">
        <f t="shared" si="21"/>
        <v>03/03/2026</v>
      </c>
      <c r="J86" t="str">
        <f t="shared" si="18"/>
        <v>03/03/2026</v>
      </c>
      <c r="K86">
        <v>46084</v>
      </c>
      <c r="N86">
        <v>134</v>
      </c>
      <c r="O86" t="s">
        <v>30</v>
      </c>
      <c r="Q86">
        <v>83.33</v>
      </c>
      <c r="R86" t="str">
        <f>"PENSE FARMA 07 (10201)"</f>
        <v>PENSE FARMA 07 (10201)</v>
      </c>
      <c r="S86" t="s">
        <v>37</v>
      </c>
      <c r="T86">
        <v>29963</v>
      </c>
      <c r="U86">
        <v>34015</v>
      </c>
      <c r="V86" t="s">
        <v>37</v>
      </c>
    </row>
    <row r="87" spans="1:22">
      <c r="A87" t="str">
        <f t="shared" si="20"/>
        <v>03/03/2026</v>
      </c>
      <c r="B87" t="str">
        <f t="shared" si="26"/>
        <v>SAÍDA</v>
      </c>
      <c r="C87" t="str">
        <f t="shared" si="19"/>
        <v>PIX</v>
      </c>
      <c r="D87" t="str">
        <f>"34007"</f>
        <v>34007</v>
      </c>
      <c r="E87" t="str">
        <f t="shared" si="22"/>
        <v>1</v>
      </c>
      <c r="F87" t="str">
        <f t="shared" si="23"/>
        <v>COM</v>
      </c>
      <c r="G87" t="str">
        <f>"ERIC RODRIGUES TEIXEIRA (939)"</f>
        <v>ERIC RODRIGUES TEIXEIRA (939)</v>
      </c>
      <c r="H87" t="s">
        <v>60</v>
      </c>
      <c r="I87" t="str">
        <f t="shared" si="21"/>
        <v>03/03/2026</v>
      </c>
      <c r="J87" t="str">
        <f t="shared" ref="J87:J118" si="27">("03/03/2026")</f>
        <v>03/03/2026</v>
      </c>
      <c r="K87">
        <v>46084</v>
      </c>
      <c r="N87">
        <v>134</v>
      </c>
      <c r="O87" t="s">
        <v>30</v>
      </c>
      <c r="Q87">
        <v>83.32</v>
      </c>
      <c r="R87" t="str">
        <f>"PENSE FARMA 45 (10209)"</f>
        <v>PENSE FARMA 45 (10209)</v>
      </c>
      <c r="S87" t="s">
        <v>37</v>
      </c>
      <c r="T87">
        <v>29963</v>
      </c>
      <c r="U87">
        <v>34015</v>
      </c>
      <c r="V87" t="s">
        <v>37</v>
      </c>
    </row>
    <row r="88" spans="1:22">
      <c r="A88" t="str">
        <f t="shared" si="20"/>
        <v>03/03/2026</v>
      </c>
      <c r="B88" t="str">
        <f t="shared" si="26"/>
        <v>SAÍDA</v>
      </c>
      <c r="C88" t="str">
        <f t="shared" ref="C88:C119" si="28">"PIX"</f>
        <v>PIX</v>
      </c>
      <c r="D88" t="str">
        <f>"34007"</f>
        <v>34007</v>
      </c>
      <c r="E88" t="str">
        <f t="shared" si="22"/>
        <v>1</v>
      </c>
      <c r="F88" t="str">
        <f t="shared" si="23"/>
        <v>COM</v>
      </c>
      <c r="G88" t="str">
        <f>"ERIC RODRIGUES TEIXEIRA (939)"</f>
        <v>ERIC RODRIGUES TEIXEIRA (939)</v>
      </c>
      <c r="H88" t="s">
        <v>60</v>
      </c>
      <c r="I88" t="str">
        <f t="shared" si="21"/>
        <v>03/03/2026</v>
      </c>
      <c r="J88" t="str">
        <f t="shared" si="27"/>
        <v>03/03/2026</v>
      </c>
      <c r="K88">
        <v>46084</v>
      </c>
      <c r="N88">
        <v>134</v>
      </c>
      <c r="O88" t="s">
        <v>30</v>
      </c>
      <c r="Q88">
        <v>83.35</v>
      </c>
      <c r="R88" t="str">
        <f>"PENSE FARMA 50 (10210)"</f>
        <v>PENSE FARMA 50 (10210)</v>
      </c>
      <c r="S88" t="s">
        <v>37</v>
      </c>
      <c r="T88">
        <v>29963</v>
      </c>
      <c r="U88">
        <v>34015</v>
      </c>
      <c r="V88" t="s">
        <v>37</v>
      </c>
    </row>
    <row r="89" spans="1:22">
      <c r="A89" t="str">
        <f t="shared" ref="A89:A120" si="29">("03/03/2026")</f>
        <v>03/03/2026</v>
      </c>
      <c r="B89" t="str">
        <f t="shared" si="26"/>
        <v>SAÍDA</v>
      </c>
      <c r="C89" t="str">
        <f t="shared" si="28"/>
        <v>PIX</v>
      </c>
      <c r="D89" t="str">
        <f>"33994"</f>
        <v>33994</v>
      </c>
      <c r="E89" t="str">
        <f t="shared" si="22"/>
        <v>1</v>
      </c>
      <c r="F89" t="str">
        <f t="shared" si="23"/>
        <v>COM</v>
      </c>
      <c r="G89" t="str">
        <f>"IGOR LOPES DA SILVA (991)"</f>
        <v>IGOR LOPES DA SILVA (991)</v>
      </c>
      <c r="H89" t="str">
        <f>"Serv.Prest. DIÁRIA 01/03/2026 - PIX: CELULAR - CHAVE: (11) 95054-2206"</f>
        <v>Serv.Prest. DIÁRIA 01/03/2026 - PIX: CELULAR - CHAVE: (11) 95054-2206</v>
      </c>
      <c r="I89" t="str">
        <f t="shared" si="21"/>
        <v>03/03/2026</v>
      </c>
      <c r="J89" t="str">
        <f t="shared" si="27"/>
        <v>03/03/2026</v>
      </c>
      <c r="K89" t="str">
        <f>("03/03/2026")</f>
        <v>03/03/2026</v>
      </c>
      <c r="L89">
        <v>250</v>
      </c>
      <c r="M89">
        <v>250</v>
      </c>
      <c r="N89">
        <v>134</v>
      </c>
      <c r="O89" t="str">
        <f>"DIARIA DE MOTOBOY"</f>
        <v>DIARIA DE MOTOBOY</v>
      </c>
      <c r="P89">
        <v>250</v>
      </c>
      <c r="S89" t="str">
        <f>"BANCO C6 (149)"</f>
        <v>BANCO C6 (149)</v>
      </c>
      <c r="T89">
        <v>29964</v>
      </c>
      <c r="U89">
        <v>34016</v>
      </c>
      <c r="V89" t="s">
        <v>37</v>
      </c>
    </row>
    <row r="90" spans="1:22">
      <c r="A90" t="str">
        <f t="shared" si="29"/>
        <v>03/03/2026</v>
      </c>
      <c r="B90" t="str">
        <f t="shared" si="26"/>
        <v>SAÍDA</v>
      </c>
      <c r="C90" t="str">
        <f t="shared" si="28"/>
        <v>PIX</v>
      </c>
      <c r="D90" t="str">
        <f>"33994"</f>
        <v>33994</v>
      </c>
      <c r="E90" t="str">
        <f t="shared" si="22"/>
        <v>1</v>
      </c>
      <c r="F90" t="str">
        <f t="shared" si="23"/>
        <v>COM</v>
      </c>
      <c r="G90" t="str">
        <f>"IGOR LOPES DA SILVA (991)"</f>
        <v>IGOR LOPES DA SILVA (991)</v>
      </c>
      <c r="H90" t="s">
        <v>61</v>
      </c>
      <c r="I90" t="str">
        <f t="shared" si="21"/>
        <v>03/03/2026</v>
      </c>
      <c r="J90" t="str">
        <f t="shared" si="27"/>
        <v>03/03/2026</v>
      </c>
      <c r="K90">
        <v>46084</v>
      </c>
      <c r="N90">
        <v>134</v>
      </c>
      <c r="O90" t="s">
        <v>30</v>
      </c>
      <c r="Q90">
        <v>62.5</v>
      </c>
      <c r="R90" t="str">
        <f>"PENSE FARMA 02 (10199)"</f>
        <v>PENSE FARMA 02 (10199)</v>
      </c>
      <c r="S90" t="s">
        <v>37</v>
      </c>
      <c r="T90">
        <v>29964</v>
      </c>
      <c r="U90">
        <v>34016</v>
      </c>
      <c r="V90" t="s">
        <v>37</v>
      </c>
    </row>
    <row r="91" spans="1:22">
      <c r="A91" t="str">
        <f t="shared" si="29"/>
        <v>03/03/2026</v>
      </c>
      <c r="B91" t="str">
        <f t="shared" si="26"/>
        <v>SAÍDA</v>
      </c>
      <c r="C91" t="str">
        <f t="shared" si="28"/>
        <v>PIX</v>
      </c>
      <c r="D91" t="str">
        <f>"33994"</f>
        <v>33994</v>
      </c>
      <c r="E91" t="str">
        <f t="shared" si="22"/>
        <v>1</v>
      </c>
      <c r="F91" t="str">
        <f t="shared" si="23"/>
        <v>COM</v>
      </c>
      <c r="G91" t="str">
        <f>"IGOR LOPES DA SILVA (991)"</f>
        <v>IGOR LOPES DA SILVA (991)</v>
      </c>
      <c r="H91" t="s">
        <v>61</v>
      </c>
      <c r="I91" t="str">
        <f t="shared" ref="I91:I122" si="30">("03/03/2026")</f>
        <v>03/03/2026</v>
      </c>
      <c r="J91" t="str">
        <f t="shared" si="27"/>
        <v>03/03/2026</v>
      </c>
      <c r="K91">
        <v>46084</v>
      </c>
      <c r="N91">
        <v>134</v>
      </c>
      <c r="O91" t="s">
        <v>30</v>
      </c>
      <c r="Q91">
        <v>62.5</v>
      </c>
      <c r="R91" t="str">
        <f>"PENSE FARMA 01 (10215)"</f>
        <v>PENSE FARMA 01 (10215)</v>
      </c>
      <c r="S91" t="s">
        <v>37</v>
      </c>
      <c r="T91">
        <v>29964</v>
      </c>
      <c r="U91">
        <v>34016</v>
      </c>
      <c r="V91" t="s">
        <v>37</v>
      </c>
    </row>
    <row r="92" spans="1:22">
      <c r="A92" t="str">
        <f t="shared" si="29"/>
        <v>03/03/2026</v>
      </c>
      <c r="B92" t="str">
        <f t="shared" si="26"/>
        <v>SAÍDA</v>
      </c>
      <c r="C92" t="str">
        <f t="shared" si="28"/>
        <v>PIX</v>
      </c>
      <c r="D92" t="str">
        <f>"33994"</f>
        <v>33994</v>
      </c>
      <c r="E92" t="str">
        <f t="shared" si="22"/>
        <v>1</v>
      </c>
      <c r="F92" t="str">
        <f t="shared" si="23"/>
        <v>COM</v>
      </c>
      <c r="G92" t="str">
        <f>"IGOR LOPES DA SILVA (991)"</f>
        <v>IGOR LOPES DA SILVA (991)</v>
      </c>
      <c r="H92" t="s">
        <v>61</v>
      </c>
      <c r="I92" t="str">
        <f t="shared" si="30"/>
        <v>03/03/2026</v>
      </c>
      <c r="J92" t="str">
        <f t="shared" si="27"/>
        <v>03/03/2026</v>
      </c>
      <c r="K92">
        <v>46084</v>
      </c>
      <c r="N92">
        <v>134</v>
      </c>
      <c r="O92" t="s">
        <v>30</v>
      </c>
      <c r="Q92">
        <v>62.5</v>
      </c>
      <c r="R92" t="str">
        <f>"PENSE FARMA 03 (10216)"</f>
        <v>PENSE FARMA 03 (10216)</v>
      </c>
      <c r="S92" t="s">
        <v>37</v>
      </c>
      <c r="T92">
        <v>29964</v>
      </c>
      <c r="U92">
        <v>34016</v>
      </c>
      <c r="V92" t="s">
        <v>37</v>
      </c>
    </row>
    <row r="93" spans="1:22">
      <c r="A93" t="str">
        <f t="shared" si="29"/>
        <v>03/03/2026</v>
      </c>
      <c r="B93" t="str">
        <f t="shared" si="26"/>
        <v>SAÍDA</v>
      </c>
      <c r="C93" t="str">
        <f t="shared" si="28"/>
        <v>PIX</v>
      </c>
      <c r="D93" t="str">
        <f>"33994"</f>
        <v>33994</v>
      </c>
      <c r="E93" t="str">
        <f t="shared" si="22"/>
        <v>1</v>
      </c>
      <c r="F93" t="str">
        <f t="shared" si="23"/>
        <v>COM</v>
      </c>
      <c r="G93" t="str">
        <f>"IGOR LOPES DA SILVA (991)"</f>
        <v>IGOR LOPES DA SILVA (991)</v>
      </c>
      <c r="H93" t="s">
        <v>61</v>
      </c>
      <c r="I93" t="str">
        <f t="shared" si="30"/>
        <v>03/03/2026</v>
      </c>
      <c r="J93" t="str">
        <f t="shared" si="27"/>
        <v>03/03/2026</v>
      </c>
      <c r="K93">
        <v>46084</v>
      </c>
      <c r="N93">
        <v>134</v>
      </c>
      <c r="O93" t="s">
        <v>30</v>
      </c>
      <c r="Q93">
        <v>62.5</v>
      </c>
      <c r="R93" t="str">
        <f>"PENSE FARMA 39 (10228)"</f>
        <v>PENSE FARMA 39 (10228)</v>
      </c>
      <c r="S93" t="s">
        <v>37</v>
      </c>
      <c r="T93">
        <v>29964</v>
      </c>
      <c r="U93">
        <v>34016</v>
      </c>
      <c r="V93" t="s">
        <v>37</v>
      </c>
    </row>
    <row r="94" spans="1:22">
      <c r="A94" t="str">
        <f t="shared" si="29"/>
        <v>03/03/2026</v>
      </c>
      <c r="B94" t="str">
        <f t="shared" si="26"/>
        <v>SAÍDA</v>
      </c>
      <c r="C94" t="str">
        <f t="shared" si="28"/>
        <v>PIX</v>
      </c>
      <c r="D94" t="str">
        <f>"34019"</f>
        <v>34019</v>
      </c>
      <c r="E94" t="str">
        <f t="shared" si="22"/>
        <v>1</v>
      </c>
      <c r="F94" t="str">
        <f t="shared" si="23"/>
        <v>COM</v>
      </c>
      <c r="G94" t="str">
        <f>"BRUNO AUGUSTO GONCALVES BARBOSA (1022)"</f>
        <v>BRUNO AUGUSTO GONCALVES BARBOSA (1022)</v>
      </c>
      <c r="H94" t="str">
        <f>"Serv.Prest. DIÁRIA 27/0/2026 - PIX: CPF - CHAVE: 604.319.363-90"</f>
        <v>Serv.Prest. DIÁRIA 27/0/2026 - PIX: CPF - CHAVE: 604.319.363-90</v>
      </c>
      <c r="I94" t="str">
        <f t="shared" si="30"/>
        <v>03/03/2026</v>
      </c>
      <c r="J94" t="str">
        <f t="shared" si="27"/>
        <v>03/03/2026</v>
      </c>
      <c r="K94" t="str">
        <f>("03/03/2026")</f>
        <v>03/03/2026</v>
      </c>
      <c r="L94">
        <v>174</v>
      </c>
      <c r="M94">
        <v>175</v>
      </c>
      <c r="N94">
        <v>134</v>
      </c>
      <c r="O94" t="str">
        <f>"DIARIA DE MOTOBOY"</f>
        <v>DIARIA DE MOTOBOY</v>
      </c>
      <c r="P94">
        <v>175</v>
      </c>
      <c r="S94" t="str">
        <f>"BANCO C6 (149)"</f>
        <v>BANCO C6 (149)</v>
      </c>
      <c r="T94">
        <v>29965</v>
      </c>
      <c r="U94">
        <v>34019</v>
      </c>
      <c r="V94" t="s">
        <v>37</v>
      </c>
    </row>
    <row r="95" spans="1:22">
      <c r="A95" t="str">
        <f t="shared" si="29"/>
        <v>03/03/2026</v>
      </c>
      <c r="B95" t="str">
        <f t="shared" si="26"/>
        <v>SAÍDA</v>
      </c>
      <c r="C95" t="str">
        <f t="shared" si="28"/>
        <v>PIX</v>
      </c>
      <c r="D95" t="str">
        <f>"34019"</f>
        <v>34019</v>
      </c>
      <c r="E95" t="str">
        <f t="shared" si="22"/>
        <v>1</v>
      </c>
      <c r="F95" t="str">
        <f t="shared" si="23"/>
        <v>COM</v>
      </c>
      <c r="G95" t="str">
        <f>"BRUNO AUGUSTO GONCALVES BARBOSA (1022)"</f>
        <v>BRUNO AUGUSTO GONCALVES BARBOSA (1022)</v>
      </c>
      <c r="H95" t="s">
        <v>62</v>
      </c>
      <c r="I95" t="str">
        <f t="shared" si="30"/>
        <v>03/03/2026</v>
      </c>
      <c r="J95" t="str">
        <f t="shared" si="27"/>
        <v>03/03/2026</v>
      </c>
      <c r="K95">
        <v>46084</v>
      </c>
      <c r="N95">
        <v>134</v>
      </c>
      <c r="O95" t="s">
        <v>30</v>
      </c>
      <c r="Q95">
        <v>21.88</v>
      </c>
      <c r="R95" t="str">
        <f>"PAGUE MENOS 377 (10300)"</f>
        <v>PAGUE MENOS 377 (10300)</v>
      </c>
      <c r="S95" t="s">
        <v>37</v>
      </c>
      <c r="T95">
        <v>29965</v>
      </c>
      <c r="U95">
        <v>34019</v>
      </c>
      <c r="V95" t="s">
        <v>37</v>
      </c>
    </row>
    <row r="96" spans="1:22">
      <c r="A96" t="str">
        <f t="shared" si="29"/>
        <v>03/03/2026</v>
      </c>
      <c r="B96" t="str">
        <f t="shared" si="26"/>
        <v>SAÍDA</v>
      </c>
      <c r="C96" t="str">
        <f t="shared" si="28"/>
        <v>PIX</v>
      </c>
      <c r="D96" t="str">
        <f>"34019"</f>
        <v>34019</v>
      </c>
      <c r="E96" t="str">
        <f t="shared" si="22"/>
        <v>1</v>
      </c>
      <c r="F96" t="str">
        <f t="shared" si="23"/>
        <v>COM</v>
      </c>
      <c r="G96" t="str">
        <f>"BRUNO AUGUSTO GONCALVES BARBOSA (1022)"</f>
        <v>BRUNO AUGUSTO GONCALVES BARBOSA (1022)</v>
      </c>
      <c r="H96" t="s">
        <v>62</v>
      </c>
      <c r="I96" t="str">
        <f t="shared" si="30"/>
        <v>03/03/2026</v>
      </c>
      <c r="J96" t="str">
        <f t="shared" si="27"/>
        <v>03/03/2026</v>
      </c>
      <c r="K96">
        <v>46084</v>
      </c>
      <c r="N96">
        <v>134</v>
      </c>
      <c r="O96" t="s">
        <v>30</v>
      </c>
      <c r="Q96">
        <v>116.67</v>
      </c>
      <c r="R96" t="str">
        <f>"PAGUE MENOS 1155 (10307)"</f>
        <v>PAGUE MENOS 1155 (10307)</v>
      </c>
      <c r="S96" t="s">
        <v>37</v>
      </c>
      <c r="T96">
        <v>29965</v>
      </c>
      <c r="U96">
        <v>34019</v>
      </c>
      <c r="V96" t="s">
        <v>37</v>
      </c>
    </row>
    <row r="97" spans="1:22">
      <c r="A97" t="str">
        <f t="shared" si="29"/>
        <v>03/03/2026</v>
      </c>
      <c r="B97" t="str">
        <f t="shared" si="26"/>
        <v>SAÍDA</v>
      </c>
      <c r="C97" t="str">
        <f t="shared" si="28"/>
        <v>PIX</v>
      </c>
      <c r="D97" t="str">
        <f>"34019"</f>
        <v>34019</v>
      </c>
      <c r="E97" t="str">
        <f t="shared" ref="E97:E128" si="31">"1"</f>
        <v>1</v>
      </c>
      <c r="F97" t="str">
        <f t="shared" si="23"/>
        <v>COM</v>
      </c>
      <c r="G97" t="str">
        <f>"BRUNO AUGUSTO GONCALVES BARBOSA (1022)"</f>
        <v>BRUNO AUGUSTO GONCALVES BARBOSA (1022)</v>
      </c>
      <c r="H97" t="s">
        <v>62</v>
      </c>
      <c r="I97" t="str">
        <f t="shared" si="30"/>
        <v>03/03/2026</v>
      </c>
      <c r="J97" t="str">
        <f t="shared" si="27"/>
        <v>03/03/2026</v>
      </c>
      <c r="K97">
        <v>46084</v>
      </c>
      <c r="N97">
        <v>134</v>
      </c>
      <c r="O97" t="s">
        <v>30</v>
      </c>
      <c r="Q97">
        <v>36.450000000000003</v>
      </c>
      <c r="R97" t="str">
        <f>"PAGUE MENOS 1156 (10308)"</f>
        <v>PAGUE MENOS 1156 (10308)</v>
      </c>
      <c r="S97" t="s">
        <v>37</v>
      </c>
      <c r="T97">
        <v>29965</v>
      </c>
      <c r="U97">
        <v>34019</v>
      </c>
      <c r="V97" t="s">
        <v>37</v>
      </c>
    </row>
    <row r="98" spans="1:22">
      <c r="A98" t="str">
        <f t="shared" si="29"/>
        <v>03/03/2026</v>
      </c>
      <c r="B98" t="str">
        <f t="shared" si="26"/>
        <v>SAÍDA</v>
      </c>
      <c r="C98" t="str">
        <f t="shared" si="28"/>
        <v>PIX</v>
      </c>
      <c r="D98" t="str">
        <f>"34021"</f>
        <v>34021</v>
      </c>
      <c r="E98" t="str">
        <f t="shared" si="31"/>
        <v>1</v>
      </c>
      <c r="F98" t="str">
        <f t="shared" si="23"/>
        <v>COM</v>
      </c>
      <c r="G98" t="str">
        <f>"FELIPE CHAVES FRANCO (1325)"</f>
        <v>FELIPE CHAVES FRANCO (1325)</v>
      </c>
      <c r="H98" t="str">
        <f>"Serv.Prest. DIÁRIA 01/03/2026 - PIX: CPF - CHAVE: 135.653.486-40"</f>
        <v>Serv.Prest. DIÁRIA 01/03/2026 - PIX: CPF - CHAVE: 135.653.486-40</v>
      </c>
      <c r="I98" t="str">
        <f t="shared" si="30"/>
        <v>03/03/2026</v>
      </c>
      <c r="J98" t="str">
        <f t="shared" si="27"/>
        <v>03/03/2026</v>
      </c>
      <c r="K98" t="str">
        <f>("03/03/2026")</f>
        <v>03/03/2026</v>
      </c>
      <c r="L98">
        <v>120</v>
      </c>
      <c r="M98">
        <v>120</v>
      </c>
      <c r="N98">
        <v>134</v>
      </c>
      <c r="O98" t="str">
        <f>"DIARIA DE MOTOBOY"</f>
        <v>DIARIA DE MOTOBOY</v>
      </c>
      <c r="P98">
        <v>120</v>
      </c>
      <c r="S98" t="str">
        <f>"BANCO C6 (149)"</f>
        <v>BANCO C6 (149)</v>
      </c>
      <c r="T98">
        <v>29966</v>
      </c>
      <c r="U98">
        <v>34021</v>
      </c>
      <c r="V98" t="s">
        <v>37</v>
      </c>
    </row>
    <row r="99" spans="1:22">
      <c r="A99" t="str">
        <f t="shared" si="29"/>
        <v>03/03/2026</v>
      </c>
      <c r="B99" t="str">
        <f t="shared" si="26"/>
        <v>SAÍDA</v>
      </c>
      <c r="C99" t="str">
        <f t="shared" si="28"/>
        <v>PIX</v>
      </c>
      <c r="D99" t="str">
        <f>"34021"</f>
        <v>34021</v>
      </c>
      <c r="E99" t="str">
        <f t="shared" si="31"/>
        <v>1</v>
      </c>
      <c r="F99" t="str">
        <f t="shared" si="23"/>
        <v>COM</v>
      </c>
      <c r="G99" t="str">
        <f>"FELIPE CHAVES FRANCO (1325)"</f>
        <v>FELIPE CHAVES FRANCO (1325)</v>
      </c>
      <c r="H99" t="s">
        <v>63</v>
      </c>
      <c r="I99" t="str">
        <f t="shared" si="30"/>
        <v>03/03/2026</v>
      </c>
      <c r="J99" t="str">
        <f t="shared" si="27"/>
        <v>03/03/2026</v>
      </c>
      <c r="K99">
        <v>46084</v>
      </c>
      <c r="N99">
        <v>134</v>
      </c>
      <c r="O99" t="s">
        <v>30</v>
      </c>
      <c r="Q99">
        <v>34.299999999999997</v>
      </c>
      <c r="R99" t="str">
        <f>"PAGMENOS - LJ 431 (10265)"</f>
        <v>PAGMENOS - LJ 431 (10265)</v>
      </c>
      <c r="S99" t="s">
        <v>37</v>
      </c>
      <c r="T99">
        <v>29966</v>
      </c>
      <c r="U99">
        <v>34021</v>
      </c>
      <c r="V99" t="s">
        <v>37</v>
      </c>
    </row>
    <row r="100" spans="1:22">
      <c r="A100" t="str">
        <f t="shared" si="29"/>
        <v>03/03/2026</v>
      </c>
      <c r="B100" t="str">
        <f t="shared" si="26"/>
        <v>SAÍDA</v>
      </c>
      <c r="C100" t="str">
        <f t="shared" si="28"/>
        <v>PIX</v>
      </c>
      <c r="D100" t="str">
        <f>"34021"</f>
        <v>34021</v>
      </c>
      <c r="E100" t="str">
        <f t="shared" si="31"/>
        <v>1</v>
      </c>
      <c r="F100" t="str">
        <f t="shared" si="23"/>
        <v>COM</v>
      </c>
      <c r="G100" t="str">
        <f>"FELIPE CHAVES FRANCO (1325)"</f>
        <v>FELIPE CHAVES FRANCO (1325)</v>
      </c>
      <c r="H100" t="s">
        <v>63</v>
      </c>
      <c r="I100" t="str">
        <f t="shared" si="30"/>
        <v>03/03/2026</v>
      </c>
      <c r="J100" t="str">
        <f t="shared" si="27"/>
        <v>03/03/2026</v>
      </c>
      <c r="K100">
        <v>46084</v>
      </c>
      <c r="N100">
        <v>134</v>
      </c>
      <c r="O100" t="s">
        <v>30</v>
      </c>
      <c r="Q100">
        <v>85.7</v>
      </c>
      <c r="R100" t="str">
        <f>"PAGMENOS - LJ 768 (10266)"</f>
        <v>PAGMENOS - LJ 768 (10266)</v>
      </c>
      <c r="S100" t="s">
        <v>37</v>
      </c>
      <c r="T100">
        <v>29966</v>
      </c>
      <c r="U100">
        <v>34021</v>
      </c>
      <c r="V100" t="s">
        <v>37</v>
      </c>
    </row>
    <row r="101" spans="1:22">
      <c r="A101" t="str">
        <f t="shared" si="29"/>
        <v>03/03/2026</v>
      </c>
      <c r="B101" t="str">
        <f t="shared" si="26"/>
        <v>SAÍDA</v>
      </c>
      <c r="C101" t="str">
        <f t="shared" si="28"/>
        <v>PIX</v>
      </c>
      <c r="D101" t="str">
        <f>"34028"</f>
        <v>34028</v>
      </c>
      <c r="E101" t="str">
        <f t="shared" si="31"/>
        <v>1</v>
      </c>
      <c r="F101" t="str">
        <f t="shared" si="23"/>
        <v>COM</v>
      </c>
      <c r="G101" t="str">
        <f>"MARCIO FRANCO DE OLIVEIRA FILHO (1193)"</f>
        <v>MARCIO FRANCO DE OLIVEIRA FILHO (1193)</v>
      </c>
      <c r="H101" t="str">
        <f>"Serv.Prest. DIÁRIA 01/03/2026 - PIX: CPF - CHAVE: 124.921.066-67"</f>
        <v>Serv.Prest. DIÁRIA 01/03/2026 - PIX: CPF - CHAVE: 124.921.066-67</v>
      </c>
      <c r="I101" t="str">
        <f t="shared" si="30"/>
        <v>03/03/2026</v>
      </c>
      <c r="J101" t="str">
        <f t="shared" si="27"/>
        <v>03/03/2026</v>
      </c>
      <c r="K101" t="str">
        <f>("03/03/2026")</f>
        <v>03/03/2026</v>
      </c>
      <c r="L101">
        <v>120</v>
      </c>
      <c r="M101">
        <v>120</v>
      </c>
      <c r="N101">
        <v>134</v>
      </c>
      <c r="O101" t="str">
        <f>"DIARIA DE MOTOBOY"</f>
        <v>DIARIA DE MOTOBOY</v>
      </c>
      <c r="P101">
        <v>120</v>
      </c>
      <c r="S101" t="str">
        <f>"BANCO C6 (149)"</f>
        <v>BANCO C6 (149)</v>
      </c>
      <c r="T101">
        <v>29967</v>
      </c>
      <c r="U101">
        <v>34028</v>
      </c>
      <c r="V101" t="s">
        <v>37</v>
      </c>
    </row>
    <row r="102" spans="1:22">
      <c r="A102" t="str">
        <f t="shared" si="29"/>
        <v>03/03/2026</v>
      </c>
      <c r="B102" t="str">
        <f t="shared" si="26"/>
        <v>SAÍDA</v>
      </c>
      <c r="C102" t="str">
        <f t="shared" si="28"/>
        <v>PIX</v>
      </c>
      <c r="D102" t="str">
        <f>"34028"</f>
        <v>34028</v>
      </c>
      <c r="E102" t="str">
        <f t="shared" si="31"/>
        <v>1</v>
      </c>
      <c r="F102" t="str">
        <f t="shared" si="23"/>
        <v>COM</v>
      </c>
      <c r="G102" t="str">
        <f>"MARCIO FRANCO DE OLIVEIRA FILHO (1193)"</f>
        <v>MARCIO FRANCO DE OLIVEIRA FILHO (1193)</v>
      </c>
      <c r="H102" t="s">
        <v>64</v>
      </c>
      <c r="I102" t="str">
        <f t="shared" si="30"/>
        <v>03/03/2026</v>
      </c>
      <c r="J102" t="str">
        <f t="shared" si="27"/>
        <v>03/03/2026</v>
      </c>
      <c r="K102">
        <v>46084</v>
      </c>
      <c r="N102">
        <v>134</v>
      </c>
      <c r="O102" t="s">
        <v>30</v>
      </c>
      <c r="Q102">
        <v>9.23</v>
      </c>
      <c r="R102" t="str">
        <f>"PAGMENOS - LJ 431 (10265)"</f>
        <v>PAGMENOS - LJ 431 (10265)</v>
      </c>
      <c r="S102" t="s">
        <v>37</v>
      </c>
      <c r="T102">
        <v>29967</v>
      </c>
      <c r="U102">
        <v>34028</v>
      </c>
      <c r="V102" t="s">
        <v>37</v>
      </c>
    </row>
    <row r="103" spans="1:22">
      <c r="A103" t="str">
        <f t="shared" si="29"/>
        <v>03/03/2026</v>
      </c>
      <c r="B103" t="str">
        <f t="shared" si="26"/>
        <v>SAÍDA</v>
      </c>
      <c r="C103" t="str">
        <f t="shared" si="28"/>
        <v>PIX</v>
      </c>
      <c r="D103" t="str">
        <f>"34028"</f>
        <v>34028</v>
      </c>
      <c r="E103" t="str">
        <f t="shared" si="31"/>
        <v>1</v>
      </c>
      <c r="F103" t="str">
        <f t="shared" si="23"/>
        <v>COM</v>
      </c>
      <c r="G103" t="str">
        <f>"MARCIO FRANCO DE OLIVEIRA FILHO (1193)"</f>
        <v>MARCIO FRANCO DE OLIVEIRA FILHO (1193)</v>
      </c>
      <c r="H103" t="s">
        <v>64</v>
      </c>
      <c r="I103" t="str">
        <f t="shared" si="30"/>
        <v>03/03/2026</v>
      </c>
      <c r="J103" t="str">
        <f t="shared" si="27"/>
        <v>03/03/2026</v>
      </c>
      <c r="K103">
        <v>46084</v>
      </c>
      <c r="N103">
        <v>134</v>
      </c>
      <c r="O103" t="s">
        <v>30</v>
      </c>
      <c r="Q103">
        <v>110.77</v>
      </c>
      <c r="R103" t="str">
        <f>"PAGMENOS - LJ 768 (10266)"</f>
        <v>PAGMENOS - LJ 768 (10266)</v>
      </c>
      <c r="S103" t="s">
        <v>37</v>
      </c>
      <c r="T103">
        <v>29967</v>
      </c>
      <c r="U103">
        <v>34028</v>
      </c>
      <c r="V103" t="s">
        <v>37</v>
      </c>
    </row>
    <row r="104" spans="1:22">
      <c r="A104" t="str">
        <f t="shared" si="29"/>
        <v>03/03/2026</v>
      </c>
      <c r="B104" t="str">
        <f t="shared" si="26"/>
        <v>SAÍDA</v>
      </c>
      <c r="C104" t="str">
        <f t="shared" si="28"/>
        <v>PIX</v>
      </c>
      <c r="D104" t="str">
        <f>"34037"</f>
        <v>34037</v>
      </c>
      <c r="E104" t="str">
        <f t="shared" si="31"/>
        <v>1</v>
      </c>
      <c r="F104" t="str">
        <f t="shared" si="23"/>
        <v>COM</v>
      </c>
      <c r="G104" t="str">
        <f>"WILLIAM FERREIRA DE OLIVEIRA (900)"</f>
        <v>WILLIAM FERREIRA DE OLIVEIRA (900)</v>
      </c>
      <c r="H104" t="str">
        <f>"Serv.Prest. DIÁRIA 01/03/2026 - PIX: CPF - CHAVE: 106.393.056-10"</f>
        <v>Serv.Prest. DIÁRIA 01/03/2026 - PIX: CPF - CHAVE: 106.393.056-10</v>
      </c>
      <c r="I104" t="str">
        <f t="shared" si="30"/>
        <v>03/03/2026</v>
      </c>
      <c r="J104" t="str">
        <f t="shared" si="27"/>
        <v>03/03/2026</v>
      </c>
      <c r="K104" t="str">
        <f>("03/03/2026")</f>
        <v>03/03/2026</v>
      </c>
      <c r="L104">
        <v>138</v>
      </c>
      <c r="M104">
        <v>140</v>
      </c>
      <c r="N104">
        <v>134</v>
      </c>
      <c r="O104" t="str">
        <f>"DIARIA DE MOTOBOY"</f>
        <v>DIARIA DE MOTOBOY</v>
      </c>
      <c r="P104">
        <v>140</v>
      </c>
      <c r="S104" t="str">
        <f>"BANCO C6 (149)"</f>
        <v>BANCO C6 (149)</v>
      </c>
      <c r="T104">
        <v>29968</v>
      </c>
      <c r="U104">
        <v>34037</v>
      </c>
      <c r="V104" t="s">
        <v>37</v>
      </c>
    </row>
    <row r="105" spans="1:22">
      <c r="A105" t="str">
        <f t="shared" si="29"/>
        <v>03/03/2026</v>
      </c>
      <c r="B105" t="str">
        <f t="shared" si="26"/>
        <v>SAÍDA</v>
      </c>
      <c r="C105" t="str">
        <f t="shared" si="28"/>
        <v>PIX</v>
      </c>
      <c r="D105" t="str">
        <f>"34037"</f>
        <v>34037</v>
      </c>
      <c r="E105" t="str">
        <f t="shared" si="31"/>
        <v>1</v>
      </c>
      <c r="F105" t="str">
        <f t="shared" si="23"/>
        <v>COM</v>
      </c>
      <c r="G105" t="str">
        <f>"WILLIAM FERREIRA DE OLIVEIRA (900)"</f>
        <v>WILLIAM FERREIRA DE OLIVEIRA (900)</v>
      </c>
      <c r="H105" t="s">
        <v>65</v>
      </c>
      <c r="I105" t="str">
        <f t="shared" si="30"/>
        <v>03/03/2026</v>
      </c>
      <c r="J105" t="str">
        <f t="shared" si="27"/>
        <v>03/03/2026</v>
      </c>
      <c r="K105">
        <v>46084</v>
      </c>
      <c r="N105">
        <v>134</v>
      </c>
      <c r="O105" t="s">
        <v>30</v>
      </c>
      <c r="Q105">
        <v>140</v>
      </c>
      <c r="R105" t="str">
        <f>"PAGMENOS - LJ 657 (10136)"</f>
        <v>PAGMENOS - LJ 657 (10136)</v>
      </c>
      <c r="S105" t="s">
        <v>37</v>
      </c>
      <c r="T105">
        <v>29968</v>
      </c>
      <c r="U105">
        <v>34037</v>
      </c>
      <c r="V105" t="s">
        <v>37</v>
      </c>
    </row>
    <row r="106" spans="1:22">
      <c r="A106" t="str">
        <f t="shared" si="29"/>
        <v>03/03/2026</v>
      </c>
      <c r="B106" t="str">
        <f t="shared" si="26"/>
        <v>SAÍDA</v>
      </c>
      <c r="C106" t="str">
        <f t="shared" si="28"/>
        <v>PIX</v>
      </c>
      <c r="D106" t="str">
        <f>"33966"</f>
        <v>33966</v>
      </c>
      <c r="E106" t="str">
        <f t="shared" si="31"/>
        <v>1</v>
      </c>
      <c r="F106" t="str">
        <f t="shared" si="23"/>
        <v>COM</v>
      </c>
      <c r="G106" t="str">
        <f>"VICTOR HUGO SOARES DE PAULA (1021)"</f>
        <v>VICTOR HUGO SOARES DE PAULA (1021)</v>
      </c>
      <c r="H106" t="str">
        <f>"Serv.Prest. DIÁRIA 01/03/2026 - PIX: CELULAR - CHAVE: (11) 98281-4526"</f>
        <v>Serv.Prest. DIÁRIA 01/03/2026 - PIX: CELULAR - CHAVE: (11) 98281-4526</v>
      </c>
      <c r="I106" t="str">
        <f t="shared" si="30"/>
        <v>03/03/2026</v>
      </c>
      <c r="J106" t="str">
        <f t="shared" si="27"/>
        <v>03/03/2026</v>
      </c>
      <c r="K106" t="str">
        <f>("03/03/2026")</f>
        <v>03/03/2026</v>
      </c>
      <c r="L106">
        <v>250</v>
      </c>
      <c r="M106">
        <v>250</v>
      </c>
      <c r="N106">
        <v>134</v>
      </c>
      <c r="O106" t="str">
        <f>"DIARIA DE MOTOBOY"</f>
        <v>DIARIA DE MOTOBOY</v>
      </c>
      <c r="P106">
        <v>250</v>
      </c>
      <c r="S106" t="str">
        <f>"BANCO C6 (149)"</f>
        <v>BANCO C6 (149)</v>
      </c>
      <c r="T106">
        <v>29969</v>
      </c>
      <c r="U106">
        <v>34040</v>
      </c>
      <c r="V106" t="s">
        <v>37</v>
      </c>
    </row>
    <row r="107" spans="1:22">
      <c r="A107" t="str">
        <f t="shared" si="29"/>
        <v>03/03/2026</v>
      </c>
      <c r="B107" t="str">
        <f t="shared" si="26"/>
        <v>SAÍDA</v>
      </c>
      <c r="C107" t="str">
        <f t="shared" si="28"/>
        <v>PIX</v>
      </c>
      <c r="D107" t="str">
        <f>"33966"</f>
        <v>33966</v>
      </c>
      <c r="E107" t="str">
        <f t="shared" si="31"/>
        <v>1</v>
      </c>
      <c r="F107" t="str">
        <f t="shared" si="23"/>
        <v>COM</v>
      </c>
      <c r="G107" t="str">
        <f>"VICTOR HUGO SOARES DE PAULA (1021)"</f>
        <v>VICTOR HUGO SOARES DE PAULA (1021)</v>
      </c>
      <c r="H107" t="s">
        <v>66</v>
      </c>
      <c r="I107" t="str">
        <f t="shared" si="30"/>
        <v>03/03/2026</v>
      </c>
      <c r="J107" t="str">
        <f t="shared" si="27"/>
        <v>03/03/2026</v>
      </c>
      <c r="K107">
        <v>46084</v>
      </c>
      <c r="N107">
        <v>134</v>
      </c>
      <c r="O107" t="s">
        <v>30</v>
      </c>
      <c r="Q107">
        <v>125</v>
      </c>
      <c r="R107" t="str">
        <f>"PENSE FARMA 44 (10231)"</f>
        <v>PENSE FARMA 44 (10231)</v>
      </c>
      <c r="S107" t="s">
        <v>37</v>
      </c>
      <c r="T107">
        <v>29969</v>
      </c>
      <c r="U107">
        <v>34040</v>
      </c>
      <c r="V107" t="s">
        <v>37</v>
      </c>
    </row>
    <row r="108" spans="1:22">
      <c r="A108" t="str">
        <f t="shared" si="29"/>
        <v>03/03/2026</v>
      </c>
      <c r="B108" t="str">
        <f t="shared" si="26"/>
        <v>SAÍDA</v>
      </c>
      <c r="C108" t="str">
        <f t="shared" si="28"/>
        <v>PIX</v>
      </c>
      <c r="D108" t="str">
        <f>"33966"</f>
        <v>33966</v>
      </c>
      <c r="E108" t="str">
        <f t="shared" si="31"/>
        <v>1</v>
      </c>
      <c r="F108" t="str">
        <f t="shared" si="23"/>
        <v>COM</v>
      </c>
      <c r="G108" t="str">
        <f>"VICTOR HUGO SOARES DE PAULA (1021)"</f>
        <v>VICTOR HUGO SOARES DE PAULA (1021)</v>
      </c>
      <c r="H108" t="s">
        <v>66</v>
      </c>
      <c r="I108" t="str">
        <f t="shared" si="30"/>
        <v>03/03/2026</v>
      </c>
      <c r="J108" t="str">
        <f t="shared" si="27"/>
        <v>03/03/2026</v>
      </c>
      <c r="K108">
        <v>46084</v>
      </c>
      <c r="N108">
        <v>134</v>
      </c>
      <c r="O108" t="s">
        <v>30</v>
      </c>
      <c r="Q108">
        <v>125</v>
      </c>
      <c r="R108" t="str">
        <f>"PENSE FARMA 48 (10233)"</f>
        <v>PENSE FARMA 48 (10233)</v>
      </c>
      <c r="S108" t="s">
        <v>37</v>
      </c>
      <c r="T108">
        <v>29969</v>
      </c>
      <c r="U108">
        <v>34040</v>
      </c>
      <c r="V108" t="s">
        <v>37</v>
      </c>
    </row>
    <row r="109" spans="1:22">
      <c r="A109" t="str">
        <f t="shared" si="29"/>
        <v>03/03/2026</v>
      </c>
      <c r="B109" t="str">
        <f t="shared" si="26"/>
        <v>SAÍDA</v>
      </c>
      <c r="C109" t="str">
        <f t="shared" si="28"/>
        <v>PIX</v>
      </c>
      <c r="D109" t="str">
        <f>"34005"</f>
        <v>34005</v>
      </c>
      <c r="E109" t="str">
        <f t="shared" si="31"/>
        <v>1</v>
      </c>
      <c r="F109" t="str">
        <f t="shared" si="23"/>
        <v>COM</v>
      </c>
      <c r="G109" t="str">
        <f>"MARCOS DUARTE CARVALHO (998)"</f>
        <v>MARCOS DUARTE CARVALHO (998)</v>
      </c>
      <c r="H109" t="str">
        <f>"Serv.Prest. DIÁRIA 01/03/2026 - PIX: CPF - CHAVE: 396.877.618-65"</f>
        <v>Serv.Prest. DIÁRIA 01/03/2026 - PIX: CPF - CHAVE: 396.877.618-65</v>
      </c>
      <c r="I109" t="str">
        <f t="shared" si="30"/>
        <v>03/03/2026</v>
      </c>
      <c r="J109" t="str">
        <f t="shared" si="27"/>
        <v>03/03/2026</v>
      </c>
      <c r="K109" t="str">
        <f>("03/03/2026")</f>
        <v>03/03/2026</v>
      </c>
      <c r="L109">
        <v>250</v>
      </c>
      <c r="M109">
        <v>250</v>
      </c>
      <c r="N109">
        <v>134</v>
      </c>
      <c r="O109" t="str">
        <f>"DIARIA DE MOTOBOY"</f>
        <v>DIARIA DE MOTOBOY</v>
      </c>
      <c r="P109">
        <v>250</v>
      </c>
      <c r="S109" t="str">
        <f>"BANCO C6 (149)"</f>
        <v>BANCO C6 (149)</v>
      </c>
      <c r="T109">
        <v>29970</v>
      </c>
      <c r="U109">
        <v>34041</v>
      </c>
      <c r="V109" t="s">
        <v>37</v>
      </c>
    </row>
    <row r="110" spans="1:22">
      <c r="A110" t="str">
        <f t="shared" si="29"/>
        <v>03/03/2026</v>
      </c>
      <c r="B110" t="str">
        <f t="shared" si="26"/>
        <v>SAÍDA</v>
      </c>
      <c r="C110" t="str">
        <f t="shared" si="28"/>
        <v>PIX</v>
      </c>
      <c r="D110" t="str">
        <f>"34005"</f>
        <v>34005</v>
      </c>
      <c r="E110" t="str">
        <f t="shared" si="31"/>
        <v>1</v>
      </c>
      <c r="F110" t="str">
        <f t="shared" si="23"/>
        <v>COM</v>
      </c>
      <c r="G110" t="str">
        <f>"MARCOS DUARTE CARVALHO (998)"</f>
        <v>MARCOS DUARTE CARVALHO (998)</v>
      </c>
      <c r="H110" t="s">
        <v>67</v>
      </c>
      <c r="I110" t="str">
        <f t="shared" si="30"/>
        <v>03/03/2026</v>
      </c>
      <c r="J110" t="str">
        <f t="shared" si="27"/>
        <v>03/03/2026</v>
      </c>
      <c r="K110">
        <v>46084</v>
      </c>
      <c r="N110">
        <v>134</v>
      </c>
      <c r="O110" t="s">
        <v>30</v>
      </c>
      <c r="Q110">
        <v>125</v>
      </c>
      <c r="R110" t="str">
        <f>"PENSE FARMA 09 (10218)"</f>
        <v>PENSE FARMA 09 (10218)</v>
      </c>
      <c r="S110" t="s">
        <v>37</v>
      </c>
      <c r="T110">
        <v>29970</v>
      </c>
      <c r="U110">
        <v>34041</v>
      </c>
      <c r="V110" t="s">
        <v>37</v>
      </c>
    </row>
    <row r="111" spans="1:22">
      <c r="A111" t="str">
        <f t="shared" si="29"/>
        <v>03/03/2026</v>
      </c>
      <c r="B111" t="str">
        <f t="shared" si="26"/>
        <v>SAÍDA</v>
      </c>
      <c r="C111" t="str">
        <f t="shared" si="28"/>
        <v>PIX</v>
      </c>
      <c r="D111" t="str">
        <f>"34005"</f>
        <v>34005</v>
      </c>
      <c r="E111" t="str">
        <f t="shared" si="31"/>
        <v>1</v>
      </c>
      <c r="F111" t="str">
        <f t="shared" si="23"/>
        <v>COM</v>
      </c>
      <c r="G111" t="str">
        <f>"MARCOS DUARTE CARVALHO (998)"</f>
        <v>MARCOS DUARTE CARVALHO (998)</v>
      </c>
      <c r="H111" t="s">
        <v>67</v>
      </c>
      <c r="I111" t="str">
        <f t="shared" si="30"/>
        <v>03/03/2026</v>
      </c>
      <c r="J111" t="str">
        <f t="shared" si="27"/>
        <v>03/03/2026</v>
      </c>
      <c r="K111">
        <v>46084</v>
      </c>
      <c r="N111">
        <v>134</v>
      </c>
      <c r="O111" t="s">
        <v>30</v>
      </c>
      <c r="Q111">
        <v>125</v>
      </c>
      <c r="R111" t="str">
        <f>"PENSE FARMA 10 (10219)"</f>
        <v>PENSE FARMA 10 (10219)</v>
      </c>
      <c r="S111" t="s">
        <v>37</v>
      </c>
      <c r="T111">
        <v>29970</v>
      </c>
      <c r="U111">
        <v>34041</v>
      </c>
      <c r="V111" t="s">
        <v>37</v>
      </c>
    </row>
    <row r="112" spans="1:22">
      <c r="A112" t="str">
        <f t="shared" si="29"/>
        <v>03/03/2026</v>
      </c>
      <c r="B112" t="str">
        <f t="shared" si="26"/>
        <v>SAÍDA</v>
      </c>
      <c r="C112" t="str">
        <f t="shared" si="28"/>
        <v>PIX</v>
      </c>
      <c r="D112" t="str">
        <f>"34011"</f>
        <v>34011</v>
      </c>
      <c r="E112" t="str">
        <f t="shared" si="31"/>
        <v>1</v>
      </c>
      <c r="F112" t="str">
        <f t="shared" si="23"/>
        <v>COM</v>
      </c>
      <c r="G112" t="str">
        <f>"PEDRO HENRIQUE ALVES DA SILVA (1133)"</f>
        <v>PEDRO HENRIQUE ALVES DA SILVA (1133)</v>
      </c>
      <c r="H112" t="str">
        <f>"Serv.Prest. DIÁRIA 01/03/2026 - PIX: CELULAR - CHAVE: (11) 98776-2232"</f>
        <v>Serv.Prest. DIÁRIA 01/03/2026 - PIX: CELULAR - CHAVE: (11) 98776-2232</v>
      </c>
      <c r="I112" t="str">
        <f t="shared" si="30"/>
        <v>03/03/2026</v>
      </c>
      <c r="J112" t="str">
        <f t="shared" si="27"/>
        <v>03/03/2026</v>
      </c>
      <c r="K112" t="str">
        <f>("03/03/2026")</f>
        <v>03/03/2026</v>
      </c>
      <c r="L112">
        <v>1050</v>
      </c>
      <c r="M112">
        <v>1050</v>
      </c>
      <c r="N112">
        <v>134</v>
      </c>
      <c r="O112" t="str">
        <f>"DIARIA DE MOTOBOY"</f>
        <v>DIARIA DE MOTOBOY</v>
      </c>
      <c r="P112">
        <v>1050</v>
      </c>
      <c r="S112" t="str">
        <f>"BANCO C6 (149)"</f>
        <v>BANCO C6 (149)</v>
      </c>
      <c r="T112">
        <v>29971</v>
      </c>
      <c r="U112">
        <v>34043</v>
      </c>
      <c r="V112" t="s">
        <v>37</v>
      </c>
    </row>
    <row r="113" spans="1:22">
      <c r="A113" t="str">
        <f t="shared" si="29"/>
        <v>03/03/2026</v>
      </c>
      <c r="B113" t="str">
        <f t="shared" si="26"/>
        <v>SAÍDA</v>
      </c>
      <c r="C113" t="str">
        <f t="shared" si="28"/>
        <v>PIX</v>
      </c>
      <c r="D113" t="str">
        <f>"34011"</f>
        <v>34011</v>
      </c>
      <c r="E113" t="str">
        <f t="shared" si="31"/>
        <v>1</v>
      </c>
      <c r="F113" t="str">
        <f t="shared" si="23"/>
        <v>COM</v>
      </c>
      <c r="G113" t="str">
        <f>"PEDRO HENRIQUE ALVES DA SILVA (1133)"</f>
        <v>PEDRO HENRIQUE ALVES DA SILVA (1133)</v>
      </c>
      <c r="H113" t="s">
        <v>68</v>
      </c>
      <c r="I113" t="str">
        <f t="shared" si="30"/>
        <v>03/03/2026</v>
      </c>
      <c r="J113" t="str">
        <f t="shared" si="27"/>
        <v>03/03/2026</v>
      </c>
      <c r="K113">
        <v>46084</v>
      </c>
      <c r="N113">
        <v>134</v>
      </c>
      <c r="O113" t="s">
        <v>30</v>
      </c>
      <c r="Q113">
        <v>1050</v>
      </c>
      <c r="R113" t="str">
        <f>"PENSE FARMA 22 (10198)"</f>
        <v>PENSE FARMA 22 (10198)</v>
      </c>
      <c r="S113" t="s">
        <v>37</v>
      </c>
      <c r="T113">
        <v>29971</v>
      </c>
      <c r="U113">
        <v>34043</v>
      </c>
      <c r="V113" t="s">
        <v>37</v>
      </c>
    </row>
    <row r="114" spans="1:22">
      <c r="A114" t="str">
        <f t="shared" si="29"/>
        <v>03/03/2026</v>
      </c>
      <c r="B114" t="str">
        <f t="shared" si="26"/>
        <v>SAÍDA</v>
      </c>
      <c r="C114" t="str">
        <f t="shared" si="28"/>
        <v>PIX</v>
      </c>
      <c r="D114" t="str">
        <f t="shared" ref="D114:D124" si="32">"34020"</f>
        <v>34020</v>
      </c>
      <c r="E114" t="str">
        <f t="shared" si="31"/>
        <v>1</v>
      </c>
      <c r="F114" t="str">
        <f t="shared" si="23"/>
        <v>COM</v>
      </c>
      <c r="G114" t="str">
        <f t="shared" ref="G114:G124" si="33">"EURIPEDES BARSANULFO DE ANDRADE  (25)"</f>
        <v>EURIPEDES BARSANULFO DE ANDRADE  (25)</v>
      </c>
      <c r="H114" t="str">
        <f>"Serv.Prest. 22/02/2026 E 01/03/2026 DIÁRIA - PIX: CPF - CHAVE: 866.153.356-20"</f>
        <v>Serv.Prest. 22/02/2026 E 01/03/2026 DIÁRIA - PIX: CPF - CHAVE: 866.153.356-20</v>
      </c>
      <c r="I114" t="str">
        <f t="shared" si="30"/>
        <v>03/03/2026</v>
      </c>
      <c r="J114" t="str">
        <f t="shared" si="27"/>
        <v>03/03/2026</v>
      </c>
      <c r="K114" t="str">
        <f>("03/03/2026")</f>
        <v>03/03/2026</v>
      </c>
      <c r="L114">
        <v>400</v>
      </c>
      <c r="M114">
        <v>400</v>
      </c>
      <c r="N114">
        <v>134</v>
      </c>
      <c r="O114" t="str">
        <f>"DIARIA DE MOTOBOY"</f>
        <v>DIARIA DE MOTOBOY</v>
      </c>
      <c r="P114">
        <v>400</v>
      </c>
      <c r="S114" t="str">
        <f>"BANCO C6 (149)"</f>
        <v>BANCO C6 (149)</v>
      </c>
      <c r="T114">
        <v>29972</v>
      </c>
      <c r="U114">
        <v>34044</v>
      </c>
      <c r="V114" t="s">
        <v>37</v>
      </c>
    </row>
    <row r="115" spans="1:22">
      <c r="A115" t="str">
        <f t="shared" si="29"/>
        <v>03/03/2026</v>
      </c>
      <c r="B115" t="str">
        <f t="shared" si="26"/>
        <v>SAÍDA</v>
      </c>
      <c r="C115" t="str">
        <f t="shared" si="28"/>
        <v>PIX</v>
      </c>
      <c r="D115" t="str">
        <f t="shared" si="32"/>
        <v>34020</v>
      </c>
      <c r="E115" t="str">
        <f t="shared" si="31"/>
        <v>1</v>
      </c>
      <c r="F115" t="str">
        <f t="shared" si="23"/>
        <v>COM</v>
      </c>
      <c r="G115" t="str">
        <f t="shared" si="33"/>
        <v>EURIPEDES BARSANULFO DE ANDRADE  (25)</v>
      </c>
      <c r="H115" t="s">
        <v>69</v>
      </c>
      <c r="I115" t="str">
        <f t="shared" si="30"/>
        <v>03/03/2026</v>
      </c>
      <c r="J115" t="str">
        <f t="shared" si="27"/>
        <v>03/03/2026</v>
      </c>
      <c r="K115">
        <v>46084</v>
      </c>
      <c r="N115">
        <v>134</v>
      </c>
      <c r="O115" t="s">
        <v>30</v>
      </c>
      <c r="Q115">
        <v>4.08</v>
      </c>
      <c r="R115" t="str">
        <f>"PAGUE MENOS 311 (10299)"</f>
        <v>PAGUE MENOS 311 (10299)</v>
      </c>
      <c r="S115" t="s">
        <v>37</v>
      </c>
      <c r="T115">
        <v>29972</v>
      </c>
      <c r="U115">
        <v>34044</v>
      </c>
      <c r="V115" t="s">
        <v>37</v>
      </c>
    </row>
    <row r="116" spans="1:22">
      <c r="A116" t="str">
        <f t="shared" si="29"/>
        <v>03/03/2026</v>
      </c>
      <c r="B116" t="str">
        <f t="shared" si="26"/>
        <v>SAÍDA</v>
      </c>
      <c r="C116" t="str">
        <f t="shared" si="28"/>
        <v>PIX</v>
      </c>
      <c r="D116" t="str">
        <f t="shared" si="32"/>
        <v>34020</v>
      </c>
      <c r="E116" t="str">
        <f t="shared" si="31"/>
        <v>1</v>
      </c>
      <c r="F116" t="str">
        <f t="shared" si="23"/>
        <v>COM</v>
      </c>
      <c r="G116" t="str">
        <f t="shared" si="33"/>
        <v>EURIPEDES BARSANULFO DE ANDRADE  (25)</v>
      </c>
      <c r="H116" t="s">
        <v>69</v>
      </c>
      <c r="I116" t="str">
        <f t="shared" si="30"/>
        <v>03/03/2026</v>
      </c>
      <c r="J116" t="str">
        <f t="shared" si="27"/>
        <v>03/03/2026</v>
      </c>
      <c r="K116">
        <v>46084</v>
      </c>
      <c r="N116">
        <v>134</v>
      </c>
      <c r="O116" t="s">
        <v>30</v>
      </c>
      <c r="Q116">
        <v>110.2</v>
      </c>
      <c r="R116" t="str">
        <f>"PAGUE MENOS 377 (10300)"</f>
        <v>PAGUE MENOS 377 (10300)</v>
      </c>
      <c r="S116" t="s">
        <v>37</v>
      </c>
      <c r="T116">
        <v>29972</v>
      </c>
      <c r="U116">
        <v>34044</v>
      </c>
      <c r="V116" t="s">
        <v>37</v>
      </c>
    </row>
    <row r="117" spans="1:22">
      <c r="A117" t="str">
        <f t="shared" si="29"/>
        <v>03/03/2026</v>
      </c>
      <c r="B117" t="str">
        <f t="shared" si="26"/>
        <v>SAÍDA</v>
      </c>
      <c r="C117" t="str">
        <f t="shared" si="28"/>
        <v>PIX</v>
      </c>
      <c r="D117" t="str">
        <f t="shared" si="32"/>
        <v>34020</v>
      </c>
      <c r="E117" t="str">
        <f t="shared" si="31"/>
        <v>1</v>
      </c>
      <c r="F117" t="str">
        <f t="shared" si="23"/>
        <v>COM</v>
      </c>
      <c r="G117" t="str">
        <f t="shared" si="33"/>
        <v>EURIPEDES BARSANULFO DE ANDRADE  (25)</v>
      </c>
      <c r="H117" t="s">
        <v>69</v>
      </c>
      <c r="I117" t="str">
        <f t="shared" si="30"/>
        <v>03/03/2026</v>
      </c>
      <c r="J117" t="str">
        <f t="shared" si="27"/>
        <v>03/03/2026</v>
      </c>
      <c r="K117">
        <v>46084</v>
      </c>
      <c r="N117">
        <v>134</v>
      </c>
      <c r="O117" t="s">
        <v>30</v>
      </c>
      <c r="Q117">
        <v>24.48</v>
      </c>
      <c r="R117" t="str">
        <f>"PAGUE MENOS 548 (10303)"</f>
        <v>PAGUE MENOS 548 (10303)</v>
      </c>
      <c r="S117" t="s">
        <v>37</v>
      </c>
      <c r="T117">
        <v>29972</v>
      </c>
      <c r="U117">
        <v>34044</v>
      </c>
      <c r="V117" t="s">
        <v>37</v>
      </c>
    </row>
    <row r="118" spans="1:22">
      <c r="A118" t="str">
        <f t="shared" si="29"/>
        <v>03/03/2026</v>
      </c>
      <c r="B118" t="str">
        <f t="shared" ref="B118:B149" si="34">"SAÍDA"</f>
        <v>SAÍDA</v>
      </c>
      <c r="C118" t="str">
        <f t="shared" si="28"/>
        <v>PIX</v>
      </c>
      <c r="D118" t="str">
        <f t="shared" si="32"/>
        <v>34020</v>
      </c>
      <c r="E118" t="str">
        <f t="shared" si="31"/>
        <v>1</v>
      </c>
      <c r="F118" t="str">
        <f t="shared" si="23"/>
        <v>COM</v>
      </c>
      <c r="G118" t="str">
        <f t="shared" si="33"/>
        <v>EURIPEDES BARSANULFO DE ANDRADE  (25)</v>
      </c>
      <c r="H118" t="s">
        <v>69</v>
      </c>
      <c r="I118" t="str">
        <f t="shared" si="30"/>
        <v>03/03/2026</v>
      </c>
      <c r="J118" t="str">
        <f t="shared" si="27"/>
        <v>03/03/2026</v>
      </c>
      <c r="K118">
        <v>46084</v>
      </c>
      <c r="N118">
        <v>134</v>
      </c>
      <c r="O118" t="s">
        <v>30</v>
      </c>
      <c r="Q118">
        <v>4.08</v>
      </c>
      <c r="R118" t="str">
        <f>"PAGUE MENOS 751 (10304)"</f>
        <v>PAGUE MENOS 751 (10304)</v>
      </c>
      <c r="S118" t="s">
        <v>37</v>
      </c>
      <c r="T118">
        <v>29972</v>
      </c>
      <c r="U118">
        <v>34044</v>
      </c>
      <c r="V118" t="s">
        <v>37</v>
      </c>
    </row>
    <row r="119" spans="1:22">
      <c r="A119" t="str">
        <f t="shared" si="29"/>
        <v>03/03/2026</v>
      </c>
      <c r="B119" t="str">
        <f t="shared" si="34"/>
        <v>SAÍDA</v>
      </c>
      <c r="C119" t="str">
        <f t="shared" si="28"/>
        <v>PIX</v>
      </c>
      <c r="D119" t="str">
        <f t="shared" si="32"/>
        <v>34020</v>
      </c>
      <c r="E119" t="str">
        <f t="shared" si="31"/>
        <v>1</v>
      </c>
      <c r="F119" t="str">
        <f t="shared" si="23"/>
        <v>COM</v>
      </c>
      <c r="G119" t="str">
        <f t="shared" si="33"/>
        <v>EURIPEDES BARSANULFO DE ANDRADE  (25)</v>
      </c>
      <c r="H119" t="s">
        <v>69</v>
      </c>
      <c r="I119" t="str">
        <f t="shared" si="30"/>
        <v>03/03/2026</v>
      </c>
      <c r="J119" t="str">
        <f t="shared" ref="J119:J124" si="35">("03/03/2026")</f>
        <v>03/03/2026</v>
      </c>
      <c r="K119">
        <v>46084</v>
      </c>
      <c r="N119">
        <v>134</v>
      </c>
      <c r="O119" t="s">
        <v>30</v>
      </c>
      <c r="Q119">
        <v>12.24</v>
      </c>
      <c r="R119" t="str">
        <f>"PAGUE MENOS 879 (10305)"</f>
        <v>PAGUE MENOS 879 (10305)</v>
      </c>
      <c r="S119" t="s">
        <v>37</v>
      </c>
      <c r="T119">
        <v>29972</v>
      </c>
      <c r="U119">
        <v>34044</v>
      </c>
      <c r="V119" t="s">
        <v>37</v>
      </c>
    </row>
    <row r="120" spans="1:22">
      <c r="A120" t="str">
        <f t="shared" si="29"/>
        <v>03/03/2026</v>
      </c>
      <c r="B120" t="str">
        <f t="shared" si="34"/>
        <v>SAÍDA</v>
      </c>
      <c r="C120" t="str">
        <f t="shared" ref="C120:C141" si="36">"PIX"</f>
        <v>PIX</v>
      </c>
      <c r="D120" t="str">
        <f t="shared" si="32"/>
        <v>34020</v>
      </c>
      <c r="E120" t="str">
        <f t="shared" si="31"/>
        <v>1</v>
      </c>
      <c r="F120" t="str">
        <f t="shared" si="23"/>
        <v>COM</v>
      </c>
      <c r="G120" t="str">
        <f t="shared" si="33"/>
        <v>EURIPEDES BARSANULFO DE ANDRADE  (25)</v>
      </c>
      <c r="H120" t="s">
        <v>69</v>
      </c>
      <c r="I120" t="str">
        <f t="shared" si="30"/>
        <v>03/03/2026</v>
      </c>
      <c r="J120" t="str">
        <f t="shared" si="35"/>
        <v>03/03/2026</v>
      </c>
      <c r="K120">
        <v>46084</v>
      </c>
      <c r="N120">
        <v>134</v>
      </c>
      <c r="O120" t="s">
        <v>30</v>
      </c>
      <c r="Q120">
        <v>146.91999999999999</v>
      </c>
      <c r="R120" t="str">
        <f>"PAGUE MENOS 1155 (10307)"</f>
        <v>PAGUE MENOS 1155 (10307)</v>
      </c>
      <c r="S120" t="s">
        <v>37</v>
      </c>
      <c r="T120">
        <v>29972</v>
      </c>
      <c r="U120">
        <v>34044</v>
      </c>
      <c r="V120" t="s">
        <v>37</v>
      </c>
    </row>
    <row r="121" spans="1:22">
      <c r="A121" t="str">
        <f t="shared" ref="A121:A152" si="37">("03/03/2026")</f>
        <v>03/03/2026</v>
      </c>
      <c r="B121" t="str">
        <f t="shared" si="34"/>
        <v>SAÍDA</v>
      </c>
      <c r="C121" t="str">
        <f t="shared" si="36"/>
        <v>PIX</v>
      </c>
      <c r="D121" t="str">
        <f t="shared" si="32"/>
        <v>34020</v>
      </c>
      <c r="E121" t="str">
        <f t="shared" si="31"/>
        <v>1</v>
      </c>
      <c r="F121" t="str">
        <f t="shared" si="23"/>
        <v>COM</v>
      </c>
      <c r="G121" t="str">
        <f t="shared" si="33"/>
        <v>EURIPEDES BARSANULFO DE ANDRADE  (25)</v>
      </c>
      <c r="H121" t="s">
        <v>69</v>
      </c>
      <c r="I121" t="str">
        <f t="shared" si="30"/>
        <v>03/03/2026</v>
      </c>
      <c r="J121" t="str">
        <f t="shared" si="35"/>
        <v>03/03/2026</v>
      </c>
      <c r="K121">
        <v>46084</v>
      </c>
      <c r="N121">
        <v>134</v>
      </c>
      <c r="O121" t="s">
        <v>30</v>
      </c>
      <c r="Q121">
        <v>81.64</v>
      </c>
      <c r="R121" t="str">
        <f>"PAGUE MENOS 1156 (10308)"</f>
        <v>PAGUE MENOS 1156 (10308)</v>
      </c>
      <c r="S121" t="s">
        <v>37</v>
      </c>
      <c r="T121">
        <v>29972</v>
      </c>
      <c r="U121">
        <v>34044</v>
      </c>
      <c r="V121" t="s">
        <v>37</v>
      </c>
    </row>
    <row r="122" spans="1:22">
      <c r="A122" t="str">
        <f t="shared" si="37"/>
        <v>03/03/2026</v>
      </c>
      <c r="B122" t="str">
        <f t="shared" si="34"/>
        <v>SAÍDA</v>
      </c>
      <c r="C122" t="str">
        <f t="shared" si="36"/>
        <v>PIX</v>
      </c>
      <c r="D122" t="str">
        <f t="shared" si="32"/>
        <v>34020</v>
      </c>
      <c r="E122" t="str">
        <f t="shared" si="31"/>
        <v>1</v>
      </c>
      <c r="F122" t="str">
        <f t="shared" si="23"/>
        <v>COM</v>
      </c>
      <c r="G122" t="str">
        <f t="shared" si="33"/>
        <v>EURIPEDES BARSANULFO DE ANDRADE  (25)</v>
      </c>
      <c r="H122" t="s">
        <v>69</v>
      </c>
      <c r="I122" t="str">
        <f t="shared" si="30"/>
        <v>03/03/2026</v>
      </c>
      <c r="J122" t="str">
        <f t="shared" si="35"/>
        <v>03/03/2026</v>
      </c>
      <c r="K122">
        <v>46084</v>
      </c>
      <c r="N122">
        <v>134</v>
      </c>
      <c r="O122" t="s">
        <v>30</v>
      </c>
      <c r="Q122">
        <v>8.16</v>
      </c>
      <c r="R122" t="str">
        <f>"PAGUE MENOS 1194 (10309)"</f>
        <v>PAGUE MENOS 1194 (10309)</v>
      </c>
      <c r="S122" t="s">
        <v>37</v>
      </c>
      <c r="T122">
        <v>29972</v>
      </c>
      <c r="U122">
        <v>34044</v>
      </c>
      <c r="V122" t="s">
        <v>37</v>
      </c>
    </row>
    <row r="123" spans="1:22">
      <c r="A123" t="str">
        <f t="shared" si="37"/>
        <v>03/03/2026</v>
      </c>
      <c r="B123" t="str">
        <f t="shared" si="34"/>
        <v>SAÍDA</v>
      </c>
      <c r="C123" t="str">
        <f t="shared" si="36"/>
        <v>PIX</v>
      </c>
      <c r="D123" t="str">
        <f t="shared" si="32"/>
        <v>34020</v>
      </c>
      <c r="E123" t="str">
        <f t="shared" si="31"/>
        <v>1</v>
      </c>
      <c r="F123" t="str">
        <f t="shared" si="23"/>
        <v>COM</v>
      </c>
      <c r="G123" t="str">
        <f t="shared" si="33"/>
        <v>EURIPEDES BARSANULFO DE ANDRADE  (25)</v>
      </c>
      <c r="H123" t="s">
        <v>69</v>
      </c>
      <c r="I123" t="str">
        <f t="shared" ref="I123:I154" si="38">("03/03/2026")</f>
        <v>03/03/2026</v>
      </c>
      <c r="J123" t="str">
        <f t="shared" si="35"/>
        <v>03/03/2026</v>
      </c>
      <c r="K123">
        <v>46084</v>
      </c>
      <c r="N123">
        <v>134</v>
      </c>
      <c r="O123" t="s">
        <v>30</v>
      </c>
      <c r="Q123">
        <v>4.08</v>
      </c>
      <c r="R123" t="str">
        <f>"PAGUE MENOS 1195 (10310)"</f>
        <v>PAGUE MENOS 1195 (10310)</v>
      </c>
      <c r="S123" t="s">
        <v>37</v>
      </c>
      <c r="T123">
        <v>29972</v>
      </c>
      <c r="U123">
        <v>34044</v>
      </c>
      <c r="V123" t="s">
        <v>37</v>
      </c>
    </row>
    <row r="124" spans="1:22">
      <c r="A124" t="str">
        <f t="shared" si="37"/>
        <v>03/03/2026</v>
      </c>
      <c r="B124" t="str">
        <f t="shared" si="34"/>
        <v>SAÍDA</v>
      </c>
      <c r="C124" t="str">
        <f t="shared" si="36"/>
        <v>PIX</v>
      </c>
      <c r="D124" t="str">
        <f t="shared" si="32"/>
        <v>34020</v>
      </c>
      <c r="E124" t="str">
        <f t="shared" si="31"/>
        <v>1</v>
      </c>
      <c r="F124" t="str">
        <f t="shared" si="23"/>
        <v>COM</v>
      </c>
      <c r="G124" t="str">
        <f t="shared" si="33"/>
        <v>EURIPEDES BARSANULFO DE ANDRADE  (25)</v>
      </c>
      <c r="H124" t="s">
        <v>69</v>
      </c>
      <c r="I124" t="str">
        <f t="shared" si="38"/>
        <v>03/03/2026</v>
      </c>
      <c r="J124" t="str">
        <f t="shared" si="35"/>
        <v>03/03/2026</v>
      </c>
      <c r="K124">
        <v>46084</v>
      </c>
      <c r="N124">
        <v>134</v>
      </c>
      <c r="O124" t="s">
        <v>30</v>
      </c>
      <c r="Q124">
        <v>4.12</v>
      </c>
      <c r="R124" t="str">
        <f>"PAGUE MENOS 1327 (10312)"</f>
        <v>PAGUE MENOS 1327 (10312)</v>
      </c>
      <c r="S124" t="s">
        <v>37</v>
      </c>
      <c r="T124">
        <v>29972</v>
      </c>
      <c r="U124">
        <v>34044</v>
      </c>
      <c r="V124" t="s">
        <v>37</v>
      </c>
    </row>
    <row r="125" spans="1:22">
      <c r="A125" t="str">
        <f t="shared" si="37"/>
        <v>03/03/2026</v>
      </c>
      <c r="B125" t="str">
        <f t="shared" si="34"/>
        <v>SAÍDA</v>
      </c>
      <c r="C125" t="str">
        <f t="shared" si="36"/>
        <v>PIX</v>
      </c>
      <c r="D125" t="str">
        <f>"33944"</f>
        <v>33944</v>
      </c>
      <c r="E125" t="str">
        <f t="shared" si="31"/>
        <v>1</v>
      </c>
      <c r="F125" t="str">
        <f t="shared" si="23"/>
        <v>COM</v>
      </c>
      <c r="G125" t="str">
        <f>"SAMUEL SOARES DA SILVA (867)"</f>
        <v>SAMUEL SOARES DA SILVA (867)</v>
      </c>
      <c r="H125" t="str">
        <f>"Serv.Prest. ADIANTAMENTO 23/02/2026 a 01/03/2026 - PIX: CPF - CHAVE: 396.124.108-28"</f>
        <v>Serv.Prest. ADIANTAMENTO 23/02/2026 a 01/03/2026 - PIX: CPF - CHAVE: 396.124.108-28</v>
      </c>
      <c r="I125" t="str">
        <f t="shared" si="38"/>
        <v>03/03/2026</v>
      </c>
      <c r="J125" t="str">
        <f>("02/03/2026")</f>
        <v>02/03/2026</v>
      </c>
      <c r="K125" t="str">
        <f>("03/03/2026")</f>
        <v>03/03/2026</v>
      </c>
      <c r="L125">
        <v>150</v>
      </c>
      <c r="M125">
        <v>150</v>
      </c>
      <c r="N125">
        <v>109</v>
      </c>
      <c r="O125" t="str">
        <f>"PAGAMENTO DE ENTREGADORES"</f>
        <v>PAGAMENTO DE ENTREGADORES</v>
      </c>
      <c r="P125">
        <v>150</v>
      </c>
      <c r="S125" t="str">
        <f>"BANCO C6 (149)"</f>
        <v>BANCO C6 (149)</v>
      </c>
      <c r="T125">
        <v>29973</v>
      </c>
      <c r="U125">
        <v>34055</v>
      </c>
      <c r="V125" t="s">
        <v>37</v>
      </c>
    </row>
    <row r="126" spans="1:22">
      <c r="A126" t="str">
        <f t="shared" si="37"/>
        <v>03/03/2026</v>
      </c>
      <c r="B126" t="str">
        <f t="shared" si="34"/>
        <v>SAÍDA</v>
      </c>
      <c r="C126" t="str">
        <f t="shared" si="36"/>
        <v>PIX</v>
      </c>
      <c r="D126" t="str">
        <f>"33944"</f>
        <v>33944</v>
      </c>
      <c r="E126" t="str">
        <f t="shared" si="31"/>
        <v>1</v>
      </c>
      <c r="F126" t="str">
        <f t="shared" si="23"/>
        <v>COM</v>
      </c>
      <c r="G126" t="str">
        <f>"SAMUEL SOARES DA SILVA (867)"</f>
        <v>SAMUEL SOARES DA SILVA (867)</v>
      </c>
      <c r="H126" t="s">
        <v>70</v>
      </c>
      <c r="I126" t="str">
        <f t="shared" si="38"/>
        <v>03/03/2026</v>
      </c>
      <c r="J126" t="str">
        <f>("02/03/2026")</f>
        <v>02/03/2026</v>
      </c>
      <c r="K126">
        <v>46084</v>
      </c>
      <c r="N126">
        <v>109</v>
      </c>
      <c r="O126" t="s">
        <v>27</v>
      </c>
      <c r="Q126">
        <v>150</v>
      </c>
      <c r="R126" t="str">
        <f>"DROGA ELIDA (10121)"</f>
        <v>DROGA ELIDA (10121)</v>
      </c>
      <c r="S126" t="s">
        <v>37</v>
      </c>
      <c r="T126">
        <v>29973</v>
      </c>
      <c r="U126">
        <v>34055</v>
      </c>
      <c r="V126" t="s">
        <v>37</v>
      </c>
    </row>
    <row r="127" spans="1:22">
      <c r="A127" t="str">
        <f t="shared" si="37"/>
        <v>03/03/2026</v>
      </c>
      <c r="B127" t="str">
        <f t="shared" si="34"/>
        <v>SAÍDA</v>
      </c>
      <c r="C127" t="str">
        <f t="shared" si="36"/>
        <v>PIX</v>
      </c>
      <c r="D127" t="str">
        <f>"34062"</f>
        <v>34062</v>
      </c>
      <c r="E127" t="str">
        <f t="shared" si="31"/>
        <v>1</v>
      </c>
      <c r="F127" t="str">
        <f t="shared" si="23"/>
        <v>COM</v>
      </c>
      <c r="G127" t="str">
        <f>"EVERTON DA SILVEIRA SANTOS (834)"</f>
        <v>EVERTON DA SILVEIRA SANTOS (834)</v>
      </c>
      <c r="H127" t="str">
        <f>"Serv.Prest. DIÁRIA 01/03/2026 - PIX: CELULAR - CHAVE: (73) 99982-9939"</f>
        <v>Serv.Prest. DIÁRIA 01/03/2026 - PIX: CELULAR - CHAVE: (73) 99982-9939</v>
      </c>
      <c r="I127" t="str">
        <f t="shared" si="38"/>
        <v>03/03/2026</v>
      </c>
      <c r="J127" t="str">
        <f>("03/03/2026")</f>
        <v>03/03/2026</v>
      </c>
      <c r="K127" t="str">
        <f>("03/03/2026")</f>
        <v>03/03/2026</v>
      </c>
      <c r="L127">
        <v>150</v>
      </c>
      <c r="M127">
        <v>150</v>
      </c>
      <c r="N127">
        <v>134</v>
      </c>
      <c r="O127" t="str">
        <f>"DIARIA DE MOTOBOY"</f>
        <v>DIARIA DE MOTOBOY</v>
      </c>
      <c r="P127">
        <v>150</v>
      </c>
      <c r="S127" t="str">
        <f>"BANCO C6 (149)"</f>
        <v>BANCO C6 (149)</v>
      </c>
      <c r="T127">
        <v>29974</v>
      </c>
      <c r="U127">
        <v>34062</v>
      </c>
      <c r="V127" t="s">
        <v>37</v>
      </c>
    </row>
    <row r="128" spans="1:22">
      <c r="A128" t="str">
        <f t="shared" si="37"/>
        <v>03/03/2026</v>
      </c>
      <c r="B128" t="str">
        <f t="shared" si="34"/>
        <v>SAÍDA</v>
      </c>
      <c r="C128" t="str">
        <f t="shared" si="36"/>
        <v>PIX</v>
      </c>
      <c r="D128" t="str">
        <f>"34062"</f>
        <v>34062</v>
      </c>
      <c r="E128" t="str">
        <f t="shared" si="31"/>
        <v>1</v>
      </c>
      <c r="F128" t="str">
        <f t="shared" si="23"/>
        <v>COM</v>
      </c>
      <c r="G128" t="str">
        <f>"EVERTON DA SILVEIRA SANTOS (834)"</f>
        <v>EVERTON DA SILVEIRA SANTOS (834)</v>
      </c>
      <c r="H128" t="s">
        <v>71</v>
      </c>
      <c r="I128" t="str">
        <f t="shared" si="38"/>
        <v>03/03/2026</v>
      </c>
      <c r="J128" t="str">
        <f>("03/03/2026")</f>
        <v>03/03/2026</v>
      </c>
      <c r="K128">
        <v>46084</v>
      </c>
      <c r="N128">
        <v>134</v>
      </c>
      <c r="O128" t="s">
        <v>30</v>
      </c>
      <c r="Q128">
        <v>150</v>
      </c>
      <c r="R128" t="str">
        <f>"FARMÁCIA INDIANA LJ 200 (10155)"</f>
        <v>FARMÁCIA INDIANA LJ 200 (10155)</v>
      </c>
      <c r="S128" t="s">
        <v>37</v>
      </c>
      <c r="T128">
        <v>29974</v>
      </c>
      <c r="U128">
        <v>34062</v>
      </c>
      <c r="V128" t="s">
        <v>37</v>
      </c>
    </row>
    <row r="129" spans="1:22">
      <c r="A129" t="str">
        <f t="shared" si="37"/>
        <v>03/03/2026</v>
      </c>
      <c r="B129" t="str">
        <f t="shared" si="34"/>
        <v>SAÍDA</v>
      </c>
      <c r="C129" t="str">
        <f t="shared" si="36"/>
        <v>PIX</v>
      </c>
      <c r="D129" t="str">
        <f>"34064"</f>
        <v>34064</v>
      </c>
      <c r="E129" t="str">
        <f t="shared" ref="E129:E139" si="39">"1"</f>
        <v>1</v>
      </c>
      <c r="F129" t="str">
        <f t="shared" si="23"/>
        <v>COM</v>
      </c>
      <c r="G129" t="str">
        <f>"GEOVANI SILVA SANTOS (1340)"</f>
        <v>GEOVANI SILVA SANTOS (1340)</v>
      </c>
      <c r="H129" t="str">
        <f>"Serv.Prest.DIÁRIA 28/02/2026 e 01/03/2026 - PIX: E-MAIL - CHAVE: geovanisilvasantos311@gmail.com"</f>
        <v>Serv.Prest.DIÁRIA 28/02/2026 e 01/03/2026 - PIX: E-MAIL - CHAVE: geovanisilvasantos311@gmail.com</v>
      </c>
      <c r="I129" t="str">
        <f t="shared" si="38"/>
        <v>03/03/2026</v>
      </c>
      <c r="J129" t="str">
        <f>("03/03/2026")</f>
        <v>03/03/2026</v>
      </c>
      <c r="K129" t="str">
        <f>("03/03/2026")</f>
        <v>03/03/2026</v>
      </c>
      <c r="L129">
        <v>300</v>
      </c>
      <c r="M129">
        <v>300</v>
      </c>
      <c r="N129">
        <v>134</v>
      </c>
      <c r="O129" t="str">
        <f>"DIARIA DE MOTOBOY"</f>
        <v>DIARIA DE MOTOBOY</v>
      </c>
      <c r="P129">
        <v>300</v>
      </c>
      <c r="S129" t="str">
        <f>"BANCO C6 (149)"</f>
        <v>BANCO C6 (149)</v>
      </c>
      <c r="T129">
        <v>29975</v>
      </c>
      <c r="U129">
        <v>34064</v>
      </c>
      <c r="V129" t="s">
        <v>37</v>
      </c>
    </row>
    <row r="130" spans="1:22">
      <c r="A130" t="str">
        <f t="shared" si="37"/>
        <v>03/03/2026</v>
      </c>
      <c r="B130" t="str">
        <f t="shared" si="34"/>
        <v>SAÍDA</v>
      </c>
      <c r="C130" t="str">
        <f t="shared" si="36"/>
        <v>PIX</v>
      </c>
      <c r="D130" t="str">
        <f>"34064"</f>
        <v>34064</v>
      </c>
      <c r="E130" t="str">
        <f t="shared" si="39"/>
        <v>1</v>
      </c>
      <c r="F130" t="str">
        <f t="shared" ref="F130:F193" si="40">"COM"</f>
        <v>COM</v>
      </c>
      <c r="G130" t="str">
        <f>"GEOVANI SILVA SANTOS (1340)"</f>
        <v>GEOVANI SILVA SANTOS (1340)</v>
      </c>
      <c r="H130" t="s">
        <v>72</v>
      </c>
      <c r="I130" t="str">
        <f t="shared" si="38"/>
        <v>03/03/2026</v>
      </c>
      <c r="J130" t="str">
        <f>("03/03/2026")</f>
        <v>03/03/2026</v>
      </c>
      <c r="K130">
        <v>46084</v>
      </c>
      <c r="N130">
        <v>134</v>
      </c>
      <c r="O130" t="s">
        <v>30</v>
      </c>
      <c r="Q130">
        <v>300</v>
      </c>
      <c r="R130" t="str">
        <f>"FARMÁCIA INDIANA LJ 65 (10030)"</f>
        <v>FARMÁCIA INDIANA LJ 65 (10030)</v>
      </c>
      <c r="S130" t="s">
        <v>37</v>
      </c>
      <c r="T130">
        <v>29975</v>
      </c>
      <c r="U130">
        <v>34064</v>
      </c>
      <c r="V130" t="s">
        <v>37</v>
      </c>
    </row>
    <row r="131" spans="1:22">
      <c r="A131" t="str">
        <f t="shared" si="37"/>
        <v>03/03/2026</v>
      </c>
      <c r="B131" t="str">
        <f t="shared" si="34"/>
        <v>SAÍDA</v>
      </c>
      <c r="C131" t="str">
        <f t="shared" si="36"/>
        <v>PIX</v>
      </c>
      <c r="D131" t="str">
        <f>"33840"</f>
        <v>33840</v>
      </c>
      <c r="E131" t="str">
        <f t="shared" si="39"/>
        <v>1</v>
      </c>
      <c r="F131" t="str">
        <f t="shared" si="40"/>
        <v>COM</v>
      </c>
      <c r="G131" t="str">
        <f>"ANNIELLE CRISTIANE SILVA BARBOSA GOMES (1228)"</f>
        <v>ANNIELLE CRISTIANE SILVA BARBOSA GOMES (1228)</v>
      </c>
      <c r="H131" t="str">
        <f>"Serv.Prest. ADIANTAMENTO 23/02/2026 a 01/03/2026 - PIX: CPF - CHAVE: 034.458.495-01"</f>
        <v>Serv.Prest. ADIANTAMENTO 23/02/2026 a 01/03/2026 - PIX: CPF - CHAVE: 034.458.495-01</v>
      </c>
      <c r="I131" t="str">
        <f t="shared" si="38"/>
        <v>03/03/2026</v>
      </c>
      <c r="J131" t="str">
        <f>("02/03/2026")</f>
        <v>02/03/2026</v>
      </c>
      <c r="K131" t="str">
        <f>("03/03/2026")</f>
        <v>03/03/2026</v>
      </c>
      <c r="L131">
        <v>100</v>
      </c>
      <c r="M131">
        <v>100</v>
      </c>
      <c r="N131">
        <v>109</v>
      </c>
      <c r="O131" t="str">
        <f>"PAGAMENTO DE ENTREGADORES"</f>
        <v>PAGAMENTO DE ENTREGADORES</v>
      </c>
      <c r="P131">
        <v>100</v>
      </c>
      <c r="S131" t="str">
        <f>"BANCO C6 (149)"</f>
        <v>BANCO C6 (149)</v>
      </c>
      <c r="T131">
        <v>29976</v>
      </c>
      <c r="U131">
        <v>34088</v>
      </c>
      <c r="V131" t="s">
        <v>37</v>
      </c>
    </row>
    <row r="132" spans="1:22">
      <c r="A132" t="str">
        <f t="shared" si="37"/>
        <v>03/03/2026</v>
      </c>
      <c r="B132" t="str">
        <f t="shared" si="34"/>
        <v>SAÍDA</v>
      </c>
      <c r="C132" t="str">
        <f t="shared" si="36"/>
        <v>PIX</v>
      </c>
      <c r="D132" t="str">
        <f>"33840"</f>
        <v>33840</v>
      </c>
      <c r="E132" t="str">
        <f t="shared" si="39"/>
        <v>1</v>
      </c>
      <c r="F132" t="str">
        <f t="shared" si="40"/>
        <v>COM</v>
      </c>
      <c r="G132" t="str">
        <f>"ANNIELLE CRISTIANE SILVA BARBOSA GOMES (1228)"</f>
        <v>ANNIELLE CRISTIANE SILVA BARBOSA GOMES (1228)</v>
      </c>
      <c r="H132" t="s">
        <v>73</v>
      </c>
      <c r="I132" t="str">
        <f t="shared" si="38"/>
        <v>03/03/2026</v>
      </c>
      <c r="J132" t="str">
        <f>("02/03/2026")</f>
        <v>02/03/2026</v>
      </c>
      <c r="K132">
        <v>46084</v>
      </c>
      <c r="N132">
        <v>109</v>
      </c>
      <c r="O132" t="s">
        <v>27</v>
      </c>
      <c r="Q132">
        <v>99.35</v>
      </c>
      <c r="R132" t="str">
        <f>"BEM TE FAZ LOJA 7 (10285)"</f>
        <v>BEM TE FAZ LOJA 7 (10285)</v>
      </c>
      <c r="S132" t="s">
        <v>37</v>
      </c>
      <c r="T132">
        <v>29976</v>
      </c>
      <c r="U132">
        <v>34088</v>
      </c>
      <c r="V132" t="s">
        <v>37</v>
      </c>
    </row>
    <row r="133" spans="1:22">
      <c r="A133" t="str">
        <f t="shared" si="37"/>
        <v>03/03/2026</v>
      </c>
      <c r="B133" t="str">
        <f t="shared" si="34"/>
        <v>SAÍDA</v>
      </c>
      <c r="C133" t="str">
        <f t="shared" si="36"/>
        <v>PIX</v>
      </c>
      <c r="D133" t="str">
        <f>"33840"</f>
        <v>33840</v>
      </c>
      <c r="E133" t="str">
        <f t="shared" si="39"/>
        <v>1</v>
      </c>
      <c r="F133" t="str">
        <f t="shared" si="40"/>
        <v>COM</v>
      </c>
      <c r="G133" t="str">
        <f>"ANNIELLE CRISTIANE SILVA BARBOSA GOMES (1228)"</f>
        <v>ANNIELLE CRISTIANE SILVA BARBOSA GOMES (1228)</v>
      </c>
      <c r="H133" t="s">
        <v>73</v>
      </c>
      <c r="I133" t="str">
        <f t="shared" si="38"/>
        <v>03/03/2026</v>
      </c>
      <c r="J133" t="str">
        <f>("02/03/2026")</f>
        <v>02/03/2026</v>
      </c>
      <c r="K133">
        <v>46084</v>
      </c>
      <c r="N133">
        <v>109</v>
      </c>
      <c r="O133" t="s">
        <v>27</v>
      </c>
      <c r="Q133">
        <v>0.65</v>
      </c>
      <c r="R133" t="str">
        <f>"BEM TE FAZ LOJA 8 (10297)"</f>
        <v>BEM TE FAZ LOJA 8 (10297)</v>
      </c>
      <c r="S133" t="s">
        <v>37</v>
      </c>
      <c r="T133">
        <v>29976</v>
      </c>
      <c r="U133">
        <v>34088</v>
      </c>
      <c r="V133" t="s">
        <v>37</v>
      </c>
    </row>
    <row r="134" spans="1:22">
      <c r="A134" t="str">
        <f t="shared" si="37"/>
        <v>03/03/2026</v>
      </c>
      <c r="B134" t="str">
        <f t="shared" si="34"/>
        <v>SAÍDA</v>
      </c>
      <c r="C134" t="str">
        <f t="shared" si="36"/>
        <v>PIX</v>
      </c>
      <c r="D134" t="str">
        <f>"33848"</f>
        <v>33848</v>
      </c>
      <c r="E134" t="str">
        <f t="shared" si="39"/>
        <v>1</v>
      </c>
      <c r="F134" t="str">
        <f t="shared" si="40"/>
        <v>COM</v>
      </c>
      <c r="G134" t="str">
        <f>"LUCAS PAIVA DE OLIVEIRA SOUSA (1226)"</f>
        <v>LUCAS PAIVA DE OLIVEIRA SOUSA (1226)</v>
      </c>
      <c r="H134" t="str">
        <f>"Serv.Prest. ADIANTAMENTO 23/02/2026 a 01/03/2026 - PIX: CELULAR - CHAVE: (19) 98258-0687"</f>
        <v>Serv.Prest. ADIANTAMENTO 23/02/2026 a 01/03/2026 - PIX: CELULAR - CHAVE: (19) 98258-0687</v>
      </c>
      <c r="I134" t="str">
        <f t="shared" si="38"/>
        <v>03/03/2026</v>
      </c>
      <c r="J134" t="str">
        <f>("02/03/2026")</f>
        <v>02/03/2026</v>
      </c>
      <c r="K134" t="str">
        <f>("03/03/2026")</f>
        <v>03/03/2026</v>
      </c>
      <c r="L134">
        <v>200</v>
      </c>
      <c r="M134">
        <v>200</v>
      </c>
      <c r="N134">
        <v>109</v>
      </c>
      <c r="O134" t="str">
        <f>"PAGAMENTO DE ENTREGADORES"</f>
        <v>PAGAMENTO DE ENTREGADORES</v>
      </c>
      <c r="P134">
        <v>200</v>
      </c>
      <c r="S134" t="str">
        <f>"BANCO C6 (149)"</f>
        <v>BANCO C6 (149)</v>
      </c>
      <c r="T134">
        <v>29977</v>
      </c>
      <c r="U134">
        <v>34089</v>
      </c>
      <c r="V134" t="s">
        <v>37</v>
      </c>
    </row>
    <row r="135" spans="1:22">
      <c r="A135" t="str">
        <f t="shared" si="37"/>
        <v>03/03/2026</v>
      </c>
      <c r="B135" t="str">
        <f t="shared" si="34"/>
        <v>SAÍDA</v>
      </c>
      <c r="C135" t="str">
        <f t="shared" si="36"/>
        <v>PIX</v>
      </c>
      <c r="D135" t="str">
        <f>"33848"</f>
        <v>33848</v>
      </c>
      <c r="E135" t="str">
        <f t="shared" si="39"/>
        <v>1</v>
      </c>
      <c r="F135" t="str">
        <f t="shared" si="40"/>
        <v>COM</v>
      </c>
      <c r="G135" t="str">
        <f>"LUCAS PAIVA DE OLIVEIRA SOUSA (1226)"</f>
        <v>LUCAS PAIVA DE OLIVEIRA SOUSA (1226)</v>
      </c>
      <c r="H135" t="s">
        <v>74</v>
      </c>
      <c r="I135" t="str">
        <f t="shared" si="38"/>
        <v>03/03/2026</v>
      </c>
      <c r="J135" t="str">
        <f>("02/03/2026")</f>
        <v>02/03/2026</v>
      </c>
      <c r="K135">
        <v>46084</v>
      </c>
      <c r="N135">
        <v>109</v>
      </c>
      <c r="O135" t="s">
        <v>27</v>
      </c>
      <c r="Q135">
        <v>200</v>
      </c>
      <c r="R135" t="str">
        <f>"BEM TE FAZ LOJA 3 (10287)"</f>
        <v>BEM TE FAZ LOJA 3 (10287)</v>
      </c>
      <c r="S135" t="s">
        <v>37</v>
      </c>
      <c r="T135">
        <v>29977</v>
      </c>
      <c r="U135">
        <v>34089</v>
      </c>
      <c r="V135" t="s">
        <v>37</v>
      </c>
    </row>
    <row r="136" spans="1:22">
      <c r="A136" t="str">
        <f t="shared" si="37"/>
        <v>03/03/2026</v>
      </c>
      <c r="B136" t="str">
        <f t="shared" si="34"/>
        <v>SAÍDA</v>
      </c>
      <c r="C136" t="str">
        <f t="shared" si="36"/>
        <v>PIX</v>
      </c>
      <c r="D136" t="str">
        <f>"33703"</f>
        <v>33703</v>
      </c>
      <c r="E136" t="str">
        <f t="shared" si="39"/>
        <v>1</v>
      </c>
      <c r="F136" t="str">
        <f t="shared" si="40"/>
        <v>COM</v>
      </c>
      <c r="G136" t="str">
        <f>"HELITON MELGACO PIMENTEL JUNIOR (1079)"</f>
        <v>HELITON MELGACO PIMENTEL JUNIOR (1079)</v>
      </c>
      <c r="H136" t="str">
        <f>"Serv.Prest. DIÁRIA 01/03/2026 - PIX: CPF - CHAVE: 768.859.176-72"</f>
        <v>Serv.Prest. DIÁRIA 01/03/2026 - PIX: CPF - CHAVE: 768.859.176-72</v>
      </c>
      <c r="I136" t="str">
        <f t="shared" si="38"/>
        <v>03/03/2026</v>
      </c>
      <c r="J136" t="str">
        <f>("24/02/2026")</f>
        <v>24/02/2026</v>
      </c>
      <c r="K136" t="str">
        <f>("03/03/2026")</f>
        <v>03/03/2026</v>
      </c>
      <c r="L136">
        <v>150</v>
      </c>
      <c r="M136">
        <v>150</v>
      </c>
      <c r="N136">
        <v>134</v>
      </c>
      <c r="O136" t="str">
        <f>"DIARIA DE MOTOBOY"</f>
        <v>DIARIA DE MOTOBOY</v>
      </c>
      <c r="P136">
        <v>150</v>
      </c>
      <c r="S136" t="str">
        <f>"BANCO C6 (149)"</f>
        <v>BANCO C6 (149)</v>
      </c>
      <c r="T136">
        <v>29978</v>
      </c>
      <c r="U136">
        <v>34091</v>
      </c>
      <c r="V136" t="s">
        <v>37</v>
      </c>
    </row>
    <row r="137" spans="1:22">
      <c r="A137" t="str">
        <f t="shared" si="37"/>
        <v>03/03/2026</v>
      </c>
      <c r="B137" t="str">
        <f t="shared" si="34"/>
        <v>SAÍDA</v>
      </c>
      <c r="C137" t="str">
        <f t="shared" si="36"/>
        <v>PIX</v>
      </c>
      <c r="D137" t="str">
        <f>"33703"</f>
        <v>33703</v>
      </c>
      <c r="E137" t="str">
        <f t="shared" si="39"/>
        <v>1</v>
      </c>
      <c r="F137" t="str">
        <f t="shared" si="40"/>
        <v>COM</v>
      </c>
      <c r="G137" t="str">
        <f>"HELITON MELGACO PIMENTEL JUNIOR (1079)"</f>
        <v>HELITON MELGACO PIMENTEL JUNIOR (1079)</v>
      </c>
      <c r="H137" t="s">
        <v>75</v>
      </c>
      <c r="I137" t="str">
        <f t="shared" si="38"/>
        <v>03/03/2026</v>
      </c>
      <c r="J137" t="str">
        <f>("24/02/2026")</f>
        <v>24/02/2026</v>
      </c>
      <c r="K137">
        <v>46084</v>
      </c>
      <c r="N137">
        <v>134</v>
      </c>
      <c r="O137" t="s">
        <v>30</v>
      </c>
      <c r="Q137">
        <v>150</v>
      </c>
      <c r="R137" t="str">
        <f>"FARMÁCIA INDIANA LJ 283 (10268)"</f>
        <v>FARMÁCIA INDIANA LJ 283 (10268)</v>
      </c>
      <c r="S137" t="s">
        <v>37</v>
      </c>
      <c r="T137">
        <v>29978</v>
      </c>
      <c r="U137">
        <v>34091</v>
      </c>
      <c r="V137" t="s">
        <v>37</v>
      </c>
    </row>
    <row r="138" spans="1:22">
      <c r="A138" t="str">
        <f t="shared" si="37"/>
        <v>03/03/2026</v>
      </c>
      <c r="B138" t="str">
        <f t="shared" si="34"/>
        <v>SAÍDA</v>
      </c>
      <c r="C138" t="str">
        <f t="shared" si="36"/>
        <v>PIX</v>
      </c>
      <c r="D138" t="str">
        <f>"33752"</f>
        <v>33752</v>
      </c>
      <c r="E138" t="str">
        <f t="shared" si="39"/>
        <v>1</v>
      </c>
      <c r="F138" t="str">
        <f t="shared" si="40"/>
        <v>COM</v>
      </c>
      <c r="G138" t="str">
        <f>"PEDRO HENRIQUE MARQUES DA SILVA (1316)"</f>
        <v>PEDRO HENRIQUE MARQUES DA SILVA (1316)</v>
      </c>
      <c r="H138" t="str">
        <f>"ADIANTAMENTO Serv.Prest. 16/02/2026 a 22/02/2026 - PIX: CNPJ - CHAVE: 64.557.825/0001-94"</f>
        <v>ADIANTAMENTO Serv.Prest. 16/02/2026 a 22/02/2026 - PIX: CNPJ - CHAVE: 64.557.825/0001-94</v>
      </c>
      <c r="I138" t="str">
        <f t="shared" si="38"/>
        <v>03/03/2026</v>
      </c>
      <c r="J138" t="str">
        <f>("24/02/2026")</f>
        <v>24/02/2026</v>
      </c>
      <c r="K138" t="str">
        <f>("03/03/2026")</f>
        <v>03/03/2026</v>
      </c>
      <c r="L138">
        <v>400</v>
      </c>
      <c r="M138">
        <v>400</v>
      </c>
      <c r="N138">
        <v>109</v>
      </c>
      <c r="O138" t="str">
        <f>"PAGAMENTO DE ENTREGADORES"</f>
        <v>PAGAMENTO DE ENTREGADORES</v>
      </c>
      <c r="P138">
        <v>400</v>
      </c>
      <c r="S138" t="str">
        <f>"BANCO C6 (149)"</f>
        <v>BANCO C6 (149)</v>
      </c>
      <c r="T138">
        <v>29979</v>
      </c>
      <c r="U138">
        <v>34092</v>
      </c>
      <c r="V138" t="s">
        <v>37</v>
      </c>
    </row>
    <row r="139" spans="1:22">
      <c r="A139" t="str">
        <f t="shared" si="37"/>
        <v>03/03/2026</v>
      </c>
      <c r="B139" t="str">
        <f t="shared" si="34"/>
        <v>SAÍDA</v>
      </c>
      <c r="C139" t="str">
        <f t="shared" si="36"/>
        <v>PIX</v>
      </c>
      <c r="D139" t="str">
        <f>"33752"</f>
        <v>33752</v>
      </c>
      <c r="E139" t="str">
        <f t="shared" si="39"/>
        <v>1</v>
      </c>
      <c r="F139" t="str">
        <f t="shared" si="40"/>
        <v>COM</v>
      </c>
      <c r="G139" t="str">
        <f>"PEDRO HENRIQUE MARQUES DA SILVA (1316)"</f>
        <v>PEDRO HENRIQUE MARQUES DA SILVA (1316)</v>
      </c>
      <c r="H139" t="s">
        <v>76</v>
      </c>
      <c r="I139" t="str">
        <f t="shared" si="38"/>
        <v>03/03/2026</v>
      </c>
      <c r="J139" t="str">
        <f>("24/02/2026")</f>
        <v>24/02/2026</v>
      </c>
      <c r="K139">
        <v>46084</v>
      </c>
      <c r="N139">
        <v>109</v>
      </c>
      <c r="O139" t="s">
        <v>27</v>
      </c>
      <c r="Q139">
        <v>400</v>
      </c>
      <c r="R139" t="str">
        <f>"PAGUE MENOS 321 (10295)"</f>
        <v>PAGUE MENOS 321 (10295)</v>
      </c>
      <c r="S139" t="s">
        <v>37</v>
      </c>
      <c r="T139">
        <v>29979</v>
      </c>
      <c r="U139">
        <v>34092</v>
      </c>
      <c r="V139" t="s">
        <v>37</v>
      </c>
    </row>
    <row r="140" spans="1:22">
      <c r="A140" t="str">
        <f t="shared" si="37"/>
        <v>03/03/2026</v>
      </c>
      <c r="B140" t="str">
        <f t="shared" si="34"/>
        <v>SAÍDA</v>
      </c>
      <c r="C140" t="str">
        <f t="shared" si="36"/>
        <v>PIX</v>
      </c>
      <c r="D140" t="str">
        <f>"06012026"</f>
        <v>06012026</v>
      </c>
      <c r="E140" t="str">
        <f>"4"</f>
        <v>4</v>
      </c>
      <c r="F140" t="str">
        <f t="shared" si="40"/>
        <v>COM</v>
      </c>
      <c r="G140" t="str">
        <f>"63.452.905 ISABELLA ILIDIO BRIZOLLA (20130)"</f>
        <v>63.452.905 ISABELLA ILIDIO BRIZOLLA (20130)</v>
      </c>
      <c r="H140" t="str">
        <f>"VALE TRANSPORTE - MARÇO/26 - 23 DIAS "</f>
        <v xml:space="preserve">VALE TRANSPORTE - MARÇO/26 - 23 DIAS </v>
      </c>
      <c r="I140" t="str">
        <f t="shared" si="38"/>
        <v>03/03/2026</v>
      </c>
      <c r="J140" t="str">
        <f>("05/01/2026")</f>
        <v>05/01/2026</v>
      </c>
      <c r="K140" t="str">
        <f>("03/03/2026")</f>
        <v>03/03/2026</v>
      </c>
      <c r="L140">
        <v>262.2</v>
      </c>
      <c r="M140">
        <v>262.2</v>
      </c>
      <c r="N140">
        <v>107</v>
      </c>
      <c r="O140" t="str">
        <f>"VALE TRANSPORTE"</f>
        <v>VALE TRANSPORTE</v>
      </c>
      <c r="P140">
        <v>262.2</v>
      </c>
      <c r="S140" t="str">
        <f>"BANCO CORA (102)"</f>
        <v>BANCO CORA (102)</v>
      </c>
      <c r="T140">
        <v>29980</v>
      </c>
      <c r="U140">
        <v>29687</v>
      </c>
      <c r="V140" t="s">
        <v>33</v>
      </c>
    </row>
    <row r="141" spans="1:22">
      <c r="A141" t="str">
        <f t="shared" si="37"/>
        <v>03/03/2026</v>
      </c>
      <c r="B141" t="str">
        <f t="shared" si="34"/>
        <v>SAÍDA</v>
      </c>
      <c r="C141" t="str">
        <f t="shared" si="36"/>
        <v>PIX</v>
      </c>
      <c r="D141" t="str">
        <f>"06012026"</f>
        <v>06012026</v>
      </c>
      <c r="E141" t="str">
        <f>"4"</f>
        <v>4</v>
      </c>
      <c r="F141" t="str">
        <f t="shared" si="40"/>
        <v>COM</v>
      </c>
      <c r="G141" t="str">
        <f>"63.452.905 ISABELLA ILIDIO BRIZOLLA (20130)"</f>
        <v>63.452.905 ISABELLA ILIDIO BRIZOLLA (20130)</v>
      </c>
      <c r="H141" t="s">
        <v>77</v>
      </c>
      <c r="I141" t="str">
        <f t="shared" si="38"/>
        <v>03/03/2026</v>
      </c>
      <c r="J141" t="str">
        <f>("05/01/2026")</f>
        <v>05/01/2026</v>
      </c>
      <c r="K141">
        <v>46084</v>
      </c>
      <c r="N141">
        <v>107</v>
      </c>
      <c r="O141" t="s">
        <v>78</v>
      </c>
      <c r="Q141">
        <v>262.2</v>
      </c>
      <c r="R141" t="str">
        <f>"63.452.905 ISABELLA ILIDIO BRIZOLLA (20130)"</f>
        <v>63.452.905 ISABELLA ILIDIO BRIZOLLA (20130)</v>
      </c>
      <c r="S141" t="s">
        <v>33</v>
      </c>
      <c r="T141">
        <v>29980</v>
      </c>
      <c r="U141">
        <v>29687</v>
      </c>
      <c r="V141" t="s">
        <v>33</v>
      </c>
    </row>
    <row r="142" spans="1:22">
      <c r="A142" t="str">
        <f t="shared" si="37"/>
        <v>03/03/2026</v>
      </c>
      <c r="B142" t="str">
        <f t="shared" si="34"/>
        <v>SAÍDA</v>
      </c>
      <c r="C142" t="str">
        <f>"BOLETO"</f>
        <v>BOLETO</v>
      </c>
      <c r="D142" t="str">
        <f>"345116260010584"</f>
        <v>345116260010584</v>
      </c>
      <c r="E142" t="str">
        <f>"3"</f>
        <v>3</v>
      </c>
      <c r="F142" t="str">
        <f t="shared" si="40"/>
        <v>COM</v>
      </c>
      <c r="G142" t="str">
        <f>"NUCLEO BRASIL SERVIDORES LTDA (20090)"</f>
        <v>NUCLEO BRASIL SERVIDORES LTDA (20090)</v>
      </c>
      <c r="H142" t="str">
        <f>"SERVIDOR SITE COOPERATIVA - coopmob.com.br - MARÇO/2026"</f>
        <v>SERVIDOR SITE COOPERATIVA - coopmob.com.br - MARÇO/2026</v>
      </c>
      <c r="I142" t="str">
        <f t="shared" si="38"/>
        <v>03/03/2026</v>
      </c>
      <c r="J142" t="str">
        <f>("01/01/2026")</f>
        <v>01/01/2026</v>
      </c>
      <c r="K142" t="str">
        <f>("03/03/2026")</f>
        <v>03/03/2026</v>
      </c>
      <c r="L142">
        <v>35.9</v>
      </c>
      <c r="M142">
        <v>35.9</v>
      </c>
      <c r="N142">
        <v>104</v>
      </c>
      <c r="O142" t="str">
        <f>"SOFTWARE / LICENÇAS"</f>
        <v>SOFTWARE / LICENÇAS</v>
      </c>
      <c r="P142">
        <v>35.9</v>
      </c>
      <c r="S142" t="str">
        <f>"BANCO CORA (102)"</f>
        <v>BANCO CORA (102)</v>
      </c>
      <c r="T142">
        <v>29981</v>
      </c>
      <c r="U142">
        <v>30126</v>
      </c>
      <c r="V142" t="s">
        <v>33</v>
      </c>
    </row>
    <row r="143" spans="1:22">
      <c r="A143" t="str">
        <f t="shared" si="37"/>
        <v>03/03/2026</v>
      </c>
      <c r="B143" t="str">
        <f t="shared" si="34"/>
        <v>SAÍDA</v>
      </c>
      <c r="C143" t="str">
        <f>"BOLETO"</f>
        <v>BOLETO</v>
      </c>
      <c r="D143" t="str">
        <f>"345116260010584"</f>
        <v>345116260010584</v>
      </c>
      <c r="E143" t="str">
        <f>"3"</f>
        <v>3</v>
      </c>
      <c r="F143" t="str">
        <f t="shared" si="40"/>
        <v>COM</v>
      </c>
      <c r="G143" t="str">
        <f>"NUCLEO BRASIL SERVIDORES LTDA (20090)"</f>
        <v>NUCLEO BRASIL SERVIDORES LTDA (20090)</v>
      </c>
      <c r="H143" t="s">
        <v>79</v>
      </c>
      <c r="I143" t="str">
        <f t="shared" si="38"/>
        <v>03/03/2026</v>
      </c>
      <c r="J143" t="str">
        <f>("01/01/2026")</f>
        <v>01/01/2026</v>
      </c>
      <c r="K143">
        <v>46084</v>
      </c>
      <c r="N143">
        <v>104</v>
      </c>
      <c r="O143" t="s">
        <v>39</v>
      </c>
      <c r="Q143">
        <v>35.9</v>
      </c>
      <c r="R143" t="str">
        <f>"NUCLEO BRASIL SERVIDORES LTDA (20090)"</f>
        <v>NUCLEO BRASIL SERVIDORES LTDA (20090)</v>
      </c>
      <c r="S143" t="s">
        <v>33</v>
      </c>
      <c r="T143">
        <v>29981</v>
      </c>
      <c r="U143">
        <v>30126</v>
      </c>
      <c r="V143" t="s">
        <v>33</v>
      </c>
    </row>
    <row r="144" spans="1:22">
      <c r="A144" t="str">
        <f t="shared" si="37"/>
        <v>03/03/2026</v>
      </c>
      <c r="B144" t="str">
        <f t="shared" si="34"/>
        <v>SAÍDA</v>
      </c>
      <c r="C144" t="str">
        <f t="shared" ref="C144:C179" si="41">"PIX"</f>
        <v>PIX</v>
      </c>
      <c r="D144" t="str">
        <f>"27012026"</f>
        <v>27012026</v>
      </c>
      <c r="E144" t="str">
        <f>"3"</f>
        <v>3</v>
      </c>
      <c r="F144" t="str">
        <f t="shared" si="40"/>
        <v>COM</v>
      </c>
      <c r="G144" t="str">
        <f>"ADRIELLE APARECIDA PALOMINO (20029)"</f>
        <v>ADRIELLE APARECIDA PALOMINO (20029)</v>
      </c>
      <c r="H144" t="str">
        <f>"VALE TRANSPORTE - 13 DIAS (MARÇO/26)"</f>
        <v>VALE TRANSPORTE - 13 DIAS (MARÇO/26)</v>
      </c>
      <c r="I144" t="str">
        <f t="shared" si="38"/>
        <v>03/03/2026</v>
      </c>
      <c r="J144" t="str">
        <f>("27/01/2026")</f>
        <v>27/01/2026</v>
      </c>
      <c r="K144" t="str">
        <f>("03/03/2026")</f>
        <v>03/03/2026</v>
      </c>
      <c r="L144">
        <v>159.6</v>
      </c>
      <c r="M144">
        <v>159.6</v>
      </c>
      <c r="N144">
        <v>107</v>
      </c>
      <c r="O144" t="str">
        <f>"VALE TRANSPORTE"</f>
        <v>VALE TRANSPORTE</v>
      </c>
      <c r="P144">
        <v>159.6</v>
      </c>
      <c r="S144" t="str">
        <f>"BANCO CORA (102)"</f>
        <v>BANCO CORA (102)</v>
      </c>
      <c r="T144">
        <v>29982</v>
      </c>
      <c r="U144">
        <v>31576</v>
      </c>
      <c r="V144" t="s">
        <v>33</v>
      </c>
    </row>
    <row r="145" spans="1:22">
      <c r="A145" t="str">
        <f t="shared" si="37"/>
        <v>03/03/2026</v>
      </c>
      <c r="B145" t="str">
        <f t="shared" si="34"/>
        <v>SAÍDA</v>
      </c>
      <c r="C145" t="str">
        <f t="shared" si="41"/>
        <v>PIX</v>
      </c>
      <c r="D145" t="str">
        <f>"27012026"</f>
        <v>27012026</v>
      </c>
      <c r="E145" t="str">
        <f>"3"</f>
        <v>3</v>
      </c>
      <c r="F145" t="str">
        <f t="shared" si="40"/>
        <v>COM</v>
      </c>
      <c r="G145" t="str">
        <f>"ADRIELLE APARECIDA PALOMINO (20029)"</f>
        <v>ADRIELLE APARECIDA PALOMINO (20029)</v>
      </c>
      <c r="H145" t="s">
        <v>80</v>
      </c>
      <c r="I145" t="str">
        <f t="shared" si="38"/>
        <v>03/03/2026</v>
      </c>
      <c r="J145" t="str">
        <f>("27/01/2026")</f>
        <v>27/01/2026</v>
      </c>
      <c r="K145">
        <v>46084</v>
      </c>
      <c r="N145">
        <v>107</v>
      </c>
      <c r="O145" t="s">
        <v>78</v>
      </c>
      <c r="Q145">
        <v>159.6</v>
      </c>
      <c r="R145" t="str">
        <f>"ADRIELLE APARECIDA PALOMINO (20029)"</f>
        <v>ADRIELLE APARECIDA PALOMINO (20029)</v>
      </c>
      <c r="S145" t="s">
        <v>33</v>
      </c>
      <c r="T145">
        <v>29982</v>
      </c>
      <c r="U145">
        <v>31576</v>
      </c>
      <c r="V145" t="s">
        <v>33</v>
      </c>
    </row>
    <row r="146" spans="1:22">
      <c r="A146" t="str">
        <f t="shared" si="37"/>
        <v>03/03/2026</v>
      </c>
      <c r="B146" t="str">
        <f t="shared" si="34"/>
        <v>SAÍDA</v>
      </c>
      <c r="C146" t="str">
        <f t="shared" si="41"/>
        <v>PIX</v>
      </c>
      <c r="D146" t="str">
        <f>"03032026"</f>
        <v>03032026</v>
      </c>
      <c r="E146" t="str">
        <f>""</f>
        <v/>
      </c>
      <c r="F146" t="str">
        <f t="shared" si="40"/>
        <v>COM</v>
      </c>
      <c r="G146" t="str">
        <f>"54.235.509 ROBERT MAGDIEL DE CARVALHO (20004)"</f>
        <v>54.235.509 ROBERT MAGDIEL DE CARVALHO (20004)</v>
      </c>
      <c r="H146" t="str">
        <f>"VALE TRANSPORTE - 20 DIAS (MARÇO/2026)"</f>
        <v>VALE TRANSPORTE - 20 DIAS (MARÇO/2026)</v>
      </c>
      <c r="I146" t="str">
        <f t="shared" si="38"/>
        <v>03/03/2026</v>
      </c>
      <c r="J146" t="str">
        <f>("26/02/2026")</f>
        <v>26/02/2026</v>
      </c>
      <c r="K146" t="str">
        <f>("03/03/2026")</f>
        <v>03/03/2026</v>
      </c>
      <c r="L146">
        <v>228</v>
      </c>
      <c r="M146">
        <v>228</v>
      </c>
      <c r="N146">
        <v>107</v>
      </c>
      <c r="O146" t="str">
        <f>"VALE TRANSPORTE"</f>
        <v>VALE TRANSPORTE</v>
      </c>
      <c r="P146">
        <v>228</v>
      </c>
      <c r="S146" t="str">
        <f>"BANCO CORA (102)"</f>
        <v>BANCO CORA (102)</v>
      </c>
      <c r="T146">
        <v>29983</v>
      </c>
      <c r="U146">
        <v>33800</v>
      </c>
      <c r="V146" t="s">
        <v>33</v>
      </c>
    </row>
    <row r="147" spans="1:22">
      <c r="A147" t="str">
        <f t="shared" si="37"/>
        <v>03/03/2026</v>
      </c>
      <c r="B147" t="str">
        <f t="shared" si="34"/>
        <v>SAÍDA</v>
      </c>
      <c r="C147" t="str">
        <f t="shared" si="41"/>
        <v>PIX</v>
      </c>
      <c r="D147" t="str">
        <f>"03032026"</f>
        <v>03032026</v>
      </c>
      <c r="E147" t="str">
        <f>""</f>
        <v/>
      </c>
      <c r="F147" t="str">
        <f t="shared" si="40"/>
        <v>COM</v>
      </c>
      <c r="G147" t="str">
        <f>"54.235.509 ROBERT MAGDIEL DE CARVALHO (20004)"</f>
        <v>54.235.509 ROBERT MAGDIEL DE CARVALHO (20004)</v>
      </c>
      <c r="H147" t="s">
        <v>81</v>
      </c>
      <c r="I147" t="str">
        <f t="shared" si="38"/>
        <v>03/03/2026</v>
      </c>
      <c r="J147" t="str">
        <f>("26/02/2026")</f>
        <v>26/02/2026</v>
      </c>
      <c r="K147">
        <v>46084</v>
      </c>
      <c r="N147">
        <v>107</v>
      </c>
      <c r="O147" t="s">
        <v>78</v>
      </c>
      <c r="Q147">
        <v>228</v>
      </c>
      <c r="R147" t="str">
        <f>"54.235.509 ROBERT MAGDIEL DE CARVALHO (20004)"</f>
        <v>54.235.509 ROBERT MAGDIEL DE CARVALHO (20004)</v>
      </c>
      <c r="S147" t="s">
        <v>33</v>
      </c>
      <c r="T147">
        <v>29983</v>
      </c>
      <c r="U147">
        <v>33800</v>
      </c>
      <c r="V147" t="s">
        <v>33</v>
      </c>
    </row>
    <row r="148" spans="1:22">
      <c r="A148" t="str">
        <f t="shared" si="37"/>
        <v>03/03/2026</v>
      </c>
      <c r="B148" t="str">
        <f t="shared" si="34"/>
        <v>SAÍDA</v>
      </c>
      <c r="C148" t="str">
        <f t="shared" si="41"/>
        <v>PIX</v>
      </c>
      <c r="D148" t="str">
        <f>"0202026"</f>
        <v>0202026</v>
      </c>
      <c r="E148" t="str">
        <f>"2"</f>
        <v>2</v>
      </c>
      <c r="F148" t="str">
        <f t="shared" si="40"/>
        <v>COM</v>
      </c>
      <c r="G148" t="str">
        <f>"63.639.885 FRANCINNE SANTOS WILLON (20123)"</f>
        <v>63.639.885 FRANCINNE SANTOS WILLON (20123)</v>
      </c>
      <c r="H148" t="str">
        <f>"VALE TRANSPORTE - 20 DIAS (MARÇO/26)"</f>
        <v>VALE TRANSPORTE - 20 DIAS (MARÇO/26)</v>
      </c>
      <c r="I148" t="str">
        <f t="shared" si="38"/>
        <v>03/03/2026</v>
      </c>
      <c r="J148" t="str">
        <f>("27/01/2026")</f>
        <v>27/01/2026</v>
      </c>
      <c r="K148" t="str">
        <f>("03/03/2026")</f>
        <v>03/03/2026</v>
      </c>
      <c r="L148">
        <v>228</v>
      </c>
      <c r="M148">
        <v>228</v>
      </c>
      <c r="N148">
        <v>107</v>
      </c>
      <c r="O148" t="str">
        <f>"VALE TRANSPORTE"</f>
        <v>VALE TRANSPORTE</v>
      </c>
      <c r="P148">
        <v>228</v>
      </c>
      <c r="S148" t="str">
        <f>"BANCO CORA (102)"</f>
        <v>BANCO CORA (102)</v>
      </c>
      <c r="T148">
        <v>29984</v>
      </c>
      <c r="U148">
        <v>31620</v>
      </c>
      <c r="V148" t="s">
        <v>33</v>
      </c>
    </row>
    <row r="149" spans="1:22">
      <c r="A149" t="str">
        <f t="shared" si="37"/>
        <v>03/03/2026</v>
      </c>
      <c r="B149" t="str">
        <f t="shared" si="34"/>
        <v>SAÍDA</v>
      </c>
      <c r="C149" t="str">
        <f t="shared" si="41"/>
        <v>PIX</v>
      </c>
      <c r="D149" t="str">
        <f>"0202026"</f>
        <v>0202026</v>
      </c>
      <c r="E149" t="str">
        <f>"2"</f>
        <v>2</v>
      </c>
      <c r="F149" t="str">
        <f t="shared" si="40"/>
        <v>COM</v>
      </c>
      <c r="G149" t="str">
        <f>"63.639.885 FRANCINNE SANTOS WILLON (20123)"</f>
        <v>63.639.885 FRANCINNE SANTOS WILLON (20123)</v>
      </c>
      <c r="H149" t="s">
        <v>82</v>
      </c>
      <c r="I149" t="str">
        <f t="shared" si="38"/>
        <v>03/03/2026</v>
      </c>
      <c r="J149" t="str">
        <f>("27/01/2026")</f>
        <v>27/01/2026</v>
      </c>
      <c r="K149">
        <v>46084</v>
      </c>
      <c r="N149">
        <v>107</v>
      </c>
      <c r="O149" t="s">
        <v>78</v>
      </c>
      <c r="Q149">
        <v>228</v>
      </c>
      <c r="R149" t="str">
        <f>"63.639.885 FRANCINNE SANTOS WILLON (20123)"</f>
        <v>63.639.885 FRANCINNE SANTOS WILLON (20123)</v>
      </c>
      <c r="S149" t="s">
        <v>33</v>
      </c>
      <c r="T149">
        <v>29984</v>
      </c>
      <c r="U149">
        <v>31620</v>
      </c>
      <c r="V149" t="s">
        <v>33</v>
      </c>
    </row>
    <row r="150" spans="1:22">
      <c r="A150" t="str">
        <f t="shared" si="37"/>
        <v>03/03/2026</v>
      </c>
      <c r="B150" t="str">
        <f t="shared" ref="B150:B179" si="42">"SAÍDA"</f>
        <v>SAÍDA</v>
      </c>
      <c r="C150" t="str">
        <f t="shared" si="41"/>
        <v>PIX</v>
      </c>
      <c r="D150" t="str">
        <f>"23012026"</f>
        <v>23012026</v>
      </c>
      <c r="E150" t="str">
        <f>"3"</f>
        <v>3</v>
      </c>
      <c r="F150" t="str">
        <f t="shared" si="40"/>
        <v>COM</v>
      </c>
      <c r="G150" t="str">
        <f>"BRUNO NATO DOS SANTOS (20045)"</f>
        <v>BRUNO NATO DOS SANTOS (20045)</v>
      </c>
      <c r="H150" t="str">
        <f>"VALE TRANSPORTE - 20 DIAS (MARÇO/2026)"</f>
        <v>VALE TRANSPORTE - 20 DIAS (MARÇO/2026)</v>
      </c>
      <c r="I150" t="str">
        <f t="shared" si="38"/>
        <v>03/03/2026</v>
      </c>
      <c r="J150" t="str">
        <f>("23/01/2026")</f>
        <v>23/01/2026</v>
      </c>
      <c r="K150" t="str">
        <f>("03/03/2026")</f>
        <v>03/03/2026</v>
      </c>
      <c r="L150">
        <v>228</v>
      </c>
      <c r="M150">
        <v>228</v>
      </c>
      <c r="N150">
        <v>107</v>
      </c>
      <c r="O150" t="str">
        <f>"VALE TRANSPORTE"</f>
        <v>VALE TRANSPORTE</v>
      </c>
      <c r="P150">
        <v>228</v>
      </c>
      <c r="S150" t="str">
        <f>"BANCO CORA (102)"</f>
        <v>BANCO CORA (102)</v>
      </c>
      <c r="T150">
        <v>29985</v>
      </c>
      <c r="U150">
        <v>31201</v>
      </c>
      <c r="V150" t="s">
        <v>33</v>
      </c>
    </row>
    <row r="151" spans="1:22">
      <c r="A151" t="str">
        <f t="shared" si="37"/>
        <v>03/03/2026</v>
      </c>
      <c r="B151" t="str">
        <f t="shared" si="42"/>
        <v>SAÍDA</v>
      </c>
      <c r="C151" t="str">
        <f t="shared" si="41"/>
        <v>PIX</v>
      </c>
      <c r="D151" t="str">
        <f>"23012026"</f>
        <v>23012026</v>
      </c>
      <c r="E151" t="str">
        <f>"3"</f>
        <v>3</v>
      </c>
      <c r="F151" t="str">
        <f t="shared" si="40"/>
        <v>COM</v>
      </c>
      <c r="G151" t="str">
        <f>"BRUNO NATO DOS SANTOS (20045)"</f>
        <v>BRUNO NATO DOS SANTOS (20045)</v>
      </c>
      <c r="H151" t="s">
        <v>81</v>
      </c>
      <c r="I151" t="str">
        <f t="shared" si="38"/>
        <v>03/03/2026</v>
      </c>
      <c r="J151" t="str">
        <f>("23/01/2026")</f>
        <v>23/01/2026</v>
      </c>
      <c r="K151">
        <v>46084</v>
      </c>
      <c r="N151">
        <v>107</v>
      </c>
      <c r="O151" t="s">
        <v>78</v>
      </c>
      <c r="Q151">
        <v>228</v>
      </c>
      <c r="R151" t="str">
        <f>"BRUNO NATO DOS SANTOS (20045)"</f>
        <v>BRUNO NATO DOS SANTOS (20045)</v>
      </c>
      <c r="S151" t="s">
        <v>33</v>
      </c>
      <c r="T151">
        <v>29985</v>
      </c>
      <c r="U151">
        <v>31201</v>
      </c>
      <c r="V151" t="s">
        <v>33</v>
      </c>
    </row>
    <row r="152" spans="1:22">
      <c r="A152" t="str">
        <f t="shared" si="37"/>
        <v>03/03/2026</v>
      </c>
      <c r="B152" t="str">
        <f t="shared" si="42"/>
        <v>SAÍDA</v>
      </c>
      <c r="C152" t="str">
        <f t="shared" si="41"/>
        <v>PIX</v>
      </c>
      <c r="D152" t="str">
        <f>"03022026"</f>
        <v>03022026</v>
      </c>
      <c r="E152" t="str">
        <f>"2"</f>
        <v>2</v>
      </c>
      <c r="F152" t="str">
        <f t="shared" si="40"/>
        <v>COM</v>
      </c>
      <c r="G152" t="str">
        <f>"GIOVANA CECCON MARTINS DE SA (20091)"</f>
        <v>GIOVANA CECCON MARTINS DE SA (20091)</v>
      </c>
      <c r="H152" t="str">
        <f>"VALE TRANSPORTE 20 DIAS (MARÇO/2026)"</f>
        <v>VALE TRANSPORTE 20 DIAS (MARÇO/2026)</v>
      </c>
      <c r="I152" t="str">
        <f t="shared" si="38"/>
        <v>03/03/2026</v>
      </c>
      <c r="J152" t="str">
        <f>("30/01/2026")</f>
        <v>30/01/2026</v>
      </c>
      <c r="K152" t="str">
        <f>("03/03/2026")</f>
        <v>03/03/2026</v>
      </c>
      <c r="L152">
        <v>228</v>
      </c>
      <c r="M152">
        <v>228</v>
      </c>
      <c r="N152">
        <v>107</v>
      </c>
      <c r="O152" t="str">
        <f>"VALE TRANSPORTE"</f>
        <v>VALE TRANSPORTE</v>
      </c>
      <c r="P152">
        <v>228</v>
      </c>
      <c r="S152" t="str">
        <f>"BANCO CORA (102)"</f>
        <v>BANCO CORA (102)</v>
      </c>
      <c r="T152">
        <v>29986</v>
      </c>
      <c r="U152">
        <v>31750</v>
      </c>
      <c r="V152" t="s">
        <v>33</v>
      </c>
    </row>
    <row r="153" spans="1:22">
      <c r="A153" t="str">
        <f t="shared" ref="A153:A181" si="43">("03/03/2026")</f>
        <v>03/03/2026</v>
      </c>
      <c r="B153" t="str">
        <f t="shared" si="42"/>
        <v>SAÍDA</v>
      </c>
      <c r="C153" t="str">
        <f t="shared" si="41"/>
        <v>PIX</v>
      </c>
      <c r="D153" t="str">
        <f>"03022026"</f>
        <v>03022026</v>
      </c>
      <c r="E153" t="str">
        <f>"2"</f>
        <v>2</v>
      </c>
      <c r="F153" t="str">
        <f t="shared" si="40"/>
        <v>COM</v>
      </c>
      <c r="G153" t="str">
        <f>"GIOVANA CECCON MARTINS DE SA (20091)"</f>
        <v>GIOVANA CECCON MARTINS DE SA (20091)</v>
      </c>
      <c r="H153" t="s">
        <v>83</v>
      </c>
      <c r="I153" t="str">
        <f t="shared" si="38"/>
        <v>03/03/2026</v>
      </c>
      <c r="J153" t="str">
        <f>("30/01/2026")</f>
        <v>30/01/2026</v>
      </c>
      <c r="K153">
        <v>46084</v>
      </c>
      <c r="N153">
        <v>107</v>
      </c>
      <c r="O153" t="s">
        <v>78</v>
      </c>
      <c r="Q153">
        <v>228</v>
      </c>
      <c r="R153" t="str">
        <f>"GIOVANA CECCON MARTINS DE SA (20091)"</f>
        <v>GIOVANA CECCON MARTINS DE SA (20091)</v>
      </c>
      <c r="S153" t="s">
        <v>33</v>
      </c>
      <c r="T153">
        <v>29986</v>
      </c>
      <c r="U153">
        <v>31750</v>
      </c>
      <c r="V153" t="s">
        <v>33</v>
      </c>
    </row>
    <row r="154" spans="1:22">
      <c r="A154" t="str">
        <f t="shared" si="43"/>
        <v>03/03/2026</v>
      </c>
      <c r="B154" t="str">
        <f t="shared" si="42"/>
        <v>SAÍDA</v>
      </c>
      <c r="C154" t="str">
        <f t="shared" si="41"/>
        <v>PIX</v>
      </c>
      <c r="D154" t="str">
        <f>"33961"</f>
        <v>33961</v>
      </c>
      <c r="E154" t="str">
        <f t="shared" ref="E154:E179" si="44">"1"</f>
        <v>1</v>
      </c>
      <c r="F154" t="str">
        <f t="shared" si="40"/>
        <v>COM</v>
      </c>
      <c r="G154" t="str">
        <f>"ENTREGADOR DIARISTA (5)"</f>
        <v>ENTREGADOR DIARISTA (5)</v>
      </c>
      <c r="H154" t="str">
        <f>"Serv.Prest. DIARIA 23/02 e 24/02/2026 - PAGAR OTAVIO MENDES CHAVE PIX: (11) 97040-4497"</f>
        <v>Serv.Prest. DIARIA 23/02 e 24/02/2026 - PAGAR OTAVIO MENDES CHAVE PIX: (11) 97040-4497</v>
      </c>
      <c r="I154" t="str">
        <f t="shared" si="38"/>
        <v>03/03/2026</v>
      </c>
      <c r="J154" t="str">
        <f>("03/03/2026")</f>
        <v>03/03/2026</v>
      </c>
      <c r="K154" t="str">
        <f>("03/03/2026")</f>
        <v>03/03/2026</v>
      </c>
      <c r="L154">
        <v>300</v>
      </c>
      <c r="M154">
        <v>300</v>
      </c>
      <c r="N154">
        <v>134</v>
      </c>
      <c r="O154" t="str">
        <f>"DIARIA DE MOTOBOY"</f>
        <v>DIARIA DE MOTOBOY</v>
      </c>
      <c r="P154">
        <v>300</v>
      </c>
      <c r="S154" t="str">
        <f>"BANCO CORA (102)"</f>
        <v>BANCO CORA (102)</v>
      </c>
      <c r="T154">
        <v>29987</v>
      </c>
      <c r="U154">
        <v>33961</v>
      </c>
      <c r="V154" t="s">
        <v>33</v>
      </c>
    </row>
    <row r="155" spans="1:22">
      <c r="A155" t="str">
        <f t="shared" si="43"/>
        <v>03/03/2026</v>
      </c>
      <c r="B155" t="str">
        <f t="shared" si="42"/>
        <v>SAÍDA</v>
      </c>
      <c r="C155" t="str">
        <f t="shared" si="41"/>
        <v>PIX</v>
      </c>
      <c r="D155" t="str">
        <f>"33961"</f>
        <v>33961</v>
      </c>
      <c r="E155" t="str">
        <f t="shared" si="44"/>
        <v>1</v>
      </c>
      <c r="F155" t="str">
        <f t="shared" si="40"/>
        <v>COM</v>
      </c>
      <c r="G155" t="str">
        <f>"ENTREGADOR DIARISTA (5)"</f>
        <v>ENTREGADOR DIARISTA (5)</v>
      </c>
      <c r="H155" t="s">
        <v>84</v>
      </c>
      <c r="I155" t="str">
        <f t="shared" ref="I155:I177" si="45">("03/03/2026")</f>
        <v>03/03/2026</v>
      </c>
      <c r="J155" t="str">
        <f t="shared" ref="J155:J177" si="46">("03/03/2026")</f>
        <v>03/03/2026</v>
      </c>
      <c r="K155">
        <v>46084</v>
      </c>
      <c r="N155">
        <v>134</v>
      </c>
      <c r="O155" t="s">
        <v>30</v>
      </c>
      <c r="Q155">
        <v>300</v>
      </c>
      <c r="R155" t="str">
        <f>"PENSE FARMA 46 (10194)"</f>
        <v>PENSE FARMA 46 (10194)</v>
      </c>
      <c r="S155" t="s">
        <v>33</v>
      </c>
      <c r="T155">
        <v>29987</v>
      </c>
      <c r="U155">
        <v>33961</v>
      </c>
      <c r="V155" t="s">
        <v>33</v>
      </c>
    </row>
    <row r="156" spans="1:22">
      <c r="A156" t="str">
        <f t="shared" si="43"/>
        <v>03/03/2026</v>
      </c>
      <c r="B156" t="str">
        <f t="shared" si="42"/>
        <v>SAÍDA</v>
      </c>
      <c r="C156" t="str">
        <f t="shared" si="41"/>
        <v>PIX</v>
      </c>
      <c r="D156" t="str">
        <f>"34009"</f>
        <v>34009</v>
      </c>
      <c r="E156" t="str">
        <f t="shared" si="44"/>
        <v>1</v>
      </c>
      <c r="F156" t="str">
        <f t="shared" si="40"/>
        <v>COM</v>
      </c>
      <c r="G156" t="str">
        <f>"ENTREGADOR DIARISTA (5)"</f>
        <v>ENTREGADOR DIARISTA (5)</v>
      </c>
      <c r="H156" t="str">
        <f>"Serv.Prest. Serv.Prest. DIARIAS 26/02, 27/02 e 28/02/2026 - GUILHERME AMARAL CHAVE PIX: 442.268.128-16"</f>
        <v>Serv.Prest. Serv.Prest. DIARIAS 26/02, 27/02 e 28/02/2026 - GUILHERME AMARAL CHAVE PIX: 442.268.128-16</v>
      </c>
      <c r="I156" t="str">
        <f t="shared" si="45"/>
        <v>03/03/2026</v>
      </c>
      <c r="J156" t="str">
        <f t="shared" si="46"/>
        <v>03/03/2026</v>
      </c>
      <c r="K156" t="str">
        <f>("03/03/2026")</f>
        <v>03/03/2026</v>
      </c>
      <c r="L156">
        <v>450</v>
      </c>
      <c r="M156">
        <v>450</v>
      </c>
      <c r="N156">
        <v>134</v>
      </c>
      <c r="O156" t="str">
        <f>"DIARIA DE MOTOBOY"</f>
        <v>DIARIA DE MOTOBOY</v>
      </c>
      <c r="P156">
        <v>450</v>
      </c>
      <c r="S156" t="str">
        <f>"BANCO CORA (102)"</f>
        <v>BANCO CORA (102)</v>
      </c>
      <c r="T156">
        <v>29988</v>
      </c>
      <c r="U156">
        <v>34013</v>
      </c>
      <c r="V156" t="s">
        <v>33</v>
      </c>
    </row>
    <row r="157" spans="1:22">
      <c r="A157" t="str">
        <f t="shared" si="43"/>
        <v>03/03/2026</v>
      </c>
      <c r="B157" t="str">
        <f t="shared" si="42"/>
        <v>SAÍDA</v>
      </c>
      <c r="C157" t="str">
        <f t="shared" si="41"/>
        <v>PIX</v>
      </c>
      <c r="D157" t="str">
        <f>"34009"</f>
        <v>34009</v>
      </c>
      <c r="E157" t="str">
        <f t="shared" si="44"/>
        <v>1</v>
      </c>
      <c r="F157" t="str">
        <f t="shared" si="40"/>
        <v>COM</v>
      </c>
      <c r="G157" t="str">
        <f>"ENTREGADOR DIARISTA (5)"</f>
        <v>ENTREGADOR DIARISTA (5)</v>
      </c>
      <c r="H157" t="s">
        <v>85</v>
      </c>
      <c r="I157" t="str">
        <f t="shared" si="45"/>
        <v>03/03/2026</v>
      </c>
      <c r="J157" t="str">
        <f t="shared" si="46"/>
        <v>03/03/2026</v>
      </c>
      <c r="K157">
        <v>46084</v>
      </c>
      <c r="N157">
        <v>134</v>
      </c>
      <c r="O157" t="s">
        <v>30</v>
      </c>
      <c r="Q157">
        <v>450</v>
      </c>
      <c r="R157" t="str">
        <f>"PENSE FARMA 22 (10198)"</f>
        <v>PENSE FARMA 22 (10198)</v>
      </c>
      <c r="S157" t="s">
        <v>33</v>
      </c>
      <c r="T157">
        <v>29988</v>
      </c>
      <c r="U157">
        <v>34013</v>
      </c>
      <c r="V157" t="s">
        <v>33</v>
      </c>
    </row>
    <row r="158" spans="1:22">
      <c r="A158" t="str">
        <f t="shared" si="43"/>
        <v>03/03/2026</v>
      </c>
      <c r="B158" t="str">
        <f t="shared" si="42"/>
        <v>SAÍDA</v>
      </c>
      <c r="C158" t="str">
        <f t="shared" si="41"/>
        <v>PIX</v>
      </c>
      <c r="D158" t="str">
        <f>"34131"</f>
        <v>34131</v>
      </c>
      <c r="E158" t="str">
        <f t="shared" si="44"/>
        <v>1</v>
      </c>
      <c r="F158" t="str">
        <f t="shared" si="40"/>
        <v>COM</v>
      </c>
      <c r="G158" t="str">
        <f>"GUILHERME DO CARMO CAZARIM (1268)"</f>
        <v>GUILHERME DO CARMO CAZARIM (1268)</v>
      </c>
      <c r="H158" t="str">
        <f>"Serv.Prest. DIARIA 01/03/2026 - PIX: CELULAR - CHAVE: (32) 99841-7315"</f>
        <v>Serv.Prest. DIARIA 01/03/2026 - PIX: CELULAR - CHAVE: (32) 99841-7315</v>
      </c>
      <c r="I158" t="str">
        <f t="shared" si="45"/>
        <v>03/03/2026</v>
      </c>
      <c r="J158" t="str">
        <f t="shared" si="46"/>
        <v>03/03/2026</v>
      </c>
      <c r="K158" t="str">
        <f>("03/03/2026")</f>
        <v>03/03/2026</v>
      </c>
      <c r="L158">
        <v>150</v>
      </c>
      <c r="M158">
        <v>150</v>
      </c>
      <c r="N158">
        <v>134</v>
      </c>
      <c r="O158" t="str">
        <f>"DIARIA DE MOTOBOY"</f>
        <v>DIARIA DE MOTOBOY</v>
      </c>
      <c r="P158">
        <v>150</v>
      </c>
      <c r="S158" t="str">
        <f>"BANCO C6 (149)"</f>
        <v>BANCO C6 (149)</v>
      </c>
      <c r="T158">
        <v>29989</v>
      </c>
      <c r="U158">
        <v>34131</v>
      </c>
      <c r="V158" t="s">
        <v>37</v>
      </c>
    </row>
    <row r="159" spans="1:22">
      <c r="A159" t="str">
        <f t="shared" si="43"/>
        <v>03/03/2026</v>
      </c>
      <c r="B159" t="str">
        <f t="shared" si="42"/>
        <v>SAÍDA</v>
      </c>
      <c r="C159" t="str">
        <f t="shared" si="41"/>
        <v>PIX</v>
      </c>
      <c r="D159" t="str">
        <f>"34131"</f>
        <v>34131</v>
      </c>
      <c r="E159" t="str">
        <f t="shared" si="44"/>
        <v>1</v>
      </c>
      <c r="F159" t="str">
        <f t="shared" si="40"/>
        <v>COM</v>
      </c>
      <c r="G159" t="str">
        <f>"GUILHERME DO CARMO CAZARIM (1268)"</f>
        <v>GUILHERME DO CARMO CAZARIM (1268)</v>
      </c>
      <c r="H159" t="s">
        <v>86</v>
      </c>
      <c r="I159" t="str">
        <f t="shared" si="45"/>
        <v>03/03/2026</v>
      </c>
      <c r="J159" t="str">
        <f t="shared" si="46"/>
        <v>03/03/2026</v>
      </c>
      <c r="K159">
        <v>46084</v>
      </c>
      <c r="N159">
        <v>134</v>
      </c>
      <c r="O159" t="s">
        <v>30</v>
      </c>
      <c r="Q159">
        <v>30</v>
      </c>
      <c r="R159" t="str">
        <f>"FARMÁCIA INDIANA LJ 112 (10050)"</f>
        <v>FARMÁCIA INDIANA LJ 112 (10050)</v>
      </c>
      <c r="S159" t="s">
        <v>37</v>
      </c>
      <c r="T159">
        <v>29989</v>
      </c>
      <c r="U159">
        <v>34131</v>
      </c>
      <c r="V159" t="s">
        <v>37</v>
      </c>
    </row>
    <row r="160" spans="1:22">
      <c r="A160" t="str">
        <f t="shared" si="43"/>
        <v>03/03/2026</v>
      </c>
      <c r="B160" t="str">
        <f t="shared" si="42"/>
        <v>SAÍDA</v>
      </c>
      <c r="C160" t="str">
        <f t="shared" si="41"/>
        <v>PIX</v>
      </c>
      <c r="D160" t="str">
        <f>"34131"</f>
        <v>34131</v>
      </c>
      <c r="E160" t="str">
        <f t="shared" si="44"/>
        <v>1</v>
      </c>
      <c r="F160" t="str">
        <f t="shared" si="40"/>
        <v>COM</v>
      </c>
      <c r="G160" t="str">
        <f>"GUILHERME DO CARMO CAZARIM (1268)"</f>
        <v>GUILHERME DO CARMO CAZARIM (1268)</v>
      </c>
      <c r="H160" t="s">
        <v>86</v>
      </c>
      <c r="I160" t="str">
        <f t="shared" si="45"/>
        <v>03/03/2026</v>
      </c>
      <c r="J160" t="str">
        <f t="shared" si="46"/>
        <v>03/03/2026</v>
      </c>
      <c r="K160">
        <v>46084</v>
      </c>
      <c r="N160">
        <v>134</v>
      </c>
      <c r="O160" t="s">
        <v>30</v>
      </c>
      <c r="Q160">
        <v>120</v>
      </c>
      <c r="R160" t="str">
        <f>"FARMÁCIA INDIANA LJ 128 (10057)"</f>
        <v>FARMÁCIA INDIANA LJ 128 (10057)</v>
      </c>
      <c r="S160" t="s">
        <v>37</v>
      </c>
      <c r="T160">
        <v>29989</v>
      </c>
      <c r="U160">
        <v>34131</v>
      </c>
      <c r="V160" t="s">
        <v>37</v>
      </c>
    </row>
    <row r="161" spans="1:22">
      <c r="A161" t="str">
        <f t="shared" si="43"/>
        <v>03/03/2026</v>
      </c>
      <c r="B161" t="str">
        <f t="shared" si="42"/>
        <v>SAÍDA</v>
      </c>
      <c r="C161" t="str">
        <f t="shared" si="41"/>
        <v>PIX</v>
      </c>
      <c r="D161" t="str">
        <f>"34143"</f>
        <v>34143</v>
      </c>
      <c r="E161" t="str">
        <f t="shared" si="44"/>
        <v>1</v>
      </c>
      <c r="F161" t="str">
        <f t="shared" si="40"/>
        <v>COM</v>
      </c>
      <c r="G161" t="str">
        <f>"JOSE ERIC SILVA MACENA (854)"</f>
        <v>JOSE ERIC SILVA MACENA (854)</v>
      </c>
      <c r="H161" t="str">
        <f>"Serv.Prest. DIARIA 01/03/2026 - PIX: E-MAIL - CHAVE: ericsilva8marcena@gmail.com"</f>
        <v>Serv.Prest. DIARIA 01/03/2026 - PIX: E-MAIL - CHAVE: ericsilva8marcena@gmail.com</v>
      </c>
      <c r="I161" t="str">
        <f t="shared" si="45"/>
        <v>03/03/2026</v>
      </c>
      <c r="J161" t="str">
        <f t="shared" si="46"/>
        <v>03/03/2026</v>
      </c>
      <c r="K161" t="str">
        <f>("03/03/2026")</f>
        <v>03/03/2026</v>
      </c>
      <c r="L161">
        <v>180</v>
      </c>
      <c r="M161">
        <v>180</v>
      </c>
      <c r="N161">
        <v>134</v>
      </c>
      <c r="O161" t="str">
        <f>"DIARIA DE MOTOBOY"</f>
        <v>DIARIA DE MOTOBOY</v>
      </c>
      <c r="P161">
        <v>180</v>
      </c>
      <c r="S161" t="str">
        <f>"BANCO C6 (149)"</f>
        <v>BANCO C6 (149)</v>
      </c>
      <c r="T161">
        <v>29990</v>
      </c>
      <c r="U161">
        <v>34143</v>
      </c>
      <c r="V161" t="s">
        <v>37</v>
      </c>
    </row>
    <row r="162" spans="1:22">
      <c r="A162" t="str">
        <f t="shared" si="43"/>
        <v>03/03/2026</v>
      </c>
      <c r="B162" t="str">
        <f t="shared" si="42"/>
        <v>SAÍDA</v>
      </c>
      <c r="C162" t="str">
        <f t="shared" si="41"/>
        <v>PIX</v>
      </c>
      <c r="D162" t="str">
        <f>"34143"</f>
        <v>34143</v>
      </c>
      <c r="E162" t="str">
        <f t="shared" si="44"/>
        <v>1</v>
      </c>
      <c r="F162" t="str">
        <f t="shared" si="40"/>
        <v>COM</v>
      </c>
      <c r="G162" t="str">
        <f>"JOSE ERIC SILVA MACENA (854)"</f>
        <v>JOSE ERIC SILVA MACENA (854)</v>
      </c>
      <c r="H162" t="s">
        <v>87</v>
      </c>
      <c r="I162" t="str">
        <f t="shared" si="45"/>
        <v>03/03/2026</v>
      </c>
      <c r="J162" t="str">
        <f t="shared" si="46"/>
        <v>03/03/2026</v>
      </c>
      <c r="K162">
        <v>46084</v>
      </c>
      <c r="N162">
        <v>134</v>
      </c>
      <c r="O162" t="s">
        <v>30</v>
      </c>
      <c r="Q162">
        <v>180</v>
      </c>
      <c r="R162" t="str">
        <f>"FARMÁCIA INDIANA LJ 101 (10043)"</f>
        <v>FARMÁCIA INDIANA LJ 101 (10043)</v>
      </c>
      <c r="S162" t="s">
        <v>37</v>
      </c>
      <c r="T162">
        <v>29990</v>
      </c>
      <c r="U162">
        <v>34143</v>
      </c>
      <c r="V162" t="s">
        <v>37</v>
      </c>
    </row>
    <row r="163" spans="1:22">
      <c r="A163" t="str">
        <f t="shared" si="43"/>
        <v>03/03/2026</v>
      </c>
      <c r="B163" t="str">
        <f t="shared" si="42"/>
        <v>SAÍDA</v>
      </c>
      <c r="C163" t="str">
        <f t="shared" si="41"/>
        <v>PIX</v>
      </c>
      <c r="D163" t="str">
        <f>"34148"</f>
        <v>34148</v>
      </c>
      <c r="E163" t="str">
        <f t="shared" si="44"/>
        <v>1</v>
      </c>
      <c r="F163" t="str">
        <f t="shared" si="40"/>
        <v>COM</v>
      </c>
      <c r="G163" t="str">
        <f>"JUSSARA CRISTINA FARIA (783)"</f>
        <v>JUSSARA CRISTINA FARIA (783)</v>
      </c>
      <c r="H163" t="str">
        <f>"Serv.Prest. DIARIAS 27/02, 28/02 E 01/03/2026 - PIX: CELULAR - CHAVE: (31) 99373-5678"</f>
        <v>Serv.Prest. DIARIAS 27/02, 28/02 E 01/03/2026 - PIX: CELULAR - CHAVE: (31) 99373-5678</v>
      </c>
      <c r="I163" t="str">
        <f t="shared" si="45"/>
        <v>03/03/2026</v>
      </c>
      <c r="J163" t="str">
        <f t="shared" si="46"/>
        <v>03/03/2026</v>
      </c>
      <c r="K163" t="str">
        <f>("03/03/2026")</f>
        <v>03/03/2026</v>
      </c>
      <c r="L163">
        <v>600</v>
      </c>
      <c r="M163">
        <v>600</v>
      </c>
      <c r="N163">
        <v>134</v>
      </c>
      <c r="O163" t="str">
        <f>"DIARIA DE MOTOBOY"</f>
        <v>DIARIA DE MOTOBOY</v>
      </c>
      <c r="P163">
        <v>600</v>
      </c>
      <c r="S163" t="str">
        <f>"BANCO C6 (149)"</f>
        <v>BANCO C6 (149)</v>
      </c>
      <c r="T163">
        <v>29991</v>
      </c>
      <c r="U163">
        <v>34148</v>
      </c>
      <c r="V163" t="s">
        <v>37</v>
      </c>
    </row>
    <row r="164" spans="1:22">
      <c r="A164" t="str">
        <f t="shared" si="43"/>
        <v>03/03/2026</v>
      </c>
      <c r="B164" t="str">
        <f t="shared" si="42"/>
        <v>SAÍDA</v>
      </c>
      <c r="C164" t="str">
        <f t="shared" si="41"/>
        <v>PIX</v>
      </c>
      <c r="D164" t="str">
        <f>"34148"</f>
        <v>34148</v>
      </c>
      <c r="E164" t="str">
        <f t="shared" si="44"/>
        <v>1</v>
      </c>
      <c r="F164" t="str">
        <f t="shared" si="40"/>
        <v>COM</v>
      </c>
      <c r="G164" t="str">
        <f>"JUSSARA CRISTINA FARIA (783)"</f>
        <v>JUSSARA CRISTINA FARIA (783)</v>
      </c>
      <c r="H164" t="s">
        <v>88</v>
      </c>
      <c r="I164" t="str">
        <f t="shared" si="45"/>
        <v>03/03/2026</v>
      </c>
      <c r="J164" t="str">
        <f t="shared" si="46"/>
        <v>03/03/2026</v>
      </c>
      <c r="K164">
        <v>46084</v>
      </c>
      <c r="N164">
        <v>134</v>
      </c>
      <c r="O164" t="s">
        <v>30</v>
      </c>
      <c r="Q164">
        <v>600</v>
      </c>
      <c r="R164" t="str">
        <f>"FARMÁCIA INDIANA LJ 110 (10048)"</f>
        <v>FARMÁCIA INDIANA LJ 110 (10048)</v>
      </c>
      <c r="S164" t="s">
        <v>37</v>
      </c>
      <c r="T164">
        <v>29991</v>
      </c>
      <c r="U164">
        <v>34148</v>
      </c>
      <c r="V164" t="s">
        <v>37</v>
      </c>
    </row>
    <row r="165" spans="1:22">
      <c r="A165" t="str">
        <f t="shared" si="43"/>
        <v>03/03/2026</v>
      </c>
      <c r="B165" t="str">
        <f t="shared" si="42"/>
        <v>SAÍDA</v>
      </c>
      <c r="C165" t="str">
        <f t="shared" si="41"/>
        <v>PIX</v>
      </c>
      <c r="D165" t="str">
        <f>"34155"</f>
        <v>34155</v>
      </c>
      <c r="E165" t="str">
        <f t="shared" si="44"/>
        <v>1</v>
      </c>
      <c r="F165" t="str">
        <f t="shared" si="40"/>
        <v>COM</v>
      </c>
      <c r="G165" t="str">
        <f>"LUCAS RODRIGO LAGE ARRUDA (1052)"</f>
        <v>LUCAS RODRIGO LAGE ARRUDA (1052)</v>
      </c>
      <c r="H165" t="str">
        <f>"Serv.Prest. DIARIA 28/02 E 01/03/2026 - PIX: CELULAR - CHAVE: (31) 99607-6585"</f>
        <v>Serv.Prest. DIARIA 28/02 E 01/03/2026 - PIX: CELULAR - CHAVE: (31) 99607-6585</v>
      </c>
      <c r="I165" t="str">
        <f t="shared" si="45"/>
        <v>03/03/2026</v>
      </c>
      <c r="J165" t="str">
        <f t="shared" si="46"/>
        <v>03/03/2026</v>
      </c>
      <c r="K165" t="str">
        <f>("03/03/2026")</f>
        <v>03/03/2026</v>
      </c>
      <c r="L165">
        <v>360</v>
      </c>
      <c r="M165">
        <v>360</v>
      </c>
      <c r="N165">
        <v>134</v>
      </c>
      <c r="O165" t="str">
        <f>"DIARIA DE MOTOBOY"</f>
        <v>DIARIA DE MOTOBOY</v>
      </c>
      <c r="P165">
        <v>360</v>
      </c>
      <c r="S165" t="str">
        <f>"BANCO C6 (149)"</f>
        <v>BANCO C6 (149)</v>
      </c>
      <c r="T165">
        <v>29992</v>
      </c>
      <c r="U165">
        <v>34155</v>
      </c>
      <c r="V165" t="s">
        <v>37</v>
      </c>
    </row>
    <row r="166" spans="1:22">
      <c r="A166" t="str">
        <f t="shared" si="43"/>
        <v>03/03/2026</v>
      </c>
      <c r="B166" t="str">
        <f t="shared" si="42"/>
        <v>SAÍDA</v>
      </c>
      <c r="C166" t="str">
        <f t="shared" si="41"/>
        <v>PIX</v>
      </c>
      <c r="D166" t="str">
        <f>"34155"</f>
        <v>34155</v>
      </c>
      <c r="E166" t="str">
        <f t="shared" si="44"/>
        <v>1</v>
      </c>
      <c r="F166" t="str">
        <f t="shared" si="40"/>
        <v>COM</v>
      </c>
      <c r="G166" t="str">
        <f>"LUCAS RODRIGO LAGE ARRUDA (1052)"</f>
        <v>LUCAS RODRIGO LAGE ARRUDA (1052)</v>
      </c>
      <c r="H166" t="s">
        <v>89</v>
      </c>
      <c r="I166" t="str">
        <f t="shared" si="45"/>
        <v>03/03/2026</v>
      </c>
      <c r="J166" t="str">
        <f t="shared" si="46"/>
        <v>03/03/2026</v>
      </c>
      <c r="K166">
        <v>46084</v>
      </c>
      <c r="N166">
        <v>134</v>
      </c>
      <c r="O166" t="s">
        <v>30</v>
      </c>
      <c r="Q166">
        <v>360</v>
      </c>
      <c r="R166" t="str">
        <f>"FARMÁCIA INDIANA LJ 101 (10043)"</f>
        <v>FARMÁCIA INDIANA LJ 101 (10043)</v>
      </c>
      <c r="S166" t="s">
        <v>37</v>
      </c>
      <c r="T166">
        <v>29992</v>
      </c>
      <c r="U166">
        <v>34155</v>
      </c>
      <c r="V166" t="s">
        <v>37</v>
      </c>
    </row>
    <row r="167" spans="1:22">
      <c r="A167" t="str">
        <f t="shared" si="43"/>
        <v>03/03/2026</v>
      </c>
      <c r="B167" t="str">
        <f t="shared" si="42"/>
        <v>SAÍDA</v>
      </c>
      <c r="C167" t="str">
        <f t="shared" si="41"/>
        <v>PIX</v>
      </c>
      <c r="D167" t="str">
        <f>"34159"</f>
        <v>34159</v>
      </c>
      <c r="E167" t="str">
        <f t="shared" si="44"/>
        <v>1</v>
      </c>
      <c r="F167" t="str">
        <f t="shared" si="40"/>
        <v>COM</v>
      </c>
      <c r="G167" t="str">
        <f>"LUIZ FERNANDO SILVA VICENTE (1166)"</f>
        <v>LUIZ FERNANDO SILVA VICENTE (1166)</v>
      </c>
      <c r="H167" t="str">
        <f>"Serv.Prest. DIARIA 01/03/2026 - PIX: CPF - CHAVE: 105.020.076-48"</f>
        <v>Serv.Prest. DIARIA 01/03/2026 - PIX: CPF - CHAVE: 105.020.076-48</v>
      </c>
      <c r="I167" t="str">
        <f t="shared" si="45"/>
        <v>03/03/2026</v>
      </c>
      <c r="J167" t="str">
        <f t="shared" si="46"/>
        <v>03/03/2026</v>
      </c>
      <c r="K167" t="str">
        <f>("03/03/2026")</f>
        <v>03/03/2026</v>
      </c>
      <c r="L167">
        <v>150</v>
      </c>
      <c r="M167">
        <v>150</v>
      </c>
      <c r="N167">
        <v>134</v>
      </c>
      <c r="O167" t="str">
        <f>"DIARIA DE MOTOBOY"</f>
        <v>DIARIA DE MOTOBOY</v>
      </c>
      <c r="P167">
        <v>150</v>
      </c>
      <c r="S167" t="str">
        <f>"BANCO C6 (149)"</f>
        <v>BANCO C6 (149)</v>
      </c>
      <c r="T167">
        <v>29993</v>
      </c>
      <c r="U167">
        <v>34159</v>
      </c>
      <c r="V167" t="s">
        <v>37</v>
      </c>
    </row>
    <row r="168" spans="1:22">
      <c r="A168" t="str">
        <f t="shared" si="43"/>
        <v>03/03/2026</v>
      </c>
      <c r="B168" t="str">
        <f t="shared" si="42"/>
        <v>SAÍDA</v>
      </c>
      <c r="C168" t="str">
        <f t="shared" si="41"/>
        <v>PIX</v>
      </c>
      <c r="D168" t="str">
        <f>"34159"</f>
        <v>34159</v>
      </c>
      <c r="E168" t="str">
        <f t="shared" si="44"/>
        <v>1</v>
      </c>
      <c r="F168" t="str">
        <f t="shared" si="40"/>
        <v>COM</v>
      </c>
      <c r="G168" t="str">
        <f>"LUIZ FERNANDO SILVA VICENTE (1166)"</f>
        <v>LUIZ FERNANDO SILVA VICENTE (1166)</v>
      </c>
      <c r="H168" t="s">
        <v>90</v>
      </c>
      <c r="I168" t="str">
        <f t="shared" si="45"/>
        <v>03/03/2026</v>
      </c>
      <c r="J168" t="str">
        <f t="shared" si="46"/>
        <v>03/03/2026</v>
      </c>
      <c r="K168">
        <v>46084</v>
      </c>
      <c r="N168">
        <v>134</v>
      </c>
      <c r="O168" t="s">
        <v>30</v>
      </c>
      <c r="Q168">
        <v>150</v>
      </c>
      <c r="R168" t="str">
        <f>"FARMÁCIA INDIANA LJ 134 (10271)"</f>
        <v>FARMÁCIA INDIANA LJ 134 (10271)</v>
      </c>
      <c r="S168" t="s">
        <v>37</v>
      </c>
      <c r="T168">
        <v>29993</v>
      </c>
      <c r="U168">
        <v>34159</v>
      </c>
      <c r="V168" t="s">
        <v>37</v>
      </c>
    </row>
    <row r="169" spans="1:22">
      <c r="A169" t="str">
        <f t="shared" si="43"/>
        <v>03/03/2026</v>
      </c>
      <c r="B169" t="str">
        <f t="shared" si="42"/>
        <v>SAÍDA</v>
      </c>
      <c r="C169" t="str">
        <f t="shared" si="41"/>
        <v>PIX</v>
      </c>
      <c r="D169" t="str">
        <f>"34176"</f>
        <v>34176</v>
      </c>
      <c r="E169" t="str">
        <f t="shared" si="44"/>
        <v>1</v>
      </c>
      <c r="F169" t="str">
        <f t="shared" si="40"/>
        <v>COM</v>
      </c>
      <c r="G169" t="str">
        <f>"RENAN PABLO PEREIRA FERNANDES (1119)"</f>
        <v>RENAN PABLO PEREIRA FERNANDES (1119)</v>
      </c>
      <c r="H169" t="str">
        <f>"Serv.Prest. DIARIA 01/03/2026 - PIX: CPF - CHAVE: 152.577.816-11"</f>
        <v>Serv.Prest. DIARIA 01/03/2026 - PIX: CPF - CHAVE: 152.577.816-11</v>
      </c>
      <c r="I169" t="str">
        <f t="shared" si="45"/>
        <v>03/03/2026</v>
      </c>
      <c r="J169" t="str">
        <f t="shared" si="46"/>
        <v>03/03/2026</v>
      </c>
      <c r="K169" t="str">
        <f>("03/03/2026")</f>
        <v>03/03/2026</v>
      </c>
      <c r="L169">
        <v>168</v>
      </c>
      <c r="M169">
        <v>170</v>
      </c>
      <c r="N169">
        <v>134</v>
      </c>
      <c r="O169" t="str">
        <f>"DIARIA DE MOTOBOY"</f>
        <v>DIARIA DE MOTOBOY</v>
      </c>
      <c r="P169">
        <v>170</v>
      </c>
      <c r="S169" t="str">
        <f>"BANCO C6 (149)"</f>
        <v>BANCO C6 (149)</v>
      </c>
      <c r="T169">
        <v>29994</v>
      </c>
      <c r="U169">
        <v>34176</v>
      </c>
      <c r="V169" t="s">
        <v>37</v>
      </c>
    </row>
    <row r="170" spans="1:22">
      <c r="A170" t="str">
        <f t="shared" si="43"/>
        <v>03/03/2026</v>
      </c>
      <c r="B170" t="str">
        <f t="shared" si="42"/>
        <v>SAÍDA</v>
      </c>
      <c r="C170" t="str">
        <f t="shared" si="41"/>
        <v>PIX</v>
      </c>
      <c r="D170" t="str">
        <f>"34176"</f>
        <v>34176</v>
      </c>
      <c r="E170" t="str">
        <f t="shared" si="44"/>
        <v>1</v>
      </c>
      <c r="F170" t="str">
        <f t="shared" si="40"/>
        <v>COM</v>
      </c>
      <c r="G170" t="str">
        <f>"RENAN PABLO PEREIRA FERNANDES (1119)"</f>
        <v>RENAN PABLO PEREIRA FERNANDES (1119)</v>
      </c>
      <c r="H170" t="s">
        <v>91</v>
      </c>
      <c r="I170" t="str">
        <f t="shared" si="45"/>
        <v>03/03/2026</v>
      </c>
      <c r="J170" t="str">
        <f t="shared" si="46"/>
        <v>03/03/2026</v>
      </c>
      <c r="K170">
        <v>46084</v>
      </c>
      <c r="N170">
        <v>134</v>
      </c>
      <c r="O170" t="s">
        <v>30</v>
      </c>
      <c r="Q170">
        <v>170</v>
      </c>
      <c r="R170" t="str">
        <f>"FARMÁCIA INDIANA LJ 118 (10052)"</f>
        <v>FARMÁCIA INDIANA LJ 118 (10052)</v>
      </c>
      <c r="S170" t="s">
        <v>37</v>
      </c>
      <c r="T170">
        <v>29994</v>
      </c>
      <c r="U170">
        <v>34176</v>
      </c>
      <c r="V170" t="s">
        <v>37</v>
      </c>
    </row>
    <row r="171" spans="1:22">
      <c r="A171" t="str">
        <f t="shared" si="43"/>
        <v>03/03/2026</v>
      </c>
      <c r="B171" t="str">
        <f t="shared" si="42"/>
        <v>SAÍDA</v>
      </c>
      <c r="C171" t="str">
        <f t="shared" si="41"/>
        <v>PIX</v>
      </c>
      <c r="D171" t="str">
        <f>"34177"</f>
        <v>34177</v>
      </c>
      <c r="E171" t="str">
        <f t="shared" si="44"/>
        <v>1</v>
      </c>
      <c r="F171" t="str">
        <f t="shared" si="40"/>
        <v>COM</v>
      </c>
      <c r="G171" t="str">
        <f>"RENATO DE SOUZA HADDAD (1059)"</f>
        <v>RENATO DE SOUZA HADDAD (1059)</v>
      </c>
      <c r="H171" t="str">
        <f>"Serv.Prest. DIARIA 01/03/2026 - PIX: CELULAR - CHAVE: (32) 98703-8039"</f>
        <v>Serv.Prest. DIARIA 01/03/2026 - PIX: CELULAR - CHAVE: (32) 98703-8039</v>
      </c>
      <c r="I171" t="str">
        <f t="shared" si="45"/>
        <v>03/03/2026</v>
      </c>
      <c r="J171" t="str">
        <f t="shared" si="46"/>
        <v>03/03/2026</v>
      </c>
      <c r="K171" t="str">
        <f>("03/03/2026")</f>
        <v>03/03/2026</v>
      </c>
      <c r="L171">
        <v>119</v>
      </c>
      <c r="M171">
        <v>120</v>
      </c>
      <c r="N171">
        <v>134</v>
      </c>
      <c r="O171" t="str">
        <f>"DIARIA DE MOTOBOY"</f>
        <v>DIARIA DE MOTOBOY</v>
      </c>
      <c r="P171">
        <v>120</v>
      </c>
      <c r="S171" t="str">
        <f>"BANCO C6 (149)"</f>
        <v>BANCO C6 (149)</v>
      </c>
      <c r="T171">
        <v>29995</v>
      </c>
      <c r="U171">
        <v>34177</v>
      </c>
      <c r="V171" t="s">
        <v>37</v>
      </c>
    </row>
    <row r="172" spans="1:22">
      <c r="A172" t="str">
        <f t="shared" si="43"/>
        <v>03/03/2026</v>
      </c>
      <c r="B172" t="str">
        <f t="shared" si="42"/>
        <v>SAÍDA</v>
      </c>
      <c r="C172" t="str">
        <f t="shared" si="41"/>
        <v>PIX</v>
      </c>
      <c r="D172" t="str">
        <f>"34177"</f>
        <v>34177</v>
      </c>
      <c r="E172" t="str">
        <f t="shared" si="44"/>
        <v>1</v>
      </c>
      <c r="F172" t="str">
        <f t="shared" si="40"/>
        <v>COM</v>
      </c>
      <c r="G172" t="str">
        <f>"RENATO DE SOUZA HADDAD (1059)"</f>
        <v>RENATO DE SOUZA HADDAD (1059)</v>
      </c>
      <c r="H172" t="s">
        <v>92</v>
      </c>
      <c r="I172" t="str">
        <f t="shared" si="45"/>
        <v>03/03/2026</v>
      </c>
      <c r="J172" t="str">
        <f t="shared" si="46"/>
        <v>03/03/2026</v>
      </c>
      <c r="K172">
        <v>46084</v>
      </c>
      <c r="N172">
        <v>134</v>
      </c>
      <c r="O172" t="s">
        <v>30</v>
      </c>
      <c r="Q172">
        <v>120</v>
      </c>
      <c r="R172" t="str">
        <f>"FARMÁCIA INDIANA LJ 219 (10091)"</f>
        <v>FARMÁCIA INDIANA LJ 219 (10091)</v>
      </c>
      <c r="S172" t="s">
        <v>37</v>
      </c>
      <c r="T172">
        <v>29995</v>
      </c>
      <c r="U172">
        <v>34177</v>
      </c>
      <c r="V172" t="s">
        <v>37</v>
      </c>
    </row>
    <row r="173" spans="1:22">
      <c r="A173" t="str">
        <f t="shared" si="43"/>
        <v>03/03/2026</v>
      </c>
      <c r="B173" t="str">
        <f t="shared" si="42"/>
        <v>SAÍDA</v>
      </c>
      <c r="C173" t="str">
        <f t="shared" si="41"/>
        <v>PIX</v>
      </c>
      <c r="D173" t="str">
        <f>"34196"</f>
        <v>34196</v>
      </c>
      <c r="E173" t="str">
        <f t="shared" si="44"/>
        <v>1</v>
      </c>
      <c r="F173" t="str">
        <f t="shared" si="40"/>
        <v>COM</v>
      </c>
      <c r="G173" t="str">
        <f>"WILLIAN VAZ DA SILVA (96)"</f>
        <v>WILLIAN VAZ DA SILVA (96)</v>
      </c>
      <c r="H173" t="str">
        <f>"Serv.Prest. DIARIA 01/03/2026 - PIX: CELULAR - CHAVE: (32) 98889-7793"</f>
        <v>Serv.Prest. DIARIA 01/03/2026 - PIX: CELULAR - CHAVE: (32) 98889-7793</v>
      </c>
      <c r="I173" t="str">
        <f t="shared" si="45"/>
        <v>03/03/2026</v>
      </c>
      <c r="J173" t="str">
        <f t="shared" si="46"/>
        <v>03/03/2026</v>
      </c>
      <c r="K173" t="str">
        <f>("03/03/2026")</f>
        <v>03/03/2026</v>
      </c>
      <c r="L173">
        <v>168</v>
      </c>
      <c r="M173">
        <v>162</v>
      </c>
      <c r="N173">
        <v>134</v>
      </c>
      <c r="O173" t="str">
        <f>"DIARIA DE MOTOBOY"</f>
        <v>DIARIA DE MOTOBOY</v>
      </c>
      <c r="P173">
        <v>162</v>
      </c>
      <c r="S173" t="str">
        <f>"BANCO C6 (149)"</f>
        <v>BANCO C6 (149)</v>
      </c>
      <c r="T173">
        <v>29996</v>
      </c>
      <c r="U173">
        <v>34196</v>
      </c>
      <c r="V173" t="s">
        <v>37</v>
      </c>
    </row>
    <row r="174" spans="1:22">
      <c r="A174" t="str">
        <f t="shared" si="43"/>
        <v>03/03/2026</v>
      </c>
      <c r="B174" t="str">
        <f t="shared" si="42"/>
        <v>SAÍDA</v>
      </c>
      <c r="C174" t="str">
        <f t="shared" si="41"/>
        <v>PIX</v>
      </c>
      <c r="D174" t="str">
        <f>"34196"</f>
        <v>34196</v>
      </c>
      <c r="E174" t="str">
        <f t="shared" si="44"/>
        <v>1</v>
      </c>
      <c r="F174" t="str">
        <f t="shared" si="40"/>
        <v>COM</v>
      </c>
      <c r="G174" t="str">
        <f>"WILLIAN VAZ DA SILVA (96)"</f>
        <v>WILLIAN VAZ DA SILVA (96)</v>
      </c>
      <c r="H174" t="s">
        <v>93</v>
      </c>
      <c r="I174" t="str">
        <f t="shared" si="45"/>
        <v>03/03/2026</v>
      </c>
      <c r="J174" t="str">
        <f t="shared" si="46"/>
        <v>03/03/2026</v>
      </c>
      <c r="K174">
        <v>46084</v>
      </c>
      <c r="N174">
        <v>134</v>
      </c>
      <c r="O174" t="s">
        <v>30</v>
      </c>
      <c r="Q174">
        <v>81</v>
      </c>
      <c r="R174" t="str">
        <f>"FARMÁCIA INDIANA LJ 109 (10047)"</f>
        <v>FARMÁCIA INDIANA LJ 109 (10047)</v>
      </c>
      <c r="S174" t="s">
        <v>37</v>
      </c>
      <c r="T174">
        <v>29996</v>
      </c>
      <c r="U174">
        <v>34196</v>
      </c>
      <c r="V174" t="s">
        <v>37</v>
      </c>
    </row>
    <row r="175" spans="1:22">
      <c r="A175" t="str">
        <f t="shared" si="43"/>
        <v>03/03/2026</v>
      </c>
      <c r="B175" t="str">
        <f t="shared" si="42"/>
        <v>SAÍDA</v>
      </c>
      <c r="C175" t="str">
        <f t="shared" si="41"/>
        <v>PIX</v>
      </c>
      <c r="D175" t="str">
        <f>"34196"</f>
        <v>34196</v>
      </c>
      <c r="E175" t="str">
        <f t="shared" si="44"/>
        <v>1</v>
      </c>
      <c r="F175" t="str">
        <f t="shared" si="40"/>
        <v>COM</v>
      </c>
      <c r="G175" t="str">
        <f>"WILLIAN VAZ DA SILVA (96)"</f>
        <v>WILLIAN VAZ DA SILVA (96)</v>
      </c>
      <c r="H175" t="s">
        <v>93</v>
      </c>
      <c r="I175" t="str">
        <f t="shared" si="45"/>
        <v>03/03/2026</v>
      </c>
      <c r="J175" t="str">
        <f t="shared" si="46"/>
        <v>03/03/2026</v>
      </c>
      <c r="K175">
        <v>46084</v>
      </c>
      <c r="N175">
        <v>134</v>
      </c>
      <c r="O175" t="s">
        <v>30</v>
      </c>
      <c r="Q175">
        <v>81</v>
      </c>
      <c r="R175" t="str">
        <f>"FARMÁCIA INDIANA LJ 284 (10280)"</f>
        <v>FARMÁCIA INDIANA LJ 284 (10280)</v>
      </c>
      <c r="S175" t="s">
        <v>37</v>
      </c>
      <c r="T175">
        <v>29996</v>
      </c>
      <c r="U175">
        <v>34196</v>
      </c>
      <c r="V175" t="s">
        <v>37</v>
      </c>
    </row>
    <row r="176" spans="1:22">
      <c r="A176" t="str">
        <f t="shared" si="43"/>
        <v>03/03/2026</v>
      </c>
      <c r="B176" t="str">
        <f t="shared" si="42"/>
        <v>SAÍDA</v>
      </c>
      <c r="C176" t="str">
        <f t="shared" si="41"/>
        <v>PIX</v>
      </c>
      <c r="D176" t="str">
        <f>"34162"</f>
        <v>34162</v>
      </c>
      <c r="E176" t="str">
        <f t="shared" si="44"/>
        <v>1</v>
      </c>
      <c r="F176" t="str">
        <f t="shared" si="40"/>
        <v>COM</v>
      </c>
      <c r="G176" t="str">
        <f>"MARCOS RODRIGUES PENA (64)"</f>
        <v>MARCOS RODRIGUES PENA (64)</v>
      </c>
      <c r="H176" t="str">
        <f>"Serv.Prest. DIARIA 01/03/2026 - PIX: CELULAR - CHAVE: (33) 99194-2339"</f>
        <v>Serv.Prest. DIARIA 01/03/2026 - PIX: CELULAR - CHAVE: (33) 99194-2339</v>
      </c>
      <c r="I176" t="str">
        <f t="shared" si="45"/>
        <v>03/03/2026</v>
      </c>
      <c r="J176" t="str">
        <f t="shared" si="46"/>
        <v>03/03/2026</v>
      </c>
      <c r="K176" t="str">
        <f>("03/03/2026")</f>
        <v>03/03/2026</v>
      </c>
      <c r="L176">
        <v>140</v>
      </c>
      <c r="M176">
        <v>140</v>
      </c>
      <c r="N176">
        <v>134</v>
      </c>
      <c r="O176" t="str">
        <f>"DIARIA DE MOTOBOY"</f>
        <v>DIARIA DE MOTOBOY</v>
      </c>
      <c r="P176">
        <v>140</v>
      </c>
      <c r="S176" t="str">
        <f>"BANCO C6 (149)"</f>
        <v>BANCO C6 (149)</v>
      </c>
      <c r="T176">
        <v>29997</v>
      </c>
      <c r="U176">
        <v>34199</v>
      </c>
      <c r="V176" t="s">
        <v>37</v>
      </c>
    </row>
    <row r="177" spans="1:22">
      <c r="A177" t="str">
        <f t="shared" si="43"/>
        <v>03/03/2026</v>
      </c>
      <c r="B177" t="str">
        <f t="shared" si="42"/>
        <v>SAÍDA</v>
      </c>
      <c r="C177" t="str">
        <f t="shared" si="41"/>
        <v>PIX</v>
      </c>
      <c r="D177" t="str">
        <f>"34162"</f>
        <v>34162</v>
      </c>
      <c r="E177" t="str">
        <f t="shared" si="44"/>
        <v>1</v>
      </c>
      <c r="F177" t="str">
        <f t="shared" si="40"/>
        <v>COM</v>
      </c>
      <c r="G177" t="str">
        <f>"MARCOS RODRIGUES PENA (64)"</f>
        <v>MARCOS RODRIGUES PENA (64)</v>
      </c>
      <c r="H177" t="s">
        <v>94</v>
      </c>
      <c r="I177" t="str">
        <f t="shared" si="45"/>
        <v>03/03/2026</v>
      </c>
      <c r="J177" t="str">
        <f t="shared" si="46"/>
        <v>03/03/2026</v>
      </c>
      <c r="K177">
        <v>46084</v>
      </c>
      <c r="N177">
        <v>134</v>
      </c>
      <c r="O177" t="s">
        <v>30</v>
      </c>
      <c r="Q177">
        <v>140</v>
      </c>
      <c r="R177" t="str">
        <f>"FARMÁCIA INDIANA LJ 62 (10028)"</f>
        <v>FARMÁCIA INDIANA LJ 62 (10028)</v>
      </c>
      <c r="S177" t="s">
        <v>37</v>
      </c>
      <c r="T177">
        <v>29997</v>
      </c>
      <c r="U177">
        <v>34199</v>
      </c>
      <c r="V177" t="s">
        <v>37</v>
      </c>
    </row>
    <row r="178" spans="1:22">
      <c r="A178" t="str">
        <f t="shared" si="43"/>
        <v>03/03/2026</v>
      </c>
      <c r="B178" t="str">
        <f t="shared" si="42"/>
        <v>SAÍDA</v>
      </c>
      <c r="C178" t="str">
        <f t="shared" si="41"/>
        <v>PIX</v>
      </c>
      <c r="D178" t="str">
        <f>"33599"</f>
        <v>33599</v>
      </c>
      <c r="E178" t="str">
        <f t="shared" si="44"/>
        <v>1</v>
      </c>
      <c r="F178" t="str">
        <f t="shared" si="40"/>
        <v>COM</v>
      </c>
      <c r="G178" t="str">
        <f t="shared" ref="G178:G186" si="47">"CASSIO DIAS RIBEIRO (32)"</f>
        <v>CASSIO DIAS RIBEIRO (32)</v>
      </c>
      <c r="H178" t="str">
        <f>"Serv.Prest. 16/02/2026 a 22/02/2026 - PIX: CNPJ - CHAVE: 35.986.676/0001-80"</f>
        <v>Serv.Prest. 16/02/2026 a 22/02/2026 - PIX: CNPJ - CHAVE: 35.986.676/0001-80</v>
      </c>
      <c r="I178" t="str">
        <f>("05/03/2026")</f>
        <v>05/03/2026</v>
      </c>
      <c r="J178" t="str">
        <f>("24/02/2026")</f>
        <v>24/02/2026</v>
      </c>
      <c r="K178" t="str">
        <f>("03/03/2026")</f>
        <v>03/03/2026</v>
      </c>
      <c r="L178">
        <v>100</v>
      </c>
      <c r="M178">
        <v>100</v>
      </c>
      <c r="N178">
        <v>109</v>
      </c>
      <c r="O178" t="str">
        <f>"PAGAMENTO DE ENTREGADORES"</f>
        <v>PAGAMENTO DE ENTREGADORES</v>
      </c>
      <c r="P178">
        <v>100</v>
      </c>
      <c r="S178" t="str">
        <f>"CAIXA MOVIMENTAÇÃO OPERACIONAL (132)"</f>
        <v>CAIXA MOVIMENTAÇÃO OPERACIONAL (132)</v>
      </c>
      <c r="T178">
        <v>29998</v>
      </c>
      <c r="U178">
        <v>34202</v>
      </c>
      <c r="V178" t="s">
        <v>22</v>
      </c>
    </row>
    <row r="179" spans="1:22">
      <c r="A179" t="str">
        <f t="shared" si="43"/>
        <v>03/03/2026</v>
      </c>
      <c r="B179" t="str">
        <f t="shared" si="42"/>
        <v>SAÍDA</v>
      </c>
      <c r="C179" t="str">
        <f t="shared" si="41"/>
        <v>PIX</v>
      </c>
      <c r="D179" t="str">
        <f>"33599"</f>
        <v>33599</v>
      </c>
      <c r="E179" t="str">
        <f t="shared" si="44"/>
        <v>1</v>
      </c>
      <c r="F179" t="str">
        <f t="shared" si="40"/>
        <v>COM</v>
      </c>
      <c r="G179" t="str">
        <f t="shared" si="47"/>
        <v>CASSIO DIAS RIBEIRO (32)</v>
      </c>
      <c r="H179" t="s">
        <v>95</v>
      </c>
      <c r="I179" t="str">
        <f>("05/03/2026")</f>
        <v>05/03/2026</v>
      </c>
      <c r="J179" t="str">
        <f>("24/02/2026")</f>
        <v>24/02/2026</v>
      </c>
      <c r="K179">
        <v>46084</v>
      </c>
      <c r="N179">
        <v>109</v>
      </c>
      <c r="O179" t="s">
        <v>27</v>
      </c>
      <c r="Q179">
        <v>100</v>
      </c>
      <c r="R179" t="str">
        <f>"FARMÁCIA INDIANA LJ 11 (10008)"</f>
        <v>FARMÁCIA INDIANA LJ 11 (10008)</v>
      </c>
      <c r="S179" t="s">
        <v>22</v>
      </c>
      <c r="T179">
        <v>29998</v>
      </c>
      <c r="U179">
        <v>34202</v>
      </c>
      <c r="V179" t="s">
        <v>22</v>
      </c>
    </row>
    <row r="180" spans="1:22">
      <c r="A180" t="str">
        <f t="shared" si="43"/>
        <v>03/03/2026</v>
      </c>
      <c r="B180" t="str">
        <f>"ENTRADA"</f>
        <v>ENTRADA</v>
      </c>
      <c r="C180" t="str">
        <f>"DINHEIRO"</f>
        <v>DINHEIRO</v>
      </c>
      <c r="D180" t="str">
        <f>"0503"</f>
        <v>0503</v>
      </c>
      <c r="E180" t="str">
        <f>"26"</f>
        <v>26</v>
      </c>
      <c r="F180" t="str">
        <f t="shared" si="40"/>
        <v>COM</v>
      </c>
      <c r="G180" t="str">
        <f t="shared" si="47"/>
        <v>CASSIO DIAS RIBEIRO (32)</v>
      </c>
      <c r="H180" t="str">
        <f>"REEMBOLSO ADIANTAMENTO"</f>
        <v>REEMBOLSO ADIANTAMENTO</v>
      </c>
      <c r="I180" t="str">
        <f>("05/03/2026")</f>
        <v>05/03/2026</v>
      </c>
      <c r="J180" t="str">
        <f>("29/01/2026")</f>
        <v>29/01/2026</v>
      </c>
      <c r="K180" t="str">
        <f>("03/03/2026")</f>
        <v>03/03/2026</v>
      </c>
      <c r="L180">
        <v>100</v>
      </c>
      <c r="M180">
        <v>100</v>
      </c>
      <c r="N180">
        <v>129</v>
      </c>
      <c r="O180" t="str">
        <f>"ENTRADA DE REEMBOLSO ADIANTAMENTO"</f>
        <v>ENTRADA DE REEMBOLSO ADIANTAMENTO</v>
      </c>
      <c r="P180">
        <v>100</v>
      </c>
      <c r="S180" t="str">
        <f>"ENTRADA DE REEMBOLSO ADIANTAMENTO (129)"</f>
        <v>ENTRADA DE REEMBOLSO ADIANTAMENTO (129)</v>
      </c>
      <c r="T180">
        <v>29999</v>
      </c>
      <c r="U180">
        <v>31710</v>
      </c>
      <c r="V180" t="s">
        <v>22</v>
      </c>
    </row>
    <row r="181" spans="1:22">
      <c r="A181" t="str">
        <f t="shared" si="43"/>
        <v>03/03/2026</v>
      </c>
      <c r="B181" t="str">
        <f>"ENTRADA"</f>
        <v>ENTRADA</v>
      </c>
      <c r="C181" t="str">
        <f>"DINHEIRO"</f>
        <v>DINHEIRO</v>
      </c>
      <c r="D181" t="str">
        <f>"0503"</f>
        <v>0503</v>
      </c>
      <c r="E181" t="str">
        <f>"26"</f>
        <v>26</v>
      </c>
      <c r="F181" t="str">
        <f t="shared" si="40"/>
        <v>COM</v>
      </c>
      <c r="G181" t="str">
        <f t="shared" si="47"/>
        <v>CASSIO DIAS RIBEIRO (32)</v>
      </c>
      <c r="H181" t="s">
        <v>32</v>
      </c>
      <c r="I181" t="str">
        <f>("05/03/2026")</f>
        <v>05/03/2026</v>
      </c>
      <c r="J181" t="str">
        <f>("29/01/2026")</f>
        <v>29/01/2026</v>
      </c>
      <c r="K181">
        <v>46084</v>
      </c>
      <c r="N181">
        <v>129</v>
      </c>
      <c r="O181" t="s">
        <v>24</v>
      </c>
      <c r="Q181">
        <v>100</v>
      </c>
      <c r="R181" t="str">
        <f>"FARMÁCIA INDIANA LJ 11 (10008)"</f>
        <v>FARMÁCIA INDIANA LJ 11 (10008)</v>
      </c>
      <c r="S181" t="s">
        <v>25</v>
      </c>
      <c r="T181">
        <v>29999</v>
      </c>
      <c r="U181">
        <v>31710</v>
      </c>
      <c r="V181" t="s">
        <v>22</v>
      </c>
    </row>
    <row r="182" spans="1:22">
      <c r="A182" t="str">
        <f t="shared" ref="A182:A213" si="48">("04/03/2026")</f>
        <v>04/03/2026</v>
      </c>
      <c r="B182" t="str">
        <f>"SAÍDA"</f>
        <v>SAÍDA</v>
      </c>
      <c r="C182" t="str">
        <f>"PIX"</f>
        <v>PIX</v>
      </c>
      <c r="D182" t="str">
        <f>"34109"</f>
        <v>34109</v>
      </c>
      <c r="E182" t="str">
        <f>"1"</f>
        <v>1</v>
      </c>
      <c r="F182" t="str">
        <f t="shared" si="40"/>
        <v>COM</v>
      </c>
      <c r="G182" t="str">
        <f t="shared" si="47"/>
        <v>CASSIO DIAS RIBEIRO (32)</v>
      </c>
      <c r="H182" t="str">
        <f>"Serv.Prest. 23/02/2026 a 01/03/2026 - PIX: CNPJ - CHAVE: 35.986.676/0001-80"</f>
        <v>Serv.Prest. 23/02/2026 a 01/03/2026 - PIX: CNPJ - CHAVE: 35.986.676/0001-80</v>
      </c>
      <c r="I182" t="str">
        <f>("12/03/2026")</f>
        <v>12/03/2026</v>
      </c>
      <c r="J182" t="str">
        <f>("03/03/2026")</f>
        <v>03/03/2026</v>
      </c>
      <c r="K182" t="str">
        <f>("04/03/2026")</f>
        <v>04/03/2026</v>
      </c>
      <c r="L182">
        <v>100</v>
      </c>
      <c r="M182">
        <v>100</v>
      </c>
      <c r="N182">
        <v>109</v>
      </c>
      <c r="O182" t="str">
        <f>"PAGAMENTO DE ENTREGADORES"</f>
        <v>PAGAMENTO DE ENTREGADORES</v>
      </c>
      <c r="P182">
        <v>100</v>
      </c>
      <c r="S182" t="str">
        <f>"CAIXA MOVIMENTAÇÃO OPERACIONAL (132)"</f>
        <v>CAIXA MOVIMENTAÇÃO OPERACIONAL (132)</v>
      </c>
      <c r="T182">
        <v>30000</v>
      </c>
      <c r="U182">
        <v>34203</v>
      </c>
      <c r="V182" t="s">
        <v>22</v>
      </c>
    </row>
    <row r="183" spans="1:22">
      <c r="A183" t="str">
        <f t="shared" si="48"/>
        <v>04/03/2026</v>
      </c>
      <c r="B183" t="str">
        <f>"SAÍDA"</f>
        <v>SAÍDA</v>
      </c>
      <c r="C183" t="str">
        <f>"PIX"</f>
        <v>PIX</v>
      </c>
      <c r="D183" t="str">
        <f>"34109"</f>
        <v>34109</v>
      </c>
      <c r="E183" t="str">
        <f>"1"</f>
        <v>1</v>
      </c>
      <c r="F183" t="str">
        <f t="shared" si="40"/>
        <v>COM</v>
      </c>
      <c r="G183" t="str">
        <f t="shared" si="47"/>
        <v>CASSIO DIAS RIBEIRO (32)</v>
      </c>
      <c r="H183" t="s">
        <v>96</v>
      </c>
      <c r="I183" t="str">
        <f>("12/03/2026")</f>
        <v>12/03/2026</v>
      </c>
      <c r="J183" t="str">
        <f>("03/03/2026")</f>
        <v>03/03/2026</v>
      </c>
      <c r="K183">
        <v>46085</v>
      </c>
      <c r="N183">
        <v>109</v>
      </c>
      <c r="O183" t="s">
        <v>27</v>
      </c>
      <c r="Q183">
        <v>97.59</v>
      </c>
      <c r="R183" t="str">
        <f>"FARMÁCIA INDIANA LJ 11 (10008)"</f>
        <v>FARMÁCIA INDIANA LJ 11 (10008)</v>
      </c>
      <c r="S183" t="s">
        <v>22</v>
      </c>
      <c r="T183">
        <v>30000</v>
      </c>
      <c r="U183">
        <v>34203</v>
      </c>
      <c r="V183" t="s">
        <v>22</v>
      </c>
    </row>
    <row r="184" spans="1:22">
      <c r="A184" t="str">
        <f t="shared" si="48"/>
        <v>04/03/2026</v>
      </c>
      <c r="B184" t="str">
        <f>"SAÍDA"</f>
        <v>SAÍDA</v>
      </c>
      <c r="C184" t="str">
        <f>"PIX"</f>
        <v>PIX</v>
      </c>
      <c r="D184" t="str">
        <f>"34109"</f>
        <v>34109</v>
      </c>
      <c r="E184" t="str">
        <f>"1"</f>
        <v>1</v>
      </c>
      <c r="F184" t="str">
        <f t="shared" si="40"/>
        <v>COM</v>
      </c>
      <c r="G184" t="str">
        <f t="shared" si="47"/>
        <v>CASSIO DIAS RIBEIRO (32)</v>
      </c>
      <c r="H184" t="s">
        <v>96</v>
      </c>
      <c r="I184" t="str">
        <f>("12/03/2026")</f>
        <v>12/03/2026</v>
      </c>
      <c r="J184" t="str">
        <f>("03/03/2026")</f>
        <v>03/03/2026</v>
      </c>
      <c r="K184">
        <v>46085</v>
      </c>
      <c r="N184">
        <v>109</v>
      </c>
      <c r="O184" t="s">
        <v>27</v>
      </c>
      <c r="Q184">
        <v>2.41</v>
      </c>
      <c r="R184" t="str">
        <f>"FARMÁCIA INDIANA LJ 18 (10011)"</f>
        <v>FARMÁCIA INDIANA LJ 18 (10011)</v>
      </c>
      <c r="S184" t="s">
        <v>22</v>
      </c>
      <c r="T184">
        <v>30000</v>
      </c>
      <c r="U184">
        <v>34203</v>
      </c>
      <c r="V184" t="s">
        <v>22</v>
      </c>
    </row>
    <row r="185" spans="1:22">
      <c r="A185" t="str">
        <f t="shared" si="48"/>
        <v>04/03/2026</v>
      </c>
      <c r="B185" t="str">
        <f>"ENTRADA"</f>
        <v>ENTRADA</v>
      </c>
      <c r="C185" t="str">
        <f>"DINHEIRO"</f>
        <v>DINHEIRO</v>
      </c>
      <c r="D185" t="str">
        <f>"1203"</f>
        <v>1203</v>
      </c>
      <c r="E185" t="str">
        <f>"26"</f>
        <v>26</v>
      </c>
      <c r="F185" t="str">
        <f t="shared" si="40"/>
        <v>COM</v>
      </c>
      <c r="G185" t="str">
        <f t="shared" si="47"/>
        <v>CASSIO DIAS RIBEIRO (32)</v>
      </c>
      <c r="H185" t="str">
        <f>"REEMBOLSO ADIANTAMENTO"</f>
        <v>REEMBOLSO ADIANTAMENTO</v>
      </c>
      <c r="I185" t="str">
        <f>("12/03/2026")</f>
        <v>12/03/2026</v>
      </c>
      <c r="J185" t="str">
        <f>("29/01/2026")</f>
        <v>29/01/2026</v>
      </c>
      <c r="K185" t="str">
        <f>("04/03/2026")</f>
        <v>04/03/2026</v>
      </c>
      <c r="L185">
        <v>100</v>
      </c>
      <c r="M185">
        <v>100</v>
      </c>
      <c r="N185">
        <v>129</v>
      </c>
      <c r="O185" t="str">
        <f>"ENTRADA DE REEMBOLSO ADIANTAMENTO"</f>
        <v>ENTRADA DE REEMBOLSO ADIANTAMENTO</v>
      </c>
      <c r="P185">
        <v>100</v>
      </c>
      <c r="S185" t="str">
        <f>"ENTRADA DE REEMBOLSO ADIANTAMENTO (129)"</f>
        <v>ENTRADA DE REEMBOLSO ADIANTAMENTO (129)</v>
      </c>
      <c r="T185">
        <v>30001</v>
      </c>
      <c r="U185">
        <v>31711</v>
      </c>
      <c r="V185" t="s">
        <v>22</v>
      </c>
    </row>
    <row r="186" spans="1:22">
      <c r="A186" t="str">
        <f t="shared" si="48"/>
        <v>04/03/2026</v>
      </c>
      <c r="B186" t="str">
        <f>"ENTRADA"</f>
        <v>ENTRADA</v>
      </c>
      <c r="C186" t="str">
        <f>"DINHEIRO"</f>
        <v>DINHEIRO</v>
      </c>
      <c r="D186" t="str">
        <f>"1203"</f>
        <v>1203</v>
      </c>
      <c r="E186" t="str">
        <f>"26"</f>
        <v>26</v>
      </c>
      <c r="F186" t="str">
        <f t="shared" si="40"/>
        <v>COM</v>
      </c>
      <c r="G186" t="str">
        <f t="shared" si="47"/>
        <v>CASSIO DIAS RIBEIRO (32)</v>
      </c>
      <c r="H186" t="s">
        <v>32</v>
      </c>
      <c r="I186" t="str">
        <f>("12/03/2026")</f>
        <v>12/03/2026</v>
      </c>
      <c r="J186" t="str">
        <f>("29/01/2026")</f>
        <v>29/01/2026</v>
      </c>
      <c r="K186">
        <v>46085</v>
      </c>
      <c r="N186">
        <v>129</v>
      </c>
      <c r="O186" t="s">
        <v>24</v>
      </c>
      <c r="Q186">
        <v>100</v>
      </c>
      <c r="R186" t="str">
        <f>"FARMÁCIA INDIANA LJ 11 (10008)"</f>
        <v>FARMÁCIA INDIANA LJ 11 (10008)</v>
      </c>
      <c r="S186" t="s">
        <v>25</v>
      </c>
      <c r="T186">
        <v>30001</v>
      </c>
      <c r="U186">
        <v>31711</v>
      </c>
      <c r="V186" t="s">
        <v>22</v>
      </c>
    </row>
    <row r="187" spans="1:22">
      <c r="A187" t="str">
        <f t="shared" si="48"/>
        <v>04/03/2026</v>
      </c>
      <c r="B187" t="str">
        <f>"ENTRADA"</f>
        <v>ENTRADA</v>
      </c>
      <c r="C187" t="str">
        <f>"DINHEIRO"</f>
        <v>DINHEIRO</v>
      </c>
      <c r="D187" t="str">
        <f>"243"</f>
        <v>243</v>
      </c>
      <c r="E187" t="str">
        <f>"17"</f>
        <v>17</v>
      </c>
      <c r="F187" t="str">
        <f t="shared" si="40"/>
        <v>COM</v>
      </c>
      <c r="G187" t="str">
        <f>"ELENICIO ALVES DOS SANTOS (243)"</f>
        <v>ELENICIO ALVES DOS SANTOS (243)</v>
      </c>
      <c r="H187" t="str">
        <f>"COTA COOPERATIVA"</f>
        <v>COTA COOPERATIVA</v>
      </c>
      <c r="I187" t="str">
        <f>("05/03/2026")</f>
        <v>05/03/2026</v>
      </c>
      <c r="J187" t="str">
        <f>("01/04/2025")</f>
        <v>01/04/2025</v>
      </c>
      <c r="K187" t="str">
        <f>("04/03/2026")</f>
        <v>04/03/2026</v>
      </c>
      <c r="L187">
        <v>20</v>
      </c>
      <c r="M187">
        <v>20</v>
      </c>
      <c r="N187">
        <v>106</v>
      </c>
      <c r="O187" t="str">
        <f>"ENTRADA DE CAPITAL"</f>
        <v>ENTRADA DE CAPITAL</v>
      </c>
      <c r="P187">
        <v>20</v>
      </c>
      <c r="S187" t="str">
        <f>"ENTRADA DE CAPITAL (106)"</f>
        <v>ENTRADA DE CAPITAL (106)</v>
      </c>
      <c r="T187">
        <v>30002</v>
      </c>
      <c r="U187">
        <v>11770</v>
      </c>
      <c r="V187" t="s">
        <v>22</v>
      </c>
    </row>
    <row r="188" spans="1:22">
      <c r="A188" t="str">
        <f t="shared" si="48"/>
        <v>04/03/2026</v>
      </c>
      <c r="B188" t="str">
        <f>"ENTRADA"</f>
        <v>ENTRADA</v>
      </c>
      <c r="C188" t="str">
        <f>"DINHEIRO"</f>
        <v>DINHEIRO</v>
      </c>
      <c r="D188" t="str">
        <f>"243"</f>
        <v>243</v>
      </c>
      <c r="E188" t="str">
        <f>"17"</f>
        <v>17</v>
      </c>
      <c r="F188" t="str">
        <f t="shared" si="40"/>
        <v>COM</v>
      </c>
      <c r="G188" t="str">
        <f>"ELENICIO ALVES DOS SANTOS (243)"</f>
        <v>ELENICIO ALVES DOS SANTOS (243)</v>
      </c>
      <c r="H188" t="s">
        <v>97</v>
      </c>
      <c r="I188" t="str">
        <f>("05/03/2026")</f>
        <v>05/03/2026</v>
      </c>
      <c r="J188" t="str">
        <f>("01/04/2025")</f>
        <v>01/04/2025</v>
      </c>
      <c r="K188">
        <v>46085</v>
      </c>
      <c r="N188">
        <v>106</v>
      </c>
      <c r="O188" t="s">
        <v>98</v>
      </c>
      <c r="Q188">
        <v>20</v>
      </c>
      <c r="R188" t="str">
        <f>"ELENICIO ALVES DOS SANTOS (243)"</f>
        <v>ELENICIO ALVES DOS SANTOS (243)</v>
      </c>
      <c r="S188" t="s">
        <v>99</v>
      </c>
      <c r="T188">
        <v>30002</v>
      </c>
      <c r="U188">
        <v>11770</v>
      </c>
      <c r="V188" t="s">
        <v>22</v>
      </c>
    </row>
    <row r="189" spans="1:22">
      <c r="A189" t="str">
        <f t="shared" si="48"/>
        <v>04/03/2026</v>
      </c>
      <c r="B189" t="str">
        <f>"SAÍDA"</f>
        <v>SAÍDA</v>
      </c>
      <c r="C189" t="str">
        <f>"PIX"</f>
        <v>PIX</v>
      </c>
      <c r="D189" t="str">
        <f>"34201"</f>
        <v>34201</v>
      </c>
      <c r="E189" t="str">
        <f t="shared" ref="E189:E220" si="49">"1"</f>
        <v>1</v>
      </c>
      <c r="F189" t="str">
        <f t="shared" si="40"/>
        <v>COM</v>
      </c>
      <c r="G189" t="str">
        <f>"ELENICIO ALVES DOS SANTOS (243)"</f>
        <v>ELENICIO ALVES DOS SANTOS (243)</v>
      </c>
      <c r="H189" t="str">
        <f>"Serv.Prest. 01/02/2026 a 28/02/2026 - PIX: NÃO CADASTRADO - CHAVE: CEF AG 2986 CONTA 2292-5 POUPANÇA"</f>
        <v>Serv.Prest. 01/02/2026 a 28/02/2026 - PIX: NÃO CADASTRADO - CHAVE: CEF AG 2986 CONTA 2292-5 POUPANÇA</v>
      </c>
      <c r="I189" t="str">
        <f>("05/03/2026")</f>
        <v>05/03/2026</v>
      </c>
      <c r="J189" t="str">
        <f>("03/03/2026")</f>
        <v>03/03/2026</v>
      </c>
      <c r="K189" t="str">
        <f>("04/03/2026")</f>
        <v>04/03/2026</v>
      </c>
      <c r="L189">
        <v>20</v>
      </c>
      <c r="M189">
        <v>20</v>
      </c>
      <c r="N189">
        <v>109</v>
      </c>
      <c r="O189" t="str">
        <f>"PAGAMENTO DE ENTREGADORES"</f>
        <v>PAGAMENTO DE ENTREGADORES</v>
      </c>
      <c r="P189">
        <v>20</v>
      </c>
      <c r="S189" t="str">
        <f>"CAIXA MOVIMENTAÇÃO OPERACIONAL (132)"</f>
        <v>CAIXA MOVIMENTAÇÃO OPERACIONAL (132)</v>
      </c>
      <c r="T189">
        <v>30003</v>
      </c>
      <c r="U189">
        <v>34204</v>
      </c>
      <c r="V189" t="s">
        <v>22</v>
      </c>
    </row>
    <row r="190" spans="1:22">
      <c r="A190" t="str">
        <f t="shared" si="48"/>
        <v>04/03/2026</v>
      </c>
      <c r="B190" t="str">
        <f>"SAÍDA"</f>
        <v>SAÍDA</v>
      </c>
      <c r="C190" t="str">
        <f>"PIX"</f>
        <v>PIX</v>
      </c>
      <c r="D190" t="str">
        <f>"34201"</f>
        <v>34201</v>
      </c>
      <c r="E190" t="str">
        <f t="shared" si="49"/>
        <v>1</v>
      </c>
      <c r="F190" t="str">
        <f t="shared" si="40"/>
        <v>COM</v>
      </c>
      <c r="G190" t="str">
        <f>"ELENICIO ALVES DOS SANTOS (243)"</f>
        <v>ELENICIO ALVES DOS SANTOS (243)</v>
      </c>
      <c r="H190" t="s">
        <v>100</v>
      </c>
      <c r="I190" t="str">
        <f>("05/03/2026")</f>
        <v>05/03/2026</v>
      </c>
      <c r="J190" t="str">
        <f>("03/03/2026")</f>
        <v>03/03/2026</v>
      </c>
      <c r="K190">
        <v>46085</v>
      </c>
      <c r="N190">
        <v>109</v>
      </c>
      <c r="O190" t="s">
        <v>27</v>
      </c>
      <c r="Q190">
        <v>20</v>
      </c>
      <c r="R190" t="str">
        <f>"DROGARIA POUPA MINAS (ULTRAMINAS) 1 (10181)"</f>
        <v>DROGARIA POUPA MINAS (ULTRAMINAS) 1 (10181)</v>
      </c>
      <c r="S190" t="s">
        <v>22</v>
      </c>
      <c r="T190">
        <v>30003</v>
      </c>
      <c r="U190">
        <v>34204</v>
      </c>
      <c r="V190" t="s">
        <v>22</v>
      </c>
    </row>
    <row r="191" spans="1:22">
      <c r="A191" t="str">
        <f t="shared" si="48"/>
        <v>04/03/2026</v>
      </c>
      <c r="B191" t="str">
        <f t="shared" ref="B191:B222" si="50">"ENTRADA"</f>
        <v>ENTRADA</v>
      </c>
      <c r="C191" t="str">
        <f t="shared" ref="C191:C222" si="51">"NFSE"</f>
        <v>NFSE</v>
      </c>
      <c r="D191" t="str">
        <f t="shared" ref="D191:D222" si="52">"406"</f>
        <v>406</v>
      </c>
      <c r="E191" t="str">
        <f t="shared" si="49"/>
        <v>1</v>
      </c>
      <c r="F191" t="str">
        <f t="shared" si="40"/>
        <v>COM</v>
      </c>
      <c r="G191" t="str">
        <f t="shared" ref="G191:G222" si="53">"FARMÁCIA INDIANA LJ 1 (10126)"</f>
        <v>FARMÁCIA INDIANA LJ 1 (10126)</v>
      </c>
      <c r="H191" t="str">
        <f>"Serv.Prest. 16/02/2026 a 22/02/2026 - RPS: 2334 - NFSe: 406"</f>
        <v>Serv.Prest. 16/02/2026 a 22/02/2026 - RPS: 2334 - NFSe: 406</v>
      </c>
      <c r="I191" t="str">
        <f t="shared" ref="I191:I222" si="54">("04/03/2026")</f>
        <v>04/03/2026</v>
      </c>
      <c r="J191" t="str">
        <f t="shared" ref="J191:J222" si="55">("24/02/2026")</f>
        <v>24/02/2026</v>
      </c>
      <c r="K191" t="str">
        <f>("04/03/2026")</f>
        <v>04/03/2026</v>
      </c>
      <c r="L191">
        <v>113645.4</v>
      </c>
      <c r="M191">
        <v>113645.4</v>
      </c>
      <c r="N191">
        <v>303</v>
      </c>
      <c r="O191" t="str">
        <f>"RECEITAS COM ENTREGAS"</f>
        <v>RECEITAS COM ENTREGAS</v>
      </c>
      <c r="P191">
        <v>113645.4</v>
      </c>
      <c r="S191" t="str">
        <f>"RECEITAS COM ENTREGAS (303)"</f>
        <v>RECEITAS COM ENTREGAS (303)</v>
      </c>
      <c r="T191">
        <v>30004</v>
      </c>
      <c r="U191">
        <v>33584</v>
      </c>
      <c r="V191" t="s">
        <v>37</v>
      </c>
    </row>
    <row r="192" spans="1:22">
      <c r="A192" t="str">
        <f t="shared" si="48"/>
        <v>04/03/2026</v>
      </c>
      <c r="B192" t="str">
        <f t="shared" si="50"/>
        <v>ENTRADA</v>
      </c>
      <c r="C192" t="str">
        <f t="shared" si="51"/>
        <v>NFSE</v>
      </c>
      <c r="D192" t="str">
        <f t="shared" si="52"/>
        <v>406</v>
      </c>
      <c r="E192" t="str">
        <f t="shared" si="49"/>
        <v>1</v>
      </c>
      <c r="F192" t="str">
        <f t="shared" si="40"/>
        <v>COM</v>
      </c>
      <c r="G192" t="str">
        <f t="shared" si="53"/>
        <v>FARMÁCIA INDIANA LJ 1 (10126)</v>
      </c>
      <c r="H192" t="s">
        <v>101</v>
      </c>
      <c r="I192" t="str">
        <f t="shared" si="54"/>
        <v>04/03/2026</v>
      </c>
      <c r="J192" t="str">
        <f t="shared" si="55"/>
        <v>24/02/2026</v>
      </c>
      <c r="K192">
        <v>46085</v>
      </c>
      <c r="N192">
        <v>303</v>
      </c>
      <c r="O192" t="s">
        <v>102</v>
      </c>
      <c r="Q192">
        <v>16796.75</v>
      </c>
      <c r="R192" t="str">
        <f>"FARMÁCIA INDIANA LJ 06 (10006)"</f>
        <v>FARMÁCIA INDIANA LJ 06 (10006)</v>
      </c>
      <c r="S192" t="s">
        <v>103</v>
      </c>
      <c r="T192">
        <v>30004</v>
      </c>
      <c r="U192">
        <v>33584</v>
      </c>
      <c r="V192" t="s">
        <v>37</v>
      </c>
    </row>
    <row r="193" spans="1:22">
      <c r="A193" t="str">
        <f t="shared" si="48"/>
        <v>04/03/2026</v>
      </c>
      <c r="B193" t="str">
        <f t="shared" si="50"/>
        <v>ENTRADA</v>
      </c>
      <c r="C193" t="str">
        <f t="shared" si="51"/>
        <v>NFSE</v>
      </c>
      <c r="D193" t="str">
        <f t="shared" si="52"/>
        <v>406</v>
      </c>
      <c r="E193" t="str">
        <f t="shared" si="49"/>
        <v>1</v>
      </c>
      <c r="F193" t="str">
        <f t="shared" si="40"/>
        <v>COM</v>
      </c>
      <c r="G193" t="str">
        <f t="shared" si="53"/>
        <v>FARMÁCIA INDIANA LJ 1 (10126)</v>
      </c>
      <c r="H193" t="s">
        <v>101</v>
      </c>
      <c r="I193" t="str">
        <f t="shared" si="54"/>
        <v>04/03/2026</v>
      </c>
      <c r="J193" t="str">
        <f t="shared" si="55"/>
        <v>24/02/2026</v>
      </c>
      <c r="K193">
        <v>46085</v>
      </c>
      <c r="N193">
        <v>303</v>
      </c>
      <c r="O193" t="s">
        <v>102</v>
      </c>
      <c r="Q193">
        <v>12626</v>
      </c>
      <c r="R193" t="str">
        <f>"FARMÁCIA INDIANA LJ 07 (10007)"</f>
        <v>FARMÁCIA INDIANA LJ 07 (10007)</v>
      </c>
      <c r="S193" t="s">
        <v>103</v>
      </c>
      <c r="T193">
        <v>30004</v>
      </c>
      <c r="U193">
        <v>33584</v>
      </c>
      <c r="V193" t="s">
        <v>37</v>
      </c>
    </row>
    <row r="194" spans="1:22">
      <c r="A194" t="str">
        <f t="shared" si="48"/>
        <v>04/03/2026</v>
      </c>
      <c r="B194" t="str">
        <f t="shared" si="50"/>
        <v>ENTRADA</v>
      </c>
      <c r="C194" t="str">
        <f t="shared" si="51"/>
        <v>NFSE</v>
      </c>
      <c r="D194" t="str">
        <f t="shared" si="52"/>
        <v>406</v>
      </c>
      <c r="E194" t="str">
        <f t="shared" si="49"/>
        <v>1</v>
      </c>
      <c r="F194" t="str">
        <f t="shared" ref="F194:F257" si="56">"COM"</f>
        <v>COM</v>
      </c>
      <c r="G194" t="str">
        <f t="shared" si="53"/>
        <v>FARMÁCIA INDIANA LJ 1 (10126)</v>
      </c>
      <c r="H194" t="s">
        <v>101</v>
      </c>
      <c r="I194" t="str">
        <f t="shared" si="54"/>
        <v>04/03/2026</v>
      </c>
      <c r="J194" t="str">
        <f t="shared" si="55"/>
        <v>24/02/2026</v>
      </c>
      <c r="K194">
        <v>46085</v>
      </c>
      <c r="N194">
        <v>303</v>
      </c>
      <c r="O194" t="s">
        <v>102</v>
      </c>
      <c r="Q194">
        <v>7023.29</v>
      </c>
      <c r="R194" t="str">
        <f>"FARMÁCIA INDIANA LJ 11 (10008)"</f>
        <v>FARMÁCIA INDIANA LJ 11 (10008)</v>
      </c>
      <c r="S194" t="s">
        <v>103</v>
      </c>
      <c r="T194">
        <v>30004</v>
      </c>
      <c r="U194">
        <v>33584</v>
      </c>
      <c r="V194" t="s">
        <v>37</v>
      </c>
    </row>
    <row r="195" spans="1:22">
      <c r="A195" t="str">
        <f t="shared" si="48"/>
        <v>04/03/2026</v>
      </c>
      <c r="B195" t="str">
        <f t="shared" si="50"/>
        <v>ENTRADA</v>
      </c>
      <c r="C195" t="str">
        <f t="shared" si="51"/>
        <v>NFSE</v>
      </c>
      <c r="D195" t="str">
        <f t="shared" si="52"/>
        <v>406</v>
      </c>
      <c r="E195" t="str">
        <f t="shared" si="49"/>
        <v>1</v>
      </c>
      <c r="F195" t="str">
        <f t="shared" si="56"/>
        <v>COM</v>
      </c>
      <c r="G195" t="str">
        <f t="shared" si="53"/>
        <v>FARMÁCIA INDIANA LJ 1 (10126)</v>
      </c>
      <c r="H195" t="s">
        <v>101</v>
      </c>
      <c r="I195" t="str">
        <f t="shared" si="54"/>
        <v>04/03/2026</v>
      </c>
      <c r="J195" t="str">
        <f t="shared" si="55"/>
        <v>24/02/2026</v>
      </c>
      <c r="K195">
        <v>46085</v>
      </c>
      <c r="N195">
        <v>303</v>
      </c>
      <c r="O195" t="s">
        <v>102</v>
      </c>
      <c r="Q195">
        <v>3125.25</v>
      </c>
      <c r="R195" t="str">
        <f>"FARMÁCIA INDIANA LJ 14 (10009)"</f>
        <v>FARMÁCIA INDIANA LJ 14 (10009)</v>
      </c>
      <c r="S195" t="s">
        <v>103</v>
      </c>
      <c r="T195">
        <v>30004</v>
      </c>
      <c r="U195">
        <v>33584</v>
      </c>
      <c r="V195" t="s">
        <v>37</v>
      </c>
    </row>
    <row r="196" spans="1:22">
      <c r="A196" t="str">
        <f t="shared" si="48"/>
        <v>04/03/2026</v>
      </c>
      <c r="B196" t="str">
        <f t="shared" si="50"/>
        <v>ENTRADA</v>
      </c>
      <c r="C196" t="str">
        <f t="shared" si="51"/>
        <v>NFSE</v>
      </c>
      <c r="D196" t="str">
        <f t="shared" si="52"/>
        <v>406</v>
      </c>
      <c r="E196" t="str">
        <f t="shared" si="49"/>
        <v>1</v>
      </c>
      <c r="F196" t="str">
        <f t="shared" si="56"/>
        <v>COM</v>
      </c>
      <c r="G196" t="str">
        <f t="shared" si="53"/>
        <v>FARMÁCIA INDIANA LJ 1 (10126)</v>
      </c>
      <c r="H196" t="s">
        <v>101</v>
      </c>
      <c r="I196" t="str">
        <f t="shared" si="54"/>
        <v>04/03/2026</v>
      </c>
      <c r="J196" t="str">
        <f t="shared" si="55"/>
        <v>24/02/2026</v>
      </c>
      <c r="K196">
        <v>46085</v>
      </c>
      <c r="N196">
        <v>303</v>
      </c>
      <c r="O196" t="s">
        <v>102</v>
      </c>
      <c r="Q196">
        <v>2568.39</v>
      </c>
      <c r="R196" t="str">
        <f>"FARMÁCIA INDIANA LJ 18 (10011)"</f>
        <v>FARMÁCIA INDIANA LJ 18 (10011)</v>
      </c>
      <c r="S196" t="s">
        <v>103</v>
      </c>
      <c r="T196">
        <v>30004</v>
      </c>
      <c r="U196">
        <v>33584</v>
      </c>
      <c r="V196" t="s">
        <v>37</v>
      </c>
    </row>
    <row r="197" spans="1:22">
      <c r="A197" t="str">
        <f t="shared" si="48"/>
        <v>04/03/2026</v>
      </c>
      <c r="B197" t="str">
        <f t="shared" si="50"/>
        <v>ENTRADA</v>
      </c>
      <c r="C197" t="str">
        <f t="shared" si="51"/>
        <v>NFSE</v>
      </c>
      <c r="D197" t="str">
        <f t="shared" si="52"/>
        <v>406</v>
      </c>
      <c r="E197" t="str">
        <f t="shared" si="49"/>
        <v>1</v>
      </c>
      <c r="F197" t="str">
        <f t="shared" si="56"/>
        <v>COM</v>
      </c>
      <c r="G197" t="str">
        <f t="shared" si="53"/>
        <v>FARMÁCIA INDIANA LJ 1 (10126)</v>
      </c>
      <c r="H197" t="s">
        <v>101</v>
      </c>
      <c r="I197" t="str">
        <f t="shared" si="54"/>
        <v>04/03/2026</v>
      </c>
      <c r="J197" t="str">
        <f t="shared" si="55"/>
        <v>24/02/2026</v>
      </c>
      <c r="K197">
        <v>46085</v>
      </c>
      <c r="N197">
        <v>303</v>
      </c>
      <c r="O197" t="s">
        <v>102</v>
      </c>
      <c r="Q197">
        <v>3102.52</v>
      </c>
      <c r="R197" t="str">
        <f>"FARMÁCIA INDIANA LJ 19 (10012)"</f>
        <v>FARMÁCIA INDIANA LJ 19 (10012)</v>
      </c>
      <c r="S197" t="s">
        <v>103</v>
      </c>
      <c r="T197">
        <v>30004</v>
      </c>
      <c r="U197">
        <v>33584</v>
      </c>
      <c r="V197" t="s">
        <v>37</v>
      </c>
    </row>
    <row r="198" spans="1:22">
      <c r="A198" t="str">
        <f t="shared" si="48"/>
        <v>04/03/2026</v>
      </c>
      <c r="B198" t="str">
        <f t="shared" si="50"/>
        <v>ENTRADA</v>
      </c>
      <c r="C198" t="str">
        <f t="shared" si="51"/>
        <v>NFSE</v>
      </c>
      <c r="D198" t="str">
        <f t="shared" si="52"/>
        <v>406</v>
      </c>
      <c r="E198" t="str">
        <f t="shared" si="49"/>
        <v>1</v>
      </c>
      <c r="F198" t="str">
        <f t="shared" si="56"/>
        <v>COM</v>
      </c>
      <c r="G198" t="str">
        <f t="shared" si="53"/>
        <v>FARMÁCIA INDIANA LJ 1 (10126)</v>
      </c>
      <c r="H198" t="s">
        <v>101</v>
      </c>
      <c r="I198" t="str">
        <f t="shared" si="54"/>
        <v>04/03/2026</v>
      </c>
      <c r="J198" t="str">
        <f t="shared" si="55"/>
        <v>24/02/2026</v>
      </c>
      <c r="K198">
        <v>46085</v>
      </c>
      <c r="N198">
        <v>303</v>
      </c>
      <c r="O198" t="s">
        <v>102</v>
      </c>
      <c r="Q198">
        <v>4841.29</v>
      </c>
      <c r="R198" t="str">
        <f>"FARMÁCIA INDIANA LJ 40 (10016)"</f>
        <v>FARMÁCIA INDIANA LJ 40 (10016)</v>
      </c>
      <c r="S198" t="s">
        <v>103</v>
      </c>
      <c r="T198">
        <v>30004</v>
      </c>
      <c r="U198">
        <v>33584</v>
      </c>
      <c r="V198" t="s">
        <v>37</v>
      </c>
    </row>
    <row r="199" spans="1:22">
      <c r="A199" t="str">
        <f t="shared" si="48"/>
        <v>04/03/2026</v>
      </c>
      <c r="B199" t="str">
        <f t="shared" si="50"/>
        <v>ENTRADA</v>
      </c>
      <c r="C199" t="str">
        <f t="shared" si="51"/>
        <v>NFSE</v>
      </c>
      <c r="D199" t="str">
        <f t="shared" si="52"/>
        <v>406</v>
      </c>
      <c r="E199" t="str">
        <f t="shared" si="49"/>
        <v>1</v>
      </c>
      <c r="F199" t="str">
        <f t="shared" si="56"/>
        <v>COM</v>
      </c>
      <c r="G199" t="str">
        <f t="shared" si="53"/>
        <v>FARMÁCIA INDIANA LJ 1 (10126)</v>
      </c>
      <c r="H199" t="s">
        <v>101</v>
      </c>
      <c r="I199" t="str">
        <f t="shared" si="54"/>
        <v>04/03/2026</v>
      </c>
      <c r="J199" t="str">
        <f t="shared" si="55"/>
        <v>24/02/2026</v>
      </c>
      <c r="K199">
        <v>46085</v>
      </c>
      <c r="N199">
        <v>303</v>
      </c>
      <c r="O199" t="s">
        <v>102</v>
      </c>
      <c r="Q199">
        <v>2272.91</v>
      </c>
      <c r="R199" t="str">
        <f>"FARMÁCIA INDIANA LJ 59 (10026)"</f>
        <v>FARMÁCIA INDIANA LJ 59 (10026)</v>
      </c>
      <c r="S199" t="s">
        <v>103</v>
      </c>
      <c r="T199">
        <v>30004</v>
      </c>
      <c r="U199">
        <v>33584</v>
      </c>
      <c r="V199" t="s">
        <v>37</v>
      </c>
    </row>
    <row r="200" spans="1:22">
      <c r="A200" t="str">
        <f t="shared" si="48"/>
        <v>04/03/2026</v>
      </c>
      <c r="B200" t="str">
        <f t="shared" si="50"/>
        <v>ENTRADA</v>
      </c>
      <c r="C200" t="str">
        <f t="shared" si="51"/>
        <v>NFSE</v>
      </c>
      <c r="D200" t="str">
        <f t="shared" si="52"/>
        <v>406</v>
      </c>
      <c r="E200" t="str">
        <f t="shared" si="49"/>
        <v>1</v>
      </c>
      <c r="F200" t="str">
        <f t="shared" si="56"/>
        <v>COM</v>
      </c>
      <c r="G200" t="str">
        <f t="shared" si="53"/>
        <v>FARMÁCIA INDIANA LJ 1 (10126)</v>
      </c>
      <c r="H200" t="s">
        <v>101</v>
      </c>
      <c r="I200" t="str">
        <f t="shared" si="54"/>
        <v>04/03/2026</v>
      </c>
      <c r="J200" t="str">
        <f t="shared" si="55"/>
        <v>24/02/2026</v>
      </c>
      <c r="K200">
        <v>46085</v>
      </c>
      <c r="N200">
        <v>303</v>
      </c>
      <c r="O200" t="s">
        <v>102</v>
      </c>
      <c r="Q200">
        <v>4227.6099999999997</v>
      </c>
      <c r="R200" t="str">
        <f>"FARMÁCIA INDIANA LJ 61 (10027)"</f>
        <v>FARMÁCIA INDIANA LJ 61 (10027)</v>
      </c>
      <c r="S200" t="s">
        <v>103</v>
      </c>
      <c r="T200">
        <v>30004</v>
      </c>
      <c r="U200">
        <v>33584</v>
      </c>
      <c r="V200" t="s">
        <v>37</v>
      </c>
    </row>
    <row r="201" spans="1:22">
      <c r="A201" t="str">
        <f t="shared" si="48"/>
        <v>04/03/2026</v>
      </c>
      <c r="B201" t="str">
        <f t="shared" si="50"/>
        <v>ENTRADA</v>
      </c>
      <c r="C201" t="str">
        <f t="shared" si="51"/>
        <v>NFSE</v>
      </c>
      <c r="D201" t="str">
        <f t="shared" si="52"/>
        <v>406</v>
      </c>
      <c r="E201" t="str">
        <f t="shared" si="49"/>
        <v>1</v>
      </c>
      <c r="F201" t="str">
        <f t="shared" si="56"/>
        <v>COM</v>
      </c>
      <c r="G201" t="str">
        <f t="shared" si="53"/>
        <v>FARMÁCIA INDIANA LJ 1 (10126)</v>
      </c>
      <c r="H201" t="s">
        <v>101</v>
      </c>
      <c r="I201" t="str">
        <f t="shared" si="54"/>
        <v>04/03/2026</v>
      </c>
      <c r="J201" t="str">
        <f t="shared" si="55"/>
        <v>24/02/2026</v>
      </c>
      <c r="K201">
        <v>46085</v>
      </c>
      <c r="N201">
        <v>303</v>
      </c>
      <c r="O201" t="s">
        <v>102</v>
      </c>
      <c r="Q201">
        <v>1954.7</v>
      </c>
      <c r="R201" t="str">
        <f>"FARMÁCIA INDIANA LJ 62 (10028)"</f>
        <v>FARMÁCIA INDIANA LJ 62 (10028)</v>
      </c>
      <c r="S201" t="s">
        <v>103</v>
      </c>
      <c r="T201">
        <v>30004</v>
      </c>
      <c r="U201">
        <v>33584</v>
      </c>
      <c r="V201" t="s">
        <v>37</v>
      </c>
    </row>
    <row r="202" spans="1:22">
      <c r="A202" t="str">
        <f t="shared" si="48"/>
        <v>04/03/2026</v>
      </c>
      <c r="B202" t="str">
        <f t="shared" si="50"/>
        <v>ENTRADA</v>
      </c>
      <c r="C202" t="str">
        <f t="shared" si="51"/>
        <v>NFSE</v>
      </c>
      <c r="D202" t="str">
        <f t="shared" si="52"/>
        <v>406</v>
      </c>
      <c r="E202" t="str">
        <f t="shared" si="49"/>
        <v>1</v>
      </c>
      <c r="F202" t="str">
        <f t="shared" si="56"/>
        <v>COM</v>
      </c>
      <c r="G202" t="str">
        <f t="shared" si="53"/>
        <v>FARMÁCIA INDIANA LJ 1 (10126)</v>
      </c>
      <c r="H202" t="s">
        <v>101</v>
      </c>
      <c r="I202" t="str">
        <f t="shared" si="54"/>
        <v>04/03/2026</v>
      </c>
      <c r="J202" t="str">
        <f t="shared" si="55"/>
        <v>24/02/2026</v>
      </c>
      <c r="K202">
        <v>46085</v>
      </c>
      <c r="N202">
        <v>303</v>
      </c>
      <c r="O202" t="s">
        <v>102</v>
      </c>
      <c r="Q202">
        <v>772.79</v>
      </c>
      <c r="R202" t="str">
        <f>"FARMÁCIA INDIANA LJ 64 (10029)"</f>
        <v>FARMÁCIA INDIANA LJ 64 (10029)</v>
      </c>
      <c r="S202" t="s">
        <v>103</v>
      </c>
      <c r="T202">
        <v>30004</v>
      </c>
      <c r="U202">
        <v>33584</v>
      </c>
      <c r="V202" t="s">
        <v>37</v>
      </c>
    </row>
    <row r="203" spans="1:22">
      <c r="A203" t="str">
        <f t="shared" si="48"/>
        <v>04/03/2026</v>
      </c>
      <c r="B203" t="str">
        <f t="shared" si="50"/>
        <v>ENTRADA</v>
      </c>
      <c r="C203" t="str">
        <f t="shared" si="51"/>
        <v>NFSE</v>
      </c>
      <c r="D203" t="str">
        <f t="shared" si="52"/>
        <v>406</v>
      </c>
      <c r="E203" t="str">
        <f t="shared" si="49"/>
        <v>1</v>
      </c>
      <c r="F203" t="str">
        <f t="shared" si="56"/>
        <v>COM</v>
      </c>
      <c r="G203" t="str">
        <f t="shared" si="53"/>
        <v>FARMÁCIA INDIANA LJ 1 (10126)</v>
      </c>
      <c r="H203" t="s">
        <v>101</v>
      </c>
      <c r="I203" t="str">
        <f t="shared" si="54"/>
        <v>04/03/2026</v>
      </c>
      <c r="J203" t="str">
        <f t="shared" si="55"/>
        <v>24/02/2026</v>
      </c>
      <c r="K203">
        <v>46085</v>
      </c>
      <c r="N203">
        <v>303</v>
      </c>
      <c r="O203" t="s">
        <v>102</v>
      </c>
      <c r="Q203">
        <v>602.32000000000005</v>
      </c>
      <c r="R203" t="str">
        <f>"FARMÁCIA INDIANA LJ 97 (10040)"</f>
        <v>FARMÁCIA INDIANA LJ 97 (10040)</v>
      </c>
      <c r="S203" t="s">
        <v>103</v>
      </c>
      <c r="T203">
        <v>30004</v>
      </c>
      <c r="U203">
        <v>33584</v>
      </c>
      <c r="V203" t="s">
        <v>37</v>
      </c>
    </row>
    <row r="204" spans="1:22">
      <c r="A204" t="str">
        <f t="shared" si="48"/>
        <v>04/03/2026</v>
      </c>
      <c r="B204" t="str">
        <f t="shared" si="50"/>
        <v>ENTRADA</v>
      </c>
      <c r="C204" t="str">
        <f t="shared" si="51"/>
        <v>NFSE</v>
      </c>
      <c r="D204" t="str">
        <f t="shared" si="52"/>
        <v>406</v>
      </c>
      <c r="E204" t="str">
        <f t="shared" si="49"/>
        <v>1</v>
      </c>
      <c r="F204" t="str">
        <f t="shared" si="56"/>
        <v>COM</v>
      </c>
      <c r="G204" t="str">
        <f t="shared" si="53"/>
        <v>FARMÁCIA INDIANA LJ 1 (10126)</v>
      </c>
      <c r="H204" t="s">
        <v>101</v>
      </c>
      <c r="I204" t="str">
        <f t="shared" si="54"/>
        <v>04/03/2026</v>
      </c>
      <c r="J204" t="str">
        <f t="shared" si="55"/>
        <v>24/02/2026</v>
      </c>
      <c r="K204">
        <v>46085</v>
      </c>
      <c r="N204">
        <v>303</v>
      </c>
      <c r="O204" t="s">
        <v>102</v>
      </c>
      <c r="Q204">
        <v>1806.96</v>
      </c>
      <c r="R204" t="str">
        <f>"FARMÁCIA INDIANA LJ 100 (10042)"</f>
        <v>FARMÁCIA INDIANA LJ 100 (10042)</v>
      </c>
      <c r="S204" t="s">
        <v>103</v>
      </c>
      <c r="T204">
        <v>30004</v>
      </c>
      <c r="U204">
        <v>33584</v>
      </c>
      <c r="V204" t="s">
        <v>37</v>
      </c>
    </row>
    <row r="205" spans="1:22">
      <c r="A205" t="str">
        <f t="shared" si="48"/>
        <v>04/03/2026</v>
      </c>
      <c r="B205" t="str">
        <f t="shared" si="50"/>
        <v>ENTRADA</v>
      </c>
      <c r="C205" t="str">
        <f t="shared" si="51"/>
        <v>NFSE</v>
      </c>
      <c r="D205" t="str">
        <f t="shared" si="52"/>
        <v>406</v>
      </c>
      <c r="E205" t="str">
        <f t="shared" si="49"/>
        <v>1</v>
      </c>
      <c r="F205" t="str">
        <f t="shared" si="56"/>
        <v>COM</v>
      </c>
      <c r="G205" t="str">
        <f t="shared" si="53"/>
        <v>FARMÁCIA INDIANA LJ 1 (10126)</v>
      </c>
      <c r="H205" t="s">
        <v>101</v>
      </c>
      <c r="I205" t="str">
        <f t="shared" si="54"/>
        <v>04/03/2026</v>
      </c>
      <c r="J205" t="str">
        <f t="shared" si="55"/>
        <v>24/02/2026</v>
      </c>
      <c r="K205">
        <v>46085</v>
      </c>
      <c r="N205">
        <v>303</v>
      </c>
      <c r="O205" t="s">
        <v>102</v>
      </c>
      <c r="Q205">
        <v>7284.67</v>
      </c>
      <c r="R205" t="str">
        <f>"FARMÁCIA INDIANA LJ 101 (10043)"</f>
        <v>FARMÁCIA INDIANA LJ 101 (10043)</v>
      </c>
      <c r="S205" t="s">
        <v>103</v>
      </c>
      <c r="T205">
        <v>30004</v>
      </c>
      <c r="U205">
        <v>33584</v>
      </c>
      <c r="V205" t="s">
        <v>37</v>
      </c>
    </row>
    <row r="206" spans="1:22">
      <c r="A206" t="str">
        <f t="shared" si="48"/>
        <v>04/03/2026</v>
      </c>
      <c r="B206" t="str">
        <f t="shared" si="50"/>
        <v>ENTRADA</v>
      </c>
      <c r="C206" t="str">
        <f t="shared" si="51"/>
        <v>NFSE</v>
      </c>
      <c r="D206" t="str">
        <f t="shared" si="52"/>
        <v>406</v>
      </c>
      <c r="E206" t="str">
        <f t="shared" si="49"/>
        <v>1</v>
      </c>
      <c r="F206" t="str">
        <f t="shared" si="56"/>
        <v>COM</v>
      </c>
      <c r="G206" t="str">
        <f t="shared" si="53"/>
        <v>FARMÁCIA INDIANA LJ 1 (10126)</v>
      </c>
      <c r="H206" t="s">
        <v>101</v>
      </c>
      <c r="I206" t="str">
        <f t="shared" si="54"/>
        <v>04/03/2026</v>
      </c>
      <c r="J206" t="str">
        <f t="shared" si="55"/>
        <v>24/02/2026</v>
      </c>
      <c r="K206">
        <v>46085</v>
      </c>
      <c r="N206">
        <v>303</v>
      </c>
      <c r="O206" t="s">
        <v>102</v>
      </c>
      <c r="Q206">
        <v>431.85</v>
      </c>
      <c r="R206" t="str">
        <f>"FARMÁCIA INDIANA LJ 103 (10044)"</f>
        <v>FARMÁCIA INDIANA LJ 103 (10044)</v>
      </c>
      <c r="S206" t="s">
        <v>103</v>
      </c>
      <c r="T206">
        <v>30004</v>
      </c>
      <c r="U206">
        <v>33584</v>
      </c>
      <c r="V206" t="s">
        <v>37</v>
      </c>
    </row>
    <row r="207" spans="1:22">
      <c r="A207" t="str">
        <f t="shared" si="48"/>
        <v>04/03/2026</v>
      </c>
      <c r="B207" t="str">
        <f t="shared" si="50"/>
        <v>ENTRADA</v>
      </c>
      <c r="C207" t="str">
        <f t="shared" si="51"/>
        <v>NFSE</v>
      </c>
      <c r="D207" t="str">
        <f t="shared" si="52"/>
        <v>406</v>
      </c>
      <c r="E207" t="str">
        <f t="shared" si="49"/>
        <v>1</v>
      </c>
      <c r="F207" t="str">
        <f t="shared" si="56"/>
        <v>COM</v>
      </c>
      <c r="G207" t="str">
        <f t="shared" si="53"/>
        <v>FARMÁCIA INDIANA LJ 1 (10126)</v>
      </c>
      <c r="H207" t="s">
        <v>101</v>
      </c>
      <c r="I207" t="str">
        <f t="shared" si="54"/>
        <v>04/03/2026</v>
      </c>
      <c r="J207" t="str">
        <f t="shared" si="55"/>
        <v>24/02/2026</v>
      </c>
      <c r="K207">
        <v>46085</v>
      </c>
      <c r="N207">
        <v>303</v>
      </c>
      <c r="O207" t="s">
        <v>102</v>
      </c>
      <c r="Q207">
        <v>1250.0999999999999</v>
      </c>
      <c r="R207" t="str">
        <f>"FARMÁCIA INDIANA LJ 109 (10047)"</f>
        <v>FARMÁCIA INDIANA LJ 109 (10047)</v>
      </c>
      <c r="S207" t="s">
        <v>103</v>
      </c>
      <c r="T207">
        <v>30004</v>
      </c>
      <c r="U207">
        <v>33584</v>
      </c>
      <c r="V207" t="s">
        <v>37</v>
      </c>
    </row>
    <row r="208" spans="1:22">
      <c r="A208" t="str">
        <f t="shared" si="48"/>
        <v>04/03/2026</v>
      </c>
      <c r="B208" t="str">
        <f t="shared" si="50"/>
        <v>ENTRADA</v>
      </c>
      <c r="C208" t="str">
        <f t="shared" si="51"/>
        <v>NFSE</v>
      </c>
      <c r="D208" t="str">
        <f t="shared" si="52"/>
        <v>406</v>
      </c>
      <c r="E208" t="str">
        <f t="shared" si="49"/>
        <v>1</v>
      </c>
      <c r="F208" t="str">
        <f t="shared" si="56"/>
        <v>COM</v>
      </c>
      <c r="G208" t="str">
        <f t="shared" si="53"/>
        <v>FARMÁCIA INDIANA LJ 1 (10126)</v>
      </c>
      <c r="H208" t="s">
        <v>101</v>
      </c>
      <c r="I208" t="str">
        <f t="shared" si="54"/>
        <v>04/03/2026</v>
      </c>
      <c r="J208" t="str">
        <f t="shared" si="55"/>
        <v>24/02/2026</v>
      </c>
      <c r="K208">
        <v>46085</v>
      </c>
      <c r="N208">
        <v>303</v>
      </c>
      <c r="O208" t="s">
        <v>102</v>
      </c>
      <c r="Q208">
        <v>3284.35</v>
      </c>
      <c r="R208" t="str">
        <f>"FARMÁCIA INDIANA LJ 110 (10048)"</f>
        <v>FARMÁCIA INDIANA LJ 110 (10048)</v>
      </c>
      <c r="S208" t="s">
        <v>103</v>
      </c>
      <c r="T208">
        <v>30004</v>
      </c>
      <c r="U208">
        <v>33584</v>
      </c>
      <c r="V208" t="s">
        <v>37</v>
      </c>
    </row>
    <row r="209" spans="1:22">
      <c r="A209" t="str">
        <f t="shared" si="48"/>
        <v>04/03/2026</v>
      </c>
      <c r="B209" t="str">
        <f t="shared" si="50"/>
        <v>ENTRADA</v>
      </c>
      <c r="C209" t="str">
        <f t="shared" si="51"/>
        <v>NFSE</v>
      </c>
      <c r="D209" t="str">
        <f t="shared" si="52"/>
        <v>406</v>
      </c>
      <c r="E209" t="str">
        <f t="shared" si="49"/>
        <v>1</v>
      </c>
      <c r="F209" t="str">
        <f t="shared" si="56"/>
        <v>COM</v>
      </c>
      <c r="G209" t="str">
        <f t="shared" si="53"/>
        <v>FARMÁCIA INDIANA LJ 1 (10126)</v>
      </c>
      <c r="H209" t="s">
        <v>101</v>
      </c>
      <c r="I209" t="str">
        <f t="shared" si="54"/>
        <v>04/03/2026</v>
      </c>
      <c r="J209" t="str">
        <f t="shared" si="55"/>
        <v>24/02/2026</v>
      </c>
      <c r="K209">
        <v>46085</v>
      </c>
      <c r="N209">
        <v>303</v>
      </c>
      <c r="O209" t="s">
        <v>102</v>
      </c>
      <c r="Q209">
        <v>590.96</v>
      </c>
      <c r="R209" t="str">
        <f>"FARMÁCIA INDIANA LJ 111 (10049)"</f>
        <v>FARMÁCIA INDIANA LJ 111 (10049)</v>
      </c>
      <c r="S209" t="s">
        <v>103</v>
      </c>
      <c r="T209">
        <v>30004</v>
      </c>
      <c r="U209">
        <v>33584</v>
      </c>
      <c r="V209" t="s">
        <v>37</v>
      </c>
    </row>
    <row r="210" spans="1:22">
      <c r="A210" t="str">
        <f t="shared" si="48"/>
        <v>04/03/2026</v>
      </c>
      <c r="B210" t="str">
        <f t="shared" si="50"/>
        <v>ENTRADA</v>
      </c>
      <c r="C210" t="str">
        <f t="shared" si="51"/>
        <v>NFSE</v>
      </c>
      <c r="D210" t="str">
        <f t="shared" si="52"/>
        <v>406</v>
      </c>
      <c r="E210" t="str">
        <f t="shared" si="49"/>
        <v>1</v>
      </c>
      <c r="F210" t="str">
        <f t="shared" si="56"/>
        <v>COM</v>
      </c>
      <c r="G210" t="str">
        <f t="shared" si="53"/>
        <v>FARMÁCIA INDIANA LJ 1 (10126)</v>
      </c>
      <c r="H210" t="s">
        <v>101</v>
      </c>
      <c r="I210" t="str">
        <f t="shared" si="54"/>
        <v>04/03/2026</v>
      </c>
      <c r="J210" t="str">
        <f t="shared" si="55"/>
        <v>24/02/2026</v>
      </c>
      <c r="K210">
        <v>46085</v>
      </c>
      <c r="N210">
        <v>303</v>
      </c>
      <c r="O210" t="s">
        <v>102</v>
      </c>
      <c r="Q210">
        <v>897.8</v>
      </c>
      <c r="R210" t="str">
        <f>"FARMÁCIA INDIANA LJ 112 (10050)"</f>
        <v>FARMÁCIA INDIANA LJ 112 (10050)</v>
      </c>
      <c r="S210" t="s">
        <v>103</v>
      </c>
      <c r="T210">
        <v>30004</v>
      </c>
      <c r="U210">
        <v>33584</v>
      </c>
      <c r="V210" t="s">
        <v>37</v>
      </c>
    </row>
    <row r="211" spans="1:22">
      <c r="A211" t="str">
        <f t="shared" si="48"/>
        <v>04/03/2026</v>
      </c>
      <c r="B211" t="str">
        <f t="shared" si="50"/>
        <v>ENTRADA</v>
      </c>
      <c r="C211" t="str">
        <f t="shared" si="51"/>
        <v>NFSE</v>
      </c>
      <c r="D211" t="str">
        <f t="shared" si="52"/>
        <v>406</v>
      </c>
      <c r="E211" t="str">
        <f t="shared" si="49"/>
        <v>1</v>
      </c>
      <c r="F211" t="str">
        <f t="shared" si="56"/>
        <v>COM</v>
      </c>
      <c r="G211" t="str">
        <f t="shared" si="53"/>
        <v>FARMÁCIA INDIANA LJ 1 (10126)</v>
      </c>
      <c r="H211" t="s">
        <v>101</v>
      </c>
      <c r="I211" t="str">
        <f t="shared" si="54"/>
        <v>04/03/2026</v>
      </c>
      <c r="J211" t="str">
        <f t="shared" si="55"/>
        <v>24/02/2026</v>
      </c>
      <c r="K211">
        <v>46085</v>
      </c>
      <c r="N211">
        <v>303</v>
      </c>
      <c r="O211" t="s">
        <v>102</v>
      </c>
      <c r="Q211">
        <v>1170.55</v>
      </c>
      <c r="R211" t="str">
        <f>"FARMÁCIA INDIANA LJ 116 (10051)"</f>
        <v>FARMÁCIA INDIANA LJ 116 (10051)</v>
      </c>
      <c r="S211" t="s">
        <v>103</v>
      </c>
      <c r="T211">
        <v>30004</v>
      </c>
      <c r="U211">
        <v>33584</v>
      </c>
      <c r="V211" t="s">
        <v>37</v>
      </c>
    </row>
    <row r="212" spans="1:22">
      <c r="A212" t="str">
        <f t="shared" si="48"/>
        <v>04/03/2026</v>
      </c>
      <c r="B212" t="str">
        <f t="shared" si="50"/>
        <v>ENTRADA</v>
      </c>
      <c r="C212" t="str">
        <f t="shared" si="51"/>
        <v>NFSE</v>
      </c>
      <c r="D212" t="str">
        <f t="shared" si="52"/>
        <v>406</v>
      </c>
      <c r="E212" t="str">
        <f t="shared" si="49"/>
        <v>1</v>
      </c>
      <c r="F212" t="str">
        <f t="shared" si="56"/>
        <v>COM</v>
      </c>
      <c r="G212" t="str">
        <f t="shared" si="53"/>
        <v>FARMÁCIA INDIANA LJ 1 (10126)</v>
      </c>
      <c r="H212" t="s">
        <v>101</v>
      </c>
      <c r="I212" t="str">
        <f t="shared" si="54"/>
        <v>04/03/2026</v>
      </c>
      <c r="J212" t="str">
        <f t="shared" si="55"/>
        <v>24/02/2026</v>
      </c>
      <c r="K212">
        <v>46085</v>
      </c>
      <c r="N212">
        <v>303</v>
      </c>
      <c r="O212" t="s">
        <v>102</v>
      </c>
      <c r="Q212">
        <v>818.25</v>
      </c>
      <c r="R212" t="str">
        <f>"FARMÁCIA INDIANA LJ 118 (10052)"</f>
        <v>FARMÁCIA INDIANA LJ 118 (10052)</v>
      </c>
      <c r="S212" t="s">
        <v>103</v>
      </c>
      <c r="T212">
        <v>30004</v>
      </c>
      <c r="U212">
        <v>33584</v>
      </c>
      <c r="V212" t="s">
        <v>37</v>
      </c>
    </row>
    <row r="213" spans="1:22">
      <c r="A213" t="str">
        <f t="shared" si="48"/>
        <v>04/03/2026</v>
      </c>
      <c r="B213" t="str">
        <f t="shared" si="50"/>
        <v>ENTRADA</v>
      </c>
      <c r="C213" t="str">
        <f t="shared" si="51"/>
        <v>NFSE</v>
      </c>
      <c r="D213" t="str">
        <f t="shared" si="52"/>
        <v>406</v>
      </c>
      <c r="E213" t="str">
        <f t="shared" si="49"/>
        <v>1</v>
      </c>
      <c r="F213" t="str">
        <f t="shared" si="56"/>
        <v>COM</v>
      </c>
      <c r="G213" t="str">
        <f t="shared" si="53"/>
        <v>FARMÁCIA INDIANA LJ 1 (10126)</v>
      </c>
      <c r="H213" t="s">
        <v>101</v>
      </c>
      <c r="I213" t="str">
        <f t="shared" si="54"/>
        <v>04/03/2026</v>
      </c>
      <c r="J213" t="str">
        <f t="shared" si="55"/>
        <v>24/02/2026</v>
      </c>
      <c r="K213">
        <v>46085</v>
      </c>
      <c r="N213">
        <v>303</v>
      </c>
      <c r="O213" t="s">
        <v>102</v>
      </c>
      <c r="Q213">
        <v>897.8</v>
      </c>
      <c r="R213" t="str">
        <f>"FARMÁCIA INDIANA LJ 121 (10054)"</f>
        <v>FARMÁCIA INDIANA LJ 121 (10054)</v>
      </c>
      <c r="S213" t="s">
        <v>103</v>
      </c>
      <c r="T213">
        <v>30004</v>
      </c>
      <c r="U213">
        <v>33584</v>
      </c>
      <c r="V213" t="s">
        <v>37</v>
      </c>
    </row>
    <row r="214" spans="1:22">
      <c r="A214" t="str">
        <f t="shared" ref="A214:A245" si="57">("04/03/2026")</f>
        <v>04/03/2026</v>
      </c>
      <c r="B214" t="str">
        <f t="shared" si="50"/>
        <v>ENTRADA</v>
      </c>
      <c r="C214" t="str">
        <f t="shared" si="51"/>
        <v>NFSE</v>
      </c>
      <c r="D214" t="str">
        <f t="shared" si="52"/>
        <v>406</v>
      </c>
      <c r="E214" t="str">
        <f t="shared" si="49"/>
        <v>1</v>
      </c>
      <c r="F214" t="str">
        <f t="shared" si="56"/>
        <v>COM</v>
      </c>
      <c r="G214" t="str">
        <f t="shared" si="53"/>
        <v>FARMÁCIA INDIANA LJ 1 (10126)</v>
      </c>
      <c r="H214" t="s">
        <v>101</v>
      </c>
      <c r="I214" t="str">
        <f t="shared" si="54"/>
        <v>04/03/2026</v>
      </c>
      <c r="J214" t="str">
        <f t="shared" si="55"/>
        <v>24/02/2026</v>
      </c>
      <c r="K214">
        <v>46085</v>
      </c>
      <c r="N214">
        <v>303</v>
      </c>
      <c r="O214" t="s">
        <v>102</v>
      </c>
      <c r="Q214">
        <v>897.8</v>
      </c>
      <c r="R214" t="str">
        <f>"FARMÁCIA INDIANA LJ 128 (10057)"</f>
        <v>FARMÁCIA INDIANA LJ 128 (10057)</v>
      </c>
      <c r="S214" t="s">
        <v>103</v>
      </c>
      <c r="T214">
        <v>30004</v>
      </c>
      <c r="U214">
        <v>33584</v>
      </c>
      <c r="V214" t="s">
        <v>37</v>
      </c>
    </row>
    <row r="215" spans="1:22">
      <c r="A215" t="str">
        <f t="shared" si="57"/>
        <v>04/03/2026</v>
      </c>
      <c r="B215" t="str">
        <f t="shared" si="50"/>
        <v>ENTRADA</v>
      </c>
      <c r="C215" t="str">
        <f t="shared" si="51"/>
        <v>NFSE</v>
      </c>
      <c r="D215" t="str">
        <f t="shared" si="52"/>
        <v>406</v>
      </c>
      <c r="E215" t="str">
        <f t="shared" si="49"/>
        <v>1</v>
      </c>
      <c r="F215" t="str">
        <f t="shared" si="56"/>
        <v>COM</v>
      </c>
      <c r="G215" t="str">
        <f t="shared" si="53"/>
        <v>FARMÁCIA INDIANA LJ 1 (10126)</v>
      </c>
      <c r="H215" t="s">
        <v>101</v>
      </c>
      <c r="I215" t="str">
        <f t="shared" si="54"/>
        <v>04/03/2026</v>
      </c>
      <c r="J215" t="str">
        <f t="shared" si="55"/>
        <v>24/02/2026</v>
      </c>
      <c r="K215">
        <v>46085</v>
      </c>
      <c r="N215">
        <v>303</v>
      </c>
      <c r="O215" t="s">
        <v>102</v>
      </c>
      <c r="Q215">
        <v>159.1</v>
      </c>
      <c r="R215" t="str">
        <f>"FARMÁCIA INDIANA LJ 140 (10064)"</f>
        <v>FARMÁCIA INDIANA LJ 140 (10064)</v>
      </c>
      <c r="S215" t="s">
        <v>103</v>
      </c>
      <c r="T215">
        <v>30004</v>
      </c>
      <c r="U215">
        <v>33584</v>
      </c>
      <c r="V215" t="s">
        <v>37</v>
      </c>
    </row>
    <row r="216" spans="1:22">
      <c r="A216" t="str">
        <f t="shared" si="57"/>
        <v>04/03/2026</v>
      </c>
      <c r="B216" t="str">
        <f t="shared" si="50"/>
        <v>ENTRADA</v>
      </c>
      <c r="C216" t="str">
        <f t="shared" si="51"/>
        <v>NFSE</v>
      </c>
      <c r="D216" t="str">
        <f t="shared" si="52"/>
        <v>406</v>
      </c>
      <c r="E216" t="str">
        <f t="shared" si="49"/>
        <v>1</v>
      </c>
      <c r="F216" t="str">
        <f t="shared" si="56"/>
        <v>COM</v>
      </c>
      <c r="G216" t="str">
        <f t="shared" si="53"/>
        <v>FARMÁCIA INDIANA LJ 1 (10126)</v>
      </c>
      <c r="H216" t="s">
        <v>101</v>
      </c>
      <c r="I216" t="str">
        <f t="shared" si="54"/>
        <v>04/03/2026</v>
      </c>
      <c r="J216" t="str">
        <f t="shared" si="55"/>
        <v>24/02/2026</v>
      </c>
      <c r="K216">
        <v>46085</v>
      </c>
      <c r="N216">
        <v>303</v>
      </c>
      <c r="O216" t="s">
        <v>102</v>
      </c>
      <c r="Q216">
        <v>113.65</v>
      </c>
      <c r="R216" t="str">
        <f>"FARMÁCIA INDIANA LJ 141 (10065)"</f>
        <v>FARMÁCIA INDIANA LJ 141 (10065)</v>
      </c>
      <c r="S216" t="s">
        <v>103</v>
      </c>
      <c r="T216">
        <v>30004</v>
      </c>
      <c r="U216">
        <v>33584</v>
      </c>
      <c r="V216" t="s">
        <v>37</v>
      </c>
    </row>
    <row r="217" spans="1:22">
      <c r="A217" t="str">
        <f t="shared" si="57"/>
        <v>04/03/2026</v>
      </c>
      <c r="B217" t="str">
        <f t="shared" si="50"/>
        <v>ENTRADA</v>
      </c>
      <c r="C217" t="str">
        <f t="shared" si="51"/>
        <v>NFSE</v>
      </c>
      <c r="D217" t="str">
        <f t="shared" si="52"/>
        <v>406</v>
      </c>
      <c r="E217" t="str">
        <f t="shared" si="49"/>
        <v>1</v>
      </c>
      <c r="F217" t="str">
        <f t="shared" si="56"/>
        <v>COM</v>
      </c>
      <c r="G217" t="str">
        <f t="shared" si="53"/>
        <v>FARMÁCIA INDIANA LJ 1 (10126)</v>
      </c>
      <c r="H217" t="s">
        <v>101</v>
      </c>
      <c r="I217" t="str">
        <f t="shared" si="54"/>
        <v>04/03/2026</v>
      </c>
      <c r="J217" t="str">
        <f t="shared" si="55"/>
        <v>24/02/2026</v>
      </c>
      <c r="K217">
        <v>46085</v>
      </c>
      <c r="N217">
        <v>303</v>
      </c>
      <c r="O217" t="s">
        <v>102</v>
      </c>
      <c r="Q217">
        <v>5466.34</v>
      </c>
      <c r="R217" t="str">
        <f>"FARMÁCIA INDIANA LJ 142 (10066)"</f>
        <v>FARMÁCIA INDIANA LJ 142 (10066)</v>
      </c>
      <c r="S217" t="s">
        <v>103</v>
      </c>
      <c r="T217">
        <v>30004</v>
      </c>
      <c r="U217">
        <v>33584</v>
      </c>
      <c r="V217" t="s">
        <v>37</v>
      </c>
    </row>
    <row r="218" spans="1:22">
      <c r="A218" t="str">
        <f t="shared" si="57"/>
        <v>04/03/2026</v>
      </c>
      <c r="B218" t="str">
        <f t="shared" si="50"/>
        <v>ENTRADA</v>
      </c>
      <c r="C218" t="str">
        <f t="shared" si="51"/>
        <v>NFSE</v>
      </c>
      <c r="D218" t="str">
        <f t="shared" si="52"/>
        <v>406</v>
      </c>
      <c r="E218" t="str">
        <f t="shared" si="49"/>
        <v>1</v>
      </c>
      <c r="F218" t="str">
        <f t="shared" si="56"/>
        <v>COM</v>
      </c>
      <c r="G218" t="str">
        <f t="shared" si="53"/>
        <v>FARMÁCIA INDIANA LJ 1 (10126)</v>
      </c>
      <c r="H218" t="s">
        <v>101</v>
      </c>
      <c r="I218" t="str">
        <f t="shared" si="54"/>
        <v>04/03/2026</v>
      </c>
      <c r="J218" t="str">
        <f t="shared" si="55"/>
        <v>24/02/2026</v>
      </c>
      <c r="K218">
        <v>46085</v>
      </c>
      <c r="N218">
        <v>303</v>
      </c>
      <c r="O218" t="s">
        <v>102</v>
      </c>
      <c r="Q218">
        <v>602.32000000000005</v>
      </c>
      <c r="R218" t="str">
        <f>"FARMÁCIA INDIANA LJ 143 (10067)"</f>
        <v>FARMÁCIA INDIANA LJ 143 (10067)</v>
      </c>
      <c r="S218" t="s">
        <v>103</v>
      </c>
      <c r="T218">
        <v>30004</v>
      </c>
      <c r="U218">
        <v>33584</v>
      </c>
      <c r="V218" t="s">
        <v>37</v>
      </c>
    </row>
    <row r="219" spans="1:22">
      <c r="A219" t="str">
        <f t="shared" si="57"/>
        <v>04/03/2026</v>
      </c>
      <c r="B219" t="str">
        <f t="shared" si="50"/>
        <v>ENTRADA</v>
      </c>
      <c r="C219" t="str">
        <f t="shared" si="51"/>
        <v>NFSE</v>
      </c>
      <c r="D219" t="str">
        <f t="shared" si="52"/>
        <v>406</v>
      </c>
      <c r="E219" t="str">
        <f t="shared" si="49"/>
        <v>1</v>
      </c>
      <c r="F219" t="str">
        <f t="shared" si="56"/>
        <v>COM</v>
      </c>
      <c r="G219" t="str">
        <f t="shared" si="53"/>
        <v>FARMÁCIA INDIANA LJ 1 (10126)</v>
      </c>
      <c r="H219" t="s">
        <v>101</v>
      </c>
      <c r="I219" t="str">
        <f t="shared" si="54"/>
        <v>04/03/2026</v>
      </c>
      <c r="J219" t="str">
        <f t="shared" si="55"/>
        <v>24/02/2026</v>
      </c>
      <c r="K219">
        <v>46085</v>
      </c>
      <c r="N219">
        <v>303</v>
      </c>
      <c r="O219" t="s">
        <v>102</v>
      </c>
      <c r="Q219">
        <v>3284.35</v>
      </c>
      <c r="R219" t="str">
        <f>"FARMÁCIA INDIANA LJ 152 (10069)"</f>
        <v>FARMÁCIA INDIANA LJ 152 (10069)</v>
      </c>
      <c r="S219" t="s">
        <v>103</v>
      </c>
      <c r="T219">
        <v>30004</v>
      </c>
      <c r="U219">
        <v>33584</v>
      </c>
      <c r="V219" t="s">
        <v>37</v>
      </c>
    </row>
    <row r="220" spans="1:22">
      <c r="A220" t="str">
        <f t="shared" si="57"/>
        <v>04/03/2026</v>
      </c>
      <c r="B220" t="str">
        <f t="shared" si="50"/>
        <v>ENTRADA</v>
      </c>
      <c r="C220" t="str">
        <f t="shared" si="51"/>
        <v>NFSE</v>
      </c>
      <c r="D220" t="str">
        <f t="shared" si="52"/>
        <v>406</v>
      </c>
      <c r="E220" t="str">
        <f t="shared" si="49"/>
        <v>1</v>
      </c>
      <c r="F220" t="str">
        <f t="shared" si="56"/>
        <v>COM</v>
      </c>
      <c r="G220" t="str">
        <f t="shared" si="53"/>
        <v>FARMÁCIA INDIANA LJ 1 (10126)</v>
      </c>
      <c r="H220" t="s">
        <v>101</v>
      </c>
      <c r="I220" t="str">
        <f t="shared" si="54"/>
        <v>04/03/2026</v>
      </c>
      <c r="J220" t="str">
        <f t="shared" si="55"/>
        <v>24/02/2026</v>
      </c>
      <c r="K220">
        <v>46085</v>
      </c>
      <c r="N220">
        <v>303</v>
      </c>
      <c r="O220" t="s">
        <v>102</v>
      </c>
      <c r="Q220">
        <v>227.29</v>
      </c>
      <c r="R220" t="str">
        <f>"FARMÁCIA INDIANA LJ 154 (10070)"</f>
        <v>FARMÁCIA INDIANA LJ 154 (10070)</v>
      </c>
      <c r="S220" t="s">
        <v>103</v>
      </c>
      <c r="T220">
        <v>30004</v>
      </c>
      <c r="U220">
        <v>33584</v>
      </c>
      <c r="V220" t="s">
        <v>37</v>
      </c>
    </row>
    <row r="221" spans="1:22">
      <c r="A221" t="str">
        <f t="shared" si="57"/>
        <v>04/03/2026</v>
      </c>
      <c r="B221" t="str">
        <f t="shared" si="50"/>
        <v>ENTRADA</v>
      </c>
      <c r="C221" t="str">
        <f t="shared" si="51"/>
        <v>NFSE</v>
      </c>
      <c r="D221" t="str">
        <f t="shared" si="52"/>
        <v>406</v>
      </c>
      <c r="E221" t="str">
        <f t="shared" ref="E221:E252" si="58">"1"</f>
        <v>1</v>
      </c>
      <c r="F221" t="str">
        <f t="shared" si="56"/>
        <v>COM</v>
      </c>
      <c r="G221" t="str">
        <f t="shared" si="53"/>
        <v>FARMÁCIA INDIANA LJ 1 (10126)</v>
      </c>
      <c r="H221" t="s">
        <v>101</v>
      </c>
      <c r="I221" t="str">
        <f t="shared" si="54"/>
        <v>04/03/2026</v>
      </c>
      <c r="J221" t="str">
        <f t="shared" si="55"/>
        <v>24/02/2026</v>
      </c>
      <c r="K221">
        <v>46085</v>
      </c>
      <c r="N221">
        <v>303</v>
      </c>
      <c r="O221" t="s">
        <v>102</v>
      </c>
      <c r="Q221">
        <v>1931.97</v>
      </c>
      <c r="R221" t="str">
        <f>"FARMÁCIA INDIANA LJ 171 (10074)"</f>
        <v>FARMÁCIA INDIANA LJ 171 (10074)</v>
      </c>
      <c r="S221" t="s">
        <v>103</v>
      </c>
      <c r="T221">
        <v>30004</v>
      </c>
      <c r="U221">
        <v>33584</v>
      </c>
      <c r="V221" t="s">
        <v>37</v>
      </c>
    </row>
    <row r="222" spans="1:22">
      <c r="A222" t="str">
        <f t="shared" si="57"/>
        <v>04/03/2026</v>
      </c>
      <c r="B222" t="str">
        <f t="shared" si="50"/>
        <v>ENTRADA</v>
      </c>
      <c r="C222" t="str">
        <f t="shared" si="51"/>
        <v>NFSE</v>
      </c>
      <c r="D222" t="str">
        <f t="shared" si="52"/>
        <v>406</v>
      </c>
      <c r="E222" t="str">
        <f t="shared" si="58"/>
        <v>1</v>
      </c>
      <c r="F222" t="str">
        <f t="shared" si="56"/>
        <v>COM</v>
      </c>
      <c r="G222" t="str">
        <f t="shared" si="53"/>
        <v>FARMÁCIA INDIANA LJ 1 (10126)</v>
      </c>
      <c r="H222" t="s">
        <v>101</v>
      </c>
      <c r="I222" t="str">
        <f t="shared" si="54"/>
        <v>04/03/2026</v>
      </c>
      <c r="J222" t="str">
        <f t="shared" si="55"/>
        <v>24/02/2026</v>
      </c>
      <c r="K222">
        <v>46085</v>
      </c>
      <c r="N222">
        <v>303</v>
      </c>
      <c r="O222" t="s">
        <v>102</v>
      </c>
      <c r="Q222">
        <v>738.7</v>
      </c>
      <c r="R222" t="str">
        <f>"FARMÁCIA INDIANA LJ 175 (10076)"</f>
        <v>FARMÁCIA INDIANA LJ 175 (10076)</v>
      </c>
      <c r="S222" t="s">
        <v>103</v>
      </c>
      <c r="T222">
        <v>30004</v>
      </c>
      <c r="U222">
        <v>33584</v>
      </c>
      <c r="V222" t="s">
        <v>37</v>
      </c>
    </row>
    <row r="223" spans="1:22">
      <c r="A223" t="str">
        <f t="shared" si="57"/>
        <v>04/03/2026</v>
      </c>
      <c r="B223" t="str">
        <f t="shared" ref="B223:B254" si="59">"ENTRADA"</f>
        <v>ENTRADA</v>
      </c>
      <c r="C223" t="str">
        <f t="shared" ref="C223:C254" si="60">"NFSE"</f>
        <v>NFSE</v>
      </c>
      <c r="D223" t="str">
        <f t="shared" ref="D223:D240" si="61">"406"</f>
        <v>406</v>
      </c>
      <c r="E223" t="str">
        <f t="shared" si="58"/>
        <v>1</v>
      </c>
      <c r="F223" t="str">
        <f t="shared" si="56"/>
        <v>COM</v>
      </c>
      <c r="G223" t="str">
        <f t="shared" ref="G223:G240" si="62">"FARMÁCIA INDIANA LJ 1 (10126)"</f>
        <v>FARMÁCIA INDIANA LJ 1 (10126)</v>
      </c>
      <c r="H223" t="s">
        <v>101</v>
      </c>
      <c r="I223" t="str">
        <f t="shared" ref="I223:I254" si="63">("04/03/2026")</f>
        <v>04/03/2026</v>
      </c>
      <c r="J223" t="str">
        <f t="shared" ref="J223:J254" si="64">("24/02/2026")</f>
        <v>24/02/2026</v>
      </c>
      <c r="K223">
        <v>46085</v>
      </c>
      <c r="N223">
        <v>303</v>
      </c>
      <c r="O223" t="s">
        <v>102</v>
      </c>
      <c r="Q223">
        <v>1159.18</v>
      </c>
      <c r="R223" t="str">
        <f>"FARMÁCIA INDIANA LJ 178 (10077)"</f>
        <v>FARMÁCIA INDIANA LJ 178 (10077)</v>
      </c>
      <c r="S223" t="s">
        <v>103</v>
      </c>
      <c r="T223">
        <v>30004</v>
      </c>
      <c r="U223">
        <v>33584</v>
      </c>
      <c r="V223" t="s">
        <v>37</v>
      </c>
    </row>
    <row r="224" spans="1:22">
      <c r="A224" t="str">
        <f t="shared" si="57"/>
        <v>04/03/2026</v>
      </c>
      <c r="B224" t="str">
        <f t="shared" si="59"/>
        <v>ENTRADA</v>
      </c>
      <c r="C224" t="str">
        <f t="shared" si="60"/>
        <v>NFSE</v>
      </c>
      <c r="D224" t="str">
        <f t="shared" si="61"/>
        <v>406</v>
      </c>
      <c r="E224" t="str">
        <f t="shared" si="58"/>
        <v>1</v>
      </c>
      <c r="F224" t="str">
        <f t="shared" si="56"/>
        <v>COM</v>
      </c>
      <c r="G224" t="str">
        <f t="shared" si="62"/>
        <v>FARMÁCIA INDIANA LJ 1 (10126)</v>
      </c>
      <c r="H224" t="s">
        <v>101</v>
      </c>
      <c r="I224" t="str">
        <f t="shared" si="63"/>
        <v>04/03/2026</v>
      </c>
      <c r="J224" t="str">
        <f t="shared" si="64"/>
        <v>24/02/2026</v>
      </c>
      <c r="K224">
        <v>46085</v>
      </c>
      <c r="N224">
        <v>303</v>
      </c>
      <c r="O224" t="s">
        <v>102</v>
      </c>
      <c r="Q224">
        <v>454.58</v>
      </c>
      <c r="R224" t="str">
        <f>"FARMÁCIA INDIANA LJ 182 (10079)"</f>
        <v>FARMÁCIA INDIANA LJ 182 (10079)</v>
      </c>
      <c r="S224" t="s">
        <v>103</v>
      </c>
      <c r="T224">
        <v>30004</v>
      </c>
      <c r="U224">
        <v>33584</v>
      </c>
      <c r="V224" t="s">
        <v>37</v>
      </c>
    </row>
    <row r="225" spans="1:22">
      <c r="A225" t="str">
        <f t="shared" si="57"/>
        <v>04/03/2026</v>
      </c>
      <c r="B225" t="str">
        <f t="shared" si="59"/>
        <v>ENTRADA</v>
      </c>
      <c r="C225" t="str">
        <f t="shared" si="60"/>
        <v>NFSE</v>
      </c>
      <c r="D225" t="str">
        <f t="shared" si="61"/>
        <v>406</v>
      </c>
      <c r="E225" t="str">
        <f t="shared" si="58"/>
        <v>1</v>
      </c>
      <c r="F225" t="str">
        <f t="shared" si="56"/>
        <v>COM</v>
      </c>
      <c r="G225" t="str">
        <f t="shared" si="62"/>
        <v>FARMÁCIA INDIANA LJ 1 (10126)</v>
      </c>
      <c r="H225" t="s">
        <v>101</v>
      </c>
      <c r="I225" t="str">
        <f t="shared" si="63"/>
        <v>04/03/2026</v>
      </c>
      <c r="J225" t="str">
        <f t="shared" si="64"/>
        <v>24/02/2026</v>
      </c>
      <c r="K225">
        <v>46085</v>
      </c>
      <c r="N225">
        <v>303</v>
      </c>
      <c r="O225" t="s">
        <v>102</v>
      </c>
      <c r="Q225">
        <v>363.67</v>
      </c>
      <c r="R225" t="str">
        <f>"FARMÁCIA INDIANA LJ 184 (10080)"</f>
        <v>FARMÁCIA INDIANA LJ 184 (10080)</v>
      </c>
      <c r="S225" t="s">
        <v>103</v>
      </c>
      <c r="T225">
        <v>30004</v>
      </c>
      <c r="U225">
        <v>33584</v>
      </c>
      <c r="V225" t="s">
        <v>37</v>
      </c>
    </row>
    <row r="226" spans="1:22">
      <c r="A226" t="str">
        <f t="shared" si="57"/>
        <v>04/03/2026</v>
      </c>
      <c r="B226" t="str">
        <f t="shared" si="59"/>
        <v>ENTRADA</v>
      </c>
      <c r="C226" t="str">
        <f t="shared" si="60"/>
        <v>NFSE</v>
      </c>
      <c r="D226" t="str">
        <f t="shared" si="61"/>
        <v>406</v>
      </c>
      <c r="E226" t="str">
        <f t="shared" si="58"/>
        <v>1</v>
      </c>
      <c r="F226" t="str">
        <f t="shared" si="56"/>
        <v>COM</v>
      </c>
      <c r="G226" t="str">
        <f t="shared" si="62"/>
        <v>FARMÁCIA INDIANA LJ 1 (10126)</v>
      </c>
      <c r="H226" t="s">
        <v>101</v>
      </c>
      <c r="I226" t="str">
        <f t="shared" si="63"/>
        <v>04/03/2026</v>
      </c>
      <c r="J226" t="str">
        <f t="shared" si="64"/>
        <v>24/02/2026</v>
      </c>
      <c r="K226">
        <v>46085</v>
      </c>
      <c r="N226">
        <v>303</v>
      </c>
      <c r="O226" t="s">
        <v>102</v>
      </c>
      <c r="Q226">
        <v>454.58</v>
      </c>
      <c r="R226" t="str">
        <f>"FARMÁCIA INDIANA LJ 186 (10081)"</f>
        <v>FARMÁCIA INDIANA LJ 186 (10081)</v>
      </c>
      <c r="S226" t="s">
        <v>103</v>
      </c>
      <c r="T226">
        <v>30004</v>
      </c>
      <c r="U226">
        <v>33584</v>
      </c>
      <c r="V226" t="s">
        <v>37</v>
      </c>
    </row>
    <row r="227" spans="1:22">
      <c r="A227" t="str">
        <f t="shared" si="57"/>
        <v>04/03/2026</v>
      </c>
      <c r="B227" t="str">
        <f t="shared" si="59"/>
        <v>ENTRADA</v>
      </c>
      <c r="C227" t="str">
        <f t="shared" si="60"/>
        <v>NFSE</v>
      </c>
      <c r="D227" t="str">
        <f t="shared" si="61"/>
        <v>406</v>
      </c>
      <c r="E227" t="str">
        <f t="shared" si="58"/>
        <v>1</v>
      </c>
      <c r="F227" t="str">
        <f t="shared" si="56"/>
        <v>COM</v>
      </c>
      <c r="G227" t="str">
        <f t="shared" si="62"/>
        <v>FARMÁCIA INDIANA LJ 1 (10126)</v>
      </c>
      <c r="H227" t="s">
        <v>101</v>
      </c>
      <c r="I227" t="str">
        <f t="shared" si="63"/>
        <v>04/03/2026</v>
      </c>
      <c r="J227" t="str">
        <f t="shared" si="64"/>
        <v>24/02/2026</v>
      </c>
      <c r="K227">
        <v>46085</v>
      </c>
      <c r="N227">
        <v>303</v>
      </c>
      <c r="O227" t="s">
        <v>102</v>
      </c>
      <c r="Q227">
        <v>818.25</v>
      </c>
      <c r="R227" t="str">
        <f>"FARMÁCIA INDIANA LJ 192 (10082)"</f>
        <v>FARMÁCIA INDIANA LJ 192 (10082)</v>
      </c>
      <c r="S227" t="s">
        <v>103</v>
      </c>
      <c r="T227">
        <v>30004</v>
      </c>
      <c r="U227">
        <v>33584</v>
      </c>
      <c r="V227" t="s">
        <v>37</v>
      </c>
    </row>
    <row r="228" spans="1:22">
      <c r="A228" t="str">
        <f t="shared" si="57"/>
        <v>04/03/2026</v>
      </c>
      <c r="B228" t="str">
        <f t="shared" si="59"/>
        <v>ENTRADA</v>
      </c>
      <c r="C228" t="str">
        <f t="shared" si="60"/>
        <v>NFSE</v>
      </c>
      <c r="D228" t="str">
        <f t="shared" si="61"/>
        <v>406</v>
      </c>
      <c r="E228" t="str">
        <f t="shared" si="58"/>
        <v>1</v>
      </c>
      <c r="F228" t="str">
        <f t="shared" si="56"/>
        <v>COM</v>
      </c>
      <c r="G228" t="str">
        <f t="shared" si="62"/>
        <v>FARMÁCIA INDIANA LJ 1 (10126)</v>
      </c>
      <c r="H228" t="s">
        <v>101</v>
      </c>
      <c r="I228" t="str">
        <f t="shared" si="63"/>
        <v>04/03/2026</v>
      </c>
      <c r="J228" t="str">
        <f t="shared" si="64"/>
        <v>24/02/2026</v>
      </c>
      <c r="K228">
        <v>46085</v>
      </c>
      <c r="N228">
        <v>303</v>
      </c>
      <c r="O228" t="s">
        <v>102</v>
      </c>
      <c r="Q228">
        <v>363.67</v>
      </c>
      <c r="R228" t="str">
        <f>"FARMÁCIA INDIANA LJ 195 (10083)"</f>
        <v>FARMÁCIA INDIANA LJ 195 (10083)</v>
      </c>
      <c r="S228" t="s">
        <v>103</v>
      </c>
      <c r="T228">
        <v>30004</v>
      </c>
      <c r="U228">
        <v>33584</v>
      </c>
      <c r="V228" t="s">
        <v>37</v>
      </c>
    </row>
    <row r="229" spans="1:22">
      <c r="A229" t="str">
        <f t="shared" si="57"/>
        <v>04/03/2026</v>
      </c>
      <c r="B229" t="str">
        <f t="shared" si="59"/>
        <v>ENTRADA</v>
      </c>
      <c r="C229" t="str">
        <f t="shared" si="60"/>
        <v>NFSE</v>
      </c>
      <c r="D229" t="str">
        <f t="shared" si="61"/>
        <v>406</v>
      </c>
      <c r="E229" t="str">
        <f t="shared" si="58"/>
        <v>1</v>
      </c>
      <c r="F229" t="str">
        <f t="shared" si="56"/>
        <v>COM</v>
      </c>
      <c r="G229" t="str">
        <f t="shared" si="62"/>
        <v>FARMÁCIA INDIANA LJ 1 (10126)</v>
      </c>
      <c r="H229" t="s">
        <v>101</v>
      </c>
      <c r="I229" t="str">
        <f t="shared" si="63"/>
        <v>04/03/2026</v>
      </c>
      <c r="J229" t="str">
        <f t="shared" si="64"/>
        <v>24/02/2026</v>
      </c>
      <c r="K229">
        <v>46085</v>
      </c>
      <c r="N229">
        <v>303</v>
      </c>
      <c r="O229" t="s">
        <v>102</v>
      </c>
      <c r="Q229">
        <v>897.8</v>
      </c>
      <c r="R229" t="str">
        <f>"FARMÁCIA INDIANA LJ 202 (10085)"</f>
        <v>FARMÁCIA INDIANA LJ 202 (10085)</v>
      </c>
      <c r="S229" t="s">
        <v>103</v>
      </c>
      <c r="T229">
        <v>30004</v>
      </c>
      <c r="U229">
        <v>33584</v>
      </c>
      <c r="V229" t="s">
        <v>37</v>
      </c>
    </row>
    <row r="230" spans="1:22">
      <c r="A230" t="str">
        <f t="shared" si="57"/>
        <v>04/03/2026</v>
      </c>
      <c r="B230" t="str">
        <f t="shared" si="59"/>
        <v>ENTRADA</v>
      </c>
      <c r="C230" t="str">
        <f t="shared" si="60"/>
        <v>NFSE</v>
      </c>
      <c r="D230" t="str">
        <f t="shared" si="61"/>
        <v>406</v>
      </c>
      <c r="E230" t="str">
        <f t="shared" si="58"/>
        <v>1</v>
      </c>
      <c r="F230" t="str">
        <f t="shared" si="56"/>
        <v>COM</v>
      </c>
      <c r="G230" t="str">
        <f t="shared" si="62"/>
        <v>FARMÁCIA INDIANA LJ 1 (10126)</v>
      </c>
      <c r="H230" t="s">
        <v>101</v>
      </c>
      <c r="I230" t="str">
        <f t="shared" si="63"/>
        <v>04/03/2026</v>
      </c>
      <c r="J230" t="str">
        <f t="shared" si="64"/>
        <v>24/02/2026</v>
      </c>
      <c r="K230">
        <v>46085</v>
      </c>
      <c r="N230">
        <v>303</v>
      </c>
      <c r="O230" t="s">
        <v>102</v>
      </c>
      <c r="Q230">
        <v>715.97</v>
      </c>
      <c r="R230" t="str">
        <f>"FARMÁCIA INDIANA LJ 204 (10087)"</f>
        <v>FARMÁCIA INDIANA LJ 204 (10087)</v>
      </c>
      <c r="S230" t="s">
        <v>103</v>
      </c>
      <c r="T230">
        <v>30004</v>
      </c>
      <c r="U230">
        <v>33584</v>
      </c>
      <c r="V230" t="s">
        <v>37</v>
      </c>
    </row>
    <row r="231" spans="1:22">
      <c r="A231" t="str">
        <f t="shared" si="57"/>
        <v>04/03/2026</v>
      </c>
      <c r="B231" t="str">
        <f t="shared" si="59"/>
        <v>ENTRADA</v>
      </c>
      <c r="C231" t="str">
        <f t="shared" si="60"/>
        <v>NFSE</v>
      </c>
      <c r="D231" t="str">
        <f t="shared" si="61"/>
        <v>406</v>
      </c>
      <c r="E231" t="str">
        <f t="shared" si="58"/>
        <v>1</v>
      </c>
      <c r="F231" t="str">
        <f t="shared" si="56"/>
        <v>COM</v>
      </c>
      <c r="G231" t="str">
        <f t="shared" si="62"/>
        <v>FARMÁCIA INDIANA LJ 1 (10126)</v>
      </c>
      <c r="H231" t="s">
        <v>101</v>
      </c>
      <c r="I231" t="str">
        <f t="shared" si="63"/>
        <v>04/03/2026</v>
      </c>
      <c r="J231" t="str">
        <f t="shared" si="64"/>
        <v>24/02/2026</v>
      </c>
      <c r="K231">
        <v>46085</v>
      </c>
      <c r="N231">
        <v>303</v>
      </c>
      <c r="O231" t="s">
        <v>102</v>
      </c>
      <c r="Q231">
        <v>1318.29</v>
      </c>
      <c r="R231" t="str">
        <f>"FARMÁCIA INDIANA LJ 207 (10088)"</f>
        <v>FARMÁCIA INDIANA LJ 207 (10088)</v>
      </c>
      <c r="S231" t="s">
        <v>103</v>
      </c>
      <c r="T231">
        <v>30004</v>
      </c>
      <c r="U231">
        <v>33584</v>
      </c>
      <c r="V231" t="s">
        <v>37</v>
      </c>
    </row>
    <row r="232" spans="1:22">
      <c r="A232" t="str">
        <f t="shared" si="57"/>
        <v>04/03/2026</v>
      </c>
      <c r="B232" t="str">
        <f t="shared" si="59"/>
        <v>ENTRADA</v>
      </c>
      <c r="C232" t="str">
        <f t="shared" si="60"/>
        <v>NFSE</v>
      </c>
      <c r="D232" t="str">
        <f t="shared" si="61"/>
        <v>406</v>
      </c>
      <c r="E232" t="str">
        <f t="shared" si="58"/>
        <v>1</v>
      </c>
      <c r="F232" t="str">
        <f t="shared" si="56"/>
        <v>COM</v>
      </c>
      <c r="G232" t="str">
        <f t="shared" si="62"/>
        <v>FARMÁCIA INDIANA LJ 1 (10126)</v>
      </c>
      <c r="H232" t="s">
        <v>101</v>
      </c>
      <c r="I232" t="str">
        <f t="shared" si="63"/>
        <v>04/03/2026</v>
      </c>
      <c r="J232" t="str">
        <f t="shared" si="64"/>
        <v>24/02/2026</v>
      </c>
      <c r="K232">
        <v>46085</v>
      </c>
      <c r="N232">
        <v>303</v>
      </c>
      <c r="O232" t="s">
        <v>102</v>
      </c>
      <c r="Q232">
        <v>1125.0899999999999</v>
      </c>
      <c r="R232" t="str">
        <f>"FARMÁCIA INDIANA LJ 209 (10089)"</f>
        <v>FARMÁCIA INDIANA LJ 209 (10089)</v>
      </c>
      <c r="S232" t="s">
        <v>103</v>
      </c>
      <c r="T232">
        <v>30004</v>
      </c>
      <c r="U232">
        <v>33584</v>
      </c>
      <c r="V232" t="s">
        <v>37</v>
      </c>
    </row>
    <row r="233" spans="1:22">
      <c r="A233" t="str">
        <f t="shared" si="57"/>
        <v>04/03/2026</v>
      </c>
      <c r="B233" t="str">
        <f t="shared" si="59"/>
        <v>ENTRADA</v>
      </c>
      <c r="C233" t="str">
        <f t="shared" si="60"/>
        <v>NFSE</v>
      </c>
      <c r="D233" t="str">
        <f t="shared" si="61"/>
        <v>406</v>
      </c>
      <c r="E233" t="str">
        <f t="shared" si="58"/>
        <v>1</v>
      </c>
      <c r="F233" t="str">
        <f t="shared" si="56"/>
        <v>COM</v>
      </c>
      <c r="G233" t="str">
        <f t="shared" si="62"/>
        <v>FARMÁCIA INDIANA LJ 1 (10126)</v>
      </c>
      <c r="H233" t="s">
        <v>101</v>
      </c>
      <c r="I233" t="str">
        <f t="shared" si="63"/>
        <v>04/03/2026</v>
      </c>
      <c r="J233" t="str">
        <f t="shared" si="64"/>
        <v>24/02/2026</v>
      </c>
      <c r="K233">
        <v>46085</v>
      </c>
      <c r="N233">
        <v>303</v>
      </c>
      <c r="O233" t="s">
        <v>102</v>
      </c>
      <c r="Q233">
        <v>2022.89</v>
      </c>
      <c r="R233" t="str">
        <f>"FARMÁCIA INDIANA LJ 219 (10091)"</f>
        <v>FARMÁCIA INDIANA LJ 219 (10091)</v>
      </c>
      <c r="S233" t="s">
        <v>103</v>
      </c>
      <c r="T233">
        <v>30004</v>
      </c>
      <c r="U233">
        <v>33584</v>
      </c>
      <c r="V233" t="s">
        <v>37</v>
      </c>
    </row>
    <row r="234" spans="1:22">
      <c r="A234" t="str">
        <f t="shared" si="57"/>
        <v>04/03/2026</v>
      </c>
      <c r="B234" t="str">
        <f t="shared" si="59"/>
        <v>ENTRADA</v>
      </c>
      <c r="C234" t="str">
        <f t="shared" si="60"/>
        <v>NFSE</v>
      </c>
      <c r="D234" t="str">
        <f t="shared" si="61"/>
        <v>406</v>
      </c>
      <c r="E234" t="str">
        <f t="shared" si="58"/>
        <v>1</v>
      </c>
      <c r="F234" t="str">
        <f t="shared" si="56"/>
        <v>COM</v>
      </c>
      <c r="G234" t="str">
        <f t="shared" si="62"/>
        <v>FARMÁCIA INDIANA LJ 1 (10126)</v>
      </c>
      <c r="H234" t="s">
        <v>101</v>
      </c>
      <c r="I234" t="str">
        <f t="shared" si="63"/>
        <v>04/03/2026</v>
      </c>
      <c r="J234" t="str">
        <f t="shared" si="64"/>
        <v>24/02/2026</v>
      </c>
      <c r="K234">
        <v>46085</v>
      </c>
      <c r="N234">
        <v>303</v>
      </c>
      <c r="O234" t="s">
        <v>102</v>
      </c>
      <c r="Q234">
        <v>3295.72</v>
      </c>
      <c r="R234" t="str">
        <f>"FARMÁCIA INDIANA LJ 220 (10092)"</f>
        <v>FARMÁCIA INDIANA LJ 220 (10092)</v>
      </c>
      <c r="S234" t="s">
        <v>103</v>
      </c>
      <c r="T234">
        <v>30004</v>
      </c>
      <c r="U234">
        <v>33584</v>
      </c>
      <c r="V234" t="s">
        <v>37</v>
      </c>
    </row>
    <row r="235" spans="1:22">
      <c r="A235" t="str">
        <f t="shared" si="57"/>
        <v>04/03/2026</v>
      </c>
      <c r="B235" t="str">
        <f t="shared" si="59"/>
        <v>ENTRADA</v>
      </c>
      <c r="C235" t="str">
        <f t="shared" si="60"/>
        <v>NFSE</v>
      </c>
      <c r="D235" t="str">
        <f t="shared" si="61"/>
        <v>406</v>
      </c>
      <c r="E235" t="str">
        <f t="shared" si="58"/>
        <v>1</v>
      </c>
      <c r="F235" t="str">
        <f t="shared" si="56"/>
        <v>COM</v>
      </c>
      <c r="G235" t="str">
        <f t="shared" si="62"/>
        <v>FARMÁCIA INDIANA LJ 1 (10126)</v>
      </c>
      <c r="H235" t="s">
        <v>101</v>
      </c>
      <c r="I235" t="str">
        <f t="shared" si="63"/>
        <v>04/03/2026</v>
      </c>
      <c r="J235" t="str">
        <f t="shared" si="64"/>
        <v>24/02/2026</v>
      </c>
      <c r="K235">
        <v>46085</v>
      </c>
      <c r="N235">
        <v>303</v>
      </c>
      <c r="O235" t="s">
        <v>102</v>
      </c>
      <c r="Q235">
        <v>1034.17</v>
      </c>
      <c r="R235" t="str">
        <f>"FARMÁCIA INDIANA LJ 185 (10141)"</f>
        <v>FARMÁCIA INDIANA LJ 185 (10141)</v>
      </c>
      <c r="S235" t="s">
        <v>103</v>
      </c>
      <c r="T235">
        <v>30004</v>
      </c>
      <c r="U235">
        <v>33584</v>
      </c>
      <c r="V235" t="s">
        <v>37</v>
      </c>
    </row>
    <row r="236" spans="1:22">
      <c r="A236" t="str">
        <f t="shared" si="57"/>
        <v>04/03/2026</v>
      </c>
      <c r="B236" t="str">
        <f t="shared" si="59"/>
        <v>ENTRADA</v>
      </c>
      <c r="C236" t="str">
        <f t="shared" si="60"/>
        <v>NFSE</v>
      </c>
      <c r="D236" t="str">
        <f t="shared" si="61"/>
        <v>406</v>
      </c>
      <c r="E236" t="str">
        <f t="shared" si="58"/>
        <v>1</v>
      </c>
      <c r="F236" t="str">
        <f t="shared" si="56"/>
        <v>COM</v>
      </c>
      <c r="G236" t="str">
        <f t="shared" si="62"/>
        <v>FARMÁCIA INDIANA LJ 1 (10126)</v>
      </c>
      <c r="H236" t="s">
        <v>101</v>
      </c>
      <c r="I236" t="str">
        <f t="shared" si="63"/>
        <v>04/03/2026</v>
      </c>
      <c r="J236" t="str">
        <f t="shared" si="64"/>
        <v>24/02/2026</v>
      </c>
      <c r="K236">
        <v>46085</v>
      </c>
      <c r="N236">
        <v>303</v>
      </c>
      <c r="O236" t="s">
        <v>102</v>
      </c>
      <c r="Q236">
        <v>965.99</v>
      </c>
      <c r="R236" t="str">
        <f>"FARMÁCIA INDIANA LJ 205 (10150)"</f>
        <v>FARMÁCIA INDIANA LJ 205 (10150)</v>
      </c>
      <c r="S236" t="s">
        <v>103</v>
      </c>
      <c r="T236">
        <v>30004</v>
      </c>
      <c r="U236">
        <v>33584</v>
      </c>
      <c r="V236" t="s">
        <v>37</v>
      </c>
    </row>
    <row r="237" spans="1:22">
      <c r="A237" t="str">
        <f t="shared" si="57"/>
        <v>04/03/2026</v>
      </c>
      <c r="B237" t="str">
        <f t="shared" si="59"/>
        <v>ENTRADA</v>
      </c>
      <c r="C237" t="str">
        <f t="shared" si="60"/>
        <v>NFSE</v>
      </c>
      <c r="D237" t="str">
        <f t="shared" si="61"/>
        <v>406</v>
      </c>
      <c r="E237" t="str">
        <f t="shared" si="58"/>
        <v>1</v>
      </c>
      <c r="F237" t="str">
        <f t="shared" si="56"/>
        <v>COM</v>
      </c>
      <c r="G237" t="str">
        <f t="shared" si="62"/>
        <v>FARMÁCIA INDIANA LJ 1 (10126)</v>
      </c>
      <c r="H237" t="s">
        <v>101</v>
      </c>
      <c r="I237" t="str">
        <f t="shared" si="63"/>
        <v>04/03/2026</v>
      </c>
      <c r="J237" t="str">
        <f t="shared" si="64"/>
        <v>24/02/2026</v>
      </c>
      <c r="K237">
        <v>46085</v>
      </c>
      <c r="N237">
        <v>303</v>
      </c>
      <c r="O237" t="s">
        <v>102</v>
      </c>
      <c r="Q237">
        <v>4273.07</v>
      </c>
      <c r="R237" t="str">
        <f>"FARMÁCIA INDIANA LJ 172 (10161)"</f>
        <v>FARMÁCIA INDIANA LJ 172 (10161)</v>
      </c>
      <c r="S237" t="s">
        <v>103</v>
      </c>
      <c r="T237">
        <v>30004</v>
      </c>
      <c r="U237">
        <v>33584</v>
      </c>
      <c r="V237" t="s">
        <v>37</v>
      </c>
    </row>
    <row r="238" spans="1:22">
      <c r="A238" t="str">
        <f t="shared" si="57"/>
        <v>04/03/2026</v>
      </c>
      <c r="B238" t="str">
        <f t="shared" si="59"/>
        <v>ENTRADA</v>
      </c>
      <c r="C238" t="str">
        <f t="shared" si="60"/>
        <v>NFSE</v>
      </c>
      <c r="D238" t="str">
        <f t="shared" si="61"/>
        <v>406</v>
      </c>
      <c r="E238" t="str">
        <f t="shared" si="58"/>
        <v>1</v>
      </c>
      <c r="F238" t="str">
        <f t="shared" si="56"/>
        <v>COM</v>
      </c>
      <c r="G238" t="str">
        <f t="shared" si="62"/>
        <v>FARMÁCIA INDIANA LJ 1 (10126)</v>
      </c>
      <c r="H238" t="s">
        <v>101</v>
      </c>
      <c r="I238" t="str">
        <f t="shared" si="63"/>
        <v>04/03/2026</v>
      </c>
      <c r="J238" t="str">
        <f t="shared" si="64"/>
        <v>24/02/2026</v>
      </c>
      <c r="K238">
        <v>46085</v>
      </c>
      <c r="N238">
        <v>303</v>
      </c>
      <c r="O238" t="s">
        <v>102</v>
      </c>
      <c r="Q238">
        <v>715.97</v>
      </c>
      <c r="R238" t="str">
        <f>"FARMÁCIA INDIANA LJ 266 (10186)"</f>
        <v>FARMÁCIA INDIANA LJ 266 (10186)</v>
      </c>
      <c r="S238" t="s">
        <v>103</v>
      </c>
      <c r="T238">
        <v>30004</v>
      </c>
      <c r="U238">
        <v>33584</v>
      </c>
      <c r="V238" t="s">
        <v>37</v>
      </c>
    </row>
    <row r="239" spans="1:22">
      <c r="A239" t="str">
        <f t="shared" si="57"/>
        <v>04/03/2026</v>
      </c>
      <c r="B239" t="str">
        <f t="shared" si="59"/>
        <v>ENTRADA</v>
      </c>
      <c r="C239" t="str">
        <f t="shared" si="60"/>
        <v>NFSE</v>
      </c>
      <c r="D239" t="str">
        <f t="shared" si="61"/>
        <v>406</v>
      </c>
      <c r="E239" t="str">
        <f t="shared" si="58"/>
        <v>1</v>
      </c>
      <c r="F239" t="str">
        <f t="shared" si="56"/>
        <v>COM</v>
      </c>
      <c r="G239" t="str">
        <f t="shared" si="62"/>
        <v>FARMÁCIA INDIANA LJ 1 (10126)</v>
      </c>
      <c r="H239" t="s">
        <v>101</v>
      </c>
      <c r="I239" t="str">
        <f t="shared" si="63"/>
        <v>04/03/2026</v>
      </c>
      <c r="J239" t="str">
        <f t="shared" si="64"/>
        <v>24/02/2026</v>
      </c>
      <c r="K239">
        <v>46085</v>
      </c>
      <c r="N239">
        <v>303</v>
      </c>
      <c r="O239" t="s">
        <v>102</v>
      </c>
      <c r="Q239">
        <v>1091</v>
      </c>
      <c r="R239" t="str">
        <f>"FARMÁCIA INDIANA LJ 134 (10271)"</f>
        <v>FARMÁCIA INDIANA LJ 134 (10271)</v>
      </c>
      <c r="S239" t="s">
        <v>103</v>
      </c>
      <c r="T239">
        <v>30004</v>
      </c>
      <c r="U239">
        <v>33584</v>
      </c>
      <c r="V239" t="s">
        <v>37</v>
      </c>
    </row>
    <row r="240" spans="1:22">
      <c r="A240" t="str">
        <f t="shared" si="57"/>
        <v>04/03/2026</v>
      </c>
      <c r="B240" t="str">
        <f t="shared" si="59"/>
        <v>ENTRADA</v>
      </c>
      <c r="C240" t="str">
        <f t="shared" si="60"/>
        <v>NFSE</v>
      </c>
      <c r="D240" t="str">
        <f t="shared" si="61"/>
        <v>406</v>
      </c>
      <c r="E240" t="str">
        <f t="shared" si="58"/>
        <v>1</v>
      </c>
      <c r="F240" t="str">
        <f t="shared" si="56"/>
        <v>COM</v>
      </c>
      <c r="G240" t="str">
        <f t="shared" si="62"/>
        <v>FARMÁCIA INDIANA LJ 1 (10126)</v>
      </c>
      <c r="H240" t="s">
        <v>101</v>
      </c>
      <c r="I240" t="str">
        <f t="shared" si="63"/>
        <v>04/03/2026</v>
      </c>
      <c r="J240" t="str">
        <f t="shared" si="64"/>
        <v>24/02/2026</v>
      </c>
      <c r="K240">
        <v>46085</v>
      </c>
      <c r="N240">
        <v>303</v>
      </c>
      <c r="O240" t="s">
        <v>102</v>
      </c>
      <c r="Q240">
        <v>806.88</v>
      </c>
      <c r="R240" t="str">
        <f>"FARMÁCIA INDIANA LJ 284 (10280)"</f>
        <v>FARMÁCIA INDIANA LJ 284 (10280)</v>
      </c>
      <c r="S240" t="s">
        <v>103</v>
      </c>
      <c r="T240">
        <v>30004</v>
      </c>
      <c r="U240">
        <v>33584</v>
      </c>
      <c r="V240" t="s">
        <v>37</v>
      </c>
    </row>
    <row r="241" spans="1:22">
      <c r="A241" t="str">
        <f t="shared" si="57"/>
        <v>04/03/2026</v>
      </c>
      <c r="B241" t="str">
        <f t="shared" si="59"/>
        <v>ENTRADA</v>
      </c>
      <c r="C241" t="str">
        <f t="shared" si="60"/>
        <v>NFSE</v>
      </c>
      <c r="D241" t="str">
        <f t="shared" ref="D241:D258" si="65">"407"</f>
        <v>407</v>
      </c>
      <c r="E241" t="str">
        <f t="shared" si="58"/>
        <v>1</v>
      </c>
      <c r="F241" t="str">
        <f t="shared" si="56"/>
        <v>COM</v>
      </c>
      <c r="G241" t="str">
        <f t="shared" ref="G241:G258" si="66">"FARMÁCIA INDIANA LJ 30 (10127)"</f>
        <v>FARMÁCIA INDIANA LJ 30 (10127)</v>
      </c>
      <c r="H241" t="str">
        <f>"Serv.Prest. 16/02/2026 a 22/02/2026 - RPS: 2335 - NFSe: 407"</f>
        <v>Serv.Prest. 16/02/2026 a 22/02/2026 - RPS: 2335 - NFSe: 407</v>
      </c>
      <c r="I241" t="str">
        <f t="shared" si="63"/>
        <v>04/03/2026</v>
      </c>
      <c r="J241" t="str">
        <f t="shared" si="64"/>
        <v>24/02/2026</v>
      </c>
      <c r="K241" t="str">
        <f>("04/03/2026")</f>
        <v>04/03/2026</v>
      </c>
      <c r="L241">
        <v>28430.21</v>
      </c>
      <c r="M241">
        <v>28430.21</v>
      </c>
      <c r="N241">
        <v>303</v>
      </c>
      <c r="O241" t="str">
        <f>"RECEITAS COM ENTREGAS"</f>
        <v>RECEITAS COM ENTREGAS</v>
      </c>
      <c r="P241">
        <v>28430.21</v>
      </c>
      <c r="S241" t="str">
        <f>"RECEITAS COM ENTREGAS (303)"</f>
        <v>RECEITAS COM ENTREGAS (303)</v>
      </c>
      <c r="T241">
        <v>30005</v>
      </c>
      <c r="U241">
        <v>33691</v>
      </c>
      <c r="V241" t="s">
        <v>37</v>
      </c>
    </row>
    <row r="242" spans="1:22">
      <c r="A242" t="str">
        <f t="shared" si="57"/>
        <v>04/03/2026</v>
      </c>
      <c r="B242" t="str">
        <f t="shared" si="59"/>
        <v>ENTRADA</v>
      </c>
      <c r="C242" t="str">
        <f t="shared" si="60"/>
        <v>NFSE</v>
      </c>
      <c r="D242" t="str">
        <f t="shared" si="65"/>
        <v>407</v>
      </c>
      <c r="E242" t="str">
        <f t="shared" si="58"/>
        <v>1</v>
      </c>
      <c r="F242" t="str">
        <f t="shared" si="56"/>
        <v>COM</v>
      </c>
      <c r="G242" t="str">
        <f t="shared" si="66"/>
        <v>FARMÁCIA INDIANA LJ 30 (10127)</v>
      </c>
      <c r="H242" t="s">
        <v>104</v>
      </c>
      <c r="I242" t="str">
        <f t="shared" si="63"/>
        <v>04/03/2026</v>
      </c>
      <c r="J242" t="str">
        <f t="shared" si="64"/>
        <v>24/02/2026</v>
      </c>
      <c r="K242">
        <v>46085</v>
      </c>
      <c r="N242">
        <v>303</v>
      </c>
      <c r="O242" t="s">
        <v>102</v>
      </c>
      <c r="Q242">
        <v>3090.36</v>
      </c>
      <c r="R242" t="str">
        <f>"FARMÁCIA INDIANA LJ 34 (10014)"</f>
        <v>FARMÁCIA INDIANA LJ 34 (10014)</v>
      </c>
      <c r="S242" t="s">
        <v>103</v>
      </c>
      <c r="T242">
        <v>30005</v>
      </c>
      <c r="U242">
        <v>33691</v>
      </c>
      <c r="V242" t="s">
        <v>37</v>
      </c>
    </row>
    <row r="243" spans="1:22">
      <c r="A243" t="str">
        <f t="shared" si="57"/>
        <v>04/03/2026</v>
      </c>
      <c r="B243" t="str">
        <f t="shared" si="59"/>
        <v>ENTRADA</v>
      </c>
      <c r="C243" t="str">
        <f t="shared" si="60"/>
        <v>NFSE</v>
      </c>
      <c r="D243" t="str">
        <f t="shared" si="65"/>
        <v>407</v>
      </c>
      <c r="E243" t="str">
        <f t="shared" si="58"/>
        <v>1</v>
      </c>
      <c r="F243" t="str">
        <f t="shared" si="56"/>
        <v>COM</v>
      </c>
      <c r="G243" t="str">
        <f t="shared" si="66"/>
        <v>FARMÁCIA INDIANA LJ 30 (10127)</v>
      </c>
      <c r="H243" t="s">
        <v>104</v>
      </c>
      <c r="I243" t="str">
        <f t="shared" si="63"/>
        <v>04/03/2026</v>
      </c>
      <c r="J243" t="str">
        <f t="shared" si="64"/>
        <v>24/02/2026</v>
      </c>
      <c r="K243">
        <v>46085</v>
      </c>
      <c r="N243">
        <v>303</v>
      </c>
      <c r="O243" t="s">
        <v>102</v>
      </c>
      <c r="Q243">
        <v>1512.49</v>
      </c>
      <c r="R243" t="str">
        <f>"FARMÁCIA INDIANA LJ 35 (10015)"</f>
        <v>FARMÁCIA INDIANA LJ 35 (10015)</v>
      </c>
      <c r="S243" t="s">
        <v>103</v>
      </c>
      <c r="T243">
        <v>30005</v>
      </c>
      <c r="U243">
        <v>33691</v>
      </c>
      <c r="V243" t="s">
        <v>37</v>
      </c>
    </row>
    <row r="244" spans="1:22">
      <c r="A244" t="str">
        <f t="shared" si="57"/>
        <v>04/03/2026</v>
      </c>
      <c r="B244" t="str">
        <f t="shared" si="59"/>
        <v>ENTRADA</v>
      </c>
      <c r="C244" t="str">
        <f t="shared" si="60"/>
        <v>NFSE</v>
      </c>
      <c r="D244" t="str">
        <f t="shared" si="65"/>
        <v>407</v>
      </c>
      <c r="E244" t="str">
        <f t="shared" si="58"/>
        <v>1</v>
      </c>
      <c r="F244" t="str">
        <f t="shared" si="56"/>
        <v>COM</v>
      </c>
      <c r="G244" t="str">
        <f t="shared" si="66"/>
        <v>FARMÁCIA INDIANA LJ 30 (10127)</v>
      </c>
      <c r="H244" t="s">
        <v>104</v>
      </c>
      <c r="I244" t="str">
        <f t="shared" si="63"/>
        <v>04/03/2026</v>
      </c>
      <c r="J244" t="str">
        <f t="shared" si="64"/>
        <v>24/02/2026</v>
      </c>
      <c r="K244">
        <v>46085</v>
      </c>
      <c r="N244">
        <v>303</v>
      </c>
      <c r="O244" t="s">
        <v>102</v>
      </c>
      <c r="Q244">
        <v>1748.46</v>
      </c>
      <c r="R244" t="str">
        <f>"FARMÁCIA INDIANA LJ 48 (10018)"</f>
        <v>FARMÁCIA INDIANA LJ 48 (10018)</v>
      </c>
      <c r="S244" t="s">
        <v>103</v>
      </c>
      <c r="T244">
        <v>30005</v>
      </c>
      <c r="U244">
        <v>33691</v>
      </c>
      <c r="V244" t="s">
        <v>37</v>
      </c>
    </row>
    <row r="245" spans="1:22">
      <c r="A245" t="str">
        <f t="shared" si="57"/>
        <v>04/03/2026</v>
      </c>
      <c r="B245" t="str">
        <f t="shared" si="59"/>
        <v>ENTRADA</v>
      </c>
      <c r="C245" t="str">
        <f t="shared" si="60"/>
        <v>NFSE</v>
      </c>
      <c r="D245" t="str">
        <f t="shared" si="65"/>
        <v>407</v>
      </c>
      <c r="E245" t="str">
        <f t="shared" si="58"/>
        <v>1</v>
      </c>
      <c r="F245" t="str">
        <f t="shared" si="56"/>
        <v>COM</v>
      </c>
      <c r="G245" t="str">
        <f t="shared" si="66"/>
        <v>FARMÁCIA INDIANA LJ 30 (10127)</v>
      </c>
      <c r="H245" t="s">
        <v>104</v>
      </c>
      <c r="I245" t="str">
        <f t="shared" si="63"/>
        <v>04/03/2026</v>
      </c>
      <c r="J245" t="str">
        <f t="shared" si="64"/>
        <v>24/02/2026</v>
      </c>
      <c r="K245">
        <v>46085</v>
      </c>
      <c r="N245">
        <v>303</v>
      </c>
      <c r="O245" t="s">
        <v>102</v>
      </c>
      <c r="Q245">
        <v>3138.7</v>
      </c>
      <c r="R245" t="str">
        <f>"FARMÁCIA INDIANA LJ 65 (10030)"</f>
        <v>FARMÁCIA INDIANA LJ 65 (10030)</v>
      </c>
      <c r="S245" t="s">
        <v>103</v>
      </c>
      <c r="T245">
        <v>30005</v>
      </c>
      <c r="U245">
        <v>33691</v>
      </c>
      <c r="V245" t="s">
        <v>37</v>
      </c>
    </row>
    <row r="246" spans="1:22">
      <c r="A246" t="str">
        <f t="shared" ref="A246:A277" si="67">("04/03/2026")</f>
        <v>04/03/2026</v>
      </c>
      <c r="B246" t="str">
        <f t="shared" si="59"/>
        <v>ENTRADA</v>
      </c>
      <c r="C246" t="str">
        <f t="shared" si="60"/>
        <v>NFSE</v>
      </c>
      <c r="D246" t="str">
        <f t="shared" si="65"/>
        <v>407</v>
      </c>
      <c r="E246" t="str">
        <f t="shared" si="58"/>
        <v>1</v>
      </c>
      <c r="F246" t="str">
        <f t="shared" si="56"/>
        <v>COM</v>
      </c>
      <c r="G246" t="str">
        <f t="shared" si="66"/>
        <v>FARMÁCIA INDIANA LJ 30 (10127)</v>
      </c>
      <c r="H246" t="s">
        <v>104</v>
      </c>
      <c r="I246" t="str">
        <f t="shared" si="63"/>
        <v>04/03/2026</v>
      </c>
      <c r="J246" t="str">
        <f t="shared" si="64"/>
        <v>24/02/2026</v>
      </c>
      <c r="K246">
        <v>46085</v>
      </c>
      <c r="N246">
        <v>303</v>
      </c>
      <c r="O246" t="s">
        <v>102</v>
      </c>
      <c r="Q246">
        <v>770.46</v>
      </c>
      <c r="R246" t="str">
        <f>"FARMÁCIA INDIANA LJ 77 (10034)"</f>
        <v>FARMÁCIA INDIANA LJ 77 (10034)</v>
      </c>
      <c r="S246" t="s">
        <v>103</v>
      </c>
      <c r="T246">
        <v>30005</v>
      </c>
      <c r="U246">
        <v>33691</v>
      </c>
      <c r="V246" t="s">
        <v>37</v>
      </c>
    </row>
    <row r="247" spans="1:22">
      <c r="A247" t="str">
        <f t="shared" si="67"/>
        <v>04/03/2026</v>
      </c>
      <c r="B247" t="str">
        <f t="shared" si="59"/>
        <v>ENTRADA</v>
      </c>
      <c r="C247" t="str">
        <f t="shared" si="60"/>
        <v>NFSE</v>
      </c>
      <c r="D247" t="str">
        <f t="shared" si="65"/>
        <v>407</v>
      </c>
      <c r="E247" t="str">
        <f t="shared" si="58"/>
        <v>1</v>
      </c>
      <c r="F247" t="str">
        <f t="shared" si="56"/>
        <v>COM</v>
      </c>
      <c r="G247" t="str">
        <f t="shared" si="66"/>
        <v>FARMÁCIA INDIANA LJ 30 (10127)</v>
      </c>
      <c r="H247" t="s">
        <v>104</v>
      </c>
      <c r="I247" t="str">
        <f t="shared" si="63"/>
        <v>04/03/2026</v>
      </c>
      <c r="J247" t="str">
        <f t="shared" si="64"/>
        <v>24/02/2026</v>
      </c>
      <c r="K247">
        <v>46085</v>
      </c>
      <c r="N247">
        <v>303</v>
      </c>
      <c r="O247" t="s">
        <v>102</v>
      </c>
      <c r="Q247">
        <v>6047.11</v>
      </c>
      <c r="R247" t="str">
        <f>"FARMÁCIA INDIANA LJ 91 (10037)"</f>
        <v>FARMÁCIA INDIANA LJ 91 (10037)</v>
      </c>
      <c r="S247" t="s">
        <v>103</v>
      </c>
      <c r="T247">
        <v>30005</v>
      </c>
      <c r="U247">
        <v>33691</v>
      </c>
      <c r="V247" t="s">
        <v>37</v>
      </c>
    </row>
    <row r="248" spans="1:22">
      <c r="A248" t="str">
        <f t="shared" si="67"/>
        <v>04/03/2026</v>
      </c>
      <c r="B248" t="str">
        <f t="shared" si="59"/>
        <v>ENTRADA</v>
      </c>
      <c r="C248" t="str">
        <f t="shared" si="60"/>
        <v>NFSE</v>
      </c>
      <c r="D248" t="str">
        <f t="shared" si="65"/>
        <v>407</v>
      </c>
      <c r="E248" t="str">
        <f t="shared" si="58"/>
        <v>1</v>
      </c>
      <c r="F248" t="str">
        <f t="shared" si="56"/>
        <v>COM</v>
      </c>
      <c r="G248" t="str">
        <f t="shared" si="66"/>
        <v>FARMÁCIA INDIANA LJ 30 (10127)</v>
      </c>
      <c r="H248" t="s">
        <v>104</v>
      </c>
      <c r="I248" t="str">
        <f t="shared" si="63"/>
        <v>04/03/2026</v>
      </c>
      <c r="J248" t="str">
        <f t="shared" si="64"/>
        <v>24/02/2026</v>
      </c>
      <c r="K248">
        <v>46085</v>
      </c>
      <c r="N248">
        <v>303</v>
      </c>
      <c r="O248" t="s">
        <v>102</v>
      </c>
      <c r="Q248">
        <v>1475.53</v>
      </c>
      <c r="R248" t="str">
        <f>"FARMÁCIA INDIANA LJ 95 (10039)"</f>
        <v>FARMÁCIA INDIANA LJ 95 (10039)</v>
      </c>
      <c r="S248" t="s">
        <v>103</v>
      </c>
      <c r="T248">
        <v>30005</v>
      </c>
      <c r="U248">
        <v>33691</v>
      </c>
      <c r="V248" t="s">
        <v>37</v>
      </c>
    </row>
    <row r="249" spans="1:22">
      <c r="A249" t="str">
        <f t="shared" si="67"/>
        <v>04/03/2026</v>
      </c>
      <c r="B249" t="str">
        <f t="shared" si="59"/>
        <v>ENTRADA</v>
      </c>
      <c r="C249" t="str">
        <f t="shared" si="60"/>
        <v>NFSE</v>
      </c>
      <c r="D249" t="str">
        <f t="shared" si="65"/>
        <v>407</v>
      </c>
      <c r="E249" t="str">
        <f t="shared" si="58"/>
        <v>1</v>
      </c>
      <c r="F249" t="str">
        <f t="shared" si="56"/>
        <v>COM</v>
      </c>
      <c r="G249" t="str">
        <f t="shared" si="66"/>
        <v>FARMÁCIA INDIANA LJ 30 (10127)</v>
      </c>
      <c r="H249" t="s">
        <v>104</v>
      </c>
      <c r="I249" t="str">
        <f t="shared" si="63"/>
        <v>04/03/2026</v>
      </c>
      <c r="J249" t="str">
        <f t="shared" si="64"/>
        <v>24/02/2026</v>
      </c>
      <c r="K249">
        <v>46085</v>
      </c>
      <c r="N249">
        <v>303</v>
      </c>
      <c r="O249" t="s">
        <v>102</v>
      </c>
      <c r="Q249">
        <v>1273.67</v>
      </c>
      <c r="R249" t="str">
        <f>"FARMÁCIA INDIANA LJ 145 (10068)"</f>
        <v>FARMÁCIA INDIANA LJ 145 (10068)</v>
      </c>
      <c r="S249" t="s">
        <v>103</v>
      </c>
      <c r="T249">
        <v>30005</v>
      </c>
      <c r="U249">
        <v>33691</v>
      </c>
      <c r="V249" t="s">
        <v>37</v>
      </c>
    </row>
    <row r="250" spans="1:22">
      <c r="A250" t="str">
        <f t="shared" si="67"/>
        <v>04/03/2026</v>
      </c>
      <c r="B250" t="str">
        <f t="shared" si="59"/>
        <v>ENTRADA</v>
      </c>
      <c r="C250" t="str">
        <f t="shared" si="60"/>
        <v>NFSE</v>
      </c>
      <c r="D250" t="str">
        <f t="shared" si="65"/>
        <v>407</v>
      </c>
      <c r="E250" t="str">
        <f t="shared" si="58"/>
        <v>1</v>
      </c>
      <c r="F250" t="str">
        <f t="shared" si="56"/>
        <v>COM</v>
      </c>
      <c r="G250" t="str">
        <f t="shared" si="66"/>
        <v>FARMÁCIA INDIANA LJ 30 (10127)</v>
      </c>
      <c r="H250" t="s">
        <v>104</v>
      </c>
      <c r="I250" t="str">
        <f t="shared" si="63"/>
        <v>04/03/2026</v>
      </c>
      <c r="J250" t="str">
        <f t="shared" si="64"/>
        <v>24/02/2026</v>
      </c>
      <c r="K250">
        <v>46085</v>
      </c>
      <c r="N250">
        <v>303</v>
      </c>
      <c r="O250" t="s">
        <v>102</v>
      </c>
      <c r="Q250">
        <v>1037.7</v>
      </c>
      <c r="R250" t="str">
        <f>"FARMÁCIA INDIANA LJ 169 (10073)"</f>
        <v>FARMÁCIA INDIANA LJ 169 (10073)</v>
      </c>
      <c r="S250" t="s">
        <v>103</v>
      </c>
      <c r="T250">
        <v>30005</v>
      </c>
      <c r="U250">
        <v>33691</v>
      </c>
      <c r="V250" t="s">
        <v>37</v>
      </c>
    </row>
    <row r="251" spans="1:22">
      <c r="A251" t="str">
        <f t="shared" si="67"/>
        <v>04/03/2026</v>
      </c>
      <c r="B251" t="str">
        <f t="shared" si="59"/>
        <v>ENTRADA</v>
      </c>
      <c r="C251" t="str">
        <f t="shared" si="60"/>
        <v>NFSE</v>
      </c>
      <c r="D251" t="str">
        <f t="shared" si="65"/>
        <v>407</v>
      </c>
      <c r="E251" t="str">
        <f t="shared" si="58"/>
        <v>1</v>
      </c>
      <c r="F251" t="str">
        <f t="shared" si="56"/>
        <v>COM</v>
      </c>
      <c r="G251" t="str">
        <f t="shared" si="66"/>
        <v>FARMÁCIA INDIANA LJ 30 (10127)</v>
      </c>
      <c r="H251" t="s">
        <v>104</v>
      </c>
      <c r="I251" t="str">
        <f t="shared" si="63"/>
        <v>04/03/2026</v>
      </c>
      <c r="J251" t="str">
        <f t="shared" si="64"/>
        <v>24/02/2026</v>
      </c>
      <c r="K251">
        <v>46085</v>
      </c>
      <c r="N251">
        <v>303</v>
      </c>
      <c r="O251" t="s">
        <v>102</v>
      </c>
      <c r="Q251">
        <v>1569.35</v>
      </c>
      <c r="R251" t="str">
        <f>"FARMÁCIA INDIANA LJ 173 (10075)"</f>
        <v>FARMÁCIA INDIANA LJ 173 (10075)</v>
      </c>
      <c r="S251" t="s">
        <v>103</v>
      </c>
      <c r="T251">
        <v>30005</v>
      </c>
      <c r="U251">
        <v>33691</v>
      </c>
      <c r="V251" t="s">
        <v>37</v>
      </c>
    </row>
    <row r="252" spans="1:22">
      <c r="A252" t="str">
        <f t="shared" si="67"/>
        <v>04/03/2026</v>
      </c>
      <c r="B252" t="str">
        <f t="shared" si="59"/>
        <v>ENTRADA</v>
      </c>
      <c r="C252" t="str">
        <f t="shared" si="60"/>
        <v>NFSE</v>
      </c>
      <c r="D252" t="str">
        <f t="shared" si="65"/>
        <v>407</v>
      </c>
      <c r="E252" t="str">
        <f t="shared" si="58"/>
        <v>1</v>
      </c>
      <c r="F252" t="str">
        <f t="shared" si="56"/>
        <v>COM</v>
      </c>
      <c r="G252" t="str">
        <f t="shared" si="66"/>
        <v>FARMÁCIA INDIANA LJ 30 (10127)</v>
      </c>
      <c r="H252" t="s">
        <v>104</v>
      </c>
      <c r="I252" t="str">
        <f t="shared" si="63"/>
        <v>04/03/2026</v>
      </c>
      <c r="J252" t="str">
        <f t="shared" si="64"/>
        <v>24/02/2026</v>
      </c>
      <c r="K252">
        <v>46085</v>
      </c>
      <c r="N252">
        <v>303</v>
      </c>
      <c r="O252" t="s">
        <v>102</v>
      </c>
      <c r="Q252">
        <v>901.24</v>
      </c>
      <c r="R252" t="str">
        <f>"FARMÁCIA INDIANA LJ 213 (10090)"</f>
        <v>FARMÁCIA INDIANA LJ 213 (10090)</v>
      </c>
      <c r="S252" t="s">
        <v>103</v>
      </c>
      <c r="T252">
        <v>30005</v>
      </c>
      <c r="U252">
        <v>33691</v>
      </c>
      <c r="V252" t="s">
        <v>37</v>
      </c>
    </row>
    <row r="253" spans="1:22">
      <c r="A253" t="str">
        <f t="shared" si="67"/>
        <v>04/03/2026</v>
      </c>
      <c r="B253" t="str">
        <f t="shared" si="59"/>
        <v>ENTRADA</v>
      </c>
      <c r="C253" t="str">
        <f t="shared" si="60"/>
        <v>NFSE</v>
      </c>
      <c r="D253" t="str">
        <f t="shared" si="65"/>
        <v>407</v>
      </c>
      <c r="E253" t="str">
        <f t="shared" ref="E253:E276" si="68">"1"</f>
        <v>1</v>
      </c>
      <c r="F253" t="str">
        <f t="shared" si="56"/>
        <v>COM</v>
      </c>
      <c r="G253" t="str">
        <f t="shared" si="66"/>
        <v>FARMÁCIA INDIANA LJ 30 (10127)</v>
      </c>
      <c r="H253" t="s">
        <v>104</v>
      </c>
      <c r="I253" t="str">
        <f t="shared" si="63"/>
        <v>04/03/2026</v>
      </c>
      <c r="J253" t="str">
        <f t="shared" si="64"/>
        <v>24/02/2026</v>
      </c>
      <c r="K253">
        <v>46085</v>
      </c>
      <c r="N253">
        <v>303</v>
      </c>
      <c r="O253" t="s">
        <v>102</v>
      </c>
      <c r="Q253">
        <v>1222.5</v>
      </c>
      <c r="R253" t="str">
        <f>"FARMÁCIA INDIANA LJ 200 (10155)"</f>
        <v>FARMÁCIA INDIANA LJ 200 (10155)</v>
      </c>
      <c r="S253" t="s">
        <v>103</v>
      </c>
      <c r="T253">
        <v>30005</v>
      </c>
      <c r="U253">
        <v>33691</v>
      </c>
      <c r="V253" t="s">
        <v>37</v>
      </c>
    </row>
    <row r="254" spans="1:22">
      <c r="A254" t="str">
        <f t="shared" si="67"/>
        <v>04/03/2026</v>
      </c>
      <c r="B254" t="str">
        <f t="shared" si="59"/>
        <v>ENTRADA</v>
      </c>
      <c r="C254" t="str">
        <f t="shared" si="60"/>
        <v>NFSE</v>
      </c>
      <c r="D254" t="str">
        <f t="shared" si="65"/>
        <v>407</v>
      </c>
      <c r="E254" t="str">
        <f t="shared" si="68"/>
        <v>1</v>
      </c>
      <c r="F254" t="str">
        <f t="shared" si="56"/>
        <v>COM</v>
      </c>
      <c r="G254" t="str">
        <f t="shared" si="66"/>
        <v>FARMÁCIA INDIANA LJ 30 (10127)</v>
      </c>
      <c r="H254" t="s">
        <v>104</v>
      </c>
      <c r="I254" t="str">
        <f t="shared" si="63"/>
        <v>04/03/2026</v>
      </c>
      <c r="J254" t="str">
        <f t="shared" si="64"/>
        <v>24/02/2026</v>
      </c>
      <c r="K254">
        <v>46085</v>
      </c>
      <c r="N254">
        <v>303</v>
      </c>
      <c r="O254" t="s">
        <v>102</v>
      </c>
      <c r="Q254">
        <v>1114.46</v>
      </c>
      <c r="R254" t="str">
        <f>"FARMÁCIA INDIANA LJ 33 (10187)"</f>
        <v>FARMÁCIA INDIANA LJ 33 (10187)</v>
      </c>
      <c r="S254" t="s">
        <v>103</v>
      </c>
      <c r="T254">
        <v>30005</v>
      </c>
      <c r="U254">
        <v>33691</v>
      </c>
      <c r="V254" t="s">
        <v>37</v>
      </c>
    </row>
    <row r="255" spans="1:22">
      <c r="A255" t="str">
        <f t="shared" si="67"/>
        <v>04/03/2026</v>
      </c>
      <c r="B255" t="str">
        <f t="shared" ref="B255:B269" si="69">"ENTRADA"</f>
        <v>ENTRADA</v>
      </c>
      <c r="C255" t="str">
        <f t="shared" ref="C255:C269" si="70">"NFSE"</f>
        <v>NFSE</v>
      </c>
      <c r="D255" t="str">
        <f t="shared" si="65"/>
        <v>407</v>
      </c>
      <c r="E255" t="str">
        <f t="shared" si="68"/>
        <v>1</v>
      </c>
      <c r="F255" t="str">
        <f t="shared" si="56"/>
        <v>COM</v>
      </c>
      <c r="G255" t="str">
        <f t="shared" si="66"/>
        <v>FARMÁCIA INDIANA LJ 30 (10127)</v>
      </c>
      <c r="H255" t="s">
        <v>104</v>
      </c>
      <c r="I255" t="str">
        <f t="shared" ref="I255:I287" si="71">("04/03/2026")</f>
        <v>04/03/2026</v>
      </c>
      <c r="J255" t="str">
        <f t="shared" ref="J255:J269" si="72">("24/02/2026")</f>
        <v>24/02/2026</v>
      </c>
      <c r="K255">
        <v>46085</v>
      </c>
      <c r="N255">
        <v>303</v>
      </c>
      <c r="O255" t="s">
        <v>102</v>
      </c>
      <c r="Q255">
        <v>898.39</v>
      </c>
      <c r="R255" t="str">
        <f>"FARMÁCIA INDIANA LJ 283 (10268)"</f>
        <v>FARMÁCIA INDIANA LJ 283 (10268)</v>
      </c>
      <c r="S255" t="s">
        <v>103</v>
      </c>
      <c r="T255">
        <v>30005</v>
      </c>
      <c r="U255">
        <v>33691</v>
      </c>
      <c r="V255" t="s">
        <v>37</v>
      </c>
    </row>
    <row r="256" spans="1:22">
      <c r="A256" t="str">
        <f t="shared" si="67"/>
        <v>04/03/2026</v>
      </c>
      <c r="B256" t="str">
        <f t="shared" si="69"/>
        <v>ENTRADA</v>
      </c>
      <c r="C256" t="str">
        <f t="shared" si="70"/>
        <v>NFSE</v>
      </c>
      <c r="D256" t="str">
        <f t="shared" si="65"/>
        <v>407</v>
      </c>
      <c r="E256" t="str">
        <f t="shared" si="68"/>
        <v>1</v>
      </c>
      <c r="F256" t="str">
        <f t="shared" si="56"/>
        <v>COM</v>
      </c>
      <c r="G256" t="str">
        <f t="shared" si="66"/>
        <v>FARMÁCIA INDIANA LJ 30 (10127)</v>
      </c>
      <c r="H256" t="s">
        <v>104</v>
      </c>
      <c r="I256" t="str">
        <f t="shared" si="71"/>
        <v>04/03/2026</v>
      </c>
      <c r="J256" t="str">
        <f t="shared" si="72"/>
        <v>24/02/2026</v>
      </c>
      <c r="K256">
        <v>46085</v>
      </c>
      <c r="N256">
        <v>303</v>
      </c>
      <c r="O256" t="s">
        <v>102</v>
      </c>
      <c r="Q256">
        <v>423.61</v>
      </c>
      <c r="R256" t="str">
        <f>"FARMÁCIA INDIANA LJ 155 (10273)"</f>
        <v>FARMÁCIA INDIANA LJ 155 (10273)</v>
      </c>
      <c r="S256" t="s">
        <v>103</v>
      </c>
      <c r="T256">
        <v>30005</v>
      </c>
      <c r="U256">
        <v>33691</v>
      </c>
      <c r="V256" t="s">
        <v>37</v>
      </c>
    </row>
    <row r="257" spans="1:22">
      <c r="A257" t="str">
        <f t="shared" si="67"/>
        <v>04/03/2026</v>
      </c>
      <c r="B257" t="str">
        <f t="shared" si="69"/>
        <v>ENTRADA</v>
      </c>
      <c r="C257" t="str">
        <f t="shared" si="70"/>
        <v>NFSE</v>
      </c>
      <c r="D257" t="str">
        <f t="shared" si="65"/>
        <v>407</v>
      </c>
      <c r="E257" t="str">
        <f t="shared" si="68"/>
        <v>1</v>
      </c>
      <c r="F257" t="str">
        <f t="shared" si="56"/>
        <v>COM</v>
      </c>
      <c r="G257" t="str">
        <f t="shared" si="66"/>
        <v>FARMÁCIA INDIANA LJ 30 (10127)</v>
      </c>
      <c r="H257" t="s">
        <v>104</v>
      </c>
      <c r="I257" t="str">
        <f t="shared" si="71"/>
        <v>04/03/2026</v>
      </c>
      <c r="J257" t="str">
        <f t="shared" si="72"/>
        <v>24/02/2026</v>
      </c>
      <c r="K257">
        <v>46085</v>
      </c>
      <c r="N257">
        <v>303</v>
      </c>
      <c r="O257" t="s">
        <v>102</v>
      </c>
      <c r="Q257">
        <v>1026.33</v>
      </c>
      <c r="R257" t="str">
        <f>"FARMÁCIA INDIANA LJ 158 (10275)"</f>
        <v>FARMÁCIA INDIANA LJ 158 (10275)</v>
      </c>
      <c r="S257" t="s">
        <v>103</v>
      </c>
      <c r="T257">
        <v>30005</v>
      </c>
      <c r="U257">
        <v>33691</v>
      </c>
      <c r="V257" t="s">
        <v>37</v>
      </c>
    </row>
    <row r="258" spans="1:22">
      <c r="A258" t="str">
        <f t="shared" si="67"/>
        <v>04/03/2026</v>
      </c>
      <c r="B258" t="str">
        <f t="shared" si="69"/>
        <v>ENTRADA</v>
      </c>
      <c r="C258" t="str">
        <f t="shared" si="70"/>
        <v>NFSE</v>
      </c>
      <c r="D258" t="str">
        <f t="shared" si="65"/>
        <v>407</v>
      </c>
      <c r="E258" t="str">
        <f t="shared" si="68"/>
        <v>1</v>
      </c>
      <c r="F258" t="str">
        <f t="shared" ref="F258:F321" si="73">"COM"</f>
        <v>COM</v>
      </c>
      <c r="G258" t="str">
        <f t="shared" si="66"/>
        <v>FARMÁCIA INDIANA LJ 30 (10127)</v>
      </c>
      <c r="H258" t="s">
        <v>104</v>
      </c>
      <c r="I258" t="str">
        <f t="shared" si="71"/>
        <v>04/03/2026</v>
      </c>
      <c r="J258" t="str">
        <f t="shared" si="72"/>
        <v>24/02/2026</v>
      </c>
      <c r="K258">
        <v>46085</v>
      </c>
      <c r="N258">
        <v>303</v>
      </c>
      <c r="O258" t="s">
        <v>102</v>
      </c>
      <c r="Q258">
        <v>1179.8499999999999</v>
      </c>
      <c r="R258" t="str">
        <f>"FARMÁCIA INDIANA LJ 92 (10281)"</f>
        <v>FARMÁCIA INDIANA LJ 92 (10281)</v>
      </c>
      <c r="S258" t="s">
        <v>103</v>
      </c>
      <c r="T258">
        <v>30005</v>
      </c>
      <c r="U258">
        <v>33691</v>
      </c>
      <c r="V258" t="s">
        <v>37</v>
      </c>
    </row>
    <row r="259" spans="1:22">
      <c r="A259" t="str">
        <f t="shared" si="67"/>
        <v>04/03/2026</v>
      </c>
      <c r="B259" t="str">
        <f t="shared" si="69"/>
        <v>ENTRADA</v>
      </c>
      <c r="C259" t="str">
        <f t="shared" si="70"/>
        <v>NFSE</v>
      </c>
      <c r="D259" t="str">
        <f t="shared" ref="D259:D269" si="74">"408"</f>
        <v>408</v>
      </c>
      <c r="E259" t="str">
        <f t="shared" si="68"/>
        <v>1</v>
      </c>
      <c r="F259" t="str">
        <f t="shared" si="73"/>
        <v>COM</v>
      </c>
      <c r="G259" t="str">
        <f t="shared" ref="G259:G269" si="75">"FARMÁCIA INDIANA LJ 85 (10128)"</f>
        <v>FARMÁCIA INDIANA LJ 85 (10128)</v>
      </c>
      <c r="H259" t="str">
        <f>"Serv.Prest. 16/02/2026 a 22/02/2026 - RPS: 2336 - NFSe: 408"</f>
        <v>Serv.Prest. 16/02/2026 a 22/02/2026 - RPS: 2336 - NFSe: 408</v>
      </c>
      <c r="I259" t="str">
        <f t="shared" si="71"/>
        <v>04/03/2026</v>
      </c>
      <c r="J259" t="str">
        <f t="shared" si="72"/>
        <v>24/02/2026</v>
      </c>
      <c r="K259" t="str">
        <f>("04/03/2026")</f>
        <v>04/03/2026</v>
      </c>
      <c r="L259">
        <v>7854.2</v>
      </c>
      <c r="M259">
        <v>7854.2</v>
      </c>
      <c r="N259">
        <v>303</v>
      </c>
      <c r="O259" t="str">
        <f>"RECEITAS COM ENTREGAS"</f>
        <v>RECEITAS COM ENTREGAS</v>
      </c>
      <c r="P259">
        <v>7854.2</v>
      </c>
      <c r="S259" t="str">
        <f>"RECEITAS COM ENTREGAS (303)"</f>
        <v>RECEITAS COM ENTREGAS (303)</v>
      </c>
      <c r="T259">
        <v>30006</v>
      </c>
      <c r="U259">
        <v>33729</v>
      </c>
      <c r="V259" t="s">
        <v>37</v>
      </c>
    </row>
    <row r="260" spans="1:22">
      <c r="A260" t="str">
        <f t="shared" si="67"/>
        <v>04/03/2026</v>
      </c>
      <c r="B260" t="str">
        <f t="shared" si="69"/>
        <v>ENTRADA</v>
      </c>
      <c r="C260" t="str">
        <f t="shared" si="70"/>
        <v>NFSE</v>
      </c>
      <c r="D260" t="str">
        <f t="shared" si="74"/>
        <v>408</v>
      </c>
      <c r="E260" t="str">
        <f t="shared" si="68"/>
        <v>1</v>
      </c>
      <c r="F260" t="str">
        <f t="shared" si="73"/>
        <v>COM</v>
      </c>
      <c r="G260" t="str">
        <f t="shared" si="75"/>
        <v>FARMÁCIA INDIANA LJ 85 (10128)</v>
      </c>
      <c r="H260" t="s">
        <v>105</v>
      </c>
      <c r="I260" t="str">
        <f t="shared" si="71"/>
        <v>04/03/2026</v>
      </c>
      <c r="J260" t="str">
        <f t="shared" si="72"/>
        <v>24/02/2026</v>
      </c>
      <c r="K260">
        <v>46085</v>
      </c>
      <c r="N260">
        <v>303</v>
      </c>
      <c r="O260" t="s">
        <v>102</v>
      </c>
      <c r="Q260">
        <v>972.36</v>
      </c>
      <c r="R260" t="str">
        <f>"FARMÁCIA INDIANA LJ 119 (10053)"</f>
        <v>FARMÁCIA INDIANA LJ 119 (10053)</v>
      </c>
      <c r="S260" t="s">
        <v>103</v>
      </c>
      <c r="T260">
        <v>30006</v>
      </c>
      <c r="U260">
        <v>33729</v>
      </c>
      <c r="V260" t="s">
        <v>37</v>
      </c>
    </row>
    <row r="261" spans="1:22">
      <c r="A261" t="str">
        <f t="shared" si="67"/>
        <v>04/03/2026</v>
      </c>
      <c r="B261" t="str">
        <f t="shared" si="69"/>
        <v>ENTRADA</v>
      </c>
      <c r="C261" t="str">
        <f t="shared" si="70"/>
        <v>NFSE</v>
      </c>
      <c r="D261" t="str">
        <f t="shared" si="74"/>
        <v>408</v>
      </c>
      <c r="E261" t="str">
        <f t="shared" si="68"/>
        <v>1</v>
      </c>
      <c r="F261" t="str">
        <f t="shared" si="73"/>
        <v>COM</v>
      </c>
      <c r="G261" t="str">
        <f t="shared" si="75"/>
        <v>FARMÁCIA INDIANA LJ 85 (10128)</v>
      </c>
      <c r="H261" t="s">
        <v>105</v>
      </c>
      <c r="I261" t="str">
        <f t="shared" si="71"/>
        <v>04/03/2026</v>
      </c>
      <c r="J261" t="str">
        <f t="shared" si="72"/>
        <v>24/02/2026</v>
      </c>
      <c r="K261">
        <v>46085</v>
      </c>
      <c r="N261">
        <v>303</v>
      </c>
      <c r="O261" t="s">
        <v>102</v>
      </c>
      <c r="Q261">
        <v>720.23</v>
      </c>
      <c r="R261" t="str">
        <f>"FARMÁCIA INDIANA LJ 163 (10072)"</f>
        <v>FARMÁCIA INDIANA LJ 163 (10072)</v>
      </c>
      <c r="S261" t="s">
        <v>103</v>
      </c>
      <c r="T261">
        <v>30006</v>
      </c>
      <c r="U261">
        <v>33729</v>
      </c>
      <c r="V261" t="s">
        <v>37</v>
      </c>
    </row>
    <row r="262" spans="1:22">
      <c r="A262" t="str">
        <f t="shared" si="67"/>
        <v>04/03/2026</v>
      </c>
      <c r="B262" t="str">
        <f t="shared" si="69"/>
        <v>ENTRADA</v>
      </c>
      <c r="C262" t="str">
        <f t="shared" si="70"/>
        <v>NFSE</v>
      </c>
      <c r="D262" t="str">
        <f t="shared" si="74"/>
        <v>408</v>
      </c>
      <c r="E262" t="str">
        <f t="shared" si="68"/>
        <v>1</v>
      </c>
      <c r="F262" t="str">
        <f t="shared" si="73"/>
        <v>COM</v>
      </c>
      <c r="G262" t="str">
        <f t="shared" si="75"/>
        <v>FARMÁCIA INDIANA LJ 85 (10128)</v>
      </c>
      <c r="H262" t="s">
        <v>105</v>
      </c>
      <c r="I262" t="str">
        <f t="shared" si="71"/>
        <v>04/03/2026</v>
      </c>
      <c r="J262" t="str">
        <f t="shared" si="72"/>
        <v>24/02/2026</v>
      </c>
      <c r="K262">
        <v>46085</v>
      </c>
      <c r="N262">
        <v>303</v>
      </c>
      <c r="O262" t="s">
        <v>102</v>
      </c>
      <c r="Q262">
        <v>1414.54</v>
      </c>
      <c r="R262" t="str">
        <f>"FARMÁCIA INDIANA LJ 181 (10078)"</f>
        <v>FARMÁCIA INDIANA LJ 181 (10078)</v>
      </c>
      <c r="S262" t="s">
        <v>103</v>
      </c>
      <c r="T262">
        <v>30006</v>
      </c>
      <c r="U262">
        <v>33729</v>
      </c>
      <c r="V262" t="s">
        <v>37</v>
      </c>
    </row>
    <row r="263" spans="1:22">
      <c r="A263" t="str">
        <f t="shared" si="67"/>
        <v>04/03/2026</v>
      </c>
      <c r="B263" t="str">
        <f t="shared" si="69"/>
        <v>ENTRADA</v>
      </c>
      <c r="C263" t="str">
        <f t="shared" si="70"/>
        <v>NFSE</v>
      </c>
      <c r="D263" t="str">
        <f t="shared" si="74"/>
        <v>408</v>
      </c>
      <c r="E263" t="str">
        <f t="shared" si="68"/>
        <v>1</v>
      </c>
      <c r="F263" t="str">
        <f t="shared" si="73"/>
        <v>COM</v>
      </c>
      <c r="G263" t="str">
        <f t="shared" si="75"/>
        <v>FARMÁCIA INDIANA LJ 85 (10128)</v>
      </c>
      <c r="H263" t="s">
        <v>105</v>
      </c>
      <c r="I263" t="str">
        <f t="shared" si="71"/>
        <v>04/03/2026</v>
      </c>
      <c r="J263" t="str">
        <f t="shared" si="72"/>
        <v>24/02/2026</v>
      </c>
      <c r="K263">
        <v>46085</v>
      </c>
      <c r="N263">
        <v>303</v>
      </c>
      <c r="O263" t="s">
        <v>102</v>
      </c>
      <c r="Q263">
        <v>969.99</v>
      </c>
      <c r="R263" t="str">
        <f>"FARMÁCIA INDIANA LJ 221 (10093)"</f>
        <v>FARMÁCIA INDIANA LJ 221 (10093)</v>
      </c>
      <c r="S263" t="s">
        <v>103</v>
      </c>
      <c r="T263">
        <v>30006</v>
      </c>
      <c r="U263">
        <v>33729</v>
      </c>
      <c r="V263" t="s">
        <v>37</v>
      </c>
    </row>
    <row r="264" spans="1:22">
      <c r="A264" t="str">
        <f t="shared" si="67"/>
        <v>04/03/2026</v>
      </c>
      <c r="B264" t="str">
        <f t="shared" si="69"/>
        <v>ENTRADA</v>
      </c>
      <c r="C264" t="str">
        <f t="shared" si="70"/>
        <v>NFSE</v>
      </c>
      <c r="D264" t="str">
        <f t="shared" si="74"/>
        <v>408</v>
      </c>
      <c r="E264" t="str">
        <f t="shared" si="68"/>
        <v>1</v>
      </c>
      <c r="F264" t="str">
        <f t="shared" si="73"/>
        <v>COM</v>
      </c>
      <c r="G264" t="str">
        <f t="shared" si="75"/>
        <v>FARMÁCIA INDIANA LJ 85 (10128)</v>
      </c>
      <c r="H264" t="s">
        <v>105</v>
      </c>
      <c r="I264" t="str">
        <f t="shared" si="71"/>
        <v>04/03/2026</v>
      </c>
      <c r="J264" t="str">
        <f t="shared" si="72"/>
        <v>24/02/2026</v>
      </c>
      <c r="K264">
        <v>46085</v>
      </c>
      <c r="N264">
        <v>303</v>
      </c>
      <c r="O264" t="s">
        <v>102</v>
      </c>
      <c r="Q264">
        <v>1038.33</v>
      </c>
      <c r="R264" t="str">
        <f>"FARMÁCIA INDIANA LJ 243 (10142)"</f>
        <v>FARMÁCIA INDIANA LJ 243 (10142)</v>
      </c>
      <c r="S264" t="s">
        <v>103</v>
      </c>
      <c r="T264">
        <v>30006</v>
      </c>
      <c r="U264">
        <v>33729</v>
      </c>
      <c r="V264" t="s">
        <v>37</v>
      </c>
    </row>
    <row r="265" spans="1:22">
      <c r="A265" t="str">
        <f t="shared" si="67"/>
        <v>04/03/2026</v>
      </c>
      <c r="B265" t="str">
        <f t="shared" si="69"/>
        <v>ENTRADA</v>
      </c>
      <c r="C265" t="str">
        <f t="shared" si="70"/>
        <v>NFSE</v>
      </c>
      <c r="D265" t="str">
        <f t="shared" si="74"/>
        <v>408</v>
      </c>
      <c r="E265" t="str">
        <f t="shared" si="68"/>
        <v>1</v>
      </c>
      <c r="F265" t="str">
        <f t="shared" si="73"/>
        <v>COM</v>
      </c>
      <c r="G265" t="str">
        <f t="shared" si="75"/>
        <v>FARMÁCIA INDIANA LJ 85 (10128)</v>
      </c>
      <c r="H265" t="s">
        <v>105</v>
      </c>
      <c r="I265" t="str">
        <f t="shared" si="71"/>
        <v>04/03/2026</v>
      </c>
      <c r="J265" t="str">
        <f t="shared" si="72"/>
        <v>24/02/2026</v>
      </c>
      <c r="K265">
        <v>46085</v>
      </c>
      <c r="N265">
        <v>303</v>
      </c>
      <c r="O265" t="s">
        <v>102</v>
      </c>
      <c r="Q265">
        <v>524.66</v>
      </c>
      <c r="R265" t="str">
        <f>"FARMÁCIA INDIANA LJ 211 (10168)"</f>
        <v>FARMÁCIA INDIANA LJ 211 (10168)</v>
      </c>
      <c r="S265" t="s">
        <v>103</v>
      </c>
      <c r="T265">
        <v>30006</v>
      </c>
      <c r="U265">
        <v>33729</v>
      </c>
      <c r="V265" t="s">
        <v>37</v>
      </c>
    </row>
    <row r="266" spans="1:22">
      <c r="A266" t="str">
        <f t="shared" si="67"/>
        <v>04/03/2026</v>
      </c>
      <c r="B266" t="str">
        <f t="shared" si="69"/>
        <v>ENTRADA</v>
      </c>
      <c r="C266" t="str">
        <f t="shared" si="70"/>
        <v>NFSE</v>
      </c>
      <c r="D266" t="str">
        <f t="shared" si="74"/>
        <v>408</v>
      </c>
      <c r="E266" t="str">
        <f t="shared" si="68"/>
        <v>1</v>
      </c>
      <c r="F266" t="str">
        <f t="shared" si="73"/>
        <v>COM</v>
      </c>
      <c r="G266" t="str">
        <f t="shared" si="75"/>
        <v>FARMÁCIA INDIANA LJ 85 (10128)</v>
      </c>
      <c r="H266" t="s">
        <v>105</v>
      </c>
      <c r="I266" t="str">
        <f t="shared" si="71"/>
        <v>04/03/2026</v>
      </c>
      <c r="J266" t="str">
        <f t="shared" si="72"/>
        <v>24/02/2026</v>
      </c>
      <c r="K266">
        <v>46085</v>
      </c>
      <c r="N266">
        <v>303</v>
      </c>
      <c r="O266" t="s">
        <v>102</v>
      </c>
      <c r="Q266">
        <v>508.95</v>
      </c>
      <c r="R266" t="str">
        <f>"FARMÁCIA INDIANA LJ 236 (10169)"</f>
        <v>FARMÁCIA INDIANA LJ 236 (10169)</v>
      </c>
      <c r="S266" t="s">
        <v>103</v>
      </c>
      <c r="T266">
        <v>30006</v>
      </c>
      <c r="U266">
        <v>33729</v>
      </c>
      <c r="V266" t="s">
        <v>37</v>
      </c>
    </row>
    <row r="267" spans="1:22">
      <c r="A267" t="str">
        <f t="shared" si="67"/>
        <v>04/03/2026</v>
      </c>
      <c r="B267" t="str">
        <f t="shared" si="69"/>
        <v>ENTRADA</v>
      </c>
      <c r="C267" t="str">
        <f t="shared" si="70"/>
        <v>NFSE</v>
      </c>
      <c r="D267" t="str">
        <f t="shared" si="74"/>
        <v>408</v>
      </c>
      <c r="E267" t="str">
        <f t="shared" si="68"/>
        <v>1</v>
      </c>
      <c r="F267" t="str">
        <f t="shared" si="73"/>
        <v>COM</v>
      </c>
      <c r="G267" t="str">
        <f t="shared" si="75"/>
        <v>FARMÁCIA INDIANA LJ 85 (10128)</v>
      </c>
      <c r="H267" t="s">
        <v>105</v>
      </c>
      <c r="I267" t="str">
        <f t="shared" si="71"/>
        <v>04/03/2026</v>
      </c>
      <c r="J267" t="str">
        <f t="shared" si="72"/>
        <v>24/02/2026</v>
      </c>
      <c r="K267">
        <v>46085</v>
      </c>
      <c r="N267">
        <v>303</v>
      </c>
      <c r="O267" t="s">
        <v>102</v>
      </c>
      <c r="Q267">
        <v>1033.6099999999999</v>
      </c>
      <c r="R267" t="str">
        <f>"FARMÁCIA INDIANA LJ 188 (10176)"</f>
        <v>FARMÁCIA INDIANA LJ 188 (10176)</v>
      </c>
      <c r="S267" t="s">
        <v>103</v>
      </c>
      <c r="T267">
        <v>30006</v>
      </c>
      <c r="U267">
        <v>33729</v>
      </c>
      <c r="V267" t="s">
        <v>37</v>
      </c>
    </row>
    <row r="268" spans="1:22">
      <c r="A268" t="str">
        <f t="shared" si="67"/>
        <v>04/03/2026</v>
      </c>
      <c r="B268" t="str">
        <f t="shared" si="69"/>
        <v>ENTRADA</v>
      </c>
      <c r="C268" t="str">
        <f t="shared" si="70"/>
        <v>NFSE</v>
      </c>
      <c r="D268" t="str">
        <f t="shared" si="74"/>
        <v>408</v>
      </c>
      <c r="E268" t="str">
        <f t="shared" si="68"/>
        <v>1</v>
      </c>
      <c r="F268" t="str">
        <f t="shared" si="73"/>
        <v>COM</v>
      </c>
      <c r="G268" t="str">
        <f t="shared" si="75"/>
        <v>FARMÁCIA INDIANA LJ 85 (10128)</v>
      </c>
      <c r="H268" t="s">
        <v>105</v>
      </c>
      <c r="I268" t="str">
        <f t="shared" si="71"/>
        <v>04/03/2026</v>
      </c>
      <c r="J268" t="str">
        <f t="shared" si="72"/>
        <v>24/02/2026</v>
      </c>
      <c r="K268">
        <v>46085</v>
      </c>
      <c r="N268">
        <v>303</v>
      </c>
      <c r="O268" t="s">
        <v>102</v>
      </c>
      <c r="Q268">
        <v>162.58000000000001</v>
      </c>
      <c r="R268" t="str">
        <f>"FARMÁCIA INDIANA LJ 235 (10190)"</f>
        <v>FARMÁCIA INDIANA LJ 235 (10190)</v>
      </c>
      <c r="S268" t="s">
        <v>103</v>
      </c>
      <c r="T268">
        <v>30006</v>
      </c>
      <c r="U268">
        <v>33729</v>
      </c>
      <c r="V268" t="s">
        <v>37</v>
      </c>
    </row>
    <row r="269" spans="1:22">
      <c r="A269" t="str">
        <f t="shared" si="67"/>
        <v>04/03/2026</v>
      </c>
      <c r="B269" t="str">
        <f t="shared" si="69"/>
        <v>ENTRADA</v>
      </c>
      <c r="C269" t="str">
        <f t="shared" si="70"/>
        <v>NFSE</v>
      </c>
      <c r="D269" t="str">
        <f t="shared" si="74"/>
        <v>408</v>
      </c>
      <c r="E269" t="str">
        <f t="shared" si="68"/>
        <v>1</v>
      </c>
      <c r="F269" t="str">
        <f t="shared" si="73"/>
        <v>COM</v>
      </c>
      <c r="G269" t="str">
        <f t="shared" si="75"/>
        <v>FARMÁCIA INDIANA LJ 85 (10128)</v>
      </c>
      <c r="H269" t="s">
        <v>105</v>
      </c>
      <c r="I269" t="str">
        <f t="shared" si="71"/>
        <v>04/03/2026</v>
      </c>
      <c r="J269" t="str">
        <f t="shared" si="72"/>
        <v>24/02/2026</v>
      </c>
      <c r="K269">
        <v>46085</v>
      </c>
      <c r="N269">
        <v>303</v>
      </c>
      <c r="O269" t="s">
        <v>102</v>
      </c>
      <c r="Q269">
        <v>508.95</v>
      </c>
      <c r="R269" t="str">
        <f>"FARMÁCIA INDIANA LJ 292 (10282)"</f>
        <v>FARMÁCIA INDIANA LJ 292 (10282)</v>
      </c>
      <c r="S269" t="s">
        <v>103</v>
      </c>
      <c r="T269">
        <v>30006</v>
      </c>
      <c r="U269">
        <v>33729</v>
      </c>
      <c r="V269" t="s">
        <v>37</v>
      </c>
    </row>
    <row r="270" spans="1:22">
      <c r="A270" t="str">
        <f t="shared" si="67"/>
        <v>04/03/2026</v>
      </c>
      <c r="B270" t="str">
        <f t="shared" ref="B270:B280" si="76">"SAÍDA"</f>
        <v>SAÍDA</v>
      </c>
      <c r="C270" t="str">
        <f t="shared" ref="C270:C280" si="77">"PIX"</f>
        <v>PIX</v>
      </c>
      <c r="D270" t="str">
        <f>"34009"</f>
        <v>34009</v>
      </c>
      <c r="E270" t="str">
        <f t="shared" si="68"/>
        <v>1</v>
      </c>
      <c r="F270" t="str">
        <f t="shared" si="73"/>
        <v>COM</v>
      </c>
      <c r="G270" t="str">
        <f>"ENTREGADOR DIARISTA (5)"</f>
        <v>ENTREGADOR DIARISTA (5)</v>
      </c>
      <c r="H270" t="str">
        <f>"Serv.Prest. DIARIA 24/02/2026 - PAGAR  GUILHERME DA SILVA CHAVE PIX:  11978728230"</f>
        <v>Serv.Prest. DIARIA 24/02/2026 - PAGAR  GUILHERME DA SILVA CHAVE PIX:  11978728230</v>
      </c>
      <c r="I270" t="str">
        <f t="shared" si="71"/>
        <v>04/03/2026</v>
      </c>
      <c r="J270" t="str">
        <f t="shared" ref="J270:J276" si="78">("03/03/2026")</f>
        <v>03/03/2026</v>
      </c>
      <c r="K270" t="str">
        <f>("04/03/2026")</f>
        <v>04/03/2026</v>
      </c>
      <c r="L270">
        <v>150</v>
      </c>
      <c r="M270">
        <v>150</v>
      </c>
      <c r="N270">
        <v>109</v>
      </c>
      <c r="O270" t="str">
        <f>"PAGAMENTO DE ENTREGADORES"</f>
        <v>PAGAMENTO DE ENTREGADORES</v>
      </c>
      <c r="P270">
        <v>150</v>
      </c>
      <c r="S270" t="str">
        <f>"BANCO C6 (149)"</f>
        <v>BANCO C6 (149)</v>
      </c>
      <c r="T270">
        <v>30007</v>
      </c>
      <c r="U270">
        <v>34009</v>
      </c>
      <c r="V270" t="s">
        <v>37</v>
      </c>
    </row>
    <row r="271" spans="1:22">
      <c r="A271" t="str">
        <f t="shared" si="67"/>
        <v>04/03/2026</v>
      </c>
      <c r="B271" t="str">
        <f t="shared" si="76"/>
        <v>SAÍDA</v>
      </c>
      <c r="C271" t="str">
        <f t="shared" si="77"/>
        <v>PIX</v>
      </c>
      <c r="D271" t="str">
        <f>"34009"</f>
        <v>34009</v>
      </c>
      <c r="E271" t="str">
        <f t="shared" si="68"/>
        <v>1</v>
      </c>
      <c r="F271" t="str">
        <f t="shared" si="73"/>
        <v>COM</v>
      </c>
      <c r="G271" t="str">
        <f>"ENTREGADOR DIARISTA (5)"</f>
        <v>ENTREGADOR DIARISTA (5)</v>
      </c>
      <c r="H271" t="s">
        <v>106</v>
      </c>
      <c r="I271" t="str">
        <f t="shared" si="71"/>
        <v>04/03/2026</v>
      </c>
      <c r="J271" t="str">
        <f t="shared" si="78"/>
        <v>03/03/2026</v>
      </c>
      <c r="K271">
        <v>46085</v>
      </c>
      <c r="N271">
        <v>109</v>
      </c>
      <c r="O271" t="s">
        <v>27</v>
      </c>
      <c r="Q271">
        <v>150</v>
      </c>
      <c r="R271" t="str">
        <f>"PENSE FARMA 22 (10198)"</f>
        <v>PENSE FARMA 22 (10198)</v>
      </c>
      <c r="S271" t="s">
        <v>37</v>
      </c>
      <c r="T271">
        <v>30007</v>
      </c>
      <c r="U271">
        <v>34009</v>
      </c>
      <c r="V271" t="s">
        <v>37</v>
      </c>
    </row>
    <row r="272" spans="1:22">
      <c r="A272" t="str">
        <f t="shared" si="67"/>
        <v>04/03/2026</v>
      </c>
      <c r="B272" t="str">
        <f t="shared" si="76"/>
        <v>SAÍDA</v>
      </c>
      <c r="C272" t="str">
        <f t="shared" si="77"/>
        <v>PIX</v>
      </c>
      <c r="D272" t="str">
        <f>"34009"</f>
        <v>34009</v>
      </c>
      <c r="E272" t="str">
        <f t="shared" si="68"/>
        <v>1</v>
      </c>
      <c r="F272" t="str">
        <f t="shared" si="73"/>
        <v>COM</v>
      </c>
      <c r="G272" t="str">
        <f>"ENTREGADOR DIARISTA (5)"</f>
        <v>ENTREGADOR DIARISTA (5)</v>
      </c>
      <c r="H272" t="str">
        <f>"Serv.Prest. DIARIAS 26/02, 27/02 e 28/02/2026 - PAGAR REINALDO JOLY CHAVE PIX: 14 982058697"</f>
        <v>Serv.Prest. DIARIAS 26/02, 27/02 e 28/02/2026 - PAGAR REINALDO JOLY CHAVE PIX: 14 982058697</v>
      </c>
      <c r="I272" t="str">
        <f t="shared" si="71"/>
        <v>04/03/2026</v>
      </c>
      <c r="J272" t="str">
        <f t="shared" si="78"/>
        <v>03/03/2026</v>
      </c>
      <c r="K272" t="str">
        <f>("04/03/2026")</f>
        <v>04/03/2026</v>
      </c>
      <c r="L272">
        <v>450</v>
      </c>
      <c r="M272">
        <v>450</v>
      </c>
      <c r="N272">
        <v>109</v>
      </c>
      <c r="O272" t="str">
        <f>"PAGAMENTO DE ENTREGADORES"</f>
        <v>PAGAMENTO DE ENTREGADORES</v>
      </c>
      <c r="P272">
        <v>450</v>
      </c>
      <c r="S272" t="str">
        <f>"BANCO C6 (149)"</f>
        <v>BANCO C6 (149)</v>
      </c>
      <c r="T272">
        <v>30008</v>
      </c>
      <c r="U272">
        <v>34012</v>
      </c>
      <c r="V272" t="s">
        <v>37</v>
      </c>
    </row>
    <row r="273" spans="1:22">
      <c r="A273" t="str">
        <f t="shared" si="67"/>
        <v>04/03/2026</v>
      </c>
      <c r="B273" t="str">
        <f t="shared" si="76"/>
        <v>SAÍDA</v>
      </c>
      <c r="C273" t="str">
        <f t="shared" si="77"/>
        <v>PIX</v>
      </c>
      <c r="D273" t="str">
        <f>"34009"</f>
        <v>34009</v>
      </c>
      <c r="E273" t="str">
        <f t="shared" si="68"/>
        <v>1</v>
      </c>
      <c r="F273" t="str">
        <f t="shared" si="73"/>
        <v>COM</v>
      </c>
      <c r="G273" t="str">
        <f>"ENTREGADOR DIARISTA (5)"</f>
        <v>ENTREGADOR DIARISTA (5)</v>
      </c>
      <c r="H273" t="s">
        <v>107</v>
      </c>
      <c r="I273" t="str">
        <f t="shared" si="71"/>
        <v>04/03/2026</v>
      </c>
      <c r="J273" t="str">
        <f t="shared" si="78"/>
        <v>03/03/2026</v>
      </c>
      <c r="K273">
        <v>46085</v>
      </c>
      <c r="N273">
        <v>109</v>
      </c>
      <c r="O273" t="s">
        <v>27</v>
      </c>
      <c r="Q273">
        <v>450</v>
      </c>
      <c r="R273" t="str">
        <f>"PENSE FARMA 22 (10198)"</f>
        <v>PENSE FARMA 22 (10198)</v>
      </c>
      <c r="S273" t="s">
        <v>37</v>
      </c>
      <c r="T273">
        <v>30008</v>
      </c>
      <c r="U273">
        <v>34012</v>
      </c>
      <c r="V273" t="s">
        <v>37</v>
      </c>
    </row>
    <row r="274" spans="1:22">
      <c r="A274" t="str">
        <f t="shared" si="67"/>
        <v>04/03/2026</v>
      </c>
      <c r="B274" t="str">
        <f t="shared" si="76"/>
        <v>SAÍDA</v>
      </c>
      <c r="C274" t="str">
        <f t="shared" si="77"/>
        <v>PIX</v>
      </c>
      <c r="D274" t="str">
        <f>"34135"</f>
        <v>34135</v>
      </c>
      <c r="E274" t="str">
        <f t="shared" si="68"/>
        <v>1</v>
      </c>
      <c r="F274" t="str">
        <f t="shared" si="73"/>
        <v>COM</v>
      </c>
      <c r="G274" t="str">
        <f>"JANDERSON SOUZA ARCANJO (28)"</f>
        <v>JANDERSON SOUZA ARCANJO (28)</v>
      </c>
      <c r="H274" t="str">
        <f>"Serv.Prest. 23/02/2026 a 01/03/2026 - PIX: CPF - CHAVE: 121.297.376-33"</f>
        <v>Serv.Prest. 23/02/2026 a 01/03/2026 - PIX: CPF - CHAVE: 121.297.376-33</v>
      </c>
      <c r="I274" t="str">
        <f t="shared" si="71"/>
        <v>04/03/2026</v>
      </c>
      <c r="J274" t="str">
        <f t="shared" si="78"/>
        <v>03/03/2026</v>
      </c>
      <c r="K274" t="str">
        <f>("04/03/2026")</f>
        <v>04/03/2026</v>
      </c>
      <c r="L274">
        <v>2002</v>
      </c>
      <c r="M274">
        <v>2002</v>
      </c>
      <c r="N274">
        <v>109</v>
      </c>
      <c r="O274" t="str">
        <f>"PAGAMENTO DE ENTREGADORES"</f>
        <v>PAGAMENTO DE ENTREGADORES</v>
      </c>
      <c r="P274">
        <v>2002</v>
      </c>
      <c r="S274" t="str">
        <f>"BANCO C6 (149)"</f>
        <v>BANCO C6 (149)</v>
      </c>
      <c r="T274">
        <v>30009</v>
      </c>
      <c r="U274">
        <v>34135</v>
      </c>
      <c r="V274" t="s">
        <v>37</v>
      </c>
    </row>
    <row r="275" spans="1:22">
      <c r="A275" t="str">
        <f t="shared" si="67"/>
        <v>04/03/2026</v>
      </c>
      <c r="B275" t="str">
        <f t="shared" si="76"/>
        <v>SAÍDA</v>
      </c>
      <c r="C275" t="str">
        <f t="shared" si="77"/>
        <v>PIX</v>
      </c>
      <c r="D275" t="str">
        <f>"34135"</f>
        <v>34135</v>
      </c>
      <c r="E275" t="str">
        <f t="shared" si="68"/>
        <v>1</v>
      </c>
      <c r="F275" t="str">
        <f t="shared" si="73"/>
        <v>COM</v>
      </c>
      <c r="G275" t="str">
        <f>"JANDERSON SOUZA ARCANJO (28)"</f>
        <v>JANDERSON SOUZA ARCANJO (28)</v>
      </c>
      <c r="H275" t="s">
        <v>108</v>
      </c>
      <c r="I275" t="str">
        <f t="shared" si="71"/>
        <v>04/03/2026</v>
      </c>
      <c r="J275" t="str">
        <f t="shared" si="78"/>
        <v>03/03/2026</v>
      </c>
      <c r="K275">
        <v>46085</v>
      </c>
      <c r="N275">
        <v>109</v>
      </c>
      <c r="O275" t="s">
        <v>27</v>
      </c>
      <c r="Q275">
        <v>1892.09</v>
      </c>
      <c r="R275" t="str">
        <f>"FARMÁCIA INDIANA LJ 40 (10016)"</f>
        <v>FARMÁCIA INDIANA LJ 40 (10016)</v>
      </c>
      <c r="S275" t="s">
        <v>37</v>
      </c>
      <c r="T275">
        <v>30009</v>
      </c>
      <c r="U275">
        <v>34135</v>
      </c>
      <c r="V275" t="s">
        <v>37</v>
      </c>
    </row>
    <row r="276" spans="1:22">
      <c r="A276" t="str">
        <f t="shared" si="67"/>
        <v>04/03/2026</v>
      </c>
      <c r="B276" t="str">
        <f t="shared" si="76"/>
        <v>SAÍDA</v>
      </c>
      <c r="C276" t="str">
        <f t="shared" si="77"/>
        <v>PIX</v>
      </c>
      <c r="D276" t="str">
        <f>"34135"</f>
        <v>34135</v>
      </c>
      <c r="E276" t="str">
        <f t="shared" si="68"/>
        <v>1</v>
      </c>
      <c r="F276" t="str">
        <f t="shared" si="73"/>
        <v>COM</v>
      </c>
      <c r="G276" t="str">
        <f>"JANDERSON SOUZA ARCANJO (28)"</f>
        <v>JANDERSON SOUZA ARCANJO (28)</v>
      </c>
      <c r="H276" t="s">
        <v>108</v>
      </c>
      <c r="I276" t="str">
        <f t="shared" si="71"/>
        <v>04/03/2026</v>
      </c>
      <c r="J276" t="str">
        <f t="shared" si="78"/>
        <v>03/03/2026</v>
      </c>
      <c r="K276">
        <v>46085</v>
      </c>
      <c r="N276">
        <v>109</v>
      </c>
      <c r="O276" t="s">
        <v>27</v>
      </c>
      <c r="Q276">
        <v>109.91</v>
      </c>
      <c r="R276" t="str">
        <f>"FARMÁCIA INDIANA LJ 61 (10027)"</f>
        <v>FARMÁCIA INDIANA LJ 61 (10027)</v>
      </c>
      <c r="S276" t="s">
        <v>37</v>
      </c>
      <c r="T276">
        <v>30009</v>
      </c>
      <c r="U276">
        <v>34135</v>
      </c>
      <c r="V276" t="s">
        <v>37</v>
      </c>
    </row>
    <row r="277" spans="1:22">
      <c r="A277" t="str">
        <f t="shared" si="67"/>
        <v>04/03/2026</v>
      </c>
      <c r="B277" t="str">
        <f t="shared" si="76"/>
        <v>SAÍDA</v>
      </c>
      <c r="C277" t="str">
        <f t="shared" si="77"/>
        <v>PIX</v>
      </c>
      <c r="D277" t="str">
        <f>"04032026"</f>
        <v>04032026</v>
      </c>
      <c r="E277" t="str">
        <f>""</f>
        <v/>
      </c>
      <c r="F277" t="str">
        <f t="shared" si="73"/>
        <v>COM</v>
      </c>
      <c r="G277" t="str">
        <f>"DANIELE MARIA DE LIMA THEODORO SANTOS (1108)"</f>
        <v>DANIELE MARIA DE LIMA THEODORO SANTOS (1108)</v>
      </c>
      <c r="H277" t="str">
        <f>"Serv.Prest. DIARIA 01/03/2026 - PIX: CPF - CHAVE: 530.612.488-70 "</f>
        <v xml:space="preserve">Serv.Prest. DIARIA 01/03/2026 - PIX: CPF - CHAVE: 530.612.488-70 </v>
      </c>
      <c r="I277" t="str">
        <f t="shared" si="71"/>
        <v>04/03/2026</v>
      </c>
      <c r="J277" t="str">
        <f>("04/03/2026")</f>
        <v>04/03/2026</v>
      </c>
      <c r="K277" t="str">
        <f>("04/03/2026")</f>
        <v>04/03/2026</v>
      </c>
      <c r="L277">
        <v>250</v>
      </c>
      <c r="M277">
        <v>250</v>
      </c>
      <c r="N277">
        <v>134</v>
      </c>
      <c r="O277" t="str">
        <f>"DIARIA DE MOTOBOY"</f>
        <v>DIARIA DE MOTOBOY</v>
      </c>
      <c r="P277">
        <v>250</v>
      </c>
      <c r="S277" t="str">
        <f>"BANCO C6 (149)"</f>
        <v>BANCO C6 (149)</v>
      </c>
      <c r="T277">
        <v>30010</v>
      </c>
      <c r="U277">
        <v>34205</v>
      </c>
      <c r="V277" t="s">
        <v>37</v>
      </c>
    </row>
    <row r="278" spans="1:22">
      <c r="A278" t="str">
        <f t="shared" ref="A278:A287" si="79">("04/03/2026")</f>
        <v>04/03/2026</v>
      </c>
      <c r="B278" t="str">
        <f t="shared" si="76"/>
        <v>SAÍDA</v>
      </c>
      <c r="C278" t="str">
        <f t="shared" si="77"/>
        <v>PIX</v>
      </c>
      <c r="D278" t="str">
        <f>"04032026"</f>
        <v>04032026</v>
      </c>
      <c r="E278" t="str">
        <f>""</f>
        <v/>
      </c>
      <c r="F278" t="str">
        <f t="shared" si="73"/>
        <v>COM</v>
      </c>
      <c r="G278" t="str">
        <f>"DANIELE MARIA DE LIMA THEODORO SANTOS (1108)"</f>
        <v>DANIELE MARIA DE LIMA THEODORO SANTOS (1108)</v>
      </c>
      <c r="H278" t="s">
        <v>109</v>
      </c>
      <c r="I278" t="str">
        <f t="shared" si="71"/>
        <v>04/03/2026</v>
      </c>
      <c r="J278" t="str">
        <f>("04/03/2026")</f>
        <v>04/03/2026</v>
      </c>
      <c r="K278">
        <v>46085</v>
      </c>
      <c r="N278">
        <v>134</v>
      </c>
      <c r="O278" t="s">
        <v>30</v>
      </c>
      <c r="Q278">
        <v>250</v>
      </c>
      <c r="R278" t="str">
        <f>"PENSE FARMA 49 (10234)"</f>
        <v>PENSE FARMA 49 (10234)</v>
      </c>
      <c r="S278" t="s">
        <v>37</v>
      </c>
      <c r="T278">
        <v>30010</v>
      </c>
      <c r="U278">
        <v>34205</v>
      </c>
      <c r="V278" t="s">
        <v>37</v>
      </c>
    </row>
    <row r="279" spans="1:22">
      <c r="A279" t="str">
        <f t="shared" si="79"/>
        <v>04/03/2026</v>
      </c>
      <c r="B279" t="str">
        <f t="shared" si="76"/>
        <v>SAÍDA</v>
      </c>
      <c r="C279" t="str">
        <f t="shared" si="77"/>
        <v>PIX</v>
      </c>
      <c r="D279" t="str">
        <f>"04032026"</f>
        <v>04032026</v>
      </c>
      <c r="E279" t="str">
        <f>""</f>
        <v/>
      </c>
      <c r="F279" t="str">
        <f t="shared" si="73"/>
        <v>COM</v>
      </c>
      <c r="G279" t="str">
        <f>"LUIZ FERNANDO CAIXETA FRANCO (20142)"</f>
        <v>LUIZ FERNANDO CAIXETA FRANCO (20142)</v>
      </c>
      <c r="H279" t="str">
        <f>"VALE TRANSPORTE - 8 DIAS (MARÇO/2026)"</f>
        <v>VALE TRANSPORTE - 8 DIAS (MARÇO/2026)</v>
      </c>
      <c r="I279" t="str">
        <f t="shared" si="71"/>
        <v>04/03/2026</v>
      </c>
      <c r="J279" t="str">
        <f>("04/03/2026")</f>
        <v>04/03/2026</v>
      </c>
      <c r="K279" t="str">
        <f>("04/03/2026")</f>
        <v>04/03/2026</v>
      </c>
      <c r="L279">
        <v>91.2</v>
      </c>
      <c r="M279">
        <v>91.2</v>
      </c>
      <c r="N279">
        <v>107</v>
      </c>
      <c r="O279" t="str">
        <f>"VALE TRANSPORTE"</f>
        <v>VALE TRANSPORTE</v>
      </c>
      <c r="P279">
        <v>91.2</v>
      </c>
      <c r="S279" t="str">
        <f>"BANCO C6 (149)"</f>
        <v>BANCO C6 (149)</v>
      </c>
      <c r="T279">
        <v>30011</v>
      </c>
      <c r="U279">
        <v>34206</v>
      </c>
      <c r="V279" t="s">
        <v>37</v>
      </c>
    </row>
    <row r="280" spans="1:22">
      <c r="A280" t="str">
        <f t="shared" si="79"/>
        <v>04/03/2026</v>
      </c>
      <c r="B280" t="str">
        <f t="shared" si="76"/>
        <v>SAÍDA</v>
      </c>
      <c r="C280" t="str">
        <f t="shared" si="77"/>
        <v>PIX</v>
      </c>
      <c r="D280" t="str">
        <f>"04032026"</f>
        <v>04032026</v>
      </c>
      <c r="E280" t="str">
        <f>""</f>
        <v/>
      </c>
      <c r="F280" t="str">
        <f t="shared" si="73"/>
        <v>COM</v>
      </c>
      <c r="G280" t="str">
        <f>"GABRIEL SOARES VIEIRA (18)"</f>
        <v>GABRIEL SOARES VIEIRA (18)</v>
      </c>
      <c r="H280" t="str">
        <f>" ADIANTAMENTO LIDERANÇA REF. MES 02/2025 - PIX: CPF - CHAVE: 179.800.027-09"</f>
        <v xml:space="preserve"> ADIANTAMENTO LIDERANÇA REF. MES 02/2025 - PIX: CPF - CHAVE: 179.800.027-09</v>
      </c>
      <c r="I280" t="str">
        <f t="shared" si="71"/>
        <v>04/03/2026</v>
      </c>
      <c r="J280" t="str">
        <f>("04/03/2026")</f>
        <v>04/03/2026</v>
      </c>
      <c r="K280" t="str">
        <f>("04/03/2026")</f>
        <v>04/03/2026</v>
      </c>
      <c r="L280">
        <v>1000</v>
      </c>
      <c r="M280">
        <v>1000</v>
      </c>
      <c r="N280">
        <v>120</v>
      </c>
      <c r="O280" t="str">
        <f>"PAGAMENTO COMISSAO LIDERES"</f>
        <v>PAGAMENTO COMISSAO LIDERES</v>
      </c>
      <c r="P280">
        <v>1000</v>
      </c>
      <c r="S280" t="str">
        <f>"BANCO C6 (149)"</f>
        <v>BANCO C6 (149)</v>
      </c>
      <c r="T280">
        <v>30012</v>
      </c>
      <c r="U280">
        <v>34207</v>
      </c>
      <c r="V280" t="s">
        <v>37</v>
      </c>
    </row>
    <row r="281" spans="1:22">
      <c r="A281" t="str">
        <f t="shared" si="79"/>
        <v>04/03/2026</v>
      </c>
      <c r="B281" t="str">
        <f t="shared" ref="B281:B287" si="80">"ENTRADA"</f>
        <v>ENTRADA</v>
      </c>
      <c r="C281" t="str">
        <f t="shared" ref="C281:C287" si="81">"NFSE"</f>
        <v>NFSE</v>
      </c>
      <c r="D281" t="str">
        <f t="shared" ref="D281:D287" si="82">"415"</f>
        <v>415</v>
      </c>
      <c r="E281" t="str">
        <f t="shared" ref="E281:E312" si="83">"1"</f>
        <v>1</v>
      </c>
      <c r="F281" t="str">
        <f t="shared" si="73"/>
        <v>COM</v>
      </c>
      <c r="G281" t="str">
        <f t="shared" ref="G281:G287" si="84">"BEM TE FAZ 01 (10283)"</f>
        <v>BEM TE FAZ 01 (10283)</v>
      </c>
      <c r="H281" t="str">
        <f>"Serv.Prest. 23/02/2026 a 01/03/2026 - RPS: 2343 - NFSe: 415"</f>
        <v>Serv.Prest. 23/02/2026 a 01/03/2026 - RPS: 2343 - NFSe: 415</v>
      </c>
      <c r="I281" t="str">
        <f t="shared" si="71"/>
        <v>04/03/2026</v>
      </c>
      <c r="J281" t="str">
        <f t="shared" ref="J281:J289" si="85">("02/03/2026")</f>
        <v>02/03/2026</v>
      </c>
      <c r="K281" t="str">
        <f>("04/03/2026")</f>
        <v>04/03/2026</v>
      </c>
      <c r="L281">
        <v>20482</v>
      </c>
      <c r="M281">
        <v>20482</v>
      </c>
      <c r="N281">
        <v>303</v>
      </c>
      <c r="O281" t="str">
        <f>"RECEITAS COM ENTREGAS"</f>
        <v>RECEITAS COM ENTREGAS</v>
      </c>
      <c r="P281">
        <v>20482</v>
      </c>
      <c r="S281" t="str">
        <f>"RECEITAS COM ENTREGAS (303)"</f>
        <v>RECEITAS COM ENTREGAS (303)</v>
      </c>
      <c r="T281">
        <v>30049</v>
      </c>
      <c r="U281">
        <v>33838</v>
      </c>
      <c r="V281" t="s">
        <v>110</v>
      </c>
    </row>
    <row r="282" spans="1:22">
      <c r="A282" t="str">
        <f t="shared" si="79"/>
        <v>04/03/2026</v>
      </c>
      <c r="B282" t="str">
        <f t="shared" si="80"/>
        <v>ENTRADA</v>
      </c>
      <c r="C282" t="str">
        <f t="shared" si="81"/>
        <v>NFSE</v>
      </c>
      <c r="D282" t="str">
        <f t="shared" si="82"/>
        <v>415</v>
      </c>
      <c r="E282" t="str">
        <f t="shared" si="83"/>
        <v>1</v>
      </c>
      <c r="F282" t="str">
        <f t="shared" si="73"/>
        <v>COM</v>
      </c>
      <c r="G282" t="str">
        <f t="shared" si="84"/>
        <v>BEM TE FAZ 01 (10283)</v>
      </c>
      <c r="H282" t="s">
        <v>111</v>
      </c>
      <c r="I282" t="str">
        <f t="shared" si="71"/>
        <v>04/03/2026</v>
      </c>
      <c r="J282" t="str">
        <f t="shared" si="85"/>
        <v>02/03/2026</v>
      </c>
      <c r="K282">
        <v>46085</v>
      </c>
      <c r="N282">
        <v>303</v>
      </c>
      <c r="O282" t="s">
        <v>102</v>
      </c>
      <c r="Q282">
        <v>4940.25</v>
      </c>
      <c r="R282" t="str">
        <f>"BEM TE FAZ LOJA 6 (10284)"</f>
        <v>BEM TE FAZ LOJA 6 (10284)</v>
      </c>
      <c r="S282" t="s">
        <v>103</v>
      </c>
      <c r="T282">
        <v>30049</v>
      </c>
      <c r="U282">
        <v>33838</v>
      </c>
      <c r="V282" t="s">
        <v>110</v>
      </c>
    </row>
    <row r="283" spans="1:22">
      <c r="A283" t="str">
        <f t="shared" si="79"/>
        <v>04/03/2026</v>
      </c>
      <c r="B283" t="str">
        <f t="shared" si="80"/>
        <v>ENTRADA</v>
      </c>
      <c r="C283" t="str">
        <f t="shared" si="81"/>
        <v>NFSE</v>
      </c>
      <c r="D283" t="str">
        <f t="shared" si="82"/>
        <v>415</v>
      </c>
      <c r="E283" t="str">
        <f t="shared" si="83"/>
        <v>1</v>
      </c>
      <c r="F283" t="str">
        <f t="shared" si="73"/>
        <v>COM</v>
      </c>
      <c r="G283" t="str">
        <f t="shared" si="84"/>
        <v>BEM TE FAZ 01 (10283)</v>
      </c>
      <c r="H283" t="s">
        <v>111</v>
      </c>
      <c r="I283" t="str">
        <f t="shared" si="71"/>
        <v>04/03/2026</v>
      </c>
      <c r="J283" t="str">
        <f t="shared" si="85"/>
        <v>02/03/2026</v>
      </c>
      <c r="K283">
        <v>46085</v>
      </c>
      <c r="N283">
        <v>303</v>
      </c>
      <c r="O283" t="s">
        <v>102</v>
      </c>
      <c r="Q283">
        <v>3383.63</v>
      </c>
      <c r="R283" t="str">
        <f>"BEM TE FAZ LOJA 7 (10285)"</f>
        <v>BEM TE FAZ LOJA 7 (10285)</v>
      </c>
      <c r="S283" t="s">
        <v>103</v>
      </c>
      <c r="T283">
        <v>30049</v>
      </c>
      <c r="U283">
        <v>33838</v>
      </c>
      <c r="V283" t="s">
        <v>110</v>
      </c>
    </row>
    <row r="284" spans="1:22">
      <c r="A284" t="str">
        <f t="shared" si="79"/>
        <v>04/03/2026</v>
      </c>
      <c r="B284" t="str">
        <f t="shared" si="80"/>
        <v>ENTRADA</v>
      </c>
      <c r="C284" t="str">
        <f t="shared" si="81"/>
        <v>NFSE</v>
      </c>
      <c r="D284" t="str">
        <f t="shared" si="82"/>
        <v>415</v>
      </c>
      <c r="E284" t="str">
        <f t="shared" si="83"/>
        <v>1</v>
      </c>
      <c r="F284" t="str">
        <f t="shared" si="73"/>
        <v>COM</v>
      </c>
      <c r="G284" t="str">
        <f t="shared" si="84"/>
        <v>BEM TE FAZ 01 (10283)</v>
      </c>
      <c r="H284" t="s">
        <v>111</v>
      </c>
      <c r="I284" t="str">
        <f t="shared" si="71"/>
        <v>04/03/2026</v>
      </c>
      <c r="J284" t="str">
        <f t="shared" si="85"/>
        <v>02/03/2026</v>
      </c>
      <c r="K284">
        <v>46085</v>
      </c>
      <c r="N284">
        <v>303</v>
      </c>
      <c r="O284" t="s">
        <v>102</v>
      </c>
      <c r="Q284">
        <v>2042.06</v>
      </c>
      <c r="R284" t="str">
        <f>"BEM TE FAZ LOJA 9 (10286)"</f>
        <v>BEM TE FAZ LOJA 9 (10286)</v>
      </c>
      <c r="S284" t="s">
        <v>103</v>
      </c>
      <c r="T284">
        <v>30049</v>
      </c>
      <c r="U284">
        <v>33838</v>
      </c>
      <c r="V284" t="s">
        <v>110</v>
      </c>
    </row>
    <row r="285" spans="1:22">
      <c r="A285" t="str">
        <f t="shared" si="79"/>
        <v>04/03/2026</v>
      </c>
      <c r="B285" t="str">
        <f t="shared" si="80"/>
        <v>ENTRADA</v>
      </c>
      <c r="C285" t="str">
        <f t="shared" si="81"/>
        <v>NFSE</v>
      </c>
      <c r="D285" t="str">
        <f t="shared" si="82"/>
        <v>415</v>
      </c>
      <c r="E285" t="str">
        <f t="shared" si="83"/>
        <v>1</v>
      </c>
      <c r="F285" t="str">
        <f t="shared" si="73"/>
        <v>COM</v>
      </c>
      <c r="G285" t="str">
        <f t="shared" si="84"/>
        <v>BEM TE FAZ 01 (10283)</v>
      </c>
      <c r="H285" t="s">
        <v>111</v>
      </c>
      <c r="I285" t="str">
        <f t="shared" si="71"/>
        <v>04/03/2026</v>
      </c>
      <c r="J285" t="str">
        <f t="shared" si="85"/>
        <v>02/03/2026</v>
      </c>
      <c r="K285">
        <v>46085</v>
      </c>
      <c r="N285">
        <v>303</v>
      </c>
      <c r="O285" t="s">
        <v>102</v>
      </c>
      <c r="Q285">
        <v>9978.83</v>
      </c>
      <c r="R285" t="str">
        <f>"BEM TE FAZ LOJA 3 (10287)"</f>
        <v>BEM TE FAZ LOJA 3 (10287)</v>
      </c>
      <c r="S285" t="s">
        <v>103</v>
      </c>
      <c r="T285">
        <v>30049</v>
      </c>
      <c r="U285">
        <v>33838</v>
      </c>
      <c r="V285" t="s">
        <v>110</v>
      </c>
    </row>
    <row r="286" spans="1:22">
      <c r="A286" t="str">
        <f t="shared" si="79"/>
        <v>04/03/2026</v>
      </c>
      <c r="B286" t="str">
        <f t="shared" si="80"/>
        <v>ENTRADA</v>
      </c>
      <c r="C286" t="str">
        <f t="shared" si="81"/>
        <v>NFSE</v>
      </c>
      <c r="D286" t="str">
        <f t="shared" si="82"/>
        <v>415</v>
      </c>
      <c r="E286" t="str">
        <f t="shared" si="83"/>
        <v>1</v>
      </c>
      <c r="F286" t="str">
        <f t="shared" si="73"/>
        <v>COM</v>
      </c>
      <c r="G286" t="str">
        <f t="shared" si="84"/>
        <v>BEM TE FAZ 01 (10283)</v>
      </c>
      <c r="H286" t="s">
        <v>111</v>
      </c>
      <c r="I286" t="str">
        <f t="shared" si="71"/>
        <v>04/03/2026</v>
      </c>
      <c r="J286" t="str">
        <f t="shared" si="85"/>
        <v>02/03/2026</v>
      </c>
      <c r="K286">
        <v>46085</v>
      </c>
      <c r="N286">
        <v>303</v>
      </c>
      <c r="O286" t="s">
        <v>102</v>
      </c>
      <c r="Q286">
        <v>135.18</v>
      </c>
      <c r="R286" t="str">
        <f>"BEM TE FAZ 05 (10294)"</f>
        <v>BEM TE FAZ 05 (10294)</v>
      </c>
      <c r="S286" t="s">
        <v>103</v>
      </c>
      <c r="T286">
        <v>30049</v>
      </c>
      <c r="U286">
        <v>33838</v>
      </c>
      <c r="V286" t="s">
        <v>110</v>
      </c>
    </row>
    <row r="287" spans="1:22">
      <c r="A287" t="str">
        <f t="shared" si="79"/>
        <v>04/03/2026</v>
      </c>
      <c r="B287" t="str">
        <f t="shared" si="80"/>
        <v>ENTRADA</v>
      </c>
      <c r="C287" t="str">
        <f t="shared" si="81"/>
        <v>NFSE</v>
      </c>
      <c r="D287" t="str">
        <f t="shared" si="82"/>
        <v>415</v>
      </c>
      <c r="E287" t="str">
        <f t="shared" si="83"/>
        <v>1</v>
      </c>
      <c r="F287" t="str">
        <f t="shared" si="73"/>
        <v>COM</v>
      </c>
      <c r="G287" t="str">
        <f t="shared" si="84"/>
        <v>BEM TE FAZ 01 (10283)</v>
      </c>
      <c r="H287" t="s">
        <v>111</v>
      </c>
      <c r="I287" t="str">
        <f t="shared" si="71"/>
        <v>04/03/2026</v>
      </c>
      <c r="J287" t="str">
        <f t="shared" si="85"/>
        <v>02/03/2026</v>
      </c>
      <c r="K287">
        <v>46085</v>
      </c>
      <c r="N287">
        <v>303</v>
      </c>
      <c r="O287" t="s">
        <v>102</v>
      </c>
      <c r="Q287">
        <v>2.0499999999999998</v>
      </c>
      <c r="R287" t="str">
        <f>"BEM TE FAZ LOJA 8 (10297)"</f>
        <v>BEM TE FAZ LOJA 8 (10297)</v>
      </c>
      <c r="S287" t="s">
        <v>103</v>
      </c>
      <c r="T287">
        <v>30049</v>
      </c>
      <c r="U287">
        <v>33838</v>
      </c>
      <c r="V287" t="s">
        <v>110</v>
      </c>
    </row>
    <row r="288" spans="1:22">
      <c r="A288" t="str">
        <f t="shared" ref="A288:A351" si="86">("05/03/2026")</f>
        <v>05/03/2026</v>
      </c>
      <c r="B288" t="str">
        <f>"SAÍDA"</f>
        <v>SAÍDA</v>
      </c>
      <c r="C288" t="str">
        <f>"PIX"</f>
        <v>PIX</v>
      </c>
      <c r="D288" t="str">
        <f>"33884"</f>
        <v>33884</v>
      </c>
      <c r="E288" t="str">
        <f t="shared" si="83"/>
        <v>1</v>
      </c>
      <c r="F288" t="str">
        <f t="shared" si="73"/>
        <v>COM</v>
      </c>
      <c r="G288" t="str">
        <f>"ROGERIO TEIXEIRA VIEIRA (1253)"</f>
        <v>ROGERIO TEIXEIRA VIEIRA (1253)</v>
      </c>
      <c r="H288" t="str">
        <f>"REEMBOLSO DE ADIANTAMENTO Serv.Prest. 23/02/2026 a 01/03/2026 - PIX: CPF - CHAVE: 606.687.663-52"</f>
        <v>REEMBOLSO DE ADIANTAMENTO Serv.Prest. 23/02/2026 a 01/03/2026 - PIX: CPF - CHAVE: 606.687.663-52</v>
      </c>
      <c r="I288" t="str">
        <f>("05/03/2026")</f>
        <v>05/03/2026</v>
      </c>
      <c r="J288" t="str">
        <f t="shared" si="85"/>
        <v>02/03/2026</v>
      </c>
      <c r="K288" t="str">
        <f>("05/03/2026")</f>
        <v>05/03/2026</v>
      </c>
      <c r="L288">
        <v>300</v>
      </c>
      <c r="M288">
        <v>300</v>
      </c>
      <c r="N288">
        <v>109</v>
      </c>
      <c r="O288" t="str">
        <f>"PAGAMENTO DE ENTREGADORES"</f>
        <v>PAGAMENTO DE ENTREGADORES</v>
      </c>
      <c r="P288">
        <v>300</v>
      </c>
      <c r="S288" t="str">
        <f>"CAIXA MOVIMENTAÇÃO OPERACIONAL (132)"</f>
        <v>CAIXA MOVIMENTAÇÃO OPERACIONAL (132)</v>
      </c>
      <c r="T288">
        <v>30013</v>
      </c>
      <c r="U288">
        <v>34208</v>
      </c>
      <c r="V288" t="s">
        <v>22</v>
      </c>
    </row>
    <row r="289" spans="1:22">
      <c r="A289" t="str">
        <f t="shared" si="86"/>
        <v>05/03/2026</v>
      </c>
      <c r="B289" t="str">
        <f>"SAÍDA"</f>
        <v>SAÍDA</v>
      </c>
      <c r="C289" t="str">
        <f>"PIX"</f>
        <v>PIX</v>
      </c>
      <c r="D289" t="str">
        <f>"33884"</f>
        <v>33884</v>
      </c>
      <c r="E289" t="str">
        <f t="shared" si="83"/>
        <v>1</v>
      </c>
      <c r="F289" t="str">
        <f t="shared" si="73"/>
        <v>COM</v>
      </c>
      <c r="G289" t="str">
        <f>"ROGERIO TEIXEIRA VIEIRA (1253)"</f>
        <v>ROGERIO TEIXEIRA VIEIRA (1253)</v>
      </c>
      <c r="H289" t="s">
        <v>112</v>
      </c>
      <c r="I289" t="str">
        <f>("05/03/2026")</f>
        <v>05/03/2026</v>
      </c>
      <c r="J289" t="str">
        <f t="shared" si="85"/>
        <v>02/03/2026</v>
      </c>
      <c r="K289">
        <v>46086</v>
      </c>
      <c r="N289">
        <v>109</v>
      </c>
      <c r="O289" t="s">
        <v>27</v>
      </c>
      <c r="Q289">
        <v>300</v>
      </c>
      <c r="R289" t="str">
        <f>"DROGARIA ISABELLA (10276)"</f>
        <v>DROGARIA ISABELLA (10276)</v>
      </c>
      <c r="S289" t="s">
        <v>22</v>
      </c>
      <c r="T289">
        <v>30013</v>
      </c>
      <c r="U289">
        <v>34208</v>
      </c>
      <c r="V289" t="s">
        <v>22</v>
      </c>
    </row>
    <row r="290" spans="1:22">
      <c r="A290" t="str">
        <f t="shared" si="86"/>
        <v>05/03/2026</v>
      </c>
      <c r="B290" t="str">
        <f t="shared" ref="B290:B321" si="87">"ENTRADA"</f>
        <v>ENTRADA</v>
      </c>
      <c r="C290" t="str">
        <f t="shared" ref="C290:C321" si="88">"NFSE"</f>
        <v>NFSE</v>
      </c>
      <c r="D290" t="str">
        <f>"362"</f>
        <v>362</v>
      </c>
      <c r="E290" t="str">
        <f t="shared" si="83"/>
        <v>1</v>
      </c>
      <c r="F290" t="str">
        <f t="shared" si="73"/>
        <v>COM</v>
      </c>
      <c r="G290" t="str">
        <f>"AC FARMA - CID.ALTA (10166)"</f>
        <v>AC FARMA - CID.ALTA (10166)</v>
      </c>
      <c r="H290" t="str">
        <f>"Serv.Prest. 16/02/2026 a 22/02/2026 - RPS: 2290 - NFSe: 362"</f>
        <v>Serv.Prest. 16/02/2026 a 22/02/2026 - RPS: 2290 - NFSe: 362</v>
      </c>
      <c r="I290" t="str">
        <f t="shared" ref="I290:I321" si="89">("04/03/2026")</f>
        <v>04/03/2026</v>
      </c>
      <c r="J290" t="str">
        <f t="shared" ref="J290:J295" si="90">("23/02/2026")</f>
        <v>23/02/2026</v>
      </c>
      <c r="K290" t="str">
        <f>("05/03/2026")</f>
        <v>05/03/2026</v>
      </c>
      <c r="L290">
        <v>5029.45</v>
      </c>
      <c r="M290">
        <v>5029.45</v>
      </c>
      <c r="N290">
        <v>303</v>
      </c>
      <c r="O290" t="str">
        <f>"RECEITAS COM ENTREGAS"</f>
        <v>RECEITAS COM ENTREGAS</v>
      </c>
      <c r="P290">
        <v>5029.45</v>
      </c>
      <c r="S290" t="str">
        <f>"RECEITAS COM ENTREGAS (303)"</f>
        <v>RECEITAS COM ENTREGAS (303)</v>
      </c>
      <c r="T290">
        <v>30014</v>
      </c>
      <c r="U290">
        <v>33321</v>
      </c>
      <c r="V290" t="s">
        <v>110</v>
      </c>
    </row>
    <row r="291" spans="1:22">
      <c r="A291" t="str">
        <f t="shared" si="86"/>
        <v>05/03/2026</v>
      </c>
      <c r="B291" t="str">
        <f t="shared" si="87"/>
        <v>ENTRADA</v>
      </c>
      <c r="C291" t="str">
        <f t="shared" si="88"/>
        <v>NFSE</v>
      </c>
      <c r="D291" t="str">
        <f>"362"</f>
        <v>362</v>
      </c>
      <c r="E291" t="str">
        <f t="shared" si="83"/>
        <v>1</v>
      </c>
      <c r="F291" t="str">
        <f t="shared" si="73"/>
        <v>COM</v>
      </c>
      <c r="G291" t="str">
        <f>"AC FARMA - CID.ALTA (10166)"</f>
        <v>AC FARMA - CID.ALTA (10166)</v>
      </c>
      <c r="H291" t="s">
        <v>113</v>
      </c>
      <c r="I291" t="str">
        <f t="shared" si="89"/>
        <v>04/03/2026</v>
      </c>
      <c r="J291" t="str">
        <f t="shared" si="90"/>
        <v>23/02/2026</v>
      </c>
      <c r="K291">
        <v>46086</v>
      </c>
      <c r="N291">
        <v>303</v>
      </c>
      <c r="O291" t="s">
        <v>102</v>
      </c>
      <c r="Q291">
        <v>5029.45</v>
      </c>
      <c r="R291" t="str">
        <f>"AC FARMA - CID.ALTA (10166)"</f>
        <v>AC FARMA - CID.ALTA (10166)</v>
      </c>
      <c r="S291" t="s">
        <v>103</v>
      </c>
      <c r="T291">
        <v>30014</v>
      </c>
      <c r="U291">
        <v>33321</v>
      </c>
      <c r="V291" t="s">
        <v>110</v>
      </c>
    </row>
    <row r="292" spans="1:22">
      <c r="A292" t="str">
        <f t="shared" si="86"/>
        <v>05/03/2026</v>
      </c>
      <c r="B292" t="str">
        <f t="shared" si="87"/>
        <v>ENTRADA</v>
      </c>
      <c r="C292" t="str">
        <f t="shared" si="88"/>
        <v>NFSE</v>
      </c>
      <c r="D292" t="str">
        <f>"363"</f>
        <v>363</v>
      </c>
      <c r="E292" t="str">
        <f t="shared" si="83"/>
        <v>1</v>
      </c>
      <c r="F292" t="str">
        <f t="shared" si="73"/>
        <v>COM</v>
      </c>
      <c r="G292" t="str">
        <f>"AC FARMA - FLEMINFARMA (10160)"</f>
        <v>AC FARMA - FLEMINFARMA (10160)</v>
      </c>
      <c r="H292" t="str">
        <f>"Serv.Prest. 16/02/2026 a 22/02/2026 - RPS: 2291 - NFSe: 363"</f>
        <v>Serv.Prest. 16/02/2026 a 22/02/2026 - RPS: 2291 - NFSe: 363</v>
      </c>
      <c r="I292" t="str">
        <f t="shared" si="89"/>
        <v>04/03/2026</v>
      </c>
      <c r="J292" t="str">
        <f t="shared" si="90"/>
        <v>23/02/2026</v>
      </c>
      <c r="K292" t="str">
        <f>("05/03/2026")</f>
        <v>05/03/2026</v>
      </c>
      <c r="L292">
        <v>1088.3399999999999</v>
      </c>
      <c r="M292">
        <v>1088.3399999999999</v>
      </c>
      <c r="N292">
        <v>303</v>
      </c>
      <c r="O292" t="str">
        <f>"RECEITAS COM ENTREGAS"</f>
        <v>RECEITAS COM ENTREGAS</v>
      </c>
      <c r="P292">
        <v>1088.3399999999999</v>
      </c>
      <c r="S292" t="str">
        <f>"RECEITAS COM ENTREGAS (303)"</f>
        <v>RECEITAS COM ENTREGAS (303)</v>
      </c>
      <c r="T292">
        <v>30015</v>
      </c>
      <c r="U292">
        <v>33328</v>
      </c>
      <c r="V292" t="s">
        <v>110</v>
      </c>
    </row>
    <row r="293" spans="1:22">
      <c r="A293" t="str">
        <f t="shared" si="86"/>
        <v>05/03/2026</v>
      </c>
      <c r="B293" t="str">
        <f t="shared" si="87"/>
        <v>ENTRADA</v>
      </c>
      <c r="C293" t="str">
        <f t="shared" si="88"/>
        <v>NFSE</v>
      </c>
      <c r="D293" t="str">
        <f>"363"</f>
        <v>363</v>
      </c>
      <c r="E293" t="str">
        <f t="shared" si="83"/>
        <v>1</v>
      </c>
      <c r="F293" t="str">
        <f t="shared" si="73"/>
        <v>COM</v>
      </c>
      <c r="G293" t="str">
        <f>"AC FARMA - FLEMINFARMA (10160)"</f>
        <v>AC FARMA - FLEMINFARMA (10160)</v>
      </c>
      <c r="H293" t="s">
        <v>114</v>
      </c>
      <c r="I293" t="str">
        <f t="shared" si="89"/>
        <v>04/03/2026</v>
      </c>
      <c r="J293" t="str">
        <f t="shared" si="90"/>
        <v>23/02/2026</v>
      </c>
      <c r="K293">
        <v>46086</v>
      </c>
      <c r="N293">
        <v>303</v>
      </c>
      <c r="O293" t="s">
        <v>102</v>
      </c>
      <c r="Q293">
        <v>1088.3399999999999</v>
      </c>
      <c r="R293" t="str">
        <f>"AC FARMA -  FLEMINFARMA (10159)"</f>
        <v>AC FARMA -  FLEMINFARMA (10159)</v>
      </c>
      <c r="S293" t="s">
        <v>103</v>
      </c>
      <c r="T293">
        <v>30015</v>
      </c>
      <c r="U293">
        <v>33328</v>
      </c>
      <c r="V293" t="s">
        <v>110</v>
      </c>
    </row>
    <row r="294" spans="1:22">
      <c r="A294" t="str">
        <f t="shared" si="86"/>
        <v>05/03/2026</v>
      </c>
      <c r="B294" t="str">
        <f t="shared" si="87"/>
        <v>ENTRADA</v>
      </c>
      <c r="C294" t="str">
        <f t="shared" si="88"/>
        <v>NFSE</v>
      </c>
      <c r="D294" t="str">
        <f>"364"</f>
        <v>364</v>
      </c>
      <c r="E294" t="str">
        <f t="shared" si="83"/>
        <v>1</v>
      </c>
      <c r="F294" t="str">
        <f t="shared" si="73"/>
        <v>COM</v>
      </c>
      <c r="G294" t="str">
        <f>"AC FARMA - FLEMINFARMA 5 (10183)"</f>
        <v>AC FARMA - FLEMINFARMA 5 (10183)</v>
      </c>
      <c r="H294" t="str">
        <f>"Serv.Prest. 16/02/2026 a 22/02/2026 - RPS: 2292 - NFSe: 364"</f>
        <v>Serv.Prest. 16/02/2026 a 22/02/2026 - RPS: 2292 - NFSe: 364</v>
      </c>
      <c r="I294" t="str">
        <f t="shared" si="89"/>
        <v>04/03/2026</v>
      </c>
      <c r="J294" t="str">
        <f t="shared" si="90"/>
        <v>23/02/2026</v>
      </c>
      <c r="K294" t="str">
        <f>("05/03/2026")</f>
        <v>05/03/2026</v>
      </c>
      <c r="L294">
        <v>387.51</v>
      </c>
      <c r="M294">
        <v>387.51</v>
      </c>
      <c r="N294">
        <v>303</v>
      </c>
      <c r="O294" t="str">
        <f>"RECEITAS COM ENTREGAS"</f>
        <v>RECEITAS COM ENTREGAS</v>
      </c>
      <c r="P294">
        <v>387.51</v>
      </c>
      <c r="S294" t="str">
        <f>"RECEITAS COM ENTREGAS (303)"</f>
        <v>RECEITAS COM ENTREGAS (303)</v>
      </c>
      <c r="T294">
        <v>30016</v>
      </c>
      <c r="U294">
        <v>33335</v>
      </c>
      <c r="V294" t="s">
        <v>110</v>
      </c>
    </row>
    <row r="295" spans="1:22">
      <c r="A295" t="str">
        <f t="shared" si="86"/>
        <v>05/03/2026</v>
      </c>
      <c r="B295" t="str">
        <f t="shared" si="87"/>
        <v>ENTRADA</v>
      </c>
      <c r="C295" t="str">
        <f t="shared" si="88"/>
        <v>NFSE</v>
      </c>
      <c r="D295" t="str">
        <f>"364"</f>
        <v>364</v>
      </c>
      <c r="E295" t="str">
        <f t="shared" si="83"/>
        <v>1</v>
      </c>
      <c r="F295" t="str">
        <f t="shared" si="73"/>
        <v>COM</v>
      </c>
      <c r="G295" t="str">
        <f>"AC FARMA - FLEMINFARMA 5 (10183)"</f>
        <v>AC FARMA - FLEMINFARMA 5 (10183)</v>
      </c>
      <c r="H295" t="s">
        <v>115</v>
      </c>
      <c r="I295" t="str">
        <f t="shared" si="89"/>
        <v>04/03/2026</v>
      </c>
      <c r="J295" t="str">
        <f t="shared" si="90"/>
        <v>23/02/2026</v>
      </c>
      <c r="K295">
        <v>46086</v>
      </c>
      <c r="N295">
        <v>303</v>
      </c>
      <c r="O295" t="s">
        <v>102</v>
      </c>
      <c r="Q295">
        <v>387.51</v>
      </c>
      <c r="R295" t="str">
        <f>"AC FARMA - FLEMINFARMA 5 (10183)"</f>
        <v>AC FARMA - FLEMINFARMA 5 (10183)</v>
      </c>
      <c r="S295" t="s">
        <v>103</v>
      </c>
      <c r="T295">
        <v>30016</v>
      </c>
      <c r="U295">
        <v>33335</v>
      </c>
      <c r="V295" t="s">
        <v>110</v>
      </c>
    </row>
    <row r="296" spans="1:22">
      <c r="A296" t="str">
        <f t="shared" si="86"/>
        <v>05/03/2026</v>
      </c>
      <c r="B296" t="str">
        <f t="shared" si="87"/>
        <v>ENTRADA</v>
      </c>
      <c r="C296" t="str">
        <f t="shared" si="88"/>
        <v>NFSE</v>
      </c>
      <c r="D296" t="str">
        <f>"440"</f>
        <v>440</v>
      </c>
      <c r="E296" t="str">
        <f t="shared" si="83"/>
        <v>1</v>
      </c>
      <c r="F296" t="str">
        <f t="shared" si="73"/>
        <v>COM</v>
      </c>
      <c r="G296" t="str">
        <f>"PENSE FARMA 46 (10194)"</f>
        <v>PENSE FARMA 46 (10194)</v>
      </c>
      <c r="H296" t="str">
        <f>"Serv.Prest. 23/02/2026 a 01/03/2026 - RPS: 2368 - NFSe: 440"</f>
        <v>Serv.Prest. 23/02/2026 a 01/03/2026 - RPS: 2368 - NFSe: 440</v>
      </c>
      <c r="I296" t="str">
        <f t="shared" si="89"/>
        <v>04/03/2026</v>
      </c>
      <c r="J296" t="str">
        <f>("03/03/2026")</f>
        <v>03/03/2026</v>
      </c>
      <c r="K296" t="str">
        <f>("05/03/2026")</f>
        <v>05/03/2026</v>
      </c>
      <c r="L296">
        <v>1938</v>
      </c>
      <c r="M296">
        <v>1938</v>
      </c>
      <c r="N296">
        <v>303</v>
      </c>
      <c r="O296" t="str">
        <f>"RECEITAS COM ENTREGAS"</f>
        <v>RECEITAS COM ENTREGAS</v>
      </c>
      <c r="P296">
        <v>1938</v>
      </c>
      <c r="S296" t="str">
        <f>"RECEITAS COM ENTREGAS (303)"</f>
        <v>RECEITAS COM ENTREGAS (303)</v>
      </c>
      <c r="T296">
        <v>30017</v>
      </c>
      <c r="U296">
        <v>33959</v>
      </c>
      <c r="V296" t="s">
        <v>110</v>
      </c>
    </row>
    <row r="297" spans="1:22">
      <c r="A297" t="str">
        <f t="shared" si="86"/>
        <v>05/03/2026</v>
      </c>
      <c r="B297" t="str">
        <f t="shared" si="87"/>
        <v>ENTRADA</v>
      </c>
      <c r="C297" t="str">
        <f t="shared" si="88"/>
        <v>NFSE</v>
      </c>
      <c r="D297" t="str">
        <f>"440"</f>
        <v>440</v>
      </c>
      <c r="E297" t="str">
        <f t="shared" si="83"/>
        <v>1</v>
      </c>
      <c r="F297" t="str">
        <f t="shared" si="73"/>
        <v>COM</v>
      </c>
      <c r="G297" t="str">
        <f>"PENSE FARMA 46 (10194)"</f>
        <v>PENSE FARMA 46 (10194)</v>
      </c>
      <c r="H297" t="s">
        <v>116</v>
      </c>
      <c r="I297" t="str">
        <f t="shared" si="89"/>
        <v>04/03/2026</v>
      </c>
      <c r="J297" t="str">
        <f>("03/03/2026")</f>
        <v>03/03/2026</v>
      </c>
      <c r="K297">
        <v>46086</v>
      </c>
      <c r="N297">
        <v>303</v>
      </c>
      <c r="O297" t="s">
        <v>102</v>
      </c>
      <c r="Q297">
        <v>1938</v>
      </c>
      <c r="R297" t="str">
        <f>"PENSE FARMA 46 (10194)"</f>
        <v>PENSE FARMA 46 (10194)</v>
      </c>
      <c r="S297" t="s">
        <v>103</v>
      </c>
      <c r="T297">
        <v>30017</v>
      </c>
      <c r="U297">
        <v>33959</v>
      </c>
      <c r="V297" t="s">
        <v>110</v>
      </c>
    </row>
    <row r="298" spans="1:22">
      <c r="A298" t="str">
        <f t="shared" si="86"/>
        <v>05/03/2026</v>
      </c>
      <c r="B298" t="str">
        <f t="shared" si="87"/>
        <v>ENTRADA</v>
      </c>
      <c r="C298" t="str">
        <f t="shared" si="88"/>
        <v>NFSE</v>
      </c>
      <c r="D298" t="str">
        <f>"416"</f>
        <v>416</v>
      </c>
      <c r="E298" t="str">
        <f t="shared" si="83"/>
        <v>1</v>
      </c>
      <c r="F298" t="str">
        <f t="shared" si="73"/>
        <v>COM</v>
      </c>
      <c r="G298" t="str">
        <f>"DELTA LOJA 2 (10123)"</f>
        <v>DELTA LOJA 2 (10123)</v>
      </c>
      <c r="H298" t="str">
        <f>"Serv.Prest. 23/02/2026 a 01/03/2026 - RPS: 2344 - NFSe: 416"</f>
        <v>Serv.Prest. 23/02/2026 a 01/03/2026 - RPS: 2344 - NFSe: 416</v>
      </c>
      <c r="I298" t="str">
        <f t="shared" si="89"/>
        <v>04/03/2026</v>
      </c>
      <c r="J298" t="str">
        <f t="shared" ref="J298:J330" si="91">("02/03/2026")</f>
        <v>02/03/2026</v>
      </c>
      <c r="K298" t="str">
        <f>("05/03/2026")</f>
        <v>05/03/2026</v>
      </c>
      <c r="L298">
        <v>4635.05</v>
      </c>
      <c r="M298">
        <v>4635.05</v>
      </c>
      <c r="N298">
        <v>303</v>
      </c>
      <c r="O298" t="str">
        <f>"RECEITAS COM ENTREGAS"</f>
        <v>RECEITAS COM ENTREGAS</v>
      </c>
      <c r="P298">
        <v>4635.05</v>
      </c>
      <c r="S298" t="str">
        <f>"RECEITAS COM ENTREGAS (303)"</f>
        <v>RECEITAS COM ENTREGAS (303)</v>
      </c>
      <c r="T298">
        <v>30018</v>
      </c>
      <c r="U298">
        <v>33857</v>
      </c>
      <c r="V298" t="s">
        <v>110</v>
      </c>
    </row>
    <row r="299" spans="1:22">
      <c r="A299" t="str">
        <f t="shared" si="86"/>
        <v>05/03/2026</v>
      </c>
      <c r="B299" t="str">
        <f t="shared" si="87"/>
        <v>ENTRADA</v>
      </c>
      <c r="C299" t="str">
        <f t="shared" si="88"/>
        <v>NFSE</v>
      </c>
      <c r="D299" t="str">
        <f>"416"</f>
        <v>416</v>
      </c>
      <c r="E299" t="str">
        <f t="shared" si="83"/>
        <v>1</v>
      </c>
      <c r="F299" t="str">
        <f t="shared" si="73"/>
        <v>COM</v>
      </c>
      <c r="G299" t="str">
        <f>"DELTA LOJA 2 (10123)"</f>
        <v>DELTA LOJA 2 (10123)</v>
      </c>
      <c r="H299" t="s">
        <v>117</v>
      </c>
      <c r="I299" t="str">
        <f t="shared" si="89"/>
        <v>04/03/2026</v>
      </c>
      <c r="J299" t="str">
        <f t="shared" si="91"/>
        <v>02/03/2026</v>
      </c>
      <c r="K299">
        <v>46086</v>
      </c>
      <c r="N299">
        <v>303</v>
      </c>
      <c r="O299" t="s">
        <v>102</v>
      </c>
      <c r="Q299">
        <v>4635.05</v>
      </c>
      <c r="R299" t="str">
        <f>"DELTA LOJA 2 (10123)"</f>
        <v>DELTA LOJA 2 (10123)</v>
      </c>
      <c r="S299" t="s">
        <v>103</v>
      </c>
      <c r="T299">
        <v>30018</v>
      </c>
      <c r="U299">
        <v>33857</v>
      </c>
      <c r="V299" t="s">
        <v>110</v>
      </c>
    </row>
    <row r="300" spans="1:22">
      <c r="A300" t="str">
        <f t="shared" si="86"/>
        <v>05/03/2026</v>
      </c>
      <c r="B300" t="str">
        <f t="shared" si="87"/>
        <v>ENTRADA</v>
      </c>
      <c r="C300" t="str">
        <f t="shared" si="88"/>
        <v>NFSE</v>
      </c>
      <c r="D300" t="str">
        <f>"417"</f>
        <v>417</v>
      </c>
      <c r="E300" t="str">
        <f t="shared" si="83"/>
        <v>1</v>
      </c>
      <c r="F300" t="str">
        <f t="shared" si="73"/>
        <v>COM</v>
      </c>
      <c r="G300" t="str">
        <f>"DROGARIA AGAPEAMA (10167)"</f>
        <v>DROGARIA AGAPEAMA (10167)</v>
      </c>
      <c r="H300" t="str">
        <f>"Serv.Prest. 23/02/2026 a 01/03/2026 - RPS: 2345 - NFSe: 417"</f>
        <v>Serv.Prest. 23/02/2026 a 01/03/2026 - RPS: 2345 - NFSe: 417</v>
      </c>
      <c r="I300" t="str">
        <f t="shared" si="89"/>
        <v>04/03/2026</v>
      </c>
      <c r="J300" t="str">
        <f t="shared" si="91"/>
        <v>02/03/2026</v>
      </c>
      <c r="K300" t="str">
        <f>("05/03/2026")</f>
        <v>05/03/2026</v>
      </c>
      <c r="L300">
        <v>3441.6</v>
      </c>
      <c r="M300">
        <v>3441.6</v>
      </c>
      <c r="N300">
        <v>303</v>
      </c>
      <c r="O300" t="str">
        <f>"RECEITAS COM ENTREGAS"</f>
        <v>RECEITAS COM ENTREGAS</v>
      </c>
      <c r="P300">
        <v>3441.6</v>
      </c>
      <c r="S300" t="str">
        <f>"RECEITAS COM ENTREGAS (303)"</f>
        <v>RECEITAS COM ENTREGAS (303)</v>
      </c>
      <c r="T300">
        <v>30019</v>
      </c>
      <c r="U300">
        <v>33863</v>
      </c>
      <c r="V300" t="s">
        <v>110</v>
      </c>
    </row>
    <row r="301" spans="1:22">
      <c r="A301" t="str">
        <f t="shared" si="86"/>
        <v>05/03/2026</v>
      </c>
      <c r="B301" t="str">
        <f t="shared" si="87"/>
        <v>ENTRADA</v>
      </c>
      <c r="C301" t="str">
        <f t="shared" si="88"/>
        <v>NFSE</v>
      </c>
      <c r="D301" t="str">
        <f>"417"</f>
        <v>417</v>
      </c>
      <c r="E301" t="str">
        <f t="shared" si="83"/>
        <v>1</v>
      </c>
      <c r="F301" t="str">
        <f t="shared" si="73"/>
        <v>COM</v>
      </c>
      <c r="G301" t="str">
        <f>"DROGARIA AGAPEAMA (10167)"</f>
        <v>DROGARIA AGAPEAMA (10167)</v>
      </c>
      <c r="H301" t="s">
        <v>118</v>
      </c>
      <c r="I301" t="str">
        <f t="shared" si="89"/>
        <v>04/03/2026</v>
      </c>
      <c r="J301" t="str">
        <f t="shared" si="91"/>
        <v>02/03/2026</v>
      </c>
      <c r="K301">
        <v>46086</v>
      </c>
      <c r="N301">
        <v>303</v>
      </c>
      <c r="O301" t="s">
        <v>102</v>
      </c>
      <c r="Q301">
        <v>3441.6</v>
      </c>
      <c r="R301" t="str">
        <f>"DROGARIA AGAPEAMA (10167)"</f>
        <v>DROGARIA AGAPEAMA (10167)</v>
      </c>
      <c r="S301" t="s">
        <v>103</v>
      </c>
      <c r="T301">
        <v>30019</v>
      </c>
      <c r="U301">
        <v>33863</v>
      </c>
      <c r="V301" t="s">
        <v>110</v>
      </c>
    </row>
    <row r="302" spans="1:22">
      <c r="A302" t="str">
        <f t="shared" si="86"/>
        <v>05/03/2026</v>
      </c>
      <c r="B302" t="str">
        <f t="shared" si="87"/>
        <v>ENTRADA</v>
      </c>
      <c r="C302" t="str">
        <f t="shared" si="88"/>
        <v>NFSE</v>
      </c>
      <c r="D302" t="str">
        <f>"418"</f>
        <v>418</v>
      </c>
      <c r="E302" t="str">
        <f t="shared" si="83"/>
        <v>1</v>
      </c>
      <c r="F302" t="str">
        <f t="shared" si="73"/>
        <v>COM</v>
      </c>
      <c r="G302" t="str">
        <f>"DROGARIA ANA VISCONDE DO RIO BRANCO (10182)"</f>
        <v>DROGARIA ANA VISCONDE DO RIO BRANCO (10182)</v>
      </c>
      <c r="H302" t="str">
        <f>"Serv.Prest. 23/02/2026 a 01/03/2026 - RPS: 2346 - NFSe: 418"</f>
        <v>Serv.Prest. 23/02/2026 a 01/03/2026 - RPS: 2346 - NFSe: 418</v>
      </c>
      <c r="I302" t="str">
        <f t="shared" si="89"/>
        <v>04/03/2026</v>
      </c>
      <c r="J302" t="str">
        <f t="shared" si="91"/>
        <v>02/03/2026</v>
      </c>
      <c r="K302" t="str">
        <f>("05/03/2026")</f>
        <v>05/03/2026</v>
      </c>
      <c r="L302">
        <v>4509.68</v>
      </c>
      <c r="M302">
        <v>4509.68</v>
      </c>
      <c r="N302">
        <v>303</v>
      </c>
      <c r="O302" t="str">
        <f>"RECEITAS COM ENTREGAS"</f>
        <v>RECEITAS COM ENTREGAS</v>
      </c>
      <c r="P302">
        <v>4509.68</v>
      </c>
      <c r="S302" t="str">
        <f>"RECEITAS COM ENTREGAS (303)"</f>
        <v>RECEITAS COM ENTREGAS (303)</v>
      </c>
      <c r="T302">
        <v>30020</v>
      </c>
      <c r="U302">
        <v>33867</v>
      </c>
      <c r="V302" t="s">
        <v>110</v>
      </c>
    </row>
    <row r="303" spans="1:22">
      <c r="A303" t="str">
        <f t="shared" si="86"/>
        <v>05/03/2026</v>
      </c>
      <c r="B303" t="str">
        <f t="shared" si="87"/>
        <v>ENTRADA</v>
      </c>
      <c r="C303" t="str">
        <f t="shared" si="88"/>
        <v>NFSE</v>
      </c>
      <c r="D303" t="str">
        <f>"418"</f>
        <v>418</v>
      </c>
      <c r="E303" t="str">
        <f t="shared" si="83"/>
        <v>1</v>
      </c>
      <c r="F303" t="str">
        <f t="shared" si="73"/>
        <v>COM</v>
      </c>
      <c r="G303" t="str">
        <f>"DROGARIA ANA VISCONDE DO RIO BRANCO (10182)"</f>
        <v>DROGARIA ANA VISCONDE DO RIO BRANCO (10182)</v>
      </c>
      <c r="H303" t="s">
        <v>119</v>
      </c>
      <c r="I303" t="str">
        <f t="shared" si="89"/>
        <v>04/03/2026</v>
      </c>
      <c r="J303" t="str">
        <f t="shared" si="91"/>
        <v>02/03/2026</v>
      </c>
      <c r="K303">
        <v>46086</v>
      </c>
      <c r="N303">
        <v>303</v>
      </c>
      <c r="O303" t="s">
        <v>102</v>
      </c>
      <c r="Q303">
        <v>4509.68</v>
      </c>
      <c r="R303" t="str">
        <f>"DROGARIA ANA VISCONDE DO RIO BRANCO (10182)"</f>
        <v>DROGARIA ANA VISCONDE DO RIO BRANCO (10182)</v>
      </c>
      <c r="S303" t="s">
        <v>103</v>
      </c>
      <c r="T303">
        <v>30020</v>
      </c>
      <c r="U303">
        <v>33867</v>
      </c>
      <c r="V303" t="s">
        <v>110</v>
      </c>
    </row>
    <row r="304" spans="1:22">
      <c r="A304" t="str">
        <f t="shared" si="86"/>
        <v>05/03/2026</v>
      </c>
      <c r="B304" t="str">
        <f t="shared" si="87"/>
        <v>ENTRADA</v>
      </c>
      <c r="C304" t="str">
        <f t="shared" si="88"/>
        <v>NFSE</v>
      </c>
      <c r="D304" t="str">
        <f>"420"</f>
        <v>420</v>
      </c>
      <c r="E304" t="str">
        <f t="shared" si="83"/>
        <v>1</v>
      </c>
      <c r="F304" t="str">
        <f t="shared" si="73"/>
        <v>COM</v>
      </c>
      <c r="G304" t="str">
        <f>"DROGARIA ISABELLA (10276)"</f>
        <v>DROGARIA ISABELLA (10276)</v>
      </c>
      <c r="H304" t="str">
        <f>"Serv.Prest. 23/02/2026 a 01/03/2026 - RPS: 2348 - NFSe: 420"</f>
        <v>Serv.Prest. 23/02/2026 a 01/03/2026 - RPS: 2348 - NFSe: 420</v>
      </c>
      <c r="I304" t="str">
        <f t="shared" si="89"/>
        <v>04/03/2026</v>
      </c>
      <c r="J304" t="str">
        <f t="shared" si="91"/>
        <v>02/03/2026</v>
      </c>
      <c r="K304" t="str">
        <f>("05/03/2026")</f>
        <v>05/03/2026</v>
      </c>
      <c r="L304">
        <v>2815.2</v>
      </c>
      <c r="M304">
        <v>2815.2</v>
      </c>
      <c r="N304">
        <v>303</v>
      </c>
      <c r="O304" t="str">
        <f>"RECEITAS COM ENTREGAS"</f>
        <v>RECEITAS COM ENTREGAS</v>
      </c>
      <c r="P304">
        <v>2815.2</v>
      </c>
      <c r="S304" t="str">
        <f>"RECEITAS COM ENTREGAS (303)"</f>
        <v>RECEITAS COM ENTREGAS (303)</v>
      </c>
      <c r="T304">
        <v>30021</v>
      </c>
      <c r="U304">
        <v>33879</v>
      </c>
      <c r="V304" t="s">
        <v>110</v>
      </c>
    </row>
    <row r="305" spans="1:22">
      <c r="A305" t="str">
        <f t="shared" si="86"/>
        <v>05/03/2026</v>
      </c>
      <c r="B305" t="str">
        <f t="shared" si="87"/>
        <v>ENTRADA</v>
      </c>
      <c r="C305" t="str">
        <f t="shared" si="88"/>
        <v>NFSE</v>
      </c>
      <c r="D305" t="str">
        <f>"420"</f>
        <v>420</v>
      </c>
      <c r="E305" t="str">
        <f t="shared" si="83"/>
        <v>1</v>
      </c>
      <c r="F305" t="str">
        <f t="shared" si="73"/>
        <v>COM</v>
      </c>
      <c r="G305" t="str">
        <f>"DROGARIA ISABELLA (10276)"</f>
        <v>DROGARIA ISABELLA (10276)</v>
      </c>
      <c r="H305" t="s">
        <v>120</v>
      </c>
      <c r="I305" t="str">
        <f t="shared" si="89"/>
        <v>04/03/2026</v>
      </c>
      <c r="J305" t="str">
        <f t="shared" si="91"/>
        <v>02/03/2026</v>
      </c>
      <c r="K305">
        <v>46086</v>
      </c>
      <c r="N305">
        <v>303</v>
      </c>
      <c r="O305" t="s">
        <v>102</v>
      </c>
      <c r="Q305">
        <v>2815.2</v>
      </c>
      <c r="R305" t="str">
        <f>"DROGARIA ISABELLA (10276)"</f>
        <v>DROGARIA ISABELLA (10276)</v>
      </c>
      <c r="S305" t="s">
        <v>103</v>
      </c>
      <c r="T305">
        <v>30021</v>
      </c>
      <c r="U305">
        <v>33879</v>
      </c>
      <c r="V305" t="s">
        <v>110</v>
      </c>
    </row>
    <row r="306" spans="1:22">
      <c r="A306" t="str">
        <f t="shared" si="86"/>
        <v>05/03/2026</v>
      </c>
      <c r="B306" t="str">
        <f t="shared" si="87"/>
        <v>ENTRADA</v>
      </c>
      <c r="C306" t="str">
        <f t="shared" si="88"/>
        <v>NFSE</v>
      </c>
      <c r="D306" t="str">
        <f>"421"</f>
        <v>421</v>
      </c>
      <c r="E306" t="str">
        <f t="shared" si="83"/>
        <v>1</v>
      </c>
      <c r="F306" t="str">
        <f t="shared" si="73"/>
        <v>COM</v>
      </c>
      <c r="G306" t="str">
        <f>"DROGARIA MEDIC CENTER LTDA (10172)"</f>
        <v>DROGARIA MEDIC CENTER LTDA (10172)</v>
      </c>
      <c r="H306" t="str">
        <f>"Serv.Prest. 23/02/2026 a 01/03/2026 - RPS: 2349 - NFSe: 421"</f>
        <v>Serv.Prest. 23/02/2026 a 01/03/2026 - RPS: 2349 - NFSe: 421</v>
      </c>
      <c r="I306" t="str">
        <f t="shared" si="89"/>
        <v>04/03/2026</v>
      </c>
      <c r="J306" t="str">
        <f t="shared" si="91"/>
        <v>02/03/2026</v>
      </c>
      <c r="K306" t="str">
        <f>("05/03/2026")</f>
        <v>05/03/2026</v>
      </c>
      <c r="L306">
        <v>1409.4</v>
      </c>
      <c r="M306">
        <v>1409.4</v>
      </c>
      <c r="N306">
        <v>303</v>
      </c>
      <c r="O306" t="str">
        <f>"RECEITAS COM ENTREGAS"</f>
        <v>RECEITAS COM ENTREGAS</v>
      </c>
      <c r="P306">
        <v>1409.4</v>
      </c>
      <c r="S306" t="str">
        <f>"RECEITAS COM ENTREGAS (303)"</f>
        <v>RECEITAS COM ENTREGAS (303)</v>
      </c>
      <c r="T306">
        <v>30022</v>
      </c>
      <c r="U306">
        <v>33886</v>
      </c>
      <c r="V306" t="s">
        <v>110</v>
      </c>
    </row>
    <row r="307" spans="1:22">
      <c r="A307" t="str">
        <f t="shared" si="86"/>
        <v>05/03/2026</v>
      </c>
      <c r="B307" t="str">
        <f t="shared" si="87"/>
        <v>ENTRADA</v>
      </c>
      <c r="C307" t="str">
        <f t="shared" si="88"/>
        <v>NFSE</v>
      </c>
      <c r="D307" t="str">
        <f>"421"</f>
        <v>421</v>
      </c>
      <c r="E307" t="str">
        <f t="shared" si="83"/>
        <v>1</v>
      </c>
      <c r="F307" t="str">
        <f t="shared" si="73"/>
        <v>COM</v>
      </c>
      <c r="G307" t="str">
        <f>"DROGARIA MEDIC CENTER LTDA (10172)"</f>
        <v>DROGARIA MEDIC CENTER LTDA (10172)</v>
      </c>
      <c r="H307" t="s">
        <v>121</v>
      </c>
      <c r="I307" t="str">
        <f t="shared" si="89"/>
        <v>04/03/2026</v>
      </c>
      <c r="J307" t="str">
        <f t="shared" si="91"/>
        <v>02/03/2026</v>
      </c>
      <c r="K307">
        <v>46086</v>
      </c>
      <c r="N307">
        <v>303</v>
      </c>
      <c r="O307" t="s">
        <v>102</v>
      </c>
      <c r="Q307">
        <v>1409.4</v>
      </c>
      <c r="R307" t="str">
        <f>"DROGARIA MEDIC CENTER LTDA (10172)"</f>
        <v>DROGARIA MEDIC CENTER LTDA (10172)</v>
      </c>
      <c r="S307" t="s">
        <v>103</v>
      </c>
      <c r="T307">
        <v>30022</v>
      </c>
      <c r="U307">
        <v>33886</v>
      </c>
      <c r="V307" t="s">
        <v>110</v>
      </c>
    </row>
    <row r="308" spans="1:22">
      <c r="A308" t="str">
        <f t="shared" si="86"/>
        <v>05/03/2026</v>
      </c>
      <c r="B308" t="str">
        <f t="shared" si="87"/>
        <v>ENTRADA</v>
      </c>
      <c r="C308" t="str">
        <f t="shared" si="88"/>
        <v>NFSE</v>
      </c>
      <c r="D308" t="str">
        <f>"422"</f>
        <v>422</v>
      </c>
      <c r="E308" t="str">
        <f t="shared" si="83"/>
        <v>1</v>
      </c>
      <c r="F308" t="str">
        <f t="shared" si="73"/>
        <v>COM</v>
      </c>
      <c r="G308" t="str">
        <f>"DROGARIA MORENO LTDA (10171)"</f>
        <v>DROGARIA MORENO LTDA (10171)</v>
      </c>
      <c r="H308" t="str">
        <f>"Serv.Prest. 23/02/2026 a 01/03/2026 - RPS: 2350 - NFSe: 422"</f>
        <v>Serv.Prest. 23/02/2026 a 01/03/2026 - RPS: 2350 - NFSe: 422</v>
      </c>
      <c r="I308" t="str">
        <f t="shared" si="89"/>
        <v>04/03/2026</v>
      </c>
      <c r="J308" t="str">
        <f t="shared" si="91"/>
        <v>02/03/2026</v>
      </c>
      <c r="K308" t="str">
        <f>("05/03/2026")</f>
        <v>05/03/2026</v>
      </c>
      <c r="L308">
        <v>3474.9</v>
      </c>
      <c r="M308">
        <v>3474.9</v>
      </c>
      <c r="N308">
        <v>303</v>
      </c>
      <c r="O308" t="str">
        <f>"RECEITAS COM ENTREGAS"</f>
        <v>RECEITAS COM ENTREGAS</v>
      </c>
      <c r="P308">
        <v>3474.9</v>
      </c>
      <c r="S308" t="str">
        <f>"RECEITAS COM ENTREGAS (303)"</f>
        <v>RECEITAS COM ENTREGAS (303)</v>
      </c>
      <c r="T308">
        <v>30023</v>
      </c>
      <c r="U308">
        <v>33889</v>
      </c>
      <c r="V308" t="s">
        <v>110</v>
      </c>
    </row>
    <row r="309" spans="1:22">
      <c r="A309" t="str">
        <f t="shared" si="86"/>
        <v>05/03/2026</v>
      </c>
      <c r="B309" t="str">
        <f t="shared" si="87"/>
        <v>ENTRADA</v>
      </c>
      <c r="C309" t="str">
        <f t="shared" si="88"/>
        <v>NFSE</v>
      </c>
      <c r="D309" t="str">
        <f>"422"</f>
        <v>422</v>
      </c>
      <c r="E309" t="str">
        <f t="shared" si="83"/>
        <v>1</v>
      </c>
      <c r="F309" t="str">
        <f t="shared" si="73"/>
        <v>COM</v>
      </c>
      <c r="G309" t="str">
        <f>"DROGARIA MORENO LTDA (10171)"</f>
        <v>DROGARIA MORENO LTDA (10171)</v>
      </c>
      <c r="H309" t="s">
        <v>122</v>
      </c>
      <c r="I309" t="str">
        <f t="shared" si="89"/>
        <v>04/03/2026</v>
      </c>
      <c r="J309" t="str">
        <f t="shared" si="91"/>
        <v>02/03/2026</v>
      </c>
      <c r="K309">
        <v>46086</v>
      </c>
      <c r="N309">
        <v>303</v>
      </c>
      <c r="O309" t="s">
        <v>102</v>
      </c>
      <c r="Q309">
        <v>3474.9</v>
      </c>
      <c r="R309" t="str">
        <f>"DROGARIA MORENO LTDA (10171)"</f>
        <v>DROGARIA MORENO LTDA (10171)</v>
      </c>
      <c r="S309" t="s">
        <v>103</v>
      </c>
      <c r="T309">
        <v>30023</v>
      </c>
      <c r="U309">
        <v>33889</v>
      </c>
      <c r="V309" t="s">
        <v>110</v>
      </c>
    </row>
    <row r="310" spans="1:22">
      <c r="A310" t="str">
        <f t="shared" si="86"/>
        <v>05/03/2026</v>
      </c>
      <c r="B310" t="str">
        <f t="shared" si="87"/>
        <v>ENTRADA</v>
      </c>
      <c r="C310" t="str">
        <f t="shared" si="88"/>
        <v>NFSE</v>
      </c>
      <c r="D310" t="str">
        <f>"423"</f>
        <v>423</v>
      </c>
      <c r="E310" t="str">
        <f t="shared" si="83"/>
        <v>1</v>
      </c>
      <c r="F310" t="str">
        <f t="shared" si="73"/>
        <v>COM</v>
      </c>
      <c r="G310" t="str">
        <f>"ULTRA POPULAR  UBA 2 (10214)"</f>
        <v>ULTRA POPULAR  UBA 2 (10214)</v>
      </c>
      <c r="H310" t="str">
        <f>"Serv.Prest. 23/02/2026 a 01/03/2026 - RPS: 2351 - NFSe: 423"</f>
        <v>Serv.Prest. 23/02/2026 a 01/03/2026 - RPS: 2351 - NFSe: 423</v>
      </c>
      <c r="I310" t="str">
        <f t="shared" si="89"/>
        <v>04/03/2026</v>
      </c>
      <c r="J310" t="str">
        <f t="shared" si="91"/>
        <v>02/03/2026</v>
      </c>
      <c r="K310" t="str">
        <f>("05/03/2026")</f>
        <v>05/03/2026</v>
      </c>
      <c r="L310">
        <v>500.28</v>
      </c>
      <c r="M310">
        <v>500.28</v>
      </c>
      <c r="N310">
        <v>303</v>
      </c>
      <c r="O310" t="str">
        <f>"RECEITAS COM ENTREGAS"</f>
        <v>RECEITAS COM ENTREGAS</v>
      </c>
      <c r="P310">
        <v>500.28</v>
      </c>
      <c r="S310" t="str">
        <f>"RECEITAS COM ENTREGAS (303)"</f>
        <v>RECEITAS COM ENTREGAS (303)</v>
      </c>
      <c r="T310">
        <v>30024</v>
      </c>
      <c r="U310">
        <v>33900</v>
      </c>
      <c r="V310" t="s">
        <v>110</v>
      </c>
    </row>
    <row r="311" spans="1:22">
      <c r="A311" t="str">
        <f t="shared" si="86"/>
        <v>05/03/2026</v>
      </c>
      <c r="B311" t="str">
        <f t="shared" si="87"/>
        <v>ENTRADA</v>
      </c>
      <c r="C311" t="str">
        <f t="shared" si="88"/>
        <v>NFSE</v>
      </c>
      <c r="D311" t="str">
        <f>"423"</f>
        <v>423</v>
      </c>
      <c r="E311" t="str">
        <f t="shared" si="83"/>
        <v>1</v>
      </c>
      <c r="F311" t="str">
        <f t="shared" si="73"/>
        <v>COM</v>
      </c>
      <c r="G311" t="str">
        <f>"ULTRA POPULAR  UBA 2 (10214)"</f>
        <v>ULTRA POPULAR  UBA 2 (10214)</v>
      </c>
      <c r="H311" t="s">
        <v>123</v>
      </c>
      <c r="I311" t="str">
        <f t="shared" si="89"/>
        <v>04/03/2026</v>
      </c>
      <c r="J311" t="str">
        <f t="shared" si="91"/>
        <v>02/03/2026</v>
      </c>
      <c r="K311">
        <v>46086</v>
      </c>
      <c r="N311">
        <v>303</v>
      </c>
      <c r="O311" t="s">
        <v>102</v>
      </c>
      <c r="Q311">
        <v>290.01</v>
      </c>
      <c r="R311" t="str">
        <f>"ULTRA POPULAR  UBA 2 (10214)"</f>
        <v>ULTRA POPULAR  UBA 2 (10214)</v>
      </c>
      <c r="S311" t="s">
        <v>103</v>
      </c>
      <c r="T311">
        <v>30024</v>
      </c>
      <c r="U311">
        <v>33900</v>
      </c>
      <c r="V311" t="s">
        <v>110</v>
      </c>
    </row>
    <row r="312" spans="1:22">
      <c r="A312" t="str">
        <f t="shared" si="86"/>
        <v>05/03/2026</v>
      </c>
      <c r="B312" t="str">
        <f t="shared" si="87"/>
        <v>ENTRADA</v>
      </c>
      <c r="C312" t="str">
        <f t="shared" si="88"/>
        <v>NFSE</v>
      </c>
      <c r="D312" t="str">
        <f>"423"</f>
        <v>423</v>
      </c>
      <c r="E312" t="str">
        <f t="shared" si="83"/>
        <v>1</v>
      </c>
      <c r="F312" t="str">
        <f t="shared" si="73"/>
        <v>COM</v>
      </c>
      <c r="G312" t="str">
        <f>"ULTRA POPULAR  UBA 2 (10214)"</f>
        <v>ULTRA POPULAR  UBA 2 (10214)</v>
      </c>
      <c r="H312" t="s">
        <v>123</v>
      </c>
      <c r="I312" t="str">
        <f t="shared" si="89"/>
        <v>04/03/2026</v>
      </c>
      <c r="J312" t="str">
        <f t="shared" si="91"/>
        <v>02/03/2026</v>
      </c>
      <c r="K312">
        <v>46086</v>
      </c>
      <c r="N312">
        <v>303</v>
      </c>
      <c r="O312" t="s">
        <v>102</v>
      </c>
      <c r="Q312">
        <v>210.27</v>
      </c>
      <c r="R312" t="str">
        <f>"UBA 1 (10263)"</f>
        <v>UBA 1 (10263)</v>
      </c>
      <c r="S312" t="s">
        <v>103</v>
      </c>
      <c r="T312">
        <v>30024</v>
      </c>
      <c r="U312">
        <v>33900</v>
      </c>
      <c r="V312" t="s">
        <v>110</v>
      </c>
    </row>
    <row r="313" spans="1:22">
      <c r="A313" t="str">
        <f t="shared" si="86"/>
        <v>05/03/2026</v>
      </c>
      <c r="B313" t="str">
        <f t="shared" si="87"/>
        <v>ENTRADA</v>
      </c>
      <c r="C313" t="str">
        <f t="shared" si="88"/>
        <v>NFSE</v>
      </c>
      <c r="D313" t="str">
        <f>"424"</f>
        <v>424</v>
      </c>
      <c r="E313" t="str">
        <f t="shared" ref="E313:E344" si="92">"1"</f>
        <v>1</v>
      </c>
      <c r="F313" t="str">
        <f t="shared" si="73"/>
        <v>COM</v>
      </c>
      <c r="G313" t="str">
        <f>"FARMACIA ROSAS (10288)"</f>
        <v>FARMACIA ROSAS (10288)</v>
      </c>
      <c r="H313" t="str">
        <f>"Serv.Prest. 23/02/2026 a 01/03/2026 - RPS: 2352 - NFSe: 424"</f>
        <v>Serv.Prest. 23/02/2026 a 01/03/2026 - RPS: 2352 - NFSe: 424</v>
      </c>
      <c r="I313" t="str">
        <f t="shared" si="89"/>
        <v>04/03/2026</v>
      </c>
      <c r="J313" t="str">
        <f t="shared" si="91"/>
        <v>02/03/2026</v>
      </c>
      <c r="K313" t="str">
        <f>("05/03/2026")</f>
        <v>05/03/2026</v>
      </c>
      <c r="L313">
        <v>2932.5</v>
      </c>
      <c r="M313">
        <v>2932.5</v>
      </c>
      <c r="N313">
        <v>303</v>
      </c>
      <c r="O313" t="str">
        <f>"RECEITAS COM ENTREGAS"</f>
        <v>RECEITAS COM ENTREGAS</v>
      </c>
      <c r="P313">
        <v>2932.5</v>
      </c>
      <c r="S313" t="str">
        <f>"RECEITAS COM ENTREGAS (303)"</f>
        <v>RECEITAS COM ENTREGAS (303)</v>
      </c>
      <c r="T313">
        <v>30025</v>
      </c>
      <c r="U313">
        <v>33903</v>
      </c>
      <c r="V313" t="s">
        <v>110</v>
      </c>
    </row>
    <row r="314" spans="1:22">
      <c r="A314" t="str">
        <f t="shared" si="86"/>
        <v>05/03/2026</v>
      </c>
      <c r="B314" t="str">
        <f t="shared" si="87"/>
        <v>ENTRADA</v>
      </c>
      <c r="C314" t="str">
        <f t="shared" si="88"/>
        <v>NFSE</v>
      </c>
      <c r="D314" t="str">
        <f>"424"</f>
        <v>424</v>
      </c>
      <c r="E314" t="str">
        <f t="shared" si="92"/>
        <v>1</v>
      </c>
      <c r="F314" t="str">
        <f t="shared" si="73"/>
        <v>COM</v>
      </c>
      <c r="G314" t="str">
        <f>"FARMACIA ROSAS (10288)"</f>
        <v>FARMACIA ROSAS (10288)</v>
      </c>
      <c r="H314" t="s">
        <v>124</v>
      </c>
      <c r="I314" t="str">
        <f t="shared" si="89"/>
        <v>04/03/2026</v>
      </c>
      <c r="J314" t="str">
        <f t="shared" si="91"/>
        <v>02/03/2026</v>
      </c>
      <c r="K314">
        <v>46086</v>
      </c>
      <c r="N314">
        <v>303</v>
      </c>
      <c r="O314" t="s">
        <v>102</v>
      </c>
      <c r="Q314">
        <v>2932.5</v>
      </c>
      <c r="R314" t="str">
        <f>"FARMACIA ROSAS (10288)"</f>
        <v>FARMACIA ROSAS (10288)</v>
      </c>
      <c r="S314" t="s">
        <v>103</v>
      </c>
      <c r="T314">
        <v>30025</v>
      </c>
      <c r="U314">
        <v>33903</v>
      </c>
      <c r="V314" t="s">
        <v>110</v>
      </c>
    </row>
    <row r="315" spans="1:22">
      <c r="A315" t="str">
        <f t="shared" si="86"/>
        <v>05/03/2026</v>
      </c>
      <c r="B315" t="str">
        <f t="shared" si="87"/>
        <v>ENTRADA</v>
      </c>
      <c r="C315" t="str">
        <f t="shared" si="88"/>
        <v>NFSE</v>
      </c>
      <c r="D315" t="str">
        <f>"429"</f>
        <v>429</v>
      </c>
      <c r="E315" t="str">
        <f t="shared" si="92"/>
        <v>1</v>
      </c>
      <c r="F315" t="str">
        <f t="shared" si="73"/>
        <v>COM</v>
      </c>
      <c r="G315" t="str">
        <f>"ENTREFARMA (10164)"</f>
        <v>ENTREFARMA (10164)</v>
      </c>
      <c r="H315" t="str">
        <f>"Serv.Prest. 23/02/2026 a 01/03/2026 - RPS: 2357 - NFSe: 429"</f>
        <v>Serv.Prest. 23/02/2026 a 01/03/2026 - RPS: 2357 - NFSe: 429</v>
      </c>
      <c r="I315" t="str">
        <f t="shared" si="89"/>
        <v>04/03/2026</v>
      </c>
      <c r="J315" t="str">
        <f t="shared" si="91"/>
        <v>02/03/2026</v>
      </c>
      <c r="K315" t="str">
        <f>("05/03/2026")</f>
        <v>05/03/2026</v>
      </c>
      <c r="L315">
        <v>6264.07</v>
      </c>
      <c r="M315">
        <v>6264.07</v>
      </c>
      <c r="N315">
        <v>303</v>
      </c>
      <c r="O315" t="str">
        <f>"RECEITAS COM ENTREGAS"</f>
        <v>RECEITAS COM ENTREGAS</v>
      </c>
      <c r="P315">
        <v>6264.07</v>
      </c>
      <c r="S315" t="str">
        <f>"RECEITAS COM ENTREGAS (303)"</f>
        <v>RECEITAS COM ENTREGAS (303)</v>
      </c>
      <c r="T315">
        <v>30026</v>
      </c>
      <c r="U315">
        <v>33923</v>
      </c>
      <c r="V315" t="s">
        <v>110</v>
      </c>
    </row>
    <row r="316" spans="1:22">
      <c r="A316" t="str">
        <f t="shared" si="86"/>
        <v>05/03/2026</v>
      </c>
      <c r="B316" t="str">
        <f t="shared" si="87"/>
        <v>ENTRADA</v>
      </c>
      <c r="C316" t="str">
        <f t="shared" si="88"/>
        <v>NFSE</v>
      </c>
      <c r="D316" t="str">
        <f>"429"</f>
        <v>429</v>
      </c>
      <c r="E316" t="str">
        <f t="shared" si="92"/>
        <v>1</v>
      </c>
      <c r="F316" t="str">
        <f t="shared" si="73"/>
        <v>COM</v>
      </c>
      <c r="G316" t="str">
        <f>"ENTREFARMA (10164)"</f>
        <v>ENTREFARMA (10164)</v>
      </c>
      <c r="H316" t="s">
        <v>125</v>
      </c>
      <c r="I316" t="str">
        <f t="shared" si="89"/>
        <v>04/03/2026</v>
      </c>
      <c r="J316" t="str">
        <f t="shared" si="91"/>
        <v>02/03/2026</v>
      </c>
      <c r="K316">
        <v>46086</v>
      </c>
      <c r="N316">
        <v>303</v>
      </c>
      <c r="O316" t="s">
        <v>102</v>
      </c>
      <c r="Q316">
        <v>6264.07</v>
      </c>
      <c r="R316" t="str">
        <f>"ENTREFARMA (10164)"</f>
        <v>ENTREFARMA (10164)</v>
      </c>
      <c r="S316" t="s">
        <v>103</v>
      </c>
      <c r="T316">
        <v>30026</v>
      </c>
      <c r="U316">
        <v>33923</v>
      </c>
      <c r="V316" t="s">
        <v>110</v>
      </c>
    </row>
    <row r="317" spans="1:22">
      <c r="A317" t="str">
        <f t="shared" si="86"/>
        <v>05/03/2026</v>
      </c>
      <c r="B317" t="str">
        <f t="shared" si="87"/>
        <v>ENTRADA</v>
      </c>
      <c r="C317" t="str">
        <f t="shared" si="88"/>
        <v>NFSE</v>
      </c>
      <c r="D317" t="str">
        <f>"430"</f>
        <v>430</v>
      </c>
      <c r="E317" t="str">
        <f t="shared" si="92"/>
        <v>1</v>
      </c>
      <c r="F317" t="str">
        <f t="shared" si="73"/>
        <v>COM</v>
      </c>
      <c r="G317" t="str">
        <f>"JAL FARMACIA E DROGARIA LJ 1 (10137)"</f>
        <v>JAL FARMACIA E DROGARIA LJ 1 (10137)</v>
      </c>
      <c r="H317" t="str">
        <f>"Serv.Prest. 23/02/2026 a 01/03/2026 - RPS: 2358 - NFSe: 430"</f>
        <v>Serv.Prest. 23/02/2026 a 01/03/2026 - RPS: 2358 - NFSe: 430</v>
      </c>
      <c r="I317" t="str">
        <f t="shared" si="89"/>
        <v>04/03/2026</v>
      </c>
      <c r="J317" t="str">
        <f t="shared" si="91"/>
        <v>02/03/2026</v>
      </c>
      <c r="K317" t="str">
        <f>("05/03/2026")</f>
        <v>05/03/2026</v>
      </c>
      <c r="L317">
        <v>2405.5</v>
      </c>
      <c r="M317">
        <v>2405.5</v>
      </c>
      <c r="N317">
        <v>303</v>
      </c>
      <c r="O317" t="str">
        <f>"RECEITAS COM ENTREGAS"</f>
        <v>RECEITAS COM ENTREGAS</v>
      </c>
      <c r="P317">
        <v>2405.5</v>
      </c>
      <c r="S317" t="str">
        <f>"RECEITAS COM ENTREGAS (303)"</f>
        <v>RECEITAS COM ENTREGAS (303)</v>
      </c>
      <c r="T317">
        <v>30027</v>
      </c>
      <c r="U317">
        <v>33927</v>
      </c>
      <c r="V317" t="s">
        <v>110</v>
      </c>
    </row>
    <row r="318" spans="1:22">
      <c r="A318" t="str">
        <f t="shared" si="86"/>
        <v>05/03/2026</v>
      </c>
      <c r="B318" t="str">
        <f t="shared" si="87"/>
        <v>ENTRADA</v>
      </c>
      <c r="C318" t="str">
        <f t="shared" si="88"/>
        <v>NFSE</v>
      </c>
      <c r="D318" t="str">
        <f>"430"</f>
        <v>430</v>
      </c>
      <c r="E318" t="str">
        <f t="shared" si="92"/>
        <v>1</v>
      </c>
      <c r="F318" t="str">
        <f t="shared" si="73"/>
        <v>COM</v>
      </c>
      <c r="G318" t="str">
        <f>"JAL FARMACIA E DROGARIA LJ 1 (10137)"</f>
        <v>JAL FARMACIA E DROGARIA LJ 1 (10137)</v>
      </c>
      <c r="H318" t="s">
        <v>126</v>
      </c>
      <c r="I318" t="str">
        <f t="shared" si="89"/>
        <v>04/03/2026</v>
      </c>
      <c r="J318" t="str">
        <f t="shared" si="91"/>
        <v>02/03/2026</v>
      </c>
      <c r="K318">
        <v>46086</v>
      </c>
      <c r="N318">
        <v>303</v>
      </c>
      <c r="O318" t="s">
        <v>102</v>
      </c>
      <c r="Q318">
        <v>2405.5</v>
      </c>
      <c r="R318" t="str">
        <f>"JAL FARMACIA E DROGARIA LJ 1 (10137)"</f>
        <v>JAL FARMACIA E DROGARIA LJ 1 (10137)</v>
      </c>
      <c r="S318" t="s">
        <v>103</v>
      </c>
      <c r="T318">
        <v>30027</v>
      </c>
      <c r="U318">
        <v>33927</v>
      </c>
      <c r="V318" t="s">
        <v>110</v>
      </c>
    </row>
    <row r="319" spans="1:22">
      <c r="A319" t="str">
        <f t="shared" si="86"/>
        <v>05/03/2026</v>
      </c>
      <c r="B319" t="str">
        <f t="shared" si="87"/>
        <v>ENTRADA</v>
      </c>
      <c r="C319" t="str">
        <f t="shared" si="88"/>
        <v>NFSE</v>
      </c>
      <c r="D319" t="str">
        <f>"431"</f>
        <v>431</v>
      </c>
      <c r="E319" t="str">
        <f t="shared" si="92"/>
        <v>1</v>
      </c>
      <c r="F319" t="str">
        <f t="shared" si="73"/>
        <v>COM</v>
      </c>
      <c r="G319" t="str">
        <f>"JAL FARMACIA E DROGARIA LJ 2 (10138)"</f>
        <v>JAL FARMACIA E DROGARIA LJ 2 (10138)</v>
      </c>
      <c r="H319" t="str">
        <f>"Serv.Prest. 23/02/2026 a 01/03/2026 - RPS: 2359 - NFSe: 431"</f>
        <v>Serv.Prest. 23/02/2026 a 01/03/2026 - RPS: 2359 - NFSe: 431</v>
      </c>
      <c r="I319" t="str">
        <f t="shared" si="89"/>
        <v>04/03/2026</v>
      </c>
      <c r="J319" t="str">
        <f t="shared" si="91"/>
        <v>02/03/2026</v>
      </c>
      <c r="K319" t="str">
        <f>("05/03/2026")</f>
        <v>05/03/2026</v>
      </c>
      <c r="L319">
        <v>1734</v>
      </c>
      <c r="M319">
        <v>1734</v>
      </c>
      <c r="N319">
        <v>303</v>
      </c>
      <c r="O319" t="str">
        <f>"RECEITAS COM ENTREGAS"</f>
        <v>RECEITAS COM ENTREGAS</v>
      </c>
      <c r="P319">
        <v>1734</v>
      </c>
      <c r="S319" t="str">
        <f>"RECEITAS COM ENTREGAS (303)"</f>
        <v>RECEITAS COM ENTREGAS (303)</v>
      </c>
      <c r="T319">
        <v>30028</v>
      </c>
      <c r="U319">
        <v>33931</v>
      </c>
      <c r="V319" t="s">
        <v>110</v>
      </c>
    </row>
    <row r="320" spans="1:22">
      <c r="A320" t="str">
        <f t="shared" si="86"/>
        <v>05/03/2026</v>
      </c>
      <c r="B320" t="str">
        <f t="shared" si="87"/>
        <v>ENTRADA</v>
      </c>
      <c r="C320" t="str">
        <f t="shared" si="88"/>
        <v>NFSE</v>
      </c>
      <c r="D320" t="str">
        <f>"431"</f>
        <v>431</v>
      </c>
      <c r="E320" t="str">
        <f t="shared" si="92"/>
        <v>1</v>
      </c>
      <c r="F320" t="str">
        <f t="shared" si="73"/>
        <v>COM</v>
      </c>
      <c r="G320" t="str">
        <f>"JAL FARMACIA E DROGARIA LJ 2 (10138)"</f>
        <v>JAL FARMACIA E DROGARIA LJ 2 (10138)</v>
      </c>
      <c r="H320" t="s">
        <v>127</v>
      </c>
      <c r="I320" t="str">
        <f t="shared" si="89"/>
        <v>04/03/2026</v>
      </c>
      <c r="J320" t="str">
        <f t="shared" si="91"/>
        <v>02/03/2026</v>
      </c>
      <c r="K320">
        <v>46086</v>
      </c>
      <c r="N320">
        <v>303</v>
      </c>
      <c r="O320" t="s">
        <v>102</v>
      </c>
      <c r="Q320">
        <v>1734</v>
      </c>
      <c r="R320" t="str">
        <f>"JAL FARMACIA E DROGARIA LJ 2 (10138)"</f>
        <v>JAL FARMACIA E DROGARIA LJ 2 (10138)</v>
      </c>
      <c r="S320" t="s">
        <v>103</v>
      </c>
      <c r="T320">
        <v>30028</v>
      </c>
      <c r="U320">
        <v>33931</v>
      </c>
      <c r="V320" t="s">
        <v>110</v>
      </c>
    </row>
    <row r="321" spans="1:22">
      <c r="A321" t="str">
        <f t="shared" si="86"/>
        <v>05/03/2026</v>
      </c>
      <c r="B321" t="str">
        <f t="shared" si="87"/>
        <v>ENTRADA</v>
      </c>
      <c r="C321" t="str">
        <f t="shared" si="88"/>
        <v>NFSE</v>
      </c>
      <c r="D321" t="str">
        <f>"432"</f>
        <v>432</v>
      </c>
      <c r="E321" t="str">
        <f t="shared" si="92"/>
        <v>1</v>
      </c>
      <c r="F321" t="str">
        <f t="shared" si="73"/>
        <v>COM</v>
      </c>
      <c r="G321" t="str">
        <f>"LBL FARMACIA LTDA (10189)"</f>
        <v>LBL FARMACIA LTDA (10189)</v>
      </c>
      <c r="H321" t="str">
        <f>"Serv.Prest. 23/02/2026 a 01/03/2026 - RPS: 2360 - NFSe: 432"</f>
        <v>Serv.Prest. 23/02/2026 a 01/03/2026 - RPS: 2360 - NFSe: 432</v>
      </c>
      <c r="I321" t="str">
        <f t="shared" si="89"/>
        <v>04/03/2026</v>
      </c>
      <c r="J321" t="str">
        <f t="shared" si="91"/>
        <v>02/03/2026</v>
      </c>
      <c r="K321" t="str">
        <f>("05/03/2026")</f>
        <v>05/03/2026</v>
      </c>
      <c r="L321">
        <v>969.85</v>
      </c>
      <c r="M321">
        <v>969.85</v>
      </c>
      <c r="N321">
        <v>303</v>
      </c>
      <c r="O321" t="str">
        <f>"RECEITAS COM ENTREGAS"</f>
        <v>RECEITAS COM ENTREGAS</v>
      </c>
      <c r="P321">
        <v>969.85</v>
      </c>
      <c r="S321" t="str">
        <f>"RECEITAS COM ENTREGAS (303)"</f>
        <v>RECEITAS COM ENTREGAS (303)</v>
      </c>
      <c r="T321">
        <v>30029</v>
      </c>
      <c r="U321">
        <v>33935</v>
      </c>
      <c r="V321" t="s">
        <v>110</v>
      </c>
    </row>
    <row r="322" spans="1:22">
      <c r="A322" t="str">
        <f t="shared" si="86"/>
        <v>05/03/2026</v>
      </c>
      <c r="B322" t="str">
        <f t="shared" ref="B322:B353" si="93">"ENTRADA"</f>
        <v>ENTRADA</v>
      </c>
      <c r="C322" t="str">
        <f t="shared" ref="C322:C353" si="94">"NFSE"</f>
        <v>NFSE</v>
      </c>
      <c r="D322" t="str">
        <f>"432"</f>
        <v>432</v>
      </c>
      <c r="E322" t="str">
        <f t="shared" si="92"/>
        <v>1</v>
      </c>
      <c r="F322" t="str">
        <f t="shared" ref="F322:F385" si="95">"COM"</f>
        <v>COM</v>
      </c>
      <c r="G322" t="str">
        <f>"LBL FARMACIA LTDA (10189)"</f>
        <v>LBL FARMACIA LTDA (10189)</v>
      </c>
      <c r="H322" t="s">
        <v>128</v>
      </c>
      <c r="I322" t="str">
        <f t="shared" ref="I322:I353" si="96">("04/03/2026")</f>
        <v>04/03/2026</v>
      </c>
      <c r="J322" t="str">
        <f t="shared" si="91"/>
        <v>02/03/2026</v>
      </c>
      <c r="K322">
        <v>46086</v>
      </c>
      <c r="N322">
        <v>303</v>
      </c>
      <c r="O322" t="s">
        <v>102</v>
      </c>
      <c r="Q322">
        <v>969.85</v>
      </c>
      <c r="R322" t="str">
        <f>"LBL FARMACIA LTDA (10189)"</f>
        <v>LBL FARMACIA LTDA (10189)</v>
      </c>
      <c r="S322" t="s">
        <v>103</v>
      </c>
      <c r="T322">
        <v>30029</v>
      </c>
      <c r="U322">
        <v>33935</v>
      </c>
      <c r="V322" t="s">
        <v>110</v>
      </c>
    </row>
    <row r="323" spans="1:22">
      <c r="A323" t="str">
        <f t="shared" si="86"/>
        <v>05/03/2026</v>
      </c>
      <c r="B323" t="str">
        <f t="shared" si="93"/>
        <v>ENTRADA</v>
      </c>
      <c r="C323" t="str">
        <f t="shared" si="94"/>
        <v>NFSE</v>
      </c>
      <c r="D323" t="str">
        <f>"433"</f>
        <v>433</v>
      </c>
      <c r="E323" t="str">
        <f t="shared" si="92"/>
        <v>1</v>
      </c>
      <c r="F323" t="str">
        <f t="shared" si="95"/>
        <v>COM</v>
      </c>
      <c r="G323" t="str">
        <f>"LBL FARMACIA LTDA FILIAL (10192)"</f>
        <v>LBL FARMACIA LTDA FILIAL (10192)</v>
      </c>
      <c r="H323" t="str">
        <f>"Serv.Prest. 23/02/2026 a 01/03/2026 - RPS: 2361 - NFSe: 433"</f>
        <v>Serv.Prest. 23/02/2026 a 01/03/2026 - RPS: 2361 - NFSe: 433</v>
      </c>
      <c r="I323" t="str">
        <f t="shared" si="96"/>
        <v>04/03/2026</v>
      </c>
      <c r="J323" t="str">
        <f t="shared" si="91"/>
        <v>02/03/2026</v>
      </c>
      <c r="K323" t="str">
        <f>("05/03/2026")</f>
        <v>05/03/2026</v>
      </c>
      <c r="L323">
        <v>1701.7</v>
      </c>
      <c r="M323">
        <v>1701.7</v>
      </c>
      <c r="N323">
        <v>303</v>
      </c>
      <c r="O323" t="str">
        <f>"RECEITAS COM ENTREGAS"</f>
        <v>RECEITAS COM ENTREGAS</v>
      </c>
      <c r="P323">
        <v>1701.7</v>
      </c>
      <c r="S323" t="str">
        <f>"RECEITAS COM ENTREGAS (303)"</f>
        <v>RECEITAS COM ENTREGAS (303)</v>
      </c>
      <c r="T323">
        <v>30030</v>
      </c>
      <c r="U323">
        <v>33937</v>
      </c>
      <c r="V323" t="s">
        <v>110</v>
      </c>
    </row>
    <row r="324" spans="1:22">
      <c r="A324" t="str">
        <f t="shared" si="86"/>
        <v>05/03/2026</v>
      </c>
      <c r="B324" t="str">
        <f t="shared" si="93"/>
        <v>ENTRADA</v>
      </c>
      <c r="C324" t="str">
        <f t="shared" si="94"/>
        <v>NFSE</v>
      </c>
      <c r="D324" t="str">
        <f>"433"</f>
        <v>433</v>
      </c>
      <c r="E324" t="str">
        <f t="shared" si="92"/>
        <v>1</v>
      </c>
      <c r="F324" t="str">
        <f t="shared" si="95"/>
        <v>COM</v>
      </c>
      <c r="G324" t="str">
        <f>"LBL FARMACIA LTDA FILIAL (10192)"</f>
        <v>LBL FARMACIA LTDA FILIAL (10192)</v>
      </c>
      <c r="H324" t="s">
        <v>129</v>
      </c>
      <c r="I324" t="str">
        <f t="shared" si="96"/>
        <v>04/03/2026</v>
      </c>
      <c r="J324" t="str">
        <f t="shared" si="91"/>
        <v>02/03/2026</v>
      </c>
      <c r="K324">
        <v>46086</v>
      </c>
      <c r="N324">
        <v>303</v>
      </c>
      <c r="O324" t="s">
        <v>102</v>
      </c>
      <c r="Q324">
        <v>1701.7</v>
      </c>
      <c r="R324" t="str">
        <f>"LBL FARMACIA LTDA FILIAL (10192)"</f>
        <v>LBL FARMACIA LTDA FILIAL (10192)</v>
      </c>
      <c r="S324" t="s">
        <v>103</v>
      </c>
      <c r="T324">
        <v>30030</v>
      </c>
      <c r="U324">
        <v>33937</v>
      </c>
      <c r="V324" t="s">
        <v>110</v>
      </c>
    </row>
    <row r="325" spans="1:22">
      <c r="A325" t="str">
        <f t="shared" si="86"/>
        <v>05/03/2026</v>
      </c>
      <c r="B325" t="str">
        <f t="shared" si="93"/>
        <v>ENTRADA</v>
      </c>
      <c r="C325" t="str">
        <f t="shared" si="94"/>
        <v>NFSE</v>
      </c>
      <c r="D325" t="str">
        <f>"434"</f>
        <v>434</v>
      </c>
      <c r="E325" t="str">
        <f t="shared" si="92"/>
        <v>1</v>
      </c>
      <c r="F325" t="str">
        <f t="shared" si="95"/>
        <v>COM</v>
      </c>
      <c r="G325" t="str">
        <f>"DROGARIA BEM ESTAR (10193)"</f>
        <v>DROGARIA BEM ESTAR (10193)</v>
      </c>
      <c r="H325" t="str">
        <f>"Serv.Prest. 23/02/2026 a 01/03/2026 - RPS: 2362 - NFSe: 434"</f>
        <v>Serv.Prest. 23/02/2026 a 01/03/2026 - RPS: 2362 - NFSe: 434</v>
      </c>
      <c r="I325" t="str">
        <f t="shared" si="96"/>
        <v>04/03/2026</v>
      </c>
      <c r="J325" t="str">
        <f t="shared" si="91"/>
        <v>02/03/2026</v>
      </c>
      <c r="K325" t="str">
        <f>("05/03/2026")</f>
        <v>05/03/2026</v>
      </c>
      <c r="L325">
        <v>823.65</v>
      </c>
      <c r="M325">
        <v>823.65</v>
      </c>
      <c r="N325">
        <v>303</v>
      </c>
      <c r="O325" t="str">
        <f>"RECEITAS COM ENTREGAS"</f>
        <v>RECEITAS COM ENTREGAS</v>
      </c>
      <c r="P325">
        <v>823.65</v>
      </c>
      <c r="S325" t="str">
        <f>"RECEITAS COM ENTREGAS (303)"</f>
        <v>RECEITAS COM ENTREGAS (303)</v>
      </c>
      <c r="T325">
        <v>30031</v>
      </c>
      <c r="U325">
        <v>33940</v>
      </c>
      <c r="V325" t="s">
        <v>110</v>
      </c>
    </row>
    <row r="326" spans="1:22">
      <c r="A326" t="str">
        <f t="shared" si="86"/>
        <v>05/03/2026</v>
      </c>
      <c r="B326" t="str">
        <f t="shared" si="93"/>
        <v>ENTRADA</v>
      </c>
      <c r="C326" t="str">
        <f t="shared" si="94"/>
        <v>NFSE</v>
      </c>
      <c r="D326" t="str">
        <f>"434"</f>
        <v>434</v>
      </c>
      <c r="E326" t="str">
        <f t="shared" si="92"/>
        <v>1</v>
      </c>
      <c r="F326" t="str">
        <f t="shared" si="95"/>
        <v>COM</v>
      </c>
      <c r="G326" t="str">
        <f>"DROGARIA BEM ESTAR (10193)"</f>
        <v>DROGARIA BEM ESTAR (10193)</v>
      </c>
      <c r="H326" t="s">
        <v>130</v>
      </c>
      <c r="I326" t="str">
        <f t="shared" si="96"/>
        <v>04/03/2026</v>
      </c>
      <c r="J326" t="str">
        <f t="shared" si="91"/>
        <v>02/03/2026</v>
      </c>
      <c r="K326">
        <v>46086</v>
      </c>
      <c r="N326">
        <v>303</v>
      </c>
      <c r="O326" t="s">
        <v>102</v>
      </c>
      <c r="Q326">
        <v>823.65</v>
      </c>
      <c r="R326" t="str">
        <f>"DROGARIA BEM ESTAR (10193)"</f>
        <v>DROGARIA BEM ESTAR (10193)</v>
      </c>
      <c r="S326" t="s">
        <v>103</v>
      </c>
      <c r="T326">
        <v>30031</v>
      </c>
      <c r="U326">
        <v>33940</v>
      </c>
      <c r="V326" t="s">
        <v>110</v>
      </c>
    </row>
    <row r="327" spans="1:22">
      <c r="A327" t="str">
        <f t="shared" si="86"/>
        <v>05/03/2026</v>
      </c>
      <c r="B327" t="str">
        <f t="shared" si="93"/>
        <v>ENTRADA</v>
      </c>
      <c r="C327" t="str">
        <f t="shared" si="94"/>
        <v>NFSE</v>
      </c>
      <c r="D327" t="str">
        <f>"435"</f>
        <v>435</v>
      </c>
      <c r="E327" t="str">
        <f t="shared" si="92"/>
        <v>1</v>
      </c>
      <c r="F327" t="str">
        <f t="shared" si="95"/>
        <v>COM</v>
      </c>
      <c r="G327" t="str">
        <f>"DROGA ELIDA (10121)"</f>
        <v>DROGA ELIDA (10121)</v>
      </c>
      <c r="H327" t="str">
        <f>"Serv.Prest. 23/02/2026 a 01/03/2026 - RPS: 2363 - NFSe: 435"</f>
        <v>Serv.Prest. 23/02/2026 a 01/03/2026 - RPS: 2363 - NFSe: 435</v>
      </c>
      <c r="I327" t="str">
        <f t="shared" si="96"/>
        <v>04/03/2026</v>
      </c>
      <c r="J327" t="str">
        <f t="shared" si="91"/>
        <v>02/03/2026</v>
      </c>
      <c r="K327" t="str">
        <f>("05/03/2026")</f>
        <v>05/03/2026</v>
      </c>
      <c r="L327">
        <v>1976.25</v>
      </c>
      <c r="M327">
        <v>1976.25</v>
      </c>
      <c r="N327">
        <v>303</v>
      </c>
      <c r="O327" t="str">
        <f>"RECEITAS COM ENTREGAS"</f>
        <v>RECEITAS COM ENTREGAS</v>
      </c>
      <c r="P327">
        <v>1976.25</v>
      </c>
      <c r="S327" t="str">
        <f>"RECEITAS COM ENTREGAS (303)"</f>
        <v>RECEITAS COM ENTREGAS (303)</v>
      </c>
      <c r="T327">
        <v>30032</v>
      </c>
      <c r="U327">
        <v>33942</v>
      </c>
      <c r="V327" t="s">
        <v>110</v>
      </c>
    </row>
    <row r="328" spans="1:22">
      <c r="A328" t="str">
        <f t="shared" si="86"/>
        <v>05/03/2026</v>
      </c>
      <c r="B328" t="str">
        <f t="shared" si="93"/>
        <v>ENTRADA</v>
      </c>
      <c r="C328" t="str">
        <f t="shared" si="94"/>
        <v>NFSE</v>
      </c>
      <c r="D328" t="str">
        <f>"435"</f>
        <v>435</v>
      </c>
      <c r="E328" t="str">
        <f t="shared" si="92"/>
        <v>1</v>
      </c>
      <c r="F328" t="str">
        <f t="shared" si="95"/>
        <v>COM</v>
      </c>
      <c r="G328" t="str">
        <f>"DROGA ELIDA (10121)"</f>
        <v>DROGA ELIDA (10121)</v>
      </c>
      <c r="H328" t="s">
        <v>131</v>
      </c>
      <c r="I328" t="str">
        <f t="shared" si="96"/>
        <v>04/03/2026</v>
      </c>
      <c r="J328" t="str">
        <f t="shared" si="91"/>
        <v>02/03/2026</v>
      </c>
      <c r="K328">
        <v>46086</v>
      </c>
      <c r="N328">
        <v>303</v>
      </c>
      <c r="O328" t="s">
        <v>102</v>
      </c>
      <c r="Q328">
        <v>1976.25</v>
      </c>
      <c r="R328" t="str">
        <f>"DROGA ELIDA (10121)"</f>
        <v>DROGA ELIDA (10121)</v>
      </c>
      <c r="S328" t="s">
        <v>103</v>
      </c>
      <c r="T328">
        <v>30032</v>
      </c>
      <c r="U328">
        <v>33942</v>
      </c>
      <c r="V328" t="s">
        <v>110</v>
      </c>
    </row>
    <row r="329" spans="1:22">
      <c r="A329" t="str">
        <f t="shared" si="86"/>
        <v>05/03/2026</v>
      </c>
      <c r="B329" t="str">
        <f t="shared" si="93"/>
        <v>ENTRADA</v>
      </c>
      <c r="C329" t="str">
        <f t="shared" si="94"/>
        <v>NFSE</v>
      </c>
      <c r="D329" t="str">
        <f>"436"</f>
        <v>436</v>
      </c>
      <c r="E329" t="str">
        <f t="shared" si="92"/>
        <v>1</v>
      </c>
      <c r="F329" t="str">
        <f t="shared" si="95"/>
        <v>COM</v>
      </c>
      <c r="G329" t="str">
        <f>"DROGARIA NIQUINHO (10257)"</f>
        <v>DROGARIA NIQUINHO (10257)</v>
      </c>
      <c r="H329" t="str">
        <f>"Serv.Prest. 23/02/2026 a 01/03/2026 - RPS: 2364 - NFSe: 436"</f>
        <v>Serv.Prest. 23/02/2026 a 01/03/2026 - RPS: 2364 - NFSe: 436</v>
      </c>
      <c r="I329" t="str">
        <f t="shared" si="96"/>
        <v>04/03/2026</v>
      </c>
      <c r="J329" t="str">
        <f t="shared" si="91"/>
        <v>02/03/2026</v>
      </c>
      <c r="K329" t="str">
        <f>("05/03/2026")</f>
        <v>05/03/2026</v>
      </c>
      <c r="L329">
        <v>1471.85</v>
      </c>
      <c r="M329">
        <v>1471.85</v>
      </c>
      <c r="N329">
        <v>303</v>
      </c>
      <c r="O329" t="str">
        <f>"RECEITAS COM ENTREGAS"</f>
        <v>RECEITAS COM ENTREGAS</v>
      </c>
      <c r="P329">
        <v>1471.85</v>
      </c>
      <c r="S329" t="str">
        <f>"RECEITAS COM ENTREGAS (303)"</f>
        <v>RECEITAS COM ENTREGAS (303)</v>
      </c>
      <c r="T329">
        <v>30033</v>
      </c>
      <c r="U329">
        <v>33945</v>
      </c>
      <c r="V329" t="s">
        <v>110</v>
      </c>
    </row>
    <row r="330" spans="1:22">
      <c r="A330" t="str">
        <f t="shared" si="86"/>
        <v>05/03/2026</v>
      </c>
      <c r="B330" t="str">
        <f t="shared" si="93"/>
        <v>ENTRADA</v>
      </c>
      <c r="C330" t="str">
        <f t="shared" si="94"/>
        <v>NFSE</v>
      </c>
      <c r="D330" t="str">
        <f>"436"</f>
        <v>436</v>
      </c>
      <c r="E330" t="str">
        <f t="shared" si="92"/>
        <v>1</v>
      </c>
      <c r="F330" t="str">
        <f t="shared" si="95"/>
        <v>COM</v>
      </c>
      <c r="G330" t="str">
        <f>"DROGARIA NIQUINHO (10257)"</f>
        <v>DROGARIA NIQUINHO (10257)</v>
      </c>
      <c r="H330" t="s">
        <v>132</v>
      </c>
      <c r="I330" t="str">
        <f t="shared" si="96"/>
        <v>04/03/2026</v>
      </c>
      <c r="J330" t="str">
        <f t="shared" si="91"/>
        <v>02/03/2026</v>
      </c>
      <c r="K330">
        <v>46086</v>
      </c>
      <c r="N330">
        <v>303</v>
      </c>
      <c r="O330" t="s">
        <v>102</v>
      </c>
      <c r="Q330">
        <v>1471.85</v>
      </c>
      <c r="R330" t="str">
        <f>"DROGARIA NIQUINHO (10257)"</f>
        <v>DROGARIA NIQUINHO (10257)</v>
      </c>
      <c r="S330" t="s">
        <v>103</v>
      </c>
      <c r="T330">
        <v>30033</v>
      </c>
      <c r="U330">
        <v>33945</v>
      </c>
      <c r="V330" t="s">
        <v>110</v>
      </c>
    </row>
    <row r="331" spans="1:22">
      <c r="A331" t="str">
        <f t="shared" si="86"/>
        <v>05/03/2026</v>
      </c>
      <c r="B331" t="str">
        <f t="shared" si="93"/>
        <v>ENTRADA</v>
      </c>
      <c r="C331" t="str">
        <f t="shared" si="94"/>
        <v>NFSE</v>
      </c>
      <c r="D331" t="str">
        <f>"441"</f>
        <v>441</v>
      </c>
      <c r="E331" t="str">
        <f t="shared" si="92"/>
        <v>1</v>
      </c>
      <c r="F331" t="str">
        <f t="shared" si="95"/>
        <v>COM</v>
      </c>
      <c r="G331" t="str">
        <f>"PENSE FARMA 44 (10231)"</f>
        <v>PENSE FARMA 44 (10231)</v>
      </c>
      <c r="H331" t="str">
        <f>"Serv.Prest. 23/02/2026 a 01/03/2026 - RPS: 2369 - NFSe: 441"</f>
        <v>Serv.Prest. 23/02/2026 a 01/03/2026 - RPS: 2369 - NFSe: 441</v>
      </c>
      <c r="I331" t="str">
        <f t="shared" si="96"/>
        <v>04/03/2026</v>
      </c>
      <c r="J331" t="str">
        <f t="shared" ref="J331:J362" si="97">("03/03/2026")</f>
        <v>03/03/2026</v>
      </c>
      <c r="K331" t="str">
        <f>("05/03/2026")</f>
        <v>05/03/2026</v>
      </c>
      <c r="L331">
        <v>3574.65</v>
      </c>
      <c r="M331">
        <v>3574.65</v>
      </c>
      <c r="N331">
        <v>303</v>
      </c>
      <c r="O331" t="str">
        <f>"RECEITAS COM ENTREGAS"</f>
        <v>RECEITAS COM ENTREGAS</v>
      </c>
      <c r="P331">
        <v>3574.65</v>
      </c>
      <c r="S331" t="str">
        <f>"RECEITAS COM ENTREGAS (303)"</f>
        <v>RECEITAS COM ENTREGAS (303)</v>
      </c>
      <c r="T331">
        <v>30034</v>
      </c>
      <c r="U331">
        <v>33963</v>
      </c>
      <c r="V331" t="s">
        <v>110</v>
      </c>
    </row>
    <row r="332" spans="1:22">
      <c r="A332" t="str">
        <f t="shared" si="86"/>
        <v>05/03/2026</v>
      </c>
      <c r="B332" t="str">
        <f t="shared" si="93"/>
        <v>ENTRADA</v>
      </c>
      <c r="C332" t="str">
        <f t="shared" si="94"/>
        <v>NFSE</v>
      </c>
      <c r="D332" t="str">
        <f>"441"</f>
        <v>441</v>
      </c>
      <c r="E332" t="str">
        <f t="shared" si="92"/>
        <v>1</v>
      </c>
      <c r="F332" t="str">
        <f t="shared" si="95"/>
        <v>COM</v>
      </c>
      <c r="G332" t="str">
        <f>"PENSE FARMA 44 (10231)"</f>
        <v>PENSE FARMA 44 (10231)</v>
      </c>
      <c r="H332" t="s">
        <v>133</v>
      </c>
      <c r="I332" t="str">
        <f t="shared" si="96"/>
        <v>04/03/2026</v>
      </c>
      <c r="J332" t="str">
        <f t="shared" si="97"/>
        <v>03/03/2026</v>
      </c>
      <c r="K332">
        <v>46086</v>
      </c>
      <c r="N332">
        <v>303</v>
      </c>
      <c r="O332" t="s">
        <v>102</v>
      </c>
      <c r="Q332">
        <v>1784.47</v>
      </c>
      <c r="R332" t="str">
        <f>"PENSE FARMA 44 (10231)"</f>
        <v>PENSE FARMA 44 (10231)</v>
      </c>
      <c r="S332" t="s">
        <v>103</v>
      </c>
      <c r="T332">
        <v>30034</v>
      </c>
      <c r="U332">
        <v>33963</v>
      </c>
      <c r="V332" t="s">
        <v>110</v>
      </c>
    </row>
    <row r="333" spans="1:22">
      <c r="A333" t="str">
        <f t="shared" si="86"/>
        <v>05/03/2026</v>
      </c>
      <c r="B333" t="str">
        <f t="shared" si="93"/>
        <v>ENTRADA</v>
      </c>
      <c r="C333" t="str">
        <f t="shared" si="94"/>
        <v>NFSE</v>
      </c>
      <c r="D333" t="str">
        <f>"441"</f>
        <v>441</v>
      </c>
      <c r="E333" t="str">
        <f t="shared" si="92"/>
        <v>1</v>
      </c>
      <c r="F333" t="str">
        <f t="shared" si="95"/>
        <v>COM</v>
      </c>
      <c r="G333" t="str">
        <f>"PENSE FARMA 44 (10231)"</f>
        <v>PENSE FARMA 44 (10231)</v>
      </c>
      <c r="H333" t="s">
        <v>133</v>
      </c>
      <c r="I333" t="str">
        <f t="shared" si="96"/>
        <v>04/03/2026</v>
      </c>
      <c r="J333" t="str">
        <f t="shared" si="97"/>
        <v>03/03/2026</v>
      </c>
      <c r="K333">
        <v>46086</v>
      </c>
      <c r="N333">
        <v>303</v>
      </c>
      <c r="O333" t="s">
        <v>102</v>
      </c>
      <c r="Q333">
        <v>1790.18</v>
      </c>
      <c r="R333" t="str">
        <f>"PENSE FARMA 48 (10233)"</f>
        <v>PENSE FARMA 48 (10233)</v>
      </c>
      <c r="S333" t="s">
        <v>103</v>
      </c>
      <c r="T333">
        <v>30034</v>
      </c>
      <c r="U333">
        <v>33963</v>
      </c>
      <c r="V333" t="s">
        <v>110</v>
      </c>
    </row>
    <row r="334" spans="1:22">
      <c r="A334" t="str">
        <f t="shared" si="86"/>
        <v>05/03/2026</v>
      </c>
      <c r="B334" t="str">
        <f t="shared" si="93"/>
        <v>ENTRADA</v>
      </c>
      <c r="C334" t="str">
        <f t="shared" si="94"/>
        <v>NFSE</v>
      </c>
      <c r="D334" t="str">
        <f>"442"</f>
        <v>442</v>
      </c>
      <c r="E334" t="str">
        <f t="shared" si="92"/>
        <v>1</v>
      </c>
      <c r="F334" t="str">
        <f t="shared" si="95"/>
        <v>COM</v>
      </c>
      <c r="G334" t="str">
        <f>"PENSE FARMA 19 (10223)"</f>
        <v>PENSE FARMA 19 (10223)</v>
      </c>
      <c r="H334" t="str">
        <f>"Serv.Prest. 23/02/2026 a 01/03/2026 - RPS: 2370 - NFSe: 442"</f>
        <v>Serv.Prest. 23/02/2026 a 01/03/2026 - RPS: 2370 - NFSe: 442</v>
      </c>
      <c r="I334" t="str">
        <f t="shared" si="96"/>
        <v>04/03/2026</v>
      </c>
      <c r="J334" t="str">
        <f t="shared" si="97"/>
        <v>03/03/2026</v>
      </c>
      <c r="K334" t="str">
        <f>("05/03/2026")</f>
        <v>05/03/2026</v>
      </c>
      <c r="L334">
        <v>2544.0500000000002</v>
      </c>
      <c r="M334">
        <v>2544.0500000000002</v>
      </c>
      <c r="N334">
        <v>303</v>
      </c>
      <c r="O334" t="str">
        <f>"RECEITAS COM ENTREGAS"</f>
        <v>RECEITAS COM ENTREGAS</v>
      </c>
      <c r="P334">
        <v>2544.0500000000002</v>
      </c>
      <c r="S334" t="str">
        <f>"RECEITAS COM ENTREGAS (303)"</f>
        <v>RECEITAS COM ENTREGAS (303)</v>
      </c>
      <c r="T334">
        <v>30035</v>
      </c>
      <c r="U334">
        <v>33967</v>
      </c>
      <c r="V334" t="s">
        <v>110</v>
      </c>
    </row>
    <row r="335" spans="1:22">
      <c r="A335" t="str">
        <f t="shared" si="86"/>
        <v>05/03/2026</v>
      </c>
      <c r="B335" t="str">
        <f t="shared" si="93"/>
        <v>ENTRADA</v>
      </c>
      <c r="C335" t="str">
        <f t="shared" si="94"/>
        <v>NFSE</v>
      </c>
      <c r="D335" t="str">
        <f>"442"</f>
        <v>442</v>
      </c>
      <c r="E335" t="str">
        <f t="shared" si="92"/>
        <v>1</v>
      </c>
      <c r="F335" t="str">
        <f t="shared" si="95"/>
        <v>COM</v>
      </c>
      <c r="G335" t="str">
        <f>"PENSE FARMA 19 (10223)"</f>
        <v>PENSE FARMA 19 (10223)</v>
      </c>
      <c r="H335" t="s">
        <v>134</v>
      </c>
      <c r="I335" t="str">
        <f t="shared" si="96"/>
        <v>04/03/2026</v>
      </c>
      <c r="J335" t="str">
        <f t="shared" si="97"/>
        <v>03/03/2026</v>
      </c>
      <c r="K335">
        <v>46086</v>
      </c>
      <c r="N335">
        <v>303</v>
      </c>
      <c r="O335" t="s">
        <v>102</v>
      </c>
      <c r="Q335">
        <v>2544.0500000000002</v>
      </c>
      <c r="R335" t="str">
        <f>"PENSE FARMA 19 (10223)"</f>
        <v>PENSE FARMA 19 (10223)</v>
      </c>
      <c r="S335" t="s">
        <v>103</v>
      </c>
      <c r="T335">
        <v>30035</v>
      </c>
      <c r="U335">
        <v>33967</v>
      </c>
      <c r="V335" t="s">
        <v>110</v>
      </c>
    </row>
    <row r="336" spans="1:22">
      <c r="A336" t="str">
        <f t="shared" si="86"/>
        <v>05/03/2026</v>
      </c>
      <c r="B336" t="str">
        <f t="shared" si="93"/>
        <v>ENTRADA</v>
      </c>
      <c r="C336" t="str">
        <f t="shared" si="94"/>
        <v>NFSE</v>
      </c>
      <c r="D336" t="str">
        <f t="shared" ref="D336:D342" si="98">"443"</f>
        <v>443</v>
      </c>
      <c r="E336" t="str">
        <f t="shared" si="92"/>
        <v>1</v>
      </c>
      <c r="F336" t="str">
        <f t="shared" si="95"/>
        <v>COM</v>
      </c>
      <c r="G336" t="str">
        <f t="shared" ref="G336:G342" si="99">"PENSE FARMA 36 (10206)"</f>
        <v>PENSE FARMA 36 (10206)</v>
      </c>
      <c r="H336" t="str">
        <f>"Serv.Prest. 23/02/2026 a 01/03/2026 - RPS: 2371 - NFSe: 443"</f>
        <v>Serv.Prest. 23/02/2026 a 01/03/2026 - RPS: 2371 - NFSe: 443</v>
      </c>
      <c r="I336" t="str">
        <f t="shared" si="96"/>
        <v>04/03/2026</v>
      </c>
      <c r="J336" t="str">
        <f t="shared" si="97"/>
        <v>03/03/2026</v>
      </c>
      <c r="K336" t="str">
        <f>("05/03/2026")</f>
        <v>05/03/2026</v>
      </c>
      <c r="L336">
        <v>5068.12</v>
      </c>
      <c r="M336">
        <v>5068.12</v>
      </c>
      <c r="N336">
        <v>303</v>
      </c>
      <c r="O336" t="str">
        <f>"RECEITAS COM ENTREGAS"</f>
        <v>RECEITAS COM ENTREGAS</v>
      </c>
      <c r="P336">
        <v>5068.12</v>
      </c>
      <c r="S336" t="str">
        <f>"RECEITAS COM ENTREGAS (303)"</f>
        <v>RECEITAS COM ENTREGAS (303)</v>
      </c>
      <c r="T336">
        <v>30036</v>
      </c>
      <c r="U336">
        <v>33971</v>
      </c>
      <c r="V336" t="s">
        <v>110</v>
      </c>
    </row>
    <row r="337" spans="1:22">
      <c r="A337" t="str">
        <f t="shared" si="86"/>
        <v>05/03/2026</v>
      </c>
      <c r="B337" t="str">
        <f t="shared" si="93"/>
        <v>ENTRADA</v>
      </c>
      <c r="C337" t="str">
        <f t="shared" si="94"/>
        <v>NFSE</v>
      </c>
      <c r="D337" t="str">
        <f t="shared" si="98"/>
        <v>443</v>
      </c>
      <c r="E337" t="str">
        <f t="shared" si="92"/>
        <v>1</v>
      </c>
      <c r="F337" t="str">
        <f t="shared" si="95"/>
        <v>COM</v>
      </c>
      <c r="G337" t="str">
        <f t="shared" si="99"/>
        <v>PENSE FARMA 36 (10206)</v>
      </c>
      <c r="H337" t="s">
        <v>135</v>
      </c>
      <c r="I337" t="str">
        <f t="shared" si="96"/>
        <v>04/03/2026</v>
      </c>
      <c r="J337" t="str">
        <f t="shared" si="97"/>
        <v>03/03/2026</v>
      </c>
      <c r="K337">
        <v>46086</v>
      </c>
      <c r="N337">
        <v>303</v>
      </c>
      <c r="O337" t="s">
        <v>102</v>
      </c>
      <c r="Q337">
        <v>840.31</v>
      </c>
      <c r="R337" t="str">
        <f>"PENSE FARMA 20 (10203)"</f>
        <v>PENSE FARMA 20 (10203)</v>
      </c>
      <c r="S337" t="s">
        <v>103</v>
      </c>
      <c r="T337">
        <v>30036</v>
      </c>
      <c r="U337">
        <v>33971</v>
      </c>
      <c r="V337" t="s">
        <v>110</v>
      </c>
    </row>
    <row r="338" spans="1:22">
      <c r="A338" t="str">
        <f t="shared" si="86"/>
        <v>05/03/2026</v>
      </c>
      <c r="B338" t="str">
        <f t="shared" si="93"/>
        <v>ENTRADA</v>
      </c>
      <c r="C338" t="str">
        <f t="shared" si="94"/>
        <v>NFSE</v>
      </c>
      <c r="D338" t="str">
        <f t="shared" si="98"/>
        <v>443</v>
      </c>
      <c r="E338" t="str">
        <f t="shared" si="92"/>
        <v>1</v>
      </c>
      <c r="F338" t="str">
        <f t="shared" si="95"/>
        <v>COM</v>
      </c>
      <c r="G338" t="str">
        <f t="shared" si="99"/>
        <v>PENSE FARMA 36 (10206)</v>
      </c>
      <c r="H338" t="s">
        <v>135</v>
      </c>
      <c r="I338" t="str">
        <f t="shared" si="96"/>
        <v>04/03/2026</v>
      </c>
      <c r="J338" t="str">
        <f t="shared" si="97"/>
        <v>03/03/2026</v>
      </c>
      <c r="K338">
        <v>46086</v>
      </c>
      <c r="N338">
        <v>303</v>
      </c>
      <c r="O338" t="s">
        <v>102</v>
      </c>
      <c r="Q338">
        <v>840.29</v>
      </c>
      <c r="R338" t="str">
        <f>"PENSE FARMA 36 (10206)"</f>
        <v>PENSE FARMA 36 (10206)</v>
      </c>
      <c r="S338" t="s">
        <v>103</v>
      </c>
      <c r="T338">
        <v>30036</v>
      </c>
      <c r="U338">
        <v>33971</v>
      </c>
      <c r="V338" t="s">
        <v>110</v>
      </c>
    </row>
    <row r="339" spans="1:22">
      <c r="A339" t="str">
        <f t="shared" si="86"/>
        <v>05/03/2026</v>
      </c>
      <c r="B339" t="str">
        <f t="shared" si="93"/>
        <v>ENTRADA</v>
      </c>
      <c r="C339" t="str">
        <f t="shared" si="94"/>
        <v>NFSE</v>
      </c>
      <c r="D339" t="str">
        <f t="shared" si="98"/>
        <v>443</v>
      </c>
      <c r="E339" t="str">
        <f t="shared" si="92"/>
        <v>1</v>
      </c>
      <c r="F339" t="str">
        <f t="shared" si="95"/>
        <v>COM</v>
      </c>
      <c r="G339" t="str">
        <f t="shared" si="99"/>
        <v>PENSE FARMA 36 (10206)</v>
      </c>
      <c r="H339" t="s">
        <v>135</v>
      </c>
      <c r="I339" t="str">
        <f t="shared" si="96"/>
        <v>04/03/2026</v>
      </c>
      <c r="J339" t="str">
        <f t="shared" si="97"/>
        <v>03/03/2026</v>
      </c>
      <c r="K339">
        <v>46086</v>
      </c>
      <c r="N339">
        <v>303</v>
      </c>
      <c r="O339" t="s">
        <v>102</v>
      </c>
      <c r="Q339">
        <v>840.29</v>
      </c>
      <c r="R339" t="str">
        <f>"PENSE FARMA 40 (10207)"</f>
        <v>PENSE FARMA 40 (10207)</v>
      </c>
      <c r="S339" t="s">
        <v>103</v>
      </c>
      <c r="T339">
        <v>30036</v>
      </c>
      <c r="U339">
        <v>33971</v>
      </c>
      <c r="V339" t="s">
        <v>110</v>
      </c>
    </row>
    <row r="340" spans="1:22">
      <c r="A340" t="str">
        <f t="shared" si="86"/>
        <v>05/03/2026</v>
      </c>
      <c r="B340" t="str">
        <f t="shared" si="93"/>
        <v>ENTRADA</v>
      </c>
      <c r="C340" t="str">
        <f t="shared" si="94"/>
        <v>NFSE</v>
      </c>
      <c r="D340" t="str">
        <f t="shared" si="98"/>
        <v>443</v>
      </c>
      <c r="E340" t="str">
        <f t="shared" si="92"/>
        <v>1</v>
      </c>
      <c r="F340" t="str">
        <f t="shared" si="95"/>
        <v>COM</v>
      </c>
      <c r="G340" t="str">
        <f t="shared" si="99"/>
        <v>PENSE FARMA 36 (10206)</v>
      </c>
      <c r="H340" t="s">
        <v>135</v>
      </c>
      <c r="I340" t="str">
        <f t="shared" si="96"/>
        <v>04/03/2026</v>
      </c>
      <c r="J340" t="str">
        <f t="shared" si="97"/>
        <v>03/03/2026</v>
      </c>
      <c r="K340">
        <v>46086</v>
      </c>
      <c r="N340">
        <v>303</v>
      </c>
      <c r="O340" t="s">
        <v>102</v>
      </c>
      <c r="Q340">
        <v>840.29</v>
      </c>
      <c r="R340" t="str">
        <f>"PENSE FARMA 43 (10208)"</f>
        <v>PENSE FARMA 43 (10208)</v>
      </c>
      <c r="S340" t="s">
        <v>103</v>
      </c>
      <c r="T340">
        <v>30036</v>
      </c>
      <c r="U340">
        <v>33971</v>
      </c>
      <c r="V340" t="s">
        <v>110</v>
      </c>
    </row>
    <row r="341" spans="1:22">
      <c r="A341" t="str">
        <f t="shared" si="86"/>
        <v>05/03/2026</v>
      </c>
      <c r="B341" t="str">
        <f t="shared" si="93"/>
        <v>ENTRADA</v>
      </c>
      <c r="C341" t="str">
        <f t="shared" si="94"/>
        <v>NFSE</v>
      </c>
      <c r="D341" t="str">
        <f t="shared" si="98"/>
        <v>443</v>
      </c>
      <c r="E341" t="str">
        <f t="shared" si="92"/>
        <v>1</v>
      </c>
      <c r="F341" t="str">
        <f t="shared" si="95"/>
        <v>COM</v>
      </c>
      <c r="G341" t="str">
        <f t="shared" si="99"/>
        <v>PENSE FARMA 36 (10206)</v>
      </c>
      <c r="H341" t="s">
        <v>135</v>
      </c>
      <c r="I341" t="str">
        <f t="shared" si="96"/>
        <v>04/03/2026</v>
      </c>
      <c r="J341" t="str">
        <f t="shared" si="97"/>
        <v>03/03/2026</v>
      </c>
      <c r="K341">
        <v>46086</v>
      </c>
      <c r="N341">
        <v>303</v>
      </c>
      <c r="O341" t="s">
        <v>102</v>
      </c>
      <c r="Q341">
        <v>840.29</v>
      </c>
      <c r="R341" t="str">
        <f>"PENSE FARMA 59 (10211)"</f>
        <v>PENSE FARMA 59 (10211)</v>
      </c>
      <c r="S341" t="s">
        <v>103</v>
      </c>
      <c r="T341">
        <v>30036</v>
      </c>
      <c r="U341">
        <v>33971</v>
      </c>
      <c r="V341" t="s">
        <v>110</v>
      </c>
    </row>
    <row r="342" spans="1:22">
      <c r="A342" t="str">
        <f t="shared" si="86"/>
        <v>05/03/2026</v>
      </c>
      <c r="B342" t="str">
        <f t="shared" si="93"/>
        <v>ENTRADA</v>
      </c>
      <c r="C342" t="str">
        <f t="shared" si="94"/>
        <v>NFSE</v>
      </c>
      <c r="D342" t="str">
        <f t="shared" si="98"/>
        <v>443</v>
      </c>
      <c r="E342" t="str">
        <f t="shared" si="92"/>
        <v>1</v>
      </c>
      <c r="F342" t="str">
        <f t="shared" si="95"/>
        <v>COM</v>
      </c>
      <c r="G342" t="str">
        <f t="shared" si="99"/>
        <v>PENSE FARMA 36 (10206)</v>
      </c>
      <c r="H342" t="s">
        <v>135</v>
      </c>
      <c r="I342" t="str">
        <f t="shared" si="96"/>
        <v>04/03/2026</v>
      </c>
      <c r="J342" t="str">
        <f t="shared" si="97"/>
        <v>03/03/2026</v>
      </c>
      <c r="K342">
        <v>46086</v>
      </c>
      <c r="N342">
        <v>303</v>
      </c>
      <c r="O342" t="s">
        <v>102</v>
      </c>
      <c r="Q342">
        <v>866.65</v>
      </c>
      <c r="R342" t="str">
        <f>"PENSE FARMA DARK STORE 361 (10212)"</f>
        <v>PENSE FARMA DARK STORE 361 (10212)</v>
      </c>
      <c r="S342" t="s">
        <v>103</v>
      </c>
      <c r="T342">
        <v>30036</v>
      </c>
      <c r="U342">
        <v>33971</v>
      </c>
      <c r="V342" t="s">
        <v>110</v>
      </c>
    </row>
    <row r="343" spans="1:22">
      <c r="A343" t="str">
        <f t="shared" si="86"/>
        <v>05/03/2026</v>
      </c>
      <c r="B343" t="str">
        <f t="shared" si="93"/>
        <v>ENTRADA</v>
      </c>
      <c r="C343" t="str">
        <f t="shared" si="94"/>
        <v>NFSE</v>
      </c>
      <c r="D343" t="str">
        <f>"444"</f>
        <v>444</v>
      </c>
      <c r="E343" t="str">
        <f t="shared" si="92"/>
        <v>1</v>
      </c>
      <c r="F343" t="str">
        <f t="shared" si="95"/>
        <v>COM</v>
      </c>
      <c r="G343" t="str">
        <f>"PENSE FARMA 27 (10204)"</f>
        <v>PENSE FARMA 27 (10204)</v>
      </c>
      <c r="H343" t="str">
        <f>"Serv.Prest. 23/02/2026 a 01/03/2026 - RPS: 2372 - NFSe: 444"</f>
        <v>Serv.Prest. 23/02/2026 a 01/03/2026 - RPS: 2372 - NFSe: 444</v>
      </c>
      <c r="I343" t="str">
        <f t="shared" si="96"/>
        <v>04/03/2026</v>
      </c>
      <c r="J343" t="str">
        <f t="shared" si="97"/>
        <v>03/03/2026</v>
      </c>
      <c r="K343" t="str">
        <f>("05/03/2026")</f>
        <v>05/03/2026</v>
      </c>
      <c r="L343">
        <v>3272.5</v>
      </c>
      <c r="M343">
        <v>3272.5</v>
      </c>
      <c r="N343">
        <v>303</v>
      </c>
      <c r="O343" t="str">
        <f>"RECEITAS COM ENTREGAS"</f>
        <v>RECEITAS COM ENTREGAS</v>
      </c>
      <c r="P343">
        <v>3272.5</v>
      </c>
      <c r="S343" t="str">
        <f>"RECEITAS COM ENTREGAS (303)"</f>
        <v>RECEITAS COM ENTREGAS (303)</v>
      </c>
      <c r="T343">
        <v>30037</v>
      </c>
      <c r="U343">
        <v>33976</v>
      </c>
      <c r="V343" t="s">
        <v>110</v>
      </c>
    </row>
    <row r="344" spans="1:22">
      <c r="A344" t="str">
        <f t="shared" si="86"/>
        <v>05/03/2026</v>
      </c>
      <c r="B344" t="str">
        <f t="shared" si="93"/>
        <v>ENTRADA</v>
      </c>
      <c r="C344" t="str">
        <f t="shared" si="94"/>
        <v>NFSE</v>
      </c>
      <c r="D344" t="str">
        <f>"444"</f>
        <v>444</v>
      </c>
      <c r="E344" t="str">
        <f t="shared" si="92"/>
        <v>1</v>
      </c>
      <c r="F344" t="str">
        <f t="shared" si="95"/>
        <v>COM</v>
      </c>
      <c r="G344" t="str">
        <f>"PENSE FARMA 27 (10204)"</f>
        <v>PENSE FARMA 27 (10204)</v>
      </c>
      <c r="H344" t="s">
        <v>136</v>
      </c>
      <c r="I344" t="str">
        <f t="shared" si="96"/>
        <v>04/03/2026</v>
      </c>
      <c r="J344" t="str">
        <f t="shared" si="97"/>
        <v>03/03/2026</v>
      </c>
      <c r="K344">
        <v>46086</v>
      </c>
      <c r="N344">
        <v>303</v>
      </c>
      <c r="O344" t="s">
        <v>102</v>
      </c>
      <c r="Q344">
        <v>1088.76</v>
      </c>
      <c r="R344" t="str">
        <f>"PENSE FARMA 05 (10200)"</f>
        <v>PENSE FARMA 05 (10200)</v>
      </c>
      <c r="S344" t="s">
        <v>103</v>
      </c>
      <c r="T344">
        <v>30037</v>
      </c>
      <c r="U344">
        <v>33976</v>
      </c>
      <c r="V344" t="s">
        <v>110</v>
      </c>
    </row>
    <row r="345" spans="1:22">
      <c r="A345" t="str">
        <f t="shared" si="86"/>
        <v>05/03/2026</v>
      </c>
      <c r="B345" t="str">
        <f t="shared" si="93"/>
        <v>ENTRADA</v>
      </c>
      <c r="C345" t="str">
        <f t="shared" si="94"/>
        <v>NFSE</v>
      </c>
      <c r="D345" t="str">
        <f>"444"</f>
        <v>444</v>
      </c>
      <c r="E345" t="str">
        <f t="shared" ref="E345:E376" si="100">"1"</f>
        <v>1</v>
      </c>
      <c r="F345" t="str">
        <f t="shared" si="95"/>
        <v>COM</v>
      </c>
      <c r="G345" t="str">
        <f>"PENSE FARMA 27 (10204)"</f>
        <v>PENSE FARMA 27 (10204)</v>
      </c>
      <c r="H345" t="s">
        <v>136</v>
      </c>
      <c r="I345" t="str">
        <f t="shared" si="96"/>
        <v>04/03/2026</v>
      </c>
      <c r="J345" t="str">
        <f t="shared" si="97"/>
        <v>03/03/2026</v>
      </c>
      <c r="K345">
        <v>46086</v>
      </c>
      <c r="N345">
        <v>303</v>
      </c>
      <c r="O345" t="s">
        <v>102</v>
      </c>
      <c r="Q345">
        <v>1088.76</v>
      </c>
      <c r="R345" t="str">
        <f>"PENSE FARMA 13 (10202)"</f>
        <v>PENSE FARMA 13 (10202)</v>
      </c>
      <c r="S345" t="s">
        <v>103</v>
      </c>
      <c r="T345">
        <v>30037</v>
      </c>
      <c r="U345">
        <v>33976</v>
      </c>
      <c r="V345" t="s">
        <v>110</v>
      </c>
    </row>
    <row r="346" spans="1:22">
      <c r="A346" t="str">
        <f t="shared" si="86"/>
        <v>05/03/2026</v>
      </c>
      <c r="B346" t="str">
        <f t="shared" si="93"/>
        <v>ENTRADA</v>
      </c>
      <c r="C346" t="str">
        <f t="shared" si="94"/>
        <v>NFSE</v>
      </c>
      <c r="D346" t="str">
        <f>"444"</f>
        <v>444</v>
      </c>
      <c r="E346" t="str">
        <f t="shared" si="100"/>
        <v>1</v>
      </c>
      <c r="F346" t="str">
        <f t="shared" si="95"/>
        <v>COM</v>
      </c>
      <c r="G346" t="str">
        <f>"PENSE FARMA 27 (10204)"</f>
        <v>PENSE FARMA 27 (10204)</v>
      </c>
      <c r="H346" t="s">
        <v>136</v>
      </c>
      <c r="I346" t="str">
        <f t="shared" si="96"/>
        <v>04/03/2026</v>
      </c>
      <c r="J346" t="str">
        <f t="shared" si="97"/>
        <v>03/03/2026</v>
      </c>
      <c r="K346">
        <v>46086</v>
      </c>
      <c r="N346">
        <v>303</v>
      </c>
      <c r="O346" t="s">
        <v>102</v>
      </c>
      <c r="Q346">
        <v>1094.98</v>
      </c>
      <c r="R346" t="str">
        <f>"PENSE FARMA 27 (10204)"</f>
        <v>PENSE FARMA 27 (10204)</v>
      </c>
      <c r="S346" t="s">
        <v>103</v>
      </c>
      <c r="T346">
        <v>30037</v>
      </c>
      <c r="U346">
        <v>33976</v>
      </c>
      <c r="V346" t="s">
        <v>110</v>
      </c>
    </row>
    <row r="347" spans="1:22">
      <c r="A347" t="str">
        <f t="shared" si="86"/>
        <v>05/03/2026</v>
      </c>
      <c r="B347" t="str">
        <f t="shared" si="93"/>
        <v>ENTRADA</v>
      </c>
      <c r="C347" t="str">
        <f t="shared" si="94"/>
        <v>NFSE</v>
      </c>
      <c r="D347" t="str">
        <f>"445"</f>
        <v>445</v>
      </c>
      <c r="E347" t="str">
        <f t="shared" si="100"/>
        <v>1</v>
      </c>
      <c r="F347" t="str">
        <f t="shared" si="95"/>
        <v>COM</v>
      </c>
      <c r="G347" t="str">
        <f>"PENSE FARMA 31 (10205)"</f>
        <v>PENSE FARMA 31 (10205)</v>
      </c>
      <c r="H347" t="str">
        <f>"Serv.Prest. 23/02/2026 a 01/03/2026 - RPS: 2373 - NFSe: 445"</f>
        <v>Serv.Prest. 23/02/2026 a 01/03/2026 - RPS: 2373 - NFSe: 445</v>
      </c>
      <c r="I347" t="str">
        <f t="shared" si="96"/>
        <v>04/03/2026</v>
      </c>
      <c r="J347" t="str">
        <f t="shared" si="97"/>
        <v>03/03/2026</v>
      </c>
      <c r="K347" t="str">
        <f>("05/03/2026")</f>
        <v>05/03/2026</v>
      </c>
      <c r="L347">
        <v>3060.91</v>
      </c>
      <c r="M347">
        <v>3060.91</v>
      </c>
      <c r="N347">
        <v>303</v>
      </c>
      <c r="O347" t="str">
        <f>"RECEITAS COM ENTREGAS"</f>
        <v>RECEITAS COM ENTREGAS</v>
      </c>
      <c r="P347">
        <v>3060.91</v>
      </c>
      <c r="S347" t="str">
        <f>"RECEITAS COM ENTREGAS (303)"</f>
        <v>RECEITAS COM ENTREGAS (303)</v>
      </c>
      <c r="T347">
        <v>30038</v>
      </c>
      <c r="U347">
        <v>33980</v>
      </c>
      <c r="V347" t="s">
        <v>110</v>
      </c>
    </row>
    <row r="348" spans="1:22">
      <c r="A348" t="str">
        <f t="shared" si="86"/>
        <v>05/03/2026</v>
      </c>
      <c r="B348" t="str">
        <f t="shared" si="93"/>
        <v>ENTRADA</v>
      </c>
      <c r="C348" t="str">
        <f t="shared" si="94"/>
        <v>NFSE</v>
      </c>
      <c r="D348" t="str">
        <f>"445"</f>
        <v>445</v>
      </c>
      <c r="E348" t="str">
        <f t="shared" si="100"/>
        <v>1</v>
      </c>
      <c r="F348" t="str">
        <f t="shared" si="95"/>
        <v>COM</v>
      </c>
      <c r="G348" t="str">
        <f>"PENSE FARMA 31 (10205)"</f>
        <v>PENSE FARMA 31 (10205)</v>
      </c>
      <c r="H348" t="s">
        <v>137</v>
      </c>
      <c r="I348" t="str">
        <f t="shared" si="96"/>
        <v>04/03/2026</v>
      </c>
      <c r="J348" t="str">
        <f t="shared" si="97"/>
        <v>03/03/2026</v>
      </c>
      <c r="K348">
        <v>46086</v>
      </c>
      <c r="N348">
        <v>303</v>
      </c>
      <c r="O348" t="s">
        <v>102</v>
      </c>
      <c r="Q348">
        <v>764.61</v>
      </c>
      <c r="R348" t="str">
        <f>"PENSE FARMA 31 (10205)"</f>
        <v>PENSE FARMA 31 (10205)</v>
      </c>
      <c r="S348" t="s">
        <v>103</v>
      </c>
      <c r="T348">
        <v>30038</v>
      </c>
      <c r="U348">
        <v>33980</v>
      </c>
      <c r="V348" t="s">
        <v>110</v>
      </c>
    </row>
    <row r="349" spans="1:22">
      <c r="A349" t="str">
        <f t="shared" si="86"/>
        <v>05/03/2026</v>
      </c>
      <c r="B349" t="str">
        <f t="shared" si="93"/>
        <v>ENTRADA</v>
      </c>
      <c r="C349" t="str">
        <f t="shared" si="94"/>
        <v>NFSE</v>
      </c>
      <c r="D349" t="str">
        <f>"445"</f>
        <v>445</v>
      </c>
      <c r="E349" t="str">
        <f t="shared" si="100"/>
        <v>1</v>
      </c>
      <c r="F349" t="str">
        <f t="shared" si="95"/>
        <v>COM</v>
      </c>
      <c r="G349" t="str">
        <f>"PENSE FARMA 31 (10205)"</f>
        <v>PENSE FARMA 31 (10205)</v>
      </c>
      <c r="H349" t="s">
        <v>137</v>
      </c>
      <c r="I349" t="str">
        <f t="shared" si="96"/>
        <v>04/03/2026</v>
      </c>
      <c r="J349" t="str">
        <f t="shared" si="97"/>
        <v>03/03/2026</v>
      </c>
      <c r="K349">
        <v>46086</v>
      </c>
      <c r="N349">
        <v>303</v>
      </c>
      <c r="O349" t="s">
        <v>102</v>
      </c>
      <c r="Q349">
        <v>764.62</v>
      </c>
      <c r="R349" t="str">
        <f>"PENSE FARMA 16 (10221)"</f>
        <v>PENSE FARMA 16 (10221)</v>
      </c>
      <c r="S349" t="s">
        <v>103</v>
      </c>
      <c r="T349">
        <v>30038</v>
      </c>
      <c r="U349">
        <v>33980</v>
      </c>
      <c r="V349" t="s">
        <v>110</v>
      </c>
    </row>
    <row r="350" spans="1:22">
      <c r="A350" t="str">
        <f t="shared" si="86"/>
        <v>05/03/2026</v>
      </c>
      <c r="B350" t="str">
        <f t="shared" si="93"/>
        <v>ENTRADA</v>
      </c>
      <c r="C350" t="str">
        <f t="shared" si="94"/>
        <v>NFSE</v>
      </c>
      <c r="D350" t="str">
        <f>"445"</f>
        <v>445</v>
      </c>
      <c r="E350" t="str">
        <f t="shared" si="100"/>
        <v>1</v>
      </c>
      <c r="F350" t="str">
        <f t="shared" si="95"/>
        <v>COM</v>
      </c>
      <c r="G350" t="str">
        <f>"PENSE FARMA 31 (10205)"</f>
        <v>PENSE FARMA 31 (10205)</v>
      </c>
      <c r="H350" t="s">
        <v>137</v>
      </c>
      <c r="I350" t="str">
        <f t="shared" si="96"/>
        <v>04/03/2026</v>
      </c>
      <c r="J350" t="str">
        <f t="shared" si="97"/>
        <v>03/03/2026</v>
      </c>
      <c r="K350">
        <v>46086</v>
      </c>
      <c r="N350">
        <v>303</v>
      </c>
      <c r="O350" t="s">
        <v>102</v>
      </c>
      <c r="Q350">
        <v>764.62</v>
      </c>
      <c r="R350" t="str">
        <f>"PENSE FARMA 17 (10222)"</f>
        <v>PENSE FARMA 17 (10222)</v>
      </c>
      <c r="S350" t="s">
        <v>103</v>
      </c>
      <c r="T350">
        <v>30038</v>
      </c>
      <c r="U350">
        <v>33980</v>
      </c>
      <c r="V350" t="s">
        <v>110</v>
      </c>
    </row>
    <row r="351" spans="1:22">
      <c r="A351" t="str">
        <f t="shared" si="86"/>
        <v>05/03/2026</v>
      </c>
      <c r="B351" t="str">
        <f t="shared" si="93"/>
        <v>ENTRADA</v>
      </c>
      <c r="C351" t="str">
        <f t="shared" si="94"/>
        <v>NFSE</v>
      </c>
      <c r="D351" t="str">
        <f>"445"</f>
        <v>445</v>
      </c>
      <c r="E351" t="str">
        <f t="shared" si="100"/>
        <v>1</v>
      </c>
      <c r="F351" t="str">
        <f t="shared" si="95"/>
        <v>COM</v>
      </c>
      <c r="G351" t="str">
        <f>"PENSE FARMA 31 (10205)"</f>
        <v>PENSE FARMA 31 (10205)</v>
      </c>
      <c r="H351" t="s">
        <v>137</v>
      </c>
      <c r="I351" t="str">
        <f t="shared" si="96"/>
        <v>04/03/2026</v>
      </c>
      <c r="J351" t="str">
        <f t="shared" si="97"/>
        <v>03/03/2026</v>
      </c>
      <c r="K351">
        <v>46086</v>
      </c>
      <c r="N351">
        <v>303</v>
      </c>
      <c r="O351" t="s">
        <v>102</v>
      </c>
      <c r="Q351">
        <v>767.06</v>
      </c>
      <c r="R351" t="str">
        <f>"PENSE FARMA 62 (10274)"</f>
        <v>PENSE FARMA 62 (10274)</v>
      </c>
      <c r="S351" t="s">
        <v>103</v>
      </c>
      <c r="T351">
        <v>30038</v>
      </c>
      <c r="U351">
        <v>33980</v>
      </c>
      <c r="V351" t="s">
        <v>110</v>
      </c>
    </row>
    <row r="352" spans="1:22">
      <c r="A352" t="str">
        <f t="shared" ref="A352:A415" si="101">("05/03/2026")</f>
        <v>05/03/2026</v>
      </c>
      <c r="B352" t="str">
        <f t="shared" si="93"/>
        <v>ENTRADA</v>
      </c>
      <c r="C352" t="str">
        <f t="shared" si="94"/>
        <v>NFSE</v>
      </c>
      <c r="D352" t="str">
        <f t="shared" ref="D352:D357" si="102">"446"</f>
        <v>446</v>
      </c>
      <c r="E352" t="str">
        <f t="shared" si="100"/>
        <v>1</v>
      </c>
      <c r="F352" t="str">
        <f t="shared" si="95"/>
        <v>COM</v>
      </c>
      <c r="G352" t="str">
        <f t="shared" ref="G352:G357" si="103">"PENSE FARMA 08 (10217)"</f>
        <v>PENSE FARMA 08 (10217)</v>
      </c>
      <c r="H352" t="str">
        <f>"Serv.Prest. 23/02/2026 a 01/03/2026 - RPS: 2374 - NFSe: 446"</f>
        <v>Serv.Prest. 23/02/2026 a 01/03/2026 - RPS: 2374 - NFSe: 446</v>
      </c>
      <c r="I352" t="str">
        <f t="shared" si="96"/>
        <v>04/03/2026</v>
      </c>
      <c r="J352" t="str">
        <f t="shared" si="97"/>
        <v>03/03/2026</v>
      </c>
      <c r="K352" t="str">
        <f>("05/03/2026")</f>
        <v>05/03/2026</v>
      </c>
      <c r="L352">
        <v>3340.5</v>
      </c>
      <c r="M352">
        <v>3340.5</v>
      </c>
      <c r="N352">
        <v>303</v>
      </c>
      <c r="O352" t="str">
        <f>"RECEITAS COM ENTREGAS"</f>
        <v>RECEITAS COM ENTREGAS</v>
      </c>
      <c r="P352">
        <v>3340.5</v>
      </c>
      <c r="S352" t="str">
        <f>"RECEITAS COM ENTREGAS (303)"</f>
        <v>RECEITAS COM ENTREGAS (303)</v>
      </c>
      <c r="T352">
        <v>30039</v>
      </c>
      <c r="U352">
        <v>33984</v>
      </c>
      <c r="V352" t="s">
        <v>110</v>
      </c>
    </row>
    <row r="353" spans="1:22">
      <c r="A353" t="str">
        <f t="shared" si="101"/>
        <v>05/03/2026</v>
      </c>
      <c r="B353" t="str">
        <f t="shared" si="93"/>
        <v>ENTRADA</v>
      </c>
      <c r="C353" t="str">
        <f t="shared" si="94"/>
        <v>NFSE</v>
      </c>
      <c r="D353" t="str">
        <f t="shared" si="102"/>
        <v>446</v>
      </c>
      <c r="E353" t="str">
        <f t="shared" si="100"/>
        <v>1</v>
      </c>
      <c r="F353" t="str">
        <f t="shared" si="95"/>
        <v>COM</v>
      </c>
      <c r="G353" t="str">
        <f t="shared" si="103"/>
        <v>PENSE FARMA 08 (10217)</v>
      </c>
      <c r="H353" t="s">
        <v>138</v>
      </c>
      <c r="I353" t="str">
        <f t="shared" si="96"/>
        <v>04/03/2026</v>
      </c>
      <c r="J353" t="str">
        <f t="shared" si="97"/>
        <v>03/03/2026</v>
      </c>
      <c r="K353">
        <v>46086</v>
      </c>
      <c r="N353">
        <v>303</v>
      </c>
      <c r="O353" t="s">
        <v>102</v>
      </c>
      <c r="Q353">
        <v>668.1</v>
      </c>
      <c r="R353" t="str">
        <f>"PENSE FARMA 08 (10217)"</f>
        <v>PENSE FARMA 08 (10217)</v>
      </c>
      <c r="S353" t="s">
        <v>103</v>
      </c>
      <c r="T353">
        <v>30039</v>
      </c>
      <c r="U353">
        <v>33984</v>
      </c>
      <c r="V353" t="s">
        <v>110</v>
      </c>
    </row>
    <row r="354" spans="1:22">
      <c r="A354" t="str">
        <f t="shared" si="101"/>
        <v>05/03/2026</v>
      </c>
      <c r="B354" t="str">
        <f t="shared" ref="B354:B384" si="104">"ENTRADA"</f>
        <v>ENTRADA</v>
      </c>
      <c r="C354" t="str">
        <f t="shared" ref="C354:C384" si="105">"NFSE"</f>
        <v>NFSE</v>
      </c>
      <c r="D354" t="str">
        <f t="shared" si="102"/>
        <v>446</v>
      </c>
      <c r="E354" t="str">
        <f t="shared" si="100"/>
        <v>1</v>
      </c>
      <c r="F354" t="str">
        <f t="shared" si="95"/>
        <v>COM</v>
      </c>
      <c r="G354" t="str">
        <f t="shared" si="103"/>
        <v>PENSE FARMA 08 (10217)</v>
      </c>
      <c r="H354" t="s">
        <v>138</v>
      </c>
      <c r="I354" t="str">
        <f t="shared" ref="I354:I384" si="106">("04/03/2026")</f>
        <v>04/03/2026</v>
      </c>
      <c r="J354" t="str">
        <f t="shared" si="97"/>
        <v>03/03/2026</v>
      </c>
      <c r="K354">
        <v>46086</v>
      </c>
      <c r="N354">
        <v>303</v>
      </c>
      <c r="O354" t="s">
        <v>102</v>
      </c>
      <c r="Q354">
        <v>668.1</v>
      </c>
      <c r="R354" t="str">
        <f>"PENSE FARMA 11 (10220)"</f>
        <v>PENSE FARMA 11 (10220)</v>
      </c>
      <c r="S354" t="s">
        <v>103</v>
      </c>
      <c r="T354">
        <v>30039</v>
      </c>
      <c r="U354">
        <v>33984</v>
      </c>
      <c r="V354" t="s">
        <v>110</v>
      </c>
    </row>
    <row r="355" spans="1:22">
      <c r="A355" t="str">
        <f t="shared" si="101"/>
        <v>05/03/2026</v>
      </c>
      <c r="B355" t="str">
        <f t="shared" si="104"/>
        <v>ENTRADA</v>
      </c>
      <c r="C355" t="str">
        <f t="shared" si="105"/>
        <v>NFSE</v>
      </c>
      <c r="D355" t="str">
        <f t="shared" si="102"/>
        <v>446</v>
      </c>
      <c r="E355" t="str">
        <f t="shared" si="100"/>
        <v>1</v>
      </c>
      <c r="F355" t="str">
        <f t="shared" si="95"/>
        <v>COM</v>
      </c>
      <c r="G355" t="str">
        <f t="shared" si="103"/>
        <v>PENSE FARMA 08 (10217)</v>
      </c>
      <c r="H355" t="s">
        <v>138</v>
      </c>
      <c r="I355" t="str">
        <f t="shared" si="106"/>
        <v>04/03/2026</v>
      </c>
      <c r="J355" t="str">
        <f t="shared" si="97"/>
        <v>03/03/2026</v>
      </c>
      <c r="K355">
        <v>46086</v>
      </c>
      <c r="N355">
        <v>303</v>
      </c>
      <c r="O355" t="s">
        <v>102</v>
      </c>
      <c r="Q355">
        <v>668.1</v>
      </c>
      <c r="R355" t="str">
        <f>"PENSE FARMA 41 (10229)"</f>
        <v>PENSE FARMA 41 (10229)</v>
      </c>
      <c r="S355" t="s">
        <v>103</v>
      </c>
      <c r="T355">
        <v>30039</v>
      </c>
      <c r="U355">
        <v>33984</v>
      </c>
      <c r="V355" t="s">
        <v>110</v>
      </c>
    </row>
    <row r="356" spans="1:22">
      <c r="A356" t="str">
        <f t="shared" si="101"/>
        <v>05/03/2026</v>
      </c>
      <c r="B356" t="str">
        <f t="shared" si="104"/>
        <v>ENTRADA</v>
      </c>
      <c r="C356" t="str">
        <f t="shared" si="105"/>
        <v>NFSE</v>
      </c>
      <c r="D356" t="str">
        <f t="shared" si="102"/>
        <v>446</v>
      </c>
      <c r="E356" t="str">
        <f t="shared" si="100"/>
        <v>1</v>
      </c>
      <c r="F356" t="str">
        <f t="shared" si="95"/>
        <v>COM</v>
      </c>
      <c r="G356" t="str">
        <f t="shared" si="103"/>
        <v>PENSE FARMA 08 (10217)</v>
      </c>
      <c r="H356" t="s">
        <v>138</v>
      </c>
      <c r="I356" t="str">
        <f t="shared" si="106"/>
        <v>04/03/2026</v>
      </c>
      <c r="J356" t="str">
        <f t="shared" si="97"/>
        <v>03/03/2026</v>
      </c>
      <c r="K356">
        <v>46086</v>
      </c>
      <c r="N356">
        <v>303</v>
      </c>
      <c r="O356" t="s">
        <v>102</v>
      </c>
      <c r="Q356">
        <v>668.1</v>
      </c>
      <c r="R356" t="str">
        <f>"PENSE FARMA 42 (10230)"</f>
        <v>PENSE FARMA 42 (10230)</v>
      </c>
      <c r="S356" t="s">
        <v>103</v>
      </c>
      <c r="T356">
        <v>30039</v>
      </c>
      <c r="U356">
        <v>33984</v>
      </c>
      <c r="V356" t="s">
        <v>110</v>
      </c>
    </row>
    <row r="357" spans="1:22">
      <c r="A357" t="str">
        <f t="shared" si="101"/>
        <v>05/03/2026</v>
      </c>
      <c r="B357" t="str">
        <f t="shared" si="104"/>
        <v>ENTRADA</v>
      </c>
      <c r="C357" t="str">
        <f t="shared" si="105"/>
        <v>NFSE</v>
      </c>
      <c r="D357" t="str">
        <f t="shared" si="102"/>
        <v>446</v>
      </c>
      <c r="E357" t="str">
        <f t="shared" si="100"/>
        <v>1</v>
      </c>
      <c r="F357" t="str">
        <f t="shared" si="95"/>
        <v>COM</v>
      </c>
      <c r="G357" t="str">
        <f t="shared" si="103"/>
        <v>PENSE FARMA 08 (10217)</v>
      </c>
      <c r="H357" t="s">
        <v>138</v>
      </c>
      <c r="I357" t="str">
        <f t="shared" si="106"/>
        <v>04/03/2026</v>
      </c>
      <c r="J357" t="str">
        <f t="shared" si="97"/>
        <v>03/03/2026</v>
      </c>
      <c r="K357">
        <v>46086</v>
      </c>
      <c r="N357">
        <v>303</v>
      </c>
      <c r="O357" t="s">
        <v>102</v>
      </c>
      <c r="Q357">
        <v>668.1</v>
      </c>
      <c r="R357" t="str">
        <f>"PENSE FARMA 52 (10236)"</f>
        <v>PENSE FARMA 52 (10236)</v>
      </c>
      <c r="S357" t="s">
        <v>103</v>
      </c>
      <c r="T357">
        <v>30039</v>
      </c>
      <c r="U357">
        <v>33984</v>
      </c>
      <c r="V357" t="s">
        <v>110</v>
      </c>
    </row>
    <row r="358" spans="1:22">
      <c r="A358" t="str">
        <f t="shared" si="101"/>
        <v>05/03/2026</v>
      </c>
      <c r="B358" t="str">
        <f t="shared" si="104"/>
        <v>ENTRADA</v>
      </c>
      <c r="C358" t="str">
        <f t="shared" si="105"/>
        <v>NFSE</v>
      </c>
      <c r="D358" t="str">
        <f>"447"</f>
        <v>447</v>
      </c>
      <c r="E358" t="str">
        <f t="shared" si="100"/>
        <v>1</v>
      </c>
      <c r="F358" t="str">
        <f t="shared" si="95"/>
        <v>COM</v>
      </c>
      <c r="G358" t="str">
        <f>"PENSE FARMA 49 (10234)"</f>
        <v>PENSE FARMA 49 (10234)</v>
      </c>
      <c r="H358" t="str">
        <f>"Serv.Prest. 23/02/2026 a 01/03/2026 - RPS: 2375 - NFSe: 447"</f>
        <v>Serv.Prest. 23/02/2026 a 01/03/2026 - RPS: 2375 - NFSe: 447</v>
      </c>
      <c r="I358" t="str">
        <f t="shared" si="106"/>
        <v>04/03/2026</v>
      </c>
      <c r="J358" t="str">
        <f t="shared" si="97"/>
        <v>03/03/2026</v>
      </c>
      <c r="K358" t="str">
        <f>("05/03/2026")</f>
        <v>05/03/2026</v>
      </c>
      <c r="L358">
        <v>1209.42</v>
      </c>
      <c r="M358">
        <v>1209.42</v>
      </c>
      <c r="N358">
        <v>303</v>
      </c>
      <c r="O358" t="str">
        <f>"RECEITAS COM ENTREGAS"</f>
        <v>RECEITAS COM ENTREGAS</v>
      </c>
      <c r="P358">
        <v>1209.42</v>
      </c>
      <c r="S358" t="str">
        <f>"RECEITAS COM ENTREGAS (303)"</f>
        <v>RECEITAS COM ENTREGAS (303)</v>
      </c>
      <c r="T358">
        <v>30040</v>
      </c>
      <c r="U358">
        <v>33988</v>
      </c>
      <c r="V358" t="s">
        <v>110</v>
      </c>
    </row>
    <row r="359" spans="1:22">
      <c r="A359" t="str">
        <f t="shared" si="101"/>
        <v>05/03/2026</v>
      </c>
      <c r="B359" t="str">
        <f t="shared" si="104"/>
        <v>ENTRADA</v>
      </c>
      <c r="C359" t="str">
        <f t="shared" si="105"/>
        <v>NFSE</v>
      </c>
      <c r="D359" t="str">
        <f>"447"</f>
        <v>447</v>
      </c>
      <c r="E359" t="str">
        <f t="shared" si="100"/>
        <v>1</v>
      </c>
      <c r="F359" t="str">
        <f t="shared" si="95"/>
        <v>COM</v>
      </c>
      <c r="G359" t="str">
        <f>"PENSE FARMA 49 (10234)"</f>
        <v>PENSE FARMA 49 (10234)</v>
      </c>
      <c r="H359" t="s">
        <v>139</v>
      </c>
      <c r="I359" t="str">
        <f t="shared" si="106"/>
        <v>04/03/2026</v>
      </c>
      <c r="J359" t="str">
        <f t="shared" si="97"/>
        <v>03/03/2026</v>
      </c>
      <c r="K359">
        <v>46086</v>
      </c>
      <c r="N359">
        <v>303</v>
      </c>
      <c r="O359" t="s">
        <v>102</v>
      </c>
      <c r="Q359">
        <v>1209.42</v>
      </c>
      <c r="R359" t="str">
        <f>"PENSE FARMA 49 (10234)"</f>
        <v>PENSE FARMA 49 (10234)</v>
      </c>
      <c r="S359" t="s">
        <v>103</v>
      </c>
      <c r="T359">
        <v>30040</v>
      </c>
      <c r="U359">
        <v>33988</v>
      </c>
      <c r="V359" t="s">
        <v>110</v>
      </c>
    </row>
    <row r="360" spans="1:22">
      <c r="A360" t="str">
        <f t="shared" si="101"/>
        <v>05/03/2026</v>
      </c>
      <c r="B360" t="str">
        <f t="shared" si="104"/>
        <v>ENTRADA</v>
      </c>
      <c r="C360" t="str">
        <f t="shared" si="105"/>
        <v>NFSE</v>
      </c>
      <c r="D360" t="str">
        <f>"448"</f>
        <v>448</v>
      </c>
      <c r="E360" t="str">
        <f t="shared" si="100"/>
        <v>1</v>
      </c>
      <c r="F360" t="str">
        <f t="shared" si="95"/>
        <v>COM</v>
      </c>
      <c r="G360" t="str">
        <f>"PENSE FARMA 35 (10227)"</f>
        <v>PENSE FARMA 35 (10227)</v>
      </c>
      <c r="H360" t="str">
        <f>"Serv.Prest. 23/02/2026 a 01/03/2026 - RPS: 2376 - NFSe: 448"</f>
        <v>Serv.Prest. 23/02/2026 a 01/03/2026 - RPS: 2376 - NFSe: 448</v>
      </c>
      <c r="I360" t="str">
        <f t="shared" si="106"/>
        <v>04/03/2026</v>
      </c>
      <c r="J360" t="str">
        <f t="shared" si="97"/>
        <v>03/03/2026</v>
      </c>
      <c r="K360" t="str">
        <f>("05/03/2026")</f>
        <v>05/03/2026</v>
      </c>
      <c r="L360">
        <v>971.55</v>
      </c>
      <c r="M360">
        <v>971.55</v>
      </c>
      <c r="N360">
        <v>303</v>
      </c>
      <c r="O360" t="str">
        <f>"RECEITAS COM ENTREGAS"</f>
        <v>RECEITAS COM ENTREGAS</v>
      </c>
      <c r="P360">
        <v>971.55</v>
      </c>
      <c r="S360" t="str">
        <f>"RECEITAS COM ENTREGAS (303)"</f>
        <v>RECEITAS COM ENTREGAS (303)</v>
      </c>
      <c r="T360">
        <v>30041</v>
      </c>
      <c r="U360">
        <v>33990</v>
      </c>
      <c r="V360" t="s">
        <v>110</v>
      </c>
    </row>
    <row r="361" spans="1:22">
      <c r="A361" t="str">
        <f t="shared" si="101"/>
        <v>05/03/2026</v>
      </c>
      <c r="B361" t="str">
        <f t="shared" si="104"/>
        <v>ENTRADA</v>
      </c>
      <c r="C361" t="str">
        <f t="shared" si="105"/>
        <v>NFSE</v>
      </c>
      <c r="D361" t="str">
        <f>"448"</f>
        <v>448</v>
      </c>
      <c r="E361" t="str">
        <f t="shared" si="100"/>
        <v>1</v>
      </c>
      <c r="F361" t="str">
        <f t="shared" si="95"/>
        <v>COM</v>
      </c>
      <c r="G361" t="str">
        <f>"PENSE FARMA 35 (10227)"</f>
        <v>PENSE FARMA 35 (10227)</v>
      </c>
      <c r="H361" t="s">
        <v>140</v>
      </c>
      <c r="I361" t="str">
        <f t="shared" si="106"/>
        <v>04/03/2026</v>
      </c>
      <c r="J361" t="str">
        <f t="shared" si="97"/>
        <v>03/03/2026</v>
      </c>
      <c r="K361">
        <v>46086</v>
      </c>
      <c r="N361">
        <v>303</v>
      </c>
      <c r="O361" t="s">
        <v>102</v>
      </c>
      <c r="Q361">
        <v>971.55</v>
      </c>
      <c r="R361" t="str">
        <f>"PENSE FARMA 35 (10227)"</f>
        <v>PENSE FARMA 35 (10227)</v>
      </c>
      <c r="S361" t="s">
        <v>103</v>
      </c>
      <c r="T361">
        <v>30041</v>
      </c>
      <c r="U361">
        <v>33990</v>
      </c>
      <c r="V361" t="s">
        <v>110</v>
      </c>
    </row>
    <row r="362" spans="1:22">
      <c r="A362" t="str">
        <f t="shared" si="101"/>
        <v>05/03/2026</v>
      </c>
      <c r="B362" t="str">
        <f t="shared" si="104"/>
        <v>ENTRADA</v>
      </c>
      <c r="C362" t="str">
        <f t="shared" si="105"/>
        <v>NFSE</v>
      </c>
      <c r="D362" t="str">
        <f>"449"</f>
        <v>449</v>
      </c>
      <c r="E362" t="str">
        <f t="shared" si="100"/>
        <v>1</v>
      </c>
      <c r="F362" t="str">
        <f t="shared" si="95"/>
        <v>COM</v>
      </c>
      <c r="G362" t="str">
        <f>"PENSE FARMA 39 (10228)"</f>
        <v>PENSE FARMA 39 (10228)</v>
      </c>
      <c r="H362" t="str">
        <f>"Serv.Prest. 23/02/2026 a 01/03/2026 - RPS: 2377 - NFSe: 449"</f>
        <v>Serv.Prest. 23/02/2026 a 01/03/2026 - RPS: 2377 - NFSe: 449</v>
      </c>
      <c r="I362" t="str">
        <f t="shared" si="106"/>
        <v>04/03/2026</v>
      </c>
      <c r="J362" t="str">
        <f t="shared" si="97"/>
        <v>03/03/2026</v>
      </c>
      <c r="K362" t="str">
        <f>("05/03/2026")</f>
        <v>05/03/2026</v>
      </c>
      <c r="L362">
        <v>3399.85</v>
      </c>
      <c r="M362">
        <v>3399.85</v>
      </c>
      <c r="N362">
        <v>303</v>
      </c>
      <c r="O362" t="str">
        <f>"RECEITAS COM ENTREGAS"</f>
        <v>RECEITAS COM ENTREGAS</v>
      </c>
      <c r="P362">
        <v>3399.85</v>
      </c>
      <c r="S362" t="str">
        <f>"RECEITAS COM ENTREGAS (303)"</f>
        <v>RECEITAS COM ENTREGAS (303)</v>
      </c>
      <c r="T362">
        <v>30042</v>
      </c>
      <c r="U362">
        <v>33992</v>
      </c>
      <c r="V362" t="s">
        <v>110</v>
      </c>
    </row>
    <row r="363" spans="1:22">
      <c r="A363" t="str">
        <f t="shared" si="101"/>
        <v>05/03/2026</v>
      </c>
      <c r="B363" t="str">
        <f t="shared" si="104"/>
        <v>ENTRADA</v>
      </c>
      <c r="C363" t="str">
        <f t="shared" si="105"/>
        <v>NFSE</v>
      </c>
      <c r="D363" t="str">
        <f>"449"</f>
        <v>449</v>
      </c>
      <c r="E363" t="str">
        <f t="shared" si="100"/>
        <v>1</v>
      </c>
      <c r="F363" t="str">
        <f t="shared" si="95"/>
        <v>COM</v>
      </c>
      <c r="G363" t="str">
        <f>"PENSE FARMA 39 (10228)"</f>
        <v>PENSE FARMA 39 (10228)</v>
      </c>
      <c r="H363" t="s">
        <v>141</v>
      </c>
      <c r="I363" t="str">
        <f t="shared" si="106"/>
        <v>04/03/2026</v>
      </c>
      <c r="J363" t="str">
        <f t="shared" ref="J363:J384" si="107">("03/03/2026")</f>
        <v>03/03/2026</v>
      </c>
      <c r="K363">
        <v>46086</v>
      </c>
      <c r="N363">
        <v>303</v>
      </c>
      <c r="O363" t="s">
        <v>102</v>
      </c>
      <c r="Q363">
        <v>843.51</v>
      </c>
      <c r="R363" t="str">
        <f>"PENSE FARMA 02 (10199)"</f>
        <v>PENSE FARMA 02 (10199)</v>
      </c>
      <c r="S363" t="s">
        <v>103</v>
      </c>
      <c r="T363">
        <v>30042</v>
      </c>
      <c r="U363">
        <v>33992</v>
      </c>
      <c r="V363" t="s">
        <v>110</v>
      </c>
    </row>
    <row r="364" spans="1:22">
      <c r="A364" t="str">
        <f t="shared" si="101"/>
        <v>05/03/2026</v>
      </c>
      <c r="B364" t="str">
        <f t="shared" si="104"/>
        <v>ENTRADA</v>
      </c>
      <c r="C364" t="str">
        <f t="shared" si="105"/>
        <v>NFSE</v>
      </c>
      <c r="D364" t="str">
        <f>"449"</f>
        <v>449</v>
      </c>
      <c r="E364" t="str">
        <f t="shared" si="100"/>
        <v>1</v>
      </c>
      <c r="F364" t="str">
        <f t="shared" si="95"/>
        <v>COM</v>
      </c>
      <c r="G364" t="str">
        <f>"PENSE FARMA 39 (10228)"</f>
        <v>PENSE FARMA 39 (10228)</v>
      </c>
      <c r="H364" t="s">
        <v>141</v>
      </c>
      <c r="I364" t="str">
        <f t="shared" si="106"/>
        <v>04/03/2026</v>
      </c>
      <c r="J364" t="str">
        <f t="shared" si="107"/>
        <v>03/03/2026</v>
      </c>
      <c r="K364">
        <v>46086</v>
      </c>
      <c r="N364">
        <v>303</v>
      </c>
      <c r="O364" t="s">
        <v>102</v>
      </c>
      <c r="Q364">
        <v>843.5</v>
      </c>
      <c r="R364" t="str">
        <f>"PENSE FARMA 01 (10215)"</f>
        <v>PENSE FARMA 01 (10215)</v>
      </c>
      <c r="S364" t="s">
        <v>103</v>
      </c>
      <c r="T364">
        <v>30042</v>
      </c>
      <c r="U364">
        <v>33992</v>
      </c>
      <c r="V364" t="s">
        <v>110</v>
      </c>
    </row>
    <row r="365" spans="1:22">
      <c r="A365" t="str">
        <f t="shared" si="101"/>
        <v>05/03/2026</v>
      </c>
      <c r="B365" t="str">
        <f t="shared" si="104"/>
        <v>ENTRADA</v>
      </c>
      <c r="C365" t="str">
        <f t="shared" si="105"/>
        <v>NFSE</v>
      </c>
      <c r="D365" t="str">
        <f>"449"</f>
        <v>449</v>
      </c>
      <c r="E365" t="str">
        <f t="shared" si="100"/>
        <v>1</v>
      </c>
      <c r="F365" t="str">
        <f t="shared" si="95"/>
        <v>COM</v>
      </c>
      <c r="G365" t="str">
        <f>"PENSE FARMA 39 (10228)"</f>
        <v>PENSE FARMA 39 (10228)</v>
      </c>
      <c r="H365" t="s">
        <v>141</v>
      </c>
      <c r="I365" t="str">
        <f t="shared" si="106"/>
        <v>04/03/2026</v>
      </c>
      <c r="J365" t="str">
        <f t="shared" si="107"/>
        <v>03/03/2026</v>
      </c>
      <c r="K365">
        <v>46086</v>
      </c>
      <c r="N365">
        <v>303</v>
      </c>
      <c r="O365" t="s">
        <v>102</v>
      </c>
      <c r="Q365">
        <v>843.5</v>
      </c>
      <c r="R365" t="str">
        <f>"PENSE FARMA 03 (10216)"</f>
        <v>PENSE FARMA 03 (10216)</v>
      </c>
      <c r="S365" t="s">
        <v>103</v>
      </c>
      <c r="T365">
        <v>30042</v>
      </c>
      <c r="U365">
        <v>33992</v>
      </c>
      <c r="V365" t="s">
        <v>110</v>
      </c>
    </row>
    <row r="366" spans="1:22">
      <c r="A366" t="str">
        <f t="shared" si="101"/>
        <v>05/03/2026</v>
      </c>
      <c r="B366" t="str">
        <f t="shared" si="104"/>
        <v>ENTRADA</v>
      </c>
      <c r="C366" t="str">
        <f t="shared" si="105"/>
        <v>NFSE</v>
      </c>
      <c r="D366" t="str">
        <f>"449"</f>
        <v>449</v>
      </c>
      <c r="E366" t="str">
        <f t="shared" si="100"/>
        <v>1</v>
      </c>
      <c r="F366" t="str">
        <f t="shared" si="95"/>
        <v>COM</v>
      </c>
      <c r="G366" t="str">
        <f>"PENSE FARMA 39 (10228)"</f>
        <v>PENSE FARMA 39 (10228)</v>
      </c>
      <c r="H366" t="s">
        <v>141</v>
      </c>
      <c r="I366" t="str">
        <f t="shared" si="106"/>
        <v>04/03/2026</v>
      </c>
      <c r="J366" t="str">
        <f t="shared" si="107"/>
        <v>03/03/2026</v>
      </c>
      <c r="K366">
        <v>46086</v>
      </c>
      <c r="N366">
        <v>303</v>
      </c>
      <c r="O366" t="s">
        <v>102</v>
      </c>
      <c r="Q366">
        <v>869.34</v>
      </c>
      <c r="R366" t="str">
        <f>"PENSE FARMA 39 (10228)"</f>
        <v>PENSE FARMA 39 (10228)</v>
      </c>
      <c r="S366" t="s">
        <v>103</v>
      </c>
      <c r="T366">
        <v>30042</v>
      </c>
      <c r="U366">
        <v>33992</v>
      </c>
      <c r="V366" t="s">
        <v>110</v>
      </c>
    </row>
    <row r="367" spans="1:22">
      <c r="A367" t="str">
        <f t="shared" si="101"/>
        <v>05/03/2026</v>
      </c>
      <c r="B367" t="str">
        <f t="shared" si="104"/>
        <v>ENTRADA</v>
      </c>
      <c r="C367" t="str">
        <f t="shared" si="105"/>
        <v>NFSE</v>
      </c>
      <c r="D367" t="str">
        <f>"450"</f>
        <v>450</v>
      </c>
      <c r="E367" t="str">
        <f t="shared" si="100"/>
        <v>1</v>
      </c>
      <c r="F367" t="str">
        <f t="shared" si="95"/>
        <v>COM</v>
      </c>
      <c r="G367" t="str">
        <f>"PENSE FARMA 47 (10232)"</f>
        <v>PENSE FARMA 47 (10232)</v>
      </c>
      <c r="H367" t="str">
        <f>"Serv.Prest. 23/02/2026 a 01/03/2026 - RPS: 2378 - NFSe: 450"</f>
        <v>Serv.Prest. 23/02/2026 a 01/03/2026 - RPS: 2378 - NFSe: 450</v>
      </c>
      <c r="I367" t="str">
        <f t="shared" si="106"/>
        <v>04/03/2026</v>
      </c>
      <c r="J367" t="str">
        <f t="shared" si="107"/>
        <v>03/03/2026</v>
      </c>
      <c r="K367" t="str">
        <f>("05/03/2026")</f>
        <v>05/03/2026</v>
      </c>
      <c r="L367">
        <v>1814.63</v>
      </c>
      <c r="M367">
        <v>1814.63</v>
      </c>
      <c r="N367">
        <v>303</v>
      </c>
      <c r="O367" t="str">
        <f>"RECEITAS COM ENTREGAS"</f>
        <v>RECEITAS COM ENTREGAS</v>
      </c>
      <c r="P367">
        <v>1814.63</v>
      </c>
      <c r="S367" t="str">
        <f>"RECEITAS COM ENTREGAS (303)"</f>
        <v>RECEITAS COM ENTREGAS (303)</v>
      </c>
      <c r="T367">
        <v>30043</v>
      </c>
      <c r="U367">
        <v>33995</v>
      </c>
      <c r="V367" t="s">
        <v>110</v>
      </c>
    </row>
    <row r="368" spans="1:22">
      <c r="A368" t="str">
        <f t="shared" si="101"/>
        <v>05/03/2026</v>
      </c>
      <c r="B368" t="str">
        <f t="shared" si="104"/>
        <v>ENTRADA</v>
      </c>
      <c r="C368" t="str">
        <f t="shared" si="105"/>
        <v>NFSE</v>
      </c>
      <c r="D368" t="str">
        <f>"450"</f>
        <v>450</v>
      </c>
      <c r="E368" t="str">
        <f t="shared" si="100"/>
        <v>1</v>
      </c>
      <c r="F368" t="str">
        <f t="shared" si="95"/>
        <v>COM</v>
      </c>
      <c r="G368" t="str">
        <f>"PENSE FARMA 47 (10232)"</f>
        <v>PENSE FARMA 47 (10232)</v>
      </c>
      <c r="H368" t="s">
        <v>142</v>
      </c>
      <c r="I368" t="str">
        <f t="shared" si="106"/>
        <v>04/03/2026</v>
      </c>
      <c r="J368" t="str">
        <f t="shared" si="107"/>
        <v>03/03/2026</v>
      </c>
      <c r="K368">
        <v>46086</v>
      </c>
      <c r="N368">
        <v>303</v>
      </c>
      <c r="O368" t="s">
        <v>102</v>
      </c>
      <c r="Q368">
        <v>1814.63</v>
      </c>
      <c r="R368" t="str">
        <f>"PENSE FARMA 47 (10232)"</f>
        <v>PENSE FARMA 47 (10232)</v>
      </c>
      <c r="S368" t="s">
        <v>103</v>
      </c>
      <c r="T368">
        <v>30043</v>
      </c>
      <c r="U368">
        <v>33995</v>
      </c>
      <c r="V368" t="s">
        <v>110</v>
      </c>
    </row>
    <row r="369" spans="1:22">
      <c r="A369" t="str">
        <f t="shared" si="101"/>
        <v>05/03/2026</v>
      </c>
      <c r="B369" t="str">
        <f t="shared" si="104"/>
        <v>ENTRADA</v>
      </c>
      <c r="C369" t="str">
        <f t="shared" si="105"/>
        <v>NFSE</v>
      </c>
      <c r="D369" t="str">
        <f>"451"</f>
        <v>451</v>
      </c>
      <c r="E369" t="str">
        <f t="shared" si="100"/>
        <v>1</v>
      </c>
      <c r="F369" t="str">
        <f t="shared" si="95"/>
        <v>COM</v>
      </c>
      <c r="G369" t="str">
        <f>"PENSE FARMA 25 (10224)"</f>
        <v>PENSE FARMA 25 (10224)</v>
      </c>
      <c r="H369" t="str">
        <f>"Serv.Prest. 23/02/2026 a 01/03/2026 - RPS: 2379 - NFSe: 451"</f>
        <v>Serv.Prest. 23/02/2026 a 01/03/2026 - RPS: 2379 - NFSe: 451</v>
      </c>
      <c r="I369" t="str">
        <f t="shared" si="106"/>
        <v>04/03/2026</v>
      </c>
      <c r="J369" t="str">
        <f t="shared" si="107"/>
        <v>03/03/2026</v>
      </c>
      <c r="K369" t="str">
        <f>("05/03/2026")</f>
        <v>05/03/2026</v>
      </c>
      <c r="L369">
        <v>1816.16</v>
      </c>
      <c r="M369">
        <v>1816.16</v>
      </c>
      <c r="N369">
        <v>303</v>
      </c>
      <c r="O369" t="str">
        <f>"RECEITAS COM ENTREGAS"</f>
        <v>RECEITAS COM ENTREGAS</v>
      </c>
      <c r="P369">
        <v>1816.16</v>
      </c>
      <c r="S369" t="str">
        <f>"RECEITAS COM ENTREGAS (303)"</f>
        <v>RECEITAS COM ENTREGAS (303)</v>
      </c>
      <c r="T369">
        <v>30044</v>
      </c>
      <c r="U369">
        <v>33997</v>
      </c>
      <c r="V369" t="s">
        <v>110</v>
      </c>
    </row>
    <row r="370" spans="1:22">
      <c r="A370" t="str">
        <f t="shared" si="101"/>
        <v>05/03/2026</v>
      </c>
      <c r="B370" t="str">
        <f t="shared" si="104"/>
        <v>ENTRADA</v>
      </c>
      <c r="C370" t="str">
        <f t="shared" si="105"/>
        <v>NFSE</v>
      </c>
      <c r="D370" t="str">
        <f>"451"</f>
        <v>451</v>
      </c>
      <c r="E370" t="str">
        <f t="shared" si="100"/>
        <v>1</v>
      </c>
      <c r="F370" t="str">
        <f t="shared" si="95"/>
        <v>COM</v>
      </c>
      <c r="G370" t="str">
        <f>"PENSE FARMA 25 (10224)"</f>
        <v>PENSE FARMA 25 (10224)</v>
      </c>
      <c r="H370" t="s">
        <v>143</v>
      </c>
      <c r="I370" t="str">
        <f t="shared" si="106"/>
        <v>04/03/2026</v>
      </c>
      <c r="J370" t="str">
        <f t="shared" si="107"/>
        <v>03/03/2026</v>
      </c>
      <c r="K370">
        <v>46086</v>
      </c>
      <c r="N370">
        <v>303</v>
      </c>
      <c r="O370" t="s">
        <v>102</v>
      </c>
      <c r="Q370">
        <v>1816.16</v>
      </c>
      <c r="R370" t="str">
        <f>"PENSE FARMA 25 (10224)"</f>
        <v>PENSE FARMA 25 (10224)</v>
      </c>
      <c r="S370" t="s">
        <v>103</v>
      </c>
      <c r="T370">
        <v>30044</v>
      </c>
      <c r="U370">
        <v>33997</v>
      </c>
      <c r="V370" t="s">
        <v>110</v>
      </c>
    </row>
    <row r="371" spans="1:22">
      <c r="A371" t="str">
        <f t="shared" si="101"/>
        <v>05/03/2026</v>
      </c>
      <c r="B371" t="str">
        <f t="shared" si="104"/>
        <v>ENTRADA</v>
      </c>
      <c r="C371" t="str">
        <f t="shared" si="105"/>
        <v>NFSE</v>
      </c>
      <c r="D371" t="str">
        <f>"452"</f>
        <v>452</v>
      </c>
      <c r="E371" t="str">
        <f t="shared" si="100"/>
        <v>1</v>
      </c>
      <c r="F371" t="str">
        <f t="shared" si="95"/>
        <v>COM</v>
      </c>
      <c r="G371" t="str">
        <f>"PENSE FARMA 15 (10195)"</f>
        <v>PENSE FARMA 15 (10195)</v>
      </c>
      <c r="H371" t="str">
        <f>"Serv.Prest. 23/02/2026 a 01/03/2026 - RPS: 2380 - NFSe: 452"</f>
        <v>Serv.Prest. 23/02/2026 a 01/03/2026 - RPS: 2380 - NFSe: 452</v>
      </c>
      <c r="I371" t="str">
        <f t="shared" si="106"/>
        <v>04/03/2026</v>
      </c>
      <c r="J371" t="str">
        <f t="shared" si="107"/>
        <v>03/03/2026</v>
      </c>
      <c r="K371" t="str">
        <f>("05/03/2026")</f>
        <v>05/03/2026</v>
      </c>
      <c r="L371">
        <v>3638</v>
      </c>
      <c r="M371">
        <v>3638</v>
      </c>
      <c r="N371">
        <v>303</v>
      </c>
      <c r="O371" t="str">
        <f>"RECEITAS COM ENTREGAS"</f>
        <v>RECEITAS COM ENTREGAS</v>
      </c>
      <c r="P371">
        <v>3638</v>
      </c>
      <c r="S371" t="str">
        <f>"RECEITAS COM ENTREGAS (303)"</f>
        <v>RECEITAS COM ENTREGAS (303)</v>
      </c>
      <c r="T371">
        <v>30045</v>
      </c>
      <c r="U371">
        <v>34000</v>
      </c>
      <c r="V371" t="s">
        <v>110</v>
      </c>
    </row>
    <row r="372" spans="1:22">
      <c r="A372" t="str">
        <f t="shared" si="101"/>
        <v>05/03/2026</v>
      </c>
      <c r="B372" t="str">
        <f t="shared" si="104"/>
        <v>ENTRADA</v>
      </c>
      <c r="C372" t="str">
        <f t="shared" si="105"/>
        <v>NFSE</v>
      </c>
      <c r="D372" t="str">
        <f>"452"</f>
        <v>452</v>
      </c>
      <c r="E372" t="str">
        <f t="shared" si="100"/>
        <v>1</v>
      </c>
      <c r="F372" t="str">
        <f t="shared" si="95"/>
        <v>COM</v>
      </c>
      <c r="G372" t="str">
        <f>"PENSE FARMA 15 (10195)"</f>
        <v>PENSE FARMA 15 (10195)</v>
      </c>
      <c r="H372" t="s">
        <v>144</v>
      </c>
      <c r="I372" t="str">
        <f t="shared" si="106"/>
        <v>04/03/2026</v>
      </c>
      <c r="J372" t="str">
        <f t="shared" si="107"/>
        <v>03/03/2026</v>
      </c>
      <c r="K372">
        <v>46086</v>
      </c>
      <c r="N372">
        <v>303</v>
      </c>
      <c r="O372" t="s">
        <v>102</v>
      </c>
      <c r="Q372">
        <v>909.5</v>
      </c>
      <c r="R372" t="str">
        <f>"PENSE FARMA 15 (10195)"</f>
        <v>PENSE FARMA 15 (10195)</v>
      </c>
      <c r="S372" t="s">
        <v>103</v>
      </c>
      <c r="T372">
        <v>30045</v>
      </c>
      <c r="U372">
        <v>34000</v>
      </c>
      <c r="V372" t="s">
        <v>110</v>
      </c>
    </row>
    <row r="373" spans="1:22">
      <c r="A373" t="str">
        <f t="shared" si="101"/>
        <v>05/03/2026</v>
      </c>
      <c r="B373" t="str">
        <f t="shared" si="104"/>
        <v>ENTRADA</v>
      </c>
      <c r="C373" t="str">
        <f t="shared" si="105"/>
        <v>NFSE</v>
      </c>
      <c r="D373" t="str">
        <f>"452"</f>
        <v>452</v>
      </c>
      <c r="E373" t="str">
        <f t="shared" si="100"/>
        <v>1</v>
      </c>
      <c r="F373" t="str">
        <f t="shared" si="95"/>
        <v>COM</v>
      </c>
      <c r="G373" t="str">
        <f>"PENSE FARMA 15 (10195)"</f>
        <v>PENSE FARMA 15 (10195)</v>
      </c>
      <c r="H373" t="s">
        <v>144</v>
      </c>
      <c r="I373" t="str">
        <f t="shared" si="106"/>
        <v>04/03/2026</v>
      </c>
      <c r="J373" t="str">
        <f t="shared" si="107"/>
        <v>03/03/2026</v>
      </c>
      <c r="K373">
        <v>46086</v>
      </c>
      <c r="N373">
        <v>303</v>
      </c>
      <c r="O373" t="s">
        <v>102</v>
      </c>
      <c r="Q373">
        <v>909.5</v>
      </c>
      <c r="R373" t="str">
        <f>"PENSE FARMA 26 (10196)"</f>
        <v>PENSE FARMA 26 (10196)</v>
      </c>
      <c r="S373" t="s">
        <v>103</v>
      </c>
      <c r="T373">
        <v>30045</v>
      </c>
      <c r="U373">
        <v>34000</v>
      </c>
      <c r="V373" t="s">
        <v>110</v>
      </c>
    </row>
    <row r="374" spans="1:22">
      <c r="A374" t="str">
        <f t="shared" si="101"/>
        <v>05/03/2026</v>
      </c>
      <c r="B374" t="str">
        <f t="shared" si="104"/>
        <v>ENTRADA</v>
      </c>
      <c r="C374" t="str">
        <f t="shared" si="105"/>
        <v>NFSE</v>
      </c>
      <c r="D374" t="str">
        <f>"452"</f>
        <v>452</v>
      </c>
      <c r="E374" t="str">
        <f t="shared" si="100"/>
        <v>1</v>
      </c>
      <c r="F374" t="str">
        <f t="shared" si="95"/>
        <v>COM</v>
      </c>
      <c r="G374" t="str">
        <f>"PENSE FARMA 15 (10195)"</f>
        <v>PENSE FARMA 15 (10195)</v>
      </c>
      <c r="H374" t="s">
        <v>144</v>
      </c>
      <c r="I374" t="str">
        <f t="shared" si="106"/>
        <v>04/03/2026</v>
      </c>
      <c r="J374" t="str">
        <f t="shared" si="107"/>
        <v>03/03/2026</v>
      </c>
      <c r="K374">
        <v>46086</v>
      </c>
      <c r="N374">
        <v>303</v>
      </c>
      <c r="O374" t="s">
        <v>102</v>
      </c>
      <c r="Q374">
        <v>909.5</v>
      </c>
      <c r="R374" t="str">
        <f>"PENSE FARMA 60 (10197)"</f>
        <v>PENSE FARMA 60 (10197)</v>
      </c>
      <c r="S374" t="s">
        <v>103</v>
      </c>
      <c r="T374">
        <v>30045</v>
      </c>
      <c r="U374">
        <v>34000</v>
      </c>
      <c r="V374" t="s">
        <v>110</v>
      </c>
    </row>
    <row r="375" spans="1:22">
      <c r="A375" t="str">
        <f t="shared" si="101"/>
        <v>05/03/2026</v>
      </c>
      <c r="B375" t="str">
        <f t="shared" si="104"/>
        <v>ENTRADA</v>
      </c>
      <c r="C375" t="str">
        <f t="shared" si="105"/>
        <v>NFSE</v>
      </c>
      <c r="D375" t="str">
        <f>"452"</f>
        <v>452</v>
      </c>
      <c r="E375" t="str">
        <f t="shared" si="100"/>
        <v>1</v>
      </c>
      <c r="F375" t="str">
        <f t="shared" si="95"/>
        <v>COM</v>
      </c>
      <c r="G375" t="str">
        <f>"PENSE FARMA 15 (10195)"</f>
        <v>PENSE FARMA 15 (10195)</v>
      </c>
      <c r="H375" t="s">
        <v>144</v>
      </c>
      <c r="I375" t="str">
        <f t="shared" si="106"/>
        <v>04/03/2026</v>
      </c>
      <c r="J375" t="str">
        <f t="shared" si="107"/>
        <v>03/03/2026</v>
      </c>
      <c r="K375">
        <v>46086</v>
      </c>
      <c r="N375">
        <v>303</v>
      </c>
      <c r="O375" t="s">
        <v>102</v>
      </c>
      <c r="Q375">
        <v>909.5</v>
      </c>
      <c r="R375" t="str">
        <f>"PENSE FARMA 61 (10243)"</f>
        <v>PENSE FARMA 61 (10243)</v>
      </c>
      <c r="S375" t="s">
        <v>103</v>
      </c>
      <c r="T375">
        <v>30045</v>
      </c>
      <c r="U375">
        <v>34000</v>
      </c>
      <c r="V375" t="s">
        <v>110</v>
      </c>
    </row>
    <row r="376" spans="1:22">
      <c r="A376" t="str">
        <f t="shared" si="101"/>
        <v>05/03/2026</v>
      </c>
      <c r="B376" t="str">
        <f t="shared" si="104"/>
        <v>ENTRADA</v>
      </c>
      <c r="C376" t="str">
        <f t="shared" si="105"/>
        <v>NFSE</v>
      </c>
      <c r="D376" t="str">
        <f>"453"</f>
        <v>453</v>
      </c>
      <c r="E376" t="str">
        <f t="shared" si="100"/>
        <v>1</v>
      </c>
      <c r="F376" t="str">
        <f t="shared" si="95"/>
        <v>COM</v>
      </c>
      <c r="G376" t="str">
        <f>"PENSE FARMA 09 (10218)"</f>
        <v>PENSE FARMA 09 (10218)</v>
      </c>
      <c r="H376" t="str">
        <f>"Serv.Prest. 23/02/2026 a 01/03/2026 - RPS: 2381 - NFSe: 453"</f>
        <v>Serv.Prest. 23/02/2026 a 01/03/2026 - RPS: 2381 - NFSe: 453</v>
      </c>
      <c r="I376" t="str">
        <f t="shared" si="106"/>
        <v>04/03/2026</v>
      </c>
      <c r="J376" t="str">
        <f t="shared" si="107"/>
        <v>03/03/2026</v>
      </c>
      <c r="K376" t="str">
        <f>("05/03/2026")</f>
        <v>05/03/2026</v>
      </c>
      <c r="L376">
        <v>1907.06</v>
      </c>
      <c r="M376">
        <v>1907.06</v>
      </c>
      <c r="N376">
        <v>303</v>
      </c>
      <c r="O376" t="str">
        <f>"RECEITAS COM ENTREGAS"</f>
        <v>RECEITAS COM ENTREGAS</v>
      </c>
      <c r="P376">
        <v>1907.06</v>
      </c>
      <c r="S376" t="str">
        <f>"RECEITAS COM ENTREGAS (303)"</f>
        <v>RECEITAS COM ENTREGAS (303)</v>
      </c>
      <c r="T376">
        <v>30046</v>
      </c>
      <c r="U376">
        <v>34004</v>
      </c>
      <c r="V376" t="s">
        <v>110</v>
      </c>
    </row>
    <row r="377" spans="1:22">
      <c r="A377" t="str">
        <f t="shared" si="101"/>
        <v>05/03/2026</v>
      </c>
      <c r="B377" t="str">
        <f t="shared" si="104"/>
        <v>ENTRADA</v>
      </c>
      <c r="C377" t="str">
        <f t="shared" si="105"/>
        <v>NFSE</v>
      </c>
      <c r="D377" t="str">
        <f>"453"</f>
        <v>453</v>
      </c>
      <c r="E377" t="str">
        <f t="shared" ref="E377:E384" si="108">"1"</f>
        <v>1</v>
      </c>
      <c r="F377" t="str">
        <f t="shared" si="95"/>
        <v>COM</v>
      </c>
      <c r="G377" t="str">
        <f>"PENSE FARMA 09 (10218)"</f>
        <v>PENSE FARMA 09 (10218)</v>
      </c>
      <c r="H377" t="s">
        <v>145</v>
      </c>
      <c r="I377" t="str">
        <f t="shared" si="106"/>
        <v>04/03/2026</v>
      </c>
      <c r="J377" t="str">
        <f t="shared" si="107"/>
        <v>03/03/2026</v>
      </c>
      <c r="K377">
        <v>46086</v>
      </c>
      <c r="N377">
        <v>303</v>
      </c>
      <c r="O377" t="s">
        <v>102</v>
      </c>
      <c r="Q377">
        <v>953.53</v>
      </c>
      <c r="R377" t="str">
        <f>"PENSE FARMA 09 (10218)"</f>
        <v>PENSE FARMA 09 (10218)</v>
      </c>
      <c r="S377" t="s">
        <v>103</v>
      </c>
      <c r="T377">
        <v>30046</v>
      </c>
      <c r="U377">
        <v>34004</v>
      </c>
      <c r="V377" t="s">
        <v>110</v>
      </c>
    </row>
    <row r="378" spans="1:22">
      <c r="A378" t="str">
        <f t="shared" si="101"/>
        <v>05/03/2026</v>
      </c>
      <c r="B378" t="str">
        <f t="shared" si="104"/>
        <v>ENTRADA</v>
      </c>
      <c r="C378" t="str">
        <f t="shared" si="105"/>
        <v>NFSE</v>
      </c>
      <c r="D378" t="str">
        <f>"453"</f>
        <v>453</v>
      </c>
      <c r="E378" t="str">
        <f t="shared" si="108"/>
        <v>1</v>
      </c>
      <c r="F378" t="str">
        <f t="shared" si="95"/>
        <v>COM</v>
      </c>
      <c r="G378" t="str">
        <f>"PENSE FARMA 09 (10218)"</f>
        <v>PENSE FARMA 09 (10218)</v>
      </c>
      <c r="H378" t="s">
        <v>145</v>
      </c>
      <c r="I378" t="str">
        <f t="shared" si="106"/>
        <v>04/03/2026</v>
      </c>
      <c r="J378" t="str">
        <f t="shared" si="107"/>
        <v>03/03/2026</v>
      </c>
      <c r="K378">
        <v>46086</v>
      </c>
      <c r="N378">
        <v>303</v>
      </c>
      <c r="O378" t="s">
        <v>102</v>
      </c>
      <c r="Q378">
        <v>953.53</v>
      </c>
      <c r="R378" t="str">
        <f>"PENSE FARMA 10 (10219)"</f>
        <v>PENSE FARMA 10 (10219)</v>
      </c>
      <c r="S378" t="s">
        <v>103</v>
      </c>
      <c r="T378">
        <v>30046</v>
      </c>
      <c r="U378">
        <v>34004</v>
      </c>
      <c r="V378" t="s">
        <v>110</v>
      </c>
    </row>
    <row r="379" spans="1:22">
      <c r="A379" t="str">
        <f t="shared" si="101"/>
        <v>05/03/2026</v>
      </c>
      <c r="B379" t="str">
        <f t="shared" si="104"/>
        <v>ENTRADA</v>
      </c>
      <c r="C379" t="str">
        <f t="shared" si="105"/>
        <v>NFSE</v>
      </c>
      <c r="D379" t="str">
        <f>"454"</f>
        <v>454</v>
      </c>
      <c r="E379" t="str">
        <f t="shared" si="108"/>
        <v>1</v>
      </c>
      <c r="F379" t="str">
        <f t="shared" si="95"/>
        <v>COM</v>
      </c>
      <c r="G379" t="str">
        <f>"PENSE FARMA 07 (10201)"</f>
        <v>PENSE FARMA 07 (10201)</v>
      </c>
      <c r="H379" t="str">
        <f>"Serv.Prest. 23/02/2026 a 01/03/2026 - RPS: 2382 - NFSe: 454"</f>
        <v>Serv.Prest. 23/02/2026 a 01/03/2026 - RPS: 2382 - NFSe: 454</v>
      </c>
      <c r="I379" t="str">
        <f t="shared" si="106"/>
        <v>04/03/2026</v>
      </c>
      <c r="J379" t="str">
        <f t="shared" si="107"/>
        <v>03/03/2026</v>
      </c>
      <c r="K379" t="str">
        <f>("05/03/2026")</f>
        <v>05/03/2026</v>
      </c>
      <c r="L379">
        <v>1755.25</v>
      </c>
      <c r="M379">
        <v>1755.25</v>
      </c>
      <c r="N379">
        <v>303</v>
      </c>
      <c r="O379" t="str">
        <f>"RECEITAS COM ENTREGAS"</f>
        <v>RECEITAS COM ENTREGAS</v>
      </c>
      <c r="P379">
        <v>1755.25</v>
      </c>
      <c r="S379" t="str">
        <f>"RECEITAS COM ENTREGAS (303)"</f>
        <v>RECEITAS COM ENTREGAS (303)</v>
      </c>
      <c r="T379">
        <v>30047</v>
      </c>
      <c r="U379">
        <v>34006</v>
      </c>
      <c r="V379" t="s">
        <v>110</v>
      </c>
    </row>
    <row r="380" spans="1:22">
      <c r="A380" t="str">
        <f t="shared" si="101"/>
        <v>05/03/2026</v>
      </c>
      <c r="B380" t="str">
        <f t="shared" si="104"/>
        <v>ENTRADA</v>
      </c>
      <c r="C380" t="str">
        <f t="shared" si="105"/>
        <v>NFSE</v>
      </c>
      <c r="D380" t="str">
        <f>"454"</f>
        <v>454</v>
      </c>
      <c r="E380" t="str">
        <f t="shared" si="108"/>
        <v>1</v>
      </c>
      <c r="F380" t="str">
        <f t="shared" si="95"/>
        <v>COM</v>
      </c>
      <c r="G380" t="str">
        <f>"PENSE FARMA 07 (10201)"</f>
        <v>PENSE FARMA 07 (10201)</v>
      </c>
      <c r="H380" t="s">
        <v>146</v>
      </c>
      <c r="I380" t="str">
        <f t="shared" si="106"/>
        <v>04/03/2026</v>
      </c>
      <c r="J380" t="str">
        <f t="shared" si="107"/>
        <v>03/03/2026</v>
      </c>
      <c r="K380">
        <v>46086</v>
      </c>
      <c r="N380">
        <v>303</v>
      </c>
      <c r="O380" t="s">
        <v>102</v>
      </c>
      <c r="Q380">
        <v>583.1</v>
      </c>
      <c r="R380" t="str">
        <f>"PENSE FARMA 07 (10201)"</f>
        <v>PENSE FARMA 07 (10201)</v>
      </c>
      <c r="S380" t="s">
        <v>103</v>
      </c>
      <c r="T380">
        <v>30047</v>
      </c>
      <c r="U380">
        <v>34006</v>
      </c>
      <c r="V380" t="s">
        <v>110</v>
      </c>
    </row>
    <row r="381" spans="1:22">
      <c r="A381" t="str">
        <f t="shared" si="101"/>
        <v>05/03/2026</v>
      </c>
      <c r="B381" t="str">
        <f t="shared" si="104"/>
        <v>ENTRADA</v>
      </c>
      <c r="C381" t="str">
        <f t="shared" si="105"/>
        <v>NFSE</v>
      </c>
      <c r="D381" t="str">
        <f>"454"</f>
        <v>454</v>
      </c>
      <c r="E381" t="str">
        <f t="shared" si="108"/>
        <v>1</v>
      </c>
      <c r="F381" t="str">
        <f t="shared" si="95"/>
        <v>COM</v>
      </c>
      <c r="G381" t="str">
        <f>"PENSE FARMA 07 (10201)"</f>
        <v>PENSE FARMA 07 (10201)</v>
      </c>
      <c r="H381" t="s">
        <v>146</v>
      </c>
      <c r="I381" t="str">
        <f t="shared" si="106"/>
        <v>04/03/2026</v>
      </c>
      <c r="J381" t="str">
        <f t="shared" si="107"/>
        <v>03/03/2026</v>
      </c>
      <c r="K381">
        <v>46086</v>
      </c>
      <c r="N381">
        <v>303</v>
      </c>
      <c r="O381" t="s">
        <v>102</v>
      </c>
      <c r="Q381">
        <v>583.09</v>
      </c>
      <c r="R381" t="str">
        <f>"PENSE FARMA 45 (10209)"</f>
        <v>PENSE FARMA 45 (10209)</v>
      </c>
      <c r="S381" t="s">
        <v>103</v>
      </c>
      <c r="T381">
        <v>30047</v>
      </c>
      <c r="U381">
        <v>34006</v>
      </c>
      <c r="V381" t="s">
        <v>110</v>
      </c>
    </row>
    <row r="382" spans="1:22">
      <c r="A382" t="str">
        <f t="shared" si="101"/>
        <v>05/03/2026</v>
      </c>
      <c r="B382" t="str">
        <f t="shared" si="104"/>
        <v>ENTRADA</v>
      </c>
      <c r="C382" t="str">
        <f t="shared" si="105"/>
        <v>NFSE</v>
      </c>
      <c r="D382" t="str">
        <f>"454"</f>
        <v>454</v>
      </c>
      <c r="E382" t="str">
        <f t="shared" si="108"/>
        <v>1</v>
      </c>
      <c r="F382" t="str">
        <f t="shared" si="95"/>
        <v>COM</v>
      </c>
      <c r="G382" t="str">
        <f>"PENSE FARMA 07 (10201)"</f>
        <v>PENSE FARMA 07 (10201)</v>
      </c>
      <c r="H382" t="s">
        <v>146</v>
      </c>
      <c r="I382" t="str">
        <f t="shared" si="106"/>
        <v>04/03/2026</v>
      </c>
      <c r="J382" t="str">
        <f t="shared" si="107"/>
        <v>03/03/2026</v>
      </c>
      <c r="K382">
        <v>46086</v>
      </c>
      <c r="N382">
        <v>303</v>
      </c>
      <c r="O382" t="s">
        <v>102</v>
      </c>
      <c r="Q382">
        <v>589.05999999999995</v>
      </c>
      <c r="R382" t="str">
        <f>"PENSE FARMA 50 (10210)"</f>
        <v>PENSE FARMA 50 (10210)</v>
      </c>
      <c r="S382" t="s">
        <v>103</v>
      </c>
      <c r="T382">
        <v>30047</v>
      </c>
      <c r="U382">
        <v>34006</v>
      </c>
      <c r="V382" t="s">
        <v>110</v>
      </c>
    </row>
    <row r="383" spans="1:22">
      <c r="A383" t="str">
        <f t="shared" si="101"/>
        <v>05/03/2026</v>
      </c>
      <c r="B383" t="str">
        <f t="shared" si="104"/>
        <v>ENTRADA</v>
      </c>
      <c r="C383" t="str">
        <f t="shared" si="105"/>
        <v>NFSE</v>
      </c>
      <c r="D383" t="str">
        <f>"455"</f>
        <v>455</v>
      </c>
      <c r="E383" t="str">
        <f t="shared" si="108"/>
        <v>1</v>
      </c>
      <c r="F383" t="str">
        <f t="shared" si="95"/>
        <v>COM</v>
      </c>
      <c r="G383" t="str">
        <f>"PENSE FARMA 22 (10198)"</f>
        <v>PENSE FARMA 22 (10198)</v>
      </c>
      <c r="H383" t="str">
        <f>"Serv.Prest. 23/02/2026 a 01/03/2026 - RPS: 2383 - NFSe: 455"</f>
        <v>Serv.Prest. 23/02/2026 a 01/03/2026 - RPS: 2383 - NFSe: 455</v>
      </c>
      <c r="I383" t="str">
        <f t="shared" si="106"/>
        <v>04/03/2026</v>
      </c>
      <c r="J383" t="str">
        <f t="shared" si="107"/>
        <v>03/03/2026</v>
      </c>
      <c r="K383" t="str">
        <f>("05/03/2026")</f>
        <v>05/03/2026</v>
      </c>
      <c r="L383">
        <v>4071.15</v>
      </c>
      <c r="M383">
        <v>4071.15</v>
      </c>
      <c r="N383">
        <v>303</v>
      </c>
      <c r="O383" t="str">
        <f>"RECEITAS COM ENTREGAS"</f>
        <v>RECEITAS COM ENTREGAS</v>
      </c>
      <c r="P383">
        <v>4071.15</v>
      </c>
      <c r="S383" t="str">
        <f>"RECEITAS COM ENTREGAS (303)"</f>
        <v>RECEITAS COM ENTREGAS (303)</v>
      </c>
      <c r="T383">
        <v>30048</v>
      </c>
      <c r="U383">
        <v>34008</v>
      </c>
      <c r="V383" t="s">
        <v>110</v>
      </c>
    </row>
    <row r="384" spans="1:22">
      <c r="A384" t="str">
        <f t="shared" si="101"/>
        <v>05/03/2026</v>
      </c>
      <c r="B384" t="str">
        <f t="shared" si="104"/>
        <v>ENTRADA</v>
      </c>
      <c r="C384" t="str">
        <f t="shared" si="105"/>
        <v>NFSE</v>
      </c>
      <c r="D384" t="str">
        <f>"455"</f>
        <v>455</v>
      </c>
      <c r="E384" t="str">
        <f t="shared" si="108"/>
        <v>1</v>
      </c>
      <c r="F384" t="str">
        <f t="shared" si="95"/>
        <v>COM</v>
      </c>
      <c r="G384" t="str">
        <f>"PENSE FARMA 22 (10198)"</f>
        <v>PENSE FARMA 22 (10198)</v>
      </c>
      <c r="H384" t="s">
        <v>147</v>
      </c>
      <c r="I384" t="str">
        <f t="shared" si="106"/>
        <v>04/03/2026</v>
      </c>
      <c r="J384" t="str">
        <f t="shared" si="107"/>
        <v>03/03/2026</v>
      </c>
      <c r="K384">
        <v>46086</v>
      </c>
      <c r="N384">
        <v>303</v>
      </c>
      <c r="O384" t="s">
        <v>102</v>
      </c>
      <c r="Q384">
        <v>4071.15</v>
      </c>
      <c r="R384" t="str">
        <f>"PENSE FARMA 22 (10198)"</f>
        <v>PENSE FARMA 22 (10198)</v>
      </c>
      <c r="S384" t="s">
        <v>103</v>
      </c>
      <c r="T384">
        <v>30048</v>
      </c>
      <c r="U384">
        <v>34008</v>
      </c>
      <c r="V384" t="s">
        <v>110</v>
      </c>
    </row>
    <row r="385" spans="1:22">
      <c r="A385" t="str">
        <f t="shared" si="101"/>
        <v>05/03/2026</v>
      </c>
      <c r="B385" t="str">
        <f t="shared" ref="B385:B448" si="109">"SAÍDA"</f>
        <v>SAÍDA</v>
      </c>
      <c r="C385" t="str">
        <f>"BOLETO"</f>
        <v>BOLETO</v>
      </c>
      <c r="D385" t="str">
        <f>"0082025"</f>
        <v>0082025</v>
      </c>
      <c r="E385" t="str">
        <f>"2"</f>
        <v>2</v>
      </c>
      <c r="F385" t="str">
        <f t="shared" si="95"/>
        <v>COM</v>
      </c>
      <c r="G385" t="str">
        <f>"AR RDMT CERTIFICACAO DIGITAL E SERVICOS LTDA (20136)"</f>
        <v>AR RDMT CERTIFICACAO DIGITAL E SERVICOS LTDA (20136)</v>
      </c>
      <c r="H385" t="str">
        <f>"PACOTE DE CERTIFICADO DIGITAL (2/4) "</f>
        <v xml:space="preserve">PACOTE DE CERTIFICADO DIGITAL (2/4) </v>
      </c>
      <c r="I385" t="str">
        <f t="shared" ref="I385:I448" si="110">("05/03/2026")</f>
        <v>05/03/2026</v>
      </c>
      <c r="J385" t="str">
        <f>("29/01/2026")</f>
        <v>29/01/2026</v>
      </c>
      <c r="K385" t="str">
        <f>("05/03/2026")</f>
        <v>05/03/2026</v>
      </c>
      <c r="L385">
        <v>4500</v>
      </c>
      <c r="M385">
        <v>4500</v>
      </c>
      <c r="N385">
        <v>104</v>
      </c>
      <c r="O385" t="str">
        <f>"SOFTWARE / LICENÇAS"</f>
        <v>SOFTWARE / LICENÇAS</v>
      </c>
      <c r="P385">
        <v>4500</v>
      </c>
      <c r="S385" t="str">
        <f>"BANCO CORA (102)"</f>
        <v>BANCO CORA (102)</v>
      </c>
      <c r="T385">
        <v>30052</v>
      </c>
      <c r="U385">
        <v>31718</v>
      </c>
      <c r="V385" t="s">
        <v>33</v>
      </c>
    </row>
    <row r="386" spans="1:22">
      <c r="A386" t="str">
        <f t="shared" si="101"/>
        <v>05/03/2026</v>
      </c>
      <c r="B386" t="str">
        <f t="shared" si="109"/>
        <v>SAÍDA</v>
      </c>
      <c r="C386" t="str">
        <f>"BOLETO"</f>
        <v>BOLETO</v>
      </c>
      <c r="D386" t="str">
        <f>"0082025"</f>
        <v>0082025</v>
      </c>
      <c r="E386" t="str">
        <f>"2"</f>
        <v>2</v>
      </c>
      <c r="F386" t="str">
        <f t="shared" ref="F386:F449" si="111">"COM"</f>
        <v>COM</v>
      </c>
      <c r="G386" t="str">
        <f>"AR RDMT CERTIFICACAO DIGITAL E SERVICOS LTDA (20136)"</f>
        <v>AR RDMT CERTIFICACAO DIGITAL E SERVICOS LTDA (20136)</v>
      </c>
      <c r="H386" t="s">
        <v>148</v>
      </c>
      <c r="I386" t="str">
        <f t="shared" si="110"/>
        <v>05/03/2026</v>
      </c>
      <c r="J386" t="str">
        <f>("29/01/2026")</f>
        <v>29/01/2026</v>
      </c>
      <c r="K386">
        <v>46086</v>
      </c>
      <c r="N386">
        <v>104</v>
      </c>
      <c r="O386" t="s">
        <v>39</v>
      </c>
      <c r="Q386">
        <v>4500</v>
      </c>
      <c r="R386" t="str">
        <f>"AR RDMT CERTIFICACAO DIGITAL E SERVICOS LTDA (20136)"</f>
        <v>AR RDMT CERTIFICACAO DIGITAL E SERVICOS LTDA (20136)</v>
      </c>
      <c r="S386" t="s">
        <v>33</v>
      </c>
      <c r="T386">
        <v>30052</v>
      </c>
      <c r="U386">
        <v>31718</v>
      </c>
      <c r="V386" t="s">
        <v>33</v>
      </c>
    </row>
    <row r="387" spans="1:22">
      <c r="A387" t="str">
        <f t="shared" si="101"/>
        <v>05/03/2026</v>
      </c>
      <c r="B387" t="str">
        <f t="shared" si="109"/>
        <v>SAÍDA</v>
      </c>
      <c r="C387" t="str">
        <f t="shared" ref="C387:C450" si="112">"PIX"</f>
        <v>PIX</v>
      </c>
      <c r="D387" t="str">
        <f t="shared" ref="D387:D394" si="113">"34018"</f>
        <v>34018</v>
      </c>
      <c r="E387" t="str">
        <f t="shared" ref="E387:E394" si="114">"1"</f>
        <v>1</v>
      </c>
      <c r="F387" t="str">
        <f t="shared" si="111"/>
        <v>COM</v>
      </c>
      <c r="G387" t="str">
        <f t="shared" ref="G387:G394" si="115">"ALYSSON HENRIQUE SOARES DE ARA??JO (1336)"</f>
        <v>ALYSSON HENRIQUE SOARES DE ARA??JO (1336)</v>
      </c>
      <c r="H387" t="str">
        <f>"Serv.Prest. 23/02/2026 a 01/03/2026 - PIX: CPF - CHAVE: 116.683.686-09"</f>
        <v>Serv.Prest. 23/02/2026 a 01/03/2026 - PIX: CPF - CHAVE: 116.683.686-09</v>
      </c>
      <c r="I387" t="str">
        <f t="shared" si="110"/>
        <v>05/03/2026</v>
      </c>
      <c r="J387" t="str">
        <f t="shared" ref="J387:J394" si="116">("03/03/2026")</f>
        <v>03/03/2026</v>
      </c>
      <c r="K387" t="str">
        <f>("05/03/2026")</f>
        <v>05/03/2026</v>
      </c>
      <c r="L387">
        <v>936</v>
      </c>
      <c r="M387">
        <v>948</v>
      </c>
      <c r="N387">
        <v>109</v>
      </c>
      <c r="O387" t="str">
        <f>"PAGAMENTO DE ENTREGADORES"</f>
        <v>PAGAMENTO DE ENTREGADORES</v>
      </c>
      <c r="P387">
        <v>948</v>
      </c>
      <c r="S387" t="str">
        <f>"BANCO CORA (102)"</f>
        <v>BANCO CORA (102)</v>
      </c>
      <c r="T387">
        <v>30053</v>
      </c>
      <c r="U387">
        <v>34018</v>
      </c>
      <c r="V387" t="s">
        <v>33</v>
      </c>
    </row>
    <row r="388" spans="1:22">
      <c r="A388" t="str">
        <f t="shared" si="101"/>
        <v>05/03/2026</v>
      </c>
      <c r="B388" t="str">
        <f t="shared" si="109"/>
        <v>SAÍDA</v>
      </c>
      <c r="C388" t="str">
        <f t="shared" si="112"/>
        <v>PIX</v>
      </c>
      <c r="D388" t="str">
        <f t="shared" si="113"/>
        <v>34018</v>
      </c>
      <c r="E388" t="str">
        <f t="shared" si="114"/>
        <v>1</v>
      </c>
      <c r="F388" t="str">
        <f t="shared" si="111"/>
        <v>COM</v>
      </c>
      <c r="G388" t="str">
        <f t="shared" si="115"/>
        <v>ALYSSON HENRIQUE SOARES DE ARA??JO (1336)</v>
      </c>
      <c r="H388" t="s">
        <v>149</v>
      </c>
      <c r="I388" t="str">
        <f t="shared" si="110"/>
        <v>05/03/2026</v>
      </c>
      <c r="J388" t="str">
        <f t="shared" si="116"/>
        <v>03/03/2026</v>
      </c>
      <c r="K388">
        <v>46086</v>
      </c>
      <c r="N388">
        <v>109</v>
      </c>
      <c r="O388" t="s">
        <v>27</v>
      </c>
      <c r="Q388">
        <v>6.63</v>
      </c>
      <c r="R388" t="str">
        <f>"PAGUE MENOS 306 (10298)"</f>
        <v>PAGUE MENOS 306 (10298)</v>
      </c>
      <c r="S388" t="s">
        <v>33</v>
      </c>
      <c r="T388">
        <v>30053</v>
      </c>
      <c r="U388">
        <v>34018</v>
      </c>
      <c r="V388" t="s">
        <v>33</v>
      </c>
    </row>
    <row r="389" spans="1:22">
      <c r="A389" t="str">
        <f t="shared" si="101"/>
        <v>05/03/2026</v>
      </c>
      <c r="B389" t="str">
        <f t="shared" si="109"/>
        <v>SAÍDA</v>
      </c>
      <c r="C389" t="str">
        <f t="shared" si="112"/>
        <v>PIX</v>
      </c>
      <c r="D389" t="str">
        <f t="shared" si="113"/>
        <v>34018</v>
      </c>
      <c r="E389" t="str">
        <f t="shared" si="114"/>
        <v>1</v>
      </c>
      <c r="F389" t="str">
        <f t="shared" si="111"/>
        <v>COM</v>
      </c>
      <c r="G389" t="str">
        <f t="shared" si="115"/>
        <v>ALYSSON HENRIQUE SOARES DE ARA??JO (1336)</v>
      </c>
      <c r="H389" t="s">
        <v>149</v>
      </c>
      <c r="I389" t="str">
        <f t="shared" si="110"/>
        <v>05/03/2026</v>
      </c>
      <c r="J389" t="str">
        <f t="shared" si="116"/>
        <v>03/03/2026</v>
      </c>
      <c r="K389">
        <v>46086</v>
      </c>
      <c r="N389">
        <v>109</v>
      </c>
      <c r="O389" t="s">
        <v>27</v>
      </c>
      <c r="Q389">
        <v>185.62</v>
      </c>
      <c r="R389" t="str">
        <f>"PAGUE MENOS 377 (10300)"</f>
        <v>PAGUE MENOS 377 (10300)</v>
      </c>
      <c r="S389" t="s">
        <v>33</v>
      </c>
      <c r="T389">
        <v>30053</v>
      </c>
      <c r="U389">
        <v>34018</v>
      </c>
      <c r="V389" t="s">
        <v>33</v>
      </c>
    </row>
    <row r="390" spans="1:22">
      <c r="A390" t="str">
        <f t="shared" si="101"/>
        <v>05/03/2026</v>
      </c>
      <c r="B390" t="str">
        <f t="shared" si="109"/>
        <v>SAÍDA</v>
      </c>
      <c r="C390" t="str">
        <f t="shared" si="112"/>
        <v>PIX</v>
      </c>
      <c r="D390" t="str">
        <f t="shared" si="113"/>
        <v>34018</v>
      </c>
      <c r="E390" t="str">
        <f t="shared" si="114"/>
        <v>1</v>
      </c>
      <c r="F390" t="str">
        <f t="shared" si="111"/>
        <v>COM</v>
      </c>
      <c r="G390" t="str">
        <f t="shared" si="115"/>
        <v>ALYSSON HENRIQUE SOARES DE ARA??JO (1336)</v>
      </c>
      <c r="H390" t="s">
        <v>149</v>
      </c>
      <c r="I390" t="str">
        <f t="shared" si="110"/>
        <v>05/03/2026</v>
      </c>
      <c r="J390" t="str">
        <f t="shared" si="116"/>
        <v>03/03/2026</v>
      </c>
      <c r="K390">
        <v>46086</v>
      </c>
      <c r="N390">
        <v>109</v>
      </c>
      <c r="O390" t="s">
        <v>27</v>
      </c>
      <c r="Q390">
        <v>6.64</v>
      </c>
      <c r="R390" t="str">
        <f>"PAGUE MENOS 548 (10303)"</f>
        <v>PAGUE MENOS 548 (10303)</v>
      </c>
      <c r="S390" t="s">
        <v>33</v>
      </c>
      <c r="T390">
        <v>30053</v>
      </c>
      <c r="U390">
        <v>34018</v>
      </c>
      <c r="V390" t="s">
        <v>33</v>
      </c>
    </row>
    <row r="391" spans="1:22">
      <c r="A391" t="str">
        <f t="shared" si="101"/>
        <v>05/03/2026</v>
      </c>
      <c r="B391" t="str">
        <f t="shared" si="109"/>
        <v>SAÍDA</v>
      </c>
      <c r="C391" t="str">
        <f t="shared" si="112"/>
        <v>PIX</v>
      </c>
      <c r="D391" t="str">
        <f t="shared" si="113"/>
        <v>34018</v>
      </c>
      <c r="E391" t="str">
        <f t="shared" si="114"/>
        <v>1</v>
      </c>
      <c r="F391" t="str">
        <f t="shared" si="111"/>
        <v>COM</v>
      </c>
      <c r="G391" t="str">
        <f t="shared" si="115"/>
        <v>ALYSSON HENRIQUE SOARES DE ARA??JO (1336)</v>
      </c>
      <c r="H391" t="s">
        <v>149</v>
      </c>
      <c r="I391" t="str">
        <f t="shared" si="110"/>
        <v>05/03/2026</v>
      </c>
      <c r="J391" t="str">
        <f t="shared" si="116"/>
        <v>03/03/2026</v>
      </c>
      <c r="K391">
        <v>46086</v>
      </c>
      <c r="N391">
        <v>109</v>
      </c>
      <c r="O391" t="s">
        <v>27</v>
      </c>
      <c r="Q391">
        <v>411.05</v>
      </c>
      <c r="R391" t="str">
        <f>"PAGUE MENOS 1155 (10307)"</f>
        <v>PAGUE MENOS 1155 (10307)</v>
      </c>
      <c r="S391" t="s">
        <v>33</v>
      </c>
      <c r="T391">
        <v>30053</v>
      </c>
      <c r="U391">
        <v>34018</v>
      </c>
      <c r="V391" t="s">
        <v>33</v>
      </c>
    </row>
    <row r="392" spans="1:22">
      <c r="A392" t="str">
        <f t="shared" si="101"/>
        <v>05/03/2026</v>
      </c>
      <c r="B392" t="str">
        <f t="shared" si="109"/>
        <v>SAÍDA</v>
      </c>
      <c r="C392" t="str">
        <f t="shared" si="112"/>
        <v>PIX</v>
      </c>
      <c r="D392" t="str">
        <f t="shared" si="113"/>
        <v>34018</v>
      </c>
      <c r="E392" t="str">
        <f t="shared" si="114"/>
        <v>1</v>
      </c>
      <c r="F392" t="str">
        <f t="shared" si="111"/>
        <v>COM</v>
      </c>
      <c r="G392" t="str">
        <f t="shared" si="115"/>
        <v>ALYSSON HENRIQUE SOARES DE ARA??JO (1336)</v>
      </c>
      <c r="H392" t="s">
        <v>149</v>
      </c>
      <c r="I392" t="str">
        <f t="shared" si="110"/>
        <v>05/03/2026</v>
      </c>
      <c r="J392" t="str">
        <f t="shared" si="116"/>
        <v>03/03/2026</v>
      </c>
      <c r="K392">
        <v>46086</v>
      </c>
      <c r="N392">
        <v>109</v>
      </c>
      <c r="O392" t="s">
        <v>27</v>
      </c>
      <c r="Q392">
        <v>324.88</v>
      </c>
      <c r="R392" t="str">
        <f>"PAGUE MENOS 1156 (10308)"</f>
        <v>PAGUE MENOS 1156 (10308)</v>
      </c>
      <c r="S392" t="s">
        <v>33</v>
      </c>
      <c r="T392">
        <v>30053</v>
      </c>
      <c r="U392">
        <v>34018</v>
      </c>
      <c r="V392" t="s">
        <v>33</v>
      </c>
    </row>
    <row r="393" spans="1:22">
      <c r="A393" t="str">
        <f t="shared" si="101"/>
        <v>05/03/2026</v>
      </c>
      <c r="B393" t="str">
        <f t="shared" si="109"/>
        <v>SAÍDA</v>
      </c>
      <c r="C393" t="str">
        <f t="shared" si="112"/>
        <v>PIX</v>
      </c>
      <c r="D393" t="str">
        <f t="shared" si="113"/>
        <v>34018</v>
      </c>
      <c r="E393" t="str">
        <f t="shared" si="114"/>
        <v>1</v>
      </c>
      <c r="F393" t="str">
        <f t="shared" si="111"/>
        <v>COM</v>
      </c>
      <c r="G393" t="str">
        <f t="shared" si="115"/>
        <v>ALYSSON HENRIQUE SOARES DE ARA??JO (1336)</v>
      </c>
      <c r="H393" t="s">
        <v>149</v>
      </c>
      <c r="I393" t="str">
        <f t="shared" si="110"/>
        <v>05/03/2026</v>
      </c>
      <c r="J393" t="str">
        <f t="shared" si="116"/>
        <v>03/03/2026</v>
      </c>
      <c r="K393">
        <v>46086</v>
      </c>
      <c r="N393">
        <v>109</v>
      </c>
      <c r="O393" t="s">
        <v>27</v>
      </c>
      <c r="Q393">
        <v>6.64</v>
      </c>
      <c r="R393" t="str">
        <f>"PAGUE MENOS 1194 (10309)"</f>
        <v>PAGUE MENOS 1194 (10309)</v>
      </c>
      <c r="S393" t="s">
        <v>33</v>
      </c>
      <c r="T393">
        <v>30053</v>
      </c>
      <c r="U393">
        <v>34018</v>
      </c>
      <c r="V393" t="s">
        <v>33</v>
      </c>
    </row>
    <row r="394" spans="1:22">
      <c r="A394" t="str">
        <f t="shared" si="101"/>
        <v>05/03/2026</v>
      </c>
      <c r="B394" t="str">
        <f t="shared" si="109"/>
        <v>SAÍDA</v>
      </c>
      <c r="C394" t="str">
        <f t="shared" si="112"/>
        <v>PIX</v>
      </c>
      <c r="D394" t="str">
        <f t="shared" si="113"/>
        <v>34018</v>
      </c>
      <c r="E394" t="str">
        <f t="shared" si="114"/>
        <v>1</v>
      </c>
      <c r="F394" t="str">
        <f t="shared" si="111"/>
        <v>COM</v>
      </c>
      <c r="G394" t="str">
        <f t="shared" si="115"/>
        <v>ALYSSON HENRIQUE SOARES DE ARA??JO (1336)</v>
      </c>
      <c r="H394" t="s">
        <v>149</v>
      </c>
      <c r="I394" t="str">
        <f t="shared" si="110"/>
        <v>05/03/2026</v>
      </c>
      <c r="J394" t="str">
        <f t="shared" si="116"/>
        <v>03/03/2026</v>
      </c>
      <c r="K394">
        <v>46086</v>
      </c>
      <c r="N394">
        <v>109</v>
      </c>
      <c r="O394" t="s">
        <v>27</v>
      </c>
      <c r="Q394">
        <v>6.54</v>
      </c>
      <c r="R394" t="str">
        <f>"PAGUE MENOS 1327 (10312)"</f>
        <v>PAGUE MENOS 1327 (10312)</v>
      </c>
      <c r="S394" t="s">
        <v>33</v>
      </c>
      <c r="T394">
        <v>30053</v>
      </c>
      <c r="U394">
        <v>34018</v>
      </c>
      <c r="V394" t="s">
        <v>33</v>
      </c>
    </row>
    <row r="395" spans="1:22">
      <c r="A395" t="str">
        <f t="shared" si="101"/>
        <v>05/03/2026</v>
      </c>
      <c r="B395" t="str">
        <f t="shared" si="109"/>
        <v>SAÍDA</v>
      </c>
      <c r="C395" t="str">
        <f t="shared" si="112"/>
        <v>PIX</v>
      </c>
      <c r="D395" t="str">
        <f>"07012026"</f>
        <v>07012026</v>
      </c>
      <c r="E395" t="str">
        <f>"3"</f>
        <v>3</v>
      </c>
      <c r="F395" t="str">
        <f t="shared" si="111"/>
        <v>COM</v>
      </c>
      <c r="G395" t="str">
        <f>"BRUNO NATO DOS SANTOS (20045)"</f>
        <v>BRUNO NATO DOS SANTOS (20045)</v>
      </c>
      <c r="H395" t="str">
        <f>"PAGAMENTO PRESTACAO SERVICOS MENSAL 03/2026"</f>
        <v>PAGAMENTO PRESTACAO SERVICOS MENSAL 03/2026</v>
      </c>
      <c r="I395" t="str">
        <f t="shared" si="110"/>
        <v>05/03/2026</v>
      </c>
      <c r="J395" t="str">
        <f>("05/01/2026")</f>
        <v>05/01/2026</v>
      </c>
      <c r="K395" t="str">
        <f>("05/03/2026")</f>
        <v>05/03/2026</v>
      </c>
      <c r="L395">
        <v>3000</v>
      </c>
      <c r="M395">
        <v>3000</v>
      </c>
      <c r="N395">
        <v>103</v>
      </c>
      <c r="O395" t="str">
        <f>"PAGAMENTO DE FUNCIONÁRIOS"</f>
        <v>PAGAMENTO DE FUNCIONÁRIOS</v>
      </c>
      <c r="P395">
        <v>3000</v>
      </c>
      <c r="S395" t="str">
        <f>"BANCO CORA (102)"</f>
        <v>BANCO CORA (102)</v>
      </c>
      <c r="T395">
        <v>30054</v>
      </c>
      <c r="U395">
        <v>29617</v>
      </c>
      <c r="V395" t="s">
        <v>33</v>
      </c>
    </row>
    <row r="396" spans="1:22">
      <c r="A396" t="str">
        <f t="shared" si="101"/>
        <v>05/03/2026</v>
      </c>
      <c r="B396" t="str">
        <f t="shared" si="109"/>
        <v>SAÍDA</v>
      </c>
      <c r="C396" t="str">
        <f t="shared" si="112"/>
        <v>PIX</v>
      </c>
      <c r="D396" t="str">
        <f>"07012026"</f>
        <v>07012026</v>
      </c>
      <c r="E396" t="str">
        <f>"3"</f>
        <v>3</v>
      </c>
      <c r="F396" t="str">
        <f t="shared" si="111"/>
        <v>COM</v>
      </c>
      <c r="G396" t="str">
        <f>"BRUNO NATO DOS SANTOS (20045)"</f>
        <v>BRUNO NATO DOS SANTOS (20045)</v>
      </c>
      <c r="H396" t="s">
        <v>150</v>
      </c>
      <c r="I396" t="str">
        <f t="shared" si="110"/>
        <v>05/03/2026</v>
      </c>
      <c r="J396" t="str">
        <f>("05/01/2026")</f>
        <v>05/01/2026</v>
      </c>
      <c r="K396">
        <v>46086</v>
      </c>
      <c r="N396">
        <v>103</v>
      </c>
      <c r="O396" t="s">
        <v>151</v>
      </c>
      <c r="Q396">
        <v>3000</v>
      </c>
      <c r="R396" t="str">
        <f>"BRUNO NATO DOS SANTOS (20045)"</f>
        <v>BRUNO NATO DOS SANTOS (20045)</v>
      </c>
      <c r="S396" t="s">
        <v>33</v>
      </c>
      <c r="T396">
        <v>30054</v>
      </c>
      <c r="U396">
        <v>29617</v>
      </c>
      <c r="V396" t="s">
        <v>33</v>
      </c>
    </row>
    <row r="397" spans="1:22">
      <c r="A397" t="str">
        <f t="shared" si="101"/>
        <v>05/03/2026</v>
      </c>
      <c r="B397" t="str">
        <f t="shared" si="109"/>
        <v>SAÍDA</v>
      </c>
      <c r="C397" t="str">
        <f t="shared" si="112"/>
        <v>PIX</v>
      </c>
      <c r="D397" t="str">
        <f t="shared" ref="D397:D407" si="117">"34020"</f>
        <v>34020</v>
      </c>
      <c r="E397" t="str">
        <f t="shared" ref="E397:E407" si="118">"1"</f>
        <v>1</v>
      </c>
      <c r="F397" t="str">
        <f t="shared" si="111"/>
        <v>COM</v>
      </c>
      <c r="G397" t="str">
        <f t="shared" ref="G397:G407" si="119">"EURIPEDES BARSANULFO DE ANDRADE  (25)"</f>
        <v>EURIPEDES BARSANULFO DE ANDRADE  (25)</v>
      </c>
      <c r="H397" t="str">
        <f>"Serv.Prest. 23/02/2026 a 01/03/2026 - PIX: CPF - CHAVE: 866.153.356-20"</f>
        <v>Serv.Prest. 23/02/2026 a 01/03/2026 - PIX: CPF - CHAVE: 866.153.356-20</v>
      </c>
      <c r="I397" t="str">
        <f t="shared" si="110"/>
        <v>05/03/2026</v>
      </c>
      <c r="J397" t="str">
        <f t="shared" ref="J397:J407" si="120">("03/03/2026")</f>
        <v>03/03/2026</v>
      </c>
      <c r="K397" t="str">
        <f>("05/03/2026")</f>
        <v>05/03/2026</v>
      </c>
      <c r="L397">
        <v>542</v>
      </c>
      <c r="M397">
        <v>860</v>
      </c>
      <c r="N397">
        <v>109</v>
      </c>
      <c r="O397" t="str">
        <f>"PAGAMENTO DE ENTREGADORES"</f>
        <v>PAGAMENTO DE ENTREGADORES</v>
      </c>
      <c r="P397">
        <v>860</v>
      </c>
      <c r="S397" t="str">
        <f>"BANCO CORA (102)"</f>
        <v>BANCO CORA (102)</v>
      </c>
      <c r="T397">
        <v>30058</v>
      </c>
      <c r="U397">
        <v>34020</v>
      </c>
      <c r="V397" t="s">
        <v>33</v>
      </c>
    </row>
    <row r="398" spans="1:22">
      <c r="A398" t="str">
        <f t="shared" si="101"/>
        <v>05/03/2026</v>
      </c>
      <c r="B398" t="str">
        <f t="shared" si="109"/>
        <v>SAÍDA</v>
      </c>
      <c r="C398" t="str">
        <f t="shared" si="112"/>
        <v>PIX</v>
      </c>
      <c r="D398" t="str">
        <f t="shared" si="117"/>
        <v>34020</v>
      </c>
      <c r="E398" t="str">
        <f t="shared" si="118"/>
        <v>1</v>
      </c>
      <c r="F398" t="str">
        <f t="shared" si="111"/>
        <v>COM</v>
      </c>
      <c r="G398" t="str">
        <f t="shared" si="119"/>
        <v>EURIPEDES BARSANULFO DE ANDRADE  (25)</v>
      </c>
      <c r="H398" t="s">
        <v>152</v>
      </c>
      <c r="I398" t="str">
        <f t="shared" si="110"/>
        <v>05/03/2026</v>
      </c>
      <c r="J398" t="str">
        <f t="shared" si="120"/>
        <v>03/03/2026</v>
      </c>
      <c r="K398">
        <v>46086</v>
      </c>
      <c r="N398">
        <v>109</v>
      </c>
      <c r="O398" t="s">
        <v>27</v>
      </c>
      <c r="Q398">
        <v>8.77</v>
      </c>
      <c r="R398" t="str">
        <f>"PAGUE MENOS 311 (10299)"</f>
        <v>PAGUE MENOS 311 (10299)</v>
      </c>
      <c r="S398" t="s">
        <v>33</v>
      </c>
      <c r="T398">
        <v>30058</v>
      </c>
      <c r="U398">
        <v>34020</v>
      </c>
      <c r="V398" t="s">
        <v>33</v>
      </c>
    </row>
    <row r="399" spans="1:22">
      <c r="A399" t="str">
        <f t="shared" si="101"/>
        <v>05/03/2026</v>
      </c>
      <c r="B399" t="str">
        <f t="shared" si="109"/>
        <v>SAÍDA</v>
      </c>
      <c r="C399" t="str">
        <f t="shared" si="112"/>
        <v>PIX</v>
      </c>
      <c r="D399" t="str">
        <f t="shared" si="117"/>
        <v>34020</v>
      </c>
      <c r="E399" t="str">
        <f t="shared" si="118"/>
        <v>1</v>
      </c>
      <c r="F399" t="str">
        <f t="shared" si="111"/>
        <v>COM</v>
      </c>
      <c r="G399" t="str">
        <f t="shared" si="119"/>
        <v>EURIPEDES BARSANULFO DE ANDRADE  (25)</v>
      </c>
      <c r="H399" t="s">
        <v>152</v>
      </c>
      <c r="I399" t="str">
        <f t="shared" si="110"/>
        <v>05/03/2026</v>
      </c>
      <c r="J399" t="str">
        <f t="shared" si="120"/>
        <v>03/03/2026</v>
      </c>
      <c r="K399">
        <v>46086</v>
      </c>
      <c r="N399">
        <v>109</v>
      </c>
      <c r="O399" t="s">
        <v>27</v>
      </c>
      <c r="Q399">
        <v>236.93</v>
      </c>
      <c r="R399" t="str">
        <f>"PAGUE MENOS 377 (10300)"</f>
        <v>PAGUE MENOS 377 (10300)</v>
      </c>
      <c r="S399" t="s">
        <v>33</v>
      </c>
      <c r="T399">
        <v>30058</v>
      </c>
      <c r="U399">
        <v>34020</v>
      </c>
      <c r="V399" t="s">
        <v>33</v>
      </c>
    </row>
    <row r="400" spans="1:22">
      <c r="A400" t="str">
        <f t="shared" si="101"/>
        <v>05/03/2026</v>
      </c>
      <c r="B400" t="str">
        <f t="shared" si="109"/>
        <v>SAÍDA</v>
      </c>
      <c r="C400" t="str">
        <f t="shared" si="112"/>
        <v>PIX</v>
      </c>
      <c r="D400" t="str">
        <f t="shared" si="117"/>
        <v>34020</v>
      </c>
      <c r="E400" t="str">
        <f t="shared" si="118"/>
        <v>1</v>
      </c>
      <c r="F400" t="str">
        <f t="shared" si="111"/>
        <v>COM</v>
      </c>
      <c r="G400" t="str">
        <f t="shared" si="119"/>
        <v>EURIPEDES BARSANULFO DE ANDRADE  (25)</v>
      </c>
      <c r="H400" t="s">
        <v>152</v>
      </c>
      <c r="I400" t="str">
        <f t="shared" si="110"/>
        <v>05/03/2026</v>
      </c>
      <c r="J400" t="str">
        <f t="shared" si="120"/>
        <v>03/03/2026</v>
      </c>
      <c r="K400">
        <v>46086</v>
      </c>
      <c r="N400">
        <v>109</v>
      </c>
      <c r="O400" t="s">
        <v>27</v>
      </c>
      <c r="Q400">
        <v>52.63</v>
      </c>
      <c r="R400" t="str">
        <f>"PAGUE MENOS 548 (10303)"</f>
        <v>PAGUE MENOS 548 (10303)</v>
      </c>
      <c r="S400" t="s">
        <v>33</v>
      </c>
      <c r="T400">
        <v>30058</v>
      </c>
      <c r="U400">
        <v>34020</v>
      </c>
      <c r="V400" t="s">
        <v>33</v>
      </c>
    </row>
    <row r="401" spans="1:22">
      <c r="A401" t="str">
        <f t="shared" si="101"/>
        <v>05/03/2026</v>
      </c>
      <c r="B401" t="str">
        <f t="shared" si="109"/>
        <v>SAÍDA</v>
      </c>
      <c r="C401" t="str">
        <f t="shared" si="112"/>
        <v>PIX</v>
      </c>
      <c r="D401" t="str">
        <f t="shared" si="117"/>
        <v>34020</v>
      </c>
      <c r="E401" t="str">
        <f t="shared" si="118"/>
        <v>1</v>
      </c>
      <c r="F401" t="str">
        <f t="shared" si="111"/>
        <v>COM</v>
      </c>
      <c r="G401" t="str">
        <f t="shared" si="119"/>
        <v>EURIPEDES BARSANULFO DE ANDRADE  (25)</v>
      </c>
      <c r="H401" t="s">
        <v>152</v>
      </c>
      <c r="I401" t="str">
        <f t="shared" si="110"/>
        <v>05/03/2026</v>
      </c>
      <c r="J401" t="str">
        <f t="shared" si="120"/>
        <v>03/03/2026</v>
      </c>
      <c r="K401">
        <v>46086</v>
      </c>
      <c r="N401">
        <v>109</v>
      </c>
      <c r="O401" t="s">
        <v>27</v>
      </c>
      <c r="Q401">
        <v>8.77</v>
      </c>
      <c r="R401" t="str">
        <f>"PAGUE MENOS 751 (10304)"</f>
        <v>PAGUE MENOS 751 (10304)</v>
      </c>
      <c r="S401" t="s">
        <v>33</v>
      </c>
      <c r="T401">
        <v>30058</v>
      </c>
      <c r="U401">
        <v>34020</v>
      </c>
      <c r="V401" t="s">
        <v>33</v>
      </c>
    </row>
    <row r="402" spans="1:22">
      <c r="A402" t="str">
        <f t="shared" si="101"/>
        <v>05/03/2026</v>
      </c>
      <c r="B402" t="str">
        <f t="shared" si="109"/>
        <v>SAÍDA</v>
      </c>
      <c r="C402" t="str">
        <f t="shared" si="112"/>
        <v>PIX</v>
      </c>
      <c r="D402" t="str">
        <f t="shared" si="117"/>
        <v>34020</v>
      </c>
      <c r="E402" t="str">
        <f t="shared" si="118"/>
        <v>1</v>
      </c>
      <c r="F402" t="str">
        <f t="shared" si="111"/>
        <v>COM</v>
      </c>
      <c r="G402" t="str">
        <f t="shared" si="119"/>
        <v>EURIPEDES BARSANULFO DE ANDRADE  (25)</v>
      </c>
      <c r="H402" t="s">
        <v>152</v>
      </c>
      <c r="I402" t="str">
        <f t="shared" si="110"/>
        <v>05/03/2026</v>
      </c>
      <c r="J402" t="str">
        <f t="shared" si="120"/>
        <v>03/03/2026</v>
      </c>
      <c r="K402">
        <v>46086</v>
      </c>
      <c r="N402">
        <v>109</v>
      </c>
      <c r="O402" t="s">
        <v>27</v>
      </c>
      <c r="Q402">
        <v>26.32</v>
      </c>
      <c r="R402" t="str">
        <f>"PAGUE MENOS 879 (10305)"</f>
        <v>PAGUE MENOS 879 (10305)</v>
      </c>
      <c r="S402" t="s">
        <v>33</v>
      </c>
      <c r="T402">
        <v>30058</v>
      </c>
      <c r="U402">
        <v>34020</v>
      </c>
      <c r="V402" t="s">
        <v>33</v>
      </c>
    </row>
    <row r="403" spans="1:22">
      <c r="A403" t="str">
        <f t="shared" si="101"/>
        <v>05/03/2026</v>
      </c>
      <c r="B403" t="str">
        <f t="shared" si="109"/>
        <v>SAÍDA</v>
      </c>
      <c r="C403" t="str">
        <f t="shared" si="112"/>
        <v>PIX</v>
      </c>
      <c r="D403" t="str">
        <f t="shared" si="117"/>
        <v>34020</v>
      </c>
      <c r="E403" t="str">
        <f t="shared" si="118"/>
        <v>1</v>
      </c>
      <c r="F403" t="str">
        <f t="shared" si="111"/>
        <v>COM</v>
      </c>
      <c r="G403" t="str">
        <f t="shared" si="119"/>
        <v>EURIPEDES BARSANULFO DE ANDRADE  (25)</v>
      </c>
      <c r="H403" t="s">
        <v>152</v>
      </c>
      <c r="I403" t="str">
        <f t="shared" si="110"/>
        <v>05/03/2026</v>
      </c>
      <c r="J403" t="str">
        <f t="shared" si="120"/>
        <v>03/03/2026</v>
      </c>
      <c r="K403">
        <v>46086</v>
      </c>
      <c r="N403">
        <v>109</v>
      </c>
      <c r="O403" t="s">
        <v>27</v>
      </c>
      <c r="Q403">
        <v>315.88</v>
      </c>
      <c r="R403" t="str">
        <f>"PAGUE MENOS 1155 (10307)"</f>
        <v>PAGUE MENOS 1155 (10307)</v>
      </c>
      <c r="S403" t="s">
        <v>33</v>
      </c>
      <c r="T403">
        <v>30058</v>
      </c>
      <c r="U403">
        <v>34020</v>
      </c>
      <c r="V403" t="s">
        <v>33</v>
      </c>
    </row>
    <row r="404" spans="1:22">
      <c r="A404" t="str">
        <f t="shared" si="101"/>
        <v>05/03/2026</v>
      </c>
      <c r="B404" t="str">
        <f t="shared" si="109"/>
        <v>SAÍDA</v>
      </c>
      <c r="C404" t="str">
        <f t="shared" si="112"/>
        <v>PIX</v>
      </c>
      <c r="D404" t="str">
        <f t="shared" si="117"/>
        <v>34020</v>
      </c>
      <c r="E404" t="str">
        <f t="shared" si="118"/>
        <v>1</v>
      </c>
      <c r="F404" t="str">
        <f t="shared" si="111"/>
        <v>COM</v>
      </c>
      <c r="G404" t="str">
        <f t="shared" si="119"/>
        <v>EURIPEDES BARSANULFO DE ANDRADE  (25)</v>
      </c>
      <c r="H404" t="s">
        <v>152</v>
      </c>
      <c r="I404" t="str">
        <f t="shared" si="110"/>
        <v>05/03/2026</v>
      </c>
      <c r="J404" t="str">
        <f t="shared" si="120"/>
        <v>03/03/2026</v>
      </c>
      <c r="K404">
        <v>46086</v>
      </c>
      <c r="N404">
        <v>109</v>
      </c>
      <c r="O404" t="s">
        <v>27</v>
      </c>
      <c r="Q404">
        <v>175.53</v>
      </c>
      <c r="R404" t="str">
        <f>"PAGUE MENOS 1156 (10308)"</f>
        <v>PAGUE MENOS 1156 (10308)</v>
      </c>
      <c r="S404" t="s">
        <v>33</v>
      </c>
      <c r="T404">
        <v>30058</v>
      </c>
      <c r="U404">
        <v>34020</v>
      </c>
      <c r="V404" t="s">
        <v>33</v>
      </c>
    </row>
    <row r="405" spans="1:22">
      <c r="A405" t="str">
        <f t="shared" si="101"/>
        <v>05/03/2026</v>
      </c>
      <c r="B405" t="str">
        <f t="shared" si="109"/>
        <v>SAÍDA</v>
      </c>
      <c r="C405" t="str">
        <f t="shared" si="112"/>
        <v>PIX</v>
      </c>
      <c r="D405" t="str">
        <f t="shared" si="117"/>
        <v>34020</v>
      </c>
      <c r="E405" t="str">
        <f t="shared" si="118"/>
        <v>1</v>
      </c>
      <c r="F405" t="str">
        <f t="shared" si="111"/>
        <v>COM</v>
      </c>
      <c r="G405" t="str">
        <f t="shared" si="119"/>
        <v>EURIPEDES BARSANULFO DE ANDRADE  (25)</v>
      </c>
      <c r="H405" t="s">
        <v>152</v>
      </c>
      <c r="I405" t="str">
        <f t="shared" si="110"/>
        <v>05/03/2026</v>
      </c>
      <c r="J405" t="str">
        <f t="shared" si="120"/>
        <v>03/03/2026</v>
      </c>
      <c r="K405">
        <v>46086</v>
      </c>
      <c r="N405">
        <v>109</v>
      </c>
      <c r="O405" t="s">
        <v>27</v>
      </c>
      <c r="Q405">
        <v>17.54</v>
      </c>
      <c r="R405" t="str">
        <f>"PAGUE MENOS 1194 (10309)"</f>
        <v>PAGUE MENOS 1194 (10309)</v>
      </c>
      <c r="S405" t="s">
        <v>33</v>
      </c>
      <c r="T405">
        <v>30058</v>
      </c>
      <c r="U405">
        <v>34020</v>
      </c>
      <c r="V405" t="s">
        <v>33</v>
      </c>
    </row>
    <row r="406" spans="1:22">
      <c r="A406" t="str">
        <f t="shared" si="101"/>
        <v>05/03/2026</v>
      </c>
      <c r="B406" t="str">
        <f t="shared" si="109"/>
        <v>SAÍDA</v>
      </c>
      <c r="C406" t="str">
        <f t="shared" si="112"/>
        <v>PIX</v>
      </c>
      <c r="D406" t="str">
        <f t="shared" si="117"/>
        <v>34020</v>
      </c>
      <c r="E406" t="str">
        <f t="shared" si="118"/>
        <v>1</v>
      </c>
      <c r="F406" t="str">
        <f t="shared" si="111"/>
        <v>COM</v>
      </c>
      <c r="G406" t="str">
        <f t="shared" si="119"/>
        <v>EURIPEDES BARSANULFO DE ANDRADE  (25)</v>
      </c>
      <c r="H406" t="s">
        <v>152</v>
      </c>
      <c r="I406" t="str">
        <f t="shared" si="110"/>
        <v>05/03/2026</v>
      </c>
      <c r="J406" t="str">
        <f t="shared" si="120"/>
        <v>03/03/2026</v>
      </c>
      <c r="K406">
        <v>46086</v>
      </c>
      <c r="N406">
        <v>109</v>
      </c>
      <c r="O406" t="s">
        <v>27</v>
      </c>
      <c r="Q406">
        <v>8.77</v>
      </c>
      <c r="R406" t="str">
        <f>"PAGUE MENOS 1195 (10310)"</f>
        <v>PAGUE MENOS 1195 (10310)</v>
      </c>
      <c r="S406" t="s">
        <v>33</v>
      </c>
      <c r="T406">
        <v>30058</v>
      </c>
      <c r="U406">
        <v>34020</v>
      </c>
      <c r="V406" t="s">
        <v>33</v>
      </c>
    </row>
    <row r="407" spans="1:22">
      <c r="A407" t="str">
        <f t="shared" si="101"/>
        <v>05/03/2026</v>
      </c>
      <c r="B407" t="str">
        <f t="shared" si="109"/>
        <v>SAÍDA</v>
      </c>
      <c r="C407" t="str">
        <f t="shared" si="112"/>
        <v>PIX</v>
      </c>
      <c r="D407" t="str">
        <f t="shared" si="117"/>
        <v>34020</v>
      </c>
      <c r="E407" t="str">
        <f t="shared" si="118"/>
        <v>1</v>
      </c>
      <c r="F407" t="str">
        <f t="shared" si="111"/>
        <v>COM</v>
      </c>
      <c r="G407" t="str">
        <f t="shared" si="119"/>
        <v>EURIPEDES BARSANULFO DE ANDRADE  (25)</v>
      </c>
      <c r="H407" t="s">
        <v>152</v>
      </c>
      <c r="I407" t="str">
        <f t="shared" si="110"/>
        <v>05/03/2026</v>
      </c>
      <c r="J407" t="str">
        <f t="shared" si="120"/>
        <v>03/03/2026</v>
      </c>
      <c r="K407">
        <v>46086</v>
      </c>
      <c r="N407">
        <v>109</v>
      </c>
      <c r="O407" t="s">
        <v>27</v>
      </c>
      <c r="Q407">
        <v>8.86</v>
      </c>
      <c r="R407" t="str">
        <f>"PAGUE MENOS 1327 (10312)"</f>
        <v>PAGUE MENOS 1327 (10312)</v>
      </c>
      <c r="S407" t="s">
        <v>33</v>
      </c>
      <c r="T407">
        <v>30058</v>
      </c>
      <c r="U407">
        <v>34020</v>
      </c>
      <c r="V407" t="s">
        <v>33</v>
      </c>
    </row>
    <row r="408" spans="1:22">
      <c r="A408" t="str">
        <f t="shared" si="101"/>
        <v>05/03/2026</v>
      </c>
      <c r="B408" t="str">
        <f t="shared" si="109"/>
        <v>SAÍDA</v>
      </c>
      <c r="C408" t="str">
        <f t="shared" si="112"/>
        <v>PIX</v>
      </c>
      <c r="D408" t="str">
        <f>"010525139"</f>
        <v>010525139</v>
      </c>
      <c r="E408" t="str">
        <f>"11"</f>
        <v>11</v>
      </c>
      <c r="F408" t="str">
        <f t="shared" si="111"/>
        <v>COM</v>
      </c>
      <c r="G408" t="str">
        <f>"GUSTAVO CESAR DE REZENDE (20060)"</f>
        <v>GUSTAVO CESAR DE REZENDE (20060)</v>
      </c>
      <c r="H408" t="str">
        <f>"REEMBOLSO MENSALIDADE PACOTE ADOBE"</f>
        <v>REEMBOLSO MENSALIDADE PACOTE ADOBE</v>
      </c>
      <c r="I408" t="str">
        <f t="shared" si="110"/>
        <v>05/03/2026</v>
      </c>
      <c r="J408" t="str">
        <f>("01/05/2025")</f>
        <v>01/05/2025</v>
      </c>
      <c r="K408" t="str">
        <f>("05/03/2026")</f>
        <v>05/03/2026</v>
      </c>
      <c r="L408">
        <v>139</v>
      </c>
      <c r="M408">
        <v>139</v>
      </c>
      <c r="N408">
        <v>104</v>
      </c>
      <c r="O408" t="str">
        <f>"SOFTWARE / LICENÇAS"</f>
        <v>SOFTWARE / LICENÇAS</v>
      </c>
      <c r="P408">
        <v>139</v>
      </c>
      <c r="S408" t="str">
        <f>"BANCO C6 (149)"</f>
        <v>BANCO C6 (149)</v>
      </c>
      <c r="T408">
        <v>30060</v>
      </c>
      <c r="U408">
        <v>16749</v>
      </c>
      <c r="V408" t="s">
        <v>37</v>
      </c>
    </row>
    <row r="409" spans="1:22">
      <c r="A409" t="str">
        <f t="shared" si="101"/>
        <v>05/03/2026</v>
      </c>
      <c r="B409" t="str">
        <f t="shared" si="109"/>
        <v>SAÍDA</v>
      </c>
      <c r="C409" t="str">
        <f t="shared" si="112"/>
        <v>PIX</v>
      </c>
      <c r="D409" t="str">
        <f>"010525139"</f>
        <v>010525139</v>
      </c>
      <c r="E409" t="str">
        <f>"11"</f>
        <v>11</v>
      </c>
      <c r="F409" t="str">
        <f t="shared" si="111"/>
        <v>COM</v>
      </c>
      <c r="G409" t="str">
        <f>"GUSTAVO CESAR DE REZENDE (20060)"</f>
        <v>GUSTAVO CESAR DE REZENDE (20060)</v>
      </c>
      <c r="H409" t="s">
        <v>153</v>
      </c>
      <c r="I409" t="str">
        <f t="shared" si="110"/>
        <v>05/03/2026</v>
      </c>
      <c r="J409" t="str">
        <f>("01/05/2025")</f>
        <v>01/05/2025</v>
      </c>
      <c r="K409">
        <v>46086</v>
      </c>
      <c r="N409">
        <v>104</v>
      </c>
      <c r="O409" t="s">
        <v>39</v>
      </c>
      <c r="Q409">
        <v>139</v>
      </c>
      <c r="R409" t="str">
        <f>"GUSTAVO CESAR DE REZENDE (20060)"</f>
        <v>GUSTAVO CESAR DE REZENDE (20060)</v>
      </c>
      <c r="S409" t="s">
        <v>37</v>
      </c>
      <c r="T409">
        <v>30060</v>
      </c>
      <c r="U409">
        <v>16749</v>
      </c>
      <c r="V409" t="s">
        <v>37</v>
      </c>
    </row>
    <row r="410" spans="1:22">
      <c r="A410" t="str">
        <f t="shared" si="101"/>
        <v>05/03/2026</v>
      </c>
      <c r="B410" t="str">
        <f t="shared" si="109"/>
        <v>SAÍDA</v>
      </c>
      <c r="C410" t="str">
        <f t="shared" si="112"/>
        <v>PIX</v>
      </c>
      <c r="D410" t="str">
        <f>"07012026"</f>
        <v>07012026</v>
      </c>
      <c r="E410" t="str">
        <f>"3"</f>
        <v>3</v>
      </c>
      <c r="F410" t="str">
        <f t="shared" si="111"/>
        <v>COM</v>
      </c>
      <c r="G410" t="str">
        <f>"ADRIELLE APARECIDA PALOMINO (20029)"</f>
        <v>ADRIELLE APARECIDA PALOMINO (20029)</v>
      </c>
      <c r="H410" t="str">
        <f>"PAGAMENTO SERVIÇO MENSAL REF. 01/2026"</f>
        <v>PAGAMENTO SERVIÇO MENSAL REF. 01/2026</v>
      </c>
      <c r="I410" t="str">
        <f t="shared" si="110"/>
        <v>05/03/2026</v>
      </c>
      <c r="J410" t="str">
        <f t="shared" ref="J410:J421" si="121">("05/01/2026")</f>
        <v>05/01/2026</v>
      </c>
      <c r="K410" t="str">
        <f>("05/03/2026")</f>
        <v>05/03/2026</v>
      </c>
      <c r="L410">
        <v>1200</v>
      </c>
      <c r="M410">
        <v>1200</v>
      </c>
      <c r="N410">
        <v>103</v>
      </c>
      <c r="O410" t="str">
        <f>"PAGAMENTO DE FUNCIONÁRIOS"</f>
        <v>PAGAMENTO DE FUNCIONÁRIOS</v>
      </c>
      <c r="P410">
        <v>1200</v>
      </c>
      <c r="S410" t="str">
        <f>"BANCO C6 (149)"</f>
        <v>BANCO C6 (149)</v>
      </c>
      <c r="T410">
        <v>30061</v>
      </c>
      <c r="U410">
        <v>29591</v>
      </c>
      <c r="V410" t="s">
        <v>37</v>
      </c>
    </row>
    <row r="411" spans="1:22">
      <c r="A411" t="str">
        <f t="shared" si="101"/>
        <v>05/03/2026</v>
      </c>
      <c r="B411" t="str">
        <f t="shared" si="109"/>
        <v>SAÍDA</v>
      </c>
      <c r="C411" t="str">
        <f t="shared" si="112"/>
        <v>PIX</v>
      </c>
      <c r="D411" t="str">
        <f>"07012026"</f>
        <v>07012026</v>
      </c>
      <c r="E411" t="str">
        <f>"3"</f>
        <v>3</v>
      </c>
      <c r="F411" t="str">
        <f t="shared" si="111"/>
        <v>COM</v>
      </c>
      <c r="G411" t="str">
        <f>"ADRIELLE APARECIDA PALOMINO (20029)"</f>
        <v>ADRIELLE APARECIDA PALOMINO (20029)</v>
      </c>
      <c r="H411" t="s">
        <v>154</v>
      </c>
      <c r="I411" t="str">
        <f t="shared" si="110"/>
        <v>05/03/2026</v>
      </c>
      <c r="J411" t="str">
        <f t="shared" si="121"/>
        <v>05/01/2026</v>
      </c>
      <c r="K411">
        <v>46086</v>
      </c>
      <c r="N411">
        <v>103</v>
      </c>
      <c r="O411" t="s">
        <v>151</v>
      </c>
      <c r="Q411">
        <v>1200</v>
      </c>
      <c r="R411" t="str">
        <f>"ADRIELLE APARECIDA PALOMINO (20029)"</f>
        <v>ADRIELLE APARECIDA PALOMINO (20029)</v>
      </c>
      <c r="S411" t="s">
        <v>37</v>
      </c>
      <c r="T411">
        <v>30061</v>
      </c>
      <c r="U411">
        <v>29591</v>
      </c>
      <c r="V411" t="s">
        <v>37</v>
      </c>
    </row>
    <row r="412" spans="1:22">
      <c r="A412" t="str">
        <f t="shared" si="101"/>
        <v>05/03/2026</v>
      </c>
      <c r="B412" t="str">
        <f t="shared" si="109"/>
        <v>SAÍDA</v>
      </c>
      <c r="C412" t="str">
        <f t="shared" si="112"/>
        <v>PIX</v>
      </c>
      <c r="D412" t="str">
        <f>"07012026"</f>
        <v>07012026</v>
      </c>
      <c r="E412" t="str">
        <f>"3"</f>
        <v>3</v>
      </c>
      <c r="F412" t="str">
        <f t="shared" si="111"/>
        <v>COM</v>
      </c>
      <c r="G412" t="str">
        <f>"63.639.885 FRANCINNE SANTOS WILLON (20123)"</f>
        <v>63.639.885 FRANCINNE SANTOS WILLON (20123)</v>
      </c>
      <c r="H412" t="str">
        <f>"PAGAMENTO PRESTACAO SERVICOS MENSAL 03/2026"</f>
        <v>PAGAMENTO PRESTACAO SERVICOS MENSAL 03/2026</v>
      </c>
      <c r="I412" t="str">
        <f t="shared" si="110"/>
        <v>05/03/2026</v>
      </c>
      <c r="J412" t="str">
        <f t="shared" si="121"/>
        <v>05/01/2026</v>
      </c>
      <c r="K412" t="str">
        <f>("05/03/2026")</f>
        <v>05/03/2026</v>
      </c>
      <c r="L412">
        <v>3500</v>
      </c>
      <c r="M412">
        <v>3500</v>
      </c>
      <c r="N412">
        <v>103</v>
      </c>
      <c r="O412" t="str">
        <f>"PAGAMENTO DE FUNCIONÁRIOS"</f>
        <v>PAGAMENTO DE FUNCIONÁRIOS</v>
      </c>
      <c r="P412">
        <v>3500</v>
      </c>
      <c r="S412" t="str">
        <f>"BANCO C6 (149)"</f>
        <v>BANCO C6 (149)</v>
      </c>
      <c r="T412">
        <v>30062</v>
      </c>
      <c r="U412">
        <v>29605</v>
      </c>
      <c r="V412" t="s">
        <v>37</v>
      </c>
    </row>
    <row r="413" spans="1:22">
      <c r="A413" t="str">
        <f t="shared" si="101"/>
        <v>05/03/2026</v>
      </c>
      <c r="B413" t="str">
        <f t="shared" si="109"/>
        <v>SAÍDA</v>
      </c>
      <c r="C413" t="str">
        <f t="shared" si="112"/>
        <v>PIX</v>
      </c>
      <c r="D413" t="str">
        <f>"07012026"</f>
        <v>07012026</v>
      </c>
      <c r="E413" t="str">
        <f>"3"</f>
        <v>3</v>
      </c>
      <c r="F413" t="str">
        <f t="shared" si="111"/>
        <v>COM</v>
      </c>
      <c r="G413" t="str">
        <f>"63.639.885 FRANCINNE SANTOS WILLON (20123)"</f>
        <v>63.639.885 FRANCINNE SANTOS WILLON (20123)</v>
      </c>
      <c r="H413" t="s">
        <v>150</v>
      </c>
      <c r="I413" t="str">
        <f t="shared" si="110"/>
        <v>05/03/2026</v>
      </c>
      <c r="J413" t="str">
        <f t="shared" si="121"/>
        <v>05/01/2026</v>
      </c>
      <c r="K413">
        <v>46086</v>
      </c>
      <c r="N413">
        <v>103</v>
      </c>
      <c r="O413" t="s">
        <v>151</v>
      </c>
      <c r="Q413">
        <v>3500</v>
      </c>
      <c r="R413" t="str">
        <f>"63.639.885 FRANCINNE SANTOS WILLON (20123)"</f>
        <v>63.639.885 FRANCINNE SANTOS WILLON (20123)</v>
      </c>
      <c r="S413" t="s">
        <v>37</v>
      </c>
      <c r="T413">
        <v>30062</v>
      </c>
      <c r="U413">
        <v>29605</v>
      </c>
      <c r="V413" t="s">
        <v>37</v>
      </c>
    </row>
    <row r="414" spans="1:22">
      <c r="A414" t="str">
        <f t="shared" si="101"/>
        <v>05/03/2026</v>
      </c>
      <c r="B414" t="str">
        <f t="shared" si="109"/>
        <v>SAÍDA</v>
      </c>
      <c r="C414" t="str">
        <f t="shared" si="112"/>
        <v>PIX</v>
      </c>
      <c r="D414" t="str">
        <f>"01"</f>
        <v>01</v>
      </c>
      <c r="E414" t="str">
        <f>"15"</f>
        <v>15</v>
      </c>
      <c r="F414" t="str">
        <f t="shared" si="111"/>
        <v>COM</v>
      </c>
      <c r="G414" t="str">
        <f>"GUSTAVO CESAR DE REZENDE (20060)"</f>
        <v>GUSTAVO CESAR DE REZENDE (20060)</v>
      </c>
      <c r="H414" t="str">
        <f>"PRESTACAO DE SERVICOS 03/2026"</f>
        <v>PRESTACAO DE SERVICOS 03/2026</v>
      </c>
      <c r="I414" t="str">
        <f t="shared" si="110"/>
        <v>05/03/2026</v>
      </c>
      <c r="J414" t="str">
        <f t="shared" si="121"/>
        <v>05/01/2026</v>
      </c>
      <c r="K414" t="str">
        <f>("05/03/2026")</f>
        <v>05/03/2026</v>
      </c>
      <c r="L414">
        <v>3500</v>
      </c>
      <c r="M414">
        <v>3500</v>
      </c>
      <c r="N414">
        <v>103</v>
      </c>
      <c r="O414" t="str">
        <f>"PAGAMENTO DE FUNCIONÁRIOS"</f>
        <v>PAGAMENTO DE FUNCIONÁRIOS</v>
      </c>
      <c r="P414">
        <v>3500</v>
      </c>
      <c r="S414" t="str">
        <f>"BANCO C6 (149)"</f>
        <v>BANCO C6 (149)</v>
      </c>
      <c r="T414">
        <v>30063</v>
      </c>
      <c r="U414">
        <v>29629</v>
      </c>
      <c r="V414" t="s">
        <v>37</v>
      </c>
    </row>
    <row r="415" spans="1:22">
      <c r="A415" t="str">
        <f t="shared" si="101"/>
        <v>05/03/2026</v>
      </c>
      <c r="B415" t="str">
        <f t="shared" si="109"/>
        <v>SAÍDA</v>
      </c>
      <c r="C415" t="str">
        <f t="shared" si="112"/>
        <v>PIX</v>
      </c>
      <c r="D415" t="str">
        <f>"01"</f>
        <v>01</v>
      </c>
      <c r="E415" t="str">
        <f>"15"</f>
        <v>15</v>
      </c>
      <c r="F415" t="str">
        <f t="shared" si="111"/>
        <v>COM</v>
      </c>
      <c r="G415" t="str">
        <f>"GUSTAVO CESAR DE REZENDE (20060)"</f>
        <v>GUSTAVO CESAR DE REZENDE (20060)</v>
      </c>
      <c r="H415" t="s">
        <v>155</v>
      </c>
      <c r="I415" t="str">
        <f t="shared" si="110"/>
        <v>05/03/2026</v>
      </c>
      <c r="J415" t="str">
        <f t="shared" si="121"/>
        <v>05/01/2026</v>
      </c>
      <c r="K415">
        <v>46086</v>
      </c>
      <c r="N415">
        <v>103</v>
      </c>
      <c r="O415" t="s">
        <v>151</v>
      </c>
      <c r="Q415">
        <v>3500</v>
      </c>
      <c r="R415" t="str">
        <f>"GUSTAVO CESAR DE REZENDE (20060)"</f>
        <v>GUSTAVO CESAR DE REZENDE (20060)</v>
      </c>
      <c r="S415" t="s">
        <v>37</v>
      </c>
      <c r="T415">
        <v>30063</v>
      </c>
      <c r="U415">
        <v>29629</v>
      </c>
      <c r="V415" t="s">
        <v>37</v>
      </c>
    </row>
    <row r="416" spans="1:22">
      <c r="A416" t="str">
        <f t="shared" ref="A416:A479" si="122">("05/03/2026")</f>
        <v>05/03/2026</v>
      </c>
      <c r="B416" t="str">
        <f t="shared" si="109"/>
        <v>SAÍDA</v>
      </c>
      <c r="C416" t="str">
        <f t="shared" si="112"/>
        <v>PIX</v>
      </c>
      <c r="D416" t="str">
        <f>"07012026"</f>
        <v>07012026</v>
      </c>
      <c r="E416" t="str">
        <f t="shared" ref="E416:E421" si="123">"3"</f>
        <v>3</v>
      </c>
      <c r="F416" t="str">
        <f t="shared" si="111"/>
        <v>COM</v>
      </c>
      <c r="G416" t="str">
        <f>"NATAN ALVES DA SILVA SA (20005)"</f>
        <v>NATAN ALVES DA SILVA SA (20005)</v>
      </c>
      <c r="H416" t="str">
        <f>"PAGAMENTO PRESTACAO SERVICOS MENSAL 01/2026"</f>
        <v>PAGAMENTO PRESTACAO SERVICOS MENSAL 01/2026</v>
      </c>
      <c r="I416" t="str">
        <f t="shared" si="110"/>
        <v>05/03/2026</v>
      </c>
      <c r="J416" t="str">
        <f t="shared" si="121"/>
        <v>05/01/2026</v>
      </c>
      <c r="K416" t="str">
        <f>("05/03/2026")</f>
        <v>05/03/2026</v>
      </c>
      <c r="L416">
        <v>5230</v>
      </c>
      <c r="M416">
        <v>5230</v>
      </c>
      <c r="N416">
        <v>103</v>
      </c>
      <c r="O416" t="str">
        <f>"PAGAMENTO DE FUNCIONÁRIOS"</f>
        <v>PAGAMENTO DE FUNCIONÁRIOS</v>
      </c>
      <c r="P416">
        <v>5230</v>
      </c>
      <c r="S416" t="str">
        <f>"BANCO C6 (149)"</f>
        <v>BANCO C6 (149)</v>
      </c>
      <c r="T416">
        <v>30064</v>
      </c>
      <c r="U416">
        <v>29642</v>
      </c>
      <c r="V416" t="s">
        <v>37</v>
      </c>
    </row>
    <row r="417" spans="1:22">
      <c r="A417" t="str">
        <f t="shared" si="122"/>
        <v>05/03/2026</v>
      </c>
      <c r="B417" t="str">
        <f t="shared" si="109"/>
        <v>SAÍDA</v>
      </c>
      <c r="C417" t="str">
        <f t="shared" si="112"/>
        <v>PIX</v>
      </c>
      <c r="D417" t="str">
        <f>"07012026"</f>
        <v>07012026</v>
      </c>
      <c r="E417" t="str">
        <f t="shared" si="123"/>
        <v>3</v>
      </c>
      <c r="F417" t="str">
        <f t="shared" si="111"/>
        <v>COM</v>
      </c>
      <c r="G417" t="str">
        <f>"NATAN ALVES DA SILVA SA (20005)"</f>
        <v>NATAN ALVES DA SILVA SA (20005)</v>
      </c>
      <c r="H417" t="s">
        <v>156</v>
      </c>
      <c r="I417" t="str">
        <f t="shared" si="110"/>
        <v>05/03/2026</v>
      </c>
      <c r="J417" t="str">
        <f t="shared" si="121"/>
        <v>05/01/2026</v>
      </c>
      <c r="K417">
        <v>46086</v>
      </c>
      <c r="N417">
        <v>103</v>
      </c>
      <c r="O417" t="s">
        <v>151</v>
      </c>
      <c r="Q417">
        <v>5230</v>
      </c>
      <c r="R417" t="str">
        <f>"NATAN ALVES DA SILVA SA (20005)"</f>
        <v>NATAN ALVES DA SILVA SA (20005)</v>
      </c>
      <c r="S417" t="s">
        <v>37</v>
      </c>
      <c r="T417">
        <v>30064</v>
      </c>
      <c r="U417">
        <v>29642</v>
      </c>
      <c r="V417" t="s">
        <v>37</v>
      </c>
    </row>
    <row r="418" spans="1:22">
      <c r="A418" t="str">
        <f t="shared" si="122"/>
        <v>05/03/2026</v>
      </c>
      <c r="B418" t="str">
        <f t="shared" si="109"/>
        <v>SAÍDA</v>
      </c>
      <c r="C418" t="str">
        <f t="shared" si="112"/>
        <v>PIX</v>
      </c>
      <c r="D418" t="str">
        <f>"07012026"</f>
        <v>07012026</v>
      </c>
      <c r="E418" t="str">
        <f t="shared" si="123"/>
        <v>3</v>
      </c>
      <c r="F418" t="str">
        <f t="shared" si="111"/>
        <v>COM</v>
      </c>
      <c r="G418" t="str">
        <f>"54.235.509 ROBERT MAGDIEL DE CARVALHO (20004)"</f>
        <v>54.235.509 ROBERT MAGDIEL DE CARVALHO (20004)</v>
      </c>
      <c r="H418" t="str">
        <f>"PAGAMENTO PRESTACAO SERVICOS MENSAL 02/2026"</f>
        <v>PAGAMENTO PRESTACAO SERVICOS MENSAL 02/2026</v>
      </c>
      <c r="I418" t="str">
        <f t="shared" si="110"/>
        <v>05/03/2026</v>
      </c>
      <c r="J418" t="str">
        <f t="shared" si="121"/>
        <v>05/01/2026</v>
      </c>
      <c r="K418" t="str">
        <f>("05/03/2026")</f>
        <v>05/03/2026</v>
      </c>
      <c r="L418">
        <v>5370</v>
      </c>
      <c r="M418">
        <v>5370</v>
      </c>
      <c r="N418">
        <v>103</v>
      </c>
      <c r="O418" t="str">
        <f>"PAGAMENTO DE FUNCIONÁRIOS"</f>
        <v>PAGAMENTO DE FUNCIONÁRIOS</v>
      </c>
      <c r="P418">
        <v>5370</v>
      </c>
      <c r="S418" t="str">
        <f>"BANCO C6 (149)"</f>
        <v>BANCO C6 (149)</v>
      </c>
      <c r="T418">
        <v>30065</v>
      </c>
      <c r="U418">
        <v>29655</v>
      </c>
      <c r="V418" t="s">
        <v>37</v>
      </c>
    </row>
    <row r="419" spans="1:22">
      <c r="A419" t="str">
        <f t="shared" si="122"/>
        <v>05/03/2026</v>
      </c>
      <c r="B419" t="str">
        <f t="shared" si="109"/>
        <v>SAÍDA</v>
      </c>
      <c r="C419" t="str">
        <f t="shared" si="112"/>
        <v>PIX</v>
      </c>
      <c r="D419" t="str">
        <f>"07012026"</f>
        <v>07012026</v>
      </c>
      <c r="E419" t="str">
        <f t="shared" si="123"/>
        <v>3</v>
      </c>
      <c r="F419" t="str">
        <f t="shared" si="111"/>
        <v>COM</v>
      </c>
      <c r="G419" t="str">
        <f>"54.235.509 ROBERT MAGDIEL DE CARVALHO (20004)"</f>
        <v>54.235.509 ROBERT MAGDIEL DE CARVALHO (20004)</v>
      </c>
      <c r="H419" t="s">
        <v>157</v>
      </c>
      <c r="I419" t="str">
        <f t="shared" si="110"/>
        <v>05/03/2026</v>
      </c>
      <c r="J419" t="str">
        <f t="shared" si="121"/>
        <v>05/01/2026</v>
      </c>
      <c r="K419">
        <v>46086</v>
      </c>
      <c r="N419">
        <v>103</v>
      </c>
      <c r="O419" t="s">
        <v>151</v>
      </c>
      <c r="Q419">
        <v>5370</v>
      </c>
      <c r="R419" t="str">
        <f>"54.235.509 ROBERT MAGDIEL DE CARVALHO (20004)"</f>
        <v>54.235.509 ROBERT MAGDIEL DE CARVALHO (20004)</v>
      </c>
      <c r="S419" t="s">
        <v>37</v>
      </c>
      <c r="T419">
        <v>30065</v>
      </c>
      <c r="U419">
        <v>29655</v>
      </c>
      <c r="V419" t="s">
        <v>37</v>
      </c>
    </row>
    <row r="420" spans="1:22">
      <c r="A420" t="str">
        <f t="shared" si="122"/>
        <v>05/03/2026</v>
      </c>
      <c r="B420" t="str">
        <f t="shared" si="109"/>
        <v>SAÍDA</v>
      </c>
      <c r="C420" t="str">
        <f t="shared" si="112"/>
        <v>PIX</v>
      </c>
      <c r="D420" t="str">
        <f>"06012026"</f>
        <v>06012026</v>
      </c>
      <c r="E420" t="str">
        <f t="shared" si="123"/>
        <v>3</v>
      </c>
      <c r="F420" t="str">
        <f t="shared" si="111"/>
        <v>COM</v>
      </c>
      <c r="G420" t="str">
        <f>"63.452.905 ISABELLA ILIDIO BRIZOLLA (20130)"</f>
        <v>63.452.905 ISABELLA ILIDIO BRIZOLLA (20130)</v>
      </c>
      <c r="H420" t="str">
        <f>"PRESTAÇÃO DE SERVIÇOS 03/2026"</f>
        <v>PRESTAÇÃO DE SERVIÇOS 03/2026</v>
      </c>
      <c r="I420" t="str">
        <f t="shared" si="110"/>
        <v>05/03/2026</v>
      </c>
      <c r="J420" t="str">
        <f t="shared" si="121"/>
        <v>05/01/2026</v>
      </c>
      <c r="K420" t="str">
        <f>("05/03/2026")</f>
        <v>05/03/2026</v>
      </c>
      <c r="L420">
        <v>2500</v>
      </c>
      <c r="M420">
        <v>2500</v>
      </c>
      <c r="N420">
        <v>103</v>
      </c>
      <c r="O420" t="str">
        <f>"PAGAMENTO DE FUNCIONÁRIOS"</f>
        <v>PAGAMENTO DE FUNCIONÁRIOS</v>
      </c>
      <c r="P420">
        <v>2500</v>
      </c>
      <c r="S420" t="str">
        <f>"BANCO C6 (149)"</f>
        <v>BANCO C6 (149)</v>
      </c>
      <c r="T420">
        <v>30066</v>
      </c>
      <c r="U420">
        <v>29693</v>
      </c>
      <c r="V420" t="s">
        <v>37</v>
      </c>
    </row>
    <row r="421" spans="1:22">
      <c r="A421" t="str">
        <f t="shared" si="122"/>
        <v>05/03/2026</v>
      </c>
      <c r="B421" t="str">
        <f t="shared" si="109"/>
        <v>SAÍDA</v>
      </c>
      <c r="C421" t="str">
        <f t="shared" si="112"/>
        <v>PIX</v>
      </c>
      <c r="D421" t="str">
        <f>"06012026"</f>
        <v>06012026</v>
      </c>
      <c r="E421" t="str">
        <f t="shared" si="123"/>
        <v>3</v>
      </c>
      <c r="F421" t="str">
        <f t="shared" si="111"/>
        <v>COM</v>
      </c>
      <c r="G421" t="str">
        <f>"63.452.905 ISABELLA ILIDIO BRIZOLLA (20130)"</f>
        <v>63.452.905 ISABELLA ILIDIO BRIZOLLA (20130)</v>
      </c>
      <c r="H421" t="s">
        <v>158</v>
      </c>
      <c r="I421" t="str">
        <f t="shared" si="110"/>
        <v>05/03/2026</v>
      </c>
      <c r="J421" t="str">
        <f t="shared" si="121"/>
        <v>05/01/2026</v>
      </c>
      <c r="K421">
        <v>46086</v>
      </c>
      <c r="N421">
        <v>103</v>
      </c>
      <c r="O421" t="s">
        <v>151</v>
      </c>
      <c r="Q421">
        <v>2500</v>
      </c>
      <c r="R421" t="str">
        <f>"63.452.905 ISABELLA ILIDIO BRIZOLLA (20130)"</f>
        <v>63.452.905 ISABELLA ILIDIO BRIZOLLA (20130)</v>
      </c>
      <c r="S421" t="s">
        <v>37</v>
      </c>
      <c r="T421">
        <v>30066</v>
      </c>
      <c r="U421">
        <v>29693</v>
      </c>
      <c r="V421" t="s">
        <v>37</v>
      </c>
    </row>
    <row r="422" spans="1:22">
      <c r="A422" t="str">
        <f t="shared" si="122"/>
        <v>05/03/2026</v>
      </c>
      <c r="B422" t="str">
        <f t="shared" si="109"/>
        <v>SAÍDA</v>
      </c>
      <c r="C422" t="str">
        <f t="shared" si="112"/>
        <v>PIX</v>
      </c>
      <c r="D422" t="str">
        <f>"05022026"</f>
        <v>05022026</v>
      </c>
      <c r="E422" t="str">
        <f>"2"</f>
        <v>2</v>
      </c>
      <c r="F422" t="str">
        <f t="shared" si="111"/>
        <v>COM</v>
      </c>
      <c r="G422" t="str">
        <f>"ANA JULIA REZENDE JUSTINO (20027)"</f>
        <v>ANA JULIA REZENDE JUSTINO (20027)</v>
      </c>
      <c r="H422" t="str">
        <f>"PRESTAÇÃO DE SERVIÇOS MARÇO/2026"</f>
        <v>PRESTAÇÃO DE SERVIÇOS MARÇO/2026</v>
      </c>
      <c r="I422" t="str">
        <f t="shared" si="110"/>
        <v>05/03/2026</v>
      </c>
      <c r="J422" t="str">
        <f>("12/01/2026")</f>
        <v>12/01/2026</v>
      </c>
      <c r="K422" t="str">
        <f>("05/03/2026")</f>
        <v>05/03/2026</v>
      </c>
      <c r="L422">
        <v>2700</v>
      </c>
      <c r="M422">
        <v>2700</v>
      </c>
      <c r="N422">
        <v>103</v>
      </c>
      <c r="O422" t="str">
        <f>"PAGAMENTO DE FUNCIONÁRIOS"</f>
        <v>PAGAMENTO DE FUNCIONÁRIOS</v>
      </c>
      <c r="P422">
        <v>2700</v>
      </c>
      <c r="S422" t="str">
        <f>"BANCO C6 (149)"</f>
        <v>BANCO C6 (149)</v>
      </c>
      <c r="T422">
        <v>30067</v>
      </c>
      <c r="U422">
        <v>30150</v>
      </c>
      <c r="V422" t="s">
        <v>37</v>
      </c>
    </row>
    <row r="423" spans="1:22">
      <c r="A423" t="str">
        <f t="shared" si="122"/>
        <v>05/03/2026</v>
      </c>
      <c r="B423" t="str">
        <f t="shared" si="109"/>
        <v>SAÍDA</v>
      </c>
      <c r="C423" t="str">
        <f t="shared" si="112"/>
        <v>PIX</v>
      </c>
      <c r="D423" t="str">
        <f>"05022026"</f>
        <v>05022026</v>
      </c>
      <c r="E423" t="str">
        <f>"2"</f>
        <v>2</v>
      </c>
      <c r="F423" t="str">
        <f t="shared" si="111"/>
        <v>COM</v>
      </c>
      <c r="G423" t="str">
        <f>"ANA JULIA REZENDE JUSTINO (20027)"</f>
        <v>ANA JULIA REZENDE JUSTINO (20027)</v>
      </c>
      <c r="H423" t="s">
        <v>159</v>
      </c>
      <c r="I423" t="str">
        <f t="shared" si="110"/>
        <v>05/03/2026</v>
      </c>
      <c r="J423" t="str">
        <f>("12/01/2026")</f>
        <v>12/01/2026</v>
      </c>
      <c r="K423">
        <v>46086</v>
      </c>
      <c r="N423">
        <v>103</v>
      </c>
      <c r="O423" t="s">
        <v>151</v>
      </c>
      <c r="Q423">
        <v>2700</v>
      </c>
      <c r="R423" t="str">
        <f>"ANA JULIA REZENDE JUSTINO (20027)"</f>
        <v>ANA JULIA REZENDE JUSTINO (20027)</v>
      </c>
      <c r="S423" t="s">
        <v>37</v>
      </c>
      <c r="T423">
        <v>30067</v>
      </c>
      <c r="U423">
        <v>30150</v>
      </c>
      <c r="V423" t="s">
        <v>37</v>
      </c>
    </row>
    <row r="424" spans="1:22">
      <c r="A424" t="str">
        <f t="shared" si="122"/>
        <v>05/03/2026</v>
      </c>
      <c r="B424" t="str">
        <f t="shared" si="109"/>
        <v>SAÍDA</v>
      </c>
      <c r="C424" t="str">
        <f t="shared" si="112"/>
        <v>PIX</v>
      </c>
      <c r="D424" t="str">
        <f>"08012026"</f>
        <v>08012026</v>
      </c>
      <c r="E424" t="str">
        <f>"7"</f>
        <v>7</v>
      </c>
      <c r="F424" t="str">
        <f t="shared" si="111"/>
        <v>COM</v>
      </c>
      <c r="G424" t="str">
        <f>"51.114.831 TANIA CRISTINA JOAQUIM (20120)"</f>
        <v>51.114.831 TANIA CRISTINA JOAQUIM (20120)</v>
      </c>
      <c r="H424" t="str">
        <f>"PAGAMENTO PRESTACAO DE SERVICOS - PIX CELULAR (11) 99181-5502"</f>
        <v>PAGAMENTO PRESTACAO DE SERVICOS - PIX CELULAR (11) 99181-5502</v>
      </c>
      <c r="I424" t="str">
        <f t="shared" si="110"/>
        <v>05/03/2026</v>
      </c>
      <c r="J424" t="str">
        <f>("05/01/2026")</f>
        <v>05/01/2026</v>
      </c>
      <c r="K424" t="str">
        <f>("05/03/2026")</f>
        <v>05/03/2026</v>
      </c>
      <c r="L424">
        <v>625</v>
      </c>
      <c r="M424">
        <v>625</v>
      </c>
      <c r="N424">
        <v>109</v>
      </c>
      <c r="O424" t="str">
        <f>"PAGAMENTO DE ENTREGADORES"</f>
        <v>PAGAMENTO DE ENTREGADORES</v>
      </c>
      <c r="P424">
        <v>625</v>
      </c>
      <c r="S424" t="str">
        <f>"BANCO C6 (149)"</f>
        <v>BANCO C6 (149)</v>
      </c>
      <c r="T424">
        <v>30068</v>
      </c>
      <c r="U424">
        <v>30735</v>
      </c>
      <c r="V424" t="s">
        <v>37</v>
      </c>
    </row>
    <row r="425" spans="1:22">
      <c r="A425" t="str">
        <f t="shared" si="122"/>
        <v>05/03/2026</v>
      </c>
      <c r="B425" t="str">
        <f t="shared" si="109"/>
        <v>SAÍDA</v>
      </c>
      <c r="C425" t="str">
        <f t="shared" si="112"/>
        <v>PIX</v>
      </c>
      <c r="D425" t="str">
        <f>"08012026"</f>
        <v>08012026</v>
      </c>
      <c r="E425" t="str">
        <f>"7"</f>
        <v>7</v>
      </c>
      <c r="F425" t="str">
        <f t="shared" si="111"/>
        <v>COM</v>
      </c>
      <c r="G425" t="str">
        <f>"51.114.831 TANIA CRISTINA JOAQUIM (20120)"</f>
        <v>51.114.831 TANIA CRISTINA JOAQUIM (20120)</v>
      </c>
      <c r="H425" t="s">
        <v>160</v>
      </c>
      <c r="I425" t="str">
        <f t="shared" si="110"/>
        <v>05/03/2026</v>
      </c>
      <c r="J425" t="str">
        <f>("05/01/2026")</f>
        <v>05/01/2026</v>
      </c>
      <c r="K425">
        <v>46086</v>
      </c>
      <c r="N425">
        <v>109</v>
      </c>
      <c r="O425" t="s">
        <v>27</v>
      </c>
      <c r="Q425">
        <v>625</v>
      </c>
      <c r="R425" t="str">
        <f>"51.114.831 TANIA CRISTINA JOAQUIM (20120)"</f>
        <v>51.114.831 TANIA CRISTINA JOAQUIM (20120)</v>
      </c>
      <c r="S425" t="s">
        <v>37</v>
      </c>
      <c r="T425">
        <v>30068</v>
      </c>
      <c r="U425">
        <v>30735</v>
      </c>
      <c r="V425" t="s">
        <v>37</v>
      </c>
    </row>
    <row r="426" spans="1:22">
      <c r="A426" t="str">
        <f t="shared" si="122"/>
        <v>05/03/2026</v>
      </c>
      <c r="B426" t="str">
        <f t="shared" si="109"/>
        <v>SAÍDA</v>
      </c>
      <c r="C426" t="str">
        <f t="shared" si="112"/>
        <v>PIX</v>
      </c>
      <c r="D426" t="str">
        <f t="shared" ref="D426:D431" si="124">"05022026"</f>
        <v>05022026</v>
      </c>
      <c r="E426" t="str">
        <f t="shared" ref="E426:E431" si="125">"2"</f>
        <v>2</v>
      </c>
      <c r="F426" t="str">
        <f t="shared" si="111"/>
        <v>COM</v>
      </c>
      <c r="G426" t="str">
        <f>"GIOVANA CECCON MARTINS DE SA (20091)"</f>
        <v>GIOVANA CECCON MARTINS DE SA (20091)</v>
      </c>
      <c r="H426" t="str">
        <f>"BOLSA ESTAGIO - 2 HORARIOS"</f>
        <v>BOLSA ESTAGIO - 2 HORARIOS</v>
      </c>
      <c r="I426" t="str">
        <f t="shared" si="110"/>
        <v>05/03/2026</v>
      </c>
      <c r="J426" t="str">
        <f>("30/01/2026")</f>
        <v>30/01/2026</v>
      </c>
      <c r="K426" t="str">
        <f>("05/03/2026")</f>
        <v>05/03/2026</v>
      </c>
      <c r="L426">
        <v>2400</v>
      </c>
      <c r="M426">
        <v>2400</v>
      </c>
      <c r="N426">
        <v>103</v>
      </c>
      <c r="O426" t="str">
        <f>"PAGAMENTO DE FUNCIONÁRIOS"</f>
        <v>PAGAMENTO DE FUNCIONÁRIOS</v>
      </c>
      <c r="P426">
        <v>2400</v>
      </c>
      <c r="S426" t="str">
        <f>"BANCO C6 (149)"</f>
        <v>BANCO C6 (149)</v>
      </c>
      <c r="T426">
        <v>30069</v>
      </c>
      <c r="U426">
        <v>31762</v>
      </c>
      <c r="V426" t="s">
        <v>37</v>
      </c>
    </row>
    <row r="427" spans="1:22">
      <c r="A427" t="str">
        <f t="shared" si="122"/>
        <v>05/03/2026</v>
      </c>
      <c r="B427" t="str">
        <f t="shared" si="109"/>
        <v>SAÍDA</v>
      </c>
      <c r="C427" t="str">
        <f t="shared" si="112"/>
        <v>PIX</v>
      </c>
      <c r="D427" t="str">
        <f t="shared" si="124"/>
        <v>05022026</v>
      </c>
      <c r="E427" t="str">
        <f t="shared" si="125"/>
        <v>2</v>
      </c>
      <c r="F427" t="str">
        <f t="shared" si="111"/>
        <v>COM</v>
      </c>
      <c r="G427" t="str">
        <f>"GIOVANA CECCON MARTINS DE SA (20091)"</f>
        <v>GIOVANA CECCON MARTINS DE SA (20091)</v>
      </c>
      <c r="H427" t="s">
        <v>161</v>
      </c>
      <c r="I427" t="str">
        <f t="shared" si="110"/>
        <v>05/03/2026</v>
      </c>
      <c r="J427" t="str">
        <f>("30/01/2026")</f>
        <v>30/01/2026</v>
      </c>
      <c r="K427">
        <v>46086</v>
      </c>
      <c r="N427">
        <v>103</v>
      </c>
      <c r="O427" t="s">
        <v>151</v>
      </c>
      <c r="Q427">
        <v>2400</v>
      </c>
      <c r="R427" t="str">
        <f>"GIOVANA CECCON MARTINS DE SA (20091)"</f>
        <v>GIOVANA CECCON MARTINS DE SA (20091)</v>
      </c>
      <c r="S427" t="s">
        <v>37</v>
      </c>
      <c r="T427">
        <v>30069</v>
      </c>
      <c r="U427">
        <v>31762</v>
      </c>
      <c r="V427" t="s">
        <v>37</v>
      </c>
    </row>
    <row r="428" spans="1:22">
      <c r="A428" t="str">
        <f t="shared" si="122"/>
        <v>05/03/2026</v>
      </c>
      <c r="B428" t="str">
        <f t="shared" si="109"/>
        <v>SAÍDA</v>
      </c>
      <c r="C428" t="str">
        <f t="shared" si="112"/>
        <v>PIX</v>
      </c>
      <c r="D428" t="str">
        <f t="shared" si="124"/>
        <v>05022026</v>
      </c>
      <c r="E428" t="str">
        <f t="shared" si="125"/>
        <v>2</v>
      </c>
      <c r="F428" t="str">
        <f t="shared" si="111"/>
        <v>COM</v>
      </c>
      <c r="G428" t="str">
        <f>"54.235.509 ROBERT MAGDIEL DE CARVALHO (20004)"</f>
        <v>54.235.509 ROBERT MAGDIEL DE CARVALHO (20004)</v>
      </c>
      <c r="H428" t="str">
        <f>"BONUS DE PRODUTIVIDADE MARÇO/2025"</f>
        <v>BONUS DE PRODUTIVIDADE MARÇO/2025</v>
      </c>
      <c r="I428" t="str">
        <f t="shared" si="110"/>
        <v>05/03/2026</v>
      </c>
      <c r="J428" t="str">
        <f>("03/02/2026")</f>
        <v>03/02/2026</v>
      </c>
      <c r="K428" t="str">
        <f>("05/03/2026")</f>
        <v>05/03/2026</v>
      </c>
      <c r="L428">
        <v>630</v>
      </c>
      <c r="M428">
        <v>630</v>
      </c>
      <c r="N428">
        <v>103</v>
      </c>
      <c r="O428" t="str">
        <f>"PAGAMENTO DE FUNCIONÁRIOS"</f>
        <v>PAGAMENTO DE FUNCIONÁRIOS</v>
      </c>
      <c r="P428">
        <v>630</v>
      </c>
      <c r="S428" t="str">
        <f>"BANCO C6 (149)"</f>
        <v>BANCO C6 (149)</v>
      </c>
      <c r="T428">
        <v>30070</v>
      </c>
      <c r="U428">
        <v>32201</v>
      </c>
      <c r="V428" t="s">
        <v>37</v>
      </c>
    </row>
    <row r="429" spans="1:22">
      <c r="A429" t="str">
        <f t="shared" si="122"/>
        <v>05/03/2026</v>
      </c>
      <c r="B429" t="str">
        <f t="shared" si="109"/>
        <v>SAÍDA</v>
      </c>
      <c r="C429" t="str">
        <f t="shared" si="112"/>
        <v>PIX</v>
      </c>
      <c r="D429" t="str">
        <f t="shared" si="124"/>
        <v>05022026</v>
      </c>
      <c r="E429" t="str">
        <f t="shared" si="125"/>
        <v>2</v>
      </c>
      <c r="F429" t="str">
        <f t="shared" si="111"/>
        <v>COM</v>
      </c>
      <c r="G429" t="str">
        <f>"54.235.509 ROBERT MAGDIEL DE CARVALHO (20004)"</f>
        <v>54.235.509 ROBERT MAGDIEL DE CARVALHO (20004)</v>
      </c>
      <c r="H429" t="s">
        <v>162</v>
      </c>
      <c r="I429" t="str">
        <f t="shared" si="110"/>
        <v>05/03/2026</v>
      </c>
      <c r="J429" t="str">
        <f>("03/02/2026")</f>
        <v>03/02/2026</v>
      </c>
      <c r="K429">
        <v>46086</v>
      </c>
      <c r="N429">
        <v>103</v>
      </c>
      <c r="O429" t="s">
        <v>151</v>
      </c>
      <c r="Q429">
        <v>630</v>
      </c>
      <c r="R429" t="str">
        <f>"54.235.509 ROBERT MAGDIEL DE CARVALHO (20004)"</f>
        <v>54.235.509 ROBERT MAGDIEL DE CARVALHO (20004)</v>
      </c>
      <c r="S429" t="s">
        <v>37</v>
      </c>
      <c r="T429">
        <v>30070</v>
      </c>
      <c r="U429">
        <v>32201</v>
      </c>
      <c r="V429" t="s">
        <v>37</v>
      </c>
    </row>
    <row r="430" spans="1:22">
      <c r="A430" t="str">
        <f t="shared" si="122"/>
        <v>05/03/2026</v>
      </c>
      <c r="B430" t="str">
        <f t="shared" si="109"/>
        <v>SAÍDA</v>
      </c>
      <c r="C430" t="str">
        <f t="shared" si="112"/>
        <v>PIX</v>
      </c>
      <c r="D430" t="str">
        <f t="shared" si="124"/>
        <v>05022026</v>
      </c>
      <c r="E430" t="str">
        <f t="shared" si="125"/>
        <v>2</v>
      </c>
      <c r="F430" t="str">
        <f t="shared" si="111"/>
        <v>COM</v>
      </c>
      <c r="G430" t="str">
        <f>"NATAN ALVES DA SILVA SA (20005)"</f>
        <v>NATAN ALVES DA SILVA SA (20005)</v>
      </c>
      <c r="H430" t="str">
        <f>"BONUS DE PRODUTIVIDADE MARÇO/2026"</f>
        <v>BONUS DE PRODUTIVIDADE MARÇO/2026</v>
      </c>
      <c r="I430" t="str">
        <f t="shared" si="110"/>
        <v>05/03/2026</v>
      </c>
      <c r="J430" t="str">
        <f>("04/02/2026")</f>
        <v>04/02/2026</v>
      </c>
      <c r="K430" t="str">
        <f>("05/03/2026")</f>
        <v>05/03/2026</v>
      </c>
      <c r="L430">
        <v>600</v>
      </c>
      <c r="M430">
        <v>600</v>
      </c>
      <c r="N430">
        <v>103</v>
      </c>
      <c r="O430" t="str">
        <f>"PAGAMENTO DE FUNCIONÁRIOS"</f>
        <v>PAGAMENTO DE FUNCIONÁRIOS</v>
      </c>
      <c r="P430">
        <v>600</v>
      </c>
      <c r="S430" t="str">
        <f>"BANCO C6 (149)"</f>
        <v>BANCO C6 (149)</v>
      </c>
      <c r="T430">
        <v>30071</v>
      </c>
      <c r="U430">
        <v>32212</v>
      </c>
      <c r="V430" t="s">
        <v>37</v>
      </c>
    </row>
    <row r="431" spans="1:22">
      <c r="A431" t="str">
        <f t="shared" si="122"/>
        <v>05/03/2026</v>
      </c>
      <c r="B431" t="str">
        <f t="shared" si="109"/>
        <v>SAÍDA</v>
      </c>
      <c r="C431" t="str">
        <f t="shared" si="112"/>
        <v>PIX</v>
      </c>
      <c r="D431" t="str">
        <f t="shared" si="124"/>
        <v>05022026</v>
      </c>
      <c r="E431" t="str">
        <f t="shared" si="125"/>
        <v>2</v>
      </c>
      <c r="F431" t="str">
        <f t="shared" si="111"/>
        <v>COM</v>
      </c>
      <c r="G431" t="str">
        <f>"NATAN ALVES DA SILVA SA (20005)"</f>
        <v>NATAN ALVES DA SILVA SA (20005)</v>
      </c>
      <c r="H431" t="s">
        <v>163</v>
      </c>
      <c r="I431" t="str">
        <f t="shared" si="110"/>
        <v>05/03/2026</v>
      </c>
      <c r="J431" t="str">
        <f>("04/02/2026")</f>
        <v>04/02/2026</v>
      </c>
      <c r="K431">
        <v>46086</v>
      </c>
      <c r="N431">
        <v>103</v>
      </c>
      <c r="O431" t="s">
        <v>151</v>
      </c>
      <c r="Q431">
        <v>600</v>
      </c>
      <c r="R431" t="str">
        <f>"NATAN ALVES DA SILVA SA (20005)"</f>
        <v>NATAN ALVES DA SILVA SA (20005)</v>
      </c>
      <c r="S431" t="s">
        <v>37</v>
      </c>
      <c r="T431">
        <v>30071</v>
      </c>
      <c r="U431">
        <v>32212</v>
      </c>
      <c r="V431" t="s">
        <v>37</v>
      </c>
    </row>
    <row r="432" spans="1:22">
      <c r="A432" t="str">
        <f t="shared" si="122"/>
        <v>05/03/2026</v>
      </c>
      <c r="B432" t="str">
        <f t="shared" si="109"/>
        <v>SAÍDA</v>
      </c>
      <c r="C432" t="str">
        <f t="shared" si="112"/>
        <v>PIX</v>
      </c>
      <c r="D432" t="str">
        <f>"33586"</f>
        <v>33586</v>
      </c>
      <c r="E432" t="str">
        <f t="shared" ref="E432:E495" si="126">"1"</f>
        <v>1</v>
      </c>
      <c r="F432" t="str">
        <f t="shared" si="111"/>
        <v>COM</v>
      </c>
      <c r="G432" t="str">
        <f>"ALISSON FELIPE GODINHO (219)"</f>
        <v>ALISSON FELIPE GODINHO (219)</v>
      </c>
      <c r="H432" t="str">
        <f>"Serv.Prest. 16/02/2026 a 22/02/2026 - PIX: CELULAR - CHAVE: (33) 99877-0415"</f>
        <v>Serv.Prest. 16/02/2026 a 22/02/2026 - PIX: CELULAR - CHAVE: (33) 99877-0415</v>
      </c>
      <c r="I432" t="str">
        <f t="shared" si="110"/>
        <v>05/03/2026</v>
      </c>
      <c r="J432" t="str">
        <f>("24/02/2026")</f>
        <v>24/02/2026</v>
      </c>
      <c r="K432" t="str">
        <f>("05/03/2026")</f>
        <v>05/03/2026</v>
      </c>
      <c r="L432">
        <v>1386</v>
      </c>
      <c r="M432">
        <v>1386</v>
      </c>
      <c r="N432">
        <v>109</v>
      </c>
      <c r="O432" t="str">
        <f>"PAGAMENTO DE ENTREGADORES"</f>
        <v>PAGAMENTO DE ENTREGADORES</v>
      </c>
      <c r="P432">
        <v>1386</v>
      </c>
      <c r="S432" t="str">
        <f>"BANCO C6 (149)"</f>
        <v>BANCO C6 (149)</v>
      </c>
      <c r="T432">
        <v>30072</v>
      </c>
      <c r="U432">
        <v>33586</v>
      </c>
      <c r="V432" t="s">
        <v>37</v>
      </c>
    </row>
    <row r="433" spans="1:22">
      <c r="A433" t="str">
        <f t="shared" si="122"/>
        <v>05/03/2026</v>
      </c>
      <c r="B433" t="str">
        <f t="shared" si="109"/>
        <v>SAÍDA</v>
      </c>
      <c r="C433" t="str">
        <f t="shared" si="112"/>
        <v>PIX</v>
      </c>
      <c r="D433" t="str">
        <f>"33586"</f>
        <v>33586</v>
      </c>
      <c r="E433" t="str">
        <f t="shared" si="126"/>
        <v>1</v>
      </c>
      <c r="F433" t="str">
        <f t="shared" si="111"/>
        <v>COM</v>
      </c>
      <c r="G433" t="str">
        <f>"ALISSON FELIPE GODINHO (219)"</f>
        <v>ALISSON FELIPE GODINHO (219)</v>
      </c>
      <c r="H433" t="s">
        <v>164</v>
      </c>
      <c r="I433" t="str">
        <f t="shared" si="110"/>
        <v>05/03/2026</v>
      </c>
      <c r="J433" t="str">
        <f>("24/02/2026")</f>
        <v>24/02/2026</v>
      </c>
      <c r="K433">
        <v>46086</v>
      </c>
      <c r="N433">
        <v>109</v>
      </c>
      <c r="O433" t="s">
        <v>27</v>
      </c>
      <c r="Q433">
        <v>1386</v>
      </c>
      <c r="R433" t="str">
        <f>"FARMÁCIA INDIANA LJ 14 (10009)"</f>
        <v>FARMÁCIA INDIANA LJ 14 (10009)</v>
      </c>
      <c r="S433" t="s">
        <v>37</v>
      </c>
      <c r="T433">
        <v>30072</v>
      </c>
      <c r="U433">
        <v>33586</v>
      </c>
      <c r="V433" t="s">
        <v>37</v>
      </c>
    </row>
    <row r="434" spans="1:22">
      <c r="A434" t="str">
        <f t="shared" si="122"/>
        <v>05/03/2026</v>
      </c>
      <c r="B434" t="str">
        <f t="shared" si="109"/>
        <v>SAÍDA</v>
      </c>
      <c r="C434" t="str">
        <f t="shared" si="112"/>
        <v>PIX</v>
      </c>
      <c r="D434" t="str">
        <f>"33585"</f>
        <v>33585</v>
      </c>
      <c r="E434" t="str">
        <f t="shared" si="126"/>
        <v>1</v>
      </c>
      <c r="F434" t="str">
        <f t="shared" si="111"/>
        <v>COM</v>
      </c>
      <c r="G434" t="str">
        <f>"ALEXSANDER MESSIAS TEIXEIRA (382)"</f>
        <v>ALEXSANDER MESSIAS TEIXEIRA (382)</v>
      </c>
      <c r="H434" t="str">
        <f>"Serv.Prest. 16/02/2026 a 22/02/2026 - PIX: CPF - CHAVE: 108.723.916-80"</f>
        <v>Serv.Prest. 16/02/2026 a 22/02/2026 - PIX: CPF - CHAVE: 108.723.916-80</v>
      </c>
      <c r="I434" t="str">
        <f t="shared" si="110"/>
        <v>05/03/2026</v>
      </c>
      <c r="J434" t="str">
        <f>("24/02/2026")</f>
        <v>24/02/2026</v>
      </c>
      <c r="K434" t="str">
        <f>("05/03/2026")</f>
        <v>05/03/2026</v>
      </c>
      <c r="L434">
        <v>738</v>
      </c>
      <c r="M434">
        <v>738</v>
      </c>
      <c r="N434">
        <v>109</v>
      </c>
      <c r="O434" t="str">
        <f>"PAGAMENTO DE ENTREGADORES"</f>
        <v>PAGAMENTO DE ENTREGADORES</v>
      </c>
      <c r="P434">
        <v>738</v>
      </c>
      <c r="S434" t="str">
        <f>"BANCO C6 (149)"</f>
        <v>BANCO C6 (149)</v>
      </c>
      <c r="T434">
        <v>30073</v>
      </c>
      <c r="U434">
        <v>33585</v>
      </c>
      <c r="V434" t="s">
        <v>37</v>
      </c>
    </row>
    <row r="435" spans="1:22">
      <c r="A435" t="str">
        <f t="shared" si="122"/>
        <v>05/03/2026</v>
      </c>
      <c r="B435" t="str">
        <f t="shared" si="109"/>
        <v>SAÍDA</v>
      </c>
      <c r="C435" t="str">
        <f t="shared" si="112"/>
        <v>PIX</v>
      </c>
      <c r="D435" t="str">
        <f>"33585"</f>
        <v>33585</v>
      </c>
      <c r="E435" t="str">
        <f t="shared" si="126"/>
        <v>1</v>
      </c>
      <c r="F435" t="str">
        <f t="shared" si="111"/>
        <v>COM</v>
      </c>
      <c r="G435" t="str">
        <f>"ALEXSANDER MESSIAS TEIXEIRA (382)"</f>
        <v>ALEXSANDER MESSIAS TEIXEIRA (382)</v>
      </c>
      <c r="H435" t="s">
        <v>165</v>
      </c>
      <c r="I435" t="str">
        <f t="shared" si="110"/>
        <v>05/03/2026</v>
      </c>
      <c r="J435" t="str">
        <f>("24/02/2026")</f>
        <v>24/02/2026</v>
      </c>
      <c r="K435">
        <v>46086</v>
      </c>
      <c r="N435">
        <v>109</v>
      </c>
      <c r="O435" t="s">
        <v>27</v>
      </c>
      <c r="Q435">
        <v>738</v>
      </c>
      <c r="R435" t="str">
        <f>"FARMÁCIA INDIANA LJ 110 (10048)"</f>
        <v>FARMÁCIA INDIANA LJ 110 (10048)</v>
      </c>
      <c r="S435" t="s">
        <v>37</v>
      </c>
      <c r="T435">
        <v>30073</v>
      </c>
      <c r="U435">
        <v>33585</v>
      </c>
      <c r="V435" t="s">
        <v>37</v>
      </c>
    </row>
    <row r="436" spans="1:22">
      <c r="A436" t="str">
        <f t="shared" si="122"/>
        <v>05/03/2026</v>
      </c>
      <c r="B436" t="str">
        <f t="shared" si="109"/>
        <v>SAÍDA</v>
      </c>
      <c r="C436" t="str">
        <f t="shared" si="112"/>
        <v>PIX</v>
      </c>
      <c r="D436" t="str">
        <f>"33322"</f>
        <v>33322</v>
      </c>
      <c r="E436" t="str">
        <f t="shared" si="126"/>
        <v>1</v>
      </c>
      <c r="F436" t="str">
        <f t="shared" si="111"/>
        <v>COM</v>
      </c>
      <c r="G436" t="str">
        <f>"ALAN ACOSTA (897)"</f>
        <v>ALAN ACOSTA (897)</v>
      </c>
      <c r="H436" t="str">
        <f>"Serv.Prest. 16/02/2026 a 22/02/2026 - PIX: CELULAR - CHAVE: (43) 99875-6490"</f>
        <v>Serv.Prest. 16/02/2026 a 22/02/2026 - PIX: CELULAR - CHAVE: (43) 99875-6490</v>
      </c>
      <c r="I436" t="str">
        <f t="shared" si="110"/>
        <v>05/03/2026</v>
      </c>
      <c r="J436" t="str">
        <f t="shared" ref="J436:J469" si="127">("23/02/2026")</f>
        <v>23/02/2026</v>
      </c>
      <c r="K436" t="str">
        <f>("05/03/2026")</f>
        <v>05/03/2026</v>
      </c>
      <c r="L436">
        <v>231.2</v>
      </c>
      <c r="M436">
        <v>231.2</v>
      </c>
      <c r="N436">
        <v>109</v>
      </c>
      <c r="O436" t="str">
        <f>"PAGAMENTO DE ENTREGADORES"</f>
        <v>PAGAMENTO DE ENTREGADORES</v>
      </c>
      <c r="P436">
        <v>231.2</v>
      </c>
      <c r="S436" t="str">
        <f>"BANCO C6 (149)"</f>
        <v>BANCO C6 (149)</v>
      </c>
      <c r="T436">
        <v>30074</v>
      </c>
      <c r="U436">
        <v>33322</v>
      </c>
      <c r="V436" t="s">
        <v>37</v>
      </c>
    </row>
    <row r="437" spans="1:22">
      <c r="A437" t="str">
        <f t="shared" si="122"/>
        <v>05/03/2026</v>
      </c>
      <c r="B437" t="str">
        <f t="shared" si="109"/>
        <v>SAÍDA</v>
      </c>
      <c r="C437" t="str">
        <f t="shared" si="112"/>
        <v>PIX</v>
      </c>
      <c r="D437" t="str">
        <f>"33322"</f>
        <v>33322</v>
      </c>
      <c r="E437" t="str">
        <f t="shared" si="126"/>
        <v>1</v>
      </c>
      <c r="F437" t="str">
        <f t="shared" si="111"/>
        <v>COM</v>
      </c>
      <c r="G437" t="str">
        <f>"ALAN ACOSTA (897)"</f>
        <v>ALAN ACOSTA (897)</v>
      </c>
      <c r="H437" t="s">
        <v>166</v>
      </c>
      <c r="I437" t="str">
        <f t="shared" si="110"/>
        <v>05/03/2026</v>
      </c>
      <c r="J437" t="str">
        <f t="shared" si="127"/>
        <v>23/02/2026</v>
      </c>
      <c r="K437">
        <v>46086</v>
      </c>
      <c r="N437">
        <v>109</v>
      </c>
      <c r="O437" t="s">
        <v>27</v>
      </c>
      <c r="Q437">
        <v>231.2</v>
      </c>
      <c r="R437" t="str">
        <f>"AC FARMA - CID.ALTA (10166)"</f>
        <v>AC FARMA - CID.ALTA (10166)</v>
      </c>
      <c r="S437" t="s">
        <v>37</v>
      </c>
      <c r="T437">
        <v>30074</v>
      </c>
      <c r="U437">
        <v>33322</v>
      </c>
      <c r="V437" t="s">
        <v>37</v>
      </c>
    </row>
    <row r="438" spans="1:22">
      <c r="A438" t="str">
        <f t="shared" si="122"/>
        <v>05/03/2026</v>
      </c>
      <c r="B438" t="str">
        <f t="shared" si="109"/>
        <v>SAÍDA</v>
      </c>
      <c r="C438" t="str">
        <f t="shared" si="112"/>
        <v>PIX</v>
      </c>
      <c r="D438" t="str">
        <f>"33323"</f>
        <v>33323</v>
      </c>
      <c r="E438" t="str">
        <f t="shared" si="126"/>
        <v>1</v>
      </c>
      <c r="F438" t="str">
        <f t="shared" si="111"/>
        <v>COM</v>
      </c>
      <c r="G438" t="str">
        <f>"CLAUDINEI RIBEIRO VALERIO (681)"</f>
        <v>CLAUDINEI RIBEIRO VALERIO (681)</v>
      </c>
      <c r="H438" t="str">
        <f>"Serv.Prest. 16/02/2026 a 22/02/2026 - PIX: CELULAR - CHAVE: (43) 99630-7532"</f>
        <v>Serv.Prest. 16/02/2026 a 22/02/2026 - PIX: CELULAR - CHAVE: (43) 99630-7532</v>
      </c>
      <c r="I438" t="str">
        <f t="shared" si="110"/>
        <v>05/03/2026</v>
      </c>
      <c r="J438" t="str">
        <f t="shared" si="127"/>
        <v>23/02/2026</v>
      </c>
      <c r="K438" t="str">
        <f>("05/03/2026")</f>
        <v>05/03/2026</v>
      </c>
      <c r="L438">
        <v>782</v>
      </c>
      <c r="M438">
        <v>782</v>
      </c>
      <c r="N438">
        <v>109</v>
      </c>
      <c r="O438" t="str">
        <f>"PAGAMENTO DE ENTREGADORES"</f>
        <v>PAGAMENTO DE ENTREGADORES</v>
      </c>
      <c r="P438">
        <v>782</v>
      </c>
      <c r="S438" t="str">
        <f>"BANCO C6 (149)"</f>
        <v>BANCO C6 (149)</v>
      </c>
      <c r="T438">
        <v>30075</v>
      </c>
      <c r="U438">
        <v>33323</v>
      </c>
      <c r="V438" t="s">
        <v>37</v>
      </c>
    </row>
    <row r="439" spans="1:22">
      <c r="A439" t="str">
        <f t="shared" si="122"/>
        <v>05/03/2026</v>
      </c>
      <c r="B439" t="str">
        <f t="shared" si="109"/>
        <v>SAÍDA</v>
      </c>
      <c r="C439" t="str">
        <f t="shared" si="112"/>
        <v>PIX</v>
      </c>
      <c r="D439" t="str">
        <f>"33323"</f>
        <v>33323</v>
      </c>
      <c r="E439" t="str">
        <f t="shared" si="126"/>
        <v>1</v>
      </c>
      <c r="F439" t="str">
        <f t="shared" si="111"/>
        <v>COM</v>
      </c>
      <c r="G439" t="str">
        <f>"CLAUDINEI RIBEIRO VALERIO (681)"</f>
        <v>CLAUDINEI RIBEIRO VALERIO (681)</v>
      </c>
      <c r="H439" t="s">
        <v>167</v>
      </c>
      <c r="I439" t="str">
        <f t="shared" si="110"/>
        <v>05/03/2026</v>
      </c>
      <c r="J439" t="str">
        <f t="shared" si="127"/>
        <v>23/02/2026</v>
      </c>
      <c r="K439">
        <v>46086</v>
      </c>
      <c r="N439">
        <v>109</v>
      </c>
      <c r="O439" t="s">
        <v>27</v>
      </c>
      <c r="Q439">
        <v>782</v>
      </c>
      <c r="R439" t="str">
        <f>"AC FARMA - CID.ALTA (10166)"</f>
        <v>AC FARMA - CID.ALTA (10166)</v>
      </c>
      <c r="S439" t="s">
        <v>37</v>
      </c>
      <c r="T439">
        <v>30075</v>
      </c>
      <c r="U439">
        <v>33323</v>
      </c>
      <c r="V439" t="s">
        <v>37</v>
      </c>
    </row>
    <row r="440" spans="1:22">
      <c r="A440" t="str">
        <f t="shared" si="122"/>
        <v>05/03/2026</v>
      </c>
      <c r="B440" t="str">
        <f t="shared" si="109"/>
        <v>SAÍDA</v>
      </c>
      <c r="C440" t="str">
        <f t="shared" si="112"/>
        <v>PIX</v>
      </c>
      <c r="D440" t="str">
        <f>"33324"</f>
        <v>33324</v>
      </c>
      <c r="E440" t="str">
        <f t="shared" si="126"/>
        <v>1</v>
      </c>
      <c r="F440" t="str">
        <f t="shared" si="111"/>
        <v>COM</v>
      </c>
      <c r="G440" t="str">
        <f>"FERNANDO MARTINS DA SILVA (701)"</f>
        <v>FERNANDO MARTINS DA SILVA (701)</v>
      </c>
      <c r="H440" t="str">
        <f>"Serv.Prest. 16/02/2026 a 22/02/2026 - PIX: CPF - CHAVE: 004.682.359-06"</f>
        <v>Serv.Prest. 16/02/2026 a 22/02/2026 - PIX: CPF - CHAVE: 004.682.359-06</v>
      </c>
      <c r="I440" t="str">
        <f t="shared" si="110"/>
        <v>05/03/2026</v>
      </c>
      <c r="J440" t="str">
        <f t="shared" si="127"/>
        <v>23/02/2026</v>
      </c>
      <c r="K440" t="str">
        <f>("05/03/2026")</f>
        <v>05/03/2026</v>
      </c>
      <c r="L440">
        <v>1203.5999999999999</v>
      </c>
      <c r="M440">
        <v>1203.5999999999999</v>
      </c>
      <c r="N440">
        <v>109</v>
      </c>
      <c r="O440" t="str">
        <f>"PAGAMENTO DE ENTREGADORES"</f>
        <v>PAGAMENTO DE ENTREGADORES</v>
      </c>
      <c r="P440">
        <v>1203.5999999999999</v>
      </c>
      <c r="S440" t="str">
        <f>"BANCO C6 (149)"</f>
        <v>BANCO C6 (149)</v>
      </c>
      <c r="T440">
        <v>30076</v>
      </c>
      <c r="U440">
        <v>33324</v>
      </c>
      <c r="V440" t="s">
        <v>37</v>
      </c>
    </row>
    <row r="441" spans="1:22">
      <c r="A441" t="str">
        <f t="shared" si="122"/>
        <v>05/03/2026</v>
      </c>
      <c r="B441" t="str">
        <f t="shared" si="109"/>
        <v>SAÍDA</v>
      </c>
      <c r="C441" t="str">
        <f t="shared" si="112"/>
        <v>PIX</v>
      </c>
      <c r="D441" t="str">
        <f>"33324"</f>
        <v>33324</v>
      </c>
      <c r="E441" t="str">
        <f t="shared" si="126"/>
        <v>1</v>
      </c>
      <c r="F441" t="str">
        <f t="shared" si="111"/>
        <v>COM</v>
      </c>
      <c r="G441" t="str">
        <f>"FERNANDO MARTINS DA SILVA (701)"</f>
        <v>FERNANDO MARTINS DA SILVA (701)</v>
      </c>
      <c r="H441" t="s">
        <v>168</v>
      </c>
      <c r="I441" t="str">
        <f t="shared" si="110"/>
        <v>05/03/2026</v>
      </c>
      <c r="J441" t="str">
        <f t="shared" si="127"/>
        <v>23/02/2026</v>
      </c>
      <c r="K441">
        <v>46086</v>
      </c>
      <c r="N441">
        <v>109</v>
      </c>
      <c r="O441" t="s">
        <v>27</v>
      </c>
      <c r="Q441">
        <v>1203.5999999999999</v>
      </c>
      <c r="R441" t="str">
        <f>"AC FARMA - CID.ALTA (10166)"</f>
        <v>AC FARMA - CID.ALTA (10166)</v>
      </c>
      <c r="S441" t="s">
        <v>37</v>
      </c>
      <c r="T441">
        <v>30076</v>
      </c>
      <c r="U441">
        <v>33324</v>
      </c>
      <c r="V441" t="s">
        <v>37</v>
      </c>
    </row>
    <row r="442" spans="1:22">
      <c r="A442" t="str">
        <f t="shared" si="122"/>
        <v>05/03/2026</v>
      </c>
      <c r="B442" t="str">
        <f t="shared" si="109"/>
        <v>SAÍDA</v>
      </c>
      <c r="C442" t="str">
        <f t="shared" si="112"/>
        <v>PIX</v>
      </c>
      <c r="D442" t="str">
        <f>"33325"</f>
        <v>33325</v>
      </c>
      <c r="E442" t="str">
        <f t="shared" si="126"/>
        <v>1</v>
      </c>
      <c r="F442" t="str">
        <f t="shared" si="111"/>
        <v>COM</v>
      </c>
      <c r="G442" t="str">
        <f>"GERALDO SEVERINO DE SANTANA (729)"</f>
        <v>GERALDO SEVERINO DE SANTANA (729)</v>
      </c>
      <c r="H442" t="str">
        <f>"Serv.Prest. 16/02/2026 a 22/02/2026 - PIX: CELULAR - CHAVE: (43) 99934-1696"</f>
        <v>Serv.Prest. 16/02/2026 a 22/02/2026 - PIX: CELULAR - CHAVE: (43) 99934-1696</v>
      </c>
      <c r="I442" t="str">
        <f t="shared" si="110"/>
        <v>05/03/2026</v>
      </c>
      <c r="J442" t="str">
        <f t="shared" si="127"/>
        <v>23/02/2026</v>
      </c>
      <c r="K442" t="str">
        <f>("05/03/2026")</f>
        <v>05/03/2026</v>
      </c>
      <c r="L442">
        <v>795.6</v>
      </c>
      <c r="M442">
        <v>795.6</v>
      </c>
      <c r="N442">
        <v>109</v>
      </c>
      <c r="O442" t="str">
        <f>"PAGAMENTO DE ENTREGADORES"</f>
        <v>PAGAMENTO DE ENTREGADORES</v>
      </c>
      <c r="P442">
        <v>795.6</v>
      </c>
      <c r="S442" t="str">
        <f>"BANCO C6 (149)"</f>
        <v>BANCO C6 (149)</v>
      </c>
      <c r="T442">
        <v>30077</v>
      </c>
      <c r="U442">
        <v>33325</v>
      </c>
      <c r="V442" t="s">
        <v>37</v>
      </c>
    </row>
    <row r="443" spans="1:22">
      <c r="A443" t="str">
        <f t="shared" si="122"/>
        <v>05/03/2026</v>
      </c>
      <c r="B443" t="str">
        <f t="shared" si="109"/>
        <v>SAÍDA</v>
      </c>
      <c r="C443" t="str">
        <f t="shared" si="112"/>
        <v>PIX</v>
      </c>
      <c r="D443" t="str">
        <f>"33325"</f>
        <v>33325</v>
      </c>
      <c r="E443" t="str">
        <f t="shared" si="126"/>
        <v>1</v>
      </c>
      <c r="F443" t="str">
        <f t="shared" si="111"/>
        <v>COM</v>
      </c>
      <c r="G443" t="str">
        <f>"GERALDO SEVERINO DE SANTANA (729)"</f>
        <v>GERALDO SEVERINO DE SANTANA (729)</v>
      </c>
      <c r="H443" t="s">
        <v>169</v>
      </c>
      <c r="I443" t="str">
        <f t="shared" si="110"/>
        <v>05/03/2026</v>
      </c>
      <c r="J443" t="str">
        <f t="shared" si="127"/>
        <v>23/02/2026</v>
      </c>
      <c r="K443">
        <v>46086</v>
      </c>
      <c r="N443">
        <v>109</v>
      </c>
      <c r="O443" t="s">
        <v>27</v>
      </c>
      <c r="Q443">
        <v>795.6</v>
      </c>
      <c r="R443" t="str">
        <f>"AC FARMA - CID.ALTA (10166)"</f>
        <v>AC FARMA - CID.ALTA (10166)</v>
      </c>
      <c r="S443" t="s">
        <v>37</v>
      </c>
      <c r="T443">
        <v>30077</v>
      </c>
      <c r="U443">
        <v>33325</v>
      </c>
      <c r="V443" t="s">
        <v>37</v>
      </c>
    </row>
    <row r="444" spans="1:22">
      <c r="A444" t="str">
        <f t="shared" si="122"/>
        <v>05/03/2026</v>
      </c>
      <c r="B444" t="str">
        <f t="shared" si="109"/>
        <v>SAÍDA</v>
      </c>
      <c r="C444" t="str">
        <f t="shared" si="112"/>
        <v>PIX</v>
      </c>
      <c r="D444" t="str">
        <f>"33326"</f>
        <v>33326</v>
      </c>
      <c r="E444" t="str">
        <f t="shared" si="126"/>
        <v>1</v>
      </c>
      <c r="F444" t="str">
        <f t="shared" si="111"/>
        <v>COM</v>
      </c>
      <c r="G444" t="str">
        <f>"HELITON DE OLIVEIRA RAMOS BARBOSA (724)"</f>
        <v>HELITON DE OLIVEIRA RAMOS BARBOSA (724)</v>
      </c>
      <c r="H444" t="str">
        <f>"Serv.Prest. 16/02/2026 a 22/02/2026 - PIX: CPF - CHAVE: 074.604.219-10"</f>
        <v>Serv.Prest. 16/02/2026 a 22/02/2026 - PIX: CPF - CHAVE: 074.604.219-10</v>
      </c>
      <c r="I444" t="str">
        <f t="shared" si="110"/>
        <v>05/03/2026</v>
      </c>
      <c r="J444" t="str">
        <f t="shared" si="127"/>
        <v>23/02/2026</v>
      </c>
      <c r="K444" t="str">
        <f>("05/03/2026")</f>
        <v>05/03/2026</v>
      </c>
      <c r="L444">
        <v>863.6</v>
      </c>
      <c r="M444">
        <v>863.6</v>
      </c>
      <c r="N444">
        <v>109</v>
      </c>
      <c r="O444" t="str">
        <f>"PAGAMENTO DE ENTREGADORES"</f>
        <v>PAGAMENTO DE ENTREGADORES</v>
      </c>
      <c r="P444">
        <v>863.6</v>
      </c>
      <c r="S444" t="str">
        <f>"BANCO C6 (149)"</f>
        <v>BANCO C6 (149)</v>
      </c>
      <c r="T444">
        <v>30078</v>
      </c>
      <c r="U444">
        <v>33326</v>
      </c>
      <c r="V444" t="s">
        <v>37</v>
      </c>
    </row>
    <row r="445" spans="1:22">
      <c r="A445" t="str">
        <f t="shared" si="122"/>
        <v>05/03/2026</v>
      </c>
      <c r="B445" t="str">
        <f t="shared" si="109"/>
        <v>SAÍDA</v>
      </c>
      <c r="C445" t="str">
        <f t="shared" si="112"/>
        <v>PIX</v>
      </c>
      <c r="D445" t="str">
        <f>"33326"</f>
        <v>33326</v>
      </c>
      <c r="E445" t="str">
        <f t="shared" si="126"/>
        <v>1</v>
      </c>
      <c r="F445" t="str">
        <f t="shared" si="111"/>
        <v>COM</v>
      </c>
      <c r="G445" t="str">
        <f>"HELITON DE OLIVEIRA RAMOS BARBOSA (724)"</f>
        <v>HELITON DE OLIVEIRA RAMOS BARBOSA (724)</v>
      </c>
      <c r="H445" t="s">
        <v>170</v>
      </c>
      <c r="I445" t="str">
        <f t="shared" si="110"/>
        <v>05/03/2026</v>
      </c>
      <c r="J445" t="str">
        <f t="shared" si="127"/>
        <v>23/02/2026</v>
      </c>
      <c r="K445">
        <v>46086</v>
      </c>
      <c r="N445">
        <v>109</v>
      </c>
      <c r="O445" t="s">
        <v>27</v>
      </c>
      <c r="Q445">
        <v>863.6</v>
      </c>
      <c r="R445" t="str">
        <f>"AC FARMA - CID.ALTA (10166)"</f>
        <v>AC FARMA - CID.ALTA (10166)</v>
      </c>
      <c r="S445" t="s">
        <v>37</v>
      </c>
      <c r="T445">
        <v>30078</v>
      </c>
      <c r="U445">
        <v>33326</v>
      </c>
      <c r="V445" t="s">
        <v>37</v>
      </c>
    </row>
    <row r="446" spans="1:22">
      <c r="A446" t="str">
        <f t="shared" si="122"/>
        <v>05/03/2026</v>
      </c>
      <c r="B446" t="str">
        <f t="shared" si="109"/>
        <v>SAÍDA</v>
      </c>
      <c r="C446" t="str">
        <f t="shared" si="112"/>
        <v>PIX</v>
      </c>
      <c r="D446" t="str">
        <f>"33327"</f>
        <v>33327</v>
      </c>
      <c r="E446" t="str">
        <f t="shared" si="126"/>
        <v>1</v>
      </c>
      <c r="F446" t="str">
        <f t="shared" si="111"/>
        <v>COM</v>
      </c>
      <c r="G446" t="str">
        <f>"KAINAN FABRÍCIO DOS SANTOS (1258)"</f>
        <v>KAINAN FABRÍCIO DOS SANTOS (1258)</v>
      </c>
      <c r="H446" t="str">
        <f>"Serv.Prest. 16/02/2026 a 22/02/2026 - PIX: CELULAR - CHAVE: (43) 99830-8026"</f>
        <v>Serv.Prest. 16/02/2026 a 22/02/2026 - PIX: CELULAR - CHAVE: (43) 99830-8026</v>
      </c>
      <c r="I446" t="str">
        <f t="shared" si="110"/>
        <v>05/03/2026</v>
      </c>
      <c r="J446" t="str">
        <f t="shared" si="127"/>
        <v>23/02/2026</v>
      </c>
      <c r="K446" t="str">
        <f>("05/03/2026")</f>
        <v>05/03/2026</v>
      </c>
      <c r="L446">
        <v>272</v>
      </c>
      <c r="M446">
        <v>272</v>
      </c>
      <c r="N446">
        <v>109</v>
      </c>
      <c r="O446" t="str">
        <f>"PAGAMENTO DE ENTREGADORES"</f>
        <v>PAGAMENTO DE ENTREGADORES</v>
      </c>
      <c r="P446">
        <v>272</v>
      </c>
      <c r="S446" t="str">
        <f>"BANCO C6 (149)"</f>
        <v>BANCO C6 (149)</v>
      </c>
      <c r="T446">
        <v>30079</v>
      </c>
      <c r="U446">
        <v>33327</v>
      </c>
      <c r="V446" t="s">
        <v>37</v>
      </c>
    </row>
    <row r="447" spans="1:22">
      <c r="A447" t="str">
        <f t="shared" si="122"/>
        <v>05/03/2026</v>
      </c>
      <c r="B447" t="str">
        <f t="shared" si="109"/>
        <v>SAÍDA</v>
      </c>
      <c r="C447" t="str">
        <f t="shared" si="112"/>
        <v>PIX</v>
      </c>
      <c r="D447" t="str">
        <f>"33327"</f>
        <v>33327</v>
      </c>
      <c r="E447" t="str">
        <f t="shared" si="126"/>
        <v>1</v>
      </c>
      <c r="F447" t="str">
        <f t="shared" si="111"/>
        <v>COM</v>
      </c>
      <c r="G447" t="str">
        <f>"KAINAN FABRÍCIO DOS SANTOS (1258)"</f>
        <v>KAINAN FABRÍCIO DOS SANTOS (1258)</v>
      </c>
      <c r="H447" t="s">
        <v>171</v>
      </c>
      <c r="I447" t="str">
        <f t="shared" si="110"/>
        <v>05/03/2026</v>
      </c>
      <c r="J447" t="str">
        <f t="shared" si="127"/>
        <v>23/02/2026</v>
      </c>
      <c r="K447">
        <v>46086</v>
      </c>
      <c r="N447">
        <v>109</v>
      </c>
      <c r="O447" t="s">
        <v>27</v>
      </c>
      <c r="Q447">
        <v>272</v>
      </c>
      <c r="R447" t="str">
        <f>"AC FARMA - CID.ALTA (10166)"</f>
        <v>AC FARMA - CID.ALTA (10166)</v>
      </c>
      <c r="S447" t="s">
        <v>37</v>
      </c>
      <c r="T447">
        <v>30079</v>
      </c>
      <c r="U447">
        <v>33327</v>
      </c>
      <c r="V447" t="s">
        <v>37</v>
      </c>
    </row>
    <row r="448" spans="1:22">
      <c r="A448" t="str">
        <f t="shared" si="122"/>
        <v>05/03/2026</v>
      </c>
      <c r="B448" t="str">
        <f t="shared" si="109"/>
        <v>SAÍDA</v>
      </c>
      <c r="C448" t="str">
        <f t="shared" si="112"/>
        <v>PIX</v>
      </c>
      <c r="D448" t="str">
        <f>"33329"</f>
        <v>33329</v>
      </c>
      <c r="E448" t="str">
        <f t="shared" si="126"/>
        <v>1</v>
      </c>
      <c r="F448" t="str">
        <f t="shared" si="111"/>
        <v>COM</v>
      </c>
      <c r="G448" t="str">
        <f>"ALAN ACOSTA (897)"</f>
        <v>ALAN ACOSTA (897)</v>
      </c>
      <c r="H448" t="str">
        <f>"Serv.Prest. 16/02/2026 a 22/02/2026 - PIX: CELULAR - CHAVE: (43) 99875-6490"</f>
        <v>Serv.Prest. 16/02/2026 a 22/02/2026 - PIX: CELULAR - CHAVE: (43) 99875-6490</v>
      </c>
      <c r="I448" t="str">
        <f t="shared" si="110"/>
        <v>05/03/2026</v>
      </c>
      <c r="J448" t="str">
        <f t="shared" si="127"/>
        <v>23/02/2026</v>
      </c>
      <c r="K448" t="str">
        <f>("05/03/2026")</f>
        <v>05/03/2026</v>
      </c>
      <c r="L448">
        <v>54.4</v>
      </c>
      <c r="M448">
        <v>54.4</v>
      </c>
      <c r="N448">
        <v>109</v>
      </c>
      <c r="O448" t="str">
        <f>"PAGAMENTO DE ENTREGADORES"</f>
        <v>PAGAMENTO DE ENTREGADORES</v>
      </c>
      <c r="P448">
        <v>54.4</v>
      </c>
      <c r="S448" t="str">
        <f>"BANCO C6 (149)"</f>
        <v>BANCO C6 (149)</v>
      </c>
      <c r="T448">
        <v>30080</v>
      </c>
      <c r="U448">
        <v>33329</v>
      </c>
      <c r="V448" t="s">
        <v>37</v>
      </c>
    </row>
    <row r="449" spans="1:22">
      <c r="A449" t="str">
        <f t="shared" si="122"/>
        <v>05/03/2026</v>
      </c>
      <c r="B449" t="str">
        <f t="shared" ref="B449:B512" si="128">"SAÍDA"</f>
        <v>SAÍDA</v>
      </c>
      <c r="C449" t="str">
        <f t="shared" si="112"/>
        <v>PIX</v>
      </c>
      <c r="D449" t="str">
        <f>"33329"</f>
        <v>33329</v>
      </c>
      <c r="E449" t="str">
        <f t="shared" si="126"/>
        <v>1</v>
      </c>
      <c r="F449" t="str">
        <f t="shared" si="111"/>
        <v>COM</v>
      </c>
      <c r="G449" t="str">
        <f>"ALAN ACOSTA (897)"</f>
        <v>ALAN ACOSTA (897)</v>
      </c>
      <c r="H449" t="s">
        <v>166</v>
      </c>
      <c r="I449" t="str">
        <f t="shared" ref="I449:I512" si="129">("05/03/2026")</f>
        <v>05/03/2026</v>
      </c>
      <c r="J449" t="str">
        <f t="shared" si="127"/>
        <v>23/02/2026</v>
      </c>
      <c r="K449">
        <v>46086</v>
      </c>
      <c r="N449">
        <v>109</v>
      </c>
      <c r="O449" t="s">
        <v>27</v>
      </c>
      <c r="Q449">
        <v>54.4</v>
      </c>
      <c r="R449" t="str">
        <f>"AC FARMA -  FLEMINFARMA (10159)"</f>
        <v>AC FARMA -  FLEMINFARMA (10159)</v>
      </c>
      <c r="S449" t="s">
        <v>37</v>
      </c>
      <c r="T449">
        <v>30080</v>
      </c>
      <c r="U449">
        <v>33329</v>
      </c>
      <c r="V449" t="s">
        <v>37</v>
      </c>
    </row>
    <row r="450" spans="1:22">
      <c r="A450" t="str">
        <f t="shared" si="122"/>
        <v>05/03/2026</v>
      </c>
      <c r="B450" t="str">
        <f t="shared" si="128"/>
        <v>SAÍDA</v>
      </c>
      <c r="C450" t="str">
        <f t="shared" si="112"/>
        <v>PIX</v>
      </c>
      <c r="D450" t="str">
        <f>"33330"</f>
        <v>33330</v>
      </c>
      <c r="E450" t="str">
        <f t="shared" si="126"/>
        <v>1</v>
      </c>
      <c r="F450" t="str">
        <f t="shared" ref="F450:F513" si="130">"COM"</f>
        <v>COM</v>
      </c>
      <c r="G450" t="str">
        <f>"CLAUDINEI RIBEIRO VALERIO (681)"</f>
        <v>CLAUDINEI RIBEIRO VALERIO (681)</v>
      </c>
      <c r="H450" t="str">
        <f>"Serv.Prest. 16/02/2026 a 22/02/2026 - PIX: CELULAR - CHAVE: (43) 99630-7532"</f>
        <v>Serv.Prest. 16/02/2026 a 22/02/2026 - PIX: CELULAR - CHAVE: (43) 99630-7532</v>
      </c>
      <c r="I450" t="str">
        <f t="shared" si="129"/>
        <v>05/03/2026</v>
      </c>
      <c r="J450" t="str">
        <f t="shared" si="127"/>
        <v>23/02/2026</v>
      </c>
      <c r="K450" t="str">
        <f>("05/03/2026")</f>
        <v>05/03/2026</v>
      </c>
      <c r="L450">
        <v>142.80000000000001</v>
      </c>
      <c r="M450">
        <v>142.80000000000001</v>
      </c>
      <c r="N450">
        <v>109</v>
      </c>
      <c r="O450" t="str">
        <f>"PAGAMENTO DE ENTREGADORES"</f>
        <v>PAGAMENTO DE ENTREGADORES</v>
      </c>
      <c r="P450">
        <v>142.80000000000001</v>
      </c>
      <c r="S450" t="str">
        <f>"BANCO C6 (149)"</f>
        <v>BANCO C6 (149)</v>
      </c>
      <c r="T450">
        <v>30081</v>
      </c>
      <c r="U450">
        <v>33330</v>
      </c>
      <c r="V450" t="s">
        <v>37</v>
      </c>
    </row>
    <row r="451" spans="1:22">
      <c r="A451" t="str">
        <f t="shared" si="122"/>
        <v>05/03/2026</v>
      </c>
      <c r="B451" t="str">
        <f t="shared" si="128"/>
        <v>SAÍDA</v>
      </c>
      <c r="C451" t="str">
        <f t="shared" ref="C451:C514" si="131">"PIX"</f>
        <v>PIX</v>
      </c>
      <c r="D451" t="str">
        <f>"33330"</f>
        <v>33330</v>
      </c>
      <c r="E451" t="str">
        <f t="shared" si="126"/>
        <v>1</v>
      </c>
      <c r="F451" t="str">
        <f t="shared" si="130"/>
        <v>COM</v>
      </c>
      <c r="G451" t="str">
        <f>"CLAUDINEI RIBEIRO VALERIO (681)"</f>
        <v>CLAUDINEI RIBEIRO VALERIO (681)</v>
      </c>
      <c r="H451" t="s">
        <v>167</v>
      </c>
      <c r="I451" t="str">
        <f t="shared" si="129"/>
        <v>05/03/2026</v>
      </c>
      <c r="J451" t="str">
        <f t="shared" si="127"/>
        <v>23/02/2026</v>
      </c>
      <c r="K451">
        <v>46086</v>
      </c>
      <c r="N451">
        <v>109</v>
      </c>
      <c r="O451" t="s">
        <v>27</v>
      </c>
      <c r="Q451">
        <v>142.80000000000001</v>
      </c>
      <c r="R451" t="str">
        <f>"AC FARMA -  FLEMINFARMA (10159)"</f>
        <v>AC FARMA -  FLEMINFARMA (10159)</v>
      </c>
      <c r="S451" t="s">
        <v>37</v>
      </c>
      <c r="T451">
        <v>30081</v>
      </c>
      <c r="U451">
        <v>33330</v>
      </c>
      <c r="V451" t="s">
        <v>37</v>
      </c>
    </row>
    <row r="452" spans="1:22">
      <c r="A452" t="str">
        <f t="shared" si="122"/>
        <v>05/03/2026</v>
      </c>
      <c r="B452" t="str">
        <f t="shared" si="128"/>
        <v>SAÍDA</v>
      </c>
      <c r="C452" t="str">
        <f t="shared" si="131"/>
        <v>PIX</v>
      </c>
      <c r="D452" t="str">
        <f>"33331"</f>
        <v>33331</v>
      </c>
      <c r="E452" t="str">
        <f t="shared" si="126"/>
        <v>1</v>
      </c>
      <c r="F452" t="str">
        <f t="shared" si="130"/>
        <v>COM</v>
      </c>
      <c r="G452" t="str">
        <f>"FERNANDO MARTINS DA SILVA (701)"</f>
        <v>FERNANDO MARTINS DA SILVA (701)</v>
      </c>
      <c r="H452" t="str">
        <f>"Serv.Prest. 16/02/2026 a 22/02/2026 - PIX: CPF - CHAVE: 004.682.359-06"</f>
        <v>Serv.Prest. 16/02/2026 a 22/02/2026 - PIX: CPF - CHAVE: 004.682.359-06</v>
      </c>
      <c r="I452" t="str">
        <f t="shared" si="129"/>
        <v>05/03/2026</v>
      </c>
      <c r="J452" t="str">
        <f t="shared" si="127"/>
        <v>23/02/2026</v>
      </c>
      <c r="K452" t="str">
        <f>("05/03/2026")</f>
        <v>05/03/2026</v>
      </c>
      <c r="L452">
        <v>326.39999999999998</v>
      </c>
      <c r="M452">
        <v>326.39999999999998</v>
      </c>
      <c r="N452">
        <v>109</v>
      </c>
      <c r="O452" t="str">
        <f>"PAGAMENTO DE ENTREGADORES"</f>
        <v>PAGAMENTO DE ENTREGADORES</v>
      </c>
      <c r="P452">
        <v>326.39999999999998</v>
      </c>
      <c r="S452" t="str">
        <f>"BANCO C6 (149)"</f>
        <v>BANCO C6 (149)</v>
      </c>
      <c r="T452">
        <v>30082</v>
      </c>
      <c r="U452">
        <v>33331</v>
      </c>
      <c r="V452" t="s">
        <v>37</v>
      </c>
    </row>
    <row r="453" spans="1:22">
      <c r="A453" t="str">
        <f t="shared" si="122"/>
        <v>05/03/2026</v>
      </c>
      <c r="B453" t="str">
        <f t="shared" si="128"/>
        <v>SAÍDA</v>
      </c>
      <c r="C453" t="str">
        <f t="shared" si="131"/>
        <v>PIX</v>
      </c>
      <c r="D453" t="str">
        <f>"33331"</f>
        <v>33331</v>
      </c>
      <c r="E453" t="str">
        <f t="shared" si="126"/>
        <v>1</v>
      </c>
      <c r="F453" t="str">
        <f t="shared" si="130"/>
        <v>COM</v>
      </c>
      <c r="G453" t="str">
        <f>"FERNANDO MARTINS DA SILVA (701)"</f>
        <v>FERNANDO MARTINS DA SILVA (701)</v>
      </c>
      <c r="H453" t="s">
        <v>168</v>
      </c>
      <c r="I453" t="str">
        <f t="shared" si="129"/>
        <v>05/03/2026</v>
      </c>
      <c r="J453" t="str">
        <f t="shared" si="127"/>
        <v>23/02/2026</v>
      </c>
      <c r="K453">
        <v>46086</v>
      </c>
      <c r="N453">
        <v>109</v>
      </c>
      <c r="O453" t="s">
        <v>27</v>
      </c>
      <c r="Q453">
        <v>326.39999999999998</v>
      </c>
      <c r="R453" t="str">
        <f>"AC FARMA -  FLEMINFARMA (10159)"</f>
        <v>AC FARMA -  FLEMINFARMA (10159)</v>
      </c>
      <c r="S453" t="s">
        <v>37</v>
      </c>
      <c r="T453">
        <v>30082</v>
      </c>
      <c r="U453">
        <v>33331</v>
      </c>
      <c r="V453" t="s">
        <v>37</v>
      </c>
    </row>
    <row r="454" spans="1:22">
      <c r="A454" t="str">
        <f t="shared" si="122"/>
        <v>05/03/2026</v>
      </c>
      <c r="B454" t="str">
        <f t="shared" si="128"/>
        <v>SAÍDA</v>
      </c>
      <c r="C454" t="str">
        <f t="shared" si="131"/>
        <v>PIX</v>
      </c>
      <c r="D454" t="str">
        <f>"33332"</f>
        <v>33332</v>
      </c>
      <c r="E454" t="str">
        <f t="shared" si="126"/>
        <v>1</v>
      </c>
      <c r="F454" t="str">
        <f t="shared" si="130"/>
        <v>COM</v>
      </c>
      <c r="G454" t="str">
        <f>"GERALDO SEVERINO DE SANTANA (729)"</f>
        <v>GERALDO SEVERINO DE SANTANA (729)</v>
      </c>
      <c r="H454" t="str">
        <f>"Serv.Prest. 16/02/2026 a 22/02/2026 - PIX: CELULAR - CHAVE: (43) 99934-1696"</f>
        <v>Serv.Prest. 16/02/2026 a 22/02/2026 - PIX: CELULAR - CHAVE: (43) 99934-1696</v>
      </c>
      <c r="I454" t="str">
        <f t="shared" si="129"/>
        <v>05/03/2026</v>
      </c>
      <c r="J454" t="str">
        <f t="shared" si="127"/>
        <v>23/02/2026</v>
      </c>
      <c r="K454" t="str">
        <f>("05/03/2026")</f>
        <v>05/03/2026</v>
      </c>
      <c r="L454">
        <v>156.4</v>
      </c>
      <c r="M454">
        <v>156.4</v>
      </c>
      <c r="N454">
        <v>109</v>
      </c>
      <c r="O454" t="str">
        <f>"PAGAMENTO DE ENTREGADORES"</f>
        <v>PAGAMENTO DE ENTREGADORES</v>
      </c>
      <c r="P454">
        <v>156.4</v>
      </c>
      <c r="S454" t="str">
        <f>"BANCO C6 (149)"</f>
        <v>BANCO C6 (149)</v>
      </c>
      <c r="T454">
        <v>30083</v>
      </c>
      <c r="U454">
        <v>33332</v>
      </c>
      <c r="V454" t="s">
        <v>37</v>
      </c>
    </row>
    <row r="455" spans="1:22">
      <c r="A455" t="str">
        <f t="shared" si="122"/>
        <v>05/03/2026</v>
      </c>
      <c r="B455" t="str">
        <f t="shared" si="128"/>
        <v>SAÍDA</v>
      </c>
      <c r="C455" t="str">
        <f t="shared" si="131"/>
        <v>PIX</v>
      </c>
      <c r="D455" t="str">
        <f>"33332"</f>
        <v>33332</v>
      </c>
      <c r="E455" t="str">
        <f t="shared" si="126"/>
        <v>1</v>
      </c>
      <c r="F455" t="str">
        <f t="shared" si="130"/>
        <v>COM</v>
      </c>
      <c r="G455" t="str">
        <f>"GERALDO SEVERINO DE SANTANA (729)"</f>
        <v>GERALDO SEVERINO DE SANTANA (729)</v>
      </c>
      <c r="H455" t="s">
        <v>169</v>
      </c>
      <c r="I455" t="str">
        <f t="shared" si="129"/>
        <v>05/03/2026</v>
      </c>
      <c r="J455" t="str">
        <f t="shared" si="127"/>
        <v>23/02/2026</v>
      </c>
      <c r="K455">
        <v>46086</v>
      </c>
      <c r="N455">
        <v>109</v>
      </c>
      <c r="O455" t="s">
        <v>27</v>
      </c>
      <c r="Q455">
        <v>156.4</v>
      </c>
      <c r="R455" t="str">
        <f>"AC FARMA -  FLEMINFARMA (10159)"</f>
        <v>AC FARMA -  FLEMINFARMA (10159)</v>
      </c>
      <c r="S455" t="s">
        <v>37</v>
      </c>
      <c r="T455">
        <v>30083</v>
      </c>
      <c r="U455">
        <v>33332</v>
      </c>
      <c r="V455" t="s">
        <v>37</v>
      </c>
    </row>
    <row r="456" spans="1:22">
      <c r="A456" t="str">
        <f t="shared" si="122"/>
        <v>05/03/2026</v>
      </c>
      <c r="B456" t="str">
        <f t="shared" si="128"/>
        <v>SAÍDA</v>
      </c>
      <c r="C456" t="str">
        <f t="shared" si="131"/>
        <v>PIX</v>
      </c>
      <c r="D456" t="str">
        <f>"33333"</f>
        <v>33333</v>
      </c>
      <c r="E456" t="str">
        <f t="shared" si="126"/>
        <v>1</v>
      </c>
      <c r="F456" t="str">
        <f t="shared" si="130"/>
        <v>COM</v>
      </c>
      <c r="G456" t="str">
        <f>"HELITON DE OLIVEIRA RAMOS BARBOSA (724)"</f>
        <v>HELITON DE OLIVEIRA RAMOS BARBOSA (724)</v>
      </c>
      <c r="H456" t="str">
        <f>"Serv.Prest. 16/02/2026 a 22/02/2026 - PIX: CPF - CHAVE: 074.604.219-10"</f>
        <v>Serv.Prest. 16/02/2026 a 22/02/2026 - PIX: CPF - CHAVE: 074.604.219-10</v>
      </c>
      <c r="I456" t="str">
        <f t="shared" si="129"/>
        <v>05/03/2026</v>
      </c>
      <c r="J456" t="str">
        <f t="shared" si="127"/>
        <v>23/02/2026</v>
      </c>
      <c r="K456" t="str">
        <f>("05/03/2026")</f>
        <v>05/03/2026</v>
      </c>
      <c r="L456">
        <v>183.6</v>
      </c>
      <c r="M456">
        <v>183.6</v>
      </c>
      <c r="N456">
        <v>109</v>
      </c>
      <c r="O456" t="str">
        <f>"PAGAMENTO DE ENTREGADORES"</f>
        <v>PAGAMENTO DE ENTREGADORES</v>
      </c>
      <c r="P456">
        <v>183.6</v>
      </c>
      <c r="S456" t="str">
        <f>"BANCO C6 (149)"</f>
        <v>BANCO C6 (149)</v>
      </c>
      <c r="T456">
        <v>30084</v>
      </c>
      <c r="U456">
        <v>33333</v>
      </c>
      <c r="V456" t="s">
        <v>37</v>
      </c>
    </row>
    <row r="457" spans="1:22">
      <c r="A457" t="str">
        <f t="shared" si="122"/>
        <v>05/03/2026</v>
      </c>
      <c r="B457" t="str">
        <f t="shared" si="128"/>
        <v>SAÍDA</v>
      </c>
      <c r="C457" t="str">
        <f t="shared" si="131"/>
        <v>PIX</v>
      </c>
      <c r="D457" t="str">
        <f>"33333"</f>
        <v>33333</v>
      </c>
      <c r="E457" t="str">
        <f t="shared" si="126"/>
        <v>1</v>
      </c>
      <c r="F457" t="str">
        <f t="shared" si="130"/>
        <v>COM</v>
      </c>
      <c r="G457" t="str">
        <f>"HELITON DE OLIVEIRA RAMOS BARBOSA (724)"</f>
        <v>HELITON DE OLIVEIRA RAMOS BARBOSA (724)</v>
      </c>
      <c r="H457" t="s">
        <v>170</v>
      </c>
      <c r="I457" t="str">
        <f t="shared" si="129"/>
        <v>05/03/2026</v>
      </c>
      <c r="J457" t="str">
        <f t="shared" si="127"/>
        <v>23/02/2026</v>
      </c>
      <c r="K457">
        <v>46086</v>
      </c>
      <c r="N457">
        <v>109</v>
      </c>
      <c r="O457" t="s">
        <v>27</v>
      </c>
      <c r="Q457">
        <v>183.6</v>
      </c>
      <c r="R457" t="str">
        <f>"AC FARMA -  FLEMINFARMA (10159)"</f>
        <v>AC FARMA -  FLEMINFARMA (10159)</v>
      </c>
      <c r="S457" t="s">
        <v>37</v>
      </c>
      <c r="T457">
        <v>30084</v>
      </c>
      <c r="U457">
        <v>33333</v>
      </c>
      <c r="V457" t="s">
        <v>37</v>
      </c>
    </row>
    <row r="458" spans="1:22">
      <c r="A458" t="str">
        <f t="shared" si="122"/>
        <v>05/03/2026</v>
      </c>
      <c r="B458" t="str">
        <f t="shared" si="128"/>
        <v>SAÍDA</v>
      </c>
      <c r="C458" t="str">
        <f t="shared" si="131"/>
        <v>PIX</v>
      </c>
      <c r="D458" t="str">
        <f>"33334"</f>
        <v>33334</v>
      </c>
      <c r="E458" t="str">
        <f t="shared" si="126"/>
        <v>1</v>
      </c>
      <c r="F458" t="str">
        <f t="shared" si="130"/>
        <v>COM</v>
      </c>
      <c r="G458" t="str">
        <f>"KAINAN FABRÍCIO DOS SANTOS (1258)"</f>
        <v>KAINAN FABRÍCIO DOS SANTOS (1258)</v>
      </c>
      <c r="H458" t="str">
        <f>"Serv.Prest. 16/02/2026 a 22/02/2026 - PIX: CELULAR - CHAVE: (43) 99830-8026"</f>
        <v>Serv.Prest. 16/02/2026 a 22/02/2026 - PIX: CELULAR - CHAVE: (43) 99830-8026</v>
      </c>
      <c r="I458" t="str">
        <f t="shared" si="129"/>
        <v>05/03/2026</v>
      </c>
      <c r="J458" t="str">
        <f t="shared" si="127"/>
        <v>23/02/2026</v>
      </c>
      <c r="K458" t="str">
        <f>("05/03/2026")</f>
        <v>05/03/2026</v>
      </c>
      <c r="L458">
        <v>34</v>
      </c>
      <c r="M458">
        <v>34</v>
      </c>
      <c r="N458">
        <v>109</v>
      </c>
      <c r="O458" t="str">
        <f>"PAGAMENTO DE ENTREGADORES"</f>
        <v>PAGAMENTO DE ENTREGADORES</v>
      </c>
      <c r="P458">
        <v>34</v>
      </c>
      <c r="S458" t="str">
        <f>"BANCO C6 (149)"</f>
        <v>BANCO C6 (149)</v>
      </c>
      <c r="T458">
        <v>30085</v>
      </c>
      <c r="U458">
        <v>33334</v>
      </c>
      <c r="V458" t="s">
        <v>37</v>
      </c>
    </row>
    <row r="459" spans="1:22">
      <c r="A459" t="str">
        <f t="shared" si="122"/>
        <v>05/03/2026</v>
      </c>
      <c r="B459" t="str">
        <f t="shared" si="128"/>
        <v>SAÍDA</v>
      </c>
      <c r="C459" t="str">
        <f t="shared" si="131"/>
        <v>PIX</v>
      </c>
      <c r="D459" t="str">
        <f>"33334"</f>
        <v>33334</v>
      </c>
      <c r="E459" t="str">
        <f t="shared" si="126"/>
        <v>1</v>
      </c>
      <c r="F459" t="str">
        <f t="shared" si="130"/>
        <v>COM</v>
      </c>
      <c r="G459" t="str">
        <f>"KAINAN FABRÍCIO DOS SANTOS (1258)"</f>
        <v>KAINAN FABRÍCIO DOS SANTOS (1258)</v>
      </c>
      <c r="H459" t="s">
        <v>171</v>
      </c>
      <c r="I459" t="str">
        <f t="shared" si="129"/>
        <v>05/03/2026</v>
      </c>
      <c r="J459" t="str">
        <f t="shared" si="127"/>
        <v>23/02/2026</v>
      </c>
      <c r="K459">
        <v>46086</v>
      </c>
      <c r="N459">
        <v>109</v>
      </c>
      <c r="O459" t="s">
        <v>27</v>
      </c>
      <c r="Q459">
        <v>34</v>
      </c>
      <c r="R459" t="str">
        <f>"AC FARMA -  FLEMINFARMA (10159)"</f>
        <v>AC FARMA -  FLEMINFARMA (10159)</v>
      </c>
      <c r="S459" t="s">
        <v>37</v>
      </c>
      <c r="T459">
        <v>30085</v>
      </c>
      <c r="U459">
        <v>33334</v>
      </c>
      <c r="V459" t="s">
        <v>37</v>
      </c>
    </row>
    <row r="460" spans="1:22">
      <c r="A460" t="str">
        <f t="shared" si="122"/>
        <v>05/03/2026</v>
      </c>
      <c r="B460" t="str">
        <f t="shared" si="128"/>
        <v>SAÍDA</v>
      </c>
      <c r="C460" t="str">
        <f t="shared" si="131"/>
        <v>PIX</v>
      </c>
      <c r="D460" t="str">
        <f>"33336"</f>
        <v>33336</v>
      </c>
      <c r="E460" t="str">
        <f t="shared" si="126"/>
        <v>1</v>
      </c>
      <c r="F460" t="str">
        <f t="shared" si="130"/>
        <v>COM</v>
      </c>
      <c r="G460" t="str">
        <f>"ALAN ACOSTA (897)"</f>
        <v>ALAN ACOSTA (897)</v>
      </c>
      <c r="H460" t="str">
        <f>"Serv.Prest. 16/02/2026 a 22/02/2026 - PIX: CELULAR - CHAVE: (43) 99875-6490"</f>
        <v>Serv.Prest. 16/02/2026 a 22/02/2026 - PIX: CELULAR - CHAVE: (43) 99875-6490</v>
      </c>
      <c r="I460" t="str">
        <f t="shared" si="129"/>
        <v>05/03/2026</v>
      </c>
      <c r="J460" t="str">
        <f t="shared" si="127"/>
        <v>23/02/2026</v>
      </c>
      <c r="K460" t="str">
        <f>("05/03/2026")</f>
        <v>05/03/2026</v>
      </c>
      <c r="L460">
        <v>6.8</v>
      </c>
      <c r="M460">
        <v>6.8</v>
      </c>
      <c r="N460">
        <v>109</v>
      </c>
      <c r="O460" t="str">
        <f>"PAGAMENTO DE ENTREGADORES"</f>
        <v>PAGAMENTO DE ENTREGADORES</v>
      </c>
      <c r="P460">
        <v>6.8</v>
      </c>
      <c r="S460" t="str">
        <f>"BANCO C6 (149)"</f>
        <v>BANCO C6 (149)</v>
      </c>
      <c r="T460">
        <v>30086</v>
      </c>
      <c r="U460">
        <v>33336</v>
      </c>
      <c r="V460" t="s">
        <v>37</v>
      </c>
    </row>
    <row r="461" spans="1:22">
      <c r="A461" t="str">
        <f t="shared" si="122"/>
        <v>05/03/2026</v>
      </c>
      <c r="B461" t="str">
        <f t="shared" si="128"/>
        <v>SAÍDA</v>
      </c>
      <c r="C461" t="str">
        <f t="shared" si="131"/>
        <v>PIX</v>
      </c>
      <c r="D461" t="str">
        <f>"33336"</f>
        <v>33336</v>
      </c>
      <c r="E461" t="str">
        <f t="shared" si="126"/>
        <v>1</v>
      </c>
      <c r="F461" t="str">
        <f t="shared" si="130"/>
        <v>COM</v>
      </c>
      <c r="G461" t="str">
        <f>"ALAN ACOSTA (897)"</f>
        <v>ALAN ACOSTA (897)</v>
      </c>
      <c r="H461" t="s">
        <v>166</v>
      </c>
      <c r="I461" t="str">
        <f t="shared" si="129"/>
        <v>05/03/2026</v>
      </c>
      <c r="J461" t="str">
        <f t="shared" si="127"/>
        <v>23/02/2026</v>
      </c>
      <c r="K461">
        <v>46086</v>
      </c>
      <c r="N461">
        <v>109</v>
      </c>
      <c r="O461" t="s">
        <v>27</v>
      </c>
      <c r="Q461">
        <v>6.8</v>
      </c>
      <c r="R461" t="str">
        <f>"AC FARMA - FLEMINFARMA 5 (10183)"</f>
        <v>AC FARMA - FLEMINFARMA 5 (10183)</v>
      </c>
      <c r="S461" t="s">
        <v>37</v>
      </c>
      <c r="T461">
        <v>30086</v>
      </c>
      <c r="U461">
        <v>33336</v>
      </c>
      <c r="V461" t="s">
        <v>37</v>
      </c>
    </row>
    <row r="462" spans="1:22">
      <c r="A462" t="str">
        <f t="shared" si="122"/>
        <v>05/03/2026</v>
      </c>
      <c r="B462" t="str">
        <f t="shared" si="128"/>
        <v>SAÍDA</v>
      </c>
      <c r="C462" t="str">
        <f t="shared" si="131"/>
        <v>PIX</v>
      </c>
      <c r="D462" t="str">
        <f>"33337"</f>
        <v>33337</v>
      </c>
      <c r="E462" t="str">
        <f t="shared" si="126"/>
        <v>1</v>
      </c>
      <c r="F462" t="str">
        <f t="shared" si="130"/>
        <v>COM</v>
      </c>
      <c r="G462" t="str">
        <f>"CLAUDINEI RIBEIRO VALERIO (681)"</f>
        <v>CLAUDINEI RIBEIRO VALERIO (681)</v>
      </c>
      <c r="H462" t="str">
        <f>"Serv.Prest. 16/02/2026 a 22/02/2026 - PIX: CELULAR - CHAVE: (43) 99630-7532"</f>
        <v>Serv.Prest. 16/02/2026 a 22/02/2026 - PIX: CELULAR - CHAVE: (43) 99630-7532</v>
      </c>
      <c r="I462" t="str">
        <f t="shared" si="129"/>
        <v>05/03/2026</v>
      </c>
      <c r="J462" t="str">
        <f t="shared" si="127"/>
        <v>23/02/2026</v>
      </c>
      <c r="K462" t="str">
        <f>("05/03/2026")</f>
        <v>05/03/2026</v>
      </c>
      <c r="L462">
        <v>27.2</v>
      </c>
      <c r="M462">
        <v>27.2</v>
      </c>
      <c r="N462">
        <v>109</v>
      </c>
      <c r="O462" t="str">
        <f>"PAGAMENTO DE ENTREGADORES"</f>
        <v>PAGAMENTO DE ENTREGADORES</v>
      </c>
      <c r="P462">
        <v>27.2</v>
      </c>
      <c r="S462" t="str">
        <f>"BANCO C6 (149)"</f>
        <v>BANCO C6 (149)</v>
      </c>
      <c r="T462">
        <v>30087</v>
      </c>
      <c r="U462">
        <v>33337</v>
      </c>
      <c r="V462" t="s">
        <v>37</v>
      </c>
    </row>
    <row r="463" spans="1:22">
      <c r="A463" t="str">
        <f t="shared" si="122"/>
        <v>05/03/2026</v>
      </c>
      <c r="B463" t="str">
        <f t="shared" si="128"/>
        <v>SAÍDA</v>
      </c>
      <c r="C463" t="str">
        <f t="shared" si="131"/>
        <v>PIX</v>
      </c>
      <c r="D463" t="str">
        <f>"33337"</f>
        <v>33337</v>
      </c>
      <c r="E463" t="str">
        <f t="shared" si="126"/>
        <v>1</v>
      </c>
      <c r="F463" t="str">
        <f t="shared" si="130"/>
        <v>COM</v>
      </c>
      <c r="G463" t="str">
        <f>"CLAUDINEI RIBEIRO VALERIO (681)"</f>
        <v>CLAUDINEI RIBEIRO VALERIO (681)</v>
      </c>
      <c r="H463" t="s">
        <v>167</v>
      </c>
      <c r="I463" t="str">
        <f t="shared" si="129"/>
        <v>05/03/2026</v>
      </c>
      <c r="J463" t="str">
        <f t="shared" si="127"/>
        <v>23/02/2026</v>
      </c>
      <c r="K463">
        <v>46086</v>
      </c>
      <c r="N463">
        <v>109</v>
      </c>
      <c r="O463" t="s">
        <v>27</v>
      </c>
      <c r="Q463">
        <v>27.2</v>
      </c>
      <c r="R463" t="str">
        <f>"AC FARMA - FLEMINFARMA 5 (10183)"</f>
        <v>AC FARMA - FLEMINFARMA 5 (10183)</v>
      </c>
      <c r="S463" t="s">
        <v>37</v>
      </c>
      <c r="T463">
        <v>30087</v>
      </c>
      <c r="U463">
        <v>33337</v>
      </c>
      <c r="V463" t="s">
        <v>37</v>
      </c>
    </row>
    <row r="464" spans="1:22">
      <c r="A464" t="str">
        <f t="shared" si="122"/>
        <v>05/03/2026</v>
      </c>
      <c r="B464" t="str">
        <f t="shared" si="128"/>
        <v>SAÍDA</v>
      </c>
      <c r="C464" t="str">
        <f t="shared" si="131"/>
        <v>PIX</v>
      </c>
      <c r="D464" t="str">
        <f>"33338"</f>
        <v>33338</v>
      </c>
      <c r="E464" t="str">
        <f t="shared" si="126"/>
        <v>1</v>
      </c>
      <c r="F464" t="str">
        <f t="shared" si="130"/>
        <v>COM</v>
      </c>
      <c r="G464" t="str">
        <f>"FERNANDO MARTINS DA SILVA (701)"</f>
        <v>FERNANDO MARTINS DA SILVA (701)</v>
      </c>
      <c r="H464" t="str">
        <f>"Serv.Prest. 16/02/2026 a 22/02/2026 - PIX: CPF - CHAVE: 004.682.359-06"</f>
        <v>Serv.Prest. 16/02/2026 a 22/02/2026 - PIX: CPF - CHAVE: 004.682.359-06</v>
      </c>
      <c r="I464" t="str">
        <f t="shared" si="129"/>
        <v>05/03/2026</v>
      </c>
      <c r="J464" t="str">
        <f t="shared" si="127"/>
        <v>23/02/2026</v>
      </c>
      <c r="K464" t="str">
        <f>("05/03/2026")</f>
        <v>05/03/2026</v>
      </c>
      <c r="L464">
        <v>115.6</v>
      </c>
      <c r="M464">
        <v>115.6</v>
      </c>
      <c r="N464">
        <v>109</v>
      </c>
      <c r="O464" t="str">
        <f>"PAGAMENTO DE ENTREGADORES"</f>
        <v>PAGAMENTO DE ENTREGADORES</v>
      </c>
      <c r="P464">
        <v>115.6</v>
      </c>
      <c r="S464" t="str">
        <f>"BANCO C6 (149)"</f>
        <v>BANCO C6 (149)</v>
      </c>
      <c r="T464">
        <v>30088</v>
      </c>
      <c r="U464">
        <v>33338</v>
      </c>
      <c r="V464" t="s">
        <v>37</v>
      </c>
    </row>
    <row r="465" spans="1:22">
      <c r="A465" t="str">
        <f t="shared" si="122"/>
        <v>05/03/2026</v>
      </c>
      <c r="B465" t="str">
        <f t="shared" si="128"/>
        <v>SAÍDA</v>
      </c>
      <c r="C465" t="str">
        <f t="shared" si="131"/>
        <v>PIX</v>
      </c>
      <c r="D465" t="str">
        <f>"33338"</f>
        <v>33338</v>
      </c>
      <c r="E465" t="str">
        <f t="shared" si="126"/>
        <v>1</v>
      </c>
      <c r="F465" t="str">
        <f t="shared" si="130"/>
        <v>COM</v>
      </c>
      <c r="G465" t="str">
        <f>"FERNANDO MARTINS DA SILVA (701)"</f>
        <v>FERNANDO MARTINS DA SILVA (701)</v>
      </c>
      <c r="H465" t="s">
        <v>168</v>
      </c>
      <c r="I465" t="str">
        <f t="shared" si="129"/>
        <v>05/03/2026</v>
      </c>
      <c r="J465" t="str">
        <f t="shared" si="127"/>
        <v>23/02/2026</v>
      </c>
      <c r="K465">
        <v>46086</v>
      </c>
      <c r="N465">
        <v>109</v>
      </c>
      <c r="O465" t="s">
        <v>27</v>
      </c>
      <c r="Q465">
        <v>115.6</v>
      </c>
      <c r="R465" t="str">
        <f>"AC FARMA - FLEMINFARMA 5 (10183)"</f>
        <v>AC FARMA - FLEMINFARMA 5 (10183)</v>
      </c>
      <c r="S465" t="s">
        <v>37</v>
      </c>
      <c r="T465">
        <v>30088</v>
      </c>
      <c r="U465">
        <v>33338</v>
      </c>
      <c r="V465" t="s">
        <v>37</v>
      </c>
    </row>
    <row r="466" spans="1:22">
      <c r="A466" t="str">
        <f t="shared" si="122"/>
        <v>05/03/2026</v>
      </c>
      <c r="B466" t="str">
        <f t="shared" si="128"/>
        <v>SAÍDA</v>
      </c>
      <c r="C466" t="str">
        <f t="shared" si="131"/>
        <v>PIX</v>
      </c>
      <c r="D466" t="str">
        <f>"33339"</f>
        <v>33339</v>
      </c>
      <c r="E466" t="str">
        <f t="shared" si="126"/>
        <v>1</v>
      </c>
      <c r="F466" t="str">
        <f t="shared" si="130"/>
        <v>COM</v>
      </c>
      <c r="G466" t="str">
        <f>"GERALDO SEVERINO DE SANTANA (729)"</f>
        <v>GERALDO SEVERINO DE SANTANA (729)</v>
      </c>
      <c r="H466" t="str">
        <f>"Serv.Prest. 16/02/2026 a 22/02/2026 - PIX: CELULAR - CHAVE: (43) 99934-1696"</f>
        <v>Serv.Prest. 16/02/2026 a 22/02/2026 - PIX: CELULAR - CHAVE: (43) 99934-1696</v>
      </c>
      <c r="I466" t="str">
        <f t="shared" si="129"/>
        <v>05/03/2026</v>
      </c>
      <c r="J466" t="str">
        <f t="shared" si="127"/>
        <v>23/02/2026</v>
      </c>
      <c r="K466" t="str">
        <f>("05/03/2026")</f>
        <v>05/03/2026</v>
      </c>
      <c r="L466">
        <v>95.2</v>
      </c>
      <c r="M466">
        <v>95.2</v>
      </c>
      <c r="N466">
        <v>109</v>
      </c>
      <c r="O466" t="str">
        <f>"PAGAMENTO DE ENTREGADORES"</f>
        <v>PAGAMENTO DE ENTREGADORES</v>
      </c>
      <c r="P466">
        <v>95.2</v>
      </c>
      <c r="S466" t="str">
        <f>"BANCO C6 (149)"</f>
        <v>BANCO C6 (149)</v>
      </c>
      <c r="T466">
        <v>30089</v>
      </c>
      <c r="U466">
        <v>33339</v>
      </c>
      <c r="V466" t="s">
        <v>37</v>
      </c>
    </row>
    <row r="467" spans="1:22">
      <c r="A467" t="str">
        <f t="shared" si="122"/>
        <v>05/03/2026</v>
      </c>
      <c r="B467" t="str">
        <f t="shared" si="128"/>
        <v>SAÍDA</v>
      </c>
      <c r="C467" t="str">
        <f t="shared" si="131"/>
        <v>PIX</v>
      </c>
      <c r="D467" t="str">
        <f>"33339"</f>
        <v>33339</v>
      </c>
      <c r="E467" t="str">
        <f t="shared" si="126"/>
        <v>1</v>
      </c>
      <c r="F467" t="str">
        <f t="shared" si="130"/>
        <v>COM</v>
      </c>
      <c r="G467" t="str">
        <f>"GERALDO SEVERINO DE SANTANA (729)"</f>
        <v>GERALDO SEVERINO DE SANTANA (729)</v>
      </c>
      <c r="H467" t="s">
        <v>169</v>
      </c>
      <c r="I467" t="str">
        <f t="shared" si="129"/>
        <v>05/03/2026</v>
      </c>
      <c r="J467" t="str">
        <f t="shared" si="127"/>
        <v>23/02/2026</v>
      </c>
      <c r="K467">
        <v>46086</v>
      </c>
      <c r="N467">
        <v>109</v>
      </c>
      <c r="O467" t="s">
        <v>27</v>
      </c>
      <c r="Q467">
        <v>95.2</v>
      </c>
      <c r="R467" t="str">
        <f>"AC FARMA - FLEMINFARMA 5 (10183)"</f>
        <v>AC FARMA - FLEMINFARMA 5 (10183)</v>
      </c>
      <c r="S467" t="s">
        <v>37</v>
      </c>
      <c r="T467">
        <v>30089</v>
      </c>
      <c r="U467">
        <v>33339</v>
      </c>
      <c r="V467" t="s">
        <v>37</v>
      </c>
    </row>
    <row r="468" spans="1:22">
      <c r="A468" t="str">
        <f t="shared" si="122"/>
        <v>05/03/2026</v>
      </c>
      <c r="B468" t="str">
        <f t="shared" si="128"/>
        <v>SAÍDA</v>
      </c>
      <c r="C468" t="str">
        <f t="shared" si="131"/>
        <v>PIX</v>
      </c>
      <c r="D468" t="str">
        <f>"33340"</f>
        <v>33340</v>
      </c>
      <c r="E468" t="str">
        <f t="shared" si="126"/>
        <v>1</v>
      </c>
      <c r="F468" t="str">
        <f t="shared" si="130"/>
        <v>COM</v>
      </c>
      <c r="G468" t="str">
        <f>"HELITON DE OLIVEIRA RAMOS BARBOSA (724)"</f>
        <v>HELITON DE OLIVEIRA RAMOS BARBOSA (724)</v>
      </c>
      <c r="H468" t="str">
        <f>"Serv.Prest. 16/02/2026 a 22/02/2026 - PIX: CPF - CHAVE: 074.604.219-10"</f>
        <v>Serv.Prest. 16/02/2026 a 22/02/2026 - PIX: CPF - CHAVE: 074.604.219-10</v>
      </c>
      <c r="I468" t="str">
        <f t="shared" si="129"/>
        <v>05/03/2026</v>
      </c>
      <c r="J468" t="str">
        <f t="shared" si="127"/>
        <v>23/02/2026</v>
      </c>
      <c r="K468" t="str">
        <f>("05/03/2026")</f>
        <v>05/03/2026</v>
      </c>
      <c r="L468">
        <v>74.8</v>
      </c>
      <c r="M468">
        <v>74.8</v>
      </c>
      <c r="N468">
        <v>109</v>
      </c>
      <c r="O468" t="str">
        <f>"PAGAMENTO DE ENTREGADORES"</f>
        <v>PAGAMENTO DE ENTREGADORES</v>
      </c>
      <c r="P468">
        <v>74.8</v>
      </c>
      <c r="S468" t="str">
        <f>"BANCO C6 (149)"</f>
        <v>BANCO C6 (149)</v>
      </c>
      <c r="T468">
        <v>30090</v>
      </c>
      <c r="U468">
        <v>33340</v>
      </c>
      <c r="V468" t="s">
        <v>37</v>
      </c>
    </row>
    <row r="469" spans="1:22">
      <c r="A469" t="str">
        <f t="shared" si="122"/>
        <v>05/03/2026</v>
      </c>
      <c r="B469" t="str">
        <f t="shared" si="128"/>
        <v>SAÍDA</v>
      </c>
      <c r="C469" t="str">
        <f t="shared" si="131"/>
        <v>PIX</v>
      </c>
      <c r="D469" t="str">
        <f>"33340"</f>
        <v>33340</v>
      </c>
      <c r="E469" t="str">
        <f t="shared" si="126"/>
        <v>1</v>
      </c>
      <c r="F469" t="str">
        <f t="shared" si="130"/>
        <v>COM</v>
      </c>
      <c r="G469" t="str">
        <f>"HELITON DE OLIVEIRA RAMOS BARBOSA (724)"</f>
        <v>HELITON DE OLIVEIRA RAMOS BARBOSA (724)</v>
      </c>
      <c r="H469" t="s">
        <v>170</v>
      </c>
      <c r="I469" t="str">
        <f t="shared" si="129"/>
        <v>05/03/2026</v>
      </c>
      <c r="J469" t="str">
        <f t="shared" si="127"/>
        <v>23/02/2026</v>
      </c>
      <c r="K469">
        <v>46086</v>
      </c>
      <c r="N469">
        <v>109</v>
      </c>
      <c r="O469" t="s">
        <v>27</v>
      </c>
      <c r="Q469">
        <v>74.8</v>
      </c>
      <c r="R469" t="str">
        <f>"AC FARMA - FLEMINFARMA 5 (10183)"</f>
        <v>AC FARMA - FLEMINFARMA 5 (10183)</v>
      </c>
      <c r="S469" t="s">
        <v>37</v>
      </c>
      <c r="T469">
        <v>30090</v>
      </c>
      <c r="U469">
        <v>33340</v>
      </c>
      <c r="V469" t="s">
        <v>37</v>
      </c>
    </row>
    <row r="470" spans="1:22">
      <c r="A470" t="str">
        <f t="shared" si="122"/>
        <v>05/03/2026</v>
      </c>
      <c r="B470" t="str">
        <f t="shared" si="128"/>
        <v>SAÍDA</v>
      </c>
      <c r="C470" t="str">
        <f t="shared" si="131"/>
        <v>PIX</v>
      </c>
      <c r="D470" t="str">
        <f>"33587"</f>
        <v>33587</v>
      </c>
      <c r="E470" t="str">
        <f t="shared" si="126"/>
        <v>1</v>
      </c>
      <c r="F470" t="str">
        <f t="shared" si="130"/>
        <v>COM</v>
      </c>
      <c r="G470" t="str">
        <f>"ALMIRO JAYME NUNES (1188)"</f>
        <v>ALMIRO JAYME NUNES (1188)</v>
      </c>
      <c r="H470" t="str">
        <f>"Serv.Prest. 16/02/2026 a 22/02/2026 - PIX: CPF - CHAVE: 057.011.936-75"</f>
        <v>Serv.Prest. 16/02/2026 a 22/02/2026 - PIX: CPF - CHAVE: 057.011.936-75</v>
      </c>
      <c r="I470" t="str">
        <f t="shared" si="129"/>
        <v>05/03/2026</v>
      </c>
      <c r="J470" t="str">
        <f t="shared" ref="J470:J533" si="132">("24/02/2026")</f>
        <v>24/02/2026</v>
      </c>
      <c r="K470" t="str">
        <f>("05/03/2026")</f>
        <v>05/03/2026</v>
      </c>
      <c r="L470">
        <v>498</v>
      </c>
      <c r="M470">
        <v>498</v>
      </c>
      <c r="N470">
        <v>109</v>
      </c>
      <c r="O470" t="str">
        <f>"PAGAMENTO DE ENTREGADORES"</f>
        <v>PAGAMENTO DE ENTREGADORES</v>
      </c>
      <c r="P470">
        <v>498</v>
      </c>
      <c r="S470" t="str">
        <f>"BANCO C6 (149)"</f>
        <v>BANCO C6 (149)</v>
      </c>
      <c r="T470">
        <v>30091</v>
      </c>
      <c r="U470">
        <v>33587</v>
      </c>
      <c r="V470" t="s">
        <v>37</v>
      </c>
    </row>
    <row r="471" spans="1:22">
      <c r="A471" t="str">
        <f t="shared" si="122"/>
        <v>05/03/2026</v>
      </c>
      <c r="B471" t="str">
        <f t="shared" si="128"/>
        <v>SAÍDA</v>
      </c>
      <c r="C471" t="str">
        <f t="shared" si="131"/>
        <v>PIX</v>
      </c>
      <c r="D471" t="str">
        <f>"33587"</f>
        <v>33587</v>
      </c>
      <c r="E471" t="str">
        <f t="shared" si="126"/>
        <v>1</v>
      </c>
      <c r="F471" t="str">
        <f t="shared" si="130"/>
        <v>COM</v>
      </c>
      <c r="G471" t="str">
        <f>"ALMIRO JAYME NUNES (1188)"</f>
        <v>ALMIRO JAYME NUNES (1188)</v>
      </c>
      <c r="H471" t="s">
        <v>172</v>
      </c>
      <c r="I471" t="str">
        <f t="shared" si="129"/>
        <v>05/03/2026</v>
      </c>
      <c r="J471" t="str">
        <f t="shared" si="132"/>
        <v>24/02/2026</v>
      </c>
      <c r="K471">
        <v>46086</v>
      </c>
      <c r="N471">
        <v>109</v>
      </c>
      <c r="O471" t="s">
        <v>27</v>
      </c>
      <c r="Q471">
        <v>498</v>
      </c>
      <c r="R471" t="str">
        <f>"FARMÁCIA INDIANA LJ 19 (10012)"</f>
        <v>FARMÁCIA INDIANA LJ 19 (10012)</v>
      </c>
      <c r="S471" t="s">
        <v>37</v>
      </c>
      <c r="T471">
        <v>30091</v>
      </c>
      <c r="U471">
        <v>33587</v>
      </c>
      <c r="V471" t="s">
        <v>37</v>
      </c>
    </row>
    <row r="472" spans="1:22">
      <c r="A472" t="str">
        <f t="shared" si="122"/>
        <v>05/03/2026</v>
      </c>
      <c r="B472" t="str">
        <f t="shared" si="128"/>
        <v>SAÍDA</v>
      </c>
      <c r="C472" t="str">
        <f t="shared" si="131"/>
        <v>PIX</v>
      </c>
      <c r="D472" t="str">
        <f>"33588"</f>
        <v>33588</v>
      </c>
      <c r="E472" t="str">
        <f t="shared" si="126"/>
        <v>1</v>
      </c>
      <c r="F472" t="str">
        <f t="shared" si="130"/>
        <v>COM</v>
      </c>
      <c r="G472" t="str">
        <f>"AMANDA VERÍSSIMO FERREIRA (794)"</f>
        <v>AMANDA VERÍSSIMO FERREIRA (794)</v>
      </c>
      <c r="H472" t="str">
        <f>"Serv.Prest. 16/02/2026 a 22/02/2026 - PIX: CPF - CHAVE: 099.626.666-60"</f>
        <v>Serv.Prest. 16/02/2026 a 22/02/2026 - PIX: CPF - CHAVE: 099.626.666-60</v>
      </c>
      <c r="I472" t="str">
        <f t="shared" si="129"/>
        <v>05/03/2026</v>
      </c>
      <c r="J472" t="str">
        <f t="shared" si="132"/>
        <v>24/02/2026</v>
      </c>
      <c r="K472" t="str">
        <f>("05/03/2026")</f>
        <v>05/03/2026</v>
      </c>
      <c r="L472">
        <v>750</v>
      </c>
      <c r="M472">
        <v>750</v>
      </c>
      <c r="N472">
        <v>109</v>
      </c>
      <c r="O472" t="str">
        <f>"PAGAMENTO DE ENTREGADORES"</f>
        <v>PAGAMENTO DE ENTREGADORES</v>
      </c>
      <c r="P472">
        <v>750</v>
      </c>
      <c r="S472" t="str">
        <f>"BANCO C6 (149)"</f>
        <v>BANCO C6 (149)</v>
      </c>
      <c r="T472">
        <v>30092</v>
      </c>
      <c r="U472">
        <v>33588</v>
      </c>
      <c r="V472" t="s">
        <v>37</v>
      </c>
    </row>
    <row r="473" spans="1:22">
      <c r="A473" t="str">
        <f t="shared" si="122"/>
        <v>05/03/2026</v>
      </c>
      <c r="B473" t="str">
        <f t="shared" si="128"/>
        <v>SAÍDA</v>
      </c>
      <c r="C473" t="str">
        <f t="shared" si="131"/>
        <v>PIX</v>
      </c>
      <c r="D473" t="str">
        <f>"33588"</f>
        <v>33588</v>
      </c>
      <c r="E473" t="str">
        <f t="shared" si="126"/>
        <v>1</v>
      </c>
      <c r="F473" t="str">
        <f t="shared" si="130"/>
        <v>COM</v>
      </c>
      <c r="G473" t="str">
        <f>"AMANDA VERÍSSIMO FERREIRA (794)"</f>
        <v>AMANDA VERÍSSIMO FERREIRA (794)</v>
      </c>
      <c r="H473" t="s">
        <v>173</v>
      </c>
      <c r="I473" t="str">
        <f t="shared" si="129"/>
        <v>05/03/2026</v>
      </c>
      <c r="J473" t="str">
        <f t="shared" si="132"/>
        <v>24/02/2026</v>
      </c>
      <c r="K473">
        <v>46086</v>
      </c>
      <c r="N473">
        <v>109</v>
      </c>
      <c r="O473" t="s">
        <v>27</v>
      </c>
      <c r="Q473">
        <v>308.85000000000002</v>
      </c>
      <c r="R473" t="str">
        <f>"FARMÁCIA INDIANA LJ 97 (10040)"</f>
        <v>FARMÁCIA INDIANA LJ 97 (10040)</v>
      </c>
      <c r="S473" t="s">
        <v>37</v>
      </c>
      <c r="T473">
        <v>30092</v>
      </c>
      <c r="U473">
        <v>33588</v>
      </c>
      <c r="V473" t="s">
        <v>37</v>
      </c>
    </row>
    <row r="474" spans="1:22">
      <c r="A474" t="str">
        <f t="shared" si="122"/>
        <v>05/03/2026</v>
      </c>
      <c r="B474" t="str">
        <f t="shared" si="128"/>
        <v>SAÍDA</v>
      </c>
      <c r="C474" t="str">
        <f t="shared" si="131"/>
        <v>PIX</v>
      </c>
      <c r="D474" t="str">
        <f>"33588"</f>
        <v>33588</v>
      </c>
      <c r="E474" t="str">
        <f t="shared" si="126"/>
        <v>1</v>
      </c>
      <c r="F474" t="str">
        <f t="shared" si="130"/>
        <v>COM</v>
      </c>
      <c r="G474" t="str">
        <f>"AMANDA VERÍSSIMO FERREIRA (794)"</f>
        <v>AMANDA VERÍSSIMO FERREIRA (794)</v>
      </c>
      <c r="H474" t="s">
        <v>173</v>
      </c>
      <c r="I474" t="str">
        <f t="shared" si="129"/>
        <v>05/03/2026</v>
      </c>
      <c r="J474" t="str">
        <f t="shared" si="132"/>
        <v>24/02/2026</v>
      </c>
      <c r="K474">
        <v>46086</v>
      </c>
      <c r="N474">
        <v>109</v>
      </c>
      <c r="O474" t="s">
        <v>27</v>
      </c>
      <c r="Q474">
        <v>441.15</v>
      </c>
      <c r="R474" t="str">
        <f>"FARMÁCIA INDIANA LJ 111 (10049)"</f>
        <v>FARMÁCIA INDIANA LJ 111 (10049)</v>
      </c>
      <c r="S474" t="s">
        <v>37</v>
      </c>
      <c r="T474">
        <v>30092</v>
      </c>
      <c r="U474">
        <v>33588</v>
      </c>
      <c r="V474" t="s">
        <v>37</v>
      </c>
    </row>
    <row r="475" spans="1:22">
      <c r="A475" t="str">
        <f t="shared" si="122"/>
        <v>05/03/2026</v>
      </c>
      <c r="B475" t="str">
        <f t="shared" si="128"/>
        <v>SAÍDA</v>
      </c>
      <c r="C475" t="str">
        <f t="shared" si="131"/>
        <v>PIX</v>
      </c>
      <c r="D475" t="str">
        <f>"33589"</f>
        <v>33589</v>
      </c>
      <c r="E475" t="str">
        <f t="shared" si="126"/>
        <v>1</v>
      </c>
      <c r="F475" t="str">
        <f t="shared" si="130"/>
        <v>COM</v>
      </c>
      <c r="G475" t="str">
        <f>"ANDRE LUCAS DA SILVA (1158)"</f>
        <v>ANDRE LUCAS DA SILVA (1158)</v>
      </c>
      <c r="H475" t="str">
        <f>"Serv.Prest. 16/02/2026 a 22/02/2026 - PIX: CPF - CHAVE: 125.636.656-04"</f>
        <v>Serv.Prest. 16/02/2026 a 22/02/2026 - PIX: CPF - CHAVE: 125.636.656-04</v>
      </c>
      <c r="I475" t="str">
        <f t="shared" si="129"/>
        <v>05/03/2026</v>
      </c>
      <c r="J475" t="str">
        <f t="shared" si="132"/>
        <v>24/02/2026</v>
      </c>
      <c r="K475" t="str">
        <f>("05/03/2026")</f>
        <v>05/03/2026</v>
      </c>
      <c r="L475">
        <v>600</v>
      </c>
      <c r="M475">
        <v>600</v>
      </c>
      <c r="N475">
        <v>109</v>
      </c>
      <c r="O475" t="str">
        <f>"PAGAMENTO DE ENTREGADORES"</f>
        <v>PAGAMENTO DE ENTREGADORES</v>
      </c>
      <c r="P475">
        <v>600</v>
      </c>
      <c r="S475" t="str">
        <f>"BANCO C6 (149)"</f>
        <v>BANCO C6 (149)</v>
      </c>
      <c r="T475">
        <v>30093</v>
      </c>
      <c r="U475">
        <v>33589</v>
      </c>
      <c r="V475" t="s">
        <v>37</v>
      </c>
    </row>
    <row r="476" spans="1:22">
      <c r="A476" t="str">
        <f t="shared" si="122"/>
        <v>05/03/2026</v>
      </c>
      <c r="B476" t="str">
        <f t="shared" si="128"/>
        <v>SAÍDA</v>
      </c>
      <c r="C476" t="str">
        <f t="shared" si="131"/>
        <v>PIX</v>
      </c>
      <c r="D476" t="str">
        <f>"33589"</f>
        <v>33589</v>
      </c>
      <c r="E476" t="str">
        <f t="shared" si="126"/>
        <v>1</v>
      </c>
      <c r="F476" t="str">
        <f t="shared" si="130"/>
        <v>COM</v>
      </c>
      <c r="G476" t="str">
        <f>"ANDRE LUCAS DA SILVA (1158)"</f>
        <v>ANDRE LUCAS DA SILVA (1158)</v>
      </c>
      <c r="H476" t="s">
        <v>174</v>
      </c>
      <c r="I476" t="str">
        <f t="shared" si="129"/>
        <v>05/03/2026</v>
      </c>
      <c r="J476" t="str">
        <f t="shared" si="132"/>
        <v>24/02/2026</v>
      </c>
      <c r="K476">
        <v>46086</v>
      </c>
      <c r="N476">
        <v>109</v>
      </c>
      <c r="O476" t="s">
        <v>27</v>
      </c>
      <c r="Q476">
        <v>600</v>
      </c>
      <c r="R476" t="str">
        <f>"FARMÁCIA INDIANA LJ 175 (10076)"</f>
        <v>FARMÁCIA INDIANA LJ 175 (10076)</v>
      </c>
      <c r="S476" t="s">
        <v>37</v>
      </c>
      <c r="T476">
        <v>30093</v>
      </c>
      <c r="U476">
        <v>33589</v>
      </c>
      <c r="V476" t="s">
        <v>37</v>
      </c>
    </row>
    <row r="477" spans="1:22">
      <c r="A477" t="str">
        <f t="shared" si="122"/>
        <v>05/03/2026</v>
      </c>
      <c r="B477" t="str">
        <f t="shared" si="128"/>
        <v>SAÍDA</v>
      </c>
      <c r="C477" t="str">
        <f t="shared" si="131"/>
        <v>PIX</v>
      </c>
      <c r="D477" t="str">
        <f>"33590"</f>
        <v>33590</v>
      </c>
      <c r="E477" t="str">
        <f t="shared" si="126"/>
        <v>1</v>
      </c>
      <c r="F477" t="str">
        <f t="shared" si="130"/>
        <v>COM</v>
      </c>
      <c r="G477" t="str">
        <f>"ANISSO ANIDAL DE PAULA (161)"</f>
        <v>ANISSO ANIDAL DE PAULA (161)</v>
      </c>
      <c r="H477" t="str">
        <f>"Serv.Prest. 16/02/2026 a 22/02/2026 - PIX: CELULAR - CHAVE: (31) 98556-3149"</f>
        <v>Serv.Prest. 16/02/2026 a 22/02/2026 - PIX: CELULAR - CHAVE: (31) 98556-3149</v>
      </c>
      <c r="I477" t="str">
        <f t="shared" si="129"/>
        <v>05/03/2026</v>
      </c>
      <c r="J477" t="str">
        <f t="shared" si="132"/>
        <v>24/02/2026</v>
      </c>
      <c r="K477" t="str">
        <f>("05/03/2026")</f>
        <v>05/03/2026</v>
      </c>
      <c r="L477">
        <v>888</v>
      </c>
      <c r="M477">
        <v>888</v>
      </c>
      <c r="N477">
        <v>109</v>
      </c>
      <c r="O477" t="str">
        <f>"PAGAMENTO DE ENTREGADORES"</f>
        <v>PAGAMENTO DE ENTREGADORES</v>
      </c>
      <c r="P477">
        <v>888</v>
      </c>
      <c r="S477" t="str">
        <f>"BANCO C6 (149)"</f>
        <v>BANCO C6 (149)</v>
      </c>
      <c r="T477">
        <v>30094</v>
      </c>
      <c r="U477">
        <v>33590</v>
      </c>
      <c r="V477" t="s">
        <v>37</v>
      </c>
    </row>
    <row r="478" spans="1:22">
      <c r="A478" t="str">
        <f t="shared" si="122"/>
        <v>05/03/2026</v>
      </c>
      <c r="B478" t="str">
        <f t="shared" si="128"/>
        <v>SAÍDA</v>
      </c>
      <c r="C478" t="str">
        <f t="shared" si="131"/>
        <v>PIX</v>
      </c>
      <c r="D478" t="str">
        <f>"33590"</f>
        <v>33590</v>
      </c>
      <c r="E478" t="str">
        <f t="shared" si="126"/>
        <v>1</v>
      </c>
      <c r="F478" t="str">
        <f t="shared" si="130"/>
        <v>COM</v>
      </c>
      <c r="G478" t="str">
        <f>"ANISSO ANIDAL DE PAULA (161)"</f>
        <v>ANISSO ANIDAL DE PAULA (161)</v>
      </c>
      <c r="H478" t="s">
        <v>175</v>
      </c>
      <c r="I478" t="str">
        <f t="shared" si="129"/>
        <v>05/03/2026</v>
      </c>
      <c r="J478" t="str">
        <f t="shared" si="132"/>
        <v>24/02/2026</v>
      </c>
      <c r="K478">
        <v>46086</v>
      </c>
      <c r="N478">
        <v>109</v>
      </c>
      <c r="O478" t="s">
        <v>27</v>
      </c>
      <c r="Q478">
        <v>768.03</v>
      </c>
      <c r="R478" t="str">
        <f>"FARMÁCIA INDIANA LJ 18 (10011)"</f>
        <v>FARMÁCIA INDIANA LJ 18 (10011)</v>
      </c>
      <c r="S478" t="s">
        <v>37</v>
      </c>
      <c r="T478">
        <v>30094</v>
      </c>
      <c r="U478">
        <v>33590</v>
      </c>
      <c r="V478" t="s">
        <v>37</v>
      </c>
    </row>
    <row r="479" spans="1:22">
      <c r="A479" t="str">
        <f t="shared" si="122"/>
        <v>05/03/2026</v>
      </c>
      <c r="B479" t="str">
        <f t="shared" si="128"/>
        <v>SAÍDA</v>
      </c>
      <c r="C479" t="str">
        <f t="shared" si="131"/>
        <v>PIX</v>
      </c>
      <c r="D479" t="str">
        <f>"33590"</f>
        <v>33590</v>
      </c>
      <c r="E479" t="str">
        <f t="shared" si="126"/>
        <v>1</v>
      </c>
      <c r="F479" t="str">
        <f t="shared" si="130"/>
        <v>COM</v>
      </c>
      <c r="G479" t="str">
        <f>"ANISSO ANIDAL DE PAULA (161)"</f>
        <v>ANISSO ANIDAL DE PAULA (161)</v>
      </c>
      <c r="H479" t="s">
        <v>175</v>
      </c>
      <c r="I479" t="str">
        <f t="shared" si="129"/>
        <v>05/03/2026</v>
      </c>
      <c r="J479" t="str">
        <f t="shared" si="132"/>
        <v>24/02/2026</v>
      </c>
      <c r="K479">
        <v>46086</v>
      </c>
      <c r="N479">
        <v>109</v>
      </c>
      <c r="O479" t="s">
        <v>27</v>
      </c>
      <c r="Q479">
        <v>119.97</v>
      </c>
      <c r="R479" t="str">
        <f>"FARMÁCIA INDIANA LJ 19 (10012)"</f>
        <v>FARMÁCIA INDIANA LJ 19 (10012)</v>
      </c>
      <c r="S479" t="s">
        <v>37</v>
      </c>
      <c r="T479">
        <v>30094</v>
      </c>
      <c r="U479">
        <v>33590</v>
      </c>
      <c r="V479" t="s">
        <v>37</v>
      </c>
    </row>
    <row r="480" spans="1:22">
      <c r="A480" t="str">
        <f t="shared" ref="A480:A543" si="133">("05/03/2026")</f>
        <v>05/03/2026</v>
      </c>
      <c r="B480" t="str">
        <f t="shared" si="128"/>
        <v>SAÍDA</v>
      </c>
      <c r="C480" t="str">
        <f t="shared" si="131"/>
        <v>PIX</v>
      </c>
      <c r="D480" t="str">
        <f>"33591"</f>
        <v>33591</v>
      </c>
      <c r="E480" t="str">
        <f t="shared" si="126"/>
        <v>1</v>
      </c>
      <c r="F480" t="str">
        <f t="shared" si="130"/>
        <v>COM</v>
      </c>
      <c r="G480" t="str">
        <f>"ANTONIO CARLOS GOMES DE SOUZA (1103)"</f>
        <v>ANTONIO CARLOS GOMES DE SOUZA (1103)</v>
      </c>
      <c r="H480" t="str">
        <f>"Serv.Prest. 16/02/2026 a 22/02/2026 - PIX: CELULAR - CHAVE: (33) 99861-2274"</f>
        <v>Serv.Prest. 16/02/2026 a 22/02/2026 - PIX: CELULAR - CHAVE: (33) 99861-2274</v>
      </c>
      <c r="I480" t="str">
        <f t="shared" si="129"/>
        <v>05/03/2026</v>
      </c>
      <c r="J480" t="str">
        <f t="shared" si="132"/>
        <v>24/02/2026</v>
      </c>
      <c r="K480" t="str">
        <f>("05/03/2026")</f>
        <v>05/03/2026</v>
      </c>
      <c r="L480">
        <v>372</v>
      </c>
      <c r="M480">
        <v>372</v>
      </c>
      <c r="N480">
        <v>109</v>
      </c>
      <c r="O480" t="str">
        <f>"PAGAMENTO DE ENTREGADORES"</f>
        <v>PAGAMENTO DE ENTREGADORES</v>
      </c>
      <c r="P480">
        <v>372</v>
      </c>
      <c r="S480" t="str">
        <f>"BANCO C6 (149)"</f>
        <v>BANCO C6 (149)</v>
      </c>
      <c r="T480">
        <v>30095</v>
      </c>
      <c r="U480">
        <v>33591</v>
      </c>
      <c r="V480" t="s">
        <v>37</v>
      </c>
    </row>
    <row r="481" spans="1:22">
      <c r="A481" t="str">
        <f t="shared" si="133"/>
        <v>05/03/2026</v>
      </c>
      <c r="B481" t="str">
        <f t="shared" si="128"/>
        <v>SAÍDA</v>
      </c>
      <c r="C481" t="str">
        <f t="shared" si="131"/>
        <v>PIX</v>
      </c>
      <c r="D481" t="str">
        <f>"33591"</f>
        <v>33591</v>
      </c>
      <c r="E481" t="str">
        <f t="shared" si="126"/>
        <v>1</v>
      </c>
      <c r="F481" t="str">
        <f t="shared" si="130"/>
        <v>COM</v>
      </c>
      <c r="G481" t="str">
        <f>"ANTONIO CARLOS GOMES DE SOUZA (1103)"</f>
        <v>ANTONIO CARLOS GOMES DE SOUZA (1103)</v>
      </c>
      <c r="H481" t="s">
        <v>176</v>
      </c>
      <c r="I481" t="str">
        <f t="shared" si="129"/>
        <v>05/03/2026</v>
      </c>
      <c r="J481" t="str">
        <f t="shared" si="132"/>
        <v>24/02/2026</v>
      </c>
      <c r="K481">
        <v>46086</v>
      </c>
      <c r="N481">
        <v>109</v>
      </c>
      <c r="O481" t="s">
        <v>27</v>
      </c>
      <c r="Q481">
        <v>372</v>
      </c>
      <c r="R481" t="str">
        <f>"FARMÁCIA INDIANA LJ 07 (10007)"</f>
        <v>FARMÁCIA INDIANA LJ 07 (10007)</v>
      </c>
      <c r="S481" t="s">
        <v>37</v>
      </c>
      <c r="T481">
        <v>30095</v>
      </c>
      <c r="U481">
        <v>33591</v>
      </c>
      <c r="V481" t="s">
        <v>37</v>
      </c>
    </row>
    <row r="482" spans="1:22">
      <c r="A482" t="str">
        <f t="shared" si="133"/>
        <v>05/03/2026</v>
      </c>
      <c r="B482" t="str">
        <f t="shared" si="128"/>
        <v>SAÍDA</v>
      </c>
      <c r="C482" t="str">
        <f t="shared" si="131"/>
        <v>PIX</v>
      </c>
      <c r="D482" t="str">
        <f>"33592"</f>
        <v>33592</v>
      </c>
      <c r="E482" t="str">
        <f t="shared" si="126"/>
        <v>1</v>
      </c>
      <c r="F482" t="str">
        <f t="shared" si="130"/>
        <v>COM</v>
      </c>
      <c r="G482" t="str">
        <f>"ARLINDO JOSE MARTINS (909)"</f>
        <v>ARLINDO JOSE MARTINS (909)</v>
      </c>
      <c r="H482" t="str">
        <f>"Serv.Prest. 16/02/2026 a 22/02/2026 - PIX: CPF - CHAVE: 037.192.076-09"</f>
        <v>Serv.Prest. 16/02/2026 a 22/02/2026 - PIX: CPF - CHAVE: 037.192.076-09</v>
      </c>
      <c r="I482" t="str">
        <f t="shared" si="129"/>
        <v>05/03/2026</v>
      </c>
      <c r="J482" t="str">
        <f t="shared" si="132"/>
        <v>24/02/2026</v>
      </c>
      <c r="K482" t="str">
        <f>("05/03/2026")</f>
        <v>05/03/2026</v>
      </c>
      <c r="L482">
        <v>830.5</v>
      </c>
      <c r="M482">
        <v>830.5</v>
      </c>
      <c r="N482">
        <v>109</v>
      </c>
      <c r="O482" t="str">
        <f>"PAGAMENTO DE ENTREGADORES"</f>
        <v>PAGAMENTO DE ENTREGADORES</v>
      </c>
      <c r="P482">
        <v>830.5</v>
      </c>
      <c r="S482" t="str">
        <f>"BANCO C6 (149)"</f>
        <v>BANCO C6 (149)</v>
      </c>
      <c r="T482">
        <v>30096</v>
      </c>
      <c r="U482">
        <v>33592</v>
      </c>
      <c r="V482" t="s">
        <v>37</v>
      </c>
    </row>
    <row r="483" spans="1:22">
      <c r="A483" t="str">
        <f t="shared" si="133"/>
        <v>05/03/2026</v>
      </c>
      <c r="B483" t="str">
        <f t="shared" si="128"/>
        <v>SAÍDA</v>
      </c>
      <c r="C483" t="str">
        <f t="shared" si="131"/>
        <v>PIX</v>
      </c>
      <c r="D483" t="str">
        <f>"33592"</f>
        <v>33592</v>
      </c>
      <c r="E483" t="str">
        <f t="shared" si="126"/>
        <v>1</v>
      </c>
      <c r="F483" t="str">
        <f t="shared" si="130"/>
        <v>COM</v>
      </c>
      <c r="G483" t="str">
        <f>"ARLINDO JOSE MARTINS (909)"</f>
        <v>ARLINDO JOSE MARTINS (909)</v>
      </c>
      <c r="H483" t="s">
        <v>177</v>
      </c>
      <c r="I483" t="str">
        <f t="shared" si="129"/>
        <v>05/03/2026</v>
      </c>
      <c r="J483" t="str">
        <f t="shared" si="132"/>
        <v>24/02/2026</v>
      </c>
      <c r="K483">
        <v>46086</v>
      </c>
      <c r="N483">
        <v>109</v>
      </c>
      <c r="O483" t="s">
        <v>27</v>
      </c>
      <c r="Q483">
        <v>830.5</v>
      </c>
      <c r="R483" t="str">
        <f>"FARMÁCIA INDIANA LJ 185 (10141)"</f>
        <v>FARMÁCIA INDIANA LJ 185 (10141)</v>
      </c>
      <c r="S483" t="s">
        <v>37</v>
      </c>
      <c r="T483">
        <v>30096</v>
      </c>
      <c r="U483">
        <v>33592</v>
      </c>
      <c r="V483" t="s">
        <v>37</v>
      </c>
    </row>
    <row r="484" spans="1:22">
      <c r="A484" t="str">
        <f t="shared" si="133"/>
        <v>05/03/2026</v>
      </c>
      <c r="B484" t="str">
        <f t="shared" si="128"/>
        <v>SAÍDA</v>
      </c>
      <c r="C484" t="str">
        <f t="shared" si="131"/>
        <v>PIX</v>
      </c>
      <c r="D484" t="str">
        <f>"33593"</f>
        <v>33593</v>
      </c>
      <c r="E484" t="str">
        <f t="shared" si="126"/>
        <v>1</v>
      </c>
      <c r="F484" t="str">
        <f t="shared" si="130"/>
        <v>COM</v>
      </c>
      <c r="G484" t="str">
        <f>"BRUNO BARBOSA DE MATOS (82)"</f>
        <v>BRUNO BARBOSA DE MATOS (82)</v>
      </c>
      <c r="H484" t="str">
        <f>"Serv.Prest. 16/02/2026 a 22/02/2026 - PIX: CNPJ - CHAVE: 64.409.849/0001-04"</f>
        <v>Serv.Prest. 16/02/2026 a 22/02/2026 - PIX: CNPJ - CHAVE: 64.409.849/0001-04</v>
      </c>
      <c r="I484" t="str">
        <f t="shared" si="129"/>
        <v>05/03/2026</v>
      </c>
      <c r="J484" t="str">
        <f t="shared" si="132"/>
        <v>24/02/2026</v>
      </c>
      <c r="K484" t="str">
        <f>("05/03/2026")</f>
        <v>05/03/2026</v>
      </c>
      <c r="L484">
        <v>1362</v>
      </c>
      <c r="M484">
        <v>1362</v>
      </c>
      <c r="N484">
        <v>109</v>
      </c>
      <c r="O484" t="str">
        <f>"PAGAMENTO DE ENTREGADORES"</f>
        <v>PAGAMENTO DE ENTREGADORES</v>
      </c>
      <c r="P484">
        <v>1362</v>
      </c>
      <c r="S484" t="str">
        <f>"BANCO C6 (149)"</f>
        <v>BANCO C6 (149)</v>
      </c>
      <c r="T484">
        <v>30097</v>
      </c>
      <c r="U484">
        <v>33593</v>
      </c>
      <c r="V484" t="s">
        <v>37</v>
      </c>
    </row>
    <row r="485" spans="1:22">
      <c r="A485" t="str">
        <f t="shared" si="133"/>
        <v>05/03/2026</v>
      </c>
      <c r="B485" t="str">
        <f t="shared" si="128"/>
        <v>SAÍDA</v>
      </c>
      <c r="C485" t="str">
        <f t="shared" si="131"/>
        <v>PIX</v>
      </c>
      <c r="D485" t="str">
        <f>"33593"</f>
        <v>33593</v>
      </c>
      <c r="E485" t="str">
        <f t="shared" si="126"/>
        <v>1</v>
      </c>
      <c r="F485" t="str">
        <f t="shared" si="130"/>
        <v>COM</v>
      </c>
      <c r="G485" t="str">
        <f>"BRUNO BARBOSA DE MATOS (82)"</f>
        <v>BRUNO BARBOSA DE MATOS (82)</v>
      </c>
      <c r="H485" t="s">
        <v>178</v>
      </c>
      <c r="I485" t="str">
        <f t="shared" si="129"/>
        <v>05/03/2026</v>
      </c>
      <c r="J485" t="str">
        <f t="shared" si="132"/>
        <v>24/02/2026</v>
      </c>
      <c r="K485">
        <v>46086</v>
      </c>
      <c r="N485">
        <v>109</v>
      </c>
      <c r="O485" t="s">
        <v>27</v>
      </c>
      <c r="Q485">
        <v>1362</v>
      </c>
      <c r="R485" t="str">
        <f>"FARMÁCIA INDIANA LJ 152 (10069)"</f>
        <v>FARMÁCIA INDIANA LJ 152 (10069)</v>
      </c>
      <c r="S485" t="s">
        <v>37</v>
      </c>
      <c r="T485">
        <v>30097</v>
      </c>
      <c r="U485">
        <v>33593</v>
      </c>
      <c r="V485" t="s">
        <v>37</v>
      </c>
    </row>
    <row r="486" spans="1:22">
      <c r="A486" t="str">
        <f t="shared" si="133"/>
        <v>05/03/2026</v>
      </c>
      <c r="B486" t="str">
        <f t="shared" si="128"/>
        <v>SAÍDA</v>
      </c>
      <c r="C486" t="str">
        <f t="shared" si="131"/>
        <v>PIX</v>
      </c>
      <c r="D486" t="str">
        <f>"33594"</f>
        <v>33594</v>
      </c>
      <c r="E486" t="str">
        <f t="shared" si="126"/>
        <v>1</v>
      </c>
      <c r="F486" t="str">
        <f t="shared" si="130"/>
        <v>COM</v>
      </c>
      <c r="G486" t="str">
        <f>"BRUNO DOS SANTOS MACHADO (702)"</f>
        <v>BRUNO DOS SANTOS MACHADO (702)</v>
      </c>
      <c r="H486" t="str">
        <f>"Serv.Prest. 16/02/2026 a 22/02/2026 - PIX: CPF - CHAVE: 155.328.666-94"</f>
        <v>Serv.Prest. 16/02/2026 a 22/02/2026 - PIX: CPF - CHAVE: 155.328.666-94</v>
      </c>
      <c r="I486" t="str">
        <f t="shared" si="129"/>
        <v>05/03/2026</v>
      </c>
      <c r="J486" t="str">
        <f t="shared" si="132"/>
        <v>24/02/2026</v>
      </c>
      <c r="K486" t="str">
        <f>("05/03/2026")</f>
        <v>05/03/2026</v>
      </c>
      <c r="L486">
        <v>1200</v>
      </c>
      <c r="M486">
        <v>1200</v>
      </c>
      <c r="N486">
        <v>109</v>
      </c>
      <c r="O486" t="str">
        <f>"PAGAMENTO DE ENTREGADORES"</f>
        <v>PAGAMENTO DE ENTREGADORES</v>
      </c>
      <c r="P486">
        <v>1200</v>
      </c>
      <c r="S486" t="str">
        <f>"BANCO C6 (149)"</f>
        <v>BANCO C6 (149)</v>
      </c>
      <c r="T486">
        <v>30098</v>
      </c>
      <c r="U486">
        <v>33594</v>
      </c>
      <c r="V486" t="s">
        <v>37</v>
      </c>
    </row>
    <row r="487" spans="1:22">
      <c r="A487" t="str">
        <f t="shared" si="133"/>
        <v>05/03/2026</v>
      </c>
      <c r="B487" t="str">
        <f t="shared" si="128"/>
        <v>SAÍDA</v>
      </c>
      <c r="C487" t="str">
        <f t="shared" si="131"/>
        <v>PIX</v>
      </c>
      <c r="D487" t="str">
        <f>"33594"</f>
        <v>33594</v>
      </c>
      <c r="E487" t="str">
        <f t="shared" si="126"/>
        <v>1</v>
      </c>
      <c r="F487" t="str">
        <f t="shared" si="130"/>
        <v>COM</v>
      </c>
      <c r="G487" t="str">
        <f>"BRUNO DOS SANTOS MACHADO (702)"</f>
        <v>BRUNO DOS SANTOS MACHADO (702)</v>
      </c>
      <c r="H487" t="s">
        <v>179</v>
      </c>
      <c r="I487" t="str">
        <f t="shared" si="129"/>
        <v>05/03/2026</v>
      </c>
      <c r="J487" t="str">
        <f t="shared" si="132"/>
        <v>24/02/2026</v>
      </c>
      <c r="K487">
        <v>46086</v>
      </c>
      <c r="N487">
        <v>109</v>
      </c>
      <c r="O487" t="s">
        <v>27</v>
      </c>
      <c r="Q487">
        <v>600</v>
      </c>
      <c r="R487" t="str">
        <f>"FARMÁCIA INDIANA LJ 204 (10087)"</f>
        <v>FARMÁCIA INDIANA LJ 204 (10087)</v>
      </c>
      <c r="S487" t="s">
        <v>37</v>
      </c>
      <c r="T487">
        <v>30098</v>
      </c>
      <c r="U487">
        <v>33594</v>
      </c>
      <c r="V487" t="s">
        <v>37</v>
      </c>
    </row>
    <row r="488" spans="1:22">
      <c r="A488" t="str">
        <f t="shared" si="133"/>
        <v>05/03/2026</v>
      </c>
      <c r="B488" t="str">
        <f t="shared" si="128"/>
        <v>SAÍDA</v>
      </c>
      <c r="C488" t="str">
        <f t="shared" si="131"/>
        <v>PIX</v>
      </c>
      <c r="D488" t="str">
        <f>"33594"</f>
        <v>33594</v>
      </c>
      <c r="E488" t="str">
        <f t="shared" si="126"/>
        <v>1</v>
      </c>
      <c r="F488" t="str">
        <f t="shared" si="130"/>
        <v>COM</v>
      </c>
      <c r="G488" t="str">
        <f>"BRUNO DOS SANTOS MACHADO (702)"</f>
        <v>BRUNO DOS SANTOS MACHADO (702)</v>
      </c>
      <c r="H488" t="s">
        <v>179</v>
      </c>
      <c r="I488" t="str">
        <f t="shared" si="129"/>
        <v>05/03/2026</v>
      </c>
      <c r="J488" t="str">
        <f t="shared" si="132"/>
        <v>24/02/2026</v>
      </c>
      <c r="K488">
        <v>46086</v>
      </c>
      <c r="N488">
        <v>109</v>
      </c>
      <c r="O488" t="s">
        <v>27</v>
      </c>
      <c r="Q488">
        <v>600</v>
      </c>
      <c r="R488" t="str">
        <f>"FARMÁCIA INDIANA LJ 266 (10186)"</f>
        <v>FARMÁCIA INDIANA LJ 266 (10186)</v>
      </c>
      <c r="S488" t="s">
        <v>37</v>
      </c>
      <c r="T488">
        <v>30098</v>
      </c>
      <c r="U488">
        <v>33594</v>
      </c>
      <c r="V488" t="s">
        <v>37</v>
      </c>
    </row>
    <row r="489" spans="1:22">
      <c r="A489" t="str">
        <f t="shared" si="133"/>
        <v>05/03/2026</v>
      </c>
      <c r="B489" t="str">
        <f t="shared" si="128"/>
        <v>SAÍDA</v>
      </c>
      <c r="C489" t="str">
        <f t="shared" si="131"/>
        <v>PIX</v>
      </c>
      <c r="D489" t="str">
        <f>"33595"</f>
        <v>33595</v>
      </c>
      <c r="E489" t="str">
        <f t="shared" si="126"/>
        <v>1</v>
      </c>
      <c r="F489" t="str">
        <f t="shared" si="130"/>
        <v>COM</v>
      </c>
      <c r="G489" t="str">
        <f>"BRUNO WAGNER DE CARVALHO OLIVEIRA (84)"</f>
        <v>BRUNO WAGNER DE CARVALHO OLIVEIRA (84)</v>
      </c>
      <c r="H489" t="str">
        <f>"Serv.Prest. 16/02/2026 a 22/02/2026 - PIX: CELULAR - CHAVE: (32) 98896-0708"</f>
        <v>Serv.Prest. 16/02/2026 a 22/02/2026 - PIX: CELULAR - CHAVE: (32) 98896-0708</v>
      </c>
      <c r="I489" t="str">
        <f t="shared" si="129"/>
        <v>05/03/2026</v>
      </c>
      <c r="J489" t="str">
        <f t="shared" si="132"/>
        <v>24/02/2026</v>
      </c>
      <c r="K489" t="str">
        <f>("05/03/2026")</f>
        <v>05/03/2026</v>
      </c>
      <c r="L489">
        <v>700</v>
      </c>
      <c r="M489">
        <v>700</v>
      </c>
      <c r="N489">
        <v>109</v>
      </c>
      <c r="O489" t="str">
        <f>"PAGAMENTO DE ENTREGADORES"</f>
        <v>PAGAMENTO DE ENTREGADORES</v>
      </c>
      <c r="P489">
        <v>700</v>
      </c>
      <c r="S489" t="str">
        <f>"BANCO C6 (149)"</f>
        <v>BANCO C6 (149)</v>
      </c>
      <c r="T489">
        <v>30099</v>
      </c>
      <c r="U489">
        <v>33595</v>
      </c>
      <c r="V489" t="s">
        <v>37</v>
      </c>
    </row>
    <row r="490" spans="1:22">
      <c r="A490" t="str">
        <f t="shared" si="133"/>
        <v>05/03/2026</v>
      </c>
      <c r="B490" t="str">
        <f t="shared" si="128"/>
        <v>SAÍDA</v>
      </c>
      <c r="C490" t="str">
        <f t="shared" si="131"/>
        <v>PIX</v>
      </c>
      <c r="D490" t="str">
        <f>"33595"</f>
        <v>33595</v>
      </c>
      <c r="E490" t="str">
        <f t="shared" si="126"/>
        <v>1</v>
      </c>
      <c r="F490" t="str">
        <f t="shared" si="130"/>
        <v>COM</v>
      </c>
      <c r="G490" t="str">
        <f>"BRUNO WAGNER DE CARVALHO OLIVEIRA (84)"</f>
        <v>BRUNO WAGNER DE CARVALHO OLIVEIRA (84)</v>
      </c>
      <c r="H490" t="s">
        <v>180</v>
      </c>
      <c r="I490" t="str">
        <f t="shared" si="129"/>
        <v>05/03/2026</v>
      </c>
      <c r="J490" t="str">
        <f t="shared" si="132"/>
        <v>24/02/2026</v>
      </c>
      <c r="K490">
        <v>46086</v>
      </c>
      <c r="N490">
        <v>109</v>
      </c>
      <c r="O490" t="s">
        <v>27</v>
      </c>
      <c r="Q490">
        <v>350</v>
      </c>
      <c r="R490" t="str">
        <f>"FARMÁCIA INDIANA LJ 182 (10079)"</f>
        <v>FARMÁCIA INDIANA LJ 182 (10079)</v>
      </c>
      <c r="S490" t="s">
        <v>37</v>
      </c>
      <c r="T490">
        <v>30099</v>
      </c>
      <c r="U490">
        <v>33595</v>
      </c>
      <c r="V490" t="s">
        <v>37</v>
      </c>
    </row>
    <row r="491" spans="1:22">
      <c r="A491" t="str">
        <f t="shared" si="133"/>
        <v>05/03/2026</v>
      </c>
      <c r="B491" t="str">
        <f t="shared" si="128"/>
        <v>SAÍDA</v>
      </c>
      <c r="C491" t="str">
        <f t="shared" si="131"/>
        <v>PIX</v>
      </c>
      <c r="D491" t="str">
        <f>"33595"</f>
        <v>33595</v>
      </c>
      <c r="E491" t="str">
        <f t="shared" si="126"/>
        <v>1</v>
      </c>
      <c r="F491" t="str">
        <f t="shared" si="130"/>
        <v>COM</v>
      </c>
      <c r="G491" t="str">
        <f>"BRUNO WAGNER DE CARVALHO OLIVEIRA (84)"</f>
        <v>BRUNO WAGNER DE CARVALHO OLIVEIRA (84)</v>
      </c>
      <c r="H491" t="s">
        <v>180</v>
      </c>
      <c r="I491" t="str">
        <f t="shared" si="129"/>
        <v>05/03/2026</v>
      </c>
      <c r="J491" t="str">
        <f t="shared" si="132"/>
        <v>24/02/2026</v>
      </c>
      <c r="K491">
        <v>46086</v>
      </c>
      <c r="N491">
        <v>109</v>
      </c>
      <c r="O491" t="s">
        <v>27</v>
      </c>
      <c r="Q491">
        <v>350</v>
      </c>
      <c r="R491" t="str">
        <f>"FARMÁCIA INDIANA LJ 186 (10081)"</f>
        <v>FARMÁCIA INDIANA LJ 186 (10081)</v>
      </c>
      <c r="S491" t="s">
        <v>37</v>
      </c>
      <c r="T491">
        <v>30099</v>
      </c>
      <c r="U491">
        <v>33595</v>
      </c>
      <c r="V491" t="s">
        <v>37</v>
      </c>
    </row>
    <row r="492" spans="1:22">
      <c r="A492" t="str">
        <f t="shared" si="133"/>
        <v>05/03/2026</v>
      </c>
      <c r="B492" t="str">
        <f t="shared" si="128"/>
        <v>SAÍDA</v>
      </c>
      <c r="C492" t="str">
        <f t="shared" si="131"/>
        <v>PIX</v>
      </c>
      <c r="D492" t="str">
        <f>"33596"</f>
        <v>33596</v>
      </c>
      <c r="E492" t="str">
        <f t="shared" si="126"/>
        <v>1</v>
      </c>
      <c r="F492" t="str">
        <f t="shared" si="130"/>
        <v>COM</v>
      </c>
      <c r="G492" t="str">
        <f>"CAMILO JEFERSON DA SILVA PACHECO (1242)"</f>
        <v>CAMILO JEFERSON DA SILVA PACHECO (1242)</v>
      </c>
      <c r="H492" t="str">
        <f>"Serv.Prest. 16/02/2026 a 22/02/2026 - PIX: CELULAR - CHAVE: (33) 98899-5294"</f>
        <v>Serv.Prest. 16/02/2026 a 22/02/2026 - PIX: CELULAR - CHAVE: (33) 98899-5294</v>
      </c>
      <c r="I492" t="str">
        <f t="shared" si="129"/>
        <v>05/03/2026</v>
      </c>
      <c r="J492" t="str">
        <f t="shared" si="132"/>
        <v>24/02/2026</v>
      </c>
      <c r="K492" t="str">
        <f>("05/03/2026")</f>
        <v>05/03/2026</v>
      </c>
      <c r="L492">
        <v>1392</v>
      </c>
      <c r="M492">
        <v>1392</v>
      </c>
      <c r="N492">
        <v>109</v>
      </c>
      <c r="O492" t="str">
        <f>"PAGAMENTO DE ENTREGADORES"</f>
        <v>PAGAMENTO DE ENTREGADORES</v>
      </c>
      <c r="P492">
        <v>1392</v>
      </c>
      <c r="S492" t="str">
        <f>"BANCO C6 (149)"</f>
        <v>BANCO C6 (149)</v>
      </c>
      <c r="T492">
        <v>30100</v>
      </c>
      <c r="U492">
        <v>33596</v>
      </c>
      <c r="V492" t="s">
        <v>37</v>
      </c>
    </row>
    <row r="493" spans="1:22">
      <c r="A493" t="str">
        <f t="shared" si="133"/>
        <v>05/03/2026</v>
      </c>
      <c r="B493" t="str">
        <f t="shared" si="128"/>
        <v>SAÍDA</v>
      </c>
      <c r="C493" t="str">
        <f t="shared" si="131"/>
        <v>PIX</v>
      </c>
      <c r="D493" t="str">
        <f>"33596"</f>
        <v>33596</v>
      </c>
      <c r="E493" t="str">
        <f t="shared" si="126"/>
        <v>1</v>
      </c>
      <c r="F493" t="str">
        <f t="shared" si="130"/>
        <v>COM</v>
      </c>
      <c r="G493" t="str">
        <f>"CAMILO JEFERSON DA SILVA PACHECO (1242)"</f>
        <v>CAMILO JEFERSON DA SILVA PACHECO (1242)</v>
      </c>
      <c r="H493" t="s">
        <v>181</v>
      </c>
      <c r="I493" t="str">
        <f t="shared" si="129"/>
        <v>05/03/2026</v>
      </c>
      <c r="J493" t="str">
        <f t="shared" si="132"/>
        <v>24/02/2026</v>
      </c>
      <c r="K493">
        <v>46086</v>
      </c>
      <c r="N493">
        <v>109</v>
      </c>
      <c r="O493" t="s">
        <v>27</v>
      </c>
      <c r="Q493">
        <v>1392</v>
      </c>
      <c r="R493" t="str">
        <f>"FARMÁCIA INDIANA LJ 07 (10007)"</f>
        <v>FARMÁCIA INDIANA LJ 07 (10007)</v>
      </c>
      <c r="S493" t="s">
        <v>37</v>
      </c>
      <c r="T493">
        <v>30100</v>
      </c>
      <c r="U493">
        <v>33596</v>
      </c>
      <c r="V493" t="s">
        <v>37</v>
      </c>
    </row>
    <row r="494" spans="1:22">
      <c r="A494" t="str">
        <f t="shared" si="133"/>
        <v>05/03/2026</v>
      </c>
      <c r="B494" t="str">
        <f t="shared" si="128"/>
        <v>SAÍDA</v>
      </c>
      <c r="C494" t="str">
        <f t="shared" si="131"/>
        <v>PIX</v>
      </c>
      <c r="D494" t="str">
        <f>"33597"</f>
        <v>33597</v>
      </c>
      <c r="E494" t="str">
        <f t="shared" si="126"/>
        <v>1</v>
      </c>
      <c r="F494" t="str">
        <f t="shared" si="130"/>
        <v>COM</v>
      </c>
      <c r="G494" t="str">
        <f>"CARLOS ALEXANDRE BADARO CORDEIRO (1137)"</f>
        <v>CARLOS ALEXANDRE BADARO CORDEIRO (1137)</v>
      </c>
      <c r="H494" t="str">
        <f>"Serv.Prest. 16/02/2026 a 22/02/2026 - PIX: CELULAR - CHAVE: (32) 99928-9092"</f>
        <v>Serv.Prest. 16/02/2026 a 22/02/2026 - PIX: CELULAR - CHAVE: (32) 99928-9092</v>
      </c>
      <c r="I494" t="str">
        <f t="shared" si="129"/>
        <v>05/03/2026</v>
      </c>
      <c r="J494" t="str">
        <f t="shared" si="132"/>
        <v>24/02/2026</v>
      </c>
      <c r="K494" t="str">
        <f>("05/03/2026")</f>
        <v>05/03/2026</v>
      </c>
      <c r="L494">
        <v>720</v>
      </c>
      <c r="M494">
        <v>720</v>
      </c>
      <c r="N494">
        <v>109</v>
      </c>
      <c r="O494" t="str">
        <f>"PAGAMENTO DE ENTREGADORES"</f>
        <v>PAGAMENTO DE ENTREGADORES</v>
      </c>
      <c r="P494">
        <v>720</v>
      </c>
      <c r="S494" t="str">
        <f>"BANCO C6 (149)"</f>
        <v>BANCO C6 (149)</v>
      </c>
      <c r="T494">
        <v>30101</v>
      </c>
      <c r="U494">
        <v>33597</v>
      </c>
      <c r="V494" t="s">
        <v>37</v>
      </c>
    </row>
    <row r="495" spans="1:22">
      <c r="A495" t="str">
        <f t="shared" si="133"/>
        <v>05/03/2026</v>
      </c>
      <c r="B495" t="str">
        <f t="shared" si="128"/>
        <v>SAÍDA</v>
      </c>
      <c r="C495" t="str">
        <f t="shared" si="131"/>
        <v>PIX</v>
      </c>
      <c r="D495" t="str">
        <f>"33597"</f>
        <v>33597</v>
      </c>
      <c r="E495" t="str">
        <f t="shared" si="126"/>
        <v>1</v>
      </c>
      <c r="F495" t="str">
        <f t="shared" si="130"/>
        <v>COM</v>
      </c>
      <c r="G495" t="str">
        <f>"CARLOS ALEXANDRE BADARO CORDEIRO (1137)"</f>
        <v>CARLOS ALEXANDRE BADARO CORDEIRO (1137)</v>
      </c>
      <c r="H495" t="s">
        <v>182</v>
      </c>
      <c r="I495" t="str">
        <f t="shared" si="129"/>
        <v>05/03/2026</v>
      </c>
      <c r="J495" t="str">
        <f t="shared" si="132"/>
        <v>24/02/2026</v>
      </c>
      <c r="K495">
        <v>46086</v>
      </c>
      <c r="N495">
        <v>109</v>
      </c>
      <c r="O495" t="s">
        <v>27</v>
      </c>
      <c r="Q495">
        <v>720</v>
      </c>
      <c r="R495" t="str">
        <f>"FARMÁCIA INDIANA LJ 284 (10280)"</f>
        <v>FARMÁCIA INDIANA LJ 284 (10280)</v>
      </c>
      <c r="S495" t="s">
        <v>37</v>
      </c>
      <c r="T495">
        <v>30101</v>
      </c>
      <c r="U495">
        <v>33597</v>
      </c>
      <c r="V495" t="s">
        <v>37</v>
      </c>
    </row>
    <row r="496" spans="1:22">
      <c r="A496" t="str">
        <f t="shared" si="133"/>
        <v>05/03/2026</v>
      </c>
      <c r="B496" t="str">
        <f t="shared" si="128"/>
        <v>SAÍDA</v>
      </c>
      <c r="C496" t="str">
        <f t="shared" si="131"/>
        <v>PIX</v>
      </c>
      <c r="D496" t="str">
        <f>"33598"</f>
        <v>33598</v>
      </c>
      <c r="E496" t="str">
        <f t="shared" ref="E496:E559" si="134">"1"</f>
        <v>1</v>
      </c>
      <c r="F496" t="str">
        <f t="shared" si="130"/>
        <v>COM</v>
      </c>
      <c r="G496" t="str">
        <f>"CARLOS ROBERTO BADARÓ MACHADO (78)"</f>
        <v>CARLOS ROBERTO BADARÓ MACHADO (78)</v>
      </c>
      <c r="H496" t="str">
        <f>"Serv.Prest. 16/02/2026 a 22/02/2026 - PIX: CELULAR - CHAVE: (32) 99166-8238"</f>
        <v>Serv.Prest. 16/02/2026 a 22/02/2026 - PIX: CELULAR - CHAVE: (32) 99166-8238</v>
      </c>
      <c r="I496" t="str">
        <f t="shared" si="129"/>
        <v>05/03/2026</v>
      </c>
      <c r="J496" t="str">
        <f t="shared" si="132"/>
        <v>24/02/2026</v>
      </c>
      <c r="K496" t="str">
        <f>("05/03/2026")</f>
        <v>05/03/2026</v>
      </c>
      <c r="L496">
        <v>1188</v>
      </c>
      <c r="M496">
        <v>1188</v>
      </c>
      <c r="N496">
        <v>109</v>
      </c>
      <c r="O496" t="str">
        <f>"PAGAMENTO DE ENTREGADORES"</f>
        <v>PAGAMENTO DE ENTREGADORES</v>
      </c>
      <c r="P496">
        <v>1188</v>
      </c>
      <c r="S496" t="str">
        <f>"BANCO C6 (149)"</f>
        <v>BANCO C6 (149)</v>
      </c>
      <c r="T496">
        <v>30102</v>
      </c>
      <c r="U496">
        <v>33598</v>
      </c>
      <c r="V496" t="s">
        <v>37</v>
      </c>
    </row>
    <row r="497" spans="1:22">
      <c r="A497" t="str">
        <f t="shared" si="133"/>
        <v>05/03/2026</v>
      </c>
      <c r="B497" t="str">
        <f t="shared" si="128"/>
        <v>SAÍDA</v>
      </c>
      <c r="C497" t="str">
        <f t="shared" si="131"/>
        <v>PIX</v>
      </c>
      <c r="D497" t="str">
        <f>"33598"</f>
        <v>33598</v>
      </c>
      <c r="E497" t="str">
        <f t="shared" si="134"/>
        <v>1</v>
      </c>
      <c r="F497" t="str">
        <f t="shared" si="130"/>
        <v>COM</v>
      </c>
      <c r="G497" t="str">
        <f>"CARLOS ROBERTO BADARÓ MACHADO (78)"</f>
        <v>CARLOS ROBERTO BADARÓ MACHADO (78)</v>
      </c>
      <c r="H497" t="s">
        <v>183</v>
      </c>
      <c r="I497" t="str">
        <f t="shared" si="129"/>
        <v>05/03/2026</v>
      </c>
      <c r="J497" t="str">
        <f t="shared" si="132"/>
        <v>24/02/2026</v>
      </c>
      <c r="K497">
        <v>46086</v>
      </c>
      <c r="N497">
        <v>109</v>
      </c>
      <c r="O497" t="s">
        <v>27</v>
      </c>
      <c r="Q497">
        <v>1044.01</v>
      </c>
      <c r="R497" t="str">
        <f>"FARMÁCIA INDIANA LJ 109 (10047)"</f>
        <v>FARMÁCIA INDIANA LJ 109 (10047)</v>
      </c>
      <c r="S497" t="s">
        <v>37</v>
      </c>
      <c r="T497">
        <v>30102</v>
      </c>
      <c r="U497">
        <v>33598</v>
      </c>
      <c r="V497" t="s">
        <v>37</v>
      </c>
    </row>
    <row r="498" spans="1:22">
      <c r="A498" t="str">
        <f t="shared" si="133"/>
        <v>05/03/2026</v>
      </c>
      <c r="B498" t="str">
        <f t="shared" si="128"/>
        <v>SAÍDA</v>
      </c>
      <c r="C498" t="str">
        <f t="shared" si="131"/>
        <v>PIX</v>
      </c>
      <c r="D498" t="str">
        <f>"33598"</f>
        <v>33598</v>
      </c>
      <c r="E498" t="str">
        <f t="shared" si="134"/>
        <v>1</v>
      </c>
      <c r="F498" t="str">
        <f t="shared" si="130"/>
        <v>COM</v>
      </c>
      <c r="G498" t="str">
        <f>"CARLOS ROBERTO BADARÓ MACHADO (78)"</f>
        <v>CARLOS ROBERTO BADARÓ MACHADO (78)</v>
      </c>
      <c r="H498" t="s">
        <v>183</v>
      </c>
      <c r="I498" t="str">
        <f t="shared" si="129"/>
        <v>05/03/2026</v>
      </c>
      <c r="J498" t="str">
        <f t="shared" si="132"/>
        <v>24/02/2026</v>
      </c>
      <c r="K498">
        <v>46086</v>
      </c>
      <c r="N498">
        <v>109</v>
      </c>
      <c r="O498" t="s">
        <v>27</v>
      </c>
      <c r="Q498">
        <v>143.99</v>
      </c>
      <c r="R498" t="str">
        <f>"FARMÁCIA INDIANA LJ 284 (10280)"</f>
        <v>FARMÁCIA INDIANA LJ 284 (10280)</v>
      </c>
      <c r="S498" t="s">
        <v>37</v>
      </c>
      <c r="T498">
        <v>30102</v>
      </c>
      <c r="U498">
        <v>33598</v>
      </c>
      <c r="V498" t="s">
        <v>37</v>
      </c>
    </row>
    <row r="499" spans="1:22">
      <c r="A499" t="str">
        <f t="shared" si="133"/>
        <v>05/03/2026</v>
      </c>
      <c r="B499" t="str">
        <f t="shared" si="128"/>
        <v>SAÍDA</v>
      </c>
      <c r="C499" t="str">
        <f t="shared" si="131"/>
        <v>PIX</v>
      </c>
      <c r="D499" t="str">
        <f>"33599"</f>
        <v>33599</v>
      </c>
      <c r="E499" t="str">
        <f t="shared" si="134"/>
        <v>1</v>
      </c>
      <c r="F499" t="str">
        <f t="shared" si="130"/>
        <v>COM</v>
      </c>
      <c r="G499" t="str">
        <f>"CASSIO DIAS RIBEIRO (32)"</f>
        <v>CASSIO DIAS RIBEIRO (32)</v>
      </c>
      <c r="H499" t="str">
        <f>"Serv.Prest. 16/02/2026 a 22/02/2026 - PIX: CNPJ - CHAVE: 35.986.676/0001-80"</f>
        <v>Serv.Prest. 16/02/2026 a 22/02/2026 - PIX: CNPJ - CHAVE: 35.986.676/0001-80</v>
      </c>
      <c r="I499" t="str">
        <f t="shared" si="129"/>
        <v>05/03/2026</v>
      </c>
      <c r="J499" t="str">
        <f t="shared" si="132"/>
        <v>24/02/2026</v>
      </c>
      <c r="K499" t="str">
        <f>("05/03/2026")</f>
        <v>05/03/2026</v>
      </c>
      <c r="L499">
        <v>872</v>
      </c>
      <c r="M499">
        <v>872</v>
      </c>
      <c r="N499">
        <v>109</v>
      </c>
      <c r="O499" t="str">
        <f>"PAGAMENTO DE ENTREGADORES"</f>
        <v>PAGAMENTO DE ENTREGADORES</v>
      </c>
      <c r="P499">
        <v>872</v>
      </c>
      <c r="S499" t="str">
        <f>"BANCO C6 (149)"</f>
        <v>BANCO C6 (149)</v>
      </c>
      <c r="T499">
        <v>30103</v>
      </c>
      <c r="U499">
        <v>33599</v>
      </c>
      <c r="V499" t="s">
        <v>37</v>
      </c>
    </row>
    <row r="500" spans="1:22">
      <c r="A500" t="str">
        <f t="shared" si="133"/>
        <v>05/03/2026</v>
      </c>
      <c r="B500" t="str">
        <f t="shared" si="128"/>
        <v>SAÍDA</v>
      </c>
      <c r="C500" t="str">
        <f t="shared" si="131"/>
        <v>PIX</v>
      </c>
      <c r="D500" t="str">
        <f>"33599"</f>
        <v>33599</v>
      </c>
      <c r="E500" t="str">
        <f t="shared" si="134"/>
        <v>1</v>
      </c>
      <c r="F500" t="str">
        <f t="shared" si="130"/>
        <v>COM</v>
      </c>
      <c r="G500" t="str">
        <f>"CASSIO DIAS RIBEIRO (32)"</f>
        <v>CASSIO DIAS RIBEIRO (32)</v>
      </c>
      <c r="H500" t="s">
        <v>95</v>
      </c>
      <c r="I500" t="str">
        <f t="shared" si="129"/>
        <v>05/03/2026</v>
      </c>
      <c r="J500" t="str">
        <f t="shared" si="132"/>
        <v>24/02/2026</v>
      </c>
      <c r="K500">
        <v>46086</v>
      </c>
      <c r="N500">
        <v>109</v>
      </c>
      <c r="O500" t="s">
        <v>27</v>
      </c>
      <c r="Q500">
        <v>872</v>
      </c>
      <c r="R500" t="str">
        <f>"FARMÁCIA INDIANA LJ 11 (10008)"</f>
        <v>FARMÁCIA INDIANA LJ 11 (10008)</v>
      </c>
      <c r="S500" t="s">
        <v>37</v>
      </c>
      <c r="T500">
        <v>30103</v>
      </c>
      <c r="U500">
        <v>33599</v>
      </c>
      <c r="V500" t="s">
        <v>37</v>
      </c>
    </row>
    <row r="501" spans="1:22">
      <c r="A501" t="str">
        <f t="shared" si="133"/>
        <v>05/03/2026</v>
      </c>
      <c r="B501" t="str">
        <f t="shared" si="128"/>
        <v>SAÍDA</v>
      </c>
      <c r="C501" t="str">
        <f t="shared" si="131"/>
        <v>PIX</v>
      </c>
      <c r="D501" t="str">
        <f>"33600"</f>
        <v>33600</v>
      </c>
      <c r="E501" t="str">
        <f t="shared" si="134"/>
        <v>1</v>
      </c>
      <c r="F501" t="str">
        <f t="shared" si="130"/>
        <v>COM</v>
      </c>
      <c r="G501" t="str">
        <f>"CELIO JOSÉ RIBEIRO (189)"</f>
        <v>CELIO JOSÉ RIBEIRO (189)</v>
      </c>
      <c r="H501" t="str">
        <f>"Serv.Prest. 16/02/2026 a 22/02/2026 - PIX: CELULAR - CHAVE: (33) 98845-4528"</f>
        <v>Serv.Prest. 16/02/2026 a 22/02/2026 - PIX: CELULAR - CHAVE: (33) 98845-4528</v>
      </c>
      <c r="I501" t="str">
        <f t="shared" si="129"/>
        <v>05/03/2026</v>
      </c>
      <c r="J501" t="str">
        <f t="shared" si="132"/>
        <v>24/02/2026</v>
      </c>
      <c r="K501" t="str">
        <f>("05/03/2026")</f>
        <v>05/03/2026</v>
      </c>
      <c r="L501">
        <v>1158</v>
      </c>
      <c r="M501">
        <v>1158</v>
      </c>
      <c r="N501">
        <v>109</v>
      </c>
      <c r="O501" t="str">
        <f>"PAGAMENTO DE ENTREGADORES"</f>
        <v>PAGAMENTO DE ENTREGADORES</v>
      </c>
      <c r="P501">
        <v>1158</v>
      </c>
      <c r="S501" t="str">
        <f>"BANCO C6 (149)"</f>
        <v>BANCO C6 (149)</v>
      </c>
      <c r="T501">
        <v>30104</v>
      </c>
      <c r="U501">
        <v>33600</v>
      </c>
      <c r="V501" t="s">
        <v>37</v>
      </c>
    </row>
    <row r="502" spans="1:22">
      <c r="A502" t="str">
        <f t="shared" si="133"/>
        <v>05/03/2026</v>
      </c>
      <c r="B502" t="str">
        <f t="shared" si="128"/>
        <v>SAÍDA</v>
      </c>
      <c r="C502" t="str">
        <f t="shared" si="131"/>
        <v>PIX</v>
      </c>
      <c r="D502" t="str">
        <f>"33600"</f>
        <v>33600</v>
      </c>
      <c r="E502" t="str">
        <f t="shared" si="134"/>
        <v>1</v>
      </c>
      <c r="F502" t="str">
        <f t="shared" si="130"/>
        <v>COM</v>
      </c>
      <c r="G502" t="str">
        <f>"CELIO JOSÉ RIBEIRO (189)"</f>
        <v>CELIO JOSÉ RIBEIRO (189)</v>
      </c>
      <c r="H502" t="s">
        <v>184</v>
      </c>
      <c r="I502" t="str">
        <f t="shared" si="129"/>
        <v>05/03/2026</v>
      </c>
      <c r="J502" t="str">
        <f t="shared" si="132"/>
        <v>24/02/2026</v>
      </c>
      <c r="K502">
        <v>46086</v>
      </c>
      <c r="N502">
        <v>109</v>
      </c>
      <c r="O502" t="s">
        <v>27</v>
      </c>
      <c r="Q502">
        <v>1158</v>
      </c>
      <c r="R502" t="str">
        <f>"FARMÁCIA INDIANA LJ 06 (10006)"</f>
        <v>FARMÁCIA INDIANA LJ 06 (10006)</v>
      </c>
      <c r="S502" t="s">
        <v>37</v>
      </c>
      <c r="T502">
        <v>30104</v>
      </c>
      <c r="U502">
        <v>33600</v>
      </c>
      <c r="V502" t="s">
        <v>37</v>
      </c>
    </row>
    <row r="503" spans="1:22">
      <c r="A503" t="str">
        <f t="shared" si="133"/>
        <v>05/03/2026</v>
      </c>
      <c r="B503" t="str">
        <f t="shared" si="128"/>
        <v>SAÍDA</v>
      </c>
      <c r="C503" t="str">
        <f t="shared" si="131"/>
        <v>PIX</v>
      </c>
      <c r="D503" t="str">
        <f>"33601"</f>
        <v>33601</v>
      </c>
      <c r="E503" t="str">
        <f t="shared" si="134"/>
        <v>1</v>
      </c>
      <c r="F503" t="str">
        <f t="shared" si="130"/>
        <v>COM</v>
      </c>
      <c r="G503" t="str">
        <f>"CLEIDIOMAR RIBEIRO FERREIRA (34)"</f>
        <v>CLEIDIOMAR RIBEIRO FERREIRA (34)</v>
      </c>
      <c r="H503" t="str">
        <f>"Serv.Prest. 16/02/2026 a 22/02/2026 - PIX: CELULAR - CHAVE: (31) 98511-2851"</f>
        <v>Serv.Prest. 16/02/2026 a 22/02/2026 - PIX: CELULAR - CHAVE: (31) 98511-2851</v>
      </c>
      <c r="I503" t="str">
        <f t="shared" si="129"/>
        <v>05/03/2026</v>
      </c>
      <c r="J503" t="str">
        <f t="shared" si="132"/>
        <v>24/02/2026</v>
      </c>
      <c r="K503" t="str">
        <f>("05/03/2026")</f>
        <v>05/03/2026</v>
      </c>
      <c r="L503">
        <v>1026</v>
      </c>
      <c r="M503">
        <v>1026</v>
      </c>
      <c r="N503">
        <v>109</v>
      </c>
      <c r="O503" t="str">
        <f>"PAGAMENTO DE ENTREGADORES"</f>
        <v>PAGAMENTO DE ENTREGADORES</v>
      </c>
      <c r="P503">
        <v>1026</v>
      </c>
      <c r="S503" t="str">
        <f>"BANCO C6 (149)"</f>
        <v>BANCO C6 (149)</v>
      </c>
      <c r="T503">
        <v>30105</v>
      </c>
      <c r="U503">
        <v>33601</v>
      </c>
      <c r="V503" t="s">
        <v>37</v>
      </c>
    </row>
    <row r="504" spans="1:22">
      <c r="A504" t="str">
        <f t="shared" si="133"/>
        <v>05/03/2026</v>
      </c>
      <c r="B504" t="str">
        <f t="shared" si="128"/>
        <v>SAÍDA</v>
      </c>
      <c r="C504" t="str">
        <f t="shared" si="131"/>
        <v>PIX</v>
      </c>
      <c r="D504" t="str">
        <f>"33601"</f>
        <v>33601</v>
      </c>
      <c r="E504" t="str">
        <f t="shared" si="134"/>
        <v>1</v>
      </c>
      <c r="F504" t="str">
        <f t="shared" si="130"/>
        <v>COM</v>
      </c>
      <c r="G504" t="str">
        <f>"CLEIDIOMAR RIBEIRO FERREIRA (34)"</f>
        <v>CLEIDIOMAR RIBEIRO FERREIRA (34)</v>
      </c>
      <c r="H504" t="s">
        <v>185</v>
      </c>
      <c r="I504" t="str">
        <f t="shared" si="129"/>
        <v>05/03/2026</v>
      </c>
      <c r="J504" t="str">
        <f t="shared" si="132"/>
        <v>24/02/2026</v>
      </c>
      <c r="K504">
        <v>46086</v>
      </c>
      <c r="N504">
        <v>109</v>
      </c>
      <c r="O504" t="s">
        <v>27</v>
      </c>
      <c r="Q504">
        <v>1026</v>
      </c>
      <c r="R504" t="str">
        <f>"FARMÁCIA INDIANA LJ 11 (10008)"</f>
        <v>FARMÁCIA INDIANA LJ 11 (10008)</v>
      </c>
      <c r="S504" t="s">
        <v>37</v>
      </c>
      <c r="T504">
        <v>30105</v>
      </c>
      <c r="U504">
        <v>33601</v>
      </c>
      <c r="V504" t="s">
        <v>37</v>
      </c>
    </row>
    <row r="505" spans="1:22">
      <c r="A505" t="str">
        <f t="shared" si="133"/>
        <v>05/03/2026</v>
      </c>
      <c r="B505" t="str">
        <f t="shared" si="128"/>
        <v>SAÍDA</v>
      </c>
      <c r="C505" t="str">
        <f t="shared" si="131"/>
        <v>PIX</v>
      </c>
      <c r="D505" t="str">
        <f>"33602"</f>
        <v>33602</v>
      </c>
      <c r="E505" t="str">
        <f t="shared" si="134"/>
        <v>1</v>
      </c>
      <c r="F505" t="str">
        <f t="shared" si="130"/>
        <v>COM</v>
      </c>
      <c r="G505" t="str">
        <f>"CRISTIANO XAVIER DA COSTA (269)"</f>
        <v>CRISTIANO XAVIER DA COSTA (269)</v>
      </c>
      <c r="H505" t="str">
        <f>"Serv.Prest. 16/02/2026 a 22/02/2026 - PIX: CELULAR - CHAVE: (32) 99177-6167"</f>
        <v>Serv.Prest. 16/02/2026 a 22/02/2026 - PIX: CELULAR - CHAVE: (32) 99177-6167</v>
      </c>
      <c r="I505" t="str">
        <f t="shared" si="129"/>
        <v>05/03/2026</v>
      </c>
      <c r="J505" t="str">
        <f t="shared" si="132"/>
        <v>24/02/2026</v>
      </c>
      <c r="K505" t="str">
        <f>("05/03/2026")</f>
        <v>05/03/2026</v>
      </c>
      <c r="L505">
        <v>2040</v>
      </c>
      <c r="M505">
        <v>2040</v>
      </c>
      <c r="N505">
        <v>109</v>
      </c>
      <c r="O505" t="str">
        <f>"PAGAMENTO DE ENTREGADORES"</f>
        <v>PAGAMENTO DE ENTREGADORES</v>
      </c>
      <c r="P505">
        <v>2040</v>
      </c>
      <c r="S505" t="str">
        <f>"BANCO C6 (149)"</f>
        <v>BANCO C6 (149)</v>
      </c>
      <c r="T505">
        <v>30106</v>
      </c>
      <c r="U505">
        <v>33602</v>
      </c>
      <c r="V505" t="s">
        <v>37</v>
      </c>
    </row>
    <row r="506" spans="1:22">
      <c r="A506" t="str">
        <f t="shared" si="133"/>
        <v>05/03/2026</v>
      </c>
      <c r="B506" t="str">
        <f t="shared" si="128"/>
        <v>SAÍDA</v>
      </c>
      <c r="C506" t="str">
        <f t="shared" si="131"/>
        <v>PIX</v>
      </c>
      <c r="D506" t="str">
        <f>"33602"</f>
        <v>33602</v>
      </c>
      <c r="E506" t="str">
        <f t="shared" si="134"/>
        <v>1</v>
      </c>
      <c r="F506" t="str">
        <f t="shared" si="130"/>
        <v>COM</v>
      </c>
      <c r="G506" t="str">
        <f>"CRISTIANO XAVIER DA COSTA (269)"</f>
        <v>CRISTIANO XAVIER DA COSTA (269)</v>
      </c>
      <c r="H506" t="s">
        <v>186</v>
      </c>
      <c r="I506" t="str">
        <f t="shared" si="129"/>
        <v>05/03/2026</v>
      </c>
      <c r="J506" t="str">
        <f t="shared" si="132"/>
        <v>24/02/2026</v>
      </c>
      <c r="K506">
        <v>46086</v>
      </c>
      <c r="N506">
        <v>109</v>
      </c>
      <c r="O506" t="s">
        <v>27</v>
      </c>
      <c r="Q506">
        <v>1243.99</v>
      </c>
      <c r="R506" t="str">
        <f>"FARMÁCIA INDIANA LJ 207 (10088)"</f>
        <v>FARMÁCIA INDIANA LJ 207 (10088)</v>
      </c>
      <c r="S506" t="s">
        <v>37</v>
      </c>
      <c r="T506">
        <v>30106</v>
      </c>
      <c r="U506">
        <v>33602</v>
      </c>
      <c r="V506" t="s">
        <v>37</v>
      </c>
    </row>
    <row r="507" spans="1:22">
      <c r="A507" t="str">
        <f t="shared" si="133"/>
        <v>05/03/2026</v>
      </c>
      <c r="B507" t="str">
        <f t="shared" si="128"/>
        <v>SAÍDA</v>
      </c>
      <c r="C507" t="str">
        <f t="shared" si="131"/>
        <v>PIX</v>
      </c>
      <c r="D507" t="str">
        <f>"33602"</f>
        <v>33602</v>
      </c>
      <c r="E507" t="str">
        <f t="shared" si="134"/>
        <v>1</v>
      </c>
      <c r="F507" t="str">
        <f t="shared" si="130"/>
        <v>COM</v>
      </c>
      <c r="G507" t="str">
        <f>"CRISTIANO XAVIER DA COSTA (269)"</f>
        <v>CRISTIANO XAVIER DA COSTA (269)</v>
      </c>
      <c r="H507" t="s">
        <v>186</v>
      </c>
      <c r="I507" t="str">
        <f t="shared" si="129"/>
        <v>05/03/2026</v>
      </c>
      <c r="J507" t="str">
        <f t="shared" si="132"/>
        <v>24/02/2026</v>
      </c>
      <c r="K507">
        <v>46086</v>
      </c>
      <c r="N507">
        <v>109</v>
      </c>
      <c r="O507" t="s">
        <v>27</v>
      </c>
      <c r="Q507">
        <v>796.01</v>
      </c>
      <c r="R507" t="str">
        <f>"FARMÁCIA INDIANA LJ 209 (10089)"</f>
        <v>FARMÁCIA INDIANA LJ 209 (10089)</v>
      </c>
      <c r="S507" t="s">
        <v>37</v>
      </c>
      <c r="T507">
        <v>30106</v>
      </c>
      <c r="U507">
        <v>33602</v>
      </c>
      <c r="V507" t="s">
        <v>37</v>
      </c>
    </row>
    <row r="508" spans="1:22">
      <c r="A508" t="str">
        <f t="shared" si="133"/>
        <v>05/03/2026</v>
      </c>
      <c r="B508" t="str">
        <f t="shared" si="128"/>
        <v>SAÍDA</v>
      </c>
      <c r="C508" t="str">
        <f t="shared" si="131"/>
        <v>PIX</v>
      </c>
      <c r="D508" t="str">
        <f>"33603"</f>
        <v>33603</v>
      </c>
      <c r="E508" t="str">
        <f t="shared" si="134"/>
        <v>1</v>
      </c>
      <c r="F508" t="str">
        <f t="shared" si="130"/>
        <v>COM</v>
      </c>
      <c r="G508" t="str">
        <f>"DAMÁSIO JOSÉ DO NASCIMENTO NETO (147)"</f>
        <v>DAMÁSIO JOSÉ DO NASCIMENTO NETO (147)</v>
      </c>
      <c r="H508" t="str">
        <f>"Serv.Prest. 16/02/2026 a 22/02/2026 - PIX: CPF - CHAVE: 110.483.296-82"</f>
        <v>Serv.Prest. 16/02/2026 a 22/02/2026 - PIX: CPF - CHAVE: 110.483.296-82</v>
      </c>
      <c r="I508" t="str">
        <f t="shared" si="129"/>
        <v>05/03/2026</v>
      </c>
      <c r="J508" t="str">
        <f t="shared" si="132"/>
        <v>24/02/2026</v>
      </c>
      <c r="K508" t="str">
        <f>("05/03/2026")</f>
        <v>05/03/2026</v>
      </c>
      <c r="L508">
        <v>852</v>
      </c>
      <c r="M508">
        <v>852</v>
      </c>
      <c r="N508">
        <v>109</v>
      </c>
      <c r="O508" t="str">
        <f>"PAGAMENTO DE ENTREGADORES"</f>
        <v>PAGAMENTO DE ENTREGADORES</v>
      </c>
      <c r="P508">
        <v>852</v>
      </c>
      <c r="S508" t="str">
        <f>"BANCO C6 (149)"</f>
        <v>BANCO C6 (149)</v>
      </c>
      <c r="T508">
        <v>30107</v>
      </c>
      <c r="U508">
        <v>33603</v>
      </c>
      <c r="V508" t="s">
        <v>37</v>
      </c>
    </row>
    <row r="509" spans="1:22">
      <c r="A509" t="str">
        <f t="shared" si="133"/>
        <v>05/03/2026</v>
      </c>
      <c r="B509" t="str">
        <f t="shared" si="128"/>
        <v>SAÍDA</v>
      </c>
      <c r="C509" t="str">
        <f t="shared" si="131"/>
        <v>PIX</v>
      </c>
      <c r="D509" t="str">
        <f>"33603"</f>
        <v>33603</v>
      </c>
      <c r="E509" t="str">
        <f t="shared" si="134"/>
        <v>1</v>
      </c>
      <c r="F509" t="str">
        <f t="shared" si="130"/>
        <v>COM</v>
      </c>
      <c r="G509" t="str">
        <f>"DAMÁSIO JOSÉ DO NASCIMENTO NETO (147)"</f>
        <v>DAMÁSIO JOSÉ DO NASCIMENTO NETO (147)</v>
      </c>
      <c r="H509" t="s">
        <v>187</v>
      </c>
      <c r="I509" t="str">
        <f t="shared" si="129"/>
        <v>05/03/2026</v>
      </c>
      <c r="J509" t="str">
        <f t="shared" si="132"/>
        <v>24/02/2026</v>
      </c>
      <c r="K509">
        <v>46086</v>
      </c>
      <c r="N509">
        <v>109</v>
      </c>
      <c r="O509" t="s">
        <v>27</v>
      </c>
      <c r="Q509">
        <v>852</v>
      </c>
      <c r="R509" t="str">
        <f>"FARMÁCIA INDIANA LJ 142 (10066)"</f>
        <v>FARMÁCIA INDIANA LJ 142 (10066)</v>
      </c>
      <c r="S509" t="s">
        <v>37</v>
      </c>
      <c r="T509">
        <v>30107</v>
      </c>
      <c r="U509">
        <v>33603</v>
      </c>
      <c r="V509" t="s">
        <v>37</v>
      </c>
    </row>
    <row r="510" spans="1:22">
      <c r="A510" t="str">
        <f t="shared" si="133"/>
        <v>05/03/2026</v>
      </c>
      <c r="B510" t="str">
        <f t="shared" si="128"/>
        <v>SAÍDA</v>
      </c>
      <c r="C510" t="str">
        <f t="shared" si="131"/>
        <v>PIX</v>
      </c>
      <c r="D510" t="str">
        <f>"33604"</f>
        <v>33604</v>
      </c>
      <c r="E510" t="str">
        <f t="shared" si="134"/>
        <v>1</v>
      </c>
      <c r="F510" t="str">
        <f t="shared" si="130"/>
        <v>COM</v>
      </c>
      <c r="G510" t="str">
        <f>"DANILO VIEIRA DOS REIS (1129)"</f>
        <v>DANILO VIEIRA DOS REIS (1129)</v>
      </c>
      <c r="H510" t="str">
        <f>"Serv.Prest. 16/02/2026 a 22/02/2026 - PIX: CPF - CHAVE: 162.540.206-61"</f>
        <v>Serv.Prest. 16/02/2026 a 22/02/2026 - PIX: CPF - CHAVE: 162.540.206-61</v>
      </c>
      <c r="I510" t="str">
        <f t="shared" si="129"/>
        <v>05/03/2026</v>
      </c>
      <c r="J510" t="str">
        <f t="shared" si="132"/>
        <v>24/02/2026</v>
      </c>
      <c r="K510" t="str">
        <f>("05/03/2026")</f>
        <v>05/03/2026</v>
      </c>
      <c r="L510">
        <v>648</v>
      </c>
      <c r="M510">
        <v>648</v>
      </c>
      <c r="N510">
        <v>109</v>
      </c>
      <c r="O510" t="str">
        <f>"PAGAMENTO DE ENTREGADORES"</f>
        <v>PAGAMENTO DE ENTREGADORES</v>
      </c>
      <c r="P510">
        <v>648</v>
      </c>
      <c r="S510" t="str">
        <f>"BANCO C6 (149)"</f>
        <v>BANCO C6 (149)</v>
      </c>
      <c r="T510">
        <v>30108</v>
      </c>
      <c r="U510">
        <v>33604</v>
      </c>
      <c r="V510" t="s">
        <v>37</v>
      </c>
    </row>
    <row r="511" spans="1:22">
      <c r="A511" t="str">
        <f t="shared" si="133"/>
        <v>05/03/2026</v>
      </c>
      <c r="B511" t="str">
        <f t="shared" si="128"/>
        <v>SAÍDA</v>
      </c>
      <c r="C511" t="str">
        <f t="shared" si="131"/>
        <v>PIX</v>
      </c>
      <c r="D511" t="str">
        <f>"33604"</f>
        <v>33604</v>
      </c>
      <c r="E511" t="str">
        <f t="shared" si="134"/>
        <v>1</v>
      </c>
      <c r="F511" t="str">
        <f t="shared" si="130"/>
        <v>COM</v>
      </c>
      <c r="G511" t="str">
        <f>"DANILO VIEIRA DOS REIS (1129)"</f>
        <v>DANILO VIEIRA DOS REIS (1129)</v>
      </c>
      <c r="H511" t="s">
        <v>188</v>
      </c>
      <c r="I511" t="str">
        <f t="shared" si="129"/>
        <v>05/03/2026</v>
      </c>
      <c r="J511" t="str">
        <f t="shared" si="132"/>
        <v>24/02/2026</v>
      </c>
      <c r="K511">
        <v>46086</v>
      </c>
      <c r="N511">
        <v>109</v>
      </c>
      <c r="O511" t="s">
        <v>27</v>
      </c>
      <c r="Q511">
        <v>648</v>
      </c>
      <c r="R511" t="str">
        <f>"FARMÁCIA INDIANA LJ 110 (10048)"</f>
        <v>FARMÁCIA INDIANA LJ 110 (10048)</v>
      </c>
      <c r="S511" t="s">
        <v>37</v>
      </c>
      <c r="T511">
        <v>30108</v>
      </c>
      <c r="U511">
        <v>33604</v>
      </c>
      <c r="V511" t="s">
        <v>37</v>
      </c>
    </row>
    <row r="512" spans="1:22">
      <c r="A512" t="str">
        <f t="shared" si="133"/>
        <v>05/03/2026</v>
      </c>
      <c r="B512" t="str">
        <f t="shared" si="128"/>
        <v>SAÍDA</v>
      </c>
      <c r="C512" t="str">
        <f t="shared" si="131"/>
        <v>PIX</v>
      </c>
      <c r="D512" t="str">
        <f>"33605"</f>
        <v>33605</v>
      </c>
      <c r="E512" t="str">
        <f t="shared" si="134"/>
        <v>1</v>
      </c>
      <c r="F512" t="str">
        <f t="shared" si="130"/>
        <v>COM</v>
      </c>
      <c r="G512" t="str">
        <f>"DANILO WASHINGTON DOS SANTOS (770)"</f>
        <v>DANILO WASHINGTON DOS SANTOS (770)</v>
      </c>
      <c r="H512" t="str">
        <f>"Serv.Prest. 16/02/2026 a 22/02/2026 - PIX: CELULAR - CHAVE: (33) 98749-5105"</f>
        <v>Serv.Prest. 16/02/2026 a 22/02/2026 - PIX: CELULAR - CHAVE: (33) 98749-5105</v>
      </c>
      <c r="I512" t="str">
        <f t="shared" si="129"/>
        <v>05/03/2026</v>
      </c>
      <c r="J512" t="str">
        <f t="shared" si="132"/>
        <v>24/02/2026</v>
      </c>
      <c r="K512" t="str">
        <f>("05/03/2026")</f>
        <v>05/03/2026</v>
      </c>
      <c r="L512">
        <v>1530</v>
      </c>
      <c r="M512">
        <v>1530</v>
      </c>
      <c r="N512">
        <v>109</v>
      </c>
      <c r="O512" t="str">
        <f>"PAGAMENTO DE ENTREGADORES"</f>
        <v>PAGAMENTO DE ENTREGADORES</v>
      </c>
      <c r="P512">
        <v>1530</v>
      </c>
      <c r="S512" t="str">
        <f>"BANCO C6 (149)"</f>
        <v>BANCO C6 (149)</v>
      </c>
      <c r="T512">
        <v>30109</v>
      </c>
      <c r="U512">
        <v>33605</v>
      </c>
      <c r="V512" t="s">
        <v>37</v>
      </c>
    </row>
    <row r="513" spans="1:22">
      <c r="A513" t="str">
        <f t="shared" si="133"/>
        <v>05/03/2026</v>
      </c>
      <c r="B513" t="str">
        <f t="shared" ref="B513:B576" si="135">"SAÍDA"</f>
        <v>SAÍDA</v>
      </c>
      <c r="C513" t="str">
        <f t="shared" si="131"/>
        <v>PIX</v>
      </c>
      <c r="D513" t="str">
        <f>"33605"</f>
        <v>33605</v>
      </c>
      <c r="E513" t="str">
        <f t="shared" si="134"/>
        <v>1</v>
      </c>
      <c r="F513" t="str">
        <f t="shared" si="130"/>
        <v>COM</v>
      </c>
      <c r="G513" t="str">
        <f>"DANILO WASHINGTON DOS SANTOS (770)"</f>
        <v>DANILO WASHINGTON DOS SANTOS (770)</v>
      </c>
      <c r="H513" t="s">
        <v>189</v>
      </c>
      <c r="I513" t="str">
        <f t="shared" ref="I513:I576" si="136">("05/03/2026")</f>
        <v>05/03/2026</v>
      </c>
      <c r="J513" t="str">
        <f t="shared" si="132"/>
        <v>24/02/2026</v>
      </c>
      <c r="K513">
        <v>46086</v>
      </c>
      <c r="N513">
        <v>109</v>
      </c>
      <c r="O513" t="s">
        <v>27</v>
      </c>
      <c r="Q513">
        <v>1530</v>
      </c>
      <c r="R513" t="str">
        <f>"FARMÁCIA INDIANA LJ 07 (10007)"</f>
        <v>FARMÁCIA INDIANA LJ 07 (10007)</v>
      </c>
      <c r="S513" t="s">
        <v>37</v>
      </c>
      <c r="T513">
        <v>30109</v>
      </c>
      <c r="U513">
        <v>33605</v>
      </c>
      <c r="V513" t="s">
        <v>37</v>
      </c>
    </row>
    <row r="514" spans="1:22">
      <c r="A514" t="str">
        <f t="shared" si="133"/>
        <v>05/03/2026</v>
      </c>
      <c r="B514" t="str">
        <f t="shared" si="135"/>
        <v>SAÍDA</v>
      </c>
      <c r="C514" t="str">
        <f t="shared" si="131"/>
        <v>PIX</v>
      </c>
      <c r="D514" t="str">
        <f>"33606"</f>
        <v>33606</v>
      </c>
      <c r="E514" t="str">
        <f t="shared" si="134"/>
        <v>1</v>
      </c>
      <c r="F514" t="str">
        <f t="shared" ref="F514:F577" si="137">"COM"</f>
        <v>COM</v>
      </c>
      <c r="G514" t="str">
        <f>"DANTE SOARES DA SILVA (416)"</f>
        <v>DANTE SOARES DA SILVA (416)</v>
      </c>
      <c r="H514" t="str">
        <f>"Serv.Prest. 16/02/2026 a 22/02/2026 - PIX: CELULAR - CHAVE: (33) 99802-1883"</f>
        <v>Serv.Prest. 16/02/2026 a 22/02/2026 - PIX: CELULAR - CHAVE: (33) 99802-1883</v>
      </c>
      <c r="I514" t="str">
        <f t="shared" si="136"/>
        <v>05/03/2026</v>
      </c>
      <c r="J514" t="str">
        <f t="shared" si="132"/>
        <v>24/02/2026</v>
      </c>
      <c r="K514" t="str">
        <f>("05/03/2026")</f>
        <v>05/03/2026</v>
      </c>
      <c r="L514">
        <v>671.3</v>
      </c>
      <c r="M514">
        <v>671.3</v>
      </c>
      <c r="N514">
        <v>109</v>
      </c>
      <c r="O514" t="str">
        <f>"PAGAMENTO DE ENTREGADORES"</f>
        <v>PAGAMENTO DE ENTREGADORES</v>
      </c>
      <c r="P514">
        <v>671.3</v>
      </c>
      <c r="S514" t="str">
        <f>"BANCO C6 (149)"</f>
        <v>BANCO C6 (149)</v>
      </c>
      <c r="T514">
        <v>30110</v>
      </c>
      <c r="U514">
        <v>33606</v>
      </c>
      <c r="V514" t="s">
        <v>37</v>
      </c>
    </row>
    <row r="515" spans="1:22">
      <c r="A515" t="str">
        <f t="shared" si="133"/>
        <v>05/03/2026</v>
      </c>
      <c r="B515" t="str">
        <f t="shared" si="135"/>
        <v>SAÍDA</v>
      </c>
      <c r="C515" t="str">
        <f t="shared" ref="C515:C578" si="138">"PIX"</f>
        <v>PIX</v>
      </c>
      <c r="D515" t="str">
        <f>"33606"</f>
        <v>33606</v>
      </c>
      <c r="E515" t="str">
        <f t="shared" si="134"/>
        <v>1</v>
      </c>
      <c r="F515" t="str">
        <f t="shared" si="137"/>
        <v>COM</v>
      </c>
      <c r="G515" t="str">
        <f>"DANTE SOARES DA SILVA (416)"</f>
        <v>DANTE SOARES DA SILVA (416)</v>
      </c>
      <c r="H515" t="s">
        <v>190</v>
      </c>
      <c r="I515" t="str">
        <f t="shared" si="136"/>
        <v>05/03/2026</v>
      </c>
      <c r="J515" t="str">
        <f t="shared" si="132"/>
        <v>24/02/2026</v>
      </c>
      <c r="K515">
        <v>46086</v>
      </c>
      <c r="N515">
        <v>109</v>
      </c>
      <c r="O515" t="s">
        <v>27</v>
      </c>
      <c r="Q515">
        <v>671.3</v>
      </c>
      <c r="R515" t="str">
        <f>"FARMÁCIA INDIANA LJ 59 (10026)"</f>
        <v>FARMÁCIA INDIANA LJ 59 (10026)</v>
      </c>
      <c r="S515" t="s">
        <v>37</v>
      </c>
      <c r="T515">
        <v>30110</v>
      </c>
      <c r="U515">
        <v>33606</v>
      </c>
      <c r="V515" t="s">
        <v>37</v>
      </c>
    </row>
    <row r="516" spans="1:22">
      <c r="A516" t="str">
        <f t="shared" si="133"/>
        <v>05/03/2026</v>
      </c>
      <c r="B516" t="str">
        <f t="shared" si="135"/>
        <v>SAÍDA</v>
      </c>
      <c r="C516" t="str">
        <f t="shared" si="138"/>
        <v>PIX</v>
      </c>
      <c r="D516" t="str">
        <f>"33607"</f>
        <v>33607</v>
      </c>
      <c r="E516" t="str">
        <f t="shared" si="134"/>
        <v>1</v>
      </c>
      <c r="F516" t="str">
        <f t="shared" si="137"/>
        <v>COM</v>
      </c>
      <c r="G516" t="str">
        <f>"DEVANILDO PONTES CASAGRANDE (179)"</f>
        <v>DEVANILDO PONTES CASAGRANDE (179)</v>
      </c>
      <c r="H516" t="str">
        <f>"Serv.Prest. 16/02/2026 a 22/02/2026 - PIX: CELULAR - CHAVE: (31) 99610-7049"</f>
        <v>Serv.Prest. 16/02/2026 a 22/02/2026 - PIX: CELULAR - CHAVE: (31) 99610-7049</v>
      </c>
      <c r="I516" t="str">
        <f t="shared" si="136"/>
        <v>05/03/2026</v>
      </c>
      <c r="J516" t="str">
        <f t="shared" si="132"/>
        <v>24/02/2026</v>
      </c>
      <c r="K516" t="str">
        <f>("05/03/2026")</f>
        <v>05/03/2026</v>
      </c>
      <c r="L516">
        <v>984</v>
      </c>
      <c r="M516">
        <v>984</v>
      </c>
      <c r="N516">
        <v>109</v>
      </c>
      <c r="O516" t="str">
        <f>"PAGAMENTO DE ENTREGADORES"</f>
        <v>PAGAMENTO DE ENTREGADORES</v>
      </c>
      <c r="P516">
        <v>984</v>
      </c>
      <c r="S516" t="str">
        <f>"BANCO C6 (149)"</f>
        <v>BANCO C6 (149)</v>
      </c>
      <c r="T516">
        <v>30111</v>
      </c>
      <c r="U516">
        <v>33607</v>
      </c>
      <c r="V516" t="s">
        <v>37</v>
      </c>
    </row>
    <row r="517" spans="1:22">
      <c r="A517" t="str">
        <f t="shared" si="133"/>
        <v>05/03/2026</v>
      </c>
      <c r="B517" t="str">
        <f t="shared" si="135"/>
        <v>SAÍDA</v>
      </c>
      <c r="C517" t="str">
        <f t="shared" si="138"/>
        <v>PIX</v>
      </c>
      <c r="D517" t="str">
        <f>"33607"</f>
        <v>33607</v>
      </c>
      <c r="E517" t="str">
        <f t="shared" si="134"/>
        <v>1</v>
      </c>
      <c r="F517" t="str">
        <f t="shared" si="137"/>
        <v>COM</v>
      </c>
      <c r="G517" t="str">
        <f>"DEVANILDO PONTES CASAGRANDE (179)"</f>
        <v>DEVANILDO PONTES CASAGRANDE (179)</v>
      </c>
      <c r="H517" t="s">
        <v>191</v>
      </c>
      <c r="I517" t="str">
        <f t="shared" si="136"/>
        <v>05/03/2026</v>
      </c>
      <c r="J517" t="str">
        <f t="shared" si="132"/>
        <v>24/02/2026</v>
      </c>
      <c r="K517">
        <v>46086</v>
      </c>
      <c r="N517">
        <v>109</v>
      </c>
      <c r="O517" t="s">
        <v>27</v>
      </c>
      <c r="Q517">
        <v>984</v>
      </c>
      <c r="R517" t="str">
        <f>"FARMÁCIA INDIANA LJ 142 (10066)"</f>
        <v>FARMÁCIA INDIANA LJ 142 (10066)</v>
      </c>
      <c r="S517" t="s">
        <v>37</v>
      </c>
      <c r="T517">
        <v>30111</v>
      </c>
      <c r="U517">
        <v>33607</v>
      </c>
      <c r="V517" t="s">
        <v>37</v>
      </c>
    </row>
    <row r="518" spans="1:22">
      <c r="A518" t="str">
        <f t="shared" si="133"/>
        <v>05/03/2026</v>
      </c>
      <c r="B518" t="str">
        <f t="shared" si="135"/>
        <v>SAÍDA</v>
      </c>
      <c r="C518" t="str">
        <f t="shared" si="138"/>
        <v>PIX</v>
      </c>
      <c r="D518" t="str">
        <f>"33608"</f>
        <v>33608</v>
      </c>
      <c r="E518" t="str">
        <f t="shared" si="134"/>
        <v>1</v>
      </c>
      <c r="F518" t="str">
        <f t="shared" si="137"/>
        <v>COM</v>
      </c>
      <c r="G518" t="str">
        <f>"DIEGO DAYSON FERNANDES VIEIRA (893)"</f>
        <v>DIEGO DAYSON FERNANDES VIEIRA (893)</v>
      </c>
      <c r="H518" t="str">
        <f>"Serv.Prest. 16/02/2026 a 22/02/2026 - PIX: E-MAIL - CHAVE: turano296801@gmail.com"</f>
        <v>Serv.Prest. 16/02/2026 a 22/02/2026 - PIX: E-MAIL - CHAVE: turano296801@gmail.com</v>
      </c>
      <c r="I518" t="str">
        <f t="shared" si="136"/>
        <v>05/03/2026</v>
      </c>
      <c r="J518" t="str">
        <f t="shared" si="132"/>
        <v>24/02/2026</v>
      </c>
      <c r="K518" t="str">
        <f>("05/03/2026")</f>
        <v>05/03/2026</v>
      </c>
      <c r="L518">
        <v>800</v>
      </c>
      <c r="M518">
        <v>800</v>
      </c>
      <c r="N518">
        <v>109</v>
      </c>
      <c r="O518" t="str">
        <f>"PAGAMENTO DE ENTREGADORES"</f>
        <v>PAGAMENTO DE ENTREGADORES</v>
      </c>
      <c r="P518">
        <v>800</v>
      </c>
      <c r="S518" t="str">
        <f>"BANCO C6 (149)"</f>
        <v>BANCO C6 (149)</v>
      </c>
      <c r="T518">
        <v>30112</v>
      </c>
      <c r="U518">
        <v>33608</v>
      </c>
      <c r="V518" t="s">
        <v>37</v>
      </c>
    </row>
    <row r="519" spans="1:22">
      <c r="A519" t="str">
        <f t="shared" si="133"/>
        <v>05/03/2026</v>
      </c>
      <c r="B519" t="str">
        <f t="shared" si="135"/>
        <v>SAÍDA</v>
      </c>
      <c r="C519" t="str">
        <f t="shared" si="138"/>
        <v>PIX</v>
      </c>
      <c r="D519" t="str">
        <f>"33608"</f>
        <v>33608</v>
      </c>
      <c r="E519" t="str">
        <f t="shared" si="134"/>
        <v>1</v>
      </c>
      <c r="F519" t="str">
        <f t="shared" si="137"/>
        <v>COM</v>
      </c>
      <c r="G519" t="str">
        <f>"DIEGO DAYSON FERNANDES VIEIRA (893)"</f>
        <v>DIEGO DAYSON FERNANDES VIEIRA (893)</v>
      </c>
      <c r="H519" t="s">
        <v>192</v>
      </c>
      <c r="I519" t="str">
        <f t="shared" si="136"/>
        <v>05/03/2026</v>
      </c>
      <c r="J519" t="str">
        <f t="shared" si="132"/>
        <v>24/02/2026</v>
      </c>
      <c r="K519">
        <v>46086</v>
      </c>
      <c r="N519">
        <v>109</v>
      </c>
      <c r="O519" t="s">
        <v>27</v>
      </c>
      <c r="Q519">
        <v>800</v>
      </c>
      <c r="R519" t="str">
        <f>"FARMÁCIA INDIANA LJ 205 (10150)"</f>
        <v>FARMÁCIA INDIANA LJ 205 (10150)</v>
      </c>
      <c r="S519" t="s">
        <v>37</v>
      </c>
      <c r="T519">
        <v>30112</v>
      </c>
      <c r="U519">
        <v>33608</v>
      </c>
      <c r="V519" t="s">
        <v>37</v>
      </c>
    </row>
    <row r="520" spans="1:22">
      <c r="A520" t="str">
        <f t="shared" si="133"/>
        <v>05/03/2026</v>
      </c>
      <c r="B520" t="str">
        <f t="shared" si="135"/>
        <v>SAÍDA</v>
      </c>
      <c r="C520" t="str">
        <f t="shared" si="138"/>
        <v>PIX</v>
      </c>
      <c r="D520" t="str">
        <f>"33609"</f>
        <v>33609</v>
      </c>
      <c r="E520" t="str">
        <f t="shared" si="134"/>
        <v>1</v>
      </c>
      <c r="F520" t="str">
        <f t="shared" si="137"/>
        <v>COM</v>
      </c>
      <c r="G520" t="str">
        <f>"DIEGO DIRLEY RIBEIRO (38)"</f>
        <v>DIEGO DIRLEY RIBEIRO (38)</v>
      </c>
      <c r="H520" t="str">
        <f>"Serv.Prest. 16/02/2026 a 22/02/2026 - PIX: CHAVE ALEATÓRIA - CHAVE: fa1cc12c-4f59-4ff9-b237-7274b08cf38e"</f>
        <v>Serv.Prest. 16/02/2026 a 22/02/2026 - PIX: CHAVE ALEATÓRIA - CHAVE: fa1cc12c-4f59-4ff9-b237-7274b08cf38e</v>
      </c>
      <c r="I520" t="str">
        <f t="shared" si="136"/>
        <v>05/03/2026</v>
      </c>
      <c r="J520" t="str">
        <f t="shared" si="132"/>
        <v>24/02/2026</v>
      </c>
      <c r="K520" t="str">
        <f>("05/03/2026")</f>
        <v>05/03/2026</v>
      </c>
      <c r="L520">
        <v>1356</v>
      </c>
      <c r="M520">
        <v>1356</v>
      </c>
      <c r="N520">
        <v>109</v>
      </c>
      <c r="O520" t="str">
        <f>"PAGAMENTO DE ENTREGADORES"</f>
        <v>PAGAMENTO DE ENTREGADORES</v>
      </c>
      <c r="P520">
        <v>1356</v>
      </c>
      <c r="S520" t="str">
        <f>"BANCO C6 (149)"</f>
        <v>BANCO C6 (149)</v>
      </c>
      <c r="T520">
        <v>30113</v>
      </c>
      <c r="U520">
        <v>33609</v>
      </c>
      <c r="V520" t="s">
        <v>37</v>
      </c>
    </row>
    <row r="521" spans="1:22">
      <c r="A521" t="str">
        <f t="shared" si="133"/>
        <v>05/03/2026</v>
      </c>
      <c r="B521" t="str">
        <f t="shared" si="135"/>
        <v>SAÍDA</v>
      </c>
      <c r="C521" t="str">
        <f t="shared" si="138"/>
        <v>PIX</v>
      </c>
      <c r="D521" t="str">
        <f>"33609"</f>
        <v>33609</v>
      </c>
      <c r="E521" t="str">
        <f t="shared" si="134"/>
        <v>1</v>
      </c>
      <c r="F521" t="str">
        <f t="shared" si="137"/>
        <v>COM</v>
      </c>
      <c r="G521" t="str">
        <f>"DIEGO DIRLEY RIBEIRO (38)"</f>
        <v>DIEGO DIRLEY RIBEIRO (38)</v>
      </c>
      <c r="H521" t="s">
        <v>193</v>
      </c>
      <c r="I521" t="str">
        <f t="shared" si="136"/>
        <v>05/03/2026</v>
      </c>
      <c r="J521" t="str">
        <f t="shared" si="132"/>
        <v>24/02/2026</v>
      </c>
      <c r="K521">
        <v>46086</v>
      </c>
      <c r="N521">
        <v>109</v>
      </c>
      <c r="O521" t="s">
        <v>27</v>
      </c>
      <c r="Q521">
        <v>1356</v>
      </c>
      <c r="R521" t="str">
        <f>"FARMÁCIA INDIANA LJ 172 (10161)"</f>
        <v>FARMÁCIA INDIANA LJ 172 (10161)</v>
      </c>
      <c r="S521" t="s">
        <v>37</v>
      </c>
      <c r="T521">
        <v>30113</v>
      </c>
      <c r="U521">
        <v>33609</v>
      </c>
      <c r="V521" t="s">
        <v>37</v>
      </c>
    </row>
    <row r="522" spans="1:22">
      <c r="A522" t="str">
        <f t="shared" si="133"/>
        <v>05/03/2026</v>
      </c>
      <c r="B522" t="str">
        <f t="shared" si="135"/>
        <v>SAÍDA</v>
      </c>
      <c r="C522" t="str">
        <f t="shared" si="138"/>
        <v>PIX</v>
      </c>
      <c r="D522" t="str">
        <f>"33610"</f>
        <v>33610</v>
      </c>
      <c r="E522" t="str">
        <f t="shared" si="134"/>
        <v>1</v>
      </c>
      <c r="F522" t="str">
        <f t="shared" si="137"/>
        <v>COM</v>
      </c>
      <c r="G522" t="str">
        <f>"DIEGO FAUSTINO DA SILVA (1076)"</f>
        <v>DIEGO FAUSTINO DA SILVA (1076)</v>
      </c>
      <c r="H522" t="str">
        <f>"Serv.Prest. 16/02/2026 a 22/02/2026 - PIX: CELULAR - CHAVE: (33) 99874-0376"</f>
        <v>Serv.Prest. 16/02/2026 a 22/02/2026 - PIX: CELULAR - CHAVE: (33) 99874-0376</v>
      </c>
      <c r="I522" t="str">
        <f t="shared" si="136"/>
        <v>05/03/2026</v>
      </c>
      <c r="J522" t="str">
        <f t="shared" si="132"/>
        <v>24/02/2026</v>
      </c>
      <c r="K522" t="str">
        <f>("05/03/2026")</f>
        <v>05/03/2026</v>
      </c>
      <c r="L522">
        <v>762</v>
      </c>
      <c r="M522">
        <v>762</v>
      </c>
      <c r="N522">
        <v>109</v>
      </c>
      <c r="O522" t="str">
        <f>"PAGAMENTO DE ENTREGADORES"</f>
        <v>PAGAMENTO DE ENTREGADORES</v>
      </c>
      <c r="P522">
        <v>762</v>
      </c>
      <c r="S522" t="str">
        <f>"BANCO C6 (149)"</f>
        <v>BANCO C6 (149)</v>
      </c>
      <c r="T522">
        <v>30114</v>
      </c>
      <c r="U522">
        <v>33610</v>
      </c>
      <c r="V522" t="s">
        <v>37</v>
      </c>
    </row>
    <row r="523" spans="1:22">
      <c r="A523" t="str">
        <f t="shared" si="133"/>
        <v>05/03/2026</v>
      </c>
      <c r="B523" t="str">
        <f t="shared" si="135"/>
        <v>SAÍDA</v>
      </c>
      <c r="C523" t="str">
        <f t="shared" si="138"/>
        <v>PIX</v>
      </c>
      <c r="D523" t="str">
        <f>"33610"</f>
        <v>33610</v>
      </c>
      <c r="E523" t="str">
        <f t="shared" si="134"/>
        <v>1</v>
      </c>
      <c r="F523" t="str">
        <f t="shared" si="137"/>
        <v>COM</v>
      </c>
      <c r="G523" t="str">
        <f>"DIEGO FAUSTINO DA SILVA (1076)"</f>
        <v>DIEGO FAUSTINO DA SILVA (1076)</v>
      </c>
      <c r="H523" t="s">
        <v>194</v>
      </c>
      <c r="I523" t="str">
        <f t="shared" si="136"/>
        <v>05/03/2026</v>
      </c>
      <c r="J523" t="str">
        <f t="shared" si="132"/>
        <v>24/02/2026</v>
      </c>
      <c r="K523">
        <v>46086</v>
      </c>
      <c r="N523">
        <v>109</v>
      </c>
      <c r="O523" t="s">
        <v>27</v>
      </c>
      <c r="Q523">
        <v>762</v>
      </c>
      <c r="R523" t="str">
        <f>"FARMÁCIA INDIANA LJ 152 (10069)"</f>
        <v>FARMÁCIA INDIANA LJ 152 (10069)</v>
      </c>
      <c r="S523" t="s">
        <v>37</v>
      </c>
      <c r="T523">
        <v>30114</v>
      </c>
      <c r="U523">
        <v>33610</v>
      </c>
      <c r="V523" t="s">
        <v>37</v>
      </c>
    </row>
    <row r="524" spans="1:22">
      <c r="A524" t="str">
        <f t="shared" si="133"/>
        <v>05/03/2026</v>
      </c>
      <c r="B524" t="str">
        <f t="shared" si="135"/>
        <v>SAÍDA</v>
      </c>
      <c r="C524" t="str">
        <f t="shared" si="138"/>
        <v>PIX</v>
      </c>
      <c r="D524" t="str">
        <f>"33611"</f>
        <v>33611</v>
      </c>
      <c r="E524" t="str">
        <f t="shared" si="134"/>
        <v>1</v>
      </c>
      <c r="F524" t="str">
        <f t="shared" si="137"/>
        <v>COM</v>
      </c>
      <c r="G524" t="str">
        <f>"DIONE OLIVEIRA SILVA (214)"</f>
        <v>DIONE OLIVEIRA SILVA (214)</v>
      </c>
      <c r="H524" t="str">
        <f>"Serv.Prest. 16/02/2026 a 22/02/2026 - PIX: CELULAR - CHAVE: (33) 98890-5095"</f>
        <v>Serv.Prest. 16/02/2026 a 22/02/2026 - PIX: CELULAR - CHAVE: (33) 98890-5095</v>
      </c>
      <c r="I524" t="str">
        <f t="shared" si="136"/>
        <v>05/03/2026</v>
      </c>
      <c r="J524" t="str">
        <f t="shared" si="132"/>
        <v>24/02/2026</v>
      </c>
      <c r="K524" t="str">
        <f>("05/03/2026")</f>
        <v>05/03/2026</v>
      </c>
      <c r="L524">
        <v>1266</v>
      </c>
      <c r="M524">
        <v>1266</v>
      </c>
      <c r="N524">
        <v>109</v>
      </c>
      <c r="O524" t="str">
        <f>"PAGAMENTO DE ENTREGADORES"</f>
        <v>PAGAMENTO DE ENTREGADORES</v>
      </c>
      <c r="P524">
        <v>1266</v>
      </c>
      <c r="S524" t="str">
        <f>"BANCO C6 (149)"</f>
        <v>BANCO C6 (149)</v>
      </c>
      <c r="T524">
        <v>30115</v>
      </c>
      <c r="U524">
        <v>33611</v>
      </c>
      <c r="V524" t="s">
        <v>37</v>
      </c>
    </row>
    <row r="525" spans="1:22">
      <c r="A525" t="str">
        <f t="shared" si="133"/>
        <v>05/03/2026</v>
      </c>
      <c r="B525" t="str">
        <f t="shared" si="135"/>
        <v>SAÍDA</v>
      </c>
      <c r="C525" t="str">
        <f t="shared" si="138"/>
        <v>PIX</v>
      </c>
      <c r="D525" t="str">
        <f>"33611"</f>
        <v>33611</v>
      </c>
      <c r="E525" t="str">
        <f t="shared" si="134"/>
        <v>1</v>
      </c>
      <c r="F525" t="str">
        <f t="shared" si="137"/>
        <v>COM</v>
      </c>
      <c r="G525" t="str">
        <f>"DIONE OLIVEIRA SILVA (214)"</f>
        <v>DIONE OLIVEIRA SILVA (214)</v>
      </c>
      <c r="H525" t="s">
        <v>195</v>
      </c>
      <c r="I525" t="str">
        <f t="shared" si="136"/>
        <v>05/03/2026</v>
      </c>
      <c r="J525" t="str">
        <f t="shared" si="132"/>
        <v>24/02/2026</v>
      </c>
      <c r="K525">
        <v>46086</v>
      </c>
      <c r="N525">
        <v>109</v>
      </c>
      <c r="O525" t="s">
        <v>27</v>
      </c>
      <c r="Q525">
        <v>1266</v>
      </c>
      <c r="R525" t="str">
        <f>"FARMÁCIA INDIANA LJ 14 (10009)"</f>
        <v>FARMÁCIA INDIANA LJ 14 (10009)</v>
      </c>
      <c r="S525" t="s">
        <v>37</v>
      </c>
      <c r="T525">
        <v>30115</v>
      </c>
      <c r="U525">
        <v>33611</v>
      </c>
      <c r="V525" t="s">
        <v>37</v>
      </c>
    </row>
    <row r="526" spans="1:22">
      <c r="A526" t="str">
        <f t="shared" si="133"/>
        <v>05/03/2026</v>
      </c>
      <c r="B526" t="str">
        <f t="shared" si="135"/>
        <v>SAÍDA</v>
      </c>
      <c r="C526" t="str">
        <f t="shared" si="138"/>
        <v>PIX</v>
      </c>
      <c r="D526" t="str">
        <f>"33612"</f>
        <v>33612</v>
      </c>
      <c r="E526" t="str">
        <f t="shared" si="134"/>
        <v>1</v>
      </c>
      <c r="F526" t="str">
        <f t="shared" si="137"/>
        <v>COM</v>
      </c>
      <c r="G526" t="str">
        <f>"EDIONIO CARVALHO DA SILVA (920)"</f>
        <v>EDIONIO CARVALHO DA SILVA (920)</v>
      </c>
      <c r="H526" t="str">
        <f>"Serv.Prest. 16/02/2026 a 22/02/2026 - PIX: CNPJ - CHAVE: 64.839.868/0001-62"</f>
        <v>Serv.Prest. 16/02/2026 a 22/02/2026 - PIX: CNPJ - CHAVE: 64.839.868/0001-62</v>
      </c>
      <c r="I526" t="str">
        <f t="shared" si="136"/>
        <v>05/03/2026</v>
      </c>
      <c r="J526" t="str">
        <f t="shared" si="132"/>
        <v>24/02/2026</v>
      </c>
      <c r="K526" t="str">
        <f>("05/03/2026")</f>
        <v>05/03/2026</v>
      </c>
      <c r="L526">
        <v>750</v>
      </c>
      <c r="M526">
        <v>750</v>
      </c>
      <c r="N526">
        <v>109</v>
      </c>
      <c r="O526" t="str">
        <f>"PAGAMENTO DE ENTREGADORES"</f>
        <v>PAGAMENTO DE ENTREGADORES</v>
      </c>
      <c r="P526">
        <v>750</v>
      </c>
      <c r="S526" t="str">
        <f>"BANCO C6 (149)"</f>
        <v>BANCO C6 (149)</v>
      </c>
      <c r="T526">
        <v>30116</v>
      </c>
      <c r="U526">
        <v>33612</v>
      </c>
      <c r="V526" t="s">
        <v>37</v>
      </c>
    </row>
    <row r="527" spans="1:22">
      <c r="A527" t="str">
        <f t="shared" si="133"/>
        <v>05/03/2026</v>
      </c>
      <c r="B527" t="str">
        <f t="shared" si="135"/>
        <v>SAÍDA</v>
      </c>
      <c r="C527" t="str">
        <f t="shared" si="138"/>
        <v>PIX</v>
      </c>
      <c r="D527" t="str">
        <f>"33612"</f>
        <v>33612</v>
      </c>
      <c r="E527" t="str">
        <f t="shared" si="134"/>
        <v>1</v>
      </c>
      <c r="F527" t="str">
        <f t="shared" si="137"/>
        <v>COM</v>
      </c>
      <c r="G527" t="str">
        <f>"EDIONIO CARVALHO DA SILVA (920)"</f>
        <v>EDIONIO CARVALHO DA SILVA (920)</v>
      </c>
      <c r="H527" t="s">
        <v>196</v>
      </c>
      <c r="I527" t="str">
        <f t="shared" si="136"/>
        <v>05/03/2026</v>
      </c>
      <c r="J527" t="str">
        <f t="shared" si="132"/>
        <v>24/02/2026</v>
      </c>
      <c r="K527">
        <v>46086</v>
      </c>
      <c r="N527">
        <v>109</v>
      </c>
      <c r="O527" t="s">
        <v>27</v>
      </c>
      <c r="Q527">
        <v>750</v>
      </c>
      <c r="R527" t="str">
        <f>"FARMÁCIA INDIANA LJ 171 (10074)"</f>
        <v>FARMÁCIA INDIANA LJ 171 (10074)</v>
      </c>
      <c r="S527" t="s">
        <v>37</v>
      </c>
      <c r="T527">
        <v>30116</v>
      </c>
      <c r="U527">
        <v>33612</v>
      </c>
      <c r="V527" t="s">
        <v>37</v>
      </c>
    </row>
    <row r="528" spans="1:22">
      <c r="A528" t="str">
        <f t="shared" si="133"/>
        <v>05/03/2026</v>
      </c>
      <c r="B528" t="str">
        <f t="shared" si="135"/>
        <v>SAÍDA</v>
      </c>
      <c r="C528" t="str">
        <f t="shared" si="138"/>
        <v>PIX</v>
      </c>
      <c r="D528" t="str">
        <f>"33613"</f>
        <v>33613</v>
      </c>
      <c r="E528" t="str">
        <f t="shared" si="134"/>
        <v>1</v>
      </c>
      <c r="F528" t="str">
        <f t="shared" si="137"/>
        <v>COM</v>
      </c>
      <c r="G528" t="str">
        <f>"EDSON JUNIOR FERREIRA DA SILVA (99)"</f>
        <v>EDSON JUNIOR FERREIRA DA SILVA (99)</v>
      </c>
      <c r="H528" t="str">
        <f>"Serv.Prest. 16/02/2026 a 22/02/2026 - PIX: CPF - CHAVE: 141.134.256-98"</f>
        <v>Serv.Prest. 16/02/2026 a 22/02/2026 - PIX: CPF - CHAVE: 141.134.256-98</v>
      </c>
      <c r="I528" t="str">
        <f t="shared" si="136"/>
        <v>05/03/2026</v>
      </c>
      <c r="J528" t="str">
        <f t="shared" si="132"/>
        <v>24/02/2026</v>
      </c>
      <c r="K528" t="str">
        <f>("05/03/2026")</f>
        <v>05/03/2026</v>
      </c>
      <c r="L528">
        <v>700.7</v>
      </c>
      <c r="M528">
        <v>700.7</v>
      </c>
      <c r="N528">
        <v>109</v>
      </c>
      <c r="O528" t="str">
        <f>"PAGAMENTO DE ENTREGADORES"</f>
        <v>PAGAMENTO DE ENTREGADORES</v>
      </c>
      <c r="P528">
        <v>700.7</v>
      </c>
      <c r="S528" t="str">
        <f>"BANCO C6 (149)"</f>
        <v>BANCO C6 (149)</v>
      </c>
      <c r="T528">
        <v>30117</v>
      </c>
      <c r="U528">
        <v>33613</v>
      </c>
      <c r="V528" t="s">
        <v>37</v>
      </c>
    </row>
    <row r="529" spans="1:22">
      <c r="A529" t="str">
        <f t="shared" si="133"/>
        <v>05/03/2026</v>
      </c>
      <c r="B529" t="str">
        <f t="shared" si="135"/>
        <v>SAÍDA</v>
      </c>
      <c r="C529" t="str">
        <f t="shared" si="138"/>
        <v>PIX</v>
      </c>
      <c r="D529" t="str">
        <f>"33613"</f>
        <v>33613</v>
      </c>
      <c r="E529" t="str">
        <f t="shared" si="134"/>
        <v>1</v>
      </c>
      <c r="F529" t="str">
        <f t="shared" si="137"/>
        <v>COM</v>
      </c>
      <c r="G529" t="str">
        <f>"EDSON JUNIOR FERREIRA DA SILVA (99)"</f>
        <v>EDSON JUNIOR FERREIRA DA SILVA (99)</v>
      </c>
      <c r="H529" t="s">
        <v>197</v>
      </c>
      <c r="I529" t="str">
        <f t="shared" si="136"/>
        <v>05/03/2026</v>
      </c>
      <c r="J529" t="str">
        <f t="shared" si="132"/>
        <v>24/02/2026</v>
      </c>
      <c r="K529">
        <v>46086</v>
      </c>
      <c r="N529">
        <v>109</v>
      </c>
      <c r="O529" t="s">
        <v>27</v>
      </c>
      <c r="Q529">
        <v>700.7</v>
      </c>
      <c r="R529" t="str">
        <f>"FARMÁCIA INDIANA LJ 100 (10042)"</f>
        <v>FARMÁCIA INDIANA LJ 100 (10042)</v>
      </c>
      <c r="S529" t="s">
        <v>37</v>
      </c>
      <c r="T529">
        <v>30117</v>
      </c>
      <c r="U529">
        <v>33613</v>
      </c>
      <c r="V529" t="s">
        <v>37</v>
      </c>
    </row>
    <row r="530" spans="1:22">
      <c r="A530" t="str">
        <f t="shared" si="133"/>
        <v>05/03/2026</v>
      </c>
      <c r="B530" t="str">
        <f t="shared" si="135"/>
        <v>SAÍDA</v>
      </c>
      <c r="C530" t="str">
        <f t="shared" si="138"/>
        <v>PIX</v>
      </c>
      <c r="D530" t="str">
        <f>"33614"</f>
        <v>33614</v>
      </c>
      <c r="E530" t="str">
        <f t="shared" si="134"/>
        <v>1</v>
      </c>
      <c r="F530" t="str">
        <f t="shared" si="137"/>
        <v>COM</v>
      </c>
      <c r="G530" t="str">
        <f>"EUDES PIMENTA (368)"</f>
        <v>EUDES PIMENTA (368)</v>
      </c>
      <c r="H530" t="str">
        <f>"Serv.Prest. 16/02/2026 a 22/02/2026 - PIX: CPF - CHAVE: 070.073.316-70"</f>
        <v>Serv.Prest. 16/02/2026 a 22/02/2026 - PIX: CPF - CHAVE: 070.073.316-70</v>
      </c>
      <c r="I530" t="str">
        <f t="shared" si="136"/>
        <v>05/03/2026</v>
      </c>
      <c r="J530" t="str">
        <f t="shared" si="132"/>
        <v>24/02/2026</v>
      </c>
      <c r="K530" t="str">
        <f>("05/03/2026")</f>
        <v>05/03/2026</v>
      </c>
      <c r="L530">
        <v>1080</v>
      </c>
      <c r="M530">
        <v>1080</v>
      </c>
      <c r="N530">
        <v>109</v>
      </c>
      <c r="O530" t="str">
        <f>"PAGAMENTO DE ENTREGADORES"</f>
        <v>PAGAMENTO DE ENTREGADORES</v>
      </c>
      <c r="P530">
        <v>1080</v>
      </c>
      <c r="S530" t="str">
        <f>"BANCO C6 (149)"</f>
        <v>BANCO C6 (149)</v>
      </c>
      <c r="T530">
        <v>30118</v>
      </c>
      <c r="U530">
        <v>33614</v>
      </c>
      <c r="V530" t="s">
        <v>37</v>
      </c>
    </row>
    <row r="531" spans="1:22">
      <c r="A531" t="str">
        <f t="shared" si="133"/>
        <v>05/03/2026</v>
      </c>
      <c r="B531" t="str">
        <f t="shared" si="135"/>
        <v>SAÍDA</v>
      </c>
      <c r="C531" t="str">
        <f t="shared" si="138"/>
        <v>PIX</v>
      </c>
      <c r="D531" t="str">
        <f>"33614"</f>
        <v>33614</v>
      </c>
      <c r="E531" t="str">
        <f t="shared" si="134"/>
        <v>1</v>
      </c>
      <c r="F531" t="str">
        <f t="shared" si="137"/>
        <v>COM</v>
      </c>
      <c r="G531" t="str">
        <f>"EUDES PIMENTA (368)"</f>
        <v>EUDES PIMENTA (368)</v>
      </c>
      <c r="H531" t="s">
        <v>198</v>
      </c>
      <c r="I531" t="str">
        <f t="shared" si="136"/>
        <v>05/03/2026</v>
      </c>
      <c r="J531" t="str">
        <f t="shared" si="132"/>
        <v>24/02/2026</v>
      </c>
      <c r="K531">
        <v>46086</v>
      </c>
      <c r="N531">
        <v>109</v>
      </c>
      <c r="O531" t="s">
        <v>27</v>
      </c>
      <c r="Q531">
        <v>1080</v>
      </c>
      <c r="R531" t="str">
        <f>"FARMÁCIA INDIANA LJ 06 (10006)"</f>
        <v>FARMÁCIA INDIANA LJ 06 (10006)</v>
      </c>
      <c r="S531" t="s">
        <v>37</v>
      </c>
      <c r="T531">
        <v>30118</v>
      </c>
      <c r="U531">
        <v>33614</v>
      </c>
      <c r="V531" t="s">
        <v>37</v>
      </c>
    </row>
    <row r="532" spans="1:22">
      <c r="A532" t="str">
        <f t="shared" si="133"/>
        <v>05/03/2026</v>
      </c>
      <c r="B532" t="str">
        <f t="shared" si="135"/>
        <v>SAÍDA</v>
      </c>
      <c r="C532" t="str">
        <f t="shared" si="138"/>
        <v>PIX</v>
      </c>
      <c r="D532" t="str">
        <f>"33615"</f>
        <v>33615</v>
      </c>
      <c r="E532" t="str">
        <f t="shared" si="134"/>
        <v>1</v>
      </c>
      <c r="F532" t="str">
        <f t="shared" si="137"/>
        <v>COM</v>
      </c>
      <c r="G532" t="str">
        <f>"EZEQUIEL CORREA DA SILVA (1093)"</f>
        <v>EZEQUIEL CORREA DA SILVA (1093)</v>
      </c>
      <c r="H532" t="str">
        <f>"Serv.Prest. 16/02/2026 a 22/02/2026 - PIX: E-MAIL - CHAVE: ezequielcorrea123@gmail.com"</f>
        <v>Serv.Prest. 16/02/2026 a 22/02/2026 - PIX: E-MAIL - CHAVE: ezequielcorrea123@gmail.com</v>
      </c>
      <c r="I532" t="str">
        <f t="shared" si="136"/>
        <v>05/03/2026</v>
      </c>
      <c r="J532" t="str">
        <f t="shared" si="132"/>
        <v>24/02/2026</v>
      </c>
      <c r="K532" t="str">
        <f>("05/03/2026")</f>
        <v>05/03/2026</v>
      </c>
      <c r="L532">
        <v>600</v>
      </c>
      <c r="M532">
        <v>600</v>
      </c>
      <c r="N532">
        <v>109</v>
      </c>
      <c r="O532" t="str">
        <f>"PAGAMENTO DE ENTREGADORES"</f>
        <v>PAGAMENTO DE ENTREGADORES</v>
      </c>
      <c r="P532">
        <v>600</v>
      </c>
      <c r="S532" t="str">
        <f>"BANCO C6 (149)"</f>
        <v>BANCO C6 (149)</v>
      </c>
      <c r="T532">
        <v>30119</v>
      </c>
      <c r="U532">
        <v>33615</v>
      </c>
      <c r="V532" t="s">
        <v>37</v>
      </c>
    </row>
    <row r="533" spans="1:22">
      <c r="A533" t="str">
        <f t="shared" si="133"/>
        <v>05/03/2026</v>
      </c>
      <c r="B533" t="str">
        <f t="shared" si="135"/>
        <v>SAÍDA</v>
      </c>
      <c r="C533" t="str">
        <f t="shared" si="138"/>
        <v>PIX</v>
      </c>
      <c r="D533" t="str">
        <f>"33615"</f>
        <v>33615</v>
      </c>
      <c r="E533" t="str">
        <f t="shared" si="134"/>
        <v>1</v>
      </c>
      <c r="F533" t="str">
        <f t="shared" si="137"/>
        <v>COM</v>
      </c>
      <c r="G533" t="str">
        <f>"EZEQUIEL CORREA DA SILVA (1093)"</f>
        <v>EZEQUIEL CORREA DA SILVA (1093)</v>
      </c>
      <c r="H533" t="s">
        <v>199</v>
      </c>
      <c r="I533" t="str">
        <f t="shared" si="136"/>
        <v>05/03/2026</v>
      </c>
      <c r="J533" t="str">
        <f t="shared" si="132"/>
        <v>24/02/2026</v>
      </c>
      <c r="K533">
        <v>46086</v>
      </c>
      <c r="N533">
        <v>109</v>
      </c>
      <c r="O533" t="s">
        <v>27</v>
      </c>
      <c r="Q533">
        <v>600</v>
      </c>
      <c r="R533" t="str">
        <f>"FARMÁCIA INDIANA LJ 64 (10029)"</f>
        <v>FARMÁCIA INDIANA LJ 64 (10029)</v>
      </c>
      <c r="S533" t="s">
        <v>37</v>
      </c>
      <c r="T533">
        <v>30119</v>
      </c>
      <c r="U533">
        <v>33615</v>
      </c>
      <c r="V533" t="s">
        <v>37</v>
      </c>
    </row>
    <row r="534" spans="1:22">
      <c r="A534" t="str">
        <f t="shared" si="133"/>
        <v>05/03/2026</v>
      </c>
      <c r="B534" t="str">
        <f t="shared" si="135"/>
        <v>SAÍDA</v>
      </c>
      <c r="C534" t="str">
        <f t="shared" si="138"/>
        <v>PIX</v>
      </c>
      <c r="D534" t="str">
        <f>"33616"</f>
        <v>33616</v>
      </c>
      <c r="E534" t="str">
        <f t="shared" si="134"/>
        <v>1</v>
      </c>
      <c r="F534" t="str">
        <f t="shared" si="137"/>
        <v>COM</v>
      </c>
      <c r="G534" t="str">
        <f>"FABRICIO RAMON SOARES SANTOS (645)"</f>
        <v>FABRICIO RAMON SOARES SANTOS (645)</v>
      </c>
      <c r="H534" t="str">
        <f>"Serv.Prest. 16/02/2026 a 22/02/2026 - PIX: CELULAR - CHAVE: (31) 98483-3242"</f>
        <v>Serv.Prest. 16/02/2026 a 22/02/2026 - PIX: CELULAR - CHAVE: (31) 98483-3242</v>
      </c>
      <c r="I534" t="str">
        <f t="shared" si="136"/>
        <v>05/03/2026</v>
      </c>
      <c r="J534" t="str">
        <f t="shared" ref="J534:J597" si="139">("24/02/2026")</f>
        <v>24/02/2026</v>
      </c>
      <c r="K534" t="str">
        <f>("05/03/2026")</f>
        <v>05/03/2026</v>
      </c>
      <c r="L534">
        <v>2100</v>
      </c>
      <c r="M534">
        <v>2100</v>
      </c>
      <c r="N534">
        <v>109</v>
      </c>
      <c r="O534" t="str">
        <f>"PAGAMENTO DE ENTREGADORES"</f>
        <v>PAGAMENTO DE ENTREGADORES</v>
      </c>
      <c r="P534">
        <v>2100</v>
      </c>
      <c r="S534" t="str">
        <f>"BANCO C6 (149)"</f>
        <v>BANCO C6 (149)</v>
      </c>
      <c r="T534">
        <v>30120</v>
      </c>
      <c r="U534">
        <v>33616</v>
      </c>
      <c r="V534" t="s">
        <v>37</v>
      </c>
    </row>
    <row r="535" spans="1:22">
      <c r="A535" t="str">
        <f t="shared" si="133"/>
        <v>05/03/2026</v>
      </c>
      <c r="B535" t="str">
        <f t="shared" si="135"/>
        <v>SAÍDA</v>
      </c>
      <c r="C535" t="str">
        <f t="shared" si="138"/>
        <v>PIX</v>
      </c>
      <c r="D535" t="str">
        <f>"33616"</f>
        <v>33616</v>
      </c>
      <c r="E535" t="str">
        <f t="shared" si="134"/>
        <v>1</v>
      </c>
      <c r="F535" t="str">
        <f t="shared" si="137"/>
        <v>COM</v>
      </c>
      <c r="G535" t="str">
        <f>"FABRICIO RAMON SOARES SANTOS (645)"</f>
        <v>FABRICIO RAMON SOARES SANTOS (645)</v>
      </c>
      <c r="H535" t="s">
        <v>200</v>
      </c>
      <c r="I535" t="str">
        <f t="shared" si="136"/>
        <v>05/03/2026</v>
      </c>
      <c r="J535" t="str">
        <f t="shared" si="139"/>
        <v>24/02/2026</v>
      </c>
      <c r="K535">
        <v>46086</v>
      </c>
      <c r="N535">
        <v>109</v>
      </c>
      <c r="O535" t="s">
        <v>27</v>
      </c>
      <c r="Q535">
        <v>2100</v>
      </c>
      <c r="R535" t="str">
        <f>"FARMÁCIA INDIANA LJ 101 (10043)"</f>
        <v>FARMÁCIA INDIANA LJ 101 (10043)</v>
      </c>
      <c r="S535" t="s">
        <v>37</v>
      </c>
      <c r="T535">
        <v>30120</v>
      </c>
      <c r="U535">
        <v>33616</v>
      </c>
      <c r="V535" t="s">
        <v>37</v>
      </c>
    </row>
    <row r="536" spans="1:22">
      <c r="A536" t="str">
        <f t="shared" si="133"/>
        <v>05/03/2026</v>
      </c>
      <c r="B536" t="str">
        <f t="shared" si="135"/>
        <v>SAÍDA</v>
      </c>
      <c r="C536" t="str">
        <f t="shared" si="138"/>
        <v>PIX</v>
      </c>
      <c r="D536" t="str">
        <f>"33617"</f>
        <v>33617</v>
      </c>
      <c r="E536" t="str">
        <f t="shared" si="134"/>
        <v>1</v>
      </c>
      <c r="F536" t="str">
        <f t="shared" si="137"/>
        <v>COM</v>
      </c>
      <c r="G536" t="str">
        <f>"GABRIEL DA SILVA REIS (824)"</f>
        <v>GABRIEL DA SILVA REIS (824)</v>
      </c>
      <c r="H536" t="str">
        <f>"Serv.Prest. 16/02/2026 a 22/02/2026 - PIX: CPF - CHAVE: 160.160.216-28"</f>
        <v>Serv.Prest. 16/02/2026 a 22/02/2026 - PIX: CPF - CHAVE: 160.160.216-28</v>
      </c>
      <c r="I536" t="str">
        <f t="shared" si="136"/>
        <v>05/03/2026</v>
      </c>
      <c r="J536" t="str">
        <f t="shared" si="139"/>
        <v>24/02/2026</v>
      </c>
      <c r="K536" t="str">
        <f>("05/03/2026")</f>
        <v>05/03/2026</v>
      </c>
      <c r="L536">
        <v>700.7</v>
      </c>
      <c r="M536">
        <v>700.7</v>
      </c>
      <c r="N536">
        <v>109</v>
      </c>
      <c r="O536" t="str">
        <f>"PAGAMENTO DE ENTREGADORES"</f>
        <v>PAGAMENTO DE ENTREGADORES</v>
      </c>
      <c r="P536">
        <v>700.7</v>
      </c>
      <c r="S536" t="str">
        <f>"BANCO C6 (149)"</f>
        <v>BANCO C6 (149)</v>
      </c>
      <c r="T536">
        <v>30121</v>
      </c>
      <c r="U536">
        <v>33617</v>
      </c>
      <c r="V536" t="s">
        <v>37</v>
      </c>
    </row>
    <row r="537" spans="1:22">
      <c r="A537" t="str">
        <f t="shared" si="133"/>
        <v>05/03/2026</v>
      </c>
      <c r="B537" t="str">
        <f t="shared" si="135"/>
        <v>SAÍDA</v>
      </c>
      <c r="C537" t="str">
        <f t="shared" si="138"/>
        <v>PIX</v>
      </c>
      <c r="D537" t="str">
        <f>"33617"</f>
        <v>33617</v>
      </c>
      <c r="E537" t="str">
        <f t="shared" si="134"/>
        <v>1</v>
      </c>
      <c r="F537" t="str">
        <f t="shared" si="137"/>
        <v>COM</v>
      </c>
      <c r="G537" t="str">
        <f>"GABRIEL DA SILVA REIS (824)"</f>
        <v>GABRIEL DA SILVA REIS (824)</v>
      </c>
      <c r="H537" t="s">
        <v>201</v>
      </c>
      <c r="I537" t="str">
        <f t="shared" si="136"/>
        <v>05/03/2026</v>
      </c>
      <c r="J537" t="str">
        <f t="shared" si="139"/>
        <v>24/02/2026</v>
      </c>
      <c r="K537">
        <v>46086</v>
      </c>
      <c r="N537">
        <v>109</v>
      </c>
      <c r="O537" t="s">
        <v>27</v>
      </c>
      <c r="Q537">
        <v>700.7</v>
      </c>
      <c r="R537" t="str">
        <f>"FARMÁCIA INDIANA LJ 100 (10042)"</f>
        <v>FARMÁCIA INDIANA LJ 100 (10042)</v>
      </c>
      <c r="S537" t="s">
        <v>37</v>
      </c>
      <c r="T537">
        <v>30121</v>
      </c>
      <c r="U537">
        <v>33617</v>
      </c>
      <c r="V537" t="s">
        <v>37</v>
      </c>
    </row>
    <row r="538" spans="1:22">
      <c r="A538" t="str">
        <f t="shared" si="133"/>
        <v>05/03/2026</v>
      </c>
      <c r="B538" t="str">
        <f t="shared" si="135"/>
        <v>SAÍDA</v>
      </c>
      <c r="C538" t="str">
        <f t="shared" si="138"/>
        <v>PIX</v>
      </c>
      <c r="D538" t="str">
        <f>"33618"</f>
        <v>33618</v>
      </c>
      <c r="E538" t="str">
        <f t="shared" si="134"/>
        <v>1</v>
      </c>
      <c r="F538" t="str">
        <f t="shared" si="137"/>
        <v>COM</v>
      </c>
      <c r="G538" t="str">
        <f>"GABRIEL MARINI CAMPOS DE SOUZA (1140)"</f>
        <v>GABRIEL MARINI CAMPOS DE SOUZA (1140)</v>
      </c>
      <c r="H538" t="str">
        <f>"Serv.Prest. 16/02/2026 a 22/02/2026 - PIX: CPF - CHAVE: 163.440.926-45"</f>
        <v>Serv.Prest. 16/02/2026 a 22/02/2026 - PIX: CPF - CHAVE: 163.440.926-45</v>
      </c>
      <c r="I538" t="str">
        <f t="shared" si="136"/>
        <v>05/03/2026</v>
      </c>
      <c r="J538" t="str">
        <f t="shared" si="139"/>
        <v>24/02/2026</v>
      </c>
      <c r="K538" t="str">
        <f>("05/03/2026")</f>
        <v>05/03/2026</v>
      </c>
      <c r="L538">
        <v>702</v>
      </c>
      <c r="M538">
        <v>702</v>
      </c>
      <c r="N538">
        <v>109</v>
      </c>
      <c r="O538" t="str">
        <f>"PAGAMENTO DE ENTREGADORES"</f>
        <v>PAGAMENTO DE ENTREGADORES</v>
      </c>
      <c r="P538">
        <v>702</v>
      </c>
      <c r="S538" t="str">
        <f>"BANCO C6 (149)"</f>
        <v>BANCO C6 (149)</v>
      </c>
      <c r="T538">
        <v>30122</v>
      </c>
      <c r="U538">
        <v>33618</v>
      </c>
      <c r="V538" t="s">
        <v>37</v>
      </c>
    </row>
    <row r="539" spans="1:22">
      <c r="A539" t="str">
        <f t="shared" si="133"/>
        <v>05/03/2026</v>
      </c>
      <c r="B539" t="str">
        <f t="shared" si="135"/>
        <v>SAÍDA</v>
      </c>
      <c r="C539" t="str">
        <f t="shared" si="138"/>
        <v>PIX</v>
      </c>
      <c r="D539" t="str">
        <f>"33618"</f>
        <v>33618</v>
      </c>
      <c r="E539" t="str">
        <f t="shared" si="134"/>
        <v>1</v>
      </c>
      <c r="F539" t="str">
        <f t="shared" si="137"/>
        <v>COM</v>
      </c>
      <c r="G539" t="str">
        <f>"GABRIEL MARINI CAMPOS DE SOUZA (1140)"</f>
        <v>GABRIEL MARINI CAMPOS DE SOUZA (1140)</v>
      </c>
      <c r="H539" t="s">
        <v>202</v>
      </c>
      <c r="I539" t="str">
        <f t="shared" si="136"/>
        <v>05/03/2026</v>
      </c>
      <c r="J539" t="str">
        <f t="shared" si="139"/>
        <v>24/02/2026</v>
      </c>
      <c r="K539">
        <v>46086</v>
      </c>
      <c r="N539">
        <v>109</v>
      </c>
      <c r="O539" t="s">
        <v>27</v>
      </c>
      <c r="Q539">
        <v>702</v>
      </c>
      <c r="R539" t="str">
        <f>"FARMÁCIA INDIANA LJ 134 (10271)"</f>
        <v>FARMÁCIA INDIANA LJ 134 (10271)</v>
      </c>
      <c r="S539" t="s">
        <v>37</v>
      </c>
      <c r="T539">
        <v>30122</v>
      </c>
      <c r="U539">
        <v>33618</v>
      </c>
      <c r="V539" t="s">
        <v>37</v>
      </c>
    </row>
    <row r="540" spans="1:22">
      <c r="A540" t="str">
        <f t="shared" si="133"/>
        <v>05/03/2026</v>
      </c>
      <c r="B540" t="str">
        <f t="shared" si="135"/>
        <v>SAÍDA</v>
      </c>
      <c r="C540" t="str">
        <f t="shared" si="138"/>
        <v>PIX</v>
      </c>
      <c r="D540" t="str">
        <f>"33619"</f>
        <v>33619</v>
      </c>
      <c r="E540" t="str">
        <f t="shared" si="134"/>
        <v>1</v>
      </c>
      <c r="F540" t="str">
        <f t="shared" si="137"/>
        <v>COM</v>
      </c>
      <c r="G540" t="str">
        <f>"GABRIEL SOARES VIEIRA (18)"</f>
        <v>GABRIEL SOARES VIEIRA (18)</v>
      </c>
      <c r="H540" t="str">
        <f>"Serv.Prest. 16/02/2026 a 22/02/2026 - PIX: CPF - CHAVE: 179.800.027-09"</f>
        <v>Serv.Prest. 16/02/2026 a 22/02/2026 - PIX: CPF - CHAVE: 179.800.027-09</v>
      </c>
      <c r="I540" t="str">
        <f t="shared" si="136"/>
        <v>05/03/2026</v>
      </c>
      <c r="J540" t="str">
        <f t="shared" si="139"/>
        <v>24/02/2026</v>
      </c>
      <c r="K540" t="str">
        <f>("05/03/2026")</f>
        <v>05/03/2026</v>
      </c>
      <c r="L540">
        <v>984.5</v>
      </c>
      <c r="M540">
        <v>984.5</v>
      </c>
      <c r="N540">
        <v>109</v>
      </c>
      <c r="O540" t="str">
        <f>"PAGAMENTO DE ENTREGADORES"</f>
        <v>PAGAMENTO DE ENTREGADORES</v>
      </c>
      <c r="P540">
        <v>984.5</v>
      </c>
      <c r="S540" t="str">
        <f>"BANCO C6 (149)"</f>
        <v>BANCO C6 (149)</v>
      </c>
      <c r="T540">
        <v>30123</v>
      </c>
      <c r="U540">
        <v>33619</v>
      </c>
      <c r="V540" t="s">
        <v>37</v>
      </c>
    </row>
    <row r="541" spans="1:22">
      <c r="A541" t="str">
        <f t="shared" si="133"/>
        <v>05/03/2026</v>
      </c>
      <c r="B541" t="str">
        <f t="shared" si="135"/>
        <v>SAÍDA</v>
      </c>
      <c r="C541" t="str">
        <f t="shared" si="138"/>
        <v>PIX</v>
      </c>
      <c r="D541" t="str">
        <f>"33619"</f>
        <v>33619</v>
      </c>
      <c r="E541" t="str">
        <f t="shared" si="134"/>
        <v>1</v>
      </c>
      <c r="F541" t="str">
        <f t="shared" si="137"/>
        <v>COM</v>
      </c>
      <c r="G541" t="str">
        <f>"GABRIEL SOARES VIEIRA (18)"</f>
        <v>GABRIEL SOARES VIEIRA (18)</v>
      </c>
      <c r="H541" t="s">
        <v>203</v>
      </c>
      <c r="I541" t="str">
        <f t="shared" si="136"/>
        <v>05/03/2026</v>
      </c>
      <c r="J541" t="str">
        <f t="shared" si="139"/>
        <v>24/02/2026</v>
      </c>
      <c r="K541">
        <v>46086</v>
      </c>
      <c r="N541">
        <v>109</v>
      </c>
      <c r="O541" t="s">
        <v>27</v>
      </c>
      <c r="Q541">
        <v>962.55</v>
      </c>
      <c r="R541" t="str">
        <f>"FARMÁCIA INDIANA LJ 40 (10016)"</f>
        <v>FARMÁCIA INDIANA LJ 40 (10016)</v>
      </c>
      <c r="S541" t="s">
        <v>37</v>
      </c>
      <c r="T541">
        <v>30123</v>
      </c>
      <c r="U541">
        <v>33619</v>
      </c>
      <c r="V541" t="s">
        <v>37</v>
      </c>
    </row>
    <row r="542" spans="1:22">
      <c r="A542" t="str">
        <f t="shared" si="133"/>
        <v>05/03/2026</v>
      </c>
      <c r="B542" t="str">
        <f t="shared" si="135"/>
        <v>SAÍDA</v>
      </c>
      <c r="C542" t="str">
        <f t="shared" si="138"/>
        <v>PIX</v>
      </c>
      <c r="D542" t="str">
        <f>"33619"</f>
        <v>33619</v>
      </c>
      <c r="E542" t="str">
        <f t="shared" si="134"/>
        <v>1</v>
      </c>
      <c r="F542" t="str">
        <f t="shared" si="137"/>
        <v>COM</v>
      </c>
      <c r="G542" t="str">
        <f>"GABRIEL SOARES VIEIRA (18)"</f>
        <v>GABRIEL SOARES VIEIRA (18)</v>
      </c>
      <c r="H542" t="s">
        <v>203</v>
      </c>
      <c r="I542" t="str">
        <f t="shared" si="136"/>
        <v>05/03/2026</v>
      </c>
      <c r="J542" t="str">
        <f t="shared" si="139"/>
        <v>24/02/2026</v>
      </c>
      <c r="K542">
        <v>46086</v>
      </c>
      <c r="N542">
        <v>109</v>
      </c>
      <c r="O542" t="s">
        <v>27</v>
      </c>
      <c r="Q542">
        <v>21.95</v>
      </c>
      <c r="R542" t="str">
        <f>"FARMÁCIA INDIANA LJ 61 (10027)"</f>
        <v>FARMÁCIA INDIANA LJ 61 (10027)</v>
      </c>
      <c r="S542" t="s">
        <v>37</v>
      </c>
      <c r="T542">
        <v>30123</v>
      </c>
      <c r="U542">
        <v>33619</v>
      </c>
      <c r="V542" t="s">
        <v>37</v>
      </c>
    </row>
    <row r="543" spans="1:22">
      <c r="A543" t="str">
        <f t="shared" si="133"/>
        <v>05/03/2026</v>
      </c>
      <c r="B543" t="str">
        <f t="shared" si="135"/>
        <v>SAÍDA</v>
      </c>
      <c r="C543" t="str">
        <f t="shared" si="138"/>
        <v>PIX</v>
      </c>
      <c r="D543" t="str">
        <f>"33620"</f>
        <v>33620</v>
      </c>
      <c r="E543" t="str">
        <f t="shared" si="134"/>
        <v>1</v>
      </c>
      <c r="F543" t="str">
        <f t="shared" si="137"/>
        <v>COM</v>
      </c>
      <c r="G543" t="str">
        <f>"GILDASIO DOMINGOS DOS SANTOS (54)"</f>
        <v>GILDASIO DOMINGOS DOS SANTOS (54)</v>
      </c>
      <c r="H543" t="str">
        <f>"Serv.Prest. 16/02/2026 a 22/02/2026 - PIX: CNPJ - CHAVE: 41.602.926/0001-34"</f>
        <v>Serv.Prest. 16/02/2026 a 22/02/2026 - PIX: CNPJ - CHAVE: 41.602.926/0001-34</v>
      </c>
      <c r="I543" t="str">
        <f t="shared" si="136"/>
        <v>05/03/2026</v>
      </c>
      <c r="J543" t="str">
        <f t="shared" si="139"/>
        <v>24/02/2026</v>
      </c>
      <c r="K543" t="str">
        <f>("05/03/2026")</f>
        <v>05/03/2026</v>
      </c>
      <c r="L543">
        <v>1314</v>
      </c>
      <c r="M543">
        <v>1314</v>
      </c>
      <c r="N543">
        <v>109</v>
      </c>
      <c r="O543" t="str">
        <f>"PAGAMENTO DE ENTREGADORES"</f>
        <v>PAGAMENTO DE ENTREGADORES</v>
      </c>
      <c r="P543">
        <v>1314</v>
      </c>
      <c r="S543" t="str">
        <f>"BANCO C6 (149)"</f>
        <v>BANCO C6 (149)</v>
      </c>
      <c r="T543">
        <v>30124</v>
      </c>
      <c r="U543">
        <v>33620</v>
      </c>
      <c r="V543" t="s">
        <v>37</v>
      </c>
    </row>
    <row r="544" spans="1:22">
      <c r="A544" t="str">
        <f t="shared" ref="A544:A607" si="140">("05/03/2026")</f>
        <v>05/03/2026</v>
      </c>
      <c r="B544" t="str">
        <f t="shared" si="135"/>
        <v>SAÍDA</v>
      </c>
      <c r="C544" t="str">
        <f t="shared" si="138"/>
        <v>PIX</v>
      </c>
      <c r="D544" t="str">
        <f>"33620"</f>
        <v>33620</v>
      </c>
      <c r="E544" t="str">
        <f t="shared" si="134"/>
        <v>1</v>
      </c>
      <c r="F544" t="str">
        <f t="shared" si="137"/>
        <v>COM</v>
      </c>
      <c r="G544" t="str">
        <f>"GILDASIO DOMINGOS DOS SANTOS (54)"</f>
        <v>GILDASIO DOMINGOS DOS SANTOS (54)</v>
      </c>
      <c r="H544" t="s">
        <v>204</v>
      </c>
      <c r="I544" t="str">
        <f t="shared" si="136"/>
        <v>05/03/2026</v>
      </c>
      <c r="J544" t="str">
        <f t="shared" si="139"/>
        <v>24/02/2026</v>
      </c>
      <c r="K544">
        <v>46086</v>
      </c>
      <c r="N544">
        <v>109</v>
      </c>
      <c r="O544" t="s">
        <v>27</v>
      </c>
      <c r="Q544">
        <v>1314</v>
      </c>
      <c r="R544" t="str">
        <f>"FARMÁCIA INDIANA LJ 07 (10007)"</f>
        <v>FARMÁCIA INDIANA LJ 07 (10007)</v>
      </c>
      <c r="S544" t="s">
        <v>37</v>
      </c>
      <c r="T544">
        <v>30124</v>
      </c>
      <c r="U544">
        <v>33620</v>
      </c>
      <c r="V544" t="s">
        <v>37</v>
      </c>
    </row>
    <row r="545" spans="1:22">
      <c r="A545" t="str">
        <f t="shared" si="140"/>
        <v>05/03/2026</v>
      </c>
      <c r="B545" t="str">
        <f t="shared" si="135"/>
        <v>SAÍDA</v>
      </c>
      <c r="C545" t="str">
        <f t="shared" si="138"/>
        <v>PIX</v>
      </c>
      <c r="D545" t="str">
        <f>"33621"</f>
        <v>33621</v>
      </c>
      <c r="E545" t="str">
        <f t="shared" si="134"/>
        <v>1</v>
      </c>
      <c r="F545" t="str">
        <f t="shared" si="137"/>
        <v>COM</v>
      </c>
      <c r="G545" t="str">
        <f>"GILNEI MENDES COELHO (195)"</f>
        <v>GILNEI MENDES COELHO (195)</v>
      </c>
      <c r="H545" t="str">
        <f>"Serv.Prest. 16/02/2026 a 22/02/2026 - PIX: CPF - CHAVE: 386.313.426-53"</f>
        <v>Serv.Prest. 16/02/2026 a 22/02/2026 - PIX: CPF - CHAVE: 386.313.426-53</v>
      </c>
      <c r="I545" t="str">
        <f t="shared" si="136"/>
        <v>05/03/2026</v>
      </c>
      <c r="J545" t="str">
        <f t="shared" si="139"/>
        <v>24/02/2026</v>
      </c>
      <c r="K545" t="str">
        <f>("05/03/2026")</f>
        <v>05/03/2026</v>
      </c>
      <c r="L545">
        <v>900</v>
      </c>
      <c r="M545">
        <v>900</v>
      </c>
      <c r="N545">
        <v>109</v>
      </c>
      <c r="O545" t="str">
        <f>"PAGAMENTO DE ENTREGADORES"</f>
        <v>PAGAMENTO DE ENTREGADORES</v>
      </c>
      <c r="P545">
        <v>900</v>
      </c>
      <c r="S545" t="str">
        <f>"BANCO C6 (149)"</f>
        <v>BANCO C6 (149)</v>
      </c>
      <c r="T545">
        <v>30125</v>
      </c>
      <c r="U545">
        <v>33621</v>
      </c>
      <c r="V545" t="s">
        <v>37</v>
      </c>
    </row>
    <row r="546" spans="1:22">
      <c r="A546" t="str">
        <f t="shared" si="140"/>
        <v>05/03/2026</v>
      </c>
      <c r="B546" t="str">
        <f t="shared" si="135"/>
        <v>SAÍDA</v>
      </c>
      <c r="C546" t="str">
        <f t="shared" si="138"/>
        <v>PIX</v>
      </c>
      <c r="D546" t="str">
        <f>"33621"</f>
        <v>33621</v>
      </c>
      <c r="E546" t="str">
        <f t="shared" si="134"/>
        <v>1</v>
      </c>
      <c r="F546" t="str">
        <f t="shared" si="137"/>
        <v>COM</v>
      </c>
      <c r="G546" t="str">
        <f>"GILNEI MENDES COELHO (195)"</f>
        <v>GILNEI MENDES COELHO (195)</v>
      </c>
      <c r="H546" t="s">
        <v>205</v>
      </c>
      <c r="I546" t="str">
        <f t="shared" si="136"/>
        <v>05/03/2026</v>
      </c>
      <c r="J546" t="str">
        <f t="shared" si="139"/>
        <v>24/02/2026</v>
      </c>
      <c r="K546">
        <v>46086</v>
      </c>
      <c r="N546">
        <v>109</v>
      </c>
      <c r="O546" t="s">
        <v>27</v>
      </c>
      <c r="Q546">
        <v>900</v>
      </c>
      <c r="R546" t="str">
        <f>"FARMÁCIA INDIANA LJ 06 (10006)"</f>
        <v>FARMÁCIA INDIANA LJ 06 (10006)</v>
      </c>
      <c r="S546" t="s">
        <v>37</v>
      </c>
      <c r="T546">
        <v>30125</v>
      </c>
      <c r="U546">
        <v>33621</v>
      </c>
      <c r="V546" t="s">
        <v>37</v>
      </c>
    </row>
    <row r="547" spans="1:22">
      <c r="A547" t="str">
        <f t="shared" si="140"/>
        <v>05/03/2026</v>
      </c>
      <c r="B547" t="str">
        <f t="shared" si="135"/>
        <v>SAÍDA</v>
      </c>
      <c r="C547" t="str">
        <f t="shared" si="138"/>
        <v>PIX</v>
      </c>
      <c r="D547" t="str">
        <f>"33623"</f>
        <v>33623</v>
      </c>
      <c r="E547" t="str">
        <f t="shared" si="134"/>
        <v>1</v>
      </c>
      <c r="F547" t="str">
        <f t="shared" si="137"/>
        <v>COM</v>
      </c>
      <c r="G547" t="str">
        <f>"GUILHERME QUINTINO DA ROCHA (199)"</f>
        <v>GUILHERME QUINTINO DA ROCHA (199)</v>
      </c>
      <c r="H547" t="str">
        <f>"Serv.Prest. 16/02/2026 a 22/02/2026 - PIX: CELULAR - CHAVE: (33) 99706-4860"</f>
        <v>Serv.Prest. 16/02/2026 a 22/02/2026 - PIX: CELULAR - CHAVE: (33) 99706-4860</v>
      </c>
      <c r="I547" t="str">
        <f t="shared" si="136"/>
        <v>05/03/2026</v>
      </c>
      <c r="J547" t="str">
        <f t="shared" si="139"/>
        <v>24/02/2026</v>
      </c>
      <c r="K547" t="str">
        <f>("05/03/2026")</f>
        <v>05/03/2026</v>
      </c>
      <c r="L547">
        <v>1080</v>
      </c>
      <c r="M547">
        <v>1080</v>
      </c>
      <c r="N547">
        <v>109</v>
      </c>
      <c r="O547" t="str">
        <f>"PAGAMENTO DE ENTREGADORES"</f>
        <v>PAGAMENTO DE ENTREGADORES</v>
      </c>
      <c r="P547">
        <v>1080</v>
      </c>
      <c r="S547" t="str">
        <f>"BANCO C6 (149)"</f>
        <v>BANCO C6 (149)</v>
      </c>
      <c r="T547">
        <v>30126</v>
      </c>
      <c r="U547">
        <v>33623</v>
      </c>
      <c r="V547" t="s">
        <v>37</v>
      </c>
    </row>
    <row r="548" spans="1:22">
      <c r="A548" t="str">
        <f t="shared" si="140"/>
        <v>05/03/2026</v>
      </c>
      <c r="B548" t="str">
        <f t="shared" si="135"/>
        <v>SAÍDA</v>
      </c>
      <c r="C548" t="str">
        <f t="shared" si="138"/>
        <v>PIX</v>
      </c>
      <c r="D548" t="str">
        <f>"33623"</f>
        <v>33623</v>
      </c>
      <c r="E548" t="str">
        <f t="shared" si="134"/>
        <v>1</v>
      </c>
      <c r="F548" t="str">
        <f t="shared" si="137"/>
        <v>COM</v>
      </c>
      <c r="G548" t="str">
        <f>"GUILHERME QUINTINO DA ROCHA (199)"</f>
        <v>GUILHERME QUINTINO DA ROCHA (199)</v>
      </c>
      <c r="H548" t="s">
        <v>206</v>
      </c>
      <c r="I548" t="str">
        <f t="shared" si="136"/>
        <v>05/03/2026</v>
      </c>
      <c r="J548" t="str">
        <f t="shared" si="139"/>
        <v>24/02/2026</v>
      </c>
      <c r="K548">
        <v>46086</v>
      </c>
      <c r="N548">
        <v>109</v>
      </c>
      <c r="O548" t="s">
        <v>27</v>
      </c>
      <c r="Q548">
        <v>1080</v>
      </c>
      <c r="R548" t="str">
        <f>"FARMÁCIA INDIANA LJ 06 (10006)"</f>
        <v>FARMÁCIA INDIANA LJ 06 (10006)</v>
      </c>
      <c r="S548" t="s">
        <v>37</v>
      </c>
      <c r="T548">
        <v>30126</v>
      </c>
      <c r="U548">
        <v>33623</v>
      </c>
      <c r="V548" t="s">
        <v>37</v>
      </c>
    </row>
    <row r="549" spans="1:22">
      <c r="A549" t="str">
        <f t="shared" si="140"/>
        <v>05/03/2026</v>
      </c>
      <c r="B549" t="str">
        <f t="shared" si="135"/>
        <v>SAÍDA</v>
      </c>
      <c r="C549" t="str">
        <f t="shared" si="138"/>
        <v>PIX</v>
      </c>
      <c r="D549" t="str">
        <f>"33624"</f>
        <v>33624</v>
      </c>
      <c r="E549" t="str">
        <f t="shared" si="134"/>
        <v>1</v>
      </c>
      <c r="F549" t="str">
        <f t="shared" si="137"/>
        <v>COM</v>
      </c>
      <c r="G549" t="str">
        <f>"GUSTAVO HENRIQUE OLIVEIRA (661)"</f>
        <v>GUSTAVO HENRIQUE OLIVEIRA (661)</v>
      </c>
      <c r="H549" t="str">
        <f>"Serv.Prest. 16/02/2026 a 22/02/2026 - PIX: CPF - CHAVE: 113.084.266-58"</f>
        <v>Serv.Prest. 16/02/2026 a 22/02/2026 - PIX: CPF - CHAVE: 113.084.266-58</v>
      </c>
      <c r="I549" t="str">
        <f t="shared" si="136"/>
        <v>05/03/2026</v>
      </c>
      <c r="J549" t="str">
        <f t="shared" si="139"/>
        <v>24/02/2026</v>
      </c>
      <c r="K549" t="str">
        <f>("05/03/2026")</f>
        <v>05/03/2026</v>
      </c>
      <c r="L549">
        <v>702</v>
      </c>
      <c r="M549">
        <v>702</v>
      </c>
      <c r="N549">
        <v>109</v>
      </c>
      <c r="O549" t="str">
        <f>"PAGAMENTO DE ENTREGADORES"</f>
        <v>PAGAMENTO DE ENTREGADORES</v>
      </c>
      <c r="P549">
        <v>702</v>
      </c>
      <c r="S549" t="str">
        <f>"BANCO C6 (149)"</f>
        <v>BANCO C6 (149)</v>
      </c>
      <c r="T549">
        <v>30127</v>
      </c>
      <c r="U549">
        <v>33624</v>
      </c>
      <c r="V549" t="s">
        <v>37</v>
      </c>
    </row>
    <row r="550" spans="1:22">
      <c r="A550" t="str">
        <f t="shared" si="140"/>
        <v>05/03/2026</v>
      </c>
      <c r="B550" t="str">
        <f t="shared" si="135"/>
        <v>SAÍDA</v>
      </c>
      <c r="C550" t="str">
        <f t="shared" si="138"/>
        <v>PIX</v>
      </c>
      <c r="D550" t="str">
        <f>"33624"</f>
        <v>33624</v>
      </c>
      <c r="E550" t="str">
        <f t="shared" si="134"/>
        <v>1</v>
      </c>
      <c r="F550" t="str">
        <f t="shared" si="137"/>
        <v>COM</v>
      </c>
      <c r="G550" t="str">
        <f>"GUSTAVO HENRIQUE OLIVEIRA (661)"</f>
        <v>GUSTAVO HENRIQUE OLIVEIRA (661)</v>
      </c>
      <c r="H550" t="s">
        <v>207</v>
      </c>
      <c r="I550" t="str">
        <f t="shared" si="136"/>
        <v>05/03/2026</v>
      </c>
      <c r="J550" t="str">
        <f t="shared" si="139"/>
        <v>24/02/2026</v>
      </c>
      <c r="K550">
        <v>46086</v>
      </c>
      <c r="N550">
        <v>109</v>
      </c>
      <c r="O550" t="s">
        <v>27</v>
      </c>
      <c r="Q550">
        <v>702</v>
      </c>
      <c r="R550" t="str">
        <f>"FARMÁCIA INDIANA LJ 110 (10048)"</f>
        <v>FARMÁCIA INDIANA LJ 110 (10048)</v>
      </c>
      <c r="S550" t="s">
        <v>37</v>
      </c>
      <c r="T550">
        <v>30127</v>
      </c>
      <c r="U550">
        <v>33624</v>
      </c>
      <c r="V550" t="s">
        <v>37</v>
      </c>
    </row>
    <row r="551" spans="1:22">
      <c r="A551" t="str">
        <f t="shared" si="140"/>
        <v>05/03/2026</v>
      </c>
      <c r="B551" t="str">
        <f t="shared" si="135"/>
        <v>SAÍDA</v>
      </c>
      <c r="C551" t="str">
        <f t="shared" si="138"/>
        <v>PIX</v>
      </c>
      <c r="D551" t="str">
        <f>"33625"</f>
        <v>33625</v>
      </c>
      <c r="E551" t="str">
        <f t="shared" si="134"/>
        <v>1</v>
      </c>
      <c r="F551" t="str">
        <f t="shared" si="137"/>
        <v>COM</v>
      </c>
      <c r="G551" t="str">
        <f>"IVAN SOUZA SANTOS (101)"</f>
        <v>IVAN SOUZA SANTOS (101)</v>
      </c>
      <c r="H551" t="str">
        <f>"Serv.Prest. 16/02/2026 a 22/02/2026 - PIX: CPF - CHAVE: 067.393.286-92"</f>
        <v>Serv.Prest. 16/02/2026 a 22/02/2026 - PIX: CPF - CHAVE: 067.393.286-92</v>
      </c>
      <c r="I551" t="str">
        <f t="shared" si="136"/>
        <v>05/03/2026</v>
      </c>
      <c r="J551" t="str">
        <f t="shared" si="139"/>
        <v>24/02/2026</v>
      </c>
      <c r="K551" t="str">
        <f>("05/03/2026")</f>
        <v>05/03/2026</v>
      </c>
      <c r="L551">
        <v>1097.5999999999999</v>
      </c>
      <c r="M551">
        <v>1097.5999999999999</v>
      </c>
      <c r="N551">
        <v>109</v>
      </c>
      <c r="O551" t="str">
        <f>"PAGAMENTO DE ENTREGADORES"</f>
        <v>PAGAMENTO DE ENTREGADORES</v>
      </c>
      <c r="P551">
        <v>1097.5999999999999</v>
      </c>
      <c r="S551" t="str">
        <f>"BANCO C6 (149)"</f>
        <v>BANCO C6 (149)</v>
      </c>
      <c r="T551">
        <v>30128</v>
      </c>
      <c r="U551">
        <v>33625</v>
      </c>
      <c r="V551" t="s">
        <v>37</v>
      </c>
    </row>
    <row r="552" spans="1:22">
      <c r="A552" t="str">
        <f t="shared" si="140"/>
        <v>05/03/2026</v>
      </c>
      <c r="B552" t="str">
        <f t="shared" si="135"/>
        <v>SAÍDA</v>
      </c>
      <c r="C552" t="str">
        <f t="shared" si="138"/>
        <v>PIX</v>
      </c>
      <c r="D552" t="str">
        <f>"33625"</f>
        <v>33625</v>
      </c>
      <c r="E552" t="str">
        <f t="shared" si="134"/>
        <v>1</v>
      </c>
      <c r="F552" t="str">
        <f t="shared" si="137"/>
        <v>COM</v>
      </c>
      <c r="G552" t="str">
        <f>"IVAN SOUZA SANTOS (101)"</f>
        <v>IVAN SOUZA SANTOS (101)</v>
      </c>
      <c r="H552" t="s">
        <v>208</v>
      </c>
      <c r="I552" t="str">
        <f t="shared" si="136"/>
        <v>05/03/2026</v>
      </c>
      <c r="J552" t="str">
        <f t="shared" si="139"/>
        <v>24/02/2026</v>
      </c>
      <c r="K552">
        <v>46086</v>
      </c>
      <c r="N552">
        <v>109</v>
      </c>
      <c r="O552" t="s">
        <v>27</v>
      </c>
      <c r="Q552">
        <v>1097.5999999999999</v>
      </c>
      <c r="R552" t="str">
        <f>"FARMÁCIA INDIANA LJ 59 (10026)"</f>
        <v>FARMÁCIA INDIANA LJ 59 (10026)</v>
      </c>
      <c r="S552" t="s">
        <v>37</v>
      </c>
      <c r="T552">
        <v>30128</v>
      </c>
      <c r="U552">
        <v>33625</v>
      </c>
      <c r="V552" t="s">
        <v>37</v>
      </c>
    </row>
    <row r="553" spans="1:22">
      <c r="A553" t="str">
        <f t="shared" si="140"/>
        <v>05/03/2026</v>
      </c>
      <c r="B553" t="str">
        <f t="shared" si="135"/>
        <v>SAÍDA</v>
      </c>
      <c r="C553" t="str">
        <f t="shared" si="138"/>
        <v>PIX</v>
      </c>
      <c r="D553" t="str">
        <f>"33627"</f>
        <v>33627</v>
      </c>
      <c r="E553" t="str">
        <f t="shared" si="134"/>
        <v>1</v>
      </c>
      <c r="F553" t="str">
        <f t="shared" si="137"/>
        <v>COM</v>
      </c>
      <c r="G553" t="str">
        <f>"JEAN ARAÚJO SANTOS GERMANO (551)"</f>
        <v>JEAN ARAÚJO SANTOS GERMANO (551)</v>
      </c>
      <c r="H553" t="str">
        <f>"Serv.Prest. 16/02/2026 a 22/02/2026 - PIX: CELULAR - CHAVE: (31) 99812-7173"</f>
        <v>Serv.Prest. 16/02/2026 a 22/02/2026 - PIX: CELULAR - CHAVE: (31) 99812-7173</v>
      </c>
      <c r="I553" t="str">
        <f t="shared" si="136"/>
        <v>05/03/2026</v>
      </c>
      <c r="J553" t="str">
        <f t="shared" si="139"/>
        <v>24/02/2026</v>
      </c>
      <c r="K553" t="str">
        <f>("05/03/2026")</f>
        <v>05/03/2026</v>
      </c>
      <c r="L553">
        <v>846</v>
      </c>
      <c r="M553">
        <v>846</v>
      </c>
      <c r="N553">
        <v>109</v>
      </c>
      <c r="O553" t="str">
        <f>"PAGAMENTO DE ENTREGADORES"</f>
        <v>PAGAMENTO DE ENTREGADORES</v>
      </c>
      <c r="P553">
        <v>846</v>
      </c>
      <c r="S553" t="str">
        <f>"BANCO C6 (149)"</f>
        <v>BANCO C6 (149)</v>
      </c>
      <c r="T553">
        <v>30129</v>
      </c>
      <c r="U553">
        <v>33627</v>
      </c>
      <c r="V553" t="s">
        <v>37</v>
      </c>
    </row>
    <row r="554" spans="1:22">
      <c r="A554" t="str">
        <f t="shared" si="140"/>
        <v>05/03/2026</v>
      </c>
      <c r="B554" t="str">
        <f t="shared" si="135"/>
        <v>SAÍDA</v>
      </c>
      <c r="C554" t="str">
        <f t="shared" si="138"/>
        <v>PIX</v>
      </c>
      <c r="D554" t="str">
        <f>"33627"</f>
        <v>33627</v>
      </c>
      <c r="E554" t="str">
        <f t="shared" si="134"/>
        <v>1</v>
      </c>
      <c r="F554" t="str">
        <f t="shared" si="137"/>
        <v>COM</v>
      </c>
      <c r="G554" t="str">
        <f>"JEAN ARAÚJO SANTOS GERMANO (551)"</f>
        <v>JEAN ARAÚJO SANTOS GERMANO (551)</v>
      </c>
      <c r="H554" t="s">
        <v>209</v>
      </c>
      <c r="I554" t="str">
        <f t="shared" si="136"/>
        <v>05/03/2026</v>
      </c>
      <c r="J554" t="str">
        <f t="shared" si="139"/>
        <v>24/02/2026</v>
      </c>
      <c r="K554">
        <v>46086</v>
      </c>
      <c r="N554">
        <v>109</v>
      </c>
      <c r="O554" t="s">
        <v>27</v>
      </c>
      <c r="Q554">
        <v>846</v>
      </c>
      <c r="R554" t="str">
        <f>"FARMÁCIA INDIANA LJ 142 (10066)"</f>
        <v>FARMÁCIA INDIANA LJ 142 (10066)</v>
      </c>
      <c r="S554" t="s">
        <v>37</v>
      </c>
      <c r="T554">
        <v>30129</v>
      </c>
      <c r="U554">
        <v>33627</v>
      </c>
      <c r="V554" t="s">
        <v>37</v>
      </c>
    </row>
    <row r="555" spans="1:22">
      <c r="A555" t="str">
        <f t="shared" si="140"/>
        <v>05/03/2026</v>
      </c>
      <c r="B555" t="str">
        <f t="shared" si="135"/>
        <v>SAÍDA</v>
      </c>
      <c r="C555" t="str">
        <f t="shared" si="138"/>
        <v>PIX</v>
      </c>
      <c r="D555" t="str">
        <f>"33628"</f>
        <v>33628</v>
      </c>
      <c r="E555" t="str">
        <f t="shared" si="134"/>
        <v>1</v>
      </c>
      <c r="F555" t="str">
        <f t="shared" si="137"/>
        <v>COM</v>
      </c>
      <c r="G555" t="str">
        <f>"JEFERSON ANDRADE FERREIRA (165)"</f>
        <v>JEFERSON ANDRADE FERREIRA (165)</v>
      </c>
      <c r="H555" t="str">
        <f>"Serv.Prest. 16/02/2026 a 22/02/2026 - PIX: CPF - CHAVE: 126.873.296-65"</f>
        <v>Serv.Prest. 16/02/2026 a 22/02/2026 - PIX: CPF - CHAVE: 126.873.296-65</v>
      </c>
      <c r="I555" t="str">
        <f t="shared" si="136"/>
        <v>05/03/2026</v>
      </c>
      <c r="J555" t="str">
        <f t="shared" si="139"/>
        <v>24/02/2026</v>
      </c>
      <c r="K555" t="str">
        <f>("05/03/2026")</f>
        <v>05/03/2026</v>
      </c>
      <c r="L555">
        <v>3036</v>
      </c>
      <c r="M555">
        <v>3036</v>
      </c>
      <c r="N555">
        <v>109</v>
      </c>
      <c r="O555" t="str">
        <f>"PAGAMENTO DE ENTREGADORES"</f>
        <v>PAGAMENTO DE ENTREGADORES</v>
      </c>
      <c r="P555">
        <v>3036</v>
      </c>
      <c r="S555" t="str">
        <f>"BANCO C6 (149)"</f>
        <v>BANCO C6 (149)</v>
      </c>
      <c r="T555">
        <v>30130</v>
      </c>
      <c r="U555">
        <v>33628</v>
      </c>
      <c r="V555" t="s">
        <v>37</v>
      </c>
    </row>
    <row r="556" spans="1:22">
      <c r="A556" t="str">
        <f t="shared" si="140"/>
        <v>05/03/2026</v>
      </c>
      <c r="B556" t="str">
        <f t="shared" si="135"/>
        <v>SAÍDA</v>
      </c>
      <c r="C556" t="str">
        <f t="shared" si="138"/>
        <v>PIX</v>
      </c>
      <c r="D556" t="str">
        <f>"33628"</f>
        <v>33628</v>
      </c>
      <c r="E556" t="str">
        <f t="shared" si="134"/>
        <v>1</v>
      </c>
      <c r="F556" t="str">
        <f t="shared" si="137"/>
        <v>COM</v>
      </c>
      <c r="G556" t="str">
        <f>"JEFERSON ANDRADE FERREIRA (165)"</f>
        <v>JEFERSON ANDRADE FERREIRA (165)</v>
      </c>
      <c r="H556" t="s">
        <v>210</v>
      </c>
      <c r="I556" t="str">
        <f t="shared" si="136"/>
        <v>05/03/2026</v>
      </c>
      <c r="J556" t="str">
        <f t="shared" si="139"/>
        <v>24/02/2026</v>
      </c>
      <c r="K556">
        <v>46086</v>
      </c>
      <c r="N556">
        <v>109</v>
      </c>
      <c r="O556" t="s">
        <v>27</v>
      </c>
      <c r="Q556">
        <v>1956.09</v>
      </c>
      <c r="R556" t="str">
        <f>"FARMÁCIA INDIANA LJ 101 (10043)"</f>
        <v>FARMÁCIA INDIANA LJ 101 (10043)</v>
      </c>
      <c r="S556" t="s">
        <v>37</v>
      </c>
      <c r="T556">
        <v>30130</v>
      </c>
      <c r="U556">
        <v>33628</v>
      </c>
      <c r="V556" t="s">
        <v>37</v>
      </c>
    </row>
    <row r="557" spans="1:22">
      <c r="A557" t="str">
        <f t="shared" si="140"/>
        <v>05/03/2026</v>
      </c>
      <c r="B557" t="str">
        <f t="shared" si="135"/>
        <v>SAÍDA</v>
      </c>
      <c r="C557" t="str">
        <f t="shared" si="138"/>
        <v>PIX</v>
      </c>
      <c r="D557" t="str">
        <f>"33628"</f>
        <v>33628</v>
      </c>
      <c r="E557" t="str">
        <f t="shared" si="134"/>
        <v>1</v>
      </c>
      <c r="F557" t="str">
        <f t="shared" si="137"/>
        <v>COM</v>
      </c>
      <c r="G557" t="str">
        <f>"JEFERSON ANDRADE FERREIRA (165)"</f>
        <v>JEFERSON ANDRADE FERREIRA (165)</v>
      </c>
      <c r="H557" t="s">
        <v>210</v>
      </c>
      <c r="I557" t="str">
        <f t="shared" si="136"/>
        <v>05/03/2026</v>
      </c>
      <c r="J557" t="str">
        <f t="shared" si="139"/>
        <v>24/02/2026</v>
      </c>
      <c r="K557">
        <v>46086</v>
      </c>
      <c r="N557">
        <v>109</v>
      </c>
      <c r="O557" t="s">
        <v>27</v>
      </c>
      <c r="Q557">
        <v>1079.9100000000001</v>
      </c>
      <c r="R557" t="str">
        <f>"FARMÁCIA INDIANA LJ 220 (10092)"</f>
        <v>FARMÁCIA INDIANA LJ 220 (10092)</v>
      </c>
      <c r="S557" t="s">
        <v>37</v>
      </c>
      <c r="T557">
        <v>30130</v>
      </c>
      <c r="U557">
        <v>33628</v>
      </c>
      <c r="V557" t="s">
        <v>37</v>
      </c>
    </row>
    <row r="558" spans="1:22">
      <c r="A558" t="str">
        <f t="shared" si="140"/>
        <v>05/03/2026</v>
      </c>
      <c r="B558" t="str">
        <f t="shared" si="135"/>
        <v>SAÍDA</v>
      </c>
      <c r="C558" t="str">
        <f t="shared" si="138"/>
        <v>PIX</v>
      </c>
      <c r="D558" t="str">
        <f>"33629"</f>
        <v>33629</v>
      </c>
      <c r="E558" t="str">
        <f t="shared" si="134"/>
        <v>1</v>
      </c>
      <c r="F558" t="str">
        <f t="shared" si="137"/>
        <v>COM</v>
      </c>
      <c r="G558" t="str">
        <f>"JEFERSON DE JESUS SANTOS (910)"</f>
        <v>JEFERSON DE JESUS SANTOS (910)</v>
      </c>
      <c r="H558" t="str">
        <f>"Serv.Prest. 16/02/2026 a 22/02/2026 - PIX: CELULAR - CHAVE: (33) 98836-6015"</f>
        <v>Serv.Prest. 16/02/2026 a 22/02/2026 - PIX: CELULAR - CHAVE: (33) 98836-6015</v>
      </c>
      <c r="I558" t="str">
        <f t="shared" si="136"/>
        <v>05/03/2026</v>
      </c>
      <c r="J558" t="str">
        <f t="shared" si="139"/>
        <v>24/02/2026</v>
      </c>
      <c r="K558" t="str">
        <f>("05/03/2026")</f>
        <v>05/03/2026</v>
      </c>
      <c r="L558">
        <v>1032</v>
      </c>
      <c r="M558">
        <v>1032</v>
      </c>
      <c r="N558">
        <v>109</v>
      </c>
      <c r="O558" t="str">
        <f>"PAGAMENTO DE ENTREGADORES"</f>
        <v>PAGAMENTO DE ENTREGADORES</v>
      </c>
      <c r="P558">
        <v>1032</v>
      </c>
      <c r="S558" t="str">
        <f>"BANCO C6 (149)"</f>
        <v>BANCO C6 (149)</v>
      </c>
      <c r="T558">
        <v>30131</v>
      </c>
      <c r="U558">
        <v>33629</v>
      </c>
      <c r="V558" t="s">
        <v>37</v>
      </c>
    </row>
    <row r="559" spans="1:22">
      <c r="A559" t="str">
        <f t="shared" si="140"/>
        <v>05/03/2026</v>
      </c>
      <c r="B559" t="str">
        <f t="shared" si="135"/>
        <v>SAÍDA</v>
      </c>
      <c r="C559" t="str">
        <f t="shared" si="138"/>
        <v>PIX</v>
      </c>
      <c r="D559" t="str">
        <f>"33629"</f>
        <v>33629</v>
      </c>
      <c r="E559" t="str">
        <f t="shared" si="134"/>
        <v>1</v>
      </c>
      <c r="F559" t="str">
        <f t="shared" si="137"/>
        <v>COM</v>
      </c>
      <c r="G559" t="str">
        <f>"JEFERSON DE JESUS SANTOS (910)"</f>
        <v>JEFERSON DE JESUS SANTOS (910)</v>
      </c>
      <c r="H559" t="s">
        <v>211</v>
      </c>
      <c r="I559" t="str">
        <f t="shared" si="136"/>
        <v>05/03/2026</v>
      </c>
      <c r="J559" t="str">
        <f t="shared" si="139"/>
        <v>24/02/2026</v>
      </c>
      <c r="K559">
        <v>46086</v>
      </c>
      <c r="N559">
        <v>109</v>
      </c>
      <c r="O559" t="s">
        <v>27</v>
      </c>
      <c r="Q559">
        <v>1032</v>
      </c>
      <c r="R559" t="str">
        <f>"FARMÁCIA INDIANA LJ 07 (10007)"</f>
        <v>FARMÁCIA INDIANA LJ 07 (10007)</v>
      </c>
      <c r="S559" t="s">
        <v>37</v>
      </c>
      <c r="T559">
        <v>30131</v>
      </c>
      <c r="U559">
        <v>33629</v>
      </c>
      <c r="V559" t="s">
        <v>37</v>
      </c>
    </row>
    <row r="560" spans="1:22">
      <c r="A560" t="str">
        <f t="shared" si="140"/>
        <v>05/03/2026</v>
      </c>
      <c r="B560" t="str">
        <f t="shared" si="135"/>
        <v>SAÍDA</v>
      </c>
      <c r="C560" t="str">
        <f t="shared" si="138"/>
        <v>PIX</v>
      </c>
      <c r="D560" t="str">
        <f>"33630"</f>
        <v>33630</v>
      </c>
      <c r="E560" t="str">
        <f t="shared" ref="E560:E623" si="141">"1"</f>
        <v>1</v>
      </c>
      <c r="F560" t="str">
        <f t="shared" si="137"/>
        <v>COM</v>
      </c>
      <c r="G560" t="str">
        <f>"JHONANTAN LACERDA DE JESUS (142)"</f>
        <v>JHONANTAN LACERDA DE JESUS (142)</v>
      </c>
      <c r="H560" t="str">
        <f>"Serv.Prest. 16/02/2026 a 22/02/2026 - PIX: E-MAIL - CHAVE: jhonantanlacerda@gmail.com"</f>
        <v>Serv.Prest. 16/02/2026 a 22/02/2026 - PIX: E-MAIL - CHAVE: jhonantanlacerda@gmail.com</v>
      </c>
      <c r="I560" t="str">
        <f t="shared" si="136"/>
        <v>05/03/2026</v>
      </c>
      <c r="J560" t="str">
        <f t="shared" si="139"/>
        <v>24/02/2026</v>
      </c>
      <c r="K560" t="str">
        <f>("05/03/2026")</f>
        <v>05/03/2026</v>
      </c>
      <c r="L560">
        <v>756</v>
      </c>
      <c r="M560">
        <v>756</v>
      </c>
      <c r="N560">
        <v>109</v>
      </c>
      <c r="O560" t="str">
        <f>"PAGAMENTO DE ENTREGADORES"</f>
        <v>PAGAMENTO DE ENTREGADORES</v>
      </c>
      <c r="P560">
        <v>756</v>
      </c>
      <c r="S560" t="str">
        <f>"BANCO C6 (149)"</f>
        <v>BANCO C6 (149)</v>
      </c>
      <c r="T560">
        <v>30132</v>
      </c>
      <c r="U560">
        <v>33630</v>
      </c>
      <c r="V560" t="s">
        <v>37</v>
      </c>
    </row>
    <row r="561" spans="1:22">
      <c r="A561" t="str">
        <f t="shared" si="140"/>
        <v>05/03/2026</v>
      </c>
      <c r="B561" t="str">
        <f t="shared" si="135"/>
        <v>SAÍDA</v>
      </c>
      <c r="C561" t="str">
        <f t="shared" si="138"/>
        <v>PIX</v>
      </c>
      <c r="D561" t="str">
        <f>"33630"</f>
        <v>33630</v>
      </c>
      <c r="E561" t="str">
        <f t="shared" si="141"/>
        <v>1</v>
      </c>
      <c r="F561" t="str">
        <f t="shared" si="137"/>
        <v>COM</v>
      </c>
      <c r="G561" t="str">
        <f>"JHONANTAN LACERDA DE JESUS (142)"</f>
        <v>JHONANTAN LACERDA DE JESUS (142)</v>
      </c>
      <c r="H561" t="s">
        <v>212</v>
      </c>
      <c r="I561" t="str">
        <f t="shared" si="136"/>
        <v>05/03/2026</v>
      </c>
      <c r="J561" t="str">
        <f t="shared" si="139"/>
        <v>24/02/2026</v>
      </c>
      <c r="K561">
        <v>46086</v>
      </c>
      <c r="N561">
        <v>109</v>
      </c>
      <c r="O561" t="s">
        <v>27</v>
      </c>
      <c r="Q561">
        <v>756</v>
      </c>
      <c r="R561" t="str">
        <f>"FARMÁCIA INDIANA LJ 142 (10066)"</f>
        <v>FARMÁCIA INDIANA LJ 142 (10066)</v>
      </c>
      <c r="S561" t="s">
        <v>37</v>
      </c>
      <c r="T561">
        <v>30132</v>
      </c>
      <c r="U561">
        <v>33630</v>
      </c>
      <c r="V561" t="s">
        <v>37</v>
      </c>
    </row>
    <row r="562" spans="1:22">
      <c r="A562" t="str">
        <f t="shared" si="140"/>
        <v>05/03/2026</v>
      </c>
      <c r="B562" t="str">
        <f t="shared" si="135"/>
        <v>SAÍDA</v>
      </c>
      <c r="C562" t="str">
        <f t="shared" si="138"/>
        <v>PIX</v>
      </c>
      <c r="D562" t="str">
        <f>"33631"</f>
        <v>33631</v>
      </c>
      <c r="E562" t="str">
        <f t="shared" si="141"/>
        <v>1</v>
      </c>
      <c r="F562" t="str">
        <f t="shared" si="137"/>
        <v>COM</v>
      </c>
      <c r="G562" t="str">
        <f>"JOCIMAR VAZ FERREIRA (197)"</f>
        <v>JOCIMAR VAZ FERREIRA (197)</v>
      </c>
      <c r="H562" t="str">
        <f>"Serv.Prest. 16/02/2026 a 22/02/2026 - PIX: CELULAR - CHAVE: (33) 99924-7557"</f>
        <v>Serv.Prest. 16/02/2026 a 22/02/2026 - PIX: CELULAR - CHAVE: (33) 99924-7557</v>
      </c>
      <c r="I562" t="str">
        <f t="shared" si="136"/>
        <v>05/03/2026</v>
      </c>
      <c r="J562" t="str">
        <f t="shared" si="139"/>
        <v>24/02/2026</v>
      </c>
      <c r="K562" t="str">
        <f>("05/03/2026")</f>
        <v>05/03/2026</v>
      </c>
      <c r="L562">
        <v>1080</v>
      </c>
      <c r="M562">
        <v>1080</v>
      </c>
      <c r="N562">
        <v>109</v>
      </c>
      <c r="O562" t="str">
        <f>"PAGAMENTO DE ENTREGADORES"</f>
        <v>PAGAMENTO DE ENTREGADORES</v>
      </c>
      <c r="P562">
        <v>1080</v>
      </c>
      <c r="S562" t="str">
        <f>"BANCO C6 (149)"</f>
        <v>BANCO C6 (149)</v>
      </c>
      <c r="T562">
        <v>30133</v>
      </c>
      <c r="U562">
        <v>33631</v>
      </c>
      <c r="V562" t="s">
        <v>37</v>
      </c>
    </row>
    <row r="563" spans="1:22">
      <c r="A563" t="str">
        <f t="shared" si="140"/>
        <v>05/03/2026</v>
      </c>
      <c r="B563" t="str">
        <f t="shared" si="135"/>
        <v>SAÍDA</v>
      </c>
      <c r="C563" t="str">
        <f t="shared" si="138"/>
        <v>PIX</v>
      </c>
      <c r="D563" t="str">
        <f>"33631"</f>
        <v>33631</v>
      </c>
      <c r="E563" t="str">
        <f t="shared" si="141"/>
        <v>1</v>
      </c>
      <c r="F563" t="str">
        <f t="shared" si="137"/>
        <v>COM</v>
      </c>
      <c r="G563" t="str">
        <f>"JOCIMAR VAZ FERREIRA (197)"</f>
        <v>JOCIMAR VAZ FERREIRA (197)</v>
      </c>
      <c r="H563" t="s">
        <v>213</v>
      </c>
      <c r="I563" t="str">
        <f t="shared" si="136"/>
        <v>05/03/2026</v>
      </c>
      <c r="J563" t="str">
        <f t="shared" si="139"/>
        <v>24/02/2026</v>
      </c>
      <c r="K563">
        <v>46086</v>
      </c>
      <c r="N563">
        <v>109</v>
      </c>
      <c r="O563" t="s">
        <v>27</v>
      </c>
      <c r="Q563">
        <v>1080</v>
      </c>
      <c r="R563" t="str">
        <f>"FARMÁCIA INDIANA LJ 06 (10006)"</f>
        <v>FARMÁCIA INDIANA LJ 06 (10006)</v>
      </c>
      <c r="S563" t="s">
        <v>37</v>
      </c>
      <c r="T563">
        <v>30133</v>
      </c>
      <c r="U563">
        <v>33631</v>
      </c>
      <c r="V563" t="s">
        <v>37</v>
      </c>
    </row>
    <row r="564" spans="1:22">
      <c r="A564" t="str">
        <f t="shared" si="140"/>
        <v>05/03/2026</v>
      </c>
      <c r="B564" t="str">
        <f t="shared" si="135"/>
        <v>SAÍDA</v>
      </c>
      <c r="C564" t="str">
        <f t="shared" si="138"/>
        <v>PIX</v>
      </c>
      <c r="D564" t="str">
        <f>"33632"</f>
        <v>33632</v>
      </c>
      <c r="E564" t="str">
        <f t="shared" si="141"/>
        <v>1</v>
      </c>
      <c r="F564" t="str">
        <f t="shared" si="137"/>
        <v>COM</v>
      </c>
      <c r="G564" t="str">
        <f>"JOMAR GONÇALVES DIAS (16)"</f>
        <v>JOMAR GONÇALVES DIAS (16)</v>
      </c>
      <c r="H564" t="str">
        <f>"Serv.Prest. 16/02/2026 a 22/02/2026 - PIX: CPF - CHAVE: 602.838.315-53"</f>
        <v>Serv.Prest. 16/02/2026 a 22/02/2026 - PIX: CPF - CHAVE: 602.838.315-53</v>
      </c>
      <c r="I564" t="str">
        <f t="shared" si="136"/>
        <v>05/03/2026</v>
      </c>
      <c r="J564" t="str">
        <f t="shared" si="139"/>
        <v>24/02/2026</v>
      </c>
      <c r="K564" t="str">
        <f>("05/03/2026")</f>
        <v>05/03/2026</v>
      </c>
      <c r="L564">
        <v>1122</v>
      </c>
      <c r="M564">
        <v>1122</v>
      </c>
      <c r="N564">
        <v>109</v>
      </c>
      <c r="O564" t="str">
        <f>"PAGAMENTO DE ENTREGADORES"</f>
        <v>PAGAMENTO DE ENTREGADORES</v>
      </c>
      <c r="P564">
        <v>1122</v>
      </c>
      <c r="S564" t="str">
        <f>"BANCO C6 (149)"</f>
        <v>BANCO C6 (149)</v>
      </c>
      <c r="T564">
        <v>30134</v>
      </c>
      <c r="U564">
        <v>33632</v>
      </c>
      <c r="V564" t="s">
        <v>37</v>
      </c>
    </row>
    <row r="565" spans="1:22">
      <c r="A565" t="str">
        <f t="shared" si="140"/>
        <v>05/03/2026</v>
      </c>
      <c r="B565" t="str">
        <f t="shared" si="135"/>
        <v>SAÍDA</v>
      </c>
      <c r="C565" t="str">
        <f t="shared" si="138"/>
        <v>PIX</v>
      </c>
      <c r="D565" t="str">
        <f>"33632"</f>
        <v>33632</v>
      </c>
      <c r="E565" t="str">
        <f t="shared" si="141"/>
        <v>1</v>
      </c>
      <c r="F565" t="str">
        <f t="shared" si="137"/>
        <v>COM</v>
      </c>
      <c r="G565" t="str">
        <f>"JOMAR GONÇALVES DIAS (16)"</f>
        <v>JOMAR GONÇALVES DIAS (16)</v>
      </c>
      <c r="H565" t="s">
        <v>214</v>
      </c>
      <c r="I565" t="str">
        <f t="shared" si="136"/>
        <v>05/03/2026</v>
      </c>
      <c r="J565" t="str">
        <f t="shared" si="139"/>
        <v>24/02/2026</v>
      </c>
      <c r="K565">
        <v>46086</v>
      </c>
      <c r="N565">
        <v>109</v>
      </c>
      <c r="O565" t="s">
        <v>27</v>
      </c>
      <c r="Q565">
        <v>1122</v>
      </c>
      <c r="R565" t="str">
        <f>"FARMÁCIA INDIANA LJ 61 (10027)"</f>
        <v>FARMÁCIA INDIANA LJ 61 (10027)</v>
      </c>
      <c r="S565" t="s">
        <v>37</v>
      </c>
      <c r="T565">
        <v>30134</v>
      </c>
      <c r="U565">
        <v>33632</v>
      </c>
      <c r="V565" t="s">
        <v>37</v>
      </c>
    </row>
    <row r="566" spans="1:22">
      <c r="A566" t="str">
        <f t="shared" si="140"/>
        <v>05/03/2026</v>
      </c>
      <c r="B566" t="str">
        <f t="shared" si="135"/>
        <v>SAÍDA</v>
      </c>
      <c r="C566" t="str">
        <f t="shared" si="138"/>
        <v>PIX</v>
      </c>
      <c r="D566" t="str">
        <f>"33633"</f>
        <v>33633</v>
      </c>
      <c r="E566" t="str">
        <f t="shared" si="141"/>
        <v>1</v>
      </c>
      <c r="F566" t="str">
        <f t="shared" si="137"/>
        <v>COM</v>
      </c>
      <c r="G566" t="str">
        <f>"JOSÉ CARLOS DA COSTA (83)"</f>
        <v>JOSÉ CARLOS DA COSTA (83)</v>
      </c>
      <c r="H566" t="str">
        <f>"Serv.Prest. 16/02/2026 a 22/02/2026 - PIX: E-MAIL - CHAVE: jcarlosctga36@hotmail.com"</f>
        <v>Serv.Prest. 16/02/2026 a 22/02/2026 - PIX: E-MAIL - CHAVE: jcarlosctga36@hotmail.com</v>
      </c>
      <c r="I566" t="str">
        <f t="shared" si="136"/>
        <v>05/03/2026</v>
      </c>
      <c r="J566" t="str">
        <f t="shared" si="139"/>
        <v>24/02/2026</v>
      </c>
      <c r="K566" t="str">
        <f>("05/03/2026")</f>
        <v>05/03/2026</v>
      </c>
      <c r="L566">
        <v>612</v>
      </c>
      <c r="M566">
        <v>612</v>
      </c>
      <c r="N566">
        <v>109</v>
      </c>
      <c r="O566" t="str">
        <f>"PAGAMENTO DE ENTREGADORES"</f>
        <v>PAGAMENTO DE ENTREGADORES</v>
      </c>
      <c r="P566">
        <v>612</v>
      </c>
      <c r="S566" t="str">
        <f>"BANCO C6 (149)"</f>
        <v>BANCO C6 (149)</v>
      </c>
      <c r="T566">
        <v>30135</v>
      </c>
      <c r="U566">
        <v>33633</v>
      </c>
      <c r="V566" t="s">
        <v>37</v>
      </c>
    </row>
    <row r="567" spans="1:22">
      <c r="A567" t="str">
        <f t="shared" si="140"/>
        <v>05/03/2026</v>
      </c>
      <c r="B567" t="str">
        <f t="shared" si="135"/>
        <v>SAÍDA</v>
      </c>
      <c r="C567" t="str">
        <f t="shared" si="138"/>
        <v>PIX</v>
      </c>
      <c r="D567" t="str">
        <f>"33633"</f>
        <v>33633</v>
      </c>
      <c r="E567" t="str">
        <f t="shared" si="141"/>
        <v>1</v>
      </c>
      <c r="F567" t="str">
        <f t="shared" si="137"/>
        <v>COM</v>
      </c>
      <c r="G567" t="str">
        <f>"JOSÉ CARLOS DA COSTA (83)"</f>
        <v>JOSÉ CARLOS DA COSTA (83)</v>
      </c>
      <c r="H567" t="s">
        <v>215</v>
      </c>
      <c r="I567" t="str">
        <f t="shared" si="136"/>
        <v>05/03/2026</v>
      </c>
      <c r="J567" t="str">
        <f t="shared" si="139"/>
        <v>24/02/2026</v>
      </c>
      <c r="K567">
        <v>46086</v>
      </c>
      <c r="N567">
        <v>109</v>
      </c>
      <c r="O567" t="s">
        <v>27</v>
      </c>
      <c r="Q567">
        <v>612</v>
      </c>
      <c r="R567" t="str">
        <f>"FARMÁCIA INDIANA LJ 152 (10069)"</f>
        <v>FARMÁCIA INDIANA LJ 152 (10069)</v>
      </c>
      <c r="S567" t="s">
        <v>37</v>
      </c>
      <c r="T567">
        <v>30135</v>
      </c>
      <c r="U567">
        <v>33633</v>
      </c>
      <c r="V567" t="s">
        <v>37</v>
      </c>
    </row>
    <row r="568" spans="1:22">
      <c r="A568" t="str">
        <f t="shared" si="140"/>
        <v>05/03/2026</v>
      </c>
      <c r="B568" t="str">
        <f t="shared" si="135"/>
        <v>SAÍDA</v>
      </c>
      <c r="C568" t="str">
        <f t="shared" si="138"/>
        <v>PIX</v>
      </c>
      <c r="D568" t="str">
        <f>"33635"</f>
        <v>33635</v>
      </c>
      <c r="E568" t="str">
        <f t="shared" si="141"/>
        <v>1</v>
      </c>
      <c r="F568" t="str">
        <f t="shared" si="137"/>
        <v>COM</v>
      </c>
      <c r="G568" t="str">
        <f>"JUBER FERREIRA SILVA BASTOS (192)"</f>
        <v>JUBER FERREIRA SILVA BASTOS (192)</v>
      </c>
      <c r="H568" t="str">
        <f>"Serv.Prest. 16/02/2026 a 22/02/2026 - PIX: CPF - CHAVE: 012.459.366-62"</f>
        <v>Serv.Prest. 16/02/2026 a 22/02/2026 - PIX: CPF - CHAVE: 012.459.366-62</v>
      </c>
      <c r="I568" t="str">
        <f t="shared" si="136"/>
        <v>05/03/2026</v>
      </c>
      <c r="J568" t="str">
        <f t="shared" si="139"/>
        <v>24/02/2026</v>
      </c>
      <c r="K568" t="str">
        <f>("05/03/2026")</f>
        <v>05/03/2026</v>
      </c>
      <c r="L568">
        <v>720</v>
      </c>
      <c r="M568">
        <v>720</v>
      </c>
      <c r="N568">
        <v>109</v>
      </c>
      <c r="O568" t="str">
        <f>"PAGAMENTO DE ENTREGADORES"</f>
        <v>PAGAMENTO DE ENTREGADORES</v>
      </c>
      <c r="P568">
        <v>720</v>
      </c>
      <c r="S568" t="str">
        <f>"BANCO C6 (149)"</f>
        <v>BANCO C6 (149)</v>
      </c>
      <c r="T568">
        <v>30136</v>
      </c>
      <c r="U568">
        <v>33635</v>
      </c>
      <c r="V568" t="s">
        <v>37</v>
      </c>
    </row>
    <row r="569" spans="1:22">
      <c r="A569" t="str">
        <f t="shared" si="140"/>
        <v>05/03/2026</v>
      </c>
      <c r="B569" t="str">
        <f t="shared" si="135"/>
        <v>SAÍDA</v>
      </c>
      <c r="C569" t="str">
        <f t="shared" si="138"/>
        <v>PIX</v>
      </c>
      <c r="D569" t="str">
        <f>"33635"</f>
        <v>33635</v>
      </c>
      <c r="E569" t="str">
        <f t="shared" si="141"/>
        <v>1</v>
      </c>
      <c r="F569" t="str">
        <f t="shared" si="137"/>
        <v>COM</v>
      </c>
      <c r="G569" t="str">
        <f>"JUBER FERREIRA SILVA BASTOS (192)"</f>
        <v>JUBER FERREIRA SILVA BASTOS (192)</v>
      </c>
      <c r="H569" t="s">
        <v>216</v>
      </c>
      <c r="I569" t="str">
        <f t="shared" si="136"/>
        <v>05/03/2026</v>
      </c>
      <c r="J569" t="str">
        <f t="shared" si="139"/>
        <v>24/02/2026</v>
      </c>
      <c r="K569">
        <v>46086</v>
      </c>
      <c r="N569">
        <v>109</v>
      </c>
      <c r="O569" t="s">
        <v>27</v>
      </c>
      <c r="Q569">
        <v>720</v>
      </c>
      <c r="R569" t="str">
        <f>"FARMÁCIA INDIANA LJ 06 (10006)"</f>
        <v>FARMÁCIA INDIANA LJ 06 (10006)</v>
      </c>
      <c r="S569" t="s">
        <v>37</v>
      </c>
      <c r="T569">
        <v>30136</v>
      </c>
      <c r="U569">
        <v>33635</v>
      </c>
      <c r="V569" t="s">
        <v>37</v>
      </c>
    </row>
    <row r="570" spans="1:22">
      <c r="A570" t="str">
        <f t="shared" si="140"/>
        <v>05/03/2026</v>
      </c>
      <c r="B570" t="str">
        <f t="shared" si="135"/>
        <v>SAÍDA</v>
      </c>
      <c r="C570" t="str">
        <f t="shared" si="138"/>
        <v>PIX</v>
      </c>
      <c r="D570" t="str">
        <f>"33636"</f>
        <v>33636</v>
      </c>
      <c r="E570" t="str">
        <f t="shared" si="141"/>
        <v>1</v>
      </c>
      <c r="F570" t="str">
        <f t="shared" si="137"/>
        <v>COM</v>
      </c>
      <c r="G570" t="str">
        <f>"JUNIO DE ANDRADE ARRUDA (145)"</f>
        <v>JUNIO DE ANDRADE ARRUDA (145)</v>
      </c>
      <c r="H570" t="str">
        <f>"Serv.Prest. 16/02/2026 a 22/02/2026 - PIX: CPF - CHAVE: 077.488.126-75"</f>
        <v>Serv.Prest. 16/02/2026 a 22/02/2026 - PIX: CPF - CHAVE: 077.488.126-75</v>
      </c>
      <c r="I570" t="str">
        <f t="shared" si="136"/>
        <v>05/03/2026</v>
      </c>
      <c r="J570" t="str">
        <f t="shared" si="139"/>
        <v>24/02/2026</v>
      </c>
      <c r="K570" t="str">
        <f>("05/03/2026")</f>
        <v>05/03/2026</v>
      </c>
      <c r="L570">
        <v>924</v>
      </c>
      <c r="M570">
        <v>924</v>
      </c>
      <c r="N570">
        <v>109</v>
      </c>
      <c r="O570" t="str">
        <f>"PAGAMENTO DE ENTREGADORES"</f>
        <v>PAGAMENTO DE ENTREGADORES</v>
      </c>
      <c r="P570">
        <v>924</v>
      </c>
      <c r="S570" t="str">
        <f>"BANCO C6 (149)"</f>
        <v>BANCO C6 (149)</v>
      </c>
      <c r="T570">
        <v>30137</v>
      </c>
      <c r="U570">
        <v>33636</v>
      </c>
      <c r="V570" t="s">
        <v>37</v>
      </c>
    </row>
    <row r="571" spans="1:22">
      <c r="A571" t="str">
        <f t="shared" si="140"/>
        <v>05/03/2026</v>
      </c>
      <c r="B571" t="str">
        <f t="shared" si="135"/>
        <v>SAÍDA</v>
      </c>
      <c r="C571" t="str">
        <f t="shared" si="138"/>
        <v>PIX</v>
      </c>
      <c r="D571" t="str">
        <f>"33636"</f>
        <v>33636</v>
      </c>
      <c r="E571" t="str">
        <f t="shared" si="141"/>
        <v>1</v>
      </c>
      <c r="F571" t="str">
        <f t="shared" si="137"/>
        <v>COM</v>
      </c>
      <c r="G571" t="str">
        <f>"JUNIO DE ANDRADE ARRUDA (145)"</f>
        <v>JUNIO DE ANDRADE ARRUDA (145)</v>
      </c>
      <c r="H571" t="s">
        <v>217</v>
      </c>
      <c r="I571" t="str">
        <f t="shared" si="136"/>
        <v>05/03/2026</v>
      </c>
      <c r="J571" t="str">
        <f t="shared" si="139"/>
        <v>24/02/2026</v>
      </c>
      <c r="K571">
        <v>46086</v>
      </c>
      <c r="N571">
        <v>109</v>
      </c>
      <c r="O571" t="s">
        <v>27</v>
      </c>
      <c r="Q571">
        <v>924</v>
      </c>
      <c r="R571" t="str">
        <f>"FARMÁCIA INDIANA LJ 19 (10012)"</f>
        <v>FARMÁCIA INDIANA LJ 19 (10012)</v>
      </c>
      <c r="S571" t="s">
        <v>37</v>
      </c>
      <c r="T571">
        <v>30137</v>
      </c>
      <c r="U571">
        <v>33636</v>
      </c>
      <c r="V571" t="s">
        <v>37</v>
      </c>
    </row>
    <row r="572" spans="1:22">
      <c r="A572" t="str">
        <f t="shared" si="140"/>
        <v>05/03/2026</v>
      </c>
      <c r="B572" t="str">
        <f t="shared" si="135"/>
        <v>SAÍDA</v>
      </c>
      <c r="C572" t="str">
        <f t="shared" si="138"/>
        <v>PIX</v>
      </c>
      <c r="D572" t="str">
        <f>"33637"</f>
        <v>33637</v>
      </c>
      <c r="E572" t="str">
        <f t="shared" si="141"/>
        <v>1</v>
      </c>
      <c r="F572" t="str">
        <f t="shared" si="137"/>
        <v>COM</v>
      </c>
      <c r="G572" t="str">
        <f>"JUNIOR DOS SANTOS MACHADO (240)"</f>
        <v>JUNIOR DOS SANTOS MACHADO (240)</v>
      </c>
      <c r="H572" t="str">
        <f>"Serv.Prest. 16/02/2026 a 22/02/2026 - PIX: E-MAIL - CHAVE: juninhomachado789@gmail.com"</f>
        <v>Serv.Prest. 16/02/2026 a 22/02/2026 - PIX: E-MAIL - CHAVE: juninhomachado789@gmail.com</v>
      </c>
      <c r="I572" t="str">
        <f t="shared" si="136"/>
        <v>05/03/2026</v>
      </c>
      <c r="J572" t="str">
        <f t="shared" si="139"/>
        <v>24/02/2026</v>
      </c>
      <c r="K572" t="str">
        <f>("05/03/2026")</f>
        <v>05/03/2026</v>
      </c>
      <c r="L572">
        <v>597</v>
      </c>
      <c r="M572">
        <v>597</v>
      </c>
      <c r="N572">
        <v>109</v>
      </c>
      <c r="O572" t="str">
        <f>"PAGAMENTO DE ENTREGADORES"</f>
        <v>PAGAMENTO DE ENTREGADORES</v>
      </c>
      <c r="P572">
        <v>597</v>
      </c>
      <c r="S572" t="str">
        <f>"BANCO C6 (149)"</f>
        <v>BANCO C6 (149)</v>
      </c>
      <c r="T572">
        <v>30138</v>
      </c>
      <c r="U572">
        <v>33637</v>
      </c>
      <c r="V572" t="s">
        <v>37</v>
      </c>
    </row>
    <row r="573" spans="1:22">
      <c r="A573" t="str">
        <f t="shared" si="140"/>
        <v>05/03/2026</v>
      </c>
      <c r="B573" t="str">
        <f t="shared" si="135"/>
        <v>SAÍDA</v>
      </c>
      <c r="C573" t="str">
        <f t="shared" si="138"/>
        <v>PIX</v>
      </c>
      <c r="D573" t="str">
        <f>"33637"</f>
        <v>33637</v>
      </c>
      <c r="E573" t="str">
        <f t="shared" si="141"/>
        <v>1</v>
      </c>
      <c r="F573" t="str">
        <f t="shared" si="137"/>
        <v>COM</v>
      </c>
      <c r="G573" t="str">
        <f>"JUNIOR DOS SANTOS MACHADO (240)"</f>
        <v>JUNIOR DOS SANTOS MACHADO (240)</v>
      </c>
      <c r="H573" t="s">
        <v>218</v>
      </c>
      <c r="I573" t="str">
        <f t="shared" si="136"/>
        <v>05/03/2026</v>
      </c>
      <c r="J573" t="str">
        <f t="shared" si="139"/>
        <v>24/02/2026</v>
      </c>
      <c r="K573">
        <v>46086</v>
      </c>
      <c r="N573">
        <v>109</v>
      </c>
      <c r="O573" t="s">
        <v>27</v>
      </c>
      <c r="Q573">
        <v>597</v>
      </c>
      <c r="R573" t="str">
        <f>"FARMÁCIA INDIANA LJ 62 (10028)"</f>
        <v>FARMÁCIA INDIANA LJ 62 (10028)</v>
      </c>
      <c r="S573" t="s">
        <v>37</v>
      </c>
      <c r="T573">
        <v>30138</v>
      </c>
      <c r="U573">
        <v>33637</v>
      </c>
      <c r="V573" t="s">
        <v>37</v>
      </c>
    </row>
    <row r="574" spans="1:22">
      <c r="A574" t="str">
        <f t="shared" si="140"/>
        <v>05/03/2026</v>
      </c>
      <c r="B574" t="str">
        <f t="shared" si="135"/>
        <v>SAÍDA</v>
      </c>
      <c r="C574" t="str">
        <f t="shared" si="138"/>
        <v>PIX</v>
      </c>
      <c r="D574" t="str">
        <f>"33639"</f>
        <v>33639</v>
      </c>
      <c r="E574" t="str">
        <f t="shared" si="141"/>
        <v>1</v>
      </c>
      <c r="F574" t="str">
        <f t="shared" si="137"/>
        <v>COM</v>
      </c>
      <c r="G574" t="str">
        <f>"KALESSON BARROSO DIAS (216)"</f>
        <v>KALESSON BARROSO DIAS (216)</v>
      </c>
      <c r="H574" t="str">
        <f>"Serv.Prest. 16/02/2026 a 22/02/2026 - PIX: CELULAR - CHAVE: (33) 99106-9330"</f>
        <v>Serv.Prest. 16/02/2026 a 22/02/2026 - PIX: CELULAR - CHAVE: (33) 99106-9330</v>
      </c>
      <c r="I574" t="str">
        <f t="shared" si="136"/>
        <v>05/03/2026</v>
      </c>
      <c r="J574" t="str">
        <f t="shared" si="139"/>
        <v>24/02/2026</v>
      </c>
      <c r="K574" t="str">
        <f>("05/03/2026")</f>
        <v>05/03/2026</v>
      </c>
      <c r="L574">
        <v>1080</v>
      </c>
      <c r="M574">
        <v>1080</v>
      </c>
      <c r="N574">
        <v>109</v>
      </c>
      <c r="O574" t="str">
        <f>"PAGAMENTO DE ENTREGADORES"</f>
        <v>PAGAMENTO DE ENTREGADORES</v>
      </c>
      <c r="P574">
        <v>1080</v>
      </c>
      <c r="S574" t="str">
        <f>"BANCO C6 (149)"</f>
        <v>BANCO C6 (149)</v>
      </c>
      <c r="T574">
        <v>30139</v>
      </c>
      <c r="U574">
        <v>33639</v>
      </c>
      <c r="V574" t="s">
        <v>37</v>
      </c>
    </row>
    <row r="575" spans="1:22">
      <c r="A575" t="str">
        <f t="shared" si="140"/>
        <v>05/03/2026</v>
      </c>
      <c r="B575" t="str">
        <f t="shared" si="135"/>
        <v>SAÍDA</v>
      </c>
      <c r="C575" t="str">
        <f t="shared" si="138"/>
        <v>PIX</v>
      </c>
      <c r="D575" t="str">
        <f>"33639"</f>
        <v>33639</v>
      </c>
      <c r="E575" t="str">
        <f t="shared" si="141"/>
        <v>1</v>
      </c>
      <c r="F575" t="str">
        <f t="shared" si="137"/>
        <v>COM</v>
      </c>
      <c r="G575" t="str">
        <f>"KALESSON BARROSO DIAS (216)"</f>
        <v>KALESSON BARROSO DIAS (216)</v>
      </c>
      <c r="H575" t="s">
        <v>219</v>
      </c>
      <c r="I575" t="str">
        <f t="shared" si="136"/>
        <v>05/03/2026</v>
      </c>
      <c r="J575" t="str">
        <f t="shared" si="139"/>
        <v>24/02/2026</v>
      </c>
      <c r="K575">
        <v>46086</v>
      </c>
      <c r="N575">
        <v>109</v>
      </c>
      <c r="O575" t="s">
        <v>27</v>
      </c>
      <c r="Q575">
        <v>1080</v>
      </c>
      <c r="R575" t="str">
        <f>"FARMÁCIA INDIANA LJ 06 (10006)"</f>
        <v>FARMÁCIA INDIANA LJ 06 (10006)</v>
      </c>
      <c r="S575" t="s">
        <v>37</v>
      </c>
      <c r="T575">
        <v>30139</v>
      </c>
      <c r="U575">
        <v>33639</v>
      </c>
      <c r="V575" t="s">
        <v>37</v>
      </c>
    </row>
    <row r="576" spans="1:22">
      <c r="A576" t="str">
        <f t="shared" si="140"/>
        <v>05/03/2026</v>
      </c>
      <c r="B576" t="str">
        <f t="shared" si="135"/>
        <v>SAÍDA</v>
      </c>
      <c r="C576" t="str">
        <f t="shared" si="138"/>
        <v>PIX</v>
      </c>
      <c r="D576" t="str">
        <f>"33640"</f>
        <v>33640</v>
      </c>
      <c r="E576" t="str">
        <f t="shared" si="141"/>
        <v>1</v>
      </c>
      <c r="F576" t="str">
        <f t="shared" si="137"/>
        <v>COM</v>
      </c>
      <c r="G576" t="str">
        <f>"LAMARK FERREIRA DE AMORIM (625)"</f>
        <v>LAMARK FERREIRA DE AMORIM (625)</v>
      </c>
      <c r="H576" t="str">
        <f>"Serv.Prest. 16/02/2026 a 22/02/2026 - PIX: CPF - CHAVE: 057.893.536-81"</f>
        <v>Serv.Prest. 16/02/2026 a 22/02/2026 - PIX: CPF - CHAVE: 057.893.536-81</v>
      </c>
      <c r="I576" t="str">
        <f t="shared" si="136"/>
        <v>05/03/2026</v>
      </c>
      <c r="J576" t="str">
        <f t="shared" si="139"/>
        <v>24/02/2026</v>
      </c>
      <c r="K576" t="str">
        <f>("05/03/2026")</f>
        <v>05/03/2026</v>
      </c>
      <c r="L576">
        <v>1116</v>
      </c>
      <c r="M576">
        <v>1116</v>
      </c>
      <c r="N576">
        <v>109</v>
      </c>
      <c r="O576" t="str">
        <f>"PAGAMENTO DE ENTREGADORES"</f>
        <v>PAGAMENTO DE ENTREGADORES</v>
      </c>
      <c r="P576">
        <v>1116</v>
      </c>
      <c r="S576" t="str">
        <f>"BANCO C6 (149)"</f>
        <v>BANCO C6 (149)</v>
      </c>
      <c r="T576">
        <v>30140</v>
      </c>
      <c r="U576">
        <v>33640</v>
      </c>
      <c r="V576" t="s">
        <v>37</v>
      </c>
    </row>
    <row r="577" spans="1:22">
      <c r="A577" t="str">
        <f t="shared" si="140"/>
        <v>05/03/2026</v>
      </c>
      <c r="B577" t="str">
        <f t="shared" ref="B577:B640" si="142">"SAÍDA"</f>
        <v>SAÍDA</v>
      </c>
      <c r="C577" t="str">
        <f t="shared" si="138"/>
        <v>PIX</v>
      </c>
      <c r="D577" t="str">
        <f>"33640"</f>
        <v>33640</v>
      </c>
      <c r="E577" t="str">
        <f t="shared" si="141"/>
        <v>1</v>
      </c>
      <c r="F577" t="str">
        <f t="shared" si="137"/>
        <v>COM</v>
      </c>
      <c r="G577" t="str">
        <f>"LAMARK FERREIRA DE AMORIM (625)"</f>
        <v>LAMARK FERREIRA DE AMORIM (625)</v>
      </c>
      <c r="H577" t="s">
        <v>220</v>
      </c>
      <c r="I577" t="str">
        <f t="shared" ref="I577:I640" si="143">("05/03/2026")</f>
        <v>05/03/2026</v>
      </c>
      <c r="J577" t="str">
        <f t="shared" si="139"/>
        <v>24/02/2026</v>
      </c>
      <c r="K577">
        <v>46086</v>
      </c>
      <c r="N577">
        <v>109</v>
      </c>
      <c r="O577" t="s">
        <v>27</v>
      </c>
      <c r="Q577">
        <v>1116</v>
      </c>
      <c r="R577" t="str">
        <f>"FARMÁCIA INDIANA LJ 07 (10007)"</f>
        <v>FARMÁCIA INDIANA LJ 07 (10007)</v>
      </c>
      <c r="S577" t="s">
        <v>37</v>
      </c>
      <c r="T577">
        <v>30140</v>
      </c>
      <c r="U577">
        <v>33640</v>
      </c>
      <c r="V577" t="s">
        <v>37</v>
      </c>
    </row>
    <row r="578" spans="1:22">
      <c r="A578" t="str">
        <f t="shared" si="140"/>
        <v>05/03/2026</v>
      </c>
      <c r="B578" t="str">
        <f t="shared" si="142"/>
        <v>SAÍDA</v>
      </c>
      <c r="C578" t="str">
        <f t="shared" si="138"/>
        <v>PIX</v>
      </c>
      <c r="D578" t="str">
        <f>"33641"</f>
        <v>33641</v>
      </c>
      <c r="E578" t="str">
        <f t="shared" si="141"/>
        <v>1</v>
      </c>
      <c r="F578" t="str">
        <f t="shared" ref="F578:F641" si="144">"COM"</f>
        <v>COM</v>
      </c>
      <c r="G578" t="str">
        <f>"LEANDRO BARBOSA RIBEIRO (742)"</f>
        <v>LEANDRO BARBOSA RIBEIRO (742)</v>
      </c>
      <c r="H578" t="str">
        <f>"Serv.Prest. 16/02/2026 a 22/02/2026 - PIX: CELULAR - CHAVE: (31) 97145-0796"</f>
        <v>Serv.Prest. 16/02/2026 a 22/02/2026 - PIX: CELULAR - CHAVE: (31) 97145-0796</v>
      </c>
      <c r="I578" t="str">
        <f t="shared" si="143"/>
        <v>05/03/2026</v>
      </c>
      <c r="J578" t="str">
        <f t="shared" si="139"/>
        <v>24/02/2026</v>
      </c>
      <c r="K578" t="str">
        <f>("05/03/2026")</f>
        <v>05/03/2026</v>
      </c>
      <c r="L578">
        <v>1104</v>
      </c>
      <c r="M578">
        <v>1104</v>
      </c>
      <c r="N578">
        <v>109</v>
      </c>
      <c r="O578" t="str">
        <f>"PAGAMENTO DE ENTREGADORES"</f>
        <v>PAGAMENTO DE ENTREGADORES</v>
      </c>
      <c r="P578">
        <v>1104</v>
      </c>
      <c r="S578" t="str">
        <f>"BANCO C6 (149)"</f>
        <v>BANCO C6 (149)</v>
      </c>
      <c r="T578">
        <v>30141</v>
      </c>
      <c r="U578">
        <v>33641</v>
      </c>
      <c r="V578" t="s">
        <v>37</v>
      </c>
    </row>
    <row r="579" spans="1:22">
      <c r="A579" t="str">
        <f t="shared" si="140"/>
        <v>05/03/2026</v>
      </c>
      <c r="B579" t="str">
        <f t="shared" si="142"/>
        <v>SAÍDA</v>
      </c>
      <c r="C579" t="str">
        <f t="shared" ref="C579:C642" si="145">"PIX"</f>
        <v>PIX</v>
      </c>
      <c r="D579" t="str">
        <f>"33641"</f>
        <v>33641</v>
      </c>
      <c r="E579" t="str">
        <f t="shared" si="141"/>
        <v>1</v>
      </c>
      <c r="F579" t="str">
        <f t="shared" si="144"/>
        <v>COM</v>
      </c>
      <c r="G579" t="str">
        <f>"LEANDRO BARBOSA RIBEIRO (742)"</f>
        <v>LEANDRO BARBOSA RIBEIRO (742)</v>
      </c>
      <c r="H579" t="s">
        <v>221</v>
      </c>
      <c r="I579" t="str">
        <f t="shared" si="143"/>
        <v>05/03/2026</v>
      </c>
      <c r="J579" t="str">
        <f t="shared" si="139"/>
        <v>24/02/2026</v>
      </c>
      <c r="K579">
        <v>46086</v>
      </c>
      <c r="N579">
        <v>109</v>
      </c>
      <c r="O579" t="s">
        <v>27</v>
      </c>
      <c r="Q579">
        <v>125.97</v>
      </c>
      <c r="R579" t="str">
        <f>"FARMÁCIA INDIANA LJ 11 (10008)"</f>
        <v>FARMÁCIA INDIANA LJ 11 (10008)</v>
      </c>
      <c r="S579" t="s">
        <v>37</v>
      </c>
      <c r="T579">
        <v>30141</v>
      </c>
      <c r="U579">
        <v>33641</v>
      </c>
      <c r="V579" t="s">
        <v>37</v>
      </c>
    </row>
    <row r="580" spans="1:22">
      <c r="A580" t="str">
        <f t="shared" si="140"/>
        <v>05/03/2026</v>
      </c>
      <c r="B580" t="str">
        <f t="shared" si="142"/>
        <v>SAÍDA</v>
      </c>
      <c r="C580" t="str">
        <f t="shared" si="145"/>
        <v>PIX</v>
      </c>
      <c r="D580" t="str">
        <f>"33641"</f>
        <v>33641</v>
      </c>
      <c r="E580" t="str">
        <f t="shared" si="141"/>
        <v>1</v>
      </c>
      <c r="F580" t="str">
        <f t="shared" si="144"/>
        <v>COM</v>
      </c>
      <c r="G580" t="str">
        <f>"LEANDRO BARBOSA RIBEIRO (742)"</f>
        <v>LEANDRO BARBOSA RIBEIRO (742)</v>
      </c>
      <c r="H580" t="s">
        <v>221</v>
      </c>
      <c r="I580" t="str">
        <f t="shared" si="143"/>
        <v>05/03/2026</v>
      </c>
      <c r="J580" t="str">
        <f t="shared" si="139"/>
        <v>24/02/2026</v>
      </c>
      <c r="K580">
        <v>46086</v>
      </c>
      <c r="N580">
        <v>109</v>
      </c>
      <c r="O580" t="s">
        <v>27</v>
      </c>
      <c r="Q580">
        <v>978.03</v>
      </c>
      <c r="R580" t="str">
        <f>"FARMÁCIA INDIANA LJ 172 (10161)"</f>
        <v>FARMÁCIA INDIANA LJ 172 (10161)</v>
      </c>
      <c r="S580" t="s">
        <v>37</v>
      </c>
      <c r="T580">
        <v>30141</v>
      </c>
      <c r="U580">
        <v>33641</v>
      </c>
      <c r="V580" t="s">
        <v>37</v>
      </c>
    </row>
    <row r="581" spans="1:22">
      <c r="A581" t="str">
        <f t="shared" si="140"/>
        <v>05/03/2026</v>
      </c>
      <c r="B581" t="str">
        <f t="shared" si="142"/>
        <v>SAÍDA</v>
      </c>
      <c r="C581" t="str">
        <f t="shared" si="145"/>
        <v>PIX</v>
      </c>
      <c r="D581" t="str">
        <f>"33642"</f>
        <v>33642</v>
      </c>
      <c r="E581" t="str">
        <f t="shared" si="141"/>
        <v>1</v>
      </c>
      <c r="F581" t="str">
        <f t="shared" si="144"/>
        <v>COM</v>
      </c>
      <c r="G581" t="str">
        <f>"LEVERCI DA SILVA COURA (138)"</f>
        <v>LEVERCI DA SILVA COURA (138)</v>
      </c>
      <c r="H581" t="str">
        <f>"Serv.Prest. 16/02/2026 a 22/02/2026 - PIX: CELULAR - CHAVE: (31) 99850-4727"</f>
        <v>Serv.Prest. 16/02/2026 a 22/02/2026 - PIX: CELULAR - CHAVE: (31) 99850-4727</v>
      </c>
      <c r="I581" t="str">
        <f t="shared" si="143"/>
        <v>05/03/2026</v>
      </c>
      <c r="J581" t="str">
        <f t="shared" si="139"/>
        <v>24/02/2026</v>
      </c>
      <c r="K581" t="str">
        <f>("05/03/2026")</f>
        <v>05/03/2026</v>
      </c>
      <c r="L581">
        <v>799.5</v>
      </c>
      <c r="M581">
        <v>799.5</v>
      </c>
      <c r="N581">
        <v>109</v>
      </c>
      <c r="O581" t="str">
        <f>"PAGAMENTO DE ENTREGADORES"</f>
        <v>PAGAMENTO DE ENTREGADORES</v>
      </c>
      <c r="P581">
        <v>799.5</v>
      </c>
      <c r="S581" t="str">
        <f>"BANCO C6 (149)"</f>
        <v>BANCO C6 (149)</v>
      </c>
      <c r="T581">
        <v>30142</v>
      </c>
      <c r="U581">
        <v>33642</v>
      </c>
      <c r="V581" t="s">
        <v>37</v>
      </c>
    </row>
    <row r="582" spans="1:22">
      <c r="A582" t="str">
        <f t="shared" si="140"/>
        <v>05/03/2026</v>
      </c>
      <c r="B582" t="str">
        <f t="shared" si="142"/>
        <v>SAÍDA</v>
      </c>
      <c r="C582" t="str">
        <f t="shared" si="145"/>
        <v>PIX</v>
      </c>
      <c r="D582" t="str">
        <f>"33642"</f>
        <v>33642</v>
      </c>
      <c r="E582" t="str">
        <f t="shared" si="141"/>
        <v>1</v>
      </c>
      <c r="F582" t="str">
        <f t="shared" si="144"/>
        <v>COM</v>
      </c>
      <c r="G582" t="str">
        <f>"LEVERCI DA SILVA COURA (138)"</f>
        <v>LEVERCI DA SILVA COURA (138)</v>
      </c>
      <c r="H582" t="s">
        <v>222</v>
      </c>
      <c r="I582" t="str">
        <f t="shared" si="143"/>
        <v>05/03/2026</v>
      </c>
      <c r="J582" t="str">
        <f t="shared" si="139"/>
        <v>24/02/2026</v>
      </c>
      <c r="K582">
        <v>46086</v>
      </c>
      <c r="N582">
        <v>109</v>
      </c>
      <c r="O582" t="s">
        <v>27</v>
      </c>
      <c r="Q582">
        <v>799.5</v>
      </c>
      <c r="R582" t="str">
        <f>"FARMÁCIA INDIANA LJ 18 (10011)"</f>
        <v>FARMÁCIA INDIANA LJ 18 (10011)</v>
      </c>
      <c r="S582" t="s">
        <v>37</v>
      </c>
      <c r="T582">
        <v>30142</v>
      </c>
      <c r="U582">
        <v>33642</v>
      </c>
      <c r="V582" t="s">
        <v>37</v>
      </c>
    </row>
    <row r="583" spans="1:22">
      <c r="A583" t="str">
        <f t="shared" si="140"/>
        <v>05/03/2026</v>
      </c>
      <c r="B583" t="str">
        <f t="shared" si="142"/>
        <v>SAÍDA</v>
      </c>
      <c r="C583" t="str">
        <f t="shared" si="145"/>
        <v>PIX</v>
      </c>
      <c r="D583" t="str">
        <f>"33643"</f>
        <v>33643</v>
      </c>
      <c r="E583" t="str">
        <f t="shared" si="141"/>
        <v>1</v>
      </c>
      <c r="F583" t="str">
        <f t="shared" si="144"/>
        <v>COM</v>
      </c>
      <c r="G583" t="str">
        <f>"LUAN DOS SANTOS NUNES (719)"</f>
        <v>LUAN DOS SANTOS NUNES (719)</v>
      </c>
      <c r="H583" t="str">
        <f>"Serv.Prest. 16/02/2026 a 22/02/2026 - PIX: CELULAR - CHAVE: (33) 98749-4693"</f>
        <v>Serv.Prest. 16/02/2026 a 22/02/2026 - PIX: CELULAR - CHAVE: (33) 98749-4693</v>
      </c>
      <c r="I583" t="str">
        <f t="shared" si="143"/>
        <v>05/03/2026</v>
      </c>
      <c r="J583" t="str">
        <f t="shared" si="139"/>
        <v>24/02/2026</v>
      </c>
      <c r="K583" t="str">
        <f>("05/03/2026")</f>
        <v>05/03/2026</v>
      </c>
      <c r="L583">
        <v>1523.5</v>
      </c>
      <c r="M583">
        <v>1523.5</v>
      </c>
      <c r="N583">
        <v>109</v>
      </c>
      <c r="O583" t="str">
        <f>"PAGAMENTO DE ENTREGADORES"</f>
        <v>PAGAMENTO DE ENTREGADORES</v>
      </c>
      <c r="P583">
        <v>1523.5</v>
      </c>
      <c r="S583" t="str">
        <f>"BANCO C6 (149)"</f>
        <v>BANCO C6 (149)</v>
      </c>
      <c r="T583">
        <v>30143</v>
      </c>
      <c r="U583">
        <v>33643</v>
      </c>
      <c r="V583" t="s">
        <v>37</v>
      </c>
    </row>
    <row r="584" spans="1:22">
      <c r="A584" t="str">
        <f t="shared" si="140"/>
        <v>05/03/2026</v>
      </c>
      <c r="B584" t="str">
        <f t="shared" si="142"/>
        <v>SAÍDA</v>
      </c>
      <c r="C584" t="str">
        <f t="shared" si="145"/>
        <v>PIX</v>
      </c>
      <c r="D584" t="str">
        <f>"33643"</f>
        <v>33643</v>
      </c>
      <c r="E584" t="str">
        <f t="shared" si="141"/>
        <v>1</v>
      </c>
      <c r="F584" t="str">
        <f t="shared" si="144"/>
        <v>COM</v>
      </c>
      <c r="G584" t="str">
        <f>"LUAN DOS SANTOS NUNES (719)"</f>
        <v>LUAN DOS SANTOS NUNES (719)</v>
      </c>
      <c r="H584" t="s">
        <v>223</v>
      </c>
      <c r="I584" t="str">
        <f t="shared" si="143"/>
        <v>05/03/2026</v>
      </c>
      <c r="J584" t="str">
        <f t="shared" si="139"/>
        <v>24/02/2026</v>
      </c>
      <c r="K584">
        <v>46086</v>
      </c>
      <c r="N584">
        <v>109</v>
      </c>
      <c r="O584" t="s">
        <v>27</v>
      </c>
      <c r="Q584">
        <v>60.48</v>
      </c>
      <c r="R584" t="str">
        <f>"FARMÁCIA INDIANA LJ 40 (10016)"</f>
        <v>FARMÁCIA INDIANA LJ 40 (10016)</v>
      </c>
      <c r="S584" t="s">
        <v>37</v>
      </c>
      <c r="T584">
        <v>30143</v>
      </c>
      <c r="U584">
        <v>33643</v>
      </c>
      <c r="V584" t="s">
        <v>37</v>
      </c>
    </row>
    <row r="585" spans="1:22">
      <c r="A585" t="str">
        <f t="shared" si="140"/>
        <v>05/03/2026</v>
      </c>
      <c r="B585" t="str">
        <f t="shared" si="142"/>
        <v>SAÍDA</v>
      </c>
      <c r="C585" t="str">
        <f t="shared" si="145"/>
        <v>PIX</v>
      </c>
      <c r="D585" t="str">
        <f>"33643"</f>
        <v>33643</v>
      </c>
      <c r="E585" t="str">
        <f t="shared" si="141"/>
        <v>1</v>
      </c>
      <c r="F585" t="str">
        <f t="shared" si="144"/>
        <v>COM</v>
      </c>
      <c r="G585" t="str">
        <f>"LUAN DOS SANTOS NUNES (719)"</f>
        <v>LUAN DOS SANTOS NUNES (719)</v>
      </c>
      <c r="H585" t="s">
        <v>223</v>
      </c>
      <c r="I585" t="str">
        <f t="shared" si="143"/>
        <v>05/03/2026</v>
      </c>
      <c r="J585" t="str">
        <f t="shared" si="139"/>
        <v>24/02/2026</v>
      </c>
      <c r="K585">
        <v>46086</v>
      </c>
      <c r="N585">
        <v>109</v>
      </c>
      <c r="O585" t="s">
        <v>27</v>
      </c>
      <c r="Q585">
        <v>1463.02</v>
      </c>
      <c r="R585" t="str">
        <f>"FARMÁCIA INDIANA LJ 61 (10027)"</f>
        <v>FARMÁCIA INDIANA LJ 61 (10027)</v>
      </c>
      <c r="S585" t="s">
        <v>37</v>
      </c>
      <c r="T585">
        <v>30143</v>
      </c>
      <c r="U585">
        <v>33643</v>
      </c>
      <c r="V585" t="s">
        <v>37</v>
      </c>
    </row>
    <row r="586" spans="1:22">
      <c r="A586" t="str">
        <f t="shared" si="140"/>
        <v>05/03/2026</v>
      </c>
      <c r="B586" t="str">
        <f t="shared" si="142"/>
        <v>SAÍDA</v>
      </c>
      <c r="C586" t="str">
        <f t="shared" si="145"/>
        <v>PIX</v>
      </c>
      <c r="D586" t="str">
        <f>"33644"</f>
        <v>33644</v>
      </c>
      <c r="E586" t="str">
        <f t="shared" si="141"/>
        <v>1</v>
      </c>
      <c r="F586" t="str">
        <f t="shared" si="144"/>
        <v>COM</v>
      </c>
      <c r="G586" t="str">
        <f>"LUAN VICTOR SERQUEIRA DA SILVA (577)"</f>
        <v>LUAN VICTOR SERQUEIRA DA SILVA (577)</v>
      </c>
      <c r="H586" t="str">
        <f>"Serv.Prest. 16/02/2026 a 22/02/2026 - PIX: CPF - CHAVE: 161.508.516-56"</f>
        <v>Serv.Prest. 16/02/2026 a 22/02/2026 - PIX: CPF - CHAVE: 161.508.516-56</v>
      </c>
      <c r="I586" t="str">
        <f t="shared" si="143"/>
        <v>05/03/2026</v>
      </c>
      <c r="J586" t="str">
        <f t="shared" si="139"/>
        <v>24/02/2026</v>
      </c>
      <c r="K586" t="str">
        <f>("05/03/2026")</f>
        <v>05/03/2026</v>
      </c>
      <c r="L586">
        <v>698.5</v>
      </c>
      <c r="M586">
        <v>698.5</v>
      </c>
      <c r="N586">
        <v>109</v>
      </c>
      <c r="O586" t="str">
        <f>"PAGAMENTO DE ENTREGADORES"</f>
        <v>PAGAMENTO DE ENTREGADORES</v>
      </c>
      <c r="P586">
        <v>698.5</v>
      </c>
      <c r="S586" t="str">
        <f>"BANCO C6 (149)"</f>
        <v>BANCO C6 (149)</v>
      </c>
      <c r="T586">
        <v>30144</v>
      </c>
      <c r="U586">
        <v>33644</v>
      </c>
      <c r="V586" t="s">
        <v>37</v>
      </c>
    </row>
    <row r="587" spans="1:22">
      <c r="A587" t="str">
        <f t="shared" si="140"/>
        <v>05/03/2026</v>
      </c>
      <c r="B587" t="str">
        <f t="shared" si="142"/>
        <v>SAÍDA</v>
      </c>
      <c r="C587" t="str">
        <f t="shared" si="145"/>
        <v>PIX</v>
      </c>
      <c r="D587" t="str">
        <f>"33644"</f>
        <v>33644</v>
      </c>
      <c r="E587" t="str">
        <f t="shared" si="141"/>
        <v>1</v>
      </c>
      <c r="F587" t="str">
        <f t="shared" si="144"/>
        <v>COM</v>
      </c>
      <c r="G587" t="str">
        <f>"LUAN VICTOR SERQUEIRA DA SILVA (577)"</f>
        <v>LUAN VICTOR SERQUEIRA DA SILVA (577)</v>
      </c>
      <c r="H587" t="s">
        <v>224</v>
      </c>
      <c r="I587" t="str">
        <f t="shared" si="143"/>
        <v>05/03/2026</v>
      </c>
      <c r="J587" t="str">
        <f t="shared" si="139"/>
        <v>24/02/2026</v>
      </c>
      <c r="K587">
        <v>46086</v>
      </c>
      <c r="N587">
        <v>109</v>
      </c>
      <c r="O587" t="s">
        <v>27</v>
      </c>
      <c r="Q587">
        <v>698.5</v>
      </c>
      <c r="R587" t="str">
        <f>"FARMÁCIA INDIANA LJ 202 (10085)"</f>
        <v>FARMÁCIA INDIANA LJ 202 (10085)</v>
      </c>
      <c r="S587" t="s">
        <v>37</v>
      </c>
      <c r="T587">
        <v>30144</v>
      </c>
      <c r="U587">
        <v>33644</v>
      </c>
      <c r="V587" t="s">
        <v>37</v>
      </c>
    </row>
    <row r="588" spans="1:22">
      <c r="A588" t="str">
        <f t="shared" si="140"/>
        <v>05/03/2026</v>
      </c>
      <c r="B588" t="str">
        <f t="shared" si="142"/>
        <v>SAÍDA</v>
      </c>
      <c r="C588" t="str">
        <f t="shared" si="145"/>
        <v>PIX</v>
      </c>
      <c r="D588" t="str">
        <f>"33645"</f>
        <v>33645</v>
      </c>
      <c r="E588" t="str">
        <f t="shared" si="141"/>
        <v>1</v>
      </c>
      <c r="F588" t="str">
        <f t="shared" si="144"/>
        <v>COM</v>
      </c>
      <c r="G588" t="str">
        <f>"LUCAS FERREIRA DOS SANTOS (868)"</f>
        <v>LUCAS FERREIRA DOS SANTOS (868)</v>
      </c>
      <c r="H588" t="str">
        <f>"Serv.Prest. 16/02/2026 a 22/02/2026 - PIX: CELULAR - CHAVE: (33) 99172-0627"</f>
        <v>Serv.Prest. 16/02/2026 a 22/02/2026 - PIX: CELULAR - CHAVE: (33) 99172-0627</v>
      </c>
      <c r="I588" t="str">
        <f t="shared" si="143"/>
        <v>05/03/2026</v>
      </c>
      <c r="J588" t="str">
        <f t="shared" si="139"/>
        <v>24/02/2026</v>
      </c>
      <c r="K588" t="str">
        <f>("05/03/2026")</f>
        <v>05/03/2026</v>
      </c>
      <c r="L588">
        <v>1080</v>
      </c>
      <c r="M588">
        <v>1080</v>
      </c>
      <c r="N588">
        <v>109</v>
      </c>
      <c r="O588" t="str">
        <f>"PAGAMENTO DE ENTREGADORES"</f>
        <v>PAGAMENTO DE ENTREGADORES</v>
      </c>
      <c r="P588">
        <v>1080</v>
      </c>
      <c r="S588" t="str">
        <f>"BANCO C6 (149)"</f>
        <v>BANCO C6 (149)</v>
      </c>
      <c r="T588">
        <v>30145</v>
      </c>
      <c r="U588">
        <v>33645</v>
      </c>
      <c r="V588" t="s">
        <v>37</v>
      </c>
    </row>
    <row r="589" spans="1:22">
      <c r="A589" t="str">
        <f t="shared" si="140"/>
        <v>05/03/2026</v>
      </c>
      <c r="B589" t="str">
        <f t="shared" si="142"/>
        <v>SAÍDA</v>
      </c>
      <c r="C589" t="str">
        <f t="shared" si="145"/>
        <v>PIX</v>
      </c>
      <c r="D589" t="str">
        <f>"33645"</f>
        <v>33645</v>
      </c>
      <c r="E589" t="str">
        <f t="shared" si="141"/>
        <v>1</v>
      </c>
      <c r="F589" t="str">
        <f t="shared" si="144"/>
        <v>COM</v>
      </c>
      <c r="G589" t="str">
        <f>"LUCAS FERREIRA DOS SANTOS (868)"</f>
        <v>LUCAS FERREIRA DOS SANTOS (868)</v>
      </c>
      <c r="H589" t="s">
        <v>225</v>
      </c>
      <c r="I589" t="str">
        <f t="shared" si="143"/>
        <v>05/03/2026</v>
      </c>
      <c r="J589" t="str">
        <f t="shared" si="139"/>
        <v>24/02/2026</v>
      </c>
      <c r="K589">
        <v>46086</v>
      </c>
      <c r="N589">
        <v>109</v>
      </c>
      <c r="O589" t="s">
        <v>27</v>
      </c>
      <c r="Q589">
        <v>1080</v>
      </c>
      <c r="R589" t="str">
        <f>"FARMÁCIA INDIANA LJ 06 (10006)"</f>
        <v>FARMÁCIA INDIANA LJ 06 (10006)</v>
      </c>
      <c r="S589" t="s">
        <v>37</v>
      </c>
      <c r="T589">
        <v>30145</v>
      </c>
      <c r="U589">
        <v>33645</v>
      </c>
      <c r="V589" t="s">
        <v>37</v>
      </c>
    </row>
    <row r="590" spans="1:22">
      <c r="A590" t="str">
        <f t="shared" si="140"/>
        <v>05/03/2026</v>
      </c>
      <c r="B590" t="str">
        <f t="shared" si="142"/>
        <v>SAÍDA</v>
      </c>
      <c r="C590" t="str">
        <f t="shared" si="145"/>
        <v>PIX</v>
      </c>
      <c r="D590" t="str">
        <f>"33647"</f>
        <v>33647</v>
      </c>
      <c r="E590" t="str">
        <f t="shared" si="141"/>
        <v>1</v>
      </c>
      <c r="F590" t="str">
        <f t="shared" si="144"/>
        <v>COM</v>
      </c>
      <c r="G590" t="str">
        <f>"LUIZ ALVES MARTINS (40)"</f>
        <v>LUIZ ALVES MARTINS (40)</v>
      </c>
      <c r="H590" t="str">
        <f>"Serv.Prest. 16/02/2026 a 22/02/2026 - PIX: CELULAR - CHAVE: (33) 99981-6650"</f>
        <v>Serv.Prest. 16/02/2026 a 22/02/2026 - PIX: CELULAR - CHAVE: (33) 99981-6650</v>
      </c>
      <c r="I590" t="str">
        <f t="shared" si="143"/>
        <v>05/03/2026</v>
      </c>
      <c r="J590" t="str">
        <f t="shared" si="139"/>
        <v>24/02/2026</v>
      </c>
      <c r="K590" t="str">
        <f>("05/03/2026")</f>
        <v>05/03/2026</v>
      </c>
      <c r="L590">
        <v>618</v>
      </c>
      <c r="M590">
        <v>618</v>
      </c>
      <c r="N590">
        <v>109</v>
      </c>
      <c r="O590" t="str">
        <f>"PAGAMENTO DE ENTREGADORES"</f>
        <v>PAGAMENTO DE ENTREGADORES</v>
      </c>
      <c r="P590">
        <v>618</v>
      </c>
      <c r="S590" t="str">
        <f>"BANCO C6 (149)"</f>
        <v>BANCO C6 (149)</v>
      </c>
      <c r="T590">
        <v>30146</v>
      </c>
      <c r="U590">
        <v>33647</v>
      </c>
      <c r="V590" t="s">
        <v>37</v>
      </c>
    </row>
    <row r="591" spans="1:22">
      <c r="A591" t="str">
        <f t="shared" si="140"/>
        <v>05/03/2026</v>
      </c>
      <c r="B591" t="str">
        <f t="shared" si="142"/>
        <v>SAÍDA</v>
      </c>
      <c r="C591" t="str">
        <f t="shared" si="145"/>
        <v>PIX</v>
      </c>
      <c r="D591" t="str">
        <f>"33647"</f>
        <v>33647</v>
      </c>
      <c r="E591" t="str">
        <f t="shared" si="141"/>
        <v>1</v>
      </c>
      <c r="F591" t="str">
        <f t="shared" si="144"/>
        <v>COM</v>
      </c>
      <c r="G591" t="str">
        <f>"LUIZ ALVES MARTINS (40)"</f>
        <v>LUIZ ALVES MARTINS (40)</v>
      </c>
      <c r="H591" t="s">
        <v>226</v>
      </c>
      <c r="I591" t="str">
        <f t="shared" si="143"/>
        <v>05/03/2026</v>
      </c>
      <c r="J591" t="str">
        <f t="shared" si="139"/>
        <v>24/02/2026</v>
      </c>
      <c r="K591">
        <v>46086</v>
      </c>
      <c r="N591">
        <v>109</v>
      </c>
      <c r="O591" t="s">
        <v>27</v>
      </c>
      <c r="Q591">
        <v>618</v>
      </c>
      <c r="R591" t="str">
        <f>"FARMÁCIA INDIANA LJ 11 (10008)"</f>
        <v>FARMÁCIA INDIANA LJ 11 (10008)</v>
      </c>
      <c r="S591" t="s">
        <v>37</v>
      </c>
      <c r="T591">
        <v>30146</v>
      </c>
      <c r="U591">
        <v>33647</v>
      </c>
      <c r="V591" t="s">
        <v>37</v>
      </c>
    </row>
    <row r="592" spans="1:22">
      <c r="A592" t="str">
        <f t="shared" si="140"/>
        <v>05/03/2026</v>
      </c>
      <c r="B592" t="str">
        <f t="shared" si="142"/>
        <v>SAÍDA</v>
      </c>
      <c r="C592" t="str">
        <f t="shared" si="145"/>
        <v>PIX</v>
      </c>
      <c r="D592" t="str">
        <f>"33648"</f>
        <v>33648</v>
      </c>
      <c r="E592" t="str">
        <f t="shared" si="141"/>
        <v>1</v>
      </c>
      <c r="F592" t="str">
        <f t="shared" si="144"/>
        <v>COM</v>
      </c>
      <c r="G592" t="str">
        <f>"LUIZ EDUARDO VIANA BRITO (878)"</f>
        <v>LUIZ EDUARDO VIANA BRITO (878)</v>
      </c>
      <c r="H592" t="str">
        <f>"Serv.Prest. 16/02/2026 a 22/02/2026 - PIX: CPF - CHAVE: 101.220.976-88"</f>
        <v>Serv.Prest. 16/02/2026 a 22/02/2026 - PIX: CPF - CHAVE: 101.220.976-88</v>
      </c>
      <c r="I592" t="str">
        <f t="shared" si="143"/>
        <v>05/03/2026</v>
      </c>
      <c r="J592" t="str">
        <f t="shared" si="139"/>
        <v>24/02/2026</v>
      </c>
      <c r="K592" t="str">
        <f>("05/03/2026")</f>
        <v>05/03/2026</v>
      </c>
      <c r="L592">
        <v>1672</v>
      </c>
      <c r="M592">
        <v>1672</v>
      </c>
      <c r="N592">
        <v>109</v>
      </c>
      <c r="O592" t="str">
        <f>"PAGAMENTO DE ENTREGADORES"</f>
        <v>PAGAMENTO DE ENTREGADORES</v>
      </c>
      <c r="P592">
        <v>1672</v>
      </c>
      <c r="S592" t="str">
        <f>"BANCO C6 (149)"</f>
        <v>BANCO C6 (149)</v>
      </c>
      <c r="T592">
        <v>30147</v>
      </c>
      <c r="U592">
        <v>33648</v>
      </c>
      <c r="V592" t="s">
        <v>37</v>
      </c>
    </row>
    <row r="593" spans="1:22">
      <c r="A593" t="str">
        <f t="shared" si="140"/>
        <v>05/03/2026</v>
      </c>
      <c r="B593" t="str">
        <f t="shared" si="142"/>
        <v>SAÍDA</v>
      </c>
      <c r="C593" t="str">
        <f t="shared" si="145"/>
        <v>PIX</v>
      </c>
      <c r="D593" t="str">
        <f>"33648"</f>
        <v>33648</v>
      </c>
      <c r="E593" t="str">
        <f t="shared" si="141"/>
        <v>1</v>
      </c>
      <c r="F593" t="str">
        <f t="shared" si="144"/>
        <v>COM</v>
      </c>
      <c r="G593" t="str">
        <f>"LUIZ EDUARDO VIANA BRITO (878)"</f>
        <v>LUIZ EDUARDO VIANA BRITO (878)</v>
      </c>
      <c r="H593" t="s">
        <v>227</v>
      </c>
      <c r="I593" t="str">
        <f t="shared" si="143"/>
        <v>05/03/2026</v>
      </c>
      <c r="J593" t="str">
        <f t="shared" si="139"/>
        <v>24/02/2026</v>
      </c>
      <c r="K593">
        <v>46086</v>
      </c>
      <c r="N593">
        <v>109</v>
      </c>
      <c r="O593" t="s">
        <v>27</v>
      </c>
      <c r="Q593">
        <v>1672</v>
      </c>
      <c r="R593" t="str">
        <f>"FARMÁCIA INDIANA LJ 40 (10016)"</f>
        <v>FARMÁCIA INDIANA LJ 40 (10016)</v>
      </c>
      <c r="S593" t="s">
        <v>37</v>
      </c>
      <c r="T593">
        <v>30147</v>
      </c>
      <c r="U593">
        <v>33648</v>
      </c>
      <c r="V593" t="s">
        <v>37</v>
      </c>
    </row>
    <row r="594" spans="1:22">
      <c r="A594" t="str">
        <f t="shared" si="140"/>
        <v>05/03/2026</v>
      </c>
      <c r="B594" t="str">
        <f t="shared" si="142"/>
        <v>SAÍDA</v>
      </c>
      <c r="C594" t="str">
        <f t="shared" si="145"/>
        <v>PIX</v>
      </c>
      <c r="D594" t="str">
        <f>"33649"</f>
        <v>33649</v>
      </c>
      <c r="E594" t="str">
        <f t="shared" si="141"/>
        <v>1</v>
      </c>
      <c r="F594" t="str">
        <f t="shared" si="144"/>
        <v>COM</v>
      </c>
      <c r="G594" t="str">
        <f>"LUIZ FERNANDO CARVALHO ALVES (198)"</f>
        <v>LUIZ FERNANDO CARVALHO ALVES (198)</v>
      </c>
      <c r="H594" t="str">
        <f>"Serv.Prest. 16/02/2026 a 22/02/2026 - PIX: CPF - CHAVE: 705.097.186-39"</f>
        <v>Serv.Prest. 16/02/2026 a 22/02/2026 - PIX: CPF - CHAVE: 705.097.186-39</v>
      </c>
      <c r="I594" t="str">
        <f t="shared" si="143"/>
        <v>05/03/2026</v>
      </c>
      <c r="J594" t="str">
        <f t="shared" si="139"/>
        <v>24/02/2026</v>
      </c>
      <c r="K594" t="str">
        <f>("05/03/2026")</f>
        <v>05/03/2026</v>
      </c>
      <c r="L594">
        <v>750</v>
      </c>
      <c r="M594">
        <v>750</v>
      </c>
      <c r="N594">
        <v>109</v>
      </c>
      <c r="O594" t="str">
        <f>"PAGAMENTO DE ENTREGADORES"</f>
        <v>PAGAMENTO DE ENTREGADORES</v>
      </c>
      <c r="P594">
        <v>750</v>
      </c>
      <c r="S594" t="str">
        <f>"BANCO C6 (149)"</f>
        <v>BANCO C6 (149)</v>
      </c>
      <c r="T594">
        <v>30148</v>
      </c>
      <c r="U594">
        <v>33649</v>
      </c>
      <c r="V594" t="s">
        <v>37</v>
      </c>
    </row>
    <row r="595" spans="1:22">
      <c r="A595" t="str">
        <f t="shared" si="140"/>
        <v>05/03/2026</v>
      </c>
      <c r="B595" t="str">
        <f t="shared" si="142"/>
        <v>SAÍDA</v>
      </c>
      <c r="C595" t="str">
        <f t="shared" si="145"/>
        <v>PIX</v>
      </c>
      <c r="D595" t="str">
        <f>"33649"</f>
        <v>33649</v>
      </c>
      <c r="E595" t="str">
        <f t="shared" si="141"/>
        <v>1</v>
      </c>
      <c r="F595" t="str">
        <f t="shared" si="144"/>
        <v>COM</v>
      </c>
      <c r="G595" t="str">
        <f>"LUIZ FERNANDO CARVALHO ALVES (198)"</f>
        <v>LUIZ FERNANDO CARVALHO ALVES (198)</v>
      </c>
      <c r="H595" t="s">
        <v>228</v>
      </c>
      <c r="I595" t="str">
        <f t="shared" si="143"/>
        <v>05/03/2026</v>
      </c>
      <c r="J595" t="str">
        <f t="shared" si="139"/>
        <v>24/02/2026</v>
      </c>
      <c r="K595">
        <v>46086</v>
      </c>
      <c r="N595">
        <v>109</v>
      </c>
      <c r="O595" t="s">
        <v>27</v>
      </c>
      <c r="Q595">
        <v>750</v>
      </c>
      <c r="R595" t="str">
        <f>"FARMÁCIA INDIANA LJ 171 (10074)"</f>
        <v>FARMÁCIA INDIANA LJ 171 (10074)</v>
      </c>
      <c r="S595" t="s">
        <v>37</v>
      </c>
      <c r="T595">
        <v>30148</v>
      </c>
      <c r="U595">
        <v>33649</v>
      </c>
      <c r="V595" t="s">
        <v>37</v>
      </c>
    </row>
    <row r="596" spans="1:22">
      <c r="A596" t="str">
        <f t="shared" si="140"/>
        <v>05/03/2026</v>
      </c>
      <c r="B596" t="str">
        <f t="shared" si="142"/>
        <v>SAÍDA</v>
      </c>
      <c r="C596" t="str">
        <f t="shared" si="145"/>
        <v>PIX</v>
      </c>
      <c r="D596" t="str">
        <f>"33651"</f>
        <v>33651</v>
      </c>
      <c r="E596" t="str">
        <f t="shared" si="141"/>
        <v>1</v>
      </c>
      <c r="F596" t="str">
        <f t="shared" si="144"/>
        <v>COM</v>
      </c>
      <c r="G596" t="str">
        <f>"MARCIO CLAUDIO DE ARAUJO (204)"</f>
        <v>MARCIO CLAUDIO DE ARAUJO (204)</v>
      </c>
      <c r="H596" t="str">
        <f>"Serv.Prest. 16/02/2026 a 22/02/2026 - PIX: CELULAR - CHAVE: (33) 98427-3872"</f>
        <v>Serv.Prest. 16/02/2026 a 22/02/2026 - PIX: CELULAR - CHAVE: (33) 98427-3872</v>
      </c>
      <c r="I596" t="str">
        <f t="shared" si="143"/>
        <v>05/03/2026</v>
      </c>
      <c r="J596" t="str">
        <f t="shared" si="139"/>
        <v>24/02/2026</v>
      </c>
      <c r="K596" t="str">
        <f>("05/03/2026")</f>
        <v>05/03/2026</v>
      </c>
      <c r="L596">
        <v>1044</v>
      </c>
      <c r="M596">
        <v>1044</v>
      </c>
      <c r="N596">
        <v>109</v>
      </c>
      <c r="O596" t="str">
        <f>"PAGAMENTO DE ENTREGADORES"</f>
        <v>PAGAMENTO DE ENTREGADORES</v>
      </c>
      <c r="P596">
        <v>1044</v>
      </c>
      <c r="S596" t="str">
        <f>"BANCO C6 (149)"</f>
        <v>BANCO C6 (149)</v>
      </c>
      <c r="T596">
        <v>30149</v>
      </c>
      <c r="U596">
        <v>33651</v>
      </c>
      <c r="V596" t="s">
        <v>37</v>
      </c>
    </row>
    <row r="597" spans="1:22">
      <c r="A597" t="str">
        <f t="shared" si="140"/>
        <v>05/03/2026</v>
      </c>
      <c r="B597" t="str">
        <f t="shared" si="142"/>
        <v>SAÍDA</v>
      </c>
      <c r="C597" t="str">
        <f t="shared" si="145"/>
        <v>PIX</v>
      </c>
      <c r="D597" t="str">
        <f>"33651"</f>
        <v>33651</v>
      </c>
      <c r="E597" t="str">
        <f t="shared" si="141"/>
        <v>1</v>
      </c>
      <c r="F597" t="str">
        <f t="shared" si="144"/>
        <v>COM</v>
      </c>
      <c r="G597" t="str">
        <f>"MARCIO CLAUDIO DE ARAUJO (204)"</f>
        <v>MARCIO CLAUDIO DE ARAUJO (204)</v>
      </c>
      <c r="H597" t="s">
        <v>229</v>
      </c>
      <c r="I597" t="str">
        <f t="shared" si="143"/>
        <v>05/03/2026</v>
      </c>
      <c r="J597" t="str">
        <f t="shared" si="139"/>
        <v>24/02/2026</v>
      </c>
      <c r="K597">
        <v>46086</v>
      </c>
      <c r="N597">
        <v>109</v>
      </c>
      <c r="O597" t="s">
        <v>27</v>
      </c>
      <c r="Q597">
        <v>1044</v>
      </c>
      <c r="R597" t="str">
        <f>"FARMÁCIA INDIANA LJ 06 (10006)"</f>
        <v>FARMÁCIA INDIANA LJ 06 (10006)</v>
      </c>
      <c r="S597" t="s">
        <v>37</v>
      </c>
      <c r="T597">
        <v>30149</v>
      </c>
      <c r="U597">
        <v>33651</v>
      </c>
      <c r="V597" t="s">
        <v>37</v>
      </c>
    </row>
    <row r="598" spans="1:22">
      <c r="A598" t="str">
        <f t="shared" si="140"/>
        <v>05/03/2026</v>
      </c>
      <c r="B598" t="str">
        <f t="shared" si="142"/>
        <v>SAÍDA</v>
      </c>
      <c r="C598" t="str">
        <f t="shared" si="145"/>
        <v>PIX</v>
      </c>
      <c r="D598" t="str">
        <f>"33652"</f>
        <v>33652</v>
      </c>
      <c r="E598" t="str">
        <f t="shared" si="141"/>
        <v>1</v>
      </c>
      <c r="F598" t="str">
        <f t="shared" si="144"/>
        <v>COM</v>
      </c>
      <c r="G598" t="str">
        <f>"MARCOS DIONI RODRIGUES GASPAR (506)"</f>
        <v>MARCOS DIONI RODRIGUES GASPAR (506)</v>
      </c>
      <c r="H598" t="str">
        <f>"Serv.Prest. 16/02/2026 a 22/02/2026 - PIX: E-MAIL - CHAVE: dih.mdr@gmail.com"</f>
        <v>Serv.Prest. 16/02/2026 a 22/02/2026 - PIX: E-MAIL - CHAVE: dih.mdr@gmail.com</v>
      </c>
      <c r="I598" t="str">
        <f t="shared" si="143"/>
        <v>05/03/2026</v>
      </c>
      <c r="J598" t="str">
        <f t="shared" ref="J598:J661" si="146">("24/02/2026")</f>
        <v>24/02/2026</v>
      </c>
      <c r="K598" t="str">
        <f>("05/03/2026")</f>
        <v>05/03/2026</v>
      </c>
      <c r="L598">
        <v>900</v>
      </c>
      <c r="M598">
        <v>900</v>
      </c>
      <c r="N598">
        <v>109</v>
      </c>
      <c r="O598" t="str">
        <f>"PAGAMENTO DE ENTREGADORES"</f>
        <v>PAGAMENTO DE ENTREGADORES</v>
      </c>
      <c r="P598">
        <v>900</v>
      </c>
      <c r="S598" t="str">
        <f>"BANCO C6 (149)"</f>
        <v>BANCO C6 (149)</v>
      </c>
      <c r="T598">
        <v>30150</v>
      </c>
      <c r="U598">
        <v>33652</v>
      </c>
      <c r="V598" t="s">
        <v>37</v>
      </c>
    </row>
    <row r="599" spans="1:22">
      <c r="A599" t="str">
        <f t="shared" si="140"/>
        <v>05/03/2026</v>
      </c>
      <c r="B599" t="str">
        <f t="shared" si="142"/>
        <v>SAÍDA</v>
      </c>
      <c r="C599" t="str">
        <f t="shared" si="145"/>
        <v>PIX</v>
      </c>
      <c r="D599" t="str">
        <f>"33652"</f>
        <v>33652</v>
      </c>
      <c r="E599" t="str">
        <f t="shared" si="141"/>
        <v>1</v>
      </c>
      <c r="F599" t="str">
        <f t="shared" si="144"/>
        <v>COM</v>
      </c>
      <c r="G599" t="str">
        <f>"MARCOS DIONI RODRIGUES GASPAR (506)"</f>
        <v>MARCOS DIONI RODRIGUES GASPAR (506)</v>
      </c>
      <c r="H599" t="s">
        <v>230</v>
      </c>
      <c r="I599" t="str">
        <f t="shared" si="143"/>
        <v>05/03/2026</v>
      </c>
      <c r="J599" t="str">
        <f t="shared" si="146"/>
        <v>24/02/2026</v>
      </c>
      <c r="K599">
        <v>46086</v>
      </c>
      <c r="N599">
        <v>109</v>
      </c>
      <c r="O599" t="s">
        <v>27</v>
      </c>
      <c r="Q599">
        <v>900</v>
      </c>
      <c r="R599" t="str">
        <f>"FARMÁCIA INDIANA LJ 06 (10006)"</f>
        <v>FARMÁCIA INDIANA LJ 06 (10006)</v>
      </c>
      <c r="S599" t="s">
        <v>37</v>
      </c>
      <c r="T599">
        <v>30150</v>
      </c>
      <c r="U599">
        <v>33652</v>
      </c>
      <c r="V599" t="s">
        <v>37</v>
      </c>
    </row>
    <row r="600" spans="1:22">
      <c r="A600" t="str">
        <f t="shared" si="140"/>
        <v>05/03/2026</v>
      </c>
      <c r="B600" t="str">
        <f t="shared" si="142"/>
        <v>SAÍDA</v>
      </c>
      <c r="C600" t="str">
        <f t="shared" si="145"/>
        <v>PIX</v>
      </c>
      <c r="D600" t="str">
        <f>"33654"</f>
        <v>33654</v>
      </c>
      <c r="E600" t="str">
        <f t="shared" si="141"/>
        <v>1</v>
      </c>
      <c r="F600" t="str">
        <f t="shared" si="144"/>
        <v>COM</v>
      </c>
      <c r="G600" t="str">
        <f>"MATHEUS VIEIRA DA SILVA (886)"</f>
        <v>MATHEUS VIEIRA DA SILVA (886)</v>
      </c>
      <c r="H600" t="str">
        <f>"Serv.Prest. 16/02/2026 a 22/02/2026 - PIX: CPF - CHAVE: 142.716.106-23"</f>
        <v>Serv.Prest. 16/02/2026 a 22/02/2026 - PIX: CPF - CHAVE: 142.716.106-23</v>
      </c>
      <c r="I600" t="str">
        <f t="shared" si="143"/>
        <v>05/03/2026</v>
      </c>
      <c r="J600" t="str">
        <f t="shared" si="146"/>
        <v>24/02/2026</v>
      </c>
      <c r="K600" t="str">
        <f>("05/03/2026")</f>
        <v>05/03/2026</v>
      </c>
      <c r="L600">
        <v>1158</v>
      </c>
      <c r="M600">
        <v>1158</v>
      </c>
      <c r="N600">
        <v>109</v>
      </c>
      <c r="O600" t="str">
        <f>"PAGAMENTO DE ENTREGADORES"</f>
        <v>PAGAMENTO DE ENTREGADORES</v>
      </c>
      <c r="P600">
        <v>1158</v>
      </c>
      <c r="S600" t="str">
        <f>"BANCO C6 (149)"</f>
        <v>BANCO C6 (149)</v>
      </c>
      <c r="T600">
        <v>30151</v>
      </c>
      <c r="U600">
        <v>33654</v>
      </c>
      <c r="V600" t="s">
        <v>37</v>
      </c>
    </row>
    <row r="601" spans="1:22">
      <c r="A601" t="str">
        <f t="shared" si="140"/>
        <v>05/03/2026</v>
      </c>
      <c r="B601" t="str">
        <f t="shared" si="142"/>
        <v>SAÍDA</v>
      </c>
      <c r="C601" t="str">
        <f t="shared" si="145"/>
        <v>PIX</v>
      </c>
      <c r="D601" t="str">
        <f>"33654"</f>
        <v>33654</v>
      </c>
      <c r="E601" t="str">
        <f t="shared" si="141"/>
        <v>1</v>
      </c>
      <c r="F601" t="str">
        <f t="shared" si="144"/>
        <v>COM</v>
      </c>
      <c r="G601" t="str">
        <f>"MATHEUS VIEIRA DA SILVA (886)"</f>
        <v>MATHEUS VIEIRA DA SILVA (886)</v>
      </c>
      <c r="H601" t="s">
        <v>231</v>
      </c>
      <c r="I601" t="str">
        <f t="shared" si="143"/>
        <v>05/03/2026</v>
      </c>
      <c r="J601" t="str">
        <f t="shared" si="146"/>
        <v>24/02/2026</v>
      </c>
      <c r="K601">
        <v>46086</v>
      </c>
      <c r="N601">
        <v>109</v>
      </c>
      <c r="O601" t="s">
        <v>27</v>
      </c>
      <c r="Q601">
        <v>1158</v>
      </c>
      <c r="R601" t="str">
        <f>"FARMÁCIA INDIANA LJ 07 (10007)"</f>
        <v>FARMÁCIA INDIANA LJ 07 (10007)</v>
      </c>
      <c r="S601" t="s">
        <v>37</v>
      </c>
      <c r="T601">
        <v>30151</v>
      </c>
      <c r="U601">
        <v>33654</v>
      </c>
      <c r="V601" t="s">
        <v>37</v>
      </c>
    </row>
    <row r="602" spans="1:22">
      <c r="A602" t="str">
        <f t="shared" si="140"/>
        <v>05/03/2026</v>
      </c>
      <c r="B602" t="str">
        <f t="shared" si="142"/>
        <v>SAÍDA</v>
      </c>
      <c r="C602" t="str">
        <f t="shared" si="145"/>
        <v>PIX</v>
      </c>
      <c r="D602" t="str">
        <f>"33655"</f>
        <v>33655</v>
      </c>
      <c r="E602" t="str">
        <f t="shared" si="141"/>
        <v>1</v>
      </c>
      <c r="F602" t="str">
        <f t="shared" si="144"/>
        <v>COM</v>
      </c>
      <c r="G602" t="str">
        <f>"MAURO AUGUSTO MACHADO DE ASSIS (767)"</f>
        <v>MAURO AUGUSTO MACHADO DE ASSIS (767)</v>
      </c>
      <c r="H602" t="str">
        <f>"Serv.Prest. 16/02/2026 a 22/02/2026 - PIX: CNPJ - CHAVE: 64.142.681/0001-05"</f>
        <v>Serv.Prest. 16/02/2026 a 22/02/2026 - PIX: CNPJ - CHAVE: 64.142.681/0001-05</v>
      </c>
      <c r="I602" t="str">
        <f t="shared" si="143"/>
        <v>05/03/2026</v>
      </c>
      <c r="J602" t="str">
        <f t="shared" si="146"/>
        <v>24/02/2026</v>
      </c>
      <c r="K602" t="str">
        <f>("05/03/2026")</f>
        <v>05/03/2026</v>
      </c>
      <c r="L602">
        <v>816</v>
      </c>
      <c r="M602">
        <v>816</v>
      </c>
      <c r="N602">
        <v>109</v>
      </c>
      <c r="O602" t="str">
        <f>"PAGAMENTO DE ENTREGADORES"</f>
        <v>PAGAMENTO DE ENTREGADORES</v>
      </c>
      <c r="P602">
        <v>816</v>
      </c>
      <c r="S602" t="str">
        <f>"BANCO C6 (149)"</f>
        <v>BANCO C6 (149)</v>
      </c>
      <c r="T602">
        <v>30152</v>
      </c>
      <c r="U602">
        <v>33655</v>
      </c>
      <c r="V602" t="s">
        <v>37</v>
      </c>
    </row>
    <row r="603" spans="1:22">
      <c r="A603" t="str">
        <f t="shared" si="140"/>
        <v>05/03/2026</v>
      </c>
      <c r="B603" t="str">
        <f t="shared" si="142"/>
        <v>SAÍDA</v>
      </c>
      <c r="C603" t="str">
        <f t="shared" si="145"/>
        <v>PIX</v>
      </c>
      <c r="D603" t="str">
        <f>"33655"</f>
        <v>33655</v>
      </c>
      <c r="E603" t="str">
        <f t="shared" si="141"/>
        <v>1</v>
      </c>
      <c r="F603" t="str">
        <f t="shared" si="144"/>
        <v>COM</v>
      </c>
      <c r="G603" t="str">
        <f>"MAURO AUGUSTO MACHADO DE ASSIS (767)"</f>
        <v>MAURO AUGUSTO MACHADO DE ASSIS (767)</v>
      </c>
      <c r="H603" t="s">
        <v>232</v>
      </c>
      <c r="I603" t="str">
        <f t="shared" si="143"/>
        <v>05/03/2026</v>
      </c>
      <c r="J603" t="str">
        <f t="shared" si="146"/>
        <v>24/02/2026</v>
      </c>
      <c r="K603">
        <v>46086</v>
      </c>
      <c r="N603">
        <v>109</v>
      </c>
      <c r="O603" t="s">
        <v>27</v>
      </c>
      <c r="Q603">
        <v>569.98</v>
      </c>
      <c r="R603" t="str">
        <f>"FARMÁCIA INDIANA LJ 11 (10008)"</f>
        <v>FARMÁCIA INDIANA LJ 11 (10008)</v>
      </c>
      <c r="S603" t="s">
        <v>37</v>
      </c>
      <c r="T603">
        <v>30152</v>
      </c>
      <c r="U603">
        <v>33655</v>
      </c>
      <c r="V603" t="s">
        <v>37</v>
      </c>
    </row>
    <row r="604" spans="1:22">
      <c r="A604" t="str">
        <f t="shared" si="140"/>
        <v>05/03/2026</v>
      </c>
      <c r="B604" t="str">
        <f t="shared" si="142"/>
        <v>SAÍDA</v>
      </c>
      <c r="C604" t="str">
        <f t="shared" si="145"/>
        <v>PIX</v>
      </c>
      <c r="D604" t="str">
        <f>"33655"</f>
        <v>33655</v>
      </c>
      <c r="E604" t="str">
        <f t="shared" si="141"/>
        <v>1</v>
      </c>
      <c r="F604" t="str">
        <f t="shared" si="144"/>
        <v>COM</v>
      </c>
      <c r="G604" t="str">
        <f>"MAURO AUGUSTO MACHADO DE ASSIS (767)"</f>
        <v>MAURO AUGUSTO MACHADO DE ASSIS (767)</v>
      </c>
      <c r="H604" t="s">
        <v>232</v>
      </c>
      <c r="I604" t="str">
        <f t="shared" si="143"/>
        <v>05/03/2026</v>
      </c>
      <c r="J604" t="str">
        <f t="shared" si="146"/>
        <v>24/02/2026</v>
      </c>
      <c r="K604">
        <v>46086</v>
      </c>
      <c r="N604">
        <v>109</v>
      </c>
      <c r="O604" t="s">
        <v>27</v>
      </c>
      <c r="Q604">
        <v>246.02</v>
      </c>
      <c r="R604" t="str">
        <f>"FARMÁCIA INDIANA LJ 172 (10161)"</f>
        <v>FARMÁCIA INDIANA LJ 172 (10161)</v>
      </c>
      <c r="S604" t="s">
        <v>37</v>
      </c>
      <c r="T604">
        <v>30152</v>
      </c>
      <c r="U604">
        <v>33655</v>
      </c>
      <c r="V604" t="s">
        <v>37</v>
      </c>
    </row>
    <row r="605" spans="1:22">
      <c r="A605" t="str">
        <f t="shared" si="140"/>
        <v>05/03/2026</v>
      </c>
      <c r="B605" t="str">
        <f t="shared" si="142"/>
        <v>SAÍDA</v>
      </c>
      <c r="C605" t="str">
        <f t="shared" si="145"/>
        <v>PIX</v>
      </c>
      <c r="D605" t="str">
        <f>"33656"</f>
        <v>33656</v>
      </c>
      <c r="E605" t="str">
        <f t="shared" si="141"/>
        <v>1</v>
      </c>
      <c r="F605" t="str">
        <f t="shared" si="144"/>
        <v>COM</v>
      </c>
      <c r="G605" t="str">
        <f>"MAYCON GUILHERME DUARTE (541)"</f>
        <v>MAYCON GUILHERME DUARTE (541)</v>
      </c>
      <c r="H605" t="str">
        <f>"Serv.Prest. 16/02/2026 a 22/02/2026 - PIX: CELULAR - CHAVE: (31) 99076-6539"</f>
        <v>Serv.Prest. 16/02/2026 a 22/02/2026 - PIX: CELULAR - CHAVE: (31) 99076-6539</v>
      </c>
      <c r="I605" t="str">
        <f t="shared" si="143"/>
        <v>05/03/2026</v>
      </c>
      <c r="J605" t="str">
        <f t="shared" si="146"/>
        <v>24/02/2026</v>
      </c>
      <c r="K605" t="str">
        <f>("05/03/2026")</f>
        <v>05/03/2026</v>
      </c>
      <c r="L605">
        <v>1668</v>
      </c>
      <c r="M605">
        <v>1668</v>
      </c>
      <c r="N605">
        <v>109</v>
      </c>
      <c r="O605" t="str">
        <f>"PAGAMENTO DE ENTREGADORES"</f>
        <v>PAGAMENTO DE ENTREGADORES</v>
      </c>
      <c r="P605">
        <v>1668</v>
      </c>
      <c r="S605" t="str">
        <f>"BANCO C6 (149)"</f>
        <v>BANCO C6 (149)</v>
      </c>
      <c r="T605">
        <v>30153</v>
      </c>
      <c r="U605">
        <v>33656</v>
      </c>
      <c r="V605" t="s">
        <v>37</v>
      </c>
    </row>
    <row r="606" spans="1:22">
      <c r="A606" t="str">
        <f t="shared" si="140"/>
        <v>05/03/2026</v>
      </c>
      <c r="B606" t="str">
        <f t="shared" si="142"/>
        <v>SAÍDA</v>
      </c>
      <c r="C606" t="str">
        <f t="shared" si="145"/>
        <v>PIX</v>
      </c>
      <c r="D606" t="str">
        <f>"33656"</f>
        <v>33656</v>
      </c>
      <c r="E606" t="str">
        <f t="shared" si="141"/>
        <v>1</v>
      </c>
      <c r="F606" t="str">
        <f t="shared" si="144"/>
        <v>COM</v>
      </c>
      <c r="G606" t="str">
        <f>"MAYCON GUILHERME DUARTE (541)"</f>
        <v>MAYCON GUILHERME DUARTE (541)</v>
      </c>
      <c r="H606" t="s">
        <v>233</v>
      </c>
      <c r="I606" t="str">
        <f t="shared" si="143"/>
        <v>05/03/2026</v>
      </c>
      <c r="J606" t="str">
        <f t="shared" si="146"/>
        <v>24/02/2026</v>
      </c>
      <c r="K606">
        <v>46086</v>
      </c>
      <c r="N606">
        <v>109</v>
      </c>
      <c r="O606" t="s">
        <v>27</v>
      </c>
      <c r="Q606">
        <v>1668</v>
      </c>
      <c r="R606" t="str">
        <f>"FARMÁCIA INDIANA LJ 220 (10092)"</f>
        <v>FARMÁCIA INDIANA LJ 220 (10092)</v>
      </c>
      <c r="S606" t="s">
        <v>37</v>
      </c>
      <c r="T606">
        <v>30153</v>
      </c>
      <c r="U606">
        <v>33656</v>
      </c>
      <c r="V606" t="s">
        <v>37</v>
      </c>
    </row>
    <row r="607" spans="1:22">
      <c r="A607" t="str">
        <f t="shared" si="140"/>
        <v>05/03/2026</v>
      </c>
      <c r="B607" t="str">
        <f t="shared" si="142"/>
        <v>SAÍDA</v>
      </c>
      <c r="C607" t="str">
        <f t="shared" si="145"/>
        <v>PIX</v>
      </c>
      <c r="D607" t="str">
        <f>"33657"</f>
        <v>33657</v>
      </c>
      <c r="E607" t="str">
        <f t="shared" si="141"/>
        <v>1</v>
      </c>
      <c r="F607" t="str">
        <f t="shared" si="144"/>
        <v>COM</v>
      </c>
      <c r="G607" t="str">
        <f>"MIGUEL PESSOA RAMOS (68)"</f>
        <v>MIGUEL PESSOA RAMOS (68)</v>
      </c>
      <c r="H607" t="str">
        <f>"Serv.Prest. 16/02/2026 a 22/02/2026 - PIX: CELULAR - CHAVE: (33) 99845-0493"</f>
        <v>Serv.Prest. 16/02/2026 a 22/02/2026 - PIX: CELULAR - CHAVE: (33) 99845-0493</v>
      </c>
      <c r="I607" t="str">
        <f t="shared" si="143"/>
        <v>05/03/2026</v>
      </c>
      <c r="J607" t="str">
        <f t="shared" si="146"/>
        <v>24/02/2026</v>
      </c>
      <c r="K607" t="str">
        <f>("05/03/2026")</f>
        <v>05/03/2026</v>
      </c>
      <c r="L607">
        <v>510</v>
      </c>
      <c r="M607">
        <v>510</v>
      </c>
      <c r="N607">
        <v>109</v>
      </c>
      <c r="O607" t="str">
        <f>"PAGAMENTO DE ENTREGADORES"</f>
        <v>PAGAMENTO DE ENTREGADORES</v>
      </c>
      <c r="P607">
        <v>510</v>
      </c>
      <c r="S607" t="str">
        <f>"BANCO C6 (149)"</f>
        <v>BANCO C6 (149)</v>
      </c>
      <c r="T607">
        <v>30154</v>
      </c>
      <c r="U607">
        <v>33657</v>
      </c>
      <c r="V607" t="s">
        <v>37</v>
      </c>
    </row>
    <row r="608" spans="1:22">
      <c r="A608" t="str">
        <f t="shared" ref="A608:A671" si="147">("05/03/2026")</f>
        <v>05/03/2026</v>
      </c>
      <c r="B608" t="str">
        <f t="shared" si="142"/>
        <v>SAÍDA</v>
      </c>
      <c r="C608" t="str">
        <f t="shared" si="145"/>
        <v>PIX</v>
      </c>
      <c r="D608" t="str">
        <f>"33657"</f>
        <v>33657</v>
      </c>
      <c r="E608" t="str">
        <f t="shared" si="141"/>
        <v>1</v>
      </c>
      <c r="F608" t="str">
        <f t="shared" si="144"/>
        <v>COM</v>
      </c>
      <c r="G608" t="str">
        <f>"MIGUEL PESSOA RAMOS (68)"</f>
        <v>MIGUEL PESSOA RAMOS (68)</v>
      </c>
      <c r="H608" t="s">
        <v>234</v>
      </c>
      <c r="I608" t="str">
        <f t="shared" si="143"/>
        <v>05/03/2026</v>
      </c>
      <c r="J608" t="str">
        <f t="shared" si="146"/>
        <v>24/02/2026</v>
      </c>
      <c r="K608">
        <v>46086</v>
      </c>
      <c r="N608">
        <v>109</v>
      </c>
      <c r="O608" t="s">
        <v>27</v>
      </c>
      <c r="Q608">
        <v>510</v>
      </c>
      <c r="R608" t="str">
        <f>"FARMÁCIA INDIANA LJ 07 (10007)"</f>
        <v>FARMÁCIA INDIANA LJ 07 (10007)</v>
      </c>
      <c r="S608" t="s">
        <v>37</v>
      </c>
      <c r="T608">
        <v>30154</v>
      </c>
      <c r="U608">
        <v>33657</v>
      </c>
      <c r="V608" t="s">
        <v>37</v>
      </c>
    </row>
    <row r="609" spans="1:22">
      <c r="A609" t="str">
        <f t="shared" si="147"/>
        <v>05/03/2026</v>
      </c>
      <c r="B609" t="str">
        <f t="shared" si="142"/>
        <v>SAÍDA</v>
      </c>
      <c r="C609" t="str">
        <f t="shared" si="145"/>
        <v>PIX</v>
      </c>
      <c r="D609" t="str">
        <f>"33658"</f>
        <v>33658</v>
      </c>
      <c r="E609" t="str">
        <f t="shared" si="141"/>
        <v>1</v>
      </c>
      <c r="F609" t="str">
        <f t="shared" si="144"/>
        <v>COM</v>
      </c>
      <c r="G609" t="str">
        <f>"MURILO BARRETO AFONSO (30)"</f>
        <v>MURILO BARRETO AFONSO (30)</v>
      </c>
      <c r="H609" t="str">
        <f>"Serv.Prest. 16/02/2026 a 22/02/2026 - PIX: CPF - CHAVE: 123.020.026-60"</f>
        <v>Serv.Prest. 16/02/2026 a 22/02/2026 - PIX: CPF - CHAVE: 123.020.026-60</v>
      </c>
      <c r="I609" t="str">
        <f t="shared" si="143"/>
        <v>05/03/2026</v>
      </c>
      <c r="J609" t="str">
        <f t="shared" si="146"/>
        <v>24/02/2026</v>
      </c>
      <c r="K609" t="str">
        <f>("05/03/2026")</f>
        <v>05/03/2026</v>
      </c>
      <c r="L609">
        <v>1200</v>
      </c>
      <c r="M609">
        <v>1200</v>
      </c>
      <c r="N609">
        <v>109</v>
      </c>
      <c r="O609" t="str">
        <f>"PAGAMENTO DE ENTREGADORES"</f>
        <v>PAGAMENTO DE ENTREGADORES</v>
      </c>
      <c r="P609">
        <v>1200</v>
      </c>
      <c r="S609" t="str">
        <f>"BANCO C6 (149)"</f>
        <v>BANCO C6 (149)</v>
      </c>
      <c r="T609">
        <v>30155</v>
      </c>
      <c r="U609">
        <v>33658</v>
      </c>
      <c r="V609" t="s">
        <v>37</v>
      </c>
    </row>
    <row r="610" spans="1:22">
      <c r="A610" t="str">
        <f t="shared" si="147"/>
        <v>05/03/2026</v>
      </c>
      <c r="B610" t="str">
        <f t="shared" si="142"/>
        <v>SAÍDA</v>
      </c>
      <c r="C610" t="str">
        <f t="shared" si="145"/>
        <v>PIX</v>
      </c>
      <c r="D610" t="str">
        <f>"33658"</f>
        <v>33658</v>
      </c>
      <c r="E610" t="str">
        <f t="shared" si="141"/>
        <v>1</v>
      </c>
      <c r="F610" t="str">
        <f t="shared" si="144"/>
        <v>COM</v>
      </c>
      <c r="G610" t="str">
        <f>"MURILO BARRETO AFONSO (30)"</f>
        <v>MURILO BARRETO AFONSO (30)</v>
      </c>
      <c r="H610" t="s">
        <v>235</v>
      </c>
      <c r="I610" t="str">
        <f t="shared" si="143"/>
        <v>05/03/2026</v>
      </c>
      <c r="J610" t="str">
        <f t="shared" si="146"/>
        <v>24/02/2026</v>
      </c>
      <c r="K610">
        <v>46086</v>
      </c>
      <c r="N610">
        <v>109</v>
      </c>
      <c r="O610" t="s">
        <v>27</v>
      </c>
      <c r="Q610">
        <v>505.68</v>
      </c>
      <c r="R610" t="str">
        <f>"FARMÁCIA INDIANA LJ 118 (10052)"</f>
        <v>FARMÁCIA INDIANA LJ 118 (10052)</v>
      </c>
      <c r="S610" t="s">
        <v>37</v>
      </c>
      <c r="T610">
        <v>30155</v>
      </c>
      <c r="U610">
        <v>33658</v>
      </c>
      <c r="V610" t="s">
        <v>37</v>
      </c>
    </row>
    <row r="611" spans="1:22">
      <c r="A611" t="str">
        <f t="shared" si="147"/>
        <v>05/03/2026</v>
      </c>
      <c r="B611" t="str">
        <f t="shared" si="142"/>
        <v>SAÍDA</v>
      </c>
      <c r="C611" t="str">
        <f t="shared" si="145"/>
        <v>PIX</v>
      </c>
      <c r="D611" t="str">
        <f>"33658"</f>
        <v>33658</v>
      </c>
      <c r="E611" t="str">
        <f t="shared" si="141"/>
        <v>1</v>
      </c>
      <c r="F611" t="str">
        <f t="shared" si="144"/>
        <v>COM</v>
      </c>
      <c r="G611" t="str">
        <f>"MURILO BARRETO AFONSO (30)"</f>
        <v>MURILO BARRETO AFONSO (30)</v>
      </c>
      <c r="H611" t="s">
        <v>235</v>
      </c>
      <c r="I611" t="str">
        <f t="shared" si="143"/>
        <v>05/03/2026</v>
      </c>
      <c r="J611" t="str">
        <f t="shared" si="146"/>
        <v>24/02/2026</v>
      </c>
      <c r="K611">
        <v>46086</v>
      </c>
      <c r="N611">
        <v>109</v>
      </c>
      <c r="O611" t="s">
        <v>27</v>
      </c>
      <c r="Q611">
        <v>694.32</v>
      </c>
      <c r="R611" t="str">
        <f>"FARMÁCIA INDIANA LJ 192 (10082)"</f>
        <v>FARMÁCIA INDIANA LJ 192 (10082)</v>
      </c>
      <c r="S611" t="s">
        <v>37</v>
      </c>
      <c r="T611">
        <v>30155</v>
      </c>
      <c r="U611">
        <v>33658</v>
      </c>
      <c r="V611" t="s">
        <v>37</v>
      </c>
    </row>
    <row r="612" spans="1:22">
      <c r="A612" t="str">
        <f t="shared" si="147"/>
        <v>05/03/2026</v>
      </c>
      <c r="B612" t="str">
        <f t="shared" si="142"/>
        <v>SAÍDA</v>
      </c>
      <c r="C612" t="str">
        <f t="shared" si="145"/>
        <v>PIX</v>
      </c>
      <c r="D612" t="str">
        <f>"33659"</f>
        <v>33659</v>
      </c>
      <c r="E612" t="str">
        <f t="shared" si="141"/>
        <v>1</v>
      </c>
      <c r="F612" t="str">
        <f t="shared" si="144"/>
        <v>COM</v>
      </c>
      <c r="G612" t="str">
        <f>"NELSON DOS SANTOS RODRIGUES (37)"</f>
        <v>NELSON DOS SANTOS RODRIGUES (37)</v>
      </c>
      <c r="H612" t="str">
        <f>"Serv.Prest. 16/02/2026 a 22/02/2026 - PIX: CPF - CHAVE: 108.680.396-59"</f>
        <v>Serv.Prest. 16/02/2026 a 22/02/2026 - PIX: CPF - CHAVE: 108.680.396-59</v>
      </c>
      <c r="I612" t="str">
        <f t="shared" si="143"/>
        <v>05/03/2026</v>
      </c>
      <c r="J612" t="str">
        <f t="shared" si="146"/>
        <v>24/02/2026</v>
      </c>
      <c r="K612" t="str">
        <f>("05/03/2026")</f>
        <v>05/03/2026</v>
      </c>
      <c r="L612">
        <v>762</v>
      </c>
      <c r="M612">
        <v>762</v>
      </c>
      <c r="N612">
        <v>109</v>
      </c>
      <c r="O612" t="str">
        <f>"PAGAMENTO DE ENTREGADORES"</f>
        <v>PAGAMENTO DE ENTREGADORES</v>
      </c>
      <c r="P612">
        <v>762</v>
      </c>
      <c r="S612" t="str">
        <f>"BANCO C6 (149)"</f>
        <v>BANCO C6 (149)</v>
      </c>
      <c r="T612">
        <v>30156</v>
      </c>
      <c r="U612">
        <v>33659</v>
      </c>
      <c r="V612" t="s">
        <v>37</v>
      </c>
    </row>
    <row r="613" spans="1:22">
      <c r="A613" t="str">
        <f t="shared" si="147"/>
        <v>05/03/2026</v>
      </c>
      <c r="B613" t="str">
        <f t="shared" si="142"/>
        <v>SAÍDA</v>
      </c>
      <c r="C613" t="str">
        <f t="shared" si="145"/>
        <v>PIX</v>
      </c>
      <c r="D613" t="str">
        <f>"33659"</f>
        <v>33659</v>
      </c>
      <c r="E613" t="str">
        <f t="shared" si="141"/>
        <v>1</v>
      </c>
      <c r="F613" t="str">
        <f t="shared" si="144"/>
        <v>COM</v>
      </c>
      <c r="G613" t="str">
        <f>"NELSON DOS SANTOS RODRIGUES (37)"</f>
        <v>NELSON DOS SANTOS RODRIGUES (37)</v>
      </c>
      <c r="H613" t="s">
        <v>236</v>
      </c>
      <c r="I613" t="str">
        <f t="shared" si="143"/>
        <v>05/03/2026</v>
      </c>
      <c r="J613" t="str">
        <f t="shared" si="146"/>
        <v>24/02/2026</v>
      </c>
      <c r="K613">
        <v>46086</v>
      </c>
      <c r="N613">
        <v>109</v>
      </c>
      <c r="O613" t="s">
        <v>27</v>
      </c>
      <c r="Q613">
        <v>762</v>
      </c>
      <c r="R613" t="str">
        <f>"FARMÁCIA INDIANA LJ 11 (10008)"</f>
        <v>FARMÁCIA INDIANA LJ 11 (10008)</v>
      </c>
      <c r="S613" t="s">
        <v>37</v>
      </c>
      <c r="T613">
        <v>30156</v>
      </c>
      <c r="U613">
        <v>33659</v>
      </c>
      <c r="V613" t="s">
        <v>37</v>
      </c>
    </row>
    <row r="614" spans="1:22">
      <c r="A614" t="str">
        <f t="shared" si="147"/>
        <v>05/03/2026</v>
      </c>
      <c r="B614" t="str">
        <f t="shared" si="142"/>
        <v>SAÍDA</v>
      </c>
      <c r="C614" t="str">
        <f t="shared" si="145"/>
        <v>PIX</v>
      </c>
      <c r="D614" t="str">
        <f>"33660"</f>
        <v>33660</v>
      </c>
      <c r="E614" t="str">
        <f t="shared" si="141"/>
        <v>1</v>
      </c>
      <c r="F614" t="str">
        <f t="shared" si="144"/>
        <v>COM</v>
      </c>
      <c r="G614" t="str">
        <f>"NILTON RODRIGUES DE SOUZA (136)"</f>
        <v>NILTON RODRIGUES DE SOUZA (136)</v>
      </c>
      <c r="H614" t="str">
        <f>"Serv.Prest. 16/02/2026 a 22/02/2026 - PIX: CPF - CHAVE: 037.974.316-78"</f>
        <v>Serv.Prest. 16/02/2026 a 22/02/2026 - PIX: CPF - CHAVE: 037.974.316-78</v>
      </c>
      <c r="I614" t="str">
        <f t="shared" si="143"/>
        <v>05/03/2026</v>
      </c>
      <c r="J614" t="str">
        <f t="shared" si="146"/>
        <v>24/02/2026</v>
      </c>
      <c r="K614" t="str">
        <f>("05/03/2026")</f>
        <v>05/03/2026</v>
      </c>
      <c r="L614">
        <v>768</v>
      </c>
      <c r="M614">
        <v>768</v>
      </c>
      <c r="N614">
        <v>109</v>
      </c>
      <c r="O614" t="str">
        <f>"PAGAMENTO DE ENTREGADORES"</f>
        <v>PAGAMENTO DE ENTREGADORES</v>
      </c>
      <c r="P614">
        <v>768</v>
      </c>
      <c r="S614" t="str">
        <f>"BANCO C6 (149)"</f>
        <v>BANCO C6 (149)</v>
      </c>
      <c r="T614">
        <v>30157</v>
      </c>
      <c r="U614">
        <v>33660</v>
      </c>
      <c r="V614" t="s">
        <v>37</v>
      </c>
    </row>
    <row r="615" spans="1:22">
      <c r="A615" t="str">
        <f t="shared" si="147"/>
        <v>05/03/2026</v>
      </c>
      <c r="B615" t="str">
        <f t="shared" si="142"/>
        <v>SAÍDA</v>
      </c>
      <c r="C615" t="str">
        <f t="shared" si="145"/>
        <v>PIX</v>
      </c>
      <c r="D615" t="str">
        <f>"33660"</f>
        <v>33660</v>
      </c>
      <c r="E615" t="str">
        <f t="shared" si="141"/>
        <v>1</v>
      </c>
      <c r="F615" t="str">
        <f t="shared" si="144"/>
        <v>COM</v>
      </c>
      <c r="G615" t="str">
        <f>"NILTON RODRIGUES DE SOUZA (136)"</f>
        <v>NILTON RODRIGUES DE SOUZA (136)</v>
      </c>
      <c r="H615" t="s">
        <v>237</v>
      </c>
      <c r="I615" t="str">
        <f t="shared" si="143"/>
        <v>05/03/2026</v>
      </c>
      <c r="J615" t="str">
        <f t="shared" si="146"/>
        <v>24/02/2026</v>
      </c>
      <c r="K615">
        <v>46086</v>
      </c>
      <c r="N615">
        <v>109</v>
      </c>
      <c r="O615" t="s">
        <v>27</v>
      </c>
      <c r="Q615">
        <v>635.98</v>
      </c>
      <c r="R615" t="str">
        <f>"FARMÁCIA INDIANA LJ 18 (10011)"</f>
        <v>FARMÁCIA INDIANA LJ 18 (10011)</v>
      </c>
      <c r="S615" t="s">
        <v>37</v>
      </c>
      <c r="T615">
        <v>30157</v>
      </c>
      <c r="U615">
        <v>33660</v>
      </c>
      <c r="V615" t="s">
        <v>37</v>
      </c>
    </row>
    <row r="616" spans="1:22">
      <c r="A616" t="str">
        <f t="shared" si="147"/>
        <v>05/03/2026</v>
      </c>
      <c r="B616" t="str">
        <f t="shared" si="142"/>
        <v>SAÍDA</v>
      </c>
      <c r="C616" t="str">
        <f t="shared" si="145"/>
        <v>PIX</v>
      </c>
      <c r="D616" t="str">
        <f>"33660"</f>
        <v>33660</v>
      </c>
      <c r="E616" t="str">
        <f t="shared" si="141"/>
        <v>1</v>
      </c>
      <c r="F616" t="str">
        <f t="shared" si="144"/>
        <v>COM</v>
      </c>
      <c r="G616" t="str">
        <f>"NILTON RODRIGUES DE SOUZA (136)"</f>
        <v>NILTON RODRIGUES DE SOUZA (136)</v>
      </c>
      <c r="H616" t="s">
        <v>237</v>
      </c>
      <c r="I616" t="str">
        <f t="shared" si="143"/>
        <v>05/03/2026</v>
      </c>
      <c r="J616" t="str">
        <f t="shared" si="146"/>
        <v>24/02/2026</v>
      </c>
      <c r="K616">
        <v>46086</v>
      </c>
      <c r="N616">
        <v>109</v>
      </c>
      <c r="O616" t="s">
        <v>27</v>
      </c>
      <c r="Q616">
        <v>132.02000000000001</v>
      </c>
      <c r="R616" t="str">
        <f>"FARMÁCIA INDIANA LJ 19 (10012)"</f>
        <v>FARMÁCIA INDIANA LJ 19 (10012)</v>
      </c>
      <c r="S616" t="s">
        <v>37</v>
      </c>
      <c r="T616">
        <v>30157</v>
      </c>
      <c r="U616">
        <v>33660</v>
      </c>
      <c r="V616" t="s">
        <v>37</v>
      </c>
    </row>
    <row r="617" spans="1:22">
      <c r="A617" t="str">
        <f t="shared" si="147"/>
        <v>05/03/2026</v>
      </c>
      <c r="B617" t="str">
        <f t="shared" si="142"/>
        <v>SAÍDA</v>
      </c>
      <c r="C617" t="str">
        <f t="shared" si="145"/>
        <v>PIX</v>
      </c>
      <c r="D617" t="str">
        <f>"33661"</f>
        <v>33661</v>
      </c>
      <c r="E617" t="str">
        <f t="shared" si="141"/>
        <v>1</v>
      </c>
      <c r="F617" t="str">
        <f t="shared" si="144"/>
        <v>COM</v>
      </c>
      <c r="G617" t="str">
        <f>"PATRICK DE SOUZA CORREA (92)"</f>
        <v>PATRICK DE SOUZA CORREA (92)</v>
      </c>
      <c r="H617" t="str">
        <f>"Serv.Prest. 16/02/2026 a 22/02/2026 - PIX: CELULAR - CHAVE: (31) 99216-8711"</f>
        <v>Serv.Prest. 16/02/2026 a 22/02/2026 - PIX: CELULAR - CHAVE: (31) 99216-8711</v>
      </c>
      <c r="I617" t="str">
        <f t="shared" si="143"/>
        <v>05/03/2026</v>
      </c>
      <c r="J617" t="str">
        <f t="shared" si="146"/>
        <v>24/02/2026</v>
      </c>
      <c r="K617" t="str">
        <f>("05/03/2026")</f>
        <v>05/03/2026</v>
      </c>
      <c r="L617">
        <v>600</v>
      </c>
      <c r="M617">
        <v>600</v>
      </c>
      <c r="N617">
        <v>109</v>
      </c>
      <c r="O617" t="str">
        <f>"PAGAMENTO DE ENTREGADORES"</f>
        <v>PAGAMENTO DE ENTREGADORES</v>
      </c>
      <c r="P617">
        <v>600</v>
      </c>
      <c r="S617" t="str">
        <f>"BANCO C6 (149)"</f>
        <v>BANCO C6 (149)</v>
      </c>
      <c r="T617">
        <v>30158</v>
      </c>
      <c r="U617">
        <v>33661</v>
      </c>
      <c r="V617" t="s">
        <v>37</v>
      </c>
    </row>
    <row r="618" spans="1:22">
      <c r="A618" t="str">
        <f t="shared" si="147"/>
        <v>05/03/2026</v>
      </c>
      <c r="B618" t="str">
        <f t="shared" si="142"/>
        <v>SAÍDA</v>
      </c>
      <c r="C618" t="str">
        <f t="shared" si="145"/>
        <v>PIX</v>
      </c>
      <c r="D618" t="str">
        <f>"33661"</f>
        <v>33661</v>
      </c>
      <c r="E618" t="str">
        <f t="shared" si="141"/>
        <v>1</v>
      </c>
      <c r="F618" t="str">
        <f t="shared" si="144"/>
        <v>COM</v>
      </c>
      <c r="G618" t="str">
        <f>"PATRICK DE SOUZA CORREA (92)"</f>
        <v>PATRICK DE SOUZA CORREA (92)</v>
      </c>
      <c r="H618" t="s">
        <v>238</v>
      </c>
      <c r="I618" t="str">
        <f t="shared" si="143"/>
        <v>05/03/2026</v>
      </c>
      <c r="J618" t="str">
        <f t="shared" si="146"/>
        <v>24/02/2026</v>
      </c>
      <c r="K618">
        <v>46086</v>
      </c>
      <c r="N618">
        <v>109</v>
      </c>
      <c r="O618" t="s">
        <v>27</v>
      </c>
      <c r="Q618">
        <v>300</v>
      </c>
      <c r="R618" t="str">
        <f>"FARMÁCIA INDIANA LJ 184 (10080)"</f>
        <v>FARMÁCIA INDIANA LJ 184 (10080)</v>
      </c>
      <c r="S618" t="s">
        <v>37</v>
      </c>
      <c r="T618">
        <v>30158</v>
      </c>
      <c r="U618">
        <v>33661</v>
      </c>
      <c r="V618" t="s">
        <v>37</v>
      </c>
    </row>
    <row r="619" spans="1:22">
      <c r="A619" t="str">
        <f t="shared" si="147"/>
        <v>05/03/2026</v>
      </c>
      <c r="B619" t="str">
        <f t="shared" si="142"/>
        <v>SAÍDA</v>
      </c>
      <c r="C619" t="str">
        <f t="shared" si="145"/>
        <v>PIX</v>
      </c>
      <c r="D619" t="str">
        <f>"33661"</f>
        <v>33661</v>
      </c>
      <c r="E619" t="str">
        <f t="shared" si="141"/>
        <v>1</v>
      </c>
      <c r="F619" t="str">
        <f t="shared" si="144"/>
        <v>COM</v>
      </c>
      <c r="G619" t="str">
        <f>"PATRICK DE SOUZA CORREA (92)"</f>
        <v>PATRICK DE SOUZA CORREA (92)</v>
      </c>
      <c r="H619" t="s">
        <v>238</v>
      </c>
      <c r="I619" t="str">
        <f t="shared" si="143"/>
        <v>05/03/2026</v>
      </c>
      <c r="J619" t="str">
        <f t="shared" si="146"/>
        <v>24/02/2026</v>
      </c>
      <c r="K619">
        <v>46086</v>
      </c>
      <c r="N619">
        <v>109</v>
      </c>
      <c r="O619" t="s">
        <v>27</v>
      </c>
      <c r="Q619">
        <v>300</v>
      </c>
      <c r="R619" t="str">
        <f>"FARMÁCIA INDIANA LJ 195 (10083)"</f>
        <v>FARMÁCIA INDIANA LJ 195 (10083)</v>
      </c>
      <c r="S619" t="s">
        <v>37</v>
      </c>
      <c r="T619">
        <v>30158</v>
      </c>
      <c r="U619">
        <v>33661</v>
      </c>
      <c r="V619" t="s">
        <v>37</v>
      </c>
    </row>
    <row r="620" spans="1:22">
      <c r="A620" t="str">
        <f t="shared" si="147"/>
        <v>05/03/2026</v>
      </c>
      <c r="B620" t="str">
        <f t="shared" si="142"/>
        <v>SAÍDA</v>
      </c>
      <c r="C620" t="str">
        <f t="shared" si="145"/>
        <v>PIX</v>
      </c>
      <c r="D620" t="str">
        <f>"33662"</f>
        <v>33662</v>
      </c>
      <c r="E620" t="str">
        <f t="shared" si="141"/>
        <v>1</v>
      </c>
      <c r="F620" t="str">
        <f t="shared" si="144"/>
        <v>COM</v>
      </c>
      <c r="G620" t="str">
        <f>"PAULO HENRIQUE OLIVEIRA SILVA (39)"</f>
        <v>PAULO HENRIQUE OLIVEIRA SILVA (39)</v>
      </c>
      <c r="H620" t="str">
        <f>"Serv.Prest. 16/02/2026 a 22/02/2026 - PIX: CELULAR - CHAVE: (31) 97339-3761"</f>
        <v>Serv.Prest. 16/02/2026 a 22/02/2026 - PIX: CELULAR - CHAVE: (31) 97339-3761</v>
      </c>
      <c r="I620" t="str">
        <f t="shared" si="143"/>
        <v>05/03/2026</v>
      </c>
      <c r="J620" t="str">
        <f t="shared" si="146"/>
        <v>24/02/2026</v>
      </c>
      <c r="K620" t="str">
        <f>("05/03/2026")</f>
        <v>05/03/2026</v>
      </c>
      <c r="L620">
        <v>762</v>
      </c>
      <c r="M620">
        <v>762</v>
      </c>
      <c r="N620">
        <v>109</v>
      </c>
      <c r="O620" t="str">
        <f>"PAGAMENTO DE ENTREGADORES"</f>
        <v>PAGAMENTO DE ENTREGADORES</v>
      </c>
      <c r="P620">
        <v>762</v>
      </c>
      <c r="S620" t="str">
        <f>"BANCO C6 (149)"</f>
        <v>BANCO C6 (149)</v>
      </c>
      <c r="T620">
        <v>30159</v>
      </c>
      <c r="U620">
        <v>33662</v>
      </c>
      <c r="V620" t="s">
        <v>37</v>
      </c>
    </row>
    <row r="621" spans="1:22">
      <c r="A621" t="str">
        <f t="shared" si="147"/>
        <v>05/03/2026</v>
      </c>
      <c r="B621" t="str">
        <f t="shared" si="142"/>
        <v>SAÍDA</v>
      </c>
      <c r="C621" t="str">
        <f t="shared" si="145"/>
        <v>PIX</v>
      </c>
      <c r="D621" t="str">
        <f>"33662"</f>
        <v>33662</v>
      </c>
      <c r="E621" t="str">
        <f t="shared" si="141"/>
        <v>1</v>
      </c>
      <c r="F621" t="str">
        <f t="shared" si="144"/>
        <v>COM</v>
      </c>
      <c r="G621" t="str">
        <f>"PAULO HENRIQUE OLIVEIRA SILVA (39)"</f>
        <v>PAULO HENRIQUE OLIVEIRA SILVA (39)</v>
      </c>
      <c r="H621" t="s">
        <v>239</v>
      </c>
      <c r="I621" t="str">
        <f t="shared" si="143"/>
        <v>05/03/2026</v>
      </c>
      <c r="J621" t="str">
        <f t="shared" si="146"/>
        <v>24/02/2026</v>
      </c>
      <c r="K621">
        <v>46086</v>
      </c>
      <c r="N621">
        <v>109</v>
      </c>
      <c r="O621" t="s">
        <v>27</v>
      </c>
      <c r="Q621">
        <v>762</v>
      </c>
      <c r="R621" t="str">
        <f>"FARMÁCIA INDIANA LJ 11 (10008)"</f>
        <v>FARMÁCIA INDIANA LJ 11 (10008)</v>
      </c>
      <c r="S621" t="s">
        <v>37</v>
      </c>
      <c r="T621">
        <v>30159</v>
      </c>
      <c r="U621">
        <v>33662</v>
      </c>
      <c r="V621" t="s">
        <v>37</v>
      </c>
    </row>
    <row r="622" spans="1:22">
      <c r="A622" t="str">
        <f t="shared" si="147"/>
        <v>05/03/2026</v>
      </c>
      <c r="B622" t="str">
        <f t="shared" si="142"/>
        <v>SAÍDA</v>
      </c>
      <c r="C622" t="str">
        <f t="shared" si="145"/>
        <v>PIX</v>
      </c>
      <c r="D622" t="str">
        <f>"33663"</f>
        <v>33663</v>
      </c>
      <c r="E622" t="str">
        <f t="shared" si="141"/>
        <v>1</v>
      </c>
      <c r="F622" t="str">
        <f t="shared" si="144"/>
        <v>COM</v>
      </c>
      <c r="G622" t="str">
        <f>"PHABLO HEINRICK VALADARES FERREIRA (989)"</f>
        <v>PHABLO HEINRICK VALADARES FERREIRA (989)</v>
      </c>
      <c r="H622" t="str">
        <f>"Serv.Prest. 16/02/2026 a 22/02/2026 - PIX: CPF - CHAVE: 135.640.066-30"</f>
        <v>Serv.Prest. 16/02/2026 a 22/02/2026 - PIX: CPF - CHAVE: 135.640.066-30</v>
      </c>
      <c r="I622" t="str">
        <f t="shared" si="143"/>
        <v>05/03/2026</v>
      </c>
      <c r="J622" t="str">
        <f t="shared" si="146"/>
        <v>24/02/2026</v>
      </c>
      <c r="K622" t="str">
        <f>("05/03/2026")</f>
        <v>05/03/2026</v>
      </c>
      <c r="L622">
        <v>1470</v>
      </c>
      <c r="M622">
        <v>1470</v>
      </c>
      <c r="N622">
        <v>109</v>
      </c>
      <c r="O622" t="str">
        <f>"PAGAMENTO DE ENTREGADORES"</f>
        <v>PAGAMENTO DE ENTREGADORES</v>
      </c>
      <c r="P622">
        <v>1470</v>
      </c>
      <c r="S622" t="str">
        <f>"BANCO C6 (149)"</f>
        <v>BANCO C6 (149)</v>
      </c>
      <c r="T622">
        <v>30160</v>
      </c>
      <c r="U622">
        <v>33663</v>
      </c>
      <c r="V622" t="s">
        <v>37</v>
      </c>
    </row>
    <row r="623" spans="1:22">
      <c r="A623" t="str">
        <f t="shared" si="147"/>
        <v>05/03/2026</v>
      </c>
      <c r="B623" t="str">
        <f t="shared" si="142"/>
        <v>SAÍDA</v>
      </c>
      <c r="C623" t="str">
        <f t="shared" si="145"/>
        <v>PIX</v>
      </c>
      <c r="D623" t="str">
        <f>"33663"</f>
        <v>33663</v>
      </c>
      <c r="E623" t="str">
        <f t="shared" si="141"/>
        <v>1</v>
      </c>
      <c r="F623" t="str">
        <f t="shared" si="144"/>
        <v>COM</v>
      </c>
      <c r="G623" t="str">
        <f>"PHABLO HEINRICK VALADARES FERREIRA (989)"</f>
        <v>PHABLO HEINRICK VALADARES FERREIRA (989)</v>
      </c>
      <c r="H623" t="s">
        <v>240</v>
      </c>
      <c r="I623" t="str">
        <f t="shared" si="143"/>
        <v>05/03/2026</v>
      </c>
      <c r="J623" t="str">
        <f t="shared" si="146"/>
        <v>24/02/2026</v>
      </c>
      <c r="K623">
        <v>46086</v>
      </c>
      <c r="N623">
        <v>109</v>
      </c>
      <c r="O623" t="s">
        <v>27</v>
      </c>
      <c r="Q623">
        <v>1470</v>
      </c>
      <c r="R623" t="str">
        <f>"FARMÁCIA INDIANA LJ 101 (10043)"</f>
        <v>FARMÁCIA INDIANA LJ 101 (10043)</v>
      </c>
      <c r="S623" t="s">
        <v>37</v>
      </c>
      <c r="T623">
        <v>30160</v>
      </c>
      <c r="U623">
        <v>33663</v>
      </c>
      <c r="V623" t="s">
        <v>37</v>
      </c>
    </row>
    <row r="624" spans="1:22">
      <c r="A624" t="str">
        <f t="shared" si="147"/>
        <v>05/03/2026</v>
      </c>
      <c r="B624" t="str">
        <f t="shared" si="142"/>
        <v>SAÍDA</v>
      </c>
      <c r="C624" t="str">
        <f t="shared" si="145"/>
        <v>PIX</v>
      </c>
      <c r="D624" t="str">
        <f>"33664"</f>
        <v>33664</v>
      </c>
      <c r="E624" t="str">
        <f t="shared" ref="E624:E687" si="148">"1"</f>
        <v>1</v>
      </c>
      <c r="F624" t="str">
        <f t="shared" si="144"/>
        <v>COM</v>
      </c>
      <c r="G624" t="str">
        <f>"RAFAEL MONTEIRO DE CASTRO VITRAL (1038)"</f>
        <v>RAFAEL MONTEIRO DE CASTRO VITRAL (1038)</v>
      </c>
      <c r="H624" t="str">
        <f>"Serv.Prest. 16/02/2026 a 22/02/2026 - PIX: CELULAR - CHAVE: (24) 99846-2202"</f>
        <v>Serv.Prest. 16/02/2026 a 22/02/2026 - PIX: CELULAR - CHAVE: (24) 99846-2202</v>
      </c>
      <c r="I624" t="str">
        <f t="shared" si="143"/>
        <v>05/03/2026</v>
      </c>
      <c r="J624" t="str">
        <f t="shared" si="146"/>
        <v>24/02/2026</v>
      </c>
      <c r="K624" t="str">
        <f>("05/03/2026")</f>
        <v>05/03/2026</v>
      </c>
      <c r="L624">
        <v>700</v>
      </c>
      <c r="M624">
        <v>700</v>
      </c>
      <c r="N624">
        <v>109</v>
      </c>
      <c r="O624" t="str">
        <f>"PAGAMENTO DE ENTREGADORES"</f>
        <v>PAGAMENTO DE ENTREGADORES</v>
      </c>
      <c r="P624">
        <v>700</v>
      </c>
      <c r="S624" t="str">
        <f>"BANCO C6 (149)"</f>
        <v>BANCO C6 (149)</v>
      </c>
      <c r="T624">
        <v>30161</v>
      </c>
      <c r="U624">
        <v>33664</v>
      </c>
      <c r="V624" t="s">
        <v>37</v>
      </c>
    </row>
    <row r="625" spans="1:22">
      <c r="A625" t="str">
        <f t="shared" si="147"/>
        <v>05/03/2026</v>
      </c>
      <c r="B625" t="str">
        <f t="shared" si="142"/>
        <v>SAÍDA</v>
      </c>
      <c r="C625" t="str">
        <f t="shared" si="145"/>
        <v>PIX</v>
      </c>
      <c r="D625" t="str">
        <f>"33664"</f>
        <v>33664</v>
      </c>
      <c r="E625" t="str">
        <f t="shared" si="148"/>
        <v>1</v>
      </c>
      <c r="F625" t="str">
        <f t="shared" si="144"/>
        <v>COM</v>
      </c>
      <c r="G625" t="str">
        <f>"RAFAEL MONTEIRO DE CASTRO VITRAL (1038)"</f>
        <v>RAFAEL MONTEIRO DE CASTRO VITRAL (1038)</v>
      </c>
      <c r="H625" t="s">
        <v>241</v>
      </c>
      <c r="I625" t="str">
        <f t="shared" si="143"/>
        <v>05/03/2026</v>
      </c>
      <c r="J625" t="str">
        <f t="shared" si="146"/>
        <v>24/02/2026</v>
      </c>
      <c r="K625">
        <v>46086</v>
      </c>
      <c r="N625">
        <v>109</v>
      </c>
      <c r="O625" t="s">
        <v>27</v>
      </c>
      <c r="Q625">
        <v>700</v>
      </c>
      <c r="R625" t="str">
        <f>"FARMÁCIA INDIANA LJ 219 (10091)"</f>
        <v>FARMÁCIA INDIANA LJ 219 (10091)</v>
      </c>
      <c r="S625" t="s">
        <v>37</v>
      </c>
      <c r="T625">
        <v>30161</v>
      </c>
      <c r="U625">
        <v>33664</v>
      </c>
      <c r="V625" t="s">
        <v>37</v>
      </c>
    </row>
    <row r="626" spans="1:22">
      <c r="A626" t="str">
        <f t="shared" si="147"/>
        <v>05/03/2026</v>
      </c>
      <c r="B626" t="str">
        <f t="shared" si="142"/>
        <v>SAÍDA</v>
      </c>
      <c r="C626" t="str">
        <f t="shared" si="145"/>
        <v>PIX</v>
      </c>
      <c r="D626" t="str">
        <f>"33665"</f>
        <v>33665</v>
      </c>
      <c r="E626" t="str">
        <f t="shared" si="148"/>
        <v>1</v>
      </c>
      <c r="F626" t="str">
        <f t="shared" si="144"/>
        <v>COM</v>
      </c>
      <c r="G626" t="str">
        <f>"RAISSON VITOR MENDES DE ABREU (705)"</f>
        <v>RAISSON VITOR MENDES DE ABREU (705)</v>
      </c>
      <c r="H626" t="str">
        <f>"Serv.Prest. 16/02/2026 a 22/02/2026 - PIX: CELULAR - CHAVE: (31) 99959-5414"</f>
        <v>Serv.Prest. 16/02/2026 a 22/02/2026 - PIX: CELULAR - CHAVE: (31) 99959-5414</v>
      </c>
      <c r="I626" t="str">
        <f t="shared" si="143"/>
        <v>05/03/2026</v>
      </c>
      <c r="J626" t="str">
        <f t="shared" si="146"/>
        <v>24/02/2026</v>
      </c>
      <c r="K626" t="str">
        <f>("05/03/2026")</f>
        <v>05/03/2026</v>
      </c>
      <c r="L626">
        <v>960</v>
      </c>
      <c r="M626">
        <v>960</v>
      </c>
      <c r="N626">
        <v>109</v>
      </c>
      <c r="O626" t="str">
        <f>"PAGAMENTO DE ENTREGADORES"</f>
        <v>PAGAMENTO DE ENTREGADORES</v>
      </c>
      <c r="P626">
        <v>960</v>
      </c>
      <c r="S626" t="str">
        <f>"BANCO C6 (149)"</f>
        <v>BANCO C6 (149)</v>
      </c>
      <c r="T626">
        <v>30162</v>
      </c>
      <c r="U626">
        <v>33665</v>
      </c>
      <c r="V626" t="s">
        <v>37</v>
      </c>
    </row>
    <row r="627" spans="1:22">
      <c r="A627" t="str">
        <f t="shared" si="147"/>
        <v>05/03/2026</v>
      </c>
      <c r="B627" t="str">
        <f t="shared" si="142"/>
        <v>SAÍDA</v>
      </c>
      <c r="C627" t="str">
        <f t="shared" si="145"/>
        <v>PIX</v>
      </c>
      <c r="D627" t="str">
        <f>"33665"</f>
        <v>33665</v>
      </c>
      <c r="E627" t="str">
        <f t="shared" si="148"/>
        <v>1</v>
      </c>
      <c r="F627" t="str">
        <f t="shared" si="144"/>
        <v>COM</v>
      </c>
      <c r="G627" t="str">
        <f>"RAISSON VITOR MENDES DE ABREU (705)"</f>
        <v>RAISSON VITOR MENDES DE ABREU (705)</v>
      </c>
      <c r="H627" t="s">
        <v>242</v>
      </c>
      <c r="I627" t="str">
        <f t="shared" si="143"/>
        <v>05/03/2026</v>
      </c>
      <c r="J627" t="str">
        <f t="shared" si="146"/>
        <v>24/02/2026</v>
      </c>
      <c r="K627">
        <v>46086</v>
      </c>
      <c r="N627">
        <v>109</v>
      </c>
      <c r="O627" t="s">
        <v>27</v>
      </c>
      <c r="Q627">
        <v>960</v>
      </c>
      <c r="R627" t="str">
        <f>"FARMÁCIA INDIANA LJ 178 (10077)"</f>
        <v>FARMÁCIA INDIANA LJ 178 (10077)</v>
      </c>
      <c r="S627" t="s">
        <v>37</v>
      </c>
      <c r="T627">
        <v>30162</v>
      </c>
      <c r="U627">
        <v>33665</v>
      </c>
      <c r="V627" t="s">
        <v>37</v>
      </c>
    </row>
    <row r="628" spans="1:22">
      <c r="A628" t="str">
        <f t="shared" si="147"/>
        <v>05/03/2026</v>
      </c>
      <c r="B628" t="str">
        <f t="shared" si="142"/>
        <v>SAÍDA</v>
      </c>
      <c r="C628" t="str">
        <f t="shared" si="145"/>
        <v>PIX</v>
      </c>
      <c r="D628" t="str">
        <f>"33666"</f>
        <v>33666</v>
      </c>
      <c r="E628" t="str">
        <f t="shared" si="148"/>
        <v>1</v>
      </c>
      <c r="F628" t="str">
        <f t="shared" si="144"/>
        <v>COM</v>
      </c>
      <c r="G628" t="str">
        <f>"REGINALDO PIRES PORTES (1009)"</f>
        <v>REGINALDO PIRES PORTES (1009)</v>
      </c>
      <c r="H628" t="str">
        <f>"Serv.Prest. 16/02/2026 a 22/02/2026 - PIX: CPF - CHAVE: 072.968.086-08"</f>
        <v>Serv.Prest. 16/02/2026 a 22/02/2026 - PIX: CPF - CHAVE: 072.968.086-08</v>
      </c>
      <c r="I628" t="str">
        <f t="shared" si="143"/>
        <v>05/03/2026</v>
      </c>
      <c r="J628" t="str">
        <f t="shared" si="146"/>
        <v>24/02/2026</v>
      </c>
      <c r="K628" t="str">
        <f>("05/03/2026")</f>
        <v>05/03/2026</v>
      </c>
      <c r="L628">
        <v>912</v>
      </c>
      <c r="M628">
        <v>912</v>
      </c>
      <c r="N628">
        <v>109</v>
      </c>
      <c r="O628" t="str">
        <f>"PAGAMENTO DE ENTREGADORES"</f>
        <v>PAGAMENTO DE ENTREGADORES</v>
      </c>
      <c r="P628">
        <v>912</v>
      </c>
      <c r="S628" t="str">
        <f>"BANCO C6 (149)"</f>
        <v>BANCO C6 (149)</v>
      </c>
      <c r="T628">
        <v>30163</v>
      </c>
      <c r="U628">
        <v>33666</v>
      </c>
      <c r="V628" t="s">
        <v>37</v>
      </c>
    </row>
    <row r="629" spans="1:22">
      <c r="A629" t="str">
        <f t="shared" si="147"/>
        <v>05/03/2026</v>
      </c>
      <c r="B629" t="str">
        <f t="shared" si="142"/>
        <v>SAÍDA</v>
      </c>
      <c r="C629" t="str">
        <f t="shared" si="145"/>
        <v>PIX</v>
      </c>
      <c r="D629" t="str">
        <f>"33666"</f>
        <v>33666</v>
      </c>
      <c r="E629" t="str">
        <f t="shared" si="148"/>
        <v>1</v>
      </c>
      <c r="F629" t="str">
        <f t="shared" si="144"/>
        <v>COM</v>
      </c>
      <c r="G629" t="str">
        <f>"REGINALDO PIRES PORTES (1009)"</f>
        <v>REGINALDO PIRES PORTES (1009)</v>
      </c>
      <c r="H629" t="s">
        <v>243</v>
      </c>
      <c r="I629" t="str">
        <f t="shared" si="143"/>
        <v>05/03/2026</v>
      </c>
      <c r="J629" t="str">
        <f t="shared" si="146"/>
        <v>24/02/2026</v>
      </c>
      <c r="K629">
        <v>46086</v>
      </c>
      <c r="N629">
        <v>109</v>
      </c>
      <c r="O629" t="s">
        <v>27</v>
      </c>
      <c r="Q629">
        <v>912</v>
      </c>
      <c r="R629" t="str">
        <f>"FARMÁCIA INDIANA LJ 19 (10012)"</f>
        <v>FARMÁCIA INDIANA LJ 19 (10012)</v>
      </c>
      <c r="S629" t="s">
        <v>37</v>
      </c>
      <c r="T629">
        <v>30163</v>
      </c>
      <c r="U629">
        <v>33666</v>
      </c>
      <c r="V629" t="s">
        <v>37</v>
      </c>
    </row>
    <row r="630" spans="1:22">
      <c r="A630" t="str">
        <f t="shared" si="147"/>
        <v>05/03/2026</v>
      </c>
      <c r="B630" t="str">
        <f t="shared" si="142"/>
        <v>SAÍDA</v>
      </c>
      <c r="C630" t="str">
        <f t="shared" si="145"/>
        <v>PIX</v>
      </c>
      <c r="D630" t="str">
        <f>"33669"</f>
        <v>33669</v>
      </c>
      <c r="E630" t="str">
        <f t="shared" si="148"/>
        <v>1</v>
      </c>
      <c r="F630" t="str">
        <f t="shared" si="144"/>
        <v>COM</v>
      </c>
      <c r="G630" t="str">
        <f>"RENATO GEORGE GONÇALVES (191)"</f>
        <v>RENATO GEORGE GONÇALVES (191)</v>
      </c>
      <c r="H630" t="str">
        <f>"Serv.Prest. 16/02/2026 a 22/02/2026 - PIX: CPF - CHAVE: 012.783.036-77"</f>
        <v>Serv.Prest. 16/02/2026 a 22/02/2026 - PIX: CPF - CHAVE: 012.783.036-77</v>
      </c>
      <c r="I630" t="str">
        <f t="shared" si="143"/>
        <v>05/03/2026</v>
      </c>
      <c r="J630" t="str">
        <f t="shared" si="146"/>
        <v>24/02/2026</v>
      </c>
      <c r="K630" t="str">
        <f>("05/03/2026")</f>
        <v>05/03/2026</v>
      </c>
      <c r="L630">
        <v>1080</v>
      </c>
      <c r="M630">
        <v>1080</v>
      </c>
      <c r="N630">
        <v>109</v>
      </c>
      <c r="O630" t="str">
        <f>"PAGAMENTO DE ENTREGADORES"</f>
        <v>PAGAMENTO DE ENTREGADORES</v>
      </c>
      <c r="P630">
        <v>1080</v>
      </c>
      <c r="S630" t="str">
        <f>"BANCO C6 (149)"</f>
        <v>BANCO C6 (149)</v>
      </c>
      <c r="T630">
        <v>30164</v>
      </c>
      <c r="U630">
        <v>33669</v>
      </c>
      <c r="V630" t="s">
        <v>37</v>
      </c>
    </row>
    <row r="631" spans="1:22">
      <c r="A631" t="str">
        <f t="shared" si="147"/>
        <v>05/03/2026</v>
      </c>
      <c r="B631" t="str">
        <f t="shared" si="142"/>
        <v>SAÍDA</v>
      </c>
      <c r="C631" t="str">
        <f t="shared" si="145"/>
        <v>PIX</v>
      </c>
      <c r="D631" t="str">
        <f>"33669"</f>
        <v>33669</v>
      </c>
      <c r="E631" t="str">
        <f t="shared" si="148"/>
        <v>1</v>
      </c>
      <c r="F631" t="str">
        <f t="shared" si="144"/>
        <v>COM</v>
      </c>
      <c r="G631" t="str">
        <f>"RENATO GEORGE GONÇALVES (191)"</f>
        <v>RENATO GEORGE GONÇALVES (191)</v>
      </c>
      <c r="H631" t="s">
        <v>244</v>
      </c>
      <c r="I631" t="str">
        <f t="shared" si="143"/>
        <v>05/03/2026</v>
      </c>
      <c r="J631" t="str">
        <f t="shared" si="146"/>
        <v>24/02/2026</v>
      </c>
      <c r="K631">
        <v>46086</v>
      </c>
      <c r="N631">
        <v>109</v>
      </c>
      <c r="O631" t="s">
        <v>27</v>
      </c>
      <c r="Q631">
        <v>1080</v>
      </c>
      <c r="R631" t="str">
        <f>"FARMÁCIA INDIANA LJ 06 (10006)"</f>
        <v>FARMÁCIA INDIANA LJ 06 (10006)</v>
      </c>
      <c r="S631" t="s">
        <v>37</v>
      </c>
      <c r="T631">
        <v>30164</v>
      </c>
      <c r="U631">
        <v>33669</v>
      </c>
      <c r="V631" t="s">
        <v>37</v>
      </c>
    </row>
    <row r="632" spans="1:22">
      <c r="A632" t="str">
        <f t="shared" si="147"/>
        <v>05/03/2026</v>
      </c>
      <c r="B632" t="str">
        <f t="shared" si="142"/>
        <v>SAÍDA</v>
      </c>
      <c r="C632" t="str">
        <f t="shared" si="145"/>
        <v>PIX</v>
      </c>
      <c r="D632" t="str">
        <f>"33670"</f>
        <v>33670</v>
      </c>
      <c r="E632" t="str">
        <f t="shared" si="148"/>
        <v>1</v>
      </c>
      <c r="F632" t="str">
        <f t="shared" si="144"/>
        <v>COM</v>
      </c>
      <c r="G632" t="str">
        <f>"ROGÉRIO LAURINDO BORGES (176)"</f>
        <v>ROGÉRIO LAURINDO BORGES (176)</v>
      </c>
      <c r="H632" t="str">
        <f>"Serv.Prest. 16/02/2026 a 22/02/2026 - PIX: E-MAIL - CHAVE: roger.l.borges04@gmail.com"</f>
        <v>Serv.Prest. 16/02/2026 a 22/02/2026 - PIX: E-MAIL - CHAVE: roger.l.borges04@gmail.com</v>
      </c>
      <c r="I632" t="str">
        <f t="shared" si="143"/>
        <v>05/03/2026</v>
      </c>
      <c r="J632" t="str">
        <f t="shared" si="146"/>
        <v>24/02/2026</v>
      </c>
      <c r="K632" t="str">
        <f>("05/03/2026")</f>
        <v>05/03/2026</v>
      </c>
      <c r="L632">
        <v>1122</v>
      </c>
      <c r="M632">
        <v>1122</v>
      </c>
      <c r="N632">
        <v>109</v>
      </c>
      <c r="O632" t="str">
        <f>"PAGAMENTO DE ENTREGADORES"</f>
        <v>PAGAMENTO DE ENTREGADORES</v>
      </c>
      <c r="P632">
        <v>1122</v>
      </c>
      <c r="S632" t="str">
        <f>"BANCO C6 (149)"</f>
        <v>BANCO C6 (149)</v>
      </c>
      <c r="T632">
        <v>30165</v>
      </c>
      <c r="U632">
        <v>33670</v>
      </c>
      <c r="V632" t="s">
        <v>37</v>
      </c>
    </row>
    <row r="633" spans="1:22">
      <c r="A633" t="str">
        <f t="shared" si="147"/>
        <v>05/03/2026</v>
      </c>
      <c r="B633" t="str">
        <f t="shared" si="142"/>
        <v>SAÍDA</v>
      </c>
      <c r="C633" t="str">
        <f t="shared" si="145"/>
        <v>PIX</v>
      </c>
      <c r="D633" t="str">
        <f>"33670"</f>
        <v>33670</v>
      </c>
      <c r="E633" t="str">
        <f t="shared" si="148"/>
        <v>1</v>
      </c>
      <c r="F633" t="str">
        <f t="shared" si="144"/>
        <v>COM</v>
      </c>
      <c r="G633" t="str">
        <f>"ROGÉRIO LAURINDO BORGES (176)"</f>
        <v>ROGÉRIO LAURINDO BORGES (176)</v>
      </c>
      <c r="H633" t="s">
        <v>245</v>
      </c>
      <c r="I633" t="str">
        <f t="shared" si="143"/>
        <v>05/03/2026</v>
      </c>
      <c r="J633" t="str">
        <f t="shared" si="146"/>
        <v>24/02/2026</v>
      </c>
      <c r="K633">
        <v>46086</v>
      </c>
      <c r="N633">
        <v>109</v>
      </c>
      <c r="O633" t="s">
        <v>27</v>
      </c>
      <c r="Q633">
        <v>1122</v>
      </c>
      <c r="R633" t="str">
        <f>"FARMÁCIA INDIANA LJ 142 (10066)"</f>
        <v>FARMÁCIA INDIANA LJ 142 (10066)</v>
      </c>
      <c r="S633" t="s">
        <v>37</v>
      </c>
      <c r="T633">
        <v>30165</v>
      </c>
      <c r="U633">
        <v>33670</v>
      </c>
      <c r="V633" t="s">
        <v>37</v>
      </c>
    </row>
    <row r="634" spans="1:22">
      <c r="A634" t="str">
        <f t="shared" si="147"/>
        <v>05/03/2026</v>
      </c>
      <c r="B634" t="str">
        <f t="shared" si="142"/>
        <v>SAÍDA</v>
      </c>
      <c r="C634" t="str">
        <f t="shared" si="145"/>
        <v>PIX</v>
      </c>
      <c r="D634" t="str">
        <f>"33671"</f>
        <v>33671</v>
      </c>
      <c r="E634" t="str">
        <f t="shared" si="148"/>
        <v>1</v>
      </c>
      <c r="F634" t="str">
        <f t="shared" si="144"/>
        <v>COM</v>
      </c>
      <c r="G634" t="str">
        <f>"RONY RODRIGUES SOARES (1105)"</f>
        <v>RONY RODRIGUES SOARES (1105)</v>
      </c>
      <c r="H634" t="str">
        <f>"Serv.Prest. 16/02/2026 a 22/02/2026 - PIX: CPF - CHAVE: 700.147.856-33"</f>
        <v>Serv.Prest. 16/02/2026 a 22/02/2026 - PIX: CPF - CHAVE: 700.147.856-33</v>
      </c>
      <c r="I634" t="str">
        <f t="shared" si="143"/>
        <v>05/03/2026</v>
      </c>
      <c r="J634" t="str">
        <f t="shared" si="146"/>
        <v>24/02/2026</v>
      </c>
      <c r="K634" t="str">
        <f>("05/03/2026")</f>
        <v>05/03/2026</v>
      </c>
      <c r="L634">
        <v>835</v>
      </c>
      <c r="M634">
        <v>835</v>
      </c>
      <c r="N634">
        <v>109</v>
      </c>
      <c r="O634" t="str">
        <f>"PAGAMENTO DE ENTREGADORES"</f>
        <v>PAGAMENTO DE ENTREGADORES</v>
      </c>
      <c r="P634">
        <v>835</v>
      </c>
      <c r="S634" t="str">
        <f>"BANCO C6 (149)"</f>
        <v>BANCO C6 (149)</v>
      </c>
      <c r="T634">
        <v>30166</v>
      </c>
      <c r="U634">
        <v>33671</v>
      </c>
      <c r="V634" t="s">
        <v>37</v>
      </c>
    </row>
    <row r="635" spans="1:22">
      <c r="A635" t="str">
        <f t="shared" si="147"/>
        <v>05/03/2026</v>
      </c>
      <c r="B635" t="str">
        <f t="shared" si="142"/>
        <v>SAÍDA</v>
      </c>
      <c r="C635" t="str">
        <f t="shared" si="145"/>
        <v>PIX</v>
      </c>
      <c r="D635" t="str">
        <f>"33671"</f>
        <v>33671</v>
      </c>
      <c r="E635" t="str">
        <f t="shared" si="148"/>
        <v>1</v>
      </c>
      <c r="F635" t="str">
        <f t="shared" si="144"/>
        <v>COM</v>
      </c>
      <c r="G635" t="str">
        <f>"RONY RODRIGUES SOARES (1105)"</f>
        <v>RONY RODRIGUES SOARES (1105)</v>
      </c>
      <c r="H635" t="s">
        <v>246</v>
      </c>
      <c r="I635" t="str">
        <f t="shared" si="143"/>
        <v>05/03/2026</v>
      </c>
      <c r="J635" t="str">
        <f t="shared" si="146"/>
        <v>24/02/2026</v>
      </c>
      <c r="K635">
        <v>46086</v>
      </c>
      <c r="N635">
        <v>109</v>
      </c>
      <c r="O635" t="s">
        <v>27</v>
      </c>
      <c r="Q635">
        <v>124.84</v>
      </c>
      <c r="R635" t="str">
        <f>"FARMÁCIA INDIANA LJ 112 (10050)"</f>
        <v>FARMÁCIA INDIANA LJ 112 (10050)</v>
      </c>
      <c r="S635" t="s">
        <v>37</v>
      </c>
      <c r="T635">
        <v>30166</v>
      </c>
      <c r="U635">
        <v>33671</v>
      </c>
      <c r="V635" t="s">
        <v>37</v>
      </c>
    </row>
    <row r="636" spans="1:22">
      <c r="A636" t="str">
        <f t="shared" si="147"/>
        <v>05/03/2026</v>
      </c>
      <c r="B636" t="str">
        <f t="shared" si="142"/>
        <v>SAÍDA</v>
      </c>
      <c r="C636" t="str">
        <f t="shared" si="145"/>
        <v>PIX</v>
      </c>
      <c r="D636" t="str">
        <f>"33671"</f>
        <v>33671</v>
      </c>
      <c r="E636" t="str">
        <f t="shared" si="148"/>
        <v>1</v>
      </c>
      <c r="F636" t="str">
        <f t="shared" si="144"/>
        <v>COM</v>
      </c>
      <c r="G636" t="str">
        <f>"RONY RODRIGUES SOARES (1105)"</f>
        <v>RONY RODRIGUES SOARES (1105)</v>
      </c>
      <c r="H636" t="s">
        <v>246</v>
      </c>
      <c r="I636" t="str">
        <f t="shared" si="143"/>
        <v>05/03/2026</v>
      </c>
      <c r="J636" t="str">
        <f t="shared" si="146"/>
        <v>24/02/2026</v>
      </c>
      <c r="K636">
        <v>46086</v>
      </c>
      <c r="N636">
        <v>109</v>
      </c>
      <c r="O636" t="s">
        <v>27</v>
      </c>
      <c r="Q636">
        <v>319.97000000000003</v>
      </c>
      <c r="R636" t="str">
        <f>"FARMÁCIA INDIANA LJ 116 (10051)"</f>
        <v>FARMÁCIA INDIANA LJ 116 (10051)</v>
      </c>
      <c r="S636" t="s">
        <v>37</v>
      </c>
      <c r="T636">
        <v>30166</v>
      </c>
      <c r="U636">
        <v>33671</v>
      </c>
      <c r="V636" t="s">
        <v>37</v>
      </c>
    </row>
    <row r="637" spans="1:22">
      <c r="A637" t="str">
        <f t="shared" si="147"/>
        <v>05/03/2026</v>
      </c>
      <c r="B637" t="str">
        <f t="shared" si="142"/>
        <v>SAÍDA</v>
      </c>
      <c r="C637" t="str">
        <f t="shared" si="145"/>
        <v>PIX</v>
      </c>
      <c r="D637" t="str">
        <f>"33671"</f>
        <v>33671</v>
      </c>
      <c r="E637" t="str">
        <f t="shared" si="148"/>
        <v>1</v>
      </c>
      <c r="F637" t="str">
        <f t="shared" si="144"/>
        <v>COM</v>
      </c>
      <c r="G637" t="str">
        <f>"RONY RODRIGUES SOARES (1105)"</f>
        <v>RONY RODRIGUES SOARES (1105)</v>
      </c>
      <c r="H637" t="s">
        <v>246</v>
      </c>
      <c r="I637" t="str">
        <f t="shared" si="143"/>
        <v>05/03/2026</v>
      </c>
      <c r="J637" t="str">
        <f t="shared" si="146"/>
        <v>24/02/2026</v>
      </c>
      <c r="K637">
        <v>46086</v>
      </c>
      <c r="N637">
        <v>109</v>
      </c>
      <c r="O637" t="s">
        <v>27</v>
      </c>
      <c r="Q637">
        <v>78.069999999999993</v>
      </c>
      <c r="R637" t="str">
        <f>"FARMÁCIA INDIANA LJ 121 (10054)"</f>
        <v>FARMÁCIA INDIANA LJ 121 (10054)</v>
      </c>
      <c r="S637" t="s">
        <v>37</v>
      </c>
      <c r="T637">
        <v>30166</v>
      </c>
      <c r="U637">
        <v>33671</v>
      </c>
      <c r="V637" t="s">
        <v>37</v>
      </c>
    </row>
    <row r="638" spans="1:22">
      <c r="A638" t="str">
        <f t="shared" si="147"/>
        <v>05/03/2026</v>
      </c>
      <c r="B638" t="str">
        <f t="shared" si="142"/>
        <v>SAÍDA</v>
      </c>
      <c r="C638" t="str">
        <f t="shared" si="145"/>
        <v>PIX</v>
      </c>
      <c r="D638" t="str">
        <f>"33671"</f>
        <v>33671</v>
      </c>
      <c r="E638" t="str">
        <f t="shared" si="148"/>
        <v>1</v>
      </c>
      <c r="F638" t="str">
        <f t="shared" si="144"/>
        <v>COM</v>
      </c>
      <c r="G638" t="str">
        <f>"RONY RODRIGUES SOARES (1105)"</f>
        <v>RONY RODRIGUES SOARES (1105)</v>
      </c>
      <c r="H638" t="s">
        <v>246</v>
      </c>
      <c r="I638" t="str">
        <f t="shared" si="143"/>
        <v>05/03/2026</v>
      </c>
      <c r="J638" t="str">
        <f t="shared" si="146"/>
        <v>24/02/2026</v>
      </c>
      <c r="K638">
        <v>46086</v>
      </c>
      <c r="N638">
        <v>109</v>
      </c>
      <c r="O638" t="s">
        <v>27</v>
      </c>
      <c r="Q638">
        <v>312.12</v>
      </c>
      <c r="R638" t="str">
        <f>"FARMÁCIA INDIANA LJ 128 (10057)"</f>
        <v>FARMÁCIA INDIANA LJ 128 (10057)</v>
      </c>
      <c r="S638" t="s">
        <v>37</v>
      </c>
      <c r="T638">
        <v>30166</v>
      </c>
      <c r="U638">
        <v>33671</v>
      </c>
      <c r="V638" t="s">
        <v>37</v>
      </c>
    </row>
    <row r="639" spans="1:22">
      <c r="A639" t="str">
        <f t="shared" si="147"/>
        <v>05/03/2026</v>
      </c>
      <c r="B639" t="str">
        <f t="shared" si="142"/>
        <v>SAÍDA</v>
      </c>
      <c r="C639" t="str">
        <f t="shared" si="145"/>
        <v>PIX</v>
      </c>
      <c r="D639" t="str">
        <f>"33672"</f>
        <v>33672</v>
      </c>
      <c r="E639" t="str">
        <f t="shared" si="148"/>
        <v>1</v>
      </c>
      <c r="F639" t="str">
        <f t="shared" si="144"/>
        <v>COM</v>
      </c>
      <c r="G639" t="str">
        <f>"SAMUEL JADSON SANTANA RIBEIRO (55)"</f>
        <v>SAMUEL JADSON SANTANA RIBEIRO (55)</v>
      </c>
      <c r="H639" t="str">
        <f>"Serv.Prest. 16/02/2026 a 22/02/2026 - PIX: CNPJ - CHAVE: 64.690.606/0001-89"</f>
        <v>Serv.Prest. 16/02/2026 a 22/02/2026 - PIX: CNPJ - CHAVE: 64.690.606/0001-89</v>
      </c>
      <c r="I639" t="str">
        <f t="shared" si="143"/>
        <v>05/03/2026</v>
      </c>
      <c r="J639" t="str">
        <f t="shared" si="146"/>
        <v>24/02/2026</v>
      </c>
      <c r="K639" t="str">
        <f>("05/03/2026")</f>
        <v>05/03/2026</v>
      </c>
      <c r="L639">
        <v>1170</v>
      </c>
      <c r="M639">
        <v>1170</v>
      </c>
      <c r="N639">
        <v>109</v>
      </c>
      <c r="O639" t="str">
        <f>"PAGAMENTO DE ENTREGADORES"</f>
        <v>PAGAMENTO DE ENTREGADORES</v>
      </c>
      <c r="P639">
        <v>1170</v>
      </c>
      <c r="S639" t="str">
        <f>"BANCO C6 (149)"</f>
        <v>BANCO C6 (149)</v>
      </c>
      <c r="T639">
        <v>30167</v>
      </c>
      <c r="U639">
        <v>33672</v>
      </c>
      <c r="V639" t="s">
        <v>37</v>
      </c>
    </row>
    <row r="640" spans="1:22">
      <c r="A640" t="str">
        <f t="shared" si="147"/>
        <v>05/03/2026</v>
      </c>
      <c r="B640" t="str">
        <f t="shared" si="142"/>
        <v>SAÍDA</v>
      </c>
      <c r="C640" t="str">
        <f t="shared" si="145"/>
        <v>PIX</v>
      </c>
      <c r="D640" t="str">
        <f>"33672"</f>
        <v>33672</v>
      </c>
      <c r="E640" t="str">
        <f t="shared" si="148"/>
        <v>1</v>
      </c>
      <c r="F640" t="str">
        <f t="shared" si="144"/>
        <v>COM</v>
      </c>
      <c r="G640" t="str">
        <f>"SAMUEL JADSON SANTANA RIBEIRO (55)"</f>
        <v>SAMUEL JADSON SANTANA RIBEIRO (55)</v>
      </c>
      <c r="H640" t="s">
        <v>247</v>
      </c>
      <c r="I640" t="str">
        <f t="shared" si="143"/>
        <v>05/03/2026</v>
      </c>
      <c r="J640" t="str">
        <f t="shared" si="146"/>
        <v>24/02/2026</v>
      </c>
      <c r="K640">
        <v>46086</v>
      </c>
      <c r="N640">
        <v>109</v>
      </c>
      <c r="O640" t="s">
        <v>27</v>
      </c>
      <c r="Q640">
        <v>1170</v>
      </c>
      <c r="R640" t="str">
        <f>"FARMÁCIA INDIANA LJ 07 (10007)"</f>
        <v>FARMÁCIA INDIANA LJ 07 (10007)</v>
      </c>
      <c r="S640" t="s">
        <v>37</v>
      </c>
      <c r="T640">
        <v>30167</v>
      </c>
      <c r="U640">
        <v>33672</v>
      </c>
      <c r="V640" t="s">
        <v>37</v>
      </c>
    </row>
    <row r="641" spans="1:22">
      <c r="A641" t="str">
        <f t="shared" si="147"/>
        <v>05/03/2026</v>
      </c>
      <c r="B641" t="str">
        <f t="shared" ref="B641:B704" si="149">"SAÍDA"</f>
        <v>SAÍDA</v>
      </c>
      <c r="C641" t="str">
        <f t="shared" si="145"/>
        <v>PIX</v>
      </c>
      <c r="D641" t="str">
        <f>"33673"</f>
        <v>33673</v>
      </c>
      <c r="E641" t="str">
        <f t="shared" si="148"/>
        <v>1</v>
      </c>
      <c r="F641" t="str">
        <f t="shared" si="144"/>
        <v>COM</v>
      </c>
      <c r="G641" t="str">
        <f>"SEDNEY GOMES SOARES (87)"</f>
        <v>SEDNEY GOMES SOARES (87)</v>
      </c>
      <c r="H641" t="str">
        <f>"Serv.Prest. 16/02/2026 a 22/02/2026 - PIX: CPF - CHAVE: 048.151.276-46"</f>
        <v>Serv.Prest. 16/02/2026 a 22/02/2026 - PIX: CPF - CHAVE: 048.151.276-46</v>
      </c>
      <c r="I641" t="str">
        <f t="shared" ref="I641:I704" si="150">("05/03/2026")</f>
        <v>05/03/2026</v>
      </c>
      <c r="J641" t="str">
        <f t="shared" si="146"/>
        <v>24/02/2026</v>
      </c>
      <c r="K641" t="str">
        <f>("05/03/2026")</f>
        <v>05/03/2026</v>
      </c>
      <c r="L641">
        <v>750</v>
      </c>
      <c r="M641">
        <v>750</v>
      </c>
      <c r="N641">
        <v>109</v>
      </c>
      <c r="O641" t="str">
        <f>"PAGAMENTO DE ENTREGADORES"</f>
        <v>PAGAMENTO DE ENTREGADORES</v>
      </c>
      <c r="P641">
        <v>750</v>
      </c>
      <c r="S641" t="str">
        <f>"BANCO C6 (149)"</f>
        <v>BANCO C6 (149)</v>
      </c>
      <c r="T641">
        <v>30168</v>
      </c>
      <c r="U641">
        <v>33673</v>
      </c>
      <c r="V641" t="s">
        <v>37</v>
      </c>
    </row>
    <row r="642" spans="1:22">
      <c r="A642" t="str">
        <f t="shared" si="147"/>
        <v>05/03/2026</v>
      </c>
      <c r="B642" t="str">
        <f t="shared" si="149"/>
        <v>SAÍDA</v>
      </c>
      <c r="C642" t="str">
        <f t="shared" si="145"/>
        <v>PIX</v>
      </c>
      <c r="D642" t="str">
        <f>"33673"</f>
        <v>33673</v>
      </c>
      <c r="E642" t="str">
        <f t="shared" si="148"/>
        <v>1</v>
      </c>
      <c r="F642" t="str">
        <f t="shared" ref="F642:F705" si="151">"COM"</f>
        <v>COM</v>
      </c>
      <c r="G642" t="str">
        <f>"SEDNEY GOMES SOARES (87)"</f>
        <v>SEDNEY GOMES SOARES (87)</v>
      </c>
      <c r="H642" t="s">
        <v>248</v>
      </c>
      <c r="I642" t="str">
        <f t="shared" si="150"/>
        <v>05/03/2026</v>
      </c>
      <c r="J642" t="str">
        <f t="shared" si="146"/>
        <v>24/02/2026</v>
      </c>
      <c r="K642">
        <v>46086</v>
      </c>
      <c r="N642">
        <v>109</v>
      </c>
      <c r="O642" t="s">
        <v>27</v>
      </c>
      <c r="Q642">
        <v>132.37</v>
      </c>
      <c r="R642" t="str">
        <f>"FARMÁCIA INDIANA LJ 97 (10040)"</f>
        <v>FARMÁCIA INDIANA LJ 97 (10040)</v>
      </c>
      <c r="S642" t="s">
        <v>37</v>
      </c>
      <c r="T642">
        <v>30168</v>
      </c>
      <c r="U642">
        <v>33673</v>
      </c>
      <c r="V642" t="s">
        <v>37</v>
      </c>
    </row>
    <row r="643" spans="1:22">
      <c r="A643" t="str">
        <f t="shared" si="147"/>
        <v>05/03/2026</v>
      </c>
      <c r="B643" t="str">
        <f t="shared" si="149"/>
        <v>SAÍDA</v>
      </c>
      <c r="C643" t="str">
        <f t="shared" ref="C643:C706" si="152">"PIX"</f>
        <v>PIX</v>
      </c>
      <c r="D643" t="str">
        <f>"33673"</f>
        <v>33673</v>
      </c>
      <c r="E643" t="str">
        <f t="shared" si="148"/>
        <v>1</v>
      </c>
      <c r="F643" t="str">
        <f t="shared" si="151"/>
        <v>COM</v>
      </c>
      <c r="G643" t="str">
        <f>"SEDNEY GOMES SOARES (87)"</f>
        <v>SEDNEY GOMES SOARES (87)</v>
      </c>
      <c r="H643" t="s">
        <v>248</v>
      </c>
      <c r="I643" t="str">
        <f t="shared" si="150"/>
        <v>05/03/2026</v>
      </c>
      <c r="J643" t="str">
        <f t="shared" si="146"/>
        <v>24/02/2026</v>
      </c>
      <c r="K643">
        <v>46086</v>
      </c>
      <c r="N643">
        <v>109</v>
      </c>
      <c r="O643" t="s">
        <v>27</v>
      </c>
      <c r="Q643">
        <v>132.38</v>
      </c>
      <c r="R643" t="str">
        <f>"FARMÁCIA INDIANA LJ 111 (10049)"</f>
        <v>FARMÁCIA INDIANA LJ 111 (10049)</v>
      </c>
      <c r="S643" t="s">
        <v>37</v>
      </c>
      <c r="T643">
        <v>30168</v>
      </c>
      <c r="U643">
        <v>33673</v>
      </c>
      <c r="V643" t="s">
        <v>37</v>
      </c>
    </row>
    <row r="644" spans="1:22">
      <c r="A644" t="str">
        <f t="shared" si="147"/>
        <v>05/03/2026</v>
      </c>
      <c r="B644" t="str">
        <f t="shared" si="149"/>
        <v>SAÍDA</v>
      </c>
      <c r="C644" t="str">
        <f t="shared" si="152"/>
        <v>PIX</v>
      </c>
      <c r="D644" t="str">
        <f>"33673"</f>
        <v>33673</v>
      </c>
      <c r="E644" t="str">
        <f t="shared" si="148"/>
        <v>1</v>
      </c>
      <c r="F644" t="str">
        <f t="shared" si="151"/>
        <v>COM</v>
      </c>
      <c r="G644" t="str">
        <f>"SEDNEY GOMES SOARES (87)"</f>
        <v>SEDNEY GOMES SOARES (87)</v>
      </c>
      <c r="H644" t="s">
        <v>248</v>
      </c>
      <c r="I644" t="str">
        <f t="shared" si="150"/>
        <v>05/03/2026</v>
      </c>
      <c r="J644" t="str">
        <f t="shared" si="146"/>
        <v>24/02/2026</v>
      </c>
      <c r="K644">
        <v>46086</v>
      </c>
      <c r="N644">
        <v>109</v>
      </c>
      <c r="O644" t="s">
        <v>27</v>
      </c>
      <c r="Q644">
        <v>485.25</v>
      </c>
      <c r="R644" t="str">
        <f>"FARMÁCIA INDIANA LJ 143 (10067)"</f>
        <v>FARMÁCIA INDIANA LJ 143 (10067)</v>
      </c>
      <c r="S644" t="s">
        <v>37</v>
      </c>
      <c r="T644">
        <v>30168</v>
      </c>
      <c r="U644">
        <v>33673</v>
      </c>
      <c r="V644" t="s">
        <v>37</v>
      </c>
    </row>
    <row r="645" spans="1:22">
      <c r="A645" t="str">
        <f t="shared" si="147"/>
        <v>05/03/2026</v>
      </c>
      <c r="B645" t="str">
        <f t="shared" si="149"/>
        <v>SAÍDA</v>
      </c>
      <c r="C645" t="str">
        <f t="shared" si="152"/>
        <v>PIX</v>
      </c>
      <c r="D645" t="str">
        <f>"33674"</f>
        <v>33674</v>
      </c>
      <c r="E645" t="str">
        <f t="shared" si="148"/>
        <v>1</v>
      </c>
      <c r="F645" t="str">
        <f t="shared" si="151"/>
        <v>COM</v>
      </c>
      <c r="G645" t="str">
        <f>"SILAS ALVES DE FREITAS (35)"</f>
        <v>SILAS ALVES DE FREITAS (35)</v>
      </c>
      <c r="H645" t="str">
        <f>"Serv.Prest. 16/02/2026 a 22/02/2026 - PIX: CPF - CHAVE: 097.855.786-74"</f>
        <v>Serv.Prest. 16/02/2026 a 22/02/2026 - PIX: CPF - CHAVE: 097.855.786-74</v>
      </c>
      <c r="I645" t="str">
        <f t="shared" si="150"/>
        <v>05/03/2026</v>
      </c>
      <c r="J645" t="str">
        <f t="shared" si="146"/>
        <v>24/02/2026</v>
      </c>
      <c r="K645" t="str">
        <f>("05/03/2026")</f>
        <v>05/03/2026</v>
      </c>
      <c r="L645">
        <v>984</v>
      </c>
      <c r="M645">
        <v>984</v>
      </c>
      <c r="N645">
        <v>109</v>
      </c>
      <c r="O645" t="str">
        <f>"PAGAMENTO DE ENTREGADORES"</f>
        <v>PAGAMENTO DE ENTREGADORES</v>
      </c>
      <c r="P645">
        <v>984</v>
      </c>
      <c r="S645" t="str">
        <f>"BANCO C6 (149)"</f>
        <v>BANCO C6 (149)</v>
      </c>
      <c r="T645">
        <v>30169</v>
      </c>
      <c r="U645">
        <v>33674</v>
      </c>
      <c r="V645" t="s">
        <v>37</v>
      </c>
    </row>
    <row r="646" spans="1:22">
      <c r="A646" t="str">
        <f t="shared" si="147"/>
        <v>05/03/2026</v>
      </c>
      <c r="B646" t="str">
        <f t="shared" si="149"/>
        <v>SAÍDA</v>
      </c>
      <c r="C646" t="str">
        <f t="shared" si="152"/>
        <v>PIX</v>
      </c>
      <c r="D646" t="str">
        <f>"33674"</f>
        <v>33674</v>
      </c>
      <c r="E646" t="str">
        <f t="shared" si="148"/>
        <v>1</v>
      </c>
      <c r="F646" t="str">
        <f t="shared" si="151"/>
        <v>COM</v>
      </c>
      <c r="G646" t="str">
        <f>"SILAS ALVES DE FREITAS (35)"</f>
        <v>SILAS ALVES DE FREITAS (35)</v>
      </c>
      <c r="H646" t="s">
        <v>249</v>
      </c>
      <c r="I646" t="str">
        <f t="shared" si="150"/>
        <v>05/03/2026</v>
      </c>
      <c r="J646" t="str">
        <f t="shared" si="146"/>
        <v>24/02/2026</v>
      </c>
      <c r="K646">
        <v>46086</v>
      </c>
      <c r="N646">
        <v>109</v>
      </c>
      <c r="O646" t="s">
        <v>27</v>
      </c>
      <c r="Q646">
        <v>984</v>
      </c>
      <c r="R646" t="str">
        <f>"FARMÁCIA INDIANA LJ 172 (10161)"</f>
        <v>FARMÁCIA INDIANA LJ 172 (10161)</v>
      </c>
      <c r="S646" t="s">
        <v>37</v>
      </c>
      <c r="T646">
        <v>30169</v>
      </c>
      <c r="U646">
        <v>33674</v>
      </c>
      <c r="V646" t="s">
        <v>37</v>
      </c>
    </row>
    <row r="647" spans="1:22">
      <c r="A647" t="str">
        <f t="shared" si="147"/>
        <v>05/03/2026</v>
      </c>
      <c r="B647" t="str">
        <f t="shared" si="149"/>
        <v>SAÍDA</v>
      </c>
      <c r="C647" t="str">
        <f t="shared" si="152"/>
        <v>PIX</v>
      </c>
      <c r="D647" t="str">
        <f>"33675"</f>
        <v>33675</v>
      </c>
      <c r="E647" t="str">
        <f t="shared" si="148"/>
        <v>1</v>
      </c>
      <c r="F647" t="str">
        <f t="shared" si="151"/>
        <v>COM</v>
      </c>
      <c r="G647" t="str">
        <f>"THALES VIANA DOS SANTOS (63)"</f>
        <v>THALES VIANA DOS SANTOS (63)</v>
      </c>
      <c r="H647" t="str">
        <f>"Serv.Prest. 16/02/2026 a 22/02/2026 - PIX: CELULAR - CHAVE: (33) 99880-7941"</f>
        <v>Serv.Prest. 16/02/2026 a 22/02/2026 - PIX: CELULAR - CHAVE: (33) 99880-7941</v>
      </c>
      <c r="I647" t="str">
        <f t="shared" si="150"/>
        <v>05/03/2026</v>
      </c>
      <c r="J647" t="str">
        <f t="shared" si="146"/>
        <v>24/02/2026</v>
      </c>
      <c r="K647" t="str">
        <f>("05/03/2026")</f>
        <v>05/03/2026</v>
      </c>
      <c r="L647">
        <v>84</v>
      </c>
      <c r="M647">
        <v>84</v>
      </c>
      <c r="N647">
        <v>109</v>
      </c>
      <c r="O647" t="str">
        <f>"PAGAMENTO DE ENTREGADORES"</f>
        <v>PAGAMENTO DE ENTREGADORES</v>
      </c>
      <c r="P647">
        <v>84</v>
      </c>
      <c r="S647" t="str">
        <f>"BANCO C6 (149)"</f>
        <v>BANCO C6 (149)</v>
      </c>
      <c r="T647">
        <v>30170</v>
      </c>
      <c r="U647">
        <v>33675</v>
      </c>
      <c r="V647" t="s">
        <v>37</v>
      </c>
    </row>
    <row r="648" spans="1:22">
      <c r="A648" t="str">
        <f t="shared" si="147"/>
        <v>05/03/2026</v>
      </c>
      <c r="B648" t="str">
        <f t="shared" si="149"/>
        <v>SAÍDA</v>
      </c>
      <c r="C648" t="str">
        <f t="shared" si="152"/>
        <v>PIX</v>
      </c>
      <c r="D648" t="str">
        <f>"33675"</f>
        <v>33675</v>
      </c>
      <c r="E648" t="str">
        <f t="shared" si="148"/>
        <v>1</v>
      </c>
      <c r="F648" t="str">
        <f t="shared" si="151"/>
        <v>COM</v>
      </c>
      <c r="G648" t="str">
        <f>"THALES VIANA DOS SANTOS (63)"</f>
        <v>THALES VIANA DOS SANTOS (63)</v>
      </c>
      <c r="H648" t="s">
        <v>250</v>
      </c>
      <c r="I648" t="str">
        <f t="shared" si="150"/>
        <v>05/03/2026</v>
      </c>
      <c r="J648" t="str">
        <f t="shared" si="146"/>
        <v>24/02/2026</v>
      </c>
      <c r="K648">
        <v>46086</v>
      </c>
      <c r="N648">
        <v>109</v>
      </c>
      <c r="O648" t="s">
        <v>27</v>
      </c>
      <c r="Q648">
        <v>84</v>
      </c>
      <c r="R648" t="str">
        <f>"FARMÁCIA INDIANA LJ 07 (10007)"</f>
        <v>FARMÁCIA INDIANA LJ 07 (10007)</v>
      </c>
      <c r="S648" t="s">
        <v>37</v>
      </c>
      <c r="T648">
        <v>30170</v>
      </c>
      <c r="U648">
        <v>33675</v>
      </c>
      <c r="V648" t="s">
        <v>37</v>
      </c>
    </row>
    <row r="649" spans="1:22">
      <c r="A649" t="str">
        <f t="shared" si="147"/>
        <v>05/03/2026</v>
      </c>
      <c r="B649" t="str">
        <f t="shared" si="149"/>
        <v>SAÍDA</v>
      </c>
      <c r="C649" t="str">
        <f t="shared" si="152"/>
        <v>PIX</v>
      </c>
      <c r="D649" t="str">
        <f>"33676"</f>
        <v>33676</v>
      </c>
      <c r="E649" t="str">
        <f t="shared" si="148"/>
        <v>1</v>
      </c>
      <c r="F649" t="str">
        <f t="shared" si="151"/>
        <v>COM</v>
      </c>
      <c r="G649" t="str">
        <f>"VICTOR RILLEY CRUZ MESQUITA (1005)"</f>
        <v>VICTOR RILLEY CRUZ MESQUITA (1005)</v>
      </c>
      <c r="H649" t="str">
        <f>"Serv.Prest. 16/02/2026 a 22/02/2026 - PIX: CELULAR - CHAVE: (33) 99973-4407"</f>
        <v>Serv.Prest. 16/02/2026 a 22/02/2026 - PIX: CELULAR - CHAVE: (33) 99973-4407</v>
      </c>
      <c r="I649" t="str">
        <f t="shared" si="150"/>
        <v>05/03/2026</v>
      </c>
      <c r="J649" t="str">
        <f t="shared" si="146"/>
        <v>24/02/2026</v>
      </c>
      <c r="K649" t="str">
        <f>("05/03/2026")</f>
        <v>05/03/2026</v>
      </c>
      <c r="L649">
        <v>312</v>
      </c>
      <c r="M649">
        <v>312</v>
      </c>
      <c r="N649">
        <v>109</v>
      </c>
      <c r="O649" t="str">
        <f>"PAGAMENTO DE ENTREGADORES"</f>
        <v>PAGAMENTO DE ENTREGADORES</v>
      </c>
      <c r="P649">
        <v>312</v>
      </c>
      <c r="S649" t="str">
        <f>"BANCO C6 (149)"</f>
        <v>BANCO C6 (149)</v>
      </c>
      <c r="T649">
        <v>30171</v>
      </c>
      <c r="U649">
        <v>33676</v>
      </c>
      <c r="V649" t="s">
        <v>37</v>
      </c>
    </row>
    <row r="650" spans="1:22">
      <c r="A650" t="str">
        <f t="shared" si="147"/>
        <v>05/03/2026</v>
      </c>
      <c r="B650" t="str">
        <f t="shared" si="149"/>
        <v>SAÍDA</v>
      </c>
      <c r="C650" t="str">
        <f t="shared" si="152"/>
        <v>PIX</v>
      </c>
      <c r="D650" t="str">
        <f>"33676"</f>
        <v>33676</v>
      </c>
      <c r="E650" t="str">
        <f t="shared" si="148"/>
        <v>1</v>
      </c>
      <c r="F650" t="str">
        <f t="shared" si="151"/>
        <v>COM</v>
      </c>
      <c r="G650" t="str">
        <f>"VICTOR RILLEY CRUZ MESQUITA (1005)"</f>
        <v>VICTOR RILLEY CRUZ MESQUITA (1005)</v>
      </c>
      <c r="H650" t="s">
        <v>251</v>
      </c>
      <c r="I650" t="str">
        <f t="shared" si="150"/>
        <v>05/03/2026</v>
      </c>
      <c r="J650" t="str">
        <f t="shared" si="146"/>
        <v>24/02/2026</v>
      </c>
      <c r="K650">
        <v>46086</v>
      </c>
      <c r="N650">
        <v>109</v>
      </c>
      <c r="O650" t="s">
        <v>27</v>
      </c>
      <c r="Q650">
        <v>312</v>
      </c>
      <c r="R650" t="str">
        <f>"FARMÁCIA INDIANA LJ 07 (10007)"</f>
        <v>FARMÁCIA INDIANA LJ 07 (10007)</v>
      </c>
      <c r="S650" t="s">
        <v>37</v>
      </c>
      <c r="T650">
        <v>30171</v>
      </c>
      <c r="U650">
        <v>33676</v>
      </c>
      <c r="V650" t="s">
        <v>37</v>
      </c>
    </row>
    <row r="651" spans="1:22">
      <c r="A651" t="str">
        <f t="shared" si="147"/>
        <v>05/03/2026</v>
      </c>
      <c r="B651" t="str">
        <f t="shared" si="149"/>
        <v>SAÍDA</v>
      </c>
      <c r="C651" t="str">
        <f t="shared" si="152"/>
        <v>PIX</v>
      </c>
      <c r="D651" t="str">
        <f>"33677"</f>
        <v>33677</v>
      </c>
      <c r="E651" t="str">
        <f t="shared" si="148"/>
        <v>1</v>
      </c>
      <c r="F651" t="str">
        <f t="shared" si="151"/>
        <v>COM</v>
      </c>
      <c r="G651" t="str">
        <f>"VINICIUS DE SOUZA ISABEL (658)"</f>
        <v>VINICIUS DE SOUZA ISABEL (658)</v>
      </c>
      <c r="H651" t="str">
        <f>"Serv.Prest. 16/02/2026 a 22/02/2026 - PIX: CPF - CHAVE: 092.566.416-23"</f>
        <v>Serv.Prest. 16/02/2026 a 22/02/2026 - PIX: CPF - CHAVE: 092.566.416-23</v>
      </c>
      <c r="I651" t="str">
        <f t="shared" si="150"/>
        <v>05/03/2026</v>
      </c>
      <c r="J651" t="str">
        <f t="shared" si="146"/>
        <v>24/02/2026</v>
      </c>
      <c r="K651" t="str">
        <f>("05/03/2026")</f>
        <v>05/03/2026</v>
      </c>
      <c r="L651">
        <v>700</v>
      </c>
      <c r="M651">
        <v>700</v>
      </c>
      <c r="N651">
        <v>109</v>
      </c>
      <c r="O651" t="str">
        <f>"PAGAMENTO DE ENTREGADORES"</f>
        <v>PAGAMENTO DE ENTREGADORES</v>
      </c>
      <c r="P651">
        <v>700</v>
      </c>
      <c r="S651" t="str">
        <f>"BANCO C6 (149)"</f>
        <v>BANCO C6 (149)</v>
      </c>
      <c r="T651">
        <v>30172</v>
      </c>
      <c r="U651">
        <v>33677</v>
      </c>
      <c r="V651" t="s">
        <v>37</v>
      </c>
    </row>
    <row r="652" spans="1:22">
      <c r="A652" t="str">
        <f t="shared" si="147"/>
        <v>05/03/2026</v>
      </c>
      <c r="B652" t="str">
        <f t="shared" si="149"/>
        <v>SAÍDA</v>
      </c>
      <c r="C652" t="str">
        <f t="shared" si="152"/>
        <v>PIX</v>
      </c>
      <c r="D652" t="str">
        <f>"33677"</f>
        <v>33677</v>
      </c>
      <c r="E652" t="str">
        <f t="shared" si="148"/>
        <v>1</v>
      </c>
      <c r="F652" t="str">
        <f t="shared" si="151"/>
        <v>COM</v>
      </c>
      <c r="G652" t="str">
        <f>"VINICIUS DE SOUZA ISABEL (658)"</f>
        <v>VINICIUS DE SOUZA ISABEL (658)</v>
      </c>
      <c r="H652" t="s">
        <v>252</v>
      </c>
      <c r="I652" t="str">
        <f t="shared" si="150"/>
        <v>05/03/2026</v>
      </c>
      <c r="J652" t="str">
        <f t="shared" si="146"/>
        <v>24/02/2026</v>
      </c>
      <c r="K652">
        <v>46086</v>
      </c>
      <c r="N652">
        <v>109</v>
      </c>
      <c r="O652" t="s">
        <v>27</v>
      </c>
      <c r="Q652">
        <v>700</v>
      </c>
      <c r="R652" t="str">
        <f>"FARMÁCIA INDIANA LJ 219 (10091)"</f>
        <v>FARMÁCIA INDIANA LJ 219 (10091)</v>
      </c>
      <c r="S652" t="s">
        <v>37</v>
      </c>
      <c r="T652">
        <v>30172</v>
      </c>
      <c r="U652">
        <v>33677</v>
      </c>
      <c r="V652" t="s">
        <v>37</v>
      </c>
    </row>
    <row r="653" spans="1:22">
      <c r="A653" t="str">
        <f t="shared" si="147"/>
        <v>05/03/2026</v>
      </c>
      <c r="B653" t="str">
        <f t="shared" si="149"/>
        <v>SAÍDA</v>
      </c>
      <c r="C653" t="str">
        <f t="shared" si="152"/>
        <v>PIX</v>
      </c>
      <c r="D653" t="str">
        <f>"33678"</f>
        <v>33678</v>
      </c>
      <c r="E653" t="str">
        <f t="shared" si="148"/>
        <v>1</v>
      </c>
      <c r="F653" t="str">
        <f t="shared" si="151"/>
        <v>COM</v>
      </c>
      <c r="G653" t="str">
        <f>"VITOR DE SOUZA SILVA (360)"</f>
        <v>VITOR DE SOUZA SILVA (360)</v>
      </c>
      <c r="H653" t="str">
        <f>"Serv.Prest. 16/02/2026 a 22/02/2026 - PIX: CPF - CHAVE: 130.194.566-81"</f>
        <v>Serv.Prest. 16/02/2026 a 22/02/2026 - PIX: CPF - CHAVE: 130.194.566-81</v>
      </c>
      <c r="I653" t="str">
        <f t="shared" si="150"/>
        <v>05/03/2026</v>
      </c>
      <c r="J653" t="str">
        <f t="shared" si="146"/>
        <v>24/02/2026</v>
      </c>
      <c r="K653" t="str">
        <f>("05/03/2026")</f>
        <v>05/03/2026</v>
      </c>
      <c r="L653">
        <v>965</v>
      </c>
      <c r="M653">
        <v>965</v>
      </c>
      <c r="N653">
        <v>109</v>
      </c>
      <c r="O653" t="str">
        <f>"PAGAMENTO DE ENTREGADORES"</f>
        <v>PAGAMENTO DE ENTREGADORES</v>
      </c>
      <c r="P653">
        <v>965</v>
      </c>
      <c r="S653" t="str">
        <f>"BANCO C6 (149)"</f>
        <v>BANCO C6 (149)</v>
      </c>
      <c r="T653">
        <v>30173</v>
      </c>
      <c r="U653">
        <v>33678</v>
      </c>
      <c r="V653" t="s">
        <v>37</v>
      </c>
    </row>
    <row r="654" spans="1:22">
      <c r="A654" t="str">
        <f t="shared" si="147"/>
        <v>05/03/2026</v>
      </c>
      <c r="B654" t="str">
        <f t="shared" si="149"/>
        <v>SAÍDA</v>
      </c>
      <c r="C654" t="str">
        <f t="shared" si="152"/>
        <v>PIX</v>
      </c>
      <c r="D654" t="str">
        <f>"33678"</f>
        <v>33678</v>
      </c>
      <c r="E654" t="str">
        <f t="shared" si="148"/>
        <v>1</v>
      </c>
      <c r="F654" t="str">
        <f t="shared" si="151"/>
        <v>COM</v>
      </c>
      <c r="G654" t="str">
        <f>"VITOR DE SOUZA SILVA (360)"</f>
        <v>VITOR DE SOUZA SILVA (360)</v>
      </c>
      <c r="H654" t="s">
        <v>253</v>
      </c>
      <c r="I654" t="str">
        <f t="shared" si="150"/>
        <v>05/03/2026</v>
      </c>
      <c r="J654" t="str">
        <f t="shared" si="146"/>
        <v>24/02/2026</v>
      </c>
      <c r="K654">
        <v>46086</v>
      </c>
      <c r="N654">
        <v>109</v>
      </c>
      <c r="O654" t="s">
        <v>27</v>
      </c>
      <c r="Q654">
        <v>108.85</v>
      </c>
      <c r="R654" t="str">
        <f>"FARMÁCIA INDIANA LJ 112 (10050)"</f>
        <v>FARMÁCIA INDIANA LJ 112 (10050)</v>
      </c>
      <c r="S654" t="s">
        <v>37</v>
      </c>
      <c r="T654">
        <v>30173</v>
      </c>
      <c r="U654">
        <v>33678</v>
      </c>
      <c r="V654" t="s">
        <v>37</v>
      </c>
    </row>
    <row r="655" spans="1:22">
      <c r="A655" t="str">
        <f t="shared" si="147"/>
        <v>05/03/2026</v>
      </c>
      <c r="B655" t="str">
        <f t="shared" si="149"/>
        <v>SAÍDA</v>
      </c>
      <c r="C655" t="str">
        <f t="shared" si="152"/>
        <v>PIX</v>
      </c>
      <c r="D655" t="str">
        <f>"33678"</f>
        <v>33678</v>
      </c>
      <c r="E655" t="str">
        <f t="shared" si="148"/>
        <v>1</v>
      </c>
      <c r="F655" t="str">
        <f t="shared" si="151"/>
        <v>COM</v>
      </c>
      <c r="G655" t="str">
        <f>"VITOR DE SOUZA SILVA (360)"</f>
        <v>VITOR DE SOUZA SILVA (360)</v>
      </c>
      <c r="H655" t="s">
        <v>253</v>
      </c>
      <c r="I655" t="str">
        <f t="shared" si="150"/>
        <v>05/03/2026</v>
      </c>
      <c r="J655" t="str">
        <f t="shared" si="146"/>
        <v>24/02/2026</v>
      </c>
      <c r="K655">
        <v>46086</v>
      </c>
      <c r="N655">
        <v>109</v>
      </c>
      <c r="O655" t="s">
        <v>27</v>
      </c>
      <c r="Q655">
        <v>348.27</v>
      </c>
      <c r="R655" t="str">
        <f>"FARMÁCIA INDIANA LJ 116 (10051)"</f>
        <v>FARMÁCIA INDIANA LJ 116 (10051)</v>
      </c>
      <c r="S655" t="s">
        <v>37</v>
      </c>
      <c r="T655">
        <v>30173</v>
      </c>
      <c r="U655">
        <v>33678</v>
      </c>
      <c r="V655" t="s">
        <v>37</v>
      </c>
    </row>
    <row r="656" spans="1:22">
      <c r="A656" t="str">
        <f t="shared" si="147"/>
        <v>05/03/2026</v>
      </c>
      <c r="B656" t="str">
        <f t="shared" si="149"/>
        <v>SAÍDA</v>
      </c>
      <c r="C656" t="str">
        <f t="shared" si="152"/>
        <v>PIX</v>
      </c>
      <c r="D656" t="str">
        <f>"33678"</f>
        <v>33678</v>
      </c>
      <c r="E656" t="str">
        <f t="shared" si="148"/>
        <v>1</v>
      </c>
      <c r="F656" t="str">
        <f t="shared" si="151"/>
        <v>COM</v>
      </c>
      <c r="G656" t="str">
        <f>"VITOR DE SOUZA SILVA (360)"</f>
        <v>VITOR DE SOUZA SILVA (360)</v>
      </c>
      <c r="H656" t="s">
        <v>253</v>
      </c>
      <c r="I656" t="str">
        <f t="shared" si="150"/>
        <v>05/03/2026</v>
      </c>
      <c r="J656" t="str">
        <f t="shared" si="146"/>
        <v>24/02/2026</v>
      </c>
      <c r="K656">
        <v>46086</v>
      </c>
      <c r="N656">
        <v>109</v>
      </c>
      <c r="O656" t="s">
        <v>27</v>
      </c>
      <c r="Q656">
        <v>137.9</v>
      </c>
      <c r="R656" t="str">
        <f>"FARMÁCIA INDIANA LJ 121 (10054)"</f>
        <v>FARMÁCIA INDIANA LJ 121 (10054)</v>
      </c>
      <c r="S656" t="s">
        <v>37</v>
      </c>
      <c r="T656">
        <v>30173</v>
      </c>
      <c r="U656">
        <v>33678</v>
      </c>
      <c r="V656" t="s">
        <v>37</v>
      </c>
    </row>
    <row r="657" spans="1:22">
      <c r="A657" t="str">
        <f t="shared" si="147"/>
        <v>05/03/2026</v>
      </c>
      <c r="B657" t="str">
        <f t="shared" si="149"/>
        <v>SAÍDA</v>
      </c>
      <c r="C657" t="str">
        <f t="shared" si="152"/>
        <v>PIX</v>
      </c>
      <c r="D657" t="str">
        <f>"33678"</f>
        <v>33678</v>
      </c>
      <c r="E657" t="str">
        <f t="shared" si="148"/>
        <v>1</v>
      </c>
      <c r="F657" t="str">
        <f t="shared" si="151"/>
        <v>COM</v>
      </c>
      <c r="G657" t="str">
        <f>"VITOR DE SOUZA SILVA (360)"</f>
        <v>VITOR DE SOUZA SILVA (360)</v>
      </c>
      <c r="H657" t="s">
        <v>253</v>
      </c>
      <c r="I657" t="str">
        <f t="shared" si="150"/>
        <v>05/03/2026</v>
      </c>
      <c r="J657" t="str">
        <f t="shared" si="146"/>
        <v>24/02/2026</v>
      </c>
      <c r="K657">
        <v>46086</v>
      </c>
      <c r="N657">
        <v>109</v>
      </c>
      <c r="O657" t="s">
        <v>27</v>
      </c>
      <c r="Q657">
        <v>369.98</v>
      </c>
      <c r="R657" t="str">
        <f>"FARMÁCIA INDIANA LJ 128 (10057)"</f>
        <v>FARMÁCIA INDIANA LJ 128 (10057)</v>
      </c>
      <c r="S657" t="s">
        <v>37</v>
      </c>
      <c r="T657">
        <v>30173</v>
      </c>
      <c r="U657">
        <v>33678</v>
      </c>
      <c r="V657" t="s">
        <v>37</v>
      </c>
    </row>
    <row r="658" spans="1:22">
      <c r="A658" t="str">
        <f t="shared" si="147"/>
        <v>05/03/2026</v>
      </c>
      <c r="B658" t="str">
        <f t="shared" si="149"/>
        <v>SAÍDA</v>
      </c>
      <c r="C658" t="str">
        <f t="shared" si="152"/>
        <v>PIX</v>
      </c>
      <c r="D658" t="str">
        <f>"33679"</f>
        <v>33679</v>
      </c>
      <c r="E658" t="str">
        <f t="shared" si="148"/>
        <v>1</v>
      </c>
      <c r="F658" t="str">
        <f t="shared" si="151"/>
        <v>COM</v>
      </c>
      <c r="G658" t="str">
        <f>"WAGNER DOS SANTOS LIMA (31)"</f>
        <v>WAGNER DOS SANTOS LIMA (31)</v>
      </c>
      <c r="H658" t="str">
        <f>"Serv.Prest. 16/02/2026 a 22/02/2026 - PIX: CELULAR - CHAVE: (33) 99118-9032"</f>
        <v>Serv.Prest. 16/02/2026 a 22/02/2026 - PIX: CELULAR - CHAVE: (33) 99118-9032</v>
      </c>
      <c r="I658" t="str">
        <f t="shared" si="150"/>
        <v>05/03/2026</v>
      </c>
      <c r="J658" t="str">
        <f t="shared" si="146"/>
        <v>24/02/2026</v>
      </c>
      <c r="K658" t="str">
        <f>("05/03/2026")</f>
        <v>05/03/2026</v>
      </c>
      <c r="L658">
        <v>797.5</v>
      </c>
      <c r="M658">
        <v>797.5</v>
      </c>
      <c r="N658">
        <v>109</v>
      </c>
      <c r="O658" t="str">
        <f>"PAGAMENTO DE ENTREGADORES"</f>
        <v>PAGAMENTO DE ENTREGADORES</v>
      </c>
      <c r="P658">
        <v>797.5</v>
      </c>
      <c r="S658" t="str">
        <f>"BANCO C6 (149)"</f>
        <v>BANCO C6 (149)</v>
      </c>
      <c r="T658">
        <v>30174</v>
      </c>
      <c r="U658">
        <v>33679</v>
      </c>
      <c r="V658" t="s">
        <v>37</v>
      </c>
    </row>
    <row r="659" spans="1:22">
      <c r="A659" t="str">
        <f t="shared" si="147"/>
        <v>05/03/2026</v>
      </c>
      <c r="B659" t="str">
        <f t="shared" si="149"/>
        <v>SAÍDA</v>
      </c>
      <c r="C659" t="str">
        <f t="shared" si="152"/>
        <v>PIX</v>
      </c>
      <c r="D659" t="str">
        <f>"33679"</f>
        <v>33679</v>
      </c>
      <c r="E659" t="str">
        <f t="shared" si="148"/>
        <v>1</v>
      </c>
      <c r="F659" t="str">
        <f t="shared" si="151"/>
        <v>COM</v>
      </c>
      <c r="G659" t="str">
        <f>"WAGNER DOS SANTOS LIMA (31)"</f>
        <v>WAGNER DOS SANTOS LIMA (31)</v>
      </c>
      <c r="H659" t="s">
        <v>254</v>
      </c>
      <c r="I659" t="str">
        <f t="shared" si="150"/>
        <v>05/03/2026</v>
      </c>
      <c r="J659" t="str">
        <f t="shared" si="146"/>
        <v>24/02/2026</v>
      </c>
      <c r="K659">
        <v>46086</v>
      </c>
      <c r="N659">
        <v>109</v>
      </c>
      <c r="O659" t="s">
        <v>27</v>
      </c>
      <c r="Q659">
        <v>797.5</v>
      </c>
      <c r="R659" t="str">
        <f>"FARMÁCIA INDIANA LJ 61 (10027)"</f>
        <v>FARMÁCIA INDIANA LJ 61 (10027)</v>
      </c>
      <c r="S659" t="s">
        <v>37</v>
      </c>
      <c r="T659">
        <v>30174</v>
      </c>
      <c r="U659">
        <v>33679</v>
      </c>
      <c r="V659" t="s">
        <v>37</v>
      </c>
    </row>
    <row r="660" spans="1:22">
      <c r="A660" t="str">
        <f t="shared" si="147"/>
        <v>05/03/2026</v>
      </c>
      <c r="B660" t="str">
        <f t="shared" si="149"/>
        <v>SAÍDA</v>
      </c>
      <c r="C660" t="str">
        <f t="shared" si="152"/>
        <v>PIX</v>
      </c>
      <c r="D660" t="str">
        <f>"33680"</f>
        <v>33680</v>
      </c>
      <c r="E660" t="str">
        <f t="shared" si="148"/>
        <v>1</v>
      </c>
      <c r="F660" t="str">
        <f t="shared" si="151"/>
        <v>COM</v>
      </c>
      <c r="G660" t="str">
        <f>"WEIGNE SENA CARDOSO (53)"</f>
        <v>WEIGNE SENA CARDOSO (53)</v>
      </c>
      <c r="H660" t="str">
        <f>"Serv.Prest. 16/02/2026 a 22/02/2026 - PIX: CPF - CHAVE: 097.245.586-81"</f>
        <v>Serv.Prest. 16/02/2026 a 22/02/2026 - PIX: CPF - CHAVE: 097.245.586-81</v>
      </c>
      <c r="I660" t="str">
        <f t="shared" si="150"/>
        <v>05/03/2026</v>
      </c>
      <c r="J660" t="str">
        <f t="shared" si="146"/>
        <v>24/02/2026</v>
      </c>
      <c r="K660" t="str">
        <f>("05/03/2026")</f>
        <v>05/03/2026</v>
      </c>
      <c r="L660">
        <v>480</v>
      </c>
      <c r="M660">
        <v>480</v>
      </c>
      <c r="N660">
        <v>109</v>
      </c>
      <c r="O660" t="str">
        <f>"PAGAMENTO DE ENTREGADORES"</f>
        <v>PAGAMENTO DE ENTREGADORES</v>
      </c>
      <c r="P660">
        <v>480</v>
      </c>
      <c r="S660" t="str">
        <f>"BANCO C6 (149)"</f>
        <v>BANCO C6 (149)</v>
      </c>
      <c r="T660">
        <v>30175</v>
      </c>
      <c r="U660">
        <v>33680</v>
      </c>
      <c r="V660" t="s">
        <v>37</v>
      </c>
    </row>
    <row r="661" spans="1:22">
      <c r="A661" t="str">
        <f t="shared" si="147"/>
        <v>05/03/2026</v>
      </c>
      <c r="B661" t="str">
        <f t="shared" si="149"/>
        <v>SAÍDA</v>
      </c>
      <c r="C661" t="str">
        <f t="shared" si="152"/>
        <v>PIX</v>
      </c>
      <c r="D661" t="str">
        <f>"33680"</f>
        <v>33680</v>
      </c>
      <c r="E661" t="str">
        <f t="shared" si="148"/>
        <v>1</v>
      </c>
      <c r="F661" t="str">
        <f t="shared" si="151"/>
        <v>COM</v>
      </c>
      <c r="G661" t="str">
        <f>"WEIGNE SENA CARDOSO (53)"</f>
        <v>WEIGNE SENA CARDOSO (53)</v>
      </c>
      <c r="H661" t="s">
        <v>255</v>
      </c>
      <c r="I661" t="str">
        <f t="shared" si="150"/>
        <v>05/03/2026</v>
      </c>
      <c r="J661" t="str">
        <f t="shared" si="146"/>
        <v>24/02/2026</v>
      </c>
      <c r="K661">
        <v>46086</v>
      </c>
      <c r="N661">
        <v>109</v>
      </c>
      <c r="O661" t="s">
        <v>27</v>
      </c>
      <c r="Q661">
        <v>480</v>
      </c>
      <c r="R661" t="str">
        <f>"FARMÁCIA INDIANA LJ 07 (10007)"</f>
        <v>FARMÁCIA INDIANA LJ 07 (10007)</v>
      </c>
      <c r="S661" t="s">
        <v>37</v>
      </c>
      <c r="T661">
        <v>30175</v>
      </c>
      <c r="U661">
        <v>33680</v>
      </c>
      <c r="V661" t="s">
        <v>37</v>
      </c>
    </row>
    <row r="662" spans="1:22">
      <c r="A662" t="str">
        <f t="shared" si="147"/>
        <v>05/03/2026</v>
      </c>
      <c r="B662" t="str">
        <f t="shared" si="149"/>
        <v>SAÍDA</v>
      </c>
      <c r="C662" t="str">
        <f t="shared" si="152"/>
        <v>PIX</v>
      </c>
      <c r="D662" t="str">
        <f>"33681"</f>
        <v>33681</v>
      </c>
      <c r="E662" t="str">
        <f t="shared" si="148"/>
        <v>1</v>
      </c>
      <c r="F662" t="str">
        <f t="shared" si="151"/>
        <v>COM</v>
      </c>
      <c r="G662" t="str">
        <f>"WELVES DA SILVA RAMOS (194)"</f>
        <v>WELVES DA SILVA RAMOS (194)</v>
      </c>
      <c r="H662" t="str">
        <f>"Serv.Prest. 16/02/2026 a 22/02/2026 - PIX: CPF - CHAVE: 700.454.836-80"</f>
        <v>Serv.Prest. 16/02/2026 a 22/02/2026 - PIX: CPF - CHAVE: 700.454.836-80</v>
      </c>
      <c r="I662" t="str">
        <f t="shared" si="150"/>
        <v>05/03/2026</v>
      </c>
      <c r="J662" t="str">
        <f t="shared" ref="J662:J725" si="153">("24/02/2026")</f>
        <v>24/02/2026</v>
      </c>
      <c r="K662" t="str">
        <f>("05/03/2026")</f>
        <v>05/03/2026</v>
      </c>
      <c r="L662">
        <v>900</v>
      </c>
      <c r="M662">
        <v>900</v>
      </c>
      <c r="N662">
        <v>109</v>
      </c>
      <c r="O662" t="str">
        <f>"PAGAMENTO DE ENTREGADORES"</f>
        <v>PAGAMENTO DE ENTREGADORES</v>
      </c>
      <c r="P662">
        <v>900</v>
      </c>
      <c r="S662" t="str">
        <f>"BANCO C6 (149)"</f>
        <v>BANCO C6 (149)</v>
      </c>
      <c r="T662">
        <v>30176</v>
      </c>
      <c r="U662">
        <v>33681</v>
      </c>
      <c r="V662" t="s">
        <v>37</v>
      </c>
    </row>
    <row r="663" spans="1:22">
      <c r="A663" t="str">
        <f t="shared" si="147"/>
        <v>05/03/2026</v>
      </c>
      <c r="B663" t="str">
        <f t="shared" si="149"/>
        <v>SAÍDA</v>
      </c>
      <c r="C663" t="str">
        <f t="shared" si="152"/>
        <v>PIX</v>
      </c>
      <c r="D663" t="str">
        <f>"33681"</f>
        <v>33681</v>
      </c>
      <c r="E663" t="str">
        <f t="shared" si="148"/>
        <v>1</v>
      </c>
      <c r="F663" t="str">
        <f t="shared" si="151"/>
        <v>COM</v>
      </c>
      <c r="G663" t="str">
        <f>"WELVES DA SILVA RAMOS (194)"</f>
        <v>WELVES DA SILVA RAMOS (194)</v>
      </c>
      <c r="H663" t="s">
        <v>256</v>
      </c>
      <c r="I663" t="str">
        <f t="shared" si="150"/>
        <v>05/03/2026</v>
      </c>
      <c r="J663" t="str">
        <f t="shared" si="153"/>
        <v>24/02/2026</v>
      </c>
      <c r="K663">
        <v>46086</v>
      </c>
      <c r="N663">
        <v>109</v>
      </c>
      <c r="O663" t="s">
        <v>27</v>
      </c>
      <c r="Q663">
        <v>900</v>
      </c>
      <c r="R663" t="str">
        <f>"FARMÁCIA INDIANA LJ 06 (10006)"</f>
        <v>FARMÁCIA INDIANA LJ 06 (10006)</v>
      </c>
      <c r="S663" t="s">
        <v>37</v>
      </c>
      <c r="T663">
        <v>30176</v>
      </c>
      <c r="U663">
        <v>33681</v>
      </c>
      <c r="V663" t="s">
        <v>37</v>
      </c>
    </row>
    <row r="664" spans="1:22">
      <c r="A664" t="str">
        <f t="shared" si="147"/>
        <v>05/03/2026</v>
      </c>
      <c r="B664" t="str">
        <f t="shared" si="149"/>
        <v>SAÍDA</v>
      </c>
      <c r="C664" t="str">
        <f t="shared" si="152"/>
        <v>PIX</v>
      </c>
      <c r="D664" t="str">
        <f>"33682"</f>
        <v>33682</v>
      </c>
      <c r="E664" t="str">
        <f t="shared" si="148"/>
        <v>1</v>
      </c>
      <c r="F664" t="str">
        <f t="shared" si="151"/>
        <v>COM</v>
      </c>
      <c r="G664" t="str">
        <f>"WEMERSON FELIPE LOPES (187)"</f>
        <v>WEMERSON FELIPE LOPES (187)</v>
      </c>
      <c r="H664" t="str">
        <f>"Serv.Prest. 16/02/2026 a 22/02/2026 - PIX: CELULAR - CHAVE: (33) 98806-5772"</f>
        <v>Serv.Prest. 16/02/2026 a 22/02/2026 - PIX: CELULAR - CHAVE: (33) 98806-5772</v>
      </c>
      <c r="I664" t="str">
        <f t="shared" si="150"/>
        <v>05/03/2026</v>
      </c>
      <c r="J664" t="str">
        <f t="shared" si="153"/>
        <v>24/02/2026</v>
      </c>
      <c r="K664" t="str">
        <f>("05/03/2026")</f>
        <v>05/03/2026</v>
      </c>
      <c r="L664">
        <v>1080</v>
      </c>
      <c r="M664">
        <v>1080</v>
      </c>
      <c r="N664">
        <v>109</v>
      </c>
      <c r="O664" t="str">
        <f>"PAGAMENTO DE ENTREGADORES"</f>
        <v>PAGAMENTO DE ENTREGADORES</v>
      </c>
      <c r="P664">
        <v>1080</v>
      </c>
      <c r="S664" t="str">
        <f>"BANCO C6 (149)"</f>
        <v>BANCO C6 (149)</v>
      </c>
      <c r="T664">
        <v>30177</v>
      </c>
      <c r="U664">
        <v>33682</v>
      </c>
      <c r="V664" t="s">
        <v>37</v>
      </c>
    </row>
    <row r="665" spans="1:22">
      <c r="A665" t="str">
        <f t="shared" si="147"/>
        <v>05/03/2026</v>
      </c>
      <c r="B665" t="str">
        <f t="shared" si="149"/>
        <v>SAÍDA</v>
      </c>
      <c r="C665" t="str">
        <f t="shared" si="152"/>
        <v>PIX</v>
      </c>
      <c r="D665" t="str">
        <f>"33682"</f>
        <v>33682</v>
      </c>
      <c r="E665" t="str">
        <f t="shared" si="148"/>
        <v>1</v>
      </c>
      <c r="F665" t="str">
        <f t="shared" si="151"/>
        <v>COM</v>
      </c>
      <c r="G665" t="str">
        <f>"WEMERSON FELIPE LOPES (187)"</f>
        <v>WEMERSON FELIPE LOPES (187)</v>
      </c>
      <c r="H665" t="s">
        <v>257</v>
      </c>
      <c r="I665" t="str">
        <f t="shared" si="150"/>
        <v>05/03/2026</v>
      </c>
      <c r="J665" t="str">
        <f t="shared" si="153"/>
        <v>24/02/2026</v>
      </c>
      <c r="K665">
        <v>46086</v>
      </c>
      <c r="N665">
        <v>109</v>
      </c>
      <c r="O665" t="s">
        <v>27</v>
      </c>
      <c r="Q665">
        <v>1080</v>
      </c>
      <c r="R665" t="str">
        <f>"FARMÁCIA INDIANA LJ 06 (10006)"</f>
        <v>FARMÁCIA INDIANA LJ 06 (10006)</v>
      </c>
      <c r="S665" t="s">
        <v>37</v>
      </c>
      <c r="T665">
        <v>30177</v>
      </c>
      <c r="U665">
        <v>33682</v>
      </c>
      <c r="V665" t="s">
        <v>37</v>
      </c>
    </row>
    <row r="666" spans="1:22">
      <c r="A666" t="str">
        <f t="shared" si="147"/>
        <v>05/03/2026</v>
      </c>
      <c r="B666" t="str">
        <f t="shared" si="149"/>
        <v>SAÍDA</v>
      </c>
      <c r="C666" t="str">
        <f t="shared" si="152"/>
        <v>PIX</v>
      </c>
      <c r="D666" t="str">
        <f>"33683"</f>
        <v>33683</v>
      </c>
      <c r="E666" t="str">
        <f t="shared" si="148"/>
        <v>1</v>
      </c>
      <c r="F666" t="str">
        <f t="shared" si="151"/>
        <v>COM</v>
      </c>
      <c r="G666" t="str">
        <f>"WEMERSON MOREIRA PESSOA (75)"</f>
        <v>WEMERSON MOREIRA PESSOA (75)</v>
      </c>
      <c r="H666" t="str">
        <f>"Serv.Prest. 16/02/2026 a 22/02/2026 - PIX: CELULAR - CHAVE: (33) 99996-3668"</f>
        <v>Serv.Prest. 16/02/2026 a 22/02/2026 - PIX: CELULAR - CHAVE: (33) 99996-3668</v>
      </c>
      <c r="I666" t="str">
        <f t="shared" si="150"/>
        <v>05/03/2026</v>
      </c>
      <c r="J666" t="str">
        <f t="shared" si="153"/>
        <v>24/02/2026</v>
      </c>
      <c r="K666" t="str">
        <f>("05/03/2026")</f>
        <v>05/03/2026</v>
      </c>
      <c r="L666">
        <v>54</v>
      </c>
      <c r="M666">
        <v>54</v>
      </c>
      <c r="N666">
        <v>109</v>
      </c>
      <c r="O666" t="str">
        <f>"PAGAMENTO DE ENTREGADORES"</f>
        <v>PAGAMENTO DE ENTREGADORES</v>
      </c>
      <c r="P666">
        <v>54</v>
      </c>
      <c r="S666" t="str">
        <f>"BANCO C6 (149)"</f>
        <v>BANCO C6 (149)</v>
      </c>
      <c r="T666">
        <v>30178</v>
      </c>
      <c r="U666">
        <v>33683</v>
      </c>
      <c r="V666" t="s">
        <v>37</v>
      </c>
    </row>
    <row r="667" spans="1:22">
      <c r="A667" t="str">
        <f t="shared" si="147"/>
        <v>05/03/2026</v>
      </c>
      <c r="B667" t="str">
        <f t="shared" si="149"/>
        <v>SAÍDA</v>
      </c>
      <c r="C667" t="str">
        <f t="shared" si="152"/>
        <v>PIX</v>
      </c>
      <c r="D667" t="str">
        <f>"33683"</f>
        <v>33683</v>
      </c>
      <c r="E667" t="str">
        <f t="shared" si="148"/>
        <v>1</v>
      </c>
      <c r="F667" t="str">
        <f t="shared" si="151"/>
        <v>COM</v>
      </c>
      <c r="G667" t="str">
        <f>"WEMERSON MOREIRA PESSOA (75)"</f>
        <v>WEMERSON MOREIRA PESSOA (75)</v>
      </c>
      <c r="H667" t="s">
        <v>258</v>
      </c>
      <c r="I667" t="str">
        <f t="shared" si="150"/>
        <v>05/03/2026</v>
      </c>
      <c r="J667" t="str">
        <f t="shared" si="153"/>
        <v>24/02/2026</v>
      </c>
      <c r="K667">
        <v>46086</v>
      </c>
      <c r="N667">
        <v>109</v>
      </c>
      <c r="O667" t="s">
        <v>27</v>
      </c>
      <c r="Q667">
        <v>54</v>
      </c>
      <c r="R667" t="str">
        <f>"FARMÁCIA INDIANA LJ 07 (10007)"</f>
        <v>FARMÁCIA INDIANA LJ 07 (10007)</v>
      </c>
      <c r="S667" t="s">
        <v>37</v>
      </c>
      <c r="T667">
        <v>30178</v>
      </c>
      <c r="U667">
        <v>33683</v>
      </c>
      <c r="V667" t="s">
        <v>37</v>
      </c>
    </row>
    <row r="668" spans="1:22">
      <c r="A668" t="str">
        <f t="shared" si="147"/>
        <v>05/03/2026</v>
      </c>
      <c r="B668" t="str">
        <f t="shared" si="149"/>
        <v>SAÍDA</v>
      </c>
      <c r="C668" t="str">
        <f t="shared" si="152"/>
        <v>PIX</v>
      </c>
      <c r="D668" t="str">
        <f>"33684"</f>
        <v>33684</v>
      </c>
      <c r="E668" t="str">
        <f t="shared" si="148"/>
        <v>1</v>
      </c>
      <c r="F668" t="str">
        <f t="shared" si="151"/>
        <v>COM</v>
      </c>
      <c r="G668" t="str">
        <f>"WENDEL LIMA DE SOUZA (112)"</f>
        <v>WENDEL LIMA DE SOUZA (112)</v>
      </c>
      <c r="H668" t="str">
        <f>"Serv.Prest. 16/02/2026 a 22/02/2026 - PIX: CELULAR - CHAVE: (31) 99506-2265"</f>
        <v>Serv.Prest. 16/02/2026 a 22/02/2026 - PIX: CELULAR - CHAVE: (31) 99506-2265</v>
      </c>
      <c r="I668" t="str">
        <f t="shared" si="150"/>
        <v>05/03/2026</v>
      </c>
      <c r="J668" t="str">
        <f t="shared" si="153"/>
        <v>24/02/2026</v>
      </c>
      <c r="K668" t="str">
        <f>("05/03/2026")</f>
        <v>05/03/2026</v>
      </c>
      <c r="L668">
        <v>1020</v>
      </c>
      <c r="M668">
        <v>1020</v>
      </c>
      <c r="N668">
        <v>109</v>
      </c>
      <c r="O668" t="str">
        <f>"PAGAMENTO DE ENTREGADORES"</f>
        <v>PAGAMENTO DE ENTREGADORES</v>
      </c>
      <c r="P668">
        <v>1020</v>
      </c>
      <c r="S668" t="str">
        <f>"BANCO C6 (149)"</f>
        <v>BANCO C6 (149)</v>
      </c>
      <c r="T668">
        <v>30179</v>
      </c>
      <c r="U668">
        <v>33684</v>
      </c>
      <c r="V668" t="s">
        <v>37</v>
      </c>
    </row>
    <row r="669" spans="1:22">
      <c r="A669" t="str">
        <f t="shared" si="147"/>
        <v>05/03/2026</v>
      </c>
      <c r="B669" t="str">
        <f t="shared" si="149"/>
        <v>SAÍDA</v>
      </c>
      <c r="C669" t="str">
        <f t="shared" si="152"/>
        <v>PIX</v>
      </c>
      <c r="D669" t="str">
        <f>"33684"</f>
        <v>33684</v>
      </c>
      <c r="E669" t="str">
        <f t="shared" si="148"/>
        <v>1</v>
      </c>
      <c r="F669" t="str">
        <f t="shared" si="151"/>
        <v>COM</v>
      </c>
      <c r="G669" t="str">
        <f>"WENDEL LIMA DE SOUZA (112)"</f>
        <v>WENDEL LIMA DE SOUZA (112)</v>
      </c>
      <c r="H669" t="s">
        <v>259</v>
      </c>
      <c r="I669" t="str">
        <f t="shared" si="150"/>
        <v>05/03/2026</v>
      </c>
      <c r="J669" t="str">
        <f t="shared" si="153"/>
        <v>24/02/2026</v>
      </c>
      <c r="K669">
        <v>46086</v>
      </c>
      <c r="N669">
        <v>109</v>
      </c>
      <c r="O669" t="s">
        <v>27</v>
      </c>
      <c r="Q669">
        <v>1020</v>
      </c>
      <c r="R669" t="str">
        <f>"FARMÁCIA INDIANA LJ 11 (10008)"</f>
        <v>FARMÁCIA INDIANA LJ 11 (10008)</v>
      </c>
      <c r="S669" t="s">
        <v>37</v>
      </c>
      <c r="T669">
        <v>30179</v>
      </c>
      <c r="U669">
        <v>33684</v>
      </c>
      <c r="V669" t="s">
        <v>37</v>
      </c>
    </row>
    <row r="670" spans="1:22">
      <c r="A670" t="str">
        <f t="shared" si="147"/>
        <v>05/03/2026</v>
      </c>
      <c r="B670" t="str">
        <f t="shared" si="149"/>
        <v>SAÍDA</v>
      </c>
      <c r="C670" t="str">
        <f t="shared" si="152"/>
        <v>PIX</v>
      </c>
      <c r="D670" t="str">
        <f>"33685"</f>
        <v>33685</v>
      </c>
      <c r="E670" t="str">
        <f t="shared" si="148"/>
        <v>1</v>
      </c>
      <c r="F670" t="str">
        <f t="shared" si="151"/>
        <v>COM</v>
      </c>
      <c r="G670" t="str">
        <f>"WILIAN ROSA VIEIRA (488)"</f>
        <v>WILIAN ROSA VIEIRA (488)</v>
      </c>
      <c r="H670" t="str">
        <f>"Serv.Prest. 16/02/2026 a 22/02/2026 - PIX: E-MAIL - CHAVE: wilianvieirawrv3578@gmail.com"</f>
        <v>Serv.Prest. 16/02/2026 a 22/02/2026 - PIX: E-MAIL - CHAVE: wilianvieirawrv3578@gmail.com</v>
      </c>
      <c r="I670" t="str">
        <f t="shared" si="150"/>
        <v>05/03/2026</v>
      </c>
      <c r="J670" t="str">
        <f t="shared" si="153"/>
        <v>24/02/2026</v>
      </c>
      <c r="K670" t="str">
        <f>("05/03/2026")</f>
        <v>05/03/2026</v>
      </c>
      <c r="L670">
        <v>702</v>
      </c>
      <c r="M670">
        <v>702</v>
      </c>
      <c r="N670">
        <v>109</v>
      </c>
      <c r="O670" t="str">
        <f>"PAGAMENTO DE ENTREGADORES"</f>
        <v>PAGAMENTO DE ENTREGADORES</v>
      </c>
      <c r="P670">
        <v>702</v>
      </c>
      <c r="S670" t="str">
        <f>"BANCO C6 (149)"</f>
        <v>BANCO C6 (149)</v>
      </c>
      <c r="T670">
        <v>30180</v>
      </c>
      <c r="U670">
        <v>33685</v>
      </c>
      <c r="V670" t="s">
        <v>37</v>
      </c>
    </row>
    <row r="671" spans="1:22">
      <c r="A671" t="str">
        <f t="shared" si="147"/>
        <v>05/03/2026</v>
      </c>
      <c r="B671" t="str">
        <f t="shared" si="149"/>
        <v>SAÍDA</v>
      </c>
      <c r="C671" t="str">
        <f t="shared" si="152"/>
        <v>PIX</v>
      </c>
      <c r="D671" t="str">
        <f>"33685"</f>
        <v>33685</v>
      </c>
      <c r="E671" t="str">
        <f t="shared" si="148"/>
        <v>1</v>
      </c>
      <c r="F671" t="str">
        <f t="shared" si="151"/>
        <v>COM</v>
      </c>
      <c r="G671" t="str">
        <f>"WILIAN ROSA VIEIRA (488)"</f>
        <v>WILIAN ROSA VIEIRA (488)</v>
      </c>
      <c r="H671" t="s">
        <v>260</v>
      </c>
      <c r="I671" t="str">
        <f t="shared" si="150"/>
        <v>05/03/2026</v>
      </c>
      <c r="J671" t="str">
        <f t="shared" si="153"/>
        <v>24/02/2026</v>
      </c>
      <c r="K671">
        <v>46086</v>
      </c>
      <c r="N671">
        <v>109</v>
      </c>
      <c r="O671" t="s">
        <v>27</v>
      </c>
      <c r="Q671">
        <v>473.64</v>
      </c>
      <c r="R671" t="str">
        <f>"FARMÁCIA INDIANA LJ 103 (10044)"</f>
        <v>FARMÁCIA INDIANA LJ 103 (10044)</v>
      </c>
      <c r="S671" t="s">
        <v>37</v>
      </c>
      <c r="T671">
        <v>30180</v>
      </c>
      <c r="U671">
        <v>33685</v>
      </c>
      <c r="V671" t="s">
        <v>37</v>
      </c>
    </row>
    <row r="672" spans="1:22">
      <c r="A672" t="str">
        <f t="shared" ref="A672:A735" si="154">("05/03/2026")</f>
        <v>05/03/2026</v>
      </c>
      <c r="B672" t="str">
        <f t="shared" si="149"/>
        <v>SAÍDA</v>
      </c>
      <c r="C672" t="str">
        <f t="shared" si="152"/>
        <v>PIX</v>
      </c>
      <c r="D672" t="str">
        <f>"33685"</f>
        <v>33685</v>
      </c>
      <c r="E672" t="str">
        <f t="shared" si="148"/>
        <v>1</v>
      </c>
      <c r="F672" t="str">
        <f t="shared" si="151"/>
        <v>COM</v>
      </c>
      <c r="G672" t="str">
        <f>"WILIAN ROSA VIEIRA (488)"</f>
        <v>WILIAN ROSA VIEIRA (488)</v>
      </c>
      <c r="H672" t="s">
        <v>260</v>
      </c>
      <c r="I672" t="str">
        <f t="shared" si="150"/>
        <v>05/03/2026</v>
      </c>
      <c r="J672" t="str">
        <f t="shared" si="153"/>
        <v>24/02/2026</v>
      </c>
      <c r="K672">
        <v>46086</v>
      </c>
      <c r="N672">
        <v>109</v>
      </c>
      <c r="O672" t="s">
        <v>27</v>
      </c>
      <c r="Q672">
        <v>109.93</v>
      </c>
      <c r="R672" t="str">
        <f>"FARMÁCIA INDIANA LJ 140 (10064)"</f>
        <v>FARMÁCIA INDIANA LJ 140 (10064)</v>
      </c>
      <c r="S672" t="s">
        <v>37</v>
      </c>
      <c r="T672">
        <v>30180</v>
      </c>
      <c r="U672">
        <v>33685</v>
      </c>
      <c r="V672" t="s">
        <v>37</v>
      </c>
    </row>
    <row r="673" spans="1:22">
      <c r="A673" t="str">
        <f t="shared" si="154"/>
        <v>05/03/2026</v>
      </c>
      <c r="B673" t="str">
        <f t="shared" si="149"/>
        <v>SAÍDA</v>
      </c>
      <c r="C673" t="str">
        <f t="shared" si="152"/>
        <v>PIX</v>
      </c>
      <c r="D673" t="str">
        <f>"33685"</f>
        <v>33685</v>
      </c>
      <c r="E673" t="str">
        <f t="shared" si="148"/>
        <v>1</v>
      </c>
      <c r="F673" t="str">
        <f t="shared" si="151"/>
        <v>COM</v>
      </c>
      <c r="G673" t="str">
        <f>"WILIAN ROSA VIEIRA (488)"</f>
        <v>WILIAN ROSA VIEIRA (488)</v>
      </c>
      <c r="H673" t="s">
        <v>260</v>
      </c>
      <c r="I673" t="str">
        <f t="shared" si="150"/>
        <v>05/03/2026</v>
      </c>
      <c r="J673" t="str">
        <f t="shared" si="153"/>
        <v>24/02/2026</v>
      </c>
      <c r="K673">
        <v>46086</v>
      </c>
      <c r="N673">
        <v>109</v>
      </c>
      <c r="O673" t="s">
        <v>27</v>
      </c>
      <c r="Q673">
        <v>25.34</v>
      </c>
      <c r="R673" t="str">
        <f>"FARMÁCIA INDIANA LJ 141 (10065)"</f>
        <v>FARMÁCIA INDIANA LJ 141 (10065)</v>
      </c>
      <c r="S673" t="s">
        <v>37</v>
      </c>
      <c r="T673">
        <v>30180</v>
      </c>
      <c r="U673">
        <v>33685</v>
      </c>
      <c r="V673" t="s">
        <v>37</v>
      </c>
    </row>
    <row r="674" spans="1:22">
      <c r="A674" t="str">
        <f t="shared" si="154"/>
        <v>05/03/2026</v>
      </c>
      <c r="B674" t="str">
        <f t="shared" si="149"/>
        <v>SAÍDA</v>
      </c>
      <c r="C674" t="str">
        <f t="shared" si="152"/>
        <v>PIX</v>
      </c>
      <c r="D674" t="str">
        <f>"33685"</f>
        <v>33685</v>
      </c>
      <c r="E674" t="str">
        <f t="shared" si="148"/>
        <v>1</v>
      </c>
      <c r="F674" t="str">
        <f t="shared" si="151"/>
        <v>COM</v>
      </c>
      <c r="G674" t="str">
        <f>"WILIAN ROSA VIEIRA (488)"</f>
        <v>WILIAN ROSA VIEIRA (488)</v>
      </c>
      <c r="H674" t="s">
        <v>260</v>
      </c>
      <c r="I674" t="str">
        <f t="shared" si="150"/>
        <v>05/03/2026</v>
      </c>
      <c r="J674" t="str">
        <f t="shared" si="153"/>
        <v>24/02/2026</v>
      </c>
      <c r="K674">
        <v>46086</v>
      </c>
      <c r="N674">
        <v>109</v>
      </c>
      <c r="O674" t="s">
        <v>27</v>
      </c>
      <c r="Q674">
        <v>93.09</v>
      </c>
      <c r="R674" t="str">
        <f>"FARMÁCIA INDIANA LJ 154 (10070)"</f>
        <v>FARMÁCIA INDIANA LJ 154 (10070)</v>
      </c>
      <c r="S674" t="s">
        <v>37</v>
      </c>
      <c r="T674">
        <v>30180</v>
      </c>
      <c r="U674">
        <v>33685</v>
      </c>
      <c r="V674" t="s">
        <v>37</v>
      </c>
    </row>
    <row r="675" spans="1:22">
      <c r="A675" t="str">
        <f t="shared" si="154"/>
        <v>05/03/2026</v>
      </c>
      <c r="B675" t="str">
        <f t="shared" si="149"/>
        <v>SAÍDA</v>
      </c>
      <c r="C675" t="str">
        <f t="shared" si="152"/>
        <v>PIX</v>
      </c>
      <c r="D675" t="str">
        <f>"33687"</f>
        <v>33687</v>
      </c>
      <c r="E675" t="str">
        <f t="shared" si="148"/>
        <v>1</v>
      </c>
      <c r="F675" t="str">
        <f t="shared" si="151"/>
        <v>COM</v>
      </c>
      <c r="G675" t="str">
        <f>"YAN EVERTON RODRIGUES DE LIMA (875)"</f>
        <v>YAN EVERTON RODRIGUES DE LIMA (875)</v>
      </c>
      <c r="H675" t="str">
        <f>"Serv.Prest. 16/02/2026 a 22/02/2026 - PIX: CELULAR - CHAVE: (33) 99859-8751"</f>
        <v>Serv.Prest. 16/02/2026 a 22/02/2026 - PIX: CELULAR - CHAVE: (33) 99859-8751</v>
      </c>
      <c r="I675" t="str">
        <f t="shared" si="150"/>
        <v>05/03/2026</v>
      </c>
      <c r="J675" t="str">
        <f t="shared" si="153"/>
        <v>24/02/2026</v>
      </c>
      <c r="K675" t="str">
        <f>("05/03/2026")</f>
        <v>05/03/2026</v>
      </c>
      <c r="L675">
        <v>1080</v>
      </c>
      <c r="M675">
        <v>1080</v>
      </c>
      <c r="N675">
        <v>109</v>
      </c>
      <c r="O675" t="str">
        <f>"PAGAMENTO DE ENTREGADORES"</f>
        <v>PAGAMENTO DE ENTREGADORES</v>
      </c>
      <c r="P675">
        <v>1080</v>
      </c>
      <c r="S675" t="str">
        <f>"BANCO C6 (149)"</f>
        <v>BANCO C6 (149)</v>
      </c>
      <c r="T675">
        <v>30181</v>
      </c>
      <c r="U675">
        <v>33687</v>
      </c>
      <c r="V675" t="s">
        <v>37</v>
      </c>
    </row>
    <row r="676" spans="1:22">
      <c r="A676" t="str">
        <f t="shared" si="154"/>
        <v>05/03/2026</v>
      </c>
      <c r="B676" t="str">
        <f t="shared" si="149"/>
        <v>SAÍDA</v>
      </c>
      <c r="C676" t="str">
        <f t="shared" si="152"/>
        <v>PIX</v>
      </c>
      <c r="D676" t="str">
        <f>"33687"</f>
        <v>33687</v>
      </c>
      <c r="E676" t="str">
        <f t="shared" si="148"/>
        <v>1</v>
      </c>
      <c r="F676" t="str">
        <f t="shared" si="151"/>
        <v>COM</v>
      </c>
      <c r="G676" t="str">
        <f>"YAN EVERTON RODRIGUES DE LIMA (875)"</f>
        <v>YAN EVERTON RODRIGUES DE LIMA (875)</v>
      </c>
      <c r="H676" t="s">
        <v>261</v>
      </c>
      <c r="I676" t="str">
        <f t="shared" si="150"/>
        <v>05/03/2026</v>
      </c>
      <c r="J676" t="str">
        <f t="shared" si="153"/>
        <v>24/02/2026</v>
      </c>
      <c r="K676">
        <v>46086</v>
      </c>
      <c r="N676">
        <v>109</v>
      </c>
      <c r="O676" t="s">
        <v>27</v>
      </c>
      <c r="Q676">
        <v>1080</v>
      </c>
      <c r="R676" t="str">
        <f>"FARMÁCIA INDIANA LJ 06 (10006)"</f>
        <v>FARMÁCIA INDIANA LJ 06 (10006)</v>
      </c>
      <c r="S676" t="s">
        <v>37</v>
      </c>
      <c r="T676">
        <v>30181</v>
      </c>
      <c r="U676">
        <v>33687</v>
      </c>
      <c r="V676" t="s">
        <v>37</v>
      </c>
    </row>
    <row r="677" spans="1:22">
      <c r="A677" t="str">
        <f t="shared" si="154"/>
        <v>05/03/2026</v>
      </c>
      <c r="B677" t="str">
        <f t="shared" si="149"/>
        <v>SAÍDA</v>
      </c>
      <c r="C677" t="str">
        <f t="shared" si="152"/>
        <v>PIX</v>
      </c>
      <c r="D677" t="str">
        <f>"33692"</f>
        <v>33692</v>
      </c>
      <c r="E677" t="str">
        <f t="shared" si="148"/>
        <v>1</v>
      </c>
      <c r="F677" t="str">
        <f t="shared" si="151"/>
        <v>COM</v>
      </c>
      <c r="G677" t="str">
        <f>"CARLOS ALBERTO DE JESUS SANTOS (110)"</f>
        <v>CARLOS ALBERTO DE JESUS SANTOS (110)</v>
      </c>
      <c r="H677" t="str">
        <f>"Serv.Prest. 16/02/2026 a 22/02/2026 - PIX: CPF - CHAVE: 036.875.515-04"</f>
        <v>Serv.Prest. 16/02/2026 a 22/02/2026 - PIX: CPF - CHAVE: 036.875.515-04</v>
      </c>
      <c r="I677" t="str">
        <f t="shared" si="150"/>
        <v>05/03/2026</v>
      </c>
      <c r="J677" t="str">
        <f t="shared" si="153"/>
        <v>24/02/2026</v>
      </c>
      <c r="K677" t="str">
        <f>("05/03/2026")</f>
        <v>05/03/2026</v>
      </c>
      <c r="L677">
        <v>186</v>
      </c>
      <c r="M677">
        <v>186</v>
      </c>
      <c r="N677">
        <v>109</v>
      </c>
      <c r="O677" t="str">
        <f>"PAGAMENTO DE ENTREGADORES"</f>
        <v>PAGAMENTO DE ENTREGADORES</v>
      </c>
      <c r="P677">
        <v>186</v>
      </c>
      <c r="S677" t="str">
        <f>"BANCO C6 (149)"</f>
        <v>BANCO C6 (149)</v>
      </c>
      <c r="T677">
        <v>30182</v>
      </c>
      <c r="U677">
        <v>33692</v>
      </c>
      <c r="V677" t="s">
        <v>37</v>
      </c>
    </row>
    <row r="678" spans="1:22">
      <c r="A678" t="str">
        <f t="shared" si="154"/>
        <v>05/03/2026</v>
      </c>
      <c r="B678" t="str">
        <f t="shared" si="149"/>
        <v>SAÍDA</v>
      </c>
      <c r="C678" t="str">
        <f t="shared" si="152"/>
        <v>PIX</v>
      </c>
      <c r="D678" t="str">
        <f>"33692"</f>
        <v>33692</v>
      </c>
      <c r="E678" t="str">
        <f t="shared" si="148"/>
        <v>1</v>
      </c>
      <c r="F678" t="str">
        <f t="shared" si="151"/>
        <v>COM</v>
      </c>
      <c r="G678" t="str">
        <f>"CARLOS ALBERTO DE JESUS SANTOS (110)"</f>
        <v>CARLOS ALBERTO DE JESUS SANTOS (110)</v>
      </c>
      <c r="H678" t="s">
        <v>262</v>
      </c>
      <c r="I678" t="str">
        <f t="shared" si="150"/>
        <v>05/03/2026</v>
      </c>
      <c r="J678" t="str">
        <f t="shared" si="153"/>
        <v>24/02/2026</v>
      </c>
      <c r="K678">
        <v>46086</v>
      </c>
      <c r="N678">
        <v>109</v>
      </c>
      <c r="O678" t="s">
        <v>27</v>
      </c>
      <c r="Q678">
        <v>186</v>
      </c>
      <c r="R678" t="str">
        <f>"FARMÁCIA INDIANA LJ 173 (10075)"</f>
        <v>FARMÁCIA INDIANA LJ 173 (10075)</v>
      </c>
      <c r="S678" t="s">
        <v>37</v>
      </c>
      <c r="T678">
        <v>30182</v>
      </c>
      <c r="U678">
        <v>33692</v>
      </c>
      <c r="V678" t="s">
        <v>37</v>
      </c>
    </row>
    <row r="679" spans="1:22">
      <c r="A679" t="str">
        <f t="shared" si="154"/>
        <v>05/03/2026</v>
      </c>
      <c r="B679" t="str">
        <f t="shared" si="149"/>
        <v>SAÍDA</v>
      </c>
      <c r="C679" t="str">
        <f t="shared" si="152"/>
        <v>PIX</v>
      </c>
      <c r="D679" t="str">
        <f>"33694"</f>
        <v>33694</v>
      </c>
      <c r="E679" t="str">
        <f t="shared" si="148"/>
        <v>1</v>
      </c>
      <c r="F679" t="str">
        <f t="shared" si="151"/>
        <v>COM</v>
      </c>
      <c r="G679" t="str">
        <f>"DIOCLECIO SANDES JOTA (135)"</f>
        <v>DIOCLECIO SANDES JOTA (135)</v>
      </c>
      <c r="H679" t="str">
        <f>"Serv.Prest. 16/02/2026 a 22/02/2026 - PIX: CELULAR - CHAVE: (73) 99966-7211"</f>
        <v>Serv.Prest. 16/02/2026 a 22/02/2026 - PIX: CELULAR - CHAVE: (73) 99966-7211</v>
      </c>
      <c r="I679" t="str">
        <f t="shared" si="150"/>
        <v>05/03/2026</v>
      </c>
      <c r="J679" t="str">
        <f t="shared" si="153"/>
        <v>24/02/2026</v>
      </c>
      <c r="K679" t="str">
        <f>("05/03/2026")</f>
        <v>05/03/2026</v>
      </c>
      <c r="L679">
        <v>1374</v>
      </c>
      <c r="M679">
        <v>1374</v>
      </c>
      <c r="N679">
        <v>109</v>
      </c>
      <c r="O679" t="str">
        <f>"PAGAMENTO DE ENTREGADORES"</f>
        <v>PAGAMENTO DE ENTREGADORES</v>
      </c>
      <c r="P679">
        <v>1374</v>
      </c>
      <c r="S679" t="str">
        <f>"BANCO C6 (149)"</f>
        <v>BANCO C6 (149)</v>
      </c>
      <c r="T679">
        <v>30183</v>
      </c>
      <c r="U679">
        <v>33694</v>
      </c>
      <c r="V679" t="s">
        <v>37</v>
      </c>
    </row>
    <row r="680" spans="1:22">
      <c r="A680" t="str">
        <f t="shared" si="154"/>
        <v>05/03/2026</v>
      </c>
      <c r="B680" t="str">
        <f t="shared" si="149"/>
        <v>SAÍDA</v>
      </c>
      <c r="C680" t="str">
        <f t="shared" si="152"/>
        <v>PIX</v>
      </c>
      <c r="D680" t="str">
        <f>"33694"</f>
        <v>33694</v>
      </c>
      <c r="E680" t="str">
        <f t="shared" si="148"/>
        <v>1</v>
      </c>
      <c r="F680" t="str">
        <f t="shared" si="151"/>
        <v>COM</v>
      </c>
      <c r="G680" t="str">
        <f>"DIOCLECIO SANDES JOTA (135)"</f>
        <v>DIOCLECIO SANDES JOTA (135)</v>
      </c>
      <c r="H680" t="s">
        <v>263</v>
      </c>
      <c r="I680" t="str">
        <f t="shared" si="150"/>
        <v>05/03/2026</v>
      </c>
      <c r="J680" t="str">
        <f t="shared" si="153"/>
        <v>24/02/2026</v>
      </c>
      <c r="K680">
        <v>46086</v>
      </c>
      <c r="N680">
        <v>109</v>
      </c>
      <c r="O680" t="s">
        <v>27</v>
      </c>
      <c r="Q680">
        <v>1374</v>
      </c>
      <c r="R680" t="str">
        <f>"FARMÁCIA INDIANA LJ 91 (10037)"</f>
        <v>FARMÁCIA INDIANA LJ 91 (10037)</v>
      </c>
      <c r="S680" t="s">
        <v>37</v>
      </c>
      <c r="T680">
        <v>30183</v>
      </c>
      <c r="U680">
        <v>33694</v>
      </c>
      <c r="V680" t="s">
        <v>37</v>
      </c>
    </row>
    <row r="681" spans="1:22">
      <c r="A681" t="str">
        <f t="shared" si="154"/>
        <v>05/03/2026</v>
      </c>
      <c r="B681" t="str">
        <f t="shared" si="149"/>
        <v>SAÍDA</v>
      </c>
      <c r="C681" t="str">
        <f t="shared" si="152"/>
        <v>PIX</v>
      </c>
      <c r="D681" t="str">
        <f>"33695"</f>
        <v>33695</v>
      </c>
      <c r="E681" t="str">
        <f t="shared" si="148"/>
        <v>1</v>
      </c>
      <c r="F681" t="str">
        <f t="shared" si="151"/>
        <v>COM</v>
      </c>
      <c r="G681" t="str">
        <f>"EDNALDO ALMEIDA DE MELO NETO (1128)"</f>
        <v>EDNALDO ALMEIDA DE MELO NETO (1128)</v>
      </c>
      <c r="H681" t="str">
        <f>"Serv.Prest. 16/02/2026 a 22/02/2026 - PIX: CELULAR - CHAVE: (73) 99192-1028"</f>
        <v>Serv.Prest. 16/02/2026 a 22/02/2026 - PIX: CELULAR - CHAVE: (73) 99192-1028</v>
      </c>
      <c r="I681" t="str">
        <f t="shared" si="150"/>
        <v>05/03/2026</v>
      </c>
      <c r="J681" t="str">
        <f t="shared" si="153"/>
        <v>24/02/2026</v>
      </c>
      <c r="K681" t="str">
        <f>("05/03/2026")</f>
        <v>05/03/2026</v>
      </c>
      <c r="L681">
        <v>804</v>
      </c>
      <c r="M681">
        <v>804</v>
      </c>
      <c r="N681">
        <v>109</v>
      </c>
      <c r="O681" t="str">
        <f>"PAGAMENTO DE ENTREGADORES"</f>
        <v>PAGAMENTO DE ENTREGADORES</v>
      </c>
      <c r="P681">
        <v>804</v>
      </c>
      <c r="S681" t="str">
        <f>"BANCO C6 (149)"</f>
        <v>BANCO C6 (149)</v>
      </c>
      <c r="T681">
        <v>30184</v>
      </c>
      <c r="U681">
        <v>33695</v>
      </c>
      <c r="V681" t="s">
        <v>37</v>
      </c>
    </row>
    <row r="682" spans="1:22">
      <c r="A682" t="str">
        <f t="shared" si="154"/>
        <v>05/03/2026</v>
      </c>
      <c r="B682" t="str">
        <f t="shared" si="149"/>
        <v>SAÍDA</v>
      </c>
      <c r="C682" t="str">
        <f t="shared" si="152"/>
        <v>PIX</v>
      </c>
      <c r="D682" t="str">
        <f>"33695"</f>
        <v>33695</v>
      </c>
      <c r="E682" t="str">
        <f t="shared" si="148"/>
        <v>1</v>
      </c>
      <c r="F682" t="str">
        <f t="shared" si="151"/>
        <v>COM</v>
      </c>
      <c r="G682" t="str">
        <f>"EDNALDO ALMEIDA DE MELO NETO (1128)"</f>
        <v>EDNALDO ALMEIDA DE MELO NETO (1128)</v>
      </c>
      <c r="H682" t="s">
        <v>264</v>
      </c>
      <c r="I682" t="str">
        <f t="shared" si="150"/>
        <v>05/03/2026</v>
      </c>
      <c r="J682" t="str">
        <f t="shared" si="153"/>
        <v>24/02/2026</v>
      </c>
      <c r="K682">
        <v>46086</v>
      </c>
      <c r="N682">
        <v>109</v>
      </c>
      <c r="O682" t="s">
        <v>27</v>
      </c>
      <c r="Q682">
        <v>804</v>
      </c>
      <c r="R682" t="str">
        <f>"FARMÁCIA INDIANA LJ 158 (10275)"</f>
        <v>FARMÁCIA INDIANA LJ 158 (10275)</v>
      </c>
      <c r="S682" t="s">
        <v>37</v>
      </c>
      <c r="T682">
        <v>30184</v>
      </c>
      <c r="U682">
        <v>33695</v>
      </c>
      <c r="V682" t="s">
        <v>37</v>
      </c>
    </row>
    <row r="683" spans="1:22">
      <c r="A683" t="str">
        <f t="shared" si="154"/>
        <v>05/03/2026</v>
      </c>
      <c r="B683" t="str">
        <f t="shared" si="149"/>
        <v>SAÍDA</v>
      </c>
      <c r="C683" t="str">
        <f t="shared" si="152"/>
        <v>PIX</v>
      </c>
      <c r="D683" t="str">
        <f>"33696"</f>
        <v>33696</v>
      </c>
      <c r="E683" t="str">
        <f t="shared" si="148"/>
        <v>1</v>
      </c>
      <c r="F683" t="str">
        <f t="shared" si="151"/>
        <v>COM</v>
      </c>
      <c r="G683" t="str">
        <f>"EDUARDO SILVA DE JESUS (143)"</f>
        <v>EDUARDO SILVA DE JESUS (143)</v>
      </c>
      <c r="H683" t="str">
        <f>"Serv.Prest. 16/02/2026 a 22/02/2026 - PIX: CPF - CHAVE: 094.947.395-23"</f>
        <v>Serv.Prest. 16/02/2026 a 22/02/2026 - PIX: CPF - CHAVE: 094.947.395-23</v>
      </c>
      <c r="I683" t="str">
        <f t="shared" si="150"/>
        <v>05/03/2026</v>
      </c>
      <c r="J683" t="str">
        <f t="shared" si="153"/>
        <v>24/02/2026</v>
      </c>
      <c r="K683" t="str">
        <f>("05/03/2026")</f>
        <v>05/03/2026</v>
      </c>
      <c r="L683">
        <v>750</v>
      </c>
      <c r="M683">
        <v>750</v>
      </c>
      <c r="N683">
        <v>109</v>
      </c>
      <c r="O683" t="str">
        <f>"PAGAMENTO DE ENTREGADORES"</f>
        <v>PAGAMENTO DE ENTREGADORES</v>
      </c>
      <c r="P683">
        <v>750</v>
      </c>
      <c r="S683" t="str">
        <f>"BANCO C6 (149)"</f>
        <v>BANCO C6 (149)</v>
      </c>
      <c r="T683">
        <v>30185</v>
      </c>
      <c r="U683">
        <v>33696</v>
      </c>
      <c r="V683" t="s">
        <v>37</v>
      </c>
    </row>
    <row r="684" spans="1:22">
      <c r="A684" t="str">
        <f t="shared" si="154"/>
        <v>05/03/2026</v>
      </c>
      <c r="B684" t="str">
        <f t="shared" si="149"/>
        <v>SAÍDA</v>
      </c>
      <c r="C684" t="str">
        <f t="shared" si="152"/>
        <v>PIX</v>
      </c>
      <c r="D684" t="str">
        <f>"33696"</f>
        <v>33696</v>
      </c>
      <c r="E684" t="str">
        <f t="shared" si="148"/>
        <v>1</v>
      </c>
      <c r="F684" t="str">
        <f t="shared" si="151"/>
        <v>COM</v>
      </c>
      <c r="G684" t="str">
        <f>"EDUARDO SILVA DE JESUS (143)"</f>
        <v>EDUARDO SILVA DE JESUS (143)</v>
      </c>
      <c r="H684" t="s">
        <v>265</v>
      </c>
      <c r="I684" t="str">
        <f t="shared" si="150"/>
        <v>05/03/2026</v>
      </c>
      <c r="J684" t="str">
        <f t="shared" si="153"/>
        <v>24/02/2026</v>
      </c>
      <c r="K684">
        <v>46086</v>
      </c>
      <c r="N684">
        <v>109</v>
      </c>
      <c r="O684" t="s">
        <v>27</v>
      </c>
      <c r="Q684">
        <v>750</v>
      </c>
      <c r="R684" t="str">
        <f>"FARMÁCIA INDIANA LJ 91 (10037)"</f>
        <v>FARMÁCIA INDIANA LJ 91 (10037)</v>
      </c>
      <c r="S684" t="s">
        <v>37</v>
      </c>
      <c r="T684">
        <v>30185</v>
      </c>
      <c r="U684">
        <v>33696</v>
      </c>
      <c r="V684" t="s">
        <v>37</v>
      </c>
    </row>
    <row r="685" spans="1:22">
      <c r="A685" t="str">
        <f t="shared" si="154"/>
        <v>05/03/2026</v>
      </c>
      <c r="B685" t="str">
        <f t="shared" si="149"/>
        <v>SAÍDA</v>
      </c>
      <c r="C685" t="str">
        <f t="shared" si="152"/>
        <v>PIX</v>
      </c>
      <c r="D685" t="str">
        <f>"33697"</f>
        <v>33697</v>
      </c>
      <c r="E685" t="str">
        <f t="shared" si="148"/>
        <v>1</v>
      </c>
      <c r="F685" t="str">
        <f t="shared" si="151"/>
        <v>COM</v>
      </c>
      <c r="G685" t="str">
        <f>"ERIC DE RAMOS GOMES (606)"</f>
        <v>ERIC DE RAMOS GOMES (606)</v>
      </c>
      <c r="H685" t="str">
        <f>"Serv.Prest. 16/02/2026 a 22/02/2026 - PIX: E-MAIL - CHAVE: ericgomes508@gmail.com"</f>
        <v>Serv.Prest. 16/02/2026 a 22/02/2026 - PIX: E-MAIL - CHAVE: ericgomes508@gmail.com</v>
      </c>
      <c r="I685" t="str">
        <f t="shared" si="150"/>
        <v>05/03/2026</v>
      </c>
      <c r="J685" t="str">
        <f t="shared" si="153"/>
        <v>24/02/2026</v>
      </c>
      <c r="K685" t="str">
        <f>("05/03/2026")</f>
        <v>05/03/2026</v>
      </c>
      <c r="L685">
        <v>860</v>
      </c>
      <c r="M685">
        <v>860</v>
      </c>
      <c r="N685">
        <v>109</v>
      </c>
      <c r="O685" t="str">
        <f>"PAGAMENTO DE ENTREGADORES"</f>
        <v>PAGAMENTO DE ENTREGADORES</v>
      </c>
      <c r="P685">
        <v>860</v>
      </c>
      <c r="S685" t="str">
        <f>"BANCO C6 (149)"</f>
        <v>BANCO C6 (149)</v>
      </c>
      <c r="T685">
        <v>30186</v>
      </c>
      <c r="U685">
        <v>33697</v>
      </c>
      <c r="V685" t="s">
        <v>37</v>
      </c>
    </row>
    <row r="686" spans="1:22">
      <c r="A686" t="str">
        <f t="shared" si="154"/>
        <v>05/03/2026</v>
      </c>
      <c r="B686" t="str">
        <f t="shared" si="149"/>
        <v>SAÍDA</v>
      </c>
      <c r="C686" t="str">
        <f t="shared" si="152"/>
        <v>PIX</v>
      </c>
      <c r="D686" t="str">
        <f>"33697"</f>
        <v>33697</v>
      </c>
      <c r="E686" t="str">
        <f t="shared" si="148"/>
        <v>1</v>
      </c>
      <c r="F686" t="str">
        <f t="shared" si="151"/>
        <v>COM</v>
      </c>
      <c r="G686" t="str">
        <f>"ERIC DE RAMOS GOMES (606)"</f>
        <v>ERIC DE RAMOS GOMES (606)</v>
      </c>
      <c r="H686" t="s">
        <v>266</v>
      </c>
      <c r="I686" t="str">
        <f t="shared" si="150"/>
        <v>05/03/2026</v>
      </c>
      <c r="J686" t="str">
        <f t="shared" si="153"/>
        <v>24/02/2026</v>
      </c>
      <c r="K686">
        <v>46086</v>
      </c>
      <c r="N686">
        <v>109</v>
      </c>
      <c r="O686" t="s">
        <v>27</v>
      </c>
      <c r="Q686">
        <v>860</v>
      </c>
      <c r="R686" t="str">
        <f>"FARMÁCIA INDIANA LJ 91 (10037)"</f>
        <v>FARMÁCIA INDIANA LJ 91 (10037)</v>
      </c>
      <c r="S686" t="s">
        <v>37</v>
      </c>
      <c r="T686">
        <v>30186</v>
      </c>
      <c r="U686">
        <v>33697</v>
      </c>
      <c r="V686" t="s">
        <v>37</v>
      </c>
    </row>
    <row r="687" spans="1:22">
      <c r="A687" t="str">
        <f t="shared" si="154"/>
        <v>05/03/2026</v>
      </c>
      <c r="B687" t="str">
        <f t="shared" si="149"/>
        <v>SAÍDA</v>
      </c>
      <c r="C687" t="str">
        <f t="shared" si="152"/>
        <v>PIX</v>
      </c>
      <c r="D687" t="str">
        <f>"33699"</f>
        <v>33699</v>
      </c>
      <c r="E687" t="str">
        <f t="shared" si="148"/>
        <v>1</v>
      </c>
      <c r="F687" t="str">
        <f t="shared" si="151"/>
        <v>COM</v>
      </c>
      <c r="G687" t="str">
        <f>"GABRIEL SOUZA RIBEIRO (425)"</f>
        <v>GABRIEL SOUZA RIBEIRO (425)</v>
      </c>
      <c r="H687" t="str">
        <f>"Serv.Prest. 16/02/2026 a 22/02/2026 - PIX: CPF - CHAVE: 087.398.185-51"</f>
        <v>Serv.Prest. 16/02/2026 a 22/02/2026 - PIX: CPF - CHAVE: 087.398.185-51</v>
      </c>
      <c r="I687" t="str">
        <f t="shared" si="150"/>
        <v>05/03/2026</v>
      </c>
      <c r="J687" t="str">
        <f t="shared" si="153"/>
        <v>24/02/2026</v>
      </c>
      <c r="K687" t="str">
        <f>("05/03/2026")</f>
        <v>05/03/2026</v>
      </c>
      <c r="L687">
        <v>654</v>
      </c>
      <c r="M687">
        <v>654</v>
      </c>
      <c r="N687">
        <v>109</v>
      </c>
      <c r="O687" t="str">
        <f>"PAGAMENTO DE ENTREGADORES"</f>
        <v>PAGAMENTO DE ENTREGADORES</v>
      </c>
      <c r="P687">
        <v>654</v>
      </c>
      <c r="S687" t="str">
        <f>"BANCO C6 (149)"</f>
        <v>BANCO C6 (149)</v>
      </c>
      <c r="T687">
        <v>30187</v>
      </c>
      <c r="U687">
        <v>33699</v>
      </c>
      <c r="V687" t="s">
        <v>37</v>
      </c>
    </row>
    <row r="688" spans="1:22">
      <c r="A688" t="str">
        <f t="shared" si="154"/>
        <v>05/03/2026</v>
      </c>
      <c r="B688" t="str">
        <f t="shared" si="149"/>
        <v>SAÍDA</v>
      </c>
      <c r="C688" t="str">
        <f t="shared" si="152"/>
        <v>PIX</v>
      </c>
      <c r="D688" t="str">
        <f>"33699"</f>
        <v>33699</v>
      </c>
      <c r="E688" t="str">
        <f t="shared" ref="E688:E751" si="155">"1"</f>
        <v>1</v>
      </c>
      <c r="F688" t="str">
        <f t="shared" si="151"/>
        <v>COM</v>
      </c>
      <c r="G688" t="str">
        <f>"GABRIEL SOUZA RIBEIRO (425)"</f>
        <v>GABRIEL SOUZA RIBEIRO (425)</v>
      </c>
      <c r="H688" t="s">
        <v>267</v>
      </c>
      <c r="I688" t="str">
        <f t="shared" si="150"/>
        <v>05/03/2026</v>
      </c>
      <c r="J688" t="str">
        <f t="shared" si="153"/>
        <v>24/02/2026</v>
      </c>
      <c r="K688">
        <v>46086</v>
      </c>
      <c r="N688">
        <v>109</v>
      </c>
      <c r="O688" t="s">
        <v>27</v>
      </c>
      <c r="Q688">
        <v>654</v>
      </c>
      <c r="R688" t="str">
        <f>"FARMÁCIA INDIANA LJ 65 (10030)"</f>
        <v>FARMÁCIA INDIANA LJ 65 (10030)</v>
      </c>
      <c r="S688" t="s">
        <v>37</v>
      </c>
      <c r="T688">
        <v>30187</v>
      </c>
      <c r="U688">
        <v>33699</v>
      </c>
      <c r="V688" t="s">
        <v>37</v>
      </c>
    </row>
    <row r="689" spans="1:22">
      <c r="A689" t="str">
        <f t="shared" si="154"/>
        <v>05/03/2026</v>
      </c>
      <c r="B689" t="str">
        <f t="shared" si="149"/>
        <v>SAÍDA</v>
      </c>
      <c r="C689" t="str">
        <f t="shared" si="152"/>
        <v>PIX</v>
      </c>
      <c r="D689" t="str">
        <f>"33700"</f>
        <v>33700</v>
      </c>
      <c r="E689" t="str">
        <f t="shared" si="155"/>
        <v>1</v>
      </c>
      <c r="F689" t="str">
        <f t="shared" si="151"/>
        <v>COM</v>
      </c>
      <c r="G689" t="str">
        <f>"GEOVANI SILVA SANTOS (1340)"</f>
        <v>GEOVANI SILVA SANTOS (1340)</v>
      </c>
      <c r="H689" t="str">
        <f>"Serv.Prest. 16/02/2026 a 22/02/2026 - PIX: E-MAIL - CHAVE: geovanisilvasantos311@gmail.com"</f>
        <v>Serv.Prest. 16/02/2026 a 22/02/2026 - PIX: E-MAIL - CHAVE: geovanisilvasantos311@gmail.com</v>
      </c>
      <c r="I689" t="str">
        <f t="shared" si="150"/>
        <v>05/03/2026</v>
      </c>
      <c r="J689" t="str">
        <f t="shared" si="153"/>
        <v>24/02/2026</v>
      </c>
      <c r="K689" t="str">
        <f>("05/03/2026")</f>
        <v>05/03/2026</v>
      </c>
      <c r="L689">
        <v>372</v>
      </c>
      <c r="M689">
        <v>372</v>
      </c>
      <c r="N689">
        <v>109</v>
      </c>
      <c r="O689" t="str">
        <f>"PAGAMENTO DE ENTREGADORES"</f>
        <v>PAGAMENTO DE ENTREGADORES</v>
      </c>
      <c r="P689">
        <v>372</v>
      </c>
      <c r="S689" t="str">
        <f>"BANCO C6 (149)"</f>
        <v>BANCO C6 (149)</v>
      </c>
      <c r="T689">
        <v>30188</v>
      </c>
      <c r="U689">
        <v>33700</v>
      </c>
      <c r="V689" t="s">
        <v>37</v>
      </c>
    </row>
    <row r="690" spans="1:22">
      <c r="A690" t="str">
        <f t="shared" si="154"/>
        <v>05/03/2026</v>
      </c>
      <c r="B690" t="str">
        <f t="shared" si="149"/>
        <v>SAÍDA</v>
      </c>
      <c r="C690" t="str">
        <f t="shared" si="152"/>
        <v>PIX</v>
      </c>
      <c r="D690" t="str">
        <f>"33700"</f>
        <v>33700</v>
      </c>
      <c r="E690" t="str">
        <f t="shared" si="155"/>
        <v>1</v>
      </c>
      <c r="F690" t="str">
        <f t="shared" si="151"/>
        <v>COM</v>
      </c>
      <c r="G690" t="str">
        <f>"GEOVANI SILVA SANTOS (1340)"</f>
        <v>GEOVANI SILVA SANTOS (1340)</v>
      </c>
      <c r="H690" t="s">
        <v>268</v>
      </c>
      <c r="I690" t="str">
        <f t="shared" si="150"/>
        <v>05/03/2026</v>
      </c>
      <c r="J690" t="str">
        <f t="shared" si="153"/>
        <v>24/02/2026</v>
      </c>
      <c r="K690">
        <v>46086</v>
      </c>
      <c r="N690">
        <v>109</v>
      </c>
      <c r="O690" t="s">
        <v>27</v>
      </c>
      <c r="Q690">
        <v>58.74</v>
      </c>
      <c r="R690" t="str">
        <f>"FARMÁCIA INDIANA LJ 65 (10030)"</f>
        <v>FARMÁCIA INDIANA LJ 65 (10030)</v>
      </c>
      <c r="S690" t="s">
        <v>37</v>
      </c>
      <c r="T690">
        <v>30188</v>
      </c>
      <c r="U690">
        <v>33700</v>
      </c>
      <c r="V690" t="s">
        <v>37</v>
      </c>
    </row>
    <row r="691" spans="1:22">
      <c r="A691" t="str">
        <f t="shared" si="154"/>
        <v>05/03/2026</v>
      </c>
      <c r="B691" t="str">
        <f t="shared" si="149"/>
        <v>SAÍDA</v>
      </c>
      <c r="C691" t="str">
        <f t="shared" si="152"/>
        <v>PIX</v>
      </c>
      <c r="D691" t="str">
        <f>"33700"</f>
        <v>33700</v>
      </c>
      <c r="E691" t="str">
        <f t="shared" si="155"/>
        <v>1</v>
      </c>
      <c r="F691" t="str">
        <f t="shared" si="151"/>
        <v>COM</v>
      </c>
      <c r="G691" t="str">
        <f>"GEOVANI SILVA SANTOS (1340)"</f>
        <v>GEOVANI SILVA SANTOS (1340)</v>
      </c>
      <c r="H691" t="s">
        <v>268</v>
      </c>
      <c r="I691" t="str">
        <f t="shared" si="150"/>
        <v>05/03/2026</v>
      </c>
      <c r="J691" t="str">
        <f t="shared" si="153"/>
        <v>24/02/2026</v>
      </c>
      <c r="K691">
        <v>46086</v>
      </c>
      <c r="N691">
        <v>109</v>
      </c>
      <c r="O691" t="s">
        <v>27</v>
      </c>
      <c r="Q691">
        <v>313.26</v>
      </c>
      <c r="R691" t="str">
        <f>"FARMÁCIA INDIANA LJ 173 (10075)"</f>
        <v>FARMÁCIA INDIANA LJ 173 (10075)</v>
      </c>
      <c r="S691" t="s">
        <v>37</v>
      </c>
      <c r="T691">
        <v>30188</v>
      </c>
      <c r="U691">
        <v>33700</v>
      </c>
      <c r="V691" t="s">
        <v>37</v>
      </c>
    </row>
    <row r="692" spans="1:22">
      <c r="A692" t="str">
        <f t="shared" si="154"/>
        <v>05/03/2026</v>
      </c>
      <c r="B692" t="str">
        <f t="shared" si="149"/>
        <v>SAÍDA</v>
      </c>
      <c r="C692" t="str">
        <f t="shared" si="152"/>
        <v>PIX</v>
      </c>
      <c r="D692" t="str">
        <f>"33701"</f>
        <v>33701</v>
      </c>
      <c r="E692" t="str">
        <f t="shared" si="155"/>
        <v>1</v>
      </c>
      <c r="F692" t="str">
        <f t="shared" si="151"/>
        <v>COM</v>
      </c>
      <c r="G692" t="str">
        <f>"GILBERTO PINHEIRO DA ROCHA (155)"</f>
        <v>GILBERTO PINHEIRO DA ROCHA (155)</v>
      </c>
      <c r="H692" t="str">
        <f>"Serv.Prest. 16/02/2026 a 22/02/2026 - PIX: CELULAR - CHAVE: (73) 99941-8352"</f>
        <v>Serv.Prest. 16/02/2026 a 22/02/2026 - PIX: CELULAR - CHAVE: (73) 99941-8352</v>
      </c>
      <c r="I692" t="str">
        <f t="shared" si="150"/>
        <v>05/03/2026</v>
      </c>
      <c r="J692" t="str">
        <f t="shared" si="153"/>
        <v>24/02/2026</v>
      </c>
      <c r="K692" t="str">
        <f>("05/03/2026")</f>
        <v>05/03/2026</v>
      </c>
      <c r="L692">
        <v>969</v>
      </c>
      <c r="M692">
        <v>969</v>
      </c>
      <c r="N692">
        <v>109</v>
      </c>
      <c r="O692" t="str">
        <f>"PAGAMENTO DE ENTREGADORES"</f>
        <v>PAGAMENTO DE ENTREGADORES</v>
      </c>
      <c r="P692">
        <v>969</v>
      </c>
      <c r="S692" t="str">
        <f>"BANCO C6 (149)"</f>
        <v>BANCO C6 (149)</v>
      </c>
      <c r="T692">
        <v>30189</v>
      </c>
      <c r="U692">
        <v>33701</v>
      </c>
      <c r="V692" t="s">
        <v>37</v>
      </c>
    </row>
    <row r="693" spans="1:22">
      <c r="A693" t="str">
        <f t="shared" si="154"/>
        <v>05/03/2026</v>
      </c>
      <c r="B693" t="str">
        <f t="shared" si="149"/>
        <v>SAÍDA</v>
      </c>
      <c r="C693" t="str">
        <f t="shared" si="152"/>
        <v>PIX</v>
      </c>
      <c r="D693" t="str">
        <f>"33701"</f>
        <v>33701</v>
      </c>
      <c r="E693" t="str">
        <f t="shared" si="155"/>
        <v>1</v>
      </c>
      <c r="F693" t="str">
        <f t="shared" si="151"/>
        <v>COM</v>
      </c>
      <c r="G693" t="str">
        <f>"GILBERTO PINHEIRO DA ROCHA (155)"</f>
        <v>GILBERTO PINHEIRO DA ROCHA (155)</v>
      </c>
      <c r="H693" t="s">
        <v>269</v>
      </c>
      <c r="I693" t="str">
        <f t="shared" si="150"/>
        <v>05/03/2026</v>
      </c>
      <c r="J693" t="str">
        <f t="shared" si="153"/>
        <v>24/02/2026</v>
      </c>
      <c r="K693">
        <v>46086</v>
      </c>
      <c r="N693">
        <v>109</v>
      </c>
      <c r="O693" t="s">
        <v>27</v>
      </c>
      <c r="Q693">
        <v>969</v>
      </c>
      <c r="R693" t="str">
        <f>"FARMÁCIA INDIANA LJ 34 (10014)"</f>
        <v>FARMÁCIA INDIANA LJ 34 (10014)</v>
      </c>
      <c r="S693" t="s">
        <v>37</v>
      </c>
      <c r="T693">
        <v>30189</v>
      </c>
      <c r="U693">
        <v>33701</v>
      </c>
      <c r="V693" t="s">
        <v>37</v>
      </c>
    </row>
    <row r="694" spans="1:22">
      <c r="A694" t="str">
        <f t="shared" si="154"/>
        <v>05/03/2026</v>
      </c>
      <c r="B694" t="str">
        <f t="shared" si="149"/>
        <v>SAÍDA</v>
      </c>
      <c r="C694" t="str">
        <f t="shared" si="152"/>
        <v>PIX</v>
      </c>
      <c r="D694" t="str">
        <f>"33702"</f>
        <v>33702</v>
      </c>
      <c r="E694" t="str">
        <f t="shared" si="155"/>
        <v>1</v>
      </c>
      <c r="F694" t="str">
        <f t="shared" si="151"/>
        <v>COM</v>
      </c>
      <c r="G694" t="str">
        <f>"GILSON OLIVEIRA CAMPINHO JUNIOR (132)"</f>
        <v>GILSON OLIVEIRA CAMPINHO JUNIOR (132)</v>
      </c>
      <c r="H694" t="str">
        <f>"Serv.Prest. 16/02/2026 a 22/02/2026 - PIX: CELULAR - CHAVE: (73) 988381077"</f>
        <v>Serv.Prest. 16/02/2026 a 22/02/2026 - PIX: CELULAR - CHAVE: (73) 988381077</v>
      </c>
      <c r="I694" t="str">
        <f t="shared" si="150"/>
        <v>05/03/2026</v>
      </c>
      <c r="J694" t="str">
        <f t="shared" si="153"/>
        <v>24/02/2026</v>
      </c>
      <c r="K694" t="str">
        <f>("05/03/2026")</f>
        <v>05/03/2026</v>
      </c>
      <c r="L694">
        <v>924</v>
      </c>
      <c r="M694">
        <v>924</v>
      </c>
      <c r="N694">
        <v>109</v>
      </c>
      <c r="O694" t="str">
        <f>"PAGAMENTO DE ENTREGADORES"</f>
        <v>PAGAMENTO DE ENTREGADORES</v>
      </c>
      <c r="P694">
        <v>924</v>
      </c>
      <c r="S694" t="str">
        <f>"BANCO C6 (149)"</f>
        <v>BANCO C6 (149)</v>
      </c>
      <c r="T694">
        <v>30190</v>
      </c>
      <c r="U694">
        <v>33702</v>
      </c>
      <c r="V694" t="s">
        <v>37</v>
      </c>
    </row>
    <row r="695" spans="1:22">
      <c r="A695" t="str">
        <f t="shared" si="154"/>
        <v>05/03/2026</v>
      </c>
      <c r="B695" t="str">
        <f t="shared" si="149"/>
        <v>SAÍDA</v>
      </c>
      <c r="C695" t="str">
        <f t="shared" si="152"/>
        <v>PIX</v>
      </c>
      <c r="D695" t="str">
        <f>"33702"</f>
        <v>33702</v>
      </c>
      <c r="E695" t="str">
        <f t="shared" si="155"/>
        <v>1</v>
      </c>
      <c r="F695" t="str">
        <f t="shared" si="151"/>
        <v>COM</v>
      </c>
      <c r="G695" t="str">
        <f>"GILSON OLIVEIRA CAMPINHO JUNIOR (132)"</f>
        <v>GILSON OLIVEIRA CAMPINHO JUNIOR (132)</v>
      </c>
      <c r="H695" t="s">
        <v>270</v>
      </c>
      <c r="I695" t="str">
        <f t="shared" si="150"/>
        <v>05/03/2026</v>
      </c>
      <c r="J695" t="str">
        <f t="shared" si="153"/>
        <v>24/02/2026</v>
      </c>
      <c r="K695">
        <v>46086</v>
      </c>
      <c r="N695">
        <v>109</v>
      </c>
      <c r="O695" t="s">
        <v>27</v>
      </c>
      <c r="Q695">
        <v>924</v>
      </c>
      <c r="R695" t="str">
        <f>"FARMÁCIA INDIANA LJ 91 (10037)"</f>
        <v>FARMÁCIA INDIANA LJ 91 (10037)</v>
      </c>
      <c r="S695" t="s">
        <v>37</v>
      </c>
      <c r="T695">
        <v>30190</v>
      </c>
      <c r="U695">
        <v>33702</v>
      </c>
      <c r="V695" t="s">
        <v>37</v>
      </c>
    </row>
    <row r="696" spans="1:22">
      <c r="A696" t="str">
        <f t="shared" si="154"/>
        <v>05/03/2026</v>
      </c>
      <c r="B696" t="str">
        <f t="shared" si="149"/>
        <v>SAÍDA</v>
      </c>
      <c r="C696" t="str">
        <f t="shared" si="152"/>
        <v>PIX</v>
      </c>
      <c r="D696" t="str">
        <f>"33703"</f>
        <v>33703</v>
      </c>
      <c r="E696" t="str">
        <f t="shared" si="155"/>
        <v>1</v>
      </c>
      <c r="F696" t="str">
        <f t="shared" si="151"/>
        <v>COM</v>
      </c>
      <c r="G696" t="str">
        <f>"HELITON MELGACO PIMENTEL JUNIOR (1079)"</f>
        <v>HELITON MELGACO PIMENTEL JUNIOR (1079)</v>
      </c>
      <c r="H696" t="str">
        <f>"Serv.Prest. 16/02/2026 a 22/02/2026 - PIX: CPF - CHAVE: 768.859.176-72"</f>
        <v>Serv.Prest. 16/02/2026 a 22/02/2026 - PIX: CPF - CHAVE: 768.859.176-72</v>
      </c>
      <c r="I696" t="str">
        <f t="shared" si="150"/>
        <v>05/03/2026</v>
      </c>
      <c r="J696" t="str">
        <f t="shared" si="153"/>
        <v>24/02/2026</v>
      </c>
      <c r="K696" t="str">
        <f>("05/03/2026")</f>
        <v>05/03/2026</v>
      </c>
      <c r="L696">
        <v>552.5</v>
      </c>
      <c r="M696">
        <v>552.5</v>
      </c>
      <c r="N696">
        <v>109</v>
      </c>
      <c r="O696" t="str">
        <f>"PAGAMENTO DE ENTREGADORES"</f>
        <v>PAGAMENTO DE ENTREGADORES</v>
      </c>
      <c r="P696">
        <v>552.5</v>
      </c>
      <c r="S696" t="str">
        <f>"BANCO C6 (149)"</f>
        <v>BANCO C6 (149)</v>
      </c>
      <c r="T696">
        <v>30191</v>
      </c>
      <c r="U696">
        <v>33703</v>
      </c>
      <c r="V696" t="s">
        <v>37</v>
      </c>
    </row>
    <row r="697" spans="1:22">
      <c r="A697" t="str">
        <f t="shared" si="154"/>
        <v>05/03/2026</v>
      </c>
      <c r="B697" t="str">
        <f t="shared" si="149"/>
        <v>SAÍDA</v>
      </c>
      <c r="C697" t="str">
        <f t="shared" si="152"/>
        <v>PIX</v>
      </c>
      <c r="D697" t="str">
        <f>"33703"</f>
        <v>33703</v>
      </c>
      <c r="E697" t="str">
        <f t="shared" si="155"/>
        <v>1</v>
      </c>
      <c r="F697" t="str">
        <f t="shared" si="151"/>
        <v>COM</v>
      </c>
      <c r="G697" t="str">
        <f>"HELITON MELGACO PIMENTEL JUNIOR (1079)"</f>
        <v>HELITON MELGACO PIMENTEL JUNIOR (1079)</v>
      </c>
      <c r="H697" t="s">
        <v>271</v>
      </c>
      <c r="I697" t="str">
        <f t="shared" si="150"/>
        <v>05/03/2026</v>
      </c>
      <c r="J697" t="str">
        <f t="shared" si="153"/>
        <v>24/02/2026</v>
      </c>
      <c r="K697">
        <v>46086</v>
      </c>
      <c r="N697">
        <v>109</v>
      </c>
      <c r="O697" t="s">
        <v>27</v>
      </c>
      <c r="Q697">
        <v>552.5</v>
      </c>
      <c r="R697" t="str">
        <f>"FARMÁCIA INDIANA LJ 283 (10268)"</f>
        <v>FARMÁCIA INDIANA LJ 283 (10268)</v>
      </c>
      <c r="S697" t="s">
        <v>37</v>
      </c>
      <c r="T697">
        <v>30191</v>
      </c>
      <c r="U697">
        <v>33703</v>
      </c>
      <c r="V697" t="s">
        <v>37</v>
      </c>
    </row>
    <row r="698" spans="1:22">
      <c r="A698" t="str">
        <f t="shared" si="154"/>
        <v>05/03/2026</v>
      </c>
      <c r="B698" t="str">
        <f t="shared" si="149"/>
        <v>SAÍDA</v>
      </c>
      <c r="C698" t="str">
        <f t="shared" si="152"/>
        <v>PIX</v>
      </c>
      <c r="D698" t="str">
        <f>"33704"</f>
        <v>33704</v>
      </c>
      <c r="E698" t="str">
        <f t="shared" si="155"/>
        <v>1</v>
      </c>
      <c r="F698" t="str">
        <f t="shared" si="151"/>
        <v>COM</v>
      </c>
      <c r="G698" t="str">
        <f>"IAN DAVI SANTOS DALMONECHE (1318)"</f>
        <v>IAN DAVI SANTOS DALMONECHE (1318)</v>
      </c>
      <c r="H698" t="str">
        <f>"Serv.Prest. 16/02/2026 a 22/02/2026 - PIX: CELULAR - CHAVE: (73) 99816-5318"</f>
        <v>Serv.Prest. 16/02/2026 a 22/02/2026 - PIX: CELULAR - CHAVE: (73) 99816-5318</v>
      </c>
      <c r="I698" t="str">
        <f t="shared" si="150"/>
        <v>05/03/2026</v>
      </c>
      <c r="J698" t="str">
        <f t="shared" si="153"/>
        <v>24/02/2026</v>
      </c>
      <c r="K698" t="str">
        <f>("05/03/2026")</f>
        <v>05/03/2026</v>
      </c>
      <c r="L698">
        <v>374</v>
      </c>
      <c r="M698">
        <v>374</v>
      </c>
      <c r="N698">
        <v>109</v>
      </c>
      <c r="O698" t="str">
        <f>"PAGAMENTO DE ENTREGADORES"</f>
        <v>PAGAMENTO DE ENTREGADORES</v>
      </c>
      <c r="P698">
        <v>374</v>
      </c>
      <c r="S698" t="str">
        <f>"BANCO C6 (149)"</f>
        <v>BANCO C6 (149)</v>
      </c>
      <c r="T698">
        <v>30192</v>
      </c>
      <c r="U698">
        <v>33704</v>
      </c>
      <c r="V698" t="s">
        <v>37</v>
      </c>
    </row>
    <row r="699" spans="1:22">
      <c r="A699" t="str">
        <f t="shared" si="154"/>
        <v>05/03/2026</v>
      </c>
      <c r="B699" t="str">
        <f t="shared" si="149"/>
        <v>SAÍDA</v>
      </c>
      <c r="C699" t="str">
        <f t="shared" si="152"/>
        <v>PIX</v>
      </c>
      <c r="D699" t="str">
        <f>"33704"</f>
        <v>33704</v>
      </c>
      <c r="E699" t="str">
        <f t="shared" si="155"/>
        <v>1</v>
      </c>
      <c r="F699" t="str">
        <f t="shared" si="151"/>
        <v>COM</v>
      </c>
      <c r="G699" t="str">
        <f>"IAN DAVI SANTOS DALMONECHE (1318)"</f>
        <v>IAN DAVI SANTOS DALMONECHE (1318)</v>
      </c>
      <c r="H699" t="s">
        <v>272</v>
      </c>
      <c r="I699" t="str">
        <f t="shared" si="150"/>
        <v>05/03/2026</v>
      </c>
      <c r="J699" t="str">
        <f t="shared" si="153"/>
        <v>24/02/2026</v>
      </c>
      <c r="K699">
        <v>46086</v>
      </c>
      <c r="N699">
        <v>109</v>
      </c>
      <c r="O699" t="s">
        <v>27</v>
      </c>
      <c r="Q699">
        <v>374</v>
      </c>
      <c r="R699" t="str">
        <f>"FARMÁCIA INDIANA LJ 95 (10039)"</f>
        <v>FARMÁCIA INDIANA LJ 95 (10039)</v>
      </c>
      <c r="S699" t="s">
        <v>37</v>
      </c>
      <c r="T699">
        <v>30192</v>
      </c>
      <c r="U699">
        <v>33704</v>
      </c>
      <c r="V699" t="s">
        <v>37</v>
      </c>
    </row>
    <row r="700" spans="1:22">
      <c r="A700" t="str">
        <f t="shared" si="154"/>
        <v>05/03/2026</v>
      </c>
      <c r="B700" t="str">
        <f t="shared" si="149"/>
        <v>SAÍDA</v>
      </c>
      <c r="C700" t="str">
        <f t="shared" si="152"/>
        <v>PIX</v>
      </c>
      <c r="D700" t="str">
        <f>"33705"</f>
        <v>33705</v>
      </c>
      <c r="E700" t="str">
        <f t="shared" si="155"/>
        <v>1</v>
      </c>
      <c r="F700" t="str">
        <f t="shared" si="151"/>
        <v>COM</v>
      </c>
      <c r="G700" t="str">
        <f>"JALDENIR MENDES DOS SANTOS (167)"</f>
        <v>JALDENIR MENDES DOS SANTOS (167)</v>
      </c>
      <c r="H700" t="str">
        <f>"Serv.Prest. 16/02/2026 a 22/02/2026 - PIX: CPF - CHAVE: 439.169.103-53"</f>
        <v>Serv.Prest. 16/02/2026 a 22/02/2026 - PIX: CPF - CHAVE: 439.169.103-53</v>
      </c>
      <c r="I700" t="str">
        <f t="shared" si="150"/>
        <v>05/03/2026</v>
      </c>
      <c r="J700" t="str">
        <f t="shared" si="153"/>
        <v>24/02/2026</v>
      </c>
      <c r="K700" t="str">
        <f>("05/03/2026")</f>
        <v>05/03/2026</v>
      </c>
      <c r="L700">
        <v>752.25</v>
      </c>
      <c r="M700">
        <v>752.25</v>
      </c>
      <c r="N700">
        <v>109</v>
      </c>
      <c r="O700" t="str">
        <f>"PAGAMENTO DE ENTREGADORES"</f>
        <v>PAGAMENTO DE ENTREGADORES</v>
      </c>
      <c r="P700">
        <v>752.25</v>
      </c>
      <c r="S700" t="str">
        <f>"BANCO C6 (149)"</f>
        <v>BANCO C6 (149)</v>
      </c>
      <c r="T700">
        <v>30193</v>
      </c>
      <c r="U700">
        <v>33705</v>
      </c>
      <c r="V700" t="s">
        <v>37</v>
      </c>
    </row>
    <row r="701" spans="1:22">
      <c r="A701" t="str">
        <f t="shared" si="154"/>
        <v>05/03/2026</v>
      </c>
      <c r="B701" t="str">
        <f t="shared" si="149"/>
        <v>SAÍDA</v>
      </c>
      <c r="C701" t="str">
        <f t="shared" si="152"/>
        <v>PIX</v>
      </c>
      <c r="D701" t="str">
        <f>"33705"</f>
        <v>33705</v>
      </c>
      <c r="E701" t="str">
        <f t="shared" si="155"/>
        <v>1</v>
      </c>
      <c r="F701" t="str">
        <f t="shared" si="151"/>
        <v>COM</v>
      </c>
      <c r="G701" t="str">
        <f>"JALDENIR MENDES DOS SANTOS (167)"</f>
        <v>JALDENIR MENDES DOS SANTOS (167)</v>
      </c>
      <c r="H701" t="s">
        <v>273</v>
      </c>
      <c r="I701" t="str">
        <f t="shared" si="150"/>
        <v>05/03/2026</v>
      </c>
      <c r="J701" t="str">
        <f t="shared" si="153"/>
        <v>24/02/2026</v>
      </c>
      <c r="K701">
        <v>46086</v>
      </c>
      <c r="N701">
        <v>109</v>
      </c>
      <c r="O701" t="s">
        <v>27</v>
      </c>
      <c r="Q701">
        <v>752.25</v>
      </c>
      <c r="R701" t="str">
        <f>"FARMÁCIA INDIANA LJ 34 (10014)"</f>
        <v>FARMÁCIA INDIANA LJ 34 (10014)</v>
      </c>
      <c r="S701" t="s">
        <v>37</v>
      </c>
      <c r="T701">
        <v>30193</v>
      </c>
      <c r="U701">
        <v>33705</v>
      </c>
      <c r="V701" t="s">
        <v>37</v>
      </c>
    </row>
    <row r="702" spans="1:22">
      <c r="A702" t="str">
        <f t="shared" si="154"/>
        <v>05/03/2026</v>
      </c>
      <c r="B702" t="str">
        <f t="shared" si="149"/>
        <v>SAÍDA</v>
      </c>
      <c r="C702" t="str">
        <f t="shared" si="152"/>
        <v>PIX</v>
      </c>
      <c r="D702" t="str">
        <f>"33706"</f>
        <v>33706</v>
      </c>
      <c r="E702" t="str">
        <f t="shared" si="155"/>
        <v>1</v>
      </c>
      <c r="F702" t="str">
        <f t="shared" si="151"/>
        <v>COM</v>
      </c>
      <c r="G702" t="str">
        <f>"JARLES DE SOUZA PEREIRA (109)"</f>
        <v>JARLES DE SOUZA PEREIRA (109)</v>
      </c>
      <c r="H702" t="str">
        <f>"Serv.Prest. 16/02/2026 a 22/02/2026 - PIX: CELULAR - CHAVE: (73) 99856-1756"</f>
        <v>Serv.Prest. 16/02/2026 a 22/02/2026 - PIX: CELULAR - CHAVE: (73) 99856-1756</v>
      </c>
      <c r="I702" t="str">
        <f t="shared" si="150"/>
        <v>05/03/2026</v>
      </c>
      <c r="J702" t="str">
        <f t="shared" si="153"/>
        <v>24/02/2026</v>
      </c>
      <c r="K702" t="str">
        <f>("05/03/2026")</f>
        <v>05/03/2026</v>
      </c>
      <c r="L702">
        <v>654</v>
      </c>
      <c r="M702">
        <v>654</v>
      </c>
      <c r="N702">
        <v>109</v>
      </c>
      <c r="O702" t="str">
        <f>"PAGAMENTO DE ENTREGADORES"</f>
        <v>PAGAMENTO DE ENTREGADORES</v>
      </c>
      <c r="P702">
        <v>654</v>
      </c>
      <c r="S702" t="str">
        <f>"BANCO C6 (149)"</f>
        <v>BANCO C6 (149)</v>
      </c>
      <c r="T702">
        <v>30194</v>
      </c>
      <c r="U702">
        <v>33706</v>
      </c>
      <c r="V702" t="s">
        <v>37</v>
      </c>
    </row>
    <row r="703" spans="1:22">
      <c r="A703" t="str">
        <f t="shared" si="154"/>
        <v>05/03/2026</v>
      </c>
      <c r="B703" t="str">
        <f t="shared" si="149"/>
        <v>SAÍDA</v>
      </c>
      <c r="C703" t="str">
        <f t="shared" si="152"/>
        <v>PIX</v>
      </c>
      <c r="D703" t="str">
        <f>"33706"</f>
        <v>33706</v>
      </c>
      <c r="E703" t="str">
        <f t="shared" si="155"/>
        <v>1</v>
      </c>
      <c r="F703" t="str">
        <f t="shared" si="151"/>
        <v>COM</v>
      </c>
      <c r="G703" t="str">
        <f>"JARLES DE SOUZA PEREIRA (109)"</f>
        <v>JARLES DE SOUZA PEREIRA (109)</v>
      </c>
      <c r="H703" t="s">
        <v>274</v>
      </c>
      <c r="I703" t="str">
        <f t="shared" si="150"/>
        <v>05/03/2026</v>
      </c>
      <c r="J703" t="str">
        <f t="shared" si="153"/>
        <v>24/02/2026</v>
      </c>
      <c r="K703">
        <v>46086</v>
      </c>
      <c r="N703">
        <v>109</v>
      </c>
      <c r="O703" t="s">
        <v>27</v>
      </c>
      <c r="Q703">
        <v>654</v>
      </c>
      <c r="R703" t="str">
        <f>"FARMÁCIA INDIANA LJ 173 (10075)"</f>
        <v>FARMÁCIA INDIANA LJ 173 (10075)</v>
      </c>
      <c r="S703" t="s">
        <v>37</v>
      </c>
      <c r="T703">
        <v>30194</v>
      </c>
      <c r="U703">
        <v>33706</v>
      </c>
      <c r="V703" t="s">
        <v>37</v>
      </c>
    </row>
    <row r="704" spans="1:22">
      <c r="A704" t="str">
        <f t="shared" si="154"/>
        <v>05/03/2026</v>
      </c>
      <c r="B704" t="str">
        <f t="shared" si="149"/>
        <v>SAÍDA</v>
      </c>
      <c r="C704" t="str">
        <f t="shared" si="152"/>
        <v>PIX</v>
      </c>
      <c r="D704" t="str">
        <f>"33707"</f>
        <v>33707</v>
      </c>
      <c r="E704" t="str">
        <f t="shared" si="155"/>
        <v>1</v>
      </c>
      <c r="F704" t="str">
        <f t="shared" si="151"/>
        <v>COM</v>
      </c>
      <c r="G704" t="str">
        <f>"JOAO PEDRO BRITO DE SOUZA (876)"</f>
        <v>JOAO PEDRO BRITO DE SOUZA (876)</v>
      </c>
      <c r="H704" t="str">
        <f>"Serv.Prest. 16/02/2026 a 22/02/2026 - PIX: CPF - CHAVE: 860.305.455-07"</f>
        <v>Serv.Prest. 16/02/2026 a 22/02/2026 - PIX: CPF - CHAVE: 860.305.455-07</v>
      </c>
      <c r="I704" t="str">
        <f t="shared" si="150"/>
        <v>05/03/2026</v>
      </c>
      <c r="J704" t="str">
        <f t="shared" si="153"/>
        <v>24/02/2026</v>
      </c>
      <c r="K704" t="str">
        <f>("05/03/2026")</f>
        <v>05/03/2026</v>
      </c>
      <c r="L704">
        <v>1215</v>
      </c>
      <c r="M704">
        <v>1215</v>
      </c>
      <c r="N704">
        <v>109</v>
      </c>
      <c r="O704" t="str">
        <f>"PAGAMENTO DE ENTREGADORES"</f>
        <v>PAGAMENTO DE ENTREGADORES</v>
      </c>
      <c r="P704">
        <v>1215</v>
      </c>
      <c r="S704" t="str">
        <f>"BANCO C6 (149)"</f>
        <v>BANCO C6 (149)</v>
      </c>
      <c r="T704">
        <v>30195</v>
      </c>
      <c r="U704">
        <v>33707</v>
      </c>
      <c r="V704" t="s">
        <v>37</v>
      </c>
    </row>
    <row r="705" spans="1:22">
      <c r="A705" t="str">
        <f t="shared" si="154"/>
        <v>05/03/2026</v>
      </c>
      <c r="B705" t="str">
        <f t="shared" ref="B705:B768" si="156">"SAÍDA"</f>
        <v>SAÍDA</v>
      </c>
      <c r="C705" t="str">
        <f t="shared" si="152"/>
        <v>PIX</v>
      </c>
      <c r="D705" t="str">
        <f>"33707"</f>
        <v>33707</v>
      </c>
      <c r="E705" t="str">
        <f t="shared" si="155"/>
        <v>1</v>
      </c>
      <c r="F705" t="str">
        <f t="shared" si="151"/>
        <v>COM</v>
      </c>
      <c r="G705" t="str">
        <f>"JOAO PEDRO BRITO DE SOUZA (876)"</f>
        <v>JOAO PEDRO BRITO DE SOUZA (876)</v>
      </c>
      <c r="H705" t="s">
        <v>275</v>
      </c>
      <c r="I705" t="str">
        <f t="shared" ref="I705:I768" si="157">("05/03/2026")</f>
        <v>05/03/2026</v>
      </c>
      <c r="J705" t="str">
        <f t="shared" si="153"/>
        <v>24/02/2026</v>
      </c>
      <c r="K705">
        <v>46086</v>
      </c>
      <c r="N705">
        <v>109</v>
      </c>
      <c r="O705" t="s">
        <v>27</v>
      </c>
      <c r="Q705">
        <v>694.98</v>
      </c>
      <c r="R705" t="str">
        <f>"FARMÁCIA INDIANA LJ 48 (10018)"</f>
        <v>FARMÁCIA INDIANA LJ 48 (10018)</v>
      </c>
      <c r="S705" t="s">
        <v>37</v>
      </c>
      <c r="T705">
        <v>30195</v>
      </c>
      <c r="U705">
        <v>33707</v>
      </c>
      <c r="V705" t="s">
        <v>37</v>
      </c>
    </row>
    <row r="706" spans="1:22">
      <c r="A706" t="str">
        <f t="shared" si="154"/>
        <v>05/03/2026</v>
      </c>
      <c r="B706" t="str">
        <f t="shared" si="156"/>
        <v>SAÍDA</v>
      </c>
      <c r="C706" t="str">
        <f t="shared" si="152"/>
        <v>PIX</v>
      </c>
      <c r="D706" t="str">
        <f>"33707"</f>
        <v>33707</v>
      </c>
      <c r="E706" t="str">
        <f t="shared" si="155"/>
        <v>1</v>
      </c>
      <c r="F706" t="str">
        <f t="shared" ref="F706:F769" si="158">"COM"</f>
        <v>COM</v>
      </c>
      <c r="G706" t="str">
        <f>"JOAO PEDRO BRITO DE SOUZA (876)"</f>
        <v>JOAO PEDRO BRITO DE SOUZA (876)</v>
      </c>
      <c r="H706" t="s">
        <v>275</v>
      </c>
      <c r="I706" t="str">
        <f t="shared" si="157"/>
        <v>05/03/2026</v>
      </c>
      <c r="J706" t="str">
        <f t="shared" si="153"/>
        <v>24/02/2026</v>
      </c>
      <c r="K706">
        <v>46086</v>
      </c>
      <c r="N706">
        <v>109</v>
      </c>
      <c r="O706" t="s">
        <v>27</v>
      </c>
      <c r="Q706">
        <v>520.02</v>
      </c>
      <c r="R706" t="str">
        <f>"FARMÁCIA INDIANA LJ 169 (10073)"</f>
        <v>FARMÁCIA INDIANA LJ 169 (10073)</v>
      </c>
      <c r="S706" t="s">
        <v>37</v>
      </c>
      <c r="T706">
        <v>30195</v>
      </c>
      <c r="U706">
        <v>33707</v>
      </c>
      <c r="V706" t="s">
        <v>37</v>
      </c>
    </row>
    <row r="707" spans="1:22">
      <c r="A707" t="str">
        <f t="shared" si="154"/>
        <v>05/03/2026</v>
      </c>
      <c r="B707" t="str">
        <f t="shared" si="156"/>
        <v>SAÍDA</v>
      </c>
      <c r="C707" t="str">
        <f t="shared" ref="C707:C770" si="159">"PIX"</f>
        <v>PIX</v>
      </c>
      <c r="D707" t="str">
        <f>"33708"</f>
        <v>33708</v>
      </c>
      <c r="E707" t="str">
        <f t="shared" si="155"/>
        <v>1</v>
      </c>
      <c r="F707" t="str">
        <f t="shared" si="158"/>
        <v>COM</v>
      </c>
      <c r="G707" t="str">
        <f>"JOSE MARIO MENEZES DA CRUZ (941)"</f>
        <v>JOSE MARIO MENEZES DA CRUZ (941)</v>
      </c>
      <c r="H707" t="str">
        <f>"Serv.Prest. 16/02/2026 a 22/02/2026 - PIX: CPF - CHAVE: 009.476.175-23"</f>
        <v>Serv.Prest. 16/02/2026 a 22/02/2026 - PIX: CPF - CHAVE: 009.476.175-23</v>
      </c>
      <c r="I707" t="str">
        <f t="shared" si="157"/>
        <v>05/03/2026</v>
      </c>
      <c r="J707" t="str">
        <f t="shared" si="153"/>
        <v>24/02/2026</v>
      </c>
      <c r="K707" t="str">
        <f>("05/03/2026")</f>
        <v>05/03/2026</v>
      </c>
      <c r="L707">
        <v>870</v>
      </c>
      <c r="M707">
        <v>870</v>
      </c>
      <c r="N707">
        <v>109</v>
      </c>
      <c r="O707" t="str">
        <f>"PAGAMENTO DE ENTREGADORES"</f>
        <v>PAGAMENTO DE ENTREGADORES</v>
      </c>
      <c r="P707">
        <v>870</v>
      </c>
      <c r="S707" t="str">
        <f>"BANCO C6 (149)"</f>
        <v>BANCO C6 (149)</v>
      </c>
      <c r="T707">
        <v>30196</v>
      </c>
      <c r="U707">
        <v>33708</v>
      </c>
      <c r="V707" t="s">
        <v>37</v>
      </c>
    </row>
    <row r="708" spans="1:22">
      <c r="A708" t="str">
        <f t="shared" si="154"/>
        <v>05/03/2026</v>
      </c>
      <c r="B708" t="str">
        <f t="shared" si="156"/>
        <v>SAÍDA</v>
      </c>
      <c r="C708" t="str">
        <f t="shared" si="159"/>
        <v>PIX</v>
      </c>
      <c r="D708" t="str">
        <f>"33708"</f>
        <v>33708</v>
      </c>
      <c r="E708" t="str">
        <f t="shared" si="155"/>
        <v>1</v>
      </c>
      <c r="F708" t="str">
        <f t="shared" si="158"/>
        <v>COM</v>
      </c>
      <c r="G708" t="str">
        <f>"JOSE MARIO MENEZES DA CRUZ (941)"</f>
        <v>JOSE MARIO MENEZES DA CRUZ (941)</v>
      </c>
      <c r="H708" t="s">
        <v>276</v>
      </c>
      <c r="I708" t="str">
        <f t="shared" si="157"/>
        <v>05/03/2026</v>
      </c>
      <c r="J708" t="str">
        <f t="shared" si="153"/>
        <v>24/02/2026</v>
      </c>
      <c r="K708">
        <v>46086</v>
      </c>
      <c r="N708">
        <v>109</v>
      </c>
      <c r="O708" t="s">
        <v>27</v>
      </c>
      <c r="Q708">
        <v>870</v>
      </c>
      <c r="R708" t="str">
        <f>"FARMÁCIA INDIANA LJ 33 (10187)"</f>
        <v>FARMÁCIA INDIANA LJ 33 (10187)</v>
      </c>
      <c r="S708" t="s">
        <v>37</v>
      </c>
      <c r="T708">
        <v>30196</v>
      </c>
      <c r="U708">
        <v>33708</v>
      </c>
      <c r="V708" t="s">
        <v>37</v>
      </c>
    </row>
    <row r="709" spans="1:22">
      <c r="A709" t="str">
        <f t="shared" si="154"/>
        <v>05/03/2026</v>
      </c>
      <c r="B709" t="str">
        <f t="shared" si="156"/>
        <v>SAÍDA</v>
      </c>
      <c r="C709" t="str">
        <f t="shared" si="159"/>
        <v>PIX</v>
      </c>
      <c r="D709" t="str">
        <f>"33709"</f>
        <v>33709</v>
      </c>
      <c r="E709" t="str">
        <f t="shared" si="155"/>
        <v>1</v>
      </c>
      <c r="F709" t="str">
        <f t="shared" si="158"/>
        <v>COM</v>
      </c>
      <c r="G709" t="str">
        <f>"JUNIO SOUZA SILVA (610)"</f>
        <v>JUNIO SOUZA SILVA (610)</v>
      </c>
      <c r="H709" t="str">
        <f>"Serv.Prest. 16/02/2026 a 22/02/2026 - PIX: CELULAR - CHAVE: (73) 98105-2187"</f>
        <v>Serv.Prest. 16/02/2026 a 22/02/2026 - PIX: CELULAR - CHAVE: (73) 98105-2187</v>
      </c>
      <c r="I709" t="str">
        <f t="shared" si="157"/>
        <v>05/03/2026</v>
      </c>
      <c r="J709" t="str">
        <f t="shared" si="153"/>
        <v>24/02/2026</v>
      </c>
      <c r="K709" t="str">
        <f>("05/03/2026")</f>
        <v>05/03/2026</v>
      </c>
      <c r="L709">
        <v>600</v>
      </c>
      <c r="M709">
        <v>600</v>
      </c>
      <c r="N709">
        <v>109</v>
      </c>
      <c r="O709" t="str">
        <f>"PAGAMENTO DE ENTREGADORES"</f>
        <v>PAGAMENTO DE ENTREGADORES</v>
      </c>
      <c r="P709">
        <v>600</v>
      </c>
      <c r="S709" t="str">
        <f>"BANCO C6 (149)"</f>
        <v>BANCO C6 (149)</v>
      </c>
      <c r="T709">
        <v>30197</v>
      </c>
      <c r="U709">
        <v>33709</v>
      </c>
      <c r="V709" t="s">
        <v>37</v>
      </c>
    </row>
    <row r="710" spans="1:22">
      <c r="A710" t="str">
        <f t="shared" si="154"/>
        <v>05/03/2026</v>
      </c>
      <c r="B710" t="str">
        <f t="shared" si="156"/>
        <v>SAÍDA</v>
      </c>
      <c r="C710" t="str">
        <f t="shared" si="159"/>
        <v>PIX</v>
      </c>
      <c r="D710" t="str">
        <f>"33709"</f>
        <v>33709</v>
      </c>
      <c r="E710" t="str">
        <f t="shared" si="155"/>
        <v>1</v>
      </c>
      <c r="F710" t="str">
        <f t="shared" si="158"/>
        <v>COM</v>
      </c>
      <c r="G710" t="str">
        <f>"JUNIO SOUZA SILVA (610)"</f>
        <v>JUNIO SOUZA SILVA (610)</v>
      </c>
      <c r="H710" t="s">
        <v>277</v>
      </c>
      <c r="I710" t="str">
        <f t="shared" si="157"/>
        <v>05/03/2026</v>
      </c>
      <c r="J710" t="str">
        <f t="shared" si="153"/>
        <v>24/02/2026</v>
      </c>
      <c r="K710">
        <v>46086</v>
      </c>
      <c r="N710">
        <v>109</v>
      </c>
      <c r="O710" t="s">
        <v>27</v>
      </c>
      <c r="Q710">
        <v>600</v>
      </c>
      <c r="R710" t="str">
        <f>"FARMÁCIA INDIANA LJ 77 (10034)"</f>
        <v>FARMÁCIA INDIANA LJ 77 (10034)</v>
      </c>
      <c r="S710" t="s">
        <v>37</v>
      </c>
      <c r="T710">
        <v>30197</v>
      </c>
      <c r="U710">
        <v>33709</v>
      </c>
      <c r="V710" t="s">
        <v>37</v>
      </c>
    </row>
    <row r="711" spans="1:22">
      <c r="A711" t="str">
        <f t="shared" si="154"/>
        <v>05/03/2026</v>
      </c>
      <c r="B711" t="str">
        <f t="shared" si="156"/>
        <v>SAÍDA</v>
      </c>
      <c r="C711" t="str">
        <f t="shared" si="159"/>
        <v>PIX</v>
      </c>
      <c r="D711" t="str">
        <f>"33710"</f>
        <v>33710</v>
      </c>
      <c r="E711" t="str">
        <f t="shared" si="155"/>
        <v>1</v>
      </c>
      <c r="F711" t="str">
        <f t="shared" si="158"/>
        <v>COM</v>
      </c>
      <c r="G711" t="str">
        <f>"KHENNEDY DAVY DOS SANTOS SILVA (692)"</f>
        <v>KHENNEDY DAVY DOS SANTOS SILVA (692)</v>
      </c>
      <c r="H711" t="str">
        <f>"Serv.Prest. 16/02/2026 a 22/02/2026 - PIX: CPF - CHAVE: 094.700.685-05"</f>
        <v>Serv.Prest. 16/02/2026 a 22/02/2026 - PIX: CPF - CHAVE: 094.700.685-05</v>
      </c>
      <c r="I711" t="str">
        <f t="shared" si="157"/>
        <v>05/03/2026</v>
      </c>
      <c r="J711" t="str">
        <f t="shared" si="153"/>
        <v>24/02/2026</v>
      </c>
      <c r="K711" t="str">
        <f>("05/03/2026")</f>
        <v>05/03/2026</v>
      </c>
      <c r="L711">
        <v>654</v>
      </c>
      <c r="M711">
        <v>654</v>
      </c>
      <c r="N711">
        <v>109</v>
      </c>
      <c r="O711" t="str">
        <f>"PAGAMENTO DE ENTREGADORES"</f>
        <v>PAGAMENTO DE ENTREGADORES</v>
      </c>
      <c r="P711">
        <v>654</v>
      </c>
      <c r="S711" t="str">
        <f>"BANCO C6 (149)"</f>
        <v>BANCO C6 (149)</v>
      </c>
      <c r="T711">
        <v>30198</v>
      </c>
      <c r="U711">
        <v>33710</v>
      </c>
      <c r="V711" t="s">
        <v>37</v>
      </c>
    </row>
    <row r="712" spans="1:22">
      <c r="A712" t="str">
        <f t="shared" si="154"/>
        <v>05/03/2026</v>
      </c>
      <c r="B712" t="str">
        <f t="shared" si="156"/>
        <v>SAÍDA</v>
      </c>
      <c r="C712" t="str">
        <f t="shared" si="159"/>
        <v>PIX</v>
      </c>
      <c r="D712" t="str">
        <f>"33710"</f>
        <v>33710</v>
      </c>
      <c r="E712" t="str">
        <f t="shared" si="155"/>
        <v>1</v>
      </c>
      <c r="F712" t="str">
        <f t="shared" si="158"/>
        <v>COM</v>
      </c>
      <c r="G712" t="str">
        <f>"KHENNEDY DAVY DOS SANTOS SILVA (692)"</f>
        <v>KHENNEDY DAVY DOS SANTOS SILVA (692)</v>
      </c>
      <c r="H712" t="s">
        <v>278</v>
      </c>
      <c r="I712" t="str">
        <f t="shared" si="157"/>
        <v>05/03/2026</v>
      </c>
      <c r="J712" t="str">
        <f t="shared" si="153"/>
        <v>24/02/2026</v>
      </c>
      <c r="K712">
        <v>46086</v>
      </c>
      <c r="N712">
        <v>109</v>
      </c>
      <c r="O712" t="s">
        <v>27</v>
      </c>
      <c r="Q712">
        <v>654</v>
      </c>
      <c r="R712" t="str">
        <f>"FARMÁCIA INDIANA LJ 65 (10030)"</f>
        <v>FARMÁCIA INDIANA LJ 65 (10030)</v>
      </c>
      <c r="S712" t="s">
        <v>37</v>
      </c>
      <c r="T712">
        <v>30198</v>
      </c>
      <c r="U712">
        <v>33710</v>
      </c>
      <c r="V712" t="s">
        <v>37</v>
      </c>
    </row>
    <row r="713" spans="1:22">
      <c r="A713" t="str">
        <f t="shared" si="154"/>
        <v>05/03/2026</v>
      </c>
      <c r="B713" t="str">
        <f t="shared" si="156"/>
        <v>SAÍDA</v>
      </c>
      <c r="C713" t="str">
        <f t="shared" si="159"/>
        <v>PIX</v>
      </c>
      <c r="D713" t="str">
        <f>"33711"</f>
        <v>33711</v>
      </c>
      <c r="E713" t="str">
        <f t="shared" si="155"/>
        <v>1</v>
      </c>
      <c r="F713" t="str">
        <f t="shared" si="158"/>
        <v>COM</v>
      </c>
      <c r="G713" t="str">
        <f>"LEONARDO MERCÊS CAJAZEIRAS (235)"</f>
        <v>LEONARDO MERCÊS CAJAZEIRAS (235)</v>
      </c>
      <c r="H713" t="str">
        <f>"Serv.Prest. 16/02/2026 a 22/02/2026 - PIX: CELULAR - CHAVE: (73) 99803-0715"</f>
        <v>Serv.Prest. 16/02/2026 a 22/02/2026 - PIX: CELULAR - CHAVE: (73) 99803-0715</v>
      </c>
      <c r="I713" t="str">
        <f t="shared" si="157"/>
        <v>05/03/2026</v>
      </c>
      <c r="J713" t="str">
        <f t="shared" si="153"/>
        <v>24/02/2026</v>
      </c>
      <c r="K713" t="str">
        <f>("05/03/2026")</f>
        <v>05/03/2026</v>
      </c>
      <c r="L713">
        <v>600</v>
      </c>
      <c r="M713">
        <v>600</v>
      </c>
      <c r="N713">
        <v>109</v>
      </c>
      <c r="O713" t="str">
        <f>"PAGAMENTO DE ENTREGADORES"</f>
        <v>PAGAMENTO DE ENTREGADORES</v>
      </c>
      <c r="P713">
        <v>600</v>
      </c>
      <c r="S713" t="str">
        <f>"BANCO C6 (149)"</f>
        <v>BANCO C6 (149)</v>
      </c>
      <c r="T713">
        <v>30199</v>
      </c>
      <c r="U713">
        <v>33711</v>
      </c>
      <c r="V713" t="s">
        <v>37</v>
      </c>
    </row>
    <row r="714" spans="1:22">
      <c r="A714" t="str">
        <f t="shared" si="154"/>
        <v>05/03/2026</v>
      </c>
      <c r="B714" t="str">
        <f t="shared" si="156"/>
        <v>SAÍDA</v>
      </c>
      <c r="C714" t="str">
        <f t="shared" si="159"/>
        <v>PIX</v>
      </c>
      <c r="D714" t="str">
        <f>"33711"</f>
        <v>33711</v>
      </c>
      <c r="E714" t="str">
        <f t="shared" si="155"/>
        <v>1</v>
      </c>
      <c r="F714" t="str">
        <f t="shared" si="158"/>
        <v>COM</v>
      </c>
      <c r="G714" t="str">
        <f>"LEONARDO MERCÊS CAJAZEIRAS (235)"</f>
        <v>LEONARDO MERCÊS CAJAZEIRAS (235)</v>
      </c>
      <c r="H714" t="s">
        <v>279</v>
      </c>
      <c r="I714" t="str">
        <f t="shared" si="157"/>
        <v>05/03/2026</v>
      </c>
      <c r="J714" t="str">
        <f t="shared" si="153"/>
        <v>24/02/2026</v>
      </c>
      <c r="K714">
        <v>46086</v>
      </c>
      <c r="N714">
        <v>109</v>
      </c>
      <c r="O714" t="s">
        <v>27</v>
      </c>
      <c r="Q714">
        <v>600</v>
      </c>
      <c r="R714" t="str">
        <f>"FARMÁCIA INDIANA LJ 35 (10015)"</f>
        <v>FARMÁCIA INDIANA LJ 35 (10015)</v>
      </c>
      <c r="S714" t="s">
        <v>37</v>
      </c>
      <c r="T714">
        <v>30199</v>
      </c>
      <c r="U714">
        <v>33711</v>
      </c>
      <c r="V714" t="s">
        <v>37</v>
      </c>
    </row>
    <row r="715" spans="1:22">
      <c r="A715" t="str">
        <f t="shared" si="154"/>
        <v>05/03/2026</v>
      </c>
      <c r="B715" t="str">
        <f t="shared" si="156"/>
        <v>SAÍDA</v>
      </c>
      <c r="C715" t="str">
        <f t="shared" si="159"/>
        <v>PIX</v>
      </c>
      <c r="D715" t="str">
        <f>"33712"</f>
        <v>33712</v>
      </c>
      <c r="E715" t="str">
        <f t="shared" si="155"/>
        <v>1</v>
      </c>
      <c r="F715" t="str">
        <f t="shared" si="158"/>
        <v>COM</v>
      </c>
      <c r="G715" t="str">
        <f>"LEONARDO SANTOS BIANCHINI (1115)"</f>
        <v>LEONARDO SANTOS BIANCHINI (1115)</v>
      </c>
      <c r="H715" t="str">
        <f>"Serv.Prest. 16/02/2026 a 22/02/2026 - PIX: CPF - CHAVE: 157.217.827-22"</f>
        <v>Serv.Prest. 16/02/2026 a 22/02/2026 - PIX: CPF - CHAVE: 157.217.827-22</v>
      </c>
      <c r="I715" t="str">
        <f t="shared" si="157"/>
        <v>05/03/2026</v>
      </c>
      <c r="J715" t="str">
        <f t="shared" si="153"/>
        <v>24/02/2026</v>
      </c>
      <c r="K715" t="str">
        <f>("05/03/2026")</f>
        <v>05/03/2026</v>
      </c>
      <c r="L715">
        <v>918</v>
      </c>
      <c r="M715">
        <v>918</v>
      </c>
      <c r="N715">
        <v>109</v>
      </c>
      <c r="O715" t="str">
        <f>"PAGAMENTO DE ENTREGADORES"</f>
        <v>PAGAMENTO DE ENTREGADORES</v>
      </c>
      <c r="P715">
        <v>918</v>
      </c>
      <c r="S715" t="str">
        <f>"BANCO C6 (149)"</f>
        <v>BANCO C6 (149)</v>
      </c>
      <c r="T715">
        <v>30200</v>
      </c>
      <c r="U715">
        <v>33712</v>
      </c>
      <c r="V715" t="s">
        <v>37</v>
      </c>
    </row>
    <row r="716" spans="1:22">
      <c r="A716" t="str">
        <f t="shared" si="154"/>
        <v>05/03/2026</v>
      </c>
      <c r="B716" t="str">
        <f t="shared" si="156"/>
        <v>SAÍDA</v>
      </c>
      <c r="C716" t="str">
        <f t="shared" si="159"/>
        <v>PIX</v>
      </c>
      <c r="D716" t="str">
        <f>"33712"</f>
        <v>33712</v>
      </c>
      <c r="E716" t="str">
        <f t="shared" si="155"/>
        <v>1</v>
      </c>
      <c r="F716" t="str">
        <f t="shared" si="158"/>
        <v>COM</v>
      </c>
      <c r="G716" t="str">
        <f>"LEONARDO SANTOS BIANCHINI (1115)"</f>
        <v>LEONARDO SANTOS BIANCHINI (1115)</v>
      </c>
      <c r="H716" t="s">
        <v>280</v>
      </c>
      <c r="I716" t="str">
        <f t="shared" si="157"/>
        <v>05/03/2026</v>
      </c>
      <c r="J716" t="str">
        <f t="shared" si="153"/>
        <v>24/02/2026</v>
      </c>
      <c r="K716">
        <v>46086</v>
      </c>
      <c r="N716">
        <v>109</v>
      </c>
      <c r="O716" t="s">
        <v>27</v>
      </c>
      <c r="Q716">
        <v>918</v>
      </c>
      <c r="R716" t="str">
        <f>"FARMÁCIA INDIANA LJ 92 (10281)"</f>
        <v>FARMÁCIA INDIANA LJ 92 (10281)</v>
      </c>
      <c r="S716" t="s">
        <v>37</v>
      </c>
      <c r="T716">
        <v>30200</v>
      </c>
      <c r="U716">
        <v>33712</v>
      </c>
      <c r="V716" t="s">
        <v>37</v>
      </c>
    </row>
    <row r="717" spans="1:22">
      <c r="A717" t="str">
        <f t="shared" si="154"/>
        <v>05/03/2026</v>
      </c>
      <c r="B717" t="str">
        <f t="shared" si="156"/>
        <v>SAÍDA</v>
      </c>
      <c r="C717" t="str">
        <f t="shared" si="159"/>
        <v>PIX</v>
      </c>
      <c r="D717" t="str">
        <f>"33713"</f>
        <v>33713</v>
      </c>
      <c r="E717" t="str">
        <f t="shared" si="155"/>
        <v>1</v>
      </c>
      <c r="F717" t="str">
        <f t="shared" si="158"/>
        <v>COM</v>
      </c>
      <c r="G717" t="str">
        <f>"LUCAS MOREIRA PEREIRA (153)"</f>
        <v>LUCAS MOREIRA PEREIRA (153)</v>
      </c>
      <c r="H717" t="str">
        <f>"Serv.Prest. 16/02/2026 a 22/02/2026 - PIX: CNPJ - CHAVE: 65.104.813/0001-77"</f>
        <v>Serv.Prest. 16/02/2026 a 22/02/2026 - PIX: CNPJ - CHAVE: 65.104.813/0001-77</v>
      </c>
      <c r="I717" t="str">
        <f t="shared" si="157"/>
        <v>05/03/2026</v>
      </c>
      <c r="J717" t="str">
        <f t="shared" si="153"/>
        <v>24/02/2026</v>
      </c>
      <c r="K717" t="str">
        <f>("05/03/2026")</f>
        <v>05/03/2026</v>
      </c>
      <c r="L717">
        <v>1080</v>
      </c>
      <c r="M717">
        <v>1080</v>
      </c>
      <c r="N717">
        <v>109</v>
      </c>
      <c r="O717" t="str">
        <f>"PAGAMENTO DE ENTREGADORES"</f>
        <v>PAGAMENTO DE ENTREGADORES</v>
      </c>
      <c r="P717">
        <v>1080</v>
      </c>
      <c r="S717" t="str">
        <f>"BANCO C6 (149)"</f>
        <v>BANCO C6 (149)</v>
      </c>
      <c r="T717">
        <v>30201</v>
      </c>
      <c r="U717">
        <v>33713</v>
      </c>
      <c r="V717" t="s">
        <v>37</v>
      </c>
    </row>
    <row r="718" spans="1:22">
      <c r="A718" t="str">
        <f t="shared" si="154"/>
        <v>05/03/2026</v>
      </c>
      <c r="B718" t="str">
        <f t="shared" si="156"/>
        <v>SAÍDA</v>
      </c>
      <c r="C718" t="str">
        <f t="shared" si="159"/>
        <v>PIX</v>
      </c>
      <c r="D718" t="str">
        <f>"33713"</f>
        <v>33713</v>
      </c>
      <c r="E718" t="str">
        <f t="shared" si="155"/>
        <v>1</v>
      </c>
      <c r="F718" t="str">
        <f t="shared" si="158"/>
        <v>COM</v>
      </c>
      <c r="G718" t="str">
        <f>"LUCAS MOREIRA PEREIRA (153)"</f>
        <v>LUCAS MOREIRA PEREIRA (153)</v>
      </c>
      <c r="H718" t="s">
        <v>281</v>
      </c>
      <c r="I718" t="str">
        <f t="shared" si="157"/>
        <v>05/03/2026</v>
      </c>
      <c r="J718" t="str">
        <f t="shared" si="153"/>
        <v>24/02/2026</v>
      </c>
      <c r="K718">
        <v>46086</v>
      </c>
      <c r="N718">
        <v>109</v>
      </c>
      <c r="O718" t="s">
        <v>27</v>
      </c>
      <c r="Q718">
        <v>744.98</v>
      </c>
      <c r="R718" t="str">
        <f>"FARMÁCIA INDIANA LJ 48 (10018)"</f>
        <v>FARMÁCIA INDIANA LJ 48 (10018)</v>
      </c>
      <c r="S718" t="s">
        <v>37</v>
      </c>
      <c r="T718">
        <v>30201</v>
      </c>
      <c r="U718">
        <v>33713</v>
      </c>
      <c r="V718" t="s">
        <v>37</v>
      </c>
    </row>
    <row r="719" spans="1:22">
      <c r="A719" t="str">
        <f t="shared" si="154"/>
        <v>05/03/2026</v>
      </c>
      <c r="B719" t="str">
        <f t="shared" si="156"/>
        <v>SAÍDA</v>
      </c>
      <c r="C719" t="str">
        <f t="shared" si="159"/>
        <v>PIX</v>
      </c>
      <c r="D719" t="str">
        <f>"33713"</f>
        <v>33713</v>
      </c>
      <c r="E719" t="str">
        <f t="shared" si="155"/>
        <v>1</v>
      </c>
      <c r="F719" t="str">
        <f t="shared" si="158"/>
        <v>COM</v>
      </c>
      <c r="G719" t="str">
        <f>"LUCAS MOREIRA PEREIRA (153)"</f>
        <v>LUCAS MOREIRA PEREIRA (153)</v>
      </c>
      <c r="H719" t="s">
        <v>281</v>
      </c>
      <c r="I719" t="str">
        <f t="shared" si="157"/>
        <v>05/03/2026</v>
      </c>
      <c r="J719" t="str">
        <f t="shared" si="153"/>
        <v>24/02/2026</v>
      </c>
      <c r="K719">
        <v>46086</v>
      </c>
      <c r="N719">
        <v>109</v>
      </c>
      <c r="O719" t="s">
        <v>27</v>
      </c>
      <c r="Q719">
        <v>335.02</v>
      </c>
      <c r="R719" t="str">
        <f>"FARMÁCIA INDIANA LJ 169 (10073)"</f>
        <v>FARMÁCIA INDIANA LJ 169 (10073)</v>
      </c>
      <c r="S719" t="s">
        <v>37</v>
      </c>
      <c r="T719">
        <v>30201</v>
      </c>
      <c r="U719">
        <v>33713</v>
      </c>
      <c r="V719" t="s">
        <v>37</v>
      </c>
    </row>
    <row r="720" spans="1:22">
      <c r="A720" t="str">
        <f t="shared" si="154"/>
        <v>05/03/2026</v>
      </c>
      <c r="B720" t="str">
        <f t="shared" si="156"/>
        <v>SAÍDA</v>
      </c>
      <c r="C720" t="str">
        <f t="shared" si="159"/>
        <v>PIX</v>
      </c>
      <c r="D720" t="str">
        <f>"33714"</f>
        <v>33714</v>
      </c>
      <c r="E720" t="str">
        <f t="shared" si="155"/>
        <v>1</v>
      </c>
      <c r="F720" t="str">
        <f t="shared" si="158"/>
        <v>COM</v>
      </c>
      <c r="G720" t="str">
        <f>"MARCELO RODRIGUES DA SILVA (1194)"</f>
        <v>MARCELO RODRIGUES DA SILVA (1194)</v>
      </c>
      <c r="H720" t="str">
        <f>"Serv.Prest. 16/02/2026 a 22/02/2026 - PIX: CELULAR - CHAVE: (73) 99178-4624"</f>
        <v>Serv.Prest. 16/02/2026 a 22/02/2026 - PIX: CELULAR - CHAVE: (73) 99178-4624</v>
      </c>
      <c r="I720" t="str">
        <f t="shared" si="157"/>
        <v>05/03/2026</v>
      </c>
      <c r="J720" t="str">
        <f t="shared" si="153"/>
        <v>24/02/2026</v>
      </c>
      <c r="K720" t="str">
        <f>("05/03/2026")</f>
        <v>05/03/2026</v>
      </c>
      <c r="L720">
        <v>702</v>
      </c>
      <c r="M720">
        <v>702</v>
      </c>
      <c r="N720">
        <v>109</v>
      </c>
      <c r="O720" t="str">
        <f>"PAGAMENTO DE ENTREGADORES"</f>
        <v>PAGAMENTO DE ENTREGADORES</v>
      </c>
      <c r="P720">
        <v>702</v>
      </c>
      <c r="S720" t="str">
        <f>"BANCO C6 (149)"</f>
        <v>BANCO C6 (149)</v>
      </c>
      <c r="T720">
        <v>30202</v>
      </c>
      <c r="U720">
        <v>33714</v>
      </c>
      <c r="V720" t="s">
        <v>37</v>
      </c>
    </row>
    <row r="721" spans="1:22">
      <c r="A721" t="str">
        <f t="shared" si="154"/>
        <v>05/03/2026</v>
      </c>
      <c r="B721" t="str">
        <f t="shared" si="156"/>
        <v>SAÍDA</v>
      </c>
      <c r="C721" t="str">
        <f t="shared" si="159"/>
        <v>PIX</v>
      </c>
      <c r="D721" t="str">
        <f>"33714"</f>
        <v>33714</v>
      </c>
      <c r="E721" t="str">
        <f t="shared" si="155"/>
        <v>1</v>
      </c>
      <c r="F721" t="str">
        <f t="shared" si="158"/>
        <v>COM</v>
      </c>
      <c r="G721" t="str">
        <f>"MARCELO RODRIGUES DA SILVA (1194)"</f>
        <v>MARCELO RODRIGUES DA SILVA (1194)</v>
      </c>
      <c r="H721" t="s">
        <v>282</v>
      </c>
      <c r="I721" t="str">
        <f t="shared" si="157"/>
        <v>05/03/2026</v>
      </c>
      <c r="J721" t="str">
        <f t="shared" si="153"/>
        <v>24/02/2026</v>
      </c>
      <c r="K721">
        <v>46086</v>
      </c>
      <c r="N721">
        <v>109</v>
      </c>
      <c r="O721" t="s">
        <v>27</v>
      </c>
      <c r="Q721">
        <v>683.54</v>
      </c>
      <c r="R721" t="str">
        <f>"FARMÁCIA INDIANA LJ 145 (10068)"</f>
        <v>FARMÁCIA INDIANA LJ 145 (10068)</v>
      </c>
      <c r="S721" t="s">
        <v>37</v>
      </c>
      <c r="T721">
        <v>30202</v>
      </c>
      <c r="U721">
        <v>33714</v>
      </c>
      <c r="V721" t="s">
        <v>37</v>
      </c>
    </row>
    <row r="722" spans="1:22">
      <c r="A722" t="str">
        <f t="shared" si="154"/>
        <v>05/03/2026</v>
      </c>
      <c r="B722" t="str">
        <f t="shared" si="156"/>
        <v>SAÍDA</v>
      </c>
      <c r="C722" t="str">
        <f t="shared" si="159"/>
        <v>PIX</v>
      </c>
      <c r="D722" t="str">
        <f>"33714"</f>
        <v>33714</v>
      </c>
      <c r="E722" t="str">
        <f t="shared" si="155"/>
        <v>1</v>
      </c>
      <c r="F722" t="str">
        <f t="shared" si="158"/>
        <v>COM</v>
      </c>
      <c r="G722" t="str">
        <f>"MARCELO RODRIGUES DA SILVA (1194)"</f>
        <v>MARCELO RODRIGUES DA SILVA (1194)</v>
      </c>
      <c r="H722" t="s">
        <v>282</v>
      </c>
      <c r="I722" t="str">
        <f t="shared" si="157"/>
        <v>05/03/2026</v>
      </c>
      <c r="J722" t="str">
        <f t="shared" si="153"/>
        <v>24/02/2026</v>
      </c>
      <c r="K722">
        <v>46086</v>
      </c>
      <c r="N722">
        <v>109</v>
      </c>
      <c r="O722" t="s">
        <v>27</v>
      </c>
      <c r="Q722">
        <v>18.46</v>
      </c>
      <c r="R722" t="str">
        <f>"FARMÁCIA INDIANA LJ 155 (10273)"</f>
        <v>FARMÁCIA INDIANA LJ 155 (10273)</v>
      </c>
      <c r="S722" t="s">
        <v>37</v>
      </c>
      <c r="T722">
        <v>30202</v>
      </c>
      <c r="U722">
        <v>33714</v>
      </c>
      <c r="V722" t="s">
        <v>37</v>
      </c>
    </row>
    <row r="723" spans="1:22">
      <c r="A723" t="str">
        <f t="shared" si="154"/>
        <v>05/03/2026</v>
      </c>
      <c r="B723" t="str">
        <f t="shared" si="156"/>
        <v>SAÍDA</v>
      </c>
      <c r="C723" t="str">
        <f t="shared" si="159"/>
        <v>PIX</v>
      </c>
      <c r="D723" t="str">
        <f>"33715"</f>
        <v>33715</v>
      </c>
      <c r="E723" t="str">
        <f t="shared" si="155"/>
        <v>1</v>
      </c>
      <c r="F723" t="str">
        <f t="shared" si="158"/>
        <v>COM</v>
      </c>
      <c r="G723" t="str">
        <f>"MARIA ILZA PEREIRA DOS SANTOS (618)"</f>
        <v>MARIA ILZA PEREIRA DOS SANTOS (618)</v>
      </c>
      <c r="H723" t="str">
        <f>"Serv.Prest. 16/02/2026 a 22/02/2026 - PIX: CPF - CHAVE: 003.157.195-67"</f>
        <v>Serv.Prest. 16/02/2026 a 22/02/2026 - PIX: CPF - CHAVE: 003.157.195-67</v>
      </c>
      <c r="I723" t="str">
        <f t="shared" si="157"/>
        <v>05/03/2026</v>
      </c>
      <c r="J723" t="str">
        <f t="shared" si="153"/>
        <v>24/02/2026</v>
      </c>
      <c r="K723" t="str">
        <f>("05/03/2026")</f>
        <v>05/03/2026</v>
      </c>
      <c r="L723">
        <v>654</v>
      </c>
      <c r="M723">
        <v>654</v>
      </c>
      <c r="N723">
        <v>109</v>
      </c>
      <c r="O723" t="str">
        <f>"PAGAMENTO DE ENTREGADORES"</f>
        <v>PAGAMENTO DE ENTREGADORES</v>
      </c>
      <c r="P723">
        <v>654</v>
      </c>
      <c r="S723" t="str">
        <f>"BANCO C6 (149)"</f>
        <v>BANCO C6 (149)</v>
      </c>
      <c r="T723">
        <v>30203</v>
      </c>
      <c r="U723">
        <v>33715</v>
      </c>
      <c r="V723" t="s">
        <v>37</v>
      </c>
    </row>
    <row r="724" spans="1:22">
      <c r="A724" t="str">
        <f t="shared" si="154"/>
        <v>05/03/2026</v>
      </c>
      <c r="B724" t="str">
        <f t="shared" si="156"/>
        <v>SAÍDA</v>
      </c>
      <c r="C724" t="str">
        <f t="shared" si="159"/>
        <v>PIX</v>
      </c>
      <c r="D724" t="str">
        <f>"33715"</f>
        <v>33715</v>
      </c>
      <c r="E724" t="str">
        <f t="shared" si="155"/>
        <v>1</v>
      </c>
      <c r="F724" t="str">
        <f t="shared" si="158"/>
        <v>COM</v>
      </c>
      <c r="G724" t="str">
        <f>"MARIA ILZA PEREIRA DOS SANTOS (618)"</f>
        <v>MARIA ILZA PEREIRA DOS SANTOS (618)</v>
      </c>
      <c r="H724" t="s">
        <v>283</v>
      </c>
      <c r="I724" t="str">
        <f t="shared" si="157"/>
        <v>05/03/2026</v>
      </c>
      <c r="J724" t="str">
        <f t="shared" si="153"/>
        <v>24/02/2026</v>
      </c>
      <c r="K724">
        <v>46086</v>
      </c>
      <c r="N724">
        <v>109</v>
      </c>
      <c r="O724" t="s">
        <v>27</v>
      </c>
      <c r="Q724">
        <v>327</v>
      </c>
      <c r="R724" t="str">
        <f>"FARMÁCIA INDIANA LJ 65 (10030)"</f>
        <v>FARMÁCIA INDIANA LJ 65 (10030)</v>
      </c>
      <c r="S724" t="s">
        <v>37</v>
      </c>
      <c r="T724">
        <v>30203</v>
      </c>
      <c r="U724">
        <v>33715</v>
      </c>
      <c r="V724" t="s">
        <v>37</v>
      </c>
    </row>
    <row r="725" spans="1:22">
      <c r="A725" t="str">
        <f t="shared" si="154"/>
        <v>05/03/2026</v>
      </c>
      <c r="B725" t="str">
        <f t="shared" si="156"/>
        <v>SAÍDA</v>
      </c>
      <c r="C725" t="str">
        <f t="shared" si="159"/>
        <v>PIX</v>
      </c>
      <c r="D725" t="str">
        <f>"33715"</f>
        <v>33715</v>
      </c>
      <c r="E725" t="str">
        <f t="shared" si="155"/>
        <v>1</v>
      </c>
      <c r="F725" t="str">
        <f t="shared" si="158"/>
        <v>COM</v>
      </c>
      <c r="G725" t="str">
        <f>"MARIA ILZA PEREIRA DOS SANTOS (618)"</f>
        <v>MARIA ILZA PEREIRA DOS SANTOS (618)</v>
      </c>
      <c r="H725" t="s">
        <v>283</v>
      </c>
      <c r="I725" t="str">
        <f t="shared" si="157"/>
        <v>05/03/2026</v>
      </c>
      <c r="J725" t="str">
        <f t="shared" si="153"/>
        <v>24/02/2026</v>
      </c>
      <c r="K725">
        <v>46086</v>
      </c>
      <c r="N725">
        <v>109</v>
      </c>
      <c r="O725" t="s">
        <v>27</v>
      </c>
      <c r="Q725">
        <v>327</v>
      </c>
      <c r="R725" t="str">
        <f>"FARMÁCIA INDIANA LJ 173 (10075)"</f>
        <v>FARMÁCIA INDIANA LJ 173 (10075)</v>
      </c>
      <c r="S725" t="s">
        <v>37</v>
      </c>
      <c r="T725">
        <v>30203</v>
      </c>
      <c r="U725">
        <v>33715</v>
      </c>
      <c r="V725" t="s">
        <v>37</v>
      </c>
    </row>
    <row r="726" spans="1:22">
      <c r="A726" t="str">
        <f t="shared" si="154"/>
        <v>05/03/2026</v>
      </c>
      <c r="B726" t="str">
        <f t="shared" si="156"/>
        <v>SAÍDA</v>
      </c>
      <c r="C726" t="str">
        <f t="shared" si="159"/>
        <v>PIX</v>
      </c>
      <c r="D726" t="str">
        <f>"33716"</f>
        <v>33716</v>
      </c>
      <c r="E726" t="str">
        <f t="shared" si="155"/>
        <v>1</v>
      </c>
      <c r="F726" t="str">
        <f t="shared" si="158"/>
        <v>COM</v>
      </c>
      <c r="G726" t="str">
        <f>"MOABIO AZEVEDO DOS SANTOS (131)"</f>
        <v>MOABIO AZEVEDO DOS SANTOS (131)</v>
      </c>
      <c r="H726" t="str">
        <f>"Serv.Prest. 16/02/2026 a 22/02/2026 - PIX: CNPJ - CHAVE: 33.412.676/0001-41"</f>
        <v>Serv.Prest. 16/02/2026 a 22/02/2026 - PIX: CNPJ - CHAVE: 33.412.676/0001-41</v>
      </c>
      <c r="I726" t="str">
        <f t="shared" si="157"/>
        <v>05/03/2026</v>
      </c>
      <c r="J726" t="str">
        <f t="shared" ref="J726:J762" si="160">("24/02/2026")</f>
        <v>24/02/2026</v>
      </c>
      <c r="K726" t="str">
        <f>("05/03/2026")</f>
        <v>05/03/2026</v>
      </c>
      <c r="L726">
        <v>588</v>
      </c>
      <c r="M726">
        <v>588</v>
      </c>
      <c r="N726">
        <v>109</v>
      </c>
      <c r="O726" t="str">
        <f>"PAGAMENTO DE ENTREGADORES"</f>
        <v>PAGAMENTO DE ENTREGADORES</v>
      </c>
      <c r="P726">
        <v>588</v>
      </c>
      <c r="S726" t="str">
        <f>"BANCO C6 (149)"</f>
        <v>BANCO C6 (149)</v>
      </c>
      <c r="T726">
        <v>30204</v>
      </c>
      <c r="U726">
        <v>33716</v>
      </c>
      <c r="V726" t="s">
        <v>37</v>
      </c>
    </row>
    <row r="727" spans="1:22">
      <c r="A727" t="str">
        <f t="shared" si="154"/>
        <v>05/03/2026</v>
      </c>
      <c r="B727" t="str">
        <f t="shared" si="156"/>
        <v>SAÍDA</v>
      </c>
      <c r="C727" t="str">
        <f t="shared" si="159"/>
        <v>PIX</v>
      </c>
      <c r="D727" t="str">
        <f>"33716"</f>
        <v>33716</v>
      </c>
      <c r="E727" t="str">
        <f t="shared" si="155"/>
        <v>1</v>
      </c>
      <c r="F727" t="str">
        <f t="shared" si="158"/>
        <v>COM</v>
      </c>
      <c r="G727" t="str">
        <f>"MOABIO AZEVEDO DOS SANTOS (131)"</f>
        <v>MOABIO AZEVEDO DOS SANTOS (131)</v>
      </c>
      <c r="H727" t="s">
        <v>284</v>
      </c>
      <c r="I727" t="str">
        <f t="shared" si="157"/>
        <v>05/03/2026</v>
      </c>
      <c r="J727" t="str">
        <f t="shared" si="160"/>
        <v>24/02/2026</v>
      </c>
      <c r="K727">
        <v>46086</v>
      </c>
      <c r="N727">
        <v>109</v>
      </c>
      <c r="O727" t="s">
        <v>27</v>
      </c>
      <c r="Q727">
        <v>588</v>
      </c>
      <c r="R727" t="str">
        <f>"FARMÁCIA INDIANA LJ 91 (10037)"</f>
        <v>FARMÁCIA INDIANA LJ 91 (10037)</v>
      </c>
      <c r="S727" t="s">
        <v>37</v>
      </c>
      <c r="T727">
        <v>30204</v>
      </c>
      <c r="U727">
        <v>33716</v>
      </c>
      <c r="V727" t="s">
        <v>37</v>
      </c>
    </row>
    <row r="728" spans="1:22">
      <c r="A728" t="str">
        <f t="shared" si="154"/>
        <v>05/03/2026</v>
      </c>
      <c r="B728" t="str">
        <f t="shared" si="156"/>
        <v>SAÍDA</v>
      </c>
      <c r="C728" t="str">
        <f t="shared" si="159"/>
        <v>PIX</v>
      </c>
      <c r="D728" t="str">
        <f>"33717"</f>
        <v>33717</v>
      </c>
      <c r="E728" t="str">
        <f t="shared" si="155"/>
        <v>1</v>
      </c>
      <c r="F728" t="str">
        <f t="shared" si="158"/>
        <v>COM</v>
      </c>
      <c r="G728" t="str">
        <f>"NATANAEL AZEVEDO DOS SANTOS (765)"</f>
        <v>NATANAEL AZEVEDO DOS SANTOS (765)</v>
      </c>
      <c r="H728" t="str">
        <f>"Serv.Prest. 16/02/2026 a 22/02/2026 - PIX: CPF - CHAVE: 007.842.745-25"</f>
        <v>Serv.Prest. 16/02/2026 a 22/02/2026 - PIX: CPF - CHAVE: 007.842.745-25</v>
      </c>
      <c r="I728" t="str">
        <f t="shared" si="157"/>
        <v>05/03/2026</v>
      </c>
      <c r="J728" t="str">
        <f t="shared" si="160"/>
        <v>24/02/2026</v>
      </c>
      <c r="K728" t="str">
        <f>("05/03/2026")</f>
        <v>05/03/2026</v>
      </c>
      <c r="L728">
        <v>342</v>
      </c>
      <c r="M728">
        <v>546</v>
      </c>
      <c r="N728">
        <v>109</v>
      </c>
      <c r="O728" t="str">
        <f>"PAGAMENTO DE ENTREGADORES"</f>
        <v>PAGAMENTO DE ENTREGADORES</v>
      </c>
      <c r="P728">
        <v>546</v>
      </c>
      <c r="S728" t="str">
        <f>"BANCO C6 (149)"</f>
        <v>BANCO C6 (149)</v>
      </c>
      <c r="T728">
        <v>30205</v>
      </c>
      <c r="U728">
        <v>33717</v>
      </c>
      <c r="V728" t="s">
        <v>37</v>
      </c>
    </row>
    <row r="729" spans="1:22">
      <c r="A729" t="str">
        <f t="shared" si="154"/>
        <v>05/03/2026</v>
      </c>
      <c r="B729" t="str">
        <f t="shared" si="156"/>
        <v>SAÍDA</v>
      </c>
      <c r="C729" t="str">
        <f t="shared" si="159"/>
        <v>PIX</v>
      </c>
      <c r="D729" t="str">
        <f>"33717"</f>
        <v>33717</v>
      </c>
      <c r="E729" t="str">
        <f t="shared" si="155"/>
        <v>1</v>
      </c>
      <c r="F729" t="str">
        <f t="shared" si="158"/>
        <v>COM</v>
      </c>
      <c r="G729" t="str">
        <f>"NATANAEL AZEVEDO DOS SANTOS (765)"</f>
        <v>NATANAEL AZEVEDO DOS SANTOS (765)</v>
      </c>
      <c r="H729" t="s">
        <v>285</v>
      </c>
      <c r="I729" t="str">
        <f t="shared" si="157"/>
        <v>05/03/2026</v>
      </c>
      <c r="J729" t="str">
        <f t="shared" si="160"/>
        <v>24/02/2026</v>
      </c>
      <c r="K729">
        <v>46086</v>
      </c>
      <c r="N729">
        <v>109</v>
      </c>
      <c r="O729" t="s">
        <v>27</v>
      </c>
      <c r="Q729">
        <v>546</v>
      </c>
      <c r="R729" t="str">
        <f>"FARMÁCIA INDIANA LJ 91 (10037)"</f>
        <v>FARMÁCIA INDIANA LJ 91 (10037)</v>
      </c>
      <c r="S729" t="s">
        <v>37</v>
      </c>
      <c r="T729">
        <v>30205</v>
      </c>
      <c r="U729">
        <v>33717</v>
      </c>
      <c r="V729" t="s">
        <v>37</v>
      </c>
    </row>
    <row r="730" spans="1:22">
      <c r="A730" t="str">
        <f t="shared" si="154"/>
        <v>05/03/2026</v>
      </c>
      <c r="B730" t="str">
        <f t="shared" si="156"/>
        <v>SAÍDA</v>
      </c>
      <c r="C730" t="str">
        <f t="shared" si="159"/>
        <v>PIX</v>
      </c>
      <c r="D730" t="str">
        <f>"33718"</f>
        <v>33718</v>
      </c>
      <c r="E730" t="str">
        <f t="shared" si="155"/>
        <v>1</v>
      </c>
      <c r="F730" t="str">
        <f t="shared" si="158"/>
        <v>COM</v>
      </c>
      <c r="G730" t="str">
        <f>"NEILTON SILVA (1281)"</f>
        <v>NEILTON SILVA (1281)</v>
      </c>
      <c r="H730" t="str">
        <f>"Serv.Prest. 16/02/2026 a 22/02/2026 - PIX: CELULAR - CHAVE: (73) 99948-4152"</f>
        <v>Serv.Prest. 16/02/2026 a 22/02/2026 - PIX: CELULAR - CHAVE: (73) 99948-4152</v>
      </c>
      <c r="I730" t="str">
        <f t="shared" si="157"/>
        <v>05/03/2026</v>
      </c>
      <c r="J730" t="str">
        <f t="shared" si="160"/>
        <v>24/02/2026</v>
      </c>
      <c r="K730" t="str">
        <f>("05/03/2026")</f>
        <v>05/03/2026</v>
      </c>
      <c r="L730">
        <v>102</v>
      </c>
      <c r="M730">
        <v>102</v>
      </c>
      <c r="N730">
        <v>109</v>
      </c>
      <c r="O730" t="str">
        <f>"PAGAMENTO DE ENTREGADORES"</f>
        <v>PAGAMENTO DE ENTREGADORES</v>
      </c>
      <c r="P730">
        <v>102</v>
      </c>
      <c r="S730" t="str">
        <f>"BANCO C6 (149)"</f>
        <v>BANCO C6 (149)</v>
      </c>
      <c r="T730">
        <v>30206</v>
      </c>
      <c r="U730">
        <v>33718</v>
      </c>
      <c r="V730" t="s">
        <v>37</v>
      </c>
    </row>
    <row r="731" spans="1:22">
      <c r="A731" t="str">
        <f t="shared" si="154"/>
        <v>05/03/2026</v>
      </c>
      <c r="B731" t="str">
        <f t="shared" si="156"/>
        <v>SAÍDA</v>
      </c>
      <c r="C731" t="str">
        <f t="shared" si="159"/>
        <v>PIX</v>
      </c>
      <c r="D731" t="str">
        <f>"33718"</f>
        <v>33718</v>
      </c>
      <c r="E731" t="str">
        <f t="shared" si="155"/>
        <v>1</v>
      </c>
      <c r="F731" t="str">
        <f t="shared" si="158"/>
        <v>COM</v>
      </c>
      <c r="G731" t="str">
        <f>"NEILTON SILVA (1281)"</f>
        <v>NEILTON SILVA (1281)</v>
      </c>
      <c r="H731" t="s">
        <v>286</v>
      </c>
      <c r="I731" t="str">
        <f t="shared" si="157"/>
        <v>05/03/2026</v>
      </c>
      <c r="J731" t="str">
        <f t="shared" si="160"/>
        <v>24/02/2026</v>
      </c>
      <c r="K731">
        <v>46086</v>
      </c>
      <c r="N731">
        <v>109</v>
      </c>
      <c r="O731" t="s">
        <v>27</v>
      </c>
      <c r="Q731">
        <v>102</v>
      </c>
      <c r="R731" t="str">
        <f>"FARMÁCIA INDIANA LJ 91 (10037)"</f>
        <v>FARMÁCIA INDIANA LJ 91 (10037)</v>
      </c>
      <c r="S731" t="s">
        <v>37</v>
      </c>
      <c r="T731">
        <v>30206</v>
      </c>
      <c r="U731">
        <v>33718</v>
      </c>
      <c r="V731" t="s">
        <v>37</v>
      </c>
    </row>
    <row r="732" spans="1:22">
      <c r="A732" t="str">
        <f t="shared" si="154"/>
        <v>05/03/2026</v>
      </c>
      <c r="B732" t="str">
        <f t="shared" si="156"/>
        <v>SAÍDA</v>
      </c>
      <c r="C732" t="str">
        <f t="shared" si="159"/>
        <v>PIX</v>
      </c>
      <c r="D732" t="str">
        <f>"33719"</f>
        <v>33719</v>
      </c>
      <c r="E732" t="str">
        <f t="shared" si="155"/>
        <v>1</v>
      </c>
      <c r="F732" t="str">
        <f t="shared" si="158"/>
        <v>COM</v>
      </c>
      <c r="G732" t="str">
        <f>"OSVALDO DOS SANTOS (163)"</f>
        <v>OSVALDO DOS SANTOS (163)</v>
      </c>
      <c r="H732" t="str">
        <f>"Serv.Prest. 16/02/2026 a 22/02/2026 - PIX: CELULAR - CHAVE: (73) 99977-2721"</f>
        <v>Serv.Prest. 16/02/2026 a 22/02/2026 - PIX: CELULAR - CHAVE: (73) 99977-2721</v>
      </c>
      <c r="I732" t="str">
        <f t="shared" si="157"/>
        <v>05/03/2026</v>
      </c>
      <c r="J732" t="str">
        <f t="shared" si="160"/>
        <v>24/02/2026</v>
      </c>
      <c r="K732" t="str">
        <f>("05/03/2026")</f>
        <v>05/03/2026</v>
      </c>
      <c r="L732">
        <v>600</v>
      </c>
      <c r="M732">
        <v>600</v>
      </c>
      <c r="N732">
        <v>109</v>
      </c>
      <c r="O732" t="str">
        <f>"PAGAMENTO DE ENTREGADORES"</f>
        <v>PAGAMENTO DE ENTREGADORES</v>
      </c>
      <c r="P732">
        <v>600</v>
      </c>
      <c r="S732" t="str">
        <f>"BANCO C6 (149)"</f>
        <v>BANCO C6 (149)</v>
      </c>
      <c r="T732">
        <v>30207</v>
      </c>
      <c r="U732">
        <v>33719</v>
      </c>
      <c r="V732" t="s">
        <v>37</v>
      </c>
    </row>
    <row r="733" spans="1:22">
      <c r="A733" t="str">
        <f t="shared" si="154"/>
        <v>05/03/2026</v>
      </c>
      <c r="B733" t="str">
        <f t="shared" si="156"/>
        <v>SAÍDA</v>
      </c>
      <c r="C733" t="str">
        <f t="shared" si="159"/>
        <v>PIX</v>
      </c>
      <c r="D733" t="str">
        <f>"33719"</f>
        <v>33719</v>
      </c>
      <c r="E733" t="str">
        <f t="shared" si="155"/>
        <v>1</v>
      </c>
      <c r="F733" t="str">
        <f t="shared" si="158"/>
        <v>COM</v>
      </c>
      <c r="G733" t="str">
        <f>"OSVALDO DOS SANTOS (163)"</f>
        <v>OSVALDO DOS SANTOS (163)</v>
      </c>
      <c r="H733" t="s">
        <v>287</v>
      </c>
      <c r="I733" t="str">
        <f t="shared" si="157"/>
        <v>05/03/2026</v>
      </c>
      <c r="J733" t="str">
        <f t="shared" si="160"/>
        <v>24/02/2026</v>
      </c>
      <c r="K733">
        <v>46086</v>
      </c>
      <c r="N733">
        <v>109</v>
      </c>
      <c r="O733" t="s">
        <v>27</v>
      </c>
      <c r="Q733">
        <v>600</v>
      </c>
      <c r="R733" t="str">
        <f>"FARMÁCIA INDIANA LJ 35 (10015)"</f>
        <v>FARMÁCIA INDIANA LJ 35 (10015)</v>
      </c>
      <c r="S733" t="s">
        <v>37</v>
      </c>
      <c r="T733">
        <v>30207</v>
      </c>
      <c r="U733">
        <v>33719</v>
      </c>
      <c r="V733" t="s">
        <v>37</v>
      </c>
    </row>
    <row r="734" spans="1:22">
      <c r="A734" t="str">
        <f t="shared" si="154"/>
        <v>05/03/2026</v>
      </c>
      <c r="B734" t="str">
        <f t="shared" si="156"/>
        <v>SAÍDA</v>
      </c>
      <c r="C734" t="str">
        <f t="shared" si="159"/>
        <v>PIX</v>
      </c>
      <c r="D734" t="str">
        <f>"33722"</f>
        <v>33722</v>
      </c>
      <c r="E734" t="str">
        <f t="shared" si="155"/>
        <v>1</v>
      </c>
      <c r="F734" t="str">
        <f t="shared" si="158"/>
        <v>COM</v>
      </c>
      <c r="G734" t="str">
        <f>"TALLES SILVA GUIMARAES (1098)"</f>
        <v>TALLES SILVA GUIMARAES (1098)</v>
      </c>
      <c r="H734" t="str">
        <f>"Serv.Prest. 16/02/2026 a 22/02/2026 - PIX: CPF - CHAVE: 072.209.985-11"</f>
        <v>Serv.Prest. 16/02/2026 a 22/02/2026 - PIX: CPF - CHAVE: 072.209.985-11</v>
      </c>
      <c r="I734" t="str">
        <f t="shared" si="157"/>
        <v>05/03/2026</v>
      </c>
      <c r="J734" t="str">
        <f t="shared" si="160"/>
        <v>24/02/2026</v>
      </c>
      <c r="K734" t="str">
        <f>("05/03/2026")</f>
        <v>05/03/2026</v>
      </c>
      <c r="L734">
        <v>600</v>
      </c>
      <c r="M734">
        <v>600</v>
      </c>
      <c r="N734">
        <v>109</v>
      </c>
      <c r="O734" t="str">
        <f>"PAGAMENTO DE ENTREGADORES"</f>
        <v>PAGAMENTO DE ENTREGADORES</v>
      </c>
      <c r="P734">
        <v>600</v>
      </c>
      <c r="S734" t="str">
        <f>"BANCO C6 (149)"</f>
        <v>BANCO C6 (149)</v>
      </c>
      <c r="T734">
        <v>30208</v>
      </c>
      <c r="U734">
        <v>33722</v>
      </c>
      <c r="V734" t="s">
        <v>37</v>
      </c>
    </row>
    <row r="735" spans="1:22">
      <c r="A735" t="str">
        <f t="shared" si="154"/>
        <v>05/03/2026</v>
      </c>
      <c r="B735" t="str">
        <f t="shared" si="156"/>
        <v>SAÍDA</v>
      </c>
      <c r="C735" t="str">
        <f t="shared" si="159"/>
        <v>PIX</v>
      </c>
      <c r="D735" t="str">
        <f>"33722"</f>
        <v>33722</v>
      </c>
      <c r="E735" t="str">
        <f t="shared" si="155"/>
        <v>1</v>
      </c>
      <c r="F735" t="str">
        <f t="shared" si="158"/>
        <v>COM</v>
      </c>
      <c r="G735" t="str">
        <f>"TALLES SILVA GUIMARAES (1098)"</f>
        <v>TALLES SILVA GUIMARAES (1098)</v>
      </c>
      <c r="H735" t="s">
        <v>288</v>
      </c>
      <c r="I735" t="str">
        <f t="shared" si="157"/>
        <v>05/03/2026</v>
      </c>
      <c r="J735" t="str">
        <f t="shared" si="160"/>
        <v>24/02/2026</v>
      </c>
      <c r="K735">
        <v>46086</v>
      </c>
      <c r="N735">
        <v>109</v>
      </c>
      <c r="O735" t="s">
        <v>27</v>
      </c>
      <c r="Q735">
        <v>600</v>
      </c>
      <c r="R735" t="str">
        <f>"FARMÁCIA INDIANA LJ 213 (10090)"</f>
        <v>FARMÁCIA INDIANA LJ 213 (10090)</v>
      </c>
      <c r="S735" t="s">
        <v>37</v>
      </c>
      <c r="T735">
        <v>30208</v>
      </c>
      <c r="U735">
        <v>33722</v>
      </c>
      <c r="V735" t="s">
        <v>37</v>
      </c>
    </row>
    <row r="736" spans="1:22">
      <c r="A736" t="str">
        <f t="shared" ref="A736:A799" si="161">("05/03/2026")</f>
        <v>05/03/2026</v>
      </c>
      <c r="B736" t="str">
        <f t="shared" si="156"/>
        <v>SAÍDA</v>
      </c>
      <c r="C736" t="str">
        <f t="shared" si="159"/>
        <v>PIX</v>
      </c>
      <c r="D736" t="str">
        <f>"33723"</f>
        <v>33723</v>
      </c>
      <c r="E736" t="str">
        <f t="shared" si="155"/>
        <v>1</v>
      </c>
      <c r="F736" t="str">
        <f t="shared" si="158"/>
        <v>COM</v>
      </c>
      <c r="G736" t="str">
        <f>"VINICIUS SANTOS PEREIRA (633)"</f>
        <v>VINICIUS SANTOS PEREIRA (633)</v>
      </c>
      <c r="H736" t="str">
        <f>"Serv.Prest. 16/02/2026 a 22/02/2026 - PIX: CELULAR - CHAVE: (73) 99818-9718"</f>
        <v>Serv.Prest. 16/02/2026 a 22/02/2026 - PIX: CELULAR - CHAVE: (73) 99818-9718</v>
      </c>
      <c r="I736" t="str">
        <f t="shared" si="157"/>
        <v>05/03/2026</v>
      </c>
      <c r="J736" t="str">
        <f t="shared" si="160"/>
        <v>24/02/2026</v>
      </c>
      <c r="K736" t="str">
        <f>("05/03/2026")</f>
        <v>05/03/2026</v>
      </c>
      <c r="L736">
        <v>1139</v>
      </c>
      <c r="M736">
        <v>1139</v>
      </c>
      <c r="N736">
        <v>109</v>
      </c>
      <c r="O736" t="str">
        <f>"PAGAMENTO DE ENTREGADORES"</f>
        <v>PAGAMENTO DE ENTREGADORES</v>
      </c>
      <c r="P736">
        <v>1139</v>
      </c>
      <c r="S736" t="str">
        <f>"BANCO C6 (149)"</f>
        <v>BANCO C6 (149)</v>
      </c>
      <c r="T736">
        <v>30209</v>
      </c>
      <c r="U736">
        <v>33723</v>
      </c>
      <c r="V736" t="s">
        <v>37</v>
      </c>
    </row>
    <row r="737" spans="1:22">
      <c r="A737" t="str">
        <f t="shared" si="161"/>
        <v>05/03/2026</v>
      </c>
      <c r="B737" t="str">
        <f t="shared" si="156"/>
        <v>SAÍDA</v>
      </c>
      <c r="C737" t="str">
        <f t="shared" si="159"/>
        <v>PIX</v>
      </c>
      <c r="D737" t="str">
        <f>"33723"</f>
        <v>33723</v>
      </c>
      <c r="E737" t="str">
        <f t="shared" si="155"/>
        <v>1</v>
      </c>
      <c r="F737" t="str">
        <f t="shared" si="158"/>
        <v>COM</v>
      </c>
      <c r="G737" t="str">
        <f>"VINICIUS SANTOS PEREIRA (633)"</f>
        <v>VINICIUS SANTOS PEREIRA (633)</v>
      </c>
      <c r="H737" t="s">
        <v>289</v>
      </c>
      <c r="I737" t="str">
        <f t="shared" si="157"/>
        <v>05/03/2026</v>
      </c>
      <c r="J737" t="str">
        <f t="shared" si="160"/>
        <v>24/02/2026</v>
      </c>
      <c r="K737">
        <v>46086</v>
      </c>
      <c r="N737">
        <v>109</v>
      </c>
      <c r="O737" t="s">
        <v>27</v>
      </c>
      <c r="Q737">
        <v>1139</v>
      </c>
      <c r="R737" t="str">
        <f>"FARMÁCIA INDIANA LJ 95 (10039)"</f>
        <v>FARMÁCIA INDIANA LJ 95 (10039)</v>
      </c>
      <c r="S737" t="s">
        <v>37</v>
      </c>
      <c r="T737">
        <v>30209</v>
      </c>
      <c r="U737">
        <v>33723</v>
      </c>
      <c r="V737" t="s">
        <v>37</v>
      </c>
    </row>
    <row r="738" spans="1:22">
      <c r="A738" t="str">
        <f t="shared" si="161"/>
        <v>05/03/2026</v>
      </c>
      <c r="B738" t="str">
        <f t="shared" si="156"/>
        <v>SAÍDA</v>
      </c>
      <c r="C738" t="str">
        <f t="shared" si="159"/>
        <v>PIX</v>
      </c>
      <c r="D738" t="str">
        <f>"33724"</f>
        <v>33724</v>
      </c>
      <c r="E738" t="str">
        <f t="shared" si="155"/>
        <v>1</v>
      </c>
      <c r="F738" t="str">
        <f t="shared" si="158"/>
        <v>COM</v>
      </c>
      <c r="G738" t="str">
        <f>"WESLEI GONÇALVES SANTOS (154)"</f>
        <v>WESLEI GONÇALVES SANTOS (154)</v>
      </c>
      <c r="H738" t="str">
        <f>"Serv.Prest. 16/02/2026 a 22/02/2026 - PIX: CPF - CHAVE: 079.068.045-97"</f>
        <v>Serv.Prest. 16/02/2026 a 22/02/2026 - PIX: CPF - CHAVE: 079.068.045-97</v>
      </c>
      <c r="I738" t="str">
        <f t="shared" si="157"/>
        <v>05/03/2026</v>
      </c>
      <c r="J738" t="str">
        <f t="shared" si="160"/>
        <v>24/02/2026</v>
      </c>
      <c r="K738" t="str">
        <f>("05/03/2026")</f>
        <v>05/03/2026</v>
      </c>
      <c r="L738">
        <v>600.66</v>
      </c>
      <c r="M738">
        <v>600.66</v>
      </c>
      <c r="N738">
        <v>109</v>
      </c>
      <c r="O738" t="str">
        <f>"PAGAMENTO DE ENTREGADORES"</f>
        <v>PAGAMENTO DE ENTREGADORES</v>
      </c>
      <c r="P738">
        <v>600.66</v>
      </c>
      <c r="S738" t="str">
        <f>"BANCO C6 (149)"</f>
        <v>BANCO C6 (149)</v>
      </c>
      <c r="T738">
        <v>30210</v>
      </c>
      <c r="U738">
        <v>33724</v>
      </c>
      <c r="V738" t="s">
        <v>37</v>
      </c>
    </row>
    <row r="739" spans="1:22">
      <c r="A739" t="str">
        <f t="shared" si="161"/>
        <v>05/03/2026</v>
      </c>
      <c r="B739" t="str">
        <f t="shared" si="156"/>
        <v>SAÍDA</v>
      </c>
      <c r="C739" t="str">
        <f t="shared" si="159"/>
        <v>PIX</v>
      </c>
      <c r="D739" t="str">
        <f>"33724"</f>
        <v>33724</v>
      </c>
      <c r="E739" t="str">
        <f t="shared" si="155"/>
        <v>1</v>
      </c>
      <c r="F739" t="str">
        <f t="shared" si="158"/>
        <v>COM</v>
      </c>
      <c r="G739" t="str">
        <f>"WESLEI GONÇALVES SANTOS (154)"</f>
        <v>WESLEI GONÇALVES SANTOS (154)</v>
      </c>
      <c r="H739" t="s">
        <v>290</v>
      </c>
      <c r="I739" t="str">
        <f t="shared" si="157"/>
        <v>05/03/2026</v>
      </c>
      <c r="J739" t="str">
        <f t="shared" si="160"/>
        <v>24/02/2026</v>
      </c>
      <c r="K739">
        <v>46086</v>
      </c>
      <c r="N739">
        <v>109</v>
      </c>
      <c r="O739" t="s">
        <v>27</v>
      </c>
      <c r="Q739">
        <v>600.66</v>
      </c>
      <c r="R739" t="str">
        <f>"FARMÁCIA INDIANA LJ 34 (10014)"</f>
        <v>FARMÁCIA INDIANA LJ 34 (10014)</v>
      </c>
      <c r="S739" t="s">
        <v>37</v>
      </c>
      <c r="T739">
        <v>30210</v>
      </c>
      <c r="U739">
        <v>33724</v>
      </c>
      <c r="V739" t="s">
        <v>37</v>
      </c>
    </row>
    <row r="740" spans="1:22">
      <c r="A740" t="str">
        <f t="shared" si="161"/>
        <v>05/03/2026</v>
      </c>
      <c r="B740" t="str">
        <f t="shared" si="156"/>
        <v>SAÍDA</v>
      </c>
      <c r="C740" t="str">
        <f t="shared" si="159"/>
        <v>PIX</v>
      </c>
      <c r="D740" t="str">
        <f>"33725"</f>
        <v>33725</v>
      </c>
      <c r="E740" t="str">
        <f t="shared" si="155"/>
        <v>1</v>
      </c>
      <c r="F740" t="str">
        <f t="shared" si="158"/>
        <v>COM</v>
      </c>
      <c r="G740" t="str">
        <f>"YAN BRENDO CORREIA VIEIRA (861)"</f>
        <v>YAN BRENDO CORREIA VIEIRA (861)</v>
      </c>
      <c r="H740" t="str">
        <f>"Serv.Prest. 16/02/2026 a 22/02/2026 - PIX: CPF - CHAVE: 096.891.935-97"</f>
        <v>Serv.Prest. 16/02/2026 a 22/02/2026 - PIX: CPF - CHAVE: 096.891.935-97</v>
      </c>
      <c r="I740" t="str">
        <f t="shared" si="157"/>
        <v>05/03/2026</v>
      </c>
      <c r="J740" t="str">
        <f t="shared" si="160"/>
        <v>24/02/2026</v>
      </c>
      <c r="K740" t="str">
        <f>("05/03/2026")</f>
        <v>05/03/2026</v>
      </c>
      <c r="L740">
        <v>800</v>
      </c>
      <c r="M740">
        <v>800</v>
      </c>
      <c r="N740">
        <v>109</v>
      </c>
      <c r="O740" t="str">
        <f>"PAGAMENTO DE ENTREGADORES"</f>
        <v>PAGAMENTO DE ENTREGADORES</v>
      </c>
      <c r="P740">
        <v>800</v>
      </c>
      <c r="S740" t="str">
        <f>"BANCO C6 (149)"</f>
        <v>BANCO C6 (149)</v>
      </c>
      <c r="T740">
        <v>30211</v>
      </c>
      <c r="U740">
        <v>33725</v>
      </c>
      <c r="V740" t="s">
        <v>37</v>
      </c>
    </row>
    <row r="741" spans="1:22">
      <c r="A741" t="str">
        <f t="shared" si="161"/>
        <v>05/03/2026</v>
      </c>
      <c r="B741" t="str">
        <f t="shared" si="156"/>
        <v>SAÍDA</v>
      </c>
      <c r="C741" t="str">
        <f t="shared" si="159"/>
        <v>PIX</v>
      </c>
      <c r="D741" t="str">
        <f>"33725"</f>
        <v>33725</v>
      </c>
      <c r="E741" t="str">
        <f t="shared" si="155"/>
        <v>1</v>
      </c>
      <c r="F741" t="str">
        <f t="shared" si="158"/>
        <v>COM</v>
      </c>
      <c r="G741" t="str">
        <f>"YAN BRENDO CORREIA VIEIRA (861)"</f>
        <v>YAN BRENDO CORREIA VIEIRA (861)</v>
      </c>
      <c r="H741" t="s">
        <v>291</v>
      </c>
      <c r="I741" t="str">
        <f t="shared" si="157"/>
        <v>05/03/2026</v>
      </c>
      <c r="J741" t="str">
        <f t="shared" si="160"/>
        <v>24/02/2026</v>
      </c>
      <c r="K741">
        <v>46086</v>
      </c>
      <c r="N741">
        <v>109</v>
      </c>
      <c r="O741" t="s">
        <v>27</v>
      </c>
      <c r="Q741">
        <v>800</v>
      </c>
      <c r="R741" t="str">
        <f>"FARMÁCIA INDIANA LJ 200 (10155)"</f>
        <v>FARMÁCIA INDIANA LJ 200 (10155)</v>
      </c>
      <c r="S741" t="s">
        <v>37</v>
      </c>
      <c r="T741">
        <v>30211</v>
      </c>
      <c r="U741">
        <v>33725</v>
      </c>
      <c r="V741" t="s">
        <v>37</v>
      </c>
    </row>
    <row r="742" spans="1:22">
      <c r="A742" t="str">
        <f t="shared" si="161"/>
        <v>05/03/2026</v>
      </c>
      <c r="B742" t="str">
        <f t="shared" si="156"/>
        <v>SAÍDA</v>
      </c>
      <c r="C742" t="str">
        <f t="shared" si="159"/>
        <v>PIX</v>
      </c>
      <c r="D742" t="str">
        <f>"33730"</f>
        <v>33730</v>
      </c>
      <c r="E742" t="str">
        <f t="shared" si="155"/>
        <v>1</v>
      </c>
      <c r="F742" t="str">
        <f t="shared" si="158"/>
        <v>COM</v>
      </c>
      <c r="G742" t="str">
        <f>"CLEIDIVAN SALOMÃO DOS SANTOS (982)"</f>
        <v>CLEIDIVAN SALOMÃO DOS SANTOS (982)</v>
      </c>
      <c r="H742" t="str">
        <f>"Serv.Prest. 16/02/2026 a 22/02/2026 - PIX: CELULAR - CHAVE: (27) 99657-5904"</f>
        <v>Serv.Prest. 16/02/2026 a 22/02/2026 - PIX: CELULAR - CHAVE: (27) 99657-5904</v>
      </c>
      <c r="I742" t="str">
        <f t="shared" si="157"/>
        <v>05/03/2026</v>
      </c>
      <c r="J742" t="str">
        <f t="shared" si="160"/>
        <v>24/02/2026</v>
      </c>
      <c r="K742" t="str">
        <f>("05/03/2026")</f>
        <v>05/03/2026</v>
      </c>
      <c r="L742">
        <v>935</v>
      </c>
      <c r="M742">
        <v>935</v>
      </c>
      <c r="N742">
        <v>109</v>
      </c>
      <c r="O742" t="str">
        <f>"PAGAMENTO DE ENTREGADORES"</f>
        <v>PAGAMENTO DE ENTREGADORES</v>
      </c>
      <c r="P742">
        <v>935</v>
      </c>
      <c r="S742" t="str">
        <f>"BANCO C6 (149)"</f>
        <v>BANCO C6 (149)</v>
      </c>
      <c r="T742">
        <v>30212</v>
      </c>
      <c r="U742">
        <v>33730</v>
      </c>
      <c r="V742" t="s">
        <v>37</v>
      </c>
    </row>
    <row r="743" spans="1:22">
      <c r="A743" t="str">
        <f t="shared" si="161"/>
        <v>05/03/2026</v>
      </c>
      <c r="B743" t="str">
        <f t="shared" si="156"/>
        <v>SAÍDA</v>
      </c>
      <c r="C743" t="str">
        <f t="shared" si="159"/>
        <v>PIX</v>
      </c>
      <c r="D743" t="str">
        <f>"33730"</f>
        <v>33730</v>
      </c>
      <c r="E743" t="str">
        <f t="shared" si="155"/>
        <v>1</v>
      </c>
      <c r="F743" t="str">
        <f t="shared" si="158"/>
        <v>COM</v>
      </c>
      <c r="G743" t="str">
        <f>"CLEIDIVAN SALOMÃO DOS SANTOS (982)"</f>
        <v>CLEIDIVAN SALOMÃO DOS SANTOS (982)</v>
      </c>
      <c r="H743" t="s">
        <v>292</v>
      </c>
      <c r="I743" t="str">
        <f t="shared" si="157"/>
        <v>05/03/2026</v>
      </c>
      <c r="J743" t="str">
        <f t="shared" si="160"/>
        <v>24/02/2026</v>
      </c>
      <c r="K743">
        <v>46086</v>
      </c>
      <c r="N743">
        <v>109</v>
      </c>
      <c r="O743" t="s">
        <v>27</v>
      </c>
      <c r="Q743">
        <v>400.74</v>
      </c>
      <c r="R743" t="str">
        <f>"FARMÁCIA INDIANA LJ 243 (10142)"</f>
        <v>FARMÁCIA INDIANA LJ 243 (10142)</v>
      </c>
      <c r="S743" t="s">
        <v>37</v>
      </c>
      <c r="T743">
        <v>30212</v>
      </c>
      <c r="U743">
        <v>33730</v>
      </c>
      <c r="V743" t="s">
        <v>37</v>
      </c>
    </row>
    <row r="744" spans="1:22">
      <c r="A744" t="str">
        <f t="shared" si="161"/>
        <v>05/03/2026</v>
      </c>
      <c r="B744" t="str">
        <f t="shared" si="156"/>
        <v>SAÍDA</v>
      </c>
      <c r="C744" t="str">
        <f t="shared" si="159"/>
        <v>PIX</v>
      </c>
      <c r="D744" t="str">
        <f>"33730"</f>
        <v>33730</v>
      </c>
      <c r="E744" t="str">
        <f t="shared" si="155"/>
        <v>1</v>
      </c>
      <c r="F744" t="str">
        <f t="shared" si="158"/>
        <v>COM</v>
      </c>
      <c r="G744" t="str">
        <f>"CLEIDIVAN SALOMÃO DOS SANTOS (982)"</f>
        <v>CLEIDIVAN SALOMÃO DOS SANTOS (982)</v>
      </c>
      <c r="H744" t="s">
        <v>292</v>
      </c>
      <c r="I744" t="str">
        <f t="shared" si="157"/>
        <v>05/03/2026</v>
      </c>
      <c r="J744" t="str">
        <f t="shared" si="160"/>
        <v>24/02/2026</v>
      </c>
      <c r="K744">
        <v>46086</v>
      </c>
      <c r="N744">
        <v>109</v>
      </c>
      <c r="O744" t="s">
        <v>27</v>
      </c>
      <c r="Q744">
        <v>534.26</v>
      </c>
      <c r="R744" t="str">
        <f>"FARMÁCIA INDIANA LJ 235 (10190)"</f>
        <v>FARMÁCIA INDIANA LJ 235 (10190)</v>
      </c>
      <c r="S744" t="s">
        <v>37</v>
      </c>
      <c r="T744">
        <v>30212</v>
      </c>
      <c r="U744">
        <v>33730</v>
      </c>
      <c r="V744" t="s">
        <v>37</v>
      </c>
    </row>
    <row r="745" spans="1:22">
      <c r="A745" t="str">
        <f t="shared" si="161"/>
        <v>05/03/2026</v>
      </c>
      <c r="B745" t="str">
        <f t="shared" si="156"/>
        <v>SAÍDA</v>
      </c>
      <c r="C745" t="str">
        <f t="shared" si="159"/>
        <v>PIX</v>
      </c>
      <c r="D745" t="str">
        <f>"33731"</f>
        <v>33731</v>
      </c>
      <c r="E745" t="str">
        <f t="shared" si="155"/>
        <v>1</v>
      </c>
      <c r="F745" t="str">
        <f t="shared" si="158"/>
        <v>COM</v>
      </c>
      <c r="G745" t="str">
        <f>"DANILO ROCHA SILVA (162)"</f>
        <v>DANILO ROCHA SILVA (162)</v>
      </c>
      <c r="H745" t="str">
        <f>"Serv.Prest. 16/02/2026 a 22/02/2026 - PIX: CELULAR - CHAVE: (27) 99811-6850"</f>
        <v>Serv.Prest. 16/02/2026 a 22/02/2026 - PIX: CELULAR - CHAVE: (27) 99811-6850</v>
      </c>
      <c r="I745" t="str">
        <f t="shared" si="157"/>
        <v>05/03/2026</v>
      </c>
      <c r="J745" t="str">
        <f t="shared" si="160"/>
        <v>24/02/2026</v>
      </c>
      <c r="K745" t="str">
        <f>("05/03/2026")</f>
        <v>05/03/2026</v>
      </c>
      <c r="L745">
        <v>1179</v>
      </c>
      <c r="M745">
        <v>1179</v>
      </c>
      <c r="N745">
        <v>109</v>
      </c>
      <c r="O745" t="str">
        <f>"PAGAMENTO DE ENTREGADORES"</f>
        <v>PAGAMENTO DE ENTREGADORES</v>
      </c>
      <c r="P745">
        <v>1179</v>
      </c>
      <c r="S745" t="str">
        <f>"BANCO C6 (149)"</f>
        <v>BANCO C6 (149)</v>
      </c>
      <c r="T745">
        <v>30213</v>
      </c>
      <c r="U745">
        <v>33731</v>
      </c>
      <c r="V745" t="s">
        <v>37</v>
      </c>
    </row>
    <row r="746" spans="1:22">
      <c r="A746" t="str">
        <f t="shared" si="161"/>
        <v>05/03/2026</v>
      </c>
      <c r="B746" t="str">
        <f t="shared" si="156"/>
        <v>SAÍDA</v>
      </c>
      <c r="C746" t="str">
        <f t="shared" si="159"/>
        <v>PIX</v>
      </c>
      <c r="D746" t="str">
        <f>"33731"</f>
        <v>33731</v>
      </c>
      <c r="E746" t="str">
        <f t="shared" si="155"/>
        <v>1</v>
      </c>
      <c r="F746" t="str">
        <f t="shared" si="158"/>
        <v>COM</v>
      </c>
      <c r="G746" t="str">
        <f>"DANILO ROCHA SILVA (162)"</f>
        <v>DANILO ROCHA SILVA (162)</v>
      </c>
      <c r="H746" t="s">
        <v>293</v>
      </c>
      <c r="I746" t="str">
        <f t="shared" si="157"/>
        <v>05/03/2026</v>
      </c>
      <c r="J746" t="str">
        <f t="shared" si="160"/>
        <v>24/02/2026</v>
      </c>
      <c r="K746">
        <v>46086</v>
      </c>
      <c r="N746">
        <v>109</v>
      </c>
      <c r="O746" t="s">
        <v>27</v>
      </c>
      <c r="Q746">
        <v>1179</v>
      </c>
      <c r="R746" t="str">
        <f>"FARMÁCIA INDIANA LJ 181 (10078)"</f>
        <v>FARMÁCIA INDIANA LJ 181 (10078)</v>
      </c>
      <c r="S746" t="s">
        <v>37</v>
      </c>
      <c r="T746">
        <v>30213</v>
      </c>
      <c r="U746">
        <v>33731</v>
      </c>
      <c r="V746" t="s">
        <v>37</v>
      </c>
    </row>
    <row r="747" spans="1:22">
      <c r="A747" t="str">
        <f t="shared" si="161"/>
        <v>05/03/2026</v>
      </c>
      <c r="B747" t="str">
        <f t="shared" si="156"/>
        <v>SAÍDA</v>
      </c>
      <c r="C747" t="str">
        <f t="shared" si="159"/>
        <v>PIX</v>
      </c>
      <c r="D747" t="str">
        <f>"33732"</f>
        <v>33732</v>
      </c>
      <c r="E747" t="str">
        <f t="shared" si="155"/>
        <v>1</v>
      </c>
      <c r="F747" t="str">
        <f t="shared" si="158"/>
        <v>COM</v>
      </c>
      <c r="G747" t="str">
        <f>"GABRIEL PRATES DE OLIVEIRA (511)"</f>
        <v>GABRIEL PRATES DE OLIVEIRA (511)</v>
      </c>
      <c r="H747" t="str">
        <f>"Serv.Prest. 16/02/2026 a 22/02/2026 - PIX: CELULAR - CHAVE: (27) 99869-8144"</f>
        <v>Serv.Prest. 16/02/2026 a 22/02/2026 - PIX: CELULAR - CHAVE: (27) 99869-8144</v>
      </c>
      <c r="I747" t="str">
        <f t="shared" si="157"/>
        <v>05/03/2026</v>
      </c>
      <c r="J747" t="str">
        <f t="shared" si="160"/>
        <v>24/02/2026</v>
      </c>
      <c r="K747" t="str">
        <f>("05/03/2026")</f>
        <v>05/03/2026</v>
      </c>
      <c r="L747">
        <v>600</v>
      </c>
      <c r="M747">
        <v>600</v>
      </c>
      <c r="N747">
        <v>109</v>
      </c>
      <c r="O747" t="str">
        <f>"PAGAMENTO DE ENTREGADORES"</f>
        <v>PAGAMENTO DE ENTREGADORES</v>
      </c>
      <c r="P747">
        <v>600</v>
      </c>
      <c r="S747" t="str">
        <f>"BANCO C6 (149)"</f>
        <v>BANCO C6 (149)</v>
      </c>
      <c r="T747">
        <v>30214</v>
      </c>
      <c r="U747">
        <v>33732</v>
      </c>
      <c r="V747" t="s">
        <v>37</v>
      </c>
    </row>
    <row r="748" spans="1:22">
      <c r="A748" t="str">
        <f t="shared" si="161"/>
        <v>05/03/2026</v>
      </c>
      <c r="B748" t="str">
        <f t="shared" si="156"/>
        <v>SAÍDA</v>
      </c>
      <c r="C748" t="str">
        <f t="shared" si="159"/>
        <v>PIX</v>
      </c>
      <c r="D748" t="str">
        <f>"33732"</f>
        <v>33732</v>
      </c>
      <c r="E748" t="str">
        <f t="shared" si="155"/>
        <v>1</v>
      </c>
      <c r="F748" t="str">
        <f t="shared" si="158"/>
        <v>COM</v>
      </c>
      <c r="G748" t="str">
        <f>"GABRIEL PRATES DE OLIVEIRA (511)"</f>
        <v>GABRIEL PRATES DE OLIVEIRA (511)</v>
      </c>
      <c r="H748" t="s">
        <v>294</v>
      </c>
      <c r="I748" t="str">
        <f t="shared" si="157"/>
        <v>05/03/2026</v>
      </c>
      <c r="J748" t="str">
        <f t="shared" si="160"/>
        <v>24/02/2026</v>
      </c>
      <c r="K748">
        <v>46086</v>
      </c>
      <c r="N748">
        <v>109</v>
      </c>
      <c r="O748" t="s">
        <v>27</v>
      </c>
      <c r="Q748">
        <v>600</v>
      </c>
      <c r="R748" t="str">
        <f>"FARMÁCIA INDIANA LJ 163 (10072)"</f>
        <v>FARMÁCIA INDIANA LJ 163 (10072)</v>
      </c>
      <c r="S748" t="s">
        <v>37</v>
      </c>
      <c r="T748">
        <v>30214</v>
      </c>
      <c r="U748">
        <v>33732</v>
      </c>
      <c r="V748" t="s">
        <v>37</v>
      </c>
    </row>
    <row r="749" spans="1:22">
      <c r="A749" t="str">
        <f t="shared" si="161"/>
        <v>05/03/2026</v>
      </c>
      <c r="B749" t="str">
        <f t="shared" si="156"/>
        <v>SAÍDA</v>
      </c>
      <c r="C749" t="str">
        <f t="shared" si="159"/>
        <v>PIX</v>
      </c>
      <c r="D749" t="str">
        <f>"33734"</f>
        <v>33734</v>
      </c>
      <c r="E749" t="str">
        <f t="shared" si="155"/>
        <v>1</v>
      </c>
      <c r="F749" t="str">
        <f t="shared" si="158"/>
        <v>COM</v>
      </c>
      <c r="G749" t="str">
        <f>"JACQUES SEBIM SANTNA (918)"</f>
        <v>JACQUES SEBIM SANTNA (918)</v>
      </c>
      <c r="H749" t="str">
        <f>"Serv.Prest. 16/02/2026 a 22/02/2026 - PIX: CNPJ - CHAVE: 40.359.224/0001-09"</f>
        <v>Serv.Prest. 16/02/2026 a 22/02/2026 - PIX: CNPJ - CHAVE: 40.359.224/0001-09</v>
      </c>
      <c r="I749" t="str">
        <f t="shared" si="157"/>
        <v>05/03/2026</v>
      </c>
      <c r="J749" t="str">
        <f t="shared" si="160"/>
        <v>24/02/2026</v>
      </c>
      <c r="K749" t="str">
        <f>("05/03/2026")</f>
        <v>05/03/2026</v>
      </c>
      <c r="L749">
        <v>804</v>
      </c>
      <c r="M749">
        <v>804</v>
      </c>
      <c r="N749">
        <v>109</v>
      </c>
      <c r="O749" t="str">
        <f>"PAGAMENTO DE ENTREGADORES"</f>
        <v>PAGAMENTO DE ENTREGADORES</v>
      </c>
      <c r="P749">
        <v>804</v>
      </c>
      <c r="S749" t="str">
        <f>"BANCO C6 (149)"</f>
        <v>BANCO C6 (149)</v>
      </c>
      <c r="T749">
        <v>30215</v>
      </c>
      <c r="U749">
        <v>33734</v>
      </c>
      <c r="V749" t="s">
        <v>37</v>
      </c>
    </row>
    <row r="750" spans="1:22">
      <c r="A750" t="str">
        <f t="shared" si="161"/>
        <v>05/03/2026</v>
      </c>
      <c r="B750" t="str">
        <f t="shared" si="156"/>
        <v>SAÍDA</v>
      </c>
      <c r="C750" t="str">
        <f t="shared" si="159"/>
        <v>PIX</v>
      </c>
      <c r="D750" t="str">
        <f>"33734"</f>
        <v>33734</v>
      </c>
      <c r="E750" t="str">
        <f t="shared" si="155"/>
        <v>1</v>
      </c>
      <c r="F750" t="str">
        <f t="shared" si="158"/>
        <v>COM</v>
      </c>
      <c r="G750" t="str">
        <f>"JACQUES SEBIM SANTNA (918)"</f>
        <v>JACQUES SEBIM SANTNA (918)</v>
      </c>
      <c r="H750" t="s">
        <v>295</v>
      </c>
      <c r="I750" t="str">
        <f t="shared" si="157"/>
        <v>05/03/2026</v>
      </c>
      <c r="J750" t="str">
        <f t="shared" si="160"/>
        <v>24/02/2026</v>
      </c>
      <c r="K750">
        <v>46086</v>
      </c>
      <c r="N750">
        <v>109</v>
      </c>
      <c r="O750" t="s">
        <v>27</v>
      </c>
      <c r="Q750">
        <v>804</v>
      </c>
      <c r="R750" t="str">
        <f>"FARMÁCIA INDIANA LJ 188 (10176)"</f>
        <v>FARMÁCIA INDIANA LJ 188 (10176)</v>
      </c>
      <c r="S750" t="s">
        <v>37</v>
      </c>
      <c r="T750">
        <v>30215</v>
      </c>
      <c r="U750">
        <v>33734</v>
      </c>
      <c r="V750" t="s">
        <v>37</v>
      </c>
    </row>
    <row r="751" spans="1:22">
      <c r="A751" t="str">
        <f t="shared" si="161"/>
        <v>05/03/2026</v>
      </c>
      <c r="B751" t="str">
        <f t="shared" si="156"/>
        <v>SAÍDA</v>
      </c>
      <c r="C751" t="str">
        <f t="shared" si="159"/>
        <v>PIX</v>
      </c>
      <c r="D751" t="str">
        <f>"33735"</f>
        <v>33735</v>
      </c>
      <c r="E751" t="str">
        <f t="shared" si="155"/>
        <v>1</v>
      </c>
      <c r="F751" t="str">
        <f t="shared" si="158"/>
        <v>COM</v>
      </c>
      <c r="G751" t="str">
        <f>"JAIR BRISON JUNIOR (964)"</f>
        <v>JAIR BRISON JUNIOR (964)</v>
      </c>
      <c r="H751" t="str">
        <f>"Serv.Prest. 16/02/2026 a 22/02/2026 - PIX: CPF - CHAVE: 096.116.707-61"</f>
        <v>Serv.Prest. 16/02/2026 a 22/02/2026 - PIX: CPF - CHAVE: 096.116.707-61</v>
      </c>
      <c r="I751" t="str">
        <f t="shared" si="157"/>
        <v>05/03/2026</v>
      </c>
      <c r="J751" t="str">
        <f t="shared" si="160"/>
        <v>24/02/2026</v>
      </c>
      <c r="K751" t="str">
        <f>("05/03/2026")</f>
        <v>05/03/2026</v>
      </c>
      <c r="L751">
        <v>825</v>
      </c>
      <c r="M751">
        <v>825</v>
      </c>
      <c r="N751">
        <v>109</v>
      </c>
      <c r="O751" t="str">
        <f>"PAGAMENTO DE ENTREGADORES"</f>
        <v>PAGAMENTO DE ENTREGADORES</v>
      </c>
      <c r="P751">
        <v>825</v>
      </c>
      <c r="S751" t="str">
        <f>"BANCO C6 (149)"</f>
        <v>BANCO C6 (149)</v>
      </c>
      <c r="T751">
        <v>30216</v>
      </c>
      <c r="U751">
        <v>33735</v>
      </c>
      <c r="V751" t="s">
        <v>37</v>
      </c>
    </row>
    <row r="752" spans="1:22">
      <c r="A752" t="str">
        <f t="shared" si="161"/>
        <v>05/03/2026</v>
      </c>
      <c r="B752" t="str">
        <f t="shared" si="156"/>
        <v>SAÍDA</v>
      </c>
      <c r="C752" t="str">
        <f t="shared" si="159"/>
        <v>PIX</v>
      </c>
      <c r="D752" t="str">
        <f>"33735"</f>
        <v>33735</v>
      </c>
      <c r="E752" t="str">
        <f t="shared" ref="E752:E815" si="162">"1"</f>
        <v>1</v>
      </c>
      <c r="F752" t="str">
        <f t="shared" si="158"/>
        <v>COM</v>
      </c>
      <c r="G752" t="str">
        <f>"JAIR BRISON JUNIOR (964)"</f>
        <v>JAIR BRISON JUNIOR (964)</v>
      </c>
      <c r="H752" t="s">
        <v>296</v>
      </c>
      <c r="I752" t="str">
        <f t="shared" si="157"/>
        <v>05/03/2026</v>
      </c>
      <c r="J752" t="str">
        <f t="shared" si="160"/>
        <v>24/02/2026</v>
      </c>
      <c r="K752">
        <v>46086</v>
      </c>
      <c r="N752">
        <v>109</v>
      </c>
      <c r="O752" t="s">
        <v>27</v>
      </c>
      <c r="Q752">
        <v>825</v>
      </c>
      <c r="R752" t="str">
        <f>"FARMÁCIA INDIANA LJ 119 (10053)"</f>
        <v>FARMÁCIA INDIANA LJ 119 (10053)</v>
      </c>
      <c r="S752" t="s">
        <v>37</v>
      </c>
      <c r="T752">
        <v>30216</v>
      </c>
      <c r="U752">
        <v>33735</v>
      </c>
      <c r="V752" t="s">
        <v>37</v>
      </c>
    </row>
    <row r="753" spans="1:22">
      <c r="A753" t="str">
        <f t="shared" si="161"/>
        <v>05/03/2026</v>
      </c>
      <c r="B753" t="str">
        <f t="shared" si="156"/>
        <v>SAÍDA</v>
      </c>
      <c r="C753" t="str">
        <f t="shared" si="159"/>
        <v>PIX</v>
      </c>
      <c r="D753" t="str">
        <f>"33736"</f>
        <v>33736</v>
      </c>
      <c r="E753" t="str">
        <f t="shared" si="162"/>
        <v>1</v>
      </c>
      <c r="F753" t="str">
        <f t="shared" si="158"/>
        <v>COM</v>
      </c>
      <c r="G753" t="str">
        <f>"VINÍCIUS NEVES PEREIRA (776)"</f>
        <v>VINÍCIUS NEVES PEREIRA (776)</v>
      </c>
      <c r="H753" t="str">
        <f>"Serv.Prest. 16/02/2026 a 22/02/2026 - PIX: CPF - CHAVE: 121.963.507-37"</f>
        <v>Serv.Prest. 16/02/2026 a 22/02/2026 - PIX: CPF - CHAVE: 121.963.507-37</v>
      </c>
      <c r="I753" t="str">
        <f t="shared" si="157"/>
        <v>05/03/2026</v>
      </c>
      <c r="J753" t="str">
        <f t="shared" si="160"/>
        <v>24/02/2026</v>
      </c>
      <c r="K753" t="str">
        <f>("05/03/2026")</f>
        <v>05/03/2026</v>
      </c>
      <c r="L753">
        <v>750.75</v>
      </c>
      <c r="M753">
        <v>750.75</v>
      </c>
      <c r="N753">
        <v>109</v>
      </c>
      <c r="O753" t="str">
        <f>"PAGAMENTO DE ENTREGADORES"</f>
        <v>PAGAMENTO DE ENTREGADORES</v>
      </c>
      <c r="P753">
        <v>750.75</v>
      </c>
      <c r="S753" t="str">
        <f>"BANCO C6 (149)"</f>
        <v>BANCO C6 (149)</v>
      </c>
      <c r="T753">
        <v>30217</v>
      </c>
      <c r="U753">
        <v>33736</v>
      </c>
      <c r="V753" t="s">
        <v>37</v>
      </c>
    </row>
    <row r="754" spans="1:22">
      <c r="A754" t="str">
        <f t="shared" si="161"/>
        <v>05/03/2026</v>
      </c>
      <c r="B754" t="str">
        <f t="shared" si="156"/>
        <v>SAÍDA</v>
      </c>
      <c r="C754" t="str">
        <f t="shared" si="159"/>
        <v>PIX</v>
      </c>
      <c r="D754" t="str">
        <f>"33736"</f>
        <v>33736</v>
      </c>
      <c r="E754" t="str">
        <f t="shared" si="162"/>
        <v>1</v>
      </c>
      <c r="F754" t="str">
        <f t="shared" si="158"/>
        <v>COM</v>
      </c>
      <c r="G754" t="str">
        <f>"VINÍCIUS NEVES PEREIRA (776)"</f>
        <v>VINÍCIUS NEVES PEREIRA (776)</v>
      </c>
      <c r="H754" t="s">
        <v>297</v>
      </c>
      <c r="I754" t="str">
        <f t="shared" si="157"/>
        <v>05/03/2026</v>
      </c>
      <c r="J754" t="str">
        <f t="shared" si="160"/>
        <v>24/02/2026</v>
      </c>
      <c r="K754">
        <v>46086</v>
      </c>
      <c r="N754">
        <v>109</v>
      </c>
      <c r="O754" t="s">
        <v>27</v>
      </c>
      <c r="Q754">
        <v>750.75</v>
      </c>
      <c r="R754" t="str">
        <f>"FARMÁCIA INDIANA LJ 221 (10093)"</f>
        <v>FARMÁCIA INDIANA LJ 221 (10093)</v>
      </c>
      <c r="S754" t="s">
        <v>37</v>
      </c>
      <c r="T754">
        <v>30217</v>
      </c>
      <c r="U754">
        <v>33736</v>
      </c>
      <c r="V754" t="s">
        <v>37</v>
      </c>
    </row>
    <row r="755" spans="1:22">
      <c r="A755" t="str">
        <f t="shared" si="161"/>
        <v>05/03/2026</v>
      </c>
      <c r="B755" t="str">
        <f t="shared" si="156"/>
        <v>SAÍDA</v>
      </c>
      <c r="C755" t="str">
        <f t="shared" si="159"/>
        <v>PIX</v>
      </c>
      <c r="D755" t="str">
        <f>"33653"</f>
        <v>33653</v>
      </c>
      <c r="E755" t="str">
        <f t="shared" si="162"/>
        <v>1</v>
      </c>
      <c r="F755" t="str">
        <f t="shared" si="158"/>
        <v>COM</v>
      </c>
      <c r="G755" t="str">
        <f>"MARCOS RODRIGUES PENA (64)"</f>
        <v>MARCOS RODRIGUES PENA (64)</v>
      </c>
      <c r="H755" t="str">
        <f>"Serv.Prest. 16/02/2026 a 22/02/2026 - PIX: CELULAR - CHAVE: (33) 99194-2339"</f>
        <v>Serv.Prest. 16/02/2026 a 22/02/2026 - PIX: CELULAR - CHAVE: (33) 99194-2339</v>
      </c>
      <c r="I755" t="str">
        <f t="shared" si="157"/>
        <v>05/03/2026</v>
      </c>
      <c r="J755" t="str">
        <f t="shared" si="160"/>
        <v>24/02/2026</v>
      </c>
      <c r="K755" t="str">
        <f>("05/03/2026")</f>
        <v>05/03/2026</v>
      </c>
      <c r="L755">
        <v>602.5</v>
      </c>
      <c r="M755">
        <v>602.5</v>
      </c>
      <c r="N755">
        <v>109</v>
      </c>
      <c r="O755" t="str">
        <f>"PAGAMENTO DE ENTREGADORES"</f>
        <v>PAGAMENTO DE ENTREGADORES</v>
      </c>
      <c r="P755">
        <v>602.5</v>
      </c>
      <c r="S755" t="str">
        <f>"BANCO C6 (149)"</f>
        <v>BANCO C6 (149)</v>
      </c>
      <c r="T755">
        <v>30218</v>
      </c>
      <c r="U755">
        <v>33737</v>
      </c>
      <c r="V755" t="s">
        <v>37</v>
      </c>
    </row>
    <row r="756" spans="1:22">
      <c r="A756" t="str">
        <f t="shared" si="161"/>
        <v>05/03/2026</v>
      </c>
      <c r="B756" t="str">
        <f t="shared" si="156"/>
        <v>SAÍDA</v>
      </c>
      <c r="C756" t="str">
        <f t="shared" si="159"/>
        <v>PIX</v>
      </c>
      <c r="D756" t="str">
        <f>"33653"</f>
        <v>33653</v>
      </c>
      <c r="E756" t="str">
        <f t="shared" si="162"/>
        <v>1</v>
      </c>
      <c r="F756" t="str">
        <f t="shared" si="158"/>
        <v>COM</v>
      </c>
      <c r="G756" t="str">
        <f>"MARCOS RODRIGUES PENA (64)"</f>
        <v>MARCOS RODRIGUES PENA (64)</v>
      </c>
      <c r="H756" t="s">
        <v>298</v>
      </c>
      <c r="I756" t="str">
        <f t="shared" si="157"/>
        <v>05/03/2026</v>
      </c>
      <c r="J756" t="str">
        <f t="shared" si="160"/>
        <v>24/02/2026</v>
      </c>
      <c r="K756">
        <v>46086</v>
      </c>
      <c r="N756">
        <v>109</v>
      </c>
      <c r="O756" t="s">
        <v>27</v>
      </c>
      <c r="Q756">
        <v>602.5</v>
      </c>
      <c r="R756" t="str">
        <f>"FARMÁCIA INDIANA LJ 62 (10028)"</f>
        <v>FARMÁCIA INDIANA LJ 62 (10028)</v>
      </c>
      <c r="S756" t="s">
        <v>37</v>
      </c>
      <c r="T756">
        <v>30218</v>
      </c>
      <c r="U756">
        <v>33737</v>
      </c>
      <c r="V756" t="s">
        <v>37</v>
      </c>
    </row>
    <row r="757" spans="1:22">
      <c r="A757" t="str">
        <f t="shared" si="161"/>
        <v>05/03/2026</v>
      </c>
      <c r="B757" t="str">
        <f t="shared" si="156"/>
        <v>SAÍDA</v>
      </c>
      <c r="C757" t="str">
        <f t="shared" si="159"/>
        <v>PIX</v>
      </c>
      <c r="D757" t="str">
        <f>"33752"</f>
        <v>33752</v>
      </c>
      <c r="E757" t="str">
        <f t="shared" si="162"/>
        <v>1</v>
      </c>
      <c r="F757" t="str">
        <f t="shared" si="158"/>
        <v>COM</v>
      </c>
      <c r="G757" t="str">
        <f>"PEDRO HENRIQUE MARQUES DA SILVA (1316)"</f>
        <v>PEDRO HENRIQUE MARQUES DA SILVA (1316)</v>
      </c>
      <c r="H757" t="str">
        <f>"Serv.Prest. 16/02/2026 a 22/02/2026 - PIX: CNPJ - CHAVE: 64.557.825/0001-94"</f>
        <v>Serv.Prest. 16/02/2026 a 22/02/2026 - PIX: CNPJ - CHAVE: 64.557.825/0001-94</v>
      </c>
      <c r="I757" t="str">
        <f t="shared" si="157"/>
        <v>05/03/2026</v>
      </c>
      <c r="J757" t="str">
        <f t="shared" si="160"/>
        <v>24/02/2026</v>
      </c>
      <c r="K757" t="str">
        <f>("05/03/2026")</f>
        <v>05/03/2026</v>
      </c>
      <c r="L757">
        <v>1037.5</v>
      </c>
      <c r="M757">
        <v>1037.5</v>
      </c>
      <c r="N757">
        <v>109</v>
      </c>
      <c r="O757" t="str">
        <f>"PAGAMENTO DE ENTREGADORES"</f>
        <v>PAGAMENTO DE ENTREGADORES</v>
      </c>
      <c r="P757">
        <v>1037.5</v>
      </c>
      <c r="S757" t="str">
        <f>"BANCO C6 (149)"</f>
        <v>BANCO C6 (149)</v>
      </c>
      <c r="T757">
        <v>30219</v>
      </c>
      <c r="U757">
        <v>33752</v>
      </c>
      <c r="V757" t="s">
        <v>37</v>
      </c>
    </row>
    <row r="758" spans="1:22">
      <c r="A758" t="str">
        <f t="shared" si="161"/>
        <v>05/03/2026</v>
      </c>
      <c r="B758" t="str">
        <f t="shared" si="156"/>
        <v>SAÍDA</v>
      </c>
      <c r="C758" t="str">
        <f t="shared" si="159"/>
        <v>PIX</v>
      </c>
      <c r="D758" t="str">
        <f>"33752"</f>
        <v>33752</v>
      </c>
      <c r="E758" t="str">
        <f t="shared" si="162"/>
        <v>1</v>
      </c>
      <c r="F758" t="str">
        <f t="shared" si="158"/>
        <v>COM</v>
      </c>
      <c r="G758" t="str">
        <f>"PEDRO HENRIQUE MARQUES DA SILVA (1316)"</f>
        <v>PEDRO HENRIQUE MARQUES DA SILVA (1316)</v>
      </c>
      <c r="H758" t="s">
        <v>299</v>
      </c>
      <c r="I758" t="str">
        <f t="shared" si="157"/>
        <v>05/03/2026</v>
      </c>
      <c r="J758" t="str">
        <f t="shared" si="160"/>
        <v>24/02/2026</v>
      </c>
      <c r="K758">
        <v>46086</v>
      </c>
      <c r="N758">
        <v>109</v>
      </c>
      <c r="O758" t="s">
        <v>27</v>
      </c>
      <c r="Q758">
        <v>1037.5</v>
      </c>
      <c r="R758" t="str">
        <f>"PAGUE MENOS 321 (10295)"</f>
        <v>PAGUE MENOS 321 (10295)</v>
      </c>
      <c r="S758" t="s">
        <v>37</v>
      </c>
      <c r="T758">
        <v>30219</v>
      </c>
      <c r="U758">
        <v>33752</v>
      </c>
      <c r="V758" t="s">
        <v>37</v>
      </c>
    </row>
    <row r="759" spans="1:22">
      <c r="A759" t="str">
        <f t="shared" si="161"/>
        <v>05/03/2026</v>
      </c>
      <c r="B759" t="str">
        <f t="shared" si="156"/>
        <v>SAÍDA</v>
      </c>
      <c r="C759" t="str">
        <f t="shared" si="159"/>
        <v>PIX</v>
      </c>
      <c r="D759" t="str">
        <f>"33758"</f>
        <v>33758</v>
      </c>
      <c r="E759" t="str">
        <f t="shared" si="162"/>
        <v>1</v>
      </c>
      <c r="F759" t="str">
        <f t="shared" si="158"/>
        <v>COM</v>
      </c>
      <c r="G759" t="str">
        <f>"JAISON DE SOUZA KOHL (1244)"</f>
        <v>JAISON DE SOUZA KOHL (1244)</v>
      </c>
      <c r="H759" t="str">
        <f>"Serv.Prest. 16/02/2026 a 22/02/2026 - PIX: CPF - CHAVE: 096.774.686-85"</f>
        <v>Serv.Prest. 16/02/2026 a 22/02/2026 - PIX: CPF - CHAVE: 096.774.686-85</v>
      </c>
      <c r="I759" t="str">
        <f t="shared" si="157"/>
        <v>05/03/2026</v>
      </c>
      <c r="J759" t="str">
        <f t="shared" si="160"/>
        <v>24/02/2026</v>
      </c>
      <c r="K759" t="str">
        <f>("05/03/2026")</f>
        <v>05/03/2026</v>
      </c>
      <c r="L759">
        <v>441</v>
      </c>
      <c r="M759">
        <v>441</v>
      </c>
      <c r="N759">
        <v>109</v>
      </c>
      <c r="O759" t="str">
        <f>"PAGAMENTO DE ENTREGADORES"</f>
        <v>PAGAMENTO DE ENTREGADORES</v>
      </c>
      <c r="P759">
        <v>441</v>
      </c>
      <c r="S759" t="str">
        <f>"BANCO C6 (149)"</f>
        <v>BANCO C6 (149)</v>
      </c>
      <c r="T759">
        <v>30220</v>
      </c>
      <c r="U759">
        <v>33758</v>
      </c>
      <c r="V759" t="s">
        <v>37</v>
      </c>
    </row>
    <row r="760" spans="1:22">
      <c r="A760" t="str">
        <f t="shared" si="161"/>
        <v>05/03/2026</v>
      </c>
      <c r="B760" t="str">
        <f t="shared" si="156"/>
        <v>SAÍDA</v>
      </c>
      <c r="C760" t="str">
        <f t="shared" si="159"/>
        <v>PIX</v>
      </c>
      <c r="D760" t="str">
        <f>"33758"</f>
        <v>33758</v>
      </c>
      <c r="E760" t="str">
        <f t="shared" si="162"/>
        <v>1</v>
      </c>
      <c r="F760" t="str">
        <f t="shared" si="158"/>
        <v>COM</v>
      </c>
      <c r="G760" t="str">
        <f>"JAISON DE SOUZA KOHL (1244)"</f>
        <v>JAISON DE SOUZA KOHL (1244)</v>
      </c>
      <c r="H760" t="s">
        <v>300</v>
      </c>
      <c r="I760" t="str">
        <f t="shared" si="157"/>
        <v>05/03/2026</v>
      </c>
      <c r="J760" t="str">
        <f t="shared" si="160"/>
        <v>24/02/2026</v>
      </c>
      <c r="K760">
        <v>46086</v>
      </c>
      <c r="N760">
        <v>109</v>
      </c>
      <c r="O760" t="s">
        <v>27</v>
      </c>
      <c r="Q760">
        <v>441</v>
      </c>
      <c r="R760" t="str">
        <f>"PAGUE MENOS 426 (10292)"</f>
        <v>PAGUE MENOS 426 (10292)</v>
      </c>
      <c r="S760" t="s">
        <v>37</v>
      </c>
      <c r="T760">
        <v>30220</v>
      </c>
      <c r="U760">
        <v>33758</v>
      </c>
      <c r="V760" t="s">
        <v>37</v>
      </c>
    </row>
    <row r="761" spans="1:22">
      <c r="A761" t="str">
        <f t="shared" si="161"/>
        <v>05/03/2026</v>
      </c>
      <c r="B761" t="str">
        <f t="shared" si="156"/>
        <v>SAÍDA</v>
      </c>
      <c r="C761" t="str">
        <f t="shared" si="159"/>
        <v>PIX</v>
      </c>
      <c r="D761" t="str">
        <f>"33762"</f>
        <v>33762</v>
      </c>
      <c r="E761" t="str">
        <f t="shared" si="162"/>
        <v>1</v>
      </c>
      <c r="F761" t="str">
        <f t="shared" si="158"/>
        <v>COM</v>
      </c>
      <c r="G761" t="str">
        <f>"RICHARD HENRIQUE DA SILVA (244)"</f>
        <v>RICHARD HENRIQUE DA SILVA (244)</v>
      </c>
      <c r="H761" t="str">
        <f>"Serv.Prest. 16/02/2026 a 22/02/2026 - PIX: CELULAR - CHAVE: (37) 99197-6834"</f>
        <v>Serv.Prest. 16/02/2026 a 22/02/2026 - PIX: CELULAR - CHAVE: (37) 99197-6834</v>
      </c>
      <c r="I761" t="str">
        <f t="shared" si="157"/>
        <v>05/03/2026</v>
      </c>
      <c r="J761" t="str">
        <f t="shared" si="160"/>
        <v>24/02/2026</v>
      </c>
      <c r="K761" t="str">
        <f>("05/03/2026")</f>
        <v>05/03/2026</v>
      </c>
      <c r="L761">
        <v>990</v>
      </c>
      <c r="M761">
        <v>990</v>
      </c>
      <c r="N761">
        <v>109</v>
      </c>
      <c r="O761" t="str">
        <f>"PAGAMENTO DE ENTREGADORES"</f>
        <v>PAGAMENTO DE ENTREGADORES</v>
      </c>
      <c r="P761">
        <v>990</v>
      </c>
      <c r="S761" t="str">
        <f>"BANCO C6 (149)"</f>
        <v>BANCO C6 (149)</v>
      </c>
      <c r="T761">
        <v>30221</v>
      </c>
      <c r="U761">
        <v>33762</v>
      </c>
      <c r="V761" t="s">
        <v>37</v>
      </c>
    </row>
    <row r="762" spans="1:22">
      <c r="A762" t="str">
        <f t="shared" si="161"/>
        <v>05/03/2026</v>
      </c>
      <c r="B762" t="str">
        <f t="shared" si="156"/>
        <v>SAÍDA</v>
      </c>
      <c r="C762" t="str">
        <f t="shared" si="159"/>
        <v>PIX</v>
      </c>
      <c r="D762" t="str">
        <f>"33762"</f>
        <v>33762</v>
      </c>
      <c r="E762" t="str">
        <f t="shared" si="162"/>
        <v>1</v>
      </c>
      <c r="F762" t="str">
        <f t="shared" si="158"/>
        <v>COM</v>
      </c>
      <c r="G762" t="str">
        <f>"RICHARD HENRIQUE DA SILVA (244)"</f>
        <v>RICHARD HENRIQUE DA SILVA (244)</v>
      </c>
      <c r="H762" t="s">
        <v>301</v>
      </c>
      <c r="I762" t="str">
        <f t="shared" si="157"/>
        <v>05/03/2026</v>
      </c>
      <c r="J762" t="str">
        <f t="shared" si="160"/>
        <v>24/02/2026</v>
      </c>
      <c r="K762">
        <v>46086</v>
      </c>
      <c r="N762">
        <v>109</v>
      </c>
      <c r="O762" t="s">
        <v>27</v>
      </c>
      <c r="Q762">
        <v>990</v>
      </c>
      <c r="R762" t="str">
        <f>"PAGUE MENOS 356 (10291)"</f>
        <v>PAGUE MENOS 356 (10291)</v>
      </c>
      <c r="S762" t="s">
        <v>37</v>
      </c>
      <c r="T762">
        <v>30221</v>
      </c>
      <c r="U762">
        <v>33762</v>
      </c>
      <c r="V762" t="s">
        <v>37</v>
      </c>
    </row>
    <row r="763" spans="1:22">
      <c r="A763" t="str">
        <f t="shared" si="161"/>
        <v>05/03/2026</v>
      </c>
      <c r="B763" t="str">
        <f t="shared" si="156"/>
        <v>SAÍDA</v>
      </c>
      <c r="C763" t="str">
        <f t="shared" si="159"/>
        <v>PIX</v>
      </c>
      <c r="D763" t="str">
        <f>"33840"</f>
        <v>33840</v>
      </c>
      <c r="E763" t="str">
        <f t="shared" si="162"/>
        <v>1</v>
      </c>
      <c r="F763" t="str">
        <f t="shared" si="158"/>
        <v>COM</v>
      </c>
      <c r="G763" t="str">
        <f>"ANNIELLE CRISTIANE SILVA BARBOSA GOMES (1228)"</f>
        <v>ANNIELLE CRISTIANE SILVA BARBOSA GOMES (1228)</v>
      </c>
      <c r="H763" t="str">
        <f>"Serv.Prest. 23/02/2026 a 01/03/2026 - PIX: CPF - CHAVE: 034.458.495-01"</f>
        <v>Serv.Prest. 23/02/2026 a 01/03/2026 - PIX: CPF - CHAVE: 034.458.495-01</v>
      </c>
      <c r="I763" t="str">
        <f t="shared" si="157"/>
        <v>05/03/2026</v>
      </c>
      <c r="J763" t="str">
        <f t="shared" ref="J763:J794" si="163">("02/03/2026")</f>
        <v>02/03/2026</v>
      </c>
      <c r="K763" t="str">
        <f>("05/03/2026")</f>
        <v>05/03/2026</v>
      </c>
      <c r="L763">
        <v>951</v>
      </c>
      <c r="M763">
        <v>951</v>
      </c>
      <c r="N763">
        <v>109</v>
      </c>
      <c r="O763" t="str">
        <f>"PAGAMENTO DE ENTREGADORES"</f>
        <v>PAGAMENTO DE ENTREGADORES</v>
      </c>
      <c r="P763">
        <v>951</v>
      </c>
      <c r="S763" t="str">
        <f>"BANCO C6 (149)"</f>
        <v>BANCO C6 (149)</v>
      </c>
      <c r="T763">
        <v>30222</v>
      </c>
      <c r="U763">
        <v>33840</v>
      </c>
      <c r="V763" t="s">
        <v>37</v>
      </c>
    </row>
    <row r="764" spans="1:22">
      <c r="A764" t="str">
        <f t="shared" si="161"/>
        <v>05/03/2026</v>
      </c>
      <c r="B764" t="str">
        <f t="shared" si="156"/>
        <v>SAÍDA</v>
      </c>
      <c r="C764" t="str">
        <f t="shared" si="159"/>
        <v>PIX</v>
      </c>
      <c r="D764" t="str">
        <f>"33840"</f>
        <v>33840</v>
      </c>
      <c r="E764" t="str">
        <f t="shared" si="162"/>
        <v>1</v>
      </c>
      <c r="F764" t="str">
        <f t="shared" si="158"/>
        <v>COM</v>
      </c>
      <c r="G764" t="str">
        <f>"ANNIELLE CRISTIANE SILVA BARBOSA GOMES (1228)"</f>
        <v>ANNIELLE CRISTIANE SILVA BARBOSA GOMES (1228)</v>
      </c>
      <c r="H764" t="s">
        <v>302</v>
      </c>
      <c r="I764" t="str">
        <f t="shared" si="157"/>
        <v>05/03/2026</v>
      </c>
      <c r="J764" t="str">
        <f t="shared" si="163"/>
        <v>02/03/2026</v>
      </c>
      <c r="K764">
        <v>46086</v>
      </c>
      <c r="N764">
        <v>109</v>
      </c>
      <c r="O764" t="s">
        <v>27</v>
      </c>
      <c r="Q764">
        <v>944.82</v>
      </c>
      <c r="R764" t="str">
        <f>"BEM TE FAZ LOJA 7 (10285)"</f>
        <v>BEM TE FAZ LOJA 7 (10285)</v>
      </c>
      <c r="S764" t="s">
        <v>37</v>
      </c>
      <c r="T764">
        <v>30222</v>
      </c>
      <c r="U764">
        <v>33840</v>
      </c>
      <c r="V764" t="s">
        <v>37</v>
      </c>
    </row>
    <row r="765" spans="1:22">
      <c r="A765" t="str">
        <f t="shared" si="161"/>
        <v>05/03/2026</v>
      </c>
      <c r="B765" t="str">
        <f t="shared" si="156"/>
        <v>SAÍDA</v>
      </c>
      <c r="C765" t="str">
        <f t="shared" si="159"/>
        <v>PIX</v>
      </c>
      <c r="D765" t="str">
        <f>"33840"</f>
        <v>33840</v>
      </c>
      <c r="E765" t="str">
        <f t="shared" si="162"/>
        <v>1</v>
      </c>
      <c r="F765" t="str">
        <f t="shared" si="158"/>
        <v>COM</v>
      </c>
      <c r="G765" t="str">
        <f>"ANNIELLE CRISTIANE SILVA BARBOSA GOMES (1228)"</f>
        <v>ANNIELLE CRISTIANE SILVA BARBOSA GOMES (1228)</v>
      </c>
      <c r="H765" t="s">
        <v>302</v>
      </c>
      <c r="I765" t="str">
        <f t="shared" si="157"/>
        <v>05/03/2026</v>
      </c>
      <c r="J765" t="str">
        <f t="shared" si="163"/>
        <v>02/03/2026</v>
      </c>
      <c r="K765">
        <v>46086</v>
      </c>
      <c r="N765">
        <v>109</v>
      </c>
      <c r="O765" t="s">
        <v>27</v>
      </c>
      <c r="Q765">
        <v>6.18</v>
      </c>
      <c r="R765" t="str">
        <f>"BEM TE FAZ LOJA 8 (10297)"</f>
        <v>BEM TE FAZ LOJA 8 (10297)</v>
      </c>
      <c r="S765" t="s">
        <v>37</v>
      </c>
      <c r="T765">
        <v>30222</v>
      </c>
      <c r="U765">
        <v>33840</v>
      </c>
      <c r="V765" t="s">
        <v>37</v>
      </c>
    </row>
    <row r="766" spans="1:22">
      <c r="A766" t="str">
        <f t="shared" si="161"/>
        <v>05/03/2026</v>
      </c>
      <c r="B766" t="str">
        <f t="shared" si="156"/>
        <v>SAÍDA</v>
      </c>
      <c r="C766" t="str">
        <f t="shared" si="159"/>
        <v>PIX</v>
      </c>
      <c r="D766" t="str">
        <f>"33842"</f>
        <v>33842</v>
      </c>
      <c r="E766" t="str">
        <f t="shared" si="162"/>
        <v>1</v>
      </c>
      <c r="F766" t="str">
        <f t="shared" si="158"/>
        <v>COM</v>
      </c>
      <c r="G766" t="str">
        <f>"FELIPE CHARLES SANTANA DEGASPARE (1246)"</f>
        <v>FELIPE CHARLES SANTANA DEGASPARE (1246)</v>
      </c>
      <c r="H766" t="str">
        <f>"Serv.Prest. 23/02/2026 a 01/03/2026 - PIX: CPF - CHAVE: 373.103.168-00"</f>
        <v>Serv.Prest. 23/02/2026 a 01/03/2026 - PIX: CPF - CHAVE: 373.103.168-00</v>
      </c>
      <c r="I766" t="str">
        <f t="shared" si="157"/>
        <v>05/03/2026</v>
      </c>
      <c r="J766" t="str">
        <f t="shared" si="163"/>
        <v>02/03/2026</v>
      </c>
      <c r="K766" t="str">
        <f>("05/03/2026")</f>
        <v>05/03/2026</v>
      </c>
      <c r="L766">
        <v>1197</v>
      </c>
      <c r="M766">
        <v>1197</v>
      </c>
      <c r="N766">
        <v>109</v>
      </c>
      <c r="O766" t="str">
        <f>"PAGAMENTO DE ENTREGADORES"</f>
        <v>PAGAMENTO DE ENTREGADORES</v>
      </c>
      <c r="P766">
        <v>1197</v>
      </c>
      <c r="S766" t="str">
        <f>"BANCO C6 (149)"</f>
        <v>BANCO C6 (149)</v>
      </c>
      <c r="T766">
        <v>30223</v>
      </c>
      <c r="U766">
        <v>33842</v>
      </c>
      <c r="V766" t="s">
        <v>37</v>
      </c>
    </row>
    <row r="767" spans="1:22">
      <c r="A767" t="str">
        <f t="shared" si="161"/>
        <v>05/03/2026</v>
      </c>
      <c r="B767" t="str">
        <f t="shared" si="156"/>
        <v>SAÍDA</v>
      </c>
      <c r="C767" t="str">
        <f t="shared" si="159"/>
        <v>PIX</v>
      </c>
      <c r="D767" t="str">
        <f>"33842"</f>
        <v>33842</v>
      </c>
      <c r="E767" t="str">
        <f t="shared" si="162"/>
        <v>1</v>
      </c>
      <c r="F767" t="str">
        <f t="shared" si="158"/>
        <v>COM</v>
      </c>
      <c r="G767" t="str">
        <f>"FELIPE CHARLES SANTANA DEGASPARE (1246)"</f>
        <v>FELIPE CHARLES SANTANA DEGASPARE (1246)</v>
      </c>
      <c r="H767" t="s">
        <v>303</v>
      </c>
      <c r="I767" t="str">
        <f t="shared" si="157"/>
        <v>05/03/2026</v>
      </c>
      <c r="J767" t="str">
        <f t="shared" si="163"/>
        <v>02/03/2026</v>
      </c>
      <c r="K767">
        <v>46086</v>
      </c>
      <c r="N767">
        <v>109</v>
      </c>
      <c r="O767" t="s">
        <v>27</v>
      </c>
      <c r="Q767">
        <v>1197</v>
      </c>
      <c r="R767" t="str">
        <f>"BEM TE FAZ LOJA 3 (10287)"</f>
        <v>BEM TE FAZ LOJA 3 (10287)</v>
      </c>
      <c r="S767" t="s">
        <v>37</v>
      </c>
      <c r="T767">
        <v>30223</v>
      </c>
      <c r="U767">
        <v>33842</v>
      </c>
      <c r="V767" t="s">
        <v>37</v>
      </c>
    </row>
    <row r="768" spans="1:22">
      <c r="A768" t="str">
        <f t="shared" si="161"/>
        <v>05/03/2026</v>
      </c>
      <c r="B768" t="str">
        <f t="shared" si="156"/>
        <v>SAÍDA</v>
      </c>
      <c r="C768" t="str">
        <f t="shared" si="159"/>
        <v>PIX</v>
      </c>
      <c r="D768" t="str">
        <f>"33843"</f>
        <v>33843</v>
      </c>
      <c r="E768" t="str">
        <f t="shared" si="162"/>
        <v>1</v>
      </c>
      <c r="F768" t="str">
        <f t="shared" si="158"/>
        <v>COM</v>
      </c>
      <c r="G768" t="str">
        <f>"HIGOR DE SOUZA MACEDO (1273)"</f>
        <v>HIGOR DE SOUZA MACEDO (1273)</v>
      </c>
      <c r="H768" t="str">
        <f>"Serv.Prest. 23/02/2026 a 01/03/2026 - PIX: CELULAR - CHAVE: (19) 99893-1311"</f>
        <v>Serv.Prest. 23/02/2026 a 01/03/2026 - PIX: CELULAR - CHAVE: (19) 99893-1311</v>
      </c>
      <c r="I768" t="str">
        <f t="shared" si="157"/>
        <v>05/03/2026</v>
      </c>
      <c r="J768" t="str">
        <f t="shared" si="163"/>
        <v>02/03/2026</v>
      </c>
      <c r="K768" t="str">
        <f>("05/03/2026")</f>
        <v>05/03/2026</v>
      </c>
      <c r="L768">
        <v>1141</v>
      </c>
      <c r="M768">
        <v>1141</v>
      </c>
      <c r="N768">
        <v>109</v>
      </c>
      <c r="O768" t="str">
        <f>"PAGAMENTO DE ENTREGADORES"</f>
        <v>PAGAMENTO DE ENTREGADORES</v>
      </c>
      <c r="P768">
        <v>1141</v>
      </c>
      <c r="S768" t="str">
        <f>"BANCO C6 (149)"</f>
        <v>BANCO C6 (149)</v>
      </c>
      <c r="T768">
        <v>30224</v>
      </c>
      <c r="U768">
        <v>33843</v>
      </c>
      <c r="V768" t="s">
        <v>37</v>
      </c>
    </row>
    <row r="769" spans="1:22">
      <c r="A769" t="str">
        <f t="shared" si="161"/>
        <v>05/03/2026</v>
      </c>
      <c r="B769" t="str">
        <f t="shared" ref="B769:B832" si="164">"SAÍDA"</f>
        <v>SAÍDA</v>
      </c>
      <c r="C769" t="str">
        <f t="shared" si="159"/>
        <v>PIX</v>
      </c>
      <c r="D769" t="str">
        <f>"33843"</f>
        <v>33843</v>
      </c>
      <c r="E769" t="str">
        <f t="shared" si="162"/>
        <v>1</v>
      </c>
      <c r="F769" t="str">
        <f t="shared" si="158"/>
        <v>COM</v>
      </c>
      <c r="G769" t="str">
        <f>"HIGOR DE SOUZA MACEDO (1273)"</f>
        <v>HIGOR DE SOUZA MACEDO (1273)</v>
      </c>
      <c r="H769" t="s">
        <v>304</v>
      </c>
      <c r="I769" t="str">
        <f t="shared" ref="I769:I832" si="165">("05/03/2026")</f>
        <v>05/03/2026</v>
      </c>
      <c r="J769" t="str">
        <f t="shared" si="163"/>
        <v>02/03/2026</v>
      </c>
      <c r="K769">
        <v>46086</v>
      </c>
      <c r="N769">
        <v>109</v>
      </c>
      <c r="O769" t="s">
        <v>27</v>
      </c>
      <c r="Q769">
        <v>524.97</v>
      </c>
      <c r="R769" t="str">
        <f>"BEM TE FAZ LOJA 6 (10284)"</f>
        <v>BEM TE FAZ LOJA 6 (10284)</v>
      </c>
      <c r="S769" t="s">
        <v>37</v>
      </c>
      <c r="T769">
        <v>30224</v>
      </c>
      <c r="U769">
        <v>33843</v>
      </c>
      <c r="V769" t="s">
        <v>37</v>
      </c>
    </row>
    <row r="770" spans="1:22">
      <c r="A770" t="str">
        <f t="shared" si="161"/>
        <v>05/03/2026</v>
      </c>
      <c r="B770" t="str">
        <f t="shared" si="164"/>
        <v>SAÍDA</v>
      </c>
      <c r="C770" t="str">
        <f t="shared" si="159"/>
        <v>PIX</v>
      </c>
      <c r="D770" t="str">
        <f>"33843"</f>
        <v>33843</v>
      </c>
      <c r="E770" t="str">
        <f t="shared" si="162"/>
        <v>1</v>
      </c>
      <c r="F770" t="str">
        <f t="shared" ref="F770:F833" si="166">"COM"</f>
        <v>COM</v>
      </c>
      <c r="G770" t="str">
        <f>"HIGOR DE SOUZA MACEDO (1273)"</f>
        <v>HIGOR DE SOUZA MACEDO (1273)</v>
      </c>
      <c r="H770" t="s">
        <v>304</v>
      </c>
      <c r="I770" t="str">
        <f t="shared" si="165"/>
        <v>05/03/2026</v>
      </c>
      <c r="J770" t="str">
        <f t="shared" si="163"/>
        <v>02/03/2026</v>
      </c>
      <c r="K770">
        <v>46086</v>
      </c>
      <c r="N770">
        <v>109</v>
      </c>
      <c r="O770" t="s">
        <v>27</v>
      </c>
      <c r="Q770">
        <v>434.04</v>
      </c>
      <c r="R770" t="str">
        <f>"BEM TE FAZ LOJA 7 (10285)"</f>
        <v>BEM TE FAZ LOJA 7 (10285)</v>
      </c>
      <c r="S770" t="s">
        <v>37</v>
      </c>
      <c r="T770">
        <v>30224</v>
      </c>
      <c r="U770">
        <v>33843</v>
      </c>
      <c r="V770" t="s">
        <v>37</v>
      </c>
    </row>
    <row r="771" spans="1:22">
      <c r="A771" t="str">
        <f t="shared" si="161"/>
        <v>05/03/2026</v>
      </c>
      <c r="B771" t="str">
        <f t="shared" si="164"/>
        <v>SAÍDA</v>
      </c>
      <c r="C771" t="str">
        <f t="shared" ref="C771:C834" si="167">"PIX"</f>
        <v>PIX</v>
      </c>
      <c r="D771" t="str">
        <f>"33843"</f>
        <v>33843</v>
      </c>
      <c r="E771" t="str">
        <f t="shared" si="162"/>
        <v>1</v>
      </c>
      <c r="F771" t="str">
        <f t="shared" si="166"/>
        <v>COM</v>
      </c>
      <c r="G771" t="str">
        <f>"HIGOR DE SOUZA MACEDO (1273)"</f>
        <v>HIGOR DE SOUZA MACEDO (1273)</v>
      </c>
      <c r="H771" t="s">
        <v>304</v>
      </c>
      <c r="I771" t="str">
        <f t="shared" si="165"/>
        <v>05/03/2026</v>
      </c>
      <c r="J771" t="str">
        <f t="shared" si="163"/>
        <v>02/03/2026</v>
      </c>
      <c r="K771">
        <v>46086</v>
      </c>
      <c r="N771">
        <v>109</v>
      </c>
      <c r="O771" t="s">
        <v>27</v>
      </c>
      <c r="Q771">
        <v>175.03</v>
      </c>
      <c r="R771" t="str">
        <f>"BEM TE FAZ LOJA 9 (10286)"</f>
        <v>BEM TE FAZ LOJA 9 (10286)</v>
      </c>
      <c r="S771" t="s">
        <v>37</v>
      </c>
      <c r="T771">
        <v>30224</v>
      </c>
      <c r="U771">
        <v>33843</v>
      </c>
      <c r="V771" t="s">
        <v>37</v>
      </c>
    </row>
    <row r="772" spans="1:22">
      <c r="A772" t="str">
        <f t="shared" si="161"/>
        <v>05/03/2026</v>
      </c>
      <c r="B772" t="str">
        <f t="shared" si="164"/>
        <v>SAÍDA</v>
      </c>
      <c r="C772" t="str">
        <f t="shared" si="167"/>
        <v>PIX</v>
      </c>
      <c r="D772" t="str">
        <f>"33843"</f>
        <v>33843</v>
      </c>
      <c r="E772" t="str">
        <f t="shared" si="162"/>
        <v>1</v>
      </c>
      <c r="F772" t="str">
        <f t="shared" si="166"/>
        <v>COM</v>
      </c>
      <c r="G772" t="str">
        <f>"HIGOR DE SOUZA MACEDO (1273)"</f>
        <v>HIGOR DE SOUZA MACEDO (1273)</v>
      </c>
      <c r="H772" t="s">
        <v>304</v>
      </c>
      <c r="I772" t="str">
        <f t="shared" si="165"/>
        <v>05/03/2026</v>
      </c>
      <c r="J772" t="str">
        <f t="shared" si="163"/>
        <v>02/03/2026</v>
      </c>
      <c r="K772">
        <v>46086</v>
      </c>
      <c r="N772">
        <v>109</v>
      </c>
      <c r="O772" t="s">
        <v>27</v>
      </c>
      <c r="Q772">
        <v>6.96</v>
      </c>
      <c r="R772" t="str">
        <f>"BEM TE FAZ 05 (10294)"</f>
        <v>BEM TE FAZ 05 (10294)</v>
      </c>
      <c r="S772" t="s">
        <v>37</v>
      </c>
      <c r="T772">
        <v>30224</v>
      </c>
      <c r="U772">
        <v>33843</v>
      </c>
      <c r="V772" t="s">
        <v>37</v>
      </c>
    </row>
    <row r="773" spans="1:22">
      <c r="A773" t="str">
        <f t="shared" si="161"/>
        <v>05/03/2026</v>
      </c>
      <c r="B773" t="str">
        <f t="shared" si="164"/>
        <v>SAÍDA</v>
      </c>
      <c r="C773" t="str">
        <f t="shared" si="167"/>
        <v>PIX</v>
      </c>
      <c r="D773" t="str">
        <f>"33844"</f>
        <v>33844</v>
      </c>
      <c r="E773" t="str">
        <f t="shared" si="162"/>
        <v>1</v>
      </c>
      <c r="F773" t="str">
        <f t="shared" si="166"/>
        <v>COM</v>
      </c>
      <c r="G773" t="str">
        <f>"IVANILDO RODRIGUES CUSTODIO (1198)"</f>
        <v>IVANILDO RODRIGUES CUSTODIO (1198)</v>
      </c>
      <c r="H773" t="str">
        <f>"Serv.Prest. 23/02/2026 a 01/03/2026 - PIX: CPF - CHAVE: 085.309.406-36"</f>
        <v>Serv.Prest. 23/02/2026 a 01/03/2026 - PIX: CPF - CHAVE: 085.309.406-36</v>
      </c>
      <c r="I773" t="str">
        <f t="shared" si="165"/>
        <v>05/03/2026</v>
      </c>
      <c r="J773" t="str">
        <f t="shared" si="163"/>
        <v>02/03/2026</v>
      </c>
      <c r="K773" t="str">
        <f>("05/03/2026")</f>
        <v>05/03/2026</v>
      </c>
      <c r="L773">
        <v>798</v>
      </c>
      <c r="M773">
        <v>798</v>
      </c>
      <c r="N773">
        <v>109</v>
      </c>
      <c r="O773" t="str">
        <f>"PAGAMENTO DE ENTREGADORES"</f>
        <v>PAGAMENTO DE ENTREGADORES</v>
      </c>
      <c r="P773">
        <v>798</v>
      </c>
      <c r="S773" t="str">
        <f>"BANCO C6 (149)"</f>
        <v>BANCO C6 (149)</v>
      </c>
      <c r="T773">
        <v>30225</v>
      </c>
      <c r="U773">
        <v>33844</v>
      </c>
      <c r="V773" t="s">
        <v>37</v>
      </c>
    </row>
    <row r="774" spans="1:22">
      <c r="A774" t="str">
        <f t="shared" si="161"/>
        <v>05/03/2026</v>
      </c>
      <c r="B774" t="str">
        <f t="shared" si="164"/>
        <v>SAÍDA</v>
      </c>
      <c r="C774" t="str">
        <f t="shared" si="167"/>
        <v>PIX</v>
      </c>
      <c r="D774" t="str">
        <f>"33844"</f>
        <v>33844</v>
      </c>
      <c r="E774" t="str">
        <f t="shared" si="162"/>
        <v>1</v>
      </c>
      <c r="F774" t="str">
        <f t="shared" si="166"/>
        <v>COM</v>
      </c>
      <c r="G774" t="str">
        <f>"IVANILDO RODRIGUES CUSTODIO (1198)"</f>
        <v>IVANILDO RODRIGUES CUSTODIO (1198)</v>
      </c>
      <c r="H774" t="s">
        <v>305</v>
      </c>
      <c r="I774" t="str">
        <f t="shared" si="165"/>
        <v>05/03/2026</v>
      </c>
      <c r="J774" t="str">
        <f t="shared" si="163"/>
        <v>02/03/2026</v>
      </c>
      <c r="K774">
        <v>46086</v>
      </c>
      <c r="N774">
        <v>109</v>
      </c>
      <c r="O774" t="s">
        <v>27</v>
      </c>
      <c r="Q774">
        <v>749.01</v>
      </c>
      <c r="R774" t="str">
        <f>"BEM TE FAZ LOJA 6 (10284)"</f>
        <v>BEM TE FAZ LOJA 6 (10284)</v>
      </c>
      <c r="S774" t="s">
        <v>37</v>
      </c>
      <c r="T774">
        <v>30225</v>
      </c>
      <c r="U774">
        <v>33844</v>
      </c>
      <c r="V774" t="s">
        <v>37</v>
      </c>
    </row>
    <row r="775" spans="1:22">
      <c r="A775" t="str">
        <f t="shared" si="161"/>
        <v>05/03/2026</v>
      </c>
      <c r="B775" t="str">
        <f t="shared" si="164"/>
        <v>SAÍDA</v>
      </c>
      <c r="C775" t="str">
        <f t="shared" si="167"/>
        <v>PIX</v>
      </c>
      <c r="D775" t="str">
        <f>"33844"</f>
        <v>33844</v>
      </c>
      <c r="E775" t="str">
        <f t="shared" si="162"/>
        <v>1</v>
      </c>
      <c r="F775" t="str">
        <f t="shared" si="166"/>
        <v>COM</v>
      </c>
      <c r="G775" t="str">
        <f>"IVANILDO RODRIGUES CUSTODIO (1198)"</f>
        <v>IVANILDO RODRIGUES CUSTODIO (1198)</v>
      </c>
      <c r="H775" t="s">
        <v>305</v>
      </c>
      <c r="I775" t="str">
        <f t="shared" si="165"/>
        <v>05/03/2026</v>
      </c>
      <c r="J775" t="str">
        <f t="shared" si="163"/>
        <v>02/03/2026</v>
      </c>
      <c r="K775">
        <v>46086</v>
      </c>
      <c r="N775">
        <v>109</v>
      </c>
      <c r="O775" t="s">
        <v>27</v>
      </c>
      <c r="Q775">
        <v>7.02</v>
      </c>
      <c r="R775" t="str">
        <f>"BEM TE FAZ LOJA 7 (10285)"</f>
        <v>BEM TE FAZ LOJA 7 (10285)</v>
      </c>
      <c r="S775" t="s">
        <v>37</v>
      </c>
      <c r="T775">
        <v>30225</v>
      </c>
      <c r="U775">
        <v>33844</v>
      </c>
      <c r="V775" t="s">
        <v>37</v>
      </c>
    </row>
    <row r="776" spans="1:22">
      <c r="A776" t="str">
        <f t="shared" si="161"/>
        <v>05/03/2026</v>
      </c>
      <c r="B776" t="str">
        <f t="shared" si="164"/>
        <v>SAÍDA</v>
      </c>
      <c r="C776" t="str">
        <f t="shared" si="167"/>
        <v>PIX</v>
      </c>
      <c r="D776" t="str">
        <f>"33844"</f>
        <v>33844</v>
      </c>
      <c r="E776" t="str">
        <f t="shared" si="162"/>
        <v>1</v>
      </c>
      <c r="F776" t="str">
        <f t="shared" si="166"/>
        <v>COM</v>
      </c>
      <c r="G776" t="str">
        <f>"IVANILDO RODRIGUES CUSTODIO (1198)"</f>
        <v>IVANILDO RODRIGUES CUSTODIO (1198)</v>
      </c>
      <c r="H776" t="s">
        <v>305</v>
      </c>
      <c r="I776" t="str">
        <f t="shared" si="165"/>
        <v>05/03/2026</v>
      </c>
      <c r="J776" t="str">
        <f t="shared" si="163"/>
        <v>02/03/2026</v>
      </c>
      <c r="K776">
        <v>46086</v>
      </c>
      <c r="N776">
        <v>109</v>
      </c>
      <c r="O776" t="s">
        <v>27</v>
      </c>
      <c r="Q776">
        <v>41.97</v>
      </c>
      <c r="R776" t="str">
        <f>"BEM TE FAZ 05 (10294)"</f>
        <v>BEM TE FAZ 05 (10294)</v>
      </c>
      <c r="S776" t="s">
        <v>37</v>
      </c>
      <c r="T776">
        <v>30225</v>
      </c>
      <c r="U776">
        <v>33844</v>
      </c>
      <c r="V776" t="s">
        <v>37</v>
      </c>
    </row>
    <row r="777" spans="1:22">
      <c r="A777" t="str">
        <f t="shared" si="161"/>
        <v>05/03/2026</v>
      </c>
      <c r="B777" t="str">
        <f t="shared" si="164"/>
        <v>SAÍDA</v>
      </c>
      <c r="C777" t="str">
        <f t="shared" si="167"/>
        <v>PIX</v>
      </c>
      <c r="D777" t="str">
        <f>"33845"</f>
        <v>33845</v>
      </c>
      <c r="E777" t="str">
        <f t="shared" si="162"/>
        <v>1</v>
      </c>
      <c r="F777" t="str">
        <f t="shared" si="166"/>
        <v>COM</v>
      </c>
      <c r="G777" t="str">
        <f>"JHONATHAN RODRIGUES MOREIRA (1280)"</f>
        <v>JHONATHAN RODRIGUES MOREIRA (1280)</v>
      </c>
      <c r="H777" t="str">
        <f>"Serv.Prest. 23/02/2026 a 01/03/2026 - PIX: CPF - CHAVE: 397.101.368-60"</f>
        <v>Serv.Prest. 23/02/2026 a 01/03/2026 - PIX: CPF - CHAVE: 397.101.368-60</v>
      </c>
      <c r="I777" t="str">
        <f t="shared" si="165"/>
        <v>05/03/2026</v>
      </c>
      <c r="J777" t="str">
        <f t="shared" si="163"/>
        <v>02/03/2026</v>
      </c>
      <c r="K777" t="str">
        <f>("05/03/2026")</f>
        <v>05/03/2026</v>
      </c>
      <c r="L777">
        <v>896</v>
      </c>
      <c r="M777">
        <v>896</v>
      </c>
      <c r="N777">
        <v>109</v>
      </c>
      <c r="O777" t="str">
        <f>"PAGAMENTO DE ENTREGADORES"</f>
        <v>PAGAMENTO DE ENTREGADORES</v>
      </c>
      <c r="P777">
        <v>896</v>
      </c>
      <c r="S777" t="str">
        <f>"BANCO C6 (149)"</f>
        <v>BANCO C6 (149)</v>
      </c>
      <c r="T777">
        <v>30226</v>
      </c>
      <c r="U777">
        <v>33845</v>
      </c>
      <c r="V777" t="s">
        <v>37</v>
      </c>
    </row>
    <row r="778" spans="1:22">
      <c r="A778" t="str">
        <f t="shared" si="161"/>
        <v>05/03/2026</v>
      </c>
      <c r="B778" t="str">
        <f t="shared" si="164"/>
        <v>SAÍDA</v>
      </c>
      <c r="C778" t="str">
        <f t="shared" si="167"/>
        <v>PIX</v>
      </c>
      <c r="D778" t="str">
        <f>"33845"</f>
        <v>33845</v>
      </c>
      <c r="E778" t="str">
        <f t="shared" si="162"/>
        <v>1</v>
      </c>
      <c r="F778" t="str">
        <f t="shared" si="166"/>
        <v>COM</v>
      </c>
      <c r="G778" t="str">
        <f>"JHONATHAN RODRIGUES MOREIRA (1280)"</f>
        <v>JHONATHAN RODRIGUES MOREIRA (1280)</v>
      </c>
      <c r="H778" t="s">
        <v>306</v>
      </c>
      <c r="I778" t="str">
        <f t="shared" si="165"/>
        <v>05/03/2026</v>
      </c>
      <c r="J778" t="str">
        <f t="shared" si="163"/>
        <v>02/03/2026</v>
      </c>
      <c r="K778">
        <v>46086</v>
      </c>
      <c r="N778">
        <v>109</v>
      </c>
      <c r="O778" t="s">
        <v>27</v>
      </c>
      <c r="Q778">
        <v>896</v>
      </c>
      <c r="R778" t="str">
        <f>"BEM TE FAZ LOJA 3 (10287)"</f>
        <v>BEM TE FAZ LOJA 3 (10287)</v>
      </c>
      <c r="S778" t="s">
        <v>37</v>
      </c>
      <c r="T778">
        <v>30226</v>
      </c>
      <c r="U778">
        <v>33845</v>
      </c>
      <c r="V778" t="s">
        <v>37</v>
      </c>
    </row>
    <row r="779" spans="1:22">
      <c r="A779" t="str">
        <f t="shared" si="161"/>
        <v>05/03/2026</v>
      </c>
      <c r="B779" t="str">
        <f t="shared" si="164"/>
        <v>SAÍDA</v>
      </c>
      <c r="C779" t="str">
        <f t="shared" si="167"/>
        <v>PIX</v>
      </c>
      <c r="D779" t="str">
        <f>"33846"</f>
        <v>33846</v>
      </c>
      <c r="E779" t="str">
        <f t="shared" si="162"/>
        <v>1</v>
      </c>
      <c r="F779" t="str">
        <f t="shared" si="166"/>
        <v>COM</v>
      </c>
      <c r="G779" t="str">
        <f>"JOAO VITOR DA SILVA (1232)"</f>
        <v>JOAO VITOR DA SILVA (1232)</v>
      </c>
      <c r="H779" t="str">
        <f>"Serv.Prest. 23/02/2026 a 01/03/2026 - PIX: CPF - CHAVE: 438.843.248-29"</f>
        <v>Serv.Prest. 23/02/2026 a 01/03/2026 - PIX: CPF - CHAVE: 438.843.248-29</v>
      </c>
      <c r="I779" t="str">
        <f t="shared" si="165"/>
        <v>05/03/2026</v>
      </c>
      <c r="J779" t="str">
        <f t="shared" si="163"/>
        <v>02/03/2026</v>
      </c>
      <c r="K779" t="str">
        <f>("05/03/2026")</f>
        <v>05/03/2026</v>
      </c>
      <c r="L779">
        <v>1286</v>
      </c>
      <c r="M779">
        <v>1286</v>
      </c>
      <c r="N779">
        <v>109</v>
      </c>
      <c r="O779" t="str">
        <f>"PAGAMENTO DE ENTREGADORES"</f>
        <v>PAGAMENTO DE ENTREGADORES</v>
      </c>
      <c r="P779">
        <v>1286</v>
      </c>
      <c r="S779" t="str">
        <f>"BANCO C6 (149)"</f>
        <v>BANCO C6 (149)</v>
      </c>
      <c r="T779">
        <v>30227</v>
      </c>
      <c r="U779">
        <v>33846</v>
      </c>
      <c r="V779" t="s">
        <v>37</v>
      </c>
    </row>
    <row r="780" spans="1:22">
      <c r="A780" t="str">
        <f t="shared" si="161"/>
        <v>05/03/2026</v>
      </c>
      <c r="B780" t="str">
        <f t="shared" si="164"/>
        <v>SAÍDA</v>
      </c>
      <c r="C780" t="str">
        <f t="shared" si="167"/>
        <v>PIX</v>
      </c>
      <c r="D780" t="str">
        <f>"33846"</f>
        <v>33846</v>
      </c>
      <c r="E780" t="str">
        <f t="shared" si="162"/>
        <v>1</v>
      </c>
      <c r="F780" t="str">
        <f t="shared" si="166"/>
        <v>COM</v>
      </c>
      <c r="G780" t="str">
        <f>"JOAO VITOR DA SILVA (1232)"</f>
        <v>JOAO VITOR DA SILVA (1232)</v>
      </c>
      <c r="H780" t="s">
        <v>307</v>
      </c>
      <c r="I780" t="str">
        <f t="shared" si="165"/>
        <v>05/03/2026</v>
      </c>
      <c r="J780" t="str">
        <f t="shared" si="163"/>
        <v>02/03/2026</v>
      </c>
      <c r="K780">
        <v>46086</v>
      </c>
      <c r="N780">
        <v>109</v>
      </c>
      <c r="O780" t="s">
        <v>27</v>
      </c>
      <c r="Q780">
        <v>1286</v>
      </c>
      <c r="R780" t="str">
        <f>"BEM TE FAZ LOJA 3 (10287)"</f>
        <v>BEM TE FAZ LOJA 3 (10287)</v>
      </c>
      <c r="S780" t="s">
        <v>37</v>
      </c>
      <c r="T780">
        <v>30227</v>
      </c>
      <c r="U780">
        <v>33846</v>
      </c>
      <c r="V780" t="s">
        <v>37</v>
      </c>
    </row>
    <row r="781" spans="1:22">
      <c r="A781" t="str">
        <f t="shared" si="161"/>
        <v>05/03/2026</v>
      </c>
      <c r="B781" t="str">
        <f t="shared" si="164"/>
        <v>SAÍDA</v>
      </c>
      <c r="C781" t="str">
        <f t="shared" si="167"/>
        <v>PIX</v>
      </c>
      <c r="D781" t="str">
        <f>"33847"</f>
        <v>33847</v>
      </c>
      <c r="E781" t="str">
        <f t="shared" si="162"/>
        <v>1</v>
      </c>
      <c r="F781" t="str">
        <f t="shared" si="166"/>
        <v>COM</v>
      </c>
      <c r="G781" t="str">
        <f>"JORGE HENRIQUE DA SILVA BRASIL (1203)"</f>
        <v>JORGE HENRIQUE DA SILVA BRASIL (1203)</v>
      </c>
      <c r="H781" t="str">
        <f>"Serv.Prest. 23/02/2026 a 01/03/2026 - PIX: CELULAR - CHAVE: (19) 99674-2835"</f>
        <v>Serv.Prest. 23/02/2026 a 01/03/2026 - PIX: CELULAR - CHAVE: (19) 99674-2835</v>
      </c>
      <c r="I781" t="str">
        <f t="shared" si="165"/>
        <v>05/03/2026</v>
      </c>
      <c r="J781" t="str">
        <f t="shared" si="163"/>
        <v>02/03/2026</v>
      </c>
      <c r="K781" t="str">
        <f>("05/03/2026")</f>
        <v>05/03/2026</v>
      </c>
      <c r="L781">
        <v>1204</v>
      </c>
      <c r="M781">
        <v>1204</v>
      </c>
      <c r="N781">
        <v>109</v>
      </c>
      <c r="O781" t="str">
        <f>"PAGAMENTO DE ENTREGADORES"</f>
        <v>PAGAMENTO DE ENTREGADORES</v>
      </c>
      <c r="P781">
        <v>1204</v>
      </c>
      <c r="S781" t="str">
        <f>"BANCO C6 (149)"</f>
        <v>BANCO C6 (149)</v>
      </c>
      <c r="T781">
        <v>30228</v>
      </c>
      <c r="U781">
        <v>33847</v>
      </c>
      <c r="V781" t="s">
        <v>37</v>
      </c>
    </row>
    <row r="782" spans="1:22">
      <c r="A782" t="str">
        <f t="shared" si="161"/>
        <v>05/03/2026</v>
      </c>
      <c r="B782" t="str">
        <f t="shared" si="164"/>
        <v>SAÍDA</v>
      </c>
      <c r="C782" t="str">
        <f t="shared" si="167"/>
        <v>PIX</v>
      </c>
      <c r="D782" t="str">
        <f>"33847"</f>
        <v>33847</v>
      </c>
      <c r="E782" t="str">
        <f t="shared" si="162"/>
        <v>1</v>
      </c>
      <c r="F782" t="str">
        <f t="shared" si="166"/>
        <v>COM</v>
      </c>
      <c r="G782" t="str">
        <f>"JORGE HENRIQUE DA SILVA BRASIL (1203)"</f>
        <v>JORGE HENRIQUE DA SILVA BRASIL (1203)</v>
      </c>
      <c r="H782" t="s">
        <v>308</v>
      </c>
      <c r="I782" t="str">
        <f t="shared" si="165"/>
        <v>05/03/2026</v>
      </c>
      <c r="J782" t="str">
        <f t="shared" si="163"/>
        <v>02/03/2026</v>
      </c>
      <c r="K782">
        <v>46086</v>
      </c>
      <c r="N782">
        <v>109</v>
      </c>
      <c r="O782" t="s">
        <v>27</v>
      </c>
      <c r="Q782">
        <v>1148.02</v>
      </c>
      <c r="R782" t="str">
        <f>"BEM TE FAZ LOJA 6 (10284)"</f>
        <v>BEM TE FAZ LOJA 6 (10284)</v>
      </c>
      <c r="S782" t="s">
        <v>37</v>
      </c>
      <c r="T782">
        <v>30228</v>
      </c>
      <c r="U782">
        <v>33847</v>
      </c>
      <c r="V782" t="s">
        <v>37</v>
      </c>
    </row>
    <row r="783" spans="1:22">
      <c r="A783" t="str">
        <f t="shared" si="161"/>
        <v>05/03/2026</v>
      </c>
      <c r="B783" t="str">
        <f t="shared" si="164"/>
        <v>SAÍDA</v>
      </c>
      <c r="C783" t="str">
        <f t="shared" si="167"/>
        <v>PIX</v>
      </c>
      <c r="D783" t="str">
        <f>"33847"</f>
        <v>33847</v>
      </c>
      <c r="E783" t="str">
        <f t="shared" si="162"/>
        <v>1</v>
      </c>
      <c r="F783" t="str">
        <f t="shared" si="166"/>
        <v>COM</v>
      </c>
      <c r="G783" t="str">
        <f>"JORGE HENRIQUE DA SILVA BRASIL (1203)"</f>
        <v>JORGE HENRIQUE DA SILVA BRASIL (1203)</v>
      </c>
      <c r="H783" t="s">
        <v>308</v>
      </c>
      <c r="I783" t="str">
        <f t="shared" si="165"/>
        <v>05/03/2026</v>
      </c>
      <c r="J783" t="str">
        <f t="shared" si="163"/>
        <v>02/03/2026</v>
      </c>
      <c r="K783">
        <v>46086</v>
      </c>
      <c r="N783">
        <v>109</v>
      </c>
      <c r="O783" t="s">
        <v>27</v>
      </c>
      <c r="Q783">
        <v>28.05</v>
      </c>
      <c r="R783" t="str">
        <f>"BEM TE FAZ LOJA 7 (10285)"</f>
        <v>BEM TE FAZ LOJA 7 (10285)</v>
      </c>
      <c r="S783" t="s">
        <v>37</v>
      </c>
      <c r="T783">
        <v>30228</v>
      </c>
      <c r="U783">
        <v>33847</v>
      </c>
      <c r="V783" t="s">
        <v>37</v>
      </c>
    </row>
    <row r="784" spans="1:22">
      <c r="A784" t="str">
        <f t="shared" si="161"/>
        <v>05/03/2026</v>
      </c>
      <c r="B784" t="str">
        <f t="shared" si="164"/>
        <v>SAÍDA</v>
      </c>
      <c r="C784" t="str">
        <f t="shared" si="167"/>
        <v>PIX</v>
      </c>
      <c r="D784" t="str">
        <f>"33847"</f>
        <v>33847</v>
      </c>
      <c r="E784" t="str">
        <f t="shared" si="162"/>
        <v>1</v>
      </c>
      <c r="F784" t="str">
        <f t="shared" si="166"/>
        <v>COM</v>
      </c>
      <c r="G784" t="str">
        <f>"JORGE HENRIQUE DA SILVA BRASIL (1203)"</f>
        <v>JORGE HENRIQUE DA SILVA BRASIL (1203)</v>
      </c>
      <c r="H784" t="s">
        <v>308</v>
      </c>
      <c r="I784" t="str">
        <f t="shared" si="165"/>
        <v>05/03/2026</v>
      </c>
      <c r="J784" t="str">
        <f t="shared" si="163"/>
        <v>02/03/2026</v>
      </c>
      <c r="K784">
        <v>46086</v>
      </c>
      <c r="N784">
        <v>109</v>
      </c>
      <c r="O784" t="s">
        <v>27</v>
      </c>
      <c r="Q784">
        <v>27.93</v>
      </c>
      <c r="R784" t="str">
        <f>"BEM TE FAZ LOJA 9 (10286)"</f>
        <v>BEM TE FAZ LOJA 9 (10286)</v>
      </c>
      <c r="S784" t="s">
        <v>37</v>
      </c>
      <c r="T784">
        <v>30228</v>
      </c>
      <c r="U784">
        <v>33847</v>
      </c>
      <c r="V784" t="s">
        <v>37</v>
      </c>
    </row>
    <row r="785" spans="1:22">
      <c r="A785" t="str">
        <f t="shared" si="161"/>
        <v>05/03/2026</v>
      </c>
      <c r="B785" t="str">
        <f t="shared" si="164"/>
        <v>SAÍDA</v>
      </c>
      <c r="C785" t="str">
        <f t="shared" si="167"/>
        <v>PIX</v>
      </c>
      <c r="D785" t="str">
        <f>"33848"</f>
        <v>33848</v>
      </c>
      <c r="E785" t="str">
        <f t="shared" si="162"/>
        <v>1</v>
      </c>
      <c r="F785" t="str">
        <f t="shared" si="166"/>
        <v>COM</v>
      </c>
      <c r="G785" t="str">
        <f>"LUCAS PAIVA DE OLIVEIRA SOUSA (1226)"</f>
        <v>LUCAS PAIVA DE OLIVEIRA SOUSA (1226)</v>
      </c>
      <c r="H785" t="str">
        <f>"Serv.Prest. 23/02/2026 a 01/03/2026 - PIX: CELULAR - CHAVE: (19) 98258-0687"</f>
        <v>Serv.Prest. 23/02/2026 a 01/03/2026 - PIX: CELULAR - CHAVE: (19) 98258-0687</v>
      </c>
      <c r="I785" t="str">
        <f t="shared" si="165"/>
        <v>05/03/2026</v>
      </c>
      <c r="J785" t="str">
        <f t="shared" si="163"/>
        <v>02/03/2026</v>
      </c>
      <c r="K785" t="str">
        <f>("05/03/2026")</f>
        <v>05/03/2026</v>
      </c>
      <c r="L785">
        <v>696</v>
      </c>
      <c r="M785">
        <v>696</v>
      </c>
      <c r="N785">
        <v>109</v>
      </c>
      <c r="O785" t="str">
        <f>"PAGAMENTO DE ENTREGADORES"</f>
        <v>PAGAMENTO DE ENTREGADORES</v>
      </c>
      <c r="P785">
        <v>696</v>
      </c>
      <c r="S785" t="str">
        <f>"BANCO C6 (149)"</f>
        <v>BANCO C6 (149)</v>
      </c>
      <c r="T785">
        <v>30229</v>
      </c>
      <c r="U785">
        <v>33848</v>
      </c>
      <c r="V785" t="s">
        <v>37</v>
      </c>
    </row>
    <row r="786" spans="1:22">
      <c r="A786" t="str">
        <f t="shared" si="161"/>
        <v>05/03/2026</v>
      </c>
      <c r="B786" t="str">
        <f t="shared" si="164"/>
        <v>SAÍDA</v>
      </c>
      <c r="C786" t="str">
        <f t="shared" si="167"/>
        <v>PIX</v>
      </c>
      <c r="D786" t="str">
        <f>"33848"</f>
        <v>33848</v>
      </c>
      <c r="E786" t="str">
        <f t="shared" si="162"/>
        <v>1</v>
      </c>
      <c r="F786" t="str">
        <f t="shared" si="166"/>
        <v>COM</v>
      </c>
      <c r="G786" t="str">
        <f>"LUCAS PAIVA DE OLIVEIRA SOUSA (1226)"</f>
        <v>LUCAS PAIVA DE OLIVEIRA SOUSA (1226)</v>
      </c>
      <c r="H786" t="s">
        <v>309</v>
      </c>
      <c r="I786" t="str">
        <f t="shared" si="165"/>
        <v>05/03/2026</v>
      </c>
      <c r="J786" t="str">
        <f t="shared" si="163"/>
        <v>02/03/2026</v>
      </c>
      <c r="K786">
        <v>46086</v>
      </c>
      <c r="N786">
        <v>109</v>
      </c>
      <c r="O786" t="s">
        <v>27</v>
      </c>
      <c r="Q786">
        <v>696</v>
      </c>
      <c r="R786" t="str">
        <f>"BEM TE FAZ LOJA 3 (10287)"</f>
        <v>BEM TE FAZ LOJA 3 (10287)</v>
      </c>
      <c r="S786" t="s">
        <v>37</v>
      </c>
      <c r="T786">
        <v>30229</v>
      </c>
      <c r="U786">
        <v>33848</v>
      </c>
      <c r="V786" t="s">
        <v>37</v>
      </c>
    </row>
    <row r="787" spans="1:22">
      <c r="A787" t="str">
        <f t="shared" si="161"/>
        <v>05/03/2026</v>
      </c>
      <c r="B787" t="str">
        <f t="shared" si="164"/>
        <v>SAÍDA</v>
      </c>
      <c r="C787" t="str">
        <f t="shared" si="167"/>
        <v>PIX</v>
      </c>
      <c r="D787" t="str">
        <f>"33849"</f>
        <v>33849</v>
      </c>
      <c r="E787" t="str">
        <f t="shared" si="162"/>
        <v>1</v>
      </c>
      <c r="F787" t="str">
        <f t="shared" si="166"/>
        <v>COM</v>
      </c>
      <c r="G787" t="str">
        <f>"MAICON ALVES DA SILVA (1205)"</f>
        <v>MAICON ALVES DA SILVA (1205)</v>
      </c>
      <c r="H787" t="str">
        <f>"Serv.Prest. 23/02/2026 a 01/03/2026 - PIX: CNPJ - CHAVE: 48.182.907/0001-45"</f>
        <v>Serv.Prest. 23/02/2026 a 01/03/2026 - PIX: CNPJ - CHAVE: 48.182.907/0001-45</v>
      </c>
      <c r="I787" t="str">
        <f t="shared" si="165"/>
        <v>05/03/2026</v>
      </c>
      <c r="J787" t="str">
        <f t="shared" si="163"/>
        <v>02/03/2026</v>
      </c>
      <c r="K787" t="str">
        <f>("05/03/2026")</f>
        <v>05/03/2026</v>
      </c>
      <c r="L787">
        <v>1057</v>
      </c>
      <c r="M787">
        <v>1057</v>
      </c>
      <c r="N787">
        <v>109</v>
      </c>
      <c r="O787" t="str">
        <f>"PAGAMENTO DE ENTREGADORES"</f>
        <v>PAGAMENTO DE ENTREGADORES</v>
      </c>
      <c r="P787">
        <v>1057</v>
      </c>
      <c r="S787" t="str">
        <f>"BANCO C6 (149)"</f>
        <v>BANCO C6 (149)</v>
      </c>
      <c r="T787">
        <v>30230</v>
      </c>
      <c r="U787">
        <v>33849</v>
      </c>
      <c r="V787" t="s">
        <v>37</v>
      </c>
    </row>
    <row r="788" spans="1:22">
      <c r="A788" t="str">
        <f t="shared" si="161"/>
        <v>05/03/2026</v>
      </c>
      <c r="B788" t="str">
        <f t="shared" si="164"/>
        <v>SAÍDA</v>
      </c>
      <c r="C788" t="str">
        <f t="shared" si="167"/>
        <v>PIX</v>
      </c>
      <c r="D788" t="str">
        <f>"33849"</f>
        <v>33849</v>
      </c>
      <c r="E788" t="str">
        <f t="shared" si="162"/>
        <v>1</v>
      </c>
      <c r="F788" t="str">
        <f t="shared" si="166"/>
        <v>COM</v>
      </c>
      <c r="G788" t="str">
        <f>"MAICON ALVES DA SILVA (1205)"</f>
        <v>MAICON ALVES DA SILVA (1205)</v>
      </c>
      <c r="H788" t="s">
        <v>310</v>
      </c>
      <c r="I788" t="str">
        <f t="shared" si="165"/>
        <v>05/03/2026</v>
      </c>
      <c r="J788" t="str">
        <f t="shared" si="163"/>
        <v>02/03/2026</v>
      </c>
      <c r="K788">
        <v>46086</v>
      </c>
      <c r="N788">
        <v>109</v>
      </c>
      <c r="O788" t="s">
        <v>27</v>
      </c>
      <c r="Q788">
        <v>13.95</v>
      </c>
      <c r="R788" t="str">
        <f>"BEM TE FAZ LOJA 6 (10284)"</f>
        <v>BEM TE FAZ LOJA 6 (10284)</v>
      </c>
      <c r="S788" t="s">
        <v>37</v>
      </c>
      <c r="T788">
        <v>30230</v>
      </c>
      <c r="U788">
        <v>33849</v>
      </c>
      <c r="V788" t="s">
        <v>37</v>
      </c>
    </row>
    <row r="789" spans="1:22">
      <c r="A789" t="str">
        <f t="shared" si="161"/>
        <v>05/03/2026</v>
      </c>
      <c r="B789" t="str">
        <f t="shared" si="164"/>
        <v>SAÍDA</v>
      </c>
      <c r="C789" t="str">
        <f t="shared" si="167"/>
        <v>PIX</v>
      </c>
      <c r="D789" t="str">
        <f>"33849"</f>
        <v>33849</v>
      </c>
      <c r="E789" t="str">
        <f t="shared" si="162"/>
        <v>1</v>
      </c>
      <c r="F789" t="str">
        <f t="shared" si="166"/>
        <v>COM</v>
      </c>
      <c r="G789" t="str">
        <f>"MAICON ALVES DA SILVA (1205)"</f>
        <v>MAICON ALVES DA SILVA (1205)</v>
      </c>
      <c r="H789" t="s">
        <v>310</v>
      </c>
      <c r="I789" t="str">
        <f t="shared" si="165"/>
        <v>05/03/2026</v>
      </c>
      <c r="J789" t="str">
        <f t="shared" si="163"/>
        <v>02/03/2026</v>
      </c>
      <c r="K789">
        <v>46086</v>
      </c>
      <c r="N789">
        <v>109</v>
      </c>
      <c r="O789" t="s">
        <v>27</v>
      </c>
      <c r="Q789">
        <v>1035.97</v>
      </c>
      <c r="R789" t="str">
        <f>"BEM TE FAZ LOJA 9 (10286)"</f>
        <v>BEM TE FAZ LOJA 9 (10286)</v>
      </c>
      <c r="S789" t="s">
        <v>37</v>
      </c>
      <c r="T789">
        <v>30230</v>
      </c>
      <c r="U789">
        <v>33849</v>
      </c>
      <c r="V789" t="s">
        <v>37</v>
      </c>
    </row>
    <row r="790" spans="1:22">
      <c r="A790" t="str">
        <f t="shared" si="161"/>
        <v>05/03/2026</v>
      </c>
      <c r="B790" t="str">
        <f t="shared" si="164"/>
        <v>SAÍDA</v>
      </c>
      <c r="C790" t="str">
        <f t="shared" si="167"/>
        <v>PIX</v>
      </c>
      <c r="D790" t="str">
        <f>"33849"</f>
        <v>33849</v>
      </c>
      <c r="E790" t="str">
        <f t="shared" si="162"/>
        <v>1</v>
      </c>
      <c r="F790" t="str">
        <f t="shared" si="166"/>
        <v>COM</v>
      </c>
      <c r="G790" t="str">
        <f>"MAICON ALVES DA SILVA (1205)"</f>
        <v>MAICON ALVES DA SILVA (1205)</v>
      </c>
      <c r="H790" t="s">
        <v>310</v>
      </c>
      <c r="I790" t="str">
        <f t="shared" si="165"/>
        <v>05/03/2026</v>
      </c>
      <c r="J790" t="str">
        <f t="shared" si="163"/>
        <v>02/03/2026</v>
      </c>
      <c r="K790">
        <v>46086</v>
      </c>
      <c r="N790">
        <v>109</v>
      </c>
      <c r="O790" t="s">
        <v>27</v>
      </c>
      <c r="Q790">
        <v>7.08</v>
      </c>
      <c r="R790" t="str">
        <f>"BEM TE FAZ LOJA 8 (10297)"</f>
        <v>BEM TE FAZ LOJA 8 (10297)</v>
      </c>
      <c r="S790" t="s">
        <v>37</v>
      </c>
      <c r="T790">
        <v>30230</v>
      </c>
      <c r="U790">
        <v>33849</v>
      </c>
      <c r="V790" t="s">
        <v>37</v>
      </c>
    </row>
    <row r="791" spans="1:22">
      <c r="A791" t="str">
        <f t="shared" si="161"/>
        <v>05/03/2026</v>
      </c>
      <c r="B791" t="str">
        <f t="shared" si="164"/>
        <v>SAÍDA</v>
      </c>
      <c r="C791" t="str">
        <f t="shared" si="167"/>
        <v>PIX</v>
      </c>
      <c r="D791" t="str">
        <f>"33850"</f>
        <v>33850</v>
      </c>
      <c r="E791" t="str">
        <f t="shared" si="162"/>
        <v>1</v>
      </c>
      <c r="F791" t="str">
        <f t="shared" si="166"/>
        <v>COM</v>
      </c>
      <c r="G791" t="str">
        <f>"MICHEL AFONSO BRITO CORREIA (1167)"</f>
        <v>MICHEL AFONSO BRITO CORREIA (1167)</v>
      </c>
      <c r="H791" t="str">
        <f>"Serv.Prest. 23/02/2026 a 01/03/2026 - PIX: CELULAR - CHAVE: (19) 97145-1624"</f>
        <v>Serv.Prest. 23/02/2026 a 01/03/2026 - PIX: CELULAR - CHAVE: (19) 97145-1624</v>
      </c>
      <c r="I791" t="str">
        <f t="shared" si="165"/>
        <v>05/03/2026</v>
      </c>
      <c r="J791" t="str">
        <f t="shared" si="163"/>
        <v>02/03/2026</v>
      </c>
      <c r="K791" t="str">
        <f>("05/03/2026")</f>
        <v>05/03/2026</v>
      </c>
      <c r="L791">
        <v>1134</v>
      </c>
      <c r="M791">
        <v>1134</v>
      </c>
      <c r="N791">
        <v>109</v>
      </c>
      <c r="O791" t="str">
        <f>"PAGAMENTO DE ENTREGADORES"</f>
        <v>PAGAMENTO DE ENTREGADORES</v>
      </c>
      <c r="P791">
        <v>1134</v>
      </c>
      <c r="S791" t="str">
        <f>"BANCO C6 (149)"</f>
        <v>BANCO C6 (149)</v>
      </c>
      <c r="T791">
        <v>30231</v>
      </c>
      <c r="U791">
        <v>33850</v>
      </c>
      <c r="V791" t="s">
        <v>37</v>
      </c>
    </row>
    <row r="792" spans="1:22">
      <c r="A792" t="str">
        <f t="shared" si="161"/>
        <v>05/03/2026</v>
      </c>
      <c r="B792" t="str">
        <f t="shared" si="164"/>
        <v>SAÍDA</v>
      </c>
      <c r="C792" t="str">
        <f t="shared" si="167"/>
        <v>PIX</v>
      </c>
      <c r="D792" t="str">
        <f>"33850"</f>
        <v>33850</v>
      </c>
      <c r="E792" t="str">
        <f t="shared" si="162"/>
        <v>1</v>
      </c>
      <c r="F792" t="str">
        <f t="shared" si="166"/>
        <v>COM</v>
      </c>
      <c r="G792" t="str">
        <f>"MICHEL AFONSO BRITO CORREIA (1167)"</f>
        <v>MICHEL AFONSO BRITO CORREIA (1167)</v>
      </c>
      <c r="H792" t="s">
        <v>311</v>
      </c>
      <c r="I792" t="str">
        <f t="shared" si="165"/>
        <v>05/03/2026</v>
      </c>
      <c r="J792" t="str">
        <f t="shared" si="163"/>
        <v>02/03/2026</v>
      </c>
      <c r="K792">
        <v>46086</v>
      </c>
      <c r="N792">
        <v>109</v>
      </c>
      <c r="O792" t="s">
        <v>27</v>
      </c>
      <c r="Q792">
        <v>1085.01</v>
      </c>
      <c r="R792" t="str">
        <f>"BEM TE FAZ LOJA 7 (10285)"</f>
        <v>BEM TE FAZ LOJA 7 (10285)</v>
      </c>
      <c r="S792" t="s">
        <v>37</v>
      </c>
      <c r="T792">
        <v>30231</v>
      </c>
      <c r="U792">
        <v>33850</v>
      </c>
      <c r="V792" t="s">
        <v>37</v>
      </c>
    </row>
    <row r="793" spans="1:22">
      <c r="A793" t="str">
        <f t="shared" si="161"/>
        <v>05/03/2026</v>
      </c>
      <c r="B793" t="str">
        <f t="shared" si="164"/>
        <v>SAÍDA</v>
      </c>
      <c r="C793" t="str">
        <f t="shared" si="167"/>
        <v>PIX</v>
      </c>
      <c r="D793" t="str">
        <f>"33850"</f>
        <v>33850</v>
      </c>
      <c r="E793" t="str">
        <f t="shared" si="162"/>
        <v>1</v>
      </c>
      <c r="F793" t="str">
        <f t="shared" si="166"/>
        <v>COM</v>
      </c>
      <c r="G793" t="str">
        <f>"MICHEL AFONSO BRITO CORREIA (1167)"</f>
        <v>MICHEL AFONSO BRITO CORREIA (1167)</v>
      </c>
      <c r="H793" t="s">
        <v>311</v>
      </c>
      <c r="I793" t="str">
        <f t="shared" si="165"/>
        <v>05/03/2026</v>
      </c>
      <c r="J793" t="str">
        <f t="shared" si="163"/>
        <v>02/03/2026</v>
      </c>
      <c r="K793">
        <v>46086</v>
      </c>
      <c r="N793">
        <v>109</v>
      </c>
      <c r="O793" t="s">
        <v>27</v>
      </c>
      <c r="Q793">
        <v>13.95</v>
      </c>
      <c r="R793" t="str">
        <f>"BEM TE FAZ LOJA 9 (10286)"</f>
        <v>BEM TE FAZ LOJA 9 (10286)</v>
      </c>
      <c r="S793" t="s">
        <v>37</v>
      </c>
      <c r="T793">
        <v>30231</v>
      </c>
      <c r="U793">
        <v>33850</v>
      </c>
      <c r="V793" t="s">
        <v>37</v>
      </c>
    </row>
    <row r="794" spans="1:22">
      <c r="A794" t="str">
        <f t="shared" si="161"/>
        <v>05/03/2026</v>
      </c>
      <c r="B794" t="str">
        <f t="shared" si="164"/>
        <v>SAÍDA</v>
      </c>
      <c r="C794" t="str">
        <f t="shared" si="167"/>
        <v>PIX</v>
      </c>
      <c r="D794" t="str">
        <f>"33850"</f>
        <v>33850</v>
      </c>
      <c r="E794" t="str">
        <f t="shared" si="162"/>
        <v>1</v>
      </c>
      <c r="F794" t="str">
        <f t="shared" si="166"/>
        <v>COM</v>
      </c>
      <c r="G794" t="str">
        <f>"MICHEL AFONSO BRITO CORREIA (1167)"</f>
        <v>MICHEL AFONSO BRITO CORREIA (1167)</v>
      </c>
      <c r="H794" t="s">
        <v>311</v>
      </c>
      <c r="I794" t="str">
        <f t="shared" si="165"/>
        <v>05/03/2026</v>
      </c>
      <c r="J794" t="str">
        <f t="shared" si="163"/>
        <v>02/03/2026</v>
      </c>
      <c r="K794">
        <v>46086</v>
      </c>
      <c r="N794">
        <v>109</v>
      </c>
      <c r="O794" t="s">
        <v>27</v>
      </c>
      <c r="Q794">
        <v>35.04</v>
      </c>
      <c r="R794" t="str">
        <f>"BEM TE FAZ LOJA 8 (10297)"</f>
        <v>BEM TE FAZ LOJA 8 (10297)</v>
      </c>
      <c r="S794" t="s">
        <v>37</v>
      </c>
      <c r="T794">
        <v>30231</v>
      </c>
      <c r="U794">
        <v>33850</v>
      </c>
      <c r="V794" t="s">
        <v>37</v>
      </c>
    </row>
    <row r="795" spans="1:22">
      <c r="A795" t="str">
        <f t="shared" si="161"/>
        <v>05/03/2026</v>
      </c>
      <c r="B795" t="str">
        <f t="shared" si="164"/>
        <v>SAÍDA</v>
      </c>
      <c r="C795" t="str">
        <f t="shared" si="167"/>
        <v>PIX</v>
      </c>
      <c r="D795" t="str">
        <f>"33851"</f>
        <v>33851</v>
      </c>
      <c r="E795" t="str">
        <f t="shared" si="162"/>
        <v>1</v>
      </c>
      <c r="F795" t="str">
        <f t="shared" si="166"/>
        <v>COM</v>
      </c>
      <c r="G795" t="str">
        <f>"MIRIAN DE PAULO OLIVEIRA (1237)"</f>
        <v>MIRIAN DE PAULO OLIVEIRA (1237)</v>
      </c>
      <c r="H795" t="str">
        <f>"Serv.Prest. 23/02/2026 a 01/03/2026 - PIX: CELULAR - CHAVE: (19) 99994-0858"</f>
        <v>Serv.Prest. 23/02/2026 a 01/03/2026 - PIX: CELULAR - CHAVE: (19) 99994-0858</v>
      </c>
      <c r="I795" t="str">
        <f t="shared" si="165"/>
        <v>05/03/2026</v>
      </c>
      <c r="J795" t="str">
        <f t="shared" ref="J795:J826" si="168">("02/03/2026")</f>
        <v>02/03/2026</v>
      </c>
      <c r="K795" t="str">
        <f>("05/03/2026")</f>
        <v>05/03/2026</v>
      </c>
      <c r="L795">
        <v>1316</v>
      </c>
      <c r="M795">
        <v>1316</v>
      </c>
      <c r="N795">
        <v>109</v>
      </c>
      <c r="O795" t="str">
        <f>"PAGAMENTO DE ENTREGADORES"</f>
        <v>PAGAMENTO DE ENTREGADORES</v>
      </c>
      <c r="P795">
        <v>1316</v>
      </c>
      <c r="S795" t="str">
        <f>"BANCO C6 (149)"</f>
        <v>BANCO C6 (149)</v>
      </c>
      <c r="T795">
        <v>30232</v>
      </c>
      <c r="U795">
        <v>33851</v>
      </c>
      <c r="V795" t="s">
        <v>37</v>
      </c>
    </row>
    <row r="796" spans="1:22">
      <c r="A796" t="str">
        <f t="shared" si="161"/>
        <v>05/03/2026</v>
      </c>
      <c r="B796" t="str">
        <f t="shared" si="164"/>
        <v>SAÍDA</v>
      </c>
      <c r="C796" t="str">
        <f t="shared" si="167"/>
        <v>PIX</v>
      </c>
      <c r="D796" t="str">
        <f>"33851"</f>
        <v>33851</v>
      </c>
      <c r="E796" t="str">
        <f t="shared" si="162"/>
        <v>1</v>
      </c>
      <c r="F796" t="str">
        <f t="shared" si="166"/>
        <v>COM</v>
      </c>
      <c r="G796" t="str">
        <f>"MIRIAN DE PAULO OLIVEIRA (1237)"</f>
        <v>MIRIAN DE PAULO OLIVEIRA (1237)</v>
      </c>
      <c r="H796" t="s">
        <v>312</v>
      </c>
      <c r="I796" t="str">
        <f t="shared" si="165"/>
        <v>05/03/2026</v>
      </c>
      <c r="J796" t="str">
        <f t="shared" si="168"/>
        <v>02/03/2026</v>
      </c>
      <c r="K796">
        <v>46086</v>
      </c>
      <c r="N796">
        <v>109</v>
      </c>
      <c r="O796" t="s">
        <v>27</v>
      </c>
      <c r="Q796">
        <v>1316</v>
      </c>
      <c r="R796" t="str">
        <f>"BEM TE FAZ LOJA 3 (10287)"</f>
        <v>BEM TE FAZ LOJA 3 (10287)</v>
      </c>
      <c r="S796" t="s">
        <v>37</v>
      </c>
      <c r="T796">
        <v>30232</v>
      </c>
      <c r="U796">
        <v>33851</v>
      </c>
      <c r="V796" t="s">
        <v>37</v>
      </c>
    </row>
    <row r="797" spans="1:22">
      <c r="A797" t="str">
        <f t="shared" si="161"/>
        <v>05/03/2026</v>
      </c>
      <c r="B797" t="str">
        <f t="shared" si="164"/>
        <v>SAÍDA</v>
      </c>
      <c r="C797" t="str">
        <f t="shared" si="167"/>
        <v>PIX</v>
      </c>
      <c r="D797" t="str">
        <f>"33852"</f>
        <v>33852</v>
      </c>
      <c r="E797" t="str">
        <f t="shared" si="162"/>
        <v>1</v>
      </c>
      <c r="F797" t="str">
        <f t="shared" si="166"/>
        <v>COM</v>
      </c>
      <c r="G797" t="str">
        <f>"RAFAEL LUCIO ASSIS BERNARDES (1269)"</f>
        <v>RAFAEL LUCIO ASSIS BERNARDES (1269)</v>
      </c>
      <c r="H797" t="str">
        <f>"Serv.Prest. 23/02/2026 a 01/03/2026 - PIX: CELULAR - CHAVE: (19) 97822-4918"</f>
        <v>Serv.Prest. 23/02/2026 a 01/03/2026 - PIX: CELULAR - CHAVE: (19) 97822-4918</v>
      </c>
      <c r="I797" t="str">
        <f t="shared" si="165"/>
        <v>05/03/2026</v>
      </c>
      <c r="J797" t="str">
        <f t="shared" si="168"/>
        <v>02/03/2026</v>
      </c>
      <c r="K797" t="str">
        <f>("05/03/2026")</f>
        <v>05/03/2026</v>
      </c>
      <c r="L797">
        <v>686</v>
      </c>
      <c r="M797">
        <v>686</v>
      </c>
      <c r="N797">
        <v>109</v>
      </c>
      <c r="O797" t="str">
        <f>"PAGAMENTO DE ENTREGADORES"</f>
        <v>PAGAMENTO DE ENTREGADORES</v>
      </c>
      <c r="P797">
        <v>686</v>
      </c>
      <c r="S797" t="str">
        <f>"BANCO C6 (149)"</f>
        <v>BANCO C6 (149)</v>
      </c>
      <c r="T797">
        <v>30233</v>
      </c>
      <c r="U797">
        <v>33852</v>
      </c>
      <c r="V797" t="s">
        <v>37</v>
      </c>
    </row>
    <row r="798" spans="1:22">
      <c r="A798" t="str">
        <f t="shared" si="161"/>
        <v>05/03/2026</v>
      </c>
      <c r="B798" t="str">
        <f t="shared" si="164"/>
        <v>SAÍDA</v>
      </c>
      <c r="C798" t="str">
        <f t="shared" si="167"/>
        <v>PIX</v>
      </c>
      <c r="D798" t="str">
        <f>"33852"</f>
        <v>33852</v>
      </c>
      <c r="E798" t="str">
        <f t="shared" si="162"/>
        <v>1</v>
      </c>
      <c r="F798" t="str">
        <f t="shared" si="166"/>
        <v>COM</v>
      </c>
      <c r="G798" t="str">
        <f>"RAFAEL LUCIO ASSIS BERNARDES (1269)"</f>
        <v>RAFAEL LUCIO ASSIS BERNARDES (1269)</v>
      </c>
      <c r="H798" t="s">
        <v>313</v>
      </c>
      <c r="I798" t="str">
        <f t="shared" si="165"/>
        <v>05/03/2026</v>
      </c>
      <c r="J798" t="str">
        <f t="shared" si="168"/>
        <v>02/03/2026</v>
      </c>
      <c r="K798">
        <v>46086</v>
      </c>
      <c r="N798">
        <v>109</v>
      </c>
      <c r="O798" t="s">
        <v>27</v>
      </c>
      <c r="Q798">
        <v>637.71</v>
      </c>
      <c r="R798" t="str">
        <f>"BEM TE FAZ LOJA 6 (10284)"</f>
        <v>BEM TE FAZ LOJA 6 (10284)</v>
      </c>
      <c r="S798" t="s">
        <v>37</v>
      </c>
      <c r="T798">
        <v>30233</v>
      </c>
      <c r="U798">
        <v>33852</v>
      </c>
      <c r="V798" t="s">
        <v>37</v>
      </c>
    </row>
    <row r="799" spans="1:22">
      <c r="A799" t="str">
        <f t="shared" si="161"/>
        <v>05/03/2026</v>
      </c>
      <c r="B799" t="str">
        <f t="shared" si="164"/>
        <v>SAÍDA</v>
      </c>
      <c r="C799" t="str">
        <f t="shared" si="167"/>
        <v>PIX</v>
      </c>
      <c r="D799" t="str">
        <f>"33852"</f>
        <v>33852</v>
      </c>
      <c r="E799" t="str">
        <f t="shared" si="162"/>
        <v>1</v>
      </c>
      <c r="F799" t="str">
        <f t="shared" si="166"/>
        <v>COM</v>
      </c>
      <c r="G799" t="str">
        <f>"RAFAEL LUCIO ASSIS BERNARDES (1269)"</f>
        <v>RAFAEL LUCIO ASSIS BERNARDES (1269)</v>
      </c>
      <c r="H799" t="s">
        <v>313</v>
      </c>
      <c r="I799" t="str">
        <f t="shared" si="165"/>
        <v>05/03/2026</v>
      </c>
      <c r="J799" t="str">
        <f t="shared" si="168"/>
        <v>02/03/2026</v>
      </c>
      <c r="K799">
        <v>46086</v>
      </c>
      <c r="N799">
        <v>109</v>
      </c>
      <c r="O799" t="s">
        <v>27</v>
      </c>
      <c r="Q799">
        <v>38.619999999999997</v>
      </c>
      <c r="R799" t="str">
        <f>"BEM TE FAZ LOJA 9 (10286)"</f>
        <v>BEM TE FAZ LOJA 9 (10286)</v>
      </c>
      <c r="S799" t="s">
        <v>37</v>
      </c>
      <c r="T799">
        <v>30233</v>
      </c>
      <c r="U799">
        <v>33852</v>
      </c>
      <c r="V799" t="s">
        <v>37</v>
      </c>
    </row>
    <row r="800" spans="1:22">
      <c r="A800" t="str">
        <f t="shared" ref="A800:A863" si="169">("05/03/2026")</f>
        <v>05/03/2026</v>
      </c>
      <c r="B800" t="str">
        <f t="shared" si="164"/>
        <v>SAÍDA</v>
      </c>
      <c r="C800" t="str">
        <f t="shared" si="167"/>
        <v>PIX</v>
      </c>
      <c r="D800" t="str">
        <f>"33852"</f>
        <v>33852</v>
      </c>
      <c r="E800" t="str">
        <f t="shared" si="162"/>
        <v>1</v>
      </c>
      <c r="F800" t="str">
        <f t="shared" si="166"/>
        <v>COM</v>
      </c>
      <c r="G800" t="str">
        <f>"RAFAEL LUCIO ASSIS BERNARDES (1269)"</f>
        <v>RAFAEL LUCIO ASSIS BERNARDES (1269)</v>
      </c>
      <c r="H800" t="s">
        <v>313</v>
      </c>
      <c r="I800" t="str">
        <f t="shared" si="165"/>
        <v>05/03/2026</v>
      </c>
      <c r="J800" t="str">
        <f t="shared" si="168"/>
        <v>02/03/2026</v>
      </c>
      <c r="K800">
        <v>46086</v>
      </c>
      <c r="N800">
        <v>109</v>
      </c>
      <c r="O800" t="s">
        <v>27</v>
      </c>
      <c r="Q800">
        <v>9.67</v>
      </c>
      <c r="R800" t="str">
        <f>"BEM TE FAZ 05 (10294)"</f>
        <v>BEM TE FAZ 05 (10294)</v>
      </c>
      <c r="S800" t="s">
        <v>37</v>
      </c>
      <c r="T800">
        <v>30233</v>
      </c>
      <c r="U800">
        <v>33852</v>
      </c>
      <c r="V800" t="s">
        <v>37</v>
      </c>
    </row>
    <row r="801" spans="1:22">
      <c r="A801" t="str">
        <f t="shared" si="169"/>
        <v>05/03/2026</v>
      </c>
      <c r="B801" t="str">
        <f t="shared" si="164"/>
        <v>SAÍDA</v>
      </c>
      <c r="C801" t="str">
        <f t="shared" si="167"/>
        <v>PIX</v>
      </c>
      <c r="D801" t="str">
        <f>"33853"</f>
        <v>33853</v>
      </c>
      <c r="E801" t="str">
        <f t="shared" si="162"/>
        <v>1</v>
      </c>
      <c r="F801" t="str">
        <f t="shared" si="166"/>
        <v>COM</v>
      </c>
      <c r="G801" t="str">
        <f>"RICARDO PERIN DE SOUZA (1272)"</f>
        <v>RICARDO PERIN DE SOUZA (1272)</v>
      </c>
      <c r="H801" t="str">
        <f>"Serv.Prest. 23/02/2026 a 01/03/2026 - PIX: CPF - CHAVE: 472.998.978-30"</f>
        <v>Serv.Prest. 23/02/2026 a 01/03/2026 - PIX: CPF - CHAVE: 472.998.978-30</v>
      </c>
      <c r="I801" t="str">
        <f t="shared" si="165"/>
        <v>05/03/2026</v>
      </c>
      <c r="J801" t="str">
        <f t="shared" si="168"/>
        <v>02/03/2026</v>
      </c>
      <c r="K801" t="str">
        <f>("05/03/2026")</f>
        <v>05/03/2026</v>
      </c>
      <c r="L801">
        <v>1071</v>
      </c>
      <c r="M801">
        <v>1071</v>
      </c>
      <c r="N801">
        <v>109</v>
      </c>
      <c r="O801" t="str">
        <f>"PAGAMENTO DE ENTREGADORES"</f>
        <v>PAGAMENTO DE ENTREGADORES</v>
      </c>
      <c r="P801">
        <v>1071</v>
      </c>
      <c r="S801" t="str">
        <f>"BANCO C6 (149)"</f>
        <v>BANCO C6 (149)</v>
      </c>
      <c r="T801">
        <v>30234</v>
      </c>
      <c r="U801">
        <v>33853</v>
      </c>
      <c r="V801" t="s">
        <v>37</v>
      </c>
    </row>
    <row r="802" spans="1:22">
      <c r="A802" t="str">
        <f t="shared" si="169"/>
        <v>05/03/2026</v>
      </c>
      <c r="B802" t="str">
        <f t="shared" si="164"/>
        <v>SAÍDA</v>
      </c>
      <c r="C802" t="str">
        <f t="shared" si="167"/>
        <v>PIX</v>
      </c>
      <c r="D802" t="str">
        <f>"33853"</f>
        <v>33853</v>
      </c>
      <c r="E802" t="str">
        <f t="shared" si="162"/>
        <v>1</v>
      </c>
      <c r="F802" t="str">
        <f t="shared" si="166"/>
        <v>COM</v>
      </c>
      <c r="G802" t="str">
        <f>"RICARDO PERIN DE SOUZA (1272)"</f>
        <v>RICARDO PERIN DE SOUZA (1272)</v>
      </c>
      <c r="H802" t="s">
        <v>314</v>
      </c>
      <c r="I802" t="str">
        <f t="shared" si="165"/>
        <v>05/03/2026</v>
      </c>
      <c r="J802" t="str">
        <f t="shared" si="168"/>
        <v>02/03/2026</v>
      </c>
      <c r="K802">
        <v>46086</v>
      </c>
      <c r="N802">
        <v>109</v>
      </c>
      <c r="O802" t="s">
        <v>27</v>
      </c>
      <c r="Q802">
        <v>1071</v>
      </c>
      <c r="R802" t="str">
        <f>"BEM TE FAZ LOJA 3 (10287)"</f>
        <v>BEM TE FAZ LOJA 3 (10287)</v>
      </c>
      <c r="S802" t="s">
        <v>37</v>
      </c>
      <c r="T802">
        <v>30234</v>
      </c>
      <c r="U802">
        <v>33853</v>
      </c>
      <c r="V802" t="s">
        <v>37</v>
      </c>
    </row>
    <row r="803" spans="1:22">
      <c r="A803" t="str">
        <f t="shared" si="169"/>
        <v>05/03/2026</v>
      </c>
      <c r="B803" t="str">
        <f t="shared" si="164"/>
        <v>SAÍDA</v>
      </c>
      <c r="C803" t="str">
        <f t="shared" si="167"/>
        <v>PIX</v>
      </c>
      <c r="D803" t="str">
        <f>"33854"</f>
        <v>33854</v>
      </c>
      <c r="E803" t="str">
        <f t="shared" si="162"/>
        <v>1</v>
      </c>
      <c r="F803" t="str">
        <f t="shared" si="166"/>
        <v>COM</v>
      </c>
      <c r="G803" t="str">
        <f>"SAMUEL HENRIQUE DE SOUSA (1335)"</f>
        <v>SAMUEL HENRIQUE DE SOUSA (1335)</v>
      </c>
      <c r="H803" t="str">
        <f>"Serv.Prest. 23/02/2026 a 01/03/2026 - PIX: CPF - CHAVE: 533.495.008-70"</f>
        <v>Serv.Prest. 23/02/2026 a 01/03/2026 - PIX: CPF - CHAVE: 533.495.008-70</v>
      </c>
      <c r="I803" t="str">
        <f t="shared" si="165"/>
        <v>05/03/2026</v>
      </c>
      <c r="J803" t="str">
        <f t="shared" si="168"/>
        <v>02/03/2026</v>
      </c>
      <c r="K803" t="str">
        <f>("05/03/2026")</f>
        <v>05/03/2026</v>
      </c>
      <c r="L803">
        <v>651</v>
      </c>
      <c r="M803">
        <v>651</v>
      </c>
      <c r="N803">
        <v>109</v>
      </c>
      <c r="O803" t="str">
        <f>"PAGAMENTO DE ENTREGADORES"</f>
        <v>PAGAMENTO DE ENTREGADORES</v>
      </c>
      <c r="P803">
        <v>651</v>
      </c>
      <c r="S803" t="str">
        <f>"BANCO C6 (149)"</f>
        <v>BANCO C6 (149)</v>
      </c>
      <c r="T803">
        <v>30235</v>
      </c>
      <c r="U803">
        <v>33854</v>
      </c>
      <c r="V803" t="s">
        <v>37</v>
      </c>
    </row>
    <row r="804" spans="1:22">
      <c r="A804" t="str">
        <f t="shared" si="169"/>
        <v>05/03/2026</v>
      </c>
      <c r="B804" t="str">
        <f t="shared" si="164"/>
        <v>SAÍDA</v>
      </c>
      <c r="C804" t="str">
        <f t="shared" si="167"/>
        <v>PIX</v>
      </c>
      <c r="D804" t="str">
        <f>"33854"</f>
        <v>33854</v>
      </c>
      <c r="E804" t="str">
        <f t="shared" si="162"/>
        <v>1</v>
      </c>
      <c r="F804" t="str">
        <f t="shared" si="166"/>
        <v>COM</v>
      </c>
      <c r="G804" t="str">
        <f>"SAMUEL HENRIQUE DE SOUSA (1335)"</f>
        <v>SAMUEL HENRIQUE DE SOUSA (1335)</v>
      </c>
      <c r="H804" t="s">
        <v>315</v>
      </c>
      <c r="I804" t="str">
        <f t="shared" si="165"/>
        <v>05/03/2026</v>
      </c>
      <c r="J804" t="str">
        <f t="shared" si="168"/>
        <v>02/03/2026</v>
      </c>
      <c r="K804">
        <v>46086</v>
      </c>
      <c r="N804">
        <v>109</v>
      </c>
      <c r="O804" t="s">
        <v>27</v>
      </c>
      <c r="Q804">
        <v>392.03</v>
      </c>
      <c r="R804" t="str">
        <f>"BEM TE FAZ LOJA 6 (10284)"</f>
        <v>BEM TE FAZ LOJA 6 (10284)</v>
      </c>
      <c r="S804" t="s">
        <v>37</v>
      </c>
      <c r="T804">
        <v>30235</v>
      </c>
      <c r="U804">
        <v>33854</v>
      </c>
      <c r="V804" t="s">
        <v>37</v>
      </c>
    </row>
    <row r="805" spans="1:22">
      <c r="A805" t="str">
        <f t="shared" si="169"/>
        <v>05/03/2026</v>
      </c>
      <c r="B805" t="str">
        <f t="shared" si="164"/>
        <v>SAÍDA</v>
      </c>
      <c r="C805" t="str">
        <f t="shared" si="167"/>
        <v>PIX</v>
      </c>
      <c r="D805" t="str">
        <f>"33854"</f>
        <v>33854</v>
      </c>
      <c r="E805" t="str">
        <f t="shared" si="162"/>
        <v>1</v>
      </c>
      <c r="F805" t="str">
        <f t="shared" si="166"/>
        <v>COM</v>
      </c>
      <c r="G805" t="str">
        <f>"SAMUEL HENRIQUE DE SOUSA (1335)"</f>
        <v>SAMUEL HENRIQUE DE SOUSA (1335)</v>
      </c>
      <c r="H805" t="s">
        <v>315</v>
      </c>
      <c r="I805" t="str">
        <f t="shared" si="165"/>
        <v>05/03/2026</v>
      </c>
      <c r="J805" t="str">
        <f t="shared" si="168"/>
        <v>02/03/2026</v>
      </c>
      <c r="K805">
        <v>46086</v>
      </c>
      <c r="N805">
        <v>109</v>
      </c>
      <c r="O805" t="s">
        <v>27</v>
      </c>
      <c r="Q805">
        <v>224.01</v>
      </c>
      <c r="R805" t="str">
        <f>"BEM TE FAZ LOJA 9 (10286)"</f>
        <v>BEM TE FAZ LOJA 9 (10286)</v>
      </c>
      <c r="S805" t="s">
        <v>37</v>
      </c>
      <c r="T805">
        <v>30235</v>
      </c>
      <c r="U805">
        <v>33854</v>
      </c>
      <c r="V805" t="s">
        <v>37</v>
      </c>
    </row>
    <row r="806" spans="1:22">
      <c r="A806" t="str">
        <f t="shared" si="169"/>
        <v>05/03/2026</v>
      </c>
      <c r="B806" t="str">
        <f t="shared" si="164"/>
        <v>SAÍDA</v>
      </c>
      <c r="C806" t="str">
        <f t="shared" si="167"/>
        <v>PIX</v>
      </c>
      <c r="D806" t="str">
        <f>"33854"</f>
        <v>33854</v>
      </c>
      <c r="E806" t="str">
        <f t="shared" si="162"/>
        <v>1</v>
      </c>
      <c r="F806" t="str">
        <f t="shared" si="166"/>
        <v>COM</v>
      </c>
      <c r="G806" t="str">
        <f>"SAMUEL HENRIQUE DE SOUSA (1335)"</f>
        <v>SAMUEL HENRIQUE DE SOUSA (1335)</v>
      </c>
      <c r="H806" t="s">
        <v>315</v>
      </c>
      <c r="I806" t="str">
        <f t="shared" si="165"/>
        <v>05/03/2026</v>
      </c>
      <c r="J806" t="str">
        <f t="shared" si="168"/>
        <v>02/03/2026</v>
      </c>
      <c r="K806">
        <v>46086</v>
      </c>
      <c r="N806">
        <v>109</v>
      </c>
      <c r="O806" t="s">
        <v>27</v>
      </c>
      <c r="Q806">
        <v>34.96</v>
      </c>
      <c r="R806" t="str">
        <f>"BEM TE FAZ 05 (10294)"</f>
        <v>BEM TE FAZ 05 (10294)</v>
      </c>
      <c r="S806" t="s">
        <v>37</v>
      </c>
      <c r="T806">
        <v>30235</v>
      </c>
      <c r="U806">
        <v>33854</v>
      </c>
      <c r="V806" t="s">
        <v>37</v>
      </c>
    </row>
    <row r="807" spans="1:22">
      <c r="A807" t="str">
        <f t="shared" si="169"/>
        <v>05/03/2026</v>
      </c>
      <c r="B807" t="str">
        <f t="shared" si="164"/>
        <v>SAÍDA</v>
      </c>
      <c r="C807" t="str">
        <f t="shared" si="167"/>
        <v>PIX</v>
      </c>
      <c r="D807" t="str">
        <f>"33858"</f>
        <v>33858</v>
      </c>
      <c r="E807" t="str">
        <f t="shared" si="162"/>
        <v>1</v>
      </c>
      <c r="F807" t="str">
        <f t="shared" si="166"/>
        <v>COM</v>
      </c>
      <c r="G807" t="str">
        <f>"ALBERTO FARIAS DOS SANTOS JUNIOR (800)"</f>
        <v>ALBERTO FARIAS DOS SANTOS JUNIOR (800)</v>
      </c>
      <c r="H807" t="str">
        <f>"Serv.Prest. 23/02/2026 a 01/03/2026 - PIX: CELULAR - CHAVE: (71) 99696-7530"</f>
        <v>Serv.Prest. 23/02/2026 a 01/03/2026 - PIX: CELULAR - CHAVE: (71) 99696-7530</v>
      </c>
      <c r="I807" t="str">
        <f t="shared" si="165"/>
        <v>05/03/2026</v>
      </c>
      <c r="J807" t="str">
        <f t="shared" si="168"/>
        <v>02/03/2026</v>
      </c>
      <c r="K807" t="str">
        <f>("05/03/2026")</f>
        <v>05/03/2026</v>
      </c>
      <c r="L807">
        <v>760</v>
      </c>
      <c r="M807">
        <v>760</v>
      </c>
      <c r="N807">
        <v>109</v>
      </c>
      <c r="O807" t="str">
        <f>"PAGAMENTO DE ENTREGADORES"</f>
        <v>PAGAMENTO DE ENTREGADORES</v>
      </c>
      <c r="P807">
        <v>760</v>
      </c>
      <c r="S807" t="str">
        <f>"BANCO C6 (149)"</f>
        <v>BANCO C6 (149)</v>
      </c>
      <c r="T807">
        <v>30236</v>
      </c>
      <c r="U807">
        <v>33858</v>
      </c>
      <c r="V807" t="s">
        <v>37</v>
      </c>
    </row>
    <row r="808" spans="1:22">
      <c r="A808" t="str">
        <f t="shared" si="169"/>
        <v>05/03/2026</v>
      </c>
      <c r="B808" t="str">
        <f t="shared" si="164"/>
        <v>SAÍDA</v>
      </c>
      <c r="C808" t="str">
        <f t="shared" si="167"/>
        <v>PIX</v>
      </c>
      <c r="D808" t="str">
        <f>"33858"</f>
        <v>33858</v>
      </c>
      <c r="E808" t="str">
        <f t="shared" si="162"/>
        <v>1</v>
      </c>
      <c r="F808" t="str">
        <f t="shared" si="166"/>
        <v>COM</v>
      </c>
      <c r="G808" t="str">
        <f>"ALBERTO FARIAS DOS SANTOS JUNIOR (800)"</f>
        <v>ALBERTO FARIAS DOS SANTOS JUNIOR (800)</v>
      </c>
      <c r="H808" t="s">
        <v>316</v>
      </c>
      <c r="I808" t="str">
        <f t="shared" si="165"/>
        <v>05/03/2026</v>
      </c>
      <c r="J808" t="str">
        <f t="shared" si="168"/>
        <v>02/03/2026</v>
      </c>
      <c r="K808">
        <v>46086</v>
      </c>
      <c r="N808">
        <v>109</v>
      </c>
      <c r="O808" t="s">
        <v>27</v>
      </c>
      <c r="Q808">
        <v>760</v>
      </c>
      <c r="R808" t="str">
        <f>"DELTA LOJA 2 (10123)"</f>
        <v>DELTA LOJA 2 (10123)</v>
      </c>
      <c r="S808" t="s">
        <v>37</v>
      </c>
      <c r="T808">
        <v>30236</v>
      </c>
      <c r="U808">
        <v>33858</v>
      </c>
      <c r="V808" t="s">
        <v>37</v>
      </c>
    </row>
    <row r="809" spans="1:22">
      <c r="A809" t="str">
        <f t="shared" si="169"/>
        <v>05/03/2026</v>
      </c>
      <c r="B809" t="str">
        <f t="shared" si="164"/>
        <v>SAÍDA</v>
      </c>
      <c r="C809" t="str">
        <f t="shared" si="167"/>
        <v>PIX</v>
      </c>
      <c r="D809" t="str">
        <f>"33859"</f>
        <v>33859</v>
      </c>
      <c r="E809" t="str">
        <f t="shared" si="162"/>
        <v>1</v>
      </c>
      <c r="F809" t="str">
        <f t="shared" si="166"/>
        <v>COM</v>
      </c>
      <c r="G809" t="str">
        <f>"EDNUBIA RAMOS ALVES OLIVEIRA (899)"</f>
        <v>EDNUBIA RAMOS ALVES OLIVEIRA (899)</v>
      </c>
      <c r="H809" t="str">
        <f>"Serv.Prest. 23/02/2026 a 01/03/2026 - PIX: CELULAR - CHAVE: (71) 99214-9256"</f>
        <v>Serv.Prest. 23/02/2026 a 01/03/2026 - PIX: CELULAR - CHAVE: (71) 99214-9256</v>
      </c>
      <c r="I809" t="str">
        <f t="shared" si="165"/>
        <v>05/03/2026</v>
      </c>
      <c r="J809" t="str">
        <f t="shared" si="168"/>
        <v>02/03/2026</v>
      </c>
      <c r="K809" t="str">
        <f>("05/03/2026")</f>
        <v>05/03/2026</v>
      </c>
      <c r="L809">
        <v>760</v>
      </c>
      <c r="M809">
        <v>760</v>
      </c>
      <c r="N809">
        <v>109</v>
      </c>
      <c r="O809" t="str">
        <f>"PAGAMENTO DE ENTREGADORES"</f>
        <v>PAGAMENTO DE ENTREGADORES</v>
      </c>
      <c r="P809">
        <v>760</v>
      </c>
      <c r="S809" t="str">
        <f>"BANCO C6 (149)"</f>
        <v>BANCO C6 (149)</v>
      </c>
      <c r="T809">
        <v>30237</v>
      </c>
      <c r="U809">
        <v>33859</v>
      </c>
      <c r="V809" t="s">
        <v>37</v>
      </c>
    </row>
    <row r="810" spans="1:22">
      <c r="A810" t="str">
        <f t="shared" si="169"/>
        <v>05/03/2026</v>
      </c>
      <c r="B810" t="str">
        <f t="shared" si="164"/>
        <v>SAÍDA</v>
      </c>
      <c r="C810" t="str">
        <f t="shared" si="167"/>
        <v>PIX</v>
      </c>
      <c r="D810" t="str">
        <f>"33859"</f>
        <v>33859</v>
      </c>
      <c r="E810" t="str">
        <f t="shared" si="162"/>
        <v>1</v>
      </c>
      <c r="F810" t="str">
        <f t="shared" si="166"/>
        <v>COM</v>
      </c>
      <c r="G810" t="str">
        <f>"EDNUBIA RAMOS ALVES OLIVEIRA (899)"</f>
        <v>EDNUBIA RAMOS ALVES OLIVEIRA (899)</v>
      </c>
      <c r="H810" t="s">
        <v>317</v>
      </c>
      <c r="I810" t="str">
        <f t="shared" si="165"/>
        <v>05/03/2026</v>
      </c>
      <c r="J810" t="str">
        <f t="shared" si="168"/>
        <v>02/03/2026</v>
      </c>
      <c r="K810">
        <v>46086</v>
      </c>
      <c r="N810">
        <v>109</v>
      </c>
      <c r="O810" t="s">
        <v>27</v>
      </c>
      <c r="Q810">
        <v>760</v>
      </c>
      <c r="R810" t="str">
        <f>"DELTA LOJA 2 (10123)"</f>
        <v>DELTA LOJA 2 (10123)</v>
      </c>
      <c r="S810" t="s">
        <v>37</v>
      </c>
      <c r="T810">
        <v>30237</v>
      </c>
      <c r="U810">
        <v>33859</v>
      </c>
      <c r="V810" t="s">
        <v>37</v>
      </c>
    </row>
    <row r="811" spans="1:22">
      <c r="A811" t="str">
        <f t="shared" si="169"/>
        <v>05/03/2026</v>
      </c>
      <c r="B811" t="str">
        <f t="shared" si="164"/>
        <v>SAÍDA</v>
      </c>
      <c r="C811" t="str">
        <f t="shared" si="167"/>
        <v>PIX</v>
      </c>
      <c r="D811" t="str">
        <f>"33860"</f>
        <v>33860</v>
      </c>
      <c r="E811" t="str">
        <f t="shared" si="162"/>
        <v>1</v>
      </c>
      <c r="F811" t="str">
        <f t="shared" si="166"/>
        <v>COM</v>
      </c>
      <c r="G811" t="str">
        <f>"EDVAN DA SILVA ALVES (934)"</f>
        <v>EDVAN DA SILVA ALVES (934)</v>
      </c>
      <c r="H811" t="str">
        <f>"Serv.Prest. 23/02/2026 a 01/03/2026 - PIX: E-MAIL - CHAVE: edvam18.alves@gmail.com"</f>
        <v>Serv.Prest. 23/02/2026 a 01/03/2026 - PIX: E-MAIL - CHAVE: edvam18.alves@gmail.com</v>
      </c>
      <c r="I811" t="str">
        <f t="shared" si="165"/>
        <v>05/03/2026</v>
      </c>
      <c r="J811" t="str">
        <f t="shared" si="168"/>
        <v>02/03/2026</v>
      </c>
      <c r="K811" t="str">
        <f>("05/03/2026")</f>
        <v>05/03/2026</v>
      </c>
      <c r="L811">
        <v>750</v>
      </c>
      <c r="M811">
        <v>750</v>
      </c>
      <c r="N811">
        <v>109</v>
      </c>
      <c r="O811" t="str">
        <f>"PAGAMENTO DE ENTREGADORES"</f>
        <v>PAGAMENTO DE ENTREGADORES</v>
      </c>
      <c r="P811">
        <v>750</v>
      </c>
      <c r="S811" t="str">
        <f>"BANCO C6 (149)"</f>
        <v>BANCO C6 (149)</v>
      </c>
      <c r="T811">
        <v>30238</v>
      </c>
      <c r="U811">
        <v>33860</v>
      </c>
      <c r="V811" t="s">
        <v>37</v>
      </c>
    </row>
    <row r="812" spans="1:22">
      <c r="A812" t="str">
        <f t="shared" si="169"/>
        <v>05/03/2026</v>
      </c>
      <c r="B812" t="str">
        <f t="shared" si="164"/>
        <v>SAÍDA</v>
      </c>
      <c r="C812" t="str">
        <f t="shared" si="167"/>
        <v>PIX</v>
      </c>
      <c r="D812" t="str">
        <f>"33860"</f>
        <v>33860</v>
      </c>
      <c r="E812" t="str">
        <f t="shared" si="162"/>
        <v>1</v>
      </c>
      <c r="F812" t="str">
        <f t="shared" si="166"/>
        <v>COM</v>
      </c>
      <c r="G812" t="str">
        <f>"EDVAN DA SILVA ALVES (934)"</f>
        <v>EDVAN DA SILVA ALVES (934)</v>
      </c>
      <c r="H812" t="s">
        <v>318</v>
      </c>
      <c r="I812" t="str">
        <f t="shared" si="165"/>
        <v>05/03/2026</v>
      </c>
      <c r="J812" t="str">
        <f t="shared" si="168"/>
        <v>02/03/2026</v>
      </c>
      <c r="K812">
        <v>46086</v>
      </c>
      <c r="N812">
        <v>109</v>
      </c>
      <c r="O812" t="s">
        <v>27</v>
      </c>
      <c r="Q812">
        <v>750</v>
      </c>
      <c r="R812" t="str">
        <f>"DELTA LOJA 2 (10123)"</f>
        <v>DELTA LOJA 2 (10123)</v>
      </c>
      <c r="S812" t="s">
        <v>37</v>
      </c>
      <c r="T812">
        <v>30238</v>
      </c>
      <c r="U812">
        <v>33860</v>
      </c>
      <c r="V812" t="s">
        <v>37</v>
      </c>
    </row>
    <row r="813" spans="1:22">
      <c r="A813" t="str">
        <f t="shared" si="169"/>
        <v>05/03/2026</v>
      </c>
      <c r="B813" t="str">
        <f t="shared" si="164"/>
        <v>SAÍDA</v>
      </c>
      <c r="C813" t="str">
        <f t="shared" si="167"/>
        <v>PIX</v>
      </c>
      <c r="D813" t="str">
        <f>"33861"</f>
        <v>33861</v>
      </c>
      <c r="E813" t="str">
        <f t="shared" si="162"/>
        <v>1</v>
      </c>
      <c r="F813" t="str">
        <f t="shared" si="166"/>
        <v>COM</v>
      </c>
      <c r="G813" t="str">
        <f>"ELIENAI ROSA DO NASCIMENTO (343)"</f>
        <v>ELIENAI ROSA DO NASCIMENTO (343)</v>
      </c>
      <c r="H813" t="str">
        <f>"Serv.Prest. 23/02/2026 a 01/03/2026 - PIX: CPF - CHAVE: 048.672.645-20"</f>
        <v>Serv.Prest. 23/02/2026 a 01/03/2026 - PIX: CPF - CHAVE: 048.672.645-20</v>
      </c>
      <c r="I813" t="str">
        <f t="shared" si="165"/>
        <v>05/03/2026</v>
      </c>
      <c r="J813" t="str">
        <f t="shared" si="168"/>
        <v>02/03/2026</v>
      </c>
      <c r="K813" t="str">
        <f>("05/03/2026")</f>
        <v>05/03/2026</v>
      </c>
      <c r="L813">
        <v>810</v>
      </c>
      <c r="M813">
        <v>810</v>
      </c>
      <c r="N813">
        <v>109</v>
      </c>
      <c r="O813" t="str">
        <f>"PAGAMENTO DE ENTREGADORES"</f>
        <v>PAGAMENTO DE ENTREGADORES</v>
      </c>
      <c r="P813">
        <v>810</v>
      </c>
      <c r="S813" t="str">
        <f>"BANCO C6 (149)"</f>
        <v>BANCO C6 (149)</v>
      </c>
      <c r="T813">
        <v>30239</v>
      </c>
      <c r="U813">
        <v>33861</v>
      </c>
      <c r="V813" t="s">
        <v>37</v>
      </c>
    </row>
    <row r="814" spans="1:22">
      <c r="A814" t="str">
        <f t="shared" si="169"/>
        <v>05/03/2026</v>
      </c>
      <c r="B814" t="str">
        <f t="shared" si="164"/>
        <v>SAÍDA</v>
      </c>
      <c r="C814" t="str">
        <f t="shared" si="167"/>
        <v>PIX</v>
      </c>
      <c r="D814" t="str">
        <f>"33861"</f>
        <v>33861</v>
      </c>
      <c r="E814" t="str">
        <f t="shared" si="162"/>
        <v>1</v>
      </c>
      <c r="F814" t="str">
        <f t="shared" si="166"/>
        <v>COM</v>
      </c>
      <c r="G814" t="str">
        <f>"ELIENAI ROSA DO NASCIMENTO (343)"</f>
        <v>ELIENAI ROSA DO NASCIMENTO (343)</v>
      </c>
      <c r="H814" t="s">
        <v>319</v>
      </c>
      <c r="I814" t="str">
        <f t="shared" si="165"/>
        <v>05/03/2026</v>
      </c>
      <c r="J814" t="str">
        <f t="shared" si="168"/>
        <v>02/03/2026</v>
      </c>
      <c r="K814">
        <v>46086</v>
      </c>
      <c r="N814">
        <v>109</v>
      </c>
      <c r="O814" t="s">
        <v>27</v>
      </c>
      <c r="Q814">
        <v>810</v>
      </c>
      <c r="R814" t="str">
        <f>"DELTA LOJA 2 (10123)"</f>
        <v>DELTA LOJA 2 (10123)</v>
      </c>
      <c r="S814" t="s">
        <v>37</v>
      </c>
      <c r="T814">
        <v>30239</v>
      </c>
      <c r="U814">
        <v>33861</v>
      </c>
      <c r="V814" t="s">
        <v>37</v>
      </c>
    </row>
    <row r="815" spans="1:22">
      <c r="A815" t="str">
        <f t="shared" si="169"/>
        <v>05/03/2026</v>
      </c>
      <c r="B815" t="str">
        <f t="shared" si="164"/>
        <v>SAÍDA</v>
      </c>
      <c r="C815" t="str">
        <f t="shared" si="167"/>
        <v>PIX</v>
      </c>
      <c r="D815" t="str">
        <f>"33862"</f>
        <v>33862</v>
      </c>
      <c r="E815" t="str">
        <f t="shared" si="162"/>
        <v>1</v>
      </c>
      <c r="F815" t="str">
        <f t="shared" si="166"/>
        <v>COM</v>
      </c>
      <c r="G815" t="str">
        <f>"JHON CARLOS DOS SANTOS LIMA (995)"</f>
        <v>JHON CARLOS DOS SANTOS LIMA (995)</v>
      </c>
      <c r="H815" t="str">
        <f>"Serv.Prest. 23/02/2026 a 01/03/2026 - PIX: CELULAR - CHAVE: (71) 98124-7946"</f>
        <v>Serv.Prest. 23/02/2026 a 01/03/2026 - PIX: CELULAR - CHAVE: (71) 98124-7946</v>
      </c>
      <c r="I815" t="str">
        <f t="shared" si="165"/>
        <v>05/03/2026</v>
      </c>
      <c r="J815" t="str">
        <f t="shared" si="168"/>
        <v>02/03/2026</v>
      </c>
      <c r="K815" t="str">
        <f>("05/03/2026")</f>
        <v>05/03/2026</v>
      </c>
      <c r="L815">
        <v>740</v>
      </c>
      <c r="M815">
        <v>740</v>
      </c>
      <c r="N815">
        <v>109</v>
      </c>
      <c r="O815" t="str">
        <f>"PAGAMENTO DE ENTREGADORES"</f>
        <v>PAGAMENTO DE ENTREGADORES</v>
      </c>
      <c r="P815">
        <v>740</v>
      </c>
      <c r="S815" t="str">
        <f>"BANCO C6 (149)"</f>
        <v>BANCO C6 (149)</v>
      </c>
      <c r="T815">
        <v>30240</v>
      </c>
      <c r="U815">
        <v>33862</v>
      </c>
      <c r="V815" t="s">
        <v>37</v>
      </c>
    </row>
    <row r="816" spans="1:22">
      <c r="A816" t="str">
        <f t="shared" si="169"/>
        <v>05/03/2026</v>
      </c>
      <c r="B816" t="str">
        <f t="shared" si="164"/>
        <v>SAÍDA</v>
      </c>
      <c r="C816" t="str">
        <f t="shared" si="167"/>
        <v>PIX</v>
      </c>
      <c r="D816" t="str">
        <f>"33862"</f>
        <v>33862</v>
      </c>
      <c r="E816" t="str">
        <f t="shared" ref="E816:E840" si="170">"1"</f>
        <v>1</v>
      </c>
      <c r="F816" t="str">
        <f t="shared" si="166"/>
        <v>COM</v>
      </c>
      <c r="G816" t="str">
        <f>"JHON CARLOS DOS SANTOS LIMA (995)"</f>
        <v>JHON CARLOS DOS SANTOS LIMA (995)</v>
      </c>
      <c r="H816" t="s">
        <v>320</v>
      </c>
      <c r="I816" t="str">
        <f t="shared" si="165"/>
        <v>05/03/2026</v>
      </c>
      <c r="J816" t="str">
        <f t="shared" si="168"/>
        <v>02/03/2026</v>
      </c>
      <c r="K816">
        <v>46086</v>
      </c>
      <c r="N816">
        <v>109</v>
      </c>
      <c r="O816" t="s">
        <v>27</v>
      </c>
      <c r="Q816">
        <v>740</v>
      </c>
      <c r="R816" t="str">
        <f>"DELTA LOJA 2 (10123)"</f>
        <v>DELTA LOJA 2 (10123)</v>
      </c>
      <c r="S816" t="s">
        <v>37</v>
      </c>
      <c r="T816">
        <v>30240</v>
      </c>
      <c r="U816">
        <v>33862</v>
      </c>
      <c r="V816" t="s">
        <v>37</v>
      </c>
    </row>
    <row r="817" spans="1:22">
      <c r="A817" t="str">
        <f t="shared" si="169"/>
        <v>05/03/2026</v>
      </c>
      <c r="B817" t="str">
        <f t="shared" si="164"/>
        <v>SAÍDA</v>
      </c>
      <c r="C817" t="str">
        <f t="shared" si="167"/>
        <v>PIX</v>
      </c>
      <c r="D817" t="str">
        <f>"33864"</f>
        <v>33864</v>
      </c>
      <c r="E817" t="str">
        <f t="shared" si="170"/>
        <v>1</v>
      </c>
      <c r="F817" t="str">
        <f t="shared" si="166"/>
        <v>COM</v>
      </c>
      <c r="G817" t="str">
        <f>"EDUARDO COSTA DA SILVA (721)"</f>
        <v>EDUARDO COSTA DA SILVA (721)</v>
      </c>
      <c r="H817" t="str">
        <f>"Serv.Prest. 23/02/2026 a 01/03/2026 - PIX: CELULAR - CHAVE: (11) 95552-9905"</f>
        <v>Serv.Prest. 23/02/2026 a 01/03/2026 - PIX: CELULAR - CHAVE: (11) 95552-9905</v>
      </c>
      <c r="I817" t="str">
        <f t="shared" si="165"/>
        <v>05/03/2026</v>
      </c>
      <c r="J817" t="str">
        <f t="shared" si="168"/>
        <v>02/03/2026</v>
      </c>
      <c r="K817" t="str">
        <f>("05/03/2026")</f>
        <v>05/03/2026</v>
      </c>
      <c r="L817">
        <v>1285.2</v>
      </c>
      <c r="M817">
        <v>1285.2</v>
      </c>
      <c r="N817">
        <v>109</v>
      </c>
      <c r="O817" t="str">
        <f>"PAGAMENTO DE ENTREGADORES"</f>
        <v>PAGAMENTO DE ENTREGADORES</v>
      </c>
      <c r="P817">
        <v>1285.2</v>
      </c>
      <c r="S817" t="str">
        <f>"BANCO C6 (149)"</f>
        <v>BANCO C6 (149)</v>
      </c>
      <c r="T817">
        <v>30241</v>
      </c>
      <c r="U817">
        <v>33864</v>
      </c>
      <c r="V817" t="s">
        <v>37</v>
      </c>
    </row>
    <row r="818" spans="1:22">
      <c r="A818" t="str">
        <f t="shared" si="169"/>
        <v>05/03/2026</v>
      </c>
      <c r="B818" t="str">
        <f t="shared" si="164"/>
        <v>SAÍDA</v>
      </c>
      <c r="C818" t="str">
        <f t="shared" si="167"/>
        <v>PIX</v>
      </c>
      <c r="D818" t="str">
        <f>"33864"</f>
        <v>33864</v>
      </c>
      <c r="E818" t="str">
        <f t="shared" si="170"/>
        <v>1</v>
      </c>
      <c r="F818" t="str">
        <f t="shared" si="166"/>
        <v>COM</v>
      </c>
      <c r="G818" t="str">
        <f>"EDUARDO COSTA DA SILVA (721)"</f>
        <v>EDUARDO COSTA DA SILVA (721)</v>
      </c>
      <c r="H818" t="s">
        <v>321</v>
      </c>
      <c r="I818" t="str">
        <f t="shared" si="165"/>
        <v>05/03/2026</v>
      </c>
      <c r="J818" t="str">
        <f t="shared" si="168"/>
        <v>02/03/2026</v>
      </c>
      <c r="K818">
        <v>46086</v>
      </c>
      <c r="N818">
        <v>109</v>
      </c>
      <c r="O818" t="s">
        <v>27</v>
      </c>
      <c r="Q818">
        <v>1285.2</v>
      </c>
      <c r="R818" t="str">
        <f>"DROGARIA AGAPEAMA (10167)"</f>
        <v>DROGARIA AGAPEAMA (10167)</v>
      </c>
      <c r="S818" t="s">
        <v>37</v>
      </c>
      <c r="T818">
        <v>30241</v>
      </c>
      <c r="U818">
        <v>33864</v>
      </c>
      <c r="V818" t="s">
        <v>37</v>
      </c>
    </row>
    <row r="819" spans="1:22">
      <c r="A819" t="str">
        <f t="shared" si="169"/>
        <v>05/03/2026</v>
      </c>
      <c r="B819" t="str">
        <f t="shared" si="164"/>
        <v>SAÍDA</v>
      </c>
      <c r="C819" t="str">
        <f t="shared" si="167"/>
        <v>PIX</v>
      </c>
      <c r="D819" t="str">
        <f>"33865"</f>
        <v>33865</v>
      </c>
      <c r="E819" t="str">
        <f t="shared" si="170"/>
        <v>1</v>
      </c>
      <c r="F819" t="str">
        <f t="shared" si="166"/>
        <v>COM</v>
      </c>
      <c r="G819" t="str">
        <f>"GUILHERME DA SILVA GOMES (901)"</f>
        <v>GUILHERME DA SILVA GOMES (901)</v>
      </c>
      <c r="H819" t="str">
        <f>"Serv.Prest. 23/02/2026 a 01/03/2026 - PIX: CPF - CHAVE: 505.341.528-56"</f>
        <v>Serv.Prest. 23/02/2026 a 01/03/2026 - PIX: CPF - CHAVE: 505.341.528-56</v>
      </c>
      <c r="I819" t="str">
        <f t="shared" si="165"/>
        <v>05/03/2026</v>
      </c>
      <c r="J819" t="str">
        <f t="shared" si="168"/>
        <v>02/03/2026</v>
      </c>
      <c r="K819" t="str">
        <f>("05/03/2026")</f>
        <v>05/03/2026</v>
      </c>
      <c r="L819">
        <v>1083.5999999999999</v>
      </c>
      <c r="M819">
        <v>1083.5999999999999</v>
      </c>
      <c r="N819">
        <v>109</v>
      </c>
      <c r="O819" t="str">
        <f>"PAGAMENTO DE ENTREGADORES"</f>
        <v>PAGAMENTO DE ENTREGADORES</v>
      </c>
      <c r="P819">
        <v>1083.5999999999999</v>
      </c>
      <c r="S819" t="str">
        <f>"BANCO C6 (149)"</f>
        <v>BANCO C6 (149)</v>
      </c>
      <c r="T819">
        <v>30242</v>
      </c>
      <c r="U819">
        <v>33865</v>
      </c>
      <c r="V819" t="s">
        <v>37</v>
      </c>
    </row>
    <row r="820" spans="1:22">
      <c r="A820" t="str">
        <f t="shared" si="169"/>
        <v>05/03/2026</v>
      </c>
      <c r="B820" t="str">
        <f t="shared" si="164"/>
        <v>SAÍDA</v>
      </c>
      <c r="C820" t="str">
        <f t="shared" si="167"/>
        <v>PIX</v>
      </c>
      <c r="D820" t="str">
        <f>"33865"</f>
        <v>33865</v>
      </c>
      <c r="E820" t="str">
        <f t="shared" si="170"/>
        <v>1</v>
      </c>
      <c r="F820" t="str">
        <f t="shared" si="166"/>
        <v>COM</v>
      </c>
      <c r="G820" t="str">
        <f>"GUILHERME DA SILVA GOMES (901)"</f>
        <v>GUILHERME DA SILVA GOMES (901)</v>
      </c>
      <c r="H820" t="s">
        <v>322</v>
      </c>
      <c r="I820" t="str">
        <f t="shared" si="165"/>
        <v>05/03/2026</v>
      </c>
      <c r="J820" t="str">
        <f t="shared" si="168"/>
        <v>02/03/2026</v>
      </c>
      <c r="K820">
        <v>46086</v>
      </c>
      <c r="N820">
        <v>109</v>
      </c>
      <c r="O820" t="s">
        <v>27</v>
      </c>
      <c r="Q820">
        <v>1083.5999999999999</v>
      </c>
      <c r="R820" t="str">
        <f>"DROGARIA AGAPEAMA (10167)"</f>
        <v>DROGARIA AGAPEAMA (10167)</v>
      </c>
      <c r="S820" t="s">
        <v>37</v>
      </c>
      <c r="T820">
        <v>30242</v>
      </c>
      <c r="U820">
        <v>33865</v>
      </c>
      <c r="V820" t="s">
        <v>37</v>
      </c>
    </row>
    <row r="821" spans="1:22">
      <c r="A821" t="str">
        <f t="shared" si="169"/>
        <v>05/03/2026</v>
      </c>
      <c r="B821" t="str">
        <f t="shared" si="164"/>
        <v>SAÍDA</v>
      </c>
      <c r="C821" t="str">
        <f t="shared" si="167"/>
        <v>PIX</v>
      </c>
      <c r="D821" t="str">
        <f>"33866"</f>
        <v>33866</v>
      </c>
      <c r="E821" t="str">
        <f t="shared" si="170"/>
        <v>1</v>
      </c>
      <c r="F821" t="str">
        <f t="shared" si="166"/>
        <v>COM</v>
      </c>
      <c r="G821" t="str">
        <f>"WESLEY RICARDO DE OLIVEIRA (722)"</f>
        <v>WESLEY RICARDO DE OLIVEIRA (722)</v>
      </c>
      <c r="H821" t="str">
        <f>"Serv.Prest. 23/02/2026 a 01/03/2026 - PIX: CELULAR - CHAVE: (11) 91214-6176"</f>
        <v>Serv.Prest. 23/02/2026 a 01/03/2026 - PIX: CELULAR - CHAVE: (11) 91214-6176</v>
      </c>
      <c r="I821" t="str">
        <f t="shared" si="165"/>
        <v>05/03/2026</v>
      </c>
      <c r="J821" t="str">
        <f t="shared" si="168"/>
        <v>02/03/2026</v>
      </c>
      <c r="K821" t="str">
        <f>("05/03/2026")</f>
        <v>05/03/2026</v>
      </c>
      <c r="L821">
        <v>642.6</v>
      </c>
      <c r="M821">
        <v>642.6</v>
      </c>
      <c r="N821">
        <v>109</v>
      </c>
      <c r="O821" t="str">
        <f>"PAGAMENTO DE ENTREGADORES"</f>
        <v>PAGAMENTO DE ENTREGADORES</v>
      </c>
      <c r="P821">
        <v>642.6</v>
      </c>
      <c r="S821" t="str">
        <f>"BANCO C6 (149)"</f>
        <v>BANCO C6 (149)</v>
      </c>
      <c r="T821">
        <v>30243</v>
      </c>
      <c r="U821">
        <v>33866</v>
      </c>
      <c r="V821" t="s">
        <v>37</v>
      </c>
    </row>
    <row r="822" spans="1:22">
      <c r="A822" t="str">
        <f t="shared" si="169"/>
        <v>05/03/2026</v>
      </c>
      <c r="B822" t="str">
        <f t="shared" si="164"/>
        <v>SAÍDA</v>
      </c>
      <c r="C822" t="str">
        <f t="shared" si="167"/>
        <v>PIX</v>
      </c>
      <c r="D822" t="str">
        <f>"33866"</f>
        <v>33866</v>
      </c>
      <c r="E822" t="str">
        <f t="shared" si="170"/>
        <v>1</v>
      </c>
      <c r="F822" t="str">
        <f t="shared" si="166"/>
        <v>COM</v>
      </c>
      <c r="G822" t="str">
        <f>"WESLEY RICARDO DE OLIVEIRA (722)"</f>
        <v>WESLEY RICARDO DE OLIVEIRA (722)</v>
      </c>
      <c r="H822" t="s">
        <v>323</v>
      </c>
      <c r="I822" t="str">
        <f t="shared" si="165"/>
        <v>05/03/2026</v>
      </c>
      <c r="J822" t="str">
        <f t="shared" si="168"/>
        <v>02/03/2026</v>
      </c>
      <c r="K822">
        <v>46086</v>
      </c>
      <c r="N822">
        <v>109</v>
      </c>
      <c r="O822" t="s">
        <v>27</v>
      </c>
      <c r="Q822">
        <v>642.6</v>
      </c>
      <c r="R822" t="str">
        <f>"DROGARIA AGAPEAMA (10167)"</f>
        <v>DROGARIA AGAPEAMA (10167)</v>
      </c>
      <c r="S822" t="s">
        <v>37</v>
      </c>
      <c r="T822">
        <v>30243</v>
      </c>
      <c r="U822">
        <v>33866</v>
      </c>
      <c r="V822" t="s">
        <v>37</v>
      </c>
    </row>
    <row r="823" spans="1:22">
      <c r="A823" t="str">
        <f t="shared" si="169"/>
        <v>05/03/2026</v>
      </c>
      <c r="B823" t="str">
        <f t="shared" si="164"/>
        <v>SAÍDA</v>
      </c>
      <c r="C823" t="str">
        <f t="shared" si="167"/>
        <v>PIX</v>
      </c>
      <c r="D823" t="str">
        <f>"33868"</f>
        <v>33868</v>
      </c>
      <c r="E823" t="str">
        <f t="shared" si="170"/>
        <v>1</v>
      </c>
      <c r="F823" t="str">
        <f t="shared" si="166"/>
        <v>COM</v>
      </c>
      <c r="G823" t="str">
        <f>"ALEXSANDRO HENRIQUE FERREIRA (808)"</f>
        <v>ALEXSANDRO HENRIQUE FERREIRA (808)</v>
      </c>
      <c r="H823" t="str">
        <f>"Serv.Prest. 23/02/2026 a 01/03/2026 - PIX: CPF - CHAVE: 157.591.436-03"</f>
        <v>Serv.Prest. 23/02/2026 a 01/03/2026 - PIX: CPF - CHAVE: 157.591.436-03</v>
      </c>
      <c r="I823" t="str">
        <f t="shared" si="165"/>
        <v>05/03/2026</v>
      </c>
      <c r="J823" t="str">
        <f t="shared" si="168"/>
        <v>02/03/2026</v>
      </c>
      <c r="K823" t="str">
        <f>("05/03/2026")</f>
        <v>05/03/2026</v>
      </c>
      <c r="L823">
        <v>904.05</v>
      </c>
      <c r="M823">
        <v>904.05</v>
      </c>
      <c r="N823">
        <v>109</v>
      </c>
      <c r="O823" t="str">
        <f>"PAGAMENTO DE ENTREGADORES"</f>
        <v>PAGAMENTO DE ENTREGADORES</v>
      </c>
      <c r="P823">
        <v>904.05</v>
      </c>
      <c r="S823" t="str">
        <f>"BANCO C6 (149)"</f>
        <v>BANCO C6 (149)</v>
      </c>
      <c r="T823">
        <v>30244</v>
      </c>
      <c r="U823">
        <v>33868</v>
      </c>
      <c r="V823" t="s">
        <v>37</v>
      </c>
    </row>
    <row r="824" spans="1:22">
      <c r="A824" t="str">
        <f t="shared" si="169"/>
        <v>05/03/2026</v>
      </c>
      <c r="B824" t="str">
        <f t="shared" si="164"/>
        <v>SAÍDA</v>
      </c>
      <c r="C824" t="str">
        <f t="shared" si="167"/>
        <v>PIX</v>
      </c>
      <c r="D824" t="str">
        <f>"33868"</f>
        <v>33868</v>
      </c>
      <c r="E824" t="str">
        <f t="shared" si="170"/>
        <v>1</v>
      </c>
      <c r="F824" t="str">
        <f t="shared" si="166"/>
        <v>COM</v>
      </c>
      <c r="G824" t="str">
        <f>"ALEXSANDRO HENRIQUE FERREIRA (808)"</f>
        <v>ALEXSANDRO HENRIQUE FERREIRA (808)</v>
      </c>
      <c r="H824" t="s">
        <v>324</v>
      </c>
      <c r="I824" t="str">
        <f t="shared" si="165"/>
        <v>05/03/2026</v>
      </c>
      <c r="J824" t="str">
        <f t="shared" si="168"/>
        <v>02/03/2026</v>
      </c>
      <c r="K824">
        <v>46086</v>
      </c>
      <c r="N824">
        <v>109</v>
      </c>
      <c r="O824" t="s">
        <v>27</v>
      </c>
      <c r="Q824">
        <v>904.05</v>
      </c>
      <c r="R824" t="str">
        <f>"DROGARIA ANA VISCONDE DO RIO BRANCO (10182)"</f>
        <v>DROGARIA ANA VISCONDE DO RIO BRANCO (10182)</v>
      </c>
      <c r="S824" t="s">
        <v>37</v>
      </c>
      <c r="T824">
        <v>30244</v>
      </c>
      <c r="U824">
        <v>33868</v>
      </c>
      <c r="V824" t="s">
        <v>37</v>
      </c>
    </row>
    <row r="825" spans="1:22">
      <c r="A825" t="str">
        <f t="shared" si="169"/>
        <v>05/03/2026</v>
      </c>
      <c r="B825" t="str">
        <f t="shared" si="164"/>
        <v>SAÍDA</v>
      </c>
      <c r="C825" t="str">
        <f t="shared" si="167"/>
        <v>PIX</v>
      </c>
      <c r="D825" t="str">
        <f>"33869"</f>
        <v>33869</v>
      </c>
      <c r="E825" t="str">
        <f t="shared" si="170"/>
        <v>1</v>
      </c>
      <c r="F825" t="str">
        <f t="shared" si="166"/>
        <v>COM</v>
      </c>
      <c r="G825" t="str">
        <f>"ANDERSON LUIZ SOARES (807)"</f>
        <v>ANDERSON LUIZ SOARES (807)</v>
      </c>
      <c r="H825" t="str">
        <f>"Serv.Prest. 23/02/2026 a 01/03/2026 - PIX: CELULAR - CHAVE: (32) 99920-0416"</f>
        <v>Serv.Prest. 23/02/2026 a 01/03/2026 - PIX: CELULAR - CHAVE: (32) 99920-0416</v>
      </c>
      <c r="I825" t="str">
        <f t="shared" si="165"/>
        <v>05/03/2026</v>
      </c>
      <c r="J825" t="str">
        <f t="shared" si="168"/>
        <v>02/03/2026</v>
      </c>
      <c r="K825" t="str">
        <f>("05/03/2026")</f>
        <v>05/03/2026</v>
      </c>
      <c r="L825">
        <v>702.45</v>
      </c>
      <c r="M825">
        <v>702.45</v>
      </c>
      <c r="N825">
        <v>109</v>
      </c>
      <c r="O825" t="str">
        <f>"PAGAMENTO DE ENTREGADORES"</f>
        <v>PAGAMENTO DE ENTREGADORES</v>
      </c>
      <c r="P825">
        <v>702.45</v>
      </c>
      <c r="S825" t="str">
        <f>"BANCO C6 (149)"</f>
        <v>BANCO C6 (149)</v>
      </c>
      <c r="T825">
        <v>30245</v>
      </c>
      <c r="U825">
        <v>33869</v>
      </c>
      <c r="V825" t="s">
        <v>37</v>
      </c>
    </row>
    <row r="826" spans="1:22">
      <c r="A826" t="str">
        <f t="shared" si="169"/>
        <v>05/03/2026</v>
      </c>
      <c r="B826" t="str">
        <f t="shared" si="164"/>
        <v>SAÍDA</v>
      </c>
      <c r="C826" t="str">
        <f t="shared" si="167"/>
        <v>PIX</v>
      </c>
      <c r="D826" t="str">
        <f>"33869"</f>
        <v>33869</v>
      </c>
      <c r="E826" t="str">
        <f t="shared" si="170"/>
        <v>1</v>
      </c>
      <c r="F826" t="str">
        <f t="shared" si="166"/>
        <v>COM</v>
      </c>
      <c r="G826" t="str">
        <f>"ANDERSON LUIZ SOARES (807)"</f>
        <v>ANDERSON LUIZ SOARES (807)</v>
      </c>
      <c r="H826" t="s">
        <v>325</v>
      </c>
      <c r="I826" t="str">
        <f t="shared" si="165"/>
        <v>05/03/2026</v>
      </c>
      <c r="J826" t="str">
        <f t="shared" si="168"/>
        <v>02/03/2026</v>
      </c>
      <c r="K826">
        <v>46086</v>
      </c>
      <c r="N826">
        <v>109</v>
      </c>
      <c r="O826" t="s">
        <v>27</v>
      </c>
      <c r="Q826">
        <v>702.45</v>
      </c>
      <c r="R826" t="str">
        <f>"DROGARIA ANA VISCONDE DO RIO BRANCO (10182)"</f>
        <v>DROGARIA ANA VISCONDE DO RIO BRANCO (10182)</v>
      </c>
      <c r="S826" t="s">
        <v>37</v>
      </c>
      <c r="T826">
        <v>30245</v>
      </c>
      <c r="U826">
        <v>33869</v>
      </c>
      <c r="V826" t="s">
        <v>37</v>
      </c>
    </row>
    <row r="827" spans="1:22">
      <c r="A827" t="str">
        <f t="shared" si="169"/>
        <v>05/03/2026</v>
      </c>
      <c r="B827" t="str">
        <f t="shared" si="164"/>
        <v>SAÍDA</v>
      </c>
      <c r="C827" t="str">
        <f t="shared" si="167"/>
        <v>PIX</v>
      </c>
      <c r="D827" t="str">
        <f>"33870"</f>
        <v>33870</v>
      </c>
      <c r="E827" t="str">
        <f t="shared" si="170"/>
        <v>1</v>
      </c>
      <c r="F827" t="str">
        <f t="shared" si="166"/>
        <v>COM</v>
      </c>
      <c r="G827" t="str">
        <f>"BRENO VIANA MONTEIRO RODRIGUES (811)"</f>
        <v>BRENO VIANA MONTEIRO RODRIGUES (811)</v>
      </c>
      <c r="H827" t="str">
        <f>"Serv.Prest. 23/02/2026 a 01/03/2026 - PIX: CNPJ - CHAVE: 51.676.704/0001-10"</f>
        <v>Serv.Prest. 23/02/2026 a 01/03/2026 - PIX: CNPJ - CHAVE: 51.676.704/0001-10</v>
      </c>
      <c r="I827" t="str">
        <f t="shared" si="165"/>
        <v>05/03/2026</v>
      </c>
      <c r="J827" t="str">
        <f t="shared" ref="J827:J840" si="171">("02/03/2026")</f>
        <v>02/03/2026</v>
      </c>
      <c r="K827" t="str">
        <f>("05/03/2026")</f>
        <v>05/03/2026</v>
      </c>
      <c r="L827">
        <v>702.45</v>
      </c>
      <c r="M827">
        <v>702.45</v>
      </c>
      <c r="N827">
        <v>109</v>
      </c>
      <c r="O827" t="str">
        <f>"PAGAMENTO DE ENTREGADORES"</f>
        <v>PAGAMENTO DE ENTREGADORES</v>
      </c>
      <c r="P827">
        <v>702.45</v>
      </c>
      <c r="S827" t="str">
        <f>"BANCO C6 (149)"</f>
        <v>BANCO C6 (149)</v>
      </c>
      <c r="T827">
        <v>30246</v>
      </c>
      <c r="U827">
        <v>33870</v>
      </c>
      <c r="V827" t="s">
        <v>37</v>
      </c>
    </row>
    <row r="828" spans="1:22">
      <c r="A828" t="str">
        <f t="shared" si="169"/>
        <v>05/03/2026</v>
      </c>
      <c r="B828" t="str">
        <f t="shared" si="164"/>
        <v>SAÍDA</v>
      </c>
      <c r="C828" t="str">
        <f t="shared" si="167"/>
        <v>PIX</v>
      </c>
      <c r="D828" t="str">
        <f>"33870"</f>
        <v>33870</v>
      </c>
      <c r="E828" t="str">
        <f t="shared" si="170"/>
        <v>1</v>
      </c>
      <c r="F828" t="str">
        <f t="shared" si="166"/>
        <v>COM</v>
      </c>
      <c r="G828" t="str">
        <f>"BRENO VIANA MONTEIRO RODRIGUES (811)"</f>
        <v>BRENO VIANA MONTEIRO RODRIGUES (811)</v>
      </c>
      <c r="H828" t="s">
        <v>326</v>
      </c>
      <c r="I828" t="str">
        <f t="shared" si="165"/>
        <v>05/03/2026</v>
      </c>
      <c r="J828" t="str">
        <f t="shared" si="171"/>
        <v>02/03/2026</v>
      </c>
      <c r="K828">
        <v>46086</v>
      </c>
      <c r="N828">
        <v>109</v>
      </c>
      <c r="O828" t="s">
        <v>27</v>
      </c>
      <c r="Q828">
        <v>702.45</v>
      </c>
      <c r="R828" t="str">
        <f>"DROGARIA ANA VISCONDE DO RIO BRANCO (10182)"</f>
        <v>DROGARIA ANA VISCONDE DO RIO BRANCO (10182)</v>
      </c>
      <c r="S828" t="s">
        <v>37</v>
      </c>
      <c r="T828">
        <v>30246</v>
      </c>
      <c r="U828">
        <v>33870</v>
      </c>
      <c r="V828" t="s">
        <v>37</v>
      </c>
    </row>
    <row r="829" spans="1:22">
      <c r="A829" t="str">
        <f t="shared" si="169"/>
        <v>05/03/2026</v>
      </c>
      <c r="B829" t="str">
        <f t="shared" si="164"/>
        <v>SAÍDA</v>
      </c>
      <c r="C829" t="str">
        <f t="shared" si="167"/>
        <v>PIX</v>
      </c>
      <c r="D829" t="str">
        <f>"33871"</f>
        <v>33871</v>
      </c>
      <c r="E829" t="str">
        <f t="shared" si="170"/>
        <v>1</v>
      </c>
      <c r="F829" t="str">
        <f t="shared" si="166"/>
        <v>COM</v>
      </c>
      <c r="G829" t="str">
        <f>"GABRIEL PACHECO DE QUEIROZ NARCISO (812)"</f>
        <v>GABRIEL PACHECO DE QUEIROZ NARCISO (812)</v>
      </c>
      <c r="H829" t="str">
        <f>"Serv.Prest. 23/02/2026 a 01/03/2026 - PIX: CPF - CHAVE: 140.108.466-40"</f>
        <v>Serv.Prest. 23/02/2026 a 01/03/2026 - PIX: CPF - CHAVE: 140.108.466-40</v>
      </c>
      <c r="I829" t="str">
        <f t="shared" si="165"/>
        <v>05/03/2026</v>
      </c>
      <c r="J829" t="str">
        <f t="shared" si="171"/>
        <v>02/03/2026</v>
      </c>
      <c r="K829" t="str">
        <f>("05/03/2026")</f>
        <v>05/03/2026</v>
      </c>
      <c r="L829">
        <v>702.45</v>
      </c>
      <c r="M829">
        <v>702.45</v>
      </c>
      <c r="N829">
        <v>109</v>
      </c>
      <c r="O829" t="str">
        <f>"PAGAMENTO DE ENTREGADORES"</f>
        <v>PAGAMENTO DE ENTREGADORES</v>
      </c>
      <c r="P829">
        <v>702.45</v>
      </c>
      <c r="S829" t="str">
        <f>"BANCO C6 (149)"</f>
        <v>BANCO C6 (149)</v>
      </c>
      <c r="T829">
        <v>30247</v>
      </c>
      <c r="U829">
        <v>33871</v>
      </c>
      <c r="V829" t="s">
        <v>37</v>
      </c>
    </row>
    <row r="830" spans="1:22">
      <c r="A830" t="str">
        <f t="shared" si="169"/>
        <v>05/03/2026</v>
      </c>
      <c r="B830" t="str">
        <f t="shared" si="164"/>
        <v>SAÍDA</v>
      </c>
      <c r="C830" t="str">
        <f t="shared" si="167"/>
        <v>PIX</v>
      </c>
      <c r="D830" t="str">
        <f>"33871"</f>
        <v>33871</v>
      </c>
      <c r="E830" t="str">
        <f t="shared" si="170"/>
        <v>1</v>
      </c>
      <c r="F830" t="str">
        <f t="shared" si="166"/>
        <v>COM</v>
      </c>
      <c r="G830" t="str">
        <f>"GABRIEL PACHECO DE QUEIROZ NARCISO (812)"</f>
        <v>GABRIEL PACHECO DE QUEIROZ NARCISO (812)</v>
      </c>
      <c r="H830" t="s">
        <v>327</v>
      </c>
      <c r="I830" t="str">
        <f t="shared" si="165"/>
        <v>05/03/2026</v>
      </c>
      <c r="J830" t="str">
        <f t="shared" si="171"/>
        <v>02/03/2026</v>
      </c>
      <c r="K830">
        <v>46086</v>
      </c>
      <c r="N830">
        <v>109</v>
      </c>
      <c r="O830" t="s">
        <v>27</v>
      </c>
      <c r="Q830">
        <v>702.45</v>
      </c>
      <c r="R830" t="str">
        <f>"DROGARIA ANA VISCONDE DO RIO BRANCO (10182)"</f>
        <v>DROGARIA ANA VISCONDE DO RIO BRANCO (10182)</v>
      </c>
      <c r="S830" t="s">
        <v>37</v>
      </c>
      <c r="T830">
        <v>30247</v>
      </c>
      <c r="U830">
        <v>33871</v>
      </c>
      <c r="V830" t="s">
        <v>37</v>
      </c>
    </row>
    <row r="831" spans="1:22">
      <c r="A831" t="str">
        <f t="shared" si="169"/>
        <v>05/03/2026</v>
      </c>
      <c r="B831" t="str">
        <f t="shared" si="164"/>
        <v>SAÍDA</v>
      </c>
      <c r="C831" t="str">
        <f t="shared" si="167"/>
        <v>PIX</v>
      </c>
      <c r="D831" t="str">
        <f>"33884"</f>
        <v>33884</v>
      </c>
      <c r="E831" t="str">
        <f t="shared" si="170"/>
        <v>1</v>
      </c>
      <c r="F831" t="str">
        <f t="shared" si="166"/>
        <v>COM</v>
      </c>
      <c r="G831" t="str">
        <f>"ROGERIO TEIXEIRA VIEIRA (1253)"</f>
        <v>ROGERIO TEIXEIRA VIEIRA (1253)</v>
      </c>
      <c r="H831" t="str">
        <f>"Serv.Prest. 23/02/2026 a 01/03/2026 - PIX: CPF - CHAVE: 606.687.663-52"</f>
        <v>Serv.Prest. 23/02/2026 a 01/03/2026 - PIX: CPF - CHAVE: 606.687.663-52</v>
      </c>
      <c r="I831" t="str">
        <f t="shared" si="165"/>
        <v>05/03/2026</v>
      </c>
      <c r="J831" t="str">
        <f t="shared" si="171"/>
        <v>02/03/2026</v>
      </c>
      <c r="K831" t="str">
        <f>("05/03/2026")</f>
        <v>05/03/2026</v>
      </c>
      <c r="L831">
        <v>29</v>
      </c>
      <c r="M831">
        <v>29</v>
      </c>
      <c r="N831">
        <v>109</v>
      </c>
      <c r="O831" t="str">
        <f>"PAGAMENTO DE ENTREGADORES"</f>
        <v>PAGAMENTO DE ENTREGADORES</v>
      </c>
      <c r="P831">
        <v>29</v>
      </c>
      <c r="S831" t="str">
        <f>"BANCO C6 (149)"</f>
        <v>BANCO C6 (149)</v>
      </c>
      <c r="T831">
        <v>30248</v>
      </c>
      <c r="U831">
        <v>33884</v>
      </c>
      <c r="V831" t="s">
        <v>37</v>
      </c>
    </row>
    <row r="832" spans="1:22">
      <c r="A832" t="str">
        <f t="shared" si="169"/>
        <v>05/03/2026</v>
      </c>
      <c r="B832" t="str">
        <f t="shared" si="164"/>
        <v>SAÍDA</v>
      </c>
      <c r="C832" t="str">
        <f t="shared" si="167"/>
        <v>PIX</v>
      </c>
      <c r="D832" t="str">
        <f>"33884"</f>
        <v>33884</v>
      </c>
      <c r="E832" t="str">
        <f t="shared" si="170"/>
        <v>1</v>
      </c>
      <c r="F832" t="str">
        <f t="shared" si="166"/>
        <v>COM</v>
      </c>
      <c r="G832" t="str">
        <f>"ROGERIO TEIXEIRA VIEIRA (1253)"</f>
        <v>ROGERIO TEIXEIRA VIEIRA (1253)</v>
      </c>
      <c r="H832" t="s">
        <v>328</v>
      </c>
      <c r="I832" t="str">
        <f t="shared" si="165"/>
        <v>05/03/2026</v>
      </c>
      <c r="J832" t="str">
        <f t="shared" si="171"/>
        <v>02/03/2026</v>
      </c>
      <c r="K832">
        <v>46086</v>
      </c>
      <c r="N832">
        <v>109</v>
      </c>
      <c r="O832" t="s">
        <v>27</v>
      </c>
      <c r="Q832">
        <v>29</v>
      </c>
      <c r="R832" t="str">
        <f>"DROGARIA ISABELLA (10276)"</f>
        <v>DROGARIA ISABELLA (10276)</v>
      </c>
      <c r="S832" t="s">
        <v>37</v>
      </c>
      <c r="T832">
        <v>30248</v>
      </c>
      <c r="U832">
        <v>33884</v>
      </c>
      <c r="V832" t="s">
        <v>37</v>
      </c>
    </row>
    <row r="833" spans="1:22">
      <c r="A833" t="str">
        <f t="shared" si="169"/>
        <v>05/03/2026</v>
      </c>
      <c r="B833" t="str">
        <f t="shared" ref="B833:B896" si="172">"SAÍDA"</f>
        <v>SAÍDA</v>
      </c>
      <c r="C833" t="str">
        <f t="shared" si="167"/>
        <v>PIX</v>
      </c>
      <c r="D833" t="str">
        <f>"33880"</f>
        <v>33880</v>
      </c>
      <c r="E833" t="str">
        <f t="shared" si="170"/>
        <v>1</v>
      </c>
      <c r="F833" t="str">
        <f t="shared" si="166"/>
        <v>COM</v>
      </c>
      <c r="G833" t="str">
        <f>"JO??O BARBOSA SANTANA (1235)"</f>
        <v>JO??O BARBOSA SANTANA (1235)</v>
      </c>
      <c r="H833" t="str">
        <f>"Serv.Prest. 23/02/2026 a 01/03/2026 - PIX: CPF - CHAVE: 121.158.778-96"</f>
        <v>Serv.Prest. 23/02/2026 a 01/03/2026 - PIX: CPF - CHAVE: 121.158.778-96</v>
      </c>
      <c r="I833" t="str">
        <f t="shared" ref="I833:I896" si="173">("05/03/2026")</f>
        <v>05/03/2026</v>
      </c>
      <c r="J833" t="str">
        <f t="shared" si="171"/>
        <v>02/03/2026</v>
      </c>
      <c r="K833" t="str">
        <f>("05/03/2026")</f>
        <v>05/03/2026</v>
      </c>
      <c r="L833">
        <v>266</v>
      </c>
      <c r="M833">
        <v>266</v>
      </c>
      <c r="N833">
        <v>109</v>
      </c>
      <c r="O833" t="str">
        <f>"PAGAMENTO DE ENTREGADORES"</f>
        <v>PAGAMENTO DE ENTREGADORES</v>
      </c>
      <c r="P833">
        <v>266</v>
      </c>
      <c r="S833" t="str">
        <f>"BANCO C6 (149)"</f>
        <v>BANCO C6 (149)</v>
      </c>
      <c r="T833">
        <v>30249</v>
      </c>
      <c r="U833">
        <v>33880</v>
      </c>
      <c r="V833" t="s">
        <v>37</v>
      </c>
    </row>
    <row r="834" spans="1:22">
      <c r="A834" t="str">
        <f t="shared" si="169"/>
        <v>05/03/2026</v>
      </c>
      <c r="B834" t="str">
        <f t="shared" si="172"/>
        <v>SAÍDA</v>
      </c>
      <c r="C834" t="str">
        <f t="shared" si="167"/>
        <v>PIX</v>
      </c>
      <c r="D834" t="str">
        <f>"33880"</f>
        <v>33880</v>
      </c>
      <c r="E834" t="str">
        <f t="shared" si="170"/>
        <v>1</v>
      </c>
      <c r="F834" t="str">
        <f t="shared" ref="F834:F897" si="174">"COM"</f>
        <v>COM</v>
      </c>
      <c r="G834" t="str">
        <f>"JO??O BARBOSA SANTANA (1235)"</f>
        <v>JO??O BARBOSA SANTANA (1235)</v>
      </c>
      <c r="H834" t="s">
        <v>329</v>
      </c>
      <c r="I834" t="str">
        <f t="shared" si="173"/>
        <v>05/03/2026</v>
      </c>
      <c r="J834" t="str">
        <f t="shared" si="171"/>
        <v>02/03/2026</v>
      </c>
      <c r="K834">
        <v>46086</v>
      </c>
      <c r="N834">
        <v>109</v>
      </c>
      <c r="O834" t="s">
        <v>27</v>
      </c>
      <c r="Q834">
        <v>266</v>
      </c>
      <c r="R834" t="str">
        <f>"DROGARIA ISABELLA (10276)"</f>
        <v>DROGARIA ISABELLA (10276)</v>
      </c>
      <c r="S834" t="s">
        <v>37</v>
      </c>
      <c r="T834">
        <v>30249</v>
      </c>
      <c r="U834">
        <v>33880</v>
      </c>
      <c r="V834" t="s">
        <v>37</v>
      </c>
    </row>
    <row r="835" spans="1:22">
      <c r="A835" t="str">
        <f t="shared" si="169"/>
        <v>05/03/2026</v>
      </c>
      <c r="B835" t="str">
        <f t="shared" si="172"/>
        <v>SAÍDA</v>
      </c>
      <c r="C835" t="str">
        <f t="shared" ref="C835:C898" si="175">"PIX"</f>
        <v>PIX</v>
      </c>
      <c r="D835" t="str">
        <f>"33882"</f>
        <v>33882</v>
      </c>
      <c r="E835" t="str">
        <f t="shared" si="170"/>
        <v>1</v>
      </c>
      <c r="F835" t="str">
        <f t="shared" si="174"/>
        <v>COM</v>
      </c>
      <c r="G835" t="str">
        <f>"MARCELO DA CRUZ BEZERRA (1317)"</f>
        <v>MARCELO DA CRUZ BEZERRA (1317)</v>
      </c>
      <c r="H835" t="str">
        <f>"Serv.Prest. 23/02/2026 a 01/03/2026 - PIX: CPF - CHAVE: 355.445.218-16"</f>
        <v>Serv.Prest. 23/02/2026 a 01/03/2026 - PIX: CPF - CHAVE: 355.445.218-16</v>
      </c>
      <c r="I835" t="str">
        <f t="shared" si="173"/>
        <v>05/03/2026</v>
      </c>
      <c r="J835" t="str">
        <f t="shared" si="171"/>
        <v>02/03/2026</v>
      </c>
      <c r="K835" t="str">
        <f>("05/03/2026")</f>
        <v>05/03/2026</v>
      </c>
      <c r="L835">
        <v>1001</v>
      </c>
      <c r="M835">
        <v>1001</v>
      </c>
      <c r="N835">
        <v>109</v>
      </c>
      <c r="O835" t="str">
        <f>"PAGAMENTO DE ENTREGADORES"</f>
        <v>PAGAMENTO DE ENTREGADORES</v>
      </c>
      <c r="P835">
        <v>1001</v>
      </c>
      <c r="S835" t="str">
        <f>"BANCO C6 (149)"</f>
        <v>BANCO C6 (149)</v>
      </c>
      <c r="T835">
        <v>30250</v>
      </c>
      <c r="U835">
        <v>33882</v>
      </c>
      <c r="V835" t="s">
        <v>37</v>
      </c>
    </row>
    <row r="836" spans="1:22">
      <c r="A836" t="str">
        <f t="shared" si="169"/>
        <v>05/03/2026</v>
      </c>
      <c r="B836" t="str">
        <f t="shared" si="172"/>
        <v>SAÍDA</v>
      </c>
      <c r="C836" t="str">
        <f t="shared" si="175"/>
        <v>PIX</v>
      </c>
      <c r="D836" t="str">
        <f>"33882"</f>
        <v>33882</v>
      </c>
      <c r="E836" t="str">
        <f t="shared" si="170"/>
        <v>1</v>
      </c>
      <c r="F836" t="str">
        <f t="shared" si="174"/>
        <v>COM</v>
      </c>
      <c r="G836" t="str">
        <f>"MARCELO DA CRUZ BEZERRA (1317)"</f>
        <v>MARCELO DA CRUZ BEZERRA (1317)</v>
      </c>
      <c r="H836" t="s">
        <v>330</v>
      </c>
      <c r="I836" t="str">
        <f t="shared" si="173"/>
        <v>05/03/2026</v>
      </c>
      <c r="J836" t="str">
        <f t="shared" si="171"/>
        <v>02/03/2026</v>
      </c>
      <c r="K836">
        <v>46086</v>
      </c>
      <c r="N836">
        <v>109</v>
      </c>
      <c r="O836" t="s">
        <v>27</v>
      </c>
      <c r="Q836">
        <v>1001</v>
      </c>
      <c r="R836" t="str">
        <f>"DROGARIA ISABELLA (10276)"</f>
        <v>DROGARIA ISABELLA (10276)</v>
      </c>
      <c r="S836" t="s">
        <v>37</v>
      </c>
      <c r="T836">
        <v>30250</v>
      </c>
      <c r="U836">
        <v>33882</v>
      </c>
      <c r="V836" t="s">
        <v>37</v>
      </c>
    </row>
    <row r="837" spans="1:22">
      <c r="A837" t="str">
        <f t="shared" si="169"/>
        <v>05/03/2026</v>
      </c>
      <c r="B837" t="str">
        <f t="shared" si="172"/>
        <v>SAÍDA</v>
      </c>
      <c r="C837" t="str">
        <f t="shared" si="175"/>
        <v>PIX</v>
      </c>
      <c r="D837" t="str">
        <f>"33883"</f>
        <v>33883</v>
      </c>
      <c r="E837" t="str">
        <f t="shared" si="170"/>
        <v>1</v>
      </c>
      <c r="F837" t="str">
        <f t="shared" si="174"/>
        <v>COM</v>
      </c>
      <c r="G837" t="str">
        <f>"MURILO TURRINI (1126)"</f>
        <v>MURILO TURRINI (1126)</v>
      </c>
      <c r="H837" t="str">
        <f>"Serv.Prest. 23/02/2026 a 01/03/2026 - PIX: CPF - CHAVE: 480.727.928-90"</f>
        <v>Serv.Prest. 23/02/2026 a 01/03/2026 - PIX: CPF - CHAVE: 480.727.928-90</v>
      </c>
      <c r="I837" t="str">
        <f t="shared" si="173"/>
        <v>05/03/2026</v>
      </c>
      <c r="J837" t="str">
        <f t="shared" si="171"/>
        <v>02/03/2026</v>
      </c>
      <c r="K837" t="str">
        <f>("05/03/2026")</f>
        <v>05/03/2026</v>
      </c>
      <c r="L837">
        <v>495</v>
      </c>
      <c r="M837">
        <v>495</v>
      </c>
      <c r="N837">
        <v>109</v>
      </c>
      <c r="O837" t="str">
        <f>"PAGAMENTO DE ENTREGADORES"</f>
        <v>PAGAMENTO DE ENTREGADORES</v>
      </c>
      <c r="P837">
        <v>495</v>
      </c>
      <c r="S837" t="str">
        <f>"BANCO C6 (149)"</f>
        <v>BANCO C6 (149)</v>
      </c>
      <c r="T837">
        <v>30251</v>
      </c>
      <c r="U837">
        <v>33883</v>
      </c>
      <c r="V837" t="s">
        <v>37</v>
      </c>
    </row>
    <row r="838" spans="1:22">
      <c r="A838" t="str">
        <f t="shared" si="169"/>
        <v>05/03/2026</v>
      </c>
      <c r="B838" t="str">
        <f t="shared" si="172"/>
        <v>SAÍDA</v>
      </c>
      <c r="C838" t="str">
        <f t="shared" si="175"/>
        <v>PIX</v>
      </c>
      <c r="D838" t="str">
        <f>"33883"</f>
        <v>33883</v>
      </c>
      <c r="E838" t="str">
        <f t="shared" si="170"/>
        <v>1</v>
      </c>
      <c r="F838" t="str">
        <f t="shared" si="174"/>
        <v>COM</v>
      </c>
      <c r="G838" t="str">
        <f>"MURILO TURRINI (1126)"</f>
        <v>MURILO TURRINI (1126)</v>
      </c>
      <c r="H838" t="s">
        <v>26</v>
      </c>
      <c r="I838" t="str">
        <f t="shared" si="173"/>
        <v>05/03/2026</v>
      </c>
      <c r="J838" t="str">
        <f t="shared" si="171"/>
        <v>02/03/2026</v>
      </c>
      <c r="K838">
        <v>46086</v>
      </c>
      <c r="N838">
        <v>109</v>
      </c>
      <c r="O838" t="s">
        <v>27</v>
      </c>
      <c r="Q838">
        <v>495</v>
      </c>
      <c r="R838" t="str">
        <f>"DROGARIA ISABELLA (10276)"</f>
        <v>DROGARIA ISABELLA (10276)</v>
      </c>
      <c r="S838" t="s">
        <v>37</v>
      </c>
      <c r="T838">
        <v>30251</v>
      </c>
      <c r="U838">
        <v>33883</v>
      </c>
      <c r="V838" t="s">
        <v>37</v>
      </c>
    </row>
    <row r="839" spans="1:22">
      <c r="A839" t="str">
        <f t="shared" si="169"/>
        <v>05/03/2026</v>
      </c>
      <c r="B839" t="str">
        <f t="shared" si="172"/>
        <v>SAÍDA</v>
      </c>
      <c r="C839" t="str">
        <f t="shared" si="175"/>
        <v>PIX</v>
      </c>
      <c r="D839" t="str">
        <f>"33881"</f>
        <v>33881</v>
      </c>
      <c r="E839" t="str">
        <f t="shared" si="170"/>
        <v>1</v>
      </c>
      <c r="F839" t="str">
        <f t="shared" si="174"/>
        <v>COM</v>
      </c>
      <c r="G839" t="str">
        <f>"LUCAS FERREIRA DA SILVA (1245)"</f>
        <v>LUCAS FERREIRA DA SILVA (1245)</v>
      </c>
      <c r="H839" t="str">
        <f>"Serv.Prest. 23/02/2026 a 01/03/2026 - PIX: CELULAR - CHAVE: (11) 99593-3129"</f>
        <v>Serv.Prest. 23/02/2026 a 01/03/2026 - PIX: CELULAR - CHAVE: (11) 99593-3129</v>
      </c>
      <c r="I839" t="str">
        <f t="shared" si="173"/>
        <v>05/03/2026</v>
      </c>
      <c r="J839" t="str">
        <f t="shared" si="171"/>
        <v>02/03/2026</v>
      </c>
      <c r="K839" t="str">
        <f>("05/03/2026")</f>
        <v>05/03/2026</v>
      </c>
      <c r="L839">
        <v>385</v>
      </c>
      <c r="M839">
        <v>385</v>
      </c>
      <c r="N839">
        <v>109</v>
      </c>
      <c r="O839" t="str">
        <f>"PAGAMENTO DE ENTREGADORES"</f>
        <v>PAGAMENTO DE ENTREGADORES</v>
      </c>
      <c r="P839">
        <v>385</v>
      </c>
      <c r="S839" t="str">
        <f>"BANCO C6 (149)"</f>
        <v>BANCO C6 (149)</v>
      </c>
      <c r="T839">
        <v>30252</v>
      </c>
      <c r="U839">
        <v>33881</v>
      </c>
      <c r="V839" t="s">
        <v>37</v>
      </c>
    </row>
    <row r="840" spans="1:22">
      <c r="A840" t="str">
        <f t="shared" si="169"/>
        <v>05/03/2026</v>
      </c>
      <c r="B840" t="str">
        <f t="shared" si="172"/>
        <v>SAÍDA</v>
      </c>
      <c r="C840" t="str">
        <f t="shared" si="175"/>
        <v>PIX</v>
      </c>
      <c r="D840" t="str">
        <f>"33881"</f>
        <v>33881</v>
      </c>
      <c r="E840" t="str">
        <f t="shared" si="170"/>
        <v>1</v>
      </c>
      <c r="F840" t="str">
        <f t="shared" si="174"/>
        <v>COM</v>
      </c>
      <c r="G840" t="str">
        <f>"LUCAS FERREIRA DA SILVA (1245)"</f>
        <v>LUCAS FERREIRA DA SILVA (1245)</v>
      </c>
      <c r="H840" t="s">
        <v>331</v>
      </c>
      <c r="I840" t="str">
        <f t="shared" si="173"/>
        <v>05/03/2026</v>
      </c>
      <c r="J840" t="str">
        <f t="shared" si="171"/>
        <v>02/03/2026</v>
      </c>
      <c r="K840">
        <v>46086</v>
      </c>
      <c r="N840">
        <v>109</v>
      </c>
      <c r="O840" t="s">
        <v>27</v>
      </c>
      <c r="Q840">
        <v>385</v>
      </c>
      <c r="R840" t="str">
        <f>"DROGARIA ISABELLA (10276)"</f>
        <v>DROGARIA ISABELLA (10276)</v>
      </c>
      <c r="S840" t="s">
        <v>37</v>
      </c>
      <c r="T840">
        <v>30252</v>
      </c>
      <c r="U840">
        <v>33881</v>
      </c>
      <c r="V840" t="s">
        <v>37</v>
      </c>
    </row>
    <row r="841" spans="1:22">
      <c r="A841" t="str">
        <f t="shared" si="169"/>
        <v>05/03/2026</v>
      </c>
      <c r="B841" t="str">
        <f t="shared" si="172"/>
        <v>SAÍDA</v>
      </c>
      <c r="C841" t="str">
        <f t="shared" si="175"/>
        <v>PIX</v>
      </c>
      <c r="D841" t="str">
        <f>"05032026"</f>
        <v>05032026</v>
      </c>
      <c r="E841" t="str">
        <f>""</f>
        <v/>
      </c>
      <c r="F841" t="str">
        <f t="shared" si="174"/>
        <v>COM</v>
      </c>
      <c r="G841" t="str">
        <f>"TIAGO CRUZ DOS SANTOS (1359)"</f>
        <v>TIAGO CRUZ DOS SANTOS (1359)</v>
      </c>
      <c r="H841" t="str">
        <f>"Serv.Prest. DIÁRIA 01/03/2026 PIX 84299452534"</f>
        <v>Serv.Prest. DIÁRIA 01/03/2026 PIX 84299452534</v>
      </c>
      <c r="I841" t="str">
        <f t="shared" si="173"/>
        <v>05/03/2026</v>
      </c>
      <c r="J841" t="str">
        <f>("05/03/2026")</f>
        <v>05/03/2026</v>
      </c>
      <c r="K841" t="str">
        <f>("05/03/2026")</f>
        <v>05/03/2026</v>
      </c>
      <c r="L841">
        <v>150</v>
      </c>
      <c r="M841">
        <v>150</v>
      </c>
      <c r="N841">
        <v>134</v>
      </c>
      <c r="O841" t="str">
        <f>"DIARIA DE MOTOBOY"</f>
        <v>DIARIA DE MOTOBOY</v>
      </c>
      <c r="P841">
        <v>150</v>
      </c>
      <c r="S841" t="str">
        <f>"BANCO C6 (149)"</f>
        <v>BANCO C6 (149)</v>
      </c>
      <c r="T841">
        <v>30253</v>
      </c>
      <c r="U841">
        <v>34209</v>
      </c>
      <c r="V841" t="s">
        <v>37</v>
      </c>
    </row>
    <row r="842" spans="1:22">
      <c r="A842" t="str">
        <f t="shared" si="169"/>
        <v>05/03/2026</v>
      </c>
      <c r="B842" t="str">
        <f t="shared" si="172"/>
        <v>SAÍDA</v>
      </c>
      <c r="C842" t="str">
        <f t="shared" si="175"/>
        <v>PIX</v>
      </c>
      <c r="D842" t="str">
        <f>"05032026"</f>
        <v>05032026</v>
      </c>
      <c r="E842" t="str">
        <f>""</f>
        <v/>
      </c>
      <c r="F842" t="str">
        <f t="shared" si="174"/>
        <v>COM</v>
      </c>
      <c r="G842" t="str">
        <f>"TIAGO CRUZ DOS SANTOS (1359)"</f>
        <v>TIAGO CRUZ DOS SANTOS (1359)</v>
      </c>
      <c r="H842" t="s">
        <v>332</v>
      </c>
      <c r="I842" t="str">
        <f t="shared" si="173"/>
        <v>05/03/2026</v>
      </c>
      <c r="J842" t="str">
        <f>("05/03/2026")</f>
        <v>05/03/2026</v>
      </c>
      <c r="K842">
        <v>46086</v>
      </c>
      <c r="N842">
        <v>134</v>
      </c>
      <c r="O842" t="s">
        <v>30</v>
      </c>
      <c r="Q842">
        <v>150</v>
      </c>
      <c r="R842" t="str">
        <f>"FARMÁCIA INDIANA LJ 30 (10127)"</f>
        <v>FARMÁCIA INDIANA LJ 30 (10127)</v>
      </c>
      <c r="S842" t="s">
        <v>37</v>
      </c>
      <c r="T842">
        <v>30253</v>
      </c>
      <c r="U842">
        <v>34209</v>
      </c>
      <c r="V842" t="s">
        <v>37</v>
      </c>
    </row>
    <row r="843" spans="1:22">
      <c r="A843" t="str">
        <f t="shared" si="169"/>
        <v>05/03/2026</v>
      </c>
      <c r="B843" t="str">
        <f t="shared" si="172"/>
        <v>SAÍDA</v>
      </c>
      <c r="C843" t="str">
        <f t="shared" si="175"/>
        <v>PIX</v>
      </c>
      <c r="D843" t="str">
        <f>"33887"</f>
        <v>33887</v>
      </c>
      <c r="E843" t="str">
        <f t="shared" ref="E843:E906" si="176">"1"</f>
        <v>1</v>
      </c>
      <c r="F843" t="str">
        <f t="shared" si="174"/>
        <v>COM</v>
      </c>
      <c r="G843" t="str">
        <f>"DOUGLAS RODRIGUES DE FREITAS (1161)"</f>
        <v>DOUGLAS RODRIGUES DE FREITAS (1161)</v>
      </c>
      <c r="H843" t="str">
        <f>"Serv.Prest. 23/02/2026 a 01/03/2026 - PIX: E-MAIL - CHAVE: doug6866@gmail.com"</f>
        <v>Serv.Prest. 23/02/2026 a 01/03/2026 - PIX: E-MAIL - CHAVE: doug6866@gmail.com</v>
      </c>
      <c r="I843" t="str">
        <f t="shared" si="173"/>
        <v>05/03/2026</v>
      </c>
      <c r="J843" t="str">
        <f t="shared" ref="J843:J874" si="177">("02/03/2026")</f>
        <v>02/03/2026</v>
      </c>
      <c r="K843" t="str">
        <f>("05/03/2026")</f>
        <v>05/03/2026</v>
      </c>
      <c r="L843">
        <v>1113</v>
      </c>
      <c r="M843">
        <v>1113</v>
      </c>
      <c r="N843">
        <v>109</v>
      </c>
      <c r="O843" t="str">
        <f>"PAGAMENTO DE ENTREGADORES"</f>
        <v>PAGAMENTO DE ENTREGADORES</v>
      </c>
      <c r="P843">
        <v>1113</v>
      </c>
      <c r="S843" t="str">
        <f>"BANCO C6 (149)"</f>
        <v>BANCO C6 (149)</v>
      </c>
      <c r="T843">
        <v>30254</v>
      </c>
      <c r="U843">
        <v>33887</v>
      </c>
      <c r="V843" t="s">
        <v>37</v>
      </c>
    </row>
    <row r="844" spans="1:22">
      <c r="A844" t="str">
        <f t="shared" si="169"/>
        <v>05/03/2026</v>
      </c>
      <c r="B844" t="str">
        <f t="shared" si="172"/>
        <v>SAÍDA</v>
      </c>
      <c r="C844" t="str">
        <f t="shared" si="175"/>
        <v>PIX</v>
      </c>
      <c r="D844" t="str">
        <f>"33887"</f>
        <v>33887</v>
      </c>
      <c r="E844" t="str">
        <f t="shared" si="176"/>
        <v>1</v>
      </c>
      <c r="F844" t="str">
        <f t="shared" si="174"/>
        <v>COM</v>
      </c>
      <c r="G844" t="str">
        <f>"DOUGLAS RODRIGUES DE FREITAS (1161)"</f>
        <v>DOUGLAS RODRIGUES DE FREITAS (1161)</v>
      </c>
      <c r="H844" t="s">
        <v>333</v>
      </c>
      <c r="I844" t="str">
        <f t="shared" si="173"/>
        <v>05/03/2026</v>
      </c>
      <c r="J844" t="str">
        <f t="shared" si="177"/>
        <v>02/03/2026</v>
      </c>
      <c r="K844">
        <v>46086</v>
      </c>
      <c r="N844">
        <v>109</v>
      </c>
      <c r="O844" t="s">
        <v>27</v>
      </c>
      <c r="Q844">
        <v>1113</v>
      </c>
      <c r="R844" t="str">
        <f>"DROGARIA MEDIC CENTER LTDA (10172)"</f>
        <v>DROGARIA MEDIC CENTER LTDA (10172)</v>
      </c>
      <c r="S844" t="s">
        <v>37</v>
      </c>
      <c r="T844">
        <v>30254</v>
      </c>
      <c r="U844">
        <v>33887</v>
      </c>
      <c r="V844" t="s">
        <v>37</v>
      </c>
    </row>
    <row r="845" spans="1:22">
      <c r="A845" t="str">
        <f t="shared" si="169"/>
        <v>05/03/2026</v>
      </c>
      <c r="B845" t="str">
        <f t="shared" si="172"/>
        <v>SAÍDA</v>
      </c>
      <c r="C845" t="str">
        <f t="shared" si="175"/>
        <v>PIX</v>
      </c>
      <c r="D845" t="str">
        <f>"33890"</f>
        <v>33890</v>
      </c>
      <c r="E845" t="str">
        <f t="shared" si="176"/>
        <v>1</v>
      </c>
      <c r="F845" t="str">
        <f t="shared" si="174"/>
        <v>COM</v>
      </c>
      <c r="G845" t="str">
        <f>"ALLAN SILVA DAMACENA (790)"</f>
        <v>ALLAN SILVA DAMACENA (790)</v>
      </c>
      <c r="H845" t="str">
        <f>"Serv.Prest. 23/02/2026 a 01/03/2026 - PIX: CELULAR - CHAVE: (19) 98944-4977"</f>
        <v>Serv.Prest. 23/02/2026 a 01/03/2026 - PIX: CELULAR - CHAVE: (19) 98944-4977</v>
      </c>
      <c r="I845" t="str">
        <f t="shared" si="173"/>
        <v>05/03/2026</v>
      </c>
      <c r="J845" t="str">
        <f t="shared" si="177"/>
        <v>02/03/2026</v>
      </c>
      <c r="K845" t="str">
        <f>("05/03/2026")</f>
        <v>05/03/2026</v>
      </c>
      <c r="L845">
        <v>569</v>
      </c>
      <c r="M845">
        <v>569</v>
      </c>
      <c r="N845">
        <v>109</v>
      </c>
      <c r="O845" t="str">
        <f>"PAGAMENTO DE ENTREGADORES"</f>
        <v>PAGAMENTO DE ENTREGADORES</v>
      </c>
      <c r="P845">
        <v>569</v>
      </c>
      <c r="S845" t="str">
        <f>"BANCO C6 (149)"</f>
        <v>BANCO C6 (149)</v>
      </c>
      <c r="T845">
        <v>30255</v>
      </c>
      <c r="U845">
        <v>33890</v>
      </c>
      <c r="V845" t="s">
        <v>37</v>
      </c>
    </row>
    <row r="846" spans="1:22">
      <c r="A846" t="str">
        <f t="shared" si="169"/>
        <v>05/03/2026</v>
      </c>
      <c r="B846" t="str">
        <f t="shared" si="172"/>
        <v>SAÍDA</v>
      </c>
      <c r="C846" t="str">
        <f t="shared" si="175"/>
        <v>PIX</v>
      </c>
      <c r="D846" t="str">
        <f>"33890"</f>
        <v>33890</v>
      </c>
      <c r="E846" t="str">
        <f t="shared" si="176"/>
        <v>1</v>
      </c>
      <c r="F846" t="str">
        <f t="shared" si="174"/>
        <v>COM</v>
      </c>
      <c r="G846" t="str">
        <f>"ALLAN SILVA DAMACENA (790)"</f>
        <v>ALLAN SILVA DAMACENA (790)</v>
      </c>
      <c r="H846" t="s">
        <v>31</v>
      </c>
      <c r="I846" t="str">
        <f t="shared" si="173"/>
        <v>05/03/2026</v>
      </c>
      <c r="J846" t="str">
        <f t="shared" si="177"/>
        <v>02/03/2026</v>
      </c>
      <c r="K846">
        <v>46086</v>
      </c>
      <c r="N846">
        <v>109</v>
      </c>
      <c r="O846" t="s">
        <v>27</v>
      </c>
      <c r="Q846">
        <v>569</v>
      </c>
      <c r="R846" t="str">
        <f>"DROGARIA MORENO LTDA (10171)"</f>
        <v>DROGARIA MORENO LTDA (10171)</v>
      </c>
      <c r="S846" t="s">
        <v>37</v>
      </c>
      <c r="T846">
        <v>30255</v>
      </c>
      <c r="U846">
        <v>33890</v>
      </c>
      <c r="V846" t="s">
        <v>37</v>
      </c>
    </row>
    <row r="847" spans="1:22">
      <c r="A847" t="str">
        <f t="shared" si="169"/>
        <v>05/03/2026</v>
      </c>
      <c r="B847" t="str">
        <f t="shared" si="172"/>
        <v>SAÍDA</v>
      </c>
      <c r="C847" t="str">
        <f t="shared" si="175"/>
        <v>PIX</v>
      </c>
      <c r="D847" t="str">
        <f>"33891"</f>
        <v>33891</v>
      </c>
      <c r="E847" t="str">
        <f t="shared" si="176"/>
        <v>1</v>
      </c>
      <c r="F847" t="str">
        <f t="shared" si="174"/>
        <v>COM</v>
      </c>
      <c r="G847" t="str">
        <f>"EDUARDO MARQUES DOS SANTOS (787)"</f>
        <v>EDUARDO MARQUES DOS SANTOS (787)</v>
      </c>
      <c r="H847" t="str">
        <f>"Serv.Prest. 23/02/2026 a 01/03/2026 - PIX: CELULAR - CHAVE: (11) 97402-1586"</f>
        <v>Serv.Prest. 23/02/2026 a 01/03/2026 - PIX: CELULAR - CHAVE: (11) 97402-1586</v>
      </c>
      <c r="I847" t="str">
        <f t="shared" si="173"/>
        <v>05/03/2026</v>
      </c>
      <c r="J847" t="str">
        <f t="shared" si="177"/>
        <v>02/03/2026</v>
      </c>
      <c r="K847" t="str">
        <f>("05/03/2026")</f>
        <v>05/03/2026</v>
      </c>
      <c r="L847">
        <v>784</v>
      </c>
      <c r="M847">
        <v>784</v>
      </c>
      <c r="N847">
        <v>109</v>
      </c>
      <c r="O847" t="str">
        <f>"PAGAMENTO DE ENTREGADORES"</f>
        <v>PAGAMENTO DE ENTREGADORES</v>
      </c>
      <c r="P847">
        <v>784</v>
      </c>
      <c r="S847" t="str">
        <f>"BANCO C6 (149)"</f>
        <v>BANCO C6 (149)</v>
      </c>
      <c r="T847">
        <v>30256</v>
      </c>
      <c r="U847">
        <v>33891</v>
      </c>
      <c r="V847" t="s">
        <v>37</v>
      </c>
    </row>
    <row r="848" spans="1:22">
      <c r="A848" t="str">
        <f t="shared" si="169"/>
        <v>05/03/2026</v>
      </c>
      <c r="B848" t="str">
        <f t="shared" si="172"/>
        <v>SAÍDA</v>
      </c>
      <c r="C848" t="str">
        <f t="shared" si="175"/>
        <v>PIX</v>
      </c>
      <c r="D848" t="str">
        <f>"33891"</f>
        <v>33891</v>
      </c>
      <c r="E848" t="str">
        <f t="shared" si="176"/>
        <v>1</v>
      </c>
      <c r="F848" t="str">
        <f t="shared" si="174"/>
        <v>COM</v>
      </c>
      <c r="G848" t="str">
        <f>"EDUARDO MARQUES DOS SANTOS (787)"</f>
        <v>EDUARDO MARQUES DOS SANTOS (787)</v>
      </c>
      <c r="H848" t="s">
        <v>334</v>
      </c>
      <c r="I848" t="str">
        <f t="shared" si="173"/>
        <v>05/03/2026</v>
      </c>
      <c r="J848" t="str">
        <f t="shared" si="177"/>
        <v>02/03/2026</v>
      </c>
      <c r="K848">
        <v>46086</v>
      </c>
      <c r="N848">
        <v>109</v>
      </c>
      <c r="O848" t="s">
        <v>27</v>
      </c>
      <c r="Q848">
        <v>784</v>
      </c>
      <c r="R848" t="str">
        <f>"DROGARIA MORENO LTDA (10171)"</f>
        <v>DROGARIA MORENO LTDA (10171)</v>
      </c>
      <c r="S848" t="s">
        <v>37</v>
      </c>
      <c r="T848">
        <v>30256</v>
      </c>
      <c r="U848">
        <v>33891</v>
      </c>
      <c r="V848" t="s">
        <v>37</v>
      </c>
    </row>
    <row r="849" spans="1:22">
      <c r="A849" t="str">
        <f t="shared" si="169"/>
        <v>05/03/2026</v>
      </c>
      <c r="B849" t="str">
        <f t="shared" si="172"/>
        <v>SAÍDA</v>
      </c>
      <c r="C849" t="str">
        <f t="shared" si="175"/>
        <v>PIX</v>
      </c>
      <c r="D849" t="str">
        <f>"33893"</f>
        <v>33893</v>
      </c>
      <c r="E849" t="str">
        <f t="shared" si="176"/>
        <v>1</v>
      </c>
      <c r="F849" t="str">
        <f t="shared" si="174"/>
        <v>COM</v>
      </c>
      <c r="G849" t="str">
        <f>"PAULO CESAR DE FARIA (865)"</f>
        <v>PAULO CESAR DE FARIA (865)</v>
      </c>
      <c r="H849" t="str">
        <f>"Serv.Prest. 23/02/2026 a 01/03/2026 - PIX: CELULAR - CHAVE: (11) 99992-0816"</f>
        <v>Serv.Prest. 23/02/2026 a 01/03/2026 - PIX: CELULAR - CHAVE: (11) 99992-0816</v>
      </c>
      <c r="I849" t="str">
        <f t="shared" si="173"/>
        <v>05/03/2026</v>
      </c>
      <c r="J849" t="str">
        <f t="shared" si="177"/>
        <v>02/03/2026</v>
      </c>
      <c r="K849" t="str">
        <f>("05/03/2026")</f>
        <v>05/03/2026</v>
      </c>
      <c r="L849">
        <v>903</v>
      </c>
      <c r="M849">
        <v>903</v>
      </c>
      <c r="N849">
        <v>109</v>
      </c>
      <c r="O849" t="str">
        <f>"PAGAMENTO DE ENTREGADORES"</f>
        <v>PAGAMENTO DE ENTREGADORES</v>
      </c>
      <c r="P849">
        <v>903</v>
      </c>
      <c r="S849" t="str">
        <f>"BANCO C6 (149)"</f>
        <v>BANCO C6 (149)</v>
      </c>
      <c r="T849">
        <v>30257</v>
      </c>
      <c r="U849">
        <v>33893</v>
      </c>
      <c r="V849" t="s">
        <v>37</v>
      </c>
    </row>
    <row r="850" spans="1:22">
      <c r="A850" t="str">
        <f t="shared" si="169"/>
        <v>05/03/2026</v>
      </c>
      <c r="B850" t="str">
        <f t="shared" si="172"/>
        <v>SAÍDA</v>
      </c>
      <c r="C850" t="str">
        <f t="shared" si="175"/>
        <v>PIX</v>
      </c>
      <c r="D850" t="str">
        <f>"33893"</f>
        <v>33893</v>
      </c>
      <c r="E850" t="str">
        <f t="shared" si="176"/>
        <v>1</v>
      </c>
      <c r="F850" t="str">
        <f t="shared" si="174"/>
        <v>COM</v>
      </c>
      <c r="G850" t="str">
        <f>"PAULO CESAR DE FARIA (865)"</f>
        <v>PAULO CESAR DE FARIA (865)</v>
      </c>
      <c r="H850" t="s">
        <v>335</v>
      </c>
      <c r="I850" t="str">
        <f t="shared" si="173"/>
        <v>05/03/2026</v>
      </c>
      <c r="J850" t="str">
        <f t="shared" si="177"/>
        <v>02/03/2026</v>
      </c>
      <c r="K850">
        <v>46086</v>
      </c>
      <c r="N850">
        <v>109</v>
      </c>
      <c r="O850" t="s">
        <v>27</v>
      </c>
      <c r="Q850">
        <v>903</v>
      </c>
      <c r="R850" t="str">
        <f>"DROGARIA MORENO LTDA (10171)"</f>
        <v>DROGARIA MORENO LTDA (10171)</v>
      </c>
      <c r="S850" t="s">
        <v>37</v>
      </c>
      <c r="T850">
        <v>30257</v>
      </c>
      <c r="U850">
        <v>33893</v>
      </c>
      <c r="V850" t="s">
        <v>37</v>
      </c>
    </row>
    <row r="851" spans="1:22">
      <c r="A851" t="str">
        <f t="shared" si="169"/>
        <v>05/03/2026</v>
      </c>
      <c r="B851" t="str">
        <f t="shared" si="172"/>
        <v>SAÍDA</v>
      </c>
      <c r="C851" t="str">
        <f t="shared" si="175"/>
        <v>PIX</v>
      </c>
      <c r="D851" t="str">
        <f>"33901"</f>
        <v>33901</v>
      </c>
      <c r="E851" t="str">
        <f t="shared" si="176"/>
        <v>1</v>
      </c>
      <c r="F851" t="str">
        <f t="shared" si="174"/>
        <v>COM</v>
      </c>
      <c r="G851" t="str">
        <f>"JOSÉ HENRIQUE RODRIGUES (430)"</f>
        <v>JOSÉ HENRIQUE RODRIGUES (430)</v>
      </c>
      <c r="H851" t="str">
        <f>"Serv.Prest. 23/02/2026 a 01/03/2026 - PIX: CPF - CHAVE: 100.826.516-04"</f>
        <v>Serv.Prest. 23/02/2026 a 01/03/2026 - PIX: CPF - CHAVE: 100.826.516-04</v>
      </c>
      <c r="I851" t="str">
        <f t="shared" si="173"/>
        <v>05/03/2026</v>
      </c>
      <c r="J851" t="str">
        <f t="shared" si="177"/>
        <v>02/03/2026</v>
      </c>
      <c r="K851" t="str">
        <f>("05/03/2026")</f>
        <v>05/03/2026</v>
      </c>
      <c r="L851">
        <v>114</v>
      </c>
      <c r="M851">
        <v>114</v>
      </c>
      <c r="N851">
        <v>109</v>
      </c>
      <c r="O851" t="str">
        <f>"PAGAMENTO DE ENTREGADORES"</f>
        <v>PAGAMENTO DE ENTREGADORES</v>
      </c>
      <c r="P851">
        <v>114</v>
      </c>
      <c r="S851" t="str">
        <f>"BANCO C6 (149)"</f>
        <v>BANCO C6 (149)</v>
      </c>
      <c r="T851">
        <v>30258</v>
      </c>
      <c r="U851">
        <v>33901</v>
      </c>
      <c r="V851" t="s">
        <v>37</v>
      </c>
    </row>
    <row r="852" spans="1:22">
      <c r="A852" t="str">
        <f t="shared" si="169"/>
        <v>05/03/2026</v>
      </c>
      <c r="B852" t="str">
        <f t="shared" si="172"/>
        <v>SAÍDA</v>
      </c>
      <c r="C852" t="str">
        <f t="shared" si="175"/>
        <v>PIX</v>
      </c>
      <c r="D852" t="str">
        <f>"33901"</f>
        <v>33901</v>
      </c>
      <c r="E852" t="str">
        <f t="shared" si="176"/>
        <v>1</v>
      </c>
      <c r="F852" t="str">
        <f t="shared" si="174"/>
        <v>COM</v>
      </c>
      <c r="G852" t="str">
        <f>"JOSÉ HENRIQUE RODRIGUES (430)"</f>
        <v>JOSÉ HENRIQUE RODRIGUES (430)</v>
      </c>
      <c r="H852" t="s">
        <v>336</v>
      </c>
      <c r="I852" t="str">
        <f t="shared" si="173"/>
        <v>05/03/2026</v>
      </c>
      <c r="J852" t="str">
        <f t="shared" si="177"/>
        <v>02/03/2026</v>
      </c>
      <c r="K852">
        <v>46086</v>
      </c>
      <c r="N852">
        <v>109</v>
      </c>
      <c r="O852" t="s">
        <v>27</v>
      </c>
      <c r="Q852">
        <v>102</v>
      </c>
      <c r="R852" t="str">
        <f>"ULTRA POPULAR  UBA 2 (10214)"</f>
        <v>ULTRA POPULAR  UBA 2 (10214)</v>
      </c>
      <c r="S852" t="s">
        <v>37</v>
      </c>
      <c r="T852">
        <v>30258</v>
      </c>
      <c r="U852">
        <v>33901</v>
      </c>
      <c r="V852" t="s">
        <v>37</v>
      </c>
    </row>
    <row r="853" spans="1:22">
      <c r="A853" t="str">
        <f t="shared" si="169"/>
        <v>05/03/2026</v>
      </c>
      <c r="B853" t="str">
        <f t="shared" si="172"/>
        <v>SAÍDA</v>
      </c>
      <c r="C853" t="str">
        <f t="shared" si="175"/>
        <v>PIX</v>
      </c>
      <c r="D853" t="str">
        <f>"33901"</f>
        <v>33901</v>
      </c>
      <c r="E853" t="str">
        <f t="shared" si="176"/>
        <v>1</v>
      </c>
      <c r="F853" t="str">
        <f t="shared" si="174"/>
        <v>COM</v>
      </c>
      <c r="G853" t="str">
        <f>"JOSÉ HENRIQUE RODRIGUES (430)"</f>
        <v>JOSÉ HENRIQUE RODRIGUES (430)</v>
      </c>
      <c r="H853" t="s">
        <v>336</v>
      </c>
      <c r="I853" t="str">
        <f t="shared" si="173"/>
        <v>05/03/2026</v>
      </c>
      <c r="J853" t="str">
        <f t="shared" si="177"/>
        <v>02/03/2026</v>
      </c>
      <c r="K853">
        <v>46086</v>
      </c>
      <c r="N853">
        <v>109</v>
      </c>
      <c r="O853" t="s">
        <v>27</v>
      </c>
      <c r="Q853">
        <v>12</v>
      </c>
      <c r="R853" t="str">
        <f>"UBA 1 (10263)"</f>
        <v>UBA 1 (10263)</v>
      </c>
      <c r="S853" t="s">
        <v>37</v>
      </c>
      <c r="T853">
        <v>30258</v>
      </c>
      <c r="U853">
        <v>33901</v>
      </c>
      <c r="V853" t="s">
        <v>37</v>
      </c>
    </row>
    <row r="854" spans="1:22">
      <c r="A854" t="str">
        <f t="shared" si="169"/>
        <v>05/03/2026</v>
      </c>
      <c r="B854" t="str">
        <f t="shared" si="172"/>
        <v>SAÍDA</v>
      </c>
      <c r="C854" t="str">
        <f t="shared" si="175"/>
        <v>PIX</v>
      </c>
      <c r="D854" t="str">
        <f>"33902"</f>
        <v>33902</v>
      </c>
      <c r="E854" t="str">
        <f t="shared" si="176"/>
        <v>1</v>
      </c>
      <c r="F854" t="str">
        <f t="shared" si="174"/>
        <v>COM</v>
      </c>
      <c r="G854" t="str">
        <f>"TALES SILVA MARIANO (431)"</f>
        <v>TALES SILVA MARIANO (431)</v>
      </c>
      <c r="H854" t="str">
        <f>"Serv.Prest. 23/02/2026 a 01/03/2026 - PIX: CNPJ - CHAVE: 64.735.042/0001-53"</f>
        <v>Serv.Prest. 23/02/2026 a 01/03/2026 - PIX: CNPJ - CHAVE: 64.735.042/0001-53</v>
      </c>
      <c r="I854" t="str">
        <f t="shared" si="173"/>
        <v>05/03/2026</v>
      </c>
      <c r="J854" t="str">
        <f t="shared" si="177"/>
        <v>02/03/2026</v>
      </c>
      <c r="K854" t="str">
        <f>("05/03/2026")</f>
        <v>05/03/2026</v>
      </c>
      <c r="L854">
        <v>150</v>
      </c>
      <c r="M854">
        <v>150</v>
      </c>
      <c r="N854">
        <v>109</v>
      </c>
      <c r="O854" t="str">
        <f>"PAGAMENTO DE ENTREGADORES"</f>
        <v>PAGAMENTO DE ENTREGADORES</v>
      </c>
      <c r="P854">
        <v>150</v>
      </c>
      <c r="S854" t="str">
        <f>"BANCO C6 (149)"</f>
        <v>BANCO C6 (149)</v>
      </c>
      <c r="T854">
        <v>30259</v>
      </c>
      <c r="U854">
        <v>33902</v>
      </c>
      <c r="V854" t="s">
        <v>37</v>
      </c>
    </row>
    <row r="855" spans="1:22">
      <c r="A855" t="str">
        <f t="shared" si="169"/>
        <v>05/03/2026</v>
      </c>
      <c r="B855" t="str">
        <f t="shared" si="172"/>
        <v>SAÍDA</v>
      </c>
      <c r="C855" t="str">
        <f t="shared" si="175"/>
        <v>PIX</v>
      </c>
      <c r="D855" t="str">
        <f>"33902"</f>
        <v>33902</v>
      </c>
      <c r="E855" t="str">
        <f t="shared" si="176"/>
        <v>1</v>
      </c>
      <c r="F855" t="str">
        <f t="shared" si="174"/>
        <v>COM</v>
      </c>
      <c r="G855" t="str">
        <f>"TALES SILVA MARIANO (431)"</f>
        <v>TALES SILVA MARIANO (431)</v>
      </c>
      <c r="H855" t="s">
        <v>337</v>
      </c>
      <c r="I855" t="str">
        <f t="shared" si="173"/>
        <v>05/03/2026</v>
      </c>
      <c r="J855" t="str">
        <f t="shared" si="177"/>
        <v>02/03/2026</v>
      </c>
      <c r="K855">
        <v>46086</v>
      </c>
      <c r="N855">
        <v>109</v>
      </c>
      <c r="O855" t="s">
        <v>27</v>
      </c>
      <c r="Q855">
        <v>138</v>
      </c>
      <c r="R855" t="str">
        <f>"ULTRA POPULAR  UBA 2 (10214)"</f>
        <v>ULTRA POPULAR  UBA 2 (10214)</v>
      </c>
      <c r="S855" t="s">
        <v>37</v>
      </c>
      <c r="T855">
        <v>30259</v>
      </c>
      <c r="U855">
        <v>33902</v>
      </c>
      <c r="V855" t="s">
        <v>37</v>
      </c>
    </row>
    <row r="856" spans="1:22">
      <c r="A856" t="str">
        <f t="shared" si="169"/>
        <v>05/03/2026</v>
      </c>
      <c r="B856" t="str">
        <f t="shared" si="172"/>
        <v>SAÍDA</v>
      </c>
      <c r="C856" t="str">
        <f t="shared" si="175"/>
        <v>PIX</v>
      </c>
      <c r="D856" t="str">
        <f>"33902"</f>
        <v>33902</v>
      </c>
      <c r="E856" t="str">
        <f t="shared" si="176"/>
        <v>1</v>
      </c>
      <c r="F856" t="str">
        <f t="shared" si="174"/>
        <v>COM</v>
      </c>
      <c r="G856" t="str">
        <f>"TALES SILVA MARIANO (431)"</f>
        <v>TALES SILVA MARIANO (431)</v>
      </c>
      <c r="H856" t="s">
        <v>337</v>
      </c>
      <c r="I856" t="str">
        <f t="shared" si="173"/>
        <v>05/03/2026</v>
      </c>
      <c r="J856" t="str">
        <f t="shared" si="177"/>
        <v>02/03/2026</v>
      </c>
      <c r="K856">
        <v>46086</v>
      </c>
      <c r="N856">
        <v>109</v>
      </c>
      <c r="O856" t="s">
        <v>27</v>
      </c>
      <c r="Q856">
        <v>12</v>
      </c>
      <c r="R856" t="str">
        <f>"UBA 1 (10263)"</f>
        <v>UBA 1 (10263)</v>
      </c>
      <c r="S856" t="s">
        <v>37</v>
      </c>
      <c r="T856">
        <v>30259</v>
      </c>
      <c r="U856">
        <v>33902</v>
      </c>
      <c r="V856" t="s">
        <v>37</v>
      </c>
    </row>
    <row r="857" spans="1:22">
      <c r="A857" t="str">
        <f t="shared" si="169"/>
        <v>05/03/2026</v>
      </c>
      <c r="B857" t="str">
        <f t="shared" si="172"/>
        <v>SAÍDA</v>
      </c>
      <c r="C857" t="str">
        <f t="shared" si="175"/>
        <v>PIX</v>
      </c>
      <c r="D857" t="str">
        <f>"33905"</f>
        <v>33905</v>
      </c>
      <c r="E857" t="str">
        <f t="shared" si="176"/>
        <v>1</v>
      </c>
      <c r="F857" t="str">
        <f t="shared" si="174"/>
        <v>COM</v>
      </c>
      <c r="G857" t="str">
        <f>"ISMAEL ALEX VIEIRA (1303)"</f>
        <v>ISMAEL ALEX VIEIRA (1303)</v>
      </c>
      <c r="H857" t="str">
        <f>"Serv.Prest. 23/02/2026 a 01/03/2026 - PIX: CPF - CHAVE: 304.384.838-12"</f>
        <v>Serv.Prest. 23/02/2026 a 01/03/2026 - PIX: CPF - CHAVE: 304.384.838-12</v>
      </c>
      <c r="I857" t="str">
        <f t="shared" si="173"/>
        <v>05/03/2026</v>
      </c>
      <c r="J857" t="str">
        <f t="shared" si="177"/>
        <v>02/03/2026</v>
      </c>
      <c r="K857" t="str">
        <f>("05/03/2026")</f>
        <v>05/03/2026</v>
      </c>
      <c r="L857">
        <v>700</v>
      </c>
      <c r="M857">
        <v>700</v>
      </c>
      <c r="N857">
        <v>109</v>
      </c>
      <c r="O857" t="str">
        <f>"PAGAMENTO DE ENTREGADORES"</f>
        <v>PAGAMENTO DE ENTREGADORES</v>
      </c>
      <c r="P857">
        <v>700</v>
      </c>
      <c r="S857" t="str">
        <f>"BANCO C6 (149)"</f>
        <v>BANCO C6 (149)</v>
      </c>
      <c r="T857">
        <v>30260</v>
      </c>
      <c r="U857">
        <v>33905</v>
      </c>
      <c r="V857" t="s">
        <v>37</v>
      </c>
    </row>
    <row r="858" spans="1:22">
      <c r="A858" t="str">
        <f t="shared" si="169"/>
        <v>05/03/2026</v>
      </c>
      <c r="B858" t="str">
        <f t="shared" si="172"/>
        <v>SAÍDA</v>
      </c>
      <c r="C858" t="str">
        <f t="shared" si="175"/>
        <v>PIX</v>
      </c>
      <c r="D858" t="str">
        <f>"33905"</f>
        <v>33905</v>
      </c>
      <c r="E858" t="str">
        <f t="shared" si="176"/>
        <v>1</v>
      </c>
      <c r="F858" t="str">
        <f t="shared" si="174"/>
        <v>COM</v>
      </c>
      <c r="G858" t="str">
        <f>"ISMAEL ALEX VIEIRA (1303)"</f>
        <v>ISMAEL ALEX VIEIRA (1303)</v>
      </c>
      <c r="H858" t="s">
        <v>338</v>
      </c>
      <c r="I858" t="str">
        <f t="shared" si="173"/>
        <v>05/03/2026</v>
      </c>
      <c r="J858" t="str">
        <f t="shared" si="177"/>
        <v>02/03/2026</v>
      </c>
      <c r="K858">
        <v>46086</v>
      </c>
      <c r="N858">
        <v>109</v>
      </c>
      <c r="O858" t="s">
        <v>27</v>
      </c>
      <c r="Q858">
        <v>700</v>
      </c>
      <c r="R858" t="str">
        <f>"FARMACIA ROSAS (10288)"</f>
        <v>FARMACIA ROSAS (10288)</v>
      </c>
      <c r="S858" t="s">
        <v>37</v>
      </c>
      <c r="T858">
        <v>30260</v>
      </c>
      <c r="U858">
        <v>33905</v>
      </c>
      <c r="V858" t="s">
        <v>37</v>
      </c>
    </row>
    <row r="859" spans="1:22">
      <c r="A859" t="str">
        <f t="shared" si="169"/>
        <v>05/03/2026</v>
      </c>
      <c r="B859" t="str">
        <f t="shared" si="172"/>
        <v>SAÍDA</v>
      </c>
      <c r="C859" t="str">
        <f t="shared" si="175"/>
        <v>PIX</v>
      </c>
      <c r="D859" t="str">
        <f>"33906"</f>
        <v>33906</v>
      </c>
      <c r="E859" t="str">
        <f t="shared" si="176"/>
        <v>1</v>
      </c>
      <c r="F859" t="str">
        <f t="shared" si="174"/>
        <v>COM</v>
      </c>
      <c r="G859" t="str">
        <f>"JO??O OTÁVIO GRANZIOL (1309)"</f>
        <v>JO??O OTÁVIO GRANZIOL (1309)</v>
      </c>
      <c r="H859" t="str">
        <f>"Serv.Prest. 23/02/2026 a 01/03/2026 - PIX: CPF - CHAVE: 491.327.628-01"</f>
        <v>Serv.Prest. 23/02/2026 a 01/03/2026 - PIX: CPF - CHAVE: 491.327.628-01</v>
      </c>
      <c r="I859" t="str">
        <f t="shared" si="173"/>
        <v>05/03/2026</v>
      </c>
      <c r="J859" t="str">
        <f t="shared" si="177"/>
        <v>02/03/2026</v>
      </c>
      <c r="K859" t="str">
        <f>("05/03/2026")</f>
        <v>05/03/2026</v>
      </c>
      <c r="L859">
        <v>700</v>
      </c>
      <c r="M859">
        <v>700</v>
      </c>
      <c r="N859">
        <v>109</v>
      </c>
      <c r="O859" t="str">
        <f>"PAGAMENTO DE ENTREGADORES"</f>
        <v>PAGAMENTO DE ENTREGADORES</v>
      </c>
      <c r="P859">
        <v>700</v>
      </c>
      <c r="S859" t="str">
        <f>"BANCO C6 (149)"</f>
        <v>BANCO C6 (149)</v>
      </c>
      <c r="T859">
        <v>30261</v>
      </c>
      <c r="U859">
        <v>33906</v>
      </c>
      <c r="V859" t="s">
        <v>37</v>
      </c>
    </row>
    <row r="860" spans="1:22">
      <c r="A860" t="str">
        <f t="shared" si="169"/>
        <v>05/03/2026</v>
      </c>
      <c r="B860" t="str">
        <f t="shared" si="172"/>
        <v>SAÍDA</v>
      </c>
      <c r="C860" t="str">
        <f t="shared" si="175"/>
        <v>PIX</v>
      </c>
      <c r="D860" t="str">
        <f>"33906"</f>
        <v>33906</v>
      </c>
      <c r="E860" t="str">
        <f t="shared" si="176"/>
        <v>1</v>
      </c>
      <c r="F860" t="str">
        <f t="shared" si="174"/>
        <v>COM</v>
      </c>
      <c r="G860" t="str">
        <f>"JO??O OTÁVIO GRANZIOL (1309)"</f>
        <v>JO??O OTÁVIO GRANZIOL (1309)</v>
      </c>
      <c r="H860" t="s">
        <v>339</v>
      </c>
      <c r="I860" t="str">
        <f t="shared" si="173"/>
        <v>05/03/2026</v>
      </c>
      <c r="J860" t="str">
        <f t="shared" si="177"/>
        <v>02/03/2026</v>
      </c>
      <c r="K860">
        <v>46086</v>
      </c>
      <c r="N860">
        <v>109</v>
      </c>
      <c r="O860" t="s">
        <v>27</v>
      </c>
      <c r="Q860">
        <v>700</v>
      </c>
      <c r="R860" t="str">
        <f>"FARMACIA ROSAS (10288)"</f>
        <v>FARMACIA ROSAS (10288)</v>
      </c>
      <c r="S860" t="s">
        <v>37</v>
      </c>
      <c r="T860">
        <v>30261</v>
      </c>
      <c r="U860">
        <v>33906</v>
      </c>
      <c r="V860" t="s">
        <v>37</v>
      </c>
    </row>
    <row r="861" spans="1:22">
      <c r="A861" t="str">
        <f t="shared" si="169"/>
        <v>05/03/2026</v>
      </c>
      <c r="B861" t="str">
        <f t="shared" si="172"/>
        <v>SAÍDA</v>
      </c>
      <c r="C861" t="str">
        <f t="shared" si="175"/>
        <v>PIX</v>
      </c>
      <c r="D861" t="str">
        <f>"33907"</f>
        <v>33907</v>
      </c>
      <c r="E861" t="str">
        <f t="shared" si="176"/>
        <v>1</v>
      </c>
      <c r="F861" t="str">
        <f t="shared" si="174"/>
        <v>COM</v>
      </c>
      <c r="G861" t="str">
        <f>"UBIRATAN FERREIRA GONCALVES DOS SANTOS (1319)"</f>
        <v>UBIRATAN FERREIRA GONCALVES DOS SANTOS (1319)</v>
      </c>
      <c r="H861" t="str">
        <f>"Serv.Prest. 23/02/2026 a 01/03/2026 - PIX: CPF - CHAVE: 388.052.378-92"</f>
        <v>Serv.Prest. 23/02/2026 a 01/03/2026 - PIX: CPF - CHAVE: 388.052.378-92</v>
      </c>
      <c r="I861" t="str">
        <f t="shared" si="173"/>
        <v>05/03/2026</v>
      </c>
      <c r="J861" t="str">
        <f t="shared" si="177"/>
        <v>02/03/2026</v>
      </c>
      <c r="K861" t="str">
        <f>("05/03/2026")</f>
        <v>05/03/2026</v>
      </c>
      <c r="L861">
        <v>700</v>
      </c>
      <c r="M861">
        <v>600</v>
      </c>
      <c r="N861">
        <v>109</v>
      </c>
      <c r="O861" t="str">
        <f>"PAGAMENTO DE ENTREGADORES"</f>
        <v>PAGAMENTO DE ENTREGADORES</v>
      </c>
      <c r="P861">
        <v>600</v>
      </c>
      <c r="S861" t="str">
        <f>"BANCO C6 (149)"</f>
        <v>BANCO C6 (149)</v>
      </c>
      <c r="T861">
        <v>30262</v>
      </c>
      <c r="U861">
        <v>33907</v>
      </c>
      <c r="V861" t="s">
        <v>37</v>
      </c>
    </row>
    <row r="862" spans="1:22">
      <c r="A862" t="str">
        <f t="shared" si="169"/>
        <v>05/03/2026</v>
      </c>
      <c r="B862" t="str">
        <f t="shared" si="172"/>
        <v>SAÍDA</v>
      </c>
      <c r="C862" t="str">
        <f t="shared" si="175"/>
        <v>PIX</v>
      </c>
      <c r="D862" t="str">
        <f>"33907"</f>
        <v>33907</v>
      </c>
      <c r="E862" t="str">
        <f t="shared" si="176"/>
        <v>1</v>
      </c>
      <c r="F862" t="str">
        <f t="shared" si="174"/>
        <v>COM</v>
      </c>
      <c r="G862" t="str">
        <f>"UBIRATAN FERREIRA GONCALVES DOS SANTOS (1319)"</f>
        <v>UBIRATAN FERREIRA GONCALVES DOS SANTOS (1319)</v>
      </c>
      <c r="H862" t="s">
        <v>340</v>
      </c>
      <c r="I862" t="str">
        <f t="shared" si="173"/>
        <v>05/03/2026</v>
      </c>
      <c r="J862" t="str">
        <f t="shared" si="177"/>
        <v>02/03/2026</v>
      </c>
      <c r="K862">
        <v>46086</v>
      </c>
      <c r="N862">
        <v>109</v>
      </c>
      <c r="O862" t="s">
        <v>27</v>
      </c>
      <c r="Q862">
        <v>600</v>
      </c>
      <c r="R862" t="str">
        <f>"FARMACIA ROSAS (10288)"</f>
        <v>FARMACIA ROSAS (10288)</v>
      </c>
      <c r="S862" t="s">
        <v>37</v>
      </c>
      <c r="T862">
        <v>30262</v>
      </c>
      <c r="U862">
        <v>33907</v>
      </c>
      <c r="V862" t="s">
        <v>37</v>
      </c>
    </row>
    <row r="863" spans="1:22">
      <c r="A863" t="str">
        <f t="shared" si="169"/>
        <v>05/03/2026</v>
      </c>
      <c r="B863" t="str">
        <f t="shared" si="172"/>
        <v>SAÍDA</v>
      </c>
      <c r="C863" t="str">
        <f t="shared" si="175"/>
        <v>PIX</v>
      </c>
      <c r="D863" t="str">
        <f>"33909"</f>
        <v>33909</v>
      </c>
      <c r="E863" t="str">
        <f t="shared" si="176"/>
        <v>1</v>
      </c>
      <c r="F863" t="str">
        <f t="shared" si="174"/>
        <v>COM</v>
      </c>
      <c r="G863" t="str">
        <f>"BRENO HENRIQUE DE SOUSA (596)"</f>
        <v>BRENO HENRIQUE DE SOUSA (596)</v>
      </c>
      <c r="H863" t="str">
        <f>"Serv.Prest. 23/02/2026 a 01/03/2026 - PIX: CELULAR - CHAVE: (37) 99146-2630"</f>
        <v>Serv.Prest. 23/02/2026 a 01/03/2026 - PIX: CELULAR - CHAVE: (37) 99146-2630</v>
      </c>
      <c r="I863" t="str">
        <f t="shared" si="173"/>
        <v>05/03/2026</v>
      </c>
      <c r="J863" t="str">
        <f t="shared" si="177"/>
        <v>02/03/2026</v>
      </c>
      <c r="K863" t="str">
        <f>("05/03/2026")</f>
        <v>05/03/2026</v>
      </c>
      <c r="L863">
        <v>900</v>
      </c>
      <c r="M863">
        <v>900</v>
      </c>
      <c r="N863">
        <v>109</v>
      </c>
      <c r="O863" t="str">
        <f>"PAGAMENTO DE ENTREGADORES"</f>
        <v>PAGAMENTO DE ENTREGADORES</v>
      </c>
      <c r="P863">
        <v>900</v>
      </c>
      <c r="S863" t="str">
        <f>"BANCO C6 (149)"</f>
        <v>BANCO C6 (149)</v>
      </c>
      <c r="T863">
        <v>30263</v>
      </c>
      <c r="U863">
        <v>33909</v>
      </c>
      <c r="V863" t="s">
        <v>37</v>
      </c>
    </row>
    <row r="864" spans="1:22">
      <c r="A864" t="str">
        <f t="shared" ref="A864:A927" si="178">("05/03/2026")</f>
        <v>05/03/2026</v>
      </c>
      <c r="B864" t="str">
        <f t="shared" si="172"/>
        <v>SAÍDA</v>
      </c>
      <c r="C864" t="str">
        <f t="shared" si="175"/>
        <v>PIX</v>
      </c>
      <c r="D864" t="str">
        <f>"33909"</f>
        <v>33909</v>
      </c>
      <c r="E864" t="str">
        <f t="shared" si="176"/>
        <v>1</v>
      </c>
      <c r="F864" t="str">
        <f t="shared" si="174"/>
        <v>COM</v>
      </c>
      <c r="G864" t="str">
        <f>"BRENO HENRIQUE DE SOUSA (596)"</f>
        <v>BRENO HENRIQUE DE SOUSA (596)</v>
      </c>
      <c r="H864" t="s">
        <v>341</v>
      </c>
      <c r="I864" t="str">
        <f t="shared" si="173"/>
        <v>05/03/2026</v>
      </c>
      <c r="J864" t="str">
        <f t="shared" si="177"/>
        <v>02/03/2026</v>
      </c>
      <c r="K864">
        <v>46086</v>
      </c>
      <c r="N864">
        <v>109</v>
      </c>
      <c r="O864" t="s">
        <v>27</v>
      </c>
      <c r="Q864">
        <v>900</v>
      </c>
      <c r="R864" t="str">
        <f>"DROGARIA POUPA MINAS (ULTRAMINAS) 1 (10181)"</f>
        <v>DROGARIA POUPA MINAS (ULTRAMINAS) 1 (10181)</v>
      </c>
      <c r="S864" t="s">
        <v>37</v>
      </c>
      <c r="T864">
        <v>30263</v>
      </c>
      <c r="U864">
        <v>33909</v>
      </c>
      <c r="V864" t="s">
        <v>37</v>
      </c>
    </row>
    <row r="865" spans="1:22">
      <c r="A865" t="str">
        <f t="shared" si="178"/>
        <v>05/03/2026</v>
      </c>
      <c r="B865" t="str">
        <f t="shared" si="172"/>
        <v>SAÍDA</v>
      </c>
      <c r="C865" t="str">
        <f t="shared" si="175"/>
        <v>PIX</v>
      </c>
      <c r="D865" t="str">
        <f>"33910"</f>
        <v>33910</v>
      </c>
      <c r="E865" t="str">
        <f t="shared" si="176"/>
        <v>1</v>
      </c>
      <c r="F865" t="str">
        <f t="shared" si="174"/>
        <v>COM</v>
      </c>
      <c r="G865" t="str">
        <f>"JHONATA SOUSA UCHOA (464)"</f>
        <v>JHONATA SOUSA UCHOA (464)</v>
      </c>
      <c r="H865" t="str">
        <f>"Serv.Prest. 23/02/2026 a 01/03/2026 - PIX: CPF - CHAVE: 020.590.606-05"</f>
        <v>Serv.Prest. 23/02/2026 a 01/03/2026 - PIX: CPF - CHAVE: 020.590.606-05</v>
      </c>
      <c r="I865" t="str">
        <f t="shared" si="173"/>
        <v>05/03/2026</v>
      </c>
      <c r="J865" t="str">
        <f t="shared" si="177"/>
        <v>02/03/2026</v>
      </c>
      <c r="K865" t="str">
        <f>("05/03/2026")</f>
        <v>05/03/2026</v>
      </c>
      <c r="L865">
        <v>1500</v>
      </c>
      <c r="M865">
        <v>1500</v>
      </c>
      <c r="N865">
        <v>109</v>
      </c>
      <c r="O865" t="str">
        <f>"PAGAMENTO DE ENTREGADORES"</f>
        <v>PAGAMENTO DE ENTREGADORES</v>
      </c>
      <c r="P865">
        <v>1500</v>
      </c>
      <c r="S865" t="str">
        <f>"BANCO C6 (149)"</f>
        <v>BANCO C6 (149)</v>
      </c>
      <c r="T865">
        <v>30264</v>
      </c>
      <c r="U865">
        <v>33910</v>
      </c>
      <c r="V865" t="s">
        <v>37</v>
      </c>
    </row>
    <row r="866" spans="1:22">
      <c r="A866" t="str">
        <f t="shared" si="178"/>
        <v>05/03/2026</v>
      </c>
      <c r="B866" t="str">
        <f t="shared" si="172"/>
        <v>SAÍDA</v>
      </c>
      <c r="C866" t="str">
        <f t="shared" si="175"/>
        <v>PIX</v>
      </c>
      <c r="D866" t="str">
        <f>"33910"</f>
        <v>33910</v>
      </c>
      <c r="E866" t="str">
        <f t="shared" si="176"/>
        <v>1</v>
      </c>
      <c r="F866" t="str">
        <f t="shared" si="174"/>
        <v>COM</v>
      </c>
      <c r="G866" t="str">
        <f>"JHONATA SOUSA UCHOA (464)"</f>
        <v>JHONATA SOUSA UCHOA (464)</v>
      </c>
      <c r="H866" t="s">
        <v>342</v>
      </c>
      <c r="I866" t="str">
        <f t="shared" si="173"/>
        <v>05/03/2026</v>
      </c>
      <c r="J866" t="str">
        <f t="shared" si="177"/>
        <v>02/03/2026</v>
      </c>
      <c r="K866">
        <v>46086</v>
      </c>
      <c r="N866">
        <v>109</v>
      </c>
      <c r="O866" t="s">
        <v>27</v>
      </c>
      <c r="Q866">
        <v>1500</v>
      </c>
      <c r="R866" t="str">
        <f>"DROGARIA POUPA MINAS (ULTRAMINAS) 1 (10181)"</f>
        <v>DROGARIA POUPA MINAS (ULTRAMINAS) 1 (10181)</v>
      </c>
      <c r="S866" t="s">
        <v>37</v>
      </c>
      <c r="T866">
        <v>30264</v>
      </c>
      <c r="U866">
        <v>33910</v>
      </c>
      <c r="V866" t="s">
        <v>37</v>
      </c>
    </row>
    <row r="867" spans="1:22">
      <c r="A867" t="str">
        <f t="shared" si="178"/>
        <v>05/03/2026</v>
      </c>
      <c r="B867" t="str">
        <f t="shared" si="172"/>
        <v>SAÍDA</v>
      </c>
      <c r="C867" t="str">
        <f t="shared" si="175"/>
        <v>PIX</v>
      </c>
      <c r="D867" t="str">
        <f>"33911"</f>
        <v>33911</v>
      </c>
      <c r="E867" t="str">
        <f t="shared" si="176"/>
        <v>1</v>
      </c>
      <c r="F867" t="str">
        <f t="shared" si="174"/>
        <v>COM</v>
      </c>
      <c r="G867" t="str">
        <f>"LUIZ PAULO DE OLIVEIRA (712)"</f>
        <v>LUIZ PAULO DE OLIVEIRA (712)</v>
      </c>
      <c r="H867" t="str">
        <f>"Serv.Prest. 23/02/2026 a 01/03/2026 - PIX: E-MAIL - CHAVE: karinasilvaaparecida1286@gmail.com"</f>
        <v>Serv.Prest. 23/02/2026 a 01/03/2026 - PIX: E-MAIL - CHAVE: karinasilvaaparecida1286@gmail.com</v>
      </c>
      <c r="I867" t="str">
        <f t="shared" si="173"/>
        <v>05/03/2026</v>
      </c>
      <c r="J867" t="str">
        <f t="shared" si="177"/>
        <v>02/03/2026</v>
      </c>
      <c r="K867" t="str">
        <f>("05/03/2026")</f>
        <v>05/03/2026</v>
      </c>
      <c r="L867">
        <v>1080</v>
      </c>
      <c r="M867">
        <v>1080</v>
      </c>
      <c r="N867">
        <v>109</v>
      </c>
      <c r="O867" t="str">
        <f>"PAGAMENTO DE ENTREGADORES"</f>
        <v>PAGAMENTO DE ENTREGADORES</v>
      </c>
      <c r="P867">
        <v>1080</v>
      </c>
      <c r="S867" t="str">
        <f>"BANCO C6 (149)"</f>
        <v>BANCO C6 (149)</v>
      </c>
      <c r="T867">
        <v>30265</v>
      </c>
      <c r="U867">
        <v>33911</v>
      </c>
      <c r="V867" t="s">
        <v>37</v>
      </c>
    </row>
    <row r="868" spans="1:22">
      <c r="A868" t="str">
        <f t="shared" si="178"/>
        <v>05/03/2026</v>
      </c>
      <c r="B868" t="str">
        <f t="shared" si="172"/>
        <v>SAÍDA</v>
      </c>
      <c r="C868" t="str">
        <f t="shared" si="175"/>
        <v>PIX</v>
      </c>
      <c r="D868" t="str">
        <f>"33911"</f>
        <v>33911</v>
      </c>
      <c r="E868" t="str">
        <f t="shared" si="176"/>
        <v>1</v>
      </c>
      <c r="F868" t="str">
        <f t="shared" si="174"/>
        <v>COM</v>
      </c>
      <c r="G868" t="str">
        <f>"LUIZ PAULO DE OLIVEIRA (712)"</f>
        <v>LUIZ PAULO DE OLIVEIRA (712)</v>
      </c>
      <c r="H868" t="s">
        <v>343</v>
      </c>
      <c r="I868" t="str">
        <f t="shared" si="173"/>
        <v>05/03/2026</v>
      </c>
      <c r="J868" t="str">
        <f t="shared" si="177"/>
        <v>02/03/2026</v>
      </c>
      <c r="K868">
        <v>46086</v>
      </c>
      <c r="N868">
        <v>109</v>
      </c>
      <c r="O868" t="s">
        <v>27</v>
      </c>
      <c r="Q868">
        <v>1080</v>
      </c>
      <c r="R868" t="str">
        <f>"DROGARIA POUPA MINAS (ULTRAMINAS) 1 (10181)"</f>
        <v>DROGARIA POUPA MINAS (ULTRAMINAS) 1 (10181)</v>
      </c>
      <c r="S868" t="s">
        <v>37</v>
      </c>
      <c r="T868">
        <v>30265</v>
      </c>
      <c r="U868">
        <v>33911</v>
      </c>
      <c r="V868" t="s">
        <v>37</v>
      </c>
    </row>
    <row r="869" spans="1:22">
      <c r="A869" t="str">
        <f t="shared" si="178"/>
        <v>05/03/2026</v>
      </c>
      <c r="B869" t="str">
        <f t="shared" si="172"/>
        <v>SAÍDA</v>
      </c>
      <c r="C869" t="str">
        <f t="shared" si="175"/>
        <v>PIX</v>
      </c>
      <c r="D869" t="str">
        <f>"33912"</f>
        <v>33912</v>
      </c>
      <c r="E869" t="str">
        <f t="shared" si="176"/>
        <v>1</v>
      </c>
      <c r="F869" t="str">
        <f t="shared" si="174"/>
        <v>COM</v>
      </c>
      <c r="G869" t="str">
        <f>"RICHARD HENRIQUE DA SILVA (244)"</f>
        <v>RICHARD HENRIQUE DA SILVA (244)</v>
      </c>
      <c r="H869" t="str">
        <f>"Serv.Prest. 23/02/2026 a 01/03/2026 - PIX: CELULAR - CHAVE: (37) 99197-6834"</f>
        <v>Serv.Prest. 23/02/2026 a 01/03/2026 - PIX: CELULAR - CHAVE: (37) 99197-6834</v>
      </c>
      <c r="I869" t="str">
        <f t="shared" si="173"/>
        <v>05/03/2026</v>
      </c>
      <c r="J869" t="str">
        <f t="shared" si="177"/>
        <v>02/03/2026</v>
      </c>
      <c r="K869" t="str">
        <f>("05/03/2026")</f>
        <v>05/03/2026</v>
      </c>
      <c r="L869">
        <v>825</v>
      </c>
      <c r="M869">
        <v>825</v>
      </c>
      <c r="N869">
        <v>109</v>
      </c>
      <c r="O869" t="str">
        <f>"PAGAMENTO DE ENTREGADORES"</f>
        <v>PAGAMENTO DE ENTREGADORES</v>
      </c>
      <c r="P869">
        <v>825</v>
      </c>
      <c r="S869" t="str">
        <f>"BANCO C6 (149)"</f>
        <v>BANCO C6 (149)</v>
      </c>
      <c r="T869">
        <v>30266</v>
      </c>
      <c r="U869">
        <v>33912</v>
      </c>
      <c r="V869" t="s">
        <v>37</v>
      </c>
    </row>
    <row r="870" spans="1:22">
      <c r="A870" t="str">
        <f t="shared" si="178"/>
        <v>05/03/2026</v>
      </c>
      <c r="B870" t="str">
        <f t="shared" si="172"/>
        <v>SAÍDA</v>
      </c>
      <c r="C870" t="str">
        <f t="shared" si="175"/>
        <v>PIX</v>
      </c>
      <c r="D870" t="str">
        <f>"33912"</f>
        <v>33912</v>
      </c>
      <c r="E870" t="str">
        <f t="shared" si="176"/>
        <v>1</v>
      </c>
      <c r="F870" t="str">
        <f t="shared" si="174"/>
        <v>COM</v>
      </c>
      <c r="G870" t="str">
        <f>"RICHARD HENRIQUE DA SILVA (244)"</f>
        <v>RICHARD HENRIQUE DA SILVA (244)</v>
      </c>
      <c r="H870" t="s">
        <v>344</v>
      </c>
      <c r="I870" t="str">
        <f t="shared" si="173"/>
        <v>05/03/2026</v>
      </c>
      <c r="J870" t="str">
        <f t="shared" si="177"/>
        <v>02/03/2026</v>
      </c>
      <c r="K870">
        <v>46086</v>
      </c>
      <c r="N870">
        <v>109</v>
      </c>
      <c r="O870" t="s">
        <v>27</v>
      </c>
      <c r="Q870">
        <v>825</v>
      </c>
      <c r="R870" t="str">
        <f>"DROGARIA POUPA MINAS (ULTRAMINAS) 1 (10181)"</f>
        <v>DROGARIA POUPA MINAS (ULTRAMINAS) 1 (10181)</v>
      </c>
      <c r="S870" t="s">
        <v>37</v>
      </c>
      <c r="T870">
        <v>30266</v>
      </c>
      <c r="U870">
        <v>33912</v>
      </c>
      <c r="V870" t="s">
        <v>37</v>
      </c>
    </row>
    <row r="871" spans="1:22">
      <c r="A871" t="str">
        <f t="shared" si="178"/>
        <v>05/03/2026</v>
      </c>
      <c r="B871" t="str">
        <f t="shared" si="172"/>
        <v>SAÍDA</v>
      </c>
      <c r="C871" t="str">
        <f t="shared" si="175"/>
        <v>PIX</v>
      </c>
      <c r="D871" t="str">
        <f>"33913"</f>
        <v>33913</v>
      </c>
      <c r="E871" t="str">
        <f t="shared" si="176"/>
        <v>1</v>
      </c>
      <c r="F871" t="str">
        <f t="shared" si="174"/>
        <v>COM</v>
      </c>
      <c r="G871" t="str">
        <f>"THALES VINÍCIUS RODRIGUES DE OLIVEIRA (704)"</f>
        <v>THALES VINÍCIUS RODRIGUES DE OLIVEIRA (704)</v>
      </c>
      <c r="H871" t="str">
        <f>"Serv.Prest. 23/02/2026 a 01/03/2026 - PIX: CELULAR - CHAVE: (37) 99138-1777"</f>
        <v>Serv.Prest. 23/02/2026 a 01/03/2026 - PIX: CELULAR - CHAVE: (37) 99138-1777</v>
      </c>
      <c r="I871" t="str">
        <f t="shared" si="173"/>
        <v>05/03/2026</v>
      </c>
      <c r="J871" t="str">
        <f t="shared" si="177"/>
        <v>02/03/2026</v>
      </c>
      <c r="K871" t="str">
        <f>("05/03/2026")</f>
        <v>05/03/2026</v>
      </c>
      <c r="L871">
        <v>1176</v>
      </c>
      <c r="M871">
        <v>1176</v>
      </c>
      <c r="N871">
        <v>109</v>
      </c>
      <c r="O871" t="str">
        <f>"PAGAMENTO DE ENTREGADORES"</f>
        <v>PAGAMENTO DE ENTREGADORES</v>
      </c>
      <c r="P871">
        <v>1176</v>
      </c>
      <c r="S871" t="str">
        <f>"BANCO C6 (149)"</f>
        <v>BANCO C6 (149)</v>
      </c>
      <c r="T871">
        <v>30267</v>
      </c>
      <c r="U871">
        <v>33913</v>
      </c>
      <c r="V871" t="s">
        <v>37</v>
      </c>
    </row>
    <row r="872" spans="1:22">
      <c r="A872" t="str">
        <f t="shared" si="178"/>
        <v>05/03/2026</v>
      </c>
      <c r="B872" t="str">
        <f t="shared" si="172"/>
        <v>SAÍDA</v>
      </c>
      <c r="C872" t="str">
        <f t="shared" si="175"/>
        <v>PIX</v>
      </c>
      <c r="D872" t="str">
        <f>"33913"</f>
        <v>33913</v>
      </c>
      <c r="E872" t="str">
        <f t="shared" si="176"/>
        <v>1</v>
      </c>
      <c r="F872" t="str">
        <f t="shared" si="174"/>
        <v>COM</v>
      </c>
      <c r="G872" t="str">
        <f>"THALES VINÍCIUS RODRIGUES DE OLIVEIRA (704)"</f>
        <v>THALES VINÍCIUS RODRIGUES DE OLIVEIRA (704)</v>
      </c>
      <c r="H872" t="s">
        <v>345</v>
      </c>
      <c r="I872" t="str">
        <f t="shared" si="173"/>
        <v>05/03/2026</v>
      </c>
      <c r="J872" t="str">
        <f t="shared" si="177"/>
        <v>02/03/2026</v>
      </c>
      <c r="K872">
        <v>46086</v>
      </c>
      <c r="N872">
        <v>109</v>
      </c>
      <c r="O872" t="s">
        <v>27</v>
      </c>
      <c r="Q872">
        <v>1176</v>
      </c>
      <c r="R872" t="str">
        <f>"DROGARIA POUPA MINAS (ULTRAMINAS) 1 (10181)"</f>
        <v>DROGARIA POUPA MINAS (ULTRAMINAS) 1 (10181)</v>
      </c>
      <c r="S872" t="s">
        <v>37</v>
      </c>
      <c r="T872">
        <v>30267</v>
      </c>
      <c r="U872">
        <v>33913</v>
      </c>
      <c r="V872" t="s">
        <v>37</v>
      </c>
    </row>
    <row r="873" spans="1:22">
      <c r="A873" t="str">
        <f t="shared" si="178"/>
        <v>05/03/2026</v>
      </c>
      <c r="B873" t="str">
        <f t="shared" si="172"/>
        <v>SAÍDA</v>
      </c>
      <c r="C873" t="str">
        <f t="shared" si="175"/>
        <v>PIX</v>
      </c>
      <c r="D873" t="str">
        <f>"33914"</f>
        <v>33914</v>
      </c>
      <c r="E873" t="str">
        <f t="shared" si="176"/>
        <v>1</v>
      </c>
      <c r="F873" t="str">
        <f t="shared" si="174"/>
        <v>COM</v>
      </c>
      <c r="G873" t="str">
        <f>"TIAGO VIEIRA (372)"</f>
        <v>TIAGO VIEIRA (372)</v>
      </c>
      <c r="H873" t="str">
        <f>"Serv.Prest. 23/02/2026 a 01/03/2026 - PIX: CELULAR - CHAVE: (37) 98841-8571"</f>
        <v>Serv.Prest. 23/02/2026 a 01/03/2026 - PIX: CELULAR - CHAVE: (37) 98841-8571</v>
      </c>
      <c r="I873" t="str">
        <f t="shared" si="173"/>
        <v>05/03/2026</v>
      </c>
      <c r="J873" t="str">
        <f t="shared" si="177"/>
        <v>02/03/2026</v>
      </c>
      <c r="K873" t="str">
        <f>("05/03/2026")</f>
        <v>05/03/2026</v>
      </c>
      <c r="L873">
        <v>696</v>
      </c>
      <c r="M873">
        <v>696</v>
      </c>
      <c r="N873">
        <v>109</v>
      </c>
      <c r="O873" t="str">
        <f>"PAGAMENTO DE ENTREGADORES"</f>
        <v>PAGAMENTO DE ENTREGADORES</v>
      </c>
      <c r="P873">
        <v>696</v>
      </c>
      <c r="S873" t="str">
        <f>"BANCO C6 (149)"</f>
        <v>BANCO C6 (149)</v>
      </c>
      <c r="T873">
        <v>30268</v>
      </c>
      <c r="U873">
        <v>33914</v>
      </c>
      <c r="V873" t="s">
        <v>37</v>
      </c>
    </row>
    <row r="874" spans="1:22">
      <c r="A874" t="str">
        <f t="shared" si="178"/>
        <v>05/03/2026</v>
      </c>
      <c r="B874" t="str">
        <f t="shared" si="172"/>
        <v>SAÍDA</v>
      </c>
      <c r="C874" t="str">
        <f t="shared" si="175"/>
        <v>PIX</v>
      </c>
      <c r="D874" t="str">
        <f>"33914"</f>
        <v>33914</v>
      </c>
      <c r="E874" t="str">
        <f t="shared" si="176"/>
        <v>1</v>
      </c>
      <c r="F874" t="str">
        <f t="shared" si="174"/>
        <v>COM</v>
      </c>
      <c r="G874" t="str">
        <f>"TIAGO VIEIRA (372)"</f>
        <v>TIAGO VIEIRA (372)</v>
      </c>
      <c r="H874" t="s">
        <v>346</v>
      </c>
      <c r="I874" t="str">
        <f t="shared" si="173"/>
        <v>05/03/2026</v>
      </c>
      <c r="J874" t="str">
        <f t="shared" si="177"/>
        <v>02/03/2026</v>
      </c>
      <c r="K874">
        <v>46086</v>
      </c>
      <c r="N874">
        <v>109</v>
      </c>
      <c r="O874" t="s">
        <v>27</v>
      </c>
      <c r="Q874">
        <v>696</v>
      </c>
      <c r="R874" t="str">
        <f>"DROGARIA POUPA MINAS (ULTRAMINAS) 1 (10181)"</f>
        <v>DROGARIA POUPA MINAS (ULTRAMINAS) 1 (10181)</v>
      </c>
      <c r="S874" t="s">
        <v>37</v>
      </c>
      <c r="T874">
        <v>30268</v>
      </c>
      <c r="U874">
        <v>33914</v>
      </c>
      <c r="V874" t="s">
        <v>37</v>
      </c>
    </row>
    <row r="875" spans="1:22">
      <c r="A875" t="str">
        <f t="shared" si="178"/>
        <v>05/03/2026</v>
      </c>
      <c r="B875" t="str">
        <f t="shared" si="172"/>
        <v>SAÍDA</v>
      </c>
      <c r="C875" t="str">
        <f t="shared" si="175"/>
        <v>PIX</v>
      </c>
      <c r="D875" t="str">
        <f>"33916"</f>
        <v>33916</v>
      </c>
      <c r="E875" t="str">
        <f t="shared" si="176"/>
        <v>1</v>
      </c>
      <c r="F875" t="str">
        <f t="shared" si="174"/>
        <v>COM</v>
      </c>
      <c r="G875" t="str">
        <f>"ISAEL SANTOS ROSA (642)"</f>
        <v>ISAEL SANTOS ROSA (642)</v>
      </c>
      <c r="H875" t="str">
        <f>"Serv.Prest. 23/02/2026 a 01/03/2026 - PIX: CELULAR - CHAVE: (31) 99376-7989"</f>
        <v>Serv.Prest. 23/02/2026 a 01/03/2026 - PIX: CELULAR - CHAVE: (31) 99376-7989</v>
      </c>
      <c r="I875" t="str">
        <f t="shared" si="173"/>
        <v>05/03/2026</v>
      </c>
      <c r="J875" t="str">
        <f t="shared" ref="J875:J906" si="179">("02/03/2026")</f>
        <v>02/03/2026</v>
      </c>
      <c r="K875" t="str">
        <f>("05/03/2026")</f>
        <v>05/03/2026</v>
      </c>
      <c r="L875">
        <v>1400</v>
      </c>
      <c r="M875">
        <v>1400</v>
      </c>
      <c r="N875">
        <v>109</v>
      </c>
      <c r="O875" t="str">
        <f>"PAGAMENTO DE ENTREGADORES"</f>
        <v>PAGAMENTO DE ENTREGADORES</v>
      </c>
      <c r="P875">
        <v>1400</v>
      </c>
      <c r="S875" t="str">
        <f>"BANCO C6 (149)"</f>
        <v>BANCO C6 (149)</v>
      </c>
      <c r="T875">
        <v>30269</v>
      </c>
      <c r="U875">
        <v>33916</v>
      </c>
      <c r="V875" t="s">
        <v>37</v>
      </c>
    </row>
    <row r="876" spans="1:22">
      <c r="A876" t="str">
        <f t="shared" si="178"/>
        <v>05/03/2026</v>
      </c>
      <c r="B876" t="str">
        <f t="shared" si="172"/>
        <v>SAÍDA</v>
      </c>
      <c r="C876" t="str">
        <f t="shared" si="175"/>
        <v>PIX</v>
      </c>
      <c r="D876" t="str">
        <f>"33916"</f>
        <v>33916</v>
      </c>
      <c r="E876" t="str">
        <f t="shared" si="176"/>
        <v>1</v>
      </c>
      <c r="F876" t="str">
        <f t="shared" si="174"/>
        <v>COM</v>
      </c>
      <c r="G876" t="str">
        <f>"ISAEL SANTOS ROSA (642)"</f>
        <v>ISAEL SANTOS ROSA (642)</v>
      </c>
      <c r="H876" t="s">
        <v>347</v>
      </c>
      <c r="I876" t="str">
        <f t="shared" si="173"/>
        <v>05/03/2026</v>
      </c>
      <c r="J876" t="str">
        <f t="shared" si="179"/>
        <v>02/03/2026</v>
      </c>
      <c r="K876">
        <v>46086</v>
      </c>
      <c r="N876">
        <v>109</v>
      </c>
      <c r="O876" t="s">
        <v>27</v>
      </c>
      <c r="Q876">
        <v>1400</v>
      </c>
      <c r="R876" t="str">
        <f>"DROGARIA POUPA MINAS (ULTRAMINAS) 3 (10129)"</f>
        <v>DROGARIA POUPA MINAS (ULTRAMINAS) 3 (10129)</v>
      </c>
      <c r="S876" t="s">
        <v>37</v>
      </c>
      <c r="T876">
        <v>30269</v>
      </c>
      <c r="U876">
        <v>33916</v>
      </c>
      <c r="V876" t="s">
        <v>37</v>
      </c>
    </row>
    <row r="877" spans="1:22">
      <c r="A877" t="str">
        <f t="shared" si="178"/>
        <v>05/03/2026</v>
      </c>
      <c r="B877" t="str">
        <f t="shared" si="172"/>
        <v>SAÍDA</v>
      </c>
      <c r="C877" t="str">
        <f t="shared" si="175"/>
        <v>PIX</v>
      </c>
      <c r="D877" t="str">
        <f>"33921"</f>
        <v>33921</v>
      </c>
      <c r="E877" t="str">
        <f t="shared" si="176"/>
        <v>1</v>
      </c>
      <c r="F877" t="str">
        <f t="shared" si="174"/>
        <v>COM</v>
      </c>
      <c r="G877" t="str">
        <f>"AGATTA DE LOURDES SILVA (1266)"</f>
        <v>AGATTA DE LOURDES SILVA (1266)</v>
      </c>
      <c r="H877" t="str">
        <f>"Serv.Prest. 23/02/2026 a 01/03/2026 - PIX: CELULAR - CHAVE: (32) 98492-7371"</f>
        <v>Serv.Prest. 23/02/2026 a 01/03/2026 - PIX: CELULAR - CHAVE: (32) 98492-7371</v>
      </c>
      <c r="I877" t="str">
        <f t="shared" si="173"/>
        <v>05/03/2026</v>
      </c>
      <c r="J877" t="str">
        <f t="shared" si="179"/>
        <v>02/03/2026</v>
      </c>
      <c r="K877" t="str">
        <f>("05/03/2026")</f>
        <v>05/03/2026</v>
      </c>
      <c r="L877">
        <v>876</v>
      </c>
      <c r="M877">
        <v>876</v>
      </c>
      <c r="N877">
        <v>109</v>
      </c>
      <c r="O877" t="str">
        <f>"PAGAMENTO DE ENTREGADORES"</f>
        <v>PAGAMENTO DE ENTREGADORES</v>
      </c>
      <c r="P877">
        <v>876</v>
      </c>
      <c r="S877" t="str">
        <f>"BANCO C6 (149)"</f>
        <v>BANCO C6 (149)</v>
      </c>
      <c r="T877">
        <v>30270</v>
      </c>
      <c r="U877">
        <v>33921</v>
      </c>
      <c r="V877" t="s">
        <v>37</v>
      </c>
    </row>
    <row r="878" spans="1:22">
      <c r="A878" t="str">
        <f t="shared" si="178"/>
        <v>05/03/2026</v>
      </c>
      <c r="B878" t="str">
        <f t="shared" si="172"/>
        <v>SAÍDA</v>
      </c>
      <c r="C878" t="str">
        <f t="shared" si="175"/>
        <v>PIX</v>
      </c>
      <c r="D878" t="str">
        <f>"33921"</f>
        <v>33921</v>
      </c>
      <c r="E878" t="str">
        <f t="shared" si="176"/>
        <v>1</v>
      </c>
      <c r="F878" t="str">
        <f t="shared" si="174"/>
        <v>COM</v>
      </c>
      <c r="G878" t="str">
        <f>"AGATTA DE LOURDES SILVA (1266)"</f>
        <v>AGATTA DE LOURDES SILVA (1266)</v>
      </c>
      <c r="H878" t="s">
        <v>348</v>
      </c>
      <c r="I878" t="str">
        <f t="shared" si="173"/>
        <v>05/03/2026</v>
      </c>
      <c r="J878" t="str">
        <f t="shared" si="179"/>
        <v>02/03/2026</v>
      </c>
      <c r="K878">
        <v>46086</v>
      </c>
      <c r="N878">
        <v>109</v>
      </c>
      <c r="O878" t="s">
        <v>27</v>
      </c>
      <c r="Q878">
        <v>876</v>
      </c>
      <c r="R878" t="str">
        <f>"FARMA &amp; FORMA (10296)"</f>
        <v>FARMA &amp; FORMA (10296)</v>
      </c>
      <c r="S878" t="s">
        <v>37</v>
      </c>
      <c r="T878">
        <v>30270</v>
      </c>
      <c r="U878">
        <v>33921</v>
      </c>
      <c r="V878" t="s">
        <v>37</v>
      </c>
    </row>
    <row r="879" spans="1:22">
      <c r="A879" t="str">
        <f t="shared" si="178"/>
        <v>05/03/2026</v>
      </c>
      <c r="B879" t="str">
        <f t="shared" si="172"/>
        <v>SAÍDA</v>
      </c>
      <c r="C879" t="str">
        <f t="shared" si="175"/>
        <v>PIX</v>
      </c>
      <c r="D879" t="str">
        <f>"33922"</f>
        <v>33922</v>
      </c>
      <c r="E879" t="str">
        <f t="shared" si="176"/>
        <v>1</v>
      </c>
      <c r="F879" t="str">
        <f t="shared" si="174"/>
        <v>COM</v>
      </c>
      <c r="G879" t="str">
        <f>"WILIANA RODRIGUES E RODRIGUES (398)"</f>
        <v>WILIANA RODRIGUES E RODRIGUES (398)</v>
      </c>
      <c r="H879" t="str">
        <f>"Serv.Prest. 23/02/2026 a 01/03/2026 - PIX: CPF - CHAVE: 016.203.336-27"</f>
        <v>Serv.Prest. 23/02/2026 a 01/03/2026 - PIX: CPF - CHAVE: 016.203.336-27</v>
      </c>
      <c r="I879" t="str">
        <f t="shared" si="173"/>
        <v>05/03/2026</v>
      </c>
      <c r="J879" t="str">
        <f t="shared" si="179"/>
        <v>02/03/2026</v>
      </c>
      <c r="K879" t="str">
        <f>("05/03/2026")</f>
        <v>05/03/2026</v>
      </c>
      <c r="L879">
        <v>900</v>
      </c>
      <c r="M879">
        <v>900</v>
      </c>
      <c r="N879">
        <v>109</v>
      </c>
      <c r="O879" t="str">
        <f>"PAGAMENTO DE ENTREGADORES"</f>
        <v>PAGAMENTO DE ENTREGADORES</v>
      </c>
      <c r="P879">
        <v>900</v>
      </c>
      <c r="S879" t="str">
        <f>"BANCO C6 (149)"</f>
        <v>BANCO C6 (149)</v>
      </c>
      <c r="T879">
        <v>30271</v>
      </c>
      <c r="U879">
        <v>33922</v>
      </c>
      <c r="V879" t="s">
        <v>37</v>
      </c>
    </row>
    <row r="880" spans="1:22">
      <c r="A880" t="str">
        <f t="shared" si="178"/>
        <v>05/03/2026</v>
      </c>
      <c r="B880" t="str">
        <f t="shared" si="172"/>
        <v>SAÍDA</v>
      </c>
      <c r="C880" t="str">
        <f t="shared" si="175"/>
        <v>PIX</v>
      </c>
      <c r="D880" t="str">
        <f>"33922"</f>
        <v>33922</v>
      </c>
      <c r="E880" t="str">
        <f t="shared" si="176"/>
        <v>1</v>
      </c>
      <c r="F880" t="str">
        <f t="shared" si="174"/>
        <v>COM</v>
      </c>
      <c r="G880" t="str">
        <f>"WILIANA RODRIGUES E RODRIGUES (398)"</f>
        <v>WILIANA RODRIGUES E RODRIGUES (398)</v>
      </c>
      <c r="H880" t="s">
        <v>349</v>
      </c>
      <c r="I880" t="str">
        <f t="shared" si="173"/>
        <v>05/03/2026</v>
      </c>
      <c r="J880" t="str">
        <f t="shared" si="179"/>
        <v>02/03/2026</v>
      </c>
      <c r="K880">
        <v>46086</v>
      </c>
      <c r="N880">
        <v>109</v>
      </c>
      <c r="O880" t="s">
        <v>27</v>
      </c>
      <c r="Q880">
        <v>900</v>
      </c>
      <c r="R880" t="str">
        <f>"FARMA &amp; FORMA (10296)"</f>
        <v>FARMA &amp; FORMA (10296)</v>
      </c>
      <c r="S880" t="s">
        <v>37</v>
      </c>
      <c r="T880">
        <v>30271</v>
      </c>
      <c r="U880">
        <v>33922</v>
      </c>
      <c r="V880" t="s">
        <v>37</v>
      </c>
    </row>
    <row r="881" spans="1:22">
      <c r="A881" t="str">
        <f t="shared" si="178"/>
        <v>05/03/2026</v>
      </c>
      <c r="B881" t="str">
        <f t="shared" si="172"/>
        <v>SAÍDA</v>
      </c>
      <c r="C881" t="str">
        <f t="shared" si="175"/>
        <v>PIX</v>
      </c>
      <c r="D881" t="str">
        <f>"33924"</f>
        <v>33924</v>
      </c>
      <c r="E881" t="str">
        <f t="shared" si="176"/>
        <v>1</v>
      </c>
      <c r="F881" t="str">
        <f t="shared" si="174"/>
        <v>COM</v>
      </c>
      <c r="G881" t="str">
        <f>"ARLINDO COSTA FELIX (754)"</f>
        <v>ARLINDO COSTA FELIX (754)</v>
      </c>
      <c r="H881" t="str">
        <f>"Serv.Prest. 23/02/2026 a 01/03/2026 - PIX: CPF - CHAVE: 103.983.366-79"</f>
        <v>Serv.Prest. 23/02/2026 a 01/03/2026 - PIX: CPF - CHAVE: 103.983.366-79</v>
      </c>
      <c r="I881" t="str">
        <f t="shared" si="173"/>
        <v>05/03/2026</v>
      </c>
      <c r="J881" t="str">
        <f t="shared" si="179"/>
        <v>02/03/2026</v>
      </c>
      <c r="K881" t="str">
        <f>("05/03/2026")</f>
        <v>05/03/2026</v>
      </c>
      <c r="L881">
        <v>432</v>
      </c>
      <c r="M881">
        <v>432</v>
      </c>
      <c r="N881">
        <v>109</v>
      </c>
      <c r="O881" t="str">
        <f>"PAGAMENTO DE ENTREGADORES"</f>
        <v>PAGAMENTO DE ENTREGADORES</v>
      </c>
      <c r="P881">
        <v>432</v>
      </c>
      <c r="S881" t="str">
        <f>"BANCO C6 (149)"</f>
        <v>BANCO C6 (149)</v>
      </c>
      <c r="T881">
        <v>30272</v>
      </c>
      <c r="U881">
        <v>33924</v>
      </c>
      <c r="V881" t="s">
        <v>37</v>
      </c>
    </row>
    <row r="882" spans="1:22">
      <c r="A882" t="str">
        <f t="shared" si="178"/>
        <v>05/03/2026</v>
      </c>
      <c r="B882" t="str">
        <f t="shared" si="172"/>
        <v>SAÍDA</v>
      </c>
      <c r="C882" t="str">
        <f t="shared" si="175"/>
        <v>PIX</v>
      </c>
      <c r="D882" t="str">
        <f>"33924"</f>
        <v>33924</v>
      </c>
      <c r="E882" t="str">
        <f t="shared" si="176"/>
        <v>1</v>
      </c>
      <c r="F882" t="str">
        <f t="shared" si="174"/>
        <v>COM</v>
      </c>
      <c r="G882" t="str">
        <f>"ARLINDO COSTA FELIX (754)"</f>
        <v>ARLINDO COSTA FELIX (754)</v>
      </c>
      <c r="H882" t="s">
        <v>350</v>
      </c>
      <c r="I882" t="str">
        <f t="shared" si="173"/>
        <v>05/03/2026</v>
      </c>
      <c r="J882" t="str">
        <f t="shared" si="179"/>
        <v>02/03/2026</v>
      </c>
      <c r="K882">
        <v>46086</v>
      </c>
      <c r="N882">
        <v>109</v>
      </c>
      <c r="O882" t="s">
        <v>27</v>
      </c>
      <c r="Q882">
        <v>432</v>
      </c>
      <c r="R882" t="str">
        <f>"ENTREFARMA (10164)"</f>
        <v>ENTREFARMA (10164)</v>
      </c>
      <c r="S882" t="s">
        <v>37</v>
      </c>
      <c r="T882">
        <v>30272</v>
      </c>
      <c r="U882">
        <v>33924</v>
      </c>
      <c r="V882" t="s">
        <v>37</v>
      </c>
    </row>
    <row r="883" spans="1:22">
      <c r="A883" t="str">
        <f t="shared" si="178"/>
        <v>05/03/2026</v>
      </c>
      <c r="B883" t="str">
        <f t="shared" si="172"/>
        <v>SAÍDA</v>
      </c>
      <c r="C883" t="str">
        <f t="shared" si="175"/>
        <v>PIX</v>
      </c>
      <c r="D883" t="str">
        <f>"33925"</f>
        <v>33925</v>
      </c>
      <c r="E883" t="str">
        <f t="shared" si="176"/>
        <v>1</v>
      </c>
      <c r="F883" t="str">
        <f t="shared" si="174"/>
        <v>COM</v>
      </c>
      <c r="G883" t="str">
        <f>"LEONICIO CORREA DA SILVA (716)"</f>
        <v>LEONICIO CORREA DA SILVA (716)</v>
      </c>
      <c r="H883" t="str">
        <f>"Serv.Prest. 23/02/2026 a 01/03/2026 - PIX: CPF - CHAVE: 138.263.636-98"</f>
        <v>Serv.Prest. 23/02/2026 a 01/03/2026 - PIX: CPF - CHAVE: 138.263.636-98</v>
      </c>
      <c r="I883" t="str">
        <f t="shared" si="173"/>
        <v>05/03/2026</v>
      </c>
      <c r="J883" t="str">
        <f t="shared" si="179"/>
        <v>02/03/2026</v>
      </c>
      <c r="K883" t="str">
        <f>("05/03/2026")</f>
        <v>05/03/2026</v>
      </c>
      <c r="L883">
        <v>4038</v>
      </c>
      <c r="M883">
        <v>4038</v>
      </c>
      <c r="N883">
        <v>109</v>
      </c>
      <c r="O883" t="str">
        <f>"PAGAMENTO DE ENTREGADORES"</f>
        <v>PAGAMENTO DE ENTREGADORES</v>
      </c>
      <c r="P883">
        <v>4038</v>
      </c>
      <c r="S883" t="str">
        <f>"BANCO C6 (149)"</f>
        <v>BANCO C6 (149)</v>
      </c>
      <c r="T883">
        <v>30273</v>
      </c>
      <c r="U883">
        <v>33925</v>
      </c>
      <c r="V883" t="s">
        <v>37</v>
      </c>
    </row>
    <row r="884" spans="1:22">
      <c r="A884" t="str">
        <f t="shared" si="178"/>
        <v>05/03/2026</v>
      </c>
      <c r="B884" t="str">
        <f t="shared" si="172"/>
        <v>SAÍDA</v>
      </c>
      <c r="C884" t="str">
        <f t="shared" si="175"/>
        <v>PIX</v>
      </c>
      <c r="D884" t="str">
        <f>"33925"</f>
        <v>33925</v>
      </c>
      <c r="E884" t="str">
        <f t="shared" si="176"/>
        <v>1</v>
      </c>
      <c r="F884" t="str">
        <f t="shared" si="174"/>
        <v>COM</v>
      </c>
      <c r="G884" t="str">
        <f>"LEONICIO CORREA DA SILVA (716)"</f>
        <v>LEONICIO CORREA DA SILVA (716)</v>
      </c>
      <c r="H884" t="s">
        <v>351</v>
      </c>
      <c r="I884" t="str">
        <f t="shared" si="173"/>
        <v>05/03/2026</v>
      </c>
      <c r="J884" t="str">
        <f t="shared" si="179"/>
        <v>02/03/2026</v>
      </c>
      <c r="K884">
        <v>46086</v>
      </c>
      <c r="N884">
        <v>109</v>
      </c>
      <c r="O884" t="s">
        <v>27</v>
      </c>
      <c r="Q884">
        <v>4038</v>
      </c>
      <c r="R884" t="str">
        <f>"ENTREFARMA (10164)"</f>
        <v>ENTREFARMA (10164)</v>
      </c>
      <c r="S884" t="s">
        <v>37</v>
      </c>
      <c r="T884">
        <v>30273</v>
      </c>
      <c r="U884">
        <v>33925</v>
      </c>
      <c r="V884" t="s">
        <v>37</v>
      </c>
    </row>
    <row r="885" spans="1:22">
      <c r="A885" t="str">
        <f t="shared" si="178"/>
        <v>05/03/2026</v>
      </c>
      <c r="B885" t="str">
        <f t="shared" si="172"/>
        <v>SAÍDA</v>
      </c>
      <c r="C885" t="str">
        <f t="shared" si="175"/>
        <v>PIX</v>
      </c>
      <c r="D885" t="str">
        <f>"33926"</f>
        <v>33926</v>
      </c>
      <c r="E885" t="str">
        <f t="shared" si="176"/>
        <v>1</v>
      </c>
      <c r="F885" t="str">
        <f t="shared" si="174"/>
        <v>COM</v>
      </c>
      <c r="G885" t="str">
        <f>"SADRAK ENOKES BORGES (725)"</f>
        <v>SADRAK ENOKES BORGES (725)</v>
      </c>
      <c r="H885" t="str">
        <f>"Serv.Prest. 23/02/2026 a 01/03/2026 - PIX: CPF - CHAVE: 128.367.756-37"</f>
        <v>Serv.Prest. 23/02/2026 a 01/03/2026 - PIX: CPF - CHAVE: 128.367.756-37</v>
      </c>
      <c r="I885" t="str">
        <f t="shared" si="173"/>
        <v>05/03/2026</v>
      </c>
      <c r="J885" t="str">
        <f t="shared" si="179"/>
        <v>02/03/2026</v>
      </c>
      <c r="K885" t="str">
        <f>("05/03/2026")</f>
        <v>05/03/2026</v>
      </c>
      <c r="L885">
        <v>732</v>
      </c>
      <c r="M885">
        <v>732</v>
      </c>
      <c r="N885">
        <v>109</v>
      </c>
      <c r="O885" t="str">
        <f>"PAGAMENTO DE ENTREGADORES"</f>
        <v>PAGAMENTO DE ENTREGADORES</v>
      </c>
      <c r="P885">
        <v>732</v>
      </c>
      <c r="S885" t="str">
        <f>"BANCO C6 (149)"</f>
        <v>BANCO C6 (149)</v>
      </c>
      <c r="T885">
        <v>30274</v>
      </c>
      <c r="U885">
        <v>33926</v>
      </c>
      <c r="V885" t="s">
        <v>37</v>
      </c>
    </row>
    <row r="886" spans="1:22">
      <c r="A886" t="str">
        <f t="shared" si="178"/>
        <v>05/03/2026</v>
      </c>
      <c r="B886" t="str">
        <f t="shared" si="172"/>
        <v>SAÍDA</v>
      </c>
      <c r="C886" t="str">
        <f t="shared" si="175"/>
        <v>PIX</v>
      </c>
      <c r="D886" t="str">
        <f>"33926"</f>
        <v>33926</v>
      </c>
      <c r="E886" t="str">
        <f t="shared" si="176"/>
        <v>1</v>
      </c>
      <c r="F886" t="str">
        <f t="shared" si="174"/>
        <v>COM</v>
      </c>
      <c r="G886" t="str">
        <f>"SADRAK ENOKES BORGES (725)"</f>
        <v>SADRAK ENOKES BORGES (725)</v>
      </c>
      <c r="H886" t="s">
        <v>352</v>
      </c>
      <c r="I886" t="str">
        <f t="shared" si="173"/>
        <v>05/03/2026</v>
      </c>
      <c r="J886" t="str">
        <f t="shared" si="179"/>
        <v>02/03/2026</v>
      </c>
      <c r="K886">
        <v>46086</v>
      </c>
      <c r="N886">
        <v>109</v>
      </c>
      <c r="O886" t="s">
        <v>27</v>
      </c>
      <c r="Q886">
        <v>732</v>
      </c>
      <c r="R886" t="str">
        <f>"ENTREFARMA (10164)"</f>
        <v>ENTREFARMA (10164)</v>
      </c>
      <c r="S886" t="s">
        <v>37</v>
      </c>
      <c r="T886">
        <v>30274</v>
      </c>
      <c r="U886">
        <v>33926</v>
      </c>
      <c r="V886" t="s">
        <v>37</v>
      </c>
    </row>
    <row r="887" spans="1:22">
      <c r="A887" t="str">
        <f t="shared" si="178"/>
        <v>05/03/2026</v>
      </c>
      <c r="B887" t="str">
        <f t="shared" si="172"/>
        <v>SAÍDA</v>
      </c>
      <c r="C887" t="str">
        <f t="shared" si="175"/>
        <v>PIX</v>
      </c>
      <c r="D887" t="str">
        <f>"33928"</f>
        <v>33928</v>
      </c>
      <c r="E887" t="str">
        <f t="shared" si="176"/>
        <v>1</v>
      </c>
      <c r="F887" t="str">
        <f t="shared" si="174"/>
        <v>COM</v>
      </c>
      <c r="G887" t="str">
        <f>"CLAUDIO DOS SANTOS (507)"</f>
        <v>CLAUDIO DOS SANTOS (507)</v>
      </c>
      <c r="H887" t="str">
        <f>"Serv.Prest. 23/02/2026 a 01/03/2026 - PIX: E-MAIL - CHAVE: claudioverdinho2009@hotmail.com"</f>
        <v>Serv.Prest. 23/02/2026 a 01/03/2026 - PIX: E-MAIL - CHAVE: claudioverdinho2009@hotmail.com</v>
      </c>
      <c r="I887" t="str">
        <f t="shared" si="173"/>
        <v>05/03/2026</v>
      </c>
      <c r="J887" t="str">
        <f t="shared" si="179"/>
        <v>02/03/2026</v>
      </c>
      <c r="K887" t="str">
        <f>("05/03/2026")</f>
        <v>05/03/2026</v>
      </c>
      <c r="L887">
        <v>1150</v>
      </c>
      <c r="M887">
        <v>1150</v>
      </c>
      <c r="N887">
        <v>109</v>
      </c>
      <c r="O887" t="str">
        <f>"PAGAMENTO DE ENTREGADORES"</f>
        <v>PAGAMENTO DE ENTREGADORES</v>
      </c>
      <c r="P887">
        <v>1150</v>
      </c>
      <c r="S887" t="str">
        <f>"BANCO C6 (149)"</f>
        <v>BANCO C6 (149)</v>
      </c>
      <c r="T887">
        <v>30275</v>
      </c>
      <c r="U887">
        <v>33928</v>
      </c>
      <c r="V887" t="s">
        <v>37</v>
      </c>
    </row>
    <row r="888" spans="1:22">
      <c r="A888" t="str">
        <f t="shared" si="178"/>
        <v>05/03/2026</v>
      </c>
      <c r="B888" t="str">
        <f t="shared" si="172"/>
        <v>SAÍDA</v>
      </c>
      <c r="C888" t="str">
        <f t="shared" si="175"/>
        <v>PIX</v>
      </c>
      <c r="D888" t="str">
        <f>"33928"</f>
        <v>33928</v>
      </c>
      <c r="E888" t="str">
        <f t="shared" si="176"/>
        <v>1</v>
      </c>
      <c r="F888" t="str">
        <f t="shared" si="174"/>
        <v>COM</v>
      </c>
      <c r="G888" t="str">
        <f>"CLAUDIO DOS SANTOS (507)"</f>
        <v>CLAUDIO DOS SANTOS (507)</v>
      </c>
      <c r="H888" t="s">
        <v>353</v>
      </c>
      <c r="I888" t="str">
        <f t="shared" si="173"/>
        <v>05/03/2026</v>
      </c>
      <c r="J888" t="str">
        <f t="shared" si="179"/>
        <v>02/03/2026</v>
      </c>
      <c r="K888">
        <v>46086</v>
      </c>
      <c r="N888">
        <v>109</v>
      </c>
      <c r="O888" t="s">
        <v>27</v>
      </c>
      <c r="Q888">
        <v>1150</v>
      </c>
      <c r="R888" t="str">
        <f>"JAL FARMACIA E DROGARIA LJ 1 (10137)"</f>
        <v>JAL FARMACIA E DROGARIA LJ 1 (10137)</v>
      </c>
      <c r="S888" t="s">
        <v>37</v>
      </c>
      <c r="T888">
        <v>30275</v>
      </c>
      <c r="U888">
        <v>33928</v>
      </c>
      <c r="V888" t="s">
        <v>37</v>
      </c>
    </row>
    <row r="889" spans="1:22">
      <c r="A889" t="str">
        <f t="shared" si="178"/>
        <v>05/03/2026</v>
      </c>
      <c r="B889" t="str">
        <f t="shared" si="172"/>
        <v>SAÍDA</v>
      </c>
      <c r="C889" t="str">
        <f t="shared" si="175"/>
        <v>PIX</v>
      </c>
      <c r="D889" t="str">
        <f>"33929"</f>
        <v>33929</v>
      </c>
      <c r="E889" t="str">
        <f t="shared" si="176"/>
        <v>1</v>
      </c>
      <c r="F889" t="str">
        <f t="shared" si="174"/>
        <v>COM</v>
      </c>
      <c r="G889" t="str">
        <f>"JESSICA BRAHOLKA (837)"</f>
        <v>JESSICA BRAHOLKA (837)</v>
      </c>
      <c r="H889" t="str">
        <f>"Serv.Prest. 23/02/2026 a 01/03/2026 - PIX: CPF - CHAVE: 124.575.099-20"</f>
        <v>Serv.Prest. 23/02/2026 a 01/03/2026 - PIX: CPF - CHAVE: 124.575.099-20</v>
      </c>
      <c r="I889" t="str">
        <f t="shared" si="173"/>
        <v>05/03/2026</v>
      </c>
      <c r="J889" t="str">
        <f t="shared" si="179"/>
        <v>02/03/2026</v>
      </c>
      <c r="K889" t="str">
        <f>("05/03/2026")</f>
        <v>05/03/2026</v>
      </c>
      <c r="L889">
        <v>574</v>
      </c>
      <c r="M889">
        <v>574</v>
      </c>
      <c r="N889">
        <v>109</v>
      </c>
      <c r="O889" t="str">
        <f>"PAGAMENTO DE ENTREGADORES"</f>
        <v>PAGAMENTO DE ENTREGADORES</v>
      </c>
      <c r="P889">
        <v>574</v>
      </c>
      <c r="S889" t="str">
        <f>"BANCO C6 (149)"</f>
        <v>BANCO C6 (149)</v>
      </c>
      <c r="T889">
        <v>30276</v>
      </c>
      <c r="U889">
        <v>33929</v>
      </c>
      <c r="V889" t="s">
        <v>37</v>
      </c>
    </row>
    <row r="890" spans="1:22">
      <c r="A890" t="str">
        <f t="shared" si="178"/>
        <v>05/03/2026</v>
      </c>
      <c r="B890" t="str">
        <f t="shared" si="172"/>
        <v>SAÍDA</v>
      </c>
      <c r="C890" t="str">
        <f t="shared" si="175"/>
        <v>PIX</v>
      </c>
      <c r="D890" t="str">
        <f>"33929"</f>
        <v>33929</v>
      </c>
      <c r="E890" t="str">
        <f t="shared" si="176"/>
        <v>1</v>
      </c>
      <c r="F890" t="str">
        <f t="shared" si="174"/>
        <v>COM</v>
      </c>
      <c r="G890" t="str">
        <f>"JESSICA BRAHOLKA (837)"</f>
        <v>JESSICA BRAHOLKA (837)</v>
      </c>
      <c r="H890" t="s">
        <v>354</v>
      </c>
      <c r="I890" t="str">
        <f t="shared" si="173"/>
        <v>05/03/2026</v>
      </c>
      <c r="J890" t="str">
        <f t="shared" si="179"/>
        <v>02/03/2026</v>
      </c>
      <c r="K890">
        <v>46086</v>
      </c>
      <c r="N890">
        <v>109</v>
      </c>
      <c r="O890" t="s">
        <v>27</v>
      </c>
      <c r="Q890">
        <v>574</v>
      </c>
      <c r="R890" t="str">
        <f>"JAL FARMACIA E DROGARIA LJ 1 (10137)"</f>
        <v>JAL FARMACIA E DROGARIA LJ 1 (10137)</v>
      </c>
      <c r="S890" t="s">
        <v>37</v>
      </c>
      <c r="T890">
        <v>30276</v>
      </c>
      <c r="U890">
        <v>33929</v>
      </c>
      <c r="V890" t="s">
        <v>37</v>
      </c>
    </row>
    <row r="891" spans="1:22">
      <c r="A891" t="str">
        <f t="shared" si="178"/>
        <v>05/03/2026</v>
      </c>
      <c r="B891" t="str">
        <f t="shared" si="172"/>
        <v>SAÍDA</v>
      </c>
      <c r="C891" t="str">
        <f t="shared" si="175"/>
        <v>PIX</v>
      </c>
      <c r="D891" t="str">
        <f>"33930"</f>
        <v>33930</v>
      </c>
      <c r="E891" t="str">
        <f t="shared" si="176"/>
        <v>1</v>
      </c>
      <c r="F891" t="str">
        <f t="shared" si="174"/>
        <v>COM</v>
      </c>
      <c r="G891" t="str">
        <f>"WADSON PABLO PEREIRA GALDINO DA SILVA (1339)"</f>
        <v>WADSON PABLO PEREIRA GALDINO DA SILVA (1339)</v>
      </c>
      <c r="H891" t="str">
        <f>"Serv.Prest. 23/02/2026 a 01/03/2026 - PIX: CPF - CHAVE: 114.806.766-32"</f>
        <v>Serv.Prest. 23/02/2026 a 01/03/2026 - PIX: CPF - CHAVE: 114.806.766-32</v>
      </c>
      <c r="I891" t="str">
        <f t="shared" si="173"/>
        <v>05/03/2026</v>
      </c>
      <c r="J891" t="str">
        <f t="shared" si="179"/>
        <v>02/03/2026</v>
      </c>
      <c r="K891" t="str">
        <f>("05/03/2026")</f>
        <v>05/03/2026</v>
      </c>
      <c r="L891">
        <v>259</v>
      </c>
      <c r="M891">
        <v>259</v>
      </c>
      <c r="N891">
        <v>109</v>
      </c>
      <c r="O891" t="str">
        <f>"PAGAMENTO DE ENTREGADORES"</f>
        <v>PAGAMENTO DE ENTREGADORES</v>
      </c>
      <c r="P891">
        <v>259</v>
      </c>
      <c r="S891" t="str">
        <f>"BANCO C6 (149)"</f>
        <v>BANCO C6 (149)</v>
      </c>
      <c r="T891">
        <v>30277</v>
      </c>
      <c r="U891">
        <v>33930</v>
      </c>
      <c r="V891" t="s">
        <v>37</v>
      </c>
    </row>
    <row r="892" spans="1:22">
      <c r="A892" t="str">
        <f t="shared" si="178"/>
        <v>05/03/2026</v>
      </c>
      <c r="B892" t="str">
        <f t="shared" si="172"/>
        <v>SAÍDA</v>
      </c>
      <c r="C892" t="str">
        <f t="shared" si="175"/>
        <v>PIX</v>
      </c>
      <c r="D892" t="str">
        <f>"33930"</f>
        <v>33930</v>
      </c>
      <c r="E892" t="str">
        <f t="shared" si="176"/>
        <v>1</v>
      </c>
      <c r="F892" t="str">
        <f t="shared" si="174"/>
        <v>COM</v>
      </c>
      <c r="G892" t="str">
        <f>"WADSON PABLO PEREIRA GALDINO DA SILVA (1339)"</f>
        <v>WADSON PABLO PEREIRA GALDINO DA SILVA (1339)</v>
      </c>
      <c r="H892" t="s">
        <v>355</v>
      </c>
      <c r="I892" t="str">
        <f t="shared" si="173"/>
        <v>05/03/2026</v>
      </c>
      <c r="J892" t="str">
        <f t="shared" si="179"/>
        <v>02/03/2026</v>
      </c>
      <c r="K892">
        <v>46086</v>
      </c>
      <c r="N892">
        <v>109</v>
      </c>
      <c r="O892" t="s">
        <v>27</v>
      </c>
      <c r="Q892">
        <v>259</v>
      </c>
      <c r="R892" t="str">
        <f>"JAL FARMACIA E DROGARIA LJ 1 (10137)"</f>
        <v>JAL FARMACIA E DROGARIA LJ 1 (10137)</v>
      </c>
      <c r="S892" t="s">
        <v>37</v>
      </c>
      <c r="T892">
        <v>30277</v>
      </c>
      <c r="U892">
        <v>33930</v>
      </c>
      <c r="V892" t="s">
        <v>37</v>
      </c>
    </row>
    <row r="893" spans="1:22">
      <c r="A893" t="str">
        <f t="shared" si="178"/>
        <v>05/03/2026</v>
      </c>
      <c r="B893" t="str">
        <f t="shared" si="172"/>
        <v>SAÍDA</v>
      </c>
      <c r="C893" t="str">
        <f t="shared" si="175"/>
        <v>PIX</v>
      </c>
      <c r="D893" t="str">
        <f>"33932"</f>
        <v>33932</v>
      </c>
      <c r="E893" t="str">
        <f t="shared" si="176"/>
        <v>1</v>
      </c>
      <c r="F893" t="str">
        <f t="shared" si="174"/>
        <v>COM</v>
      </c>
      <c r="G893" t="str">
        <f>"CLAUDIO DOS SANTOS (507)"</f>
        <v>CLAUDIO DOS SANTOS (507)</v>
      </c>
      <c r="H893" t="str">
        <f>"Serv.Prest. 23/02/2026 a 01/03/2026 - PIX: E-MAIL - CHAVE: claudioverdinho2009@hotmail.com"</f>
        <v>Serv.Prest. 23/02/2026 a 01/03/2026 - PIX: E-MAIL - CHAVE: claudioverdinho2009@hotmail.com</v>
      </c>
      <c r="I893" t="str">
        <f t="shared" si="173"/>
        <v>05/03/2026</v>
      </c>
      <c r="J893" t="str">
        <f t="shared" si="179"/>
        <v>02/03/2026</v>
      </c>
      <c r="K893" t="str">
        <f>("05/03/2026")</f>
        <v>05/03/2026</v>
      </c>
      <c r="L893">
        <v>175</v>
      </c>
      <c r="M893">
        <v>175</v>
      </c>
      <c r="N893">
        <v>109</v>
      </c>
      <c r="O893" t="str">
        <f>"PAGAMENTO DE ENTREGADORES"</f>
        <v>PAGAMENTO DE ENTREGADORES</v>
      </c>
      <c r="P893">
        <v>175</v>
      </c>
      <c r="S893" t="str">
        <f>"BANCO C6 (149)"</f>
        <v>BANCO C6 (149)</v>
      </c>
      <c r="T893">
        <v>30278</v>
      </c>
      <c r="U893">
        <v>33932</v>
      </c>
      <c r="V893" t="s">
        <v>37</v>
      </c>
    </row>
    <row r="894" spans="1:22">
      <c r="A894" t="str">
        <f t="shared" si="178"/>
        <v>05/03/2026</v>
      </c>
      <c r="B894" t="str">
        <f t="shared" si="172"/>
        <v>SAÍDA</v>
      </c>
      <c r="C894" t="str">
        <f t="shared" si="175"/>
        <v>PIX</v>
      </c>
      <c r="D894" t="str">
        <f>"33932"</f>
        <v>33932</v>
      </c>
      <c r="E894" t="str">
        <f t="shared" si="176"/>
        <v>1</v>
      </c>
      <c r="F894" t="str">
        <f t="shared" si="174"/>
        <v>COM</v>
      </c>
      <c r="G894" t="str">
        <f>"CLAUDIO DOS SANTOS (507)"</f>
        <v>CLAUDIO DOS SANTOS (507)</v>
      </c>
      <c r="H894" t="s">
        <v>353</v>
      </c>
      <c r="I894" t="str">
        <f t="shared" si="173"/>
        <v>05/03/2026</v>
      </c>
      <c r="J894" t="str">
        <f t="shared" si="179"/>
        <v>02/03/2026</v>
      </c>
      <c r="K894">
        <v>46086</v>
      </c>
      <c r="N894">
        <v>109</v>
      </c>
      <c r="O894" t="s">
        <v>27</v>
      </c>
      <c r="Q894">
        <v>175</v>
      </c>
      <c r="R894" t="str">
        <f>"JAL FARMACIA E DROGARIA LJ 2 (10138)"</f>
        <v>JAL FARMACIA E DROGARIA LJ 2 (10138)</v>
      </c>
      <c r="S894" t="s">
        <v>37</v>
      </c>
      <c r="T894">
        <v>30278</v>
      </c>
      <c r="U894">
        <v>33932</v>
      </c>
      <c r="V894" t="s">
        <v>37</v>
      </c>
    </row>
    <row r="895" spans="1:22">
      <c r="A895" t="str">
        <f t="shared" si="178"/>
        <v>05/03/2026</v>
      </c>
      <c r="B895" t="str">
        <f t="shared" si="172"/>
        <v>SAÍDA</v>
      </c>
      <c r="C895" t="str">
        <f t="shared" si="175"/>
        <v>PIX</v>
      </c>
      <c r="D895" t="str">
        <f>"33933"</f>
        <v>33933</v>
      </c>
      <c r="E895" t="str">
        <f t="shared" si="176"/>
        <v>1</v>
      </c>
      <c r="F895" t="str">
        <f t="shared" si="174"/>
        <v>COM</v>
      </c>
      <c r="G895" t="str">
        <f>"JESSICA BRAHOLKA (837)"</f>
        <v>JESSICA BRAHOLKA (837)</v>
      </c>
      <c r="H895" t="str">
        <f>"Serv.Prest. 23/02/2026 a 01/03/2026 - PIX: CPF - CHAVE: 124.575.099-20"</f>
        <v>Serv.Prest. 23/02/2026 a 01/03/2026 - PIX: CPF - CHAVE: 124.575.099-20</v>
      </c>
      <c r="I895" t="str">
        <f t="shared" si="173"/>
        <v>05/03/2026</v>
      </c>
      <c r="J895" t="str">
        <f t="shared" si="179"/>
        <v>02/03/2026</v>
      </c>
      <c r="K895" t="str">
        <f>("05/03/2026")</f>
        <v>05/03/2026</v>
      </c>
      <c r="L895">
        <v>716</v>
      </c>
      <c r="M895">
        <v>716</v>
      </c>
      <c r="N895">
        <v>109</v>
      </c>
      <c r="O895" t="str">
        <f>"PAGAMENTO DE ENTREGADORES"</f>
        <v>PAGAMENTO DE ENTREGADORES</v>
      </c>
      <c r="P895">
        <v>716</v>
      </c>
      <c r="S895" t="str">
        <f>"BANCO C6 (149)"</f>
        <v>BANCO C6 (149)</v>
      </c>
      <c r="T895">
        <v>30279</v>
      </c>
      <c r="U895">
        <v>33933</v>
      </c>
      <c r="V895" t="s">
        <v>37</v>
      </c>
    </row>
    <row r="896" spans="1:22">
      <c r="A896" t="str">
        <f t="shared" si="178"/>
        <v>05/03/2026</v>
      </c>
      <c r="B896" t="str">
        <f t="shared" si="172"/>
        <v>SAÍDA</v>
      </c>
      <c r="C896" t="str">
        <f t="shared" si="175"/>
        <v>PIX</v>
      </c>
      <c r="D896" t="str">
        <f>"33933"</f>
        <v>33933</v>
      </c>
      <c r="E896" t="str">
        <f t="shared" si="176"/>
        <v>1</v>
      </c>
      <c r="F896" t="str">
        <f t="shared" si="174"/>
        <v>COM</v>
      </c>
      <c r="G896" t="str">
        <f>"JESSICA BRAHOLKA (837)"</f>
        <v>JESSICA BRAHOLKA (837)</v>
      </c>
      <c r="H896" t="s">
        <v>354</v>
      </c>
      <c r="I896" t="str">
        <f t="shared" si="173"/>
        <v>05/03/2026</v>
      </c>
      <c r="J896" t="str">
        <f t="shared" si="179"/>
        <v>02/03/2026</v>
      </c>
      <c r="K896">
        <v>46086</v>
      </c>
      <c r="N896">
        <v>109</v>
      </c>
      <c r="O896" t="s">
        <v>27</v>
      </c>
      <c r="Q896">
        <v>716</v>
      </c>
      <c r="R896" t="str">
        <f>"JAL FARMACIA E DROGARIA LJ 2 (10138)"</f>
        <v>JAL FARMACIA E DROGARIA LJ 2 (10138)</v>
      </c>
      <c r="S896" t="s">
        <v>37</v>
      </c>
      <c r="T896">
        <v>30279</v>
      </c>
      <c r="U896">
        <v>33933</v>
      </c>
      <c r="V896" t="s">
        <v>37</v>
      </c>
    </row>
    <row r="897" spans="1:22">
      <c r="A897" t="str">
        <f t="shared" si="178"/>
        <v>05/03/2026</v>
      </c>
      <c r="B897" t="str">
        <f t="shared" ref="B897:B960" si="180">"SAÍDA"</f>
        <v>SAÍDA</v>
      </c>
      <c r="C897" t="str">
        <f t="shared" si="175"/>
        <v>PIX</v>
      </c>
      <c r="D897" t="str">
        <f>"33934"</f>
        <v>33934</v>
      </c>
      <c r="E897" t="str">
        <f t="shared" si="176"/>
        <v>1</v>
      </c>
      <c r="F897" t="str">
        <f t="shared" si="174"/>
        <v>COM</v>
      </c>
      <c r="G897" t="str">
        <f>"WADSON PABLO PEREIRA GALDINO DA SILVA (1339)"</f>
        <v>WADSON PABLO PEREIRA GALDINO DA SILVA (1339)</v>
      </c>
      <c r="H897" t="str">
        <f>"Serv.Prest. 23/02/2026 a 01/03/2026 - PIX: CPF - CHAVE: 114.806.766-32"</f>
        <v>Serv.Prest. 23/02/2026 a 01/03/2026 - PIX: CPF - CHAVE: 114.806.766-32</v>
      </c>
      <c r="I897" t="str">
        <f t="shared" ref="I897:I960" si="181">("05/03/2026")</f>
        <v>05/03/2026</v>
      </c>
      <c r="J897" t="str">
        <f t="shared" si="179"/>
        <v>02/03/2026</v>
      </c>
      <c r="K897" t="str">
        <f>("05/03/2026")</f>
        <v>05/03/2026</v>
      </c>
      <c r="L897">
        <v>541</v>
      </c>
      <c r="M897">
        <v>541</v>
      </c>
      <c r="N897">
        <v>109</v>
      </c>
      <c r="O897" t="str">
        <f>"PAGAMENTO DE ENTREGADORES"</f>
        <v>PAGAMENTO DE ENTREGADORES</v>
      </c>
      <c r="P897">
        <v>541</v>
      </c>
      <c r="S897" t="str">
        <f>"BANCO C6 (149)"</f>
        <v>BANCO C6 (149)</v>
      </c>
      <c r="T897">
        <v>30280</v>
      </c>
      <c r="U897">
        <v>33934</v>
      </c>
      <c r="V897" t="s">
        <v>37</v>
      </c>
    </row>
    <row r="898" spans="1:22">
      <c r="A898" t="str">
        <f t="shared" si="178"/>
        <v>05/03/2026</v>
      </c>
      <c r="B898" t="str">
        <f t="shared" si="180"/>
        <v>SAÍDA</v>
      </c>
      <c r="C898" t="str">
        <f t="shared" si="175"/>
        <v>PIX</v>
      </c>
      <c r="D898" t="str">
        <f>"33934"</f>
        <v>33934</v>
      </c>
      <c r="E898" t="str">
        <f t="shared" si="176"/>
        <v>1</v>
      </c>
      <c r="F898" t="str">
        <f t="shared" ref="F898:F961" si="182">"COM"</f>
        <v>COM</v>
      </c>
      <c r="G898" t="str">
        <f>"WADSON PABLO PEREIRA GALDINO DA SILVA (1339)"</f>
        <v>WADSON PABLO PEREIRA GALDINO DA SILVA (1339)</v>
      </c>
      <c r="H898" t="s">
        <v>355</v>
      </c>
      <c r="I898" t="str">
        <f t="shared" si="181"/>
        <v>05/03/2026</v>
      </c>
      <c r="J898" t="str">
        <f t="shared" si="179"/>
        <v>02/03/2026</v>
      </c>
      <c r="K898">
        <v>46086</v>
      </c>
      <c r="N898">
        <v>109</v>
      </c>
      <c r="O898" t="s">
        <v>27</v>
      </c>
      <c r="Q898">
        <v>541</v>
      </c>
      <c r="R898" t="str">
        <f>"JAL FARMACIA E DROGARIA LJ 2 (10138)"</f>
        <v>JAL FARMACIA E DROGARIA LJ 2 (10138)</v>
      </c>
      <c r="S898" t="s">
        <v>37</v>
      </c>
      <c r="T898">
        <v>30280</v>
      </c>
      <c r="U898">
        <v>33934</v>
      </c>
      <c r="V898" t="s">
        <v>37</v>
      </c>
    </row>
    <row r="899" spans="1:22">
      <c r="A899" t="str">
        <f t="shared" si="178"/>
        <v>05/03/2026</v>
      </c>
      <c r="B899" t="str">
        <f t="shared" si="180"/>
        <v>SAÍDA</v>
      </c>
      <c r="C899" t="str">
        <f t="shared" ref="C899:C962" si="183">"PIX"</f>
        <v>PIX</v>
      </c>
      <c r="D899" t="str">
        <f>"33936"</f>
        <v>33936</v>
      </c>
      <c r="E899" t="str">
        <f t="shared" si="176"/>
        <v>1</v>
      </c>
      <c r="F899" t="str">
        <f t="shared" si="182"/>
        <v>COM</v>
      </c>
      <c r="G899" t="str">
        <f>"JOSE CARLOS ALEXANDRE (1315)"</f>
        <v>JOSE CARLOS ALEXANDRE (1315)</v>
      </c>
      <c r="H899" t="str">
        <f>"Serv.Prest. 23/02/2026 a 01/03/2026 - PIX: CPF - CHAVE: 026.311.016-85"</f>
        <v>Serv.Prest. 23/02/2026 a 01/03/2026 - PIX: CPF - CHAVE: 026.311.016-85</v>
      </c>
      <c r="I899" t="str">
        <f t="shared" si="181"/>
        <v>05/03/2026</v>
      </c>
      <c r="J899" t="str">
        <f t="shared" si="179"/>
        <v>02/03/2026</v>
      </c>
      <c r="K899" t="str">
        <f>("05/03/2026")</f>
        <v>05/03/2026</v>
      </c>
      <c r="L899">
        <v>645</v>
      </c>
      <c r="M899">
        <v>645</v>
      </c>
      <c r="N899">
        <v>109</v>
      </c>
      <c r="O899" t="str">
        <f>"PAGAMENTO DE ENTREGADORES"</f>
        <v>PAGAMENTO DE ENTREGADORES</v>
      </c>
      <c r="P899">
        <v>645</v>
      </c>
      <c r="S899" t="str">
        <f>"BANCO C6 (149)"</f>
        <v>BANCO C6 (149)</v>
      </c>
      <c r="T899">
        <v>30281</v>
      </c>
      <c r="U899">
        <v>33936</v>
      </c>
      <c r="V899" t="s">
        <v>37</v>
      </c>
    </row>
    <row r="900" spans="1:22">
      <c r="A900" t="str">
        <f t="shared" si="178"/>
        <v>05/03/2026</v>
      </c>
      <c r="B900" t="str">
        <f t="shared" si="180"/>
        <v>SAÍDA</v>
      </c>
      <c r="C900" t="str">
        <f t="shared" si="183"/>
        <v>PIX</v>
      </c>
      <c r="D900" t="str">
        <f>"33936"</f>
        <v>33936</v>
      </c>
      <c r="E900" t="str">
        <f t="shared" si="176"/>
        <v>1</v>
      </c>
      <c r="F900" t="str">
        <f t="shared" si="182"/>
        <v>COM</v>
      </c>
      <c r="G900" t="str">
        <f>"JOSE CARLOS ALEXANDRE (1315)"</f>
        <v>JOSE CARLOS ALEXANDRE (1315)</v>
      </c>
      <c r="H900" t="s">
        <v>356</v>
      </c>
      <c r="I900" t="str">
        <f t="shared" si="181"/>
        <v>05/03/2026</v>
      </c>
      <c r="J900" t="str">
        <f t="shared" si="179"/>
        <v>02/03/2026</v>
      </c>
      <c r="K900">
        <v>46086</v>
      </c>
      <c r="N900">
        <v>109</v>
      </c>
      <c r="O900" t="s">
        <v>27</v>
      </c>
      <c r="Q900">
        <v>645</v>
      </c>
      <c r="R900" t="str">
        <f>"LBL FARMACIA LTDA (10189)"</f>
        <v>LBL FARMACIA LTDA (10189)</v>
      </c>
      <c r="S900" t="s">
        <v>37</v>
      </c>
      <c r="T900">
        <v>30281</v>
      </c>
      <c r="U900">
        <v>33936</v>
      </c>
      <c r="V900" t="s">
        <v>37</v>
      </c>
    </row>
    <row r="901" spans="1:22">
      <c r="A901" t="str">
        <f t="shared" si="178"/>
        <v>05/03/2026</v>
      </c>
      <c r="B901" t="str">
        <f t="shared" si="180"/>
        <v>SAÍDA</v>
      </c>
      <c r="C901" t="str">
        <f t="shared" si="183"/>
        <v>PIX</v>
      </c>
      <c r="D901" t="str">
        <f>"33938"</f>
        <v>33938</v>
      </c>
      <c r="E901" t="str">
        <f t="shared" si="176"/>
        <v>1</v>
      </c>
      <c r="F901" t="str">
        <f t="shared" si="182"/>
        <v>COM</v>
      </c>
      <c r="G901" t="str">
        <f>"AMANDA LUCIO FERNANDES (1138)"</f>
        <v>AMANDA LUCIO FERNANDES (1138)</v>
      </c>
      <c r="H901" t="str">
        <f>"Serv.Prest. 23/02/2026 a 01/03/2026 - PIX: CELULAR - CHAVE: (28) 99904-4082"</f>
        <v>Serv.Prest. 23/02/2026 a 01/03/2026 - PIX: CELULAR - CHAVE: (28) 99904-4082</v>
      </c>
      <c r="I901" t="str">
        <f t="shared" si="181"/>
        <v>05/03/2026</v>
      </c>
      <c r="J901" t="str">
        <f t="shared" si="179"/>
        <v>02/03/2026</v>
      </c>
      <c r="K901" t="str">
        <f>("05/03/2026")</f>
        <v>05/03/2026</v>
      </c>
      <c r="L901">
        <v>800</v>
      </c>
      <c r="M901">
        <v>800</v>
      </c>
      <c r="N901">
        <v>109</v>
      </c>
      <c r="O901" t="str">
        <f>"PAGAMENTO DE ENTREGADORES"</f>
        <v>PAGAMENTO DE ENTREGADORES</v>
      </c>
      <c r="P901">
        <v>800</v>
      </c>
      <c r="S901" t="str">
        <f>"BANCO C6 (149)"</f>
        <v>BANCO C6 (149)</v>
      </c>
      <c r="T901">
        <v>30282</v>
      </c>
      <c r="U901">
        <v>33938</v>
      </c>
      <c r="V901" t="s">
        <v>37</v>
      </c>
    </row>
    <row r="902" spans="1:22">
      <c r="A902" t="str">
        <f t="shared" si="178"/>
        <v>05/03/2026</v>
      </c>
      <c r="B902" t="str">
        <f t="shared" si="180"/>
        <v>SAÍDA</v>
      </c>
      <c r="C902" t="str">
        <f t="shared" si="183"/>
        <v>PIX</v>
      </c>
      <c r="D902" t="str">
        <f>"33938"</f>
        <v>33938</v>
      </c>
      <c r="E902" t="str">
        <f t="shared" si="176"/>
        <v>1</v>
      </c>
      <c r="F902" t="str">
        <f t="shared" si="182"/>
        <v>COM</v>
      </c>
      <c r="G902" t="str">
        <f>"AMANDA LUCIO FERNANDES (1138)"</f>
        <v>AMANDA LUCIO FERNANDES (1138)</v>
      </c>
      <c r="H902" t="s">
        <v>357</v>
      </c>
      <c r="I902" t="str">
        <f t="shared" si="181"/>
        <v>05/03/2026</v>
      </c>
      <c r="J902" t="str">
        <f t="shared" si="179"/>
        <v>02/03/2026</v>
      </c>
      <c r="K902">
        <v>46086</v>
      </c>
      <c r="N902">
        <v>109</v>
      </c>
      <c r="O902" t="s">
        <v>27</v>
      </c>
      <c r="Q902">
        <v>800</v>
      </c>
      <c r="R902" t="str">
        <f>"LBL FARMACIA LTDA FILIAL (10192)"</f>
        <v>LBL FARMACIA LTDA FILIAL (10192)</v>
      </c>
      <c r="S902" t="s">
        <v>37</v>
      </c>
      <c r="T902">
        <v>30282</v>
      </c>
      <c r="U902">
        <v>33938</v>
      </c>
      <c r="V902" t="s">
        <v>37</v>
      </c>
    </row>
    <row r="903" spans="1:22">
      <c r="A903" t="str">
        <f t="shared" si="178"/>
        <v>05/03/2026</v>
      </c>
      <c r="B903" t="str">
        <f t="shared" si="180"/>
        <v>SAÍDA</v>
      </c>
      <c r="C903" t="str">
        <f t="shared" si="183"/>
        <v>PIX</v>
      </c>
      <c r="D903" t="str">
        <f>"33939"</f>
        <v>33939</v>
      </c>
      <c r="E903" t="str">
        <f t="shared" si="176"/>
        <v>1</v>
      </c>
      <c r="F903" t="str">
        <f t="shared" si="182"/>
        <v>COM</v>
      </c>
      <c r="G903" t="str">
        <f>"YAN FILIPUTI CORA (926)"</f>
        <v>YAN FILIPUTI CORA (926)</v>
      </c>
      <c r="H903" t="str">
        <f>"Serv.Prest. 23/02/2026 a 01/03/2026 - PIX: CELULAR - CHAVE: (28) 98816-4170"</f>
        <v>Serv.Prest. 23/02/2026 a 01/03/2026 - PIX: CELULAR - CHAVE: (28) 98816-4170</v>
      </c>
      <c r="I903" t="str">
        <f t="shared" si="181"/>
        <v>05/03/2026</v>
      </c>
      <c r="J903" t="str">
        <f t="shared" si="179"/>
        <v>02/03/2026</v>
      </c>
      <c r="K903" t="str">
        <f>("05/03/2026")</f>
        <v>05/03/2026</v>
      </c>
      <c r="L903">
        <v>800</v>
      </c>
      <c r="M903">
        <v>800</v>
      </c>
      <c r="N903">
        <v>109</v>
      </c>
      <c r="O903" t="str">
        <f>"PAGAMENTO DE ENTREGADORES"</f>
        <v>PAGAMENTO DE ENTREGADORES</v>
      </c>
      <c r="P903">
        <v>800</v>
      </c>
      <c r="S903" t="str">
        <f>"BANCO C6 (149)"</f>
        <v>BANCO C6 (149)</v>
      </c>
      <c r="T903">
        <v>30283</v>
      </c>
      <c r="U903">
        <v>33939</v>
      </c>
      <c r="V903" t="s">
        <v>37</v>
      </c>
    </row>
    <row r="904" spans="1:22">
      <c r="A904" t="str">
        <f t="shared" si="178"/>
        <v>05/03/2026</v>
      </c>
      <c r="B904" t="str">
        <f t="shared" si="180"/>
        <v>SAÍDA</v>
      </c>
      <c r="C904" t="str">
        <f t="shared" si="183"/>
        <v>PIX</v>
      </c>
      <c r="D904" t="str">
        <f>"33939"</f>
        <v>33939</v>
      </c>
      <c r="E904" t="str">
        <f t="shared" si="176"/>
        <v>1</v>
      </c>
      <c r="F904" t="str">
        <f t="shared" si="182"/>
        <v>COM</v>
      </c>
      <c r="G904" t="str">
        <f>"YAN FILIPUTI CORA (926)"</f>
        <v>YAN FILIPUTI CORA (926)</v>
      </c>
      <c r="H904" t="s">
        <v>358</v>
      </c>
      <c r="I904" t="str">
        <f t="shared" si="181"/>
        <v>05/03/2026</v>
      </c>
      <c r="J904" t="str">
        <f t="shared" si="179"/>
        <v>02/03/2026</v>
      </c>
      <c r="K904">
        <v>46086</v>
      </c>
      <c r="N904">
        <v>109</v>
      </c>
      <c r="O904" t="s">
        <v>27</v>
      </c>
      <c r="Q904">
        <v>800</v>
      </c>
      <c r="R904" t="str">
        <f>"LBL FARMACIA LTDA FILIAL (10192)"</f>
        <v>LBL FARMACIA LTDA FILIAL (10192)</v>
      </c>
      <c r="S904" t="s">
        <v>37</v>
      </c>
      <c r="T904">
        <v>30283</v>
      </c>
      <c r="U904">
        <v>33939</v>
      </c>
      <c r="V904" t="s">
        <v>37</v>
      </c>
    </row>
    <row r="905" spans="1:22">
      <c r="A905" t="str">
        <f t="shared" si="178"/>
        <v>05/03/2026</v>
      </c>
      <c r="B905" t="str">
        <f t="shared" si="180"/>
        <v>SAÍDA</v>
      </c>
      <c r="C905" t="str">
        <f t="shared" si="183"/>
        <v>PIX</v>
      </c>
      <c r="D905" t="str">
        <f>"33941"</f>
        <v>33941</v>
      </c>
      <c r="E905" t="str">
        <f t="shared" si="176"/>
        <v>1</v>
      </c>
      <c r="F905" t="str">
        <f t="shared" si="182"/>
        <v>COM</v>
      </c>
      <c r="G905" t="str">
        <f>"MARCELO FERNANDES DA SILVA (1041)"</f>
        <v>MARCELO FERNANDES DA SILVA (1041)</v>
      </c>
      <c r="H905" t="str">
        <f>"Serv.Prest. 23/02/2026 a 01/03/2026 - PIX: E-MAIL - CHAVE: taison10032@hotmail.com"</f>
        <v>Serv.Prest. 23/02/2026 a 01/03/2026 - PIX: E-MAIL - CHAVE: taison10032@hotmail.com</v>
      </c>
      <c r="I905" t="str">
        <f t="shared" si="181"/>
        <v>05/03/2026</v>
      </c>
      <c r="J905" t="str">
        <f t="shared" si="179"/>
        <v>02/03/2026</v>
      </c>
      <c r="K905" t="str">
        <f>("05/03/2026")</f>
        <v>05/03/2026</v>
      </c>
      <c r="L905">
        <v>684</v>
      </c>
      <c r="M905">
        <v>684</v>
      </c>
      <c r="N905">
        <v>109</v>
      </c>
      <c r="O905" t="str">
        <f>"PAGAMENTO DE ENTREGADORES"</f>
        <v>PAGAMENTO DE ENTREGADORES</v>
      </c>
      <c r="P905">
        <v>684</v>
      </c>
      <c r="S905" t="str">
        <f>"BANCO C6 (149)"</f>
        <v>BANCO C6 (149)</v>
      </c>
      <c r="T905">
        <v>30284</v>
      </c>
      <c r="U905">
        <v>33941</v>
      </c>
      <c r="V905" t="s">
        <v>37</v>
      </c>
    </row>
    <row r="906" spans="1:22">
      <c r="A906" t="str">
        <f t="shared" si="178"/>
        <v>05/03/2026</v>
      </c>
      <c r="B906" t="str">
        <f t="shared" si="180"/>
        <v>SAÍDA</v>
      </c>
      <c r="C906" t="str">
        <f t="shared" si="183"/>
        <v>PIX</v>
      </c>
      <c r="D906" t="str">
        <f>"33941"</f>
        <v>33941</v>
      </c>
      <c r="E906" t="str">
        <f t="shared" si="176"/>
        <v>1</v>
      </c>
      <c r="F906" t="str">
        <f t="shared" si="182"/>
        <v>COM</v>
      </c>
      <c r="G906" t="str">
        <f>"MARCELO FERNANDES DA SILVA (1041)"</f>
        <v>MARCELO FERNANDES DA SILVA (1041)</v>
      </c>
      <c r="H906" t="s">
        <v>359</v>
      </c>
      <c r="I906" t="str">
        <f t="shared" si="181"/>
        <v>05/03/2026</v>
      </c>
      <c r="J906" t="str">
        <f t="shared" si="179"/>
        <v>02/03/2026</v>
      </c>
      <c r="K906">
        <v>46086</v>
      </c>
      <c r="N906">
        <v>109</v>
      </c>
      <c r="O906" t="s">
        <v>27</v>
      </c>
      <c r="Q906">
        <v>684</v>
      </c>
      <c r="R906" t="str">
        <f>"DROGARIA BEM ESTAR (10193)"</f>
        <v>DROGARIA BEM ESTAR (10193)</v>
      </c>
      <c r="S906" t="s">
        <v>37</v>
      </c>
      <c r="T906">
        <v>30284</v>
      </c>
      <c r="U906">
        <v>33941</v>
      </c>
      <c r="V906" t="s">
        <v>37</v>
      </c>
    </row>
    <row r="907" spans="1:22">
      <c r="A907" t="str">
        <f t="shared" si="178"/>
        <v>05/03/2026</v>
      </c>
      <c r="B907" t="str">
        <f t="shared" si="180"/>
        <v>SAÍDA</v>
      </c>
      <c r="C907" t="str">
        <f t="shared" si="183"/>
        <v>PIX</v>
      </c>
      <c r="D907" t="str">
        <f>"33944"</f>
        <v>33944</v>
      </c>
      <c r="E907" t="str">
        <f t="shared" ref="E907:E970" si="184">"1"</f>
        <v>1</v>
      </c>
      <c r="F907" t="str">
        <f t="shared" si="182"/>
        <v>COM</v>
      </c>
      <c r="G907" t="str">
        <f>"SAMUEL SOARES DA SILVA (867)"</f>
        <v>SAMUEL SOARES DA SILVA (867)</v>
      </c>
      <c r="H907" t="str">
        <f>"Serv.Prest. 23/02/2026 a 01/03/2026 - PIX: CPF - CHAVE: 396.124.108-28"</f>
        <v>Serv.Prest. 23/02/2026 a 01/03/2026 - PIX: CPF - CHAVE: 396.124.108-28</v>
      </c>
      <c r="I907" t="str">
        <f t="shared" si="181"/>
        <v>05/03/2026</v>
      </c>
      <c r="J907" t="str">
        <f t="shared" ref="J907:J919" si="185">("02/03/2026")</f>
        <v>02/03/2026</v>
      </c>
      <c r="K907" t="str">
        <f>("05/03/2026")</f>
        <v>05/03/2026</v>
      </c>
      <c r="L907">
        <v>1250</v>
      </c>
      <c r="M907">
        <v>1250</v>
      </c>
      <c r="N907">
        <v>109</v>
      </c>
      <c r="O907" t="str">
        <f>"PAGAMENTO DE ENTREGADORES"</f>
        <v>PAGAMENTO DE ENTREGADORES</v>
      </c>
      <c r="P907">
        <v>1250</v>
      </c>
      <c r="S907" t="str">
        <f>"BANCO C6 (149)"</f>
        <v>BANCO C6 (149)</v>
      </c>
      <c r="T907">
        <v>30285</v>
      </c>
      <c r="U907">
        <v>33944</v>
      </c>
      <c r="V907" t="s">
        <v>37</v>
      </c>
    </row>
    <row r="908" spans="1:22">
      <c r="A908" t="str">
        <f t="shared" si="178"/>
        <v>05/03/2026</v>
      </c>
      <c r="B908" t="str">
        <f t="shared" si="180"/>
        <v>SAÍDA</v>
      </c>
      <c r="C908" t="str">
        <f t="shared" si="183"/>
        <v>PIX</v>
      </c>
      <c r="D908" t="str">
        <f>"33944"</f>
        <v>33944</v>
      </c>
      <c r="E908" t="str">
        <f t="shared" si="184"/>
        <v>1</v>
      </c>
      <c r="F908" t="str">
        <f t="shared" si="182"/>
        <v>COM</v>
      </c>
      <c r="G908" t="str">
        <f>"SAMUEL SOARES DA SILVA (867)"</f>
        <v>SAMUEL SOARES DA SILVA (867)</v>
      </c>
      <c r="H908" t="s">
        <v>360</v>
      </c>
      <c r="I908" t="str">
        <f t="shared" si="181"/>
        <v>05/03/2026</v>
      </c>
      <c r="J908" t="str">
        <f t="shared" si="185"/>
        <v>02/03/2026</v>
      </c>
      <c r="K908">
        <v>46086</v>
      </c>
      <c r="N908">
        <v>109</v>
      </c>
      <c r="O908" t="s">
        <v>27</v>
      </c>
      <c r="Q908">
        <v>1250</v>
      </c>
      <c r="R908" t="str">
        <f>"DROGA ELIDA (10121)"</f>
        <v>DROGA ELIDA (10121)</v>
      </c>
      <c r="S908" t="s">
        <v>37</v>
      </c>
      <c r="T908">
        <v>30285</v>
      </c>
      <c r="U908">
        <v>33944</v>
      </c>
      <c r="V908" t="s">
        <v>37</v>
      </c>
    </row>
    <row r="909" spans="1:22">
      <c r="A909" t="str">
        <f t="shared" si="178"/>
        <v>05/03/2026</v>
      </c>
      <c r="B909" t="str">
        <f t="shared" si="180"/>
        <v>SAÍDA</v>
      </c>
      <c r="C909" t="str">
        <f t="shared" si="183"/>
        <v>PIX</v>
      </c>
      <c r="D909" t="str">
        <f>"33946"</f>
        <v>33946</v>
      </c>
      <c r="E909" t="str">
        <f t="shared" si="184"/>
        <v>1</v>
      </c>
      <c r="F909" t="str">
        <f t="shared" si="182"/>
        <v>COM</v>
      </c>
      <c r="G909" t="str">
        <f>"ROBERTO RUELA DE OLIVEIRA (1082)"</f>
        <v>ROBERTO RUELA DE OLIVEIRA (1082)</v>
      </c>
      <c r="H909" t="str">
        <f>"Serv.Prest. 23/02/2026 a 01/03/2026 - PIX: CPF - CHAVE: 568.250.486-00"</f>
        <v>Serv.Prest. 23/02/2026 a 01/03/2026 - PIX: CPF - CHAVE: 568.250.486-00</v>
      </c>
      <c r="I909" t="str">
        <f t="shared" si="181"/>
        <v>05/03/2026</v>
      </c>
      <c r="J909" t="str">
        <f t="shared" si="185"/>
        <v>02/03/2026</v>
      </c>
      <c r="K909" t="str">
        <f>("05/03/2026")</f>
        <v>05/03/2026</v>
      </c>
      <c r="L909">
        <v>1218</v>
      </c>
      <c r="M909">
        <v>1218</v>
      </c>
      <c r="N909">
        <v>109</v>
      </c>
      <c r="O909" t="str">
        <f>"PAGAMENTO DE ENTREGADORES"</f>
        <v>PAGAMENTO DE ENTREGADORES</v>
      </c>
      <c r="P909">
        <v>1218</v>
      </c>
      <c r="S909" t="str">
        <f>"BANCO C6 (149)"</f>
        <v>BANCO C6 (149)</v>
      </c>
      <c r="T909">
        <v>30286</v>
      </c>
      <c r="U909">
        <v>33946</v>
      </c>
      <c r="V909" t="s">
        <v>37</v>
      </c>
    </row>
    <row r="910" spans="1:22">
      <c r="A910" t="str">
        <f t="shared" si="178"/>
        <v>05/03/2026</v>
      </c>
      <c r="B910" t="str">
        <f t="shared" si="180"/>
        <v>SAÍDA</v>
      </c>
      <c r="C910" t="str">
        <f t="shared" si="183"/>
        <v>PIX</v>
      </c>
      <c r="D910" t="str">
        <f>"33946"</f>
        <v>33946</v>
      </c>
      <c r="E910" t="str">
        <f t="shared" si="184"/>
        <v>1</v>
      </c>
      <c r="F910" t="str">
        <f t="shared" si="182"/>
        <v>COM</v>
      </c>
      <c r="G910" t="str">
        <f>"ROBERTO RUELA DE OLIVEIRA (1082)"</f>
        <v>ROBERTO RUELA DE OLIVEIRA (1082)</v>
      </c>
      <c r="H910" t="s">
        <v>361</v>
      </c>
      <c r="I910" t="str">
        <f t="shared" si="181"/>
        <v>05/03/2026</v>
      </c>
      <c r="J910" t="str">
        <f t="shared" si="185"/>
        <v>02/03/2026</v>
      </c>
      <c r="K910">
        <v>46086</v>
      </c>
      <c r="N910">
        <v>109</v>
      </c>
      <c r="O910" t="s">
        <v>27</v>
      </c>
      <c r="Q910">
        <v>1218</v>
      </c>
      <c r="R910" t="str">
        <f>"DROGARIA NIQUINHO (10257)"</f>
        <v>DROGARIA NIQUINHO (10257)</v>
      </c>
      <c r="S910" t="s">
        <v>37</v>
      </c>
      <c r="T910">
        <v>30286</v>
      </c>
      <c r="U910">
        <v>33946</v>
      </c>
      <c r="V910" t="s">
        <v>37</v>
      </c>
    </row>
    <row r="911" spans="1:22">
      <c r="A911" t="str">
        <f t="shared" si="178"/>
        <v>05/03/2026</v>
      </c>
      <c r="B911" t="str">
        <f t="shared" si="180"/>
        <v>SAÍDA</v>
      </c>
      <c r="C911" t="str">
        <f t="shared" si="183"/>
        <v>PIX</v>
      </c>
      <c r="D911" t="str">
        <f>"33948"</f>
        <v>33948</v>
      </c>
      <c r="E911" t="str">
        <f t="shared" si="184"/>
        <v>1</v>
      </c>
      <c r="F911" t="str">
        <f t="shared" si="182"/>
        <v>COM</v>
      </c>
      <c r="G911" t="str">
        <f>"FLÁVIO VICTOR NUNES DA SILVA SANTOS (1142)"</f>
        <v>FLÁVIO VICTOR NUNES DA SILVA SANTOS (1142)</v>
      </c>
      <c r="H911" t="str">
        <f>"Serv.Prest. 23/02/2026 a 01/03/2026 - PIX: E-MAIL - CHAVE: flaviovictorxiaomi@gmail.com"</f>
        <v>Serv.Prest. 23/02/2026 a 01/03/2026 - PIX: E-MAIL - CHAVE: flaviovictorxiaomi@gmail.com</v>
      </c>
      <c r="I911" t="str">
        <f t="shared" si="181"/>
        <v>05/03/2026</v>
      </c>
      <c r="J911" t="str">
        <f t="shared" si="185"/>
        <v>02/03/2026</v>
      </c>
      <c r="K911" t="str">
        <f>("05/03/2026")</f>
        <v>05/03/2026</v>
      </c>
      <c r="L911">
        <v>1638</v>
      </c>
      <c r="M911">
        <v>1638</v>
      </c>
      <c r="N911">
        <v>109</v>
      </c>
      <c r="O911" t="str">
        <f>"PAGAMENTO DE ENTREGADORES"</f>
        <v>PAGAMENTO DE ENTREGADORES</v>
      </c>
      <c r="P911">
        <v>1638</v>
      </c>
      <c r="S911" t="str">
        <f>"BANCO C6 (149)"</f>
        <v>BANCO C6 (149)</v>
      </c>
      <c r="T911">
        <v>30287</v>
      </c>
      <c r="U911">
        <v>33948</v>
      </c>
      <c r="V911" t="s">
        <v>37</v>
      </c>
    </row>
    <row r="912" spans="1:22">
      <c r="A912" t="str">
        <f t="shared" si="178"/>
        <v>05/03/2026</v>
      </c>
      <c r="B912" t="str">
        <f t="shared" si="180"/>
        <v>SAÍDA</v>
      </c>
      <c r="C912" t="str">
        <f t="shared" si="183"/>
        <v>PIX</v>
      </c>
      <c r="D912" t="str">
        <f>"33948"</f>
        <v>33948</v>
      </c>
      <c r="E912" t="str">
        <f t="shared" si="184"/>
        <v>1</v>
      </c>
      <c r="F912" t="str">
        <f t="shared" si="182"/>
        <v>COM</v>
      </c>
      <c r="G912" t="str">
        <f>"FLÁVIO VICTOR NUNES DA SILVA SANTOS (1142)"</f>
        <v>FLÁVIO VICTOR NUNES DA SILVA SANTOS (1142)</v>
      </c>
      <c r="H912" t="s">
        <v>362</v>
      </c>
      <c r="I912" t="str">
        <f t="shared" si="181"/>
        <v>05/03/2026</v>
      </c>
      <c r="J912" t="str">
        <f t="shared" si="185"/>
        <v>02/03/2026</v>
      </c>
      <c r="K912">
        <v>46086</v>
      </c>
      <c r="N912">
        <v>109</v>
      </c>
      <c r="O912" t="s">
        <v>27</v>
      </c>
      <c r="Q912">
        <v>1638</v>
      </c>
      <c r="R912" t="str">
        <f>"DROGARIA VAZ (10179)"</f>
        <v>DROGARIA VAZ (10179)</v>
      </c>
      <c r="S912" t="s">
        <v>37</v>
      </c>
      <c r="T912">
        <v>30287</v>
      </c>
      <c r="U912">
        <v>33948</v>
      </c>
      <c r="V912" t="s">
        <v>37</v>
      </c>
    </row>
    <row r="913" spans="1:22">
      <c r="A913" t="str">
        <f t="shared" si="178"/>
        <v>05/03/2026</v>
      </c>
      <c r="B913" t="str">
        <f t="shared" si="180"/>
        <v>SAÍDA</v>
      </c>
      <c r="C913" t="str">
        <f t="shared" si="183"/>
        <v>PIX</v>
      </c>
      <c r="D913" t="str">
        <f>"33957"</f>
        <v>33957</v>
      </c>
      <c r="E913" t="str">
        <f t="shared" si="184"/>
        <v>1</v>
      </c>
      <c r="F913" t="str">
        <f t="shared" si="182"/>
        <v>COM</v>
      </c>
      <c r="G913" t="str">
        <f>"FABRICIO QUEIROZ DE OLIVEIRA (788)"</f>
        <v>FABRICIO QUEIROZ DE OLIVEIRA (788)</v>
      </c>
      <c r="H913" t="str">
        <f>"Serv.Prest. 23/02/2026 a 01/03/2026 - PIX: CPF - CHAVE: 138.798.486-10"</f>
        <v>Serv.Prest. 23/02/2026 a 01/03/2026 - PIX: CPF - CHAVE: 138.798.486-10</v>
      </c>
      <c r="I913" t="str">
        <f t="shared" si="181"/>
        <v>05/03/2026</v>
      </c>
      <c r="J913" t="str">
        <f t="shared" si="185"/>
        <v>02/03/2026</v>
      </c>
      <c r="K913" t="str">
        <f>("05/03/2026")</f>
        <v>05/03/2026</v>
      </c>
      <c r="L913">
        <v>700</v>
      </c>
      <c r="M913">
        <v>675</v>
      </c>
      <c r="N913">
        <v>109</v>
      </c>
      <c r="O913" t="str">
        <f>"PAGAMENTO DE ENTREGADORES"</f>
        <v>PAGAMENTO DE ENTREGADORES</v>
      </c>
      <c r="P913">
        <v>675</v>
      </c>
      <c r="S913" t="str">
        <f>"BANCO C6 (149)"</f>
        <v>BANCO C6 (149)</v>
      </c>
      <c r="T913">
        <v>30288</v>
      </c>
      <c r="U913">
        <v>33957</v>
      </c>
      <c r="V913" t="s">
        <v>37</v>
      </c>
    </row>
    <row r="914" spans="1:22">
      <c r="A914" t="str">
        <f t="shared" si="178"/>
        <v>05/03/2026</v>
      </c>
      <c r="B914" t="str">
        <f t="shared" si="180"/>
        <v>SAÍDA</v>
      </c>
      <c r="C914" t="str">
        <f t="shared" si="183"/>
        <v>PIX</v>
      </c>
      <c r="D914" t="str">
        <f>"33957"</f>
        <v>33957</v>
      </c>
      <c r="E914" t="str">
        <f t="shared" si="184"/>
        <v>1</v>
      </c>
      <c r="F914" t="str">
        <f t="shared" si="182"/>
        <v>COM</v>
      </c>
      <c r="G914" t="str">
        <f>"FABRICIO QUEIROZ DE OLIVEIRA (788)"</f>
        <v>FABRICIO QUEIROZ DE OLIVEIRA (788)</v>
      </c>
      <c r="H914" t="s">
        <v>363</v>
      </c>
      <c r="I914" t="str">
        <f t="shared" si="181"/>
        <v>05/03/2026</v>
      </c>
      <c r="J914" t="str">
        <f t="shared" si="185"/>
        <v>02/03/2026</v>
      </c>
      <c r="K914">
        <v>46086</v>
      </c>
      <c r="N914">
        <v>109</v>
      </c>
      <c r="O914" t="s">
        <v>27</v>
      </c>
      <c r="Q914">
        <v>103.48</v>
      </c>
      <c r="R914" t="str">
        <f>"FRAN FARMA (10124)"</f>
        <v>FRAN FARMA (10124)</v>
      </c>
      <c r="S914" t="s">
        <v>37</v>
      </c>
      <c r="T914">
        <v>30288</v>
      </c>
      <c r="U914">
        <v>33957</v>
      </c>
      <c r="V914" t="s">
        <v>37</v>
      </c>
    </row>
    <row r="915" spans="1:22">
      <c r="A915" t="str">
        <f t="shared" si="178"/>
        <v>05/03/2026</v>
      </c>
      <c r="B915" t="str">
        <f t="shared" si="180"/>
        <v>SAÍDA</v>
      </c>
      <c r="C915" t="str">
        <f t="shared" si="183"/>
        <v>PIX</v>
      </c>
      <c r="D915" t="str">
        <f>"33957"</f>
        <v>33957</v>
      </c>
      <c r="E915" t="str">
        <f t="shared" si="184"/>
        <v>1</v>
      </c>
      <c r="F915" t="str">
        <f t="shared" si="182"/>
        <v>COM</v>
      </c>
      <c r="G915" t="str">
        <f>"FABRICIO QUEIROZ DE OLIVEIRA (788)"</f>
        <v>FABRICIO QUEIROZ DE OLIVEIRA (788)</v>
      </c>
      <c r="H915" t="s">
        <v>363</v>
      </c>
      <c r="I915" t="str">
        <f t="shared" si="181"/>
        <v>05/03/2026</v>
      </c>
      <c r="J915" t="str">
        <f t="shared" si="185"/>
        <v>02/03/2026</v>
      </c>
      <c r="K915">
        <v>46086</v>
      </c>
      <c r="N915">
        <v>109</v>
      </c>
      <c r="O915" t="s">
        <v>27</v>
      </c>
      <c r="Q915">
        <v>405</v>
      </c>
      <c r="R915" t="str">
        <f>"FRAN FARMA LJ 2 (10131)"</f>
        <v>FRAN FARMA LJ 2 (10131)</v>
      </c>
      <c r="S915" t="s">
        <v>37</v>
      </c>
      <c r="T915">
        <v>30288</v>
      </c>
      <c r="U915">
        <v>33957</v>
      </c>
      <c r="V915" t="s">
        <v>37</v>
      </c>
    </row>
    <row r="916" spans="1:22">
      <c r="A916" t="str">
        <f t="shared" si="178"/>
        <v>05/03/2026</v>
      </c>
      <c r="B916" t="str">
        <f t="shared" si="180"/>
        <v>SAÍDA</v>
      </c>
      <c r="C916" t="str">
        <f t="shared" si="183"/>
        <v>PIX</v>
      </c>
      <c r="D916" t="str">
        <f>"33957"</f>
        <v>33957</v>
      </c>
      <c r="E916" t="str">
        <f t="shared" si="184"/>
        <v>1</v>
      </c>
      <c r="F916" t="str">
        <f t="shared" si="182"/>
        <v>COM</v>
      </c>
      <c r="G916" t="str">
        <f>"FABRICIO QUEIROZ DE OLIVEIRA (788)"</f>
        <v>FABRICIO QUEIROZ DE OLIVEIRA (788)</v>
      </c>
      <c r="H916" t="s">
        <v>363</v>
      </c>
      <c r="I916" t="str">
        <f t="shared" si="181"/>
        <v>05/03/2026</v>
      </c>
      <c r="J916" t="str">
        <f t="shared" si="185"/>
        <v>02/03/2026</v>
      </c>
      <c r="K916">
        <v>46086</v>
      </c>
      <c r="N916">
        <v>109</v>
      </c>
      <c r="O916" t="s">
        <v>27</v>
      </c>
      <c r="Q916">
        <v>166.52</v>
      </c>
      <c r="R916" t="str">
        <f>"FRAN FARMA LJ 3 (10132)"</f>
        <v>FRAN FARMA LJ 3 (10132)</v>
      </c>
      <c r="S916" t="s">
        <v>37</v>
      </c>
      <c r="T916">
        <v>30288</v>
      </c>
      <c r="U916">
        <v>33957</v>
      </c>
      <c r="V916" t="s">
        <v>37</v>
      </c>
    </row>
    <row r="917" spans="1:22">
      <c r="A917" t="str">
        <f t="shared" si="178"/>
        <v>05/03/2026</v>
      </c>
      <c r="B917" t="str">
        <f t="shared" si="180"/>
        <v>SAÍDA</v>
      </c>
      <c r="C917" t="str">
        <f t="shared" si="183"/>
        <v>PIX</v>
      </c>
      <c r="D917" t="str">
        <f>"33840"</f>
        <v>33840</v>
      </c>
      <c r="E917" t="str">
        <f t="shared" si="184"/>
        <v>1</v>
      </c>
      <c r="F917" t="str">
        <f t="shared" si="182"/>
        <v>COM</v>
      </c>
      <c r="G917" t="str">
        <f>"ANNIELLE CRISTIANE SILVA BARBOSA GOMES (1228)"</f>
        <v>ANNIELLE CRISTIANE SILVA BARBOSA GOMES (1228)</v>
      </c>
      <c r="H917" t="str">
        <f>"Serv.Prest. 23/02/2026 a 01/03/2026 - PIX: CPF - CHAVE: 034.458.495-01"</f>
        <v>Serv.Prest. 23/02/2026 a 01/03/2026 - PIX: CPF - CHAVE: 034.458.495-01</v>
      </c>
      <c r="I917" t="str">
        <f t="shared" si="181"/>
        <v>05/03/2026</v>
      </c>
      <c r="J917" t="str">
        <f t="shared" si="185"/>
        <v>02/03/2026</v>
      </c>
      <c r="K917" t="str">
        <f>("05/03/2026")</f>
        <v>05/03/2026</v>
      </c>
      <c r="L917">
        <v>20</v>
      </c>
      <c r="M917">
        <v>20</v>
      </c>
      <c r="N917">
        <v>109</v>
      </c>
      <c r="O917" t="str">
        <f>"PAGAMENTO DE ENTREGADORES"</f>
        <v>PAGAMENTO DE ENTREGADORES</v>
      </c>
      <c r="P917">
        <v>20</v>
      </c>
      <c r="S917" t="str">
        <f>"BANCO C6 (149)"</f>
        <v>BANCO C6 (149)</v>
      </c>
      <c r="T917">
        <v>30289</v>
      </c>
      <c r="U917">
        <v>33958</v>
      </c>
      <c r="V917" t="s">
        <v>37</v>
      </c>
    </row>
    <row r="918" spans="1:22">
      <c r="A918" t="str">
        <f t="shared" si="178"/>
        <v>05/03/2026</v>
      </c>
      <c r="B918" t="str">
        <f t="shared" si="180"/>
        <v>SAÍDA</v>
      </c>
      <c r="C918" t="str">
        <f t="shared" si="183"/>
        <v>PIX</v>
      </c>
      <c r="D918" t="str">
        <f>"33840"</f>
        <v>33840</v>
      </c>
      <c r="E918" t="str">
        <f t="shared" si="184"/>
        <v>1</v>
      </c>
      <c r="F918" t="str">
        <f t="shared" si="182"/>
        <v>COM</v>
      </c>
      <c r="G918" t="str">
        <f>"ANNIELLE CRISTIANE SILVA BARBOSA GOMES (1228)"</f>
        <v>ANNIELLE CRISTIANE SILVA BARBOSA GOMES (1228)</v>
      </c>
      <c r="H918" t="s">
        <v>302</v>
      </c>
      <c r="I918" t="str">
        <f t="shared" si="181"/>
        <v>05/03/2026</v>
      </c>
      <c r="J918" t="str">
        <f t="shared" si="185"/>
        <v>02/03/2026</v>
      </c>
      <c r="K918">
        <v>46086</v>
      </c>
      <c r="N918">
        <v>109</v>
      </c>
      <c r="O918" t="s">
        <v>27</v>
      </c>
      <c r="Q918">
        <v>19.87</v>
      </c>
      <c r="R918" t="str">
        <f>"BEM TE FAZ LOJA 7 (10285)"</f>
        <v>BEM TE FAZ LOJA 7 (10285)</v>
      </c>
      <c r="S918" t="s">
        <v>37</v>
      </c>
      <c r="T918">
        <v>30289</v>
      </c>
      <c r="U918">
        <v>33958</v>
      </c>
      <c r="V918" t="s">
        <v>37</v>
      </c>
    </row>
    <row r="919" spans="1:22">
      <c r="A919" t="str">
        <f t="shared" si="178"/>
        <v>05/03/2026</v>
      </c>
      <c r="B919" t="str">
        <f t="shared" si="180"/>
        <v>SAÍDA</v>
      </c>
      <c r="C919" t="str">
        <f t="shared" si="183"/>
        <v>PIX</v>
      </c>
      <c r="D919" t="str">
        <f>"33840"</f>
        <v>33840</v>
      </c>
      <c r="E919" t="str">
        <f t="shared" si="184"/>
        <v>1</v>
      </c>
      <c r="F919" t="str">
        <f t="shared" si="182"/>
        <v>COM</v>
      </c>
      <c r="G919" t="str">
        <f>"ANNIELLE CRISTIANE SILVA BARBOSA GOMES (1228)"</f>
        <v>ANNIELLE CRISTIANE SILVA BARBOSA GOMES (1228)</v>
      </c>
      <c r="H919" t="s">
        <v>302</v>
      </c>
      <c r="I919" t="str">
        <f t="shared" si="181"/>
        <v>05/03/2026</v>
      </c>
      <c r="J919" t="str">
        <f t="shared" si="185"/>
        <v>02/03/2026</v>
      </c>
      <c r="K919">
        <v>46086</v>
      </c>
      <c r="N919">
        <v>109</v>
      </c>
      <c r="O919" t="s">
        <v>27</v>
      </c>
      <c r="Q919">
        <v>0.13</v>
      </c>
      <c r="R919" t="str">
        <f>"BEM TE FAZ LOJA 8 (10297)"</f>
        <v>BEM TE FAZ LOJA 8 (10297)</v>
      </c>
      <c r="S919" t="s">
        <v>37</v>
      </c>
      <c r="T919">
        <v>30289</v>
      </c>
      <c r="U919">
        <v>33958</v>
      </c>
      <c r="V919" t="s">
        <v>37</v>
      </c>
    </row>
    <row r="920" spans="1:22">
      <c r="A920" t="str">
        <f t="shared" si="178"/>
        <v>05/03/2026</v>
      </c>
      <c r="B920" t="str">
        <f t="shared" si="180"/>
        <v>SAÍDA</v>
      </c>
      <c r="C920" t="str">
        <f t="shared" si="183"/>
        <v>PIX</v>
      </c>
      <c r="D920" t="str">
        <f>"33962"</f>
        <v>33962</v>
      </c>
      <c r="E920" t="str">
        <f t="shared" si="184"/>
        <v>1</v>
      </c>
      <c r="F920" t="str">
        <f t="shared" si="182"/>
        <v>COM</v>
      </c>
      <c r="G920" t="str">
        <f>"RODRIGO TEIXEIRA ROCHA (1007)"</f>
        <v>RODRIGO TEIXEIRA ROCHA (1007)</v>
      </c>
      <c r="H920" t="str">
        <f>"Serv.Prest. 23/02/2026 a 01/03/2026 - PIX: CPF - CHAVE: 506.934.998-85"</f>
        <v>Serv.Prest. 23/02/2026 a 01/03/2026 - PIX: CPF - CHAVE: 506.934.998-85</v>
      </c>
      <c r="I920" t="str">
        <f t="shared" si="181"/>
        <v>05/03/2026</v>
      </c>
      <c r="J920" t="str">
        <f t="shared" ref="J920:J951" si="186">("03/03/2026")</f>
        <v>03/03/2026</v>
      </c>
      <c r="K920" t="str">
        <f>("05/03/2026")</f>
        <v>05/03/2026</v>
      </c>
      <c r="L920">
        <v>1100</v>
      </c>
      <c r="M920">
        <v>1100</v>
      </c>
      <c r="N920">
        <v>109</v>
      </c>
      <c r="O920" t="str">
        <f>"PAGAMENTO DE ENTREGADORES"</f>
        <v>PAGAMENTO DE ENTREGADORES</v>
      </c>
      <c r="P920">
        <v>1100</v>
      </c>
      <c r="S920" t="str">
        <f>"BANCO C6 (149)"</f>
        <v>BANCO C6 (149)</v>
      </c>
      <c r="T920">
        <v>30290</v>
      </c>
      <c r="U920">
        <v>33962</v>
      </c>
      <c r="V920" t="s">
        <v>37</v>
      </c>
    </row>
    <row r="921" spans="1:22">
      <c r="A921" t="str">
        <f t="shared" si="178"/>
        <v>05/03/2026</v>
      </c>
      <c r="B921" t="str">
        <f t="shared" si="180"/>
        <v>SAÍDA</v>
      </c>
      <c r="C921" t="str">
        <f t="shared" si="183"/>
        <v>PIX</v>
      </c>
      <c r="D921" t="str">
        <f>"33962"</f>
        <v>33962</v>
      </c>
      <c r="E921" t="str">
        <f t="shared" si="184"/>
        <v>1</v>
      </c>
      <c r="F921" t="str">
        <f t="shared" si="182"/>
        <v>COM</v>
      </c>
      <c r="G921" t="str">
        <f>"RODRIGO TEIXEIRA ROCHA (1007)"</f>
        <v>RODRIGO TEIXEIRA ROCHA (1007)</v>
      </c>
      <c r="H921" t="s">
        <v>364</v>
      </c>
      <c r="I921" t="str">
        <f t="shared" si="181"/>
        <v>05/03/2026</v>
      </c>
      <c r="J921" t="str">
        <f t="shared" si="186"/>
        <v>03/03/2026</v>
      </c>
      <c r="K921">
        <v>46086</v>
      </c>
      <c r="N921">
        <v>109</v>
      </c>
      <c r="O921" t="s">
        <v>27</v>
      </c>
      <c r="Q921">
        <v>1100</v>
      </c>
      <c r="R921" t="str">
        <f>"PENSE FARMA 46 (10194)"</f>
        <v>PENSE FARMA 46 (10194)</v>
      </c>
      <c r="S921" t="s">
        <v>37</v>
      </c>
      <c r="T921">
        <v>30290</v>
      </c>
      <c r="U921">
        <v>33962</v>
      </c>
      <c r="V921" t="s">
        <v>37</v>
      </c>
    </row>
    <row r="922" spans="1:22">
      <c r="A922" t="str">
        <f t="shared" si="178"/>
        <v>05/03/2026</v>
      </c>
      <c r="B922" t="str">
        <f t="shared" si="180"/>
        <v>SAÍDA</v>
      </c>
      <c r="C922" t="str">
        <f t="shared" si="183"/>
        <v>PIX</v>
      </c>
      <c r="D922" t="str">
        <f>"33964"</f>
        <v>33964</v>
      </c>
      <c r="E922" t="str">
        <f t="shared" si="184"/>
        <v>1</v>
      </c>
      <c r="F922" t="str">
        <f t="shared" si="182"/>
        <v>COM</v>
      </c>
      <c r="G922" t="str">
        <f>"ANTONIO HIPPOLITO (1351)"</f>
        <v>ANTONIO HIPPOLITO (1351)</v>
      </c>
      <c r="H922" t="str">
        <f>"Serv.Prest. 23/02/2026 a 01/03/2026 - PIX: CPF - CHAVE: 293.775.028-10"</f>
        <v>Serv.Prest. 23/02/2026 a 01/03/2026 - PIX: CPF - CHAVE: 293.775.028-10</v>
      </c>
      <c r="I922" t="str">
        <f t="shared" si="181"/>
        <v>05/03/2026</v>
      </c>
      <c r="J922" t="str">
        <f t="shared" si="186"/>
        <v>03/03/2026</v>
      </c>
      <c r="K922" t="str">
        <f>("05/03/2026")</f>
        <v>05/03/2026</v>
      </c>
      <c r="L922">
        <v>100</v>
      </c>
      <c r="M922">
        <v>100</v>
      </c>
      <c r="N922">
        <v>109</v>
      </c>
      <c r="O922" t="str">
        <f>"PAGAMENTO DE ENTREGADORES"</f>
        <v>PAGAMENTO DE ENTREGADORES</v>
      </c>
      <c r="P922">
        <v>100</v>
      </c>
      <c r="S922" t="str">
        <f>"BANCO C6 (149)"</f>
        <v>BANCO C6 (149)</v>
      </c>
      <c r="T922">
        <v>30291</v>
      </c>
      <c r="U922">
        <v>33964</v>
      </c>
      <c r="V922" t="s">
        <v>37</v>
      </c>
    </row>
    <row r="923" spans="1:22">
      <c r="A923" t="str">
        <f t="shared" si="178"/>
        <v>05/03/2026</v>
      </c>
      <c r="B923" t="str">
        <f t="shared" si="180"/>
        <v>SAÍDA</v>
      </c>
      <c r="C923" t="str">
        <f t="shared" si="183"/>
        <v>PIX</v>
      </c>
      <c r="D923" t="str">
        <f>"33964"</f>
        <v>33964</v>
      </c>
      <c r="E923" t="str">
        <f t="shared" si="184"/>
        <v>1</v>
      </c>
      <c r="F923" t="str">
        <f t="shared" si="182"/>
        <v>COM</v>
      </c>
      <c r="G923" t="str">
        <f>"ANTONIO HIPPOLITO (1351)"</f>
        <v>ANTONIO HIPPOLITO (1351)</v>
      </c>
      <c r="H923" t="s">
        <v>365</v>
      </c>
      <c r="I923" t="str">
        <f t="shared" si="181"/>
        <v>05/03/2026</v>
      </c>
      <c r="J923" t="str">
        <f t="shared" si="186"/>
        <v>03/03/2026</v>
      </c>
      <c r="K923">
        <v>46086</v>
      </c>
      <c r="N923">
        <v>109</v>
      </c>
      <c r="O923" t="s">
        <v>27</v>
      </c>
      <c r="Q923">
        <v>100</v>
      </c>
      <c r="R923" t="str">
        <f>"PENSE FARMA 44 (10231)"</f>
        <v>PENSE FARMA 44 (10231)</v>
      </c>
      <c r="S923" t="s">
        <v>37</v>
      </c>
      <c r="T923">
        <v>30291</v>
      </c>
      <c r="U923">
        <v>33964</v>
      </c>
      <c r="V923" t="s">
        <v>37</v>
      </c>
    </row>
    <row r="924" spans="1:22">
      <c r="A924" t="str">
        <f t="shared" si="178"/>
        <v>05/03/2026</v>
      </c>
      <c r="B924" t="str">
        <f t="shared" si="180"/>
        <v>SAÍDA</v>
      </c>
      <c r="C924" t="str">
        <f t="shared" si="183"/>
        <v>PIX</v>
      </c>
      <c r="D924" t="str">
        <f>"33965"</f>
        <v>33965</v>
      </c>
      <c r="E924" t="str">
        <f t="shared" si="184"/>
        <v>1</v>
      </c>
      <c r="F924" t="str">
        <f t="shared" si="182"/>
        <v>COM</v>
      </c>
      <c r="G924" t="str">
        <f>"MARCOS VINICIUS CORREIA JULI??O (1001)"</f>
        <v>MARCOS VINICIUS CORREIA JULI??O (1001)</v>
      </c>
      <c r="H924" t="str">
        <f>"Serv.Prest. 23/02/2026 a 01/03/2026 - PIX: CELULAR - CHAVE: (11) 98144-5840"</f>
        <v>Serv.Prest. 23/02/2026 a 01/03/2026 - PIX: CELULAR - CHAVE: (11) 98144-5840</v>
      </c>
      <c r="I924" t="str">
        <f t="shared" si="181"/>
        <v>05/03/2026</v>
      </c>
      <c r="J924" t="str">
        <f t="shared" si="186"/>
        <v>03/03/2026</v>
      </c>
      <c r="K924" t="str">
        <f>("05/03/2026")</f>
        <v>05/03/2026</v>
      </c>
      <c r="L924">
        <v>590</v>
      </c>
      <c r="M924">
        <v>590</v>
      </c>
      <c r="N924">
        <v>109</v>
      </c>
      <c r="O924" t="str">
        <f>"PAGAMENTO DE ENTREGADORES"</f>
        <v>PAGAMENTO DE ENTREGADORES</v>
      </c>
      <c r="P924">
        <v>590</v>
      </c>
      <c r="S924" t="str">
        <f>"BANCO C6 (149)"</f>
        <v>BANCO C6 (149)</v>
      </c>
      <c r="T924">
        <v>30292</v>
      </c>
      <c r="U924">
        <v>33965</v>
      </c>
      <c r="V924" t="s">
        <v>37</v>
      </c>
    </row>
    <row r="925" spans="1:22">
      <c r="A925" t="str">
        <f t="shared" si="178"/>
        <v>05/03/2026</v>
      </c>
      <c r="B925" t="str">
        <f t="shared" si="180"/>
        <v>SAÍDA</v>
      </c>
      <c r="C925" t="str">
        <f t="shared" si="183"/>
        <v>PIX</v>
      </c>
      <c r="D925" t="str">
        <f>"33965"</f>
        <v>33965</v>
      </c>
      <c r="E925" t="str">
        <f t="shared" si="184"/>
        <v>1</v>
      </c>
      <c r="F925" t="str">
        <f t="shared" si="182"/>
        <v>COM</v>
      </c>
      <c r="G925" t="str">
        <f>"MARCOS VINICIUS CORREIA JULI??O (1001)"</f>
        <v>MARCOS VINICIUS CORREIA JULI??O (1001)</v>
      </c>
      <c r="H925" t="s">
        <v>366</v>
      </c>
      <c r="I925" t="str">
        <f t="shared" si="181"/>
        <v>05/03/2026</v>
      </c>
      <c r="J925" t="str">
        <f t="shared" si="186"/>
        <v>03/03/2026</v>
      </c>
      <c r="K925">
        <v>46086</v>
      </c>
      <c r="N925">
        <v>109</v>
      </c>
      <c r="O925" t="s">
        <v>27</v>
      </c>
      <c r="Q925">
        <v>295</v>
      </c>
      <c r="R925" t="str">
        <f>"PENSE FARMA 44 (10231)"</f>
        <v>PENSE FARMA 44 (10231)</v>
      </c>
      <c r="S925" t="s">
        <v>37</v>
      </c>
      <c r="T925">
        <v>30292</v>
      </c>
      <c r="U925">
        <v>33965</v>
      </c>
      <c r="V925" t="s">
        <v>37</v>
      </c>
    </row>
    <row r="926" spans="1:22">
      <c r="A926" t="str">
        <f t="shared" si="178"/>
        <v>05/03/2026</v>
      </c>
      <c r="B926" t="str">
        <f t="shared" si="180"/>
        <v>SAÍDA</v>
      </c>
      <c r="C926" t="str">
        <f t="shared" si="183"/>
        <v>PIX</v>
      </c>
      <c r="D926" t="str">
        <f>"33965"</f>
        <v>33965</v>
      </c>
      <c r="E926" t="str">
        <f t="shared" si="184"/>
        <v>1</v>
      </c>
      <c r="F926" t="str">
        <f t="shared" si="182"/>
        <v>COM</v>
      </c>
      <c r="G926" t="str">
        <f>"MARCOS VINICIUS CORREIA JULI??O (1001)"</f>
        <v>MARCOS VINICIUS CORREIA JULI??O (1001)</v>
      </c>
      <c r="H926" t="s">
        <v>366</v>
      </c>
      <c r="I926" t="str">
        <f t="shared" si="181"/>
        <v>05/03/2026</v>
      </c>
      <c r="J926" t="str">
        <f t="shared" si="186"/>
        <v>03/03/2026</v>
      </c>
      <c r="K926">
        <v>46086</v>
      </c>
      <c r="N926">
        <v>109</v>
      </c>
      <c r="O926" t="s">
        <v>27</v>
      </c>
      <c r="Q926">
        <v>295</v>
      </c>
      <c r="R926" t="str">
        <f>"PENSE FARMA 48 (10233)"</f>
        <v>PENSE FARMA 48 (10233)</v>
      </c>
      <c r="S926" t="s">
        <v>37</v>
      </c>
      <c r="T926">
        <v>30292</v>
      </c>
      <c r="U926">
        <v>33965</v>
      </c>
      <c r="V926" t="s">
        <v>37</v>
      </c>
    </row>
    <row r="927" spans="1:22">
      <c r="A927" t="str">
        <f t="shared" si="178"/>
        <v>05/03/2026</v>
      </c>
      <c r="B927" t="str">
        <f t="shared" si="180"/>
        <v>SAÍDA</v>
      </c>
      <c r="C927" t="str">
        <f t="shared" si="183"/>
        <v>PIX</v>
      </c>
      <c r="D927" t="str">
        <f>"33966"</f>
        <v>33966</v>
      </c>
      <c r="E927" t="str">
        <f t="shared" si="184"/>
        <v>1</v>
      </c>
      <c r="F927" t="str">
        <f t="shared" si="182"/>
        <v>COM</v>
      </c>
      <c r="G927" t="str">
        <f>"VICTOR HUGO SOARES DE PAULA (1021)"</f>
        <v>VICTOR HUGO SOARES DE PAULA (1021)</v>
      </c>
      <c r="H927" t="str">
        <f>"Serv.Prest. 23/02/2026 A 01/03/2026 - PIX: CELULAR - CHAVE: (11) 98281-4526"</f>
        <v>Serv.Prest. 23/02/2026 A 01/03/2026 - PIX: CELULAR - CHAVE: (11) 98281-4526</v>
      </c>
      <c r="I927" t="str">
        <f t="shared" si="181"/>
        <v>05/03/2026</v>
      </c>
      <c r="J927" t="str">
        <f t="shared" si="186"/>
        <v>03/03/2026</v>
      </c>
      <c r="K927" t="str">
        <f>("05/03/2026")</f>
        <v>05/03/2026</v>
      </c>
      <c r="L927">
        <v>2015</v>
      </c>
      <c r="M927">
        <v>2015</v>
      </c>
      <c r="N927">
        <v>109</v>
      </c>
      <c r="O927" t="str">
        <f>"PAGAMENTO DE ENTREGADORES"</f>
        <v>PAGAMENTO DE ENTREGADORES</v>
      </c>
      <c r="P927">
        <v>2015</v>
      </c>
      <c r="S927" t="str">
        <f>"BANCO C6 (149)"</f>
        <v>BANCO C6 (149)</v>
      </c>
      <c r="T927">
        <v>30293</v>
      </c>
      <c r="U927">
        <v>33966</v>
      </c>
      <c r="V927" t="s">
        <v>37</v>
      </c>
    </row>
    <row r="928" spans="1:22">
      <c r="A928" t="str">
        <f t="shared" ref="A928:A991" si="187">("05/03/2026")</f>
        <v>05/03/2026</v>
      </c>
      <c r="B928" t="str">
        <f t="shared" si="180"/>
        <v>SAÍDA</v>
      </c>
      <c r="C928" t="str">
        <f t="shared" si="183"/>
        <v>PIX</v>
      </c>
      <c r="D928" t="str">
        <f>"33966"</f>
        <v>33966</v>
      </c>
      <c r="E928" t="str">
        <f t="shared" si="184"/>
        <v>1</v>
      </c>
      <c r="F928" t="str">
        <f t="shared" si="182"/>
        <v>COM</v>
      </c>
      <c r="G928" t="str">
        <f>"VICTOR HUGO SOARES DE PAULA (1021)"</f>
        <v>VICTOR HUGO SOARES DE PAULA (1021)</v>
      </c>
      <c r="H928" t="s">
        <v>367</v>
      </c>
      <c r="I928" t="str">
        <f t="shared" si="181"/>
        <v>05/03/2026</v>
      </c>
      <c r="J928" t="str">
        <f t="shared" si="186"/>
        <v>03/03/2026</v>
      </c>
      <c r="K928">
        <v>46086</v>
      </c>
      <c r="N928">
        <v>109</v>
      </c>
      <c r="O928" t="s">
        <v>27</v>
      </c>
      <c r="Q928">
        <v>1007.5</v>
      </c>
      <c r="R928" t="str">
        <f>"PENSE FARMA 44 (10231)"</f>
        <v>PENSE FARMA 44 (10231)</v>
      </c>
      <c r="S928" t="s">
        <v>37</v>
      </c>
      <c r="T928">
        <v>30293</v>
      </c>
      <c r="U928">
        <v>33966</v>
      </c>
      <c r="V928" t="s">
        <v>37</v>
      </c>
    </row>
    <row r="929" spans="1:22">
      <c r="A929" t="str">
        <f t="shared" si="187"/>
        <v>05/03/2026</v>
      </c>
      <c r="B929" t="str">
        <f t="shared" si="180"/>
        <v>SAÍDA</v>
      </c>
      <c r="C929" t="str">
        <f t="shared" si="183"/>
        <v>PIX</v>
      </c>
      <c r="D929" t="str">
        <f>"33966"</f>
        <v>33966</v>
      </c>
      <c r="E929" t="str">
        <f t="shared" si="184"/>
        <v>1</v>
      </c>
      <c r="F929" t="str">
        <f t="shared" si="182"/>
        <v>COM</v>
      </c>
      <c r="G929" t="str">
        <f>"VICTOR HUGO SOARES DE PAULA (1021)"</f>
        <v>VICTOR HUGO SOARES DE PAULA (1021)</v>
      </c>
      <c r="H929" t="s">
        <v>367</v>
      </c>
      <c r="I929" t="str">
        <f t="shared" si="181"/>
        <v>05/03/2026</v>
      </c>
      <c r="J929" t="str">
        <f t="shared" si="186"/>
        <v>03/03/2026</v>
      </c>
      <c r="K929">
        <v>46086</v>
      </c>
      <c r="N929">
        <v>109</v>
      </c>
      <c r="O929" t="s">
        <v>27</v>
      </c>
      <c r="Q929">
        <v>1007.5</v>
      </c>
      <c r="R929" t="str">
        <f>"PENSE FARMA 48 (10233)"</f>
        <v>PENSE FARMA 48 (10233)</v>
      </c>
      <c r="S929" t="s">
        <v>37</v>
      </c>
      <c r="T929">
        <v>30293</v>
      </c>
      <c r="U929">
        <v>33966</v>
      </c>
      <c r="V929" t="s">
        <v>37</v>
      </c>
    </row>
    <row r="930" spans="1:22">
      <c r="A930" t="str">
        <f t="shared" si="187"/>
        <v>05/03/2026</v>
      </c>
      <c r="B930" t="str">
        <f t="shared" si="180"/>
        <v>SAÍDA</v>
      </c>
      <c r="C930" t="str">
        <f t="shared" si="183"/>
        <v>PIX</v>
      </c>
      <c r="D930" t="str">
        <f>"33968"</f>
        <v>33968</v>
      </c>
      <c r="E930" t="str">
        <f t="shared" si="184"/>
        <v>1</v>
      </c>
      <c r="F930" t="str">
        <f t="shared" si="182"/>
        <v>COM</v>
      </c>
      <c r="G930" t="str">
        <f>"ALAN COSTA SILVA (994)"</f>
        <v>ALAN COSTA SILVA (994)</v>
      </c>
      <c r="H930" t="str">
        <f>"Serv.Prest. 23/02/2026 a 01/03/2026 - PIX: CELULAR - CHAVE: (11) 98484-6837"</f>
        <v>Serv.Prest. 23/02/2026 a 01/03/2026 - PIX: CELULAR - CHAVE: (11) 98484-6837</v>
      </c>
      <c r="I930" t="str">
        <f t="shared" si="181"/>
        <v>05/03/2026</v>
      </c>
      <c r="J930" t="str">
        <f t="shared" si="186"/>
        <v>03/03/2026</v>
      </c>
      <c r="K930" t="str">
        <f>("05/03/2026")</f>
        <v>05/03/2026</v>
      </c>
      <c r="L930">
        <v>945</v>
      </c>
      <c r="M930">
        <v>945</v>
      </c>
      <c r="N930">
        <v>109</v>
      </c>
      <c r="O930" t="str">
        <f>"PAGAMENTO DE ENTREGADORES"</f>
        <v>PAGAMENTO DE ENTREGADORES</v>
      </c>
      <c r="P930">
        <v>945</v>
      </c>
      <c r="S930" t="str">
        <f>"BANCO C6 (149)"</f>
        <v>BANCO C6 (149)</v>
      </c>
      <c r="T930">
        <v>30294</v>
      </c>
      <c r="U930">
        <v>33968</v>
      </c>
      <c r="V930" t="s">
        <v>37</v>
      </c>
    </row>
    <row r="931" spans="1:22">
      <c r="A931" t="str">
        <f t="shared" si="187"/>
        <v>05/03/2026</v>
      </c>
      <c r="B931" t="str">
        <f t="shared" si="180"/>
        <v>SAÍDA</v>
      </c>
      <c r="C931" t="str">
        <f t="shared" si="183"/>
        <v>PIX</v>
      </c>
      <c r="D931" t="str">
        <f>"33968"</f>
        <v>33968</v>
      </c>
      <c r="E931" t="str">
        <f t="shared" si="184"/>
        <v>1</v>
      </c>
      <c r="F931" t="str">
        <f t="shared" si="182"/>
        <v>COM</v>
      </c>
      <c r="G931" t="str">
        <f>"ALAN COSTA SILVA (994)"</f>
        <v>ALAN COSTA SILVA (994)</v>
      </c>
      <c r="H931" t="s">
        <v>368</v>
      </c>
      <c r="I931" t="str">
        <f t="shared" si="181"/>
        <v>05/03/2026</v>
      </c>
      <c r="J931" t="str">
        <f t="shared" si="186"/>
        <v>03/03/2026</v>
      </c>
      <c r="K931">
        <v>46086</v>
      </c>
      <c r="N931">
        <v>109</v>
      </c>
      <c r="O931" t="s">
        <v>27</v>
      </c>
      <c r="Q931">
        <v>945</v>
      </c>
      <c r="R931" t="str">
        <f>"PENSE FARMA 19 (10223)"</f>
        <v>PENSE FARMA 19 (10223)</v>
      </c>
      <c r="S931" t="s">
        <v>37</v>
      </c>
      <c r="T931">
        <v>30294</v>
      </c>
      <c r="U931">
        <v>33968</v>
      </c>
      <c r="V931" t="s">
        <v>37</v>
      </c>
    </row>
    <row r="932" spans="1:22">
      <c r="A932" t="str">
        <f t="shared" si="187"/>
        <v>05/03/2026</v>
      </c>
      <c r="B932" t="str">
        <f t="shared" si="180"/>
        <v>SAÍDA</v>
      </c>
      <c r="C932" t="str">
        <f t="shared" si="183"/>
        <v>PIX</v>
      </c>
      <c r="D932" t="str">
        <f>"33969"</f>
        <v>33969</v>
      </c>
      <c r="E932" t="str">
        <f t="shared" si="184"/>
        <v>1</v>
      </c>
      <c r="F932" t="str">
        <f t="shared" si="182"/>
        <v>COM</v>
      </c>
      <c r="G932" t="str">
        <f>"ANDREA VOLPONI (1004)"</f>
        <v>ANDREA VOLPONI (1004)</v>
      </c>
      <c r="H932" t="str">
        <f>"Serv.Prest. 23/02/2026 a 01/03/2026 - PIX: CPF - CHAVE: 361.750.258-06"</f>
        <v>Serv.Prest. 23/02/2026 a 01/03/2026 - PIX: CPF - CHAVE: 361.750.258-06</v>
      </c>
      <c r="I932" t="str">
        <f t="shared" si="181"/>
        <v>05/03/2026</v>
      </c>
      <c r="J932" t="str">
        <f t="shared" si="186"/>
        <v>03/03/2026</v>
      </c>
      <c r="K932" t="str">
        <f>("05/03/2026")</f>
        <v>05/03/2026</v>
      </c>
      <c r="L932">
        <v>800</v>
      </c>
      <c r="M932">
        <v>800</v>
      </c>
      <c r="N932">
        <v>109</v>
      </c>
      <c r="O932" t="str">
        <f>"PAGAMENTO DE ENTREGADORES"</f>
        <v>PAGAMENTO DE ENTREGADORES</v>
      </c>
      <c r="P932">
        <v>800</v>
      </c>
      <c r="S932" t="str">
        <f>"BANCO C6 (149)"</f>
        <v>BANCO C6 (149)</v>
      </c>
      <c r="T932">
        <v>30295</v>
      </c>
      <c r="U932">
        <v>33969</v>
      </c>
      <c r="V932" t="s">
        <v>37</v>
      </c>
    </row>
    <row r="933" spans="1:22">
      <c r="A933" t="str">
        <f t="shared" si="187"/>
        <v>05/03/2026</v>
      </c>
      <c r="B933" t="str">
        <f t="shared" si="180"/>
        <v>SAÍDA</v>
      </c>
      <c r="C933" t="str">
        <f t="shared" si="183"/>
        <v>PIX</v>
      </c>
      <c r="D933" t="str">
        <f>"33969"</f>
        <v>33969</v>
      </c>
      <c r="E933" t="str">
        <f t="shared" si="184"/>
        <v>1</v>
      </c>
      <c r="F933" t="str">
        <f t="shared" si="182"/>
        <v>COM</v>
      </c>
      <c r="G933" t="str">
        <f>"ANDREA VOLPONI (1004)"</f>
        <v>ANDREA VOLPONI (1004)</v>
      </c>
      <c r="H933" t="s">
        <v>369</v>
      </c>
      <c r="I933" t="str">
        <f t="shared" si="181"/>
        <v>05/03/2026</v>
      </c>
      <c r="J933" t="str">
        <f t="shared" si="186"/>
        <v>03/03/2026</v>
      </c>
      <c r="K933">
        <v>46086</v>
      </c>
      <c r="N933">
        <v>109</v>
      </c>
      <c r="O933" t="s">
        <v>27</v>
      </c>
      <c r="Q933">
        <v>800</v>
      </c>
      <c r="R933" t="str">
        <f>"PENSE FARMA 19 (10223)"</f>
        <v>PENSE FARMA 19 (10223)</v>
      </c>
      <c r="S933" t="s">
        <v>37</v>
      </c>
      <c r="T933">
        <v>30295</v>
      </c>
      <c r="U933">
        <v>33969</v>
      </c>
      <c r="V933" t="s">
        <v>37</v>
      </c>
    </row>
    <row r="934" spans="1:22">
      <c r="A934" t="str">
        <f t="shared" si="187"/>
        <v>05/03/2026</v>
      </c>
      <c r="B934" t="str">
        <f t="shared" si="180"/>
        <v>SAÍDA</v>
      </c>
      <c r="C934" t="str">
        <f t="shared" si="183"/>
        <v>PIX</v>
      </c>
      <c r="D934" t="str">
        <f t="shared" ref="D934:D940" si="188">"33972"</f>
        <v>33972</v>
      </c>
      <c r="E934" t="str">
        <f t="shared" si="184"/>
        <v>1</v>
      </c>
      <c r="F934" t="str">
        <f t="shared" si="182"/>
        <v>COM</v>
      </c>
      <c r="G934" t="str">
        <f t="shared" ref="G934:G940" si="189">"FELIPE ALEXANDRE CAMA (976)"</f>
        <v>FELIPE ALEXANDRE CAMA (976)</v>
      </c>
      <c r="H934" t="str">
        <f>"Serv.Prest. 23/02/2026 a 01/03/2026 - PIX: CPF - CHAVE: 471.142.438-55"</f>
        <v>Serv.Prest. 23/02/2026 a 01/03/2026 - PIX: CPF - CHAVE: 471.142.438-55</v>
      </c>
      <c r="I934" t="str">
        <f t="shared" si="181"/>
        <v>05/03/2026</v>
      </c>
      <c r="J934" t="str">
        <f t="shared" si="186"/>
        <v>03/03/2026</v>
      </c>
      <c r="K934" t="str">
        <f>("05/03/2026")</f>
        <v>05/03/2026</v>
      </c>
      <c r="L934">
        <v>1325</v>
      </c>
      <c r="M934">
        <v>1325</v>
      </c>
      <c r="N934">
        <v>109</v>
      </c>
      <c r="O934" t="str">
        <f>"PAGAMENTO DE ENTREGADORES"</f>
        <v>PAGAMENTO DE ENTREGADORES</v>
      </c>
      <c r="P934">
        <v>1325</v>
      </c>
      <c r="S934" t="str">
        <f>"BANCO C6 (149)"</f>
        <v>BANCO C6 (149)</v>
      </c>
      <c r="T934">
        <v>30296</v>
      </c>
      <c r="U934">
        <v>33972</v>
      </c>
      <c r="V934" t="s">
        <v>37</v>
      </c>
    </row>
    <row r="935" spans="1:22">
      <c r="A935" t="str">
        <f t="shared" si="187"/>
        <v>05/03/2026</v>
      </c>
      <c r="B935" t="str">
        <f t="shared" si="180"/>
        <v>SAÍDA</v>
      </c>
      <c r="C935" t="str">
        <f t="shared" si="183"/>
        <v>PIX</v>
      </c>
      <c r="D935" t="str">
        <f t="shared" si="188"/>
        <v>33972</v>
      </c>
      <c r="E935" t="str">
        <f t="shared" si="184"/>
        <v>1</v>
      </c>
      <c r="F935" t="str">
        <f t="shared" si="182"/>
        <v>COM</v>
      </c>
      <c r="G935" t="str">
        <f t="shared" si="189"/>
        <v>FELIPE ALEXANDRE CAMA (976)</v>
      </c>
      <c r="H935" t="s">
        <v>370</v>
      </c>
      <c r="I935" t="str">
        <f t="shared" si="181"/>
        <v>05/03/2026</v>
      </c>
      <c r="J935" t="str">
        <f t="shared" si="186"/>
        <v>03/03/2026</v>
      </c>
      <c r="K935">
        <v>46086</v>
      </c>
      <c r="N935">
        <v>109</v>
      </c>
      <c r="O935" t="s">
        <v>27</v>
      </c>
      <c r="Q935">
        <v>220.87</v>
      </c>
      <c r="R935" t="str">
        <f>"PENSE FARMA 20 (10203)"</f>
        <v>PENSE FARMA 20 (10203)</v>
      </c>
      <c r="S935" t="s">
        <v>37</v>
      </c>
      <c r="T935">
        <v>30296</v>
      </c>
      <c r="U935">
        <v>33972</v>
      </c>
      <c r="V935" t="s">
        <v>37</v>
      </c>
    </row>
    <row r="936" spans="1:22">
      <c r="A936" t="str">
        <f t="shared" si="187"/>
        <v>05/03/2026</v>
      </c>
      <c r="B936" t="str">
        <f t="shared" si="180"/>
        <v>SAÍDA</v>
      </c>
      <c r="C936" t="str">
        <f t="shared" si="183"/>
        <v>PIX</v>
      </c>
      <c r="D936" t="str">
        <f t="shared" si="188"/>
        <v>33972</v>
      </c>
      <c r="E936" t="str">
        <f t="shared" si="184"/>
        <v>1</v>
      </c>
      <c r="F936" t="str">
        <f t="shared" si="182"/>
        <v>COM</v>
      </c>
      <c r="G936" t="str">
        <f t="shared" si="189"/>
        <v>FELIPE ALEXANDRE CAMA (976)</v>
      </c>
      <c r="H936" t="s">
        <v>370</v>
      </c>
      <c r="I936" t="str">
        <f t="shared" si="181"/>
        <v>05/03/2026</v>
      </c>
      <c r="J936" t="str">
        <f t="shared" si="186"/>
        <v>03/03/2026</v>
      </c>
      <c r="K936">
        <v>46086</v>
      </c>
      <c r="N936">
        <v>109</v>
      </c>
      <c r="O936" t="s">
        <v>27</v>
      </c>
      <c r="Q936">
        <v>220.88</v>
      </c>
      <c r="R936" t="str">
        <f>"PENSE FARMA 36 (10206)"</f>
        <v>PENSE FARMA 36 (10206)</v>
      </c>
      <c r="S936" t="s">
        <v>37</v>
      </c>
      <c r="T936">
        <v>30296</v>
      </c>
      <c r="U936">
        <v>33972</v>
      </c>
      <c r="V936" t="s">
        <v>37</v>
      </c>
    </row>
    <row r="937" spans="1:22">
      <c r="A937" t="str">
        <f t="shared" si="187"/>
        <v>05/03/2026</v>
      </c>
      <c r="B937" t="str">
        <f t="shared" si="180"/>
        <v>SAÍDA</v>
      </c>
      <c r="C937" t="str">
        <f t="shared" si="183"/>
        <v>PIX</v>
      </c>
      <c r="D937" t="str">
        <f t="shared" si="188"/>
        <v>33972</v>
      </c>
      <c r="E937" t="str">
        <f t="shared" si="184"/>
        <v>1</v>
      </c>
      <c r="F937" t="str">
        <f t="shared" si="182"/>
        <v>COM</v>
      </c>
      <c r="G937" t="str">
        <f t="shared" si="189"/>
        <v>FELIPE ALEXANDRE CAMA (976)</v>
      </c>
      <c r="H937" t="s">
        <v>370</v>
      </c>
      <c r="I937" t="str">
        <f t="shared" si="181"/>
        <v>05/03/2026</v>
      </c>
      <c r="J937" t="str">
        <f t="shared" si="186"/>
        <v>03/03/2026</v>
      </c>
      <c r="K937">
        <v>46086</v>
      </c>
      <c r="N937">
        <v>109</v>
      </c>
      <c r="O937" t="s">
        <v>27</v>
      </c>
      <c r="Q937">
        <v>220.88</v>
      </c>
      <c r="R937" t="str">
        <f>"PENSE FARMA 40 (10207)"</f>
        <v>PENSE FARMA 40 (10207)</v>
      </c>
      <c r="S937" t="s">
        <v>37</v>
      </c>
      <c r="T937">
        <v>30296</v>
      </c>
      <c r="U937">
        <v>33972</v>
      </c>
      <c r="V937" t="s">
        <v>37</v>
      </c>
    </row>
    <row r="938" spans="1:22">
      <c r="A938" t="str">
        <f t="shared" si="187"/>
        <v>05/03/2026</v>
      </c>
      <c r="B938" t="str">
        <f t="shared" si="180"/>
        <v>SAÍDA</v>
      </c>
      <c r="C938" t="str">
        <f t="shared" si="183"/>
        <v>PIX</v>
      </c>
      <c r="D938" t="str">
        <f t="shared" si="188"/>
        <v>33972</v>
      </c>
      <c r="E938" t="str">
        <f t="shared" si="184"/>
        <v>1</v>
      </c>
      <c r="F938" t="str">
        <f t="shared" si="182"/>
        <v>COM</v>
      </c>
      <c r="G938" t="str">
        <f t="shared" si="189"/>
        <v>FELIPE ALEXANDRE CAMA (976)</v>
      </c>
      <c r="H938" t="s">
        <v>370</v>
      </c>
      <c r="I938" t="str">
        <f t="shared" si="181"/>
        <v>05/03/2026</v>
      </c>
      <c r="J938" t="str">
        <f t="shared" si="186"/>
        <v>03/03/2026</v>
      </c>
      <c r="K938">
        <v>46086</v>
      </c>
      <c r="N938">
        <v>109</v>
      </c>
      <c r="O938" t="s">
        <v>27</v>
      </c>
      <c r="Q938">
        <v>220.88</v>
      </c>
      <c r="R938" t="str">
        <f>"PENSE FARMA 43 (10208)"</f>
        <v>PENSE FARMA 43 (10208)</v>
      </c>
      <c r="S938" t="s">
        <v>37</v>
      </c>
      <c r="T938">
        <v>30296</v>
      </c>
      <c r="U938">
        <v>33972</v>
      </c>
      <c r="V938" t="s">
        <v>37</v>
      </c>
    </row>
    <row r="939" spans="1:22">
      <c r="A939" t="str">
        <f t="shared" si="187"/>
        <v>05/03/2026</v>
      </c>
      <c r="B939" t="str">
        <f t="shared" si="180"/>
        <v>SAÍDA</v>
      </c>
      <c r="C939" t="str">
        <f t="shared" si="183"/>
        <v>PIX</v>
      </c>
      <c r="D939" t="str">
        <f t="shared" si="188"/>
        <v>33972</v>
      </c>
      <c r="E939" t="str">
        <f t="shared" si="184"/>
        <v>1</v>
      </c>
      <c r="F939" t="str">
        <f t="shared" si="182"/>
        <v>COM</v>
      </c>
      <c r="G939" t="str">
        <f t="shared" si="189"/>
        <v>FELIPE ALEXANDRE CAMA (976)</v>
      </c>
      <c r="H939" t="s">
        <v>370</v>
      </c>
      <c r="I939" t="str">
        <f t="shared" si="181"/>
        <v>05/03/2026</v>
      </c>
      <c r="J939" t="str">
        <f t="shared" si="186"/>
        <v>03/03/2026</v>
      </c>
      <c r="K939">
        <v>46086</v>
      </c>
      <c r="N939">
        <v>109</v>
      </c>
      <c r="O939" t="s">
        <v>27</v>
      </c>
      <c r="Q939">
        <v>220.88</v>
      </c>
      <c r="R939" t="str">
        <f>"PENSE FARMA 59 (10211)"</f>
        <v>PENSE FARMA 59 (10211)</v>
      </c>
      <c r="S939" t="s">
        <v>37</v>
      </c>
      <c r="T939">
        <v>30296</v>
      </c>
      <c r="U939">
        <v>33972</v>
      </c>
      <c r="V939" t="s">
        <v>37</v>
      </c>
    </row>
    <row r="940" spans="1:22">
      <c r="A940" t="str">
        <f t="shared" si="187"/>
        <v>05/03/2026</v>
      </c>
      <c r="B940" t="str">
        <f t="shared" si="180"/>
        <v>SAÍDA</v>
      </c>
      <c r="C940" t="str">
        <f t="shared" si="183"/>
        <v>PIX</v>
      </c>
      <c r="D940" t="str">
        <f t="shared" si="188"/>
        <v>33972</v>
      </c>
      <c r="E940" t="str">
        <f t="shared" si="184"/>
        <v>1</v>
      </c>
      <c r="F940" t="str">
        <f t="shared" si="182"/>
        <v>COM</v>
      </c>
      <c r="G940" t="str">
        <f t="shared" si="189"/>
        <v>FELIPE ALEXANDRE CAMA (976)</v>
      </c>
      <c r="H940" t="s">
        <v>370</v>
      </c>
      <c r="I940" t="str">
        <f t="shared" si="181"/>
        <v>05/03/2026</v>
      </c>
      <c r="J940" t="str">
        <f t="shared" si="186"/>
        <v>03/03/2026</v>
      </c>
      <c r="K940">
        <v>46086</v>
      </c>
      <c r="N940">
        <v>109</v>
      </c>
      <c r="O940" t="s">
        <v>27</v>
      </c>
      <c r="Q940">
        <v>220.61</v>
      </c>
      <c r="R940" t="str">
        <f>"PENSE FARMA DARK STORE 361 (10212)"</f>
        <v>PENSE FARMA DARK STORE 361 (10212)</v>
      </c>
      <c r="S940" t="s">
        <v>37</v>
      </c>
      <c r="T940">
        <v>30296</v>
      </c>
      <c r="U940">
        <v>33972</v>
      </c>
      <c r="V940" t="s">
        <v>37</v>
      </c>
    </row>
    <row r="941" spans="1:22">
      <c r="A941" t="str">
        <f t="shared" si="187"/>
        <v>05/03/2026</v>
      </c>
      <c r="B941" t="str">
        <f t="shared" si="180"/>
        <v>SAÍDA</v>
      </c>
      <c r="C941" t="str">
        <f t="shared" si="183"/>
        <v>PIX</v>
      </c>
      <c r="D941" t="str">
        <f t="shared" ref="D941:D947" si="190">"33973"</f>
        <v>33973</v>
      </c>
      <c r="E941" t="str">
        <f t="shared" si="184"/>
        <v>1</v>
      </c>
      <c r="F941" t="str">
        <f t="shared" si="182"/>
        <v>COM</v>
      </c>
      <c r="G941" t="str">
        <f t="shared" ref="G941:G947" si="191">"JULIO GUIMARAES DOS SANTOS (977)"</f>
        <v>JULIO GUIMARAES DOS SANTOS (977)</v>
      </c>
      <c r="H941" t="str">
        <f>"Serv.Prest. 23/02/2026 a 01/03/2026 - PIX: CELULAR - CHAVE: (11) 94195-2534"</f>
        <v>Serv.Prest. 23/02/2026 a 01/03/2026 - PIX: CELULAR - CHAVE: (11) 94195-2534</v>
      </c>
      <c r="I941" t="str">
        <f t="shared" si="181"/>
        <v>05/03/2026</v>
      </c>
      <c r="J941" t="str">
        <f t="shared" si="186"/>
        <v>03/03/2026</v>
      </c>
      <c r="K941" t="str">
        <f>("05/03/2026")</f>
        <v>05/03/2026</v>
      </c>
      <c r="L941">
        <v>1325</v>
      </c>
      <c r="M941">
        <v>1325</v>
      </c>
      <c r="N941">
        <v>109</v>
      </c>
      <c r="O941" t="str">
        <f>"PAGAMENTO DE ENTREGADORES"</f>
        <v>PAGAMENTO DE ENTREGADORES</v>
      </c>
      <c r="P941">
        <v>1325</v>
      </c>
      <c r="S941" t="str">
        <f>"BANCO C6 (149)"</f>
        <v>BANCO C6 (149)</v>
      </c>
      <c r="T941">
        <v>30297</v>
      </c>
      <c r="U941">
        <v>33973</v>
      </c>
      <c r="V941" t="s">
        <v>37</v>
      </c>
    </row>
    <row r="942" spans="1:22">
      <c r="A942" t="str">
        <f t="shared" si="187"/>
        <v>05/03/2026</v>
      </c>
      <c r="B942" t="str">
        <f t="shared" si="180"/>
        <v>SAÍDA</v>
      </c>
      <c r="C942" t="str">
        <f t="shared" si="183"/>
        <v>PIX</v>
      </c>
      <c r="D942" t="str">
        <f t="shared" si="190"/>
        <v>33973</v>
      </c>
      <c r="E942" t="str">
        <f t="shared" si="184"/>
        <v>1</v>
      </c>
      <c r="F942" t="str">
        <f t="shared" si="182"/>
        <v>COM</v>
      </c>
      <c r="G942" t="str">
        <f t="shared" si="191"/>
        <v>JULIO GUIMARAES DOS SANTOS (977)</v>
      </c>
      <c r="H942" t="s">
        <v>371</v>
      </c>
      <c r="I942" t="str">
        <f t="shared" si="181"/>
        <v>05/03/2026</v>
      </c>
      <c r="J942" t="str">
        <f t="shared" si="186"/>
        <v>03/03/2026</v>
      </c>
      <c r="K942">
        <v>46086</v>
      </c>
      <c r="N942">
        <v>109</v>
      </c>
      <c r="O942" t="s">
        <v>27</v>
      </c>
      <c r="Q942">
        <v>220.87</v>
      </c>
      <c r="R942" t="str">
        <f>"PENSE FARMA 20 (10203)"</f>
        <v>PENSE FARMA 20 (10203)</v>
      </c>
      <c r="S942" t="s">
        <v>37</v>
      </c>
      <c r="T942">
        <v>30297</v>
      </c>
      <c r="U942">
        <v>33973</v>
      </c>
      <c r="V942" t="s">
        <v>37</v>
      </c>
    </row>
    <row r="943" spans="1:22">
      <c r="A943" t="str">
        <f t="shared" si="187"/>
        <v>05/03/2026</v>
      </c>
      <c r="B943" t="str">
        <f t="shared" si="180"/>
        <v>SAÍDA</v>
      </c>
      <c r="C943" t="str">
        <f t="shared" si="183"/>
        <v>PIX</v>
      </c>
      <c r="D943" t="str">
        <f t="shared" si="190"/>
        <v>33973</v>
      </c>
      <c r="E943" t="str">
        <f t="shared" si="184"/>
        <v>1</v>
      </c>
      <c r="F943" t="str">
        <f t="shared" si="182"/>
        <v>COM</v>
      </c>
      <c r="G943" t="str">
        <f t="shared" si="191"/>
        <v>JULIO GUIMARAES DOS SANTOS (977)</v>
      </c>
      <c r="H943" t="s">
        <v>371</v>
      </c>
      <c r="I943" t="str">
        <f t="shared" si="181"/>
        <v>05/03/2026</v>
      </c>
      <c r="J943" t="str">
        <f t="shared" si="186"/>
        <v>03/03/2026</v>
      </c>
      <c r="K943">
        <v>46086</v>
      </c>
      <c r="N943">
        <v>109</v>
      </c>
      <c r="O943" t="s">
        <v>27</v>
      </c>
      <c r="Q943">
        <v>220.88</v>
      </c>
      <c r="R943" t="str">
        <f>"PENSE FARMA 36 (10206)"</f>
        <v>PENSE FARMA 36 (10206)</v>
      </c>
      <c r="S943" t="s">
        <v>37</v>
      </c>
      <c r="T943">
        <v>30297</v>
      </c>
      <c r="U943">
        <v>33973</v>
      </c>
      <c r="V943" t="s">
        <v>37</v>
      </c>
    </row>
    <row r="944" spans="1:22">
      <c r="A944" t="str">
        <f t="shared" si="187"/>
        <v>05/03/2026</v>
      </c>
      <c r="B944" t="str">
        <f t="shared" si="180"/>
        <v>SAÍDA</v>
      </c>
      <c r="C944" t="str">
        <f t="shared" si="183"/>
        <v>PIX</v>
      </c>
      <c r="D944" t="str">
        <f t="shared" si="190"/>
        <v>33973</v>
      </c>
      <c r="E944" t="str">
        <f t="shared" si="184"/>
        <v>1</v>
      </c>
      <c r="F944" t="str">
        <f t="shared" si="182"/>
        <v>COM</v>
      </c>
      <c r="G944" t="str">
        <f t="shared" si="191"/>
        <v>JULIO GUIMARAES DOS SANTOS (977)</v>
      </c>
      <c r="H944" t="s">
        <v>371</v>
      </c>
      <c r="I944" t="str">
        <f t="shared" si="181"/>
        <v>05/03/2026</v>
      </c>
      <c r="J944" t="str">
        <f t="shared" si="186"/>
        <v>03/03/2026</v>
      </c>
      <c r="K944">
        <v>46086</v>
      </c>
      <c r="N944">
        <v>109</v>
      </c>
      <c r="O944" t="s">
        <v>27</v>
      </c>
      <c r="Q944">
        <v>220.88</v>
      </c>
      <c r="R944" t="str">
        <f>"PENSE FARMA 40 (10207)"</f>
        <v>PENSE FARMA 40 (10207)</v>
      </c>
      <c r="S944" t="s">
        <v>37</v>
      </c>
      <c r="T944">
        <v>30297</v>
      </c>
      <c r="U944">
        <v>33973</v>
      </c>
      <c r="V944" t="s">
        <v>37</v>
      </c>
    </row>
    <row r="945" spans="1:22">
      <c r="A945" t="str">
        <f t="shared" si="187"/>
        <v>05/03/2026</v>
      </c>
      <c r="B945" t="str">
        <f t="shared" si="180"/>
        <v>SAÍDA</v>
      </c>
      <c r="C945" t="str">
        <f t="shared" si="183"/>
        <v>PIX</v>
      </c>
      <c r="D945" t="str">
        <f t="shared" si="190"/>
        <v>33973</v>
      </c>
      <c r="E945" t="str">
        <f t="shared" si="184"/>
        <v>1</v>
      </c>
      <c r="F945" t="str">
        <f t="shared" si="182"/>
        <v>COM</v>
      </c>
      <c r="G945" t="str">
        <f t="shared" si="191"/>
        <v>JULIO GUIMARAES DOS SANTOS (977)</v>
      </c>
      <c r="H945" t="s">
        <v>371</v>
      </c>
      <c r="I945" t="str">
        <f t="shared" si="181"/>
        <v>05/03/2026</v>
      </c>
      <c r="J945" t="str">
        <f t="shared" si="186"/>
        <v>03/03/2026</v>
      </c>
      <c r="K945">
        <v>46086</v>
      </c>
      <c r="N945">
        <v>109</v>
      </c>
      <c r="O945" t="s">
        <v>27</v>
      </c>
      <c r="Q945">
        <v>220.88</v>
      </c>
      <c r="R945" t="str">
        <f>"PENSE FARMA 43 (10208)"</f>
        <v>PENSE FARMA 43 (10208)</v>
      </c>
      <c r="S945" t="s">
        <v>37</v>
      </c>
      <c r="T945">
        <v>30297</v>
      </c>
      <c r="U945">
        <v>33973</v>
      </c>
      <c r="V945" t="s">
        <v>37</v>
      </c>
    </row>
    <row r="946" spans="1:22">
      <c r="A946" t="str">
        <f t="shared" si="187"/>
        <v>05/03/2026</v>
      </c>
      <c r="B946" t="str">
        <f t="shared" si="180"/>
        <v>SAÍDA</v>
      </c>
      <c r="C946" t="str">
        <f t="shared" si="183"/>
        <v>PIX</v>
      </c>
      <c r="D946" t="str">
        <f t="shared" si="190"/>
        <v>33973</v>
      </c>
      <c r="E946" t="str">
        <f t="shared" si="184"/>
        <v>1</v>
      </c>
      <c r="F946" t="str">
        <f t="shared" si="182"/>
        <v>COM</v>
      </c>
      <c r="G946" t="str">
        <f t="shared" si="191"/>
        <v>JULIO GUIMARAES DOS SANTOS (977)</v>
      </c>
      <c r="H946" t="s">
        <v>371</v>
      </c>
      <c r="I946" t="str">
        <f t="shared" si="181"/>
        <v>05/03/2026</v>
      </c>
      <c r="J946" t="str">
        <f t="shared" si="186"/>
        <v>03/03/2026</v>
      </c>
      <c r="K946">
        <v>46086</v>
      </c>
      <c r="N946">
        <v>109</v>
      </c>
      <c r="O946" t="s">
        <v>27</v>
      </c>
      <c r="Q946">
        <v>220.88</v>
      </c>
      <c r="R946" t="str">
        <f>"PENSE FARMA 59 (10211)"</f>
        <v>PENSE FARMA 59 (10211)</v>
      </c>
      <c r="S946" t="s">
        <v>37</v>
      </c>
      <c r="T946">
        <v>30297</v>
      </c>
      <c r="U946">
        <v>33973</v>
      </c>
      <c r="V946" t="s">
        <v>37</v>
      </c>
    </row>
    <row r="947" spans="1:22">
      <c r="A947" t="str">
        <f t="shared" si="187"/>
        <v>05/03/2026</v>
      </c>
      <c r="B947" t="str">
        <f t="shared" si="180"/>
        <v>SAÍDA</v>
      </c>
      <c r="C947" t="str">
        <f t="shared" si="183"/>
        <v>PIX</v>
      </c>
      <c r="D947" t="str">
        <f t="shared" si="190"/>
        <v>33973</v>
      </c>
      <c r="E947" t="str">
        <f t="shared" si="184"/>
        <v>1</v>
      </c>
      <c r="F947" t="str">
        <f t="shared" si="182"/>
        <v>COM</v>
      </c>
      <c r="G947" t="str">
        <f t="shared" si="191"/>
        <v>JULIO GUIMARAES DOS SANTOS (977)</v>
      </c>
      <c r="H947" t="s">
        <v>371</v>
      </c>
      <c r="I947" t="str">
        <f t="shared" si="181"/>
        <v>05/03/2026</v>
      </c>
      <c r="J947" t="str">
        <f t="shared" si="186"/>
        <v>03/03/2026</v>
      </c>
      <c r="K947">
        <v>46086</v>
      </c>
      <c r="N947">
        <v>109</v>
      </c>
      <c r="O947" t="s">
        <v>27</v>
      </c>
      <c r="Q947">
        <v>220.61</v>
      </c>
      <c r="R947" t="str">
        <f>"PENSE FARMA DARK STORE 361 (10212)"</f>
        <v>PENSE FARMA DARK STORE 361 (10212)</v>
      </c>
      <c r="S947" t="s">
        <v>37</v>
      </c>
      <c r="T947">
        <v>30297</v>
      </c>
      <c r="U947">
        <v>33973</v>
      </c>
      <c r="V947" t="s">
        <v>37</v>
      </c>
    </row>
    <row r="948" spans="1:22">
      <c r="A948" t="str">
        <f t="shared" si="187"/>
        <v>05/03/2026</v>
      </c>
      <c r="B948" t="str">
        <f t="shared" si="180"/>
        <v>SAÍDA</v>
      </c>
      <c r="C948" t="str">
        <f t="shared" si="183"/>
        <v>PIX</v>
      </c>
      <c r="D948" t="str">
        <f t="shared" ref="D948:D954" si="192">"33974"</f>
        <v>33974</v>
      </c>
      <c r="E948" t="str">
        <f t="shared" si="184"/>
        <v>1</v>
      </c>
      <c r="F948" t="str">
        <f t="shared" si="182"/>
        <v>COM</v>
      </c>
      <c r="G948" t="str">
        <f t="shared" ref="G948:G954" si="193">"RAFAEL PEDROSO DE CAMARA (975)"</f>
        <v>RAFAEL PEDROSO DE CAMARA (975)</v>
      </c>
      <c r="H948" t="str">
        <f>"Serv.Prest. 23/02/2026 a 01/03/2026 - PIX: CELULAR - CHAVE: (11) 99270-3082"</f>
        <v>Serv.Prest. 23/02/2026 a 01/03/2026 - PIX: CELULAR - CHAVE: (11) 99270-3082</v>
      </c>
      <c r="I948" t="str">
        <f t="shared" si="181"/>
        <v>05/03/2026</v>
      </c>
      <c r="J948" t="str">
        <f t="shared" si="186"/>
        <v>03/03/2026</v>
      </c>
      <c r="K948" t="str">
        <f>("05/03/2026")</f>
        <v>05/03/2026</v>
      </c>
      <c r="L948">
        <v>1375</v>
      </c>
      <c r="M948">
        <v>1375</v>
      </c>
      <c r="N948">
        <v>109</v>
      </c>
      <c r="O948" t="str">
        <f>"PAGAMENTO DE ENTREGADORES"</f>
        <v>PAGAMENTO DE ENTREGADORES</v>
      </c>
      <c r="P948">
        <v>1375</v>
      </c>
      <c r="S948" t="str">
        <f>"BANCO C6 (149)"</f>
        <v>BANCO C6 (149)</v>
      </c>
      <c r="T948">
        <v>30298</v>
      </c>
      <c r="U948">
        <v>33974</v>
      </c>
      <c r="V948" t="s">
        <v>37</v>
      </c>
    </row>
    <row r="949" spans="1:22">
      <c r="A949" t="str">
        <f t="shared" si="187"/>
        <v>05/03/2026</v>
      </c>
      <c r="B949" t="str">
        <f t="shared" si="180"/>
        <v>SAÍDA</v>
      </c>
      <c r="C949" t="str">
        <f t="shared" si="183"/>
        <v>PIX</v>
      </c>
      <c r="D949" t="str">
        <f t="shared" si="192"/>
        <v>33974</v>
      </c>
      <c r="E949" t="str">
        <f t="shared" si="184"/>
        <v>1</v>
      </c>
      <c r="F949" t="str">
        <f t="shared" si="182"/>
        <v>COM</v>
      </c>
      <c r="G949" t="str">
        <f t="shared" si="193"/>
        <v>RAFAEL PEDROSO DE CAMARA (975)</v>
      </c>
      <c r="H949" t="s">
        <v>372</v>
      </c>
      <c r="I949" t="str">
        <f t="shared" si="181"/>
        <v>05/03/2026</v>
      </c>
      <c r="J949" t="str">
        <f t="shared" si="186"/>
        <v>03/03/2026</v>
      </c>
      <c r="K949">
        <v>46086</v>
      </c>
      <c r="N949">
        <v>109</v>
      </c>
      <c r="O949" t="s">
        <v>27</v>
      </c>
      <c r="Q949">
        <v>229.22</v>
      </c>
      <c r="R949" t="str">
        <f>"PENSE FARMA 20 (10203)"</f>
        <v>PENSE FARMA 20 (10203)</v>
      </c>
      <c r="S949" t="s">
        <v>37</v>
      </c>
      <c r="T949">
        <v>30298</v>
      </c>
      <c r="U949">
        <v>33974</v>
      </c>
      <c r="V949" t="s">
        <v>37</v>
      </c>
    </row>
    <row r="950" spans="1:22">
      <c r="A950" t="str">
        <f t="shared" si="187"/>
        <v>05/03/2026</v>
      </c>
      <c r="B950" t="str">
        <f t="shared" si="180"/>
        <v>SAÍDA</v>
      </c>
      <c r="C950" t="str">
        <f t="shared" si="183"/>
        <v>PIX</v>
      </c>
      <c r="D950" t="str">
        <f t="shared" si="192"/>
        <v>33974</v>
      </c>
      <c r="E950" t="str">
        <f t="shared" si="184"/>
        <v>1</v>
      </c>
      <c r="F950" t="str">
        <f t="shared" si="182"/>
        <v>COM</v>
      </c>
      <c r="G950" t="str">
        <f t="shared" si="193"/>
        <v>RAFAEL PEDROSO DE CAMARA (975)</v>
      </c>
      <c r="H950" t="s">
        <v>372</v>
      </c>
      <c r="I950" t="str">
        <f t="shared" si="181"/>
        <v>05/03/2026</v>
      </c>
      <c r="J950" t="str">
        <f t="shared" si="186"/>
        <v>03/03/2026</v>
      </c>
      <c r="K950">
        <v>46086</v>
      </c>
      <c r="N950">
        <v>109</v>
      </c>
      <c r="O950" t="s">
        <v>27</v>
      </c>
      <c r="Q950">
        <v>229.21</v>
      </c>
      <c r="R950" t="str">
        <f>"PENSE FARMA 36 (10206)"</f>
        <v>PENSE FARMA 36 (10206)</v>
      </c>
      <c r="S950" t="s">
        <v>37</v>
      </c>
      <c r="T950">
        <v>30298</v>
      </c>
      <c r="U950">
        <v>33974</v>
      </c>
      <c r="V950" t="s">
        <v>37</v>
      </c>
    </row>
    <row r="951" spans="1:22">
      <c r="A951" t="str">
        <f t="shared" si="187"/>
        <v>05/03/2026</v>
      </c>
      <c r="B951" t="str">
        <f t="shared" si="180"/>
        <v>SAÍDA</v>
      </c>
      <c r="C951" t="str">
        <f t="shared" si="183"/>
        <v>PIX</v>
      </c>
      <c r="D951" t="str">
        <f t="shared" si="192"/>
        <v>33974</v>
      </c>
      <c r="E951" t="str">
        <f t="shared" si="184"/>
        <v>1</v>
      </c>
      <c r="F951" t="str">
        <f t="shared" si="182"/>
        <v>COM</v>
      </c>
      <c r="G951" t="str">
        <f t="shared" si="193"/>
        <v>RAFAEL PEDROSO DE CAMARA (975)</v>
      </c>
      <c r="H951" t="s">
        <v>372</v>
      </c>
      <c r="I951" t="str">
        <f t="shared" si="181"/>
        <v>05/03/2026</v>
      </c>
      <c r="J951" t="str">
        <f t="shared" si="186"/>
        <v>03/03/2026</v>
      </c>
      <c r="K951">
        <v>46086</v>
      </c>
      <c r="N951">
        <v>109</v>
      </c>
      <c r="O951" t="s">
        <v>27</v>
      </c>
      <c r="Q951">
        <v>229.21</v>
      </c>
      <c r="R951" t="str">
        <f>"PENSE FARMA 40 (10207)"</f>
        <v>PENSE FARMA 40 (10207)</v>
      </c>
      <c r="S951" t="s">
        <v>37</v>
      </c>
      <c r="T951">
        <v>30298</v>
      </c>
      <c r="U951">
        <v>33974</v>
      </c>
      <c r="V951" t="s">
        <v>37</v>
      </c>
    </row>
    <row r="952" spans="1:22">
      <c r="A952" t="str">
        <f t="shared" si="187"/>
        <v>05/03/2026</v>
      </c>
      <c r="B952" t="str">
        <f t="shared" si="180"/>
        <v>SAÍDA</v>
      </c>
      <c r="C952" t="str">
        <f t="shared" si="183"/>
        <v>PIX</v>
      </c>
      <c r="D952" t="str">
        <f t="shared" si="192"/>
        <v>33974</v>
      </c>
      <c r="E952" t="str">
        <f t="shared" si="184"/>
        <v>1</v>
      </c>
      <c r="F952" t="str">
        <f t="shared" si="182"/>
        <v>COM</v>
      </c>
      <c r="G952" t="str">
        <f t="shared" si="193"/>
        <v>RAFAEL PEDROSO DE CAMARA (975)</v>
      </c>
      <c r="H952" t="s">
        <v>372</v>
      </c>
      <c r="I952" t="str">
        <f t="shared" si="181"/>
        <v>05/03/2026</v>
      </c>
      <c r="J952" t="str">
        <f t="shared" ref="J952:J983" si="194">("03/03/2026")</f>
        <v>03/03/2026</v>
      </c>
      <c r="K952">
        <v>46086</v>
      </c>
      <c r="N952">
        <v>109</v>
      </c>
      <c r="O952" t="s">
        <v>27</v>
      </c>
      <c r="Q952">
        <v>229.21</v>
      </c>
      <c r="R952" t="str">
        <f>"PENSE FARMA 43 (10208)"</f>
        <v>PENSE FARMA 43 (10208)</v>
      </c>
      <c r="S952" t="s">
        <v>37</v>
      </c>
      <c r="T952">
        <v>30298</v>
      </c>
      <c r="U952">
        <v>33974</v>
      </c>
      <c r="V952" t="s">
        <v>37</v>
      </c>
    </row>
    <row r="953" spans="1:22">
      <c r="A953" t="str">
        <f t="shared" si="187"/>
        <v>05/03/2026</v>
      </c>
      <c r="B953" t="str">
        <f t="shared" si="180"/>
        <v>SAÍDA</v>
      </c>
      <c r="C953" t="str">
        <f t="shared" si="183"/>
        <v>PIX</v>
      </c>
      <c r="D953" t="str">
        <f t="shared" si="192"/>
        <v>33974</v>
      </c>
      <c r="E953" t="str">
        <f t="shared" si="184"/>
        <v>1</v>
      </c>
      <c r="F953" t="str">
        <f t="shared" si="182"/>
        <v>COM</v>
      </c>
      <c r="G953" t="str">
        <f t="shared" si="193"/>
        <v>RAFAEL PEDROSO DE CAMARA (975)</v>
      </c>
      <c r="H953" t="s">
        <v>372</v>
      </c>
      <c r="I953" t="str">
        <f t="shared" si="181"/>
        <v>05/03/2026</v>
      </c>
      <c r="J953" t="str">
        <f t="shared" si="194"/>
        <v>03/03/2026</v>
      </c>
      <c r="K953">
        <v>46086</v>
      </c>
      <c r="N953">
        <v>109</v>
      </c>
      <c r="O953" t="s">
        <v>27</v>
      </c>
      <c r="Q953">
        <v>229.21</v>
      </c>
      <c r="R953" t="str">
        <f>"PENSE FARMA 59 (10211)"</f>
        <v>PENSE FARMA 59 (10211)</v>
      </c>
      <c r="S953" t="s">
        <v>37</v>
      </c>
      <c r="T953">
        <v>30298</v>
      </c>
      <c r="U953">
        <v>33974</v>
      </c>
      <c r="V953" t="s">
        <v>37</v>
      </c>
    </row>
    <row r="954" spans="1:22">
      <c r="A954" t="str">
        <f t="shared" si="187"/>
        <v>05/03/2026</v>
      </c>
      <c r="B954" t="str">
        <f t="shared" si="180"/>
        <v>SAÍDA</v>
      </c>
      <c r="C954" t="str">
        <f t="shared" si="183"/>
        <v>PIX</v>
      </c>
      <c r="D954" t="str">
        <f t="shared" si="192"/>
        <v>33974</v>
      </c>
      <c r="E954" t="str">
        <f t="shared" si="184"/>
        <v>1</v>
      </c>
      <c r="F954" t="str">
        <f t="shared" si="182"/>
        <v>COM</v>
      </c>
      <c r="G954" t="str">
        <f t="shared" si="193"/>
        <v>RAFAEL PEDROSO DE CAMARA (975)</v>
      </c>
      <c r="H954" t="s">
        <v>372</v>
      </c>
      <c r="I954" t="str">
        <f t="shared" si="181"/>
        <v>05/03/2026</v>
      </c>
      <c r="J954" t="str">
        <f t="shared" si="194"/>
        <v>03/03/2026</v>
      </c>
      <c r="K954">
        <v>46086</v>
      </c>
      <c r="N954">
        <v>109</v>
      </c>
      <c r="O954" t="s">
        <v>27</v>
      </c>
      <c r="Q954">
        <v>228.94</v>
      </c>
      <c r="R954" t="str">
        <f>"PENSE FARMA DARK STORE 361 (10212)"</f>
        <v>PENSE FARMA DARK STORE 361 (10212)</v>
      </c>
      <c r="S954" t="s">
        <v>37</v>
      </c>
      <c r="T954">
        <v>30298</v>
      </c>
      <c r="U954">
        <v>33974</v>
      </c>
      <c r="V954" t="s">
        <v>37</v>
      </c>
    </row>
    <row r="955" spans="1:22">
      <c r="A955" t="str">
        <f t="shared" si="187"/>
        <v>05/03/2026</v>
      </c>
      <c r="B955" t="str">
        <f t="shared" si="180"/>
        <v>SAÍDA</v>
      </c>
      <c r="C955" t="str">
        <f t="shared" si="183"/>
        <v>PIX</v>
      </c>
      <c r="D955" t="str">
        <f>"33978"</f>
        <v>33978</v>
      </c>
      <c r="E955" t="str">
        <f t="shared" si="184"/>
        <v>1</v>
      </c>
      <c r="F955" t="str">
        <f t="shared" si="182"/>
        <v>COM</v>
      </c>
      <c r="G955" t="str">
        <f>"LUAN DOS REIS SILVA (954)"</f>
        <v>LUAN DOS REIS SILVA (954)</v>
      </c>
      <c r="H955" t="str">
        <f>"Serv.Prest. 23/02/2026 a 01/03/2026 - PIX: CELULAR - CHAVE: (11) 95906-5439"</f>
        <v>Serv.Prest. 23/02/2026 a 01/03/2026 - PIX: CELULAR - CHAVE: (11) 95906-5439</v>
      </c>
      <c r="I955" t="str">
        <f t="shared" si="181"/>
        <v>05/03/2026</v>
      </c>
      <c r="J955" t="str">
        <f t="shared" si="194"/>
        <v>03/03/2026</v>
      </c>
      <c r="K955" t="str">
        <f>("05/03/2026")</f>
        <v>05/03/2026</v>
      </c>
      <c r="L955">
        <v>1250</v>
      </c>
      <c r="M955">
        <v>1250</v>
      </c>
      <c r="N955">
        <v>109</v>
      </c>
      <c r="O955" t="str">
        <f>"PAGAMENTO DE ENTREGADORES"</f>
        <v>PAGAMENTO DE ENTREGADORES</v>
      </c>
      <c r="P955">
        <v>1250</v>
      </c>
      <c r="S955" t="str">
        <f>"BANCO C6 (149)"</f>
        <v>BANCO C6 (149)</v>
      </c>
      <c r="T955">
        <v>30299</v>
      </c>
      <c r="U955">
        <v>33978</v>
      </c>
      <c r="V955" t="s">
        <v>37</v>
      </c>
    </row>
    <row r="956" spans="1:22">
      <c r="A956" t="str">
        <f t="shared" si="187"/>
        <v>05/03/2026</v>
      </c>
      <c r="B956" t="str">
        <f t="shared" si="180"/>
        <v>SAÍDA</v>
      </c>
      <c r="C956" t="str">
        <f t="shared" si="183"/>
        <v>PIX</v>
      </c>
      <c r="D956" t="str">
        <f>"33978"</f>
        <v>33978</v>
      </c>
      <c r="E956" t="str">
        <f t="shared" si="184"/>
        <v>1</v>
      </c>
      <c r="F956" t="str">
        <f t="shared" si="182"/>
        <v>COM</v>
      </c>
      <c r="G956" t="str">
        <f>"LUAN DOS REIS SILVA (954)"</f>
        <v>LUAN DOS REIS SILVA (954)</v>
      </c>
      <c r="H956" t="s">
        <v>373</v>
      </c>
      <c r="I956" t="str">
        <f t="shared" si="181"/>
        <v>05/03/2026</v>
      </c>
      <c r="J956" t="str">
        <f t="shared" si="194"/>
        <v>03/03/2026</v>
      </c>
      <c r="K956">
        <v>46086</v>
      </c>
      <c r="N956">
        <v>109</v>
      </c>
      <c r="O956" t="s">
        <v>27</v>
      </c>
      <c r="Q956">
        <v>416.62</v>
      </c>
      <c r="R956" t="str">
        <f>"PENSE FARMA 05 (10200)"</f>
        <v>PENSE FARMA 05 (10200)</v>
      </c>
      <c r="S956" t="s">
        <v>37</v>
      </c>
      <c r="T956">
        <v>30299</v>
      </c>
      <c r="U956">
        <v>33978</v>
      </c>
      <c r="V956" t="s">
        <v>37</v>
      </c>
    </row>
    <row r="957" spans="1:22">
      <c r="A957" t="str">
        <f t="shared" si="187"/>
        <v>05/03/2026</v>
      </c>
      <c r="B957" t="str">
        <f t="shared" si="180"/>
        <v>SAÍDA</v>
      </c>
      <c r="C957" t="str">
        <f t="shared" si="183"/>
        <v>PIX</v>
      </c>
      <c r="D957" t="str">
        <f>"33978"</f>
        <v>33978</v>
      </c>
      <c r="E957" t="str">
        <f t="shared" si="184"/>
        <v>1</v>
      </c>
      <c r="F957" t="str">
        <f t="shared" si="182"/>
        <v>COM</v>
      </c>
      <c r="G957" t="str">
        <f>"LUAN DOS REIS SILVA (954)"</f>
        <v>LUAN DOS REIS SILVA (954)</v>
      </c>
      <c r="H957" t="s">
        <v>373</v>
      </c>
      <c r="I957" t="str">
        <f t="shared" si="181"/>
        <v>05/03/2026</v>
      </c>
      <c r="J957" t="str">
        <f t="shared" si="194"/>
        <v>03/03/2026</v>
      </c>
      <c r="K957">
        <v>46086</v>
      </c>
      <c r="N957">
        <v>109</v>
      </c>
      <c r="O957" t="s">
        <v>27</v>
      </c>
      <c r="Q957">
        <v>416.63</v>
      </c>
      <c r="R957" t="str">
        <f>"PENSE FARMA 13 (10202)"</f>
        <v>PENSE FARMA 13 (10202)</v>
      </c>
      <c r="S957" t="s">
        <v>37</v>
      </c>
      <c r="T957">
        <v>30299</v>
      </c>
      <c r="U957">
        <v>33978</v>
      </c>
      <c r="V957" t="s">
        <v>37</v>
      </c>
    </row>
    <row r="958" spans="1:22">
      <c r="A958" t="str">
        <f t="shared" si="187"/>
        <v>05/03/2026</v>
      </c>
      <c r="B958" t="str">
        <f t="shared" si="180"/>
        <v>SAÍDA</v>
      </c>
      <c r="C958" t="str">
        <f t="shared" si="183"/>
        <v>PIX</v>
      </c>
      <c r="D958" t="str">
        <f>"33978"</f>
        <v>33978</v>
      </c>
      <c r="E958" t="str">
        <f t="shared" si="184"/>
        <v>1</v>
      </c>
      <c r="F958" t="str">
        <f t="shared" si="182"/>
        <v>COM</v>
      </c>
      <c r="G958" t="str">
        <f>"LUAN DOS REIS SILVA (954)"</f>
        <v>LUAN DOS REIS SILVA (954)</v>
      </c>
      <c r="H958" t="s">
        <v>373</v>
      </c>
      <c r="I958" t="str">
        <f t="shared" si="181"/>
        <v>05/03/2026</v>
      </c>
      <c r="J958" t="str">
        <f t="shared" si="194"/>
        <v>03/03/2026</v>
      </c>
      <c r="K958">
        <v>46086</v>
      </c>
      <c r="N958">
        <v>109</v>
      </c>
      <c r="O958" t="s">
        <v>27</v>
      </c>
      <c r="Q958">
        <v>416.75</v>
      </c>
      <c r="R958" t="str">
        <f>"PENSE FARMA 27 (10204)"</f>
        <v>PENSE FARMA 27 (10204)</v>
      </c>
      <c r="S958" t="s">
        <v>37</v>
      </c>
      <c r="T958">
        <v>30299</v>
      </c>
      <c r="U958">
        <v>33978</v>
      </c>
      <c r="V958" t="s">
        <v>37</v>
      </c>
    </row>
    <row r="959" spans="1:22">
      <c r="A959" t="str">
        <f t="shared" si="187"/>
        <v>05/03/2026</v>
      </c>
      <c r="B959" t="str">
        <f t="shared" si="180"/>
        <v>SAÍDA</v>
      </c>
      <c r="C959" t="str">
        <f t="shared" si="183"/>
        <v>PIX</v>
      </c>
      <c r="D959" t="str">
        <f>"33979"</f>
        <v>33979</v>
      </c>
      <c r="E959" t="str">
        <f t="shared" si="184"/>
        <v>1</v>
      </c>
      <c r="F959" t="str">
        <f t="shared" si="182"/>
        <v>COM</v>
      </c>
      <c r="G959" t="str">
        <f>"MANOEL DE JESUS ALMEIDA (1017)"</f>
        <v>MANOEL DE JESUS ALMEIDA (1017)</v>
      </c>
      <c r="H959" t="str">
        <f>"Serv.Prest. 23/02/2026 a 01/03/2026 - PIX: CPF - CHAVE: 026.422.254-70"</f>
        <v>Serv.Prest. 23/02/2026 a 01/03/2026 - PIX: CPF - CHAVE: 026.422.254-70</v>
      </c>
      <c r="I959" t="str">
        <f t="shared" si="181"/>
        <v>05/03/2026</v>
      </c>
      <c r="J959" t="str">
        <f t="shared" si="194"/>
        <v>03/03/2026</v>
      </c>
      <c r="K959" t="str">
        <f>("05/03/2026")</f>
        <v>05/03/2026</v>
      </c>
      <c r="L959">
        <v>1250</v>
      </c>
      <c r="M959">
        <v>1250</v>
      </c>
      <c r="N959">
        <v>109</v>
      </c>
      <c r="O959" t="str">
        <f>"PAGAMENTO DE ENTREGADORES"</f>
        <v>PAGAMENTO DE ENTREGADORES</v>
      </c>
      <c r="P959">
        <v>1250</v>
      </c>
      <c r="S959" t="str">
        <f>"BANCO C6 (149)"</f>
        <v>BANCO C6 (149)</v>
      </c>
      <c r="T959">
        <v>30300</v>
      </c>
      <c r="U959">
        <v>33979</v>
      </c>
      <c r="V959" t="s">
        <v>37</v>
      </c>
    </row>
    <row r="960" spans="1:22">
      <c r="A960" t="str">
        <f t="shared" si="187"/>
        <v>05/03/2026</v>
      </c>
      <c r="B960" t="str">
        <f t="shared" si="180"/>
        <v>SAÍDA</v>
      </c>
      <c r="C960" t="str">
        <f t="shared" si="183"/>
        <v>PIX</v>
      </c>
      <c r="D960" t="str">
        <f>"33979"</f>
        <v>33979</v>
      </c>
      <c r="E960" t="str">
        <f t="shared" si="184"/>
        <v>1</v>
      </c>
      <c r="F960" t="str">
        <f t="shared" si="182"/>
        <v>COM</v>
      </c>
      <c r="G960" t="str">
        <f>"MANOEL DE JESUS ALMEIDA (1017)"</f>
        <v>MANOEL DE JESUS ALMEIDA (1017)</v>
      </c>
      <c r="H960" t="s">
        <v>374</v>
      </c>
      <c r="I960" t="str">
        <f t="shared" si="181"/>
        <v>05/03/2026</v>
      </c>
      <c r="J960" t="str">
        <f t="shared" si="194"/>
        <v>03/03/2026</v>
      </c>
      <c r="K960">
        <v>46086</v>
      </c>
      <c r="N960">
        <v>109</v>
      </c>
      <c r="O960" t="s">
        <v>27</v>
      </c>
      <c r="Q960">
        <v>416.62</v>
      </c>
      <c r="R960" t="str">
        <f>"PENSE FARMA 05 (10200)"</f>
        <v>PENSE FARMA 05 (10200)</v>
      </c>
      <c r="S960" t="s">
        <v>37</v>
      </c>
      <c r="T960">
        <v>30300</v>
      </c>
      <c r="U960">
        <v>33979</v>
      </c>
      <c r="V960" t="s">
        <v>37</v>
      </c>
    </row>
    <row r="961" spans="1:22">
      <c r="A961" t="str">
        <f t="shared" si="187"/>
        <v>05/03/2026</v>
      </c>
      <c r="B961" t="str">
        <f t="shared" ref="B961:B1024" si="195">"SAÍDA"</f>
        <v>SAÍDA</v>
      </c>
      <c r="C961" t="str">
        <f t="shared" si="183"/>
        <v>PIX</v>
      </c>
      <c r="D961" t="str">
        <f>"33979"</f>
        <v>33979</v>
      </c>
      <c r="E961" t="str">
        <f t="shared" si="184"/>
        <v>1</v>
      </c>
      <c r="F961" t="str">
        <f t="shared" si="182"/>
        <v>COM</v>
      </c>
      <c r="G961" t="str">
        <f>"MANOEL DE JESUS ALMEIDA (1017)"</f>
        <v>MANOEL DE JESUS ALMEIDA (1017)</v>
      </c>
      <c r="H961" t="s">
        <v>374</v>
      </c>
      <c r="I961" t="str">
        <f t="shared" ref="I961:I1024" si="196">("05/03/2026")</f>
        <v>05/03/2026</v>
      </c>
      <c r="J961" t="str">
        <f t="shared" si="194"/>
        <v>03/03/2026</v>
      </c>
      <c r="K961">
        <v>46086</v>
      </c>
      <c r="N961">
        <v>109</v>
      </c>
      <c r="O961" t="s">
        <v>27</v>
      </c>
      <c r="Q961">
        <v>416.63</v>
      </c>
      <c r="R961" t="str">
        <f>"PENSE FARMA 13 (10202)"</f>
        <v>PENSE FARMA 13 (10202)</v>
      </c>
      <c r="S961" t="s">
        <v>37</v>
      </c>
      <c r="T961">
        <v>30300</v>
      </c>
      <c r="U961">
        <v>33979</v>
      </c>
      <c r="V961" t="s">
        <v>37</v>
      </c>
    </row>
    <row r="962" spans="1:22">
      <c r="A962" t="str">
        <f t="shared" si="187"/>
        <v>05/03/2026</v>
      </c>
      <c r="B962" t="str">
        <f t="shared" si="195"/>
        <v>SAÍDA</v>
      </c>
      <c r="C962" t="str">
        <f t="shared" si="183"/>
        <v>PIX</v>
      </c>
      <c r="D962" t="str">
        <f>"33979"</f>
        <v>33979</v>
      </c>
      <c r="E962" t="str">
        <f t="shared" si="184"/>
        <v>1</v>
      </c>
      <c r="F962" t="str">
        <f t="shared" ref="F962:F1025" si="197">"COM"</f>
        <v>COM</v>
      </c>
      <c r="G962" t="str">
        <f>"MANOEL DE JESUS ALMEIDA (1017)"</f>
        <v>MANOEL DE JESUS ALMEIDA (1017)</v>
      </c>
      <c r="H962" t="s">
        <v>374</v>
      </c>
      <c r="I962" t="str">
        <f t="shared" si="196"/>
        <v>05/03/2026</v>
      </c>
      <c r="J962" t="str">
        <f t="shared" si="194"/>
        <v>03/03/2026</v>
      </c>
      <c r="K962">
        <v>46086</v>
      </c>
      <c r="N962">
        <v>109</v>
      </c>
      <c r="O962" t="s">
        <v>27</v>
      </c>
      <c r="Q962">
        <v>416.75</v>
      </c>
      <c r="R962" t="str">
        <f>"PENSE FARMA 27 (10204)"</f>
        <v>PENSE FARMA 27 (10204)</v>
      </c>
      <c r="S962" t="s">
        <v>37</v>
      </c>
      <c r="T962">
        <v>30300</v>
      </c>
      <c r="U962">
        <v>33979</v>
      </c>
      <c r="V962" t="s">
        <v>37</v>
      </c>
    </row>
    <row r="963" spans="1:22">
      <c r="A963" t="str">
        <f t="shared" si="187"/>
        <v>05/03/2026</v>
      </c>
      <c r="B963" t="str">
        <f t="shared" si="195"/>
        <v>SAÍDA</v>
      </c>
      <c r="C963" t="str">
        <f t="shared" ref="C963:C1026" si="198">"PIX"</f>
        <v>PIX</v>
      </c>
      <c r="D963" t="str">
        <f>"33981"</f>
        <v>33981</v>
      </c>
      <c r="E963" t="str">
        <f t="shared" si="184"/>
        <v>1</v>
      </c>
      <c r="F963" t="str">
        <f t="shared" si="197"/>
        <v>COM</v>
      </c>
      <c r="G963" t="str">
        <f>"ALINE ALVES DA SILVA (1081)"</f>
        <v>ALINE ALVES DA SILVA (1081)</v>
      </c>
      <c r="H963" t="str">
        <f>"Serv.Prest. 23/02/2026 a 01/03/2026 - PIX: CELULAR - CHAVE: (11) 98439-2238"</f>
        <v>Serv.Prest. 23/02/2026 a 01/03/2026 - PIX: CELULAR - CHAVE: (11) 98439-2238</v>
      </c>
      <c r="I963" t="str">
        <f t="shared" si="196"/>
        <v>05/03/2026</v>
      </c>
      <c r="J963" t="str">
        <f t="shared" si="194"/>
        <v>03/03/2026</v>
      </c>
      <c r="K963" t="str">
        <f>("05/03/2026")</f>
        <v>05/03/2026</v>
      </c>
      <c r="L963">
        <v>1000</v>
      </c>
      <c r="M963">
        <v>1000</v>
      </c>
      <c r="N963">
        <v>109</v>
      </c>
      <c r="O963" t="str">
        <f>"PAGAMENTO DE ENTREGADORES"</f>
        <v>PAGAMENTO DE ENTREGADORES</v>
      </c>
      <c r="P963">
        <v>1000</v>
      </c>
      <c r="S963" t="str">
        <f>"BANCO C6 (149)"</f>
        <v>BANCO C6 (149)</v>
      </c>
      <c r="T963">
        <v>30301</v>
      </c>
      <c r="U963">
        <v>33981</v>
      </c>
      <c r="V963" t="s">
        <v>37</v>
      </c>
    </row>
    <row r="964" spans="1:22">
      <c r="A964" t="str">
        <f t="shared" si="187"/>
        <v>05/03/2026</v>
      </c>
      <c r="B964" t="str">
        <f t="shared" si="195"/>
        <v>SAÍDA</v>
      </c>
      <c r="C964" t="str">
        <f t="shared" si="198"/>
        <v>PIX</v>
      </c>
      <c r="D964" t="str">
        <f>"33981"</f>
        <v>33981</v>
      </c>
      <c r="E964" t="str">
        <f t="shared" si="184"/>
        <v>1</v>
      </c>
      <c r="F964" t="str">
        <f t="shared" si="197"/>
        <v>COM</v>
      </c>
      <c r="G964" t="str">
        <f>"ALINE ALVES DA SILVA (1081)"</f>
        <v>ALINE ALVES DA SILVA (1081)</v>
      </c>
      <c r="H964" t="s">
        <v>375</v>
      </c>
      <c r="I964" t="str">
        <f t="shared" si="196"/>
        <v>05/03/2026</v>
      </c>
      <c r="J964" t="str">
        <f t="shared" si="194"/>
        <v>03/03/2026</v>
      </c>
      <c r="K964">
        <v>46086</v>
      </c>
      <c r="N964">
        <v>109</v>
      </c>
      <c r="O964" t="s">
        <v>27</v>
      </c>
      <c r="Q964">
        <v>250</v>
      </c>
      <c r="R964" t="str">
        <f>"PENSE FARMA 31 (10205)"</f>
        <v>PENSE FARMA 31 (10205)</v>
      </c>
      <c r="S964" t="s">
        <v>37</v>
      </c>
      <c r="T964">
        <v>30301</v>
      </c>
      <c r="U964">
        <v>33981</v>
      </c>
      <c r="V964" t="s">
        <v>37</v>
      </c>
    </row>
    <row r="965" spans="1:22">
      <c r="A965" t="str">
        <f t="shared" si="187"/>
        <v>05/03/2026</v>
      </c>
      <c r="B965" t="str">
        <f t="shared" si="195"/>
        <v>SAÍDA</v>
      </c>
      <c r="C965" t="str">
        <f t="shared" si="198"/>
        <v>PIX</v>
      </c>
      <c r="D965" t="str">
        <f>"33981"</f>
        <v>33981</v>
      </c>
      <c r="E965" t="str">
        <f t="shared" si="184"/>
        <v>1</v>
      </c>
      <c r="F965" t="str">
        <f t="shared" si="197"/>
        <v>COM</v>
      </c>
      <c r="G965" t="str">
        <f>"ALINE ALVES DA SILVA (1081)"</f>
        <v>ALINE ALVES DA SILVA (1081)</v>
      </c>
      <c r="H965" t="s">
        <v>375</v>
      </c>
      <c r="I965" t="str">
        <f t="shared" si="196"/>
        <v>05/03/2026</v>
      </c>
      <c r="J965" t="str">
        <f t="shared" si="194"/>
        <v>03/03/2026</v>
      </c>
      <c r="K965">
        <v>46086</v>
      </c>
      <c r="N965">
        <v>109</v>
      </c>
      <c r="O965" t="s">
        <v>27</v>
      </c>
      <c r="Q965">
        <v>250</v>
      </c>
      <c r="R965" t="str">
        <f>"PENSE FARMA 16 (10221)"</f>
        <v>PENSE FARMA 16 (10221)</v>
      </c>
      <c r="S965" t="s">
        <v>37</v>
      </c>
      <c r="T965">
        <v>30301</v>
      </c>
      <c r="U965">
        <v>33981</v>
      </c>
      <c r="V965" t="s">
        <v>37</v>
      </c>
    </row>
    <row r="966" spans="1:22">
      <c r="A966" t="str">
        <f t="shared" si="187"/>
        <v>05/03/2026</v>
      </c>
      <c r="B966" t="str">
        <f t="shared" si="195"/>
        <v>SAÍDA</v>
      </c>
      <c r="C966" t="str">
        <f t="shared" si="198"/>
        <v>PIX</v>
      </c>
      <c r="D966" t="str">
        <f>"33981"</f>
        <v>33981</v>
      </c>
      <c r="E966" t="str">
        <f t="shared" si="184"/>
        <v>1</v>
      </c>
      <c r="F966" t="str">
        <f t="shared" si="197"/>
        <v>COM</v>
      </c>
      <c r="G966" t="str">
        <f>"ALINE ALVES DA SILVA (1081)"</f>
        <v>ALINE ALVES DA SILVA (1081)</v>
      </c>
      <c r="H966" t="s">
        <v>375</v>
      </c>
      <c r="I966" t="str">
        <f t="shared" si="196"/>
        <v>05/03/2026</v>
      </c>
      <c r="J966" t="str">
        <f t="shared" si="194"/>
        <v>03/03/2026</v>
      </c>
      <c r="K966">
        <v>46086</v>
      </c>
      <c r="N966">
        <v>109</v>
      </c>
      <c r="O966" t="s">
        <v>27</v>
      </c>
      <c r="Q966">
        <v>250</v>
      </c>
      <c r="R966" t="str">
        <f>"PENSE FARMA 17 (10222)"</f>
        <v>PENSE FARMA 17 (10222)</v>
      </c>
      <c r="S966" t="s">
        <v>37</v>
      </c>
      <c r="T966">
        <v>30301</v>
      </c>
      <c r="U966">
        <v>33981</v>
      </c>
      <c r="V966" t="s">
        <v>37</v>
      </c>
    </row>
    <row r="967" spans="1:22">
      <c r="A967" t="str">
        <f t="shared" si="187"/>
        <v>05/03/2026</v>
      </c>
      <c r="B967" t="str">
        <f t="shared" si="195"/>
        <v>SAÍDA</v>
      </c>
      <c r="C967" t="str">
        <f t="shared" si="198"/>
        <v>PIX</v>
      </c>
      <c r="D967" t="str">
        <f>"33981"</f>
        <v>33981</v>
      </c>
      <c r="E967" t="str">
        <f t="shared" si="184"/>
        <v>1</v>
      </c>
      <c r="F967" t="str">
        <f t="shared" si="197"/>
        <v>COM</v>
      </c>
      <c r="G967" t="str">
        <f>"ALINE ALVES DA SILVA (1081)"</f>
        <v>ALINE ALVES DA SILVA (1081)</v>
      </c>
      <c r="H967" t="s">
        <v>375</v>
      </c>
      <c r="I967" t="str">
        <f t="shared" si="196"/>
        <v>05/03/2026</v>
      </c>
      <c r="J967" t="str">
        <f t="shared" si="194"/>
        <v>03/03/2026</v>
      </c>
      <c r="K967">
        <v>46086</v>
      </c>
      <c r="N967">
        <v>109</v>
      </c>
      <c r="O967" t="s">
        <v>27</v>
      </c>
      <c r="Q967">
        <v>250</v>
      </c>
      <c r="R967" t="str">
        <f>"PENSE FARMA 62 (10274)"</f>
        <v>PENSE FARMA 62 (10274)</v>
      </c>
      <c r="S967" t="s">
        <v>37</v>
      </c>
      <c r="T967">
        <v>30301</v>
      </c>
      <c r="U967">
        <v>33981</v>
      </c>
      <c r="V967" t="s">
        <v>37</v>
      </c>
    </row>
    <row r="968" spans="1:22">
      <c r="A968" t="str">
        <f t="shared" si="187"/>
        <v>05/03/2026</v>
      </c>
      <c r="B968" t="str">
        <f t="shared" si="195"/>
        <v>SAÍDA</v>
      </c>
      <c r="C968" t="str">
        <f t="shared" si="198"/>
        <v>PIX</v>
      </c>
      <c r="D968" t="str">
        <f>"33982"</f>
        <v>33982</v>
      </c>
      <c r="E968" t="str">
        <f t="shared" si="184"/>
        <v>1</v>
      </c>
      <c r="F968" t="str">
        <f t="shared" si="197"/>
        <v>COM</v>
      </c>
      <c r="G968" t="str">
        <f>"KENNEDY MALVEIRA POLUCENO (1330)"</f>
        <v>KENNEDY MALVEIRA POLUCENO (1330)</v>
      </c>
      <c r="H968" t="str">
        <f>"Serv.Prest. 23/02/2026 a 01/03/2026 - PIX: CELULAR - CHAVE: (11) 91097-0937"</f>
        <v>Serv.Prest. 23/02/2026 a 01/03/2026 - PIX: CELULAR - CHAVE: (11) 91097-0937</v>
      </c>
      <c r="I968" t="str">
        <f t="shared" si="196"/>
        <v>05/03/2026</v>
      </c>
      <c r="J968" t="str">
        <f t="shared" si="194"/>
        <v>03/03/2026</v>
      </c>
      <c r="K968" t="str">
        <f>("05/03/2026")</f>
        <v>05/03/2026</v>
      </c>
      <c r="L968">
        <v>1000</v>
      </c>
      <c r="M968">
        <v>1000</v>
      </c>
      <c r="N968">
        <v>109</v>
      </c>
      <c r="O968" t="str">
        <f>"PAGAMENTO DE ENTREGADORES"</f>
        <v>PAGAMENTO DE ENTREGADORES</v>
      </c>
      <c r="P968">
        <v>1000</v>
      </c>
      <c r="S968" t="str">
        <f>"BANCO C6 (149)"</f>
        <v>BANCO C6 (149)</v>
      </c>
      <c r="T968">
        <v>30302</v>
      </c>
      <c r="U968">
        <v>33982</v>
      </c>
      <c r="V968" t="s">
        <v>37</v>
      </c>
    </row>
    <row r="969" spans="1:22">
      <c r="A969" t="str">
        <f t="shared" si="187"/>
        <v>05/03/2026</v>
      </c>
      <c r="B969" t="str">
        <f t="shared" si="195"/>
        <v>SAÍDA</v>
      </c>
      <c r="C969" t="str">
        <f t="shared" si="198"/>
        <v>PIX</v>
      </c>
      <c r="D969" t="str">
        <f>"33982"</f>
        <v>33982</v>
      </c>
      <c r="E969" t="str">
        <f t="shared" si="184"/>
        <v>1</v>
      </c>
      <c r="F969" t="str">
        <f t="shared" si="197"/>
        <v>COM</v>
      </c>
      <c r="G969" t="str">
        <f>"KENNEDY MALVEIRA POLUCENO (1330)"</f>
        <v>KENNEDY MALVEIRA POLUCENO (1330)</v>
      </c>
      <c r="H969" t="s">
        <v>376</v>
      </c>
      <c r="I969" t="str">
        <f t="shared" si="196"/>
        <v>05/03/2026</v>
      </c>
      <c r="J969" t="str">
        <f t="shared" si="194"/>
        <v>03/03/2026</v>
      </c>
      <c r="K969">
        <v>46086</v>
      </c>
      <c r="N969">
        <v>109</v>
      </c>
      <c r="O969" t="s">
        <v>27</v>
      </c>
      <c r="Q969">
        <v>250</v>
      </c>
      <c r="R969" t="str">
        <f>"PENSE FARMA 31 (10205)"</f>
        <v>PENSE FARMA 31 (10205)</v>
      </c>
      <c r="S969" t="s">
        <v>37</v>
      </c>
      <c r="T969">
        <v>30302</v>
      </c>
      <c r="U969">
        <v>33982</v>
      </c>
      <c r="V969" t="s">
        <v>37</v>
      </c>
    </row>
    <row r="970" spans="1:22">
      <c r="A970" t="str">
        <f t="shared" si="187"/>
        <v>05/03/2026</v>
      </c>
      <c r="B970" t="str">
        <f t="shared" si="195"/>
        <v>SAÍDA</v>
      </c>
      <c r="C970" t="str">
        <f t="shared" si="198"/>
        <v>PIX</v>
      </c>
      <c r="D970" t="str">
        <f>"33982"</f>
        <v>33982</v>
      </c>
      <c r="E970" t="str">
        <f t="shared" si="184"/>
        <v>1</v>
      </c>
      <c r="F970" t="str">
        <f t="shared" si="197"/>
        <v>COM</v>
      </c>
      <c r="G970" t="str">
        <f>"KENNEDY MALVEIRA POLUCENO (1330)"</f>
        <v>KENNEDY MALVEIRA POLUCENO (1330)</v>
      </c>
      <c r="H970" t="s">
        <v>376</v>
      </c>
      <c r="I970" t="str">
        <f t="shared" si="196"/>
        <v>05/03/2026</v>
      </c>
      <c r="J970" t="str">
        <f t="shared" si="194"/>
        <v>03/03/2026</v>
      </c>
      <c r="K970">
        <v>46086</v>
      </c>
      <c r="N970">
        <v>109</v>
      </c>
      <c r="O970" t="s">
        <v>27</v>
      </c>
      <c r="Q970">
        <v>250</v>
      </c>
      <c r="R970" t="str">
        <f>"PENSE FARMA 16 (10221)"</f>
        <v>PENSE FARMA 16 (10221)</v>
      </c>
      <c r="S970" t="s">
        <v>37</v>
      </c>
      <c r="T970">
        <v>30302</v>
      </c>
      <c r="U970">
        <v>33982</v>
      </c>
      <c r="V970" t="s">
        <v>37</v>
      </c>
    </row>
    <row r="971" spans="1:22">
      <c r="A971" t="str">
        <f t="shared" si="187"/>
        <v>05/03/2026</v>
      </c>
      <c r="B971" t="str">
        <f t="shared" si="195"/>
        <v>SAÍDA</v>
      </c>
      <c r="C971" t="str">
        <f t="shared" si="198"/>
        <v>PIX</v>
      </c>
      <c r="D971" t="str">
        <f>"33982"</f>
        <v>33982</v>
      </c>
      <c r="E971" t="str">
        <f t="shared" ref="E971:E1034" si="199">"1"</f>
        <v>1</v>
      </c>
      <c r="F971" t="str">
        <f t="shared" si="197"/>
        <v>COM</v>
      </c>
      <c r="G971" t="str">
        <f>"KENNEDY MALVEIRA POLUCENO (1330)"</f>
        <v>KENNEDY MALVEIRA POLUCENO (1330)</v>
      </c>
      <c r="H971" t="s">
        <v>376</v>
      </c>
      <c r="I971" t="str">
        <f t="shared" si="196"/>
        <v>05/03/2026</v>
      </c>
      <c r="J971" t="str">
        <f t="shared" si="194"/>
        <v>03/03/2026</v>
      </c>
      <c r="K971">
        <v>46086</v>
      </c>
      <c r="N971">
        <v>109</v>
      </c>
      <c r="O971" t="s">
        <v>27</v>
      </c>
      <c r="Q971">
        <v>250</v>
      </c>
      <c r="R971" t="str">
        <f>"PENSE FARMA 17 (10222)"</f>
        <v>PENSE FARMA 17 (10222)</v>
      </c>
      <c r="S971" t="s">
        <v>37</v>
      </c>
      <c r="T971">
        <v>30302</v>
      </c>
      <c r="U971">
        <v>33982</v>
      </c>
      <c r="V971" t="s">
        <v>37</v>
      </c>
    </row>
    <row r="972" spans="1:22">
      <c r="A972" t="str">
        <f t="shared" si="187"/>
        <v>05/03/2026</v>
      </c>
      <c r="B972" t="str">
        <f t="shared" si="195"/>
        <v>SAÍDA</v>
      </c>
      <c r="C972" t="str">
        <f t="shared" si="198"/>
        <v>PIX</v>
      </c>
      <c r="D972" t="str">
        <f>"33982"</f>
        <v>33982</v>
      </c>
      <c r="E972" t="str">
        <f t="shared" si="199"/>
        <v>1</v>
      </c>
      <c r="F972" t="str">
        <f t="shared" si="197"/>
        <v>COM</v>
      </c>
      <c r="G972" t="str">
        <f>"KENNEDY MALVEIRA POLUCENO (1330)"</f>
        <v>KENNEDY MALVEIRA POLUCENO (1330)</v>
      </c>
      <c r="H972" t="s">
        <v>376</v>
      </c>
      <c r="I972" t="str">
        <f t="shared" si="196"/>
        <v>05/03/2026</v>
      </c>
      <c r="J972" t="str">
        <f t="shared" si="194"/>
        <v>03/03/2026</v>
      </c>
      <c r="K972">
        <v>46086</v>
      </c>
      <c r="N972">
        <v>109</v>
      </c>
      <c r="O972" t="s">
        <v>27</v>
      </c>
      <c r="Q972">
        <v>250</v>
      </c>
      <c r="R972" t="str">
        <f>"PENSE FARMA 62 (10274)"</f>
        <v>PENSE FARMA 62 (10274)</v>
      </c>
      <c r="S972" t="s">
        <v>37</v>
      </c>
      <c r="T972">
        <v>30302</v>
      </c>
      <c r="U972">
        <v>33982</v>
      </c>
      <c r="V972" t="s">
        <v>37</v>
      </c>
    </row>
    <row r="973" spans="1:22">
      <c r="A973" t="str">
        <f t="shared" si="187"/>
        <v>05/03/2026</v>
      </c>
      <c r="B973" t="str">
        <f t="shared" si="195"/>
        <v>SAÍDA</v>
      </c>
      <c r="C973" t="str">
        <f t="shared" si="198"/>
        <v>PIX</v>
      </c>
      <c r="D973" t="str">
        <f t="shared" ref="D973:D978" si="200">"33985"</f>
        <v>33985</v>
      </c>
      <c r="E973" t="str">
        <f t="shared" si="199"/>
        <v>1</v>
      </c>
      <c r="F973" t="str">
        <f t="shared" si="197"/>
        <v>COM</v>
      </c>
      <c r="G973" t="str">
        <f t="shared" ref="G973:G978" si="201">"DANILO VICENTE MARINHO SANTOS (1018)"</f>
        <v>DANILO VICENTE MARINHO SANTOS (1018)</v>
      </c>
      <c r="H973" t="str">
        <f>"Serv.Prest. 23/02/2026 a 01/03/2026 - PIX: E-MAIL - CHAVE: vicentedanilo51@gmail.com"</f>
        <v>Serv.Prest. 23/02/2026 a 01/03/2026 - PIX: E-MAIL - CHAVE: vicentedanilo51@gmail.com</v>
      </c>
      <c r="I973" t="str">
        <f t="shared" si="196"/>
        <v>05/03/2026</v>
      </c>
      <c r="J973" t="str">
        <f t="shared" si="194"/>
        <v>03/03/2026</v>
      </c>
      <c r="K973" t="str">
        <f>("05/03/2026")</f>
        <v>05/03/2026</v>
      </c>
      <c r="L973">
        <v>1375</v>
      </c>
      <c r="M973">
        <v>1375</v>
      </c>
      <c r="N973">
        <v>109</v>
      </c>
      <c r="O973" t="str">
        <f>"PAGAMENTO DE ENTREGADORES"</f>
        <v>PAGAMENTO DE ENTREGADORES</v>
      </c>
      <c r="P973">
        <v>1375</v>
      </c>
      <c r="S973" t="str">
        <f>"BANCO C6 (149)"</f>
        <v>BANCO C6 (149)</v>
      </c>
      <c r="T973">
        <v>30303</v>
      </c>
      <c r="U973">
        <v>33985</v>
      </c>
      <c r="V973" t="s">
        <v>37</v>
      </c>
    </row>
    <row r="974" spans="1:22">
      <c r="A974" t="str">
        <f t="shared" si="187"/>
        <v>05/03/2026</v>
      </c>
      <c r="B974" t="str">
        <f t="shared" si="195"/>
        <v>SAÍDA</v>
      </c>
      <c r="C974" t="str">
        <f t="shared" si="198"/>
        <v>PIX</v>
      </c>
      <c r="D974" t="str">
        <f t="shared" si="200"/>
        <v>33985</v>
      </c>
      <c r="E974" t="str">
        <f t="shared" si="199"/>
        <v>1</v>
      </c>
      <c r="F974" t="str">
        <f t="shared" si="197"/>
        <v>COM</v>
      </c>
      <c r="G974" t="str">
        <f t="shared" si="201"/>
        <v>DANILO VICENTE MARINHO SANTOS (1018)</v>
      </c>
      <c r="H974" t="s">
        <v>377</v>
      </c>
      <c r="I974" t="str">
        <f t="shared" si="196"/>
        <v>05/03/2026</v>
      </c>
      <c r="J974" t="str">
        <f t="shared" si="194"/>
        <v>03/03/2026</v>
      </c>
      <c r="K974">
        <v>46086</v>
      </c>
      <c r="N974">
        <v>109</v>
      </c>
      <c r="O974" t="s">
        <v>27</v>
      </c>
      <c r="Q974">
        <v>275</v>
      </c>
      <c r="R974" t="str">
        <f>"PENSE FARMA 08 (10217)"</f>
        <v>PENSE FARMA 08 (10217)</v>
      </c>
      <c r="S974" t="s">
        <v>37</v>
      </c>
      <c r="T974">
        <v>30303</v>
      </c>
      <c r="U974">
        <v>33985</v>
      </c>
      <c r="V974" t="s">
        <v>37</v>
      </c>
    </row>
    <row r="975" spans="1:22">
      <c r="A975" t="str">
        <f t="shared" si="187"/>
        <v>05/03/2026</v>
      </c>
      <c r="B975" t="str">
        <f t="shared" si="195"/>
        <v>SAÍDA</v>
      </c>
      <c r="C975" t="str">
        <f t="shared" si="198"/>
        <v>PIX</v>
      </c>
      <c r="D975" t="str">
        <f t="shared" si="200"/>
        <v>33985</v>
      </c>
      <c r="E975" t="str">
        <f t="shared" si="199"/>
        <v>1</v>
      </c>
      <c r="F975" t="str">
        <f t="shared" si="197"/>
        <v>COM</v>
      </c>
      <c r="G975" t="str">
        <f t="shared" si="201"/>
        <v>DANILO VICENTE MARINHO SANTOS (1018)</v>
      </c>
      <c r="H975" t="s">
        <v>377</v>
      </c>
      <c r="I975" t="str">
        <f t="shared" si="196"/>
        <v>05/03/2026</v>
      </c>
      <c r="J975" t="str">
        <f t="shared" si="194"/>
        <v>03/03/2026</v>
      </c>
      <c r="K975">
        <v>46086</v>
      </c>
      <c r="N975">
        <v>109</v>
      </c>
      <c r="O975" t="s">
        <v>27</v>
      </c>
      <c r="Q975">
        <v>275</v>
      </c>
      <c r="R975" t="str">
        <f>"PENSE FARMA 11 (10220)"</f>
        <v>PENSE FARMA 11 (10220)</v>
      </c>
      <c r="S975" t="s">
        <v>37</v>
      </c>
      <c r="T975">
        <v>30303</v>
      </c>
      <c r="U975">
        <v>33985</v>
      </c>
      <c r="V975" t="s">
        <v>37</v>
      </c>
    </row>
    <row r="976" spans="1:22">
      <c r="A976" t="str">
        <f t="shared" si="187"/>
        <v>05/03/2026</v>
      </c>
      <c r="B976" t="str">
        <f t="shared" si="195"/>
        <v>SAÍDA</v>
      </c>
      <c r="C976" t="str">
        <f t="shared" si="198"/>
        <v>PIX</v>
      </c>
      <c r="D976" t="str">
        <f t="shared" si="200"/>
        <v>33985</v>
      </c>
      <c r="E976" t="str">
        <f t="shared" si="199"/>
        <v>1</v>
      </c>
      <c r="F976" t="str">
        <f t="shared" si="197"/>
        <v>COM</v>
      </c>
      <c r="G976" t="str">
        <f t="shared" si="201"/>
        <v>DANILO VICENTE MARINHO SANTOS (1018)</v>
      </c>
      <c r="H976" t="s">
        <v>377</v>
      </c>
      <c r="I976" t="str">
        <f t="shared" si="196"/>
        <v>05/03/2026</v>
      </c>
      <c r="J976" t="str">
        <f t="shared" si="194"/>
        <v>03/03/2026</v>
      </c>
      <c r="K976">
        <v>46086</v>
      </c>
      <c r="N976">
        <v>109</v>
      </c>
      <c r="O976" t="s">
        <v>27</v>
      </c>
      <c r="Q976">
        <v>275</v>
      </c>
      <c r="R976" t="str">
        <f>"PENSE FARMA 41 (10229)"</f>
        <v>PENSE FARMA 41 (10229)</v>
      </c>
      <c r="S976" t="s">
        <v>37</v>
      </c>
      <c r="T976">
        <v>30303</v>
      </c>
      <c r="U976">
        <v>33985</v>
      </c>
      <c r="V976" t="s">
        <v>37</v>
      </c>
    </row>
    <row r="977" spans="1:22">
      <c r="A977" t="str">
        <f t="shared" si="187"/>
        <v>05/03/2026</v>
      </c>
      <c r="B977" t="str">
        <f t="shared" si="195"/>
        <v>SAÍDA</v>
      </c>
      <c r="C977" t="str">
        <f t="shared" si="198"/>
        <v>PIX</v>
      </c>
      <c r="D977" t="str">
        <f t="shared" si="200"/>
        <v>33985</v>
      </c>
      <c r="E977" t="str">
        <f t="shared" si="199"/>
        <v>1</v>
      </c>
      <c r="F977" t="str">
        <f t="shared" si="197"/>
        <v>COM</v>
      </c>
      <c r="G977" t="str">
        <f t="shared" si="201"/>
        <v>DANILO VICENTE MARINHO SANTOS (1018)</v>
      </c>
      <c r="H977" t="s">
        <v>377</v>
      </c>
      <c r="I977" t="str">
        <f t="shared" si="196"/>
        <v>05/03/2026</v>
      </c>
      <c r="J977" t="str">
        <f t="shared" si="194"/>
        <v>03/03/2026</v>
      </c>
      <c r="K977">
        <v>46086</v>
      </c>
      <c r="N977">
        <v>109</v>
      </c>
      <c r="O977" t="s">
        <v>27</v>
      </c>
      <c r="Q977">
        <v>275</v>
      </c>
      <c r="R977" t="str">
        <f>"PENSE FARMA 42 (10230)"</f>
        <v>PENSE FARMA 42 (10230)</v>
      </c>
      <c r="S977" t="s">
        <v>37</v>
      </c>
      <c r="T977">
        <v>30303</v>
      </c>
      <c r="U977">
        <v>33985</v>
      </c>
      <c r="V977" t="s">
        <v>37</v>
      </c>
    </row>
    <row r="978" spans="1:22">
      <c r="A978" t="str">
        <f t="shared" si="187"/>
        <v>05/03/2026</v>
      </c>
      <c r="B978" t="str">
        <f t="shared" si="195"/>
        <v>SAÍDA</v>
      </c>
      <c r="C978" t="str">
        <f t="shared" si="198"/>
        <v>PIX</v>
      </c>
      <c r="D978" t="str">
        <f t="shared" si="200"/>
        <v>33985</v>
      </c>
      <c r="E978" t="str">
        <f t="shared" si="199"/>
        <v>1</v>
      </c>
      <c r="F978" t="str">
        <f t="shared" si="197"/>
        <v>COM</v>
      </c>
      <c r="G978" t="str">
        <f t="shared" si="201"/>
        <v>DANILO VICENTE MARINHO SANTOS (1018)</v>
      </c>
      <c r="H978" t="s">
        <v>377</v>
      </c>
      <c r="I978" t="str">
        <f t="shared" si="196"/>
        <v>05/03/2026</v>
      </c>
      <c r="J978" t="str">
        <f t="shared" si="194"/>
        <v>03/03/2026</v>
      </c>
      <c r="K978">
        <v>46086</v>
      </c>
      <c r="N978">
        <v>109</v>
      </c>
      <c r="O978" t="s">
        <v>27</v>
      </c>
      <c r="Q978">
        <v>275</v>
      </c>
      <c r="R978" t="str">
        <f>"PENSE FARMA 52 (10236)"</f>
        <v>PENSE FARMA 52 (10236)</v>
      </c>
      <c r="S978" t="s">
        <v>37</v>
      </c>
      <c r="T978">
        <v>30303</v>
      </c>
      <c r="U978">
        <v>33985</v>
      </c>
      <c r="V978" t="s">
        <v>37</v>
      </c>
    </row>
    <row r="979" spans="1:22">
      <c r="A979" t="str">
        <f t="shared" si="187"/>
        <v>05/03/2026</v>
      </c>
      <c r="B979" t="str">
        <f t="shared" si="195"/>
        <v>SAÍDA</v>
      </c>
      <c r="C979" t="str">
        <f t="shared" si="198"/>
        <v>PIX</v>
      </c>
      <c r="D979" t="str">
        <f t="shared" ref="D979:D984" si="202">"33986"</f>
        <v>33986</v>
      </c>
      <c r="E979" t="str">
        <f t="shared" si="199"/>
        <v>1</v>
      </c>
      <c r="F979" t="str">
        <f t="shared" si="197"/>
        <v>COM</v>
      </c>
      <c r="G979" t="str">
        <f t="shared" ref="G979:G984" si="203">"EDUARDO RODRIGUES ALVES STEPHANO (999)"</f>
        <v>EDUARDO RODRIGUES ALVES STEPHANO (999)</v>
      </c>
      <c r="H979" t="str">
        <f>"Serv.Prest. 23/02/2026 a 01/03/2026 - PIX: CPF - CHAVE: 370.849.948-40"</f>
        <v>Serv.Prest. 23/02/2026 a 01/03/2026 - PIX: CPF - CHAVE: 370.849.948-40</v>
      </c>
      <c r="I979" t="str">
        <f t="shared" si="196"/>
        <v>05/03/2026</v>
      </c>
      <c r="J979" t="str">
        <f t="shared" si="194"/>
        <v>03/03/2026</v>
      </c>
      <c r="K979" t="str">
        <f>("05/03/2026")</f>
        <v>05/03/2026</v>
      </c>
      <c r="L979">
        <v>1370</v>
      </c>
      <c r="M979">
        <v>1370</v>
      </c>
      <c r="N979">
        <v>109</v>
      </c>
      <c r="O979" t="str">
        <f>"PAGAMENTO DE ENTREGADORES"</f>
        <v>PAGAMENTO DE ENTREGADORES</v>
      </c>
      <c r="P979">
        <v>1370</v>
      </c>
      <c r="S979" t="str">
        <f>"BANCO C6 (149)"</f>
        <v>BANCO C6 (149)</v>
      </c>
      <c r="T979">
        <v>30304</v>
      </c>
      <c r="U979">
        <v>33986</v>
      </c>
      <c r="V979" t="s">
        <v>37</v>
      </c>
    </row>
    <row r="980" spans="1:22">
      <c r="A980" t="str">
        <f t="shared" si="187"/>
        <v>05/03/2026</v>
      </c>
      <c r="B980" t="str">
        <f t="shared" si="195"/>
        <v>SAÍDA</v>
      </c>
      <c r="C980" t="str">
        <f t="shared" si="198"/>
        <v>PIX</v>
      </c>
      <c r="D980" t="str">
        <f t="shared" si="202"/>
        <v>33986</v>
      </c>
      <c r="E980" t="str">
        <f t="shared" si="199"/>
        <v>1</v>
      </c>
      <c r="F980" t="str">
        <f t="shared" si="197"/>
        <v>COM</v>
      </c>
      <c r="G980" t="str">
        <f t="shared" si="203"/>
        <v>EDUARDO RODRIGUES ALVES STEPHANO (999)</v>
      </c>
      <c r="H980" t="s">
        <v>378</v>
      </c>
      <c r="I980" t="str">
        <f t="shared" si="196"/>
        <v>05/03/2026</v>
      </c>
      <c r="J980" t="str">
        <f t="shared" si="194"/>
        <v>03/03/2026</v>
      </c>
      <c r="K980">
        <v>46086</v>
      </c>
      <c r="N980">
        <v>109</v>
      </c>
      <c r="O980" t="s">
        <v>27</v>
      </c>
      <c r="Q980">
        <v>274</v>
      </c>
      <c r="R980" t="str">
        <f>"PENSE FARMA 08 (10217)"</f>
        <v>PENSE FARMA 08 (10217)</v>
      </c>
      <c r="S980" t="s">
        <v>37</v>
      </c>
      <c r="T980">
        <v>30304</v>
      </c>
      <c r="U980">
        <v>33986</v>
      </c>
      <c r="V980" t="s">
        <v>37</v>
      </c>
    </row>
    <row r="981" spans="1:22">
      <c r="A981" t="str">
        <f t="shared" si="187"/>
        <v>05/03/2026</v>
      </c>
      <c r="B981" t="str">
        <f t="shared" si="195"/>
        <v>SAÍDA</v>
      </c>
      <c r="C981" t="str">
        <f t="shared" si="198"/>
        <v>PIX</v>
      </c>
      <c r="D981" t="str">
        <f t="shared" si="202"/>
        <v>33986</v>
      </c>
      <c r="E981" t="str">
        <f t="shared" si="199"/>
        <v>1</v>
      </c>
      <c r="F981" t="str">
        <f t="shared" si="197"/>
        <v>COM</v>
      </c>
      <c r="G981" t="str">
        <f t="shared" si="203"/>
        <v>EDUARDO RODRIGUES ALVES STEPHANO (999)</v>
      </c>
      <c r="H981" t="s">
        <v>378</v>
      </c>
      <c r="I981" t="str">
        <f t="shared" si="196"/>
        <v>05/03/2026</v>
      </c>
      <c r="J981" t="str">
        <f t="shared" si="194"/>
        <v>03/03/2026</v>
      </c>
      <c r="K981">
        <v>46086</v>
      </c>
      <c r="N981">
        <v>109</v>
      </c>
      <c r="O981" t="s">
        <v>27</v>
      </c>
      <c r="Q981">
        <v>274</v>
      </c>
      <c r="R981" t="str">
        <f>"PENSE FARMA 11 (10220)"</f>
        <v>PENSE FARMA 11 (10220)</v>
      </c>
      <c r="S981" t="s">
        <v>37</v>
      </c>
      <c r="T981">
        <v>30304</v>
      </c>
      <c r="U981">
        <v>33986</v>
      </c>
      <c r="V981" t="s">
        <v>37</v>
      </c>
    </row>
    <row r="982" spans="1:22">
      <c r="A982" t="str">
        <f t="shared" si="187"/>
        <v>05/03/2026</v>
      </c>
      <c r="B982" t="str">
        <f t="shared" si="195"/>
        <v>SAÍDA</v>
      </c>
      <c r="C982" t="str">
        <f t="shared" si="198"/>
        <v>PIX</v>
      </c>
      <c r="D982" t="str">
        <f t="shared" si="202"/>
        <v>33986</v>
      </c>
      <c r="E982" t="str">
        <f t="shared" si="199"/>
        <v>1</v>
      </c>
      <c r="F982" t="str">
        <f t="shared" si="197"/>
        <v>COM</v>
      </c>
      <c r="G982" t="str">
        <f t="shared" si="203"/>
        <v>EDUARDO RODRIGUES ALVES STEPHANO (999)</v>
      </c>
      <c r="H982" t="s">
        <v>378</v>
      </c>
      <c r="I982" t="str">
        <f t="shared" si="196"/>
        <v>05/03/2026</v>
      </c>
      <c r="J982" t="str">
        <f t="shared" si="194"/>
        <v>03/03/2026</v>
      </c>
      <c r="K982">
        <v>46086</v>
      </c>
      <c r="N982">
        <v>109</v>
      </c>
      <c r="O982" t="s">
        <v>27</v>
      </c>
      <c r="Q982">
        <v>274</v>
      </c>
      <c r="R982" t="str">
        <f>"PENSE FARMA 41 (10229)"</f>
        <v>PENSE FARMA 41 (10229)</v>
      </c>
      <c r="S982" t="s">
        <v>37</v>
      </c>
      <c r="T982">
        <v>30304</v>
      </c>
      <c r="U982">
        <v>33986</v>
      </c>
      <c r="V982" t="s">
        <v>37</v>
      </c>
    </row>
    <row r="983" spans="1:22">
      <c r="A983" t="str">
        <f t="shared" si="187"/>
        <v>05/03/2026</v>
      </c>
      <c r="B983" t="str">
        <f t="shared" si="195"/>
        <v>SAÍDA</v>
      </c>
      <c r="C983" t="str">
        <f t="shared" si="198"/>
        <v>PIX</v>
      </c>
      <c r="D983" t="str">
        <f t="shared" si="202"/>
        <v>33986</v>
      </c>
      <c r="E983" t="str">
        <f t="shared" si="199"/>
        <v>1</v>
      </c>
      <c r="F983" t="str">
        <f t="shared" si="197"/>
        <v>COM</v>
      </c>
      <c r="G983" t="str">
        <f t="shared" si="203"/>
        <v>EDUARDO RODRIGUES ALVES STEPHANO (999)</v>
      </c>
      <c r="H983" t="s">
        <v>378</v>
      </c>
      <c r="I983" t="str">
        <f t="shared" si="196"/>
        <v>05/03/2026</v>
      </c>
      <c r="J983" t="str">
        <f t="shared" si="194"/>
        <v>03/03/2026</v>
      </c>
      <c r="K983">
        <v>46086</v>
      </c>
      <c r="N983">
        <v>109</v>
      </c>
      <c r="O983" t="s">
        <v>27</v>
      </c>
      <c r="Q983">
        <v>274</v>
      </c>
      <c r="R983" t="str">
        <f>"PENSE FARMA 42 (10230)"</f>
        <v>PENSE FARMA 42 (10230)</v>
      </c>
      <c r="S983" t="s">
        <v>37</v>
      </c>
      <c r="T983">
        <v>30304</v>
      </c>
      <c r="U983">
        <v>33986</v>
      </c>
      <c r="V983" t="s">
        <v>37</v>
      </c>
    </row>
    <row r="984" spans="1:22">
      <c r="A984" t="str">
        <f t="shared" si="187"/>
        <v>05/03/2026</v>
      </c>
      <c r="B984" t="str">
        <f t="shared" si="195"/>
        <v>SAÍDA</v>
      </c>
      <c r="C984" t="str">
        <f t="shared" si="198"/>
        <v>PIX</v>
      </c>
      <c r="D984" t="str">
        <f t="shared" si="202"/>
        <v>33986</v>
      </c>
      <c r="E984" t="str">
        <f t="shared" si="199"/>
        <v>1</v>
      </c>
      <c r="F984" t="str">
        <f t="shared" si="197"/>
        <v>COM</v>
      </c>
      <c r="G984" t="str">
        <f t="shared" si="203"/>
        <v>EDUARDO RODRIGUES ALVES STEPHANO (999)</v>
      </c>
      <c r="H984" t="s">
        <v>378</v>
      </c>
      <c r="I984" t="str">
        <f t="shared" si="196"/>
        <v>05/03/2026</v>
      </c>
      <c r="J984" t="str">
        <f t="shared" ref="J984:J1015" si="204">("03/03/2026")</f>
        <v>03/03/2026</v>
      </c>
      <c r="K984">
        <v>46086</v>
      </c>
      <c r="N984">
        <v>109</v>
      </c>
      <c r="O984" t="s">
        <v>27</v>
      </c>
      <c r="Q984">
        <v>274</v>
      </c>
      <c r="R984" t="str">
        <f>"PENSE FARMA 52 (10236)"</f>
        <v>PENSE FARMA 52 (10236)</v>
      </c>
      <c r="S984" t="s">
        <v>37</v>
      </c>
      <c r="T984">
        <v>30304</v>
      </c>
      <c r="U984">
        <v>33986</v>
      </c>
      <c r="V984" t="s">
        <v>37</v>
      </c>
    </row>
    <row r="985" spans="1:22">
      <c r="A985" t="str">
        <f t="shared" si="187"/>
        <v>05/03/2026</v>
      </c>
      <c r="B985" t="str">
        <f t="shared" si="195"/>
        <v>SAÍDA</v>
      </c>
      <c r="C985" t="str">
        <f t="shared" si="198"/>
        <v>PIX</v>
      </c>
      <c r="D985" t="str">
        <f>"33989"</f>
        <v>33989</v>
      </c>
      <c r="E985" t="str">
        <f t="shared" si="199"/>
        <v>1</v>
      </c>
      <c r="F985" t="str">
        <f t="shared" si="197"/>
        <v>COM</v>
      </c>
      <c r="G985" t="str">
        <f>"GABRIEL SIQUEIRA DA SILVA (997)"</f>
        <v>GABRIEL SIQUEIRA DA SILVA (997)</v>
      </c>
      <c r="H985" t="str">
        <f>"Serv.Prest. 23/02/2026 a 01/03/2026 - PIX: CPF - CHAVE: 500.480.978-02"</f>
        <v>Serv.Prest. 23/02/2026 a 01/03/2026 - PIX: CPF - CHAVE: 500.480.978-02</v>
      </c>
      <c r="I985" t="str">
        <f t="shared" si="196"/>
        <v>05/03/2026</v>
      </c>
      <c r="J985" t="str">
        <f t="shared" si="204"/>
        <v>03/03/2026</v>
      </c>
      <c r="K985" t="str">
        <f>("05/03/2026")</f>
        <v>05/03/2026</v>
      </c>
      <c r="L985">
        <v>800</v>
      </c>
      <c r="M985">
        <v>800</v>
      </c>
      <c r="N985">
        <v>109</v>
      </c>
      <c r="O985" t="str">
        <f>"PAGAMENTO DE ENTREGADORES"</f>
        <v>PAGAMENTO DE ENTREGADORES</v>
      </c>
      <c r="P985">
        <v>800</v>
      </c>
      <c r="S985" t="str">
        <f>"BANCO C6 (149)"</f>
        <v>BANCO C6 (149)</v>
      </c>
      <c r="T985">
        <v>30305</v>
      </c>
      <c r="U985">
        <v>33989</v>
      </c>
      <c r="V985" t="s">
        <v>37</v>
      </c>
    </row>
    <row r="986" spans="1:22">
      <c r="A986" t="str">
        <f t="shared" si="187"/>
        <v>05/03/2026</v>
      </c>
      <c r="B986" t="str">
        <f t="shared" si="195"/>
        <v>SAÍDA</v>
      </c>
      <c r="C986" t="str">
        <f t="shared" si="198"/>
        <v>PIX</v>
      </c>
      <c r="D986" t="str">
        <f>"33989"</f>
        <v>33989</v>
      </c>
      <c r="E986" t="str">
        <f t="shared" si="199"/>
        <v>1</v>
      </c>
      <c r="F986" t="str">
        <f t="shared" si="197"/>
        <v>COM</v>
      </c>
      <c r="G986" t="str">
        <f>"GABRIEL SIQUEIRA DA SILVA (997)"</f>
        <v>GABRIEL SIQUEIRA DA SILVA (997)</v>
      </c>
      <c r="H986" t="s">
        <v>379</v>
      </c>
      <c r="I986" t="str">
        <f t="shared" si="196"/>
        <v>05/03/2026</v>
      </c>
      <c r="J986" t="str">
        <f t="shared" si="204"/>
        <v>03/03/2026</v>
      </c>
      <c r="K986">
        <v>46086</v>
      </c>
      <c r="N986">
        <v>109</v>
      </c>
      <c r="O986" t="s">
        <v>27</v>
      </c>
      <c r="Q986">
        <v>800</v>
      </c>
      <c r="R986" t="str">
        <f>"PENSE FARMA 49 (10234)"</f>
        <v>PENSE FARMA 49 (10234)</v>
      </c>
      <c r="S986" t="s">
        <v>37</v>
      </c>
      <c r="T986">
        <v>30305</v>
      </c>
      <c r="U986">
        <v>33989</v>
      </c>
      <c r="V986" t="s">
        <v>37</v>
      </c>
    </row>
    <row r="987" spans="1:22">
      <c r="A987" t="str">
        <f t="shared" si="187"/>
        <v>05/03/2026</v>
      </c>
      <c r="B987" t="str">
        <f t="shared" si="195"/>
        <v>SAÍDA</v>
      </c>
      <c r="C987" t="str">
        <f t="shared" si="198"/>
        <v>PIX</v>
      </c>
      <c r="D987" t="str">
        <f>"33991"</f>
        <v>33991</v>
      </c>
      <c r="E987" t="str">
        <f t="shared" si="199"/>
        <v>1</v>
      </c>
      <c r="F987" t="str">
        <f t="shared" si="197"/>
        <v>COM</v>
      </c>
      <c r="G987" t="str">
        <f>"PEDRO HENRIQUE XAVIER DOS SANTOS (993)"</f>
        <v>PEDRO HENRIQUE XAVIER DOS SANTOS (993)</v>
      </c>
      <c r="H987" t="str">
        <f>"Serv.Prest. 23/02/2026 a 01/03/2026 - PIX: CPF - CHAVE: 489.237.478-40"</f>
        <v>Serv.Prest. 23/02/2026 a 01/03/2026 - PIX: CPF - CHAVE: 489.237.478-40</v>
      </c>
      <c r="I987" t="str">
        <f t="shared" si="196"/>
        <v>05/03/2026</v>
      </c>
      <c r="J987" t="str">
        <f t="shared" si="204"/>
        <v>03/03/2026</v>
      </c>
      <c r="K987" t="str">
        <f>("05/03/2026")</f>
        <v>05/03/2026</v>
      </c>
      <c r="L987">
        <v>800</v>
      </c>
      <c r="M987">
        <v>800</v>
      </c>
      <c r="N987">
        <v>109</v>
      </c>
      <c r="O987" t="str">
        <f>"PAGAMENTO DE ENTREGADORES"</f>
        <v>PAGAMENTO DE ENTREGADORES</v>
      </c>
      <c r="P987">
        <v>800</v>
      </c>
      <c r="S987" t="str">
        <f>"BANCO C6 (149)"</f>
        <v>BANCO C6 (149)</v>
      </c>
      <c r="T987">
        <v>30306</v>
      </c>
      <c r="U987">
        <v>33991</v>
      </c>
      <c r="V987" t="s">
        <v>37</v>
      </c>
    </row>
    <row r="988" spans="1:22">
      <c r="A988" t="str">
        <f t="shared" si="187"/>
        <v>05/03/2026</v>
      </c>
      <c r="B988" t="str">
        <f t="shared" si="195"/>
        <v>SAÍDA</v>
      </c>
      <c r="C988" t="str">
        <f t="shared" si="198"/>
        <v>PIX</v>
      </c>
      <c r="D988" t="str">
        <f>"33991"</f>
        <v>33991</v>
      </c>
      <c r="E988" t="str">
        <f t="shared" si="199"/>
        <v>1</v>
      </c>
      <c r="F988" t="str">
        <f t="shared" si="197"/>
        <v>COM</v>
      </c>
      <c r="G988" t="str">
        <f>"PEDRO HENRIQUE XAVIER DOS SANTOS (993)"</f>
        <v>PEDRO HENRIQUE XAVIER DOS SANTOS (993)</v>
      </c>
      <c r="H988" t="s">
        <v>380</v>
      </c>
      <c r="I988" t="str">
        <f t="shared" si="196"/>
        <v>05/03/2026</v>
      </c>
      <c r="J988" t="str">
        <f t="shared" si="204"/>
        <v>03/03/2026</v>
      </c>
      <c r="K988">
        <v>46086</v>
      </c>
      <c r="N988">
        <v>109</v>
      </c>
      <c r="O988" t="s">
        <v>27</v>
      </c>
      <c r="Q988">
        <v>800</v>
      </c>
      <c r="R988" t="str">
        <f>"PENSE FARMA 35 (10227)"</f>
        <v>PENSE FARMA 35 (10227)</v>
      </c>
      <c r="S988" t="s">
        <v>37</v>
      </c>
      <c r="T988">
        <v>30306</v>
      </c>
      <c r="U988">
        <v>33991</v>
      </c>
      <c r="V988" t="s">
        <v>37</v>
      </c>
    </row>
    <row r="989" spans="1:22">
      <c r="A989" t="str">
        <f t="shared" si="187"/>
        <v>05/03/2026</v>
      </c>
      <c r="B989" t="str">
        <f t="shared" si="195"/>
        <v>SAÍDA</v>
      </c>
      <c r="C989" t="str">
        <f t="shared" si="198"/>
        <v>PIX</v>
      </c>
      <c r="D989" t="str">
        <f>"33993"</f>
        <v>33993</v>
      </c>
      <c r="E989" t="str">
        <f t="shared" si="199"/>
        <v>1</v>
      </c>
      <c r="F989" t="str">
        <f t="shared" si="197"/>
        <v>COM</v>
      </c>
      <c r="G989" t="str">
        <f>"ALEX GLAUBER PEREIRA (1329)"</f>
        <v>ALEX GLAUBER PEREIRA (1329)</v>
      </c>
      <c r="H989" t="str">
        <f>"Serv.Prest. 23/02/2026 a 01/03/2026 - PIX: CELULAR - CHAVE: (11) 91487-0314"</f>
        <v>Serv.Prest. 23/02/2026 a 01/03/2026 - PIX: CELULAR - CHAVE: (11) 91487-0314</v>
      </c>
      <c r="I989" t="str">
        <f t="shared" si="196"/>
        <v>05/03/2026</v>
      </c>
      <c r="J989" t="str">
        <f t="shared" si="204"/>
        <v>03/03/2026</v>
      </c>
      <c r="K989" t="str">
        <f>("05/03/2026")</f>
        <v>05/03/2026</v>
      </c>
      <c r="L989">
        <v>1300</v>
      </c>
      <c r="M989">
        <v>1300</v>
      </c>
      <c r="N989">
        <v>109</v>
      </c>
      <c r="O989" t="str">
        <f>"PAGAMENTO DE ENTREGADORES"</f>
        <v>PAGAMENTO DE ENTREGADORES</v>
      </c>
      <c r="P989">
        <v>1300</v>
      </c>
      <c r="S989" t="str">
        <f>"BANCO C6 (149)"</f>
        <v>BANCO C6 (149)</v>
      </c>
      <c r="T989">
        <v>30307</v>
      </c>
      <c r="U989">
        <v>33993</v>
      </c>
      <c r="V989" t="s">
        <v>37</v>
      </c>
    </row>
    <row r="990" spans="1:22">
      <c r="A990" t="str">
        <f t="shared" si="187"/>
        <v>05/03/2026</v>
      </c>
      <c r="B990" t="str">
        <f t="shared" si="195"/>
        <v>SAÍDA</v>
      </c>
      <c r="C990" t="str">
        <f t="shared" si="198"/>
        <v>PIX</v>
      </c>
      <c r="D990" t="str">
        <f>"33993"</f>
        <v>33993</v>
      </c>
      <c r="E990" t="str">
        <f t="shared" si="199"/>
        <v>1</v>
      </c>
      <c r="F990" t="str">
        <f t="shared" si="197"/>
        <v>COM</v>
      </c>
      <c r="G990" t="str">
        <f>"ALEX GLAUBER PEREIRA (1329)"</f>
        <v>ALEX GLAUBER PEREIRA (1329)</v>
      </c>
      <c r="H990" t="s">
        <v>381</v>
      </c>
      <c r="I990" t="str">
        <f t="shared" si="196"/>
        <v>05/03/2026</v>
      </c>
      <c r="J990" t="str">
        <f t="shared" si="204"/>
        <v>03/03/2026</v>
      </c>
      <c r="K990">
        <v>46086</v>
      </c>
      <c r="N990">
        <v>109</v>
      </c>
      <c r="O990" t="s">
        <v>27</v>
      </c>
      <c r="Q990">
        <v>325</v>
      </c>
      <c r="R990" t="str">
        <f>"PENSE FARMA 02 (10199)"</f>
        <v>PENSE FARMA 02 (10199)</v>
      </c>
      <c r="S990" t="s">
        <v>37</v>
      </c>
      <c r="T990">
        <v>30307</v>
      </c>
      <c r="U990">
        <v>33993</v>
      </c>
      <c r="V990" t="s">
        <v>37</v>
      </c>
    </row>
    <row r="991" spans="1:22">
      <c r="A991" t="str">
        <f t="shared" si="187"/>
        <v>05/03/2026</v>
      </c>
      <c r="B991" t="str">
        <f t="shared" si="195"/>
        <v>SAÍDA</v>
      </c>
      <c r="C991" t="str">
        <f t="shared" si="198"/>
        <v>PIX</v>
      </c>
      <c r="D991" t="str">
        <f>"33993"</f>
        <v>33993</v>
      </c>
      <c r="E991" t="str">
        <f t="shared" si="199"/>
        <v>1</v>
      </c>
      <c r="F991" t="str">
        <f t="shared" si="197"/>
        <v>COM</v>
      </c>
      <c r="G991" t="str">
        <f>"ALEX GLAUBER PEREIRA (1329)"</f>
        <v>ALEX GLAUBER PEREIRA (1329)</v>
      </c>
      <c r="H991" t="s">
        <v>381</v>
      </c>
      <c r="I991" t="str">
        <f t="shared" si="196"/>
        <v>05/03/2026</v>
      </c>
      <c r="J991" t="str">
        <f t="shared" si="204"/>
        <v>03/03/2026</v>
      </c>
      <c r="K991">
        <v>46086</v>
      </c>
      <c r="N991">
        <v>109</v>
      </c>
      <c r="O991" t="s">
        <v>27</v>
      </c>
      <c r="Q991">
        <v>325</v>
      </c>
      <c r="R991" t="str">
        <f>"PENSE FARMA 01 (10215)"</f>
        <v>PENSE FARMA 01 (10215)</v>
      </c>
      <c r="S991" t="s">
        <v>37</v>
      </c>
      <c r="T991">
        <v>30307</v>
      </c>
      <c r="U991">
        <v>33993</v>
      </c>
      <c r="V991" t="s">
        <v>37</v>
      </c>
    </row>
    <row r="992" spans="1:22">
      <c r="A992" t="str">
        <f t="shared" ref="A992:A1060" si="205">("05/03/2026")</f>
        <v>05/03/2026</v>
      </c>
      <c r="B992" t="str">
        <f t="shared" si="195"/>
        <v>SAÍDA</v>
      </c>
      <c r="C992" t="str">
        <f t="shared" si="198"/>
        <v>PIX</v>
      </c>
      <c r="D992" t="str">
        <f>"33993"</f>
        <v>33993</v>
      </c>
      <c r="E992" t="str">
        <f t="shared" si="199"/>
        <v>1</v>
      </c>
      <c r="F992" t="str">
        <f t="shared" si="197"/>
        <v>COM</v>
      </c>
      <c r="G992" t="str">
        <f>"ALEX GLAUBER PEREIRA (1329)"</f>
        <v>ALEX GLAUBER PEREIRA (1329)</v>
      </c>
      <c r="H992" t="s">
        <v>381</v>
      </c>
      <c r="I992" t="str">
        <f t="shared" si="196"/>
        <v>05/03/2026</v>
      </c>
      <c r="J992" t="str">
        <f t="shared" si="204"/>
        <v>03/03/2026</v>
      </c>
      <c r="K992">
        <v>46086</v>
      </c>
      <c r="N992">
        <v>109</v>
      </c>
      <c r="O992" t="s">
        <v>27</v>
      </c>
      <c r="Q992">
        <v>325</v>
      </c>
      <c r="R992" t="str">
        <f>"PENSE FARMA 03 (10216)"</f>
        <v>PENSE FARMA 03 (10216)</v>
      </c>
      <c r="S992" t="s">
        <v>37</v>
      </c>
      <c r="T992">
        <v>30307</v>
      </c>
      <c r="U992">
        <v>33993</v>
      </c>
      <c r="V992" t="s">
        <v>37</v>
      </c>
    </row>
    <row r="993" spans="1:22">
      <c r="A993" t="str">
        <f t="shared" si="205"/>
        <v>05/03/2026</v>
      </c>
      <c r="B993" t="str">
        <f t="shared" si="195"/>
        <v>SAÍDA</v>
      </c>
      <c r="C993" t="str">
        <f t="shared" si="198"/>
        <v>PIX</v>
      </c>
      <c r="D993" t="str">
        <f>"33993"</f>
        <v>33993</v>
      </c>
      <c r="E993" t="str">
        <f t="shared" si="199"/>
        <v>1</v>
      </c>
      <c r="F993" t="str">
        <f t="shared" si="197"/>
        <v>COM</v>
      </c>
      <c r="G993" t="str">
        <f>"ALEX GLAUBER PEREIRA (1329)"</f>
        <v>ALEX GLAUBER PEREIRA (1329)</v>
      </c>
      <c r="H993" t="s">
        <v>381</v>
      </c>
      <c r="I993" t="str">
        <f t="shared" si="196"/>
        <v>05/03/2026</v>
      </c>
      <c r="J993" t="str">
        <f t="shared" si="204"/>
        <v>03/03/2026</v>
      </c>
      <c r="K993">
        <v>46086</v>
      </c>
      <c r="N993">
        <v>109</v>
      </c>
      <c r="O993" t="s">
        <v>27</v>
      </c>
      <c r="Q993">
        <v>325</v>
      </c>
      <c r="R993" t="str">
        <f>"PENSE FARMA 39 (10228)"</f>
        <v>PENSE FARMA 39 (10228)</v>
      </c>
      <c r="S993" t="s">
        <v>37</v>
      </c>
      <c r="T993">
        <v>30307</v>
      </c>
      <c r="U993">
        <v>33993</v>
      </c>
      <c r="V993" t="s">
        <v>37</v>
      </c>
    </row>
    <row r="994" spans="1:22">
      <c r="A994" t="str">
        <f t="shared" si="205"/>
        <v>05/03/2026</v>
      </c>
      <c r="B994" t="str">
        <f t="shared" si="195"/>
        <v>SAÍDA</v>
      </c>
      <c r="C994" t="str">
        <f t="shared" si="198"/>
        <v>PIX</v>
      </c>
      <c r="D994" t="str">
        <f>"33994"</f>
        <v>33994</v>
      </c>
      <c r="E994" t="str">
        <f t="shared" si="199"/>
        <v>1</v>
      </c>
      <c r="F994" t="str">
        <f t="shared" si="197"/>
        <v>COM</v>
      </c>
      <c r="G994" t="str">
        <f>"IGOR LOPES DA SILVA (991)"</f>
        <v>IGOR LOPES DA SILVA (991)</v>
      </c>
      <c r="H994" t="str">
        <f>"Serv.Prest. 23/02/2026 a 01/03/2026 - PIX: CELULAR - CHAVE: (11) 95054-2206"</f>
        <v>Serv.Prest. 23/02/2026 a 01/03/2026 - PIX: CELULAR - CHAVE: (11) 95054-2206</v>
      </c>
      <c r="I994" t="str">
        <f t="shared" si="196"/>
        <v>05/03/2026</v>
      </c>
      <c r="J994" t="str">
        <f t="shared" si="204"/>
        <v>03/03/2026</v>
      </c>
      <c r="K994" t="str">
        <f>("05/03/2026")</f>
        <v>05/03/2026</v>
      </c>
      <c r="L994">
        <v>1300</v>
      </c>
      <c r="M994">
        <v>1300</v>
      </c>
      <c r="N994">
        <v>109</v>
      </c>
      <c r="O994" t="str">
        <f>"PAGAMENTO DE ENTREGADORES"</f>
        <v>PAGAMENTO DE ENTREGADORES</v>
      </c>
      <c r="P994">
        <v>1300</v>
      </c>
      <c r="S994" t="str">
        <f>"BANCO C6 (149)"</f>
        <v>BANCO C6 (149)</v>
      </c>
      <c r="T994">
        <v>30308</v>
      </c>
      <c r="U994">
        <v>33994</v>
      </c>
      <c r="V994" t="s">
        <v>37</v>
      </c>
    </row>
    <row r="995" spans="1:22">
      <c r="A995" t="str">
        <f t="shared" si="205"/>
        <v>05/03/2026</v>
      </c>
      <c r="B995" t="str">
        <f t="shared" si="195"/>
        <v>SAÍDA</v>
      </c>
      <c r="C995" t="str">
        <f t="shared" si="198"/>
        <v>PIX</v>
      </c>
      <c r="D995" t="str">
        <f>"33994"</f>
        <v>33994</v>
      </c>
      <c r="E995" t="str">
        <f t="shared" si="199"/>
        <v>1</v>
      </c>
      <c r="F995" t="str">
        <f t="shared" si="197"/>
        <v>COM</v>
      </c>
      <c r="G995" t="str">
        <f>"IGOR LOPES DA SILVA (991)"</f>
        <v>IGOR LOPES DA SILVA (991)</v>
      </c>
      <c r="H995" t="s">
        <v>382</v>
      </c>
      <c r="I995" t="str">
        <f t="shared" si="196"/>
        <v>05/03/2026</v>
      </c>
      <c r="J995" t="str">
        <f t="shared" si="204"/>
        <v>03/03/2026</v>
      </c>
      <c r="K995">
        <v>46086</v>
      </c>
      <c r="N995">
        <v>109</v>
      </c>
      <c r="O995" t="s">
        <v>27</v>
      </c>
      <c r="Q995">
        <v>325</v>
      </c>
      <c r="R995" t="str">
        <f>"PENSE FARMA 02 (10199)"</f>
        <v>PENSE FARMA 02 (10199)</v>
      </c>
      <c r="S995" t="s">
        <v>37</v>
      </c>
      <c r="T995">
        <v>30308</v>
      </c>
      <c r="U995">
        <v>33994</v>
      </c>
      <c r="V995" t="s">
        <v>37</v>
      </c>
    </row>
    <row r="996" spans="1:22">
      <c r="A996" t="str">
        <f t="shared" si="205"/>
        <v>05/03/2026</v>
      </c>
      <c r="B996" t="str">
        <f t="shared" si="195"/>
        <v>SAÍDA</v>
      </c>
      <c r="C996" t="str">
        <f t="shared" si="198"/>
        <v>PIX</v>
      </c>
      <c r="D996" t="str">
        <f>"33994"</f>
        <v>33994</v>
      </c>
      <c r="E996" t="str">
        <f t="shared" si="199"/>
        <v>1</v>
      </c>
      <c r="F996" t="str">
        <f t="shared" si="197"/>
        <v>COM</v>
      </c>
      <c r="G996" t="str">
        <f>"IGOR LOPES DA SILVA (991)"</f>
        <v>IGOR LOPES DA SILVA (991)</v>
      </c>
      <c r="H996" t="s">
        <v>382</v>
      </c>
      <c r="I996" t="str">
        <f t="shared" si="196"/>
        <v>05/03/2026</v>
      </c>
      <c r="J996" t="str">
        <f t="shared" si="204"/>
        <v>03/03/2026</v>
      </c>
      <c r="K996">
        <v>46086</v>
      </c>
      <c r="N996">
        <v>109</v>
      </c>
      <c r="O996" t="s">
        <v>27</v>
      </c>
      <c r="Q996">
        <v>325</v>
      </c>
      <c r="R996" t="str">
        <f>"PENSE FARMA 01 (10215)"</f>
        <v>PENSE FARMA 01 (10215)</v>
      </c>
      <c r="S996" t="s">
        <v>37</v>
      </c>
      <c r="T996">
        <v>30308</v>
      </c>
      <c r="U996">
        <v>33994</v>
      </c>
      <c r="V996" t="s">
        <v>37</v>
      </c>
    </row>
    <row r="997" spans="1:22">
      <c r="A997" t="str">
        <f t="shared" si="205"/>
        <v>05/03/2026</v>
      </c>
      <c r="B997" t="str">
        <f t="shared" si="195"/>
        <v>SAÍDA</v>
      </c>
      <c r="C997" t="str">
        <f t="shared" si="198"/>
        <v>PIX</v>
      </c>
      <c r="D997" t="str">
        <f>"33994"</f>
        <v>33994</v>
      </c>
      <c r="E997" t="str">
        <f t="shared" si="199"/>
        <v>1</v>
      </c>
      <c r="F997" t="str">
        <f t="shared" si="197"/>
        <v>COM</v>
      </c>
      <c r="G997" t="str">
        <f>"IGOR LOPES DA SILVA (991)"</f>
        <v>IGOR LOPES DA SILVA (991)</v>
      </c>
      <c r="H997" t="s">
        <v>382</v>
      </c>
      <c r="I997" t="str">
        <f t="shared" si="196"/>
        <v>05/03/2026</v>
      </c>
      <c r="J997" t="str">
        <f t="shared" si="204"/>
        <v>03/03/2026</v>
      </c>
      <c r="K997">
        <v>46086</v>
      </c>
      <c r="N997">
        <v>109</v>
      </c>
      <c r="O997" t="s">
        <v>27</v>
      </c>
      <c r="Q997">
        <v>325</v>
      </c>
      <c r="R997" t="str">
        <f>"PENSE FARMA 03 (10216)"</f>
        <v>PENSE FARMA 03 (10216)</v>
      </c>
      <c r="S997" t="s">
        <v>37</v>
      </c>
      <c r="T997">
        <v>30308</v>
      </c>
      <c r="U997">
        <v>33994</v>
      </c>
      <c r="V997" t="s">
        <v>37</v>
      </c>
    </row>
    <row r="998" spans="1:22">
      <c r="A998" t="str">
        <f t="shared" si="205"/>
        <v>05/03/2026</v>
      </c>
      <c r="B998" t="str">
        <f t="shared" si="195"/>
        <v>SAÍDA</v>
      </c>
      <c r="C998" t="str">
        <f t="shared" si="198"/>
        <v>PIX</v>
      </c>
      <c r="D998" t="str">
        <f>"33994"</f>
        <v>33994</v>
      </c>
      <c r="E998" t="str">
        <f t="shared" si="199"/>
        <v>1</v>
      </c>
      <c r="F998" t="str">
        <f t="shared" si="197"/>
        <v>COM</v>
      </c>
      <c r="G998" t="str">
        <f>"IGOR LOPES DA SILVA (991)"</f>
        <v>IGOR LOPES DA SILVA (991)</v>
      </c>
      <c r="H998" t="s">
        <v>382</v>
      </c>
      <c r="I998" t="str">
        <f t="shared" si="196"/>
        <v>05/03/2026</v>
      </c>
      <c r="J998" t="str">
        <f t="shared" si="204"/>
        <v>03/03/2026</v>
      </c>
      <c r="K998">
        <v>46086</v>
      </c>
      <c r="N998">
        <v>109</v>
      </c>
      <c r="O998" t="s">
        <v>27</v>
      </c>
      <c r="Q998">
        <v>325</v>
      </c>
      <c r="R998" t="str">
        <f>"PENSE FARMA 39 (10228)"</f>
        <v>PENSE FARMA 39 (10228)</v>
      </c>
      <c r="S998" t="s">
        <v>37</v>
      </c>
      <c r="T998">
        <v>30308</v>
      </c>
      <c r="U998">
        <v>33994</v>
      </c>
      <c r="V998" t="s">
        <v>37</v>
      </c>
    </row>
    <row r="999" spans="1:22">
      <c r="A999" t="str">
        <f t="shared" si="205"/>
        <v>05/03/2026</v>
      </c>
      <c r="B999" t="str">
        <f t="shared" si="195"/>
        <v>SAÍDA</v>
      </c>
      <c r="C999" t="str">
        <f t="shared" si="198"/>
        <v>PIX</v>
      </c>
      <c r="D999" t="str">
        <f>"33999"</f>
        <v>33999</v>
      </c>
      <c r="E999" t="str">
        <f t="shared" si="199"/>
        <v>1</v>
      </c>
      <c r="F999" t="str">
        <f t="shared" si="197"/>
        <v>COM</v>
      </c>
      <c r="G999" t="str">
        <f>"VAGNER DIEGO DE OLIVEIRA MELO (990)"</f>
        <v>VAGNER DIEGO DE OLIVEIRA MELO (990)</v>
      </c>
      <c r="H999" t="str">
        <f>"Serv.Prest. 23/02/2026 a 01/03/2026 - PIX: CPF - CHAVE: 419.678.508-52"</f>
        <v>Serv.Prest. 23/02/2026 a 01/03/2026 - PIX: CPF - CHAVE: 419.678.508-52</v>
      </c>
      <c r="I999" t="str">
        <f t="shared" si="196"/>
        <v>05/03/2026</v>
      </c>
      <c r="J999" t="str">
        <f t="shared" si="204"/>
        <v>03/03/2026</v>
      </c>
      <c r="K999" t="str">
        <f>("05/03/2026")</f>
        <v>05/03/2026</v>
      </c>
      <c r="L999">
        <v>1300</v>
      </c>
      <c r="M999">
        <v>1300</v>
      </c>
      <c r="N999">
        <v>109</v>
      </c>
      <c r="O999" t="str">
        <f>"PAGAMENTO DE ENTREGADORES"</f>
        <v>PAGAMENTO DE ENTREGADORES</v>
      </c>
      <c r="P999">
        <v>1300</v>
      </c>
      <c r="S999" t="str">
        <f>"BANCO C6 (149)"</f>
        <v>BANCO C6 (149)</v>
      </c>
      <c r="T999">
        <v>30309</v>
      </c>
      <c r="U999">
        <v>33999</v>
      </c>
      <c r="V999" t="s">
        <v>37</v>
      </c>
    </row>
    <row r="1000" spans="1:22">
      <c r="A1000" t="str">
        <f t="shared" si="205"/>
        <v>05/03/2026</v>
      </c>
      <c r="B1000" t="str">
        <f t="shared" si="195"/>
        <v>SAÍDA</v>
      </c>
      <c r="C1000" t="str">
        <f t="shared" si="198"/>
        <v>PIX</v>
      </c>
      <c r="D1000" t="str">
        <f>"33999"</f>
        <v>33999</v>
      </c>
      <c r="E1000" t="str">
        <f t="shared" si="199"/>
        <v>1</v>
      </c>
      <c r="F1000" t="str">
        <f t="shared" si="197"/>
        <v>COM</v>
      </c>
      <c r="G1000" t="str">
        <f>"VAGNER DIEGO DE OLIVEIRA MELO (990)"</f>
        <v>VAGNER DIEGO DE OLIVEIRA MELO (990)</v>
      </c>
      <c r="H1000" t="s">
        <v>383</v>
      </c>
      <c r="I1000" t="str">
        <f t="shared" si="196"/>
        <v>05/03/2026</v>
      </c>
      <c r="J1000" t="str">
        <f t="shared" si="204"/>
        <v>03/03/2026</v>
      </c>
      <c r="K1000">
        <v>46086</v>
      </c>
      <c r="N1000">
        <v>109</v>
      </c>
      <c r="O1000" t="s">
        <v>27</v>
      </c>
      <c r="Q1000">
        <v>1300</v>
      </c>
      <c r="R1000" t="str">
        <f>"PENSE FARMA 25 (10224)"</f>
        <v>PENSE FARMA 25 (10224)</v>
      </c>
      <c r="S1000" t="s">
        <v>37</v>
      </c>
      <c r="T1000">
        <v>30309</v>
      </c>
      <c r="U1000">
        <v>33999</v>
      </c>
      <c r="V1000" t="s">
        <v>37</v>
      </c>
    </row>
    <row r="1001" spans="1:22">
      <c r="A1001" t="str">
        <f t="shared" si="205"/>
        <v>05/03/2026</v>
      </c>
      <c r="B1001" t="str">
        <f t="shared" si="195"/>
        <v>SAÍDA</v>
      </c>
      <c r="C1001" t="str">
        <f t="shared" si="198"/>
        <v>PIX</v>
      </c>
      <c r="D1001" t="str">
        <f>"34001"</f>
        <v>34001</v>
      </c>
      <c r="E1001" t="str">
        <f t="shared" si="199"/>
        <v>1</v>
      </c>
      <c r="F1001" t="str">
        <f t="shared" si="197"/>
        <v>COM</v>
      </c>
      <c r="G1001" t="str">
        <f>"HENDRYL SOUZA DA SILVA (1026)"</f>
        <v>HENDRYL SOUZA DA SILVA (1026)</v>
      </c>
      <c r="H1001" t="str">
        <f>"Serv.Prest. 23/02/2026 a 01/03/2026 - PIX: CPF - CHAVE: 499.814.888-52"</f>
        <v>Serv.Prest. 23/02/2026 a 01/03/2026 - PIX: CPF - CHAVE: 499.814.888-52</v>
      </c>
      <c r="I1001" t="str">
        <f t="shared" si="196"/>
        <v>05/03/2026</v>
      </c>
      <c r="J1001" t="str">
        <f t="shared" si="204"/>
        <v>03/03/2026</v>
      </c>
      <c r="K1001" t="str">
        <f>("05/03/2026")</f>
        <v>05/03/2026</v>
      </c>
      <c r="L1001">
        <v>740</v>
      </c>
      <c r="M1001">
        <v>740</v>
      </c>
      <c r="N1001">
        <v>109</v>
      </c>
      <c r="O1001" t="str">
        <f>"PAGAMENTO DE ENTREGADORES"</f>
        <v>PAGAMENTO DE ENTREGADORES</v>
      </c>
      <c r="P1001">
        <v>740</v>
      </c>
      <c r="S1001" t="str">
        <f>"BANCO C6 (149)"</f>
        <v>BANCO C6 (149)</v>
      </c>
      <c r="T1001">
        <v>30310</v>
      </c>
      <c r="U1001">
        <v>34001</v>
      </c>
      <c r="V1001" t="s">
        <v>37</v>
      </c>
    </row>
    <row r="1002" spans="1:22">
      <c r="A1002" t="str">
        <f t="shared" si="205"/>
        <v>05/03/2026</v>
      </c>
      <c r="B1002" t="str">
        <f t="shared" si="195"/>
        <v>SAÍDA</v>
      </c>
      <c r="C1002" t="str">
        <f t="shared" si="198"/>
        <v>PIX</v>
      </c>
      <c r="D1002" t="str">
        <f>"34001"</f>
        <v>34001</v>
      </c>
      <c r="E1002" t="str">
        <f t="shared" si="199"/>
        <v>1</v>
      </c>
      <c r="F1002" t="str">
        <f t="shared" si="197"/>
        <v>COM</v>
      </c>
      <c r="G1002" t="str">
        <f>"HENDRYL SOUZA DA SILVA (1026)"</f>
        <v>HENDRYL SOUZA DA SILVA (1026)</v>
      </c>
      <c r="H1002" t="s">
        <v>384</v>
      </c>
      <c r="I1002" t="str">
        <f t="shared" si="196"/>
        <v>05/03/2026</v>
      </c>
      <c r="J1002" t="str">
        <f t="shared" si="204"/>
        <v>03/03/2026</v>
      </c>
      <c r="K1002">
        <v>46086</v>
      </c>
      <c r="N1002">
        <v>109</v>
      </c>
      <c r="O1002" t="s">
        <v>27</v>
      </c>
      <c r="Q1002">
        <v>185</v>
      </c>
      <c r="R1002" t="str">
        <f>"PENSE FARMA 15 (10195)"</f>
        <v>PENSE FARMA 15 (10195)</v>
      </c>
      <c r="S1002" t="s">
        <v>37</v>
      </c>
      <c r="T1002">
        <v>30310</v>
      </c>
      <c r="U1002">
        <v>34001</v>
      </c>
      <c r="V1002" t="s">
        <v>37</v>
      </c>
    </row>
    <row r="1003" spans="1:22">
      <c r="A1003" t="str">
        <f t="shared" si="205"/>
        <v>05/03/2026</v>
      </c>
      <c r="B1003" t="str">
        <f t="shared" si="195"/>
        <v>SAÍDA</v>
      </c>
      <c r="C1003" t="str">
        <f t="shared" si="198"/>
        <v>PIX</v>
      </c>
      <c r="D1003" t="str">
        <f>"34001"</f>
        <v>34001</v>
      </c>
      <c r="E1003" t="str">
        <f t="shared" si="199"/>
        <v>1</v>
      </c>
      <c r="F1003" t="str">
        <f t="shared" si="197"/>
        <v>COM</v>
      </c>
      <c r="G1003" t="str">
        <f>"HENDRYL SOUZA DA SILVA (1026)"</f>
        <v>HENDRYL SOUZA DA SILVA (1026)</v>
      </c>
      <c r="H1003" t="s">
        <v>384</v>
      </c>
      <c r="I1003" t="str">
        <f t="shared" si="196"/>
        <v>05/03/2026</v>
      </c>
      <c r="J1003" t="str">
        <f t="shared" si="204"/>
        <v>03/03/2026</v>
      </c>
      <c r="K1003">
        <v>46086</v>
      </c>
      <c r="N1003">
        <v>109</v>
      </c>
      <c r="O1003" t="s">
        <v>27</v>
      </c>
      <c r="Q1003">
        <v>185</v>
      </c>
      <c r="R1003" t="str">
        <f>"PENSE FARMA 26 (10196)"</f>
        <v>PENSE FARMA 26 (10196)</v>
      </c>
      <c r="S1003" t="s">
        <v>37</v>
      </c>
      <c r="T1003">
        <v>30310</v>
      </c>
      <c r="U1003">
        <v>34001</v>
      </c>
      <c r="V1003" t="s">
        <v>37</v>
      </c>
    </row>
    <row r="1004" spans="1:22">
      <c r="A1004" t="str">
        <f t="shared" si="205"/>
        <v>05/03/2026</v>
      </c>
      <c r="B1004" t="str">
        <f t="shared" si="195"/>
        <v>SAÍDA</v>
      </c>
      <c r="C1004" t="str">
        <f t="shared" si="198"/>
        <v>PIX</v>
      </c>
      <c r="D1004" t="str">
        <f>"34001"</f>
        <v>34001</v>
      </c>
      <c r="E1004" t="str">
        <f t="shared" si="199"/>
        <v>1</v>
      </c>
      <c r="F1004" t="str">
        <f t="shared" si="197"/>
        <v>COM</v>
      </c>
      <c r="G1004" t="str">
        <f>"HENDRYL SOUZA DA SILVA (1026)"</f>
        <v>HENDRYL SOUZA DA SILVA (1026)</v>
      </c>
      <c r="H1004" t="s">
        <v>384</v>
      </c>
      <c r="I1004" t="str">
        <f t="shared" si="196"/>
        <v>05/03/2026</v>
      </c>
      <c r="J1004" t="str">
        <f t="shared" si="204"/>
        <v>03/03/2026</v>
      </c>
      <c r="K1004">
        <v>46086</v>
      </c>
      <c r="N1004">
        <v>109</v>
      </c>
      <c r="O1004" t="s">
        <v>27</v>
      </c>
      <c r="Q1004">
        <v>185</v>
      </c>
      <c r="R1004" t="str">
        <f>"PENSE FARMA 60 (10197)"</f>
        <v>PENSE FARMA 60 (10197)</v>
      </c>
      <c r="S1004" t="s">
        <v>37</v>
      </c>
      <c r="T1004">
        <v>30310</v>
      </c>
      <c r="U1004">
        <v>34001</v>
      </c>
      <c r="V1004" t="s">
        <v>37</v>
      </c>
    </row>
    <row r="1005" spans="1:22">
      <c r="A1005" t="str">
        <f t="shared" si="205"/>
        <v>05/03/2026</v>
      </c>
      <c r="B1005" t="str">
        <f t="shared" si="195"/>
        <v>SAÍDA</v>
      </c>
      <c r="C1005" t="str">
        <f t="shared" si="198"/>
        <v>PIX</v>
      </c>
      <c r="D1005" t="str">
        <f>"34001"</f>
        <v>34001</v>
      </c>
      <c r="E1005" t="str">
        <f t="shared" si="199"/>
        <v>1</v>
      </c>
      <c r="F1005" t="str">
        <f t="shared" si="197"/>
        <v>COM</v>
      </c>
      <c r="G1005" t="str">
        <f>"HENDRYL SOUZA DA SILVA (1026)"</f>
        <v>HENDRYL SOUZA DA SILVA (1026)</v>
      </c>
      <c r="H1005" t="s">
        <v>384</v>
      </c>
      <c r="I1005" t="str">
        <f t="shared" si="196"/>
        <v>05/03/2026</v>
      </c>
      <c r="J1005" t="str">
        <f t="shared" si="204"/>
        <v>03/03/2026</v>
      </c>
      <c r="K1005">
        <v>46086</v>
      </c>
      <c r="N1005">
        <v>109</v>
      </c>
      <c r="O1005" t="s">
        <v>27</v>
      </c>
      <c r="Q1005">
        <v>185</v>
      </c>
      <c r="R1005" t="str">
        <f>"PENSE FARMA 61 (10243)"</f>
        <v>PENSE FARMA 61 (10243)</v>
      </c>
      <c r="S1005" t="s">
        <v>37</v>
      </c>
      <c r="T1005">
        <v>30310</v>
      </c>
      <c r="U1005">
        <v>34001</v>
      </c>
      <c r="V1005" t="s">
        <v>37</v>
      </c>
    </row>
    <row r="1006" spans="1:22">
      <c r="A1006" t="str">
        <f t="shared" si="205"/>
        <v>05/03/2026</v>
      </c>
      <c r="B1006" t="str">
        <f t="shared" si="195"/>
        <v>SAÍDA</v>
      </c>
      <c r="C1006" t="str">
        <f t="shared" si="198"/>
        <v>PIX</v>
      </c>
      <c r="D1006" t="str">
        <f>"34002"</f>
        <v>34002</v>
      </c>
      <c r="E1006" t="str">
        <f t="shared" si="199"/>
        <v>1</v>
      </c>
      <c r="F1006" t="str">
        <f t="shared" si="197"/>
        <v>COM</v>
      </c>
      <c r="G1006" t="str">
        <f>"JEFFERSON AMORIM DA SILVA (940)"</f>
        <v>JEFFERSON AMORIM DA SILVA (940)</v>
      </c>
      <c r="H1006" t="str">
        <f>"Serv.Prest. 23/02/2026 a 01/03/2026 - PIX: CPF - CHAVE: 423.685.688-32"</f>
        <v>Serv.Prest. 23/02/2026 a 01/03/2026 - PIX: CPF - CHAVE: 423.685.688-32</v>
      </c>
      <c r="I1006" t="str">
        <f t="shared" si="196"/>
        <v>05/03/2026</v>
      </c>
      <c r="J1006" t="str">
        <f t="shared" si="204"/>
        <v>03/03/2026</v>
      </c>
      <c r="K1006" t="str">
        <f>("05/03/2026")</f>
        <v>05/03/2026</v>
      </c>
      <c r="L1006">
        <v>1400</v>
      </c>
      <c r="M1006">
        <v>1400</v>
      </c>
      <c r="N1006">
        <v>109</v>
      </c>
      <c r="O1006" t="str">
        <f>"PAGAMENTO DE ENTREGADORES"</f>
        <v>PAGAMENTO DE ENTREGADORES</v>
      </c>
      <c r="P1006">
        <v>1400</v>
      </c>
      <c r="S1006" t="str">
        <f>"BANCO C6 (149)"</f>
        <v>BANCO C6 (149)</v>
      </c>
      <c r="T1006">
        <v>30311</v>
      </c>
      <c r="U1006">
        <v>34002</v>
      </c>
      <c r="V1006" t="s">
        <v>37</v>
      </c>
    </row>
    <row r="1007" spans="1:22">
      <c r="A1007" t="str">
        <f t="shared" si="205"/>
        <v>05/03/2026</v>
      </c>
      <c r="B1007" t="str">
        <f t="shared" si="195"/>
        <v>SAÍDA</v>
      </c>
      <c r="C1007" t="str">
        <f t="shared" si="198"/>
        <v>PIX</v>
      </c>
      <c r="D1007" t="str">
        <f>"34002"</f>
        <v>34002</v>
      </c>
      <c r="E1007" t="str">
        <f t="shared" si="199"/>
        <v>1</v>
      </c>
      <c r="F1007" t="str">
        <f t="shared" si="197"/>
        <v>COM</v>
      </c>
      <c r="G1007" t="str">
        <f>"JEFFERSON AMORIM DA SILVA (940)"</f>
        <v>JEFFERSON AMORIM DA SILVA (940)</v>
      </c>
      <c r="H1007" t="s">
        <v>385</v>
      </c>
      <c r="I1007" t="str">
        <f t="shared" si="196"/>
        <v>05/03/2026</v>
      </c>
      <c r="J1007" t="str">
        <f t="shared" si="204"/>
        <v>03/03/2026</v>
      </c>
      <c r="K1007">
        <v>46086</v>
      </c>
      <c r="N1007">
        <v>109</v>
      </c>
      <c r="O1007" t="s">
        <v>27</v>
      </c>
      <c r="Q1007">
        <v>350</v>
      </c>
      <c r="R1007" t="str">
        <f>"PENSE FARMA 15 (10195)"</f>
        <v>PENSE FARMA 15 (10195)</v>
      </c>
      <c r="S1007" t="s">
        <v>37</v>
      </c>
      <c r="T1007">
        <v>30311</v>
      </c>
      <c r="U1007">
        <v>34002</v>
      </c>
      <c r="V1007" t="s">
        <v>37</v>
      </c>
    </row>
    <row r="1008" spans="1:22">
      <c r="A1008" t="str">
        <f t="shared" si="205"/>
        <v>05/03/2026</v>
      </c>
      <c r="B1008" t="str">
        <f t="shared" si="195"/>
        <v>SAÍDA</v>
      </c>
      <c r="C1008" t="str">
        <f t="shared" si="198"/>
        <v>PIX</v>
      </c>
      <c r="D1008" t="str">
        <f>"34002"</f>
        <v>34002</v>
      </c>
      <c r="E1008" t="str">
        <f t="shared" si="199"/>
        <v>1</v>
      </c>
      <c r="F1008" t="str">
        <f t="shared" si="197"/>
        <v>COM</v>
      </c>
      <c r="G1008" t="str">
        <f>"JEFFERSON AMORIM DA SILVA (940)"</f>
        <v>JEFFERSON AMORIM DA SILVA (940)</v>
      </c>
      <c r="H1008" t="s">
        <v>385</v>
      </c>
      <c r="I1008" t="str">
        <f t="shared" si="196"/>
        <v>05/03/2026</v>
      </c>
      <c r="J1008" t="str">
        <f t="shared" si="204"/>
        <v>03/03/2026</v>
      </c>
      <c r="K1008">
        <v>46086</v>
      </c>
      <c r="N1008">
        <v>109</v>
      </c>
      <c r="O1008" t="s">
        <v>27</v>
      </c>
      <c r="Q1008">
        <v>350</v>
      </c>
      <c r="R1008" t="str">
        <f>"PENSE FARMA 26 (10196)"</f>
        <v>PENSE FARMA 26 (10196)</v>
      </c>
      <c r="S1008" t="s">
        <v>37</v>
      </c>
      <c r="T1008">
        <v>30311</v>
      </c>
      <c r="U1008">
        <v>34002</v>
      </c>
      <c r="V1008" t="s">
        <v>37</v>
      </c>
    </row>
    <row r="1009" spans="1:22">
      <c r="A1009" t="str">
        <f t="shared" si="205"/>
        <v>05/03/2026</v>
      </c>
      <c r="B1009" t="str">
        <f t="shared" si="195"/>
        <v>SAÍDA</v>
      </c>
      <c r="C1009" t="str">
        <f t="shared" si="198"/>
        <v>PIX</v>
      </c>
      <c r="D1009" t="str">
        <f>"34002"</f>
        <v>34002</v>
      </c>
      <c r="E1009" t="str">
        <f t="shared" si="199"/>
        <v>1</v>
      </c>
      <c r="F1009" t="str">
        <f t="shared" si="197"/>
        <v>COM</v>
      </c>
      <c r="G1009" t="str">
        <f>"JEFFERSON AMORIM DA SILVA (940)"</f>
        <v>JEFFERSON AMORIM DA SILVA (940)</v>
      </c>
      <c r="H1009" t="s">
        <v>385</v>
      </c>
      <c r="I1009" t="str">
        <f t="shared" si="196"/>
        <v>05/03/2026</v>
      </c>
      <c r="J1009" t="str">
        <f t="shared" si="204"/>
        <v>03/03/2026</v>
      </c>
      <c r="K1009">
        <v>46086</v>
      </c>
      <c r="N1009">
        <v>109</v>
      </c>
      <c r="O1009" t="s">
        <v>27</v>
      </c>
      <c r="Q1009">
        <v>350</v>
      </c>
      <c r="R1009" t="str">
        <f>"PENSE FARMA 60 (10197)"</f>
        <v>PENSE FARMA 60 (10197)</v>
      </c>
      <c r="S1009" t="s">
        <v>37</v>
      </c>
      <c r="T1009">
        <v>30311</v>
      </c>
      <c r="U1009">
        <v>34002</v>
      </c>
      <c r="V1009" t="s">
        <v>37</v>
      </c>
    </row>
    <row r="1010" spans="1:22">
      <c r="A1010" t="str">
        <f t="shared" si="205"/>
        <v>05/03/2026</v>
      </c>
      <c r="B1010" t="str">
        <f t="shared" si="195"/>
        <v>SAÍDA</v>
      </c>
      <c r="C1010" t="str">
        <f t="shared" si="198"/>
        <v>PIX</v>
      </c>
      <c r="D1010" t="str">
        <f>"34002"</f>
        <v>34002</v>
      </c>
      <c r="E1010" t="str">
        <f t="shared" si="199"/>
        <v>1</v>
      </c>
      <c r="F1010" t="str">
        <f t="shared" si="197"/>
        <v>COM</v>
      </c>
      <c r="G1010" t="str">
        <f>"JEFFERSON AMORIM DA SILVA (940)"</f>
        <v>JEFFERSON AMORIM DA SILVA (940)</v>
      </c>
      <c r="H1010" t="s">
        <v>385</v>
      </c>
      <c r="I1010" t="str">
        <f t="shared" si="196"/>
        <v>05/03/2026</v>
      </c>
      <c r="J1010" t="str">
        <f t="shared" si="204"/>
        <v>03/03/2026</v>
      </c>
      <c r="K1010">
        <v>46086</v>
      </c>
      <c r="N1010">
        <v>109</v>
      </c>
      <c r="O1010" t="s">
        <v>27</v>
      </c>
      <c r="Q1010">
        <v>350</v>
      </c>
      <c r="R1010" t="str">
        <f>"PENSE FARMA 61 (10243)"</f>
        <v>PENSE FARMA 61 (10243)</v>
      </c>
      <c r="S1010" t="s">
        <v>37</v>
      </c>
      <c r="T1010">
        <v>30311</v>
      </c>
      <c r="U1010">
        <v>34002</v>
      </c>
      <c r="V1010" t="s">
        <v>37</v>
      </c>
    </row>
    <row r="1011" spans="1:22">
      <c r="A1011" t="str">
        <f t="shared" si="205"/>
        <v>05/03/2026</v>
      </c>
      <c r="B1011" t="str">
        <f t="shared" si="195"/>
        <v>SAÍDA</v>
      </c>
      <c r="C1011" t="str">
        <f t="shared" si="198"/>
        <v>PIX</v>
      </c>
      <c r="D1011" t="str">
        <f>"34005"</f>
        <v>34005</v>
      </c>
      <c r="E1011" t="str">
        <f t="shared" si="199"/>
        <v>1</v>
      </c>
      <c r="F1011" t="str">
        <f t="shared" si="197"/>
        <v>COM</v>
      </c>
      <c r="G1011" t="str">
        <f>"MARCOS DUARTE CARVALHO (998)"</f>
        <v>MARCOS DUARTE CARVALHO (998)</v>
      </c>
      <c r="H1011" t="str">
        <f>"Serv.Prest. 23/02/2026 a 01/03/2026 - PIX: CPF - CHAVE: 396.877.618-65"</f>
        <v>Serv.Prest. 23/02/2026 a 01/03/2026 - PIX: CPF - CHAVE: 396.877.618-65</v>
      </c>
      <c r="I1011" t="str">
        <f t="shared" si="196"/>
        <v>05/03/2026</v>
      </c>
      <c r="J1011" t="str">
        <f t="shared" si="204"/>
        <v>03/03/2026</v>
      </c>
      <c r="K1011" t="str">
        <f>("05/03/2026")</f>
        <v>05/03/2026</v>
      </c>
      <c r="L1011">
        <v>1375</v>
      </c>
      <c r="M1011">
        <v>1375</v>
      </c>
      <c r="N1011">
        <v>109</v>
      </c>
      <c r="O1011" t="str">
        <f>"PAGAMENTO DE ENTREGADORES"</f>
        <v>PAGAMENTO DE ENTREGADORES</v>
      </c>
      <c r="P1011">
        <v>1375</v>
      </c>
      <c r="S1011" t="str">
        <f>"BANCO C6 (149)"</f>
        <v>BANCO C6 (149)</v>
      </c>
      <c r="T1011">
        <v>30312</v>
      </c>
      <c r="U1011">
        <v>34005</v>
      </c>
      <c r="V1011" t="s">
        <v>37</v>
      </c>
    </row>
    <row r="1012" spans="1:22">
      <c r="A1012" t="str">
        <f t="shared" si="205"/>
        <v>05/03/2026</v>
      </c>
      <c r="B1012" t="str">
        <f t="shared" si="195"/>
        <v>SAÍDA</v>
      </c>
      <c r="C1012" t="str">
        <f t="shared" si="198"/>
        <v>PIX</v>
      </c>
      <c r="D1012" t="str">
        <f>"34005"</f>
        <v>34005</v>
      </c>
      <c r="E1012" t="str">
        <f t="shared" si="199"/>
        <v>1</v>
      </c>
      <c r="F1012" t="str">
        <f t="shared" si="197"/>
        <v>COM</v>
      </c>
      <c r="G1012" t="str">
        <f>"MARCOS DUARTE CARVALHO (998)"</f>
        <v>MARCOS DUARTE CARVALHO (998)</v>
      </c>
      <c r="H1012" t="s">
        <v>386</v>
      </c>
      <c r="I1012" t="str">
        <f t="shared" si="196"/>
        <v>05/03/2026</v>
      </c>
      <c r="J1012" t="str">
        <f t="shared" si="204"/>
        <v>03/03/2026</v>
      </c>
      <c r="K1012">
        <v>46086</v>
      </c>
      <c r="N1012">
        <v>109</v>
      </c>
      <c r="O1012" t="s">
        <v>27</v>
      </c>
      <c r="Q1012">
        <v>687.5</v>
      </c>
      <c r="R1012" t="str">
        <f>"PENSE FARMA 09 (10218)"</f>
        <v>PENSE FARMA 09 (10218)</v>
      </c>
      <c r="S1012" t="s">
        <v>37</v>
      </c>
      <c r="T1012">
        <v>30312</v>
      </c>
      <c r="U1012">
        <v>34005</v>
      </c>
      <c r="V1012" t="s">
        <v>37</v>
      </c>
    </row>
    <row r="1013" spans="1:22">
      <c r="A1013" t="str">
        <f t="shared" si="205"/>
        <v>05/03/2026</v>
      </c>
      <c r="B1013" t="str">
        <f t="shared" si="195"/>
        <v>SAÍDA</v>
      </c>
      <c r="C1013" t="str">
        <f t="shared" si="198"/>
        <v>PIX</v>
      </c>
      <c r="D1013" t="str">
        <f>"34005"</f>
        <v>34005</v>
      </c>
      <c r="E1013" t="str">
        <f t="shared" si="199"/>
        <v>1</v>
      </c>
      <c r="F1013" t="str">
        <f t="shared" si="197"/>
        <v>COM</v>
      </c>
      <c r="G1013" t="str">
        <f>"MARCOS DUARTE CARVALHO (998)"</f>
        <v>MARCOS DUARTE CARVALHO (998)</v>
      </c>
      <c r="H1013" t="s">
        <v>386</v>
      </c>
      <c r="I1013" t="str">
        <f t="shared" si="196"/>
        <v>05/03/2026</v>
      </c>
      <c r="J1013" t="str">
        <f t="shared" si="204"/>
        <v>03/03/2026</v>
      </c>
      <c r="K1013">
        <v>46086</v>
      </c>
      <c r="N1013">
        <v>109</v>
      </c>
      <c r="O1013" t="s">
        <v>27</v>
      </c>
      <c r="Q1013">
        <v>687.5</v>
      </c>
      <c r="R1013" t="str">
        <f>"PENSE FARMA 10 (10219)"</f>
        <v>PENSE FARMA 10 (10219)</v>
      </c>
      <c r="S1013" t="s">
        <v>37</v>
      </c>
      <c r="T1013">
        <v>30312</v>
      </c>
      <c r="U1013">
        <v>34005</v>
      </c>
      <c r="V1013" t="s">
        <v>37</v>
      </c>
    </row>
    <row r="1014" spans="1:22">
      <c r="A1014" t="str">
        <f t="shared" si="205"/>
        <v>05/03/2026</v>
      </c>
      <c r="B1014" t="str">
        <f t="shared" si="195"/>
        <v>SAÍDA</v>
      </c>
      <c r="C1014" t="str">
        <f t="shared" si="198"/>
        <v>PIX</v>
      </c>
      <c r="D1014" t="str">
        <f>"34007"</f>
        <v>34007</v>
      </c>
      <c r="E1014" t="str">
        <f t="shared" si="199"/>
        <v>1</v>
      </c>
      <c r="F1014" t="str">
        <f t="shared" si="197"/>
        <v>COM</v>
      </c>
      <c r="G1014" t="str">
        <f>"ERIC RODRIGUES TEIXEIRA (939)"</f>
        <v>ERIC RODRIGUES TEIXEIRA (939)</v>
      </c>
      <c r="H1014" t="str">
        <f>"Serv.Prest. 23/02/2026 a 01/03/2026 - PIX: CELULAR - CHAVE: (11) 95038-0621"</f>
        <v>Serv.Prest. 23/02/2026 a 01/03/2026 - PIX: CELULAR - CHAVE: (11) 95038-0621</v>
      </c>
      <c r="I1014" t="str">
        <f t="shared" si="196"/>
        <v>05/03/2026</v>
      </c>
      <c r="J1014" t="str">
        <f t="shared" si="204"/>
        <v>03/03/2026</v>
      </c>
      <c r="K1014" t="str">
        <f>("05/03/2026")</f>
        <v>05/03/2026</v>
      </c>
      <c r="L1014">
        <v>1250</v>
      </c>
      <c r="M1014">
        <v>1250</v>
      </c>
      <c r="N1014">
        <v>109</v>
      </c>
      <c r="O1014" t="str">
        <f>"PAGAMENTO DE ENTREGADORES"</f>
        <v>PAGAMENTO DE ENTREGADORES</v>
      </c>
      <c r="P1014">
        <v>1250</v>
      </c>
      <c r="S1014" t="str">
        <f>"BANCO C6 (149)"</f>
        <v>BANCO C6 (149)</v>
      </c>
      <c r="T1014">
        <v>30313</v>
      </c>
      <c r="U1014">
        <v>34007</v>
      </c>
      <c r="V1014" t="s">
        <v>37</v>
      </c>
    </row>
    <row r="1015" spans="1:22">
      <c r="A1015" t="str">
        <f t="shared" si="205"/>
        <v>05/03/2026</v>
      </c>
      <c r="B1015" t="str">
        <f t="shared" si="195"/>
        <v>SAÍDA</v>
      </c>
      <c r="C1015" t="str">
        <f t="shared" si="198"/>
        <v>PIX</v>
      </c>
      <c r="D1015" t="str">
        <f>"34007"</f>
        <v>34007</v>
      </c>
      <c r="E1015" t="str">
        <f t="shared" si="199"/>
        <v>1</v>
      </c>
      <c r="F1015" t="str">
        <f t="shared" si="197"/>
        <v>COM</v>
      </c>
      <c r="G1015" t="str">
        <f>"ERIC RODRIGUES TEIXEIRA (939)"</f>
        <v>ERIC RODRIGUES TEIXEIRA (939)</v>
      </c>
      <c r="H1015" t="s">
        <v>387</v>
      </c>
      <c r="I1015" t="str">
        <f t="shared" si="196"/>
        <v>05/03/2026</v>
      </c>
      <c r="J1015" t="str">
        <f t="shared" si="204"/>
        <v>03/03/2026</v>
      </c>
      <c r="K1015">
        <v>46086</v>
      </c>
      <c r="N1015">
        <v>109</v>
      </c>
      <c r="O1015" t="s">
        <v>27</v>
      </c>
      <c r="Q1015">
        <v>416.62</v>
      </c>
      <c r="R1015" t="str">
        <f>"PENSE FARMA 07 (10201)"</f>
        <v>PENSE FARMA 07 (10201)</v>
      </c>
      <c r="S1015" t="s">
        <v>37</v>
      </c>
      <c r="T1015">
        <v>30313</v>
      </c>
      <c r="U1015">
        <v>34007</v>
      </c>
      <c r="V1015" t="s">
        <v>37</v>
      </c>
    </row>
    <row r="1016" spans="1:22">
      <c r="A1016" t="str">
        <f t="shared" si="205"/>
        <v>05/03/2026</v>
      </c>
      <c r="B1016" t="str">
        <f t="shared" si="195"/>
        <v>SAÍDA</v>
      </c>
      <c r="C1016" t="str">
        <f t="shared" si="198"/>
        <v>PIX</v>
      </c>
      <c r="D1016" t="str">
        <f>"34007"</f>
        <v>34007</v>
      </c>
      <c r="E1016" t="str">
        <f t="shared" si="199"/>
        <v>1</v>
      </c>
      <c r="F1016" t="str">
        <f t="shared" si="197"/>
        <v>COM</v>
      </c>
      <c r="G1016" t="str">
        <f>"ERIC RODRIGUES TEIXEIRA (939)"</f>
        <v>ERIC RODRIGUES TEIXEIRA (939)</v>
      </c>
      <c r="H1016" t="s">
        <v>387</v>
      </c>
      <c r="I1016" t="str">
        <f t="shared" si="196"/>
        <v>05/03/2026</v>
      </c>
      <c r="J1016" t="str">
        <f t="shared" ref="J1016:J1044" si="206">("03/03/2026")</f>
        <v>03/03/2026</v>
      </c>
      <c r="K1016">
        <v>46086</v>
      </c>
      <c r="N1016">
        <v>109</v>
      </c>
      <c r="O1016" t="s">
        <v>27</v>
      </c>
      <c r="Q1016">
        <v>416.63</v>
      </c>
      <c r="R1016" t="str">
        <f>"PENSE FARMA 45 (10209)"</f>
        <v>PENSE FARMA 45 (10209)</v>
      </c>
      <c r="S1016" t="s">
        <v>37</v>
      </c>
      <c r="T1016">
        <v>30313</v>
      </c>
      <c r="U1016">
        <v>34007</v>
      </c>
      <c r="V1016" t="s">
        <v>37</v>
      </c>
    </row>
    <row r="1017" spans="1:22">
      <c r="A1017" t="str">
        <f t="shared" si="205"/>
        <v>05/03/2026</v>
      </c>
      <c r="B1017" t="str">
        <f t="shared" si="195"/>
        <v>SAÍDA</v>
      </c>
      <c r="C1017" t="str">
        <f t="shared" si="198"/>
        <v>PIX</v>
      </c>
      <c r="D1017" t="str">
        <f>"34007"</f>
        <v>34007</v>
      </c>
      <c r="E1017" t="str">
        <f t="shared" si="199"/>
        <v>1</v>
      </c>
      <c r="F1017" t="str">
        <f t="shared" si="197"/>
        <v>COM</v>
      </c>
      <c r="G1017" t="str">
        <f>"ERIC RODRIGUES TEIXEIRA (939)"</f>
        <v>ERIC RODRIGUES TEIXEIRA (939)</v>
      </c>
      <c r="H1017" t="s">
        <v>387</v>
      </c>
      <c r="I1017" t="str">
        <f t="shared" si="196"/>
        <v>05/03/2026</v>
      </c>
      <c r="J1017" t="str">
        <f t="shared" si="206"/>
        <v>03/03/2026</v>
      </c>
      <c r="K1017">
        <v>46086</v>
      </c>
      <c r="N1017">
        <v>109</v>
      </c>
      <c r="O1017" t="s">
        <v>27</v>
      </c>
      <c r="Q1017">
        <v>416.75</v>
      </c>
      <c r="R1017" t="str">
        <f>"PENSE FARMA 50 (10210)"</f>
        <v>PENSE FARMA 50 (10210)</v>
      </c>
      <c r="S1017" t="s">
        <v>37</v>
      </c>
      <c r="T1017">
        <v>30313</v>
      </c>
      <c r="U1017">
        <v>34007</v>
      </c>
      <c r="V1017" t="s">
        <v>37</v>
      </c>
    </row>
    <row r="1018" spans="1:22">
      <c r="A1018" t="str">
        <f t="shared" si="205"/>
        <v>05/03/2026</v>
      </c>
      <c r="B1018" t="str">
        <f t="shared" si="195"/>
        <v>SAÍDA</v>
      </c>
      <c r="C1018" t="str">
        <f t="shared" si="198"/>
        <v>PIX</v>
      </c>
      <c r="D1018" t="str">
        <f>"34010"</f>
        <v>34010</v>
      </c>
      <c r="E1018" t="str">
        <f t="shared" si="199"/>
        <v>1</v>
      </c>
      <c r="F1018" t="str">
        <f t="shared" si="197"/>
        <v>COM</v>
      </c>
      <c r="G1018" t="str">
        <f>"MURILO BATISTA FERREIRA (1345)"</f>
        <v>MURILO BATISTA FERREIRA (1345)</v>
      </c>
      <c r="H1018" t="str">
        <f>"Serv.Prest. 23/02/2026 a 01/03/2026 - PIX: CELULAR - CHAVE: (11) 96662-0343"</f>
        <v>Serv.Prest. 23/02/2026 a 01/03/2026 - PIX: CELULAR - CHAVE: (11) 96662-0343</v>
      </c>
      <c r="I1018" t="str">
        <f t="shared" si="196"/>
        <v>05/03/2026</v>
      </c>
      <c r="J1018" t="str">
        <f t="shared" si="206"/>
        <v>03/03/2026</v>
      </c>
      <c r="K1018" t="str">
        <f>("05/03/2026")</f>
        <v>05/03/2026</v>
      </c>
      <c r="L1018">
        <v>200</v>
      </c>
      <c r="M1018">
        <v>200</v>
      </c>
      <c r="N1018">
        <v>109</v>
      </c>
      <c r="O1018" t="str">
        <f>"PAGAMENTO DE ENTREGADORES"</f>
        <v>PAGAMENTO DE ENTREGADORES</v>
      </c>
      <c r="P1018">
        <v>200</v>
      </c>
      <c r="S1018" t="str">
        <f>"BANCO C6 (149)"</f>
        <v>BANCO C6 (149)</v>
      </c>
      <c r="T1018">
        <v>30314</v>
      </c>
      <c r="U1018">
        <v>34010</v>
      </c>
      <c r="V1018" t="s">
        <v>37</v>
      </c>
    </row>
    <row r="1019" spans="1:22">
      <c r="A1019" t="str">
        <f t="shared" si="205"/>
        <v>05/03/2026</v>
      </c>
      <c r="B1019" t="str">
        <f t="shared" si="195"/>
        <v>SAÍDA</v>
      </c>
      <c r="C1019" t="str">
        <f t="shared" si="198"/>
        <v>PIX</v>
      </c>
      <c r="D1019" t="str">
        <f>"34010"</f>
        <v>34010</v>
      </c>
      <c r="E1019" t="str">
        <f t="shared" si="199"/>
        <v>1</v>
      </c>
      <c r="F1019" t="str">
        <f t="shared" si="197"/>
        <v>COM</v>
      </c>
      <c r="G1019" t="str">
        <f>"MURILO BATISTA FERREIRA (1345)"</f>
        <v>MURILO BATISTA FERREIRA (1345)</v>
      </c>
      <c r="H1019" t="s">
        <v>388</v>
      </c>
      <c r="I1019" t="str">
        <f t="shared" si="196"/>
        <v>05/03/2026</v>
      </c>
      <c r="J1019" t="str">
        <f t="shared" si="206"/>
        <v>03/03/2026</v>
      </c>
      <c r="K1019">
        <v>46086</v>
      </c>
      <c r="N1019">
        <v>109</v>
      </c>
      <c r="O1019" t="s">
        <v>27</v>
      </c>
      <c r="Q1019">
        <v>200</v>
      </c>
      <c r="R1019" t="str">
        <f>"PENSE FARMA 22 (10198)"</f>
        <v>PENSE FARMA 22 (10198)</v>
      </c>
      <c r="S1019" t="s">
        <v>37</v>
      </c>
      <c r="T1019">
        <v>30314</v>
      </c>
      <c r="U1019">
        <v>34010</v>
      </c>
      <c r="V1019" t="s">
        <v>37</v>
      </c>
    </row>
    <row r="1020" spans="1:22">
      <c r="A1020" t="str">
        <f t="shared" si="205"/>
        <v>05/03/2026</v>
      </c>
      <c r="B1020" t="str">
        <f t="shared" si="195"/>
        <v>SAÍDA</v>
      </c>
      <c r="C1020" t="str">
        <f t="shared" si="198"/>
        <v>PIX</v>
      </c>
      <c r="D1020" t="str">
        <f>"34011"</f>
        <v>34011</v>
      </c>
      <c r="E1020" t="str">
        <f t="shared" si="199"/>
        <v>1</v>
      </c>
      <c r="F1020" t="str">
        <f t="shared" si="197"/>
        <v>COM</v>
      </c>
      <c r="G1020" t="str">
        <f>"PEDRO HENRIQUE ALVES DA SILVA (1133)"</f>
        <v>PEDRO HENRIQUE ALVES DA SILVA (1133)</v>
      </c>
      <c r="H1020" t="str">
        <f>"Serv.Prest. 23/02/2026 a 01/03/2026 - PIX: CELULAR - CHAVE: (11) 98776-2232"</f>
        <v>Serv.Prest. 23/02/2026 a 01/03/2026 - PIX: CELULAR - CHAVE: (11) 98776-2232</v>
      </c>
      <c r="I1020" t="str">
        <f t="shared" si="196"/>
        <v>05/03/2026</v>
      </c>
      <c r="J1020" t="str">
        <f t="shared" si="206"/>
        <v>03/03/2026</v>
      </c>
      <c r="K1020" t="str">
        <f>("05/03/2026")</f>
        <v>05/03/2026</v>
      </c>
      <c r="L1020">
        <v>1700</v>
      </c>
      <c r="M1020">
        <v>1700</v>
      </c>
      <c r="N1020">
        <v>109</v>
      </c>
      <c r="O1020" t="str">
        <f>"PAGAMENTO DE ENTREGADORES"</f>
        <v>PAGAMENTO DE ENTREGADORES</v>
      </c>
      <c r="P1020">
        <v>1700</v>
      </c>
      <c r="S1020" t="str">
        <f>"BANCO C6 (149)"</f>
        <v>BANCO C6 (149)</v>
      </c>
      <c r="T1020">
        <v>30315</v>
      </c>
      <c r="U1020">
        <v>34011</v>
      </c>
      <c r="V1020" t="s">
        <v>37</v>
      </c>
    </row>
    <row r="1021" spans="1:22">
      <c r="A1021" t="str">
        <f t="shared" si="205"/>
        <v>05/03/2026</v>
      </c>
      <c r="B1021" t="str">
        <f t="shared" si="195"/>
        <v>SAÍDA</v>
      </c>
      <c r="C1021" t="str">
        <f t="shared" si="198"/>
        <v>PIX</v>
      </c>
      <c r="D1021" t="str">
        <f>"34011"</f>
        <v>34011</v>
      </c>
      <c r="E1021" t="str">
        <f t="shared" si="199"/>
        <v>1</v>
      </c>
      <c r="F1021" t="str">
        <f t="shared" si="197"/>
        <v>COM</v>
      </c>
      <c r="G1021" t="str">
        <f>"PEDRO HENRIQUE ALVES DA SILVA (1133)"</f>
        <v>PEDRO HENRIQUE ALVES DA SILVA (1133)</v>
      </c>
      <c r="H1021" t="s">
        <v>389</v>
      </c>
      <c r="I1021" t="str">
        <f t="shared" si="196"/>
        <v>05/03/2026</v>
      </c>
      <c r="J1021" t="str">
        <f t="shared" si="206"/>
        <v>03/03/2026</v>
      </c>
      <c r="K1021">
        <v>46086</v>
      </c>
      <c r="N1021">
        <v>109</v>
      </c>
      <c r="O1021" t="s">
        <v>27</v>
      </c>
      <c r="Q1021">
        <v>1700</v>
      </c>
      <c r="R1021" t="str">
        <f>"PENSE FARMA 22 (10198)"</f>
        <v>PENSE FARMA 22 (10198)</v>
      </c>
      <c r="S1021" t="s">
        <v>37</v>
      </c>
      <c r="T1021">
        <v>30315</v>
      </c>
      <c r="U1021">
        <v>34011</v>
      </c>
      <c r="V1021" t="s">
        <v>37</v>
      </c>
    </row>
    <row r="1022" spans="1:22">
      <c r="A1022" t="str">
        <f t="shared" si="205"/>
        <v>05/03/2026</v>
      </c>
      <c r="B1022" t="str">
        <f t="shared" si="195"/>
        <v>SAÍDA</v>
      </c>
      <c r="C1022" t="str">
        <f t="shared" si="198"/>
        <v>PIX</v>
      </c>
      <c r="D1022" t="str">
        <f>"34025"</f>
        <v>34025</v>
      </c>
      <c r="E1022" t="str">
        <f t="shared" si="199"/>
        <v>1</v>
      </c>
      <c r="F1022" t="str">
        <f t="shared" si="197"/>
        <v>COM</v>
      </c>
      <c r="G1022" t="str">
        <f>"JOSÉ HENRIQUE RODRIGUES (430)"</f>
        <v>JOSÉ HENRIQUE RODRIGUES (430)</v>
      </c>
      <c r="H1022" t="str">
        <f>"Serv.Prest. 23/02/2026 a 01/03/2026 - PIX: CPF - CHAVE: 100.826.516-04"</f>
        <v>Serv.Prest. 23/02/2026 a 01/03/2026 - PIX: CPF - CHAVE: 100.826.516-04</v>
      </c>
      <c r="I1022" t="str">
        <f t="shared" si="196"/>
        <v>05/03/2026</v>
      </c>
      <c r="J1022" t="str">
        <f t="shared" si="206"/>
        <v>03/03/2026</v>
      </c>
      <c r="K1022" t="str">
        <f>("05/03/2026")</f>
        <v>05/03/2026</v>
      </c>
      <c r="L1022">
        <v>900</v>
      </c>
      <c r="M1022">
        <v>900</v>
      </c>
      <c r="N1022">
        <v>109</v>
      </c>
      <c r="O1022" t="str">
        <f>"PAGAMENTO DE ENTREGADORES"</f>
        <v>PAGAMENTO DE ENTREGADORES</v>
      </c>
      <c r="P1022">
        <v>900</v>
      </c>
      <c r="S1022" t="str">
        <f>"BANCO C6 (149)"</f>
        <v>BANCO C6 (149)</v>
      </c>
      <c r="T1022">
        <v>30316</v>
      </c>
      <c r="U1022">
        <v>34025</v>
      </c>
      <c r="V1022" t="s">
        <v>37</v>
      </c>
    </row>
    <row r="1023" spans="1:22">
      <c r="A1023" t="str">
        <f t="shared" si="205"/>
        <v>05/03/2026</v>
      </c>
      <c r="B1023" t="str">
        <f t="shared" si="195"/>
        <v>SAÍDA</v>
      </c>
      <c r="C1023" t="str">
        <f t="shared" si="198"/>
        <v>PIX</v>
      </c>
      <c r="D1023" t="str">
        <f>"34025"</f>
        <v>34025</v>
      </c>
      <c r="E1023" t="str">
        <f t="shared" si="199"/>
        <v>1</v>
      </c>
      <c r="F1023" t="str">
        <f t="shared" si="197"/>
        <v>COM</v>
      </c>
      <c r="G1023" t="str">
        <f>"JOSÉ HENRIQUE RODRIGUES (430)"</f>
        <v>JOSÉ HENRIQUE RODRIGUES (430)</v>
      </c>
      <c r="H1023" t="s">
        <v>336</v>
      </c>
      <c r="I1023" t="str">
        <f t="shared" si="196"/>
        <v>05/03/2026</v>
      </c>
      <c r="J1023" t="str">
        <f t="shared" si="206"/>
        <v>03/03/2026</v>
      </c>
      <c r="K1023">
        <v>46086</v>
      </c>
      <c r="N1023">
        <v>109</v>
      </c>
      <c r="O1023" t="s">
        <v>27</v>
      </c>
      <c r="Q1023">
        <v>900</v>
      </c>
      <c r="R1023" t="str">
        <f>"PAGMENOS - LJ 608 (10135)"</f>
        <v>PAGMENOS - LJ 608 (10135)</v>
      </c>
      <c r="S1023" t="s">
        <v>37</v>
      </c>
      <c r="T1023">
        <v>30316</v>
      </c>
      <c r="U1023">
        <v>34025</v>
      </c>
      <c r="V1023" t="s">
        <v>37</v>
      </c>
    </row>
    <row r="1024" spans="1:22">
      <c r="A1024" t="str">
        <f t="shared" si="205"/>
        <v>05/03/2026</v>
      </c>
      <c r="B1024" t="str">
        <f t="shared" si="195"/>
        <v>SAÍDA</v>
      </c>
      <c r="C1024" t="str">
        <f t="shared" si="198"/>
        <v>PIX</v>
      </c>
      <c r="D1024" t="str">
        <f>"34031"</f>
        <v>34031</v>
      </c>
      <c r="E1024" t="str">
        <f t="shared" si="199"/>
        <v>1</v>
      </c>
      <c r="F1024" t="str">
        <f t="shared" si="197"/>
        <v>COM</v>
      </c>
      <c r="G1024" t="str">
        <f>"TALES SILVA MARIANO (431)"</f>
        <v>TALES SILVA MARIANO (431)</v>
      </c>
      <c r="H1024" t="str">
        <f>"Serv.Prest. 23/02/2026 a 01/03/2026 - PIX: CNPJ - CHAVE: 64.735.042/0001-53"</f>
        <v>Serv.Prest. 23/02/2026 a 01/03/2026 - PIX: CNPJ - CHAVE: 64.735.042/0001-53</v>
      </c>
      <c r="I1024" t="str">
        <f t="shared" si="196"/>
        <v>05/03/2026</v>
      </c>
      <c r="J1024" t="str">
        <f t="shared" si="206"/>
        <v>03/03/2026</v>
      </c>
      <c r="K1024" t="str">
        <f>("05/03/2026")</f>
        <v>05/03/2026</v>
      </c>
      <c r="L1024">
        <v>900</v>
      </c>
      <c r="M1024">
        <v>900</v>
      </c>
      <c r="N1024">
        <v>109</v>
      </c>
      <c r="O1024" t="str">
        <f>"PAGAMENTO DE ENTREGADORES"</f>
        <v>PAGAMENTO DE ENTREGADORES</v>
      </c>
      <c r="P1024">
        <v>900</v>
      </c>
      <c r="S1024" t="str">
        <f>"BANCO C6 (149)"</f>
        <v>BANCO C6 (149)</v>
      </c>
      <c r="T1024">
        <v>30317</v>
      </c>
      <c r="U1024">
        <v>34031</v>
      </c>
      <c r="V1024" t="s">
        <v>37</v>
      </c>
    </row>
    <row r="1025" spans="1:22">
      <c r="A1025" t="str">
        <f t="shared" si="205"/>
        <v>05/03/2026</v>
      </c>
      <c r="B1025" t="str">
        <f t="shared" ref="B1025:B1062" si="207">"SAÍDA"</f>
        <v>SAÍDA</v>
      </c>
      <c r="C1025" t="str">
        <f t="shared" si="198"/>
        <v>PIX</v>
      </c>
      <c r="D1025" t="str">
        <f>"34031"</f>
        <v>34031</v>
      </c>
      <c r="E1025" t="str">
        <f t="shared" si="199"/>
        <v>1</v>
      </c>
      <c r="F1025" t="str">
        <f t="shared" si="197"/>
        <v>COM</v>
      </c>
      <c r="G1025" t="str">
        <f>"TALES SILVA MARIANO (431)"</f>
        <v>TALES SILVA MARIANO (431)</v>
      </c>
      <c r="H1025" t="s">
        <v>337</v>
      </c>
      <c r="I1025" t="str">
        <f t="shared" ref="I1025:I1056" si="208">("05/03/2026")</f>
        <v>05/03/2026</v>
      </c>
      <c r="J1025" t="str">
        <f t="shared" si="206"/>
        <v>03/03/2026</v>
      </c>
      <c r="K1025">
        <v>46086</v>
      </c>
      <c r="N1025">
        <v>109</v>
      </c>
      <c r="O1025" t="s">
        <v>27</v>
      </c>
      <c r="Q1025">
        <v>900</v>
      </c>
      <c r="R1025" t="str">
        <f>"PAGMENOS - LJ 608 (10135)"</f>
        <v>PAGMENOS - LJ 608 (10135)</v>
      </c>
      <c r="S1025" t="s">
        <v>37</v>
      </c>
      <c r="T1025">
        <v>30317</v>
      </c>
      <c r="U1025">
        <v>34031</v>
      </c>
      <c r="V1025" t="s">
        <v>37</v>
      </c>
    </row>
    <row r="1026" spans="1:22">
      <c r="A1026" t="str">
        <f t="shared" si="205"/>
        <v>05/03/2026</v>
      </c>
      <c r="B1026" t="str">
        <f t="shared" si="207"/>
        <v>SAÍDA</v>
      </c>
      <c r="C1026" t="str">
        <f t="shared" si="198"/>
        <v>PIX</v>
      </c>
      <c r="D1026" t="str">
        <f>"34032"</f>
        <v>34032</v>
      </c>
      <c r="E1026" t="str">
        <f t="shared" si="199"/>
        <v>1</v>
      </c>
      <c r="F1026" t="str">
        <f t="shared" ref="F1026:F1089" si="209">"COM"</f>
        <v>COM</v>
      </c>
      <c r="G1026" t="str">
        <f>"THAIS SILVA MAIA (1057)"</f>
        <v>THAIS SILVA MAIA (1057)</v>
      </c>
      <c r="H1026" t="str">
        <f>"Serv.Prest. 23/02/2026 a 01/03/2026 - PIX: CELULAR - CHAVE: (34) 99688-5705"</f>
        <v>Serv.Prest. 23/02/2026 a 01/03/2026 - PIX: CELULAR - CHAVE: (34) 99688-5705</v>
      </c>
      <c r="I1026" t="str">
        <f t="shared" si="208"/>
        <v>05/03/2026</v>
      </c>
      <c r="J1026" t="str">
        <f t="shared" si="206"/>
        <v>03/03/2026</v>
      </c>
      <c r="K1026" t="str">
        <f>("05/03/2026")</f>
        <v>05/03/2026</v>
      </c>
      <c r="L1026">
        <v>1404</v>
      </c>
      <c r="M1026">
        <v>1404</v>
      </c>
      <c r="N1026">
        <v>109</v>
      </c>
      <c r="O1026" t="str">
        <f>"PAGAMENTO DE ENTREGADORES"</f>
        <v>PAGAMENTO DE ENTREGADORES</v>
      </c>
      <c r="P1026">
        <v>1404</v>
      </c>
      <c r="S1026" t="str">
        <f>"BANCO C6 (149)"</f>
        <v>BANCO C6 (149)</v>
      </c>
      <c r="T1026">
        <v>30318</v>
      </c>
      <c r="U1026">
        <v>34032</v>
      </c>
      <c r="V1026" t="s">
        <v>37</v>
      </c>
    </row>
    <row r="1027" spans="1:22">
      <c r="A1027" t="str">
        <f t="shared" si="205"/>
        <v>05/03/2026</v>
      </c>
      <c r="B1027" t="str">
        <f t="shared" si="207"/>
        <v>SAÍDA</v>
      </c>
      <c r="C1027" t="str">
        <f t="shared" ref="C1027:C1062" si="210">"PIX"</f>
        <v>PIX</v>
      </c>
      <c r="D1027" t="str">
        <f>"34032"</f>
        <v>34032</v>
      </c>
      <c r="E1027" t="str">
        <f t="shared" si="199"/>
        <v>1</v>
      </c>
      <c r="F1027" t="str">
        <f t="shared" si="209"/>
        <v>COM</v>
      </c>
      <c r="G1027" t="str">
        <f>"THAIS SILVA MAIA (1057)"</f>
        <v>THAIS SILVA MAIA (1057)</v>
      </c>
      <c r="H1027" t="s">
        <v>390</v>
      </c>
      <c r="I1027" t="str">
        <f t="shared" si="208"/>
        <v>05/03/2026</v>
      </c>
      <c r="J1027" t="str">
        <f t="shared" si="206"/>
        <v>03/03/2026</v>
      </c>
      <c r="K1027">
        <v>46086</v>
      </c>
      <c r="N1027">
        <v>109</v>
      </c>
      <c r="O1027" t="s">
        <v>27</v>
      </c>
      <c r="Q1027">
        <v>522.15</v>
      </c>
      <c r="R1027" t="str">
        <f>"PAGMENOS - LJ 431 (10265)"</f>
        <v>PAGMENOS - LJ 431 (10265)</v>
      </c>
      <c r="S1027" t="s">
        <v>37</v>
      </c>
      <c r="T1027">
        <v>30318</v>
      </c>
      <c r="U1027">
        <v>34032</v>
      </c>
      <c r="V1027" t="s">
        <v>37</v>
      </c>
    </row>
    <row r="1028" spans="1:22">
      <c r="A1028" t="str">
        <f t="shared" si="205"/>
        <v>05/03/2026</v>
      </c>
      <c r="B1028" t="str">
        <f t="shared" si="207"/>
        <v>SAÍDA</v>
      </c>
      <c r="C1028" t="str">
        <f t="shared" si="210"/>
        <v>PIX</v>
      </c>
      <c r="D1028" t="str">
        <f>"34032"</f>
        <v>34032</v>
      </c>
      <c r="E1028" t="str">
        <f t="shared" si="199"/>
        <v>1</v>
      </c>
      <c r="F1028" t="str">
        <f t="shared" si="209"/>
        <v>COM</v>
      </c>
      <c r="G1028" t="str">
        <f>"THAIS SILVA MAIA (1057)"</f>
        <v>THAIS SILVA MAIA (1057)</v>
      </c>
      <c r="H1028" t="s">
        <v>390</v>
      </c>
      <c r="I1028" t="str">
        <f t="shared" si="208"/>
        <v>05/03/2026</v>
      </c>
      <c r="J1028" t="str">
        <f t="shared" si="206"/>
        <v>03/03/2026</v>
      </c>
      <c r="K1028">
        <v>46086</v>
      </c>
      <c r="N1028">
        <v>109</v>
      </c>
      <c r="O1028" t="s">
        <v>27</v>
      </c>
      <c r="Q1028">
        <v>881.85</v>
      </c>
      <c r="R1028" t="str">
        <f>"PAGMENOS - LJ 768 (10266)"</f>
        <v>PAGMENOS - LJ 768 (10266)</v>
      </c>
      <c r="S1028" t="s">
        <v>37</v>
      </c>
      <c r="T1028">
        <v>30318</v>
      </c>
      <c r="U1028">
        <v>34032</v>
      </c>
      <c r="V1028" t="s">
        <v>37</v>
      </c>
    </row>
    <row r="1029" spans="1:22">
      <c r="A1029" t="str">
        <f t="shared" si="205"/>
        <v>05/03/2026</v>
      </c>
      <c r="B1029" t="str">
        <f t="shared" si="207"/>
        <v>SAÍDA</v>
      </c>
      <c r="C1029" t="str">
        <f t="shared" si="210"/>
        <v>PIX</v>
      </c>
      <c r="D1029" t="str">
        <f>"34033"</f>
        <v>34033</v>
      </c>
      <c r="E1029" t="str">
        <f t="shared" si="199"/>
        <v>1</v>
      </c>
      <c r="F1029" t="str">
        <f t="shared" si="209"/>
        <v>COM</v>
      </c>
      <c r="G1029" t="str">
        <f>"THALISSON NUNES (1046)"</f>
        <v>THALISSON NUNES (1046)</v>
      </c>
      <c r="H1029" t="str">
        <f>"Serv.Prest. 23/02/2026 a 01/03/2026 - PIX: CELULAR - CHAVE: (34) 99694-0926"</f>
        <v>Serv.Prest. 23/02/2026 a 01/03/2026 - PIX: CELULAR - CHAVE: (34) 99694-0926</v>
      </c>
      <c r="I1029" t="str">
        <f t="shared" si="208"/>
        <v>05/03/2026</v>
      </c>
      <c r="J1029" t="str">
        <f t="shared" si="206"/>
        <v>03/03/2026</v>
      </c>
      <c r="K1029" t="str">
        <f>("05/03/2026")</f>
        <v>05/03/2026</v>
      </c>
      <c r="L1029">
        <v>801</v>
      </c>
      <c r="M1029">
        <v>801</v>
      </c>
      <c r="N1029">
        <v>109</v>
      </c>
      <c r="O1029" t="str">
        <f>"PAGAMENTO DE ENTREGADORES"</f>
        <v>PAGAMENTO DE ENTREGADORES</v>
      </c>
      <c r="P1029">
        <v>801</v>
      </c>
      <c r="S1029" t="str">
        <f>"BANCO C6 (149)"</f>
        <v>BANCO C6 (149)</v>
      </c>
      <c r="T1029">
        <v>30319</v>
      </c>
      <c r="U1029">
        <v>34033</v>
      </c>
      <c r="V1029" t="s">
        <v>37</v>
      </c>
    </row>
    <row r="1030" spans="1:22">
      <c r="A1030" t="str">
        <f t="shared" si="205"/>
        <v>05/03/2026</v>
      </c>
      <c r="B1030" t="str">
        <f t="shared" si="207"/>
        <v>SAÍDA</v>
      </c>
      <c r="C1030" t="str">
        <f t="shared" si="210"/>
        <v>PIX</v>
      </c>
      <c r="D1030" t="str">
        <f>"34033"</f>
        <v>34033</v>
      </c>
      <c r="E1030" t="str">
        <f t="shared" si="199"/>
        <v>1</v>
      </c>
      <c r="F1030" t="str">
        <f t="shared" si="209"/>
        <v>COM</v>
      </c>
      <c r="G1030" t="str">
        <f>"THALISSON NUNES (1046)"</f>
        <v>THALISSON NUNES (1046)</v>
      </c>
      <c r="H1030" t="s">
        <v>391</v>
      </c>
      <c r="I1030" t="str">
        <f t="shared" si="208"/>
        <v>05/03/2026</v>
      </c>
      <c r="J1030" t="str">
        <f t="shared" si="206"/>
        <v>03/03/2026</v>
      </c>
      <c r="K1030">
        <v>46086</v>
      </c>
      <c r="N1030">
        <v>109</v>
      </c>
      <c r="O1030" t="s">
        <v>27</v>
      </c>
      <c r="Q1030">
        <v>801</v>
      </c>
      <c r="R1030" t="str">
        <f>"PAGMENOS - LJ 326 (10264)"</f>
        <v>PAGMENOS - LJ 326 (10264)</v>
      </c>
      <c r="S1030" t="s">
        <v>37</v>
      </c>
      <c r="T1030">
        <v>30319</v>
      </c>
      <c r="U1030">
        <v>34033</v>
      </c>
      <c r="V1030" t="s">
        <v>37</v>
      </c>
    </row>
    <row r="1031" spans="1:22">
      <c r="A1031" t="str">
        <f t="shared" si="205"/>
        <v>05/03/2026</v>
      </c>
      <c r="B1031" t="str">
        <f t="shared" si="207"/>
        <v>SAÍDA</v>
      </c>
      <c r="C1031" t="str">
        <f t="shared" si="210"/>
        <v>PIX</v>
      </c>
      <c r="D1031" t="str">
        <f>"34034"</f>
        <v>34034</v>
      </c>
      <c r="E1031" t="str">
        <f t="shared" si="199"/>
        <v>1</v>
      </c>
      <c r="F1031" t="str">
        <f t="shared" si="209"/>
        <v>COM</v>
      </c>
      <c r="G1031" t="str">
        <f>"WELDER LINHARES ALVES (1306)"</f>
        <v>WELDER LINHARES ALVES (1306)</v>
      </c>
      <c r="H1031" t="str">
        <f>"Serv.Prest. 23/02/2026 a 01/03/2026 - PIX: CHAVE ALEATÓRIA - CHAVE: b7127766-e2b6-47e0-bdc0-95f13babb6f4"</f>
        <v>Serv.Prest. 23/02/2026 a 01/03/2026 - PIX: CHAVE ALEATÓRIA - CHAVE: b7127766-e2b6-47e0-bdc0-95f13babb6f4</v>
      </c>
      <c r="I1031" t="str">
        <f t="shared" si="208"/>
        <v>05/03/2026</v>
      </c>
      <c r="J1031" t="str">
        <f t="shared" si="206"/>
        <v>03/03/2026</v>
      </c>
      <c r="K1031" t="str">
        <f>("05/03/2026")</f>
        <v>05/03/2026</v>
      </c>
      <c r="L1031">
        <v>702</v>
      </c>
      <c r="M1031">
        <v>702</v>
      </c>
      <c r="N1031">
        <v>109</v>
      </c>
      <c r="O1031" t="str">
        <f>"PAGAMENTO DE ENTREGADORES"</f>
        <v>PAGAMENTO DE ENTREGADORES</v>
      </c>
      <c r="P1031">
        <v>702</v>
      </c>
      <c r="S1031" t="str">
        <f>"BANCO C6 (149)"</f>
        <v>BANCO C6 (149)</v>
      </c>
      <c r="T1031">
        <v>30320</v>
      </c>
      <c r="U1031">
        <v>34034</v>
      </c>
      <c r="V1031" t="s">
        <v>37</v>
      </c>
    </row>
    <row r="1032" spans="1:22">
      <c r="A1032" t="str">
        <f t="shared" si="205"/>
        <v>05/03/2026</v>
      </c>
      <c r="B1032" t="str">
        <f t="shared" si="207"/>
        <v>SAÍDA</v>
      </c>
      <c r="C1032" t="str">
        <f t="shared" si="210"/>
        <v>PIX</v>
      </c>
      <c r="D1032" t="str">
        <f>"34034"</f>
        <v>34034</v>
      </c>
      <c r="E1032" t="str">
        <f t="shared" si="199"/>
        <v>1</v>
      </c>
      <c r="F1032" t="str">
        <f t="shared" si="209"/>
        <v>COM</v>
      </c>
      <c r="G1032" t="str">
        <f>"WELDER LINHARES ALVES (1306)"</f>
        <v>WELDER LINHARES ALVES (1306)</v>
      </c>
      <c r="H1032" t="s">
        <v>392</v>
      </c>
      <c r="I1032" t="str">
        <f t="shared" si="208"/>
        <v>05/03/2026</v>
      </c>
      <c r="J1032" t="str">
        <f t="shared" si="206"/>
        <v>03/03/2026</v>
      </c>
      <c r="K1032">
        <v>46086</v>
      </c>
      <c r="N1032">
        <v>109</v>
      </c>
      <c r="O1032" t="s">
        <v>27</v>
      </c>
      <c r="Q1032">
        <v>398.17</v>
      </c>
      <c r="R1032" t="str">
        <f>"PAGMENOS - LJ 431 (10265)"</f>
        <v>PAGMENOS - LJ 431 (10265)</v>
      </c>
      <c r="S1032" t="s">
        <v>37</v>
      </c>
      <c r="T1032">
        <v>30320</v>
      </c>
      <c r="U1032">
        <v>34034</v>
      </c>
      <c r="V1032" t="s">
        <v>37</v>
      </c>
    </row>
    <row r="1033" spans="1:22">
      <c r="A1033" t="str">
        <f t="shared" si="205"/>
        <v>05/03/2026</v>
      </c>
      <c r="B1033" t="str">
        <f t="shared" si="207"/>
        <v>SAÍDA</v>
      </c>
      <c r="C1033" t="str">
        <f t="shared" si="210"/>
        <v>PIX</v>
      </c>
      <c r="D1033" t="str">
        <f>"34034"</f>
        <v>34034</v>
      </c>
      <c r="E1033" t="str">
        <f t="shared" si="199"/>
        <v>1</v>
      </c>
      <c r="F1033" t="str">
        <f t="shared" si="209"/>
        <v>COM</v>
      </c>
      <c r="G1033" t="str">
        <f>"WELDER LINHARES ALVES (1306)"</f>
        <v>WELDER LINHARES ALVES (1306)</v>
      </c>
      <c r="H1033" t="s">
        <v>392</v>
      </c>
      <c r="I1033" t="str">
        <f t="shared" si="208"/>
        <v>05/03/2026</v>
      </c>
      <c r="J1033" t="str">
        <f t="shared" si="206"/>
        <v>03/03/2026</v>
      </c>
      <c r="K1033">
        <v>46086</v>
      </c>
      <c r="N1033">
        <v>109</v>
      </c>
      <c r="O1033" t="s">
        <v>27</v>
      </c>
      <c r="Q1033">
        <v>303.83</v>
      </c>
      <c r="R1033" t="str">
        <f>"PAGMENOS - LJ 768 (10266)"</f>
        <v>PAGMENOS - LJ 768 (10266)</v>
      </c>
      <c r="S1033" t="s">
        <v>37</v>
      </c>
      <c r="T1033">
        <v>30320</v>
      </c>
      <c r="U1033">
        <v>34034</v>
      </c>
      <c r="V1033" t="s">
        <v>37</v>
      </c>
    </row>
    <row r="1034" spans="1:22">
      <c r="A1034" t="str">
        <f t="shared" si="205"/>
        <v>05/03/2026</v>
      </c>
      <c r="B1034" t="str">
        <f t="shared" si="207"/>
        <v>SAÍDA</v>
      </c>
      <c r="C1034" t="str">
        <f t="shared" si="210"/>
        <v>PIX</v>
      </c>
      <c r="D1034" t="str">
        <f>"34035"</f>
        <v>34035</v>
      </c>
      <c r="E1034" t="str">
        <f t="shared" si="199"/>
        <v>1</v>
      </c>
      <c r="F1034" t="str">
        <f t="shared" si="209"/>
        <v>COM</v>
      </c>
      <c r="G1034" t="str">
        <f>"WENDERSON SILVA MAIA (1238)"</f>
        <v>WENDERSON SILVA MAIA (1238)</v>
      </c>
      <c r="H1034" t="str">
        <f>"Serv.Prest. 23/02/2026 a 01/03/2026 - PIX: E-MAIL - CHAVE: wender.56@hotmail.com"</f>
        <v>Serv.Prest. 23/02/2026 a 01/03/2026 - PIX: E-MAIL - CHAVE: wender.56@hotmail.com</v>
      </c>
      <c r="I1034" t="str">
        <f t="shared" si="208"/>
        <v>05/03/2026</v>
      </c>
      <c r="J1034" t="str">
        <f t="shared" si="206"/>
        <v>03/03/2026</v>
      </c>
      <c r="K1034" t="str">
        <f>("05/03/2026")</f>
        <v>05/03/2026</v>
      </c>
      <c r="L1034">
        <v>702</v>
      </c>
      <c r="M1034">
        <v>702</v>
      </c>
      <c r="N1034">
        <v>109</v>
      </c>
      <c r="O1034" t="str">
        <f>"PAGAMENTO DE ENTREGADORES"</f>
        <v>PAGAMENTO DE ENTREGADORES</v>
      </c>
      <c r="P1034">
        <v>702</v>
      </c>
      <c r="S1034" t="str">
        <f>"BANCO C6 (149)"</f>
        <v>BANCO C6 (149)</v>
      </c>
      <c r="T1034">
        <v>30321</v>
      </c>
      <c r="U1034">
        <v>34035</v>
      </c>
      <c r="V1034" t="s">
        <v>37</v>
      </c>
    </row>
    <row r="1035" spans="1:22">
      <c r="A1035" t="str">
        <f t="shared" si="205"/>
        <v>05/03/2026</v>
      </c>
      <c r="B1035" t="str">
        <f t="shared" si="207"/>
        <v>SAÍDA</v>
      </c>
      <c r="C1035" t="str">
        <f t="shared" si="210"/>
        <v>PIX</v>
      </c>
      <c r="D1035" t="str">
        <f>"34035"</f>
        <v>34035</v>
      </c>
      <c r="E1035" t="str">
        <f t="shared" ref="E1035:E1044" si="211">"1"</f>
        <v>1</v>
      </c>
      <c r="F1035" t="str">
        <f t="shared" si="209"/>
        <v>COM</v>
      </c>
      <c r="G1035" t="str">
        <f>"WENDERSON SILVA MAIA (1238)"</f>
        <v>WENDERSON SILVA MAIA (1238)</v>
      </c>
      <c r="H1035" t="s">
        <v>393</v>
      </c>
      <c r="I1035" t="str">
        <f t="shared" si="208"/>
        <v>05/03/2026</v>
      </c>
      <c r="J1035" t="str">
        <f t="shared" si="206"/>
        <v>03/03/2026</v>
      </c>
      <c r="K1035">
        <v>46086</v>
      </c>
      <c r="N1035">
        <v>109</v>
      </c>
      <c r="O1035" t="s">
        <v>27</v>
      </c>
      <c r="Q1035">
        <v>119.2</v>
      </c>
      <c r="R1035" t="str">
        <f>"PAGMENOS - LJ 431 (10265)"</f>
        <v>PAGMENOS - LJ 431 (10265)</v>
      </c>
      <c r="S1035" t="s">
        <v>37</v>
      </c>
      <c r="T1035">
        <v>30321</v>
      </c>
      <c r="U1035">
        <v>34035</v>
      </c>
      <c r="V1035" t="s">
        <v>37</v>
      </c>
    </row>
    <row r="1036" spans="1:22">
      <c r="A1036" t="str">
        <f t="shared" si="205"/>
        <v>05/03/2026</v>
      </c>
      <c r="B1036" t="str">
        <f t="shared" si="207"/>
        <v>SAÍDA</v>
      </c>
      <c r="C1036" t="str">
        <f t="shared" si="210"/>
        <v>PIX</v>
      </c>
      <c r="D1036" t="str">
        <f>"34035"</f>
        <v>34035</v>
      </c>
      <c r="E1036" t="str">
        <f t="shared" si="211"/>
        <v>1</v>
      </c>
      <c r="F1036" t="str">
        <f t="shared" si="209"/>
        <v>COM</v>
      </c>
      <c r="G1036" t="str">
        <f>"WENDERSON SILVA MAIA (1238)"</f>
        <v>WENDERSON SILVA MAIA (1238)</v>
      </c>
      <c r="H1036" t="s">
        <v>393</v>
      </c>
      <c r="I1036" t="str">
        <f t="shared" si="208"/>
        <v>05/03/2026</v>
      </c>
      <c r="J1036" t="str">
        <f t="shared" si="206"/>
        <v>03/03/2026</v>
      </c>
      <c r="K1036">
        <v>46086</v>
      </c>
      <c r="N1036">
        <v>109</v>
      </c>
      <c r="O1036" t="s">
        <v>27</v>
      </c>
      <c r="Q1036">
        <v>582.79999999999995</v>
      </c>
      <c r="R1036" t="str">
        <f>"PAGMENOS - LJ 768 (10266)"</f>
        <v>PAGMENOS - LJ 768 (10266)</v>
      </c>
      <c r="S1036" t="s">
        <v>37</v>
      </c>
      <c r="T1036">
        <v>30321</v>
      </c>
      <c r="U1036">
        <v>34035</v>
      </c>
      <c r="V1036" t="s">
        <v>37</v>
      </c>
    </row>
    <row r="1037" spans="1:22">
      <c r="A1037" t="str">
        <f t="shared" si="205"/>
        <v>05/03/2026</v>
      </c>
      <c r="B1037" t="str">
        <f t="shared" si="207"/>
        <v>SAÍDA</v>
      </c>
      <c r="C1037" t="str">
        <f t="shared" si="210"/>
        <v>PIX</v>
      </c>
      <c r="D1037" t="str">
        <f>"34036"</f>
        <v>34036</v>
      </c>
      <c r="E1037" t="str">
        <f t="shared" si="211"/>
        <v>1</v>
      </c>
      <c r="F1037" t="str">
        <f t="shared" si="209"/>
        <v>COM</v>
      </c>
      <c r="G1037" t="str">
        <f>"WILIANA RODRIGUES E RODRIGUES (398)"</f>
        <v>WILIANA RODRIGUES E RODRIGUES (398)</v>
      </c>
      <c r="H1037" t="str">
        <f>"Serv.Prest. 23/02/2026 a 01/03/2026 - PIX: CPF - CHAVE: 016.203.336-27"</f>
        <v>Serv.Prest. 23/02/2026 a 01/03/2026 - PIX: CPF - CHAVE: 016.203.336-27</v>
      </c>
      <c r="I1037" t="str">
        <f t="shared" si="208"/>
        <v>05/03/2026</v>
      </c>
      <c r="J1037" t="str">
        <f t="shared" si="206"/>
        <v>03/03/2026</v>
      </c>
      <c r="K1037" t="str">
        <f>("05/03/2026")</f>
        <v>05/03/2026</v>
      </c>
      <c r="L1037">
        <v>1200</v>
      </c>
      <c r="M1037">
        <v>1200</v>
      </c>
      <c r="N1037">
        <v>109</v>
      </c>
      <c r="O1037" t="str">
        <f>"PAGAMENTO DE ENTREGADORES"</f>
        <v>PAGAMENTO DE ENTREGADORES</v>
      </c>
      <c r="P1037">
        <v>1200</v>
      </c>
      <c r="S1037" t="str">
        <f>"BANCO C6 (149)"</f>
        <v>BANCO C6 (149)</v>
      </c>
      <c r="T1037">
        <v>30322</v>
      </c>
      <c r="U1037">
        <v>34036</v>
      </c>
      <c r="V1037" t="s">
        <v>37</v>
      </c>
    </row>
    <row r="1038" spans="1:22">
      <c r="A1038" t="str">
        <f t="shared" si="205"/>
        <v>05/03/2026</v>
      </c>
      <c r="B1038" t="str">
        <f t="shared" si="207"/>
        <v>SAÍDA</v>
      </c>
      <c r="C1038" t="str">
        <f t="shared" si="210"/>
        <v>PIX</v>
      </c>
      <c r="D1038" t="str">
        <f>"34036"</f>
        <v>34036</v>
      </c>
      <c r="E1038" t="str">
        <f t="shared" si="211"/>
        <v>1</v>
      </c>
      <c r="F1038" t="str">
        <f t="shared" si="209"/>
        <v>COM</v>
      </c>
      <c r="G1038" t="str">
        <f>"WILIANA RODRIGUES E RODRIGUES (398)"</f>
        <v>WILIANA RODRIGUES E RODRIGUES (398)</v>
      </c>
      <c r="H1038" t="s">
        <v>349</v>
      </c>
      <c r="I1038" t="str">
        <f t="shared" si="208"/>
        <v>05/03/2026</v>
      </c>
      <c r="J1038" t="str">
        <f t="shared" si="206"/>
        <v>03/03/2026</v>
      </c>
      <c r="K1038">
        <v>46086</v>
      </c>
      <c r="N1038">
        <v>109</v>
      </c>
      <c r="O1038" t="s">
        <v>27</v>
      </c>
      <c r="Q1038">
        <v>1200</v>
      </c>
      <c r="R1038" t="str">
        <f>"PAGMENOS - LJ 657 (10136)"</f>
        <v>PAGMENOS - LJ 657 (10136)</v>
      </c>
      <c r="S1038" t="s">
        <v>37</v>
      </c>
      <c r="T1038">
        <v>30322</v>
      </c>
      <c r="U1038">
        <v>34036</v>
      </c>
      <c r="V1038" t="s">
        <v>37</v>
      </c>
    </row>
    <row r="1039" spans="1:22">
      <c r="A1039" t="str">
        <f t="shared" si="205"/>
        <v>05/03/2026</v>
      </c>
      <c r="B1039" t="str">
        <f t="shared" si="207"/>
        <v>SAÍDA</v>
      </c>
      <c r="C1039" t="str">
        <f t="shared" si="210"/>
        <v>PIX</v>
      </c>
      <c r="D1039" t="str">
        <f>"34082"</f>
        <v>34082</v>
      </c>
      <c r="E1039" t="str">
        <f t="shared" si="211"/>
        <v>1</v>
      </c>
      <c r="F1039" t="str">
        <f t="shared" si="209"/>
        <v>COM</v>
      </c>
      <c r="G1039" t="str">
        <f>"ROBSON OLIVEIRA DE JESUS (623)"</f>
        <v>ROBSON OLIVEIRA DE JESUS (623)</v>
      </c>
      <c r="H1039" t="str">
        <f>"Serv.Prest. 23/02/2026 a 01/03/2026 - PIX: CELULAR - CHAVE: (73) 98166-3325"</f>
        <v>Serv.Prest. 23/02/2026 a 01/03/2026 - PIX: CELULAR - CHAVE: (73) 98166-3325</v>
      </c>
      <c r="I1039" t="str">
        <f t="shared" si="208"/>
        <v>05/03/2026</v>
      </c>
      <c r="J1039" t="str">
        <f t="shared" si="206"/>
        <v>03/03/2026</v>
      </c>
      <c r="K1039" t="str">
        <f>("05/03/2026")</f>
        <v>05/03/2026</v>
      </c>
      <c r="L1039">
        <v>702</v>
      </c>
      <c r="M1039">
        <v>702</v>
      </c>
      <c r="N1039">
        <v>109</v>
      </c>
      <c r="O1039" t="str">
        <f>"PAGAMENTO DE ENTREGADORES"</f>
        <v>PAGAMENTO DE ENTREGADORES</v>
      </c>
      <c r="P1039">
        <v>702</v>
      </c>
      <c r="S1039" t="str">
        <f>"BANCO C6 (149)"</f>
        <v>BANCO C6 (149)</v>
      </c>
      <c r="T1039">
        <v>30323</v>
      </c>
      <c r="U1039">
        <v>34082</v>
      </c>
      <c r="V1039" t="s">
        <v>37</v>
      </c>
    </row>
    <row r="1040" spans="1:22">
      <c r="A1040" t="str">
        <f t="shared" si="205"/>
        <v>05/03/2026</v>
      </c>
      <c r="B1040" t="str">
        <f t="shared" si="207"/>
        <v>SAÍDA</v>
      </c>
      <c r="C1040" t="str">
        <f t="shared" si="210"/>
        <v>PIX</v>
      </c>
      <c r="D1040" t="str">
        <f>"34082"</f>
        <v>34082</v>
      </c>
      <c r="E1040" t="str">
        <f t="shared" si="211"/>
        <v>1</v>
      </c>
      <c r="F1040" t="str">
        <f t="shared" si="209"/>
        <v>COM</v>
      </c>
      <c r="G1040" t="str">
        <f>"ROBSON OLIVEIRA DE JESUS (623)"</f>
        <v>ROBSON OLIVEIRA DE JESUS (623)</v>
      </c>
      <c r="H1040" t="s">
        <v>394</v>
      </c>
      <c r="I1040" t="str">
        <f t="shared" si="208"/>
        <v>05/03/2026</v>
      </c>
      <c r="J1040" t="str">
        <f t="shared" si="206"/>
        <v>03/03/2026</v>
      </c>
      <c r="K1040">
        <v>46086</v>
      </c>
      <c r="N1040">
        <v>109</v>
      </c>
      <c r="O1040" t="s">
        <v>27</v>
      </c>
      <c r="Q1040">
        <v>702</v>
      </c>
      <c r="R1040" t="str">
        <f>"FARMÁCIA INDIANA LJ 145 (10068)"</f>
        <v>FARMÁCIA INDIANA LJ 145 (10068)</v>
      </c>
      <c r="S1040" t="s">
        <v>37</v>
      </c>
      <c r="T1040">
        <v>30323</v>
      </c>
      <c r="U1040">
        <v>34082</v>
      </c>
      <c r="V1040" t="s">
        <v>37</v>
      </c>
    </row>
    <row r="1041" spans="1:22">
      <c r="A1041" t="str">
        <f t="shared" si="205"/>
        <v>05/03/2026</v>
      </c>
      <c r="B1041" t="str">
        <f t="shared" si="207"/>
        <v>SAÍDA</v>
      </c>
      <c r="C1041" t="str">
        <f t="shared" si="210"/>
        <v>PIX</v>
      </c>
      <c r="D1041" t="str">
        <f>"34083"</f>
        <v>34083</v>
      </c>
      <c r="E1041" t="str">
        <f t="shared" si="211"/>
        <v>1</v>
      </c>
      <c r="F1041" t="str">
        <f t="shared" si="209"/>
        <v>COM</v>
      </c>
      <c r="G1041" t="str">
        <f>"TALES DE JESUS OLIVEIRA (318)"</f>
        <v>TALES DE JESUS OLIVEIRA (318)</v>
      </c>
      <c r="H1041" t="str">
        <f>"Serv.Prest. 23/02/2026 a 01/03/2026 - PIX: CPF - CHAVE: 378.223.888-51"</f>
        <v>Serv.Prest. 23/02/2026 a 01/03/2026 - PIX: CPF - CHAVE: 378.223.888-51</v>
      </c>
      <c r="I1041" t="str">
        <f t="shared" si="208"/>
        <v>05/03/2026</v>
      </c>
      <c r="J1041" t="str">
        <f t="shared" si="206"/>
        <v>03/03/2026</v>
      </c>
      <c r="K1041" t="str">
        <f>("05/03/2026")</f>
        <v>05/03/2026</v>
      </c>
      <c r="L1041">
        <v>702</v>
      </c>
      <c r="M1041">
        <v>702</v>
      </c>
      <c r="N1041">
        <v>109</v>
      </c>
      <c r="O1041" t="str">
        <f>"PAGAMENTO DE ENTREGADORES"</f>
        <v>PAGAMENTO DE ENTREGADORES</v>
      </c>
      <c r="P1041">
        <v>702</v>
      </c>
      <c r="S1041" t="str">
        <f>"BANCO C6 (149)"</f>
        <v>BANCO C6 (149)</v>
      </c>
      <c r="T1041">
        <v>30324</v>
      </c>
      <c r="U1041">
        <v>34083</v>
      </c>
      <c r="V1041" t="s">
        <v>37</v>
      </c>
    </row>
    <row r="1042" spans="1:22">
      <c r="A1042" t="str">
        <f t="shared" si="205"/>
        <v>05/03/2026</v>
      </c>
      <c r="B1042" t="str">
        <f t="shared" si="207"/>
        <v>SAÍDA</v>
      </c>
      <c r="C1042" t="str">
        <f t="shared" si="210"/>
        <v>PIX</v>
      </c>
      <c r="D1042" t="str">
        <f>"34083"</f>
        <v>34083</v>
      </c>
      <c r="E1042" t="str">
        <f t="shared" si="211"/>
        <v>1</v>
      </c>
      <c r="F1042" t="str">
        <f t="shared" si="209"/>
        <v>COM</v>
      </c>
      <c r="G1042" t="str">
        <f>"TALES DE JESUS OLIVEIRA (318)"</f>
        <v>TALES DE JESUS OLIVEIRA (318)</v>
      </c>
      <c r="H1042" t="s">
        <v>395</v>
      </c>
      <c r="I1042" t="str">
        <f t="shared" si="208"/>
        <v>05/03/2026</v>
      </c>
      <c r="J1042" t="str">
        <f t="shared" si="206"/>
        <v>03/03/2026</v>
      </c>
      <c r="K1042">
        <v>46086</v>
      </c>
      <c r="N1042">
        <v>109</v>
      </c>
      <c r="O1042" t="s">
        <v>27</v>
      </c>
      <c r="Q1042">
        <v>702</v>
      </c>
      <c r="R1042" t="str">
        <f>"FARMÁCIA INDIANA LJ 145 (10068)"</f>
        <v>FARMÁCIA INDIANA LJ 145 (10068)</v>
      </c>
      <c r="S1042" t="s">
        <v>37</v>
      </c>
      <c r="T1042">
        <v>30324</v>
      </c>
      <c r="U1042">
        <v>34083</v>
      </c>
      <c r="V1042" t="s">
        <v>37</v>
      </c>
    </row>
    <row r="1043" spans="1:22">
      <c r="A1043" t="str">
        <f t="shared" si="205"/>
        <v>05/03/2026</v>
      </c>
      <c r="B1043" t="str">
        <f t="shared" si="207"/>
        <v>SAÍDA</v>
      </c>
      <c r="C1043" t="str">
        <f t="shared" si="210"/>
        <v>PIX</v>
      </c>
      <c r="D1043" t="str">
        <f>"34190"</f>
        <v>34190</v>
      </c>
      <c r="E1043" t="str">
        <f t="shared" si="211"/>
        <v>1</v>
      </c>
      <c r="F1043" t="str">
        <f t="shared" si="209"/>
        <v>COM</v>
      </c>
      <c r="G1043" t="str">
        <f>"WEIGNE SENA CARDOSO (53)"</f>
        <v>WEIGNE SENA CARDOSO (53)</v>
      </c>
      <c r="H1043" t="str">
        <f>"Serv.Prest. 23/02/2026 a 01/03/2026 - PIX: CPF - CHAVE: 097.245.586-81"</f>
        <v>Serv.Prest. 23/02/2026 a 01/03/2026 - PIX: CPF - CHAVE: 097.245.586-81</v>
      </c>
      <c r="I1043" t="str">
        <f t="shared" si="208"/>
        <v>05/03/2026</v>
      </c>
      <c r="J1043" t="str">
        <f t="shared" si="206"/>
        <v>03/03/2026</v>
      </c>
      <c r="K1043" t="str">
        <f>("05/03/2026")</f>
        <v>05/03/2026</v>
      </c>
      <c r="L1043">
        <v>432</v>
      </c>
      <c r="M1043">
        <v>432</v>
      </c>
      <c r="N1043">
        <v>109</v>
      </c>
      <c r="O1043" t="str">
        <f>"PAGAMENTO DE ENTREGADORES"</f>
        <v>PAGAMENTO DE ENTREGADORES</v>
      </c>
      <c r="P1043">
        <v>432</v>
      </c>
      <c r="S1043" t="str">
        <f>"BANCO C6 (149)"</f>
        <v>BANCO C6 (149)</v>
      </c>
      <c r="T1043">
        <v>30325</v>
      </c>
      <c r="U1043">
        <v>34190</v>
      </c>
      <c r="V1043" t="s">
        <v>37</v>
      </c>
    </row>
    <row r="1044" spans="1:22">
      <c r="A1044" t="str">
        <f t="shared" si="205"/>
        <v>05/03/2026</v>
      </c>
      <c r="B1044" t="str">
        <f t="shared" si="207"/>
        <v>SAÍDA</v>
      </c>
      <c r="C1044" t="str">
        <f t="shared" si="210"/>
        <v>PIX</v>
      </c>
      <c r="D1044" t="str">
        <f>"34190"</f>
        <v>34190</v>
      </c>
      <c r="E1044" t="str">
        <f t="shared" si="211"/>
        <v>1</v>
      </c>
      <c r="F1044" t="str">
        <f t="shared" si="209"/>
        <v>COM</v>
      </c>
      <c r="G1044" t="str">
        <f>"WEIGNE SENA CARDOSO (53)"</f>
        <v>WEIGNE SENA CARDOSO (53)</v>
      </c>
      <c r="H1044" t="s">
        <v>396</v>
      </c>
      <c r="I1044" t="str">
        <f t="shared" si="208"/>
        <v>05/03/2026</v>
      </c>
      <c r="J1044" t="str">
        <f t="shared" si="206"/>
        <v>03/03/2026</v>
      </c>
      <c r="K1044">
        <v>46086</v>
      </c>
      <c r="N1044">
        <v>109</v>
      </c>
      <c r="O1044" t="s">
        <v>27</v>
      </c>
      <c r="Q1044">
        <v>432</v>
      </c>
      <c r="R1044" t="str">
        <f>"FARMÁCIA INDIANA LJ 07 (10007)"</f>
        <v>FARMÁCIA INDIANA LJ 07 (10007)</v>
      </c>
      <c r="S1044" t="s">
        <v>37</v>
      </c>
      <c r="T1044">
        <v>30325</v>
      </c>
      <c r="U1044">
        <v>34190</v>
      </c>
      <c r="V1044" t="s">
        <v>37</v>
      </c>
    </row>
    <row r="1045" spans="1:22">
      <c r="A1045" t="str">
        <f t="shared" si="205"/>
        <v>05/03/2026</v>
      </c>
      <c r="B1045" t="str">
        <f t="shared" si="207"/>
        <v>SAÍDA</v>
      </c>
      <c r="C1045" t="str">
        <f t="shared" si="210"/>
        <v>PIX</v>
      </c>
      <c r="D1045" t="str">
        <f t="shared" ref="D1045:D1054" si="212">"05032026"</f>
        <v>05032026</v>
      </c>
      <c r="E1045" t="str">
        <f>""</f>
        <v/>
      </c>
      <c r="F1045" t="str">
        <f t="shared" si="209"/>
        <v>COM</v>
      </c>
      <c r="G1045" t="str">
        <f>"ALLAN SILVA DAMACENA (790)"</f>
        <v>ALLAN SILVA DAMACENA (790)</v>
      </c>
      <c r="H1045" t="str">
        <f>"Serv.Prest. DIÁRIA 04/03/2026 - PIX: CELULAR - CHAVE: (19) 98944-4977"</f>
        <v>Serv.Prest. DIÁRIA 04/03/2026 - PIX: CELULAR - CHAVE: (19) 98944-4977</v>
      </c>
      <c r="I1045" t="str">
        <f t="shared" si="208"/>
        <v>05/03/2026</v>
      </c>
      <c r="J1045" t="str">
        <f>("05/03/2026")</f>
        <v>05/03/2026</v>
      </c>
      <c r="K1045" t="str">
        <f>("05/03/2026")</f>
        <v>05/03/2026</v>
      </c>
      <c r="L1045">
        <v>260</v>
      </c>
      <c r="M1045">
        <v>260</v>
      </c>
      <c r="N1045">
        <v>134</v>
      </c>
      <c r="O1045" t="str">
        <f>"DIARIA DE MOTOBOY"</f>
        <v>DIARIA DE MOTOBOY</v>
      </c>
      <c r="P1045">
        <v>260</v>
      </c>
      <c r="S1045" t="str">
        <f>"BANCO C6 (149)"</f>
        <v>BANCO C6 (149)</v>
      </c>
      <c r="T1045">
        <v>30326</v>
      </c>
      <c r="U1045">
        <v>34210</v>
      </c>
      <c r="V1045" t="s">
        <v>37</v>
      </c>
    </row>
    <row r="1046" spans="1:22">
      <c r="A1046" t="str">
        <f t="shared" si="205"/>
        <v>05/03/2026</v>
      </c>
      <c r="B1046" t="str">
        <f t="shared" si="207"/>
        <v>SAÍDA</v>
      </c>
      <c r="C1046" t="str">
        <f t="shared" si="210"/>
        <v>PIX</v>
      </c>
      <c r="D1046" t="str">
        <f t="shared" si="212"/>
        <v>05032026</v>
      </c>
      <c r="E1046" t="str">
        <f>""</f>
        <v/>
      </c>
      <c r="F1046" t="str">
        <f t="shared" si="209"/>
        <v>COM</v>
      </c>
      <c r="G1046" t="str">
        <f>"ALLAN SILVA DAMACENA (790)"</f>
        <v>ALLAN SILVA DAMACENA (790)</v>
      </c>
      <c r="H1046" t="s">
        <v>397</v>
      </c>
      <c r="I1046" t="str">
        <f t="shared" si="208"/>
        <v>05/03/2026</v>
      </c>
      <c r="J1046" t="str">
        <f t="shared" ref="J1046:J1054" si="213">("05/03/2026")</f>
        <v>05/03/2026</v>
      </c>
      <c r="K1046">
        <v>46086</v>
      </c>
      <c r="N1046">
        <v>134</v>
      </c>
      <c r="O1046" t="s">
        <v>30</v>
      </c>
      <c r="Q1046">
        <v>260</v>
      </c>
      <c r="R1046" t="str">
        <f>"DROGARIA MORENO LTDA (10171)"</f>
        <v>DROGARIA MORENO LTDA (10171)</v>
      </c>
      <c r="S1046" t="s">
        <v>37</v>
      </c>
      <c r="T1046">
        <v>30326</v>
      </c>
      <c r="U1046">
        <v>34210</v>
      </c>
      <c r="V1046" t="s">
        <v>37</v>
      </c>
    </row>
    <row r="1047" spans="1:22">
      <c r="A1047" t="str">
        <f t="shared" si="205"/>
        <v>05/03/2026</v>
      </c>
      <c r="B1047" t="str">
        <f t="shared" si="207"/>
        <v>SAÍDA</v>
      </c>
      <c r="C1047" t="str">
        <f t="shared" si="210"/>
        <v>PIX</v>
      </c>
      <c r="D1047" t="str">
        <f t="shared" si="212"/>
        <v>05032026</v>
      </c>
      <c r="E1047" t="str">
        <f>""</f>
        <v/>
      </c>
      <c r="F1047" t="str">
        <f t="shared" si="209"/>
        <v>COM</v>
      </c>
      <c r="G1047" t="str">
        <f>"VICTOR HENRIQUE GOUVEA (1360)"</f>
        <v>VICTOR HENRIQUE GOUVEA (1360)</v>
      </c>
      <c r="H1047" t="str">
        <f>"Serv.Prest. DIÁRIA 02/03/2026 - PIX: E-MAIL - CHAVE: gouveavictor4@gmail.com"</f>
        <v>Serv.Prest. DIÁRIA 02/03/2026 - PIX: E-MAIL - CHAVE: gouveavictor4@gmail.com</v>
      </c>
      <c r="I1047" t="str">
        <f t="shared" si="208"/>
        <v>05/03/2026</v>
      </c>
      <c r="J1047" t="str">
        <f t="shared" si="213"/>
        <v>05/03/2026</v>
      </c>
      <c r="K1047" t="str">
        <f>("05/03/2026")</f>
        <v>05/03/2026</v>
      </c>
      <c r="L1047">
        <v>168</v>
      </c>
      <c r="M1047">
        <v>168</v>
      </c>
      <c r="N1047">
        <v>134</v>
      </c>
      <c r="O1047" t="str">
        <f>"DIARIA DE MOTOBOY"</f>
        <v>DIARIA DE MOTOBOY</v>
      </c>
      <c r="P1047">
        <v>168</v>
      </c>
      <c r="S1047" t="str">
        <f>"BANCO C6 (149)"</f>
        <v>BANCO C6 (149)</v>
      </c>
      <c r="T1047">
        <v>30327</v>
      </c>
      <c r="U1047">
        <v>34211</v>
      </c>
      <c r="V1047" t="s">
        <v>37</v>
      </c>
    </row>
    <row r="1048" spans="1:22">
      <c r="A1048" t="str">
        <f t="shared" si="205"/>
        <v>05/03/2026</v>
      </c>
      <c r="B1048" t="str">
        <f t="shared" si="207"/>
        <v>SAÍDA</v>
      </c>
      <c r="C1048" t="str">
        <f t="shared" si="210"/>
        <v>PIX</v>
      </c>
      <c r="D1048" t="str">
        <f t="shared" si="212"/>
        <v>05032026</v>
      </c>
      <c r="E1048" t="str">
        <f>""</f>
        <v/>
      </c>
      <c r="F1048" t="str">
        <f t="shared" si="209"/>
        <v>COM</v>
      </c>
      <c r="G1048" t="str">
        <f>"VICTOR HENRIQUE GOUVEA (1360)"</f>
        <v>VICTOR HENRIQUE GOUVEA (1360)</v>
      </c>
      <c r="H1048" t="s">
        <v>398</v>
      </c>
      <c r="I1048" t="str">
        <f t="shared" si="208"/>
        <v>05/03/2026</v>
      </c>
      <c r="J1048" t="str">
        <f t="shared" si="213"/>
        <v>05/03/2026</v>
      </c>
      <c r="K1048">
        <v>46086</v>
      </c>
      <c r="N1048">
        <v>134</v>
      </c>
      <c r="O1048" t="s">
        <v>30</v>
      </c>
      <c r="Q1048">
        <v>168</v>
      </c>
      <c r="R1048" t="str">
        <f>"FARMACIA ROSAS (10288)"</f>
        <v>FARMACIA ROSAS (10288)</v>
      </c>
      <c r="S1048" t="s">
        <v>37</v>
      </c>
      <c r="T1048">
        <v>30327</v>
      </c>
      <c r="U1048">
        <v>34211</v>
      </c>
      <c r="V1048" t="s">
        <v>37</v>
      </c>
    </row>
    <row r="1049" spans="1:22">
      <c r="A1049" t="str">
        <f t="shared" si="205"/>
        <v>05/03/2026</v>
      </c>
      <c r="B1049" t="str">
        <f t="shared" si="207"/>
        <v>SAÍDA</v>
      </c>
      <c r="C1049" t="str">
        <f t="shared" si="210"/>
        <v>PIX</v>
      </c>
      <c r="D1049" t="str">
        <f t="shared" si="212"/>
        <v>05032026</v>
      </c>
      <c r="E1049" t="str">
        <f>""</f>
        <v/>
      </c>
      <c r="F1049" t="str">
        <f t="shared" si="209"/>
        <v>COM</v>
      </c>
      <c r="G1049" t="str">
        <f>"LUCAS FERREIRA DA SILVA (1245)"</f>
        <v>LUCAS FERREIRA DA SILVA (1245)</v>
      </c>
      <c r="H1049" t="str">
        <f>"Serv.Prest. DIÁRIA 02/03/2026 - PIX: CELULAR - CHAVE: (11) 99593-3129"</f>
        <v>Serv.Prest. DIÁRIA 02/03/2026 - PIX: CELULAR - CHAVE: (11) 99593-3129</v>
      </c>
      <c r="I1049" t="str">
        <f t="shared" si="208"/>
        <v>05/03/2026</v>
      </c>
      <c r="J1049" t="str">
        <f t="shared" si="213"/>
        <v>05/03/2026</v>
      </c>
      <c r="K1049" t="str">
        <f>("05/03/2026")</f>
        <v>05/03/2026</v>
      </c>
      <c r="L1049">
        <v>130</v>
      </c>
      <c r="M1049">
        <v>130</v>
      </c>
      <c r="N1049">
        <v>134</v>
      </c>
      <c r="O1049" t="str">
        <f>"DIARIA DE MOTOBOY"</f>
        <v>DIARIA DE MOTOBOY</v>
      </c>
      <c r="P1049">
        <v>130</v>
      </c>
      <c r="S1049" t="str">
        <f>"BANCO C6 (149)"</f>
        <v>BANCO C6 (149)</v>
      </c>
      <c r="T1049">
        <v>30328</v>
      </c>
      <c r="U1049">
        <v>34212</v>
      </c>
      <c r="V1049" t="s">
        <v>37</v>
      </c>
    </row>
    <row r="1050" spans="1:22">
      <c r="A1050" t="str">
        <f t="shared" si="205"/>
        <v>05/03/2026</v>
      </c>
      <c r="B1050" t="str">
        <f t="shared" si="207"/>
        <v>SAÍDA</v>
      </c>
      <c r="C1050" t="str">
        <f t="shared" si="210"/>
        <v>PIX</v>
      </c>
      <c r="D1050" t="str">
        <f t="shared" si="212"/>
        <v>05032026</v>
      </c>
      <c r="E1050" t="str">
        <f>""</f>
        <v/>
      </c>
      <c r="F1050" t="str">
        <f t="shared" si="209"/>
        <v>COM</v>
      </c>
      <c r="G1050" t="str">
        <f>"LUCAS FERREIRA DA SILVA (1245)"</f>
        <v>LUCAS FERREIRA DA SILVA (1245)</v>
      </c>
      <c r="H1050" t="s">
        <v>399</v>
      </c>
      <c r="I1050" t="str">
        <f t="shared" si="208"/>
        <v>05/03/2026</v>
      </c>
      <c r="J1050" t="str">
        <f t="shared" si="213"/>
        <v>05/03/2026</v>
      </c>
      <c r="K1050">
        <v>46086</v>
      </c>
      <c r="N1050">
        <v>134</v>
      </c>
      <c r="O1050" t="s">
        <v>30</v>
      </c>
      <c r="Q1050">
        <v>130</v>
      </c>
      <c r="R1050" t="str">
        <f>"DROGARIA ISABELLA (10276)"</f>
        <v>DROGARIA ISABELLA (10276)</v>
      </c>
      <c r="S1050" t="s">
        <v>37</v>
      </c>
      <c r="T1050">
        <v>30328</v>
      </c>
      <c r="U1050">
        <v>34212</v>
      </c>
      <c r="V1050" t="s">
        <v>37</v>
      </c>
    </row>
    <row r="1051" spans="1:22">
      <c r="A1051" t="str">
        <f t="shared" si="205"/>
        <v>05/03/2026</v>
      </c>
      <c r="B1051" t="str">
        <f t="shared" si="207"/>
        <v>SAÍDA</v>
      </c>
      <c r="C1051" t="str">
        <f t="shared" si="210"/>
        <v>PIX</v>
      </c>
      <c r="D1051" t="str">
        <f t="shared" si="212"/>
        <v>05032026</v>
      </c>
      <c r="E1051" t="str">
        <f>""</f>
        <v/>
      </c>
      <c r="F1051" t="str">
        <f t="shared" si="209"/>
        <v>COM</v>
      </c>
      <c r="G1051" t="str">
        <f>"ELIEL PEREIRA BARBOZA DE LIMA (1321)"</f>
        <v>ELIEL PEREIRA BARBOZA DE LIMA (1321)</v>
      </c>
      <c r="H1051" t="str">
        <f>"Serv.Prest. DIÁRIA 22/02, 02/03, 03/03 E 04/03/2026 PIX: 27611069896"</f>
        <v>Serv.Prest. DIÁRIA 22/02, 02/03, 03/03 E 04/03/2026 PIX: 27611069896</v>
      </c>
      <c r="I1051" t="str">
        <f t="shared" si="208"/>
        <v>05/03/2026</v>
      </c>
      <c r="J1051" t="str">
        <f t="shared" si="213"/>
        <v>05/03/2026</v>
      </c>
      <c r="K1051" t="str">
        <f>("05/03/2026")</f>
        <v>05/03/2026</v>
      </c>
      <c r="L1051">
        <v>520</v>
      </c>
      <c r="M1051">
        <v>520</v>
      </c>
      <c r="N1051">
        <v>134</v>
      </c>
      <c r="O1051" t="str">
        <f>"DIARIA DE MOTOBOY"</f>
        <v>DIARIA DE MOTOBOY</v>
      </c>
      <c r="P1051">
        <v>520</v>
      </c>
      <c r="S1051" t="str">
        <f>"BANCO C6 (149)"</f>
        <v>BANCO C6 (149)</v>
      </c>
      <c r="T1051">
        <v>30329</v>
      </c>
      <c r="U1051">
        <v>34213</v>
      </c>
      <c r="V1051" t="s">
        <v>37</v>
      </c>
    </row>
    <row r="1052" spans="1:22">
      <c r="A1052" t="str">
        <f t="shared" si="205"/>
        <v>05/03/2026</v>
      </c>
      <c r="B1052" t="str">
        <f t="shared" si="207"/>
        <v>SAÍDA</v>
      </c>
      <c r="C1052" t="str">
        <f t="shared" si="210"/>
        <v>PIX</v>
      </c>
      <c r="D1052" t="str">
        <f t="shared" si="212"/>
        <v>05032026</v>
      </c>
      <c r="E1052" t="str">
        <f>""</f>
        <v/>
      </c>
      <c r="F1052" t="str">
        <f t="shared" si="209"/>
        <v>COM</v>
      </c>
      <c r="G1052" t="str">
        <f>"ELIEL PEREIRA BARBOZA DE LIMA (1321)"</f>
        <v>ELIEL PEREIRA BARBOZA DE LIMA (1321)</v>
      </c>
      <c r="H1052" t="s">
        <v>400</v>
      </c>
      <c r="I1052" t="str">
        <f t="shared" si="208"/>
        <v>05/03/2026</v>
      </c>
      <c r="J1052" t="str">
        <f t="shared" si="213"/>
        <v>05/03/2026</v>
      </c>
      <c r="K1052">
        <v>46086</v>
      </c>
      <c r="N1052">
        <v>134</v>
      </c>
      <c r="O1052" t="s">
        <v>30</v>
      </c>
      <c r="Q1052">
        <v>520</v>
      </c>
      <c r="R1052" t="str">
        <f>"FARMACIA ROSAS (10288)"</f>
        <v>FARMACIA ROSAS (10288)</v>
      </c>
      <c r="S1052" t="s">
        <v>37</v>
      </c>
      <c r="T1052">
        <v>30329</v>
      </c>
      <c r="U1052">
        <v>34213</v>
      </c>
      <c r="V1052" t="s">
        <v>37</v>
      </c>
    </row>
    <row r="1053" spans="1:22">
      <c r="A1053" t="str">
        <f t="shared" si="205"/>
        <v>05/03/2026</v>
      </c>
      <c r="B1053" t="str">
        <f t="shared" si="207"/>
        <v>SAÍDA</v>
      </c>
      <c r="C1053" t="str">
        <f t="shared" si="210"/>
        <v>PIX</v>
      </c>
      <c r="D1053" t="str">
        <f t="shared" si="212"/>
        <v>05032026</v>
      </c>
      <c r="E1053" t="str">
        <f>""</f>
        <v/>
      </c>
      <c r="F1053" t="str">
        <f t="shared" si="209"/>
        <v>COM</v>
      </c>
      <c r="G1053" t="str">
        <f>"REINALDO JOLY GRAZIANO (1357)"</f>
        <v>REINALDO JOLY GRAZIANO (1357)</v>
      </c>
      <c r="H1053" t="str">
        <f>"Serv. Prest. DIÁRIA NOTURNA 28/02/2026 CHAVE PIX: CELULAR 14 982058697"</f>
        <v>Serv. Prest. DIÁRIA NOTURNA 28/02/2026 CHAVE PIX: CELULAR 14 982058697</v>
      </c>
      <c r="I1053" t="str">
        <f t="shared" si="208"/>
        <v>05/03/2026</v>
      </c>
      <c r="J1053" t="str">
        <f t="shared" si="213"/>
        <v>05/03/2026</v>
      </c>
      <c r="K1053" t="str">
        <f>("05/03/2026")</f>
        <v>05/03/2026</v>
      </c>
      <c r="L1053">
        <v>150</v>
      </c>
      <c r="M1053">
        <v>150</v>
      </c>
      <c r="N1053">
        <v>134</v>
      </c>
      <c r="O1053" t="str">
        <f>"DIARIA DE MOTOBOY"</f>
        <v>DIARIA DE MOTOBOY</v>
      </c>
      <c r="P1053">
        <v>150</v>
      </c>
      <c r="S1053" t="str">
        <f>"BANCO C6 (149)"</f>
        <v>BANCO C6 (149)</v>
      </c>
      <c r="T1053">
        <v>30330</v>
      </c>
      <c r="U1053">
        <v>34215</v>
      </c>
      <c r="V1053" t="s">
        <v>37</v>
      </c>
    </row>
    <row r="1054" spans="1:22">
      <c r="A1054" t="str">
        <f t="shared" si="205"/>
        <v>05/03/2026</v>
      </c>
      <c r="B1054" t="str">
        <f t="shared" si="207"/>
        <v>SAÍDA</v>
      </c>
      <c r="C1054" t="str">
        <f t="shared" si="210"/>
        <v>PIX</v>
      </c>
      <c r="D1054" t="str">
        <f t="shared" si="212"/>
        <v>05032026</v>
      </c>
      <c r="E1054" t="str">
        <f>""</f>
        <v/>
      </c>
      <c r="F1054" t="str">
        <f t="shared" si="209"/>
        <v>COM</v>
      </c>
      <c r="G1054" t="str">
        <f>"REINALDO JOLY GRAZIANO (1357)"</f>
        <v>REINALDO JOLY GRAZIANO (1357)</v>
      </c>
      <c r="H1054" t="s">
        <v>401</v>
      </c>
      <c r="I1054" t="str">
        <f t="shared" si="208"/>
        <v>05/03/2026</v>
      </c>
      <c r="J1054" t="str">
        <f t="shared" si="213"/>
        <v>05/03/2026</v>
      </c>
      <c r="K1054">
        <v>46086</v>
      </c>
      <c r="N1054">
        <v>134</v>
      </c>
      <c r="O1054" t="s">
        <v>30</v>
      </c>
      <c r="Q1054">
        <v>150</v>
      </c>
      <c r="R1054" t="str">
        <f>"PENSE FARMA 22 (10198)"</f>
        <v>PENSE FARMA 22 (10198)</v>
      </c>
      <c r="S1054" t="s">
        <v>37</v>
      </c>
      <c r="T1054">
        <v>30330</v>
      </c>
      <c r="U1054">
        <v>34215</v>
      </c>
      <c r="V1054" t="s">
        <v>37</v>
      </c>
    </row>
    <row r="1055" spans="1:22">
      <c r="A1055" t="str">
        <f t="shared" si="205"/>
        <v>05/03/2026</v>
      </c>
      <c r="B1055" t="str">
        <f t="shared" si="207"/>
        <v>SAÍDA</v>
      </c>
      <c r="C1055" t="str">
        <f t="shared" si="210"/>
        <v>PIX</v>
      </c>
      <c r="D1055" t="str">
        <f>"33693"</f>
        <v>33693</v>
      </c>
      <c r="E1055" t="str">
        <f t="shared" ref="E1055:E1070" si="214">"1"</f>
        <v>1</v>
      </c>
      <c r="F1055" t="str">
        <f t="shared" si="209"/>
        <v>COM</v>
      </c>
      <c r="G1055" t="str">
        <f>"DANIELA SANTOS BIZERRA (1259)"</f>
        <v>DANIELA SANTOS BIZERRA (1259)</v>
      </c>
      <c r="H1055" t="str">
        <f>"Serv.Prest. 16/02/2026 a 22/02/2026 - PIX: CELULAR - CHAVE: (00) 00000-0000"</f>
        <v>Serv.Prest. 16/02/2026 a 22/02/2026 - PIX: CELULAR - CHAVE: (00) 00000-0000</v>
      </c>
      <c r="I1055" t="str">
        <f t="shared" si="208"/>
        <v>05/03/2026</v>
      </c>
      <c r="J1055" t="str">
        <f>("24/02/2026")</f>
        <v>24/02/2026</v>
      </c>
      <c r="K1055" t="str">
        <f>("05/03/2026")</f>
        <v>05/03/2026</v>
      </c>
      <c r="L1055">
        <v>648</v>
      </c>
      <c r="M1055">
        <v>648</v>
      </c>
      <c r="N1055">
        <v>109</v>
      </c>
      <c r="O1055" t="str">
        <f>"PAGAMENTO DE ENTREGADORES"</f>
        <v>PAGAMENTO DE ENTREGADORES</v>
      </c>
      <c r="P1055">
        <v>648</v>
      </c>
      <c r="S1055" t="str">
        <f>"BANCO CORA (102)"</f>
        <v>BANCO CORA (102)</v>
      </c>
      <c r="T1055">
        <v>30334</v>
      </c>
      <c r="U1055">
        <v>33693</v>
      </c>
      <c r="V1055" t="s">
        <v>33</v>
      </c>
    </row>
    <row r="1056" spans="1:22">
      <c r="A1056" t="str">
        <f t="shared" si="205"/>
        <v>05/03/2026</v>
      </c>
      <c r="B1056" t="str">
        <f t="shared" si="207"/>
        <v>SAÍDA</v>
      </c>
      <c r="C1056" t="str">
        <f t="shared" si="210"/>
        <v>PIX</v>
      </c>
      <c r="D1056" t="str">
        <f>"33693"</f>
        <v>33693</v>
      </c>
      <c r="E1056" t="str">
        <f t="shared" si="214"/>
        <v>1</v>
      </c>
      <c r="F1056" t="str">
        <f t="shared" si="209"/>
        <v>COM</v>
      </c>
      <c r="G1056" t="str">
        <f>"DANIELA SANTOS BIZERRA (1259)"</f>
        <v>DANIELA SANTOS BIZERRA (1259)</v>
      </c>
      <c r="H1056" t="s">
        <v>402</v>
      </c>
      <c r="I1056" t="str">
        <f t="shared" si="208"/>
        <v>05/03/2026</v>
      </c>
      <c r="J1056" t="str">
        <f>("24/02/2026")</f>
        <v>24/02/2026</v>
      </c>
      <c r="K1056">
        <v>46086</v>
      </c>
      <c r="N1056">
        <v>109</v>
      </c>
      <c r="O1056" t="s">
        <v>27</v>
      </c>
      <c r="Q1056">
        <v>648</v>
      </c>
      <c r="R1056" t="str">
        <f>"FARMÁCIA INDIANA LJ 65 (10030)"</f>
        <v>FARMÁCIA INDIANA LJ 65 (10030)</v>
      </c>
      <c r="S1056" t="s">
        <v>33</v>
      </c>
      <c r="T1056">
        <v>30334</v>
      </c>
      <c r="U1056">
        <v>33693</v>
      </c>
      <c r="V1056" t="s">
        <v>33</v>
      </c>
    </row>
    <row r="1057" spans="1:22">
      <c r="A1057" t="str">
        <f t="shared" si="205"/>
        <v>05/03/2026</v>
      </c>
      <c r="B1057" t="str">
        <f t="shared" si="207"/>
        <v>SAÍDA</v>
      </c>
      <c r="C1057" t="str">
        <f t="shared" si="210"/>
        <v>PIX</v>
      </c>
      <c r="D1057" t="str">
        <f>"33772"</f>
        <v>33772</v>
      </c>
      <c r="E1057" t="str">
        <f t="shared" si="214"/>
        <v>1</v>
      </c>
      <c r="F1057" t="str">
        <f t="shared" si="209"/>
        <v>COM</v>
      </c>
      <c r="G1057" t="str">
        <f>"ENTREGADOR 1 (1)"</f>
        <v>ENTREGADOR 1 (1)</v>
      </c>
      <c r="H1057" t="str">
        <f>"Serv.Prest. 16/02/2026 a 22/02/2026 - PRESTADORES DE PGM RIBEIRAO PRETO DANIEL DE JESUS"</f>
        <v>Serv.Prest. 16/02/2026 a 22/02/2026 - PRESTADORES DE PGM RIBEIRAO PRETO DANIEL DE JESUS</v>
      </c>
      <c r="I1057" t="str">
        <f>("24/02/2026")</f>
        <v>24/02/2026</v>
      </c>
      <c r="J1057" t="str">
        <f>("24/02/2026")</f>
        <v>24/02/2026</v>
      </c>
      <c r="K1057" t="str">
        <f>("05/03/2026")</f>
        <v>05/03/2026</v>
      </c>
      <c r="L1057">
        <v>52</v>
      </c>
      <c r="M1057">
        <v>52</v>
      </c>
      <c r="N1057">
        <v>109</v>
      </c>
      <c r="O1057" t="str">
        <f>"PAGAMENTO DE ENTREGADORES"</f>
        <v>PAGAMENTO DE ENTREGADORES</v>
      </c>
      <c r="P1057">
        <v>52</v>
      </c>
      <c r="S1057" t="str">
        <f>"BANCO CORA (102)"</f>
        <v>BANCO CORA (102)</v>
      </c>
      <c r="T1057">
        <v>30413</v>
      </c>
      <c r="U1057">
        <v>33772</v>
      </c>
      <c r="V1057" t="s">
        <v>33</v>
      </c>
    </row>
    <row r="1058" spans="1:22">
      <c r="A1058" t="str">
        <f t="shared" si="205"/>
        <v>05/03/2026</v>
      </c>
      <c r="B1058" t="str">
        <f t="shared" si="207"/>
        <v>SAÍDA</v>
      </c>
      <c r="C1058" t="str">
        <f t="shared" si="210"/>
        <v>PIX</v>
      </c>
      <c r="D1058" t="str">
        <f>"33772"</f>
        <v>33772</v>
      </c>
      <c r="E1058" t="str">
        <f t="shared" si="214"/>
        <v>1</v>
      </c>
      <c r="F1058" t="str">
        <f t="shared" si="209"/>
        <v>COM</v>
      </c>
      <c r="G1058" t="str">
        <f>"ENTREGADOR 1 (1)"</f>
        <v>ENTREGADOR 1 (1)</v>
      </c>
      <c r="H1058" t="s">
        <v>403</v>
      </c>
      <c r="I1058" t="str">
        <f>("24/02/2026")</f>
        <v>24/02/2026</v>
      </c>
      <c r="J1058" t="str">
        <f>("24/02/2026")</f>
        <v>24/02/2026</v>
      </c>
      <c r="K1058">
        <v>46086</v>
      </c>
      <c r="N1058">
        <v>109</v>
      </c>
      <c r="O1058" t="s">
        <v>27</v>
      </c>
      <c r="Q1058">
        <v>52</v>
      </c>
      <c r="R1058" t="str">
        <f>"PAGUE MENOS 459 (10318)"</f>
        <v>PAGUE MENOS 459 (10318)</v>
      </c>
      <c r="S1058" t="s">
        <v>33</v>
      </c>
      <c r="T1058">
        <v>30413</v>
      </c>
      <c r="U1058">
        <v>33772</v>
      </c>
      <c r="V1058" t="s">
        <v>33</v>
      </c>
    </row>
    <row r="1059" spans="1:22">
      <c r="A1059" t="str">
        <f t="shared" si="205"/>
        <v>05/03/2026</v>
      </c>
      <c r="B1059" t="str">
        <f t="shared" si="207"/>
        <v>SAÍDA</v>
      </c>
      <c r="C1059" t="str">
        <f t="shared" si="210"/>
        <v>PIX</v>
      </c>
      <c r="D1059" t="str">
        <f>"34703"</f>
        <v>34703</v>
      </c>
      <c r="E1059" t="str">
        <f t="shared" si="214"/>
        <v>1</v>
      </c>
      <c r="F1059" t="str">
        <f t="shared" si="209"/>
        <v>COM</v>
      </c>
      <c r="G1059" t="str">
        <f>"ENTREGADOR DIARISTA (5)"</f>
        <v>ENTREGADOR DIARISTA (5)</v>
      </c>
      <c r="H1059" t="str">
        <f>"Serv.Prest. 02/03/2026 a 08/03/2026 - PIX: NÃO CADASTRADO - CHAVE: 0"</f>
        <v>Serv.Prest. 02/03/2026 a 08/03/2026 - PIX: NÃO CADASTRADO - CHAVE: 0</v>
      </c>
      <c r="I1059" t="str">
        <f>("19/03/2026")</f>
        <v>19/03/2026</v>
      </c>
      <c r="J1059" t="str">
        <f>("10/03/2026")</f>
        <v>10/03/2026</v>
      </c>
      <c r="K1059" t="str">
        <f>("05/03/2026")</f>
        <v>05/03/2026</v>
      </c>
      <c r="L1059">
        <v>165</v>
      </c>
      <c r="M1059">
        <v>169</v>
      </c>
      <c r="N1059">
        <v>109</v>
      </c>
      <c r="O1059" t="str">
        <f>"PAGAMENTO DE ENTREGADORES"</f>
        <v>PAGAMENTO DE ENTREGADORES</v>
      </c>
      <c r="P1059">
        <v>169</v>
      </c>
      <c r="S1059" t="str">
        <f>"BANCO CORA (102)"</f>
        <v>BANCO CORA (102)</v>
      </c>
      <c r="T1059">
        <v>30414</v>
      </c>
      <c r="U1059">
        <v>34703</v>
      </c>
      <c r="V1059" t="s">
        <v>33</v>
      </c>
    </row>
    <row r="1060" spans="1:22">
      <c r="A1060" t="str">
        <f t="shared" si="205"/>
        <v>05/03/2026</v>
      </c>
      <c r="B1060" t="str">
        <f t="shared" si="207"/>
        <v>SAÍDA</v>
      </c>
      <c r="C1060" t="str">
        <f t="shared" si="210"/>
        <v>PIX</v>
      </c>
      <c r="D1060" t="str">
        <f>"34703"</f>
        <v>34703</v>
      </c>
      <c r="E1060" t="str">
        <f t="shared" si="214"/>
        <v>1</v>
      </c>
      <c r="F1060" t="str">
        <f t="shared" si="209"/>
        <v>COM</v>
      </c>
      <c r="G1060" t="str">
        <f>"ENTREGADOR DIARISTA (5)"</f>
        <v>ENTREGADOR DIARISTA (5)</v>
      </c>
      <c r="H1060" t="s">
        <v>404</v>
      </c>
      <c r="I1060" t="str">
        <f>("19/03/2026")</f>
        <v>19/03/2026</v>
      </c>
      <c r="J1060" t="str">
        <f>("10/03/2026")</f>
        <v>10/03/2026</v>
      </c>
      <c r="K1060">
        <v>46086</v>
      </c>
      <c r="N1060">
        <v>109</v>
      </c>
      <c r="O1060" t="s">
        <v>27</v>
      </c>
      <c r="Q1060">
        <v>169</v>
      </c>
      <c r="R1060" t="str">
        <f>"PAGUE MENOS 459 (10318)"</f>
        <v>PAGUE MENOS 459 (10318)</v>
      </c>
      <c r="S1060" t="s">
        <v>33</v>
      </c>
      <c r="T1060">
        <v>30414</v>
      </c>
      <c r="U1060">
        <v>34703</v>
      </c>
      <c r="V1060" t="s">
        <v>33</v>
      </c>
    </row>
    <row r="1061" spans="1:22">
      <c r="A1061" t="str">
        <f t="shared" ref="A1061:A1096" si="215">("06/03/2026")</f>
        <v>06/03/2026</v>
      </c>
      <c r="B1061" t="str">
        <f t="shared" si="207"/>
        <v>SAÍDA</v>
      </c>
      <c r="C1061" t="str">
        <f t="shared" si="210"/>
        <v>PIX</v>
      </c>
      <c r="D1061" t="str">
        <f>"33918"</f>
        <v>33918</v>
      </c>
      <c r="E1061" t="str">
        <f t="shared" si="214"/>
        <v>1</v>
      </c>
      <c r="F1061" t="str">
        <f t="shared" si="209"/>
        <v>COM</v>
      </c>
      <c r="G1061" t="str">
        <f>"ANDRE NICOLAU (1186)"</f>
        <v>ANDRE NICOLAU (1186)</v>
      </c>
      <c r="H1061" t="str">
        <f>"Serv.Prest. 23/02/2026 a 01/03/2026 - PIX: CELULAR - CHAVE: (11) 98482-0070"</f>
        <v>Serv.Prest. 23/02/2026 a 01/03/2026 - PIX: CELULAR - CHAVE: (11) 98482-0070</v>
      </c>
      <c r="I1061" t="str">
        <f>("06/03/2026")</f>
        <v>06/03/2026</v>
      </c>
      <c r="J1061" t="str">
        <f>("02/03/2026")</f>
        <v>02/03/2026</v>
      </c>
      <c r="K1061" t="str">
        <f>("06/03/2026")</f>
        <v>06/03/2026</v>
      </c>
      <c r="L1061">
        <v>686</v>
      </c>
      <c r="M1061">
        <v>686</v>
      </c>
      <c r="N1061">
        <v>109</v>
      </c>
      <c r="O1061" t="str">
        <f>"PAGAMENTO DE ENTREGADORES"</f>
        <v>PAGAMENTO DE ENTREGADORES</v>
      </c>
      <c r="P1061">
        <v>686</v>
      </c>
      <c r="S1061" t="str">
        <f>"BANCO CORA (102)"</f>
        <v>BANCO CORA (102)</v>
      </c>
      <c r="T1061">
        <v>30050</v>
      </c>
      <c r="U1061">
        <v>33918</v>
      </c>
      <c r="V1061" t="s">
        <v>33</v>
      </c>
    </row>
    <row r="1062" spans="1:22">
      <c r="A1062" t="str">
        <f t="shared" si="215"/>
        <v>06/03/2026</v>
      </c>
      <c r="B1062" t="str">
        <f t="shared" si="207"/>
        <v>SAÍDA</v>
      </c>
      <c r="C1062" t="str">
        <f t="shared" si="210"/>
        <v>PIX</v>
      </c>
      <c r="D1062" t="str">
        <f>"33918"</f>
        <v>33918</v>
      </c>
      <c r="E1062" t="str">
        <f t="shared" si="214"/>
        <v>1</v>
      </c>
      <c r="F1062" t="str">
        <f t="shared" si="209"/>
        <v>COM</v>
      </c>
      <c r="G1062" t="str">
        <f>"ANDRE NICOLAU (1186)"</f>
        <v>ANDRE NICOLAU (1186)</v>
      </c>
      <c r="H1062" t="s">
        <v>405</v>
      </c>
      <c r="I1062" t="str">
        <f>("06/03/2026")</f>
        <v>06/03/2026</v>
      </c>
      <c r="J1062" t="str">
        <f>("02/03/2026")</f>
        <v>02/03/2026</v>
      </c>
      <c r="K1062">
        <v>46087</v>
      </c>
      <c r="N1062">
        <v>109</v>
      </c>
      <c r="O1062" t="s">
        <v>27</v>
      </c>
      <c r="Q1062">
        <v>686</v>
      </c>
      <c r="R1062" t="str">
        <f>"DROGARIA TOTAL JUNDIAI (10177)"</f>
        <v>DROGARIA TOTAL JUNDIAI (10177)</v>
      </c>
      <c r="S1062" t="s">
        <v>33</v>
      </c>
      <c r="T1062">
        <v>30050</v>
      </c>
      <c r="U1062">
        <v>33918</v>
      </c>
      <c r="V1062" t="s">
        <v>33</v>
      </c>
    </row>
    <row r="1063" spans="1:22">
      <c r="A1063" t="str">
        <f t="shared" si="215"/>
        <v>06/03/2026</v>
      </c>
      <c r="B1063" t="str">
        <f>"ENTRADA"</f>
        <v>ENTRADA</v>
      </c>
      <c r="C1063" t="str">
        <f>"NFSE"</f>
        <v>NFSE</v>
      </c>
      <c r="D1063" t="str">
        <f>"428"</f>
        <v>428</v>
      </c>
      <c r="E1063" t="str">
        <f t="shared" si="214"/>
        <v>1</v>
      </c>
      <c r="F1063" t="str">
        <f t="shared" si="209"/>
        <v>COM</v>
      </c>
      <c r="G1063" t="str">
        <f>"FARMA &amp; FORMA (10296)"</f>
        <v>FARMA &amp; FORMA (10296)</v>
      </c>
      <c r="H1063" t="str">
        <f>"Serv.Prest. 23/02/2026 a 01/03/2026 - RPS: 2356 - NFSe: 428"</f>
        <v>Serv.Prest. 23/02/2026 a 01/03/2026 - RPS: 2356 - NFSe: 428</v>
      </c>
      <c r="I1063" t="str">
        <f>("04/03/2026")</f>
        <v>04/03/2026</v>
      </c>
      <c r="J1063" t="str">
        <f>("02/03/2026")</f>
        <v>02/03/2026</v>
      </c>
      <c r="K1063" t="str">
        <f>("06/03/2026")</f>
        <v>06/03/2026</v>
      </c>
      <c r="L1063">
        <v>2156.21</v>
      </c>
      <c r="M1063">
        <v>2156.21</v>
      </c>
      <c r="N1063">
        <v>303</v>
      </c>
      <c r="O1063" t="str">
        <f>"RECEITAS COM ENTREGAS"</f>
        <v>RECEITAS COM ENTREGAS</v>
      </c>
      <c r="P1063">
        <v>2156.21</v>
      </c>
      <c r="S1063" t="str">
        <f>"RECEITAS COM ENTREGAS (303)"</f>
        <v>RECEITAS COM ENTREGAS (303)</v>
      </c>
      <c r="T1063">
        <v>30051</v>
      </c>
      <c r="U1063">
        <v>33920</v>
      </c>
      <c r="V1063" t="s">
        <v>33</v>
      </c>
    </row>
    <row r="1064" spans="1:22">
      <c r="A1064" t="str">
        <f t="shared" si="215"/>
        <v>06/03/2026</v>
      </c>
      <c r="B1064" t="str">
        <f>"ENTRADA"</f>
        <v>ENTRADA</v>
      </c>
      <c r="C1064" t="str">
        <f>"NFSE"</f>
        <v>NFSE</v>
      </c>
      <c r="D1064" t="str">
        <f>"428"</f>
        <v>428</v>
      </c>
      <c r="E1064" t="str">
        <f t="shared" si="214"/>
        <v>1</v>
      </c>
      <c r="F1064" t="str">
        <f t="shared" si="209"/>
        <v>COM</v>
      </c>
      <c r="G1064" t="str">
        <f>"FARMA &amp; FORMA (10296)"</f>
        <v>FARMA &amp; FORMA (10296)</v>
      </c>
      <c r="H1064" t="s">
        <v>406</v>
      </c>
      <c r="I1064" t="str">
        <f>("04/03/2026")</f>
        <v>04/03/2026</v>
      </c>
      <c r="J1064" t="str">
        <f>("02/03/2026")</f>
        <v>02/03/2026</v>
      </c>
      <c r="K1064">
        <v>46087</v>
      </c>
      <c r="N1064">
        <v>303</v>
      </c>
      <c r="O1064" t="s">
        <v>102</v>
      </c>
      <c r="Q1064">
        <v>2156.21</v>
      </c>
      <c r="R1064" t="str">
        <f>"FARMA &amp; FORMA (10296)"</f>
        <v>FARMA &amp; FORMA (10296)</v>
      </c>
      <c r="S1064" t="s">
        <v>103</v>
      </c>
      <c r="T1064">
        <v>30051</v>
      </c>
      <c r="U1064">
        <v>33920</v>
      </c>
      <c r="V1064" t="s">
        <v>33</v>
      </c>
    </row>
    <row r="1065" spans="1:22">
      <c r="A1065" t="str">
        <f t="shared" si="215"/>
        <v>06/03/2026</v>
      </c>
      <c r="B1065" t="str">
        <f t="shared" ref="B1065:B1102" si="216">"SAÍDA"</f>
        <v>SAÍDA</v>
      </c>
      <c r="C1065" t="str">
        <f t="shared" ref="C1065:C1102" si="217">"PIX"</f>
        <v>PIX</v>
      </c>
      <c r="D1065" t="str">
        <f>"33996"</f>
        <v>33996</v>
      </c>
      <c r="E1065" t="str">
        <f t="shared" si="214"/>
        <v>1</v>
      </c>
      <c r="F1065" t="str">
        <f t="shared" si="209"/>
        <v>COM</v>
      </c>
      <c r="G1065" t="str">
        <f>"MATEUS VIEIRA DE SOUZA (1019)"</f>
        <v>MATEUS VIEIRA DE SOUZA (1019)</v>
      </c>
      <c r="H1065" t="str">
        <f>"Serv.Prest. 23/02/2026 a 01/03/2026 - PIX: CELULAR - CHAVE: (11) 97702-1316"</f>
        <v>Serv.Prest. 23/02/2026 a 01/03/2026 - PIX: CELULAR - CHAVE: (11) 97702-1316</v>
      </c>
      <c r="I1065" t="str">
        <f t="shared" ref="I1065:I1070" si="218">("05/03/2026")</f>
        <v>05/03/2026</v>
      </c>
      <c r="J1065" t="str">
        <f>("03/03/2026")</f>
        <v>03/03/2026</v>
      </c>
      <c r="K1065" t="str">
        <f>("06/03/2026")</f>
        <v>06/03/2026</v>
      </c>
      <c r="L1065">
        <v>1300</v>
      </c>
      <c r="M1065">
        <v>1300</v>
      </c>
      <c r="N1065">
        <v>109</v>
      </c>
      <c r="O1065" t="str">
        <f>"PAGAMENTO DE ENTREGADORES"</f>
        <v>PAGAMENTO DE ENTREGADORES</v>
      </c>
      <c r="P1065">
        <v>1300</v>
      </c>
      <c r="S1065" t="str">
        <f>"BANCO CORA (102)"</f>
        <v>BANCO CORA (102)</v>
      </c>
      <c r="T1065">
        <v>30055</v>
      </c>
      <c r="U1065">
        <v>33996</v>
      </c>
      <c r="V1065" t="s">
        <v>33</v>
      </c>
    </row>
    <row r="1066" spans="1:22">
      <c r="A1066" t="str">
        <f t="shared" si="215"/>
        <v>06/03/2026</v>
      </c>
      <c r="B1066" t="str">
        <f t="shared" si="216"/>
        <v>SAÍDA</v>
      </c>
      <c r="C1066" t="str">
        <f t="shared" si="217"/>
        <v>PIX</v>
      </c>
      <c r="D1066" t="str">
        <f>"33996"</f>
        <v>33996</v>
      </c>
      <c r="E1066" t="str">
        <f t="shared" si="214"/>
        <v>1</v>
      </c>
      <c r="F1066" t="str">
        <f t="shared" si="209"/>
        <v>COM</v>
      </c>
      <c r="G1066" t="str">
        <f>"MATEUS VIEIRA DE SOUZA (1019)"</f>
        <v>MATEUS VIEIRA DE SOUZA (1019)</v>
      </c>
      <c r="H1066" t="s">
        <v>407</v>
      </c>
      <c r="I1066" t="str">
        <f t="shared" si="218"/>
        <v>05/03/2026</v>
      </c>
      <c r="J1066" t="str">
        <f>("03/03/2026")</f>
        <v>03/03/2026</v>
      </c>
      <c r="K1066">
        <v>46087</v>
      </c>
      <c r="N1066">
        <v>109</v>
      </c>
      <c r="O1066" t="s">
        <v>27</v>
      </c>
      <c r="Q1066">
        <v>1300</v>
      </c>
      <c r="R1066" t="str">
        <f>"PENSE FARMA 47 (10232)"</f>
        <v>PENSE FARMA 47 (10232)</v>
      </c>
      <c r="S1066" t="s">
        <v>33</v>
      </c>
      <c r="T1066">
        <v>30055</v>
      </c>
      <c r="U1066">
        <v>33996</v>
      </c>
      <c r="V1066" t="s">
        <v>33</v>
      </c>
    </row>
    <row r="1067" spans="1:22">
      <c r="A1067" t="str">
        <f t="shared" si="215"/>
        <v>06/03/2026</v>
      </c>
      <c r="B1067" t="str">
        <f t="shared" si="216"/>
        <v>SAÍDA</v>
      </c>
      <c r="C1067" t="str">
        <f t="shared" si="217"/>
        <v>PIX</v>
      </c>
      <c r="D1067" t="str">
        <f>"33872"</f>
        <v>33872</v>
      </c>
      <c r="E1067" t="str">
        <f t="shared" si="214"/>
        <v>1</v>
      </c>
      <c r="F1067" t="str">
        <f t="shared" si="209"/>
        <v>COM</v>
      </c>
      <c r="G1067" t="str">
        <f>"LUAN APARECIDO JANUARIO (1341)"</f>
        <v>LUAN APARECIDO JANUARIO (1341)</v>
      </c>
      <c r="H1067" t="str">
        <f>"Serv.Prest. 23/02/2026 a 01/03/2026 - PIX:  - CHAVE: 329845288837"</f>
        <v>Serv.Prest. 23/02/2026 a 01/03/2026 - PIX:  - CHAVE: 329845288837</v>
      </c>
      <c r="I1067" t="str">
        <f t="shared" si="218"/>
        <v>05/03/2026</v>
      </c>
      <c r="J1067" t="str">
        <f>("02/03/2026")</f>
        <v>02/03/2026</v>
      </c>
      <c r="K1067" t="str">
        <f>("06/03/2026")</f>
        <v>06/03/2026</v>
      </c>
      <c r="L1067">
        <v>702.45</v>
      </c>
      <c r="M1067">
        <v>702.45</v>
      </c>
      <c r="N1067">
        <v>109</v>
      </c>
      <c r="O1067" t="str">
        <f>"PAGAMENTO DE ENTREGADORES"</f>
        <v>PAGAMENTO DE ENTREGADORES</v>
      </c>
      <c r="P1067">
        <v>702.45</v>
      </c>
      <c r="S1067" t="str">
        <f>"BANCO CORA (102)"</f>
        <v>BANCO CORA (102)</v>
      </c>
      <c r="T1067">
        <v>30056</v>
      </c>
      <c r="U1067">
        <v>33872</v>
      </c>
      <c r="V1067" t="s">
        <v>33</v>
      </c>
    </row>
    <row r="1068" spans="1:22">
      <c r="A1068" t="str">
        <f t="shared" si="215"/>
        <v>06/03/2026</v>
      </c>
      <c r="B1068" t="str">
        <f t="shared" si="216"/>
        <v>SAÍDA</v>
      </c>
      <c r="C1068" t="str">
        <f t="shared" si="217"/>
        <v>PIX</v>
      </c>
      <c r="D1068" t="str">
        <f>"33872"</f>
        <v>33872</v>
      </c>
      <c r="E1068" t="str">
        <f t="shared" si="214"/>
        <v>1</v>
      </c>
      <c r="F1068" t="str">
        <f t="shared" si="209"/>
        <v>COM</v>
      </c>
      <c r="G1068" t="str">
        <f>"LUAN APARECIDO JANUARIO (1341)"</f>
        <v>LUAN APARECIDO JANUARIO (1341)</v>
      </c>
      <c r="H1068" t="s">
        <v>408</v>
      </c>
      <c r="I1068" t="str">
        <f t="shared" si="218"/>
        <v>05/03/2026</v>
      </c>
      <c r="J1068" t="str">
        <f>("02/03/2026")</f>
        <v>02/03/2026</v>
      </c>
      <c r="K1068">
        <v>46087</v>
      </c>
      <c r="N1068">
        <v>109</v>
      </c>
      <c r="O1068" t="s">
        <v>27</v>
      </c>
      <c r="Q1068">
        <v>702.45</v>
      </c>
      <c r="R1068" t="str">
        <f>"DROGARIA ANA VISCONDE DO RIO BRANCO (10182)"</f>
        <v>DROGARIA ANA VISCONDE DO RIO BRANCO (10182)</v>
      </c>
      <c r="S1068" t="s">
        <v>33</v>
      </c>
      <c r="T1068">
        <v>30056</v>
      </c>
      <c r="U1068">
        <v>33872</v>
      </c>
      <c r="V1068" t="s">
        <v>33</v>
      </c>
    </row>
    <row r="1069" spans="1:22">
      <c r="A1069" t="str">
        <f t="shared" si="215"/>
        <v>06/03/2026</v>
      </c>
      <c r="B1069" t="str">
        <f t="shared" si="216"/>
        <v>SAÍDA</v>
      </c>
      <c r="C1069" t="str">
        <f t="shared" si="217"/>
        <v>PIX</v>
      </c>
      <c r="D1069" t="str">
        <f>"34201"</f>
        <v>34201</v>
      </c>
      <c r="E1069" t="str">
        <f t="shared" si="214"/>
        <v>1</v>
      </c>
      <c r="F1069" t="str">
        <f t="shared" si="209"/>
        <v>COM</v>
      </c>
      <c r="G1069" t="str">
        <f>"ELENICIO ALVES DOS SANTOS (243)"</f>
        <v>ELENICIO ALVES DOS SANTOS (243)</v>
      </c>
      <c r="H1069" t="str">
        <f>"Serv.Prest. 01/02/2026 a 28/02/2026 - PIX: NÃO CADASTRADO - CHAVE: CEF AG 2986 CONTA 2292-5 POUPANÇA"</f>
        <v>Serv.Prest. 01/02/2026 a 28/02/2026 - PIX: NÃO CADASTRADO - CHAVE: CEF AG 2986 CONTA 2292-5 POUPANÇA</v>
      </c>
      <c r="I1069" t="str">
        <f t="shared" si="218"/>
        <v>05/03/2026</v>
      </c>
      <c r="J1069" t="str">
        <f>("03/03/2026")</f>
        <v>03/03/2026</v>
      </c>
      <c r="K1069" t="str">
        <f>("06/03/2026")</f>
        <v>06/03/2026</v>
      </c>
      <c r="L1069">
        <v>3852</v>
      </c>
      <c r="M1069">
        <v>3852</v>
      </c>
      <c r="N1069">
        <v>109</v>
      </c>
      <c r="O1069" t="str">
        <f>"PAGAMENTO DE ENTREGADORES"</f>
        <v>PAGAMENTO DE ENTREGADORES</v>
      </c>
      <c r="P1069">
        <v>3852</v>
      </c>
      <c r="S1069" t="str">
        <f>"BANCO CORA (102)"</f>
        <v>BANCO CORA (102)</v>
      </c>
      <c r="T1069">
        <v>30059</v>
      </c>
      <c r="U1069">
        <v>34201</v>
      </c>
      <c r="V1069" t="s">
        <v>33</v>
      </c>
    </row>
    <row r="1070" spans="1:22">
      <c r="A1070" t="str">
        <f t="shared" si="215"/>
        <v>06/03/2026</v>
      </c>
      <c r="B1070" t="str">
        <f t="shared" si="216"/>
        <v>SAÍDA</v>
      </c>
      <c r="C1070" t="str">
        <f t="shared" si="217"/>
        <v>PIX</v>
      </c>
      <c r="D1070" t="str">
        <f>"34201"</f>
        <v>34201</v>
      </c>
      <c r="E1070" t="str">
        <f t="shared" si="214"/>
        <v>1</v>
      </c>
      <c r="F1070" t="str">
        <f t="shared" si="209"/>
        <v>COM</v>
      </c>
      <c r="G1070" t="str">
        <f>"ELENICIO ALVES DOS SANTOS (243)"</f>
        <v>ELENICIO ALVES DOS SANTOS (243)</v>
      </c>
      <c r="H1070" t="s">
        <v>100</v>
      </c>
      <c r="I1070" t="str">
        <f t="shared" si="218"/>
        <v>05/03/2026</v>
      </c>
      <c r="J1070" t="str">
        <f>("03/03/2026")</f>
        <v>03/03/2026</v>
      </c>
      <c r="K1070">
        <v>46087</v>
      </c>
      <c r="N1070">
        <v>109</v>
      </c>
      <c r="O1070" t="s">
        <v>27</v>
      </c>
      <c r="Q1070">
        <v>3852</v>
      </c>
      <c r="R1070" t="str">
        <f>"DROGARIA POUPA MINAS (ULTRAMINAS) 1 (10181)"</f>
        <v>DROGARIA POUPA MINAS (ULTRAMINAS) 1 (10181)</v>
      </c>
      <c r="S1070" t="s">
        <v>33</v>
      </c>
      <c r="T1070">
        <v>30059</v>
      </c>
      <c r="U1070">
        <v>34201</v>
      </c>
      <c r="V1070" t="s">
        <v>33</v>
      </c>
    </row>
    <row r="1071" spans="1:22">
      <c r="A1071" t="str">
        <f t="shared" si="215"/>
        <v>06/03/2026</v>
      </c>
      <c r="B1071" t="str">
        <f t="shared" si="216"/>
        <v>SAÍDA</v>
      </c>
      <c r="C1071" t="str">
        <f t="shared" si="217"/>
        <v>PIX</v>
      </c>
      <c r="D1071" t="str">
        <f>"06032026"</f>
        <v>06032026</v>
      </c>
      <c r="E1071" t="str">
        <f>""</f>
        <v/>
      </c>
      <c r="F1071" t="str">
        <f t="shared" si="209"/>
        <v>COM</v>
      </c>
      <c r="G1071" t="str">
        <f>"WELLINGTON DOS SANTOS ALVES (438)"</f>
        <v>WELLINGTON DOS SANTOS ALVES (438)</v>
      </c>
      <c r="H1071" t="str">
        <f>"Serv.Prest. 23/02/2026 a 01/03/2026 - PIX: CELULAR - CHAVE: (32) 99800-1691"</f>
        <v>Serv.Prest. 23/02/2026 a 01/03/2026 - PIX: CELULAR - CHAVE: (32) 99800-1691</v>
      </c>
      <c r="I1071" t="str">
        <f>("06/03/2026")</f>
        <v>06/03/2026</v>
      </c>
      <c r="J1071" t="str">
        <f>("06/03/2026")</f>
        <v>06/03/2026</v>
      </c>
      <c r="K1071" t="str">
        <f>("06/03/2026")</f>
        <v>06/03/2026</v>
      </c>
      <c r="L1071">
        <v>700</v>
      </c>
      <c r="M1071">
        <v>700</v>
      </c>
      <c r="N1071">
        <v>109</v>
      </c>
      <c r="O1071" t="str">
        <f>"PAGAMENTO DE ENTREGADORES"</f>
        <v>PAGAMENTO DE ENTREGADORES</v>
      </c>
      <c r="P1071">
        <v>700</v>
      </c>
      <c r="S1071" t="str">
        <f>"BANCO C6 (149)"</f>
        <v>BANCO C6 (149)</v>
      </c>
      <c r="T1071">
        <v>30366</v>
      </c>
      <c r="U1071">
        <v>34216</v>
      </c>
      <c r="V1071" t="s">
        <v>37</v>
      </c>
    </row>
    <row r="1072" spans="1:22">
      <c r="A1072" t="str">
        <f t="shared" si="215"/>
        <v>06/03/2026</v>
      </c>
      <c r="B1072" t="str">
        <f t="shared" si="216"/>
        <v>SAÍDA</v>
      </c>
      <c r="C1072" t="str">
        <f t="shared" si="217"/>
        <v>PIX</v>
      </c>
      <c r="D1072" t="str">
        <f>"06032026"</f>
        <v>06032026</v>
      </c>
      <c r="E1072" t="str">
        <f>""</f>
        <v/>
      </c>
      <c r="F1072" t="str">
        <f t="shared" si="209"/>
        <v>COM</v>
      </c>
      <c r="G1072" t="str">
        <f>"WELLINGTON DOS SANTOS ALVES (438)"</f>
        <v>WELLINGTON DOS SANTOS ALVES (438)</v>
      </c>
      <c r="H1072" t="s">
        <v>409</v>
      </c>
      <c r="I1072" t="str">
        <f t="shared" ref="I1072:J1074" si="219">("06/03/2026")</f>
        <v>06/03/2026</v>
      </c>
      <c r="J1072" t="str">
        <f t="shared" si="219"/>
        <v>06/03/2026</v>
      </c>
      <c r="K1072">
        <v>46087</v>
      </c>
      <c r="N1072">
        <v>109</v>
      </c>
      <c r="O1072" t="s">
        <v>27</v>
      </c>
      <c r="Q1072">
        <v>700</v>
      </c>
      <c r="R1072" t="str">
        <f>"FARMÁCIA INDIANA LJ 112 (10050)"</f>
        <v>FARMÁCIA INDIANA LJ 112 (10050)</v>
      </c>
      <c r="S1072" t="s">
        <v>37</v>
      </c>
      <c r="T1072">
        <v>30366</v>
      </c>
      <c r="U1072">
        <v>34216</v>
      </c>
      <c r="V1072" t="s">
        <v>37</v>
      </c>
    </row>
    <row r="1073" spans="1:22">
      <c r="A1073" t="str">
        <f t="shared" si="215"/>
        <v>06/03/2026</v>
      </c>
      <c r="B1073" t="str">
        <f t="shared" si="216"/>
        <v>SAÍDA</v>
      </c>
      <c r="C1073" t="str">
        <f t="shared" si="217"/>
        <v>PIX</v>
      </c>
      <c r="D1073" t="str">
        <f>"34218"</f>
        <v>34218</v>
      </c>
      <c r="E1073" t="str">
        <f>"1"</f>
        <v>1</v>
      </c>
      <c r="F1073" t="str">
        <f t="shared" si="209"/>
        <v>COM</v>
      </c>
      <c r="G1073" t="str">
        <f>"RODRIGO PEREIRA DA SILVA (1283)"</f>
        <v>RODRIGO PEREIRA DA SILVA (1283)</v>
      </c>
      <c r="H1073" t="str">
        <f>"Serv.Prest. 23/02/2026 a 01/03/2026 - PIX: CELULAR - CHAVE: (11) 95554-0443"</f>
        <v>Serv.Prest. 23/02/2026 a 01/03/2026 - PIX: CELULAR - CHAVE: (11) 95554-0443</v>
      </c>
      <c r="I1073" t="str">
        <f t="shared" si="219"/>
        <v>06/03/2026</v>
      </c>
      <c r="J1073" t="str">
        <f t="shared" si="219"/>
        <v>06/03/2026</v>
      </c>
      <c r="K1073" t="str">
        <f>("06/03/2026")</f>
        <v>06/03/2026</v>
      </c>
      <c r="L1073">
        <v>702</v>
      </c>
      <c r="M1073">
        <v>702</v>
      </c>
      <c r="N1073">
        <v>109</v>
      </c>
      <c r="O1073" t="str">
        <f>"PAGAMENTO DE ENTREGADORES"</f>
        <v>PAGAMENTO DE ENTREGADORES</v>
      </c>
      <c r="P1073">
        <v>702</v>
      </c>
      <c r="S1073" t="str">
        <f>"BANCO C6 (149)"</f>
        <v>BANCO C6 (149)</v>
      </c>
      <c r="T1073">
        <v>30367</v>
      </c>
      <c r="U1073">
        <v>34218</v>
      </c>
      <c r="V1073" t="s">
        <v>37</v>
      </c>
    </row>
    <row r="1074" spans="1:22">
      <c r="A1074" t="str">
        <f t="shared" si="215"/>
        <v>06/03/2026</v>
      </c>
      <c r="B1074" t="str">
        <f t="shared" si="216"/>
        <v>SAÍDA</v>
      </c>
      <c r="C1074" t="str">
        <f t="shared" si="217"/>
        <v>PIX</v>
      </c>
      <c r="D1074" t="str">
        <f>"34218"</f>
        <v>34218</v>
      </c>
      <c r="E1074" t="str">
        <f>"1"</f>
        <v>1</v>
      </c>
      <c r="F1074" t="str">
        <f t="shared" si="209"/>
        <v>COM</v>
      </c>
      <c r="G1074" t="str">
        <f>"RODRIGO PEREIRA DA SILVA (1283)"</f>
        <v>RODRIGO PEREIRA DA SILVA (1283)</v>
      </c>
      <c r="H1074" t="s">
        <v>410</v>
      </c>
      <c r="I1074" t="str">
        <f t="shared" si="219"/>
        <v>06/03/2026</v>
      </c>
      <c r="J1074" t="str">
        <f t="shared" si="219"/>
        <v>06/03/2026</v>
      </c>
      <c r="K1074">
        <v>46087</v>
      </c>
      <c r="N1074">
        <v>109</v>
      </c>
      <c r="O1074" t="s">
        <v>27</v>
      </c>
      <c r="Q1074">
        <v>702</v>
      </c>
      <c r="R1074" t="str">
        <f>"BELLESE FARMA (10279)"</f>
        <v>BELLESE FARMA (10279)</v>
      </c>
      <c r="S1074" t="s">
        <v>37</v>
      </c>
      <c r="T1074">
        <v>30367</v>
      </c>
      <c r="U1074">
        <v>34218</v>
      </c>
      <c r="V1074" t="s">
        <v>37</v>
      </c>
    </row>
    <row r="1075" spans="1:22">
      <c r="A1075" t="str">
        <f t="shared" si="215"/>
        <v>06/03/2026</v>
      </c>
      <c r="B1075" t="str">
        <f t="shared" si="216"/>
        <v>SAÍDA</v>
      </c>
      <c r="C1075" t="str">
        <f t="shared" si="217"/>
        <v>PIX</v>
      </c>
      <c r="D1075" t="str">
        <f>"34066"</f>
        <v>34066</v>
      </c>
      <c r="E1075" t="str">
        <f>"1"</f>
        <v>1</v>
      </c>
      <c r="F1075" t="str">
        <f t="shared" si="209"/>
        <v>COM</v>
      </c>
      <c r="G1075" t="str">
        <f>"HELITON MELGACO PIMENTEL JUNIOR (1079)"</f>
        <v>HELITON MELGACO PIMENTEL JUNIOR (1079)</v>
      </c>
      <c r="H1075" t="str">
        <f>"Serv.Prest. 23/02/2026 a 01/03/2026 - PIX: CPF - CHAVE: 768.859.176-72"</f>
        <v>Serv.Prest. 23/02/2026 a 01/03/2026 - PIX: CPF - CHAVE: 768.859.176-72</v>
      </c>
      <c r="I1075" t="str">
        <f t="shared" ref="I1075:I1096" si="220">("06/03/2026")</f>
        <v>06/03/2026</v>
      </c>
      <c r="J1075" t="str">
        <f t="shared" ref="J1075:J1081" si="221">("03/03/2026")</f>
        <v>03/03/2026</v>
      </c>
      <c r="K1075" t="str">
        <f>("06/03/2026")</f>
        <v>06/03/2026</v>
      </c>
      <c r="L1075">
        <v>150</v>
      </c>
      <c r="M1075">
        <v>150</v>
      </c>
      <c r="N1075">
        <v>109</v>
      </c>
      <c r="O1075" t="str">
        <f>"PAGAMENTO DE ENTREGADORES"</f>
        <v>PAGAMENTO DE ENTREGADORES</v>
      </c>
      <c r="P1075">
        <v>150</v>
      </c>
      <c r="S1075" t="str">
        <f>"BANCO C6 (149)"</f>
        <v>BANCO C6 (149)</v>
      </c>
      <c r="T1075">
        <v>30368</v>
      </c>
      <c r="U1075">
        <v>34219</v>
      </c>
      <c r="V1075" t="s">
        <v>37</v>
      </c>
    </row>
    <row r="1076" spans="1:22">
      <c r="A1076" t="str">
        <f t="shared" si="215"/>
        <v>06/03/2026</v>
      </c>
      <c r="B1076" t="str">
        <f t="shared" si="216"/>
        <v>SAÍDA</v>
      </c>
      <c r="C1076" t="str">
        <f t="shared" si="217"/>
        <v>PIX</v>
      </c>
      <c r="D1076" t="str">
        <f>"34066"</f>
        <v>34066</v>
      </c>
      <c r="E1076" t="str">
        <f>"1"</f>
        <v>1</v>
      </c>
      <c r="F1076" t="str">
        <f t="shared" si="209"/>
        <v>COM</v>
      </c>
      <c r="G1076" t="str">
        <f>"HELITON MELGACO PIMENTEL JUNIOR (1079)"</f>
        <v>HELITON MELGACO PIMENTEL JUNIOR (1079)</v>
      </c>
      <c r="H1076" t="s">
        <v>411</v>
      </c>
      <c r="I1076" t="str">
        <f t="shared" si="220"/>
        <v>06/03/2026</v>
      </c>
      <c r="J1076" t="str">
        <f t="shared" si="221"/>
        <v>03/03/2026</v>
      </c>
      <c r="K1076">
        <v>46087</v>
      </c>
      <c r="N1076">
        <v>109</v>
      </c>
      <c r="O1076" t="s">
        <v>27</v>
      </c>
      <c r="Q1076">
        <v>150</v>
      </c>
      <c r="R1076" t="str">
        <f>"FARMÁCIA INDIANA LJ 283 (10268)"</f>
        <v>FARMÁCIA INDIANA LJ 283 (10268)</v>
      </c>
      <c r="S1076" t="s">
        <v>37</v>
      </c>
      <c r="T1076">
        <v>30368</v>
      </c>
      <c r="U1076">
        <v>34219</v>
      </c>
      <c r="V1076" t="s">
        <v>37</v>
      </c>
    </row>
    <row r="1077" spans="1:22">
      <c r="A1077" t="str">
        <f t="shared" si="215"/>
        <v>06/03/2026</v>
      </c>
      <c r="B1077" t="str">
        <f t="shared" si="216"/>
        <v>SAÍDA</v>
      </c>
      <c r="C1077" t="str">
        <f t="shared" si="217"/>
        <v>PIX</v>
      </c>
      <c r="D1077" t="str">
        <f>"33982"</f>
        <v>33982</v>
      </c>
      <c r="E1077" t="str">
        <f>"2"</f>
        <v>2</v>
      </c>
      <c r="F1077" t="str">
        <f t="shared" si="209"/>
        <v>COM</v>
      </c>
      <c r="G1077" t="str">
        <f>"KENNEDY MALVEIRA POLUCENO (1330)"</f>
        <v>KENNEDY MALVEIRA POLUCENO (1330)</v>
      </c>
      <c r="H1077" t="str">
        <f>"COMPLEMENTO.Serv.Prest. 23/02/2026 a 01/03/2026 - PIX: CELULAR - CHAVE: (11) 91097-0937"</f>
        <v>COMPLEMENTO.Serv.Prest. 23/02/2026 a 01/03/2026 - PIX: CELULAR - CHAVE: (11) 91097-0937</v>
      </c>
      <c r="I1077" t="str">
        <f t="shared" si="220"/>
        <v>06/03/2026</v>
      </c>
      <c r="J1077" t="str">
        <f t="shared" si="221"/>
        <v>03/03/2026</v>
      </c>
      <c r="K1077" t="str">
        <f>("06/03/2026")</f>
        <v>06/03/2026</v>
      </c>
      <c r="L1077">
        <v>325</v>
      </c>
      <c r="M1077">
        <v>325</v>
      </c>
      <c r="N1077">
        <v>109</v>
      </c>
      <c r="O1077" t="str">
        <f>"PAGAMENTO DE ENTREGADORES"</f>
        <v>PAGAMENTO DE ENTREGADORES</v>
      </c>
      <c r="P1077">
        <v>325</v>
      </c>
      <c r="S1077" t="str">
        <f>"BANCO C6 (149)"</f>
        <v>BANCO C6 (149)</v>
      </c>
      <c r="T1077">
        <v>30369</v>
      </c>
      <c r="U1077">
        <v>34221</v>
      </c>
      <c r="V1077" t="s">
        <v>37</v>
      </c>
    </row>
    <row r="1078" spans="1:22">
      <c r="A1078" t="str">
        <f t="shared" si="215"/>
        <v>06/03/2026</v>
      </c>
      <c r="B1078" t="str">
        <f t="shared" si="216"/>
        <v>SAÍDA</v>
      </c>
      <c r="C1078" t="str">
        <f t="shared" si="217"/>
        <v>PIX</v>
      </c>
      <c r="D1078" t="str">
        <f>"33982"</f>
        <v>33982</v>
      </c>
      <c r="E1078" t="str">
        <f>"2"</f>
        <v>2</v>
      </c>
      <c r="F1078" t="str">
        <f t="shared" si="209"/>
        <v>COM</v>
      </c>
      <c r="G1078" t="str">
        <f>"KENNEDY MALVEIRA POLUCENO (1330)"</f>
        <v>KENNEDY MALVEIRA POLUCENO (1330)</v>
      </c>
      <c r="H1078" t="s">
        <v>412</v>
      </c>
      <c r="I1078" t="str">
        <f t="shared" si="220"/>
        <v>06/03/2026</v>
      </c>
      <c r="J1078" t="str">
        <f t="shared" si="221"/>
        <v>03/03/2026</v>
      </c>
      <c r="K1078">
        <v>46087</v>
      </c>
      <c r="N1078">
        <v>109</v>
      </c>
      <c r="O1078" t="s">
        <v>27</v>
      </c>
      <c r="Q1078">
        <v>81.25</v>
      </c>
      <c r="R1078" t="str">
        <f>"PENSE FARMA 31 (10205)"</f>
        <v>PENSE FARMA 31 (10205)</v>
      </c>
      <c r="S1078" t="s">
        <v>37</v>
      </c>
      <c r="T1078">
        <v>30369</v>
      </c>
      <c r="U1078">
        <v>34221</v>
      </c>
      <c r="V1078" t="s">
        <v>37</v>
      </c>
    </row>
    <row r="1079" spans="1:22">
      <c r="A1079" t="str">
        <f t="shared" si="215"/>
        <v>06/03/2026</v>
      </c>
      <c r="B1079" t="str">
        <f t="shared" si="216"/>
        <v>SAÍDA</v>
      </c>
      <c r="C1079" t="str">
        <f t="shared" si="217"/>
        <v>PIX</v>
      </c>
      <c r="D1079" t="str">
        <f>"33982"</f>
        <v>33982</v>
      </c>
      <c r="E1079" t="str">
        <f>"2"</f>
        <v>2</v>
      </c>
      <c r="F1079" t="str">
        <f t="shared" si="209"/>
        <v>COM</v>
      </c>
      <c r="G1079" t="str">
        <f>"KENNEDY MALVEIRA POLUCENO (1330)"</f>
        <v>KENNEDY MALVEIRA POLUCENO (1330)</v>
      </c>
      <c r="H1079" t="s">
        <v>412</v>
      </c>
      <c r="I1079" t="str">
        <f t="shared" si="220"/>
        <v>06/03/2026</v>
      </c>
      <c r="J1079" t="str">
        <f t="shared" si="221"/>
        <v>03/03/2026</v>
      </c>
      <c r="K1079">
        <v>46087</v>
      </c>
      <c r="N1079">
        <v>109</v>
      </c>
      <c r="O1079" t="s">
        <v>27</v>
      </c>
      <c r="Q1079">
        <v>81.25</v>
      </c>
      <c r="R1079" t="str">
        <f>"PENSE FARMA 16 (10221)"</f>
        <v>PENSE FARMA 16 (10221)</v>
      </c>
      <c r="S1079" t="s">
        <v>37</v>
      </c>
      <c r="T1079">
        <v>30369</v>
      </c>
      <c r="U1079">
        <v>34221</v>
      </c>
      <c r="V1079" t="s">
        <v>37</v>
      </c>
    </row>
    <row r="1080" spans="1:22">
      <c r="A1080" t="str">
        <f t="shared" si="215"/>
        <v>06/03/2026</v>
      </c>
      <c r="B1080" t="str">
        <f t="shared" si="216"/>
        <v>SAÍDA</v>
      </c>
      <c r="C1080" t="str">
        <f t="shared" si="217"/>
        <v>PIX</v>
      </c>
      <c r="D1080" t="str">
        <f>"33982"</f>
        <v>33982</v>
      </c>
      <c r="E1080" t="str">
        <f>"2"</f>
        <v>2</v>
      </c>
      <c r="F1080" t="str">
        <f t="shared" si="209"/>
        <v>COM</v>
      </c>
      <c r="G1080" t="str">
        <f>"KENNEDY MALVEIRA POLUCENO (1330)"</f>
        <v>KENNEDY MALVEIRA POLUCENO (1330)</v>
      </c>
      <c r="H1080" t="s">
        <v>412</v>
      </c>
      <c r="I1080" t="str">
        <f t="shared" si="220"/>
        <v>06/03/2026</v>
      </c>
      <c r="J1080" t="str">
        <f t="shared" si="221"/>
        <v>03/03/2026</v>
      </c>
      <c r="K1080">
        <v>46087</v>
      </c>
      <c r="N1080">
        <v>109</v>
      </c>
      <c r="O1080" t="s">
        <v>27</v>
      </c>
      <c r="Q1080">
        <v>81.25</v>
      </c>
      <c r="R1080" t="str">
        <f>"PENSE FARMA 17 (10222)"</f>
        <v>PENSE FARMA 17 (10222)</v>
      </c>
      <c r="S1080" t="s">
        <v>37</v>
      </c>
      <c r="T1080">
        <v>30369</v>
      </c>
      <c r="U1080">
        <v>34221</v>
      </c>
      <c r="V1080" t="s">
        <v>37</v>
      </c>
    </row>
    <row r="1081" spans="1:22">
      <c r="A1081" t="str">
        <f t="shared" si="215"/>
        <v>06/03/2026</v>
      </c>
      <c r="B1081" t="str">
        <f t="shared" si="216"/>
        <v>SAÍDA</v>
      </c>
      <c r="C1081" t="str">
        <f t="shared" si="217"/>
        <v>PIX</v>
      </c>
      <c r="D1081" t="str">
        <f>"33982"</f>
        <v>33982</v>
      </c>
      <c r="E1081" t="str">
        <f>"2"</f>
        <v>2</v>
      </c>
      <c r="F1081" t="str">
        <f t="shared" si="209"/>
        <v>COM</v>
      </c>
      <c r="G1081" t="str">
        <f>"KENNEDY MALVEIRA POLUCENO (1330)"</f>
        <v>KENNEDY MALVEIRA POLUCENO (1330)</v>
      </c>
      <c r="H1081" t="s">
        <v>412</v>
      </c>
      <c r="I1081" t="str">
        <f t="shared" si="220"/>
        <v>06/03/2026</v>
      </c>
      <c r="J1081" t="str">
        <f t="shared" si="221"/>
        <v>03/03/2026</v>
      </c>
      <c r="K1081">
        <v>46087</v>
      </c>
      <c r="N1081">
        <v>109</v>
      </c>
      <c r="O1081" t="s">
        <v>27</v>
      </c>
      <c r="Q1081">
        <v>81.25</v>
      </c>
      <c r="R1081" t="str">
        <f>"PENSE FARMA 62 (10274)"</f>
        <v>PENSE FARMA 62 (10274)</v>
      </c>
      <c r="S1081" t="s">
        <v>37</v>
      </c>
      <c r="T1081">
        <v>30369</v>
      </c>
      <c r="U1081">
        <v>34221</v>
      </c>
      <c r="V1081" t="s">
        <v>37</v>
      </c>
    </row>
    <row r="1082" spans="1:22">
      <c r="A1082" t="str">
        <f t="shared" si="215"/>
        <v>06/03/2026</v>
      </c>
      <c r="B1082" t="str">
        <f t="shared" si="216"/>
        <v>SAÍDA</v>
      </c>
      <c r="C1082" t="str">
        <f t="shared" si="217"/>
        <v>PIX</v>
      </c>
      <c r="D1082" t="str">
        <f>"06032026"</f>
        <v>06032026</v>
      </c>
      <c r="E1082" t="str">
        <f>""</f>
        <v/>
      </c>
      <c r="F1082" t="str">
        <f t="shared" si="209"/>
        <v>COM</v>
      </c>
      <c r="G1082" t="str">
        <f>"MARCOS VINICIUS CORREIA JULI??O (1001)"</f>
        <v>MARCOS VINICIUS CORREIA JULI??O (1001)</v>
      </c>
      <c r="H1082" t="str">
        <f>"ADIANTAMENTO Serv.Prest. 02/03/2026 a 08/03/2026 - PIX: CELULAR - CHAVE: (11) 98144-5840"</f>
        <v>ADIANTAMENTO Serv.Prest. 02/03/2026 a 08/03/2026 - PIX: CELULAR - CHAVE: (11) 98144-5840</v>
      </c>
      <c r="I1082" t="str">
        <f t="shared" si="220"/>
        <v>06/03/2026</v>
      </c>
      <c r="J1082" t="str">
        <f>("06/03/2026")</f>
        <v>06/03/2026</v>
      </c>
      <c r="K1082" t="str">
        <f>("06/03/2026")</f>
        <v>06/03/2026</v>
      </c>
      <c r="L1082">
        <v>350</v>
      </c>
      <c r="M1082">
        <v>350</v>
      </c>
      <c r="N1082">
        <v>109</v>
      </c>
      <c r="O1082" t="str">
        <f>"PAGAMENTO DE ENTREGADORES"</f>
        <v>PAGAMENTO DE ENTREGADORES</v>
      </c>
      <c r="P1082">
        <v>350</v>
      </c>
      <c r="S1082" t="str">
        <f>"BANCO C6 (149)"</f>
        <v>BANCO C6 (149)</v>
      </c>
      <c r="T1082">
        <v>30370</v>
      </c>
      <c r="U1082">
        <v>34222</v>
      </c>
      <c r="V1082" t="s">
        <v>37</v>
      </c>
    </row>
    <row r="1083" spans="1:22">
      <c r="A1083" t="str">
        <f t="shared" si="215"/>
        <v>06/03/2026</v>
      </c>
      <c r="B1083" t="str">
        <f t="shared" si="216"/>
        <v>SAÍDA</v>
      </c>
      <c r="C1083" t="str">
        <f t="shared" si="217"/>
        <v>PIX</v>
      </c>
      <c r="D1083" t="str">
        <f>"06032026"</f>
        <v>06032026</v>
      </c>
      <c r="E1083" t="str">
        <f>""</f>
        <v/>
      </c>
      <c r="F1083" t="str">
        <f t="shared" si="209"/>
        <v>COM</v>
      </c>
      <c r="G1083" t="str">
        <f>"MARCOS VINICIUS CORREIA JULI??O (1001)"</f>
        <v>MARCOS VINICIUS CORREIA JULI??O (1001)</v>
      </c>
      <c r="H1083" t="s">
        <v>413</v>
      </c>
      <c r="I1083" t="str">
        <f t="shared" si="220"/>
        <v>06/03/2026</v>
      </c>
      <c r="J1083" t="str">
        <f>("06/03/2026")</f>
        <v>06/03/2026</v>
      </c>
      <c r="K1083">
        <v>46087</v>
      </c>
      <c r="N1083">
        <v>109</v>
      </c>
      <c r="O1083" t="s">
        <v>27</v>
      </c>
      <c r="Q1083">
        <v>350</v>
      </c>
      <c r="R1083" t="str">
        <f>"PENSE FARMA 44 (10231)"</f>
        <v>PENSE FARMA 44 (10231)</v>
      </c>
      <c r="S1083" t="s">
        <v>37</v>
      </c>
      <c r="T1083">
        <v>30370</v>
      </c>
      <c r="U1083">
        <v>34222</v>
      </c>
      <c r="V1083" t="s">
        <v>37</v>
      </c>
    </row>
    <row r="1084" spans="1:22">
      <c r="A1084" t="str">
        <f t="shared" si="215"/>
        <v>06/03/2026</v>
      </c>
      <c r="B1084" t="str">
        <f t="shared" si="216"/>
        <v>SAÍDA</v>
      </c>
      <c r="C1084" t="str">
        <f t="shared" si="217"/>
        <v>PIX</v>
      </c>
      <c r="D1084" t="str">
        <f>"34162"</f>
        <v>34162</v>
      </c>
      <c r="E1084" t="str">
        <f>"2"</f>
        <v>2</v>
      </c>
      <c r="F1084" t="str">
        <f t="shared" si="209"/>
        <v>COM</v>
      </c>
      <c r="G1084" t="str">
        <f>"MARCOS RODRIGUES PENA (64)"</f>
        <v>MARCOS RODRIGUES PENA (64)</v>
      </c>
      <c r="H1084" t="str">
        <f>"COMPLEMENTO.Serv.Prest. 23/02/2026 a 01/03/2026 - PIX: CELULAR - CHAVE: (33) 99194-2339"</f>
        <v>COMPLEMENTO.Serv.Prest. 23/02/2026 a 01/03/2026 - PIX: CELULAR - CHAVE: (33) 99194-2339</v>
      </c>
      <c r="I1084" t="str">
        <f t="shared" si="220"/>
        <v>06/03/2026</v>
      </c>
      <c r="J1084" t="str">
        <f>("03/03/2026")</f>
        <v>03/03/2026</v>
      </c>
      <c r="K1084" t="str">
        <f>("06/03/2026")</f>
        <v>06/03/2026</v>
      </c>
      <c r="L1084">
        <v>63</v>
      </c>
      <c r="M1084">
        <v>63</v>
      </c>
      <c r="N1084">
        <v>109</v>
      </c>
      <c r="O1084" t="str">
        <f>"PAGAMENTO DE ENTREGADORES"</f>
        <v>PAGAMENTO DE ENTREGADORES</v>
      </c>
      <c r="P1084">
        <v>63</v>
      </c>
      <c r="S1084" t="str">
        <f>"BANCO C6 (149)"</f>
        <v>BANCO C6 (149)</v>
      </c>
      <c r="T1084">
        <v>30371</v>
      </c>
      <c r="U1084">
        <v>34223</v>
      </c>
      <c r="V1084" t="s">
        <v>37</v>
      </c>
    </row>
    <row r="1085" spans="1:22">
      <c r="A1085" t="str">
        <f t="shared" si="215"/>
        <v>06/03/2026</v>
      </c>
      <c r="B1085" t="str">
        <f t="shared" si="216"/>
        <v>SAÍDA</v>
      </c>
      <c r="C1085" t="str">
        <f t="shared" si="217"/>
        <v>PIX</v>
      </c>
      <c r="D1085" t="str">
        <f>"34162"</f>
        <v>34162</v>
      </c>
      <c r="E1085" t="str">
        <f>"2"</f>
        <v>2</v>
      </c>
      <c r="F1085" t="str">
        <f t="shared" si="209"/>
        <v>COM</v>
      </c>
      <c r="G1085" t="str">
        <f>"MARCOS RODRIGUES PENA (64)"</f>
        <v>MARCOS RODRIGUES PENA (64)</v>
      </c>
      <c r="H1085" t="s">
        <v>414</v>
      </c>
      <c r="I1085" t="str">
        <f t="shared" si="220"/>
        <v>06/03/2026</v>
      </c>
      <c r="J1085" t="str">
        <f>("03/03/2026")</f>
        <v>03/03/2026</v>
      </c>
      <c r="K1085">
        <v>46087</v>
      </c>
      <c r="N1085">
        <v>109</v>
      </c>
      <c r="O1085" t="s">
        <v>27</v>
      </c>
      <c r="Q1085">
        <v>63</v>
      </c>
      <c r="R1085" t="str">
        <f>"FARMÁCIA INDIANA LJ 62 (10028)"</f>
        <v>FARMÁCIA INDIANA LJ 62 (10028)</v>
      </c>
      <c r="S1085" t="s">
        <v>37</v>
      </c>
      <c r="T1085">
        <v>30371</v>
      </c>
      <c r="U1085">
        <v>34223</v>
      </c>
      <c r="V1085" t="s">
        <v>37</v>
      </c>
    </row>
    <row r="1086" spans="1:22">
      <c r="A1086" t="str">
        <f t="shared" si="215"/>
        <v>06/03/2026</v>
      </c>
      <c r="B1086" t="str">
        <f t="shared" si="216"/>
        <v>SAÍDA</v>
      </c>
      <c r="C1086" t="str">
        <f t="shared" si="217"/>
        <v>PIX</v>
      </c>
      <c r="D1086" t="str">
        <f t="shared" ref="D1086:D1093" si="222">"06032026"</f>
        <v>06032026</v>
      </c>
      <c r="E1086" t="str">
        <f>""</f>
        <v/>
      </c>
      <c r="F1086" t="str">
        <f t="shared" si="209"/>
        <v>COM</v>
      </c>
      <c r="G1086" t="str">
        <f>"ALISSON FELIPE GODINHO (219)"</f>
        <v>ALISSON FELIPE GODINHO (219)</v>
      </c>
      <c r="H1086" t="str">
        <f>"DEVOLUÇÃO INTEGRAL DE 25 COTAS "</f>
        <v xml:space="preserve">DEVOLUÇÃO INTEGRAL DE 25 COTAS </v>
      </c>
      <c r="I1086" t="str">
        <f t="shared" si="220"/>
        <v>06/03/2026</v>
      </c>
      <c r="J1086" t="str">
        <f>("06/03/2026")</f>
        <v>06/03/2026</v>
      </c>
      <c r="K1086" t="str">
        <f>("06/03/2026")</f>
        <v>06/03/2026</v>
      </c>
      <c r="L1086">
        <v>500</v>
      </c>
      <c r="M1086">
        <v>500</v>
      </c>
      <c r="N1086">
        <v>130</v>
      </c>
      <c r="O1086" t="str">
        <f>"DEVOLUÇÃO COTA COOPERATIVA"</f>
        <v>DEVOLUÇÃO COTA COOPERATIVA</v>
      </c>
      <c r="P1086">
        <v>500</v>
      </c>
      <c r="S1086" t="str">
        <f>"BANCO C6 (149)"</f>
        <v>BANCO C6 (149)</v>
      </c>
      <c r="T1086">
        <v>30372</v>
      </c>
      <c r="U1086">
        <v>34224</v>
      </c>
      <c r="V1086" t="s">
        <v>37</v>
      </c>
    </row>
    <row r="1087" spans="1:22">
      <c r="A1087" t="str">
        <f t="shared" si="215"/>
        <v>06/03/2026</v>
      </c>
      <c r="B1087" t="str">
        <f t="shared" si="216"/>
        <v>SAÍDA</v>
      </c>
      <c r="C1087" t="str">
        <f t="shared" si="217"/>
        <v>PIX</v>
      </c>
      <c r="D1087" t="str">
        <f t="shared" si="222"/>
        <v>06032026</v>
      </c>
      <c r="E1087" t="str">
        <f>""</f>
        <v/>
      </c>
      <c r="F1087" t="str">
        <f t="shared" si="209"/>
        <v>COM</v>
      </c>
      <c r="G1087" t="str">
        <f>"ALISSON FELIPE GODINHO (219)"</f>
        <v>ALISSON FELIPE GODINHO (219)</v>
      </c>
      <c r="H1087" t="s">
        <v>415</v>
      </c>
      <c r="I1087" t="str">
        <f t="shared" si="220"/>
        <v>06/03/2026</v>
      </c>
      <c r="J1087" t="str">
        <f t="shared" ref="J1087:J1093" si="223">("06/03/2026")</f>
        <v>06/03/2026</v>
      </c>
      <c r="K1087">
        <v>46087</v>
      </c>
      <c r="N1087">
        <v>130</v>
      </c>
      <c r="O1087" t="s">
        <v>416</v>
      </c>
      <c r="Q1087">
        <v>500</v>
      </c>
      <c r="R1087" t="str">
        <f>"ALISSON FELIPE GODINHO (219)"</f>
        <v>ALISSON FELIPE GODINHO (219)</v>
      </c>
      <c r="S1087" t="s">
        <v>37</v>
      </c>
      <c r="T1087">
        <v>30372</v>
      </c>
      <c r="U1087">
        <v>34224</v>
      </c>
      <c r="V1087" t="s">
        <v>37</v>
      </c>
    </row>
    <row r="1088" spans="1:22">
      <c r="A1088" t="str">
        <f t="shared" si="215"/>
        <v>06/03/2026</v>
      </c>
      <c r="B1088" t="str">
        <f t="shared" si="216"/>
        <v>SAÍDA</v>
      </c>
      <c r="C1088" t="str">
        <f t="shared" si="217"/>
        <v>PIX</v>
      </c>
      <c r="D1088" t="str">
        <f t="shared" si="222"/>
        <v>06032026</v>
      </c>
      <c r="E1088" t="str">
        <f>""</f>
        <v/>
      </c>
      <c r="F1088" t="str">
        <f t="shared" si="209"/>
        <v>COM</v>
      </c>
      <c r="G1088" t="str">
        <f>"AMANDA LUCIO FERNANDES (1138)"</f>
        <v>AMANDA LUCIO FERNANDES (1138)</v>
      </c>
      <c r="H1088" t="str">
        <f>"COMPLEMENTO.Serv.Prest. 23/02/2026 a 01/03/2026 - PIX: CELULAR - CHAVE: (28) 99904-4082"</f>
        <v>COMPLEMENTO.Serv.Prest. 23/02/2026 a 01/03/2026 - PIX: CELULAR - CHAVE: (28) 99904-4082</v>
      </c>
      <c r="I1088" t="str">
        <f t="shared" si="220"/>
        <v>06/03/2026</v>
      </c>
      <c r="J1088" t="str">
        <f t="shared" si="223"/>
        <v>06/03/2026</v>
      </c>
      <c r="K1088" t="str">
        <f>("06/03/2026")</f>
        <v>06/03/2026</v>
      </c>
      <c r="L1088">
        <v>55</v>
      </c>
      <c r="M1088">
        <v>55</v>
      </c>
      <c r="N1088">
        <v>109</v>
      </c>
      <c r="O1088" t="str">
        <f>"PAGAMENTO DE ENTREGADORES"</f>
        <v>PAGAMENTO DE ENTREGADORES</v>
      </c>
      <c r="P1088">
        <v>55</v>
      </c>
      <c r="S1088" t="str">
        <f>"BANCO C6 (149)"</f>
        <v>BANCO C6 (149)</v>
      </c>
      <c r="T1088">
        <v>30373</v>
      </c>
      <c r="U1088">
        <v>34225</v>
      </c>
      <c r="V1088" t="s">
        <v>37</v>
      </c>
    </row>
    <row r="1089" spans="1:22">
      <c r="A1089" t="str">
        <f t="shared" si="215"/>
        <v>06/03/2026</v>
      </c>
      <c r="B1089" t="str">
        <f t="shared" si="216"/>
        <v>SAÍDA</v>
      </c>
      <c r="C1089" t="str">
        <f t="shared" si="217"/>
        <v>PIX</v>
      </c>
      <c r="D1089" t="str">
        <f t="shared" si="222"/>
        <v>06032026</v>
      </c>
      <c r="E1089" t="str">
        <f>""</f>
        <v/>
      </c>
      <c r="F1089" t="str">
        <f t="shared" si="209"/>
        <v>COM</v>
      </c>
      <c r="G1089" t="str">
        <f>"AMANDA LUCIO FERNANDES (1138)"</f>
        <v>AMANDA LUCIO FERNANDES (1138)</v>
      </c>
      <c r="H1089" t="s">
        <v>417</v>
      </c>
      <c r="I1089" t="str">
        <f t="shared" si="220"/>
        <v>06/03/2026</v>
      </c>
      <c r="J1089" t="str">
        <f t="shared" si="223"/>
        <v>06/03/2026</v>
      </c>
      <c r="K1089">
        <v>46087</v>
      </c>
      <c r="N1089">
        <v>109</v>
      </c>
      <c r="O1089" t="s">
        <v>27</v>
      </c>
      <c r="Q1089">
        <v>55</v>
      </c>
      <c r="R1089" t="str">
        <f>"LBL FARMACIA LTDA FILIAL (10192)"</f>
        <v>LBL FARMACIA LTDA FILIAL (10192)</v>
      </c>
      <c r="S1089" t="s">
        <v>37</v>
      </c>
      <c r="T1089">
        <v>30373</v>
      </c>
      <c r="U1089">
        <v>34225</v>
      </c>
      <c r="V1089" t="s">
        <v>37</v>
      </c>
    </row>
    <row r="1090" spans="1:22">
      <c r="A1090" t="str">
        <f t="shared" si="215"/>
        <v>06/03/2026</v>
      </c>
      <c r="B1090" t="str">
        <f t="shared" si="216"/>
        <v>SAÍDA</v>
      </c>
      <c r="C1090" t="str">
        <f t="shared" si="217"/>
        <v>PIX</v>
      </c>
      <c r="D1090" t="str">
        <f t="shared" si="222"/>
        <v>06032026</v>
      </c>
      <c r="E1090" t="str">
        <f>""</f>
        <v/>
      </c>
      <c r="F1090" t="str">
        <f t="shared" ref="F1090:F1153" si="224">"COM"</f>
        <v>COM</v>
      </c>
      <c r="G1090" t="str">
        <f>"JAISON DE SOUZA KOHL (1244)"</f>
        <v>JAISON DE SOUZA KOHL (1244)</v>
      </c>
      <c r="H1090" t="str">
        <f>"COMPLEMENTO.Serv.Prest. 16/02/2026 a 22/02/2026 - PIX: CPF - CHAVE: 096.774.686-85"</f>
        <v>COMPLEMENTO.Serv.Prest. 16/02/2026 a 22/02/2026 - PIX: CPF - CHAVE: 096.774.686-85</v>
      </c>
      <c r="I1090" t="str">
        <f t="shared" si="220"/>
        <v>06/03/2026</v>
      </c>
      <c r="J1090" t="str">
        <f t="shared" si="223"/>
        <v>06/03/2026</v>
      </c>
      <c r="K1090" t="str">
        <f>("06/03/2026")</f>
        <v>06/03/2026</v>
      </c>
      <c r="L1090">
        <v>454.5</v>
      </c>
      <c r="M1090">
        <v>454.5</v>
      </c>
      <c r="N1090">
        <v>109</v>
      </c>
      <c r="O1090" t="str">
        <f>"PAGAMENTO DE ENTREGADORES"</f>
        <v>PAGAMENTO DE ENTREGADORES</v>
      </c>
      <c r="P1090">
        <v>454.5</v>
      </c>
      <c r="S1090" t="str">
        <f>"BANCO C6 (149)"</f>
        <v>BANCO C6 (149)</v>
      </c>
      <c r="T1090">
        <v>30374</v>
      </c>
      <c r="U1090">
        <v>34226</v>
      </c>
      <c r="V1090" t="s">
        <v>37</v>
      </c>
    </row>
    <row r="1091" spans="1:22">
      <c r="A1091" t="str">
        <f t="shared" si="215"/>
        <v>06/03/2026</v>
      </c>
      <c r="B1091" t="str">
        <f t="shared" si="216"/>
        <v>SAÍDA</v>
      </c>
      <c r="C1091" t="str">
        <f t="shared" si="217"/>
        <v>PIX</v>
      </c>
      <c r="D1091" t="str">
        <f t="shared" si="222"/>
        <v>06032026</v>
      </c>
      <c r="E1091" t="str">
        <f>""</f>
        <v/>
      </c>
      <c r="F1091" t="str">
        <f t="shared" si="224"/>
        <v>COM</v>
      </c>
      <c r="G1091" t="str">
        <f>"JAISON DE SOUZA KOHL (1244)"</f>
        <v>JAISON DE SOUZA KOHL (1244)</v>
      </c>
      <c r="H1091" t="s">
        <v>418</v>
      </c>
      <c r="I1091" t="str">
        <f t="shared" si="220"/>
        <v>06/03/2026</v>
      </c>
      <c r="J1091" t="str">
        <f t="shared" si="223"/>
        <v>06/03/2026</v>
      </c>
      <c r="K1091">
        <v>46087</v>
      </c>
      <c r="N1091">
        <v>109</v>
      </c>
      <c r="O1091" t="s">
        <v>27</v>
      </c>
      <c r="Q1091">
        <v>454.5</v>
      </c>
      <c r="R1091" t="str">
        <f>"PAGUE MENOS 426 (10292)"</f>
        <v>PAGUE MENOS 426 (10292)</v>
      </c>
      <c r="S1091" t="s">
        <v>37</v>
      </c>
      <c r="T1091">
        <v>30374</v>
      </c>
      <c r="U1091">
        <v>34226</v>
      </c>
      <c r="V1091" t="s">
        <v>37</v>
      </c>
    </row>
    <row r="1092" spans="1:22">
      <c r="A1092" t="str">
        <f t="shared" si="215"/>
        <v>06/03/2026</v>
      </c>
      <c r="B1092" t="str">
        <f t="shared" si="216"/>
        <v>SAÍDA</v>
      </c>
      <c r="C1092" t="str">
        <f t="shared" si="217"/>
        <v>PIX</v>
      </c>
      <c r="D1092" t="str">
        <f t="shared" si="222"/>
        <v>06032026</v>
      </c>
      <c r="E1092" t="str">
        <f>""</f>
        <v/>
      </c>
      <c r="F1092" t="str">
        <f t="shared" si="224"/>
        <v>COM</v>
      </c>
      <c r="G1092" t="str">
        <f>"MAICON VIANA ROCHA (1243)"</f>
        <v>MAICON VIANA ROCHA (1243)</v>
      </c>
      <c r="H1092" t="str">
        <f>"Serv.Prest. 16/02/2026 a 22/02/2026 - PIX: CNPJ - CHAVE: 24.309.889/0001-51"</f>
        <v>Serv.Prest. 16/02/2026 a 22/02/2026 - PIX: CNPJ - CHAVE: 24.309.889/0001-51</v>
      </c>
      <c r="I1092" t="str">
        <f t="shared" si="220"/>
        <v>06/03/2026</v>
      </c>
      <c r="J1092" t="str">
        <f t="shared" si="223"/>
        <v>06/03/2026</v>
      </c>
      <c r="K1092" t="str">
        <f>("06/03/2026")</f>
        <v>06/03/2026</v>
      </c>
      <c r="L1092">
        <v>424.5</v>
      </c>
      <c r="M1092">
        <v>424.5</v>
      </c>
      <c r="N1092">
        <v>109</v>
      </c>
      <c r="O1092" t="str">
        <f>"PAGAMENTO DE ENTREGADORES"</f>
        <v>PAGAMENTO DE ENTREGADORES</v>
      </c>
      <c r="P1092">
        <v>424.5</v>
      </c>
      <c r="S1092" t="str">
        <f>"BANCO C6 (149)"</f>
        <v>BANCO C6 (149)</v>
      </c>
      <c r="T1092">
        <v>30375</v>
      </c>
      <c r="U1092">
        <v>34227</v>
      </c>
      <c r="V1092" t="s">
        <v>37</v>
      </c>
    </row>
    <row r="1093" spans="1:22">
      <c r="A1093" t="str">
        <f t="shared" si="215"/>
        <v>06/03/2026</v>
      </c>
      <c r="B1093" t="str">
        <f t="shared" si="216"/>
        <v>SAÍDA</v>
      </c>
      <c r="C1093" t="str">
        <f t="shared" si="217"/>
        <v>PIX</v>
      </c>
      <c r="D1093" t="str">
        <f t="shared" si="222"/>
        <v>06032026</v>
      </c>
      <c r="E1093" t="str">
        <f>""</f>
        <v/>
      </c>
      <c r="F1093" t="str">
        <f t="shared" si="224"/>
        <v>COM</v>
      </c>
      <c r="G1093" t="str">
        <f>"MAICON VIANA ROCHA (1243)"</f>
        <v>MAICON VIANA ROCHA (1243)</v>
      </c>
      <c r="H1093" t="s">
        <v>419</v>
      </c>
      <c r="I1093" t="str">
        <f t="shared" si="220"/>
        <v>06/03/2026</v>
      </c>
      <c r="J1093" t="str">
        <f t="shared" si="223"/>
        <v>06/03/2026</v>
      </c>
      <c r="K1093">
        <v>46087</v>
      </c>
      <c r="N1093">
        <v>109</v>
      </c>
      <c r="O1093" t="s">
        <v>27</v>
      </c>
      <c r="Q1093">
        <v>424.5</v>
      </c>
      <c r="R1093" t="str">
        <f>"PAGUE MENOS 426 (10292)"</f>
        <v>PAGUE MENOS 426 (10292)</v>
      </c>
      <c r="S1093" t="s">
        <v>37</v>
      </c>
      <c r="T1093">
        <v>30375</v>
      </c>
      <c r="U1093">
        <v>34227</v>
      </c>
      <c r="V1093" t="s">
        <v>37</v>
      </c>
    </row>
    <row r="1094" spans="1:22">
      <c r="A1094" t="str">
        <f t="shared" si="215"/>
        <v>06/03/2026</v>
      </c>
      <c r="B1094" t="str">
        <f t="shared" si="216"/>
        <v>SAÍDA</v>
      </c>
      <c r="C1094" t="str">
        <f t="shared" si="217"/>
        <v>PIX</v>
      </c>
      <c r="D1094" t="str">
        <f>"33598"</f>
        <v>33598</v>
      </c>
      <c r="E1094" t="str">
        <f>"2"</f>
        <v>2</v>
      </c>
      <c r="F1094" t="str">
        <f t="shared" si="224"/>
        <v>COM</v>
      </c>
      <c r="G1094" t="str">
        <f>"CARLOS ROBERTO BADARÓ MACHADO (78)"</f>
        <v>CARLOS ROBERTO BADARÓ MACHADO (78)</v>
      </c>
      <c r="H1094" t="str">
        <f>"COMPLEMENTO.Serv.Prest. 16/02/2026 a 22/02/2026 - PIX: CELULAR - CHAVE: (32) 99166-8238"</f>
        <v>COMPLEMENTO.Serv.Prest. 16/02/2026 a 22/02/2026 - PIX: CELULAR - CHAVE: (32) 99166-8238</v>
      </c>
      <c r="I1094" t="str">
        <f t="shared" si="220"/>
        <v>06/03/2026</v>
      </c>
      <c r="J1094" t="str">
        <f>("24/02/2026")</f>
        <v>24/02/2026</v>
      </c>
      <c r="K1094" t="str">
        <f>("06/03/2026")</f>
        <v>06/03/2026</v>
      </c>
      <c r="L1094">
        <v>396</v>
      </c>
      <c r="M1094">
        <v>396</v>
      </c>
      <c r="N1094">
        <v>109</v>
      </c>
      <c r="O1094" t="str">
        <f>"PAGAMENTO DE ENTREGADORES"</f>
        <v>PAGAMENTO DE ENTREGADORES</v>
      </c>
      <c r="P1094">
        <v>396</v>
      </c>
      <c r="S1094" t="str">
        <f>"BANCO C6 (149)"</f>
        <v>BANCO C6 (149)</v>
      </c>
      <c r="T1094">
        <v>30376</v>
      </c>
      <c r="U1094">
        <v>34228</v>
      </c>
      <c r="V1094" t="s">
        <v>37</v>
      </c>
    </row>
    <row r="1095" spans="1:22">
      <c r="A1095" t="str">
        <f t="shared" si="215"/>
        <v>06/03/2026</v>
      </c>
      <c r="B1095" t="str">
        <f t="shared" si="216"/>
        <v>SAÍDA</v>
      </c>
      <c r="C1095" t="str">
        <f t="shared" si="217"/>
        <v>PIX</v>
      </c>
      <c r="D1095" t="str">
        <f>"33598"</f>
        <v>33598</v>
      </c>
      <c r="E1095" t="str">
        <f>"2"</f>
        <v>2</v>
      </c>
      <c r="F1095" t="str">
        <f t="shared" si="224"/>
        <v>COM</v>
      </c>
      <c r="G1095" t="str">
        <f>"CARLOS ROBERTO BADARÓ MACHADO (78)"</f>
        <v>CARLOS ROBERTO BADARÓ MACHADO (78)</v>
      </c>
      <c r="H1095" t="s">
        <v>420</v>
      </c>
      <c r="I1095" t="str">
        <f t="shared" si="220"/>
        <v>06/03/2026</v>
      </c>
      <c r="J1095" t="str">
        <f>("24/02/2026")</f>
        <v>24/02/2026</v>
      </c>
      <c r="K1095">
        <v>46087</v>
      </c>
      <c r="N1095">
        <v>109</v>
      </c>
      <c r="O1095" t="s">
        <v>27</v>
      </c>
      <c r="Q1095">
        <v>348</v>
      </c>
      <c r="R1095" t="str">
        <f>"FARMÁCIA INDIANA LJ 109 (10047)"</f>
        <v>FARMÁCIA INDIANA LJ 109 (10047)</v>
      </c>
      <c r="S1095" t="s">
        <v>37</v>
      </c>
      <c r="T1095">
        <v>30376</v>
      </c>
      <c r="U1095">
        <v>34228</v>
      </c>
      <c r="V1095" t="s">
        <v>37</v>
      </c>
    </row>
    <row r="1096" spans="1:22">
      <c r="A1096" t="str">
        <f t="shared" si="215"/>
        <v>06/03/2026</v>
      </c>
      <c r="B1096" t="str">
        <f t="shared" si="216"/>
        <v>SAÍDA</v>
      </c>
      <c r="C1096" t="str">
        <f t="shared" si="217"/>
        <v>PIX</v>
      </c>
      <c r="D1096" t="str">
        <f>"33598"</f>
        <v>33598</v>
      </c>
      <c r="E1096" t="str">
        <f>"2"</f>
        <v>2</v>
      </c>
      <c r="F1096" t="str">
        <f t="shared" si="224"/>
        <v>COM</v>
      </c>
      <c r="G1096" t="str">
        <f>"CARLOS ROBERTO BADARÓ MACHADO (78)"</f>
        <v>CARLOS ROBERTO BADARÓ MACHADO (78)</v>
      </c>
      <c r="H1096" t="s">
        <v>420</v>
      </c>
      <c r="I1096" t="str">
        <f t="shared" si="220"/>
        <v>06/03/2026</v>
      </c>
      <c r="J1096" t="str">
        <f>("24/02/2026")</f>
        <v>24/02/2026</v>
      </c>
      <c r="K1096">
        <v>46087</v>
      </c>
      <c r="N1096">
        <v>109</v>
      </c>
      <c r="O1096" t="s">
        <v>27</v>
      </c>
      <c r="Q1096">
        <v>48</v>
      </c>
      <c r="R1096" t="str">
        <f>"FARMÁCIA INDIANA LJ 284 (10280)"</f>
        <v>FARMÁCIA INDIANA LJ 284 (10280)</v>
      </c>
      <c r="S1096" t="s">
        <v>37</v>
      </c>
      <c r="T1096">
        <v>30376</v>
      </c>
      <c r="U1096">
        <v>34228</v>
      </c>
      <c r="V1096" t="s">
        <v>37</v>
      </c>
    </row>
    <row r="1097" spans="1:22">
      <c r="A1097" t="str">
        <f t="shared" ref="A1097:A1106" si="225">("09/03/2026")</f>
        <v>09/03/2026</v>
      </c>
      <c r="B1097" t="str">
        <f t="shared" si="216"/>
        <v>SAÍDA</v>
      </c>
      <c r="C1097" t="str">
        <f t="shared" si="217"/>
        <v>PIX</v>
      </c>
      <c r="D1097" t="str">
        <f>"34262"</f>
        <v>34262</v>
      </c>
      <c r="E1097" t="str">
        <f t="shared" ref="E1097:E1102" si="226">"1"</f>
        <v>1</v>
      </c>
      <c r="F1097" t="str">
        <f t="shared" si="224"/>
        <v>COM</v>
      </c>
      <c r="G1097" t="str">
        <f>"LUCAS FERREIRA DA SILVA (1245)"</f>
        <v>LUCAS FERREIRA DA SILVA (1245)</v>
      </c>
      <c r="H1097" t="str">
        <f>"Serv.Prest. 02/03/2026 a 08/03/2026 - PIX: CELULAR - CHAVE: (11) 99593-3129"</f>
        <v>Serv.Prest. 02/03/2026 a 08/03/2026 - PIX: CELULAR - CHAVE: (11) 99593-3129</v>
      </c>
      <c r="I1097" t="str">
        <f t="shared" ref="I1097:I1104" si="227">("12/03/2026")</f>
        <v>12/03/2026</v>
      </c>
      <c r="J1097" t="str">
        <f>("09/03/2026")</f>
        <v>09/03/2026</v>
      </c>
      <c r="K1097" t="str">
        <f>("09/03/2026")</f>
        <v>09/03/2026</v>
      </c>
      <c r="L1097">
        <v>126</v>
      </c>
      <c r="M1097">
        <v>130</v>
      </c>
      <c r="N1097">
        <v>109</v>
      </c>
      <c r="O1097" t="str">
        <f>"PAGAMENTO DE ENTREGADORES"</f>
        <v>PAGAMENTO DE ENTREGADORES</v>
      </c>
      <c r="P1097">
        <v>130</v>
      </c>
      <c r="S1097" t="str">
        <f>"CAIXA MOVIMENTAÇÃO OPERACIONAL (132)"</f>
        <v>CAIXA MOVIMENTAÇÃO OPERACIONAL (132)</v>
      </c>
      <c r="T1097">
        <v>30336</v>
      </c>
      <c r="U1097">
        <v>34262</v>
      </c>
      <c r="V1097" t="s">
        <v>22</v>
      </c>
    </row>
    <row r="1098" spans="1:22">
      <c r="A1098" t="str">
        <f t="shared" si="225"/>
        <v>09/03/2026</v>
      </c>
      <c r="B1098" t="str">
        <f t="shared" si="216"/>
        <v>SAÍDA</v>
      </c>
      <c r="C1098" t="str">
        <f t="shared" si="217"/>
        <v>PIX</v>
      </c>
      <c r="D1098" t="str">
        <f>"34262"</f>
        <v>34262</v>
      </c>
      <c r="E1098" t="str">
        <f t="shared" si="226"/>
        <v>1</v>
      </c>
      <c r="F1098" t="str">
        <f t="shared" si="224"/>
        <v>COM</v>
      </c>
      <c r="G1098" t="str">
        <f>"LUCAS FERREIRA DA SILVA (1245)"</f>
        <v>LUCAS FERREIRA DA SILVA (1245)</v>
      </c>
      <c r="H1098" t="s">
        <v>421</v>
      </c>
      <c r="I1098" t="str">
        <f t="shared" si="227"/>
        <v>12/03/2026</v>
      </c>
      <c r="J1098" t="str">
        <f>("09/03/2026")</f>
        <v>09/03/2026</v>
      </c>
      <c r="K1098">
        <v>46090</v>
      </c>
      <c r="N1098">
        <v>109</v>
      </c>
      <c r="O1098" t="s">
        <v>27</v>
      </c>
      <c r="Q1098">
        <v>130</v>
      </c>
      <c r="R1098" t="str">
        <f>"DROGARIA ISABELLA (10276)"</f>
        <v>DROGARIA ISABELLA (10276)</v>
      </c>
      <c r="S1098" t="s">
        <v>22</v>
      </c>
      <c r="T1098">
        <v>30336</v>
      </c>
      <c r="U1098">
        <v>34262</v>
      </c>
      <c r="V1098" t="s">
        <v>22</v>
      </c>
    </row>
    <row r="1099" spans="1:22">
      <c r="A1099" t="str">
        <f t="shared" si="225"/>
        <v>09/03/2026</v>
      </c>
      <c r="B1099" t="str">
        <f t="shared" si="216"/>
        <v>SAÍDA</v>
      </c>
      <c r="C1099" t="str">
        <f t="shared" si="217"/>
        <v>PIX</v>
      </c>
      <c r="D1099" t="str">
        <f>"34295"</f>
        <v>34295</v>
      </c>
      <c r="E1099" t="str">
        <f t="shared" si="226"/>
        <v>1</v>
      </c>
      <c r="F1099" t="str">
        <f t="shared" si="224"/>
        <v>COM</v>
      </c>
      <c r="G1099" t="str">
        <f>"VICTOR HENRIQUE GOUVEA (1360)"</f>
        <v>VICTOR HENRIQUE GOUVEA (1360)</v>
      </c>
      <c r="H1099" t="str">
        <f>"Serv.Prest. 02/03/2026 a 08/03/2026 - PIX: E-MAIL - CHAVE: gouveavictor4@gmail.com"</f>
        <v>Serv.Prest. 02/03/2026 a 08/03/2026 - PIX: E-MAIL - CHAVE: gouveavictor4@gmail.com</v>
      </c>
      <c r="I1099" t="str">
        <f t="shared" si="227"/>
        <v>12/03/2026</v>
      </c>
      <c r="J1099" t="str">
        <f>("09/03/2026")</f>
        <v>09/03/2026</v>
      </c>
      <c r="K1099" t="str">
        <f>("09/03/2026")</f>
        <v>09/03/2026</v>
      </c>
      <c r="L1099">
        <v>168</v>
      </c>
      <c r="M1099">
        <v>168</v>
      </c>
      <c r="N1099">
        <v>109</v>
      </c>
      <c r="O1099" t="str">
        <f>"PAGAMENTO DE ENTREGADORES"</f>
        <v>PAGAMENTO DE ENTREGADORES</v>
      </c>
      <c r="P1099">
        <v>168</v>
      </c>
      <c r="S1099" t="str">
        <f>"CAIXA MOVIMENTAÇÃO OPERACIONAL (132)"</f>
        <v>CAIXA MOVIMENTAÇÃO OPERACIONAL (132)</v>
      </c>
      <c r="T1099">
        <v>30337</v>
      </c>
      <c r="U1099">
        <v>34295</v>
      </c>
      <c r="V1099" t="s">
        <v>22</v>
      </c>
    </row>
    <row r="1100" spans="1:22">
      <c r="A1100" t="str">
        <f t="shared" si="225"/>
        <v>09/03/2026</v>
      </c>
      <c r="B1100" t="str">
        <f t="shared" si="216"/>
        <v>SAÍDA</v>
      </c>
      <c r="C1100" t="str">
        <f t="shared" si="217"/>
        <v>PIX</v>
      </c>
      <c r="D1100" t="str">
        <f>"34295"</f>
        <v>34295</v>
      </c>
      <c r="E1100" t="str">
        <f t="shared" si="226"/>
        <v>1</v>
      </c>
      <c r="F1100" t="str">
        <f t="shared" si="224"/>
        <v>COM</v>
      </c>
      <c r="G1100" t="str">
        <f>"VICTOR HENRIQUE GOUVEA (1360)"</f>
        <v>VICTOR HENRIQUE GOUVEA (1360)</v>
      </c>
      <c r="H1100" t="s">
        <v>422</v>
      </c>
      <c r="I1100" t="str">
        <f t="shared" si="227"/>
        <v>12/03/2026</v>
      </c>
      <c r="J1100" t="str">
        <f>("09/03/2026")</f>
        <v>09/03/2026</v>
      </c>
      <c r="K1100">
        <v>46090</v>
      </c>
      <c r="N1100">
        <v>109</v>
      </c>
      <c r="O1100" t="s">
        <v>27</v>
      </c>
      <c r="Q1100">
        <v>168</v>
      </c>
      <c r="R1100" t="str">
        <f>"FARMACIA ROSAS (10288)"</f>
        <v>FARMACIA ROSAS (10288)</v>
      </c>
      <c r="S1100" t="s">
        <v>22</v>
      </c>
      <c r="T1100">
        <v>30337</v>
      </c>
      <c r="U1100">
        <v>34295</v>
      </c>
      <c r="V1100" t="s">
        <v>22</v>
      </c>
    </row>
    <row r="1101" spans="1:22">
      <c r="A1101" t="str">
        <f t="shared" si="225"/>
        <v>09/03/2026</v>
      </c>
      <c r="B1101" t="str">
        <f t="shared" si="216"/>
        <v>SAÍDA</v>
      </c>
      <c r="C1101" t="str">
        <f t="shared" si="217"/>
        <v>PIX</v>
      </c>
      <c r="D1101" t="str">
        <f>"34355"</f>
        <v>34355</v>
      </c>
      <c r="E1101" t="str">
        <f t="shared" si="226"/>
        <v>1</v>
      </c>
      <c r="F1101" t="str">
        <f t="shared" si="224"/>
        <v>COM</v>
      </c>
      <c r="G1101" t="str">
        <f>"ALLAN SILVA DAMACENA (790)"</f>
        <v>ALLAN SILVA DAMACENA (790)</v>
      </c>
      <c r="H1101" t="str">
        <f>"Serv.Prest. 02/03/2026 a 08/03/2026 - PIX: CELULAR - CHAVE: (19) 98944-4977"</f>
        <v>Serv.Prest. 02/03/2026 a 08/03/2026 - PIX: CELULAR - CHAVE: (19) 98944-4977</v>
      </c>
      <c r="I1101" t="str">
        <f t="shared" si="227"/>
        <v>12/03/2026</v>
      </c>
      <c r="J1101" t="str">
        <f>("09/03/2026")</f>
        <v>09/03/2026</v>
      </c>
      <c r="K1101" t="str">
        <f>("09/03/2026")</f>
        <v>09/03/2026</v>
      </c>
      <c r="L1101">
        <v>100</v>
      </c>
      <c r="M1101">
        <v>100</v>
      </c>
      <c r="N1101">
        <v>109</v>
      </c>
      <c r="O1101" t="str">
        <f>"PAGAMENTO DE ENTREGADORES"</f>
        <v>PAGAMENTO DE ENTREGADORES</v>
      </c>
      <c r="P1101">
        <v>100</v>
      </c>
      <c r="S1101" t="str">
        <f>"CAIXA MOVIMENTAÇÃO OPERACIONAL (132)"</f>
        <v>CAIXA MOVIMENTAÇÃO OPERACIONAL (132)</v>
      </c>
      <c r="T1101">
        <v>30338</v>
      </c>
      <c r="U1101">
        <v>34359</v>
      </c>
      <c r="V1101" t="s">
        <v>22</v>
      </c>
    </row>
    <row r="1102" spans="1:22">
      <c r="A1102" t="str">
        <f t="shared" si="225"/>
        <v>09/03/2026</v>
      </c>
      <c r="B1102" t="str">
        <f t="shared" si="216"/>
        <v>SAÍDA</v>
      </c>
      <c r="C1102" t="str">
        <f t="shared" si="217"/>
        <v>PIX</v>
      </c>
      <c r="D1102" t="str">
        <f>"34355"</f>
        <v>34355</v>
      </c>
      <c r="E1102" t="str">
        <f t="shared" si="226"/>
        <v>1</v>
      </c>
      <c r="F1102" t="str">
        <f t="shared" si="224"/>
        <v>COM</v>
      </c>
      <c r="G1102" t="str">
        <f>"ALLAN SILVA DAMACENA (790)"</f>
        <v>ALLAN SILVA DAMACENA (790)</v>
      </c>
      <c r="H1102" t="s">
        <v>423</v>
      </c>
      <c r="I1102" t="str">
        <f t="shared" si="227"/>
        <v>12/03/2026</v>
      </c>
      <c r="J1102" t="str">
        <f>("09/03/2026")</f>
        <v>09/03/2026</v>
      </c>
      <c r="K1102">
        <v>46090</v>
      </c>
      <c r="N1102">
        <v>109</v>
      </c>
      <c r="O1102" t="s">
        <v>27</v>
      </c>
      <c r="Q1102">
        <v>100</v>
      </c>
      <c r="R1102" t="str">
        <f>"DROGARIA MORENO LTDA (10171)"</f>
        <v>DROGARIA MORENO LTDA (10171)</v>
      </c>
      <c r="S1102" t="s">
        <v>22</v>
      </c>
      <c r="T1102">
        <v>30338</v>
      </c>
      <c r="U1102">
        <v>34359</v>
      </c>
      <c r="V1102" t="s">
        <v>22</v>
      </c>
    </row>
    <row r="1103" spans="1:22">
      <c r="A1103" t="str">
        <f t="shared" si="225"/>
        <v>09/03/2026</v>
      </c>
      <c r="B1103" t="str">
        <f>"ENTRADA"</f>
        <v>ENTRADA</v>
      </c>
      <c r="C1103" t="str">
        <f>"DINHEIRO"</f>
        <v>DINHEIRO</v>
      </c>
      <c r="D1103" t="str">
        <f>"1203"</f>
        <v>1203</v>
      </c>
      <c r="E1103" t="str">
        <f>"26"</f>
        <v>26</v>
      </c>
      <c r="F1103" t="str">
        <f t="shared" si="224"/>
        <v>COM</v>
      </c>
      <c r="G1103" t="str">
        <f>"ALLAN SILVA DAMACENA (790)"</f>
        <v>ALLAN SILVA DAMACENA (790)</v>
      </c>
      <c r="H1103" t="str">
        <f>"REEMBOLSO ADIANTAMENTO"</f>
        <v>REEMBOLSO ADIANTAMENTO</v>
      </c>
      <c r="I1103" t="str">
        <f t="shared" si="227"/>
        <v>12/03/2026</v>
      </c>
      <c r="J1103" t="str">
        <f>("20/01/2026")</f>
        <v>20/01/2026</v>
      </c>
      <c r="K1103" t="str">
        <f>("09/03/2026")</f>
        <v>09/03/2026</v>
      </c>
      <c r="L1103">
        <v>100</v>
      </c>
      <c r="M1103">
        <v>100</v>
      </c>
      <c r="N1103">
        <v>129</v>
      </c>
      <c r="O1103" t="str">
        <f>"ENTRADA DE REEMBOLSO ADIANTAMENTO"</f>
        <v>ENTRADA DE REEMBOLSO ADIANTAMENTO</v>
      </c>
      <c r="P1103">
        <v>100</v>
      </c>
      <c r="S1103" t="str">
        <f>"ENTRADA DE REEMBOLSO ADIANTAMENTO (129)"</f>
        <v>ENTRADA DE REEMBOLSO ADIANTAMENTO (129)</v>
      </c>
      <c r="T1103">
        <v>30339</v>
      </c>
      <c r="U1103">
        <v>31142</v>
      </c>
      <c r="V1103" t="s">
        <v>22</v>
      </c>
    </row>
    <row r="1104" spans="1:22">
      <c r="A1104" t="str">
        <f t="shared" si="225"/>
        <v>09/03/2026</v>
      </c>
      <c r="B1104" t="str">
        <f>"ENTRADA"</f>
        <v>ENTRADA</v>
      </c>
      <c r="C1104" t="str">
        <f>"DINHEIRO"</f>
        <v>DINHEIRO</v>
      </c>
      <c r="D1104" t="str">
        <f>"1203"</f>
        <v>1203</v>
      </c>
      <c r="E1104" t="str">
        <f>"26"</f>
        <v>26</v>
      </c>
      <c r="F1104" t="str">
        <f t="shared" si="224"/>
        <v>COM</v>
      </c>
      <c r="G1104" t="str">
        <f>"ALLAN SILVA DAMACENA (790)"</f>
        <v>ALLAN SILVA DAMACENA (790)</v>
      </c>
      <c r="H1104" t="s">
        <v>32</v>
      </c>
      <c r="I1104" t="str">
        <f t="shared" si="227"/>
        <v>12/03/2026</v>
      </c>
      <c r="J1104" t="str">
        <f>("20/01/2026")</f>
        <v>20/01/2026</v>
      </c>
      <c r="K1104">
        <v>46090</v>
      </c>
      <c r="N1104">
        <v>129</v>
      </c>
      <c r="O1104" t="s">
        <v>24</v>
      </c>
      <c r="Q1104">
        <v>100</v>
      </c>
      <c r="R1104" t="str">
        <f>"DROGARIA MORENO LTDA (10171)"</f>
        <v>DROGARIA MORENO LTDA (10171)</v>
      </c>
      <c r="S1104" t="s">
        <v>25</v>
      </c>
      <c r="T1104">
        <v>30339</v>
      </c>
      <c r="U1104">
        <v>31142</v>
      </c>
      <c r="V1104" t="s">
        <v>22</v>
      </c>
    </row>
    <row r="1105" spans="1:22">
      <c r="A1105" t="str">
        <f t="shared" si="225"/>
        <v>09/03/2026</v>
      </c>
      <c r="B1105" t="str">
        <f t="shared" ref="B1105:B1110" si="228">"SAÍDA"</f>
        <v>SAÍDA</v>
      </c>
      <c r="C1105" t="str">
        <f t="shared" ref="C1105:C1110" si="229">"PIX"</f>
        <v>PIX</v>
      </c>
      <c r="D1105" t="str">
        <f>"34667"</f>
        <v>34667</v>
      </c>
      <c r="E1105" t="str">
        <f t="shared" ref="E1105:E1110" si="230">"1"</f>
        <v>1</v>
      </c>
      <c r="F1105" t="str">
        <f t="shared" si="224"/>
        <v>COM</v>
      </c>
      <c r="G1105" t="str">
        <f>"DEIVID FERNANDES COSTA (828)"</f>
        <v>DEIVID FERNANDES COSTA (828)</v>
      </c>
      <c r="H1105" t="str">
        <f>"Serv.Prest. 02/03/2026 a 08/03/2026 - PIX: CELULAR - CHAVE: (62) 99550-3226"</f>
        <v>Serv.Prest. 02/03/2026 a 08/03/2026 - PIX: CELULAR - CHAVE: (62) 99550-3226</v>
      </c>
      <c r="I1105" t="str">
        <f>("11/03/2026")</f>
        <v>11/03/2026</v>
      </c>
      <c r="J1105" t="str">
        <f>("10/03/2026")</f>
        <v>10/03/2026</v>
      </c>
      <c r="K1105" t="str">
        <f>("09/03/2026")</f>
        <v>09/03/2026</v>
      </c>
      <c r="L1105">
        <v>1400</v>
      </c>
      <c r="M1105">
        <v>1400</v>
      </c>
      <c r="N1105">
        <v>109</v>
      </c>
      <c r="O1105" t="str">
        <f>"PAGAMENTO DE ENTREGADORES"</f>
        <v>PAGAMENTO DE ENTREGADORES</v>
      </c>
      <c r="P1105">
        <v>1400</v>
      </c>
      <c r="S1105" t="str">
        <f>"BANCO CORA (102)"</f>
        <v>BANCO CORA (102)</v>
      </c>
      <c r="T1105">
        <v>30340</v>
      </c>
      <c r="U1105">
        <v>34668</v>
      </c>
      <c r="V1105" t="s">
        <v>33</v>
      </c>
    </row>
    <row r="1106" spans="1:22">
      <c r="A1106" t="str">
        <f t="shared" si="225"/>
        <v>09/03/2026</v>
      </c>
      <c r="B1106" t="str">
        <f t="shared" si="228"/>
        <v>SAÍDA</v>
      </c>
      <c r="C1106" t="str">
        <f t="shared" si="229"/>
        <v>PIX</v>
      </c>
      <c r="D1106" t="str">
        <f>"34667"</f>
        <v>34667</v>
      </c>
      <c r="E1106" t="str">
        <f t="shared" si="230"/>
        <v>1</v>
      </c>
      <c r="F1106" t="str">
        <f t="shared" si="224"/>
        <v>COM</v>
      </c>
      <c r="G1106" t="str">
        <f>"DEIVID FERNANDES COSTA (828)"</f>
        <v>DEIVID FERNANDES COSTA (828)</v>
      </c>
      <c r="H1106" t="s">
        <v>424</v>
      </c>
      <c r="I1106" t="str">
        <f>("11/03/2026")</f>
        <v>11/03/2026</v>
      </c>
      <c r="J1106" t="str">
        <f>("10/03/2026")</f>
        <v>10/03/2026</v>
      </c>
      <c r="K1106">
        <v>46090</v>
      </c>
      <c r="N1106">
        <v>109</v>
      </c>
      <c r="O1106" t="s">
        <v>27</v>
      </c>
      <c r="Q1106">
        <v>1400</v>
      </c>
      <c r="R1106" t="str">
        <f>"BRASIL FARMA (10173)"</f>
        <v>BRASIL FARMA (10173)</v>
      </c>
      <c r="S1106" t="s">
        <v>33</v>
      </c>
      <c r="T1106">
        <v>30340</v>
      </c>
      <c r="U1106">
        <v>34668</v>
      </c>
      <c r="V1106" t="s">
        <v>33</v>
      </c>
    </row>
    <row r="1107" spans="1:22">
      <c r="A1107" t="str">
        <f t="shared" ref="A1107:A1170" si="231">("10/03/2026")</f>
        <v>10/03/2026</v>
      </c>
      <c r="B1107" t="str">
        <f t="shared" si="228"/>
        <v>SAÍDA</v>
      </c>
      <c r="C1107" t="str">
        <f t="shared" si="229"/>
        <v>PIX</v>
      </c>
      <c r="D1107" t="str">
        <f>"34448"</f>
        <v>34448</v>
      </c>
      <c r="E1107" t="str">
        <f t="shared" si="230"/>
        <v>1</v>
      </c>
      <c r="F1107" t="str">
        <f t="shared" si="224"/>
        <v>COM</v>
      </c>
      <c r="G1107" t="str">
        <f>"MARCOS VINICIUS CORREIA JULI??O (1001)"</f>
        <v>MARCOS VINICIUS CORREIA JULI??O (1001)</v>
      </c>
      <c r="H1107" t="str">
        <f>"Serv.Prest. 02/03/2026 a 08/03/2026 - PIX: CELULAR - CHAVE: (11) 98144-5840"</f>
        <v>Serv.Prest. 02/03/2026 a 08/03/2026 - PIX: CELULAR - CHAVE: (11) 98144-5840</v>
      </c>
      <c r="I1107" t="str">
        <f>("12/03/2026")</f>
        <v>12/03/2026</v>
      </c>
      <c r="J1107" t="str">
        <f>("09/03/2026")</f>
        <v>09/03/2026</v>
      </c>
      <c r="K1107" t="str">
        <f>("10/03/2026")</f>
        <v>10/03/2026</v>
      </c>
      <c r="L1107">
        <v>350</v>
      </c>
      <c r="M1107">
        <v>350</v>
      </c>
      <c r="N1107">
        <v>109</v>
      </c>
      <c r="O1107" t="str">
        <f>"PAGAMENTO DE ENTREGADORES"</f>
        <v>PAGAMENTO DE ENTREGADORES</v>
      </c>
      <c r="P1107">
        <v>350</v>
      </c>
      <c r="S1107" t="str">
        <f>"CAIXA MOVIMENTAÇÃO OPERACIONAL (132)"</f>
        <v>CAIXA MOVIMENTAÇÃO OPERACIONAL (132)</v>
      </c>
      <c r="T1107">
        <v>30341</v>
      </c>
      <c r="U1107">
        <v>34670</v>
      </c>
      <c r="V1107" t="s">
        <v>22</v>
      </c>
    </row>
    <row r="1108" spans="1:22">
      <c r="A1108" t="str">
        <f t="shared" si="231"/>
        <v>10/03/2026</v>
      </c>
      <c r="B1108" t="str">
        <f t="shared" si="228"/>
        <v>SAÍDA</v>
      </c>
      <c r="C1108" t="str">
        <f t="shared" si="229"/>
        <v>PIX</v>
      </c>
      <c r="D1108" t="str">
        <f>"34448"</f>
        <v>34448</v>
      </c>
      <c r="E1108" t="str">
        <f t="shared" si="230"/>
        <v>1</v>
      </c>
      <c r="F1108" t="str">
        <f t="shared" si="224"/>
        <v>COM</v>
      </c>
      <c r="G1108" t="str">
        <f>"MARCOS VINICIUS CORREIA JULI??O (1001)"</f>
        <v>MARCOS VINICIUS CORREIA JULI??O (1001)</v>
      </c>
      <c r="H1108" t="s">
        <v>425</v>
      </c>
      <c r="I1108" t="str">
        <f>("12/03/2026")</f>
        <v>12/03/2026</v>
      </c>
      <c r="J1108" t="str">
        <f>("09/03/2026")</f>
        <v>09/03/2026</v>
      </c>
      <c r="K1108">
        <v>46091</v>
      </c>
      <c r="N1108">
        <v>109</v>
      </c>
      <c r="O1108" t="s">
        <v>27</v>
      </c>
      <c r="Q1108">
        <v>350</v>
      </c>
      <c r="R1108" t="str">
        <f>"PENSE FARMA 44 (10231)"</f>
        <v>PENSE FARMA 44 (10231)</v>
      </c>
      <c r="S1108" t="s">
        <v>22</v>
      </c>
      <c r="T1108">
        <v>30341</v>
      </c>
      <c r="U1108">
        <v>34670</v>
      </c>
      <c r="V1108" t="s">
        <v>22</v>
      </c>
    </row>
    <row r="1109" spans="1:22">
      <c r="A1109" t="str">
        <f t="shared" si="231"/>
        <v>10/03/2026</v>
      </c>
      <c r="B1109" t="str">
        <f t="shared" si="228"/>
        <v>SAÍDA</v>
      </c>
      <c r="C1109" t="str">
        <f t="shared" si="229"/>
        <v>PIX</v>
      </c>
      <c r="D1109" t="str">
        <f>"33826"</f>
        <v>33826</v>
      </c>
      <c r="E1109" t="str">
        <f t="shared" si="230"/>
        <v>1</v>
      </c>
      <c r="F1109" t="str">
        <f t="shared" si="224"/>
        <v>COM</v>
      </c>
      <c r="G1109" t="str">
        <f>"ALAN ACOSTA (897)"</f>
        <v>ALAN ACOSTA (897)</v>
      </c>
      <c r="H1109" t="str">
        <f>"Serv.Prest. 23/02/2026 a 01/03/2026 - PIX: CELULAR - CHAVE: (43) 99875-6490"</f>
        <v>Serv.Prest. 23/02/2026 a 01/03/2026 - PIX: CELULAR - CHAVE: (43) 99875-6490</v>
      </c>
      <c r="I1109" t="str">
        <f>("12/03/2026")</f>
        <v>12/03/2026</v>
      </c>
      <c r="J1109" t="str">
        <f>("02/03/2026")</f>
        <v>02/03/2026</v>
      </c>
      <c r="K1109" t="str">
        <f>("10/03/2026")</f>
        <v>10/03/2026</v>
      </c>
      <c r="L1109">
        <v>20</v>
      </c>
      <c r="M1109">
        <v>20</v>
      </c>
      <c r="N1109">
        <v>109</v>
      </c>
      <c r="O1109" t="str">
        <f>"PAGAMENTO DE ENTREGADORES"</f>
        <v>PAGAMENTO DE ENTREGADORES</v>
      </c>
      <c r="P1109">
        <v>20</v>
      </c>
      <c r="S1109" t="str">
        <f>"CAIXA MOVIMENTAÇÃO OPERACIONAL (132)"</f>
        <v>CAIXA MOVIMENTAÇÃO OPERACIONAL (132)</v>
      </c>
      <c r="T1109">
        <v>30342</v>
      </c>
      <c r="U1109">
        <v>34671</v>
      </c>
      <c r="V1109" t="s">
        <v>22</v>
      </c>
    </row>
    <row r="1110" spans="1:22">
      <c r="A1110" t="str">
        <f t="shared" si="231"/>
        <v>10/03/2026</v>
      </c>
      <c r="B1110" t="str">
        <f t="shared" si="228"/>
        <v>SAÍDA</v>
      </c>
      <c r="C1110" t="str">
        <f t="shared" si="229"/>
        <v>PIX</v>
      </c>
      <c r="D1110" t="str">
        <f>"33826"</f>
        <v>33826</v>
      </c>
      <c r="E1110" t="str">
        <f t="shared" si="230"/>
        <v>1</v>
      </c>
      <c r="F1110" t="str">
        <f t="shared" si="224"/>
        <v>COM</v>
      </c>
      <c r="G1110" t="str">
        <f>"ALAN ACOSTA (897)"</f>
        <v>ALAN ACOSTA (897)</v>
      </c>
      <c r="H1110" t="s">
        <v>426</v>
      </c>
      <c r="I1110" t="str">
        <f>("12/03/2026")</f>
        <v>12/03/2026</v>
      </c>
      <c r="J1110" t="str">
        <f>("02/03/2026")</f>
        <v>02/03/2026</v>
      </c>
      <c r="K1110">
        <v>46091</v>
      </c>
      <c r="N1110">
        <v>109</v>
      </c>
      <c r="O1110" t="s">
        <v>27</v>
      </c>
      <c r="Q1110">
        <v>20</v>
      </c>
      <c r="R1110" t="str">
        <f>"AC FARMA - CID.ALTA (10166)"</f>
        <v>AC FARMA - CID.ALTA (10166)</v>
      </c>
      <c r="S1110" t="s">
        <v>22</v>
      </c>
      <c r="T1110">
        <v>30342</v>
      </c>
      <c r="U1110">
        <v>34671</v>
      </c>
      <c r="V1110" t="s">
        <v>22</v>
      </c>
    </row>
    <row r="1111" spans="1:22">
      <c r="A1111" t="str">
        <f t="shared" si="231"/>
        <v>10/03/2026</v>
      </c>
      <c r="B1111" t="str">
        <f>"ENTRADA"</f>
        <v>ENTRADA</v>
      </c>
      <c r="C1111" t="str">
        <f>"DINHEIRO"</f>
        <v>DINHEIRO</v>
      </c>
      <c r="D1111" t="str">
        <f>"897"</f>
        <v>897</v>
      </c>
      <c r="E1111" t="str">
        <f>"6"</f>
        <v>6</v>
      </c>
      <c r="F1111" t="str">
        <f t="shared" si="224"/>
        <v>COM</v>
      </c>
      <c r="G1111" t="str">
        <f>"ALAN ACOSTA (897)"</f>
        <v>ALAN ACOSTA (897)</v>
      </c>
      <c r="H1111" t="str">
        <f>"COTA COOPERATIVA"</f>
        <v>COTA COOPERATIVA</v>
      </c>
      <c r="I1111" t="str">
        <f>("10/03/2026")</f>
        <v>10/03/2026</v>
      </c>
      <c r="J1111" t="str">
        <f>("11/09/2025")</f>
        <v>11/09/2025</v>
      </c>
      <c r="K1111" t="str">
        <f>("10/03/2026")</f>
        <v>10/03/2026</v>
      </c>
      <c r="L1111">
        <v>20</v>
      </c>
      <c r="M1111">
        <v>20</v>
      </c>
      <c r="N1111">
        <v>106</v>
      </c>
      <c r="O1111" t="str">
        <f>"ENTRADA DE CAPITAL"</f>
        <v>ENTRADA DE CAPITAL</v>
      </c>
      <c r="P1111">
        <v>20</v>
      </c>
      <c r="S1111" t="str">
        <f>"ENTRADA DE CAPITAL (106)"</f>
        <v>ENTRADA DE CAPITAL (106)</v>
      </c>
      <c r="T1111">
        <v>30343</v>
      </c>
      <c r="U1111">
        <v>23112</v>
      </c>
      <c r="V1111" t="s">
        <v>22</v>
      </c>
    </row>
    <row r="1112" spans="1:22">
      <c r="A1112" t="str">
        <f t="shared" si="231"/>
        <v>10/03/2026</v>
      </c>
      <c r="B1112" t="str">
        <f>"ENTRADA"</f>
        <v>ENTRADA</v>
      </c>
      <c r="C1112" t="str">
        <f>"DINHEIRO"</f>
        <v>DINHEIRO</v>
      </c>
      <c r="D1112" t="str">
        <f>"897"</f>
        <v>897</v>
      </c>
      <c r="E1112" t="str">
        <f>"6"</f>
        <v>6</v>
      </c>
      <c r="F1112" t="str">
        <f t="shared" si="224"/>
        <v>COM</v>
      </c>
      <c r="G1112" t="str">
        <f>"ALAN ACOSTA (897)"</f>
        <v>ALAN ACOSTA (897)</v>
      </c>
      <c r="H1112" t="s">
        <v>97</v>
      </c>
      <c r="I1112" t="str">
        <f>("10/03/2026")</f>
        <v>10/03/2026</v>
      </c>
      <c r="J1112" t="str">
        <f>("11/09/2025")</f>
        <v>11/09/2025</v>
      </c>
      <c r="K1112">
        <v>46091</v>
      </c>
      <c r="N1112">
        <v>106</v>
      </c>
      <c r="O1112" t="s">
        <v>98</v>
      </c>
      <c r="Q1112">
        <v>20</v>
      </c>
      <c r="R1112" t="str">
        <f>"ALAN ACOSTA (897)"</f>
        <v>ALAN ACOSTA (897)</v>
      </c>
      <c r="S1112" t="s">
        <v>99</v>
      </c>
      <c r="T1112">
        <v>30343</v>
      </c>
      <c r="U1112">
        <v>23112</v>
      </c>
      <c r="V1112" t="s">
        <v>22</v>
      </c>
    </row>
    <row r="1113" spans="1:22">
      <c r="A1113" t="str">
        <f t="shared" si="231"/>
        <v>10/03/2026</v>
      </c>
      <c r="B1113" t="str">
        <f>"SAÍDA"</f>
        <v>SAÍDA</v>
      </c>
      <c r="C1113" t="str">
        <f>"PIX"</f>
        <v>PIX</v>
      </c>
      <c r="D1113" t="str">
        <f>"34255"</f>
        <v>34255</v>
      </c>
      <c r="E1113" t="str">
        <f>"1"</f>
        <v>1</v>
      </c>
      <c r="F1113" t="str">
        <f t="shared" si="224"/>
        <v>COM</v>
      </c>
      <c r="G1113" t="str">
        <f>"ALEXSANDRO HENRIQUE FERREIRA (808)"</f>
        <v>ALEXSANDRO HENRIQUE FERREIRA (808)</v>
      </c>
      <c r="H1113" t="str">
        <f>"Serv.Prest. 02/03/2026 a 08/03/2026 - PIX: CPF - CHAVE: 157.591.436-03"</f>
        <v>Serv.Prest. 02/03/2026 a 08/03/2026 - PIX: CPF - CHAVE: 157.591.436-03</v>
      </c>
      <c r="I1113" t="str">
        <f>("12/03/2026")</f>
        <v>12/03/2026</v>
      </c>
      <c r="J1113" t="str">
        <f>("09/03/2026")</f>
        <v>09/03/2026</v>
      </c>
      <c r="K1113" t="str">
        <f>("10/03/2026")</f>
        <v>10/03/2026</v>
      </c>
      <c r="L1113">
        <v>20</v>
      </c>
      <c r="M1113">
        <v>20</v>
      </c>
      <c r="N1113">
        <v>109</v>
      </c>
      <c r="O1113" t="str">
        <f>"PAGAMENTO DE ENTREGADORES"</f>
        <v>PAGAMENTO DE ENTREGADORES</v>
      </c>
      <c r="P1113">
        <v>20</v>
      </c>
      <c r="S1113" t="str">
        <f>"BANCO CORA (102)"</f>
        <v>BANCO CORA (102)</v>
      </c>
      <c r="T1113">
        <v>30344</v>
      </c>
      <c r="U1113">
        <v>34672</v>
      </c>
      <c r="V1113" t="s">
        <v>33</v>
      </c>
    </row>
    <row r="1114" spans="1:22">
      <c r="A1114" t="str">
        <f t="shared" si="231"/>
        <v>10/03/2026</v>
      </c>
      <c r="B1114" t="str">
        <f>"SAÍDA"</f>
        <v>SAÍDA</v>
      </c>
      <c r="C1114" t="str">
        <f>"PIX"</f>
        <v>PIX</v>
      </c>
      <c r="D1114" t="str">
        <f>"34255"</f>
        <v>34255</v>
      </c>
      <c r="E1114" t="str">
        <f>"1"</f>
        <v>1</v>
      </c>
      <c r="F1114" t="str">
        <f t="shared" si="224"/>
        <v>COM</v>
      </c>
      <c r="G1114" t="str">
        <f>"ALEXSANDRO HENRIQUE FERREIRA (808)"</f>
        <v>ALEXSANDRO HENRIQUE FERREIRA (808)</v>
      </c>
      <c r="H1114" t="s">
        <v>427</v>
      </c>
      <c r="I1114" t="str">
        <f>("12/03/2026")</f>
        <v>12/03/2026</v>
      </c>
      <c r="J1114" t="str">
        <f>("09/03/2026")</f>
        <v>09/03/2026</v>
      </c>
      <c r="K1114">
        <v>46091</v>
      </c>
      <c r="N1114">
        <v>109</v>
      </c>
      <c r="O1114" t="s">
        <v>27</v>
      </c>
      <c r="Q1114">
        <v>20</v>
      </c>
      <c r="R1114" t="str">
        <f>"DROGARIA ANA VISCONDE DO RIO BRANCO (10182)"</f>
        <v>DROGARIA ANA VISCONDE DO RIO BRANCO (10182)</v>
      </c>
      <c r="S1114" t="s">
        <v>33</v>
      </c>
      <c r="T1114">
        <v>30344</v>
      </c>
      <c r="U1114">
        <v>34672</v>
      </c>
      <c r="V1114" t="s">
        <v>33</v>
      </c>
    </row>
    <row r="1115" spans="1:22">
      <c r="A1115" t="str">
        <f t="shared" si="231"/>
        <v>10/03/2026</v>
      </c>
      <c r="B1115" t="str">
        <f>"ENTRADA"</f>
        <v>ENTRADA</v>
      </c>
      <c r="C1115" t="str">
        <f>"DINHEIRO"</f>
        <v>DINHEIRO</v>
      </c>
      <c r="D1115" t="str">
        <f>"808"</f>
        <v>808</v>
      </c>
      <c r="E1115" t="str">
        <f>"9"</f>
        <v>9</v>
      </c>
      <c r="F1115" t="str">
        <f t="shared" si="224"/>
        <v>COM</v>
      </c>
      <c r="G1115" t="str">
        <f>"ALEXSANDRO HENRIQUE FERREIRA (808)"</f>
        <v>ALEXSANDRO HENRIQUE FERREIRA (808)</v>
      </c>
      <c r="H1115" t="str">
        <f>"COTA COOPERATIVA"</f>
        <v>COTA COOPERATIVA</v>
      </c>
      <c r="I1115" t="str">
        <f>("10/03/2026")</f>
        <v>10/03/2026</v>
      </c>
      <c r="J1115" t="str">
        <f>("19/05/2025")</f>
        <v>19/05/2025</v>
      </c>
      <c r="K1115" t="str">
        <f>("10/03/2026")</f>
        <v>10/03/2026</v>
      </c>
      <c r="L1115">
        <v>20</v>
      </c>
      <c r="M1115">
        <v>20</v>
      </c>
      <c r="N1115">
        <v>106</v>
      </c>
      <c r="O1115" t="str">
        <f>"ENTRADA DE CAPITAL"</f>
        <v>ENTRADA DE CAPITAL</v>
      </c>
      <c r="P1115">
        <v>20</v>
      </c>
      <c r="S1115" t="str">
        <f>"ENTRADA DE CAPITAL (106)"</f>
        <v>ENTRADA DE CAPITAL (106)</v>
      </c>
      <c r="T1115">
        <v>30345</v>
      </c>
      <c r="U1115">
        <v>18090</v>
      </c>
      <c r="V1115" t="s">
        <v>33</v>
      </c>
    </row>
    <row r="1116" spans="1:22">
      <c r="A1116" t="str">
        <f t="shared" si="231"/>
        <v>10/03/2026</v>
      </c>
      <c r="B1116" t="str">
        <f>"ENTRADA"</f>
        <v>ENTRADA</v>
      </c>
      <c r="C1116" t="str">
        <f>"DINHEIRO"</f>
        <v>DINHEIRO</v>
      </c>
      <c r="D1116" t="str">
        <f>"808"</f>
        <v>808</v>
      </c>
      <c r="E1116" t="str">
        <f>"9"</f>
        <v>9</v>
      </c>
      <c r="F1116" t="str">
        <f t="shared" si="224"/>
        <v>COM</v>
      </c>
      <c r="G1116" t="str">
        <f>"ALEXSANDRO HENRIQUE FERREIRA (808)"</f>
        <v>ALEXSANDRO HENRIQUE FERREIRA (808)</v>
      </c>
      <c r="H1116" t="s">
        <v>97</v>
      </c>
      <c r="I1116" t="str">
        <f>("10/03/2026")</f>
        <v>10/03/2026</v>
      </c>
      <c r="J1116" t="str">
        <f>("19/05/2025")</f>
        <v>19/05/2025</v>
      </c>
      <c r="K1116">
        <v>46091</v>
      </c>
      <c r="N1116">
        <v>106</v>
      </c>
      <c r="O1116" t="s">
        <v>98</v>
      </c>
      <c r="Q1116">
        <v>20</v>
      </c>
      <c r="R1116" t="str">
        <f>"ALEXSANDRO HENRIQUE FERREIRA (808)"</f>
        <v>ALEXSANDRO HENRIQUE FERREIRA (808)</v>
      </c>
      <c r="S1116" t="s">
        <v>99</v>
      </c>
      <c r="T1116">
        <v>30345</v>
      </c>
      <c r="U1116">
        <v>18090</v>
      </c>
      <c r="V1116" t="s">
        <v>33</v>
      </c>
    </row>
    <row r="1117" spans="1:22">
      <c r="A1117" t="str">
        <f t="shared" si="231"/>
        <v>10/03/2026</v>
      </c>
      <c r="B1117" t="str">
        <f>"SAÍDA"</f>
        <v>SAÍDA</v>
      </c>
      <c r="C1117" t="str">
        <f>"PIX"</f>
        <v>PIX</v>
      </c>
      <c r="D1117" t="str">
        <f>"34101"</f>
        <v>34101</v>
      </c>
      <c r="E1117" t="str">
        <f>"1"</f>
        <v>1</v>
      </c>
      <c r="F1117" t="str">
        <f t="shared" si="224"/>
        <v>COM</v>
      </c>
      <c r="G1117" t="str">
        <f>"ARLINDO JOSE MARTINS (909)"</f>
        <v>ARLINDO JOSE MARTINS (909)</v>
      </c>
      <c r="H1117" t="str">
        <f>"Serv.Prest. 23/02/2026 a 01/03/2026 - PIX: CPF - CHAVE: 037.192.076-09"</f>
        <v>Serv.Prest. 23/02/2026 a 01/03/2026 - PIX: CPF - CHAVE: 037.192.076-09</v>
      </c>
      <c r="I1117" t="str">
        <f>("12/03/2026")</f>
        <v>12/03/2026</v>
      </c>
      <c r="J1117" t="str">
        <f>("03/03/2026")</f>
        <v>03/03/2026</v>
      </c>
      <c r="K1117" t="str">
        <f>("10/03/2026")</f>
        <v>10/03/2026</v>
      </c>
      <c r="L1117">
        <v>20</v>
      </c>
      <c r="M1117">
        <v>20</v>
      </c>
      <c r="N1117">
        <v>109</v>
      </c>
      <c r="O1117" t="str">
        <f>"PAGAMENTO DE ENTREGADORES"</f>
        <v>PAGAMENTO DE ENTREGADORES</v>
      </c>
      <c r="P1117">
        <v>20</v>
      </c>
      <c r="S1117" t="str">
        <f>"BANCO CORA (102)"</f>
        <v>BANCO CORA (102)</v>
      </c>
      <c r="T1117">
        <v>30346</v>
      </c>
      <c r="U1117">
        <v>34673</v>
      </c>
      <c r="V1117" t="s">
        <v>33</v>
      </c>
    </row>
    <row r="1118" spans="1:22">
      <c r="A1118" t="str">
        <f t="shared" si="231"/>
        <v>10/03/2026</v>
      </c>
      <c r="B1118" t="str">
        <f>"SAÍDA"</f>
        <v>SAÍDA</v>
      </c>
      <c r="C1118" t="str">
        <f>"PIX"</f>
        <v>PIX</v>
      </c>
      <c r="D1118" t="str">
        <f>"34101"</f>
        <v>34101</v>
      </c>
      <c r="E1118" t="str">
        <f>"1"</f>
        <v>1</v>
      </c>
      <c r="F1118" t="str">
        <f t="shared" si="224"/>
        <v>COM</v>
      </c>
      <c r="G1118" t="str">
        <f>"ARLINDO JOSE MARTINS (909)"</f>
        <v>ARLINDO JOSE MARTINS (909)</v>
      </c>
      <c r="H1118" t="s">
        <v>428</v>
      </c>
      <c r="I1118" t="str">
        <f>("12/03/2026")</f>
        <v>12/03/2026</v>
      </c>
      <c r="J1118" t="str">
        <f>("03/03/2026")</f>
        <v>03/03/2026</v>
      </c>
      <c r="K1118">
        <v>46091</v>
      </c>
      <c r="N1118">
        <v>109</v>
      </c>
      <c r="O1118" t="s">
        <v>27</v>
      </c>
      <c r="Q1118">
        <v>20</v>
      </c>
      <c r="R1118" t="str">
        <f>"FARMÁCIA INDIANA LJ 185 (10141)"</f>
        <v>FARMÁCIA INDIANA LJ 185 (10141)</v>
      </c>
      <c r="S1118" t="s">
        <v>33</v>
      </c>
      <c r="T1118">
        <v>30346</v>
      </c>
      <c r="U1118">
        <v>34673</v>
      </c>
      <c r="V1118" t="s">
        <v>33</v>
      </c>
    </row>
    <row r="1119" spans="1:22">
      <c r="A1119" t="str">
        <f t="shared" si="231"/>
        <v>10/03/2026</v>
      </c>
      <c r="B1119" t="str">
        <f>"ENTRADA"</f>
        <v>ENTRADA</v>
      </c>
      <c r="C1119" t="str">
        <f>"DINHEIRO"</f>
        <v>DINHEIRO</v>
      </c>
      <c r="D1119" t="str">
        <f>"909"</f>
        <v>909</v>
      </c>
      <c r="E1119" t="str">
        <f>"7"</f>
        <v>7</v>
      </c>
      <c r="F1119" t="str">
        <f t="shared" si="224"/>
        <v>COM</v>
      </c>
      <c r="G1119" t="str">
        <f>"ARLINDO JOSE MARTINS (909)"</f>
        <v>ARLINDO JOSE MARTINS (909)</v>
      </c>
      <c r="H1119" t="str">
        <f>"COTA COOPERATIVA"</f>
        <v>COTA COOPERATIVA</v>
      </c>
      <c r="I1119" t="str">
        <f>("10/03/2026")</f>
        <v>10/03/2026</v>
      </c>
      <c r="J1119" t="str">
        <f>("12/08/2025")</f>
        <v>12/08/2025</v>
      </c>
      <c r="K1119" t="str">
        <f>("10/03/2026")</f>
        <v>10/03/2026</v>
      </c>
      <c r="L1119">
        <v>20</v>
      </c>
      <c r="M1119">
        <v>20</v>
      </c>
      <c r="N1119">
        <v>106</v>
      </c>
      <c r="O1119" t="str">
        <f>"ENTRADA DE CAPITAL"</f>
        <v>ENTRADA DE CAPITAL</v>
      </c>
      <c r="P1119">
        <v>20</v>
      </c>
      <c r="S1119" t="str">
        <f>"ENTRADA DE CAPITAL (106)"</f>
        <v>ENTRADA DE CAPITAL (106)</v>
      </c>
      <c r="T1119">
        <v>30347</v>
      </c>
      <c r="U1119">
        <v>21729</v>
      </c>
      <c r="V1119" t="s">
        <v>33</v>
      </c>
    </row>
    <row r="1120" spans="1:22">
      <c r="A1120" t="str">
        <f t="shared" si="231"/>
        <v>10/03/2026</v>
      </c>
      <c r="B1120" t="str">
        <f>"ENTRADA"</f>
        <v>ENTRADA</v>
      </c>
      <c r="C1120" t="str">
        <f>"DINHEIRO"</f>
        <v>DINHEIRO</v>
      </c>
      <c r="D1120" t="str">
        <f>"909"</f>
        <v>909</v>
      </c>
      <c r="E1120" t="str">
        <f>"7"</f>
        <v>7</v>
      </c>
      <c r="F1120" t="str">
        <f t="shared" si="224"/>
        <v>COM</v>
      </c>
      <c r="G1120" t="str">
        <f>"ARLINDO JOSE MARTINS (909)"</f>
        <v>ARLINDO JOSE MARTINS (909)</v>
      </c>
      <c r="H1120" t="s">
        <v>97</v>
      </c>
      <c r="I1120" t="str">
        <f>("10/03/2026")</f>
        <v>10/03/2026</v>
      </c>
      <c r="J1120" t="str">
        <f>("12/08/2025")</f>
        <v>12/08/2025</v>
      </c>
      <c r="K1120">
        <v>46091</v>
      </c>
      <c r="N1120">
        <v>106</v>
      </c>
      <c r="O1120" t="s">
        <v>98</v>
      </c>
      <c r="Q1120">
        <v>20</v>
      </c>
      <c r="R1120" t="str">
        <f>"ARLINDO JOSE MARTINS (909)"</f>
        <v>ARLINDO JOSE MARTINS (909)</v>
      </c>
      <c r="S1120" t="s">
        <v>99</v>
      </c>
      <c r="T1120">
        <v>30347</v>
      </c>
      <c r="U1120">
        <v>21729</v>
      </c>
      <c r="V1120" t="s">
        <v>33</v>
      </c>
    </row>
    <row r="1121" spans="1:22">
      <c r="A1121" t="str">
        <f t="shared" si="231"/>
        <v>10/03/2026</v>
      </c>
      <c r="B1121" t="str">
        <f>"SAÍDA"</f>
        <v>SAÍDA</v>
      </c>
      <c r="C1121" t="str">
        <f>"PIX"</f>
        <v>PIX</v>
      </c>
      <c r="D1121" t="str">
        <f>"34542"</f>
        <v>34542</v>
      </c>
      <c r="E1121" t="str">
        <f>"1"</f>
        <v>1</v>
      </c>
      <c r="F1121" t="str">
        <f t="shared" si="224"/>
        <v>COM</v>
      </c>
      <c r="G1121" t="str">
        <f>"ARTHUR DANTAS PACHECO (928)"</f>
        <v>ARTHUR DANTAS PACHECO (928)</v>
      </c>
      <c r="H1121" t="str">
        <f>"Serv.Prest. 02/03/2026 a 08/03/2026 - PIX: CELULAR - CHAVE: (33) 99110-6940"</f>
        <v>Serv.Prest. 02/03/2026 a 08/03/2026 - PIX: CELULAR - CHAVE: (33) 99110-6940</v>
      </c>
      <c r="I1121" t="str">
        <f>("19/03/2026")</f>
        <v>19/03/2026</v>
      </c>
      <c r="J1121" t="str">
        <f>("10/03/2026")</f>
        <v>10/03/2026</v>
      </c>
      <c r="K1121" t="str">
        <f>("10/03/2026")</f>
        <v>10/03/2026</v>
      </c>
      <c r="L1121">
        <v>20</v>
      </c>
      <c r="M1121">
        <v>20</v>
      </c>
      <c r="N1121">
        <v>109</v>
      </c>
      <c r="O1121" t="str">
        <f>"PAGAMENTO DE ENTREGADORES"</f>
        <v>PAGAMENTO DE ENTREGADORES</v>
      </c>
      <c r="P1121">
        <v>20</v>
      </c>
      <c r="S1121" t="str">
        <f>"BANCO CORA (102)"</f>
        <v>BANCO CORA (102)</v>
      </c>
      <c r="T1121">
        <v>30348</v>
      </c>
      <c r="U1121">
        <v>34674</v>
      </c>
      <c r="V1121" t="s">
        <v>33</v>
      </c>
    </row>
    <row r="1122" spans="1:22">
      <c r="A1122" t="str">
        <f t="shared" si="231"/>
        <v>10/03/2026</v>
      </c>
      <c r="B1122" t="str">
        <f>"SAÍDA"</f>
        <v>SAÍDA</v>
      </c>
      <c r="C1122" t="str">
        <f>"PIX"</f>
        <v>PIX</v>
      </c>
      <c r="D1122" t="str">
        <f>"34542"</f>
        <v>34542</v>
      </c>
      <c r="E1122" t="str">
        <f>"1"</f>
        <v>1</v>
      </c>
      <c r="F1122" t="str">
        <f t="shared" si="224"/>
        <v>COM</v>
      </c>
      <c r="G1122" t="str">
        <f>"ARTHUR DANTAS PACHECO (928)"</f>
        <v>ARTHUR DANTAS PACHECO (928)</v>
      </c>
      <c r="H1122" t="s">
        <v>429</v>
      </c>
      <c r="I1122" t="str">
        <f>("19/03/2026")</f>
        <v>19/03/2026</v>
      </c>
      <c r="J1122" t="str">
        <f>("10/03/2026")</f>
        <v>10/03/2026</v>
      </c>
      <c r="K1122">
        <v>46091</v>
      </c>
      <c r="N1122">
        <v>109</v>
      </c>
      <c r="O1122" t="s">
        <v>27</v>
      </c>
      <c r="Q1122">
        <v>20</v>
      </c>
      <c r="R1122" t="str">
        <f>"FARMÁCIA INDIANA LJ 40 (10016)"</f>
        <v>FARMÁCIA INDIANA LJ 40 (10016)</v>
      </c>
      <c r="S1122" t="s">
        <v>33</v>
      </c>
      <c r="T1122">
        <v>30348</v>
      </c>
      <c r="U1122">
        <v>34674</v>
      </c>
      <c r="V1122" t="s">
        <v>33</v>
      </c>
    </row>
    <row r="1123" spans="1:22">
      <c r="A1123" t="str">
        <f t="shared" si="231"/>
        <v>10/03/2026</v>
      </c>
      <c r="B1123" t="str">
        <f>"ENTRADA"</f>
        <v>ENTRADA</v>
      </c>
      <c r="C1123" t="str">
        <f>"DINHEIRO"</f>
        <v>DINHEIRO</v>
      </c>
      <c r="D1123" t="str">
        <f>"928"</f>
        <v>928</v>
      </c>
      <c r="E1123" t="str">
        <f>"6"</f>
        <v>6</v>
      </c>
      <c r="F1123" t="str">
        <f t="shared" si="224"/>
        <v>COM</v>
      </c>
      <c r="G1123" t="str">
        <f>"ARTHUR DANTAS PACHECO (928)"</f>
        <v>ARTHUR DANTAS PACHECO (928)</v>
      </c>
      <c r="H1123" t="str">
        <f>"COTAS COOPERATIVA"</f>
        <v>COTAS COOPERATIVA</v>
      </c>
      <c r="I1123" t="str">
        <f>("10/03/2026")</f>
        <v>10/03/2026</v>
      </c>
      <c r="J1123" t="str">
        <f>("29/09/2025")</f>
        <v>29/09/2025</v>
      </c>
      <c r="K1123" t="str">
        <f>("10/03/2026")</f>
        <v>10/03/2026</v>
      </c>
      <c r="L1123">
        <v>20</v>
      </c>
      <c r="M1123">
        <v>20</v>
      </c>
      <c r="N1123">
        <v>106</v>
      </c>
      <c r="O1123" t="str">
        <f>"ENTRADA DE CAPITAL"</f>
        <v>ENTRADA DE CAPITAL</v>
      </c>
      <c r="P1123">
        <v>20</v>
      </c>
      <c r="S1123" t="str">
        <f>"ENTRADA DE CAPITAL (106)"</f>
        <v>ENTRADA DE CAPITAL (106)</v>
      </c>
      <c r="T1123">
        <v>30349</v>
      </c>
      <c r="U1123">
        <v>23148</v>
      </c>
      <c r="V1123" t="s">
        <v>33</v>
      </c>
    </row>
    <row r="1124" spans="1:22">
      <c r="A1124" t="str">
        <f t="shared" si="231"/>
        <v>10/03/2026</v>
      </c>
      <c r="B1124" t="str">
        <f>"ENTRADA"</f>
        <v>ENTRADA</v>
      </c>
      <c r="C1124" t="str">
        <f>"DINHEIRO"</f>
        <v>DINHEIRO</v>
      </c>
      <c r="D1124" t="str">
        <f>"928"</f>
        <v>928</v>
      </c>
      <c r="E1124" t="str">
        <f>"6"</f>
        <v>6</v>
      </c>
      <c r="F1124" t="str">
        <f t="shared" si="224"/>
        <v>COM</v>
      </c>
      <c r="G1124" t="str">
        <f>"ARTHUR DANTAS PACHECO (928)"</f>
        <v>ARTHUR DANTAS PACHECO (928)</v>
      </c>
      <c r="H1124" t="s">
        <v>430</v>
      </c>
      <c r="I1124" t="str">
        <f>("10/03/2026")</f>
        <v>10/03/2026</v>
      </c>
      <c r="J1124" t="str">
        <f>("29/09/2025")</f>
        <v>29/09/2025</v>
      </c>
      <c r="K1124">
        <v>46091</v>
      </c>
      <c r="N1124">
        <v>106</v>
      </c>
      <c r="O1124" t="s">
        <v>98</v>
      </c>
      <c r="Q1124">
        <v>20</v>
      </c>
      <c r="R1124" t="str">
        <f>"ARTHUR DANTAS PACHECO (928)"</f>
        <v>ARTHUR DANTAS PACHECO (928)</v>
      </c>
      <c r="S1124" t="s">
        <v>99</v>
      </c>
      <c r="T1124">
        <v>30349</v>
      </c>
      <c r="U1124">
        <v>23148</v>
      </c>
      <c r="V1124" t="s">
        <v>33</v>
      </c>
    </row>
    <row r="1125" spans="1:22">
      <c r="A1125" t="str">
        <f t="shared" si="231"/>
        <v>10/03/2026</v>
      </c>
      <c r="B1125" t="str">
        <f>"SAÍDA"</f>
        <v>SAÍDA</v>
      </c>
      <c r="C1125" t="str">
        <f>"PIX"</f>
        <v>PIX</v>
      </c>
      <c r="D1125" t="str">
        <f>"34104"</f>
        <v>34104</v>
      </c>
      <c r="E1125" t="str">
        <f>"1"</f>
        <v>1</v>
      </c>
      <c r="F1125" t="str">
        <f t="shared" si="224"/>
        <v>COM</v>
      </c>
      <c r="G1125" t="str">
        <f>"BRUNO DOS SANTOS MACHADO (702)"</f>
        <v>BRUNO DOS SANTOS MACHADO (702)</v>
      </c>
      <c r="H1125" t="str">
        <f>"Serv.Prest. 23/02/2026 a 01/03/2026 - PIX: CPF - CHAVE: 155.328.666-94"</f>
        <v>Serv.Prest. 23/02/2026 a 01/03/2026 - PIX: CPF - CHAVE: 155.328.666-94</v>
      </c>
      <c r="I1125" t="str">
        <f>("12/03/2026")</f>
        <v>12/03/2026</v>
      </c>
      <c r="J1125" t="str">
        <f>("03/03/2026")</f>
        <v>03/03/2026</v>
      </c>
      <c r="K1125" t="str">
        <f>("10/03/2026")</f>
        <v>10/03/2026</v>
      </c>
      <c r="L1125">
        <v>20</v>
      </c>
      <c r="M1125">
        <v>20</v>
      </c>
      <c r="N1125">
        <v>109</v>
      </c>
      <c r="O1125" t="str">
        <f>"PAGAMENTO DE ENTREGADORES"</f>
        <v>PAGAMENTO DE ENTREGADORES</v>
      </c>
      <c r="P1125">
        <v>20</v>
      </c>
      <c r="S1125" t="str">
        <f>"BANCO CORA (102)"</f>
        <v>BANCO CORA (102)</v>
      </c>
      <c r="T1125">
        <v>30350</v>
      </c>
      <c r="U1125">
        <v>34675</v>
      </c>
      <c r="V1125" t="s">
        <v>33</v>
      </c>
    </row>
    <row r="1126" spans="1:22">
      <c r="A1126" t="str">
        <f t="shared" si="231"/>
        <v>10/03/2026</v>
      </c>
      <c r="B1126" t="str">
        <f>"SAÍDA"</f>
        <v>SAÍDA</v>
      </c>
      <c r="C1126" t="str">
        <f>"PIX"</f>
        <v>PIX</v>
      </c>
      <c r="D1126" t="str">
        <f>"34104"</f>
        <v>34104</v>
      </c>
      <c r="E1126" t="str">
        <f>"1"</f>
        <v>1</v>
      </c>
      <c r="F1126" t="str">
        <f t="shared" si="224"/>
        <v>COM</v>
      </c>
      <c r="G1126" t="str">
        <f>"BRUNO DOS SANTOS MACHADO (702)"</f>
        <v>BRUNO DOS SANTOS MACHADO (702)</v>
      </c>
      <c r="H1126" t="s">
        <v>431</v>
      </c>
      <c r="I1126" t="str">
        <f>("12/03/2026")</f>
        <v>12/03/2026</v>
      </c>
      <c r="J1126" t="str">
        <f>("03/03/2026")</f>
        <v>03/03/2026</v>
      </c>
      <c r="K1126">
        <v>46091</v>
      </c>
      <c r="N1126">
        <v>109</v>
      </c>
      <c r="O1126" t="s">
        <v>27</v>
      </c>
      <c r="Q1126">
        <v>10</v>
      </c>
      <c r="R1126" t="str">
        <f>"FARMÁCIA INDIANA LJ 204 (10087)"</f>
        <v>FARMÁCIA INDIANA LJ 204 (10087)</v>
      </c>
      <c r="S1126" t="s">
        <v>33</v>
      </c>
      <c r="T1126">
        <v>30350</v>
      </c>
      <c r="U1126">
        <v>34675</v>
      </c>
      <c r="V1126" t="s">
        <v>33</v>
      </c>
    </row>
    <row r="1127" spans="1:22">
      <c r="A1127" t="str">
        <f t="shared" si="231"/>
        <v>10/03/2026</v>
      </c>
      <c r="B1127" t="str">
        <f>"SAÍDA"</f>
        <v>SAÍDA</v>
      </c>
      <c r="C1127" t="str">
        <f>"PIX"</f>
        <v>PIX</v>
      </c>
      <c r="D1127" t="str">
        <f>"34104"</f>
        <v>34104</v>
      </c>
      <c r="E1127" t="str">
        <f>"1"</f>
        <v>1</v>
      </c>
      <c r="F1127" t="str">
        <f t="shared" si="224"/>
        <v>COM</v>
      </c>
      <c r="G1127" t="str">
        <f>"BRUNO DOS SANTOS MACHADO (702)"</f>
        <v>BRUNO DOS SANTOS MACHADO (702)</v>
      </c>
      <c r="H1127" t="s">
        <v>431</v>
      </c>
      <c r="I1127" t="str">
        <f>("12/03/2026")</f>
        <v>12/03/2026</v>
      </c>
      <c r="J1127" t="str">
        <f>("03/03/2026")</f>
        <v>03/03/2026</v>
      </c>
      <c r="K1127">
        <v>46091</v>
      </c>
      <c r="N1127">
        <v>109</v>
      </c>
      <c r="O1127" t="s">
        <v>27</v>
      </c>
      <c r="Q1127">
        <v>10</v>
      </c>
      <c r="R1127" t="str">
        <f>"FARMÁCIA INDIANA LJ 266 (10186)"</f>
        <v>FARMÁCIA INDIANA LJ 266 (10186)</v>
      </c>
      <c r="S1127" t="s">
        <v>33</v>
      </c>
      <c r="T1127">
        <v>30350</v>
      </c>
      <c r="U1127">
        <v>34675</v>
      </c>
      <c r="V1127" t="s">
        <v>33</v>
      </c>
    </row>
    <row r="1128" spans="1:22">
      <c r="A1128" t="str">
        <f t="shared" si="231"/>
        <v>10/03/2026</v>
      </c>
      <c r="B1128" t="str">
        <f>"ENTRADA"</f>
        <v>ENTRADA</v>
      </c>
      <c r="C1128" t="str">
        <f>"DINHEIRO"</f>
        <v>DINHEIRO</v>
      </c>
      <c r="D1128" t="str">
        <f>"702"</f>
        <v>702</v>
      </c>
      <c r="E1128" t="str">
        <f>"12"</f>
        <v>12</v>
      </c>
      <c r="F1128" t="str">
        <f t="shared" si="224"/>
        <v>COM</v>
      </c>
      <c r="G1128" t="str">
        <f>"BRUNO DOS SANTOS MACHADO (702)"</f>
        <v>BRUNO DOS SANTOS MACHADO (702)</v>
      </c>
      <c r="H1128" t="str">
        <f>"COTA COOPERATIVA"</f>
        <v>COTA COOPERATIVA</v>
      </c>
      <c r="I1128" t="str">
        <f>("10/03/2026")</f>
        <v>10/03/2026</v>
      </c>
      <c r="J1128" t="str">
        <f>("17/03/2025")</f>
        <v>17/03/2025</v>
      </c>
      <c r="K1128" t="str">
        <f>("10/03/2026")</f>
        <v>10/03/2026</v>
      </c>
      <c r="L1128">
        <v>20</v>
      </c>
      <c r="M1128">
        <v>20</v>
      </c>
      <c r="N1128">
        <v>106</v>
      </c>
      <c r="O1128" t="str">
        <f>"ENTRADA DE CAPITAL"</f>
        <v>ENTRADA DE CAPITAL</v>
      </c>
      <c r="P1128">
        <v>20</v>
      </c>
      <c r="S1128" t="str">
        <f>"ENTRADA DE CAPITAL (106)"</f>
        <v>ENTRADA DE CAPITAL (106)</v>
      </c>
      <c r="T1128">
        <v>30351</v>
      </c>
      <c r="U1128">
        <v>11792</v>
      </c>
      <c r="V1128" t="s">
        <v>33</v>
      </c>
    </row>
    <row r="1129" spans="1:22">
      <c r="A1129" t="str">
        <f t="shared" si="231"/>
        <v>10/03/2026</v>
      </c>
      <c r="B1129" t="str">
        <f>"ENTRADA"</f>
        <v>ENTRADA</v>
      </c>
      <c r="C1129" t="str">
        <f>"DINHEIRO"</f>
        <v>DINHEIRO</v>
      </c>
      <c r="D1129" t="str">
        <f>"702"</f>
        <v>702</v>
      </c>
      <c r="E1129" t="str">
        <f>"12"</f>
        <v>12</v>
      </c>
      <c r="F1129" t="str">
        <f t="shared" si="224"/>
        <v>COM</v>
      </c>
      <c r="G1129" t="str">
        <f>"BRUNO DOS SANTOS MACHADO (702)"</f>
        <v>BRUNO DOS SANTOS MACHADO (702)</v>
      </c>
      <c r="H1129" t="s">
        <v>97</v>
      </c>
      <c r="I1129" t="str">
        <f>("10/03/2026")</f>
        <v>10/03/2026</v>
      </c>
      <c r="J1129" t="str">
        <f>("17/03/2025")</f>
        <v>17/03/2025</v>
      </c>
      <c r="K1129">
        <v>46091</v>
      </c>
      <c r="N1129">
        <v>106</v>
      </c>
      <c r="O1129" t="s">
        <v>98</v>
      </c>
      <c r="Q1129">
        <v>20</v>
      </c>
      <c r="R1129" t="str">
        <f>"BRUNO DOS SANTOS MACHADO (702)"</f>
        <v>BRUNO DOS SANTOS MACHADO (702)</v>
      </c>
      <c r="S1129" t="s">
        <v>99</v>
      </c>
      <c r="T1129">
        <v>30351</v>
      </c>
      <c r="U1129">
        <v>11792</v>
      </c>
      <c r="V1129" t="s">
        <v>33</v>
      </c>
    </row>
    <row r="1130" spans="1:22">
      <c r="A1130" t="str">
        <f t="shared" si="231"/>
        <v>10/03/2026</v>
      </c>
      <c r="B1130" t="str">
        <f>"SAÍDA"</f>
        <v>SAÍDA</v>
      </c>
      <c r="C1130" t="str">
        <f>"PIX"</f>
        <v>PIX</v>
      </c>
      <c r="D1130" t="str">
        <f>"34117"</f>
        <v>34117</v>
      </c>
      <c r="E1130" t="str">
        <f>"1"</f>
        <v>1</v>
      </c>
      <c r="F1130" t="str">
        <f t="shared" si="224"/>
        <v>COM</v>
      </c>
      <c r="G1130" t="str">
        <f>"DIEGO DAYSON FERNANDES VIEIRA (893)"</f>
        <v>DIEGO DAYSON FERNANDES VIEIRA (893)</v>
      </c>
      <c r="H1130" t="str">
        <f>"Serv.Prest. 23/02/2026 a 01/03/2026 - PIX: E-MAIL - CHAVE: turano296801@gmail.com"</f>
        <v>Serv.Prest. 23/02/2026 a 01/03/2026 - PIX: E-MAIL - CHAVE: turano296801@gmail.com</v>
      </c>
      <c r="I1130" t="str">
        <f>("12/03/2026")</f>
        <v>12/03/2026</v>
      </c>
      <c r="J1130" t="str">
        <f>("03/03/2026")</f>
        <v>03/03/2026</v>
      </c>
      <c r="K1130" t="str">
        <f>("10/03/2026")</f>
        <v>10/03/2026</v>
      </c>
      <c r="L1130">
        <v>20</v>
      </c>
      <c r="M1130">
        <v>20</v>
      </c>
      <c r="N1130">
        <v>109</v>
      </c>
      <c r="O1130" t="str">
        <f>"PAGAMENTO DE ENTREGADORES"</f>
        <v>PAGAMENTO DE ENTREGADORES</v>
      </c>
      <c r="P1130">
        <v>20</v>
      </c>
      <c r="S1130" t="str">
        <f>"BANCO CORA (102)"</f>
        <v>BANCO CORA (102)</v>
      </c>
      <c r="T1130">
        <v>30352</v>
      </c>
      <c r="U1130">
        <v>34676</v>
      </c>
      <c r="V1130" t="s">
        <v>33</v>
      </c>
    </row>
    <row r="1131" spans="1:22">
      <c r="A1131" t="str">
        <f t="shared" si="231"/>
        <v>10/03/2026</v>
      </c>
      <c r="B1131" t="str">
        <f>"SAÍDA"</f>
        <v>SAÍDA</v>
      </c>
      <c r="C1131" t="str">
        <f>"PIX"</f>
        <v>PIX</v>
      </c>
      <c r="D1131" t="str">
        <f>"34117"</f>
        <v>34117</v>
      </c>
      <c r="E1131" t="str">
        <f>"1"</f>
        <v>1</v>
      </c>
      <c r="F1131" t="str">
        <f t="shared" si="224"/>
        <v>COM</v>
      </c>
      <c r="G1131" t="str">
        <f>"DIEGO DAYSON FERNANDES VIEIRA (893)"</f>
        <v>DIEGO DAYSON FERNANDES VIEIRA (893)</v>
      </c>
      <c r="H1131" t="s">
        <v>432</v>
      </c>
      <c r="I1131" t="str">
        <f>("12/03/2026")</f>
        <v>12/03/2026</v>
      </c>
      <c r="J1131" t="str">
        <f>("03/03/2026")</f>
        <v>03/03/2026</v>
      </c>
      <c r="K1131">
        <v>46091</v>
      </c>
      <c r="N1131">
        <v>109</v>
      </c>
      <c r="O1131" t="s">
        <v>27</v>
      </c>
      <c r="Q1131">
        <v>20</v>
      </c>
      <c r="R1131" t="str">
        <f>"FARMÁCIA INDIANA LJ 205 (10150)"</f>
        <v>FARMÁCIA INDIANA LJ 205 (10150)</v>
      </c>
      <c r="S1131" t="s">
        <v>33</v>
      </c>
      <c r="T1131">
        <v>30352</v>
      </c>
      <c r="U1131">
        <v>34676</v>
      </c>
      <c r="V1131" t="s">
        <v>33</v>
      </c>
    </row>
    <row r="1132" spans="1:22">
      <c r="A1132" t="str">
        <f t="shared" si="231"/>
        <v>10/03/2026</v>
      </c>
      <c r="B1132" t="str">
        <f>"ENTRADA"</f>
        <v>ENTRADA</v>
      </c>
      <c r="C1132" t="str">
        <f>"DINHEIRO"</f>
        <v>DINHEIRO</v>
      </c>
      <c r="D1132" t="str">
        <f>"893"</f>
        <v>893</v>
      </c>
      <c r="E1132" t="str">
        <f>"6"</f>
        <v>6</v>
      </c>
      <c r="F1132" t="str">
        <f t="shared" si="224"/>
        <v>COM</v>
      </c>
      <c r="G1132" t="str">
        <f>"DIEGO DAYSON FERNANDES VIEIRA (893)"</f>
        <v>DIEGO DAYSON FERNANDES VIEIRA (893)</v>
      </c>
      <c r="H1132" t="str">
        <f>"COTA COOPERATIVA"</f>
        <v>COTA COOPERATIVA</v>
      </c>
      <c r="I1132" t="str">
        <f>("10/03/2026")</f>
        <v>10/03/2026</v>
      </c>
      <c r="J1132" t="str">
        <f>("11/09/2025")</f>
        <v>11/09/2025</v>
      </c>
      <c r="K1132" t="str">
        <f>("10/03/2026")</f>
        <v>10/03/2026</v>
      </c>
      <c r="L1132">
        <v>20</v>
      </c>
      <c r="M1132">
        <v>20</v>
      </c>
      <c r="N1132">
        <v>106</v>
      </c>
      <c r="O1132" t="str">
        <f>"ENTRADA DE CAPITAL"</f>
        <v>ENTRADA DE CAPITAL</v>
      </c>
      <c r="P1132">
        <v>20</v>
      </c>
      <c r="S1132" t="str">
        <f>"ENTRADA DE CAPITAL (106)"</f>
        <v>ENTRADA DE CAPITAL (106)</v>
      </c>
      <c r="T1132">
        <v>30353</v>
      </c>
      <c r="U1132">
        <v>23217</v>
      </c>
      <c r="V1132" t="s">
        <v>33</v>
      </c>
    </row>
    <row r="1133" spans="1:22">
      <c r="A1133" t="str">
        <f t="shared" si="231"/>
        <v>10/03/2026</v>
      </c>
      <c r="B1133" t="str">
        <f>"ENTRADA"</f>
        <v>ENTRADA</v>
      </c>
      <c r="C1133" t="str">
        <f>"DINHEIRO"</f>
        <v>DINHEIRO</v>
      </c>
      <c r="D1133" t="str">
        <f>"893"</f>
        <v>893</v>
      </c>
      <c r="E1133" t="str">
        <f>"6"</f>
        <v>6</v>
      </c>
      <c r="F1133" t="str">
        <f t="shared" si="224"/>
        <v>COM</v>
      </c>
      <c r="G1133" t="str">
        <f>"DIEGO DAYSON FERNANDES VIEIRA (893)"</f>
        <v>DIEGO DAYSON FERNANDES VIEIRA (893)</v>
      </c>
      <c r="H1133" t="s">
        <v>97</v>
      </c>
      <c r="I1133" t="str">
        <f>("10/03/2026")</f>
        <v>10/03/2026</v>
      </c>
      <c r="J1133" t="str">
        <f>("11/09/2025")</f>
        <v>11/09/2025</v>
      </c>
      <c r="K1133">
        <v>46091</v>
      </c>
      <c r="N1133">
        <v>106</v>
      </c>
      <c r="O1133" t="s">
        <v>98</v>
      </c>
      <c r="Q1133">
        <v>20</v>
      </c>
      <c r="R1133" t="str">
        <f>"DIEGO DAYSON FERNANDES VIEIRA (893)"</f>
        <v>DIEGO DAYSON FERNANDES VIEIRA (893)</v>
      </c>
      <c r="S1133" t="s">
        <v>99</v>
      </c>
      <c r="T1133">
        <v>30353</v>
      </c>
      <c r="U1133">
        <v>23217</v>
      </c>
      <c r="V1133" t="s">
        <v>33</v>
      </c>
    </row>
    <row r="1134" spans="1:22">
      <c r="A1134" t="str">
        <f t="shared" si="231"/>
        <v>10/03/2026</v>
      </c>
      <c r="B1134" t="str">
        <f>"SAÍDA"</f>
        <v>SAÍDA</v>
      </c>
      <c r="C1134" t="str">
        <f>"PIX"</f>
        <v>PIX</v>
      </c>
      <c r="D1134" t="str">
        <f>"34246"</f>
        <v>34246</v>
      </c>
      <c r="E1134" t="str">
        <f>"1"</f>
        <v>1</v>
      </c>
      <c r="F1134" t="str">
        <f t="shared" si="224"/>
        <v>COM</v>
      </c>
      <c r="G1134" t="str">
        <f>"EDNUBIA RAMOS ALVES OLIVEIRA (899)"</f>
        <v>EDNUBIA RAMOS ALVES OLIVEIRA (899)</v>
      </c>
      <c r="H1134" t="str">
        <f>"Serv.Prest. 02/03/2026 a 08/03/2026 - PIX: CELULAR - CHAVE: (71) 99214-9256"</f>
        <v>Serv.Prest. 02/03/2026 a 08/03/2026 - PIX: CELULAR - CHAVE: (71) 99214-9256</v>
      </c>
      <c r="I1134" t="str">
        <f>("12/03/2026")</f>
        <v>12/03/2026</v>
      </c>
      <c r="J1134" t="str">
        <f>("09/03/2026")</f>
        <v>09/03/2026</v>
      </c>
      <c r="K1134" t="str">
        <f>("10/03/2026")</f>
        <v>10/03/2026</v>
      </c>
      <c r="L1134">
        <v>20</v>
      </c>
      <c r="M1134">
        <v>20</v>
      </c>
      <c r="N1134">
        <v>109</v>
      </c>
      <c r="O1134" t="str">
        <f>"PAGAMENTO DE ENTREGADORES"</f>
        <v>PAGAMENTO DE ENTREGADORES</v>
      </c>
      <c r="P1134">
        <v>20</v>
      </c>
      <c r="S1134" t="str">
        <f>"BANCO CORA (102)"</f>
        <v>BANCO CORA (102)</v>
      </c>
      <c r="T1134">
        <v>30354</v>
      </c>
      <c r="U1134">
        <v>34677</v>
      </c>
      <c r="V1134" t="s">
        <v>33</v>
      </c>
    </row>
    <row r="1135" spans="1:22">
      <c r="A1135" t="str">
        <f t="shared" si="231"/>
        <v>10/03/2026</v>
      </c>
      <c r="B1135" t="str">
        <f>"SAÍDA"</f>
        <v>SAÍDA</v>
      </c>
      <c r="C1135" t="str">
        <f>"PIX"</f>
        <v>PIX</v>
      </c>
      <c r="D1135" t="str">
        <f>"34246"</f>
        <v>34246</v>
      </c>
      <c r="E1135" t="str">
        <f>"1"</f>
        <v>1</v>
      </c>
      <c r="F1135" t="str">
        <f t="shared" si="224"/>
        <v>COM</v>
      </c>
      <c r="G1135" t="str">
        <f>"EDNUBIA RAMOS ALVES OLIVEIRA (899)"</f>
        <v>EDNUBIA RAMOS ALVES OLIVEIRA (899)</v>
      </c>
      <c r="H1135" t="s">
        <v>433</v>
      </c>
      <c r="I1135" t="str">
        <f>("12/03/2026")</f>
        <v>12/03/2026</v>
      </c>
      <c r="J1135" t="str">
        <f>("09/03/2026")</f>
        <v>09/03/2026</v>
      </c>
      <c r="K1135">
        <v>46091</v>
      </c>
      <c r="N1135">
        <v>109</v>
      </c>
      <c r="O1135" t="s">
        <v>27</v>
      </c>
      <c r="Q1135">
        <v>20</v>
      </c>
      <c r="R1135" t="str">
        <f>"DELTA LOJA 2 (10123)"</f>
        <v>DELTA LOJA 2 (10123)</v>
      </c>
      <c r="S1135" t="s">
        <v>33</v>
      </c>
      <c r="T1135">
        <v>30354</v>
      </c>
      <c r="U1135">
        <v>34677</v>
      </c>
      <c r="V1135" t="s">
        <v>33</v>
      </c>
    </row>
    <row r="1136" spans="1:22">
      <c r="A1136" t="str">
        <f t="shared" si="231"/>
        <v>10/03/2026</v>
      </c>
      <c r="B1136" t="str">
        <f>"ENTRADA"</f>
        <v>ENTRADA</v>
      </c>
      <c r="C1136" t="str">
        <f>"DINHEIRO"</f>
        <v>DINHEIRO</v>
      </c>
      <c r="D1136" t="str">
        <f>"899"</f>
        <v>899</v>
      </c>
      <c r="E1136" t="str">
        <f>"7"</f>
        <v>7</v>
      </c>
      <c r="F1136" t="str">
        <f t="shared" si="224"/>
        <v>COM</v>
      </c>
      <c r="G1136" t="str">
        <f>"EDNUBIA RAMOS ALVES OLIVEIRA (899)"</f>
        <v>EDNUBIA RAMOS ALVES OLIVEIRA (899)</v>
      </c>
      <c r="H1136" t="str">
        <f>"COTA COOPERATIVA"</f>
        <v>COTA COOPERATIVA</v>
      </c>
      <c r="I1136" t="str">
        <f>("10/03/2026")</f>
        <v>10/03/2026</v>
      </c>
      <c r="J1136" t="str">
        <f>("04/08/2025")</f>
        <v>04/08/2025</v>
      </c>
      <c r="K1136" t="str">
        <f>("10/03/2026")</f>
        <v>10/03/2026</v>
      </c>
      <c r="L1136">
        <v>20</v>
      </c>
      <c r="M1136">
        <v>20</v>
      </c>
      <c r="N1136">
        <v>106</v>
      </c>
      <c r="O1136" t="str">
        <f>"ENTRADA DE CAPITAL"</f>
        <v>ENTRADA DE CAPITAL</v>
      </c>
      <c r="P1136">
        <v>20</v>
      </c>
      <c r="S1136" t="str">
        <f>"ENTRADA DE CAPITAL (106)"</f>
        <v>ENTRADA DE CAPITAL (106)</v>
      </c>
      <c r="T1136">
        <v>30355</v>
      </c>
      <c r="U1136">
        <v>21770</v>
      </c>
      <c r="V1136" t="s">
        <v>33</v>
      </c>
    </row>
    <row r="1137" spans="1:22">
      <c r="A1137" t="str">
        <f t="shared" si="231"/>
        <v>10/03/2026</v>
      </c>
      <c r="B1137" t="str">
        <f>"ENTRADA"</f>
        <v>ENTRADA</v>
      </c>
      <c r="C1137" t="str">
        <f>"DINHEIRO"</f>
        <v>DINHEIRO</v>
      </c>
      <c r="D1137" t="str">
        <f>"899"</f>
        <v>899</v>
      </c>
      <c r="E1137" t="str">
        <f>"7"</f>
        <v>7</v>
      </c>
      <c r="F1137" t="str">
        <f t="shared" si="224"/>
        <v>COM</v>
      </c>
      <c r="G1137" t="str">
        <f>"EDNUBIA RAMOS ALVES OLIVEIRA (899)"</f>
        <v>EDNUBIA RAMOS ALVES OLIVEIRA (899)</v>
      </c>
      <c r="H1137" t="s">
        <v>97</v>
      </c>
      <c r="I1137" t="str">
        <f>("10/03/2026")</f>
        <v>10/03/2026</v>
      </c>
      <c r="J1137" t="str">
        <f>("04/08/2025")</f>
        <v>04/08/2025</v>
      </c>
      <c r="K1137">
        <v>46091</v>
      </c>
      <c r="N1137">
        <v>106</v>
      </c>
      <c r="O1137" t="s">
        <v>98</v>
      </c>
      <c r="Q1137">
        <v>20</v>
      </c>
      <c r="R1137" t="str">
        <f>"EDNUBIA RAMOS ALVES OLIVEIRA (899)"</f>
        <v>EDNUBIA RAMOS ALVES OLIVEIRA (899)</v>
      </c>
      <c r="S1137" t="s">
        <v>99</v>
      </c>
      <c r="T1137">
        <v>30355</v>
      </c>
      <c r="U1137">
        <v>21770</v>
      </c>
      <c r="V1137" t="s">
        <v>33</v>
      </c>
    </row>
    <row r="1138" spans="1:22">
      <c r="A1138" t="str">
        <f t="shared" si="231"/>
        <v>10/03/2026</v>
      </c>
      <c r="B1138" t="str">
        <f>"SAÍDA"</f>
        <v>SAÍDA</v>
      </c>
      <c r="C1138" t="str">
        <f>"PIX"</f>
        <v>PIX</v>
      </c>
      <c r="D1138" t="str">
        <f>"34251"</f>
        <v>34251</v>
      </c>
      <c r="E1138" t="str">
        <f>"1"</f>
        <v>1</v>
      </c>
      <c r="F1138" t="str">
        <f t="shared" si="224"/>
        <v>COM</v>
      </c>
      <c r="G1138" t="str">
        <f>"EDUARDO COSTA DA SILVA (721)"</f>
        <v>EDUARDO COSTA DA SILVA (721)</v>
      </c>
      <c r="H1138" t="str">
        <f>"Serv.Prest. 02/03/2026 a 08/03/2026 - PIX: CELULAR - CHAVE: (11) 95552-9905"</f>
        <v>Serv.Prest. 02/03/2026 a 08/03/2026 - PIX: CELULAR - CHAVE: (11) 95552-9905</v>
      </c>
      <c r="I1138" t="str">
        <f>("12/03/2026")</f>
        <v>12/03/2026</v>
      </c>
      <c r="J1138" t="str">
        <f>("09/03/2026")</f>
        <v>09/03/2026</v>
      </c>
      <c r="K1138" t="str">
        <f>("10/03/2026")</f>
        <v>10/03/2026</v>
      </c>
      <c r="L1138">
        <v>20</v>
      </c>
      <c r="M1138">
        <v>20</v>
      </c>
      <c r="N1138">
        <v>109</v>
      </c>
      <c r="O1138" t="str">
        <f>"PAGAMENTO DE ENTREGADORES"</f>
        <v>PAGAMENTO DE ENTREGADORES</v>
      </c>
      <c r="P1138">
        <v>20</v>
      </c>
      <c r="S1138" t="str">
        <f>"BANCO CORA (102)"</f>
        <v>BANCO CORA (102)</v>
      </c>
      <c r="T1138">
        <v>30356</v>
      </c>
      <c r="U1138">
        <v>34678</v>
      </c>
      <c r="V1138" t="s">
        <v>33</v>
      </c>
    </row>
    <row r="1139" spans="1:22">
      <c r="A1139" t="str">
        <f t="shared" si="231"/>
        <v>10/03/2026</v>
      </c>
      <c r="B1139" t="str">
        <f>"SAÍDA"</f>
        <v>SAÍDA</v>
      </c>
      <c r="C1139" t="str">
        <f>"PIX"</f>
        <v>PIX</v>
      </c>
      <c r="D1139" t="str">
        <f>"34251"</f>
        <v>34251</v>
      </c>
      <c r="E1139" t="str">
        <f>"1"</f>
        <v>1</v>
      </c>
      <c r="F1139" t="str">
        <f t="shared" si="224"/>
        <v>COM</v>
      </c>
      <c r="G1139" t="str">
        <f>"EDUARDO COSTA DA SILVA (721)"</f>
        <v>EDUARDO COSTA DA SILVA (721)</v>
      </c>
      <c r="H1139" t="s">
        <v>434</v>
      </c>
      <c r="I1139" t="str">
        <f>("12/03/2026")</f>
        <v>12/03/2026</v>
      </c>
      <c r="J1139" t="str">
        <f>("09/03/2026")</f>
        <v>09/03/2026</v>
      </c>
      <c r="K1139">
        <v>46091</v>
      </c>
      <c r="N1139">
        <v>109</v>
      </c>
      <c r="O1139" t="s">
        <v>27</v>
      </c>
      <c r="Q1139">
        <v>20</v>
      </c>
      <c r="R1139" t="str">
        <f>"DROGARIA AGAPEAMA (10167)"</f>
        <v>DROGARIA AGAPEAMA (10167)</v>
      </c>
      <c r="S1139" t="s">
        <v>33</v>
      </c>
      <c r="T1139">
        <v>30356</v>
      </c>
      <c r="U1139">
        <v>34678</v>
      </c>
      <c r="V1139" t="s">
        <v>33</v>
      </c>
    </row>
    <row r="1140" spans="1:22">
      <c r="A1140" t="str">
        <f t="shared" si="231"/>
        <v>10/03/2026</v>
      </c>
      <c r="B1140" t="str">
        <f>"ENTRADA"</f>
        <v>ENTRADA</v>
      </c>
      <c r="C1140" t="str">
        <f>"DINHEIRO"</f>
        <v>DINHEIRO</v>
      </c>
      <c r="D1140" t="str">
        <f>"721"</f>
        <v>721</v>
      </c>
      <c r="E1140" t="str">
        <f>"9"</f>
        <v>9</v>
      </c>
      <c r="F1140" t="str">
        <f t="shared" si="224"/>
        <v>COM</v>
      </c>
      <c r="G1140" t="str">
        <f>"EDUARDO COSTA DA SILVA (721)"</f>
        <v>EDUARDO COSTA DA SILVA (721)</v>
      </c>
      <c r="H1140" t="str">
        <f>"COTA COOPERATIVA"</f>
        <v>COTA COOPERATIVA</v>
      </c>
      <c r="I1140" t="str">
        <f>("10/03/2026")</f>
        <v>10/03/2026</v>
      </c>
      <c r="J1140" t="str">
        <f>("01/04/2025")</f>
        <v>01/04/2025</v>
      </c>
      <c r="K1140" t="str">
        <f>("10/03/2026")</f>
        <v>10/03/2026</v>
      </c>
      <c r="L1140">
        <v>20</v>
      </c>
      <c r="M1140">
        <v>20</v>
      </c>
      <c r="N1140">
        <v>106</v>
      </c>
      <c r="O1140" t="str">
        <f>"ENTRADA DE CAPITAL"</f>
        <v>ENTRADA DE CAPITAL</v>
      </c>
      <c r="P1140">
        <v>20</v>
      </c>
      <c r="S1140" t="str">
        <f>"ENTRADA DE CAPITAL (106)"</f>
        <v>ENTRADA DE CAPITAL (106)</v>
      </c>
      <c r="T1140">
        <v>30357</v>
      </c>
      <c r="U1140">
        <v>18142</v>
      </c>
      <c r="V1140" t="s">
        <v>33</v>
      </c>
    </row>
    <row r="1141" spans="1:22">
      <c r="A1141" t="str">
        <f t="shared" si="231"/>
        <v>10/03/2026</v>
      </c>
      <c r="B1141" t="str">
        <f>"ENTRADA"</f>
        <v>ENTRADA</v>
      </c>
      <c r="C1141" t="str">
        <f>"DINHEIRO"</f>
        <v>DINHEIRO</v>
      </c>
      <c r="D1141" t="str">
        <f>"721"</f>
        <v>721</v>
      </c>
      <c r="E1141" t="str">
        <f>"9"</f>
        <v>9</v>
      </c>
      <c r="F1141" t="str">
        <f t="shared" si="224"/>
        <v>COM</v>
      </c>
      <c r="G1141" t="str">
        <f>"EDUARDO COSTA DA SILVA (721)"</f>
        <v>EDUARDO COSTA DA SILVA (721)</v>
      </c>
      <c r="H1141" t="s">
        <v>97</v>
      </c>
      <c r="I1141" t="str">
        <f>("10/03/2026")</f>
        <v>10/03/2026</v>
      </c>
      <c r="J1141" t="str">
        <f>("01/04/2025")</f>
        <v>01/04/2025</v>
      </c>
      <c r="K1141">
        <v>46091</v>
      </c>
      <c r="N1141">
        <v>106</v>
      </c>
      <c r="O1141" t="s">
        <v>98</v>
      </c>
      <c r="Q1141">
        <v>20</v>
      </c>
      <c r="R1141" t="str">
        <f>"EDUARDO COSTA DA SILVA (721)"</f>
        <v>EDUARDO COSTA DA SILVA (721)</v>
      </c>
      <c r="S1141" t="s">
        <v>99</v>
      </c>
      <c r="T1141">
        <v>30357</v>
      </c>
      <c r="U1141">
        <v>18142</v>
      </c>
      <c r="V1141" t="s">
        <v>33</v>
      </c>
    </row>
    <row r="1142" spans="1:22">
      <c r="A1142" t="str">
        <f t="shared" si="231"/>
        <v>10/03/2026</v>
      </c>
      <c r="B1142" t="str">
        <f>"SAÍDA"</f>
        <v>SAÍDA</v>
      </c>
      <c r="C1142" t="str">
        <f>"PIX"</f>
        <v>PIX</v>
      </c>
      <c r="D1142" t="str">
        <f>"34060"</f>
        <v>34060</v>
      </c>
      <c r="E1142" t="str">
        <f>"1"</f>
        <v>1</v>
      </c>
      <c r="F1142" t="str">
        <f t="shared" si="224"/>
        <v>COM</v>
      </c>
      <c r="G1142" t="str">
        <f>"EDUARDO SILVA DE JESUS (143)"</f>
        <v>EDUARDO SILVA DE JESUS (143)</v>
      </c>
      <c r="H1142" t="str">
        <f>"Serv.Prest. 23/02/2026 a 01/03/2026 - PIX: CPF - CHAVE: 094.947.395-23"</f>
        <v>Serv.Prest. 23/02/2026 a 01/03/2026 - PIX: CPF - CHAVE: 094.947.395-23</v>
      </c>
      <c r="I1142" t="str">
        <f>("12/03/2026")</f>
        <v>12/03/2026</v>
      </c>
      <c r="J1142" t="str">
        <f>("03/03/2026")</f>
        <v>03/03/2026</v>
      </c>
      <c r="K1142" t="str">
        <f>("10/03/2026")</f>
        <v>10/03/2026</v>
      </c>
      <c r="L1142">
        <v>20</v>
      </c>
      <c r="M1142">
        <v>20</v>
      </c>
      <c r="N1142">
        <v>109</v>
      </c>
      <c r="O1142" t="str">
        <f>"PAGAMENTO DE ENTREGADORES"</f>
        <v>PAGAMENTO DE ENTREGADORES</v>
      </c>
      <c r="P1142">
        <v>20</v>
      </c>
      <c r="S1142" t="str">
        <f>"BANCO CORA (102)"</f>
        <v>BANCO CORA (102)</v>
      </c>
      <c r="T1142">
        <v>30358</v>
      </c>
      <c r="U1142">
        <v>34679</v>
      </c>
      <c r="V1142" t="s">
        <v>33</v>
      </c>
    </row>
    <row r="1143" spans="1:22">
      <c r="A1143" t="str">
        <f t="shared" si="231"/>
        <v>10/03/2026</v>
      </c>
      <c r="B1143" t="str">
        <f>"SAÍDA"</f>
        <v>SAÍDA</v>
      </c>
      <c r="C1143" t="str">
        <f>"PIX"</f>
        <v>PIX</v>
      </c>
      <c r="D1143" t="str">
        <f>"34060"</f>
        <v>34060</v>
      </c>
      <c r="E1143" t="str">
        <f>"1"</f>
        <v>1</v>
      </c>
      <c r="F1143" t="str">
        <f t="shared" si="224"/>
        <v>COM</v>
      </c>
      <c r="G1143" t="str">
        <f>"EDUARDO SILVA DE JESUS (143)"</f>
        <v>EDUARDO SILVA DE JESUS (143)</v>
      </c>
      <c r="H1143" t="s">
        <v>435</v>
      </c>
      <c r="I1143" t="str">
        <f>("12/03/2026")</f>
        <v>12/03/2026</v>
      </c>
      <c r="J1143" t="str">
        <f>("03/03/2026")</f>
        <v>03/03/2026</v>
      </c>
      <c r="K1143">
        <v>46091</v>
      </c>
      <c r="N1143">
        <v>109</v>
      </c>
      <c r="O1143" t="s">
        <v>27</v>
      </c>
      <c r="Q1143">
        <v>20</v>
      </c>
      <c r="R1143" t="str">
        <f>"FARMÁCIA INDIANA LJ 91 (10037)"</f>
        <v>FARMÁCIA INDIANA LJ 91 (10037)</v>
      </c>
      <c r="S1143" t="s">
        <v>33</v>
      </c>
      <c r="T1143">
        <v>30358</v>
      </c>
      <c r="U1143">
        <v>34679</v>
      </c>
      <c r="V1143" t="s">
        <v>33</v>
      </c>
    </row>
    <row r="1144" spans="1:22">
      <c r="A1144" t="str">
        <f t="shared" si="231"/>
        <v>10/03/2026</v>
      </c>
      <c r="B1144" t="str">
        <f>"ENTRADA"</f>
        <v>ENTRADA</v>
      </c>
      <c r="C1144" t="str">
        <f>"DINHEIRO"</f>
        <v>DINHEIRO</v>
      </c>
      <c r="D1144" t="str">
        <f>"25"</f>
        <v>25</v>
      </c>
      <c r="E1144" t="str">
        <f>"12"</f>
        <v>12</v>
      </c>
      <c r="F1144" t="str">
        <f t="shared" si="224"/>
        <v>COM</v>
      </c>
      <c r="G1144" t="str">
        <f>"EDUARDO SILVA DE JESUS (143)"</f>
        <v>EDUARDO SILVA DE JESUS (143)</v>
      </c>
      <c r="H1144" t="str">
        <f>"COTA COOPERATIVA"</f>
        <v>COTA COOPERATIVA</v>
      </c>
      <c r="I1144" t="str">
        <f>("10/03/2026")</f>
        <v>10/03/2026</v>
      </c>
      <c r="J1144" t="str">
        <f>("10/04/2025")</f>
        <v>10/04/2025</v>
      </c>
      <c r="K1144" t="str">
        <f>("10/03/2026")</f>
        <v>10/03/2026</v>
      </c>
      <c r="L1144">
        <v>20</v>
      </c>
      <c r="M1144">
        <v>20</v>
      </c>
      <c r="N1144">
        <v>106</v>
      </c>
      <c r="O1144" t="str">
        <f>"ENTRADA DE CAPITAL"</f>
        <v>ENTRADA DE CAPITAL</v>
      </c>
      <c r="P1144">
        <v>20</v>
      </c>
      <c r="S1144" t="str">
        <f>"ENTRADA DE CAPITAL (106)"</f>
        <v>ENTRADA DE CAPITAL (106)</v>
      </c>
      <c r="T1144">
        <v>30359</v>
      </c>
      <c r="U1144">
        <v>12232</v>
      </c>
      <c r="V1144" t="s">
        <v>33</v>
      </c>
    </row>
    <row r="1145" spans="1:22">
      <c r="A1145" t="str">
        <f t="shared" si="231"/>
        <v>10/03/2026</v>
      </c>
      <c r="B1145" t="str">
        <f>"ENTRADA"</f>
        <v>ENTRADA</v>
      </c>
      <c r="C1145" t="str">
        <f>"DINHEIRO"</f>
        <v>DINHEIRO</v>
      </c>
      <c r="D1145" t="str">
        <f>"25"</f>
        <v>25</v>
      </c>
      <c r="E1145" t="str">
        <f>"12"</f>
        <v>12</v>
      </c>
      <c r="F1145" t="str">
        <f t="shared" si="224"/>
        <v>COM</v>
      </c>
      <c r="G1145" t="str">
        <f>"EDUARDO SILVA DE JESUS (143)"</f>
        <v>EDUARDO SILVA DE JESUS (143)</v>
      </c>
      <c r="H1145" t="s">
        <v>97</v>
      </c>
      <c r="I1145" t="str">
        <f>("10/03/2026")</f>
        <v>10/03/2026</v>
      </c>
      <c r="J1145" t="str">
        <f>("10/04/2025")</f>
        <v>10/04/2025</v>
      </c>
      <c r="K1145">
        <v>46091</v>
      </c>
      <c r="N1145">
        <v>106</v>
      </c>
      <c r="O1145" t="s">
        <v>98</v>
      </c>
      <c r="Q1145">
        <v>20</v>
      </c>
      <c r="R1145" t="str">
        <f>"EDUARDO SILVA DE JESUS (143)"</f>
        <v>EDUARDO SILVA DE JESUS (143)</v>
      </c>
      <c r="S1145" t="s">
        <v>99</v>
      </c>
      <c r="T1145">
        <v>30359</v>
      </c>
      <c r="U1145">
        <v>12232</v>
      </c>
      <c r="V1145" t="s">
        <v>33</v>
      </c>
    </row>
    <row r="1146" spans="1:22">
      <c r="A1146" t="str">
        <f t="shared" si="231"/>
        <v>10/03/2026</v>
      </c>
      <c r="B1146" t="str">
        <f>"SAÍDA"</f>
        <v>SAÍDA</v>
      </c>
      <c r="C1146" t="str">
        <f>"PIX"</f>
        <v>PIX</v>
      </c>
      <c r="D1146" t="str">
        <f>"34382"</f>
        <v>34382</v>
      </c>
      <c r="E1146" t="str">
        <f>"1"</f>
        <v>1</v>
      </c>
      <c r="F1146" t="str">
        <f t="shared" si="224"/>
        <v>COM</v>
      </c>
      <c r="G1146" t="str">
        <f>"ERIC RODRIGUES TEIXEIRA (939)"</f>
        <v>ERIC RODRIGUES TEIXEIRA (939)</v>
      </c>
      <c r="H1146" t="str">
        <f>"Serv.Prest. 02/03/2026 a 08/03/2026 - PIX: CELULAR - CHAVE: (11) 95038-0621"</f>
        <v>Serv.Prest. 02/03/2026 a 08/03/2026 - PIX: CELULAR - CHAVE: (11) 95038-0621</v>
      </c>
      <c r="I1146" t="str">
        <f>("12/03/2026")</f>
        <v>12/03/2026</v>
      </c>
      <c r="J1146" t="str">
        <f>("09/03/2026")</f>
        <v>09/03/2026</v>
      </c>
      <c r="K1146" t="str">
        <f>("10/03/2026")</f>
        <v>10/03/2026</v>
      </c>
      <c r="L1146">
        <v>20</v>
      </c>
      <c r="M1146">
        <v>20</v>
      </c>
      <c r="N1146">
        <v>109</v>
      </c>
      <c r="O1146" t="str">
        <f>"PAGAMENTO DE ENTREGADORES"</f>
        <v>PAGAMENTO DE ENTREGADORES</v>
      </c>
      <c r="P1146">
        <v>20</v>
      </c>
      <c r="S1146" t="str">
        <f>"BANCO CORA (102)"</f>
        <v>BANCO CORA (102)</v>
      </c>
      <c r="T1146">
        <v>30360</v>
      </c>
      <c r="U1146">
        <v>34680</v>
      </c>
      <c r="V1146" t="s">
        <v>33</v>
      </c>
    </row>
    <row r="1147" spans="1:22">
      <c r="A1147" t="str">
        <f t="shared" si="231"/>
        <v>10/03/2026</v>
      </c>
      <c r="B1147" t="str">
        <f>"SAÍDA"</f>
        <v>SAÍDA</v>
      </c>
      <c r="C1147" t="str">
        <f>"PIX"</f>
        <v>PIX</v>
      </c>
      <c r="D1147" t="str">
        <f>"34382"</f>
        <v>34382</v>
      </c>
      <c r="E1147" t="str">
        <f>"1"</f>
        <v>1</v>
      </c>
      <c r="F1147" t="str">
        <f t="shared" si="224"/>
        <v>COM</v>
      </c>
      <c r="G1147" t="str">
        <f>"ERIC RODRIGUES TEIXEIRA (939)"</f>
        <v>ERIC RODRIGUES TEIXEIRA (939)</v>
      </c>
      <c r="H1147" t="s">
        <v>436</v>
      </c>
      <c r="I1147" t="str">
        <f>("12/03/2026")</f>
        <v>12/03/2026</v>
      </c>
      <c r="J1147" t="str">
        <f>("09/03/2026")</f>
        <v>09/03/2026</v>
      </c>
      <c r="K1147">
        <v>46091</v>
      </c>
      <c r="N1147">
        <v>109</v>
      </c>
      <c r="O1147" t="s">
        <v>27</v>
      </c>
      <c r="Q1147">
        <v>20</v>
      </c>
      <c r="R1147" t="str">
        <f>"PENSE FARMA 50 (10210)"</f>
        <v>PENSE FARMA 50 (10210)</v>
      </c>
      <c r="S1147" t="s">
        <v>33</v>
      </c>
      <c r="T1147">
        <v>30360</v>
      </c>
      <c r="U1147">
        <v>34680</v>
      </c>
      <c r="V1147" t="s">
        <v>33</v>
      </c>
    </row>
    <row r="1148" spans="1:22">
      <c r="A1148" t="str">
        <f t="shared" si="231"/>
        <v>10/03/2026</v>
      </c>
      <c r="B1148" t="str">
        <f>"ENTRADA"</f>
        <v>ENTRADA</v>
      </c>
      <c r="C1148" t="str">
        <f>"DINHEIRO"</f>
        <v>DINHEIRO</v>
      </c>
      <c r="D1148" t="str">
        <f>"939"</f>
        <v>939</v>
      </c>
      <c r="E1148" t="str">
        <f>"4"</f>
        <v>4</v>
      </c>
      <c r="F1148" t="str">
        <f t="shared" si="224"/>
        <v>COM</v>
      </c>
      <c r="G1148" t="str">
        <f>"ERIC RODRIGUES TEIXEIRA (939)"</f>
        <v>ERIC RODRIGUES TEIXEIRA (939)</v>
      </c>
      <c r="H1148" t="str">
        <f>"COTA COOPERATIVA"</f>
        <v>COTA COOPERATIVA</v>
      </c>
      <c r="I1148" t="str">
        <f>("10/03/2026")</f>
        <v>10/03/2026</v>
      </c>
      <c r="J1148" t="str">
        <f>("10/09/2025")</f>
        <v>10/09/2025</v>
      </c>
      <c r="K1148" t="str">
        <f>("10/03/2026")</f>
        <v>10/03/2026</v>
      </c>
      <c r="L1148">
        <v>20</v>
      </c>
      <c r="M1148">
        <v>20</v>
      </c>
      <c r="N1148">
        <v>106</v>
      </c>
      <c r="O1148" t="str">
        <f>"ENTRADA DE CAPITAL"</f>
        <v>ENTRADA DE CAPITAL</v>
      </c>
      <c r="P1148">
        <v>20</v>
      </c>
      <c r="S1148" t="str">
        <f>"ENTRADA DE CAPITAL (106)"</f>
        <v>ENTRADA DE CAPITAL (106)</v>
      </c>
      <c r="T1148">
        <v>30361</v>
      </c>
      <c r="U1148">
        <v>26649</v>
      </c>
      <c r="V1148" t="s">
        <v>33</v>
      </c>
    </row>
    <row r="1149" spans="1:22">
      <c r="A1149" t="str">
        <f t="shared" si="231"/>
        <v>10/03/2026</v>
      </c>
      <c r="B1149" t="str">
        <f>"ENTRADA"</f>
        <v>ENTRADA</v>
      </c>
      <c r="C1149" t="str">
        <f>"DINHEIRO"</f>
        <v>DINHEIRO</v>
      </c>
      <c r="D1149" t="str">
        <f>"939"</f>
        <v>939</v>
      </c>
      <c r="E1149" t="str">
        <f>"4"</f>
        <v>4</v>
      </c>
      <c r="F1149" t="str">
        <f t="shared" si="224"/>
        <v>COM</v>
      </c>
      <c r="G1149" t="str">
        <f>"ERIC RODRIGUES TEIXEIRA (939)"</f>
        <v>ERIC RODRIGUES TEIXEIRA (939)</v>
      </c>
      <c r="H1149" t="s">
        <v>97</v>
      </c>
      <c r="I1149" t="str">
        <f>("10/03/2026")</f>
        <v>10/03/2026</v>
      </c>
      <c r="J1149" t="str">
        <f>("10/09/2025")</f>
        <v>10/09/2025</v>
      </c>
      <c r="K1149">
        <v>46091</v>
      </c>
      <c r="N1149">
        <v>106</v>
      </c>
      <c r="O1149" t="s">
        <v>98</v>
      </c>
      <c r="Q1149">
        <v>20</v>
      </c>
      <c r="R1149" t="str">
        <f>"ERIC RODRIGUES TEIXEIRA (939)"</f>
        <v>ERIC RODRIGUES TEIXEIRA (939)</v>
      </c>
      <c r="S1149" t="s">
        <v>99</v>
      </c>
      <c r="T1149">
        <v>30361</v>
      </c>
      <c r="U1149">
        <v>26649</v>
      </c>
      <c r="V1149" t="s">
        <v>33</v>
      </c>
    </row>
    <row r="1150" spans="1:22">
      <c r="A1150" t="str">
        <f t="shared" si="231"/>
        <v>10/03/2026</v>
      </c>
      <c r="B1150" t="str">
        <f>"SAÍDA"</f>
        <v>SAÍDA</v>
      </c>
      <c r="C1150" t="str">
        <f>"PIX"</f>
        <v>PIX</v>
      </c>
      <c r="D1150" t="str">
        <f>"34424"</f>
        <v>34424</v>
      </c>
      <c r="E1150" t="str">
        <f>"1"</f>
        <v>1</v>
      </c>
      <c r="F1150" t="str">
        <f t="shared" si="224"/>
        <v>COM</v>
      </c>
      <c r="G1150" t="str">
        <f>"FELIPE ALEXANDRE CAMA (976)"</f>
        <v>FELIPE ALEXANDRE CAMA (976)</v>
      </c>
      <c r="H1150" t="str">
        <f>"Serv.Prest. 02/03/2026 a 08/03/2026 - PIX: CPF - CHAVE: 471.142.438-55"</f>
        <v>Serv.Prest. 02/03/2026 a 08/03/2026 - PIX: CPF - CHAVE: 471.142.438-55</v>
      </c>
      <c r="I1150" t="str">
        <f>("12/03/2026")</f>
        <v>12/03/2026</v>
      </c>
      <c r="J1150" t="str">
        <f>("09/03/2026")</f>
        <v>09/03/2026</v>
      </c>
      <c r="K1150" t="str">
        <f>("10/03/2026")</f>
        <v>10/03/2026</v>
      </c>
      <c r="L1150">
        <v>20</v>
      </c>
      <c r="M1150">
        <v>20</v>
      </c>
      <c r="N1150">
        <v>109</v>
      </c>
      <c r="O1150" t="str">
        <f>"PAGAMENTO DE ENTREGADORES"</f>
        <v>PAGAMENTO DE ENTREGADORES</v>
      </c>
      <c r="P1150">
        <v>20</v>
      </c>
      <c r="S1150" t="str">
        <f>"BANCO CORA (102)"</f>
        <v>BANCO CORA (102)</v>
      </c>
      <c r="T1150">
        <v>30362</v>
      </c>
      <c r="U1150">
        <v>34681</v>
      </c>
      <c r="V1150" t="s">
        <v>33</v>
      </c>
    </row>
    <row r="1151" spans="1:22">
      <c r="A1151" t="str">
        <f t="shared" si="231"/>
        <v>10/03/2026</v>
      </c>
      <c r="B1151" t="str">
        <f>"SAÍDA"</f>
        <v>SAÍDA</v>
      </c>
      <c r="C1151" t="str">
        <f>"PIX"</f>
        <v>PIX</v>
      </c>
      <c r="D1151" t="str">
        <f>"34424"</f>
        <v>34424</v>
      </c>
      <c r="E1151" t="str">
        <f>"1"</f>
        <v>1</v>
      </c>
      <c r="F1151" t="str">
        <f t="shared" si="224"/>
        <v>COM</v>
      </c>
      <c r="G1151" t="str">
        <f>"FELIPE ALEXANDRE CAMA (976)"</f>
        <v>FELIPE ALEXANDRE CAMA (976)</v>
      </c>
      <c r="H1151" t="s">
        <v>437</v>
      </c>
      <c r="I1151" t="str">
        <f>("12/03/2026")</f>
        <v>12/03/2026</v>
      </c>
      <c r="J1151" t="str">
        <f>("09/03/2026")</f>
        <v>09/03/2026</v>
      </c>
      <c r="K1151">
        <v>46091</v>
      </c>
      <c r="N1151">
        <v>109</v>
      </c>
      <c r="O1151" t="s">
        <v>27</v>
      </c>
      <c r="Q1151">
        <v>20</v>
      </c>
      <c r="R1151" t="str">
        <f>"PENSE FARMA DARK STORE 361 (10212)"</f>
        <v>PENSE FARMA DARK STORE 361 (10212)</v>
      </c>
      <c r="S1151" t="s">
        <v>33</v>
      </c>
      <c r="T1151">
        <v>30362</v>
      </c>
      <c r="U1151">
        <v>34681</v>
      </c>
      <c r="V1151" t="s">
        <v>33</v>
      </c>
    </row>
    <row r="1152" spans="1:22">
      <c r="A1152" t="str">
        <f t="shared" si="231"/>
        <v>10/03/2026</v>
      </c>
      <c r="B1152" t="str">
        <f>"ENTRADA"</f>
        <v>ENTRADA</v>
      </c>
      <c r="C1152" t="str">
        <f>"DINHEIRO"</f>
        <v>DINHEIRO</v>
      </c>
      <c r="D1152" t="str">
        <f>"976"</f>
        <v>976</v>
      </c>
      <c r="E1152" t="str">
        <f>"4"</f>
        <v>4</v>
      </c>
      <c r="F1152" t="str">
        <f t="shared" si="224"/>
        <v>COM</v>
      </c>
      <c r="G1152" t="str">
        <f>"FELIPE ALEXANDRE CAMA (976)"</f>
        <v>FELIPE ALEXANDRE CAMA (976)</v>
      </c>
      <c r="H1152" t="str">
        <f>"COTA COOPERATIVA"</f>
        <v>COTA COOPERATIVA</v>
      </c>
      <c r="I1152" t="str">
        <f>("10/03/2026")</f>
        <v>10/03/2026</v>
      </c>
      <c r="J1152" t="str">
        <f>("06/10/2025")</f>
        <v>06/10/2025</v>
      </c>
      <c r="K1152" t="str">
        <f>("10/03/2026")</f>
        <v>10/03/2026</v>
      </c>
      <c r="L1152">
        <v>20</v>
      </c>
      <c r="M1152">
        <v>20</v>
      </c>
      <c r="N1152">
        <v>106</v>
      </c>
      <c r="O1152" t="str">
        <f>"ENTRADA DE CAPITAL"</f>
        <v>ENTRADA DE CAPITAL</v>
      </c>
      <c r="P1152">
        <v>20</v>
      </c>
      <c r="S1152" t="str">
        <f>"ENTRADA DE CAPITAL (106)"</f>
        <v>ENTRADA DE CAPITAL (106)</v>
      </c>
      <c r="T1152">
        <v>30363</v>
      </c>
      <c r="U1152">
        <v>26624</v>
      </c>
      <c r="V1152" t="s">
        <v>33</v>
      </c>
    </row>
    <row r="1153" spans="1:22">
      <c r="A1153" t="str">
        <f t="shared" si="231"/>
        <v>10/03/2026</v>
      </c>
      <c r="B1153" t="str">
        <f>"ENTRADA"</f>
        <v>ENTRADA</v>
      </c>
      <c r="C1153" t="str">
        <f>"DINHEIRO"</f>
        <v>DINHEIRO</v>
      </c>
      <c r="D1153" t="str">
        <f>"976"</f>
        <v>976</v>
      </c>
      <c r="E1153" t="str">
        <f>"4"</f>
        <v>4</v>
      </c>
      <c r="F1153" t="str">
        <f t="shared" si="224"/>
        <v>COM</v>
      </c>
      <c r="G1153" t="str">
        <f>"FELIPE ALEXANDRE CAMA (976)"</f>
        <v>FELIPE ALEXANDRE CAMA (976)</v>
      </c>
      <c r="H1153" t="s">
        <v>97</v>
      </c>
      <c r="I1153" t="str">
        <f>("10/03/2026")</f>
        <v>10/03/2026</v>
      </c>
      <c r="J1153" t="str">
        <f>("06/10/2025")</f>
        <v>06/10/2025</v>
      </c>
      <c r="K1153">
        <v>46091</v>
      </c>
      <c r="N1153">
        <v>106</v>
      </c>
      <c r="O1153" t="s">
        <v>98</v>
      </c>
      <c r="Q1153">
        <v>20</v>
      </c>
      <c r="R1153" t="str">
        <f>"FELIPE ALEXANDRE CAMA (976)"</f>
        <v>FELIPE ALEXANDRE CAMA (976)</v>
      </c>
      <c r="S1153" t="s">
        <v>99</v>
      </c>
      <c r="T1153">
        <v>30363</v>
      </c>
      <c r="U1153">
        <v>26624</v>
      </c>
      <c r="V1153" t="s">
        <v>33</v>
      </c>
    </row>
    <row r="1154" spans="1:22">
      <c r="A1154" t="str">
        <f t="shared" si="231"/>
        <v>10/03/2026</v>
      </c>
      <c r="B1154" t="str">
        <f>"SAÍDA"</f>
        <v>SAÍDA</v>
      </c>
      <c r="C1154" t="str">
        <f>"PIX"</f>
        <v>PIX</v>
      </c>
      <c r="D1154" t="str">
        <f>"34391"</f>
        <v>34391</v>
      </c>
      <c r="E1154" t="str">
        <f>"1"</f>
        <v>1</v>
      </c>
      <c r="F1154" t="str">
        <f t="shared" ref="F1154:F1217" si="232">"COM"</f>
        <v>COM</v>
      </c>
      <c r="G1154" t="str">
        <f>"IGOR LOPES DA SILVA (991)"</f>
        <v>IGOR LOPES DA SILVA (991)</v>
      </c>
      <c r="H1154" t="str">
        <f>"Serv.Prest. 02/03/2026 a 08/03/2026 - PIX: CELULAR - CHAVE: (11) 95054-2206"</f>
        <v>Serv.Prest. 02/03/2026 a 08/03/2026 - PIX: CELULAR - CHAVE: (11) 95054-2206</v>
      </c>
      <c r="I1154" t="str">
        <f>("12/03/2026")</f>
        <v>12/03/2026</v>
      </c>
      <c r="J1154" t="str">
        <f>("09/03/2026")</f>
        <v>09/03/2026</v>
      </c>
      <c r="K1154" t="str">
        <f>("10/03/2026")</f>
        <v>10/03/2026</v>
      </c>
      <c r="L1154">
        <v>20</v>
      </c>
      <c r="M1154">
        <v>20</v>
      </c>
      <c r="N1154">
        <v>109</v>
      </c>
      <c r="O1154" t="str">
        <f>"PAGAMENTO DE ENTREGADORES"</f>
        <v>PAGAMENTO DE ENTREGADORES</v>
      </c>
      <c r="P1154">
        <v>20</v>
      </c>
      <c r="S1154" t="str">
        <f>"BANCO CORA (102)"</f>
        <v>BANCO CORA (102)</v>
      </c>
      <c r="T1154">
        <v>30364</v>
      </c>
      <c r="U1154">
        <v>34682</v>
      </c>
      <c r="V1154" t="s">
        <v>33</v>
      </c>
    </row>
    <row r="1155" spans="1:22">
      <c r="A1155" t="str">
        <f t="shared" si="231"/>
        <v>10/03/2026</v>
      </c>
      <c r="B1155" t="str">
        <f>"SAÍDA"</f>
        <v>SAÍDA</v>
      </c>
      <c r="C1155" t="str">
        <f>"PIX"</f>
        <v>PIX</v>
      </c>
      <c r="D1155" t="str">
        <f>"34391"</f>
        <v>34391</v>
      </c>
      <c r="E1155" t="str">
        <f>"1"</f>
        <v>1</v>
      </c>
      <c r="F1155" t="str">
        <f t="shared" si="232"/>
        <v>COM</v>
      </c>
      <c r="G1155" t="str">
        <f>"IGOR LOPES DA SILVA (991)"</f>
        <v>IGOR LOPES DA SILVA (991)</v>
      </c>
      <c r="H1155" t="s">
        <v>438</v>
      </c>
      <c r="I1155" t="str">
        <f>("12/03/2026")</f>
        <v>12/03/2026</v>
      </c>
      <c r="J1155" t="str">
        <f>("09/03/2026")</f>
        <v>09/03/2026</v>
      </c>
      <c r="K1155">
        <v>46091</v>
      </c>
      <c r="N1155">
        <v>109</v>
      </c>
      <c r="O1155" t="s">
        <v>27</v>
      </c>
      <c r="Q1155">
        <v>20</v>
      </c>
      <c r="R1155" t="str">
        <f>"PENSE FARMA 02 (10199)"</f>
        <v>PENSE FARMA 02 (10199)</v>
      </c>
      <c r="S1155" t="s">
        <v>33</v>
      </c>
      <c r="T1155">
        <v>30364</v>
      </c>
      <c r="U1155">
        <v>34682</v>
      </c>
      <c r="V1155" t="s">
        <v>33</v>
      </c>
    </row>
    <row r="1156" spans="1:22">
      <c r="A1156" t="str">
        <f t="shared" si="231"/>
        <v>10/03/2026</v>
      </c>
      <c r="B1156" t="str">
        <f>"ENTRADA"</f>
        <v>ENTRADA</v>
      </c>
      <c r="C1156" t="str">
        <f>"DINHEIRO"</f>
        <v>DINHEIRO</v>
      </c>
      <c r="D1156" t="str">
        <f>"10012026"</f>
        <v>10012026</v>
      </c>
      <c r="E1156" t="str">
        <f>"3"</f>
        <v>3</v>
      </c>
      <c r="F1156" t="str">
        <f t="shared" si="232"/>
        <v>COM</v>
      </c>
      <c r="G1156" t="str">
        <f>"IGOR LOPES DA SILVA (991)"</f>
        <v>IGOR LOPES DA SILVA (991)</v>
      </c>
      <c r="H1156" t="str">
        <f>"COTA COOPERATIVA"</f>
        <v>COTA COOPERATIVA</v>
      </c>
      <c r="I1156" t="str">
        <f>("10/03/2026")</f>
        <v>10/03/2026</v>
      </c>
      <c r="J1156" t="str">
        <f>("13/10/2025")</f>
        <v>13/10/2025</v>
      </c>
      <c r="K1156" t="str">
        <f>("10/03/2026")</f>
        <v>10/03/2026</v>
      </c>
      <c r="L1156">
        <v>20</v>
      </c>
      <c r="M1156">
        <v>20</v>
      </c>
      <c r="N1156">
        <v>106</v>
      </c>
      <c r="O1156" t="str">
        <f>"ENTRADA DE CAPITAL"</f>
        <v>ENTRADA DE CAPITAL</v>
      </c>
      <c r="P1156">
        <v>20</v>
      </c>
      <c r="S1156" t="str">
        <f>"ENTRADA DE CAPITAL (106)"</f>
        <v>ENTRADA DE CAPITAL (106)</v>
      </c>
      <c r="T1156">
        <v>30365</v>
      </c>
      <c r="U1156">
        <v>28694</v>
      </c>
      <c r="V1156" t="s">
        <v>33</v>
      </c>
    </row>
    <row r="1157" spans="1:22">
      <c r="A1157" t="str">
        <f t="shared" si="231"/>
        <v>10/03/2026</v>
      </c>
      <c r="B1157" t="str">
        <f>"ENTRADA"</f>
        <v>ENTRADA</v>
      </c>
      <c r="C1157" t="str">
        <f>"DINHEIRO"</f>
        <v>DINHEIRO</v>
      </c>
      <c r="D1157" t="str">
        <f>"10012026"</f>
        <v>10012026</v>
      </c>
      <c r="E1157" t="str">
        <f>"3"</f>
        <v>3</v>
      </c>
      <c r="F1157" t="str">
        <f t="shared" si="232"/>
        <v>COM</v>
      </c>
      <c r="G1157" t="str">
        <f>"IGOR LOPES DA SILVA (991)"</f>
        <v>IGOR LOPES DA SILVA (991)</v>
      </c>
      <c r="H1157" t="s">
        <v>97</v>
      </c>
      <c r="I1157" t="str">
        <f>("10/03/2026")</f>
        <v>10/03/2026</v>
      </c>
      <c r="J1157" t="str">
        <f>("13/10/2025")</f>
        <v>13/10/2025</v>
      </c>
      <c r="K1157">
        <v>46091</v>
      </c>
      <c r="N1157">
        <v>106</v>
      </c>
      <c r="O1157" t="s">
        <v>98</v>
      </c>
      <c r="Q1157">
        <v>20</v>
      </c>
      <c r="R1157" t="str">
        <f>"IGOR LOPES DA SILVA (991)"</f>
        <v>IGOR LOPES DA SILVA (991)</v>
      </c>
      <c r="S1157" t="s">
        <v>99</v>
      </c>
      <c r="T1157">
        <v>30365</v>
      </c>
      <c r="U1157">
        <v>28694</v>
      </c>
      <c r="V1157" t="s">
        <v>33</v>
      </c>
    </row>
    <row r="1158" spans="1:22">
      <c r="A1158" t="str">
        <f t="shared" si="231"/>
        <v>10/03/2026</v>
      </c>
      <c r="B1158" t="str">
        <f>"SAÍDA"</f>
        <v>SAÍDA</v>
      </c>
      <c r="C1158" t="str">
        <f>"PIX"</f>
        <v>PIX</v>
      </c>
      <c r="D1158" t="str">
        <f>"34051"</f>
        <v>34051</v>
      </c>
      <c r="E1158" t="str">
        <f>"1"</f>
        <v>1</v>
      </c>
      <c r="F1158" t="str">
        <f t="shared" si="232"/>
        <v>COM</v>
      </c>
      <c r="G1158" t="str">
        <f>"JACQUES SEBIM SANTNA (918)"</f>
        <v>JACQUES SEBIM SANTNA (918)</v>
      </c>
      <c r="H1158" t="str">
        <f>"Serv.Prest. 23/02/2026 a 01/03/2026 - PIX: CNPJ - CHAVE: 40.359.224/0001-09"</f>
        <v>Serv.Prest. 23/02/2026 a 01/03/2026 - PIX: CNPJ - CHAVE: 40.359.224/0001-09</v>
      </c>
      <c r="I1158" t="str">
        <f>("12/03/2026")</f>
        <v>12/03/2026</v>
      </c>
      <c r="J1158" t="str">
        <f>("03/03/2026")</f>
        <v>03/03/2026</v>
      </c>
      <c r="K1158" t="str">
        <f>("10/03/2026")</f>
        <v>10/03/2026</v>
      </c>
      <c r="L1158">
        <v>20</v>
      </c>
      <c r="M1158">
        <v>20</v>
      </c>
      <c r="N1158">
        <v>109</v>
      </c>
      <c r="O1158" t="str">
        <f>"PAGAMENTO DE ENTREGADORES"</f>
        <v>PAGAMENTO DE ENTREGADORES</v>
      </c>
      <c r="P1158">
        <v>20</v>
      </c>
      <c r="S1158" t="str">
        <f>"BANCO CORA (102)"</f>
        <v>BANCO CORA (102)</v>
      </c>
      <c r="T1158">
        <v>30377</v>
      </c>
      <c r="U1158">
        <v>34683</v>
      </c>
      <c r="V1158" t="s">
        <v>33</v>
      </c>
    </row>
    <row r="1159" spans="1:22">
      <c r="A1159" t="str">
        <f t="shared" si="231"/>
        <v>10/03/2026</v>
      </c>
      <c r="B1159" t="str">
        <f>"SAÍDA"</f>
        <v>SAÍDA</v>
      </c>
      <c r="C1159" t="str">
        <f>"PIX"</f>
        <v>PIX</v>
      </c>
      <c r="D1159" t="str">
        <f>"34051"</f>
        <v>34051</v>
      </c>
      <c r="E1159" t="str">
        <f>"1"</f>
        <v>1</v>
      </c>
      <c r="F1159" t="str">
        <f t="shared" si="232"/>
        <v>COM</v>
      </c>
      <c r="G1159" t="str">
        <f>"JACQUES SEBIM SANTNA (918)"</f>
        <v>JACQUES SEBIM SANTNA (918)</v>
      </c>
      <c r="H1159" t="s">
        <v>439</v>
      </c>
      <c r="I1159" t="str">
        <f>("12/03/2026")</f>
        <v>12/03/2026</v>
      </c>
      <c r="J1159" t="str">
        <f>("03/03/2026")</f>
        <v>03/03/2026</v>
      </c>
      <c r="K1159">
        <v>46091</v>
      </c>
      <c r="N1159">
        <v>109</v>
      </c>
      <c r="O1159" t="s">
        <v>27</v>
      </c>
      <c r="Q1159">
        <v>20</v>
      </c>
      <c r="R1159" t="str">
        <f>"FARMÁCIA INDIANA LJ 188 (10176)"</f>
        <v>FARMÁCIA INDIANA LJ 188 (10176)</v>
      </c>
      <c r="S1159" t="s">
        <v>33</v>
      </c>
      <c r="T1159">
        <v>30377</v>
      </c>
      <c r="U1159">
        <v>34683</v>
      </c>
      <c r="V1159" t="s">
        <v>33</v>
      </c>
    </row>
    <row r="1160" spans="1:22">
      <c r="A1160" t="str">
        <f t="shared" si="231"/>
        <v>10/03/2026</v>
      </c>
      <c r="B1160" t="str">
        <f>"ENTRADA"</f>
        <v>ENTRADA</v>
      </c>
      <c r="C1160" t="str">
        <f>"DINHEIRO"</f>
        <v>DINHEIRO</v>
      </c>
      <c r="D1160" t="str">
        <f>"10012026"</f>
        <v>10012026</v>
      </c>
      <c r="E1160" t="str">
        <f>"3"</f>
        <v>3</v>
      </c>
      <c r="F1160" t="str">
        <f t="shared" si="232"/>
        <v>COM</v>
      </c>
      <c r="G1160" t="str">
        <f>"JACQUES SEBIM SANTNA (918)"</f>
        <v>JACQUES SEBIM SANTNA (918)</v>
      </c>
      <c r="H1160" t="str">
        <f>"COTA COOPERATIVA"</f>
        <v>COTA COOPERATIVA</v>
      </c>
      <c r="I1160" t="str">
        <f>("10/03/2026")</f>
        <v>10/03/2026</v>
      </c>
      <c r="J1160" t="str">
        <f>("10/09/2025")</f>
        <v>10/09/2025</v>
      </c>
      <c r="K1160" t="str">
        <f>("10/03/2026")</f>
        <v>10/03/2026</v>
      </c>
      <c r="L1160">
        <v>20</v>
      </c>
      <c r="M1160">
        <v>20</v>
      </c>
      <c r="N1160">
        <v>106</v>
      </c>
      <c r="O1160" t="str">
        <f>"ENTRADA DE CAPITAL"</f>
        <v>ENTRADA DE CAPITAL</v>
      </c>
      <c r="P1160">
        <v>20</v>
      </c>
      <c r="S1160" t="str">
        <f>"ENTRADA DE CAPITAL (106)"</f>
        <v>ENTRADA DE CAPITAL (106)</v>
      </c>
      <c r="T1160">
        <v>30378</v>
      </c>
      <c r="U1160">
        <v>28233</v>
      </c>
      <c r="V1160" t="s">
        <v>33</v>
      </c>
    </row>
    <row r="1161" spans="1:22">
      <c r="A1161" t="str">
        <f t="shared" si="231"/>
        <v>10/03/2026</v>
      </c>
      <c r="B1161" t="str">
        <f>"ENTRADA"</f>
        <v>ENTRADA</v>
      </c>
      <c r="C1161" t="str">
        <f>"DINHEIRO"</f>
        <v>DINHEIRO</v>
      </c>
      <c r="D1161" t="str">
        <f>"10012026"</f>
        <v>10012026</v>
      </c>
      <c r="E1161" t="str">
        <f>"3"</f>
        <v>3</v>
      </c>
      <c r="F1161" t="str">
        <f t="shared" si="232"/>
        <v>COM</v>
      </c>
      <c r="G1161" t="str">
        <f>"JACQUES SEBIM SANTNA (918)"</f>
        <v>JACQUES SEBIM SANTNA (918)</v>
      </c>
      <c r="H1161" t="s">
        <v>97</v>
      </c>
      <c r="I1161" t="str">
        <f>("10/03/2026")</f>
        <v>10/03/2026</v>
      </c>
      <c r="J1161" t="str">
        <f>("10/09/2025")</f>
        <v>10/09/2025</v>
      </c>
      <c r="K1161">
        <v>46091</v>
      </c>
      <c r="N1161">
        <v>106</v>
      </c>
      <c r="O1161" t="s">
        <v>98</v>
      </c>
      <c r="Q1161">
        <v>20</v>
      </c>
      <c r="R1161" t="str">
        <f>"JACQUES SEBIM SANTNA (918)"</f>
        <v>JACQUES SEBIM SANTNA (918)</v>
      </c>
      <c r="S1161" t="s">
        <v>99</v>
      </c>
      <c r="T1161">
        <v>30378</v>
      </c>
      <c r="U1161">
        <v>28233</v>
      </c>
      <c r="V1161" t="s">
        <v>33</v>
      </c>
    </row>
    <row r="1162" spans="1:22">
      <c r="A1162" t="str">
        <f t="shared" si="231"/>
        <v>10/03/2026</v>
      </c>
      <c r="B1162" t="str">
        <f>"SAÍDA"</f>
        <v>SAÍDA</v>
      </c>
      <c r="C1162" t="str">
        <f>"PIX"</f>
        <v>PIX</v>
      </c>
      <c r="D1162" t="str">
        <f>"34138"</f>
        <v>34138</v>
      </c>
      <c r="E1162" t="str">
        <f>"1"</f>
        <v>1</v>
      </c>
      <c r="F1162" t="str">
        <f t="shared" si="232"/>
        <v>COM</v>
      </c>
      <c r="G1162" t="str">
        <f>"JEFERSON DE JESUS SANTOS (910)"</f>
        <v>JEFERSON DE JESUS SANTOS (910)</v>
      </c>
      <c r="H1162" t="str">
        <f>"Serv.Prest. 23/02/2026 a 01/03/2026 - PIX: CELULAR - CHAVE: (33) 98836-6015"</f>
        <v>Serv.Prest. 23/02/2026 a 01/03/2026 - PIX: CELULAR - CHAVE: (33) 98836-6015</v>
      </c>
      <c r="I1162" t="str">
        <f>("12/03/2026")</f>
        <v>12/03/2026</v>
      </c>
      <c r="J1162" t="str">
        <f>("03/03/2026")</f>
        <v>03/03/2026</v>
      </c>
      <c r="K1162" t="str">
        <f>("10/03/2026")</f>
        <v>10/03/2026</v>
      </c>
      <c r="L1162">
        <v>20</v>
      </c>
      <c r="M1162">
        <v>20</v>
      </c>
      <c r="N1162">
        <v>109</v>
      </c>
      <c r="O1162" t="str">
        <f>"PAGAMENTO DE ENTREGADORES"</f>
        <v>PAGAMENTO DE ENTREGADORES</v>
      </c>
      <c r="P1162">
        <v>20</v>
      </c>
      <c r="S1162" t="str">
        <f>"BANCO CORA (102)"</f>
        <v>BANCO CORA (102)</v>
      </c>
      <c r="T1162">
        <v>30379</v>
      </c>
      <c r="U1162">
        <v>34687</v>
      </c>
      <c r="V1162" t="s">
        <v>33</v>
      </c>
    </row>
    <row r="1163" spans="1:22">
      <c r="A1163" t="str">
        <f t="shared" si="231"/>
        <v>10/03/2026</v>
      </c>
      <c r="B1163" t="str">
        <f>"SAÍDA"</f>
        <v>SAÍDA</v>
      </c>
      <c r="C1163" t="str">
        <f>"PIX"</f>
        <v>PIX</v>
      </c>
      <c r="D1163" t="str">
        <f>"34138"</f>
        <v>34138</v>
      </c>
      <c r="E1163" t="str">
        <f>"1"</f>
        <v>1</v>
      </c>
      <c r="F1163" t="str">
        <f t="shared" si="232"/>
        <v>COM</v>
      </c>
      <c r="G1163" t="str">
        <f>"JEFERSON DE JESUS SANTOS (910)"</f>
        <v>JEFERSON DE JESUS SANTOS (910)</v>
      </c>
      <c r="H1163" t="s">
        <v>440</v>
      </c>
      <c r="I1163" t="str">
        <f>("12/03/2026")</f>
        <v>12/03/2026</v>
      </c>
      <c r="J1163" t="str">
        <f>("03/03/2026")</f>
        <v>03/03/2026</v>
      </c>
      <c r="K1163">
        <v>46091</v>
      </c>
      <c r="N1163">
        <v>109</v>
      </c>
      <c r="O1163" t="s">
        <v>27</v>
      </c>
      <c r="Q1163">
        <v>20</v>
      </c>
      <c r="R1163" t="str">
        <f>"FARMÁCIA INDIANA LJ 07 (10007)"</f>
        <v>FARMÁCIA INDIANA LJ 07 (10007)</v>
      </c>
      <c r="S1163" t="s">
        <v>33</v>
      </c>
      <c r="T1163">
        <v>30379</v>
      </c>
      <c r="U1163">
        <v>34687</v>
      </c>
      <c r="V1163" t="s">
        <v>33</v>
      </c>
    </row>
    <row r="1164" spans="1:22">
      <c r="A1164" t="str">
        <f t="shared" si="231"/>
        <v>10/03/2026</v>
      </c>
      <c r="B1164" t="str">
        <f>"ENTRADA"</f>
        <v>ENTRADA</v>
      </c>
      <c r="C1164" t="str">
        <f>"DINHEIRO"</f>
        <v>DINHEIRO</v>
      </c>
      <c r="D1164" t="str">
        <f>"910"</f>
        <v>910</v>
      </c>
      <c r="E1164" t="str">
        <f>"6"</f>
        <v>6</v>
      </c>
      <c r="F1164" t="str">
        <f t="shared" si="232"/>
        <v>COM</v>
      </c>
      <c r="G1164" t="str">
        <f>"JEFERSON DE JESUS SANTOS (910)"</f>
        <v>JEFERSON DE JESUS SANTOS (910)</v>
      </c>
      <c r="H1164" t="str">
        <f>"COTAS COOPERATIVA"</f>
        <v>COTAS COOPERATIVA</v>
      </c>
      <c r="I1164" t="str">
        <f>("10/03/2026")</f>
        <v>10/03/2026</v>
      </c>
      <c r="J1164" t="str">
        <f>("12/09/2025")</f>
        <v>12/09/2025</v>
      </c>
      <c r="K1164" t="str">
        <f>("10/03/2026")</f>
        <v>10/03/2026</v>
      </c>
      <c r="L1164">
        <v>20</v>
      </c>
      <c r="M1164">
        <v>20</v>
      </c>
      <c r="N1164">
        <v>106</v>
      </c>
      <c r="O1164" t="str">
        <f>"ENTRADA DE CAPITAL"</f>
        <v>ENTRADA DE CAPITAL</v>
      </c>
      <c r="P1164">
        <v>20</v>
      </c>
      <c r="S1164" t="str">
        <f>"ENTRADA DE CAPITAL (106)"</f>
        <v>ENTRADA DE CAPITAL (106)</v>
      </c>
      <c r="T1164">
        <v>30380</v>
      </c>
      <c r="U1164">
        <v>23327</v>
      </c>
      <c r="V1164" t="s">
        <v>33</v>
      </c>
    </row>
    <row r="1165" spans="1:22">
      <c r="A1165" t="str">
        <f t="shared" si="231"/>
        <v>10/03/2026</v>
      </c>
      <c r="B1165" t="str">
        <f>"ENTRADA"</f>
        <v>ENTRADA</v>
      </c>
      <c r="C1165" t="str">
        <f>"DINHEIRO"</f>
        <v>DINHEIRO</v>
      </c>
      <c r="D1165" t="str">
        <f>"910"</f>
        <v>910</v>
      </c>
      <c r="E1165" t="str">
        <f>"6"</f>
        <v>6</v>
      </c>
      <c r="F1165" t="str">
        <f t="shared" si="232"/>
        <v>COM</v>
      </c>
      <c r="G1165" t="str">
        <f>"JEFERSON DE JESUS SANTOS (910)"</f>
        <v>JEFERSON DE JESUS SANTOS (910)</v>
      </c>
      <c r="H1165" t="s">
        <v>430</v>
      </c>
      <c r="I1165" t="str">
        <f>("10/03/2026")</f>
        <v>10/03/2026</v>
      </c>
      <c r="J1165" t="str">
        <f>("12/09/2025")</f>
        <v>12/09/2025</v>
      </c>
      <c r="K1165">
        <v>46091</v>
      </c>
      <c r="N1165">
        <v>106</v>
      </c>
      <c r="O1165" t="s">
        <v>98</v>
      </c>
      <c r="Q1165">
        <v>20</v>
      </c>
      <c r="R1165" t="str">
        <f>"JEFERSON DE JESUS SANTOS (910)"</f>
        <v>JEFERSON DE JESUS SANTOS (910)</v>
      </c>
      <c r="S1165" t="s">
        <v>99</v>
      </c>
      <c r="T1165">
        <v>30380</v>
      </c>
      <c r="U1165">
        <v>23327</v>
      </c>
      <c r="V1165" t="s">
        <v>33</v>
      </c>
    </row>
    <row r="1166" spans="1:22">
      <c r="A1166" t="str">
        <f t="shared" si="231"/>
        <v>10/03/2026</v>
      </c>
      <c r="B1166" t="str">
        <f>"SAÍDA"</f>
        <v>SAÍDA</v>
      </c>
      <c r="C1166" t="str">
        <f>"PIX"</f>
        <v>PIX</v>
      </c>
      <c r="D1166" t="str">
        <f>"34280"</f>
        <v>34280</v>
      </c>
      <c r="E1166" t="str">
        <f>"1"</f>
        <v>1</v>
      </c>
      <c r="F1166" t="str">
        <f t="shared" si="232"/>
        <v>COM</v>
      </c>
      <c r="G1166" t="str">
        <f>"JESSICA BRAHOLKA (837)"</f>
        <v>JESSICA BRAHOLKA (837)</v>
      </c>
      <c r="H1166" t="str">
        <f>"Serv.Prest. 02/03/2026 a 08/03/2026 - PIX: CPF - CHAVE: 124.575.099-20"</f>
        <v>Serv.Prest. 02/03/2026 a 08/03/2026 - PIX: CPF - CHAVE: 124.575.099-20</v>
      </c>
      <c r="I1166" t="str">
        <f>("12/03/2026")</f>
        <v>12/03/2026</v>
      </c>
      <c r="J1166" t="str">
        <f>("09/03/2026")</f>
        <v>09/03/2026</v>
      </c>
      <c r="K1166" t="str">
        <f>("10/03/2026")</f>
        <v>10/03/2026</v>
      </c>
      <c r="L1166">
        <v>20</v>
      </c>
      <c r="M1166">
        <v>20</v>
      </c>
      <c r="N1166">
        <v>109</v>
      </c>
      <c r="O1166" t="str">
        <f>"PAGAMENTO DE ENTREGADORES"</f>
        <v>PAGAMENTO DE ENTREGADORES</v>
      </c>
      <c r="P1166">
        <v>20</v>
      </c>
      <c r="S1166" t="str">
        <f>"BANCO CORA (102)"</f>
        <v>BANCO CORA (102)</v>
      </c>
      <c r="T1166">
        <v>30381</v>
      </c>
      <c r="U1166">
        <v>34688</v>
      </c>
      <c r="V1166" t="s">
        <v>33</v>
      </c>
    </row>
    <row r="1167" spans="1:22">
      <c r="A1167" t="str">
        <f t="shared" si="231"/>
        <v>10/03/2026</v>
      </c>
      <c r="B1167" t="str">
        <f>"SAÍDA"</f>
        <v>SAÍDA</v>
      </c>
      <c r="C1167" t="str">
        <f>"PIX"</f>
        <v>PIX</v>
      </c>
      <c r="D1167" t="str">
        <f>"34280"</f>
        <v>34280</v>
      </c>
      <c r="E1167" t="str">
        <f>"1"</f>
        <v>1</v>
      </c>
      <c r="F1167" t="str">
        <f t="shared" si="232"/>
        <v>COM</v>
      </c>
      <c r="G1167" t="str">
        <f>"JESSICA BRAHOLKA (837)"</f>
        <v>JESSICA BRAHOLKA (837)</v>
      </c>
      <c r="H1167" t="s">
        <v>441</v>
      </c>
      <c r="I1167" t="str">
        <f>("12/03/2026")</f>
        <v>12/03/2026</v>
      </c>
      <c r="J1167" t="str">
        <f>("09/03/2026")</f>
        <v>09/03/2026</v>
      </c>
      <c r="K1167">
        <v>46091</v>
      </c>
      <c r="N1167">
        <v>109</v>
      </c>
      <c r="O1167" t="s">
        <v>27</v>
      </c>
      <c r="Q1167">
        <v>20</v>
      </c>
      <c r="R1167" t="str">
        <f>"JAL FARMACIA E DROGARIA LJ 1 (10137)"</f>
        <v>JAL FARMACIA E DROGARIA LJ 1 (10137)</v>
      </c>
      <c r="S1167" t="s">
        <v>33</v>
      </c>
      <c r="T1167">
        <v>30381</v>
      </c>
      <c r="U1167">
        <v>34688</v>
      </c>
      <c r="V1167" t="s">
        <v>33</v>
      </c>
    </row>
    <row r="1168" spans="1:22">
      <c r="A1168" t="str">
        <f t="shared" si="231"/>
        <v>10/03/2026</v>
      </c>
      <c r="B1168" t="str">
        <f>"ENTRADA"</f>
        <v>ENTRADA</v>
      </c>
      <c r="C1168" t="str">
        <f>"DINHEIRO"</f>
        <v>DINHEIRO</v>
      </c>
      <c r="D1168" t="str">
        <f>"837"</f>
        <v>837</v>
      </c>
      <c r="E1168" t="str">
        <f>"8"</f>
        <v>8</v>
      </c>
      <c r="F1168" t="str">
        <f t="shared" si="232"/>
        <v>COM</v>
      </c>
      <c r="G1168" t="str">
        <f>"JESSICA BRAHOLKA (837)"</f>
        <v>JESSICA BRAHOLKA (837)</v>
      </c>
      <c r="H1168" t="str">
        <f>"COTA COOPERATIVA"</f>
        <v>COTA COOPERATIVA</v>
      </c>
      <c r="I1168" t="str">
        <f>("10/03/2026")</f>
        <v>10/03/2026</v>
      </c>
      <c r="J1168" t="str">
        <f>("31/05/2025")</f>
        <v>31/05/2025</v>
      </c>
      <c r="K1168" t="str">
        <f>("10/03/2026")</f>
        <v>10/03/2026</v>
      </c>
      <c r="L1168">
        <v>20</v>
      </c>
      <c r="M1168">
        <v>20</v>
      </c>
      <c r="N1168">
        <v>106</v>
      </c>
      <c r="O1168" t="str">
        <f>"ENTRADA DE CAPITAL"</f>
        <v>ENTRADA DE CAPITAL</v>
      </c>
      <c r="P1168">
        <v>20</v>
      </c>
      <c r="S1168" t="str">
        <f>"ENTRADA DE CAPITAL (106)"</f>
        <v>ENTRADA DE CAPITAL (106)</v>
      </c>
      <c r="T1168">
        <v>30382</v>
      </c>
      <c r="U1168">
        <v>19745</v>
      </c>
      <c r="V1168" t="s">
        <v>33</v>
      </c>
    </row>
    <row r="1169" spans="1:22">
      <c r="A1169" t="str">
        <f t="shared" si="231"/>
        <v>10/03/2026</v>
      </c>
      <c r="B1169" t="str">
        <f>"ENTRADA"</f>
        <v>ENTRADA</v>
      </c>
      <c r="C1169" t="str">
        <f>"DINHEIRO"</f>
        <v>DINHEIRO</v>
      </c>
      <c r="D1169" t="str">
        <f>"837"</f>
        <v>837</v>
      </c>
      <c r="E1169" t="str">
        <f>"8"</f>
        <v>8</v>
      </c>
      <c r="F1169" t="str">
        <f t="shared" si="232"/>
        <v>COM</v>
      </c>
      <c r="G1169" t="str">
        <f>"JESSICA BRAHOLKA (837)"</f>
        <v>JESSICA BRAHOLKA (837)</v>
      </c>
      <c r="H1169" t="s">
        <v>97</v>
      </c>
      <c r="I1169" t="str">
        <f>("10/03/2026")</f>
        <v>10/03/2026</v>
      </c>
      <c r="J1169" t="str">
        <f>("31/05/2025")</f>
        <v>31/05/2025</v>
      </c>
      <c r="K1169">
        <v>46091</v>
      </c>
      <c r="N1169">
        <v>106</v>
      </c>
      <c r="O1169" t="s">
        <v>98</v>
      </c>
      <c r="Q1169">
        <v>20</v>
      </c>
      <c r="R1169" t="str">
        <f>"JESSICA BRAHOLKA (837)"</f>
        <v>JESSICA BRAHOLKA (837)</v>
      </c>
      <c r="S1169" t="s">
        <v>99</v>
      </c>
      <c r="T1169">
        <v>30382</v>
      </c>
      <c r="U1169">
        <v>19745</v>
      </c>
      <c r="V1169" t="s">
        <v>33</v>
      </c>
    </row>
    <row r="1170" spans="1:22">
      <c r="A1170" t="str">
        <f t="shared" si="231"/>
        <v>10/03/2026</v>
      </c>
      <c r="B1170" t="str">
        <f>"SAÍDA"</f>
        <v>SAÍDA</v>
      </c>
      <c r="C1170" t="str">
        <f>"PIX"</f>
        <v>PIX</v>
      </c>
      <c r="D1170" t="str">
        <f>"34070"</f>
        <v>34070</v>
      </c>
      <c r="E1170" t="str">
        <f>"1"</f>
        <v>1</v>
      </c>
      <c r="F1170" t="str">
        <f t="shared" si="232"/>
        <v>COM</v>
      </c>
      <c r="G1170" t="str">
        <f>"JOAO PEDRO BRITO DE SOUZA (876)"</f>
        <v>JOAO PEDRO BRITO DE SOUZA (876)</v>
      </c>
      <c r="H1170" t="str">
        <f>"Serv.Prest. 23/02/2026 a 01/03/2026 - PIX: CPF - CHAVE: 860.305.455-07"</f>
        <v>Serv.Prest. 23/02/2026 a 01/03/2026 - PIX: CPF - CHAVE: 860.305.455-07</v>
      </c>
      <c r="I1170" t="str">
        <f>("12/03/2026")</f>
        <v>12/03/2026</v>
      </c>
      <c r="J1170" t="str">
        <f>("03/03/2026")</f>
        <v>03/03/2026</v>
      </c>
      <c r="K1170" t="str">
        <f>("10/03/2026")</f>
        <v>10/03/2026</v>
      </c>
      <c r="L1170">
        <v>20</v>
      </c>
      <c r="M1170">
        <v>20</v>
      </c>
      <c r="N1170">
        <v>109</v>
      </c>
      <c r="O1170" t="str">
        <f>"PAGAMENTO DE ENTREGADORES"</f>
        <v>PAGAMENTO DE ENTREGADORES</v>
      </c>
      <c r="P1170">
        <v>20</v>
      </c>
      <c r="S1170" t="str">
        <f>"BANCO CORA (102)"</f>
        <v>BANCO CORA (102)</v>
      </c>
      <c r="T1170">
        <v>30383</v>
      </c>
      <c r="U1170">
        <v>34689</v>
      </c>
      <c r="V1170" t="s">
        <v>33</v>
      </c>
    </row>
    <row r="1171" spans="1:22">
      <c r="A1171" t="str">
        <f t="shared" ref="A1171:A1234" si="233">("10/03/2026")</f>
        <v>10/03/2026</v>
      </c>
      <c r="B1171" t="str">
        <f>"SAÍDA"</f>
        <v>SAÍDA</v>
      </c>
      <c r="C1171" t="str">
        <f>"PIX"</f>
        <v>PIX</v>
      </c>
      <c r="D1171" t="str">
        <f>"34070"</f>
        <v>34070</v>
      </c>
      <c r="E1171" t="str">
        <f>"1"</f>
        <v>1</v>
      </c>
      <c r="F1171" t="str">
        <f t="shared" si="232"/>
        <v>COM</v>
      </c>
      <c r="G1171" t="str">
        <f>"JOAO PEDRO BRITO DE SOUZA (876)"</f>
        <v>JOAO PEDRO BRITO DE SOUZA (876)</v>
      </c>
      <c r="H1171" t="s">
        <v>442</v>
      </c>
      <c r="I1171" t="str">
        <f>("12/03/2026")</f>
        <v>12/03/2026</v>
      </c>
      <c r="J1171" t="str">
        <f>("03/03/2026")</f>
        <v>03/03/2026</v>
      </c>
      <c r="K1171">
        <v>46091</v>
      </c>
      <c r="N1171">
        <v>109</v>
      </c>
      <c r="O1171" t="s">
        <v>27</v>
      </c>
      <c r="Q1171">
        <v>11</v>
      </c>
      <c r="R1171" t="str">
        <f>"FARMÁCIA INDIANA LJ 48 (10018)"</f>
        <v>FARMÁCIA INDIANA LJ 48 (10018)</v>
      </c>
      <c r="S1171" t="s">
        <v>33</v>
      </c>
      <c r="T1171">
        <v>30383</v>
      </c>
      <c r="U1171">
        <v>34689</v>
      </c>
      <c r="V1171" t="s">
        <v>33</v>
      </c>
    </row>
    <row r="1172" spans="1:22">
      <c r="A1172" t="str">
        <f t="shared" si="233"/>
        <v>10/03/2026</v>
      </c>
      <c r="B1172" t="str">
        <f>"SAÍDA"</f>
        <v>SAÍDA</v>
      </c>
      <c r="C1172" t="str">
        <f>"PIX"</f>
        <v>PIX</v>
      </c>
      <c r="D1172" t="str">
        <f>"34070"</f>
        <v>34070</v>
      </c>
      <c r="E1172" t="str">
        <f>"1"</f>
        <v>1</v>
      </c>
      <c r="F1172" t="str">
        <f t="shared" si="232"/>
        <v>COM</v>
      </c>
      <c r="G1172" t="str">
        <f>"JOAO PEDRO BRITO DE SOUZA (876)"</f>
        <v>JOAO PEDRO BRITO DE SOUZA (876)</v>
      </c>
      <c r="H1172" t="s">
        <v>442</v>
      </c>
      <c r="I1172" t="str">
        <f>("12/03/2026")</f>
        <v>12/03/2026</v>
      </c>
      <c r="J1172" t="str">
        <f>("03/03/2026")</f>
        <v>03/03/2026</v>
      </c>
      <c r="K1172">
        <v>46091</v>
      </c>
      <c r="N1172">
        <v>109</v>
      </c>
      <c r="O1172" t="s">
        <v>27</v>
      </c>
      <c r="Q1172">
        <v>9</v>
      </c>
      <c r="R1172" t="str">
        <f>"FARMÁCIA INDIANA LJ 169 (10073)"</f>
        <v>FARMÁCIA INDIANA LJ 169 (10073)</v>
      </c>
      <c r="S1172" t="s">
        <v>33</v>
      </c>
      <c r="T1172">
        <v>30383</v>
      </c>
      <c r="U1172">
        <v>34689</v>
      </c>
      <c r="V1172" t="s">
        <v>33</v>
      </c>
    </row>
    <row r="1173" spans="1:22">
      <c r="A1173" t="str">
        <f t="shared" si="233"/>
        <v>10/03/2026</v>
      </c>
      <c r="B1173" t="str">
        <f>"ENTRADA"</f>
        <v>ENTRADA</v>
      </c>
      <c r="C1173" t="str">
        <f>"DINHEIRO"</f>
        <v>DINHEIRO</v>
      </c>
      <c r="D1173" t="str">
        <f>"876"</f>
        <v>876</v>
      </c>
      <c r="E1173" t="str">
        <f>"8"</f>
        <v>8</v>
      </c>
      <c r="F1173" t="str">
        <f t="shared" si="232"/>
        <v>COM</v>
      </c>
      <c r="G1173" t="str">
        <f>"JOAO PEDRO BRITO DE SOUZA (876)"</f>
        <v>JOAO PEDRO BRITO DE SOUZA (876)</v>
      </c>
      <c r="H1173" t="str">
        <f>"COTA COOPERATIVA"</f>
        <v>COTA COOPERATIVA</v>
      </c>
      <c r="I1173" t="str">
        <f>("10/03/2026")</f>
        <v>10/03/2026</v>
      </c>
      <c r="J1173" t="str">
        <f>("11/07/2025")</f>
        <v>11/07/2025</v>
      </c>
      <c r="K1173" t="str">
        <f>("10/03/2026")</f>
        <v>10/03/2026</v>
      </c>
      <c r="L1173">
        <v>20</v>
      </c>
      <c r="M1173">
        <v>20</v>
      </c>
      <c r="N1173">
        <v>106</v>
      </c>
      <c r="O1173" t="str">
        <f>"ENTRADA DE CAPITAL"</f>
        <v>ENTRADA DE CAPITAL</v>
      </c>
      <c r="P1173">
        <v>20</v>
      </c>
      <c r="S1173" t="str">
        <f>"ENTRADA DE CAPITAL (106)"</f>
        <v>ENTRADA DE CAPITAL (106)</v>
      </c>
      <c r="T1173">
        <v>30384</v>
      </c>
      <c r="U1173">
        <v>19772</v>
      </c>
      <c r="V1173" t="s">
        <v>33</v>
      </c>
    </row>
    <row r="1174" spans="1:22">
      <c r="A1174" t="str">
        <f t="shared" si="233"/>
        <v>10/03/2026</v>
      </c>
      <c r="B1174" t="str">
        <f>"ENTRADA"</f>
        <v>ENTRADA</v>
      </c>
      <c r="C1174" t="str">
        <f>"DINHEIRO"</f>
        <v>DINHEIRO</v>
      </c>
      <c r="D1174" t="str">
        <f>"876"</f>
        <v>876</v>
      </c>
      <c r="E1174" t="str">
        <f>"8"</f>
        <v>8</v>
      </c>
      <c r="F1174" t="str">
        <f t="shared" si="232"/>
        <v>COM</v>
      </c>
      <c r="G1174" t="str">
        <f>"JOAO PEDRO BRITO DE SOUZA (876)"</f>
        <v>JOAO PEDRO BRITO DE SOUZA (876)</v>
      </c>
      <c r="H1174" t="s">
        <v>97</v>
      </c>
      <c r="I1174" t="str">
        <f>("10/03/2026")</f>
        <v>10/03/2026</v>
      </c>
      <c r="J1174" t="str">
        <f>("11/07/2025")</f>
        <v>11/07/2025</v>
      </c>
      <c r="K1174">
        <v>46091</v>
      </c>
      <c r="N1174">
        <v>106</v>
      </c>
      <c r="O1174" t="s">
        <v>98</v>
      </c>
      <c r="Q1174">
        <v>20</v>
      </c>
      <c r="R1174" t="str">
        <f>"JOAO PEDRO BRITO DE SOUZA (876)"</f>
        <v>JOAO PEDRO BRITO DE SOUZA (876)</v>
      </c>
      <c r="S1174" t="s">
        <v>99</v>
      </c>
      <c r="T1174">
        <v>30384</v>
      </c>
      <c r="U1174">
        <v>19772</v>
      </c>
      <c r="V1174" t="s">
        <v>33</v>
      </c>
    </row>
    <row r="1175" spans="1:22">
      <c r="A1175" t="str">
        <f t="shared" si="233"/>
        <v>10/03/2026</v>
      </c>
      <c r="B1175" t="str">
        <f>"SAÍDA"</f>
        <v>SAÍDA</v>
      </c>
      <c r="C1175" t="str">
        <f>"PIX"</f>
        <v>PIX</v>
      </c>
      <c r="D1175" t="str">
        <f>"34073"</f>
        <v>34073</v>
      </c>
      <c r="E1175" t="str">
        <f>"1"</f>
        <v>1</v>
      </c>
      <c r="F1175" t="str">
        <f t="shared" si="232"/>
        <v>COM</v>
      </c>
      <c r="G1175" t="str">
        <f>"KHENNEDY DAVY DOS SANTOS SILVA (692)"</f>
        <v>KHENNEDY DAVY DOS SANTOS SILVA (692)</v>
      </c>
      <c r="H1175" t="str">
        <f>"Serv.Prest. 23/02/2026 a 01/03/2026 - PIX: CPF - CHAVE: 094.700.685-05"</f>
        <v>Serv.Prest. 23/02/2026 a 01/03/2026 - PIX: CPF - CHAVE: 094.700.685-05</v>
      </c>
      <c r="I1175" t="str">
        <f>("12/03/2026")</f>
        <v>12/03/2026</v>
      </c>
      <c r="J1175" t="str">
        <f>("03/03/2026")</f>
        <v>03/03/2026</v>
      </c>
      <c r="K1175" t="str">
        <f>("10/03/2026")</f>
        <v>10/03/2026</v>
      </c>
      <c r="L1175">
        <v>20</v>
      </c>
      <c r="M1175">
        <v>20</v>
      </c>
      <c r="N1175">
        <v>109</v>
      </c>
      <c r="O1175" t="str">
        <f>"PAGAMENTO DE ENTREGADORES"</f>
        <v>PAGAMENTO DE ENTREGADORES</v>
      </c>
      <c r="P1175">
        <v>20</v>
      </c>
      <c r="S1175" t="str">
        <f>"BANCO CORA (102)"</f>
        <v>BANCO CORA (102)</v>
      </c>
      <c r="T1175">
        <v>30385</v>
      </c>
      <c r="U1175">
        <v>34690</v>
      </c>
      <c r="V1175" t="s">
        <v>33</v>
      </c>
    </row>
    <row r="1176" spans="1:22">
      <c r="A1176" t="str">
        <f t="shared" si="233"/>
        <v>10/03/2026</v>
      </c>
      <c r="B1176" t="str">
        <f>"SAÍDA"</f>
        <v>SAÍDA</v>
      </c>
      <c r="C1176" t="str">
        <f>"PIX"</f>
        <v>PIX</v>
      </c>
      <c r="D1176" t="str">
        <f>"34073"</f>
        <v>34073</v>
      </c>
      <c r="E1176" t="str">
        <f>"1"</f>
        <v>1</v>
      </c>
      <c r="F1176" t="str">
        <f t="shared" si="232"/>
        <v>COM</v>
      </c>
      <c r="G1176" t="str">
        <f>"KHENNEDY DAVY DOS SANTOS SILVA (692)"</f>
        <v>KHENNEDY DAVY DOS SANTOS SILVA (692)</v>
      </c>
      <c r="H1176" t="s">
        <v>443</v>
      </c>
      <c r="I1176" t="str">
        <f>("12/03/2026")</f>
        <v>12/03/2026</v>
      </c>
      <c r="J1176" t="str">
        <f>("03/03/2026")</f>
        <v>03/03/2026</v>
      </c>
      <c r="K1176">
        <v>46091</v>
      </c>
      <c r="N1176">
        <v>109</v>
      </c>
      <c r="O1176" t="s">
        <v>27</v>
      </c>
      <c r="Q1176">
        <v>20</v>
      </c>
      <c r="R1176" t="str">
        <f>"FARMÁCIA INDIANA LJ 65 (10030)"</f>
        <v>FARMÁCIA INDIANA LJ 65 (10030)</v>
      </c>
      <c r="S1176" t="s">
        <v>33</v>
      </c>
      <c r="T1176">
        <v>30385</v>
      </c>
      <c r="U1176">
        <v>34690</v>
      </c>
      <c r="V1176" t="s">
        <v>33</v>
      </c>
    </row>
    <row r="1177" spans="1:22">
      <c r="A1177" t="str">
        <f t="shared" si="233"/>
        <v>10/03/2026</v>
      </c>
      <c r="B1177" t="str">
        <f>"ENTRADA"</f>
        <v>ENTRADA</v>
      </c>
      <c r="C1177" t="str">
        <f>"DINHEIRO"</f>
        <v>DINHEIRO</v>
      </c>
      <c r="D1177" t="str">
        <f>"692"</f>
        <v>692</v>
      </c>
      <c r="E1177" t="str">
        <f>"12"</f>
        <v>12</v>
      </c>
      <c r="F1177" t="str">
        <f t="shared" si="232"/>
        <v>COM</v>
      </c>
      <c r="G1177" t="str">
        <f>"KHENNEDY DAVY DOS SANTOS SILVA (692)"</f>
        <v>KHENNEDY DAVY DOS SANTOS SILVA (692)</v>
      </c>
      <c r="H1177" t="str">
        <f>"COTAS COOPERATIVA"</f>
        <v>COTAS COOPERATIVA</v>
      </c>
      <c r="I1177" t="str">
        <f>("10/03/2026")</f>
        <v>10/03/2026</v>
      </c>
      <c r="J1177" t="str">
        <f>("03/03/2025")</f>
        <v>03/03/2025</v>
      </c>
      <c r="K1177" t="str">
        <f>("10/03/2026")</f>
        <v>10/03/2026</v>
      </c>
      <c r="L1177">
        <v>20</v>
      </c>
      <c r="M1177">
        <v>20</v>
      </c>
      <c r="N1177">
        <v>106</v>
      </c>
      <c r="O1177" t="str">
        <f>"ENTRADA DE CAPITAL"</f>
        <v>ENTRADA DE CAPITAL</v>
      </c>
      <c r="P1177">
        <v>20</v>
      </c>
      <c r="S1177" t="str">
        <f>"ENTRADA DE CAPITAL (106)"</f>
        <v>ENTRADA DE CAPITAL (106)</v>
      </c>
      <c r="T1177">
        <v>30386</v>
      </c>
      <c r="U1177">
        <v>11842</v>
      </c>
      <c r="V1177" t="s">
        <v>33</v>
      </c>
    </row>
    <row r="1178" spans="1:22">
      <c r="A1178" t="str">
        <f t="shared" si="233"/>
        <v>10/03/2026</v>
      </c>
      <c r="B1178" t="str">
        <f>"ENTRADA"</f>
        <v>ENTRADA</v>
      </c>
      <c r="C1178" t="str">
        <f>"DINHEIRO"</f>
        <v>DINHEIRO</v>
      </c>
      <c r="D1178" t="str">
        <f>"692"</f>
        <v>692</v>
      </c>
      <c r="E1178" t="str">
        <f>"12"</f>
        <v>12</v>
      </c>
      <c r="F1178" t="str">
        <f t="shared" si="232"/>
        <v>COM</v>
      </c>
      <c r="G1178" t="str">
        <f>"KHENNEDY DAVY DOS SANTOS SILVA (692)"</f>
        <v>KHENNEDY DAVY DOS SANTOS SILVA (692)</v>
      </c>
      <c r="H1178" t="s">
        <v>430</v>
      </c>
      <c r="I1178" t="str">
        <f>("10/03/2026")</f>
        <v>10/03/2026</v>
      </c>
      <c r="J1178" t="str">
        <f>("03/03/2025")</f>
        <v>03/03/2025</v>
      </c>
      <c r="K1178">
        <v>46091</v>
      </c>
      <c r="N1178">
        <v>106</v>
      </c>
      <c r="O1178" t="s">
        <v>98</v>
      </c>
      <c r="Q1178">
        <v>20</v>
      </c>
      <c r="R1178" t="str">
        <f>"KHENNEDY DAVY DOS SANTOS SILVA (692)"</f>
        <v>KHENNEDY DAVY DOS SANTOS SILVA (692)</v>
      </c>
      <c r="S1178" t="s">
        <v>99</v>
      </c>
      <c r="T1178">
        <v>30386</v>
      </c>
      <c r="U1178">
        <v>11842</v>
      </c>
      <c r="V1178" t="s">
        <v>33</v>
      </c>
    </row>
    <row r="1179" spans="1:22">
      <c r="A1179" t="str">
        <f t="shared" si="233"/>
        <v>10/03/2026</v>
      </c>
      <c r="B1179" t="str">
        <f>"SAÍDA"</f>
        <v>SAÍDA</v>
      </c>
      <c r="C1179" t="str">
        <f>"PIX"</f>
        <v>PIX</v>
      </c>
      <c r="D1179" t="str">
        <f>"34369"</f>
        <v>34369</v>
      </c>
      <c r="E1179" t="str">
        <f>"1"</f>
        <v>1</v>
      </c>
      <c r="F1179" t="str">
        <f t="shared" si="232"/>
        <v>COM</v>
      </c>
      <c r="G1179" t="str">
        <f>"LUAN DOS REIS SILVA (954)"</f>
        <v>LUAN DOS REIS SILVA (954)</v>
      </c>
      <c r="H1179" t="str">
        <f>"Serv.Prest. 02/03/2026 a 08/03/2026 - PIX: CELULAR - CHAVE: (11) 95906-5439"</f>
        <v>Serv.Prest. 02/03/2026 a 08/03/2026 - PIX: CELULAR - CHAVE: (11) 95906-5439</v>
      </c>
      <c r="I1179" t="str">
        <f>("12/03/2026")</f>
        <v>12/03/2026</v>
      </c>
      <c r="J1179" t="str">
        <f>("09/03/2026")</f>
        <v>09/03/2026</v>
      </c>
      <c r="K1179" t="str">
        <f>("10/03/2026")</f>
        <v>10/03/2026</v>
      </c>
      <c r="L1179">
        <v>20</v>
      </c>
      <c r="M1179">
        <v>20</v>
      </c>
      <c r="N1179">
        <v>109</v>
      </c>
      <c r="O1179" t="str">
        <f>"PAGAMENTO DE ENTREGADORES"</f>
        <v>PAGAMENTO DE ENTREGADORES</v>
      </c>
      <c r="P1179">
        <v>20</v>
      </c>
      <c r="S1179" t="str">
        <f>"BANCO CORA (102)"</f>
        <v>BANCO CORA (102)</v>
      </c>
      <c r="T1179">
        <v>30387</v>
      </c>
      <c r="U1179">
        <v>34691</v>
      </c>
      <c r="V1179" t="s">
        <v>33</v>
      </c>
    </row>
    <row r="1180" spans="1:22">
      <c r="A1180" t="str">
        <f t="shared" si="233"/>
        <v>10/03/2026</v>
      </c>
      <c r="B1180" t="str">
        <f>"SAÍDA"</f>
        <v>SAÍDA</v>
      </c>
      <c r="C1180" t="str">
        <f>"PIX"</f>
        <v>PIX</v>
      </c>
      <c r="D1180" t="str">
        <f>"34369"</f>
        <v>34369</v>
      </c>
      <c r="E1180" t="str">
        <f>"1"</f>
        <v>1</v>
      </c>
      <c r="F1180" t="str">
        <f t="shared" si="232"/>
        <v>COM</v>
      </c>
      <c r="G1180" t="str">
        <f>"LUAN DOS REIS SILVA (954)"</f>
        <v>LUAN DOS REIS SILVA (954)</v>
      </c>
      <c r="H1180" t="s">
        <v>444</v>
      </c>
      <c r="I1180" t="str">
        <f>("12/03/2026")</f>
        <v>12/03/2026</v>
      </c>
      <c r="J1180" t="str">
        <f>("09/03/2026")</f>
        <v>09/03/2026</v>
      </c>
      <c r="K1180">
        <v>46091</v>
      </c>
      <c r="N1180">
        <v>109</v>
      </c>
      <c r="O1180" t="s">
        <v>27</v>
      </c>
      <c r="Q1180">
        <v>20</v>
      </c>
      <c r="R1180" t="str">
        <f>"PENSE FARMA 13 (10202)"</f>
        <v>PENSE FARMA 13 (10202)</v>
      </c>
      <c r="S1180" t="s">
        <v>33</v>
      </c>
      <c r="T1180">
        <v>30387</v>
      </c>
      <c r="U1180">
        <v>34691</v>
      </c>
      <c r="V1180" t="s">
        <v>33</v>
      </c>
    </row>
    <row r="1181" spans="1:22">
      <c r="A1181" t="str">
        <f t="shared" si="233"/>
        <v>10/03/2026</v>
      </c>
      <c r="B1181" t="str">
        <f>"ENTRADA"</f>
        <v>ENTRADA</v>
      </c>
      <c r="C1181" t="str">
        <f>"DINHEIRO"</f>
        <v>DINHEIRO</v>
      </c>
      <c r="D1181" t="str">
        <f>"10122025"</f>
        <v>10122025</v>
      </c>
      <c r="E1181" t="str">
        <f>"4"</f>
        <v>4</v>
      </c>
      <c r="F1181" t="str">
        <f t="shared" si="232"/>
        <v>COM</v>
      </c>
      <c r="G1181" t="str">
        <f>"LUAN DOS REIS SILV A (954)"</f>
        <v>LUAN DOS REIS SILV A (954)</v>
      </c>
      <c r="H1181" t="str">
        <f>"COTA COOPERATIVA"</f>
        <v>COTA COOPERATIVA</v>
      </c>
      <c r="I1181" t="str">
        <f>("10/03/2026")</f>
        <v>10/03/2026</v>
      </c>
      <c r="J1181" t="str">
        <f>("20/09/2025")</f>
        <v>20/09/2025</v>
      </c>
      <c r="K1181" t="str">
        <f>("10/03/2026")</f>
        <v>10/03/2026</v>
      </c>
      <c r="L1181">
        <v>20</v>
      </c>
      <c r="M1181">
        <v>20</v>
      </c>
      <c r="N1181">
        <v>106</v>
      </c>
      <c r="O1181" t="str">
        <f>"ENTRADA DE CAPITAL"</f>
        <v>ENTRADA DE CAPITAL</v>
      </c>
      <c r="P1181">
        <v>20</v>
      </c>
      <c r="S1181" t="str">
        <f>"ENTRADA DE CAPITAL (106)"</f>
        <v>ENTRADA DE CAPITAL (106)</v>
      </c>
      <c r="T1181">
        <v>30388</v>
      </c>
      <c r="U1181">
        <v>27662</v>
      </c>
      <c r="V1181" t="s">
        <v>33</v>
      </c>
    </row>
    <row r="1182" spans="1:22">
      <c r="A1182" t="str">
        <f t="shared" si="233"/>
        <v>10/03/2026</v>
      </c>
      <c r="B1182" t="str">
        <f>"ENTRADA"</f>
        <v>ENTRADA</v>
      </c>
      <c r="C1182" t="str">
        <f>"DINHEIRO"</f>
        <v>DINHEIRO</v>
      </c>
      <c r="D1182" t="str">
        <f>"10122025"</f>
        <v>10122025</v>
      </c>
      <c r="E1182" t="str">
        <f>"4"</f>
        <v>4</v>
      </c>
      <c r="F1182" t="str">
        <f t="shared" si="232"/>
        <v>COM</v>
      </c>
      <c r="G1182" t="str">
        <f>"LUAN DOS REIS SILV A (954)"</f>
        <v>LUAN DOS REIS SILV A (954)</v>
      </c>
      <c r="H1182" t="s">
        <v>97</v>
      </c>
      <c r="I1182" t="str">
        <f>("10/03/2026")</f>
        <v>10/03/2026</v>
      </c>
      <c r="J1182" t="str">
        <f>("20/09/2025")</f>
        <v>20/09/2025</v>
      </c>
      <c r="K1182">
        <v>46091</v>
      </c>
      <c r="N1182">
        <v>106</v>
      </c>
      <c r="O1182" t="s">
        <v>98</v>
      </c>
      <c r="Q1182">
        <v>20</v>
      </c>
      <c r="R1182" t="str">
        <f>"LUAN DOS REIS SILV A (954)"</f>
        <v>LUAN DOS REIS SILV A (954)</v>
      </c>
      <c r="S1182" t="s">
        <v>99</v>
      </c>
      <c r="T1182">
        <v>30388</v>
      </c>
      <c r="U1182">
        <v>27662</v>
      </c>
      <c r="V1182" t="s">
        <v>33</v>
      </c>
    </row>
    <row r="1183" spans="1:22">
      <c r="A1183" t="str">
        <f t="shared" si="233"/>
        <v>10/03/2026</v>
      </c>
      <c r="B1183" t="str">
        <f>"SAÍDA"</f>
        <v>SAÍDA</v>
      </c>
      <c r="C1183" t="str">
        <f>"PIX"</f>
        <v>PIX</v>
      </c>
      <c r="D1183" t="str">
        <f>"34154"</f>
        <v>34154</v>
      </c>
      <c r="E1183" t="str">
        <f>"1"</f>
        <v>1</v>
      </c>
      <c r="F1183" t="str">
        <f t="shared" si="232"/>
        <v>COM</v>
      </c>
      <c r="G1183" t="str">
        <f>"LUCAS FERREIRA DOS SANTOS (868)"</f>
        <v>LUCAS FERREIRA DOS SANTOS (868)</v>
      </c>
      <c r="H1183" t="str">
        <f>"Serv.Prest. 23/02/2026 a 01/03/2026 - PIX: CELULAR - CHAVE: (33) 99172-0627"</f>
        <v>Serv.Prest. 23/02/2026 a 01/03/2026 - PIX: CELULAR - CHAVE: (33) 99172-0627</v>
      </c>
      <c r="I1183" t="str">
        <f>("12/03/2026")</f>
        <v>12/03/2026</v>
      </c>
      <c r="J1183" t="str">
        <f>("03/03/2026")</f>
        <v>03/03/2026</v>
      </c>
      <c r="K1183" t="str">
        <f>("10/03/2026")</f>
        <v>10/03/2026</v>
      </c>
      <c r="L1183">
        <v>20</v>
      </c>
      <c r="M1183">
        <v>20</v>
      </c>
      <c r="N1183">
        <v>109</v>
      </c>
      <c r="O1183" t="str">
        <f>"PAGAMENTO DE ENTREGADORES"</f>
        <v>PAGAMENTO DE ENTREGADORES</v>
      </c>
      <c r="P1183">
        <v>20</v>
      </c>
      <c r="S1183" t="str">
        <f>"BANCO CORA (102)"</f>
        <v>BANCO CORA (102)</v>
      </c>
      <c r="T1183">
        <v>30389</v>
      </c>
      <c r="U1183">
        <v>34692</v>
      </c>
      <c r="V1183" t="s">
        <v>33</v>
      </c>
    </row>
    <row r="1184" spans="1:22">
      <c r="A1184" t="str">
        <f t="shared" si="233"/>
        <v>10/03/2026</v>
      </c>
      <c r="B1184" t="str">
        <f>"SAÍDA"</f>
        <v>SAÍDA</v>
      </c>
      <c r="C1184" t="str">
        <f>"PIX"</f>
        <v>PIX</v>
      </c>
      <c r="D1184" t="str">
        <f>"34154"</f>
        <v>34154</v>
      </c>
      <c r="E1184" t="str">
        <f>"1"</f>
        <v>1</v>
      </c>
      <c r="F1184" t="str">
        <f t="shared" si="232"/>
        <v>COM</v>
      </c>
      <c r="G1184" t="str">
        <f>"LUCAS FERREIRA DOS SANTOS (868)"</f>
        <v>LUCAS FERREIRA DOS SANTOS (868)</v>
      </c>
      <c r="H1184" t="s">
        <v>445</v>
      </c>
      <c r="I1184" t="str">
        <f>("12/03/2026")</f>
        <v>12/03/2026</v>
      </c>
      <c r="J1184" t="str">
        <f>("03/03/2026")</f>
        <v>03/03/2026</v>
      </c>
      <c r="K1184">
        <v>46091</v>
      </c>
      <c r="N1184">
        <v>109</v>
      </c>
      <c r="O1184" t="s">
        <v>27</v>
      </c>
      <c r="Q1184">
        <v>20</v>
      </c>
      <c r="R1184" t="str">
        <f>"FARMÁCIA INDIANA LJ 06 (10006)"</f>
        <v>FARMÁCIA INDIANA LJ 06 (10006)</v>
      </c>
      <c r="S1184" t="s">
        <v>33</v>
      </c>
      <c r="T1184">
        <v>30389</v>
      </c>
      <c r="U1184">
        <v>34692</v>
      </c>
      <c r="V1184" t="s">
        <v>33</v>
      </c>
    </row>
    <row r="1185" spans="1:22">
      <c r="A1185" t="str">
        <f t="shared" si="233"/>
        <v>10/03/2026</v>
      </c>
      <c r="B1185" t="str">
        <f>"ENTRADA"</f>
        <v>ENTRADA</v>
      </c>
      <c r="C1185" t="str">
        <f>"DINHEIRO"</f>
        <v>DINHEIRO</v>
      </c>
      <c r="D1185" t="str">
        <f>"868"</f>
        <v>868</v>
      </c>
      <c r="E1185" t="str">
        <f>"8"</f>
        <v>8</v>
      </c>
      <c r="F1185" t="str">
        <f t="shared" si="232"/>
        <v>COM</v>
      </c>
      <c r="G1185" t="str">
        <f>"LUCAS FERREIRA DOS SANTOS (868)"</f>
        <v>LUCAS FERREIRA DOS SANTOS (868)</v>
      </c>
      <c r="H1185" t="str">
        <f>"COTA COOPERATIVA"</f>
        <v>COTA COOPERATIVA</v>
      </c>
      <c r="I1185" t="str">
        <f>("10/03/2026")</f>
        <v>10/03/2026</v>
      </c>
      <c r="J1185" t="str">
        <f>("01/07/2025")</f>
        <v>01/07/2025</v>
      </c>
      <c r="K1185" t="str">
        <f>("10/03/2026")</f>
        <v>10/03/2026</v>
      </c>
      <c r="L1185">
        <v>20</v>
      </c>
      <c r="M1185">
        <v>20</v>
      </c>
      <c r="N1185">
        <v>106</v>
      </c>
      <c r="O1185" t="str">
        <f>"ENTRADA DE CAPITAL"</f>
        <v>ENTRADA DE CAPITAL</v>
      </c>
      <c r="P1185">
        <v>20</v>
      </c>
      <c r="S1185" t="str">
        <f>"ENTRADA DE CAPITAL (106)"</f>
        <v>ENTRADA DE CAPITAL (106)</v>
      </c>
      <c r="T1185">
        <v>30390</v>
      </c>
      <c r="U1185">
        <v>19805</v>
      </c>
      <c r="V1185" t="s">
        <v>33</v>
      </c>
    </row>
    <row r="1186" spans="1:22">
      <c r="A1186" t="str">
        <f t="shared" si="233"/>
        <v>10/03/2026</v>
      </c>
      <c r="B1186" t="str">
        <f>"ENTRADA"</f>
        <v>ENTRADA</v>
      </c>
      <c r="C1186" t="str">
        <f>"DINHEIRO"</f>
        <v>DINHEIRO</v>
      </c>
      <c r="D1186" t="str">
        <f>"868"</f>
        <v>868</v>
      </c>
      <c r="E1186" t="str">
        <f>"8"</f>
        <v>8</v>
      </c>
      <c r="F1186" t="str">
        <f t="shared" si="232"/>
        <v>COM</v>
      </c>
      <c r="G1186" t="str">
        <f>"LUCAS FERREIRA DOS SANTOS (868)"</f>
        <v>LUCAS FERREIRA DOS SANTOS (868)</v>
      </c>
      <c r="H1186" t="s">
        <v>97</v>
      </c>
      <c r="I1186" t="str">
        <f>("10/03/2026")</f>
        <v>10/03/2026</v>
      </c>
      <c r="J1186" t="str">
        <f>("01/07/2025")</f>
        <v>01/07/2025</v>
      </c>
      <c r="K1186">
        <v>46091</v>
      </c>
      <c r="N1186">
        <v>106</v>
      </c>
      <c r="O1186" t="s">
        <v>98</v>
      </c>
      <c r="Q1186">
        <v>20</v>
      </c>
      <c r="R1186" t="str">
        <f>"LUCAS FERREIRA DOS SANTOS (868)"</f>
        <v>LUCAS FERREIRA DOS SANTOS (868)</v>
      </c>
      <c r="S1186" t="s">
        <v>99</v>
      </c>
      <c r="T1186">
        <v>30390</v>
      </c>
      <c r="U1186">
        <v>19805</v>
      </c>
      <c r="V1186" t="s">
        <v>33</v>
      </c>
    </row>
    <row r="1187" spans="1:22">
      <c r="A1187" t="str">
        <f t="shared" si="233"/>
        <v>10/03/2026</v>
      </c>
      <c r="B1187" t="str">
        <f>"SAÍDA"</f>
        <v>SAÍDA</v>
      </c>
      <c r="C1187" t="str">
        <f>"PIX"</f>
        <v>PIX</v>
      </c>
      <c r="D1187" t="str">
        <f>"34157"</f>
        <v>34157</v>
      </c>
      <c r="E1187" t="str">
        <f>"1"</f>
        <v>1</v>
      </c>
      <c r="F1187" t="str">
        <f t="shared" si="232"/>
        <v>COM</v>
      </c>
      <c r="G1187" t="str">
        <f>"LUIZ EDUARDO VIANA BRITO (878)"</f>
        <v>LUIZ EDUARDO VIANA BRITO (878)</v>
      </c>
      <c r="H1187" t="str">
        <f>"Serv.Prest. 23/02/2026 a 01/03/2026 - PIX: CPF - CHAVE: 101.220.976-88"</f>
        <v>Serv.Prest. 23/02/2026 a 01/03/2026 - PIX: CPF - CHAVE: 101.220.976-88</v>
      </c>
      <c r="I1187" t="str">
        <f>("12/03/2026")</f>
        <v>12/03/2026</v>
      </c>
      <c r="J1187" t="str">
        <f>("03/03/2026")</f>
        <v>03/03/2026</v>
      </c>
      <c r="K1187" t="str">
        <f>("10/03/2026")</f>
        <v>10/03/2026</v>
      </c>
      <c r="L1187">
        <v>20</v>
      </c>
      <c r="M1187">
        <v>20</v>
      </c>
      <c r="N1187">
        <v>109</v>
      </c>
      <c r="O1187" t="str">
        <f>"PAGAMENTO DE ENTREGADORES"</f>
        <v>PAGAMENTO DE ENTREGADORES</v>
      </c>
      <c r="P1187">
        <v>20</v>
      </c>
      <c r="S1187" t="str">
        <f>"BANCO CORA (102)"</f>
        <v>BANCO CORA (102)</v>
      </c>
      <c r="T1187">
        <v>30391</v>
      </c>
      <c r="U1187">
        <v>34693</v>
      </c>
      <c r="V1187" t="s">
        <v>33</v>
      </c>
    </row>
    <row r="1188" spans="1:22">
      <c r="A1188" t="str">
        <f t="shared" si="233"/>
        <v>10/03/2026</v>
      </c>
      <c r="B1188" t="str">
        <f>"SAÍDA"</f>
        <v>SAÍDA</v>
      </c>
      <c r="C1188" t="str">
        <f>"PIX"</f>
        <v>PIX</v>
      </c>
      <c r="D1188" t="str">
        <f>"34157"</f>
        <v>34157</v>
      </c>
      <c r="E1188" t="str">
        <f>"1"</f>
        <v>1</v>
      </c>
      <c r="F1188" t="str">
        <f t="shared" si="232"/>
        <v>COM</v>
      </c>
      <c r="G1188" t="str">
        <f>"LUIZ EDUARDO VIANA BRITO (878)"</f>
        <v>LUIZ EDUARDO VIANA BRITO (878)</v>
      </c>
      <c r="H1188" t="s">
        <v>446</v>
      </c>
      <c r="I1188" t="str">
        <f>("12/03/2026")</f>
        <v>12/03/2026</v>
      </c>
      <c r="J1188" t="str">
        <f>("03/03/2026")</f>
        <v>03/03/2026</v>
      </c>
      <c r="K1188">
        <v>46091</v>
      </c>
      <c r="N1188">
        <v>109</v>
      </c>
      <c r="O1188" t="s">
        <v>27</v>
      </c>
      <c r="Q1188">
        <v>20</v>
      </c>
      <c r="R1188" t="str">
        <f>"FARMÁCIA INDIANA LJ 40 (10016)"</f>
        <v>FARMÁCIA INDIANA LJ 40 (10016)</v>
      </c>
      <c r="S1188" t="s">
        <v>33</v>
      </c>
      <c r="T1188">
        <v>30391</v>
      </c>
      <c r="U1188">
        <v>34693</v>
      </c>
      <c r="V1188" t="s">
        <v>33</v>
      </c>
    </row>
    <row r="1189" spans="1:22">
      <c r="A1189" t="str">
        <f t="shared" si="233"/>
        <v>10/03/2026</v>
      </c>
      <c r="B1189" t="str">
        <f>"ENTRADA"</f>
        <v>ENTRADA</v>
      </c>
      <c r="C1189" t="str">
        <f>"DINHEIRO"</f>
        <v>DINHEIRO</v>
      </c>
      <c r="D1189" t="str">
        <f>"878"</f>
        <v>878</v>
      </c>
      <c r="E1189" t="str">
        <f>"8"</f>
        <v>8</v>
      </c>
      <c r="F1189" t="str">
        <f t="shared" si="232"/>
        <v>COM</v>
      </c>
      <c r="G1189" t="str">
        <f>"LUIZ EDUARDO VIANA BRITO (878)"</f>
        <v>LUIZ EDUARDO VIANA BRITO (878)</v>
      </c>
      <c r="H1189" t="str">
        <f>"COTA COOPERATIVA"</f>
        <v>COTA COOPERATIVA</v>
      </c>
      <c r="I1189" t="str">
        <f>("10/03/2026")</f>
        <v>10/03/2026</v>
      </c>
      <c r="J1189" t="str">
        <f>("14/07/2025")</f>
        <v>14/07/2025</v>
      </c>
      <c r="K1189" t="str">
        <f>("10/03/2026")</f>
        <v>10/03/2026</v>
      </c>
      <c r="L1189">
        <v>20</v>
      </c>
      <c r="M1189">
        <v>20</v>
      </c>
      <c r="N1189">
        <v>106</v>
      </c>
      <c r="O1189" t="str">
        <f>"ENTRADA DE CAPITAL"</f>
        <v>ENTRADA DE CAPITAL</v>
      </c>
      <c r="P1189">
        <v>20</v>
      </c>
      <c r="S1189" t="str">
        <f>"ENTRADA DE CAPITAL (106)"</f>
        <v>ENTRADA DE CAPITAL (106)</v>
      </c>
      <c r="T1189">
        <v>30392</v>
      </c>
      <c r="U1189">
        <v>19833</v>
      </c>
      <c r="V1189" t="s">
        <v>33</v>
      </c>
    </row>
    <row r="1190" spans="1:22">
      <c r="A1190" t="str">
        <f t="shared" si="233"/>
        <v>10/03/2026</v>
      </c>
      <c r="B1190" t="str">
        <f>"ENTRADA"</f>
        <v>ENTRADA</v>
      </c>
      <c r="C1190" t="str">
        <f>"DINHEIRO"</f>
        <v>DINHEIRO</v>
      </c>
      <c r="D1190" t="str">
        <f>"878"</f>
        <v>878</v>
      </c>
      <c r="E1190" t="str">
        <f>"8"</f>
        <v>8</v>
      </c>
      <c r="F1190" t="str">
        <f t="shared" si="232"/>
        <v>COM</v>
      </c>
      <c r="G1190" t="str">
        <f>"LUIZ EDUARDO VIANA BRITO (878)"</f>
        <v>LUIZ EDUARDO VIANA BRITO (878)</v>
      </c>
      <c r="H1190" t="s">
        <v>97</v>
      </c>
      <c r="I1190" t="str">
        <f>("10/03/2026")</f>
        <v>10/03/2026</v>
      </c>
      <c r="J1190" t="str">
        <f>("14/07/2025")</f>
        <v>14/07/2025</v>
      </c>
      <c r="K1190">
        <v>46091</v>
      </c>
      <c r="N1190">
        <v>106</v>
      </c>
      <c r="O1190" t="s">
        <v>98</v>
      </c>
      <c r="Q1190">
        <v>20</v>
      </c>
      <c r="R1190" t="str">
        <f>"LUIZ EDUARDO VIANA BRITO (878)"</f>
        <v>LUIZ EDUARDO VIANA BRITO (878)</v>
      </c>
      <c r="S1190" t="s">
        <v>99</v>
      </c>
      <c r="T1190">
        <v>30392</v>
      </c>
      <c r="U1190">
        <v>19833</v>
      </c>
      <c r="V1190" t="s">
        <v>33</v>
      </c>
    </row>
    <row r="1191" spans="1:22">
      <c r="A1191" t="str">
        <f t="shared" si="233"/>
        <v>10/03/2026</v>
      </c>
      <c r="B1191" t="str">
        <f>"ENTRADA"</f>
        <v>ENTRADA</v>
      </c>
      <c r="C1191" t="str">
        <f>"DINHEIRO"</f>
        <v>DINHEIRO</v>
      </c>
      <c r="D1191" t="str">
        <f>"712"</f>
        <v>712</v>
      </c>
      <c r="E1191" t="str">
        <f>"12"</f>
        <v>12</v>
      </c>
      <c r="F1191" t="str">
        <f t="shared" si="232"/>
        <v>COM</v>
      </c>
      <c r="G1191" t="str">
        <f>"LUIZ PAULO DE OLIVEIRA (712)"</f>
        <v>LUIZ PAULO DE OLIVEIRA (712)</v>
      </c>
      <c r="H1191" t="str">
        <f>"COTAS COOPERATIVA"</f>
        <v>COTAS COOPERATIVA</v>
      </c>
      <c r="I1191" t="str">
        <f>("10/03/2026")</f>
        <v>10/03/2026</v>
      </c>
      <c r="J1191" t="str">
        <f>("24/03/2025")</f>
        <v>24/03/2025</v>
      </c>
      <c r="K1191" t="str">
        <f>("10/03/2026")</f>
        <v>10/03/2026</v>
      </c>
      <c r="L1191">
        <v>20</v>
      </c>
      <c r="M1191">
        <v>20</v>
      </c>
      <c r="N1191">
        <v>106</v>
      </c>
      <c r="O1191" t="str">
        <f>"ENTRADA DE CAPITAL"</f>
        <v>ENTRADA DE CAPITAL</v>
      </c>
      <c r="P1191">
        <v>20</v>
      </c>
      <c r="S1191" t="str">
        <f>"ENTRADA DE CAPITAL (106)"</f>
        <v>ENTRADA DE CAPITAL (106)</v>
      </c>
      <c r="T1191">
        <v>30394</v>
      </c>
      <c r="U1191">
        <v>11867</v>
      </c>
      <c r="V1191" t="s">
        <v>33</v>
      </c>
    </row>
    <row r="1192" spans="1:22">
      <c r="A1192" t="str">
        <f t="shared" si="233"/>
        <v>10/03/2026</v>
      </c>
      <c r="B1192" t="str">
        <f>"ENTRADA"</f>
        <v>ENTRADA</v>
      </c>
      <c r="C1192" t="str">
        <f>"DINHEIRO"</f>
        <v>DINHEIRO</v>
      </c>
      <c r="D1192" t="str">
        <f>"712"</f>
        <v>712</v>
      </c>
      <c r="E1192" t="str">
        <f>"12"</f>
        <v>12</v>
      </c>
      <c r="F1192" t="str">
        <f t="shared" si="232"/>
        <v>COM</v>
      </c>
      <c r="G1192" t="str">
        <f>"LUIZ PAULO DE OLIVEIRA (712)"</f>
        <v>LUIZ PAULO DE OLIVEIRA (712)</v>
      </c>
      <c r="H1192" t="s">
        <v>430</v>
      </c>
      <c r="I1192" t="str">
        <f>("10/03/2026")</f>
        <v>10/03/2026</v>
      </c>
      <c r="J1192" t="str">
        <f>("24/03/2025")</f>
        <v>24/03/2025</v>
      </c>
      <c r="K1192">
        <v>46091</v>
      </c>
      <c r="N1192">
        <v>106</v>
      </c>
      <c r="O1192" t="s">
        <v>98</v>
      </c>
      <c r="Q1192">
        <v>20</v>
      </c>
      <c r="R1192" t="str">
        <f>"LUIZ PAULO DE OLIVEIRA (712)"</f>
        <v>LUIZ PAULO DE OLIVEIRA (712)</v>
      </c>
      <c r="S1192" t="s">
        <v>99</v>
      </c>
      <c r="T1192">
        <v>30394</v>
      </c>
      <c r="U1192">
        <v>11867</v>
      </c>
      <c r="V1192" t="s">
        <v>33</v>
      </c>
    </row>
    <row r="1193" spans="1:22">
      <c r="A1193" t="str">
        <f t="shared" si="233"/>
        <v>10/03/2026</v>
      </c>
      <c r="B1193" t="str">
        <f>"SAÍDA"</f>
        <v>SAÍDA</v>
      </c>
      <c r="C1193" t="str">
        <f>"PIX"</f>
        <v>PIX</v>
      </c>
      <c r="D1193" t="str">
        <f>"34163"</f>
        <v>34163</v>
      </c>
      <c r="E1193" t="str">
        <f>"1"</f>
        <v>1</v>
      </c>
      <c r="F1193" t="str">
        <f t="shared" si="232"/>
        <v>COM</v>
      </c>
      <c r="G1193" t="str">
        <f>"MATHEUS VIEIRA DA SILVA (886)"</f>
        <v>MATHEUS VIEIRA DA SILVA (886)</v>
      </c>
      <c r="H1193" t="str">
        <f>"Serv.Prest. 23/02/2026 a 01/03/2026 - PIX: CPF - CHAVE: 142.716.106-23"</f>
        <v>Serv.Prest. 23/02/2026 a 01/03/2026 - PIX: CPF - CHAVE: 142.716.106-23</v>
      </c>
      <c r="I1193" t="str">
        <f>("12/03/2026")</f>
        <v>12/03/2026</v>
      </c>
      <c r="J1193" t="str">
        <f>("03/03/2026")</f>
        <v>03/03/2026</v>
      </c>
      <c r="K1193" t="str">
        <f>("10/03/2026")</f>
        <v>10/03/2026</v>
      </c>
      <c r="L1193">
        <v>20</v>
      </c>
      <c r="M1193">
        <v>20</v>
      </c>
      <c r="N1193">
        <v>109</v>
      </c>
      <c r="O1193" t="str">
        <f>"PAGAMENTO DE ENTREGADORES"</f>
        <v>PAGAMENTO DE ENTREGADORES</v>
      </c>
      <c r="P1193">
        <v>20</v>
      </c>
      <c r="S1193" t="str">
        <f>"BANCO CORA (102)"</f>
        <v>BANCO CORA (102)</v>
      </c>
      <c r="T1193">
        <v>30395</v>
      </c>
      <c r="U1193">
        <v>34695</v>
      </c>
      <c r="V1193" t="s">
        <v>33</v>
      </c>
    </row>
    <row r="1194" spans="1:22">
      <c r="A1194" t="str">
        <f t="shared" si="233"/>
        <v>10/03/2026</v>
      </c>
      <c r="B1194" t="str">
        <f>"SAÍDA"</f>
        <v>SAÍDA</v>
      </c>
      <c r="C1194" t="str">
        <f>"PIX"</f>
        <v>PIX</v>
      </c>
      <c r="D1194" t="str">
        <f>"34163"</f>
        <v>34163</v>
      </c>
      <c r="E1194" t="str">
        <f>"1"</f>
        <v>1</v>
      </c>
      <c r="F1194" t="str">
        <f t="shared" si="232"/>
        <v>COM</v>
      </c>
      <c r="G1194" t="str">
        <f>"MATHEUS VIEIRA DA SILVA (886)"</f>
        <v>MATHEUS VIEIRA DA SILVA (886)</v>
      </c>
      <c r="H1194" t="s">
        <v>447</v>
      </c>
      <c r="I1194" t="str">
        <f>("12/03/2026")</f>
        <v>12/03/2026</v>
      </c>
      <c r="J1194" t="str">
        <f>("03/03/2026")</f>
        <v>03/03/2026</v>
      </c>
      <c r="K1194">
        <v>46091</v>
      </c>
      <c r="N1194">
        <v>109</v>
      </c>
      <c r="O1194" t="s">
        <v>27</v>
      </c>
      <c r="Q1194">
        <v>20</v>
      </c>
      <c r="R1194" t="str">
        <f>"FARMÁCIA INDIANA LJ 07 (10007)"</f>
        <v>FARMÁCIA INDIANA LJ 07 (10007)</v>
      </c>
      <c r="S1194" t="s">
        <v>33</v>
      </c>
      <c r="T1194">
        <v>30395</v>
      </c>
      <c r="U1194">
        <v>34695</v>
      </c>
      <c r="V1194" t="s">
        <v>33</v>
      </c>
    </row>
    <row r="1195" spans="1:22">
      <c r="A1195" t="str">
        <f t="shared" si="233"/>
        <v>10/03/2026</v>
      </c>
      <c r="B1195" t="str">
        <f>"ENTRADA"</f>
        <v>ENTRADA</v>
      </c>
      <c r="C1195" t="str">
        <f>"DINHEIRO"</f>
        <v>DINHEIRO</v>
      </c>
      <c r="D1195" t="str">
        <f>"886"</f>
        <v>886</v>
      </c>
      <c r="E1195" t="str">
        <f>"8"</f>
        <v>8</v>
      </c>
      <c r="F1195" t="str">
        <f t="shared" si="232"/>
        <v>COM</v>
      </c>
      <c r="G1195" t="str">
        <f>"MATHEUS VIEIRA DA SILVA (886)"</f>
        <v>MATHEUS VIEIRA DA SILVA (886)</v>
      </c>
      <c r="H1195" t="str">
        <f>"COTA COOPERATIVA"</f>
        <v>COTA COOPERATIVA</v>
      </c>
      <c r="I1195" t="str">
        <f>("10/03/2026")</f>
        <v>10/03/2026</v>
      </c>
      <c r="J1195" t="str">
        <f>("19/07/2025")</f>
        <v>19/07/2025</v>
      </c>
      <c r="K1195" t="str">
        <f>("10/03/2026")</f>
        <v>10/03/2026</v>
      </c>
      <c r="L1195">
        <v>20</v>
      </c>
      <c r="M1195">
        <v>20</v>
      </c>
      <c r="N1195">
        <v>106</v>
      </c>
      <c r="O1195" t="str">
        <f>"ENTRADA DE CAPITAL"</f>
        <v>ENTRADA DE CAPITAL</v>
      </c>
      <c r="P1195">
        <v>20</v>
      </c>
      <c r="S1195" t="str">
        <f>"ENTRADA DE CAPITAL (106)"</f>
        <v>ENTRADA DE CAPITAL (106)</v>
      </c>
      <c r="T1195">
        <v>30396</v>
      </c>
      <c r="U1195">
        <v>19921</v>
      </c>
      <c r="V1195" t="s">
        <v>33</v>
      </c>
    </row>
    <row r="1196" spans="1:22">
      <c r="A1196" t="str">
        <f t="shared" si="233"/>
        <v>10/03/2026</v>
      </c>
      <c r="B1196" t="str">
        <f>"ENTRADA"</f>
        <v>ENTRADA</v>
      </c>
      <c r="C1196" t="str">
        <f>"DINHEIRO"</f>
        <v>DINHEIRO</v>
      </c>
      <c r="D1196" t="str">
        <f>"886"</f>
        <v>886</v>
      </c>
      <c r="E1196" t="str">
        <f>"8"</f>
        <v>8</v>
      </c>
      <c r="F1196" t="str">
        <f t="shared" si="232"/>
        <v>COM</v>
      </c>
      <c r="G1196" t="str">
        <f>"MATHEUS VIEIRA DA SILVA (886)"</f>
        <v>MATHEUS VIEIRA DA SILVA (886)</v>
      </c>
      <c r="H1196" t="s">
        <v>97</v>
      </c>
      <c r="I1196" t="str">
        <f>("10/03/2026")</f>
        <v>10/03/2026</v>
      </c>
      <c r="J1196" t="str">
        <f>("19/07/2025")</f>
        <v>19/07/2025</v>
      </c>
      <c r="K1196">
        <v>46091</v>
      </c>
      <c r="N1196">
        <v>106</v>
      </c>
      <c r="O1196" t="s">
        <v>98</v>
      </c>
      <c r="Q1196">
        <v>20</v>
      </c>
      <c r="R1196" t="str">
        <f>"MATHEUS VIEIRA DA SILVA (886)"</f>
        <v>MATHEUS VIEIRA DA SILVA (886)</v>
      </c>
      <c r="S1196" t="s">
        <v>99</v>
      </c>
      <c r="T1196">
        <v>30396</v>
      </c>
      <c r="U1196">
        <v>19921</v>
      </c>
      <c r="V1196" t="s">
        <v>33</v>
      </c>
    </row>
    <row r="1197" spans="1:22">
      <c r="A1197" t="str">
        <f t="shared" si="233"/>
        <v>10/03/2026</v>
      </c>
      <c r="B1197" t="str">
        <f>"SAÍDA"</f>
        <v>SAÍDA</v>
      </c>
      <c r="C1197" t="str">
        <f>"PIX"</f>
        <v>PIX</v>
      </c>
      <c r="D1197" t="str">
        <f>"34357"</f>
        <v>34357</v>
      </c>
      <c r="E1197" t="str">
        <f>"1"</f>
        <v>1</v>
      </c>
      <c r="F1197" t="str">
        <f t="shared" si="232"/>
        <v>COM</v>
      </c>
      <c r="G1197" t="str">
        <f>"PAULO CESAR DE FARIA (865)"</f>
        <v>PAULO CESAR DE FARIA (865)</v>
      </c>
      <c r="H1197" t="str">
        <f>"Serv.Prest. 02/03/2026 a 08/03/2026 - PIX: CELULAR - CHAVE: (11) 99992-0816"</f>
        <v>Serv.Prest. 02/03/2026 a 08/03/2026 - PIX: CELULAR - CHAVE: (11) 99992-0816</v>
      </c>
      <c r="I1197" t="str">
        <f>("12/03/2026")</f>
        <v>12/03/2026</v>
      </c>
      <c r="J1197" t="str">
        <f>("09/03/2026")</f>
        <v>09/03/2026</v>
      </c>
      <c r="K1197" t="str">
        <f>("10/03/2026")</f>
        <v>10/03/2026</v>
      </c>
      <c r="L1197">
        <v>20</v>
      </c>
      <c r="M1197">
        <v>20</v>
      </c>
      <c r="N1197">
        <v>109</v>
      </c>
      <c r="O1197" t="str">
        <f>"PAGAMENTO DE ENTREGADORES"</f>
        <v>PAGAMENTO DE ENTREGADORES</v>
      </c>
      <c r="P1197">
        <v>20</v>
      </c>
      <c r="S1197" t="str">
        <f>"BANCO CORA (102)"</f>
        <v>BANCO CORA (102)</v>
      </c>
      <c r="T1197">
        <v>30397</v>
      </c>
      <c r="U1197">
        <v>34696</v>
      </c>
      <c r="V1197" t="s">
        <v>33</v>
      </c>
    </row>
    <row r="1198" spans="1:22">
      <c r="A1198" t="str">
        <f t="shared" si="233"/>
        <v>10/03/2026</v>
      </c>
      <c r="B1198" t="str">
        <f>"SAÍDA"</f>
        <v>SAÍDA</v>
      </c>
      <c r="C1198" t="str">
        <f>"PIX"</f>
        <v>PIX</v>
      </c>
      <c r="D1198" t="str">
        <f>"34357"</f>
        <v>34357</v>
      </c>
      <c r="E1198" t="str">
        <f>"1"</f>
        <v>1</v>
      </c>
      <c r="F1198" t="str">
        <f t="shared" si="232"/>
        <v>COM</v>
      </c>
      <c r="G1198" t="str">
        <f>"PAULO CESAR DE FARIA (865)"</f>
        <v>PAULO CESAR DE FARIA (865)</v>
      </c>
      <c r="H1198" t="s">
        <v>448</v>
      </c>
      <c r="I1198" t="str">
        <f>("12/03/2026")</f>
        <v>12/03/2026</v>
      </c>
      <c r="J1198" t="str">
        <f>("09/03/2026")</f>
        <v>09/03/2026</v>
      </c>
      <c r="K1198">
        <v>46091</v>
      </c>
      <c r="N1198">
        <v>109</v>
      </c>
      <c r="O1198" t="s">
        <v>27</v>
      </c>
      <c r="Q1198">
        <v>20</v>
      </c>
      <c r="R1198" t="str">
        <f>"DROGARIA MORENO LTDA (10171)"</f>
        <v>DROGARIA MORENO LTDA (10171)</v>
      </c>
      <c r="S1198" t="s">
        <v>33</v>
      </c>
      <c r="T1198">
        <v>30397</v>
      </c>
      <c r="U1198">
        <v>34696</v>
      </c>
      <c r="V1198" t="s">
        <v>33</v>
      </c>
    </row>
    <row r="1199" spans="1:22">
      <c r="A1199" t="str">
        <f t="shared" si="233"/>
        <v>10/03/2026</v>
      </c>
      <c r="B1199" t="str">
        <f>"ENTRADA"</f>
        <v>ENTRADA</v>
      </c>
      <c r="C1199" t="str">
        <f>"DINHEIRO"</f>
        <v>DINHEIRO</v>
      </c>
      <c r="D1199" t="str">
        <f>"865"</f>
        <v>865</v>
      </c>
      <c r="E1199" t="str">
        <f>"9"</f>
        <v>9</v>
      </c>
      <c r="F1199" t="str">
        <f t="shared" si="232"/>
        <v>COM</v>
      </c>
      <c r="G1199" t="str">
        <f>"PAULO CESAR DE FARIA (865)"</f>
        <v>PAULO CESAR DE FARIA (865)</v>
      </c>
      <c r="H1199" t="str">
        <f>"COTA COOPERATIVA"</f>
        <v>COTA COOPERATIVA</v>
      </c>
      <c r="I1199" t="str">
        <f>("10/03/2026")</f>
        <v>10/03/2026</v>
      </c>
      <c r="J1199" t="str">
        <f>("30/06/2025")</f>
        <v>30/06/2025</v>
      </c>
      <c r="K1199" t="str">
        <f>("10/03/2026")</f>
        <v>10/03/2026</v>
      </c>
      <c r="L1199">
        <v>20</v>
      </c>
      <c r="M1199">
        <v>20</v>
      </c>
      <c r="N1199">
        <v>106</v>
      </c>
      <c r="O1199" t="str">
        <f>"ENTRADA DE CAPITAL"</f>
        <v>ENTRADA DE CAPITAL</v>
      </c>
      <c r="P1199">
        <v>20</v>
      </c>
      <c r="S1199" t="str">
        <f>"ENTRADA DE CAPITAL (106)"</f>
        <v>ENTRADA DE CAPITAL (106)</v>
      </c>
      <c r="T1199">
        <v>30398</v>
      </c>
      <c r="U1199">
        <v>18283</v>
      </c>
      <c r="V1199" t="s">
        <v>33</v>
      </c>
    </row>
    <row r="1200" spans="1:22">
      <c r="A1200" t="str">
        <f t="shared" si="233"/>
        <v>10/03/2026</v>
      </c>
      <c r="B1200" t="str">
        <f>"ENTRADA"</f>
        <v>ENTRADA</v>
      </c>
      <c r="C1200" t="str">
        <f>"DINHEIRO"</f>
        <v>DINHEIRO</v>
      </c>
      <c r="D1200" t="str">
        <f>"865"</f>
        <v>865</v>
      </c>
      <c r="E1200" t="str">
        <f>"9"</f>
        <v>9</v>
      </c>
      <c r="F1200" t="str">
        <f t="shared" si="232"/>
        <v>COM</v>
      </c>
      <c r="G1200" t="str">
        <f>"PAULO CESAR DE FARIA (865)"</f>
        <v>PAULO CESAR DE FARIA (865)</v>
      </c>
      <c r="H1200" t="s">
        <v>97</v>
      </c>
      <c r="I1200" t="str">
        <f>("10/03/2026")</f>
        <v>10/03/2026</v>
      </c>
      <c r="J1200" t="str">
        <f>("30/06/2025")</f>
        <v>30/06/2025</v>
      </c>
      <c r="K1200">
        <v>46091</v>
      </c>
      <c r="N1200">
        <v>106</v>
      </c>
      <c r="O1200" t="s">
        <v>98</v>
      </c>
      <c r="Q1200">
        <v>20</v>
      </c>
      <c r="R1200" t="str">
        <f>"PAULO CESAR DE FARIA (865)"</f>
        <v>PAULO CESAR DE FARIA (865)</v>
      </c>
      <c r="S1200" t="s">
        <v>99</v>
      </c>
      <c r="T1200">
        <v>30398</v>
      </c>
      <c r="U1200">
        <v>18283</v>
      </c>
      <c r="V1200" t="s">
        <v>33</v>
      </c>
    </row>
    <row r="1201" spans="1:22">
      <c r="A1201" t="str">
        <f t="shared" si="233"/>
        <v>10/03/2026</v>
      </c>
      <c r="B1201" t="str">
        <f>"SAÍDA"</f>
        <v>SAÍDA</v>
      </c>
      <c r="C1201" t="str">
        <f>"PIX"</f>
        <v>PIX</v>
      </c>
      <c r="D1201" t="str">
        <f>"34476"</f>
        <v>34476</v>
      </c>
      <c r="E1201" t="str">
        <f>"1"</f>
        <v>1</v>
      </c>
      <c r="F1201" t="str">
        <f t="shared" si="232"/>
        <v>COM</v>
      </c>
      <c r="G1201" t="str">
        <f>"PEDRO HENRIQUE XAVIER DOS SANTOS (993)"</f>
        <v>PEDRO HENRIQUE XAVIER DOS SANTOS (993)</v>
      </c>
      <c r="H1201" t="str">
        <f>"Serv.Prest. 02/03/2026 a 08/03/2026 - PIX: CPF - CHAVE: 489.237.478-40"</f>
        <v>Serv.Prest. 02/03/2026 a 08/03/2026 - PIX: CPF - CHAVE: 489.237.478-40</v>
      </c>
      <c r="I1201" t="str">
        <f>("12/03/2026")</f>
        <v>12/03/2026</v>
      </c>
      <c r="J1201" t="str">
        <f>("09/03/2026")</f>
        <v>09/03/2026</v>
      </c>
      <c r="K1201" t="str">
        <f>("10/03/2026")</f>
        <v>10/03/2026</v>
      </c>
      <c r="L1201">
        <v>20</v>
      </c>
      <c r="M1201">
        <v>20</v>
      </c>
      <c r="N1201">
        <v>109</v>
      </c>
      <c r="O1201" t="str">
        <f>"PAGAMENTO DE ENTREGADORES"</f>
        <v>PAGAMENTO DE ENTREGADORES</v>
      </c>
      <c r="P1201">
        <v>20</v>
      </c>
      <c r="S1201" t="str">
        <f>"BANCO CORA (102)"</f>
        <v>BANCO CORA (102)</v>
      </c>
      <c r="T1201">
        <v>30399</v>
      </c>
      <c r="U1201">
        <v>34697</v>
      </c>
      <c r="V1201" t="s">
        <v>33</v>
      </c>
    </row>
    <row r="1202" spans="1:22">
      <c r="A1202" t="str">
        <f t="shared" si="233"/>
        <v>10/03/2026</v>
      </c>
      <c r="B1202" t="str">
        <f>"SAÍDA"</f>
        <v>SAÍDA</v>
      </c>
      <c r="C1202" t="str">
        <f>"PIX"</f>
        <v>PIX</v>
      </c>
      <c r="D1202" t="str">
        <f>"34476"</f>
        <v>34476</v>
      </c>
      <c r="E1202" t="str">
        <f>"1"</f>
        <v>1</v>
      </c>
      <c r="F1202" t="str">
        <f t="shared" si="232"/>
        <v>COM</v>
      </c>
      <c r="G1202" t="str">
        <f>"PEDRO HENRIQUE XAVIER DOS SANTOS (993)"</f>
        <v>PEDRO HENRIQUE XAVIER DOS SANTOS (993)</v>
      </c>
      <c r="H1202" t="s">
        <v>449</v>
      </c>
      <c r="I1202" t="str">
        <f>("12/03/2026")</f>
        <v>12/03/2026</v>
      </c>
      <c r="J1202" t="str">
        <f>("09/03/2026")</f>
        <v>09/03/2026</v>
      </c>
      <c r="K1202">
        <v>46091</v>
      </c>
      <c r="N1202">
        <v>109</v>
      </c>
      <c r="O1202" t="s">
        <v>27</v>
      </c>
      <c r="Q1202">
        <v>20</v>
      </c>
      <c r="R1202" t="str">
        <f>"PENSE FARMA 35 (10227)"</f>
        <v>PENSE FARMA 35 (10227)</v>
      </c>
      <c r="S1202" t="s">
        <v>33</v>
      </c>
      <c r="T1202">
        <v>30399</v>
      </c>
      <c r="U1202">
        <v>34697</v>
      </c>
      <c r="V1202" t="s">
        <v>33</v>
      </c>
    </row>
    <row r="1203" spans="1:22">
      <c r="A1203" t="str">
        <f t="shared" si="233"/>
        <v>10/03/2026</v>
      </c>
      <c r="B1203" t="str">
        <f>"ENTRADA"</f>
        <v>ENTRADA</v>
      </c>
      <c r="C1203" t="str">
        <f>"DINHEIRO"</f>
        <v>DINHEIRO</v>
      </c>
      <c r="D1203" t="str">
        <f>"10122025"</f>
        <v>10122025</v>
      </c>
      <c r="E1203" t="str">
        <f>"4"</f>
        <v>4</v>
      </c>
      <c r="F1203" t="str">
        <f t="shared" si="232"/>
        <v>COM</v>
      </c>
      <c r="G1203" t="str">
        <f>"PEDRO HENRIQUE XAVIER DOS SANTOS (993)"</f>
        <v>PEDRO HENRIQUE XAVIER DOS SANTOS (993)</v>
      </c>
      <c r="H1203" t="str">
        <f>"COTA COOPERATIVA"</f>
        <v>COTA COOPERATIVA</v>
      </c>
      <c r="I1203" t="str">
        <f>("10/03/2026")</f>
        <v>10/03/2026</v>
      </c>
      <c r="J1203" t="str">
        <f>("13/10/2025")</f>
        <v>13/10/2025</v>
      </c>
      <c r="K1203" t="str">
        <f>("10/03/2026")</f>
        <v>10/03/2026</v>
      </c>
      <c r="L1203">
        <v>20</v>
      </c>
      <c r="M1203">
        <v>20</v>
      </c>
      <c r="N1203">
        <v>106</v>
      </c>
      <c r="O1203" t="str">
        <f>"ENTRADA DE CAPITAL"</f>
        <v>ENTRADA DE CAPITAL</v>
      </c>
      <c r="P1203">
        <v>20</v>
      </c>
      <c r="S1203" t="str">
        <f>"ENTRADA DE CAPITAL (106)"</f>
        <v>ENTRADA DE CAPITAL (106)</v>
      </c>
      <c r="T1203">
        <v>30400</v>
      </c>
      <c r="U1203">
        <v>27720</v>
      </c>
      <c r="V1203" t="s">
        <v>33</v>
      </c>
    </row>
    <row r="1204" spans="1:22">
      <c r="A1204" t="str">
        <f t="shared" si="233"/>
        <v>10/03/2026</v>
      </c>
      <c r="B1204" t="str">
        <f>"ENTRADA"</f>
        <v>ENTRADA</v>
      </c>
      <c r="C1204" t="str">
        <f>"DINHEIRO"</f>
        <v>DINHEIRO</v>
      </c>
      <c r="D1204" t="str">
        <f>"10122025"</f>
        <v>10122025</v>
      </c>
      <c r="E1204" t="str">
        <f>"4"</f>
        <v>4</v>
      </c>
      <c r="F1204" t="str">
        <f t="shared" si="232"/>
        <v>COM</v>
      </c>
      <c r="G1204" t="str">
        <f>"PEDRO HENRIQUE XAVIER DOS SANTOS (993)"</f>
        <v>PEDRO HENRIQUE XAVIER DOS SANTOS (993)</v>
      </c>
      <c r="H1204" t="s">
        <v>97</v>
      </c>
      <c r="I1204" t="str">
        <f>("10/03/2026")</f>
        <v>10/03/2026</v>
      </c>
      <c r="J1204" t="str">
        <f>("13/10/2025")</f>
        <v>13/10/2025</v>
      </c>
      <c r="K1204">
        <v>46091</v>
      </c>
      <c r="N1204">
        <v>106</v>
      </c>
      <c r="O1204" t="s">
        <v>98</v>
      </c>
      <c r="Q1204">
        <v>20</v>
      </c>
      <c r="R1204" t="str">
        <f>"PEDRO HENRIQUE XAVIER DOS SANTOS (993)"</f>
        <v>PEDRO HENRIQUE XAVIER DOS SANTOS (993)</v>
      </c>
      <c r="S1204" t="s">
        <v>99</v>
      </c>
      <c r="T1204">
        <v>30400</v>
      </c>
      <c r="U1204">
        <v>27720</v>
      </c>
      <c r="V1204" t="s">
        <v>33</v>
      </c>
    </row>
    <row r="1205" spans="1:22">
      <c r="A1205" t="str">
        <f t="shared" si="233"/>
        <v>10/03/2026</v>
      </c>
      <c r="B1205" t="str">
        <f>"SAÍDA"</f>
        <v>SAÍDA</v>
      </c>
      <c r="C1205" t="str">
        <f>"PIX"</f>
        <v>PIX</v>
      </c>
      <c r="D1205" t="str">
        <f>"34173"</f>
        <v>34173</v>
      </c>
      <c r="E1205" t="str">
        <f>"1"</f>
        <v>1</v>
      </c>
      <c r="F1205" t="str">
        <f t="shared" si="232"/>
        <v>COM</v>
      </c>
      <c r="G1205" t="str">
        <f>"RAFAEL MONTEIRO DE CASTRO VITRAL (1038)"</f>
        <v>RAFAEL MONTEIRO DE CASTRO VITRAL (1038)</v>
      </c>
      <c r="H1205" t="str">
        <f>"Serv.Prest. 23/02/2026 a 01/03/2026 - PIX: CELULAR - CHAVE: (24) 99846-2202"</f>
        <v>Serv.Prest. 23/02/2026 a 01/03/2026 - PIX: CELULAR - CHAVE: (24) 99846-2202</v>
      </c>
      <c r="I1205" t="str">
        <f>("12/03/2026")</f>
        <v>12/03/2026</v>
      </c>
      <c r="J1205" t="str">
        <f>("03/03/2026")</f>
        <v>03/03/2026</v>
      </c>
      <c r="K1205" t="str">
        <f>("10/03/2026")</f>
        <v>10/03/2026</v>
      </c>
      <c r="L1205">
        <v>20</v>
      </c>
      <c r="M1205">
        <v>20</v>
      </c>
      <c r="N1205">
        <v>109</v>
      </c>
      <c r="O1205" t="str">
        <f>"PAGAMENTO DE ENTREGADORES"</f>
        <v>PAGAMENTO DE ENTREGADORES</v>
      </c>
      <c r="P1205">
        <v>20</v>
      </c>
      <c r="S1205" t="str">
        <f>"BANCO CORA (102)"</f>
        <v>BANCO CORA (102)</v>
      </c>
      <c r="T1205">
        <v>30401</v>
      </c>
      <c r="U1205">
        <v>34698</v>
      </c>
      <c r="V1205" t="s">
        <v>33</v>
      </c>
    </row>
    <row r="1206" spans="1:22">
      <c r="A1206" t="str">
        <f t="shared" si="233"/>
        <v>10/03/2026</v>
      </c>
      <c r="B1206" t="str">
        <f>"SAÍDA"</f>
        <v>SAÍDA</v>
      </c>
      <c r="C1206" t="str">
        <f>"PIX"</f>
        <v>PIX</v>
      </c>
      <c r="D1206" t="str">
        <f>"34173"</f>
        <v>34173</v>
      </c>
      <c r="E1206" t="str">
        <f>"1"</f>
        <v>1</v>
      </c>
      <c r="F1206" t="str">
        <f t="shared" si="232"/>
        <v>COM</v>
      </c>
      <c r="G1206" t="str">
        <f>"RAFAEL MONTEIRO DE CASTRO VITRAL (1038)"</f>
        <v>RAFAEL MONTEIRO DE CASTRO VITRAL (1038)</v>
      </c>
      <c r="H1206" t="s">
        <v>450</v>
      </c>
      <c r="I1206" t="str">
        <f>("12/03/2026")</f>
        <v>12/03/2026</v>
      </c>
      <c r="J1206" t="str">
        <f>("03/03/2026")</f>
        <v>03/03/2026</v>
      </c>
      <c r="K1206">
        <v>46091</v>
      </c>
      <c r="N1206">
        <v>109</v>
      </c>
      <c r="O1206" t="s">
        <v>27</v>
      </c>
      <c r="Q1206">
        <v>20</v>
      </c>
      <c r="R1206" t="str">
        <f>"FARMÁCIA INDIANA LJ 219 (10091)"</f>
        <v>FARMÁCIA INDIANA LJ 219 (10091)</v>
      </c>
      <c r="S1206" t="s">
        <v>33</v>
      </c>
      <c r="T1206">
        <v>30401</v>
      </c>
      <c r="U1206">
        <v>34698</v>
      </c>
      <c r="V1206" t="s">
        <v>33</v>
      </c>
    </row>
    <row r="1207" spans="1:22">
      <c r="A1207" t="str">
        <f t="shared" si="233"/>
        <v>10/03/2026</v>
      </c>
      <c r="B1207" t="str">
        <f>"ENTRADA"</f>
        <v>ENTRADA</v>
      </c>
      <c r="C1207" t="str">
        <f>"DINHEIRO"</f>
        <v>DINHEIRO</v>
      </c>
      <c r="D1207" t="str">
        <f>"10122025"</f>
        <v>10122025</v>
      </c>
      <c r="E1207" t="str">
        <f>"4"</f>
        <v>4</v>
      </c>
      <c r="F1207" t="str">
        <f t="shared" si="232"/>
        <v>COM</v>
      </c>
      <c r="G1207" t="str">
        <f>"RAFAEL MONTEIRO DE CASTRO VITRAL (1038)"</f>
        <v>RAFAEL MONTEIRO DE CASTRO VITRAL (1038)</v>
      </c>
      <c r="H1207" t="str">
        <f>"COTA COOPERATIVA"</f>
        <v>COTA COOPERATIVA</v>
      </c>
      <c r="I1207" t="str">
        <f>("10/03/2026")</f>
        <v>10/03/2026</v>
      </c>
      <c r="J1207" t="str">
        <f>("27/10/2025")</f>
        <v>27/10/2025</v>
      </c>
      <c r="K1207" t="str">
        <f>("10/03/2026")</f>
        <v>10/03/2026</v>
      </c>
      <c r="L1207">
        <v>20</v>
      </c>
      <c r="M1207">
        <v>20</v>
      </c>
      <c r="N1207">
        <v>106</v>
      </c>
      <c r="O1207" t="str">
        <f>"ENTRADA DE CAPITAL"</f>
        <v>ENTRADA DE CAPITAL</v>
      </c>
      <c r="P1207">
        <v>20</v>
      </c>
      <c r="S1207" t="str">
        <f>"ENTRADA DE CAPITAL (106)"</f>
        <v>ENTRADA DE CAPITAL (106)</v>
      </c>
      <c r="T1207">
        <v>30402</v>
      </c>
      <c r="U1207">
        <v>27746</v>
      </c>
      <c r="V1207" t="s">
        <v>33</v>
      </c>
    </row>
    <row r="1208" spans="1:22">
      <c r="A1208" t="str">
        <f t="shared" si="233"/>
        <v>10/03/2026</v>
      </c>
      <c r="B1208" t="str">
        <f>"ENTRADA"</f>
        <v>ENTRADA</v>
      </c>
      <c r="C1208" t="str">
        <f>"DINHEIRO"</f>
        <v>DINHEIRO</v>
      </c>
      <c r="D1208" t="str">
        <f>"10122025"</f>
        <v>10122025</v>
      </c>
      <c r="E1208" t="str">
        <f>"4"</f>
        <v>4</v>
      </c>
      <c r="F1208" t="str">
        <f t="shared" si="232"/>
        <v>COM</v>
      </c>
      <c r="G1208" t="str">
        <f>"RAFAEL MONTEIRO DE CASTRO VITRAL (1038)"</f>
        <v>RAFAEL MONTEIRO DE CASTRO VITRAL (1038)</v>
      </c>
      <c r="H1208" t="s">
        <v>97</v>
      </c>
      <c r="I1208" t="str">
        <f>("10/03/2026")</f>
        <v>10/03/2026</v>
      </c>
      <c r="J1208" t="str">
        <f>("27/10/2025")</f>
        <v>27/10/2025</v>
      </c>
      <c r="K1208">
        <v>46091</v>
      </c>
      <c r="N1208">
        <v>106</v>
      </c>
      <c r="O1208" t="s">
        <v>98</v>
      </c>
      <c r="Q1208">
        <v>20</v>
      </c>
      <c r="R1208" t="str">
        <f>"RAFAEL MONTEIRO DE CASTRO VITRAL (1038)"</f>
        <v>RAFAEL MONTEIRO DE CASTRO VITRAL (1038)</v>
      </c>
      <c r="S1208" t="s">
        <v>99</v>
      </c>
      <c r="T1208">
        <v>30402</v>
      </c>
      <c r="U1208">
        <v>27746</v>
      </c>
      <c r="V1208" t="s">
        <v>33</v>
      </c>
    </row>
    <row r="1209" spans="1:22">
      <c r="A1209" t="str">
        <f t="shared" si="233"/>
        <v>10/03/2026</v>
      </c>
      <c r="B1209" t="str">
        <f>"SAÍDA"</f>
        <v>SAÍDA</v>
      </c>
      <c r="C1209" t="str">
        <f>"PIX"</f>
        <v>PIX</v>
      </c>
      <c r="D1209" t="str">
        <f>"34174"</f>
        <v>34174</v>
      </c>
      <c r="E1209" t="str">
        <f>"1"</f>
        <v>1</v>
      </c>
      <c r="F1209" t="str">
        <f t="shared" si="232"/>
        <v>COM</v>
      </c>
      <c r="G1209" t="str">
        <f>"RAISSON VITOR MENDES DE ABREU (705)"</f>
        <v>RAISSON VITOR MENDES DE ABREU (705)</v>
      </c>
      <c r="H1209" t="str">
        <f>"Serv.Prest. 23/02/2026 a 01/03/2026 - PIX: CELULAR - CHAVE: (31) 99959-5414"</f>
        <v>Serv.Prest. 23/02/2026 a 01/03/2026 - PIX: CELULAR - CHAVE: (31) 99959-5414</v>
      </c>
      <c r="I1209" t="str">
        <f>("12/03/2026")</f>
        <v>12/03/2026</v>
      </c>
      <c r="J1209" t="str">
        <f>("03/03/2026")</f>
        <v>03/03/2026</v>
      </c>
      <c r="K1209" t="str">
        <f>("10/03/2026")</f>
        <v>10/03/2026</v>
      </c>
      <c r="L1209">
        <v>20</v>
      </c>
      <c r="M1209">
        <v>20</v>
      </c>
      <c r="N1209">
        <v>109</v>
      </c>
      <c r="O1209" t="str">
        <f>"PAGAMENTO DE ENTREGADORES"</f>
        <v>PAGAMENTO DE ENTREGADORES</v>
      </c>
      <c r="P1209">
        <v>20</v>
      </c>
      <c r="S1209" t="str">
        <f>"BANCO CORA (102)"</f>
        <v>BANCO CORA (102)</v>
      </c>
      <c r="T1209">
        <v>30403</v>
      </c>
      <c r="U1209">
        <v>34699</v>
      </c>
      <c r="V1209" t="s">
        <v>33</v>
      </c>
    </row>
    <row r="1210" spans="1:22">
      <c r="A1210" t="str">
        <f t="shared" si="233"/>
        <v>10/03/2026</v>
      </c>
      <c r="B1210" t="str">
        <f>"SAÍDA"</f>
        <v>SAÍDA</v>
      </c>
      <c r="C1210" t="str">
        <f>"PIX"</f>
        <v>PIX</v>
      </c>
      <c r="D1210" t="str">
        <f>"34174"</f>
        <v>34174</v>
      </c>
      <c r="E1210" t="str">
        <f>"1"</f>
        <v>1</v>
      </c>
      <c r="F1210" t="str">
        <f t="shared" si="232"/>
        <v>COM</v>
      </c>
      <c r="G1210" t="str">
        <f>"RAISSON VITOR MENDES DE ABREU (705)"</f>
        <v>RAISSON VITOR MENDES DE ABREU (705)</v>
      </c>
      <c r="H1210" t="s">
        <v>451</v>
      </c>
      <c r="I1210" t="str">
        <f>("12/03/2026")</f>
        <v>12/03/2026</v>
      </c>
      <c r="J1210" t="str">
        <f>("03/03/2026")</f>
        <v>03/03/2026</v>
      </c>
      <c r="K1210">
        <v>46091</v>
      </c>
      <c r="N1210">
        <v>109</v>
      </c>
      <c r="O1210" t="s">
        <v>27</v>
      </c>
      <c r="Q1210">
        <v>20</v>
      </c>
      <c r="R1210" t="str">
        <f>"FARMÁCIA INDIANA LJ 178 (10077)"</f>
        <v>FARMÁCIA INDIANA LJ 178 (10077)</v>
      </c>
      <c r="S1210" t="s">
        <v>33</v>
      </c>
      <c r="T1210">
        <v>30403</v>
      </c>
      <c r="U1210">
        <v>34699</v>
      </c>
      <c r="V1210" t="s">
        <v>33</v>
      </c>
    </row>
    <row r="1211" spans="1:22">
      <c r="A1211" t="str">
        <f t="shared" si="233"/>
        <v>10/03/2026</v>
      </c>
      <c r="B1211" t="str">
        <f>"ENTRADA"</f>
        <v>ENTRADA</v>
      </c>
      <c r="C1211" t="str">
        <f>"DINHEIRO"</f>
        <v>DINHEIRO</v>
      </c>
      <c r="D1211" t="str">
        <f>"705"</f>
        <v>705</v>
      </c>
      <c r="E1211" t="str">
        <f>"12"</f>
        <v>12</v>
      </c>
      <c r="F1211" t="str">
        <f t="shared" si="232"/>
        <v>COM</v>
      </c>
      <c r="G1211" t="str">
        <f>"RAISSON VITOR MENDES DE ABREU (705)"</f>
        <v>RAISSON VITOR MENDES DE ABREU (705)</v>
      </c>
      <c r="H1211" t="str">
        <f>"COTAS COOPERATIVA"</f>
        <v>COTAS COOPERATIVA</v>
      </c>
      <c r="I1211" t="str">
        <f>("10/03/2026")</f>
        <v>10/03/2026</v>
      </c>
      <c r="J1211" t="str">
        <f>("17/03/2025")</f>
        <v>17/03/2025</v>
      </c>
      <c r="K1211" t="str">
        <f>("10/03/2026")</f>
        <v>10/03/2026</v>
      </c>
      <c r="L1211">
        <v>20</v>
      </c>
      <c r="M1211">
        <v>20</v>
      </c>
      <c r="N1211">
        <v>106</v>
      </c>
      <c r="O1211" t="str">
        <f>"ENTRADA DE CAPITAL"</f>
        <v>ENTRADA DE CAPITAL</v>
      </c>
      <c r="P1211">
        <v>20</v>
      </c>
      <c r="S1211" t="str">
        <f>"ENTRADA DE CAPITAL (106)"</f>
        <v>ENTRADA DE CAPITAL (106)</v>
      </c>
      <c r="T1211">
        <v>30404</v>
      </c>
      <c r="U1211">
        <v>11892</v>
      </c>
      <c r="V1211" t="s">
        <v>33</v>
      </c>
    </row>
    <row r="1212" spans="1:22">
      <c r="A1212" t="str">
        <f t="shared" si="233"/>
        <v>10/03/2026</v>
      </c>
      <c r="B1212" t="str">
        <f>"ENTRADA"</f>
        <v>ENTRADA</v>
      </c>
      <c r="C1212" t="str">
        <f>"DINHEIRO"</f>
        <v>DINHEIRO</v>
      </c>
      <c r="D1212" t="str">
        <f>"705"</f>
        <v>705</v>
      </c>
      <c r="E1212" t="str">
        <f>"12"</f>
        <v>12</v>
      </c>
      <c r="F1212" t="str">
        <f t="shared" si="232"/>
        <v>COM</v>
      </c>
      <c r="G1212" t="str">
        <f>"RAISSON VITOR MENDES DE ABREU (705)"</f>
        <v>RAISSON VITOR MENDES DE ABREU (705)</v>
      </c>
      <c r="H1212" t="s">
        <v>430</v>
      </c>
      <c r="I1212" t="str">
        <f>("10/03/2026")</f>
        <v>10/03/2026</v>
      </c>
      <c r="J1212" t="str">
        <f>("17/03/2025")</f>
        <v>17/03/2025</v>
      </c>
      <c r="K1212">
        <v>46091</v>
      </c>
      <c r="N1212">
        <v>106</v>
      </c>
      <c r="O1212" t="s">
        <v>98</v>
      </c>
      <c r="Q1212">
        <v>20</v>
      </c>
      <c r="R1212" t="str">
        <f>"RAISSON VITOR MENDES DE ABREU (705)"</f>
        <v>RAISSON VITOR MENDES DE ABREU (705)</v>
      </c>
      <c r="S1212" t="s">
        <v>99</v>
      </c>
      <c r="T1212">
        <v>30404</v>
      </c>
      <c r="U1212">
        <v>11892</v>
      </c>
      <c r="V1212" t="s">
        <v>33</v>
      </c>
    </row>
    <row r="1213" spans="1:22">
      <c r="A1213" t="str">
        <f t="shared" si="233"/>
        <v>10/03/2026</v>
      </c>
      <c r="B1213" t="str">
        <f>"SAÍDA"</f>
        <v>SAÍDA</v>
      </c>
      <c r="C1213" t="str">
        <f>"PIX"</f>
        <v>PIX</v>
      </c>
      <c r="D1213" t="str">
        <f>"34175"</f>
        <v>34175</v>
      </c>
      <c r="E1213" t="str">
        <f>"1"</f>
        <v>1</v>
      </c>
      <c r="F1213" t="str">
        <f t="shared" si="232"/>
        <v>COM</v>
      </c>
      <c r="G1213" t="str">
        <f>"REGINALDO PIRES PORTES (1009)"</f>
        <v>REGINALDO PIRES PORTES (1009)</v>
      </c>
      <c r="H1213" t="str">
        <f>"Serv.Prest. 23/02/2026 a 01/03/2026 - PIX: CPF - CHAVE: 072.968.086-08"</f>
        <v>Serv.Prest. 23/02/2026 a 01/03/2026 - PIX: CPF - CHAVE: 072.968.086-08</v>
      </c>
      <c r="I1213" t="str">
        <f>("12/03/2026")</f>
        <v>12/03/2026</v>
      </c>
      <c r="J1213" t="str">
        <f>("03/03/2026")</f>
        <v>03/03/2026</v>
      </c>
      <c r="K1213" t="str">
        <f>("10/03/2026")</f>
        <v>10/03/2026</v>
      </c>
      <c r="L1213">
        <v>20</v>
      </c>
      <c r="M1213">
        <v>20</v>
      </c>
      <c r="N1213">
        <v>109</v>
      </c>
      <c r="O1213" t="str">
        <f>"PAGAMENTO DE ENTREGADORES"</f>
        <v>PAGAMENTO DE ENTREGADORES</v>
      </c>
      <c r="P1213">
        <v>20</v>
      </c>
      <c r="S1213" t="str">
        <f>"BANCO CORA (102)"</f>
        <v>BANCO CORA (102)</v>
      </c>
      <c r="T1213">
        <v>30405</v>
      </c>
      <c r="U1213">
        <v>34700</v>
      </c>
      <c r="V1213" t="s">
        <v>33</v>
      </c>
    </row>
    <row r="1214" spans="1:22">
      <c r="A1214" t="str">
        <f t="shared" si="233"/>
        <v>10/03/2026</v>
      </c>
      <c r="B1214" t="str">
        <f>"SAÍDA"</f>
        <v>SAÍDA</v>
      </c>
      <c r="C1214" t="str">
        <f>"PIX"</f>
        <v>PIX</v>
      </c>
      <c r="D1214" t="str">
        <f>"34175"</f>
        <v>34175</v>
      </c>
      <c r="E1214" t="str">
        <f>"1"</f>
        <v>1</v>
      </c>
      <c r="F1214" t="str">
        <f t="shared" si="232"/>
        <v>COM</v>
      </c>
      <c r="G1214" t="str">
        <f>"REGINALDO PIRES PORTES (1009)"</f>
        <v>REGINALDO PIRES PORTES (1009)</v>
      </c>
      <c r="H1214" t="s">
        <v>452</v>
      </c>
      <c r="I1214" t="str">
        <f>("12/03/2026")</f>
        <v>12/03/2026</v>
      </c>
      <c r="J1214" t="str">
        <f>("03/03/2026")</f>
        <v>03/03/2026</v>
      </c>
      <c r="K1214">
        <v>46091</v>
      </c>
      <c r="N1214">
        <v>109</v>
      </c>
      <c r="O1214" t="s">
        <v>27</v>
      </c>
      <c r="Q1214">
        <v>20</v>
      </c>
      <c r="R1214" t="str">
        <f>"FARMÁCIA INDIANA LJ 19 (10012)"</f>
        <v>FARMÁCIA INDIANA LJ 19 (10012)</v>
      </c>
      <c r="S1214" t="s">
        <v>33</v>
      </c>
      <c r="T1214">
        <v>30405</v>
      </c>
      <c r="U1214">
        <v>34700</v>
      </c>
      <c r="V1214" t="s">
        <v>33</v>
      </c>
    </row>
    <row r="1215" spans="1:22">
      <c r="A1215" t="str">
        <f t="shared" si="233"/>
        <v>10/03/2026</v>
      </c>
      <c r="B1215" t="str">
        <f>"ENTRADA"</f>
        <v>ENTRADA</v>
      </c>
      <c r="C1215" t="str">
        <f>"DINHEIRO"</f>
        <v>DINHEIRO</v>
      </c>
      <c r="D1215" t="str">
        <f>"10012026"</f>
        <v>10012026</v>
      </c>
      <c r="E1215" t="str">
        <f>"3"</f>
        <v>3</v>
      </c>
      <c r="F1215" t="str">
        <f t="shared" si="232"/>
        <v>COM</v>
      </c>
      <c r="G1215" t="str">
        <f>"REGINALDO PIRES PORTES (1009)"</f>
        <v>REGINALDO PIRES PORTES (1009)</v>
      </c>
      <c r="H1215" t="str">
        <f>"COTA COOPERATIVA"</f>
        <v>COTA COOPERATIVA</v>
      </c>
      <c r="I1215" t="str">
        <f>("10/03/2026")</f>
        <v>10/03/2026</v>
      </c>
      <c r="J1215" t="str">
        <f>("16/10/2025")</f>
        <v>16/10/2025</v>
      </c>
      <c r="K1215" t="str">
        <f>("10/03/2026")</f>
        <v>10/03/2026</v>
      </c>
      <c r="L1215">
        <v>20</v>
      </c>
      <c r="M1215">
        <v>20</v>
      </c>
      <c r="N1215">
        <v>106</v>
      </c>
      <c r="O1215" t="str">
        <f>"ENTRADA DE CAPITAL"</f>
        <v>ENTRADA DE CAPITAL</v>
      </c>
      <c r="P1215">
        <v>20</v>
      </c>
      <c r="S1215" t="str">
        <f>"ENTRADA DE CAPITAL (106)"</f>
        <v>ENTRADA DE CAPITAL (106)</v>
      </c>
      <c r="T1215">
        <v>30406</v>
      </c>
      <c r="U1215">
        <v>28669</v>
      </c>
      <c r="V1215" t="s">
        <v>33</v>
      </c>
    </row>
    <row r="1216" spans="1:22">
      <c r="A1216" t="str">
        <f t="shared" si="233"/>
        <v>10/03/2026</v>
      </c>
      <c r="B1216" t="str">
        <f>"ENTRADA"</f>
        <v>ENTRADA</v>
      </c>
      <c r="C1216" t="str">
        <f>"DINHEIRO"</f>
        <v>DINHEIRO</v>
      </c>
      <c r="D1216" t="str">
        <f>"10012026"</f>
        <v>10012026</v>
      </c>
      <c r="E1216" t="str">
        <f>"3"</f>
        <v>3</v>
      </c>
      <c r="F1216" t="str">
        <f t="shared" si="232"/>
        <v>COM</v>
      </c>
      <c r="G1216" t="str">
        <f>"REGINALDO PIRES PORTES (1009)"</f>
        <v>REGINALDO PIRES PORTES (1009)</v>
      </c>
      <c r="H1216" t="s">
        <v>97</v>
      </c>
      <c r="I1216" t="str">
        <f>("10/03/2026")</f>
        <v>10/03/2026</v>
      </c>
      <c r="J1216" t="str">
        <f>("16/10/2025")</f>
        <v>16/10/2025</v>
      </c>
      <c r="K1216">
        <v>46091</v>
      </c>
      <c r="N1216">
        <v>106</v>
      </c>
      <c r="O1216" t="s">
        <v>98</v>
      </c>
      <c r="Q1216">
        <v>20</v>
      </c>
      <c r="R1216" t="str">
        <f>"REGINALDO PIRES PORTES (1009)"</f>
        <v>REGINALDO PIRES PORTES (1009)</v>
      </c>
      <c r="S1216" t="s">
        <v>99</v>
      </c>
      <c r="T1216">
        <v>30406</v>
      </c>
      <c r="U1216">
        <v>28669</v>
      </c>
      <c r="V1216" t="s">
        <v>33</v>
      </c>
    </row>
    <row r="1217" spans="1:22">
      <c r="A1217" t="str">
        <f t="shared" si="233"/>
        <v>10/03/2026</v>
      </c>
      <c r="B1217" t="str">
        <f>"SAÍDA"</f>
        <v>SAÍDA</v>
      </c>
      <c r="C1217" t="str">
        <f>"PIX"</f>
        <v>PIX</v>
      </c>
      <c r="D1217" t="str">
        <f>"34409"</f>
        <v>34409</v>
      </c>
      <c r="E1217" t="str">
        <f>"1"</f>
        <v>1</v>
      </c>
      <c r="F1217" t="str">
        <f t="shared" si="232"/>
        <v>COM</v>
      </c>
      <c r="G1217" t="str">
        <f>"RODRIGO TEIXEIRA ROCHA (1007)"</f>
        <v>RODRIGO TEIXEIRA ROCHA (1007)</v>
      </c>
      <c r="H1217" t="str">
        <f>"Serv.Prest. 02/03/2026 a 08/03/2026 - PIX: CPF - CHAVE: 506.934.998-85"</f>
        <v>Serv.Prest. 02/03/2026 a 08/03/2026 - PIX: CPF - CHAVE: 506.934.998-85</v>
      </c>
      <c r="I1217" t="str">
        <f>("12/03/2026")</f>
        <v>12/03/2026</v>
      </c>
      <c r="J1217" t="str">
        <f>("09/03/2026")</f>
        <v>09/03/2026</v>
      </c>
      <c r="K1217" t="str">
        <f>("10/03/2026")</f>
        <v>10/03/2026</v>
      </c>
      <c r="L1217">
        <v>20</v>
      </c>
      <c r="M1217">
        <v>20</v>
      </c>
      <c r="N1217">
        <v>109</v>
      </c>
      <c r="O1217" t="str">
        <f>"PAGAMENTO DE ENTREGADORES"</f>
        <v>PAGAMENTO DE ENTREGADORES</v>
      </c>
      <c r="P1217">
        <v>20</v>
      </c>
      <c r="S1217" t="str">
        <f>"BANCO CORA (102)"</f>
        <v>BANCO CORA (102)</v>
      </c>
      <c r="T1217">
        <v>30407</v>
      </c>
      <c r="U1217">
        <v>34701</v>
      </c>
      <c r="V1217" t="s">
        <v>33</v>
      </c>
    </row>
    <row r="1218" spans="1:22">
      <c r="A1218" t="str">
        <f t="shared" si="233"/>
        <v>10/03/2026</v>
      </c>
      <c r="B1218" t="str">
        <f>"SAÍDA"</f>
        <v>SAÍDA</v>
      </c>
      <c r="C1218" t="str">
        <f>"PIX"</f>
        <v>PIX</v>
      </c>
      <c r="D1218" t="str">
        <f>"34409"</f>
        <v>34409</v>
      </c>
      <c r="E1218" t="str">
        <f>"1"</f>
        <v>1</v>
      </c>
      <c r="F1218" t="str">
        <f t="shared" ref="F1218:F1281" si="234">"COM"</f>
        <v>COM</v>
      </c>
      <c r="G1218" t="str">
        <f>"RODRIGO TEIXEIRA ROCHA (1007)"</f>
        <v>RODRIGO TEIXEIRA ROCHA (1007)</v>
      </c>
      <c r="H1218" t="s">
        <v>453</v>
      </c>
      <c r="I1218" t="str">
        <f>("12/03/2026")</f>
        <v>12/03/2026</v>
      </c>
      <c r="J1218" t="str">
        <f>("09/03/2026")</f>
        <v>09/03/2026</v>
      </c>
      <c r="K1218">
        <v>46091</v>
      </c>
      <c r="N1218">
        <v>109</v>
      </c>
      <c r="O1218" t="s">
        <v>27</v>
      </c>
      <c r="Q1218">
        <v>20</v>
      </c>
      <c r="R1218" t="str">
        <f>"PENSE FARMA 46 (10194)"</f>
        <v>PENSE FARMA 46 (10194)</v>
      </c>
      <c r="S1218" t="s">
        <v>33</v>
      </c>
      <c r="T1218">
        <v>30407</v>
      </c>
      <c r="U1218">
        <v>34701</v>
      </c>
      <c r="V1218" t="s">
        <v>33</v>
      </c>
    </row>
    <row r="1219" spans="1:22">
      <c r="A1219" t="str">
        <f t="shared" si="233"/>
        <v>10/03/2026</v>
      </c>
      <c r="B1219" t="str">
        <f>"ENTRADA"</f>
        <v>ENTRADA</v>
      </c>
      <c r="C1219" t="str">
        <f>"DINHEIRO"</f>
        <v>DINHEIRO</v>
      </c>
      <c r="D1219" t="str">
        <f>"10012026"</f>
        <v>10012026</v>
      </c>
      <c r="E1219" t="str">
        <f>"3"</f>
        <v>3</v>
      </c>
      <c r="F1219" t="str">
        <f t="shared" si="234"/>
        <v>COM</v>
      </c>
      <c r="G1219" t="str">
        <f>"RODRIGO TEIXEIRA ROCHA (1007)"</f>
        <v>RODRIGO TEIXEIRA ROCHA (1007)</v>
      </c>
      <c r="H1219" t="str">
        <f>"COTA COOPERATIVA"</f>
        <v>COTA COOPERATIVA</v>
      </c>
      <c r="I1219" t="str">
        <f>("10/03/2026")</f>
        <v>10/03/2026</v>
      </c>
      <c r="J1219" t="str">
        <f>("16/10/2025")</f>
        <v>16/10/2025</v>
      </c>
      <c r="K1219" t="str">
        <f>("10/03/2026")</f>
        <v>10/03/2026</v>
      </c>
      <c r="L1219">
        <v>20</v>
      </c>
      <c r="M1219">
        <v>20</v>
      </c>
      <c r="N1219">
        <v>106</v>
      </c>
      <c r="O1219" t="str">
        <f>"ENTRADA DE CAPITAL"</f>
        <v>ENTRADA DE CAPITAL</v>
      </c>
      <c r="P1219">
        <v>20</v>
      </c>
      <c r="S1219" t="str">
        <f>"ENTRADA DE CAPITAL (106)"</f>
        <v>ENTRADA DE CAPITAL (106)</v>
      </c>
      <c r="T1219">
        <v>30408</v>
      </c>
      <c r="U1219">
        <v>28719</v>
      </c>
      <c r="V1219" t="s">
        <v>33</v>
      </c>
    </row>
    <row r="1220" spans="1:22">
      <c r="A1220" t="str">
        <f t="shared" si="233"/>
        <v>10/03/2026</v>
      </c>
      <c r="B1220" t="str">
        <f>"ENTRADA"</f>
        <v>ENTRADA</v>
      </c>
      <c r="C1220" t="str">
        <f>"DINHEIRO"</f>
        <v>DINHEIRO</v>
      </c>
      <c r="D1220" t="str">
        <f>"10012026"</f>
        <v>10012026</v>
      </c>
      <c r="E1220" t="str">
        <f>"3"</f>
        <v>3</v>
      </c>
      <c r="F1220" t="str">
        <f t="shared" si="234"/>
        <v>COM</v>
      </c>
      <c r="G1220" t="str">
        <f>"RODRIGO TEIXEIRA ROCHA (1007)"</f>
        <v>RODRIGO TEIXEIRA ROCHA (1007)</v>
      </c>
      <c r="H1220" t="s">
        <v>97</v>
      </c>
      <c r="I1220" t="str">
        <f>("10/03/2026")</f>
        <v>10/03/2026</v>
      </c>
      <c r="J1220" t="str">
        <f>("16/10/2025")</f>
        <v>16/10/2025</v>
      </c>
      <c r="K1220">
        <v>46091</v>
      </c>
      <c r="N1220">
        <v>106</v>
      </c>
      <c r="O1220" t="s">
        <v>98</v>
      </c>
      <c r="Q1220">
        <v>20</v>
      </c>
      <c r="R1220" t="str">
        <f>"RODRIGO TEIXEIRA ROCHA (1007)"</f>
        <v>RODRIGO TEIXEIRA ROCHA (1007)</v>
      </c>
      <c r="S1220" t="s">
        <v>99</v>
      </c>
      <c r="T1220">
        <v>30408</v>
      </c>
      <c r="U1220">
        <v>28719</v>
      </c>
      <c r="V1220" t="s">
        <v>33</v>
      </c>
    </row>
    <row r="1221" spans="1:22">
      <c r="A1221" t="str">
        <f t="shared" si="233"/>
        <v>10/03/2026</v>
      </c>
      <c r="B1221" t="str">
        <f>"SAÍDA"</f>
        <v>SAÍDA</v>
      </c>
      <c r="C1221" t="str">
        <f>"PIX"</f>
        <v>PIX</v>
      </c>
      <c r="D1221" t="str">
        <f>"34301"</f>
        <v>34301</v>
      </c>
      <c r="E1221" t="str">
        <f>"1"</f>
        <v>1</v>
      </c>
      <c r="F1221" t="str">
        <f t="shared" si="234"/>
        <v>COM</v>
      </c>
      <c r="G1221" t="str">
        <f>"SAMUEL SOARES DA SILVA (867)"</f>
        <v>SAMUEL SOARES DA SILVA (867)</v>
      </c>
      <c r="H1221" t="str">
        <f>"Serv.Prest. 02/03/2026 a 08/03/2026 - PIX: CPF - CHAVE: 396.124.108-28"</f>
        <v>Serv.Prest. 02/03/2026 a 08/03/2026 - PIX: CPF - CHAVE: 396.124.108-28</v>
      </c>
      <c r="I1221" t="str">
        <f>("12/03/2026")</f>
        <v>12/03/2026</v>
      </c>
      <c r="J1221" t="str">
        <f>("09/03/2026")</f>
        <v>09/03/2026</v>
      </c>
      <c r="K1221" t="str">
        <f>("10/03/2026")</f>
        <v>10/03/2026</v>
      </c>
      <c r="L1221">
        <v>20</v>
      </c>
      <c r="M1221">
        <v>20</v>
      </c>
      <c r="N1221">
        <v>109</v>
      </c>
      <c r="O1221" t="str">
        <f>"PAGAMENTO DE ENTREGADORES"</f>
        <v>PAGAMENTO DE ENTREGADORES</v>
      </c>
      <c r="P1221">
        <v>20</v>
      </c>
      <c r="S1221" t="str">
        <f>"BANCO CORA (102)"</f>
        <v>BANCO CORA (102)</v>
      </c>
      <c r="T1221">
        <v>30409</v>
      </c>
      <c r="U1221">
        <v>34704</v>
      </c>
      <c r="V1221" t="s">
        <v>33</v>
      </c>
    </row>
    <row r="1222" spans="1:22">
      <c r="A1222" t="str">
        <f t="shared" si="233"/>
        <v>10/03/2026</v>
      </c>
      <c r="B1222" t="str">
        <f>"SAÍDA"</f>
        <v>SAÍDA</v>
      </c>
      <c r="C1222" t="str">
        <f>"PIX"</f>
        <v>PIX</v>
      </c>
      <c r="D1222" t="str">
        <f>"34301"</f>
        <v>34301</v>
      </c>
      <c r="E1222" t="str">
        <f>"1"</f>
        <v>1</v>
      </c>
      <c r="F1222" t="str">
        <f t="shared" si="234"/>
        <v>COM</v>
      </c>
      <c r="G1222" t="str">
        <f>"SAMUEL SOARES DA SILVA (867)"</f>
        <v>SAMUEL SOARES DA SILVA (867)</v>
      </c>
      <c r="H1222" t="s">
        <v>454</v>
      </c>
      <c r="I1222" t="str">
        <f>("12/03/2026")</f>
        <v>12/03/2026</v>
      </c>
      <c r="J1222" t="str">
        <f>("09/03/2026")</f>
        <v>09/03/2026</v>
      </c>
      <c r="K1222">
        <v>46091</v>
      </c>
      <c r="N1222">
        <v>109</v>
      </c>
      <c r="O1222" t="s">
        <v>27</v>
      </c>
      <c r="Q1222">
        <v>20</v>
      </c>
      <c r="R1222" t="str">
        <f>"DROGA ELIDA (10121)"</f>
        <v>DROGA ELIDA (10121)</v>
      </c>
      <c r="S1222" t="s">
        <v>33</v>
      </c>
      <c r="T1222">
        <v>30409</v>
      </c>
      <c r="U1222">
        <v>34704</v>
      </c>
      <c r="V1222" t="s">
        <v>33</v>
      </c>
    </row>
    <row r="1223" spans="1:22">
      <c r="A1223" t="str">
        <f t="shared" si="233"/>
        <v>10/03/2026</v>
      </c>
      <c r="B1223" t="str">
        <f>"ENTRADA"</f>
        <v>ENTRADA</v>
      </c>
      <c r="C1223" t="str">
        <f>"DINHEIRO"</f>
        <v>DINHEIRO</v>
      </c>
      <c r="D1223" t="str">
        <f>"867"</f>
        <v>867</v>
      </c>
      <c r="E1223" t="str">
        <f>"8"</f>
        <v>8</v>
      </c>
      <c r="F1223" t="str">
        <f t="shared" si="234"/>
        <v>COM</v>
      </c>
      <c r="G1223" t="str">
        <f>"SAMUEL SOARES DA SILVA (867)"</f>
        <v>SAMUEL SOARES DA SILVA (867)</v>
      </c>
      <c r="H1223" t="str">
        <f>"COTA COOPERATIVA"</f>
        <v>COTA COOPERATIVA</v>
      </c>
      <c r="I1223" t="str">
        <f>("10/03/2026")</f>
        <v>10/03/2026</v>
      </c>
      <c r="J1223" t="str">
        <f>("30/06/2025")</f>
        <v>30/06/2025</v>
      </c>
      <c r="K1223" t="str">
        <f>("10/03/2026")</f>
        <v>10/03/2026</v>
      </c>
      <c r="L1223">
        <v>20</v>
      </c>
      <c r="M1223">
        <v>20</v>
      </c>
      <c r="N1223">
        <v>106</v>
      </c>
      <c r="O1223" t="str">
        <f>"ENTRADA DE CAPITAL"</f>
        <v>ENTRADA DE CAPITAL</v>
      </c>
      <c r="P1223">
        <v>20</v>
      </c>
      <c r="S1223" t="str">
        <f>"ENTRADA DE CAPITAL (106)"</f>
        <v>ENTRADA DE CAPITAL (106)</v>
      </c>
      <c r="T1223">
        <v>30410</v>
      </c>
      <c r="U1223">
        <v>19959</v>
      </c>
      <c r="V1223" t="s">
        <v>33</v>
      </c>
    </row>
    <row r="1224" spans="1:22">
      <c r="A1224" t="str">
        <f t="shared" si="233"/>
        <v>10/03/2026</v>
      </c>
      <c r="B1224" t="str">
        <f>"ENTRADA"</f>
        <v>ENTRADA</v>
      </c>
      <c r="C1224" t="str">
        <f>"DINHEIRO"</f>
        <v>DINHEIRO</v>
      </c>
      <c r="D1224" t="str">
        <f>"867"</f>
        <v>867</v>
      </c>
      <c r="E1224" t="str">
        <f>"8"</f>
        <v>8</v>
      </c>
      <c r="F1224" t="str">
        <f t="shared" si="234"/>
        <v>COM</v>
      </c>
      <c r="G1224" t="str">
        <f>"SAMUEL SOARES DA SILVA (867)"</f>
        <v>SAMUEL SOARES DA SILVA (867)</v>
      </c>
      <c r="H1224" t="s">
        <v>97</v>
      </c>
      <c r="I1224" t="str">
        <f>("10/03/2026")</f>
        <v>10/03/2026</v>
      </c>
      <c r="J1224" t="str">
        <f>("30/06/2025")</f>
        <v>30/06/2025</v>
      </c>
      <c r="K1224">
        <v>46091</v>
      </c>
      <c r="N1224">
        <v>106</v>
      </c>
      <c r="O1224" t="s">
        <v>98</v>
      </c>
      <c r="Q1224">
        <v>20</v>
      </c>
      <c r="R1224" t="str">
        <f>"SAMUEL SOARES DA SILVA (867)"</f>
        <v>SAMUEL SOARES DA SILVA (867)</v>
      </c>
      <c r="S1224" t="s">
        <v>99</v>
      </c>
      <c r="T1224">
        <v>30410</v>
      </c>
      <c r="U1224">
        <v>19959</v>
      </c>
      <c r="V1224" t="s">
        <v>33</v>
      </c>
    </row>
    <row r="1225" spans="1:22">
      <c r="A1225" t="str">
        <f t="shared" si="233"/>
        <v>10/03/2026</v>
      </c>
      <c r="B1225" t="str">
        <f>"SAÍDA"</f>
        <v>SAÍDA</v>
      </c>
      <c r="C1225" t="str">
        <f>"PIX"</f>
        <v>PIX</v>
      </c>
      <c r="D1225" t="str">
        <f>"34307"</f>
        <v>34307</v>
      </c>
      <c r="E1225" t="str">
        <f>"1"</f>
        <v>1</v>
      </c>
      <c r="F1225" t="str">
        <f t="shared" si="234"/>
        <v>COM</v>
      </c>
      <c r="G1225" t="str">
        <f>"THALES VINÍCIUS RODRIGUES DE OLIVEIRA (704)"</f>
        <v>THALES VINÍCIUS RODRIGUES DE OLIVEIRA (704)</v>
      </c>
      <c r="H1225" t="str">
        <f>"Serv.Prest. 02/03/2026 a 08/03/2026 - PIX: CELULAR - CHAVE: (37) 99138-1777"</f>
        <v>Serv.Prest. 02/03/2026 a 08/03/2026 - PIX: CELULAR - CHAVE: (37) 99138-1777</v>
      </c>
      <c r="I1225" t="str">
        <f>("12/03/2026")</f>
        <v>12/03/2026</v>
      </c>
      <c r="J1225" t="str">
        <f>("09/03/2026")</f>
        <v>09/03/2026</v>
      </c>
      <c r="K1225" t="str">
        <f>("10/03/2026")</f>
        <v>10/03/2026</v>
      </c>
      <c r="L1225">
        <v>20</v>
      </c>
      <c r="M1225">
        <v>20</v>
      </c>
      <c r="N1225">
        <v>109</v>
      </c>
      <c r="O1225" t="str">
        <f>"PAGAMENTO DE ENTREGADORES"</f>
        <v>PAGAMENTO DE ENTREGADORES</v>
      </c>
      <c r="P1225">
        <v>20</v>
      </c>
      <c r="S1225" t="str">
        <f>"BANCO CORA (102)"</f>
        <v>BANCO CORA (102)</v>
      </c>
      <c r="T1225">
        <v>30411</v>
      </c>
      <c r="U1225">
        <v>34705</v>
      </c>
      <c r="V1225" t="s">
        <v>33</v>
      </c>
    </row>
    <row r="1226" spans="1:22">
      <c r="A1226" t="str">
        <f t="shared" si="233"/>
        <v>10/03/2026</v>
      </c>
      <c r="B1226" t="str">
        <f>"SAÍDA"</f>
        <v>SAÍDA</v>
      </c>
      <c r="C1226" t="str">
        <f>"PIX"</f>
        <v>PIX</v>
      </c>
      <c r="D1226" t="str">
        <f>"34307"</f>
        <v>34307</v>
      </c>
      <c r="E1226" t="str">
        <f>"1"</f>
        <v>1</v>
      </c>
      <c r="F1226" t="str">
        <f t="shared" si="234"/>
        <v>COM</v>
      </c>
      <c r="G1226" t="str">
        <f>"THALES VINÍCIUS RODRIGUES DE OLIVEIRA (704)"</f>
        <v>THALES VINÍCIUS RODRIGUES DE OLIVEIRA (704)</v>
      </c>
      <c r="H1226" t="s">
        <v>455</v>
      </c>
      <c r="I1226" t="str">
        <f>("12/03/2026")</f>
        <v>12/03/2026</v>
      </c>
      <c r="J1226" t="str">
        <f>("09/03/2026")</f>
        <v>09/03/2026</v>
      </c>
      <c r="K1226">
        <v>46091</v>
      </c>
      <c r="N1226">
        <v>109</v>
      </c>
      <c r="O1226" t="s">
        <v>27</v>
      </c>
      <c r="Q1226">
        <v>20</v>
      </c>
      <c r="R1226" t="str">
        <f>"DROGARIA POUPA MINAS (ULTRAMINAS) 1 (10181)"</f>
        <v>DROGARIA POUPA MINAS (ULTRAMINAS) 1 (10181)</v>
      </c>
      <c r="S1226" t="s">
        <v>33</v>
      </c>
      <c r="T1226">
        <v>30411</v>
      </c>
      <c r="U1226">
        <v>34705</v>
      </c>
      <c r="V1226" t="s">
        <v>33</v>
      </c>
    </row>
    <row r="1227" spans="1:22">
      <c r="A1227" t="str">
        <f t="shared" si="233"/>
        <v>10/03/2026</v>
      </c>
      <c r="B1227" t="str">
        <f>"ENTRADA"</f>
        <v>ENTRADA</v>
      </c>
      <c r="C1227" t="str">
        <f>"DINHEIRO"</f>
        <v>DINHEIRO</v>
      </c>
      <c r="D1227" t="str">
        <f>"704"</f>
        <v>704</v>
      </c>
      <c r="E1227" t="str">
        <f>"12"</f>
        <v>12</v>
      </c>
      <c r="F1227" t="str">
        <f t="shared" si="234"/>
        <v>COM</v>
      </c>
      <c r="G1227" t="str">
        <f>"THALES VINÍCIUS RODRIGUES DE OLIVEIRA (704)"</f>
        <v>THALES VINÍCIUS RODRIGUES DE OLIVEIRA (704)</v>
      </c>
      <c r="H1227" t="str">
        <f>"COTAS COOPERATIVA"</f>
        <v>COTAS COOPERATIVA</v>
      </c>
      <c r="I1227" t="str">
        <f>("10/03/2026")</f>
        <v>10/03/2026</v>
      </c>
      <c r="J1227" t="str">
        <f>("17/03/2025")</f>
        <v>17/03/2025</v>
      </c>
      <c r="K1227" t="str">
        <f>("10/03/2026")</f>
        <v>10/03/2026</v>
      </c>
      <c r="L1227">
        <v>20</v>
      </c>
      <c r="M1227">
        <v>20</v>
      </c>
      <c r="N1227">
        <v>106</v>
      </c>
      <c r="O1227" t="str">
        <f>"ENTRADA DE CAPITAL"</f>
        <v>ENTRADA DE CAPITAL</v>
      </c>
      <c r="P1227">
        <v>20</v>
      </c>
      <c r="S1227" t="str">
        <f>"ENTRADA DE CAPITAL (106)"</f>
        <v>ENTRADA DE CAPITAL (106)</v>
      </c>
      <c r="T1227">
        <v>30412</v>
      </c>
      <c r="U1227">
        <v>11917</v>
      </c>
      <c r="V1227" t="s">
        <v>33</v>
      </c>
    </row>
    <row r="1228" spans="1:22">
      <c r="A1228" t="str">
        <f t="shared" si="233"/>
        <v>10/03/2026</v>
      </c>
      <c r="B1228" t="str">
        <f>"ENTRADA"</f>
        <v>ENTRADA</v>
      </c>
      <c r="C1228" t="str">
        <f>"DINHEIRO"</f>
        <v>DINHEIRO</v>
      </c>
      <c r="D1228" t="str">
        <f>"704"</f>
        <v>704</v>
      </c>
      <c r="E1228" t="str">
        <f>"12"</f>
        <v>12</v>
      </c>
      <c r="F1228" t="str">
        <f t="shared" si="234"/>
        <v>COM</v>
      </c>
      <c r="G1228" t="str">
        <f>"THALES VINÍCIUS RODRIGUES DE OLIVEIRA (704)"</f>
        <v>THALES VINÍCIUS RODRIGUES DE OLIVEIRA (704)</v>
      </c>
      <c r="H1228" t="s">
        <v>430</v>
      </c>
      <c r="I1228" t="str">
        <f>("10/03/2026")</f>
        <v>10/03/2026</v>
      </c>
      <c r="J1228" t="str">
        <f>("17/03/2025")</f>
        <v>17/03/2025</v>
      </c>
      <c r="K1228">
        <v>46091</v>
      </c>
      <c r="N1228">
        <v>106</v>
      </c>
      <c r="O1228" t="s">
        <v>98</v>
      </c>
      <c r="Q1228">
        <v>20</v>
      </c>
      <c r="R1228" t="str">
        <f>"THALES VINÍCIUS RODRIGUES DE OLIVEIRA (704)"</f>
        <v>THALES VINÍCIUS RODRIGUES DE OLIVEIRA (704)</v>
      </c>
      <c r="S1228" t="s">
        <v>99</v>
      </c>
      <c r="T1228">
        <v>30412</v>
      </c>
      <c r="U1228">
        <v>11917</v>
      </c>
      <c r="V1228" t="s">
        <v>33</v>
      </c>
    </row>
    <row r="1229" spans="1:22">
      <c r="A1229" t="str">
        <f t="shared" si="233"/>
        <v>10/03/2026</v>
      </c>
      <c r="B1229" t="str">
        <f>"SAÍDA"</f>
        <v>SAÍDA</v>
      </c>
      <c r="C1229" t="str">
        <f>"PIX"</f>
        <v>PIX</v>
      </c>
      <c r="D1229" t="str">
        <f>"34185"</f>
        <v>34185</v>
      </c>
      <c r="E1229" t="str">
        <f>"1"</f>
        <v>1</v>
      </c>
      <c r="F1229" t="str">
        <f t="shared" si="234"/>
        <v>COM</v>
      </c>
      <c r="G1229" t="str">
        <f>"VICTOR RILLEY CRUZ MESQUITA (1005)"</f>
        <v>VICTOR RILLEY CRUZ MESQUITA (1005)</v>
      </c>
      <c r="H1229" t="str">
        <f>"Serv.Prest. 23/02/2026 a 01/03/2026 - PIX: CELULAR - CHAVE: (33) 99973-4407"</f>
        <v>Serv.Prest. 23/02/2026 a 01/03/2026 - PIX: CELULAR - CHAVE: (33) 99973-4407</v>
      </c>
      <c r="I1229" t="str">
        <f>("12/03/2026")</f>
        <v>12/03/2026</v>
      </c>
      <c r="J1229" t="str">
        <f>("03/03/2026")</f>
        <v>03/03/2026</v>
      </c>
      <c r="K1229" t="str">
        <f>("10/03/2026")</f>
        <v>10/03/2026</v>
      </c>
      <c r="L1229">
        <v>20</v>
      </c>
      <c r="M1229">
        <v>20</v>
      </c>
      <c r="N1229">
        <v>109</v>
      </c>
      <c r="O1229" t="str">
        <f>"PAGAMENTO DE ENTREGADORES"</f>
        <v>PAGAMENTO DE ENTREGADORES</v>
      </c>
      <c r="P1229">
        <v>20</v>
      </c>
      <c r="S1229" t="str">
        <f>"BANCO CORA (102)"</f>
        <v>BANCO CORA (102)</v>
      </c>
      <c r="T1229">
        <v>30415</v>
      </c>
      <c r="U1229">
        <v>34706</v>
      </c>
      <c r="V1229" t="s">
        <v>33</v>
      </c>
    </row>
    <row r="1230" spans="1:22">
      <c r="A1230" t="str">
        <f t="shared" si="233"/>
        <v>10/03/2026</v>
      </c>
      <c r="B1230" t="str">
        <f>"SAÍDA"</f>
        <v>SAÍDA</v>
      </c>
      <c r="C1230" t="str">
        <f>"PIX"</f>
        <v>PIX</v>
      </c>
      <c r="D1230" t="str">
        <f>"34185"</f>
        <v>34185</v>
      </c>
      <c r="E1230" t="str">
        <f>"1"</f>
        <v>1</v>
      </c>
      <c r="F1230" t="str">
        <f t="shared" si="234"/>
        <v>COM</v>
      </c>
      <c r="G1230" t="str">
        <f>"VICTOR RILLEY CRUZ MESQUITA (1005)"</f>
        <v>VICTOR RILLEY CRUZ MESQUITA (1005)</v>
      </c>
      <c r="H1230" t="s">
        <v>456</v>
      </c>
      <c r="I1230" t="str">
        <f>("12/03/2026")</f>
        <v>12/03/2026</v>
      </c>
      <c r="J1230" t="str">
        <f>("03/03/2026")</f>
        <v>03/03/2026</v>
      </c>
      <c r="K1230">
        <v>46091</v>
      </c>
      <c r="N1230">
        <v>109</v>
      </c>
      <c r="O1230" t="s">
        <v>27</v>
      </c>
      <c r="Q1230">
        <v>20</v>
      </c>
      <c r="R1230" t="str">
        <f>"FARMÁCIA INDIANA LJ 07 (10007)"</f>
        <v>FARMÁCIA INDIANA LJ 07 (10007)</v>
      </c>
      <c r="S1230" t="s">
        <v>33</v>
      </c>
      <c r="T1230">
        <v>30415</v>
      </c>
      <c r="U1230">
        <v>34706</v>
      </c>
      <c r="V1230" t="s">
        <v>33</v>
      </c>
    </row>
    <row r="1231" spans="1:22">
      <c r="A1231" t="str">
        <f t="shared" si="233"/>
        <v>10/03/2026</v>
      </c>
      <c r="B1231" t="str">
        <f>"ENTRADA"</f>
        <v>ENTRADA</v>
      </c>
      <c r="C1231" t="str">
        <f>"DINHEIRO"</f>
        <v>DINHEIRO</v>
      </c>
      <c r="D1231" t="str">
        <f>"10122025"</f>
        <v>10122025</v>
      </c>
      <c r="E1231" t="str">
        <f>"4"</f>
        <v>4</v>
      </c>
      <c r="F1231" t="str">
        <f t="shared" si="234"/>
        <v>COM</v>
      </c>
      <c r="G1231" t="str">
        <f>"VICTOR RILLEY CRUZ MESQUITA (1005)"</f>
        <v>VICTOR RILLEY CRUZ MESQUITA (1005)</v>
      </c>
      <c r="H1231" t="str">
        <f>"COTA COOPERATIVA"</f>
        <v>COTA COOPERATIVA</v>
      </c>
      <c r="I1231" t="str">
        <f>("10/03/2026")</f>
        <v>10/03/2026</v>
      </c>
      <c r="J1231" t="str">
        <f>("16/10/2025")</f>
        <v>16/10/2025</v>
      </c>
      <c r="K1231" t="str">
        <f>("10/03/2026")</f>
        <v>10/03/2026</v>
      </c>
      <c r="L1231">
        <v>20</v>
      </c>
      <c r="M1231">
        <v>20</v>
      </c>
      <c r="N1231">
        <v>106</v>
      </c>
      <c r="O1231" t="str">
        <f>"ENTRADA DE CAPITAL"</f>
        <v>ENTRADA DE CAPITAL</v>
      </c>
      <c r="P1231">
        <v>20</v>
      </c>
      <c r="S1231" t="str">
        <f>"ENTRADA DE CAPITAL (106)"</f>
        <v>ENTRADA DE CAPITAL (106)</v>
      </c>
      <c r="T1231">
        <v>30416</v>
      </c>
      <c r="U1231">
        <v>27802</v>
      </c>
      <c r="V1231" t="s">
        <v>33</v>
      </c>
    </row>
    <row r="1232" spans="1:22">
      <c r="A1232" t="str">
        <f t="shared" si="233"/>
        <v>10/03/2026</v>
      </c>
      <c r="B1232" t="str">
        <f>"ENTRADA"</f>
        <v>ENTRADA</v>
      </c>
      <c r="C1232" t="str">
        <f>"DINHEIRO"</f>
        <v>DINHEIRO</v>
      </c>
      <c r="D1232" t="str">
        <f>"10122025"</f>
        <v>10122025</v>
      </c>
      <c r="E1232" t="str">
        <f>"4"</f>
        <v>4</v>
      </c>
      <c r="F1232" t="str">
        <f t="shared" si="234"/>
        <v>COM</v>
      </c>
      <c r="G1232" t="str">
        <f>"VICTOR RILLEY CRUZ MESQUITA (1005)"</f>
        <v>VICTOR RILLEY CRUZ MESQUITA (1005)</v>
      </c>
      <c r="H1232" t="s">
        <v>97</v>
      </c>
      <c r="I1232" t="str">
        <f>("10/03/2026")</f>
        <v>10/03/2026</v>
      </c>
      <c r="J1232" t="str">
        <f>("16/10/2025")</f>
        <v>16/10/2025</v>
      </c>
      <c r="K1232">
        <v>46091</v>
      </c>
      <c r="N1232">
        <v>106</v>
      </c>
      <c r="O1232" t="s">
        <v>98</v>
      </c>
      <c r="Q1232">
        <v>20</v>
      </c>
      <c r="R1232" t="str">
        <f>"VICTOR RILLEY CRUZ MESQUITA (1005)"</f>
        <v>VICTOR RILLEY CRUZ MESQUITA (1005)</v>
      </c>
      <c r="S1232" t="s">
        <v>99</v>
      </c>
      <c r="T1232">
        <v>30416</v>
      </c>
      <c r="U1232">
        <v>27802</v>
      </c>
      <c r="V1232" t="s">
        <v>33</v>
      </c>
    </row>
    <row r="1233" spans="1:22">
      <c r="A1233" t="str">
        <f t="shared" si="233"/>
        <v>10/03/2026</v>
      </c>
      <c r="B1233" t="str">
        <f>"SAÍDA"</f>
        <v>SAÍDA</v>
      </c>
      <c r="C1233" t="str">
        <f>"PIX"</f>
        <v>PIX</v>
      </c>
      <c r="D1233" t="str">
        <f>"34186"</f>
        <v>34186</v>
      </c>
      <c r="E1233" t="str">
        <f>"1"</f>
        <v>1</v>
      </c>
      <c r="F1233" t="str">
        <f t="shared" si="234"/>
        <v>COM</v>
      </c>
      <c r="G1233" t="str">
        <f>"VINICIUS DE SOUZA ISABEL (658)"</f>
        <v>VINICIUS DE SOUZA ISABEL (658)</v>
      </c>
      <c r="H1233" t="str">
        <f>"Serv.Prest. 23/02/2026 a 01/03/2026 - PIX: CPF - CHAVE: 092.566.416-23"</f>
        <v>Serv.Prest. 23/02/2026 a 01/03/2026 - PIX: CPF - CHAVE: 092.566.416-23</v>
      </c>
      <c r="I1233" t="str">
        <f>("12/03/2026")</f>
        <v>12/03/2026</v>
      </c>
      <c r="J1233" t="str">
        <f>("03/03/2026")</f>
        <v>03/03/2026</v>
      </c>
      <c r="K1233" t="str">
        <f>("10/03/2026")</f>
        <v>10/03/2026</v>
      </c>
      <c r="L1233">
        <v>20</v>
      </c>
      <c r="M1233">
        <v>20</v>
      </c>
      <c r="N1233">
        <v>109</v>
      </c>
      <c r="O1233" t="str">
        <f>"PAGAMENTO DE ENTREGADORES"</f>
        <v>PAGAMENTO DE ENTREGADORES</v>
      </c>
      <c r="P1233">
        <v>20</v>
      </c>
      <c r="S1233" t="str">
        <f>"BANCO CORA (102)"</f>
        <v>BANCO CORA (102)</v>
      </c>
      <c r="T1233">
        <v>30417</v>
      </c>
      <c r="U1233">
        <v>34707</v>
      </c>
      <c r="V1233" t="s">
        <v>33</v>
      </c>
    </row>
    <row r="1234" spans="1:22">
      <c r="A1234" t="str">
        <f t="shared" si="233"/>
        <v>10/03/2026</v>
      </c>
      <c r="B1234" t="str">
        <f>"SAÍDA"</f>
        <v>SAÍDA</v>
      </c>
      <c r="C1234" t="str">
        <f>"PIX"</f>
        <v>PIX</v>
      </c>
      <c r="D1234" t="str">
        <f>"34186"</f>
        <v>34186</v>
      </c>
      <c r="E1234" t="str">
        <f>"1"</f>
        <v>1</v>
      </c>
      <c r="F1234" t="str">
        <f t="shared" si="234"/>
        <v>COM</v>
      </c>
      <c r="G1234" t="str">
        <f>"VINICIUS DE SOUZA ISABEL (658)"</f>
        <v>VINICIUS DE SOUZA ISABEL (658)</v>
      </c>
      <c r="H1234" t="s">
        <v>457</v>
      </c>
      <c r="I1234" t="str">
        <f>("12/03/2026")</f>
        <v>12/03/2026</v>
      </c>
      <c r="J1234" t="str">
        <f>("03/03/2026")</f>
        <v>03/03/2026</v>
      </c>
      <c r="K1234">
        <v>46091</v>
      </c>
      <c r="N1234">
        <v>109</v>
      </c>
      <c r="O1234" t="s">
        <v>27</v>
      </c>
      <c r="Q1234">
        <v>20</v>
      </c>
      <c r="R1234" t="str">
        <f>"FARMÁCIA INDIANA LJ 219 (10091)"</f>
        <v>FARMÁCIA INDIANA LJ 219 (10091)</v>
      </c>
      <c r="S1234" t="s">
        <v>33</v>
      </c>
      <c r="T1234">
        <v>30417</v>
      </c>
      <c r="U1234">
        <v>34707</v>
      </c>
      <c r="V1234" t="s">
        <v>33</v>
      </c>
    </row>
    <row r="1235" spans="1:22">
      <c r="A1235" t="str">
        <f t="shared" ref="A1235:A1298" si="235">("10/03/2026")</f>
        <v>10/03/2026</v>
      </c>
      <c r="B1235" t="str">
        <f>"ENTRADA"</f>
        <v>ENTRADA</v>
      </c>
      <c r="C1235" t="str">
        <f>"DINHEIRO"</f>
        <v>DINHEIRO</v>
      </c>
      <c r="D1235" t="str">
        <f>"25"</f>
        <v>25</v>
      </c>
      <c r="E1235" t="str">
        <f>"13"</f>
        <v>13</v>
      </c>
      <c r="F1235" t="str">
        <f t="shared" si="234"/>
        <v>COM</v>
      </c>
      <c r="G1235" t="str">
        <f>"VINICIUS DE SOUZA ISABEL (658)"</f>
        <v>VINICIUS DE SOUZA ISABEL (658)</v>
      </c>
      <c r="H1235" t="str">
        <f>"COTA COOPERADO"</f>
        <v>COTA COOPERADO</v>
      </c>
      <c r="I1235" t="str">
        <f>("10/03/2026")</f>
        <v>10/03/2026</v>
      </c>
      <c r="J1235" t="str">
        <f>("10/04/2025")</f>
        <v>10/04/2025</v>
      </c>
      <c r="K1235" t="str">
        <f>("10/03/2026")</f>
        <v>10/03/2026</v>
      </c>
      <c r="L1235">
        <v>20</v>
      </c>
      <c r="M1235">
        <v>20</v>
      </c>
      <c r="N1235">
        <v>106</v>
      </c>
      <c r="O1235" t="str">
        <f>"ENTRADA DE CAPITAL"</f>
        <v>ENTRADA DE CAPITAL</v>
      </c>
      <c r="P1235">
        <v>20</v>
      </c>
      <c r="S1235" t="str">
        <f>"ENTRADA DE CAPITAL (106)"</f>
        <v>ENTRADA DE CAPITAL (106)</v>
      </c>
      <c r="T1235">
        <v>30418</v>
      </c>
      <c r="U1235">
        <v>12409</v>
      </c>
      <c r="V1235" t="s">
        <v>33</v>
      </c>
    </row>
    <row r="1236" spans="1:22">
      <c r="A1236" t="str">
        <f t="shared" si="235"/>
        <v>10/03/2026</v>
      </c>
      <c r="B1236" t="str">
        <f>"ENTRADA"</f>
        <v>ENTRADA</v>
      </c>
      <c r="C1236" t="str">
        <f>"DINHEIRO"</f>
        <v>DINHEIRO</v>
      </c>
      <c r="D1236" t="str">
        <f>"25"</f>
        <v>25</v>
      </c>
      <c r="E1236" t="str">
        <f>"13"</f>
        <v>13</v>
      </c>
      <c r="F1236" t="str">
        <f t="shared" si="234"/>
        <v>COM</v>
      </c>
      <c r="G1236" t="str">
        <f>"VINICIUS DE SOUZA ISABEL (658)"</f>
        <v>VINICIUS DE SOUZA ISABEL (658)</v>
      </c>
      <c r="H1236" t="s">
        <v>458</v>
      </c>
      <c r="I1236" t="str">
        <f>("10/03/2026")</f>
        <v>10/03/2026</v>
      </c>
      <c r="J1236" t="str">
        <f>("10/04/2025")</f>
        <v>10/04/2025</v>
      </c>
      <c r="K1236">
        <v>46091</v>
      </c>
      <c r="N1236">
        <v>106</v>
      </c>
      <c r="O1236" t="s">
        <v>98</v>
      </c>
      <c r="Q1236">
        <v>20</v>
      </c>
      <c r="R1236" t="str">
        <f>"VINICIUS DE SOUZA ISABEL (658)"</f>
        <v>VINICIUS DE SOUZA ISABEL (658)</v>
      </c>
      <c r="S1236" t="s">
        <v>99</v>
      </c>
      <c r="T1236">
        <v>30418</v>
      </c>
      <c r="U1236">
        <v>12409</v>
      </c>
      <c r="V1236" t="s">
        <v>33</v>
      </c>
    </row>
    <row r="1237" spans="1:22">
      <c r="A1237" t="str">
        <f t="shared" si="235"/>
        <v>10/03/2026</v>
      </c>
      <c r="B1237" t="str">
        <f>"SAÍDA"</f>
        <v>SAÍDA</v>
      </c>
      <c r="C1237" t="str">
        <f>"PIX"</f>
        <v>PIX</v>
      </c>
      <c r="D1237" t="str">
        <f>"34087"</f>
        <v>34087</v>
      </c>
      <c r="E1237" t="str">
        <f>"1"</f>
        <v>1</v>
      </c>
      <c r="F1237" t="str">
        <f t="shared" si="234"/>
        <v>COM</v>
      </c>
      <c r="G1237" t="str">
        <f>"YAN BRENDO CORREIA VIEIRA (861)"</f>
        <v>YAN BRENDO CORREIA VIEIRA (861)</v>
      </c>
      <c r="H1237" t="str">
        <f>"Serv.Prest. 23/02/2026 a 01/03/2026 - PIX: CPF - CHAVE: 096.891.935-97"</f>
        <v>Serv.Prest. 23/02/2026 a 01/03/2026 - PIX: CPF - CHAVE: 096.891.935-97</v>
      </c>
      <c r="I1237" t="str">
        <f>("12/03/2026")</f>
        <v>12/03/2026</v>
      </c>
      <c r="J1237" t="str">
        <f>("03/03/2026")</f>
        <v>03/03/2026</v>
      </c>
      <c r="K1237" t="str">
        <f>("10/03/2026")</f>
        <v>10/03/2026</v>
      </c>
      <c r="L1237">
        <v>20</v>
      </c>
      <c r="M1237">
        <v>20</v>
      </c>
      <c r="N1237">
        <v>109</v>
      </c>
      <c r="O1237" t="str">
        <f>"PAGAMENTO DE ENTREGADORES"</f>
        <v>PAGAMENTO DE ENTREGADORES</v>
      </c>
      <c r="P1237">
        <v>20</v>
      </c>
      <c r="S1237" t="str">
        <f>"BANCO CORA (102)"</f>
        <v>BANCO CORA (102)</v>
      </c>
      <c r="T1237">
        <v>30419</v>
      </c>
      <c r="U1237">
        <v>34708</v>
      </c>
      <c r="V1237" t="s">
        <v>33</v>
      </c>
    </row>
    <row r="1238" spans="1:22">
      <c r="A1238" t="str">
        <f t="shared" si="235"/>
        <v>10/03/2026</v>
      </c>
      <c r="B1238" t="str">
        <f>"SAÍDA"</f>
        <v>SAÍDA</v>
      </c>
      <c r="C1238" t="str">
        <f>"PIX"</f>
        <v>PIX</v>
      </c>
      <c r="D1238" t="str">
        <f>"34087"</f>
        <v>34087</v>
      </c>
      <c r="E1238" t="str">
        <f>"1"</f>
        <v>1</v>
      </c>
      <c r="F1238" t="str">
        <f t="shared" si="234"/>
        <v>COM</v>
      </c>
      <c r="G1238" t="str">
        <f>"YAN BRENDO CORREIA VIEIRA (861)"</f>
        <v>YAN BRENDO CORREIA VIEIRA (861)</v>
      </c>
      <c r="H1238" t="s">
        <v>459</v>
      </c>
      <c r="I1238" t="str">
        <f>("12/03/2026")</f>
        <v>12/03/2026</v>
      </c>
      <c r="J1238" t="str">
        <f>("03/03/2026")</f>
        <v>03/03/2026</v>
      </c>
      <c r="K1238">
        <v>46091</v>
      </c>
      <c r="N1238">
        <v>109</v>
      </c>
      <c r="O1238" t="s">
        <v>27</v>
      </c>
      <c r="Q1238">
        <v>20</v>
      </c>
      <c r="R1238" t="str">
        <f>"FARMÁCIA INDIANA LJ 200 (10155)"</f>
        <v>FARMÁCIA INDIANA LJ 200 (10155)</v>
      </c>
      <c r="S1238" t="s">
        <v>33</v>
      </c>
      <c r="T1238">
        <v>30419</v>
      </c>
      <c r="U1238">
        <v>34708</v>
      </c>
      <c r="V1238" t="s">
        <v>33</v>
      </c>
    </row>
    <row r="1239" spans="1:22">
      <c r="A1239" t="str">
        <f t="shared" si="235"/>
        <v>10/03/2026</v>
      </c>
      <c r="B1239" t="str">
        <f>"ENTRADA"</f>
        <v>ENTRADA</v>
      </c>
      <c r="C1239" t="str">
        <f>"DINHEIRO"</f>
        <v>DINHEIRO</v>
      </c>
      <c r="D1239" t="str">
        <f>"861"</f>
        <v>861</v>
      </c>
      <c r="E1239" t="str">
        <f>"9"</f>
        <v>9</v>
      </c>
      <c r="F1239" t="str">
        <f t="shared" si="234"/>
        <v>COM</v>
      </c>
      <c r="G1239" t="str">
        <f>"YAN BRENDO CORREIA VIEIRA (861)"</f>
        <v>YAN BRENDO CORREIA VIEIRA (861)</v>
      </c>
      <c r="H1239" t="str">
        <f>"COTA COOPERATIVA"</f>
        <v>COTA COOPERATIVA</v>
      </c>
      <c r="I1239" t="str">
        <f>("10/03/2026")</f>
        <v>10/03/2026</v>
      </c>
      <c r="J1239" t="str">
        <f>("23/06/2025")</f>
        <v>23/06/2025</v>
      </c>
      <c r="K1239" t="str">
        <f>("10/03/2026")</f>
        <v>10/03/2026</v>
      </c>
      <c r="L1239">
        <v>20</v>
      </c>
      <c r="M1239">
        <v>20</v>
      </c>
      <c r="N1239">
        <v>106</v>
      </c>
      <c r="O1239" t="str">
        <f>"ENTRADA DE CAPITAL"</f>
        <v>ENTRADA DE CAPITAL</v>
      </c>
      <c r="P1239">
        <v>20</v>
      </c>
      <c r="S1239" t="str">
        <f>"ENTRADA DE CAPITAL (106)"</f>
        <v>ENTRADA DE CAPITAL (106)</v>
      </c>
      <c r="T1239">
        <v>30420</v>
      </c>
      <c r="U1239">
        <v>18397</v>
      </c>
      <c r="V1239" t="s">
        <v>33</v>
      </c>
    </row>
    <row r="1240" spans="1:22">
      <c r="A1240" t="str">
        <f t="shared" si="235"/>
        <v>10/03/2026</v>
      </c>
      <c r="B1240" t="str">
        <f>"ENTRADA"</f>
        <v>ENTRADA</v>
      </c>
      <c r="C1240" t="str">
        <f>"DINHEIRO"</f>
        <v>DINHEIRO</v>
      </c>
      <c r="D1240" t="str">
        <f>"861"</f>
        <v>861</v>
      </c>
      <c r="E1240" t="str">
        <f>"9"</f>
        <v>9</v>
      </c>
      <c r="F1240" t="str">
        <f t="shared" si="234"/>
        <v>COM</v>
      </c>
      <c r="G1240" t="str">
        <f>"YAN BRENDO CORREIA VIEIRA (861)"</f>
        <v>YAN BRENDO CORREIA VIEIRA (861)</v>
      </c>
      <c r="H1240" t="s">
        <v>97</v>
      </c>
      <c r="I1240" t="str">
        <f>("10/03/2026")</f>
        <v>10/03/2026</v>
      </c>
      <c r="J1240" t="str">
        <f>("23/06/2025")</f>
        <v>23/06/2025</v>
      </c>
      <c r="K1240">
        <v>46091</v>
      </c>
      <c r="N1240">
        <v>106</v>
      </c>
      <c r="O1240" t="s">
        <v>98</v>
      </c>
      <c r="Q1240">
        <v>20</v>
      </c>
      <c r="R1240" t="str">
        <f>"YAN BRENDO CORREIA VIEIRA (861)"</f>
        <v>YAN BRENDO CORREIA VIEIRA (861)</v>
      </c>
      <c r="S1240" t="s">
        <v>99</v>
      </c>
      <c r="T1240">
        <v>30420</v>
      </c>
      <c r="U1240">
        <v>18397</v>
      </c>
      <c r="V1240" t="s">
        <v>33</v>
      </c>
    </row>
    <row r="1241" spans="1:22">
      <c r="A1241" t="str">
        <f t="shared" si="235"/>
        <v>10/03/2026</v>
      </c>
      <c r="B1241" t="str">
        <f>"SAÍDA"</f>
        <v>SAÍDA</v>
      </c>
      <c r="C1241" t="str">
        <f>"PIX"</f>
        <v>PIX</v>
      </c>
      <c r="D1241" t="str">
        <f>"34197"</f>
        <v>34197</v>
      </c>
      <c r="E1241" t="str">
        <f>"1"</f>
        <v>1</v>
      </c>
      <c r="F1241" t="str">
        <f t="shared" si="234"/>
        <v>COM</v>
      </c>
      <c r="G1241" t="str">
        <f>"YAN EVERTON RODRIGUES DE LIMA (875)"</f>
        <v>YAN EVERTON RODRIGUES DE LIMA (875)</v>
      </c>
      <c r="H1241" t="str">
        <f>"Serv.Prest. 23/02/2026 a 01/03/2026 - PIX: CELULAR - CHAVE: (33) 99859-8751"</f>
        <v>Serv.Prest. 23/02/2026 a 01/03/2026 - PIX: CELULAR - CHAVE: (33) 99859-8751</v>
      </c>
      <c r="I1241" t="str">
        <f>("12/03/2026")</f>
        <v>12/03/2026</v>
      </c>
      <c r="J1241" t="str">
        <f>("03/03/2026")</f>
        <v>03/03/2026</v>
      </c>
      <c r="K1241" t="str">
        <f>("10/03/2026")</f>
        <v>10/03/2026</v>
      </c>
      <c r="L1241">
        <v>20</v>
      </c>
      <c r="M1241">
        <v>20</v>
      </c>
      <c r="N1241">
        <v>109</v>
      </c>
      <c r="O1241" t="str">
        <f>"PAGAMENTO DE ENTREGADORES"</f>
        <v>PAGAMENTO DE ENTREGADORES</v>
      </c>
      <c r="P1241">
        <v>20</v>
      </c>
      <c r="S1241" t="str">
        <f>"BANCO CORA (102)"</f>
        <v>BANCO CORA (102)</v>
      </c>
      <c r="T1241">
        <v>30421</v>
      </c>
      <c r="U1241">
        <v>34709</v>
      </c>
      <c r="V1241" t="s">
        <v>33</v>
      </c>
    </row>
    <row r="1242" spans="1:22">
      <c r="A1242" t="str">
        <f t="shared" si="235"/>
        <v>10/03/2026</v>
      </c>
      <c r="B1242" t="str">
        <f>"SAÍDA"</f>
        <v>SAÍDA</v>
      </c>
      <c r="C1242" t="str">
        <f>"PIX"</f>
        <v>PIX</v>
      </c>
      <c r="D1242" t="str">
        <f>"34197"</f>
        <v>34197</v>
      </c>
      <c r="E1242" t="str">
        <f>"1"</f>
        <v>1</v>
      </c>
      <c r="F1242" t="str">
        <f t="shared" si="234"/>
        <v>COM</v>
      </c>
      <c r="G1242" t="str">
        <f>"YAN EVERTON RODRIGUES DE LIMA (875)"</f>
        <v>YAN EVERTON RODRIGUES DE LIMA (875)</v>
      </c>
      <c r="H1242" t="s">
        <v>460</v>
      </c>
      <c r="I1242" t="str">
        <f>("12/03/2026")</f>
        <v>12/03/2026</v>
      </c>
      <c r="J1242" t="str">
        <f>("03/03/2026")</f>
        <v>03/03/2026</v>
      </c>
      <c r="K1242">
        <v>46091</v>
      </c>
      <c r="N1242">
        <v>109</v>
      </c>
      <c r="O1242" t="s">
        <v>27</v>
      </c>
      <c r="Q1242">
        <v>20</v>
      </c>
      <c r="R1242" t="str">
        <f>"FARMÁCIA INDIANA LJ 06 (10006)"</f>
        <v>FARMÁCIA INDIANA LJ 06 (10006)</v>
      </c>
      <c r="S1242" t="s">
        <v>33</v>
      </c>
      <c r="T1242">
        <v>30421</v>
      </c>
      <c r="U1242">
        <v>34709</v>
      </c>
      <c r="V1242" t="s">
        <v>33</v>
      </c>
    </row>
    <row r="1243" spans="1:22">
      <c r="A1243" t="str">
        <f t="shared" si="235"/>
        <v>10/03/2026</v>
      </c>
      <c r="B1243" t="str">
        <f>"ENTRADA"</f>
        <v>ENTRADA</v>
      </c>
      <c r="C1243" t="str">
        <f>"DINHEIRO"</f>
        <v>DINHEIRO</v>
      </c>
      <c r="D1243" t="str">
        <f>"875"</f>
        <v>875</v>
      </c>
      <c r="E1243" t="str">
        <f>"8"</f>
        <v>8</v>
      </c>
      <c r="F1243" t="str">
        <f t="shared" si="234"/>
        <v>COM</v>
      </c>
      <c r="G1243" t="str">
        <f>"YAN EVERTON RODRIGUES DE LIMA (875)"</f>
        <v>YAN EVERTON RODRIGUES DE LIMA (875)</v>
      </c>
      <c r="H1243" t="str">
        <f>"COTA COOPERATIVA"</f>
        <v>COTA COOPERATIVA</v>
      </c>
      <c r="I1243" t="str">
        <f>("10/03/2026")</f>
        <v>10/03/2026</v>
      </c>
      <c r="J1243" t="str">
        <f>("10/07/2025")</f>
        <v>10/07/2025</v>
      </c>
      <c r="K1243" t="str">
        <f>("10/03/2026")</f>
        <v>10/03/2026</v>
      </c>
      <c r="L1243">
        <v>20</v>
      </c>
      <c r="M1243">
        <v>20</v>
      </c>
      <c r="N1243">
        <v>106</v>
      </c>
      <c r="O1243" t="str">
        <f>"ENTRADA DE CAPITAL"</f>
        <v>ENTRADA DE CAPITAL</v>
      </c>
      <c r="P1243">
        <v>20</v>
      </c>
      <c r="S1243" t="str">
        <f>"ENTRADA DE CAPITAL (106)"</f>
        <v>ENTRADA DE CAPITAL (106)</v>
      </c>
      <c r="T1243">
        <v>30422</v>
      </c>
      <c r="U1243">
        <v>20023</v>
      </c>
      <c r="V1243" t="s">
        <v>33</v>
      </c>
    </row>
    <row r="1244" spans="1:22">
      <c r="A1244" t="str">
        <f t="shared" si="235"/>
        <v>10/03/2026</v>
      </c>
      <c r="B1244" t="str">
        <f>"ENTRADA"</f>
        <v>ENTRADA</v>
      </c>
      <c r="C1244" t="str">
        <f>"DINHEIRO"</f>
        <v>DINHEIRO</v>
      </c>
      <c r="D1244" t="str">
        <f>"875"</f>
        <v>875</v>
      </c>
      <c r="E1244" t="str">
        <f>"8"</f>
        <v>8</v>
      </c>
      <c r="F1244" t="str">
        <f t="shared" si="234"/>
        <v>COM</v>
      </c>
      <c r="G1244" t="str">
        <f>"YAN EVERTON RODRIGUES DE LIMA (875)"</f>
        <v>YAN EVERTON RODRIGUES DE LIMA (875)</v>
      </c>
      <c r="H1244" t="s">
        <v>97</v>
      </c>
      <c r="I1244" t="str">
        <f>("10/03/2026")</f>
        <v>10/03/2026</v>
      </c>
      <c r="J1244" t="str">
        <f>("10/07/2025")</f>
        <v>10/07/2025</v>
      </c>
      <c r="K1244">
        <v>46091</v>
      </c>
      <c r="N1244">
        <v>106</v>
      </c>
      <c r="O1244" t="s">
        <v>98</v>
      </c>
      <c r="Q1244">
        <v>20</v>
      </c>
      <c r="R1244" t="str">
        <f>"YAN EVERTON RODRIGUES DE LIMA (875)"</f>
        <v>YAN EVERTON RODRIGUES DE LIMA (875)</v>
      </c>
      <c r="S1244" t="s">
        <v>99</v>
      </c>
      <c r="T1244">
        <v>30422</v>
      </c>
      <c r="U1244">
        <v>20023</v>
      </c>
      <c r="V1244" t="s">
        <v>33</v>
      </c>
    </row>
    <row r="1245" spans="1:22">
      <c r="A1245" t="str">
        <f t="shared" si="235"/>
        <v>10/03/2026</v>
      </c>
      <c r="B1245" t="str">
        <f>"SAÍDA"</f>
        <v>SAÍDA</v>
      </c>
      <c r="C1245" t="str">
        <f>"PIX"</f>
        <v>PIX</v>
      </c>
      <c r="D1245" t="str">
        <f>"34290"</f>
        <v>34290</v>
      </c>
      <c r="E1245" t="str">
        <f>"1"</f>
        <v>1</v>
      </c>
      <c r="F1245" t="str">
        <f t="shared" si="234"/>
        <v>COM</v>
      </c>
      <c r="G1245" t="str">
        <f>"YAN FILIPUTI CORA (926)"</f>
        <v>YAN FILIPUTI CORA (926)</v>
      </c>
      <c r="H1245" t="str">
        <f>"Serv.Prest. 02/03/2026 a 08/03/2026 - PIX: CELULAR - CHAVE: (28) 98816-4170"</f>
        <v>Serv.Prest. 02/03/2026 a 08/03/2026 - PIX: CELULAR - CHAVE: (28) 98816-4170</v>
      </c>
      <c r="I1245" t="str">
        <f>("12/03/2026")</f>
        <v>12/03/2026</v>
      </c>
      <c r="J1245" t="str">
        <f>("09/03/2026")</f>
        <v>09/03/2026</v>
      </c>
      <c r="K1245" t="str">
        <f>("10/03/2026")</f>
        <v>10/03/2026</v>
      </c>
      <c r="L1245">
        <v>20</v>
      </c>
      <c r="M1245">
        <v>20</v>
      </c>
      <c r="N1245">
        <v>109</v>
      </c>
      <c r="O1245" t="str">
        <f>"PAGAMENTO DE ENTREGADORES"</f>
        <v>PAGAMENTO DE ENTREGADORES</v>
      </c>
      <c r="P1245">
        <v>20</v>
      </c>
      <c r="S1245" t="str">
        <f>"BANCO CORA (102)"</f>
        <v>BANCO CORA (102)</v>
      </c>
      <c r="T1245">
        <v>30423</v>
      </c>
      <c r="U1245">
        <v>34710</v>
      </c>
      <c r="V1245" t="s">
        <v>33</v>
      </c>
    </row>
    <row r="1246" spans="1:22">
      <c r="A1246" t="str">
        <f t="shared" si="235"/>
        <v>10/03/2026</v>
      </c>
      <c r="B1246" t="str">
        <f>"SAÍDA"</f>
        <v>SAÍDA</v>
      </c>
      <c r="C1246" t="str">
        <f>"PIX"</f>
        <v>PIX</v>
      </c>
      <c r="D1246" t="str">
        <f>"34290"</f>
        <v>34290</v>
      </c>
      <c r="E1246" t="str">
        <f>"1"</f>
        <v>1</v>
      </c>
      <c r="F1246" t="str">
        <f t="shared" si="234"/>
        <v>COM</v>
      </c>
      <c r="G1246" t="str">
        <f>"YAN FILIPUTI CORA (926)"</f>
        <v>YAN FILIPUTI CORA (926)</v>
      </c>
      <c r="H1246" t="s">
        <v>461</v>
      </c>
      <c r="I1246" t="str">
        <f>("12/03/2026")</f>
        <v>12/03/2026</v>
      </c>
      <c r="J1246" t="str">
        <f>("09/03/2026")</f>
        <v>09/03/2026</v>
      </c>
      <c r="K1246">
        <v>46091</v>
      </c>
      <c r="N1246">
        <v>109</v>
      </c>
      <c r="O1246" t="s">
        <v>27</v>
      </c>
      <c r="Q1246">
        <v>20</v>
      </c>
      <c r="R1246" t="str">
        <f>"LBL FARMACIA LTDA FILIAL (10192)"</f>
        <v>LBL FARMACIA LTDA FILIAL (10192)</v>
      </c>
      <c r="S1246" t="s">
        <v>33</v>
      </c>
      <c r="T1246">
        <v>30423</v>
      </c>
      <c r="U1246">
        <v>34710</v>
      </c>
      <c r="V1246" t="s">
        <v>33</v>
      </c>
    </row>
    <row r="1247" spans="1:22">
      <c r="A1247" t="str">
        <f t="shared" si="235"/>
        <v>10/03/2026</v>
      </c>
      <c r="B1247" t="str">
        <f>"ENTRADA"</f>
        <v>ENTRADA</v>
      </c>
      <c r="C1247" t="str">
        <f>"DINHEIRO"</f>
        <v>DINHEIRO</v>
      </c>
      <c r="D1247" t="str">
        <f>"926"</f>
        <v>926</v>
      </c>
      <c r="E1247" t="str">
        <f>"6"</f>
        <v>6</v>
      </c>
      <c r="F1247" t="str">
        <f t="shared" si="234"/>
        <v>COM</v>
      </c>
      <c r="G1247" t="str">
        <f>"YAN FILIPUTI CORA (926)"</f>
        <v>YAN FILIPUTI CORA (926)</v>
      </c>
      <c r="H1247" t="str">
        <f>"COTA COOPERATIVA"</f>
        <v>COTA COOPERATIVA</v>
      </c>
      <c r="I1247" t="str">
        <f t="shared" ref="I1247:I1278" si="236">("10/03/2026")</f>
        <v>10/03/2026</v>
      </c>
      <c r="J1247" t="str">
        <f>("12/09/2025")</f>
        <v>12/09/2025</v>
      </c>
      <c r="K1247" t="str">
        <f>("10/03/2026")</f>
        <v>10/03/2026</v>
      </c>
      <c r="L1247">
        <v>20</v>
      </c>
      <c r="M1247">
        <v>20</v>
      </c>
      <c r="N1247">
        <v>106</v>
      </c>
      <c r="O1247" t="str">
        <f>"ENTRADA DE CAPITAL"</f>
        <v>ENTRADA DE CAPITAL</v>
      </c>
      <c r="P1247">
        <v>20</v>
      </c>
      <c r="S1247" t="str">
        <f>"ENTRADA DE CAPITAL (106)"</f>
        <v>ENTRADA DE CAPITAL (106)</v>
      </c>
      <c r="T1247">
        <v>30424</v>
      </c>
      <c r="U1247">
        <v>23498</v>
      </c>
      <c r="V1247" t="s">
        <v>33</v>
      </c>
    </row>
    <row r="1248" spans="1:22">
      <c r="A1248" t="str">
        <f t="shared" si="235"/>
        <v>10/03/2026</v>
      </c>
      <c r="B1248" t="str">
        <f>"ENTRADA"</f>
        <v>ENTRADA</v>
      </c>
      <c r="C1248" t="str">
        <f>"DINHEIRO"</f>
        <v>DINHEIRO</v>
      </c>
      <c r="D1248" t="str">
        <f>"926"</f>
        <v>926</v>
      </c>
      <c r="E1248" t="str">
        <f>"6"</f>
        <v>6</v>
      </c>
      <c r="F1248" t="str">
        <f t="shared" si="234"/>
        <v>COM</v>
      </c>
      <c r="G1248" t="str">
        <f>"YAN FILIPUTI CORA (926)"</f>
        <v>YAN FILIPUTI CORA (926)</v>
      </c>
      <c r="H1248" t="s">
        <v>97</v>
      </c>
      <c r="I1248" t="str">
        <f t="shared" si="236"/>
        <v>10/03/2026</v>
      </c>
      <c r="J1248" t="str">
        <f>("12/09/2025")</f>
        <v>12/09/2025</v>
      </c>
      <c r="K1248">
        <v>46091</v>
      </c>
      <c r="N1248">
        <v>106</v>
      </c>
      <c r="O1248" t="s">
        <v>98</v>
      </c>
      <c r="Q1248">
        <v>20</v>
      </c>
      <c r="R1248" t="str">
        <f>"YAN FILIPUTI CORA (926)"</f>
        <v>YAN FILIPUTI CORA (926)</v>
      </c>
      <c r="S1248" t="s">
        <v>99</v>
      </c>
      <c r="T1248">
        <v>30424</v>
      </c>
      <c r="U1248">
        <v>23498</v>
      </c>
      <c r="V1248" t="s">
        <v>33</v>
      </c>
    </row>
    <row r="1249" spans="1:22">
      <c r="A1249" t="str">
        <f t="shared" si="235"/>
        <v>10/03/2026</v>
      </c>
      <c r="B1249" t="str">
        <f t="shared" ref="B1249:B1280" si="237">"SAÍDA"</f>
        <v>SAÍDA</v>
      </c>
      <c r="C1249" t="str">
        <f t="shared" ref="C1249:C1280" si="238">"PIX"</f>
        <v>PIX</v>
      </c>
      <c r="D1249" t="str">
        <f>"10032026"</f>
        <v>10032026</v>
      </c>
      <c r="E1249" t="str">
        <f>""</f>
        <v/>
      </c>
      <c r="F1249" t="str">
        <f t="shared" si="234"/>
        <v>COM</v>
      </c>
      <c r="G1249" t="str">
        <f>"JOAO MARCOS FERREIRA (925)"</f>
        <v>JOAO MARCOS FERREIRA (925)</v>
      </c>
      <c r="H1249" t="str">
        <f>"DEVOLUÇÃO DE 3 COTAS COOPERATIVAS "</f>
        <v xml:space="preserve">DEVOLUÇÃO DE 3 COTAS COOPERATIVAS </v>
      </c>
      <c r="I1249" t="str">
        <f t="shared" si="236"/>
        <v>10/03/2026</v>
      </c>
      <c r="J1249" t="str">
        <f>("10/03/2026")</f>
        <v>10/03/2026</v>
      </c>
      <c r="K1249" t="str">
        <f>("10/03/2026")</f>
        <v>10/03/2026</v>
      </c>
      <c r="L1249">
        <v>60</v>
      </c>
      <c r="M1249">
        <v>60</v>
      </c>
      <c r="N1249">
        <v>130</v>
      </c>
      <c r="O1249" t="str">
        <f>"DEVOLUÇÃO COTA COOPERATIVA"</f>
        <v>DEVOLUÇÃO COTA COOPERATIVA</v>
      </c>
      <c r="P1249">
        <v>60</v>
      </c>
      <c r="S1249" t="str">
        <f>"BANCO C6 (149)"</f>
        <v>BANCO C6 (149)</v>
      </c>
      <c r="T1249">
        <v>30425</v>
      </c>
      <c r="U1249">
        <v>34665</v>
      </c>
      <c r="V1249" t="s">
        <v>37</v>
      </c>
    </row>
    <row r="1250" spans="1:22">
      <c r="A1250" t="str">
        <f t="shared" si="235"/>
        <v>10/03/2026</v>
      </c>
      <c r="B1250" t="str">
        <f t="shared" si="237"/>
        <v>SAÍDA</v>
      </c>
      <c r="C1250" t="str">
        <f t="shared" si="238"/>
        <v>PIX</v>
      </c>
      <c r="D1250" t="str">
        <f>"10032026"</f>
        <v>10032026</v>
      </c>
      <c r="E1250" t="str">
        <f>""</f>
        <v/>
      </c>
      <c r="F1250" t="str">
        <f t="shared" si="234"/>
        <v>COM</v>
      </c>
      <c r="G1250" t="str">
        <f>"JOAO MARCOS FERREIRA (925)"</f>
        <v>JOAO MARCOS FERREIRA (925)</v>
      </c>
      <c r="H1250" t="s">
        <v>462</v>
      </c>
      <c r="I1250" t="str">
        <f t="shared" si="236"/>
        <v>10/03/2026</v>
      </c>
      <c r="J1250" t="str">
        <f>("10/03/2026")</f>
        <v>10/03/2026</v>
      </c>
      <c r="K1250">
        <v>46091</v>
      </c>
      <c r="N1250">
        <v>130</v>
      </c>
      <c r="O1250" t="s">
        <v>416</v>
      </c>
      <c r="Q1250">
        <v>60</v>
      </c>
      <c r="R1250" t="str">
        <f>"JOAO MARCOS FERREIRA (925)"</f>
        <v>JOAO MARCOS FERREIRA (925)</v>
      </c>
      <c r="S1250" t="s">
        <v>37</v>
      </c>
      <c r="T1250">
        <v>30425</v>
      </c>
      <c r="U1250">
        <v>34665</v>
      </c>
      <c r="V1250" t="s">
        <v>37</v>
      </c>
    </row>
    <row r="1251" spans="1:22">
      <c r="A1251" t="str">
        <f t="shared" si="235"/>
        <v>10/03/2026</v>
      </c>
      <c r="B1251" t="str">
        <f t="shared" si="237"/>
        <v>SAÍDA</v>
      </c>
      <c r="C1251" t="str">
        <f t="shared" si="238"/>
        <v>PIX</v>
      </c>
      <c r="D1251" t="str">
        <f>"34066"</f>
        <v>34066</v>
      </c>
      <c r="E1251" t="str">
        <f t="shared" ref="E1251:E1286" si="239">"1"</f>
        <v>1</v>
      </c>
      <c r="F1251" t="str">
        <f t="shared" si="234"/>
        <v>COM</v>
      </c>
      <c r="G1251" t="str">
        <f>"HELITON MELGACO PIMENTEL JUNIOR (1079)"</f>
        <v>HELITON MELGACO PIMENTEL JUNIOR (1079)</v>
      </c>
      <c r="H1251" t="str">
        <f>"Serv.Prest. DIÁRIA 08/03/2026 - PIX: CPF - CHAVE: 768.859.176-72"</f>
        <v>Serv.Prest. DIÁRIA 08/03/2026 - PIX: CPF - CHAVE: 768.859.176-72</v>
      </c>
      <c r="I1251" t="str">
        <f t="shared" si="236"/>
        <v>10/03/2026</v>
      </c>
      <c r="J1251" t="str">
        <f>("03/03/2026")</f>
        <v>03/03/2026</v>
      </c>
      <c r="K1251" t="str">
        <f>("10/03/2026")</f>
        <v>10/03/2026</v>
      </c>
      <c r="L1251">
        <v>150</v>
      </c>
      <c r="M1251">
        <v>150</v>
      </c>
      <c r="N1251">
        <v>134</v>
      </c>
      <c r="O1251" t="str">
        <f>"DIARIA DE MOTOBOY"</f>
        <v>DIARIA DE MOTOBOY</v>
      </c>
      <c r="P1251">
        <v>150</v>
      </c>
      <c r="S1251" t="str">
        <f>"BANCO C6 (149)"</f>
        <v>BANCO C6 (149)</v>
      </c>
      <c r="T1251">
        <v>30426</v>
      </c>
      <c r="U1251">
        <v>34531</v>
      </c>
      <c r="V1251" t="s">
        <v>37</v>
      </c>
    </row>
    <row r="1252" spans="1:22">
      <c r="A1252" t="str">
        <f t="shared" si="235"/>
        <v>10/03/2026</v>
      </c>
      <c r="B1252" t="str">
        <f t="shared" si="237"/>
        <v>SAÍDA</v>
      </c>
      <c r="C1252" t="str">
        <f t="shared" si="238"/>
        <v>PIX</v>
      </c>
      <c r="D1252" t="str">
        <f>"34066"</f>
        <v>34066</v>
      </c>
      <c r="E1252" t="str">
        <f t="shared" si="239"/>
        <v>1</v>
      </c>
      <c r="F1252" t="str">
        <f t="shared" si="234"/>
        <v>COM</v>
      </c>
      <c r="G1252" t="str">
        <f>"HELITON MELGACO PIMENTEL JUNIOR (1079)"</f>
        <v>HELITON MELGACO PIMENTEL JUNIOR (1079)</v>
      </c>
      <c r="H1252" t="s">
        <v>463</v>
      </c>
      <c r="I1252" t="str">
        <f t="shared" si="236"/>
        <v>10/03/2026</v>
      </c>
      <c r="J1252" t="str">
        <f>("03/03/2026")</f>
        <v>03/03/2026</v>
      </c>
      <c r="K1252">
        <v>46091</v>
      </c>
      <c r="N1252">
        <v>134</v>
      </c>
      <c r="O1252" t="s">
        <v>30</v>
      </c>
      <c r="Q1252">
        <v>150</v>
      </c>
      <c r="R1252" t="str">
        <f>"FARMÁCIA INDIANA LJ 283 (10268)"</f>
        <v>FARMÁCIA INDIANA LJ 283 (10268)</v>
      </c>
      <c r="S1252" t="s">
        <v>37</v>
      </c>
      <c r="T1252">
        <v>30426</v>
      </c>
      <c r="U1252">
        <v>34531</v>
      </c>
      <c r="V1252" t="s">
        <v>37</v>
      </c>
    </row>
    <row r="1253" spans="1:22">
      <c r="A1253" t="str">
        <f t="shared" si="235"/>
        <v>10/03/2026</v>
      </c>
      <c r="B1253" t="str">
        <f t="shared" si="237"/>
        <v>SAÍDA</v>
      </c>
      <c r="C1253" t="str">
        <f t="shared" si="238"/>
        <v>PIX</v>
      </c>
      <c r="D1253" t="str">
        <f>"34292"</f>
        <v>34292</v>
      </c>
      <c r="E1253" t="str">
        <f t="shared" si="239"/>
        <v>1</v>
      </c>
      <c r="F1253" t="str">
        <f t="shared" si="234"/>
        <v>COM</v>
      </c>
      <c r="G1253" t="str">
        <f>"ELIEL PEREIRA BARBOZA DE LIMA (1321)"</f>
        <v>ELIEL PEREIRA BARBOZA DE LIMA (1321)</v>
      </c>
      <c r="H1253" t="str">
        <f>"Serv.Prest. DIÁRIA 07/03/2026 e 08/03/2026 - PIX: CPF - CHAVE: 276.110.698-96"</f>
        <v>Serv.Prest. DIÁRIA 07/03/2026 e 08/03/2026 - PIX: CPF - CHAVE: 276.110.698-96</v>
      </c>
      <c r="I1253" t="str">
        <f t="shared" si="236"/>
        <v>10/03/2026</v>
      </c>
      <c r="J1253" t="str">
        <f t="shared" ref="J1253:J1286" si="240">("09/03/2026")</f>
        <v>09/03/2026</v>
      </c>
      <c r="K1253" t="str">
        <f>("10/03/2026")</f>
        <v>10/03/2026</v>
      </c>
      <c r="L1253">
        <v>777</v>
      </c>
      <c r="M1253">
        <v>260</v>
      </c>
      <c r="N1253">
        <v>134</v>
      </c>
      <c r="O1253" t="str">
        <f>"DIARIA DE MOTOBOY"</f>
        <v>DIARIA DE MOTOBOY</v>
      </c>
      <c r="P1253">
        <v>260</v>
      </c>
      <c r="S1253" t="str">
        <f>"BANCO C6 (149)"</f>
        <v>BANCO C6 (149)</v>
      </c>
      <c r="T1253">
        <v>30427</v>
      </c>
      <c r="U1253">
        <v>34292</v>
      </c>
      <c r="V1253" t="s">
        <v>37</v>
      </c>
    </row>
    <row r="1254" spans="1:22">
      <c r="A1254" t="str">
        <f t="shared" si="235"/>
        <v>10/03/2026</v>
      </c>
      <c r="B1254" t="str">
        <f t="shared" si="237"/>
        <v>SAÍDA</v>
      </c>
      <c r="C1254" t="str">
        <f t="shared" si="238"/>
        <v>PIX</v>
      </c>
      <c r="D1254" t="str">
        <f>"34292"</f>
        <v>34292</v>
      </c>
      <c r="E1254" t="str">
        <f t="shared" si="239"/>
        <v>1</v>
      </c>
      <c r="F1254" t="str">
        <f t="shared" si="234"/>
        <v>COM</v>
      </c>
      <c r="G1254" t="str">
        <f>"ELIEL PEREIRA BARBOZA DE LIMA (1321)"</f>
        <v>ELIEL PEREIRA BARBOZA DE LIMA (1321)</v>
      </c>
      <c r="H1254" t="s">
        <v>464</v>
      </c>
      <c r="I1254" t="str">
        <f t="shared" si="236"/>
        <v>10/03/2026</v>
      </c>
      <c r="J1254" t="str">
        <f t="shared" si="240"/>
        <v>09/03/2026</v>
      </c>
      <c r="K1254">
        <v>46091</v>
      </c>
      <c r="N1254">
        <v>134</v>
      </c>
      <c r="O1254" t="s">
        <v>30</v>
      </c>
      <c r="Q1254">
        <v>260</v>
      </c>
      <c r="R1254" t="str">
        <f>"FARMACIA ROSAS (10288)"</f>
        <v>FARMACIA ROSAS (10288)</v>
      </c>
      <c r="S1254" t="s">
        <v>37</v>
      </c>
      <c r="T1254">
        <v>30427</v>
      </c>
      <c r="U1254">
        <v>34292</v>
      </c>
      <c r="V1254" t="s">
        <v>37</v>
      </c>
    </row>
    <row r="1255" spans="1:22">
      <c r="A1255" t="str">
        <f t="shared" si="235"/>
        <v>10/03/2026</v>
      </c>
      <c r="B1255" t="str">
        <f t="shared" si="237"/>
        <v>SAÍDA</v>
      </c>
      <c r="C1255" t="str">
        <f t="shared" si="238"/>
        <v>PIX</v>
      </c>
      <c r="D1255" t="str">
        <f>"34300"</f>
        <v>34300</v>
      </c>
      <c r="E1255" t="str">
        <f t="shared" si="239"/>
        <v>1</v>
      </c>
      <c r="F1255" t="str">
        <f t="shared" si="234"/>
        <v>COM</v>
      </c>
      <c r="G1255" t="str">
        <f>"FRANCISCO LUCIANO DE LIMA (1062)"</f>
        <v>FRANCISCO LUCIANO DE LIMA (1062)</v>
      </c>
      <c r="H1255" t="str">
        <f>"Serv.Prest. DIÁRIA 08/03/2026 - PIX: CELULAR - CHAVE: (11) 94910-8689"</f>
        <v>Serv.Prest. DIÁRIA 08/03/2026 - PIX: CELULAR - CHAVE: (11) 94910-8689</v>
      </c>
      <c r="I1255" t="str">
        <f t="shared" si="236"/>
        <v>10/03/2026</v>
      </c>
      <c r="J1255" t="str">
        <f t="shared" si="240"/>
        <v>09/03/2026</v>
      </c>
      <c r="K1255" t="str">
        <f>("10/03/2026")</f>
        <v>10/03/2026</v>
      </c>
      <c r="L1255">
        <v>140</v>
      </c>
      <c r="M1255">
        <v>140</v>
      </c>
      <c r="N1255">
        <v>134</v>
      </c>
      <c r="O1255" t="str">
        <f>"DIARIA DE MOTOBOY"</f>
        <v>DIARIA DE MOTOBOY</v>
      </c>
      <c r="P1255">
        <v>140</v>
      </c>
      <c r="S1255" t="str">
        <f>"BANCO C6 (149)"</f>
        <v>BANCO C6 (149)</v>
      </c>
      <c r="T1255">
        <v>30428</v>
      </c>
      <c r="U1255">
        <v>34300</v>
      </c>
      <c r="V1255" t="s">
        <v>37</v>
      </c>
    </row>
    <row r="1256" spans="1:22">
      <c r="A1256" t="str">
        <f t="shared" si="235"/>
        <v>10/03/2026</v>
      </c>
      <c r="B1256" t="str">
        <f t="shared" si="237"/>
        <v>SAÍDA</v>
      </c>
      <c r="C1256" t="str">
        <f t="shared" si="238"/>
        <v>PIX</v>
      </c>
      <c r="D1256" t="str">
        <f>"34300"</f>
        <v>34300</v>
      </c>
      <c r="E1256" t="str">
        <f t="shared" si="239"/>
        <v>1</v>
      </c>
      <c r="F1256" t="str">
        <f t="shared" si="234"/>
        <v>COM</v>
      </c>
      <c r="G1256" t="str">
        <f>"FRANCISCO LUCIANO DE LIMA (1062)"</f>
        <v>FRANCISCO LUCIANO DE LIMA (1062)</v>
      </c>
      <c r="H1256" t="s">
        <v>465</v>
      </c>
      <c r="I1256" t="str">
        <f t="shared" si="236"/>
        <v>10/03/2026</v>
      </c>
      <c r="J1256" t="str">
        <f t="shared" si="240"/>
        <v>09/03/2026</v>
      </c>
      <c r="K1256">
        <v>46091</v>
      </c>
      <c r="N1256">
        <v>134</v>
      </c>
      <c r="O1256" t="s">
        <v>30</v>
      </c>
      <c r="Q1256">
        <v>140</v>
      </c>
      <c r="R1256" t="str">
        <f>"DROGA ELIDA (10121)"</f>
        <v>DROGA ELIDA (10121)</v>
      </c>
      <c r="S1256" t="s">
        <v>37</v>
      </c>
      <c r="T1256">
        <v>30428</v>
      </c>
      <c r="U1256">
        <v>34300</v>
      </c>
      <c r="V1256" t="s">
        <v>37</v>
      </c>
    </row>
    <row r="1257" spans="1:22">
      <c r="A1257" t="str">
        <f t="shared" si="235"/>
        <v>10/03/2026</v>
      </c>
      <c r="B1257" t="str">
        <f t="shared" si="237"/>
        <v>SAÍDA</v>
      </c>
      <c r="C1257" t="str">
        <f t="shared" si="238"/>
        <v>PIX</v>
      </c>
      <c r="D1257" t="str">
        <f>"34310"</f>
        <v>34310</v>
      </c>
      <c r="E1257" t="str">
        <f t="shared" si="239"/>
        <v>1</v>
      </c>
      <c r="F1257" t="str">
        <f t="shared" si="234"/>
        <v>COM</v>
      </c>
      <c r="G1257" t="str">
        <f>"DOUGLAS RODRIGUES DE FREITAS (1161)"</f>
        <v>DOUGLAS RODRIGUES DE FREITAS (1161)</v>
      </c>
      <c r="H1257" t="str">
        <f>"Serv.Prest. DIÁRIA 08/03/2026 - PIX: E-MAIL - CHAVE: doug6866@gmail.com"</f>
        <v>Serv.Prest. DIÁRIA 08/03/2026 - PIX: E-MAIL - CHAVE: doug6866@gmail.com</v>
      </c>
      <c r="I1257" t="str">
        <f t="shared" si="236"/>
        <v>10/03/2026</v>
      </c>
      <c r="J1257" t="str">
        <f t="shared" si="240"/>
        <v>09/03/2026</v>
      </c>
      <c r="K1257" t="str">
        <f>("10/03/2026")</f>
        <v>10/03/2026</v>
      </c>
      <c r="L1257">
        <v>130</v>
      </c>
      <c r="M1257">
        <v>130</v>
      </c>
      <c r="N1257">
        <v>134</v>
      </c>
      <c r="O1257" t="str">
        <f>"DIARIA DE MOTOBOY"</f>
        <v>DIARIA DE MOTOBOY</v>
      </c>
      <c r="P1257">
        <v>130</v>
      </c>
      <c r="S1257" t="str">
        <f>"BANCO C6 (149)"</f>
        <v>BANCO C6 (149)</v>
      </c>
      <c r="T1257">
        <v>30429</v>
      </c>
      <c r="U1257">
        <v>34311</v>
      </c>
      <c r="V1257" t="s">
        <v>37</v>
      </c>
    </row>
    <row r="1258" spans="1:22">
      <c r="A1258" t="str">
        <f t="shared" si="235"/>
        <v>10/03/2026</v>
      </c>
      <c r="B1258" t="str">
        <f t="shared" si="237"/>
        <v>SAÍDA</v>
      </c>
      <c r="C1258" t="str">
        <f t="shared" si="238"/>
        <v>PIX</v>
      </c>
      <c r="D1258" t="str">
        <f>"34310"</f>
        <v>34310</v>
      </c>
      <c r="E1258" t="str">
        <f t="shared" si="239"/>
        <v>1</v>
      </c>
      <c r="F1258" t="str">
        <f t="shared" si="234"/>
        <v>COM</v>
      </c>
      <c r="G1258" t="str">
        <f>"DOUGLAS RODRIGUES DE FREITAS (1161)"</f>
        <v>DOUGLAS RODRIGUES DE FREITAS (1161)</v>
      </c>
      <c r="H1258" t="s">
        <v>466</v>
      </c>
      <c r="I1258" t="str">
        <f t="shared" si="236"/>
        <v>10/03/2026</v>
      </c>
      <c r="J1258" t="str">
        <f t="shared" si="240"/>
        <v>09/03/2026</v>
      </c>
      <c r="K1258">
        <v>46091</v>
      </c>
      <c r="N1258">
        <v>134</v>
      </c>
      <c r="O1258" t="s">
        <v>30</v>
      </c>
      <c r="Q1258">
        <v>130</v>
      </c>
      <c r="R1258" t="str">
        <f>"DROGARIA MEDIC CENTER LTDA (10172)"</f>
        <v>DROGARIA MEDIC CENTER LTDA (10172)</v>
      </c>
      <c r="S1258" t="s">
        <v>37</v>
      </c>
      <c r="T1258">
        <v>30429</v>
      </c>
      <c r="U1258">
        <v>34311</v>
      </c>
      <c r="V1258" t="s">
        <v>37</v>
      </c>
    </row>
    <row r="1259" spans="1:22">
      <c r="A1259" t="str">
        <f t="shared" si="235"/>
        <v>10/03/2026</v>
      </c>
      <c r="B1259" t="str">
        <f t="shared" si="237"/>
        <v>SAÍDA</v>
      </c>
      <c r="C1259" t="str">
        <f t="shared" si="238"/>
        <v>PIX</v>
      </c>
      <c r="D1259" t="str">
        <f>"34320"</f>
        <v>34320</v>
      </c>
      <c r="E1259" t="str">
        <f t="shared" si="239"/>
        <v>1</v>
      </c>
      <c r="F1259" t="str">
        <f t="shared" si="234"/>
        <v>COM</v>
      </c>
      <c r="G1259" t="str">
        <f>"CARLOS ALBERTO FELIX JUNIOR (1312)"</f>
        <v>CARLOS ALBERTO FELIX JUNIOR (1312)</v>
      </c>
      <c r="H1259" t="str">
        <f>"Serv.Prest. DIÁRIA 03/03/, 05/03, 07/03 e 08/03/2026 - PIX: CELULAR - CHAVE: (19) 98985-7796"</f>
        <v>Serv.Prest. DIÁRIA 03/03/, 05/03, 07/03 e 08/03/2026 - PIX: CELULAR - CHAVE: (19) 98985-7796</v>
      </c>
      <c r="I1259" t="str">
        <f t="shared" si="236"/>
        <v>10/03/2026</v>
      </c>
      <c r="J1259" t="str">
        <f t="shared" si="240"/>
        <v>09/03/2026</v>
      </c>
      <c r="K1259" t="str">
        <f>("10/03/2026")</f>
        <v>10/03/2026</v>
      </c>
      <c r="L1259">
        <v>1148</v>
      </c>
      <c r="M1259">
        <v>1148</v>
      </c>
      <c r="N1259">
        <v>134</v>
      </c>
      <c r="O1259" t="str">
        <f>"DIARIA DE MOTOBOY"</f>
        <v>DIARIA DE MOTOBOY</v>
      </c>
      <c r="P1259">
        <v>1148</v>
      </c>
      <c r="S1259" t="str">
        <f>"BANCO C6 (149)"</f>
        <v>BANCO C6 (149)</v>
      </c>
      <c r="T1259">
        <v>30430</v>
      </c>
      <c r="U1259">
        <v>34320</v>
      </c>
      <c r="V1259" t="s">
        <v>37</v>
      </c>
    </row>
    <row r="1260" spans="1:22">
      <c r="A1260" t="str">
        <f t="shared" si="235"/>
        <v>10/03/2026</v>
      </c>
      <c r="B1260" t="str">
        <f t="shared" si="237"/>
        <v>SAÍDA</v>
      </c>
      <c r="C1260" t="str">
        <f t="shared" si="238"/>
        <v>PIX</v>
      </c>
      <c r="D1260" t="str">
        <f>"34320"</f>
        <v>34320</v>
      </c>
      <c r="E1260" t="str">
        <f t="shared" si="239"/>
        <v>1</v>
      </c>
      <c r="F1260" t="str">
        <f t="shared" si="234"/>
        <v>COM</v>
      </c>
      <c r="G1260" t="str">
        <f>"CARLOS ALBERTO FELIX JUNIOR (1312)"</f>
        <v>CARLOS ALBERTO FELIX JUNIOR (1312)</v>
      </c>
      <c r="H1260" t="s">
        <v>467</v>
      </c>
      <c r="I1260" t="str">
        <f t="shared" si="236"/>
        <v>10/03/2026</v>
      </c>
      <c r="J1260" t="str">
        <f t="shared" si="240"/>
        <v>09/03/2026</v>
      </c>
      <c r="K1260">
        <v>46091</v>
      </c>
      <c r="N1260">
        <v>134</v>
      </c>
      <c r="O1260" t="s">
        <v>30</v>
      </c>
      <c r="Q1260">
        <v>1148</v>
      </c>
      <c r="R1260" t="str">
        <f>"BEM TE FAZ LOJA 3 (10287)"</f>
        <v>BEM TE FAZ LOJA 3 (10287)</v>
      </c>
      <c r="S1260" t="s">
        <v>37</v>
      </c>
      <c r="T1260">
        <v>30430</v>
      </c>
      <c r="U1260">
        <v>34320</v>
      </c>
      <c r="V1260" t="s">
        <v>37</v>
      </c>
    </row>
    <row r="1261" spans="1:22">
      <c r="A1261" t="str">
        <f t="shared" si="235"/>
        <v>10/03/2026</v>
      </c>
      <c r="B1261" t="str">
        <f t="shared" si="237"/>
        <v>SAÍDA</v>
      </c>
      <c r="C1261" t="str">
        <f t="shared" si="238"/>
        <v>PIX</v>
      </c>
      <c r="D1261" t="str">
        <f>"34351"</f>
        <v>34351</v>
      </c>
      <c r="E1261" t="str">
        <f t="shared" si="239"/>
        <v>1</v>
      </c>
      <c r="F1261" t="str">
        <f t="shared" si="234"/>
        <v>COM</v>
      </c>
      <c r="G1261" t="str">
        <f>"VIRLEY JOSE DA SILVA (1352)"</f>
        <v>VIRLEY JOSE DA SILVA (1352)</v>
      </c>
      <c r="H1261" t="str">
        <f>"Serv.Prest. DIÁRIA 06/03/2026 e 07/03/2026 - PIX: CPF - CHAVE: 249.315.678-19"</f>
        <v>Serv.Prest. DIÁRIA 06/03/2026 e 07/03/2026 - PIX: CPF - CHAVE: 249.315.678-19</v>
      </c>
      <c r="I1261" t="str">
        <f t="shared" si="236"/>
        <v>10/03/2026</v>
      </c>
      <c r="J1261" t="str">
        <f t="shared" si="240"/>
        <v>09/03/2026</v>
      </c>
      <c r="K1261" t="str">
        <f>("10/03/2026")</f>
        <v>10/03/2026</v>
      </c>
      <c r="L1261">
        <v>196</v>
      </c>
      <c r="M1261">
        <v>300</v>
      </c>
      <c r="N1261">
        <v>134</v>
      </c>
      <c r="O1261" t="str">
        <f>"DIARIA DE MOTOBOY"</f>
        <v>DIARIA DE MOTOBOY</v>
      </c>
      <c r="P1261">
        <v>300</v>
      </c>
      <c r="S1261" t="str">
        <f>"BANCO C6 (149)"</f>
        <v>BANCO C6 (149)</v>
      </c>
      <c r="T1261">
        <v>30431</v>
      </c>
      <c r="U1261">
        <v>34351</v>
      </c>
      <c r="V1261" t="s">
        <v>37</v>
      </c>
    </row>
    <row r="1262" spans="1:22">
      <c r="A1262" t="str">
        <f t="shared" si="235"/>
        <v>10/03/2026</v>
      </c>
      <c r="B1262" t="str">
        <f t="shared" si="237"/>
        <v>SAÍDA</v>
      </c>
      <c r="C1262" t="str">
        <f t="shared" si="238"/>
        <v>PIX</v>
      </c>
      <c r="D1262" t="str">
        <f>"34351"</f>
        <v>34351</v>
      </c>
      <c r="E1262" t="str">
        <f t="shared" si="239"/>
        <v>1</v>
      </c>
      <c r="F1262" t="str">
        <f t="shared" si="234"/>
        <v>COM</v>
      </c>
      <c r="G1262" t="str">
        <f>"VIRLEY JOSE DA SILVA (1352)"</f>
        <v>VIRLEY JOSE DA SILVA (1352)</v>
      </c>
      <c r="H1262" t="s">
        <v>468</v>
      </c>
      <c r="I1262" t="str">
        <f t="shared" si="236"/>
        <v>10/03/2026</v>
      </c>
      <c r="J1262" t="str">
        <f t="shared" si="240"/>
        <v>09/03/2026</v>
      </c>
      <c r="K1262">
        <v>46091</v>
      </c>
      <c r="N1262">
        <v>134</v>
      </c>
      <c r="O1262" t="s">
        <v>30</v>
      </c>
      <c r="Q1262">
        <v>300</v>
      </c>
      <c r="R1262" t="str">
        <f>"BEM TE FAZ LOJA 6 (10284)"</f>
        <v>BEM TE FAZ LOJA 6 (10284)</v>
      </c>
      <c r="S1262" t="s">
        <v>37</v>
      </c>
      <c r="T1262">
        <v>30431</v>
      </c>
      <c r="U1262">
        <v>34351</v>
      </c>
      <c r="V1262" t="s">
        <v>37</v>
      </c>
    </row>
    <row r="1263" spans="1:22">
      <c r="A1263" t="str">
        <f t="shared" si="235"/>
        <v>10/03/2026</v>
      </c>
      <c r="B1263" t="str">
        <f t="shared" si="237"/>
        <v>SAÍDA</v>
      </c>
      <c r="C1263" t="str">
        <f t="shared" si="238"/>
        <v>PIX</v>
      </c>
      <c r="D1263" t="str">
        <f>"34355"</f>
        <v>34355</v>
      </c>
      <c r="E1263" t="str">
        <f t="shared" si="239"/>
        <v>1</v>
      </c>
      <c r="F1263" t="str">
        <f t="shared" si="234"/>
        <v>COM</v>
      </c>
      <c r="G1263" t="str">
        <f>"ALLAN SILVA DAMACENA (790)"</f>
        <v>ALLAN SILVA DAMACENA (790)</v>
      </c>
      <c r="H1263" t="str">
        <f>"Serv.Prest. DIÁRIA 07/03/2026 e 08/03/2026 - PIX: CELULAR - CHAVE: (19) 98944-4977"</f>
        <v>Serv.Prest. DIÁRIA 07/03/2026 e 08/03/2026 - PIX: CELULAR - CHAVE: (19) 98944-4977</v>
      </c>
      <c r="I1263" t="str">
        <f t="shared" si="236"/>
        <v>10/03/2026</v>
      </c>
      <c r="J1263" t="str">
        <f t="shared" si="240"/>
        <v>09/03/2026</v>
      </c>
      <c r="K1263" t="str">
        <f>("10/03/2026")</f>
        <v>10/03/2026</v>
      </c>
      <c r="L1263">
        <v>640</v>
      </c>
      <c r="M1263">
        <v>640</v>
      </c>
      <c r="N1263">
        <v>134</v>
      </c>
      <c r="O1263" t="str">
        <f>"DIARIA DE MOTOBOY"</f>
        <v>DIARIA DE MOTOBOY</v>
      </c>
      <c r="P1263">
        <v>640</v>
      </c>
      <c r="S1263" t="str">
        <f>"BANCO C6 (149)"</f>
        <v>BANCO C6 (149)</v>
      </c>
      <c r="T1263">
        <v>30432</v>
      </c>
      <c r="U1263">
        <v>34358</v>
      </c>
      <c r="V1263" t="s">
        <v>37</v>
      </c>
    </row>
    <row r="1264" spans="1:22">
      <c r="A1264" t="str">
        <f t="shared" si="235"/>
        <v>10/03/2026</v>
      </c>
      <c r="B1264" t="str">
        <f t="shared" si="237"/>
        <v>SAÍDA</v>
      </c>
      <c r="C1264" t="str">
        <f t="shared" si="238"/>
        <v>PIX</v>
      </c>
      <c r="D1264" t="str">
        <f>"34355"</f>
        <v>34355</v>
      </c>
      <c r="E1264" t="str">
        <f t="shared" si="239"/>
        <v>1</v>
      </c>
      <c r="F1264" t="str">
        <f t="shared" si="234"/>
        <v>COM</v>
      </c>
      <c r="G1264" t="str">
        <f>"ALLAN SILVA DAMACENA (790)"</f>
        <v>ALLAN SILVA DAMACENA (790)</v>
      </c>
      <c r="H1264" t="s">
        <v>469</v>
      </c>
      <c r="I1264" t="str">
        <f t="shared" si="236"/>
        <v>10/03/2026</v>
      </c>
      <c r="J1264" t="str">
        <f t="shared" si="240"/>
        <v>09/03/2026</v>
      </c>
      <c r="K1264">
        <v>46091</v>
      </c>
      <c r="N1264">
        <v>134</v>
      </c>
      <c r="O1264" t="s">
        <v>30</v>
      </c>
      <c r="Q1264">
        <v>640</v>
      </c>
      <c r="R1264" t="str">
        <f>"DROGARIA MORENO LTDA (10171)"</f>
        <v>DROGARIA MORENO LTDA (10171)</v>
      </c>
      <c r="S1264" t="s">
        <v>37</v>
      </c>
      <c r="T1264">
        <v>30432</v>
      </c>
      <c r="U1264">
        <v>34358</v>
      </c>
      <c r="V1264" t="s">
        <v>37</v>
      </c>
    </row>
    <row r="1265" spans="1:22">
      <c r="A1265" t="str">
        <f t="shared" si="235"/>
        <v>10/03/2026</v>
      </c>
      <c r="B1265" t="str">
        <f t="shared" si="237"/>
        <v>SAÍDA</v>
      </c>
      <c r="C1265" t="str">
        <f t="shared" si="238"/>
        <v>PIX</v>
      </c>
      <c r="D1265" t="str">
        <f>"34365"</f>
        <v>34365</v>
      </c>
      <c r="E1265" t="str">
        <f t="shared" si="239"/>
        <v>1</v>
      </c>
      <c r="F1265" t="str">
        <f t="shared" si="234"/>
        <v>COM</v>
      </c>
      <c r="G1265" t="str">
        <f>"HENRIQUE VALENTIM FERREIRA (1083)"</f>
        <v>HENRIQUE VALENTIM FERREIRA (1083)</v>
      </c>
      <c r="H1265" t="str">
        <f>"Serv.Prest. DIÁRIA 08/03/2026 - PIX: CELULAR - CHAVE: (11) 99293-5521"</f>
        <v>Serv.Prest. DIÁRIA 08/03/2026 - PIX: CELULAR - CHAVE: (11) 99293-5521</v>
      </c>
      <c r="I1265" t="str">
        <f t="shared" si="236"/>
        <v>10/03/2026</v>
      </c>
      <c r="J1265" t="str">
        <f t="shared" si="240"/>
        <v>09/03/2026</v>
      </c>
      <c r="K1265" t="str">
        <f>("10/03/2026")</f>
        <v>10/03/2026</v>
      </c>
      <c r="L1265">
        <v>250</v>
      </c>
      <c r="M1265">
        <v>250</v>
      </c>
      <c r="N1265">
        <v>134</v>
      </c>
      <c r="O1265" t="str">
        <f>"DIARIA DE MOTOBOY"</f>
        <v>DIARIA DE MOTOBOY</v>
      </c>
      <c r="P1265">
        <v>250</v>
      </c>
      <c r="S1265" t="str">
        <f>"BANCO C6 (149)"</f>
        <v>BANCO C6 (149)</v>
      </c>
      <c r="T1265">
        <v>30433</v>
      </c>
      <c r="U1265">
        <v>34365</v>
      </c>
      <c r="V1265" t="s">
        <v>37</v>
      </c>
    </row>
    <row r="1266" spans="1:22">
      <c r="A1266" t="str">
        <f t="shared" si="235"/>
        <v>10/03/2026</v>
      </c>
      <c r="B1266" t="str">
        <f t="shared" si="237"/>
        <v>SAÍDA</v>
      </c>
      <c r="C1266" t="str">
        <f t="shared" si="238"/>
        <v>PIX</v>
      </c>
      <c r="D1266" t="str">
        <f>"34365"</f>
        <v>34365</v>
      </c>
      <c r="E1266" t="str">
        <f t="shared" si="239"/>
        <v>1</v>
      </c>
      <c r="F1266" t="str">
        <f t="shared" si="234"/>
        <v>COM</v>
      </c>
      <c r="G1266" t="str">
        <f>"HENRIQUE VALENTIM FERREIRA (1083)"</f>
        <v>HENRIQUE VALENTIM FERREIRA (1083)</v>
      </c>
      <c r="H1266" t="s">
        <v>470</v>
      </c>
      <c r="I1266" t="str">
        <f t="shared" si="236"/>
        <v>10/03/2026</v>
      </c>
      <c r="J1266" t="str">
        <f t="shared" si="240"/>
        <v>09/03/2026</v>
      </c>
      <c r="K1266">
        <v>46091</v>
      </c>
      <c r="N1266">
        <v>134</v>
      </c>
      <c r="O1266" t="s">
        <v>30</v>
      </c>
      <c r="Q1266">
        <v>100</v>
      </c>
      <c r="R1266" t="str">
        <f>"PENSE FARMA 05 (10200)"</f>
        <v>PENSE FARMA 05 (10200)</v>
      </c>
      <c r="S1266" t="s">
        <v>37</v>
      </c>
      <c r="T1266">
        <v>30433</v>
      </c>
      <c r="U1266">
        <v>34365</v>
      </c>
      <c r="V1266" t="s">
        <v>37</v>
      </c>
    </row>
    <row r="1267" spans="1:22">
      <c r="A1267" t="str">
        <f t="shared" si="235"/>
        <v>10/03/2026</v>
      </c>
      <c r="B1267" t="str">
        <f t="shared" si="237"/>
        <v>SAÍDA</v>
      </c>
      <c r="C1267" t="str">
        <f t="shared" si="238"/>
        <v>PIX</v>
      </c>
      <c r="D1267" t="str">
        <f>"34365"</f>
        <v>34365</v>
      </c>
      <c r="E1267" t="str">
        <f t="shared" si="239"/>
        <v>1</v>
      </c>
      <c r="F1267" t="str">
        <f t="shared" si="234"/>
        <v>COM</v>
      </c>
      <c r="G1267" t="str">
        <f>"HENRIQUE VALENTIM FERREIRA (1083)"</f>
        <v>HENRIQUE VALENTIM FERREIRA (1083)</v>
      </c>
      <c r="H1267" t="s">
        <v>470</v>
      </c>
      <c r="I1267" t="str">
        <f t="shared" si="236"/>
        <v>10/03/2026</v>
      </c>
      <c r="J1267" t="str">
        <f t="shared" si="240"/>
        <v>09/03/2026</v>
      </c>
      <c r="K1267">
        <v>46091</v>
      </c>
      <c r="N1267">
        <v>134</v>
      </c>
      <c r="O1267" t="s">
        <v>30</v>
      </c>
      <c r="Q1267">
        <v>100</v>
      </c>
      <c r="R1267" t="str">
        <f>"PENSE FARMA 13 (10202)"</f>
        <v>PENSE FARMA 13 (10202)</v>
      </c>
      <c r="S1267" t="s">
        <v>37</v>
      </c>
      <c r="T1267">
        <v>30433</v>
      </c>
      <c r="U1267">
        <v>34365</v>
      </c>
      <c r="V1267" t="s">
        <v>37</v>
      </c>
    </row>
    <row r="1268" spans="1:22">
      <c r="A1268" t="str">
        <f t="shared" si="235"/>
        <v>10/03/2026</v>
      </c>
      <c r="B1268" t="str">
        <f t="shared" si="237"/>
        <v>SAÍDA</v>
      </c>
      <c r="C1268" t="str">
        <f t="shared" si="238"/>
        <v>PIX</v>
      </c>
      <c r="D1268" t="str">
        <f>"34365"</f>
        <v>34365</v>
      </c>
      <c r="E1268" t="str">
        <f t="shared" si="239"/>
        <v>1</v>
      </c>
      <c r="F1268" t="str">
        <f t="shared" si="234"/>
        <v>COM</v>
      </c>
      <c r="G1268" t="str">
        <f>"HENRIQUE VALENTIM FERREIRA (1083)"</f>
        <v>HENRIQUE VALENTIM FERREIRA (1083)</v>
      </c>
      <c r="H1268" t="s">
        <v>470</v>
      </c>
      <c r="I1268" t="str">
        <f t="shared" si="236"/>
        <v>10/03/2026</v>
      </c>
      <c r="J1268" t="str">
        <f t="shared" si="240"/>
        <v>09/03/2026</v>
      </c>
      <c r="K1268">
        <v>46091</v>
      </c>
      <c r="N1268">
        <v>134</v>
      </c>
      <c r="O1268" t="s">
        <v>30</v>
      </c>
      <c r="Q1268">
        <v>50</v>
      </c>
      <c r="R1268" t="str">
        <f>"PENSE FARMA 27 (10204)"</f>
        <v>PENSE FARMA 27 (10204)</v>
      </c>
      <c r="S1268" t="s">
        <v>37</v>
      </c>
      <c r="T1268">
        <v>30433</v>
      </c>
      <c r="U1268">
        <v>34365</v>
      </c>
      <c r="V1268" t="s">
        <v>37</v>
      </c>
    </row>
    <row r="1269" spans="1:22">
      <c r="A1269" t="str">
        <f t="shared" si="235"/>
        <v>10/03/2026</v>
      </c>
      <c r="B1269" t="str">
        <f t="shared" si="237"/>
        <v>SAÍDA</v>
      </c>
      <c r="C1269" t="str">
        <f t="shared" si="238"/>
        <v>PIX</v>
      </c>
      <c r="D1269" t="str">
        <f>"34377"</f>
        <v>34377</v>
      </c>
      <c r="E1269" t="str">
        <f t="shared" si="239"/>
        <v>1</v>
      </c>
      <c r="F1269" t="str">
        <f t="shared" si="234"/>
        <v>COM</v>
      </c>
      <c r="G1269" t="str">
        <f>"JEFFERSON AMORIM DA SILVA (940)"</f>
        <v>JEFFERSON AMORIM DA SILVA (940)</v>
      </c>
      <c r="H1269" t="str">
        <f>"Serv.Prest. DIÁRIA 08/03/2026 - PIX: CPF - CHAVE: 423.685.688-32"</f>
        <v>Serv.Prest. DIÁRIA 08/03/2026 - PIX: CPF - CHAVE: 423.685.688-32</v>
      </c>
      <c r="I1269" t="str">
        <f t="shared" si="236"/>
        <v>10/03/2026</v>
      </c>
      <c r="J1269" t="str">
        <f t="shared" si="240"/>
        <v>09/03/2026</v>
      </c>
      <c r="K1269" t="str">
        <f>("10/03/2026")</f>
        <v>10/03/2026</v>
      </c>
      <c r="L1269">
        <v>250</v>
      </c>
      <c r="M1269">
        <v>250</v>
      </c>
      <c r="N1269">
        <v>134</v>
      </c>
      <c r="O1269" t="str">
        <f>"DIARIA DE MOTOBOY"</f>
        <v>DIARIA DE MOTOBOY</v>
      </c>
      <c r="P1269">
        <v>250</v>
      </c>
      <c r="S1269" t="str">
        <f>"BANCO C6 (149)"</f>
        <v>BANCO C6 (149)</v>
      </c>
      <c r="T1269">
        <v>30434</v>
      </c>
      <c r="U1269">
        <v>34377</v>
      </c>
      <c r="V1269" t="s">
        <v>37</v>
      </c>
    </row>
    <row r="1270" spans="1:22">
      <c r="A1270" t="str">
        <f t="shared" si="235"/>
        <v>10/03/2026</v>
      </c>
      <c r="B1270" t="str">
        <f t="shared" si="237"/>
        <v>SAÍDA</v>
      </c>
      <c r="C1270" t="str">
        <f t="shared" si="238"/>
        <v>PIX</v>
      </c>
      <c r="D1270" t="str">
        <f>"34377"</f>
        <v>34377</v>
      </c>
      <c r="E1270" t="str">
        <f t="shared" si="239"/>
        <v>1</v>
      </c>
      <c r="F1270" t="str">
        <f t="shared" si="234"/>
        <v>COM</v>
      </c>
      <c r="G1270" t="str">
        <f>"JEFFERSON AMORIM DA SILVA (940)"</f>
        <v>JEFFERSON AMORIM DA SILVA (940)</v>
      </c>
      <c r="H1270" t="s">
        <v>471</v>
      </c>
      <c r="I1270" t="str">
        <f t="shared" si="236"/>
        <v>10/03/2026</v>
      </c>
      <c r="J1270" t="str">
        <f t="shared" si="240"/>
        <v>09/03/2026</v>
      </c>
      <c r="K1270">
        <v>46091</v>
      </c>
      <c r="N1270">
        <v>134</v>
      </c>
      <c r="O1270" t="s">
        <v>30</v>
      </c>
      <c r="Q1270">
        <v>250</v>
      </c>
      <c r="R1270" t="str">
        <f>"PENSE FARMA 25 (10224)"</f>
        <v>PENSE FARMA 25 (10224)</v>
      </c>
      <c r="S1270" t="s">
        <v>37</v>
      </c>
      <c r="T1270">
        <v>30434</v>
      </c>
      <c r="U1270">
        <v>34377</v>
      </c>
      <c r="V1270" t="s">
        <v>37</v>
      </c>
    </row>
    <row r="1271" spans="1:22">
      <c r="A1271" t="str">
        <f t="shared" si="235"/>
        <v>10/03/2026</v>
      </c>
      <c r="B1271" t="str">
        <f t="shared" si="237"/>
        <v>SAÍDA</v>
      </c>
      <c r="C1271" t="str">
        <f t="shared" si="238"/>
        <v>PIX</v>
      </c>
      <c r="D1271" t="str">
        <f>"34381"</f>
        <v>34381</v>
      </c>
      <c r="E1271" t="str">
        <f t="shared" si="239"/>
        <v>1</v>
      </c>
      <c r="F1271" t="str">
        <f t="shared" si="234"/>
        <v>COM</v>
      </c>
      <c r="G1271" t="str">
        <f>"ERIC RODRIGUES TEIXEIRA (939)"</f>
        <v>ERIC RODRIGUES TEIXEIRA (939)</v>
      </c>
      <c r="H1271" t="str">
        <f>"Serv.Prest. DIÁRIA 08/03/2026 - PIX: CELULAR - CHAVE: (11) 95038-0621"</f>
        <v>Serv.Prest. DIÁRIA 08/03/2026 - PIX: CELULAR - CHAVE: (11) 95038-0621</v>
      </c>
      <c r="I1271" t="str">
        <f t="shared" si="236"/>
        <v>10/03/2026</v>
      </c>
      <c r="J1271" t="str">
        <f t="shared" si="240"/>
        <v>09/03/2026</v>
      </c>
      <c r="K1271" t="str">
        <f>("10/03/2026")</f>
        <v>10/03/2026</v>
      </c>
      <c r="L1271">
        <v>250</v>
      </c>
      <c r="M1271">
        <v>250</v>
      </c>
      <c r="N1271">
        <v>134</v>
      </c>
      <c r="O1271" t="str">
        <f>"DIARIA DE MOTOBOY"</f>
        <v>DIARIA DE MOTOBOY</v>
      </c>
      <c r="P1271">
        <v>250</v>
      </c>
      <c r="S1271" t="str">
        <f>"BANCO C6 (149)"</f>
        <v>BANCO C6 (149)</v>
      </c>
      <c r="T1271">
        <v>30435</v>
      </c>
      <c r="U1271">
        <v>34381</v>
      </c>
      <c r="V1271" t="s">
        <v>37</v>
      </c>
    </row>
    <row r="1272" spans="1:22">
      <c r="A1272" t="str">
        <f t="shared" si="235"/>
        <v>10/03/2026</v>
      </c>
      <c r="B1272" t="str">
        <f t="shared" si="237"/>
        <v>SAÍDA</v>
      </c>
      <c r="C1272" t="str">
        <f t="shared" si="238"/>
        <v>PIX</v>
      </c>
      <c r="D1272" t="str">
        <f>"34381"</f>
        <v>34381</v>
      </c>
      <c r="E1272" t="str">
        <f t="shared" si="239"/>
        <v>1</v>
      </c>
      <c r="F1272" t="str">
        <f t="shared" si="234"/>
        <v>COM</v>
      </c>
      <c r="G1272" t="str">
        <f>"ERIC RODRIGUES TEIXEIRA (939)"</f>
        <v>ERIC RODRIGUES TEIXEIRA (939)</v>
      </c>
      <c r="H1272" t="s">
        <v>472</v>
      </c>
      <c r="I1272" t="str">
        <f t="shared" si="236"/>
        <v>10/03/2026</v>
      </c>
      <c r="J1272" t="str">
        <f t="shared" si="240"/>
        <v>09/03/2026</v>
      </c>
      <c r="K1272">
        <v>46091</v>
      </c>
      <c r="N1272">
        <v>134</v>
      </c>
      <c r="O1272" t="s">
        <v>30</v>
      </c>
      <c r="Q1272">
        <v>250</v>
      </c>
      <c r="R1272" t="str">
        <f>"PENSE FARMA 45 (10209)"</f>
        <v>PENSE FARMA 45 (10209)</v>
      </c>
      <c r="S1272" t="s">
        <v>37</v>
      </c>
      <c r="T1272">
        <v>30435</v>
      </c>
      <c r="U1272">
        <v>34381</v>
      </c>
      <c r="V1272" t="s">
        <v>37</v>
      </c>
    </row>
    <row r="1273" spans="1:22">
      <c r="A1273" t="str">
        <f t="shared" si="235"/>
        <v>10/03/2026</v>
      </c>
      <c r="B1273" t="str">
        <f t="shared" si="237"/>
        <v>SAÍDA</v>
      </c>
      <c r="C1273" t="str">
        <f t="shared" si="238"/>
        <v>PIX</v>
      </c>
      <c r="D1273" t="str">
        <f>"34384"</f>
        <v>34384</v>
      </c>
      <c r="E1273" t="str">
        <f t="shared" si="239"/>
        <v>1</v>
      </c>
      <c r="F1273" t="str">
        <f t="shared" si="234"/>
        <v>COM</v>
      </c>
      <c r="G1273" t="str">
        <f>"DANIELE MARIA DE LIMA THEODORO SANTOS (1108)"</f>
        <v>DANIELE MARIA DE LIMA THEODORO SANTOS (1108)</v>
      </c>
      <c r="H1273" t="str">
        <f>"Serv.Prest. DIÁRIA 08/03/2026 - PIX: CPF - CHAVE: 530.612.488-70"</f>
        <v>Serv.Prest. DIÁRIA 08/03/2026 - PIX: CPF - CHAVE: 530.612.488-70</v>
      </c>
      <c r="I1273" t="str">
        <f t="shared" si="236"/>
        <v>10/03/2026</v>
      </c>
      <c r="J1273" t="str">
        <f t="shared" si="240"/>
        <v>09/03/2026</v>
      </c>
      <c r="K1273" t="str">
        <f>("10/03/2026")</f>
        <v>10/03/2026</v>
      </c>
      <c r="L1273">
        <v>250</v>
      </c>
      <c r="M1273">
        <v>250</v>
      </c>
      <c r="N1273">
        <v>134</v>
      </c>
      <c r="O1273" t="str">
        <f>"DIARIA DE MOTOBOY"</f>
        <v>DIARIA DE MOTOBOY</v>
      </c>
      <c r="P1273">
        <v>250</v>
      </c>
      <c r="S1273" t="str">
        <f>"BANCO C6 (149)"</f>
        <v>BANCO C6 (149)</v>
      </c>
      <c r="T1273">
        <v>30436</v>
      </c>
      <c r="U1273">
        <v>34384</v>
      </c>
      <c r="V1273" t="s">
        <v>37</v>
      </c>
    </row>
    <row r="1274" spans="1:22">
      <c r="A1274" t="str">
        <f t="shared" si="235"/>
        <v>10/03/2026</v>
      </c>
      <c r="B1274" t="str">
        <f t="shared" si="237"/>
        <v>SAÍDA</v>
      </c>
      <c r="C1274" t="str">
        <f t="shared" si="238"/>
        <v>PIX</v>
      </c>
      <c r="D1274" t="str">
        <f>"34384"</f>
        <v>34384</v>
      </c>
      <c r="E1274" t="str">
        <f t="shared" si="239"/>
        <v>1</v>
      </c>
      <c r="F1274" t="str">
        <f t="shared" si="234"/>
        <v>COM</v>
      </c>
      <c r="G1274" t="str">
        <f>"DANIELE MARIA DE LIMA THEODORO SANTOS (1108)"</f>
        <v>DANIELE MARIA DE LIMA THEODORO SANTOS (1108)</v>
      </c>
      <c r="H1274" t="s">
        <v>473</v>
      </c>
      <c r="I1274" t="str">
        <f t="shared" si="236"/>
        <v>10/03/2026</v>
      </c>
      <c r="J1274" t="str">
        <f t="shared" si="240"/>
        <v>09/03/2026</v>
      </c>
      <c r="K1274">
        <v>46091</v>
      </c>
      <c r="N1274">
        <v>134</v>
      </c>
      <c r="O1274" t="s">
        <v>30</v>
      </c>
      <c r="Q1274">
        <v>250</v>
      </c>
      <c r="R1274" t="str">
        <f>"PENSE FARMA 49 (10234)"</f>
        <v>PENSE FARMA 49 (10234)</v>
      </c>
      <c r="S1274" t="s">
        <v>37</v>
      </c>
      <c r="T1274">
        <v>30436</v>
      </c>
      <c r="U1274">
        <v>34384</v>
      </c>
      <c r="V1274" t="s">
        <v>37</v>
      </c>
    </row>
    <row r="1275" spans="1:22">
      <c r="A1275" t="str">
        <f t="shared" si="235"/>
        <v>10/03/2026</v>
      </c>
      <c r="B1275" t="str">
        <f t="shared" si="237"/>
        <v>SAÍDA</v>
      </c>
      <c r="C1275" t="str">
        <f t="shared" si="238"/>
        <v>PIX</v>
      </c>
      <c r="D1275" t="str">
        <f>"34393"</f>
        <v>34393</v>
      </c>
      <c r="E1275" t="str">
        <f t="shared" si="239"/>
        <v>1</v>
      </c>
      <c r="F1275" t="str">
        <f t="shared" si="234"/>
        <v>COM</v>
      </c>
      <c r="G1275" t="str">
        <f>"IGOR LOPES DA SILVA (991)"</f>
        <v>IGOR LOPES DA SILVA (991)</v>
      </c>
      <c r="H1275" t="str">
        <f>"Serv.Prest. DIÁRIA 08/03/2026 - PIX: CELULAR - CHAVE: (11) 95054-2206"</f>
        <v>Serv.Prest. DIÁRIA 08/03/2026 - PIX: CELULAR - CHAVE: (11) 95054-2206</v>
      </c>
      <c r="I1275" t="str">
        <f t="shared" si="236"/>
        <v>10/03/2026</v>
      </c>
      <c r="J1275" t="str">
        <f t="shared" si="240"/>
        <v>09/03/2026</v>
      </c>
      <c r="K1275" t="str">
        <f>("10/03/2026")</f>
        <v>10/03/2026</v>
      </c>
      <c r="L1275">
        <v>250</v>
      </c>
      <c r="M1275">
        <v>250</v>
      </c>
      <c r="N1275">
        <v>134</v>
      </c>
      <c r="O1275" t="str">
        <f>"DIARIA DE MOTOBOY"</f>
        <v>DIARIA DE MOTOBOY</v>
      </c>
      <c r="P1275">
        <v>250</v>
      </c>
      <c r="S1275" t="str">
        <f>"BANCO C6 (149)"</f>
        <v>BANCO C6 (149)</v>
      </c>
      <c r="T1275">
        <v>30437</v>
      </c>
      <c r="U1275">
        <v>34488</v>
      </c>
      <c r="V1275" t="s">
        <v>37</v>
      </c>
    </row>
    <row r="1276" spans="1:22">
      <c r="A1276" t="str">
        <f t="shared" si="235"/>
        <v>10/03/2026</v>
      </c>
      <c r="B1276" t="str">
        <f t="shared" si="237"/>
        <v>SAÍDA</v>
      </c>
      <c r="C1276" t="str">
        <f t="shared" si="238"/>
        <v>PIX</v>
      </c>
      <c r="D1276" t="str">
        <f>"34393"</f>
        <v>34393</v>
      </c>
      <c r="E1276" t="str">
        <f t="shared" si="239"/>
        <v>1</v>
      </c>
      <c r="F1276" t="str">
        <f t="shared" si="234"/>
        <v>COM</v>
      </c>
      <c r="G1276" t="str">
        <f>"IGOR LOPES DA SILVA (991)"</f>
        <v>IGOR LOPES DA SILVA (991)</v>
      </c>
      <c r="H1276" t="s">
        <v>474</v>
      </c>
      <c r="I1276" t="str">
        <f t="shared" si="236"/>
        <v>10/03/2026</v>
      </c>
      <c r="J1276" t="str">
        <f t="shared" si="240"/>
        <v>09/03/2026</v>
      </c>
      <c r="K1276">
        <v>46091</v>
      </c>
      <c r="N1276">
        <v>134</v>
      </c>
      <c r="O1276" t="s">
        <v>30</v>
      </c>
      <c r="Q1276">
        <v>250</v>
      </c>
      <c r="R1276" t="str">
        <f>"PENSE FARMA 03 (10216)"</f>
        <v>PENSE FARMA 03 (10216)</v>
      </c>
      <c r="S1276" t="s">
        <v>37</v>
      </c>
      <c r="T1276">
        <v>30437</v>
      </c>
      <c r="U1276">
        <v>34488</v>
      </c>
      <c r="V1276" t="s">
        <v>37</v>
      </c>
    </row>
    <row r="1277" spans="1:22">
      <c r="A1277" t="str">
        <f t="shared" si="235"/>
        <v>10/03/2026</v>
      </c>
      <c r="B1277" t="str">
        <f t="shared" si="237"/>
        <v>SAÍDA</v>
      </c>
      <c r="C1277" t="str">
        <f t="shared" si="238"/>
        <v>PIX</v>
      </c>
      <c r="D1277" t="str">
        <f>"34407"</f>
        <v>34407</v>
      </c>
      <c r="E1277" t="str">
        <f t="shared" si="239"/>
        <v>1</v>
      </c>
      <c r="F1277" t="str">
        <f t="shared" si="234"/>
        <v>COM</v>
      </c>
      <c r="G1277" t="str">
        <f>"MILENA MARTINELI BRANCO DA SILVA (1344)"</f>
        <v>MILENA MARTINELI BRANCO DA SILVA (1344)</v>
      </c>
      <c r="H1277" t="str">
        <f>"Serv.Prest. DIÁRIA 08/03/2026 - PIX: CPF - CHAVE: 499.340.868-40"</f>
        <v>Serv.Prest. DIÁRIA 08/03/2026 - PIX: CPF - CHAVE: 499.340.868-40</v>
      </c>
      <c r="I1277" t="str">
        <f t="shared" si="236"/>
        <v>10/03/2026</v>
      </c>
      <c r="J1277" t="str">
        <f t="shared" si="240"/>
        <v>09/03/2026</v>
      </c>
      <c r="K1277" t="str">
        <f>("10/03/2026")</f>
        <v>10/03/2026</v>
      </c>
      <c r="L1277">
        <v>250</v>
      </c>
      <c r="M1277">
        <v>250</v>
      </c>
      <c r="N1277">
        <v>134</v>
      </c>
      <c r="O1277" t="str">
        <f>"DIARIA DE MOTOBOY"</f>
        <v>DIARIA DE MOTOBOY</v>
      </c>
      <c r="P1277">
        <v>250</v>
      </c>
      <c r="S1277" t="str">
        <f>"BANCO C6 (149)"</f>
        <v>BANCO C6 (149)</v>
      </c>
      <c r="T1277">
        <v>30438</v>
      </c>
      <c r="U1277">
        <v>34407</v>
      </c>
      <c r="V1277" t="s">
        <v>37</v>
      </c>
    </row>
    <row r="1278" spans="1:22">
      <c r="A1278" t="str">
        <f t="shared" si="235"/>
        <v>10/03/2026</v>
      </c>
      <c r="B1278" t="str">
        <f t="shared" si="237"/>
        <v>SAÍDA</v>
      </c>
      <c r="C1278" t="str">
        <f t="shared" si="238"/>
        <v>PIX</v>
      </c>
      <c r="D1278" t="str">
        <f>"34407"</f>
        <v>34407</v>
      </c>
      <c r="E1278" t="str">
        <f t="shared" si="239"/>
        <v>1</v>
      </c>
      <c r="F1278" t="str">
        <f t="shared" si="234"/>
        <v>COM</v>
      </c>
      <c r="G1278" t="str">
        <f>"MILENA MARTINELI BRANCO DA SILVA (1344)"</f>
        <v>MILENA MARTINELI BRANCO DA SILVA (1344)</v>
      </c>
      <c r="H1278" t="s">
        <v>475</v>
      </c>
      <c r="I1278" t="str">
        <f t="shared" si="236"/>
        <v>10/03/2026</v>
      </c>
      <c r="J1278" t="str">
        <f t="shared" si="240"/>
        <v>09/03/2026</v>
      </c>
      <c r="K1278">
        <v>46091</v>
      </c>
      <c r="N1278">
        <v>134</v>
      </c>
      <c r="O1278" t="s">
        <v>30</v>
      </c>
      <c r="Q1278">
        <v>250</v>
      </c>
      <c r="R1278" t="str">
        <f>"PENSE FARMA 62 (10274)"</f>
        <v>PENSE FARMA 62 (10274)</v>
      </c>
      <c r="S1278" t="s">
        <v>37</v>
      </c>
      <c r="T1278">
        <v>30438</v>
      </c>
      <c r="U1278">
        <v>34407</v>
      </c>
      <c r="V1278" t="s">
        <v>37</v>
      </c>
    </row>
    <row r="1279" spans="1:22">
      <c r="A1279" t="str">
        <f t="shared" si="235"/>
        <v>10/03/2026</v>
      </c>
      <c r="B1279" t="str">
        <f t="shared" si="237"/>
        <v>SAÍDA</v>
      </c>
      <c r="C1279" t="str">
        <f t="shared" si="238"/>
        <v>PIX</v>
      </c>
      <c r="D1279" t="str">
        <f>"34422"</f>
        <v>34422</v>
      </c>
      <c r="E1279" t="str">
        <f t="shared" si="239"/>
        <v>1</v>
      </c>
      <c r="F1279" t="str">
        <f t="shared" si="234"/>
        <v>COM</v>
      </c>
      <c r="G1279" t="str">
        <f>"PAULO ROGERIO DA SILVA (1123)"</f>
        <v>PAULO ROGERIO DA SILVA (1123)</v>
      </c>
      <c r="H1279" t="str">
        <f>"Serv.Prest. DIÁRIA 08/03/2026 - PIX: CPF - CHAVE: 302.919.358-69"</f>
        <v>Serv.Prest. DIÁRIA 08/03/2026 - PIX: CPF - CHAVE: 302.919.358-69</v>
      </c>
      <c r="I1279" t="str">
        <f t="shared" ref="I1279:I1310" si="241">("10/03/2026")</f>
        <v>10/03/2026</v>
      </c>
      <c r="J1279" t="str">
        <f t="shared" si="240"/>
        <v>09/03/2026</v>
      </c>
      <c r="K1279" t="str">
        <f>("10/03/2026")</f>
        <v>10/03/2026</v>
      </c>
      <c r="L1279">
        <v>250</v>
      </c>
      <c r="M1279">
        <v>250</v>
      </c>
      <c r="N1279">
        <v>109</v>
      </c>
      <c r="O1279" t="str">
        <f>"PAGAMENTO DE ENTREGADORES"</f>
        <v>PAGAMENTO DE ENTREGADORES</v>
      </c>
      <c r="P1279">
        <v>250</v>
      </c>
      <c r="S1279" t="str">
        <f>"BANCO C6 (149)"</f>
        <v>BANCO C6 (149)</v>
      </c>
      <c r="T1279">
        <v>30439</v>
      </c>
      <c r="U1279">
        <v>34422</v>
      </c>
      <c r="V1279" t="s">
        <v>37</v>
      </c>
    </row>
    <row r="1280" spans="1:22">
      <c r="A1280" t="str">
        <f t="shared" si="235"/>
        <v>10/03/2026</v>
      </c>
      <c r="B1280" t="str">
        <f t="shared" si="237"/>
        <v>SAÍDA</v>
      </c>
      <c r="C1280" t="str">
        <f t="shared" si="238"/>
        <v>PIX</v>
      </c>
      <c r="D1280" t="str">
        <f>"34422"</f>
        <v>34422</v>
      </c>
      <c r="E1280" t="str">
        <f t="shared" si="239"/>
        <v>1</v>
      </c>
      <c r="F1280" t="str">
        <f t="shared" si="234"/>
        <v>COM</v>
      </c>
      <c r="G1280" t="str">
        <f>"PAULO ROGERIO DA SILVA (1123)"</f>
        <v>PAULO ROGERIO DA SILVA (1123)</v>
      </c>
      <c r="H1280" t="s">
        <v>476</v>
      </c>
      <c r="I1280" t="str">
        <f t="shared" si="241"/>
        <v>10/03/2026</v>
      </c>
      <c r="J1280" t="str">
        <f t="shared" si="240"/>
        <v>09/03/2026</v>
      </c>
      <c r="K1280">
        <v>46091</v>
      </c>
      <c r="N1280">
        <v>109</v>
      </c>
      <c r="O1280" t="s">
        <v>27</v>
      </c>
      <c r="Q1280">
        <v>250</v>
      </c>
      <c r="R1280" t="str">
        <f>"PENSE FARMA 61 (10243)"</f>
        <v>PENSE FARMA 61 (10243)</v>
      </c>
      <c r="S1280" t="s">
        <v>37</v>
      </c>
      <c r="T1280">
        <v>30439</v>
      </c>
      <c r="U1280">
        <v>34422</v>
      </c>
      <c r="V1280" t="s">
        <v>37</v>
      </c>
    </row>
    <row r="1281" spans="1:22">
      <c r="A1281" t="str">
        <f t="shared" si="235"/>
        <v>10/03/2026</v>
      </c>
      <c r="B1281" t="str">
        <f t="shared" ref="B1281:B1312" si="242">"SAÍDA"</f>
        <v>SAÍDA</v>
      </c>
      <c r="C1281" t="str">
        <f t="shared" ref="C1281:C1312" si="243">"PIX"</f>
        <v>PIX</v>
      </c>
      <c r="D1281" t="str">
        <f>"34270"</f>
        <v>34270</v>
      </c>
      <c r="E1281" t="str">
        <f t="shared" si="239"/>
        <v>1</v>
      </c>
      <c r="F1281" t="str">
        <f t="shared" si="234"/>
        <v>COM</v>
      </c>
      <c r="G1281" t="str">
        <f>"AGATTA DE LOURDES SILVA (1266)"</f>
        <v>AGATTA DE LOURDES SILVA (1266)</v>
      </c>
      <c r="H1281" t="str">
        <f>"Serv.Prest. DIÁRIA 08/03/2026 - PIX: CELULAR - CHAVE: (32) 98492-7371"</f>
        <v>Serv.Prest. DIÁRIA 08/03/2026 - PIX: CELULAR - CHAVE: (32) 98492-7371</v>
      </c>
      <c r="I1281" t="str">
        <f t="shared" si="241"/>
        <v>10/03/2026</v>
      </c>
      <c r="J1281" t="str">
        <f t="shared" si="240"/>
        <v>09/03/2026</v>
      </c>
      <c r="K1281" t="str">
        <f>("10/03/2026")</f>
        <v>10/03/2026</v>
      </c>
      <c r="L1281">
        <v>117</v>
      </c>
      <c r="M1281">
        <v>117</v>
      </c>
      <c r="N1281">
        <v>134</v>
      </c>
      <c r="O1281" t="str">
        <f>"DIARIA DE MOTOBOY"</f>
        <v>DIARIA DE MOTOBOY</v>
      </c>
      <c r="P1281">
        <v>117</v>
      </c>
      <c r="S1281" t="str">
        <f>"BANCO C6 (149)"</f>
        <v>BANCO C6 (149)</v>
      </c>
      <c r="T1281">
        <v>30440</v>
      </c>
      <c r="U1281">
        <v>34530</v>
      </c>
      <c r="V1281" t="s">
        <v>37</v>
      </c>
    </row>
    <row r="1282" spans="1:22">
      <c r="A1282" t="str">
        <f t="shared" si="235"/>
        <v>10/03/2026</v>
      </c>
      <c r="B1282" t="str">
        <f t="shared" si="242"/>
        <v>SAÍDA</v>
      </c>
      <c r="C1282" t="str">
        <f t="shared" si="243"/>
        <v>PIX</v>
      </c>
      <c r="D1282" t="str">
        <f>"34270"</f>
        <v>34270</v>
      </c>
      <c r="E1282" t="str">
        <f t="shared" si="239"/>
        <v>1</v>
      </c>
      <c r="F1282" t="str">
        <f t="shared" ref="F1282:F1345" si="244">"COM"</f>
        <v>COM</v>
      </c>
      <c r="G1282" t="str">
        <f>"AGATTA DE LOURDES SILVA (1266)"</f>
        <v>AGATTA DE LOURDES SILVA (1266)</v>
      </c>
      <c r="H1282" t="s">
        <v>477</v>
      </c>
      <c r="I1282" t="str">
        <f t="shared" si="241"/>
        <v>10/03/2026</v>
      </c>
      <c r="J1282" t="str">
        <f t="shared" si="240"/>
        <v>09/03/2026</v>
      </c>
      <c r="K1282">
        <v>46091</v>
      </c>
      <c r="N1282">
        <v>134</v>
      </c>
      <c r="O1282" t="s">
        <v>30</v>
      </c>
      <c r="Q1282">
        <v>117</v>
      </c>
      <c r="R1282" t="str">
        <f>"FARMA &amp; FORMA (10296)"</f>
        <v>FARMA &amp; FORMA (10296)</v>
      </c>
      <c r="S1282" t="s">
        <v>37</v>
      </c>
      <c r="T1282">
        <v>30440</v>
      </c>
      <c r="U1282">
        <v>34530</v>
      </c>
      <c r="V1282" t="s">
        <v>37</v>
      </c>
    </row>
    <row r="1283" spans="1:22">
      <c r="A1283" t="str">
        <f t="shared" si="235"/>
        <v>10/03/2026</v>
      </c>
      <c r="B1283" t="str">
        <f t="shared" si="242"/>
        <v>SAÍDA</v>
      </c>
      <c r="C1283" t="str">
        <f t="shared" si="243"/>
        <v>PIX</v>
      </c>
      <c r="D1283" t="str">
        <f>"34442"</f>
        <v>34442</v>
      </c>
      <c r="E1283" t="str">
        <f t="shared" si="239"/>
        <v>1</v>
      </c>
      <c r="F1283" t="str">
        <f t="shared" si="244"/>
        <v>COM</v>
      </c>
      <c r="G1283" t="str">
        <f>"RODOLFO RAFAEL BALSI LIMA (1077)"</f>
        <v>RODOLFO RAFAEL BALSI LIMA (1077)</v>
      </c>
      <c r="H1283" t="str">
        <f>"Serv.Prest. DIÁRIA 08/03/2026 - PIX: CELULAR - CHAVE: (11) 99239-3232"</f>
        <v>Serv.Prest. DIÁRIA 08/03/2026 - PIX: CELULAR - CHAVE: (11) 99239-3232</v>
      </c>
      <c r="I1283" t="str">
        <f t="shared" si="241"/>
        <v>10/03/2026</v>
      </c>
      <c r="J1283" t="str">
        <f t="shared" si="240"/>
        <v>09/03/2026</v>
      </c>
      <c r="K1283" t="str">
        <f>("10/03/2026")</f>
        <v>10/03/2026</v>
      </c>
      <c r="L1283">
        <v>250</v>
      </c>
      <c r="M1283">
        <v>250</v>
      </c>
      <c r="N1283">
        <v>134</v>
      </c>
      <c r="O1283" t="str">
        <f>"DIARIA DE MOTOBOY"</f>
        <v>DIARIA DE MOTOBOY</v>
      </c>
      <c r="P1283">
        <v>250</v>
      </c>
      <c r="S1283" t="str">
        <f>"BANCO C6 (149)"</f>
        <v>BANCO C6 (149)</v>
      </c>
      <c r="T1283">
        <v>30441</v>
      </c>
      <c r="U1283">
        <v>34442</v>
      </c>
      <c r="V1283" t="s">
        <v>37</v>
      </c>
    </row>
    <row r="1284" spans="1:22">
      <c r="A1284" t="str">
        <f t="shared" si="235"/>
        <v>10/03/2026</v>
      </c>
      <c r="B1284" t="str">
        <f t="shared" si="242"/>
        <v>SAÍDA</v>
      </c>
      <c r="C1284" t="str">
        <f t="shared" si="243"/>
        <v>PIX</v>
      </c>
      <c r="D1284" t="str">
        <f>"34442"</f>
        <v>34442</v>
      </c>
      <c r="E1284" t="str">
        <f t="shared" si="239"/>
        <v>1</v>
      </c>
      <c r="F1284" t="str">
        <f t="shared" si="244"/>
        <v>COM</v>
      </c>
      <c r="G1284" t="str">
        <f>"RODOLFO RAFAEL BALSI LIMA (1077)"</f>
        <v>RODOLFO RAFAEL BALSI LIMA (1077)</v>
      </c>
      <c r="H1284" t="s">
        <v>478</v>
      </c>
      <c r="I1284" t="str">
        <f t="shared" si="241"/>
        <v>10/03/2026</v>
      </c>
      <c r="J1284" t="str">
        <f t="shared" si="240"/>
        <v>09/03/2026</v>
      </c>
      <c r="K1284">
        <v>46091</v>
      </c>
      <c r="N1284">
        <v>134</v>
      </c>
      <c r="O1284" t="s">
        <v>30</v>
      </c>
      <c r="Q1284">
        <v>250</v>
      </c>
      <c r="R1284" t="str">
        <f>"PENSE FARMA 20 (10203)"</f>
        <v>PENSE FARMA 20 (10203)</v>
      </c>
      <c r="S1284" t="s">
        <v>37</v>
      </c>
      <c r="T1284">
        <v>30441</v>
      </c>
      <c r="U1284">
        <v>34442</v>
      </c>
      <c r="V1284" t="s">
        <v>37</v>
      </c>
    </row>
    <row r="1285" spans="1:22">
      <c r="A1285" t="str">
        <f t="shared" si="235"/>
        <v>10/03/2026</v>
      </c>
      <c r="B1285" t="str">
        <f t="shared" si="242"/>
        <v>SAÍDA</v>
      </c>
      <c r="C1285" t="str">
        <f t="shared" si="243"/>
        <v>PIX</v>
      </c>
      <c r="D1285" t="str">
        <f>"34450"</f>
        <v>34450</v>
      </c>
      <c r="E1285" t="str">
        <f t="shared" si="239"/>
        <v>1</v>
      </c>
      <c r="F1285" t="str">
        <f t="shared" si="244"/>
        <v>COM</v>
      </c>
      <c r="G1285" t="str">
        <f>"VICTOR HUGO SOARES DE PAULA (1021)"</f>
        <v>VICTOR HUGO SOARES DE PAULA (1021)</v>
      </c>
      <c r="H1285" t="str">
        <f>"Serv.Prest. DIÁRIA 08/03/2026 - PIX: CELULAR - CHAVE: (11) 98281-4526"</f>
        <v>Serv.Prest. DIÁRIA 08/03/2026 - PIX: CELULAR - CHAVE: (11) 98281-4526</v>
      </c>
      <c r="I1285" t="str">
        <f t="shared" si="241"/>
        <v>10/03/2026</v>
      </c>
      <c r="J1285" t="str">
        <f t="shared" si="240"/>
        <v>09/03/2026</v>
      </c>
      <c r="K1285" t="str">
        <f>("10/03/2026")</f>
        <v>10/03/2026</v>
      </c>
      <c r="L1285">
        <v>250</v>
      </c>
      <c r="M1285">
        <v>250</v>
      </c>
      <c r="N1285">
        <v>134</v>
      </c>
      <c r="O1285" t="str">
        <f>"DIARIA DE MOTOBOY"</f>
        <v>DIARIA DE MOTOBOY</v>
      </c>
      <c r="P1285">
        <v>250</v>
      </c>
      <c r="S1285" t="str">
        <f>"BANCO C6 (149)"</f>
        <v>BANCO C6 (149)</v>
      </c>
      <c r="T1285">
        <v>30442</v>
      </c>
      <c r="U1285">
        <v>34526</v>
      </c>
      <c r="V1285" t="s">
        <v>37</v>
      </c>
    </row>
    <row r="1286" spans="1:22">
      <c r="A1286" t="str">
        <f t="shared" si="235"/>
        <v>10/03/2026</v>
      </c>
      <c r="B1286" t="str">
        <f t="shared" si="242"/>
        <v>SAÍDA</v>
      </c>
      <c r="C1286" t="str">
        <f t="shared" si="243"/>
        <v>PIX</v>
      </c>
      <c r="D1286" t="str">
        <f>"34450"</f>
        <v>34450</v>
      </c>
      <c r="E1286" t="str">
        <f t="shared" si="239"/>
        <v>1</v>
      </c>
      <c r="F1286" t="str">
        <f t="shared" si="244"/>
        <v>COM</v>
      </c>
      <c r="G1286" t="str">
        <f>"VICTOR HUGO SOARES DE PAULA (1021)"</f>
        <v>VICTOR HUGO SOARES DE PAULA (1021)</v>
      </c>
      <c r="H1286" t="s">
        <v>479</v>
      </c>
      <c r="I1286" t="str">
        <f t="shared" si="241"/>
        <v>10/03/2026</v>
      </c>
      <c r="J1286" t="str">
        <f t="shared" si="240"/>
        <v>09/03/2026</v>
      </c>
      <c r="K1286">
        <v>46091</v>
      </c>
      <c r="N1286">
        <v>134</v>
      </c>
      <c r="O1286" t="s">
        <v>30</v>
      </c>
      <c r="Q1286">
        <v>250</v>
      </c>
      <c r="R1286" t="str">
        <f>"PENSE FARMA 44 (10231)"</f>
        <v>PENSE FARMA 44 (10231)</v>
      </c>
      <c r="S1286" t="s">
        <v>37</v>
      </c>
      <c r="T1286">
        <v>30442</v>
      </c>
      <c r="U1286">
        <v>34526</v>
      </c>
      <c r="V1286" t="s">
        <v>37</v>
      </c>
    </row>
    <row r="1287" spans="1:22">
      <c r="A1287" t="str">
        <f t="shared" si="235"/>
        <v>10/03/2026</v>
      </c>
      <c r="B1287" t="str">
        <f t="shared" si="242"/>
        <v>SAÍDA</v>
      </c>
      <c r="C1287" t="str">
        <f t="shared" si="243"/>
        <v>PIX</v>
      </c>
      <c r="D1287" t="str">
        <f t="shared" ref="D1287:D1292" si="245">"10032026"</f>
        <v>10032026</v>
      </c>
      <c r="E1287" t="str">
        <f>""</f>
        <v/>
      </c>
      <c r="F1287" t="str">
        <f t="shared" si="244"/>
        <v>COM</v>
      </c>
      <c r="G1287" t="str">
        <f t="shared" ref="G1287:G1292" si="246">"GABRIEL RAMALHO LOPES (1343)"</f>
        <v>GABRIEL RAMALHO LOPES (1343)</v>
      </c>
      <c r="H1287" t="str">
        <f>"Serv.Prest. DIÁRIA 08/03/2026 - PIX: E-MAIL - CHAVE: ramalhogabriel155@gmail.com"</f>
        <v>Serv.Prest. DIÁRIA 08/03/2026 - PIX: E-MAIL - CHAVE: ramalhogabriel155@gmail.com</v>
      </c>
      <c r="I1287" t="str">
        <f t="shared" si="241"/>
        <v>10/03/2026</v>
      </c>
      <c r="J1287" t="str">
        <f>("10/03/2026")</f>
        <v>10/03/2026</v>
      </c>
      <c r="K1287" t="str">
        <f>("10/03/2026")</f>
        <v>10/03/2026</v>
      </c>
      <c r="L1287">
        <v>250</v>
      </c>
      <c r="M1287">
        <v>250</v>
      </c>
      <c r="N1287">
        <v>134</v>
      </c>
      <c r="O1287" t="str">
        <f>"DIARIA DE MOTOBOY"</f>
        <v>DIARIA DE MOTOBOY</v>
      </c>
      <c r="P1287">
        <v>250</v>
      </c>
      <c r="S1287" t="str">
        <f>"BANCO C6 (149)"</f>
        <v>BANCO C6 (149)</v>
      </c>
      <c r="T1287">
        <v>30443</v>
      </c>
      <c r="U1287">
        <v>34528</v>
      </c>
      <c r="V1287" t="s">
        <v>37</v>
      </c>
    </row>
    <row r="1288" spans="1:22">
      <c r="A1288" t="str">
        <f t="shared" si="235"/>
        <v>10/03/2026</v>
      </c>
      <c r="B1288" t="str">
        <f t="shared" si="242"/>
        <v>SAÍDA</v>
      </c>
      <c r="C1288" t="str">
        <f t="shared" si="243"/>
        <v>PIX</v>
      </c>
      <c r="D1288" t="str">
        <f t="shared" si="245"/>
        <v>10032026</v>
      </c>
      <c r="E1288" t="str">
        <f>""</f>
        <v/>
      </c>
      <c r="F1288" t="str">
        <f t="shared" si="244"/>
        <v>COM</v>
      </c>
      <c r="G1288" t="str">
        <f t="shared" si="246"/>
        <v>GABRIEL RAMALHO LOPES (1343)</v>
      </c>
      <c r="H1288" t="s">
        <v>480</v>
      </c>
      <c r="I1288" t="str">
        <f t="shared" si="241"/>
        <v>10/03/2026</v>
      </c>
      <c r="J1288" t="str">
        <f>("10/03/2026")</f>
        <v>10/03/2026</v>
      </c>
      <c r="K1288">
        <v>46091</v>
      </c>
      <c r="N1288">
        <v>134</v>
      </c>
      <c r="O1288" t="s">
        <v>30</v>
      </c>
      <c r="Q1288">
        <v>50</v>
      </c>
      <c r="R1288" t="str">
        <f>"PENSE FARMA 08 (10217)"</f>
        <v>PENSE FARMA 08 (10217)</v>
      </c>
      <c r="S1288" t="s">
        <v>37</v>
      </c>
      <c r="T1288">
        <v>30443</v>
      </c>
      <c r="U1288">
        <v>34528</v>
      </c>
      <c r="V1288" t="s">
        <v>37</v>
      </c>
    </row>
    <row r="1289" spans="1:22">
      <c r="A1289" t="str">
        <f t="shared" si="235"/>
        <v>10/03/2026</v>
      </c>
      <c r="B1289" t="str">
        <f t="shared" si="242"/>
        <v>SAÍDA</v>
      </c>
      <c r="C1289" t="str">
        <f t="shared" si="243"/>
        <v>PIX</v>
      </c>
      <c r="D1289" t="str">
        <f t="shared" si="245"/>
        <v>10032026</v>
      </c>
      <c r="E1289" t="str">
        <f>""</f>
        <v/>
      </c>
      <c r="F1289" t="str">
        <f t="shared" si="244"/>
        <v>COM</v>
      </c>
      <c r="G1289" t="str">
        <f t="shared" si="246"/>
        <v>GABRIEL RAMALHO LOPES (1343)</v>
      </c>
      <c r="H1289" t="s">
        <v>480</v>
      </c>
      <c r="I1289" t="str">
        <f t="shared" si="241"/>
        <v>10/03/2026</v>
      </c>
      <c r="J1289" t="str">
        <f>("10/03/2026")</f>
        <v>10/03/2026</v>
      </c>
      <c r="K1289">
        <v>46091</v>
      </c>
      <c r="N1289">
        <v>134</v>
      </c>
      <c r="O1289" t="s">
        <v>30</v>
      </c>
      <c r="Q1289">
        <v>50</v>
      </c>
      <c r="R1289" t="str">
        <f>"PENSE FARMA 11 (10220)"</f>
        <v>PENSE FARMA 11 (10220)</v>
      </c>
      <c r="S1289" t="s">
        <v>37</v>
      </c>
      <c r="T1289">
        <v>30443</v>
      </c>
      <c r="U1289">
        <v>34528</v>
      </c>
      <c r="V1289" t="s">
        <v>37</v>
      </c>
    </row>
    <row r="1290" spans="1:22">
      <c r="A1290" t="str">
        <f t="shared" si="235"/>
        <v>10/03/2026</v>
      </c>
      <c r="B1290" t="str">
        <f t="shared" si="242"/>
        <v>SAÍDA</v>
      </c>
      <c r="C1290" t="str">
        <f t="shared" si="243"/>
        <v>PIX</v>
      </c>
      <c r="D1290" t="str">
        <f t="shared" si="245"/>
        <v>10032026</v>
      </c>
      <c r="E1290" t="str">
        <f>""</f>
        <v/>
      </c>
      <c r="F1290" t="str">
        <f t="shared" si="244"/>
        <v>COM</v>
      </c>
      <c r="G1290" t="str">
        <f t="shared" si="246"/>
        <v>GABRIEL RAMALHO LOPES (1343)</v>
      </c>
      <c r="H1290" t="s">
        <v>480</v>
      </c>
      <c r="I1290" t="str">
        <f t="shared" si="241"/>
        <v>10/03/2026</v>
      </c>
      <c r="J1290" t="str">
        <f>("10/03/2026")</f>
        <v>10/03/2026</v>
      </c>
      <c r="K1290">
        <v>46091</v>
      </c>
      <c r="N1290">
        <v>134</v>
      </c>
      <c r="O1290" t="s">
        <v>30</v>
      </c>
      <c r="Q1290">
        <v>50</v>
      </c>
      <c r="R1290" t="str">
        <f>"PENSE FARMA 41 (10229)"</f>
        <v>PENSE FARMA 41 (10229)</v>
      </c>
      <c r="S1290" t="s">
        <v>37</v>
      </c>
      <c r="T1290">
        <v>30443</v>
      </c>
      <c r="U1290">
        <v>34528</v>
      </c>
      <c r="V1290" t="s">
        <v>37</v>
      </c>
    </row>
    <row r="1291" spans="1:22">
      <c r="A1291" t="str">
        <f t="shared" si="235"/>
        <v>10/03/2026</v>
      </c>
      <c r="B1291" t="str">
        <f t="shared" si="242"/>
        <v>SAÍDA</v>
      </c>
      <c r="C1291" t="str">
        <f t="shared" si="243"/>
        <v>PIX</v>
      </c>
      <c r="D1291" t="str">
        <f t="shared" si="245"/>
        <v>10032026</v>
      </c>
      <c r="E1291" t="str">
        <f>""</f>
        <v/>
      </c>
      <c r="F1291" t="str">
        <f t="shared" si="244"/>
        <v>COM</v>
      </c>
      <c r="G1291" t="str">
        <f t="shared" si="246"/>
        <v>GABRIEL RAMALHO LOPES (1343)</v>
      </c>
      <c r="H1291" t="s">
        <v>480</v>
      </c>
      <c r="I1291" t="str">
        <f t="shared" si="241"/>
        <v>10/03/2026</v>
      </c>
      <c r="J1291" t="str">
        <f>("10/03/2026")</f>
        <v>10/03/2026</v>
      </c>
      <c r="K1291">
        <v>46091</v>
      </c>
      <c r="N1291">
        <v>134</v>
      </c>
      <c r="O1291" t="s">
        <v>30</v>
      </c>
      <c r="Q1291">
        <v>50</v>
      </c>
      <c r="R1291" t="str">
        <f>"PENSE FARMA 42 (10230)"</f>
        <v>PENSE FARMA 42 (10230)</v>
      </c>
      <c r="S1291" t="s">
        <v>37</v>
      </c>
      <c r="T1291">
        <v>30443</v>
      </c>
      <c r="U1291">
        <v>34528</v>
      </c>
      <c r="V1291" t="s">
        <v>37</v>
      </c>
    </row>
    <row r="1292" spans="1:22">
      <c r="A1292" t="str">
        <f t="shared" si="235"/>
        <v>10/03/2026</v>
      </c>
      <c r="B1292" t="str">
        <f t="shared" si="242"/>
        <v>SAÍDA</v>
      </c>
      <c r="C1292" t="str">
        <f t="shared" si="243"/>
        <v>PIX</v>
      </c>
      <c r="D1292" t="str">
        <f t="shared" si="245"/>
        <v>10032026</v>
      </c>
      <c r="E1292" t="str">
        <f>""</f>
        <v/>
      </c>
      <c r="F1292" t="str">
        <f t="shared" si="244"/>
        <v>COM</v>
      </c>
      <c r="G1292" t="str">
        <f t="shared" si="246"/>
        <v>GABRIEL RAMALHO LOPES (1343)</v>
      </c>
      <c r="H1292" t="s">
        <v>480</v>
      </c>
      <c r="I1292" t="str">
        <f t="shared" si="241"/>
        <v>10/03/2026</v>
      </c>
      <c r="J1292" t="str">
        <f>("10/03/2026")</f>
        <v>10/03/2026</v>
      </c>
      <c r="K1292">
        <v>46091</v>
      </c>
      <c r="N1292">
        <v>134</v>
      </c>
      <c r="O1292" t="s">
        <v>30</v>
      </c>
      <c r="Q1292">
        <v>50</v>
      </c>
      <c r="R1292" t="str">
        <f>"PENSE FARMA 52 (10236)"</f>
        <v>PENSE FARMA 52 (10236)</v>
      </c>
      <c r="S1292" t="s">
        <v>37</v>
      </c>
      <c r="T1292">
        <v>30443</v>
      </c>
      <c r="U1292">
        <v>34528</v>
      </c>
      <c r="V1292" t="s">
        <v>37</v>
      </c>
    </row>
    <row r="1293" spans="1:22">
      <c r="A1293" t="str">
        <f t="shared" si="235"/>
        <v>10/03/2026</v>
      </c>
      <c r="B1293" t="str">
        <f t="shared" si="242"/>
        <v>SAÍDA</v>
      </c>
      <c r="C1293" t="str">
        <f t="shared" si="243"/>
        <v>PIX</v>
      </c>
      <c r="D1293" t="str">
        <f>"34473"</f>
        <v>34473</v>
      </c>
      <c r="E1293" t="str">
        <f t="shared" ref="E1293:E1301" si="247">"1"</f>
        <v>1</v>
      </c>
      <c r="F1293" t="str">
        <f t="shared" si="244"/>
        <v>COM</v>
      </c>
      <c r="G1293" t="str">
        <f>"PEDRO HENRIQUE ALVES DA SILVA (1133)"</f>
        <v>PEDRO HENRIQUE ALVES DA SILVA (1133)</v>
      </c>
      <c r="H1293" t="str">
        <f>"Serv.Prest. DIÁRIA 08/03/2026 - PIX: CELULAR - CHAVE: (11) 98776-2232"</f>
        <v>Serv.Prest. DIÁRIA 08/03/2026 - PIX: CELULAR - CHAVE: (11) 98776-2232</v>
      </c>
      <c r="I1293" t="str">
        <f t="shared" si="241"/>
        <v>10/03/2026</v>
      </c>
      <c r="J1293" t="str">
        <f>("09/03/2026")</f>
        <v>09/03/2026</v>
      </c>
      <c r="K1293" t="str">
        <f>("10/03/2026")</f>
        <v>10/03/2026</v>
      </c>
      <c r="L1293">
        <v>750</v>
      </c>
      <c r="M1293">
        <v>750</v>
      </c>
      <c r="N1293">
        <v>134</v>
      </c>
      <c r="O1293" t="str">
        <f>"DIARIA DE MOTOBOY"</f>
        <v>DIARIA DE MOTOBOY</v>
      </c>
      <c r="P1293">
        <v>750</v>
      </c>
      <c r="S1293" t="str">
        <f>"BANCO C6 (149)"</f>
        <v>BANCO C6 (149)</v>
      </c>
      <c r="T1293">
        <v>30444</v>
      </c>
      <c r="U1293">
        <v>34529</v>
      </c>
      <c r="V1293" t="s">
        <v>37</v>
      </c>
    </row>
    <row r="1294" spans="1:22">
      <c r="A1294" t="str">
        <f t="shared" si="235"/>
        <v>10/03/2026</v>
      </c>
      <c r="B1294" t="str">
        <f t="shared" si="242"/>
        <v>SAÍDA</v>
      </c>
      <c r="C1294" t="str">
        <f t="shared" si="243"/>
        <v>PIX</v>
      </c>
      <c r="D1294" t="str">
        <f>"34473"</f>
        <v>34473</v>
      </c>
      <c r="E1294" t="str">
        <f t="shared" si="247"/>
        <v>1</v>
      </c>
      <c r="F1294" t="str">
        <f t="shared" si="244"/>
        <v>COM</v>
      </c>
      <c r="G1294" t="str">
        <f>"PEDRO HENRIQUE ALVES DA SILVA (1133)"</f>
        <v>PEDRO HENRIQUE ALVES DA SILVA (1133)</v>
      </c>
      <c r="H1294" t="s">
        <v>481</v>
      </c>
      <c r="I1294" t="str">
        <f t="shared" si="241"/>
        <v>10/03/2026</v>
      </c>
      <c r="J1294" t="str">
        <f>("09/03/2026")</f>
        <v>09/03/2026</v>
      </c>
      <c r="K1294">
        <v>46091</v>
      </c>
      <c r="N1294">
        <v>134</v>
      </c>
      <c r="O1294" t="s">
        <v>30</v>
      </c>
      <c r="Q1294">
        <v>750</v>
      </c>
      <c r="R1294" t="str">
        <f>"PENSE FARMA 22 (10198)"</f>
        <v>PENSE FARMA 22 (10198)</v>
      </c>
      <c r="S1294" t="s">
        <v>37</v>
      </c>
      <c r="T1294">
        <v>30444</v>
      </c>
      <c r="U1294">
        <v>34529</v>
      </c>
      <c r="V1294" t="s">
        <v>37</v>
      </c>
    </row>
    <row r="1295" spans="1:22">
      <c r="A1295" t="str">
        <f t="shared" si="235"/>
        <v>10/03/2026</v>
      </c>
      <c r="B1295" t="str">
        <f t="shared" si="242"/>
        <v>SAÍDA</v>
      </c>
      <c r="C1295" t="str">
        <f t="shared" si="243"/>
        <v>PIX</v>
      </c>
      <c r="D1295" t="str">
        <f>"34466"</f>
        <v>34466</v>
      </c>
      <c r="E1295" t="str">
        <f t="shared" si="247"/>
        <v>1</v>
      </c>
      <c r="F1295" t="str">
        <f t="shared" si="244"/>
        <v>COM</v>
      </c>
      <c r="G1295" t="str">
        <f>"MARCOS DUARTE CARVALHO (998)"</f>
        <v>MARCOS DUARTE CARVALHO (998)</v>
      </c>
      <c r="H1295" t="str">
        <f>"Serv.Prest. DIÁRIA 08/03/2026 - PIX: CPF - CHAVE: 396.877.618-65"</f>
        <v>Serv.Prest. DIÁRIA 08/03/2026 - PIX: CPF - CHAVE: 396.877.618-65</v>
      </c>
      <c r="I1295" t="str">
        <f t="shared" si="241"/>
        <v>10/03/2026</v>
      </c>
      <c r="J1295" t="str">
        <f>("09/03/2026")</f>
        <v>09/03/2026</v>
      </c>
      <c r="K1295" t="str">
        <f>("10/03/2026")</f>
        <v>10/03/2026</v>
      </c>
      <c r="L1295">
        <v>250</v>
      </c>
      <c r="M1295">
        <v>250</v>
      </c>
      <c r="N1295">
        <v>134</v>
      </c>
      <c r="O1295" t="str">
        <f>"DIARIA DE MOTOBOY"</f>
        <v>DIARIA DE MOTOBOY</v>
      </c>
      <c r="P1295">
        <v>250</v>
      </c>
      <c r="S1295" t="str">
        <f>"BANCO C6 (149)"</f>
        <v>BANCO C6 (149)</v>
      </c>
      <c r="T1295">
        <v>30445</v>
      </c>
      <c r="U1295">
        <v>34527</v>
      </c>
      <c r="V1295" t="s">
        <v>37</v>
      </c>
    </row>
    <row r="1296" spans="1:22">
      <c r="A1296" t="str">
        <f t="shared" si="235"/>
        <v>10/03/2026</v>
      </c>
      <c r="B1296" t="str">
        <f t="shared" si="242"/>
        <v>SAÍDA</v>
      </c>
      <c r="C1296" t="str">
        <f t="shared" si="243"/>
        <v>PIX</v>
      </c>
      <c r="D1296" t="str">
        <f>"34466"</f>
        <v>34466</v>
      </c>
      <c r="E1296" t="str">
        <f t="shared" si="247"/>
        <v>1</v>
      </c>
      <c r="F1296" t="str">
        <f t="shared" si="244"/>
        <v>COM</v>
      </c>
      <c r="G1296" t="str">
        <f>"MARCOS DUARTE CARVALHO (998)"</f>
        <v>MARCOS DUARTE CARVALHO (998)</v>
      </c>
      <c r="H1296" t="s">
        <v>482</v>
      </c>
      <c r="I1296" t="str">
        <f t="shared" si="241"/>
        <v>10/03/2026</v>
      </c>
      <c r="J1296" t="str">
        <f>("09/03/2026")</f>
        <v>09/03/2026</v>
      </c>
      <c r="K1296">
        <v>46091</v>
      </c>
      <c r="N1296">
        <v>134</v>
      </c>
      <c r="O1296" t="s">
        <v>30</v>
      </c>
      <c r="Q1296">
        <v>250</v>
      </c>
      <c r="R1296" t="str">
        <f>"PENSE FARMA 09 (10218)"</f>
        <v>PENSE FARMA 09 (10218)</v>
      </c>
      <c r="S1296" t="s">
        <v>37</v>
      </c>
      <c r="T1296">
        <v>30445</v>
      </c>
      <c r="U1296">
        <v>34527</v>
      </c>
      <c r="V1296" t="s">
        <v>37</v>
      </c>
    </row>
    <row r="1297" spans="1:22">
      <c r="A1297" t="str">
        <f t="shared" si="235"/>
        <v>10/03/2026</v>
      </c>
      <c r="B1297" t="str">
        <f t="shared" si="242"/>
        <v>SAÍDA</v>
      </c>
      <c r="C1297" t="str">
        <f t="shared" si="243"/>
        <v>PIX</v>
      </c>
      <c r="D1297" t="str">
        <f>"34495"</f>
        <v>34495</v>
      </c>
      <c r="E1297" t="str">
        <f t="shared" si="247"/>
        <v>1</v>
      </c>
      <c r="F1297" t="str">
        <f t="shared" si="244"/>
        <v>COM</v>
      </c>
      <c r="G1297" t="str">
        <f>"EVERTON DA SILVEIRA SANTOS (834)"</f>
        <v>EVERTON DA SILVEIRA SANTOS (834)</v>
      </c>
      <c r="H1297" t="str">
        <f>"Serv.Prest. 02/03/2026 a 08/03/2026 - PIX: CELULAR - CHAVE: (73) 99982-9939"</f>
        <v>Serv.Prest. 02/03/2026 a 08/03/2026 - PIX: CELULAR - CHAVE: (73) 99982-9939</v>
      </c>
      <c r="I1297" t="str">
        <f t="shared" si="241"/>
        <v>10/03/2026</v>
      </c>
      <c r="J1297" t="str">
        <f>("10/03/2026")</f>
        <v>10/03/2026</v>
      </c>
      <c r="K1297" t="str">
        <f>("10/03/2026")</f>
        <v>10/03/2026</v>
      </c>
      <c r="L1297">
        <v>150</v>
      </c>
      <c r="M1297">
        <v>150</v>
      </c>
      <c r="N1297">
        <v>134</v>
      </c>
      <c r="O1297" t="str">
        <f>"DIARIA DE MOTOBOY"</f>
        <v>DIARIA DE MOTOBOY</v>
      </c>
      <c r="P1297">
        <v>150</v>
      </c>
      <c r="S1297" t="str">
        <f>"BANCO C6 (149)"</f>
        <v>BANCO C6 (149)</v>
      </c>
      <c r="T1297">
        <v>30446</v>
      </c>
      <c r="U1297">
        <v>34495</v>
      </c>
      <c r="V1297" t="s">
        <v>37</v>
      </c>
    </row>
    <row r="1298" spans="1:22">
      <c r="A1298" t="str">
        <f t="shared" si="235"/>
        <v>10/03/2026</v>
      </c>
      <c r="B1298" t="str">
        <f t="shared" si="242"/>
        <v>SAÍDA</v>
      </c>
      <c r="C1298" t="str">
        <f t="shared" si="243"/>
        <v>PIX</v>
      </c>
      <c r="D1298" t="str">
        <f>"34495"</f>
        <v>34495</v>
      </c>
      <c r="E1298" t="str">
        <f t="shared" si="247"/>
        <v>1</v>
      </c>
      <c r="F1298" t="str">
        <f t="shared" si="244"/>
        <v>COM</v>
      </c>
      <c r="G1298" t="str">
        <f>"EVERTON DA SILVEIRA SANTOS (834)"</f>
        <v>EVERTON DA SILVEIRA SANTOS (834)</v>
      </c>
      <c r="H1298" t="s">
        <v>483</v>
      </c>
      <c r="I1298" t="str">
        <f t="shared" si="241"/>
        <v>10/03/2026</v>
      </c>
      <c r="J1298" t="str">
        <f t="shared" ref="J1298:J1321" si="248">("10/03/2026")</f>
        <v>10/03/2026</v>
      </c>
      <c r="K1298">
        <v>46091</v>
      </c>
      <c r="N1298">
        <v>134</v>
      </c>
      <c r="O1298" t="s">
        <v>30</v>
      </c>
      <c r="Q1298">
        <v>150</v>
      </c>
      <c r="R1298" t="str">
        <f>"FARMÁCIA INDIANA LJ 200 (10155)"</f>
        <v>FARMÁCIA INDIANA LJ 200 (10155)</v>
      </c>
      <c r="S1298" t="s">
        <v>37</v>
      </c>
      <c r="T1298">
        <v>30446</v>
      </c>
      <c r="U1298">
        <v>34495</v>
      </c>
      <c r="V1298" t="s">
        <v>37</v>
      </c>
    </row>
    <row r="1299" spans="1:22">
      <c r="A1299" t="str">
        <f t="shared" ref="A1299:A1339" si="249">("10/03/2026")</f>
        <v>10/03/2026</v>
      </c>
      <c r="B1299" t="str">
        <f t="shared" si="242"/>
        <v>SAÍDA</v>
      </c>
      <c r="C1299" t="str">
        <f t="shared" si="243"/>
        <v>PIX</v>
      </c>
      <c r="D1299" t="str">
        <f>"34577"</f>
        <v>34577</v>
      </c>
      <c r="E1299" t="str">
        <f t="shared" si="247"/>
        <v>1</v>
      </c>
      <c r="F1299" t="str">
        <f t="shared" si="244"/>
        <v>COM</v>
      </c>
      <c r="G1299" t="str">
        <f>"GUILHERME DO CARMO CAZARIM (1268)"</f>
        <v>GUILHERME DO CARMO CAZARIM (1268)</v>
      </c>
      <c r="H1299" t="str">
        <f>"Serv.Prest. DIÁRIA 08/03/2026 - PIX: CELULAR - CHAVE: (32) 99841-7315"</f>
        <v>Serv.Prest. DIÁRIA 08/03/2026 - PIX: CELULAR - CHAVE: (32) 99841-7315</v>
      </c>
      <c r="I1299" t="str">
        <f t="shared" si="241"/>
        <v>10/03/2026</v>
      </c>
      <c r="J1299" t="str">
        <f t="shared" si="248"/>
        <v>10/03/2026</v>
      </c>
      <c r="K1299" t="str">
        <f>("10/03/2026")</f>
        <v>10/03/2026</v>
      </c>
      <c r="L1299">
        <v>150</v>
      </c>
      <c r="M1299">
        <v>150</v>
      </c>
      <c r="N1299">
        <v>134</v>
      </c>
      <c r="O1299" t="str">
        <f>"DIARIA DE MOTOBOY"</f>
        <v>DIARIA DE MOTOBOY</v>
      </c>
      <c r="P1299">
        <v>150</v>
      </c>
      <c r="S1299" t="str">
        <f>"BANCO C6 (149)"</f>
        <v>BANCO C6 (149)</v>
      </c>
      <c r="T1299">
        <v>30447</v>
      </c>
      <c r="U1299">
        <v>34577</v>
      </c>
      <c r="V1299" t="s">
        <v>37</v>
      </c>
    </row>
    <row r="1300" spans="1:22">
      <c r="A1300" t="str">
        <f t="shared" si="249"/>
        <v>10/03/2026</v>
      </c>
      <c r="B1300" t="str">
        <f t="shared" si="242"/>
        <v>SAÍDA</v>
      </c>
      <c r="C1300" t="str">
        <f t="shared" si="243"/>
        <v>PIX</v>
      </c>
      <c r="D1300" t="str">
        <f>"34577"</f>
        <v>34577</v>
      </c>
      <c r="E1300" t="str">
        <f t="shared" si="247"/>
        <v>1</v>
      </c>
      <c r="F1300" t="str">
        <f t="shared" si="244"/>
        <v>COM</v>
      </c>
      <c r="G1300" t="str">
        <f>"GUILHERME DO CARMO CAZARIM (1268)"</f>
        <v>GUILHERME DO CARMO CAZARIM (1268)</v>
      </c>
      <c r="H1300" t="s">
        <v>484</v>
      </c>
      <c r="I1300" t="str">
        <f t="shared" si="241"/>
        <v>10/03/2026</v>
      </c>
      <c r="J1300" t="str">
        <f t="shared" si="248"/>
        <v>10/03/2026</v>
      </c>
      <c r="K1300">
        <v>46091</v>
      </c>
      <c r="N1300">
        <v>134</v>
      </c>
      <c r="O1300" t="s">
        <v>30</v>
      </c>
      <c r="Q1300">
        <v>75</v>
      </c>
      <c r="R1300" t="str">
        <f>"FARMÁCIA INDIANA LJ 112 (10050)"</f>
        <v>FARMÁCIA INDIANA LJ 112 (10050)</v>
      </c>
      <c r="S1300" t="s">
        <v>37</v>
      </c>
      <c r="T1300">
        <v>30447</v>
      </c>
      <c r="U1300">
        <v>34577</v>
      </c>
      <c r="V1300" t="s">
        <v>37</v>
      </c>
    </row>
    <row r="1301" spans="1:22">
      <c r="A1301" t="str">
        <f t="shared" si="249"/>
        <v>10/03/2026</v>
      </c>
      <c r="B1301" t="str">
        <f t="shared" si="242"/>
        <v>SAÍDA</v>
      </c>
      <c r="C1301" t="str">
        <f t="shared" si="243"/>
        <v>PIX</v>
      </c>
      <c r="D1301" t="str">
        <f>"34577"</f>
        <v>34577</v>
      </c>
      <c r="E1301" t="str">
        <f t="shared" si="247"/>
        <v>1</v>
      </c>
      <c r="F1301" t="str">
        <f t="shared" si="244"/>
        <v>COM</v>
      </c>
      <c r="G1301" t="str">
        <f>"GUILHERME DO CARMO CAZARIM (1268)"</f>
        <v>GUILHERME DO CARMO CAZARIM (1268)</v>
      </c>
      <c r="H1301" t="s">
        <v>484</v>
      </c>
      <c r="I1301" t="str">
        <f t="shared" si="241"/>
        <v>10/03/2026</v>
      </c>
      <c r="J1301" t="str">
        <f t="shared" si="248"/>
        <v>10/03/2026</v>
      </c>
      <c r="K1301">
        <v>46091</v>
      </c>
      <c r="N1301">
        <v>134</v>
      </c>
      <c r="O1301" t="s">
        <v>30</v>
      </c>
      <c r="Q1301">
        <v>75</v>
      </c>
      <c r="R1301" t="str">
        <f>"FARMÁCIA INDIANA LJ 128 (10057)"</f>
        <v>FARMÁCIA INDIANA LJ 128 (10057)</v>
      </c>
      <c r="S1301" t="s">
        <v>37</v>
      </c>
      <c r="T1301">
        <v>30447</v>
      </c>
      <c r="U1301">
        <v>34577</v>
      </c>
      <c r="V1301" t="s">
        <v>37</v>
      </c>
    </row>
    <row r="1302" spans="1:22">
      <c r="A1302" t="str">
        <f t="shared" si="249"/>
        <v>10/03/2026</v>
      </c>
      <c r="B1302" t="str">
        <f t="shared" si="242"/>
        <v>SAÍDA</v>
      </c>
      <c r="C1302" t="str">
        <f t="shared" si="243"/>
        <v>PIX</v>
      </c>
      <c r="D1302" t="str">
        <f>"10032026"</f>
        <v>10032026</v>
      </c>
      <c r="E1302" t="str">
        <f>""</f>
        <v/>
      </c>
      <c r="F1302" t="str">
        <f t="shared" si="244"/>
        <v>COM</v>
      </c>
      <c r="G1302" t="str">
        <f>"ANDREA VOLPONI (1004)"</f>
        <v>ANDREA VOLPONI (1004)</v>
      </c>
      <c r="H1302" t="str">
        <f>"DEVOLUÇÃO DE 3 COTAS COOPERATIVAS "</f>
        <v xml:space="preserve">DEVOLUÇÃO DE 3 COTAS COOPERATIVAS </v>
      </c>
      <c r="I1302" t="str">
        <f t="shared" si="241"/>
        <v>10/03/2026</v>
      </c>
      <c r="J1302" t="str">
        <f t="shared" si="248"/>
        <v>10/03/2026</v>
      </c>
      <c r="K1302" t="str">
        <f>("10/03/2026")</f>
        <v>10/03/2026</v>
      </c>
      <c r="L1302">
        <v>60</v>
      </c>
      <c r="M1302">
        <v>60</v>
      </c>
      <c r="N1302">
        <v>130</v>
      </c>
      <c r="O1302" t="str">
        <f>"DEVOLUÇÃO COTA COOPERATIVA"</f>
        <v>DEVOLUÇÃO COTA COOPERATIVA</v>
      </c>
      <c r="P1302">
        <v>60</v>
      </c>
      <c r="S1302" t="str">
        <f>"BANCO C6 (149)"</f>
        <v>BANCO C6 (149)</v>
      </c>
      <c r="T1302">
        <v>30448</v>
      </c>
      <c r="U1302">
        <v>34664</v>
      </c>
      <c r="V1302" t="s">
        <v>37</v>
      </c>
    </row>
    <row r="1303" spans="1:22">
      <c r="A1303" t="str">
        <f t="shared" si="249"/>
        <v>10/03/2026</v>
      </c>
      <c r="B1303" t="str">
        <f t="shared" si="242"/>
        <v>SAÍDA</v>
      </c>
      <c r="C1303" t="str">
        <f t="shared" si="243"/>
        <v>PIX</v>
      </c>
      <c r="D1303" t="str">
        <f>"10032026"</f>
        <v>10032026</v>
      </c>
      <c r="E1303" t="str">
        <f>""</f>
        <v/>
      </c>
      <c r="F1303" t="str">
        <f t="shared" si="244"/>
        <v>COM</v>
      </c>
      <c r="G1303" t="str">
        <f>"ANDREA VOLPONI (1004)"</f>
        <v>ANDREA VOLPONI (1004)</v>
      </c>
      <c r="H1303" t="s">
        <v>462</v>
      </c>
      <c r="I1303" t="str">
        <f t="shared" si="241"/>
        <v>10/03/2026</v>
      </c>
      <c r="J1303" t="str">
        <f t="shared" si="248"/>
        <v>10/03/2026</v>
      </c>
      <c r="K1303">
        <v>46091</v>
      </c>
      <c r="N1303">
        <v>130</v>
      </c>
      <c r="O1303" t="s">
        <v>416</v>
      </c>
      <c r="Q1303">
        <v>60</v>
      </c>
      <c r="R1303" t="str">
        <f>"ANDREA VOLPONI (1004)"</f>
        <v>ANDREA VOLPONI (1004)</v>
      </c>
      <c r="S1303" t="s">
        <v>37</v>
      </c>
      <c r="T1303">
        <v>30448</v>
      </c>
      <c r="U1303">
        <v>34664</v>
      </c>
      <c r="V1303" t="s">
        <v>37</v>
      </c>
    </row>
    <row r="1304" spans="1:22">
      <c r="A1304" t="str">
        <f t="shared" si="249"/>
        <v>10/03/2026</v>
      </c>
      <c r="B1304" t="str">
        <f t="shared" si="242"/>
        <v>SAÍDA</v>
      </c>
      <c r="C1304" t="str">
        <f t="shared" si="243"/>
        <v>PIX</v>
      </c>
      <c r="D1304" t="str">
        <f>"34591"</f>
        <v>34591</v>
      </c>
      <c r="E1304" t="str">
        <f t="shared" ref="E1304:E1323" si="250">"1"</f>
        <v>1</v>
      </c>
      <c r="F1304" t="str">
        <f t="shared" si="244"/>
        <v>COM</v>
      </c>
      <c r="G1304" t="str">
        <f>"JOSE ERIC SILVA MACENA (854)"</f>
        <v>JOSE ERIC SILVA MACENA (854)</v>
      </c>
      <c r="H1304" t="str">
        <f>"Serv.Prest. DIÁRIA 08/03/2026 - PIX: E-MAIL - CHAVE: ericsilva8marcena@gmail.com"</f>
        <v>Serv.Prest. DIÁRIA 08/03/2026 - PIX: E-MAIL - CHAVE: ericsilva8marcena@gmail.com</v>
      </c>
      <c r="I1304" t="str">
        <f t="shared" si="241"/>
        <v>10/03/2026</v>
      </c>
      <c r="J1304" t="str">
        <f t="shared" si="248"/>
        <v>10/03/2026</v>
      </c>
      <c r="K1304" t="str">
        <f>("10/03/2026")</f>
        <v>10/03/2026</v>
      </c>
      <c r="L1304">
        <v>180</v>
      </c>
      <c r="M1304">
        <v>180</v>
      </c>
      <c r="N1304">
        <v>134</v>
      </c>
      <c r="O1304" t="str">
        <f>"DIARIA DE MOTOBOY"</f>
        <v>DIARIA DE MOTOBOY</v>
      </c>
      <c r="P1304">
        <v>180</v>
      </c>
      <c r="S1304" t="str">
        <f>"BANCO C6 (149)"</f>
        <v>BANCO C6 (149)</v>
      </c>
      <c r="T1304">
        <v>30449</v>
      </c>
      <c r="U1304">
        <v>34591</v>
      </c>
      <c r="V1304" t="s">
        <v>37</v>
      </c>
    </row>
    <row r="1305" spans="1:22">
      <c r="A1305" t="str">
        <f t="shared" si="249"/>
        <v>10/03/2026</v>
      </c>
      <c r="B1305" t="str">
        <f t="shared" si="242"/>
        <v>SAÍDA</v>
      </c>
      <c r="C1305" t="str">
        <f t="shared" si="243"/>
        <v>PIX</v>
      </c>
      <c r="D1305" t="str">
        <f>"34591"</f>
        <v>34591</v>
      </c>
      <c r="E1305" t="str">
        <f t="shared" si="250"/>
        <v>1</v>
      </c>
      <c r="F1305" t="str">
        <f t="shared" si="244"/>
        <v>COM</v>
      </c>
      <c r="G1305" t="str">
        <f>"JOSE ERIC SILVA MACENA (854)"</f>
        <v>JOSE ERIC SILVA MACENA (854)</v>
      </c>
      <c r="H1305" t="s">
        <v>485</v>
      </c>
      <c r="I1305" t="str">
        <f t="shared" si="241"/>
        <v>10/03/2026</v>
      </c>
      <c r="J1305" t="str">
        <f t="shared" si="248"/>
        <v>10/03/2026</v>
      </c>
      <c r="K1305">
        <v>46091</v>
      </c>
      <c r="N1305">
        <v>134</v>
      </c>
      <c r="O1305" t="s">
        <v>30</v>
      </c>
      <c r="Q1305">
        <v>180</v>
      </c>
      <c r="R1305" t="str">
        <f>"FARMÁCIA INDIANA LJ 101 (10043)"</f>
        <v>FARMÁCIA INDIANA LJ 101 (10043)</v>
      </c>
      <c r="S1305" t="s">
        <v>37</v>
      </c>
      <c r="T1305">
        <v>30449</v>
      </c>
      <c r="U1305">
        <v>34591</v>
      </c>
      <c r="V1305" t="s">
        <v>37</v>
      </c>
    </row>
    <row r="1306" spans="1:22">
      <c r="A1306" t="str">
        <f t="shared" si="249"/>
        <v>10/03/2026</v>
      </c>
      <c r="B1306" t="str">
        <f t="shared" si="242"/>
        <v>SAÍDA</v>
      </c>
      <c r="C1306" t="str">
        <f t="shared" si="243"/>
        <v>PIX</v>
      </c>
      <c r="D1306" t="str">
        <f>"34596"</f>
        <v>34596</v>
      </c>
      <c r="E1306" t="str">
        <f t="shared" si="250"/>
        <v>1</v>
      </c>
      <c r="F1306" t="str">
        <f t="shared" si="244"/>
        <v>COM</v>
      </c>
      <c r="G1306" t="str">
        <f>"JUSSARA CRISTINA FARIA (783)"</f>
        <v>JUSSARA CRISTINA FARIA (783)</v>
      </c>
      <c r="H1306" t="str">
        <f>"Serv.Prest. 06/03, 07/03 e 08/03/2026 - PIX: CELULAR - CHAVE: (31) 99373-5678"</f>
        <v>Serv.Prest. 06/03, 07/03 e 08/03/2026 - PIX: CELULAR - CHAVE: (31) 99373-5678</v>
      </c>
      <c r="I1306" t="str">
        <f t="shared" si="241"/>
        <v>10/03/2026</v>
      </c>
      <c r="J1306" t="str">
        <f t="shared" si="248"/>
        <v>10/03/2026</v>
      </c>
      <c r="K1306" t="str">
        <f>("10/03/2026")</f>
        <v>10/03/2026</v>
      </c>
      <c r="L1306">
        <v>750</v>
      </c>
      <c r="M1306">
        <v>750</v>
      </c>
      <c r="N1306">
        <v>134</v>
      </c>
      <c r="O1306" t="str">
        <f>"DIARIA DE MOTOBOY"</f>
        <v>DIARIA DE MOTOBOY</v>
      </c>
      <c r="P1306">
        <v>750</v>
      </c>
      <c r="S1306" t="str">
        <f>"BANCO C6 (149)"</f>
        <v>BANCO C6 (149)</v>
      </c>
      <c r="T1306">
        <v>30450</v>
      </c>
      <c r="U1306">
        <v>34596</v>
      </c>
      <c r="V1306" t="s">
        <v>37</v>
      </c>
    </row>
    <row r="1307" spans="1:22">
      <c r="A1307" t="str">
        <f t="shared" si="249"/>
        <v>10/03/2026</v>
      </c>
      <c r="B1307" t="str">
        <f t="shared" si="242"/>
        <v>SAÍDA</v>
      </c>
      <c r="C1307" t="str">
        <f t="shared" si="243"/>
        <v>PIX</v>
      </c>
      <c r="D1307" t="str">
        <f>"34596"</f>
        <v>34596</v>
      </c>
      <c r="E1307" t="str">
        <f t="shared" si="250"/>
        <v>1</v>
      </c>
      <c r="F1307" t="str">
        <f t="shared" si="244"/>
        <v>COM</v>
      </c>
      <c r="G1307" t="str">
        <f>"JUSSARA CRISTINA FARIA (783)"</f>
        <v>JUSSARA CRISTINA FARIA (783)</v>
      </c>
      <c r="H1307" t="s">
        <v>486</v>
      </c>
      <c r="I1307" t="str">
        <f t="shared" si="241"/>
        <v>10/03/2026</v>
      </c>
      <c r="J1307" t="str">
        <f t="shared" si="248"/>
        <v>10/03/2026</v>
      </c>
      <c r="K1307">
        <v>46091</v>
      </c>
      <c r="N1307">
        <v>134</v>
      </c>
      <c r="O1307" t="s">
        <v>30</v>
      </c>
      <c r="Q1307">
        <v>750</v>
      </c>
      <c r="R1307" t="str">
        <f>"FARMÁCIA INDIANA LJ 110 (10048)"</f>
        <v>FARMÁCIA INDIANA LJ 110 (10048)</v>
      </c>
      <c r="S1307" t="s">
        <v>37</v>
      </c>
      <c r="T1307">
        <v>30450</v>
      </c>
      <c r="U1307">
        <v>34596</v>
      </c>
      <c r="V1307" t="s">
        <v>37</v>
      </c>
    </row>
    <row r="1308" spans="1:22">
      <c r="A1308" t="str">
        <f t="shared" si="249"/>
        <v>10/03/2026</v>
      </c>
      <c r="B1308" t="str">
        <f t="shared" si="242"/>
        <v>SAÍDA</v>
      </c>
      <c r="C1308" t="str">
        <f t="shared" si="243"/>
        <v>PIX</v>
      </c>
      <c r="D1308" t="str">
        <f>"34603"</f>
        <v>34603</v>
      </c>
      <c r="E1308" t="str">
        <f t="shared" si="250"/>
        <v>1</v>
      </c>
      <c r="F1308" t="str">
        <f t="shared" si="244"/>
        <v>COM</v>
      </c>
      <c r="G1308" t="str">
        <f>"LUCAS RODRIGO LAGE ARRUDA (1052)"</f>
        <v>LUCAS RODRIGO LAGE ARRUDA (1052)</v>
      </c>
      <c r="H1308" t="str">
        <f>"Serv.Prest. 07/03/2026 e 08/03/2026 - PIX: CELULAR - CHAVE: (31) 99607-6585"</f>
        <v>Serv.Prest. 07/03/2026 e 08/03/2026 - PIX: CELULAR - CHAVE: (31) 99607-6585</v>
      </c>
      <c r="I1308" t="str">
        <f t="shared" si="241"/>
        <v>10/03/2026</v>
      </c>
      <c r="J1308" t="str">
        <f t="shared" si="248"/>
        <v>10/03/2026</v>
      </c>
      <c r="K1308" t="str">
        <f>("10/03/2026")</f>
        <v>10/03/2026</v>
      </c>
      <c r="L1308">
        <v>360</v>
      </c>
      <c r="M1308">
        <v>360</v>
      </c>
      <c r="N1308">
        <v>134</v>
      </c>
      <c r="O1308" t="str">
        <f>"DIARIA DE MOTOBOY"</f>
        <v>DIARIA DE MOTOBOY</v>
      </c>
      <c r="P1308">
        <v>360</v>
      </c>
      <c r="S1308" t="str">
        <f>"BANCO C6 (149)"</f>
        <v>BANCO C6 (149)</v>
      </c>
      <c r="T1308">
        <v>30451</v>
      </c>
      <c r="U1308">
        <v>34603</v>
      </c>
      <c r="V1308" t="s">
        <v>37</v>
      </c>
    </row>
    <row r="1309" spans="1:22">
      <c r="A1309" t="str">
        <f t="shared" si="249"/>
        <v>10/03/2026</v>
      </c>
      <c r="B1309" t="str">
        <f t="shared" si="242"/>
        <v>SAÍDA</v>
      </c>
      <c r="C1309" t="str">
        <f t="shared" si="243"/>
        <v>PIX</v>
      </c>
      <c r="D1309" t="str">
        <f>"34603"</f>
        <v>34603</v>
      </c>
      <c r="E1309" t="str">
        <f t="shared" si="250"/>
        <v>1</v>
      </c>
      <c r="F1309" t="str">
        <f t="shared" si="244"/>
        <v>COM</v>
      </c>
      <c r="G1309" t="str">
        <f>"LUCAS RODRIGO LAGE ARRUDA (1052)"</f>
        <v>LUCAS RODRIGO LAGE ARRUDA (1052)</v>
      </c>
      <c r="H1309" t="s">
        <v>487</v>
      </c>
      <c r="I1309" t="str">
        <f t="shared" si="241"/>
        <v>10/03/2026</v>
      </c>
      <c r="J1309" t="str">
        <f t="shared" si="248"/>
        <v>10/03/2026</v>
      </c>
      <c r="K1309">
        <v>46091</v>
      </c>
      <c r="N1309">
        <v>134</v>
      </c>
      <c r="O1309" t="s">
        <v>30</v>
      </c>
      <c r="Q1309">
        <v>360</v>
      </c>
      <c r="R1309" t="str">
        <f>"FARMÁCIA INDIANA LJ 101 (10043)"</f>
        <v>FARMÁCIA INDIANA LJ 101 (10043)</v>
      </c>
      <c r="S1309" t="s">
        <v>37</v>
      </c>
      <c r="T1309">
        <v>30451</v>
      </c>
      <c r="U1309">
        <v>34603</v>
      </c>
      <c r="V1309" t="s">
        <v>37</v>
      </c>
    </row>
    <row r="1310" spans="1:22">
      <c r="A1310" t="str">
        <f t="shared" si="249"/>
        <v>10/03/2026</v>
      </c>
      <c r="B1310" t="str">
        <f t="shared" si="242"/>
        <v>SAÍDA</v>
      </c>
      <c r="C1310" t="str">
        <f t="shared" si="243"/>
        <v>PIX</v>
      </c>
      <c r="D1310" t="str">
        <f>"34606"</f>
        <v>34606</v>
      </c>
      <c r="E1310" t="str">
        <f t="shared" si="250"/>
        <v>1</v>
      </c>
      <c r="F1310" t="str">
        <f t="shared" si="244"/>
        <v>COM</v>
      </c>
      <c r="G1310" t="str">
        <f>"LUIZ FERNANDO SILVA VICENTE (1166)"</f>
        <v>LUIZ FERNANDO SILVA VICENTE (1166)</v>
      </c>
      <c r="H1310" t="str">
        <f>"Serv.Prest. DIÁRIA 08/03/2026 - PIX: CPF - CHAVE: 105.020.076-48"</f>
        <v>Serv.Prest. DIÁRIA 08/03/2026 - PIX: CPF - CHAVE: 105.020.076-48</v>
      </c>
      <c r="I1310" t="str">
        <f t="shared" si="241"/>
        <v>10/03/2026</v>
      </c>
      <c r="J1310" t="str">
        <f t="shared" si="248"/>
        <v>10/03/2026</v>
      </c>
      <c r="K1310" t="str">
        <f>("10/03/2026")</f>
        <v>10/03/2026</v>
      </c>
      <c r="L1310">
        <v>150</v>
      </c>
      <c r="M1310">
        <v>150</v>
      </c>
      <c r="N1310">
        <v>134</v>
      </c>
      <c r="O1310" t="str">
        <f>"DIARIA DE MOTOBOY"</f>
        <v>DIARIA DE MOTOBOY</v>
      </c>
      <c r="P1310">
        <v>150</v>
      </c>
      <c r="S1310" t="str">
        <f>"BANCO C6 (149)"</f>
        <v>BANCO C6 (149)</v>
      </c>
      <c r="T1310">
        <v>30452</v>
      </c>
      <c r="U1310">
        <v>34606</v>
      </c>
      <c r="V1310" t="s">
        <v>37</v>
      </c>
    </row>
    <row r="1311" spans="1:22">
      <c r="A1311" t="str">
        <f t="shared" si="249"/>
        <v>10/03/2026</v>
      </c>
      <c r="B1311" t="str">
        <f t="shared" si="242"/>
        <v>SAÍDA</v>
      </c>
      <c r="C1311" t="str">
        <f t="shared" si="243"/>
        <v>PIX</v>
      </c>
      <c r="D1311" t="str">
        <f>"34606"</f>
        <v>34606</v>
      </c>
      <c r="E1311" t="str">
        <f t="shared" si="250"/>
        <v>1</v>
      </c>
      <c r="F1311" t="str">
        <f t="shared" si="244"/>
        <v>COM</v>
      </c>
      <c r="G1311" t="str">
        <f>"LUIZ FERNANDO SILVA VICENTE (1166)"</f>
        <v>LUIZ FERNANDO SILVA VICENTE (1166)</v>
      </c>
      <c r="H1311" t="s">
        <v>488</v>
      </c>
      <c r="I1311" t="str">
        <f t="shared" ref="I1311:I1331" si="251">("10/03/2026")</f>
        <v>10/03/2026</v>
      </c>
      <c r="J1311" t="str">
        <f t="shared" si="248"/>
        <v>10/03/2026</v>
      </c>
      <c r="K1311">
        <v>46091</v>
      </c>
      <c r="N1311">
        <v>134</v>
      </c>
      <c r="O1311" t="s">
        <v>30</v>
      </c>
      <c r="Q1311">
        <v>150</v>
      </c>
      <c r="R1311" t="str">
        <f>"FARMÁCIA INDIANA LJ 134 (10271)"</f>
        <v>FARMÁCIA INDIANA LJ 134 (10271)</v>
      </c>
      <c r="S1311" t="s">
        <v>37</v>
      </c>
      <c r="T1311">
        <v>30452</v>
      </c>
      <c r="U1311">
        <v>34606</v>
      </c>
      <c r="V1311" t="s">
        <v>37</v>
      </c>
    </row>
    <row r="1312" spans="1:22">
      <c r="A1312" t="str">
        <f t="shared" si="249"/>
        <v>10/03/2026</v>
      </c>
      <c r="B1312" t="str">
        <f t="shared" si="242"/>
        <v>SAÍDA</v>
      </c>
      <c r="C1312" t="str">
        <f t="shared" si="243"/>
        <v>PIX</v>
      </c>
      <c r="D1312" t="str">
        <f>"34627"</f>
        <v>34627</v>
      </c>
      <c r="E1312" t="str">
        <f t="shared" si="250"/>
        <v>1</v>
      </c>
      <c r="F1312" t="str">
        <f t="shared" si="244"/>
        <v>COM</v>
      </c>
      <c r="G1312" t="str">
        <f>"RENAN PABLO PEREIRA FERNANDES (1119)"</f>
        <v>RENAN PABLO PEREIRA FERNANDES (1119)</v>
      </c>
      <c r="H1312" t="str">
        <f>"Serv.Prest. DIÁRIA 08/03/2026 - PIX: CPF - CHAVE: 152.577.816-11"</f>
        <v>Serv.Prest. DIÁRIA 08/03/2026 - PIX: CPF - CHAVE: 152.577.816-11</v>
      </c>
      <c r="I1312" t="str">
        <f t="shared" si="251"/>
        <v>10/03/2026</v>
      </c>
      <c r="J1312" t="str">
        <f t="shared" si="248"/>
        <v>10/03/2026</v>
      </c>
      <c r="K1312" t="str">
        <f>("10/03/2026")</f>
        <v>10/03/2026</v>
      </c>
      <c r="L1312">
        <v>168</v>
      </c>
      <c r="M1312">
        <v>170</v>
      </c>
      <c r="N1312">
        <v>134</v>
      </c>
      <c r="O1312" t="str">
        <f>"DIARIA DE MOTOBOY"</f>
        <v>DIARIA DE MOTOBOY</v>
      </c>
      <c r="P1312">
        <v>170</v>
      </c>
      <c r="S1312" t="str">
        <f>"BANCO C6 (149)"</f>
        <v>BANCO C6 (149)</v>
      </c>
      <c r="T1312">
        <v>30453</v>
      </c>
      <c r="U1312">
        <v>34627</v>
      </c>
      <c r="V1312" t="s">
        <v>37</v>
      </c>
    </row>
    <row r="1313" spans="1:22">
      <c r="A1313" t="str">
        <f t="shared" si="249"/>
        <v>10/03/2026</v>
      </c>
      <c r="B1313" t="str">
        <f t="shared" ref="B1313:B1341" si="252">"SAÍDA"</f>
        <v>SAÍDA</v>
      </c>
      <c r="C1313" t="str">
        <f t="shared" ref="C1313:C1323" si="253">"PIX"</f>
        <v>PIX</v>
      </c>
      <c r="D1313" t="str">
        <f>"34627"</f>
        <v>34627</v>
      </c>
      <c r="E1313" t="str">
        <f t="shared" si="250"/>
        <v>1</v>
      </c>
      <c r="F1313" t="str">
        <f t="shared" si="244"/>
        <v>COM</v>
      </c>
      <c r="G1313" t="str">
        <f>"RENAN PABLO PEREIRA FERNANDES (1119)"</f>
        <v>RENAN PABLO PEREIRA FERNANDES (1119)</v>
      </c>
      <c r="H1313" t="s">
        <v>489</v>
      </c>
      <c r="I1313" t="str">
        <f t="shared" si="251"/>
        <v>10/03/2026</v>
      </c>
      <c r="J1313" t="str">
        <f t="shared" si="248"/>
        <v>10/03/2026</v>
      </c>
      <c r="K1313">
        <v>46091</v>
      </c>
      <c r="N1313">
        <v>134</v>
      </c>
      <c r="O1313" t="s">
        <v>30</v>
      </c>
      <c r="Q1313">
        <v>170</v>
      </c>
      <c r="R1313" t="str">
        <f>"FARMÁCIA INDIANA LJ 118 (10052)"</f>
        <v>FARMÁCIA INDIANA LJ 118 (10052)</v>
      </c>
      <c r="S1313" t="s">
        <v>37</v>
      </c>
      <c r="T1313">
        <v>30453</v>
      </c>
      <c r="U1313">
        <v>34627</v>
      </c>
      <c r="V1313" t="s">
        <v>37</v>
      </c>
    </row>
    <row r="1314" spans="1:22">
      <c r="A1314" t="str">
        <f t="shared" si="249"/>
        <v>10/03/2026</v>
      </c>
      <c r="B1314" t="str">
        <f t="shared" si="252"/>
        <v>SAÍDA</v>
      </c>
      <c r="C1314" t="str">
        <f t="shared" si="253"/>
        <v>PIX</v>
      </c>
      <c r="D1314" t="str">
        <f>"34628"</f>
        <v>34628</v>
      </c>
      <c r="E1314" t="str">
        <f t="shared" si="250"/>
        <v>1</v>
      </c>
      <c r="F1314" t="str">
        <f t="shared" si="244"/>
        <v>COM</v>
      </c>
      <c r="G1314" t="str">
        <f>"RENATO DE SOUZA HADDAD (1059)"</f>
        <v>RENATO DE SOUZA HADDAD (1059)</v>
      </c>
      <c r="H1314" t="str">
        <f>"Serv.Prest. DIÁRIA 08/03/2026 - PIX: CELULAR - CHAVE: (32) 98703-8039"</f>
        <v>Serv.Prest. DIÁRIA 08/03/2026 - PIX: CELULAR - CHAVE: (32) 98703-8039</v>
      </c>
      <c r="I1314" t="str">
        <f t="shared" si="251"/>
        <v>10/03/2026</v>
      </c>
      <c r="J1314" t="str">
        <f t="shared" si="248"/>
        <v>10/03/2026</v>
      </c>
      <c r="K1314" t="str">
        <f>("10/03/2026")</f>
        <v>10/03/2026</v>
      </c>
      <c r="L1314">
        <v>119</v>
      </c>
      <c r="M1314">
        <v>120</v>
      </c>
      <c r="N1314">
        <v>134</v>
      </c>
      <c r="O1314" t="str">
        <f>"DIARIA DE MOTOBOY"</f>
        <v>DIARIA DE MOTOBOY</v>
      </c>
      <c r="P1314">
        <v>120</v>
      </c>
      <c r="S1314" t="str">
        <f>"BANCO C6 (149)"</f>
        <v>BANCO C6 (149)</v>
      </c>
      <c r="T1314">
        <v>30454</v>
      </c>
      <c r="U1314">
        <v>34628</v>
      </c>
      <c r="V1314" t="s">
        <v>37</v>
      </c>
    </row>
    <row r="1315" spans="1:22">
      <c r="A1315" t="str">
        <f t="shared" si="249"/>
        <v>10/03/2026</v>
      </c>
      <c r="B1315" t="str">
        <f t="shared" si="252"/>
        <v>SAÍDA</v>
      </c>
      <c r="C1315" t="str">
        <f t="shared" si="253"/>
        <v>PIX</v>
      </c>
      <c r="D1315" t="str">
        <f>"34628"</f>
        <v>34628</v>
      </c>
      <c r="E1315" t="str">
        <f t="shared" si="250"/>
        <v>1</v>
      </c>
      <c r="F1315" t="str">
        <f t="shared" si="244"/>
        <v>COM</v>
      </c>
      <c r="G1315" t="str">
        <f>"RENATO DE SOUZA HADDAD (1059)"</f>
        <v>RENATO DE SOUZA HADDAD (1059)</v>
      </c>
      <c r="H1315" t="s">
        <v>490</v>
      </c>
      <c r="I1315" t="str">
        <f t="shared" si="251"/>
        <v>10/03/2026</v>
      </c>
      <c r="J1315" t="str">
        <f t="shared" si="248"/>
        <v>10/03/2026</v>
      </c>
      <c r="K1315">
        <v>46091</v>
      </c>
      <c r="N1315">
        <v>134</v>
      </c>
      <c r="O1315" t="s">
        <v>30</v>
      </c>
      <c r="Q1315">
        <v>120</v>
      </c>
      <c r="R1315" t="str">
        <f>"FARMÁCIA INDIANA LJ 219 (10091)"</f>
        <v>FARMÁCIA INDIANA LJ 219 (10091)</v>
      </c>
      <c r="S1315" t="s">
        <v>37</v>
      </c>
      <c r="T1315">
        <v>30454</v>
      </c>
      <c r="U1315">
        <v>34628</v>
      </c>
      <c r="V1315" t="s">
        <v>37</v>
      </c>
    </row>
    <row r="1316" spans="1:22">
      <c r="A1316" t="str">
        <f t="shared" si="249"/>
        <v>10/03/2026</v>
      </c>
      <c r="B1316" t="str">
        <f t="shared" si="252"/>
        <v>SAÍDA</v>
      </c>
      <c r="C1316" t="str">
        <f t="shared" si="253"/>
        <v>PIX</v>
      </c>
      <c r="D1316" t="str">
        <f>"34658"</f>
        <v>34658</v>
      </c>
      <c r="E1316" t="str">
        <f t="shared" si="250"/>
        <v>1</v>
      </c>
      <c r="F1316" t="str">
        <f t="shared" si="244"/>
        <v>COM</v>
      </c>
      <c r="G1316" t="str">
        <f>"WILIANA RODRIGUES E RODRIGUES (398)"</f>
        <v>WILIANA RODRIGUES E RODRIGUES (398)</v>
      </c>
      <c r="H1316" t="str">
        <f>"Serv.Prest. DIÁRIA 06/03/2026 - PIX: CPF - CHAVE: 016.203.336-27"</f>
        <v>Serv.Prest. DIÁRIA 06/03/2026 - PIX: CPF - CHAVE: 016.203.336-27</v>
      </c>
      <c r="I1316" t="str">
        <f t="shared" si="251"/>
        <v>10/03/2026</v>
      </c>
      <c r="J1316" t="str">
        <f t="shared" si="248"/>
        <v>10/03/2026</v>
      </c>
      <c r="K1316" t="str">
        <f>("10/03/2026")</f>
        <v>10/03/2026</v>
      </c>
      <c r="L1316">
        <v>132</v>
      </c>
      <c r="M1316">
        <v>130</v>
      </c>
      <c r="N1316">
        <v>134</v>
      </c>
      <c r="O1316" t="str">
        <f>"DIARIA DE MOTOBOY"</f>
        <v>DIARIA DE MOTOBOY</v>
      </c>
      <c r="P1316">
        <v>130</v>
      </c>
      <c r="S1316" t="str">
        <f>"BANCO C6 (149)"</f>
        <v>BANCO C6 (149)</v>
      </c>
      <c r="T1316">
        <v>30455</v>
      </c>
      <c r="U1316">
        <v>34658</v>
      </c>
      <c r="V1316" t="s">
        <v>37</v>
      </c>
    </row>
    <row r="1317" spans="1:22">
      <c r="A1317" t="str">
        <f t="shared" si="249"/>
        <v>10/03/2026</v>
      </c>
      <c r="B1317" t="str">
        <f t="shared" si="252"/>
        <v>SAÍDA</v>
      </c>
      <c r="C1317" t="str">
        <f t="shared" si="253"/>
        <v>PIX</v>
      </c>
      <c r="D1317" t="str">
        <f>"34658"</f>
        <v>34658</v>
      </c>
      <c r="E1317" t="str">
        <f t="shared" si="250"/>
        <v>1</v>
      </c>
      <c r="F1317" t="str">
        <f t="shared" si="244"/>
        <v>COM</v>
      </c>
      <c r="G1317" t="str">
        <f>"WILIANA RODRIGUES E RODRIGUES (398)"</f>
        <v>WILIANA RODRIGUES E RODRIGUES (398)</v>
      </c>
      <c r="H1317" t="s">
        <v>491</v>
      </c>
      <c r="I1317" t="str">
        <f t="shared" si="251"/>
        <v>10/03/2026</v>
      </c>
      <c r="J1317" t="str">
        <f t="shared" si="248"/>
        <v>10/03/2026</v>
      </c>
      <c r="K1317">
        <v>46091</v>
      </c>
      <c r="N1317">
        <v>134</v>
      </c>
      <c r="O1317" t="s">
        <v>30</v>
      </c>
      <c r="Q1317">
        <v>130</v>
      </c>
      <c r="R1317" t="str">
        <f>"FARMÁCIA INDIANA LJ 118 (10052)"</f>
        <v>FARMÁCIA INDIANA LJ 118 (10052)</v>
      </c>
      <c r="S1317" t="s">
        <v>37</v>
      </c>
      <c r="T1317">
        <v>30455</v>
      </c>
      <c r="U1317">
        <v>34658</v>
      </c>
      <c r="V1317" t="s">
        <v>37</v>
      </c>
    </row>
    <row r="1318" spans="1:22">
      <c r="A1318" t="str">
        <f t="shared" si="249"/>
        <v>10/03/2026</v>
      </c>
      <c r="B1318" t="str">
        <f t="shared" si="252"/>
        <v>SAÍDA</v>
      </c>
      <c r="C1318" t="str">
        <f t="shared" si="253"/>
        <v>PIX</v>
      </c>
      <c r="D1318" t="str">
        <f>"34659"</f>
        <v>34659</v>
      </c>
      <c r="E1318" t="str">
        <f t="shared" si="250"/>
        <v>1</v>
      </c>
      <c r="F1318" t="str">
        <f t="shared" si="244"/>
        <v>COM</v>
      </c>
      <c r="G1318" t="str">
        <f>"WILLIAN VAZ DA SILVA (96)"</f>
        <v>WILLIAN VAZ DA SILVA (96)</v>
      </c>
      <c r="H1318" t="str">
        <f>"Serv.Prest. DIÁRIA 08/03/2026 - PIX: CELULAR - CHAVE: (32) 98889-7793"</f>
        <v>Serv.Prest. DIÁRIA 08/03/2026 - PIX: CELULAR - CHAVE: (32) 98889-7793</v>
      </c>
      <c r="I1318" t="str">
        <f t="shared" si="251"/>
        <v>10/03/2026</v>
      </c>
      <c r="J1318" t="str">
        <f t="shared" si="248"/>
        <v>10/03/2026</v>
      </c>
      <c r="K1318" t="str">
        <f>("10/03/2026")</f>
        <v>10/03/2026</v>
      </c>
      <c r="L1318">
        <v>120</v>
      </c>
      <c r="M1318">
        <v>120</v>
      </c>
      <c r="N1318">
        <v>134</v>
      </c>
      <c r="O1318" t="str">
        <f>"DIARIA DE MOTOBOY"</f>
        <v>DIARIA DE MOTOBOY</v>
      </c>
      <c r="P1318">
        <v>120</v>
      </c>
      <c r="S1318" t="str">
        <f>"BANCO C6 (149)"</f>
        <v>BANCO C6 (149)</v>
      </c>
      <c r="T1318">
        <v>30456</v>
      </c>
      <c r="U1318">
        <v>34659</v>
      </c>
      <c r="V1318" t="s">
        <v>37</v>
      </c>
    </row>
    <row r="1319" spans="1:22">
      <c r="A1319" t="str">
        <f t="shared" si="249"/>
        <v>10/03/2026</v>
      </c>
      <c r="B1319" t="str">
        <f t="shared" si="252"/>
        <v>SAÍDA</v>
      </c>
      <c r="C1319" t="str">
        <f t="shared" si="253"/>
        <v>PIX</v>
      </c>
      <c r="D1319" t="str">
        <f>"34659"</f>
        <v>34659</v>
      </c>
      <c r="E1319" t="str">
        <f t="shared" si="250"/>
        <v>1</v>
      </c>
      <c r="F1319" t="str">
        <f t="shared" si="244"/>
        <v>COM</v>
      </c>
      <c r="G1319" t="str">
        <f>"WILLIAN VAZ DA SILVA (96)"</f>
        <v>WILLIAN VAZ DA SILVA (96)</v>
      </c>
      <c r="H1319" t="s">
        <v>492</v>
      </c>
      <c r="I1319" t="str">
        <f t="shared" si="251"/>
        <v>10/03/2026</v>
      </c>
      <c r="J1319" t="str">
        <f t="shared" si="248"/>
        <v>10/03/2026</v>
      </c>
      <c r="K1319">
        <v>46091</v>
      </c>
      <c r="N1319">
        <v>134</v>
      </c>
      <c r="O1319" t="s">
        <v>30</v>
      </c>
      <c r="Q1319">
        <v>120</v>
      </c>
      <c r="R1319" t="str">
        <f>"FARMÁCIA INDIANA LJ 284 (10280)"</f>
        <v>FARMÁCIA INDIANA LJ 284 (10280)</v>
      </c>
      <c r="S1319" t="s">
        <v>37</v>
      </c>
      <c r="T1319">
        <v>30456</v>
      </c>
      <c r="U1319">
        <v>34659</v>
      </c>
      <c r="V1319" t="s">
        <v>37</v>
      </c>
    </row>
    <row r="1320" spans="1:22">
      <c r="A1320" t="str">
        <f t="shared" si="249"/>
        <v>10/03/2026</v>
      </c>
      <c r="B1320" t="str">
        <f t="shared" si="252"/>
        <v>SAÍDA</v>
      </c>
      <c r="C1320" t="str">
        <f t="shared" si="253"/>
        <v>PIX</v>
      </c>
      <c r="D1320" t="str">
        <f>"34595"</f>
        <v>34595</v>
      </c>
      <c r="E1320" t="str">
        <f t="shared" si="250"/>
        <v>1</v>
      </c>
      <c r="F1320" t="str">
        <f t="shared" si="244"/>
        <v>COM</v>
      </c>
      <c r="G1320" t="str">
        <f>"JUNIOR DOS SANTOS MACHADO (240)"</f>
        <v>JUNIOR DOS SANTOS MACHADO (240)</v>
      </c>
      <c r="H1320" t="str">
        <f>"Serv.Prest. DIÁRIA 08/03/2026 - PIX: E-MAIL - CHAVE: juninhomachado789@gmail.com"</f>
        <v>Serv.Prest. DIÁRIA 08/03/2026 - PIX: E-MAIL - CHAVE: juninhomachado789@gmail.com</v>
      </c>
      <c r="I1320" t="str">
        <f t="shared" si="251"/>
        <v>10/03/2026</v>
      </c>
      <c r="J1320" t="str">
        <f t="shared" si="248"/>
        <v>10/03/2026</v>
      </c>
      <c r="K1320" t="str">
        <f>("10/03/2026")</f>
        <v>10/03/2026</v>
      </c>
      <c r="L1320">
        <v>140</v>
      </c>
      <c r="M1320">
        <v>140</v>
      </c>
      <c r="N1320">
        <v>134</v>
      </c>
      <c r="O1320" t="str">
        <f>"DIARIA DE MOTOBOY"</f>
        <v>DIARIA DE MOTOBOY</v>
      </c>
      <c r="P1320">
        <v>140</v>
      </c>
      <c r="S1320" t="str">
        <f>"BANCO C6 (149)"</f>
        <v>BANCO C6 (149)</v>
      </c>
      <c r="T1320">
        <v>30457</v>
      </c>
      <c r="U1320">
        <v>34662</v>
      </c>
      <c r="V1320" t="s">
        <v>37</v>
      </c>
    </row>
    <row r="1321" spans="1:22">
      <c r="A1321" t="str">
        <f t="shared" si="249"/>
        <v>10/03/2026</v>
      </c>
      <c r="B1321" t="str">
        <f t="shared" si="252"/>
        <v>SAÍDA</v>
      </c>
      <c r="C1321" t="str">
        <f t="shared" si="253"/>
        <v>PIX</v>
      </c>
      <c r="D1321" t="str">
        <f>"34595"</f>
        <v>34595</v>
      </c>
      <c r="E1321" t="str">
        <f t="shared" si="250"/>
        <v>1</v>
      </c>
      <c r="F1321" t="str">
        <f t="shared" si="244"/>
        <v>COM</v>
      </c>
      <c r="G1321" t="str">
        <f>"JUNIOR DOS SANTOS MACHADO (240)"</f>
        <v>JUNIOR DOS SANTOS MACHADO (240)</v>
      </c>
      <c r="H1321" t="s">
        <v>493</v>
      </c>
      <c r="I1321" t="str">
        <f t="shared" si="251"/>
        <v>10/03/2026</v>
      </c>
      <c r="J1321" t="str">
        <f t="shared" si="248"/>
        <v>10/03/2026</v>
      </c>
      <c r="K1321">
        <v>46091</v>
      </c>
      <c r="N1321">
        <v>134</v>
      </c>
      <c r="O1321" t="s">
        <v>30</v>
      </c>
      <c r="Q1321">
        <v>140</v>
      </c>
      <c r="R1321" t="str">
        <f>"FARMÁCIA INDIANA LJ 62 (10028)"</f>
        <v>FARMÁCIA INDIANA LJ 62 (10028)</v>
      </c>
      <c r="S1321" t="s">
        <v>37</v>
      </c>
      <c r="T1321">
        <v>30457</v>
      </c>
      <c r="U1321">
        <v>34662</v>
      </c>
      <c r="V1321" t="s">
        <v>37</v>
      </c>
    </row>
    <row r="1322" spans="1:22">
      <c r="A1322" t="str">
        <f t="shared" si="249"/>
        <v>10/03/2026</v>
      </c>
      <c r="B1322" t="str">
        <f t="shared" si="252"/>
        <v>SAÍDA</v>
      </c>
      <c r="C1322" t="str">
        <f t="shared" si="253"/>
        <v>PIX</v>
      </c>
      <c r="D1322" t="str">
        <f>"34469"</f>
        <v>34469</v>
      </c>
      <c r="E1322" t="str">
        <f t="shared" si="250"/>
        <v>1</v>
      </c>
      <c r="F1322" t="str">
        <f t="shared" si="244"/>
        <v>COM</v>
      </c>
      <c r="G1322" t="str">
        <f>"ALAN COSTA SILVA (994)"</f>
        <v>ALAN COSTA SILVA (994)</v>
      </c>
      <c r="H1322" t="str">
        <f>"Serv.Prest. DIÁRIA 08/03/2026 - PIX: CELULAR - CHAVE: (11) 98484-6837"</f>
        <v>Serv.Prest. DIÁRIA 08/03/2026 - PIX: CELULAR - CHAVE: (11) 98484-6837</v>
      </c>
      <c r="I1322" t="str">
        <f t="shared" si="251"/>
        <v>10/03/2026</v>
      </c>
      <c r="J1322" t="str">
        <f>("09/03/2026")</f>
        <v>09/03/2026</v>
      </c>
      <c r="K1322" t="str">
        <f>("10/03/2026")</f>
        <v>10/03/2026</v>
      </c>
      <c r="L1322">
        <v>250</v>
      </c>
      <c r="M1322">
        <v>250</v>
      </c>
      <c r="N1322">
        <v>134</v>
      </c>
      <c r="O1322" t="str">
        <f>"DIARIA DE MOTOBOY"</f>
        <v>DIARIA DE MOTOBOY</v>
      </c>
      <c r="P1322">
        <v>250</v>
      </c>
      <c r="S1322" t="str">
        <f>"BANCO C6 (149)"</f>
        <v>BANCO C6 (149)</v>
      </c>
      <c r="T1322">
        <v>30458</v>
      </c>
      <c r="U1322">
        <v>34663</v>
      </c>
      <c r="V1322" t="s">
        <v>37</v>
      </c>
    </row>
    <row r="1323" spans="1:22">
      <c r="A1323" t="str">
        <f t="shared" si="249"/>
        <v>10/03/2026</v>
      </c>
      <c r="B1323" t="str">
        <f t="shared" si="252"/>
        <v>SAÍDA</v>
      </c>
      <c r="C1323" t="str">
        <f t="shared" si="253"/>
        <v>PIX</v>
      </c>
      <c r="D1323" t="str">
        <f>"34469"</f>
        <v>34469</v>
      </c>
      <c r="E1323" t="str">
        <f t="shared" si="250"/>
        <v>1</v>
      </c>
      <c r="F1323" t="str">
        <f t="shared" si="244"/>
        <v>COM</v>
      </c>
      <c r="G1323" t="str">
        <f>"ALAN COSTA SILVA (994)"</f>
        <v>ALAN COSTA SILVA (994)</v>
      </c>
      <c r="H1323" t="s">
        <v>494</v>
      </c>
      <c r="I1323" t="str">
        <f t="shared" si="251"/>
        <v>10/03/2026</v>
      </c>
      <c r="J1323" t="str">
        <f>("09/03/2026")</f>
        <v>09/03/2026</v>
      </c>
      <c r="K1323">
        <v>46091</v>
      </c>
      <c r="N1323">
        <v>134</v>
      </c>
      <c r="O1323" t="s">
        <v>30</v>
      </c>
      <c r="Q1323">
        <v>250</v>
      </c>
      <c r="R1323" t="str">
        <f>"PENSE FARMA 19 (10223)"</f>
        <v>PENSE FARMA 19 (10223)</v>
      </c>
      <c r="S1323" t="s">
        <v>37</v>
      </c>
      <c r="T1323">
        <v>30458</v>
      </c>
      <c r="U1323">
        <v>34663</v>
      </c>
      <c r="V1323" t="s">
        <v>37</v>
      </c>
    </row>
    <row r="1324" spans="1:22">
      <c r="A1324" t="str">
        <f t="shared" si="249"/>
        <v>10/03/2026</v>
      </c>
      <c r="B1324" t="str">
        <f t="shared" si="252"/>
        <v>SAÍDA</v>
      </c>
      <c r="C1324" t="str">
        <f t="shared" ref="C1324:C1333" si="254">"BOLETO"</f>
        <v>BOLETO</v>
      </c>
      <c r="D1324" t="str">
        <f>"882882503"</f>
        <v>882882503</v>
      </c>
      <c r="E1324" t="str">
        <f>"10"</f>
        <v>10</v>
      </c>
      <c r="F1324" t="str">
        <f t="shared" si="244"/>
        <v>COM</v>
      </c>
      <c r="G1324" t="str">
        <f t="shared" ref="G1324:G1329" si="255">"MUNICIPIO DE UBERLANDIA (20032)"</f>
        <v>MUNICIPIO DE UBERLANDIA (20032)</v>
      </c>
      <c r="H1324" t="str">
        <f>"PARCELAMENTO REFIM ISS "</f>
        <v xml:space="preserve">PARCELAMENTO REFIM ISS </v>
      </c>
      <c r="I1324" t="str">
        <f t="shared" si="251"/>
        <v>10/03/2026</v>
      </c>
      <c r="J1324" t="str">
        <f>("10/03/2026")</f>
        <v>10/03/2026</v>
      </c>
      <c r="K1324" t="str">
        <f>("10/03/2026")</f>
        <v>10/03/2026</v>
      </c>
      <c r="L1324">
        <v>6090</v>
      </c>
      <c r="M1324">
        <v>6090</v>
      </c>
      <c r="N1324">
        <v>137</v>
      </c>
      <c r="O1324" t="str">
        <f>"ISS"</f>
        <v>ISS</v>
      </c>
      <c r="P1324">
        <v>6090</v>
      </c>
      <c r="S1324" t="str">
        <f>"BANCO CORA (102)"</f>
        <v>BANCO CORA (102)</v>
      </c>
      <c r="T1324">
        <v>30459</v>
      </c>
      <c r="U1324">
        <v>15914</v>
      </c>
      <c r="V1324" t="s">
        <v>33</v>
      </c>
    </row>
    <row r="1325" spans="1:22">
      <c r="A1325" t="str">
        <f t="shared" si="249"/>
        <v>10/03/2026</v>
      </c>
      <c r="B1325" t="str">
        <f t="shared" si="252"/>
        <v>SAÍDA</v>
      </c>
      <c r="C1325" t="str">
        <f t="shared" si="254"/>
        <v>BOLETO</v>
      </c>
      <c r="D1325" t="str">
        <f>"882882503"</f>
        <v>882882503</v>
      </c>
      <c r="E1325" t="str">
        <f>"10"</f>
        <v>10</v>
      </c>
      <c r="F1325" t="str">
        <f t="shared" si="244"/>
        <v>COM</v>
      </c>
      <c r="G1325" t="str">
        <f t="shared" si="255"/>
        <v>MUNICIPIO DE UBERLANDIA (20032)</v>
      </c>
      <c r="H1325" t="s">
        <v>495</v>
      </c>
      <c r="I1325" t="str">
        <f t="shared" si="251"/>
        <v>10/03/2026</v>
      </c>
      <c r="J1325" t="str">
        <f>("10/03/2026")</f>
        <v>10/03/2026</v>
      </c>
      <c r="K1325">
        <v>46091</v>
      </c>
      <c r="N1325">
        <v>137</v>
      </c>
      <c r="O1325" t="s">
        <v>496</v>
      </c>
      <c r="Q1325">
        <v>6090</v>
      </c>
      <c r="R1325" t="str">
        <f>"MUNICIPIO DE UBERLANDIA (20032)"</f>
        <v>MUNICIPIO DE UBERLANDIA (20032)</v>
      </c>
      <c r="S1325" t="s">
        <v>33</v>
      </c>
      <c r="T1325">
        <v>30459</v>
      </c>
      <c r="U1325">
        <v>15914</v>
      </c>
      <c r="V1325" t="s">
        <v>33</v>
      </c>
    </row>
    <row r="1326" spans="1:22">
      <c r="A1326" t="str">
        <f t="shared" si="249"/>
        <v>10/03/2026</v>
      </c>
      <c r="B1326" t="str">
        <f t="shared" si="252"/>
        <v>SAÍDA</v>
      </c>
      <c r="C1326" t="str">
        <f t="shared" si="254"/>
        <v>BOLETO</v>
      </c>
      <c r="D1326" t="str">
        <f>"87970224"</f>
        <v>87970224</v>
      </c>
      <c r="E1326" t="str">
        <f>"23"</f>
        <v>23</v>
      </c>
      <c r="F1326" t="str">
        <f t="shared" si="244"/>
        <v>COM</v>
      </c>
      <c r="G1326" t="str">
        <f t="shared" si="255"/>
        <v>MUNICIPIO DE UBERLANDIA (20032)</v>
      </c>
      <c r="H1326" t="str">
        <f>"PARCELAMENTO ISS"</f>
        <v>PARCELAMENTO ISS</v>
      </c>
      <c r="I1326" t="str">
        <f t="shared" si="251"/>
        <v>10/03/2026</v>
      </c>
      <c r="J1326" t="str">
        <f>("10/03/2026")</f>
        <v>10/03/2026</v>
      </c>
      <c r="K1326" t="str">
        <f>("10/03/2026")</f>
        <v>10/03/2026</v>
      </c>
      <c r="L1326">
        <v>303.45999999999998</v>
      </c>
      <c r="M1326">
        <v>303.45999999999998</v>
      </c>
      <c r="N1326">
        <v>137</v>
      </c>
      <c r="O1326" t="str">
        <f>"ISS"</f>
        <v>ISS</v>
      </c>
      <c r="P1326">
        <v>303.45999999999998</v>
      </c>
      <c r="S1326" t="str">
        <f>"BANCO CORA (102)"</f>
        <v>BANCO CORA (102)</v>
      </c>
      <c r="T1326">
        <v>30460</v>
      </c>
      <c r="U1326">
        <v>1223</v>
      </c>
      <c r="V1326" t="s">
        <v>33</v>
      </c>
    </row>
    <row r="1327" spans="1:22">
      <c r="A1327" t="str">
        <f t="shared" si="249"/>
        <v>10/03/2026</v>
      </c>
      <c r="B1327" t="str">
        <f t="shared" si="252"/>
        <v>SAÍDA</v>
      </c>
      <c r="C1327" t="str">
        <f t="shared" si="254"/>
        <v>BOLETO</v>
      </c>
      <c r="D1327" t="str">
        <f>"87970224"</f>
        <v>87970224</v>
      </c>
      <c r="E1327" t="str">
        <f>"23"</f>
        <v>23</v>
      </c>
      <c r="F1327" t="str">
        <f t="shared" si="244"/>
        <v>COM</v>
      </c>
      <c r="G1327" t="str">
        <f t="shared" si="255"/>
        <v>MUNICIPIO DE UBERLANDIA (20032)</v>
      </c>
      <c r="H1327" t="s">
        <v>497</v>
      </c>
      <c r="I1327" t="str">
        <f t="shared" si="251"/>
        <v>10/03/2026</v>
      </c>
      <c r="J1327" t="str">
        <f>("10/03/2026")</f>
        <v>10/03/2026</v>
      </c>
      <c r="K1327">
        <v>46091</v>
      </c>
      <c r="N1327">
        <v>137</v>
      </c>
      <c r="O1327" t="s">
        <v>496</v>
      </c>
      <c r="Q1327">
        <v>303.45999999999998</v>
      </c>
      <c r="R1327" t="str">
        <f>"MUNICIPIO DE UBERLANDIA (20032)"</f>
        <v>MUNICIPIO DE UBERLANDIA (20032)</v>
      </c>
      <c r="S1327" t="s">
        <v>33</v>
      </c>
      <c r="T1327">
        <v>30460</v>
      </c>
      <c r="U1327">
        <v>1223</v>
      </c>
      <c r="V1327" t="s">
        <v>33</v>
      </c>
    </row>
    <row r="1328" spans="1:22">
      <c r="A1328" t="str">
        <f t="shared" si="249"/>
        <v>10/03/2026</v>
      </c>
      <c r="B1328" t="str">
        <f t="shared" si="252"/>
        <v>SAÍDA</v>
      </c>
      <c r="C1328" t="str">
        <f t="shared" si="254"/>
        <v>BOLETO</v>
      </c>
      <c r="D1328" t="str">
        <f>"193566723"</f>
        <v>193566723</v>
      </c>
      <c r="E1328" t="str">
        <f>"29"</f>
        <v>29</v>
      </c>
      <c r="F1328" t="str">
        <f t="shared" si="244"/>
        <v>COM</v>
      </c>
      <c r="G1328" t="str">
        <f t="shared" si="255"/>
        <v>MUNICIPIO DE UBERLANDIA (20032)</v>
      </c>
      <c r="H1328" t="str">
        <f>"PARCELAMENTO ISS "</f>
        <v xml:space="preserve">PARCELAMENTO ISS </v>
      </c>
      <c r="I1328" t="str">
        <f t="shared" si="251"/>
        <v>10/03/2026</v>
      </c>
      <c r="J1328" t="str">
        <f>("10/03/2026")</f>
        <v>10/03/2026</v>
      </c>
      <c r="K1328" t="str">
        <f>("10/03/2026")</f>
        <v>10/03/2026</v>
      </c>
      <c r="L1328">
        <v>216.96</v>
      </c>
      <c r="M1328">
        <v>216.96</v>
      </c>
      <c r="N1328">
        <v>137</v>
      </c>
      <c r="O1328" t="str">
        <f>"ISS"</f>
        <v>ISS</v>
      </c>
      <c r="P1328">
        <v>216.96</v>
      </c>
      <c r="S1328" t="str">
        <f>"BANCO CORA (102)"</f>
        <v>BANCO CORA (102)</v>
      </c>
      <c r="T1328">
        <v>30461</v>
      </c>
      <c r="U1328">
        <v>1110</v>
      </c>
      <c r="V1328" t="s">
        <v>33</v>
      </c>
    </row>
    <row r="1329" spans="1:22">
      <c r="A1329" t="str">
        <f t="shared" si="249"/>
        <v>10/03/2026</v>
      </c>
      <c r="B1329" t="str">
        <f t="shared" si="252"/>
        <v>SAÍDA</v>
      </c>
      <c r="C1329" t="str">
        <f t="shared" si="254"/>
        <v>BOLETO</v>
      </c>
      <c r="D1329" t="str">
        <f>"193566723"</f>
        <v>193566723</v>
      </c>
      <c r="E1329" t="str">
        <f>"29"</f>
        <v>29</v>
      </c>
      <c r="F1329" t="str">
        <f t="shared" si="244"/>
        <v>COM</v>
      </c>
      <c r="G1329" t="str">
        <f t="shared" si="255"/>
        <v>MUNICIPIO DE UBERLANDIA (20032)</v>
      </c>
      <c r="H1329" t="s">
        <v>498</v>
      </c>
      <c r="I1329" t="str">
        <f t="shared" si="251"/>
        <v>10/03/2026</v>
      </c>
      <c r="J1329" t="str">
        <f>("10/03/2026")</f>
        <v>10/03/2026</v>
      </c>
      <c r="K1329">
        <v>46091</v>
      </c>
      <c r="N1329">
        <v>137</v>
      </c>
      <c r="O1329" t="s">
        <v>496</v>
      </c>
      <c r="Q1329">
        <v>216.96</v>
      </c>
      <c r="R1329" t="str">
        <f>"MUNICIPIO DE UBERLANDIA (20032)"</f>
        <v>MUNICIPIO DE UBERLANDIA (20032)</v>
      </c>
      <c r="S1329" t="s">
        <v>33</v>
      </c>
      <c r="T1329">
        <v>30461</v>
      </c>
      <c r="U1329">
        <v>1110</v>
      </c>
      <c r="V1329" t="s">
        <v>33</v>
      </c>
    </row>
    <row r="1330" spans="1:22">
      <c r="A1330" t="str">
        <f t="shared" si="249"/>
        <v>10/03/2026</v>
      </c>
      <c r="B1330" t="str">
        <f t="shared" si="252"/>
        <v>SAÍDA</v>
      </c>
      <c r="C1330" t="str">
        <f t="shared" si="254"/>
        <v>BOLETO</v>
      </c>
      <c r="D1330" t="str">
        <f>"159439169"</f>
        <v>159439169</v>
      </c>
      <c r="E1330" t="str">
        <f>"3"</f>
        <v>3</v>
      </c>
      <c r="F1330" t="str">
        <f t="shared" si="244"/>
        <v>COM</v>
      </c>
      <c r="G1330" t="str">
        <f>"ASSOCIACAO DE PROTECAO E AUXILIO VEICULAR EM DEFESA DOS (20023)"</f>
        <v>ASSOCIACAO DE PROTECAO E AUXILIO VEICULAR EM DEFESA DOS (20023)</v>
      </c>
      <c r="H1330" t="str">
        <f>"SEGURO VEICULAR - RICHARD HENRIQUE DE SILVA - PLACA HCD3186"</f>
        <v>SEGURO VEICULAR - RICHARD HENRIQUE DE SILVA - PLACA HCD3186</v>
      </c>
      <c r="I1330" t="str">
        <f t="shared" si="251"/>
        <v>10/03/2026</v>
      </c>
      <c r="J1330" t="str">
        <f>("18/11/2025")</f>
        <v>18/11/2025</v>
      </c>
      <c r="K1330" t="str">
        <f>("10/03/2026")</f>
        <v>10/03/2026</v>
      </c>
      <c r="L1330">
        <v>64.989999999999995</v>
      </c>
      <c r="M1330">
        <v>64.989999999999995</v>
      </c>
      <c r="N1330">
        <v>192</v>
      </c>
      <c r="O1330" t="str">
        <f>"PLANOS E SEGUROS"</f>
        <v>PLANOS E SEGUROS</v>
      </c>
      <c r="P1330">
        <v>64.989999999999995</v>
      </c>
      <c r="S1330" t="str">
        <f>"BANCO CORA (102)"</f>
        <v>BANCO CORA (102)</v>
      </c>
      <c r="T1330">
        <v>30462</v>
      </c>
      <c r="U1330">
        <v>29094</v>
      </c>
      <c r="V1330" t="s">
        <v>33</v>
      </c>
    </row>
    <row r="1331" spans="1:22">
      <c r="A1331" t="str">
        <f t="shared" si="249"/>
        <v>10/03/2026</v>
      </c>
      <c r="B1331" t="str">
        <f t="shared" si="252"/>
        <v>SAÍDA</v>
      </c>
      <c r="C1331" t="str">
        <f t="shared" si="254"/>
        <v>BOLETO</v>
      </c>
      <c r="D1331" t="str">
        <f>"159439169"</f>
        <v>159439169</v>
      </c>
      <c r="E1331" t="str">
        <f>"3"</f>
        <v>3</v>
      </c>
      <c r="F1331" t="str">
        <f t="shared" si="244"/>
        <v>COM</v>
      </c>
      <c r="G1331" t="str">
        <f>"ASSOCIACAO DE PROTECAO E AUXILIO VEICULAR EM DEFESA DOS (20023)"</f>
        <v>ASSOCIACAO DE PROTECAO E AUXILIO VEICULAR EM DEFESA DOS (20023)</v>
      </c>
      <c r="H1331" t="s">
        <v>499</v>
      </c>
      <c r="I1331" t="str">
        <f t="shared" si="251"/>
        <v>10/03/2026</v>
      </c>
      <c r="J1331" t="str">
        <f>("18/11/2025")</f>
        <v>18/11/2025</v>
      </c>
      <c r="K1331">
        <v>46091</v>
      </c>
      <c r="N1331">
        <v>192</v>
      </c>
      <c r="O1331" t="s">
        <v>35</v>
      </c>
      <c r="Q1331">
        <v>64.989999999999995</v>
      </c>
      <c r="R1331" t="str">
        <f>"ASSOCIACAO DE PROTECAO E AUXILIO VEICULAR EM DEFESA DOS (20023)"</f>
        <v>ASSOCIACAO DE PROTECAO E AUXILIO VEICULAR EM DEFESA DOS (20023)</v>
      </c>
      <c r="S1331" t="s">
        <v>33</v>
      </c>
      <c r="T1331">
        <v>30462</v>
      </c>
      <c r="U1331">
        <v>29094</v>
      </c>
      <c r="V1331" t="s">
        <v>33</v>
      </c>
    </row>
    <row r="1332" spans="1:22">
      <c r="A1332" t="str">
        <f t="shared" si="249"/>
        <v>10/03/2026</v>
      </c>
      <c r="B1332" t="str">
        <f t="shared" si="252"/>
        <v>SAÍDA</v>
      </c>
      <c r="C1332" t="str">
        <f t="shared" si="254"/>
        <v>BOLETO</v>
      </c>
      <c r="D1332" t="str">
        <f>"130401124"</f>
        <v>130401124</v>
      </c>
      <c r="E1332" t="str">
        <f>"20"</f>
        <v>20</v>
      </c>
      <c r="F1332" t="str">
        <f t="shared" si="244"/>
        <v>COM</v>
      </c>
      <c r="G1332" t="str">
        <f>"MUNICIPIO DE UBERLANDIA (20032)"</f>
        <v>MUNICIPIO DE UBERLANDIA (20032)</v>
      </c>
      <c r="H1332" t="str">
        <f>"PARCELAMENTO ISS"</f>
        <v>PARCELAMENTO ISS</v>
      </c>
      <c r="I1332" t="str">
        <f>("05/03/2026")</f>
        <v>05/03/2026</v>
      </c>
      <c r="J1332" t="str">
        <f>("24/07/2024")</f>
        <v>24/07/2024</v>
      </c>
      <c r="K1332" t="str">
        <f>("10/03/2026")</f>
        <v>10/03/2026</v>
      </c>
      <c r="L1332">
        <v>174.83</v>
      </c>
      <c r="M1332">
        <v>305.86</v>
      </c>
      <c r="N1332">
        <v>137</v>
      </c>
      <c r="O1332" t="str">
        <f>"ISS"</f>
        <v>ISS</v>
      </c>
      <c r="P1332">
        <v>305.86</v>
      </c>
      <c r="S1332" t="str">
        <f>"BANCO CORA (102)"</f>
        <v>BANCO CORA (102)</v>
      </c>
      <c r="T1332">
        <v>30463</v>
      </c>
      <c r="U1332">
        <v>1281</v>
      </c>
      <c r="V1332" t="s">
        <v>33</v>
      </c>
    </row>
    <row r="1333" spans="1:22">
      <c r="A1333" t="str">
        <f t="shared" si="249"/>
        <v>10/03/2026</v>
      </c>
      <c r="B1333" t="str">
        <f t="shared" si="252"/>
        <v>SAÍDA</v>
      </c>
      <c r="C1333" t="str">
        <f t="shared" si="254"/>
        <v>BOLETO</v>
      </c>
      <c r="D1333" t="str">
        <f>"130401124"</f>
        <v>130401124</v>
      </c>
      <c r="E1333" t="str">
        <f>"20"</f>
        <v>20</v>
      </c>
      <c r="F1333" t="str">
        <f t="shared" si="244"/>
        <v>COM</v>
      </c>
      <c r="G1333" t="str">
        <f>"MUNICIPIO DE UBERLANDIA (20032)"</f>
        <v>MUNICIPIO DE UBERLANDIA (20032)</v>
      </c>
      <c r="H1333" t="s">
        <v>497</v>
      </c>
      <c r="I1333" t="str">
        <f>("05/03/2026")</f>
        <v>05/03/2026</v>
      </c>
      <c r="J1333" t="str">
        <f>("24/07/2024")</f>
        <v>24/07/2024</v>
      </c>
      <c r="K1333">
        <v>46091</v>
      </c>
      <c r="N1333">
        <v>137</v>
      </c>
      <c r="O1333" t="s">
        <v>496</v>
      </c>
      <c r="Q1333">
        <v>305.86</v>
      </c>
      <c r="R1333" t="str">
        <f>"MUNICIPIO DE UBERLANDIA (20032)"</f>
        <v>MUNICIPIO DE UBERLANDIA (20032)</v>
      </c>
      <c r="S1333" t="s">
        <v>33</v>
      </c>
      <c r="T1333">
        <v>30463</v>
      </c>
      <c r="U1333">
        <v>1281</v>
      </c>
      <c r="V1333" t="s">
        <v>33</v>
      </c>
    </row>
    <row r="1334" spans="1:22">
      <c r="A1334" t="str">
        <f t="shared" si="249"/>
        <v>10/03/2026</v>
      </c>
      <c r="B1334" t="str">
        <f t="shared" si="252"/>
        <v>SAÍDA</v>
      </c>
      <c r="C1334" t="str">
        <f t="shared" ref="C1334:C1341" si="256">"PIX"</f>
        <v>PIX</v>
      </c>
      <c r="D1334" t="str">
        <f>"34473"</f>
        <v>34473</v>
      </c>
      <c r="E1334" t="str">
        <f t="shared" ref="E1334:E1341" si="257">"1"</f>
        <v>1</v>
      </c>
      <c r="F1334" t="str">
        <f t="shared" si="244"/>
        <v>COM</v>
      </c>
      <c r="G1334" t="str">
        <f>"PEDRO HENRIQUE ALVES DA SILVA (1133)"</f>
        <v>PEDRO HENRIQUE ALVES DA SILVA (1133)</v>
      </c>
      <c r="H1334" t="str">
        <f>"Serv.Prest. 02/03/2026 a 08/03/2026 - PIX: CELULAR - CHAVE: (11) 98776-2232"</f>
        <v>Serv.Prest. 02/03/2026 a 08/03/2026 - PIX: CELULAR - CHAVE: (11) 98776-2232</v>
      </c>
      <c r="I1334" t="str">
        <f>("12/03/2026")</f>
        <v>12/03/2026</v>
      </c>
      <c r="J1334" t="str">
        <f>("09/03/2026")</f>
        <v>09/03/2026</v>
      </c>
      <c r="K1334" t="str">
        <f>("10/03/2026")</f>
        <v>10/03/2026</v>
      </c>
      <c r="L1334">
        <v>500</v>
      </c>
      <c r="M1334">
        <v>500</v>
      </c>
      <c r="N1334">
        <v>109</v>
      </c>
      <c r="O1334" t="str">
        <f>"PAGAMENTO DE ENTREGADORES"</f>
        <v>PAGAMENTO DE ENTREGADORES</v>
      </c>
      <c r="P1334">
        <v>500</v>
      </c>
      <c r="S1334" t="str">
        <f>"BANCO CORA (102)"</f>
        <v>BANCO CORA (102)</v>
      </c>
      <c r="T1334">
        <v>30523</v>
      </c>
      <c r="U1334">
        <v>34783</v>
      </c>
      <c r="V1334" t="s">
        <v>33</v>
      </c>
    </row>
    <row r="1335" spans="1:22">
      <c r="A1335" t="str">
        <f t="shared" si="249"/>
        <v>10/03/2026</v>
      </c>
      <c r="B1335" t="str">
        <f t="shared" si="252"/>
        <v>SAÍDA</v>
      </c>
      <c r="C1335" t="str">
        <f t="shared" si="256"/>
        <v>PIX</v>
      </c>
      <c r="D1335" t="str">
        <f>"34473"</f>
        <v>34473</v>
      </c>
      <c r="E1335" t="str">
        <f t="shared" si="257"/>
        <v>1</v>
      </c>
      <c r="F1335" t="str">
        <f t="shared" si="244"/>
        <v>COM</v>
      </c>
      <c r="G1335" t="str">
        <f>"PEDRO HENRIQUE ALVES DA SILVA (1133)"</f>
        <v>PEDRO HENRIQUE ALVES DA SILVA (1133)</v>
      </c>
      <c r="H1335" t="s">
        <v>500</v>
      </c>
      <c r="I1335" t="str">
        <f>("12/03/2026")</f>
        <v>12/03/2026</v>
      </c>
      <c r="J1335" t="str">
        <f>("09/03/2026")</f>
        <v>09/03/2026</v>
      </c>
      <c r="K1335">
        <v>46091</v>
      </c>
      <c r="N1335">
        <v>109</v>
      </c>
      <c r="O1335" t="s">
        <v>27</v>
      </c>
      <c r="Q1335">
        <v>500</v>
      </c>
      <c r="R1335" t="str">
        <f>"PENSE FARMA 22 (10198)"</f>
        <v>PENSE FARMA 22 (10198)</v>
      </c>
      <c r="S1335" t="s">
        <v>33</v>
      </c>
      <c r="T1335">
        <v>30523</v>
      </c>
      <c r="U1335">
        <v>34783</v>
      </c>
      <c r="V1335" t="s">
        <v>33</v>
      </c>
    </row>
    <row r="1336" spans="1:22">
      <c r="A1336" t="str">
        <f t="shared" si="249"/>
        <v>10/03/2026</v>
      </c>
      <c r="B1336" t="str">
        <f t="shared" si="252"/>
        <v>SAÍDA</v>
      </c>
      <c r="C1336" t="str">
        <f t="shared" si="256"/>
        <v>PIX</v>
      </c>
      <c r="D1336" t="str">
        <f>"33826"</f>
        <v>33826</v>
      </c>
      <c r="E1336" t="str">
        <f t="shared" si="257"/>
        <v>1</v>
      </c>
      <c r="F1336" t="str">
        <f t="shared" si="244"/>
        <v>COM</v>
      </c>
      <c r="G1336" t="str">
        <f>"ALAN ACOSTA (897)"</f>
        <v>ALAN ACOSTA (897)</v>
      </c>
      <c r="H1336" t="str">
        <f>"Serv.Prest. 23/02/2026 a 01/03/2026 - PIX: CELULAR - CHAVE: (43) 99875-6490"</f>
        <v>Serv.Prest. 23/02/2026 a 01/03/2026 - PIX: CELULAR - CHAVE: (43) 99875-6490</v>
      </c>
      <c r="I1336" t="str">
        <f>("12/03/2026")</f>
        <v>12/03/2026</v>
      </c>
      <c r="J1336" t="str">
        <f>("02/03/2026")</f>
        <v>02/03/2026</v>
      </c>
      <c r="K1336" t="str">
        <f>("10/03/2026")</f>
        <v>10/03/2026</v>
      </c>
      <c r="L1336">
        <v>317</v>
      </c>
      <c r="M1336">
        <v>317</v>
      </c>
      <c r="N1336">
        <v>109</v>
      </c>
      <c r="O1336" t="str">
        <f>"PAGAMENTO DE ENTREGADORES"</f>
        <v>PAGAMENTO DE ENTREGADORES</v>
      </c>
      <c r="P1336">
        <v>317</v>
      </c>
      <c r="S1336" t="str">
        <f>"BANCO CORA (102)"</f>
        <v>BANCO CORA (102)</v>
      </c>
      <c r="T1336">
        <v>30524</v>
      </c>
      <c r="U1336">
        <v>34784</v>
      </c>
      <c r="V1336" t="s">
        <v>33</v>
      </c>
    </row>
    <row r="1337" spans="1:22">
      <c r="A1337" t="str">
        <f t="shared" si="249"/>
        <v>10/03/2026</v>
      </c>
      <c r="B1337" t="str">
        <f t="shared" si="252"/>
        <v>SAÍDA</v>
      </c>
      <c r="C1337" t="str">
        <f t="shared" si="256"/>
        <v>PIX</v>
      </c>
      <c r="D1337" t="str">
        <f>"33826"</f>
        <v>33826</v>
      </c>
      <c r="E1337" t="str">
        <f t="shared" si="257"/>
        <v>1</v>
      </c>
      <c r="F1337" t="str">
        <f t="shared" si="244"/>
        <v>COM</v>
      </c>
      <c r="G1337" t="str">
        <f>"ALAN ACOSTA (897)"</f>
        <v>ALAN ACOSTA (897)</v>
      </c>
      <c r="H1337" t="s">
        <v>426</v>
      </c>
      <c r="I1337" t="str">
        <f>("12/03/2026")</f>
        <v>12/03/2026</v>
      </c>
      <c r="J1337" t="str">
        <f>("02/03/2026")</f>
        <v>02/03/2026</v>
      </c>
      <c r="K1337">
        <v>46091</v>
      </c>
      <c r="N1337">
        <v>109</v>
      </c>
      <c r="O1337" t="s">
        <v>27</v>
      </c>
      <c r="Q1337">
        <v>317</v>
      </c>
      <c r="R1337" t="str">
        <f>"AC FARMA - CID.ALTA (10166)"</f>
        <v>AC FARMA - CID.ALTA (10166)</v>
      </c>
      <c r="S1337" t="s">
        <v>33</v>
      </c>
      <c r="T1337">
        <v>30524</v>
      </c>
      <c r="U1337">
        <v>34784</v>
      </c>
      <c r="V1337" t="s">
        <v>33</v>
      </c>
    </row>
    <row r="1338" spans="1:22">
      <c r="A1338" t="str">
        <f t="shared" si="249"/>
        <v>10/03/2026</v>
      </c>
      <c r="B1338" t="str">
        <f t="shared" si="252"/>
        <v>SAÍDA</v>
      </c>
      <c r="C1338" t="str">
        <f t="shared" si="256"/>
        <v>PIX</v>
      </c>
      <c r="D1338" t="str">
        <f>"34232"</f>
        <v>34232</v>
      </c>
      <c r="E1338" t="str">
        <f t="shared" si="257"/>
        <v>1</v>
      </c>
      <c r="F1338" t="str">
        <f t="shared" si="244"/>
        <v>COM</v>
      </c>
      <c r="G1338" t="str">
        <f>"ALAN ACOSTA (897)"</f>
        <v>ALAN ACOSTA (897)</v>
      </c>
      <c r="H1338" t="str">
        <f>"Serv.Prest. 02/03/2026 a 08/03/2026 - PIX: CELULAR - CHAVE: (43) 99875-6490"</f>
        <v>Serv.Prest. 02/03/2026 a 08/03/2026 - PIX: CELULAR - CHAVE: (43) 99875-6490</v>
      </c>
      <c r="I1338" t="str">
        <f>("19/03/2026")</f>
        <v>19/03/2026</v>
      </c>
      <c r="J1338" t="str">
        <f>("09/03/2026")</f>
        <v>09/03/2026</v>
      </c>
      <c r="K1338" t="str">
        <f>("10/03/2026")</f>
        <v>10/03/2026</v>
      </c>
      <c r="L1338">
        <v>317</v>
      </c>
      <c r="M1338">
        <v>317</v>
      </c>
      <c r="N1338">
        <v>109</v>
      </c>
      <c r="O1338" t="str">
        <f>"PAGAMENTO DE ENTREGADORES"</f>
        <v>PAGAMENTO DE ENTREGADORES</v>
      </c>
      <c r="P1338">
        <v>317</v>
      </c>
      <c r="S1338" t="str">
        <f>"BANCO CORA (102)"</f>
        <v>BANCO CORA (102)</v>
      </c>
      <c r="T1338">
        <v>30525</v>
      </c>
      <c r="U1338">
        <v>34785</v>
      </c>
      <c r="V1338" t="s">
        <v>33</v>
      </c>
    </row>
    <row r="1339" spans="1:22">
      <c r="A1339" t="str">
        <f t="shared" si="249"/>
        <v>10/03/2026</v>
      </c>
      <c r="B1339" t="str">
        <f t="shared" si="252"/>
        <v>SAÍDA</v>
      </c>
      <c r="C1339" t="str">
        <f t="shared" si="256"/>
        <v>PIX</v>
      </c>
      <c r="D1339" t="str">
        <f>"34232"</f>
        <v>34232</v>
      </c>
      <c r="E1339" t="str">
        <f t="shared" si="257"/>
        <v>1</v>
      </c>
      <c r="F1339" t="str">
        <f t="shared" si="244"/>
        <v>COM</v>
      </c>
      <c r="G1339" t="str">
        <f>"ALAN ACOSTA (897)"</f>
        <v>ALAN ACOSTA (897)</v>
      </c>
      <c r="H1339" t="s">
        <v>501</v>
      </c>
      <c r="I1339" t="str">
        <f>("19/03/2026")</f>
        <v>19/03/2026</v>
      </c>
      <c r="J1339" t="str">
        <f>("09/03/2026")</f>
        <v>09/03/2026</v>
      </c>
      <c r="K1339">
        <v>46091</v>
      </c>
      <c r="N1339">
        <v>109</v>
      </c>
      <c r="O1339" t="s">
        <v>27</v>
      </c>
      <c r="Q1339">
        <v>317</v>
      </c>
      <c r="R1339" t="str">
        <f>"AC FARMA - CID.ALTA (10166)"</f>
        <v>AC FARMA - CID.ALTA (10166)</v>
      </c>
      <c r="S1339" t="s">
        <v>33</v>
      </c>
      <c r="T1339">
        <v>30525</v>
      </c>
      <c r="U1339">
        <v>34785</v>
      </c>
      <c r="V1339" t="s">
        <v>33</v>
      </c>
    </row>
    <row r="1340" spans="1:22">
      <c r="A1340" t="str">
        <f t="shared" ref="A1340:A1403" si="258">("11/03/2026")</f>
        <v>11/03/2026</v>
      </c>
      <c r="B1340" t="str">
        <f t="shared" si="252"/>
        <v>SAÍDA</v>
      </c>
      <c r="C1340" t="str">
        <f t="shared" si="256"/>
        <v>PIX</v>
      </c>
      <c r="D1340" t="str">
        <f>"34744"</f>
        <v>34744</v>
      </c>
      <c r="E1340" t="str">
        <f t="shared" si="257"/>
        <v>1</v>
      </c>
      <c r="F1340" t="str">
        <f t="shared" si="244"/>
        <v>COM</v>
      </c>
      <c r="G1340" t="str">
        <f>"THAIS SILVA MAIA (1057)"</f>
        <v>THAIS SILVA MAIA (1057)</v>
      </c>
      <c r="H1340" t="str">
        <f>"Serv.Prest. 02/03/2026 a 08/03/2026 - PIX: CELULAR - CHAVE: (34) 99688-5705"</f>
        <v>Serv.Prest. 02/03/2026 a 08/03/2026 - PIX: CELULAR - CHAVE: (34) 99688-5705</v>
      </c>
      <c r="I1340" t="str">
        <f>("12/03/2026")</f>
        <v>12/03/2026</v>
      </c>
      <c r="J1340" t="str">
        <f>("11/03/2026")</f>
        <v>11/03/2026</v>
      </c>
      <c r="K1340" t="str">
        <f>("11/03/2026")</f>
        <v>11/03/2026</v>
      </c>
      <c r="L1340">
        <v>20</v>
      </c>
      <c r="M1340">
        <v>20</v>
      </c>
      <c r="N1340">
        <v>109</v>
      </c>
      <c r="O1340" t="str">
        <f>"PAGAMENTO DE ENTREGADORES"</f>
        <v>PAGAMENTO DE ENTREGADORES</v>
      </c>
      <c r="P1340">
        <v>20</v>
      </c>
      <c r="S1340" t="str">
        <f>"CAIXA MOVIMENTAÇÃO OPERACIONAL (132)"</f>
        <v>CAIXA MOVIMENTAÇÃO OPERACIONAL (132)</v>
      </c>
      <c r="T1340">
        <v>30464</v>
      </c>
      <c r="U1340">
        <v>34754</v>
      </c>
      <c r="V1340" t="s">
        <v>22</v>
      </c>
    </row>
    <row r="1341" spans="1:22">
      <c r="A1341" t="str">
        <f t="shared" si="258"/>
        <v>11/03/2026</v>
      </c>
      <c r="B1341" t="str">
        <f t="shared" si="252"/>
        <v>SAÍDA</v>
      </c>
      <c r="C1341" t="str">
        <f t="shared" si="256"/>
        <v>PIX</v>
      </c>
      <c r="D1341" t="str">
        <f>"34744"</f>
        <v>34744</v>
      </c>
      <c r="E1341" t="str">
        <f t="shared" si="257"/>
        <v>1</v>
      </c>
      <c r="F1341" t="str">
        <f t="shared" si="244"/>
        <v>COM</v>
      </c>
      <c r="G1341" t="str">
        <f>"THAIS SILVA MAIA (1057)"</f>
        <v>THAIS SILVA MAIA (1057)</v>
      </c>
      <c r="H1341" t="s">
        <v>502</v>
      </c>
      <c r="I1341" t="str">
        <f>("12/03/2026")</f>
        <v>12/03/2026</v>
      </c>
      <c r="J1341" t="str">
        <f>("11/03/2026")</f>
        <v>11/03/2026</v>
      </c>
      <c r="K1341">
        <v>46092</v>
      </c>
      <c r="N1341">
        <v>109</v>
      </c>
      <c r="O1341" t="s">
        <v>27</v>
      </c>
      <c r="Q1341">
        <v>20</v>
      </c>
      <c r="R1341" t="str">
        <f>"PAGMENOS - LJ 768 (10266)"</f>
        <v>PAGMENOS - LJ 768 (10266)</v>
      </c>
      <c r="S1341" t="s">
        <v>22</v>
      </c>
      <c r="T1341">
        <v>30464</v>
      </c>
      <c r="U1341">
        <v>34754</v>
      </c>
      <c r="V1341" t="s">
        <v>22</v>
      </c>
    </row>
    <row r="1342" spans="1:22">
      <c r="A1342" t="str">
        <f t="shared" si="258"/>
        <v>11/03/2026</v>
      </c>
      <c r="B1342" t="str">
        <f>"ENTRADA"</f>
        <v>ENTRADA</v>
      </c>
      <c r="C1342" t="str">
        <f>"DINHEIRO"</f>
        <v>DINHEIRO</v>
      </c>
      <c r="D1342" t="str">
        <f>"10122025"</f>
        <v>10122025</v>
      </c>
      <c r="E1342" t="str">
        <f>"4"</f>
        <v>4</v>
      </c>
      <c r="F1342" t="str">
        <f t="shared" si="244"/>
        <v>COM</v>
      </c>
      <c r="G1342" t="str">
        <f>"THAIS SILVA MAIA (1057)"</f>
        <v>THAIS SILVA MAIA (1057)</v>
      </c>
      <c r="H1342" t="str">
        <f>"COTA COOPERATIVA"</f>
        <v>COTA COOPERATIVA</v>
      </c>
      <c r="I1342" t="str">
        <f>("10/03/2026")</f>
        <v>10/03/2026</v>
      </c>
      <c r="J1342" t="str">
        <f>("01/11/2025")</f>
        <v>01/11/2025</v>
      </c>
      <c r="K1342" t="str">
        <f>("11/03/2026")</f>
        <v>11/03/2026</v>
      </c>
      <c r="L1342">
        <v>20</v>
      </c>
      <c r="M1342">
        <v>20</v>
      </c>
      <c r="N1342">
        <v>106</v>
      </c>
      <c r="O1342" t="str">
        <f>"ENTRADA DE CAPITAL"</f>
        <v>ENTRADA DE CAPITAL</v>
      </c>
      <c r="P1342">
        <v>20</v>
      </c>
      <c r="S1342" t="str">
        <f>"ENTRADA DE CAPITAL (106)"</f>
        <v>ENTRADA DE CAPITAL (106)</v>
      </c>
      <c r="T1342">
        <v>30465</v>
      </c>
      <c r="U1342">
        <v>27775</v>
      </c>
      <c r="V1342" t="s">
        <v>22</v>
      </c>
    </row>
    <row r="1343" spans="1:22">
      <c r="A1343" t="str">
        <f t="shared" si="258"/>
        <v>11/03/2026</v>
      </c>
      <c r="B1343" t="str">
        <f>"ENTRADA"</f>
        <v>ENTRADA</v>
      </c>
      <c r="C1343" t="str">
        <f>"DINHEIRO"</f>
        <v>DINHEIRO</v>
      </c>
      <c r="D1343" t="str">
        <f>"10122025"</f>
        <v>10122025</v>
      </c>
      <c r="E1343" t="str">
        <f>"4"</f>
        <v>4</v>
      </c>
      <c r="F1343" t="str">
        <f t="shared" si="244"/>
        <v>COM</v>
      </c>
      <c r="G1343" t="str">
        <f>"THAIS SILVA MAIA (1057)"</f>
        <v>THAIS SILVA MAIA (1057)</v>
      </c>
      <c r="H1343" t="s">
        <v>97</v>
      </c>
      <c r="I1343" t="str">
        <f>("10/03/2026")</f>
        <v>10/03/2026</v>
      </c>
      <c r="J1343" t="str">
        <f>("01/11/2025")</f>
        <v>01/11/2025</v>
      </c>
      <c r="K1343">
        <v>46092</v>
      </c>
      <c r="N1343">
        <v>106</v>
      </c>
      <c r="O1343" t="s">
        <v>98</v>
      </c>
      <c r="Q1343">
        <v>20</v>
      </c>
      <c r="R1343" t="str">
        <f>"THAIS SILVA MAIA (1057)"</f>
        <v>THAIS SILVA MAIA (1057)</v>
      </c>
      <c r="S1343" t="s">
        <v>99</v>
      </c>
      <c r="T1343">
        <v>30465</v>
      </c>
      <c r="U1343">
        <v>27775</v>
      </c>
      <c r="V1343" t="s">
        <v>22</v>
      </c>
    </row>
    <row r="1344" spans="1:22">
      <c r="A1344" t="str">
        <f t="shared" si="258"/>
        <v>11/03/2026</v>
      </c>
      <c r="B1344" t="str">
        <f>"SAÍDA"</f>
        <v>SAÍDA</v>
      </c>
      <c r="C1344" t="str">
        <f>"PIX"</f>
        <v>PIX</v>
      </c>
      <c r="D1344" t="str">
        <f>"34047"</f>
        <v>34047</v>
      </c>
      <c r="E1344" t="str">
        <f>"1"</f>
        <v>1</v>
      </c>
      <c r="F1344" t="str">
        <f t="shared" si="244"/>
        <v>COM</v>
      </c>
      <c r="G1344" t="str">
        <f t="shared" ref="G1344:G1349" si="259">"ANDERSON PEREIRA DOS SANTOS (746)"</f>
        <v>ANDERSON PEREIRA DOS SANTOS (746)</v>
      </c>
      <c r="H1344" t="str">
        <f>"Serv.Prest. 23/02/2026 a 01/03/2026 - PIX: CPF - CHAVE: 079.930.865-07"</f>
        <v>Serv.Prest. 23/02/2026 a 01/03/2026 - PIX: CPF - CHAVE: 079.930.865-07</v>
      </c>
      <c r="I1344" t="str">
        <f>("12/03/2026")</f>
        <v>12/03/2026</v>
      </c>
      <c r="J1344" t="str">
        <f>("03/03/2026")</f>
        <v>03/03/2026</v>
      </c>
      <c r="K1344" t="str">
        <f>("11/03/2026")</f>
        <v>11/03/2026</v>
      </c>
      <c r="L1344">
        <v>20</v>
      </c>
      <c r="M1344">
        <v>20</v>
      </c>
      <c r="N1344">
        <v>109</v>
      </c>
      <c r="O1344" t="str">
        <f>"PAGAMENTO DE ENTREGADORES"</f>
        <v>PAGAMENTO DE ENTREGADORES</v>
      </c>
      <c r="P1344">
        <v>20</v>
      </c>
      <c r="S1344" t="str">
        <f>"CAIXA MOVIMENTAÇÃO OPERACIONAL (132)"</f>
        <v>CAIXA MOVIMENTAÇÃO OPERACIONAL (132)</v>
      </c>
      <c r="T1344">
        <v>30466</v>
      </c>
      <c r="U1344">
        <v>34755</v>
      </c>
      <c r="V1344" t="s">
        <v>22</v>
      </c>
    </row>
    <row r="1345" spans="1:22">
      <c r="A1345" t="str">
        <f t="shared" si="258"/>
        <v>11/03/2026</v>
      </c>
      <c r="B1345" t="str">
        <f>"SAÍDA"</f>
        <v>SAÍDA</v>
      </c>
      <c r="C1345" t="str">
        <f>"PIX"</f>
        <v>PIX</v>
      </c>
      <c r="D1345" t="str">
        <f>"34047"</f>
        <v>34047</v>
      </c>
      <c r="E1345" t="str">
        <f>"1"</f>
        <v>1</v>
      </c>
      <c r="F1345" t="str">
        <f t="shared" si="244"/>
        <v>COM</v>
      </c>
      <c r="G1345" t="str">
        <f t="shared" si="259"/>
        <v>ANDERSON PEREIRA DOS SANTOS (746)</v>
      </c>
      <c r="H1345" t="s">
        <v>503</v>
      </c>
      <c r="I1345" t="str">
        <f>("12/03/2026")</f>
        <v>12/03/2026</v>
      </c>
      <c r="J1345" t="str">
        <f>("03/03/2026")</f>
        <v>03/03/2026</v>
      </c>
      <c r="K1345">
        <v>46092</v>
      </c>
      <c r="N1345">
        <v>109</v>
      </c>
      <c r="O1345" t="s">
        <v>27</v>
      </c>
      <c r="Q1345">
        <v>4.32</v>
      </c>
      <c r="R1345" t="str">
        <f>"FARMÁCIA INDIANA LJ 211 (10168)"</f>
        <v>FARMÁCIA INDIANA LJ 211 (10168)</v>
      </c>
      <c r="S1345" t="s">
        <v>22</v>
      </c>
      <c r="T1345">
        <v>30466</v>
      </c>
      <c r="U1345">
        <v>34755</v>
      </c>
      <c r="V1345" t="s">
        <v>22</v>
      </c>
    </row>
    <row r="1346" spans="1:22">
      <c r="A1346" t="str">
        <f t="shared" si="258"/>
        <v>11/03/2026</v>
      </c>
      <c r="B1346" t="str">
        <f>"SAÍDA"</f>
        <v>SAÍDA</v>
      </c>
      <c r="C1346" t="str">
        <f>"PIX"</f>
        <v>PIX</v>
      </c>
      <c r="D1346" t="str">
        <f>"34047"</f>
        <v>34047</v>
      </c>
      <c r="E1346" t="str">
        <f>"1"</f>
        <v>1</v>
      </c>
      <c r="F1346" t="str">
        <f t="shared" ref="F1346:F1409" si="260">"COM"</f>
        <v>COM</v>
      </c>
      <c r="G1346" t="str">
        <f t="shared" si="259"/>
        <v>ANDERSON PEREIRA DOS SANTOS (746)</v>
      </c>
      <c r="H1346" t="s">
        <v>503</v>
      </c>
      <c r="I1346" t="str">
        <f>("12/03/2026")</f>
        <v>12/03/2026</v>
      </c>
      <c r="J1346" t="str">
        <f>("03/03/2026")</f>
        <v>03/03/2026</v>
      </c>
      <c r="K1346">
        <v>46092</v>
      </c>
      <c r="N1346">
        <v>109</v>
      </c>
      <c r="O1346" t="s">
        <v>27</v>
      </c>
      <c r="Q1346">
        <v>9.41</v>
      </c>
      <c r="R1346" t="str">
        <f>"FARMÁCIA INDIANA LJ 236 (10169)"</f>
        <v>FARMÁCIA INDIANA LJ 236 (10169)</v>
      </c>
      <c r="S1346" t="s">
        <v>22</v>
      </c>
      <c r="T1346">
        <v>30466</v>
      </c>
      <c r="U1346">
        <v>34755</v>
      </c>
      <c r="V1346" t="s">
        <v>22</v>
      </c>
    </row>
    <row r="1347" spans="1:22">
      <c r="A1347" t="str">
        <f t="shared" si="258"/>
        <v>11/03/2026</v>
      </c>
      <c r="B1347" t="str">
        <f>"SAÍDA"</f>
        <v>SAÍDA</v>
      </c>
      <c r="C1347" t="str">
        <f>"PIX"</f>
        <v>PIX</v>
      </c>
      <c r="D1347" t="str">
        <f>"34047"</f>
        <v>34047</v>
      </c>
      <c r="E1347" t="str">
        <f>"1"</f>
        <v>1</v>
      </c>
      <c r="F1347" t="str">
        <f t="shared" si="260"/>
        <v>COM</v>
      </c>
      <c r="G1347" t="str">
        <f t="shared" si="259"/>
        <v>ANDERSON PEREIRA DOS SANTOS (746)</v>
      </c>
      <c r="H1347" t="s">
        <v>503</v>
      </c>
      <c r="I1347" t="str">
        <f>("12/03/2026")</f>
        <v>12/03/2026</v>
      </c>
      <c r="J1347" t="str">
        <f>("03/03/2026")</f>
        <v>03/03/2026</v>
      </c>
      <c r="K1347">
        <v>46092</v>
      </c>
      <c r="N1347">
        <v>109</v>
      </c>
      <c r="O1347" t="s">
        <v>27</v>
      </c>
      <c r="Q1347">
        <v>6.27</v>
      </c>
      <c r="R1347" t="str">
        <f>"FARMÁCIA INDIANA LJ 292 (10282)"</f>
        <v>FARMÁCIA INDIANA LJ 292 (10282)</v>
      </c>
      <c r="S1347" t="s">
        <v>22</v>
      </c>
      <c r="T1347">
        <v>30466</v>
      </c>
      <c r="U1347">
        <v>34755</v>
      </c>
      <c r="V1347" t="s">
        <v>22</v>
      </c>
    </row>
    <row r="1348" spans="1:22">
      <c r="A1348" t="str">
        <f t="shared" si="258"/>
        <v>11/03/2026</v>
      </c>
      <c r="B1348" t="str">
        <f>"ENTRADA"</f>
        <v>ENTRADA</v>
      </c>
      <c r="C1348" t="str">
        <f>"DINHEIRO"</f>
        <v>DINHEIRO</v>
      </c>
      <c r="D1348" t="str">
        <f>"746"</f>
        <v>746</v>
      </c>
      <c r="E1348" t="str">
        <f>"11"</f>
        <v>11</v>
      </c>
      <c r="F1348" t="str">
        <f t="shared" si="260"/>
        <v>COM</v>
      </c>
      <c r="G1348" t="str">
        <f t="shared" si="259"/>
        <v>ANDERSON PEREIRA DOS SANTOS (746)</v>
      </c>
      <c r="H1348" t="str">
        <f>"COTA COOPERATIVA"</f>
        <v>COTA COOPERATIVA</v>
      </c>
      <c r="I1348" t="str">
        <f>("08/03/2026")</f>
        <v>08/03/2026</v>
      </c>
      <c r="J1348" t="str">
        <f>("11/04/2025")</f>
        <v>11/04/2025</v>
      </c>
      <c r="K1348" t="str">
        <f>("11/03/2026")</f>
        <v>11/03/2026</v>
      </c>
      <c r="L1348">
        <v>20</v>
      </c>
      <c r="M1348">
        <v>20</v>
      </c>
      <c r="N1348">
        <v>106</v>
      </c>
      <c r="O1348" t="str">
        <f>"ENTRADA DE CAPITAL"</f>
        <v>ENTRADA DE CAPITAL</v>
      </c>
      <c r="P1348">
        <v>20</v>
      </c>
      <c r="S1348" t="str">
        <f>"ENTRADA DE CAPITAL (106)"</f>
        <v>ENTRADA DE CAPITAL (106)</v>
      </c>
      <c r="T1348">
        <v>30467</v>
      </c>
      <c r="U1348">
        <v>13723</v>
      </c>
      <c r="V1348" t="s">
        <v>22</v>
      </c>
    </row>
    <row r="1349" spans="1:22">
      <c r="A1349" t="str">
        <f t="shared" si="258"/>
        <v>11/03/2026</v>
      </c>
      <c r="B1349" t="str">
        <f>"ENTRADA"</f>
        <v>ENTRADA</v>
      </c>
      <c r="C1349" t="str">
        <f>"DINHEIRO"</f>
        <v>DINHEIRO</v>
      </c>
      <c r="D1349" t="str">
        <f>"746"</f>
        <v>746</v>
      </c>
      <c r="E1349" t="str">
        <f>"11"</f>
        <v>11</v>
      </c>
      <c r="F1349" t="str">
        <f t="shared" si="260"/>
        <v>COM</v>
      </c>
      <c r="G1349" t="str">
        <f t="shared" si="259"/>
        <v>ANDERSON PEREIRA DOS SANTOS (746)</v>
      </c>
      <c r="H1349" t="s">
        <v>97</v>
      </c>
      <c r="I1349" t="str">
        <f>("08/03/2026")</f>
        <v>08/03/2026</v>
      </c>
      <c r="J1349" t="str">
        <f>("11/04/2025")</f>
        <v>11/04/2025</v>
      </c>
      <c r="K1349">
        <v>46092</v>
      </c>
      <c r="N1349">
        <v>106</v>
      </c>
      <c r="O1349" t="s">
        <v>98</v>
      </c>
      <c r="Q1349">
        <v>20</v>
      </c>
      <c r="R1349" t="str">
        <f>"ANDERSON PEREIRA DOS SANTOS (746)"</f>
        <v>ANDERSON PEREIRA DOS SANTOS (746)</v>
      </c>
      <c r="S1349" t="s">
        <v>99</v>
      </c>
      <c r="T1349">
        <v>30467</v>
      </c>
      <c r="U1349">
        <v>13723</v>
      </c>
      <c r="V1349" t="s">
        <v>22</v>
      </c>
    </row>
    <row r="1350" spans="1:22">
      <c r="A1350" t="str">
        <f t="shared" si="258"/>
        <v>11/03/2026</v>
      </c>
      <c r="B1350" t="str">
        <f>"ENTRADA"</f>
        <v>ENTRADA</v>
      </c>
      <c r="C1350" t="str">
        <f>"DINHEIRO"</f>
        <v>DINHEIRO</v>
      </c>
      <c r="D1350" t="str">
        <f>"754"</f>
        <v>754</v>
      </c>
      <c r="E1350" t="str">
        <f>"11"</f>
        <v>11</v>
      </c>
      <c r="F1350" t="str">
        <f t="shared" si="260"/>
        <v>COM</v>
      </c>
      <c r="G1350" t="str">
        <f>"ARLINDO COSTA FELIX (754)"</f>
        <v>ARLINDO COSTA FELIX (754)</v>
      </c>
      <c r="H1350" t="str">
        <f>"COTA COOPERATIVA"</f>
        <v>COTA COOPERATIVA</v>
      </c>
      <c r="I1350" t="str">
        <f>("08/03/2026")</f>
        <v>08/03/2026</v>
      </c>
      <c r="J1350" t="str">
        <f>("16/04/2025")</f>
        <v>16/04/2025</v>
      </c>
      <c r="K1350" t="str">
        <f>("11/03/2026")</f>
        <v>11/03/2026</v>
      </c>
      <c r="L1350">
        <v>20</v>
      </c>
      <c r="M1350">
        <v>20</v>
      </c>
      <c r="N1350">
        <v>106</v>
      </c>
      <c r="O1350" t="str">
        <f>"ENTRADA DE CAPITAL"</f>
        <v>ENTRADA DE CAPITAL</v>
      </c>
      <c r="P1350">
        <v>20</v>
      </c>
      <c r="S1350" t="str">
        <f>"ENTRADA DE CAPITAL (106)"</f>
        <v>ENTRADA DE CAPITAL (106)</v>
      </c>
      <c r="T1350">
        <v>30468</v>
      </c>
      <c r="U1350">
        <v>13754</v>
      </c>
      <c r="V1350" t="s">
        <v>22</v>
      </c>
    </row>
    <row r="1351" spans="1:22">
      <c r="A1351" t="str">
        <f t="shared" si="258"/>
        <v>11/03/2026</v>
      </c>
      <c r="B1351" t="str">
        <f>"ENTRADA"</f>
        <v>ENTRADA</v>
      </c>
      <c r="C1351" t="str">
        <f>"DINHEIRO"</f>
        <v>DINHEIRO</v>
      </c>
      <c r="D1351" t="str">
        <f>"754"</f>
        <v>754</v>
      </c>
      <c r="E1351" t="str">
        <f>"11"</f>
        <v>11</v>
      </c>
      <c r="F1351" t="str">
        <f t="shared" si="260"/>
        <v>COM</v>
      </c>
      <c r="G1351" t="str">
        <f>"ARLINDO COSTA FELIX (754)"</f>
        <v>ARLINDO COSTA FELIX (754)</v>
      </c>
      <c r="H1351" t="s">
        <v>97</v>
      </c>
      <c r="I1351" t="str">
        <f>("08/03/2026")</f>
        <v>08/03/2026</v>
      </c>
      <c r="J1351" t="str">
        <f>("16/04/2025")</f>
        <v>16/04/2025</v>
      </c>
      <c r="K1351">
        <v>46092</v>
      </c>
      <c r="N1351">
        <v>106</v>
      </c>
      <c r="O1351" t="s">
        <v>98</v>
      </c>
      <c r="Q1351">
        <v>20</v>
      </c>
      <c r="R1351" t="str">
        <f>"ARLINDO COSTA FELIX (754)"</f>
        <v>ARLINDO COSTA FELIX (754)</v>
      </c>
      <c r="S1351" t="s">
        <v>99</v>
      </c>
      <c r="T1351">
        <v>30468</v>
      </c>
      <c r="U1351">
        <v>13754</v>
      </c>
      <c r="V1351" t="s">
        <v>22</v>
      </c>
    </row>
    <row r="1352" spans="1:22">
      <c r="A1352" t="str">
        <f t="shared" si="258"/>
        <v>11/03/2026</v>
      </c>
      <c r="B1352" t="str">
        <f>"SAÍDA"</f>
        <v>SAÍDA</v>
      </c>
      <c r="C1352" t="str">
        <f>"PIX"</f>
        <v>PIX</v>
      </c>
      <c r="D1352" t="str">
        <f>"34266"</f>
        <v>34266</v>
      </c>
      <c r="E1352" t="str">
        <f>"1"</f>
        <v>1</v>
      </c>
      <c r="F1352" t="str">
        <f t="shared" si="260"/>
        <v>COM</v>
      </c>
      <c r="G1352" t="str">
        <f>"ARLINDO COSTA FELIX (754)"</f>
        <v>ARLINDO COSTA FELIX (754)</v>
      </c>
      <c r="H1352" t="str">
        <f>"Serv.Prest. 02/03/2026 a 08/03/2026 - PIX: CPF - CHAVE: 103.983.366-79"</f>
        <v>Serv.Prest. 02/03/2026 a 08/03/2026 - PIX: CPF - CHAVE: 103.983.366-79</v>
      </c>
      <c r="I1352" t="str">
        <f>("12/03/2026")</f>
        <v>12/03/2026</v>
      </c>
      <c r="J1352" t="str">
        <f>("09/03/2026")</f>
        <v>09/03/2026</v>
      </c>
      <c r="K1352" t="str">
        <f>("11/03/2026")</f>
        <v>11/03/2026</v>
      </c>
      <c r="L1352">
        <v>20</v>
      </c>
      <c r="M1352">
        <v>20</v>
      </c>
      <c r="N1352">
        <v>109</v>
      </c>
      <c r="O1352" t="str">
        <f>"PAGAMENTO DE ENTREGADORES"</f>
        <v>PAGAMENTO DE ENTREGADORES</v>
      </c>
      <c r="P1352">
        <v>20</v>
      </c>
      <c r="S1352" t="str">
        <f>"CAIXA MOVIMENTAÇÃO OPERACIONAL (132)"</f>
        <v>CAIXA MOVIMENTAÇÃO OPERACIONAL (132)</v>
      </c>
      <c r="T1352">
        <v>30469</v>
      </c>
      <c r="U1352">
        <v>34756</v>
      </c>
      <c r="V1352" t="s">
        <v>22</v>
      </c>
    </row>
    <row r="1353" spans="1:22">
      <c r="A1353" t="str">
        <f t="shared" si="258"/>
        <v>11/03/2026</v>
      </c>
      <c r="B1353" t="str">
        <f>"SAÍDA"</f>
        <v>SAÍDA</v>
      </c>
      <c r="C1353" t="str">
        <f>"PIX"</f>
        <v>PIX</v>
      </c>
      <c r="D1353" t="str">
        <f>"34266"</f>
        <v>34266</v>
      </c>
      <c r="E1353" t="str">
        <f>"1"</f>
        <v>1</v>
      </c>
      <c r="F1353" t="str">
        <f t="shared" si="260"/>
        <v>COM</v>
      </c>
      <c r="G1353" t="str">
        <f>"ARLINDO COSTA FELIX (754)"</f>
        <v>ARLINDO COSTA FELIX (754)</v>
      </c>
      <c r="H1353" t="s">
        <v>504</v>
      </c>
      <c r="I1353" t="str">
        <f>("12/03/2026")</f>
        <v>12/03/2026</v>
      </c>
      <c r="J1353" t="str">
        <f>("09/03/2026")</f>
        <v>09/03/2026</v>
      </c>
      <c r="K1353">
        <v>46092</v>
      </c>
      <c r="N1353">
        <v>109</v>
      </c>
      <c r="O1353" t="s">
        <v>27</v>
      </c>
      <c r="Q1353">
        <v>20</v>
      </c>
      <c r="R1353" t="str">
        <f>"ENTREFARMA (10164)"</f>
        <v>ENTREFARMA (10164)</v>
      </c>
      <c r="S1353" t="s">
        <v>22</v>
      </c>
      <c r="T1353">
        <v>30469</v>
      </c>
      <c r="U1353">
        <v>34756</v>
      </c>
      <c r="V1353" t="s">
        <v>22</v>
      </c>
    </row>
    <row r="1354" spans="1:22">
      <c r="A1354" t="str">
        <f t="shared" si="258"/>
        <v>11/03/2026</v>
      </c>
      <c r="B1354" t="str">
        <f>"SAÍDA"</f>
        <v>SAÍDA</v>
      </c>
      <c r="C1354" t="str">
        <f>"PIX"</f>
        <v>PIX</v>
      </c>
      <c r="D1354" t="str">
        <f>"33827"</f>
        <v>33827</v>
      </c>
      <c r="E1354" t="str">
        <f>"1"</f>
        <v>1</v>
      </c>
      <c r="F1354" t="str">
        <f t="shared" si="260"/>
        <v>COM</v>
      </c>
      <c r="G1354" t="str">
        <f>"CLAUDINEI RIBEIRO VALERIO (681)"</f>
        <v>CLAUDINEI RIBEIRO VALERIO (681)</v>
      </c>
      <c r="H1354" t="str">
        <f>"Serv.Prest. 23/02/2026 a 01/03/2026 - PIX: CELULAR - CHAVE: (43) 99630-7532"</f>
        <v>Serv.Prest. 23/02/2026 a 01/03/2026 - PIX: CELULAR - CHAVE: (43) 99630-7532</v>
      </c>
      <c r="I1354" t="str">
        <f>("12/03/2026")</f>
        <v>12/03/2026</v>
      </c>
      <c r="J1354" t="str">
        <f>("02/03/2026")</f>
        <v>02/03/2026</v>
      </c>
      <c r="K1354" t="str">
        <f>("11/03/2026")</f>
        <v>11/03/2026</v>
      </c>
      <c r="L1354">
        <v>20</v>
      </c>
      <c r="M1354">
        <v>20</v>
      </c>
      <c r="N1354">
        <v>109</v>
      </c>
      <c r="O1354" t="str">
        <f>"PAGAMENTO DE ENTREGADORES"</f>
        <v>PAGAMENTO DE ENTREGADORES</v>
      </c>
      <c r="P1354">
        <v>20</v>
      </c>
      <c r="S1354" t="str">
        <f>"CAIXA MOVIMENTAÇÃO OPERACIONAL (132)"</f>
        <v>CAIXA MOVIMENTAÇÃO OPERACIONAL (132)</v>
      </c>
      <c r="T1354">
        <v>30470</v>
      </c>
      <c r="U1354">
        <v>34757</v>
      </c>
      <c r="V1354" t="s">
        <v>22</v>
      </c>
    </row>
    <row r="1355" spans="1:22">
      <c r="A1355" t="str">
        <f t="shared" si="258"/>
        <v>11/03/2026</v>
      </c>
      <c r="B1355" t="str">
        <f>"SAÍDA"</f>
        <v>SAÍDA</v>
      </c>
      <c r="C1355" t="str">
        <f>"PIX"</f>
        <v>PIX</v>
      </c>
      <c r="D1355" t="str">
        <f>"33827"</f>
        <v>33827</v>
      </c>
      <c r="E1355" t="str">
        <f>"1"</f>
        <v>1</v>
      </c>
      <c r="F1355" t="str">
        <f t="shared" si="260"/>
        <v>COM</v>
      </c>
      <c r="G1355" t="str">
        <f>"CLAUDINEI RIBEIRO VALERIO (681)"</f>
        <v>CLAUDINEI RIBEIRO VALERIO (681)</v>
      </c>
      <c r="H1355" t="s">
        <v>505</v>
      </c>
      <c r="I1355" t="str">
        <f>("12/03/2026")</f>
        <v>12/03/2026</v>
      </c>
      <c r="J1355" t="str">
        <f>("02/03/2026")</f>
        <v>02/03/2026</v>
      </c>
      <c r="K1355">
        <v>46092</v>
      </c>
      <c r="N1355">
        <v>109</v>
      </c>
      <c r="O1355" t="s">
        <v>27</v>
      </c>
      <c r="Q1355">
        <v>20</v>
      </c>
      <c r="R1355" t="str">
        <f>"AC FARMA - CID.ALTA (10166)"</f>
        <v>AC FARMA - CID.ALTA (10166)</v>
      </c>
      <c r="S1355" t="s">
        <v>22</v>
      </c>
      <c r="T1355">
        <v>30470</v>
      </c>
      <c r="U1355">
        <v>34757</v>
      </c>
      <c r="V1355" t="s">
        <v>22</v>
      </c>
    </row>
    <row r="1356" spans="1:22">
      <c r="A1356" t="str">
        <f t="shared" si="258"/>
        <v>11/03/2026</v>
      </c>
      <c r="B1356" t="str">
        <f>"ENTRADA"</f>
        <v>ENTRADA</v>
      </c>
      <c r="C1356" t="str">
        <f>"DINHEIRO"</f>
        <v>DINHEIRO</v>
      </c>
      <c r="D1356" t="str">
        <f>"681"</f>
        <v>681</v>
      </c>
      <c r="E1356" t="str">
        <f>"11"</f>
        <v>11</v>
      </c>
      <c r="F1356" t="str">
        <f t="shared" si="260"/>
        <v>COM</v>
      </c>
      <c r="G1356" t="str">
        <f>"CLAUDINEI RIBEIRO VAL??RIO (681)"</f>
        <v>CLAUDINEI RIBEIRO VAL??RIO (681)</v>
      </c>
      <c r="H1356" t="str">
        <f>"COTA COOPERATIVA"</f>
        <v>COTA COOPERATIVA</v>
      </c>
      <c r="I1356" t="str">
        <f>("08/03/2026")</f>
        <v>08/03/2026</v>
      </c>
      <c r="J1356" t="str">
        <f>("31/03/2025")</f>
        <v>31/03/2025</v>
      </c>
      <c r="K1356" t="str">
        <f>("11/03/2026")</f>
        <v>11/03/2026</v>
      </c>
      <c r="L1356">
        <v>20</v>
      </c>
      <c r="M1356">
        <v>20</v>
      </c>
      <c r="N1356">
        <v>106</v>
      </c>
      <c r="O1356" t="str">
        <f>"ENTRADA DE CAPITAL"</f>
        <v>ENTRADA DE CAPITAL</v>
      </c>
      <c r="P1356">
        <v>20</v>
      </c>
      <c r="S1356" t="str">
        <f>"ENTRADA DE CAPITAL (106)"</f>
        <v>ENTRADA DE CAPITAL (106)</v>
      </c>
      <c r="T1356">
        <v>30471</v>
      </c>
      <c r="U1356">
        <v>13791</v>
      </c>
      <c r="V1356" t="s">
        <v>22</v>
      </c>
    </row>
    <row r="1357" spans="1:22">
      <c r="A1357" t="str">
        <f t="shared" si="258"/>
        <v>11/03/2026</v>
      </c>
      <c r="B1357" t="str">
        <f>"ENTRADA"</f>
        <v>ENTRADA</v>
      </c>
      <c r="C1357" t="str">
        <f>"DINHEIRO"</f>
        <v>DINHEIRO</v>
      </c>
      <c r="D1357" t="str">
        <f>"681"</f>
        <v>681</v>
      </c>
      <c r="E1357" t="str">
        <f>"11"</f>
        <v>11</v>
      </c>
      <c r="F1357" t="str">
        <f t="shared" si="260"/>
        <v>COM</v>
      </c>
      <c r="G1357" t="str">
        <f>"CLAUDINEI RIBEIRO VAL??RIO (681)"</f>
        <v>CLAUDINEI RIBEIRO VAL??RIO (681)</v>
      </c>
      <c r="H1357" t="s">
        <v>97</v>
      </c>
      <c r="I1357" t="str">
        <f>("08/03/2026")</f>
        <v>08/03/2026</v>
      </c>
      <c r="J1357" t="str">
        <f>("31/03/2025")</f>
        <v>31/03/2025</v>
      </c>
      <c r="K1357">
        <v>46092</v>
      </c>
      <c r="N1357">
        <v>106</v>
      </c>
      <c r="O1357" t="s">
        <v>98</v>
      </c>
      <c r="Q1357">
        <v>20</v>
      </c>
      <c r="R1357" t="str">
        <f>"CLAUDINEI RIBEIRO VAL??RIO (681)"</f>
        <v>CLAUDINEI RIBEIRO VAL??RIO (681)</v>
      </c>
      <c r="S1357" t="s">
        <v>99</v>
      </c>
      <c r="T1357">
        <v>30471</v>
      </c>
      <c r="U1357">
        <v>13791</v>
      </c>
      <c r="V1357" t="s">
        <v>22</v>
      </c>
    </row>
    <row r="1358" spans="1:22">
      <c r="A1358" t="str">
        <f t="shared" si="258"/>
        <v>11/03/2026</v>
      </c>
      <c r="B1358" t="str">
        <f>"SAÍDA"</f>
        <v>SAÍDA</v>
      </c>
      <c r="C1358" t="str">
        <f>"PIX"</f>
        <v>PIX</v>
      </c>
      <c r="D1358" t="str">
        <f>"34114"</f>
        <v>34114</v>
      </c>
      <c r="E1358" t="str">
        <f>"1"</f>
        <v>1</v>
      </c>
      <c r="F1358" t="str">
        <f t="shared" si="260"/>
        <v>COM</v>
      </c>
      <c r="G1358" t="str">
        <f>"DANILO WASHINGTON DOS SANTOS (770)"</f>
        <v>DANILO WASHINGTON DOS SANTOS (770)</v>
      </c>
      <c r="H1358" t="str">
        <f>"Serv.Prest. 23/02/2026 a 01/03/2026 - PIX: CELULAR - CHAVE: (33) 98749-5105"</f>
        <v>Serv.Prest. 23/02/2026 a 01/03/2026 - PIX: CELULAR - CHAVE: (33) 98749-5105</v>
      </c>
      <c r="I1358" t="str">
        <f>("12/03/2026")</f>
        <v>12/03/2026</v>
      </c>
      <c r="J1358" t="str">
        <f>("03/03/2026")</f>
        <v>03/03/2026</v>
      </c>
      <c r="K1358" t="str">
        <f>("11/03/2026")</f>
        <v>11/03/2026</v>
      </c>
      <c r="L1358">
        <v>20</v>
      </c>
      <c r="M1358">
        <v>20</v>
      </c>
      <c r="N1358">
        <v>109</v>
      </c>
      <c r="O1358" t="str">
        <f>"PAGAMENTO DE ENTREGADORES"</f>
        <v>PAGAMENTO DE ENTREGADORES</v>
      </c>
      <c r="P1358">
        <v>20</v>
      </c>
      <c r="S1358" t="str">
        <f>"CAIXA MOVIMENTAÇÃO OPERACIONAL (132)"</f>
        <v>CAIXA MOVIMENTAÇÃO OPERACIONAL (132)</v>
      </c>
      <c r="T1358">
        <v>30472</v>
      </c>
      <c r="U1358">
        <v>34758</v>
      </c>
      <c r="V1358" t="s">
        <v>22</v>
      </c>
    </row>
    <row r="1359" spans="1:22">
      <c r="A1359" t="str">
        <f t="shared" si="258"/>
        <v>11/03/2026</v>
      </c>
      <c r="B1359" t="str">
        <f>"SAÍDA"</f>
        <v>SAÍDA</v>
      </c>
      <c r="C1359" t="str">
        <f>"PIX"</f>
        <v>PIX</v>
      </c>
      <c r="D1359" t="str">
        <f>"34114"</f>
        <v>34114</v>
      </c>
      <c r="E1359" t="str">
        <f>"1"</f>
        <v>1</v>
      </c>
      <c r="F1359" t="str">
        <f t="shared" si="260"/>
        <v>COM</v>
      </c>
      <c r="G1359" t="str">
        <f>"DANILO WASHINGTON DOS SANTOS (770)"</f>
        <v>DANILO WASHINGTON DOS SANTOS (770)</v>
      </c>
      <c r="H1359" t="s">
        <v>506</v>
      </c>
      <c r="I1359" t="str">
        <f>("12/03/2026")</f>
        <v>12/03/2026</v>
      </c>
      <c r="J1359" t="str">
        <f>("03/03/2026")</f>
        <v>03/03/2026</v>
      </c>
      <c r="K1359">
        <v>46092</v>
      </c>
      <c r="N1359">
        <v>109</v>
      </c>
      <c r="O1359" t="s">
        <v>27</v>
      </c>
      <c r="Q1359">
        <v>20</v>
      </c>
      <c r="R1359" t="str">
        <f>"FARMÁCIA INDIANA LJ 07 (10007)"</f>
        <v>FARMÁCIA INDIANA LJ 07 (10007)</v>
      </c>
      <c r="S1359" t="s">
        <v>22</v>
      </c>
      <c r="T1359">
        <v>30472</v>
      </c>
      <c r="U1359">
        <v>34758</v>
      </c>
      <c r="V1359" t="s">
        <v>22</v>
      </c>
    </row>
    <row r="1360" spans="1:22">
      <c r="A1360" t="str">
        <f t="shared" si="258"/>
        <v>11/03/2026</v>
      </c>
      <c r="B1360" t="str">
        <f>"ENTRADA"</f>
        <v>ENTRADA</v>
      </c>
      <c r="C1360" t="str">
        <f>"DINHEIRO"</f>
        <v>DINHEIRO</v>
      </c>
      <c r="D1360" t="str">
        <f>"770"</f>
        <v>770</v>
      </c>
      <c r="E1360" t="str">
        <f>"11"</f>
        <v>11</v>
      </c>
      <c r="F1360" t="str">
        <f t="shared" si="260"/>
        <v>COM</v>
      </c>
      <c r="G1360" t="str">
        <f>"DANILO WASHINGTON DOS SANTOS (770)"</f>
        <v>DANILO WASHINGTON DOS SANTOS (770)</v>
      </c>
      <c r="H1360" t="str">
        <f>"COTAS COOPERATIVA"</f>
        <v>COTAS COOPERATIVA</v>
      </c>
      <c r="I1360" t="str">
        <f>("08/03/2026")</f>
        <v>08/03/2026</v>
      </c>
      <c r="J1360" t="str">
        <f>("21/04/2025")</f>
        <v>21/04/2025</v>
      </c>
      <c r="K1360" t="str">
        <f>("11/03/2026")</f>
        <v>11/03/2026</v>
      </c>
      <c r="L1360">
        <v>20</v>
      </c>
      <c r="M1360">
        <v>20</v>
      </c>
      <c r="N1360">
        <v>106</v>
      </c>
      <c r="O1360" t="str">
        <f>"ENTRADA DE CAPITAL"</f>
        <v>ENTRADA DE CAPITAL</v>
      </c>
      <c r="P1360">
        <v>20</v>
      </c>
      <c r="S1360" t="str">
        <f>"ENTRADA DE CAPITAL (106)"</f>
        <v>ENTRADA DE CAPITAL (106)</v>
      </c>
      <c r="T1360">
        <v>30473</v>
      </c>
      <c r="U1360">
        <v>13822</v>
      </c>
      <c r="V1360" t="s">
        <v>22</v>
      </c>
    </row>
    <row r="1361" spans="1:22">
      <c r="A1361" t="str">
        <f t="shared" si="258"/>
        <v>11/03/2026</v>
      </c>
      <c r="B1361" t="str">
        <f>"ENTRADA"</f>
        <v>ENTRADA</v>
      </c>
      <c r="C1361" t="str">
        <f>"DINHEIRO"</f>
        <v>DINHEIRO</v>
      </c>
      <c r="D1361" t="str">
        <f>"770"</f>
        <v>770</v>
      </c>
      <c r="E1361" t="str">
        <f>"11"</f>
        <v>11</v>
      </c>
      <c r="F1361" t="str">
        <f t="shared" si="260"/>
        <v>COM</v>
      </c>
      <c r="G1361" t="str">
        <f>"DANILO WASHINGTON DOS SANTOS (770)"</f>
        <v>DANILO WASHINGTON DOS SANTOS (770)</v>
      </c>
      <c r="H1361" t="s">
        <v>430</v>
      </c>
      <c r="I1361" t="str">
        <f>("08/03/2026")</f>
        <v>08/03/2026</v>
      </c>
      <c r="J1361" t="str">
        <f>("21/04/2025")</f>
        <v>21/04/2025</v>
      </c>
      <c r="K1361">
        <v>46092</v>
      </c>
      <c r="N1361">
        <v>106</v>
      </c>
      <c r="O1361" t="s">
        <v>98</v>
      </c>
      <c r="Q1361">
        <v>20</v>
      </c>
      <c r="R1361" t="str">
        <f>"DANILO WASHINGTON DOS SANTOS (770)"</f>
        <v>DANILO WASHINGTON DOS SANTOS (770)</v>
      </c>
      <c r="S1361" t="s">
        <v>99</v>
      </c>
      <c r="T1361">
        <v>30473</v>
      </c>
      <c r="U1361">
        <v>13822</v>
      </c>
      <c r="V1361" t="s">
        <v>22</v>
      </c>
    </row>
    <row r="1362" spans="1:22">
      <c r="A1362" t="str">
        <f t="shared" si="258"/>
        <v>11/03/2026</v>
      </c>
      <c r="B1362" t="str">
        <f>"ENTRADA"</f>
        <v>ENTRADA</v>
      </c>
      <c r="C1362" t="str">
        <f>"DINHEIRO"</f>
        <v>DINHEIRO</v>
      </c>
      <c r="D1362" t="str">
        <f>"787"</f>
        <v>787</v>
      </c>
      <c r="E1362" t="str">
        <f>"11"</f>
        <v>11</v>
      </c>
      <c r="F1362" t="str">
        <f t="shared" si="260"/>
        <v>COM</v>
      </c>
      <c r="G1362" t="str">
        <f>"EDUARDO MARQUES DOS SANTOS (787)"</f>
        <v>EDUARDO MARQUES DOS SANTOS (787)</v>
      </c>
      <c r="H1362" t="str">
        <f>"COTAS COOPERATIVA"</f>
        <v>COTAS COOPERATIVA</v>
      </c>
      <c r="I1362" t="str">
        <f>("08/03/2026")</f>
        <v>08/03/2026</v>
      </c>
      <c r="J1362" t="str">
        <f>("28/04/2025")</f>
        <v>28/04/2025</v>
      </c>
      <c r="K1362" t="str">
        <f>("11/03/2026")</f>
        <v>11/03/2026</v>
      </c>
      <c r="L1362">
        <v>20</v>
      </c>
      <c r="M1362">
        <v>20</v>
      </c>
      <c r="N1362">
        <v>106</v>
      </c>
      <c r="O1362" t="str">
        <f>"ENTRADA DE CAPITAL"</f>
        <v>ENTRADA DE CAPITAL</v>
      </c>
      <c r="P1362">
        <v>20</v>
      </c>
      <c r="S1362" t="str">
        <f>"ENTRADA DE CAPITAL (106)"</f>
        <v>ENTRADA DE CAPITAL (106)</v>
      </c>
      <c r="T1362">
        <v>30474</v>
      </c>
      <c r="U1362">
        <v>13881</v>
      </c>
      <c r="V1362" t="s">
        <v>22</v>
      </c>
    </row>
    <row r="1363" spans="1:22">
      <c r="A1363" t="str">
        <f t="shared" si="258"/>
        <v>11/03/2026</v>
      </c>
      <c r="B1363" t="str">
        <f>"ENTRADA"</f>
        <v>ENTRADA</v>
      </c>
      <c r="C1363" t="str">
        <f>"DINHEIRO"</f>
        <v>DINHEIRO</v>
      </c>
      <c r="D1363" t="str">
        <f>"787"</f>
        <v>787</v>
      </c>
      <c r="E1363" t="str">
        <f>"11"</f>
        <v>11</v>
      </c>
      <c r="F1363" t="str">
        <f t="shared" si="260"/>
        <v>COM</v>
      </c>
      <c r="G1363" t="str">
        <f>"EDUARDO MARQUES DOS SANTOS (787)"</f>
        <v>EDUARDO MARQUES DOS SANTOS (787)</v>
      </c>
      <c r="H1363" t="s">
        <v>430</v>
      </c>
      <c r="I1363" t="str">
        <f>("08/03/2026")</f>
        <v>08/03/2026</v>
      </c>
      <c r="J1363" t="str">
        <f>("28/04/2025")</f>
        <v>28/04/2025</v>
      </c>
      <c r="K1363">
        <v>46092</v>
      </c>
      <c r="N1363">
        <v>106</v>
      </c>
      <c r="O1363" t="s">
        <v>98</v>
      </c>
      <c r="Q1363">
        <v>20</v>
      </c>
      <c r="R1363" t="str">
        <f>"EDUARDO MARQUES DOS SANTOS (787)"</f>
        <v>EDUARDO MARQUES DOS SANTOS (787)</v>
      </c>
      <c r="S1363" t="s">
        <v>99</v>
      </c>
      <c r="T1363">
        <v>30474</v>
      </c>
      <c r="U1363">
        <v>13881</v>
      </c>
      <c r="V1363" t="s">
        <v>22</v>
      </c>
    </row>
    <row r="1364" spans="1:22">
      <c r="A1364" t="str">
        <f t="shared" si="258"/>
        <v>11/03/2026</v>
      </c>
      <c r="B1364" t="str">
        <f>"SAÍDA"</f>
        <v>SAÍDA</v>
      </c>
      <c r="C1364" t="str">
        <f>"PIX"</f>
        <v>PIX</v>
      </c>
      <c r="D1364" t="str">
        <f>"34356"</f>
        <v>34356</v>
      </c>
      <c r="E1364" t="str">
        <f>"1"</f>
        <v>1</v>
      </c>
      <c r="F1364" t="str">
        <f t="shared" si="260"/>
        <v>COM</v>
      </c>
      <c r="G1364" t="str">
        <f>"EDUARDO MARQUES DOS SANTOS (787)"</f>
        <v>EDUARDO MARQUES DOS SANTOS (787)</v>
      </c>
      <c r="H1364" t="str">
        <f>"Serv.Prest. 02/03/2026 a 08/03/2026 - PIX: CELULAR - CHAVE: (11) 97402-1586"</f>
        <v>Serv.Prest. 02/03/2026 a 08/03/2026 - PIX: CELULAR - CHAVE: (11) 97402-1586</v>
      </c>
      <c r="I1364" t="str">
        <f>("12/03/2026")</f>
        <v>12/03/2026</v>
      </c>
      <c r="J1364" t="str">
        <f>("09/03/2026")</f>
        <v>09/03/2026</v>
      </c>
      <c r="K1364" t="str">
        <f>("11/03/2026")</f>
        <v>11/03/2026</v>
      </c>
      <c r="L1364">
        <v>20</v>
      </c>
      <c r="M1364">
        <v>20</v>
      </c>
      <c r="N1364">
        <v>109</v>
      </c>
      <c r="O1364" t="str">
        <f>"PAGAMENTO DE ENTREGADORES"</f>
        <v>PAGAMENTO DE ENTREGADORES</v>
      </c>
      <c r="P1364">
        <v>20</v>
      </c>
      <c r="S1364" t="str">
        <f>"CAIXA MOVIMENTAÇÃO OPERACIONAL (132)"</f>
        <v>CAIXA MOVIMENTAÇÃO OPERACIONAL (132)</v>
      </c>
      <c r="T1364">
        <v>30475</v>
      </c>
      <c r="U1364">
        <v>34759</v>
      </c>
      <c r="V1364" t="s">
        <v>22</v>
      </c>
    </row>
    <row r="1365" spans="1:22">
      <c r="A1365" t="str">
        <f t="shared" si="258"/>
        <v>11/03/2026</v>
      </c>
      <c r="B1365" t="str">
        <f>"SAÍDA"</f>
        <v>SAÍDA</v>
      </c>
      <c r="C1365" t="str">
        <f>"PIX"</f>
        <v>PIX</v>
      </c>
      <c r="D1365" t="str">
        <f>"34356"</f>
        <v>34356</v>
      </c>
      <c r="E1365" t="str">
        <f>"1"</f>
        <v>1</v>
      </c>
      <c r="F1365" t="str">
        <f t="shared" si="260"/>
        <v>COM</v>
      </c>
      <c r="G1365" t="str">
        <f>"EDUARDO MARQUES DOS SANTOS (787)"</f>
        <v>EDUARDO MARQUES DOS SANTOS (787)</v>
      </c>
      <c r="H1365" t="s">
        <v>507</v>
      </c>
      <c r="I1365" t="str">
        <f>("12/03/2026")</f>
        <v>12/03/2026</v>
      </c>
      <c r="J1365" t="str">
        <f>("09/03/2026")</f>
        <v>09/03/2026</v>
      </c>
      <c r="K1365">
        <v>46092</v>
      </c>
      <c r="N1365">
        <v>109</v>
      </c>
      <c r="O1365" t="s">
        <v>27</v>
      </c>
      <c r="Q1365">
        <v>20</v>
      </c>
      <c r="R1365" t="str">
        <f>"DROGARIA MORENO LTDA (10171)"</f>
        <v>DROGARIA MORENO LTDA (10171)</v>
      </c>
      <c r="S1365" t="s">
        <v>22</v>
      </c>
      <c r="T1365">
        <v>30475</v>
      </c>
      <c r="U1365">
        <v>34759</v>
      </c>
      <c r="V1365" t="s">
        <v>22</v>
      </c>
    </row>
    <row r="1366" spans="1:22">
      <c r="A1366" t="str">
        <f t="shared" si="258"/>
        <v>11/03/2026</v>
      </c>
      <c r="B1366" t="str">
        <f>"SAÍDA"</f>
        <v>SAÍDA</v>
      </c>
      <c r="C1366" t="str">
        <f>"PIX"</f>
        <v>PIX</v>
      </c>
      <c r="D1366" t="str">
        <f>"34276"</f>
        <v>34276</v>
      </c>
      <c r="E1366" t="str">
        <f>"1"</f>
        <v>1</v>
      </c>
      <c r="F1366" t="str">
        <f t="shared" si="260"/>
        <v>COM</v>
      </c>
      <c r="G1366" t="str">
        <f>"FABRICIO QUEIROZ DE OLIVEIRA (788)"</f>
        <v>FABRICIO QUEIROZ DE OLIVEIRA (788)</v>
      </c>
      <c r="H1366" t="str">
        <f>"Serv.Prest. 02/03/2026 a 08/03/2026 - PIX: CPF - CHAVE: 138.798.486-10"</f>
        <v>Serv.Prest. 02/03/2026 a 08/03/2026 - PIX: CPF - CHAVE: 138.798.486-10</v>
      </c>
      <c r="I1366" t="str">
        <f>("12/03/2026")</f>
        <v>12/03/2026</v>
      </c>
      <c r="J1366" t="str">
        <f>("09/03/2026")</f>
        <v>09/03/2026</v>
      </c>
      <c r="K1366" t="str">
        <f>("11/03/2026")</f>
        <v>11/03/2026</v>
      </c>
      <c r="L1366">
        <v>20</v>
      </c>
      <c r="M1366">
        <v>20</v>
      </c>
      <c r="N1366">
        <v>109</v>
      </c>
      <c r="O1366" t="str">
        <f>"PAGAMENTO DE ENTREGADORES"</f>
        <v>PAGAMENTO DE ENTREGADORES</v>
      </c>
      <c r="P1366">
        <v>20</v>
      </c>
      <c r="S1366" t="str">
        <f>"CAIXA MOVIMENTAÇÃO OPERACIONAL (132)"</f>
        <v>CAIXA MOVIMENTAÇÃO OPERACIONAL (132)</v>
      </c>
      <c r="T1366">
        <v>30476</v>
      </c>
      <c r="U1366">
        <v>34760</v>
      </c>
      <c r="V1366" t="s">
        <v>22</v>
      </c>
    </row>
    <row r="1367" spans="1:22">
      <c r="A1367" t="str">
        <f t="shared" si="258"/>
        <v>11/03/2026</v>
      </c>
      <c r="B1367" t="str">
        <f>"SAÍDA"</f>
        <v>SAÍDA</v>
      </c>
      <c r="C1367" t="str">
        <f>"PIX"</f>
        <v>PIX</v>
      </c>
      <c r="D1367" t="str">
        <f>"34276"</f>
        <v>34276</v>
      </c>
      <c r="E1367" t="str">
        <f>"1"</f>
        <v>1</v>
      </c>
      <c r="F1367" t="str">
        <f t="shared" si="260"/>
        <v>COM</v>
      </c>
      <c r="G1367" t="str">
        <f>"FABRICIO QUEIROZ DE OLIVEIRA (788)"</f>
        <v>FABRICIO QUEIROZ DE OLIVEIRA (788)</v>
      </c>
      <c r="H1367" t="s">
        <v>508</v>
      </c>
      <c r="I1367" t="str">
        <f>("12/03/2026")</f>
        <v>12/03/2026</v>
      </c>
      <c r="J1367" t="str">
        <f>("09/03/2026")</f>
        <v>09/03/2026</v>
      </c>
      <c r="K1367">
        <v>46092</v>
      </c>
      <c r="N1367">
        <v>109</v>
      </c>
      <c r="O1367" t="s">
        <v>27</v>
      </c>
      <c r="Q1367">
        <v>20</v>
      </c>
      <c r="R1367" t="str">
        <f>"FRAN FARMA LJ 2 (10131)"</f>
        <v>FRAN FARMA LJ 2 (10131)</v>
      </c>
      <c r="S1367" t="s">
        <v>22</v>
      </c>
      <c r="T1367">
        <v>30476</v>
      </c>
      <c r="U1367">
        <v>34760</v>
      </c>
      <c r="V1367" t="s">
        <v>22</v>
      </c>
    </row>
    <row r="1368" spans="1:22">
      <c r="A1368" t="str">
        <f t="shared" si="258"/>
        <v>11/03/2026</v>
      </c>
      <c r="B1368" t="str">
        <f>"ENTRADA"</f>
        <v>ENTRADA</v>
      </c>
      <c r="C1368" t="str">
        <f>"DINHEIRO"</f>
        <v>DINHEIRO</v>
      </c>
      <c r="D1368" t="str">
        <f>"788"</f>
        <v>788</v>
      </c>
      <c r="E1368" t="str">
        <f>"11"</f>
        <v>11</v>
      </c>
      <c r="F1368" t="str">
        <f t="shared" si="260"/>
        <v>COM</v>
      </c>
      <c r="G1368" t="str">
        <f>"FABRICIO QUEIROZ DE OLIVEIRA (788)"</f>
        <v>FABRICIO QUEIROZ DE OLIVEIRA (788)</v>
      </c>
      <c r="H1368" t="str">
        <f>"COTAS COOPERATIVA"</f>
        <v>COTAS COOPERATIVA</v>
      </c>
      <c r="I1368" t="str">
        <f>("08/03/2026")</f>
        <v>08/03/2026</v>
      </c>
      <c r="J1368" t="str">
        <f>("27/04/2025")</f>
        <v>27/04/2025</v>
      </c>
      <c r="K1368" t="str">
        <f>("11/03/2026")</f>
        <v>11/03/2026</v>
      </c>
      <c r="L1368">
        <v>20</v>
      </c>
      <c r="M1368">
        <v>20</v>
      </c>
      <c r="N1368">
        <v>106</v>
      </c>
      <c r="O1368" t="str">
        <f>"ENTRADA DE CAPITAL"</f>
        <v>ENTRADA DE CAPITAL</v>
      </c>
      <c r="P1368">
        <v>20</v>
      </c>
      <c r="S1368" t="str">
        <f>"ENTRADA DE CAPITAL (106)"</f>
        <v>ENTRADA DE CAPITAL (106)</v>
      </c>
      <c r="T1368">
        <v>30477</v>
      </c>
      <c r="U1368">
        <v>13913</v>
      </c>
      <c r="V1368" t="s">
        <v>22</v>
      </c>
    </row>
    <row r="1369" spans="1:22">
      <c r="A1369" t="str">
        <f t="shared" si="258"/>
        <v>11/03/2026</v>
      </c>
      <c r="B1369" t="str">
        <f>"ENTRADA"</f>
        <v>ENTRADA</v>
      </c>
      <c r="C1369" t="str">
        <f>"DINHEIRO"</f>
        <v>DINHEIRO</v>
      </c>
      <c r="D1369" t="str">
        <f>"788"</f>
        <v>788</v>
      </c>
      <c r="E1369" t="str">
        <f>"11"</f>
        <v>11</v>
      </c>
      <c r="F1369" t="str">
        <f t="shared" si="260"/>
        <v>COM</v>
      </c>
      <c r="G1369" t="str">
        <f>"FABRICIO QUEIROZ DE OLIVEIRA (788)"</f>
        <v>FABRICIO QUEIROZ DE OLIVEIRA (788)</v>
      </c>
      <c r="H1369" t="s">
        <v>430</v>
      </c>
      <c r="I1369" t="str">
        <f>("08/03/2026")</f>
        <v>08/03/2026</v>
      </c>
      <c r="J1369" t="str">
        <f>("27/04/2025")</f>
        <v>27/04/2025</v>
      </c>
      <c r="K1369">
        <v>46092</v>
      </c>
      <c r="N1369">
        <v>106</v>
      </c>
      <c r="O1369" t="s">
        <v>98</v>
      </c>
      <c r="Q1369">
        <v>20</v>
      </c>
      <c r="R1369" t="str">
        <f>"FABRICIO QUEIROZ DE OLIVEIRA (788)"</f>
        <v>FABRICIO QUEIROZ DE OLIVEIRA (788)</v>
      </c>
      <c r="S1369" t="s">
        <v>99</v>
      </c>
      <c r="T1369">
        <v>30477</v>
      </c>
      <c r="U1369">
        <v>13913</v>
      </c>
      <c r="V1369" t="s">
        <v>22</v>
      </c>
    </row>
    <row r="1370" spans="1:22">
      <c r="A1370" t="str">
        <f t="shared" si="258"/>
        <v>11/03/2026</v>
      </c>
      <c r="B1370" t="str">
        <f>"SAÍDA"</f>
        <v>SAÍDA</v>
      </c>
      <c r="C1370" t="str">
        <f>"PIX"</f>
        <v>PIX</v>
      </c>
      <c r="D1370" t="str">
        <f>"33952"</f>
        <v>33952</v>
      </c>
      <c r="E1370" t="str">
        <f>"1"</f>
        <v>1</v>
      </c>
      <c r="F1370" t="str">
        <f t="shared" si="260"/>
        <v>COM</v>
      </c>
      <c r="G1370" t="str">
        <f>"FERNANDO MARTINS DA SILVA (701)"</f>
        <v>FERNANDO MARTINS DA SILVA (701)</v>
      </c>
      <c r="H1370" t="str">
        <f>"Serv.Prest. 23/02/2026 a 01/03/2026 - PIX: CPF - CHAVE: 004.682.359-06"</f>
        <v>Serv.Prest. 23/02/2026 a 01/03/2026 - PIX: CPF - CHAVE: 004.682.359-06</v>
      </c>
      <c r="I1370" t="str">
        <f>("12/03/2026")</f>
        <v>12/03/2026</v>
      </c>
      <c r="J1370" t="str">
        <f>("02/03/2026")</f>
        <v>02/03/2026</v>
      </c>
      <c r="K1370" t="str">
        <f>("11/03/2026")</f>
        <v>11/03/2026</v>
      </c>
      <c r="L1370">
        <v>20</v>
      </c>
      <c r="M1370">
        <v>20</v>
      </c>
      <c r="N1370">
        <v>109</v>
      </c>
      <c r="O1370" t="str">
        <f>"PAGAMENTO DE ENTREGADORES"</f>
        <v>PAGAMENTO DE ENTREGADORES</v>
      </c>
      <c r="P1370">
        <v>20</v>
      </c>
      <c r="S1370" t="str">
        <f>"CAIXA MOVIMENTAÇÃO OPERACIONAL (132)"</f>
        <v>CAIXA MOVIMENTAÇÃO OPERACIONAL (132)</v>
      </c>
      <c r="T1370">
        <v>30478</v>
      </c>
      <c r="U1370">
        <v>34761</v>
      </c>
      <c r="V1370" t="s">
        <v>22</v>
      </c>
    </row>
    <row r="1371" spans="1:22">
      <c r="A1371" t="str">
        <f t="shared" si="258"/>
        <v>11/03/2026</v>
      </c>
      <c r="B1371" t="str">
        <f>"SAÍDA"</f>
        <v>SAÍDA</v>
      </c>
      <c r="C1371" t="str">
        <f>"PIX"</f>
        <v>PIX</v>
      </c>
      <c r="D1371" t="str">
        <f>"33952"</f>
        <v>33952</v>
      </c>
      <c r="E1371" t="str">
        <f>"1"</f>
        <v>1</v>
      </c>
      <c r="F1371" t="str">
        <f t="shared" si="260"/>
        <v>COM</v>
      </c>
      <c r="G1371" t="str">
        <f>"FERNANDO MARTINS DA SILVA (701)"</f>
        <v>FERNANDO MARTINS DA SILVA (701)</v>
      </c>
      <c r="H1371" t="s">
        <v>509</v>
      </c>
      <c r="I1371" t="str">
        <f>("12/03/2026")</f>
        <v>12/03/2026</v>
      </c>
      <c r="J1371" t="str">
        <f>("02/03/2026")</f>
        <v>02/03/2026</v>
      </c>
      <c r="K1371">
        <v>46092</v>
      </c>
      <c r="N1371">
        <v>109</v>
      </c>
      <c r="O1371" t="s">
        <v>27</v>
      </c>
      <c r="Q1371">
        <v>20</v>
      </c>
      <c r="R1371" t="str">
        <f>"AC FARMA -  FLEMINFARMA (10159)"</f>
        <v>AC FARMA -  FLEMINFARMA (10159)</v>
      </c>
      <c r="S1371" t="s">
        <v>22</v>
      </c>
      <c r="T1371">
        <v>30478</v>
      </c>
      <c r="U1371">
        <v>34761</v>
      </c>
      <c r="V1371" t="s">
        <v>22</v>
      </c>
    </row>
    <row r="1372" spans="1:22">
      <c r="A1372" t="str">
        <f t="shared" si="258"/>
        <v>11/03/2026</v>
      </c>
      <c r="B1372" t="str">
        <f>"ENTRADA"</f>
        <v>ENTRADA</v>
      </c>
      <c r="C1372" t="str">
        <f>"DINHEIRO"</f>
        <v>DINHEIRO</v>
      </c>
      <c r="D1372" t="str">
        <f>"701"</f>
        <v>701</v>
      </c>
      <c r="E1372" t="str">
        <f>"11"</f>
        <v>11</v>
      </c>
      <c r="F1372" t="str">
        <f t="shared" si="260"/>
        <v>COM</v>
      </c>
      <c r="G1372" t="str">
        <f>"FERNANDO MARTINS DA SILVA (701)"</f>
        <v>FERNANDO MARTINS DA SILVA (701)</v>
      </c>
      <c r="H1372" t="str">
        <f>"COTA COOPERATIVA"</f>
        <v>COTA COOPERATIVA</v>
      </c>
      <c r="I1372" t="str">
        <f>("08/03/2026")</f>
        <v>08/03/2026</v>
      </c>
      <c r="J1372" t="str">
        <f>("31/03/2025")</f>
        <v>31/03/2025</v>
      </c>
      <c r="K1372" t="str">
        <f>("11/03/2026")</f>
        <v>11/03/2026</v>
      </c>
      <c r="L1372">
        <v>20</v>
      </c>
      <c r="M1372">
        <v>20</v>
      </c>
      <c r="N1372">
        <v>106</v>
      </c>
      <c r="O1372" t="str">
        <f>"ENTRADA DE CAPITAL"</f>
        <v>ENTRADA DE CAPITAL</v>
      </c>
      <c r="P1372">
        <v>20</v>
      </c>
      <c r="S1372" t="str">
        <f>"ENTRADA DE CAPITAL (106)"</f>
        <v>ENTRADA DE CAPITAL (106)</v>
      </c>
      <c r="T1372">
        <v>30479</v>
      </c>
      <c r="U1372">
        <v>13941</v>
      </c>
      <c r="V1372" t="s">
        <v>22</v>
      </c>
    </row>
    <row r="1373" spans="1:22">
      <c r="A1373" t="str">
        <f t="shared" si="258"/>
        <v>11/03/2026</v>
      </c>
      <c r="B1373" t="str">
        <f>"ENTRADA"</f>
        <v>ENTRADA</v>
      </c>
      <c r="C1373" t="str">
        <f>"DINHEIRO"</f>
        <v>DINHEIRO</v>
      </c>
      <c r="D1373" t="str">
        <f>"701"</f>
        <v>701</v>
      </c>
      <c r="E1373" t="str">
        <f>"11"</f>
        <v>11</v>
      </c>
      <c r="F1373" t="str">
        <f t="shared" si="260"/>
        <v>COM</v>
      </c>
      <c r="G1373" t="str">
        <f>"FERNANDO MARTINS DA SILVA (701)"</f>
        <v>FERNANDO MARTINS DA SILVA (701)</v>
      </c>
      <c r="H1373" t="s">
        <v>97</v>
      </c>
      <c r="I1373" t="str">
        <f>("08/03/2026")</f>
        <v>08/03/2026</v>
      </c>
      <c r="J1373" t="str">
        <f>("31/03/2025")</f>
        <v>31/03/2025</v>
      </c>
      <c r="K1373">
        <v>46092</v>
      </c>
      <c r="N1373">
        <v>106</v>
      </c>
      <c r="O1373" t="s">
        <v>98</v>
      </c>
      <c r="Q1373">
        <v>20</v>
      </c>
      <c r="R1373" t="str">
        <f>"FERNANDO MARTINS DA SILVA (701)"</f>
        <v>FERNANDO MARTINS DA SILVA (701)</v>
      </c>
      <c r="S1373" t="s">
        <v>99</v>
      </c>
      <c r="T1373">
        <v>30479</v>
      </c>
      <c r="U1373">
        <v>13941</v>
      </c>
      <c r="V1373" t="s">
        <v>22</v>
      </c>
    </row>
    <row r="1374" spans="1:22">
      <c r="A1374" t="str">
        <f t="shared" si="258"/>
        <v>11/03/2026</v>
      </c>
      <c r="B1374" t="str">
        <f>"ENTRADA"</f>
        <v>ENTRADA</v>
      </c>
      <c r="C1374" t="str">
        <f>"DINHEIRO"</f>
        <v>DINHEIRO</v>
      </c>
      <c r="D1374" t="str">
        <f>"729"</f>
        <v>729</v>
      </c>
      <c r="E1374" t="str">
        <f>"11"</f>
        <v>11</v>
      </c>
      <c r="F1374" t="str">
        <f t="shared" si="260"/>
        <v>COM</v>
      </c>
      <c r="G1374" t="str">
        <f>"GERALDO SEVERINO DE SANTANA (729)"</f>
        <v>GERALDO SEVERINO DE SANTANA (729)</v>
      </c>
      <c r="H1374" t="str">
        <f>"COTA COOPERATIVA"</f>
        <v>COTA COOPERATIVA</v>
      </c>
      <c r="I1374" t="str">
        <f>("08/03/2026")</f>
        <v>08/03/2026</v>
      </c>
      <c r="J1374" t="str">
        <f>("07/04/2025")</f>
        <v>07/04/2025</v>
      </c>
      <c r="K1374" t="str">
        <f>("11/03/2026")</f>
        <v>11/03/2026</v>
      </c>
      <c r="L1374">
        <v>20</v>
      </c>
      <c r="M1374">
        <v>20</v>
      </c>
      <c r="N1374">
        <v>106</v>
      </c>
      <c r="O1374" t="str">
        <f>"ENTRADA DE CAPITAL"</f>
        <v>ENTRADA DE CAPITAL</v>
      </c>
      <c r="P1374">
        <v>20</v>
      </c>
      <c r="S1374" t="str">
        <f>"ENTRADA DE CAPITAL (106)"</f>
        <v>ENTRADA DE CAPITAL (106)</v>
      </c>
      <c r="T1374">
        <v>30480</v>
      </c>
      <c r="U1374">
        <v>13971</v>
      </c>
      <c r="V1374" t="s">
        <v>22</v>
      </c>
    </row>
    <row r="1375" spans="1:22">
      <c r="A1375" t="str">
        <f t="shared" si="258"/>
        <v>11/03/2026</v>
      </c>
      <c r="B1375" t="str">
        <f>"ENTRADA"</f>
        <v>ENTRADA</v>
      </c>
      <c r="C1375" t="str">
        <f>"DINHEIRO"</f>
        <v>DINHEIRO</v>
      </c>
      <c r="D1375" t="str">
        <f>"729"</f>
        <v>729</v>
      </c>
      <c r="E1375" t="str">
        <f>"11"</f>
        <v>11</v>
      </c>
      <c r="F1375" t="str">
        <f t="shared" si="260"/>
        <v>COM</v>
      </c>
      <c r="G1375" t="str">
        <f>"GERALDO SEVERINO DE SANTANA (729)"</f>
        <v>GERALDO SEVERINO DE SANTANA (729)</v>
      </c>
      <c r="H1375" t="s">
        <v>97</v>
      </c>
      <c r="I1375" t="str">
        <f>("08/03/2026")</f>
        <v>08/03/2026</v>
      </c>
      <c r="J1375" t="str">
        <f>("07/04/2025")</f>
        <v>07/04/2025</v>
      </c>
      <c r="K1375">
        <v>46092</v>
      </c>
      <c r="N1375">
        <v>106</v>
      </c>
      <c r="O1375" t="s">
        <v>98</v>
      </c>
      <c r="Q1375">
        <v>20</v>
      </c>
      <c r="R1375" t="str">
        <f>"GERALDO SEVERINO DE SANTANA (729)"</f>
        <v>GERALDO SEVERINO DE SANTANA (729)</v>
      </c>
      <c r="S1375" t="s">
        <v>99</v>
      </c>
      <c r="T1375">
        <v>30480</v>
      </c>
      <c r="U1375">
        <v>13971</v>
      </c>
      <c r="V1375" t="s">
        <v>22</v>
      </c>
    </row>
    <row r="1376" spans="1:22">
      <c r="A1376" t="str">
        <f t="shared" si="258"/>
        <v>11/03/2026</v>
      </c>
      <c r="B1376" t="str">
        <f>"SAÍDA"</f>
        <v>SAÍDA</v>
      </c>
      <c r="C1376" t="str">
        <f>"PIX"</f>
        <v>PIX</v>
      </c>
      <c r="D1376" t="str">
        <f>"33953"</f>
        <v>33953</v>
      </c>
      <c r="E1376" t="str">
        <f>"1"</f>
        <v>1</v>
      </c>
      <c r="F1376" t="str">
        <f t="shared" si="260"/>
        <v>COM</v>
      </c>
      <c r="G1376" t="str">
        <f>"GERALDO SEVERINO DE SANTANA (729)"</f>
        <v>GERALDO SEVERINO DE SANTANA (729)</v>
      </c>
      <c r="H1376" t="str">
        <f>"Serv.Prest. 23/02/2026 a 01/03/2026 - PIX: CELULAR - CHAVE: (43) 99934-1696"</f>
        <v>Serv.Prest. 23/02/2026 a 01/03/2026 - PIX: CELULAR - CHAVE: (43) 99934-1696</v>
      </c>
      <c r="I1376" t="str">
        <f>("12/03/2026")</f>
        <v>12/03/2026</v>
      </c>
      <c r="J1376" t="str">
        <f>("02/03/2026")</f>
        <v>02/03/2026</v>
      </c>
      <c r="K1376" t="str">
        <f>("11/03/2026")</f>
        <v>11/03/2026</v>
      </c>
      <c r="L1376">
        <v>20</v>
      </c>
      <c r="M1376">
        <v>20</v>
      </c>
      <c r="N1376">
        <v>109</v>
      </c>
      <c r="O1376" t="str">
        <f>"PAGAMENTO DE ENTREGADORES"</f>
        <v>PAGAMENTO DE ENTREGADORES</v>
      </c>
      <c r="P1376">
        <v>20</v>
      </c>
      <c r="S1376" t="str">
        <f>"CAIXA MOVIMENTAÇÃO OPERACIONAL (132)"</f>
        <v>CAIXA MOVIMENTAÇÃO OPERACIONAL (132)</v>
      </c>
      <c r="T1376">
        <v>30481</v>
      </c>
      <c r="U1376">
        <v>34762</v>
      </c>
      <c r="V1376" t="s">
        <v>22</v>
      </c>
    </row>
    <row r="1377" spans="1:22">
      <c r="A1377" t="str">
        <f t="shared" si="258"/>
        <v>11/03/2026</v>
      </c>
      <c r="B1377" t="str">
        <f>"SAÍDA"</f>
        <v>SAÍDA</v>
      </c>
      <c r="C1377" t="str">
        <f>"PIX"</f>
        <v>PIX</v>
      </c>
      <c r="D1377" t="str">
        <f>"33953"</f>
        <v>33953</v>
      </c>
      <c r="E1377" t="str">
        <f>"1"</f>
        <v>1</v>
      </c>
      <c r="F1377" t="str">
        <f t="shared" si="260"/>
        <v>COM</v>
      </c>
      <c r="G1377" t="str">
        <f>"GERALDO SEVERINO DE SANTANA (729)"</f>
        <v>GERALDO SEVERINO DE SANTANA (729)</v>
      </c>
      <c r="H1377" t="s">
        <v>510</v>
      </c>
      <c r="I1377" t="str">
        <f>("12/03/2026")</f>
        <v>12/03/2026</v>
      </c>
      <c r="J1377" t="str">
        <f>("02/03/2026")</f>
        <v>02/03/2026</v>
      </c>
      <c r="K1377">
        <v>46092</v>
      </c>
      <c r="N1377">
        <v>109</v>
      </c>
      <c r="O1377" t="s">
        <v>27</v>
      </c>
      <c r="Q1377">
        <v>20</v>
      </c>
      <c r="R1377" t="str">
        <f>"AC FARMA -  FLEMINFARMA (10159)"</f>
        <v>AC FARMA -  FLEMINFARMA (10159)</v>
      </c>
      <c r="S1377" t="s">
        <v>22</v>
      </c>
      <c r="T1377">
        <v>30481</v>
      </c>
      <c r="U1377">
        <v>34762</v>
      </c>
      <c r="V1377" t="s">
        <v>22</v>
      </c>
    </row>
    <row r="1378" spans="1:22">
      <c r="A1378" t="str">
        <f t="shared" si="258"/>
        <v>11/03/2026</v>
      </c>
      <c r="B1378" t="str">
        <f>"SAÍDA"</f>
        <v>SAÍDA</v>
      </c>
      <c r="C1378" t="str">
        <f>"PIX"</f>
        <v>PIX</v>
      </c>
      <c r="D1378" t="str">
        <f>"33954"</f>
        <v>33954</v>
      </c>
      <c r="E1378" t="str">
        <f>"1"</f>
        <v>1</v>
      </c>
      <c r="F1378" t="str">
        <f t="shared" si="260"/>
        <v>COM</v>
      </c>
      <c r="G1378" t="str">
        <f>"HELITON DE OLIVEIRA RAMOS BARBOSA (724)"</f>
        <v>HELITON DE OLIVEIRA RAMOS BARBOSA (724)</v>
      </c>
      <c r="H1378" t="str">
        <f>"Serv.Prest. 23/02/2026 a 01/03/2026 - PIX: CPF - CHAVE: 074.604.219-10"</f>
        <v>Serv.Prest. 23/02/2026 a 01/03/2026 - PIX: CPF - CHAVE: 074.604.219-10</v>
      </c>
      <c r="I1378" t="str">
        <f>("12/03/2026")</f>
        <v>12/03/2026</v>
      </c>
      <c r="J1378" t="str">
        <f>("02/03/2026")</f>
        <v>02/03/2026</v>
      </c>
      <c r="K1378" t="str">
        <f>("11/03/2026")</f>
        <v>11/03/2026</v>
      </c>
      <c r="L1378">
        <v>20</v>
      </c>
      <c r="M1378">
        <v>20</v>
      </c>
      <c r="N1378">
        <v>109</v>
      </c>
      <c r="O1378" t="str">
        <f>"PAGAMENTO DE ENTREGADORES"</f>
        <v>PAGAMENTO DE ENTREGADORES</v>
      </c>
      <c r="P1378">
        <v>20</v>
      </c>
      <c r="S1378" t="str">
        <f>"CAIXA MOVIMENTAÇÃO OPERACIONAL (132)"</f>
        <v>CAIXA MOVIMENTAÇÃO OPERACIONAL (132)</v>
      </c>
      <c r="T1378">
        <v>30482</v>
      </c>
      <c r="U1378">
        <v>34763</v>
      </c>
      <c r="V1378" t="s">
        <v>22</v>
      </c>
    </row>
    <row r="1379" spans="1:22">
      <c r="A1379" t="str">
        <f t="shared" si="258"/>
        <v>11/03/2026</v>
      </c>
      <c r="B1379" t="str">
        <f>"SAÍDA"</f>
        <v>SAÍDA</v>
      </c>
      <c r="C1379" t="str">
        <f>"PIX"</f>
        <v>PIX</v>
      </c>
      <c r="D1379" t="str">
        <f>"33954"</f>
        <v>33954</v>
      </c>
      <c r="E1379" t="str">
        <f>"1"</f>
        <v>1</v>
      </c>
      <c r="F1379" t="str">
        <f t="shared" si="260"/>
        <v>COM</v>
      </c>
      <c r="G1379" t="str">
        <f>"HELITON DE OLIVEIRA RAMOS BARBOSA (724)"</f>
        <v>HELITON DE OLIVEIRA RAMOS BARBOSA (724)</v>
      </c>
      <c r="H1379" t="s">
        <v>511</v>
      </c>
      <c r="I1379" t="str">
        <f>("12/03/2026")</f>
        <v>12/03/2026</v>
      </c>
      <c r="J1379" t="str">
        <f>("02/03/2026")</f>
        <v>02/03/2026</v>
      </c>
      <c r="K1379">
        <v>46092</v>
      </c>
      <c r="N1379">
        <v>109</v>
      </c>
      <c r="O1379" t="s">
        <v>27</v>
      </c>
      <c r="Q1379">
        <v>20</v>
      </c>
      <c r="R1379" t="str">
        <f>"AC FARMA -  FLEMINFARMA (10159)"</f>
        <v>AC FARMA -  FLEMINFARMA (10159)</v>
      </c>
      <c r="S1379" t="s">
        <v>22</v>
      </c>
      <c r="T1379">
        <v>30482</v>
      </c>
      <c r="U1379">
        <v>34763</v>
      </c>
      <c r="V1379" t="s">
        <v>22</v>
      </c>
    </row>
    <row r="1380" spans="1:22">
      <c r="A1380" t="str">
        <f t="shared" si="258"/>
        <v>11/03/2026</v>
      </c>
      <c r="B1380" t="str">
        <f>"ENTRADA"</f>
        <v>ENTRADA</v>
      </c>
      <c r="C1380" t="str">
        <f>"DINHEIRO"</f>
        <v>DINHEIRO</v>
      </c>
      <c r="D1380" t="str">
        <f>"724"</f>
        <v>724</v>
      </c>
      <c r="E1380" t="str">
        <f>"11"</f>
        <v>11</v>
      </c>
      <c r="F1380" t="str">
        <f t="shared" si="260"/>
        <v>COM</v>
      </c>
      <c r="G1380" t="str">
        <f>"HELITON DE OLIVEIRA RAMOS BARBOSA (724)"</f>
        <v>HELITON DE OLIVEIRA RAMOS BARBOSA (724)</v>
      </c>
      <c r="H1380" t="str">
        <f>"COTA COOPERATIVA"</f>
        <v>COTA COOPERATIVA</v>
      </c>
      <c r="I1380" t="str">
        <f>("08/03/2026")</f>
        <v>08/03/2026</v>
      </c>
      <c r="J1380" t="str">
        <f>("01/04/2025")</f>
        <v>01/04/2025</v>
      </c>
      <c r="K1380" t="str">
        <f>("11/03/2026")</f>
        <v>11/03/2026</v>
      </c>
      <c r="L1380">
        <v>20</v>
      </c>
      <c r="M1380">
        <v>20</v>
      </c>
      <c r="N1380">
        <v>106</v>
      </c>
      <c r="O1380" t="str">
        <f>"ENTRADA DE CAPITAL"</f>
        <v>ENTRADA DE CAPITAL</v>
      </c>
      <c r="P1380">
        <v>20</v>
      </c>
      <c r="S1380" t="str">
        <f>"ENTRADA DE CAPITAL (106)"</f>
        <v>ENTRADA DE CAPITAL (106)</v>
      </c>
      <c r="T1380">
        <v>30483</v>
      </c>
      <c r="U1380">
        <v>14004</v>
      </c>
      <c r="V1380" t="s">
        <v>22</v>
      </c>
    </row>
    <row r="1381" spans="1:22">
      <c r="A1381" t="str">
        <f t="shared" si="258"/>
        <v>11/03/2026</v>
      </c>
      <c r="B1381" t="str">
        <f>"ENTRADA"</f>
        <v>ENTRADA</v>
      </c>
      <c r="C1381" t="str">
        <f>"DINHEIRO"</f>
        <v>DINHEIRO</v>
      </c>
      <c r="D1381" t="str">
        <f>"724"</f>
        <v>724</v>
      </c>
      <c r="E1381" t="str">
        <f>"11"</f>
        <v>11</v>
      </c>
      <c r="F1381" t="str">
        <f t="shared" si="260"/>
        <v>COM</v>
      </c>
      <c r="G1381" t="str">
        <f>"HELITON DE OLIVEIRA RAMOS BARBOSA (724)"</f>
        <v>HELITON DE OLIVEIRA RAMOS BARBOSA (724)</v>
      </c>
      <c r="H1381" t="s">
        <v>97</v>
      </c>
      <c r="I1381" t="str">
        <f>("08/03/2026")</f>
        <v>08/03/2026</v>
      </c>
      <c r="J1381" t="str">
        <f>("01/04/2025")</f>
        <v>01/04/2025</v>
      </c>
      <c r="K1381">
        <v>46092</v>
      </c>
      <c r="N1381">
        <v>106</v>
      </c>
      <c r="O1381" t="s">
        <v>98</v>
      </c>
      <c r="Q1381">
        <v>20</v>
      </c>
      <c r="R1381" t="str">
        <f>"HELITON DE OLIVEIRA RAMOS BARBOSA (724)"</f>
        <v>HELITON DE OLIVEIRA RAMOS BARBOSA (724)</v>
      </c>
      <c r="S1381" t="s">
        <v>99</v>
      </c>
      <c r="T1381">
        <v>30483</v>
      </c>
      <c r="U1381">
        <v>14004</v>
      </c>
      <c r="V1381" t="s">
        <v>22</v>
      </c>
    </row>
    <row r="1382" spans="1:22">
      <c r="A1382" t="str">
        <f t="shared" si="258"/>
        <v>11/03/2026</v>
      </c>
      <c r="B1382" t="str">
        <f>"ENTRADA"</f>
        <v>ENTRADA</v>
      </c>
      <c r="C1382" t="str">
        <f>"DINHEIRO"</f>
        <v>DINHEIRO</v>
      </c>
      <c r="D1382" t="str">
        <f>"716"</f>
        <v>716</v>
      </c>
      <c r="E1382" t="str">
        <f>"11"</f>
        <v>11</v>
      </c>
      <c r="F1382" t="str">
        <f t="shared" si="260"/>
        <v>COM</v>
      </c>
      <c r="G1382" t="str">
        <f>"LEONICIO CORR??A DA SILVA (716)"</f>
        <v>LEONICIO CORR??A DA SILVA (716)</v>
      </c>
      <c r="H1382" t="str">
        <f>"COTA COOPERATIVA"</f>
        <v>COTA COOPERATIVA</v>
      </c>
      <c r="I1382" t="str">
        <f>("08/03/2026")</f>
        <v>08/03/2026</v>
      </c>
      <c r="J1382" t="str">
        <f>("06/04/2025")</f>
        <v>06/04/2025</v>
      </c>
      <c r="K1382" t="str">
        <f>("11/03/2026")</f>
        <v>11/03/2026</v>
      </c>
      <c r="L1382">
        <v>20</v>
      </c>
      <c r="M1382">
        <v>20</v>
      </c>
      <c r="N1382">
        <v>106</v>
      </c>
      <c r="O1382" t="str">
        <f>"ENTRADA DE CAPITAL"</f>
        <v>ENTRADA DE CAPITAL</v>
      </c>
      <c r="P1382">
        <v>20</v>
      </c>
      <c r="S1382" t="str">
        <f>"ENTRADA DE CAPITAL (106)"</f>
        <v>ENTRADA DE CAPITAL (106)</v>
      </c>
      <c r="T1382">
        <v>30484</v>
      </c>
      <c r="U1382">
        <v>14164</v>
      </c>
      <c r="V1382" t="s">
        <v>22</v>
      </c>
    </row>
    <row r="1383" spans="1:22">
      <c r="A1383" t="str">
        <f t="shared" si="258"/>
        <v>11/03/2026</v>
      </c>
      <c r="B1383" t="str">
        <f>"ENTRADA"</f>
        <v>ENTRADA</v>
      </c>
      <c r="C1383" t="str">
        <f>"DINHEIRO"</f>
        <v>DINHEIRO</v>
      </c>
      <c r="D1383" t="str">
        <f>"716"</f>
        <v>716</v>
      </c>
      <c r="E1383" t="str">
        <f>"11"</f>
        <v>11</v>
      </c>
      <c r="F1383" t="str">
        <f t="shared" si="260"/>
        <v>COM</v>
      </c>
      <c r="G1383" t="str">
        <f>"LEONICIO CORR??A DA SILVA (716)"</f>
        <v>LEONICIO CORR??A DA SILVA (716)</v>
      </c>
      <c r="H1383" t="s">
        <v>97</v>
      </c>
      <c r="I1383" t="str">
        <f>("08/03/2026")</f>
        <v>08/03/2026</v>
      </c>
      <c r="J1383" t="str">
        <f>("06/04/2025")</f>
        <v>06/04/2025</v>
      </c>
      <c r="K1383">
        <v>46092</v>
      </c>
      <c r="N1383">
        <v>106</v>
      </c>
      <c r="O1383" t="s">
        <v>98</v>
      </c>
      <c r="Q1383">
        <v>20</v>
      </c>
      <c r="R1383" t="str">
        <f>"LEONICIO CORR??A DA SILVA (716)"</f>
        <v>LEONICIO CORR??A DA SILVA (716)</v>
      </c>
      <c r="S1383" t="s">
        <v>99</v>
      </c>
      <c r="T1383">
        <v>30484</v>
      </c>
      <c r="U1383">
        <v>14164</v>
      </c>
      <c r="V1383" t="s">
        <v>22</v>
      </c>
    </row>
    <row r="1384" spans="1:22">
      <c r="A1384" t="str">
        <f t="shared" si="258"/>
        <v>11/03/2026</v>
      </c>
      <c r="B1384" t="str">
        <f>"SAÍDA"</f>
        <v>SAÍDA</v>
      </c>
      <c r="C1384" t="str">
        <f>"PIX"</f>
        <v>PIX</v>
      </c>
      <c r="D1384" t="str">
        <f>"34267"</f>
        <v>34267</v>
      </c>
      <c r="E1384" t="str">
        <f>"1"</f>
        <v>1</v>
      </c>
      <c r="F1384" t="str">
        <f t="shared" si="260"/>
        <v>COM</v>
      </c>
      <c r="G1384" t="str">
        <f>"LEONICIO CORREA DA SILVA (716)"</f>
        <v>LEONICIO CORREA DA SILVA (716)</v>
      </c>
      <c r="H1384" t="str">
        <f>"Serv.Prest. 02/03/2026 a 08/03/2026 - PIX: CPF - CHAVE: 138.263.636-98"</f>
        <v>Serv.Prest. 02/03/2026 a 08/03/2026 - PIX: CPF - CHAVE: 138.263.636-98</v>
      </c>
      <c r="I1384" t="str">
        <f>("12/03/2026")</f>
        <v>12/03/2026</v>
      </c>
      <c r="J1384" t="str">
        <f>("09/03/2026")</f>
        <v>09/03/2026</v>
      </c>
      <c r="K1384" t="str">
        <f>("11/03/2026")</f>
        <v>11/03/2026</v>
      </c>
      <c r="L1384">
        <v>20</v>
      </c>
      <c r="M1384">
        <v>20</v>
      </c>
      <c r="N1384">
        <v>109</v>
      </c>
      <c r="O1384" t="str">
        <f>"PAGAMENTO DE ENTREGADORES"</f>
        <v>PAGAMENTO DE ENTREGADORES</v>
      </c>
      <c r="P1384">
        <v>20</v>
      </c>
      <c r="S1384" t="str">
        <f>"CAIXA MOVIMENTAÇÃO OPERACIONAL (132)"</f>
        <v>CAIXA MOVIMENTAÇÃO OPERACIONAL (132)</v>
      </c>
      <c r="T1384">
        <v>30485</v>
      </c>
      <c r="U1384">
        <v>34764</v>
      </c>
      <c r="V1384" t="s">
        <v>22</v>
      </c>
    </row>
    <row r="1385" spans="1:22">
      <c r="A1385" t="str">
        <f t="shared" si="258"/>
        <v>11/03/2026</v>
      </c>
      <c r="B1385" t="str">
        <f>"SAÍDA"</f>
        <v>SAÍDA</v>
      </c>
      <c r="C1385" t="str">
        <f>"PIX"</f>
        <v>PIX</v>
      </c>
      <c r="D1385" t="str">
        <f>"34267"</f>
        <v>34267</v>
      </c>
      <c r="E1385" t="str">
        <f>"1"</f>
        <v>1</v>
      </c>
      <c r="F1385" t="str">
        <f t="shared" si="260"/>
        <v>COM</v>
      </c>
      <c r="G1385" t="str">
        <f>"LEONICIO CORREA DA SILVA (716)"</f>
        <v>LEONICIO CORREA DA SILVA (716)</v>
      </c>
      <c r="H1385" t="s">
        <v>512</v>
      </c>
      <c r="I1385" t="str">
        <f>("12/03/2026")</f>
        <v>12/03/2026</v>
      </c>
      <c r="J1385" t="str">
        <f>("09/03/2026")</f>
        <v>09/03/2026</v>
      </c>
      <c r="K1385">
        <v>46092</v>
      </c>
      <c r="N1385">
        <v>109</v>
      </c>
      <c r="O1385" t="s">
        <v>27</v>
      </c>
      <c r="Q1385">
        <v>20</v>
      </c>
      <c r="R1385" t="str">
        <f>"ENTREFARMA (10164)"</f>
        <v>ENTREFARMA (10164)</v>
      </c>
      <c r="S1385" t="s">
        <v>22</v>
      </c>
      <c r="T1385">
        <v>30485</v>
      </c>
      <c r="U1385">
        <v>34764</v>
      </c>
      <c r="V1385" t="s">
        <v>22</v>
      </c>
    </row>
    <row r="1386" spans="1:22">
      <c r="A1386" t="str">
        <f t="shared" si="258"/>
        <v>11/03/2026</v>
      </c>
      <c r="B1386" t="str">
        <f>"SAÍDA"</f>
        <v>SAÍDA</v>
      </c>
      <c r="C1386" t="str">
        <f>"PIX"</f>
        <v>PIX</v>
      </c>
      <c r="D1386" t="str">
        <f>"34164"</f>
        <v>34164</v>
      </c>
      <c r="E1386" t="str">
        <f>"1"</f>
        <v>1</v>
      </c>
      <c r="F1386" t="str">
        <f t="shared" si="260"/>
        <v>COM</v>
      </c>
      <c r="G1386" t="str">
        <f>"MAURO AUGUSTO MACHADO DE ASSIS (767)"</f>
        <v>MAURO AUGUSTO MACHADO DE ASSIS (767)</v>
      </c>
      <c r="H1386" t="str">
        <f>"Serv.Prest. 23/02/2026 a 01/03/2026 - PIX: CNPJ - CHAVE: 64.142.681/0001-05"</f>
        <v>Serv.Prest. 23/02/2026 a 01/03/2026 - PIX: CNPJ - CHAVE: 64.142.681/0001-05</v>
      </c>
      <c r="I1386" t="str">
        <f>("13/03/2026")</f>
        <v>13/03/2026</v>
      </c>
      <c r="J1386" t="str">
        <f>("03/03/2026")</f>
        <v>03/03/2026</v>
      </c>
      <c r="K1386" t="str">
        <f>("11/03/2026")</f>
        <v>11/03/2026</v>
      </c>
      <c r="L1386">
        <v>20</v>
      </c>
      <c r="M1386">
        <v>20</v>
      </c>
      <c r="N1386">
        <v>109</v>
      </c>
      <c r="O1386" t="str">
        <f>"PAGAMENTO DE ENTREGADORES"</f>
        <v>PAGAMENTO DE ENTREGADORES</v>
      </c>
      <c r="P1386">
        <v>20</v>
      </c>
      <c r="S1386" t="str">
        <f>"CAIXA MOVIMENTAÇÃO OPERACIONAL (132)"</f>
        <v>CAIXA MOVIMENTAÇÃO OPERACIONAL (132)</v>
      </c>
      <c r="T1386">
        <v>30486</v>
      </c>
      <c r="U1386">
        <v>34765</v>
      </c>
      <c r="V1386" t="s">
        <v>22</v>
      </c>
    </row>
    <row r="1387" spans="1:22">
      <c r="A1387" t="str">
        <f t="shared" si="258"/>
        <v>11/03/2026</v>
      </c>
      <c r="B1387" t="str">
        <f>"SAÍDA"</f>
        <v>SAÍDA</v>
      </c>
      <c r="C1387" t="str">
        <f>"PIX"</f>
        <v>PIX</v>
      </c>
      <c r="D1387" t="str">
        <f>"34164"</f>
        <v>34164</v>
      </c>
      <c r="E1387" t="str">
        <f>"1"</f>
        <v>1</v>
      </c>
      <c r="F1387" t="str">
        <f t="shared" si="260"/>
        <v>COM</v>
      </c>
      <c r="G1387" t="str">
        <f>"MAURO AUGUSTO MACHADO DE ASSIS (767)"</f>
        <v>MAURO AUGUSTO MACHADO DE ASSIS (767)</v>
      </c>
      <c r="H1387" t="s">
        <v>513</v>
      </c>
      <c r="I1387" t="str">
        <f>("13/03/2026")</f>
        <v>13/03/2026</v>
      </c>
      <c r="J1387" t="str">
        <f>("03/03/2026")</f>
        <v>03/03/2026</v>
      </c>
      <c r="K1387">
        <v>46092</v>
      </c>
      <c r="N1387">
        <v>109</v>
      </c>
      <c r="O1387" t="s">
        <v>27</v>
      </c>
      <c r="Q1387">
        <v>16.72</v>
      </c>
      <c r="R1387" t="str">
        <f>"FARMÁCIA INDIANA LJ 11 (10008)"</f>
        <v>FARMÁCIA INDIANA LJ 11 (10008)</v>
      </c>
      <c r="S1387" t="s">
        <v>22</v>
      </c>
      <c r="T1387">
        <v>30486</v>
      </c>
      <c r="U1387">
        <v>34765</v>
      </c>
      <c r="V1387" t="s">
        <v>22</v>
      </c>
    </row>
    <row r="1388" spans="1:22">
      <c r="A1388" t="str">
        <f t="shared" si="258"/>
        <v>11/03/2026</v>
      </c>
      <c r="B1388" t="str">
        <f>"SAÍDA"</f>
        <v>SAÍDA</v>
      </c>
      <c r="C1388" t="str">
        <f>"PIX"</f>
        <v>PIX</v>
      </c>
      <c r="D1388" t="str">
        <f>"34164"</f>
        <v>34164</v>
      </c>
      <c r="E1388" t="str">
        <f>"1"</f>
        <v>1</v>
      </c>
      <c r="F1388" t="str">
        <f t="shared" si="260"/>
        <v>COM</v>
      </c>
      <c r="G1388" t="str">
        <f>"MAURO AUGUSTO MACHADO DE ASSIS (767)"</f>
        <v>MAURO AUGUSTO MACHADO DE ASSIS (767)</v>
      </c>
      <c r="H1388" t="s">
        <v>513</v>
      </c>
      <c r="I1388" t="str">
        <f>("13/03/2026")</f>
        <v>13/03/2026</v>
      </c>
      <c r="J1388" t="str">
        <f>("03/03/2026")</f>
        <v>03/03/2026</v>
      </c>
      <c r="K1388">
        <v>46092</v>
      </c>
      <c r="N1388">
        <v>109</v>
      </c>
      <c r="O1388" t="s">
        <v>27</v>
      </c>
      <c r="Q1388">
        <v>3.28</v>
      </c>
      <c r="R1388" t="str">
        <f>"FARMÁCIA INDIANA LJ 172 (10161)"</f>
        <v>FARMÁCIA INDIANA LJ 172 (10161)</v>
      </c>
      <c r="S1388" t="s">
        <v>22</v>
      </c>
      <c r="T1388">
        <v>30486</v>
      </c>
      <c r="U1388">
        <v>34765</v>
      </c>
      <c r="V1388" t="s">
        <v>22</v>
      </c>
    </row>
    <row r="1389" spans="1:22">
      <c r="A1389" t="str">
        <f t="shared" si="258"/>
        <v>11/03/2026</v>
      </c>
      <c r="B1389" t="str">
        <f>"ENTRADA"</f>
        <v>ENTRADA</v>
      </c>
      <c r="C1389" t="str">
        <f>"DINHEIRO"</f>
        <v>DINHEIRO</v>
      </c>
      <c r="D1389" t="str">
        <f>"767"</f>
        <v>767</v>
      </c>
      <c r="E1389" t="str">
        <f>"11"</f>
        <v>11</v>
      </c>
      <c r="F1389" t="str">
        <f t="shared" si="260"/>
        <v>COM</v>
      </c>
      <c r="G1389" t="str">
        <f>"MAURO AUGUSTO MACHADO DE ASSIS (767)"</f>
        <v>MAURO AUGUSTO MACHADO DE ASSIS (767)</v>
      </c>
      <c r="H1389" t="str">
        <f>"COTA COOPERATIVA"</f>
        <v>COTA COOPERATIVA</v>
      </c>
      <c r="I1389" t="str">
        <f>("08/03/2026")</f>
        <v>08/03/2026</v>
      </c>
      <c r="J1389" t="str">
        <f>("15/04/2025")</f>
        <v>15/04/2025</v>
      </c>
      <c r="K1389" t="str">
        <f>("11/03/2026")</f>
        <v>11/03/2026</v>
      </c>
      <c r="L1389">
        <v>20</v>
      </c>
      <c r="M1389">
        <v>20</v>
      </c>
      <c r="N1389">
        <v>106</v>
      </c>
      <c r="O1389" t="str">
        <f>"ENTRADA DE CAPITAL"</f>
        <v>ENTRADA DE CAPITAL</v>
      </c>
      <c r="P1389">
        <v>20</v>
      </c>
      <c r="S1389" t="str">
        <f>"ENTRADA DE CAPITAL (106)"</f>
        <v>ENTRADA DE CAPITAL (106)</v>
      </c>
      <c r="T1389">
        <v>30487</v>
      </c>
      <c r="U1389">
        <v>14255</v>
      </c>
      <c r="V1389" t="s">
        <v>22</v>
      </c>
    </row>
    <row r="1390" spans="1:22">
      <c r="A1390" t="str">
        <f t="shared" si="258"/>
        <v>11/03/2026</v>
      </c>
      <c r="B1390" t="str">
        <f>"ENTRADA"</f>
        <v>ENTRADA</v>
      </c>
      <c r="C1390" t="str">
        <f>"DINHEIRO"</f>
        <v>DINHEIRO</v>
      </c>
      <c r="D1390" t="str">
        <f>"767"</f>
        <v>767</v>
      </c>
      <c r="E1390" t="str">
        <f>"11"</f>
        <v>11</v>
      </c>
      <c r="F1390" t="str">
        <f t="shared" si="260"/>
        <v>COM</v>
      </c>
      <c r="G1390" t="str">
        <f>"MAURO AUGUSTO MACHADO DE ASSIS (767)"</f>
        <v>MAURO AUGUSTO MACHADO DE ASSIS (767)</v>
      </c>
      <c r="H1390" t="s">
        <v>97</v>
      </c>
      <c r="I1390" t="str">
        <f>("08/03/2026")</f>
        <v>08/03/2026</v>
      </c>
      <c r="J1390" t="str">
        <f>("15/04/2025")</f>
        <v>15/04/2025</v>
      </c>
      <c r="K1390">
        <v>46092</v>
      </c>
      <c r="N1390">
        <v>106</v>
      </c>
      <c r="O1390" t="s">
        <v>98</v>
      </c>
      <c r="Q1390">
        <v>20</v>
      </c>
      <c r="R1390" t="str">
        <f>"MAURO AUGUSTO MACHADO DE ASSIS (767)"</f>
        <v>MAURO AUGUSTO MACHADO DE ASSIS (767)</v>
      </c>
      <c r="S1390" t="s">
        <v>99</v>
      </c>
      <c r="T1390">
        <v>30487</v>
      </c>
      <c r="U1390">
        <v>14255</v>
      </c>
      <c r="V1390" t="s">
        <v>22</v>
      </c>
    </row>
    <row r="1391" spans="1:22">
      <c r="A1391" t="str">
        <f t="shared" si="258"/>
        <v>11/03/2026</v>
      </c>
      <c r="B1391" t="str">
        <f>"ENTRADA"</f>
        <v>ENTRADA</v>
      </c>
      <c r="C1391" t="str">
        <f>"DINHEIRO"</f>
        <v>DINHEIRO</v>
      </c>
      <c r="D1391" t="str">
        <f>"725"</f>
        <v>725</v>
      </c>
      <c r="E1391" t="str">
        <f>"11"</f>
        <v>11</v>
      </c>
      <c r="F1391" t="str">
        <f t="shared" si="260"/>
        <v>COM</v>
      </c>
      <c r="G1391" t="str">
        <f>"SADRAK ENOK BORGES (725)"</f>
        <v>SADRAK ENOK BORGES (725)</v>
      </c>
      <c r="H1391" t="str">
        <f>"COTA COOPERATIVA"</f>
        <v>COTA COOPERATIVA</v>
      </c>
      <c r="I1391" t="str">
        <f>("08/03/2026")</f>
        <v>08/03/2026</v>
      </c>
      <c r="J1391" t="str">
        <f>("04/04/2025")</f>
        <v>04/04/2025</v>
      </c>
      <c r="K1391" t="str">
        <f>("11/03/2026")</f>
        <v>11/03/2026</v>
      </c>
      <c r="L1391">
        <v>20</v>
      </c>
      <c r="M1391">
        <v>20</v>
      </c>
      <c r="N1391">
        <v>106</v>
      </c>
      <c r="O1391" t="str">
        <f>"ENTRADA DE CAPITAL"</f>
        <v>ENTRADA DE CAPITAL</v>
      </c>
      <c r="P1391">
        <v>20</v>
      </c>
      <c r="S1391" t="str">
        <f>"ENTRADA DE CAPITAL (106)"</f>
        <v>ENTRADA DE CAPITAL (106)</v>
      </c>
      <c r="T1391">
        <v>30488</v>
      </c>
      <c r="U1391">
        <v>14429</v>
      </c>
      <c r="V1391" t="s">
        <v>22</v>
      </c>
    </row>
    <row r="1392" spans="1:22">
      <c r="A1392" t="str">
        <f t="shared" si="258"/>
        <v>11/03/2026</v>
      </c>
      <c r="B1392" t="str">
        <f>"ENTRADA"</f>
        <v>ENTRADA</v>
      </c>
      <c r="C1392" t="str">
        <f>"DINHEIRO"</f>
        <v>DINHEIRO</v>
      </c>
      <c r="D1392" t="str">
        <f>"725"</f>
        <v>725</v>
      </c>
      <c r="E1392" t="str">
        <f>"11"</f>
        <v>11</v>
      </c>
      <c r="F1392" t="str">
        <f t="shared" si="260"/>
        <v>COM</v>
      </c>
      <c r="G1392" t="str">
        <f>"SADRAK ENOK BORGES (725)"</f>
        <v>SADRAK ENOK BORGES (725)</v>
      </c>
      <c r="H1392" t="s">
        <v>97</v>
      </c>
      <c r="I1392" t="str">
        <f>("08/03/2026")</f>
        <v>08/03/2026</v>
      </c>
      <c r="J1392" t="str">
        <f>("04/04/2025")</f>
        <v>04/04/2025</v>
      </c>
      <c r="K1392">
        <v>46092</v>
      </c>
      <c r="N1392">
        <v>106</v>
      </c>
      <c r="O1392" t="s">
        <v>98</v>
      </c>
      <c r="Q1392">
        <v>20</v>
      </c>
      <c r="R1392" t="str">
        <f>"SADRAK ENOK BORGES (725)"</f>
        <v>SADRAK ENOK BORGES (725)</v>
      </c>
      <c r="S1392" t="s">
        <v>99</v>
      </c>
      <c r="T1392">
        <v>30488</v>
      </c>
      <c r="U1392">
        <v>14429</v>
      </c>
      <c r="V1392" t="s">
        <v>22</v>
      </c>
    </row>
    <row r="1393" spans="1:22">
      <c r="A1393" t="str">
        <f t="shared" si="258"/>
        <v>11/03/2026</v>
      </c>
      <c r="B1393" t="str">
        <f t="shared" ref="B1393:B1398" si="261">"SAÍDA"</f>
        <v>SAÍDA</v>
      </c>
      <c r="C1393" t="str">
        <f t="shared" ref="C1393:C1398" si="262">"PIX"</f>
        <v>PIX</v>
      </c>
      <c r="D1393" t="str">
        <f>"34268"</f>
        <v>34268</v>
      </c>
      <c r="E1393" t="str">
        <f t="shared" ref="E1393:E1398" si="263">"1"</f>
        <v>1</v>
      </c>
      <c r="F1393" t="str">
        <f t="shared" si="260"/>
        <v>COM</v>
      </c>
      <c r="G1393" t="str">
        <f>"SADRAK ENOKES BORGES (725)"</f>
        <v>SADRAK ENOKES BORGES (725)</v>
      </c>
      <c r="H1393" t="str">
        <f>"Serv.Prest. 02/03/2026 a 08/03/2026 - PIX: CPF - CHAVE: 128.367.756-37"</f>
        <v>Serv.Prest. 02/03/2026 a 08/03/2026 - PIX: CPF - CHAVE: 128.367.756-37</v>
      </c>
      <c r="I1393" t="str">
        <f t="shared" ref="I1393:I1398" si="264">("12/03/2026")</f>
        <v>12/03/2026</v>
      </c>
      <c r="J1393" t="str">
        <f t="shared" ref="J1393:J1398" si="265">("09/03/2026")</f>
        <v>09/03/2026</v>
      </c>
      <c r="K1393" t="str">
        <f>("11/03/2026")</f>
        <v>11/03/2026</v>
      </c>
      <c r="L1393">
        <v>20</v>
      </c>
      <c r="M1393">
        <v>20</v>
      </c>
      <c r="N1393">
        <v>109</v>
      </c>
      <c r="O1393" t="str">
        <f>"PAGAMENTO DE ENTREGADORES"</f>
        <v>PAGAMENTO DE ENTREGADORES</v>
      </c>
      <c r="P1393">
        <v>20</v>
      </c>
      <c r="S1393" t="str">
        <f>"CAIXA MOVIMENTAÇÃO OPERACIONAL (132)"</f>
        <v>CAIXA MOVIMENTAÇÃO OPERACIONAL (132)</v>
      </c>
      <c r="T1393">
        <v>30489</v>
      </c>
      <c r="U1393">
        <v>34766</v>
      </c>
      <c r="V1393" t="s">
        <v>22</v>
      </c>
    </row>
    <row r="1394" spans="1:22">
      <c r="A1394" t="str">
        <f t="shared" si="258"/>
        <v>11/03/2026</v>
      </c>
      <c r="B1394" t="str">
        <f t="shared" si="261"/>
        <v>SAÍDA</v>
      </c>
      <c r="C1394" t="str">
        <f t="shared" si="262"/>
        <v>PIX</v>
      </c>
      <c r="D1394" t="str">
        <f>"34268"</f>
        <v>34268</v>
      </c>
      <c r="E1394" t="str">
        <f t="shared" si="263"/>
        <v>1</v>
      </c>
      <c r="F1394" t="str">
        <f t="shared" si="260"/>
        <v>COM</v>
      </c>
      <c r="G1394" t="str">
        <f>"SADRAK ENOKES BORGES (725)"</f>
        <v>SADRAK ENOKES BORGES (725)</v>
      </c>
      <c r="H1394" t="s">
        <v>514</v>
      </c>
      <c r="I1394" t="str">
        <f t="shared" si="264"/>
        <v>12/03/2026</v>
      </c>
      <c r="J1394" t="str">
        <f t="shared" si="265"/>
        <v>09/03/2026</v>
      </c>
      <c r="K1394">
        <v>46092</v>
      </c>
      <c r="N1394">
        <v>109</v>
      </c>
      <c r="O1394" t="s">
        <v>27</v>
      </c>
      <c r="Q1394">
        <v>20</v>
      </c>
      <c r="R1394" t="str">
        <f>"ENTREFARMA (10164)"</f>
        <v>ENTREFARMA (10164)</v>
      </c>
      <c r="S1394" t="s">
        <v>22</v>
      </c>
      <c r="T1394">
        <v>30489</v>
      </c>
      <c r="U1394">
        <v>34766</v>
      </c>
      <c r="V1394" t="s">
        <v>22</v>
      </c>
    </row>
    <row r="1395" spans="1:22">
      <c r="A1395" t="str">
        <f t="shared" si="258"/>
        <v>11/03/2026</v>
      </c>
      <c r="B1395" t="str">
        <f t="shared" si="261"/>
        <v>SAÍDA</v>
      </c>
      <c r="C1395" t="str">
        <f t="shared" si="262"/>
        <v>PIX</v>
      </c>
      <c r="D1395" t="str">
        <f>"34456"</f>
        <v>34456</v>
      </c>
      <c r="E1395" t="str">
        <f t="shared" si="263"/>
        <v>1</v>
      </c>
      <c r="F1395" t="str">
        <f t="shared" si="260"/>
        <v>COM</v>
      </c>
      <c r="G1395" t="str">
        <f t="shared" ref="G1395:G1400" si="266">"DANILO VICENTE MARINHO SANTOS (1018)"</f>
        <v>DANILO VICENTE MARINHO SANTOS (1018)</v>
      </c>
      <c r="H1395" t="str">
        <f>"Serv.Prest. 02/03/2026 a 08/03/2026 - PIX: E-MAIL - CHAVE: vicentedanilo51@gmail.com"</f>
        <v>Serv.Prest. 02/03/2026 a 08/03/2026 - PIX: E-MAIL - CHAVE: vicentedanilo51@gmail.com</v>
      </c>
      <c r="I1395" t="str">
        <f t="shared" si="264"/>
        <v>12/03/2026</v>
      </c>
      <c r="J1395" t="str">
        <f t="shared" si="265"/>
        <v>09/03/2026</v>
      </c>
      <c r="K1395" t="str">
        <f>("11/03/2026")</f>
        <v>11/03/2026</v>
      </c>
      <c r="L1395">
        <v>10</v>
      </c>
      <c r="M1395">
        <v>10</v>
      </c>
      <c r="N1395">
        <v>109</v>
      </c>
      <c r="O1395" t="str">
        <f>"PAGAMENTO DE ENTREGADORES"</f>
        <v>PAGAMENTO DE ENTREGADORES</v>
      </c>
      <c r="P1395">
        <v>10</v>
      </c>
      <c r="S1395" t="str">
        <f>"CAIXA MOVIMENTAÇÃO OPERACIONAL (132)"</f>
        <v>CAIXA MOVIMENTAÇÃO OPERACIONAL (132)</v>
      </c>
      <c r="T1395">
        <v>30490</v>
      </c>
      <c r="U1395">
        <v>34456</v>
      </c>
      <c r="V1395" t="s">
        <v>22</v>
      </c>
    </row>
    <row r="1396" spans="1:22">
      <c r="A1396" t="str">
        <f t="shared" si="258"/>
        <v>11/03/2026</v>
      </c>
      <c r="B1396" t="str">
        <f t="shared" si="261"/>
        <v>SAÍDA</v>
      </c>
      <c r="C1396" t="str">
        <f t="shared" si="262"/>
        <v>PIX</v>
      </c>
      <c r="D1396" t="str">
        <f>"34456"</f>
        <v>34456</v>
      </c>
      <c r="E1396" t="str">
        <f t="shared" si="263"/>
        <v>1</v>
      </c>
      <c r="F1396" t="str">
        <f t="shared" si="260"/>
        <v>COM</v>
      </c>
      <c r="G1396" t="str">
        <f t="shared" si="266"/>
        <v>DANILO VICENTE MARINHO SANTOS (1018)</v>
      </c>
      <c r="H1396" t="s">
        <v>515</v>
      </c>
      <c r="I1396" t="str">
        <f t="shared" si="264"/>
        <v>12/03/2026</v>
      </c>
      <c r="J1396" t="str">
        <f t="shared" si="265"/>
        <v>09/03/2026</v>
      </c>
      <c r="K1396">
        <v>46092</v>
      </c>
      <c r="N1396">
        <v>109</v>
      </c>
      <c r="O1396" t="s">
        <v>27</v>
      </c>
      <c r="Q1396">
        <v>10</v>
      </c>
      <c r="R1396" t="str">
        <f>"PENSE FARMA 11 (10220)"</f>
        <v>PENSE FARMA 11 (10220)</v>
      </c>
      <c r="S1396" t="s">
        <v>22</v>
      </c>
      <c r="T1396">
        <v>30490</v>
      </c>
      <c r="U1396">
        <v>34456</v>
      </c>
      <c r="V1396" t="s">
        <v>22</v>
      </c>
    </row>
    <row r="1397" spans="1:22">
      <c r="A1397" t="str">
        <f t="shared" si="258"/>
        <v>11/03/2026</v>
      </c>
      <c r="B1397" t="str">
        <f t="shared" si="261"/>
        <v>SAÍDA</v>
      </c>
      <c r="C1397" t="str">
        <f t="shared" si="262"/>
        <v>PIX</v>
      </c>
      <c r="D1397" t="str">
        <f>"34455"</f>
        <v>34455</v>
      </c>
      <c r="E1397" t="str">
        <f t="shared" si="263"/>
        <v>1</v>
      </c>
      <c r="F1397" t="str">
        <f t="shared" si="260"/>
        <v>COM</v>
      </c>
      <c r="G1397" t="str">
        <f t="shared" si="266"/>
        <v>DANILO VICENTE MARINHO SANTOS (1018)</v>
      </c>
      <c r="H1397" t="str">
        <f>"Serv.Prest. 02/03/2026 a 08/03/2026 - PIX: E-MAIL - CHAVE: vicentedanilo51@gmail.com"</f>
        <v>Serv.Prest. 02/03/2026 a 08/03/2026 - PIX: E-MAIL - CHAVE: vicentedanilo51@gmail.com</v>
      </c>
      <c r="I1397" t="str">
        <f t="shared" si="264"/>
        <v>12/03/2026</v>
      </c>
      <c r="J1397" t="str">
        <f t="shared" si="265"/>
        <v>09/03/2026</v>
      </c>
      <c r="K1397" t="str">
        <f>("11/03/2026")</f>
        <v>11/03/2026</v>
      </c>
      <c r="L1397">
        <v>10</v>
      </c>
      <c r="M1397">
        <v>10</v>
      </c>
      <c r="N1397">
        <v>109</v>
      </c>
      <c r="O1397" t="str">
        <f>"PAGAMENTO DE ENTREGADORES"</f>
        <v>PAGAMENTO DE ENTREGADORES</v>
      </c>
      <c r="P1397">
        <v>10</v>
      </c>
      <c r="S1397" t="str">
        <f>"CAIXA MOVIMENTAÇÃO OPERACIONAL (132)"</f>
        <v>CAIXA MOVIMENTAÇÃO OPERACIONAL (132)</v>
      </c>
      <c r="T1397">
        <v>30491</v>
      </c>
      <c r="U1397">
        <v>34455</v>
      </c>
      <c r="V1397" t="s">
        <v>22</v>
      </c>
    </row>
    <row r="1398" spans="1:22">
      <c r="A1398" t="str">
        <f t="shared" si="258"/>
        <v>11/03/2026</v>
      </c>
      <c r="B1398" t="str">
        <f t="shared" si="261"/>
        <v>SAÍDA</v>
      </c>
      <c r="C1398" t="str">
        <f t="shared" si="262"/>
        <v>PIX</v>
      </c>
      <c r="D1398" t="str">
        <f>"34455"</f>
        <v>34455</v>
      </c>
      <c r="E1398" t="str">
        <f t="shared" si="263"/>
        <v>1</v>
      </c>
      <c r="F1398" t="str">
        <f t="shared" si="260"/>
        <v>COM</v>
      </c>
      <c r="G1398" t="str">
        <f t="shared" si="266"/>
        <v>DANILO VICENTE MARINHO SANTOS (1018)</v>
      </c>
      <c r="H1398" t="s">
        <v>515</v>
      </c>
      <c r="I1398" t="str">
        <f t="shared" si="264"/>
        <v>12/03/2026</v>
      </c>
      <c r="J1398" t="str">
        <f t="shared" si="265"/>
        <v>09/03/2026</v>
      </c>
      <c r="K1398">
        <v>46092</v>
      </c>
      <c r="N1398">
        <v>109</v>
      </c>
      <c r="O1398" t="s">
        <v>27</v>
      </c>
      <c r="Q1398">
        <v>10</v>
      </c>
      <c r="R1398" t="str">
        <f>"PENSE FARMA 41 (10229)"</f>
        <v>PENSE FARMA 41 (10229)</v>
      </c>
      <c r="S1398" t="s">
        <v>22</v>
      </c>
      <c r="T1398">
        <v>30491</v>
      </c>
      <c r="U1398">
        <v>34455</v>
      </c>
      <c r="V1398" t="s">
        <v>22</v>
      </c>
    </row>
    <row r="1399" spans="1:22">
      <c r="A1399" t="str">
        <f t="shared" si="258"/>
        <v>11/03/2026</v>
      </c>
      <c r="B1399" t="str">
        <f>"ENTRADA"</f>
        <v>ENTRADA</v>
      </c>
      <c r="C1399" t="str">
        <f>"DINHEIRO"</f>
        <v>DINHEIRO</v>
      </c>
      <c r="D1399" t="str">
        <f>"1018"</f>
        <v>1018</v>
      </c>
      <c r="E1399" t="str">
        <f>"4"</f>
        <v>4</v>
      </c>
      <c r="F1399" t="str">
        <f t="shared" si="260"/>
        <v>COM</v>
      </c>
      <c r="G1399" t="str">
        <f t="shared" si="266"/>
        <v>DANILO VICENTE MARINHO SANTOS (1018)</v>
      </c>
      <c r="H1399" t="str">
        <f>"COTA COOPERATIVA"</f>
        <v>COTA COOPERATIVA</v>
      </c>
      <c r="I1399" t="str">
        <f>("10/03/2026")</f>
        <v>10/03/2026</v>
      </c>
      <c r="J1399" t="str">
        <f>("20/10/2025")</f>
        <v>20/10/2025</v>
      </c>
      <c r="K1399" t="str">
        <f>("11/03/2026")</f>
        <v>11/03/2026</v>
      </c>
      <c r="L1399">
        <v>20</v>
      </c>
      <c r="M1399">
        <v>20</v>
      </c>
      <c r="N1399">
        <v>106</v>
      </c>
      <c r="O1399" t="str">
        <f>"ENTRADA DE CAPITAL"</f>
        <v>ENTRADA DE CAPITAL</v>
      </c>
      <c r="P1399">
        <v>20</v>
      </c>
      <c r="S1399" t="str">
        <f>"ENTRADA DE CAPITAL (106)"</f>
        <v>ENTRADA DE CAPITAL (106)</v>
      </c>
      <c r="T1399">
        <v>30492</v>
      </c>
      <c r="U1399">
        <v>26699</v>
      </c>
      <c r="V1399" t="s">
        <v>22</v>
      </c>
    </row>
    <row r="1400" spans="1:22">
      <c r="A1400" t="str">
        <f t="shared" si="258"/>
        <v>11/03/2026</v>
      </c>
      <c r="B1400" t="str">
        <f>"ENTRADA"</f>
        <v>ENTRADA</v>
      </c>
      <c r="C1400" t="str">
        <f>"DINHEIRO"</f>
        <v>DINHEIRO</v>
      </c>
      <c r="D1400" t="str">
        <f>"1018"</f>
        <v>1018</v>
      </c>
      <c r="E1400" t="str">
        <f>"4"</f>
        <v>4</v>
      </c>
      <c r="F1400" t="str">
        <f t="shared" si="260"/>
        <v>COM</v>
      </c>
      <c r="G1400" t="str">
        <f t="shared" si="266"/>
        <v>DANILO VICENTE MARINHO SANTOS (1018)</v>
      </c>
      <c r="H1400" t="s">
        <v>97</v>
      </c>
      <c r="I1400" t="str">
        <f>("10/03/2026")</f>
        <v>10/03/2026</v>
      </c>
      <c r="J1400" t="str">
        <f>("20/10/2025")</f>
        <v>20/10/2025</v>
      </c>
      <c r="K1400">
        <v>46092</v>
      </c>
      <c r="N1400">
        <v>106</v>
      </c>
      <c r="O1400" t="s">
        <v>98</v>
      </c>
      <c r="Q1400">
        <v>20</v>
      </c>
      <c r="R1400" t="str">
        <f>"DANILO VICENTE MARINHO SANTOS (1018)"</f>
        <v>DANILO VICENTE MARINHO SANTOS (1018)</v>
      </c>
      <c r="S1400" t="s">
        <v>99</v>
      </c>
      <c r="T1400">
        <v>30492</v>
      </c>
      <c r="U1400">
        <v>26699</v>
      </c>
      <c r="V1400" t="s">
        <v>22</v>
      </c>
    </row>
    <row r="1401" spans="1:22">
      <c r="A1401" t="str">
        <f t="shared" si="258"/>
        <v>11/03/2026</v>
      </c>
      <c r="B1401" t="str">
        <f>"ENTRADA"</f>
        <v>ENTRADA</v>
      </c>
      <c r="C1401" t="str">
        <f>"DINHEIRO"</f>
        <v>DINHEIRO</v>
      </c>
      <c r="D1401" t="str">
        <f>"920"</f>
        <v>920</v>
      </c>
      <c r="E1401" t="str">
        <f>"4"</f>
        <v>4</v>
      </c>
      <c r="F1401" t="str">
        <f t="shared" si="260"/>
        <v>COM</v>
      </c>
      <c r="G1401" t="str">
        <f>"EDIONIO CARVALHO DA SILVA (920)"</f>
        <v>EDIONIO CARVALHO DA SILVA (920)</v>
      </c>
      <c r="H1401" t="str">
        <f>"COTA COOPERATIVA"</f>
        <v>COTA COOPERATIVA</v>
      </c>
      <c r="I1401" t="str">
        <f>("10/03/2026")</f>
        <v>10/03/2026</v>
      </c>
      <c r="J1401" t="str">
        <f>("27/08/2025")</f>
        <v>27/08/2025</v>
      </c>
      <c r="K1401" t="str">
        <f>("11/03/2026")</f>
        <v>11/03/2026</v>
      </c>
      <c r="L1401">
        <v>20</v>
      </c>
      <c r="M1401">
        <v>20</v>
      </c>
      <c r="N1401">
        <v>106</v>
      </c>
      <c r="O1401" t="str">
        <f>"ENTRADA DE CAPITAL"</f>
        <v>ENTRADA DE CAPITAL</v>
      </c>
      <c r="P1401">
        <v>20</v>
      </c>
      <c r="S1401" t="str">
        <f>"ENTRADA DE CAPITAL (106)"</f>
        <v>ENTRADA DE CAPITAL (106)</v>
      </c>
      <c r="T1401">
        <v>30493</v>
      </c>
      <c r="U1401">
        <v>26674</v>
      </c>
      <c r="V1401" t="s">
        <v>22</v>
      </c>
    </row>
    <row r="1402" spans="1:22">
      <c r="A1402" t="str">
        <f t="shared" si="258"/>
        <v>11/03/2026</v>
      </c>
      <c r="B1402" t="str">
        <f>"ENTRADA"</f>
        <v>ENTRADA</v>
      </c>
      <c r="C1402" t="str">
        <f>"DINHEIRO"</f>
        <v>DINHEIRO</v>
      </c>
      <c r="D1402" t="str">
        <f>"920"</f>
        <v>920</v>
      </c>
      <c r="E1402" t="str">
        <f>"4"</f>
        <v>4</v>
      </c>
      <c r="F1402" t="str">
        <f t="shared" si="260"/>
        <v>COM</v>
      </c>
      <c r="G1402" t="str">
        <f>"EDIONIO CARVALHO DA SILVA (920)"</f>
        <v>EDIONIO CARVALHO DA SILVA (920)</v>
      </c>
      <c r="H1402" t="s">
        <v>97</v>
      </c>
      <c r="I1402" t="str">
        <f>("10/03/2026")</f>
        <v>10/03/2026</v>
      </c>
      <c r="J1402" t="str">
        <f>("27/08/2025")</f>
        <v>27/08/2025</v>
      </c>
      <c r="K1402">
        <v>46092</v>
      </c>
      <c r="N1402">
        <v>106</v>
      </c>
      <c r="O1402" t="s">
        <v>98</v>
      </c>
      <c r="Q1402">
        <v>20</v>
      </c>
      <c r="R1402" t="str">
        <f>"EDIONIO CARVALHO DA SILVA (920)"</f>
        <v>EDIONIO CARVALHO DA SILVA (920)</v>
      </c>
      <c r="S1402" t="s">
        <v>99</v>
      </c>
      <c r="T1402">
        <v>30493</v>
      </c>
      <c r="U1402">
        <v>26674</v>
      </c>
      <c r="V1402" t="s">
        <v>22</v>
      </c>
    </row>
    <row r="1403" spans="1:22">
      <c r="A1403" t="str">
        <f t="shared" si="258"/>
        <v>11/03/2026</v>
      </c>
      <c r="B1403" t="str">
        <f>"SAÍDA"</f>
        <v>SAÍDA</v>
      </c>
      <c r="C1403" t="str">
        <f>"PIX"</f>
        <v>PIX</v>
      </c>
      <c r="D1403" t="str">
        <f>"34121"</f>
        <v>34121</v>
      </c>
      <c r="E1403" t="str">
        <f>"1"</f>
        <v>1</v>
      </c>
      <c r="F1403" t="str">
        <f t="shared" si="260"/>
        <v>COM</v>
      </c>
      <c r="G1403" t="str">
        <f>"EDIONIO CARVALHO DA SILVA (920)"</f>
        <v>EDIONIO CARVALHO DA SILVA (920)</v>
      </c>
      <c r="H1403" t="str">
        <f>"Serv.Prest. 23/02/2026 a 01/03/2026 - PIX: CNPJ - CHAVE: 64.839.868/0001-62"</f>
        <v>Serv.Prest. 23/02/2026 a 01/03/2026 - PIX: CNPJ - CHAVE: 64.839.868/0001-62</v>
      </c>
      <c r="I1403" t="str">
        <f>("12/03/2026")</f>
        <v>12/03/2026</v>
      </c>
      <c r="J1403" t="str">
        <f>("03/03/2026")</f>
        <v>03/03/2026</v>
      </c>
      <c r="K1403" t="str">
        <f>("11/03/2026")</f>
        <v>11/03/2026</v>
      </c>
      <c r="L1403">
        <v>20</v>
      </c>
      <c r="M1403">
        <v>20</v>
      </c>
      <c r="N1403">
        <v>109</v>
      </c>
      <c r="O1403" t="str">
        <f>"PAGAMENTO DE ENTREGADORES"</f>
        <v>PAGAMENTO DE ENTREGADORES</v>
      </c>
      <c r="P1403">
        <v>20</v>
      </c>
      <c r="S1403" t="str">
        <f>"CAIXA MOVIMENTAÇÃO OPERACIONAL (132)"</f>
        <v>CAIXA MOVIMENTAÇÃO OPERACIONAL (132)</v>
      </c>
      <c r="T1403">
        <v>30494</v>
      </c>
      <c r="U1403">
        <v>34767</v>
      </c>
      <c r="V1403" t="s">
        <v>22</v>
      </c>
    </row>
    <row r="1404" spans="1:22">
      <c r="A1404" t="str">
        <f t="shared" ref="A1404:A1467" si="267">("11/03/2026")</f>
        <v>11/03/2026</v>
      </c>
      <c r="B1404" t="str">
        <f>"SAÍDA"</f>
        <v>SAÍDA</v>
      </c>
      <c r="C1404" t="str">
        <f>"PIX"</f>
        <v>PIX</v>
      </c>
      <c r="D1404" t="str">
        <f>"34121"</f>
        <v>34121</v>
      </c>
      <c r="E1404" t="str">
        <f>"1"</f>
        <v>1</v>
      </c>
      <c r="F1404" t="str">
        <f t="shared" si="260"/>
        <v>COM</v>
      </c>
      <c r="G1404" t="str">
        <f>"EDIONIO CARVALHO DA SILVA (920)"</f>
        <v>EDIONIO CARVALHO DA SILVA (920)</v>
      </c>
      <c r="H1404" t="s">
        <v>516</v>
      </c>
      <c r="I1404" t="str">
        <f>("12/03/2026")</f>
        <v>12/03/2026</v>
      </c>
      <c r="J1404" t="str">
        <f>("03/03/2026")</f>
        <v>03/03/2026</v>
      </c>
      <c r="K1404">
        <v>46092</v>
      </c>
      <c r="N1404">
        <v>109</v>
      </c>
      <c r="O1404" t="s">
        <v>27</v>
      </c>
      <c r="Q1404">
        <v>20</v>
      </c>
      <c r="R1404" t="str">
        <f>"FARMÁCIA INDIANA LJ 171 (10074)"</f>
        <v>FARMÁCIA INDIANA LJ 171 (10074)</v>
      </c>
      <c r="S1404" t="s">
        <v>22</v>
      </c>
      <c r="T1404">
        <v>30494</v>
      </c>
      <c r="U1404">
        <v>34767</v>
      </c>
      <c r="V1404" t="s">
        <v>22</v>
      </c>
    </row>
    <row r="1405" spans="1:22">
      <c r="A1405" t="str">
        <f t="shared" si="267"/>
        <v>11/03/2026</v>
      </c>
      <c r="B1405" t="str">
        <f>"SAÍDA"</f>
        <v>SAÍDA</v>
      </c>
      <c r="C1405" t="str">
        <f>"PIX"</f>
        <v>PIX</v>
      </c>
      <c r="D1405" t="str">
        <f>"34247"</f>
        <v>34247</v>
      </c>
      <c r="E1405" t="str">
        <f>"1"</f>
        <v>1</v>
      </c>
      <c r="F1405" t="str">
        <f t="shared" si="260"/>
        <v>COM</v>
      </c>
      <c r="G1405" t="str">
        <f>"EDVAN DA SILVA ALVES (934)"</f>
        <v>EDVAN DA SILVA ALVES (934)</v>
      </c>
      <c r="H1405" t="str">
        <f>"Serv.Prest. 02/03/2026 a 08/03/2026 - PIX: E-MAIL - CHAVE: edvam18.alves@gmail.com"</f>
        <v>Serv.Prest. 02/03/2026 a 08/03/2026 - PIX: E-MAIL - CHAVE: edvam18.alves@gmail.com</v>
      </c>
      <c r="I1405" t="str">
        <f>("12/03/2026")</f>
        <v>12/03/2026</v>
      </c>
      <c r="J1405" t="str">
        <f>("09/03/2026")</f>
        <v>09/03/2026</v>
      </c>
      <c r="K1405" t="str">
        <f>("11/03/2026")</f>
        <v>11/03/2026</v>
      </c>
      <c r="L1405">
        <v>20</v>
      </c>
      <c r="M1405">
        <v>20</v>
      </c>
      <c r="N1405">
        <v>109</v>
      </c>
      <c r="O1405" t="str">
        <f>"PAGAMENTO DE ENTREGADORES"</f>
        <v>PAGAMENTO DE ENTREGADORES</v>
      </c>
      <c r="P1405">
        <v>20</v>
      </c>
      <c r="S1405" t="str">
        <f>"CAIXA MOVIMENTAÇÃO OPERACIONAL (132)"</f>
        <v>CAIXA MOVIMENTAÇÃO OPERACIONAL (132)</v>
      </c>
      <c r="T1405">
        <v>30495</v>
      </c>
      <c r="U1405">
        <v>34768</v>
      </c>
      <c r="V1405" t="s">
        <v>22</v>
      </c>
    </row>
    <row r="1406" spans="1:22">
      <c r="A1406" t="str">
        <f t="shared" si="267"/>
        <v>11/03/2026</v>
      </c>
      <c r="B1406" t="str">
        <f>"SAÍDA"</f>
        <v>SAÍDA</v>
      </c>
      <c r="C1406" t="str">
        <f>"PIX"</f>
        <v>PIX</v>
      </c>
      <c r="D1406" t="str">
        <f>"34247"</f>
        <v>34247</v>
      </c>
      <c r="E1406" t="str">
        <f>"1"</f>
        <v>1</v>
      </c>
      <c r="F1406" t="str">
        <f t="shared" si="260"/>
        <v>COM</v>
      </c>
      <c r="G1406" t="str">
        <f>"EDVAN DA SILVA ALVES (934)"</f>
        <v>EDVAN DA SILVA ALVES (934)</v>
      </c>
      <c r="H1406" t="s">
        <v>517</v>
      </c>
      <c r="I1406" t="str">
        <f>("12/03/2026")</f>
        <v>12/03/2026</v>
      </c>
      <c r="J1406" t="str">
        <f>("09/03/2026")</f>
        <v>09/03/2026</v>
      </c>
      <c r="K1406">
        <v>46092</v>
      </c>
      <c r="N1406">
        <v>109</v>
      </c>
      <c r="O1406" t="s">
        <v>27</v>
      </c>
      <c r="Q1406">
        <v>20</v>
      </c>
      <c r="R1406" t="str">
        <f>"DELTA LOJA 2 (10123)"</f>
        <v>DELTA LOJA 2 (10123)</v>
      </c>
      <c r="S1406" t="s">
        <v>22</v>
      </c>
      <c r="T1406">
        <v>30495</v>
      </c>
      <c r="U1406">
        <v>34768</v>
      </c>
      <c r="V1406" t="s">
        <v>22</v>
      </c>
    </row>
    <row r="1407" spans="1:22">
      <c r="A1407" t="str">
        <f t="shared" si="267"/>
        <v>11/03/2026</v>
      </c>
      <c r="B1407" t="str">
        <f>"ENTRADA"</f>
        <v>ENTRADA</v>
      </c>
      <c r="C1407" t="str">
        <f>"DINHEIRO"</f>
        <v>DINHEIRO</v>
      </c>
      <c r="D1407" t="str">
        <f>"934"</f>
        <v>934</v>
      </c>
      <c r="E1407" t="str">
        <f>"6"</f>
        <v>6</v>
      </c>
      <c r="F1407" t="str">
        <f t="shared" si="260"/>
        <v>COM</v>
      </c>
      <c r="G1407" t="str">
        <f>"EDVAN DA SILVA ALVES (934)"</f>
        <v>EDVAN DA SILVA ALVES (934)</v>
      </c>
      <c r="H1407" t="str">
        <f>"COTAS COOPERATIVA"</f>
        <v>COTAS COOPERATIVA</v>
      </c>
      <c r="I1407" t="str">
        <f>("10/03/2026")</f>
        <v>10/03/2026</v>
      </c>
      <c r="J1407" t="str">
        <f>("09/09/2025")</f>
        <v>09/09/2025</v>
      </c>
      <c r="K1407" t="str">
        <f>("11/03/2026")</f>
        <v>11/03/2026</v>
      </c>
      <c r="L1407">
        <v>20</v>
      </c>
      <c r="M1407">
        <v>20</v>
      </c>
      <c r="N1407">
        <v>106</v>
      </c>
      <c r="O1407" t="str">
        <f>"ENTRADA DE CAPITAL"</f>
        <v>ENTRADA DE CAPITAL</v>
      </c>
      <c r="P1407">
        <v>20</v>
      </c>
      <c r="S1407" t="str">
        <f>"ENTRADA DE CAPITAL (106)"</f>
        <v>ENTRADA DE CAPITAL (106)</v>
      </c>
      <c r="T1407">
        <v>30496</v>
      </c>
      <c r="U1407">
        <v>23248</v>
      </c>
      <c r="V1407" t="s">
        <v>22</v>
      </c>
    </row>
    <row r="1408" spans="1:22">
      <c r="A1408" t="str">
        <f t="shared" si="267"/>
        <v>11/03/2026</v>
      </c>
      <c r="B1408" t="str">
        <f>"ENTRADA"</f>
        <v>ENTRADA</v>
      </c>
      <c r="C1408" t="str">
        <f>"DINHEIRO"</f>
        <v>DINHEIRO</v>
      </c>
      <c r="D1408" t="str">
        <f>"934"</f>
        <v>934</v>
      </c>
      <c r="E1408" t="str">
        <f>"6"</f>
        <v>6</v>
      </c>
      <c r="F1408" t="str">
        <f t="shared" si="260"/>
        <v>COM</v>
      </c>
      <c r="G1408" t="str">
        <f>"EDVAN DA SILVA ALVES (934)"</f>
        <v>EDVAN DA SILVA ALVES (934)</v>
      </c>
      <c r="H1408" t="s">
        <v>430</v>
      </c>
      <c r="I1408" t="str">
        <f>("10/03/2026")</f>
        <v>10/03/2026</v>
      </c>
      <c r="J1408" t="str">
        <f>("09/09/2025")</f>
        <v>09/09/2025</v>
      </c>
      <c r="K1408">
        <v>46092</v>
      </c>
      <c r="N1408">
        <v>106</v>
      </c>
      <c r="O1408" t="s">
        <v>98</v>
      </c>
      <c r="Q1408">
        <v>20</v>
      </c>
      <c r="R1408" t="str">
        <f>"EDVAN DA SILVA ALVES (934)"</f>
        <v>EDVAN DA SILVA ALVES (934)</v>
      </c>
      <c r="S1408" t="s">
        <v>99</v>
      </c>
      <c r="T1408">
        <v>30496</v>
      </c>
      <c r="U1408">
        <v>23248</v>
      </c>
      <c r="V1408" t="s">
        <v>22</v>
      </c>
    </row>
    <row r="1409" spans="1:22">
      <c r="A1409" t="str">
        <f t="shared" si="267"/>
        <v>11/03/2026</v>
      </c>
      <c r="B1409" t="str">
        <f>"SAÍDA"</f>
        <v>SAÍDA</v>
      </c>
      <c r="C1409" t="str">
        <f>"PIX"</f>
        <v>PIX</v>
      </c>
      <c r="D1409" t="str">
        <f>"34252"</f>
        <v>34252</v>
      </c>
      <c r="E1409" t="str">
        <f>"1"</f>
        <v>1</v>
      </c>
      <c r="F1409" t="str">
        <f t="shared" si="260"/>
        <v>COM</v>
      </c>
      <c r="G1409" t="str">
        <f>"GUILHERME DA SILVA GOMES (901)"</f>
        <v>GUILHERME DA SILVA GOMES (901)</v>
      </c>
      <c r="H1409" t="str">
        <f>"Serv.Prest. 02/03/2026 a 08/03/2026 - PIX: CPF - CHAVE: 505.341.528-56"</f>
        <v>Serv.Prest. 02/03/2026 a 08/03/2026 - PIX: CPF - CHAVE: 505.341.528-56</v>
      </c>
      <c r="I1409" t="str">
        <f>("12/03/2026")</f>
        <v>12/03/2026</v>
      </c>
      <c r="J1409" t="str">
        <f>("09/03/2026")</f>
        <v>09/03/2026</v>
      </c>
      <c r="K1409" t="str">
        <f>("11/03/2026")</f>
        <v>11/03/2026</v>
      </c>
      <c r="L1409">
        <v>20</v>
      </c>
      <c r="M1409">
        <v>20</v>
      </c>
      <c r="N1409">
        <v>109</v>
      </c>
      <c r="O1409" t="str">
        <f>"PAGAMENTO DE ENTREGADORES"</f>
        <v>PAGAMENTO DE ENTREGADORES</v>
      </c>
      <c r="P1409">
        <v>20</v>
      </c>
      <c r="S1409" t="str">
        <f>"CAIXA MOVIMENTAÇÃO OPERACIONAL (132)"</f>
        <v>CAIXA MOVIMENTAÇÃO OPERACIONAL (132)</v>
      </c>
      <c r="T1409">
        <v>30497</v>
      </c>
      <c r="U1409">
        <v>34769</v>
      </c>
      <c r="V1409" t="s">
        <v>22</v>
      </c>
    </row>
    <row r="1410" spans="1:22">
      <c r="A1410" t="str">
        <f t="shared" si="267"/>
        <v>11/03/2026</v>
      </c>
      <c r="B1410" t="str">
        <f>"SAÍDA"</f>
        <v>SAÍDA</v>
      </c>
      <c r="C1410" t="str">
        <f>"PIX"</f>
        <v>PIX</v>
      </c>
      <c r="D1410" t="str">
        <f>"34252"</f>
        <v>34252</v>
      </c>
      <c r="E1410" t="str">
        <f>"1"</f>
        <v>1</v>
      </c>
      <c r="F1410" t="str">
        <f t="shared" ref="F1410:F1473" si="268">"COM"</f>
        <v>COM</v>
      </c>
      <c r="G1410" t="str">
        <f>"GUILHERME DA SILVA GOMES (901)"</f>
        <v>GUILHERME DA SILVA GOMES (901)</v>
      </c>
      <c r="H1410" t="s">
        <v>518</v>
      </c>
      <c r="I1410" t="str">
        <f>("12/03/2026")</f>
        <v>12/03/2026</v>
      </c>
      <c r="J1410" t="str">
        <f>("09/03/2026")</f>
        <v>09/03/2026</v>
      </c>
      <c r="K1410">
        <v>46092</v>
      </c>
      <c r="N1410">
        <v>109</v>
      </c>
      <c r="O1410" t="s">
        <v>27</v>
      </c>
      <c r="Q1410">
        <v>20</v>
      </c>
      <c r="R1410" t="str">
        <f>"DROGARIA AGAPEAMA (10167)"</f>
        <v>DROGARIA AGAPEAMA (10167)</v>
      </c>
      <c r="S1410" t="s">
        <v>22</v>
      </c>
      <c r="T1410">
        <v>30497</v>
      </c>
      <c r="U1410">
        <v>34769</v>
      </c>
      <c r="V1410" t="s">
        <v>22</v>
      </c>
    </row>
    <row r="1411" spans="1:22">
      <c r="A1411" t="str">
        <f t="shared" si="267"/>
        <v>11/03/2026</v>
      </c>
      <c r="B1411" t="str">
        <f>"ENTRADA"</f>
        <v>ENTRADA</v>
      </c>
      <c r="C1411" t="str">
        <f>"DINHEIRO"</f>
        <v>DINHEIRO</v>
      </c>
      <c r="D1411" t="str">
        <f>"901"</f>
        <v>901</v>
      </c>
      <c r="E1411" t="str">
        <f>"6"</f>
        <v>6</v>
      </c>
      <c r="F1411" t="str">
        <f t="shared" si="268"/>
        <v>COM</v>
      </c>
      <c r="G1411" t="str">
        <f>"GUILHERME DA SILVA GOMES (901)"</f>
        <v>GUILHERME DA SILVA GOMES (901)</v>
      </c>
      <c r="H1411" t="str">
        <f>"COTAS COOPERATIVA"</f>
        <v>COTAS COOPERATIVA</v>
      </c>
      <c r="I1411" t="str">
        <f>("10/03/2026")</f>
        <v>10/03/2026</v>
      </c>
      <c r="J1411" t="str">
        <f>("11/09/2025")</f>
        <v>11/09/2025</v>
      </c>
      <c r="K1411" t="str">
        <f>("11/03/2026")</f>
        <v>11/03/2026</v>
      </c>
      <c r="L1411">
        <v>20</v>
      </c>
      <c r="M1411">
        <v>20</v>
      </c>
      <c r="N1411">
        <v>106</v>
      </c>
      <c r="O1411" t="str">
        <f>"ENTRADA DE CAPITAL"</f>
        <v>ENTRADA DE CAPITAL</v>
      </c>
      <c r="P1411">
        <v>20</v>
      </c>
      <c r="S1411" t="str">
        <f>"ENTRADA DE CAPITAL (106)"</f>
        <v>ENTRADA DE CAPITAL (106)</v>
      </c>
      <c r="T1411">
        <v>30498</v>
      </c>
      <c r="U1411">
        <v>23287</v>
      </c>
      <c r="V1411" t="s">
        <v>22</v>
      </c>
    </row>
    <row r="1412" spans="1:22">
      <c r="A1412" t="str">
        <f t="shared" si="267"/>
        <v>11/03/2026</v>
      </c>
      <c r="B1412" t="str">
        <f>"ENTRADA"</f>
        <v>ENTRADA</v>
      </c>
      <c r="C1412" t="str">
        <f>"DINHEIRO"</f>
        <v>DINHEIRO</v>
      </c>
      <c r="D1412" t="str">
        <f>"901"</f>
        <v>901</v>
      </c>
      <c r="E1412" t="str">
        <f>"6"</f>
        <v>6</v>
      </c>
      <c r="F1412" t="str">
        <f t="shared" si="268"/>
        <v>COM</v>
      </c>
      <c r="G1412" t="str">
        <f>"GUILHERME DA SILVA GOMES (901)"</f>
        <v>GUILHERME DA SILVA GOMES (901)</v>
      </c>
      <c r="H1412" t="s">
        <v>430</v>
      </c>
      <c r="I1412" t="str">
        <f>("10/03/2026")</f>
        <v>10/03/2026</v>
      </c>
      <c r="J1412" t="str">
        <f>("11/09/2025")</f>
        <v>11/09/2025</v>
      </c>
      <c r="K1412">
        <v>46092</v>
      </c>
      <c r="N1412">
        <v>106</v>
      </c>
      <c r="O1412" t="s">
        <v>98</v>
      </c>
      <c r="Q1412">
        <v>20</v>
      </c>
      <c r="R1412" t="str">
        <f>"GUILHERME DA SILVA GOMES (901)"</f>
        <v>GUILHERME DA SILVA GOMES (901)</v>
      </c>
      <c r="S1412" t="s">
        <v>99</v>
      </c>
      <c r="T1412">
        <v>30498</v>
      </c>
      <c r="U1412">
        <v>23287</v>
      </c>
      <c r="V1412" t="s">
        <v>22</v>
      </c>
    </row>
    <row r="1413" spans="1:22">
      <c r="A1413" t="str">
        <f t="shared" si="267"/>
        <v>11/03/2026</v>
      </c>
      <c r="B1413" t="str">
        <f>"SAÍDA"</f>
        <v>SAÍDA</v>
      </c>
      <c r="C1413" t="str">
        <f>"PIX"</f>
        <v>PIX</v>
      </c>
      <c r="D1413" t="str">
        <f>"34249"</f>
        <v>34249</v>
      </c>
      <c r="E1413" t="str">
        <f>"1"</f>
        <v>1</v>
      </c>
      <c r="F1413" t="str">
        <f t="shared" si="268"/>
        <v>COM</v>
      </c>
      <c r="G1413" t="str">
        <f>"JHON CARLOS DOS SANTOS LIMA (995)"</f>
        <v>JHON CARLOS DOS SANTOS LIMA (995)</v>
      </c>
      <c r="H1413" t="str">
        <f>"Serv.Prest. 02/03/2026 a 08/03/2026 - PIX: CELULAR - CHAVE: (71) 98124-7946"</f>
        <v>Serv.Prest. 02/03/2026 a 08/03/2026 - PIX: CELULAR - CHAVE: (71) 98124-7946</v>
      </c>
      <c r="I1413" t="str">
        <f>("12/03/2026")</f>
        <v>12/03/2026</v>
      </c>
      <c r="J1413" t="str">
        <f>("09/03/2026")</f>
        <v>09/03/2026</v>
      </c>
      <c r="K1413" t="str">
        <f>("11/03/2026")</f>
        <v>11/03/2026</v>
      </c>
      <c r="L1413">
        <v>20</v>
      </c>
      <c r="M1413">
        <v>20</v>
      </c>
      <c r="N1413">
        <v>109</v>
      </c>
      <c r="O1413" t="str">
        <f>"PAGAMENTO DE ENTREGADORES"</f>
        <v>PAGAMENTO DE ENTREGADORES</v>
      </c>
      <c r="P1413">
        <v>20</v>
      </c>
      <c r="S1413" t="str">
        <f>"CAIXA MOVIMENTAÇÃO OPERACIONAL (132)"</f>
        <v>CAIXA MOVIMENTAÇÃO OPERACIONAL (132)</v>
      </c>
      <c r="T1413">
        <v>30499</v>
      </c>
      <c r="U1413">
        <v>34770</v>
      </c>
      <c r="V1413" t="s">
        <v>22</v>
      </c>
    </row>
    <row r="1414" spans="1:22">
      <c r="A1414" t="str">
        <f t="shared" si="267"/>
        <v>11/03/2026</v>
      </c>
      <c r="B1414" t="str">
        <f>"SAÍDA"</f>
        <v>SAÍDA</v>
      </c>
      <c r="C1414" t="str">
        <f>"PIX"</f>
        <v>PIX</v>
      </c>
      <c r="D1414" t="str">
        <f>"34249"</f>
        <v>34249</v>
      </c>
      <c r="E1414" t="str">
        <f>"1"</f>
        <v>1</v>
      </c>
      <c r="F1414" t="str">
        <f t="shared" si="268"/>
        <v>COM</v>
      </c>
      <c r="G1414" t="str">
        <f>"JHON CARLOS DOS SANTOS LIMA (995)"</f>
        <v>JHON CARLOS DOS SANTOS LIMA (995)</v>
      </c>
      <c r="H1414" t="s">
        <v>519</v>
      </c>
      <c r="I1414" t="str">
        <f>("12/03/2026")</f>
        <v>12/03/2026</v>
      </c>
      <c r="J1414" t="str">
        <f>("09/03/2026")</f>
        <v>09/03/2026</v>
      </c>
      <c r="K1414">
        <v>46092</v>
      </c>
      <c r="N1414">
        <v>109</v>
      </c>
      <c r="O1414" t="s">
        <v>27</v>
      </c>
      <c r="Q1414">
        <v>20</v>
      </c>
      <c r="R1414" t="str">
        <f>"DELTA LOJA 2 (10123)"</f>
        <v>DELTA LOJA 2 (10123)</v>
      </c>
      <c r="S1414" t="s">
        <v>22</v>
      </c>
      <c r="T1414">
        <v>30499</v>
      </c>
      <c r="U1414">
        <v>34770</v>
      </c>
      <c r="V1414" t="s">
        <v>22</v>
      </c>
    </row>
    <row r="1415" spans="1:22">
      <c r="A1415" t="str">
        <f t="shared" si="267"/>
        <v>11/03/2026</v>
      </c>
      <c r="B1415" t="str">
        <f>"ENTRADA"</f>
        <v>ENTRADA</v>
      </c>
      <c r="C1415" t="str">
        <f>"DINHEIRO"</f>
        <v>DINHEIRO</v>
      </c>
      <c r="D1415" t="str">
        <f>"10122025"</f>
        <v>10122025</v>
      </c>
      <c r="E1415" t="str">
        <f>"4"</f>
        <v>4</v>
      </c>
      <c r="F1415" t="str">
        <f t="shared" si="268"/>
        <v>COM</v>
      </c>
      <c r="G1415" t="str">
        <f>"JHON CARLOS DOS SANTOS LIMA (995)"</f>
        <v>JHON CARLOS DOS SANTOS LIMA (995)</v>
      </c>
      <c r="H1415" t="str">
        <f>"COTA COOPERATIVA "</f>
        <v xml:space="preserve">COTA COOPERATIVA </v>
      </c>
      <c r="I1415" t="str">
        <f>("10/03/2026")</f>
        <v>10/03/2026</v>
      </c>
      <c r="J1415" t="str">
        <f>("13/10/2025")</f>
        <v>13/10/2025</v>
      </c>
      <c r="K1415" t="str">
        <f>("11/03/2026")</f>
        <v>11/03/2026</v>
      </c>
      <c r="L1415">
        <v>20</v>
      </c>
      <c r="M1415">
        <v>20</v>
      </c>
      <c r="N1415">
        <v>106</v>
      </c>
      <c r="O1415" t="str">
        <f>"ENTRADA DE CAPITAL"</f>
        <v>ENTRADA DE CAPITAL</v>
      </c>
      <c r="P1415">
        <v>20</v>
      </c>
      <c r="S1415" t="str">
        <f>"ENTRADA DE CAPITAL (106)"</f>
        <v>ENTRADA DE CAPITAL (106)</v>
      </c>
      <c r="T1415">
        <v>30500</v>
      </c>
      <c r="U1415">
        <v>27606</v>
      </c>
      <c r="V1415" t="s">
        <v>22</v>
      </c>
    </row>
    <row r="1416" spans="1:22">
      <c r="A1416" t="str">
        <f t="shared" si="267"/>
        <v>11/03/2026</v>
      </c>
      <c r="B1416" t="str">
        <f>"ENTRADA"</f>
        <v>ENTRADA</v>
      </c>
      <c r="C1416" t="str">
        <f>"DINHEIRO"</f>
        <v>DINHEIRO</v>
      </c>
      <c r="D1416" t="str">
        <f>"10122025"</f>
        <v>10122025</v>
      </c>
      <c r="E1416" t="str">
        <f>"4"</f>
        <v>4</v>
      </c>
      <c r="F1416" t="str">
        <f t="shared" si="268"/>
        <v>COM</v>
      </c>
      <c r="G1416" t="str">
        <f>"JHON CARLOS DOS SANTOS LIMA (995)"</f>
        <v>JHON CARLOS DOS SANTOS LIMA (995)</v>
      </c>
      <c r="H1416" t="s">
        <v>520</v>
      </c>
      <c r="I1416" t="str">
        <f>("10/03/2026")</f>
        <v>10/03/2026</v>
      </c>
      <c r="J1416" t="str">
        <f>("13/10/2025")</f>
        <v>13/10/2025</v>
      </c>
      <c r="K1416">
        <v>46092</v>
      </c>
      <c r="N1416">
        <v>106</v>
      </c>
      <c r="O1416" t="s">
        <v>98</v>
      </c>
      <c r="Q1416">
        <v>20</v>
      </c>
      <c r="R1416" t="str">
        <f>"JHON CARLOS DOS SANTOS LIMA (995)"</f>
        <v>JHON CARLOS DOS SANTOS LIMA (995)</v>
      </c>
      <c r="S1416" t="s">
        <v>99</v>
      </c>
      <c r="T1416">
        <v>30500</v>
      </c>
      <c r="U1416">
        <v>27606</v>
      </c>
      <c r="V1416" t="s">
        <v>22</v>
      </c>
    </row>
    <row r="1417" spans="1:22">
      <c r="A1417" t="str">
        <f t="shared" si="267"/>
        <v>11/03/2026</v>
      </c>
      <c r="B1417" t="str">
        <f>"SAÍDA"</f>
        <v>SAÍDA</v>
      </c>
      <c r="C1417" t="str">
        <f>"PIX"</f>
        <v>PIX</v>
      </c>
      <c r="D1417" t="str">
        <f>"34319"</f>
        <v>34319</v>
      </c>
      <c r="E1417" t="str">
        <f>"1"</f>
        <v>1</v>
      </c>
      <c r="F1417" t="str">
        <f t="shared" si="268"/>
        <v>COM</v>
      </c>
      <c r="G1417" t="str">
        <f>"ANNIELLE CRISTIANE SILVA BARBOSA GOMES (1228)"</f>
        <v>ANNIELLE CRISTIANE SILVA BARBOSA GOMES (1228)</v>
      </c>
      <c r="H1417" t="str">
        <f>"Serv.Prest. 02/03/2026 a 08/03/2026 - PIX: CPF - CHAVE: 034.458.495-01"</f>
        <v>Serv.Prest. 02/03/2026 a 08/03/2026 - PIX: CPF - CHAVE: 034.458.495-01</v>
      </c>
      <c r="I1417" t="str">
        <f>("12/03/2026")</f>
        <v>12/03/2026</v>
      </c>
      <c r="J1417" t="str">
        <f>("09/03/2026")</f>
        <v>09/03/2026</v>
      </c>
      <c r="K1417" t="str">
        <f>("11/03/2026")</f>
        <v>11/03/2026</v>
      </c>
      <c r="L1417">
        <v>20</v>
      </c>
      <c r="M1417">
        <v>20</v>
      </c>
      <c r="N1417">
        <v>109</v>
      </c>
      <c r="O1417" t="str">
        <f>"PAGAMENTO DE ENTREGADORES"</f>
        <v>PAGAMENTO DE ENTREGADORES</v>
      </c>
      <c r="P1417">
        <v>20</v>
      </c>
      <c r="S1417" t="str">
        <f>"CAIXA MOVIMENTAÇÃO OPERACIONAL (132)"</f>
        <v>CAIXA MOVIMENTAÇÃO OPERACIONAL (132)</v>
      </c>
      <c r="T1417">
        <v>30501</v>
      </c>
      <c r="U1417">
        <v>34771</v>
      </c>
      <c r="V1417" t="s">
        <v>22</v>
      </c>
    </row>
    <row r="1418" spans="1:22">
      <c r="A1418" t="str">
        <f t="shared" si="267"/>
        <v>11/03/2026</v>
      </c>
      <c r="B1418" t="str">
        <f>"SAÍDA"</f>
        <v>SAÍDA</v>
      </c>
      <c r="C1418" t="str">
        <f>"PIX"</f>
        <v>PIX</v>
      </c>
      <c r="D1418" t="str">
        <f>"34319"</f>
        <v>34319</v>
      </c>
      <c r="E1418" t="str">
        <f>"1"</f>
        <v>1</v>
      </c>
      <c r="F1418" t="str">
        <f t="shared" si="268"/>
        <v>COM</v>
      </c>
      <c r="G1418" t="str">
        <f>"ANNIELLE CRISTIANE SILVA BARBOSA GOMES (1228)"</f>
        <v>ANNIELLE CRISTIANE SILVA BARBOSA GOMES (1228)</v>
      </c>
      <c r="H1418" t="s">
        <v>521</v>
      </c>
      <c r="I1418" t="str">
        <f>("12/03/2026")</f>
        <v>12/03/2026</v>
      </c>
      <c r="J1418" t="str">
        <f>("09/03/2026")</f>
        <v>09/03/2026</v>
      </c>
      <c r="K1418">
        <v>46092</v>
      </c>
      <c r="N1418">
        <v>109</v>
      </c>
      <c r="O1418" t="s">
        <v>27</v>
      </c>
      <c r="Q1418">
        <v>20</v>
      </c>
      <c r="R1418" t="str">
        <f>"BEM TE FAZ LOJA 7 (10285)"</f>
        <v>BEM TE FAZ LOJA 7 (10285)</v>
      </c>
      <c r="S1418" t="s">
        <v>22</v>
      </c>
      <c r="T1418">
        <v>30501</v>
      </c>
      <c r="U1418">
        <v>34771</v>
      </c>
      <c r="V1418" t="s">
        <v>22</v>
      </c>
    </row>
    <row r="1419" spans="1:22">
      <c r="A1419" t="str">
        <f t="shared" si="267"/>
        <v>11/03/2026</v>
      </c>
      <c r="B1419" t="str">
        <f>"ENTRADA"</f>
        <v>ENTRADA</v>
      </c>
      <c r="C1419" t="str">
        <f>"DINHEIRO"</f>
        <v>DINHEIRO</v>
      </c>
      <c r="D1419" t="str">
        <f>"11022026"</f>
        <v>11022026</v>
      </c>
      <c r="E1419" t="str">
        <f>"2"</f>
        <v>2</v>
      </c>
      <c r="F1419" t="str">
        <f t="shared" si="268"/>
        <v>COM</v>
      </c>
      <c r="G1419" t="str">
        <f>"ANNIELLE CRISTIANE SILVA BARBOSA GOMES (1228)"</f>
        <v>ANNIELLE CRISTIANE SILVA BARBOSA GOMES (1228)</v>
      </c>
      <c r="H1419" t="str">
        <f>"COTA COOPERATIVA"</f>
        <v>COTA COOPERATIVA</v>
      </c>
      <c r="I1419" t="str">
        <f>("11/03/2026")</f>
        <v>11/03/2026</v>
      </c>
      <c r="J1419" t="str">
        <f>("11/02/2026")</f>
        <v>11/02/2026</v>
      </c>
      <c r="K1419" t="str">
        <f>("11/03/2026")</f>
        <v>11/03/2026</v>
      </c>
      <c r="L1419">
        <v>20</v>
      </c>
      <c r="M1419">
        <v>20</v>
      </c>
      <c r="N1419">
        <v>106</v>
      </c>
      <c r="O1419" t="str">
        <f>"ENTRADA DE CAPITAL"</f>
        <v>ENTRADA DE CAPITAL</v>
      </c>
      <c r="P1419">
        <v>20</v>
      </c>
      <c r="S1419" t="str">
        <f>"ENTRADA DE CAPITAL (106)"</f>
        <v>ENTRADA DE CAPITAL (106)</v>
      </c>
      <c r="T1419">
        <v>30502</v>
      </c>
      <c r="U1419">
        <v>32682</v>
      </c>
      <c r="V1419" t="s">
        <v>22</v>
      </c>
    </row>
    <row r="1420" spans="1:22">
      <c r="A1420" t="str">
        <f t="shared" si="267"/>
        <v>11/03/2026</v>
      </c>
      <c r="B1420" t="str">
        <f>"ENTRADA"</f>
        <v>ENTRADA</v>
      </c>
      <c r="C1420" t="str">
        <f>"DINHEIRO"</f>
        <v>DINHEIRO</v>
      </c>
      <c r="D1420" t="str">
        <f>"11022026"</f>
        <v>11022026</v>
      </c>
      <c r="E1420" t="str">
        <f>"2"</f>
        <v>2</v>
      </c>
      <c r="F1420" t="str">
        <f t="shared" si="268"/>
        <v>COM</v>
      </c>
      <c r="G1420" t="str">
        <f>"ANNIELLE CRISTIANE SILVA BARBOSA GOMES (1228)"</f>
        <v>ANNIELLE CRISTIANE SILVA BARBOSA GOMES (1228)</v>
      </c>
      <c r="H1420" t="s">
        <v>97</v>
      </c>
      <c r="I1420" t="str">
        <f>("11/03/2026")</f>
        <v>11/03/2026</v>
      </c>
      <c r="J1420" t="str">
        <f>("11/02/2026")</f>
        <v>11/02/2026</v>
      </c>
      <c r="K1420">
        <v>46092</v>
      </c>
      <c r="N1420">
        <v>106</v>
      </c>
      <c r="O1420" t="s">
        <v>98</v>
      </c>
      <c r="Q1420">
        <v>20</v>
      </c>
      <c r="R1420" t="str">
        <f>"ANNIELLE CRISTIANE SILVA BARBOSA GOMES (1228)"</f>
        <v>ANNIELLE CRISTIANE SILVA BARBOSA GOMES (1228)</v>
      </c>
      <c r="S1420" t="s">
        <v>99</v>
      </c>
      <c r="T1420">
        <v>30502</v>
      </c>
      <c r="U1420">
        <v>32682</v>
      </c>
      <c r="V1420" t="s">
        <v>22</v>
      </c>
    </row>
    <row r="1421" spans="1:22">
      <c r="A1421" t="str">
        <f t="shared" si="267"/>
        <v>11/03/2026</v>
      </c>
      <c r="B1421" t="str">
        <f>"ENTRADA"</f>
        <v>ENTRADA</v>
      </c>
      <c r="C1421" t="str">
        <f>"DINHEIRO"</f>
        <v>DINHEIRO</v>
      </c>
      <c r="D1421" t="str">
        <f>"11022026"</f>
        <v>11022026</v>
      </c>
      <c r="E1421" t="str">
        <f>"2"</f>
        <v>2</v>
      </c>
      <c r="F1421" t="str">
        <f t="shared" si="268"/>
        <v>COM</v>
      </c>
      <c r="G1421" t="str">
        <f>"MICHEL AFONSO BRITO CORREIA (1167)"</f>
        <v>MICHEL AFONSO BRITO CORREIA (1167)</v>
      </c>
      <c r="H1421" t="str">
        <f>"COTA COOPERATIVA"</f>
        <v>COTA COOPERATIVA</v>
      </c>
      <c r="I1421" t="str">
        <f>("11/03/2026")</f>
        <v>11/03/2026</v>
      </c>
      <c r="J1421" t="str">
        <f>("11/02/2026")</f>
        <v>11/02/2026</v>
      </c>
      <c r="K1421" t="str">
        <f>("11/03/2026")</f>
        <v>11/03/2026</v>
      </c>
      <c r="L1421">
        <v>20</v>
      </c>
      <c r="M1421">
        <v>20</v>
      </c>
      <c r="N1421">
        <v>106</v>
      </c>
      <c r="O1421" t="str">
        <f>"ENTRADA DE CAPITAL"</f>
        <v>ENTRADA DE CAPITAL</v>
      </c>
      <c r="P1421">
        <v>20</v>
      </c>
      <c r="S1421" t="str">
        <f>"ENTRADA DE CAPITAL (106)"</f>
        <v>ENTRADA DE CAPITAL (106)</v>
      </c>
      <c r="T1421">
        <v>30503</v>
      </c>
      <c r="U1421">
        <v>32707</v>
      </c>
      <c r="V1421" t="s">
        <v>22</v>
      </c>
    </row>
    <row r="1422" spans="1:22">
      <c r="A1422" t="str">
        <f t="shared" si="267"/>
        <v>11/03/2026</v>
      </c>
      <c r="B1422" t="str">
        <f>"ENTRADA"</f>
        <v>ENTRADA</v>
      </c>
      <c r="C1422" t="str">
        <f>"DINHEIRO"</f>
        <v>DINHEIRO</v>
      </c>
      <c r="D1422" t="str">
        <f>"11022026"</f>
        <v>11022026</v>
      </c>
      <c r="E1422" t="str">
        <f>"2"</f>
        <v>2</v>
      </c>
      <c r="F1422" t="str">
        <f t="shared" si="268"/>
        <v>COM</v>
      </c>
      <c r="G1422" t="str">
        <f>"MICHEL AFONSO BRITO CORREIA (1167)"</f>
        <v>MICHEL AFONSO BRITO CORREIA (1167)</v>
      </c>
      <c r="H1422" t="s">
        <v>97</v>
      </c>
      <c r="I1422" t="str">
        <f>("11/03/2026")</f>
        <v>11/03/2026</v>
      </c>
      <c r="J1422" t="str">
        <f>("11/02/2026")</f>
        <v>11/02/2026</v>
      </c>
      <c r="K1422">
        <v>46092</v>
      </c>
      <c r="N1422">
        <v>106</v>
      </c>
      <c r="O1422" t="s">
        <v>98</v>
      </c>
      <c r="Q1422">
        <v>20</v>
      </c>
      <c r="R1422" t="str">
        <f>"MICHEL AFONSO BRITO CORREIA (1167)"</f>
        <v>MICHEL AFONSO BRITO CORREIA (1167)</v>
      </c>
      <c r="S1422" t="s">
        <v>99</v>
      </c>
      <c r="T1422">
        <v>30503</v>
      </c>
      <c r="U1422">
        <v>32707</v>
      </c>
      <c r="V1422" t="s">
        <v>22</v>
      </c>
    </row>
    <row r="1423" spans="1:22">
      <c r="A1423" t="str">
        <f t="shared" si="267"/>
        <v>11/03/2026</v>
      </c>
      <c r="B1423" t="str">
        <f>"SAÍDA"</f>
        <v>SAÍDA</v>
      </c>
      <c r="C1423" t="str">
        <f>"PIX"</f>
        <v>PIX</v>
      </c>
      <c r="D1423" t="str">
        <f>"34342"</f>
        <v>34342</v>
      </c>
      <c r="E1423" t="str">
        <f>"1"</f>
        <v>1</v>
      </c>
      <c r="F1423" t="str">
        <f t="shared" si="268"/>
        <v>COM</v>
      </c>
      <c r="G1423" t="str">
        <f>"MICHEL AFONSO BRITO CORREIA (1167)"</f>
        <v>MICHEL AFONSO BRITO CORREIA (1167)</v>
      </c>
      <c r="H1423" t="str">
        <f>"Serv.Prest. 02/03/2026 a 08/03/2026 - PIX: CELULAR - CHAVE: (19) 97145-1624"</f>
        <v>Serv.Prest. 02/03/2026 a 08/03/2026 - PIX: CELULAR - CHAVE: (19) 97145-1624</v>
      </c>
      <c r="I1423" t="str">
        <f t="shared" ref="I1423:I1451" si="269">("12/03/2026")</f>
        <v>12/03/2026</v>
      </c>
      <c r="J1423" t="str">
        <f>("09/03/2026")</f>
        <v>09/03/2026</v>
      </c>
      <c r="K1423" t="str">
        <f>("11/03/2026")</f>
        <v>11/03/2026</v>
      </c>
      <c r="L1423">
        <v>20</v>
      </c>
      <c r="M1423">
        <v>20</v>
      </c>
      <c r="N1423">
        <v>109</v>
      </c>
      <c r="O1423" t="str">
        <f>"PAGAMENTO DE ENTREGADORES"</f>
        <v>PAGAMENTO DE ENTREGADORES</v>
      </c>
      <c r="P1423">
        <v>20</v>
      </c>
      <c r="S1423" t="str">
        <f>"CAIXA MOVIMENTAÇÃO OPERACIONAL (132)"</f>
        <v>CAIXA MOVIMENTAÇÃO OPERACIONAL (132)</v>
      </c>
      <c r="T1423">
        <v>30504</v>
      </c>
      <c r="U1423">
        <v>34772</v>
      </c>
      <c r="V1423" t="s">
        <v>22</v>
      </c>
    </row>
    <row r="1424" spans="1:22">
      <c r="A1424" t="str">
        <f t="shared" si="267"/>
        <v>11/03/2026</v>
      </c>
      <c r="B1424" t="str">
        <f>"SAÍDA"</f>
        <v>SAÍDA</v>
      </c>
      <c r="C1424" t="str">
        <f>"PIX"</f>
        <v>PIX</v>
      </c>
      <c r="D1424" t="str">
        <f>"34342"</f>
        <v>34342</v>
      </c>
      <c r="E1424" t="str">
        <f>"1"</f>
        <v>1</v>
      </c>
      <c r="F1424" t="str">
        <f t="shared" si="268"/>
        <v>COM</v>
      </c>
      <c r="G1424" t="str">
        <f>"MICHEL AFONSO BRITO CORREIA (1167)"</f>
        <v>MICHEL AFONSO BRITO CORREIA (1167)</v>
      </c>
      <c r="H1424" t="s">
        <v>522</v>
      </c>
      <c r="I1424" t="str">
        <f t="shared" si="269"/>
        <v>12/03/2026</v>
      </c>
      <c r="J1424" t="str">
        <f>("09/03/2026")</f>
        <v>09/03/2026</v>
      </c>
      <c r="K1424">
        <v>46092</v>
      </c>
      <c r="N1424">
        <v>109</v>
      </c>
      <c r="O1424" t="s">
        <v>27</v>
      </c>
      <c r="Q1424">
        <v>20</v>
      </c>
      <c r="R1424" t="str">
        <f>"BEM TE FAZ LOJA 7 (10285)"</f>
        <v>BEM TE FAZ LOJA 7 (10285)</v>
      </c>
      <c r="S1424" t="s">
        <v>22</v>
      </c>
      <c r="T1424">
        <v>30504</v>
      </c>
      <c r="U1424">
        <v>34772</v>
      </c>
      <c r="V1424" t="s">
        <v>22</v>
      </c>
    </row>
    <row r="1425" spans="1:22">
      <c r="A1425" t="str">
        <f t="shared" si="267"/>
        <v>11/03/2026</v>
      </c>
      <c r="B1425" t="str">
        <f>"SAÍDA"</f>
        <v>SAÍDA</v>
      </c>
      <c r="C1425" t="str">
        <f>"PIX"</f>
        <v>PIX</v>
      </c>
      <c r="D1425" t="str">
        <f>"34245"</f>
        <v>34245</v>
      </c>
      <c r="E1425" t="str">
        <f>"1"</f>
        <v>1</v>
      </c>
      <c r="F1425" t="str">
        <f t="shared" si="268"/>
        <v>COM</v>
      </c>
      <c r="G1425" t="str">
        <f>"ALBERTO FARIAS DOS SANTOS JUNIOR (800)"</f>
        <v>ALBERTO FARIAS DOS SANTOS JUNIOR (800)</v>
      </c>
      <c r="H1425" t="str">
        <f>"Serv.Prest. 02/03/2026 a 08/03/2026 - PIX: CELULAR - CHAVE: (71) 99696-7530"</f>
        <v>Serv.Prest. 02/03/2026 a 08/03/2026 - PIX: CELULAR - CHAVE: (71) 99696-7530</v>
      </c>
      <c r="I1425" t="str">
        <f t="shared" si="269"/>
        <v>12/03/2026</v>
      </c>
      <c r="J1425" t="str">
        <f>("09/03/2026")</f>
        <v>09/03/2026</v>
      </c>
      <c r="K1425" t="str">
        <f>("11/03/2026")</f>
        <v>11/03/2026</v>
      </c>
      <c r="L1425">
        <v>20</v>
      </c>
      <c r="M1425">
        <v>20</v>
      </c>
      <c r="N1425">
        <v>109</v>
      </c>
      <c r="O1425" t="str">
        <f>"PAGAMENTO DE ENTREGADORES"</f>
        <v>PAGAMENTO DE ENTREGADORES</v>
      </c>
      <c r="P1425">
        <v>20</v>
      </c>
      <c r="S1425" t="str">
        <f>"CAIXA MOVIMENTAÇÃO OPERACIONAL (132)"</f>
        <v>CAIXA MOVIMENTAÇÃO OPERACIONAL (132)</v>
      </c>
      <c r="T1425">
        <v>30505</v>
      </c>
      <c r="U1425">
        <v>34773</v>
      </c>
      <c r="V1425" t="s">
        <v>22</v>
      </c>
    </row>
    <row r="1426" spans="1:22">
      <c r="A1426" t="str">
        <f t="shared" si="267"/>
        <v>11/03/2026</v>
      </c>
      <c r="B1426" t="str">
        <f>"SAÍDA"</f>
        <v>SAÍDA</v>
      </c>
      <c r="C1426" t="str">
        <f>"PIX"</f>
        <v>PIX</v>
      </c>
      <c r="D1426" t="str">
        <f>"34245"</f>
        <v>34245</v>
      </c>
      <c r="E1426" t="str">
        <f>"1"</f>
        <v>1</v>
      </c>
      <c r="F1426" t="str">
        <f t="shared" si="268"/>
        <v>COM</v>
      </c>
      <c r="G1426" t="str">
        <f>"ALBERTO FARIAS DOS SANTOS JUNIOR (800)"</f>
        <v>ALBERTO FARIAS DOS SANTOS JUNIOR (800)</v>
      </c>
      <c r="H1426" t="s">
        <v>523</v>
      </c>
      <c r="I1426" t="str">
        <f t="shared" si="269"/>
        <v>12/03/2026</v>
      </c>
      <c r="J1426" t="str">
        <f>("09/03/2026")</f>
        <v>09/03/2026</v>
      </c>
      <c r="K1426">
        <v>46092</v>
      </c>
      <c r="N1426">
        <v>109</v>
      </c>
      <c r="O1426" t="s">
        <v>27</v>
      </c>
      <c r="Q1426">
        <v>20</v>
      </c>
      <c r="R1426" t="str">
        <f>"DELTA LOJA 2 (10123)"</f>
        <v>DELTA LOJA 2 (10123)</v>
      </c>
      <c r="S1426" t="s">
        <v>22</v>
      </c>
      <c r="T1426">
        <v>30505</v>
      </c>
      <c r="U1426">
        <v>34773</v>
      </c>
      <c r="V1426" t="s">
        <v>22</v>
      </c>
    </row>
    <row r="1427" spans="1:22">
      <c r="A1427" t="str">
        <f t="shared" si="267"/>
        <v>11/03/2026</v>
      </c>
      <c r="B1427" t="str">
        <f>"ENTRADA"</f>
        <v>ENTRADA</v>
      </c>
      <c r="C1427" t="str">
        <f>"DINHEIRO"</f>
        <v>DINHEIRO</v>
      </c>
      <c r="D1427" t="str">
        <f>"800"</f>
        <v>800</v>
      </c>
      <c r="E1427" t="str">
        <f>"10"</f>
        <v>10</v>
      </c>
      <c r="F1427" t="str">
        <f t="shared" si="268"/>
        <v>COM</v>
      </c>
      <c r="G1427" t="str">
        <f>"ALBERTO FARIAS DOS SANTOS JUNIOR (800)"</f>
        <v>ALBERTO FARIAS DOS SANTOS JUNIOR (800)</v>
      </c>
      <c r="H1427" t="str">
        <f>"COTA COOPERATIVA"</f>
        <v>COTA COOPERATIVA</v>
      </c>
      <c r="I1427" t="str">
        <f t="shared" si="269"/>
        <v>12/03/2026</v>
      </c>
      <c r="J1427" t="str">
        <f>("10/05/2025")</f>
        <v>10/05/2025</v>
      </c>
      <c r="K1427" t="str">
        <f>("11/03/2026")</f>
        <v>11/03/2026</v>
      </c>
      <c r="L1427">
        <v>20</v>
      </c>
      <c r="M1427">
        <v>20</v>
      </c>
      <c r="N1427">
        <v>106</v>
      </c>
      <c r="O1427" t="str">
        <f>"ENTRADA DE CAPITAL"</f>
        <v>ENTRADA DE CAPITAL</v>
      </c>
      <c r="P1427">
        <v>20</v>
      </c>
      <c r="S1427" t="str">
        <f>"ENTRADA DE CAPITAL (106)"</f>
        <v>ENTRADA DE CAPITAL (106)</v>
      </c>
      <c r="T1427">
        <v>30506</v>
      </c>
      <c r="U1427">
        <v>16409</v>
      </c>
      <c r="V1427" t="s">
        <v>22</v>
      </c>
    </row>
    <row r="1428" spans="1:22">
      <c r="A1428" t="str">
        <f t="shared" si="267"/>
        <v>11/03/2026</v>
      </c>
      <c r="B1428" t="str">
        <f>"ENTRADA"</f>
        <v>ENTRADA</v>
      </c>
      <c r="C1428" t="str">
        <f>"DINHEIRO"</f>
        <v>DINHEIRO</v>
      </c>
      <c r="D1428" t="str">
        <f>"800"</f>
        <v>800</v>
      </c>
      <c r="E1428" t="str">
        <f>"10"</f>
        <v>10</v>
      </c>
      <c r="F1428" t="str">
        <f t="shared" si="268"/>
        <v>COM</v>
      </c>
      <c r="G1428" t="str">
        <f>"ALBERTO FARIAS DOS SANTOS JUNIOR (800)"</f>
        <v>ALBERTO FARIAS DOS SANTOS JUNIOR (800)</v>
      </c>
      <c r="H1428" t="s">
        <v>97</v>
      </c>
      <c r="I1428" t="str">
        <f t="shared" si="269"/>
        <v>12/03/2026</v>
      </c>
      <c r="J1428" t="str">
        <f>("10/05/2025")</f>
        <v>10/05/2025</v>
      </c>
      <c r="K1428">
        <v>46092</v>
      </c>
      <c r="N1428">
        <v>106</v>
      </c>
      <c r="O1428" t="s">
        <v>98</v>
      </c>
      <c r="Q1428">
        <v>20</v>
      </c>
      <c r="R1428" t="str">
        <f>"ALBERTO FARIAS DOS SANTOS JUNIOR (800)"</f>
        <v>ALBERTO FARIAS DOS SANTOS JUNIOR (800)</v>
      </c>
      <c r="S1428" t="s">
        <v>99</v>
      </c>
      <c r="T1428">
        <v>30506</v>
      </c>
      <c r="U1428">
        <v>16409</v>
      </c>
      <c r="V1428" t="s">
        <v>22</v>
      </c>
    </row>
    <row r="1429" spans="1:22">
      <c r="A1429" t="str">
        <f t="shared" si="267"/>
        <v>11/03/2026</v>
      </c>
      <c r="B1429" t="str">
        <f>"SAÍDA"</f>
        <v>SAÍDA</v>
      </c>
      <c r="C1429" t="str">
        <f>"PIX"</f>
        <v>PIX</v>
      </c>
      <c r="D1429" t="str">
        <f>"34097"</f>
        <v>34097</v>
      </c>
      <c r="E1429" t="str">
        <f>"1"</f>
        <v>1</v>
      </c>
      <c r="F1429" t="str">
        <f t="shared" si="268"/>
        <v>COM</v>
      </c>
      <c r="G1429" t="str">
        <f>"AMANDA VERÍSSIMO FERREIRA (794)"</f>
        <v>AMANDA VERÍSSIMO FERREIRA (794)</v>
      </c>
      <c r="H1429" t="str">
        <f>"Serv.Prest. 23/02/2026 a 01/03/2026 - PIX: CPF - CHAVE: 099.626.666-60"</f>
        <v>Serv.Prest. 23/02/2026 a 01/03/2026 - PIX: CPF - CHAVE: 099.626.666-60</v>
      </c>
      <c r="I1429" t="str">
        <f t="shared" si="269"/>
        <v>12/03/2026</v>
      </c>
      <c r="J1429" t="str">
        <f>("03/03/2026")</f>
        <v>03/03/2026</v>
      </c>
      <c r="K1429" t="str">
        <f>("11/03/2026")</f>
        <v>11/03/2026</v>
      </c>
      <c r="L1429">
        <v>20</v>
      </c>
      <c r="M1429">
        <v>20</v>
      </c>
      <c r="N1429">
        <v>109</v>
      </c>
      <c r="O1429" t="str">
        <f>"PAGAMENTO DE ENTREGADORES"</f>
        <v>PAGAMENTO DE ENTREGADORES</v>
      </c>
      <c r="P1429">
        <v>20</v>
      </c>
      <c r="S1429" t="str">
        <f>"CAIXA MOVIMENTAÇÃO OPERACIONAL (132)"</f>
        <v>CAIXA MOVIMENTAÇÃO OPERACIONAL (132)</v>
      </c>
      <c r="T1429">
        <v>30507</v>
      </c>
      <c r="U1429">
        <v>34774</v>
      </c>
      <c r="V1429" t="s">
        <v>22</v>
      </c>
    </row>
    <row r="1430" spans="1:22">
      <c r="A1430" t="str">
        <f t="shared" si="267"/>
        <v>11/03/2026</v>
      </c>
      <c r="B1430" t="str">
        <f>"SAÍDA"</f>
        <v>SAÍDA</v>
      </c>
      <c r="C1430" t="str">
        <f>"PIX"</f>
        <v>PIX</v>
      </c>
      <c r="D1430" t="str">
        <f>"34097"</f>
        <v>34097</v>
      </c>
      <c r="E1430" t="str">
        <f>"1"</f>
        <v>1</v>
      </c>
      <c r="F1430" t="str">
        <f t="shared" si="268"/>
        <v>COM</v>
      </c>
      <c r="G1430" t="str">
        <f>"AMANDA VERÍSSIMO FERREIRA (794)"</f>
        <v>AMANDA VERÍSSIMO FERREIRA (794)</v>
      </c>
      <c r="H1430" t="s">
        <v>524</v>
      </c>
      <c r="I1430" t="str">
        <f t="shared" si="269"/>
        <v>12/03/2026</v>
      </c>
      <c r="J1430" t="str">
        <f>("03/03/2026")</f>
        <v>03/03/2026</v>
      </c>
      <c r="K1430">
        <v>46092</v>
      </c>
      <c r="N1430">
        <v>109</v>
      </c>
      <c r="O1430" t="s">
        <v>27</v>
      </c>
      <c r="Q1430">
        <v>12.5</v>
      </c>
      <c r="R1430" t="str">
        <f>"FARMÁCIA INDIANA LJ 97 (10040)"</f>
        <v>FARMÁCIA INDIANA LJ 97 (10040)</v>
      </c>
      <c r="S1430" t="s">
        <v>22</v>
      </c>
      <c r="T1430">
        <v>30507</v>
      </c>
      <c r="U1430">
        <v>34774</v>
      </c>
      <c r="V1430" t="s">
        <v>22</v>
      </c>
    </row>
    <row r="1431" spans="1:22">
      <c r="A1431" t="str">
        <f t="shared" si="267"/>
        <v>11/03/2026</v>
      </c>
      <c r="B1431" t="str">
        <f>"SAÍDA"</f>
        <v>SAÍDA</v>
      </c>
      <c r="C1431" t="str">
        <f>"PIX"</f>
        <v>PIX</v>
      </c>
      <c r="D1431" t="str">
        <f>"34097"</f>
        <v>34097</v>
      </c>
      <c r="E1431" t="str">
        <f>"1"</f>
        <v>1</v>
      </c>
      <c r="F1431" t="str">
        <f t="shared" si="268"/>
        <v>COM</v>
      </c>
      <c r="G1431" t="str">
        <f>"AMANDA VERÍSSIMO FERREIRA (794)"</f>
        <v>AMANDA VERÍSSIMO FERREIRA (794)</v>
      </c>
      <c r="H1431" t="s">
        <v>524</v>
      </c>
      <c r="I1431" t="str">
        <f t="shared" si="269"/>
        <v>12/03/2026</v>
      </c>
      <c r="J1431" t="str">
        <f>("03/03/2026")</f>
        <v>03/03/2026</v>
      </c>
      <c r="K1431">
        <v>46092</v>
      </c>
      <c r="N1431">
        <v>109</v>
      </c>
      <c r="O1431" t="s">
        <v>27</v>
      </c>
      <c r="Q1431">
        <v>7.5</v>
      </c>
      <c r="R1431" t="str">
        <f>"FARMÁCIA INDIANA LJ 143 (10067)"</f>
        <v>FARMÁCIA INDIANA LJ 143 (10067)</v>
      </c>
      <c r="S1431" t="s">
        <v>22</v>
      </c>
      <c r="T1431">
        <v>30507</v>
      </c>
      <c r="U1431">
        <v>34774</v>
      </c>
      <c r="V1431" t="s">
        <v>22</v>
      </c>
    </row>
    <row r="1432" spans="1:22">
      <c r="A1432" t="str">
        <f t="shared" si="267"/>
        <v>11/03/2026</v>
      </c>
      <c r="B1432" t="str">
        <f>"ENTRADA"</f>
        <v>ENTRADA</v>
      </c>
      <c r="C1432" t="str">
        <f>"DINHEIRO"</f>
        <v>DINHEIRO</v>
      </c>
      <c r="D1432" t="str">
        <f>"794"</f>
        <v>794</v>
      </c>
      <c r="E1432" t="str">
        <f>"10"</f>
        <v>10</v>
      </c>
      <c r="F1432" t="str">
        <f t="shared" si="268"/>
        <v>COM</v>
      </c>
      <c r="G1432" t="str">
        <f>"AMANDA VERÍSSIMO FERREIRA (794)"</f>
        <v>AMANDA VERÍSSIMO FERREIRA (794)</v>
      </c>
      <c r="H1432" t="str">
        <f>"COTA COOPERATIVA"</f>
        <v>COTA COOPERATIVA</v>
      </c>
      <c r="I1432" t="str">
        <f t="shared" si="269"/>
        <v>12/03/2026</v>
      </c>
      <c r="J1432" t="str">
        <f>("05/05/2025")</f>
        <v>05/05/2025</v>
      </c>
      <c r="K1432" t="str">
        <f>("11/03/2026")</f>
        <v>11/03/2026</v>
      </c>
      <c r="L1432">
        <v>20</v>
      </c>
      <c r="M1432">
        <v>20</v>
      </c>
      <c r="N1432">
        <v>106</v>
      </c>
      <c r="O1432" t="str">
        <f>"ENTRADA DE CAPITAL"</f>
        <v>ENTRADA DE CAPITAL</v>
      </c>
      <c r="P1432">
        <v>20</v>
      </c>
      <c r="S1432" t="str">
        <f>"ENTRADA DE CAPITAL (106)"</f>
        <v>ENTRADA DE CAPITAL (106)</v>
      </c>
      <c r="T1432">
        <v>30508</v>
      </c>
      <c r="U1432">
        <v>16461</v>
      </c>
      <c r="V1432" t="s">
        <v>22</v>
      </c>
    </row>
    <row r="1433" spans="1:22">
      <c r="A1433" t="str">
        <f t="shared" si="267"/>
        <v>11/03/2026</v>
      </c>
      <c r="B1433" t="str">
        <f>"ENTRADA"</f>
        <v>ENTRADA</v>
      </c>
      <c r="C1433" t="str">
        <f>"DINHEIRO"</f>
        <v>DINHEIRO</v>
      </c>
      <c r="D1433" t="str">
        <f>"794"</f>
        <v>794</v>
      </c>
      <c r="E1433" t="str">
        <f>"10"</f>
        <v>10</v>
      </c>
      <c r="F1433" t="str">
        <f t="shared" si="268"/>
        <v>COM</v>
      </c>
      <c r="G1433" t="str">
        <f>"AMANDA VERÍSSIMO FERREIRA (794)"</f>
        <v>AMANDA VERÍSSIMO FERREIRA (794)</v>
      </c>
      <c r="H1433" t="s">
        <v>97</v>
      </c>
      <c r="I1433" t="str">
        <f t="shared" si="269"/>
        <v>12/03/2026</v>
      </c>
      <c r="J1433" t="str">
        <f>("05/05/2025")</f>
        <v>05/05/2025</v>
      </c>
      <c r="K1433">
        <v>46092</v>
      </c>
      <c r="N1433">
        <v>106</v>
      </c>
      <c r="O1433" t="s">
        <v>98</v>
      </c>
      <c r="Q1433">
        <v>20</v>
      </c>
      <c r="R1433" t="str">
        <f>"AMANDA VERÍSSIMO FERREIRA (794)"</f>
        <v>AMANDA VERÍSSIMO FERREIRA (794)</v>
      </c>
      <c r="S1433" t="s">
        <v>99</v>
      </c>
      <c r="T1433">
        <v>30508</v>
      </c>
      <c r="U1433">
        <v>16461</v>
      </c>
      <c r="V1433" t="s">
        <v>22</v>
      </c>
    </row>
    <row r="1434" spans="1:22">
      <c r="A1434" t="str">
        <f t="shared" si="267"/>
        <v>11/03/2026</v>
      </c>
      <c r="B1434" t="str">
        <f>"SAÍDA"</f>
        <v>SAÍDA</v>
      </c>
      <c r="C1434" t="str">
        <f>"PIX"</f>
        <v>PIX</v>
      </c>
      <c r="D1434" t="str">
        <f>"34256"</f>
        <v>34256</v>
      </c>
      <c r="E1434" t="str">
        <f>"1"</f>
        <v>1</v>
      </c>
      <c r="F1434" t="str">
        <f t="shared" si="268"/>
        <v>COM</v>
      </c>
      <c r="G1434" t="str">
        <f>"ANDERSON LUIZ SOARES (807)"</f>
        <v>ANDERSON LUIZ SOARES (807)</v>
      </c>
      <c r="H1434" t="str">
        <f>"Serv.Prest. 02/03/2026 a 08/03/2026 - PIX: CELULAR - CHAVE: (32) 99920-0416"</f>
        <v>Serv.Prest. 02/03/2026 a 08/03/2026 - PIX: CELULAR - CHAVE: (32) 99920-0416</v>
      </c>
      <c r="I1434" t="str">
        <f t="shared" si="269"/>
        <v>12/03/2026</v>
      </c>
      <c r="J1434" t="str">
        <f>("09/03/2026")</f>
        <v>09/03/2026</v>
      </c>
      <c r="K1434" t="str">
        <f>("11/03/2026")</f>
        <v>11/03/2026</v>
      </c>
      <c r="L1434">
        <v>20</v>
      </c>
      <c r="M1434">
        <v>20</v>
      </c>
      <c r="N1434">
        <v>109</v>
      </c>
      <c r="O1434" t="str">
        <f>"PAGAMENTO DE ENTREGADORES"</f>
        <v>PAGAMENTO DE ENTREGADORES</v>
      </c>
      <c r="P1434">
        <v>20</v>
      </c>
      <c r="S1434" t="str">
        <f>"CAIXA MOVIMENTAÇÃO OPERACIONAL (132)"</f>
        <v>CAIXA MOVIMENTAÇÃO OPERACIONAL (132)</v>
      </c>
      <c r="T1434">
        <v>30509</v>
      </c>
      <c r="U1434">
        <v>34775</v>
      </c>
      <c r="V1434" t="s">
        <v>22</v>
      </c>
    </row>
    <row r="1435" spans="1:22">
      <c r="A1435" t="str">
        <f t="shared" si="267"/>
        <v>11/03/2026</v>
      </c>
      <c r="B1435" t="str">
        <f>"SAÍDA"</f>
        <v>SAÍDA</v>
      </c>
      <c r="C1435" t="str">
        <f>"PIX"</f>
        <v>PIX</v>
      </c>
      <c r="D1435" t="str">
        <f>"34256"</f>
        <v>34256</v>
      </c>
      <c r="E1435" t="str">
        <f>"1"</f>
        <v>1</v>
      </c>
      <c r="F1435" t="str">
        <f t="shared" si="268"/>
        <v>COM</v>
      </c>
      <c r="G1435" t="str">
        <f>"ANDERSON LUIZ SOARES (807)"</f>
        <v>ANDERSON LUIZ SOARES (807)</v>
      </c>
      <c r="H1435" t="s">
        <v>525</v>
      </c>
      <c r="I1435" t="str">
        <f t="shared" si="269"/>
        <v>12/03/2026</v>
      </c>
      <c r="J1435" t="str">
        <f>("09/03/2026")</f>
        <v>09/03/2026</v>
      </c>
      <c r="K1435">
        <v>46092</v>
      </c>
      <c r="N1435">
        <v>109</v>
      </c>
      <c r="O1435" t="s">
        <v>27</v>
      </c>
      <c r="Q1435">
        <v>20</v>
      </c>
      <c r="R1435" t="str">
        <f>"DROGARIA ANA VISCONDE DO RIO BRANCO (10182)"</f>
        <v>DROGARIA ANA VISCONDE DO RIO BRANCO (10182)</v>
      </c>
      <c r="S1435" t="s">
        <v>22</v>
      </c>
      <c r="T1435">
        <v>30509</v>
      </c>
      <c r="U1435">
        <v>34775</v>
      </c>
      <c r="V1435" t="s">
        <v>22</v>
      </c>
    </row>
    <row r="1436" spans="1:22">
      <c r="A1436" t="str">
        <f t="shared" si="267"/>
        <v>11/03/2026</v>
      </c>
      <c r="B1436" t="str">
        <f>"ENTRADA"</f>
        <v>ENTRADA</v>
      </c>
      <c r="C1436" t="str">
        <f>"DINHEIRO"</f>
        <v>DINHEIRO</v>
      </c>
      <c r="D1436" t="str">
        <f>"807"</f>
        <v>807</v>
      </c>
      <c r="E1436" t="str">
        <f>"10"</f>
        <v>10</v>
      </c>
      <c r="F1436" t="str">
        <f t="shared" si="268"/>
        <v>COM</v>
      </c>
      <c r="G1436" t="str">
        <f>"ANDERSON LUIZ SOARES (807)"</f>
        <v>ANDERSON LUIZ SOARES (807)</v>
      </c>
      <c r="H1436" t="str">
        <f>"COTA COOPERATIVA"</f>
        <v>COTA COOPERATIVA</v>
      </c>
      <c r="I1436" t="str">
        <f t="shared" si="269"/>
        <v>12/03/2026</v>
      </c>
      <c r="J1436" t="str">
        <f>("15/05/2025")</f>
        <v>15/05/2025</v>
      </c>
      <c r="K1436" t="str">
        <f>("11/03/2026")</f>
        <v>11/03/2026</v>
      </c>
      <c r="L1436">
        <v>20</v>
      </c>
      <c r="M1436">
        <v>20</v>
      </c>
      <c r="N1436">
        <v>106</v>
      </c>
      <c r="O1436" t="str">
        <f>"ENTRADA DE CAPITAL"</f>
        <v>ENTRADA DE CAPITAL</v>
      </c>
      <c r="P1436">
        <v>20</v>
      </c>
      <c r="S1436" t="str">
        <f>"ENTRADA DE CAPITAL (106)"</f>
        <v>ENTRADA DE CAPITAL (106)</v>
      </c>
      <c r="T1436">
        <v>30510</v>
      </c>
      <c r="U1436">
        <v>16487</v>
      </c>
      <c r="V1436" t="s">
        <v>22</v>
      </c>
    </row>
    <row r="1437" spans="1:22">
      <c r="A1437" t="str">
        <f t="shared" si="267"/>
        <v>11/03/2026</v>
      </c>
      <c r="B1437" t="str">
        <f>"ENTRADA"</f>
        <v>ENTRADA</v>
      </c>
      <c r="C1437" t="str">
        <f>"DINHEIRO"</f>
        <v>DINHEIRO</v>
      </c>
      <c r="D1437" t="str">
        <f>"807"</f>
        <v>807</v>
      </c>
      <c r="E1437" t="str">
        <f>"10"</f>
        <v>10</v>
      </c>
      <c r="F1437" t="str">
        <f t="shared" si="268"/>
        <v>COM</v>
      </c>
      <c r="G1437" t="str">
        <f>"ANDERSON LUIZ SOARES (807)"</f>
        <v>ANDERSON LUIZ SOARES (807)</v>
      </c>
      <c r="H1437" t="s">
        <v>97</v>
      </c>
      <c r="I1437" t="str">
        <f t="shared" si="269"/>
        <v>12/03/2026</v>
      </c>
      <c r="J1437" t="str">
        <f>("15/05/2025")</f>
        <v>15/05/2025</v>
      </c>
      <c r="K1437">
        <v>46092</v>
      </c>
      <c r="N1437">
        <v>106</v>
      </c>
      <c r="O1437" t="s">
        <v>98</v>
      </c>
      <c r="Q1437">
        <v>20</v>
      </c>
      <c r="R1437" t="str">
        <f>"ANDERSON LUIZ SOARES (807)"</f>
        <v>ANDERSON LUIZ SOARES (807)</v>
      </c>
      <c r="S1437" t="s">
        <v>99</v>
      </c>
      <c r="T1437">
        <v>30510</v>
      </c>
      <c r="U1437">
        <v>16487</v>
      </c>
      <c r="V1437" t="s">
        <v>22</v>
      </c>
    </row>
    <row r="1438" spans="1:22">
      <c r="A1438" t="str">
        <f t="shared" si="267"/>
        <v>11/03/2026</v>
      </c>
      <c r="B1438" t="str">
        <f>"SAÍDA"</f>
        <v>SAÍDA</v>
      </c>
      <c r="C1438" t="str">
        <f>"PIX"</f>
        <v>PIX</v>
      </c>
      <c r="D1438" t="str">
        <f>"34257"</f>
        <v>34257</v>
      </c>
      <c r="E1438" t="str">
        <f>"1"</f>
        <v>1</v>
      </c>
      <c r="F1438" t="str">
        <f t="shared" si="268"/>
        <v>COM</v>
      </c>
      <c r="G1438" t="str">
        <f>"BRENO VIANA MONTEIRO RODRIGUES (811)"</f>
        <v>BRENO VIANA MONTEIRO RODRIGUES (811)</v>
      </c>
      <c r="H1438" t="str">
        <f>"Serv.Prest. 02/03/2026 a 08/03/2026 - PIX: CNPJ - CHAVE: 51.676.704/0001-10"</f>
        <v>Serv.Prest. 02/03/2026 a 08/03/2026 - PIX: CNPJ - CHAVE: 51.676.704/0001-10</v>
      </c>
      <c r="I1438" t="str">
        <f t="shared" si="269"/>
        <v>12/03/2026</v>
      </c>
      <c r="J1438" t="str">
        <f>("09/03/2026")</f>
        <v>09/03/2026</v>
      </c>
      <c r="K1438" t="str">
        <f>("11/03/2026")</f>
        <v>11/03/2026</v>
      </c>
      <c r="L1438">
        <v>20</v>
      </c>
      <c r="M1438">
        <v>20</v>
      </c>
      <c r="N1438">
        <v>109</v>
      </c>
      <c r="O1438" t="str">
        <f>"PAGAMENTO DE ENTREGADORES"</f>
        <v>PAGAMENTO DE ENTREGADORES</v>
      </c>
      <c r="P1438">
        <v>20</v>
      </c>
      <c r="S1438" t="str">
        <f>"CAIXA MOVIMENTAÇÃO OPERACIONAL (132)"</f>
        <v>CAIXA MOVIMENTAÇÃO OPERACIONAL (132)</v>
      </c>
      <c r="T1438">
        <v>30511</v>
      </c>
      <c r="U1438">
        <v>34776</v>
      </c>
      <c r="V1438" t="s">
        <v>22</v>
      </c>
    </row>
    <row r="1439" spans="1:22">
      <c r="A1439" t="str">
        <f t="shared" si="267"/>
        <v>11/03/2026</v>
      </c>
      <c r="B1439" t="str">
        <f>"SAÍDA"</f>
        <v>SAÍDA</v>
      </c>
      <c r="C1439" t="str">
        <f>"PIX"</f>
        <v>PIX</v>
      </c>
      <c r="D1439" t="str">
        <f>"34257"</f>
        <v>34257</v>
      </c>
      <c r="E1439" t="str">
        <f>"1"</f>
        <v>1</v>
      </c>
      <c r="F1439" t="str">
        <f t="shared" si="268"/>
        <v>COM</v>
      </c>
      <c r="G1439" t="str">
        <f>"BRENO VIANA MONTEIRO RODRIGUES (811)"</f>
        <v>BRENO VIANA MONTEIRO RODRIGUES (811)</v>
      </c>
      <c r="H1439" t="s">
        <v>526</v>
      </c>
      <c r="I1439" t="str">
        <f t="shared" si="269"/>
        <v>12/03/2026</v>
      </c>
      <c r="J1439" t="str">
        <f>("09/03/2026")</f>
        <v>09/03/2026</v>
      </c>
      <c r="K1439">
        <v>46092</v>
      </c>
      <c r="N1439">
        <v>109</v>
      </c>
      <c r="O1439" t="s">
        <v>27</v>
      </c>
      <c r="Q1439">
        <v>20</v>
      </c>
      <c r="R1439" t="str">
        <f>"DROGARIA ANA VISCONDE DO RIO BRANCO (10182)"</f>
        <v>DROGARIA ANA VISCONDE DO RIO BRANCO (10182)</v>
      </c>
      <c r="S1439" t="s">
        <v>22</v>
      </c>
      <c r="T1439">
        <v>30511</v>
      </c>
      <c r="U1439">
        <v>34776</v>
      </c>
      <c r="V1439" t="s">
        <v>22</v>
      </c>
    </row>
    <row r="1440" spans="1:22">
      <c r="A1440" t="str">
        <f t="shared" si="267"/>
        <v>11/03/2026</v>
      </c>
      <c r="B1440" t="str">
        <f>"ENTRADA"</f>
        <v>ENTRADA</v>
      </c>
      <c r="C1440" t="str">
        <f>"DINHEIRO"</f>
        <v>DINHEIRO</v>
      </c>
      <c r="D1440" t="str">
        <f>"811"</f>
        <v>811</v>
      </c>
      <c r="E1440" t="str">
        <f>"10"</f>
        <v>10</v>
      </c>
      <c r="F1440" t="str">
        <f t="shared" si="268"/>
        <v>COM</v>
      </c>
      <c r="G1440" t="str">
        <f>"BRENO VIANA MONTEIRO RODRIGUES (811)"</f>
        <v>BRENO VIANA MONTEIRO RODRIGUES (811)</v>
      </c>
      <c r="H1440" t="str">
        <f>"COTA COOPERATIVA"</f>
        <v>COTA COOPERATIVA</v>
      </c>
      <c r="I1440" t="str">
        <f t="shared" si="269"/>
        <v>12/03/2026</v>
      </c>
      <c r="J1440" t="str">
        <f>("16/05/2025")</f>
        <v>16/05/2025</v>
      </c>
      <c r="K1440" t="str">
        <f>("11/03/2026")</f>
        <v>11/03/2026</v>
      </c>
      <c r="L1440">
        <v>20</v>
      </c>
      <c r="M1440">
        <v>20</v>
      </c>
      <c r="N1440">
        <v>106</v>
      </c>
      <c r="O1440" t="str">
        <f>"ENTRADA DE CAPITAL"</f>
        <v>ENTRADA DE CAPITAL</v>
      </c>
      <c r="P1440">
        <v>20</v>
      </c>
      <c r="S1440" t="str">
        <f>"ENTRADA DE CAPITAL (106)"</f>
        <v>ENTRADA DE CAPITAL (106)</v>
      </c>
      <c r="T1440">
        <v>30512</v>
      </c>
      <c r="U1440">
        <v>16513</v>
      </c>
      <c r="V1440" t="s">
        <v>22</v>
      </c>
    </row>
    <row r="1441" spans="1:22">
      <c r="A1441" t="str">
        <f t="shared" si="267"/>
        <v>11/03/2026</v>
      </c>
      <c r="B1441" t="str">
        <f>"ENTRADA"</f>
        <v>ENTRADA</v>
      </c>
      <c r="C1441" t="str">
        <f>"DINHEIRO"</f>
        <v>DINHEIRO</v>
      </c>
      <c r="D1441" t="str">
        <f>"811"</f>
        <v>811</v>
      </c>
      <c r="E1441" t="str">
        <f>"10"</f>
        <v>10</v>
      </c>
      <c r="F1441" t="str">
        <f t="shared" si="268"/>
        <v>COM</v>
      </c>
      <c r="G1441" t="str">
        <f>"BRENO VIANA MONTEIRO RODRIGUES (811)"</f>
        <v>BRENO VIANA MONTEIRO RODRIGUES (811)</v>
      </c>
      <c r="H1441" t="s">
        <v>97</v>
      </c>
      <c r="I1441" t="str">
        <f t="shared" si="269"/>
        <v>12/03/2026</v>
      </c>
      <c r="J1441" t="str">
        <f>("16/05/2025")</f>
        <v>16/05/2025</v>
      </c>
      <c r="K1441">
        <v>46092</v>
      </c>
      <c r="N1441">
        <v>106</v>
      </c>
      <c r="O1441" t="s">
        <v>98</v>
      </c>
      <c r="Q1441">
        <v>20</v>
      </c>
      <c r="R1441" t="str">
        <f>"BRENO VIANA MONTEIRO RODRIGUES (811)"</f>
        <v>BRENO VIANA MONTEIRO RODRIGUES (811)</v>
      </c>
      <c r="S1441" t="s">
        <v>99</v>
      </c>
      <c r="T1441">
        <v>30512</v>
      </c>
      <c r="U1441">
        <v>16513</v>
      </c>
      <c r="V1441" t="s">
        <v>22</v>
      </c>
    </row>
    <row r="1442" spans="1:22">
      <c r="A1442" t="str">
        <f t="shared" si="267"/>
        <v>11/03/2026</v>
      </c>
      <c r="B1442" t="str">
        <f>"SAÍDA"</f>
        <v>SAÍDA</v>
      </c>
      <c r="C1442" t="str">
        <f>"PIX"</f>
        <v>PIX</v>
      </c>
      <c r="D1442" t="str">
        <f>"34685"</f>
        <v>34685</v>
      </c>
      <c r="E1442" t="str">
        <f>"1"</f>
        <v>1</v>
      </c>
      <c r="F1442" t="str">
        <f t="shared" si="268"/>
        <v>COM</v>
      </c>
      <c r="G1442" t="str">
        <f>"DEIVID FERNANDES COSTA (828)"</f>
        <v>DEIVID FERNANDES COSTA (828)</v>
      </c>
      <c r="H1442" t="str">
        <f>"Serv.Prest. 02/03/2026 a 08/03/2026 - PIX: CELULAR - CHAVE: (62) 99550-3226"</f>
        <v>Serv.Prest. 02/03/2026 a 08/03/2026 - PIX: CELULAR - CHAVE: (62) 99550-3226</v>
      </c>
      <c r="I1442" t="str">
        <f t="shared" si="269"/>
        <v>12/03/2026</v>
      </c>
      <c r="J1442" t="str">
        <f>("10/03/2026")</f>
        <v>10/03/2026</v>
      </c>
      <c r="K1442" t="str">
        <f>("11/03/2026")</f>
        <v>11/03/2026</v>
      </c>
      <c r="L1442">
        <v>20</v>
      </c>
      <c r="M1442">
        <v>20</v>
      </c>
      <c r="N1442">
        <v>109</v>
      </c>
      <c r="O1442" t="str">
        <f>"PAGAMENTO DE ENTREGADORES"</f>
        <v>PAGAMENTO DE ENTREGADORES</v>
      </c>
      <c r="P1442">
        <v>20</v>
      </c>
      <c r="S1442" t="str">
        <f>"CAIXA MOVIMENTAÇÃO OPERACIONAL (132)"</f>
        <v>CAIXA MOVIMENTAÇÃO OPERACIONAL (132)</v>
      </c>
      <c r="T1442">
        <v>30513</v>
      </c>
      <c r="U1442">
        <v>34777</v>
      </c>
      <c r="V1442" t="s">
        <v>22</v>
      </c>
    </row>
    <row r="1443" spans="1:22">
      <c r="A1443" t="str">
        <f t="shared" si="267"/>
        <v>11/03/2026</v>
      </c>
      <c r="B1443" t="str">
        <f>"SAÍDA"</f>
        <v>SAÍDA</v>
      </c>
      <c r="C1443" t="str">
        <f>"PIX"</f>
        <v>PIX</v>
      </c>
      <c r="D1443" t="str">
        <f>"34685"</f>
        <v>34685</v>
      </c>
      <c r="E1443" t="str">
        <f>"1"</f>
        <v>1</v>
      </c>
      <c r="F1443" t="str">
        <f t="shared" si="268"/>
        <v>COM</v>
      </c>
      <c r="G1443" t="str">
        <f>"DEIVID FERNANDES COSTA (828)"</f>
        <v>DEIVID FERNANDES COSTA (828)</v>
      </c>
      <c r="H1443" t="s">
        <v>424</v>
      </c>
      <c r="I1443" t="str">
        <f t="shared" si="269"/>
        <v>12/03/2026</v>
      </c>
      <c r="J1443" t="str">
        <f>("10/03/2026")</f>
        <v>10/03/2026</v>
      </c>
      <c r="K1443">
        <v>46092</v>
      </c>
      <c r="N1443">
        <v>109</v>
      </c>
      <c r="O1443" t="s">
        <v>27</v>
      </c>
      <c r="Q1443">
        <v>20</v>
      </c>
      <c r="R1443" t="str">
        <f>"DROGARIA BEM ESTAR (10193)"</f>
        <v>DROGARIA BEM ESTAR (10193)</v>
      </c>
      <c r="S1443" t="s">
        <v>22</v>
      </c>
      <c r="T1443">
        <v>30513</v>
      </c>
      <c r="U1443">
        <v>34777</v>
      </c>
      <c r="V1443" t="s">
        <v>22</v>
      </c>
    </row>
    <row r="1444" spans="1:22">
      <c r="A1444" t="str">
        <f t="shared" si="267"/>
        <v>11/03/2026</v>
      </c>
      <c r="B1444" t="str">
        <f>"ENTRADA"</f>
        <v>ENTRADA</v>
      </c>
      <c r="C1444" t="str">
        <f>"DINHEIRO"</f>
        <v>DINHEIRO</v>
      </c>
      <c r="D1444" t="str">
        <f>"828"</f>
        <v>828</v>
      </c>
      <c r="E1444" t="str">
        <f>"10"</f>
        <v>10</v>
      </c>
      <c r="F1444" t="str">
        <f t="shared" si="268"/>
        <v>COM</v>
      </c>
      <c r="G1444" t="str">
        <f>"DEIVID FERNANDES COSTA (828)"</f>
        <v>DEIVID FERNANDES COSTA (828)</v>
      </c>
      <c r="H1444" t="str">
        <f>"COTA COOPERATIVA"</f>
        <v>COTA COOPERATIVA</v>
      </c>
      <c r="I1444" t="str">
        <f t="shared" si="269"/>
        <v>12/03/2026</v>
      </c>
      <c r="J1444" t="str">
        <f>("27/05/2025")</f>
        <v>27/05/2025</v>
      </c>
      <c r="K1444" t="str">
        <f>("11/03/2026")</f>
        <v>11/03/2026</v>
      </c>
      <c r="L1444">
        <v>20</v>
      </c>
      <c r="M1444">
        <v>20</v>
      </c>
      <c r="N1444">
        <v>106</v>
      </c>
      <c r="O1444" t="str">
        <f>"ENTRADA DE CAPITAL"</f>
        <v>ENTRADA DE CAPITAL</v>
      </c>
      <c r="P1444">
        <v>20</v>
      </c>
      <c r="S1444" t="str">
        <f>"ENTRADA DE CAPITAL (106)"</f>
        <v>ENTRADA DE CAPITAL (106)</v>
      </c>
      <c r="T1444">
        <v>30514</v>
      </c>
      <c r="U1444">
        <v>17040</v>
      </c>
      <c r="V1444" t="s">
        <v>22</v>
      </c>
    </row>
    <row r="1445" spans="1:22">
      <c r="A1445" t="str">
        <f t="shared" si="267"/>
        <v>11/03/2026</v>
      </c>
      <c r="B1445" t="str">
        <f>"ENTRADA"</f>
        <v>ENTRADA</v>
      </c>
      <c r="C1445" t="str">
        <f>"DINHEIRO"</f>
        <v>DINHEIRO</v>
      </c>
      <c r="D1445" t="str">
        <f>"828"</f>
        <v>828</v>
      </c>
      <c r="E1445" t="str">
        <f>"10"</f>
        <v>10</v>
      </c>
      <c r="F1445" t="str">
        <f t="shared" si="268"/>
        <v>COM</v>
      </c>
      <c r="G1445" t="str">
        <f>"DEIVID FERNANDES COSTA (828)"</f>
        <v>DEIVID FERNANDES COSTA (828)</v>
      </c>
      <c r="H1445" t="s">
        <v>97</v>
      </c>
      <c r="I1445" t="str">
        <f t="shared" si="269"/>
        <v>12/03/2026</v>
      </c>
      <c r="J1445" t="str">
        <f>("27/05/2025")</f>
        <v>27/05/2025</v>
      </c>
      <c r="K1445">
        <v>46092</v>
      </c>
      <c r="N1445">
        <v>106</v>
      </c>
      <c r="O1445" t="s">
        <v>98</v>
      </c>
      <c r="Q1445">
        <v>20</v>
      </c>
      <c r="R1445" t="str">
        <f>"DEIVID FERNANDES COSTA (828)"</f>
        <v>DEIVID FERNANDES COSTA (828)</v>
      </c>
      <c r="S1445" t="s">
        <v>99</v>
      </c>
      <c r="T1445">
        <v>30514</v>
      </c>
      <c r="U1445">
        <v>17040</v>
      </c>
      <c r="V1445" t="s">
        <v>22</v>
      </c>
    </row>
    <row r="1446" spans="1:22">
      <c r="A1446" t="str">
        <f t="shared" si="267"/>
        <v>11/03/2026</v>
      </c>
      <c r="B1446" t="str">
        <f>"SAÍDA"</f>
        <v>SAÍDA</v>
      </c>
      <c r="C1446" t="str">
        <f>"PIX"</f>
        <v>PIX</v>
      </c>
      <c r="D1446" t="str">
        <f>"34258"</f>
        <v>34258</v>
      </c>
      <c r="E1446" t="str">
        <f>"1"</f>
        <v>1</v>
      </c>
      <c r="F1446" t="str">
        <f t="shared" si="268"/>
        <v>COM</v>
      </c>
      <c r="G1446" t="str">
        <f>"GABRIEL PACHECO DE QUEIROZ NARCISO (812)"</f>
        <v>GABRIEL PACHECO DE QUEIROZ NARCISO (812)</v>
      </c>
      <c r="H1446" t="str">
        <f>"Serv.Prest. 02/03/2026 a 08/03/2026 - PIX: CPF - CHAVE: 140.108.466-40"</f>
        <v>Serv.Prest. 02/03/2026 a 08/03/2026 - PIX: CPF - CHAVE: 140.108.466-40</v>
      </c>
      <c r="I1446" t="str">
        <f t="shared" si="269"/>
        <v>12/03/2026</v>
      </c>
      <c r="J1446" t="str">
        <f>("09/03/2026")</f>
        <v>09/03/2026</v>
      </c>
      <c r="K1446" t="str">
        <f>("11/03/2026")</f>
        <v>11/03/2026</v>
      </c>
      <c r="L1446">
        <v>20</v>
      </c>
      <c r="M1446">
        <v>20</v>
      </c>
      <c r="N1446">
        <v>109</v>
      </c>
      <c r="O1446" t="str">
        <f>"PAGAMENTO DE ENTREGADORES"</f>
        <v>PAGAMENTO DE ENTREGADORES</v>
      </c>
      <c r="P1446">
        <v>20</v>
      </c>
      <c r="S1446" t="str">
        <f>"CAIXA MOVIMENTAÇÃO OPERACIONAL (132)"</f>
        <v>CAIXA MOVIMENTAÇÃO OPERACIONAL (132)</v>
      </c>
      <c r="T1446">
        <v>30515</v>
      </c>
      <c r="U1446">
        <v>34778</v>
      </c>
      <c r="V1446" t="s">
        <v>22</v>
      </c>
    </row>
    <row r="1447" spans="1:22">
      <c r="A1447" t="str">
        <f t="shared" si="267"/>
        <v>11/03/2026</v>
      </c>
      <c r="B1447" t="str">
        <f>"SAÍDA"</f>
        <v>SAÍDA</v>
      </c>
      <c r="C1447" t="str">
        <f>"PIX"</f>
        <v>PIX</v>
      </c>
      <c r="D1447" t="str">
        <f>"34258"</f>
        <v>34258</v>
      </c>
      <c r="E1447" t="str">
        <f>"1"</f>
        <v>1</v>
      </c>
      <c r="F1447" t="str">
        <f t="shared" si="268"/>
        <v>COM</v>
      </c>
      <c r="G1447" t="str">
        <f>"GABRIEL PACHECO DE QUEIROZ NARCISO (812)"</f>
        <v>GABRIEL PACHECO DE QUEIROZ NARCISO (812)</v>
      </c>
      <c r="H1447" t="s">
        <v>527</v>
      </c>
      <c r="I1447" t="str">
        <f t="shared" si="269"/>
        <v>12/03/2026</v>
      </c>
      <c r="J1447" t="str">
        <f>("09/03/2026")</f>
        <v>09/03/2026</v>
      </c>
      <c r="K1447">
        <v>46092</v>
      </c>
      <c r="N1447">
        <v>109</v>
      </c>
      <c r="O1447" t="s">
        <v>27</v>
      </c>
      <c r="Q1447">
        <v>20</v>
      </c>
      <c r="R1447" t="str">
        <f>"DROGARIA ANA VISCONDE DO RIO BRANCO (10182)"</f>
        <v>DROGARIA ANA VISCONDE DO RIO BRANCO (10182)</v>
      </c>
      <c r="S1447" t="s">
        <v>22</v>
      </c>
      <c r="T1447">
        <v>30515</v>
      </c>
      <c r="U1447">
        <v>34778</v>
      </c>
      <c r="V1447" t="s">
        <v>22</v>
      </c>
    </row>
    <row r="1448" spans="1:22">
      <c r="A1448" t="str">
        <f t="shared" si="267"/>
        <v>11/03/2026</v>
      </c>
      <c r="B1448" t="str">
        <f>"ENTRADA"</f>
        <v>ENTRADA</v>
      </c>
      <c r="C1448" t="str">
        <f>"DINHEIRO"</f>
        <v>DINHEIRO</v>
      </c>
      <c r="D1448" t="str">
        <f>"812"</f>
        <v>812</v>
      </c>
      <c r="E1448" t="str">
        <f>"10"</f>
        <v>10</v>
      </c>
      <c r="F1448" t="str">
        <f t="shared" si="268"/>
        <v>COM</v>
      </c>
      <c r="G1448" t="str">
        <f>"GABRIEL PACHECO DE QUEIROZ NARCISO (812)"</f>
        <v>GABRIEL PACHECO DE QUEIROZ NARCISO (812)</v>
      </c>
      <c r="H1448" t="str">
        <f>"COTA COOPERATIVA"</f>
        <v>COTA COOPERATIVA</v>
      </c>
      <c r="I1448" t="str">
        <f t="shared" si="269"/>
        <v>12/03/2026</v>
      </c>
      <c r="J1448" t="str">
        <f>("16/05/2025")</f>
        <v>16/05/2025</v>
      </c>
      <c r="K1448" t="str">
        <f>("11/03/2026")</f>
        <v>11/03/2026</v>
      </c>
      <c r="L1448">
        <v>20</v>
      </c>
      <c r="M1448">
        <v>20</v>
      </c>
      <c r="N1448">
        <v>106</v>
      </c>
      <c r="O1448" t="str">
        <f>"ENTRADA DE CAPITAL"</f>
        <v>ENTRADA DE CAPITAL</v>
      </c>
      <c r="P1448">
        <v>20</v>
      </c>
      <c r="S1448" t="str">
        <f>"ENTRADA DE CAPITAL (106)"</f>
        <v>ENTRADA DE CAPITAL (106)</v>
      </c>
      <c r="T1448">
        <v>30516</v>
      </c>
      <c r="U1448">
        <v>16565</v>
      </c>
      <c r="V1448" t="s">
        <v>22</v>
      </c>
    </row>
    <row r="1449" spans="1:22">
      <c r="A1449" t="str">
        <f t="shared" si="267"/>
        <v>11/03/2026</v>
      </c>
      <c r="B1449" t="str">
        <f>"ENTRADA"</f>
        <v>ENTRADA</v>
      </c>
      <c r="C1449" t="str">
        <f>"DINHEIRO"</f>
        <v>DINHEIRO</v>
      </c>
      <c r="D1449" t="str">
        <f>"812"</f>
        <v>812</v>
      </c>
      <c r="E1449" t="str">
        <f>"10"</f>
        <v>10</v>
      </c>
      <c r="F1449" t="str">
        <f t="shared" si="268"/>
        <v>COM</v>
      </c>
      <c r="G1449" t="str">
        <f>"GABRIEL PACHECO DE QUEIROZ NARCISO (812)"</f>
        <v>GABRIEL PACHECO DE QUEIROZ NARCISO (812)</v>
      </c>
      <c r="H1449" t="s">
        <v>97</v>
      </c>
      <c r="I1449" t="str">
        <f t="shared" si="269"/>
        <v>12/03/2026</v>
      </c>
      <c r="J1449" t="str">
        <f>("16/05/2025")</f>
        <v>16/05/2025</v>
      </c>
      <c r="K1449">
        <v>46092</v>
      </c>
      <c r="N1449">
        <v>106</v>
      </c>
      <c r="O1449" t="s">
        <v>98</v>
      </c>
      <c r="Q1449">
        <v>20</v>
      </c>
      <c r="R1449" t="str">
        <f>"GABRIEL PACHECO DE QUEIROZ NARCISO (812)"</f>
        <v>GABRIEL PACHECO DE QUEIROZ NARCISO (812)</v>
      </c>
      <c r="S1449" t="s">
        <v>99</v>
      </c>
      <c r="T1449">
        <v>30516</v>
      </c>
      <c r="U1449">
        <v>16565</v>
      </c>
      <c r="V1449" t="s">
        <v>22</v>
      </c>
    </row>
    <row r="1450" spans="1:22">
      <c r="A1450" t="str">
        <f t="shared" si="267"/>
        <v>11/03/2026</v>
      </c>
      <c r="B1450" t="str">
        <f>"ENTRADA"</f>
        <v>ENTRADA</v>
      </c>
      <c r="C1450" t="str">
        <f>"DINHEIRO"</f>
        <v>DINHEIRO</v>
      </c>
      <c r="D1450" t="str">
        <f>"765"</f>
        <v>765</v>
      </c>
      <c r="E1450" t="str">
        <f>"10"</f>
        <v>10</v>
      </c>
      <c r="F1450" t="str">
        <f t="shared" si="268"/>
        <v>COM</v>
      </c>
      <c r="G1450" t="str">
        <f>"NATANAEL AZEVEDO DOS SANTOS (765)"</f>
        <v>NATANAEL AZEVEDO DOS SANTOS (765)</v>
      </c>
      <c r="H1450" t="str">
        <f>"COTA COOPERATIVA"</f>
        <v>COTA COOPERATIVA</v>
      </c>
      <c r="I1450" t="str">
        <f t="shared" si="269"/>
        <v>12/03/2026</v>
      </c>
      <c r="J1450" t="str">
        <f>("19/04/2025")</f>
        <v>19/04/2025</v>
      </c>
      <c r="K1450" t="str">
        <f>("11/03/2026")</f>
        <v>11/03/2026</v>
      </c>
      <c r="L1450">
        <v>20</v>
      </c>
      <c r="M1450">
        <v>20</v>
      </c>
      <c r="N1450">
        <v>106</v>
      </c>
      <c r="O1450" t="str">
        <f>"ENTRADA DE CAPITAL"</f>
        <v>ENTRADA DE CAPITAL</v>
      </c>
      <c r="P1450">
        <v>20</v>
      </c>
      <c r="S1450" t="str">
        <f>"ENTRADA DE CAPITAL (106)"</f>
        <v>ENTRADA DE CAPITAL (106)</v>
      </c>
      <c r="T1450">
        <v>30517</v>
      </c>
      <c r="U1450">
        <v>17092</v>
      </c>
      <c r="V1450" t="s">
        <v>22</v>
      </c>
    </row>
    <row r="1451" spans="1:22">
      <c r="A1451" t="str">
        <f t="shared" si="267"/>
        <v>11/03/2026</v>
      </c>
      <c r="B1451" t="str">
        <f>"ENTRADA"</f>
        <v>ENTRADA</v>
      </c>
      <c r="C1451" t="str">
        <f>"DINHEIRO"</f>
        <v>DINHEIRO</v>
      </c>
      <c r="D1451" t="str">
        <f>"765"</f>
        <v>765</v>
      </c>
      <c r="E1451" t="str">
        <f>"10"</f>
        <v>10</v>
      </c>
      <c r="F1451" t="str">
        <f t="shared" si="268"/>
        <v>COM</v>
      </c>
      <c r="G1451" t="str">
        <f>"NATANAEL AZEVEDO DOS SANTOS (765)"</f>
        <v>NATANAEL AZEVEDO DOS SANTOS (765)</v>
      </c>
      <c r="H1451" t="s">
        <v>97</v>
      </c>
      <c r="I1451" t="str">
        <f t="shared" si="269"/>
        <v>12/03/2026</v>
      </c>
      <c r="J1451" t="str">
        <f>("19/04/2025")</f>
        <v>19/04/2025</v>
      </c>
      <c r="K1451">
        <v>46092</v>
      </c>
      <c r="N1451">
        <v>106</v>
      </c>
      <c r="O1451" t="s">
        <v>98</v>
      </c>
      <c r="Q1451">
        <v>20</v>
      </c>
      <c r="R1451" t="str">
        <f>"NATANAEL AZEVEDO DOS SANTOS (765)"</f>
        <v>NATANAEL AZEVEDO DOS SANTOS (765)</v>
      </c>
      <c r="S1451" t="s">
        <v>99</v>
      </c>
      <c r="T1451">
        <v>30517</v>
      </c>
      <c r="U1451">
        <v>17092</v>
      </c>
      <c r="V1451" t="s">
        <v>22</v>
      </c>
    </row>
    <row r="1452" spans="1:22">
      <c r="A1452" t="str">
        <f t="shared" si="267"/>
        <v>11/03/2026</v>
      </c>
      <c r="B1452" t="str">
        <f>"SAÍDA"</f>
        <v>SAÍDA</v>
      </c>
      <c r="C1452" t="str">
        <f>"PIX"</f>
        <v>PIX</v>
      </c>
      <c r="D1452" t="str">
        <f>"34080"</f>
        <v>34080</v>
      </c>
      <c r="E1452" t="str">
        <f>"1"</f>
        <v>1</v>
      </c>
      <c r="F1452" t="str">
        <f t="shared" si="268"/>
        <v>COM</v>
      </c>
      <c r="G1452" t="str">
        <f>"NATANAEL AZEVEDO DOS SANTOS (765)"</f>
        <v>NATANAEL AZEVEDO DOS SANTOS (765)</v>
      </c>
      <c r="H1452" t="str">
        <f>"Serv.Prest. 23/02/2026 a 01/03/2026 - PIX: CPF - CHAVE: 007.842.745-25"</f>
        <v>Serv.Prest. 23/02/2026 a 01/03/2026 - PIX: CPF - CHAVE: 007.842.745-25</v>
      </c>
      <c r="I1452" t="str">
        <f>("13/03/2026")</f>
        <v>13/03/2026</v>
      </c>
      <c r="J1452" t="str">
        <f>("03/03/2026")</f>
        <v>03/03/2026</v>
      </c>
      <c r="K1452" t="str">
        <f>("11/03/2026")</f>
        <v>11/03/2026</v>
      </c>
      <c r="L1452">
        <v>20</v>
      </c>
      <c r="M1452">
        <v>20</v>
      </c>
      <c r="N1452">
        <v>109</v>
      </c>
      <c r="O1452" t="str">
        <f>"PAGAMENTO DE ENTREGADORES"</f>
        <v>PAGAMENTO DE ENTREGADORES</v>
      </c>
      <c r="P1452">
        <v>20</v>
      </c>
      <c r="S1452" t="str">
        <f>"CAIXA MOVIMENTAÇÃO OPERACIONAL (132)"</f>
        <v>CAIXA MOVIMENTAÇÃO OPERACIONAL (132)</v>
      </c>
      <c r="T1452">
        <v>30518</v>
      </c>
      <c r="U1452">
        <v>34779</v>
      </c>
      <c r="V1452" t="s">
        <v>22</v>
      </c>
    </row>
    <row r="1453" spans="1:22">
      <c r="A1453" t="str">
        <f t="shared" si="267"/>
        <v>11/03/2026</v>
      </c>
      <c r="B1453" t="str">
        <f>"SAÍDA"</f>
        <v>SAÍDA</v>
      </c>
      <c r="C1453" t="str">
        <f>"PIX"</f>
        <v>PIX</v>
      </c>
      <c r="D1453" t="str">
        <f>"34080"</f>
        <v>34080</v>
      </c>
      <c r="E1453" t="str">
        <f>"1"</f>
        <v>1</v>
      </c>
      <c r="F1453" t="str">
        <f t="shared" si="268"/>
        <v>COM</v>
      </c>
      <c r="G1453" t="str">
        <f>"NATANAEL AZEVEDO DOS SANTOS (765)"</f>
        <v>NATANAEL AZEVEDO DOS SANTOS (765)</v>
      </c>
      <c r="H1453" t="s">
        <v>528</v>
      </c>
      <c r="I1453" t="str">
        <f>("13/03/2026")</f>
        <v>13/03/2026</v>
      </c>
      <c r="J1453" t="str">
        <f>("03/03/2026")</f>
        <v>03/03/2026</v>
      </c>
      <c r="K1453">
        <v>46092</v>
      </c>
      <c r="N1453">
        <v>109</v>
      </c>
      <c r="O1453" t="s">
        <v>27</v>
      </c>
      <c r="Q1453">
        <v>20</v>
      </c>
      <c r="R1453" t="str">
        <f>"FARMÁCIA INDIANA LJ 91 (10037)"</f>
        <v>FARMÁCIA INDIANA LJ 91 (10037)</v>
      </c>
      <c r="S1453" t="s">
        <v>22</v>
      </c>
      <c r="T1453">
        <v>30518</v>
      </c>
      <c r="U1453">
        <v>34779</v>
      </c>
      <c r="V1453" t="s">
        <v>22</v>
      </c>
    </row>
    <row r="1454" spans="1:22">
      <c r="A1454" t="str">
        <f t="shared" si="267"/>
        <v>11/03/2026</v>
      </c>
      <c r="B1454" t="str">
        <f>"ENTRADA"</f>
        <v>ENTRADA</v>
      </c>
      <c r="C1454" t="str">
        <f>"DINHEIRO"</f>
        <v>DINHEIRO</v>
      </c>
      <c r="D1454" t="str">
        <f>"776"</f>
        <v>776</v>
      </c>
      <c r="E1454" t="str">
        <f>"10"</f>
        <v>10</v>
      </c>
      <c r="F1454" t="str">
        <f t="shared" si="268"/>
        <v>COM</v>
      </c>
      <c r="G1454" t="str">
        <f>"VINÍCIUS NEVES PEREIRA (776)"</f>
        <v>VINÍCIUS NEVES PEREIRA (776)</v>
      </c>
      <c r="H1454" t="str">
        <f>"COTA COOPERATIVA"</f>
        <v>COTA COOPERATIVA</v>
      </c>
      <c r="I1454" t="str">
        <f>("12/03/2026")</f>
        <v>12/03/2026</v>
      </c>
      <c r="J1454" t="str">
        <f>("23/04/2025")</f>
        <v>23/04/2025</v>
      </c>
      <c r="K1454" t="str">
        <f>("11/03/2026")</f>
        <v>11/03/2026</v>
      </c>
      <c r="L1454">
        <v>20</v>
      </c>
      <c r="M1454">
        <v>20</v>
      </c>
      <c r="N1454">
        <v>106</v>
      </c>
      <c r="O1454" t="str">
        <f>"ENTRADA DE CAPITAL"</f>
        <v>ENTRADA DE CAPITAL</v>
      </c>
      <c r="P1454">
        <v>20</v>
      </c>
      <c r="S1454" t="str">
        <f>"ENTRADA DE CAPITAL (106)"</f>
        <v>ENTRADA DE CAPITAL (106)</v>
      </c>
      <c r="T1454">
        <v>30519</v>
      </c>
      <c r="U1454">
        <v>16669</v>
      </c>
      <c r="V1454" t="s">
        <v>22</v>
      </c>
    </row>
    <row r="1455" spans="1:22">
      <c r="A1455" t="str">
        <f t="shared" si="267"/>
        <v>11/03/2026</v>
      </c>
      <c r="B1455" t="str">
        <f>"ENTRADA"</f>
        <v>ENTRADA</v>
      </c>
      <c r="C1455" t="str">
        <f>"DINHEIRO"</f>
        <v>DINHEIRO</v>
      </c>
      <c r="D1455" t="str">
        <f>"776"</f>
        <v>776</v>
      </c>
      <c r="E1455" t="str">
        <f>"10"</f>
        <v>10</v>
      </c>
      <c r="F1455" t="str">
        <f t="shared" si="268"/>
        <v>COM</v>
      </c>
      <c r="G1455" t="str">
        <f>"VINÍCIUS NEVES PEREIRA (776)"</f>
        <v>VINÍCIUS NEVES PEREIRA (776)</v>
      </c>
      <c r="H1455" t="s">
        <v>97</v>
      </c>
      <c r="I1455" t="str">
        <f>("12/03/2026")</f>
        <v>12/03/2026</v>
      </c>
      <c r="J1455" t="str">
        <f>("23/04/2025")</f>
        <v>23/04/2025</v>
      </c>
      <c r="K1455">
        <v>46092</v>
      </c>
      <c r="N1455">
        <v>106</v>
      </c>
      <c r="O1455" t="s">
        <v>98</v>
      </c>
      <c r="Q1455">
        <v>20</v>
      </c>
      <c r="R1455" t="str">
        <f>"VINÍCIUS NEVES PEREIRA (776)"</f>
        <v>VINÍCIUS NEVES PEREIRA (776)</v>
      </c>
      <c r="S1455" t="s">
        <v>99</v>
      </c>
      <c r="T1455">
        <v>30519</v>
      </c>
      <c r="U1455">
        <v>16669</v>
      </c>
      <c r="V1455" t="s">
        <v>22</v>
      </c>
    </row>
    <row r="1456" spans="1:22">
      <c r="A1456" t="str">
        <f t="shared" si="267"/>
        <v>11/03/2026</v>
      </c>
      <c r="B1456" t="str">
        <f>"SAÍDA"</f>
        <v>SAÍDA</v>
      </c>
      <c r="C1456" t="str">
        <f>"PIX"</f>
        <v>PIX</v>
      </c>
      <c r="D1456" t="str">
        <f>"34053"</f>
        <v>34053</v>
      </c>
      <c r="E1456" t="str">
        <f>"1"</f>
        <v>1</v>
      </c>
      <c r="F1456" t="str">
        <f t="shared" si="268"/>
        <v>COM</v>
      </c>
      <c r="G1456" t="str">
        <f>"VINÍCIUS NEVES PEREIRA (776)"</f>
        <v>VINÍCIUS NEVES PEREIRA (776)</v>
      </c>
      <c r="H1456" t="str">
        <f>"Serv.Prest. 23/02/2026 a 01/03/2026 - PIX: CPF - CHAVE: 121.963.507-37"</f>
        <v>Serv.Prest. 23/02/2026 a 01/03/2026 - PIX: CPF - CHAVE: 121.963.507-37</v>
      </c>
      <c r="I1456" t="str">
        <f>("13/03/2026")</f>
        <v>13/03/2026</v>
      </c>
      <c r="J1456" t="str">
        <f>("03/03/2026")</f>
        <v>03/03/2026</v>
      </c>
      <c r="K1456" t="str">
        <f>("11/03/2026")</f>
        <v>11/03/2026</v>
      </c>
      <c r="L1456">
        <v>20</v>
      </c>
      <c r="M1456">
        <v>20</v>
      </c>
      <c r="N1456">
        <v>109</v>
      </c>
      <c r="O1456" t="str">
        <f>"PAGAMENTO DE ENTREGADORES"</f>
        <v>PAGAMENTO DE ENTREGADORES</v>
      </c>
      <c r="P1456">
        <v>20</v>
      </c>
      <c r="S1456" t="str">
        <f>"CAIXA MOVIMENTAÇÃO OPERACIONAL (132)"</f>
        <v>CAIXA MOVIMENTAÇÃO OPERACIONAL (132)</v>
      </c>
      <c r="T1456">
        <v>30520</v>
      </c>
      <c r="U1456">
        <v>34780</v>
      </c>
      <c r="V1456" t="s">
        <v>22</v>
      </c>
    </row>
    <row r="1457" spans="1:22">
      <c r="A1457" t="str">
        <f t="shared" si="267"/>
        <v>11/03/2026</v>
      </c>
      <c r="B1457" t="str">
        <f>"SAÍDA"</f>
        <v>SAÍDA</v>
      </c>
      <c r="C1457" t="str">
        <f>"PIX"</f>
        <v>PIX</v>
      </c>
      <c r="D1457" t="str">
        <f>"34053"</f>
        <v>34053</v>
      </c>
      <c r="E1457" t="str">
        <f>"1"</f>
        <v>1</v>
      </c>
      <c r="F1457" t="str">
        <f t="shared" si="268"/>
        <v>COM</v>
      </c>
      <c r="G1457" t="str">
        <f>"VINÍCIUS NEVES PEREIRA (776)"</f>
        <v>VINÍCIUS NEVES PEREIRA (776)</v>
      </c>
      <c r="H1457" t="s">
        <v>529</v>
      </c>
      <c r="I1457" t="str">
        <f>("13/03/2026")</f>
        <v>13/03/2026</v>
      </c>
      <c r="J1457" t="str">
        <f>("03/03/2026")</f>
        <v>03/03/2026</v>
      </c>
      <c r="K1457">
        <v>46092</v>
      </c>
      <c r="N1457">
        <v>109</v>
      </c>
      <c r="O1457" t="s">
        <v>27</v>
      </c>
      <c r="Q1457">
        <v>20</v>
      </c>
      <c r="R1457" t="str">
        <f>"FARMÁCIA INDIANA LJ 221 (10093)"</f>
        <v>FARMÁCIA INDIANA LJ 221 (10093)</v>
      </c>
      <c r="S1457" t="s">
        <v>22</v>
      </c>
      <c r="T1457">
        <v>30520</v>
      </c>
      <c r="U1457">
        <v>34780</v>
      </c>
      <c r="V1457" t="s">
        <v>22</v>
      </c>
    </row>
    <row r="1458" spans="1:22">
      <c r="A1458" t="str">
        <f t="shared" si="267"/>
        <v>11/03/2026</v>
      </c>
      <c r="B1458" t="str">
        <f>"SAÍDA"</f>
        <v>SAÍDA</v>
      </c>
      <c r="C1458" t="str">
        <f>"PIX"</f>
        <v>PIX</v>
      </c>
      <c r="D1458" t="str">
        <f>"34253"</f>
        <v>34253</v>
      </c>
      <c r="E1458" t="str">
        <f>"1"</f>
        <v>1</v>
      </c>
      <c r="F1458" t="str">
        <f t="shared" si="268"/>
        <v>COM</v>
      </c>
      <c r="G1458" t="str">
        <f>"WESLEY RICARDO DE OLIVEIRA (722)"</f>
        <v>WESLEY RICARDO DE OLIVEIRA (722)</v>
      </c>
      <c r="H1458" t="str">
        <f>"Serv.Prest. 02/03/2026 a 08/03/2026 - PIX: CELULAR - CHAVE: (11) 91214-6176"</f>
        <v>Serv.Prest. 02/03/2026 a 08/03/2026 - PIX: CELULAR - CHAVE: (11) 91214-6176</v>
      </c>
      <c r="I1458" t="str">
        <f>("12/03/2026")</f>
        <v>12/03/2026</v>
      </c>
      <c r="J1458" t="str">
        <f>("09/03/2026")</f>
        <v>09/03/2026</v>
      </c>
      <c r="K1458" t="str">
        <f>("11/03/2026")</f>
        <v>11/03/2026</v>
      </c>
      <c r="L1458">
        <v>20</v>
      </c>
      <c r="M1458">
        <v>20</v>
      </c>
      <c r="N1458">
        <v>109</v>
      </c>
      <c r="O1458" t="str">
        <f>"PAGAMENTO DE ENTREGADORES"</f>
        <v>PAGAMENTO DE ENTREGADORES</v>
      </c>
      <c r="P1458">
        <v>20</v>
      </c>
      <c r="S1458" t="str">
        <f>"CAIXA MOVIMENTAÇÃO OPERACIONAL (132)"</f>
        <v>CAIXA MOVIMENTAÇÃO OPERACIONAL (132)</v>
      </c>
      <c r="T1458">
        <v>30521</v>
      </c>
      <c r="U1458">
        <v>34781</v>
      </c>
      <c r="V1458" t="s">
        <v>22</v>
      </c>
    </row>
    <row r="1459" spans="1:22">
      <c r="A1459" t="str">
        <f t="shared" si="267"/>
        <v>11/03/2026</v>
      </c>
      <c r="B1459" t="str">
        <f>"SAÍDA"</f>
        <v>SAÍDA</v>
      </c>
      <c r="C1459" t="str">
        <f>"PIX"</f>
        <v>PIX</v>
      </c>
      <c r="D1459" t="str">
        <f>"34253"</f>
        <v>34253</v>
      </c>
      <c r="E1459" t="str">
        <f>"1"</f>
        <v>1</v>
      </c>
      <c r="F1459" t="str">
        <f t="shared" si="268"/>
        <v>COM</v>
      </c>
      <c r="G1459" t="str">
        <f>"WESLEY RICARDO DE OLIVEIRA (722)"</f>
        <v>WESLEY RICARDO DE OLIVEIRA (722)</v>
      </c>
      <c r="H1459" t="s">
        <v>530</v>
      </c>
      <c r="I1459" t="str">
        <f>("12/03/2026")</f>
        <v>12/03/2026</v>
      </c>
      <c r="J1459" t="str">
        <f>("09/03/2026")</f>
        <v>09/03/2026</v>
      </c>
      <c r="K1459">
        <v>46092</v>
      </c>
      <c r="N1459">
        <v>109</v>
      </c>
      <c r="O1459" t="s">
        <v>27</v>
      </c>
      <c r="Q1459">
        <v>20</v>
      </c>
      <c r="R1459" t="str">
        <f>"DROGARIA AGAPEAMA (10167)"</f>
        <v>DROGARIA AGAPEAMA (10167)</v>
      </c>
      <c r="S1459" t="s">
        <v>22</v>
      </c>
      <c r="T1459">
        <v>30521</v>
      </c>
      <c r="U1459">
        <v>34781</v>
      </c>
      <c r="V1459" t="s">
        <v>22</v>
      </c>
    </row>
    <row r="1460" spans="1:22">
      <c r="A1460" t="str">
        <f t="shared" si="267"/>
        <v>11/03/2026</v>
      </c>
      <c r="B1460" t="str">
        <f>"ENTRADA"</f>
        <v>ENTRADA</v>
      </c>
      <c r="C1460" t="str">
        <f>"DINHEIRO"</f>
        <v>DINHEIRO</v>
      </c>
      <c r="D1460" t="str">
        <f>"722"</f>
        <v>722</v>
      </c>
      <c r="E1460" t="str">
        <f>"10"</f>
        <v>10</v>
      </c>
      <c r="F1460" t="str">
        <f t="shared" si="268"/>
        <v>COM</v>
      </c>
      <c r="G1460" t="str">
        <f>"WESLEY RICARDO DE OLIVEIRA (722)"</f>
        <v>WESLEY RICARDO DE OLIVEIRA (722)</v>
      </c>
      <c r="H1460" t="str">
        <f>"COTA COOPERATIVA"</f>
        <v>COTA COOPERATIVA</v>
      </c>
      <c r="I1460" t="str">
        <f>("12/03/2026")</f>
        <v>12/03/2026</v>
      </c>
      <c r="J1460" t="str">
        <f>("01/04/2025")</f>
        <v>01/04/2025</v>
      </c>
      <c r="K1460" t="str">
        <f>("11/03/2026")</f>
        <v>11/03/2026</v>
      </c>
      <c r="L1460">
        <v>20</v>
      </c>
      <c r="M1460">
        <v>20</v>
      </c>
      <c r="N1460">
        <v>106</v>
      </c>
      <c r="O1460" t="str">
        <f>"ENTRADA DE CAPITAL"</f>
        <v>ENTRADA DE CAPITAL</v>
      </c>
      <c r="P1460">
        <v>20</v>
      </c>
      <c r="S1460" t="str">
        <f>"ENTRADA DE CAPITAL (106)"</f>
        <v>ENTRADA DE CAPITAL (106)</v>
      </c>
      <c r="T1460">
        <v>30522</v>
      </c>
      <c r="U1460">
        <v>16695</v>
      </c>
      <c r="V1460" t="s">
        <v>22</v>
      </c>
    </row>
    <row r="1461" spans="1:22">
      <c r="A1461" t="str">
        <f t="shared" si="267"/>
        <v>11/03/2026</v>
      </c>
      <c r="B1461" t="str">
        <f>"ENTRADA"</f>
        <v>ENTRADA</v>
      </c>
      <c r="C1461" t="str">
        <f>"DINHEIRO"</f>
        <v>DINHEIRO</v>
      </c>
      <c r="D1461" t="str">
        <f>"722"</f>
        <v>722</v>
      </c>
      <c r="E1461" t="str">
        <f>"10"</f>
        <v>10</v>
      </c>
      <c r="F1461" t="str">
        <f t="shared" si="268"/>
        <v>COM</v>
      </c>
      <c r="G1461" t="str">
        <f>"WESLEY RICARDO DE OLIVEIRA (722)"</f>
        <v>WESLEY RICARDO DE OLIVEIRA (722)</v>
      </c>
      <c r="H1461" t="s">
        <v>97</v>
      </c>
      <c r="I1461" t="str">
        <f>("12/03/2026")</f>
        <v>12/03/2026</v>
      </c>
      <c r="J1461" t="str">
        <f>("01/04/2025")</f>
        <v>01/04/2025</v>
      </c>
      <c r="K1461">
        <v>46092</v>
      </c>
      <c r="N1461">
        <v>106</v>
      </c>
      <c r="O1461" t="s">
        <v>98</v>
      </c>
      <c r="Q1461">
        <v>20</v>
      </c>
      <c r="R1461" t="str">
        <f>"WESLEY RICARDO DE OLIVEIRA (722)"</f>
        <v>WESLEY RICARDO DE OLIVEIRA (722)</v>
      </c>
      <c r="S1461" t="s">
        <v>99</v>
      </c>
      <c r="T1461">
        <v>30522</v>
      </c>
      <c r="U1461">
        <v>16695</v>
      </c>
      <c r="V1461" t="s">
        <v>22</v>
      </c>
    </row>
    <row r="1462" spans="1:22">
      <c r="A1462" t="str">
        <f t="shared" si="267"/>
        <v>11/03/2026</v>
      </c>
      <c r="B1462" t="str">
        <f>"SAÍDA"</f>
        <v>SAÍDA</v>
      </c>
      <c r="C1462" t="str">
        <f>"PIX"</f>
        <v>PIX</v>
      </c>
      <c r="D1462" t="str">
        <f>"10022026"</f>
        <v>10022026</v>
      </c>
      <c r="E1462" t="str">
        <f>"2"</f>
        <v>2</v>
      </c>
      <c r="F1462" t="str">
        <f t="shared" si="268"/>
        <v>COM</v>
      </c>
      <c r="G1462" t="str">
        <f>"PONCE &amp; DAHER TECNOLOGIA LTDA (20127)"</f>
        <v>PONCE &amp; DAHER TECNOLOGIA LTDA (20127)</v>
      </c>
      <c r="H1462" t="str">
        <f>"SERVIDOR PARA UTILIZAÇÃO SD"</f>
        <v>SERVIDOR PARA UTILIZAÇÃO SD</v>
      </c>
      <c r="I1462" t="str">
        <f>("11/03/2026")</f>
        <v>11/03/2026</v>
      </c>
      <c r="J1462" t="str">
        <f>("02/02/2026")</f>
        <v>02/02/2026</v>
      </c>
      <c r="K1462" t="str">
        <f>("11/03/2026")</f>
        <v>11/03/2026</v>
      </c>
      <c r="L1462">
        <v>594</v>
      </c>
      <c r="M1462">
        <v>607.05999999999995</v>
      </c>
      <c r="N1462">
        <v>104</v>
      </c>
      <c r="O1462" t="str">
        <f>"SOFTWARE / LICENÇAS"</f>
        <v>SOFTWARE / LICENÇAS</v>
      </c>
      <c r="P1462">
        <v>607.05999999999995</v>
      </c>
      <c r="S1462" t="str">
        <f>"BANCO CORA (102)"</f>
        <v>BANCO CORA (102)</v>
      </c>
      <c r="T1462">
        <v>30526</v>
      </c>
      <c r="U1462">
        <v>31778</v>
      </c>
      <c r="V1462" t="s">
        <v>33</v>
      </c>
    </row>
    <row r="1463" spans="1:22">
      <c r="A1463" t="str">
        <f t="shared" si="267"/>
        <v>11/03/2026</v>
      </c>
      <c r="B1463" t="str">
        <f>"SAÍDA"</f>
        <v>SAÍDA</v>
      </c>
      <c r="C1463" t="str">
        <f>"PIX"</f>
        <v>PIX</v>
      </c>
      <c r="D1463" t="str">
        <f>"10022026"</f>
        <v>10022026</v>
      </c>
      <c r="E1463" t="str">
        <f>"2"</f>
        <v>2</v>
      </c>
      <c r="F1463" t="str">
        <f t="shared" si="268"/>
        <v>COM</v>
      </c>
      <c r="G1463" t="str">
        <f>"PONCE &amp; DAHER TECNOLOGIA LTDA (20127)"</f>
        <v>PONCE &amp; DAHER TECNOLOGIA LTDA (20127)</v>
      </c>
      <c r="H1463" t="s">
        <v>531</v>
      </c>
      <c r="I1463" t="str">
        <f>("11/03/2026")</f>
        <v>11/03/2026</v>
      </c>
      <c r="J1463" t="str">
        <f>("02/02/2026")</f>
        <v>02/02/2026</v>
      </c>
      <c r="K1463">
        <v>46092</v>
      </c>
      <c r="N1463">
        <v>104</v>
      </c>
      <c r="O1463" t="s">
        <v>39</v>
      </c>
      <c r="Q1463">
        <v>607.05999999999995</v>
      </c>
      <c r="R1463" t="str">
        <f>"PONCE &amp; DAHER TECNOLOGIA LTDA (20127)"</f>
        <v>PONCE &amp; DAHER TECNOLOGIA LTDA (20127)</v>
      </c>
      <c r="S1463" t="s">
        <v>33</v>
      </c>
      <c r="T1463">
        <v>30526</v>
      </c>
      <c r="U1463">
        <v>31778</v>
      </c>
      <c r="V1463" t="s">
        <v>33</v>
      </c>
    </row>
    <row r="1464" spans="1:22">
      <c r="A1464" t="str">
        <f t="shared" si="267"/>
        <v>11/03/2026</v>
      </c>
      <c r="B1464" t="str">
        <f>"SAÍDA"</f>
        <v>SAÍDA</v>
      </c>
      <c r="C1464" t="str">
        <f>"BOLETO"</f>
        <v>BOLETO</v>
      </c>
      <c r="D1464" t="str">
        <f>"345116260010584"</f>
        <v>345116260010584</v>
      </c>
      <c r="E1464" t="str">
        <f>"3"</f>
        <v>3</v>
      </c>
      <c r="F1464" t="str">
        <f t="shared" si="268"/>
        <v>COM</v>
      </c>
      <c r="G1464" t="str">
        <f>"NUCLEO BRASIL SERVIDORES LTDA (20090)"</f>
        <v>NUCLEO BRASIL SERVIDORES LTDA (20090)</v>
      </c>
      <c r="H1464" t="str">
        <f>"SERVIDOR SITE COOPERATIVA - coopmob.com.br  MARÇO/2026"</f>
        <v>SERVIDOR SITE COOPERATIVA - coopmob.com.br  MARÇO/2026</v>
      </c>
      <c r="I1464" t="str">
        <f>("11/03/2026")</f>
        <v>11/03/2026</v>
      </c>
      <c r="J1464" t="str">
        <f>("01/01/2026")</f>
        <v>01/01/2026</v>
      </c>
      <c r="K1464" t="str">
        <f>("11/03/2026")</f>
        <v>11/03/2026</v>
      </c>
      <c r="L1464">
        <v>20</v>
      </c>
      <c r="M1464">
        <v>20</v>
      </c>
      <c r="N1464">
        <v>104</v>
      </c>
      <c r="O1464" t="str">
        <f>"SOFTWARE / LICENÇAS"</f>
        <v>SOFTWARE / LICENÇAS</v>
      </c>
      <c r="P1464">
        <v>20</v>
      </c>
      <c r="S1464" t="str">
        <f>"BANCO CORA (102)"</f>
        <v>BANCO CORA (102)</v>
      </c>
      <c r="T1464">
        <v>30527</v>
      </c>
      <c r="U1464">
        <v>30138</v>
      </c>
      <c r="V1464" t="s">
        <v>33</v>
      </c>
    </row>
    <row r="1465" spans="1:22">
      <c r="A1465" t="str">
        <f t="shared" si="267"/>
        <v>11/03/2026</v>
      </c>
      <c r="B1465" t="str">
        <f>"SAÍDA"</f>
        <v>SAÍDA</v>
      </c>
      <c r="C1465" t="str">
        <f>"BOLETO"</f>
        <v>BOLETO</v>
      </c>
      <c r="D1465" t="str">
        <f>"345116260010584"</f>
        <v>345116260010584</v>
      </c>
      <c r="E1465" t="str">
        <f>"3"</f>
        <v>3</v>
      </c>
      <c r="F1465" t="str">
        <f t="shared" si="268"/>
        <v>COM</v>
      </c>
      <c r="G1465" t="str">
        <f>"NUCLEO BRASIL SERVIDORES LTDA (20090)"</f>
        <v>NUCLEO BRASIL SERVIDORES LTDA (20090)</v>
      </c>
      <c r="H1465" t="s">
        <v>532</v>
      </c>
      <c r="I1465" t="str">
        <f>("11/03/2026")</f>
        <v>11/03/2026</v>
      </c>
      <c r="J1465" t="str">
        <f>("01/01/2026")</f>
        <v>01/01/2026</v>
      </c>
      <c r="K1465">
        <v>46092</v>
      </c>
      <c r="N1465">
        <v>104</v>
      </c>
      <c r="O1465" t="s">
        <v>39</v>
      </c>
      <c r="Q1465">
        <v>20</v>
      </c>
      <c r="R1465" t="str">
        <f>"NUCLEO BRASIL SERVIDORES LTDA (20090)"</f>
        <v>NUCLEO BRASIL SERVIDORES LTDA (20090)</v>
      </c>
      <c r="S1465" t="s">
        <v>33</v>
      </c>
      <c r="T1465">
        <v>30527</v>
      </c>
      <c r="U1465">
        <v>30138</v>
      </c>
      <c r="V1465" t="s">
        <v>33</v>
      </c>
    </row>
    <row r="1466" spans="1:22">
      <c r="A1466" t="str">
        <f t="shared" si="267"/>
        <v>11/03/2026</v>
      </c>
      <c r="B1466" t="str">
        <f t="shared" ref="B1466:B1472" si="270">"ENTRADA"</f>
        <v>ENTRADA</v>
      </c>
      <c r="C1466" t="str">
        <f t="shared" ref="C1466:C1472" si="271">"NFSE"</f>
        <v>NFSE</v>
      </c>
      <c r="D1466" t="str">
        <f t="shared" ref="D1466:D1472" si="272">"366"</f>
        <v>366</v>
      </c>
      <c r="E1466" t="str">
        <f t="shared" ref="E1466:E1474" si="273">"1"</f>
        <v>1</v>
      </c>
      <c r="F1466" t="str">
        <f t="shared" si="268"/>
        <v>COM</v>
      </c>
      <c r="G1466" t="str">
        <f t="shared" ref="G1466:G1472" si="274">"BEM TE FAZ 01 (10283)"</f>
        <v>BEM TE FAZ 01 (10283)</v>
      </c>
      <c r="H1466" t="str">
        <f>"Serv.Prest. 16/02/2026 a 22/02/2026 - RPS: 2294 - NFSe: 366"</f>
        <v>Serv.Prest. 16/02/2026 a 22/02/2026 - RPS: 2294 - NFSe: 366</v>
      </c>
      <c r="I1466" t="str">
        <f t="shared" ref="I1466:I1472" si="275">("25/02/2026")</f>
        <v>25/02/2026</v>
      </c>
      <c r="J1466" t="str">
        <f t="shared" ref="J1466:J1472" si="276">("23/02/2026")</f>
        <v>23/02/2026</v>
      </c>
      <c r="K1466" t="str">
        <f>("11/03/2026")</f>
        <v>11/03/2026</v>
      </c>
      <c r="L1466">
        <v>19571.5</v>
      </c>
      <c r="M1466">
        <v>20561.5</v>
      </c>
      <c r="N1466">
        <v>303</v>
      </c>
      <c r="O1466" t="str">
        <f>"RECEITAS COM ENTREGAS"</f>
        <v>RECEITAS COM ENTREGAS</v>
      </c>
      <c r="P1466">
        <v>20561.5</v>
      </c>
      <c r="S1466" t="str">
        <f>"RECEITAS COM ENTREGAS (303)"</f>
        <v>RECEITAS COM ENTREGAS (303)</v>
      </c>
      <c r="T1466">
        <v>30528</v>
      </c>
      <c r="U1466">
        <v>33343</v>
      </c>
      <c r="V1466" t="s">
        <v>110</v>
      </c>
    </row>
    <row r="1467" spans="1:22">
      <c r="A1467" t="str">
        <f t="shared" si="267"/>
        <v>11/03/2026</v>
      </c>
      <c r="B1467" t="str">
        <f t="shared" si="270"/>
        <v>ENTRADA</v>
      </c>
      <c r="C1467" t="str">
        <f t="shared" si="271"/>
        <v>NFSE</v>
      </c>
      <c r="D1467" t="str">
        <f t="shared" si="272"/>
        <v>366</v>
      </c>
      <c r="E1467" t="str">
        <f t="shared" si="273"/>
        <v>1</v>
      </c>
      <c r="F1467" t="str">
        <f t="shared" si="268"/>
        <v>COM</v>
      </c>
      <c r="G1467" t="str">
        <f t="shared" si="274"/>
        <v>BEM TE FAZ 01 (10283)</v>
      </c>
      <c r="H1467" t="s">
        <v>533</v>
      </c>
      <c r="I1467" t="str">
        <f t="shared" si="275"/>
        <v>25/02/2026</v>
      </c>
      <c r="J1467" t="str">
        <f t="shared" si="276"/>
        <v>23/02/2026</v>
      </c>
      <c r="K1467">
        <v>46092</v>
      </c>
      <c r="N1467">
        <v>303</v>
      </c>
      <c r="O1467" t="s">
        <v>102</v>
      </c>
      <c r="Q1467">
        <v>5683.2</v>
      </c>
      <c r="R1467" t="str">
        <f>"BEM TE FAZ LOJA 6 (10284)"</f>
        <v>BEM TE FAZ LOJA 6 (10284)</v>
      </c>
      <c r="S1467" t="s">
        <v>103</v>
      </c>
      <c r="T1467">
        <v>30528</v>
      </c>
      <c r="U1467">
        <v>33343</v>
      </c>
      <c r="V1467" t="s">
        <v>110</v>
      </c>
    </row>
    <row r="1468" spans="1:22">
      <c r="A1468" t="str">
        <f t="shared" ref="A1468:A1531" si="277">("11/03/2026")</f>
        <v>11/03/2026</v>
      </c>
      <c r="B1468" t="str">
        <f t="shared" si="270"/>
        <v>ENTRADA</v>
      </c>
      <c r="C1468" t="str">
        <f t="shared" si="271"/>
        <v>NFSE</v>
      </c>
      <c r="D1468" t="str">
        <f t="shared" si="272"/>
        <v>366</v>
      </c>
      <c r="E1468" t="str">
        <f t="shared" si="273"/>
        <v>1</v>
      </c>
      <c r="F1468" t="str">
        <f t="shared" si="268"/>
        <v>COM</v>
      </c>
      <c r="G1468" t="str">
        <f t="shared" si="274"/>
        <v>BEM TE FAZ 01 (10283)</v>
      </c>
      <c r="H1468" t="s">
        <v>533</v>
      </c>
      <c r="I1468" t="str">
        <f t="shared" si="275"/>
        <v>25/02/2026</v>
      </c>
      <c r="J1468" t="str">
        <f t="shared" si="276"/>
        <v>23/02/2026</v>
      </c>
      <c r="K1468">
        <v>46092</v>
      </c>
      <c r="N1468">
        <v>303</v>
      </c>
      <c r="O1468" t="s">
        <v>102</v>
      </c>
      <c r="Q1468">
        <v>3016.37</v>
      </c>
      <c r="R1468" t="str">
        <f>"BEM TE FAZ LOJA 7 (10285)"</f>
        <v>BEM TE FAZ LOJA 7 (10285)</v>
      </c>
      <c r="S1468" t="s">
        <v>103</v>
      </c>
      <c r="T1468">
        <v>30528</v>
      </c>
      <c r="U1468">
        <v>33343</v>
      </c>
      <c r="V1468" t="s">
        <v>110</v>
      </c>
    </row>
    <row r="1469" spans="1:22">
      <c r="A1469" t="str">
        <f t="shared" si="277"/>
        <v>11/03/2026</v>
      </c>
      <c r="B1469" t="str">
        <f t="shared" si="270"/>
        <v>ENTRADA</v>
      </c>
      <c r="C1469" t="str">
        <f t="shared" si="271"/>
        <v>NFSE</v>
      </c>
      <c r="D1469" t="str">
        <f t="shared" si="272"/>
        <v>366</v>
      </c>
      <c r="E1469" t="str">
        <f t="shared" si="273"/>
        <v>1</v>
      </c>
      <c r="F1469" t="str">
        <f t="shared" si="268"/>
        <v>COM</v>
      </c>
      <c r="G1469" t="str">
        <f t="shared" si="274"/>
        <v>BEM TE FAZ 01 (10283)</v>
      </c>
      <c r="H1469" t="s">
        <v>533</v>
      </c>
      <c r="I1469" t="str">
        <f t="shared" si="275"/>
        <v>25/02/2026</v>
      </c>
      <c r="J1469" t="str">
        <f t="shared" si="276"/>
        <v>23/02/2026</v>
      </c>
      <c r="K1469">
        <v>46092</v>
      </c>
      <c r="N1469">
        <v>303</v>
      </c>
      <c r="O1469" t="s">
        <v>102</v>
      </c>
      <c r="Q1469">
        <v>2136.34</v>
      </c>
      <c r="R1469" t="str">
        <f>"BEM TE FAZ LOJA 9 (10286)"</f>
        <v>BEM TE FAZ LOJA 9 (10286)</v>
      </c>
      <c r="S1469" t="s">
        <v>103</v>
      </c>
      <c r="T1469">
        <v>30528</v>
      </c>
      <c r="U1469">
        <v>33343</v>
      </c>
      <c r="V1469" t="s">
        <v>110</v>
      </c>
    </row>
    <row r="1470" spans="1:22">
      <c r="A1470" t="str">
        <f t="shared" si="277"/>
        <v>11/03/2026</v>
      </c>
      <c r="B1470" t="str">
        <f t="shared" si="270"/>
        <v>ENTRADA</v>
      </c>
      <c r="C1470" t="str">
        <f t="shared" si="271"/>
        <v>NFSE</v>
      </c>
      <c r="D1470" t="str">
        <f t="shared" si="272"/>
        <v>366</v>
      </c>
      <c r="E1470" t="str">
        <f t="shared" si="273"/>
        <v>1</v>
      </c>
      <c r="F1470" t="str">
        <f t="shared" si="268"/>
        <v>COM</v>
      </c>
      <c r="G1470" t="str">
        <f t="shared" si="274"/>
        <v>BEM TE FAZ 01 (10283)</v>
      </c>
      <c r="H1470" t="s">
        <v>533</v>
      </c>
      <c r="I1470" t="str">
        <f t="shared" si="275"/>
        <v>25/02/2026</v>
      </c>
      <c r="J1470" t="str">
        <f t="shared" si="276"/>
        <v>23/02/2026</v>
      </c>
      <c r="K1470">
        <v>46092</v>
      </c>
      <c r="N1470">
        <v>303</v>
      </c>
      <c r="O1470" t="s">
        <v>102</v>
      </c>
      <c r="Q1470">
        <v>9546.7000000000007</v>
      </c>
      <c r="R1470" t="str">
        <f>"BEM TE FAZ LOJA 3 (10287)"</f>
        <v>BEM TE FAZ LOJA 3 (10287)</v>
      </c>
      <c r="S1470" t="s">
        <v>103</v>
      </c>
      <c r="T1470">
        <v>30528</v>
      </c>
      <c r="U1470">
        <v>33343</v>
      </c>
      <c r="V1470" t="s">
        <v>110</v>
      </c>
    </row>
    <row r="1471" spans="1:22">
      <c r="A1471" t="str">
        <f t="shared" si="277"/>
        <v>11/03/2026</v>
      </c>
      <c r="B1471" t="str">
        <f t="shared" si="270"/>
        <v>ENTRADA</v>
      </c>
      <c r="C1471" t="str">
        <f t="shared" si="271"/>
        <v>NFSE</v>
      </c>
      <c r="D1471" t="str">
        <f t="shared" si="272"/>
        <v>366</v>
      </c>
      <c r="E1471" t="str">
        <f t="shared" si="273"/>
        <v>1</v>
      </c>
      <c r="F1471" t="str">
        <f t="shared" si="268"/>
        <v>COM</v>
      </c>
      <c r="G1471" t="str">
        <f t="shared" si="274"/>
        <v>BEM TE FAZ 01 (10283)</v>
      </c>
      <c r="H1471" t="s">
        <v>533</v>
      </c>
      <c r="I1471" t="str">
        <f t="shared" si="275"/>
        <v>25/02/2026</v>
      </c>
      <c r="J1471" t="str">
        <f t="shared" si="276"/>
        <v>23/02/2026</v>
      </c>
      <c r="K1471">
        <v>46092</v>
      </c>
      <c r="N1471">
        <v>303</v>
      </c>
      <c r="O1471" t="s">
        <v>102</v>
      </c>
      <c r="Q1471">
        <v>178.89</v>
      </c>
      <c r="R1471" t="str">
        <f>"BEM TE FAZ 05 (10294)"</f>
        <v>BEM TE FAZ 05 (10294)</v>
      </c>
      <c r="S1471" t="s">
        <v>103</v>
      </c>
      <c r="T1471">
        <v>30528</v>
      </c>
      <c r="U1471">
        <v>33343</v>
      </c>
      <c r="V1471" t="s">
        <v>110</v>
      </c>
    </row>
    <row r="1472" spans="1:22">
      <c r="A1472" t="str">
        <f t="shared" si="277"/>
        <v>11/03/2026</v>
      </c>
      <c r="B1472" t="str">
        <f t="shared" si="270"/>
        <v>ENTRADA</v>
      </c>
      <c r="C1472" t="str">
        <f t="shared" si="271"/>
        <v>NFSE</v>
      </c>
      <c r="D1472" t="str">
        <f t="shared" si="272"/>
        <v>366</v>
      </c>
      <c r="E1472" t="str">
        <f t="shared" si="273"/>
        <v>1</v>
      </c>
      <c r="F1472" t="str">
        <f t="shared" si="268"/>
        <v>COM</v>
      </c>
      <c r="G1472" t="str">
        <f t="shared" si="274"/>
        <v>BEM TE FAZ 01 (10283)</v>
      </c>
      <c r="H1472" t="s">
        <v>533</v>
      </c>
      <c r="I1472" t="str">
        <f t="shared" si="275"/>
        <v>25/02/2026</v>
      </c>
      <c r="J1472" t="str">
        <f t="shared" si="276"/>
        <v>23/02/2026</v>
      </c>
      <c r="K1472">
        <v>46092</v>
      </c>
      <c r="N1472">
        <v>303</v>
      </c>
      <c r="O1472" t="s">
        <v>102</v>
      </c>
      <c r="Q1472">
        <v>0</v>
      </c>
      <c r="R1472" t="str">
        <f>"BEM TE FAZ LOJA 8 (10297)"</f>
        <v>BEM TE FAZ LOJA 8 (10297)</v>
      </c>
      <c r="S1472" t="s">
        <v>103</v>
      </c>
      <c r="T1472">
        <v>30528</v>
      </c>
      <c r="U1472">
        <v>33343</v>
      </c>
      <c r="V1472" t="s">
        <v>110</v>
      </c>
    </row>
    <row r="1473" spans="1:22">
      <c r="A1473" t="str">
        <f t="shared" si="277"/>
        <v>11/03/2026</v>
      </c>
      <c r="B1473" t="str">
        <f>"SAÍDA"</f>
        <v>SAÍDA</v>
      </c>
      <c r="C1473" t="str">
        <f>"PIX"</f>
        <v>PIX</v>
      </c>
      <c r="D1473" t="str">
        <f>"34303"</f>
        <v>34303</v>
      </c>
      <c r="E1473" t="str">
        <f t="shared" si="273"/>
        <v>1</v>
      </c>
      <c r="F1473" t="str">
        <f t="shared" si="268"/>
        <v>COM</v>
      </c>
      <c r="G1473" t="str">
        <f>"BRENO HENRIQUE DE SOUSA (596)"</f>
        <v>BRENO HENRIQUE DE SOUSA (596)</v>
      </c>
      <c r="H1473" t="str">
        <f>"Serv.Prest. 02/03/2026 a 08/03/2026 - PIX: CELULAR - CHAVE: (37) 99146-2630"</f>
        <v>Serv.Prest. 02/03/2026 a 08/03/2026 - PIX: CELULAR - CHAVE: (37) 99146-2630</v>
      </c>
      <c r="I1473" t="str">
        <f>("12/03/2026")</f>
        <v>12/03/2026</v>
      </c>
      <c r="J1473" t="str">
        <f>("09/03/2026")</f>
        <v>09/03/2026</v>
      </c>
      <c r="K1473" t="str">
        <f>("11/03/2026")</f>
        <v>11/03/2026</v>
      </c>
      <c r="L1473">
        <v>20</v>
      </c>
      <c r="M1473">
        <v>20</v>
      </c>
      <c r="N1473">
        <v>109</v>
      </c>
      <c r="O1473" t="str">
        <f>"PAGAMENTO DE ENTREGADORES"</f>
        <v>PAGAMENTO DE ENTREGADORES</v>
      </c>
      <c r="P1473">
        <v>20</v>
      </c>
      <c r="S1473" t="str">
        <f>"BANCO CORA (102)"</f>
        <v>BANCO CORA (102)</v>
      </c>
      <c r="T1473">
        <v>30529</v>
      </c>
      <c r="U1473">
        <v>34795</v>
      </c>
      <c r="V1473" t="s">
        <v>33</v>
      </c>
    </row>
    <row r="1474" spans="1:22">
      <c r="A1474" t="str">
        <f t="shared" si="277"/>
        <v>11/03/2026</v>
      </c>
      <c r="B1474" t="str">
        <f>"SAÍDA"</f>
        <v>SAÍDA</v>
      </c>
      <c r="C1474" t="str">
        <f>"PIX"</f>
        <v>PIX</v>
      </c>
      <c r="D1474" t="str">
        <f>"34303"</f>
        <v>34303</v>
      </c>
      <c r="E1474" t="str">
        <f t="shared" si="273"/>
        <v>1</v>
      </c>
      <c r="F1474" t="str">
        <f t="shared" ref="F1474:F1537" si="278">"COM"</f>
        <v>COM</v>
      </c>
      <c r="G1474" t="str">
        <f>"BRENO HENRIQUE DE SOUSA (596)"</f>
        <v>BRENO HENRIQUE DE SOUSA (596)</v>
      </c>
      <c r="H1474" t="s">
        <v>534</v>
      </c>
      <c r="I1474" t="str">
        <f>("12/03/2026")</f>
        <v>12/03/2026</v>
      </c>
      <c r="J1474" t="str">
        <f>("09/03/2026")</f>
        <v>09/03/2026</v>
      </c>
      <c r="K1474">
        <v>46092</v>
      </c>
      <c r="N1474">
        <v>109</v>
      </c>
      <c r="O1474" t="s">
        <v>27</v>
      </c>
      <c r="Q1474">
        <v>20</v>
      </c>
      <c r="R1474" t="str">
        <f>"DROGARIA POUPA MINAS (ULTRAMINAS) 1 (10181)"</f>
        <v>DROGARIA POUPA MINAS (ULTRAMINAS) 1 (10181)</v>
      </c>
      <c r="S1474" t="s">
        <v>33</v>
      </c>
      <c r="T1474">
        <v>30529</v>
      </c>
      <c r="U1474">
        <v>34795</v>
      </c>
      <c r="V1474" t="s">
        <v>33</v>
      </c>
    </row>
    <row r="1475" spans="1:22">
      <c r="A1475" t="str">
        <f t="shared" si="277"/>
        <v>11/03/2026</v>
      </c>
      <c r="B1475" t="str">
        <f>"ENTRADA"</f>
        <v>ENTRADA</v>
      </c>
      <c r="C1475" t="str">
        <f>"DINHEIRO"</f>
        <v>DINHEIRO</v>
      </c>
      <c r="D1475" t="str">
        <f>"596"</f>
        <v>596</v>
      </c>
      <c r="E1475" t="str">
        <f>"14"</f>
        <v>14</v>
      </c>
      <c r="F1475" t="str">
        <f t="shared" si="278"/>
        <v>COM</v>
      </c>
      <c r="G1475" t="str">
        <f>"BRENO HENRIQUE DE SOUSA (596)"</f>
        <v>BRENO HENRIQUE DE SOUSA (596)</v>
      </c>
      <c r="H1475" t="str">
        <f>"COTAS COOPERATIVA"</f>
        <v>COTAS COOPERATIVA</v>
      </c>
      <c r="I1475" t="str">
        <f t="shared" ref="I1475:I1480" si="279">("13/03/2026")</f>
        <v>13/03/2026</v>
      </c>
      <c r="J1475" t="str">
        <f>("12/02/2025")</f>
        <v>12/02/2025</v>
      </c>
      <c r="K1475" t="str">
        <f>("11/03/2026")</f>
        <v>11/03/2026</v>
      </c>
      <c r="L1475">
        <v>20</v>
      </c>
      <c r="M1475">
        <v>20</v>
      </c>
      <c r="N1475">
        <v>106</v>
      </c>
      <c r="O1475" t="str">
        <f>"ENTRADA DE CAPITAL"</f>
        <v>ENTRADA DE CAPITAL</v>
      </c>
      <c r="P1475">
        <v>20</v>
      </c>
      <c r="S1475" t="str">
        <f>"ENTRADA DE CAPITAL (106)"</f>
        <v>ENTRADA DE CAPITAL (106)</v>
      </c>
      <c r="T1475">
        <v>30530</v>
      </c>
      <c r="U1475">
        <v>9057</v>
      </c>
      <c r="V1475" t="s">
        <v>33</v>
      </c>
    </row>
    <row r="1476" spans="1:22">
      <c r="A1476" t="str">
        <f t="shared" si="277"/>
        <v>11/03/2026</v>
      </c>
      <c r="B1476" t="str">
        <f>"ENTRADA"</f>
        <v>ENTRADA</v>
      </c>
      <c r="C1476" t="str">
        <f>"DINHEIRO"</f>
        <v>DINHEIRO</v>
      </c>
      <c r="D1476" t="str">
        <f>"596"</f>
        <v>596</v>
      </c>
      <c r="E1476" t="str">
        <f>"14"</f>
        <v>14</v>
      </c>
      <c r="F1476" t="str">
        <f t="shared" si="278"/>
        <v>COM</v>
      </c>
      <c r="G1476" t="str">
        <f>"BRENO HENRIQUE DE SOUSA (596)"</f>
        <v>BRENO HENRIQUE DE SOUSA (596)</v>
      </c>
      <c r="H1476" t="s">
        <v>430</v>
      </c>
      <c r="I1476" t="str">
        <f t="shared" si="279"/>
        <v>13/03/2026</v>
      </c>
      <c r="J1476" t="str">
        <f>("12/02/2025")</f>
        <v>12/02/2025</v>
      </c>
      <c r="K1476">
        <v>46092</v>
      </c>
      <c r="N1476">
        <v>106</v>
      </c>
      <c r="O1476" t="s">
        <v>98</v>
      </c>
      <c r="Q1476">
        <v>20</v>
      </c>
      <c r="R1476" t="str">
        <f>"BRENO HENRIQUE DE SOUSA (596)"</f>
        <v>BRENO HENRIQUE DE SOUSA (596)</v>
      </c>
      <c r="S1476" t="s">
        <v>99</v>
      </c>
      <c r="T1476">
        <v>30530</v>
      </c>
      <c r="U1476">
        <v>9057</v>
      </c>
      <c r="V1476" t="s">
        <v>33</v>
      </c>
    </row>
    <row r="1477" spans="1:22">
      <c r="A1477" t="str">
        <f t="shared" si="277"/>
        <v>11/03/2026</v>
      </c>
      <c r="B1477" t="str">
        <f>"SAÍDA"</f>
        <v>SAÍDA</v>
      </c>
      <c r="C1477" t="str">
        <f>"PIX"</f>
        <v>PIX</v>
      </c>
      <c r="D1477" t="str">
        <f>"34061"</f>
        <v>34061</v>
      </c>
      <c r="E1477" t="str">
        <f>"1"</f>
        <v>1</v>
      </c>
      <c r="F1477" t="str">
        <f t="shared" si="278"/>
        <v>COM</v>
      </c>
      <c r="G1477" t="str">
        <f>"ERIC DE RAMOS GOMES (606)"</f>
        <v>ERIC DE RAMOS GOMES (606)</v>
      </c>
      <c r="H1477" t="str">
        <f>"Serv.Prest. 23/02/2026 a 01/03/2026 - PIX: E-MAIL - CHAVE: ericgomes508@gmail.com"</f>
        <v>Serv.Prest. 23/02/2026 a 01/03/2026 - PIX: E-MAIL - CHAVE: ericgomes508@gmail.com</v>
      </c>
      <c r="I1477" t="str">
        <f t="shared" si="279"/>
        <v>13/03/2026</v>
      </c>
      <c r="J1477" t="str">
        <f>("03/03/2026")</f>
        <v>03/03/2026</v>
      </c>
      <c r="K1477" t="str">
        <f>("11/03/2026")</f>
        <v>11/03/2026</v>
      </c>
      <c r="L1477">
        <v>20</v>
      </c>
      <c r="M1477">
        <v>20</v>
      </c>
      <c r="N1477">
        <v>109</v>
      </c>
      <c r="O1477" t="str">
        <f>"PAGAMENTO DE ENTREGADORES"</f>
        <v>PAGAMENTO DE ENTREGADORES</v>
      </c>
      <c r="P1477">
        <v>20</v>
      </c>
      <c r="S1477" t="str">
        <f>"BANCO CORA (102)"</f>
        <v>BANCO CORA (102)</v>
      </c>
      <c r="T1477">
        <v>30531</v>
      </c>
      <c r="U1477">
        <v>34796</v>
      </c>
      <c r="V1477" t="s">
        <v>33</v>
      </c>
    </row>
    <row r="1478" spans="1:22">
      <c r="A1478" t="str">
        <f t="shared" si="277"/>
        <v>11/03/2026</v>
      </c>
      <c r="B1478" t="str">
        <f>"SAÍDA"</f>
        <v>SAÍDA</v>
      </c>
      <c r="C1478" t="str">
        <f>"PIX"</f>
        <v>PIX</v>
      </c>
      <c r="D1478" t="str">
        <f>"34061"</f>
        <v>34061</v>
      </c>
      <c r="E1478" t="str">
        <f>"1"</f>
        <v>1</v>
      </c>
      <c r="F1478" t="str">
        <f t="shared" si="278"/>
        <v>COM</v>
      </c>
      <c r="G1478" t="str">
        <f>"ERIC DE RAMOS GOMES (606)"</f>
        <v>ERIC DE RAMOS GOMES (606)</v>
      </c>
      <c r="H1478" t="s">
        <v>535</v>
      </c>
      <c r="I1478" t="str">
        <f t="shared" si="279"/>
        <v>13/03/2026</v>
      </c>
      <c r="J1478" t="str">
        <f>("03/03/2026")</f>
        <v>03/03/2026</v>
      </c>
      <c r="K1478">
        <v>46092</v>
      </c>
      <c r="N1478">
        <v>109</v>
      </c>
      <c r="O1478" t="s">
        <v>27</v>
      </c>
      <c r="Q1478">
        <v>20</v>
      </c>
      <c r="R1478" t="str">
        <f>"FARMÁCIA INDIANA LJ 91 (10037)"</f>
        <v>FARMÁCIA INDIANA LJ 91 (10037)</v>
      </c>
      <c r="S1478" t="s">
        <v>33</v>
      </c>
      <c r="T1478">
        <v>30531</v>
      </c>
      <c r="U1478">
        <v>34796</v>
      </c>
      <c r="V1478" t="s">
        <v>33</v>
      </c>
    </row>
    <row r="1479" spans="1:22">
      <c r="A1479" t="str">
        <f t="shared" si="277"/>
        <v>11/03/2026</v>
      </c>
      <c r="B1479" t="str">
        <f>"ENTRADA"</f>
        <v>ENTRADA</v>
      </c>
      <c r="C1479" t="str">
        <f>"DINHEIRO"</f>
        <v>DINHEIRO</v>
      </c>
      <c r="D1479" t="str">
        <f>"606"</f>
        <v>606</v>
      </c>
      <c r="E1479" t="str">
        <f>"14"</f>
        <v>14</v>
      </c>
      <c r="F1479" t="str">
        <f t="shared" si="278"/>
        <v>COM</v>
      </c>
      <c r="G1479" t="str">
        <f>"ERIC DE RAMOS GOMES (606)"</f>
        <v>ERIC DE RAMOS GOMES (606)</v>
      </c>
      <c r="H1479" t="str">
        <f>"COTAS COOPERATIVA"</f>
        <v>COTAS COOPERATIVA</v>
      </c>
      <c r="I1479" t="str">
        <f t="shared" si="279"/>
        <v>13/03/2026</v>
      </c>
      <c r="J1479" t="str">
        <f>("12/02/2025")</f>
        <v>12/02/2025</v>
      </c>
      <c r="K1479" t="str">
        <f>("11/03/2026")</f>
        <v>11/03/2026</v>
      </c>
      <c r="L1479">
        <v>20</v>
      </c>
      <c r="M1479">
        <v>20</v>
      </c>
      <c r="N1479">
        <v>106</v>
      </c>
      <c r="O1479" t="str">
        <f>"ENTRADA DE CAPITAL"</f>
        <v>ENTRADA DE CAPITAL</v>
      </c>
      <c r="P1479">
        <v>20</v>
      </c>
      <c r="S1479" t="str">
        <f>"ENTRADA DE CAPITAL (106)"</f>
        <v>ENTRADA DE CAPITAL (106)</v>
      </c>
      <c r="T1479">
        <v>30532</v>
      </c>
      <c r="U1479">
        <v>9130</v>
      </c>
      <c r="V1479" t="s">
        <v>33</v>
      </c>
    </row>
    <row r="1480" spans="1:22">
      <c r="A1480" t="str">
        <f t="shared" si="277"/>
        <v>11/03/2026</v>
      </c>
      <c r="B1480" t="str">
        <f>"ENTRADA"</f>
        <v>ENTRADA</v>
      </c>
      <c r="C1480" t="str">
        <f>"DINHEIRO"</f>
        <v>DINHEIRO</v>
      </c>
      <c r="D1480" t="str">
        <f>"606"</f>
        <v>606</v>
      </c>
      <c r="E1480" t="str">
        <f>"14"</f>
        <v>14</v>
      </c>
      <c r="F1480" t="str">
        <f t="shared" si="278"/>
        <v>COM</v>
      </c>
      <c r="G1480" t="str">
        <f>"ERIC DE RAMOS GOMES (606)"</f>
        <v>ERIC DE RAMOS GOMES (606)</v>
      </c>
      <c r="H1480" t="s">
        <v>430</v>
      </c>
      <c r="I1480" t="str">
        <f t="shared" si="279"/>
        <v>13/03/2026</v>
      </c>
      <c r="J1480" t="str">
        <f>("12/02/2025")</f>
        <v>12/02/2025</v>
      </c>
      <c r="K1480">
        <v>46092</v>
      </c>
      <c r="N1480">
        <v>106</v>
      </c>
      <c r="O1480" t="s">
        <v>98</v>
      </c>
      <c r="Q1480">
        <v>20</v>
      </c>
      <c r="R1480" t="str">
        <f>"ERIC DE RAMOS GOMES (606)"</f>
        <v>ERIC DE RAMOS GOMES (606)</v>
      </c>
      <c r="S1480" t="s">
        <v>99</v>
      </c>
      <c r="T1480">
        <v>30532</v>
      </c>
      <c r="U1480">
        <v>9130</v>
      </c>
      <c r="V1480" t="s">
        <v>33</v>
      </c>
    </row>
    <row r="1481" spans="1:22">
      <c r="A1481" t="str">
        <f t="shared" si="277"/>
        <v>11/03/2026</v>
      </c>
      <c r="B1481" t="str">
        <f>"SAÍDA"</f>
        <v>SAÍDA</v>
      </c>
      <c r="C1481" t="str">
        <f>"PIX"</f>
        <v>PIX</v>
      </c>
      <c r="D1481" t="str">
        <f>"34313"</f>
        <v>34313</v>
      </c>
      <c r="E1481" t="str">
        <f>"1"</f>
        <v>1</v>
      </c>
      <c r="F1481" t="str">
        <f t="shared" si="278"/>
        <v>COM</v>
      </c>
      <c r="G1481" t="str">
        <f>"ISAEL SANTOS ROSA (642)"</f>
        <v>ISAEL SANTOS ROSA (642)</v>
      </c>
      <c r="H1481" t="str">
        <f>"Serv.Prest. 02/03/2026 a 08/03/2026 - PIX: CELULAR - CHAVE: (31) 99376-7989"</f>
        <v>Serv.Prest. 02/03/2026 a 08/03/2026 - PIX: CELULAR - CHAVE: (31) 99376-7989</v>
      </c>
      <c r="I1481" t="str">
        <f>("12/03/2026")</f>
        <v>12/03/2026</v>
      </c>
      <c r="J1481" t="str">
        <f>("09/03/2026")</f>
        <v>09/03/2026</v>
      </c>
      <c r="K1481" t="str">
        <f>("11/03/2026")</f>
        <v>11/03/2026</v>
      </c>
      <c r="L1481">
        <v>20</v>
      </c>
      <c r="M1481">
        <v>20</v>
      </c>
      <c r="N1481">
        <v>109</v>
      </c>
      <c r="O1481" t="str">
        <f>"PAGAMENTO DE ENTREGADORES"</f>
        <v>PAGAMENTO DE ENTREGADORES</v>
      </c>
      <c r="P1481">
        <v>20</v>
      </c>
      <c r="S1481" t="str">
        <f>"BANCO CORA (102)"</f>
        <v>BANCO CORA (102)</v>
      </c>
      <c r="T1481">
        <v>30533</v>
      </c>
      <c r="U1481">
        <v>34797</v>
      </c>
      <c r="V1481" t="s">
        <v>33</v>
      </c>
    </row>
    <row r="1482" spans="1:22">
      <c r="A1482" t="str">
        <f t="shared" si="277"/>
        <v>11/03/2026</v>
      </c>
      <c r="B1482" t="str">
        <f>"SAÍDA"</f>
        <v>SAÍDA</v>
      </c>
      <c r="C1482" t="str">
        <f>"PIX"</f>
        <v>PIX</v>
      </c>
      <c r="D1482" t="str">
        <f>"34313"</f>
        <v>34313</v>
      </c>
      <c r="E1482" t="str">
        <f>"1"</f>
        <v>1</v>
      </c>
      <c r="F1482" t="str">
        <f t="shared" si="278"/>
        <v>COM</v>
      </c>
      <c r="G1482" t="str">
        <f>"ISAEL SANTOS ROSA (642)"</f>
        <v>ISAEL SANTOS ROSA (642)</v>
      </c>
      <c r="H1482" t="s">
        <v>536</v>
      </c>
      <c r="I1482" t="str">
        <f>("12/03/2026")</f>
        <v>12/03/2026</v>
      </c>
      <c r="J1482" t="str">
        <f>("09/03/2026")</f>
        <v>09/03/2026</v>
      </c>
      <c r="K1482">
        <v>46092</v>
      </c>
      <c r="N1482">
        <v>109</v>
      </c>
      <c r="O1482" t="s">
        <v>27</v>
      </c>
      <c r="Q1482">
        <v>20</v>
      </c>
      <c r="R1482" t="str">
        <f>"DROGARIA POUPA MINAS (ULTRAMINAS) 3 (10129)"</f>
        <v>DROGARIA POUPA MINAS (ULTRAMINAS) 3 (10129)</v>
      </c>
      <c r="S1482" t="s">
        <v>33</v>
      </c>
      <c r="T1482">
        <v>30533</v>
      </c>
      <c r="U1482">
        <v>34797</v>
      </c>
      <c r="V1482" t="s">
        <v>33</v>
      </c>
    </row>
    <row r="1483" spans="1:22">
      <c r="A1483" t="str">
        <f t="shared" si="277"/>
        <v>11/03/2026</v>
      </c>
      <c r="B1483" t="str">
        <f>"ENTRADA"</f>
        <v>ENTRADA</v>
      </c>
      <c r="C1483" t="str">
        <f>"DINHEIRO"</f>
        <v>DINHEIRO</v>
      </c>
      <c r="D1483" t="str">
        <f>"642"</f>
        <v>642</v>
      </c>
      <c r="E1483" t="str">
        <f>"14"</f>
        <v>14</v>
      </c>
      <c r="F1483" t="str">
        <f t="shared" si="278"/>
        <v>COM</v>
      </c>
      <c r="G1483" t="str">
        <f>"ISAEL SANTOS ROSA (642)"</f>
        <v>ISAEL SANTOS ROSA (642)</v>
      </c>
      <c r="H1483" t="str">
        <f>"COTAS COOPERATIVA"</f>
        <v>COTAS COOPERATIVA</v>
      </c>
      <c r="I1483" t="str">
        <f t="shared" ref="I1483:I1497" si="280">("13/03/2026")</f>
        <v>13/03/2026</v>
      </c>
      <c r="J1483" t="str">
        <f>("12/02/2025")</f>
        <v>12/02/2025</v>
      </c>
      <c r="K1483" t="str">
        <f>("11/03/2026")</f>
        <v>11/03/2026</v>
      </c>
      <c r="L1483">
        <v>20</v>
      </c>
      <c r="M1483">
        <v>20</v>
      </c>
      <c r="N1483">
        <v>106</v>
      </c>
      <c r="O1483" t="str">
        <f>"ENTRADA DE CAPITAL"</f>
        <v>ENTRADA DE CAPITAL</v>
      </c>
      <c r="P1483">
        <v>20</v>
      </c>
      <c r="S1483" t="str">
        <f>"ENTRADA DE CAPITAL (106)"</f>
        <v>ENTRADA DE CAPITAL (106)</v>
      </c>
      <c r="T1483">
        <v>30534</v>
      </c>
      <c r="U1483">
        <v>9289</v>
      </c>
      <c r="V1483" t="s">
        <v>33</v>
      </c>
    </row>
    <row r="1484" spans="1:22">
      <c r="A1484" t="str">
        <f t="shared" si="277"/>
        <v>11/03/2026</v>
      </c>
      <c r="B1484" t="str">
        <f>"ENTRADA"</f>
        <v>ENTRADA</v>
      </c>
      <c r="C1484" t="str">
        <f>"DINHEIRO"</f>
        <v>DINHEIRO</v>
      </c>
      <c r="D1484" t="str">
        <f>"642"</f>
        <v>642</v>
      </c>
      <c r="E1484" t="str">
        <f>"14"</f>
        <v>14</v>
      </c>
      <c r="F1484" t="str">
        <f t="shared" si="278"/>
        <v>COM</v>
      </c>
      <c r="G1484" t="str">
        <f>"ISAEL SANTOS ROSA (642)"</f>
        <v>ISAEL SANTOS ROSA (642)</v>
      </c>
      <c r="H1484" t="s">
        <v>430</v>
      </c>
      <c r="I1484" t="str">
        <f t="shared" si="280"/>
        <v>13/03/2026</v>
      </c>
      <c r="J1484" t="str">
        <f>("12/02/2025")</f>
        <v>12/02/2025</v>
      </c>
      <c r="K1484">
        <v>46092</v>
      </c>
      <c r="N1484">
        <v>106</v>
      </c>
      <c r="O1484" t="s">
        <v>98</v>
      </c>
      <c r="Q1484">
        <v>20</v>
      </c>
      <c r="R1484" t="str">
        <f>"ISAEL SANTOS ROSA (642)"</f>
        <v>ISAEL SANTOS ROSA (642)</v>
      </c>
      <c r="S1484" t="s">
        <v>99</v>
      </c>
      <c r="T1484">
        <v>30534</v>
      </c>
      <c r="U1484">
        <v>9289</v>
      </c>
      <c r="V1484" t="s">
        <v>33</v>
      </c>
    </row>
    <row r="1485" spans="1:22">
      <c r="A1485" t="str">
        <f t="shared" si="277"/>
        <v>11/03/2026</v>
      </c>
      <c r="B1485" t="str">
        <f>"SAÍDA"</f>
        <v>SAÍDA</v>
      </c>
      <c r="C1485" t="str">
        <f>"PIX"</f>
        <v>PIX</v>
      </c>
      <c r="D1485" t="str">
        <f>"34072"</f>
        <v>34072</v>
      </c>
      <c r="E1485" t="str">
        <f>"1"</f>
        <v>1</v>
      </c>
      <c r="F1485" t="str">
        <f t="shared" si="278"/>
        <v>COM</v>
      </c>
      <c r="G1485" t="str">
        <f>"JUNIO SOUZA SILVA (610)"</f>
        <v>JUNIO SOUZA SILVA (610)</v>
      </c>
      <c r="H1485" t="str">
        <f>"Serv.Prest. 23/02/2026 a 01/03/2026 - PIX: CELULAR - CHAVE: (73) 98105-2187"</f>
        <v>Serv.Prest. 23/02/2026 a 01/03/2026 - PIX: CELULAR - CHAVE: (73) 98105-2187</v>
      </c>
      <c r="I1485" t="str">
        <f t="shared" si="280"/>
        <v>13/03/2026</v>
      </c>
      <c r="J1485" t="str">
        <f>("03/03/2026")</f>
        <v>03/03/2026</v>
      </c>
      <c r="K1485" t="str">
        <f>("11/03/2026")</f>
        <v>11/03/2026</v>
      </c>
      <c r="L1485">
        <v>20</v>
      </c>
      <c r="M1485">
        <v>20</v>
      </c>
      <c r="N1485">
        <v>109</v>
      </c>
      <c r="O1485" t="str">
        <f>"PAGAMENTO DE ENTREGADORES"</f>
        <v>PAGAMENTO DE ENTREGADORES</v>
      </c>
      <c r="P1485">
        <v>20</v>
      </c>
      <c r="S1485" t="str">
        <f>"BANCO CORA (102)"</f>
        <v>BANCO CORA (102)</v>
      </c>
      <c r="T1485">
        <v>30535</v>
      </c>
      <c r="U1485">
        <v>34798</v>
      </c>
      <c r="V1485" t="s">
        <v>33</v>
      </c>
    </row>
    <row r="1486" spans="1:22">
      <c r="A1486" t="str">
        <f t="shared" si="277"/>
        <v>11/03/2026</v>
      </c>
      <c r="B1486" t="str">
        <f>"SAÍDA"</f>
        <v>SAÍDA</v>
      </c>
      <c r="C1486" t="str">
        <f>"PIX"</f>
        <v>PIX</v>
      </c>
      <c r="D1486" t="str">
        <f>"34072"</f>
        <v>34072</v>
      </c>
      <c r="E1486" t="str">
        <f>"1"</f>
        <v>1</v>
      </c>
      <c r="F1486" t="str">
        <f t="shared" si="278"/>
        <v>COM</v>
      </c>
      <c r="G1486" t="str">
        <f>"JUNIO SOUZA SILVA (610)"</f>
        <v>JUNIO SOUZA SILVA (610)</v>
      </c>
      <c r="H1486" t="s">
        <v>537</v>
      </c>
      <c r="I1486" t="str">
        <f t="shared" si="280"/>
        <v>13/03/2026</v>
      </c>
      <c r="J1486" t="str">
        <f>("03/03/2026")</f>
        <v>03/03/2026</v>
      </c>
      <c r="K1486">
        <v>46092</v>
      </c>
      <c r="N1486">
        <v>109</v>
      </c>
      <c r="O1486" t="s">
        <v>27</v>
      </c>
      <c r="Q1486">
        <v>20</v>
      </c>
      <c r="R1486" t="str">
        <f>"FARMÁCIA INDIANA LJ 77 (10034)"</f>
        <v>FARMÁCIA INDIANA LJ 77 (10034)</v>
      </c>
      <c r="S1486" t="s">
        <v>33</v>
      </c>
      <c r="T1486">
        <v>30535</v>
      </c>
      <c r="U1486">
        <v>34798</v>
      </c>
      <c r="V1486" t="s">
        <v>33</v>
      </c>
    </row>
    <row r="1487" spans="1:22">
      <c r="A1487" t="str">
        <f t="shared" si="277"/>
        <v>11/03/2026</v>
      </c>
      <c r="B1487" t="str">
        <f>"ENTRADA"</f>
        <v>ENTRADA</v>
      </c>
      <c r="C1487" t="str">
        <f>"DINHEIRO"</f>
        <v>DINHEIRO</v>
      </c>
      <c r="D1487" t="str">
        <f>"610"</f>
        <v>610</v>
      </c>
      <c r="E1487" t="str">
        <f>"14"</f>
        <v>14</v>
      </c>
      <c r="F1487" t="str">
        <f t="shared" si="278"/>
        <v>COM</v>
      </c>
      <c r="G1487" t="str">
        <f>"JUNIO SOUZA SILVA (610)"</f>
        <v>JUNIO SOUZA SILVA (610)</v>
      </c>
      <c r="H1487" t="str">
        <f>"COTAS COOPERATIVA"</f>
        <v>COTAS COOPERATIVA</v>
      </c>
      <c r="I1487" t="str">
        <f t="shared" si="280"/>
        <v>13/03/2026</v>
      </c>
      <c r="J1487" t="str">
        <f>("12/02/2025")</f>
        <v>12/02/2025</v>
      </c>
      <c r="K1487" t="str">
        <f>("11/03/2026")</f>
        <v>11/03/2026</v>
      </c>
      <c r="L1487">
        <v>20</v>
      </c>
      <c r="M1487">
        <v>20</v>
      </c>
      <c r="N1487">
        <v>106</v>
      </c>
      <c r="O1487" t="str">
        <f>"ENTRADA DE CAPITAL"</f>
        <v>ENTRADA DE CAPITAL</v>
      </c>
      <c r="P1487">
        <v>20</v>
      </c>
      <c r="S1487" t="str">
        <f>"ENTRADA DE CAPITAL (106)"</f>
        <v>ENTRADA DE CAPITAL (106)</v>
      </c>
      <c r="T1487">
        <v>30536</v>
      </c>
      <c r="U1487">
        <v>9359</v>
      </c>
      <c r="V1487" t="s">
        <v>33</v>
      </c>
    </row>
    <row r="1488" spans="1:22">
      <c r="A1488" t="str">
        <f t="shared" si="277"/>
        <v>11/03/2026</v>
      </c>
      <c r="B1488" t="str">
        <f>"ENTRADA"</f>
        <v>ENTRADA</v>
      </c>
      <c r="C1488" t="str">
        <f>"DINHEIRO"</f>
        <v>DINHEIRO</v>
      </c>
      <c r="D1488" t="str">
        <f>"610"</f>
        <v>610</v>
      </c>
      <c r="E1488" t="str">
        <f>"14"</f>
        <v>14</v>
      </c>
      <c r="F1488" t="str">
        <f t="shared" si="278"/>
        <v>COM</v>
      </c>
      <c r="G1488" t="str">
        <f>"JUNIO SOUZA SILVA (610)"</f>
        <v>JUNIO SOUZA SILVA (610)</v>
      </c>
      <c r="H1488" t="s">
        <v>430</v>
      </c>
      <c r="I1488" t="str">
        <f t="shared" si="280"/>
        <v>13/03/2026</v>
      </c>
      <c r="J1488" t="str">
        <f>("12/02/2025")</f>
        <v>12/02/2025</v>
      </c>
      <c r="K1488">
        <v>46092</v>
      </c>
      <c r="N1488">
        <v>106</v>
      </c>
      <c r="O1488" t="s">
        <v>98</v>
      </c>
      <c r="Q1488">
        <v>20</v>
      </c>
      <c r="R1488" t="str">
        <f>"JUNIO SOUZA SILVA (610)"</f>
        <v>JUNIO SOUZA SILVA (610)</v>
      </c>
      <c r="S1488" t="s">
        <v>99</v>
      </c>
      <c r="T1488">
        <v>30536</v>
      </c>
      <c r="U1488">
        <v>9359</v>
      </c>
      <c r="V1488" t="s">
        <v>33</v>
      </c>
    </row>
    <row r="1489" spans="1:22">
      <c r="A1489" t="str">
        <f t="shared" si="277"/>
        <v>11/03/2026</v>
      </c>
      <c r="B1489" t="str">
        <f>"SAÍDA"</f>
        <v>SAÍDA</v>
      </c>
      <c r="C1489" t="str">
        <f>"PIX"</f>
        <v>PIX</v>
      </c>
      <c r="D1489" t="str">
        <f>"34153"</f>
        <v>34153</v>
      </c>
      <c r="E1489" t="str">
        <f>"1"</f>
        <v>1</v>
      </c>
      <c r="F1489" t="str">
        <f t="shared" si="278"/>
        <v>COM</v>
      </c>
      <c r="G1489" t="str">
        <f>"LUAN VICTOR SERQUEIRA DA SILVA (577)"</f>
        <v>LUAN VICTOR SERQUEIRA DA SILVA (577)</v>
      </c>
      <c r="H1489" t="str">
        <f>"Serv.Prest. 23/02/2026 a 01/03/2026 - PIX: CPF - CHAVE: 161.508.516-56"</f>
        <v>Serv.Prest. 23/02/2026 a 01/03/2026 - PIX: CPF - CHAVE: 161.508.516-56</v>
      </c>
      <c r="I1489" t="str">
        <f t="shared" si="280"/>
        <v>13/03/2026</v>
      </c>
      <c r="J1489" t="str">
        <f>("03/03/2026")</f>
        <v>03/03/2026</v>
      </c>
      <c r="K1489" t="str">
        <f>("11/03/2026")</f>
        <v>11/03/2026</v>
      </c>
      <c r="L1489">
        <v>20</v>
      </c>
      <c r="M1489">
        <v>20</v>
      </c>
      <c r="N1489">
        <v>109</v>
      </c>
      <c r="O1489" t="str">
        <f>"PAGAMENTO DE ENTREGADORES"</f>
        <v>PAGAMENTO DE ENTREGADORES</v>
      </c>
      <c r="P1489">
        <v>20</v>
      </c>
      <c r="S1489" t="str">
        <f>"BANCO CORA (102)"</f>
        <v>BANCO CORA (102)</v>
      </c>
      <c r="T1489">
        <v>30537</v>
      </c>
      <c r="U1489">
        <v>34799</v>
      </c>
      <c r="V1489" t="s">
        <v>33</v>
      </c>
    </row>
    <row r="1490" spans="1:22">
      <c r="A1490" t="str">
        <f t="shared" si="277"/>
        <v>11/03/2026</v>
      </c>
      <c r="B1490" t="str">
        <f>"SAÍDA"</f>
        <v>SAÍDA</v>
      </c>
      <c r="C1490" t="str">
        <f>"PIX"</f>
        <v>PIX</v>
      </c>
      <c r="D1490" t="str">
        <f>"34153"</f>
        <v>34153</v>
      </c>
      <c r="E1490" t="str">
        <f>"1"</f>
        <v>1</v>
      </c>
      <c r="F1490" t="str">
        <f t="shared" si="278"/>
        <v>COM</v>
      </c>
      <c r="G1490" t="str">
        <f>"LUAN VICTOR SERQUEIRA DA SILVA (577)"</f>
        <v>LUAN VICTOR SERQUEIRA DA SILVA (577)</v>
      </c>
      <c r="H1490" t="s">
        <v>538</v>
      </c>
      <c r="I1490" t="str">
        <f t="shared" si="280"/>
        <v>13/03/2026</v>
      </c>
      <c r="J1490" t="str">
        <f>("03/03/2026")</f>
        <v>03/03/2026</v>
      </c>
      <c r="K1490">
        <v>46092</v>
      </c>
      <c r="N1490">
        <v>109</v>
      </c>
      <c r="O1490" t="s">
        <v>27</v>
      </c>
      <c r="Q1490">
        <v>20</v>
      </c>
      <c r="R1490" t="str">
        <f>"FARMÁCIA INDIANA LJ 202 (10085)"</f>
        <v>FARMÁCIA INDIANA LJ 202 (10085)</v>
      </c>
      <c r="S1490" t="s">
        <v>33</v>
      </c>
      <c r="T1490">
        <v>30537</v>
      </c>
      <c r="U1490">
        <v>34799</v>
      </c>
      <c r="V1490" t="s">
        <v>33</v>
      </c>
    </row>
    <row r="1491" spans="1:22">
      <c r="A1491" t="str">
        <f t="shared" si="277"/>
        <v>11/03/2026</v>
      </c>
      <c r="B1491" t="str">
        <f>"ENTRADA"</f>
        <v>ENTRADA</v>
      </c>
      <c r="C1491" t="str">
        <f>"DINHEIRO"</f>
        <v>DINHEIRO</v>
      </c>
      <c r="D1491" t="str">
        <f>"577"</f>
        <v>577</v>
      </c>
      <c r="E1491" t="str">
        <f>"14"</f>
        <v>14</v>
      </c>
      <c r="F1491" t="str">
        <f t="shared" si="278"/>
        <v>COM</v>
      </c>
      <c r="G1491" t="str">
        <f>"LUAN VICTOR SERQUEIRA DA SILVA (577)"</f>
        <v>LUAN VICTOR SERQUEIRA DA SILVA (577)</v>
      </c>
      <c r="H1491" t="str">
        <f>"COTAS COOPERATIVA"</f>
        <v>COTAS COOPERATIVA</v>
      </c>
      <c r="I1491" t="str">
        <f t="shared" si="280"/>
        <v>13/03/2026</v>
      </c>
      <c r="J1491" t="str">
        <f>("13/02/2025")</f>
        <v>13/02/2025</v>
      </c>
      <c r="K1491" t="str">
        <f>("11/03/2026")</f>
        <v>11/03/2026</v>
      </c>
      <c r="L1491">
        <v>20</v>
      </c>
      <c r="M1491">
        <v>20</v>
      </c>
      <c r="N1491">
        <v>106</v>
      </c>
      <c r="O1491" t="str">
        <f>"ENTRADA DE CAPITAL"</f>
        <v>ENTRADA DE CAPITAL</v>
      </c>
      <c r="P1491">
        <v>20</v>
      </c>
      <c r="S1491" t="str">
        <f>"ENTRADA DE CAPITAL (106)"</f>
        <v>ENTRADA DE CAPITAL (106)</v>
      </c>
      <c r="T1491">
        <v>30538</v>
      </c>
      <c r="U1491">
        <v>9469</v>
      </c>
      <c r="V1491" t="s">
        <v>33</v>
      </c>
    </row>
    <row r="1492" spans="1:22">
      <c r="A1492" t="str">
        <f t="shared" si="277"/>
        <v>11/03/2026</v>
      </c>
      <c r="B1492" t="str">
        <f>"ENTRADA"</f>
        <v>ENTRADA</v>
      </c>
      <c r="C1492" t="str">
        <f>"DINHEIRO"</f>
        <v>DINHEIRO</v>
      </c>
      <c r="D1492" t="str">
        <f>"577"</f>
        <v>577</v>
      </c>
      <c r="E1492" t="str">
        <f>"14"</f>
        <v>14</v>
      </c>
      <c r="F1492" t="str">
        <f t="shared" si="278"/>
        <v>COM</v>
      </c>
      <c r="G1492" t="str">
        <f>"LUAN VICTOR SERQUEIRA DA SILVA (577)"</f>
        <v>LUAN VICTOR SERQUEIRA DA SILVA (577)</v>
      </c>
      <c r="H1492" t="s">
        <v>430</v>
      </c>
      <c r="I1492" t="str">
        <f t="shared" si="280"/>
        <v>13/03/2026</v>
      </c>
      <c r="J1492" t="str">
        <f>("13/02/2025")</f>
        <v>13/02/2025</v>
      </c>
      <c r="K1492">
        <v>46092</v>
      </c>
      <c r="N1492">
        <v>106</v>
      </c>
      <c r="O1492" t="s">
        <v>98</v>
      </c>
      <c r="Q1492">
        <v>20</v>
      </c>
      <c r="R1492" t="str">
        <f>"LUAN VICTOR SERQUEIRA DA SILVA (577)"</f>
        <v>LUAN VICTOR SERQUEIRA DA SILVA (577)</v>
      </c>
      <c r="S1492" t="s">
        <v>99</v>
      </c>
      <c r="T1492">
        <v>30538</v>
      </c>
      <c r="U1492">
        <v>9469</v>
      </c>
      <c r="V1492" t="s">
        <v>33</v>
      </c>
    </row>
    <row r="1493" spans="1:22">
      <c r="A1493" t="str">
        <f t="shared" si="277"/>
        <v>11/03/2026</v>
      </c>
      <c r="B1493" t="str">
        <f>"SAÍDA"</f>
        <v>SAÍDA</v>
      </c>
      <c r="C1493" t="str">
        <f>"PIX"</f>
        <v>PIX</v>
      </c>
      <c r="D1493" t="str">
        <f>"34078"</f>
        <v>34078</v>
      </c>
      <c r="E1493" t="str">
        <f>"1"</f>
        <v>1</v>
      </c>
      <c r="F1493" t="str">
        <f t="shared" si="278"/>
        <v>COM</v>
      </c>
      <c r="G1493" t="str">
        <f>"MARIA ILZA PEREIRA DOS SANTOS (618)"</f>
        <v>MARIA ILZA PEREIRA DOS SANTOS (618)</v>
      </c>
      <c r="H1493" t="str">
        <f>"Serv.Prest. 23/02/2026 a 01/03/2026 - PIX: CPF - CHAVE: 003.157.195-67"</f>
        <v>Serv.Prest. 23/02/2026 a 01/03/2026 - PIX: CPF - CHAVE: 003.157.195-67</v>
      </c>
      <c r="I1493" t="str">
        <f t="shared" si="280"/>
        <v>13/03/2026</v>
      </c>
      <c r="J1493" t="str">
        <f>("03/03/2026")</f>
        <v>03/03/2026</v>
      </c>
      <c r="K1493" t="str">
        <f>("11/03/2026")</f>
        <v>11/03/2026</v>
      </c>
      <c r="L1493">
        <v>20</v>
      </c>
      <c r="M1493">
        <v>20</v>
      </c>
      <c r="N1493">
        <v>109</v>
      </c>
      <c r="O1493" t="str">
        <f>"PAGAMENTO DE ENTREGADORES"</f>
        <v>PAGAMENTO DE ENTREGADORES</v>
      </c>
      <c r="P1493">
        <v>20</v>
      </c>
      <c r="S1493" t="str">
        <f>"BANCO CORA (102)"</f>
        <v>BANCO CORA (102)</v>
      </c>
      <c r="T1493">
        <v>30539</v>
      </c>
      <c r="U1493">
        <v>34800</v>
      </c>
      <c r="V1493" t="s">
        <v>33</v>
      </c>
    </row>
    <row r="1494" spans="1:22">
      <c r="A1494" t="str">
        <f t="shared" si="277"/>
        <v>11/03/2026</v>
      </c>
      <c r="B1494" t="str">
        <f>"SAÍDA"</f>
        <v>SAÍDA</v>
      </c>
      <c r="C1494" t="str">
        <f>"PIX"</f>
        <v>PIX</v>
      </c>
      <c r="D1494" t="str">
        <f>"34078"</f>
        <v>34078</v>
      </c>
      <c r="E1494" t="str">
        <f>"1"</f>
        <v>1</v>
      </c>
      <c r="F1494" t="str">
        <f t="shared" si="278"/>
        <v>COM</v>
      </c>
      <c r="G1494" t="str">
        <f>"MARIA ILZA PEREIRA DOS SANTOS (618)"</f>
        <v>MARIA ILZA PEREIRA DOS SANTOS (618)</v>
      </c>
      <c r="H1494" t="s">
        <v>539</v>
      </c>
      <c r="I1494" t="str">
        <f t="shared" si="280"/>
        <v>13/03/2026</v>
      </c>
      <c r="J1494" t="str">
        <f>("03/03/2026")</f>
        <v>03/03/2026</v>
      </c>
      <c r="K1494">
        <v>46092</v>
      </c>
      <c r="N1494">
        <v>109</v>
      </c>
      <c r="O1494" t="s">
        <v>27</v>
      </c>
      <c r="Q1494">
        <v>16.84</v>
      </c>
      <c r="R1494" t="str">
        <f>"FARMÁCIA INDIANA LJ 65 (10030)"</f>
        <v>FARMÁCIA INDIANA LJ 65 (10030)</v>
      </c>
      <c r="S1494" t="s">
        <v>33</v>
      </c>
      <c r="T1494">
        <v>30539</v>
      </c>
      <c r="U1494">
        <v>34800</v>
      </c>
      <c r="V1494" t="s">
        <v>33</v>
      </c>
    </row>
    <row r="1495" spans="1:22">
      <c r="A1495" t="str">
        <f t="shared" si="277"/>
        <v>11/03/2026</v>
      </c>
      <c r="B1495" t="str">
        <f>"SAÍDA"</f>
        <v>SAÍDA</v>
      </c>
      <c r="C1495" t="str">
        <f>"PIX"</f>
        <v>PIX</v>
      </c>
      <c r="D1495" t="str">
        <f>"34078"</f>
        <v>34078</v>
      </c>
      <c r="E1495" t="str">
        <f>"1"</f>
        <v>1</v>
      </c>
      <c r="F1495" t="str">
        <f t="shared" si="278"/>
        <v>COM</v>
      </c>
      <c r="G1495" t="str">
        <f>"MARIA ILZA PEREIRA DOS SANTOS (618)"</f>
        <v>MARIA ILZA PEREIRA DOS SANTOS (618)</v>
      </c>
      <c r="H1495" t="s">
        <v>539</v>
      </c>
      <c r="I1495" t="str">
        <f t="shared" si="280"/>
        <v>13/03/2026</v>
      </c>
      <c r="J1495" t="str">
        <f>("03/03/2026")</f>
        <v>03/03/2026</v>
      </c>
      <c r="K1495">
        <v>46092</v>
      </c>
      <c r="N1495">
        <v>109</v>
      </c>
      <c r="O1495" t="s">
        <v>27</v>
      </c>
      <c r="Q1495">
        <v>3.16</v>
      </c>
      <c r="R1495" t="str">
        <f>"FARMÁCIA INDIANA LJ 173 (10075)"</f>
        <v>FARMÁCIA INDIANA LJ 173 (10075)</v>
      </c>
      <c r="S1495" t="s">
        <v>33</v>
      </c>
      <c r="T1495">
        <v>30539</v>
      </c>
      <c r="U1495">
        <v>34800</v>
      </c>
      <c r="V1495" t="s">
        <v>33</v>
      </c>
    </row>
    <row r="1496" spans="1:22">
      <c r="A1496" t="str">
        <f t="shared" si="277"/>
        <v>11/03/2026</v>
      </c>
      <c r="B1496" t="str">
        <f>"ENTRADA"</f>
        <v>ENTRADA</v>
      </c>
      <c r="C1496" t="str">
        <f>"DINHEIRO"</f>
        <v>DINHEIRO</v>
      </c>
      <c r="D1496" t="str">
        <f>"618"</f>
        <v>618</v>
      </c>
      <c r="E1496" t="str">
        <f>"14"</f>
        <v>14</v>
      </c>
      <c r="F1496" t="str">
        <f t="shared" si="278"/>
        <v>COM</v>
      </c>
      <c r="G1496" t="str">
        <f>"MARIA ILZA PEREIRA DOS SANTOS (618)"</f>
        <v>MARIA ILZA PEREIRA DOS SANTOS (618)</v>
      </c>
      <c r="H1496" t="str">
        <f>"COTAS COOPERATIVA"</f>
        <v>COTAS COOPERATIVA</v>
      </c>
      <c r="I1496" t="str">
        <f t="shared" si="280"/>
        <v>13/03/2026</v>
      </c>
      <c r="J1496" t="str">
        <f>("13/02/2025")</f>
        <v>13/02/2025</v>
      </c>
      <c r="K1496" t="str">
        <f>("11/03/2026")</f>
        <v>11/03/2026</v>
      </c>
      <c r="L1496">
        <v>20</v>
      </c>
      <c r="M1496">
        <v>20</v>
      </c>
      <c r="N1496">
        <v>106</v>
      </c>
      <c r="O1496" t="str">
        <f>"ENTRADA DE CAPITAL"</f>
        <v>ENTRADA DE CAPITAL</v>
      </c>
      <c r="P1496">
        <v>20</v>
      </c>
      <c r="S1496" t="str">
        <f>"ENTRADA DE CAPITAL (106)"</f>
        <v>ENTRADA DE CAPITAL (106)</v>
      </c>
      <c r="T1496">
        <v>30540</v>
      </c>
      <c r="U1496">
        <v>9530</v>
      </c>
      <c r="V1496" t="s">
        <v>33</v>
      </c>
    </row>
    <row r="1497" spans="1:22">
      <c r="A1497" t="str">
        <f t="shared" si="277"/>
        <v>11/03/2026</v>
      </c>
      <c r="B1497" t="str">
        <f>"ENTRADA"</f>
        <v>ENTRADA</v>
      </c>
      <c r="C1497" t="str">
        <f>"DINHEIRO"</f>
        <v>DINHEIRO</v>
      </c>
      <c r="D1497" t="str">
        <f>"618"</f>
        <v>618</v>
      </c>
      <c r="E1497" t="str">
        <f>"14"</f>
        <v>14</v>
      </c>
      <c r="F1497" t="str">
        <f t="shared" si="278"/>
        <v>COM</v>
      </c>
      <c r="G1497" t="str">
        <f>"MARIA ILZA PEREIRA DOS SANTOS (618)"</f>
        <v>MARIA ILZA PEREIRA DOS SANTOS (618)</v>
      </c>
      <c r="H1497" t="s">
        <v>430</v>
      </c>
      <c r="I1497" t="str">
        <f t="shared" si="280"/>
        <v>13/03/2026</v>
      </c>
      <c r="J1497" t="str">
        <f>("13/02/2025")</f>
        <v>13/02/2025</v>
      </c>
      <c r="K1497">
        <v>46092</v>
      </c>
      <c r="N1497">
        <v>106</v>
      </c>
      <c r="O1497" t="s">
        <v>98</v>
      </c>
      <c r="Q1497">
        <v>20</v>
      </c>
      <c r="R1497" t="str">
        <f>"MARIA ILZA PEREIRA DOS SANTOS (618)"</f>
        <v>MARIA ILZA PEREIRA DOS SANTOS (618)</v>
      </c>
      <c r="S1497" t="s">
        <v>99</v>
      </c>
      <c r="T1497">
        <v>30540</v>
      </c>
      <c r="U1497">
        <v>9530</v>
      </c>
      <c r="V1497" t="s">
        <v>33</v>
      </c>
    </row>
    <row r="1498" spans="1:22">
      <c r="A1498" t="str">
        <f t="shared" si="277"/>
        <v>11/03/2026</v>
      </c>
      <c r="B1498" t="str">
        <f>"SAÍDA"</f>
        <v>SAÍDA</v>
      </c>
      <c r="C1498" t="str">
        <f>"PIX"</f>
        <v>PIX</v>
      </c>
      <c r="D1498" t="str">
        <f>"34518"</f>
        <v>34518</v>
      </c>
      <c r="E1498" t="str">
        <f>"1"</f>
        <v>1</v>
      </c>
      <c r="F1498" t="str">
        <f t="shared" si="278"/>
        <v>COM</v>
      </c>
      <c r="G1498" t="str">
        <f>"ROBSON OLIVEIRA DE JESUS (623)"</f>
        <v>ROBSON OLIVEIRA DE JESUS (623)</v>
      </c>
      <c r="H1498" t="str">
        <f>"Serv.Prest. 02/03/2026 a 08/03/2026 - PIX: CELULAR - CHAVE: (73) 98166-3325"</f>
        <v>Serv.Prest. 02/03/2026 a 08/03/2026 - PIX: CELULAR - CHAVE: (73) 98166-3325</v>
      </c>
      <c r="I1498" t="str">
        <f>("19/03/2026")</f>
        <v>19/03/2026</v>
      </c>
      <c r="J1498" t="str">
        <f>("10/03/2026")</f>
        <v>10/03/2026</v>
      </c>
      <c r="K1498" t="str">
        <f>("11/03/2026")</f>
        <v>11/03/2026</v>
      </c>
      <c r="L1498">
        <v>20</v>
      </c>
      <c r="M1498">
        <v>20</v>
      </c>
      <c r="N1498">
        <v>109</v>
      </c>
      <c r="O1498" t="str">
        <f>"PAGAMENTO DE ENTREGADORES"</f>
        <v>PAGAMENTO DE ENTREGADORES</v>
      </c>
      <c r="P1498">
        <v>20</v>
      </c>
      <c r="S1498" t="str">
        <f>"BANCO CORA (102)"</f>
        <v>BANCO CORA (102)</v>
      </c>
      <c r="T1498">
        <v>30541</v>
      </c>
      <c r="U1498">
        <v>34801</v>
      </c>
      <c r="V1498" t="s">
        <v>33</v>
      </c>
    </row>
    <row r="1499" spans="1:22">
      <c r="A1499" t="str">
        <f t="shared" si="277"/>
        <v>11/03/2026</v>
      </c>
      <c r="B1499" t="str">
        <f>"SAÍDA"</f>
        <v>SAÍDA</v>
      </c>
      <c r="C1499" t="str">
        <f>"PIX"</f>
        <v>PIX</v>
      </c>
      <c r="D1499" t="str">
        <f>"34518"</f>
        <v>34518</v>
      </c>
      <c r="E1499" t="str">
        <f>"1"</f>
        <v>1</v>
      </c>
      <c r="F1499" t="str">
        <f t="shared" si="278"/>
        <v>COM</v>
      </c>
      <c r="G1499" t="str">
        <f>"ROBSON OLIVEIRA DE JESUS (623)"</f>
        <v>ROBSON OLIVEIRA DE JESUS (623)</v>
      </c>
      <c r="H1499" t="s">
        <v>540</v>
      </c>
      <c r="I1499" t="str">
        <f>("19/03/2026")</f>
        <v>19/03/2026</v>
      </c>
      <c r="J1499" t="str">
        <f>("10/03/2026")</f>
        <v>10/03/2026</v>
      </c>
      <c r="K1499">
        <v>46092</v>
      </c>
      <c r="N1499">
        <v>109</v>
      </c>
      <c r="O1499" t="s">
        <v>27</v>
      </c>
      <c r="Q1499">
        <v>20</v>
      </c>
      <c r="R1499" t="str">
        <f>"FARMÁCIA INDIANA LJ 145 (10068)"</f>
        <v>FARMÁCIA INDIANA LJ 145 (10068)</v>
      </c>
      <c r="S1499" t="s">
        <v>33</v>
      </c>
      <c r="T1499">
        <v>30541</v>
      </c>
      <c r="U1499">
        <v>34801</v>
      </c>
      <c r="V1499" t="s">
        <v>33</v>
      </c>
    </row>
    <row r="1500" spans="1:22">
      <c r="A1500" t="str">
        <f t="shared" si="277"/>
        <v>11/03/2026</v>
      </c>
      <c r="B1500" t="str">
        <f>"ENTRADA"</f>
        <v>ENTRADA</v>
      </c>
      <c r="C1500" t="str">
        <f>"DINHEIRO"</f>
        <v>DINHEIRO</v>
      </c>
      <c r="D1500" t="str">
        <f>"623"</f>
        <v>623</v>
      </c>
      <c r="E1500" t="str">
        <f>"14"</f>
        <v>14</v>
      </c>
      <c r="F1500" t="str">
        <f t="shared" si="278"/>
        <v>COM</v>
      </c>
      <c r="G1500" t="str">
        <f>"ROBSON OLIVEIRA DE JESUS (623)"</f>
        <v>ROBSON OLIVEIRA DE JESUS (623)</v>
      </c>
      <c r="H1500" t="str">
        <f>"COTAS COOPERATIVA"</f>
        <v>COTAS COOPERATIVA</v>
      </c>
      <c r="I1500" t="str">
        <f>("13/03/2026")</f>
        <v>13/03/2026</v>
      </c>
      <c r="J1500" t="str">
        <f>("13/02/2025")</f>
        <v>13/02/2025</v>
      </c>
      <c r="K1500" t="str">
        <f>("11/03/2026")</f>
        <v>11/03/2026</v>
      </c>
      <c r="L1500">
        <v>20</v>
      </c>
      <c r="M1500">
        <v>20</v>
      </c>
      <c r="N1500">
        <v>106</v>
      </c>
      <c r="O1500" t="str">
        <f>"ENTRADA DE CAPITAL"</f>
        <v>ENTRADA DE CAPITAL</v>
      </c>
      <c r="P1500">
        <v>20</v>
      </c>
      <c r="S1500" t="str">
        <f>"ENTRADA DE CAPITAL (106)"</f>
        <v>ENTRADA DE CAPITAL (106)</v>
      </c>
      <c r="T1500">
        <v>30542</v>
      </c>
      <c r="U1500">
        <v>9857</v>
      </c>
      <c r="V1500" t="s">
        <v>33</v>
      </c>
    </row>
    <row r="1501" spans="1:22">
      <c r="A1501" t="str">
        <f t="shared" si="277"/>
        <v>11/03/2026</v>
      </c>
      <c r="B1501" t="str">
        <f>"ENTRADA"</f>
        <v>ENTRADA</v>
      </c>
      <c r="C1501" t="str">
        <f>"DINHEIRO"</f>
        <v>DINHEIRO</v>
      </c>
      <c r="D1501" t="str">
        <f>"623"</f>
        <v>623</v>
      </c>
      <c r="E1501" t="str">
        <f>"14"</f>
        <v>14</v>
      </c>
      <c r="F1501" t="str">
        <f t="shared" si="278"/>
        <v>COM</v>
      </c>
      <c r="G1501" t="str">
        <f>"ROBSON OLIVEIRA DE JESUS (623)"</f>
        <v>ROBSON OLIVEIRA DE JESUS (623)</v>
      </c>
      <c r="H1501" t="s">
        <v>430</v>
      </c>
      <c r="I1501" t="str">
        <f>("13/03/2026")</f>
        <v>13/03/2026</v>
      </c>
      <c r="J1501" t="str">
        <f>("13/02/2025")</f>
        <v>13/02/2025</v>
      </c>
      <c r="K1501">
        <v>46092</v>
      </c>
      <c r="N1501">
        <v>106</v>
      </c>
      <c r="O1501" t="s">
        <v>98</v>
      </c>
      <c r="Q1501">
        <v>20</v>
      </c>
      <c r="R1501" t="str">
        <f>"ROBSON OLIVEIRA DE JESUS (623)"</f>
        <v>ROBSON OLIVEIRA DE JESUS (623)</v>
      </c>
      <c r="S1501" t="s">
        <v>99</v>
      </c>
      <c r="T1501">
        <v>30542</v>
      </c>
      <c r="U1501">
        <v>9857</v>
      </c>
      <c r="V1501" t="s">
        <v>33</v>
      </c>
    </row>
    <row r="1502" spans="1:22">
      <c r="A1502" t="str">
        <f t="shared" si="277"/>
        <v>11/03/2026</v>
      </c>
      <c r="B1502" t="str">
        <f>"SAÍDA"</f>
        <v>SAÍDA</v>
      </c>
      <c r="C1502" t="str">
        <f>"PIX"</f>
        <v>PIX</v>
      </c>
      <c r="D1502" t="str">
        <f>"34519"</f>
        <v>34519</v>
      </c>
      <c r="E1502" t="str">
        <f>"1"</f>
        <v>1</v>
      </c>
      <c r="F1502" t="str">
        <f t="shared" si="278"/>
        <v>COM</v>
      </c>
      <c r="G1502" t="str">
        <f>"TALES DE JESUS OLIVEIRA (318)"</f>
        <v>TALES DE JESUS OLIVEIRA (318)</v>
      </c>
      <c r="H1502" t="str">
        <f>"Serv.Prest. 02/03/2026 a 08/03/2026 - PIX: CPF - CHAVE: 378.223.888-51"</f>
        <v>Serv.Prest. 02/03/2026 a 08/03/2026 - PIX: CPF - CHAVE: 378.223.888-51</v>
      </c>
      <c r="I1502" t="str">
        <f>("19/03/2026")</f>
        <v>19/03/2026</v>
      </c>
      <c r="J1502" t="str">
        <f>("10/03/2026")</f>
        <v>10/03/2026</v>
      </c>
      <c r="K1502" t="str">
        <f>("11/03/2026")</f>
        <v>11/03/2026</v>
      </c>
      <c r="L1502">
        <v>20</v>
      </c>
      <c r="M1502">
        <v>20</v>
      </c>
      <c r="N1502">
        <v>109</v>
      </c>
      <c r="O1502" t="str">
        <f>"PAGAMENTO DE ENTREGADORES"</f>
        <v>PAGAMENTO DE ENTREGADORES</v>
      </c>
      <c r="P1502">
        <v>20</v>
      </c>
      <c r="S1502" t="str">
        <f>"BANCO CORA (102)"</f>
        <v>BANCO CORA (102)</v>
      </c>
      <c r="T1502">
        <v>30543</v>
      </c>
      <c r="U1502">
        <v>34802</v>
      </c>
      <c r="V1502" t="s">
        <v>33</v>
      </c>
    </row>
    <row r="1503" spans="1:22">
      <c r="A1503" t="str">
        <f t="shared" si="277"/>
        <v>11/03/2026</v>
      </c>
      <c r="B1503" t="str">
        <f>"SAÍDA"</f>
        <v>SAÍDA</v>
      </c>
      <c r="C1503" t="str">
        <f>"PIX"</f>
        <v>PIX</v>
      </c>
      <c r="D1503" t="str">
        <f>"34519"</f>
        <v>34519</v>
      </c>
      <c r="E1503" t="str">
        <f>"1"</f>
        <v>1</v>
      </c>
      <c r="F1503" t="str">
        <f t="shared" si="278"/>
        <v>COM</v>
      </c>
      <c r="G1503" t="str">
        <f>"TALES DE JESUS OLIVEIRA (318)"</f>
        <v>TALES DE JESUS OLIVEIRA (318)</v>
      </c>
      <c r="H1503" t="s">
        <v>541</v>
      </c>
      <c r="I1503" t="str">
        <f>("19/03/2026")</f>
        <v>19/03/2026</v>
      </c>
      <c r="J1503" t="str">
        <f>("10/03/2026")</f>
        <v>10/03/2026</v>
      </c>
      <c r="K1503">
        <v>46092</v>
      </c>
      <c r="N1503">
        <v>109</v>
      </c>
      <c r="O1503" t="s">
        <v>27</v>
      </c>
      <c r="Q1503">
        <v>20</v>
      </c>
      <c r="R1503" t="str">
        <f>"FARMÁCIA INDIANA LJ 145 (10068)"</f>
        <v>FARMÁCIA INDIANA LJ 145 (10068)</v>
      </c>
      <c r="S1503" t="s">
        <v>33</v>
      </c>
      <c r="T1503">
        <v>30543</v>
      </c>
      <c r="U1503">
        <v>34802</v>
      </c>
      <c r="V1503" t="s">
        <v>33</v>
      </c>
    </row>
    <row r="1504" spans="1:22">
      <c r="A1504" t="str">
        <f t="shared" si="277"/>
        <v>11/03/2026</v>
      </c>
      <c r="B1504" t="str">
        <f>"ENTRADA"</f>
        <v>ENTRADA</v>
      </c>
      <c r="C1504" t="str">
        <f>"DINHEIRO"</f>
        <v>DINHEIRO</v>
      </c>
      <c r="D1504" t="str">
        <f>"318"</f>
        <v>318</v>
      </c>
      <c r="E1504" t="str">
        <f>"15"</f>
        <v>15</v>
      </c>
      <c r="F1504" t="str">
        <f t="shared" si="278"/>
        <v>COM</v>
      </c>
      <c r="G1504" t="str">
        <f>"TALES DE JESUS OLIVEIRA (318)"</f>
        <v>TALES DE JESUS OLIVEIRA (318)</v>
      </c>
      <c r="H1504" t="str">
        <f>"COTAS COOPERATIVA"</f>
        <v>COTAS COOPERATIVA</v>
      </c>
      <c r="I1504" t="str">
        <f t="shared" ref="I1504:I1512" si="281">("13/03/2026")</f>
        <v>13/03/2026</v>
      </c>
      <c r="J1504" t="str">
        <f>("13/02/2025")</f>
        <v>13/02/2025</v>
      </c>
      <c r="K1504" t="str">
        <f>("11/03/2026")</f>
        <v>11/03/2026</v>
      </c>
      <c r="L1504">
        <v>20</v>
      </c>
      <c r="M1504">
        <v>20</v>
      </c>
      <c r="N1504">
        <v>106</v>
      </c>
      <c r="O1504" t="str">
        <f>"ENTRADA DE CAPITAL"</f>
        <v>ENTRADA DE CAPITAL</v>
      </c>
      <c r="P1504">
        <v>20</v>
      </c>
      <c r="S1504" t="str">
        <f>"ENTRADA DE CAPITAL (106)"</f>
        <v>ENTRADA DE CAPITAL (106)</v>
      </c>
      <c r="T1504">
        <v>30544</v>
      </c>
      <c r="U1504">
        <v>9833</v>
      </c>
      <c r="V1504" t="s">
        <v>33</v>
      </c>
    </row>
    <row r="1505" spans="1:22">
      <c r="A1505" t="str">
        <f t="shared" si="277"/>
        <v>11/03/2026</v>
      </c>
      <c r="B1505" t="str">
        <f>"ENTRADA"</f>
        <v>ENTRADA</v>
      </c>
      <c r="C1505" t="str">
        <f>"DINHEIRO"</f>
        <v>DINHEIRO</v>
      </c>
      <c r="D1505" t="str">
        <f>"318"</f>
        <v>318</v>
      </c>
      <c r="E1505" t="str">
        <f>"15"</f>
        <v>15</v>
      </c>
      <c r="F1505" t="str">
        <f t="shared" si="278"/>
        <v>COM</v>
      </c>
      <c r="G1505" t="str">
        <f>"TALES DE JESUS OLIVEIRA (318)"</f>
        <v>TALES DE JESUS OLIVEIRA (318)</v>
      </c>
      <c r="H1505" t="s">
        <v>430</v>
      </c>
      <c r="I1505" t="str">
        <f t="shared" si="281"/>
        <v>13/03/2026</v>
      </c>
      <c r="J1505" t="str">
        <f>("13/02/2025")</f>
        <v>13/02/2025</v>
      </c>
      <c r="K1505">
        <v>46092</v>
      </c>
      <c r="N1505">
        <v>106</v>
      </c>
      <c r="O1505" t="s">
        <v>98</v>
      </c>
      <c r="Q1505">
        <v>20</v>
      </c>
      <c r="R1505" t="str">
        <f>"TALES DE JESUS OLIVEIRA (318)"</f>
        <v>TALES DE JESUS OLIVEIRA (318)</v>
      </c>
      <c r="S1505" t="s">
        <v>99</v>
      </c>
      <c r="T1505">
        <v>30544</v>
      </c>
      <c r="U1505">
        <v>9833</v>
      </c>
      <c r="V1505" t="s">
        <v>33</v>
      </c>
    </row>
    <row r="1506" spans="1:22">
      <c r="A1506" t="str">
        <f t="shared" si="277"/>
        <v>11/03/2026</v>
      </c>
      <c r="B1506" t="str">
        <f>"SAÍDA"</f>
        <v>SAÍDA</v>
      </c>
      <c r="C1506" t="str">
        <f>"PIX"</f>
        <v>PIX</v>
      </c>
      <c r="D1506" t="str">
        <f>"34085"</f>
        <v>34085</v>
      </c>
      <c r="E1506" t="str">
        <f>"1"</f>
        <v>1</v>
      </c>
      <c r="F1506" t="str">
        <f t="shared" si="278"/>
        <v>COM</v>
      </c>
      <c r="G1506" t="str">
        <f>"VINICIUS SANTOS PEREIRA (633)"</f>
        <v>VINICIUS SANTOS PEREIRA (633)</v>
      </c>
      <c r="H1506" t="str">
        <f>"Serv.Prest. 23/02/2026 a 01/03/2026 - PIX: CELULAR - CHAVE: (73) 99818-9718"</f>
        <v>Serv.Prest. 23/02/2026 a 01/03/2026 - PIX: CELULAR - CHAVE: (73) 99818-9718</v>
      </c>
      <c r="I1506" t="str">
        <f t="shared" si="281"/>
        <v>13/03/2026</v>
      </c>
      <c r="J1506" t="str">
        <f>("03/03/2026")</f>
        <v>03/03/2026</v>
      </c>
      <c r="K1506" t="str">
        <f>("11/03/2026")</f>
        <v>11/03/2026</v>
      </c>
      <c r="L1506">
        <v>20</v>
      </c>
      <c r="M1506">
        <v>20</v>
      </c>
      <c r="N1506">
        <v>109</v>
      </c>
      <c r="O1506" t="str">
        <f>"PAGAMENTO DE ENTREGADORES"</f>
        <v>PAGAMENTO DE ENTREGADORES</v>
      </c>
      <c r="P1506">
        <v>20</v>
      </c>
      <c r="S1506" t="str">
        <f>"BANCO CORA (102)"</f>
        <v>BANCO CORA (102)</v>
      </c>
      <c r="T1506">
        <v>30545</v>
      </c>
      <c r="U1506">
        <v>34803</v>
      </c>
      <c r="V1506" t="s">
        <v>33</v>
      </c>
    </row>
    <row r="1507" spans="1:22">
      <c r="A1507" t="str">
        <f t="shared" si="277"/>
        <v>11/03/2026</v>
      </c>
      <c r="B1507" t="str">
        <f>"SAÍDA"</f>
        <v>SAÍDA</v>
      </c>
      <c r="C1507" t="str">
        <f>"PIX"</f>
        <v>PIX</v>
      </c>
      <c r="D1507" t="str">
        <f>"34085"</f>
        <v>34085</v>
      </c>
      <c r="E1507" t="str">
        <f>"1"</f>
        <v>1</v>
      </c>
      <c r="F1507" t="str">
        <f t="shared" si="278"/>
        <v>COM</v>
      </c>
      <c r="G1507" t="str">
        <f>"VINICIUS SANTOS PEREIRA (633)"</f>
        <v>VINICIUS SANTOS PEREIRA (633)</v>
      </c>
      <c r="H1507" t="s">
        <v>542</v>
      </c>
      <c r="I1507" t="str">
        <f t="shared" si="281"/>
        <v>13/03/2026</v>
      </c>
      <c r="J1507" t="str">
        <f>("03/03/2026")</f>
        <v>03/03/2026</v>
      </c>
      <c r="K1507">
        <v>46092</v>
      </c>
      <c r="N1507">
        <v>109</v>
      </c>
      <c r="O1507" t="s">
        <v>27</v>
      </c>
      <c r="Q1507">
        <v>20</v>
      </c>
      <c r="R1507" t="str">
        <f>"FARMÁCIA INDIANA LJ 95 (10039)"</f>
        <v>FARMÁCIA INDIANA LJ 95 (10039)</v>
      </c>
      <c r="S1507" t="s">
        <v>33</v>
      </c>
      <c r="T1507">
        <v>30545</v>
      </c>
      <c r="U1507">
        <v>34803</v>
      </c>
      <c r="V1507" t="s">
        <v>33</v>
      </c>
    </row>
    <row r="1508" spans="1:22">
      <c r="A1508" t="str">
        <f t="shared" si="277"/>
        <v>11/03/2026</v>
      </c>
      <c r="B1508" t="str">
        <f>"ENTRADA"</f>
        <v>ENTRADA</v>
      </c>
      <c r="C1508" t="str">
        <f>"DINHEIRO"</f>
        <v>DINHEIRO</v>
      </c>
      <c r="D1508" t="str">
        <f>"633"</f>
        <v>633</v>
      </c>
      <c r="E1508" t="str">
        <f>"14"</f>
        <v>14</v>
      </c>
      <c r="F1508" t="str">
        <f t="shared" si="278"/>
        <v>COM</v>
      </c>
      <c r="G1508" t="str">
        <f>"VINICIUS SANTOS PEREIRA (633)"</f>
        <v>VINICIUS SANTOS PEREIRA (633)</v>
      </c>
      <c r="H1508" t="str">
        <f>"COTAS COOPERATIVA"</f>
        <v>COTAS COOPERATIVA</v>
      </c>
      <c r="I1508" t="str">
        <f t="shared" si="281"/>
        <v>13/03/2026</v>
      </c>
      <c r="J1508" t="str">
        <f>("13/02/2025")</f>
        <v>13/02/2025</v>
      </c>
      <c r="K1508" t="str">
        <f>("11/03/2026")</f>
        <v>11/03/2026</v>
      </c>
      <c r="L1508">
        <v>20</v>
      </c>
      <c r="M1508">
        <v>20</v>
      </c>
      <c r="N1508">
        <v>106</v>
      </c>
      <c r="O1508" t="str">
        <f>"ENTRADA DE CAPITAL"</f>
        <v>ENTRADA DE CAPITAL</v>
      </c>
      <c r="P1508">
        <v>20</v>
      </c>
      <c r="S1508" t="str">
        <f>"ENTRADA DE CAPITAL (106)"</f>
        <v>ENTRADA DE CAPITAL (106)</v>
      </c>
      <c r="T1508">
        <v>30546</v>
      </c>
      <c r="U1508">
        <v>9692</v>
      </c>
      <c r="V1508" t="s">
        <v>33</v>
      </c>
    </row>
    <row r="1509" spans="1:22">
      <c r="A1509" t="str">
        <f t="shared" si="277"/>
        <v>11/03/2026</v>
      </c>
      <c r="B1509" t="str">
        <f>"ENTRADA"</f>
        <v>ENTRADA</v>
      </c>
      <c r="C1509" t="str">
        <f>"DINHEIRO"</f>
        <v>DINHEIRO</v>
      </c>
      <c r="D1509" t="str">
        <f>"633"</f>
        <v>633</v>
      </c>
      <c r="E1509" t="str">
        <f>"14"</f>
        <v>14</v>
      </c>
      <c r="F1509" t="str">
        <f t="shared" si="278"/>
        <v>COM</v>
      </c>
      <c r="G1509" t="str">
        <f>"VINICIUS SANTOS PEREIRA (633)"</f>
        <v>VINICIUS SANTOS PEREIRA (633)</v>
      </c>
      <c r="H1509" t="s">
        <v>430</v>
      </c>
      <c r="I1509" t="str">
        <f t="shared" si="281"/>
        <v>13/03/2026</v>
      </c>
      <c r="J1509" t="str">
        <f>("13/02/2025")</f>
        <v>13/02/2025</v>
      </c>
      <c r="K1509">
        <v>46092</v>
      </c>
      <c r="N1509">
        <v>106</v>
      </c>
      <c r="O1509" t="s">
        <v>98</v>
      </c>
      <c r="Q1509">
        <v>20</v>
      </c>
      <c r="R1509" t="str">
        <f>"VINICIUS SANTOS PEREIRA (633)"</f>
        <v>VINICIUS SANTOS PEREIRA (633)</v>
      </c>
      <c r="S1509" t="s">
        <v>99</v>
      </c>
      <c r="T1509">
        <v>30546</v>
      </c>
      <c r="U1509">
        <v>9692</v>
      </c>
      <c r="V1509" t="s">
        <v>33</v>
      </c>
    </row>
    <row r="1510" spans="1:22">
      <c r="A1510" t="str">
        <f t="shared" si="277"/>
        <v>11/03/2026</v>
      </c>
      <c r="B1510" t="str">
        <f>"SAÍDA"</f>
        <v>SAÍDA</v>
      </c>
      <c r="C1510" t="str">
        <f>"PIX"</f>
        <v>PIX</v>
      </c>
      <c r="D1510" t="str">
        <f>"34152"</f>
        <v>34152</v>
      </c>
      <c r="E1510" t="str">
        <f>"1"</f>
        <v>1</v>
      </c>
      <c r="F1510" t="str">
        <f t="shared" si="278"/>
        <v>COM</v>
      </c>
      <c r="G1510" t="str">
        <f>"LUAN DOS SANTOS NUNES (719)"</f>
        <v>LUAN DOS SANTOS NUNES (719)</v>
      </c>
      <c r="H1510" t="str">
        <f>"Serv.Prest. 23/02/2026 a 01/03/2026 - PIX: CELULAR - CHAVE: (33) 98749-4693"</f>
        <v>Serv.Prest. 23/02/2026 a 01/03/2026 - PIX: CELULAR - CHAVE: (33) 98749-4693</v>
      </c>
      <c r="I1510" t="str">
        <f t="shared" si="281"/>
        <v>13/03/2026</v>
      </c>
      <c r="J1510" t="str">
        <f>("03/03/2026")</f>
        <v>03/03/2026</v>
      </c>
      <c r="K1510" t="str">
        <f>("11/03/2026")</f>
        <v>11/03/2026</v>
      </c>
      <c r="L1510">
        <v>20</v>
      </c>
      <c r="M1510">
        <v>20</v>
      </c>
      <c r="N1510">
        <v>109</v>
      </c>
      <c r="O1510" t="str">
        <f>"PAGAMENTO DE ENTREGADORES"</f>
        <v>PAGAMENTO DE ENTREGADORES</v>
      </c>
      <c r="P1510">
        <v>20</v>
      </c>
      <c r="S1510" t="str">
        <f>"BANCO CORA (102)"</f>
        <v>BANCO CORA (102)</v>
      </c>
      <c r="T1510">
        <v>30547</v>
      </c>
      <c r="U1510">
        <v>34804</v>
      </c>
      <c r="V1510" t="s">
        <v>33</v>
      </c>
    </row>
    <row r="1511" spans="1:22">
      <c r="A1511" t="str">
        <f t="shared" si="277"/>
        <v>11/03/2026</v>
      </c>
      <c r="B1511" t="str">
        <f>"SAÍDA"</f>
        <v>SAÍDA</v>
      </c>
      <c r="C1511" t="str">
        <f>"PIX"</f>
        <v>PIX</v>
      </c>
      <c r="D1511" t="str">
        <f>"34152"</f>
        <v>34152</v>
      </c>
      <c r="E1511" t="str">
        <f>"1"</f>
        <v>1</v>
      </c>
      <c r="F1511" t="str">
        <f t="shared" si="278"/>
        <v>COM</v>
      </c>
      <c r="G1511" t="str">
        <f>"LUAN DOS SANTOS NUNES (719)"</f>
        <v>LUAN DOS SANTOS NUNES (719)</v>
      </c>
      <c r="H1511" t="s">
        <v>543</v>
      </c>
      <c r="I1511" t="str">
        <f t="shared" si="281"/>
        <v>13/03/2026</v>
      </c>
      <c r="J1511" t="str">
        <f>("03/03/2026")</f>
        <v>03/03/2026</v>
      </c>
      <c r="K1511">
        <v>46092</v>
      </c>
      <c r="N1511">
        <v>109</v>
      </c>
      <c r="O1511" t="s">
        <v>27</v>
      </c>
      <c r="Q1511">
        <v>1.1100000000000001</v>
      </c>
      <c r="R1511" t="str">
        <f>"FARMÁCIA INDIANA LJ 40 (10016)"</f>
        <v>FARMÁCIA INDIANA LJ 40 (10016)</v>
      </c>
      <c r="S1511" t="s">
        <v>33</v>
      </c>
      <c r="T1511">
        <v>30547</v>
      </c>
      <c r="U1511">
        <v>34804</v>
      </c>
      <c r="V1511" t="s">
        <v>33</v>
      </c>
    </row>
    <row r="1512" spans="1:22">
      <c r="A1512" t="str">
        <f t="shared" si="277"/>
        <v>11/03/2026</v>
      </c>
      <c r="B1512" t="str">
        <f>"SAÍDA"</f>
        <v>SAÍDA</v>
      </c>
      <c r="C1512" t="str">
        <f>"PIX"</f>
        <v>PIX</v>
      </c>
      <c r="D1512" t="str">
        <f>"34152"</f>
        <v>34152</v>
      </c>
      <c r="E1512" t="str">
        <f>"1"</f>
        <v>1</v>
      </c>
      <c r="F1512" t="str">
        <f t="shared" si="278"/>
        <v>COM</v>
      </c>
      <c r="G1512" t="str">
        <f>"LUAN DOS SANTOS NUNES (719)"</f>
        <v>LUAN DOS SANTOS NUNES (719)</v>
      </c>
      <c r="H1512" t="s">
        <v>543</v>
      </c>
      <c r="I1512" t="str">
        <f t="shared" si="281"/>
        <v>13/03/2026</v>
      </c>
      <c r="J1512" t="str">
        <f>("03/03/2026")</f>
        <v>03/03/2026</v>
      </c>
      <c r="K1512">
        <v>46092</v>
      </c>
      <c r="N1512">
        <v>109</v>
      </c>
      <c r="O1512" t="s">
        <v>27</v>
      </c>
      <c r="Q1512">
        <v>18.89</v>
      </c>
      <c r="R1512" t="str">
        <f>"FARMÁCIA INDIANA LJ 61 (10027)"</f>
        <v>FARMÁCIA INDIANA LJ 61 (10027)</v>
      </c>
      <c r="S1512" t="s">
        <v>33</v>
      </c>
      <c r="T1512">
        <v>30547</v>
      </c>
      <c r="U1512">
        <v>34804</v>
      </c>
      <c r="V1512" t="s">
        <v>33</v>
      </c>
    </row>
    <row r="1513" spans="1:22">
      <c r="A1513" t="str">
        <f t="shared" si="277"/>
        <v>11/03/2026</v>
      </c>
      <c r="B1513" t="str">
        <f t="shared" ref="B1513:B1544" si="282">"ENTRADA"</f>
        <v>ENTRADA</v>
      </c>
      <c r="C1513" t="str">
        <f>"DINHEIRO"</f>
        <v>DINHEIRO</v>
      </c>
      <c r="D1513" t="str">
        <f>"719"</f>
        <v>719</v>
      </c>
      <c r="E1513" t="str">
        <f>"11"</f>
        <v>11</v>
      </c>
      <c r="F1513" t="str">
        <f t="shared" si="278"/>
        <v>COM</v>
      </c>
      <c r="G1513" t="str">
        <f>"LUAN DOS SANTOS NUNES (719)"</f>
        <v>LUAN DOS SANTOS NUNES (719)</v>
      </c>
      <c r="H1513" t="str">
        <f>"COTA COOPERATIVA"</f>
        <v>COTA COOPERATIVA</v>
      </c>
      <c r="I1513" t="str">
        <f>("15/03/2026")</f>
        <v>15/03/2026</v>
      </c>
      <c r="J1513" t="str">
        <f>("07/04/2025")</f>
        <v>07/04/2025</v>
      </c>
      <c r="K1513" t="str">
        <f>("11/03/2026")</f>
        <v>11/03/2026</v>
      </c>
      <c r="L1513">
        <v>20</v>
      </c>
      <c r="M1513">
        <v>20</v>
      </c>
      <c r="N1513">
        <v>106</v>
      </c>
      <c r="O1513" t="str">
        <f>"ENTRADA DE CAPITAL"</f>
        <v>ENTRADA DE CAPITAL</v>
      </c>
      <c r="P1513">
        <v>20</v>
      </c>
      <c r="S1513" t="str">
        <f>"ENTRADA DE CAPITAL (106)"</f>
        <v>ENTRADA DE CAPITAL (106)</v>
      </c>
      <c r="T1513">
        <v>30548</v>
      </c>
      <c r="U1513">
        <v>13050</v>
      </c>
      <c r="V1513" t="s">
        <v>33</v>
      </c>
    </row>
    <row r="1514" spans="1:22">
      <c r="A1514" t="str">
        <f t="shared" si="277"/>
        <v>11/03/2026</v>
      </c>
      <c r="B1514" t="str">
        <f t="shared" si="282"/>
        <v>ENTRADA</v>
      </c>
      <c r="C1514" t="str">
        <f>"DINHEIRO"</f>
        <v>DINHEIRO</v>
      </c>
      <c r="D1514" t="str">
        <f>"719"</f>
        <v>719</v>
      </c>
      <c r="E1514" t="str">
        <f>"11"</f>
        <v>11</v>
      </c>
      <c r="F1514" t="str">
        <f t="shared" si="278"/>
        <v>COM</v>
      </c>
      <c r="G1514" t="str">
        <f>"LUAN DOS SANTOS NUNES (719)"</f>
        <v>LUAN DOS SANTOS NUNES (719)</v>
      </c>
      <c r="H1514" t="s">
        <v>97</v>
      </c>
      <c r="I1514" t="str">
        <f>("15/03/2026")</f>
        <v>15/03/2026</v>
      </c>
      <c r="J1514" t="str">
        <f>("07/04/2025")</f>
        <v>07/04/2025</v>
      </c>
      <c r="K1514">
        <v>46092</v>
      </c>
      <c r="N1514">
        <v>106</v>
      </c>
      <c r="O1514" t="s">
        <v>98</v>
      </c>
      <c r="Q1514">
        <v>20</v>
      </c>
      <c r="R1514" t="str">
        <f>"LUAN DOS SANTOS NUNES (719)"</f>
        <v>LUAN DOS SANTOS NUNES (719)</v>
      </c>
      <c r="S1514" t="s">
        <v>99</v>
      </c>
      <c r="T1514">
        <v>30548</v>
      </c>
      <c r="U1514">
        <v>13050</v>
      </c>
      <c r="V1514" t="s">
        <v>33</v>
      </c>
    </row>
    <row r="1515" spans="1:22">
      <c r="A1515" t="str">
        <f t="shared" si="277"/>
        <v>11/03/2026</v>
      </c>
      <c r="B1515" t="str">
        <f t="shared" si="282"/>
        <v>ENTRADA</v>
      </c>
      <c r="C1515" t="str">
        <f t="shared" ref="C1515:C1544" si="283">"NFSE"</f>
        <v>NFSE</v>
      </c>
      <c r="D1515" t="str">
        <f>"471"</f>
        <v>471</v>
      </c>
      <c r="E1515" t="str">
        <f t="shared" ref="E1515:E1546" si="284">"1"</f>
        <v>1</v>
      </c>
      <c r="F1515" t="str">
        <f t="shared" si="278"/>
        <v>COM</v>
      </c>
      <c r="G1515" t="str">
        <f>"DROGARIA TOTAL JUNDIAI (10177)"</f>
        <v>DROGARIA TOTAL JUNDIAI (10177)</v>
      </c>
      <c r="H1515" t="str">
        <f>"Serv.Prest. 02/03/2026 a 08/03/2026 - RPS: 2399 - NFSe: 471"</f>
        <v>Serv.Prest. 02/03/2026 a 08/03/2026 - RPS: 2399 - NFSe: 471</v>
      </c>
      <c r="I1515" t="str">
        <f t="shared" ref="I1515:I1544" si="285">("11/03/2026")</f>
        <v>11/03/2026</v>
      </c>
      <c r="J1515" t="str">
        <f t="shared" ref="J1515:J1525" si="286">("09/03/2026")</f>
        <v>09/03/2026</v>
      </c>
      <c r="K1515" t="str">
        <f>("11/03/2026")</f>
        <v>11/03/2026</v>
      </c>
      <c r="L1515">
        <v>852.29</v>
      </c>
      <c r="M1515">
        <v>852.29</v>
      </c>
      <c r="N1515">
        <v>303</v>
      </c>
      <c r="O1515" t="str">
        <f>"RECEITAS COM ENTREGAS"</f>
        <v>RECEITAS COM ENTREGAS</v>
      </c>
      <c r="P1515">
        <v>852.29</v>
      </c>
      <c r="S1515" t="str">
        <f>"RECEITAS COM ENTREGAS (303)"</f>
        <v>RECEITAS COM ENTREGAS (303)</v>
      </c>
      <c r="T1515">
        <v>30591</v>
      </c>
      <c r="U1515">
        <v>34272</v>
      </c>
      <c r="V1515" t="s">
        <v>110</v>
      </c>
    </row>
    <row r="1516" spans="1:22">
      <c r="A1516" t="str">
        <f t="shared" si="277"/>
        <v>11/03/2026</v>
      </c>
      <c r="B1516" t="str">
        <f t="shared" si="282"/>
        <v>ENTRADA</v>
      </c>
      <c r="C1516" t="str">
        <f t="shared" si="283"/>
        <v>NFSE</v>
      </c>
      <c r="D1516" t="str">
        <f>"471"</f>
        <v>471</v>
      </c>
      <c r="E1516" t="str">
        <f t="shared" si="284"/>
        <v>1</v>
      </c>
      <c r="F1516" t="str">
        <f t="shared" si="278"/>
        <v>COM</v>
      </c>
      <c r="G1516" t="str">
        <f>"DROGARIA TOTAL JUNDIAI (10177)"</f>
        <v>DROGARIA TOTAL JUNDIAI (10177)</v>
      </c>
      <c r="H1516" t="s">
        <v>544</v>
      </c>
      <c r="I1516" t="str">
        <f t="shared" si="285"/>
        <v>11/03/2026</v>
      </c>
      <c r="J1516" t="str">
        <f t="shared" si="286"/>
        <v>09/03/2026</v>
      </c>
      <c r="K1516">
        <v>46092</v>
      </c>
      <c r="N1516">
        <v>303</v>
      </c>
      <c r="O1516" t="s">
        <v>102</v>
      </c>
      <c r="Q1516">
        <v>852.29</v>
      </c>
      <c r="R1516" t="str">
        <f>"DROGARIA TOTAL JUNDIAI (10177)"</f>
        <v>DROGARIA TOTAL JUNDIAI (10177)</v>
      </c>
      <c r="S1516" t="s">
        <v>103</v>
      </c>
      <c r="T1516">
        <v>30591</v>
      </c>
      <c r="U1516">
        <v>34272</v>
      </c>
      <c r="V1516" t="s">
        <v>110</v>
      </c>
    </row>
    <row r="1517" spans="1:22">
      <c r="A1517" t="str">
        <f t="shared" si="277"/>
        <v>11/03/2026</v>
      </c>
      <c r="B1517" t="str">
        <f t="shared" si="282"/>
        <v>ENTRADA</v>
      </c>
      <c r="C1517" t="str">
        <f t="shared" si="283"/>
        <v>NFSE</v>
      </c>
      <c r="D1517" t="str">
        <f t="shared" ref="D1517:D1523" si="287">"485"</f>
        <v>485</v>
      </c>
      <c r="E1517" t="str">
        <f t="shared" si="284"/>
        <v>1</v>
      </c>
      <c r="F1517" t="str">
        <f t="shared" si="278"/>
        <v>COM</v>
      </c>
      <c r="G1517" t="str">
        <f t="shared" ref="G1517:G1523" si="288">"BEM TE FAZ 01 (10283)"</f>
        <v>BEM TE FAZ 01 (10283)</v>
      </c>
      <c r="H1517" t="str">
        <f>"Serv.Prest. 02/03/2026 a 08/03/2026 - RPS: 2413 - NFSe: 485"</f>
        <v>Serv.Prest. 02/03/2026 a 08/03/2026 - RPS: 2413 - NFSe: 485</v>
      </c>
      <c r="I1517" t="str">
        <f t="shared" si="285"/>
        <v>11/03/2026</v>
      </c>
      <c r="J1517" t="str">
        <f t="shared" si="286"/>
        <v>09/03/2026</v>
      </c>
      <c r="K1517" t="str">
        <f>("11/03/2026")</f>
        <v>11/03/2026</v>
      </c>
      <c r="L1517">
        <v>20561.5</v>
      </c>
      <c r="M1517">
        <v>20561.5</v>
      </c>
      <c r="N1517">
        <v>303</v>
      </c>
      <c r="O1517" t="str">
        <f>"RECEITAS COM ENTREGAS"</f>
        <v>RECEITAS COM ENTREGAS</v>
      </c>
      <c r="P1517">
        <v>20561.5</v>
      </c>
      <c r="S1517" t="str">
        <f>"RECEITAS COM ENTREGAS (303)"</f>
        <v>RECEITAS COM ENTREGAS (303)</v>
      </c>
      <c r="T1517">
        <v>30592</v>
      </c>
      <c r="U1517">
        <v>34318</v>
      </c>
      <c r="V1517" t="s">
        <v>110</v>
      </c>
    </row>
    <row r="1518" spans="1:22">
      <c r="A1518" t="str">
        <f t="shared" si="277"/>
        <v>11/03/2026</v>
      </c>
      <c r="B1518" t="str">
        <f t="shared" si="282"/>
        <v>ENTRADA</v>
      </c>
      <c r="C1518" t="str">
        <f t="shared" si="283"/>
        <v>NFSE</v>
      </c>
      <c r="D1518" t="str">
        <f t="shared" si="287"/>
        <v>485</v>
      </c>
      <c r="E1518" t="str">
        <f t="shared" si="284"/>
        <v>1</v>
      </c>
      <c r="F1518" t="str">
        <f t="shared" si="278"/>
        <v>COM</v>
      </c>
      <c r="G1518" t="str">
        <f t="shared" si="288"/>
        <v>BEM TE FAZ 01 (10283)</v>
      </c>
      <c r="H1518" t="s">
        <v>545</v>
      </c>
      <c r="I1518" t="str">
        <f t="shared" si="285"/>
        <v>11/03/2026</v>
      </c>
      <c r="J1518" t="str">
        <f t="shared" si="286"/>
        <v>09/03/2026</v>
      </c>
      <c r="K1518">
        <v>46092</v>
      </c>
      <c r="N1518">
        <v>303</v>
      </c>
      <c r="O1518" t="s">
        <v>102</v>
      </c>
      <c r="Q1518">
        <v>4250.0600000000004</v>
      </c>
      <c r="R1518" t="str">
        <f>"BEM TE FAZ LOJA 6 (10284)"</f>
        <v>BEM TE FAZ LOJA 6 (10284)</v>
      </c>
      <c r="S1518" t="s">
        <v>103</v>
      </c>
      <c r="T1518">
        <v>30592</v>
      </c>
      <c r="U1518">
        <v>34318</v>
      </c>
      <c r="V1518" t="s">
        <v>110</v>
      </c>
    </row>
    <row r="1519" spans="1:22">
      <c r="A1519" t="str">
        <f t="shared" si="277"/>
        <v>11/03/2026</v>
      </c>
      <c r="B1519" t="str">
        <f t="shared" si="282"/>
        <v>ENTRADA</v>
      </c>
      <c r="C1519" t="str">
        <f t="shared" si="283"/>
        <v>NFSE</v>
      </c>
      <c r="D1519" t="str">
        <f t="shared" si="287"/>
        <v>485</v>
      </c>
      <c r="E1519" t="str">
        <f t="shared" si="284"/>
        <v>1</v>
      </c>
      <c r="F1519" t="str">
        <f t="shared" si="278"/>
        <v>COM</v>
      </c>
      <c r="G1519" t="str">
        <f t="shared" si="288"/>
        <v>BEM TE FAZ 01 (10283)</v>
      </c>
      <c r="H1519" t="s">
        <v>545</v>
      </c>
      <c r="I1519" t="str">
        <f t="shared" si="285"/>
        <v>11/03/2026</v>
      </c>
      <c r="J1519" t="str">
        <f t="shared" si="286"/>
        <v>09/03/2026</v>
      </c>
      <c r="K1519">
        <v>46092</v>
      </c>
      <c r="N1519">
        <v>303</v>
      </c>
      <c r="O1519" t="s">
        <v>102</v>
      </c>
      <c r="Q1519">
        <v>3059.55</v>
      </c>
      <c r="R1519" t="str">
        <f>"BEM TE FAZ LOJA 7 (10285)"</f>
        <v>BEM TE FAZ LOJA 7 (10285)</v>
      </c>
      <c r="S1519" t="s">
        <v>103</v>
      </c>
      <c r="T1519">
        <v>30592</v>
      </c>
      <c r="U1519">
        <v>34318</v>
      </c>
      <c r="V1519" t="s">
        <v>110</v>
      </c>
    </row>
    <row r="1520" spans="1:22">
      <c r="A1520" t="str">
        <f t="shared" si="277"/>
        <v>11/03/2026</v>
      </c>
      <c r="B1520" t="str">
        <f t="shared" si="282"/>
        <v>ENTRADA</v>
      </c>
      <c r="C1520" t="str">
        <f t="shared" si="283"/>
        <v>NFSE</v>
      </c>
      <c r="D1520" t="str">
        <f t="shared" si="287"/>
        <v>485</v>
      </c>
      <c r="E1520" t="str">
        <f t="shared" si="284"/>
        <v>1</v>
      </c>
      <c r="F1520" t="str">
        <f t="shared" si="278"/>
        <v>COM</v>
      </c>
      <c r="G1520" t="str">
        <f t="shared" si="288"/>
        <v>BEM TE FAZ 01 (10283)</v>
      </c>
      <c r="H1520" t="s">
        <v>545</v>
      </c>
      <c r="I1520" t="str">
        <f t="shared" si="285"/>
        <v>11/03/2026</v>
      </c>
      <c r="J1520" t="str">
        <f t="shared" si="286"/>
        <v>09/03/2026</v>
      </c>
      <c r="K1520">
        <v>46092</v>
      </c>
      <c r="N1520">
        <v>303</v>
      </c>
      <c r="O1520" t="s">
        <v>102</v>
      </c>
      <c r="Q1520">
        <v>1912.22</v>
      </c>
      <c r="R1520" t="str">
        <f>"BEM TE FAZ LOJA 9 (10286)"</f>
        <v>BEM TE FAZ LOJA 9 (10286)</v>
      </c>
      <c r="S1520" t="s">
        <v>103</v>
      </c>
      <c r="T1520">
        <v>30592</v>
      </c>
      <c r="U1520">
        <v>34318</v>
      </c>
      <c r="V1520" t="s">
        <v>110</v>
      </c>
    </row>
    <row r="1521" spans="1:22">
      <c r="A1521" t="str">
        <f t="shared" si="277"/>
        <v>11/03/2026</v>
      </c>
      <c r="B1521" t="str">
        <f t="shared" si="282"/>
        <v>ENTRADA</v>
      </c>
      <c r="C1521" t="str">
        <f t="shared" si="283"/>
        <v>NFSE</v>
      </c>
      <c r="D1521" t="str">
        <f t="shared" si="287"/>
        <v>485</v>
      </c>
      <c r="E1521" t="str">
        <f t="shared" si="284"/>
        <v>1</v>
      </c>
      <c r="F1521" t="str">
        <f t="shared" si="278"/>
        <v>COM</v>
      </c>
      <c r="G1521" t="str">
        <f t="shared" si="288"/>
        <v>BEM TE FAZ 01 (10283)</v>
      </c>
      <c r="H1521" t="s">
        <v>545</v>
      </c>
      <c r="I1521" t="str">
        <f t="shared" si="285"/>
        <v>11/03/2026</v>
      </c>
      <c r="J1521" t="str">
        <f t="shared" si="286"/>
        <v>09/03/2026</v>
      </c>
      <c r="K1521">
        <v>46092</v>
      </c>
      <c r="N1521">
        <v>303</v>
      </c>
      <c r="O1521" t="s">
        <v>102</v>
      </c>
      <c r="Q1521">
        <v>11228.64</v>
      </c>
      <c r="R1521" t="str">
        <f>"BEM TE FAZ LOJA 3 (10287)"</f>
        <v>BEM TE FAZ LOJA 3 (10287)</v>
      </c>
      <c r="S1521" t="s">
        <v>103</v>
      </c>
      <c r="T1521">
        <v>30592</v>
      </c>
      <c r="U1521">
        <v>34318</v>
      </c>
      <c r="V1521" t="s">
        <v>110</v>
      </c>
    </row>
    <row r="1522" spans="1:22">
      <c r="A1522" t="str">
        <f t="shared" si="277"/>
        <v>11/03/2026</v>
      </c>
      <c r="B1522" t="str">
        <f t="shared" si="282"/>
        <v>ENTRADA</v>
      </c>
      <c r="C1522" t="str">
        <f t="shared" si="283"/>
        <v>NFSE</v>
      </c>
      <c r="D1522" t="str">
        <f t="shared" si="287"/>
        <v>485</v>
      </c>
      <c r="E1522" t="str">
        <f t="shared" si="284"/>
        <v>1</v>
      </c>
      <c r="F1522" t="str">
        <f t="shared" si="278"/>
        <v>COM</v>
      </c>
      <c r="G1522" t="str">
        <f t="shared" si="288"/>
        <v>BEM TE FAZ 01 (10283)</v>
      </c>
      <c r="H1522" t="s">
        <v>545</v>
      </c>
      <c r="I1522" t="str">
        <f t="shared" si="285"/>
        <v>11/03/2026</v>
      </c>
      <c r="J1522" t="str">
        <f t="shared" si="286"/>
        <v>09/03/2026</v>
      </c>
      <c r="K1522">
        <v>46092</v>
      </c>
      <c r="N1522">
        <v>303</v>
      </c>
      <c r="O1522" t="s">
        <v>102</v>
      </c>
      <c r="Q1522">
        <v>111.03</v>
      </c>
      <c r="R1522" t="str">
        <f>"BEM TE FAZ 05 (10294)"</f>
        <v>BEM TE FAZ 05 (10294)</v>
      </c>
      <c r="S1522" t="s">
        <v>103</v>
      </c>
      <c r="T1522">
        <v>30592</v>
      </c>
      <c r="U1522">
        <v>34318</v>
      </c>
      <c r="V1522" t="s">
        <v>110</v>
      </c>
    </row>
    <row r="1523" spans="1:22">
      <c r="A1523" t="str">
        <f t="shared" si="277"/>
        <v>11/03/2026</v>
      </c>
      <c r="B1523" t="str">
        <f t="shared" si="282"/>
        <v>ENTRADA</v>
      </c>
      <c r="C1523" t="str">
        <f t="shared" si="283"/>
        <v>NFSE</v>
      </c>
      <c r="D1523" t="str">
        <f t="shared" si="287"/>
        <v>485</v>
      </c>
      <c r="E1523" t="str">
        <f t="shared" si="284"/>
        <v>1</v>
      </c>
      <c r="F1523" t="str">
        <f t="shared" si="278"/>
        <v>COM</v>
      </c>
      <c r="G1523" t="str">
        <f t="shared" si="288"/>
        <v>BEM TE FAZ 01 (10283)</v>
      </c>
      <c r="H1523" t="s">
        <v>545</v>
      </c>
      <c r="I1523" t="str">
        <f t="shared" si="285"/>
        <v>11/03/2026</v>
      </c>
      <c r="J1523" t="str">
        <f t="shared" si="286"/>
        <v>09/03/2026</v>
      </c>
      <c r="K1523">
        <v>46092</v>
      </c>
      <c r="N1523">
        <v>303</v>
      </c>
      <c r="O1523" t="s">
        <v>102</v>
      </c>
      <c r="Q1523">
        <v>0</v>
      </c>
      <c r="R1523" t="str">
        <f>"BEM TE FAZ LOJA 8 (10297)"</f>
        <v>BEM TE FAZ LOJA 8 (10297)</v>
      </c>
      <c r="S1523" t="s">
        <v>103</v>
      </c>
      <c r="T1523">
        <v>30592</v>
      </c>
      <c r="U1523">
        <v>34318</v>
      </c>
      <c r="V1523" t="s">
        <v>110</v>
      </c>
    </row>
    <row r="1524" spans="1:22">
      <c r="A1524" t="str">
        <f t="shared" si="277"/>
        <v>11/03/2026</v>
      </c>
      <c r="B1524" t="str">
        <f t="shared" si="282"/>
        <v>ENTRADA</v>
      </c>
      <c r="C1524" t="str">
        <f t="shared" si="283"/>
        <v>NFSE</v>
      </c>
      <c r="D1524" t="str">
        <f>"481"</f>
        <v>481</v>
      </c>
      <c r="E1524" t="str">
        <f t="shared" si="284"/>
        <v>1</v>
      </c>
      <c r="F1524" t="str">
        <f t="shared" si="278"/>
        <v>COM</v>
      </c>
      <c r="G1524" t="str">
        <f>"DROGARIA MEDIC CENTER LTDA (10172)"</f>
        <v>DROGARIA MEDIC CENTER LTDA (10172)</v>
      </c>
      <c r="H1524" t="str">
        <f>"Serv.Prest. 02/03/2026 a 08/03/2026 - RPS: 2409 - NFSe: 481"</f>
        <v>Serv.Prest. 02/03/2026 a 08/03/2026 - RPS: 2409 - NFSe: 481</v>
      </c>
      <c r="I1524" t="str">
        <f t="shared" si="285"/>
        <v>11/03/2026</v>
      </c>
      <c r="J1524" t="str">
        <f t="shared" si="286"/>
        <v>09/03/2026</v>
      </c>
      <c r="K1524" t="str">
        <f>("11/03/2026")</f>
        <v>11/03/2026</v>
      </c>
      <c r="L1524">
        <v>1838.7</v>
      </c>
      <c r="M1524">
        <v>1838.7</v>
      </c>
      <c r="N1524">
        <v>303</v>
      </c>
      <c r="O1524" t="str">
        <f>"RECEITAS COM ENTREGAS"</f>
        <v>RECEITAS COM ENTREGAS</v>
      </c>
      <c r="P1524">
        <v>1838.7</v>
      </c>
      <c r="S1524" t="str">
        <f>"RECEITAS COM ENTREGAS (303)"</f>
        <v>RECEITAS COM ENTREGAS (303)</v>
      </c>
      <c r="T1524">
        <v>30593</v>
      </c>
      <c r="U1524">
        <v>34309</v>
      </c>
      <c r="V1524" t="s">
        <v>110</v>
      </c>
    </row>
    <row r="1525" spans="1:22">
      <c r="A1525" t="str">
        <f t="shared" si="277"/>
        <v>11/03/2026</v>
      </c>
      <c r="B1525" t="str">
        <f t="shared" si="282"/>
        <v>ENTRADA</v>
      </c>
      <c r="C1525" t="str">
        <f t="shared" si="283"/>
        <v>NFSE</v>
      </c>
      <c r="D1525" t="str">
        <f>"481"</f>
        <v>481</v>
      </c>
      <c r="E1525" t="str">
        <f t="shared" si="284"/>
        <v>1</v>
      </c>
      <c r="F1525" t="str">
        <f t="shared" si="278"/>
        <v>COM</v>
      </c>
      <c r="G1525" t="str">
        <f>"DROGARIA MEDIC CENTER LTDA (10172)"</f>
        <v>DROGARIA MEDIC CENTER LTDA (10172)</v>
      </c>
      <c r="H1525" t="s">
        <v>546</v>
      </c>
      <c r="I1525" t="str">
        <f t="shared" si="285"/>
        <v>11/03/2026</v>
      </c>
      <c r="J1525" t="str">
        <f t="shared" si="286"/>
        <v>09/03/2026</v>
      </c>
      <c r="K1525">
        <v>46092</v>
      </c>
      <c r="N1525">
        <v>303</v>
      </c>
      <c r="O1525" t="s">
        <v>102</v>
      </c>
      <c r="Q1525">
        <v>1838.7</v>
      </c>
      <c r="R1525" t="str">
        <f>"DROGARIA MEDIC CENTER LTDA (10172)"</f>
        <v>DROGARIA MEDIC CENTER LTDA (10172)</v>
      </c>
      <c r="S1525" t="s">
        <v>103</v>
      </c>
      <c r="T1525">
        <v>30593</v>
      </c>
      <c r="U1525">
        <v>34309</v>
      </c>
      <c r="V1525" t="s">
        <v>110</v>
      </c>
    </row>
    <row r="1526" spans="1:22">
      <c r="A1526" t="str">
        <f t="shared" si="277"/>
        <v>11/03/2026</v>
      </c>
      <c r="B1526" t="str">
        <f t="shared" si="282"/>
        <v>ENTRADA</v>
      </c>
      <c r="C1526" t="str">
        <f t="shared" si="283"/>
        <v>NFSE</v>
      </c>
      <c r="D1526" t="str">
        <f t="shared" ref="D1526:D1544" si="289">"456"</f>
        <v>456</v>
      </c>
      <c r="E1526" t="str">
        <f t="shared" si="284"/>
        <v>1</v>
      </c>
      <c r="F1526" t="str">
        <f t="shared" si="278"/>
        <v>COM</v>
      </c>
      <c r="G1526" t="str">
        <f t="shared" ref="G1526:G1544" si="290">"PAGMENOS - LJ 608 (10135)"</f>
        <v>PAGMENOS - LJ 608 (10135)</v>
      </c>
      <c r="H1526" t="str">
        <f>"Serv.Prest. 23/02/2026 a 01/03/2026 - RPS: 2384 - NFSe: 456"</f>
        <v>Serv.Prest. 23/02/2026 a 01/03/2026 - RPS: 2384 - NFSe: 456</v>
      </c>
      <c r="I1526" t="str">
        <f t="shared" si="285"/>
        <v>11/03/2026</v>
      </c>
      <c r="J1526" t="str">
        <f t="shared" ref="J1526:J1544" si="291">("03/03/2026")</f>
        <v>03/03/2026</v>
      </c>
      <c r="K1526" t="str">
        <f>("11/03/2026")</f>
        <v>11/03/2026</v>
      </c>
      <c r="L1526">
        <v>11928.86</v>
      </c>
      <c r="M1526">
        <v>11928.86</v>
      </c>
      <c r="N1526">
        <v>303</v>
      </c>
      <c r="O1526" t="str">
        <f>"RECEITAS COM ENTREGAS"</f>
        <v>RECEITAS COM ENTREGAS</v>
      </c>
      <c r="P1526">
        <v>11928.86</v>
      </c>
      <c r="S1526" t="str">
        <f>"RECEITAS COM ENTREGAS (303)"</f>
        <v>RECEITAS COM ENTREGAS (303)</v>
      </c>
      <c r="T1526">
        <v>30594</v>
      </c>
      <c r="U1526">
        <v>34017</v>
      </c>
      <c r="V1526" t="s">
        <v>37</v>
      </c>
    </row>
    <row r="1527" spans="1:22">
      <c r="A1527" t="str">
        <f t="shared" si="277"/>
        <v>11/03/2026</v>
      </c>
      <c r="B1527" t="str">
        <f t="shared" si="282"/>
        <v>ENTRADA</v>
      </c>
      <c r="C1527" t="str">
        <f t="shared" si="283"/>
        <v>NFSE</v>
      </c>
      <c r="D1527" t="str">
        <f t="shared" si="289"/>
        <v>456</v>
      </c>
      <c r="E1527" t="str">
        <f t="shared" si="284"/>
        <v>1</v>
      </c>
      <c r="F1527" t="str">
        <f t="shared" si="278"/>
        <v>COM</v>
      </c>
      <c r="G1527" t="str">
        <f t="shared" si="290"/>
        <v>PAGMENOS - LJ 608 (10135)</v>
      </c>
      <c r="H1527" t="s">
        <v>547</v>
      </c>
      <c r="I1527" t="str">
        <f t="shared" si="285"/>
        <v>11/03/2026</v>
      </c>
      <c r="J1527" t="str">
        <f t="shared" si="291"/>
        <v>03/03/2026</v>
      </c>
      <c r="K1527">
        <v>46092</v>
      </c>
      <c r="N1527">
        <v>303</v>
      </c>
      <c r="O1527" t="s">
        <v>102</v>
      </c>
      <c r="Q1527">
        <v>1982.58</v>
      </c>
      <c r="R1527" t="str">
        <f>"PAGMENOS - LJ 608 (10135)"</f>
        <v>PAGMENOS - LJ 608 (10135)</v>
      </c>
      <c r="S1527" t="s">
        <v>103</v>
      </c>
      <c r="T1527">
        <v>30594</v>
      </c>
      <c r="U1527">
        <v>34017</v>
      </c>
      <c r="V1527" t="s">
        <v>37</v>
      </c>
    </row>
    <row r="1528" spans="1:22">
      <c r="A1528" t="str">
        <f t="shared" si="277"/>
        <v>11/03/2026</v>
      </c>
      <c r="B1528" t="str">
        <f t="shared" si="282"/>
        <v>ENTRADA</v>
      </c>
      <c r="C1528" t="str">
        <f t="shared" si="283"/>
        <v>NFSE</v>
      </c>
      <c r="D1528" t="str">
        <f t="shared" si="289"/>
        <v>456</v>
      </c>
      <c r="E1528" t="str">
        <f t="shared" si="284"/>
        <v>1</v>
      </c>
      <c r="F1528" t="str">
        <f t="shared" si="278"/>
        <v>COM</v>
      </c>
      <c r="G1528" t="str">
        <f t="shared" si="290"/>
        <v>PAGMENOS - LJ 608 (10135)</v>
      </c>
      <c r="H1528" t="s">
        <v>547</v>
      </c>
      <c r="I1528" t="str">
        <f t="shared" si="285"/>
        <v>11/03/2026</v>
      </c>
      <c r="J1528" t="str">
        <f t="shared" si="291"/>
        <v>03/03/2026</v>
      </c>
      <c r="K1528">
        <v>46092</v>
      </c>
      <c r="N1528">
        <v>303</v>
      </c>
      <c r="O1528" t="s">
        <v>102</v>
      </c>
      <c r="Q1528">
        <v>1871.64</v>
      </c>
      <c r="R1528" t="str">
        <f>"PAGMENOS - LJ 657 (10136)"</f>
        <v>PAGMENOS - LJ 657 (10136)</v>
      </c>
      <c r="S1528" t="s">
        <v>103</v>
      </c>
      <c r="T1528">
        <v>30594</v>
      </c>
      <c r="U1528">
        <v>34017</v>
      </c>
      <c r="V1528" t="s">
        <v>37</v>
      </c>
    </row>
    <row r="1529" spans="1:22">
      <c r="A1529" t="str">
        <f t="shared" si="277"/>
        <v>11/03/2026</v>
      </c>
      <c r="B1529" t="str">
        <f t="shared" si="282"/>
        <v>ENTRADA</v>
      </c>
      <c r="C1529" t="str">
        <f t="shared" si="283"/>
        <v>NFSE</v>
      </c>
      <c r="D1529" t="str">
        <f t="shared" si="289"/>
        <v>456</v>
      </c>
      <c r="E1529" t="str">
        <f t="shared" si="284"/>
        <v>1</v>
      </c>
      <c r="F1529" t="str">
        <f t="shared" si="278"/>
        <v>COM</v>
      </c>
      <c r="G1529" t="str">
        <f t="shared" si="290"/>
        <v>PAGMENOS - LJ 608 (10135)</v>
      </c>
      <c r="H1529" t="s">
        <v>547</v>
      </c>
      <c r="I1529" t="str">
        <f t="shared" si="285"/>
        <v>11/03/2026</v>
      </c>
      <c r="J1529" t="str">
        <f t="shared" si="291"/>
        <v>03/03/2026</v>
      </c>
      <c r="K1529">
        <v>46092</v>
      </c>
      <c r="N1529">
        <v>303</v>
      </c>
      <c r="O1529" t="s">
        <v>102</v>
      </c>
      <c r="Q1529">
        <v>365.02</v>
      </c>
      <c r="R1529" t="str">
        <f>"PAGMENOS - LJ 326 (10264)"</f>
        <v>PAGMENOS - LJ 326 (10264)</v>
      </c>
      <c r="S1529" t="s">
        <v>103</v>
      </c>
      <c r="T1529">
        <v>30594</v>
      </c>
      <c r="U1529">
        <v>34017</v>
      </c>
      <c r="V1529" t="s">
        <v>37</v>
      </c>
    </row>
    <row r="1530" spans="1:22">
      <c r="A1530" t="str">
        <f t="shared" si="277"/>
        <v>11/03/2026</v>
      </c>
      <c r="B1530" t="str">
        <f t="shared" si="282"/>
        <v>ENTRADA</v>
      </c>
      <c r="C1530" t="str">
        <f t="shared" si="283"/>
        <v>NFSE</v>
      </c>
      <c r="D1530" t="str">
        <f t="shared" si="289"/>
        <v>456</v>
      </c>
      <c r="E1530" t="str">
        <f t="shared" si="284"/>
        <v>1</v>
      </c>
      <c r="F1530" t="str">
        <f t="shared" si="278"/>
        <v>COM</v>
      </c>
      <c r="G1530" t="str">
        <f t="shared" si="290"/>
        <v>PAGMENOS - LJ 608 (10135)</v>
      </c>
      <c r="H1530" t="s">
        <v>547</v>
      </c>
      <c r="I1530" t="str">
        <f t="shared" si="285"/>
        <v>11/03/2026</v>
      </c>
      <c r="J1530" t="str">
        <f t="shared" si="291"/>
        <v>03/03/2026</v>
      </c>
      <c r="K1530">
        <v>46092</v>
      </c>
      <c r="N1530">
        <v>303</v>
      </c>
      <c r="O1530" t="s">
        <v>102</v>
      </c>
      <c r="Q1530">
        <v>783.73</v>
      </c>
      <c r="R1530" t="str">
        <f>"PAGMENOS - LJ 431 (10265)"</f>
        <v>PAGMENOS - LJ 431 (10265)</v>
      </c>
      <c r="S1530" t="s">
        <v>103</v>
      </c>
      <c r="T1530">
        <v>30594</v>
      </c>
      <c r="U1530">
        <v>34017</v>
      </c>
      <c r="V1530" t="s">
        <v>37</v>
      </c>
    </row>
    <row r="1531" spans="1:22">
      <c r="A1531" t="str">
        <f t="shared" si="277"/>
        <v>11/03/2026</v>
      </c>
      <c r="B1531" t="str">
        <f t="shared" si="282"/>
        <v>ENTRADA</v>
      </c>
      <c r="C1531" t="str">
        <f t="shared" si="283"/>
        <v>NFSE</v>
      </c>
      <c r="D1531" t="str">
        <f t="shared" si="289"/>
        <v>456</v>
      </c>
      <c r="E1531" t="str">
        <f t="shared" si="284"/>
        <v>1</v>
      </c>
      <c r="F1531" t="str">
        <f t="shared" si="278"/>
        <v>COM</v>
      </c>
      <c r="G1531" t="str">
        <f t="shared" si="290"/>
        <v>PAGMENOS - LJ 608 (10135)</v>
      </c>
      <c r="H1531" t="s">
        <v>547</v>
      </c>
      <c r="I1531" t="str">
        <f t="shared" si="285"/>
        <v>11/03/2026</v>
      </c>
      <c r="J1531" t="str">
        <f t="shared" si="291"/>
        <v>03/03/2026</v>
      </c>
      <c r="K1531">
        <v>46092</v>
      </c>
      <c r="N1531">
        <v>303</v>
      </c>
      <c r="O1531" t="s">
        <v>102</v>
      </c>
      <c r="Q1531">
        <v>1381.36</v>
      </c>
      <c r="R1531" t="str">
        <f>"PAGMENOS - LJ 768 (10266)"</f>
        <v>PAGMENOS - LJ 768 (10266)</v>
      </c>
      <c r="S1531" t="s">
        <v>103</v>
      </c>
      <c r="T1531">
        <v>30594</v>
      </c>
      <c r="U1531">
        <v>34017</v>
      </c>
      <c r="V1531" t="s">
        <v>37</v>
      </c>
    </row>
    <row r="1532" spans="1:22">
      <c r="A1532" t="str">
        <f t="shared" ref="A1532:A1544" si="292">("11/03/2026")</f>
        <v>11/03/2026</v>
      </c>
      <c r="B1532" t="str">
        <f t="shared" si="282"/>
        <v>ENTRADA</v>
      </c>
      <c r="C1532" t="str">
        <f t="shared" si="283"/>
        <v>NFSE</v>
      </c>
      <c r="D1532" t="str">
        <f t="shared" si="289"/>
        <v>456</v>
      </c>
      <c r="E1532" t="str">
        <f t="shared" si="284"/>
        <v>1</v>
      </c>
      <c r="F1532" t="str">
        <f t="shared" si="278"/>
        <v>COM</v>
      </c>
      <c r="G1532" t="str">
        <f t="shared" si="290"/>
        <v>PAGMENOS - LJ 608 (10135)</v>
      </c>
      <c r="H1532" t="s">
        <v>547</v>
      </c>
      <c r="I1532" t="str">
        <f t="shared" si="285"/>
        <v>11/03/2026</v>
      </c>
      <c r="J1532" t="str">
        <f t="shared" si="291"/>
        <v>03/03/2026</v>
      </c>
      <c r="K1532">
        <v>46092</v>
      </c>
      <c r="N1532">
        <v>303</v>
      </c>
      <c r="O1532" t="s">
        <v>102</v>
      </c>
      <c r="Q1532">
        <v>925.68</v>
      </c>
      <c r="R1532" t="str">
        <f>"PAGUE MENOS 356 (10291)"</f>
        <v>PAGUE MENOS 356 (10291)</v>
      </c>
      <c r="S1532" t="s">
        <v>103</v>
      </c>
      <c r="T1532">
        <v>30594</v>
      </c>
      <c r="U1532">
        <v>34017</v>
      </c>
      <c r="V1532" t="s">
        <v>37</v>
      </c>
    </row>
    <row r="1533" spans="1:22">
      <c r="A1533" t="str">
        <f t="shared" si="292"/>
        <v>11/03/2026</v>
      </c>
      <c r="B1533" t="str">
        <f t="shared" si="282"/>
        <v>ENTRADA</v>
      </c>
      <c r="C1533" t="str">
        <f t="shared" si="283"/>
        <v>NFSE</v>
      </c>
      <c r="D1533" t="str">
        <f t="shared" si="289"/>
        <v>456</v>
      </c>
      <c r="E1533" t="str">
        <f t="shared" si="284"/>
        <v>1</v>
      </c>
      <c r="F1533" t="str">
        <f t="shared" si="278"/>
        <v>COM</v>
      </c>
      <c r="G1533" t="str">
        <f t="shared" si="290"/>
        <v>PAGMENOS - LJ 608 (10135)</v>
      </c>
      <c r="H1533" t="s">
        <v>547</v>
      </c>
      <c r="I1533" t="str">
        <f t="shared" si="285"/>
        <v>11/03/2026</v>
      </c>
      <c r="J1533" t="str">
        <f t="shared" si="291"/>
        <v>03/03/2026</v>
      </c>
      <c r="K1533">
        <v>46092</v>
      </c>
      <c r="N1533">
        <v>303</v>
      </c>
      <c r="O1533" t="s">
        <v>102</v>
      </c>
      <c r="Q1533">
        <v>1938.44</v>
      </c>
      <c r="R1533" t="str">
        <f>"PAGUE MENOS 426 (10292)"</f>
        <v>PAGUE MENOS 426 (10292)</v>
      </c>
      <c r="S1533" t="s">
        <v>103</v>
      </c>
      <c r="T1533">
        <v>30594</v>
      </c>
      <c r="U1533">
        <v>34017</v>
      </c>
      <c r="V1533" t="s">
        <v>37</v>
      </c>
    </row>
    <row r="1534" spans="1:22">
      <c r="A1534" t="str">
        <f t="shared" si="292"/>
        <v>11/03/2026</v>
      </c>
      <c r="B1534" t="str">
        <f t="shared" si="282"/>
        <v>ENTRADA</v>
      </c>
      <c r="C1534" t="str">
        <f t="shared" si="283"/>
        <v>NFSE</v>
      </c>
      <c r="D1534" t="str">
        <f t="shared" si="289"/>
        <v>456</v>
      </c>
      <c r="E1534" t="str">
        <f t="shared" si="284"/>
        <v>1</v>
      </c>
      <c r="F1534" t="str">
        <f t="shared" si="278"/>
        <v>COM</v>
      </c>
      <c r="G1534" t="str">
        <f t="shared" si="290"/>
        <v>PAGMENOS - LJ 608 (10135)</v>
      </c>
      <c r="H1534" t="s">
        <v>547</v>
      </c>
      <c r="I1534" t="str">
        <f t="shared" si="285"/>
        <v>11/03/2026</v>
      </c>
      <c r="J1534" t="str">
        <f t="shared" si="291"/>
        <v>03/03/2026</v>
      </c>
      <c r="K1534">
        <v>46092</v>
      </c>
      <c r="N1534">
        <v>303</v>
      </c>
      <c r="O1534" t="s">
        <v>102</v>
      </c>
      <c r="Q1534">
        <v>0</v>
      </c>
      <c r="R1534" t="str">
        <f>"PAGUE MENOS 306 (10298)"</f>
        <v>PAGUE MENOS 306 (10298)</v>
      </c>
      <c r="S1534" t="s">
        <v>103</v>
      </c>
      <c r="T1534">
        <v>30594</v>
      </c>
      <c r="U1534">
        <v>34017</v>
      </c>
      <c r="V1534" t="s">
        <v>37</v>
      </c>
    </row>
    <row r="1535" spans="1:22">
      <c r="A1535" t="str">
        <f t="shared" si="292"/>
        <v>11/03/2026</v>
      </c>
      <c r="B1535" t="str">
        <f t="shared" si="282"/>
        <v>ENTRADA</v>
      </c>
      <c r="C1535" t="str">
        <f t="shared" si="283"/>
        <v>NFSE</v>
      </c>
      <c r="D1535" t="str">
        <f t="shared" si="289"/>
        <v>456</v>
      </c>
      <c r="E1535" t="str">
        <f t="shared" si="284"/>
        <v>1</v>
      </c>
      <c r="F1535" t="str">
        <f t="shared" si="278"/>
        <v>COM</v>
      </c>
      <c r="G1535" t="str">
        <f t="shared" si="290"/>
        <v>PAGMENOS - LJ 608 (10135)</v>
      </c>
      <c r="H1535" t="s">
        <v>547</v>
      </c>
      <c r="I1535" t="str">
        <f t="shared" si="285"/>
        <v>11/03/2026</v>
      </c>
      <c r="J1535" t="str">
        <f t="shared" si="291"/>
        <v>03/03/2026</v>
      </c>
      <c r="K1535">
        <v>46092</v>
      </c>
      <c r="N1535">
        <v>303</v>
      </c>
      <c r="O1535" t="s">
        <v>102</v>
      </c>
      <c r="Q1535">
        <v>9.5399999999999991</v>
      </c>
      <c r="R1535" t="str">
        <f>"PAGUE MENOS 311 (10299)"</f>
        <v>PAGUE MENOS 311 (10299)</v>
      </c>
      <c r="S1535" t="s">
        <v>103</v>
      </c>
      <c r="T1535">
        <v>30594</v>
      </c>
      <c r="U1535">
        <v>34017</v>
      </c>
      <c r="V1535" t="s">
        <v>37</v>
      </c>
    </row>
    <row r="1536" spans="1:22">
      <c r="A1536" t="str">
        <f t="shared" si="292"/>
        <v>11/03/2026</v>
      </c>
      <c r="B1536" t="str">
        <f t="shared" si="282"/>
        <v>ENTRADA</v>
      </c>
      <c r="C1536" t="str">
        <f t="shared" si="283"/>
        <v>NFSE</v>
      </c>
      <c r="D1536" t="str">
        <f t="shared" si="289"/>
        <v>456</v>
      </c>
      <c r="E1536" t="str">
        <f t="shared" si="284"/>
        <v>1</v>
      </c>
      <c r="F1536" t="str">
        <f t="shared" si="278"/>
        <v>COM</v>
      </c>
      <c r="G1536" t="str">
        <f t="shared" si="290"/>
        <v>PAGMENOS - LJ 608 (10135)</v>
      </c>
      <c r="H1536" t="s">
        <v>547</v>
      </c>
      <c r="I1536" t="str">
        <f t="shared" si="285"/>
        <v>11/03/2026</v>
      </c>
      <c r="J1536" t="str">
        <f t="shared" si="291"/>
        <v>03/03/2026</v>
      </c>
      <c r="K1536">
        <v>46092</v>
      </c>
      <c r="N1536">
        <v>303</v>
      </c>
      <c r="O1536" t="s">
        <v>102</v>
      </c>
      <c r="Q1536">
        <v>602.41</v>
      </c>
      <c r="R1536" t="str">
        <f>"PAGUE MENOS 377 (10300)"</f>
        <v>PAGUE MENOS 377 (10300)</v>
      </c>
      <c r="S1536" t="s">
        <v>103</v>
      </c>
      <c r="T1536">
        <v>30594</v>
      </c>
      <c r="U1536">
        <v>34017</v>
      </c>
      <c r="V1536" t="s">
        <v>37</v>
      </c>
    </row>
    <row r="1537" spans="1:22">
      <c r="A1537" t="str">
        <f t="shared" si="292"/>
        <v>11/03/2026</v>
      </c>
      <c r="B1537" t="str">
        <f t="shared" si="282"/>
        <v>ENTRADA</v>
      </c>
      <c r="C1537" t="str">
        <f t="shared" si="283"/>
        <v>NFSE</v>
      </c>
      <c r="D1537" t="str">
        <f t="shared" si="289"/>
        <v>456</v>
      </c>
      <c r="E1537" t="str">
        <f t="shared" si="284"/>
        <v>1</v>
      </c>
      <c r="F1537" t="str">
        <f t="shared" si="278"/>
        <v>COM</v>
      </c>
      <c r="G1537" t="str">
        <f t="shared" si="290"/>
        <v>PAGMENOS - LJ 608 (10135)</v>
      </c>
      <c r="H1537" t="s">
        <v>547</v>
      </c>
      <c r="I1537" t="str">
        <f t="shared" si="285"/>
        <v>11/03/2026</v>
      </c>
      <c r="J1537" t="str">
        <f t="shared" si="291"/>
        <v>03/03/2026</v>
      </c>
      <c r="K1537">
        <v>46092</v>
      </c>
      <c r="N1537">
        <v>303</v>
      </c>
      <c r="O1537" t="s">
        <v>102</v>
      </c>
      <c r="Q1537">
        <v>63.22</v>
      </c>
      <c r="R1537" t="str">
        <f>"PAGUE MENOS 548 (10303)"</f>
        <v>PAGUE MENOS 548 (10303)</v>
      </c>
      <c r="S1537" t="s">
        <v>103</v>
      </c>
      <c r="T1537">
        <v>30594</v>
      </c>
      <c r="U1537">
        <v>34017</v>
      </c>
      <c r="V1537" t="s">
        <v>37</v>
      </c>
    </row>
    <row r="1538" spans="1:22">
      <c r="A1538" t="str">
        <f t="shared" si="292"/>
        <v>11/03/2026</v>
      </c>
      <c r="B1538" t="str">
        <f t="shared" si="282"/>
        <v>ENTRADA</v>
      </c>
      <c r="C1538" t="str">
        <f t="shared" si="283"/>
        <v>NFSE</v>
      </c>
      <c r="D1538" t="str">
        <f t="shared" si="289"/>
        <v>456</v>
      </c>
      <c r="E1538" t="str">
        <f t="shared" si="284"/>
        <v>1</v>
      </c>
      <c r="F1538" t="str">
        <f t="shared" ref="F1538:F1601" si="293">"COM"</f>
        <v>COM</v>
      </c>
      <c r="G1538" t="str">
        <f t="shared" si="290"/>
        <v>PAGMENOS - LJ 608 (10135)</v>
      </c>
      <c r="H1538" t="s">
        <v>547</v>
      </c>
      <c r="I1538" t="str">
        <f t="shared" si="285"/>
        <v>11/03/2026</v>
      </c>
      <c r="J1538" t="str">
        <f t="shared" si="291"/>
        <v>03/03/2026</v>
      </c>
      <c r="K1538">
        <v>46092</v>
      </c>
      <c r="N1538">
        <v>303</v>
      </c>
      <c r="O1538" t="s">
        <v>102</v>
      </c>
      <c r="Q1538">
        <v>0</v>
      </c>
      <c r="R1538" t="str">
        <f>"PAGUE MENOS 751 (10304)"</f>
        <v>PAGUE MENOS 751 (10304)</v>
      </c>
      <c r="S1538" t="s">
        <v>103</v>
      </c>
      <c r="T1538">
        <v>30594</v>
      </c>
      <c r="U1538">
        <v>34017</v>
      </c>
      <c r="V1538" t="s">
        <v>37</v>
      </c>
    </row>
    <row r="1539" spans="1:22">
      <c r="A1539" t="str">
        <f t="shared" si="292"/>
        <v>11/03/2026</v>
      </c>
      <c r="B1539" t="str">
        <f t="shared" si="282"/>
        <v>ENTRADA</v>
      </c>
      <c r="C1539" t="str">
        <f t="shared" si="283"/>
        <v>NFSE</v>
      </c>
      <c r="D1539" t="str">
        <f t="shared" si="289"/>
        <v>456</v>
      </c>
      <c r="E1539" t="str">
        <f t="shared" si="284"/>
        <v>1</v>
      </c>
      <c r="F1539" t="str">
        <f t="shared" si="293"/>
        <v>COM</v>
      </c>
      <c r="G1539" t="str">
        <f t="shared" si="290"/>
        <v>PAGMENOS - LJ 608 (10135)</v>
      </c>
      <c r="H1539" t="s">
        <v>547</v>
      </c>
      <c r="I1539" t="str">
        <f t="shared" si="285"/>
        <v>11/03/2026</v>
      </c>
      <c r="J1539" t="str">
        <f t="shared" si="291"/>
        <v>03/03/2026</v>
      </c>
      <c r="K1539">
        <v>46092</v>
      </c>
      <c r="N1539">
        <v>303</v>
      </c>
      <c r="O1539" t="s">
        <v>102</v>
      </c>
      <c r="Q1539">
        <v>27.44</v>
      </c>
      <c r="R1539" t="str">
        <f>"PAGUE MENOS 879 (10305)"</f>
        <v>PAGUE MENOS 879 (10305)</v>
      </c>
      <c r="S1539" t="s">
        <v>103</v>
      </c>
      <c r="T1539">
        <v>30594</v>
      </c>
      <c r="U1539">
        <v>34017</v>
      </c>
      <c r="V1539" t="s">
        <v>37</v>
      </c>
    </row>
    <row r="1540" spans="1:22">
      <c r="A1540" t="str">
        <f t="shared" si="292"/>
        <v>11/03/2026</v>
      </c>
      <c r="B1540" t="str">
        <f t="shared" si="282"/>
        <v>ENTRADA</v>
      </c>
      <c r="C1540" t="str">
        <f t="shared" si="283"/>
        <v>NFSE</v>
      </c>
      <c r="D1540" t="str">
        <f t="shared" si="289"/>
        <v>456</v>
      </c>
      <c r="E1540" t="str">
        <f t="shared" si="284"/>
        <v>1</v>
      </c>
      <c r="F1540" t="str">
        <f t="shared" si="293"/>
        <v>COM</v>
      </c>
      <c r="G1540" t="str">
        <f t="shared" si="290"/>
        <v>PAGMENOS - LJ 608 (10135)</v>
      </c>
      <c r="H1540" t="s">
        <v>547</v>
      </c>
      <c r="I1540" t="str">
        <f t="shared" si="285"/>
        <v>11/03/2026</v>
      </c>
      <c r="J1540" t="str">
        <f t="shared" si="291"/>
        <v>03/03/2026</v>
      </c>
      <c r="K1540">
        <v>46092</v>
      </c>
      <c r="N1540">
        <v>303</v>
      </c>
      <c r="O1540" t="s">
        <v>102</v>
      </c>
      <c r="Q1540">
        <v>1134.43</v>
      </c>
      <c r="R1540" t="str">
        <f>"PAGUE MENOS 1155 (10307)"</f>
        <v>PAGUE MENOS 1155 (10307)</v>
      </c>
      <c r="S1540" t="s">
        <v>103</v>
      </c>
      <c r="T1540">
        <v>30594</v>
      </c>
      <c r="U1540">
        <v>34017</v>
      </c>
      <c r="V1540" t="s">
        <v>37</v>
      </c>
    </row>
    <row r="1541" spans="1:22">
      <c r="A1541" t="str">
        <f t="shared" si="292"/>
        <v>11/03/2026</v>
      </c>
      <c r="B1541" t="str">
        <f t="shared" si="282"/>
        <v>ENTRADA</v>
      </c>
      <c r="C1541" t="str">
        <f t="shared" si="283"/>
        <v>NFSE</v>
      </c>
      <c r="D1541" t="str">
        <f t="shared" si="289"/>
        <v>456</v>
      </c>
      <c r="E1541" t="str">
        <f t="shared" si="284"/>
        <v>1</v>
      </c>
      <c r="F1541" t="str">
        <f t="shared" si="293"/>
        <v>COM</v>
      </c>
      <c r="G1541" t="str">
        <f t="shared" si="290"/>
        <v>PAGMENOS - LJ 608 (10135)</v>
      </c>
      <c r="H1541" t="s">
        <v>547</v>
      </c>
      <c r="I1541" t="str">
        <f t="shared" si="285"/>
        <v>11/03/2026</v>
      </c>
      <c r="J1541" t="str">
        <f t="shared" si="291"/>
        <v>03/03/2026</v>
      </c>
      <c r="K1541">
        <v>46092</v>
      </c>
      <c r="N1541">
        <v>303</v>
      </c>
      <c r="O1541" t="s">
        <v>102</v>
      </c>
      <c r="Q1541">
        <v>827.86</v>
      </c>
      <c r="R1541" t="str">
        <f>"PAGUE MENOS 1156 (10308)"</f>
        <v>PAGUE MENOS 1156 (10308)</v>
      </c>
      <c r="S1541" t="s">
        <v>103</v>
      </c>
      <c r="T1541">
        <v>30594</v>
      </c>
      <c r="U1541">
        <v>34017</v>
      </c>
      <c r="V1541" t="s">
        <v>37</v>
      </c>
    </row>
    <row r="1542" spans="1:22">
      <c r="A1542" t="str">
        <f t="shared" si="292"/>
        <v>11/03/2026</v>
      </c>
      <c r="B1542" t="str">
        <f t="shared" si="282"/>
        <v>ENTRADA</v>
      </c>
      <c r="C1542" t="str">
        <f t="shared" si="283"/>
        <v>NFSE</v>
      </c>
      <c r="D1542" t="str">
        <f t="shared" si="289"/>
        <v>456</v>
      </c>
      <c r="E1542" t="str">
        <f t="shared" si="284"/>
        <v>1</v>
      </c>
      <c r="F1542" t="str">
        <f t="shared" si="293"/>
        <v>COM</v>
      </c>
      <c r="G1542" t="str">
        <f t="shared" si="290"/>
        <v>PAGMENOS - LJ 608 (10135)</v>
      </c>
      <c r="H1542" t="s">
        <v>547</v>
      </c>
      <c r="I1542" t="str">
        <f t="shared" si="285"/>
        <v>11/03/2026</v>
      </c>
      <c r="J1542" t="str">
        <f t="shared" si="291"/>
        <v>03/03/2026</v>
      </c>
      <c r="K1542">
        <v>46092</v>
      </c>
      <c r="N1542">
        <v>303</v>
      </c>
      <c r="O1542" t="s">
        <v>102</v>
      </c>
      <c r="Q1542">
        <v>0</v>
      </c>
      <c r="R1542" t="str">
        <f>"PAGUE MENOS 1194 (10309)"</f>
        <v>PAGUE MENOS 1194 (10309)</v>
      </c>
      <c r="S1542" t="s">
        <v>103</v>
      </c>
      <c r="T1542">
        <v>30594</v>
      </c>
      <c r="U1542">
        <v>34017</v>
      </c>
      <c r="V1542" t="s">
        <v>37</v>
      </c>
    </row>
    <row r="1543" spans="1:22">
      <c r="A1543" t="str">
        <f t="shared" si="292"/>
        <v>11/03/2026</v>
      </c>
      <c r="B1543" t="str">
        <f t="shared" si="282"/>
        <v>ENTRADA</v>
      </c>
      <c r="C1543" t="str">
        <f t="shared" si="283"/>
        <v>NFSE</v>
      </c>
      <c r="D1543" t="str">
        <f t="shared" si="289"/>
        <v>456</v>
      </c>
      <c r="E1543" t="str">
        <f t="shared" si="284"/>
        <v>1</v>
      </c>
      <c r="F1543" t="str">
        <f t="shared" si="293"/>
        <v>COM</v>
      </c>
      <c r="G1543" t="str">
        <f t="shared" si="290"/>
        <v>PAGMENOS - LJ 608 (10135)</v>
      </c>
      <c r="H1543" t="s">
        <v>547</v>
      </c>
      <c r="I1543" t="str">
        <f t="shared" si="285"/>
        <v>11/03/2026</v>
      </c>
      <c r="J1543" t="str">
        <f t="shared" si="291"/>
        <v>03/03/2026</v>
      </c>
      <c r="K1543">
        <v>46092</v>
      </c>
      <c r="N1543">
        <v>303</v>
      </c>
      <c r="O1543" t="s">
        <v>102</v>
      </c>
      <c r="Q1543">
        <v>0</v>
      </c>
      <c r="R1543" t="str">
        <f>"PAGUE MENOS 1195 (10310)"</f>
        <v>PAGUE MENOS 1195 (10310)</v>
      </c>
      <c r="S1543" t="s">
        <v>103</v>
      </c>
      <c r="T1543">
        <v>30594</v>
      </c>
      <c r="U1543">
        <v>34017</v>
      </c>
      <c r="V1543" t="s">
        <v>37</v>
      </c>
    </row>
    <row r="1544" spans="1:22">
      <c r="A1544" t="str">
        <f t="shared" si="292"/>
        <v>11/03/2026</v>
      </c>
      <c r="B1544" t="str">
        <f t="shared" si="282"/>
        <v>ENTRADA</v>
      </c>
      <c r="C1544" t="str">
        <f t="shared" si="283"/>
        <v>NFSE</v>
      </c>
      <c r="D1544" t="str">
        <f t="shared" si="289"/>
        <v>456</v>
      </c>
      <c r="E1544" t="str">
        <f t="shared" si="284"/>
        <v>1</v>
      </c>
      <c r="F1544" t="str">
        <f t="shared" si="293"/>
        <v>COM</v>
      </c>
      <c r="G1544" t="str">
        <f t="shared" si="290"/>
        <v>PAGMENOS - LJ 608 (10135)</v>
      </c>
      <c r="H1544" t="s">
        <v>547</v>
      </c>
      <c r="I1544" t="str">
        <f t="shared" si="285"/>
        <v>11/03/2026</v>
      </c>
      <c r="J1544" t="str">
        <f t="shared" si="291"/>
        <v>03/03/2026</v>
      </c>
      <c r="K1544">
        <v>46092</v>
      </c>
      <c r="N1544">
        <v>303</v>
      </c>
      <c r="O1544" t="s">
        <v>102</v>
      </c>
      <c r="Q1544">
        <v>15.51</v>
      </c>
      <c r="R1544" t="str">
        <f>"PAGUE MENOS 1327 (10312)"</f>
        <v>PAGUE MENOS 1327 (10312)</v>
      </c>
      <c r="S1544" t="s">
        <v>103</v>
      </c>
      <c r="T1544">
        <v>30594</v>
      </c>
      <c r="U1544">
        <v>34017</v>
      </c>
      <c r="V1544" t="s">
        <v>37</v>
      </c>
    </row>
    <row r="1545" spans="1:22">
      <c r="A1545" t="str">
        <f t="shared" ref="A1545:A1608" si="294">("12/03/2026")</f>
        <v>12/03/2026</v>
      </c>
      <c r="B1545" t="str">
        <f>"SAÍDA"</f>
        <v>SAÍDA</v>
      </c>
      <c r="C1545" t="str">
        <f>"PIX"</f>
        <v>PIX</v>
      </c>
      <c r="D1545" t="str">
        <f>"34298"</f>
        <v>34298</v>
      </c>
      <c r="E1545" t="str">
        <f t="shared" si="284"/>
        <v>1</v>
      </c>
      <c r="F1545" t="str">
        <f t="shared" si="293"/>
        <v>COM</v>
      </c>
      <c r="G1545" t="str">
        <f>"TALES SILVA MARIANO (431)"</f>
        <v>TALES SILVA MARIANO (431)</v>
      </c>
      <c r="H1545" t="str">
        <f>"Serv.Prest. 02/03/2026 a 08/03/2026 - PIX: CNPJ - CHAVE: 64.735.042/0001-53"</f>
        <v>Serv.Prest. 02/03/2026 a 08/03/2026 - PIX: CNPJ - CHAVE: 64.735.042/0001-53</v>
      </c>
      <c r="I1545" t="str">
        <f>("12/03/2026")</f>
        <v>12/03/2026</v>
      </c>
      <c r="J1545" t="str">
        <f>("09/03/2026")</f>
        <v>09/03/2026</v>
      </c>
      <c r="K1545" t="str">
        <f>("12/03/2026")</f>
        <v>12/03/2026</v>
      </c>
      <c r="L1545">
        <v>20</v>
      </c>
      <c r="M1545">
        <v>20</v>
      </c>
      <c r="N1545">
        <v>109</v>
      </c>
      <c r="O1545" t="str">
        <f>"PAGAMENTO DE ENTREGADORES"</f>
        <v>PAGAMENTO DE ENTREGADORES</v>
      </c>
      <c r="P1545">
        <v>20</v>
      </c>
      <c r="S1545" t="str">
        <f>"BANCO CORA (102)"</f>
        <v>BANCO CORA (102)</v>
      </c>
      <c r="T1545">
        <v>30549</v>
      </c>
      <c r="U1545">
        <v>34809</v>
      </c>
      <c r="V1545" t="s">
        <v>33</v>
      </c>
    </row>
    <row r="1546" spans="1:22">
      <c r="A1546" t="str">
        <f t="shared" si="294"/>
        <v>12/03/2026</v>
      </c>
      <c r="B1546" t="str">
        <f>"SAÍDA"</f>
        <v>SAÍDA</v>
      </c>
      <c r="C1546" t="str">
        <f>"PIX"</f>
        <v>PIX</v>
      </c>
      <c r="D1546" t="str">
        <f>"34298"</f>
        <v>34298</v>
      </c>
      <c r="E1546" t="str">
        <f t="shared" si="284"/>
        <v>1</v>
      </c>
      <c r="F1546" t="str">
        <f t="shared" si="293"/>
        <v>COM</v>
      </c>
      <c r="G1546" t="str">
        <f>"TALES SILVA MARIANO (431)"</f>
        <v>TALES SILVA MARIANO (431)</v>
      </c>
      <c r="H1546" t="s">
        <v>548</v>
      </c>
      <c r="I1546" t="str">
        <f>("12/03/2026")</f>
        <v>12/03/2026</v>
      </c>
      <c r="J1546" t="str">
        <f>("09/03/2026")</f>
        <v>09/03/2026</v>
      </c>
      <c r="K1546">
        <v>46093</v>
      </c>
      <c r="N1546">
        <v>109</v>
      </c>
      <c r="O1546" t="s">
        <v>27</v>
      </c>
      <c r="Q1546">
        <v>20</v>
      </c>
      <c r="R1546" t="str">
        <f>"ULTRA POPULAR  UBA 2 (10214)"</f>
        <v>ULTRA POPULAR  UBA 2 (10214)</v>
      </c>
      <c r="S1546" t="s">
        <v>33</v>
      </c>
      <c r="T1546">
        <v>30549</v>
      </c>
      <c r="U1546">
        <v>34809</v>
      </c>
      <c r="V1546" t="s">
        <v>33</v>
      </c>
    </row>
    <row r="1547" spans="1:22">
      <c r="A1547" t="str">
        <f t="shared" si="294"/>
        <v>12/03/2026</v>
      </c>
      <c r="B1547" t="str">
        <f>"ENTRADA"</f>
        <v>ENTRADA</v>
      </c>
      <c r="C1547" t="str">
        <f>"DINHEIRO"</f>
        <v>DINHEIRO</v>
      </c>
      <c r="D1547" t="str">
        <f>"05"</f>
        <v>05</v>
      </c>
      <c r="E1547" t="str">
        <f>"39"</f>
        <v>39</v>
      </c>
      <c r="F1547" t="str">
        <f t="shared" si="293"/>
        <v>COM</v>
      </c>
      <c r="G1547" t="str">
        <f>"TALES SILVA MARIANO (431)"</f>
        <v>TALES SILVA MARIANO (431)</v>
      </c>
      <c r="H1547" t="str">
        <f>"DESCONTO COTA COOPERADO"</f>
        <v>DESCONTO COTA COOPERADO</v>
      </c>
      <c r="I1547" t="str">
        <f>("16/03/2026")</f>
        <v>16/03/2026</v>
      </c>
      <c r="J1547" t="str">
        <f>("16/01/2025")</f>
        <v>16/01/2025</v>
      </c>
      <c r="K1547" t="str">
        <f>("12/03/2026")</f>
        <v>12/03/2026</v>
      </c>
      <c r="L1547">
        <v>20</v>
      </c>
      <c r="M1547">
        <v>20</v>
      </c>
      <c r="N1547">
        <v>106</v>
      </c>
      <c r="O1547" t="str">
        <f>"ENTRADA DE CAPITAL"</f>
        <v>ENTRADA DE CAPITAL</v>
      </c>
      <c r="P1547">
        <v>20</v>
      </c>
      <c r="S1547" t="str">
        <f>"ENTRADA DE CAPITAL (106)"</f>
        <v>ENTRADA DE CAPITAL (106)</v>
      </c>
      <c r="T1547">
        <v>30550</v>
      </c>
      <c r="U1547">
        <v>7579</v>
      </c>
      <c r="V1547" t="s">
        <v>33</v>
      </c>
    </row>
    <row r="1548" spans="1:22">
      <c r="A1548" t="str">
        <f t="shared" si="294"/>
        <v>12/03/2026</v>
      </c>
      <c r="B1548" t="str">
        <f>"ENTRADA"</f>
        <v>ENTRADA</v>
      </c>
      <c r="C1548" t="str">
        <f>"DINHEIRO"</f>
        <v>DINHEIRO</v>
      </c>
      <c r="D1548" t="str">
        <f>"05"</f>
        <v>05</v>
      </c>
      <c r="E1548" t="str">
        <f>"39"</f>
        <v>39</v>
      </c>
      <c r="F1548" t="str">
        <f t="shared" si="293"/>
        <v>COM</v>
      </c>
      <c r="G1548" t="str">
        <f>"TALES SILVA MARIANO (431)"</f>
        <v>TALES SILVA MARIANO (431)</v>
      </c>
      <c r="H1548" t="s">
        <v>549</v>
      </c>
      <c r="I1548" t="str">
        <f>("16/03/2026")</f>
        <v>16/03/2026</v>
      </c>
      <c r="J1548" t="str">
        <f>("16/01/2025")</f>
        <v>16/01/2025</v>
      </c>
      <c r="K1548">
        <v>46093</v>
      </c>
      <c r="N1548">
        <v>106</v>
      </c>
      <c r="O1548" t="s">
        <v>98</v>
      </c>
      <c r="Q1548">
        <v>20</v>
      </c>
      <c r="R1548" t="str">
        <f>"TALES SILVA MARIANO (431)"</f>
        <v>TALES SILVA MARIANO (431)</v>
      </c>
      <c r="S1548" t="s">
        <v>99</v>
      </c>
      <c r="T1548">
        <v>30550</v>
      </c>
      <c r="U1548">
        <v>7579</v>
      </c>
      <c r="V1548" t="s">
        <v>33</v>
      </c>
    </row>
    <row r="1549" spans="1:22">
      <c r="A1549" t="str">
        <f t="shared" si="294"/>
        <v>12/03/2026</v>
      </c>
      <c r="B1549" t="str">
        <f>"SAÍDA"</f>
        <v>SAÍDA</v>
      </c>
      <c r="C1549" t="str">
        <f>"PIX"</f>
        <v>PIX</v>
      </c>
      <c r="D1549" t="str">
        <f>"34271"</f>
        <v>34271</v>
      </c>
      <c r="E1549" t="str">
        <f>"1"</f>
        <v>1</v>
      </c>
      <c r="F1549" t="str">
        <f t="shared" si="293"/>
        <v>COM</v>
      </c>
      <c r="G1549" t="str">
        <f>"WILIANA RODRIGUES E RODRIGUES (398)"</f>
        <v>WILIANA RODRIGUES E RODRIGUES (398)</v>
      </c>
      <c r="H1549" t="str">
        <f>"Serv.Prest. 02/03/2026 a 08/03/2026 - PIX: CPF - CHAVE: 016.203.336-27"</f>
        <v>Serv.Prest. 02/03/2026 a 08/03/2026 - PIX: CPF - CHAVE: 016.203.336-27</v>
      </c>
      <c r="I1549" t="str">
        <f>("12/03/2026")</f>
        <v>12/03/2026</v>
      </c>
      <c r="J1549" t="str">
        <f>("09/03/2026")</f>
        <v>09/03/2026</v>
      </c>
      <c r="K1549" t="str">
        <f>("12/03/2026")</f>
        <v>12/03/2026</v>
      </c>
      <c r="L1549">
        <v>20</v>
      </c>
      <c r="M1549">
        <v>20</v>
      </c>
      <c r="N1549">
        <v>109</v>
      </c>
      <c r="O1549" t="str">
        <f>"PAGAMENTO DE ENTREGADORES"</f>
        <v>PAGAMENTO DE ENTREGADORES</v>
      </c>
      <c r="P1549">
        <v>20</v>
      </c>
      <c r="S1549" t="str">
        <f>"BANCO CORA (102)"</f>
        <v>BANCO CORA (102)</v>
      </c>
      <c r="T1549">
        <v>30551</v>
      </c>
      <c r="U1549">
        <v>34810</v>
      </c>
      <c r="V1549" t="s">
        <v>33</v>
      </c>
    </row>
    <row r="1550" spans="1:22">
      <c r="A1550" t="str">
        <f t="shared" si="294"/>
        <v>12/03/2026</v>
      </c>
      <c r="B1550" t="str">
        <f>"SAÍDA"</f>
        <v>SAÍDA</v>
      </c>
      <c r="C1550" t="str">
        <f>"PIX"</f>
        <v>PIX</v>
      </c>
      <c r="D1550" t="str">
        <f>"34271"</f>
        <v>34271</v>
      </c>
      <c r="E1550" t="str">
        <f>"1"</f>
        <v>1</v>
      </c>
      <c r="F1550" t="str">
        <f t="shared" si="293"/>
        <v>COM</v>
      </c>
      <c r="G1550" t="str">
        <f>"WILIANA RODRIGUES E RODRIGUES (398)"</f>
        <v>WILIANA RODRIGUES E RODRIGUES (398)</v>
      </c>
      <c r="H1550" t="s">
        <v>550</v>
      </c>
      <c r="I1550" t="str">
        <f>("12/03/2026")</f>
        <v>12/03/2026</v>
      </c>
      <c r="J1550" t="str">
        <f>("09/03/2026")</f>
        <v>09/03/2026</v>
      </c>
      <c r="K1550">
        <v>46093</v>
      </c>
      <c r="N1550">
        <v>109</v>
      </c>
      <c r="O1550" t="s">
        <v>27</v>
      </c>
      <c r="Q1550">
        <v>20</v>
      </c>
      <c r="R1550" t="str">
        <f>"FARMA &amp; FORMA (10296)"</f>
        <v>FARMA &amp; FORMA (10296)</v>
      </c>
      <c r="S1550" t="s">
        <v>33</v>
      </c>
      <c r="T1550">
        <v>30551</v>
      </c>
      <c r="U1550">
        <v>34810</v>
      </c>
      <c r="V1550" t="s">
        <v>33</v>
      </c>
    </row>
    <row r="1551" spans="1:22">
      <c r="A1551" t="str">
        <f t="shared" si="294"/>
        <v>12/03/2026</v>
      </c>
      <c r="B1551" t="str">
        <f>"ENTRADA"</f>
        <v>ENTRADA</v>
      </c>
      <c r="C1551" t="str">
        <f>"DINHEIRO"</f>
        <v>DINHEIRO</v>
      </c>
      <c r="D1551" t="str">
        <f>"05"</f>
        <v>05</v>
      </c>
      <c r="E1551" t="str">
        <f>"39"</f>
        <v>39</v>
      </c>
      <c r="F1551" t="str">
        <f t="shared" si="293"/>
        <v>COM</v>
      </c>
      <c r="G1551" t="str">
        <f>"WILIANA RODRIGUES E RODRIGUES (398)"</f>
        <v>WILIANA RODRIGUES E RODRIGUES (398)</v>
      </c>
      <c r="H1551" t="str">
        <f>"DESCONTO COTA COOPERADO"</f>
        <v>DESCONTO COTA COOPERADO</v>
      </c>
      <c r="I1551" t="str">
        <f>("16/03/2026")</f>
        <v>16/03/2026</v>
      </c>
      <c r="J1551" t="str">
        <f>("16/01/2025")</f>
        <v>16/01/2025</v>
      </c>
      <c r="K1551" t="str">
        <f>("12/03/2026")</f>
        <v>12/03/2026</v>
      </c>
      <c r="L1551">
        <v>20</v>
      </c>
      <c r="M1551">
        <v>20</v>
      </c>
      <c r="N1551">
        <v>106</v>
      </c>
      <c r="O1551" t="str">
        <f>"ENTRADA DE CAPITAL"</f>
        <v>ENTRADA DE CAPITAL</v>
      </c>
      <c r="P1551">
        <v>20</v>
      </c>
      <c r="S1551" t="str">
        <f>"ENTRADA DE CAPITAL (106)"</f>
        <v>ENTRADA DE CAPITAL (106)</v>
      </c>
      <c r="T1551">
        <v>30552</v>
      </c>
      <c r="U1551">
        <v>7849</v>
      </c>
      <c r="V1551" t="s">
        <v>33</v>
      </c>
    </row>
    <row r="1552" spans="1:22">
      <c r="A1552" t="str">
        <f t="shared" si="294"/>
        <v>12/03/2026</v>
      </c>
      <c r="B1552" t="str">
        <f>"ENTRADA"</f>
        <v>ENTRADA</v>
      </c>
      <c r="C1552" t="str">
        <f>"DINHEIRO"</f>
        <v>DINHEIRO</v>
      </c>
      <c r="D1552" t="str">
        <f>"05"</f>
        <v>05</v>
      </c>
      <c r="E1552" t="str">
        <f>"39"</f>
        <v>39</v>
      </c>
      <c r="F1552" t="str">
        <f t="shared" si="293"/>
        <v>COM</v>
      </c>
      <c r="G1552" t="str">
        <f>"WILIANA RODRIGUES E RODRIGUES (398)"</f>
        <v>WILIANA RODRIGUES E RODRIGUES (398)</v>
      </c>
      <c r="H1552" t="s">
        <v>549</v>
      </c>
      <c r="I1552" t="str">
        <f>("16/03/2026")</f>
        <v>16/03/2026</v>
      </c>
      <c r="J1552" t="str">
        <f>("16/01/2025")</f>
        <v>16/01/2025</v>
      </c>
      <c r="K1552">
        <v>46093</v>
      </c>
      <c r="N1552">
        <v>106</v>
      </c>
      <c r="O1552" t="s">
        <v>98</v>
      </c>
      <c r="Q1552">
        <v>20</v>
      </c>
      <c r="R1552" t="str">
        <f>"WILIANA RODRIGUES E RODRIGUES (398)"</f>
        <v>WILIANA RODRIGUES E RODRIGUES (398)</v>
      </c>
      <c r="S1552" t="s">
        <v>99</v>
      </c>
      <c r="T1552">
        <v>30552</v>
      </c>
      <c r="U1552">
        <v>7849</v>
      </c>
      <c r="V1552" t="s">
        <v>33</v>
      </c>
    </row>
    <row r="1553" spans="1:22">
      <c r="A1553" t="str">
        <f t="shared" si="294"/>
        <v>12/03/2026</v>
      </c>
      <c r="B1553" t="str">
        <f>"SAÍDA"</f>
        <v>SAÍDA</v>
      </c>
      <c r="C1553" t="str">
        <f>"PIX"</f>
        <v>PIX</v>
      </c>
      <c r="D1553" t="str">
        <f>"34297"</f>
        <v>34297</v>
      </c>
      <c r="E1553" t="str">
        <f>"1"</f>
        <v>1</v>
      </c>
      <c r="F1553" t="str">
        <f t="shared" si="293"/>
        <v>COM</v>
      </c>
      <c r="G1553" t="str">
        <f>"JOSÉ HENRIQUE RODRIGUES (430)"</f>
        <v>JOSÉ HENRIQUE RODRIGUES (430)</v>
      </c>
      <c r="H1553" t="str">
        <f>"Serv.Prest. 02/03/2026 a 08/03/2026 - PIX: CPF - CHAVE: 100.826.516-04"</f>
        <v>Serv.Prest. 02/03/2026 a 08/03/2026 - PIX: CPF - CHAVE: 100.826.516-04</v>
      </c>
      <c r="I1553" t="str">
        <f>("12/03/2026")</f>
        <v>12/03/2026</v>
      </c>
      <c r="J1553" t="str">
        <f>("09/03/2026")</f>
        <v>09/03/2026</v>
      </c>
      <c r="K1553" t="str">
        <f>("12/03/2026")</f>
        <v>12/03/2026</v>
      </c>
      <c r="L1553">
        <v>20</v>
      </c>
      <c r="M1553">
        <v>20</v>
      </c>
      <c r="N1553">
        <v>109</v>
      </c>
      <c r="O1553" t="str">
        <f>"PAGAMENTO DE ENTREGADORES"</f>
        <v>PAGAMENTO DE ENTREGADORES</v>
      </c>
      <c r="P1553">
        <v>20</v>
      </c>
      <c r="S1553" t="str">
        <f>"BANCO CORA (102)"</f>
        <v>BANCO CORA (102)</v>
      </c>
      <c r="T1553">
        <v>30553</v>
      </c>
      <c r="U1553">
        <v>34811</v>
      </c>
      <c r="V1553" t="s">
        <v>33</v>
      </c>
    </row>
    <row r="1554" spans="1:22">
      <c r="A1554" t="str">
        <f t="shared" si="294"/>
        <v>12/03/2026</v>
      </c>
      <c r="B1554" t="str">
        <f>"SAÍDA"</f>
        <v>SAÍDA</v>
      </c>
      <c r="C1554" t="str">
        <f>"PIX"</f>
        <v>PIX</v>
      </c>
      <c r="D1554" t="str">
        <f>"34297"</f>
        <v>34297</v>
      </c>
      <c r="E1554" t="str">
        <f>"1"</f>
        <v>1</v>
      </c>
      <c r="F1554" t="str">
        <f t="shared" si="293"/>
        <v>COM</v>
      </c>
      <c r="G1554" t="str">
        <f>"JOSÉ HENRIQUE RODRIGUES (430)"</f>
        <v>JOSÉ HENRIQUE RODRIGUES (430)</v>
      </c>
      <c r="H1554" t="s">
        <v>551</v>
      </c>
      <c r="I1554" t="str">
        <f>("12/03/2026")</f>
        <v>12/03/2026</v>
      </c>
      <c r="J1554" t="str">
        <f>("09/03/2026")</f>
        <v>09/03/2026</v>
      </c>
      <c r="K1554">
        <v>46093</v>
      </c>
      <c r="N1554">
        <v>109</v>
      </c>
      <c r="O1554" t="s">
        <v>27</v>
      </c>
      <c r="Q1554">
        <v>20</v>
      </c>
      <c r="R1554" t="str">
        <f>"ULTRA POPULAR  UBA 2 (10214)"</f>
        <v>ULTRA POPULAR  UBA 2 (10214)</v>
      </c>
      <c r="S1554" t="s">
        <v>33</v>
      </c>
      <c r="T1554">
        <v>30553</v>
      </c>
      <c r="U1554">
        <v>34811</v>
      </c>
      <c r="V1554" t="s">
        <v>33</v>
      </c>
    </row>
    <row r="1555" spans="1:22">
      <c r="A1555" t="str">
        <f t="shared" si="294"/>
        <v>12/03/2026</v>
      </c>
      <c r="B1555" t="str">
        <f>"ENTRADA"</f>
        <v>ENTRADA</v>
      </c>
      <c r="C1555" t="str">
        <f>"DINHEIRO"</f>
        <v>DINHEIRO</v>
      </c>
      <c r="D1555" t="str">
        <f>"5"</f>
        <v>5</v>
      </c>
      <c r="E1555" t="str">
        <f>"39"</f>
        <v>39</v>
      </c>
      <c r="F1555" t="str">
        <f t="shared" si="293"/>
        <v>COM</v>
      </c>
      <c r="G1555" t="str">
        <f>"JOSÉ HENRIQUE RODRIGUES (430)"</f>
        <v>JOSÉ HENRIQUE RODRIGUES (430)</v>
      </c>
      <c r="H1555" t="str">
        <f>"DESCONTO COTA COOPERADO"</f>
        <v>DESCONTO COTA COOPERADO</v>
      </c>
      <c r="I1555" t="str">
        <f>("16/03/2026")</f>
        <v>16/03/2026</v>
      </c>
      <c r="J1555" t="str">
        <f>("16/01/2025")</f>
        <v>16/01/2025</v>
      </c>
      <c r="K1555" t="str">
        <f>("12/03/2026")</f>
        <v>12/03/2026</v>
      </c>
      <c r="L1555">
        <v>20</v>
      </c>
      <c r="M1555">
        <v>20</v>
      </c>
      <c r="N1555">
        <v>106</v>
      </c>
      <c r="O1555" t="str">
        <f>"ENTRADA DE CAPITAL"</f>
        <v>ENTRADA DE CAPITAL</v>
      </c>
      <c r="P1555">
        <v>20</v>
      </c>
      <c r="S1555" t="str">
        <f>"ENTRADA DE CAPITAL (106)"</f>
        <v>ENTRADA DE CAPITAL (106)</v>
      </c>
      <c r="T1555">
        <v>30554</v>
      </c>
      <c r="U1555">
        <v>6783</v>
      </c>
      <c r="V1555" t="s">
        <v>33</v>
      </c>
    </row>
    <row r="1556" spans="1:22">
      <c r="A1556" t="str">
        <f t="shared" si="294"/>
        <v>12/03/2026</v>
      </c>
      <c r="B1556" t="str">
        <f>"ENTRADA"</f>
        <v>ENTRADA</v>
      </c>
      <c r="C1556" t="str">
        <f>"DINHEIRO"</f>
        <v>DINHEIRO</v>
      </c>
      <c r="D1556" t="str">
        <f>"5"</f>
        <v>5</v>
      </c>
      <c r="E1556" t="str">
        <f>"39"</f>
        <v>39</v>
      </c>
      <c r="F1556" t="str">
        <f t="shared" si="293"/>
        <v>COM</v>
      </c>
      <c r="G1556" t="str">
        <f>"JOSÉ HENRIQUE RODRIGUES (430)"</f>
        <v>JOSÉ HENRIQUE RODRIGUES (430)</v>
      </c>
      <c r="H1556" t="s">
        <v>549</v>
      </c>
      <c r="I1556" t="str">
        <f>("16/03/2026")</f>
        <v>16/03/2026</v>
      </c>
      <c r="J1556" t="str">
        <f>("16/01/2025")</f>
        <v>16/01/2025</v>
      </c>
      <c r="K1556">
        <v>46093</v>
      </c>
      <c r="N1556">
        <v>106</v>
      </c>
      <c r="O1556" t="s">
        <v>98</v>
      </c>
      <c r="Q1556">
        <v>20</v>
      </c>
      <c r="R1556" t="str">
        <f>"JOSÉ HENRIQUE RODRIGUES (430)"</f>
        <v>JOSÉ HENRIQUE RODRIGUES (430)</v>
      </c>
      <c r="S1556" t="s">
        <v>99</v>
      </c>
      <c r="T1556">
        <v>30554</v>
      </c>
      <c r="U1556">
        <v>6783</v>
      </c>
      <c r="V1556" t="s">
        <v>33</v>
      </c>
    </row>
    <row r="1557" spans="1:22">
      <c r="A1557" t="str">
        <f t="shared" si="294"/>
        <v>12/03/2026</v>
      </c>
      <c r="B1557" t="str">
        <f>"SAÍDA"</f>
        <v>SAÍDA</v>
      </c>
      <c r="C1557" t="str">
        <f>"PIX"</f>
        <v>PIX</v>
      </c>
      <c r="D1557" t="str">
        <f>"34355"</f>
        <v>34355</v>
      </c>
      <c r="E1557" t="str">
        <f>"1"</f>
        <v>1</v>
      </c>
      <c r="F1557" t="str">
        <f t="shared" si="293"/>
        <v>COM</v>
      </c>
      <c r="G1557" t="str">
        <f>"ALLAN SILVA DAMACENA (790)"</f>
        <v>ALLAN SILVA DAMACENA (790)</v>
      </c>
      <c r="H1557" t="str">
        <f>"Serv.Prest. 02/03/2026 a 08/03/2026 - PIX: CELULAR - CHAVE: (19) 98944-4977"</f>
        <v>Serv.Prest. 02/03/2026 a 08/03/2026 - PIX: CELULAR - CHAVE: (19) 98944-4977</v>
      </c>
      <c r="I1557" t="str">
        <f>("12/03/2026")</f>
        <v>12/03/2026</v>
      </c>
      <c r="J1557" t="str">
        <f>("09/03/2026")</f>
        <v>09/03/2026</v>
      </c>
      <c r="K1557" t="str">
        <f>("12/03/2026")</f>
        <v>12/03/2026</v>
      </c>
      <c r="L1557">
        <v>20</v>
      </c>
      <c r="M1557">
        <v>20</v>
      </c>
      <c r="N1557">
        <v>109</v>
      </c>
      <c r="O1557" t="str">
        <f>"PAGAMENTO DE ENTREGADORES"</f>
        <v>PAGAMENTO DE ENTREGADORES</v>
      </c>
      <c r="P1557">
        <v>20</v>
      </c>
      <c r="S1557" t="str">
        <f>"BANCO CORA (102)"</f>
        <v>BANCO CORA (102)</v>
      </c>
      <c r="T1557">
        <v>30555</v>
      </c>
      <c r="U1557">
        <v>34812</v>
      </c>
      <c r="V1557" t="s">
        <v>33</v>
      </c>
    </row>
    <row r="1558" spans="1:22">
      <c r="A1558" t="str">
        <f t="shared" si="294"/>
        <v>12/03/2026</v>
      </c>
      <c r="B1558" t="str">
        <f>"SAÍDA"</f>
        <v>SAÍDA</v>
      </c>
      <c r="C1558" t="str">
        <f>"PIX"</f>
        <v>PIX</v>
      </c>
      <c r="D1558" t="str">
        <f>"34355"</f>
        <v>34355</v>
      </c>
      <c r="E1558" t="str">
        <f>"1"</f>
        <v>1</v>
      </c>
      <c r="F1558" t="str">
        <f t="shared" si="293"/>
        <v>COM</v>
      </c>
      <c r="G1558" t="str">
        <f>"ALLAN SILVA DAMACENA (790)"</f>
        <v>ALLAN SILVA DAMACENA (790)</v>
      </c>
      <c r="H1558" t="s">
        <v>423</v>
      </c>
      <c r="I1558" t="str">
        <f>("12/03/2026")</f>
        <v>12/03/2026</v>
      </c>
      <c r="J1558" t="str">
        <f>("09/03/2026")</f>
        <v>09/03/2026</v>
      </c>
      <c r="K1558">
        <v>46093</v>
      </c>
      <c r="N1558">
        <v>109</v>
      </c>
      <c r="O1558" t="s">
        <v>27</v>
      </c>
      <c r="Q1558">
        <v>20</v>
      </c>
      <c r="R1558" t="str">
        <f>"DROGARIA MORENO LTDA (10171)"</f>
        <v>DROGARIA MORENO LTDA (10171)</v>
      </c>
      <c r="S1558" t="s">
        <v>33</v>
      </c>
      <c r="T1558">
        <v>30555</v>
      </c>
      <c r="U1558">
        <v>34812</v>
      </c>
      <c r="V1558" t="s">
        <v>33</v>
      </c>
    </row>
    <row r="1559" spans="1:22">
      <c r="A1559" t="str">
        <f t="shared" si="294"/>
        <v>12/03/2026</v>
      </c>
      <c r="B1559" t="str">
        <f t="shared" ref="B1559:B1590" si="295">"ENTRADA"</f>
        <v>ENTRADA</v>
      </c>
      <c r="C1559" t="str">
        <f>"DINHEIRO"</f>
        <v>DINHEIRO</v>
      </c>
      <c r="D1559" t="str">
        <f>"790"</f>
        <v>790</v>
      </c>
      <c r="E1559" t="str">
        <f>"11"</f>
        <v>11</v>
      </c>
      <c r="F1559" t="str">
        <f t="shared" si="293"/>
        <v>COM</v>
      </c>
      <c r="G1559" t="str">
        <f>"ALLAN SILVA DAMACENA (790)"</f>
        <v>ALLAN SILVA DAMACENA (790)</v>
      </c>
      <c r="H1559" t="str">
        <f>"COTA COOPERATIVA"</f>
        <v>COTA COOPERATIVA</v>
      </c>
      <c r="I1559" t="str">
        <f>("08/03/2026")</f>
        <v>08/03/2026</v>
      </c>
      <c r="J1559" t="str">
        <f>("01/04/2025")</f>
        <v>01/04/2025</v>
      </c>
      <c r="K1559" t="str">
        <f>("12/03/2026")</f>
        <v>12/03/2026</v>
      </c>
      <c r="L1559">
        <v>20</v>
      </c>
      <c r="M1559">
        <v>20</v>
      </c>
      <c r="N1559">
        <v>106</v>
      </c>
      <c r="O1559" t="str">
        <f>"ENTRADA DE CAPITAL"</f>
        <v>ENTRADA DE CAPITAL</v>
      </c>
      <c r="P1559">
        <v>20</v>
      </c>
      <c r="S1559" t="str">
        <f>"ENTRADA DE CAPITAL (106)"</f>
        <v>ENTRADA DE CAPITAL (106)</v>
      </c>
      <c r="T1559">
        <v>30556</v>
      </c>
      <c r="U1559">
        <v>13696</v>
      </c>
      <c r="V1559" t="s">
        <v>33</v>
      </c>
    </row>
    <row r="1560" spans="1:22">
      <c r="A1560" t="str">
        <f t="shared" si="294"/>
        <v>12/03/2026</v>
      </c>
      <c r="B1560" t="str">
        <f t="shared" si="295"/>
        <v>ENTRADA</v>
      </c>
      <c r="C1560" t="str">
        <f>"DINHEIRO"</f>
        <v>DINHEIRO</v>
      </c>
      <c r="D1560" t="str">
        <f>"790"</f>
        <v>790</v>
      </c>
      <c r="E1560" t="str">
        <f>"11"</f>
        <v>11</v>
      </c>
      <c r="F1560" t="str">
        <f t="shared" si="293"/>
        <v>COM</v>
      </c>
      <c r="G1560" t="str">
        <f>"ALLAN SILVA DAMACENA (790)"</f>
        <v>ALLAN SILVA DAMACENA (790)</v>
      </c>
      <c r="H1560" t="s">
        <v>97</v>
      </c>
      <c r="I1560" t="str">
        <f>("08/03/2026")</f>
        <v>08/03/2026</v>
      </c>
      <c r="J1560" t="str">
        <f>("01/04/2025")</f>
        <v>01/04/2025</v>
      </c>
      <c r="K1560">
        <v>46093</v>
      </c>
      <c r="N1560">
        <v>106</v>
      </c>
      <c r="O1560" t="s">
        <v>98</v>
      </c>
      <c r="Q1560">
        <v>20</v>
      </c>
      <c r="R1560" t="str">
        <f>"ALLAN SILVA DAMACENA (790)"</f>
        <v>ALLAN SILVA DAMACENA (790)</v>
      </c>
      <c r="S1560" t="s">
        <v>99</v>
      </c>
      <c r="T1560">
        <v>30556</v>
      </c>
      <c r="U1560">
        <v>13696</v>
      </c>
      <c r="V1560" t="s">
        <v>33</v>
      </c>
    </row>
    <row r="1561" spans="1:22">
      <c r="A1561" t="str">
        <f t="shared" si="294"/>
        <v>12/03/2026</v>
      </c>
      <c r="B1561" t="str">
        <f t="shared" si="295"/>
        <v>ENTRADA</v>
      </c>
      <c r="C1561" t="str">
        <f t="shared" ref="C1561:C1592" si="296">"NFSE"</f>
        <v>NFSE</v>
      </c>
      <c r="D1561" t="str">
        <f>"413"</f>
        <v>413</v>
      </c>
      <c r="E1561" t="str">
        <f t="shared" ref="E1561:E1592" si="297">"1"</f>
        <v>1</v>
      </c>
      <c r="F1561" t="str">
        <f t="shared" si="293"/>
        <v>COM</v>
      </c>
      <c r="G1561" t="str">
        <f>"AC FARMA - CID.ALTA (10166)"</f>
        <v>AC FARMA - CID.ALTA (10166)</v>
      </c>
      <c r="H1561" t="str">
        <f>"Serv.Prest. 23/02/2026 a 01/03/2026 - RPS: 2341 - NFSe: 413"</f>
        <v>Serv.Prest. 23/02/2026 a 01/03/2026 - RPS: 2341 - NFSe: 413</v>
      </c>
      <c r="I1561" t="str">
        <f t="shared" ref="I1561:I1592" si="298">("11/03/2026")</f>
        <v>11/03/2026</v>
      </c>
      <c r="J1561" t="str">
        <f t="shared" ref="J1561:J1567" si="299">("02/03/2026")</f>
        <v>02/03/2026</v>
      </c>
      <c r="K1561" t="str">
        <f>("12/03/2026")</f>
        <v>12/03/2026</v>
      </c>
      <c r="L1561">
        <v>5458.19</v>
      </c>
      <c r="M1561">
        <v>5458.19</v>
      </c>
      <c r="N1561">
        <v>303</v>
      </c>
      <c r="O1561" t="str">
        <f>"RECEITAS COM ENTREGAS"</f>
        <v>RECEITAS COM ENTREGAS</v>
      </c>
      <c r="P1561">
        <v>5458.19</v>
      </c>
      <c r="S1561" t="str">
        <f>"RECEITAS COM ENTREGAS (303)"</f>
        <v>RECEITAS COM ENTREGAS (303)</v>
      </c>
      <c r="T1561">
        <v>30557</v>
      </c>
      <c r="U1561">
        <v>33825</v>
      </c>
      <c r="V1561" t="s">
        <v>110</v>
      </c>
    </row>
    <row r="1562" spans="1:22">
      <c r="A1562" t="str">
        <f t="shared" si="294"/>
        <v>12/03/2026</v>
      </c>
      <c r="B1562" t="str">
        <f t="shared" si="295"/>
        <v>ENTRADA</v>
      </c>
      <c r="C1562" t="str">
        <f t="shared" si="296"/>
        <v>NFSE</v>
      </c>
      <c r="D1562" t="str">
        <f>"413"</f>
        <v>413</v>
      </c>
      <c r="E1562" t="str">
        <f t="shared" si="297"/>
        <v>1</v>
      </c>
      <c r="F1562" t="str">
        <f t="shared" si="293"/>
        <v>COM</v>
      </c>
      <c r="G1562" t="str">
        <f>"AC FARMA - CID.ALTA (10166)"</f>
        <v>AC FARMA - CID.ALTA (10166)</v>
      </c>
      <c r="H1562" t="s">
        <v>552</v>
      </c>
      <c r="I1562" t="str">
        <f t="shared" si="298"/>
        <v>11/03/2026</v>
      </c>
      <c r="J1562" t="str">
        <f t="shared" si="299"/>
        <v>02/03/2026</v>
      </c>
      <c r="K1562">
        <v>46093</v>
      </c>
      <c r="N1562">
        <v>303</v>
      </c>
      <c r="O1562" t="s">
        <v>102</v>
      </c>
      <c r="Q1562">
        <v>5458.19</v>
      </c>
      <c r="R1562" t="str">
        <f>"AC FARMA - CID.ALTA (10166)"</f>
        <v>AC FARMA - CID.ALTA (10166)</v>
      </c>
      <c r="S1562" t="s">
        <v>103</v>
      </c>
      <c r="T1562">
        <v>30557</v>
      </c>
      <c r="U1562">
        <v>33825</v>
      </c>
      <c r="V1562" t="s">
        <v>110</v>
      </c>
    </row>
    <row r="1563" spans="1:22">
      <c r="A1563" t="str">
        <f t="shared" si="294"/>
        <v>12/03/2026</v>
      </c>
      <c r="B1563" t="str">
        <f t="shared" si="295"/>
        <v>ENTRADA</v>
      </c>
      <c r="C1563" t="str">
        <f t="shared" si="296"/>
        <v>NFSE</v>
      </c>
      <c r="D1563" t="str">
        <f>"414"</f>
        <v>414</v>
      </c>
      <c r="E1563" t="str">
        <f t="shared" si="297"/>
        <v>1</v>
      </c>
      <c r="F1563" t="str">
        <f t="shared" si="293"/>
        <v>COM</v>
      </c>
      <c r="G1563" t="str">
        <f>"AC FARMA - FLEMINFARMA 5 (10183)"</f>
        <v>AC FARMA - FLEMINFARMA 5 (10183)</v>
      </c>
      <c r="H1563" t="str">
        <f>"Serv.Prest. 23/02/2026 a 01/03/2026 - RPS: 2342 - NFSe: 414"</f>
        <v>Serv.Prest. 23/02/2026 a 01/03/2026 - RPS: 2342 - NFSe: 414</v>
      </c>
      <c r="I1563" t="str">
        <f t="shared" si="298"/>
        <v>11/03/2026</v>
      </c>
      <c r="J1563" t="str">
        <f t="shared" si="299"/>
        <v>02/03/2026</v>
      </c>
      <c r="K1563" t="str">
        <f>("12/03/2026")</f>
        <v>12/03/2026</v>
      </c>
      <c r="L1563">
        <v>395.75</v>
      </c>
      <c r="M1563">
        <v>395.75</v>
      </c>
      <c r="N1563">
        <v>303</v>
      </c>
      <c r="O1563" t="str">
        <f>"RECEITAS COM ENTREGAS"</f>
        <v>RECEITAS COM ENTREGAS</v>
      </c>
      <c r="P1563">
        <v>395.75</v>
      </c>
      <c r="S1563" t="str">
        <f>"RECEITAS COM ENTREGAS (303)"</f>
        <v>RECEITAS COM ENTREGAS (303)</v>
      </c>
      <c r="T1563">
        <v>30558</v>
      </c>
      <c r="U1563">
        <v>33832</v>
      </c>
      <c r="V1563" t="s">
        <v>110</v>
      </c>
    </row>
    <row r="1564" spans="1:22">
      <c r="A1564" t="str">
        <f t="shared" si="294"/>
        <v>12/03/2026</v>
      </c>
      <c r="B1564" t="str">
        <f t="shared" si="295"/>
        <v>ENTRADA</v>
      </c>
      <c r="C1564" t="str">
        <f t="shared" si="296"/>
        <v>NFSE</v>
      </c>
      <c r="D1564" t="str">
        <f>"414"</f>
        <v>414</v>
      </c>
      <c r="E1564" t="str">
        <f t="shared" si="297"/>
        <v>1</v>
      </c>
      <c r="F1564" t="str">
        <f t="shared" si="293"/>
        <v>COM</v>
      </c>
      <c r="G1564" t="str">
        <f>"AC FARMA - FLEMINFARMA 5 (10183)"</f>
        <v>AC FARMA - FLEMINFARMA 5 (10183)</v>
      </c>
      <c r="H1564" t="s">
        <v>553</v>
      </c>
      <c r="I1564" t="str">
        <f t="shared" si="298"/>
        <v>11/03/2026</v>
      </c>
      <c r="J1564" t="str">
        <f t="shared" si="299"/>
        <v>02/03/2026</v>
      </c>
      <c r="K1564">
        <v>46093</v>
      </c>
      <c r="N1564">
        <v>303</v>
      </c>
      <c r="O1564" t="s">
        <v>102</v>
      </c>
      <c r="Q1564">
        <v>371.02</v>
      </c>
      <c r="R1564" t="str">
        <f>"AC FARMA - FLEMINFARMA 5 (10183)"</f>
        <v>AC FARMA - FLEMINFARMA 5 (10183)</v>
      </c>
      <c r="S1564" t="s">
        <v>103</v>
      </c>
      <c r="T1564">
        <v>30558</v>
      </c>
      <c r="U1564">
        <v>33832</v>
      </c>
      <c r="V1564" t="s">
        <v>110</v>
      </c>
    </row>
    <row r="1565" spans="1:22">
      <c r="A1565" t="str">
        <f t="shared" si="294"/>
        <v>12/03/2026</v>
      </c>
      <c r="B1565" t="str">
        <f t="shared" si="295"/>
        <v>ENTRADA</v>
      </c>
      <c r="C1565" t="str">
        <f t="shared" si="296"/>
        <v>NFSE</v>
      </c>
      <c r="D1565" t="str">
        <f>"414"</f>
        <v>414</v>
      </c>
      <c r="E1565" t="str">
        <f t="shared" si="297"/>
        <v>1</v>
      </c>
      <c r="F1565" t="str">
        <f t="shared" si="293"/>
        <v>COM</v>
      </c>
      <c r="G1565" t="str">
        <f>"AC FARMA - FLEMINFARMA 5 (10183)"</f>
        <v>AC FARMA - FLEMINFARMA 5 (10183)</v>
      </c>
      <c r="H1565" t="s">
        <v>553</v>
      </c>
      <c r="I1565" t="str">
        <f t="shared" si="298"/>
        <v>11/03/2026</v>
      </c>
      <c r="J1565" t="str">
        <f t="shared" si="299"/>
        <v>02/03/2026</v>
      </c>
      <c r="K1565">
        <v>46093</v>
      </c>
      <c r="N1565">
        <v>303</v>
      </c>
      <c r="O1565" t="s">
        <v>102</v>
      </c>
      <c r="Q1565">
        <v>24.73</v>
      </c>
      <c r="R1565" t="str">
        <f>"AC FARMA - FLEMINFARMA 6 (10184)"</f>
        <v>AC FARMA - FLEMINFARMA 6 (10184)</v>
      </c>
      <c r="S1565" t="s">
        <v>103</v>
      </c>
      <c r="T1565">
        <v>30558</v>
      </c>
      <c r="U1565">
        <v>33832</v>
      </c>
      <c r="V1565" t="s">
        <v>110</v>
      </c>
    </row>
    <row r="1566" spans="1:22">
      <c r="A1566" t="str">
        <f t="shared" si="294"/>
        <v>12/03/2026</v>
      </c>
      <c r="B1566" t="str">
        <f t="shared" si="295"/>
        <v>ENTRADA</v>
      </c>
      <c r="C1566" t="str">
        <f t="shared" si="296"/>
        <v>NFSE</v>
      </c>
      <c r="D1566" t="str">
        <f>"438"</f>
        <v>438</v>
      </c>
      <c r="E1566" t="str">
        <f t="shared" si="297"/>
        <v>1</v>
      </c>
      <c r="F1566" t="str">
        <f t="shared" si="293"/>
        <v>COM</v>
      </c>
      <c r="G1566" t="str">
        <f>"AC FARMA - FLEMINFARMA (10160)"</f>
        <v>AC FARMA - FLEMINFARMA (10160)</v>
      </c>
      <c r="H1566" t="str">
        <f>"Serv.Prest. 23/02/2026 a 01/03/2026 - RPS: 2366 - NFSe: 438"</f>
        <v>Serv.Prest. 23/02/2026 a 01/03/2026 - RPS: 2366 - NFSe: 438</v>
      </c>
      <c r="I1566" t="str">
        <f t="shared" si="298"/>
        <v>11/03/2026</v>
      </c>
      <c r="J1566" t="str">
        <f t="shared" si="299"/>
        <v>02/03/2026</v>
      </c>
      <c r="K1566" t="str">
        <f>("12/03/2026")</f>
        <v>12/03/2026</v>
      </c>
      <c r="L1566">
        <v>1492.35</v>
      </c>
      <c r="M1566">
        <v>1492.35</v>
      </c>
      <c r="N1566">
        <v>303</v>
      </c>
      <c r="O1566" t="str">
        <f>"RECEITAS COM ENTREGAS"</f>
        <v>RECEITAS COM ENTREGAS</v>
      </c>
      <c r="P1566">
        <v>1492.35</v>
      </c>
      <c r="S1566" t="str">
        <f>"RECEITAS COM ENTREGAS (303)"</f>
        <v>RECEITAS COM ENTREGAS (303)</v>
      </c>
      <c r="T1566">
        <v>30559</v>
      </c>
      <c r="U1566">
        <v>33949</v>
      </c>
      <c r="V1566" t="s">
        <v>110</v>
      </c>
    </row>
    <row r="1567" spans="1:22">
      <c r="A1567" t="str">
        <f t="shared" si="294"/>
        <v>12/03/2026</v>
      </c>
      <c r="B1567" t="str">
        <f t="shared" si="295"/>
        <v>ENTRADA</v>
      </c>
      <c r="C1567" t="str">
        <f t="shared" si="296"/>
        <v>NFSE</v>
      </c>
      <c r="D1567" t="str">
        <f>"438"</f>
        <v>438</v>
      </c>
      <c r="E1567" t="str">
        <f t="shared" si="297"/>
        <v>1</v>
      </c>
      <c r="F1567" t="str">
        <f t="shared" si="293"/>
        <v>COM</v>
      </c>
      <c r="G1567" t="str">
        <f>"AC FARMA - FLEMINFARMA (10160)"</f>
        <v>AC FARMA - FLEMINFARMA (10160)</v>
      </c>
      <c r="H1567" t="s">
        <v>554</v>
      </c>
      <c r="I1567" t="str">
        <f t="shared" si="298"/>
        <v>11/03/2026</v>
      </c>
      <c r="J1567" t="str">
        <f t="shared" si="299"/>
        <v>02/03/2026</v>
      </c>
      <c r="K1567">
        <v>46093</v>
      </c>
      <c r="N1567">
        <v>303</v>
      </c>
      <c r="O1567" t="s">
        <v>102</v>
      </c>
      <c r="Q1567">
        <v>1492.35</v>
      </c>
      <c r="R1567" t="str">
        <f>"AC FARMA -  FLEMINFARMA (10159)"</f>
        <v>AC FARMA -  FLEMINFARMA (10159)</v>
      </c>
      <c r="S1567" t="s">
        <v>103</v>
      </c>
      <c r="T1567">
        <v>30559</v>
      </c>
      <c r="U1567">
        <v>33949</v>
      </c>
      <c r="V1567" t="s">
        <v>110</v>
      </c>
    </row>
    <row r="1568" spans="1:22">
      <c r="A1568" t="str">
        <f t="shared" si="294"/>
        <v>12/03/2026</v>
      </c>
      <c r="B1568" t="str">
        <f t="shared" si="295"/>
        <v>ENTRADA</v>
      </c>
      <c r="C1568" t="str">
        <f t="shared" si="296"/>
        <v>NFSE</v>
      </c>
      <c r="D1568" t="str">
        <f>"465"</f>
        <v>465</v>
      </c>
      <c r="E1568" t="str">
        <f t="shared" si="297"/>
        <v>1</v>
      </c>
      <c r="F1568" t="str">
        <f t="shared" si="293"/>
        <v>COM</v>
      </c>
      <c r="G1568" t="str">
        <f>"DELTA LOJA 2 (10123)"</f>
        <v>DELTA LOJA 2 (10123)</v>
      </c>
      <c r="H1568" t="str">
        <f>"Serv.Prest. 02/03/2026 a 08/03/2026 - RPS: 2393 - NFSe: 465"</f>
        <v>Serv.Prest. 02/03/2026 a 08/03/2026 - RPS: 2393 - NFSe: 465</v>
      </c>
      <c r="I1568" t="str">
        <f t="shared" si="298"/>
        <v>11/03/2026</v>
      </c>
      <c r="J1568" t="str">
        <f t="shared" ref="J1568:J1599" si="300">("09/03/2026")</f>
        <v>09/03/2026</v>
      </c>
      <c r="K1568" t="str">
        <f>("12/03/2026")</f>
        <v>12/03/2026</v>
      </c>
      <c r="L1568">
        <v>4533.8999999999996</v>
      </c>
      <c r="M1568">
        <v>4533.8999999999996</v>
      </c>
      <c r="N1568">
        <v>303</v>
      </c>
      <c r="O1568" t="str">
        <f>"RECEITAS COM ENTREGAS"</f>
        <v>RECEITAS COM ENTREGAS</v>
      </c>
      <c r="P1568">
        <v>4533.8999999999996</v>
      </c>
      <c r="S1568" t="str">
        <f>"RECEITAS COM ENTREGAS (303)"</f>
        <v>RECEITAS COM ENTREGAS (303)</v>
      </c>
      <c r="T1568">
        <v>30560</v>
      </c>
      <c r="U1568">
        <v>34244</v>
      </c>
      <c r="V1568" t="s">
        <v>110</v>
      </c>
    </row>
    <row r="1569" spans="1:22">
      <c r="A1569" t="str">
        <f t="shared" si="294"/>
        <v>12/03/2026</v>
      </c>
      <c r="B1569" t="str">
        <f t="shared" si="295"/>
        <v>ENTRADA</v>
      </c>
      <c r="C1569" t="str">
        <f t="shared" si="296"/>
        <v>NFSE</v>
      </c>
      <c r="D1569" t="str">
        <f>"465"</f>
        <v>465</v>
      </c>
      <c r="E1569" t="str">
        <f t="shared" si="297"/>
        <v>1</v>
      </c>
      <c r="F1569" t="str">
        <f t="shared" si="293"/>
        <v>COM</v>
      </c>
      <c r="G1569" t="str">
        <f>"DELTA LOJA 2 (10123)"</f>
        <v>DELTA LOJA 2 (10123)</v>
      </c>
      <c r="H1569" t="s">
        <v>555</v>
      </c>
      <c r="I1569" t="str">
        <f t="shared" si="298"/>
        <v>11/03/2026</v>
      </c>
      <c r="J1569" t="str">
        <f t="shared" si="300"/>
        <v>09/03/2026</v>
      </c>
      <c r="K1569">
        <v>46093</v>
      </c>
      <c r="N1569">
        <v>303</v>
      </c>
      <c r="O1569" t="s">
        <v>102</v>
      </c>
      <c r="Q1569">
        <v>4533.8999999999996</v>
      </c>
      <c r="R1569" t="str">
        <f>"DELTA LOJA 2 (10123)"</f>
        <v>DELTA LOJA 2 (10123)</v>
      </c>
      <c r="S1569" t="s">
        <v>103</v>
      </c>
      <c r="T1569">
        <v>30560</v>
      </c>
      <c r="U1569">
        <v>34244</v>
      </c>
      <c r="V1569" t="s">
        <v>110</v>
      </c>
    </row>
    <row r="1570" spans="1:22">
      <c r="A1570" t="str">
        <f t="shared" si="294"/>
        <v>12/03/2026</v>
      </c>
      <c r="B1570" t="str">
        <f t="shared" si="295"/>
        <v>ENTRADA</v>
      </c>
      <c r="C1570" t="str">
        <f t="shared" si="296"/>
        <v>NFSE</v>
      </c>
      <c r="D1570" t="str">
        <f>"466"</f>
        <v>466</v>
      </c>
      <c r="E1570" t="str">
        <f t="shared" si="297"/>
        <v>1</v>
      </c>
      <c r="F1570" t="str">
        <f t="shared" si="293"/>
        <v>COM</v>
      </c>
      <c r="G1570" t="str">
        <f>"DROGARIA AGAPEAMA (10167)"</f>
        <v>DROGARIA AGAPEAMA (10167)</v>
      </c>
      <c r="H1570" t="str">
        <f>"Serv.Prest. 02/03/2026 a 08/03/2026 - RPS: 2394 - NFSe: 466"</f>
        <v>Serv.Prest. 02/03/2026 a 08/03/2026 - RPS: 2394 - NFSe: 466</v>
      </c>
      <c r="I1570" t="str">
        <f t="shared" si="298"/>
        <v>11/03/2026</v>
      </c>
      <c r="J1570" t="str">
        <f t="shared" si="300"/>
        <v>09/03/2026</v>
      </c>
      <c r="K1570" t="str">
        <f>("12/03/2026")</f>
        <v>12/03/2026</v>
      </c>
      <c r="L1570">
        <v>3571.2</v>
      </c>
      <c r="M1570">
        <v>3571.2</v>
      </c>
      <c r="N1570">
        <v>303</v>
      </c>
      <c r="O1570" t="str">
        <f>"RECEITAS COM ENTREGAS"</f>
        <v>RECEITAS COM ENTREGAS</v>
      </c>
      <c r="P1570">
        <v>3571.2</v>
      </c>
      <c r="S1570" t="str">
        <f>"RECEITAS COM ENTREGAS (303)"</f>
        <v>RECEITAS COM ENTREGAS (303)</v>
      </c>
      <c r="T1570">
        <v>30561</v>
      </c>
      <c r="U1570">
        <v>34250</v>
      </c>
      <c r="V1570" t="s">
        <v>110</v>
      </c>
    </row>
    <row r="1571" spans="1:22">
      <c r="A1571" t="str">
        <f t="shared" si="294"/>
        <v>12/03/2026</v>
      </c>
      <c r="B1571" t="str">
        <f t="shared" si="295"/>
        <v>ENTRADA</v>
      </c>
      <c r="C1571" t="str">
        <f t="shared" si="296"/>
        <v>NFSE</v>
      </c>
      <c r="D1571" t="str">
        <f>"466"</f>
        <v>466</v>
      </c>
      <c r="E1571" t="str">
        <f t="shared" si="297"/>
        <v>1</v>
      </c>
      <c r="F1571" t="str">
        <f t="shared" si="293"/>
        <v>COM</v>
      </c>
      <c r="G1571" t="str">
        <f>"DROGARIA AGAPEAMA (10167)"</f>
        <v>DROGARIA AGAPEAMA (10167)</v>
      </c>
      <c r="H1571" t="s">
        <v>556</v>
      </c>
      <c r="I1571" t="str">
        <f t="shared" si="298"/>
        <v>11/03/2026</v>
      </c>
      <c r="J1571" t="str">
        <f t="shared" si="300"/>
        <v>09/03/2026</v>
      </c>
      <c r="K1571">
        <v>46093</v>
      </c>
      <c r="N1571">
        <v>303</v>
      </c>
      <c r="O1571" t="s">
        <v>102</v>
      </c>
      <c r="Q1571">
        <v>3571.2</v>
      </c>
      <c r="R1571" t="str">
        <f>"DROGARIA AGAPEAMA (10167)"</f>
        <v>DROGARIA AGAPEAMA (10167)</v>
      </c>
      <c r="S1571" t="s">
        <v>103</v>
      </c>
      <c r="T1571">
        <v>30561</v>
      </c>
      <c r="U1571">
        <v>34250</v>
      </c>
      <c r="V1571" t="s">
        <v>110</v>
      </c>
    </row>
    <row r="1572" spans="1:22">
      <c r="A1572" t="str">
        <f t="shared" si="294"/>
        <v>12/03/2026</v>
      </c>
      <c r="B1572" t="str">
        <f t="shared" si="295"/>
        <v>ENTRADA</v>
      </c>
      <c r="C1572" t="str">
        <f t="shared" si="296"/>
        <v>NFSE</v>
      </c>
      <c r="D1572" t="str">
        <f>"467"</f>
        <v>467</v>
      </c>
      <c r="E1572" t="str">
        <f t="shared" si="297"/>
        <v>1</v>
      </c>
      <c r="F1572" t="str">
        <f t="shared" si="293"/>
        <v>COM</v>
      </c>
      <c r="G1572" t="str">
        <f>"DROGARIA ANA VISCONDE DO RIO BRANCO (10182)"</f>
        <v>DROGARIA ANA VISCONDE DO RIO BRANCO (10182)</v>
      </c>
      <c r="H1572" t="str">
        <f>"Serv.Prest. 02/03/2026 a 08/03/2026 - RPS: 2395 - NFSe: 467"</f>
        <v>Serv.Prest. 02/03/2026 a 08/03/2026 - RPS: 2395 - NFSe: 467</v>
      </c>
      <c r="I1572" t="str">
        <f t="shared" si="298"/>
        <v>11/03/2026</v>
      </c>
      <c r="J1572" t="str">
        <f t="shared" si="300"/>
        <v>09/03/2026</v>
      </c>
      <c r="K1572" t="str">
        <f>("12/03/2026")</f>
        <v>12/03/2026</v>
      </c>
      <c r="L1572">
        <v>4509.68</v>
      </c>
      <c r="M1572">
        <v>4509.68</v>
      </c>
      <c r="N1572">
        <v>303</v>
      </c>
      <c r="O1572" t="str">
        <f>"RECEITAS COM ENTREGAS"</f>
        <v>RECEITAS COM ENTREGAS</v>
      </c>
      <c r="P1572">
        <v>4509.68</v>
      </c>
      <c r="S1572" t="str">
        <f>"RECEITAS COM ENTREGAS (303)"</f>
        <v>RECEITAS COM ENTREGAS (303)</v>
      </c>
      <c r="T1572">
        <v>30562</v>
      </c>
      <c r="U1572">
        <v>34254</v>
      </c>
      <c r="V1572" t="s">
        <v>110</v>
      </c>
    </row>
    <row r="1573" spans="1:22">
      <c r="A1573" t="str">
        <f t="shared" si="294"/>
        <v>12/03/2026</v>
      </c>
      <c r="B1573" t="str">
        <f t="shared" si="295"/>
        <v>ENTRADA</v>
      </c>
      <c r="C1573" t="str">
        <f t="shared" si="296"/>
        <v>NFSE</v>
      </c>
      <c r="D1573" t="str">
        <f>"467"</f>
        <v>467</v>
      </c>
      <c r="E1573" t="str">
        <f t="shared" si="297"/>
        <v>1</v>
      </c>
      <c r="F1573" t="str">
        <f t="shared" si="293"/>
        <v>COM</v>
      </c>
      <c r="G1573" t="str">
        <f>"DROGARIA ANA VISCONDE DO RIO BRANCO (10182)"</f>
        <v>DROGARIA ANA VISCONDE DO RIO BRANCO (10182)</v>
      </c>
      <c r="H1573" t="s">
        <v>557</v>
      </c>
      <c r="I1573" t="str">
        <f t="shared" si="298"/>
        <v>11/03/2026</v>
      </c>
      <c r="J1573" t="str">
        <f t="shared" si="300"/>
        <v>09/03/2026</v>
      </c>
      <c r="K1573">
        <v>46093</v>
      </c>
      <c r="N1573">
        <v>303</v>
      </c>
      <c r="O1573" t="s">
        <v>102</v>
      </c>
      <c r="Q1573">
        <v>4509.68</v>
      </c>
      <c r="R1573" t="str">
        <f>"DROGARIA ANA VISCONDE DO RIO BRANCO (10182)"</f>
        <v>DROGARIA ANA VISCONDE DO RIO BRANCO (10182)</v>
      </c>
      <c r="S1573" t="s">
        <v>103</v>
      </c>
      <c r="T1573">
        <v>30562</v>
      </c>
      <c r="U1573">
        <v>34254</v>
      </c>
      <c r="V1573" t="s">
        <v>110</v>
      </c>
    </row>
    <row r="1574" spans="1:22">
      <c r="A1574" t="str">
        <f t="shared" si="294"/>
        <v>12/03/2026</v>
      </c>
      <c r="B1574" t="str">
        <f t="shared" si="295"/>
        <v>ENTRADA</v>
      </c>
      <c r="C1574" t="str">
        <f t="shared" si="296"/>
        <v>NFSE</v>
      </c>
      <c r="D1574" t="str">
        <f>"468"</f>
        <v>468</v>
      </c>
      <c r="E1574" t="str">
        <f t="shared" si="297"/>
        <v>1</v>
      </c>
      <c r="F1574" t="str">
        <f t="shared" si="293"/>
        <v>COM</v>
      </c>
      <c r="G1574" t="str">
        <f>"DROGARIA ISABELLA (10276)"</f>
        <v>DROGARIA ISABELLA (10276)</v>
      </c>
      <c r="H1574" t="str">
        <f>"Serv.Prest. 02/03/2026 a 08/03/2026 - RPS: 2396 - NFSe: 468"</f>
        <v>Serv.Prest. 02/03/2026 a 08/03/2026 - RPS: 2396 - NFSe: 468</v>
      </c>
      <c r="I1574" t="str">
        <f t="shared" si="298"/>
        <v>11/03/2026</v>
      </c>
      <c r="J1574" t="str">
        <f t="shared" si="300"/>
        <v>09/03/2026</v>
      </c>
      <c r="K1574" t="str">
        <f>("12/03/2026")</f>
        <v>12/03/2026</v>
      </c>
      <c r="L1574">
        <v>2822.85</v>
      </c>
      <c r="M1574">
        <v>2822.85</v>
      </c>
      <c r="N1574">
        <v>303</v>
      </c>
      <c r="O1574" t="str">
        <f>"RECEITAS COM ENTREGAS"</f>
        <v>RECEITAS COM ENTREGAS</v>
      </c>
      <c r="P1574">
        <v>2822.85</v>
      </c>
      <c r="S1574" t="str">
        <f>"RECEITAS COM ENTREGAS (303)"</f>
        <v>RECEITAS COM ENTREGAS (303)</v>
      </c>
      <c r="T1574">
        <v>30563</v>
      </c>
      <c r="U1574">
        <v>34260</v>
      </c>
      <c r="V1574" t="s">
        <v>110</v>
      </c>
    </row>
    <row r="1575" spans="1:22">
      <c r="A1575" t="str">
        <f t="shared" si="294"/>
        <v>12/03/2026</v>
      </c>
      <c r="B1575" t="str">
        <f t="shared" si="295"/>
        <v>ENTRADA</v>
      </c>
      <c r="C1575" t="str">
        <f t="shared" si="296"/>
        <v>NFSE</v>
      </c>
      <c r="D1575" t="str">
        <f>"468"</f>
        <v>468</v>
      </c>
      <c r="E1575" t="str">
        <f t="shared" si="297"/>
        <v>1</v>
      </c>
      <c r="F1575" t="str">
        <f t="shared" si="293"/>
        <v>COM</v>
      </c>
      <c r="G1575" t="str">
        <f>"DROGARIA ISABELLA (10276)"</f>
        <v>DROGARIA ISABELLA (10276)</v>
      </c>
      <c r="H1575" t="s">
        <v>558</v>
      </c>
      <c r="I1575" t="str">
        <f t="shared" si="298"/>
        <v>11/03/2026</v>
      </c>
      <c r="J1575" t="str">
        <f t="shared" si="300"/>
        <v>09/03/2026</v>
      </c>
      <c r="K1575">
        <v>46093</v>
      </c>
      <c r="N1575">
        <v>303</v>
      </c>
      <c r="O1575" t="s">
        <v>102</v>
      </c>
      <c r="Q1575">
        <v>2822.85</v>
      </c>
      <c r="R1575" t="str">
        <f>"DROGARIA ISABELLA (10276)"</f>
        <v>DROGARIA ISABELLA (10276)</v>
      </c>
      <c r="S1575" t="s">
        <v>103</v>
      </c>
      <c r="T1575">
        <v>30563</v>
      </c>
      <c r="U1575">
        <v>34260</v>
      </c>
      <c r="V1575" t="s">
        <v>110</v>
      </c>
    </row>
    <row r="1576" spans="1:22">
      <c r="A1576" t="str">
        <f t="shared" si="294"/>
        <v>12/03/2026</v>
      </c>
      <c r="B1576" t="str">
        <f t="shared" si="295"/>
        <v>ENTRADA</v>
      </c>
      <c r="C1576" t="str">
        <f t="shared" si="296"/>
        <v>NFSE</v>
      </c>
      <c r="D1576" t="str">
        <f>"469"</f>
        <v>469</v>
      </c>
      <c r="E1576" t="str">
        <f t="shared" si="297"/>
        <v>1</v>
      </c>
      <c r="F1576" t="str">
        <f t="shared" si="293"/>
        <v>COM</v>
      </c>
      <c r="G1576" t="str">
        <f>"ENTREFARMA (10164)"</f>
        <v>ENTREFARMA (10164)</v>
      </c>
      <c r="H1576" t="str">
        <f>"Serv.Prest. 02/03/2026 a 08/03/2026 - RPS: 2397 - NFSe: 469"</f>
        <v>Serv.Prest. 02/03/2026 a 08/03/2026 - RPS: 2397 - NFSe: 469</v>
      </c>
      <c r="I1576" t="str">
        <f t="shared" si="298"/>
        <v>11/03/2026</v>
      </c>
      <c r="J1576" t="str">
        <f t="shared" si="300"/>
        <v>09/03/2026</v>
      </c>
      <c r="K1576" t="str">
        <f>("12/03/2026")</f>
        <v>12/03/2026</v>
      </c>
      <c r="L1576">
        <v>6574.75</v>
      </c>
      <c r="M1576">
        <v>6574.75</v>
      </c>
      <c r="N1576">
        <v>303</v>
      </c>
      <c r="O1576" t="str">
        <f>"RECEITAS COM ENTREGAS"</f>
        <v>RECEITAS COM ENTREGAS</v>
      </c>
      <c r="P1576">
        <v>6574.75</v>
      </c>
      <c r="S1576" t="str">
        <f>"RECEITAS COM ENTREGAS (303)"</f>
        <v>RECEITAS COM ENTREGAS (303)</v>
      </c>
      <c r="T1576">
        <v>30564</v>
      </c>
      <c r="U1576">
        <v>34265</v>
      </c>
      <c r="V1576" t="s">
        <v>110</v>
      </c>
    </row>
    <row r="1577" spans="1:22">
      <c r="A1577" t="str">
        <f t="shared" si="294"/>
        <v>12/03/2026</v>
      </c>
      <c r="B1577" t="str">
        <f t="shared" si="295"/>
        <v>ENTRADA</v>
      </c>
      <c r="C1577" t="str">
        <f t="shared" si="296"/>
        <v>NFSE</v>
      </c>
      <c r="D1577" t="str">
        <f>"469"</f>
        <v>469</v>
      </c>
      <c r="E1577" t="str">
        <f t="shared" si="297"/>
        <v>1</v>
      </c>
      <c r="F1577" t="str">
        <f t="shared" si="293"/>
        <v>COM</v>
      </c>
      <c r="G1577" t="str">
        <f>"ENTREFARMA (10164)"</f>
        <v>ENTREFARMA (10164)</v>
      </c>
      <c r="H1577" t="s">
        <v>559</v>
      </c>
      <c r="I1577" t="str">
        <f t="shared" si="298"/>
        <v>11/03/2026</v>
      </c>
      <c r="J1577" t="str">
        <f t="shared" si="300"/>
        <v>09/03/2026</v>
      </c>
      <c r="K1577">
        <v>46093</v>
      </c>
      <c r="N1577">
        <v>303</v>
      </c>
      <c r="O1577" t="s">
        <v>102</v>
      </c>
      <c r="Q1577">
        <v>6574.75</v>
      </c>
      <c r="R1577" t="str">
        <f>"ENTREFARMA (10164)"</f>
        <v>ENTREFARMA (10164)</v>
      </c>
      <c r="S1577" t="s">
        <v>103</v>
      </c>
      <c r="T1577">
        <v>30564</v>
      </c>
      <c r="U1577">
        <v>34265</v>
      </c>
      <c r="V1577" t="s">
        <v>110</v>
      </c>
    </row>
    <row r="1578" spans="1:22">
      <c r="A1578" t="str">
        <f t="shared" si="294"/>
        <v>12/03/2026</v>
      </c>
      <c r="B1578" t="str">
        <f t="shared" si="295"/>
        <v>ENTRADA</v>
      </c>
      <c r="C1578" t="str">
        <f t="shared" si="296"/>
        <v>NFSE</v>
      </c>
      <c r="D1578" t="str">
        <f>"472"</f>
        <v>472</v>
      </c>
      <c r="E1578" t="str">
        <f t="shared" si="297"/>
        <v>1</v>
      </c>
      <c r="F1578" t="str">
        <f t="shared" si="293"/>
        <v>COM</v>
      </c>
      <c r="G1578" t="str">
        <f>"FRAN FARMA (10124)"</f>
        <v>FRAN FARMA (10124)</v>
      </c>
      <c r="H1578" t="str">
        <f>"Serv.Prest. 02/03/2026 a 08/03/2026 - RPS: 2400 - NFSe: 472"</f>
        <v>Serv.Prest. 02/03/2026 a 08/03/2026 - RPS: 2400 - NFSe: 472</v>
      </c>
      <c r="I1578" t="str">
        <f t="shared" si="298"/>
        <v>11/03/2026</v>
      </c>
      <c r="J1578" t="str">
        <f t="shared" si="300"/>
        <v>09/03/2026</v>
      </c>
      <c r="K1578" t="str">
        <f>("12/03/2026")</f>
        <v>12/03/2026</v>
      </c>
      <c r="L1578">
        <v>1046.22</v>
      </c>
      <c r="M1578">
        <v>1046.22</v>
      </c>
      <c r="N1578">
        <v>303</v>
      </c>
      <c r="O1578" t="str">
        <f>"RECEITAS COM ENTREGAS"</f>
        <v>RECEITAS COM ENTREGAS</v>
      </c>
      <c r="P1578">
        <v>1046.22</v>
      </c>
      <c r="S1578" t="str">
        <f>"RECEITAS COM ENTREGAS (303)"</f>
        <v>RECEITAS COM ENTREGAS (303)</v>
      </c>
      <c r="T1578">
        <v>30565</v>
      </c>
      <c r="U1578">
        <v>34274</v>
      </c>
      <c r="V1578" t="s">
        <v>110</v>
      </c>
    </row>
    <row r="1579" spans="1:22">
      <c r="A1579" t="str">
        <f t="shared" si="294"/>
        <v>12/03/2026</v>
      </c>
      <c r="B1579" t="str">
        <f t="shared" si="295"/>
        <v>ENTRADA</v>
      </c>
      <c r="C1579" t="str">
        <f t="shared" si="296"/>
        <v>NFSE</v>
      </c>
      <c r="D1579" t="str">
        <f>"472"</f>
        <v>472</v>
      </c>
      <c r="E1579" t="str">
        <f t="shared" si="297"/>
        <v>1</v>
      </c>
      <c r="F1579" t="str">
        <f t="shared" si="293"/>
        <v>COM</v>
      </c>
      <c r="G1579" t="str">
        <f>"FRAN FARMA (10124)"</f>
        <v>FRAN FARMA (10124)</v>
      </c>
      <c r="H1579" t="s">
        <v>560</v>
      </c>
      <c r="I1579" t="str">
        <f t="shared" si="298"/>
        <v>11/03/2026</v>
      </c>
      <c r="J1579" t="str">
        <f t="shared" si="300"/>
        <v>09/03/2026</v>
      </c>
      <c r="K1579">
        <v>46093</v>
      </c>
      <c r="N1579">
        <v>303</v>
      </c>
      <c r="O1579" t="s">
        <v>102</v>
      </c>
      <c r="Q1579">
        <v>249.94</v>
      </c>
      <c r="R1579" t="str">
        <f>"FRAN FARMA (10124)"</f>
        <v>FRAN FARMA (10124)</v>
      </c>
      <c r="S1579" t="s">
        <v>103</v>
      </c>
      <c r="T1579">
        <v>30565</v>
      </c>
      <c r="U1579">
        <v>34274</v>
      </c>
      <c r="V1579" t="s">
        <v>110</v>
      </c>
    </row>
    <row r="1580" spans="1:22">
      <c r="A1580" t="str">
        <f t="shared" si="294"/>
        <v>12/03/2026</v>
      </c>
      <c r="B1580" t="str">
        <f t="shared" si="295"/>
        <v>ENTRADA</v>
      </c>
      <c r="C1580" t="str">
        <f t="shared" si="296"/>
        <v>NFSE</v>
      </c>
      <c r="D1580" t="str">
        <f>"472"</f>
        <v>472</v>
      </c>
      <c r="E1580" t="str">
        <f t="shared" si="297"/>
        <v>1</v>
      </c>
      <c r="F1580" t="str">
        <f t="shared" si="293"/>
        <v>COM</v>
      </c>
      <c r="G1580" t="str">
        <f>"FRAN FARMA (10124)"</f>
        <v>FRAN FARMA (10124)</v>
      </c>
      <c r="H1580" t="s">
        <v>560</v>
      </c>
      <c r="I1580" t="str">
        <f t="shared" si="298"/>
        <v>11/03/2026</v>
      </c>
      <c r="J1580" t="str">
        <f t="shared" si="300"/>
        <v>09/03/2026</v>
      </c>
      <c r="K1580">
        <v>46093</v>
      </c>
      <c r="N1580">
        <v>303</v>
      </c>
      <c r="O1580" t="s">
        <v>102</v>
      </c>
      <c r="Q1580">
        <v>569.55999999999995</v>
      </c>
      <c r="R1580" t="str">
        <f>"FRAN FARMA LJ 2 (10131)"</f>
        <v>FRAN FARMA LJ 2 (10131)</v>
      </c>
      <c r="S1580" t="s">
        <v>103</v>
      </c>
      <c r="T1580">
        <v>30565</v>
      </c>
      <c r="U1580">
        <v>34274</v>
      </c>
      <c r="V1580" t="s">
        <v>110</v>
      </c>
    </row>
    <row r="1581" spans="1:22">
      <c r="A1581" t="str">
        <f t="shared" si="294"/>
        <v>12/03/2026</v>
      </c>
      <c r="B1581" t="str">
        <f t="shared" si="295"/>
        <v>ENTRADA</v>
      </c>
      <c r="C1581" t="str">
        <f t="shared" si="296"/>
        <v>NFSE</v>
      </c>
      <c r="D1581" t="str">
        <f>"472"</f>
        <v>472</v>
      </c>
      <c r="E1581" t="str">
        <f t="shared" si="297"/>
        <v>1</v>
      </c>
      <c r="F1581" t="str">
        <f t="shared" si="293"/>
        <v>COM</v>
      </c>
      <c r="G1581" t="str">
        <f>"FRAN FARMA (10124)"</f>
        <v>FRAN FARMA (10124)</v>
      </c>
      <c r="H1581" t="s">
        <v>560</v>
      </c>
      <c r="I1581" t="str">
        <f t="shared" si="298"/>
        <v>11/03/2026</v>
      </c>
      <c r="J1581" t="str">
        <f t="shared" si="300"/>
        <v>09/03/2026</v>
      </c>
      <c r="K1581">
        <v>46093</v>
      </c>
      <c r="N1581">
        <v>303</v>
      </c>
      <c r="O1581" t="s">
        <v>102</v>
      </c>
      <c r="Q1581">
        <v>226.72</v>
      </c>
      <c r="R1581" t="str">
        <f>"FRAN FARMA LJ 3 (10132)"</f>
        <v>FRAN FARMA LJ 3 (10132)</v>
      </c>
      <c r="S1581" t="s">
        <v>103</v>
      </c>
      <c r="T1581">
        <v>30565</v>
      </c>
      <c r="U1581">
        <v>34274</v>
      </c>
      <c r="V1581" t="s">
        <v>110</v>
      </c>
    </row>
    <row r="1582" spans="1:22">
      <c r="A1582" t="str">
        <f t="shared" si="294"/>
        <v>12/03/2026</v>
      </c>
      <c r="B1582" t="str">
        <f t="shared" si="295"/>
        <v>ENTRADA</v>
      </c>
      <c r="C1582" t="str">
        <f t="shared" si="296"/>
        <v>NFSE</v>
      </c>
      <c r="D1582" t="str">
        <f>"473"</f>
        <v>473</v>
      </c>
      <c r="E1582" t="str">
        <f t="shared" si="297"/>
        <v>1</v>
      </c>
      <c r="F1582" t="str">
        <f t="shared" si="293"/>
        <v>COM</v>
      </c>
      <c r="G1582" t="str">
        <f>"JAL FARMACIA E DROGARIA LJ 1 (10137)"</f>
        <v>JAL FARMACIA E DROGARIA LJ 1 (10137)</v>
      </c>
      <c r="H1582" t="str">
        <f>"Serv.Prest. 02/03/2026 a 08/03/2026 - RPS: 2401 - NFSe: 473"</f>
        <v>Serv.Prest. 02/03/2026 a 08/03/2026 - RPS: 2401 - NFSe: 473</v>
      </c>
      <c r="I1582" t="str">
        <f t="shared" si="298"/>
        <v>11/03/2026</v>
      </c>
      <c r="J1582" t="str">
        <f t="shared" si="300"/>
        <v>09/03/2026</v>
      </c>
      <c r="K1582" t="str">
        <f>("12/03/2026")</f>
        <v>12/03/2026</v>
      </c>
      <c r="L1582">
        <v>2873</v>
      </c>
      <c r="M1582">
        <v>2873</v>
      </c>
      <c r="N1582">
        <v>303</v>
      </c>
      <c r="O1582" t="str">
        <f>"RECEITAS COM ENTREGAS"</f>
        <v>RECEITAS COM ENTREGAS</v>
      </c>
      <c r="P1582">
        <v>2873</v>
      </c>
      <c r="S1582" t="str">
        <f>"RECEITAS COM ENTREGAS (303)"</f>
        <v>RECEITAS COM ENTREGAS (303)</v>
      </c>
      <c r="T1582">
        <v>30566</v>
      </c>
      <c r="U1582">
        <v>34278</v>
      </c>
      <c r="V1582" t="s">
        <v>110</v>
      </c>
    </row>
    <row r="1583" spans="1:22">
      <c r="A1583" t="str">
        <f t="shared" si="294"/>
        <v>12/03/2026</v>
      </c>
      <c r="B1583" t="str">
        <f t="shared" si="295"/>
        <v>ENTRADA</v>
      </c>
      <c r="C1583" t="str">
        <f t="shared" si="296"/>
        <v>NFSE</v>
      </c>
      <c r="D1583" t="str">
        <f>"473"</f>
        <v>473</v>
      </c>
      <c r="E1583" t="str">
        <f t="shared" si="297"/>
        <v>1</v>
      </c>
      <c r="F1583" t="str">
        <f t="shared" si="293"/>
        <v>COM</v>
      </c>
      <c r="G1583" t="str">
        <f>"JAL FARMACIA E DROGARIA LJ 1 (10137)"</f>
        <v>JAL FARMACIA E DROGARIA LJ 1 (10137)</v>
      </c>
      <c r="H1583" t="s">
        <v>561</v>
      </c>
      <c r="I1583" t="str">
        <f t="shared" si="298"/>
        <v>11/03/2026</v>
      </c>
      <c r="J1583" t="str">
        <f t="shared" si="300"/>
        <v>09/03/2026</v>
      </c>
      <c r="K1583">
        <v>46093</v>
      </c>
      <c r="N1583">
        <v>303</v>
      </c>
      <c r="O1583" t="s">
        <v>102</v>
      </c>
      <c r="Q1583">
        <v>2873</v>
      </c>
      <c r="R1583" t="str">
        <f>"JAL FARMACIA E DROGARIA LJ 1 (10137)"</f>
        <v>JAL FARMACIA E DROGARIA LJ 1 (10137)</v>
      </c>
      <c r="S1583" t="s">
        <v>103</v>
      </c>
      <c r="T1583">
        <v>30566</v>
      </c>
      <c r="U1583">
        <v>34278</v>
      </c>
      <c r="V1583" t="s">
        <v>110</v>
      </c>
    </row>
    <row r="1584" spans="1:22">
      <c r="A1584" t="str">
        <f t="shared" si="294"/>
        <v>12/03/2026</v>
      </c>
      <c r="B1584" t="str">
        <f t="shared" si="295"/>
        <v>ENTRADA</v>
      </c>
      <c r="C1584" t="str">
        <f t="shared" si="296"/>
        <v>NFSE</v>
      </c>
      <c r="D1584" t="str">
        <f>"474"</f>
        <v>474</v>
      </c>
      <c r="E1584" t="str">
        <f t="shared" si="297"/>
        <v>1</v>
      </c>
      <c r="F1584" t="str">
        <f t="shared" si="293"/>
        <v>COM</v>
      </c>
      <c r="G1584" t="str">
        <f>"JAL FARMACIA E DROGARIA LJ 2 (10138)"</f>
        <v>JAL FARMACIA E DROGARIA LJ 2 (10138)</v>
      </c>
      <c r="H1584" t="str">
        <f>"Serv.Prest. 02/03/2026 a 08/03/2026 - RPS: 2402 - NFSe: 474"</f>
        <v>Serv.Prest. 02/03/2026 a 08/03/2026 - RPS: 2402 - NFSe: 474</v>
      </c>
      <c r="I1584" t="str">
        <f t="shared" si="298"/>
        <v>11/03/2026</v>
      </c>
      <c r="J1584" t="str">
        <f t="shared" si="300"/>
        <v>09/03/2026</v>
      </c>
      <c r="K1584" t="str">
        <f>("12/03/2026")</f>
        <v>12/03/2026</v>
      </c>
      <c r="L1584">
        <v>1819</v>
      </c>
      <c r="M1584">
        <v>1819</v>
      </c>
      <c r="N1584">
        <v>303</v>
      </c>
      <c r="O1584" t="str">
        <f>"RECEITAS COM ENTREGAS"</f>
        <v>RECEITAS COM ENTREGAS</v>
      </c>
      <c r="P1584">
        <v>1819</v>
      </c>
      <c r="S1584" t="str">
        <f>"RECEITAS COM ENTREGAS (303)"</f>
        <v>RECEITAS COM ENTREGAS (303)</v>
      </c>
      <c r="T1584">
        <v>30567</v>
      </c>
      <c r="U1584">
        <v>34282</v>
      </c>
      <c r="V1584" t="s">
        <v>110</v>
      </c>
    </row>
    <row r="1585" spans="1:22">
      <c r="A1585" t="str">
        <f t="shared" si="294"/>
        <v>12/03/2026</v>
      </c>
      <c r="B1585" t="str">
        <f t="shared" si="295"/>
        <v>ENTRADA</v>
      </c>
      <c r="C1585" t="str">
        <f t="shared" si="296"/>
        <v>NFSE</v>
      </c>
      <c r="D1585" t="str">
        <f>"474"</f>
        <v>474</v>
      </c>
      <c r="E1585" t="str">
        <f t="shared" si="297"/>
        <v>1</v>
      </c>
      <c r="F1585" t="str">
        <f t="shared" si="293"/>
        <v>COM</v>
      </c>
      <c r="G1585" t="str">
        <f>"JAL FARMACIA E DROGARIA LJ 2 (10138)"</f>
        <v>JAL FARMACIA E DROGARIA LJ 2 (10138)</v>
      </c>
      <c r="H1585" t="s">
        <v>562</v>
      </c>
      <c r="I1585" t="str">
        <f t="shared" si="298"/>
        <v>11/03/2026</v>
      </c>
      <c r="J1585" t="str">
        <f t="shared" si="300"/>
        <v>09/03/2026</v>
      </c>
      <c r="K1585">
        <v>46093</v>
      </c>
      <c r="N1585">
        <v>303</v>
      </c>
      <c r="O1585" t="s">
        <v>102</v>
      </c>
      <c r="Q1585">
        <v>1819</v>
      </c>
      <c r="R1585" t="str">
        <f>"JAL FARMACIA E DROGARIA LJ 2 (10138)"</f>
        <v>JAL FARMACIA E DROGARIA LJ 2 (10138)</v>
      </c>
      <c r="S1585" t="s">
        <v>103</v>
      </c>
      <c r="T1585">
        <v>30567</v>
      </c>
      <c r="U1585">
        <v>34282</v>
      </c>
      <c r="V1585" t="s">
        <v>110</v>
      </c>
    </row>
    <row r="1586" spans="1:22">
      <c r="A1586" t="str">
        <f t="shared" si="294"/>
        <v>12/03/2026</v>
      </c>
      <c r="B1586" t="str">
        <f t="shared" si="295"/>
        <v>ENTRADA</v>
      </c>
      <c r="C1586" t="str">
        <f t="shared" si="296"/>
        <v>NFSE</v>
      </c>
      <c r="D1586" t="str">
        <f>"475"</f>
        <v>475</v>
      </c>
      <c r="E1586" t="str">
        <f t="shared" si="297"/>
        <v>1</v>
      </c>
      <c r="F1586" t="str">
        <f t="shared" si="293"/>
        <v>COM</v>
      </c>
      <c r="G1586" t="str">
        <f>"LBL FARMACIA LTDA (10189)"</f>
        <v>LBL FARMACIA LTDA (10189)</v>
      </c>
      <c r="H1586" t="str">
        <f>"Serv.Prest. 02/03/2026 a 08/03/2026 - RPS: 2403 - NFSe: 475"</f>
        <v>Serv.Prest. 02/03/2026 a 08/03/2026 - RPS: 2403 - NFSe: 475</v>
      </c>
      <c r="I1586" t="str">
        <f t="shared" si="298"/>
        <v>11/03/2026</v>
      </c>
      <c r="J1586" t="str">
        <f t="shared" si="300"/>
        <v>09/03/2026</v>
      </c>
      <c r="K1586" t="str">
        <f>("12/03/2026")</f>
        <v>12/03/2026</v>
      </c>
      <c r="L1586">
        <v>922.25</v>
      </c>
      <c r="M1586">
        <v>922.25</v>
      </c>
      <c r="N1586">
        <v>303</v>
      </c>
      <c r="O1586" t="str">
        <f>"RECEITAS COM ENTREGAS"</f>
        <v>RECEITAS COM ENTREGAS</v>
      </c>
      <c r="P1586">
        <v>922.25</v>
      </c>
      <c r="S1586" t="str">
        <f>"RECEITAS COM ENTREGAS (303)"</f>
        <v>RECEITAS COM ENTREGAS (303)</v>
      </c>
      <c r="T1586">
        <v>30568</v>
      </c>
      <c r="U1586">
        <v>34286</v>
      </c>
      <c r="V1586" t="s">
        <v>110</v>
      </c>
    </row>
    <row r="1587" spans="1:22">
      <c r="A1587" t="str">
        <f t="shared" si="294"/>
        <v>12/03/2026</v>
      </c>
      <c r="B1587" t="str">
        <f t="shared" si="295"/>
        <v>ENTRADA</v>
      </c>
      <c r="C1587" t="str">
        <f t="shared" si="296"/>
        <v>NFSE</v>
      </c>
      <c r="D1587" t="str">
        <f>"475"</f>
        <v>475</v>
      </c>
      <c r="E1587" t="str">
        <f t="shared" si="297"/>
        <v>1</v>
      </c>
      <c r="F1587" t="str">
        <f t="shared" si="293"/>
        <v>COM</v>
      </c>
      <c r="G1587" t="str">
        <f>"LBL FARMACIA LTDA (10189)"</f>
        <v>LBL FARMACIA LTDA (10189)</v>
      </c>
      <c r="H1587" t="s">
        <v>563</v>
      </c>
      <c r="I1587" t="str">
        <f t="shared" si="298"/>
        <v>11/03/2026</v>
      </c>
      <c r="J1587" t="str">
        <f t="shared" si="300"/>
        <v>09/03/2026</v>
      </c>
      <c r="K1587">
        <v>46093</v>
      </c>
      <c r="N1587">
        <v>303</v>
      </c>
      <c r="O1587" t="s">
        <v>102</v>
      </c>
      <c r="Q1587">
        <v>922.25</v>
      </c>
      <c r="R1587" t="str">
        <f>"LBL FARMACIA LTDA (10189)"</f>
        <v>LBL FARMACIA LTDA (10189)</v>
      </c>
      <c r="S1587" t="s">
        <v>103</v>
      </c>
      <c r="T1587">
        <v>30568</v>
      </c>
      <c r="U1587">
        <v>34286</v>
      </c>
      <c r="V1587" t="s">
        <v>110</v>
      </c>
    </row>
    <row r="1588" spans="1:22">
      <c r="A1588" t="str">
        <f t="shared" si="294"/>
        <v>12/03/2026</v>
      </c>
      <c r="B1588" t="str">
        <f t="shared" si="295"/>
        <v>ENTRADA</v>
      </c>
      <c r="C1588" t="str">
        <f t="shared" si="296"/>
        <v>NFSE</v>
      </c>
      <c r="D1588" t="str">
        <f>"476"</f>
        <v>476</v>
      </c>
      <c r="E1588" t="str">
        <f t="shared" si="297"/>
        <v>1</v>
      </c>
      <c r="F1588" t="str">
        <f t="shared" si="293"/>
        <v>COM</v>
      </c>
      <c r="G1588" t="str">
        <f>"LBL FARMACIA LTDA FILIAL (10192)"</f>
        <v>LBL FARMACIA LTDA FILIAL (10192)</v>
      </c>
      <c r="H1588" t="str">
        <f>"Serv.Prest. 02/03/2026 a 08/03/2026 - RPS: 2404 - NFSe: 476"</f>
        <v>Serv.Prest. 02/03/2026 a 08/03/2026 - RPS: 2404 - NFSe: 476</v>
      </c>
      <c r="I1588" t="str">
        <f t="shared" si="298"/>
        <v>11/03/2026</v>
      </c>
      <c r="J1588" t="str">
        <f t="shared" si="300"/>
        <v>09/03/2026</v>
      </c>
      <c r="K1588" t="str">
        <f>("12/03/2026")</f>
        <v>12/03/2026</v>
      </c>
      <c r="L1588">
        <v>1701.7</v>
      </c>
      <c r="M1588">
        <v>1701.7</v>
      </c>
      <c r="N1588">
        <v>303</v>
      </c>
      <c r="O1588" t="str">
        <f>"RECEITAS COM ENTREGAS"</f>
        <v>RECEITAS COM ENTREGAS</v>
      </c>
      <c r="P1588">
        <v>1701.7</v>
      </c>
      <c r="S1588" t="str">
        <f>"RECEITAS COM ENTREGAS (303)"</f>
        <v>RECEITAS COM ENTREGAS (303)</v>
      </c>
      <c r="T1588">
        <v>30569</v>
      </c>
      <c r="U1588">
        <v>34288</v>
      </c>
      <c r="V1588" t="s">
        <v>110</v>
      </c>
    </row>
    <row r="1589" spans="1:22">
      <c r="A1589" t="str">
        <f t="shared" si="294"/>
        <v>12/03/2026</v>
      </c>
      <c r="B1589" t="str">
        <f t="shared" si="295"/>
        <v>ENTRADA</v>
      </c>
      <c r="C1589" t="str">
        <f t="shared" si="296"/>
        <v>NFSE</v>
      </c>
      <c r="D1589" t="str">
        <f>"476"</f>
        <v>476</v>
      </c>
      <c r="E1589" t="str">
        <f t="shared" si="297"/>
        <v>1</v>
      </c>
      <c r="F1589" t="str">
        <f t="shared" si="293"/>
        <v>COM</v>
      </c>
      <c r="G1589" t="str">
        <f>"LBL FARMACIA LTDA FILIAL (10192)"</f>
        <v>LBL FARMACIA LTDA FILIAL (10192)</v>
      </c>
      <c r="H1589" t="s">
        <v>564</v>
      </c>
      <c r="I1589" t="str">
        <f t="shared" si="298"/>
        <v>11/03/2026</v>
      </c>
      <c r="J1589" t="str">
        <f t="shared" si="300"/>
        <v>09/03/2026</v>
      </c>
      <c r="K1589">
        <v>46093</v>
      </c>
      <c r="N1589">
        <v>303</v>
      </c>
      <c r="O1589" t="s">
        <v>102</v>
      </c>
      <c r="Q1589">
        <v>1701.7</v>
      </c>
      <c r="R1589" t="str">
        <f>"LBL FARMACIA LTDA FILIAL (10192)"</f>
        <v>LBL FARMACIA LTDA FILIAL (10192)</v>
      </c>
      <c r="S1589" t="s">
        <v>103</v>
      </c>
      <c r="T1589">
        <v>30569</v>
      </c>
      <c r="U1589">
        <v>34288</v>
      </c>
      <c r="V1589" t="s">
        <v>110</v>
      </c>
    </row>
    <row r="1590" spans="1:22">
      <c r="A1590" t="str">
        <f t="shared" si="294"/>
        <v>12/03/2026</v>
      </c>
      <c r="B1590" t="str">
        <f t="shared" si="295"/>
        <v>ENTRADA</v>
      </c>
      <c r="C1590" t="str">
        <f t="shared" si="296"/>
        <v>NFSE</v>
      </c>
      <c r="D1590" t="str">
        <f>"477"</f>
        <v>477</v>
      </c>
      <c r="E1590" t="str">
        <f t="shared" si="297"/>
        <v>1</v>
      </c>
      <c r="F1590" t="str">
        <f t="shared" si="293"/>
        <v>COM</v>
      </c>
      <c r="G1590" t="str">
        <f>"FARMACIA ROSAS (10288)"</f>
        <v>FARMACIA ROSAS (10288)</v>
      </c>
      <c r="H1590" t="str">
        <f>"Serv.Prest. 02/03/2026 a 08/03/2026 - RPS: 2405 - NFSe: 477"</f>
        <v>Serv.Prest. 02/03/2026 a 08/03/2026 - RPS: 2405 - NFSe: 477</v>
      </c>
      <c r="I1590" t="str">
        <f t="shared" si="298"/>
        <v>11/03/2026</v>
      </c>
      <c r="J1590" t="str">
        <f t="shared" si="300"/>
        <v>09/03/2026</v>
      </c>
      <c r="K1590" t="str">
        <f>("12/03/2026")</f>
        <v>12/03/2026</v>
      </c>
      <c r="L1590">
        <v>2932.5</v>
      </c>
      <c r="M1590">
        <v>2932.5</v>
      </c>
      <c r="N1590">
        <v>303</v>
      </c>
      <c r="O1590" t="str">
        <f>"RECEITAS COM ENTREGAS"</f>
        <v>RECEITAS COM ENTREGAS</v>
      </c>
      <c r="P1590">
        <v>2932.5</v>
      </c>
      <c r="S1590" t="str">
        <f>"RECEITAS COM ENTREGAS (303)"</f>
        <v>RECEITAS COM ENTREGAS (303)</v>
      </c>
      <c r="T1590">
        <v>30570</v>
      </c>
      <c r="U1590">
        <v>34291</v>
      </c>
      <c r="V1590" t="s">
        <v>110</v>
      </c>
    </row>
    <row r="1591" spans="1:22">
      <c r="A1591" t="str">
        <f t="shared" si="294"/>
        <v>12/03/2026</v>
      </c>
      <c r="B1591" t="str">
        <f t="shared" ref="B1591:B1622" si="301">"ENTRADA"</f>
        <v>ENTRADA</v>
      </c>
      <c r="C1591" t="str">
        <f t="shared" si="296"/>
        <v>NFSE</v>
      </c>
      <c r="D1591" t="str">
        <f>"477"</f>
        <v>477</v>
      </c>
      <c r="E1591" t="str">
        <f t="shared" si="297"/>
        <v>1</v>
      </c>
      <c r="F1591" t="str">
        <f t="shared" si="293"/>
        <v>COM</v>
      </c>
      <c r="G1591" t="str">
        <f>"FARMACIA ROSAS (10288)"</f>
        <v>FARMACIA ROSAS (10288)</v>
      </c>
      <c r="H1591" t="s">
        <v>565</v>
      </c>
      <c r="I1591" t="str">
        <f t="shared" si="298"/>
        <v>11/03/2026</v>
      </c>
      <c r="J1591" t="str">
        <f t="shared" si="300"/>
        <v>09/03/2026</v>
      </c>
      <c r="K1591">
        <v>46093</v>
      </c>
      <c r="N1591">
        <v>303</v>
      </c>
      <c r="O1591" t="s">
        <v>102</v>
      </c>
      <c r="Q1591">
        <v>2932.5</v>
      </c>
      <c r="R1591" t="str">
        <f>"FARMACIA ROSAS (10288)"</f>
        <v>FARMACIA ROSAS (10288)</v>
      </c>
      <c r="S1591" t="s">
        <v>103</v>
      </c>
      <c r="T1591">
        <v>30570</v>
      </c>
      <c r="U1591">
        <v>34291</v>
      </c>
      <c r="V1591" t="s">
        <v>110</v>
      </c>
    </row>
    <row r="1592" spans="1:22">
      <c r="A1592" t="str">
        <f t="shared" si="294"/>
        <v>12/03/2026</v>
      </c>
      <c r="B1592" t="str">
        <f t="shared" si="301"/>
        <v>ENTRADA</v>
      </c>
      <c r="C1592" t="str">
        <f t="shared" si="296"/>
        <v>NFSE</v>
      </c>
      <c r="D1592" t="str">
        <f>"478"</f>
        <v>478</v>
      </c>
      <c r="E1592" t="str">
        <f t="shared" si="297"/>
        <v>1</v>
      </c>
      <c r="F1592" t="str">
        <f t="shared" si="293"/>
        <v>COM</v>
      </c>
      <c r="G1592" t="str">
        <f>"ULTRA POPULAR  UBA 2 (10214)"</f>
        <v>ULTRA POPULAR  UBA 2 (10214)</v>
      </c>
      <c r="H1592" t="str">
        <f>"Serv.Prest. 02/03/2026 a 08/03/2026 - RPS: 2406 - NFSe: 478"</f>
        <v>Serv.Prest. 02/03/2026 a 08/03/2026 - RPS: 2406 - NFSe: 478</v>
      </c>
      <c r="I1592" t="str">
        <f t="shared" si="298"/>
        <v>11/03/2026</v>
      </c>
      <c r="J1592" t="str">
        <f t="shared" si="300"/>
        <v>09/03/2026</v>
      </c>
      <c r="K1592" t="str">
        <f>("12/03/2026")</f>
        <v>12/03/2026</v>
      </c>
      <c r="L1592">
        <v>971.57</v>
      </c>
      <c r="M1592">
        <v>971.57</v>
      </c>
      <c r="N1592">
        <v>303</v>
      </c>
      <c r="O1592" t="str">
        <f>"RECEITAS COM ENTREGAS"</f>
        <v>RECEITAS COM ENTREGAS</v>
      </c>
      <c r="P1592">
        <v>971.57</v>
      </c>
      <c r="S1592" t="str">
        <f>"RECEITAS COM ENTREGAS (303)"</f>
        <v>RECEITAS COM ENTREGAS (303)</v>
      </c>
      <c r="T1592">
        <v>30571</v>
      </c>
      <c r="U1592">
        <v>34296</v>
      </c>
      <c r="V1592" t="s">
        <v>110</v>
      </c>
    </row>
    <row r="1593" spans="1:22">
      <c r="A1593" t="str">
        <f t="shared" si="294"/>
        <v>12/03/2026</v>
      </c>
      <c r="B1593" t="str">
        <f t="shared" si="301"/>
        <v>ENTRADA</v>
      </c>
      <c r="C1593" t="str">
        <f t="shared" ref="C1593:C1624" si="302">"NFSE"</f>
        <v>NFSE</v>
      </c>
      <c r="D1593" t="str">
        <f>"478"</f>
        <v>478</v>
      </c>
      <c r="E1593" t="str">
        <f t="shared" ref="E1593:E1624" si="303">"1"</f>
        <v>1</v>
      </c>
      <c r="F1593" t="str">
        <f t="shared" si="293"/>
        <v>COM</v>
      </c>
      <c r="G1593" t="str">
        <f>"ULTRA POPULAR  UBA 2 (10214)"</f>
        <v>ULTRA POPULAR  UBA 2 (10214)</v>
      </c>
      <c r="H1593" t="s">
        <v>566</v>
      </c>
      <c r="I1593" t="str">
        <f t="shared" ref="I1593:I1624" si="304">("11/03/2026")</f>
        <v>11/03/2026</v>
      </c>
      <c r="J1593" t="str">
        <f t="shared" si="300"/>
        <v>09/03/2026</v>
      </c>
      <c r="K1593">
        <v>46093</v>
      </c>
      <c r="N1593">
        <v>303</v>
      </c>
      <c r="O1593" t="s">
        <v>102</v>
      </c>
      <c r="Q1593">
        <v>971.57</v>
      </c>
      <c r="R1593" t="str">
        <f>"ULTRA POPULAR  UBA 2 (10214)"</f>
        <v>ULTRA POPULAR  UBA 2 (10214)</v>
      </c>
      <c r="S1593" t="s">
        <v>103</v>
      </c>
      <c r="T1593">
        <v>30571</v>
      </c>
      <c r="U1593">
        <v>34296</v>
      </c>
      <c r="V1593" t="s">
        <v>110</v>
      </c>
    </row>
    <row r="1594" spans="1:22">
      <c r="A1594" t="str">
        <f t="shared" si="294"/>
        <v>12/03/2026</v>
      </c>
      <c r="B1594" t="str">
        <f t="shared" si="301"/>
        <v>ENTRADA</v>
      </c>
      <c r="C1594" t="str">
        <f t="shared" si="302"/>
        <v>NFSE</v>
      </c>
      <c r="D1594" t="str">
        <f>"479"</f>
        <v>479</v>
      </c>
      <c r="E1594" t="str">
        <f t="shared" si="303"/>
        <v>1</v>
      </c>
      <c r="F1594" t="str">
        <f t="shared" si="293"/>
        <v>COM</v>
      </c>
      <c r="G1594" t="str">
        <f>"DROGA ELIDA (10121)"</f>
        <v>DROGA ELIDA (10121)</v>
      </c>
      <c r="H1594" t="str">
        <f>"Serv.Prest. 02/03/2026 a 08/03/2026 - RPS: 2407 - NFSe: 479"</f>
        <v>Serv.Prest. 02/03/2026 a 08/03/2026 - RPS: 2407 - NFSe: 479</v>
      </c>
      <c r="I1594" t="str">
        <f t="shared" si="304"/>
        <v>11/03/2026</v>
      </c>
      <c r="J1594" t="str">
        <f t="shared" si="300"/>
        <v>09/03/2026</v>
      </c>
      <c r="K1594" t="str">
        <f>("12/03/2026")</f>
        <v>12/03/2026</v>
      </c>
      <c r="L1594">
        <v>1976.25</v>
      </c>
      <c r="M1594">
        <v>1976.25</v>
      </c>
      <c r="N1594">
        <v>303</v>
      </c>
      <c r="O1594" t="str">
        <f>"RECEITAS COM ENTREGAS"</f>
        <v>RECEITAS COM ENTREGAS</v>
      </c>
      <c r="P1594">
        <v>1976.25</v>
      </c>
      <c r="S1594" t="str">
        <f>"RECEITAS COM ENTREGAS (303)"</f>
        <v>RECEITAS COM ENTREGAS (303)</v>
      </c>
      <c r="T1594">
        <v>30572</v>
      </c>
      <c r="U1594">
        <v>34299</v>
      </c>
      <c r="V1594" t="s">
        <v>110</v>
      </c>
    </row>
    <row r="1595" spans="1:22">
      <c r="A1595" t="str">
        <f t="shared" si="294"/>
        <v>12/03/2026</v>
      </c>
      <c r="B1595" t="str">
        <f t="shared" si="301"/>
        <v>ENTRADA</v>
      </c>
      <c r="C1595" t="str">
        <f t="shared" si="302"/>
        <v>NFSE</v>
      </c>
      <c r="D1595" t="str">
        <f>"479"</f>
        <v>479</v>
      </c>
      <c r="E1595" t="str">
        <f t="shared" si="303"/>
        <v>1</v>
      </c>
      <c r="F1595" t="str">
        <f t="shared" si="293"/>
        <v>COM</v>
      </c>
      <c r="G1595" t="str">
        <f>"DROGA ELIDA (10121)"</f>
        <v>DROGA ELIDA (10121)</v>
      </c>
      <c r="H1595" t="s">
        <v>567</v>
      </c>
      <c r="I1595" t="str">
        <f t="shared" si="304"/>
        <v>11/03/2026</v>
      </c>
      <c r="J1595" t="str">
        <f t="shared" si="300"/>
        <v>09/03/2026</v>
      </c>
      <c r="K1595">
        <v>46093</v>
      </c>
      <c r="N1595">
        <v>303</v>
      </c>
      <c r="O1595" t="s">
        <v>102</v>
      </c>
      <c r="Q1595">
        <v>1976.25</v>
      </c>
      <c r="R1595" t="str">
        <f>"DROGA ELIDA (10121)"</f>
        <v>DROGA ELIDA (10121)</v>
      </c>
      <c r="S1595" t="s">
        <v>103</v>
      </c>
      <c r="T1595">
        <v>30572</v>
      </c>
      <c r="U1595">
        <v>34299</v>
      </c>
      <c r="V1595" t="s">
        <v>110</v>
      </c>
    </row>
    <row r="1596" spans="1:22">
      <c r="A1596" t="str">
        <f t="shared" si="294"/>
        <v>12/03/2026</v>
      </c>
      <c r="B1596" t="str">
        <f t="shared" si="301"/>
        <v>ENTRADA</v>
      </c>
      <c r="C1596" t="str">
        <f t="shared" si="302"/>
        <v>NFSE</v>
      </c>
      <c r="D1596" t="str">
        <f>"483"</f>
        <v>483</v>
      </c>
      <c r="E1596" t="str">
        <f t="shared" si="303"/>
        <v>1</v>
      </c>
      <c r="F1596" t="str">
        <f t="shared" si="293"/>
        <v>COM</v>
      </c>
      <c r="G1596" t="str">
        <f>"DROGARIA NIQUINHO (10257)"</f>
        <v>DROGARIA NIQUINHO (10257)</v>
      </c>
      <c r="H1596" t="str">
        <f>"Serv.Prest. 02/03/2026 a 08/03/2026 - RPS: 2411 - NFSe: 483"</f>
        <v>Serv.Prest. 02/03/2026 a 08/03/2026 - RPS: 2411 - NFSe: 483</v>
      </c>
      <c r="I1596" t="str">
        <f t="shared" si="304"/>
        <v>11/03/2026</v>
      </c>
      <c r="J1596" t="str">
        <f t="shared" si="300"/>
        <v>09/03/2026</v>
      </c>
      <c r="K1596" t="str">
        <f>("12/03/2026")</f>
        <v>12/03/2026</v>
      </c>
      <c r="L1596">
        <v>1667.62</v>
      </c>
      <c r="M1596">
        <v>1667.62</v>
      </c>
      <c r="N1596">
        <v>303</v>
      </c>
      <c r="O1596" t="str">
        <f>"RECEITAS COM ENTREGAS"</f>
        <v>RECEITAS COM ENTREGAS</v>
      </c>
      <c r="P1596">
        <v>1667.62</v>
      </c>
      <c r="S1596" t="str">
        <f>"RECEITAS COM ENTREGAS (303)"</f>
        <v>RECEITAS COM ENTREGAS (303)</v>
      </c>
      <c r="T1596">
        <v>30573</v>
      </c>
      <c r="U1596">
        <v>34314</v>
      </c>
      <c r="V1596" t="s">
        <v>110</v>
      </c>
    </row>
    <row r="1597" spans="1:22">
      <c r="A1597" t="str">
        <f t="shared" si="294"/>
        <v>12/03/2026</v>
      </c>
      <c r="B1597" t="str">
        <f t="shared" si="301"/>
        <v>ENTRADA</v>
      </c>
      <c r="C1597" t="str">
        <f t="shared" si="302"/>
        <v>NFSE</v>
      </c>
      <c r="D1597" t="str">
        <f>"483"</f>
        <v>483</v>
      </c>
      <c r="E1597" t="str">
        <f t="shared" si="303"/>
        <v>1</v>
      </c>
      <c r="F1597" t="str">
        <f t="shared" si="293"/>
        <v>COM</v>
      </c>
      <c r="G1597" t="str">
        <f>"DROGARIA NIQUINHO (10257)"</f>
        <v>DROGARIA NIQUINHO (10257)</v>
      </c>
      <c r="H1597" t="s">
        <v>568</v>
      </c>
      <c r="I1597" t="str">
        <f t="shared" si="304"/>
        <v>11/03/2026</v>
      </c>
      <c r="J1597" t="str">
        <f t="shared" si="300"/>
        <v>09/03/2026</v>
      </c>
      <c r="K1597">
        <v>46093</v>
      </c>
      <c r="N1597">
        <v>303</v>
      </c>
      <c r="O1597" t="s">
        <v>102</v>
      </c>
      <c r="Q1597">
        <v>1667.62</v>
      </c>
      <c r="R1597" t="str">
        <f>"DROGARIA NIQUINHO (10257)"</f>
        <v>DROGARIA NIQUINHO (10257)</v>
      </c>
      <c r="S1597" t="s">
        <v>103</v>
      </c>
      <c r="T1597">
        <v>30573</v>
      </c>
      <c r="U1597">
        <v>34314</v>
      </c>
      <c r="V1597" t="s">
        <v>110</v>
      </c>
    </row>
    <row r="1598" spans="1:22">
      <c r="A1598" t="str">
        <f t="shared" si="294"/>
        <v>12/03/2026</v>
      </c>
      <c r="B1598" t="str">
        <f t="shared" si="301"/>
        <v>ENTRADA</v>
      </c>
      <c r="C1598" t="str">
        <f t="shared" si="302"/>
        <v>NFSE</v>
      </c>
      <c r="D1598" t="str">
        <f>"486"</f>
        <v>486</v>
      </c>
      <c r="E1598" t="str">
        <f t="shared" si="303"/>
        <v>1</v>
      </c>
      <c r="F1598" t="str">
        <f t="shared" si="293"/>
        <v>COM</v>
      </c>
      <c r="G1598" t="str">
        <f>"DROGARIA MORENO LTDA (10171)"</f>
        <v>DROGARIA MORENO LTDA (10171)</v>
      </c>
      <c r="H1598" t="str">
        <f>"Serv.Prest. 02/03/2026 a 08/03/2026 - RPS: 2414 - NFSe: 486"</f>
        <v>Serv.Prest. 02/03/2026 a 08/03/2026 - RPS: 2414 - NFSe: 486</v>
      </c>
      <c r="I1598" t="str">
        <f t="shared" si="304"/>
        <v>11/03/2026</v>
      </c>
      <c r="J1598" t="str">
        <f t="shared" si="300"/>
        <v>09/03/2026</v>
      </c>
      <c r="K1598" t="str">
        <f>("12/03/2026")</f>
        <v>12/03/2026</v>
      </c>
      <c r="L1598">
        <v>3798.9</v>
      </c>
      <c r="M1598">
        <v>3798.9</v>
      </c>
      <c r="N1598">
        <v>303</v>
      </c>
      <c r="O1598" t="str">
        <f>"RECEITAS COM ENTREGAS"</f>
        <v>RECEITAS COM ENTREGAS</v>
      </c>
      <c r="P1598">
        <v>3798.9</v>
      </c>
      <c r="S1598" t="str">
        <f>"RECEITAS COM ENTREGAS (303)"</f>
        <v>RECEITAS COM ENTREGAS (303)</v>
      </c>
      <c r="T1598">
        <v>30574</v>
      </c>
      <c r="U1598">
        <v>34354</v>
      </c>
      <c r="V1598" t="s">
        <v>110</v>
      </c>
    </row>
    <row r="1599" spans="1:22">
      <c r="A1599" t="str">
        <f t="shared" si="294"/>
        <v>12/03/2026</v>
      </c>
      <c r="B1599" t="str">
        <f t="shared" si="301"/>
        <v>ENTRADA</v>
      </c>
      <c r="C1599" t="str">
        <f t="shared" si="302"/>
        <v>NFSE</v>
      </c>
      <c r="D1599" t="str">
        <f>"486"</f>
        <v>486</v>
      </c>
      <c r="E1599" t="str">
        <f t="shared" si="303"/>
        <v>1</v>
      </c>
      <c r="F1599" t="str">
        <f t="shared" si="293"/>
        <v>COM</v>
      </c>
      <c r="G1599" t="str">
        <f>"DROGARIA MORENO LTDA (10171)"</f>
        <v>DROGARIA MORENO LTDA (10171)</v>
      </c>
      <c r="H1599" t="s">
        <v>569</v>
      </c>
      <c r="I1599" t="str">
        <f t="shared" si="304"/>
        <v>11/03/2026</v>
      </c>
      <c r="J1599" t="str">
        <f t="shared" si="300"/>
        <v>09/03/2026</v>
      </c>
      <c r="K1599">
        <v>46093</v>
      </c>
      <c r="N1599">
        <v>303</v>
      </c>
      <c r="O1599" t="s">
        <v>102</v>
      </c>
      <c r="Q1599">
        <v>3798.9</v>
      </c>
      <c r="R1599" t="str">
        <f>"DROGARIA MORENO LTDA (10171)"</f>
        <v>DROGARIA MORENO LTDA (10171)</v>
      </c>
      <c r="S1599" t="s">
        <v>103</v>
      </c>
      <c r="T1599">
        <v>30574</v>
      </c>
      <c r="U1599">
        <v>34354</v>
      </c>
      <c r="V1599" t="s">
        <v>110</v>
      </c>
    </row>
    <row r="1600" spans="1:22">
      <c r="A1600" t="str">
        <f t="shared" si="294"/>
        <v>12/03/2026</v>
      </c>
      <c r="B1600" t="str">
        <f t="shared" si="301"/>
        <v>ENTRADA</v>
      </c>
      <c r="C1600" t="str">
        <f t="shared" si="302"/>
        <v>NFSE</v>
      </c>
      <c r="D1600" t="str">
        <f>"489"</f>
        <v>489</v>
      </c>
      <c r="E1600" t="str">
        <f t="shared" si="303"/>
        <v>1</v>
      </c>
      <c r="F1600" t="str">
        <f t="shared" si="293"/>
        <v>COM</v>
      </c>
      <c r="G1600" t="str">
        <f>"PENSE FARMA 27 (10204)"</f>
        <v>PENSE FARMA 27 (10204)</v>
      </c>
      <c r="H1600" t="str">
        <f>"Serv.Prest. 02/03/2026 a 08/03/2026 - RPS: 2417 - NFSe: 489"</f>
        <v>Serv.Prest. 02/03/2026 a 08/03/2026 - RPS: 2417 - NFSe: 489</v>
      </c>
      <c r="I1600" t="str">
        <f t="shared" si="304"/>
        <v>11/03/2026</v>
      </c>
      <c r="J1600" t="str">
        <f t="shared" ref="J1600:J1631" si="305">("09/03/2026")</f>
        <v>09/03/2026</v>
      </c>
      <c r="K1600" t="str">
        <f>("12/03/2026")</f>
        <v>12/03/2026</v>
      </c>
      <c r="L1600">
        <v>3272.5</v>
      </c>
      <c r="M1600">
        <v>3272.5</v>
      </c>
      <c r="N1600">
        <v>303</v>
      </c>
      <c r="O1600" t="str">
        <f>"RECEITAS COM ENTREGAS"</f>
        <v>RECEITAS COM ENTREGAS</v>
      </c>
      <c r="P1600">
        <v>3272.5</v>
      </c>
      <c r="S1600" t="str">
        <f>"RECEITAS COM ENTREGAS (303)"</f>
        <v>RECEITAS COM ENTREGAS (303)</v>
      </c>
      <c r="T1600">
        <v>30575</v>
      </c>
      <c r="U1600">
        <v>34364</v>
      </c>
      <c r="V1600" t="s">
        <v>110</v>
      </c>
    </row>
    <row r="1601" spans="1:22">
      <c r="A1601" t="str">
        <f t="shared" si="294"/>
        <v>12/03/2026</v>
      </c>
      <c r="B1601" t="str">
        <f t="shared" si="301"/>
        <v>ENTRADA</v>
      </c>
      <c r="C1601" t="str">
        <f t="shared" si="302"/>
        <v>NFSE</v>
      </c>
      <c r="D1601" t="str">
        <f>"489"</f>
        <v>489</v>
      </c>
      <c r="E1601" t="str">
        <f t="shared" si="303"/>
        <v>1</v>
      </c>
      <c r="F1601" t="str">
        <f t="shared" si="293"/>
        <v>COM</v>
      </c>
      <c r="G1601" t="str">
        <f>"PENSE FARMA 27 (10204)"</f>
        <v>PENSE FARMA 27 (10204)</v>
      </c>
      <c r="H1601" t="s">
        <v>570</v>
      </c>
      <c r="I1601" t="str">
        <f t="shared" si="304"/>
        <v>11/03/2026</v>
      </c>
      <c r="J1601" t="str">
        <f t="shared" si="305"/>
        <v>09/03/2026</v>
      </c>
      <c r="K1601">
        <v>46093</v>
      </c>
      <c r="N1601">
        <v>303</v>
      </c>
      <c r="O1601" t="s">
        <v>102</v>
      </c>
      <c r="Q1601">
        <v>1088.76</v>
      </c>
      <c r="R1601" t="str">
        <f>"PENSE FARMA 05 (10200)"</f>
        <v>PENSE FARMA 05 (10200)</v>
      </c>
      <c r="S1601" t="s">
        <v>103</v>
      </c>
      <c r="T1601">
        <v>30575</v>
      </c>
      <c r="U1601">
        <v>34364</v>
      </c>
      <c r="V1601" t="s">
        <v>110</v>
      </c>
    </row>
    <row r="1602" spans="1:22">
      <c r="A1602" t="str">
        <f t="shared" si="294"/>
        <v>12/03/2026</v>
      </c>
      <c r="B1602" t="str">
        <f t="shared" si="301"/>
        <v>ENTRADA</v>
      </c>
      <c r="C1602" t="str">
        <f t="shared" si="302"/>
        <v>NFSE</v>
      </c>
      <c r="D1602" t="str">
        <f>"489"</f>
        <v>489</v>
      </c>
      <c r="E1602" t="str">
        <f t="shared" si="303"/>
        <v>1</v>
      </c>
      <c r="F1602" t="str">
        <f t="shared" ref="F1602:F1665" si="306">"COM"</f>
        <v>COM</v>
      </c>
      <c r="G1602" t="str">
        <f>"PENSE FARMA 27 (10204)"</f>
        <v>PENSE FARMA 27 (10204)</v>
      </c>
      <c r="H1602" t="s">
        <v>570</v>
      </c>
      <c r="I1602" t="str">
        <f t="shared" si="304"/>
        <v>11/03/2026</v>
      </c>
      <c r="J1602" t="str">
        <f t="shared" si="305"/>
        <v>09/03/2026</v>
      </c>
      <c r="K1602">
        <v>46093</v>
      </c>
      <c r="N1602">
        <v>303</v>
      </c>
      <c r="O1602" t="s">
        <v>102</v>
      </c>
      <c r="Q1602">
        <v>1088.76</v>
      </c>
      <c r="R1602" t="str">
        <f>"PENSE FARMA 13 (10202)"</f>
        <v>PENSE FARMA 13 (10202)</v>
      </c>
      <c r="S1602" t="s">
        <v>103</v>
      </c>
      <c r="T1602">
        <v>30575</v>
      </c>
      <c r="U1602">
        <v>34364</v>
      </c>
      <c r="V1602" t="s">
        <v>110</v>
      </c>
    </row>
    <row r="1603" spans="1:22">
      <c r="A1603" t="str">
        <f t="shared" si="294"/>
        <v>12/03/2026</v>
      </c>
      <c r="B1603" t="str">
        <f t="shared" si="301"/>
        <v>ENTRADA</v>
      </c>
      <c r="C1603" t="str">
        <f t="shared" si="302"/>
        <v>NFSE</v>
      </c>
      <c r="D1603" t="str">
        <f>"489"</f>
        <v>489</v>
      </c>
      <c r="E1603" t="str">
        <f t="shared" si="303"/>
        <v>1</v>
      </c>
      <c r="F1603" t="str">
        <f t="shared" si="306"/>
        <v>COM</v>
      </c>
      <c r="G1603" t="str">
        <f>"PENSE FARMA 27 (10204)"</f>
        <v>PENSE FARMA 27 (10204)</v>
      </c>
      <c r="H1603" t="s">
        <v>570</v>
      </c>
      <c r="I1603" t="str">
        <f t="shared" si="304"/>
        <v>11/03/2026</v>
      </c>
      <c r="J1603" t="str">
        <f t="shared" si="305"/>
        <v>09/03/2026</v>
      </c>
      <c r="K1603">
        <v>46093</v>
      </c>
      <c r="N1603">
        <v>303</v>
      </c>
      <c r="O1603" t="s">
        <v>102</v>
      </c>
      <c r="Q1603">
        <v>1094.98</v>
      </c>
      <c r="R1603" t="str">
        <f>"PENSE FARMA 27 (10204)"</f>
        <v>PENSE FARMA 27 (10204)</v>
      </c>
      <c r="S1603" t="s">
        <v>103</v>
      </c>
      <c r="T1603">
        <v>30575</v>
      </c>
      <c r="U1603">
        <v>34364</v>
      </c>
      <c r="V1603" t="s">
        <v>110</v>
      </c>
    </row>
    <row r="1604" spans="1:22">
      <c r="A1604" t="str">
        <f t="shared" si="294"/>
        <v>12/03/2026</v>
      </c>
      <c r="B1604" t="str">
        <f t="shared" si="301"/>
        <v>ENTRADA</v>
      </c>
      <c r="C1604" t="str">
        <f t="shared" si="302"/>
        <v>NFSE</v>
      </c>
      <c r="D1604" t="str">
        <f>"490"</f>
        <v>490</v>
      </c>
      <c r="E1604" t="str">
        <f t="shared" si="303"/>
        <v>1</v>
      </c>
      <c r="F1604" t="str">
        <f t="shared" si="306"/>
        <v>COM</v>
      </c>
      <c r="G1604" t="str">
        <f>"PENSE FARMA 47 (10232)"</f>
        <v>PENSE FARMA 47 (10232)</v>
      </c>
      <c r="H1604" t="str">
        <f>"Serv.Prest. 02/03/2026 a 08/03/2026 - RPS: 2418 - NFSe: 490"</f>
        <v>Serv.Prest. 02/03/2026 a 08/03/2026 - RPS: 2418 - NFSe: 490</v>
      </c>
      <c r="I1604" t="str">
        <f t="shared" si="304"/>
        <v>11/03/2026</v>
      </c>
      <c r="J1604" t="str">
        <f t="shared" si="305"/>
        <v>09/03/2026</v>
      </c>
      <c r="K1604" t="str">
        <f>("12/03/2026")</f>
        <v>12/03/2026</v>
      </c>
      <c r="L1604">
        <v>1577.94</v>
      </c>
      <c r="M1604">
        <v>1577.94</v>
      </c>
      <c r="N1604">
        <v>303</v>
      </c>
      <c r="O1604" t="str">
        <f>"RECEITAS COM ENTREGAS"</f>
        <v>RECEITAS COM ENTREGAS</v>
      </c>
      <c r="P1604">
        <v>1577.94</v>
      </c>
      <c r="S1604" t="str">
        <f>"RECEITAS COM ENTREGAS (303)"</f>
        <v>RECEITAS COM ENTREGAS (303)</v>
      </c>
      <c r="T1604">
        <v>30576</v>
      </c>
      <c r="U1604">
        <v>34374</v>
      </c>
      <c r="V1604" t="s">
        <v>110</v>
      </c>
    </row>
    <row r="1605" spans="1:22">
      <c r="A1605" t="str">
        <f t="shared" si="294"/>
        <v>12/03/2026</v>
      </c>
      <c r="B1605" t="str">
        <f t="shared" si="301"/>
        <v>ENTRADA</v>
      </c>
      <c r="C1605" t="str">
        <f t="shared" si="302"/>
        <v>NFSE</v>
      </c>
      <c r="D1605" t="str">
        <f>"490"</f>
        <v>490</v>
      </c>
      <c r="E1605" t="str">
        <f t="shared" si="303"/>
        <v>1</v>
      </c>
      <c r="F1605" t="str">
        <f t="shared" si="306"/>
        <v>COM</v>
      </c>
      <c r="G1605" t="str">
        <f>"PENSE FARMA 47 (10232)"</f>
        <v>PENSE FARMA 47 (10232)</v>
      </c>
      <c r="H1605" t="s">
        <v>571</v>
      </c>
      <c r="I1605" t="str">
        <f t="shared" si="304"/>
        <v>11/03/2026</v>
      </c>
      <c r="J1605" t="str">
        <f t="shared" si="305"/>
        <v>09/03/2026</v>
      </c>
      <c r="K1605">
        <v>46093</v>
      </c>
      <c r="N1605">
        <v>303</v>
      </c>
      <c r="O1605" t="s">
        <v>102</v>
      </c>
      <c r="Q1605">
        <v>1577.94</v>
      </c>
      <c r="R1605" t="str">
        <f>"PENSE FARMA 47 (10232)"</f>
        <v>PENSE FARMA 47 (10232)</v>
      </c>
      <c r="S1605" t="s">
        <v>103</v>
      </c>
      <c r="T1605">
        <v>30576</v>
      </c>
      <c r="U1605">
        <v>34374</v>
      </c>
      <c r="V1605" t="s">
        <v>110</v>
      </c>
    </row>
    <row r="1606" spans="1:22">
      <c r="A1606" t="str">
        <f t="shared" si="294"/>
        <v>12/03/2026</v>
      </c>
      <c r="B1606" t="str">
        <f t="shared" si="301"/>
        <v>ENTRADA</v>
      </c>
      <c r="C1606" t="str">
        <f t="shared" si="302"/>
        <v>NFSE</v>
      </c>
      <c r="D1606" t="str">
        <f>"491"</f>
        <v>491</v>
      </c>
      <c r="E1606" t="str">
        <f t="shared" si="303"/>
        <v>1</v>
      </c>
      <c r="F1606" t="str">
        <f t="shared" si="306"/>
        <v>COM</v>
      </c>
      <c r="G1606" t="str">
        <f>"PENSE FARMA 25 (10224)"</f>
        <v>PENSE FARMA 25 (10224)</v>
      </c>
      <c r="H1606" t="str">
        <f>"Serv.Prest. 02/03/2026 a 08/03/2026 - RPS: 2419 - NFSe: 491"</f>
        <v>Serv.Prest. 02/03/2026 a 08/03/2026 - RPS: 2419 - NFSe: 491</v>
      </c>
      <c r="I1606" t="str">
        <f t="shared" si="304"/>
        <v>11/03/2026</v>
      </c>
      <c r="J1606" t="str">
        <f t="shared" si="305"/>
        <v>09/03/2026</v>
      </c>
      <c r="K1606" t="str">
        <f>("12/03/2026")</f>
        <v>12/03/2026</v>
      </c>
      <c r="L1606">
        <v>1816.16</v>
      </c>
      <c r="M1606">
        <v>1816.16</v>
      </c>
      <c r="N1606">
        <v>303</v>
      </c>
      <c r="O1606" t="str">
        <f>"RECEITAS COM ENTREGAS"</f>
        <v>RECEITAS COM ENTREGAS</v>
      </c>
      <c r="P1606">
        <v>1816.16</v>
      </c>
      <c r="S1606" t="str">
        <f>"RECEITAS COM ENTREGAS (303)"</f>
        <v>RECEITAS COM ENTREGAS (303)</v>
      </c>
      <c r="T1606">
        <v>30577</v>
      </c>
      <c r="U1606">
        <v>34376</v>
      </c>
      <c r="V1606" t="s">
        <v>110</v>
      </c>
    </row>
    <row r="1607" spans="1:22">
      <c r="A1607" t="str">
        <f t="shared" si="294"/>
        <v>12/03/2026</v>
      </c>
      <c r="B1607" t="str">
        <f t="shared" si="301"/>
        <v>ENTRADA</v>
      </c>
      <c r="C1607" t="str">
        <f t="shared" si="302"/>
        <v>NFSE</v>
      </c>
      <c r="D1607" t="str">
        <f>"491"</f>
        <v>491</v>
      </c>
      <c r="E1607" t="str">
        <f t="shared" si="303"/>
        <v>1</v>
      </c>
      <c r="F1607" t="str">
        <f t="shared" si="306"/>
        <v>COM</v>
      </c>
      <c r="G1607" t="str">
        <f>"PENSE FARMA 25 (10224)"</f>
        <v>PENSE FARMA 25 (10224)</v>
      </c>
      <c r="H1607" t="s">
        <v>572</v>
      </c>
      <c r="I1607" t="str">
        <f t="shared" si="304"/>
        <v>11/03/2026</v>
      </c>
      <c r="J1607" t="str">
        <f t="shared" si="305"/>
        <v>09/03/2026</v>
      </c>
      <c r="K1607">
        <v>46093</v>
      </c>
      <c r="N1607">
        <v>303</v>
      </c>
      <c r="O1607" t="s">
        <v>102</v>
      </c>
      <c r="Q1607">
        <v>1816.16</v>
      </c>
      <c r="R1607" t="str">
        <f>"PENSE FARMA 25 (10224)"</f>
        <v>PENSE FARMA 25 (10224)</v>
      </c>
      <c r="S1607" t="s">
        <v>103</v>
      </c>
      <c r="T1607">
        <v>30577</v>
      </c>
      <c r="U1607">
        <v>34376</v>
      </c>
      <c r="V1607" t="s">
        <v>110</v>
      </c>
    </row>
    <row r="1608" spans="1:22">
      <c r="A1608" t="str">
        <f t="shared" si="294"/>
        <v>12/03/2026</v>
      </c>
      <c r="B1608" t="str">
        <f t="shared" si="301"/>
        <v>ENTRADA</v>
      </c>
      <c r="C1608" t="str">
        <f t="shared" si="302"/>
        <v>NFSE</v>
      </c>
      <c r="D1608" t="str">
        <f>"492"</f>
        <v>492</v>
      </c>
      <c r="E1608" t="str">
        <f t="shared" si="303"/>
        <v>1</v>
      </c>
      <c r="F1608" t="str">
        <f t="shared" si="306"/>
        <v>COM</v>
      </c>
      <c r="G1608" t="str">
        <f>"PENSE FARMA 07 (10201)"</f>
        <v>PENSE FARMA 07 (10201)</v>
      </c>
      <c r="H1608" t="str">
        <f>"Serv.Prest. 02/03/2026 a 08/03/2026 - RPS: 2420 - NFSe: 492"</f>
        <v>Serv.Prest. 02/03/2026 a 08/03/2026 - RPS: 2420 - NFSe: 492</v>
      </c>
      <c r="I1608" t="str">
        <f t="shared" si="304"/>
        <v>11/03/2026</v>
      </c>
      <c r="J1608" t="str">
        <f t="shared" si="305"/>
        <v>09/03/2026</v>
      </c>
      <c r="K1608" t="str">
        <f>("12/03/2026")</f>
        <v>12/03/2026</v>
      </c>
      <c r="L1608">
        <v>1755.25</v>
      </c>
      <c r="M1608">
        <v>1755.25</v>
      </c>
      <c r="N1608">
        <v>303</v>
      </c>
      <c r="O1608" t="str">
        <f>"RECEITAS COM ENTREGAS"</f>
        <v>RECEITAS COM ENTREGAS</v>
      </c>
      <c r="P1608">
        <v>1755.25</v>
      </c>
      <c r="S1608" t="str">
        <f>"RECEITAS COM ENTREGAS (303)"</f>
        <v>RECEITAS COM ENTREGAS (303)</v>
      </c>
      <c r="T1608">
        <v>30578</v>
      </c>
      <c r="U1608">
        <v>34379</v>
      </c>
      <c r="V1608" t="s">
        <v>110</v>
      </c>
    </row>
    <row r="1609" spans="1:22">
      <c r="A1609" t="str">
        <f t="shared" ref="A1609:A1672" si="307">("12/03/2026")</f>
        <v>12/03/2026</v>
      </c>
      <c r="B1609" t="str">
        <f t="shared" si="301"/>
        <v>ENTRADA</v>
      </c>
      <c r="C1609" t="str">
        <f t="shared" si="302"/>
        <v>NFSE</v>
      </c>
      <c r="D1609" t="str">
        <f>"492"</f>
        <v>492</v>
      </c>
      <c r="E1609" t="str">
        <f t="shared" si="303"/>
        <v>1</v>
      </c>
      <c r="F1609" t="str">
        <f t="shared" si="306"/>
        <v>COM</v>
      </c>
      <c r="G1609" t="str">
        <f>"PENSE FARMA 07 (10201)"</f>
        <v>PENSE FARMA 07 (10201)</v>
      </c>
      <c r="H1609" t="s">
        <v>573</v>
      </c>
      <c r="I1609" t="str">
        <f t="shared" si="304"/>
        <v>11/03/2026</v>
      </c>
      <c r="J1609" t="str">
        <f t="shared" si="305"/>
        <v>09/03/2026</v>
      </c>
      <c r="K1609">
        <v>46093</v>
      </c>
      <c r="N1609">
        <v>303</v>
      </c>
      <c r="O1609" t="s">
        <v>102</v>
      </c>
      <c r="Q1609">
        <v>583.1</v>
      </c>
      <c r="R1609" t="str">
        <f>"PENSE FARMA 07 (10201)"</f>
        <v>PENSE FARMA 07 (10201)</v>
      </c>
      <c r="S1609" t="s">
        <v>103</v>
      </c>
      <c r="T1609">
        <v>30578</v>
      </c>
      <c r="U1609">
        <v>34379</v>
      </c>
      <c r="V1609" t="s">
        <v>110</v>
      </c>
    </row>
    <row r="1610" spans="1:22">
      <c r="A1610" t="str">
        <f t="shared" si="307"/>
        <v>12/03/2026</v>
      </c>
      <c r="B1610" t="str">
        <f t="shared" si="301"/>
        <v>ENTRADA</v>
      </c>
      <c r="C1610" t="str">
        <f t="shared" si="302"/>
        <v>NFSE</v>
      </c>
      <c r="D1610" t="str">
        <f>"492"</f>
        <v>492</v>
      </c>
      <c r="E1610" t="str">
        <f t="shared" si="303"/>
        <v>1</v>
      </c>
      <c r="F1610" t="str">
        <f t="shared" si="306"/>
        <v>COM</v>
      </c>
      <c r="G1610" t="str">
        <f>"PENSE FARMA 07 (10201)"</f>
        <v>PENSE FARMA 07 (10201)</v>
      </c>
      <c r="H1610" t="s">
        <v>573</v>
      </c>
      <c r="I1610" t="str">
        <f t="shared" si="304"/>
        <v>11/03/2026</v>
      </c>
      <c r="J1610" t="str">
        <f t="shared" si="305"/>
        <v>09/03/2026</v>
      </c>
      <c r="K1610">
        <v>46093</v>
      </c>
      <c r="N1610">
        <v>303</v>
      </c>
      <c r="O1610" t="s">
        <v>102</v>
      </c>
      <c r="Q1610">
        <v>583.09</v>
      </c>
      <c r="R1610" t="str">
        <f>"PENSE FARMA 45 (10209)"</f>
        <v>PENSE FARMA 45 (10209)</v>
      </c>
      <c r="S1610" t="s">
        <v>103</v>
      </c>
      <c r="T1610">
        <v>30578</v>
      </c>
      <c r="U1610">
        <v>34379</v>
      </c>
      <c r="V1610" t="s">
        <v>110</v>
      </c>
    </row>
    <row r="1611" spans="1:22">
      <c r="A1611" t="str">
        <f t="shared" si="307"/>
        <v>12/03/2026</v>
      </c>
      <c r="B1611" t="str">
        <f t="shared" si="301"/>
        <v>ENTRADA</v>
      </c>
      <c r="C1611" t="str">
        <f t="shared" si="302"/>
        <v>NFSE</v>
      </c>
      <c r="D1611" t="str">
        <f>"492"</f>
        <v>492</v>
      </c>
      <c r="E1611" t="str">
        <f t="shared" si="303"/>
        <v>1</v>
      </c>
      <c r="F1611" t="str">
        <f t="shared" si="306"/>
        <v>COM</v>
      </c>
      <c r="G1611" t="str">
        <f>"PENSE FARMA 07 (10201)"</f>
        <v>PENSE FARMA 07 (10201)</v>
      </c>
      <c r="H1611" t="s">
        <v>573</v>
      </c>
      <c r="I1611" t="str">
        <f t="shared" si="304"/>
        <v>11/03/2026</v>
      </c>
      <c r="J1611" t="str">
        <f t="shared" si="305"/>
        <v>09/03/2026</v>
      </c>
      <c r="K1611">
        <v>46093</v>
      </c>
      <c r="N1611">
        <v>303</v>
      </c>
      <c r="O1611" t="s">
        <v>102</v>
      </c>
      <c r="Q1611">
        <v>589.05999999999995</v>
      </c>
      <c r="R1611" t="str">
        <f>"PENSE FARMA 50 (10210)"</f>
        <v>PENSE FARMA 50 (10210)</v>
      </c>
      <c r="S1611" t="s">
        <v>103</v>
      </c>
      <c r="T1611">
        <v>30578</v>
      </c>
      <c r="U1611">
        <v>34379</v>
      </c>
      <c r="V1611" t="s">
        <v>110</v>
      </c>
    </row>
    <row r="1612" spans="1:22">
      <c r="A1612" t="str">
        <f t="shared" si="307"/>
        <v>12/03/2026</v>
      </c>
      <c r="B1612" t="str">
        <f t="shared" si="301"/>
        <v>ENTRADA</v>
      </c>
      <c r="C1612" t="str">
        <f t="shared" si="302"/>
        <v>NFSE</v>
      </c>
      <c r="D1612" t="str">
        <f>"493"</f>
        <v>493</v>
      </c>
      <c r="E1612" t="str">
        <f t="shared" si="303"/>
        <v>1</v>
      </c>
      <c r="F1612" t="str">
        <f t="shared" si="306"/>
        <v>COM</v>
      </c>
      <c r="G1612" t="str">
        <f>"PENSE FARMA 49 (10234)"</f>
        <v>PENSE FARMA 49 (10234)</v>
      </c>
      <c r="H1612" t="str">
        <f>"Serv.Prest. 02/03/2026 a 08/03/2026 - RPS: 2421 - NFSe: 493"</f>
        <v>Serv.Prest. 02/03/2026 a 08/03/2026 - RPS: 2421 - NFSe: 493</v>
      </c>
      <c r="I1612" t="str">
        <f t="shared" si="304"/>
        <v>11/03/2026</v>
      </c>
      <c r="J1612" t="str">
        <f t="shared" si="305"/>
        <v>09/03/2026</v>
      </c>
      <c r="K1612" t="str">
        <f>("12/03/2026")</f>
        <v>12/03/2026</v>
      </c>
      <c r="L1612">
        <v>1209.42</v>
      </c>
      <c r="M1612">
        <v>1209.42</v>
      </c>
      <c r="N1612">
        <v>303</v>
      </c>
      <c r="O1612" t="str">
        <f>"RECEITAS COM ENTREGAS"</f>
        <v>RECEITAS COM ENTREGAS</v>
      </c>
      <c r="P1612">
        <v>1209.42</v>
      </c>
      <c r="S1612" t="str">
        <f>"RECEITAS COM ENTREGAS (303)"</f>
        <v>RECEITAS COM ENTREGAS (303)</v>
      </c>
      <c r="T1612">
        <v>30579</v>
      </c>
      <c r="U1612">
        <v>34383</v>
      </c>
      <c r="V1612" t="s">
        <v>110</v>
      </c>
    </row>
    <row r="1613" spans="1:22">
      <c r="A1613" t="str">
        <f t="shared" si="307"/>
        <v>12/03/2026</v>
      </c>
      <c r="B1613" t="str">
        <f t="shared" si="301"/>
        <v>ENTRADA</v>
      </c>
      <c r="C1613" t="str">
        <f t="shared" si="302"/>
        <v>NFSE</v>
      </c>
      <c r="D1613" t="str">
        <f>"493"</f>
        <v>493</v>
      </c>
      <c r="E1613" t="str">
        <f t="shared" si="303"/>
        <v>1</v>
      </c>
      <c r="F1613" t="str">
        <f t="shared" si="306"/>
        <v>COM</v>
      </c>
      <c r="G1613" t="str">
        <f>"PENSE FARMA 49 (10234)"</f>
        <v>PENSE FARMA 49 (10234)</v>
      </c>
      <c r="H1613" t="s">
        <v>574</v>
      </c>
      <c r="I1613" t="str">
        <f t="shared" si="304"/>
        <v>11/03/2026</v>
      </c>
      <c r="J1613" t="str">
        <f t="shared" si="305"/>
        <v>09/03/2026</v>
      </c>
      <c r="K1613">
        <v>46093</v>
      </c>
      <c r="N1613">
        <v>303</v>
      </c>
      <c r="O1613" t="s">
        <v>102</v>
      </c>
      <c r="Q1613">
        <v>1209.42</v>
      </c>
      <c r="R1613" t="str">
        <f>"PENSE FARMA 49 (10234)"</f>
        <v>PENSE FARMA 49 (10234)</v>
      </c>
      <c r="S1613" t="s">
        <v>103</v>
      </c>
      <c r="T1613">
        <v>30579</v>
      </c>
      <c r="U1613">
        <v>34383</v>
      </c>
      <c r="V1613" t="s">
        <v>110</v>
      </c>
    </row>
    <row r="1614" spans="1:22">
      <c r="A1614" t="str">
        <f t="shared" si="307"/>
        <v>12/03/2026</v>
      </c>
      <c r="B1614" t="str">
        <f t="shared" si="301"/>
        <v>ENTRADA</v>
      </c>
      <c r="C1614" t="str">
        <f t="shared" si="302"/>
        <v>NFSE</v>
      </c>
      <c r="D1614" t="str">
        <f>"494"</f>
        <v>494</v>
      </c>
      <c r="E1614" t="str">
        <f t="shared" si="303"/>
        <v>1</v>
      </c>
      <c r="F1614" t="str">
        <f t="shared" si="306"/>
        <v>COM</v>
      </c>
      <c r="G1614" t="str">
        <f>"PENSE FARMA 39 (10228)"</f>
        <v>PENSE FARMA 39 (10228)</v>
      </c>
      <c r="H1614" t="str">
        <f>"Serv.Prest. 02/03/2026 a 08/03/2026 - RPS: 2422 - NFSe: 494"</f>
        <v>Serv.Prest. 02/03/2026 a 08/03/2026 - RPS: 2422 - NFSe: 494</v>
      </c>
      <c r="I1614" t="str">
        <f t="shared" si="304"/>
        <v>11/03/2026</v>
      </c>
      <c r="J1614" t="str">
        <f t="shared" si="305"/>
        <v>09/03/2026</v>
      </c>
      <c r="K1614" t="str">
        <f>("12/03/2026")</f>
        <v>12/03/2026</v>
      </c>
      <c r="L1614">
        <v>3399.85</v>
      </c>
      <c r="M1614">
        <v>3399.85</v>
      </c>
      <c r="N1614">
        <v>303</v>
      </c>
      <c r="O1614" t="str">
        <f>"RECEITAS COM ENTREGAS"</f>
        <v>RECEITAS COM ENTREGAS</v>
      </c>
      <c r="P1614">
        <v>3399.85</v>
      </c>
      <c r="S1614" t="str">
        <f>"RECEITAS COM ENTREGAS (303)"</f>
        <v>RECEITAS COM ENTREGAS (303)</v>
      </c>
      <c r="T1614">
        <v>30580</v>
      </c>
      <c r="U1614">
        <v>34386</v>
      </c>
      <c r="V1614" t="s">
        <v>110</v>
      </c>
    </row>
    <row r="1615" spans="1:22">
      <c r="A1615" t="str">
        <f t="shared" si="307"/>
        <v>12/03/2026</v>
      </c>
      <c r="B1615" t="str">
        <f t="shared" si="301"/>
        <v>ENTRADA</v>
      </c>
      <c r="C1615" t="str">
        <f t="shared" si="302"/>
        <v>NFSE</v>
      </c>
      <c r="D1615" t="str">
        <f>"494"</f>
        <v>494</v>
      </c>
      <c r="E1615" t="str">
        <f t="shared" si="303"/>
        <v>1</v>
      </c>
      <c r="F1615" t="str">
        <f t="shared" si="306"/>
        <v>COM</v>
      </c>
      <c r="G1615" t="str">
        <f>"PENSE FARMA 39 (10228)"</f>
        <v>PENSE FARMA 39 (10228)</v>
      </c>
      <c r="H1615" t="s">
        <v>575</v>
      </c>
      <c r="I1615" t="str">
        <f t="shared" si="304"/>
        <v>11/03/2026</v>
      </c>
      <c r="J1615" t="str">
        <f t="shared" si="305"/>
        <v>09/03/2026</v>
      </c>
      <c r="K1615">
        <v>46093</v>
      </c>
      <c r="N1615">
        <v>303</v>
      </c>
      <c r="O1615" t="s">
        <v>102</v>
      </c>
      <c r="Q1615">
        <v>843.51</v>
      </c>
      <c r="R1615" t="str">
        <f>"PENSE FARMA 02 (10199)"</f>
        <v>PENSE FARMA 02 (10199)</v>
      </c>
      <c r="S1615" t="s">
        <v>103</v>
      </c>
      <c r="T1615">
        <v>30580</v>
      </c>
      <c r="U1615">
        <v>34386</v>
      </c>
      <c r="V1615" t="s">
        <v>110</v>
      </c>
    </row>
    <row r="1616" spans="1:22">
      <c r="A1616" t="str">
        <f t="shared" si="307"/>
        <v>12/03/2026</v>
      </c>
      <c r="B1616" t="str">
        <f t="shared" si="301"/>
        <v>ENTRADA</v>
      </c>
      <c r="C1616" t="str">
        <f t="shared" si="302"/>
        <v>NFSE</v>
      </c>
      <c r="D1616" t="str">
        <f>"494"</f>
        <v>494</v>
      </c>
      <c r="E1616" t="str">
        <f t="shared" si="303"/>
        <v>1</v>
      </c>
      <c r="F1616" t="str">
        <f t="shared" si="306"/>
        <v>COM</v>
      </c>
      <c r="G1616" t="str">
        <f>"PENSE FARMA 39 (10228)"</f>
        <v>PENSE FARMA 39 (10228)</v>
      </c>
      <c r="H1616" t="s">
        <v>575</v>
      </c>
      <c r="I1616" t="str">
        <f t="shared" si="304"/>
        <v>11/03/2026</v>
      </c>
      <c r="J1616" t="str">
        <f t="shared" si="305"/>
        <v>09/03/2026</v>
      </c>
      <c r="K1616">
        <v>46093</v>
      </c>
      <c r="N1616">
        <v>303</v>
      </c>
      <c r="O1616" t="s">
        <v>102</v>
      </c>
      <c r="Q1616">
        <v>843.5</v>
      </c>
      <c r="R1616" t="str">
        <f>"PENSE FARMA 01 (10215)"</f>
        <v>PENSE FARMA 01 (10215)</v>
      </c>
      <c r="S1616" t="s">
        <v>103</v>
      </c>
      <c r="T1616">
        <v>30580</v>
      </c>
      <c r="U1616">
        <v>34386</v>
      </c>
      <c r="V1616" t="s">
        <v>110</v>
      </c>
    </row>
    <row r="1617" spans="1:22">
      <c r="A1617" t="str">
        <f t="shared" si="307"/>
        <v>12/03/2026</v>
      </c>
      <c r="B1617" t="str">
        <f t="shared" si="301"/>
        <v>ENTRADA</v>
      </c>
      <c r="C1617" t="str">
        <f t="shared" si="302"/>
        <v>NFSE</v>
      </c>
      <c r="D1617" t="str">
        <f>"494"</f>
        <v>494</v>
      </c>
      <c r="E1617" t="str">
        <f t="shared" si="303"/>
        <v>1</v>
      </c>
      <c r="F1617" t="str">
        <f t="shared" si="306"/>
        <v>COM</v>
      </c>
      <c r="G1617" t="str">
        <f>"PENSE FARMA 39 (10228)"</f>
        <v>PENSE FARMA 39 (10228)</v>
      </c>
      <c r="H1617" t="s">
        <v>575</v>
      </c>
      <c r="I1617" t="str">
        <f t="shared" si="304"/>
        <v>11/03/2026</v>
      </c>
      <c r="J1617" t="str">
        <f t="shared" si="305"/>
        <v>09/03/2026</v>
      </c>
      <c r="K1617">
        <v>46093</v>
      </c>
      <c r="N1617">
        <v>303</v>
      </c>
      <c r="O1617" t="s">
        <v>102</v>
      </c>
      <c r="Q1617">
        <v>843.5</v>
      </c>
      <c r="R1617" t="str">
        <f>"PENSE FARMA 03 (10216)"</f>
        <v>PENSE FARMA 03 (10216)</v>
      </c>
      <c r="S1617" t="s">
        <v>103</v>
      </c>
      <c r="T1617">
        <v>30580</v>
      </c>
      <c r="U1617">
        <v>34386</v>
      </c>
      <c r="V1617" t="s">
        <v>110</v>
      </c>
    </row>
    <row r="1618" spans="1:22">
      <c r="A1618" t="str">
        <f t="shared" si="307"/>
        <v>12/03/2026</v>
      </c>
      <c r="B1618" t="str">
        <f t="shared" si="301"/>
        <v>ENTRADA</v>
      </c>
      <c r="C1618" t="str">
        <f t="shared" si="302"/>
        <v>NFSE</v>
      </c>
      <c r="D1618" t="str">
        <f>"494"</f>
        <v>494</v>
      </c>
      <c r="E1618" t="str">
        <f t="shared" si="303"/>
        <v>1</v>
      </c>
      <c r="F1618" t="str">
        <f t="shared" si="306"/>
        <v>COM</v>
      </c>
      <c r="G1618" t="str">
        <f>"PENSE FARMA 39 (10228)"</f>
        <v>PENSE FARMA 39 (10228)</v>
      </c>
      <c r="H1618" t="s">
        <v>575</v>
      </c>
      <c r="I1618" t="str">
        <f t="shared" si="304"/>
        <v>11/03/2026</v>
      </c>
      <c r="J1618" t="str">
        <f t="shared" si="305"/>
        <v>09/03/2026</v>
      </c>
      <c r="K1618">
        <v>46093</v>
      </c>
      <c r="N1618">
        <v>303</v>
      </c>
      <c r="O1618" t="s">
        <v>102</v>
      </c>
      <c r="Q1618">
        <v>869.34</v>
      </c>
      <c r="R1618" t="str">
        <f>"PENSE FARMA 39 (10228)"</f>
        <v>PENSE FARMA 39 (10228)</v>
      </c>
      <c r="S1618" t="s">
        <v>103</v>
      </c>
      <c r="T1618">
        <v>30580</v>
      </c>
      <c r="U1618">
        <v>34386</v>
      </c>
      <c r="V1618" t="s">
        <v>110</v>
      </c>
    </row>
    <row r="1619" spans="1:22">
      <c r="A1619" t="str">
        <f t="shared" si="307"/>
        <v>12/03/2026</v>
      </c>
      <c r="B1619" t="str">
        <f t="shared" si="301"/>
        <v>ENTRADA</v>
      </c>
      <c r="C1619" t="str">
        <f t="shared" si="302"/>
        <v>NFSE</v>
      </c>
      <c r="D1619" t="str">
        <f>"495"</f>
        <v>495</v>
      </c>
      <c r="E1619" t="str">
        <f t="shared" si="303"/>
        <v>1</v>
      </c>
      <c r="F1619" t="str">
        <f t="shared" si="306"/>
        <v>COM</v>
      </c>
      <c r="G1619" t="str">
        <f>"PENSE FARMA 31 (10205)"</f>
        <v>PENSE FARMA 31 (10205)</v>
      </c>
      <c r="H1619" t="str">
        <f>"Serv.Prest. 02/03/2026 a 08/03/2026 - RPS: 2423 - NFSe: 495"</f>
        <v>Serv.Prest. 02/03/2026 a 08/03/2026 - RPS: 2423 - NFSe: 495</v>
      </c>
      <c r="I1619" t="str">
        <f t="shared" si="304"/>
        <v>11/03/2026</v>
      </c>
      <c r="J1619" t="str">
        <f t="shared" si="305"/>
        <v>09/03/2026</v>
      </c>
      <c r="K1619" t="str">
        <f>("12/03/2026")</f>
        <v>12/03/2026</v>
      </c>
      <c r="L1619">
        <v>3060.91</v>
      </c>
      <c r="M1619">
        <v>3060.91</v>
      </c>
      <c r="N1619">
        <v>303</v>
      </c>
      <c r="O1619" t="str">
        <f>"RECEITAS COM ENTREGAS"</f>
        <v>RECEITAS COM ENTREGAS</v>
      </c>
      <c r="P1619">
        <v>3060.91</v>
      </c>
      <c r="S1619" t="str">
        <f>"RECEITAS COM ENTREGAS (303)"</f>
        <v>RECEITAS COM ENTREGAS (303)</v>
      </c>
      <c r="T1619">
        <v>30581</v>
      </c>
      <c r="U1619">
        <v>34395</v>
      </c>
      <c r="V1619" t="s">
        <v>110</v>
      </c>
    </row>
    <row r="1620" spans="1:22">
      <c r="A1620" t="str">
        <f t="shared" si="307"/>
        <v>12/03/2026</v>
      </c>
      <c r="B1620" t="str">
        <f t="shared" si="301"/>
        <v>ENTRADA</v>
      </c>
      <c r="C1620" t="str">
        <f t="shared" si="302"/>
        <v>NFSE</v>
      </c>
      <c r="D1620" t="str">
        <f>"495"</f>
        <v>495</v>
      </c>
      <c r="E1620" t="str">
        <f t="shared" si="303"/>
        <v>1</v>
      </c>
      <c r="F1620" t="str">
        <f t="shared" si="306"/>
        <v>COM</v>
      </c>
      <c r="G1620" t="str">
        <f>"PENSE FARMA 31 (10205)"</f>
        <v>PENSE FARMA 31 (10205)</v>
      </c>
      <c r="H1620" t="s">
        <v>576</v>
      </c>
      <c r="I1620" t="str">
        <f t="shared" si="304"/>
        <v>11/03/2026</v>
      </c>
      <c r="J1620" t="str">
        <f t="shared" si="305"/>
        <v>09/03/2026</v>
      </c>
      <c r="K1620">
        <v>46093</v>
      </c>
      <c r="N1620">
        <v>303</v>
      </c>
      <c r="O1620" t="s">
        <v>102</v>
      </c>
      <c r="Q1620">
        <v>764.61</v>
      </c>
      <c r="R1620" t="str">
        <f>"PENSE FARMA 31 (10205)"</f>
        <v>PENSE FARMA 31 (10205)</v>
      </c>
      <c r="S1620" t="s">
        <v>103</v>
      </c>
      <c r="T1620">
        <v>30581</v>
      </c>
      <c r="U1620">
        <v>34395</v>
      </c>
      <c r="V1620" t="s">
        <v>110</v>
      </c>
    </row>
    <row r="1621" spans="1:22">
      <c r="A1621" t="str">
        <f t="shared" si="307"/>
        <v>12/03/2026</v>
      </c>
      <c r="B1621" t="str">
        <f t="shared" si="301"/>
        <v>ENTRADA</v>
      </c>
      <c r="C1621" t="str">
        <f t="shared" si="302"/>
        <v>NFSE</v>
      </c>
      <c r="D1621" t="str">
        <f>"495"</f>
        <v>495</v>
      </c>
      <c r="E1621" t="str">
        <f t="shared" si="303"/>
        <v>1</v>
      </c>
      <c r="F1621" t="str">
        <f t="shared" si="306"/>
        <v>COM</v>
      </c>
      <c r="G1621" t="str">
        <f>"PENSE FARMA 31 (10205)"</f>
        <v>PENSE FARMA 31 (10205)</v>
      </c>
      <c r="H1621" t="s">
        <v>576</v>
      </c>
      <c r="I1621" t="str">
        <f t="shared" si="304"/>
        <v>11/03/2026</v>
      </c>
      <c r="J1621" t="str">
        <f t="shared" si="305"/>
        <v>09/03/2026</v>
      </c>
      <c r="K1621">
        <v>46093</v>
      </c>
      <c r="N1621">
        <v>303</v>
      </c>
      <c r="O1621" t="s">
        <v>102</v>
      </c>
      <c r="Q1621">
        <v>764.62</v>
      </c>
      <c r="R1621" t="str">
        <f>"PENSE FARMA 16 (10221)"</f>
        <v>PENSE FARMA 16 (10221)</v>
      </c>
      <c r="S1621" t="s">
        <v>103</v>
      </c>
      <c r="T1621">
        <v>30581</v>
      </c>
      <c r="U1621">
        <v>34395</v>
      </c>
      <c r="V1621" t="s">
        <v>110</v>
      </c>
    </row>
    <row r="1622" spans="1:22">
      <c r="A1622" t="str">
        <f t="shared" si="307"/>
        <v>12/03/2026</v>
      </c>
      <c r="B1622" t="str">
        <f t="shared" si="301"/>
        <v>ENTRADA</v>
      </c>
      <c r="C1622" t="str">
        <f t="shared" si="302"/>
        <v>NFSE</v>
      </c>
      <c r="D1622" t="str">
        <f>"495"</f>
        <v>495</v>
      </c>
      <c r="E1622" t="str">
        <f t="shared" si="303"/>
        <v>1</v>
      </c>
      <c r="F1622" t="str">
        <f t="shared" si="306"/>
        <v>COM</v>
      </c>
      <c r="G1622" t="str">
        <f>"PENSE FARMA 31 (10205)"</f>
        <v>PENSE FARMA 31 (10205)</v>
      </c>
      <c r="H1622" t="s">
        <v>576</v>
      </c>
      <c r="I1622" t="str">
        <f t="shared" si="304"/>
        <v>11/03/2026</v>
      </c>
      <c r="J1622" t="str">
        <f t="shared" si="305"/>
        <v>09/03/2026</v>
      </c>
      <c r="K1622">
        <v>46093</v>
      </c>
      <c r="N1622">
        <v>303</v>
      </c>
      <c r="O1622" t="s">
        <v>102</v>
      </c>
      <c r="Q1622">
        <v>764.62</v>
      </c>
      <c r="R1622" t="str">
        <f>"PENSE FARMA 17 (10222)"</f>
        <v>PENSE FARMA 17 (10222)</v>
      </c>
      <c r="S1622" t="s">
        <v>103</v>
      </c>
      <c r="T1622">
        <v>30581</v>
      </c>
      <c r="U1622">
        <v>34395</v>
      </c>
      <c r="V1622" t="s">
        <v>110</v>
      </c>
    </row>
    <row r="1623" spans="1:22">
      <c r="A1623" t="str">
        <f t="shared" si="307"/>
        <v>12/03/2026</v>
      </c>
      <c r="B1623" t="str">
        <f t="shared" ref="B1623:B1655" si="308">"ENTRADA"</f>
        <v>ENTRADA</v>
      </c>
      <c r="C1623" t="str">
        <f t="shared" si="302"/>
        <v>NFSE</v>
      </c>
      <c r="D1623" t="str">
        <f>"495"</f>
        <v>495</v>
      </c>
      <c r="E1623" t="str">
        <f t="shared" si="303"/>
        <v>1</v>
      </c>
      <c r="F1623" t="str">
        <f t="shared" si="306"/>
        <v>COM</v>
      </c>
      <c r="G1623" t="str">
        <f>"PENSE FARMA 31 (10205)"</f>
        <v>PENSE FARMA 31 (10205)</v>
      </c>
      <c r="H1623" t="s">
        <v>576</v>
      </c>
      <c r="I1623" t="str">
        <f t="shared" si="304"/>
        <v>11/03/2026</v>
      </c>
      <c r="J1623" t="str">
        <f t="shared" si="305"/>
        <v>09/03/2026</v>
      </c>
      <c r="K1623">
        <v>46093</v>
      </c>
      <c r="N1623">
        <v>303</v>
      </c>
      <c r="O1623" t="s">
        <v>102</v>
      </c>
      <c r="Q1623">
        <v>767.06</v>
      </c>
      <c r="R1623" t="str">
        <f>"PENSE FARMA 62 (10274)"</f>
        <v>PENSE FARMA 62 (10274)</v>
      </c>
      <c r="S1623" t="s">
        <v>103</v>
      </c>
      <c r="T1623">
        <v>30581</v>
      </c>
      <c r="U1623">
        <v>34395</v>
      </c>
      <c r="V1623" t="s">
        <v>110</v>
      </c>
    </row>
    <row r="1624" spans="1:22">
      <c r="A1624" t="str">
        <f t="shared" si="307"/>
        <v>12/03/2026</v>
      </c>
      <c r="B1624" t="str">
        <f t="shared" si="308"/>
        <v>ENTRADA</v>
      </c>
      <c r="C1624" t="str">
        <f t="shared" si="302"/>
        <v>NFSE</v>
      </c>
      <c r="D1624" t="str">
        <f>"496"</f>
        <v>496</v>
      </c>
      <c r="E1624" t="str">
        <f t="shared" si="303"/>
        <v>1</v>
      </c>
      <c r="F1624" t="str">
        <f t="shared" si="306"/>
        <v>COM</v>
      </c>
      <c r="G1624" t="str">
        <f>"PENSE FARMA 46 (10194)"</f>
        <v>PENSE FARMA 46 (10194)</v>
      </c>
      <c r="H1624" t="str">
        <f>"Serv.Prest. 02/03/2026 a 08/03/2026 - RPS: 2424 - NFSe: 496"</f>
        <v>Serv.Prest. 02/03/2026 a 08/03/2026 - RPS: 2424 - NFSe: 496</v>
      </c>
      <c r="I1624" t="str">
        <f t="shared" si="304"/>
        <v>11/03/2026</v>
      </c>
      <c r="J1624" t="str">
        <f t="shared" si="305"/>
        <v>09/03/2026</v>
      </c>
      <c r="K1624" t="str">
        <f>("12/03/2026")</f>
        <v>12/03/2026</v>
      </c>
      <c r="L1624">
        <v>1700</v>
      </c>
      <c r="M1624">
        <v>1700</v>
      </c>
      <c r="N1624">
        <v>303</v>
      </c>
      <c r="O1624" t="str">
        <f>"RECEITAS COM ENTREGAS"</f>
        <v>RECEITAS COM ENTREGAS</v>
      </c>
      <c r="P1624">
        <v>1700</v>
      </c>
      <c r="S1624" t="str">
        <f>"RECEITAS COM ENTREGAS (303)"</f>
        <v>RECEITAS COM ENTREGAS (303)</v>
      </c>
      <c r="T1624">
        <v>30582</v>
      </c>
      <c r="U1624">
        <v>34408</v>
      </c>
      <c r="V1624" t="s">
        <v>110</v>
      </c>
    </row>
    <row r="1625" spans="1:22">
      <c r="A1625" t="str">
        <f t="shared" si="307"/>
        <v>12/03/2026</v>
      </c>
      <c r="B1625" t="str">
        <f t="shared" si="308"/>
        <v>ENTRADA</v>
      </c>
      <c r="C1625" t="str">
        <f t="shared" ref="C1625:C1655" si="309">"NFSE"</f>
        <v>NFSE</v>
      </c>
      <c r="D1625" t="str">
        <f>"496"</f>
        <v>496</v>
      </c>
      <c r="E1625" t="str">
        <f t="shared" ref="E1625:E1656" si="310">"1"</f>
        <v>1</v>
      </c>
      <c r="F1625" t="str">
        <f t="shared" si="306"/>
        <v>COM</v>
      </c>
      <c r="G1625" t="str">
        <f>"PENSE FARMA 46 (10194)"</f>
        <v>PENSE FARMA 46 (10194)</v>
      </c>
      <c r="H1625" t="s">
        <v>577</v>
      </c>
      <c r="I1625" t="str">
        <f t="shared" ref="I1625:I1655" si="311">("11/03/2026")</f>
        <v>11/03/2026</v>
      </c>
      <c r="J1625" t="str">
        <f t="shared" si="305"/>
        <v>09/03/2026</v>
      </c>
      <c r="K1625">
        <v>46093</v>
      </c>
      <c r="N1625">
        <v>303</v>
      </c>
      <c r="O1625" t="s">
        <v>102</v>
      </c>
      <c r="Q1625">
        <v>1700</v>
      </c>
      <c r="R1625" t="str">
        <f>"PENSE FARMA 46 (10194)"</f>
        <v>PENSE FARMA 46 (10194)</v>
      </c>
      <c r="S1625" t="s">
        <v>103</v>
      </c>
      <c r="T1625">
        <v>30582</v>
      </c>
      <c r="U1625">
        <v>34408</v>
      </c>
      <c r="V1625" t="s">
        <v>110</v>
      </c>
    </row>
    <row r="1626" spans="1:22">
      <c r="A1626" t="str">
        <f t="shared" si="307"/>
        <v>12/03/2026</v>
      </c>
      <c r="B1626" t="str">
        <f t="shared" si="308"/>
        <v>ENTRADA</v>
      </c>
      <c r="C1626" t="str">
        <f t="shared" si="309"/>
        <v>NFSE</v>
      </c>
      <c r="D1626" t="str">
        <f>"497"</f>
        <v>497</v>
      </c>
      <c r="E1626" t="str">
        <f t="shared" si="310"/>
        <v>1</v>
      </c>
      <c r="F1626" t="str">
        <f t="shared" si="306"/>
        <v>COM</v>
      </c>
      <c r="G1626" t="str">
        <f>"PENSE FARMA 15 (10195)"</f>
        <v>PENSE FARMA 15 (10195)</v>
      </c>
      <c r="H1626" t="str">
        <f>"Serv.Prest. 02/03/2026 a 08/03/2026 - RPS: 2425 - NFSe: 497"</f>
        <v>Serv.Prest. 02/03/2026 a 08/03/2026 - RPS: 2425 - NFSe: 497</v>
      </c>
      <c r="I1626" t="str">
        <f t="shared" si="311"/>
        <v>11/03/2026</v>
      </c>
      <c r="J1626" t="str">
        <f t="shared" si="305"/>
        <v>09/03/2026</v>
      </c>
      <c r="K1626" t="str">
        <f>("12/03/2026")</f>
        <v>12/03/2026</v>
      </c>
      <c r="L1626">
        <v>3638</v>
      </c>
      <c r="M1626">
        <v>3638</v>
      </c>
      <c r="N1626">
        <v>303</v>
      </c>
      <c r="O1626" t="str">
        <f>"RECEITAS COM ENTREGAS"</f>
        <v>RECEITAS COM ENTREGAS</v>
      </c>
      <c r="P1626">
        <v>3638</v>
      </c>
      <c r="S1626" t="str">
        <f>"RECEITAS COM ENTREGAS (303)"</f>
        <v>RECEITAS COM ENTREGAS (303)</v>
      </c>
      <c r="T1626">
        <v>30583</v>
      </c>
      <c r="U1626">
        <v>34410</v>
      </c>
      <c r="V1626" t="s">
        <v>110</v>
      </c>
    </row>
    <row r="1627" spans="1:22">
      <c r="A1627" t="str">
        <f t="shared" si="307"/>
        <v>12/03/2026</v>
      </c>
      <c r="B1627" t="str">
        <f t="shared" si="308"/>
        <v>ENTRADA</v>
      </c>
      <c r="C1627" t="str">
        <f t="shared" si="309"/>
        <v>NFSE</v>
      </c>
      <c r="D1627" t="str">
        <f>"497"</f>
        <v>497</v>
      </c>
      <c r="E1627" t="str">
        <f t="shared" si="310"/>
        <v>1</v>
      </c>
      <c r="F1627" t="str">
        <f t="shared" si="306"/>
        <v>COM</v>
      </c>
      <c r="G1627" t="str">
        <f>"PENSE FARMA 15 (10195)"</f>
        <v>PENSE FARMA 15 (10195)</v>
      </c>
      <c r="H1627" t="s">
        <v>578</v>
      </c>
      <c r="I1627" t="str">
        <f t="shared" si="311"/>
        <v>11/03/2026</v>
      </c>
      <c r="J1627" t="str">
        <f t="shared" si="305"/>
        <v>09/03/2026</v>
      </c>
      <c r="K1627">
        <v>46093</v>
      </c>
      <c r="N1627">
        <v>303</v>
      </c>
      <c r="O1627" t="s">
        <v>102</v>
      </c>
      <c r="Q1627">
        <v>909.5</v>
      </c>
      <c r="R1627" t="str">
        <f>"PENSE FARMA 15 (10195)"</f>
        <v>PENSE FARMA 15 (10195)</v>
      </c>
      <c r="S1627" t="s">
        <v>103</v>
      </c>
      <c r="T1627">
        <v>30583</v>
      </c>
      <c r="U1627">
        <v>34410</v>
      </c>
      <c r="V1627" t="s">
        <v>110</v>
      </c>
    </row>
    <row r="1628" spans="1:22">
      <c r="A1628" t="str">
        <f t="shared" si="307"/>
        <v>12/03/2026</v>
      </c>
      <c r="B1628" t="str">
        <f t="shared" si="308"/>
        <v>ENTRADA</v>
      </c>
      <c r="C1628" t="str">
        <f t="shared" si="309"/>
        <v>NFSE</v>
      </c>
      <c r="D1628" t="str">
        <f>"497"</f>
        <v>497</v>
      </c>
      <c r="E1628" t="str">
        <f t="shared" si="310"/>
        <v>1</v>
      </c>
      <c r="F1628" t="str">
        <f t="shared" si="306"/>
        <v>COM</v>
      </c>
      <c r="G1628" t="str">
        <f>"PENSE FARMA 15 (10195)"</f>
        <v>PENSE FARMA 15 (10195)</v>
      </c>
      <c r="H1628" t="s">
        <v>578</v>
      </c>
      <c r="I1628" t="str">
        <f t="shared" si="311"/>
        <v>11/03/2026</v>
      </c>
      <c r="J1628" t="str">
        <f t="shared" si="305"/>
        <v>09/03/2026</v>
      </c>
      <c r="K1628">
        <v>46093</v>
      </c>
      <c r="N1628">
        <v>303</v>
      </c>
      <c r="O1628" t="s">
        <v>102</v>
      </c>
      <c r="Q1628">
        <v>909.5</v>
      </c>
      <c r="R1628" t="str">
        <f>"PENSE FARMA 26 (10196)"</f>
        <v>PENSE FARMA 26 (10196)</v>
      </c>
      <c r="S1628" t="s">
        <v>103</v>
      </c>
      <c r="T1628">
        <v>30583</v>
      </c>
      <c r="U1628">
        <v>34410</v>
      </c>
      <c r="V1628" t="s">
        <v>110</v>
      </c>
    </row>
    <row r="1629" spans="1:22">
      <c r="A1629" t="str">
        <f t="shared" si="307"/>
        <v>12/03/2026</v>
      </c>
      <c r="B1629" t="str">
        <f t="shared" si="308"/>
        <v>ENTRADA</v>
      </c>
      <c r="C1629" t="str">
        <f t="shared" si="309"/>
        <v>NFSE</v>
      </c>
      <c r="D1629" t="str">
        <f>"497"</f>
        <v>497</v>
      </c>
      <c r="E1629" t="str">
        <f t="shared" si="310"/>
        <v>1</v>
      </c>
      <c r="F1629" t="str">
        <f t="shared" si="306"/>
        <v>COM</v>
      </c>
      <c r="G1629" t="str">
        <f>"PENSE FARMA 15 (10195)"</f>
        <v>PENSE FARMA 15 (10195)</v>
      </c>
      <c r="H1629" t="s">
        <v>578</v>
      </c>
      <c r="I1629" t="str">
        <f t="shared" si="311"/>
        <v>11/03/2026</v>
      </c>
      <c r="J1629" t="str">
        <f t="shared" si="305"/>
        <v>09/03/2026</v>
      </c>
      <c r="K1629">
        <v>46093</v>
      </c>
      <c r="N1629">
        <v>303</v>
      </c>
      <c r="O1629" t="s">
        <v>102</v>
      </c>
      <c r="Q1629">
        <v>909.5</v>
      </c>
      <c r="R1629" t="str">
        <f>"PENSE FARMA 60 (10197)"</f>
        <v>PENSE FARMA 60 (10197)</v>
      </c>
      <c r="S1629" t="s">
        <v>103</v>
      </c>
      <c r="T1629">
        <v>30583</v>
      </c>
      <c r="U1629">
        <v>34410</v>
      </c>
      <c r="V1629" t="s">
        <v>110</v>
      </c>
    </row>
    <row r="1630" spans="1:22">
      <c r="A1630" t="str">
        <f t="shared" si="307"/>
        <v>12/03/2026</v>
      </c>
      <c r="B1630" t="str">
        <f t="shared" si="308"/>
        <v>ENTRADA</v>
      </c>
      <c r="C1630" t="str">
        <f t="shared" si="309"/>
        <v>NFSE</v>
      </c>
      <c r="D1630" t="str">
        <f>"497"</f>
        <v>497</v>
      </c>
      <c r="E1630" t="str">
        <f t="shared" si="310"/>
        <v>1</v>
      </c>
      <c r="F1630" t="str">
        <f t="shared" si="306"/>
        <v>COM</v>
      </c>
      <c r="G1630" t="str">
        <f>"PENSE FARMA 15 (10195)"</f>
        <v>PENSE FARMA 15 (10195)</v>
      </c>
      <c r="H1630" t="s">
        <v>578</v>
      </c>
      <c r="I1630" t="str">
        <f t="shared" si="311"/>
        <v>11/03/2026</v>
      </c>
      <c r="J1630" t="str">
        <f t="shared" si="305"/>
        <v>09/03/2026</v>
      </c>
      <c r="K1630">
        <v>46093</v>
      </c>
      <c r="N1630">
        <v>303</v>
      </c>
      <c r="O1630" t="s">
        <v>102</v>
      </c>
      <c r="Q1630">
        <v>909.5</v>
      </c>
      <c r="R1630" t="str">
        <f>"PENSE FARMA 61 (10243)"</f>
        <v>PENSE FARMA 61 (10243)</v>
      </c>
      <c r="S1630" t="s">
        <v>103</v>
      </c>
      <c r="T1630">
        <v>30583</v>
      </c>
      <c r="U1630">
        <v>34410</v>
      </c>
      <c r="V1630" t="s">
        <v>110</v>
      </c>
    </row>
    <row r="1631" spans="1:22">
      <c r="A1631" t="str">
        <f t="shared" si="307"/>
        <v>12/03/2026</v>
      </c>
      <c r="B1631" t="str">
        <f t="shared" si="308"/>
        <v>ENTRADA</v>
      </c>
      <c r="C1631" t="str">
        <f t="shared" si="309"/>
        <v>NFSE</v>
      </c>
      <c r="D1631" t="str">
        <f t="shared" ref="D1631:D1637" si="312">"498"</f>
        <v>498</v>
      </c>
      <c r="E1631" t="str">
        <f t="shared" si="310"/>
        <v>1</v>
      </c>
      <c r="F1631" t="str">
        <f t="shared" si="306"/>
        <v>COM</v>
      </c>
      <c r="G1631" t="str">
        <f t="shared" ref="G1631:G1637" si="313">"PENSE FARMA 36 (10206)"</f>
        <v>PENSE FARMA 36 (10206)</v>
      </c>
      <c r="H1631" t="str">
        <f>"Serv.Prest. 02/03/2026 a 08/03/2026 - RPS: 2426 - NFSe: 498"</f>
        <v>Serv.Prest. 02/03/2026 a 08/03/2026 - RPS: 2426 - NFSe: 498</v>
      </c>
      <c r="I1631" t="str">
        <f t="shared" si="311"/>
        <v>11/03/2026</v>
      </c>
      <c r="J1631" t="str">
        <f t="shared" si="305"/>
        <v>09/03/2026</v>
      </c>
      <c r="K1631" t="str">
        <f>("12/03/2026")</f>
        <v>12/03/2026</v>
      </c>
      <c r="L1631">
        <v>5068.12</v>
      </c>
      <c r="M1631">
        <v>5068.12</v>
      </c>
      <c r="N1631">
        <v>303</v>
      </c>
      <c r="O1631" t="str">
        <f>"RECEITAS COM ENTREGAS"</f>
        <v>RECEITAS COM ENTREGAS</v>
      </c>
      <c r="P1631">
        <v>5068.12</v>
      </c>
      <c r="S1631" t="str">
        <f>"RECEITAS COM ENTREGAS (303)"</f>
        <v>RECEITAS COM ENTREGAS (303)</v>
      </c>
      <c r="T1631">
        <v>30584</v>
      </c>
      <c r="U1631">
        <v>34423</v>
      </c>
      <c r="V1631" t="s">
        <v>110</v>
      </c>
    </row>
    <row r="1632" spans="1:22">
      <c r="A1632" t="str">
        <f t="shared" si="307"/>
        <v>12/03/2026</v>
      </c>
      <c r="B1632" t="str">
        <f t="shared" si="308"/>
        <v>ENTRADA</v>
      </c>
      <c r="C1632" t="str">
        <f t="shared" si="309"/>
        <v>NFSE</v>
      </c>
      <c r="D1632" t="str">
        <f t="shared" si="312"/>
        <v>498</v>
      </c>
      <c r="E1632" t="str">
        <f t="shared" si="310"/>
        <v>1</v>
      </c>
      <c r="F1632" t="str">
        <f t="shared" si="306"/>
        <v>COM</v>
      </c>
      <c r="G1632" t="str">
        <f t="shared" si="313"/>
        <v>PENSE FARMA 36 (10206)</v>
      </c>
      <c r="H1632" t="s">
        <v>579</v>
      </c>
      <c r="I1632" t="str">
        <f t="shared" si="311"/>
        <v>11/03/2026</v>
      </c>
      <c r="J1632" t="str">
        <f t="shared" ref="J1632:J1655" si="314">("09/03/2026")</f>
        <v>09/03/2026</v>
      </c>
      <c r="K1632">
        <v>46093</v>
      </c>
      <c r="N1632">
        <v>303</v>
      </c>
      <c r="O1632" t="s">
        <v>102</v>
      </c>
      <c r="Q1632">
        <v>840.31</v>
      </c>
      <c r="R1632" t="str">
        <f>"PENSE FARMA 20 (10203)"</f>
        <v>PENSE FARMA 20 (10203)</v>
      </c>
      <c r="S1632" t="s">
        <v>103</v>
      </c>
      <c r="T1632">
        <v>30584</v>
      </c>
      <c r="U1632">
        <v>34423</v>
      </c>
      <c r="V1632" t="s">
        <v>110</v>
      </c>
    </row>
    <row r="1633" spans="1:22">
      <c r="A1633" t="str">
        <f t="shared" si="307"/>
        <v>12/03/2026</v>
      </c>
      <c r="B1633" t="str">
        <f t="shared" si="308"/>
        <v>ENTRADA</v>
      </c>
      <c r="C1633" t="str">
        <f t="shared" si="309"/>
        <v>NFSE</v>
      </c>
      <c r="D1633" t="str">
        <f t="shared" si="312"/>
        <v>498</v>
      </c>
      <c r="E1633" t="str">
        <f t="shared" si="310"/>
        <v>1</v>
      </c>
      <c r="F1633" t="str">
        <f t="shared" si="306"/>
        <v>COM</v>
      </c>
      <c r="G1633" t="str">
        <f t="shared" si="313"/>
        <v>PENSE FARMA 36 (10206)</v>
      </c>
      <c r="H1633" t="s">
        <v>579</v>
      </c>
      <c r="I1633" t="str">
        <f t="shared" si="311"/>
        <v>11/03/2026</v>
      </c>
      <c r="J1633" t="str">
        <f t="shared" si="314"/>
        <v>09/03/2026</v>
      </c>
      <c r="K1633">
        <v>46093</v>
      </c>
      <c r="N1633">
        <v>303</v>
      </c>
      <c r="O1633" t="s">
        <v>102</v>
      </c>
      <c r="Q1633">
        <v>840.29</v>
      </c>
      <c r="R1633" t="str">
        <f>"PENSE FARMA 36 (10206)"</f>
        <v>PENSE FARMA 36 (10206)</v>
      </c>
      <c r="S1633" t="s">
        <v>103</v>
      </c>
      <c r="T1633">
        <v>30584</v>
      </c>
      <c r="U1633">
        <v>34423</v>
      </c>
      <c r="V1633" t="s">
        <v>110</v>
      </c>
    </row>
    <row r="1634" spans="1:22">
      <c r="A1634" t="str">
        <f t="shared" si="307"/>
        <v>12/03/2026</v>
      </c>
      <c r="B1634" t="str">
        <f t="shared" si="308"/>
        <v>ENTRADA</v>
      </c>
      <c r="C1634" t="str">
        <f t="shared" si="309"/>
        <v>NFSE</v>
      </c>
      <c r="D1634" t="str">
        <f t="shared" si="312"/>
        <v>498</v>
      </c>
      <c r="E1634" t="str">
        <f t="shared" si="310"/>
        <v>1</v>
      </c>
      <c r="F1634" t="str">
        <f t="shared" si="306"/>
        <v>COM</v>
      </c>
      <c r="G1634" t="str">
        <f t="shared" si="313"/>
        <v>PENSE FARMA 36 (10206)</v>
      </c>
      <c r="H1634" t="s">
        <v>579</v>
      </c>
      <c r="I1634" t="str">
        <f t="shared" si="311"/>
        <v>11/03/2026</v>
      </c>
      <c r="J1634" t="str">
        <f t="shared" si="314"/>
        <v>09/03/2026</v>
      </c>
      <c r="K1634">
        <v>46093</v>
      </c>
      <c r="N1634">
        <v>303</v>
      </c>
      <c r="O1634" t="s">
        <v>102</v>
      </c>
      <c r="Q1634">
        <v>840.29</v>
      </c>
      <c r="R1634" t="str">
        <f>"PENSE FARMA 40 (10207)"</f>
        <v>PENSE FARMA 40 (10207)</v>
      </c>
      <c r="S1634" t="s">
        <v>103</v>
      </c>
      <c r="T1634">
        <v>30584</v>
      </c>
      <c r="U1634">
        <v>34423</v>
      </c>
      <c r="V1634" t="s">
        <v>110</v>
      </c>
    </row>
    <row r="1635" spans="1:22">
      <c r="A1635" t="str">
        <f t="shared" si="307"/>
        <v>12/03/2026</v>
      </c>
      <c r="B1635" t="str">
        <f t="shared" si="308"/>
        <v>ENTRADA</v>
      </c>
      <c r="C1635" t="str">
        <f t="shared" si="309"/>
        <v>NFSE</v>
      </c>
      <c r="D1635" t="str">
        <f t="shared" si="312"/>
        <v>498</v>
      </c>
      <c r="E1635" t="str">
        <f t="shared" si="310"/>
        <v>1</v>
      </c>
      <c r="F1635" t="str">
        <f t="shared" si="306"/>
        <v>COM</v>
      </c>
      <c r="G1635" t="str">
        <f t="shared" si="313"/>
        <v>PENSE FARMA 36 (10206)</v>
      </c>
      <c r="H1635" t="s">
        <v>579</v>
      </c>
      <c r="I1635" t="str">
        <f t="shared" si="311"/>
        <v>11/03/2026</v>
      </c>
      <c r="J1635" t="str">
        <f t="shared" si="314"/>
        <v>09/03/2026</v>
      </c>
      <c r="K1635">
        <v>46093</v>
      </c>
      <c r="N1635">
        <v>303</v>
      </c>
      <c r="O1635" t="s">
        <v>102</v>
      </c>
      <c r="Q1635">
        <v>840.29</v>
      </c>
      <c r="R1635" t="str">
        <f>"PENSE FARMA 43 (10208)"</f>
        <v>PENSE FARMA 43 (10208)</v>
      </c>
      <c r="S1635" t="s">
        <v>103</v>
      </c>
      <c r="T1635">
        <v>30584</v>
      </c>
      <c r="U1635">
        <v>34423</v>
      </c>
      <c r="V1635" t="s">
        <v>110</v>
      </c>
    </row>
    <row r="1636" spans="1:22">
      <c r="A1636" t="str">
        <f t="shared" si="307"/>
        <v>12/03/2026</v>
      </c>
      <c r="B1636" t="str">
        <f t="shared" si="308"/>
        <v>ENTRADA</v>
      </c>
      <c r="C1636" t="str">
        <f t="shared" si="309"/>
        <v>NFSE</v>
      </c>
      <c r="D1636" t="str">
        <f t="shared" si="312"/>
        <v>498</v>
      </c>
      <c r="E1636" t="str">
        <f t="shared" si="310"/>
        <v>1</v>
      </c>
      <c r="F1636" t="str">
        <f t="shared" si="306"/>
        <v>COM</v>
      </c>
      <c r="G1636" t="str">
        <f t="shared" si="313"/>
        <v>PENSE FARMA 36 (10206)</v>
      </c>
      <c r="H1636" t="s">
        <v>579</v>
      </c>
      <c r="I1636" t="str">
        <f t="shared" si="311"/>
        <v>11/03/2026</v>
      </c>
      <c r="J1636" t="str">
        <f t="shared" si="314"/>
        <v>09/03/2026</v>
      </c>
      <c r="K1636">
        <v>46093</v>
      </c>
      <c r="N1636">
        <v>303</v>
      </c>
      <c r="O1636" t="s">
        <v>102</v>
      </c>
      <c r="Q1636">
        <v>840.29</v>
      </c>
      <c r="R1636" t="str">
        <f>"PENSE FARMA 59 (10211)"</f>
        <v>PENSE FARMA 59 (10211)</v>
      </c>
      <c r="S1636" t="s">
        <v>103</v>
      </c>
      <c r="T1636">
        <v>30584</v>
      </c>
      <c r="U1636">
        <v>34423</v>
      </c>
      <c r="V1636" t="s">
        <v>110</v>
      </c>
    </row>
    <row r="1637" spans="1:22">
      <c r="A1637" t="str">
        <f t="shared" si="307"/>
        <v>12/03/2026</v>
      </c>
      <c r="B1637" t="str">
        <f t="shared" si="308"/>
        <v>ENTRADA</v>
      </c>
      <c r="C1637" t="str">
        <f t="shared" si="309"/>
        <v>NFSE</v>
      </c>
      <c r="D1637" t="str">
        <f t="shared" si="312"/>
        <v>498</v>
      </c>
      <c r="E1637" t="str">
        <f t="shared" si="310"/>
        <v>1</v>
      </c>
      <c r="F1637" t="str">
        <f t="shared" si="306"/>
        <v>COM</v>
      </c>
      <c r="G1637" t="str">
        <f t="shared" si="313"/>
        <v>PENSE FARMA 36 (10206)</v>
      </c>
      <c r="H1637" t="s">
        <v>579</v>
      </c>
      <c r="I1637" t="str">
        <f t="shared" si="311"/>
        <v>11/03/2026</v>
      </c>
      <c r="J1637" t="str">
        <f t="shared" si="314"/>
        <v>09/03/2026</v>
      </c>
      <c r="K1637">
        <v>46093</v>
      </c>
      <c r="N1637">
        <v>303</v>
      </c>
      <c r="O1637" t="s">
        <v>102</v>
      </c>
      <c r="Q1637">
        <v>866.65</v>
      </c>
      <c r="R1637" t="str">
        <f>"PENSE FARMA DARK STORE 361 (10212)"</f>
        <v>PENSE FARMA DARK STORE 361 (10212)</v>
      </c>
      <c r="S1637" t="s">
        <v>103</v>
      </c>
      <c r="T1637">
        <v>30584</v>
      </c>
      <c r="U1637">
        <v>34423</v>
      </c>
      <c r="V1637" t="s">
        <v>110</v>
      </c>
    </row>
    <row r="1638" spans="1:22">
      <c r="A1638" t="str">
        <f t="shared" si="307"/>
        <v>12/03/2026</v>
      </c>
      <c r="B1638" t="str">
        <f t="shared" si="308"/>
        <v>ENTRADA</v>
      </c>
      <c r="C1638" t="str">
        <f t="shared" si="309"/>
        <v>NFSE</v>
      </c>
      <c r="D1638" t="str">
        <f>"499"</f>
        <v>499</v>
      </c>
      <c r="E1638" t="str">
        <f t="shared" si="310"/>
        <v>1</v>
      </c>
      <c r="F1638" t="str">
        <f t="shared" si="306"/>
        <v>COM</v>
      </c>
      <c r="G1638" t="str">
        <f>"PENSE FARMA 44 (10231)"</f>
        <v>PENSE FARMA 44 (10231)</v>
      </c>
      <c r="H1638" t="str">
        <f>"Serv.Prest. 02/03/2026 a 08/03/2026 - RPS: 2427 - NFSe: 499"</f>
        <v>Serv.Prest. 02/03/2026 a 08/03/2026 - RPS: 2427 - NFSe: 499</v>
      </c>
      <c r="I1638" t="str">
        <f t="shared" si="311"/>
        <v>11/03/2026</v>
      </c>
      <c r="J1638" t="str">
        <f t="shared" si="314"/>
        <v>09/03/2026</v>
      </c>
      <c r="K1638" t="str">
        <f>("12/03/2026")</f>
        <v>12/03/2026</v>
      </c>
      <c r="L1638">
        <v>3574.65</v>
      </c>
      <c r="M1638">
        <v>3574.65</v>
      </c>
      <c r="N1638">
        <v>303</v>
      </c>
      <c r="O1638" t="str">
        <f>"RECEITAS COM ENTREGAS"</f>
        <v>RECEITAS COM ENTREGAS</v>
      </c>
      <c r="P1638">
        <v>3574.65</v>
      </c>
      <c r="S1638" t="str">
        <f>"RECEITAS COM ENTREGAS (303)"</f>
        <v>RECEITAS COM ENTREGAS (303)</v>
      </c>
      <c r="T1638">
        <v>30585</v>
      </c>
      <c r="U1638">
        <v>34447</v>
      </c>
      <c r="V1638" t="s">
        <v>110</v>
      </c>
    </row>
    <row r="1639" spans="1:22">
      <c r="A1639" t="str">
        <f t="shared" si="307"/>
        <v>12/03/2026</v>
      </c>
      <c r="B1639" t="str">
        <f t="shared" si="308"/>
        <v>ENTRADA</v>
      </c>
      <c r="C1639" t="str">
        <f t="shared" si="309"/>
        <v>NFSE</v>
      </c>
      <c r="D1639" t="str">
        <f>"499"</f>
        <v>499</v>
      </c>
      <c r="E1639" t="str">
        <f t="shared" si="310"/>
        <v>1</v>
      </c>
      <c r="F1639" t="str">
        <f t="shared" si="306"/>
        <v>COM</v>
      </c>
      <c r="G1639" t="str">
        <f>"PENSE FARMA 44 (10231)"</f>
        <v>PENSE FARMA 44 (10231)</v>
      </c>
      <c r="H1639" t="s">
        <v>580</v>
      </c>
      <c r="I1639" t="str">
        <f t="shared" si="311"/>
        <v>11/03/2026</v>
      </c>
      <c r="J1639" t="str">
        <f t="shared" si="314"/>
        <v>09/03/2026</v>
      </c>
      <c r="K1639">
        <v>46093</v>
      </c>
      <c r="N1639">
        <v>303</v>
      </c>
      <c r="O1639" t="s">
        <v>102</v>
      </c>
      <c r="Q1639">
        <v>1784.47</v>
      </c>
      <c r="R1639" t="str">
        <f>"PENSE FARMA 44 (10231)"</f>
        <v>PENSE FARMA 44 (10231)</v>
      </c>
      <c r="S1639" t="s">
        <v>103</v>
      </c>
      <c r="T1639">
        <v>30585</v>
      </c>
      <c r="U1639">
        <v>34447</v>
      </c>
      <c r="V1639" t="s">
        <v>110</v>
      </c>
    </row>
    <row r="1640" spans="1:22">
      <c r="A1640" t="str">
        <f t="shared" si="307"/>
        <v>12/03/2026</v>
      </c>
      <c r="B1640" t="str">
        <f t="shared" si="308"/>
        <v>ENTRADA</v>
      </c>
      <c r="C1640" t="str">
        <f t="shared" si="309"/>
        <v>NFSE</v>
      </c>
      <c r="D1640" t="str">
        <f>"499"</f>
        <v>499</v>
      </c>
      <c r="E1640" t="str">
        <f t="shared" si="310"/>
        <v>1</v>
      </c>
      <c r="F1640" t="str">
        <f t="shared" si="306"/>
        <v>COM</v>
      </c>
      <c r="G1640" t="str">
        <f>"PENSE FARMA 44 (10231)"</f>
        <v>PENSE FARMA 44 (10231)</v>
      </c>
      <c r="H1640" t="s">
        <v>580</v>
      </c>
      <c r="I1640" t="str">
        <f t="shared" si="311"/>
        <v>11/03/2026</v>
      </c>
      <c r="J1640" t="str">
        <f t="shared" si="314"/>
        <v>09/03/2026</v>
      </c>
      <c r="K1640">
        <v>46093</v>
      </c>
      <c r="N1640">
        <v>303</v>
      </c>
      <c r="O1640" t="s">
        <v>102</v>
      </c>
      <c r="Q1640">
        <v>1790.18</v>
      </c>
      <c r="R1640" t="str">
        <f>"PENSE FARMA 48 (10233)"</f>
        <v>PENSE FARMA 48 (10233)</v>
      </c>
      <c r="S1640" t="s">
        <v>103</v>
      </c>
      <c r="T1640">
        <v>30585</v>
      </c>
      <c r="U1640">
        <v>34447</v>
      </c>
      <c r="V1640" t="s">
        <v>110</v>
      </c>
    </row>
    <row r="1641" spans="1:22">
      <c r="A1641" t="str">
        <f t="shared" si="307"/>
        <v>12/03/2026</v>
      </c>
      <c r="B1641" t="str">
        <f t="shared" si="308"/>
        <v>ENTRADA</v>
      </c>
      <c r="C1641" t="str">
        <f t="shared" si="309"/>
        <v>NFSE</v>
      </c>
      <c r="D1641" t="str">
        <f t="shared" ref="D1641:D1646" si="315">"500"</f>
        <v>500</v>
      </c>
      <c r="E1641" t="str">
        <f t="shared" si="310"/>
        <v>1</v>
      </c>
      <c r="F1641" t="str">
        <f t="shared" si="306"/>
        <v>COM</v>
      </c>
      <c r="G1641" t="str">
        <f t="shared" ref="G1641:G1646" si="316">"PENSE FARMA 08 (10217)"</f>
        <v>PENSE FARMA 08 (10217)</v>
      </c>
      <c r="H1641" t="str">
        <f>"Serv.Prest. 02/03/2026 a 08/03/2026 - RPS: 2428 - NFSe: 500"</f>
        <v>Serv.Prest. 02/03/2026 a 08/03/2026 - RPS: 2428 - NFSe: 500</v>
      </c>
      <c r="I1641" t="str">
        <f t="shared" si="311"/>
        <v>11/03/2026</v>
      </c>
      <c r="J1641" t="str">
        <f t="shared" si="314"/>
        <v>09/03/2026</v>
      </c>
      <c r="K1641" t="str">
        <f>("12/03/2026")</f>
        <v>12/03/2026</v>
      </c>
      <c r="L1641">
        <v>3427.2</v>
      </c>
      <c r="M1641">
        <v>3427.2</v>
      </c>
      <c r="N1641">
        <v>303</v>
      </c>
      <c r="O1641" t="str">
        <f>"RECEITAS COM ENTREGAS"</f>
        <v>RECEITAS COM ENTREGAS</v>
      </c>
      <c r="P1641">
        <v>3427.2</v>
      </c>
      <c r="S1641" t="str">
        <f>"RECEITAS COM ENTREGAS (303)"</f>
        <v>RECEITAS COM ENTREGAS (303)</v>
      </c>
      <c r="T1641">
        <v>30586</v>
      </c>
      <c r="U1641">
        <v>34452</v>
      </c>
      <c r="V1641" t="s">
        <v>110</v>
      </c>
    </row>
    <row r="1642" spans="1:22">
      <c r="A1642" t="str">
        <f t="shared" si="307"/>
        <v>12/03/2026</v>
      </c>
      <c r="B1642" t="str">
        <f t="shared" si="308"/>
        <v>ENTRADA</v>
      </c>
      <c r="C1642" t="str">
        <f t="shared" si="309"/>
        <v>NFSE</v>
      </c>
      <c r="D1642" t="str">
        <f t="shared" si="315"/>
        <v>500</v>
      </c>
      <c r="E1642" t="str">
        <f t="shared" si="310"/>
        <v>1</v>
      </c>
      <c r="F1642" t="str">
        <f t="shared" si="306"/>
        <v>COM</v>
      </c>
      <c r="G1642" t="str">
        <f t="shared" si="316"/>
        <v>PENSE FARMA 08 (10217)</v>
      </c>
      <c r="H1642" t="s">
        <v>581</v>
      </c>
      <c r="I1642" t="str">
        <f t="shared" si="311"/>
        <v>11/03/2026</v>
      </c>
      <c r="J1642" t="str">
        <f t="shared" si="314"/>
        <v>09/03/2026</v>
      </c>
      <c r="K1642">
        <v>46093</v>
      </c>
      <c r="N1642">
        <v>303</v>
      </c>
      <c r="O1642" t="s">
        <v>102</v>
      </c>
      <c r="Q1642">
        <v>683.4</v>
      </c>
      <c r="R1642" t="str">
        <f>"PENSE FARMA 08 (10217)"</f>
        <v>PENSE FARMA 08 (10217)</v>
      </c>
      <c r="S1642" t="s">
        <v>103</v>
      </c>
      <c r="T1642">
        <v>30586</v>
      </c>
      <c r="U1642">
        <v>34452</v>
      </c>
      <c r="V1642" t="s">
        <v>110</v>
      </c>
    </row>
    <row r="1643" spans="1:22">
      <c r="A1643" t="str">
        <f t="shared" si="307"/>
        <v>12/03/2026</v>
      </c>
      <c r="B1643" t="str">
        <f t="shared" si="308"/>
        <v>ENTRADA</v>
      </c>
      <c r="C1643" t="str">
        <f t="shared" si="309"/>
        <v>NFSE</v>
      </c>
      <c r="D1643" t="str">
        <f t="shared" si="315"/>
        <v>500</v>
      </c>
      <c r="E1643" t="str">
        <f t="shared" si="310"/>
        <v>1</v>
      </c>
      <c r="F1643" t="str">
        <f t="shared" si="306"/>
        <v>COM</v>
      </c>
      <c r="G1643" t="str">
        <f t="shared" si="316"/>
        <v>PENSE FARMA 08 (10217)</v>
      </c>
      <c r="H1643" t="s">
        <v>581</v>
      </c>
      <c r="I1643" t="str">
        <f t="shared" si="311"/>
        <v>11/03/2026</v>
      </c>
      <c r="J1643" t="str">
        <f t="shared" si="314"/>
        <v>09/03/2026</v>
      </c>
      <c r="K1643">
        <v>46093</v>
      </c>
      <c r="N1643">
        <v>303</v>
      </c>
      <c r="O1643" t="s">
        <v>102</v>
      </c>
      <c r="Q1643">
        <v>683.38</v>
      </c>
      <c r="R1643" t="str">
        <f>"PENSE FARMA 11 (10220)"</f>
        <v>PENSE FARMA 11 (10220)</v>
      </c>
      <c r="S1643" t="s">
        <v>103</v>
      </c>
      <c r="T1643">
        <v>30586</v>
      </c>
      <c r="U1643">
        <v>34452</v>
      </c>
      <c r="V1643" t="s">
        <v>110</v>
      </c>
    </row>
    <row r="1644" spans="1:22">
      <c r="A1644" t="str">
        <f t="shared" si="307"/>
        <v>12/03/2026</v>
      </c>
      <c r="B1644" t="str">
        <f t="shared" si="308"/>
        <v>ENTRADA</v>
      </c>
      <c r="C1644" t="str">
        <f t="shared" si="309"/>
        <v>NFSE</v>
      </c>
      <c r="D1644" t="str">
        <f t="shared" si="315"/>
        <v>500</v>
      </c>
      <c r="E1644" t="str">
        <f t="shared" si="310"/>
        <v>1</v>
      </c>
      <c r="F1644" t="str">
        <f t="shared" si="306"/>
        <v>COM</v>
      </c>
      <c r="G1644" t="str">
        <f t="shared" si="316"/>
        <v>PENSE FARMA 08 (10217)</v>
      </c>
      <c r="H1644" t="s">
        <v>581</v>
      </c>
      <c r="I1644" t="str">
        <f t="shared" si="311"/>
        <v>11/03/2026</v>
      </c>
      <c r="J1644" t="str">
        <f t="shared" si="314"/>
        <v>09/03/2026</v>
      </c>
      <c r="K1644">
        <v>46093</v>
      </c>
      <c r="N1644">
        <v>303</v>
      </c>
      <c r="O1644" t="s">
        <v>102</v>
      </c>
      <c r="Q1644">
        <v>683.38</v>
      </c>
      <c r="R1644" t="str">
        <f>"PENSE FARMA 41 (10229)"</f>
        <v>PENSE FARMA 41 (10229)</v>
      </c>
      <c r="S1644" t="s">
        <v>103</v>
      </c>
      <c r="T1644">
        <v>30586</v>
      </c>
      <c r="U1644">
        <v>34452</v>
      </c>
      <c r="V1644" t="s">
        <v>110</v>
      </c>
    </row>
    <row r="1645" spans="1:22">
      <c r="A1645" t="str">
        <f t="shared" si="307"/>
        <v>12/03/2026</v>
      </c>
      <c r="B1645" t="str">
        <f t="shared" si="308"/>
        <v>ENTRADA</v>
      </c>
      <c r="C1645" t="str">
        <f t="shared" si="309"/>
        <v>NFSE</v>
      </c>
      <c r="D1645" t="str">
        <f t="shared" si="315"/>
        <v>500</v>
      </c>
      <c r="E1645" t="str">
        <f t="shared" si="310"/>
        <v>1</v>
      </c>
      <c r="F1645" t="str">
        <f t="shared" si="306"/>
        <v>COM</v>
      </c>
      <c r="G1645" t="str">
        <f t="shared" si="316"/>
        <v>PENSE FARMA 08 (10217)</v>
      </c>
      <c r="H1645" t="s">
        <v>581</v>
      </c>
      <c r="I1645" t="str">
        <f t="shared" si="311"/>
        <v>11/03/2026</v>
      </c>
      <c r="J1645" t="str">
        <f t="shared" si="314"/>
        <v>09/03/2026</v>
      </c>
      <c r="K1645">
        <v>46093</v>
      </c>
      <c r="N1645">
        <v>303</v>
      </c>
      <c r="O1645" t="s">
        <v>102</v>
      </c>
      <c r="Q1645">
        <v>708.74</v>
      </c>
      <c r="R1645" t="str">
        <f>"PENSE FARMA 42 (10230)"</f>
        <v>PENSE FARMA 42 (10230)</v>
      </c>
      <c r="S1645" t="s">
        <v>103</v>
      </c>
      <c r="T1645">
        <v>30586</v>
      </c>
      <c r="U1645">
        <v>34452</v>
      </c>
      <c r="V1645" t="s">
        <v>110</v>
      </c>
    </row>
    <row r="1646" spans="1:22">
      <c r="A1646" t="str">
        <f t="shared" si="307"/>
        <v>12/03/2026</v>
      </c>
      <c r="B1646" t="str">
        <f t="shared" si="308"/>
        <v>ENTRADA</v>
      </c>
      <c r="C1646" t="str">
        <f t="shared" si="309"/>
        <v>NFSE</v>
      </c>
      <c r="D1646" t="str">
        <f t="shared" si="315"/>
        <v>500</v>
      </c>
      <c r="E1646" t="str">
        <f t="shared" si="310"/>
        <v>1</v>
      </c>
      <c r="F1646" t="str">
        <f t="shared" si="306"/>
        <v>COM</v>
      </c>
      <c r="G1646" t="str">
        <f t="shared" si="316"/>
        <v>PENSE FARMA 08 (10217)</v>
      </c>
      <c r="H1646" t="s">
        <v>581</v>
      </c>
      <c r="I1646" t="str">
        <f t="shared" si="311"/>
        <v>11/03/2026</v>
      </c>
      <c r="J1646" t="str">
        <f t="shared" si="314"/>
        <v>09/03/2026</v>
      </c>
      <c r="K1646">
        <v>46093</v>
      </c>
      <c r="N1646">
        <v>303</v>
      </c>
      <c r="O1646" t="s">
        <v>102</v>
      </c>
      <c r="Q1646">
        <v>668.3</v>
      </c>
      <c r="R1646" t="str">
        <f>"PENSE FARMA 52 (10236)"</f>
        <v>PENSE FARMA 52 (10236)</v>
      </c>
      <c r="S1646" t="s">
        <v>103</v>
      </c>
      <c r="T1646">
        <v>30586</v>
      </c>
      <c r="U1646">
        <v>34452</v>
      </c>
      <c r="V1646" t="s">
        <v>110</v>
      </c>
    </row>
    <row r="1647" spans="1:22">
      <c r="A1647" t="str">
        <f t="shared" si="307"/>
        <v>12/03/2026</v>
      </c>
      <c r="B1647" t="str">
        <f t="shared" si="308"/>
        <v>ENTRADA</v>
      </c>
      <c r="C1647" t="str">
        <f t="shared" si="309"/>
        <v>NFSE</v>
      </c>
      <c r="D1647" t="str">
        <f>"501"</f>
        <v>501</v>
      </c>
      <c r="E1647" t="str">
        <f t="shared" si="310"/>
        <v>1</v>
      </c>
      <c r="F1647" t="str">
        <f t="shared" si="306"/>
        <v>COM</v>
      </c>
      <c r="G1647" t="str">
        <f>"PENSE FARMA 09 (10218)"</f>
        <v>PENSE FARMA 09 (10218)</v>
      </c>
      <c r="H1647" t="str">
        <f>"Serv.Prest. 02/03/2026 a 08/03/2026 - RPS: 2429 - NFSe: 501"</f>
        <v>Serv.Prest. 02/03/2026 a 08/03/2026 - RPS: 2429 - NFSe: 501</v>
      </c>
      <c r="I1647" t="str">
        <f t="shared" si="311"/>
        <v>11/03/2026</v>
      </c>
      <c r="J1647" t="str">
        <f t="shared" si="314"/>
        <v>09/03/2026</v>
      </c>
      <c r="K1647" t="str">
        <f>("12/03/2026")</f>
        <v>12/03/2026</v>
      </c>
      <c r="L1647">
        <v>1907.06</v>
      </c>
      <c r="M1647">
        <v>1907.06</v>
      </c>
      <c r="N1647">
        <v>303</v>
      </c>
      <c r="O1647" t="str">
        <f>"RECEITAS COM ENTREGAS"</f>
        <v>RECEITAS COM ENTREGAS</v>
      </c>
      <c r="P1647">
        <v>1907.06</v>
      </c>
      <c r="S1647" t="str">
        <f>"RECEITAS COM ENTREGAS (303)"</f>
        <v>RECEITAS COM ENTREGAS (303)</v>
      </c>
      <c r="T1647">
        <v>30587</v>
      </c>
      <c r="U1647">
        <v>34465</v>
      </c>
      <c r="V1647" t="s">
        <v>110</v>
      </c>
    </row>
    <row r="1648" spans="1:22">
      <c r="A1648" t="str">
        <f t="shared" si="307"/>
        <v>12/03/2026</v>
      </c>
      <c r="B1648" t="str">
        <f t="shared" si="308"/>
        <v>ENTRADA</v>
      </c>
      <c r="C1648" t="str">
        <f t="shared" si="309"/>
        <v>NFSE</v>
      </c>
      <c r="D1648" t="str">
        <f>"501"</f>
        <v>501</v>
      </c>
      <c r="E1648" t="str">
        <f t="shared" si="310"/>
        <v>1</v>
      </c>
      <c r="F1648" t="str">
        <f t="shared" si="306"/>
        <v>COM</v>
      </c>
      <c r="G1648" t="str">
        <f>"PENSE FARMA 09 (10218)"</f>
        <v>PENSE FARMA 09 (10218)</v>
      </c>
      <c r="H1648" t="s">
        <v>582</v>
      </c>
      <c r="I1648" t="str">
        <f t="shared" si="311"/>
        <v>11/03/2026</v>
      </c>
      <c r="J1648" t="str">
        <f t="shared" si="314"/>
        <v>09/03/2026</v>
      </c>
      <c r="K1648">
        <v>46093</v>
      </c>
      <c r="N1648">
        <v>303</v>
      </c>
      <c r="O1648" t="s">
        <v>102</v>
      </c>
      <c r="Q1648">
        <v>953.53</v>
      </c>
      <c r="R1648" t="str">
        <f>"PENSE FARMA 09 (10218)"</f>
        <v>PENSE FARMA 09 (10218)</v>
      </c>
      <c r="S1648" t="s">
        <v>103</v>
      </c>
      <c r="T1648">
        <v>30587</v>
      </c>
      <c r="U1648">
        <v>34465</v>
      </c>
      <c r="V1648" t="s">
        <v>110</v>
      </c>
    </row>
    <row r="1649" spans="1:22">
      <c r="A1649" t="str">
        <f t="shared" si="307"/>
        <v>12/03/2026</v>
      </c>
      <c r="B1649" t="str">
        <f t="shared" si="308"/>
        <v>ENTRADA</v>
      </c>
      <c r="C1649" t="str">
        <f t="shared" si="309"/>
        <v>NFSE</v>
      </c>
      <c r="D1649" t="str">
        <f>"501"</f>
        <v>501</v>
      </c>
      <c r="E1649" t="str">
        <f t="shared" si="310"/>
        <v>1</v>
      </c>
      <c r="F1649" t="str">
        <f t="shared" si="306"/>
        <v>COM</v>
      </c>
      <c r="G1649" t="str">
        <f>"PENSE FARMA 09 (10218)"</f>
        <v>PENSE FARMA 09 (10218)</v>
      </c>
      <c r="H1649" t="s">
        <v>582</v>
      </c>
      <c r="I1649" t="str">
        <f t="shared" si="311"/>
        <v>11/03/2026</v>
      </c>
      <c r="J1649" t="str">
        <f t="shared" si="314"/>
        <v>09/03/2026</v>
      </c>
      <c r="K1649">
        <v>46093</v>
      </c>
      <c r="N1649">
        <v>303</v>
      </c>
      <c r="O1649" t="s">
        <v>102</v>
      </c>
      <c r="Q1649">
        <v>953.53</v>
      </c>
      <c r="R1649" t="str">
        <f>"PENSE FARMA 10 (10219)"</f>
        <v>PENSE FARMA 10 (10219)</v>
      </c>
      <c r="S1649" t="s">
        <v>103</v>
      </c>
      <c r="T1649">
        <v>30587</v>
      </c>
      <c r="U1649">
        <v>34465</v>
      </c>
      <c r="V1649" t="s">
        <v>110</v>
      </c>
    </row>
    <row r="1650" spans="1:22">
      <c r="A1650" t="str">
        <f t="shared" si="307"/>
        <v>12/03/2026</v>
      </c>
      <c r="B1650" t="str">
        <f t="shared" si="308"/>
        <v>ENTRADA</v>
      </c>
      <c r="C1650" t="str">
        <f t="shared" si="309"/>
        <v>NFSE</v>
      </c>
      <c r="D1650" t="str">
        <f>"502"</f>
        <v>502</v>
      </c>
      <c r="E1650" t="str">
        <f t="shared" si="310"/>
        <v>1</v>
      </c>
      <c r="F1650" t="str">
        <f t="shared" si="306"/>
        <v>COM</v>
      </c>
      <c r="G1650" t="str">
        <f>"PENSE FARMA 19 (10223)"</f>
        <v>PENSE FARMA 19 (10223)</v>
      </c>
      <c r="H1650" t="str">
        <f>"Serv.Prest. 02/03/2026 a 08/03/2026 - RPS: 2430 - NFSe: 502"</f>
        <v>Serv.Prest. 02/03/2026 a 08/03/2026 - RPS: 2430 - NFSe: 502</v>
      </c>
      <c r="I1650" t="str">
        <f t="shared" si="311"/>
        <v>11/03/2026</v>
      </c>
      <c r="J1650" t="str">
        <f t="shared" si="314"/>
        <v>09/03/2026</v>
      </c>
      <c r="K1650" t="str">
        <f>("12/03/2026")</f>
        <v>12/03/2026</v>
      </c>
      <c r="L1650">
        <v>2544.0500000000002</v>
      </c>
      <c r="M1650">
        <v>2544.0500000000002</v>
      </c>
      <c r="N1650">
        <v>303</v>
      </c>
      <c r="O1650" t="str">
        <f>"RECEITAS COM ENTREGAS"</f>
        <v>RECEITAS COM ENTREGAS</v>
      </c>
      <c r="P1650">
        <v>2544.0500000000002</v>
      </c>
      <c r="S1650" t="str">
        <f>"RECEITAS COM ENTREGAS (303)"</f>
        <v>RECEITAS COM ENTREGAS (303)</v>
      </c>
      <c r="T1650">
        <v>30588</v>
      </c>
      <c r="U1650">
        <v>34468</v>
      </c>
      <c r="V1650" t="s">
        <v>110</v>
      </c>
    </row>
    <row r="1651" spans="1:22">
      <c r="A1651" t="str">
        <f t="shared" si="307"/>
        <v>12/03/2026</v>
      </c>
      <c r="B1651" t="str">
        <f t="shared" si="308"/>
        <v>ENTRADA</v>
      </c>
      <c r="C1651" t="str">
        <f t="shared" si="309"/>
        <v>NFSE</v>
      </c>
      <c r="D1651" t="str">
        <f>"502"</f>
        <v>502</v>
      </c>
      <c r="E1651" t="str">
        <f t="shared" si="310"/>
        <v>1</v>
      </c>
      <c r="F1651" t="str">
        <f t="shared" si="306"/>
        <v>COM</v>
      </c>
      <c r="G1651" t="str">
        <f>"PENSE FARMA 19 (10223)"</f>
        <v>PENSE FARMA 19 (10223)</v>
      </c>
      <c r="H1651" t="s">
        <v>583</v>
      </c>
      <c r="I1651" t="str">
        <f t="shared" si="311"/>
        <v>11/03/2026</v>
      </c>
      <c r="J1651" t="str">
        <f t="shared" si="314"/>
        <v>09/03/2026</v>
      </c>
      <c r="K1651">
        <v>46093</v>
      </c>
      <c r="N1651">
        <v>303</v>
      </c>
      <c r="O1651" t="s">
        <v>102</v>
      </c>
      <c r="Q1651">
        <v>2544.0500000000002</v>
      </c>
      <c r="R1651" t="str">
        <f>"PENSE FARMA 19 (10223)"</f>
        <v>PENSE FARMA 19 (10223)</v>
      </c>
      <c r="S1651" t="s">
        <v>103</v>
      </c>
      <c r="T1651">
        <v>30588</v>
      </c>
      <c r="U1651">
        <v>34468</v>
      </c>
      <c r="V1651" t="s">
        <v>110</v>
      </c>
    </row>
    <row r="1652" spans="1:22">
      <c r="A1652" t="str">
        <f t="shared" si="307"/>
        <v>12/03/2026</v>
      </c>
      <c r="B1652" t="str">
        <f t="shared" si="308"/>
        <v>ENTRADA</v>
      </c>
      <c r="C1652" t="str">
        <f t="shared" si="309"/>
        <v>NFSE</v>
      </c>
      <c r="D1652" t="str">
        <f>"503"</f>
        <v>503</v>
      </c>
      <c r="E1652" t="str">
        <f t="shared" si="310"/>
        <v>1</v>
      </c>
      <c r="F1652" t="str">
        <f t="shared" si="306"/>
        <v>COM</v>
      </c>
      <c r="G1652" t="str">
        <f>"PENSE FARMA 22 (10198)"</f>
        <v>PENSE FARMA 22 (10198)</v>
      </c>
      <c r="H1652" t="str">
        <f>"Serv.Prest. 02/03/2026 a 08/03/2026 - RPS: 2431 - NFSe: 503"</f>
        <v>Serv.Prest. 02/03/2026 a 08/03/2026 - RPS: 2431 - NFSe: 503</v>
      </c>
      <c r="I1652" t="str">
        <f t="shared" si="311"/>
        <v>11/03/2026</v>
      </c>
      <c r="J1652" t="str">
        <f t="shared" si="314"/>
        <v>09/03/2026</v>
      </c>
      <c r="K1652" t="str">
        <f>("12/03/2026")</f>
        <v>12/03/2026</v>
      </c>
      <c r="L1652">
        <v>4394.88</v>
      </c>
      <c r="M1652">
        <v>4394.88</v>
      </c>
      <c r="N1652">
        <v>303</v>
      </c>
      <c r="O1652" t="str">
        <f>"RECEITAS COM ENTREGAS"</f>
        <v>RECEITAS COM ENTREGAS</v>
      </c>
      <c r="P1652">
        <v>4394.88</v>
      </c>
      <c r="S1652" t="str">
        <f>"RECEITAS COM ENTREGAS (303)"</f>
        <v>RECEITAS COM ENTREGAS (303)</v>
      </c>
      <c r="T1652">
        <v>30589</v>
      </c>
      <c r="U1652">
        <v>34471</v>
      </c>
      <c r="V1652" t="s">
        <v>110</v>
      </c>
    </row>
    <row r="1653" spans="1:22">
      <c r="A1653" t="str">
        <f t="shared" si="307"/>
        <v>12/03/2026</v>
      </c>
      <c r="B1653" t="str">
        <f t="shared" si="308"/>
        <v>ENTRADA</v>
      </c>
      <c r="C1653" t="str">
        <f t="shared" si="309"/>
        <v>NFSE</v>
      </c>
      <c r="D1653" t="str">
        <f>"503"</f>
        <v>503</v>
      </c>
      <c r="E1653" t="str">
        <f t="shared" si="310"/>
        <v>1</v>
      </c>
      <c r="F1653" t="str">
        <f t="shared" si="306"/>
        <v>COM</v>
      </c>
      <c r="G1653" t="str">
        <f>"PENSE FARMA 22 (10198)"</f>
        <v>PENSE FARMA 22 (10198)</v>
      </c>
      <c r="H1653" t="s">
        <v>584</v>
      </c>
      <c r="I1653" t="str">
        <f t="shared" si="311"/>
        <v>11/03/2026</v>
      </c>
      <c r="J1653" t="str">
        <f t="shared" si="314"/>
        <v>09/03/2026</v>
      </c>
      <c r="K1653">
        <v>46093</v>
      </c>
      <c r="N1653">
        <v>303</v>
      </c>
      <c r="O1653" t="s">
        <v>102</v>
      </c>
      <c r="Q1653">
        <v>4394.88</v>
      </c>
      <c r="R1653" t="str">
        <f>"PENSE FARMA 22 (10198)"</f>
        <v>PENSE FARMA 22 (10198)</v>
      </c>
      <c r="S1653" t="s">
        <v>103</v>
      </c>
      <c r="T1653">
        <v>30589</v>
      </c>
      <c r="U1653">
        <v>34471</v>
      </c>
      <c r="V1653" t="s">
        <v>110</v>
      </c>
    </row>
    <row r="1654" spans="1:22">
      <c r="A1654" t="str">
        <f t="shared" si="307"/>
        <v>12/03/2026</v>
      </c>
      <c r="B1654" t="str">
        <f t="shared" si="308"/>
        <v>ENTRADA</v>
      </c>
      <c r="C1654" t="str">
        <f t="shared" si="309"/>
        <v>NFSE</v>
      </c>
      <c r="D1654" t="str">
        <f>"504"</f>
        <v>504</v>
      </c>
      <c r="E1654" t="str">
        <f t="shared" si="310"/>
        <v>1</v>
      </c>
      <c r="F1654" t="str">
        <f t="shared" si="306"/>
        <v>COM</v>
      </c>
      <c r="G1654" t="str">
        <f>"PENSE FARMA 35 (10227)"</f>
        <v>PENSE FARMA 35 (10227)</v>
      </c>
      <c r="H1654" t="str">
        <f>"Serv.Prest. 02/03/2026 a 08/03/2026 - RPS: 2432 - NFSe: 504"</f>
        <v>Serv.Prest. 02/03/2026 a 08/03/2026 - RPS: 2432 - NFSe: 504</v>
      </c>
      <c r="I1654" t="str">
        <f t="shared" si="311"/>
        <v>11/03/2026</v>
      </c>
      <c r="J1654" t="str">
        <f t="shared" si="314"/>
        <v>09/03/2026</v>
      </c>
      <c r="K1654" t="str">
        <f>("12/03/2026")</f>
        <v>12/03/2026</v>
      </c>
      <c r="L1654">
        <v>971.55</v>
      </c>
      <c r="M1654">
        <v>971.55</v>
      </c>
      <c r="N1654">
        <v>303</v>
      </c>
      <c r="O1654" t="str">
        <f>"RECEITAS COM ENTREGAS"</f>
        <v>RECEITAS COM ENTREGAS</v>
      </c>
      <c r="P1654">
        <v>971.55</v>
      </c>
      <c r="S1654" t="str">
        <f>"RECEITAS COM ENTREGAS (303)"</f>
        <v>RECEITAS COM ENTREGAS (303)</v>
      </c>
      <c r="T1654">
        <v>30590</v>
      </c>
      <c r="U1654">
        <v>34475</v>
      </c>
      <c r="V1654" t="s">
        <v>110</v>
      </c>
    </row>
    <row r="1655" spans="1:22">
      <c r="A1655" t="str">
        <f t="shared" si="307"/>
        <v>12/03/2026</v>
      </c>
      <c r="B1655" t="str">
        <f t="shared" si="308"/>
        <v>ENTRADA</v>
      </c>
      <c r="C1655" t="str">
        <f t="shared" si="309"/>
        <v>NFSE</v>
      </c>
      <c r="D1655" t="str">
        <f>"504"</f>
        <v>504</v>
      </c>
      <c r="E1655" t="str">
        <f t="shared" si="310"/>
        <v>1</v>
      </c>
      <c r="F1655" t="str">
        <f t="shared" si="306"/>
        <v>COM</v>
      </c>
      <c r="G1655" t="str">
        <f>"PENSE FARMA 35 (10227)"</f>
        <v>PENSE FARMA 35 (10227)</v>
      </c>
      <c r="H1655" t="s">
        <v>585</v>
      </c>
      <c r="I1655" t="str">
        <f t="shared" si="311"/>
        <v>11/03/2026</v>
      </c>
      <c r="J1655" t="str">
        <f t="shared" si="314"/>
        <v>09/03/2026</v>
      </c>
      <c r="K1655">
        <v>46093</v>
      </c>
      <c r="N1655">
        <v>303</v>
      </c>
      <c r="O1655" t="s">
        <v>102</v>
      </c>
      <c r="Q1655">
        <v>971.55</v>
      </c>
      <c r="R1655" t="str">
        <f>"PENSE FARMA 35 (10227)"</f>
        <v>PENSE FARMA 35 (10227)</v>
      </c>
      <c r="S1655" t="s">
        <v>103</v>
      </c>
      <c r="T1655">
        <v>30590</v>
      </c>
      <c r="U1655">
        <v>34475</v>
      </c>
      <c r="V1655" t="s">
        <v>110</v>
      </c>
    </row>
    <row r="1656" spans="1:22">
      <c r="A1656" t="str">
        <f t="shared" si="307"/>
        <v>12/03/2026</v>
      </c>
      <c r="B1656" t="str">
        <f t="shared" ref="B1656:B1719" si="317">"SAÍDA"</f>
        <v>SAÍDA</v>
      </c>
      <c r="C1656" t="str">
        <f t="shared" ref="C1656:C1687" si="318">"PIX"</f>
        <v>PIX</v>
      </c>
      <c r="D1656" t="str">
        <f>"34712"</f>
        <v>34712</v>
      </c>
      <c r="E1656" t="str">
        <f t="shared" si="310"/>
        <v>1</v>
      </c>
      <c r="F1656" t="str">
        <f t="shared" si="306"/>
        <v>COM</v>
      </c>
      <c r="G1656" t="str">
        <f t="shared" ref="G1656:G1669" si="319">"ALYSSON HENRIQUE SOARES DE ARA??JO (1336)"</f>
        <v>ALYSSON HENRIQUE SOARES DE ARA??JO (1336)</v>
      </c>
      <c r="H1656" t="str">
        <f>"Serv.Prest. 02/03/2026 a 08/03/2026 - PIX: CPF - CHAVE: 116.683.686-09"</f>
        <v>Serv.Prest. 02/03/2026 a 08/03/2026 - PIX: CPF - CHAVE: 116.683.686-09</v>
      </c>
      <c r="I1656" t="str">
        <f t="shared" ref="I1656:I1669" si="320">("19/03/2026")</f>
        <v>19/03/2026</v>
      </c>
      <c r="J1656" t="str">
        <f t="shared" ref="J1656:J1669" si="321">("11/03/2026")</f>
        <v>11/03/2026</v>
      </c>
      <c r="K1656" t="str">
        <f>("12/03/2026")</f>
        <v>12/03/2026</v>
      </c>
      <c r="L1656">
        <v>18</v>
      </c>
      <c r="M1656">
        <v>18</v>
      </c>
      <c r="N1656">
        <v>109</v>
      </c>
      <c r="O1656" t="str">
        <f>"PAGAMENTO DE ENTREGADORES"</f>
        <v>PAGAMENTO DE ENTREGADORES</v>
      </c>
      <c r="P1656">
        <v>18</v>
      </c>
      <c r="S1656" t="str">
        <f>"BANCO CORA (102)"</f>
        <v>BANCO CORA (102)</v>
      </c>
      <c r="T1656">
        <v>30595</v>
      </c>
      <c r="U1656">
        <v>34712</v>
      </c>
      <c r="V1656" t="s">
        <v>33</v>
      </c>
    </row>
    <row r="1657" spans="1:22">
      <c r="A1657" t="str">
        <f t="shared" si="307"/>
        <v>12/03/2026</v>
      </c>
      <c r="B1657" t="str">
        <f t="shared" si="317"/>
        <v>SAÍDA</v>
      </c>
      <c r="C1657" t="str">
        <f t="shared" si="318"/>
        <v>PIX</v>
      </c>
      <c r="D1657" t="str">
        <f>"34712"</f>
        <v>34712</v>
      </c>
      <c r="E1657" t="str">
        <f t="shared" ref="E1657:E1671" si="322">"1"</f>
        <v>1</v>
      </c>
      <c r="F1657" t="str">
        <f t="shared" si="306"/>
        <v>COM</v>
      </c>
      <c r="G1657" t="str">
        <f t="shared" si="319"/>
        <v>ALYSSON HENRIQUE SOARES DE ARA??JO (1336)</v>
      </c>
      <c r="H1657" t="s">
        <v>586</v>
      </c>
      <c r="I1657" t="str">
        <f t="shared" si="320"/>
        <v>19/03/2026</v>
      </c>
      <c r="J1657" t="str">
        <f t="shared" si="321"/>
        <v>11/03/2026</v>
      </c>
      <c r="K1657">
        <v>46093</v>
      </c>
      <c r="N1657">
        <v>109</v>
      </c>
      <c r="O1657" t="s">
        <v>27</v>
      </c>
      <c r="Q1657">
        <v>18</v>
      </c>
      <c r="R1657" t="str">
        <f>"PAGUE MENOS 306 (10298)"</f>
        <v>PAGUE MENOS 306 (10298)</v>
      </c>
      <c r="S1657" t="s">
        <v>33</v>
      </c>
      <c r="T1657">
        <v>30595</v>
      </c>
      <c r="U1657">
        <v>34712</v>
      </c>
      <c r="V1657" t="s">
        <v>33</v>
      </c>
    </row>
    <row r="1658" spans="1:22">
      <c r="A1658" t="str">
        <f t="shared" si="307"/>
        <v>12/03/2026</v>
      </c>
      <c r="B1658" t="str">
        <f t="shared" si="317"/>
        <v>SAÍDA</v>
      </c>
      <c r="C1658" t="str">
        <f t="shared" si="318"/>
        <v>PIX</v>
      </c>
      <c r="D1658" t="str">
        <f>"34713"</f>
        <v>34713</v>
      </c>
      <c r="E1658" t="str">
        <f t="shared" si="322"/>
        <v>1</v>
      </c>
      <c r="F1658" t="str">
        <f t="shared" si="306"/>
        <v>COM</v>
      </c>
      <c r="G1658" t="str">
        <f t="shared" si="319"/>
        <v>ALYSSON HENRIQUE SOARES DE ARA??JO (1336)</v>
      </c>
      <c r="H1658" t="str">
        <f>"Serv.Prest. 02/03/2026 a 08/03/2026 - PIX: CPF - CHAVE: 116.683.686-09"</f>
        <v>Serv.Prest. 02/03/2026 a 08/03/2026 - PIX: CPF - CHAVE: 116.683.686-09</v>
      </c>
      <c r="I1658" t="str">
        <f t="shared" si="320"/>
        <v>19/03/2026</v>
      </c>
      <c r="J1658" t="str">
        <f t="shared" si="321"/>
        <v>11/03/2026</v>
      </c>
      <c r="K1658" t="str">
        <f>("12/03/2026")</f>
        <v>12/03/2026</v>
      </c>
      <c r="L1658">
        <v>6</v>
      </c>
      <c r="M1658">
        <v>6</v>
      </c>
      <c r="N1658">
        <v>109</v>
      </c>
      <c r="O1658" t="str">
        <f>"PAGAMENTO DE ENTREGADORES"</f>
        <v>PAGAMENTO DE ENTREGADORES</v>
      </c>
      <c r="P1658">
        <v>6</v>
      </c>
      <c r="S1658" t="str">
        <f>"CAIXA MOVIMENTAÇÃO OPERACIONAL (132)"</f>
        <v>CAIXA MOVIMENTAÇÃO OPERACIONAL (132)</v>
      </c>
      <c r="T1658">
        <v>30596</v>
      </c>
      <c r="U1658">
        <v>34713</v>
      </c>
      <c r="V1658" t="s">
        <v>22</v>
      </c>
    </row>
    <row r="1659" spans="1:22">
      <c r="A1659" t="str">
        <f t="shared" si="307"/>
        <v>12/03/2026</v>
      </c>
      <c r="B1659" t="str">
        <f t="shared" si="317"/>
        <v>SAÍDA</v>
      </c>
      <c r="C1659" t="str">
        <f t="shared" si="318"/>
        <v>PIX</v>
      </c>
      <c r="D1659" t="str">
        <f>"34713"</f>
        <v>34713</v>
      </c>
      <c r="E1659" t="str">
        <f t="shared" si="322"/>
        <v>1</v>
      </c>
      <c r="F1659" t="str">
        <f t="shared" si="306"/>
        <v>COM</v>
      </c>
      <c r="G1659" t="str">
        <f t="shared" si="319"/>
        <v>ALYSSON HENRIQUE SOARES DE ARA??JO (1336)</v>
      </c>
      <c r="H1659" t="s">
        <v>586</v>
      </c>
      <c r="I1659" t="str">
        <f t="shared" si="320"/>
        <v>19/03/2026</v>
      </c>
      <c r="J1659" t="str">
        <f t="shared" si="321"/>
        <v>11/03/2026</v>
      </c>
      <c r="K1659">
        <v>46093</v>
      </c>
      <c r="N1659">
        <v>109</v>
      </c>
      <c r="O1659" t="s">
        <v>27</v>
      </c>
      <c r="Q1659">
        <v>6</v>
      </c>
      <c r="R1659" t="str">
        <f>"PAGUE MENOS 1359 (10313)"</f>
        <v>PAGUE MENOS 1359 (10313)</v>
      </c>
      <c r="S1659" t="s">
        <v>22</v>
      </c>
      <c r="T1659">
        <v>30596</v>
      </c>
      <c r="U1659">
        <v>34713</v>
      </c>
      <c r="V1659" t="s">
        <v>22</v>
      </c>
    </row>
    <row r="1660" spans="1:22">
      <c r="A1660" t="str">
        <f t="shared" si="307"/>
        <v>12/03/2026</v>
      </c>
      <c r="B1660" t="str">
        <f t="shared" si="317"/>
        <v>SAÍDA</v>
      </c>
      <c r="C1660" t="str">
        <f t="shared" si="318"/>
        <v>PIX</v>
      </c>
      <c r="D1660" t="str">
        <f>"34714"</f>
        <v>34714</v>
      </c>
      <c r="E1660" t="str">
        <f t="shared" si="322"/>
        <v>1</v>
      </c>
      <c r="F1660" t="str">
        <f t="shared" si="306"/>
        <v>COM</v>
      </c>
      <c r="G1660" t="str">
        <f t="shared" si="319"/>
        <v>ALYSSON HENRIQUE SOARES DE ARA??JO (1336)</v>
      </c>
      <c r="H1660" t="str">
        <f>"Serv.Prest. 02/03/2026 a 08/03/2026 - PIX: CPF - CHAVE: 116.683.686-09"</f>
        <v>Serv.Prest. 02/03/2026 a 08/03/2026 - PIX: CPF - CHAVE: 116.683.686-09</v>
      </c>
      <c r="I1660" t="str">
        <f t="shared" si="320"/>
        <v>19/03/2026</v>
      </c>
      <c r="J1660" t="str">
        <f t="shared" si="321"/>
        <v>11/03/2026</v>
      </c>
      <c r="K1660" t="str">
        <f>("12/03/2026")</f>
        <v>12/03/2026</v>
      </c>
      <c r="L1660">
        <v>6</v>
      </c>
      <c r="M1660">
        <v>6</v>
      </c>
      <c r="N1660">
        <v>109</v>
      </c>
      <c r="O1660" t="str">
        <f>"PAGAMENTO DE ENTREGADORES"</f>
        <v>PAGAMENTO DE ENTREGADORES</v>
      </c>
      <c r="P1660">
        <v>6</v>
      </c>
      <c r="S1660" t="str">
        <f>"BANCO CORA (102)"</f>
        <v>BANCO CORA (102)</v>
      </c>
      <c r="T1660">
        <v>30597</v>
      </c>
      <c r="U1660">
        <v>34714</v>
      </c>
      <c r="V1660" t="s">
        <v>33</v>
      </c>
    </row>
    <row r="1661" spans="1:22">
      <c r="A1661" t="str">
        <f t="shared" si="307"/>
        <v>12/03/2026</v>
      </c>
      <c r="B1661" t="str">
        <f t="shared" si="317"/>
        <v>SAÍDA</v>
      </c>
      <c r="C1661" t="str">
        <f t="shared" si="318"/>
        <v>PIX</v>
      </c>
      <c r="D1661" t="str">
        <f>"34714"</f>
        <v>34714</v>
      </c>
      <c r="E1661" t="str">
        <f t="shared" si="322"/>
        <v>1</v>
      </c>
      <c r="F1661" t="str">
        <f t="shared" si="306"/>
        <v>COM</v>
      </c>
      <c r="G1661" t="str">
        <f t="shared" si="319"/>
        <v>ALYSSON HENRIQUE SOARES DE ARA??JO (1336)</v>
      </c>
      <c r="H1661" t="s">
        <v>586</v>
      </c>
      <c r="I1661" t="str">
        <f t="shared" si="320"/>
        <v>19/03/2026</v>
      </c>
      <c r="J1661" t="str">
        <f t="shared" si="321"/>
        <v>11/03/2026</v>
      </c>
      <c r="K1661">
        <v>46093</v>
      </c>
      <c r="N1661">
        <v>109</v>
      </c>
      <c r="O1661" t="s">
        <v>27</v>
      </c>
      <c r="Q1661">
        <v>6</v>
      </c>
      <c r="R1661" t="str">
        <f>"PAGUE MENOS 1327 (10312)"</f>
        <v>PAGUE MENOS 1327 (10312)</v>
      </c>
      <c r="S1661" t="s">
        <v>33</v>
      </c>
      <c r="T1661">
        <v>30597</v>
      </c>
      <c r="U1661">
        <v>34714</v>
      </c>
      <c r="V1661" t="s">
        <v>33</v>
      </c>
    </row>
    <row r="1662" spans="1:22">
      <c r="A1662" t="str">
        <f t="shared" si="307"/>
        <v>12/03/2026</v>
      </c>
      <c r="B1662" t="str">
        <f t="shared" si="317"/>
        <v>SAÍDA</v>
      </c>
      <c r="C1662" t="str">
        <f t="shared" si="318"/>
        <v>PIX</v>
      </c>
      <c r="D1662" t="str">
        <f>"34715"</f>
        <v>34715</v>
      </c>
      <c r="E1662" t="str">
        <f t="shared" si="322"/>
        <v>1</v>
      </c>
      <c r="F1662" t="str">
        <f t="shared" si="306"/>
        <v>COM</v>
      </c>
      <c r="G1662" t="str">
        <f t="shared" si="319"/>
        <v>ALYSSON HENRIQUE SOARES DE ARA??JO (1336)</v>
      </c>
      <c r="H1662" t="str">
        <f>"Serv.Prest. 02/03/2026 a 08/03/2026 - PIX: CPF - CHAVE: 116.683.686-09"</f>
        <v>Serv.Prest. 02/03/2026 a 08/03/2026 - PIX: CPF - CHAVE: 116.683.686-09</v>
      </c>
      <c r="I1662" t="str">
        <f t="shared" si="320"/>
        <v>19/03/2026</v>
      </c>
      <c r="J1662" t="str">
        <f t="shared" si="321"/>
        <v>11/03/2026</v>
      </c>
      <c r="K1662" t="str">
        <f>("12/03/2026")</f>
        <v>12/03/2026</v>
      </c>
      <c r="L1662">
        <v>6</v>
      </c>
      <c r="M1662">
        <v>6</v>
      </c>
      <c r="N1662">
        <v>109</v>
      </c>
      <c r="O1662" t="str">
        <f>"PAGAMENTO DE ENTREGADORES"</f>
        <v>PAGAMENTO DE ENTREGADORES</v>
      </c>
      <c r="P1662">
        <v>6</v>
      </c>
      <c r="S1662" t="str">
        <f>"BANCO CORA (102)"</f>
        <v>BANCO CORA (102)</v>
      </c>
      <c r="T1662">
        <v>30598</v>
      </c>
      <c r="U1662">
        <v>34715</v>
      </c>
      <c r="V1662" t="s">
        <v>33</v>
      </c>
    </row>
    <row r="1663" spans="1:22">
      <c r="A1663" t="str">
        <f t="shared" si="307"/>
        <v>12/03/2026</v>
      </c>
      <c r="B1663" t="str">
        <f t="shared" si="317"/>
        <v>SAÍDA</v>
      </c>
      <c r="C1663" t="str">
        <f t="shared" si="318"/>
        <v>PIX</v>
      </c>
      <c r="D1663" t="str">
        <f>"34715"</f>
        <v>34715</v>
      </c>
      <c r="E1663" t="str">
        <f t="shared" si="322"/>
        <v>1</v>
      </c>
      <c r="F1663" t="str">
        <f t="shared" si="306"/>
        <v>COM</v>
      </c>
      <c r="G1663" t="str">
        <f t="shared" si="319"/>
        <v>ALYSSON HENRIQUE SOARES DE ARA??JO (1336)</v>
      </c>
      <c r="H1663" t="s">
        <v>586</v>
      </c>
      <c r="I1663" t="str">
        <f t="shared" si="320"/>
        <v>19/03/2026</v>
      </c>
      <c r="J1663" t="str">
        <f t="shared" si="321"/>
        <v>11/03/2026</v>
      </c>
      <c r="K1663">
        <v>46093</v>
      </c>
      <c r="N1663">
        <v>109</v>
      </c>
      <c r="O1663" t="s">
        <v>27</v>
      </c>
      <c r="Q1663">
        <v>6</v>
      </c>
      <c r="R1663" t="str">
        <f>"PAGUE MENOS 1195 (10310)"</f>
        <v>PAGUE MENOS 1195 (10310)</v>
      </c>
      <c r="S1663" t="s">
        <v>33</v>
      </c>
      <c r="T1663">
        <v>30598</v>
      </c>
      <c r="U1663">
        <v>34715</v>
      </c>
      <c r="V1663" t="s">
        <v>33</v>
      </c>
    </row>
    <row r="1664" spans="1:22">
      <c r="A1664" t="str">
        <f t="shared" si="307"/>
        <v>12/03/2026</v>
      </c>
      <c r="B1664" t="str">
        <f t="shared" si="317"/>
        <v>SAÍDA</v>
      </c>
      <c r="C1664" t="str">
        <f t="shared" si="318"/>
        <v>PIX</v>
      </c>
      <c r="D1664" t="str">
        <f>"34719"</f>
        <v>34719</v>
      </c>
      <c r="E1664" t="str">
        <f t="shared" si="322"/>
        <v>1</v>
      </c>
      <c r="F1664" t="str">
        <f t="shared" si="306"/>
        <v>COM</v>
      </c>
      <c r="G1664" t="str">
        <f t="shared" si="319"/>
        <v>ALYSSON HENRIQUE SOARES DE ARA??JO (1336)</v>
      </c>
      <c r="H1664" t="str">
        <f>"Serv.Prest. 02/03/2026 a 08/03/2026 - PIX: CPF - CHAVE: 116.683.686-09"</f>
        <v>Serv.Prest. 02/03/2026 a 08/03/2026 - PIX: CPF - CHAVE: 116.683.686-09</v>
      </c>
      <c r="I1664" t="str">
        <f t="shared" si="320"/>
        <v>19/03/2026</v>
      </c>
      <c r="J1664" t="str">
        <f t="shared" si="321"/>
        <v>11/03/2026</v>
      </c>
      <c r="K1664" t="str">
        <f>("12/03/2026")</f>
        <v>12/03/2026</v>
      </c>
      <c r="L1664">
        <v>12</v>
      </c>
      <c r="M1664">
        <v>12</v>
      </c>
      <c r="N1664">
        <v>109</v>
      </c>
      <c r="O1664" t="str">
        <f>"PAGAMENTO DE ENTREGADORES"</f>
        <v>PAGAMENTO DE ENTREGADORES</v>
      </c>
      <c r="P1664">
        <v>12</v>
      </c>
      <c r="S1664" t="str">
        <f>"BANCO CORA (102)"</f>
        <v>BANCO CORA (102)</v>
      </c>
      <c r="T1664">
        <v>30599</v>
      </c>
      <c r="U1664">
        <v>34719</v>
      </c>
      <c r="V1664" t="s">
        <v>33</v>
      </c>
    </row>
    <row r="1665" spans="1:22">
      <c r="A1665" t="str">
        <f t="shared" si="307"/>
        <v>12/03/2026</v>
      </c>
      <c r="B1665" t="str">
        <f t="shared" si="317"/>
        <v>SAÍDA</v>
      </c>
      <c r="C1665" t="str">
        <f t="shared" si="318"/>
        <v>PIX</v>
      </c>
      <c r="D1665" t="str">
        <f>"34719"</f>
        <v>34719</v>
      </c>
      <c r="E1665" t="str">
        <f t="shared" si="322"/>
        <v>1</v>
      </c>
      <c r="F1665" t="str">
        <f t="shared" si="306"/>
        <v>COM</v>
      </c>
      <c r="G1665" t="str">
        <f t="shared" si="319"/>
        <v>ALYSSON HENRIQUE SOARES DE ARA??JO (1336)</v>
      </c>
      <c r="H1665" t="s">
        <v>586</v>
      </c>
      <c r="I1665" t="str">
        <f t="shared" si="320"/>
        <v>19/03/2026</v>
      </c>
      <c r="J1665" t="str">
        <f t="shared" si="321"/>
        <v>11/03/2026</v>
      </c>
      <c r="K1665">
        <v>46093</v>
      </c>
      <c r="N1665">
        <v>109</v>
      </c>
      <c r="O1665" t="s">
        <v>27</v>
      </c>
      <c r="Q1665">
        <v>12</v>
      </c>
      <c r="R1665" t="str">
        <f>"PAGUE MENOS 548 (10303)"</f>
        <v>PAGUE MENOS 548 (10303)</v>
      </c>
      <c r="S1665" t="s">
        <v>33</v>
      </c>
      <c r="T1665">
        <v>30599</v>
      </c>
      <c r="U1665">
        <v>34719</v>
      </c>
      <c r="V1665" t="s">
        <v>33</v>
      </c>
    </row>
    <row r="1666" spans="1:22">
      <c r="A1666" t="str">
        <f t="shared" si="307"/>
        <v>12/03/2026</v>
      </c>
      <c r="B1666" t="str">
        <f t="shared" si="317"/>
        <v>SAÍDA</v>
      </c>
      <c r="C1666" t="str">
        <f t="shared" si="318"/>
        <v>PIX</v>
      </c>
      <c r="D1666" t="str">
        <f>"34718"</f>
        <v>34718</v>
      </c>
      <c r="E1666" t="str">
        <f t="shared" si="322"/>
        <v>1</v>
      </c>
      <c r="F1666" t="str">
        <f t="shared" ref="F1666:F1729" si="323">"COM"</f>
        <v>COM</v>
      </c>
      <c r="G1666" t="str">
        <f t="shared" si="319"/>
        <v>ALYSSON HENRIQUE SOARES DE ARA??JO (1336)</v>
      </c>
      <c r="H1666" t="str">
        <f>"Serv.Prest. 02/03/2026 a 08/03/2026 - PIX: CPF - CHAVE: 116.683.686-09"</f>
        <v>Serv.Prest. 02/03/2026 a 08/03/2026 - PIX: CPF - CHAVE: 116.683.686-09</v>
      </c>
      <c r="I1666" t="str">
        <f t="shared" si="320"/>
        <v>19/03/2026</v>
      </c>
      <c r="J1666" t="str">
        <f t="shared" si="321"/>
        <v>11/03/2026</v>
      </c>
      <c r="K1666" t="str">
        <f>("12/03/2026")</f>
        <v>12/03/2026</v>
      </c>
      <c r="L1666">
        <v>12</v>
      </c>
      <c r="M1666">
        <v>12</v>
      </c>
      <c r="N1666">
        <v>109</v>
      </c>
      <c r="O1666" t="str">
        <f>"PAGAMENTO DE ENTREGADORES"</f>
        <v>PAGAMENTO DE ENTREGADORES</v>
      </c>
      <c r="P1666">
        <v>12</v>
      </c>
      <c r="S1666" t="str">
        <f>"BANCO CORA (102)"</f>
        <v>BANCO CORA (102)</v>
      </c>
      <c r="T1666">
        <v>30600</v>
      </c>
      <c r="U1666">
        <v>34718</v>
      </c>
      <c r="V1666" t="s">
        <v>33</v>
      </c>
    </row>
    <row r="1667" spans="1:22">
      <c r="A1667" t="str">
        <f t="shared" si="307"/>
        <v>12/03/2026</v>
      </c>
      <c r="B1667" t="str">
        <f t="shared" si="317"/>
        <v>SAÍDA</v>
      </c>
      <c r="C1667" t="str">
        <f t="shared" si="318"/>
        <v>PIX</v>
      </c>
      <c r="D1667" t="str">
        <f>"34718"</f>
        <v>34718</v>
      </c>
      <c r="E1667" t="str">
        <f t="shared" si="322"/>
        <v>1</v>
      </c>
      <c r="F1667" t="str">
        <f t="shared" si="323"/>
        <v>COM</v>
      </c>
      <c r="G1667" t="str">
        <f t="shared" si="319"/>
        <v>ALYSSON HENRIQUE SOARES DE ARA??JO (1336)</v>
      </c>
      <c r="H1667" t="s">
        <v>586</v>
      </c>
      <c r="I1667" t="str">
        <f t="shared" si="320"/>
        <v>19/03/2026</v>
      </c>
      <c r="J1667" t="str">
        <f t="shared" si="321"/>
        <v>11/03/2026</v>
      </c>
      <c r="K1667">
        <v>46093</v>
      </c>
      <c r="N1667">
        <v>109</v>
      </c>
      <c r="O1667" t="s">
        <v>27</v>
      </c>
      <c r="Q1667">
        <v>12</v>
      </c>
      <c r="R1667" t="str">
        <f>"PAGUE MENOS 751 (10304)"</f>
        <v>PAGUE MENOS 751 (10304)</v>
      </c>
      <c r="S1667" t="s">
        <v>33</v>
      </c>
      <c r="T1667">
        <v>30600</v>
      </c>
      <c r="U1667">
        <v>34718</v>
      </c>
      <c r="V1667" t="s">
        <v>33</v>
      </c>
    </row>
    <row r="1668" spans="1:22">
      <c r="A1668" t="str">
        <f t="shared" si="307"/>
        <v>12/03/2026</v>
      </c>
      <c r="B1668" t="str">
        <f t="shared" si="317"/>
        <v>SAÍDA</v>
      </c>
      <c r="C1668" t="str">
        <f t="shared" si="318"/>
        <v>PIX</v>
      </c>
      <c r="D1668" t="str">
        <f>"34720"</f>
        <v>34720</v>
      </c>
      <c r="E1668" t="str">
        <f t="shared" si="322"/>
        <v>1</v>
      </c>
      <c r="F1668" t="str">
        <f t="shared" si="323"/>
        <v>COM</v>
      </c>
      <c r="G1668" t="str">
        <f t="shared" si="319"/>
        <v>ALYSSON HENRIQUE SOARES DE ARA??JO (1336)</v>
      </c>
      <c r="H1668" t="str">
        <f>"Serv.Prest. 02/03/2026 a 08/03/2026 - PIX: CPF - CHAVE: 116.683.686-09"</f>
        <v>Serv.Prest. 02/03/2026 a 08/03/2026 - PIX: CPF - CHAVE: 116.683.686-09</v>
      </c>
      <c r="I1668" t="str">
        <f t="shared" si="320"/>
        <v>19/03/2026</v>
      </c>
      <c r="J1668" t="str">
        <f t="shared" si="321"/>
        <v>11/03/2026</v>
      </c>
      <c r="K1668" t="str">
        <f>("12/03/2026")</f>
        <v>12/03/2026</v>
      </c>
      <c r="L1668">
        <v>140</v>
      </c>
      <c r="M1668">
        <v>140</v>
      </c>
      <c r="N1668">
        <v>109</v>
      </c>
      <c r="O1668" t="str">
        <f>"PAGAMENTO DE ENTREGADORES"</f>
        <v>PAGAMENTO DE ENTREGADORES</v>
      </c>
      <c r="P1668">
        <v>140</v>
      </c>
      <c r="S1668" t="str">
        <f>"BANCO CORA (102)"</f>
        <v>BANCO CORA (102)</v>
      </c>
      <c r="T1668">
        <v>30601</v>
      </c>
      <c r="U1668">
        <v>34823</v>
      </c>
      <c r="V1668" t="s">
        <v>33</v>
      </c>
    </row>
    <row r="1669" spans="1:22">
      <c r="A1669" t="str">
        <f t="shared" si="307"/>
        <v>12/03/2026</v>
      </c>
      <c r="B1669" t="str">
        <f t="shared" si="317"/>
        <v>SAÍDA</v>
      </c>
      <c r="C1669" t="str">
        <f t="shared" si="318"/>
        <v>PIX</v>
      </c>
      <c r="D1669" t="str">
        <f>"34720"</f>
        <v>34720</v>
      </c>
      <c r="E1669" t="str">
        <f t="shared" si="322"/>
        <v>1</v>
      </c>
      <c r="F1669" t="str">
        <f t="shared" si="323"/>
        <v>COM</v>
      </c>
      <c r="G1669" t="str">
        <f t="shared" si="319"/>
        <v>ALYSSON HENRIQUE SOARES DE ARA??JO (1336)</v>
      </c>
      <c r="H1669" t="s">
        <v>586</v>
      </c>
      <c r="I1669" t="str">
        <f t="shared" si="320"/>
        <v>19/03/2026</v>
      </c>
      <c r="J1669" t="str">
        <f t="shared" si="321"/>
        <v>11/03/2026</v>
      </c>
      <c r="K1669">
        <v>46093</v>
      </c>
      <c r="N1669">
        <v>109</v>
      </c>
      <c r="O1669" t="s">
        <v>27</v>
      </c>
      <c r="Q1669">
        <v>140</v>
      </c>
      <c r="R1669" t="str">
        <f>"PAGUE MENOS 377 (10300)"</f>
        <v>PAGUE MENOS 377 (10300)</v>
      </c>
      <c r="S1669" t="s">
        <v>33</v>
      </c>
      <c r="T1669">
        <v>30601</v>
      </c>
      <c r="U1669">
        <v>34823</v>
      </c>
      <c r="V1669" t="s">
        <v>33</v>
      </c>
    </row>
    <row r="1670" spans="1:22">
      <c r="A1670" t="str">
        <f t="shared" si="307"/>
        <v>12/03/2026</v>
      </c>
      <c r="B1670" t="str">
        <f t="shared" si="317"/>
        <v>SAÍDA</v>
      </c>
      <c r="C1670" t="str">
        <f t="shared" si="318"/>
        <v>PIX</v>
      </c>
      <c r="D1670" t="str">
        <f>"34375"</f>
        <v>34375</v>
      </c>
      <c r="E1670" t="str">
        <f t="shared" si="322"/>
        <v>1</v>
      </c>
      <c r="F1670" t="str">
        <f t="shared" si="323"/>
        <v>COM</v>
      </c>
      <c r="G1670" t="str">
        <f>"MATEUS VIEIRA DE SOUZA (1019)"</f>
        <v>MATEUS VIEIRA DE SOUZA (1019)</v>
      </c>
      <c r="H1670" t="str">
        <f>"Serv.Prest. 02/03/2026 a 08/03/2026 - PIX: CELULAR - CHAVE: (11) 97702-1316"</f>
        <v>Serv.Prest. 02/03/2026 a 08/03/2026 - PIX: CELULAR - CHAVE: (11) 97702-1316</v>
      </c>
      <c r="I1670" t="str">
        <f t="shared" ref="I1670:I1709" si="324">("12/03/2026")</f>
        <v>12/03/2026</v>
      </c>
      <c r="J1670" t="str">
        <f>("09/03/2026")</f>
        <v>09/03/2026</v>
      </c>
      <c r="K1670" t="str">
        <f>("12/03/2026")</f>
        <v>12/03/2026</v>
      </c>
      <c r="L1670">
        <v>1300</v>
      </c>
      <c r="M1670">
        <v>1300</v>
      </c>
      <c r="N1670">
        <v>109</v>
      </c>
      <c r="O1670" t="str">
        <f>"PAGAMENTO DE ENTREGADORES"</f>
        <v>PAGAMENTO DE ENTREGADORES</v>
      </c>
      <c r="P1670">
        <v>1300</v>
      </c>
      <c r="S1670" t="str">
        <f>"BANCO CORA (102)"</f>
        <v>BANCO CORA (102)</v>
      </c>
      <c r="T1670">
        <v>30894</v>
      </c>
      <c r="U1670">
        <v>34375</v>
      </c>
      <c r="V1670" t="s">
        <v>33</v>
      </c>
    </row>
    <row r="1671" spans="1:22">
      <c r="A1671" t="str">
        <f t="shared" si="307"/>
        <v>12/03/2026</v>
      </c>
      <c r="B1671" t="str">
        <f t="shared" si="317"/>
        <v>SAÍDA</v>
      </c>
      <c r="C1671" t="str">
        <f t="shared" si="318"/>
        <v>PIX</v>
      </c>
      <c r="D1671" t="str">
        <f>"34375"</f>
        <v>34375</v>
      </c>
      <c r="E1671" t="str">
        <f t="shared" si="322"/>
        <v>1</v>
      </c>
      <c r="F1671" t="str">
        <f t="shared" si="323"/>
        <v>COM</v>
      </c>
      <c r="G1671" t="str">
        <f>"MATEUS VIEIRA DE SOUZA (1019)"</f>
        <v>MATEUS VIEIRA DE SOUZA (1019)</v>
      </c>
      <c r="H1671" t="s">
        <v>587</v>
      </c>
      <c r="I1671" t="str">
        <f t="shared" si="324"/>
        <v>12/03/2026</v>
      </c>
      <c r="J1671" t="str">
        <f>("09/03/2026")</f>
        <v>09/03/2026</v>
      </c>
      <c r="K1671">
        <v>46093</v>
      </c>
      <c r="N1671">
        <v>109</v>
      </c>
      <c r="O1671" t="s">
        <v>27</v>
      </c>
      <c r="Q1671">
        <v>1300</v>
      </c>
      <c r="R1671" t="str">
        <f>"PENSE FARMA 47 (10232)"</f>
        <v>PENSE FARMA 47 (10232)</v>
      </c>
      <c r="S1671" t="s">
        <v>33</v>
      </c>
      <c r="T1671">
        <v>30894</v>
      </c>
      <c r="U1671">
        <v>34375</v>
      </c>
      <c r="V1671" t="s">
        <v>33</v>
      </c>
    </row>
    <row r="1672" spans="1:22">
      <c r="A1672" t="str">
        <f t="shared" si="307"/>
        <v>12/03/2026</v>
      </c>
      <c r="B1672" t="str">
        <f t="shared" si="317"/>
        <v>SAÍDA</v>
      </c>
      <c r="C1672" t="str">
        <f t="shared" si="318"/>
        <v>PIX</v>
      </c>
      <c r="D1672" t="str">
        <f t="shared" ref="D1672:D1678" si="325">"12032026"</f>
        <v>12032026</v>
      </c>
      <c r="E1672" t="str">
        <f>""</f>
        <v/>
      </c>
      <c r="F1672" t="str">
        <f t="shared" si="323"/>
        <v>COM</v>
      </c>
      <c r="G1672" t="str">
        <f>"OTAVIO MENDES DOS SANTOS FILHO (1356)"</f>
        <v>OTAVIO MENDES DOS SANTOS FILHO (1356)</v>
      </c>
      <c r="H1672" t="str">
        <f>"Serv.Prest. DIÁRIA 26/02/2026 - PIX: CHAVE: 1197044497"</f>
        <v>Serv.Prest. DIÁRIA 26/02/2026 - PIX: CHAVE: 1197044497</v>
      </c>
      <c r="I1672" t="str">
        <f t="shared" si="324"/>
        <v>12/03/2026</v>
      </c>
      <c r="J1672" t="str">
        <f>("12/03/2026")</f>
        <v>12/03/2026</v>
      </c>
      <c r="K1672" t="str">
        <f>("12/03/2026")</f>
        <v>12/03/2026</v>
      </c>
      <c r="L1672">
        <v>180</v>
      </c>
      <c r="M1672">
        <v>180</v>
      </c>
      <c r="N1672">
        <v>109</v>
      </c>
      <c r="O1672" t="str">
        <f>"PAGAMENTO DE ENTREGADORES"</f>
        <v>PAGAMENTO DE ENTREGADORES</v>
      </c>
      <c r="P1672">
        <v>180</v>
      </c>
      <c r="S1672" t="str">
        <f>"BANCO CORA (102)"</f>
        <v>BANCO CORA (102)</v>
      </c>
      <c r="T1672">
        <v>30895</v>
      </c>
      <c r="U1672">
        <v>34807</v>
      </c>
      <c r="V1672" t="s">
        <v>33</v>
      </c>
    </row>
    <row r="1673" spans="1:22">
      <c r="A1673" t="str">
        <f t="shared" ref="A1673:A1736" si="326">("12/03/2026")</f>
        <v>12/03/2026</v>
      </c>
      <c r="B1673" t="str">
        <f t="shared" si="317"/>
        <v>SAÍDA</v>
      </c>
      <c r="C1673" t="str">
        <f t="shared" si="318"/>
        <v>PIX</v>
      </c>
      <c r="D1673" t="str">
        <f t="shared" si="325"/>
        <v>12032026</v>
      </c>
      <c r="E1673" t="str">
        <f>""</f>
        <v/>
      </c>
      <c r="F1673" t="str">
        <f t="shared" si="323"/>
        <v>COM</v>
      </c>
      <c r="G1673" t="str">
        <f>"OTAVIO MENDES DOS SANTOS FILHO (1356)"</f>
        <v>OTAVIO MENDES DOS SANTOS FILHO (1356)</v>
      </c>
      <c r="H1673" t="s">
        <v>588</v>
      </c>
      <c r="I1673" t="str">
        <f t="shared" si="324"/>
        <v>12/03/2026</v>
      </c>
      <c r="J1673" t="str">
        <f>("12/03/2026")</f>
        <v>12/03/2026</v>
      </c>
      <c r="K1673">
        <v>46093</v>
      </c>
      <c r="N1673">
        <v>109</v>
      </c>
      <c r="O1673" t="s">
        <v>27</v>
      </c>
      <c r="Q1673">
        <v>180</v>
      </c>
      <c r="R1673" t="str">
        <f>"PENSE FARMA 46 (10194)"</f>
        <v>PENSE FARMA 46 (10194)</v>
      </c>
      <c r="S1673" t="s">
        <v>33</v>
      </c>
      <c r="T1673">
        <v>30895</v>
      </c>
      <c r="U1673">
        <v>34807</v>
      </c>
      <c r="V1673" t="s">
        <v>33</v>
      </c>
    </row>
    <row r="1674" spans="1:22">
      <c r="A1674" t="str">
        <f t="shared" si="326"/>
        <v>12/03/2026</v>
      </c>
      <c r="B1674" t="str">
        <f t="shared" si="317"/>
        <v>SAÍDA</v>
      </c>
      <c r="C1674" t="str">
        <f t="shared" si="318"/>
        <v>PIX</v>
      </c>
      <c r="D1674" t="str">
        <f t="shared" si="325"/>
        <v>12032026</v>
      </c>
      <c r="E1674" t="str">
        <f>""</f>
        <v/>
      </c>
      <c r="F1674" t="str">
        <f t="shared" si="323"/>
        <v>COM</v>
      </c>
      <c r="G1674" t="str">
        <f>"ELENICIO ALVES DOS SANTOS (243)"</f>
        <v>ELENICIO ALVES DOS SANTOS (243)</v>
      </c>
      <c r="H1674" t="str">
        <f>"Serv.Prest. 01/03[/2026 a 08/03/2026 - PIX: NÃO CADASTRADO - CHAVE: CEF AG 2986 CONTA 2292-5 POUPANÇA"</f>
        <v>Serv.Prest. 01/03[/2026 a 08/03/2026 - PIX: NÃO CADASTRADO - CHAVE: CEF AG 2986 CONTA 2292-5 POUPANÇA</v>
      </c>
      <c r="I1674" t="str">
        <f t="shared" si="324"/>
        <v>12/03/2026</v>
      </c>
      <c r="J1674" t="str">
        <f>("12/03/2026")</f>
        <v>12/03/2026</v>
      </c>
      <c r="K1674" t="str">
        <f>("12/03/2026")</f>
        <v>12/03/2026</v>
      </c>
      <c r="L1674">
        <v>400</v>
      </c>
      <c r="M1674">
        <v>400</v>
      </c>
      <c r="N1674">
        <v>109</v>
      </c>
      <c r="O1674" t="str">
        <f>"PAGAMENTO DE ENTREGADORES"</f>
        <v>PAGAMENTO DE ENTREGADORES</v>
      </c>
      <c r="P1674">
        <v>400</v>
      </c>
      <c r="S1674" t="str">
        <f>"BANCO CORA (102)"</f>
        <v>BANCO CORA (102)</v>
      </c>
      <c r="T1674">
        <v>30896</v>
      </c>
      <c r="U1674">
        <v>34805</v>
      </c>
      <c r="V1674" t="s">
        <v>33</v>
      </c>
    </row>
    <row r="1675" spans="1:22">
      <c r="A1675" t="str">
        <f t="shared" si="326"/>
        <v>12/03/2026</v>
      </c>
      <c r="B1675" t="str">
        <f t="shared" si="317"/>
        <v>SAÍDA</v>
      </c>
      <c r="C1675" t="str">
        <f t="shared" si="318"/>
        <v>PIX</v>
      </c>
      <c r="D1675" t="str">
        <f t="shared" si="325"/>
        <v>12032026</v>
      </c>
      <c r="E1675" t="str">
        <f>""</f>
        <v/>
      </c>
      <c r="F1675" t="str">
        <f t="shared" si="323"/>
        <v>COM</v>
      </c>
      <c r="G1675" t="str">
        <f>"ELENICIO ALVES DOS SANTOS (243)"</f>
        <v>ELENICIO ALVES DOS SANTOS (243)</v>
      </c>
      <c r="H1675" t="s">
        <v>589</v>
      </c>
      <c r="I1675" t="str">
        <f t="shared" si="324"/>
        <v>12/03/2026</v>
      </c>
      <c r="J1675" t="str">
        <f>("12/03/2026")</f>
        <v>12/03/2026</v>
      </c>
      <c r="K1675">
        <v>46093</v>
      </c>
      <c r="N1675">
        <v>109</v>
      </c>
      <c r="O1675" t="s">
        <v>27</v>
      </c>
      <c r="Q1675">
        <v>400</v>
      </c>
      <c r="R1675" t="str">
        <f>"ELENICIO ALVES DOS SANTOS (243)"</f>
        <v>ELENICIO ALVES DOS SANTOS (243)</v>
      </c>
      <c r="S1675" t="s">
        <v>33</v>
      </c>
      <c r="T1675">
        <v>30896</v>
      </c>
      <c r="U1675">
        <v>34805</v>
      </c>
      <c r="V1675" t="s">
        <v>33</v>
      </c>
    </row>
    <row r="1676" spans="1:22">
      <c r="A1676" t="str">
        <f t="shared" si="326"/>
        <v>12/03/2026</v>
      </c>
      <c r="B1676" t="str">
        <f t="shared" si="317"/>
        <v>SAÍDA</v>
      </c>
      <c r="C1676" t="str">
        <f t="shared" si="318"/>
        <v>PIX</v>
      </c>
      <c r="D1676" t="str">
        <f t="shared" si="325"/>
        <v>12032026</v>
      </c>
      <c r="E1676" t="str">
        <f>""</f>
        <v/>
      </c>
      <c r="F1676" t="str">
        <f t="shared" si="323"/>
        <v>COM</v>
      </c>
      <c r="G1676" t="str">
        <f>"ELENICIO ALVES DOS SANTOS (243)"</f>
        <v>ELENICIO ALVES DOS SANTOS (243)</v>
      </c>
      <c r="H1676" t="s">
        <v>589</v>
      </c>
      <c r="I1676" t="str">
        <f t="shared" si="324"/>
        <v>12/03/2026</v>
      </c>
      <c r="J1676" t="str">
        <f>("12/03/2026")</f>
        <v>12/03/2026</v>
      </c>
      <c r="K1676">
        <v>46093</v>
      </c>
      <c r="N1676">
        <v>109</v>
      </c>
      <c r="O1676" t="s">
        <v>27</v>
      </c>
      <c r="Q1676">
        <v>0</v>
      </c>
      <c r="R1676" t="str">
        <f>"DROGARIA POUPA MINAS (ULTRAMINAS) (10116)"</f>
        <v>DROGARIA POUPA MINAS (ULTRAMINAS) (10116)</v>
      </c>
      <c r="S1676" t="s">
        <v>33</v>
      </c>
      <c r="T1676">
        <v>30896</v>
      </c>
      <c r="U1676">
        <v>34805</v>
      </c>
      <c r="V1676" t="s">
        <v>33</v>
      </c>
    </row>
    <row r="1677" spans="1:22">
      <c r="A1677" t="str">
        <f t="shared" si="326"/>
        <v>12/03/2026</v>
      </c>
      <c r="B1677" t="str">
        <f t="shared" si="317"/>
        <v>SAÍDA</v>
      </c>
      <c r="C1677" t="str">
        <f t="shared" si="318"/>
        <v>PIX</v>
      </c>
      <c r="D1677" t="str">
        <f t="shared" si="325"/>
        <v>12032026</v>
      </c>
      <c r="E1677" t="str">
        <f>""</f>
        <v/>
      </c>
      <c r="F1677" t="str">
        <f t="shared" si="323"/>
        <v>COM</v>
      </c>
      <c r="G1677" t="str">
        <f>"BRUNO NATO DOS SANTOS (20045)"</f>
        <v>BRUNO NATO DOS SANTOS (20045)</v>
      </c>
      <c r="H1677" t="str">
        <f>"REEMBOLSO UBER UM DIA "</f>
        <v xml:space="preserve">REEMBOLSO UBER UM DIA </v>
      </c>
      <c r="I1677" t="str">
        <f t="shared" si="324"/>
        <v>12/03/2026</v>
      </c>
      <c r="J1677" t="str">
        <f>("11/03/2026")</f>
        <v>11/03/2026</v>
      </c>
      <c r="K1677" t="str">
        <f>("12/03/2026")</f>
        <v>12/03/2026</v>
      </c>
      <c r="L1677">
        <v>10.35</v>
      </c>
      <c r="M1677">
        <v>10.35</v>
      </c>
      <c r="N1677">
        <v>110</v>
      </c>
      <c r="O1677" t="str">
        <f>"DESPESAS COM REEMBOLSOS"</f>
        <v>DESPESAS COM REEMBOLSOS</v>
      </c>
      <c r="P1677">
        <v>10.35</v>
      </c>
      <c r="S1677" t="str">
        <f>"BANCO CORA (102)"</f>
        <v>BANCO CORA (102)</v>
      </c>
      <c r="T1677">
        <v>30897</v>
      </c>
      <c r="U1677">
        <v>34788</v>
      </c>
      <c r="V1677" t="s">
        <v>33</v>
      </c>
    </row>
    <row r="1678" spans="1:22">
      <c r="A1678" t="str">
        <f t="shared" si="326"/>
        <v>12/03/2026</v>
      </c>
      <c r="B1678" t="str">
        <f t="shared" si="317"/>
        <v>SAÍDA</v>
      </c>
      <c r="C1678" t="str">
        <f t="shared" si="318"/>
        <v>PIX</v>
      </c>
      <c r="D1678" t="str">
        <f t="shared" si="325"/>
        <v>12032026</v>
      </c>
      <c r="E1678" t="str">
        <f>""</f>
        <v/>
      </c>
      <c r="F1678" t="str">
        <f t="shared" si="323"/>
        <v>COM</v>
      </c>
      <c r="G1678" t="str">
        <f>"BRUNO NATO DOS SANTOS (20045)"</f>
        <v>BRUNO NATO DOS SANTOS (20045)</v>
      </c>
      <c r="H1678" t="s">
        <v>590</v>
      </c>
      <c r="I1678" t="str">
        <f t="shared" si="324"/>
        <v>12/03/2026</v>
      </c>
      <c r="J1678" t="str">
        <f>("11/03/2026")</f>
        <v>11/03/2026</v>
      </c>
      <c r="K1678">
        <v>46093</v>
      </c>
      <c r="N1678">
        <v>110</v>
      </c>
      <c r="O1678" t="s">
        <v>591</v>
      </c>
      <c r="Q1678">
        <v>10.35</v>
      </c>
      <c r="R1678" t="str">
        <f>"FLUX FARMA (20143)"</f>
        <v>FLUX FARMA (20143)</v>
      </c>
      <c r="S1678" t="s">
        <v>33</v>
      </c>
      <c r="T1678">
        <v>30897</v>
      </c>
      <c r="U1678">
        <v>34788</v>
      </c>
      <c r="V1678" t="s">
        <v>33</v>
      </c>
    </row>
    <row r="1679" spans="1:22">
      <c r="A1679" t="str">
        <f t="shared" si="326"/>
        <v>12/03/2026</v>
      </c>
      <c r="B1679" t="str">
        <f t="shared" si="317"/>
        <v>SAÍDA</v>
      </c>
      <c r="C1679" t="str">
        <f t="shared" si="318"/>
        <v>PIX</v>
      </c>
      <c r="D1679" t="str">
        <f>"34473"</f>
        <v>34473</v>
      </c>
      <c r="E1679" t="str">
        <f>"1"</f>
        <v>1</v>
      </c>
      <c r="F1679" t="str">
        <f t="shared" si="323"/>
        <v>COM</v>
      </c>
      <c r="G1679" t="str">
        <f>"PEDRO HENRIQUE ALVES DA SILVA (1133)"</f>
        <v>PEDRO HENRIQUE ALVES DA SILVA (1133)</v>
      </c>
      <c r="H1679" t="str">
        <f>"Serv.Prest. 02/03/2026 a 08/03/2026 - PIX: CELULAR - CHAVE: (11) 98776-2232"</f>
        <v>Serv.Prest. 02/03/2026 a 08/03/2026 - PIX: CELULAR - CHAVE: (11) 98776-2232</v>
      </c>
      <c r="I1679" t="str">
        <f t="shared" si="324"/>
        <v>12/03/2026</v>
      </c>
      <c r="J1679" t="str">
        <f>("09/03/2026")</f>
        <v>09/03/2026</v>
      </c>
      <c r="K1679" t="str">
        <f>("12/03/2026")</f>
        <v>12/03/2026</v>
      </c>
      <c r="L1679">
        <v>800</v>
      </c>
      <c r="M1679">
        <v>800</v>
      </c>
      <c r="N1679">
        <v>109</v>
      </c>
      <c r="O1679" t="str">
        <f>"PAGAMENTO DE ENTREGADORES"</f>
        <v>PAGAMENTO DE ENTREGADORES</v>
      </c>
      <c r="P1679">
        <v>800</v>
      </c>
      <c r="S1679" t="str">
        <f>"BANCO CORA (102)"</f>
        <v>BANCO CORA (102)</v>
      </c>
      <c r="T1679">
        <v>30898</v>
      </c>
      <c r="U1679">
        <v>34473</v>
      </c>
      <c r="V1679" t="s">
        <v>33</v>
      </c>
    </row>
    <row r="1680" spans="1:22">
      <c r="A1680" t="str">
        <f t="shared" si="326"/>
        <v>12/03/2026</v>
      </c>
      <c r="B1680" t="str">
        <f t="shared" si="317"/>
        <v>SAÍDA</v>
      </c>
      <c r="C1680" t="str">
        <f t="shared" si="318"/>
        <v>PIX</v>
      </c>
      <c r="D1680" t="str">
        <f>"34473"</f>
        <v>34473</v>
      </c>
      <c r="E1680" t="str">
        <f>"1"</f>
        <v>1</v>
      </c>
      <c r="F1680" t="str">
        <f t="shared" si="323"/>
        <v>COM</v>
      </c>
      <c r="G1680" t="str">
        <f>"PEDRO HENRIQUE ALVES DA SILVA (1133)"</f>
        <v>PEDRO HENRIQUE ALVES DA SILVA (1133)</v>
      </c>
      <c r="H1680" t="s">
        <v>500</v>
      </c>
      <c r="I1680" t="str">
        <f t="shared" si="324"/>
        <v>12/03/2026</v>
      </c>
      <c r="J1680" t="str">
        <f>("09/03/2026")</f>
        <v>09/03/2026</v>
      </c>
      <c r="K1680">
        <v>46093</v>
      </c>
      <c r="N1680">
        <v>109</v>
      </c>
      <c r="O1680" t="s">
        <v>27</v>
      </c>
      <c r="Q1680">
        <v>800</v>
      </c>
      <c r="R1680" t="str">
        <f>"PENSE FARMA 22 (10198)"</f>
        <v>PENSE FARMA 22 (10198)</v>
      </c>
      <c r="S1680" t="s">
        <v>33</v>
      </c>
      <c r="T1680">
        <v>30898</v>
      </c>
      <c r="U1680">
        <v>34473</v>
      </c>
      <c r="V1680" t="s">
        <v>33</v>
      </c>
    </row>
    <row r="1681" spans="1:22">
      <c r="A1681" t="str">
        <f t="shared" si="326"/>
        <v>12/03/2026</v>
      </c>
      <c r="B1681" t="str">
        <f t="shared" si="317"/>
        <v>SAÍDA</v>
      </c>
      <c r="C1681" t="str">
        <f t="shared" si="318"/>
        <v>PIX</v>
      </c>
      <c r="D1681" t="str">
        <f t="shared" ref="D1681:D1691" si="327">"12032026"</f>
        <v>12032026</v>
      </c>
      <c r="E1681" t="str">
        <f>""</f>
        <v/>
      </c>
      <c r="F1681" t="str">
        <f t="shared" si="323"/>
        <v>COM</v>
      </c>
      <c r="G1681" t="str">
        <f t="shared" ref="G1681:G1691" si="328">"GUSTAVO CESAR DE REZENDE (20060)"</f>
        <v>GUSTAVO CESAR DE REZENDE (20060)</v>
      </c>
      <c r="H1681" t="str">
        <f>"DESPESAS REEMBOLSO - VIAGEM LIMEIRA RIO CLARO "</f>
        <v xml:space="preserve">DESPESAS REEMBOLSO - VIAGEM LIMEIRA RIO CLARO </v>
      </c>
      <c r="I1681" t="str">
        <f t="shared" si="324"/>
        <v>12/03/2026</v>
      </c>
      <c r="J1681" t="str">
        <f>("12/03/2026")</f>
        <v>12/03/2026</v>
      </c>
      <c r="K1681" t="str">
        <f>("12/03/2026")</f>
        <v>12/03/2026</v>
      </c>
      <c r="L1681">
        <v>1181.94</v>
      </c>
      <c r="M1681">
        <v>1181.94</v>
      </c>
      <c r="N1681">
        <v>110</v>
      </c>
      <c r="O1681" t="str">
        <f>"DESPESAS COM REEMBOLSOS"</f>
        <v>DESPESAS COM REEMBOLSOS</v>
      </c>
      <c r="P1681">
        <v>1181.94</v>
      </c>
      <c r="S1681" t="str">
        <f>"BANCO C6 (149)"</f>
        <v>BANCO C6 (149)</v>
      </c>
      <c r="T1681">
        <v>30899</v>
      </c>
      <c r="U1681">
        <v>34821</v>
      </c>
      <c r="V1681" t="s">
        <v>37</v>
      </c>
    </row>
    <row r="1682" spans="1:22">
      <c r="A1682" t="str">
        <f t="shared" si="326"/>
        <v>12/03/2026</v>
      </c>
      <c r="B1682" t="str">
        <f t="shared" si="317"/>
        <v>SAÍDA</v>
      </c>
      <c r="C1682" t="str">
        <f t="shared" si="318"/>
        <v>PIX</v>
      </c>
      <c r="D1682" t="str">
        <f t="shared" si="327"/>
        <v>12032026</v>
      </c>
      <c r="E1682" t="str">
        <f>""</f>
        <v/>
      </c>
      <c r="F1682" t="str">
        <f t="shared" si="323"/>
        <v>COM</v>
      </c>
      <c r="G1682" t="str">
        <f t="shared" si="328"/>
        <v>GUSTAVO CESAR DE REZENDE (20060)</v>
      </c>
      <c r="H1682" t="s">
        <v>592</v>
      </c>
      <c r="I1682" t="str">
        <f t="shared" si="324"/>
        <v>12/03/2026</v>
      </c>
      <c r="J1682" t="str">
        <f t="shared" ref="J1682:J1691" si="329">("12/03/2026")</f>
        <v>12/03/2026</v>
      </c>
      <c r="K1682">
        <v>46093</v>
      </c>
      <c r="N1682">
        <v>110</v>
      </c>
      <c r="O1682" t="s">
        <v>591</v>
      </c>
      <c r="Q1682">
        <v>765.42</v>
      </c>
      <c r="R1682" t="str">
        <f>"BEM TE FAZ 01 (10283)"</f>
        <v>BEM TE FAZ 01 (10283)</v>
      </c>
      <c r="S1682" t="s">
        <v>37</v>
      </c>
      <c r="T1682">
        <v>30899</v>
      </c>
      <c r="U1682">
        <v>34821</v>
      </c>
      <c r="V1682" t="s">
        <v>37</v>
      </c>
    </row>
    <row r="1683" spans="1:22">
      <c r="A1683" t="str">
        <f t="shared" si="326"/>
        <v>12/03/2026</v>
      </c>
      <c r="B1683" t="str">
        <f t="shared" si="317"/>
        <v>SAÍDA</v>
      </c>
      <c r="C1683" t="str">
        <f t="shared" si="318"/>
        <v>PIX</v>
      </c>
      <c r="D1683" t="str">
        <f t="shared" si="327"/>
        <v>12032026</v>
      </c>
      <c r="E1683" t="str">
        <f>""</f>
        <v/>
      </c>
      <c r="F1683" t="str">
        <f t="shared" si="323"/>
        <v>COM</v>
      </c>
      <c r="G1683" t="str">
        <f t="shared" si="328"/>
        <v>GUSTAVO CESAR DE REZENDE (20060)</v>
      </c>
      <c r="H1683" t="s">
        <v>592</v>
      </c>
      <c r="I1683" t="str">
        <f t="shared" si="324"/>
        <v>12/03/2026</v>
      </c>
      <c r="J1683" t="str">
        <f t="shared" si="329"/>
        <v>12/03/2026</v>
      </c>
      <c r="K1683">
        <v>46093</v>
      </c>
      <c r="N1683">
        <v>110</v>
      </c>
      <c r="O1683" t="s">
        <v>591</v>
      </c>
      <c r="Q1683">
        <v>416.52</v>
      </c>
      <c r="R1683" t="str">
        <f>"BEM TE FAZ LOJA 3 (10287)"</f>
        <v>BEM TE FAZ LOJA 3 (10287)</v>
      </c>
      <c r="S1683" t="s">
        <v>37</v>
      </c>
      <c r="T1683">
        <v>30899</v>
      </c>
      <c r="U1683">
        <v>34821</v>
      </c>
      <c r="V1683" t="s">
        <v>37</v>
      </c>
    </row>
    <row r="1684" spans="1:22">
      <c r="A1684" t="str">
        <f t="shared" si="326"/>
        <v>12/03/2026</v>
      </c>
      <c r="B1684" t="str">
        <f t="shared" si="317"/>
        <v>SAÍDA</v>
      </c>
      <c r="C1684" t="str">
        <f t="shared" si="318"/>
        <v>PIX</v>
      </c>
      <c r="D1684" t="str">
        <f t="shared" si="327"/>
        <v>12032026</v>
      </c>
      <c r="E1684" t="str">
        <f>""</f>
        <v/>
      </c>
      <c r="F1684" t="str">
        <f t="shared" si="323"/>
        <v>COM</v>
      </c>
      <c r="G1684" t="str">
        <f t="shared" si="328"/>
        <v>GUSTAVO CESAR DE REZENDE (20060)</v>
      </c>
      <c r="H1684" t="str">
        <f>"DESPESAS REEMBOLSON - KALUNGA OFFICE 365 "</f>
        <v xml:space="preserve">DESPESAS REEMBOLSON - KALUNGA OFFICE 365 </v>
      </c>
      <c r="I1684" t="str">
        <f t="shared" si="324"/>
        <v>12/03/2026</v>
      </c>
      <c r="J1684" t="str">
        <f t="shared" si="329"/>
        <v>12/03/2026</v>
      </c>
      <c r="K1684" t="str">
        <f>("12/03/2026")</f>
        <v>12/03/2026</v>
      </c>
      <c r="L1684">
        <v>40.9</v>
      </c>
      <c r="M1684">
        <v>40.9</v>
      </c>
      <c r="N1684">
        <v>104</v>
      </c>
      <c r="O1684" t="str">
        <f>"SOFTWARE / LICENÇAS"</f>
        <v>SOFTWARE / LICENÇAS</v>
      </c>
      <c r="P1684">
        <v>40.9</v>
      </c>
      <c r="S1684" t="str">
        <f>"BANCO C6 (149)"</f>
        <v>BANCO C6 (149)</v>
      </c>
      <c r="T1684">
        <v>30900</v>
      </c>
      <c r="U1684">
        <v>34822</v>
      </c>
      <c r="V1684" t="s">
        <v>37</v>
      </c>
    </row>
    <row r="1685" spans="1:22">
      <c r="A1685" t="str">
        <f t="shared" si="326"/>
        <v>12/03/2026</v>
      </c>
      <c r="B1685" t="str">
        <f t="shared" si="317"/>
        <v>SAÍDA</v>
      </c>
      <c r="C1685" t="str">
        <f t="shared" si="318"/>
        <v>PIX</v>
      </c>
      <c r="D1685" t="str">
        <f t="shared" si="327"/>
        <v>12032026</v>
      </c>
      <c r="E1685" t="str">
        <f>""</f>
        <v/>
      </c>
      <c r="F1685" t="str">
        <f t="shared" si="323"/>
        <v>COM</v>
      </c>
      <c r="G1685" t="str">
        <f t="shared" si="328"/>
        <v>GUSTAVO CESAR DE REZENDE (20060)</v>
      </c>
      <c r="H1685" t="s">
        <v>593</v>
      </c>
      <c r="I1685" t="str">
        <f t="shared" si="324"/>
        <v>12/03/2026</v>
      </c>
      <c r="J1685" t="str">
        <f t="shared" si="329"/>
        <v>12/03/2026</v>
      </c>
      <c r="K1685">
        <v>46093</v>
      </c>
      <c r="N1685">
        <v>104</v>
      </c>
      <c r="O1685" t="s">
        <v>39</v>
      </c>
      <c r="Q1685">
        <v>40.9</v>
      </c>
      <c r="R1685" t="str">
        <f>"GUSTAVO CESAR DE REZENDE (20060)"</f>
        <v>GUSTAVO CESAR DE REZENDE (20060)</v>
      </c>
      <c r="S1685" t="s">
        <v>37</v>
      </c>
      <c r="T1685">
        <v>30900</v>
      </c>
      <c r="U1685">
        <v>34822</v>
      </c>
      <c r="V1685" t="s">
        <v>37</v>
      </c>
    </row>
    <row r="1686" spans="1:22">
      <c r="A1686" t="str">
        <f t="shared" si="326"/>
        <v>12/03/2026</v>
      </c>
      <c r="B1686" t="str">
        <f t="shared" si="317"/>
        <v>SAÍDA</v>
      </c>
      <c r="C1686" t="str">
        <f t="shared" si="318"/>
        <v>PIX</v>
      </c>
      <c r="D1686" t="str">
        <f t="shared" si="327"/>
        <v>12032026</v>
      </c>
      <c r="E1686" t="str">
        <f>""</f>
        <v/>
      </c>
      <c r="F1686" t="str">
        <f t="shared" si="323"/>
        <v>COM</v>
      </c>
      <c r="G1686" t="str">
        <f t="shared" si="328"/>
        <v>GUSTAVO CESAR DE REZENDE (20060)</v>
      </c>
      <c r="H1686" t="str">
        <f>"DESPESAS REEMBOLSO - UBER "</f>
        <v xml:space="preserve">DESPESAS REEMBOLSO - UBER </v>
      </c>
      <c r="I1686" t="str">
        <f t="shared" si="324"/>
        <v>12/03/2026</v>
      </c>
      <c r="J1686" t="str">
        <f t="shared" si="329"/>
        <v>12/03/2026</v>
      </c>
      <c r="K1686" t="str">
        <f>("12/03/2026")</f>
        <v>12/03/2026</v>
      </c>
      <c r="L1686">
        <v>18.940000000000001</v>
      </c>
      <c r="M1686">
        <v>18.940000000000001</v>
      </c>
      <c r="N1686">
        <v>119</v>
      </c>
      <c r="O1686" t="str">
        <f>"DESPESAS COM VIAGENS OPERACIONAIS"</f>
        <v>DESPESAS COM VIAGENS OPERACIONAIS</v>
      </c>
      <c r="P1686">
        <v>18.940000000000001</v>
      </c>
      <c r="S1686" t="str">
        <f>"BANCO C6 (149)"</f>
        <v>BANCO C6 (149)</v>
      </c>
      <c r="T1686">
        <v>30901</v>
      </c>
      <c r="U1686">
        <v>34824</v>
      </c>
      <c r="V1686" t="s">
        <v>37</v>
      </c>
    </row>
    <row r="1687" spans="1:22">
      <c r="A1687" t="str">
        <f t="shared" si="326"/>
        <v>12/03/2026</v>
      </c>
      <c r="B1687" t="str">
        <f t="shared" si="317"/>
        <v>SAÍDA</v>
      </c>
      <c r="C1687" t="str">
        <f t="shared" si="318"/>
        <v>PIX</v>
      </c>
      <c r="D1687" t="str">
        <f t="shared" si="327"/>
        <v>12032026</v>
      </c>
      <c r="E1687" t="str">
        <f>""</f>
        <v/>
      </c>
      <c r="F1687" t="str">
        <f t="shared" si="323"/>
        <v>COM</v>
      </c>
      <c r="G1687" t="str">
        <f t="shared" si="328"/>
        <v>GUSTAVO CESAR DE REZENDE (20060)</v>
      </c>
      <c r="H1687" t="s">
        <v>594</v>
      </c>
      <c r="I1687" t="str">
        <f t="shared" si="324"/>
        <v>12/03/2026</v>
      </c>
      <c r="J1687" t="str">
        <f t="shared" si="329"/>
        <v>12/03/2026</v>
      </c>
      <c r="K1687">
        <v>46093</v>
      </c>
      <c r="N1687">
        <v>119</v>
      </c>
      <c r="O1687" t="s">
        <v>595</v>
      </c>
      <c r="Q1687">
        <v>18.940000000000001</v>
      </c>
      <c r="R1687" t="str">
        <f>"GUSTAVO CESAR DE REZENDE (20060)"</f>
        <v>GUSTAVO CESAR DE REZENDE (20060)</v>
      </c>
      <c r="S1687" t="s">
        <v>37</v>
      </c>
      <c r="T1687">
        <v>30901</v>
      </c>
      <c r="U1687">
        <v>34824</v>
      </c>
      <c r="V1687" t="s">
        <v>37</v>
      </c>
    </row>
    <row r="1688" spans="1:22">
      <c r="A1688" t="str">
        <f t="shared" si="326"/>
        <v>12/03/2026</v>
      </c>
      <c r="B1688" t="str">
        <f t="shared" si="317"/>
        <v>SAÍDA</v>
      </c>
      <c r="C1688" t="str">
        <f t="shared" ref="C1688:C1719" si="330">"PIX"</f>
        <v>PIX</v>
      </c>
      <c r="D1688" t="str">
        <f t="shared" si="327"/>
        <v>12032026</v>
      </c>
      <c r="E1688" t="str">
        <f>""</f>
        <v/>
      </c>
      <c r="F1688" t="str">
        <f t="shared" si="323"/>
        <v>COM</v>
      </c>
      <c r="G1688" t="str">
        <f t="shared" si="328"/>
        <v>GUSTAVO CESAR DE REZENDE (20060)</v>
      </c>
      <c r="H1688" t="str">
        <f>"DESPESAS REEMBOLSO - UBER - ENCONTRO LÍDERES "</f>
        <v xml:space="preserve">DESPESAS REEMBOLSO - UBER - ENCONTRO LÍDERES </v>
      </c>
      <c r="I1688" t="str">
        <f t="shared" si="324"/>
        <v>12/03/2026</v>
      </c>
      <c r="J1688" t="str">
        <f t="shared" si="329"/>
        <v>12/03/2026</v>
      </c>
      <c r="K1688" t="str">
        <f>("12/03/2026")</f>
        <v>12/03/2026</v>
      </c>
      <c r="L1688">
        <v>81.98</v>
      </c>
      <c r="M1688">
        <v>81.98</v>
      </c>
      <c r="N1688">
        <v>119</v>
      </c>
      <c r="O1688" t="str">
        <f>"DESPESAS COM VIAGENS OPERACIONAIS"</f>
        <v>DESPESAS COM VIAGENS OPERACIONAIS</v>
      </c>
      <c r="P1688">
        <v>81.98</v>
      </c>
      <c r="S1688" t="str">
        <f>"BANCO C6 (149)"</f>
        <v>BANCO C6 (149)</v>
      </c>
      <c r="T1688">
        <v>30902</v>
      </c>
      <c r="U1688">
        <v>34825</v>
      </c>
      <c r="V1688" t="s">
        <v>37</v>
      </c>
    </row>
    <row r="1689" spans="1:22">
      <c r="A1689" t="str">
        <f t="shared" si="326"/>
        <v>12/03/2026</v>
      </c>
      <c r="B1689" t="str">
        <f t="shared" si="317"/>
        <v>SAÍDA</v>
      </c>
      <c r="C1689" t="str">
        <f t="shared" si="330"/>
        <v>PIX</v>
      </c>
      <c r="D1689" t="str">
        <f t="shared" si="327"/>
        <v>12032026</v>
      </c>
      <c r="E1689" t="str">
        <f>""</f>
        <v/>
      </c>
      <c r="F1689" t="str">
        <f t="shared" si="323"/>
        <v>COM</v>
      </c>
      <c r="G1689" t="str">
        <f t="shared" si="328"/>
        <v>GUSTAVO CESAR DE REZENDE (20060)</v>
      </c>
      <c r="H1689" t="s">
        <v>596</v>
      </c>
      <c r="I1689" t="str">
        <f t="shared" si="324"/>
        <v>12/03/2026</v>
      </c>
      <c r="J1689" t="str">
        <f t="shared" si="329"/>
        <v>12/03/2026</v>
      </c>
      <c r="K1689">
        <v>46093</v>
      </c>
      <c r="N1689">
        <v>119</v>
      </c>
      <c r="O1689" t="s">
        <v>595</v>
      </c>
      <c r="Q1689">
        <v>81.98</v>
      </c>
      <c r="R1689" t="str">
        <f>"GUSTAVO CESAR DE REZENDE (20060)"</f>
        <v>GUSTAVO CESAR DE REZENDE (20060)</v>
      </c>
      <c r="S1689" t="s">
        <v>37</v>
      </c>
      <c r="T1689">
        <v>30902</v>
      </c>
      <c r="U1689">
        <v>34825</v>
      </c>
      <c r="V1689" t="s">
        <v>37</v>
      </c>
    </row>
    <row r="1690" spans="1:22">
      <c r="A1690" t="str">
        <f t="shared" si="326"/>
        <v>12/03/2026</v>
      </c>
      <c r="B1690" t="str">
        <f t="shared" si="317"/>
        <v>SAÍDA</v>
      </c>
      <c r="C1690" t="str">
        <f t="shared" si="330"/>
        <v>PIX</v>
      </c>
      <c r="D1690" t="str">
        <f t="shared" si="327"/>
        <v>12032026</v>
      </c>
      <c r="E1690" t="str">
        <f>""</f>
        <v/>
      </c>
      <c r="F1690" t="str">
        <f t="shared" si="323"/>
        <v>COM</v>
      </c>
      <c r="G1690" t="str">
        <f t="shared" si="328"/>
        <v>GUSTAVO CESAR DE REZENDE (20060)</v>
      </c>
      <c r="H1690" t="str">
        <f>"DESPESAS REEMBOLSO - ESTACIONAMENTO "</f>
        <v xml:space="preserve">DESPESAS REEMBOLSO - ESTACIONAMENTO </v>
      </c>
      <c r="I1690" t="str">
        <f t="shared" si="324"/>
        <v>12/03/2026</v>
      </c>
      <c r="J1690" t="str">
        <f t="shared" si="329"/>
        <v>12/03/2026</v>
      </c>
      <c r="K1690" t="str">
        <f>("12/03/2026")</f>
        <v>12/03/2026</v>
      </c>
      <c r="L1690">
        <v>36.799999999999997</v>
      </c>
      <c r="M1690">
        <v>36.799999999999997</v>
      </c>
      <c r="N1690">
        <v>119</v>
      </c>
      <c r="O1690" t="str">
        <f>"DESPESAS COM VIAGENS OPERACIONAIS"</f>
        <v>DESPESAS COM VIAGENS OPERACIONAIS</v>
      </c>
      <c r="P1690">
        <v>36.799999999999997</v>
      </c>
      <c r="S1690" t="str">
        <f>"BANCO C6 (149)"</f>
        <v>BANCO C6 (149)</v>
      </c>
      <c r="T1690">
        <v>30903</v>
      </c>
      <c r="U1690">
        <v>34826</v>
      </c>
      <c r="V1690" t="s">
        <v>37</v>
      </c>
    </row>
    <row r="1691" spans="1:22">
      <c r="A1691" t="str">
        <f t="shared" si="326"/>
        <v>12/03/2026</v>
      </c>
      <c r="B1691" t="str">
        <f t="shared" si="317"/>
        <v>SAÍDA</v>
      </c>
      <c r="C1691" t="str">
        <f t="shared" si="330"/>
        <v>PIX</v>
      </c>
      <c r="D1691" t="str">
        <f t="shared" si="327"/>
        <v>12032026</v>
      </c>
      <c r="E1691" t="str">
        <f>""</f>
        <v/>
      </c>
      <c r="F1691" t="str">
        <f t="shared" si="323"/>
        <v>COM</v>
      </c>
      <c r="G1691" t="str">
        <f t="shared" si="328"/>
        <v>GUSTAVO CESAR DE REZENDE (20060)</v>
      </c>
      <c r="H1691" t="s">
        <v>597</v>
      </c>
      <c r="I1691" t="str">
        <f t="shared" si="324"/>
        <v>12/03/2026</v>
      </c>
      <c r="J1691" t="str">
        <f t="shared" si="329"/>
        <v>12/03/2026</v>
      </c>
      <c r="K1691">
        <v>46093</v>
      </c>
      <c r="N1691">
        <v>119</v>
      </c>
      <c r="O1691" t="s">
        <v>595</v>
      </c>
      <c r="Q1691">
        <v>36.799999999999997</v>
      </c>
      <c r="R1691" t="str">
        <f>"GUSTAVO CESAR DE REZENDE (20060)"</f>
        <v>GUSTAVO CESAR DE REZENDE (20060)</v>
      </c>
      <c r="S1691" t="s">
        <v>37</v>
      </c>
      <c r="T1691">
        <v>30903</v>
      </c>
      <c r="U1691">
        <v>34826</v>
      </c>
      <c r="V1691" t="s">
        <v>37</v>
      </c>
    </row>
    <row r="1692" spans="1:22">
      <c r="A1692" t="str">
        <f t="shared" si="326"/>
        <v>12/03/2026</v>
      </c>
      <c r="B1692" t="str">
        <f t="shared" si="317"/>
        <v>SAÍDA</v>
      </c>
      <c r="C1692" t="str">
        <f t="shared" si="330"/>
        <v>PIX</v>
      </c>
      <c r="D1692" t="str">
        <f>"34125"</f>
        <v>34125</v>
      </c>
      <c r="E1692" t="str">
        <f t="shared" ref="E1692:E1701" si="331">"1"</f>
        <v>1</v>
      </c>
      <c r="F1692" t="str">
        <f t="shared" si="323"/>
        <v>COM</v>
      </c>
      <c r="G1692" t="str">
        <f>"FABRICIO RAMON SOARES SANTOS (645)"</f>
        <v>FABRICIO RAMON SOARES SANTOS (645)</v>
      </c>
      <c r="H1692" t="str">
        <f>"Serv.Prest. 23/02/2026 a 01/03/2026 - PIX: CELULAR - CHAVE: (31) 98483-3242"</f>
        <v>Serv.Prest. 23/02/2026 a 01/03/2026 - PIX: CELULAR - CHAVE: (31) 98483-3242</v>
      </c>
      <c r="I1692" t="str">
        <f t="shared" si="324"/>
        <v>12/03/2026</v>
      </c>
      <c r="J1692" t="str">
        <f>("03/03/2026")</f>
        <v>03/03/2026</v>
      </c>
      <c r="K1692" t="str">
        <f>("12/03/2026")</f>
        <v>12/03/2026</v>
      </c>
      <c r="L1692">
        <v>1800</v>
      </c>
      <c r="M1692">
        <v>1800</v>
      </c>
      <c r="N1692">
        <v>109</v>
      </c>
      <c r="O1692" t="str">
        <f>"PAGAMENTO DE ENTREGADORES"</f>
        <v>PAGAMENTO DE ENTREGADORES</v>
      </c>
      <c r="P1692">
        <v>1800</v>
      </c>
      <c r="S1692" t="str">
        <f>"BANCO C6 (149)"</f>
        <v>BANCO C6 (149)</v>
      </c>
      <c r="T1692">
        <v>30904</v>
      </c>
      <c r="U1692">
        <v>34125</v>
      </c>
      <c r="V1692" t="s">
        <v>37</v>
      </c>
    </row>
    <row r="1693" spans="1:22">
      <c r="A1693" t="str">
        <f t="shared" si="326"/>
        <v>12/03/2026</v>
      </c>
      <c r="B1693" t="str">
        <f t="shared" si="317"/>
        <v>SAÍDA</v>
      </c>
      <c r="C1693" t="str">
        <f t="shared" si="330"/>
        <v>PIX</v>
      </c>
      <c r="D1693" t="str">
        <f>"34125"</f>
        <v>34125</v>
      </c>
      <c r="E1693" t="str">
        <f t="shared" si="331"/>
        <v>1</v>
      </c>
      <c r="F1693" t="str">
        <f t="shared" si="323"/>
        <v>COM</v>
      </c>
      <c r="G1693" t="str">
        <f>"FABRICIO RAMON SOARES SANTOS (645)"</f>
        <v>FABRICIO RAMON SOARES SANTOS (645)</v>
      </c>
      <c r="H1693" t="s">
        <v>598</v>
      </c>
      <c r="I1693" t="str">
        <f t="shared" si="324"/>
        <v>12/03/2026</v>
      </c>
      <c r="J1693" t="str">
        <f>("03/03/2026")</f>
        <v>03/03/2026</v>
      </c>
      <c r="K1693">
        <v>46093</v>
      </c>
      <c r="N1693">
        <v>109</v>
      </c>
      <c r="O1693" t="s">
        <v>27</v>
      </c>
      <c r="Q1693">
        <v>1800</v>
      </c>
      <c r="R1693" t="str">
        <f>"FARMÁCIA INDIANA LJ 101 (10043)"</f>
        <v>FARMÁCIA INDIANA LJ 101 (10043)</v>
      </c>
      <c r="S1693" t="s">
        <v>37</v>
      </c>
      <c r="T1693">
        <v>30904</v>
      </c>
      <c r="U1693">
        <v>34125</v>
      </c>
      <c r="V1693" t="s">
        <v>37</v>
      </c>
    </row>
    <row r="1694" spans="1:22">
      <c r="A1694" t="str">
        <f t="shared" si="326"/>
        <v>12/03/2026</v>
      </c>
      <c r="B1694" t="str">
        <f t="shared" si="317"/>
        <v>SAÍDA</v>
      </c>
      <c r="C1694" t="str">
        <f t="shared" si="330"/>
        <v>PIX</v>
      </c>
      <c r="D1694" t="str">
        <f>"34266"</f>
        <v>34266</v>
      </c>
      <c r="E1694" t="str">
        <f t="shared" si="331"/>
        <v>1</v>
      </c>
      <c r="F1694" t="str">
        <f t="shared" si="323"/>
        <v>COM</v>
      </c>
      <c r="G1694" t="str">
        <f>"ARLINDO COSTA FELIX (754)"</f>
        <v>ARLINDO COSTA FELIX (754)</v>
      </c>
      <c r="H1694" t="str">
        <f>"Serv.Prest. 02/03/2026 a 08/03/2026 - PIX: CPF - CHAVE: 103.983.366-79"</f>
        <v>Serv.Prest. 02/03/2026 a 08/03/2026 - PIX: CPF - CHAVE: 103.983.366-79</v>
      </c>
      <c r="I1694" t="str">
        <f t="shared" si="324"/>
        <v>12/03/2026</v>
      </c>
      <c r="J1694" t="str">
        <f t="shared" ref="J1694:J1701" si="332">("09/03/2026")</f>
        <v>09/03/2026</v>
      </c>
      <c r="K1694" t="str">
        <f>("12/03/2026")</f>
        <v>12/03/2026</v>
      </c>
      <c r="L1694">
        <v>1720</v>
      </c>
      <c r="M1694">
        <v>1720</v>
      </c>
      <c r="N1694">
        <v>109</v>
      </c>
      <c r="O1694" t="str">
        <f>"PAGAMENTO DE ENTREGADORES"</f>
        <v>PAGAMENTO DE ENTREGADORES</v>
      </c>
      <c r="P1694">
        <v>1720</v>
      </c>
      <c r="S1694" t="str">
        <f>"BANCO C6 (149)"</f>
        <v>BANCO C6 (149)</v>
      </c>
      <c r="T1694">
        <v>30905</v>
      </c>
      <c r="U1694">
        <v>34266</v>
      </c>
      <c r="V1694" t="s">
        <v>37</v>
      </c>
    </row>
    <row r="1695" spans="1:22">
      <c r="A1695" t="str">
        <f t="shared" si="326"/>
        <v>12/03/2026</v>
      </c>
      <c r="B1695" t="str">
        <f t="shared" si="317"/>
        <v>SAÍDA</v>
      </c>
      <c r="C1695" t="str">
        <f t="shared" si="330"/>
        <v>PIX</v>
      </c>
      <c r="D1695" t="str">
        <f>"34266"</f>
        <v>34266</v>
      </c>
      <c r="E1695" t="str">
        <f t="shared" si="331"/>
        <v>1</v>
      </c>
      <c r="F1695" t="str">
        <f t="shared" si="323"/>
        <v>COM</v>
      </c>
      <c r="G1695" t="str">
        <f>"ARLINDO COSTA FELIX (754)"</f>
        <v>ARLINDO COSTA FELIX (754)</v>
      </c>
      <c r="H1695" t="s">
        <v>504</v>
      </c>
      <c r="I1695" t="str">
        <f t="shared" si="324"/>
        <v>12/03/2026</v>
      </c>
      <c r="J1695" t="str">
        <f t="shared" si="332"/>
        <v>09/03/2026</v>
      </c>
      <c r="K1695">
        <v>46093</v>
      </c>
      <c r="N1695">
        <v>109</v>
      </c>
      <c r="O1695" t="s">
        <v>27</v>
      </c>
      <c r="Q1695">
        <v>1720</v>
      </c>
      <c r="R1695" t="str">
        <f>"ENTREFARMA (10164)"</f>
        <v>ENTREFARMA (10164)</v>
      </c>
      <c r="S1695" t="s">
        <v>37</v>
      </c>
      <c r="T1695">
        <v>30905</v>
      </c>
      <c r="U1695">
        <v>34266</v>
      </c>
      <c r="V1695" t="s">
        <v>37</v>
      </c>
    </row>
    <row r="1696" spans="1:22">
      <c r="A1696" t="str">
        <f t="shared" si="326"/>
        <v>12/03/2026</v>
      </c>
      <c r="B1696" t="str">
        <f t="shared" si="317"/>
        <v>SAÍDA</v>
      </c>
      <c r="C1696" t="str">
        <f t="shared" si="330"/>
        <v>PIX</v>
      </c>
      <c r="D1696" t="str">
        <f>"34267"</f>
        <v>34267</v>
      </c>
      <c r="E1696" t="str">
        <f t="shared" si="331"/>
        <v>1</v>
      </c>
      <c r="F1696" t="str">
        <f t="shared" si="323"/>
        <v>COM</v>
      </c>
      <c r="G1696" t="str">
        <f>"LEONICIO CORREA DA SILVA (716)"</f>
        <v>LEONICIO CORREA DA SILVA (716)</v>
      </c>
      <c r="H1696" t="str">
        <f>"Serv.Prest. 02/03/2026 a 08/03/2026 - PIX: CPF - CHAVE: 138.263.636-98"</f>
        <v>Serv.Prest. 02/03/2026 a 08/03/2026 - PIX: CPF - CHAVE: 138.263.636-98</v>
      </c>
      <c r="I1696" t="str">
        <f t="shared" si="324"/>
        <v>12/03/2026</v>
      </c>
      <c r="J1696" t="str">
        <f t="shared" si="332"/>
        <v>09/03/2026</v>
      </c>
      <c r="K1696" t="str">
        <f>("12/03/2026")</f>
        <v>12/03/2026</v>
      </c>
      <c r="L1696">
        <v>3352</v>
      </c>
      <c r="M1696">
        <v>3352</v>
      </c>
      <c r="N1696">
        <v>109</v>
      </c>
      <c r="O1696" t="str">
        <f>"PAGAMENTO DE ENTREGADORES"</f>
        <v>PAGAMENTO DE ENTREGADORES</v>
      </c>
      <c r="P1696">
        <v>3352</v>
      </c>
      <c r="S1696" t="str">
        <f>"BANCO C6 (149)"</f>
        <v>BANCO C6 (149)</v>
      </c>
      <c r="T1696">
        <v>30906</v>
      </c>
      <c r="U1696">
        <v>34267</v>
      </c>
      <c r="V1696" t="s">
        <v>37</v>
      </c>
    </row>
    <row r="1697" spans="1:22">
      <c r="A1697" t="str">
        <f t="shared" si="326"/>
        <v>12/03/2026</v>
      </c>
      <c r="B1697" t="str">
        <f t="shared" si="317"/>
        <v>SAÍDA</v>
      </c>
      <c r="C1697" t="str">
        <f t="shared" si="330"/>
        <v>PIX</v>
      </c>
      <c r="D1697" t="str">
        <f>"34267"</f>
        <v>34267</v>
      </c>
      <c r="E1697" t="str">
        <f t="shared" si="331"/>
        <v>1</v>
      </c>
      <c r="F1697" t="str">
        <f t="shared" si="323"/>
        <v>COM</v>
      </c>
      <c r="G1697" t="str">
        <f>"LEONICIO CORREA DA SILVA (716)"</f>
        <v>LEONICIO CORREA DA SILVA (716)</v>
      </c>
      <c r="H1697" t="s">
        <v>512</v>
      </c>
      <c r="I1697" t="str">
        <f t="shared" si="324"/>
        <v>12/03/2026</v>
      </c>
      <c r="J1697" t="str">
        <f t="shared" si="332"/>
        <v>09/03/2026</v>
      </c>
      <c r="K1697">
        <v>46093</v>
      </c>
      <c r="N1697">
        <v>109</v>
      </c>
      <c r="O1697" t="s">
        <v>27</v>
      </c>
      <c r="Q1697">
        <v>3352</v>
      </c>
      <c r="R1697" t="str">
        <f>"ENTREFARMA (10164)"</f>
        <v>ENTREFARMA (10164)</v>
      </c>
      <c r="S1697" t="s">
        <v>37</v>
      </c>
      <c r="T1697">
        <v>30906</v>
      </c>
      <c r="U1697">
        <v>34267</v>
      </c>
      <c r="V1697" t="s">
        <v>37</v>
      </c>
    </row>
    <row r="1698" spans="1:22">
      <c r="A1698" t="str">
        <f t="shared" si="326"/>
        <v>12/03/2026</v>
      </c>
      <c r="B1698" t="str">
        <f t="shared" si="317"/>
        <v>SAÍDA</v>
      </c>
      <c r="C1698" t="str">
        <f t="shared" si="330"/>
        <v>PIX</v>
      </c>
      <c r="D1698" t="str">
        <f>"34317"</f>
        <v>34317</v>
      </c>
      <c r="E1698" t="str">
        <f t="shared" si="331"/>
        <v>1</v>
      </c>
      <c r="F1698" t="str">
        <f t="shared" si="323"/>
        <v>COM</v>
      </c>
      <c r="G1698" t="str">
        <f>"FLÁVIO VICTOR NUNES DA SILVA SANTOS (1142)"</f>
        <v>FLÁVIO VICTOR NUNES DA SILVA SANTOS (1142)</v>
      </c>
      <c r="H1698" t="str">
        <f>"Serv.Prest. 02/03/2026 a 08/03/2026 - PIX: E-MAIL - CHAVE: flaviovictorxiaomi@gmail.com"</f>
        <v>Serv.Prest. 02/03/2026 a 08/03/2026 - PIX: E-MAIL - CHAVE: flaviovictorxiaomi@gmail.com</v>
      </c>
      <c r="I1698" t="str">
        <f t="shared" si="324"/>
        <v>12/03/2026</v>
      </c>
      <c r="J1698" t="str">
        <f t="shared" si="332"/>
        <v>09/03/2026</v>
      </c>
      <c r="K1698" t="str">
        <f>("12/03/2026")</f>
        <v>12/03/2026</v>
      </c>
      <c r="L1698">
        <v>1914</v>
      </c>
      <c r="M1698">
        <v>1914</v>
      </c>
      <c r="N1698">
        <v>109</v>
      </c>
      <c r="O1698" t="str">
        <f>"PAGAMENTO DE ENTREGADORES"</f>
        <v>PAGAMENTO DE ENTREGADORES</v>
      </c>
      <c r="P1698">
        <v>1914</v>
      </c>
      <c r="S1698" t="str">
        <f>"BANCO C6 (149)"</f>
        <v>BANCO C6 (149)</v>
      </c>
      <c r="T1698">
        <v>30907</v>
      </c>
      <c r="U1698">
        <v>34317</v>
      </c>
      <c r="V1698" t="s">
        <v>37</v>
      </c>
    </row>
    <row r="1699" spans="1:22">
      <c r="A1699" t="str">
        <f t="shared" si="326"/>
        <v>12/03/2026</v>
      </c>
      <c r="B1699" t="str">
        <f t="shared" si="317"/>
        <v>SAÍDA</v>
      </c>
      <c r="C1699" t="str">
        <f t="shared" si="330"/>
        <v>PIX</v>
      </c>
      <c r="D1699" t="str">
        <f>"34317"</f>
        <v>34317</v>
      </c>
      <c r="E1699" t="str">
        <f t="shared" si="331"/>
        <v>1</v>
      </c>
      <c r="F1699" t="str">
        <f t="shared" si="323"/>
        <v>COM</v>
      </c>
      <c r="G1699" t="str">
        <f>"FLÁVIO VICTOR NUNES DA SILVA SANTOS (1142)"</f>
        <v>FLÁVIO VICTOR NUNES DA SILVA SANTOS (1142)</v>
      </c>
      <c r="H1699" t="s">
        <v>599</v>
      </c>
      <c r="I1699" t="str">
        <f t="shared" si="324"/>
        <v>12/03/2026</v>
      </c>
      <c r="J1699" t="str">
        <f t="shared" si="332"/>
        <v>09/03/2026</v>
      </c>
      <c r="K1699">
        <v>46093</v>
      </c>
      <c r="N1699">
        <v>109</v>
      </c>
      <c r="O1699" t="s">
        <v>27</v>
      </c>
      <c r="Q1699">
        <v>1914</v>
      </c>
      <c r="R1699" t="str">
        <f>"DROGARIA VAZ (10179)"</f>
        <v>DROGARIA VAZ (10179)</v>
      </c>
      <c r="S1699" t="s">
        <v>37</v>
      </c>
      <c r="T1699">
        <v>30907</v>
      </c>
      <c r="U1699">
        <v>34317</v>
      </c>
      <c r="V1699" t="s">
        <v>37</v>
      </c>
    </row>
    <row r="1700" spans="1:22">
      <c r="A1700" t="str">
        <f t="shared" si="326"/>
        <v>12/03/2026</v>
      </c>
      <c r="B1700" t="str">
        <f t="shared" si="317"/>
        <v>SAÍDA</v>
      </c>
      <c r="C1700" t="str">
        <f t="shared" si="330"/>
        <v>PIX</v>
      </c>
      <c r="D1700" t="str">
        <f>"34333"</f>
        <v>34333</v>
      </c>
      <c r="E1700" t="str">
        <f t="shared" si="331"/>
        <v>1</v>
      </c>
      <c r="F1700" t="str">
        <f t="shared" si="323"/>
        <v>COM</v>
      </c>
      <c r="G1700" t="str">
        <f>"JOAO VITOR DA SILVA (1232)"</f>
        <v>JOAO VITOR DA SILVA (1232)</v>
      </c>
      <c r="H1700" t="str">
        <f>"Serv.Prest. 02/03/2026 a 08/03/2026 - PIX: CPF - CHAVE: 438.843.248-29"</f>
        <v>Serv.Prest. 02/03/2026 a 08/03/2026 - PIX: CPF - CHAVE: 438.843.248-29</v>
      </c>
      <c r="I1700" t="str">
        <f t="shared" si="324"/>
        <v>12/03/2026</v>
      </c>
      <c r="J1700" t="str">
        <f t="shared" si="332"/>
        <v>09/03/2026</v>
      </c>
      <c r="K1700" t="str">
        <f>("12/03/2026")</f>
        <v>12/03/2026</v>
      </c>
      <c r="L1700">
        <v>1659</v>
      </c>
      <c r="M1700">
        <v>1659</v>
      </c>
      <c r="N1700">
        <v>109</v>
      </c>
      <c r="O1700" t="str">
        <f>"PAGAMENTO DE ENTREGADORES"</f>
        <v>PAGAMENTO DE ENTREGADORES</v>
      </c>
      <c r="P1700">
        <v>1659</v>
      </c>
      <c r="S1700" t="str">
        <f>"BANCO C6 (149)"</f>
        <v>BANCO C6 (149)</v>
      </c>
      <c r="T1700">
        <v>30908</v>
      </c>
      <c r="U1700">
        <v>34333</v>
      </c>
      <c r="V1700" t="s">
        <v>37</v>
      </c>
    </row>
    <row r="1701" spans="1:22">
      <c r="A1701" t="str">
        <f t="shared" si="326"/>
        <v>12/03/2026</v>
      </c>
      <c r="B1701" t="str">
        <f t="shared" si="317"/>
        <v>SAÍDA</v>
      </c>
      <c r="C1701" t="str">
        <f t="shared" si="330"/>
        <v>PIX</v>
      </c>
      <c r="D1701" t="str">
        <f>"34333"</f>
        <v>34333</v>
      </c>
      <c r="E1701" t="str">
        <f t="shared" si="331"/>
        <v>1</v>
      </c>
      <c r="F1701" t="str">
        <f t="shared" si="323"/>
        <v>COM</v>
      </c>
      <c r="G1701" t="str">
        <f>"JOAO VITOR DA SILVA (1232)"</f>
        <v>JOAO VITOR DA SILVA (1232)</v>
      </c>
      <c r="H1701" t="s">
        <v>600</v>
      </c>
      <c r="I1701" t="str">
        <f t="shared" si="324"/>
        <v>12/03/2026</v>
      </c>
      <c r="J1701" t="str">
        <f t="shared" si="332"/>
        <v>09/03/2026</v>
      </c>
      <c r="K1701">
        <v>46093</v>
      </c>
      <c r="N1701">
        <v>109</v>
      </c>
      <c r="O1701" t="s">
        <v>27</v>
      </c>
      <c r="Q1701">
        <v>1659</v>
      </c>
      <c r="R1701" t="str">
        <f>"BEM TE FAZ LOJA 3 (10287)"</f>
        <v>BEM TE FAZ LOJA 3 (10287)</v>
      </c>
      <c r="S1701" t="s">
        <v>37</v>
      </c>
      <c r="T1701">
        <v>30908</v>
      </c>
      <c r="U1701">
        <v>34333</v>
      </c>
      <c r="V1701" t="s">
        <v>37</v>
      </c>
    </row>
    <row r="1702" spans="1:22">
      <c r="A1702" t="str">
        <f t="shared" si="326"/>
        <v>12/03/2026</v>
      </c>
      <c r="B1702" t="str">
        <f t="shared" si="317"/>
        <v>SAÍDA</v>
      </c>
      <c r="C1702" t="str">
        <f t="shared" si="330"/>
        <v>PIX</v>
      </c>
      <c r="D1702" t="str">
        <f t="shared" ref="D1702:D1709" si="333">"12032026"</f>
        <v>12032026</v>
      </c>
      <c r="E1702" t="str">
        <f>""</f>
        <v/>
      </c>
      <c r="F1702" t="str">
        <f t="shared" si="323"/>
        <v>COM</v>
      </c>
      <c r="G1702" t="str">
        <f>"63.452.905 ISABELLA ILIDIO BRIZOLLA (20130)"</f>
        <v>63.452.905 ISABELLA ILIDIO BRIZOLLA (20130)</v>
      </c>
      <c r="H1702" t="str">
        <f>"REEMBOLSO UBER UM DIA "</f>
        <v xml:space="preserve">REEMBOLSO UBER UM DIA </v>
      </c>
      <c r="I1702" t="str">
        <f t="shared" si="324"/>
        <v>12/03/2026</v>
      </c>
      <c r="J1702" t="str">
        <f>("11/03/2026")</f>
        <v>11/03/2026</v>
      </c>
      <c r="K1702" t="str">
        <f>("12/03/2026")</f>
        <v>12/03/2026</v>
      </c>
      <c r="L1702">
        <v>23.69</v>
      </c>
      <c r="M1702">
        <v>23.69</v>
      </c>
      <c r="N1702">
        <v>110</v>
      </c>
      <c r="O1702" t="str">
        <f>"DESPESAS COM REEMBOLSOS"</f>
        <v>DESPESAS COM REEMBOLSOS</v>
      </c>
      <c r="P1702">
        <v>23.69</v>
      </c>
      <c r="S1702" t="str">
        <f>"BANCO C6 (149)"</f>
        <v>BANCO C6 (149)</v>
      </c>
      <c r="T1702">
        <v>30909</v>
      </c>
      <c r="U1702">
        <v>34789</v>
      </c>
      <c r="V1702" t="s">
        <v>37</v>
      </c>
    </row>
    <row r="1703" spans="1:22">
      <c r="A1703" t="str">
        <f t="shared" si="326"/>
        <v>12/03/2026</v>
      </c>
      <c r="B1703" t="str">
        <f t="shared" si="317"/>
        <v>SAÍDA</v>
      </c>
      <c r="C1703" t="str">
        <f t="shared" si="330"/>
        <v>PIX</v>
      </c>
      <c r="D1703" t="str">
        <f t="shared" si="333"/>
        <v>12032026</v>
      </c>
      <c r="E1703" t="str">
        <f>""</f>
        <v/>
      </c>
      <c r="F1703" t="str">
        <f t="shared" si="323"/>
        <v>COM</v>
      </c>
      <c r="G1703" t="str">
        <f>"63.452.905 ISABELLA ILIDIO BRIZOLLA (20130)"</f>
        <v>63.452.905 ISABELLA ILIDIO BRIZOLLA (20130)</v>
      </c>
      <c r="H1703" t="s">
        <v>590</v>
      </c>
      <c r="I1703" t="str">
        <f t="shared" si="324"/>
        <v>12/03/2026</v>
      </c>
      <c r="J1703" t="str">
        <f>("11/03/2026")</f>
        <v>11/03/2026</v>
      </c>
      <c r="K1703">
        <v>46093</v>
      </c>
      <c r="N1703">
        <v>110</v>
      </c>
      <c r="O1703" t="s">
        <v>591</v>
      </c>
      <c r="Q1703">
        <v>23.69</v>
      </c>
      <c r="R1703" t="str">
        <f>"FLUX FARMA (20143)"</f>
        <v>FLUX FARMA (20143)</v>
      </c>
      <c r="S1703" t="s">
        <v>37</v>
      </c>
      <c r="T1703">
        <v>30909</v>
      </c>
      <c r="U1703">
        <v>34789</v>
      </c>
      <c r="V1703" t="s">
        <v>37</v>
      </c>
    </row>
    <row r="1704" spans="1:22">
      <c r="A1704" t="str">
        <f t="shared" si="326"/>
        <v>12/03/2026</v>
      </c>
      <c r="B1704" t="str">
        <f t="shared" si="317"/>
        <v>SAÍDA</v>
      </c>
      <c r="C1704" t="str">
        <f t="shared" si="330"/>
        <v>PIX</v>
      </c>
      <c r="D1704" t="str">
        <f t="shared" si="333"/>
        <v>12032026</v>
      </c>
      <c r="E1704" t="str">
        <f>""</f>
        <v/>
      </c>
      <c r="F1704" t="str">
        <f t="shared" si="323"/>
        <v>COM</v>
      </c>
      <c r="G1704" t="str">
        <f>"LUIZ FERNANDO CAIXETA FRANCO (20142)"</f>
        <v>LUIZ FERNANDO CAIXETA FRANCO (20142)</v>
      </c>
      <c r="H1704" t="str">
        <f>"VALE TRANSPORTE (5 DIAS) E REEMBOLSO UBER"</f>
        <v>VALE TRANSPORTE (5 DIAS) E REEMBOLSO UBER</v>
      </c>
      <c r="I1704" t="str">
        <f t="shared" si="324"/>
        <v>12/03/2026</v>
      </c>
      <c r="J1704" t="str">
        <f>("11/03/2026")</f>
        <v>11/03/2026</v>
      </c>
      <c r="K1704" t="str">
        <f>("12/03/2026")</f>
        <v>12/03/2026</v>
      </c>
      <c r="L1704">
        <v>67.88</v>
      </c>
      <c r="M1704">
        <v>67.88</v>
      </c>
      <c r="N1704">
        <v>110</v>
      </c>
      <c r="O1704" t="str">
        <f>"DESPESAS COM REEMBOLSOS"</f>
        <v>DESPESAS COM REEMBOLSOS</v>
      </c>
      <c r="P1704">
        <v>67.88</v>
      </c>
      <c r="S1704" t="str">
        <f>"BANCO C6 (149)"</f>
        <v>BANCO C6 (149)</v>
      </c>
      <c r="T1704">
        <v>30910</v>
      </c>
      <c r="U1704">
        <v>34787</v>
      </c>
      <c r="V1704" t="s">
        <v>37</v>
      </c>
    </row>
    <row r="1705" spans="1:22">
      <c r="A1705" t="str">
        <f t="shared" si="326"/>
        <v>12/03/2026</v>
      </c>
      <c r="B1705" t="str">
        <f t="shared" si="317"/>
        <v>SAÍDA</v>
      </c>
      <c r="C1705" t="str">
        <f t="shared" si="330"/>
        <v>PIX</v>
      </c>
      <c r="D1705" t="str">
        <f t="shared" si="333"/>
        <v>12032026</v>
      </c>
      <c r="E1705" t="str">
        <f>""</f>
        <v/>
      </c>
      <c r="F1705" t="str">
        <f t="shared" si="323"/>
        <v>COM</v>
      </c>
      <c r="G1705" t="str">
        <f>"LUIZ FERNANDO CAIXETA FRANCO (20142)"</f>
        <v>LUIZ FERNANDO CAIXETA FRANCO (20142)</v>
      </c>
      <c r="H1705" t="s">
        <v>601</v>
      </c>
      <c r="I1705" t="str">
        <f t="shared" si="324"/>
        <v>12/03/2026</v>
      </c>
      <c r="J1705" t="str">
        <f>("11/03/2026")</f>
        <v>11/03/2026</v>
      </c>
      <c r="K1705">
        <v>46093</v>
      </c>
      <c r="N1705">
        <v>110</v>
      </c>
      <c r="O1705" t="s">
        <v>591</v>
      </c>
      <c r="Q1705">
        <v>67.88</v>
      </c>
      <c r="R1705" t="str">
        <f>"FLUX FARMA (20143)"</f>
        <v>FLUX FARMA (20143)</v>
      </c>
      <c r="S1705" t="s">
        <v>37</v>
      </c>
      <c r="T1705">
        <v>30910</v>
      </c>
      <c r="U1705">
        <v>34787</v>
      </c>
      <c r="V1705" t="s">
        <v>37</v>
      </c>
    </row>
    <row r="1706" spans="1:22">
      <c r="A1706" t="str">
        <f t="shared" si="326"/>
        <v>12/03/2026</v>
      </c>
      <c r="B1706" t="str">
        <f t="shared" si="317"/>
        <v>SAÍDA</v>
      </c>
      <c r="C1706" t="str">
        <f t="shared" si="330"/>
        <v>PIX</v>
      </c>
      <c r="D1706" t="str">
        <f t="shared" si="333"/>
        <v>12032026</v>
      </c>
      <c r="E1706" t="str">
        <f>""</f>
        <v/>
      </c>
      <c r="F1706" t="str">
        <f t="shared" si="323"/>
        <v>COM</v>
      </c>
      <c r="G1706" t="str">
        <f>"63.639.885 FRANCINNE SANTOS WILLON (20123)"</f>
        <v>63.639.885 FRANCINNE SANTOS WILLON (20123)</v>
      </c>
      <c r="H1706" t="str">
        <f>"REEMBOLSO DESPESAS UBER "</f>
        <v xml:space="preserve">REEMBOLSO DESPESAS UBER </v>
      </c>
      <c r="I1706" t="str">
        <f t="shared" si="324"/>
        <v>12/03/2026</v>
      </c>
      <c r="J1706" t="str">
        <f>("12/03/2026")</f>
        <v>12/03/2026</v>
      </c>
      <c r="K1706" t="str">
        <f>("12/03/2026")</f>
        <v>12/03/2026</v>
      </c>
      <c r="L1706">
        <v>37.93</v>
      </c>
      <c r="M1706">
        <v>37.93</v>
      </c>
      <c r="N1706">
        <v>110</v>
      </c>
      <c r="O1706" t="str">
        <f>"DESPESAS COM REEMBOLSOS"</f>
        <v>DESPESAS COM REEMBOLSOS</v>
      </c>
      <c r="P1706">
        <v>37.93</v>
      </c>
      <c r="S1706" t="str">
        <f>"BANCO C6 (149)"</f>
        <v>BANCO C6 (149)</v>
      </c>
      <c r="T1706">
        <v>30911</v>
      </c>
      <c r="U1706">
        <v>34819</v>
      </c>
      <c r="V1706" t="s">
        <v>37</v>
      </c>
    </row>
    <row r="1707" spans="1:22">
      <c r="A1707" t="str">
        <f t="shared" si="326"/>
        <v>12/03/2026</v>
      </c>
      <c r="B1707" t="str">
        <f t="shared" si="317"/>
        <v>SAÍDA</v>
      </c>
      <c r="C1707" t="str">
        <f t="shared" si="330"/>
        <v>PIX</v>
      </c>
      <c r="D1707" t="str">
        <f t="shared" si="333"/>
        <v>12032026</v>
      </c>
      <c r="E1707" t="str">
        <f>""</f>
        <v/>
      </c>
      <c r="F1707" t="str">
        <f t="shared" si="323"/>
        <v>COM</v>
      </c>
      <c r="G1707" t="str">
        <f>"63.639.885 FRANCINNE SANTOS WILLON (20123)"</f>
        <v>63.639.885 FRANCINNE SANTOS WILLON (20123)</v>
      </c>
      <c r="H1707" t="s">
        <v>602</v>
      </c>
      <c r="I1707" t="str">
        <f t="shared" si="324"/>
        <v>12/03/2026</v>
      </c>
      <c r="J1707" t="str">
        <f>("12/03/2026")</f>
        <v>12/03/2026</v>
      </c>
      <c r="K1707">
        <v>46093</v>
      </c>
      <c r="N1707">
        <v>110</v>
      </c>
      <c r="O1707" t="s">
        <v>591</v>
      </c>
      <c r="Q1707">
        <v>37.93</v>
      </c>
      <c r="R1707" t="str">
        <f>"FLUX FARMA (20143)"</f>
        <v>FLUX FARMA (20143)</v>
      </c>
      <c r="S1707" t="s">
        <v>37</v>
      </c>
      <c r="T1707">
        <v>30911</v>
      </c>
      <c r="U1707">
        <v>34819</v>
      </c>
      <c r="V1707" t="s">
        <v>37</v>
      </c>
    </row>
    <row r="1708" spans="1:22">
      <c r="A1708" t="str">
        <f t="shared" si="326"/>
        <v>12/03/2026</v>
      </c>
      <c r="B1708" t="str">
        <f t="shared" si="317"/>
        <v>SAÍDA</v>
      </c>
      <c r="C1708" t="str">
        <f t="shared" si="330"/>
        <v>PIX</v>
      </c>
      <c r="D1708" t="str">
        <f t="shared" si="333"/>
        <v>12032026</v>
      </c>
      <c r="E1708" t="str">
        <f>""</f>
        <v/>
      </c>
      <c r="F1708" t="str">
        <f t="shared" si="323"/>
        <v>COM</v>
      </c>
      <c r="G1708" t="str">
        <f>"63.428.248 SARA GABRIELLE SANTOS SILVA (20138)"</f>
        <v>63.428.248 SARA GABRIELLE SANTOS SILVA (20138)</v>
      </c>
      <c r="H1708" t="str">
        <f>"REEMBOLSO DE DESPESAS DE VIAGEM - ESCRITÓRIO UBERLANDIA "</f>
        <v xml:space="preserve">REEMBOLSO DE DESPESAS DE VIAGEM - ESCRITÓRIO UBERLANDIA </v>
      </c>
      <c r="I1708" t="str">
        <f t="shared" si="324"/>
        <v>12/03/2026</v>
      </c>
      <c r="J1708" t="str">
        <f t="shared" ref="J1708:J1727" si="334">("11/03/2026")</f>
        <v>11/03/2026</v>
      </c>
      <c r="K1708" t="str">
        <f>("12/03/2026")</f>
        <v>12/03/2026</v>
      </c>
      <c r="L1708">
        <v>100.79</v>
      </c>
      <c r="M1708">
        <v>100.79</v>
      </c>
      <c r="N1708">
        <v>110</v>
      </c>
      <c r="O1708" t="str">
        <f>"DESPESAS COM REEMBOLSOS"</f>
        <v>DESPESAS COM REEMBOLSOS</v>
      </c>
      <c r="P1708">
        <v>100.79</v>
      </c>
      <c r="S1708" t="str">
        <f>"BANCO C6 (149)"</f>
        <v>BANCO C6 (149)</v>
      </c>
      <c r="T1708">
        <v>30912</v>
      </c>
      <c r="U1708">
        <v>34786</v>
      </c>
      <c r="V1708" t="s">
        <v>37</v>
      </c>
    </row>
    <row r="1709" spans="1:22">
      <c r="A1709" t="str">
        <f t="shared" si="326"/>
        <v>12/03/2026</v>
      </c>
      <c r="B1709" t="str">
        <f t="shared" si="317"/>
        <v>SAÍDA</v>
      </c>
      <c r="C1709" t="str">
        <f t="shared" si="330"/>
        <v>PIX</v>
      </c>
      <c r="D1709" t="str">
        <f t="shared" si="333"/>
        <v>12032026</v>
      </c>
      <c r="E1709" t="str">
        <f>""</f>
        <v/>
      </c>
      <c r="F1709" t="str">
        <f t="shared" si="323"/>
        <v>COM</v>
      </c>
      <c r="G1709" t="str">
        <f>"63.428.248 SARA GABRIELLE SANTOS SILVA (20138)"</f>
        <v>63.428.248 SARA GABRIELLE SANTOS SILVA (20138)</v>
      </c>
      <c r="H1709" t="s">
        <v>603</v>
      </c>
      <c r="I1709" t="str">
        <f t="shared" si="324"/>
        <v>12/03/2026</v>
      </c>
      <c r="J1709" t="str">
        <f t="shared" si="334"/>
        <v>11/03/2026</v>
      </c>
      <c r="K1709">
        <v>46093</v>
      </c>
      <c r="N1709">
        <v>110</v>
      </c>
      <c r="O1709" t="s">
        <v>591</v>
      </c>
      <c r="Q1709">
        <v>100.79</v>
      </c>
      <c r="R1709" t="str">
        <f>"FLUX FARMA (20143)"</f>
        <v>FLUX FARMA (20143)</v>
      </c>
      <c r="S1709" t="s">
        <v>37</v>
      </c>
      <c r="T1709">
        <v>30912</v>
      </c>
      <c r="U1709">
        <v>34786</v>
      </c>
      <c r="V1709" t="s">
        <v>37</v>
      </c>
    </row>
    <row r="1710" spans="1:22">
      <c r="A1710" t="str">
        <f t="shared" si="326"/>
        <v>12/03/2026</v>
      </c>
      <c r="B1710" t="str">
        <f t="shared" si="317"/>
        <v>SAÍDA</v>
      </c>
      <c r="C1710" t="str">
        <f t="shared" si="330"/>
        <v>PIX</v>
      </c>
      <c r="D1710" t="str">
        <f>"34722"</f>
        <v>34722</v>
      </c>
      <c r="E1710" t="str">
        <f t="shared" ref="E1710:E1725" si="335">"1"</f>
        <v>1</v>
      </c>
      <c r="F1710" t="str">
        <f t="shared" si="323"/>
        <v>COM</v>
      </c>
      <c r="G1710" t="str">
        <f t="shared" ref="G1710:G1725" si="336">"EURIPEDES BARSANULFO DE ANDRADE  (25)"</f>
        <v>EURIPEDES BARSANULFO DE ANDRADE  (25)</v>
      </c>
      <c r="H1710" t="str">
        <f>"Serv.Prest. 02/03/2026 a 08/03/2026 - PIX: CPF - CHAVE: 866.153.356-20"</f>
        <v>Serv.Prest. 02/03/2026 a 08/03/2026 - PIX: CPF - CHAVE: 866.153.356-20</v>
      </c>
      <c r="I1710" t="str">
        <f t="shared" ref="I1710:I1725" si="337">("19/03/2026")</f>
        <v>19/03/2026</v>
      </c>
      <c r="J1710" t="str">
        <f t="shared" si="334"/>
        <v>11/03/2026</v>
      </c>
      <c r="K1710" t="str">
        <f>("12/03/2026")</f>
        <v>12/03/2026</v>
      </c>
      <c r="L1710">
        <v>84</v>
      </c>
      <c r="M1710">
        <v>612</v>
      </c>
      <c r="N1710">
        <v>109</v>
      </c>
      <c r="O1710" t="str">
        <f>"PAGAMENTO DE ENTREGADORES"</f>
        <v>PAGAMENTO DE ENTREGADORES</v>
      </c>
      <c r="P1710">
        <v>612</v>
      </c>
      <c r="S1710" t="str">
        <f>"BANCO CORA (102)"</f>
        <v>BANCO CORA (102)</v>
      </c>
      <c r="T1710">
        <v>30913</v>
      </c>
      <c r="U1710">
        <v>34722</v>
      </c>
      <c r="V1710" t="s">
        <v>33</v>
      </c>
    </row>
    <row r="1711" spans="1:22">
      <c r="A1711" t="str">
        <f t="shared" si="326"/>
        <v>12/03/2026</v>
      </c>
      <c r="B1711" t="str">
        <f t="shared" si="317"/>
        <v>SAÍDA</v>
      </c>
      <c r="C1711" t="str">
        <f t="shared" si="330"/>
        <v>PIX</v>
      </c>
      <c r="D1711" t="str">
        <f>"34722"</f>
        <v>34722</v>
      </c>
      <c r="E1711" t="str">
        <f t="shared" si="335"/>
        <v>1</v>
      </c>
      <c r="F1711" t="str">
        <f t="shared" si="323"/>
        <v>COM</v>
      </c>
      <c r="G1711" t="str">
        <f t="shared" si="336"/>
        <v>EURIPEDES BARSANULFO DE ANDRADE  (25)</v>
      </c>
      <c r="H1711" t="s">
        <v>604</v>
      </c>
      <c r="I1711" t="str">
        <f t="shared" si="337"/>
        <v>19/03/2026</v>
      </c>
      <c r="J1711" t="str">
        <f t="shared" si="334"/>
        <v>11/03/2026</v>
      </c>
      <c r="K1711">
        <v>46093</v>
      </c>
      <c r="N1711">
        <v>109</v>
      </c>
      <c r="O1711" t="s">
        <v>27</v>
      </c>
      <c r="Q1711">
        <v>612</v>
      </c>
      <c r="R1711" t="str">
        <f>"PAGUE MENOS 1155 (10307)"</f>
        <v>PAGUE MENOS 1155 (10307)</v>
      </c>
      <c r="S1711" t="s">
        <v>33</v>
      </c>
      <c r="T1711">
        <v>30913</v>
      </c>
      <c r="U1711">
        <v>34722</v>
      </c>
      <c r="V1711" t="s">
        <v>33</v>
      </c>
    </row>
    <row r="1712" spans="1:22">
      <c r="A1712" t="str">
        <f t="shared" si="326"/>
        <v>12/03/2026</v>
      </c>
      <c r="B1712" t="str">
        <f t="shared" si="317"/>
        <v>SAÍDA</v>
      </c>
      <c r="C1712" t="str">
        <f t="shared" si="330"/>
        <v>PIX</v>
      </c>
      <c r="D1712" t="str">
        <f>"34721"</f>
        <v>34721</v>
      </c>
      <c r="E1712" t="str">
        <f t="shared" si="335"/>
        <v>1</v>
      </c>
      <c r="F1712" t="str">
        <f t="shared" si="323"/>
        <v>COM</v>
      </c>
      <c r="G1712" t="str">
        <f t="shared" si="336"/>
        <v>EURIPEDES BARSANULFO DE ANDRADE  (25)</v>
      </c>
      <c r="H1712" t="str">
        <f>"Serv.Prest. 02/03/2026 a 08/03/2026 - PIX: CPF - CHAVE: 866.153.356-20"</f>
        <v>Serv.Prest. 02/03/2026 a 08/03/2026 - PIX: CPF - CHAVE: 866.153.356-20</v>
      </c>
      <c r="I1712" t="str">
        <f t="shared" si="337"/>
        <v>19/03/2026</v>
      </c>
      <c r="J1712" t="str">
        <f t="shared" si="334"/>
        <v>11/03/2026</v>
      </c>
      <c r="K1712" t="str">
        <f>("12/03/2026")</f>
        <v>12/03/2026</v>
      </c>
      <c r="L1712">
        <v>6</v>
      </c>
      <c r="M1712">
        <v>6</v>
      </c>
      <c r="N1712">
        <v>109</v>
      </c>
      <c r="O1712" t="str">
        <f>"PAGAMENTO DE ENTREGADORES"</f>
        <v>PAGAMENTO DE ENTREGADORES</v>
      </c>
      <c r="P1712">
        <v>6</v>
      </c>
      <c r="S1712" t="str">
        <f>"BANCO CORA (102)"</f>
        <v>BANCO CORA (102)</v>
      </c>
      <c r="T1712">
        <v>30914</v>
      </c>
      <c r="U1712">
        <v>34721</v>
      </c>
      <c r="V1712" t="s">
        <v>33</v>
      </c>
    </row>
    <row r="1713" spans="1:22">
      <c r="A1713" t="str">
        <f t="shared" si="326"/>
        <v>12/03/2026</v>
      </c>
      <c r="B1713" t="str">
        <f t="shared" si="317"/>
        <v>SAÍDA</v>
      </c>
      <c r="C1713" t="str">
        <f t="shared" si="330"/>
        <v>PIX</v>
      </c>
      <c r="D1713" t="str">
        <f>"34721"</f>
        <v>34721</v>
      </c>
      <c r="E1713" t="str">
        <f t="shared" si="335"/>
        <v>1</v>
      </c>
      <c r="F1713" t="str">
        <f t="shared" si="323"/>
        <v>COM</v>
      </c>
      <c r="G1713" t="str">
        <f t="shared" si="336"/>
        <v>EURIPEDES BARSANULFO DE ANDRADE  (25)</v>
      </c>
      <c r="H1713" t="s">
        <v>604</v>
      </c>
      <c r="I1713" t="str">
        <f t="shared" si="337"/>
        <v>19/03/2026</v>
      </c>
      <c r="J1713" t="str">
        <f t="shared" si="334"/>
        <v>11/03/2026</v>
      </c>
      <c r="K1713">
        <v>46093</v>
      </c>
      <c r="N1713">
        <v>109</v>
      </c>
      <c r="O1713" t="s">
        <v>27</v>
      </c>
      <c r="Q1713">
        <v>6</v>
      </c>
      <c r="R1713" t="str">
        <f>"PAGUE MENOS 311 (10299)"</f>
        <v>PAGUE MENOS 311 (10299)</v>
      </c>
      <c r="S1713" t="s">
        <v>33</v>
      </c>
      <c r="T1713">
        <v>30914</v>
      </c>
      <c r="U1713">
        <v>34721</v>
      </c>
      <c r="V1713" t="s">
        <v>33</v>
      </c>
    </row>
    <row r="1714" spans="1:22">
      <c r="A1714" t="str">
        <f t="shared" si="326"/>
        <v>12/03/2026</v>
      </c>
      <c r="B1714" t="str">
        <f t="shared" si="317"/>
        <v>SAÍDA</v>
      </c>
      <c r="C1714" t="str">
        <f t="shared" si="330"/>
        <v>PIX</v>
      </c>
      <c r="D1714" t="str">
        <f>"34723"</f>
        <v>34723</v>
      </c>
      <c r="E1714" t="str">
        <f t="shared" si="335"/>
        <v>1</v>
      </c>
      <c r="F1714" t="str">
        <f t="shared" si="323"/>
        <v>COM</v>
      </c>
      <c r="G1714" t="str">
        <f t="shared" si="336"/>
        <v>EURIPEDES BARSANULFO DE ANDRADE  (25)</v>
      </c>
      <c r="H1714" t="str">
        <f>"Serv.Prest. 02/03/2026 a 08/03/2026 - PIX: CPF - CHAVE: 866.153.356-20"</f>
        <v>Serv.Prest. 02/03/2026 a 08/03/2026 - PIX: CPF - CHAVE: 866.153.356-20</v>
      </c>
      <c r="I1714" t="str">
        <f t="shared" si="337"/>
        <v>19/03/2026</v>
      </c>
      <c r="J1714" t="str">
        <f t="shared" si="334"/>
        <v>11/03/2026</v>
      </c>
      <c r="K1714" t="str">
        <f>("12/03/2026")</f>
        <v>12/03/2026</v>
      </c>
      <c r="L1714">
        <v>18</v>
      </c>
      <c r="M1714">
        <v>18</v>
      </c>
      <c r="N1714">
        <v>109</v>
      </c>
      <c r="O1714" t="str">
        <f>"PAGAMENTO DE ENTREGADORES"</f>
        <v>PAGAMENTO DE ENTREGADORES</v>
      </c>
      <c r="P1714">
        <v>18</v>
      </c>
      <c r="S1714" t="str">
        <f>"BANCO CORA (102)"</f>
        <v>BANCO CORA (102)</v>
      </c>
      <c r="T1714">
        <v>30915</v>
      </c>
      <c r="U1714">
        <v>34723</v>
      </c>
      <c r="V1714" t="s">
        <v>33</v>
      </c>
    </row>
    <row r="1715" spans="1:22">
      <c r="A1715" t="str">
        <f t="shared" si="326"/>
        <v>12/03/2026</v>
      </c>
      <c r="B1715" t="str">
        <f t="shared" si="317"/>
        <v>SAÍDA</v>
      </c>
      <c r="C1715" t="str">
        <f t="shared" si="330"/>
        <v>PIX</v>
      </c>
      <c r="D1715" t="str">
        <f>"34723"</f>
        <v>34723</v>
      </c>
      <c r="E1715" t="str">
        <f t="shared" si="335"/>
        <v>1</v>
      </c>
      <c r="F1715" t="str">
        <f t="shared" si="323"/>
        <v>COM</v>
      </c>
      <c r="G1715" t="str">
        <f t="shared" si="336"/>
        <v>EURIPEDES BARSANULFO DE ANDRADE  (25)</v>
      </c>
      <c r="H1715" t="s">
        <v>604</v>
      </c>
      <c r="I1715" t="str">
        <f t="shared" si="337"/>
        <v>19/03/2026</v>
      </c>
      <c r="J1715" t="str">
        <f t="shared" si="334"/>
        <v>11/03/2026</v>
      </c>
      <c r="K1715">
        <v>46093</v>
      </c>
      <c r="N1715">
        <v>109</v>
      </c>
      <c r="O1715" t="s">
        <v>27</v>
      </c>
      <c r="Q1715">
        <v>18</v>
      </c>
      <c r="R1715" t="str">
        <f>"PAGUE MENOS 377 (10300)"</f>
        <v>PAGUE MENOS 377 (10300)</v>
      </c>
      <c r="S1715" t="s">
        <v>33</v>
      </c>
      <c r="T1715">
        <v>30915</v>
      </c>
      <c r="U1715">
        <v>34723</v>
      </c>
      <c r="V1715" t="s">
        <v>33</v>
      </c>
    </row>
    <row r="1716" spans="1:22">
      <c r="A1716" t="str">
        <f t="shared" si="326"/>
        <v>12/03/2026</v>
      </c>
      <c r="B1716" t="str">
        <f t="shared" si="317"/>
        <v>SAÍDA</v>
      </c>
      <c r="C1716" t="str">
        <f t="shared" si="330"/>
        <v>PIX</v>
      </c>
      <c r="D1716" t="str">
        <f>"34724"</f>
        <v>34724</v>
      </c>
      <c r="E1716" t="str">
        <f t="shared" si="335"/>
        <v>1</v>
      </c>
      <c r="F1716" t="str">
        <f t="shared" si="323"/>
        <v>COM</v>
      </c>
      <c r="G1716" t="str">
        <f t="shared" si="336"/>
        <v>EURIPEDES BARSANULFO DE ANDRADE  (25)</v>
      </c>
      <c r="H1716" t="str">
        <f>"Serv.Prest. 02/03/2026 a 08/03/2026 - PIX: CPF - CHAVE: 866.153.356-20"</f>
        <v>Serv.Prest. 02/03/2026 a 08/03/2026 - PIX: CPF - CHAVE: 866.153.356-20</v>
      </c>
      <c r="I1716" t="str">
        <f t="shared" si="337"/>
        <v>19/03/2026</v>
      </c>
      <c r="J1716" t="str">
        <f t="shared" si="334"/>
        <v>11/03/2026</v>
      </c>
      <c r="K1716" t="str">
        <f>("12/03/2026")</f>
        <v>12/03/2026</v>
      </c>
      <c r="L1716">
        <v>18</v>
      </c>
      <c r="M1716">
        <v>18</v>
      </c>
      <c r="N1716">
        <v>109</v>
      </c>
      <c r="O1716" t="str">
        <f>"PAGAMENTO DE ENTREGADORES"</f>
        <v>PAGAMENTO DE ENTREGADORES</v>
      </c>
      <c r="P1716">
        <v>18</v>
      </c>
      <c r="S1716" t="str">
        <f>"BANCO CORA (102)"</f>
        <v>BANCO CORA (102)</v>
      </c>
      <c r="T1716">
        <v>30916</v>
      </c>
      <c r="U1716">
        <v>34724</v>
      </c>
      <c r="V1716" t="s">
        <v>33</v>
      </c>
    </row>
    <row r="1717" spans="1:22">
      <c r="A1717" t="str">
        <f t="shared" si="326"/>
        <v>12/03/2026</v>
      </c>
      <c r="B1717" t="str">
        <f t="shared" si="317"/>
        <v>SAÍDA</v>
      </c>
      <c r="C1717" t="str">
        <f t="shared" si="330"/>
        <v>PIX</v>
      </c>
      <c r="D1717" t="str">
        <f>"34724"</f>
        <v>34724</v>
      </c>
      <c r="E1717" t="str">
        <f t="shared" si="335"/>
        <v>1</v>
      </c>
      <c r="F1717" t="str">
        <f t="shared" si="323"/>
        <v>COM</v>
      </c>
      <c r="G1717" t="str">
        <f t="shared" si="336"/>
        <v>EURIPEDES BARSANULFO DE ANDRADE  (25)</v>
      </c>
      <c r="H1717" t="s">
        <v>604</v>
      </c>
      <c r="I1717" t="str">
        <f t="shared" si="337"/>
        <v>19/03/2026</v>
      </c>
      <c r="J1717" t="str">
        <f t="shared" si="334"/>
        <v>11/03/2026</v>
      </c>
      <c r="K1717">
        <v>46093</v>
      </c>
      <c r="N1717">
        <v>109</v>
      </c>
      <c r="O1717" t="s">
        <v>27</v>
      </c>
      <c r="Q1717">
        <v>18</v>
      </c>
      <c r="R1717" t="str">
        <f>"PAGUE MENOS 1327 (10312)"</f>
        <v>PAGUE MENOS 1327 (10312)</v>
      </c>
      <c r="S1717" t="s">
        <v>33</v>
      </c>
      <c r="T1717">
        <v>30916</v>
      </c>
      <c r="U1717">
        <v>34724</v>
      </c>
      <c r="V1717" t="s">
        <v>33</v>
      </c>
    </row>
    <row r="1718" spans="1:22">
      <c r="A1718" t="str">
        <f t="shared" si="326"/>
        <v>12/03/2026</v>
      </c>
      <c r="B1718" t="str">
        <f t="shared" si="317"/>
        <v>SAÍDA</v>
      </c>
      <c r="C1718" t="str">
        <f t="shared" si="330"/>
        <v>PIX</v>
      </c>
      <c r="D1718" t="str">
        <f>"34725"</f>
        <v>34725</v>
      </c>
      <c r="E1718" t="str">
        <f t="shared" si="335"/>
        <v>1</v>
      </c>
      <c r="F1718" t="str">
        <f t="shared" si="323"/>
        <v>COM</v>
      </c>
      <c r="G1718" t="str">
        <f t="shared" si="336"/>
        <v>EURIPEDES BARSANULFO DE ANDRADE  (25)</v>
      </c>
      <c r="H1718" t="str">
        <f>"Serv.Prest. 02/03/2026 a 08/03/2026 - PIX: CPF - CHAVE: 866.153.356-20"</f>
        <v>Serv.Prest. 02/03/2026 a 08/03/2026 - PIX: CPF - CHAVE: 866.153.356-20</v>
      </c>
      <c r="I1718" t="str">
        <f t="shared" si="337"/>
        <v>19/03/2026</v>
      </c>
      <c r="J1718" t="str">
        <f t="shared" si="334"/>
        <v>11/03/2026</v>
      </c>
      <c r="K1718" t="str">
        <f>("12/03/2026")</f>
        <v>12/03/2026</v>
      </c>
      <c r="L1718">
        <v>6</v>
      </c>
      <c r="M1718">
        <v>6</v>
      </c>
      <c r="N1718">
        <v>109</v>
      </c>
      <c r="O1718" t="str">
        <f>"PAGAMENTO DE ENTREGADORES"</f>
        <v>PAGAMENTO DE ENTREGADORES</v>
      </c>
      <c r="P1718">
        <v>6</v>
      </c>
      <c r="S1718" t="str">
        <f>"BANCO CORA (102)"</f>
        <v>BANCO CORA (102)</v>
      </c>
      <c r="T1718">
        <v>30917</v>
      </c>
      <c r="U1718">
        <v>34725</v>
      </c>
      <c r="V1718" t="s">
        <v>33</v>
      </c>
    </row>
    <row r="1719" spans="1:22">
      <c r="A1719" t="str">
        <f t="shared" si="326"/>
        <v>12/03/2026</v>
      </c>
      <c r="B1719" t="str">
        <f t="shared" si="317"/>
        <v>SAÍDA</v>
      </c>
      <c r="C1719" t="str">
        <f t="shared" si="330"/>
        <v>PIX</v>
      </c>
      <c r="D1719" t="str">
        <f>"34725"</f>
        <v>34725</v>
      </c>
      <c r="E1719" t="str">
        <f t="shared" si="335"/>
        <v>1</v>
      </c>
      <c r="F1719" t="str">
        <f t="shared" si="323"/>
        <v>COM</v>
      </c>
      <c r="G1719" t="str">
        <f t="shared" si="336"/>
        <v>EURIPEDES BARSANULFO DE ANDRADE  (25)</v>
      </c>
      <c r="H1719" t="s">
        <v>604</v>
      </c>
      <c r="I1719" t="str">
        <f t="shared" si="337"/>
        <v>19/03/2026</v>
      </c>
      <c r="J1719" t="str">
        <f t="shared" si="334"/>
        <v>11/03/2026</v>
      </c>
      <c r="K1719">
        <v>46093</v>
      </c>
      <c r="N1719">
        <v>109</v>
      </c>
      <c r="O1719" t="s">
        <v>27</v>
      </c>
      <c r="Q1719">
        <v>6</v>
      </c>
      <c r="R1719" t="str">
        <f>"PAGUE MENOS 1194 (10309)"</f>
        <v>PAGUE MENOS 1194 (10309)</v>
      </c>
      <c r="S1719" t="s">
        <v>33</v>
      </c>
      <c r="T1719">
        <v>30917</v>
      </c>
      <c r="U1719">
        <v>34725</v>
      </c>
      <c r="V1719" t="s">
        <v>33</v>
      </c>
    </row>
    <row r="1720" spans="1:22">
      <c r="A1720" t="str">
        <f t="shared" si="326"/>
        <v>12/03/2026</v>
      </c>
      <c r="B1720" t="str">
        <f t="shared" ref="B1720:B1783" si="338">"SAÍDA"</f>
        <v>SAÍDA</v>
      </c>
      <c r="C1720" t="str">
        <f t="shared" ref="C1720:C1725" si="339">"PIX"</f>
        <v>PIX</v>
      </c>
      <c r="D1720" t="str">
        <f>"34726"</f>
        <v>34726</v>
      </c>
      <c r="E1720" t="str">
        <f t="shared" si="335"/>
        <v>1</v>
      </c>
      <c r="F1720" t="str">
        <f t="shared" si="323"/>
        <v>COM</v>
      </c>
      <c r="G1720" t="str">
        <f t="shared" si="336"/>
        <v>EURIPEDES BARSANULFO DE ANDRADE  (25)</v>
      </c>
      <c r="H1720" t="str">
        <f>"Serv.Prest. 02/03/2026 a 08/03/2026 - PIX: CPF - CHAVE: 866.153.356-20"</f>
        <v>Serv.Prest. 02/03/2026 a 08/03/2026 - PIX: CPF - CHAVE: 866.153.356-20</v>
      </c>
      <c r="I1720" t="str">
        <f t="shared" si="337"/>
        <v>19/03/2026</v>
      </c>
      <c r="J1720" t="str">
        <f t="shared" si="334"/>
        <v>11/03/2026</v>
      </c>
      <c r="K1720" t="str">
        <f>("12/03/2026")</f>
        <v>12/03/2026</v>
      </c>
      <c r="L1720">
        <v>54</v>
      </c>
      <c r="M1720">
        <v>54</v>
      </c>
      <c r="N1720">
        <v>109</v>
      </c>
      <c r="O1720" t="str">
        <f>"PAGAMENTO DE ENTREGADORES"</f>
        <v>PAGAMENTO DE ENTREGADORES</v>
      </c>
      <c r="P1720">
        <v>54</v>
      </c>
      <c r="S1720" t="str">
        <f>"BANCO CORA (102)"</f>
        <v>BANCO CORA (102)</v>
      </c>
      <c r="T1720">
        <v>30918</v>
      </c>
      <c r="U1720">
        <v>34726</v>
      </c>
      <c r="V1720" t="s">
        <v>33</v>
      </c>
    </row>
    <row r="1721" spans="1:22">
      <c r="A1721" t="str">
        <f t="shared" si="326"/>
        <v>12/03/2026</v>
      </c>
      <c r="B1721" t="str">
        <f t="shared" si="338"/>
        <v>SAÍDA</v>
      </c>
      <c r="C1721" t="str">
        <f t="shared" si="339"/>
        <v>PIX</v>
      </c>
      <c r="D1721" t="str">
        <f>"34726"</f>
        <v>34726</v>
      </c>
      <c r="E1721" t="str">
        <f t="shared" si="335"/>
        <v>1</v>
      </c>
      <c r="F1721" t="str">
        <f t="shared" si="323"/>
        <v>COM</v>
      </c>
      <c r="G1721" t="str">
        <f t="shared" si="336"/>
        <v>EURIPEDES BARSANULFO DE ANDRADE  (25)</v>
      </c>
      <c r="H1721" t="s">
        <v>604</v>
      </c>
      <c r="I1721" t="str">
        <f t="shared" si="337"/>
        <v>19/03/2026</v>
      </c>
      <c r="J1721" t="str">
        <f t="shared" si="334"/>
        <v>11/03/2026</v>
      </c>
      <c r="K1721">
        <v>46093</v>
      </c>
      <c r="N1721">
        <v>109</v>
      </c>
      <c r="O1721" t="s">
        <v>27</v>
      </c>
      <c r="Q1721">
        <v>54</v>
      </c>
      <c r="R1721" t="str">
        <f>"PAGUE MENOS 1156 (10308)"</f>
        <v>PAGUE MENOS 1156 (10308)</v>
      </c>
      <c r="S1721" t="s">
        <v>33</v>
      </c>
      <c r="T1721">
        <v>30918</v>
      </c>
      <c r="U1721">
        <v>34726</v>
      </c>
      <c r="V1721" t="s">
        <v>33</v>
      </c>
    </row>
    <row r="1722" spans="1:22">
      <c r="A1722" t="str">
        <f t="shared" si="326"/>
        <v>12/03/2026</v>
      </c>
      <c r="B1722" t="str">
        <f t="shared" si="338"/>
        <v>SAÍDA</v>
      </c>
      <c r="C1722" t="str">
        <f t="shared" si="339"/>
        <v>PIX</v>
      </c>
      <c r="D1722" t="str">
        <f>"34727"</f>
        <v>34727</v>
      </c>
      <c r="E1722" t="str">
        <f t="shared" si="335"/>
        <v>1</v>
      </c>
      <c r="F1722" t="str">
        <f t="shared" si="323"/>
        <v>COM</v>
      </c>
      <c r="G1722" t="str">
        <f t="shared" si="336"/>
        <v>EURIPEDES BARSANULFO DE ANDRADE  (25)</v>
      </c>
      <c r="H1722" t="str">
        <f>"Serv.Prest. 02/03/2026 a 08/03/2026 - PIX: CPF - CHAVE: 866.153.356-20"</f>
        <v>Serv.Prest. 02/03/2026 a 08/03/2026 - PIX: CPF - CHAVE: 866.153.356-20</v>
      </c>
      <c r="I1722" t="str">
        <f t="shared" si="337"/>
        <v>19/03/2026</v>
      </c>
      <c r="J1722" t="str">
        <f t="shared" si="334"/>
        <v>11/03/2026</v>
      </c>
      <c r="K1722" t="str">
        <f>("12/03/2026")</f>
        <v>12/03/2026</v>
      </c>
      <c r="L1722">
        <v>6</v>
      </c>
      <c r="M1722">
        <v>6</v>
      </c>
      <c r="N1722">
        <v>109</v>
      </c>
      <c r="O1722" t="str">
        <f>"PAGAMENTO DE ENTREGADORES"</f>
        <v>PAGAMENTO DE ENTREGADORES</v>
      </c>
      <c r="P1722">
        <v>6</v>
      </c>
      <c r="S1722" t="str">
        <f>"BANCO CORA (102)"</f>
        <v>BANCO CORA (102)</v>
      </c>
      <c r="T1722">
        <v>30919</v>
      </c>
      <c r="U1722">
        <v>34727</v>
      </c>
      <c r="V1722" t="s">
        <v>33</v>
      </c>
    </row>
    <row r="1723" spans="1:22">
      <c r="A1723" t="str">
        <f t="shared" si="326"/>
        <v>12/03/2026</v>
      </c>
      <c r="B1723" t="str">
        <f t="shared" si="338"/>
        <v>SAÍDA</v>
      </c>
      <c r="C1723" t="str">
        <f t="shared" si="339"/>
        <v>PIX</v>
      </c>
      <c r="D1723" t="str">
        <f>"34727"</f>
        <v>34727</v>
      </c>
      <c r="E1723" t="str">
        <f t="shared" si="335"/>
        <v>1</v>
      </c>
      <c r="F1723" t="str">
        <f t="shared" si="323"/>
        <v>COM</v>
      </c>
      <c r="G1723" t="str">
        <f t="shared" si="336"/>
        <v>EURIPEDES BARSANULFO DE ANDRADE  (25)</v>
      </c>
      <c r="H1723" t="s">
        <v>604</v>
      </c>
      <c r="I1723" t="str">
        <f t="shared" si="337"/>
        <v>19/03/2026</v>
      </c>
      <c r="J1723" t="str">
        <f t="shared" si="334"/>
        <v>11/03/2026</v>
      </c>
      <c r="K1723">
        <v>46093</v>
      </c>
      <c r="N1723">
        <v>109</v>
      </c>
      <c r="O1723" t="s">
        <v>27</v>
      </c>
      <c r="Q1723">
        <v>6</v>
      </c>
      <c r="R1723" t="str">
        <f>"PAGUE MENOS 508 (10301)"</f>
        <v>PAGUE MENOS 508 (10301)</v>
      </c>
      <c r="S1723" t="s">
        <v>33</v>
      </c>
      <c r="T1723">
        <v>30919</v>
      </c>
      <c r="U1723">
        <v>34727</v>
      </c>
      <c r="V1723" t="s">
        <v>33</v>
      </c>
    </row>
    <row r="1724" spans="1:22">
      <c r="A1724" t="str">
        <f t="shared" si="326"/>
        <v>12/03/2026</v>
      </c>
      <c r="B1724" t="str">
        <f t="shared" si="338"/>
        <v>SAÍDA</v>
      </c>
      <c r="C1724" t="str">
        <f t="shared" si="339"/>
        <v>PIX</v>
      </c>
      <c r="D1724" t="str">
        <f>"34728"</f>
        <v>34728</v>
      </c>
      <c r="E1724" t="str">
        <f t="shared" si="335"/>
        <v>1</v>
      </c>
      <c r="F1724" t="str">
        <f t="shared" si="323"/>
        <v>COM</v>
      </c>
      <c r="G1724" t="str">
        <f t="shared" si="336"/>
        <v>EURIPEDES BARSANULFO DE ANDRADE  (25)</v>
      </c>
      <c r="H1724" t="str">
        <f>"Serv.Prest. 02/03/2026 a 08/03/2026 - PIX: CPF - CHAVE: 866.153.356-20"</f>
        <v>Serv.Prest. 02/03/2026 a 08/03/2026 - PIX: CPF - CHAVE: 866.153.356-20</v>
      </c>
      <c r="I1724" t="str">
        <f t="shared" si="337"/>
        <v>19/03/2026</v>
      </c>
      <c r="J1724" t="str">
        <f t="shared" si="334"/>
        <v>11/03/2026</v>
      </c>
      <c r="K1724" t="str">
        <f>("12/03/2026")</f>
        <v>12/03/2026</v>
      </c>
      <c r="L1724">
        <v>540</v>
      </c>
      <c r="M1724">
        <v>540</v>
      </c>
      <c r="N1724">
        <v>109</v>
      </c>
      <c r="O1724" t="str">
        <f>"PAGAMENTO DE ENTREGADORES"</f>
        <v>PAGAMENTO DE ENTREGADORES</v>
      </c>
      <c r="P1724">
        <v>540</v>
      </c>
      <c r="S1724" t="str">
        <f>"BANCO CORA (102)"</f>
        <v>BANCO CORA (102)</v>
      </c>
      <c r="T1724">
        <v>30920</v>
      </c>
      <c r="U1724">
        <v>34728</v>
      </c>
      <c r="V1724" t="s">
        <v>33</v>
      </c>
    </row>
    <row r="1725" spans="1:22">
      <c r="A1725" t="str">
        <f t="shared" si="326"/>
        <v>12/03/2026</v>
      </c>
      <c r="B1725" t="str">
        <f t="shared" si="338"/>
        <v>SAÍDA</v>
      </c>
      <c r="C1725" t="str">
        <f t="shared" si="339"/>
        <v>PIX</v>
      </c>
      <c r="D1725" t="str">
        <f>"34728"</f>
        <v>34728</v>
      </c>
      <c r="E1725" t="str">
        <f t="shared" si="335"/>
        <v>1</v>
      </c>
      <c r="F1725" t="str">
        <f t="shared" si="323"/>
        <v>COM</v>
      </c>
      <c r="G1725" t="str">
        <f t="shared" si="336"/>
        <v>EURIPEDES BARSANULFO DE ANDRADE  (25)</v>
      </c>
      <c r="H1725" t="s">
        <v>604</v>
      </c>
      <c r="I1725" t="str">
        <f t="shared" si="337"/>
        <v>19/03/2026</v>
      </c>
      <c r="J1725" t="str">
        <f t="shared" si="334"/>
        <v>11/03/2026</v>
      </c>
      <c r="K1725">
        <v>46093</v>
      </c>
      <c r="N1725">
        <v>109</v>
      </c>
      <c r="O1725" t="s">
        <v>27</v>
      </c>
      <c r="Q1725">
        <v>540</v>
      </c>
      <c r="R1725" t="str">
        <f>"PAGUE MENOS 944 (10306)"</f>
        <v>PAGUE MENOS 944 (10306)</v>
      </c>
      <c r="S1725" t="s">
        <v>33</v>
      </c>
      <c r="T1725">
        <v>30920</v>
      </c>
      <c r="U1725">
        <v>34728</v>
      </c>
      <c r="V1725" t="s">
        <v>33</v>
      </c>
    </row>
    <row r="1726" spans="1:22">
      <c r="A1726" t="str">
        <f t="shared" si="326"/>
        <v>12/03/2026</v>
      </c>
      <c r="B1726" t="str">
        <f t="shared" si="338"/>
        <v>SAÍDA</v>
      </c>
      <c r="C1726" t="str">
        <f>"BOLETO"</f>
        <v>BOLETO</v>
      </c>
      <c r="D1726" t="str">
        <f>"17032026"</f>
        <v>17032026</v>
      </c>
      <c r="E1726" t="str">
        <f>"2"</f>
        <v>2</v>
      </c>
      <c r="F1726" t="str">
        <f t="shared" si="323"/>
        <v>COM</v>
      </c>
      <c r="G1726" t="str">
        <f>"SECRETARIA DE ESTADO DE FAZENDA DE MINAS GERAIS (20012)"</f>
        <v>SECRETARIA DE ESTADO DE FAZENDA DE MINAS GERAIS (20012)</v>
      </c>
      <c r="H1726" t="str">
        <f>"Guia DIFAL referente ao mês 02/2026"</f>
        <v>Guia DIFAL referente ao mês 02/2026</v>
      </c>
      <c r="I1726" t="str">
        <f>("11/03/2026")</f>
        <v>11/03/2026</v>
      </c>
      <c r="J1726" t="str">
        <f t="shared" si="334"/>
        <v>11/03/2026</v>
      </c>
      <c r="K1726" t="str">
        <f>("12/03/2026")</f>
        <v>12/03/2026</v>
      </c>
      <c r="L1726">
        <v>182.93</v>
      </c>
      <c r="M1726">
        <v>182.93</v>
      </c>
      <c r="N1726">
        <v>111</v>
      </c>
      <c r="O1726" t="str">
        <f>"OUTRAS DESPESAS / TAXAS"</f>
        <v>OUTRAS DESPESAS / TAXAS</v>
      </c>
      <c r="P1726">
        <v>182.93</v>
      </c>
      <c r="S1726" t="str">
        <f>"BANCO CORA (102)"</f>
        <v>BANCO CORA (102)</v>
      </c>
      <c r="T1726">
        <v>30921</v>
      </c>
      <c r="U1726">
        <v>34793</v>
      </c>
      <c r="V1726" t="s">
        <v>33</v>
      </c>
    </row>
    <row r="1727" spans="1:22">
      <c r="A1727" t="str">
        <f t="shared" si="326"/>
        <v>12/03/2026</v>
      </c>
      <c r="B1727" t="str">
        <f t="shared" si="338"/>
        <v>SAÍDA</v>
      </c>
      <c r="C1727" t="str">
        <f>"BOLETO"</f>
        <v>BOLETO</v>
      </c>
      <c r="D1727" t="str">
        <f>"17032026"</f>
        <v>17032026</v>
      </c>
      <c r="E1727" t="str">
        <f>"2"</f>
        <v>2</v>
      </c>
      <c r="F1727" t="str">
        <f t="shared" si="323"/>
        <v>COM</v>
      </c>
      <c r="G1727" t="str">
        <f>"SECRETARIA DE ESTADO DE FAZENDA DE MINAS GERAIS (20012)"</f>
        <v>SECRETARIA DE ESTADO DE FAZENDA DE MINAS GERAIS (20012)</v>
      </c>
      <c r="H1727" t="s">
        <v>605</v>
      </c>
      <c r="I1727" t="str">
        <f>("11/03/2026")</f>
        <v>11/03/2026</v>
      </c>
      <c r="J1727" t="str">
        <f t="shared" si="334"/>
        <v>11/03/2026</v>
      </c>
      <c r="K1727">
        <v>46093</v>
      </c>
      <c r="N1727">
        <v>111</v>
      </c>
      <c r="O1727" t="s">
        <v>606</v>
      </c>
      <c r="Q1727">
        <v>182.93</v>
      </c>
      <c r="R1727" t="str">
        <f>"SECRETARIA DE ESTADO DE FAZENDA DE MINAS GERAIS (20012)"</f>
        <v>SECRETARIA DE ESTADO DE FAZENDA DE MINAS GERAIS (20012)</v>
      </c>
      <c r="S1727" t="s">
        <v>33</v>
      </c>
      <c r="T1727">
        <v>30921</v>
      </c>
      <c r="U1727">
        <v>34793</v>
      </c>
      <c r="V1727" t="s">
        <v>33</v>
      </c>
    </row>
    <row r="1728" spans="1:22">
      <c r="A1728" t="str">
        <f t="shared" si="326"/>
        <v>12/03/2026</v>
      </c>
      <c r="B1728" t="str">
        <f t="shared" si="338"/>
        <v>SAÍDA</v>
      </c>
      <c r="C1728" t="str">
        <f t="shared" ref="C1728:C1791" si="340">"PIX"</f>
        <v>PIX</v>
      </c>
      <c r="D1728" t="str">
        <f>"27012026"</f>
        <v>27012026</v>
      </c>
      <c r="E1728" t="str">
        <f>"5"</f>
        <v>5</v>
      </c>
      <c r="F1728" t="str">
        <f t="shared" si="323"/>
        <v>COM</v>
      </c>
      <c r="G1728" t="str">
        <f>"ADRIELLE APARECIDA PALOMINO (20029)"</f>
        <v>ADRIELLE APARECIDA PALOMINO (20029)</v>
      </c>
      <c r="H1728" t="str">
        <f>"VALE TRANSPORTE - 8 DIAS (MARÇO/26)"</f>
        <v>VALE TRANSPORTE - 8 DIAS (MARÇO/26)</v>
      </c>
      <c r="I1728" t="str">
        <f t="shared" ref="I1728:I1791" si="341">("12/03/2026")</f>
        <v>12/03/2026</v>
      </c>
      <c r="J1728" t="str">
        <f>("27/01/2026")</f>
        <v>27/01/2026</v>
      </c>
      <c r="K1728" t="str">
        <f>("12/03/2026")</f>
        <v>12/03/2026</v>
      </c>
      <c r="L1728">
        <v>91.2</v>
      </c>
      <c r="M1728">
        <v>91.2</v>
      </c>
      <c r="N1728">
        <v>107</v>
      </c>
      <c r="O1728" t="str">
        <f>"VALE TRANSPORTE"</f>
        <v>VALE TRANSPORTE</v>
      </c>
      <c r="P1728">
        <v>91.2</v>
      </c>
      <c r="S1728" t="str">
        <f>"BANCO C6 (149)"</f>
        <v>BANCO C6 (149)</v>
      </c>
      <c r="T1728">
        <v>30923</v>
      </c>
      <c r="U1728">
        <v>34820</v>
      </c>
      <c r="V1728" t="s">
        <v>37</v>
      </c>
    </row>
    <row r="1729" spans="1:22">
      <c r="A1729" t="str">
        <f t="shared" si="326"/>
        <v>12/03/2026</v>
      </c>
      <c r="B1729" t="str">
        <f t="shared" si="338"/>
        <v>SAÍDA</v>
      </c>
      <c r="C1729" t="str">
        <f t="shared" si="340"/>
        <v>PIX</v>
      </c>
      <c r="D1729" t="str">
        <f>"27012026"</f>
        <v>27012026</v>
      </c>
      <c r="E1729" t="str">
        <f>"5"</f>
        <v>5</v>
      </c>
      <c r="F1729" t="str">
        <f t="shared" si="323"/>
        <v>COM</v>
      </c>
      <c r="G1729" t="str">
        <f>"ADRIELLE APARECIDA PALOMINO (20029)"</f>
        <v>ADRIELLE APARECIDA PALOMINO (20029)</v>
      </c>
      <c r="H1729" t="s">
        <v>607</v>
      </c>
      <c r="I1729" t="str">
        <f t="shared" si="341"/>
        <v>12/03/2026</v>
      </c>
      <c r="J1729" t="str">
        <f>("27/01/2026")</f>
        <v>27/01/2026</v>
      </c>
      <c r="K1729">
        <v>46093</v>
      </c>
      <c r="N1729">
        <v>107</v>
      </c>
      <c r="O1729" t="s">
        <v>78</v>
      </c>
      <c r="Q1729">
        <v>91.2</v>
      </c>
      <c r="R1729" t="str">
        <f>"FLUX FARMA (20143)"</f>
        <v>FLUX FARMA (20143)</v>
      </c>
      <c r="S1729" t="s">
        <v>37</v>
      </c>
      <c r="T1729">
        <v>30923</v>
      </c>
      <c r="U1729">
        <v>34820</v>
      </c>
      <c r="V1729" t="s">
        <v>37</v>
      </c>
    </row>
    <row r="1730" spans="1:22">
      <c r="A1730" t="str">
        <f t="shared" si="326"/>
        <v>12/03/2026</v>
      </c>
      <c r="B1730" t="str">
        <f t="shared" si="338"/>
        <v>SAÍDA</v>
      </c>
      <c r="C1730" t="str">
        <f t="shared" si="340"/>
        <v>PIX</v>
      </c>
      <c r="D1730" t="str">
        <f t="shared" ref="D1730:D1736" si="342">"12032026"</f>
        <v>12032026</v>
      </c>
      <c r="E1730" t="str">
        <f>""</f>
        <v/>
      </c>
      <c r="F1730" t="str">
        <f t="shared" ref="F1730:F1793" si="343">"COM"</f>
        <v>COM</v>
      </c>
      <c r="G1730" t="str">
        <f>"ADRIELLE APARECIDA PALOMINO (20029)"</f>
        <v>ADRIELLE APARECIDA PALOMINO (20029)</v>
      </c>
      <c r="H1730" t="str">
        <f>"REEMBOLSO DESPESAS COM UBER"</f>
        <v>REEMBOLSO DESPESAS COM UBER</v>
      </c>
      <c r="I1730" t="str">
        <f t="shared" si="341"/>
        <v>12/03/2026</v>
      </c>
      <c r="J1730" t="str">
        <f>("12/03/2026")</f>
        <v>12/03/2026</v>
      </c>
      <c r="K1730" t="str">
        <f>("12/03/2026")</f>
        <v>12/03/2026</v>
      </c>
      <c r="L1730">
        <v>36.25</v>
      </c>
      <c r="M1730">
        <v>36.25</v>
      </c>
      <c r="N1730">
        <v>110</v>
      </c>
      <c r="O1730" t="str">
        <f>"DESPESAS COM REEMBOLSOS"</f>
        <v>DESPESAS COM REEMBOLSOS</v>
      </c>
      <c r="P1730">
        <v>36.25</v>
      </c>
      <c r="S1730" t="str">
        <f>"BANCO C6 (149)"</f>
        <v>BANCO C6 (149)</v>
      </c>
      <c r="T1730">
        <v>30924</v>
      </c>
      <c r="U1730">
        <v>34818</v>
      </c>
      <c r="V1730" t="s">
        <v>37</v>
      </c>
    </row>
    <row r="1731" spans="1:22">
      <c r="A1731" t="str">
        <f t="shared" si="326"/>
        <v>12/03/2026</v>
      </c>
      <c r="B1731" t="str">
        <f t="shared" si="338"/>
        <v>SAÍDA</v>
      </c>
      <c r="C1731" t="str">
        <f t="shared" si="340"/>
        <v>PIX</v>
      </c>
      <c r="D1731" t="str">
        <f t="shared" si="342"/>
        <v>12032026</v>
      </c>
      <c r="E1731" t="str">
        <f>""</f>
        <v/>
      </c>
      <c r="F1731" t="str">
        <f t="shared" si="343"/>
        <v>COM</v>
      </c>
      <c r="G1731" t="str">
        <f>"ADRIELLE APARECIDA PALOMINO (20029)"</f>
        <v>ADRIELLE APARECIDA PALOMINO (20029)</v>
      </c>
      <c r="H1731" t="s">
        <v>608</v>
      </c>
      <c r="I1731" t="str">
        <f t="shared" si="341"/>
        <v>12/03/2026</v>
      </c>
      <c r="J1731" t="str">
        <f t="shared" ref="J1731:J1736" si="344">("12/03/2026")</f>
        <v>12/03/2026</v>
      </c>
      <c r="K1731">
        <v>46093</v>
      </c>
      <c r="N1731">
        <v>110</v>
      </c>
      <c r="O1731" t="s">
        <v>591</v>
      </c>
      <c r="Q1731">
        <v>4</v>
      </c>
      <c r="R1731" t="str">
        <f>"ADRIELLE APARECIDA PALOMINO (20029)"</f>
        <v>ADRIELLE APARECIDA PALOMINO (20029)</v>
      </c>
      <c r="S1731" t="s">
        <v>37</v>
      </c>
      <c r="T1731">
        <v>30924</v>
      </c>
      <c r="U1731">
        <v>34818</v>
      </c>
      <c r="V1731" t="s">
        <v>37</v>
      </c>
    </row>
    <row r="1732" spans="1:22">
      <c r="A1732" t="str">
        <f t="shared" si="326"/>
        <v>12/03/2026</v>
      </c>
      <c r="B1732" t="str">
        <f t="shared" si="338"/>
        <v>SAÍDA</v>
      </c>
      <c r="C1732" t="str">
        <f t="shared" si="340"/>
        <v>PIX</v>
      </c>
      <c r="D1732" t="str">
        <f t="shared" si="342"/>
        <v>12032026</v>
      </c>
      <c r="E1732" t="str">
        <f>""</f>
        <v/>
      </c>
      <c r="F1732" t="str">
        <f t="shared" si="343"/>
        <v>COM</v>
      </c>
      <c r="G1732" t="str">
        <f>"ADRIELLE APARECIDA PALOMINO (20029)"</f>
        <v>ADRIELLE APARECIDA PALOMINO (20029)</v>
      </c>
      <c r="H1732" t="s">
        <v>608</v>
      </c>
      <c r="I1732" t="str">
        <f t="shared" si="341"/>
        <v>12/03/2026</v>
      </c>
      <c r="J1732" t="str">
        <f t="shared" si="344"/>
        <v>12/03/2026</v>
      </c>
      <c r="K1732">
        <v>46093</v>
      </c>
      <c r="N1732">
        <v>110</v>
      </c>
      <c r="O1732" t="s">
        <v>591</v>
      </c>
      <c r="Q1732">
        <v>32.25</v>
      </c>
      <c r="R1732" t="str">
        <f>"FLUX FARMA (20143)"</f>
        <v>FLUX FARMA (20143)</v>
      </c>
      <c r="S1732" t="s">
        <v>37</v>
      </c>
      <c r="T1732">
        <v>30924</v>
      </c>
      <c r="U1732">
        <v>34818</v>
      </c>
      <c r="V1732" t="s">
        <v>37</v>
      </c>
    </row>
    <row r="1733" spans="1:22">
      <c r="A1733" t="str">
        <f t="shared" si="326"/>
        <v>12/03/2026</v>
      </c>
      <c r="B1733" t="str">
        <f t="shared" si="338"/>
        <v>SAÍDA</v>
      </c>
      <c r="C1733" t="str">
        <f t="shared" si="340"/>
        <v>PIX</v>
      </c>
      <c r="D1733" t="str">
        <f t="shared" si="342"/>
        <v>12032026</v>
      </c>
      <c r="E1733" t="str">
        <f>""</f>
        <v/>
      </c>
      <c r="F1733" t="str">
        <f t="shared" si="343"/>
        <v>COM</v>
      </c>
      <c r="G1733" t="str">
        <f>"ALLAN SILVA DAMACENA (790)"</f>
        <v>ALLAN SILVA DAMACENA (790)</v>
      </c>
      <c r="H1733" t="str">
        <f>"Serv.Prest. 10/03/2026 - PIX: CELULAR - CHAVE: (19) 98944-4977"</f>
        <v>Serv.Prest. 10/03/2026 - PIX: CELULAR - CHAVE: (19) 98944-4977</v>
      </c>
      <c r="I1733" t="str">
        <f t="shared" si="341"/>
        <v>12/03/2026</v>
      </c>
      <c r="J1733" t="str">
        <f t="shared" si="344"/>
        <v>12/03/2026</v>
      </c>
      <c r="K1733" t="str">
        <f>("12/03/2026")</f>
        <v>12/03/2026</v>
      </c>
      <c r="L1733">
        <v>50</v>
      </c>
      <c r="M1733">
        <v>50</v>
      </c>
      <c r="N1733">
        <v>134</v>
      </c>
      <c r="O1733" t="str">
        <f>"DIARIA DE MOTOBOY"</f>
        <v>DIARIA DE MOTOBOY</v>
      </c>
      <c r="P1733">
        <v>50</v>
      </c>
      <c r="S1733" t="str">
        <f>"BANCO C6 (149)"</f>
        <v>BANCO C6 (149)</v>
      </c>
      <c r="T1733">
        <v>30925</v>
      </c>
      <c r="U1733">
        <v>34813</v>
      </c>
      <c r="V1733" t="s">
        <v>37</v>
      </c>
    </row>
    <row r="1734" spans="1:22">
      <c r="A1734" t="str">
        <f t="shared" si="326"/>
        <v>12/03/2026</v>
      </c>
      <c r="B1734" t="str">
        <f t="shared" si="338"/>
        <v>SAÍDA</v>
      </c>
      <c r="C1734" t="str">
        <f t="shared" si="340"/>
        <v>PIX</v>
      </c>
      <c r="D1734" t="str">
        <f t="shared" si="342"/>
        <v>12032026</v>
      </c>
      <c r="E1734" t="str">
        <f>""</f>
        <v/>
      </c>
      <c r="F1734" t="str">
        <f t="shared" si="343"/>
        <v>COM</v>
      </c>
      <c r="G1734" t="str">
        <f>"ALLAN SILVA DAMACENA (790)"</f>
        <v>ALLAN SILVA DAMACENA (790)</v>
      </c>
      <c r="H1734" t="s">
        <v>609</v>
      </c>
      <c r="I1734" t="str">
        <f t="shared" si="341"/>
        <v>12/03/2026</v>
      </c>
      <c r="J1734" t="str">
        <f t="shared" si="344"/>
        <v>12/03/2026</v>
      </c>
      <c r="K1734">
        <v>46093</v>
      </c>
      <c r="N1734">
        <v>134</v>
      </c>
      <c r="O1734" t="s">
        <v>30</v>
      </c>
      <c r="Q1734">
        <v>50</v>
      </c>
      <c r="R1734" t="str">
        <f>"ALLAN SILVA DAMACENA (790)"</f>
        <v>ALLAN SILVA DAMACENA (790)</v>
      </c>
      <c r="S1734" t="s">
        <v>37</v>
      </c>
      <c r="T1734">
        <v>30925</v>
      </c>
      <c r="U1734">
        <v>34813</v>
      </c>
      <c r="V1734" t="s">
        <v>37</v>
      </c>
    </row>
    <row r="1735" spans="1:22">
      <c r="A1735" t="str">
        <f t="shared" si="326"/>
        <v>12/03/2026</v>
      </c>
      <c r="B1735" t="str">
        <f t="shared" si="338"/>
        <v>SAÍDA</v>
      </c>
      <c r="C1735" t="str">
        <f t="shared" si="340"/>
        <v>PIX</v>
      </c>
      <c r="D1735" t="str">
        <f t="shared" si="342"/>
        <v>12032026</v>
      </c>
      <c r="E1735" t="str">
        <f>""</f>
        <v/>
      </c>
      <c r="F1735" t="str">
        <f t="shared" si="343"/>
        <v>COM</v>
      </c>
      <c r="G1735" t="str">
        <f>"HENRIQUE VALENTIM FERREIRA (1083)"</f>
        <v>HENRIQUE VALENTIM FERREIRA (1083)</v>
      </c>
      <c r="H1735" t="str">
        <f>"Serv.Prest. DIÁRIA 27/02/2026 - PIX: CELULAR - CHAVE: 11992935521"</f>
        <v>Serv.Prest. DIÁRIA 27/02/2026 - PIX: CELULAR - CHAVE: 11992935521</v>
      </c>
      <c r="I1735" t="str">
        <f t="shared" si="341"/>
        <v>12/03/2026</v>
      </c>
      <c r="J1735" t="str">
        <f t="shared" si="344"/>
        <v>12/03/2026</v>
      </c>
      <c r="K1735" t="str">
        <f>("12/03/2026")</f>
        <v>12/03/2026</v>
      </c>
      <c r="L1735">
        <v>180</v>
      </c>
      <c r="M1735">
        <v>180</v>
      </c>
      <c r="N1735">
        <v>109</v>
      </c>
      <c r="O1735" t="str">
        <f>"PAGAMENTO DE ENTREGADORES"</f>
        <v>PAGAMENTO DE ENTREGADORES</v>
      </c>
      <c r="P1735">
        <v>180</v>
      </c>
      <c r="S1735" t="str">
        <f>"BANCO C6 (149)"</f>
        <v>BANCO C6 (149)</v>
      </c>
      <c r="T1735">
        <v>30926</v>
      </c>
      <c r="U1735">
        <v>34808</v>
      </c>
      <c r="V1735" t="s">
        <v>37</v>
      </c>
    </row>
    <row r="1736" spans="1:22">
      <c r="A1736" t="str">
        <f t="shared" si="326"/>
        <v>12/03/2026</v>
      </c>
      <c r="B1736" t="str">
        <f t="shared" si="338"/>
        <v>SAÍDA</v>
      </c>
      <c r="C1736" t="str">
        <f t="shared" si="340"/>
        <v>PIX</v>
      </c>
      <c r="D1736" t="str">
        <f t="shared" si="342"/>
        <v>12032026</v>
      </c>
      <c r="E1736" t="str">
        <f>""</f>
        <v/>
      </c>
      <c r="F1736" t="str">
        <f t="shared" si="343"/>
        <v>COM</v>
      </c>
      <c r="G1736" t="str">
        <f>"HENRIQUE VALENTIM FERREIRA (1083)"</f>
        <v>HENRIQUE VALENTIM FERREIRA (1083)</v>
      </c>
      <c r="H1736" t="s">
        <v>610</v>
      </c>
      <c r="I1736" t="str">
        <f t="shared" si="341"/>
        <v>12/03/2026</v>
      </c>
      <c r="J1736" t="str">
        <f t="shared" si="344"/>
        <v>12/03/2026</v>
      </c>
      <c r="K1736">
        <v>46093</v>
      </c>
      <c r="N1736">
        <v>109</v>
      </c>
      <c r="O1736" t="s">
        <v>27</v>
      </c>
      <c r="Q1736">
        <v>180</v>
      </c>
      <c r="R1736" t="str">
        <f>"PENSE FARMA 19 (10223)"</f>
        <v>PENSE FARMA 19 (10223)</v>
      </c>
      <c r="S1736" t="s">
        <v>37</v>
      </c>
      <c r="T1736">
        <v>30926</v>
      </c>
      <c r="U1736">
        <v>34808</v>
      </c>
      <c r="V1736" t="s">
        <v>37</v>
      </c>
    </row>
    <row r="1737" spans="1:22">
      <c r="A1737" t="str">
        <f t="shared" ref="A1737:A1800" si="345">("12/03/2026")</f>
        <v>12/03/2026</v>
      </c>
      <c r="B1737" t="str">
        <f t="shared" si="338"/>
        <v>SAÍDA</v>
      </c>
      <c r="C1737" t="str">
        <f t="shared" si="340"/>
        <v>PIX</v>
      </c>
      <c r="D1737" t="str">
        <f>"34686"</f>
        <v>34686</v>
      </c>
      <c r="E1737" t="str">
        <f t="shared" ref="E1737:E1800" si="346">"1"</f>
        <v>1</v>
      </c>
      <c r="F1737" t="str">
        <f t="shared" si="343"/>
        <v>COM</v>
      </c>
      <c r="G1737" t="str">
        <f>"MARCELO FERNANDES DA SILVA (1041)"</f>
        <v>MARCELO FERNANDES DA SILVA (1041)</v>
      </c>
      <c r="H1737" t="str">
        <f>"Serv.Prest. 02/03/2026 a 08/03/2026 - PIX: E-MAIL - CHAVE: taison10032@hotmail.com"</f>
        <v>Serv.Prest. 02/03/2026 a 08/03/2026 - PIX: E-MAIL - CHAVE: taison10032@hotmail.com</v>
      </c>
      <c r="I1737" t="str">
        <f t="shared" si="341"/>
        <v>12/03/2026</v>
      </c>
      <c r="J1737" t="str">
        <f>("10/03/2026")</f>
        <v>10/03/2026</v>
      </c>
      <c r="K1737" t="str">
        <f>("12/03/2026")</f>
        <v>12/03/2026</v>
      </c>
      <c r="L1737">
        <v>360</v>
      </c>
      <c r="M1737">
        <v>360</v>
      </c>
      <c r="N1737">
        <v>109</v>
      </c>
      <c r="O1737" t="str">
        <f>"PAGAMENTO DE ENTREGADORES"</f>
        <v>PAGAMENTO DE ENTREGADORES</v>
      </c>
      <c r="P1737">
        <v>360</v>
      </c>
      <c r="S1737" t="str">
        <f>"BANCO C6 (149)"</f>
        <v>BANCO C6 (149)</v>
      </c>
      <c r="T1737">
        <v>30927</v>
      </c>
      <c r="U1737">
        <v>34686</v>
      </c>
      <c r="V1737" t="s">
        <v>37</v>
      </c>
    </row>
    <row r="1738" spans="1:22">
      <c r="A1738" t="str">
        <f t="shared" si="345"/>
        <v>12/03/2026</v>
      </c>
      <c r="B1738" t="str">
        <f t="shared" si="338"/>
        <v>SAÍDA</v>
      </c>
      <c r="C1738" t="str">
        <f t="shared" si="340"/>
        <v>PIX</v>
      </c>
      <c r="D1738" t="str">
        <f>"34686"</f>
        <v>34686</v>
      </c>
      <c r="E1738" t="str">
        <f t="shared" si="346"/>
        <v>1</v>
      </c>
      <c r="F1738" t="str">
        <f t="shared" si="343"/>
        <v>COM</v>
      </c>
      <c r="G1738" t="str">
        <f>"MARCELO FERNANDES DA SILVA (1041)"</f>
        <v>MARCELO FERNANDES DA SILVA (1041)</v>
      </c>
      <c r="H1738" t="s">
        <v>611</v>
      </c>
      <c r="I1738" t="str">
        <f t="shared" si="341"/>
        <v>12/03/2026</v>
      </c>
      <c r="J1738" t="str">
        <f>("10/03/2026")</f>
        <v>10/03/2026</v>
      </c>
      <c r="K1738">
        <v>46093</v>
      </c>
      <c r="N1738">
        <v>109</v>
      </c>
      <c r="O1738" t="s">
        <v>27</v>
      </c>
      <c r="Q1738">
        <v>360</v>
      </c>
      <c r="R1738" t="str">
        <f>"DROGARIA BEM ESTAR (10193)"</f>
        <v>DROGARIA BEM ESTAR (10193)</v>
      </c>
      <c r="S1738" t="s">
        <v>37</v>
      </c>
      <c r="T1738">
        <v>30927</v>
      </c>
      <c r="U1738">
        <v>34686</v>
      </c>
      <c r="V1738" t="s">
        <v>37</v>
      </c>
    </row>
    <row r="1739" spans="1:22">
      <c r="A1739" t="str">
        <f t="shared" si="345"/>
        <v>12/03/2026</v>
      </c>
      <c r="B1739" t="str">
        <f t="shared" si="338"/>
        <v>SAÍDA</v>
      </c>
      <c r="C1739" t="str">
        <f t="shared" si="340"/>
        <v>PIX</v>
      </c>
      <c r="D1739" t="str">
        <f>"34685"</f>
        <v>34685</v>
      </c>
      <c r="E1739" t="str">
        <f t="shared" si="346"/>
        <v>1</v>
      </c>
      <c r="F1739" t="str">
        <f t="shared" si="343"/>
        <v>COM</v>
      </c>
      <c r="G1739" t="str">
        <f>"DEIVID FERNANDES COSTA (828)"</f>
        <v>DEIVID FERNANDES COSTA (828)</v>
      </c>
      <c r="H1739" t="str">
        <f>"Serv.Prest. 02/03/2026 a 08/03/2026 - PIX: CELULAR - CHAVE: (62) 99550-3226"</f>
        <v>Serv.Prest. 02/03/2026 a 08/03/2026 - PIX: CELULAR - CHAVE: (62) 99550-3226</v>
      </c>
      <c r="I1739" t="str">
        <f t="shared" si="341"/>
        <v>12/03/2026</v>
      </c>
      <c r="J1739" t="str">
        <f>("10/03/2026")</f>
        <v>10/03/2026</v>
      </c>
      <c r="K1739" t="str">
        <f>("12/03/2026")</f>
        <v>12/03/2026</v>
      </c>
      <c r="L1739">
        <v>478</v>
      </c>
      <c r="M1739">
        <v>478</v>
      </c>
      <c r="N1739">
        <v>109</v>
      </c>
      <c r="O1739" t="str">
        <f>"PAGAMENTO DE ENTREGADORES"</f>
        <v>PAGAMENTO DE ENTREGADORES</v>
      </c>
      <c r="P1739">
        <v>478</v>
      </c>
      <c r="S1739" t="str">
        <f>"BANCO C6 (149)"</f>
        <v>BANCO C6 (149)</v>
      </c>
      <c r="T1739">
        <v>30928</v>
      </c>
      <c r="U1739">
        <v>34685</v>
      </c>
      <c r="V1739" t="s">
        <v>37</v>
      </c>
    </row>
    <row r="1740" spans="1:22">
      <c r="A1740" t="str">
        <f t="shared" si="345"/>
        <v>12/03/2026</v>
      </c>
      <c r="B1740" t="str">
        <f t="shared" si="338"/>
        <v>SAÍDA</v>
      </c>
      <c r="C1740" t="str">
        <f t="shared" si="340"/>
        <v>PIX</v>
      </c>
      <c r="D1740" t="str">
        <f>"34685"</f>
        <v>34685</v>
      </c>
      <c r="E1740" t="str">
        <f t="shared" si="346"/>
        <v>1</v>
      </c>
      <c r="F1740" t="str">
        <f t="shared" si="343"/>
        <v>COM</v>
      </c>
      <c r="G1740" t="str">
        <f>"DEIVID FERNANDES COSTA (828)"</f>
        <v>DEIVID FERNANDES COSTA (828)</v>
      </c>
      <c r="H1740" t="s">
        <v>424</v>
      </c>
      <c r="I1740" t="str">
        <f t="shared" si="341"/>
        <v>12/03/2026</v>
      </c>
      <c r="J1740" t="str">
        <f>("10/03/2026")</f>
        <v>10/03/2026</v>
      </c>
      <c r="K1740">
        <v>46093</v>
      </c>
      <c r="N1740">
        <v>109</v>
      </c>
      <c r="O1740" t="s">
        <v>27</v>
      </c>
      <c r="Q1740">
        <v>478</v>
      </c>
      <c r="R1740" t="str">
        <f>"DROGARIA BEM ESTAR (10193)"</f>
        <v>DROGARIA BEM ESTAR (10193)</v>
      </c>
      <c r="S1740" t="s">
        <v>37</v>
      </c>
      <c r="T1740">
        <v>30928</v>
      </c>
      <c r="U1740">
        <v>34685</v>
      </c>
      <c r="V1740" t="s">
        <v>37</v>
      </c>
    </row>
    <row r="1741" spans="1:22">
      <c r="A1741" t="str">
        <f t="shared" si="345"/>
        <v>12/03/2026</v>
      </c>
      <c r="B1741" t="str">
        <f t="shared" si="338"/>
        <v>SAÍDA</v>
      </c>
      <c r="C1741" t="str">
        <f t="shared" si="340"/>
        <v>PIX</v>
      </c>
      <c r="D1741" t="str">
        <f>"33826"</f>
        <v>33826</v>
      </c>
      <c r="E1741" t="str">
        <f t="shared" si="346"/>
        <v>1</v>
      </c>
      <c r="F1741" t="str">
        <f t="shared" si="343"/>
        <v>COM</v>
      </c>
      <c r="G1741" t="str">
        <f>"ALAN ACOSTA (897)"</f>
        <v>ALAN ACOSTA (897)</v>
      </c>
      <c r="H1741" t="str">
        <f>"Serv.Prest. 23/02/2026 a 01/03/2026 - PIX: CELULAR - CHAVE: (43) 99875-6490"</f>
        <v>Serv.Prest. 23/02/2026 a 01/03/2026 - PIX: CELULAR - CHAVE: (43) 99875-6490</v>
      </c>
      <c r="I1741" t="str">
        <f t="shared" si="341"/>
        <v>12/03/2026</v>
      </c>
      <c r="J1741" t="str">
        <f t="shared" ref="J1741:J1775" si="347">("02/03/2026")</f>
        <v>02/03/2026</v>
      </c>
      <c r="K1741" t="str">
        <f>("12/03/2026")</f>
        <v>12/03/2026</v>
      </c>
      <c r="L1741">
        <v>397.4</v>
      </c>
      <c r="M1741">
        <v>397.4</v>
      </c>
      <c r="N1741">
        <v>109</v>
      </c>
      <c r="O1741" t="str">
        <f>"PAGAMENTO DE ENTREGADORES"</f>
        <v>PAGAMENTO DE ENTREGADORES</v>
      </c>
      <c r="P1741">
        <v>397.4</v>
      </c>
      <c r="S1741" t="str">
        <f>"BANCO C6 (149)"</f>
        <v>BANCO C6 (149)</v>
      </c>
      <c r="T1741">
        <v>30929</v>
      </c>
      <c r="U1741">
        <v>33826</v>
      </c>
      <c r="V1741" t="s">
        <v>37</v>
      </c>
    </row>
    <row r="1742" spans="1:22">
      <c r="A1742" t="str">
        <f t="shared" si="345"/>
        <v>12/03/2026</v>
      </c>
      <c r="B1742" t="str">
        <f t="shared" si="338"/>
        <v>SAÍDA</v>
      </c>
      <c r="C1742" t="str">
        <f t="shared" si="340"/>
        <v>PIX</v>
      </c>
      <c r="D1742" t="str">
        <f>"33826"</f>
        <v>33826</v>
      </c>
      <c r="E1742" t="str">
        <f t="shared" si="346"/>
        <v>1</v>
      </c>
      <c r="F1742" t="str">
        <f t="shared" si="343"/>
        <v>COM</v>
      </c>
      <c r="G1742" t="str">
        <f>"ALAN ACOSTA (897)"</f>
        <v>ALAN ACOSTA (897)</v>
      </c>
      <c r="H1742" t="s">
        <v>426</v>
      </c>
      <c r="I1742" t="str">
        <f t="shared" si="341"/>
        <v>12/03/2026</v>
      </c>
      <c r="J1742" t="str">
        <f t="shared" si="347"/>
        <v>02/03/2026</v>
      </c>
      <c r="K1742">
        <v>46093</v>
      </c>
      <c r="N1742">
        <v>109</v>
      </c>
      <c r="O1742" t="s">
        <v>27</v>
      </c>
      <c r="Q1742">
        <v>397.4</v>
      </c>
      <c r="R1742" t="str">
        <f>"AC FARMA - CID.ALTA (10166)"</f>
        <v>AC FARMA - CID.ALTA (10166)</v>
      </c>
      <c r="S1742" t="s">
        <v>37</v>
      </c>
      <c r="T1742">
        <v>30929</v>
      </c>
      <c r="U1742">
        <v>33826</v>
      </c>
      <c r="V1742" t="s">
        <v>37</v>
      </c>
    </row>
    <row r="1743" spans="1:22">
      <c r="A1743" t="str">
        <f t="shared" si="345"/>
        <v>12/03/2026</v>
      </c>
      <c r="B1743" t="str">
        <f t="shared" si="338"/>
        <v>SAÍDA</v>
      </c>
      <c r="C1743" t="str">
        <f t="shared" si="340"/>
        <v>PIX</v>
      </c>
      <c r="D1743" t="str">
        <f>"33827"</f>
        <v>33827</v>
      </c>
      <c r="E1743" t="str">
        <f t="shared" si="346"/>
        <v>1</v>
      </c>
      <c r="F1743" t="str">
        <f t="shared" si="343"/>
        <v>COM</v>
      </c>
      <c r="G1743" t="str">
        <f>"CLAUDINEI RIBEIRO VALERIO (681)"</f>
        <v>CLAUDINEI RIBEIRO VALERIO (681)</v>
      </c>
      <c r="H1743" t="str">
        <f>"Serv.Prest. 23/02/2026 a 01/03/2026 - PIX: CELULAR - CHAVE: (43) 99630-7532"</f>
        <v>Serv.Prest. 23/02/2026 a 01/03/2026 - PIX: CELULAR - CHAVE: (43) 99630-7532</v>
      </c>
      <c r="I1743" t="str">
        <f t="shared" si="341"/>
        <v>12/03/2026</v>
      </c>
      <c r="J1743" t="str">
        <f t="shared" si="347"/>
        <v>02/03/2026</v>
      </c>
      <c r="K1743" t="str">
        <f>("12/03/2026")</f>
        <v>12/03/2026</v>
      </c>
      <c r="L1743">
        <v>721.2</v>
      </c>
      <c r="M1743">
        <v>721.2</v>
      </c>
      <c r="N1743">
        <v>109</v>
      </c>
      <c r="O1743" t="str">
        <f>"PAGAMENTO DE ENTREGADORES"</f>
        <v>PAGAMENTO DE ENTREGADORES</v>
      </c>
      <c r="P1743">
        <v>721.2</v>
      </c>
      <c r="S1743" t="str">
        <f>"BANCO C6 (149)"</f>
        <v>BANCO C6 (149)</v>
      </c>
      <c r="T1743">
        <v>30930</v>
      </c>
      <c r="U1743">
        <v>33827</v>
      </c>
      <c r="V1743" t="s">
        <v>37</v>
      </c>
    </row>
    <row r="1744" spans="1:22">
      <c r="A1744" t="str">
        <f t="shared" si="345"/>
        <v>12/03/2026</v>
      </c>
      <c r="B1744" t="str">
        <f t="shared" si="338"/>
        <v>SAÍDA</v>
      </c>
      <c r="C1744" t="str">
        <f t="shared" si="340"/>
        <v>PIX</v>
      </c>
      <c r="D1744" t="str">
        <f>"33827"</f>
        <v>33827</v>
      </c>
      <c r="E1744" t="str">
        <f t="shared" si="346"/>
        <v>1</v>
      </c>
      <c r="F1744" t="str">
        <f t="shared" si="343"/>
        <v>COM</v>
      </c>
      <c r="G1744" t="str">
        <f>"CLAUDINEI RIBEIRO VALERIO (681)"</f>
        <v>CLAUDINEI RIBEIRO VALERIO (681)</v>
      </c>
      <c r="H1744" t="s">
        <v>505</v>
      </c>
      <c r="I1744" t="str">
        <f t="shared" si="341"/>
        <v>12/03/2026</v>
      </c>
      <c r="J1744" t="str">
        <f t="shared" si="347"/>
        <v>02/03/2026</v>
      </c>
      <c r="K1744">
        <v>46093</v>
      </c>
      <c r="N1744">
        <v>109</v>
      </c>
      <c r="O1744" t="s">
        <v>27</v>
      </c>
      <c r="Q1744">
        <v>721.2</v>
      </c>
      <c r="R1744" t="str">
        <f>"AC FARMA - CID.ALTA (10166)"</f>
        <v>AC FARMA - CID.ALTA (10166)</v>
      </c>
      <c r="S1744" t="s">
        <v>37</v>
      </c>
      <c r="T1744">
        <v>30930</v>
      </c>
      <c r="U1744">
        <v>33827</v>
      </c>
      <c r="V1744" t="s">
        <v>37</v>
      </c>
    </row>
    <row r="1745" spans="1:22">
      <c r="A1745" t="str">
        <f t="shared" si="345"/>
        <v>12/03/2026</v>
      </c>
      <c r="B1745" t="str">
        <f t="shared" si="338"/>
        <v>SAÍDA</v>
      </c>
      <c r="C1745" t="str">
        <f t="shared" si="340"/>
        <v>PIX</v>
      </c>
      <c r="D1745" t="str">
        <f>"33828"</f>
        <v>33828</v>
      </c>
      <c r="E1745" t="str">
        <f t="shared" si="346"/>
        <v>1</v>
      </c>
      <c r="F1745" t="str">
        <f t="shared" si="343"/>
        <v>COM</v>
      </c>
      <c r="G1745" t="str">
        <f>"FERNANDO MARTINS DA SILVA (701)"</f>
        <v>FERNANDO MARTINS DA SILVA (701)</v>
      </c>
      <c r="H1745" t="str">
        <f>"Serv.Prest. 23/02/2026 a 01/03/2026 - PIX: CPF - CHAVE: 004.682.359-06"</f>
        <v>Serv.Prest. 23/02/2026 a 01/03/2026 - PIX: CPF - CHAVE: 004.682.359-06</v>
      </c>
      <c r="I1745" t="str">
        <f t="shared" si="341"/>
        <v>12/03/2026</v>
      </c>
      <c r="J1745" t="str">
        <f t="shared" si="347"/>
        <v>02/03/2026</v>
      </c>
      <c r="K1745" t="str">
        <f>("12/03/2026")</f>
        <v>12/03/2026</v>
      </c>
      <c r="L1745">
        <v>1122</v>
      </c>
      <c r="M1745">
        <v>1122</v>
      </c>
      <c r="N1745">
        <v>109</v>
      </c>
      <c r="O1745" t="str">
        <f>"PAGAMENTO DE ENTREGADORES"</f>
        <v>PAGAMENTO DE ENTREGADORES</v>
      </c>
      <c r="P1745">
        <v>1122</v>
      </c>
      <c r="S1745" t="str">
        <f>"BANCO C6 (149)"</f>
        <v>BANCO C6 (149)</v>
      </c>
      <c r="T1745">
        <v>30931</v>
      </c>
      <c r="U1745">
        <v>33828</v>
      </c>
      <c r="V1745" t="s">
        <v>37</v>
      </c>
    </row>
    <row r="1746" spans="1:22">
      <c r="A1746" t="str">
        <f t="shared" si="345"/>
        <v>12/03/2026</v>
      </c>
      <c r="B1746" t="str">
        <f t="shared" si="338"/>
        <v>SAÍDA</v>
      </c>
      <c r="C1746" t="str">
        <f t="shared" si="340"/>
        <v>PIX</v>
      </c>
      <c r="D1746" t="str">
        <f>"33828"</f>
        <v>33828</v>
      </c>
      <c r="E1746" t="str">
        <f t="shared" si="346"/>
        <v>1</v>
      </c>
      <c r="F1746" t="str">
        <f t="shared" si="343"/>
        <v>COM</v>
      </c>
      <c r="G1746" t="str">
        <f>"FERNANDO MARTINS DA SILVA (701)"</f>
        <v>FERNANDO MARTINS DA SILVA (701)</v>
      </c>
      <c r="H1746" t="s">
        <v>509</v>
      </c>
      <c r="I1746" t="str">
        <f t="shared" si="341"/>
        <v>12/03/2026</v>
      </c>
      <c r="J1746" t="str">
        <f t="shared" si="347"/>
        <v>02/03/2026</v>
      </c>
      <c r="K1746">
        <v>46093</v>
      </c>
      <c r="N1746">
        <v>109</v>
      </c>
      <c r="O1746" t="s">
        <v>27</v>
      </c>
      <c r="Q1746">
        <v>1122</v>
      </c>
      <c r="R1746" t="str">
        <f>"AC FARMA - CID.ALTA (10166)"</f>
        <v>AC FARMA - CID.ALTA (10166)</v>
      </c>
      <c r="S1746" t="s">
        <v>37</v>
      </c>
      <c r="T1746">
        <v>30931</v>
      </c>
      <c r="U1746">
        <v>33828</v>
      </c>
      <c r="V1746" t="s">
        <v>37</v>
      </c>
    </row>
    <row r="1747" spans="1:22">
      <c r="A1747" t="str">
        <f t="shared" si="345"/>
        <v>12/03/2026</v>
      </c>
      <c r="B1747" t="str">
        <f t="shared" si="338"/>
        <v>SAÍDA</v>
      </c>
      <c r="C1747" t="str">
        <f t="shared" si="340"/>
        <v>PIX</v>
      </c>
      <c r="D1747" t="str">
        <f>"33829"</f>
        <v>33829</v>
      </c>
      <c r="E1747" t="str">
        <f t="shared" si="346"/>
        <v>1</v>
      </c>
      <c r="F1747" t="str">
        <f t="shared" si="343"/>
        <v>COM</v>
      </c>
      <c r="G1747" t="str">
        <f>"GERALDO SEVERINO DE SANTANA (729)"</f>
        <v>GERALDO SEVERINO DE SANTANA (729)</v>
      </c>
      <c r="H1747" t="str">
        <f>"Serv.Prest. 23/02/2026 a 01/03/2026 - PIX: CELULAR - CHAVE: (43) 99934-1696"</f>
        <v>Serv.Prest. 23/02/2026 a 01/03/2026 - PIX: CELULAR - CHAVE: (43) 99934-1696</v>
      </c>
      <c r="I1747" t="str">
        <f t="shared" si="341"/>
        <v>12/03/2026</v>
      </c>
      <c r="J1747" t="str">
        <f t="shared" si="347"/>
        <v>02/03/2026</v>
      </c>
      <c r="K1747" t="str">
        <f>("12/03/2026")</f>
        <v>12/03/2026</v>
      </c>
      <c r="L1747">
        <v>727.6</v>
      </c>
      <c r="M1747">
        <v>727.6</v>
      </c>
      <c r="N1747">
        <v>109</v>
      </c>
      <c r="O1747" t="str">
        <f>"PAGAMENTO DE ENTREGADORES"</f>
        <v>PAGAMENTO DE ENTREGADORES</v>
      </c>
      <c r="P1747">
        <v>727.6</v>
      </c>
      <c r="S1747" t="str">
        <f>"BANCO C6 (149)"</f>
        <v>BANCO C6 (149)</v>
      </c>
      <c r="T1747">
        <v>30932</v>
      </c>
      <c r="U1747">
        <v>33829</v>
      </c>
      <c r="V1747" t="s">
        <v>37</v>
      </c>
    </row>
    <row r="1748" spans="1:22">
      <c r="A1748" t="str">
        <f t="shared" si="345"/>
        <v>12/03/2026</v>
      </c>
      <c r="B1748" t="str">
        <f t="shared" si="338"/>
        <v>SAÍDA</v>
      </c>
      <c r="C1748" t="str">
        <f t="shared" si="340"/>
        <v>PIX</v>
      </c>
      <c r="D1748" t="str">
        <f>"33829"</f>
        <v>33829</v>
      </c>
      <c r="E1748" t="str">
        <f t="shared" si="346"/>
        <v>1</v>
      </c>
      <c r="F1748" t="str">
        <f t="shared" si="343"/>
        <v>COM</v>
      </c>
      <c r="G1748" t="str">
        <f>"GERALDO SEVERINO DE SANTANA (729)"</f>
        <v>GERALDO SEVERINO DE SANTANA (729)</v>
      </c>
      <c r="H1748" t="s">
        <v>510</v>
      </c>
      <c r="I1748" t="str">
        <f t="shared" si="341"/>
        <v>12/03/2026</v>
      </c>
      <c r="J1748" t="str">
        <f t="shared" si="347"/>
        <v>02/03/2026</v>
      </c>
      <c r="K1748">
        <v>46093</v>
      </c>
      <c r="N1748">
        <v>109</v>
      </c>
      <c r="O1748" t="s">
        <v>27</v>
      </c>
      <c r="Q1748">
        <v>727.6</v>
      </c>
      <c r="R1748" t="str">
        <f>"AC FARMA - CID.ALTA (10166)"</f>
        <v>AC FARMA - CID.ALTA (10166)</v>
      </c>
      <c r="S1748" t="s">
        <v>37</v>
      </c>
      <c r="T1748">
        <v>30932</v>
      </c>
      <c r="U1748">
        <v>33829</v>
      </c>
      <c r="V1748" t="s">
        <v>37</v>
      </c>
    </row>
    <row r="1749" spans="1:22">
      <c r="A1749" t="str">
        <f t="shared" si="345"/>
        <v>12/03/2026</v>
      </c>
      <c r="B1749" t="str">
        <f t="shared" si="338"/>
        <v>SAÍDA</v>
      </c>
      <c r="C1749" t="str">
        <f t="shared" si="340"/>
        <v>PIX</v>
      </c>
      <c r="D1749" t="str">
        <f>"33830"</f>
        <v>33830</v>
      </c>
      <c r="E1749" t="str">
        <f t="shared" si="346"/>
        <v>1</v>
      </c>
      <c r="F1749" t="str">
        <f t="shared" si="343"/>
        <v>COM</v>
      </c>
      <c r="G1749" t="str">
        <f>"HELITON DE OLIVEIRA RAMOS BARBOSA (724)"</f>
        <v>HELITON DE OLIVEIRA RAMOS BARBOSA (724)</v>
      </c>
      <c r="H1749" t="str">
        <f>"Serv.Prest. 23/02/2026 a 01/03/2026 - PIX: CPF - CHAVE: 074.604.219-10"</f>
        <v>Serv.Prest. 23/02/2026 a 01/03/2026 - PIX: CPF - CHAVE: 074.604.219-10</v>
      </c>
      <c r="I1749" t="str">
        <f t="shared" si="341"/>
        <v>12/03/2026</v>
      </c>
      <c r="J1749" t="str">
        <f t="shared" si="347"/>
        <v>02/03/2026</v>
      </c>
      <c r="K1749" t="str">
        <f>("12/03/2026")</f>
        <v>12/03/2026</v>
      </c>
      <c r="L1749">
        <v>816</v>
      </c>
      <c r="M1749">
        <v>816</v>
      </c>
      <c r="N1749">
        <v>109</v>
      </c>
      <c r="O1749" t="str">
        <f>"PAGAMENTO DE ENTREGADORES"</f>
        <v>PAGAMENTO DE ENTREGADORES</v>
      </c>
      <c r="P1749">
        <v>816</v>
      </c>
      <c r="S1749" t="str">
        <f>"BANCO C6 (149)"</f>
        <v>BANCO C6 (149)</v>
      </c>
      <c r="T1749">
        <v>30933</v>
      </c>
      <c r="U1749">
        <v>33830</v>
      </c>
      <c r="V1749" t="s">
        <v>37</v>
      </c>
    </row>
    <row r="1750" spans="1:22">
      <c r="A1750" t="str">
        <f t="shared" si="345"/>
        <v>12/03/2026</v>
      </c>
      <c r="B1750" t="str">
        <f t="shared" si="338"/>
        <v>SAÍDA</v>
      </c>
      <c r="C1750" t="str">
        <f t="shared" si="340"/>
        <v>PIX</v>
      </c>
      <c r="D1750" t="str">
        <f>"33830"</f>
        <v>33830</v>
      </c>
      <c r="E1750" t="str">
        <f t="shared" si="346"/>
        <v>1</v>
      </c>
      <c r="F1750" t="str">
        <f t="shared" si="343"/>
        <v>COM</v>
      </c>
      <c r="G1750" t="str">
        <f>"HELITON DE OLIVEIRA RAMOS BARBOSA (724)"</f>
        <v>HELITON DE OLIVEIRA RAMOS BARBOSA (724)</v>
      </c>
      <c r="H1750" t="s">
        <v>511</v>
      </c>
      <c r="I1750" t="str">
        <f t="shared" si="341"/>
        <v>12/03/2026</v>
      </c>
      <c r="J1750" t="str">
        <f t="shared" si="347"/>
        <v>02/03/2026</v>
      </c>
      <c r="K1750">
        <v>46093</v>
      </c>
      <c r="N1750">
        <v>109</v>
      </c>
      <c r="O1750" t="s">
        <v>27</v>
      </c>
      <c r="Q1750">
        <v>816</v>
      </c>
      <c r="R1750" t="str">
        <f>"AC FARMA - CID.ALTA (10166)"</f>
        <v>AC FARMA - CID.ALTA (10166)</v>
      </c>
      <c r="S1750" t="s">
        <v>37</v>
      </c>
      <c r="T1750">
        <v>30933</v>
      </c>
      <c r="U1750">
        <v>33830</v>
      </c>
      <c r="V1750" t="s">
        <v>37</v>
      </c>
    </row>
    <row r="1751" spans="1:22">
      <c r="A1751" t="str">
        <f t="shared" si="345"/>
        <v>12/03/2026</v>
      </c>
      <c r="B1751" t="str">
        <f t="shared" si="338"/>
        <v>SAÍDA</v>
      </c>
      <c r="C1751" t="str">
        <f t="shared" si="340"/>
        <v>PIX</v>
      </c>
      <c r="D1751" t="str">
        <f>"33831"</f>
        <v>33831</v>
      </c>
      <c r="E1751" t="str">
        <f t="shared" si="346"/>
        <v>1</v>
      </c>
      <c r="F1751" t="str">
        <f t="shared" si="343"/>
        <v>COM</v>
      </c>
      <c r="G1751" t="str">
        <f>"KAINAN FABRÍCIO DOS SANTOS (1258)"</f>
        <v>KAINAN FABRÍCIO DOS SANTOS (1258)</v>
      </c>
      <c r="H1751" t="str">
        <f>"Serv.Prest. 23/02/2026 a 01/03/2026 - PIX: CELULAR - CHAVE: (43) 99830-8026"</f>
        <v>Serv.Prest. 23/02/2026 a 01/03/2026 - PIX: CELULAR - CHAVE: (43) 99830-8026</v>
      </c>
      <c r="I1751" t="str">
        <f t="shared" si="341"/>
        <v>12/03/2026</v>
      </c>
      <c r="J1751" t="str">
        <f t="shared" si="347"/>
        <v>02/03/2026</v>
      </c>
      <c r="K1751" t="str">
        <f>("12/03/2026")</f>
        <v>12/03/2026</v>
      </c>
      <c r="L1751">
        <v>360.4</v>
      </c>
      <c r="M1751">
        <v>360.4</v>
      </c>
      <c r="N1751">
        <v>109</v>
      </c>
      <c r="O1751" t="str">
        <f>"PAGAMENTO DE ENTREGADORES"</f>
        <v>PAGAMENTO DE ENTREGADORES</v>
      </c>
      <c r="P1751">
        <v>360.4</v>
      </c>
      <c r="S1751" t="str">
        <f>"BANCO C6 (149)"</f>
        <v>BANCO C6 (149)</v>
      </c>
      <c r="T1751">
        <v>30934</v>
      </c>
      <c r="U1751">
        <v>33831</v>
      </c>
      <c r="V1751" t="s">
        <v>37</v>
      </c>
    </row>
    <row r="1752" spans="1:22">
      <c r="A1752" t="str">
        <f t="shared" si="345"/>
        <v>12/03/2026</v>
      </c>
      <c r="B1752" t="str">
        <f t="shared" si="338"/>
        <v>SAÍDA</v>
      </c>
      <c r="C1752" t="str">
        <f t="shared" si="340"/>
        <v>PIX</v>
      </c>
      <c r="D1752" t="str">
        <f>"33831"</f>
        <v>33831</v>
      </c>
      <c r="E1752" t="str">
        <f t="shared" si="346"/>
        <v>1</v>
      </c>
      <c r="F1752" t="str">
        <f t="shared" si="343"/>
        <v>COM</v>
      </c>
      <c r="G1752" t="str">
        <f>"KAINAN FABRÍCIO DOS SANTOS (1258)"</f>
        <v>KAINAN FABRÍCIO DOS SANTOS (1258)</v>
      </c>
      <c r="H1752" t="s">
        <v>612</v>
      </c>
      <c r="I1752" t="str">
        <f t="shared" si="341"/>
        <v>12/03/2026</v>
      </c>
      <c r="J1752" t="str">
        <f t="shared" si="347"/>
        <v>02/03/2026</v>
      </c>
      <c r="K1752">
        <v>46093</v>
      </c>
      <c r="N1752">
        <v>109</v>
      </c>
      <c r="O1752" t="s">
        <v>27</v>
      </c>
      <c r="Q1752">
        <v>360.4</v>
      </c>
      <c r="R1752" t="str">
        <f>"AC FARMA - CID.ALTA (10166)"</f>
        <v>AC FARMA - CID.ALTA (10166)</v>
      </c>
      <c r="S1752" t="s">
        <v>37</v>
      </c>
      <c r="T1752">
        <v>30934</v>
      </c>
      <c r="U1752">
        <v>33831</v>
      </c>
      <c r="V1752" t="s">
        <v>37</v>
      </c>
    </row>
    <row r="1753" spans="1:22">
      <c r="A1753" t="str">
        <f t="shared" si="345"/>
        <v>12/03/2026</v>
      </c>
      <c r="B1753" t="str">
        <f t="shared" si="338"/>
        <v>SAÍDA</v>
      </c>
      <c r="C1753" t="str">
        <f t="shared" si="340"/>
        <v>PIX</v>
      </c>
      <c r="D1753" t="str">
        <f>"33833"</f>
        <v>33833</v>
      </c>
      <c r="E1753" t="str">
        <f t="shared" si="346"/>
        <v>1</v>
      </c>
      <c r="F1753" t="str">
        <f t="shared" si="343"/>
        <v>COM</v>
      </c>
      <c r="G1753" t="str">
        <f>"ALAN ACOSTA (897)"</f>
        <v>ALAN ACOSTA (897)</v>
      </c>
      <c r="H1753" t="str">
        <f>"Serv.Prest. 23/02/2026 a 01/03/2026 - PIX: CELULAR - CHAVE: (43) 99875-6490"</f>
        <v>Serv.Prest. 23/02/2026 a 01/03/2026 - PIX: CELULAR - CHAVE: (43) 99875-6490</v>
      </c>
      <c r="I1753" t="str">
        <f t="shared" si="341"/>
        <v>12/03/2026</v>
      </c>
      <c r="J1753" t="str">
        <f t="shared" si="347"/>
        <v>02/03/2026</v>
      </c>
      <c r="K1753" t="str">
        <f>("12/03/2026")</f>
        <v>12/03/2026</v>
      </c>
      <c r="L1753">
        <v>20.399999999999999</v>
      </c>
      <c r="M1753">
        <v>20.399999999999999</v>
      </c>
      <c r="N1753">
        <v>109</v>
      </c>
      <c r="O1753" t="str">
        <f>"PAGAMENTO DE ENTREGADORES"</f>
        <v>PAGAMENTO DE ENTREGADORES</v>
      </c>
      <c r="P1753">
        <v>20.399999999999999</v>
      </c>
      <c r="S1753" t="str">
        <f>"BANCO C6 (149)"</f>
        <v>BANCO C6 (149)</v>
      </c>
      <c r="T1753">
        <v>30935</v>
      </c>
      <c r="U1753">
        <v>33833</v>
      </c>
      <c r="V1753" t="s">
        <v>37</v>
      </c>
    </row>
    <row r="1754" spans="1:22">
      <c r="A1754" t="str">
        <f t="shared" si="345"/>
        <v>12/03/2026</v>
      </c>
      <c r="B1754" t="str">
        <f t="shared" si="338"/>
        <v>SAÍDA</v>
      </c>
      <c r="C1754" t="str">
        <f t="shared" si="340"/>
        <v>PIX</v>
      </c>
      <c r="D1754" t="str">
        <f>"33833"</f>
        <v>33833</v>
      </c>
      <c r="E1754" t="str">
        <f t="shared" si="346"/>
        <v>1</v>
      </c>
      <c r="F1754" t="str">
        <f t="shared" si="343"/>
        <v>COM</v>
      </c>
      <c r="G1754" t="str">
        <f>"ALAN ACOSTA (897)"</f>
        <v>ALAN ACOSTA (897)</v>
      </c>
      <c r="H1754" t="s">
        <v>426</v>
      </c>
      <c r="I1754" t="str">
        <f t="shared" si="341"/>
        <v>12/03/2026</v>
      </c>
      <c r="J1754" t="str">
        <f t="shared" si="347"/>
        <v>02/03/2026</v>
      </c>
      <c r="K1754">
        <v>46093</v>
      </c>
      <c r="N1754">
        <v>109</v>
      </c>
      <c r="O1754" t="s">
        <v>27</v>
      </c>
      <c r="Q1754">
        <v>6.8</v>
      </c>
      <c r="R1754" t="str">
        <f>"AC FARMA - FLEMINFARMA 5 (10183)"</f>
        <v>AC FARMA - FLEMINFARMA 5 (10183)</v>
      </c>
      <c r="S1754" t="s">
        <v>37</v>
      </c>
      <c r="T1754">
        <v>30935</v>
      </c>
      <c r="U1754">
        <v>33833</v>
      </c>
      <c r="V1754" t="s">
        <v>37</v>
      </c>
    </row>
    <row r="1755" spans="1:22">
      <c r="A1755" t="str">
        <f t="shared" si="345"/>
        <v>12/03/2026</v>
      </c>
      <c r="B1755" t="str">
        <f t="shared" si="338"/>
        <v>SAÍDA</v>
      </c>
      <c r="C1755" t="str">
        <f t="shared" si="340"/>
        <v>PIX</v>
      </c>
      <c r="D1755" t="str">
        <f>"33833"</f>
        <v>33833</v>
      </c>
      <c r="E1755" t="str">
        <f t="shared" si="346"/>
        <v>1</v>
      </c>
      <c r="F1755" t="str">
        <f t="shared" si="343"/>
        <v>COM</v>
      </c>
      <c r="G1755" t="str">
        <f>"ALAN ACOSTA (897)"</f>
        <v>ALAN ACOSTA (897)</v>
      </c>
      <c r="H1755" t="s">
        <v>426</v>
      </c>
      <c r="I1755" t="str">
        <f t="shared" si="341"/>
        <v>12/03/2026</v>
      </c>
      <c r="J1755" t="str">
        <f t="shared" si="347"/>
        <v>02/03/2026</v>
      </c>
      <c r="K1755">
        <v>46093</v>
      </c>
      <c r="N1755">
        <v>109</v>
      </c>
      <c r="O1755" t="s">
        <v>27</v>
      </c>
      <c r="Q1755">
        <v>13.6</v>
      </c>
      <c r="R1755" t="str">
        <f>"AC FARMA - FLEMINFARMA 6 (10184)"</f>
        <v>AC FARMA - FLEMINFARMA 6 (10184)</v>
      </c>
      <c r="S1755" t="s">
        <v>37</v>
      </c>
      <c r="T1755">
        <v>30935</v>
      </c>
      <c r="U1755">
        <v>33833</v>
      </c>
      <c r="V1755" t="s">
        <v>37</v>
      </c>
    </row>
    <row r="1756" spans="1:22">
      <c r="A1756" t="str">
        <f t="shared" si="345"/>
        <v>12/03/2026</v>
      </c>
      <c r="B1756" t="str">
        <f t="shared" si="338"/>
        <v>SAÍDA</v>
      </c>
      <c r="C1756" t="str">
        <f t="shared" si="340"/>
        <v>PIX</v>
      </c>
      <c r="D1756" t="str">
        <f>"33834"</f>
        <v>33834</v>
      </c>
      <c r="E1756" t="str">
        <f t="shared" si="346"/>
        <v>1</v>
      </c>
      <c r="F1756" t="str">
        <f t="shared" si="343"/>
        <v>COM</v>
      </c>
      <c r="G1756" t="str">
        <f>"FERNANDO MARTINS DA SILVA (701)"</f>
        <v>FERNANDO MARTINS DA SILVA (701)</v>
      </c>
      <c r="H1756" t="str">
        <f>"Serv.Prest. 23/02/2026 a 01/03/2026 - PIX: CPF - CHAVE: 004.682.359-06"</f>
        <v>Serv.Prest. 23/02/2026 a 01/03/2026 - PIX: CPF - CHAVE: 004.682.359-06</v>
      </c>
      <c r="I1756" t="str">
        <f t="shared" si="341"/>
        <v>12/03/2026</v>
      </c>
      <c r="J1756" t="str">
        <f t="shared" si="347"/>
        <v>02/03/2026</v>
      </c>
      <c r="K1756" t="str">
        <f>("12/03/2026")</f>
        <v>12/03/2026</v>
      </c>
      <c r="L1756">
        <v>122.4</v>
      </c>
      <c r="M1756">
        <v>122.4</v>
      </c>
      <c r="N1756">
        <v>109</v>
      </c>
      <c r="O1756" t="str">
        <f>"PAGAMENTO DE ENTREGADORES"</f>
        <v>PAGAMENTO DE ENTREGADORES</v>
      </c>
      <c r="P1756">
        <v>122.4</v>
      </c>
      <c r="S1756" t="str">
        <f>"BANCO C6 (149)"</f>
        <v>BANCO C6 (149)</v>
      </c>
      <c r="T1756">
        <v>30936</v>
      </c>
      <c r="U1756">
        <v>33834</v>
      </c>
      <c r="V1756" t="s">
        <v>37</v>
      </c>
    </row>
    <row r="1757" spans="1:22">
      <c r="A1757" t="str">
        <f t="shared" si="345"/>
        <v>12/03/2026</v>
      </c>
      <c r="B1757" t="str">
        <f t="shared" si="338"/>
        <v>SAÍDA</v>
      </c>
      <c r="C1757" t="str">
        <f t="shared" si="340"/>
        <v>PIX</v>
      </c>
      <c r="D1757" t="str">
        <f>"33834"</f>
        <v>33834</v>
      </c>
      <c r="E1757" t="str">
        <f t="shared" si="346"/>
        <v>1</v>
      </c>
      <c r="F1757" t="str">
        <f t="shared" si="343"/>
        <v>COM</v>
      </c>
      <c r="G1757" t="str">
        <f>"FERNANDO MARTINS DA SILVA (701)"</f>
        <v>FERNANDO MARTINS DA SILVA (701)</v>
      </c>
      <c r="H1757" t="s">
        <v>509</v>
      </c>
      <c r="I1757" t="str">
        <f t="shared" si="341"/>
        <v>12/03/2026</v>
      </c>
      <c r="J1757" t="str">
        <f t="shared" si="347"/>
        <v>02/03/2026</v>
      </c>
      <c r="K1757">
        <v>46093</v>
      </c>
      <c r="N1757">
        <v>109</v>
      </c>
      <c r="O1757" t="s">
        <v>27</v>
      </c>
      <c r="Q1757">
        <v>122.4</v>
      </c>
      <c r="R1757" t="str">
        <f>"AC FARMA - FLEMINFARMA 5 (10183)"</f>
        <v>AC FARMA - FLEMINFARMA 5 (10183)</v>
      </c>
      <c r="S1757" t="s">
        <v>37</v>
      </c>
      <c r="T1757">
        <v>30936</v>
      </c>
      <c r="U1757">
        <v>33834</v>
      </c>
      <c r="V1757" t="s">
        <v>37</v>
      </c>
    </row>
    <row r="1758" spans="1:22">
      <c r="A1758" t="str">
        <f t="shared" si="345"/>
        <v>12/03/2026</v>
      </c>
      <c r="B1758" t="str">
        <f t="shared" si="338"/>
        <v>SAÍDA</v>
      </c>
      <c r="C1758" t="str">
        <f t="shared" si="340"/>
        <v>PIX</v>
      </c>
      <c r="D1758" t="str">
        <f>"33835"</f>
        <v>33835</v>
      </c>
      <c r="E1758" t="str">
        <f t="shared" si="346"/>
        <v>1</v>
      </c>
      <c r="F1758" t="str">
        <f t="shared" si="343"/>
        <v>COM</v>
      </c>
      <c r="G1758" t="str">
        <f>"GERALDO SEVERINO DE SANTANA (729)"</f>
        <v>GERALDO SEVERINO DE SANTANA (729)</v>
      </c>
      <c r="H1758" t="str">
        <f>"Serv.Prest. 23/02/2026 a 01/03/2026 - PIX: CELULAR - CHAVE: (43) 99934-1696"</f>
        <v>Serv.Prest. 23/02/2026 a 01/03/2026 - PIX: CELULAR - CHAVE: (43) 99934-1696</v>
      </c>
      <c r="I1758" t="str">
        <f t="shared" si="341"/>
        <v>12/03/2026</v>
      </c>
      <c r="J1758" t="str">
        <f t="shared" si="347"/>
        <v>02/03/2026</v>
      </c>
      <c r="K1758" t="str">
        <f>("12/03/2026")</f>
        <v>12/03/2026</v>
      </c>
      <c r="L1758">
        <v>88.4</v>
      </c>
      <c r="M1758">
        <v>88.4</v>
      </c>
      <c r="N1758">
        <v>109</v>
      </c>
      <c r="O1758" t="str">
        <f>"PAGAMENTO DE ENTREGADORES"</f>
        <v>PAGAMENTO DE ENTREGADORES</v>
      </c>
      <c r="P1758">
        <v>88.4</v>
      </c>
      <c r="S1758" t="str">
        <f>"BANCO C6 (149)"</f>
        <v>BANCO C6 (149)</v>
      </c>
      <c r="T1758">
        <v>30937</v>
      </c>
      <c r="U1758">
        <v>33835</v>
      </c>
      <c r="V1758" t="s">
        <v>37</v>
      </c>
    </row>
    <row r="1759" spans="1:22">
      <c r="A1759" t="str">
        <f t="shared" si="345"/>
        <v>12/03/2026</v>
      </c>
      <c r="B1759" t="str">
        <f t="shared" si="338"/>
        <v>SAÍDA</v>
      </c>
      <c r="C1759" t="str">
        <f t="shared" si="340"/>
        <v>PIX</v>
      </c>
      <c r="D1759" t="str">
        <f>"33835"</f>
        <v>33835</v>
      </c>
      <c r="E1759" t="str">
        <f t="shared" si="346"/>
        <v>1</v>
      </c>
      <c r="F1759" t="str">
        <f t="shared" si="343"/>
        <v>COM</v>
      </c>
      <c r="G1759" t="str">
        <f>"GERALDO SEVERINO DE SANTANA (729)"</f>
        <v>GERALDO SEVERINO DE SANTANA (729)</v>
      </c>
      <c r="H1759" t="s">
        <v>510</v>
      </c>
      <c r="I1759" t="str">
        <f t="shared" si="341"/>
        <v>12/03/2026</v>
      </c>
      <c r="J1759" t="str">
        <f t="shared" si="347"/>
        <v>02/03/2026</v>
      </c>
      <c r="K1759">
        <v>46093</v>
      </c>
      <c r="N1759">
        <v>109</v>
      </c>
      <c r="O1759" t="s">
        <v>27</v>
      </c>
      <c r="Q1759">
        <v>88.4</v>
      </c>
      <c r="R1759" t="str">
        <f>"AC FARMA - FLEMINFARMA 5 (10183)"</f>
        <v>AC FARMA - FLEMINFARMA 5 (10183)</v>
      </c>
      <c r="S1759" t="s">
        <v>37</v>
      </c>
      <c r="T1759">
        <v>30937</v>
      </c>
      <c r="U1759">
        <v>33835</v>
      </c>
      <c r="V1759" t="s">
        <v>37</v>
      </c>
    </row>
    <row r="1760" spans="1:22">
      <c r="A1760" t="str">
        <f t="shared" si="345"/>
        <v>12/03/2026</v>
      </c>
      <c r="B1760" t="str">
        <f t="shared" si="338"/>
        <v>SAÍDA</v>
      </c>
      <c r="C1760" t="str">
        <f t="shared" si="340"/>
        <v>PIX</v>
      </c>
      <c r="D1760" t="str">
        <f>"33836"</f>
        <v>33836</v>
      </c>
      <c r="E1760" t="str">
        <f t="shared" si="346"/>
        <v>1</v>
      </c>
      <c r="F1760" t="str">
        <f t="shared" si="343"/>
        <v>COM</v>
      </c>
      <c r="G1760" t="str">
        <f>"HELITON DE OLIVEIRA RAMOS BARBOSA (724)"</f>
        <v>HELITON DE OLIVEIRA RAMOS BARBOSA (724)</v>
      </c>
      <c r="H1760" t="str">
        <f>"Serv.Prest. 23/02/2026 a 01/03/2026 - PIX: CPF - CHAVE: 074.604.219-10"</f>
        <v>Serv.Prest. 23/02/2026 a 01/03/2026 - PIX: CPF - CHAVE: 074.604.219-10</v>
      </c>
      <c r="I1760" t="str">
        <f t="shared" si="341"/>
        <v>12/03/2026</v>
      </c>
      <c r="J1760" t="str">
        <f t="shared" si="347"/>
        <v>02/03/2026</v>
      </c>
      <c r="K1760" t="str">
        <f>("12/03/2026")</f>
        <v>12/03/2026</v>
      </c>
      <c r="L1760">
        <v>88.4</v>
      </c>
      <c r="M1760">
        <v>88.4</v>
      </c>
      <c r="N1760">
        <v>109</v>
      </c>
      <c r="O1760" t="str">
        <f>"PAGAMENTO DE ENTREGADORES"</f>
        <v>PAGAMENTO DE ENTREGADORES</v>
      </c>
      <c r="P1760">
        <v>88.4</v>
      </c>
      <c r="S1760" t="str">
        <f>"BANCO C6 (149)"</f>
        <v>BANCO C6 (149)</v>
      </c>
      <c r="T1760">
        <v>30938</v>
      </c>
      <c r="U1760">
        <v>33836</v>
      </c>
      <c r="V1760" t="s">
        <v>37</v>
      </c>
    </row>
    <row r="1761" spans="1:22">
      <c r="A1761" t="str">
        <f t="shared" si="345"/>
        <v>12/03/2026</v>
      </c>
      <c r="B1761" t="str">
        <f t="shared" si="338"/>
        <v>SAÍDA</v>
      </c>
      <c r="C1761" t="str">
        <f t="shared" si="340"/>
        <v>PIX</v>
      </c>
      <c r="D1761" t="str">
        <f>"33836"</f>
        <v>33836</v>
      </c>
      <c r="E1761" t="str">
        <f t="shared" si="346"/>
        <v>1</v>
      </c>
      <c r="F1761" t="str">
        <f t="shared" si="343"/>
        <v>COM</v>
      </c>
      <c r="G1761" t="str">
        <f>"HELITON DE OLIVEIRA RAMOS BARBOSA (724)"</f>
        <v>HELITON DE OLIVEIRA RAMOS BARBOSA (724)</v>
      </c>
      <c r="H1761" t="s">
        <v>511</v>
      </c>
      <c r="I1761" t="str">
        <f t="shared" si="341"/>
        <v>12/03/2026</v>
      </c>
      <c r="J1761" t="str">
        <f t="shared" si="347"/>
        <v>02/03/2026</v>
      </c>
      <c r="K1761">
        <v>46093</v>
      </c>
      <c r="N1761">
        <v>109</v>
      </c>
      <c r="O1761" t="s">
        <v>27</v>
      </c>
      <c r="Q1761">
        <v>88.4</v>
      </c>
      <c r="R1761" t="str">
        <f>"AC FARMA - FLEMINFARMA 5 (10183)"</f>
        <v>AC FARMA - FLEMINFARMA 5 (10183)</v>
      </c>
      <c r="S1761" t="s">
        <v>37</v>
      </c>
      <c r="T1761">
        <v>30938</v>
      </c>
      <c r="U1761">
        <v>33836</v>
      </c>
      <c r="V1761" t="s">
        <v>37</v>
      </c>
    </row>
    <row r="1762" spans="1:22">
      <c r="A1762" t="str">
        <f t="shared" si="345"/>
        <v>12/03/2026</v>
      </c>
      <c r="B1762" t="str">
        <f t="shared" si="338"/>
        <v>SAÍDA</v>
      </c>
      <c r="C1762" t="str">
        <f t="shared" si="340"/>
        <v>PIX</v>
      </c>
      <c r="D1762" t="str">
        <f>"33837"</f>
        <v>33837</v>
      </c>
      <c r="E1762" t="str">
        <f t="shared" si="346"/>
        <v>1</v>
      </c>
      <c r="F1762" t="str">
        <f t="shared" si="343"/>
        <v>COM</v>
      </c>
      <c r="G1762" t="str">
        <f>"KAINAN FABRÍCIO DOS SANTOS (1258)"</f>
        <v>KAINAN FABRÍCIO DOS SANTOS (1258)</v>
      </c>
      <c r="H1762" t="str">
        <f>"Serv.Prest. 23/02/2026 a 01/03/2026 - PIX: CELULAR - CHAVE: (43) 99830-8026"</f>
        <v>Serv.Prest. 23/02/2026 a 01/03/2026 - PIX: CELULAR - CHAVE: (43) 99830-8026</v>
      </c>
      <c r="I1762" t="str">
        <f t="shared" si="341"/>
        <v>12/03/2026</v>
      </c>
      <c r="J1762" t="str">
        <f t="shared" si="347"/>
        <v>02/03/2026</v>
      </c>
      <c r="K1762" t="str">
        <f>("12/03/2026")</f>
        <v>12/03/2026</v>
      </c>
      <c r="L1762">
        <v>6.8</v>
      </c>
      <c r="M1762">
        <v>6.8</v>
      </c>
      <c r="N1762">
        <v>109</v>
      </c>
      <c r="O1762" t="str">
        <f>"PAGAMENTO DE ENTREGADORES"</f>
        <v>PAGAMENTO DE ENTREGADORES</v>
      </c>
      <c r="P1762">
        <v>6.8</v>
      </c>
      <c r="S1762" t="str">
        <f>"BANCO C6 (149)"</f>
        <v>BANCO C6 (149)</v>
      </c>
      <c r="T1762">
        <v>30939</v>
      </c>
      <c r="U1762">
        <v>33837</v>
      </c>
      <c r="V1762" t="s">
        <v>37</v>
      </c>
    </row>
    <row r="1763" spans="1:22">
      <c r="A1763" t="str">
        <f t="shared" si="345"/>
        <v>12/03/2026</v>
      </c>
      <c r="B1763" t="str">
        <f t="shared" si="338"/>
        <v>SAÍDA</v>
      </c>
      <c r="C1763" t="str">
        <f t="shared" si="340"/>
        <v>PIX</v>
      </c>
      <c r="D1763" t="str">
        <f>"33837"</f>
        <v>33837</v>
      </c>
      <c r="E1763" t="str">
        <f t="shared" si="346"/>
        <v>1</v>
      </c>
      <c r="F1763" t="str">
        <f t="shared" si="343"/>
        <v>COM</v>
      </c>
      <c r="G1763" t="str">
        <f>"KAINAN FABRÍCIO DOS SANTOS (1258)"</f>
        <v>KAINAN FABRÍCIO DOS SANTOS (1258)</v>
      </c>
      <c r="H1763" t="s">
        <v>612</v>
      </c>
      <c r="I1763" t="str">
        <f t="shared" si="341"/>
        <v>12/03/2026</v>
      </c>
      <c r="J1763" t="str">
        <f t="shared" si="347"/>
        <v>02/03/2026</v>
      </c>
      <c r="K1763">
        <v>46093</v>
      </c>
      <c r="N1763">
        <v>109</v>
      </c>
      <c r="O1763" t="s">
        <v>27</v>
      </c>
      <c r="Q1763">
        <v>6.8</v>
      </c>
      <c r="R1763" t="str">
        <f>"AC FARMA - FLEMINFARMA 6 (10184)"</f>
        <v>AC FARMA - FLEMINFARMA 6 (10184)</v>
      </c>
      <c r="S1763" t="s">
        <v>37</v>
      </c>
      <c r="T1763">
        <v>30939</v>
      </c>
      <c r="U1763">
        <v>33837</v>
      </c>
      <c r="V1763" t="s">
        <v>37</v>
      </c>
    </row>
    <row r="1764" spans="1:22">
      <c r="A1764" t="str">
        <f t="shared" si="345"/>
        <v>12/03/2026</v>
      </c>
      <c r="B1764" t="str">
        <f t="shared" si="338"/>
        <v>SAÍDA</v>
      </c>
      <c r="C1764" t="str">
        <f t="shared" si="340"/>
        <v>PIX</v>
      </c>
      <c r="D1764" t="str">
        <f>"33950"</f>
        <v>33950</v>
      </c>
      <c r="E1764" t="str">
        <f t="shared" si="346"/>
        <v>1</v>
      </c>
      <c r="F1764" t="str">
        <f t="shared" si="343"/>
        <v>COM</v>
      </c>
      <c r="G1764" t="str">
        <f>"ALAN ACOSTA (897)"</f>
        <v>ALAN ACOSTA (897)</v>
      </c>
      <c r="H1764" t="str">
        <f>"Serv.Prest. 23/02/2026 a 01/03/2026 - PIX: CELULAR - CHAVE: (43) 99875-6490"</f>
        <v>Serv.Prest. 23/02/2026 a 01/03/2026 - PIX: CELULAR - CHAVE: (43) 99875-6490</v>
      </c>
      <c r="I1764" t="str">
        <f t="shared" si="341"/>
        <v>12/03/2026</v>
      </c>
      <c r="J1764" t="str">
        <f t="shared" si="347"/>
        <v>02/03/2026</v>
      </c>
      <c r="K1764" t="str">
        <f>("12/03/2026")</f>
        <v>12/03/2026</v>
      </c>
      <c r="L1764">
        <v>34</v>
      </c>
      <c r="M1764">
        <v>34</v>
      </c>
      <c r="N1764">
        <v>109</v>
      </c>
      <c r="O1764" t="str">
        <f>"PAGAMENTO DE ENTREGADORES"</f>
        <v>PAGAMENTO DE ENTREGADORES</v>
      </c>
      <c r="P1764">
        <v>34</v>
      </c>
      <c r="S1764" t="str">
        <f>"BANCO C6 (149)"</f>
        <v>BANCO C6 (149)</v>
      </c>
      <c r="T1764">
        <v>30940</v>
      </c>
      <c r="U1764">
        <v>33950</v>
      </c>
      <c r="V1764" t="s">
        <v>37</v>
      </c>
    </row>
    <row r="1765" spans="1:22">
      <c r="A1765" t="str">
        <f t="shared" si="345"/>
        <v>12/03/2026</v>
      </c>
      <c r="B1765" t="str">
        <f t="shared" si="338"/>
        <v>SAÍDA</v>
      </c>
      <c r="C1765" t="str">
        <f t="shared" si="340"/>
        <v>PIX</v>
      </c>
      <c r="D1765" t="str">
        <f>"33950"</f>
        <v>33950</v>
      </c>
      <c r="E1765" t="str">
        <f t="shared" si="346"/>
        <v>1</v>
      </c>
      <c r="F1765" t="str">
        <f t="shared" si="343"/>
        <v>COM</v>
      </c>
      <c r="G1765" t="str">
        <f>"ALAN ACOSTA (897)"</f>
        <v>ALAN ACOSTA (897)</v>
      </c>
      <c r="H1765" t="s">
        <v>426</v>
      </c>
      <c r="I1765" t="str">
        <f t="shared" si="341"/>
        <v>12/03/2026</v>
      </c>
      <c r="J1765" t="str">
        <f t="shared" si="347"/>
        <v>02/03/2026</v>
      </c>
      <c r="K1765">
        <v>46093</v>
      </c>
      <c r="N1765">
        <v>109</v>
      </c>
      <c r="O1765" t="s">
        <v>27</v>
      </c>
      <c r="Q1765">
        <v>34</v>
      </c>
      <c r="R1765" t="str">
        <f>"AC FARMA -  FLEMINFARMA (10159)"</f>
        <v>AC FARMA -  FLEMINFARMA (10159)</v>
      </c>
      <c r="S1765" t="s">
        <v>37</v>
      </c>
      <c r="T1765">
        <v>30940</v>
      </c>
      <c r="U1765">
        <v>33950</v>
      </c>
      <c r="V1765" t="s">
        <v>37</v>
      </c>
    </row>
    <row r="1766" spans="1:22">
      <c r="A1766" t="str">
        <f t="shared" si="345"/>
        <v>12/03/2026</v>
      </c>
      <c r="B1766" t="str">
        <f t="shared" si="338"/>
        <v>SAÍDA</v>
      </c>
      <c r="C1766" t="str">
        <f t="shared" si="340"/>
        <v>PIX</v>
      </c>
      <c r="D1766" t="str">
        <f>"33951"</f>
        <v>33951</v>
      </c>
      <c r="E1766" t="str">
        <f t="shared" si="346"/>
        <v>1</v>
      </c>
      <c r="F1766" t="str">
        <f t="shared" si="343"/>
        <v>COM</v>
      </c>
      <c r="G1766" t="str">
        <f>"CLAUDINEI RIBEIRO VALERIO (681)"</f>
        <v>CLAUDINEI RIBEIRO VALERIO (681)</v>
      </c>
      <c r="H1766" t="str">
        <f>"Serv.Prest. 23/02/2026 a 01/03/2026 - PIX: CELULAR - CHAVE: (43) 99630-7532"</f>
        <v>Serv.Prest. 23/02/2026 a 01/03/2026 - PIX: CELULAR - CHAVE: (43) 99630-7532</v>
      </c>
      <c r="I1766" t="str">
        <f t="shared" si="341"/>
        <v>12/03/2026</v>
      </c>
      <c r="J1766" t="str">
        <f t="shared" si="347"/>
        <v>02/03/2026</v>
      </c>
      <c r="K1766" t="str">
        <f>("12/03/2026")</f>
        <v>12/03/2026</v>
      </c>
      <c r="L1766">
        <v>142.80000000000001</v>
      </c>
      <c r="M1766">
        <v>142.80000000000001</v>
      </c>
      <c r="N1766">
        <v>109</v>
      </c>
      <c r="O1766" t="str">
        <f>"PAGAMENTO DE ENTREGADORES"</f>
        <v>PAGAMENTO DE ENTREGADORES</v>
      </c>
      <c r="P1766">
        <v>142.80000000000001</v>
      </c>
      <c r="S1766" t="str">
        <f>"BANCO C6 (149)"</f>
        <v>BANCO C6 (149)</v>
      </c>
      <c r="T1766">
        <v>30941</v>
      </c>
      <c r="U1766">
        <v>33951</v>
      </c>
      <c r="V1766" t="s">
        <v>37</v>
      </c>
    </row>
    <row r="1767" spans="1:22">
      <c r="A1767" t="str">
        <f t="shared" si="345"/>
        <v>12/03/2026</v>
      </c>
      <c r="B1767" t="str">
        <f t="shared" si="338"/>
        <v>SAÍDA</v>
      </c>
      <c r="C1767" t="str">
        <f t="shared" si="340"/>
        <v>PIX</v>
      </c>
      <c r="D1767" t="str">
        <f>"33951"</f>
        <v>33951</v>
      </c>
      <c r="E1767" t="str">
        <f t="shared" si="346"/>
        <v>1</v>
      </c>
      <c r="F1767" t="str">
        <f t="shared" si="343"/>
        <v>COM</v>
      </c>
      <c r="G1767" t="str">
        <f>"CLAUDINEI RIBEIRO VALERIO (681)"</f>
        <v>CLAUDINEI RIBEIRO VALERIO (681)</v>
      </c>
      <c r="H1767" t="s">
        <v>505</v>
      </c>
      <c r="I1767" t="str">
        <f t="shared" si="341"/>
        <v>12/03/2026</v>
      </c>
      <c r="J1767" t="str">
        <f t="shared" si="347"/>
        <v>02/03/2026</v>
      </c>
      <c r="K1767">
        <v>46093</v>
      </c>
      <c r="N1767">
        <v>109</v>
      </c>
      <c r="O1767" t="s">
        <v>27</v>
      </c>
      <c r="Q1767">
        <v>142.80000000000001</v>
      </c>
      <c r="R1767" t="str">
        <f>"AC FARMA -  FLEMINFARMA (10159)"</f>
        <v>AC FARMA -  FLEMINFARMA (10159)</v>
      </c>
      <c r="S1767" t="s">
        <v>37</v>
      </c>
      <c r="T1767">
        <v>30941</v>
      </c>
      <c r="U1767">
        <v>33951</v>
      </c>
      <c r="V1767" t="s">
        <v>37</v>
      </c>
    </row>
    <row r="1768" spans="1:22">
      <c r="A1768" t="str">
        <f t="shared" si="345"/>
        <v>12/03/2026</v>
      </c>
      <c r="B1768" t="str">
        <f t="shared" si="338"/>
        <v>SAÍDA</v>
      </c>
      <c r="C1768" t="str">
        <f t="shared" si="340"/>
        <v>PIX</v>
      </c>
      <c r="D1768" t="str">
        <f>"33952"</f>
        <v>33952</v>
      </c>
      <c r="E1768" t="str">
        <f t="shared" si="346"/>
        <v>1</v>
      </c>
      <c r="F1768" t="str">
        <f t="shared" si="343"/>
        <v>COM</v>
      </c>
      <c r="G1768" t="str">
        <f>"FERNANDO MARTINS DA SILVA (701)"</f>
        <v>FERNANDO MARTINS DA SILVA (701)</v>
      </c>
      <c r="H1768" t="str">
        <f>"Serv.Prest. 23/02/2026 a 01/03/2026 - PIX: CPF - CHAVE: 004.682.359-06"</f>
        <v>Serv.Prest. 23/02/2026 a 01/03/2026 - PIX: CPF - CHAVE: 004.682.359-06</v>
      </c>
      <c r="I1768" t="str">
        <f t="shared" si="341"/>
        <v>12/03/2026</v>
      </c>
      <c r="J1768" t="str">
        <f t="shared" si="347"/>
        <v>02/03/2026</v>
      </c>
      <c r="K1768" t="str">
        <f>("12/03/2026")</f>
        <v>12/03/2026</v>
      </c>
      <c r="L1768">
        <v>265.60000000000002</v>
      </c>
      <c r="M1768">
        <v>265.60000000000002</v>
      </c>
      <c r="N1768">
        <v>109</v>
      </c>
      <c r="O1768" t="str">
        <f>"PAGAMENTO DE ENTREGADORES"</f>
        <v>PAGAMENTO DE ENTREGADORES</v>
      </c>
      <c r="P1768">
        <v>265.60000000000002</v>
      </c>
      <c r="S1768" t="str">
        <f>"BANCO C6 (149)"</f>
        <v>BANCO C6 (149)</v>
      </c>
      <c r="T1768">
        <v>30942</v>
      </c>
      <c r="U1768">
        <v>33952</v>
      </c>
      <c r="V1768" t="s">
        <v>37</v>
      </c>
    </row>
    <row r="1769" spans="1:22">
      <c r="A1769" t="str">
        <f t="shared" si="345"/>
        <v>12/03/2026</v>
      </c>
      <c r="B1769" t="str">
        <f t="shared" si="338"/>
        <v>SAÍDA</v>
      </c>
      <c r="C1769" t="str">
        <f t="shared" si="340"/>
        <v>PIX</v>
      </c>
      <c r="D1769" t="str">
        <f>"33952"</f>
        <v>33952</v>
      </c>
      <c r="E1769" t="str">
        <f t="shared" si="346"/>
        <v>1</v>
      </c>
      <c r="F1769" t="str">
        <f t="shared" si="343"/>
        <v>COM</v>
      </c>
      <c r="G1769" t="str">
        <f>"FERNANDO MARTINS DA SILVA (701)"</f>
        <v>FERNANDO MARTINS DA SILVA (701)</v>
      </c>
      <c r="H1769" t="s">
        <v>509</v>
      </c>
      <c r="I1769" t="str">
        <f t="shared" si="341"/>
        <v>12/03/2026</v>
      </c>
      <c r="J1769" t="str">
        <f t="shared" si="347"/>
        <v>02/03/2026</v>
      </c>
      <c r="K1769">
        <v>46093</v>
      </c>
      <c r="N1769">
        <v>109</v>
      </c>
      <c r="O1769" t="s">
        <v>27</v>
      </c>
      <c r="Q1769">
        <v>265.60000000000002</v>
      </c>
      <c r="R1769" t="str">
        <f>"AC FARMA -  FLEMINFARMA (10159)"</f>
        <v>AC FARMA -  FLEMINFARMA (10159)</v>
      </c>
      <c r="S1769" t="s">
        <v>37</v>
      </c>
      <c r="T1769">
        <v>30942</v>
      </c>
      <c r="U1769">
        <v>33952</v>
      </c>
      <c r="V1769" t="s">
        <v>37</v>
      </c>
    </row>
    <row r="1770" spans="1:22">
      <c r="A1770" t="str">
        <f t="shared" si="345"/>
        <v>12/03/2026</v>
      </c>
      <c r="B1770" t="str">
        <f t="shared" si="338"/>
        <v>SAÍDA</v>
      </c>
      <c r="C1770" t="str">
        <f t="shared" si="340"/>
        <v>PIX</v>
      </c>
      <c r="D1770" t="str">
        <f>"33953"</f>
        <v>33953</v>
      </c>
      <c r="E1770" t="str">
        <f t="shared" si="346"/>
        <v>1</v>
      </c>
      <c r="F1770" t="str">
        <f t="shared" si="343"/>
        <v>COM</v>
      </c>
      <c r="G1770" t="str">
        <f>"GERALDO SEVERINO DE SANTANA (729)"</f>
        <v>GERALDO SEVERINO DE SANTANA (729)</v>
      </c>
      <c r="H1770" t="str">
        <f>"Serv.Prest. 23/02/2026 a 01/03/2026 - PIX: CELULAR - CHAVE: (43) 99934-1696"</f>
        <v>Serv.Prest. 23/02/2026 a 01/03/2026 - PIX: CELULAR - CHAVE: (43) 99934-1696</v>
      </c>
      <c r="I1770" t="str">
        <f t="shared" si="341"/>
        <v>12/03/2026</v>
      </c>
      <c r="J1770" t="str">
        <f t="shared" si="347"/>
        <v>02/03/2026</v>
      </c>
      <c r="K1770" t="str">
        <f>("12/03/2026")</f>
        <v>12/03/2026</v>
      </c>
      <c r="L1770">
        <v>313.2</v>
      </c>
      <c r="M1770">
        <v>313.2</v>
      </c>
      <c r="N1770">
        <v>109</v>
      </c>
      <c r="O1770" t="str">
        <f>"PAGAMENTO DE ENTREGADORES"</f>
        <v>PAGAMENTO DE ENTREGADORES</v>
      </c>
      <c r="P1770">
        <v>313.2</v>
      </c>
      <c r="S1770" t="str">
        <f>"BANCO C6 (149)"</f>
        <v>BANCO C6 (149)</v>
      </c>
      <c r="T1770">
        <v>30943</v>
      </c>
      <c r="U1770">
        <v>33953</v>
      </c>
      <c r="V1770" t="s">
        <v>37</v>
      </c>
    </row>
    <row r="1771" spans="1:22">
      <c r="A1771" t="str">
        <f t="shared" si="345"/>
        <v>12/03/2026</v>
      </c>
      <c r="B1771" t="str">
        <f t="shared" si="338"/>
        <v>SAÍDA</v>
      </c>
      <c r="C1771" t="str">
        <f t="shared" si="340"/>
        <v>PIX</v>
      </c>
      <c r="D1771" t="str">
        <f>"33953"</f>
        <v>33953</v>
      </c>
      <c r="E1771" t="str">
        <f t="shared" si="346"/>
        <v>1</v>
      </c>
      <c r="F1771" t="str">
        <f t="shared" si="343"/>
        <v>COM</v>
      </c>
      <c r="G1771" t="str">
        <f>"GERALDO SEVERINO DE SANTANA (729)"</f>
        <v>GERALDO SEVERINO DE SANTANA (729)</v>
      </c>
      <c r="H1771" t="s">
        <v>510</v>
      </c>
      <c r="I1771" t="str">
        <f t="shared" si="341"/>
        <v>12/03/2026</v>
      </c>
      <c r="J1771" t="str">
        <f t="shared" si="347"/>
        <v>02/03/2026</v>
      </c>
      <c r="K1771">
        <v>46093</v>
      </c>
      <c r="N1771">
        <v>109</v>
      </c>
      <c r="O1771" t="s">
        <v>27</v>
      </c>
      <c r="Q1771">
        <v>313.2</v>
      </c>
      <c r="R1771" t="str">
        <f>"AC FARMA -  FLEMINFARMA (10159)"</f>
        <v>AC FARMA -  FLEMINFARMA (10159)</v>
      </c>
      <c r="S1771" t="s">
        <v>37</v>
      </c>
      <c r="T1771">
        <v>30943</v>
      </c>
      <c r="U1771">
        <v>33953</v>
      </c>
      <c r="V1771" t="s">
        <v>37</v>
      </c>
    </row>
    <row r="1772" spans="1:22">
      <c r="A1772" t="str">
        <f t="shared" si="345"/>
        <v>12/03/2026</v>
      </c>
      <c r="B1772" t="str">
        <f t="shared" si="338"/>
        <v>SAÍDA</v>
      </c>
      <c r="C1772" t="str">
        <f t="shared" si="340"/>
        <v>PIX</v>
      </c>
      <c r="D1772" t="str">
        <f>"33954"</f>
        <v>33954</v>
      </c>
      <c r="E1772" t="str">
        <f t="shared" si="346"/>
        <v>1</v>
      </c>
      <c r="F1772" t="str">
        <f t="shared" si="343"/>
        <v>COM</v>
      </c>
      <c r="G1772" t="str">
        <f>"HELITON DE OLIVEIRA RAMOS BARBOSA (724)"</f>
        <v>HELITON DE OLIVEIRA RAMOS BARBOSA (724)</v>
      </c>
      <c r="H1772" t="str">
        <f>"Serv.Prest. 23/02/2026 a 01/03/2026 - PIX: CPF - CHAVE: 074.604.219-10"</f>
        <v>Serv.Prest. 23/02/2026 a 01/03/2026 - PIX: CPF - CHAVE: 074.604.219-10</v>
      </c>
      <c r="I1772" t="str">
        <f t="shared" si="341"/>
        <v>12/03/2026</v>
      </c>
      <c r="J1772" t="str">
        <f t="shared" si="347"/>
        <v>02/03/2026</v>
      </c>
      <c r="K1772" t="str">
        <f>("12/03/2026")</f>
        <v>12/03/2026</v>
      </c>
      <c r="L1772">
        <v>340.4</v>
      </c>
      <c r="M1772">
        <v>340.4</v>
      </c>
      <c r="N1772">
        <v>109</v>
      </c>
      <c r="O1772" t="str">
        <f>"PAGAMENTO DE ENTREGADORES"</f>
        <v>PAGAMENTO DE ENTREGADORES</v>
      </c>
      <c r="P1772">
        <v>340.4</v>
      </c>
      <c r="S1772" t="str">
        <f>"BANCO C6 (149)"</f>
        <v>BANCO C6 (149)</v>
      </c>
      <c r="T1772">
        <v>30944</v>
      </c>
      <c r="U1772">
        <v>33954</v>
      </c>
      <c r="V1772" t="s">
        <v>37</v>
      </c>
    </row>
    <row r="1773" spans="1:22">
      <c r="A1773" t="str">
        <f t="shared" si="345"/>
        <v>12/03/2026</v>
      </c>
      <c r="B1773" t="str">
        <f t="shared" si="338"/>
        <v>SAÍDA</v>
      </c>
      <c r="C1773" t="str">
        <f t="shared" si="340"/>
        <v>PIX</v>
      </c>
      <c r="D1773" t="str">
        <f>"33954"</f>
        <v>33954</v>
      </c>
      <c r="E1773" t="str">
        <f t="shared" si="346"/>
        <v>1</v>
      </c>
      <c r="F1773" t="str">
        <f t="shared" si="343"/>
        <v>COM</v>
      </c>
      <c r="G1773" t="str">
        <f>"HELITON DE OLIVEIRA RAMOS BARBOSA (724)"</f>
        <v>HELITON DE OLIVEIRA RAMOS BARBOSA (724)</v>
      </c>
      <c r="H1773" t="s">
        <v>511</v>
      </c>
      <c r="I1773" t="str">
        <f t="shared" si="341"/>
        <v>12/03/2026</v>
      </c>
      <c r="J1773" t="str">
        <f t="shared" si="347"/>
        <v>02/03/2026</v>
      </c>
      <c r="K1773">
        <v>46093</v>
      </c>
      <c r="N1773">
        <v>109</v>
      </c>
      <c r="O1773" t="s">
        <v>27</v>
      </c>
      <c r="Q1773">
        <v>340.4</v>
      </c>
      <c r="R1773" t="str">
        <f>"AC FARMA -  FLEMINFARMA (10159)"</f>
        <v>AC FARMA -  FLEMINFARMA (10159)</v>
      </c>
      <c r="S1773" t="s">
        <v>37</v>
      </c>
      <c r="T1773">
        <v>30944</v>
      </c>
      <c r="U1773">
        <v>33954</v>
      </c>
      <c r="V1773" t="s">
        <v>37</v>
      </c>
    </row>
    <row r="1774" spans="1:22">
      <c r="A1774" t="str">
        <f t="shared" si="345"/>
        <v>12/03/2026</v>
      </c>
      <c r="B1774" t="str">
        <f t="shared" si="338"/>
        <v>SAÍDA</v>
      </c>
      <c r="C1774" t="str">
        <f t="shared" si="340"/>
        <v>PIX</v>
      </c>
      <c r="D1774" t="str">
        <f>"33955"</f>
        <v>33955</v>
      </c>
      <c r="E1774" t="str">
        <f t="shared" si="346"/>
        <v>1</v>
      </c>
      <c r="F1774" t="str">
        <f t="shared" si="343"/>
        <v>COM</v>
      </c>
      <c r="G1774" t="str">
        <f>"KAINAN FABRÍCIO DOS SANTOS (1258)"</f>
        <v>KAINAN FABRÍCIO DOS SANTOS (1258)</v>
      </c>
      <c r="H1774" t="str">
        <f>"Serv.Prest. 23/02/2026 a 01/03/2026 - PIX: CELULAR - CHAVE: (43) 99830-8026"</f>
        <v>Serv.Prest. 23/02/2026 a 01/03/2026 - PIX: CELULAR - CHAVE: (43) 99830-8026</v>
      </c>
      <c r="I1774" t="str">
        <f t="shared" si="341"/>
        <v>12/03/2026</v>
      </c>
      <c r="J1774" t="str">
        <f t="shared" si="347"/>
        <v>02/03/2026</v>
      </c>
      <c r="K1774" t="str">
        <f>("12/03/2026")</f>
        <v>12/03/2026</v>
      </c>
      <c r="L1774">
        <v>74.8</v>
      </c>
      <c r="M1774">
        <v>74.8</v>
      </c>
      <c r="N1774">
        <v>109</v>
      </c>
      <c r="O1774" t="str">
        <f>"PAGAMENTO DE ENTREGADORES"</f>
        <v>PAGAMENTO DE ENTREGADORES</v>
      </c>
      <c r="P1774">
        <v>74.8</v>
      </c>
      <c r="S1774" t="str">
        <f>"BANCO C6 (149)"</f>
        <v>BANCO C6 (149)</v>
      </c>
      <c r="T1774">
        <v>30945</v>
      </c>
      <c r="U1774">
        <v>33955</v>
      </c>
      <c r="V1774" t="s">
        <v>37</v>
      </c>
    </row>
    <row r="1775" spans="1:22">
      <c r="A1775" t="str">
        <f t="shared" si="345"/>
        <v>12/03/2026</v>
      </c>
      <c r="B1775" t="str">
        <f t="shared" si="338"/>
        <v>SAÍDA</v>
      </c>
      <c r="C1775" t="str">
        <f t="shared" si="340"/>
        <v>PIX</v>
      </c>
      <c r="D1775" t="str">
        <f>"33955"</f>
        <v>33955</v>
      </c>
      <c r="E1775" t="str">
        <f t="shared" si="346"/>
        <v>1</v>
      </c>
      <c r="F1775" t="str">
        <f t="shared" si="343"/>
        <v>COM</v>
      </c>
      <c r="G1775" t="str">
        <f>"KAINAN FABRÍCIO DOS SANTOS (1258)"</f>
        <v>KAINAN FABRÍCIO DOS SANTOS (1258)</v>
      </c>
      <c r="H1775" t="s">
        <v>612</v>
      </c>
      <c r="I1775" t="str">
        <f t="shared" si="341"/>
        <v>12/03/2026</v>
      </c>
      <c r="J1775" t="str">
        <f t="shared" si="347"/>
        <v>02/03/2026</v>
      </c>
      <c r="K1775">
        <v>46093</v>
      </c>
      <c r="N1775">
        <v>109</v>
      </c>
      <c r="O1775" t="s">
        <v>27</v>
      </c>
      <c r="Q1775">
        <v>74.8</v>
      </c>
      <c r="R1775" t="str">
        <f>"AC FARMA -  FLEMINFARMA (10159)"</f>
        <v>AC FARMA -  FLEMINFARMA (10159)</v>
      </c>
      <c r="S1775" t="s">
        <v>37</v>
      </c>
      <c r="T1775">
        <v>30945</v>
      </c>
      <c r="U1775">
        <v>33955</v>
      </c>
      <c r="V1775" t="s">
        <v>37</v>
      </c>
    </row>
    <row r="1776" spans="1:22">
      <c r="A1776" t="str">
        <f t="shared" si="345"/>
        <v>12/03/2026</v>
      </c>
      <c r="B1776" t="str">
        <f t="shared" si="338"/>
        <v>SAÍDA</v>
      </c>
      <c r="C1776" t="str">
        <f t="shared" si="340"/>
        <v>PIX</v>
      </c>
      <c r="D1776" t="str">
        <f>"34022"</f>
        <v>34022</v>
      </c>
      <c r="E1776" t="str">
        <f t="shared" si="346"/>
        <v>1</v>
      </c>
      <c r="F1776" t="str">
        <f t="shared" si="343"/>
        <v>COM</v>
      </c>
      <c r="G1776" t="str">
        <f>"HIAGGO JULIO CONSTANTINO DE SOUZA (1219)"</f>
        <v>HIAGGO JULIO CONSTANTINO DE SOUZA (1219)</v>
      </c>
      <c r="H1776" t="str">
        <f>"Serv.Prest. 23/02/2026 a 01/03/2026 - PIX: CELULAR - CHAVE: (34) 99832-8427"</f>
        <v>Serv.Prest. 23/02/2026 a 01/03/2026 - PIX: CELULAR - CHAVE: (34) 99832-8427</v>
      </c>
      <c r="I1776" t="str">
        <f t="shared" si="341"/>
        <v>12/03/2026</v>
      </c>
      <c r="J1776" t="str">
        <f t="shared" ref="J1776:J1795" si="348">("03/03/2026")</f>
        <v>03/03/2026</v>
      </c>
      <c r="K1776" t="str">
        <f>("12/03/2026")</f>
        <v>12/03/2026</v>
      </c>
      <c r="L1776">
        <v>663</v>
      </c>
      <c r="M1776">
        <v>663</v>
      </c>
      <c r="N1776">
        <v>109</v>
      </c>
      <c r="O1776" t="str">
        <f>"PAGAMENTO DE ENTREGADORES"</f>
        <v>PAGAMENTO DE ENTREGADORES</v>
      </c>
      <c r="P1776">
        <v>663</v>
      </c>
      <c r="S1776" t="str">
        <f>"BANCO C6 (149)"</f>
        <v>BANCO C6 (149)</v>
      </c>
      <c r="T1776">
        <v>30946</v>
      </c>
      <c r="U1776">
        <v>34022</v>
      </c>
      <c r="V1776" t="s">
        <v>37</v>
      </c>
    </row>
    <row r="1777" spans="1:22">
      <c r="A1777" t="str">
        <f t="shared" si="345"/>
        <v>12/03/2026</v>
      </c>
      <c r="B1777" t="str">
        <f t="shared" si="338"/>
        <v>SAÍDA</v>
      </c>
      <c r="C1777" t="str">
        <f t="shared" si="340"/>
        <v>PIX</v>
      </c>
      <c r="D1777" t="str">
        <f>"34022"</f>
        <v>34022</v>
      </c>
      <c r="E1777" t="str">
        <f t="shared" si="346"/>
        <v>1</v>
      </c>
      <c r="F1777" t="str">
        <f t="shared" si="343"/>
        <v>COM</v>
      </c>
      <c r="G1777" t="str">
        <f>"HIAGGO JULIO CONSTANTINO DE SOUZA (1219)"</f>
        <v>HIAGGO JULIO CONSTANTINO DE SOUZA (1219)</v>
      </c>
      <c r="H1777" t="s">
        <v>613</v>
      </c>
      <c r="I1777" t="str">
        <f t="shared" si="341"/>
        <v>12/03/2026</v>
      </c>
      <c r="J1777" t="str">
        <f t="shared" si="348"/>
        <v>03/03/2026</v>
      </c>
      <c r="K1777">
        <v>46093</v>
      </c>
      <c r="N1777">
        <v>109</v>
      </c>
      <c r="O1777" t="s">
        <v>27</v>
      </c>
      <c r="Q1777">
        <v>663</v>
      </c>
      <c r="R1777" t="str">
        <f>"PAGUE MENOS 426 (10292)"</f>
        <v>PAGUE MENOS 426 (10292)</v>
      </c>
      <c r="S1777" t="s">
        <v>37</v>
      </c>
      <c r="T1777">
        <v>30946</v>
      </c>
      <c r="U1777">
        <v>34022</v>
      </c>
      <c r="V1777" t="s">
        <v>37</v>
      </c>
    </row>
    <row r="1778" spans="1:22">
      <c r="A1778" t="str">
        <f t="shared" si="345"/>
        <v>12/03/2026</v>
      </c>
      <c r="B1778" t="str">
        <f t="shared" si="338"/>
        <v>SAÍDA</v>
      </c>
      <c r="C1778" t="str">
        <f t="shared" si="340"/>
        <v>PIX</v>
      </c>
      <c r="D1778" t="str">
        <f>"34023"</f>
        <v>34023</v>
      </c>
      <c r="E1778" t="str">
        <f t="shared" si="346"/>
        <v>1</v>
      </c>
      <c r="F1778" t="str">
        <f t="shared" si="343"/>
        <v>COM</v>
      </c>
      <c r="G1778" t="str">
        <f>"JAISON DE SOUZA KOHL (1244)"</f>
        <v>JAISON DE SOUZA KOHL (1244)</v>
      </c>
      <c r="H1778" t="str">
        <f>"Serv.Prest. 23/02/2026 a 01/03/2026 - PIX: CPF - CHAVE: 096.774.686-85"</f>
        <v>Serv.Prest. 23/02/2026 a 01/03/2026 - PIX: CPF - CHAVE: 096.774.686-85</v>
      </c>
      <c r="I1778" t="str">
        <f t="shared" si="341"/>
        <v>12/03/2026</v>
      </c>
      <c r="J1778" t="str">
        <f t="shared" si="348"/>
        <v>03/03/2026</v>
      </c>
      <c r="K1778" t="str">
        <f>("12/03/2026")</f>
        <v>12/03/2026</v>
      </c>
      <c r="L1778">
        <v>962</v>
      </c>
      <c r="M1778">
        <v>962</v>
      </c>
      <c r="N1778">
        <v>109</v>
      </c>
      <c r="O1778" t="str">
        <f>"PAGAMENTO DE ENTREGADORES"</f>
        <v>PAGAMENTO DE ENTREGADORES</v>
      </c>
      <c r="P1778">
        <v>962</v>
      </c>
      <c r="S1778" t="str">
        <f>"BANCO C6 (149)"</f>
        <v>BANCO C6 (149)</v>
      </c>
      <c r="T1778">
        <v>30947</v>
      </c>
      <c r="U1778">
        <v>34023</v>
      </c>
      <c r="V1778" t="s">
        <v>37</v>
      </c>
    </row>
    <row r="1779" spans="1:22">
      <c r="A1779" t="str">
        <f t="shared" si="345"/>
        <v>12/03/2026</v>
      </c>
      <c r="B1779" t="str">
        <f t="shared" si="338"/>
        <v>SAÍDA</v>
      </c>
      <c r="C1779" t="str">
        <f t="shared" si="340"/>
        <v>PIX</v>
      </c>
      <c r="D1779" t="str">
        <f>"34023"</f>
        <v>34023</v>
      </c>
      <c r="E1779" t="str">
        <f t="shared" si="346"/>
        <v>1</v>
      </c>
      <c r="F1779" t="str">
        <f t="shared" si="343"/>
        <v>COM</v>
      </c>
      <c r="G1779" t="str">
        <f>"JAISON DE SOUZA KOHL (1244)"</f>
        <v>JAISON DE SOUZA KOHL (1244)</v>
      </c>
      <c r="H1779" t="s">
        <v>614</v>
      </c>
      <c r="I1779" t="str">
        <f t="shared" si="341"/>
        <v>12/03/2026</v>
      </c>
      <c r="J1779" t="str">
        <f t="shared" si="348"/>
        <v>03/03/2026</v>
      </c>
      <c r="K1779">
        <v>46093</v>
      </c>
      <c r="N1779">
        <v>109</v>
      </c>
      <c r="O1779" t="s">
        <v>27</v>
      </c>
      <c r="Q1779">
        <v>962</v>
      </c>
      <c r="R1779" t="str">
        <f>"PAGUE MENOS 426 (10292)"</f>
        <v>PAGUE MENOS 426 (10292)</v>
      </c>
      <c r="S1779" t="s">
        <v>37</v>
      </c>
      <c r="T1779">
        <v>30947</v>
      </c>
      <c r="U1779">
        <v>34023</v>
      </c>
      <c r="V1779" t="s">
        <v>37</v>
      </c>
    </row>
    <row r="1780" spans="1:22">
      <c r="A1780" t="str">
        <f t="shared" si="345"/>
        <v>12/03/2026</v>
      </c>
      <c r="B1780" t="str">
        <f t="shared" si="338"/>
        <v>SAÍDA</v>
      </c>
      <c r="C1780" t="str">
        <f t="shared" si="340"/>
        <v>PIX</v>
      </c>
      <c r="D1780" t="str">
        <f>"34024"</f>
        <v>34024</v>
      </c>
      <c r="E1780" t="str">
        <f t="shared" si="346"/>
        <v>1</v>
      </c>
      <c r="F1780" t="str">
        <f t="shared" si="343"/>
        <v>COM</v>
      </c>
      <c r="G1780" t="str">
        <f>"JHONATA SOUSA UCHOA (464)"</f>
        <v>JHONATA SOUSA UCHOA (464)</v>
      </c>
      <c r="H1780" t="str">
        <f>"Serv.Prest. 23/02/2026 a 01/03/2026 - PIX: CPF - CHAVE: 020.590.606-05"</f>
        <v>Serv.Prest. 23/02/2026 a 01/03/2026 - PIX: CPF - CHAVE: 020.590.606-05</v>
      </c>
      <c r="I1780" t="str">
        <f t="shared" si="341"/>
        <v>12/03/2026</v>
      </c>
      <c r="J1780" t="str">
        <f t="shared" si="348"/>
        <v>03/03/2026</v>
      </c>
      <c r="K1780" t="str">
        <f>("12/03/2026")</f>
        <v>12/03/2026</v>
      </c>
      <c r="L1780">
        <v>120</v>
      </c>
      <c r="M1780">
        <v>120</v>
      </c>
      <c r="N1780">
        <v>109</v>
      </c>
      <c r="O1780" t="str">
        <f>"PAGAMENTO DE ENTREGADORES"</f>
        <v>PAGAMENTO DE ENTREGADORES</v>
      </c>
      <c r="P1780">
        <v>120</v>
      </c>
      <c r="S1780" t="str">
        <f>"BANCO C6 (149)"</f>
        <v>BANCO C6 (149)</v>
      </c>
      <c r="T1780">
        <v>30948</v>
      </c>
      <c r="U1780">
        <v>34024</v>
      </c>
      <c r="V1780" t="s">
        <v>37</v>
      </c>
    </row>
    <row r="1781" spans="1:22">
      <c r="A1781" t="str">
        <f t="shared" si="345"/>
        <v>12/03/2026</v>
      </c>
      <c r="B1781" t="str">
        <f t="shared" si="338"/>
        <v>SAÍDA</v>
      </c>
      <c r="C1781" t="str">
        <f t="shared" si="340"/>
        <v>PIX</v>
      </c>
      <c r="D1781" t="str">
        <f>"34024"</f>
        <v>34024</v>
      </c>
      <c r="E1781" t="str">
        <f t="shared" si="346"/>
        <v>1</v>
      </c>
      <c r="F1781" t="str">
        <f t="shared" si="343"/>
        <v>COM</v>
      </c>
      <c r="G1781" t="str">
        <f>"JHONATA SOUSA UCHOA (464)"</f>
        <v>JHONATA SOUSA UCHOA (464)</v>
      </c>
      <c r="H1781" t="s">
        <v>342</v>
      </c>
      <c r="I1781" t="str">
        <f t="shared" si="341"/>
        <v>12/03/2026</v>
      </c>
      <c r="J1781" t="str">
        <f t="shared" si="348"/>
        <v>03/03/2026</v>
      </c>
      <c r="K1781">
        <v>46093</v>
      </c>
      <c r="N1781">
        <v>109</v>
      </c>
      <c r="O1781" t="s">
        <v>27</v>
      </c>
      <c r="Q1781">
        <v>120</v>
      </c>
      <c r="R1781" t="str">
        <f>"PAGUE MENOS 356 (10291)"</f>
        <v>PAGUE MENOS 356 (10291)</v>
      </c>
      <c r="S1781" t="s">
        <v>37</v>
      </c>
      <c r="T1781">
        <v>30948</v>
      </c>
      <c r="U1781">
        <v>34024</v>
      </c>
      <c r="V1781" t="s">
        <v>37</v>
      </c>
    </row>
    <row r="1782" spans="1:22">
      <c r="A1782" t="str">
        <f t="shared" si="345"/>
        <v>12/03/2026</v>
      </c>
      <c r="B1782" t="str">
        <f t="shared" si="338"/>
        <v>SAÍDA</v>
      </c>
      <c r="C1782" t="str">
        <f t="shared" si="340"/>
        <v>PIX</v>
      </c>
      <c r="D1782" t="str">
        <f>"34026"</f>
        <v>34026</v>
      </c>
      <c r="E1782" t="str">
        <f t="shared" si="346"/>
        <v>1</v>
      </c>
      <c r="F1782" t="str">
        <f t="shared" si="343"/>
        <v>COM</v>
      </c>
      <c r="G1782" t="str">
        <f>"LUIZ PAULO DE OLIVEIRA (712)"</f>
        <v>LUIZ PAULO DE OLIVEIRA (712)</v>
      </c>
      <c r="H1782" t="str">
        <f>"Serv.Prest. 23/02/2026 a 01/03/2026 - PIX: E-MAIL - CHAVE: karinasilvaaparecida1286@gmail.com"</f>
        <v>Serv.Prest. 23/02/2026 a 01/03/2026 - PIX: E-MAIL - CHAVE: karinasilvaaparecida1286@gmail.com</v>
      </c>
      <c r="I1782" t="str">
        <f t="shared" si="341"/>
        <v>12/03/2026</v>
      </c>
      <c r="J1782" t="str">
        <f t="shared" si="348"/>
        <v>03/03/2026</v>
      </c>
      <c r="K1782" t="str">
        <f>("12/03/2026")</f>
        <v>12/03/2026</v>
      </c>
      <c r="L1782">
        <v>58</v>
      </c>
      <c r="M1782">
        <v>58</v>
      </c>
      <c r="N1782">
        <v>109</v>
      </c>
      <c r="O1782" t="str">
        <f>"PAGAMENTO DE ENTREGADORES"</f>
        <v>PAGAMENTO DE ENTREGADORES</v>
      </c>
      <c r="P1782">
        <v>58</v>
      </c>
      <c r="S1782" t="str">
        <f>"BANCO C6 (149)"</f>
        <v>BANCO C6 (149)</v>
      </c>
      <c r="T1782">
        <v>30949</v>
      </c>
      <c r="U1782">
        <v>34026</v>
      </c>
      <c r="V1782" t="s">
        <v>37</v>
      </c>
    </row>
    <row r="1783" spans="1:22">
      <c r="A1783" t="str">
        <f t="shared" si="345"/>
        <v>12/03/2026</v>
      </c>
      <c r="B1783" t="str">
        <f t="shared" si="338"/>
        <v>SAÍDA</v>
      </c>
      <c r="C1783" t="str">
        <f t="shared" si="340"/>
        <v>PIX</v>
      </c>
      <c r="D1783" t="str">
        <f>"34026"</f>
        <v>34026</v>
      </c>
      <c r="E1783" t="str">
        <f t="shared" si="346"/>
        <v>1</v>
      </c>
      <c r="F1783" t="str">
        <f t="shared" si="343"/>
        <v>COM</v>
      </c>
      <c r="G1783" t="str">
        <f>"LUIZ PAULO DE OLIVEIRA (712)"</f>
        <v>LUIZ PAULO DE OLIVEIRA (712)</v>
      </c>
      <c r="H1783" t="s">
        <v>343</v>
      </c>
      <c r="I1783" t="str">
        <f t="shared" si="341"/>
        <v>12/03/2026</v>
      </c>
      <c r="J1783" t="str">
        <f t="shared" si="348"/>
        <v>03/03/2026</v>
      </c>
      <c r="K1783">
        <v>46093</v>
      </c>
      <c r="N1783">
        <v>109</v>
      </c>
      <c r="O1783" t="s">
        <v>27</v>
      </c>
      <c r="Q1783">
        <v>58</v>
      </c>
      <c r="R1783" t="str">
        <f>"PAGUE MENOS 356 (10291)"</f>
        <v>PAGUE MENOS 356 (10291)</v>
      </c>
      <c r="S1783" t="s">
        <v>37</v>
      </c>
      <c r="T1783">
        <v>30949</v>
      </c>
      <c r="U1783">
        <v>34026</v>
      </c>
      <c r="V1783" t="s">
        <v>37</v>
      </c>
    </row>
    <row r="1784" spans="1:22">
      <c r="A1784" t="str">
        <f t="shared" si="345"/>
        <v>12/03/2026</v>
      </c>
      <c r="B1784" t="str">
        <f t="shared" ref="B1784:B1847" si="349">"SAÍDA"</f>
        <v>SAÍDA</v>
      </c>
      <c r="C1784" t="str">
        <f t="shared" si="340"/>
        <v>PIX</v>
      </c>
      <c r="D1784" t="str">
        <f>"34027"</f>
        <v>34027</v>
      </c>
      <c r="E1784" t="str">
        <f t="shared" si="346"/>
        <v>1</v>
      </c>
      <c r="F1784" t="str">
        <f t="shared" si="343"/>
        <v>COM</v>
      </c>
      <c r="G1784" t="str">
        <f>"MAICON VIANA ROCHA (1243)"</f>
        <v>MAICON VIANA ROCHA (1243)</v>
      </c>
      <c r="H1784" t="str">
        <f>"Serv.Prest. 23/02/2026 a 01/03/2026 - PIX: CNPJ - CHAVE: 24.309.889/0001-51"</f>
        <v>Serv.Prest. 23/02/2026 a 01/03/2026 - PIX: CNPJ - CHAVE: 24.309.889/0001-51</v>
      </c>
      <c r="I1784" t="str">
        <f t="shared" si="341"/>
        <v>12/03/2026</v>
      </c>
      <c r="J1784" t="str">
        <f t="shared" si="348"/>
        <v>03/03/2026</v>
      </c>
      <c r="K1784" t="str">
        <f>("12/03/2026")</f>
        <v>12/03/2026</v>
      </c>
      <c r="L1784">
        <v>416</v>
      </c>
      <c r="M1784">
        <v>416</v>
      </c>
      <c r="N1784">
        <v>109</v>
      </c>
      <c r="O1784" t="str">
        <f>"PAGAMENTO DE ENTREGADORES"</f>
        <v>PAGAMENTO DE ENTREGADORES</v>
      </c>
      <c r="P1784">
        <v>416</v>
      </c>
      <c r="S1784" t="str">
        <f>"BANCO C6 (149)"</f>
        <v>BANCO C6 (149)</v>
      </c>
      <c r="T1784">
        <v>30950</v>
      </c>
      <c r="U1784">
        <v>34027</v>
      </c>
      <c r="V1784" t="s">
        <v>37</v>
      </c>
    </row>
    <row r="1785" spans="1:22">
      <c r="A1785" t="str">
        <f t="shared" si="345"/>
        <v>12/03/2026</v>
      </c>
      <c r="B1785" t="str">
        <f t="shared" si="349"/>
        <v>SAÍDA</v>
      </c>
      <c r="C1785" t="str">
        <f t="shared" si="340"/>
        <v>PIX</v>
      </c>
      <c r="D1785" t="str">
        <f>"34027"</f>
        <v>34027</v>
      </c>
      <c r="E1785" t="str">
        <f t="shared" si="346"/>
        <v>1</v>
      </c>
      <c r="F1785" t="str">
        <f t="shared" si="343"/>
        <v>COM</v>
      </c>
      <c r="G1785" t="str">
        <f>"MAICON VIANA ROCHA (1243)"</f>
        <v>MAICON VIANA ROCHA (1243)</v>
      </c>
      <c r="H1785" t="s">
        <v>615</v>
      </c>
      <c r="I1785" t="str">
        <f t="shared" si="341"/>
        <v>12/03/2026</v>
      </c>
      <c r="J1785" t="str">
        <f t="shared" si="348"/>
        <v>03/03/2026</v>
      </c>
      <c r="K1785">
        <v>46093</v>
      </c>
      <c r="N1785">
        <v>109</v>
      </c>
      <c r="O1785" t="s">
        <v>27</v>
      </c>
      <c r="Q1785">
        <v>416</v>
      </c>
      <c r="R1785" t="str">
        <f>"PAGUE MENOS 426 (10292)"</f>
        <v>PAGUE MENOS 426 (10292)</v>
      </c>
      <c r="S1785" t="s">
        <v>37</v>
      </c>
      <c r="T1785">
        <v>30950</v>
      </c>
      <c r="U1785">
        <v>34027</v>
      </c>
      <c r="V1785" t="s">
        <v>37</v>
      </c>
    </row>
    <row r="1786" spans="1:22">
      <c r="A1786" t="str">
        <f t="shared" si="345"/>
        <v>12/03/2026</v>
      </c>
      <c r="B1786" t="str">
        <f t="shared" si="349"/>
        <v>SAÍDA</v>
      </c>
      <c r="C1786" t="str">
        <f t="shared" si="340"/>
        <v>PIX</v>
      </c>
      <c r="D1786" t="str">
        <f>"34029"</f>
        <v>34029</v>
      </c>
      <c r="E1786" t="str">
        <f t="shared" si="346"/>
        <v>1</v>
      </c>
      <c r="F1786" t="str">
        <f t="shared" si="343"/>
        <v>COM</v>
      </c>
      <c r="G1786" t="str">
        <f>"RAINER AUGUSTO LASMA COSTA (1353)"</f>
        <v>RAINER AUGUSTO LASMA COSTA (1353)</v>
      </c>
      <c r="H1786" t="str">
        <f>"Serv.Prest. 23/02/2026 a 01/03/2026 - PIX: CPF - CHAVE: 125.932.666-78"</f>
        <v>Serv.Prest. 23/02/2026 a 01/03/2026 - PIX: CPF - CHAVE: 125.932.666-78</v>
      </c>
      <c r="I1786" t="str">
        <f t="shared" si="341"/>
        <v>12/03/2026</v>
      </c>
      <c r="J1786" t="str">
        <f t="shared" si="348"/>
        <v>03/03/2026</v>
      </c>
      <c r="K1786" t="str">
        <f>("12/03/2026")</f>
        <v>12/03/2026</v>
      </c>
      <c r="L1786">
        <v>234</v>
      </c>
      <c r="M1786">
        <v>234</v>
      </c>
      <c r="N1786">
        <v>109</v>
      </c>
      <c r="O1786" t="str">
        <f>"PAGAMENTO DE ENTREGADORES"</f>
        <v>PAGAMENTO DE ENTREGADORES</v>
      </c>
      <c r="P1786">
        <v>234</v>
      </c>
      <c r="S1786" t="str">
        <f>"BANCO C6 (149)"</f>
        <v>BANCO C6 (149)</v>
      </c>
      <c r="T1786">
        <v>30951</v>
      </c>
      <c r="U1786">
        <v>34029</v>
      </c>
      <c r="V1786" t="s">
        <v>37</v>
      </c>
    </row>
    <row r="1787" spans="1:22">
      <c r="A1787" t="str">
        <f t="shared" si="345"/>
        <v>12/03/2026</v>
      </c>
      <c r="B1787" t="str">
        <f t="shared" si="349"/>
        <v>SAÍDA</v>
      </c>
      <c r="C1787" t="str">
        <f t="shared" si="340"/>
        <v>PIX</v>
      </c>
      <c r="D1787" t="str">
        <f>"34029"</f>
        <v>34029</v>
      </c>
      <c r="E1787" t="str">
        <f t="shared" si="346"/>
        <v>1</v>
      </c>
      <c r="F1787" t="str">
        <f t="shared" si="343"/>
        <v>COM</v>
      </c>
      <c r="G1787" t="str">
        <f>"RAINER AUGUSTO LASMA COSTA (1353)"</f>
        <v>RAINER AUGUSTO LASMA COSTA (1353)</v>
      </c>
      <c r="H1787" t="s">
        <v>616</v>
      </c>
      <c r="I1787" t="str">
        <f t="shared" si="341"/>
        <v>12/03/2026</v>
      </c>
      <c r="J1787" t="str">
        <f t="shared" si="348"/>
        <v>03/03/2026</v>
      </c>
      <c r="K1787">
        <v>46093</v>
      </c>
      <c r="N1787">
        <v>109</v>
      </c>
      <c r="O1787" t="s">
        <v>27</v>
      </c>
      <c r="Q1787">
        <v>54.01</v>
      </c>
      <c r="R1787" t="str">
        <f>"PAGUE MENOS 377 (10300)"</f>
        <v>PAGUE MENOS 377 (10300)</v>
      </c>
      <c r="S1787" t="s">
        <v>37</v>
      </c>
      <c r="T1787">
        <v>30951</v>
      </c>
      <c r="U1787">
        <v>34029</v>
      </c>
      <c r="V1787" t="s">
        <v>37</v>
      </c>
    </row>
    <row r="1788" spans="1:22">
      <c r="A1788" t="str">
        <f t="shared" si="345"/>
        <v>12/03/2026</v>
      </c>
      <c r="B1788" t="str">
        <f t="shared" si="349"/>
        <v>SAÍDA</v>
      </c>
      <c r="C1788" t="str">
        <f t="shared" si="340"/>
        <v>PIX</v>
      </c>
      <c r="D1788" t="str">
        <f>"34029"</f>
        <v>34029</v>
      </c>
      <c r="E1788" t="str">
        <f t="shared" si="346"/>
        <v>1</v>
      </c>
      <c r="F1788" t="str">
        <f t="shared" si="343"/>
        <v>COM</v>
      </c>
      <c r="G1788" t="str">
        <f>"RAINER AUGUSTO LASMA COSTA (1353)"</f>
        <v>RAINER AUGUSTO LASMA COSTA (1353)</v>
      </c>
      <c r="H1788" t="s">
        <v>616</v>
      </c>
      <c r="I1788" t="str">
        <f t="shared" si="341"/>
        <v>12/03/2026</v>
      </c>
      <c r="J1788" t="str">
        <f t="shared" si="348"/>
        <v>03/03/2026</v>
      </c>
      <c r="K1788">
        <v>46093</v>
      </c>
      <c r="N1788">
        <v>109</v>
      </c>
      <c r="O1788" t="s">
        <v>27</v>
      </c>
      <c r="Q1788">
        <v>72</v>
      </c>
      <c r="R1788" t="str">
        <f>"PAGUE MENOS 1155 (10307)"</f>
        <v>PAGUE MENOS 1155 (10307)</v>
      </c>
      <c r="S1788" t="s">
        <v>37</v>
      </c>
      <c r="T1788">
        <v>30951</v>
      </c>
      <c r="U1788">
        <v>34029</v>
      </c>
      <c r="V1788" t="s">
        <v>37</v>
      </c>
    </row>
    <row r="1789" spans="1:22">
      <c r="A1789" t="str">
        <f t="shared" si="345"/>
        <v>12/03/2026</v>
      </c>
      <c r="B1789" t="str">
        <f t="shared" si="349"/>
        <v>SAÍDA</v>
      </c>
      <c r="C1789" t="str">
        <f t="shared" si="340"/>
        <v>PIX</v>
      </c>
      <c r="D1789" t="str">
        <f>"34029"</f>
        <v>34029</v>
      </c>
      <c r="E1789" t="str">
        <f t="shared" si="346"/>
        <v>1</v>
      </c>
      <c r="F1789" t="str">
        <f t="shared" si="343"/>
        <v>COM</v>
      </c>
      <c r="G1789" t="str">
        <f>"RAINER AUGUSTO LASMA COSTA (1353)"</f>
        <v>RAINER AUGUSTO LASMA COSTA (1353)</v>
      </c>
      <c r="H1789" t="s">
        <v>616</v>
      </c>
      <c r="I1789" t="str">
        <f t="shared" si="341"/>
        <v>12/03/2026</v>
      </c>
      <c r="J1789" t="str">
        <f t="shared" si="348"/>
        <v>03/03/2026</v>
      </c>
      <c r="K1789">
        <v>46093</v>
      </c>
      <c r="N1789">
        <v>109</v>
      </c>
      <c r="O1789" t="s">
        <v>27</v>
      </c>
      <c r="Q1789">
        <v>107.99</v>
      </c>
      <c r="R1789" t="str">
        <f>"PAGUE MENOS 1156 (10308)"</f>
        <v>PAGUE MENOS 1156 (10308)</v>
      </c>
      <c r="S1789" t="s">
        <v>37</v>
      </c>
      <c r="T1789">
        <v>30951</v>
      </c>
      <c r="U1789">
        <v>34029</v>
      </c>
      <c r="V1789" t="s">
        <v>37</v>
      </c>
    </row>
    <row r="1790" spans="1:22">
      <c r="A1790" t="str">
        <f t="shared" si="345"/>
        <v>12/03/2026</v>
      </c>
      <c r="B1790" t="str">
        <f t="shared" si="349"/>
        <v>SAÍDA</v>
      </c>
      <c r="C1790" t="str">
        <f t="shared" si="340"/>
        <v>PIX</v>
      </c>
      <c r="D1790" t="str">
        <f>"34030"</f>
        <v>34030</v>
      </c>
      <c r="E1790" t="str">
        <f t="shared" si="346"/>
        <v>1</v>
      </c>
      <c r="F1790" t="str">
        <f t="shared" si="343"/>
        <v>COM</v>
      </c>
      <c r="G1790" t="str">
        <f>"RICHARD HENRIQUE DA SILVA (244)"</f>
        <v>RICHARD HENRIQUE DA SILVA (244)</v>
      </c>
      <c r="H1790" t="str">
        <f>"Serv.Prest. 23/02/2026 a 01/03/2026 - PIX: CELULAR - CHAVE: (37) 99197-6834"</f>
        <v>Serv.Prest. 23/02/2026 a 01/03/2026 - PIX: CELULAR - CHAVE: (37) 99197-6834</v>
      </c>
      <c r="I1790" t="str">
        <f t="shared" si="341"/>
        <v>12/03/2026</v>
      </c>
      <c r="J1790" t="str">
        <f t="shared" si="348"/>
        <v>03/03/2026</v>
      </c>
      <c r="K1790" t="str">
        <f>("12/03/2026")</f>
        <v>12/03/2026</v>
      </c>
      <c r="L1790">
        <v>440</v>
      </c>
      <c r="M1790">
        <v>440</v>
      </c>
      <c r="N1790">
        <v>109</v>
      </c>
      <c r="O1790" t="str">
        <f>"PAGAMENTO DE ENTREGADORES"</f>
        <v>PAGAMENTO DE ENTREGADORES</v>
      </c>
      <c r="P1790">
        <v>440</v>
      </c>
      <c r="S1790" t="str">
        <f>"BANCO C6 (149)"</f>
        <v>BANCO C6 (149)</v>
      </c>
      <c r="T1790">
        <v>30952</v>
      </c>
      <c r="U1790">
        <v>34030</v>
      </c>
      <c r="V1790" t="s">
        <v>37</v>
      </c>
    </row>
    <row r="1791" spans="1:22">
      <c r="A1791" t="str">
        <f t="shared" si="345"/>
        <v>12/03/2026</v>
      </c>
      <c r="B1791" t="str">
        <f t="shared" si="349"/>
        <v>SAÍDA</v>
      </c>
      <c r="C1791" t="str">
        <f t="shared" si="340"/>
        <v>PIX</v>
      </c>
      <c r="D1791" t="str">
        <f>"34030"</f>
        <v>34030</v>
      </c>
      <c r="E1791" t="str">
        <f t="shared" si="346"/>
        <v>1</v>
      </c>
      <c r="F1791" t="str">
        <f t="shared" si="343"/>
        <v>COM</v>
      </c>
      <c r="G1791" t="str">
        <f>"RICHARD HENRIQUE DA SILVA (244)"</f>
        <v>RICHARD HENRIQUE DA SILVA (244)</v>
      </c>
      <c r="H1791" t="s">
        <v>344</v>
      </c>
      <c r="I1791" t="str">
        <f t="shared" si="341"/>
        <v>12/03/2026</v>
      </c>
      <c r="J1791" t="str">
        <f t="shared" si="348"/>
        <v>03/03/2026</v>
      </c>
      <c r="K1791">
        <v>46093</v>
      </c>
      <c r="N1791">
        <v>109</v>
      </c>
      <c r="O1791" t="s">
        <v>27</v>
      </c>
      <c r="Q1791">
        <v>440</v>
      </c>
      <c r="R1791" t="str">
        <f>"PAGUE MENOS 356 (10291)"</f>
        <v>PAGUE MENOS 356 (10291)</v>
      </c>
      <c r="S1791" t="s">
        <v>37</v>
      </c>
      <c r="T1791">
        <v>30952</v>
      </c>
      <c r="U1791">
        <v>34030</v>
      </c>
      <c r="V1791" t="s">
        <v>37</v>
      </c>
    </row>
    <row r="1792" spans="1:22">
      <c r="A1792" t="str">
        <f t="shared" si="345"/>
        <v>12/03/2026</v>
      </c>
      <c r="B1792" t="str">
        <f t="shared" si="349"/>
        <v>SAÍDA</v>
      </c>
      <c r="C1792" t="str">
        <f t="shared" ref="C1792:C1855" si="350">"PIX"</f>
        <v>PIX</v>
      </c>
      <c r="D1792" t="str">
        <f>"34039"</f>
        <v>34039</v>
      </c>
      <c r="E1792" t="str">
        <f t="shared" si="346"/>
        <v>1</v>
      </c>
      <c r="F1792" t="str">
        <f t="shared" si="343"/>
        <v>COM</v>
      </c>
      <c r="G1792" t="str">
        <f>"PEDRO HENRIQUE MARQUES DA SILVA (1316)"</f>
        <v>PEDRO HENRIQUE MARQUES DA SILVA (1316)</v>
      </c>
      <c r="H1792" t="str">
        <f>"Serv.Prest. 23/02/2026 a 01/03/2026 - PIX: CNPJ - CHAVE: 64.557.825/0001-94"</f>
        <v>Serv.Prest. 23/02/2026 a 01/03/2026 - PIX: CNPJ - CHAVE: 64.557.825/0001-94</v>
      </c>
      <c r="I1792" t="str">
        <f t="shared" ref="I1792:I1855" si="351">("12/03/2026")</f>
        <v>12/03/2026</v>
      </c>
      <c r="J1792" t="str">
        <f t="shared" si="348"/>
        <v>03/03/2026</v>
      </c>
      <c r="K1792" t="str">
        <f>("12/03/2026")</f>
        <v>12/03/2026</v>
      </c>
      <c r="L1792">
        <v>848</v>
      </c>
      <c r="M1792">
        <v>848</v>
      </c>
      <c r="N1792">
        <v>109</v>
      </c>
      <c r="O1792" t="str">
        <f>"PAGAMENTO DE ENTREGADORES"</f>
        <v>PAGAMENTO DE ENTREGADORES</v>
      </c>
      <c r="P1792">
        <v>848</v>
      </c>
      <c r="S1792" t="str">
        <f>"BANCO C6 (149)"</f>
        <v>BANCO C6 (149)</v>
      </c>
      <c r="T1792">
        <v>30953</v>
      </c>
      <c r="U1792">
        <v>34039</v>
      </c>
      <c r="V1792" t="s">
        <v>37</v>
      </c>
    </row>
    <row r="1793" spans="1:22">
      <c r="A1793" t="str">
        <f t="shared" si="345"/>
        <v>12/03/2026</v>
      </c>
      <c r="B1793" t="str">
        <f t="shared" si="349"/>
        <v>SAÍDA</v>
      </c>
      <c r="C1793" t="str">
        <f t="shared" si="350"/>
        <v>PIX</v>
      </c>
      <c r="D1793" t="str">
        <f>"34039"</f>
        <v>34039</v>
      </c>
      <c r="E1793" t="str">
        <f t="shared" si="346"/>
        <v>1</v>
      </c>
      <c r="F1793" t="str">
        <f t="shared" si="343"/>
        <v>COM</v>
      </c>
      <c r="G1793" t="str">
        <f>"PEDRO HENRIQUE MARQUES DA SILVA (1316)"</f>
        <v>PEDRO HENRIQUE MARQUES DA SILVA (1316)</v>
      </c>
      <c r="H1793" t="s">
        <v>617</v>
      </c>
      <c r="I1793" t="str">
        <f t="shared" si="351"/>
        <v>12/03/2026</v>
      </c>
      <c r="J1793" t="str">
        <f t="shared" si="348"/>
        <v>03/03/2026</v>
      </c>
      <c r="K1793">
        <v>46093</v>
      </c>
      <c r="N1793">
        <v>109</v>
      </c>
      <c r="O1793" t="s">
        <v>27</v>
      </c>
      <c r="Q1793">
        <v>848</v>
      </c>
      <c r="R1793" t="str">
        <f>"PAGUE MENOS 321 (10295)"</f>
        <v>PAGUE MENOS 321 (10295)</v>
      </c>
      <c r="S1793" t="s">
        <v>37</v>
      </c>
      <c r="T1793">
        <v>30953</v>
      </c>
      <c r="U1793">
        <v>34039</v>
      </c>
      <c r="V1793" t="s">
        <v>37</v>
      </c>
    </row>
    <row r="1794" spans="1:22">
      <c r="A1794" t="str">
        <f t="shared" si="345"/>
        <v>12/03/2026</v>
      </c>
      <c r="B1794" t="str">
        <f t="shared" si="349"/>
        <v>SAÍDA</v>
      </c>
      <c r="C1794" t="str">
        <f t="shared" si="350"/>
        <v>PIX</v>
      </c>
      <c r="D1794" t="str">
        <f>"34060"</f>
        <v>34060</v>
      </c>
      <c r="E1794" t="str">
        <f t="shared" si="346"/>
        <v>1</v>
      </c>
      <c r="F1794" t="str">
        <f t="shared" ref="F1794:F1857" si="352">"COM"</f>
        <v>COM</v>
      </c>
      <c r="G1794" t="str">
        <f>"EDUARDO SILVA DE JESUS (143)"</f>
        <v>EDUARDO SILVA DE JESUS (143)</v>
      </c>
      <c r="H1794" t="str">
        <f>"Serv.Prest. 23/02/2026 a 01/03/2026 - PIX: CPF - CHAVE: 094.947.395-23"</f>
        <v>Serv.Prest. 23/02/2026 a 01/03/2026 - PIX: CPF - CHAVE: 094.947.395-23</v>
      </c>
      <c r="I1794" t="str">
        <f t="shared" si="351"/>
        <v>12/03/2026</v>
      </c>
      <c r="J1794" t="str">
        <f t="shared" si="348"/>
        <v>03/03/2026</v>
      </c>
      <c r="K1794" t="str">
        <f>("12/03/2026")</f>
        <v>12/03/2026</v>
      </c>
      <c r="L1794">
        <v>76</v>
      </c>
      <c r="M1794">
        <v>76</v>
      </c>
      <c r="N1794">
        <v>109</v>
      </c>
      <c r="O1794" t="str">
        <f>"PAGAMENTO DE ENTREGADORES"</f>
        <v>PAGAMENTO DE ENTREGADORES</v>
      </c>
      <c r="P1794">
        <v>76</v>
      </c>
      <c r="S1794" t="str">
        <f>"BANCO C6 (149)"</f>
        <v>BANCO C6 (149)</v>
      </c>
      <c r="T1794">
        <v>30954</v>
      </c>
      <c r="U1794">
        <v>34060</v>
      </c>
      <c r="V1794" t="s">
        <v>37</v>
      </c>
    </row>
    <row r="1795" spans="1:22">
      <c r="A1795" t="str">
        <f t="shared" si="345"/>
        <v>12/03/2026</v>
      </c>
      <c r="B1795" t="str">
        <f t="shared" si="349"/>
        <v>SAÍDA</v>
      </c>
      <c r="C1795" t="str">
        <f t="shared" si="350"/>
        <v>PIX</v>
      </c>
      <c r="D1795" t="str">
        <f>"34060"</f>
        <v>34060</v>
      </c>
      <c r="E1795" t="str">
        <f t="shared" si="346"/>
        <v>1</v>
      </c>
      <c r="F1795" t="str">
        <f t="shared" si="352"/>
        <v>COM</v>
      </c>
      <c r="G1795" t="str">
        <f>"EDUARDO SILVA DE JESUS (143)"</f>
        <v>EDUARDO SILVA DE JESUS (143)</v>
      </c>
      <c r="H1795" t="s">
        <v>435</v>
      </c>
      <c r="I1795" t="str">
        <f t="shared" si="351"/>
        <v>12/03/2026</v>
      </c>
      <c r="J1795" t="str">
        <f t="shared" si="348"/>
        <v>03/03/2026</v>
      </c>
      <c r="K1795">
        <v>46093</v>
      </c>
      <c r="N1795">
        <v>109</v>
      </c>
      <c r="O1795" t="s">
        <v>27</v>
      </c>
      <c r="Q1795">
        <v>76</v>
      </c>
      <c r="R1795" t="str">
        <f>"FARMÁCIA INDIANA LJ 91 (10037)"</f>
        <v>FARMÁCIA INDIANA LJ 91 (10037)</v>
      </c>
      <c r="S1795" t="s">
        <v>37</v>
      </c>
      <c r="T1795">
        <v>30954</v>
      </c>
      <c r="U1795">
        <v>34060</v>
      </c>
      <c r="V1795" t="s">
        <v>37</v>
      </c>
    </row>
    <row r="1796" spans="1:22">
      <c r="A1796" t="str">
        <f t="shared" si="345"/>
        <v>12/03/2026</v>
      </c>
      <c r="B1796" t="str">
        <f t="shared" si="349"/>
        <v>SAÍDA</v>
      </c>
      <c r="C1796" t="str">
        <f t="shared" si="350"/>
        <v>PIX</v>
      </c>
      <c r="D1796" t="str">
        <f>"34245"</f>
        <v>34245</v>
      </c>
      <c r="E1796" t="str">
        <f t="shared" si="346"/>
        <v>1</v>
      </c>
      <c r="F1796" t="str">
        <f t="shared" si="352"/>
        <v>COM</v>
      </c>
      <c r="G1796" t="str">
        <f>"ALBERTO FARIAS DOS SANTOS JUNIOR (800)"</f>
        <v>ALBERTO FARIAS DOS SANTOS JUNIOR (800)</v>
      </c>
      <c r="H1796" t="str">
        <f>"Serv.Prest. 02/03/2026 a 08/03/2026 - PIX: CELULAR - CHAVE: (71) 99696-7530"</f>
        <v>Serv.Prest. 02/03/2026 a 08/03/2026 - PIX: CELULAR - CHAVE: (71) 99696-7530</v>
      </c>
      <c r="I1796" t="str">
        <f t="shared" si="351"/>
        <v>12/03/2026</v>
      </c>
      <c r="J1796" t="str">
        <f t="shared" ref="J1796:J1859" si="353">("09/03/2026")</f>
        <v>09/03/2026</v>
      </c>
      <c r="K1796" t="str">
        <f>("12/03/2026")</f>
        <v>12/03/2026</v>
      </c>
      <c r="L1796">
        <v>740</v>
      </c>
      <c r="M1796">
        <v>740</v>
      </c>
      <c r="N1796">
        <v>109</v>
      </c>
      <c r="O1796" t="str">
        <f>"PAGAMENTO DE ENTREGADORES"</f>
        <v>PAGAMENTO DE ENTREGADORES</v>
      </c>
      <c r="P1796">
        <v>740</v>
      </c>
      <c r="S1796" t="str">
        <f>"BANCO C6 (149)"</f>
        <v>BANCO C6 (149)</v>
      </c>
      <c r="T1796">
        <v>30955</v>
      </c>
      <c r="U1796">
        <v>34245</v>
      </c>
      <c r="V1796" t="s">
        <v>37</v>
      </c>
    </row>
    <row r="1797" spans="1:22">
      <c r="A1797" t="str">
        <f t="shared" si="345"/>
        <v>12/03/2026</v>
      </c>
      <c r="B1797" t="str">
        <f t="shared" si="349"/>
        <v>SAÍDA</v>
      </c>
      <c r="C1797" t="str">
        <f t="shared" si="350"/>
        <v>PIX</v>
      </c>
      <c r="D1797" t="str">
        <f>"34245"</f>
        <v>34245</v>
      </c>
      <c r="E1797" t="str">
        <f t="shared" si="346"/>
        <v>1</v>
      </c>
      <c r="F1797" t="str">
        <f t="shared" si="352"/>
        <v>COM</v>
      </c>
      <c r="G1797" t="str">
        <f>"ALBERTO FARIAS DOS SANTOS JUNIOR (800)"</f>
        <v>ALBERTO FARIAS DOS SANTOS JUNIOR (800)</v>
      </c>
      <c r="H1797" t="s">
        <v>523</v>
      </c>
      <c r="I1797" t="str">
        <f t="shared" si="351"/>
        <v>12/03/2026</v>
      </c>
      <c r="J1797" t="str">
        <f t="shared" si="353"/>
        <v>09/03/2026</v>
      </c>
      <c r="K1797">
        <v>46093</v>
      </c>
      <c r="N1797">
        <v>109</v>
      </c>
      <c r="O1797" t="s">
        <v>27</v>
      </c>
      <c r="Q1797">
        <v>740</v>
      </c>
      <c r="R1797" t="str">
        <f>"DELTA LOJA 2 (10123)"</f>
        <v>DELTA LOJA 2 (10123)</v>
      </c>
      <c r="S1797" t="s">
        <v>37</v>
      </c>
      <c r="T1797">
        <v>30955</v>
      </c>
      <c r="U1797">
        <v>34245</v>
      </c>
      <c r="V1797" t="s">
        <v>37</v>
      </c>
    </row>
    <row r="1798" spans="1:22">
      <c r="A1798" t="str">
        <f t="shared" si="345"/>
        <v>12/03/2026</v>
      </c>
      <c r="B1798" t="str">
        <f t="shared" si="349"/>
        <v>SAÍDA</v>
      </c>
      <c r="C1798" t="str">
        <f t="shared" si="350"/>
        <v>PIX</v>
      </c>
      <c r="D1798" t="str">
        <f>"34246"</f>
        <v>34246</v>
      </c>
      <c r="E1798" t="str">
        <f t="shared" si="346"/>
        <v>1</v>
      </c>
      <c r="F1798" t="str">
        <f t="shared" si="352"/>
        <v>COM</v>
      </c>
      <c r="G1798" t="str">
        <f>"EDNUBIA RAMOS ALVES OLIVEIRA (899)"</f>
        <v>EDNUBIA RAMOS ALVES OLIVEIRA (899)</v>
      </c>
      <c r="H1798" t="str">
        <f>"Serv.Prest. 02/03/2026 a 08/03/2026 - PIX: CELULAR - CHAVE: (71) 99214-9256"</f>
        <v>Serv.Prest. 02/03/2026 a 08/03/2026 - PIX: CELULAR - CHAVE: (71) 99214-9256</v>
      </c>
      <c r="I1798" t="str">
        <f t="shared" si="351"/>
        <v>12/03/2026</v>
      </c>
      <c r="J1798" t="str">
        <f t="shared" si="353"/>
        <v>09/03/2026</v>
      </c>
      <c r="K1798" t="str">
        <f>("12/03/2026")</f>
        <v>12/03/2026</v>
      </c>
      <c r="L1798">
        <v>730</v>
      </c>
      <c r="M1798">
        <v>730</v>
      </c>
      <c r="N1798">
        <v>109</v>
      </c>
      <c r="O1798" t="str">
        <f>"PAGAMENTO DE ENTREGADORES"</f>
        <v>PAGAMENTO DE ENTREGADORES</v>
      </c>
      <c r="P1798">
        <v>730</v>
      </c>
      <c r="S1798" t="str">
        <f>"BANCO C6 (149)"</f>
        <v>BANCO C6 (149)</v>
      </c>
      <c r="T1798">
        <v>30956</v>
      </c>
      <c r="U1798">
        <v>34246</v>
      </c>
      <c r="V1798" t="s">
        <v>37</v>
      </c>
    </row>
    <row r="1799" spans="1:22">
      <c r="A1799" t="str">
        <f t="shared" si="345"/>
        <v>12/03/2026</v>
      </c>
      <c r="B1799" t="str">
        <f t="shared" si="349"/>
        <v>SAÍDA</v>
      </c>
      <c r="C1799" t="str">
        <f t="shared" si="350"/>
        <v>PIX</v>
      </c>
      <c r="D1799" t="str">
        <f>"34246"</f>
        <v>34246</v>
      </c>
      <c r="E1799" t="str">
        <f t="shared" si="346"/>
        <v>1</v>
      </c>
      <c r="F1799" t="str">
        <f t="shared" si="352"/>
        <v>COM</v>
      </c>
      <c r="G1799" t="str">
        <f>"EDNUBIA RAMOS ALVES OLIVEIRA (899)"</f>
        <v>EDNUBIA RAMOS ALVES OLIVEIRA (899)</v>
      </c>
      <c r="H1799" t="s">
        <v>433</v>
      </c>
      <c r="I1799" t="str">
        <f t="shared" si="351"/>
        <v>12/03/2026</v>
      </c>
      <c r="J1799" t="str">
        <f t="shared" si="353"/>
        <v>09/03/2026</v>
      </c>
      <c r="K1799">
        <v>46093</v>
      </c>
      <c r="N1799">
        <v>109</v>
      </c>
      <c r="O1799" t="s">
        <v>27</v>
      </c>
      <c r="Q1799">
        <v>730</v>
      </c>
      <c r="R1799" t="str">
        <f>"DELTA LOJA 2 (10123)"</f>
        <v>DELTA LOJA 2 (10123)</v>
      </c>
      <c r="S1799" t="s">
        <v>37</v>
      </c>
      <c r="T1799">
        <v>30956</v>
      </c>
      <c r="U1799">
        <v>34246</v>
      </c>
      <c r="V1799" t="s">
        <v>37</v>
      </c>
    </row>
    <row r="1800" spans="1:22">
      <c r="A1800" t="str">
        <f t="shared" si="345"/>
        <v>12/03/2026</v>
      </c>
      <c r="B1800" t="str">
        <f t="shared" si="349"/>
        <v>SAÍDA</v>
      </c>
      <c r="C1800" t="str">
        <f t="shared" si="350"/>
        <v>PIX</v>
      </c>
      <c r="D1800" t="str">
        <f>"34247"</f>
        <v>34247</v>
      </c>
      <c r="E1800" t="str">
        <f t="shared" si="346"/>
        <v>1</v>
      </c>
      <c r="F1800" t="str">
        <f t="shared" si="352"/>
        <v>COM</v>
      </c>
      <c r="G1800" t="str">
        <f>"EDVAN DA SILVA ALVES (934)"</f>
        <v>EDVAN DA SILVA ALVES (934)</v>
      </c>
      <c r="H1800" t="str">
        <f>"Serv.Prest. 02/03/2026 a 08/03/2026 - PIX: E-MAIL - CHAVE: edvam18.alves@gmail.com"</f>
        <v>Serv.Prest. 02/03/2026 a 08/03/2026 - PIX: E-MAIL - CHAVE: edvam18.alves@gmail.com</v>
      </c>
      <c r="I1800" t="str">
        <f t="shared" si="351"/>
        <v>12/03/2026</v>
      </c>
      <c r="J1800" t="str">
        <f t="shared" si="353"/>
        <v>09/03/2026</v>
      </c>
      <c r="K1800" t="str">
        <f>("12/03/2026")</f>
        <v>12/03/2026</v>
      </c>
      <c r="L1800">
        <v>745</v>
      </c>
      <c r="M1800">
        <v>745</v>
      </c>
      <c r="N1800">
        <v>109</v>
      </c>
      <c r="O1800" t="str">
        <f>"PAGAMENTO DE ENTREGADORES"</f>
        <v>PAGAMENTO DE ENTREGADORES</v>
      </c>
      <c r="P1800">
        <v>745</v>
      </c>
      <c r="S1800" t="str">
        <f>"BANCO C6 (149)"</f>
        <v>BANCO C6 (149)</v>
      </c>
      <c r="T1800">
        <v>30957</v>
      </c>
      <c r="U1800">
        <v>34247</v>
      </c>
      <c r="V1800" t="s">
        <v>37</v>
      </c>
    </row>
    <row r="1801" spans="1:22">
      <c r="A1801" t="str">
        <f t="shared" ref="A1801:A1864" si="354">("12/03/2026")</f>
        <v>12/03/2026</v>
      </c>
      <c r="B1801" t="str">
        <f t="shared" si="349"/>
        <v>SAÍDA</v>
      </c>
      <c r="C1801" t="str">
        <f t="shared" si="350"/>
        <v>PIX</v>
      </c>
      <c r="D1801" t="str">
        <f>"34247"</f>
        <v>34247</v>
      </c>
      <c r="E1801" t="str">
        <f t="shared" ref="E1801:E1864" si="355">"1"</f>
        <v>1</v>
      </c>
      <c r="F1801" t="str">
        <f t="shared" si="352"/>
        <v>COM</v>
      </c>
      <c r="G1801" t="str">
        <f>"EDVAN DA SILVA ALVES (934)"</f>
        <v>EDVAN DA SILVA ALVES (934)</v>
      </c>
      <c r="H1801" t="s">
        <v>517</v>
      </c>
      <c r="I1801" t="str">
        <f t="shared" si="351"/>
        <v>12/03/2026</v>
      </c>
      <c r="J1801" t="str">
        <f t="shared" si="353"/>
        <v>09/03/2026</v>
      </c>
      <c r="K1801">
        <v>46093</v>
      </c>
      <c r="N1801">
        <v>109</v>
      </c>
      <c r="O1801" t="s">
        <v>27</v>
      </c>
      <c r="Q1801">
        <v>745</v>
      </c>
      <c r="R1801" t="str">
        <f>"DELTA LOJA 2 (10123)"</f>
        <v>DELTA LOJA 2 (10123)</v>
      </c>
      <c r="S1801" t="s">
        <v>37</v>
      </c>
      <c r="T1801">
        <v>30957</v>
      </c>
      <c r="U1801">
        <v>34247</v>
      </c>
      <c r="V1801" t="s">
        <v>37</v>
      </c>
    </row>
    <row r="1802" spans="1:22">
      <c r="A1802" t="str">
        <f t="shared" si="354"/>
        <v>12/03/2026</v>
      </c>
      <c r="B1802" t="str">
        <f t="shared" si="349"/>
        <v>SAÍDA</v>
      </c>
      <c r="C1802" t="str">
        <f t="shared" si="350"/>
        <v>PIX</v>
      </c>
      <c r="D1802" t="str">
        <f>"34248"</f>
        <v>34248</v>
      </c>
      <c r="E1802" t="str">
        <f t="shared" si="355"/>
        <v>1</v>
      </c>
      <c r="F1802" t="str">
        <f t="shared" si="352"/>
        <v>COM</v>
      </c>
      <c r="G1802" t="str">
        <f>"ELIENAI ROSA DO NASCIMENTO (343)"</f>
        <v>ELIENAI ROSA DO NASCIMENTO (343)</v>
      </c>
      <c r="H1802" t="str">
        <f>"Serv.Prest. 02/03/2026 a 08/03/2026 - PIX: CPF - CHAVE: 048.672.645-20"</f>
        <v>Serv.Prest. 02/03/2026 a 08/03/2026 - PIX: CPF - CHAVE: 048.672.645-20</v>
      </c>
      <c r="I1802" t="str">
        <f t="shared" si="351"/>
        <v>12/03/2026</v>
      </c>
      <c r="J1802" t="str">
        <f t="shared" si="353"/>
        <v>09/03/2026</v>
      </c>
      <c r="K1802" t="str">
        <f>("12/03/2026")</f>
        <v>12/03/2026</v>
      </c>
      <c r="L1802">
        <v>720</v>
      </c>
      <c r="M1802">
        <v>720</v>
      </c>
      <c r="N1802">
        <v>109</v>
      </c>
      <c r="O1802" t="str">
        <f>"PAGAMENTO DE ENTREGADORES"</f>
        <v>PAGAMENTO DE ENTREGADORES</v>
      </c>
      <c r="P1802">
        <v>720</v>
      </c>
      <c r="S1802" t="str">
        <f>"BANCO C6 (149)"</f>
        <v>BANCO C6 (149)</v>
      </c>
      <c r="T1802">
        <v>30958</v>
      </c>
      <c r="U1802">
        <v>34248</v>
      </c>
      <c r="V1802" t="s">
        <v>37</v>
      </c>
    </row>
    <row r="1803" spans="1:22">
      <c r="A1803" t="str">
        <f t="shared" si="354"/>
        <v>12/03/2026</v>
      </c>
      <c r="B1803" t="str">
        <f t="shared" si="349"/>
        <v>SAÍDA</v>
      </c>
      <c r="C1803" t="str">
        <f t="shared" si="350"/>
        <v>PIX</v>
      </c>
      <c r="D1803" t="str">
        <f>"34248"</f>
        <v>34248</v>
      </c>
      <c r="E1803" t="str">
        <f t="shared" si="355"/>
        <v>1</v>
      </c>
      <c r="F1803" t="str">
        <f t="shared" si="352"/>
        <v>COM</v>
      </c>
      <c r="G1803" t="str">
        <f>"ELIENAI ROSA DO NASCIMENTO (343)"</f>
        <v>ELIENAI ROSA DO NASCIMENTO (343)</v>
      </c>
      <c r="H1803" t="s">
        <v>618</v>
      </c>
      <c r="I1803" t="str">
        <f t="shared" si="351"/>
        <v>12/03/2026</v>
      </c>
      <c r="J1803" t="str">
        <f t="shared" si="353"/>
        <v>09/03/2026</v>
      </c>
      <c r="K1803">
        <v>46093</v>
      </c>
      <c r="N1803">
        <v>109</v>
      </c>
      <c r="O1803" t="s">
        <v>27</v>
      </c>
      <c r="Q1803">
        <v>720</v>
      </c>
      <c r="R1803" t="str">
        <f>"DELTA LOJA 2 (10123)"</f>
        <v>DELTA LOJA 2 (10123)</v>
      </c>
      <c r="S1803" t="s">
        <v>37</v>
      </c>
      <c r="T1803">
        <v>30958</v>
      </c>
      <c r="U1803">
        <v>34248</v>
      </c>
      <c r="V1803" t="s">
        <v>37</v>
      </c>
    </row>
    <row r="1804" spans="1:22">
      <c r="A1804" t="str">
        <f t="shared" si="354"/>
        <v>12/03/2026</v>
      </c>
      <c r="B1804" t="str">
        <f t="shared" si="349"/>
        <v>SAÍDA</v>
      </c>
      <c r="C1804" t="str">
        <f t="shared" si="350"/>
        <v>PIX</v>
      </c>
      <c r="D1804" t="str">
        <f>"34249"</f>
        <v>34249</v>
      </c>
      <c r="E1804" t="str">
        <f t="shared" si="355"/>
        <v>1</v>
      </c>
      <c r="F1804" t="str">
        <f t="shared" si="352"/>
        <v>COM</v>
      </c>
      <c r="G1804" t="str">
        <f>"JHON CARLOS DOS SANTOS LIMA (995)"</f>
        <v>JHON CARLOS DOS SANTOS LIMA (995)</v>
      </c>
      <c r="H1804" t="str">
        <f>"Serv.Prest. 02/03/2026 a 08/03/2026 - PIX: CELULAR - CHAVE: (71) 98124-7946"</f>
        <v>Serv.Prest. 02/03/2026 a 08/03/2026 - PIX: CELULAR - CHAVE: (71) 98124-7946</v>
      </c>
      <c r="I1804" t="str">
        <f t="shared" si="351"/>
        <v>12/03/2026</v>
      </c>
      <c r="J1804" t="str">
        <f t="shared" si="353"/>
        <v>09/03/2026</v>
      </c>
      <c r="K1804" t="str">
        <f>("12/03/2026")</f>
        <v>12/03/2026</v>
      </c>
      <c r="L1804">
        <v>720</v>
      </c>
      <c r="M1804">
        <v>720</v>
      </c>
      <c r="N1804">
        <v>109</v>
      </c>
      <c r="O1804" t="str">
        <f>"PAGAMENTO DE ENTREGADORES"</f>
        <v>PAGAMENTO DE ENTREGADORES</v>
      </c>
      <c r="P1804">
        <v>720</v>
      </c>
      <c r="S1804" t="str">
        <f>"BANCO C6 (149)"</f>
        <v>BANCO C6 (149)</v>
      </c>
      <c r="T1804">
        <v>30959</v>
      </c>
      <c r="U1804">
        <v>34249</v>
      </c>
      <c r="V1804" t="s">
        <v>37</v>
      </c>
    </row>
    <row r="1805" spans="1:22">
      <c r="A1805" t="str">
        <f t="shared" si="354"/>
        <v>12/03/2026</v>
      </c>
      <c r="B1805" t="str">
        <f t="shared" si="349"/>
        <v>SAÍDA</v>
      </c>
      <c r="C1805" t="str">
        <f t="shared" si="350"/>
        <v>PIX</v>
      </c>
      <c r="D1805" t="str">
        <f>"34249"</f>
        <v>34249</v>
      </c>
      <c r="E1805" t="str">
        <f t="shared" si="355"/>
        <v>1</v>
      </c>
      <c r="F1805" t="str">
        <f t="shared" si="352"/>
        <v>COM</v>
      </c>
      <c r="G1805" t="str">
        <f>"JHON CARLOS DOS SANTOS LIMA (995)"</f>
        <v>JHON CARLOS DOS SANTOS LIMA (995)</v>
      </c>
      <c r="H1805" t="s">
        <v>519</v>
      </c>
      <c r="I1805" t="str">
        <f t="shared" si="351"/>
        <v>12/03/2026</v>
      </c>
      <c r="J1805" t="str">
        <f t="shared" si="353"/>
        <v>09/03/2026</v>
      </c>
      <c r="K1805">
        <v>46093</v>
      </c>
      <c r="N1805">
        <v>109</v>
      </c>
      <c r="O1805" t="s">
        <v>27</v>
      </c>
      <c r="Q1805">
        <v>720</v>
      </c>
      <c r="R1805" t="str">
        <f>"DELTA LOJA 2 (10123)"</f>
        <v>DELTA LOJA 2 (10123)</v>
      </c>
      <c r="S1805" t="s">
        <v>37</v>
      </c>
      <c r="T1805">
        <v>30959</v>
      </c>
      <c r="U1805">
        <v>34249</v>
      </c>
      <c r="V1805" t="s">
        <v>37</v>
      </c>
    </row>
    <row r="1806" spans="1:22">
      <c r="A1806" t="str">
        <f t="shared" si="354"/>
        <v>12/03/2026</v>
      </c>
      <c r="B1806" t="str">
        <f t="shared" si="349"/>
        <v>SAÍDA</v>
      </c>
      <c r="C1806" t="str">
        <f t="shared" si="350"/>
        <v>PIX</v>
      </c>
      <c r="D1806" t="str">
        <f>"34251"</f>
        <v>34251</v>
      </c>
      <c r="E1806" t="str">
        <f t="shared" si="355"/>
        <v>1</v>
      </c>
      <c r="F1806" t="str">
        <f t="shared" si="352"/>
        <v>COM</v>
      </c>
      <c r="G1806" t="str">
        <f>"EDUARDO COSTA DA SILVA (721)"</f>
        <v>EDUARDO COSTA DA SILVA (721)</v>
      </c>
      <c r="H1806" t="str">
        <f>"Serv.Prest. 02/03/2026 a 08/03/2026 - PIX: CELULAR - CHAVE: (11) 95552-9905"</f>
        <v>Serv.Prest. 02/03/2026 a 08/03/2026 - PIX: CELULAR - CHAVE: (11) 95552-9905</v>
      </c>
      <c r="I1806" t="str">
        <f t="shared" si="351"/>
        <v>12/03/2026</v>
      </c>
      <c r="J1806" t="str">
        <f t="shared" si="353"/>
        <v>09/03/2026</v>
      </c>
      <c r="K1806" t="str">
        <f>("12/03/2026")</f>
        <v>12/03/2026</v>
      </c>
      <c r="L1806">
        <v>1158.0999999999999</v>
      </c>
      <c r="M1806">
        <v>1158.0999999999999</v>
      </c>
      <c r="N1806">
        <v>109</v>
      </c>
      <c r="O1806" t="str">
        <f>"PAGAMENTO DE ENTREGADORES"</f>
        <v>PAGAMENTO DE ENTREGADORES</v>
      </c>
      <c r="P1806">
        <v>1158.0999999999999</v>
      </c>
      <c r="S1806" t="str">
        <f>"BANCO C6 (149)"</f>
        <v>BANCO C6 (149)</v>
      </c>
      <c r="T1806">
        <v>30960</v>
      </c>
      <c r="U1806">
        <v>34251</v>
      </c>
      <c r="V1806" t="s">
        <v>37</v>
      </c>
    </row>
    <row r="1807" spans="1:22">
      <c r="A1807" t="str">
        <f t="shared" si="354"/>
        <v>12/03/2026</v>
      </c>
      <c r="B1807" t="str">
        <f t="shared" si="349"/>
        <v>SAÍDA</v>
      </c>
      <c r="C1807" t="str">
        <f t="shared" si="350"/>
        <v>PIX</v>
      </c>
      <c r="D1807" t="str">
        <f>"34251"</f>
        <v>34251</v>
      </c>
      <c r="E1807" t="str">
        <f t="shared" si="355"/>
        <v>1</v>
      </c>
      <c r="F1807" t="str">
        <f t="shared" si="352"/>
        <v>COM</v>
      </c>
      <c r="G1807" t="str">
        <f>"EDUARDO COSTA DA SILVA (721)"</f>
        <v>EDUARDO COSTA DA SILVA (721)</v>
      </c>
      <c r="H1807" t="s">
        <v>434</v>
      </c>
      <c r="I1807" t="str">
        <f t="shared" si="351"/>
        <v>12/03/2026</v>
      </c>
      <c r="J1807" t="str">
        <f t="shared" si="353"/>
        <v>09/03/2026</v>
      </c>
      <c r="K1807">
        <v>46093</v>
      </c>
      <c r="N1807">
        <v>109</v>
      </c>
      <c r="O1807" t="s">
        <v>27</v>
      </c>
      <c r="Q1807">
        <v>1158.0999999999999</v>
      </c>
      <c r="R1807" t="str">
        <f>"DROGARIA AGAPEAMA (10167)"</f>
        <v>DROGARIA AGAPEAMA (10167)</v>
      </c>
      <c r="S1807" t="s">
        <v>37</v>
      </c>
      <c r="T1807">
        <v>30960</v>
      </c>
      <c r="U1807">
        <v>34251</v>
      </c>
      <c r="V1807" t="s">
        <v>37</v>
      </c>
    </row>
    <row r="1808" spans="1:22">
      <c r="A1808" t="str">
        <f t="shared" si="354"/>
        <v>12/03/2026</v>
      </c>
      <c r="B1808" t="str">
        <f t="shared" si="349"/>
        <v>SAÍDA</v>
      </c>
      <c r="C1808" t="str">
        <f t="shared" si="350"/>
        <v>PIX</v>
      </c>
      <c r="D1808" t="str">
        <f>"34252"</f>
        <v>34252</v>
      </c>
      <c r="E1808" t="str">
        <f t="shared" si="355"/>
        <v>1</v>
      </c>
      <c r="F1808" t="str">
        <f t="shared" si="352"/>
        <v>COM</v>
      </c>
      <c r="G1808" t="str">
        <f>"GUILHERME DA SILVA GOMES (901)"</f>
        <v>GUILHERME DA SILVA GOMES (901)</v>
      </c>
      <c r="H1808" t="str">
        <f>"Serv.Prest. 02/03/2026 a 08/03/2026 - PIX: CPF - CHAVE: 505.341.528-56"</f>
        <v>Serv.Prest. 02/03/2026 a 08/03/2026 - PIX: CPF - CHAVE: 505.341.528-56</v>
      </c>
      <c r="I1808" t="str">
        <f t="shared" si="351"/>
        <v>12/03/2026</v>
      </c>
      <c r="J1808" t="str">
        <f t="shared" si="353"/>
        <v>09/03/2026</v>
      </c>
      <c r="K1808" t="str">
        <f>("12/03/2026")</f>
        <v>12/03/2026</v>
      </c>
      <c r="L1808">
        <v>691.9</v>
      </c>
      <c r="M1808">
        <v>691.9</v>
      </c>
      <c r="N1808">
        <v>109</v>
      </c>
      <c r="O1808" t="str">
        <f>"PAGAMENTO DE ENTREGADORES"</f>
        <v>PAGAMENTO DE ENTREGADORES</v>
      </c>
      <c r="P1808">
        <v>691.9</v>
      </c>
      <c r="S1808" t="str">
        <f>"BANCO C6 (149)"</f>
        <v>BANCO C6 (149)</v>
      </c>
      <c r="T1808">
        <v>30961</v>
      </c>
      <c r="U1808">
        <v>34252</v>
      </c>
      <c r="V1808" t="s">
        <v>37</v>
      </c>
    </row>
    <row r="1809" spans="1:22">
      <c r="A1809" t="str">
        <f t="shared" si="354"/>
        <v>12/03/2026</v>
      </c>
      <c r="B1809" t="str">
        <f t="shared" si="349"/>
        <v>SAÍDA</v>
      </c>
      <c r="C1809" t="str">
        <f t="shared" si="350"/>
        <v>PIX</v>
      </c>
      <c r="D1809" t="str">
        <f>"34252"</f>
        <v>34252</v>
      </c>
      <c r="E1809" t="str">
        <f t="shared" si="355"/>
        <v>1</v>
      </c>
      <c r="F1809" t="str">
        <f t="shared" si="352"/>
        <v>COM</v>
      </c>
      <c r="G1809" t="str">
        <f>"GUILHERME DA SILVA GOMES (901)"</f>
        <v>GUILHERME DA SILVA GOMES (901)</v>
      </c>
      <c r="H1809" t="s">
        <v>518</v>
      </c>
      <c r="I1809" t="str">
        <f t="shared" si="351"/>
        <v>12/03/2026</v>
      </c>
      <c r="J1809" t="str">
        <f t="shared" si="353"/>
        <v>09/03/2026</v>
      </c>
      <c r="K1809">
        <v>46093</v>
      </c>
      <c r="N1809">
        <v>109</v>
      </c>
      <c r="O1809" t="s">
        <v>27</v>
      </c>
      <c r="Q1809">
        <v>691.9</v>
      </c>
      <c r="R1809" t="str">
        <f>"DROGARIA AGAPEAMA (10167)"</f>
        <v>DROGARIA AGAPEAMA (10167)</v>
      </c>
      <c r="S1809" t="s">
        <v>37</v>
      </c>
      <c r="T1809">
        <v>30961</v>
      </c>
      <c r="U1809">
        <v>34252</v>
      </c>
      <c r="V1809" t="s">
        <v>37</v>
      </c>
    </row>
    <row r="1810" spans="1:22">
      <c r="A1810" t="str">
        <f t="shared" si="354"/>
        <v>12/03/2026</v>
      </c>
      <c r="B1810" t="str">
        <f t="shared" si="349"/>
        <v>SAÍDA</v>
      </c>
      <c r="C1810" t="str">
        <f t="shared" si="350"/>
        <v>PIX</v>
      </c>
      <c r="D1810" t="str">
        <f>"34253"</f>
        <v>34253</v>
      </c>
      <c r="E1810" t="str">
        <f t="shared" si="355"/>
        <v>1</v>
      </c>
      <c r="F1810" t="str">
        <f t="shared" si="352"/>
        <v>COM</v>
      </c>
      <c r="G1810" t="str">
        <f>"WESLEY RICARDO DE OLIVEIRA (722)"</f>
        <v>WESLEY RICARDO DE OLIVEIRA (722)</v>
      </c>
      <c r="H1810" t="str">
        <f>"Serv.Prest. 02/03/2026 a 08/03/2026 - PIX: CELULAR - CHAVE: (11) 91214-6176"</f>
        <v>Serv.Prest. 02/03/2026 a 08/03/2026 - PIX: CELULAR - CHAVE: (11) 91214-6176</v>
      </c>
      <c r="I1810" t="str">
        <f t="shared" si="351"/>
        <v>12/03/2026</v>
      </c>
      <c r="J1810" t="str">
        <f t="shared" si="353"/>
        <v>09/03/2026</v>
      </c>
      <c r="K1810" t="str">
        <f>("12/03/2026")</f>
        <v>12/03/2026</v>
      </c>
      <c r="L1810">
        <v>1214.8</v>
      </c>
      <c r="M1810">
        <v>1214.8</v>
      </c>
      <c r="N1810">
        <v>109</v>
      </c>
      <c r="O1810" t="str">
        <f>"PAGAMENTO DE ENTREGADORES"</f>
        <v>PAGAMENTO DE ENTREGADORES</v>
      </c>
      <c r="P1810">
        <v>1214.8</v>
      </c>
      <c r="S1810" t="str">
        <f>"BANCO C6 (149)"</f>
        <v>BANCO C6 (149)</v>
      </c>
      <c r="T1810">
        <v>30962</v>
      </c>
      <c r="U1810">
        <v>34253</v>
      </c>
      <c r="V1810" t="s">
        <v>37</v>
      </c>
    </row>
    <row r="1811" spans="1:22">
      <c r="A1811" t="str">
        <f t="shared" si="354"/>
        <v>12/03/2026</v>
      </c>
      <c r="B1811" t="str">
        <f t="shared" si="349"/>
        <v>SAÍDA</v>
      </c>
      <c r="C1811" t="str">
        <f t="shared" si="350"/>
        <v>PIX</v>
      </c>
      <c r="D1811" t="str">
        <f>"34253"</f>
        <v>34253</v>
      </c>
      <c r="E1811" t="str">
        <f t="shared" si="355"/>
        <v>1</v>
      </c>
      <c r="F1811" t="str">
        <f t="shared" si="352"/>
        <v>COM</v>
      </c>
      <c r="G1811" t="str">
        <f>"WESLEY RICARDO DE OLIVEIRA (722)"</f>
        <v>WESLEY RICARDO DE OLIVEIRA (722)</v>
      </c>
      <c r="H1811" t="s">
        <v>530</v>
      </c>
      <c r="I1811" t="str">
        <f t="shared" si="351"/>
        <v>12/03/2026</v>
      </c>
      <c r="J1811" t="str">
        <f t="shared" si="353"/>
        <v>09/03/2026</v>
      </c>
      <c r="K1811">
        <v>46093</v>
      </c>
      <c r="N1811">
        <v>109</v>
      </c>
      <c r="O1811" t="s">
        <v>27</v>
      </c>
      <c r="Q1811">
        <v>1214.8</v>
      </c>
      <c r="R1811" t="str">
        <f>"DROGARIA AGAPEAMA (10167)"</f>
        <v>DROGARIA AGAPEAMA (10167)</v>
      </c>
      <c r="S1811" t="s">
        <v>37</v>
      </c>
      <c r="T1811">
        <v>30962</v>
      </c>
      <c r="U1811">
        <v>34253</v>
      </c>
      <c r="V1811" t="s">
        <v>37</v>
      </c>
    </row>
    <row r="1812" spans="1:22">
      <c r="A1812" t="str">
        <f t="shared" si="354"/>
        <v>12/03/2026</v>
      </c>
      <c r="B1812" t="str">
        <f t="shared" si="349"/>
        <v>SAÍDA</v>
      </c>
      <c r="C1812" t="str">
        <f t="shared" si="350"/>
        <v>PIX</v>
      </c>
      <c r="D1812" t="str">
        <f>"34255"</f>
        <v>34255</v>
      </c>
      <c r="E1812" t="str">
        <f t="shared" si="355"/>
        <v>1</v>
      </c>
      <c r="F1812" t="str">
        <f t="shared" si="352"/>
        <v>COM</v>
      </c>
      <c r="G1812" t="str">
        <f>"ALEXSANDRO HENRIQUE FERREIRA (808)"</f>
        <v>ALEXSANDRO HENRIQUE FERREIRA (808)</v>
      </c>
      <c r="H1812" t="str">
        <f>"Serv.Prest. 02/03/2026 a 08/03/2026 - PIX: CPF - CHAVE: 157.591.436-03"</f>
        <v>Serv.Prest. 02/03/2026 a 08/03/2026 - PIX: CPF - CHAVE: 157.591.436-03</v>
      </c>
      <c r="I1812" t="str">
        <f t="shared" si="351"/>
        <v>12/03/2026</v>
      </c>
      <c r="J1812" t="str">
        <f t="shared" si="353"/>
        <v>09/03/2026</v>
      </c>
      <c r="K1812" t="str">
        <f>("12/03/2026")</f>
        <v>12/03/2026</v>
      </c>
      <c r="L1812">
        <v>884.05</v>
      </c>
      <c r="M1812">
        <v>884.05</v>
      </c>
      <c r="N1812">
        <v>109</v>
      </c>
      <c r="O1812" t="str">
        <f>"PAGAMENTO DE ENTREGADORES"</f>
        <v>PAGAMENTO DE ENTREGADORES</v>
      </c>
      <c r="P1812">
        <v>884.05</v>
      </c>
      <c r="S1812" t="str">
        <f>"BANCO C6 (149)"</f>
        <v>BANCO C6 (149)</v>
      </c>
      <c r="T1812">
        <v>30963</v>
      </c>
      <c r="U1812">
        <v>34255</v>
      </c>
      <c r="V1812" t="s">
        <v>37</v>
      </c>
    </row>
    <row r="1813" spans="1:22">
      <c r="A1813" t="str">
        <f t="shared" si="354"/>
        <v>12/03/2026</v>
      </c>
      <c r="B1813" t="str">
        <f t="shared" si="349"/>
        <v>SAÍDA</v>
      </c>
      <c r="C1813" t="str">
        <f t="shared" si="350"/>
        <v>PIX</v>
      </c>
      <c r="D1813" t="str">
        <f>"34255"</f>
        <v>34255</v>
      </c>
      <c r="E1813" t="str">
        <f t="shared" si="355"/>
        <v>1</v>
      </c>
      <c r="F1813" t="str">
        <f t="shared" si="352"/>
        <v>COM</v>
      </c>
      <c r="G1813" t="str">
        <f>"ALEXSANDRO HENRIQUE FERREIRA (808)"</f>
        <v>ALEXSANDRO HENRIQUE FERREIRA (808)</v>
      </c>
      <c r="H1813" t="s">
        <v>427</v>
      </c>
      <c r="I1813" t="str">
        <f t="shared" si="351"/>
        <v>12/03/2026</v>
      </c>
      <c r="J1813" t="str">
        <f t="shared" si="353"/>
        <v>09/03/2026</v>
      </c>
      <c r="K1813">
        <v>46093</v>
      </c>
      <c r="N1813">
        <v>109</v>
      </c>
      <c r="O1813" t="s">
        <v>27</v>
      </c>
      <c r="Q1813">
        <v>884.05</v>
      </c>
      <c r="R1813" t="str">
        <f>"DROGARIA ANA VISCONDE DO RIO BRANCO (10182)"</f>
        <v>DROGARIA ANA VISCONDE DO RIO BRANCO (10182)</v>
      </c>
      <c r="S1813" t="s">
        <v>37</v>
      </c>
      <c r="T1813">
        <v>30963</v>
      </c>
      <c r="U1813">
        <v>34255</v>
      </c>
      <c r="V1813" t="s">
        <v>37</v>
      </c>
    </row>
    <row r="1814" spans="1:22">
      <c r="A1814" t="str">
        <f t="shared" si="354"/>
        <v>12/03/2026</v>
      </c>
      <c r="B1814" t="str">
        <f t="shared" si="349"/>
        <v>SAÍDA</v>
      </c>
      <c r="C1814" t="str">
        <f t="shared" si="350"/>
        <v>PIX</v>
      </c>
      <c r="D1814" t="str">
        <f>"34256"</f>
        <v>34256</v>
      </c>
      <c r="E1814" t="str">
        <f t="shared" si="355"/>
        <v>1</v>
      </c>
      <c r="F1814" t="str">
        <f t="shared" si="352"/>
        <v>COM</v>
      </c>
      <c r="G1814" t="str">
        <f>"ANDERSON LUIZ SOARES (807)"</f>
        <v>ANDERSON LUIZ SOARES (807)</v>
      </c>
      <c r="H1814" t="str">
        <f>"Serv.Prest. 02/03/2026 a 08/03/2026 - PIX: CELULAR - CHAVE: (32) 99920-0416"</f>
        <v>Serv.Prest. 02/03/2026 a 08/03/2026 - PIX: CELULAR - CHAVE: (32) 99920-0416</v>
      </c>
      <c r="I1814" t="str">
        <f t="shared" si="351"/>
        <v>12/03/2026</v>
      </c>
      <c r="J1814" t="str">
        <f t="shared" si="353"/>
        <v>09/03/2026</v>
      </c>
      <c r="K1814" t="str">
        <f>("12/03/2026")</f>
        <v>12/03/2026</v>
      </c>
      <c r="L1814">
        <v>682.45</v>
      </c>
      <c r="M1814">
        <v>682.45</v>
      </c>
      <c r="N1814">
        <v>109</v>
      </c>
      <c r="O1814" t="str">
        <f>"PAGAMENTO DE ENTREGADORES"</f>
        <v>PAGAMENTO DE ENTREGADORES</v>
      </c>
      <c r="P1814">
        <v>682.45</v>
      </c>
      <c r="S1814" t="str">
        <f>"BANCO C6 (149)"</f>
        <v>BANCO C6 (149)</v>
      </c>
      <c r="T1814">
        <v>30964</v>
      </c>
      <c r="U1814">
        <v>34256</v>
      </c>
      <c r="V1814" t="s">
        <v>37</v>
      </c>
    </row>
    <row r="1815" spans="1:22">
      <c r="A1815" t="str">
        <f t="shared" si="354"/>
        <v>12/03/2026</v>
      </c>
      <c r="B1815" t="str">
        <f t="shared" si="349"/>
        <v>SAÍDA</v>
      </c>
      <c r="C1815" t="str">
        <f t="shared" si="350"/>
        <v>PIX</v>
      </c>
      <c r="D1815" t="str">
        <f>"34256"</f>
        <v>34256</v>
      </c>
      <c r="E1815" t="str">
        <f t="shared" si="355"/>
        <v>1</v>
      </c>
      <c r="F1815" t="str">
        <f t="shared" si="352"/>
        <v>COM</v>
      </c>
      <c r="G1815" t="str">
        <f>"ANDERSON LUIZ SOARES (807)"</f>
        <v>ANDERSON LUIZ SOARES (807)</v>
      </c>
      <c r="H1815" t="s">
        <v>525</v>
      </c>
      <c r="I1815" t="str">
        <f t="shared" si="351"/>
        <v>12/03/2026</v>
      </c>
      <c r="J1815" t="str">
        <f t="shared" si="353"/>
        <v>09/03/2026</v>
      </c>
      <c r="K1815">
        <v>46093</v>
      </c>
      <c r="N1815">
        <v>109</v>
      </c>
      <c r="O1815" t="s">
        <v>27</v>
      </c>
      <c r="Q1815">
        <v>682.45</v>
      </c>
      <c r="R1815" t="str">
        <f>"DROGARIA ANA VISCONDE DO RIO BRANCO (10182)"</f>
        <v>DROGARIA ANA VISCONDE DO RIO BRANCO (10182)</v>
      </c>
      <c r="S1815" t="s">
        <v>37</v>
      </c>
      <c r="T1815">
        <v>30964</v>
      </c>
      <c r="U1815">
        <v>34256</v>
      </c>
      <c r="V1815" t="s">
        <v>37</v>
      </c>
    </row>
    <row r="1816" spans="1:22">
      <c r="A1816" t="str">
        <f t="shared" si="354"/>
        <v>12/03/2026</v>
      </c>
      <c r="B1816" t="str">
        <f t="shared" si="349"/>
        <v>SAÍDA</v>
      </c>
      <c r="C1816" t="str">
        <f t="shared" si="350"/>
        <v>PIX</v>
      </c>
      <c r="D1816" t="str">
        <f>"34257"</f>
        <v>34257</v>
      </c>
      <c r="E1816" t="str">
        <f t="shared" si="355"/>
        <v>1</v>
      </c>
      <c r="F1816" t="str">
        <f t="shared" si="352"/>
        <v>COM</v>
      </c>
      <c r="G1816" t="str">
        <f>"BRENO VIANA MONTEIRO RODRIGUES (811)"</f>
        <v>BRENO VIANA MONTEIRO RODRIGUES (811)</v>
      </c>
      <c r="H1816" t="str">
        <f>"Serv.Prest. 02/03/2026 a 08/03/2026 - PIX: CNPJ - CHAVE: 51.676.704/0001-10"</f>
        <v>Serv.Prest. 02/03/2026 a 08/03/2026 - PIX: CNPJ - CHAVE: 51.676.704/0001-10</v>
      </c>
      <c r="I1816" t="str">
        <f t="shared" si="351"/>
        <v>12/03/2026</v>
      </c>
      <c r="J1816" t="str">
        <f t="shared" si="353"/>
        <v>09/03/2026</v>
      </c>
      <c r="K1816" t="str">
        <f>("12/03/2026")</f>
        <v>12/03/2026</v>
      </c>
      <c r="L1816">
        <v>682.45</v>
      </c>
      <c r="M1816">
        <v>682.45</v>
      </c>
      <c r="N1816">
        <v>109</v>
      </c>
      <c r="O1816" t="str">
        <f>"PAGAMENTO DE ENTREGADORES"</f>
        <v>PAGAMENTO DE ENTREGADORES</v>
      </c>
      <c r="P1816">
        <v>682.45</v>
      </c>
      <c r="S1816" t="str">
        <f>"BANCO C6 (149)"</f>
        <v>BANCO C6 (149)</v>
      </c>
      <c r="T1816">
        <v>30965</v>
      </c>
      <c r="U1816">
        <v>34257</v>
      </c>
      <c r="V1816" t="s">
        <v>37</v>
      </c>
    </row>
    <row r="1817" spans="1:22">
      <c r="A1817" t="str">
        <f t="shared" si="354"/>
        <v>12/03/2026</v>
      </c>
      <c r="B1817" t="str">
        <f t="shared" si="349"/>
        <v>SAÍDA</v>
      </c>
      <c r="C1817" t="str">
        <f t="shared" si="350"/>
        <v>PIX</v>
      </c>
      <c r="D1817" t="str">
        <f>"34257"</f>
        <v>34257</v>
      </c>
      <c r="E1817" t="str">
        <f t="shared" si="355"/>
        <v>1</v>
      </c>
      <c r="F1817" t="str">
        <f t="shared" si="352"/>
        <v>COM</v>
      </c>
      <c r="G1817" t="str">
        <f>"BRENO VIANA MONTEIRO RODRIGUES (811)"</f>
        <v>BRENO VIANA MONTEIRO RODRIGUES (811)</v>
      </c>
      <c r="H1817" t="s">
        <v>526</v>
      </c>
      <c r="I1817" t="str">
        <f t="shared" si="351"/>
        <v>12/03/2026</v>
      </c>
      <c r="J1817" t="str">
        <f t="shared" si="353"/>
        <v>09/03/2026</v>
      </c>
      <c r="K1817">
        <v>46093</v>
      </c>
      <c r="N1817">
        <v>109</v>
      </c>
      <c r="O1817" t="s">
        <v>27</v>
      </c>
      <c r="Q1817">
        <v>682.45</v>
      </c>
      <c r="R1817" t="str">
        <f>"DROGARIA ANA VISCONDE DO RIO BRANCO (10182)"</f>
        <v>DROGARIA ANA VISCONDE DO RIO BRANCO (10182)</v>
      </c>
      <c r="S1817" t="s">
        <v>37</v>
      </c>
      <c r="T1817">
        <v>30965</v>
      </c>
      <c r="U1817">
        <v>34257</v>
      </c>
      <c r="V1817" t="s">
        <v>37</v>
      </c>
    </row>
    <row r="1818" spans="1:22">
      <c r="A1818" t="str">
        <f t="shared" si="354"/>
        <v>12/03/2026</v>
      </c>
      <c r="B1818" t="str">
        <f t="shared" si="349"/>
        <v>SAÍDA</v>
      </c>
      <c r="C1818" t="str">
        <f t="shared" si="350"/>
        <v>PIX</v>
      </c>
      <c r="D1818" t="str">
        <f>"34258"</f>
        <v>34258</v>
      </c>
      <c r="E1818" t="str">
        <f t="shared" si="355"/>
        <v>1</v>
      </c>
      <c r="F1818" t="str">
        <f t="shared" si="352"/>
        <v>COM</v>
      </c>
      <c r="G1818" t="str">
        <f>"GABRIEL PACHECO DE QUEIROZ NARCISO (812)"</f>
        <v>GABRIEL PACHECO DE QUEIROZ NARCISO (812)</v>
      </c>
      <c r="H1818" t="str">
        <f>"Serv.Prest. 02/03/2026 a 08/03/2026 - PIX: CPF - CHAVE: 140.108.466-40"</f>
        <v>Serv.Prest. 02/03/2026 a 08/03/2026 - PIX: CPF - CHAVE: 140.108.466-40</v>
      </c>
      <c r="I1818" t="str">
        <f t="shared" si="351"/>
        <v>12/03/2026</v>
      </c>
      <c r="J1818" t="str">
        <f t="shared" si="353"/>
        <v>09/03/2026</v>
      </c>
      <c r="K1818" t="str">
        <f>("12/03/2026")</f>
        <v>12/03/2026</v>
      </c>
      <c r="L1818">
        <v>682.45</v>
      </c>
      <c r="M1818">
        <v>682.45</v>
      </c>
      <c r="N1818">
        <v>109</v>
      </c>
      <c r="O1818" t="str">
        <f>"PAGAMENTO DE ENTREGADORES"</f>
        <v>PAGAMENTO DE ENTREGADORES</v>
      </c>
      <c r="P1818">
        <v>682.45</v>
      </c>
      <c r="S1818" t="str">
        <f>"BANCO C6 (149)"</f>
        <v>BANCO C6 (149)</v>
      </c>
      <c r="T1818">
        <v>30966</v>
      </c>
      <c r="U1818">
        <v>34258</v>
      </c>
      <c r="V1818" t="s">
        <v>37</v>
      </c>
    </row>
    <row r="1819" spans="1:22">
      <c r="A1819" t="str">
        <f t="shared" si="354"/>
        <v>12/03/2026</v>
      </c>
      <c r="B1819" t="str">
        <f t="shared" si="349"/>
        <v>SAÍDA</v>
      </c>
      <c r="C1819" t="str">
        <f t="shared" si="350"/>
        <v>PIX</v>
      </c>
      <c r="D1819" t="str">
        <f>"34258"</f>
        <v>34258</v>
      </c>
      <c r="E1819" t="str">
        <f t="shared" si="355"/>
        <v>1</v>
      </c>
      <c r="F1819" t="str">
        <f t="shared" si="352"/>
        <v>COM</v>
      </c>
      <c r="G1819" t="str">
        <f>"GABRIEL PACHECO DE QUEIROZ NARCISO (812)"</f>
        <v>GABRIEL PACHECO DE QUEIROZ NARCISO (812)</v>
      </c>
      <c r="H1819" t="s">
        <v>527</v>
      </c>
      <c r="I1819" t="str">
        <f t="shared" si="351"/>
        <v>12/03/2026</v>
      </c>
      <c r="J1819" t="str">
        <f t="shared" si="353"/>
        <v>09/03/2026</v>
      </c>
      <c r="K1819">
        <v>46093</v>
      </c>
      <c r="N1819">
        <v>109</v>
      </c>
      <c r="O1819" t="s">
        <v>27</v>
      </c>
      <c r="Q1819">
        <v>682.45</v>
      </c>
      <c r="R1819" t="str">
        <f>"DROGARIA ANA VISCONDE DO RIO BRANCO (10182)"</f>
        <v>DROGARIA ANA VISCONDE DO RIO BRANCO (10182)</v>
      </c>
      <c r="S1819" t="s">
        <v>37</v>
      </c>
      <c r="T1819">
        <v>30966</v>
      </c>
      <c r="U1819">
        <v>34258</v>
      </c>
      <c r="V1819" t="s">
        <v>37</v>
      </c>
    </row>
    <row r="1820" spans="1:22">
      <c r="A1820" t="str">
        <f t="shared" si="354"/>
        <v>12/03/2026</v>
      </c>
      <c r="B1820" t="str">
        <f t="shared" si="349"/>
        <v>SAÍDA</v>
      </c>
      <c r="C1820" t="str">
        <f t="shared" si="350"/>
        <v>PIX</v>
      </c>
      <c r="D1820" t="str">
        <f>"34259"</f>
        <v>34259</v>
      </c>
      <c r="E1820" t="str">
        <f t="shared" si="355"/>
        <v>1</v>
      </c>
      <c r="F1820" t="str">
        <f t="shared" si="352"/>
        <v>COM</v>
      </c>
      <c r="G1820" t="str">
        <f>"LUAN APARECIDO JANUARIO (1341)"</f>
        <v>LUAN APARECIDO JANUARIO (1341)</v>
      </c>
      <c r="H1820" t="str">
        <f>"Serv.Prest. 02/03/2026 a 08/03/2026 - PIX: CELULAR - CHAVE: (32) 98452-8837"</f>
        <v>Serv.Prest. 02/03/2026 a 08/03/2026 - PIX: CELULAR - CHAVE: (32) 98452-8837</v>
      </c>
      <c r="I1820" t="str">
        <f t="shared" si="351"/>
        <v>12/03/2026</v>
      </c>
      <c r="J1820" t="str">
        <f t="shared" si="353"/>
        <v>09/03/2026</v>
      </c>
      <c r="K1820" t="str">
        <f>("12/03/2026")</f>
        <v>12/03/2026</v>
      </c>
      <c r="L1820">
        <v>702.45</v>
      </c>
      <c r="M1820">
        <v>702.45</v>
      </c>
      <c r="N1820">
        <v>109</v>
      </c>
      <c r="O1820" t="str">
        <f>"PAGAMENTO DE ENTREGADORES"</f>
        <v>PAGAMENTO DE ENTREGADORES</v>
      </c>
      <c r="P1820">
        <v>702.45</v>
      </c>
      <c r="S1820" t="str">
        <f>"BANCO C6 (149)"</f>
        <v>BANCO C6 (149)</v>
      </c>
      <c r="T1820">
        <v>30967</v>
      </c>
      <c r="U1820">
        <v>34259</v>
      </c>
      <c r="V1820" t="s">
        <v>37</v>
      </c>
    </row>
    <row r="1821" spans="1:22">
      <c r="A1821" t="str">
        <f t="shared" si="354"/>
        <v>12/03/2026</v>
      </c>
      <c r="B1821" t="str">
        <f t="shared" si="349"/>
        <v>SAÍDA</v>
      </c>
      <c r="C1821" t="str">
        <f t="shared" si="350"/>
        <v>PIX</v>
      </c>
      <c r="D1821" t="str">
        <f>"34259"</f>
        <v>34259</v>
      </c>
      <c r="E1821" t="str">
        <f t="shared" si="355"/>
        <v>1</v>
      </c>
      <c r="F1821" t="str">
        <f t="shared" si="352"/>
        <v>COM</v>
      </c>
      <c r="G1821" t="str">
        <f>"LUAN APARECIDO JANUARIO (1341)"</f>
        <v>LUAN APARECIDO JANUARIO (1341)</v>
      </c>
      <c r="H1821" t="s">
        <v>619</v>
      </c>
      <c r="I1821" t="str">
        <f t="shared" si="351"/>
        <v>12/03/2026</v>
      </c>
      <c r="J1821" t="str">
        <f t="shared" si="353"/>
        <v>09/03/2026</v>
      </c>
      <c r="K1821">
        <v>46093</v>
      </c>
      <c r="N1821">
        <v>109</v>
      </c>
      <c r="O1821" t="s">
        <v>27</v>
      </c>
      <c r="Q1821">
        <v>702.45</v>
      </c>
      <c r="R1821" t="str">
        <f>"DROGARIA ANA VISCONDE DO RIO BRANCO (10182)"</f>
        <v>DROGARIA ANA VISCONDE DO RIO BRANCO (10182)</v>
      </c>
      <c r="S1821" t="s">
        <v>37</v>
      </c>
      <c r="T1821">
        <v>30967</v>
      </c>
      <c r="U1821">
        <v>34259</v>
      </c>
      <c r="V1821" t="s">
        <v>37</v>
      </c>
    </row>
    <row r="1822" spans="1:22">
      <c r="A1822" t="str">
        <f t="shared" si="354"/>
        <v>12/03/2026</v>
      </c>
      <c r="B1822" t="str">
        <f t="shared" si="349"/>
        <v>SAÍDA</v>
      </c>
      <c r="C1822" t="str">
        <f t="shared" si="350"/>
        <v>PIX</v>
      </c>
      <c r="D1822" t="str">
        <f>"34261"</f>
        <v>34261</v>
      </c>
      <c r="E1822" t="str">
        <f t="shared" si="355"/>
        <v>1</v>
      </c>
      <c r="F1822" t="str">
        <f t="shared" si="352"/>
        <v>COM</v>
      </c>
      <c r="G1822" t="str">
        <f>"JO??O BARBOSA SANTANA (1235)"</f>
        <v>JO??O BARBOSA SANTANA (1235)</v>
      </c>
      <c r="H1822" t="str">
        <f>"Serv.Prest. 02/03/2026 a 08/03/2026 - PIX: CPF - CHAVE: 121.158.778-96"</f>
        <v>Serv.Prest. 02/03/2026 a 08/03/2026 - PIX: CPF - CHAVE: 121.158.778-96</v>
      </c>
      <c r="I1822" t="str">
        <f t="shared" si="351"/>
        <v>12/03/2026</v>
      </c>
      <c r="J1822" t="str">
        <f t="shared" si="353"/>
        <v>09/03/2026</v>
      </c>
      <c r="K1822" t="str">
        <f>("12/03/2026")</f>
        <v>12/03/2026</v>
      </c>
      <c r="L1822">
        <v>749</v>
      </c>
      <c r="M1822">
        <v>749</v>
      </c>
      <c r="N1822">
        <v>109</v>
      </c>
      <c r="O1822" t="str">
        <f>"PAGAMENTO DE ENTREGADORES"</f>
        <v>PAGAMENTO DE ENTREGADORES</v>
      </c>
      <c r="P1822">
        <v>749</v>
      </c>
      <c r="S1822" t="str">
        <f>"BANCO C6 (149)"</f>
        <v>BANCO C6 (149)</v>
      </c>
      <c r="T1822">
        <v>30968</v>
      </c>
      <c r="U1822">
        <v>34261</v>
      </c>
      <c r="V1822" t="s">
        <v>37</v>
      </c>
    </row>
    <row r="1823" spans="1:22">
      <c r="A1823" t="str">
        <f t="shared" si="354"/>
        <v>12/03/2026</v>
      </c>
      <c r="B1823" t="str">
        <f t="shared" si="349"/>
        <v>SAÍDA</v>
      </c>
      <c r="C1823" t="str">
        <f t="shared" si="350"/>
        <v>PIX</v>
      </c>
      <c r="D1823" t="str">
        <f>"34261"</f>
        <v>34261</v>
      </c>
      <c r="E1823" t="str">
        <f t="shared" si="355"/>
        <v>1</v>
      </c>
      <c r="F1823" t="str">
        <f t="shared" si="352"/>
        <v>COM</v>
      </c>
      <c r="G1823" t="str">
        <f>"JO??O BARBOSA SANTANA (1235)"</f>
        <v>JO??O BARBOSA SANTANA (1235)</v>
      </c>
      <c r="H1823" t="s">
        <v>620</v>
      </c>
      <c r="I1823" t="str">
        <f t="shared" si="351"/>
        <v>12/03/2026</v>
      </c>
      <c r="J1823" t="str">
        <f t="shared" si="353"/>
        <v>09/03/2026</v>
      </c>
      <c r="K1823">
        <v>46093</v>
      </c>
      <c r="N1823">
        <v>109</v>
      </c>
      <c r="O1823" t="s">
        <v>27</v>
      </c>
      <c r="Q1823">
        <v>749</v>
      </c>
      <c r="R1823" t="str">
        <f>"DROGARIA ISABELLA (10276)"</f>
        <v>DROGARIA ISABELLA (10276)</v>
      </c>
      <c r="S1823" t="s">
        <v>37</v>
      </c>
      <c r="T1823">
        <v>30968</v>
      </c>
      <c r="U1823">
        <v>34261</v>
      </c>
      <c r="V1823" t="s">
        <v>37</v>
      </c>
    </row>
    <row r="1824" spans="1:22">
      <c r="A1824" t="str">
        <f t="shared" si="354"/>
        <v>12/03/2026</v>
      </c>
      <c r="B1824" t="str">
        <f t="shared" si="349"/>
        <v>SAÍDA</v>
      </c>
      <c r="C1824" t="str">
        <f t="shared" si="350"/>
        <v>PIX</v>
      </c>
      <c r="D1824" t="str">
        <f>"34263"</f>
        <v>34263</v>
      </c>
      <c r="E1824" t="str">
        <f t="shared" si="355"/>
        <v>1</v>
      </c>
      <c r="F1824" t="str">
        <f t="shared" si="352"/>
        <v>COM</v>
      </c>
      <c r="G1824" t="str">
        <f>"MARCELO DA CRUZ BEZERRA (1317)"</f>
        <v>MARCELO DA CRUZ BEZERRA (1317)</v>
      </c>
      <c r="H1824" t="str">
        <f>"Serv.Prest. 02/03/2026 a 08/03/2026 - PIX: CPF - CHAVE: 355.445.218-16"</f>
        <v>Serv.Prest. 02/03/2026 a 08/03/2026 - PIX: CPF - CHAVE: 355.445.218-16</v>
      </c>
      <c r="I1824" t="str">
        <f t="shared" si="351"/>
        <v>12/03/2026</v>
      </c>
      <c r="J1824" t="str">
        <f t="shared" si="353"/>
        <v>09/03/2026</v>
      </c>
      <c r="K1824" t="str">
        <f>("12/03/2026")</f>
        <v>12/03/2026</v>
      </c>
      <c r="L1824">
        <v>1015</v>
      </c>
      <c r="M1824">
        <v>1015</v>
      </c>
      <c r="N1824">
        <v>109</v>
      </c>
      <c r="O1824" t="str">
        <f>"PAGAMENTO DE ENTREGADORES"</f>
        <v>PAGAMENTO DE ENTREGADORES</v>
      </c>
      <c r="P1824">
        <v>1015</v>
      </c>
      <c r="S1824" t="str">
        <f>"BANCO C6 (149)"</f>
        <v>BANCO C6 (149)</v>
      </c>
      <c r="T1824">
        <v>30969</v>
      </c>
      <c r="U1824">
        <v>34263</v>
      </c>
      <c r="V1824" t="s">
        <v>37</v>
      </c>
    </row>
    <row r="1825" spans="1:22">
      <c r="A1825" t="str">
        <f t="shared" si="354"/>
        <v>12/03/2026</v>
      </c>
      <c r="B1825" t="str">
        <f t="shared" si="349"/>
        <v>SAÍDA</v>
      </c>
      <c r="C1825" t="str">
        <f t="shared" si="350"/>
        <v>PIX</v>
      </c>
      <c r="D1825" t="str">
        <f>"34263"</f>
        <v>34263</v>
      </c>
      <c r="E1825" t="str">
        <f t="shared" si="355"/>
        <v>1</v>
      </c>
      <c r="F1825" t="str">
        <f t="shared" si="352"/>
        <v>COM</v>
      </c>
      <c r="G1825" t="str">
        <f>"MARCELO DA CRUZ BEZERRA (1317)"</f>
        <v>MARCELO DA CRUZ BEZERRA (1317)</v>
      </c>
      <c r="H1825" t="s">
        <v>621</v>
      </c>
      <c r="I1825" t="str">
        <f t="shared" si="351"/>
        <v>12/03/2026</v>
      </c>
      <c r="J1825" t="str">
        <f t="shared" si="353"/>
        <v>09/03/2026</v>
      </c>
      <c r="K1825">
        <v>46093</v>
      </c>
      <c r="N1825">
        <v>109</v>
      </c>
      <c r="O1825" t="s">
        <v>27</v>
      </c>
      <c r="Q1825">
        <v>1015</v>
      </c>
      <c r="R1825" t="str">
        <f>"DROGARIA ISABELLA (10276)"</f>
        <v>DROGARIA ISABELLA (10276)</v>
      </c>
      <c r="S1825" t="s">
        <v>37</v>
      </c>
      <c r="T1825">
        <v>30969</v>
      </c>
      <c r="U1825">
        <v>34263</v>
      </c>
      <c r="V1825" t="s">
        <v>37</v>
      </c>
    </row>
    <row r="1826" spans="1:22">
      <c r="A1826" t="str">
        <f t="shared" si="354"/>
        <v>12/03/2026</v>
      </c>
      <c r="B1826" t="str">
        <f t="shared" si="349"/>
        <v>SAÍDA</v>
      </c>
      <c r="C1826" t="str">
        <f t="shared" si="350"/>
        <v>PIX</v>
      </c>
      <c r="D1826" t="str">
        <f>"34264"</f>
        <v>34264</v>
      </c>
      <c r="E1826" t="str">
        <f t="shared" si="355"/>
        <v>1</v>
      </c>
      <c r="F1826" t="str">
        <f t="shared" si="352"/>
        <v>COM</v>
      </c>
      <c r="G1826" t="str">
        <f>"MURILO TURRINI (1126)"</f>
        <v>MURILO TURRINI (1126)</v>
      </c>
      <c r="H1826" t="str">
        <f>"Serv.Prest. 02/03/2026 a 08/03/2026 - PIX: CPF - CHAVE: 480.727.928-90"</f>
        <v>Serv.Prest. 02/03/2026 a 08/03/2026 - PIX: CPF - CHAVE: 480.727.928-90</v>
      </c>
      <c r="I1826" t="str">
        <f t="shared" si="351"/>
        <v>12/03/2026</v>
      </c>
      <c r="J1826" t="str">
        <f t="shared" si="353"/>
        <v>09/03/2026</v>
      </c>
      <c r="K1826" t="str">
        <f>("12/03/2026")</f>
        <v>12/03/2026</v>
      </c>
      <c r="L1826">
        <v>735</v>
      </c>
      <c r="M1826">
        <v>735</v>
      </c>
      <c r="N1826">
        <v>109</v>
      </c>
      <c r="O1826" t="str">
        <f>"PAGAMENTO DE ENTREGADORES"</f>
        <v>PAGAMENTO DE ENTREGADORES</v>
      </c>
      <c r="P1826">
        <v>735</v>
      </c>
      <c r="S1826" t="str">
        <f>"BANCO C6 (149)"</f>
        <v>BANCO C6 (149)</v>
      </c>
      <c r="T1826">
        <v>30970</v>
      </c>
      <c r="U1826">
        <v>34264</v>
      </c>
      <c r="V1826" t="s">
        <v>37</v>
      </c>
    </row>
    <row r="1827" spans="1:22">
      <c r="A1827" t="str">
        <f t="shared" si="354"/>
        <v>12/03/2026</v>
      </c>
      <c r="B1827" t="str">
        <f t="shared" si="349"/>
        <v>SAÍDA</v>
      </c>
      <c r="C1827" t="str">
        <f t="shared" si="350"/>
        <v>PIX</v>
      </c>
      <c r="D1827" t="str">
        <f>"34264"</f>
        <v>34264</v>
      </c>
      <c r="E1827" t="str">
        <f t="shared" si="355"/>
        <v>1</v>
      </c>
      <c r="F1827" t="str">
        <f t="shared" si="352"/>
        <v>COM</v>
      </c>
      <c r="G1827" t="str">
        <f>"MURILO TURRINI (1126)"</f>
        <v>MURILO TURRINI (1126)</v>
      </c>
      <c r="H1827" t="s">
        <v>622</v>
      </c>
      <c r="I1827" t="str">
        <f t="shared" si="351"/>
        <v>12/03/2026</v>
      </c>
      <c r="J1827" t="str">
        <f t="shared" si="353"/>
        <v>09/03/2026</v>
      </c>
      <c r="K1827">
        <v>46093</v>
      </c>
      <c r="N1827">
        <v>109</v>
      </c>
      <c r="O1827" t="s">
        <v>27</v>
      </c>
      <c r="Q1827">
        <v>735</v>
      </c>
      <c r="R1827" t="str">
        <f>"DROGARIA ISABELLA (10276)"</f>
        <v>DROGARIA ISABELLA (10276)</v>
      </c>
      <c r="S1827" t="s">
        <v>37</v>
      </c>
      <c r="T1827">
        <v>30970</v>
      </c>
      <c r="U1827">
        <v>34264</v>
      </c>
      <c r="V1827" t="s">
        <v>37</v>
      </c>
    </row>
    <row r="1828" spans="1:22">
      <c r="A1828" t="str">
        <f t="shared" si="354"/>
        <v>12/03/2026</v>
      </c>
      <c r="B1828" t="str">
        <f t="shared" si="349"/>
        <v>SAÍDA</v>
      </c>
      <c r="C1828" t="str">
        <f t="shared" si="350"/>
        <v>PIX</v>
      </c>
      <c r="D1828" t="str">
        <f>"34268"</f>
        <v>34268</v>
      </c>
      <c r="E1828" t="str">
        <f t="shared" si="355"/>
        <v>1</v>
      </c>
      <c r="F1828" t="str">
        <f t="shared" si="352"/>
        <v>COM</v>
      </c>
      <c r="G1828" t="str">
        <f>"SADRAK ENOKES BORGES (725)"</f>
        <v>SADRAK ENOKES BORGES (725)</v>
      </c>
      <c r="H1828" t="str">
        <f>"Serv.Prest. 02/03/2026 a 08/03/2026 - PIX: CPF - CHAVE: 128.367.756-37"</f>
        <v>Serv.Prest. 02/03/2026 a 08/03/2026 - PIX: CPF - CHAVE: 128.367.756-37</v>
      </c>
      <c r="I1828" t="str">
        <f t="shared" si="351"/>
        <v>12/03/2026</v>
      </c>
      <c r="J1828" t="str">
        <f t="shared" si="353"/>
        <v>09/03/2026</v>
      </c>
      <c r="K1828" t="str">
        <f>("12/03/2026")</f>
        <v>12/03/2026</v>
      </c>
      <c r="L1828">
        <v>328</v>
      </c>
      <c r="M1828">
        <v>328</v>
      </c>
      <c r="N1828">
        <v>109</v>
      </c>
      <c r="O1828" t="str">
        <f>"PAGAMENTO DE ENTREGADORES"</f>
        <v>PAGAMENTO DE ENTREGADORES</v>
      </c>
      <c r="P1828">
        <v>328</v>
      </c>
      <c r="S1828" t="str">
        <f>"BANCO C6 (149)"</f>
        <v>BANCO C6 (149)</v>
      </c>
      <c r="T1828">
        <v>30971</v>
      </c>
      <c r="U1828">
        <v>34268</v>
      </c>
      <c r="V1828" t="s">
        <v>37</v>
      </c>
    </row>
    <row r="1829" spans="1:22">
      <c r="A1829" t="str">
        <f t="shared" si="354"/>
        <v>12/03/2026</v>
      </c>
      <c r="B1829" t="str">
        <f t="shared" si="349"/>
        <v>SAÍDA</v>
      </c>
      <c r="C1829" t="str">
        <f t="shared" si="350"/>
        <v>PIX</v>
      </c>
      <c r="D1829" t="str">
        <f>"34268"</f>
        <v>34268</v>
      </c>
      <c r="E1829" t="str">
        <f t="shared" si="355"/>
        <v>1</v>
      </c>
      <c r="F1829" t="str">
        <f t="shared" si="352"/>
        <v>COM</v>
      </c>
      <c r="G1829" t="str">
        <f>"SADRAK ENOKES BORGES (725)"</f>
        <v>SADRAK ENOKES BORGES (725)</v>
      </c>
      <c r="H1829" t="s">
        <v>514</v>
      </c>
      <c r="I1829" t="str">
        <f t="shared" si="351"/>
        <v>12/03/2026</v>
      </c>
      <c r="J1829" t="str">
        <f t="shared" si="353"/>
        <v>09/03/2026</v>
      </c>
      <c r="K1829">
        <v>46093</v>
      </c>
      <c r="N1829">
        <v>109</v>
      </c>
      <c r="O1829" t="s">
        <v>27</v>
      </c>
      <c r="Q1829">
        <v>328</v>
      </c>
      <c r="R1829" t="str">
        <f>"ENTREFARMA (10164)"</f>
        <v>ENTREFARMA (10164)</v>
      </c>
      <c r="S1829" t="s">
        <v>37</v>
      </c>
      <c r="T1829">
        <v>30971</v>
      </c>
      <c r="U1829">
        <v>34268</v>
      </c>
      <c r="V1829" t="s">
        <v>37</v>
      </c>
    </row>
    <row r="1830" spans="1:22">
      <c r="A1830" t="str">
        <f t="shared" si="354"/>
        <v>12/03/2026</v>
      </c>
      <c r="B1830" t="str">
        <f t="shared" si="349"/>
        <v>SAÍDA</v>
      </c>
      <c r="C1830" t="str">
        <f t="shared" si="350"/>
        <v>PIX</v>
      </c>
      <c r="D1830" t="str">
        <f>"34270"</f>
        <v>34270</v>
      </c>
      <c r="E1830" t="str">
        <f t="shared" si="355"/>
        <v>1</v>
      </c>
      <c r="F1830" t="str">
        <f t="shared" si="352"/>
        <v>COM</v>
      </c>
      <c r="G1830" t="str">
        <f>"AGATTA DE LOURDES SILVA (1266)"</f>
        <v>AGATTA DE LOURDES SILVA (1266)</v>
      </c>
      <c r="H1830" t="str">
        <f>"Serv.Prest. 02/03/2026 a 08/03/2026 - PIX: CELULAR - CHAVE: (32) 98492-7371"</f>
        <v>Serv.Prest. 02/03/2026 a 08/03/2026 - PIX: CELULAR - CHAVE: (32) 98492-7371</v>
      </c>
      <c r="I1830" t="str">
        <f t="shared" si="351"/>
        <v>12/03/2026</v>
      </c>
      <c r="J1830" t="str">
        <f t="shared" si="353"/>
        <v>09/03/2026</v>
      </c>
      <c r="K1830" t="str">
        <f>("12/03/2026")</f>
        <v>12/03/2026</v>
      </c>
      <c r="L1830">
        <v>945</v>
      </c>
      <c r="M1830">
        <v>945</v>
      </c>
      <c r="N1830">
        <v>109</v>
      </c>
      <c r="O1830" t="str">
        <f>"PAGAMENTO DE ENTREGADORES"</f>
        <v>PAGAMENTO DE ENTREGADORES</v>
      </c>
      <c r="P1830">
        <v>945</v>
      </c>
      <c r="S1830" t="str">
        <f>"BANCO C6 (149)"</f>
        <v>BANCO C6 (149)</v>
      </c>
      <c r="T1830">
        <v>30972</v>
      </c>
      <c r="U1830">
        <v>34270</v>
      </c>
      <c r="V1830" t="s">
        <v>37</v>
      </c>
    </row>
    <row r="1831" spans="1:22">
      <c r="A1831" t="str">
        <f t="shared" si="354"/>
        <v>12/03/2026</v>
      </c>
      <c r="B1831" t="str">
        <f t="shared" si="349"/>
        <v>SAÍDA</v>
      </c>
      <c r="C1831" t="str">
        <f t="shared" si="350"/>
        <v>PIX</v>
      </c>
      <c r="D1831" t="str">
        <f>"34270"</f>
        <v>34270</v>
      </c>
      <c r="E1831" t="str">
        <f t="shared" si="355"/>
        <v>1</v>
      </c>
      <c r="F1831" t="str">
        <f t="shared" si="352"/>
        <v>COM</v>
      </c>
      <c r="G1831" t="str">
        <f>"AGATTA DE LOURDES SILVA (1266)"</f>
        <v>AGATTA DE LOURDES SILVA (1266)</v>
      </c>
      <c r="H1831" t="s">
        <v>623</v>
      </c>
      <c r="I1831" t="str">
        <f t="shared" si="351"/>
        <v>12/03/2026</v>
      </c>
      <c r="J1831" t="str">
        <f t="shared" si="353"/>
        <v>09/03/2026</v>
      </c>
      <c r="K1831">
        <v>46093</v>
      </c>
      <c r="N1831">
        <v>109</v>
      </c>
      <c r="O1831" t="s">
        <v>27</v>
      </c>
      <c r="Q1831">
        <v>945</v>
      </c>
      <c r="R1831" t="str">
        <f>"FARMA &amp; FORMA (10296)"</f>
        <v>FARMA &amp; FORMA (10296)</v>
      </c>
      <c r="S1831" t="s">
        <v>37</v>
      </c>
      <c r="T1831">
        <v>30972</v>
      </c>
      <c r="U1831">
        <v>34270</v>
      </c>
      <c r="V1831" t="s">
        <v>37</v>
      </c>
    </row>
    <row r="1832" spans="1:22">
      <c r="A1832" t="str">
        <f t="shared" si="354"/>
        <v>12/03/2026</v>
      </c>
      <c r="B1832" t="str">
        <f t="shared" si="349"/>
        <v>SAÍDA</v>
      </c>
      <c r="C1832" t="str">
        <f t="shared" si="350"/>
        <v>PIX</v>
      </c>
      <c r="D1832" t="str">
        <f>"34271"</f>
        <v>34271</v>
      </c>
      <c r="E1832" t="str">
        <f t="shared" si="355"/>
        <v>1</v>
      </c>
      <c r="F1832" t="str">
        <f t="shared" si="352"/>
        <v>COM</v>
      </c>
      <c r="G1832" t="str">
        <f>"WILIANA RODRIGUES E RODRIGUES (398)"</f>
        <v>WILIANA RODRIGUES E RODRIGUES (398)</v>
      </c>
      <c r="H1832" t="str">
        <f>"Serv.Prest. 02/03/2026 a 08/03/2026 - PIX: CPF - CHAVE: 016.203.336-27"</f>
        <v>Serv.Prest. 02/03/2026 a 08/03/2026 - PIX: CPF - CHAVE: 016.203.336-27</v>
      </c>
      <c r="I1832" t="str">
        <f t="shared" si="351"/>
        <v>12/03/2026</v>
      </c>
      <c r="J1832" t="str">
        <f t="shared" si="353"/>
        <v>09/03/2026</v>
      </c>
      <c r="K1832" t="str">
        <f>("12/03/2026")</f>
        <v>12/03/2026</v>
      </c>
      <c r="L1832">
        <v>676</v>
      </c>
      <c r="M1832">
        <v>580</v>
      </c>
      <c r="N1832">
        <v>109</v>
      </c>
      <c r="O1832" t="str">
        <f>"PAGAMENTO DE ENTREGADORES"</f>
        <v>PAGAMENTO DE ENTREGADORES</v>
      </c>
      <c r="P1832">
        <v>580</v>
      </c>
      <c r="S1832" t="str">
        <f>"BANCO C6 (149)"</f>
        <v>BANCO C6 (149)</v>
      </c>
      <c r="T1832">
        <v>30973</v>
      </c>
      <c r="U1832">
        <v>34271</v>
      </c>
      <c r="V1832" t="s">
        <v>37</v>
      </c>
    </row>
    <row r="1833" spans="1:22">
      <c r="A1833" t="str">
        <f t="shared" si="354"/>
        <v>12/03/2026</v>
      </c>
      <c r="B1833" t="str">
        <f t="shared" si="349"/>
        <v>SAÍDA</v>
      </c>
      <c r="C1833" t="str">
        <f t="shared" si="350"/>
        <v>PIX</v>
      </c>
      <c r="D1833" t="str">
        <f>"34271"</f>
        <v>34271</v>
      </c>
      <c r="E1833" t="str">
        <f t="shared" si="355"/>
        <v>1</v>
      </c>
      <c r="F1833" t="str">
        <f t="shared" si="352"/>
        <v>COM</v>
      </c>
      <c r="G1833" t="str">
        <f>"WILIANA RODRIGUES E RODRIGUES (398)"</f>
        <v>WILIANA RODRIGUES E RODRIGUES (398)</v>
      </c>
      <c r="H1833" t="s">
        <v>550</v>
      </c>
      <c r="I1833" t="str">
        <f t="shared" si="351"/>
        <v>12/03/2026</v>
      </c>
      <c r="J1833" t="str">
        <f t="shared" si="353"/>
        <v>09/03/2026</v>
      </c>
      <c r="K1833">
        <v>46093</v>
      </c>
      <c r="N1833">
        <v>109</v>
      </c>
      <c r="O1833" t="s">
        <v>27</v>
      </c>
      <c r="Q1833">
        <v>580</v>
      </c>
      <c r="R1833" t="str">
        <f>"FARMA &amp; FORMA (10296)"</f>
        <v>FARMA &amp; FORMA (10296)</v>
      </c>
      <c r="S1833" t="s">
        <v>37</v>
      </c>
      <c r="T1833">
        <v>30973</v>
      </c>
      <c r="U1833">
        <v>34271</v>
      </c>
      <c r="V1833" t="s">
        <v>37</v>
      </c>
    </row>
    <row r="1834" spans="1:22">
      <c r="A1834" t="str">
        <f t="shared" si="354"/>
        <v>12/03/2026</v>
      </c>
      <c r="B1834" t="str">
        <f t="shared" si="349"/>
        <v>SAÍDA</v>
      </c>
      <c r="C1834" t="str">
        <f t="shared" si="350"/>
        <v>PIX</v>
      </c>
      <c r="D1834" t="str">
        <f>"34273"</f>
        <v>34273</v>
      </c>
      <c r="E1834" t="str">
        <f t="shared" si="355"/>
        <v>1</v>
      </c>
      <c r="F1834" t="str">
        <f t="shared" si="352"/>
        <v>COM</v>
      </c>
      <c r="G1834" t="str">
        <f>"ANDRE NICOLAU (1186)"</f>
        <v>ANDRE NICOLAU (1186)</v>
      </c>
      <c r="H1834" t="str">
        <f>"Serv.Prest. 02/03/2026 a 08/03/2026 - PIX: CELULAR - CHAVE: (11) 98482-0070"</f>
        <v>Serv.Prest. 02/03/2026 a 08/03/2026 - PIX: CELULAR - CHAVE: (11) 98482-0070</v>
      </c>
      <c r="I1834" t="str">
        <f t="shared" si="351"/>
        <v>12/03/2026</v>
      </c>
      <c r="J1834" t="str">
        <f t="shared" si="353"/>
        <v>09/03/2026</v>
      </c>
      <c r="K1834" t="str">
        <f>("12/03/2026")</f>
        <v>12/03/2026</v>
      </c>
      <c r="L1834">
        <v>798</v>
      </c>
      <c r="M1834">
        <v>798</v>
      </c>
      <c r="N1834">
        <v>109</v>
      </c>
      <c r="O1834" t="str">
        <f>"PAGAMENTO DE ENTREGADORES"</f>
        <v>PAGAMENTO DE ENTREGADORES</v>
      </c>
      <c r="P1834">
        <v>798</v>
      </c>
      <c r="S1834" t="str">
        <f>"BANCO C6 (149)"</f>
        <v>BANCO C6 (149)</v>
      </c>
      <c r="T1834">
        <v>30974</v>
      </c>
      <c r="U1834">
        <v>34273</v>
      </c>
      <c r="V1834" t="s">
        <v>37</v>
      </c>
    </row>
    <row r="1835" spans="1:22">
      <c r="A1835" t="str">
        <f t="shared" si="354"/>
        <v>12/03/2026</v>
      </c>
      <c r="B1835" t="str">
        <f t="shared" si="349"/>
        <v>SAÍDA</v>
      </c>
      <c r="C1835" t="str">
        <f t="shared" si="350"/>
        <v>PIX</v>
      </c>
      <c r="D1835" t="str">
        <f>"34273"</f>
        <v>34273</v>
      </c>
      <c r="E1835" t="str">
        <f t="shared" si="355"/>
        <v>1</v>
      </c>
      <c r="F1835" t="str">
        <f t="shared" si="352"/>
        <v>COM</v>
      </c>
      <c r="G1835" t="str">
        <f>"ANDRE NICOLAU (1186)"</f>
        <v>ANDRE NICOLAU (1186)</v>
      </c>
      <c r="H1835" t="s">
        <v>624</v>
      </c>
      <c r="I1835" t="str">
        <f t="shared" si="351"/>
        <v>12/03/2026</v>
      </c>
      <c r="J1835" t="str">
        <f t="shared" si="353"/>
        <v>09/03/2026</v>
      </c>
      <c r="K1835">
        <v>46093</v>
      </c>
      <c r="N1835">
        <v>109</v>
      </c>
      <c r="O1835" t="s">
        <v>27</v>
      </c>
      <c r="Q1835">
        <v>798</v>
      </c>
      <c r="R1835" t="str">
        <f>"DROGARIA TOTAL JUNDIAI (10177)"</f>
        <v>DROGARIA TOTAL JUNDIAI (10177)</v>
      </c>
      <c r="S1835" t="s">
        <v>37</v>
      </c>
      <c r="T1835">
        <v>30974</v>
      </c>
      <c r="U1835">
        <v>34273</v>
      </c>
      <c r="V1835" t="s">
        <v>37</v>
      </c>
    </row>
    <row r="1836" spans="1:22">
      <c r="A1836" t="str">
        <f t="shared" si="354"/>
        <v>12/03/2026</v>
      </c>
      <c r="B1836" t="str">
        <f t="shared" si="349"/>
        <v>SAÍDA</v>
      </c>
      <c r="C1836" t="str">
        <f t="shared" si="350"/>
        <v>PIX</v>
      </c>
      <c r="D1836" t="str">
        <f>"34275"</f>
        <v>34275</v>
      </c>
      <c r="E1836" t="str">
        <f t="shared" si="355"/>
        <v>1</v>
      </c>
      <c r="F1836" t="str">
        <f t="shared" si="352"/>
        <v>COM</v>
      </c>
      <c r="G1836" t="str">
        <f t="shared" ref="G1836:G1841" si="356">"FABRICIO QUEIROZ DE OLIVEIRA (788)"</f>
        <v>FABRICIO QUEIROZ DE OLIVEIRA (788)</v>
      </c>
      <c r="H1836" t="str">
        <f>"Serv.Prest. 02/03/2026 a 08/03/2026 - PIX: CPF - CHAVE: 138.798.486-10"</f>
        <v>Serv.Prest. 02/03/2026 a 08/03/2026 - PIX: CPF - CHAVE: 138.798.486-10</v>
      </c>
      <c r="I1836" t="str">
        <f t="shared" si="351"/>
        <v>12/03/2026</v>
      </c>
      <c r="J1836" t="str">
        <f t="shared" si="353"/>
        <v>09/03/2026</v>
      </c>
      <c r="K1836" t="str">
        <f>("12/03/2026")</f>
        <v>12/03/2026</v>
      </c>
      <c r="L1836">
        <v>220.5</v>
      </c>
      <c r="M1836">
        <v>220.5</v>
      </c>
      <c r="N1836">
        <v>109</v>
      </c>
      <c r="O1836" t="str">
        <f>"PAGAMENTO DE ENTREGADORES"</f>
        <v>PAGAMENTO DE ENTREGADORES</v>
      </c>
      <c r="P1836">
        <v>220.5</v>
      </c>
      <c r="S1836" t="str">
        <f>"BANCO C6 (149)"</f>
        <v>BANCO C6 (149)</v>
      </c>
      <c r="T1836">
        <v>30975</v>
      </c>
      <c r="U1836">
        <v>34275</v>
      </c>
      <c r="V1836" t="s">
        <v>37</v>
      </c>
    </row>
    <row r="1837" spans="1:22">
      <c r="A1837" t="str">
        <f t="shared" si="354"/>
        <v>12/03/2026</v>
      </c>
      <c r="B1837" t="str">
        <f t="shared" si="349"/>
        <v>SAÍDA</v>
      </c>
      <c r="C1837" t="str">
        <f t="shared" si="350"/>
        <v>PIX</v>
      </c>
      <c r="D1837" t="str">
        <f>"34275"</f>
        <v>34275</v>
      </c>
      <c r="E1837" t="str">
        <f t="shared" si="355"/>
        <v>1</v>
      </c>
      <c r="F1837" t="str">
        <f t="shared" si="352"/>
        <v>COM</v>
      </c>
      <c r="G1837" t="str">
        <f t="shared" si="356"/>
        <v>FABRICIO QUEIROZ DE OLIVEIRA (788)</v>
      </c>
      <c r="H1837" t="s">
        <v>508</v>
      </c>
      <c r="I1837" t="str">
        <f t="shared" si="351"/>
        <v>12/03/2026</v>
      </c>
      <c r="J1837" t="str">
        <f t="shared" si="353"/>
        <v>09/03/2026</v>
      </c>
      <c r="K1837">
        <v>46093</v>
      </c>
      <c r="N1837">
        <v>109</v>
      </c>
      <c r="O1837" t="s">
        <v>27</v>
      </c>
      <c r="Q1837">
        <v>220.5</v>
      </c>
      <c r="R1837" t="str">
        <f>"FRAN FARMA (10124)"</f>
        <v>FRAN FARMA (10124)</v>
      </c>
      <c r="S1837" t="s">
        <v>37</v>
      </c>
      <c r="T1837">
        <v>30975</v>
      </c>
      <c r="U1837">
        <v>34275</v>
      </c>
      <c r="V1837" t="s">
        <v>37</v>
      </c>
    </row>
    <row r="1838" spans="1:22">
      <c r="A1838" t="str">
        <f t="shared" si="354"/>
        <v>12/03/2026</v>
      </c>
      <c r="B1838" t="str">
        <f t="shared" si="349"/>
        <v>SAÍDA</v>
      </c>
      <c r="C1838" t="str">
        <f t="shared" si="350"/>
        <v>PIX</v>
      </c>
      <c r="D1838" t="str">
        <f>"34276"</f>
        <v>34276</v>
      </c>
      <c r="E1838" t="str">
        <f t="shared" si="355"/>
        <v>1</v>
      </c>
      <c r="F1838" t="str">
        <f t="shared" si="352"/>
        <v>COM</v>
      </c>
      <c r="G1838" t="str">
        <f t="shared" si="356"/>
        <v>FABRICIO QUEIROZ DE OLIVEIRA (788)</v>
      </c>
      <c r="H1838" t="str">
        <f>"Serv.Prest. 02/03/2026 a 08/03/2026 - PIX: CPF - CHAVE: 138.798.486-10"</f>
        <v>Serv.Prest. 02/03/2026 a 08/03/2026 - PIX: CPF - CHAVE: 138.798.486-10</v>
      </c>
      <c r="I1838" t="str">
        <f t="shared" si="351"/>
        <v>12/03/2026</v>
      </c>
      <c r="J1838" t="str">
        <f t="shared" si="353"/>
        <v>09/03/2026</v>
      </c>
      <c r="K1838" t="str">
        <f>("12/03/2026")</f>
        <v>12/03/2026</v>
      </c>
      <c r="L1838">
        <v>488.5</v>
      </c>
      <c r="M1838">
        <v>488.5</v>
      </c>
      <c r="N1838">
        <v>109</v>
      </c>
      <c r="O1838" t="str">
        <f>"PAGAMENTO DE ENTREGADORES"</f>
        <v>PAGAMENTO DE ENTREGADORES</v>
      </c>
      <c r="P1838">
        <v>488.5</v>
      </c>
      <c r="S1838" t="str">
        <f>"BANCO C6 (149)"</f>
        <v>BANCO C6 (149)</v>
      </c>
      <c r="T1838">
        <v>30976</v>
      </c>
      <c r="U1838">
        <v>34276</v>
      </c>
      <c r="V1838" t="s">
        <v>37</v>
      </c>
    </row>
    <row r="1839" spans="1:22">
      <c r="A1839" t="str">
        <f t="shared" si="354"/>
        <v>12/03/2026</v>
      </c>
      <c r="B1839" t="str">
        <f t="shared" si="349"/>
        <v>SAÍDA</v>
      </c>
      <c r="C1839" t="str">
        <f t="shared" si="350"/>
        <v>PIX</v>
      </c>
      <c r="D1839" t="str">
        <f>"34276"</f>
        <v>34276</v>
      </c>
      <c r="E1839" t="str">
        <f t="shared" si="355"/>
        <v>1</v>
      </c>
      <c r="F1839" t="str">
        <f t="shared" si="352"/>
        <v>COM</v>
      </c>
      <c r="G1839" t="str">
        <f t="shared" si="356"/>
        <v>FABRICIO QUEIROZ DE OLIVEIRA (788)</v>
      </c>
      <c r="H1839" t="s">
        <v>508</v>
      </c>
      <c r="I1839" t="str">
        <f t="shared" si="351"/>
        <v>12/03/2026</v>
      </c>
      <c r="J1839" t="str">
        <f t="shared" si="353"/>
        <v>09/03/2026</v>
      </c>
      <c r="K1839">
        <v>46093</v>
      </c>
      <c r="N1839">
        <v>109</v>
      </c>
      <c r="O1839" t="s">
        <v>27</v>
      </c>
      <c r="Q1839">
        <v>488.5</v>
      </c>
      <c r="R1839" t="str">
        <f>"FRAN FARMA LJ 2 (10131)"</f>
        <v>FRAN FARMA LJ 2 (10131)</v>
      </c>
      <c r="S1839" t="s">
        <v>37</v>
      </c>
      <c r="T1839">
        <v>30976</v>
      </c>
      <c r="U1839">
        <v>34276</v>
      </c>
      <c r="V1839" t="s">
        <v>37</v>
      </c>
    </row>
    <row r="1840" spans="1:22">
      <c r="A1840" t="str">
        <f t="shared" si="354"/>
        <v>12/03/2026</v>
      </c>
      <c r="B1840" t="str">
        <f t="shared" si="349"/>
        <v>SAÍDA</v>
      </c>
      <c r="C1840" t="str">
        <f t="shared" si="350"/>
        <v>PIX</v>
      </c>
      <c r="D1840" t="str">
        <f>"34277"</f>
        <v>34277</v>
      </c>
      <c r="E1840" t="str">
        <f t="shared" si="355"/>
        <v>1</v>
      </c>
      <c r="F1840" t="str">
        <f t="shared" si="352"/>
        <v>COM</v>
      </c>
      <c r="G1840" t="str">
        <f t="shared" si="356"/>
        <v>FABRICIO QUEIROZ DE OLIVEIRA (788)</v>
      </c>
      <c r="H1840" t="str">
        <f>"Serv.Prest. 02/03/2026 a 08/03/2026 - PIX: CPF - CHAVE: 138.798.486-10"</f>
        <v>Serv.Prest. 02/03/2026 a 08/03/2026 - PIX: CPF - CHAVE: 138.798.486-10</v>
      </c>
      <c r="I1840" t="str">
        <f t="shared" si="351"/>
        <v>12/03/2026</v>
      </c>
      <c r="J1840" t="str">
        <f t="shared" si="353"/>
        <v>09/03/2026</v>
      </c>
      <c r="K1840" t="str">
        <f>("12/03/2026")</f>
        <v>12/03/2026</v>
      </c>
      <c r="L1840">
        <v>202.5</v>
      </c>
      <c r="M1840">
        <v>202.5</v>
      </c>
      <c r="N1840">
        <v>109</v>
      </c>
      <c r="O1840" t="str">
        <f>"PAGAMENTO DE ENTREGADORES"</f>
        <v>PAGAMENTO DE ENTREGADORES</v>
      </c>
      <c r="P1840">
        <v>202.5</v>
      </c>
      <c r="S1840" t="str">
        <f>"BANCO C6 (149)"</f>
        <v>BANCO C6 (149)</v>
      </c>
      <c r="T1840">
        <v>30977</v>
      </c>
      <c r="U1840">
        <v>34277</v>
      </c>
      <c r="V1840" t="s">
        <v>37</v>
      </c>
    </row>
    <row r="1841" spans="1:22">
      <c r="A1841" t="str">
        <f t="shared" si="354"/>
        <v>12/03/2026</v>
      </c>
      <c r="B1841" t="str">
        <f t="shared" si="349"/>
        <v>SAÍDA</v>
      </c>
      <c r="C1841" t="str">
        <f t="shared" si="350"/>
        <v>PIX</v>
      </c>
      <c r="D1841" t="str">
        <f>"34277"</f>
        <v>34277</v>
      </c>
      <c r="E1841" t="str">
        <f t="shared" si="355"/>
        <v>1</v>
      </c>
      <c r="F1841" t="str">
        <f t="shared" si="352"/>
        <v>COM</v>
      </c>
      <c r="G1841" t="str">
        <f t="shared" si="356"/>
        <v>FABRICIO QUEIROZ DE OLIVEIRA (788)</v>
      </c>
      <c r="H1841" t="s">
        <v>508</v>
      </c>
      <c r="I1841" t="str">
        <f t="shared" si="351"/>
        <v>12/03/2026</v>
      </c>
      <c r="J1841" t="str">
        <f t="shared" si="353"/>
        <v>09/03/2026</v>
      </c>
      <c r="K1841">
        <v>46093</v>
      </c>
      <c r="N1841">
        <v>109</v>
      </c>
      <c r="O1841" t="s">
        <v>27</v>
      </c>
      <c r="Q1841">
        <v>202.5</v>
      </c>
      <c r="R1841" t="str">
        <f>"FRAN FARMA LJ 3 (10132)"</f>
        <v>FRAN FARMA LJ 3 (10132)</v>
      </c>
      <c r="S1841" t="s">
        <v>37</v>
      </c>
      <c r="T1841">
        <v>30977</v>
      </c>
      <c r="U1841">
        <v>34277</v>
      </c>
      <c r="V1841" t="s">
        <v>37</v>
      </c>
    </row>
    <row r="1842" spans="1:22">
      <c r="A1842" t="str">
        <f t="shared" si="354"/>
        <v>12/03/2026</v>
      </c>
      <c r="B1842" t="str">
        <f t="shared" si="349"/>
        <v>SAÍDA</v>
      </c>
      <c r="C1842" t="str">
        <f t="shared" si="350"/>
        <v>PIX</v>
      </c>
      <c r="D1842" t="str">
        <f>"34279"</f>
        <v>34279</v>
      </c>
      <c r="E1842" t="str">
        <f t="shared" si="355"/>
        <v>1</v>
      </c>
      <c r="F1842" t="str">
        <f t="shared" si="352"/>
        <v>COM</v>
      </c>
      <c r="G1842" t="str">
        <f>"CLAUDIO DOS SANTOS (507)"</f>
        <v>CLAUDIO DOS SANTOS (507)</v>
      </c>
      <c r="H1842" t="str">
        <f>"Serv.Prest. 02/03/2026 a 08/03/2026 - PIX: E-MAIL - CHAVE: claudioverdinho2009@hotmail.com"</f>
        <v>Serv.Prest. 02/03/2026 a 08/03/2026 - PIX: E-MAIL - CHAVE: claudioverdinho2009@hotmail.com</v>
      </c>
      <c r="I1842" t="str">
        <f t="shared" si="351"/>
        <v>12/03/2026</v>
      </c>
      <c r="J1842" t="str">
        <f t="shared" si="353"/>
        <v>09/03/2026</v>
      </c>
      <c r="K1842" t="str">
        <f>("12/03/2026")</f>
        <v>12/03/2026</v>
      </c>
      <c r="L1842">
        <v>1318</v>
      </c>
      <c r="M1842">
        <v>1318</v>
      </c>
      <c r="N1842">
        <v>109</v>
      </c>
      <c r="O1842" t="str">
        <f>"PAGAMENTO DE ENTREGADORES"</f>
        <v>PAGAMENTO DE ENTREGADORES</v>
      </c>
      <c r="P1842">
        <v>1318</v>
      </c>
      <c r="S1842" t="str">
        <f>"BANCO C6 (149)"</f>
        <v>BANCO C6 (149)</v>
      </c>
      <c r="T1842">
        <v>30978</v>
      </c>
      <c r="U1842">
        <v>34279</v>
      </c>
      <c r="V1842" t="s">
        <v>37</v>
      </c>
    </row>
    <row r="1843" spans="1:22">
      <c r="A1843" t="str">
        <f t="shared" si="354"/>
        <v>12/03/2026</v>
      </c>
      <c r="B1843" t="str">
        <f t="shared" si="349"/>
        <v>SAÍDA</v>
      </c>
      <c r="C1843" t="str">
        <f t="shared" si="350"/>
        <v>PIX</v>
      </c>
      <c r="D1843" t="str">
        <f>"34279"</f>
        <v>34279</v>
      </c>
      <c r="E1843" t="str">
        <f t="shared" si="355"/>
        <v>1</v>
      </c>
      <c r="F1843" t="str">
        <f t="shared" si="352"/>
        <v>COM</v>
      </c>
      <c r="G1843" t="str">
        <f>"CLAUDIO DOS SANTOS (507)"</f>
        <v>CLAUDIO DOS SANTOS (507)</v>
      </c>
      <c r="H1843" t="s">
        <v>625</v>
      </c>
      <c r="I1843" t="str">
        <f t="shared" si="351"/>
        <v>12/03/2026</v>
      </c>
      <c r="J1843" t="str">
        <f t="shared" si="353"/>
        <v>09/03/2026</v>
      </c>
      <c r="K1843">
        <v>46093</v>
      </c>
      <c r="N1843">
        <v>109</v>
      </c>
      <c r="O1843" t="s">
        <v>27</v>
      </c>
      <c r="Q1843">
        <v>1318</v>
      </c>
      <c r="R1843" t="str">
        <f>"JAL FARMACIA E DROGARIA LJ 1 (10137)"</f>
        <v>JAL FARMACIA E DROGARIA LJ 1 (10137)</v>
      </c>
      <c r="S1843" t="s">
        <v>37</v>
      </c>
      <c r="T1843">
        <v>30978</v>
      </c>
      <c r="U1843">
        <v>34279</v>
      </c>
      <c r="V1843" t="s">
        <v>37</v>
      </c>
    </row>
    <row r="1844" spans="1:22">
      <c r="A1844" t="str">
        <f t="shared" si="354"/>
        <v>12/03/2026</v>
      </c>
      <c r="B1844" t="str">
        <f t="shared" si="349"/>
        <v>SAÍDA</v>
      </c>
      <c r="C1844" t="str">
        <f t="shared" si="350"/>
        <v>PIX</v>
      </c>
      <c r="D1844" t="str">
        <f>"34280"</f>
        <v>34280</v>
      </c>
      <c r="E1844" t="str">
        <f t="shared" si="355"/>
        <v>1</v>
      </c>
      <c r="F1844" t="str">
        <f t="shared" si="352"/>
        <v>COM</v>
      </c>
      <c r="G1844" t="str">
        <f>"JESSICA BRAHOLKA (837)"</f>
        <v>JESSICA BRAHOLKA (837)</v>
      </c>
      <c r="H1844" t="str">
        <f>"Serv.Prest. 02/03/2026 a 08/03/2026 - PIX: CPF - CHAVE: 124.575.099-20"</f>
        <v>Serv.Prest. 02/03/2026 a 08/03/2026 - PIX: CPF - CHAVE: 124.575.099-20</v>
      </c>
      <c r="I1844" t="str">
        <f t="shared" si="351"/>
        <v>12/03/2026</v>
      </c>
      <c r="J1844" t="str">
        <f t="shared" si="353"/>
        <v>09/03/2026</v>
      </c>
      <c r="K1844" t="str">
        <f>("12/03/2026")</f>
        <v>12/03/2026</v>
      </c>
      <c r="L1844">
        <v>799</v>
      </c>
      <c r="M1844">
        <v>799</v>
      </c>
      <c r="N1844">
        <v>109</v>
      </c>
      <c r="O1844" t="str">
        <f>"PAGAMENTO DE ENTREGADORES"</f>
        <v>PAGAMENTO DE ENTREGADORES</v>
      </c>
      <c r="P1844">
        <v>799</v>
      </c>
      <c r="S1844" t="str">
        <f>"BANCO C6 (149)"</f>
        <v>BANCO C6 (149)</v>
      </c>
      <c r="T1844">
        <v>30979</v>
      </c>
      <c r="U1844">
        <v>34280</v>
      </c>
      <c r="V1844" t="s">
        <v>37</v>
      </c>
    </row>
    <row r="1845" spans="1:22">
      <c r="A1845" t="str">
        <f t="shared" si="354"/>
        <v>12/03/2026</v>
      </c>
      <c r="B1845" t="str">
        <f t="shared" si="349"/>
        <v>SAÍDA</v>
      </c>
      <c r="C1845" t="str">
        <f t="shared" si="350"/>
        <v>PIX</v>
      </c>
      <c r="D1845" t="str">
        <f>"34280"</f>
        <v>34280</v>
      </c>
      <c r="E1845" t="str">
        <f t="shared" si="355"/>
        <v>1</v>
      </c>
      <c r="F1845" t="str">
        <f t="shared" si="352"/>
        <v>COM</v>
      </c>
      <c r="G1845" t="str">
        <f>"JESSICA BRAHOLKA (837)"</f>
        <v>JESSICA BRAHOLKA (837)</v>
      </c>
      <c r="H1845" t="s">
        <v>441</v>
      </c>
      <c r="I1845" t="str">
        <f t="shared" si="351"/>
        <v>12/03/2026</v>
      </c>
      <c r="J1845" t="str">
        <f t="shared" si="353"/>
        <v>09/03/2026</v>
      </c>
      <c r="K1845">
        <v>46093</v>
      </c>
      <c r="N1845">
        <v>109</v>
      </c>
      <c r="O1845" t="s">
        <v>27</v>
      </c>
      <c r="Q1845">
        <v>799</v>
      </c>
      <c r="R1845" t="str">
        <f>"JAL FARMACIA E DROGARIA LJ 1 (10137)"</f>
        <v>JAL FARMACIA E DROGARIA LJ 1 (10137)</v>
      </c>
      <c r="S1845" t="s">
        <v>37</v>
      </c>
      <c r="T1845">
        <v>30979</v>
      </c>
      <c r="U1845">
        <v>34280</v>
      </c>
      <c r="V1845" t="s">
        <v>37</v>
      </c>
    </row>
    <row r="1846" spans="1:22">
      <c r="A1846" t="str">
        <f t="shared" si="354"/>
        <v>12/03/2026</v>
      </c>
      <c r="B1846" t="str">
        <f t="shared" si="349"/>
        <v>SAÍDA</v>
      </c>
      <c r="C1846" t="str">
        <f t="shared" si="350"/>
        <v>PIX</v>
      </c>
      <c r="D1846" t="str">
        <f>"34281"</f>
        <v>34281</v>
      </c>
      <c r="E1846" t="str">
        <f t="shared" si="355"/>
        <v>1</v>
      </c>
      <c r="F1846" t="str">
        <f t="shared" si="352"/>
        <v>COM</v>
      </c>
      <c r="G1846" t="str">
        <f>"WADSON PABLO PEREIRA GALDINO DA SILVA (1339)"</f>
        <v>WADSON PABLO PEREIRA GALDINO DA SILVA (1339)</v>
      </c>
      <c r="H1846" t="str">
        <f>"Serv.Prest. 02/03/2026 a 08/03/2026 - PIX: CPF - CHAVE: 114.806.766-32"</f>
        <v>Serv.Prest. 02/03/2026 a 08/03/2026 - PIX: CPF - CHAVE: 114.806.766-32</v>
      </c>
      <c r="I1846" t="str">
        <f t="shared" si="351"/>
        <v>12/03/2026</v>
      </c>
      <c r="J1846" t="str">
        <f t="shared" si="353"/>
        <v>09/03/2026</v>
      </c>
      <c r="K1846" t="str">
        <f>("12/03/2026")</f>
        <v>12/03/2026</v>
      </c>
      <c r="L1846">
        <v>233</v>
      </c>
      <c r="M1846">
        <v>233</v>
      </c>
      <c r="N1846">
        <v>109</v>
      </c>
      <c r="O1846" t="str">
        <f>"PAGAMENTO DE ENTREGADORES"</f>
        <v>PAGAMENTO DE ENTREGADORES</v>
      </c>
      <c r="P1846">
        <v>233</v>
      </c>
      <c r="S1846" t="str">
        <f>"BANCO C6 (149)"</f>
        <v>BANCO C6 (149)</v>
      </c>
      <c r="T1846">
        <v>30980</v>
      </c>
      <c r="U1846">
        <v>34281</v>
      </c>
      <c r="V1846" t="s">
        <v>37</v>
      </c>
    </row>
    <row r="1847" spans="1:22">
      <c r="A1847" t="str">
        <f t="shared" si="354"/>
        <v>12/03/2026</v>
      </c>
      <c r="B1847" t="str">
        <f t="shared" si="349"/>
        <v>SAÍDA</v>
      </c>
      <c r="C1847" t="str">
        <f t="shared" si="350"/>
        <v>PIX</v>
      </c>
      <c r="D1847" t="str">
        <f>"34281"</f>
        <v>34281</v>
      </c>
      <c r="E1847" t="str">
        <f t="shared" si="355"/>
        <v>1</v>
      </c>
      <c r="F1847" t="str">
        <f t="shared" si="352"/>
        <v>COM</v>
      </c>
      <c r="G1847" t="str">
        <f>"WADSON PABLO PEREIRA GALDINO DA SILVA (1339)"</f>
        <v>WADSON PABLO PEREIRA GALDINO DA SILVA (1339)</v>
      </c>
      <c r="H1847" t="s">
        <v>626</v>
      </c>
      <c r="I1847" t="str">
        <f t="shared" si="351"/>
        <v>12/03/2026</v>
      </c>
      <c r="J1847" t="str">
        <f t="shared" si="353"/>
        <v>09/03/2026</v>
      </c>
      <c r="K1847">
        <v>46093</v>
      </c>
      <c r="N1847">
        <v>109</v>
      </c>
      <c r="O1847" t="s">
        <v>27</v>
      </c>
      <c r="Q1847">
        <v>233</v>
      </c>
      <c r="R1847" t="str">
        <f>"JAL FARMACIA E DROGARIA LJ 1 (10137)"</f>
        <v>JAL FARMACIA E DROGARIA LJ 1 (10137)</v>
      </c>
      <c r="S1847" t="s">
        <v>37</v>
      </c>
      <c r="T1847">
        <v>30980</v>
      </c>
      <c r="U1847">
        <v>34281</v>
      </c>
      <c r="V1847" t="s">
        <v>37</v>
      </c>
    </row>
    <row r="1848" spans="1:22">
      <c r="A1848" t="str">
        <f t="shared" si="354"/>
        <v>12/03/2026</v>
      </c>
      <c r="B1848" t="str">
        <f t="shared" ref="B1848:B1911" si="357">"SAÍDA"</f>
        <v>SAÍDA</v>
      </c>
      <c r="C1848" t="str">
        <f t="shared" si="350"/>
        <v>PIX</v>
      </c>
      <c r="D1848" t="str">
        <f>"34283"</f>
        <v>34283</v>
      </c>
      <c r="E1848" t="str">
        <f t="shared" si="355"/>
        <v>1</v>
      </c>
      <c r="F1848" t="str">
        <f t="shared" si="352"/>
        <v>COM</v>
      </c>
      <c r="G1848" t="str">
        <f>"CLAUDIO DOS SANTOS (507)"</f>
        <v>CLAUDIO DOS SANTOS (507)</v>
      </c>
      <c r="H1848" t="str">
        <f>"Serv.Prest. 02/03/2026 a 08/03/2026 - PIX: E-MAIL - CHAVE: claudioverdinho2009@hotmail.com"</f>
        <v>Serv.Prest. 02/03/2026 a 08/03/2026 - PIX: E-MAIL - CHAVE: claudioverdinho2009@hotmail.com</v>
      </c>
      <c r="I1848" t="str">
        <f t="shared" si="351"/>
        <v>12/03/2026</v>
      </c>
      <c r="J1848" t="str">
        <f t="shared" si="353"/>
        <v>09/03/2026</v>
      </c>
      <c r="K1848" t="str">
        <f>("12/03/2026")</f>
        <v>12/03/2026</v>
      </c>
      <c r="L1848">
        <v>245</v>
      </c>
      <c r="M1848">
        <v>245</v>
      </c>
      <c r="N1848">
        <v>109</v>
      </c>
      <c r="O1848" t="str">
        <f>"PAGAMENTO DE ENTREGADORES"</f>
        <v>PAGAMENTO DE ENTREGADORES</v>
      </c>
      <c r="P1848">
        <v>245</v>
      </c>
      <c r="S1848" t="str">
        <f>"BANCO C6 (149)"</f>
        <v>BANCO C6 (149)</v>
      </c>
      <c r="T1848">
        <v>30981</v>
      </c>
      <c r="U1848">
        <v>34283</v>
      </c>
      <c r="V1848" t="s">
        <v>37</v>
      </c>
    </row>
    <row r="1849" spans="1:22">
      <c r="A1849" t="str">
        <f t="shared" si="354"/>
        <v>12/03/2026</v>
      </c>
      <c r="B1849" t="str">
        <f t="shared" si="357"/>
        <v>SAÍDA</v>
      </c>
      <c r="C1849" t="str">
        <f t="shared" si="350"/>
        <v>PIX</v>
      </c>
      <c r="D1849" t="str">
        <f>"34283"</f>
        <v>34283</v>
      </c>
      <c r="E1849" t="str">
        <f t="shared" si="355"/>
        <v>1</v>
      </c>
      <c r="F1849" t="str">
        <f t="shared" si="352"/>
        <v>COM</v>
      </c>
      <c r="G1849" t="str">
        <f>"CLAUDIO DOS SANTOS (507)"</f>
        <v>CLAUDIO DOS SANTOS (507)</v>
      </c>
      <c r="H1849" t="s">
        <v>625</v>
      </c>
      <c r="I1849" t="str">
        <f t="shared" si="351"/>
        <v>12/03/2026</v>
      </c>
      <c r="J1849" t="str">
        <f t="shared" si="353"/>
        <v>09/03/2026</v>
      </c>
      <c r="K1849">
        <v>46093</v>
      </c>
      <c r="N1849">
        <v>109</v>
      </c>
      <c r="O1849" t="s">
        <v>27</v>
      </c>
      <c r="Q1849">
        <v>245</v>
      </c>
      <c r="R1849" t="str">
        <f>"JAL FARMACIA E DROGARIA LJ 2 (10138)"</f>
        <v>JAL FARMACIA E DROGARIA LJ 2 (10138)</v>
      </c>
      <c r="S1849" t="s">
        <v>37</v>
      </c>
      <c r="T1849">
        <v>30981</v>
      </c>
      <c r="U1849">
        <v>34283</v>
      </c>
      <c r="V1849" t="s">
        <v>37</v>
      </c>
    </row>
    <row r="1850" spans="1:22">
      <c r="A1850" t="str">
        <f t="shared" si="354"/>
        <v>12/03/2026</v>
      </c>
      <c r="B1850" t="str">
        <f t="shared" si="357"/>
        <v>SAÍDA</v>
      </c>
      <c r="C1850" t="str">
        <f t="shared" si="350"/>
        <v>PIX</v>
      </c>
      <c r="D1850" t="str">
        <f>"34284"</f>
        <v>34284</v>
      </c>
      <c r="E1850" t="str">
        <f t="shared" si="355"/>
        <v>1</v>
      </c>
      <c r="F1850" t="str">
        <f t="shared" si="352"/>
        <v>COM</v>
      </c>
      <c r="G1850" t="str">
        <f>"JESSICA BRAHOLKA (837)"</f>
        <v>JESSICA BRAHOLKA (837)</v>
      </c>
      <c r="H1850" t="str">
        <f>"Serv.Prest. 02/03/2026 a 08/03/2026 - PIX: CPF - CHAVE: 124.575.099-20"</f>
        <v>Serv.Prest. 02/03/2026 a 08/03/2026 - PIX: CPF - CHAVE: 124.575.099-20</v>
      </c>
      <c r="I1850" t="str">
        <f t="shared" si="351"/>
        <v>12/03/2026</v>
      </c>
      <c r="J1850" t="str">
        <f t="shared" si="353"/>
        <v>09/03/2026</v>
      </c>
      <c r="K1850" t="str">
        <f>("12/03/2026")</f>
        <v>12/03/2026</v>
      </c>
      <c r="L1850">
        <v>639</v>
      </c>
      <c r="M1850">
        <v>639</v>
      </c>
      <c r="N1850">
        <v>109</v>
      </c>
      <c r="O1850" t="str">
        <f>"PAGAMENTO DE ENTREGADORES"</f>
        <v>PAGAMENTO DE ENTREGADORES</v>
      </c>
      <c r="P1850">
        <v>639</v>
      </c>
      <c r="S1850" t="str">
        <f>"BANCO C6 (149)"</f>
        <v>BANCO C6 (149)</v>
      </c>
      <c r="T1850">
        <v>30982</v>
      </c>
      <c r="U1850">
        <v>34284</v>
      </c>
      <c r="V1850" t="s">
        <v>37</v>
      </c>
    </row>
    <row r="1851" spans="1:22">
      <c r="A1851" t="str">
        <f t="shared" si="354"/>
        <v>12/03/2026</v>
      </c>
      <c r="B1851" t="str">
        <f t="shared" si="357"/>
        <v>SAÍDA</v>
      </c>
      <c r="C1851" t="str">
        <f t="shared" si="350"/>
        <v>PIX</v>
      </c>
      <c r="D1851" t="str">
        <f>"34284"</f>
        <v>34284</v>
      </c>
      <c r="E1851" t="str">
        <f t="shared" si="355"/>
        <v>1</v>
      </c>
      <c r="F1851" t="str">
        <f t="shared" si="352"/>
        <v>COM</v>
      </c>
      <c r="G1851" t="str">
        <f>"JESSICA BRAHOLKA (837)"</f>
        <v>JESSICA BRAHOLKA (837)</v>
      </c>
      <c r="H1851" t="s">
        <v>441</v>
      </c>
      <c r="I1851" t="str">
        <f t="shared" si="351"/>
        <v>12/03/2026</v>
      </c>
      <c r="J1851" t="str">
        <f t="shared" si="353"/>
        <v>09/03/2026</v>
      </c>
      <c r="K1851">
        <v>46093</v>
      </c>
      <c r="N1851">
        <v>109</v>
      </c>
      <c r="O1851" t="s">
        <v>27</v>
      </c>
      <c r="Q1851">
        <v>639</v>
      </c>
      <c r="R1851" t="str">
        <f>"JAL FARMACIA E DROGARIA LJ 2 (10138)"</f>
        <v>JAL FARMACIA E DROGARIA LJ 2 (10138)</v>
      </c>
      <c r="S1851" t="s">
        <v>37</v>
      </c>
      <c r="T1851">
        <v>30982</v>
      </c>
      <c r="U1851">
        <v>34284</v>
      </c>
      <c r="V1851" t="s">
        <v>37</v>
      </c>
    </row>
    <row r="1852" spans="1:22">
      <c r="A1852" t="str">
        <f t="shared" si="354"/>
        <v>12/03/2026</v>
      </c>
      <c r="B1852" t="str">
        <f t="shared" si="357"/>
        <v>SAÍDA</v>
      </c>
      <c r="C1852" t="str">
        <f t="shared" si="350"/>
        <v>PIX</v>
      </c>
      <c r="D1852" t="str">
        <f>"34285"</f>
        <v>34285</v>
      </c>
      <c r="E1852" t="str">
        <f t="shared" si="355"/>
        <v>1</v>
      </c>
      <c r="F1852" t="str">
        <f t="shared" si="352"/>
        <v>COM</v>
      </c>
      <c r="G1852" t="str">
        <f>"WADSON PABLO PEREIRA GALDINO DA SILVA (1339)"</f>
        <v>WADSON PABLO PEREIRA GALDINO DA SILVA (1339)</v>
      </c>
      <c r="H1852" t="str">
        <f>"Serv.Prest. 02/03/2026 a 08/03/2026 - PIX: CPF - CHAVE: 114.806.766-32"</f>
        <v>Serv.Prest. 02/03/2026 a 08/03/2026 - PIX: CPF - CHAVE: 114.806.766-32</v>
      </c>
      <c r="I1852" t="str">
        <f t="shared" si="351"/>
        <v>12/03/2026</v>
      </c>
      <c r="J1852" t="str">
        <f t="shared" si="353"/>
        <v>09/03/2026</v>
      </c>
      <c r="K1852" t="str">
        <f>("12/03/2026")</f>
        <v>12/03/2026</v>
      </c>
      <c r="L1852">
        <v>616</v>
      </c>
      <c r="M1852">
        <v>616</v>
      </c>
      <c r="N1852">
        <v>109</v>
      </c>
      <c r="O1852" t="str">
        <f>"PAGAMENTO DE ENTREGADORES"</f>
        <v>PAGAMENTO DE ENTREGADORES</v>
      </c>
      <c r="P1852">
        <v>616</v>
      </c>
      <c r="S1852" t="str">
        <f>"BANCO C6 (149)"</f>
        <v>BANCO C6 (149)</v>
      </c>
      <c r="T1852">
        <v>30983</v>
      </c>
      <c r="U1852">
        <v>34285</v>
      </c>
      <c r="V1852" t="s">
        <v>37</v>
      </c>
    </row>
    <row r="1853" spans="1:22">
      <c r="A1853" t="str">
        <f t="shared" si="354"/>
        <v>12/03/2026</v>
      </c>
      <c r="B1853" t="str">
        <f t="shared" si="357"/>
        <v>SAÍDA</v>
      </c>
      <c r="C1853" t="str">
        <f t="shared" si="350"/>
        <v>PIX</v>
      </c>
      <c r="D1853" t="str">
        <f>"34285"</f>
        <v>34285</v>
      </c>
      <c r="E1853" t="str">
        <f t="shared" si="355"/>
        <v>1</v>
      </c>
      <c r="F1853" t="str">
        <f t="shared" si="352"/>
        <v>COM</v>
      </c>
      <c r="G1853" t="str">
        <f>"WADSON PABLO PEREIRA GALDINO DA SILVA (1339)"</f>
        <v>WADSON PABLO PEREIRA GALDINO DA SILVA (1339)</v>
      </c>
      <c r="H1853" t="s">
        <v>626</v>
      </c>
      <c r="I1853" t="str">
        <f t="shared" si="351"/>
        <v>12/03/2026</v>
      </c>
      <c r="J1853" t="str">
        <f t="shared" si="353"/>
        <v>09/03/2026</v>
      </c>
      <c r="K1853">
        <v>46093</v>
      </c>
      <c r="N1853">
        <v>109</v>
      </c>
      <c r="O1853" t="s">
        <v>27</v>
      </c>
      <c r="Q1853">
        <v>616</v>
      </c>
      <c r="R1853" t="str">
        <f>"JAL FARMACIA E DROGARIA LJ 2 (10138)"</f>
        <v>JAL FARMACIA E DROGARIA LJ 2 (10138)</v>
      </c>
      <c r="S1853" t="s">
        <v>37</v>
      </c>
      <c r="T1853">
        <v>30983</v>
      </c>
      <c r="U1853">
        <v>34285</v>
      </c>
      <c r="V1853" t="s">
        <v>37</v>
      </c>
    </row>
    <row r="1854" spans="1:22">
      <c r="A1854" t="str">
        <f t="shared" si="354"/>
        <v>12/03/2026</v>
      </c>
      <c r="B1854" t="str">
        <f t="shared" si="357"/>
        <v>SAÍDA</v>
      </c>
      <c r="C1854" t="str">
        <f t="shared" si="350"/>
        <v>PIX</v>
      </c>
      <c r="D1854" t="str">
        <f>"34287"</f>
        <v>34287</v>
      </c>
      <c r="E1854" t="str">
        <f t="shared" si="355"/>
        <v>1</v>
      </c>
      <c r="F1854" t="str">
        <f t="shared" si="352"/>
        <v>COM</v>
      </c>
      <c r="G1854" t="str">
        <f>"JOSE CARLOS ALEXANDRE (1315)"</f>
        <v>JOSE CARLOS ALEXANDRE (1315)</v>
      </c>
      <c r="H1854" t="str">
        <f>"Serv.Prest. 02/03/2026 a 08/03/2026 - PIX: CPF - CHAVE: 026.311.016-85"</f>
        <v>Serv.Prest. 02/03/2026 a 08/03/2026 - PIX: CPF - CHAVE: 026.311.016-85</v>
      </c>
      <c r="I1854" t="str">
        <f t="shared" si="351"/>
        <v>12/03/2026</v>
      </c>
      <c r="J1854" t="str">
        <f t="shared" si="353"/>
        <v>09/03/2026</v>
      </c>
      <c r="K1854" t="str">
        <f>("12/03/2026")</f>
        <v>12/03/2026</v>
      </c>
      <c r="L1854">
        <v>590</v>
      </c>
      <c r="M1854">
        <v>590</v>
      </c>
      <c r="N1854">
        <v>109</v>
      </c>
      <c r="O1854" t="str">
        <f>"PAGAMENTO DE ENTREGADORES"</f>
        <v>PAGAMENTO DE ENTREGADORES</v>
      </c>
      <c r="P1854">
        <v>590</v>
      </c>
      <c r="S1854" t="str">
        <f>"BANCO C6 (149)"</f>
        <v>BANCO C6 (149)</v>
      </c>
      <c r="T1854">
        <v>30984</v>
      </c>
      <c r="U1854">
        <v>34287</v>
      </c>
      <c r="V1854" t="s">
        <v>37</v>
      </c>
    </row>
    <row r="1855" spans="1:22">
      <c r="A1855" t="str">
        <f t="shared" si="354"/>
        <v>12/03/2026</v>
      </c>
      <c r="B1855" t="str">
        <f t="shared" si="357"/>
        <v>SAÍDA</v>
      </c>
      <c r="C1855" t="str">
        <f t="shared" si="350"/>
        <v>PIX</v>
      </c>
      <c r="D1855" t="str">
        <f>"34287"</f>
        <v>34287</v>
      </c>
      <c r="E1855" t="str">
        <f t="shared" si="355"/>
        <v>1</v>
      </c>
      <c r="F1855" t="str">
        <f t="shared" si="352"/>
        <v>COM</v>
      </c>
      <c r="G1855" t="str">
        <f>"JOSE CARLOS ALEXANDRE (1315)"</f>
        <v>JOSE CARLOS ALEXANDRE (1315)</v>
      </c>
      <c r="H1855" t="s">
        <v>627</v>
      </c>
      <c r="I1855" t="str">
        <f t="shared" si="351"/>
        <v>12/03/2026</v>
      </c>
      <c r="J1855" t="str">
        <f t="shared" si="353"/>
        <v>09/03/2026</v>
      </c>
      <c r="K1855">
        <v>46093</v>
      </c>
      <c r="N1855">
        <v>109</v>
      </c>
      <c r="O1855" t="s">
        <v>27</v>
      </c>
      <c r="Q1855">
        <v>590</v>
      </c>
      <c r="R1855" t="str">
        <f>"LBL FARMACIA LTDA (10189)"</f>
        <v>LBL FARMACIA LTDA (10189)</v>
      </c>
      <c r="S1855" t="s">
        <v>37</v>
      </c>
      <c r="T1855">
        <v>30984</v>
      </c>
      <c r="U1855">
        <v>34287</v>
      </c>
      <c r="V1855" t="s">
        <v>37</v>
      </c>
    </row>
    <row r="1856" spans="1:22">
      <c r="A1856" t="str">
        <f t="shared" si="354"/>
        <v>12/03/2026</v>
      </c>
      <c r="B1856" t="str">
        <f t="shared" si="357"/>
        <v>SAÍDA</v>
      </c>
      <c r="C1856" t="str">
        <f t="shared" ref="C1856:C1919" si="358">"PIX"</f>
        <v>PIX</v>
      </c>
      <c r="D1856" t="str">
        <f>"34289"</f>
        <v>34289</v>
      </c>
      <c r="E1856" t="str">
        <f t="shared" si="355"/>
        <v>1</v>
      </c>
      <c r="F1856" t="str">
        <f t="shared" si="352"/>
        <v>COM</v>
      </c>
      <c r="G1856" t="str">
        <f>"AMANDA LUCIO FERNANDES (1138)"</f>
        <v>AMANDA LUCIO FERNANDES (1138)</v>
      </c>
      <c r="H1856" t="str">
        <f>"Serv.Prest. 02/03/2026 a 08/03/2026 - PIX: CELULAR - CHAVE: (28) 99904-4082"</f>
        <v>Serv.Prest. 02/03/2026 a 08/03/2026 - PIX: CELULAR - CHAVE: (28) 99904-4082</v>
      </c>
      <c r="I1856" t="str">
        <f t="shared" ref="I1856:I1919" si="359">("12/03/2026")</f>
        <v>12/03/2026</v>
      </c>
      <c r="J1856" t="str">
        <f t="shared" si="353"/>
        <v>09/03/2026</v>
      </c>
      <c r="K1856" t="str">
        <f>("12/03/2026")</f>
        <v>12/03/2026</v>
      </c>
      <c r="L1856">
        <v>800</v>
      </c>
      <c r="M1856">
        <v>800</v>
      </c>
      <c r="N1856">
        <v>109</v>
      </c>
      <c r="O1856" t="str">
        <f>"PAGAMENTO DE ENTREGADORES"</f>
        <v>PAGAMENTO DE ENTREGADORES</v>
      </c>
      <c r="P1856">
        <v>800</v>
      </c>
      <c r="S1856" t="str">
        <f>"BANCO C6 (149)"</f>
        <v>BANCO C6 (149)</v>
      </c>
      <c r="T1856">
        <v>30985</v>
      </c>
      <c r="U1856">
        <v>34289</v>
      </c>
      <c r="V1856" t="s">
        <v>37</v>
      </c>
    </row>
    <row r="1857" spans="1:22">
      <c r="A1857" t="str">
        <f t="shared" si="354"/>
        <v>12/03/2026</v>
      </c>
      <c r="B1857" t="str">
        <f t="shared" si="357"/>
        <v>SAÍDA</v>
      </c>
      <c r="C1857" t="str">
        <f t="shared" si="358"/>
        <v>PIX</v>
      </c>
      <c r="D1857" t="str">
        <f>"34289"</f>
        <v>34289</v>
      </c>
      <c r="E1857" t="str">
        <f t="shared" si="355"/>
        <v>1</v>
      </c>
      <c r="F1857" t="str">
        <f t="shared" si="352"/>
        <v>COM</v>
      </c>
      <c r="G1857" t="str">
        <f>"AMANDA LUCIO FERNANDES (1138)"</f>
        <v>AMANDA LUCIO FERNANDES (1138)</v>
      </c>
      <c r="H1857" t="s">
        <v>628</v>
      </c>
      <c r="I1857" t="str">
        <f t="shared" si="359"/>
        <v>12/03/2026</v>
      </c>
      <c r="J1857" t="str">
        <f t="shared" si="353"/>
        <v>09/03/2026</v>
      </c>
      <c r="K1857">
        <v>46093</v>
      </c>
      <c r="N1857">
        <v>109</v>
      </c>
      <c r="O1857" t="s">
        <v>27</v>
      </c>
      <c r="Q1857">
        <v>800</v>
      </c>
      <c r="R1857" t="str">
        <f>"LBL FARMACIA LTDA FILIAL (10192)"</f>
        <v>LBL FARMACIA LTDA FILIAL (10192)</v>
      </c>
      <c r="S1857" t="s">
        <v>37</v>
      </c>
      <c r="T1857">
        <v>30985</v>
      </c>
      <c r="U1857">
        <v>34289</v>
      </c>
      <c r="V1857" t="s">
        <v>37</v>
      </c>
    </row>
    <row r="1858" spans="1:22">
      <c r="A1858" t="str">
        <f t="shared" si="354"/>
        <v>12/03/2026</v>
      </c>
      <c r="B1858" t="str">
        <f t="shared" si="357"/>
        <v>SAÍDA</v>
      </c>
      <c r="C1858" t="str">
        <f t="shared" si="358"/>
        <v>PIX</v>
      </c>
      <c r="D1858" t="str">
        <f>"34290"</f>
        <v>34290</v>
      </c>
      <c r="E1858" t="str">
        <f t="shared" si="355"/>
        <v>1</v>
      </c>
      <c r="F1858" t="str">
        <f t="shared" ref="F1858:F1921" si="360">"COM"</f>
        <v>COM</v>
      </c>
      <c r="G1858" t="str">
        <f>"YAN FILIPUTI CORA (926)"</f>
        <v>YAN FILIPUTI CORA (926)</v>
      </c>
      <c r="H1858" t="str">
        <f>"Serv.Prest. 02/03/2026 a 08/03/2026 - PIX: CELULAR - CHAVE: (28) 98816-4170"</f>
        <v>Serv.Prest. 02/03/2026 a 08/03/2026 - PIX: CELULAR - CHAVE: (28) 98816-4170</v>
      </c>
      <c r="I1858" t="str">
        <f t="shared" si="359"/>
        <v>12/03/2026</v>
      </c>
      <c r="J1858" t="str">
        <f t="shared" si="353"/>
        <v>09/03/2026</v>
      </c>
      <c r="K1858" t="str">
        <f>("12/03/2026")</f>
        <v>12/03/2026</v>
      </c>
      <c r="L1858">
        <v>795</v>
      </c>
      <c r="M1858">
        <v>795</v>
      </c>
      <c r="N1858">
        <v>109</v>
      </c>
      <c r="O1858" t="str">
        <f>"PAGAMENTO DE ENTREGADORES"</f>
        <v>PAGAMENTO DE ENTREGADORES</v>
      </c>
      <c r="P1858">
        <v>795</v>
      </c>
      <c r="S1858" t="str">
        <f>"BANCO C6 (149)"</f>
        <v>BANCO C6 (149)</v>
      </c>
      <c r="T1858">
        <v>30986</v>
      </c>
      <c r="U1858">
        <v>34290</v>
      </c>
      <c r="V1858" t="s">
        <v>37</v>
      </c>
    </row>
    <row r="1859" spans="1:22">
      <c r="A1859" t="str">
        <f t="shared" si="354"/>
        <v>12/03/2026</v>
      </c>
      <c r="B1859" t="str">
        <f t="shared" si="357"/>
        <v>SAÍDA</v>
      </c>
      <c r="C1859" t="str">
        <f t="shared" si="358"/>
        <v>PIX</v>
      </c>
      <c r="D1859" t="str">
        <f>"34290"</f>
        <v>34290</v>
      </c>
      <c r="E1859" t="str">
        <f t="shared" si="355"/>
        <v>1</v>
      </c>
      <c r="F1859" t="str">
        <f t="shared" si="360"/>
        <v>COM</v>
      </c>
      <c r="G1859" t="str">
        <f>"YAN FILIPUTI CORA (926)"</f>
        <v>YAN FILIPUTI CORA (926)</v>
      </c>
      <c r="H1859" t="s">
        <v>461</v>
      </c>
      <c r="I1859" t="str">
        <f t="shared" si="359"/>
        <v>12/03/2026</v>
      </c>
      <c r="J1859" t="str">
        <f t="shared" si="353"/>
        <v>09/03/2026</v>
      </c>
      <c r="K1859">
        <v>46093</v>
      </c>
      <c r="N1859">
        <v>109</v>
      </c>
      <c r="O1859" t="s">
        <v>27</v>
      </c>
      <c r="Q1859">
        <v>795</v>
      </c>
      <c r="R1859" t="str">
        <f>"LBL FARMACIA LTDA FILIAL (10192)"</f>
        <v>LBL FARMACIA LTDA FILIAL (10192)</v>
      </c>
      <c r="S1859" t="s">
        <v>37</v>
      </c>
      <c r="T1859">
        <v>30986</v>
      </c>
      <c r="U1859">
        <v>34290</v>
      </c>
      <c r="V1859" t="s">
        <v>37</v>
      </c>
    </row>
    <row r="1860" spans="1:22">
      <c r="A1860" t="str">
        <f t="shared" si="354"/>
        <v>12/03/2026</v>
      </c>
      <c r="B1860" t="str">
        <f t="shared" si="357"/>
        <v>SAÍDA</v>
      </c>
      <c r="C1860" t="str">
        <f t="shared" si="358"/>
        <v>PIX</v>
      </c>
      <c r="D1860" t="str">
        <f>"34293"</f>
        <v>34293</v>
      </c>
      <c r="E1860" t="str">
        <f t="shared" si="355"/>
        <v>1</v>
      </c>
      <c r="F1860" t="str">
        <f t="shared" si="360"/>
        <v>COM</v>
      </c>
      <c r="G1860" t="str">
        <f>"JO??O OTÁVIO GRANZIOL (1309)"</f>
        <v>JO??O OTÁVIO GRANZIOL (1309)</v>
      </c>
      <c r="H1860" t="str">
        <f>"Serv.Prest. 02/03/2026 a 08/03/2026 - PIX: CPF - CHAVE: 491.327.628-01"</f>
        <v>Serv.Prest. 02/03/2026 a 08/03/2026 - PIX: CPF - CHAVE: 491.327.628-01</v>
      </c>
      <c r="I1860" t="str">
        <f t="shared" si="359"/>
        <v>12/03/2026</v>
      </c>
      <c r="J1860" t="str">
        <f t="shared" ref="J1860:J1923" si="361">("09/03/2026")</f>
        <v>09/03/2026</v>
      </c>
      <c r="K1860" t="str">
        <f>("12/03/2026")</f>
        <v>12/03/2026</v>
      </c>
      <c r="L1860">
        <v>742</v>
      </c>
      <c r="M1860">
        <v>742</v>
      </c>
      <c r="N1860">
        <v>109</v>
      </c>
      <c r="O1860" t="str">
        <f>"PAGAMENTO DE ENTREGADORES"</f>
        <v>PAGAMENTO DE ENTREGADORES</v>
      </c>
      <c r="P1860">
        <v>742</v>
      </c>
      <c r="S1860" t="str">
        <f>"BANCO C6 (149)"</f>
        <v>BANCO C6 (149)</v>
      </c>
      <c r="T1860">
        <v>30987</v>
      </c>
      <c r="U1860">
        <v>34293</v>
      </c>
      <c r="V1860" t="s">
        <v>37</v>
      </c>
    </row>
    <row r="1861" spans="1:22">
      <c r="A1861" t="str">
        <f t="shared" si="354"/>
        <v>12/03/2026</v>
      </c>
      <c r="B1861" t="str">
        <f t="shared" si="357"/>
        <v>SAÍDA</v>
      </c>
      <c r="C1861" t="str">
        <f t="shared" si="358"/>
        <v>PIX</v>
      </c>
      <c r="D1861" t="str">
        <f>"34293"</f>
        <v>34293</v>
      </c>
      <c r="E1861" t="str">
        <f t="shared" si="355"/>
        <v>1</v>
      </c>
      <c r="F1861" t="str">
        <f t="shared" si="360"/>
        <v>COM</v>
      </c>
      <c r="G1861" t="str">
        <f>"JO??O OTÁVIO GRANZIOL (1309)"</f>
        <v>JO??O OTÁVIO GRANZIOL (1309)</v>
      </c>
      <c r="H1861" t="s">
        <v>629</v>
      </c>
      <c r="I1861" t="str">
        <f t="shared" si="359"/>
        <v>12/03/2026</v>
      </c>
      <c r="J1861" t="str">
        <f t="shared" si="361"/>
        <v>09/03/2026</v>
      </c>
      <c r="K1861">
        <v>46093</v>
      </c>
      <c r="N1861">
        <v>109</v>
      </c>
      <c r="O1861" t="s">
        <v>27</v>
      </c>
      <c r="Q1861">
        <v>742</v>
      </c>
      <c r="R1861" t="str">
        <f>"FARMACIA ROSAS (10288)"</f>
        <v>FARMACIA ROSAS (10288)</v>
      </c>
      <c r="S1861" t="s">
        <v>37</v>
      </c>
      <c r="T1861">
        <v>30987</v>
      </c>
      <c r="U1861">
        <v>34293</v>
      </c>
      <c r="V1861" t="s">
        <v>37</v>
      </c>
    </row>
    <row r="1862" spans="1:22">
      <c r="A1862" t="str">
        <f t="shared" si="354"/>
        <v>12/03/2026</v>
      </c>
      <c r="B1862" t="str">
        <f t="shared" si="357"/>
        <v>SAÍDA</v>
      </c>
      <c r="C1862" t="str">
        <f t="shared" si="358"/>
        <v>PIX</v>
      </c>
      <c r="D1862" t="str">
        <f>"34294"</f>
        <v>34294</v>
      </c>
      <c r="E1862" t="str">
        <f t="shared" si="355"/>
        <v>1</v>
      </c>
      <c r="F1862" t="str">
        <f t="shared" si="360"/>
        <v>COM</v>
      </c>
      <c r="G1862" t="str">
        <f>"UBIRATAN FERREIRA GONCALVES DOS SANTOS (1319)"</f>
        <v>UBIRATAN FERREIRA GONCALVES DOS SANTOS (1319)</v>
      </c>
      <c r="H1862" t="str">
        <f>"Serv.Prest. 02/03/2026 a 08/03/2026 - PIX: CPF - CHAVE: 388.052.378-92"</f>
        <v>Serv.Prest. 02/03/2026 a 08/03/2026 - PIX: CPF - CHAVE: 388.052.378-92</v>
      </c>
      <c r="I1862" t="str">
        <f t="shared" si="359"/>
        <v>12/03/2026</v>
      </c>
      <c r="J1862" t="str">
        <f t="shared" si="361"/>
        <v>09/03/2026</v>
      </c>
      <c r="K1862" t="str">
        <f>("12/03/2026")</f>
        <v>12/03/2026</v>
      </c>
      <c r="L1862">
        <v>399</v>
      </c>
      <c r="M1862">
        <v>399</v>
      </c>
      <c r="N1862">
        <v>109</v>
      </c>
      <c r="O1862" t="str">
        <f>"PAGAMENTO DE ENTREGADORES"</f>
        <v>PAGAMENTO DE ENTREGADORES</v>
      </c>
      <c r="P1862">
        <v>399</v>
      </c>
      <c r="S1862" t="str">
        <f>"BANCO C6 (149)"</f>
        <v>BANCO C6 (149)</v>
      </c>
      <c r="T1862">
        <v>30988</v>
      </c>
      <c r="U1862">
        <v>34294</v>
      </c>
      <c r="V1862" t="s">
        <v>37</v>
      </c>
    </row>
    <row r="1863" spans="1:22">
      <c r="A1863" t="str">
        <f t="shared" si="354"/>
        <v>12/03/2026</v>
      </c>
      <c r="B1863" t="str">
        <f t="shared" si="357"/>
        <v>SAÍDA</v>
      </c>
      <c r="C1863" t="str">
        <f t="shared" si="358"/>
        <v>PIX</v>
      </c>
      <c r="D1863" t="str">
        <f>"34294"</f>
        <v>34294</v>
      </c>
      <c r="E1863" t="str">
        <f t="shared" si="355"/>
        <v>1</v>
      </c>
      <c r="F1863" t="str">
        <f t="shared" si="360"/>
        <v>COM</v>
      </c>
      <c r="G1863" t="str">
        <f>"UBIRATAN FERREIRA GONCALVES DOS SANTOS (1319)"</f>
        <v>UBIRATAN FERREIRA GONCALVES DOS SANTOS (1319)</v>
      </c>
      <c r="H1863" t="s">
        <v>630</v>
      </c>
      <c r="I1863" t="str">
        <f t="shared" si="359"/>
        <v>12/03/2026</v>
      </c>
      <c r="J1863" t="str">
        <f t="shared" si="361"/>
        <v>09/03/2026</v>
      </c>
      <c r="K1863">
        <v>46093</v>
      </c>
      <c r="N1863">
        <v>109</v>
      </c>
      <c r="O1863" t="s">
        <v>27</v>
      </c>
      <c r="Q1863">
        <v>399</v>
      </c>
      <c r="R1863" t="str">
        <f>"FARMACIA ROSAS (10288)"</f>
        <v>FARMACIA ROSAS (10288)</v>
      </c>
      <c r="S1863" t="s">
        <v>37</v>
      </c>
      <c r="T1863">
        <v>30988</v>
      </c>
      <c r="U1863">
        <v>34294</v>
      </c>
      <c r="V1863" t="s">
        <v>37</v>
      </c>
    </row>
    <row r="1864" spans="1:22">
      <c r="A1864" t="str">
        <f t="shared" si="354"/>
        <v>12/03/2026</v>
      </c>
      <c r="B1864" t="str">
        <f t="shared" si="357"/>
        <v>SAÍDA</v>
      </c>
      <c r="C1864" t="str">
        <f t="shared" si="358"/>
        <v>PIX</v>
      </c>
      <c r="D1864" t="str">
        <f>"34297"</f>
        <v>34297</v>
      </c>
      <c r="E1864" t="str">
        <f t="shared" si="355"/>
        <v>1</v>
      </c>
      <c r="F1864" t="str">
        <f t="shared" si="360"/>
        <v>COM</v>
      </c>
      <c r="G1864" t="str">
        <f>"JOSÉ HENRIQUE RODRIGUES (430)"</f>
        <v>JOSÉ HENRIQUE RODRIGUES (430)</v>
      </c>
      <c r="H1864" t="str">
        <f>"Serv.Prest. 02/03/2026 a 08/03/2026 - PIX: CPF - CHAVE: 100.826.516-04"</f>
        <v>Serv.Prest. 02/03/2026 a 08/03/2026 - PIX: CPF - CHAVE: 100.826.516-04</v>
      </c>
      <c r="I1864" t="str">
        <f t="shared" si="359"/>
        <v>12/03/2026</v>
      </c>
      <c r="J1864" t="str">
        <f t="shared" si="361"/>
        <v>09/03/2026</v>
      </c>
      <c r="K1864" t="str">
        <f>("12/03/2026")</f>
        <v>12/03/2026</v>
      </c>
      <c r="L1864">
        <v>436</v>
      </c>
      <c r="M1864">
        <v>436</v>
      </c>
      <c r="N1864">
        <v>109</v>
      </c>
      <c r="O1864" t="str">
        <f>"PAGAMENTO DE ENTREGADORES"</f>
        <v>PAGAMENTO DE ENTREGADORES</v>
      </c>
      <c r="P1864">
        <v>436</v>
      </c>
      <c r="S1864" t="str">
        <f>"BANCO C6 (149)"</f>
        <v>BANCO C6 (149)</v>
      </c>
      <c r="T1864">
        <v>30989</v>
      </c>
      <c r="U1864">
        <v>34297</v>
      </c>
      <c r="V1864" t="s">
        <v>37</v>
      </c>
    </row>
    <row r="1865" spans="1:22">
      <c r="A1865" t="str">
        <f t="shared" ref="A1865:A1928" si="362">("12/03/2026")</f>
        <v>12/03/2026</v>
      </c>
      <c r="B1865" t="str">
        <f t="shared" si="357"/>
        <v>SAÍDA</v>
      </c>
      <c r="C1865" t="str">
        <f t="shared" si="358"/>
        <v>PIX</v>
      </c>
      <c r="D1865" t="str">
        <f>"34297"</f>
        <v>34297</v>
      </c>
      <c r="E1865" t="str">
        <f t="shared" ref="E1865:E1928" si="363">"1"</f>
        <v>1</v>
      </c>
      <c r="F1865" t="str">
        <f t="shared" si="360"/>
        <v>COM</v>
      </c>
      <c r="G1865" t="str">
        <f>"JOSÉ HENRIQUE RODRIGUES (430)"</f>
        <v>JOSÉ HENRIQUE RODRIGUES (430)</v>
      </c>
      <c r="H1865" t="s">
        <v>551</v>
      </c>
      <c r="I1865" t="str">
        <f t="shared" si="359"/>
        <v>12/03/2026</v>
      </c>
      <c r="J1865" t="str">
        <f t="shared" si="361"/>
        <v>09/03/2026</v>
      </c>
      <c r="K1865">
        <v>46093</v>
      </c>
      <c r="N1865">
        <v>109</v>
      </c>
      <c r="O1865" t="s">
        <v>27</v>
      </c>
      <c r="Q1865">
        <v>436</v>
      </c>
      <c r="R1865" t="str">
        <f>"ULTRA POPULAR  UBA 2 (10214)"</f>
        <v>ULTRA POPULAR  UBA 2 (10214)</v>
      </c>
      <c r="S1865" t="s">
        <v>37</v>
      </c>
      <c r="T1865">
        <v>30989</v>
      </c>
      <c r="U1865">
        <v>34297</v>
      </c>
      <c r="V1865" t="s">
        <v>37</v>
      </c>
    </row>
    <row r="1866" spans="1:22">
      <c r="A1866" t="str">
        <f t="shared" si="362"/>
        <v>12/03/2026</v>
      </c>
      <c r="B1866" t="str">
        <f t="shared" si="357"/>
        <v>SAÍDA</v>
      </c>
      <c r="C1866" t="str">
        <f t="shared" si="358"/>
        <v>PIX</v>
      </c>
      <c r="D1866" t="str">
        <f>"34298"</f>
        <v>34298</v>
      </c>
      <c r="E1866" t="str">
        <f t="shared" si="363"/>
        <v>1</v>
      </c>
      <c r="F1866" t="str">
        <f t="shared" si="360"/>
        <v>COM</v>
      </c>
      <c r="G1866" t="str">
        <f>"TALES SILVA MARIANO (431)"</f>
        <v>TALES SILVA MARIANO (431)</v>
      </c>
      <c r="H1866" t="str">
        <f>"Serv.Prest. 02/03/2026 a 08/03/2026 - PIX: CNPJ - CHAVE: 64.735.042/0001-53"</f>
        <v>Serv.Prest. 02/03/2026 a 08/03/2026 - PIX: CNPJ - CHAVE: 64.735.042/0001-53</v>
      </c>
      <c r="I1866" t="str">
        <f t="shared" si="359"/>
        <v>12/03/2026</v>
      </c>
      <c r="J1866" t="str">
        <f t="shared" si="361"/>
        <v>09/03/2026</v>
      </c>
      <c r="K1866" t="str">
        <f>("12/03/2026")</f>
        <v>12/03/2026</v>
      </c>
      <c r="L1866">
        <v>328</v>
      </c>
      <c r="M1866">
        <v>328</v>
      </c>
      <c r="N1866">
        <v>109</v>
      </c>
      <c r="O1866" t="str">
        <f>"PAGAMENTO DE ENTREGADORES"</f>
        <v>PAGAMENTO DE ENTREGADORES</v>
      </c>
      <c r="P1866">
        <v>328</v>
      </c>
      <c r="S1866" t="str">
        <f>"BANCO C6 (149)"</f>
        <v>BANCO C6 (149)</v>
      </c>
      <c r="T1866">
        <v>30990</v>
      </c>
      <c r="U1866">
        <v>34298</v>
      </c>
      <c r="V1866" t="s">
        <v>37</v>
      </c>
    </row>
    <row r="1867" spans="1:22">
      <c r="A1867" t="str">
        <f t="shared" si="362"/>
        <v>12/03/2026</v>
      </c>
      <c r="B1867" t="str">
        <f t="shared" si="357"/>
        <v>SAÍDA</v>
      </c>
      <c r="C1867" t="str">
        <f t="shared" si="358"/>
        <v>PIX</v>
      </c>
      <c r="D1867" t="str">
        <f>"34298"</f>
        <v>34298</v>
      </c>
      <c r="E1867" t="str">
        <f t="shared" si="363"/>
        <v>1</v>
      </c>
      <c r="F1867" t="str">
        <f t="shared" si="360"/>
        <v>COM</v>
      </c>
      <c r="G1867" t="str">
        <f>"TALES SILVA MARIANO (431)"</f>
        <v>TALES SILVA MARIANO (431)</v>
      </c>
      <c r="H1867" t="s">
        <v>548</v>
      </c>
      <c r="I1867" t="str">
        <f t="shared" si="359"/>
        <v>12/03/2026</v>
      </c>
      <c r="J1867" t="str">
        <f t="shared" si="361"/>
        <v>09/03/2026</v>
      </c>
      <c r="K1867">
        <v>46093</v>
      </c>
      <c r="N1867">
        <v>109</v>
      </c>
      <c r="O1867" t="s">
        <v>27</v>
      </c>
      <c r="Q1867">
        <v>328</v>
      </c>
      <c r="R1867" t="str">
        <f>"ULTRA POPULAR  UBA 2 (10214)"</f>
        <v>ULTRA POPULAR  UBA 2 (10214)</v>
      </c>
      <c r="S1867" t="s">
        <v>37</v>
      </c>
      <c r="T1867">
        <v>30990</v>
      </c>
      <c r="U1867">
        <v>34298</v>
      </c>
      <c r="V1867" t="s">
        <v>37</v>
      </c>
    </row>
    <row r="1868" spans="1:22">
      <c r="A1868" t="str">
        <f t="shared" si="362"/>
        <v>12/03/2026</v>
      </c>
      <c r="B1868" t="str">
        <f t="shared" si="357"/>
        <v>SAÍDA</v>
      </c>
      <c r="C1868" t="str">
        <f t="shared" si="358"/>
        <v>PIX</v>
      </c>
      <c r="D1868" t="str">
        <f>"34301"</f>
        <v>34301</v>
      </c>
      <c r="E1868" t="str">
        <f t="shared" si="363"/>
        <v>1</v>
      </c>
      <c r="F1868" t="str">
        <f t="shared" si="360"/>
        <v>COM</v>
      </c>
      <c r="G1868" t="str">
        <f>"SAMUEL SOARES DA SILVA (867)"</f>
        <v>SAMUEL SOARES DA SILVA (867)</v>
      </c>
      <c r="H1868" t="str">
        <f>"Serv.Prest. 02/03/2026 a 08/03/2026 - PIX: CPF - CHAVE: 396.124.108-28"</f>
        <v>Serv.Prest. 02/03/2026 a 08/03/2026 - PIX: CPF - CHAVE: 396.124.108-28</v>
      </c>
      <c r="I1868" t="str">
        <f t="shared" si="359"/>
        <v>12/03/2026</v>
      </c>
      <c r="J1868" t="str">
        <f t="shared" si="361"/>
        <v>09/03/2026</v>
      </c>
      <c r="K1868" t="str">
        <f>("12/03/2026")</f>
        <v>12/03/2026</v>
      </c>
      <c r="L1868">
        <v>1380</v>
      </c>
      <c r="M1868">
        <v>1380</v>
      </c>
      <c r="N1868">
        <v>109</v>
      </c>
      <c r="O1868" t="str">
        <f>"PAGAMENTO DE ENTREGADORES"</f>
        <v>PAGAMENTO DE ENTREGADORES</v>
      </c>
      <c r="P1868">
        <v>1380</v>
      </c>
      <c r="S1868" t="str">
        <f>"BANCO C6 (149)"</f>
        <v>BANCO C6 (149)</v>
      </c>
      <c r="T1868">
        <v>30991</v>
      </c>
      <c r="U1868">
        <v>34301</v>
      </c>
      <c r="V1868" t="s">
        <v>37</v>
      </c>
    </row>
    <row r="1869" spans="1:22">
      <c r="A1869" t="str">
        <f t="shared" si="362"/>
        <v>12/03/2026</v>
      </c>
      <c r="B1869" t="str">
        <f t="shared" si="357"/>
        <v>SAÍDA</v>
      </c>
      <c r="C1869" t="str">
        <f t="shared" si="358"/>
        <v>PIX</v>
      </c>
      <c r="D1869" t="str">
        <f>"34301"</f>
        <v>34301</v>
      </c>
      <c r="E1869" t="str">
        <f t="shared" si="363"/>
        <v>1</v>
      </c>
      <c r="F1869" t="str">
        <f t="shared" si="360"/>
        <v>COM</v>
      </c>
      <c r="G1869" t="str">
        <f>"SAMUEL SOARES DA SILVA (867)"</f>
        <v>SAMUEL SOARES DA SILVA (867)</v>
      </c>
      <c r="H1869" t="s">
        <v>454</v>
      </c>
      <c r="I1869" t="str">
        <f t="shared" si="359"/>
        <v>12/03/2026</v>
      </c>
      <c r="J1869" t="str">
        <f t="shared" si="361"/>
        <v>09/03/2026</v>
      </c>
      <c r="K1869">
        <v>46093</v>
      </c>
      <c r="N1869">
        <v>109</v>
      </c>
      <c r="O1869" t="s">
        <v>27</v>
      </c>
      <c r="Q1869">
        <v>1380</v>
      </c>
      <c r="R1869" t="str">
        <f>"DROGA ELIDA (10121)"</f>
        <v>DROGA ELIDA (10121)</v>
      </c>
      <c r="S1869" t="s">
        <v>37</v>
      </c>
      <c r="T1869">
        <v>30991</v>
      </c>
      <c r="U1869">
        <v>34301</v>
      </c>
      <c r="V1869" t="s">
        <v>37</v>
      </c>
    </row>
    <row r="1870" spans="1:22">
      <c r="A1870" t="str">
        <f t="shared" si="362"/>
        <v>12/03/2026</v>
      </c>
      <c r="B1870" t="str">
        <f t="shared" si="357"/>
        <v>SAÍDA</v>
      </c>
      <c r="C1870" t="str">
        <f t="shared" si="358"/>
        <v>PIX</v>
      </c>
      <c r="D1870" t="str">
        <f>"34303"</f>
        <v>34303</v>
      </c>
      <c r="E1870" t="str">
        <f t="shared" si="363"/>
        <v>1</v>
      </c>
      <c r="F1870" t="str">
        <f t="shared" si="360"/>
        <v>COM</v>
      </c>
      <c r="G1870" t="str">
        <f>"BRENO HENRIQUE DE SOUSA (596)"</f>
        <v>BRENO HENRIQUE DE SOUSA (596)</v>
      </c>
      <c r="H1870" t="str">
        <f>"Serv.Prest. 02/03/2026 a 08/03/2026 - PIX: CELULAR - CHAVE: (37) 99146-2630"</f>
        <v>Serv.Prest. 02/03/2026 a 08/03/2026 - PIX: CELULAR - CHAVE: (37) 99146-2630</v>
      </c>
      <c r="I1870" t="str">
        <f t="shared" si="359"/>
        <v>12/03/2026</v>
      </c>
      <c r="J1870" t="str">
        <f t="shared" si="361"/>
        <v>09/03/2026</v>
      </c>
      <c r="K1870" t="str">
        <f>("12/03/2026")</f>
        <v>12/03/2026</v>
      </c>
      <c r="L1870">
        <v>1060</v>
      </c>
      <c r="M1870">
        <v>1060</v>
      </c>
      <c r="N1870">
        <v>109</v>
      </c>
      <c r="O1870" t="str">
        <f>"PAGAMENTO DE ENTREGADORES"</f>
        <v>PAGAMENTO DE ENTREGADORES</v>
      </c>
      <c r="P1870">
        <v>1060</v>
      </c>
      <c r="S1870" t="str">
        <f>"BANCO C6 (149)"</f>
        <v>BANCO C6 (149)</v>
      </c>
      <c r="T1870">
        <v>30992</v>
      </c>
      <c r="U1870">
        <v>34303</v>
      </c>
      <c r="V1870" t="s">
        <v>37</v>
      </c>
    </row>
    <row r="1871" spans="1:22">
      <c r="A1871" t="str">
        <f t="shared" si="362"/>
        <v>12/03/2026</v>
      </c>
      <c r="B1871" t="str">
        <f t="shared" si="357"/>
        <v>SAÍDA</v>
      </c>
      <c r="C1871" t="str">
        <f t="shared" si="358"/>
        <v>PIX</v>
      </c>
      <c r="D1871" t="str">
        <f>"34303"</f>
        <v>34303</v>
      </c>
      <c r="E1871" t="str">
        <f t="shared" si="363"/>
        <v>1</v>
      </c>
      <c r="F1871" t="str">
        <f t="shared" si="360"/>
        <v>COM</v>
      </c>
      <c r="G1871" t="str">
        <f>"BRENO HENRIQUE DE SOUSA (596)"</f>
        <v>BRENO HENRIQUE DE SOUSA (596)</v>
      </c>
      <c r="H1871" t="s">
        <v>534</v>
      </c>
      <c r="I1871" t="str">
        <f t="shared" si="359"/>
        <v>12/03/2026</v>
      </c>
      <c r="J1871" t="str">
        <f t="shared" si="361"/>
        <v>09/03/2026</v>
      </c>
      <c r="K1871">
        <v>46093</v>
      </c>
      <c r="N1871">
        <v>109</v>
      </c>
      <c r="O1871" t="s">
        <v>27</v>
      </c>
      <c r="Q1871">
        <v>1060</v>
      </c>
      <c r="R1871" t="str">
        <f>"DROGARIA POUPA MINAS (ULTRAMINAS) 1 (10181)"</f>
        <v>DROGARIA POUPA MINAS (ULTRAMINAS) 1 (10181)</v>
      </c>
      <c r="S1871" t="s">
        <v>37</v>
      </c>
      <c r="T1871">
        <v>30992</v>
      </c>
      <c r="U1871">
        <v>34303</v>
      </c>
      <c r="V1871" t="s">
        <v>37</v>
      </c>
    </row>
    <row r="1872" spans="1:22">
      <c r="A1872" t="str">
        <f t="shared" si="362"/>
        <v>12/03/2026</v>
      </c>
      <c r="B1872" t="str">
        <f t="shared" si="357"/>
        <v>SAÍDA</v>
      </c>
      <c r="C1872" t="str">
        <f t="shared" si="358"/>
        <v>PIX</v>
      </c>
      <c r="D1872" t="str">
        <f>"34304"</f>
        <v>34304</v>
      </c>
      <c r="E1872" t="str">
        <f t="shared" si="363"/>
        <v>1</v>
      </c>
      <c r="F1872" t="str">
        <f t="shared" si="360"/>
        <v>COM</v>
      </c>
      <c r="G1872" t="str">
        <f>"JHONATA SOUSA UCHOA (464)"</f>
        <v>JHONATA SOUSA UCHOA (464)</v>
      </c>
      <c r="H1872" t="str">
        <f>"Serv.Prest. 02/03/2026 a 08/03/2026 - PIX: CPF - CHAVE: 020.590.606-05"</f>
        <v>Serv.Prest. 02/03/2026 a 08/03/2026 - PIX: CPF - CHAVE: 020.590.606-05</v>
      </c>
      <c r="I1872" t="str">
        <f t="shared" si="359"/>
        <v>12/03/2026</v>
      </c>
      <c r="J1872" t="str">
        <f t="shared" si="361"/>
        <v>09/03/2026</v>
      </c>
      <c r="K1872" t="str">
        <f>("12/03/2026")</f>
        <v>12/03/2026</v>
      </c>
      <c r="L1872">
        <v>1500</v>
      </c>
      <c r="M1872">
        <v>1500</v>
      </c>
      <c r="N1872">
        <v>109</v>
      </c>
      <c r="O1872" t="str">
        <f>"PAGAMENTO DE ENTREGADORES"</f>
        <v>PAGAMENTO DE ENTREGADORES</v>
      </c>
      <c r="P1872">
        <v>1500</v>
      </c>
      <c r="S1872" t="str">
        <f>"BANCO C6 (149)"</f>
        <v>BANCO C6 (149)</v>
      </c>
      <c r="T1872">
        <v>30993</v>
      </c>
      <c r="U1872">
        <v>34304</v>
      </c>
      <c r="V1872" t="s">
        <v>37</v>
      </c>
    </row>
    <row r="1873" spans="1:22">
      <c r="A1873" t="str">
        <f t="shared" si="362"/>
        <v>12/03/2026</v>
      </c>
      <c r="B1873" t="str">
        <f t="shared" si="357"/>
        <v>SAÍDA</v>
      </c>
      <c r="C1873" t="str">
        <f t="shared" si="358"/>
        <v>PIX</v>
      </c>
      <c r="D1873" t="str">
        <f>"34304"</f>
        <v>34304</v>
      </c>
      <c r="E1873" t="str">
        <f t="shared" si="363"/>
        <v>1</v>
      </c>
      <c r="F1873" t="str">
        <f t="shared" si="360"/>
        <v>COM</v>
      </c>
      <c r="G1873" t="str">
        <f>"JHONATA SOUSA UCHOA (464)"</f>
        <v>JHONATA SOUSA UCHOA (464)</v>
      </c>
      <c r="H1873" t="s">
        <v>631</v>
      </c>
      <c r="I1873" t="str">
        <f t="shared" si="359"/>
        <v>12/03/2026</v>
      </c>
      <c r="J1873" t="str">
        <f t="shared" si="361"/>
        <v>09/03/2026</v>
      </c>
      <c r="K1873">
        <v>46093</v>
      </c>
      <c r="N1873">
        <v>109</v>
      </c>
      <c r="O1873" t="s">
        <v>27</v>
      </c>
      <c r="Q1873">
        <v>1500</v>
      </c>
      <c r="R1873" t="str">
        <f>"DROGARIA POUPA MINAS (ULTRAMINAS) 1 (10181)"</f>
        <v>DROGARIA POUPA MINAS (ULTRAMINAS) 1 (10181)</v>
      </c>
      <c r="S1873" t="s">
        <v>37</v>
      </c>
      <c r="T1873">
        <v>30993</v>
      </c>
      <c r="U1873">
        <v>34304</v>
      </c>
      <c r="V1873" t="s">
        <v>37</v>
      </c>
    </row>
    <row r="1874" spans="1:22">
      <c r="A1874" t="str">
        <f t="shared" si="362"/>
        <v>12/03/2026</v>
      </c>
      <c r="B1874" t="str">
        <f t="shared" si="357"/>
        <v>SAÍDA</v>
      </c>
      <c r="C1874" t="str">
        <f t="shared" si="358"/>
        <v>PIX</v>
      </c>
      <c r="D1874" t="str">
        <f>"34305"</f>
        <v>34305</v>
      </c>
      <c r="E1874" t="str">
        <f t="shared" si="363"/>
        <v>1</v>
      </c>
      <c r="F1874" t="str">
        <f t="shared" si="360"/>
        <v>COM</v>
      </c>
      <c r="G1874" t="str">
        <f>"LUIZ PAULO DE OLIVEIRA (712)"</f>
        <v>LUIZ PAULO DE OLIVEIRA (712)</v>
      </c>
      <c r="H1874" t="str">
        <f>"Serv.Prest. 02/03/2026 a 08/03/2026 - PIX: E-MAIL - CHAVE: karinasilvaaparecida1286@gmail.com"</f>
        <v>Serv.Prest. 02/03/2026 a 08/03/2026 - PIX: E-MAIL - CHAVE: karinasilvaaparecida1286@gmail.com</v>
      </c>
      <c r="I1874" t="str">
        <f t="shared" si="359"/>
        <v>12/03/2026</v>
      </c>
      <c r="J1874" t="str">
        <f t="shared" si="361"/>
        <v>09/03/2026</v>
      </c>
      <c r="K1874" t="str">
        <f>("12/03/2026")</f>
        <v>12/03/2026</v>
      </c>
      <c r="L1874">
        <v>1080</v>
      </c>
      <c r="M1874">
        <v>1080</v>
      </c>
      <c r="N1874">
        <v>109</v>
      </c>
      <c r="O1874" t="str">
        <f>"PAGAMENTO DE ENTREGADORES"</f>
        <v>PAGAMENTO DE ENTREGADORES</v>
      </c>
      <c r="P1874">
        <v>1080</v>
      </c>
      <c r="S1874" t="str">
        <f>"BANCO C6 (149)"</f>
        <v>BANCO C6 (149)</v>
      </c>
      <c r="T1874">
        <v>30994</v>
      </c>
      <c r="U1874">
        <v>34305</v>
      </c>
      <c r="V1874" t="s">
        <v>37</v>
      </c>
    </row>
    <row r="1875" spans="1:22">
      <c r="A1875" t="str">
        <f t="shared" si="362"/>
        <v>12/03/2026</v>
      </c>
      <c r="B1875" t="str">
        <f t="shared" si="357"/>
        <v>SAÍDA</v>
      </c>
      <c r="C1875" t="str">
        <f t="shared" si="358"/>
        <v>PIX</v>
      </c>
      <c r="D1875" t="str">
        <f>"34305"</f>
        <v>34305</v>
      </c>
      <c r="E1875" t="str">
        <f t="shared" si="363"/>
        <v>1</v>
      </c>
      <c r="F1875" t="str">
        <f t="shared" si="360"/>
        <v>COM</v>
      </c>
      <c r="G1875" t="str">
        <f>"LUIZ PAULO DE OLIVEIRA (712)"</f>
        <v>LUIZ PAULO DE OLIVEIRA (712)</v>
      </c>
      <c r="H1875" t="s">
        <v>632</v>
      </c>
      <c r="I1875" t="str">
        <f t="shared" si="359"/>
        <v>12/03/2026</v>
      </c>
      <c r="J1875" t="str">
        <f t="shared" si="361"/>
        <v>09/03/2026</v>
      </c>
      <c r="K1875">
        <v>46093</v>
      </c>
      <c r="N1875">
        <v>109</v>
      </c>
      <c r="O1875" t="s">
        <v>27</v>
      </c>
      <c r="Q1875">
        <v>1080</v>
      </c>
      <c r="R1875" t="str">
        <f>"DROGARIA POUPA MINAS (ULTRAMINAS) 1 (10181)"</f>
        <v>DROGARIA POUPA MINAS (ULTRAMINAS) 1 (10181)</v>
      </c>
      <c r="S1875" t="s">
        <v>37</v>
      </c>
      <c r="T1875">
        <v>30994</v>
      </c>
      <c r="U1875">
        <v>34305</v>
      </c>
      <c r="V1875" t="s">
        <v>37</v>
      </c>
    </row>
    <row r="1876" spans="1:22">
      <c r="A1876" t="str">
        <f t="shared" si="362"/>
        <v>12/03/2026</v>
      </c>
      <c r="B1876" t="str">
        <f t="shared" si="357"/>
        <v>SAÍDA</v>
      </c>
      <c r="C1876" t="str">
        <f t="shared" si="358"/>
        <v>PIX</v>
      </c>
      <c r="D1876" t="str">
        <f>"34306"</f>
        <v>34306</v>
      </c>
      <c r="E1876" t="str">
        <f t="shared" si="363"/>
        <v>1</v>
      </c>
      <c r="F1876" t="str">
        <f t="shared" si="360"/>
        <v>COM</v>
      </c>
      <c r="G1876" t="str">
        <f>"RICHARD HENRIQUE DA SILVA (244)"</f>
        <v>RICHARD HENRIQUE DA SILVA (244)</v>
      </c>
      <c r="H1876" t="str">
        <f>"Serv.Prest. 02/03/2026 a 08/03/2026 - PIX: CELULAR - CHAVE: (37) 99197-6834"</f>
        <v>Serv.Prest. 02/03/2026 a 08/03/2026 - PIX: CELULAR - CHAVE: (37) 99197-6834</v>
      </c>
      <c r="I1876" t="str">
        <f t="shared" si="359"/>
        <v>12/03/2026</v>
      </c>
      <c r="J1876" t="str">
        <f t="shared" si="361"/>
        <v>09/03/2026</v>
      </c>
      <c r="K1876" t="str">
        <f>("12/03/2026")</f>
        <v>12/03/2026</v>
      </c>
      <c r="L1876">
        <v>900</v>
      </c>
      <c r="M1876">
        <v>900</v>
      </c>
      <c r="N1876">
        <v>109</v>
      </c>
      <c r="O1876" t="str">
        <f>"PAGAMENTO DE ENTREGADORES"</f>
        <v>PAGAMENTO DE ENTREGADORES</v>
      </c>
      <c r="P1876">
        <v>900</v>
      </c>
      <c r="S1876" t="str">
        <f>"BANCO C6 (149)"</f>
        <v>BANCO C6 (149)</v>
      </c>
      <c r="T1876">
        <v>30995</v>
      </c>
      <c r="U1876">
        <v>34306</v>
      </c>
      <c r="V1876" t="s">
        <v>37</v>
      </c>
    </row>
    <row r="1877" spans="1:22">
      <c r="A1877" t="str">
        <f t="shared" si="362"/>
        <v>12/03/2026</v>
      </c>
      <c r="B1877" t="str">
        <f t="shared" si="357"/>
        <v>SAÍDA</v>
      </c>
      <c r="C1877" t="str">
        <f t="shared" si="358"/>
        <v>PIX</v>
      </c>
      <c r="D1877" t="str">
        <f>"34306"</f>
        <v>34306</v>
      </c>
      <c r="E1877" t="str">
        <f t="shared" si="363"/>
        <v>1</v>
      </c>
      <c r="F1877" t="str">
        <f t="shared" si="360"/>
        <v>COM</v>
      </c>
      <c r="G1877" t="str">
        <f>"RICHARD HENRIQUE DA SILVA (244)"</f>
        <v>RICHARD HENRIQUE DA SILVA (244)</v>
      </c>
      <c r="H1877" t="s">
        <v>633</v>
      </c>
      <c r="I1877" t="str">
        <f t="shared" si="359"/>
        <v>12/03/2026</v>
      </c>
      <c r="J1877" t="str">
        <f t="shared" si="361"/>
        <v>09/03/2026</v>
      </c>
      <c r="K1877">
        <v>46093</v>
      </c>
      <c r="N1877">
        <v>109</v>
      </c>
      <c r="O1877" t="s">
        <v>27</v>
      </c>
      <c r="Q1877">
        <v>900</v>
      </c>
      <c r="R1877" t="str">
        <f>"DROGARIA POUPA MINAS (ULTRAMINAS) 1 (10181)"</f>
        <v>DROGARIA POUPA MINAS (ULTRAMINAS) 1 (10181)</v>
      </c>
      <c r="S1877" t="s">
        <v>37</v>
      </c>
      <c r="T1877">
        <v>30995</v>
      </c>
      <c r="U1877">
        <v>34306</v>
      </c>
      <c r="V1877" t="s">
        <v>37</v>
      </c>
    </row>
    <row r="1878" spans="1:22">
      <c r="A1878" t="str">
        <f t="shared" si="362"/>
        <v>12/03/2026</v>
      </c>
      <c r="B1878" t="str">
        <f t="shared" si="357"/>
        <v>SAÍDA</v>
      </c>
      <c r="C1878" t="str">
        <f t="shared" si="358"/>
        <v>PIX</v>
      </c>
      <c r="D1878" t="str">
        <f>"34307"</f>
        <v>34307</v>
      </c>
      <c r="E1878" t="str">
        <f t="shared" si="363"/>
        <v>1</v>
      </c>
      <c r="F1878" t="str">
        <f t="shared" si="360"/>
        <v>COM</v>
      </c>
      <c r="G1878" t="str">
        <f>"THALES VINÍCIUS RODRIGUES DE OLIVEIRA (704)"</f>
        <v>THALES VINÍCIUS RODRIGUES DE OLIVEIRA (704)</v>
      </c>
      <c r="H1878" t="str">
        <f>"Serv.Prest. 02/03/2026 a 08/03/2026 - PIX: CELULAR - CHAVE: (37) 99138-1777"</f>
        <v>Serv.Prest. 02/03/2026 a 08/03/2026 - PIX: CELULAR - CHAVE: (37) 99138-1777</v>
      </c>
      <c r="I1878" t="str">
        <f t="shared" si="359"/>
        <v>12/03/2026</v>
      </c>
      <c r="J1878" t="str">
        <f t="shared" si="361"/>
        <v>09/03/2026</v>
      </c>
      <c r="K1878" t="str">
        <f>("12/03/2026")</f>
        <v>12/03/2026</v>
      </c>
      <c r="L1878">
        <v>694</v>
      </c>
      <c r="M1878">
        <v>694</v>
      </c>
      <c r="N1878">
        <v>109</v>
      </c>
      <c r="O1878" t="str">
        <f>"PAGAMENTO DE ENTREGADORES"</f>
        <v>PAGAMENTO DE ENTREGADORES</v>
      </c>
      <c r="P1878">
        <v>694</v>
      </c>
      <c r="S1878" t="str">
        <f>"BANCO C6 (149)"</f>
        <v>BANCO C6 (149)</v>
      </c>
      <c r="T1878">
        <v>30996</v>
      </c>
      <c r="U1878">
        <v>34307</v>
      </c>
      <c r="V1878" t="s">
        <v>37</v>
      </c>
    </row>
    <row r="1879" spans="1:22">
      <c r="A1879" t="str">
        <f t="shared" si="362"/>
        <v>12/03/2026</v>
      </c>
      <c r="B1879" t="str">
        <f t="shared" si="357"/>
        <v>SAÍDA</v>
      </c>
      <c r="C1879" t="str">
        <f t="shared" si="358"/>
        <v>PIX</v>
      </c>
      <c r="D1879" t="str">
        <f>"34307"</f>
        <v>34307</v>
      </c>
      <c r="E1879" t="str">
        <f t="shared" si="363"/>
        <v>1</v>
      </c>
      <c r="F1879" t="str">
        <f t="shared" si="360"/>
        <v>COM</v>
      </c>
      <c r="G1879" t="str">
        <f>"THALES VINÍCIUS RODRIGUES DE OLIVEIRA (704)"</f>
        <v>THALES VINÍCIUS RODRIGUES DE OLIVEIRA (704)</v>
      </c>
      <c r="H1879" t="s">
        <v>455</v>
      </c>
      <c r="I1879" t="str">
        <f t="shared" si="359"/>
        <v>12/03/2026</v>
      </c>
      <c r="J1879" t="str">
        <f t="shared" si="361"/>
        <v>09/03/2026</v>
      </c>
      <c r="K1879">
        <v>46093</v>
      </c>
      <c r="N1879">
        <v>109</v>
      </c>
      <c r="O1879" t="s">
        <v>27</v>
      </c>
      <c r="Q1879">
        <v>694</v>
      </c>
      <c r="R1879" t="str">
        <f>"DROGARIA POUPA MINAS (ULTRAMINAS) 1 (10181)"</f>
        <v>DROGARIA POUPA MINAS (ULTRAMINAS) 1 (10181)</v>
      </c>
      <c r="S1879" t="s">
        <v>37</v>
      </c>
      <c r="T1879">
        <v>30996</v>
      </c>
      <c r="U1879">
        <v>34307</v>
      </c>
      <c r="V1879" t="s">
        <v>37</v>
      </c>
    </row>
    <row r="1880" spans="1:22">
      <c r="A1880" t="str">
        <f t="shared" si="362"/>
        <v>12/03/2026</v>
      </c>
      <c r="B1880" t="str">
        <f t="shared" si="357"/>
        <v>SAÍDA</v>
      </c>
      <c r="C1880" t="str">
        <f t="shared" si="358"/>
        <v>PIX</v>
      </c>
      <c r="D1880" t="str">
        <f>"34308"</f>
        <v>34308</v>
      </c>
      <c r="E1880" t="str">
        <f t="shared" si="363"/>
        <v>1</v>
      </c>
      <c r="F1880" t="str">
        <f t="shared" si="360"/>
        <v>COM</v>
      </c>
      <c r="G1880" t="str">
        <f>"TIAGO VIEIRA (372)"</f>
        <v>TIAGO VIEIRA (372)</v>
      </c>
      <c r="H1880" t="str">
        <f>"Serv.Prest. 02/03/2026 a 08/03/2026 - PIX: CELULAR - CHAVE: (37) 98841-8571"</f>
        <v>Serv.Prest. 02/03/2026 a 08/03/2026 - PIX: CELULAR - CHAVE: (37) 98841-8571</v>
      </c>
      <c r="I1880" t="str">
        <f t="shared" si="359"/>
        <v>12/03/2026</v>
      </c>
      <c r="J1880" t="str">
        <f t="shared" si="361"/>
        <v>09/03/2026</v>
      </c>
      <c r="K1880" t="str">
        <f>("12/03/2026")</f>
        <v>12/03/2026</v>
      </c>
      <c r="L1880">
        <v>774</v>
      </c>
      <c r="M1880">
        <v>774</v>
      </c>
      <c r="N1880">
        <v>109</v>
      </c>
      <c r="O1880" t="str">
        <f>"PAGAMENTO DE ENTREGADORES"</f>
        <v>PAGAMENTO DE ENTREGADORES</v>
      </c>
      <c r="P1880">
        <v>774</v>
      </c>
      <c r="S1880" t="str">
        <f>"BANCO C6 (149)"</f>
        <v>BANCO C6 (149)</v>
      </c>
      <c r="T1880">
        <v>30997</v>
      </c>
      <c r="U1880">
        <v>34308</v>
      </c>
      <c r="V1880" t="s">
        <v>37</v>
      </c>
    </row>
    <row r="1881" spans="1:22">
      <c r="A1881" t="str">
        <f t="shared" si="362"/>
        <v>12/03/2026</v>
      </c>
      <c r="B1881" t="str">
        <f t="shared" si="357"/>
        <v>SAÍDA</v>
      </c>
      <c r="C1881" t="str">
        <f t="shared" si="358"/>
        <v>PIX</v>
      </c>
      <c r="D1881" t="str">
        <f>"34308"</f>
        <v>34308</v>
      </c>
      <c r="E1881" t="str">
        <f t="shared" si="363"/>
        <v>1</v>
      </c>
      <c r="F1881" t="str">
        <f t="shared" si="360"/>
        <v>COM</v>
      </c>
      <c r="G1881" t="str">
        <f>"TIAGO VIEIRA (372)"</f>
        <v>TIAGO VIEIRA (372)</v>
      </c>
      <c r="H1881" t="s">
        <v>634</v>
      </c>
      <c r="I1881" t="str">
        <f t="shared" si="359"/>
        <v>12/03/2026</v>
      </c>
      <c r="J1881" t="str">
        <f t="shared" si="361"/>
        <v>09/03/2026</v>
      </c>
      <c r="K1881">
        <v>46093</v>
      </c>
      <c r="N1881">
        <v>109</v>
      </c>
      <c r="O1881" t="s">
        <v>27</v>
      </c>
      <c r="Q1881">
        <v>774</v>
      </c>
      <c r="R1881" t="str">
        <f>"DROGARIA POUPA MINAS (ULTRAMINAS) 1 (10181)"</f>
        <v>DROGARIA POUPA MINAS (ULTRAMINAS) 1 (10181)</v>
      </c>
      <c r="S1881" t="s">
        <v>37</v>
      </c>
      <c r="T1881">
        <v>30997</v>
      </c>
      <c r="U1881">
        <v>34308</v>
      </c>
      <c r="V1881" t="s">
        <v>37</v>
      </c>
    </row>
    <row r="1882" spans="1:22">
      <c r="A1882" t="str">
        <f t="shared" si="362"/>
        <v>12/03/2026</v>
      </c>
      <c r="B1882" t="str">
        <f t="shared" si="357"/>
        <v>SAÍDA</v>
      </c>
      <c r="C1882" t="str">
        <f t="shared" si="358"/>
        <v>PIX</v>
      </c>
      <c r="D1882" t="str">
        <f>"34310"</f>
        <v>34310</v>
      </c>
      <c r="E1882" t="str">
        <f t="shared" si="363"/>
        <v>1</v>
      </c>
      <c r="F1882" t="str">
        <f t="shared" si="360"/>
        <v>COM</v>
      </c>
      <c r="G1882" t="str">
        <f>"DOUGLAS RODRIGUES DE FREITAS (1161)"</f>
        <v>DOUGLAS RODRIGUES DE FREITAS (1161)</v>
      </c>
      <c r="H1882" t="str">
        <f>"Serv.Prest. 02/03/2026 a 08/03/2026 - PIX: E-MAIL - CHAVE: doug6866@gmail.com"</f>
        <v>Serv.Prest. 02/03/2026 a 08/03/2026 - PIX: E-MAIL - CHAVE: doug6866@gmail.com</v>
      </c>
      <c r="I1882" t="str">
        <f t="shared" si="359"/>
        <v>12/03/2026</v>
      </c>
      <c r="J1882" t="str">
        <f t="shared" si="361"/>
        <v>09/03/2026</v>
      </c>
      <c r="K1882" t="str">
        <f>("12/03/2026")</f>
        <v>12/03/2026</v>
      </c>
      <c r="L1882">
        <v>1501</v>
      </c>
      <c r="M1882">
        <v>1505</v>
      </c>
      <c r="N1882">
        <v>109</v>
      </c>
      <c r="O1882" t="str">
        <f>"PAGAMENTO DE ENTREGADORES"</f>
        <v>PAGAMENTO DE ENTREGADORES</v>
      </c>
      <c r="P1882">
        <v>1505</v>
      </c>
      <c r="S1882" t="str">
        <f>"BANCO C6 (149)"</f>
        <v>BANCO C6 (149)</v>
      </c>
      <c r="T1882">
        <v>30998</v>
      </c>
      <c r="U1882">
        <v>34310</v>
      </c>
      <c r="V1882" t="s">
        <v>37</v>
      </c>
    </row>
    <row r="1883" spans="1:22">
      <c r="A1883" t="str">
        <f t="shared" si="362"/>
        <v>12/03/2026</v>
      </c>
      <c r="B1883" t="str">
        <f t="shared" si="357"/>
        <v>SAÍDA</v>
      </c>
      <c r="C1883" t="str">
        <f t="shared" si="358"/>
        <v>PIX</v>
      </c>
      <c r="D1883" t="str">
        <f>"34310"</f>
        <v>34310</v>
      </c>
      <c r="E1883" t="str">
        <f t="shared" si="363"/>
        <v>1</v>
      </c>
      <c r="F1883" t="str">
        <f t="shared" si="360"/>
        <v>COM</v>
      </c>
      <c r="G1883" t="str">
        <f>"DOUGLAS RODRIGUES DE FREITAS (1161)"</f>
        <v>DOUGLAS RODRIGUES DE FREITAS (1161)</v>
      </c>
      <c r="H1883" t="s">
        <v>635</v>
      </c>
      <c r="I1883" t="str">
        <f t="shared" si="359"/>
        <v>12/03/2026</v>
      </c>
      <c r="J1883" t="str">
        <f t="shared" si="361"/>
        <v>09/03/2026</v>
      </c>
      <c r="K1883">
        <v>46093</v>
      </c>
      <c r="N1883">
        <v>109</v>
      </c>
      <c r="O1883" t="s">
        <v>27</v>
      </c>
      <c r="Q1883">
        <v>1505</v>
      </c>
      <c r="R1883" t="str">
        <f>"DROGARIA MEDIC CENTER LTDA (10172)"</f>
        <v>DROGARIA MEDIC CENTER LTDA (10172)</v>
      </c>
      <c r="S1883" t="s">
        <v>37</v>
      </c>
      <c r="T1883">
        <v>30998</v>
      </c>
      <c r="U1883">
        <v>34310</v>
      </c>
      <c r="V1883" t="s">
        <v>37</v>
      </c>
    </row>
    <row r="1884" spans="1:22">
      <c r="A1884" t="str">
        <f t="shared" si="362"/>
        <v>12/03/2026</v>
      </c>
      <c r="B1884" t="str">
        <f t="shared" si="357"/>
        <v>SAÍDA</v>
      </c>
      <c r="C1884" t="str">
        <f t="shared" si="358"/>
        <v>PIX</v>
      </c>
      <c r="D1884" t="str">
        <f>"34313"</f>
        <v>34313</v>
      </c>
      <c r="E1884" t="str">
        <f t="shared" si="363"/>
        <v>1</v>
      </c>
      <c r="F1884" t="str">
        <f t="shared" si="360"/>
        <v>COM</v>
      </c>
      <c r="G1884" t="str">
        <f>"ISAEL SANTOS ROSA (642)"</f>
        <v>ISAEL SANTOS ROSA (642)</v>
      </c>
      <c r="H1884" t="str">
        <f>"Serv.Prest. 02/03/2026 a 08/03/2026 - PIX: CELULAR - CHAVE: (31) 99376-7989"</f>
        <v>Serv.Prest. 02/03/2026 a 08/03/2026 - PIX: CELULAR - CHAVE: (31) 99376-7989</v>
      </c>
      <c r="I1884" t="str">
        <f t="shared" si="359"/>
        <v>12/03/2026</v>
      </c>
      <c r="J1884" t="str">
        <f t="shared" si="361"/>
        <v>09/03/2026</v>
      </c>
      <c r="K1884" t="str">
        <f>("12/03/2026")</f>
        <v>12/03/2026</v>
      </c>
      <c r="L1884">
        <v>1380</v>
      </c>
      <c r="M1884">
        <v>1380</v>
      </c>
      <c r="N1884">
        <v>109</v>
      </c>
      <c r="O1884" t="str">
        <f>"PAGAMENTO DE ENTREGADORES"</f>
        <v>PAGAMENTO DE ENTREGADORES</v>
      </c>
      <c r="P1884">
        <v>1380</v>
      </c>
      <c r="S1884" t="str">
        <f>"BANCO C6 (149)"</f>
        <v>BANCO C6 (149)</v>
      </c>
      <c r="T1884">
        <v>30999</v>
      </c>
      <c r="U1884">
        <v>34313</v>
      </c>
      <c r="V1884" t="s">
        <v>37</v>
      </c>
    </row>
    <row r="1885" spans="1:22">
      <c r="A1885" t="str">
        <f t="shared" si="362"/>
        <v>12/03/2026</v>
      </c>
      <c r="B1885" t="str">
        <f t="shared" si="357"/>
        <v>SAÍDA</v>
      </c>
      <c r="C1885" t="str">
        <f t="shared" si="358"/>
        <v>PIX</v>
      </c>
      <c r="D1885" t="str">
        <f>"34313"</f>
        <v>34313</v>
      </c>
      <c r="E1885" t="str">
        <f t="shared" si="363"/>
        <v>1</v>
      </c>
      <c r="F1885" t="str">
        <f t="shared" si="360"/>
        <v>COM</v>
      </c>
      <c r="G1885" t="str">
        <f>"ISAEL SANTOS ROSA (642)"</f>
        <v>ISAEL SANTOS ROSA (642)</v>
      </c>
      <c r="H1885" t="s">
        <v>536</v>
      </c>
      <c r="I1885" t="str">
        <f t="shared" si="359"/>
        <v>12/03/2026</v>
      </c>
      <c r="J1885" t="str">
        <f t="shared" si="361"/>
        <v>09/03/2026</v>
      </c>
      <c r="K1885">
        <v>46093</v>
      </c>
      <c r="N1885">
        <v>109</v>
      </c>
      <c r="O1885" t="s">
        <v>27</v>
      </c>
      <c r="Q1885">
        <v>1380</v>
      </c>
      <c r="R1885" t="str">
        <f>"DROGARIA POUPA MINAS (ULTRAMINAS) 3 (10129)"</f>
        <v>DROGARIA POUPA MINAS (ULTRAMINAS) 3 (10129)</v>
      </c>
      <c r="S1885" t="s">
        <v>37</v>
      </c>
      <c r="T1885">
        <v>30999</v>
      </c>
      <c r="U1885">
        <v>34313</v>
      </c>
      <c r="V1885" t="s">
        <v>37</v>
      </c>
    </row>
    <row r="1886" spans="1:22">
      <c r="A1886" t="str">
        <f t="shared" si="362"/>
        <v>12/03/2026</v>
      </c>
      <c r="B1886" t="str">
        <f t="shared" si="357"/>
        <v>SAÍDA</v>
      </c>
      <c r="C1886" t="str">
        <f t="shared" si="358"/>
        <v>PIX</v>
      </c>
      <c r="D1886" t="str">
        <f>"34315"</f>
        <v>34315</v>
      </c>
      <c r="E1886" t="str">
        <f t="shared" si="363"/>
        <v>1</v>
      </c>
      <c r="F1886" t="str">
        <f t="shared" si="360"/>
        <v>COM</v>
      </c>
      <c r="G1886" t="str">
        <f>"ROBERTO RUELA DE OLIVEIRA (1082)"</f>
        <v>ROBERTO RUELA DE OLIVEIRA (1082)</v>
      </c>
      <c r="H1886" t="str">
        <f>"Serv.Prest. 02/03/2026 a 08/03/2026 - PIX: CPF - CHAVE: 568.250.486-00"</f>
        <v>Serv.Prest. 02/03/2026 a 08/03/2026 - PIX: CPF - CHAVE: 568.250.486-00</v>
      </c>
      <c r="I1886" t="str">
        <f t="shared" si="359"/>
        <v>12/03/2026</v>
      </c>
      <c r="J1886" t="str">
        <f t="shared" si="361"/>
        <v>09/03/2026</v>
      </c>
      <c r="K1886" t="str">
        <f>("12/03/2026")</f>
        <v>12/03/2026</v>
      </c>
      <c r="L1886">
        <v>1380</v>
      </c>
      <c r="M1886">
        <v>1380</v>
      </c>
      <c r="N1886">
        <v>109</v>
      </c>
      <c r="O1886" t="str">
        <f>"PAGAMENTO DE ENTREGADORES"</f>
        <v>PAGAMENTO DE ENTREGADORES</v>
      </c>
      <c r="P1886">
        <v>1380</v>
      </c>
      <c r="S1886" t="str">
        <f>"BANCO C6 (149)"</f>
        <v>BANCO C6 (149)</v>
      </c>
      <c r="T1886">
        <v>31000</v>
      </c>
      <c r="U1886">
        <v>34315</v>
      </c>
      <c r="V1886" t="s">
        <v>37</v>
      </c>
    </row>
    <row r="1887" spans="1:22">
      <c r="A1887" t="str">
        <f t="shared" si="362"/>
        <v>12/03/2026</v>
      </c>
      <c r="B1887" t="str">
        <f t="shared" si="357"/>
        <v>SAÍDA</v>
      </c>
      <c r="C1887" t="str">
        <f t="shared" si="358"/>
        <v>PIX</v>
      </c>
      <c r="D1887" t="str">
        <f>"34315"</f>
        <v>34315</v>
      </c>
      <c r="E1887" t="str">
        <f t="shared" si="363"/>
        <v>1</v>
      </c>
      <c r="F1887" t="str">
        <f t="shared" si="360"/>
        <v>COM</v>
      </c>
      <c r="G1887" t="str">
        <f>"ROBERTO RUELA DE OLIVEIRA (1082)"</f>
        <v>ROBERTO RUELA DE OLIVEIRA (1082)</v>
      </c>
      <c r="H1887" t="s">
        <v>636</v>
      </c>
      <c r="I1887" t="str">
        <f t="shared" si="359"/>
        <v>12/03/2026</v>
      </c>
      <c r="J1887" t="str">
        <f t="shared" si="361"/>
        <v>09/03/2026</v>
      </c>
      <c r="K1887">
        <v>46093</v>
      </c>
      <c r="N1887">
        <v>109</v>
      </c>
      <c r="O1887" t="s">
        <v>27</v>
      </c>
      <c r="Q1887">
        <v>1380</v>
      </c>
      <c r="R1887" t="str">
        <f>"DROGARIA NIQUINHO (10257)"</f>
        <v>DROGARIA NIQUINHO (10257)</v>
      </c>
      <c r="S1887" t="s">
        <v>37</v>
      </c>
      <c r="T1887">
        <v>31000</v>
      </c>
      <c r="U1887">
        <v>34315</v>
      </c>
      <c r="V1887" t="s">
        <v>37</v>
      </c>
    </row>
    <row r="1888" spans="1:22">
      <c r="A1888" t="str">
        <f t="shared" si="362"/>
        <v>12/03/2026</v>
      </c>
      <c r="B1888" t="str">
        <f t="shared" si="357"/>
        <v>SAÍDA</v>
      </c>
      <c r="C1888" t="str">
        <f t="shared" si="358"/>
        <v>PIX</v>
      </c>
      <c r="D1888" t="str">
        <f>"34319"</f>
        <v>34319</v>
      </c>
      <c r="E1888" t="str">
        <f t="shared" si="363"/>
        <v>1</v>
      </c>
      <c r="F1888" t="str">
        <f t="shared" si="360"/>
        <v>COM</v>
      </c>
      <c r="G1888" t="str">
        <f>"ANNIELLE CRISTIANE SILVA BARBOSA GOMES (1228)"</f>
        <v>ANNIELLE CRISTIANE SILVA BARBOSA GOMES (1228)</v>
      </c>
      <c r="H1888" t="str">
        <f>"Serv.Prest. 02/03/2026 a 08/03/2026 - PIX: CPF - CHAVE: 034.458.495-01"</f>
        <v>Serv.Prest. 02/03/2026 a 08/03/2026 - PIX: CPF - CHAVE: 034.458.495-01</v>
      </c>
      <c r="I1888" t="str">
        <f t="shared" si="359"/>
        <v>12/03/2026</v>
      </c>
      <c r="J1888" t="str">
        <f t="shared" si="361"/>
        <v>09/03/2026</v>
      </c>
      <c r="K1888" t="str">
        <f>("12/03/2026")</f>
        <v>12/03/2026</v>
      </c>
      <c r="L1888">
        <v>575</v>
      </c>
      <c r="M1888">
        <v>575</v>
      </c>
      <c r="N1888">
        <v>109</v>
      </c>
      <c r="O1888" t="str">
        <f>"PAGAMENTO DE ENTREGADORES"</f>
        <v>PAGAMENTO DE ENTREGADORES</v>
      </c>
      <c r="P1888">
        <v>575</v>
      </c>
      <c r="S1888" t="str">
        <f>"BANCO C6 (149)"</f>
        <v>BANCO C6 (149)</v>
      </c>
      <c r="T1888">
        <v>31001</v>
      </c>
      <c r="U1888">
        <v>34319</v>
      </c>
      <c r="V1888" t="s">
        <v>37</v>
      </c>
    </row>
    <row r="1889" spans="1:22">
      <c r="A1889" t="str">
        <f t="shared" si="362"/>
        <v>12/03/2026</v>
      </c>
      <c r="B1889" t="str">
        <f t="shared" si="357"/>
        <v>SAÍDA</v>
      </c>
      <c r="C1889" t="str">
        <f t="shared" si="358"/>
        <v>PIX</v>
      </c>
      <c r="D1889" t="str">
        <f>"34319"</f>
        <v>34319</v>
      </c>
      <c r="E1889" t="str">
        <f t="shared" si="363"/>
        <v>1</v>
      </c>
      <c r="F1889" t="str">
        <f t="shared" si="360"/>
        <v>COM</v>
      </c>
      <c r="G1889" t="str">
        <f>"ANNIELLE CRISTIANE SILVA BARBOSA GOMES (1228)"</f>
        <v>ANNIELLE CRISTIANE SILVA BARBOSA GOMES (1228)</v>
      </c>
      <c r="H1889" t="s">
        <v>521</v>
      </c>
      <c r="I1889" t="str">
        <f t="shared" si="359"/>
        <v>12/03/2026</v>
      </c>
      <c r="J1889" t="str">
        <f t="shared" si="361"/>
        <v>09/03/2026</v>
      </c>
      <c r="K1889">
        <v>46093</v>
      </c>
      <c r="N1889">
        <v>109</v>
      </c>
      <c r="O1889" t="s">
        <v>27</v>
      </c>
      <c r="Q1889">
        <v>575</v>
      </c>
      <c r="R1889" t="str">
        <f>"BEM TE FAZ LOJA 7 (10285)"</f>
        <v>BEM TE FAZ LOJA 7 (10285)</v>
      </c>
      <c r="S1889" t="s">
        <v>37</v>
      </c>
      <c r="T1889">
        <v>31001</v>
      </c>
      <c r="U1889">
        <v>34319</v>
      </c>
      <c r="V1889" t="s">
        <v>37</v>
      </c>
    </row>
    <row r="1890" spans="1:22">
      <c r="A1890" t="str">
        <f t="shared" si="362"/>
        <v>12/03/2026</v>
      </c>
      <c r="B1890" t="str">
        <f t="shared" si="357"/>
        <v>SAÍDA</v>
      </c>
      <c r="C1890" t="str">
        <f t="shared" si="358"/>
        <v>PIX</v>
      </c>
      <c r="D1890" t="str">
        <f>"34321"</f>
        <v>34321</v>
      </c>
      <c r="E1890" t="str">
        <f t="shared" si="363"/>
        <v>1</v>
      </c>
      <c r="F1890" t="str">
        <f t="shared" si="360"/>
        <v>COM</v>
      </c>
      <c r="G1890" t="str">
        <f>"FELIPE CHARLES SANTANA DEGASPARE (1246)"</f>
        <v>FELIPE CHARLES SANTANA DEGASPARE (1246)</v>
      </c>
      <c r="H1890" t="str">
        <f>"Serv.Prest. 02/03/2026 a 08/03/2026 - PIX: CPF - CHAVE: 373.103.168-00"</f>
        <v>Serv.Prest. 02/03/2026 a 08/03/2026 - PIX: CPF - CHAVE: 373.103.168-00</v>
      </c>
      <c r="I1890" t="str">
        <f t="shared" si="359"/>
        <v>12/03/2026</v>
      </c>
      <c r="J1890" t="str">
        <f t="shared" si="361"/>
        <v>09/03/2026</v>
      </c>
      <c r="K1890" t="str">
        <f>("12/03/2026")</f>
        <v>12/03/2026</v>
      </c>
      <c r="L1890">
        <v>980</v>
      </c>
      <c r="M1890">
        <v>980</v>
      </c>
      <c r="N1890">
        <v>109</v>
      </c>
      <c r="O1890" t="str">
        <f>"PAGAMENTO DE ENTREGADORES"</f>
        <v>PAGAMENTO DE ENTREGADORES</v>
      </c>
      <c r="P1890">
        <v>980</v>
      </c>
      <c r="S1890" t="str">
        <f>"BANCO C6 (149)"</f>
        <v>BANCO C6 (149)</v>
      </c>
      <c r="T1890">
        <v>31002</v>
      </c>
      <c r="U1890">
        <v>34321</v>
      </c>
      <c r="V1890" t="s">
        <v>37</v>
      </c>
    </row>
    <row r="1891" spans="1:22">
      <c r="A1891" t="str">
        <f t="shared" si="362"/>
        <v>12/03/2026</v>
      </c>
      <c r="B1891" t="str">
        <f t="shared" si="357"/>
        <v>SAÍDA</v>
      </c>
      <c r="C1891" t="str">
        <f t="shared" si="358"/>
        <v>PIX</v>
      </c>
      <c r="D1891" t="str">
        <f>"34321"</f>
        <v>34321</v>
      </c>
      <c r="E1891" t="str">
        <f t="shared" si="363"/>
        <v>1</v>
      </c>
      <c r="F1891" t="str">
        <f t="shared" si="360"/>
        <v>COM</v>
      </c>
      <c r="G1891" t="str">
        <f>"FELIPE CHARLES SANTANA DEGASPARE (1246)"</f>
        <v>FELIPE CHARLES SANTANA DEGASPARE (1246)</v>
      </c>
      <c r="H1891" t="s">
        <v>637</v>
      </c>
      <c r="I1891" t="str">
        <f t="shared" si="359"/>
        <v>12/03/2026</v>
      </c>
      <c r="J1891" t="str">
        <f t="shared" si="361"/>
        <v>09/03/2026</v>
      </c>
      <c r="K1891">
        <v>46093</v>
      </c>
      <c r="N1891">
        <v>109</v>
      </c>
      <c r="O1891" t="s">
        <v>27</v>
      </c>
      <c r="Q1891">
        <v>980</v>
      </c>
      <c r="R1891" t="str">
        <f>"BEM TE FAZ LOJA 3 (10287)"</f>
        <v>BEM TE FAZ LOJA 3 (10287)</v>
      </c>
      <c r="S1891" t="s">
        <v>37</v>
      </c>
      <c r="T1891">
        <v>31002</v>
      </c>
      <c r="U1891">
        <v>34321</v>
      </c>
      <c r="V1891" t="s">
        <v>37</v>
      </c>
    </row>
    <row r="1892" spans="1:22">
      <c r="A1892" t="str">
        <f t="shared" si="362"/>
        <v>12/03/2026</v>
      </c>
      <c r="B1892" t="str">
        <f t="shared" si="357"/>
        <v>SAÍDA</v>
      </c>
      <c r="C1892" t="str">
        <f t="shared" si="358"/>
        <v>PIX</v>
      </c>
      <c r="D1892" t="str">
        <f>"34322"</f>
        <v>34322</v>
      </c>
      <c r="E1892" t="str">
        <f t="shared" si="363"/>
        <v>1</v>
      </c>
      <c r="F1892" t="str">
        <f t="shared" si="360"/>
        <v>COM</v>
      </c>
      <c r="G1892" t="str">
        <f t="shared" ref="G1892:G1899" si="364">"HIGOR DE SOUZA MACEDO (1273)"</f>
        <v>HIGOR DE SOUZA MACEDO (1273)</v>
      </c>
      <c r="H1892" t="str">
        <f>"Serv.Prest. 02/03/2026 a 08/03/2026 - PIX: CELULAR - CHAVE: (19) 99893-1311"</f>
        <v>Serv.Prest. 02/03/2026 a 08/03/2026 - PIX: CELULAR - CHAVE: (19) 99893-1311</v>
      </c>
      <c r="I1892" t="str">
        <f t="shared" si="359"/>
        <v>12/03/2026</v>
      </c>
      <c r="J1892" t="str">
        <f t="shared" si="361"/>
        <v>09/03/2026</v>
      </c>
      <c r="K1892" t="str">
        <f>("12/03/2026")</f>
        <v>12/03/2026</v>
      </c>
      <c r="L1892">
        <v>434</v>
      </c>
      <c r="M1892">
        <v>434</v>
      </c>
      <c r="N1892">
        <v>109</v>
      </c>
      <c r="O1892" t="str">
        <f>"PAGAMENTO DE ENTREGADORES"</f>
        <v>PAGAMENTO DE ENTREGADORES</v>
      </c>
      <c r="P1892">
        <v>434</v>
      </c>
      <c r="S1892" t="str">
        <f>"BANCO C6 (149)"</f>
        <v>BANCO C6 (149)</v>
      </c>
      <c r="T1892">
        <v>31003</v>
      </c>
      <c r="U1892">
        <v>34322</v>
      </c>
      <c r="V1892" t="s">
        <v>37</v>
      </c>
    </row>
    <row r="1893" spans="1:22">
      <c r="A1893" t="str">
        <f t="shared" si="362"/>
        <v>12/03/2026</v>
      </c>
      <c r="B1893" t="str">
        <f t="shared" si="357"/>
        <v>SAÍDA</v>
      </c>
      <c r="C1893" t="str">
        <f t="shared" si="358"/>
        <v>PIX</v>
      </c>
      <c r="D1893" t="str">
        <f>"34322"</f>
        <v>34322</v>
      </c>
      <c r="E1893" t="str">
        <f t="shared" si="363"/>
        <v>1</v>
      </c>
      <c r="F1893" t="str">
        <f t="shared" si="360"/>
        <v>COM</v>
      </c>
      <c r="G1893" t="str">
        <f t="shared" si="364"/>
        <v>HIGOR DE SOUZA MACEDO (1273)</v>
      </c>
      <c r="H1893" t="s">
        <v>638</v>
      </c>
      <c r="I1893" t="str">
        <f t="shared" si="359"/>
        <v>12/03/2026</v>
      </c>
      <c r="J1893" t="str">
        <f t="shared" si="361"/>
        <v>09/03/2026</v>
      </c>
      <c r="K1893">
        <v>46093</v>
      </c>
      <c r="N1893">
        <v>109</v>
      </c>
      <c r="O1893" t="s">
        <v>27</v>
      </c>
      <c r="Q1893">
        <v>434</v>
      </c>
      <c r="R1893" t="str">
        <f>"BEM TE FAZ LOJA 6 (10284)"</f>
        <v>BEM TE FAZ LOJA 6 (10284)</v>
      </c>
      <c r="S1893" t="s">
        <v>37</v>
      </c>
      <c r="T1893">
        <v>31003</v>
      </c>
      <c r="U1893">
        <v>34322</v>
      </c>
      <c r="V1893" t="s">
        <v>37</v>
      </c>
    </row>
    <row r="1894" spans="1:22">
      <c r="A1894" t="str">
        <f t="shared" si="362"/>
        <v>12/03/2026</v>
      </c>
      <c r="B1894" t="str">
        <f t="shared" si="357"/>
        <v>SAÍDA</v>
      </c>
      <c r="C1894" t="str">
        <f t="shared" si="358"/>
        <v>PIX</v>
      </c>
      <c r="D1894" t="str">
        <f>"34323"</f>
        <v>34323</v>
      </c>
      <c r="E1894" t="str">
        <f t="shared" si="363"/>
        <v>1</v>
      </c>
      <c r="F1894" t="str">
        <f t="shared" si="360"/>
        <v>COM</v>
      </c>
      <c r="G1894" t="str">
        <f t="shared" si="364"/>
        <v>HIGOR DE SOUZA MACEDO (1273)</v>
      </c>
      <c r="H1894" t="str">
        <f>"Serv.Prest. 02/03/2026 a 08/03/2026 - PIX: CELULAR - CHAVE: (19) 99893-1311"</f>
        <v>Serv.Prest. 02/03/2026 a 08/03/2026 - PIX: CELULAR - CHAVE: (19) 99893-1311</v>
      </c>
      <c r="I1894" t="str">
        <f t="shared" si="359"/>
        <v>12/03/2026</v>
      </c>
      <c r="J1894" t="str">
        <f t="shared" si="361"/>
        <v>09/03/2026</v>
      </c>
      <c r="K1894" t="str">
        <f>("12/03/2026")</f>
        <v>12/03/2026</v>
      </c>
      <c r="L1894">
        <v>56</v>
      </c>
      <c r="M1894">
        <v>56</v>
      </c>
      <c r="N1894">
        <v>109</v>
      </c>
      <c r="O1894" t="str">
        <f>"PAGAMENTO DE ENTREGADORES"</f>
        <v>PAGAMENTO DE ENTREGADORES</v>
      </c>
      <c r="P1894">
        <v>56</v>
      </c>
      <c r="S1894" t="str">
        <f>"BANCO C6 (149)"</f>
        <v>BANCO C6 (149)</v>
      </c>
      <c r="T1894">
        <v>31004</v>
      </c>
      <c r="U1894">
        <v>34323</v>
      </c>
      <c r="V1894" t="s">
        <v>37</v>
      </c>
    </row>
    <row r="1895" spans="1:22">
      <c r="A1895" t="str">
        <f t="shared" si="362"/>
        <v>12/03/2026</v>
      </c>
      <c r="B1895" t="str">
        <f t="shared" si="357"/>
        <v>SAÍDA</v>
      </c>
      <c r="C1895" t="str">
        <f t="shared" si="358"/>
        <v>PIX</v>
      </c>
      <c r="D1895" t="str">
        <f>"34323"</f>
        <v>34323</v>
      </c>
      <c r="E1895" t="str">
        <f t="shared" si="363"/>
        <v>1</v>
      </c>
      <c r="F1895" t="str">
        <f t="shared" si="360"/>
        <v>COM</v>
      </c>
      <c r="G1895" t="str">
        <f t="shared" si="364"/>
        <v>HIGOR DE SOUZA MACEDO (1273)</v>
      </c>
      <c r="H1895" t="s">
        <v>638</v>
      </c>
      <c r="I1895" t="str">
        <f t="shared" si="359"/>
        <v>12/03/2026</v>
      </c>
      <c r="J1895" t="str">
        <f t="shared" si="361"/>
        <v>09/03/2026</v>
      </c>
      <c r="K1895">
        <v>46093</v>
      </c>
      <c r="N1895">
        <v>109</v>
      </c>
      <c r="O1895" t="s">
        <v>27</v>
      </c>
      <c r="Q1895">
        <v>56</v>
      </c>
      <c r="R1895" t="str">
        <f>"BEM TE FAZ LOJA 9 (10286)"</f>
        <v>BEM TE FAZ LOJA 9 (10286)</v>
      </c>
      <c r="S1895" t="s">
        <v>37</v>
      </c>
      <c r="T1895">
        <v>31004</v>
      </c>
      <c r="U1895">
        <v>34323</v>
      </c>
      <c r="V1895" t="s">
        <v>37</v>
      </c>
    </row>
    <row r="1896" spans="1:22">
      <c r="A1896" t="str">
        <f t="shared" si="362"/>
        <v>12/03/2026</v>
      </c>
      <c r="B1896" t="str">
        <f t="shared" si="357"/>
        <v>SAÍDA</v>
      </c>
      <c r="C1896" t="str">
        <f t="shared" si="358"/>
        <v>PIX</v>
      </c>
      <c r="D1896" t="str">
        <f>"34324"</f>
        <v>34324</v>
      </c>
      <c r="E1896" t="str">
        <f t="shared" si="363"/>
        <v>1</v>
      </c>
      <c r="F1896" t="str">
        <f t="shared" si="360"/>
        <v>COM</v>
      </c>
      <c r="G1896" t="str">
        <f t="shared" si="364"/>
        <v>HIGOR DE SOUZA MACEDO (1273)</v>
      </c>
      <c r="H1896" t="str">
        <f>"Serv.Prest. 02/03/2026 a 08/03/2026 - PIX: CELULAR - CHAVE: (19) 99893-1311"</f>
        <v>Serv.Prest. 02/03/2026 a 08/03/2026 - PIX: CELULAR - CHAVE: (19) 99893-1311</v>
      </c>
      <c r="I1896" t="str">
        <f t="shared" si="359"/>
        <v>12/03/2026</v>
      </c>
      <c r="J1896" t="str">
        <f t="shared" si="361"/>
        <v>09/03/2026</v>
      </c>
      <c r="K1896" t="str">
        <f>("12/03/2026")</f>
        <v>12/03/2026</v>
      </c>
      <c r="L1896">
        <v>7</v>
      </c>
      <c r="M1896">
        <v>7</v>
      </c>
      <c r="N1896">
        <v>109</v>
      </c>
      <c r="O1896" t="str">
        <f>"PAGAMENTO DE ENTREGADORES"</f>
        <v>PAGAMENTO DE ENTREGADORES</v>
      </c>
      <c r="P1896">
        <v>7</v>
      </c>
      <c r="S1896" t="str">
        <f>"BANCO C6 (149)"</f>
        <v>BANCO C6 (149)</v>
      </c>
      <c r="T1896">
        <v>31005</v>
      </c>
      <c r="U1896">
        <v>34324</v>
      </c>
      <c r="V1896" t="s">
        <v>37</v>
      </c>
    </row>
    <row r="1897" spans="1:22">
      <c r="A1897" t="str">
        <f t="shared" si="362"/>
        <v>12/03/2026</v>
      </c>
      <c r="B1897" t="str">
        <f t="shared" si="357"/>
        <v>SAÍDA</v>
      </c>
      <c r="C1897" t="str">
        <f t="shared" si="358"/>
        <v>PIX</v>
      </c>
      <c r="D1897" t="str">
        <f>"34324"</f>
        <v>34324</v>
      </c>
      <c r="E1897" t="str">
        <f t="shared" si="363"/>
        <v>1</v>
      </c>
      <c r="F1897" t="str">
        <f t="shared" si="360"/>
        <v>COM</v>
      </c>
      <c r="G1897" t="str">
        <f t="shared" si="364"/>
        <v>HIGOR DE SOUZA MACEDO (1273)</v>
      </c>
      <c r="H1897" t="s">
        <v>638</v>
      </c>
      <c r="I1897" t="str">
        <f t="shared" si="359"/>
        <v>12/03/2026</v>
      </c>
      <c r="J1897" t="str">
        <f t="shared" si="361"/>
        <v>09/03/2026</v>
      </c>
      <c r="K1897">
        <v>46093</v>
      </c>
      <c r="N1897">
        <v>109</v>
      </c>
      <c r="O1897" t="s">
        <v>27</v>
      </c>
      <c r="Q1897">
        <v>7</v>
      </c>
      <c r="R1897" t="str">
        <f>"BEM TE FAZ 05 (10294)"</f>
        <v>BEM TE FAZ 05 (10294)</v>
      </c>
      <c r="S1897" t="s">
        <v>37</v>
      </c>
      <c r="T1897">
        <v>31005</v>
      </c>
      <c r="U1897">
        <v>34324</v>
      </c>
      <c r="V1897" t="s">
        <v>37</v>
      </c>
    </row>
    <row r="1898" spans="1:22">
      <c r="A1898" t="str">
        <f t="shared" si="362"/>
        <v>12/03/2026</v>
      </c>
      <c r="B1898" t="str">
        <f t="shared" si="357"/>
        <v>SAÍDA</v>
      </c>
      <c r="C1898" t="str">
        <f t="shared" si="358"/>
        <v>PIX</v>
      </c>
      <c r="D1898" t="str">
        <f>"34325"</f>
        <v>34325</v>
      </c>
      <c r="E1898" t="str">
        <f t="shared" si="363"/>
        <v>1</v>
      </c>
      <c r="F1898" t="str">
        <f t="shared" si="360"/>
        <v>COM</v>
      </c>
      <c r="G1898" t="str">
        <f t="shared" si="364"/>
        <v>HIGOR DE SOUZA MACEDO (1273)</v>
      </c>
      <c r="H1898" t="str">
        <f>"Serv.Prest. 02/03/2026 a 08/03/2026 - PIX: CELULAR - CHAVE: (19) 99893-1311"</f>
        <v>Serv.Prest. 02/03/2026 a 08/03/2026 - PIX: CELULAR - CHAVE: (19) 99893-1311</v>
      </c>
      <c r="I1898" t="str">
        <f t="shared" si="359"/>
        <v>12/03/2026</v>
      </c>
      <c r="J1898" t="str">
        <f t="shared" si="361"/>
        <v>09/03/2026</v>
      </c>
      <c r="K1898" t="str">
        <f>("12/03/2026")</f>
        <v>12/03/2026</v>
      </c>
      <c r="L1898">
        <v>721</v>
      </c>
      <c r="M1898">
        <v>721</v>
      </c>
      <c r="N1898">
        <v>109</v>
      </c>
      <c r="O1898" t="str">
        <f>"PAGAMENTO DE ENTREGADORES"</f>
        <v>PAGAMENTO DE ENTREGADORES</v>
      </c>
      <c r="P1898">
        <v>721</v>
      </c>
      <c r="S1898" t="str">
        <f>"BANCO C6 (149)"</f>
        <v>BANCO C6 (149)</v>
      </c>
      <c r="T1898">
        <v>31006</v>
      </c>
      <c r="U1898">
        <v>34325</v>
      </c>
      <c r="V1898" t="s">
        <v>37</v>
      </c>
    </row>
    <row r="1899" spans="1:22">
      <c r="A1899" t="str">
        <f t="shared" si="362"/>
        <v>12/03/2026</v>
      </c>
      <c r="B1899" t="str">
        <f t="shared" si="357"/>
        <v>SAÍDA</v>
      </c>
      <c r="C1899" t="str">
        <f t="shared" si="358"/>
        <v>PIX</v>
      </c>
      <c r="D1899" t="str">
        <f>"34325"</f>
        <v>34325</v>
      </c>
      <c r="E1899" t="str">
        <f t="shared" si="363"/>
        <v>1</v>
      </c>
      <c r="F1899" t="str">
        <f t="shared" si="360"/>
        <v>COM</v>
      </c>
      <c r="G1899" t="str">
        <f t="shared" si="364"/>
        <v>HIGOR DE SOUZA MACEDO (1273)</v>
      </c>
      <c r="H1899" t="s">
        <v>638</v>
      </c>
      <c r="I1899" t="str">
        <f t="shared" si="359"/>
        <v>12/03/2026</v>
      </c>
      <c r="J1899" t="str">
        <f t="shared" si="361"/>
        <v>09/03/2026</v>
      </c>
      <c r="K1899">
        <v>46093</v>
      </c>
      <c r="N1899">
        <v>109</v>
      </c>
      <c r="O1899" t="s">
        <v>27</v>
      </c>
      <c r="Q1899">
        <v>721</v>
      </c>
      <c r="R1899" t="str">
        <f>"BEM TE FAZ LOJA 7 (10285)"</f>
        <v>BEM TE FAZ LOJA 7 (10285)</v>
      </c>
      <c r="S1899" t="s">
        <v>37</v>
      </c>
      <c r="T1899">
        <v>31006</v>
      </c>
      <c r="U1899">
        <v>34325</v>
      </c>
      <c r="V1899" t="s">
        <v>37</v>
      </c>
    </row>
    <row r="1900" spans="1:22">
      <c r="A1900" t="str">
        <f t="shared" si="362"/>
        <v>12/03/2026</v>
      </c>
      <c r="B1900" t="str">
        <f t="shared" si="357"/>
        <v>SAÍDA</v>
      </c>
      <c r="C1900" t="str">
        <f t="shared" si="358"/>
        <v>PIX</v>
      </c>
      <c r="D1900" t="str">
        <f>"34326"</f>
        <v>34326</v>
      </c>
      <c r="E1900" t="str">
        <f t="shared" si="363"/>
        <v>1</v>
      </c>
      <c r="F1900" t="str">
        <f t="shared" si="360"/>
        <v>COM</v>
      </c>
      <c r="G1900" t="str">
        <f t="shared" ref="G1900:G1909" si="365">"IVANILDO RODRIGUES CUSTODIO (1198)"</f>
        <v>IVANILDO RODRIGUES CUSTODIO (1198)</v>
      </c>
      <c r="H1900" t="str">
        <f>"Serv.Prest. 02/03/2026 a 08/03/2026 - PIX: CPF - CHAVE: 085.309.406-36"</f>
        <v>Serv.Prest. 02/03/2026 a 08/03/2026 - PIX: CPF - CHAVE: 085.309.406-36</v>
      </c>
      <c r="I1900" t="str">
        <f t="shared" si="359"/>
        <v>12/03/2026</v>
      </c>
      <c r="J1900" t="str">
        <f t="shared" si="361"/>
        <v>09/03/2026</v>
      </c>
      <c r="K1900" t="str">
        <f>("12/03/2026")</f>
        <v>12/03/2026</v>
      </c>
      <c r="L1900">
        <v>854</v>
      </c>
      <c r="M1900">
        <v>854</v>
      </c>
      <c r="N1900">
        <v>109</v>
      </c>
      <c r="O1900" t="str">
        <f>"PAGAMENTO DE ENTREGADORES"</f>
        <v>PAGAMENTO DE ENTREGADORES</v>
      </c>
      <c r="P1900">
        <v>854</v>
      </c>
      <c r="S1900" t="str">
        <f>"BANCO C6 (149)"</f>
        <v>BANCO C6 (149)</v>
      </c>
      <c r="T1900">
        <v>31007</v>
      </c>
      <c r="U1900">
        <v>34326</v>
      </c>
      <c r="V1900" t="s">
        <v>37</v>
      </c>
    </row>
    <row r="1901" spans="1:22">
      <c r="A1901" t="str">
        <f t="shared" si="362"/>
        <v>12/03/2026</v>
      </c>
      <c r="B1901" t="str">
        <f t="shared" si="357"/>
        <v>SAÍDA</v>
      </c>
      <c r="C1901" t="str">
        <f t="shared" si="358"/>
        <v>PIX</v>
      </c>
      <c r="D1901" t="str">
        <f>"34326"</f>
        <v>34326</v>
      </c>
      <c r="E1901" t="str">
        <f t="shared" si="363"/>
        <v>1</v>
      </c>
      <c r="F1901" t="str">
        <f t="shared" si="360"/>
        <v>COM</v>
      </c>
      <c r="G1901" t="str">
        <f t="shared" si="365"/>
        <v>IVANILDO RODRIGUES CUSTODIO (1198)</v>
      </c>
      <c r="H1901" t="s">
        <v>639</v>
      </c>
      <c r="I1901" t="str">
        <f t="shared" si="359"/>
        <v>12/03/2026</v>
      </c>
      <c r="J1901" t="str">
        <f t="shared" si="361"/>
        <v>09/03/2026</v>
      </c>
      <c r="K1901">
        <v>46093</v>
      </c>
      <c r="N1901">
        <v>109</v>
      </c>
      <c r="O1901" t="s">
        <v>27</v>
      </c>
      <c r="Q1901">
        <v>854</v>
      </c>
      <c r="R1901" t="str">
        <f>"BEM TE FAZ LOJA 6 (10284)"</f>
        <v>BEM TE FAZ LOJA 6 (10284)</v>
      </c>
      <c r="S1901" t="s">
        <v>37</v>
      </c>
      <c r="T1901">
        <v>31007</v>
      </c>
      <c r="U1901">
        <v>34326</v>
      </c>
      <c r="V1901" t="s">
        <v>37</v>
      </c>
    </row>
    <row r="1902" spans="1:22">
      <c r="A1902" t="str">
        <f t="shared" si="362"/>
        <v>12/03/2026</v>
      </c>
      <c r="B1902" t="str">
        <f t="shared" si="357"/>
        <v>SAÍDA</v>
      </c>
      <c r="C1902" t="str">
        <f t="shared" si="358"/>
        <v>PIX</v>
      </c>
      <c r="D1902" t="str">
        <f>"34327"</f>
        <v>34327</v>
      </c>
      <c r="E1902" t="str">
        <f t="shared" si="363"/>
        <v>1</v>
      </c>
      <c r="F1902" t="str">
        <f t="shared" si="360"/>
        <v>COM</v>
      </c>
      <c r="G1902" t="str">
        <f t="shared" si="365"/>
        <v>IVANILDO RODRIGUES CUSTODIO (1198)</v>
      </c>
      <c r="H1902" t="str">
        <f>"Serv.Prest. 02/03/2026 a 08/03/2026 - PIX: CPF - CHAVE: 085.309.406-36"</f>
        <v>Serv.Prest. 02/03/2026 a 08/03/2026 - PIX: CPF - CHAVE: 085.309.406-36</v>
      </c>
      <c r="I1902" t="str">
        <f t="shared" si="359"/>
        <v>12/03/2026</v>
      </c>
      <c r="J1902" t="str">
        <f t="shared" si="361"/>
        <v>09/03/2026</v>
      </c>
      <c r="K1902" t="str">
        <f>("12/03/2026")</f>
        <v>12/03/2026</v>
      </c>
      <c r="L1902">
        <v>21</v>
      </c>
      <c r="M1902">
        <v>21</v>
      </c>
      <c r="N1902">
        <v>109</v>
      </c>
      <c r="O1902" t="str">
        <f>"PAGAMENTO DE ENTREGADORES"</f>
        <v>PAGAMENTO DE ENTREGADORES</v>
      </c>
      <c r="P1902">
        <v>21</v>
      </c>
      <c r="S1902" t="str">
        <f>"BANCO C6 (149)"</f>
        <v>BANCO C6 (149)</v>
      </c>
      <c r="T1902">
        <v>31008</v>
      </c>
      <c r="U1902">
        <v>34327</v>
      </c>
      <c r="V1902" t="s">
        <v>37</v>
      </c>
    </row>
    <row r="1903" spans="1:22">
      <c r="A1903" t="str">
        <f t="shared" si="362"/>
        <v>12/03/2026</v>
      </c>
      <c r="B1903" t="str">
        <f t="shared" si="357"/>
        <v>SAÍDA</v>
      </c>
      <c r="C1903" t="str">
        <f t="shared" si="358"/>
        <v>PIX</v>
      </c>
      <c r="D1903" t="str">
        <f>"34327"</f>
        <v>34327</v>
      </c>
      <c r="E1903" t="str">
        <f t="shared" si="363"/>
        <v>1</v>
      </c>
      <c r="F1903" t="str">
        <f t="shared" si="360"/>
        <v>COM</v>
      </c>
      <c r="G1903" t="str">
        <f t="shared" si="365"/>
        <v>IVANILDO RODRIGUES CUSTODIO (1198)</v>
      </c>
      <c r="H1903" t="s">
        <v>639</v>
      </c>
      <c r="I1903" t="str">
        <f t="shared" si="359"/>
        <v>12/03/2026</v>
      </c>
      <c r="J1903" t="str">
        <f t="shared" si="361"/>
        <v>09/03/2026</v>
      </c>
      <c r="K1903">
        <v>46093</v>
      </c>
      <c r="N1903">
        <v>109</v>
      </c>
      <c r="O1903" t="s">
        <v>27</v>
      </c>
      <c r="Q1903">
        <v>21</v>
      </c>
      <c r="R1903" t="str">
        <f>"BEM TE FAZ LOJA 7 (10285)"</f>
        <v>BEM TE FAZ LOJA 7 (10285)</v>
      </c>
      <c r="S1903" t="s">
        <v>37</v>
      </c>
      <c r="T1903">
        <v>31008</v>
      </c>
      <c r="U1903">
        <v>34327</v>
      </c>
      <c r="V1903" t="s">
        <v>37</v>
      </c>
    </row>
    <row r="1904" spans="1:22">
      <c r="A1904" t="str">
        <f t="shared" si="362"/>
        <v>12/03/2026</v>
      </c>
      <c r="B1904" t="str">
        <f t="shared" si="357"/>
        <v>SAÍDA</v>
      </c>
      <c r="C1904" t="str">
        <f t="shared" si="358"/>
        <v>PIX</v>
      </c>
      <c r="D1904" t="str">
        <f>"34328"</f>
        <v>34328</v>
      </c>
      <c r="E1904" t="str">
        <f t="shared" si="363"/>
        <v>1</v>
      </c>
      <c r="F1904" t="str">
        <f t="shared" si="360"/>
        <v>COM</v>
      </c>
      <c r="G1904" t="str">
        <f t="shared" si="365"/>
        <v>IVANILDO RODRIGUES CUSTODIO (1198)</v>
      </c>
      <c r="H1904" t="str">
        <f>"Serv.Prest. 02/03/2026 a 08/03/2026 - PIX: CPF - CHAVE: 085.309.406-36"</f>
        <v>Serv.Prest. 02/03/2026 a 08/03/2026 - PIX: CPF - CHAVE: 085.309.406-36</v>
      </c>
      <c r="I1904" t="str">
        <f t="shared" si="359"/>
        <v>12/03/2026</v>
      </c>
      <c r="J1904" t="str">
        <f t="shared" si="361"/>
        <v>09/03/2026</v>
      </c>
      <c r="K1904" t="str">
        <f>("12/03/2026")</f>
        <v>12/03/2026</v>
      </c>
      <c r="L1904">
        <v>7</v>
      </c>
      <c r="M1904">
        <v>7</v>
      </c>
      <c r="N1904">
        <v>109</v>
      </c>
      <c r="O1904" t="str">
        <f>"PAGAMENTO DE ENTREGADORES"</f>
        <v>PAGAMENTO DE ENTREGADORES</v>
      </c>
      <c r="P1904">
        <v>7</v>
      </c>
      <c r="S1904" t="str">
        <f>"BANCO C6 (149)"</f>
        <v>BANCO C6 (149)</v>
      </c>
      <c r="T1904">
        <v>31009</v>
      </c>
      <c r="U1904">
        <v>34328</v>
      </c>
      <c r="V1904" t="s">
        <v>37</v>
      </c>
    </row>
    <row r="1905" spans="1:22">
      <c r="A1905" t="str">
        <f t="shared" si="362"/>
        <v>12/03/2026</v>
      </c>
      <c r="B1905" t="str">
        <f t="shared" si="357"/>
        <v>SAÍDA</v>
      </c>
      <c r="C1905" t="str">
        <f t="shared" si="358"/>
        <v>PIX</v>
      </c>
      <c r="D1905" t="str">
        <f>"34328"</f>
        <v>34328</v>
      </c>
      <c r="E1905" t="str">
        <f t="shared" si="363"/>
        <v>1</v>
      </c>
      <c r="F1905" t="str">
        <f t="shared" si="360"/>
        <v>COM</v>
      </c>
      <c r="G1905" t="str">
        <f t="shared" si="365"/>
        <v>IVANILDO RODRIGUES CUSTODIO (1198)</v>
      </c>
      <c r="H1905" t="s">
        <v>639</v>
      </c>
      <c r="I1905" t="str">
        <f t="shared" si="359"/>
        <v>12/03/2026</v>
      </c>
      <c r="J1905" t="str">
        <f t="shared" si="361"/>
        <v>09/03/2026</v>
      </c>
      <c r="K1905">
        <v>46093</v>
      </c>
      <c r="N1905">
        <v>109</v>
      </c>
      <c r="O1905" t="s">
        <v>27</v>
      </c>
      <c r="Q1905">
        <v>7</v>
      </c>
      <c r="R1905" t="str">
        <f>"BEM TE FAZ LOJA 9 (10286)"</f>
        <v>BEM TE FAZ LOJA 9 (10286)</v>
      </c>
      <c r="S1905" t="s">
        <v>37</v>
      </c>
      <c r="T1905">
        <v>31009</v>
      </c>
      <c r="U1905">
        <v>34328</v>
      </c>
      <c r="V1905" t="s">
        <v>37</v>
      </c>
    </row>
    <row r="1906" spans="1:22">
      <c r="A1906" t="str">
        <f t="shared" si="362"/>
        <v>12/03/2026</v>
      </c>
      <c r="B1906" t="str">
        <f t="shared" si="357"/>
        <v>SAÍDA</v>
      </c>
      <c r="C1906" t="str">
        <f t="shared" si="358"/>
        <v>PIX</v>
      </c>
      <c r="D1906" t="str">
        <f>"34329"</f>
        <v>34329</v>
      </c>
      <c r="E1906" t="str">
        <f t="shared" si="363"/>
        <v>1</v>
      </c>
      <c r="F1906" t="str">
        <f t="shared" si="360"/>
        <v>COM</v>
      </c>
      <c r="G1906" t="str">
        <f t="shared" si="365"/>
        <v>IVANILDO RODRIGUES CUSTODIO (1198)</v>
      </c>
      <c r="H1906" t="str">
        <f>"Serv.Prest. 02/03/2026 a 08/03/2026 - PIX: CPF - CHAVE: 085.309.406-36"</f>
        <v>Serv.Prest. 02/03/2026 a 08/03/2026 - PIX: CPF - CHAVE: 085.309.406-36</v>
      </c>
      <c r="I1906" t="str">
        <f t="shared" si="359"/>
        <v>12/03/2026</v>
      </c>
      <c r="J1906" t="str">
        <f t="shared" si="361"/>
        <v>09/03/2026</v>
      </c>
      <c r="K1906" t="str">
        <f>("12/03/2026")</f>
        <v>12/03/2026</v>
      </c>
      <c r="L1906">
        <v>35</v>
      </c>
      <c r="M1906">
        <v>35</v>
      </c>
      <c r="N1906">
        <v>109</v>
      </c>
      <c r="O1906" t="str">
        <f>"PAGAMENTO DE ENTREGADORES"</f>
        <v>PAGAMENTO DE ENTREGADORES</v>
      </c>
      <c r="P1906">
        <v>35</v>
      </c>
      <c r="S1906" t="str">
        <f>"BANCO C6 (149)"</f>
        <v>BANCO C6 (149)</v>
      </c>
      <c r="T1906">
        <v>31010</v>
      </c>
      <c r="U1906">
        <v>34329</v>
      </c>
      <c r="V1906" t="s">
        <v>37</v>
      </c>
    </row>
    <row r="1907" spans="1:22">
      <c r="A1907" t="str">
        <f t="shared" si="362"/>
        <v>12/03/2026</v>
      </c>
      <c r="B1907" t="str">
        <f t="shared" si="357"/>
        <v>SAÍDA</v>
      </c>
      <c r="C1907" t="str">
        <f t="shared" si="358"/>
        <v>PIX</v>
      </c>
      <c r="D1907" t="str">
        <f>"34329"</f>
        <v>34329</v>
      </c>
      <c r="E1907" t="str">
        <f t="shared" si="363"/>
        <v>1</v>
      </c>
      <c r="F1907" t="str">
        <f t="shared" si="360"/>
        <v>COM</v>
      </c>
      <c r="G1907" t="str">
        <f t="shared" si="365"/>
        <v>IVANILDO RODRIGUES CUSTODIO (1198)</v>
      </c>
      <c r="H1907" t="s">
        <v>639</v>
      </c>
      <c r="I1907" t="str">
        <f t="shared" si="359"/>
        <v>12/03/2026</v>
      </c>
      <c r="J1907" t="str">
        <f t="shared" si="361"/>
        <v>09/03/2026</v>
      </c>
      <c r="K1907">
        <v>46093</v>
      </c>
      <c r="N1907">
        <v>109</v>
      </c>
      <c r="O1907" t="s">
        <v>27</v>
      </c>
      <c r="Q1907">
        <v>35</v>
      </c>
      <c r="R1907" t="str">
        <f>"BEM TE FAZ 05 (10294)"</f>
        <v>BEM TE FAZ 05 (10294)</v>
      </c>
      <c r="S1907" t="s">
        <v>37</v>
      </c>
      <c r="T1907">
        <v>31010</v>
      </c>
      <c r="U1907">
        <v>34329</v>
      </c>
      <c r="V1907" t="s">
        <v>37</v>
      </c>
    </row>
    <row r="1908" spans="1:22">
      <c r="A1908" t="str">
        <f t="shared" si="362"/>
        <v>12/03/2026</v>
      </c>
      <c r="B1908" t="str">
        <f t="shared" si="357"/>
        <v>SAÍDA</v>
      </c>
      <c r="C1908" t="str">
        <f t="shared" si="358"/>
        <v>PIX</v>
      </c>
      <c r="D1908" t="str">
        <f>"34330"</f>
        <v>34330</v>
      </c>
      <c r="E1908" t="str">
        <f t="shared" si="363"/>
        <v>1</v>
      </c>
      <c r="F1908" t="str">
        <f t="shared" si="360"/>
        <v>COM</v>
      </c>
      <c r="G1908" t="str">
        <f t="shared" si="365"/>
        <v>IVANILDO RODRIGUES CUSTODIO (1198)</v>
      </c>
      <c r="H1908" t="str">
        <f>"Serv.Prest. 02/03/2026 a 08/03/2026 - PIX: CPF - CHAVE: 085.309.406-36"</f>
        <v>Serv.Prest. 02/03/2026 a 08/03/2026 - PIX: CPF - CHAVE: 085.309.406-36</v>
      </c>
      <c r="I1908" t="str">
        <f t="shared" si="359"/>
        <v>12/03/2026</v>
      </c>
      <c r="J1908" t="str">
        <f t="shared" si="361"/>
        <v>09/03/2026</v>
      </c>
      <c r="K1908" t="str">
        <f>("12/03/2026")</f>
        <v>12/03/2026</v>
      </c>
      <c r="L1908">
        <v>14</v>
      </c>
      <c r="M1908">
        <v>14</v>
      </c>
      <c r="N1908">
        <v>109</v>
      </c>
      <c r="O1908" t="str">
        <f>"PAGAMENTO DE ENTREGADORES"</f>
        <v>PAGAMENTO DE ENTREGADORES</v>
      </c>
      <c r="P1908">
        <v>14</v>
      </c>
      <c r="S1908" t="str">
        <f>"BANCO C6 (149)"</f>
        <v>BANCO C6 (149)</v>
      </c>
      <c r="T1908">
        <v>31011</v>
      </c>
      <c r="U1908">
        <v>34330</v>
      </c>
      <c r="V1908" t="s">
        <v>37</v>
      </c>
    </row>
    <row r="1909" spans="1:22">
      <c r="A1909" t="str">
        <f t="shared" si="362"/>
        <v>12/03/2026</v>
      </c>
      <c r="B1909" t="str">
        <f t="shared" si="357"/>
        <v>SAÍDA</v>
      </c>
      <c r="C1909" t="str">
        <f t="shared" si="358"/>
        <v>PIX</v>
      </c>
      <c r="D1909" t="str">
        <f>"34330"</f>
        <v>34330</v>
      </c>
      <c r="E1909" t="str">
        <f t="shared" si="363"/>
        <v>1</v>
      </c>
      <c r="F1909" t="str">
        <f t="shared" si="360"/>
        <v>COM</v>
      </c>
      <c r="G1909" t="str">
        <f t="shared" si="365"/>
        <v>IVANILDO RODRIGUES CUSTODIO (1198)</v>
      </c>
      <c r="H1909" t="s">
        <v>639</v>
      </c>
      <c r="I1909" t="str">
        <f t="shared" si="359"/>
        <v>12/03/2026</v>
      </c>
      <c r="J1909" t="str">
        <f t="shared" si="361"/>
        <v>09/03/2026</v>
      </c>
      <c r="K1909">
        <v>46093</v>
      </c>
      <c r="N1909">
        <v>109</v>
      </c>
      <c r="O1909" t="s">
        <v>27</v>
      </c>
      <c r="Q1909">
        <v>14</v>
      </c>
      <c r="R1909" t="str">
        <f>"BEM TE FAZ LOJA 8 (10297)"</f>
        <v>BEM TE FAZ LOJA 8 (10297)</v>
      </c>
      <c r="S1909" t="s">
        <v>37</v>
      </c>
      <c r="T1909">
        <v>31011</v>
      </c>
      <c r="U1909">
        <v>34330</v>
      </c>
      <c r="V1909" t="s">
        <v>37</v>
      </c>
    </row>
    <row r="1910" spans="1:22">
      <c r="A1910" t="str">
        <f t="shared" si="362"/>
        <v>12/03/2026</v>
      </c>
      <c r="B1910" t="str">
        <f t="shared" si="357"/>
        <v>SAÍDA</v>
      </c>
      <c r="C1910" t="str">
        <f t="shared" si="358"/>
        <v>PIX</v>
      </c>
      <c r="D1910" t="str">
        <f>"34331"</f>
        <v>34331</v>
      </c>
      <c r="E1910" t="str">
        <f t="shared" si="363"/>
        <v>1</v>
      </c>
      <c r="F1910" t="str">
        <f t="shared" si="360"/>
        <v>COM</v>
      </c>
      <c r="G1910" t="str">
        <f>"JHONATHAN RODRIGUES MOREIRA (1280)"</f>
        <v>JHONATHAN RODRIGUES MOREIRA (1280)</v>
      </c>
      <c r="H1910" t="str">
        <f>"Serv.Prest. 02/03/2026 a 08/03/2026 - PIX: CPF - CHAVE: 397.101.368-60"</f>
        <v>Serv.Prest. 02/03/2026 a 08/03/2026 - PIX: CPF - CHAVE: 397.101.368-60</v>
      </c>
      <c r="I1910" t="str">
        <f t="shared" si="359"/>
        <v>12/03/2026</v>
      </c>
      <c r="J1910" t="str">
        <f t="shared" si="361"/>
        <v>09/03/2026</v>
      </c>
      <c r="K1910" t="str">
        <f>("12/03/2026")</f>
        <v>12/03/2026</v>
      </c>
      <c r="L1910">
        <v>1274</v>
      </c>
      <c r="M1910">
        <v>1274</v>
      </c>
      <c r="N1910">
        <v>109</v>
      </c>
      <c r="O1910" t="str">
        <f>"PAGAMENTO DE ENTREGADORES"</f>
        <v>PAGAMENTO DE ENTREGADORES</v>
      </c>
      <c r="P1910">
        <v>1274</v>
      </c>
      <c r="S1910" t="str">
        <f>"BANCO C6 (149)"</f>
        <v>BANCO C6 (149)</v>
      </c>
      <c r="T1910">
        <v>31012</v>
      </c>
      <c r="U1910">
        <v>34331</v>
      </c>
      <c r="V1910" t="s">
        <v>37</v>
      </c>
    </row>
    <row r="1911" spans="1:22">
      <c r="A1911" t="str">
        <f t="shared" si="362"/>
        <v>12/03/2026</v>
      </c>
      <c r="B1911" t="str">
        <f t="shared" si="357"/>
        <v>SAÍDA</v>
      </c>
      <c r="C1911" t="str">
        <f t="shared" si="358"/>
        <v>PIX</v>
      </c>
      <c r="D1911" t="str">
        <f>"34331"</f>
        <v>34331</v>
      </c>
      <c r="E1911" t="str">
        <f t="shared" si="363"/>
        <v>1</v>
      </c>
      <c r="F1911" t="str">
        <f t="shared" si="360"/>
        <v>COM</v>
      </c>
      <c r="G1911" t="str">
        <f>"JHONATHAN RODRIGUES MOREIRA (1280)"</f>
        <v>JHONATHAN RODRIGUES MOREIRA (1280)</v>
      </c>
      <c r="H1911" t="s">
        <v>640</v>
      </c>
      <c r="I1911" t="str">
        <f t="shared" si="359"/>
        <v>12/03/2026</v>
      </c>
      <c r="J1911" t="str">
        <f t="shared" si="361"/>
        <v>09/03/2026</v>
      </c>
      <c r="K1911">
        <v>46093</v>
      </c>
      <c r="N1911">
        <v>109</v>
      </c>
      <c r="O1911" t="s">
        <v>27</v>
      </c>
      <c r="Q1911">
        <v>1274</v>
      </c>
      <c r="R1911" t="str">
        <f>"BEM TE FAZ LOJA 3 (10287)"</f>
        <v>BEM TE FAZ LOJA 3 (10287)</v>
      </c>
      <c r="S1911" t="s">
        <v>37</v>
      </c>
      <c r="T1911">
        <v>31012</v>
      </c>
      <c r="U1911">
        <v>34331</v>
      </c>
      <c r="V1911" t="s">
        <v>37</v>
      </c>
    </row>
    <row r="1912" spans="1:22">
      <c r="A1912" t="str">
        <f t="shared" si="362"/>
        <v>12/03/2026</v>
      </c>
      <c r="B1912" t="str">
        <f t="shared" ref="B1912:B1975" si="366">"SAÍDA"</f>
        <v>SAÍDA</v>
      </c>
      <c r="C1912" t="str">
        <f t="shared" si="358"/>
        <v>PIX</v>
      </c>
      <c r="D1912" t="str">
        <f>"34332"</f>
        <v>34332</v>
      </c>
      <c r="E1912" t="str">
        <f t="shared" si="363"/>
        <v>1</v>
      </c>
      <c r="F1912" t="str">
        <f t="shared" si="360"/>
        <v>COM</v>
      </c>
      <c r="G1912" t="str">
        <f>"JOAO VICTOR RODRIGUES DA SILVA (1275)"</f>
        <v>JOAO VICTOR RODRIGUES DA SILVA (1275)</v>
      </c>
      <c r="H1912" t="str">
        <f>"Serv.Prest. 02/03/2026 a 08/03/2026 - PIX: CELULAR - CHAVE: (19) 98709-1753"</f>
        <v>Serv.Prest. 02/03/2026 a 08/03/2026 - PIX: CELULAR - CHAVE: (19) 98709-1753</v>
      </c>
      <c r="I1912" t="str">
        <f t="shared" si="359"/>
        <v>12/03/2026</v>
      </c>
      <c r="J1912" t="str">
        <f t="shared" si="361"/>
        <v>09/03/2026</v>
      </c>
      <c r="K1912" t="str">
        <f>("12/03/2026")</f>
        <v>12/03/2026</v>
      </c>
      <c r="L1912">
        <v>21</v>
      </c>
      <c r="M1912">
        <v>21</v>
      </c>
      <c r="N1912">
        <v>109</v>
      </c>
      <c r="O1912" t="str">
        <f>"PAGAMENTO DE ENTREGADORES"</f>
        <v>PAGAMENTO DE ENTREGADORES</v>
      </c>
      <c r="P1912">
        <v>21</v>
      </c>
      <c r="S1912" t="str">
        <f>"BANCO C6 (149)"</f>
        <v>BANCO C6 (149)</v>
      </c>
      <c r="T1912">
        <v>31013</v>
      </c>
      <c r="U1912">
        <v>34332</v>
      </c>
      <c r="V1912" t="s">
        <v>37</v>
      </c>
    </row>
    <row r="1913" spans="1:22">
      <c r="A1913" t="str">
        <f t="shared" si="362"/>
        <v>12/03/2026</v>
      </c>
      <c r="B1913" t="str">
        <f t="shared" si="366"/>
        <v>SAÍDA</v>
      </c>
      <c r="C1913" t="str">
        <f t="shared" si="358"/>
        <v>PIX</v>
      </c>
      <c r="D1913" t="str">
        <f>"34332"</f>
        <v>34332</v>
      </c>
      <c r="E1913" t="str">
        <f t="shared" si="363"/>
        <v>1</v>
      </c>
      <c r="F1913" t="str">
        <f t="shared" si="360"/>
        <v>COM</v>
      </c>
      <c r="G1913" t="str">
        <f>"JOAO VICTOR RODRIGUES DA SILVA (1275)"</f>
        <v>JOAO VICTOR RODRIGUES DA SILVA (1275)</v>
      </c>
      <c r="H1913" t="s">
        <v>641</v>
      </c>
      <c r="I1913" t="str">
        <f t="shared" si="359"/>
        <v>12/03/2026</v>
      </c>
      <c r="J1913" t="str">
        <f t="shared" si="361"/>
        <v>09/03/2026</v>
      </c>
      <c r="K1913">
        <v>46093</v>
      </c>
      <c r="N1913">
        <v>109</v>
      </c>
      <c r="O1913" t="s">
        <v>27</v>
      </c>
      <c r="Q1913">
        <v>21</v>
      </c>
      <c r="R1913" t="str">
        <f>"BEM TE FAZ LOJA 3 (10287)"</f>
        <v>BEM TE FAZ LOJA 3 (10287)</v>
      </c>
      <c r="S1913" t="s">
        <v>37</v>
      </c>
      <c r="T1913">
        <v>31013</v>
      </c>
      <c r="U1913">
        <v>34332</v>
      </c>
      <c r="V1913" t="s">
        <v>37</v>
      </c>
    </row>
    <row r="1914" spans="1:22">
      <c r="A1914" t="str">
        <f t="shared" si="362"/>
        <v>12/03/2026</v>
      </c>
      <c r="B1914" t="str">
        <f t="shared" si="366"/>
        <v>SAÍDA</v>
      </c>
      <c r="C1914" t="str">
        <f t="shared" si="358"/>
        <v>PIX</v>
      </c>
      <c r="D1914" t="str">
        <f>"34334"</f>
        <v>34334</v>
      </c>
      <c r="E1914" t="str">
        <f t="shared" si="363"/>
        <v>1</v>
      </c>
      <c r="F1914" t="str">
        <f t="shared" si="360"/>
        <v>COM</v>
      </c>
      <c r="G1914" t="str">
        <f t="shared" ref="G1914:G1921" si="367">"JORGE HENRIQUE DA SILVA BRASIL (1203)"</f>
        <v>JORGE HENRIQUE DA SILVA BRASIL (1203)</v>
      </c>
      <c r="H1914" t="str">
        <f>"Serv.Prest. 02/03/2026 a 08/03/2026 - PIX: CELULAR - CHAVE: (19) 99674-2835"</f>
        <v>Serv.Prest. 02/03/2026 a 08/03/2026 - PIX: CELULAR - CHAVE: (19) 99674-2835</v>
      </c>
      <c r="I1914" t="str">
        <f t="shared" si="359"/>
        <v>12/03/2026</v>
      </c>
      <c r="J1914" t="str">
        <f t="shared" si="361"/>
        <v>09/03/2026</v>
      </c>
      <c r="K1914" t="str">
        <f>("12/03/2026")</f>
        <v>12/03/2026</v>
      </c>
      <c r="L1914">
        <v>49</v>
      </c>
      <c r="M1914">
        <v>49</v>
      </c>
      <c r="N1914">
        <v>109</v>
      </c>
      <c r="O1914" t="str">
        <f>"PAGAMENTO DE ENTREGADORES"</f>
        <v>PAGAMENTO DE ENTREGADORES</v>
      </c>
      <c r="P1914">
        <v>49</v>
      </c>
      <c r="S1914" t="str">
        <f>"BANCO C6 (149)"</f>
        <v>BANCO C6 (149)</v>
      </c>
      <c r="T1914">
        <v>31014</v>
      </c>
      <c r="U1914">
        <v>34334</v>
      </c>
      <c r="V1914" t="s">
        <v>37</v>
      </c>
    </row>
    <row r="1915" spans="1:22">
      <c r="A1915" t="str">
        <f t="shared" si="362"/>
        <v>12/03/2026</v>
      </c>
      <c r="B1915" t="str">
        <f t="shared" si="366"/>
        <v>SAÍDA</v>
      </c>
      <c r="C1915" t="str">
        <f t="shared" si="358"/>
        <v>PIX</v>
      </c>
      <c r="D1915" t="str">
        <f>"34334"</f>
        <v>34334</v>
      </c>
      <c r="E1915" t="str">
        <f t="shared" si="363"/>
        <v>1</v>
      </c>
      <c r="F1915" t="str">
        <f t="shared" si="360"/>
        <v>COM</v>
      </c>
      <c r="G1915" t="str">
        <f t="shared" si="367"/>
        <v>JORGE HENRIQUE DA SILVA BRASIL (1203)</v>
      </c>
      <c r="H1915" t="s">
        <v>642</v>
      </c>
      <c r="I1915" t="str">
        <f t="shared" si="359"/>
        <v>12/03/2026</v>
      </c>
      <c r="J1915" t="str">
        <f t="shared" si="361"/>
        <v>09/03/2026</v>
      </c>
      <c r="K1915">
        <v>46093</v>
      </c>
      <c r="N1915">
        <v>109</v>
      </c>
      <c r="O1915" t="s">
        <v>27</v>
      </c>
      <c r="Q1915">
        <v>49</v>
      </c>
      <c r="R1915" t="str">
        <f>"BEM TE FAZ LOJA 7 (10285)"</f>
        <v>BEM TE FAZ LOJA 7 (10285)</v>
      </c>
      <c r="S1915" t="s">
        <v>37</v>
      </c>
      <c r="T1915">
        <v>31014</v>
      </c>
      <c r="U1915">
        <v>34334</v>
      </c>
      <c r="V1915" t="s">
        <v>37</v>
      </c>
    </row>
    <row r="1916" spans="1:22">
      <c r="A1916" t="str">
        <f t="shared" si="362"/>
        <v>12/03/2026</v>
      </c>
      <c r="B1916" t="str">
        <f t="shared" si="366"/>
        <v>SAÍDA</v>
      </c>
      <c r="C1916" t="str">
        <f t="shared" si="358"/>
        <v>PIX</v>
      </c>
      <c r="D1916" t="str">
        <f>"34335"</f>
        <v>34335</v>
      </c>
      <c r="E1916" t="str">
        <f t="shared" si="363"/>
        <v>1</v>
      </c>
      <c r="F1916" t="str">
        <f t="shared" si="360"/>
        <v>COM</v>
      </c>
      <c r="G1916" t="str">
        <f t="shared" si="367"/>
        <v>JORGE HENRIQUE DA SILVA BRASIL (1203)</v>
      </c>
      <c r="H1916" t="str">
        <f>"Serv.Prest. 02/03/2026 a 08/03/2026 - PIX: CELULAR - CHAVE: (19) 99674-2835"</f>
        <v>Serv.Prest. 02/03/2026 a 08/03/2026 - PIX: CELULAR - CHAVE: (19) 99674-2835</v>
      </c>
      <c r="I1916" t="str">
        <f t="shared" si="359"/>
        <v>12/03/2026</v>
      </c>
      <c r="J1916" t="str">
        <f t="shared" si="361"/>
        <v>09/03/2026</v>
      </c>
      <c r="K1916" t="str">
        <f>("12/03/2026")</f>
        <v>12/03/2026</v>
      </c>
      <c r="L1916">
        <v>588</v>
      </c>
      <c r="M1916">
        <v>588</v>
      </c>
      <c r="N1916">
        <v>109</v>
      </c>
      <c r="O1916" t="str">
        <f>"PAGAMENTO DE ENTREGADORES"</f>
        <v>PAGAMENTO DE ENTREGADORES</v>
      </c>
      <c r="P1916">
        <v>588</v>
      </c>
      <c r="S1916" t="str">
        <f>"BANCO C6 (149)"</f>
        <v>BANCO C6 (149)</v>
      </c>
      <c r="T1916">
        <v>31015</v>
      </c>
      <c r="U1916">
        <v>34335</v>
      </c>
      <c r="V1916" t="s">
        <v>37</v>
      </c>
    </row>
    <row r="1917" spans="1:22">
      <c r="A1917" t="str">
        <f t="shared" si="362"/>
        <v>12/03/2026</v>
      </c>
      <c r="B1917" t="str">
        <f t="shared" si="366"/>
        <v>SAÍDA</v>
      </c>
      <c r="C1917" t="str">
        <f t="shared" si="358"/>
        <v>PIX</v>
      </c>
      <c r="D1917" t="str">
        <f>"34335"</f>
        <v>34335</v>
      </c>
      <c r="E1917" t="str">
        <f t="shared" si="363"/>
        <v>1</v>
      </c>
      <c r="F1917" t="str">
        <f t="shared" si="360"/>
        <v>COM</v>
      </c>
      <c r="G1917" t="str">
        <f t="shared" si="367"/>
        <v>JORGE HENRIQUE DA SILVA BRASIL (1203)</v>
      </c>
      <c r="H1917" t="s">
        <v>642</v>
      </c>
      <c r="I1917" t="str">
        <f t="shared" si="359"/>
        <v>12/03/2026</v>
      </c>
      <c r="J1917" t="str">
        <f t="shared" si="361"/>
        <v>09/03/2026</v>
      </c>
      <c r="K1917">
        <v>46093</v>
      </c>
      <c r="N1917">
        <v>109</v>
      </c>
      <c r="O1917" t="s">
        <v>27</v>
      </c>
      <c r="Q1917">
        <v>588</v>
      </c>
      <c r="R1917" t="str">
        <f>"BEM TE FAZ LOJA 6 (10284)"</f>
        <v>BEM TE FAZ LOJA 6 (10284)</v>
      </c>
      <c r="S1917" t="s">
        <v>37</v>
      </c>
      <c r="T1917">
        <v>31015</v>
      </c>
      <c r="U1917">
        <v>34335</v>
      </c>
      <c r="V1917" t="s">
        <v>37</v>
      </c>
    </row>
    <row r="1918" spans="1:22">
      <c r="A1918" t="str">
        <f t="shared" si="362"/>
        <v>12/03/2026</v>
      </c>
      <c r="B1918" t="str">
        <f t="shared" si="366"/>
        <v>SAÍDA</v>
      </c>
      <c r="C1918" t="str">
        <f t="shared" si="358"/>
        <v>PIX</v>
      </c>
      <c r="D1918" t="str">
        <f>"34336"</f>
        <v>34336</v>
      </c>
      <c r="E1918" t="str">
        <f t="shared" si="363"/>
        <v>1</v>
      </c>
      <c r="F1918" t="str">
        <f t="shared" si="360"/>
        <v>COM</v>
      </c>
      <c r="G1918" t="str">
        <f t="shared" si="367"/>
        <v>JORGE HENRIQUE DA SILVA BRASIL (1203)</v>
      </c>
      <c r="H1918" t="str">
        <f>"Serv.Prest. 02/03/2026 a 08/03/2026 - PIX: CELULAR - CHAVE: (19) 99674-2835"</f>
        <v>Serv.Prest. 02/03/2026 a 08/03/2026 - PIX: CELULAR - CHAVE: (19) 99674-2835</v>
      </c>
      <c r="I1918" t="str">
        <f t="shared" si="359"/>
        <v>12/03/2026</v>
      </c>
      <c r="J1918" t="str">
        <f t="shared" si="361"/>
        <v>09/03/2026</v>
      </c>
      <c r="K1918" t="str">
        <f>("12/03/2026")</f>
        <v>12/03/2026</v>
      </c>
      <c r="L1918">
        <v>21</v>
      </c>
      <c r="M1918">
        <v>21</v>
      </c>
      <c r="N1918">
        <v>109</v>
      </c>
      <c r="O1918" t="str">
        <f>"PAGAMENTO DE ENTREGADORES"</f>
        <v>PAGAMENTO DE ENTREGADORES</v>
      </c>
      <c r="P1918">
        <v>21</v>
      </c>
      <c r="S1918" t="str">
        <f>"BANCO C6 (149)"</f>
        <v>BANCO C6 (149)</v>
      </c>
      <c r="T1918">
        <v>31016</v>
      </c>
      <c r="U1918">
        <v>34336</v>
      </c>
      <c r="V1918" t="s">
        <v>37</v>
      </c>
    </row>
    <row r="1919" spans="1:22">
      <c r="A1919" t="str">
        <f t="shared" si="362"/>
        <v>12/03/2026</v>
      </c>
      <c r="B1919" t="str">
        <f t="shared" si="366"/>
        <v>SAÍDA</v>
      </c>
      <c r="C1919" t="str">
        <f t="shared" si="358"/>
        <v>PIX</v>
      </c>
      <c r="D1919" t="str">
        <f>"34336"</f>
        <v>34336</v>
      </c>
      <c r="E1919" t="str">
        <f t="shared" si="363"/>
        <v>1</v>
      </c>
      <c r="F1919" t="str">
        <f t="shared" si="360"/>
        <v>COM</v>
      </c>
      <c r="G1919" t="str">
        <f t="shared" si="367"/>
        <v>JORGE HENRIQUE DA SILVA BRASIL (1203)</v>
      </c>
      <c r="H1919" t="s">
        <v>642</v>
      </c>
      <c r="I1919" t="str">
        <f t="shared" si="359"/>
        <v>12/03/2026</v>
      </c>
      <c r="J1919" t="str">
        <f t="shared" si="361"/>
        <v>09/03/2026</v>
      </c>
      <c r="K1919">
        <v>46093</v>
      </c>
      <c r="N1919">
        <v>109</v>
      </c>
      <c r="O1919" t="s">
        <v>27</v>
      </c>
      <c r="Q1919">
        <v>21</v>
      </c>
      <c r="R1919" t="str">
        <f>"BEM TE FAZ 05 (10294)"</f>
        <v>BEM TE FAZ 05 (10294)</v>
      </c>
      <c r="S1919" t="s">
        <v>37</v>
      </c>
      <c r="T1919">
        <v>31016</v>
      </c>
      <c r="U1919">
        <v>34336</v>
      </c>
      <c r="V1919" t="s">
        <v>37</v>
      </c>
    </row>
    <row r="1920" spans="1:22">
      <c r="A1920" t="str">
        <f t="shared" si="362"/>
        <v>12/03/2026</v>
      </c>
      <c r="B1920" t="str">
        <f t="shared" si="366"/>
        <v>SAÍDA</v>
      </c>
      <c r="C1920" t="str">
        <f t="shared" ref="C1920:C1983" si="368">"PIX"</f>
        <v>PIX</v>
      </c>
      <c r="D1920" t="str">
        <f>"34337"</f>
        <v>34337</v>
      </c>
      <c r="E1920" t="str">
        <f t="shared" si="363"/>
        <v>1</v>
      </c>
      <c r="F1920" t="str">
        <f t="shared" si="360"/>
        <v>COM</v>
      </c>
      <c r="G1920" t="str">
        <f t="shared" si="367"/>
        <v>JORGE HENRIQUE DA SILVA BRASIL (1203)</v>
      </c>
      <c r="H1920" t="str">
        <f>"Serv.Prest. 02/03/2026 a 08/03/2026 - PIX: CELULAR - CHAVE: (19) 99674-2835"</f>
        <v>Serv.Prest. 02/03/2026 a 08/03/2026 - PIX: CELULAR - CHAVE: (19) 99674-2835</v>
      </c>
      <c r="I1920" t="str">
        <f t="shared" ref="I1920:I1983" si="369">("12/03/2026")</f>
        <v>12/03/2026</v>
      </c>
      <c r="J1920" t="str">
        <f t="shared" si="361"/>
        <v>09/03/2026</v>
      </c>
      <c r="K1920" t="str">
        <f>("12/03/2026")</f>
        <v>12/03/2026</v>
      </c>
      <c r="L1920">
        <v>140</v>
      </c>
      <c r="M1920">
        <v>140</v>
      </c>
      <c r="N1920">
        <v>109</v>
      </c>
      <c r="O1920" t="str">
        <f>"PAGAMENTO DE ENTREGADORES"</f>
        <v>PAGAMENTO DE ENTREGADORES</v>
      </c>
      <c r="P1920">
        <v>140</v>
      </c>
      <c r="S1920" t="str">
        <f>"BANCO C6 (149)"</f>
        <v>BANCO C6 (149)</v>
      </c>
      <c r="T1920">
        <v>31017</v>
      </c>
      <c r="U1920">
        <v>34337</v>
      </c>
      <c r="V1920" t="s">
        <v>37</v>
      </c>
    </row>
    <row r="1921" spans="1:22">
      <c r="A1921" t="str">
        <f t="shared" si="362"/>
        <v>12/03/2026</v>
      </c>
      <c r="B1921" t="str">
        <f t="shared" si="366"/>
        <v>SAÍDA</v>
      </c>
      <c r="C1921" t="str">
        <f t="shared" si="368"/>
        <v>PIX</v>
      </c>
      <c r="D1921" t="str">
        <f>"34337"</f>
        <v>34337</v>
      </c>
      <c r="E1921" t="str">
        <f t="shared" si="363"/>
        <v>1</v>
      </c>
      <c r="F1921" t="str">
        <f t="shared" si="360"/>
        <v>COM</v>
      </c>
      <c r="G1921" t="str">
        <f t="shared" si="367"/>
        <v>JORGE HENRIQUE DA SILVA BRASIL (1203)</v>
      </c>
      <c r="H1921" t="s">
        <v>642</v>
      </c>
      <c r="I1921" t="str">
        <f t="shared" si="369"/>
        <v>12/03/2026</v>
      </c>
      <c r="J1921" t="str">
        <f t="shared" si="361"/>
        <v>09/03/2026</v>
      </c>
      <c r="K1921">
        <v>46093</v>
      </c>
      <c r="N1921">
        <v>109</v>
      </c>
      <c r="O1921" t="s">
        <v>27</v>
      </c>
      <c r="Q1921">
        <v>140</v>
      </c>
      <c r="R1921" t="str">
        <f>"BEM TE FAZ LOJA 9 (10286)"</f>
        <v>BEM TE FAZ LOJA 9 (10286)</v>
      </c>
      <c r="S1921" t="s">
        <v>37</v>
      </c>
      <c r="T1921">
        <v>31017</v>
      </c>
      <c r="U1921">
        <v>34337</v>
      </c>
      <c r="V1921" t="s">
        <v>37</v>
      </c>
    </row>
    <row r="1922" spans="1:22">
      <c r="A1922" t="str">
        <f t="shared" si="362"/>
        <v>12/03/2026</v>
      </c>
      <c r="B1922" t="str">
        <f t="shared" si="366"/>
        <v>SAÍDA</v>
      </c>
      <c r="C1922" t="str">
        <f t="shared" si="368"/>
        <v>PIX</v>
      </c>
      <c r="D1922" t="str">
        <f>"34338"</f>
        <v>34338</v>
      </c>
      <c r="E1922" t="str">
        <f t="shared" si="363"/>
        <v>1</v>
      </c>
      <c r="F1922" t="str">
        <f t="shared" ref="F1922:F1985" si="370">"COM"</f>
        <v>COM</v>
      </c>
      <c r="G1922" t="str">
        <f>"LUCAS PAIVA DE OLIVEIRA SOUSA (1226)"</f>
        <v>LUCAS PAIVA DE OLIVEIRA SOUSA (1226)</v>
      </c>
      <c r="H1922" t="str">
        <f>"Serv.Prest. 02/03/2026 a 08/03/2026 - PIX: CELULAR - CHAVE: (19) 98258-0687"</f>
        <v>Serv.Prest. 02/03/2026 a 08/03/2026 - PIX: CELULAR - CHAVE: (19) 98258-0687</v>
      </c>
      <c r="I1922" t="str">
        <f t="shared" si="369"/>
        <v>12/03/2026</v>
      </c>
      <c r="J1922" t="str">
        <f t="shared" si="361"/>
        <v>09/03/2026</v>
      </c>
      <c r="K1922" t="str">
        <f>("12/03/2026")</f>
        <v>12/03/2026</v>
      </c>
      <c r="L1922">
        <v>1533</v>
      </c>
      <c r="M1922">
        <v>1533</v>
      </c>
      <c r="N1922">
        <v>109</v>
      </c>
      <c r="O1922" t="str">
        <f>"PAGAMENTO DE ENTREGADORES"</f>
        <v>PAGAMENTO DE ENTREGADORES</v>
      </c>
      <c r="P1922">
        <v>1533</v>
      </c>
      <c r="S1922" t="str">
        <f>"BANCO C6 (149)"</f>
        <v>BANCO C6 (149)</v>
      </c>
      <c r="T1922">
        <v>31018</v>
      </c>
      <c r="U1922">
        <v>34338</v>
      </c>
      <c r="V1922" t="s">
        <v>37</v>
      </c>
    </row>
    <row r="1923" spans="1:22">
      <c r="A1923" t="str">
        <f t="shared" si="362"/>
        <v>12/03/2026</v>
      </c>
      <c r="B1923" t="str">
        <f t="shared" si="366"/>
        <v>SAÍDA</v>
      </c>
      <c r="C1923" t="str">
        <f t="shared" si="368"/>
        <v>PIX</v>
      </c>
      <c r="D1923" t="str">
        <f>"34338"</f>
        <v>34338</v>
      </c>
      <c r="E1923" t="str">
        <f t="shared" si="363"/>
        <v>1</v>
      </c>
      <c r="F1923" t="str">
        <f t="shared" si="370"/>
        <v>COM</v>
      </c>
      <c r="G1923" t="str">
        <f>"LUCAS PAIVA DE OLIVEIRA SOUSA (1226)"</f>
        <v>LUCAS PAIVA DE OLIVEIRA SOUSA (1226)</v>
      </c>
      <c r="H1923" t="s">
        <v>643</v>
      </c>
      <c r="I1923" t="str">
        <f t="shared" si="369"/>
        <v>12/03/2026</v>
      </c>
      <c r="J1923" t="str">
        <f t="shared" si="361"/>
        <v>09/03/2026</v>
      </c>
      <c r="K1923">
        <v>46093</v>
      </c>
      <c r="N1923">
        <v>109</v>
      </c>
      <c r="O1923" t="s">
        <v>27</v>
      </c>
      <c r="Q1923">
        <v>1533</v>
      </c>
      <c r="R1923" t="str">
        <f>"BEM TE FAZ LOJA 3 (10287)"</f>
        <v>BEM TE FAZ LOJA 3 (10287)</v>
      </c>
      <c r="S1923" t="s">
        <v>37</v>
      </c>
      <c r="T1923">
        <v>31018</v>
      </c>
      <c r="U1923">
        <v>34338</v>
      </c>
      <c r="V1923" t="s">
        <v>37</v>
      </c>
    </row>
    <row r="1924" spans="1:22">
      <c r="A1924" t="str">
        <f t="shared" si="362"/>
        <v>12/03/2026</v>
      </c>
      <c r="B1924" t="str">
        <f t="shared" si="366"/>
        <v>SAÍDA</v>
      </c>
      <c r="C1924" t="str">
        <f t="shared" si="368"/>
        <v>PIX</v>
      </c>
      <c r="D1924" t="str">
        <f>"34339"</f>
        <v>34339</v>
      </c>
      <c r="E1924" t="str">
        <f t="shared" si="363"/>
        <v>1</v>
      </c>
      <c r="F1924" t="str">
        <f t="shared" si="370"/>
        <v>COM</v>
      </c>
      <c r="G1924" t="str">
        <f t="shared" ref="G1924:G1929" si="371">"MAICON ALVES DA SILVA (1205)"</f>
        <v>MAICON ALVES DA SILVA (1205)</v>
      </c>
      <c r="H1924" t="str">
        <f>"Serv.Prest. 02/03/2026 a 08/03/2026 - PIX: CNPJ - CHAVE: 48.182.907/0001-45"</f>
        <v>Serv.Prest. 02/03/2026 a 08/03/2026 - PIX: CNPJ - CHAVE: 48.182.907/0001-45</v>
      </c>
      <c r="I1924" t="str">
        <f t="shared" si="369"/>
        <v>12/03/2026</v>
      </c>
      <c r="J1924" t="str">
        <f t="shared" ref="J1924:J1987" si="372">("09/03/2026")</f>
        <v>09/03/2026</v>
      </c>
      <c r="K1924" t="str">
        <f>("12/03/2026")</f>
        <v>12/03/2026</v>
      </c>
      <c r="L1924">
        <v>1029</v>
      </c>
      <c r="M1924">
        <v>1029</v>
      </c>
      <c r="N1924">
        <v>109</v>
      </c>
      <c r="O1924" t="str">
        <f>"PAGAMENTO DE ENTREGADORES"</f>
        <v>PAGAMENTO DE ENTREGADORES</v>
      </c>
      <c r="P1924">
        <v>1029</v>
      </c>
      <c r="S1924" t="str">
        <f>"BANCO C6 (149)"</f>
        <v>BANCO C6 (149)</v>
      </c>
      <c r="T1924">
        <v>31019</v>
      </c>
      <c r="U1924">
        <v>34339</v>
      </c>
      <c r="V1924" t="s">
        <v>37</v>
      </c>
    </row>
    <row r="1925" spans="1:22">
      <c r="A1925" t="str">
        <f t="shared" si="362"/>
        <v>12/03/2026</v>
      </c>
      <c r="B1925" t="str">
        <f t="shared" si="366"/>
        <v>SAÍDA</v>
      </c>
      <c r="C1925" t="str">
        <f t="shared" si="368"/>
        <v>PIX</v>
      </c>
      <c r="D1925" t="str">
        <f>"34339"</f>
        <v>34339</v>
      </c>
      <c r="E1925" t="str">
        <f t="shared" si="363"/>
        <v>1</v>
      </c>
      <c r="F1925" t="str">
        <f t="shared" si="370"/>
        <v>COM</v>
      </c>
      <c r="G1925" t="str">
        <f t="shared" si="371"/>
        <v>MAICON ALVES DA SILVA (1205)</v>
      </c>
      <c r="H1925" t="s">
        <v>644</v>
      </c>
      <c r="I1925" t="str">
        <f t="shared" si="369"/>
        <v>12/03/2026</v>
      </c>
      <c r="J1925" t="str">
        <f t="shared" si="372"/>
        <v>09/03/2026</v>
      </c>
      <c r="K1925">
        <v>46093</v>
      </c>
      <c r="N1925">
        <v>109</v>
      </c>
      <c r="O1925" t="s">
        <v>27</v>
      </c>
      <c r="Q1925">
        <v>1029</v>
      </c>
      <c r="R1925" t="str">
        <f>"BEM TE FAZ LOJA 9 (10286)"</f>
        <v>BEM TE FAZ LOJA 9 (10286)</v>
      </c>
      <c r="S1925" t="s">
        <v>37</v>
      </c>
      <c r="T1925">
        <v>31019</v>
      </c>
      <c r="U1925">
        <v>34339</v>
      </c>
      <c r="V1925" t="s">
        <v>37</v>
      </c>
    </row>
    <row r="1926" spans="1:22">
      <c r="A1926" t="str">
        <f t="shared" si="362"/>
        <v>12/03/2026</v>
      </c>
      <c r="B1926" t="str">
        <f t="shared" si="366"/>
        <v>SAÍDA</v>
      </c>
      <c r="C1926" t="str">
        <f t="shared" si="368"/>
        <v>PIX</v>
      </c>
      <c r="D1926" t="str">
        <f>"34340"</f>
        <v>34340</v>
      </c>
      <c r="E1926" t="str">
        <f t="shared" si="363"/>
        <v>1</v>
      </c>
      <c r="F1926" t="str">
        <f t="shared" si="370"/>
        <v>COM</v>
      </c>
      <c r="G1926" t="str">
        <f t="shared" si="371"/>
        <v>MAICON ALVES DA SILVA (1205)</v>
      </c>
      <c r="H1926" t="str">
        <f>"Serv.Prest. 02/03/2026 a 08/03/2026 - PIX: CNPJ - CHAVE: 48.182.907/0001-45"</f>
        <v>Serv.Prest. 02/03/2026 a 08/03/2026 - PIX: CNPJ - CHAVE: 48.182.907/0001-45</v>
      </c>
      <c r="I1926" t="str">
        <f t="shared" si="369"/>
        <v>12/03/2026</v>
      </c>
      <c r="J1926" t="str">
        <f t="shared" si="372"/>
        <v>09/03/2026</v>
      </c>
      <c r="K1926" t="str">
        <f>("12/03/2026")</f>
        <v>12/03/2026</v>
      </c>
      <c r="L1926">
        <v>7</v>
      </c>
      <c r="M1926">
        <v>7</v>
      </c>
      <c r="N1926">
        <v>109</v>
      </c>
      <c r="O1926" t="str">
        <f>"PAGAMENTO DE ENTREGADORES"</f>
        <v>PAGAMENTO DE ENTREGADORES</v>
      </c>
      <c r="P1926">
        <v>7</v>
      </c>
      <c r="S1926" t="str">
        <f>"BANCO C6 (149)"</f>
        <v>BANCO C6 (149)</v>
      </c>
      <c r="T1926">
        <v>31020</v>
      </c>
      <c r="U1926">
        <v>34340</v>
      </c>
      <c r="V1926" t="s">
        <v>37</v>
      </c>
    </row>
    <row r="1927" spans="1:22">
      <c r="A1927" t="str">
        <f t="shared" si="362"/>
        <v>12/03/2026</v>
      </c>
      <c r="B1927" t="str">
        <f t="shared" si="366"/>
        <v>SAÍDA</v>
      </c>
      <c r="C1927" t="str">
        <f t="shared" si="368"/>
        <v>PIX</v>
      </c>
      <c r="D1927" t="str">
        <f>"34340"</f>
        <v>34340</v>
      </c>
      <c r="E1927" t="str">
        <f t="shared" si="363"/>
        <v>1</v>
      </c>
      <c r="F1927" t="str">
        <f t="shared" si="370"/>
        <v>COM</v>
      </c>
      <c r="G1927" t="str">
        <f t="shared" si="371"/>
        <v>MAICON ALVES DA SILVA (1205)</v>
      </c>
      <c r="H1927" t="s">
        <v>644</v>
      </c>
      <c r="I1927" t="str">
        <f t="shared" si="369"/>
        <v>12/03/2026</v>
      </c>
      <c r="J1927" t="str">
        <f t="shared" si="372"/>
        <v>09/03/2026</v>
      </c>
      <c r="K1927">
        <v>46093</v>
      </c>
      <c r="N1927">
        <v>109</v>
      </c>
      <c r="O1927" t="s">
        <v>27</v>
      </c>
      <c r="Q1927">
        <v>7</v>
      </c>
      <c r="R1927" t="str">
        <f>"BEM TE FAZ LOJA 6 (10284)"</f>
        <v>BEM TE FAZ LOJA 6 (10284)</v>
      </c>
      <c r="S1927" t="s">
        <v>37</v>
      </c>
      <c r="T1927">
        <v>31020</v>
      </c>
      <c r="U1927">
        <v>34340</v>
      </c>
      <c r="V1927" t="s">
        <v>37</v>
      </c>
    </row>
    <row r="1928" spans="1:22">
      <c r="A1928" t="str">
        <f t="shared" si="362"/>
        <v>12/03/2026</v>
      </c>
      <c r="B1928" t="str">
        <f t="shared" si="366"/>
        <v>SAÍDA</v>
      </c>
      <c r="C1928" t="str">
        <f t="shared" si="368"/>
        <v>PIX</v>
      </c>
      <c r="D1928" t="str">
        <f>"34341"</f>
        <v>34341</v>
      </c>
      <c r="E1928" t="str">
        <f t="shared" si="363"/>
        <v>1</v>
      </c>
      <c r="F1928" t="str">
        <f t="shared" si="370"/>
        <v>COM</v>
      </c>
      <c r="G1928" t="str">
        <f t="shared" si="371"/>
        <v>MAICON ALVES DA SILVA (1205)</v>
      </c>
      <c r="H1928" t="str">
        <f>"Serv.Prest. 02/03/2026 a 08/03/2026 - PIX: CNPJ - CHAVE: 48.182.907/0001-45"</f>
        <v>Serv.Prest. 02/03/2026 a 08/03/2026 - PIX: CNPJ - CHAVE: 48.182.907/0001-45</v>
      </c>
      <c r="I1928" t="str">
        <f t="shared" si="369"/>
        <v>12/03/2026</v>
      </c>
      <c r="J1928" t="str">
        <f t="shared" si="372"/>
        <v>09/03/2026</v>
      </c>
      <c r="K1928" t="str">
        <f>("12/03/2026")</f>
        <v>12/03/2026</v>
      </c>
      <c r="L1928">
        <v>7</v>
      </c>
      <c r="M1928">
        <v>7</v>
      </c>
      <c r="N1928">
        <v>109</v>
      </c>
      <c r="O1928" t="str">
        <f>"PAGAMENTO DE ENTREGADORES"</f>
        <v>PAGAMENTO DE ENTREGADORES</v>
      </c>
      <c r="P1928">
        <v>7</v>
      </c>
      <c r="S1928" t="str">
        <f>"BANCO C6 (149)"</f>
        <v>BANCO C6 (149)</v>
      </c>
      <c r="T1928">
        <v>31021</v>
      </c>
      <c r="U1928">
        <v>34341</v>
      </c>
      <c r="V1928" t="s">
        <v>37</v>
      </c>
    </row>
    <row r="1929" spans="1:22">
      <c r="A1929" t="str">
        <f t="shared" ref="A1929:A1992" si="373">("12/03/2026")</f>
        <v>12/03/2026</v>
      </c>
      <c r="B1929" t="str">
        <f t="shared" si="366"/>
        <v>SAÍDA</v>
      </c>
      <c r="C1929" t="str">
        <f t="shared" si="368"/>
        <v>PIX</v>
      </c>
      <c r="D1929" t="str">
        <f>"34341"</f>
        <v>34341</v>
      </c>
      <c r="E1929" t="str">
        <f t="shared" ref="E1929:E1992" si="374">"1"</f>
        <v>1</v>
      </c>
      <c r="F1929" t="str">
        <f t="shared" si="370"/>
        <v>COM</v>
      </c>
      <c r="G1929" t="str">
        <f t="shared" si="371"/>
        <v>MAICON ALVES DA SILVA (1205)</v>
      </c>
      <c r="H1929" t="s">
        <v>644</v>
      </c>
      <c r="I1929" t="str">
        <f t="shared" si="369"/>
        <v>12/03/2026</v>
      </c>
      <c r="J1929" t="str">
        <f t="shared" si="372"/>
        <v>09/03/2026</v>
      </c>
      <c r="K1929">
        <v>46093</v>
      </c>
      <c r="N1929">
        <v>109</v>
      </c>
      <c r="O1929" t="s">
        <v>27</v>
      </c>
      <c r="Q1929">
        <v>7</v>
      </c>
      <c r="R1929" t="str">
        <f>"BEM TE FAZ LOJA 7 (10285)"</f>
        <v>BEM TE FAZ LOJA 7 (10285)</v>
      </c>
      <c r="S1929" t="s">
        <v>37</v>
      </c>
      <c r="T1929">
        <v>31021</v>
      </c>
      <c r="U1929">
        <v>34341</v>
      </c>
      <c r="V1929" t="s">
        <v>37</v>
      </c>
    </row>
    <row r="1930" spans="1:22">
      <c r="A1930" t="str">
        <f t="shared" si="373"/>
        <v>12/03/2026</v>
      </c>
      <c r="B1930" t="str">
        <f t="shared" si="366"/>
        <v>SAÍDA</v>
      </c>
      <c r="C1930" t="str">
        <f t="shared" si="368"/>
        <v>PIX</v>
      </c>
      <c r="D1930" t="str">
        <f>"34342"</f>
        <v>34342</v>
      </c>
      <c r="E1930" t="str">
        <f t="shared" si="374"/>
        <v>1</v>
      </c>
      <c r="F1930" t="str">
        <f t="shared" si="370"/>
        <v>COM</v>
      </c>
      <c r="G1930" t="str">
        <f>"MICHEL AFONSO BRITO CORREIA (1167)"</f>
        <v>MICHEL AFONSO BRITO CORREIA (1167)</v>
      </c>
      <c r="H1930" t="str">
        <f>"Serv.Prest. 02/03/2026 a 08/03/2026 - PIX: CELULAR - CHAVE: (19) 97145-1624"</f>
        <v>Serv.Prest. 02/03/2026 a 08/03/2026 - PIX: CELULAR - CHAVE: (19) 97145-1624</v>
      </c>
      <c r="I1930" t="str">
        <f t="shared" si="369"/>
        <v>12/03/2026</v>
      </c>
      <c r="J1930" t="str">
        <f t="shared" si="372"/>
        <v>09/03/2026</v>
      </c>
      <c r="K1930" t="str">
        <f>("12/03/2026")</f>
        <v>12/03/2026</v>
      </c>
      <c r="L1930">
        <v>1037</v>
      </c>
      <c r="M1930">
        <v>1037</v>
      </c>
      <c r="N1930">
        <v>109</v>
      </c>
      <c r="O1930" t="str">
        <f>"PAGAMENTO DE ENTREGADORES"</f>
        <v>PAGAMENTO DE ENTREGADORES</v>
      </c>
      <c r="P1930">
        <v>1037</v>
      </c>
      <c r="S1930" t="str">
        <f>"BANCO C6 (149)"</f>
        <v>BANCO C6 (149)</v>
      </c>
      <c r="T1930">
        <v>31022</v>
      </c>
      <c r="U1930">
        <v>34342</v>
      </c>
      <c r="V1930" t="s">
        <v>37</v>
      </c>
    </row>
    <row r="1931" spans="1:22">
      <c r="A1931" t="str">
        <f t="shared" si="373"/>
        <v>12/03/2026</v>
      </c>
      <c r="B1931" t="str">
        <f t="shared" si="366"/>
        <v>SAÍDA</v>
      </c>
      <c r="C1931" t="str">
        <f t="shared" si="368"/>
        <v>PIX</v>
      </c>
      <c r="D1931" t="str">
        <f>"34342"</f>
        <v>34342</v>
      </c>
      <c r="E1931" t="str">
        <f t="shared" si="374"/>
        <v>1</v>
      </c>
      <c r="F1931" t="str">
        <f t="shared" si="370"/>
        <v>COM</v>
      </c>
      <c r="G1931" t="str">
        <f>"MICHEL AFONSO BRITO CORREIA (1167)"</f>
        <v>MICHEL AFONSO BRITO CORREIA (1167)</v>
      </c>
      <c r="H1931" t="s">
        <v>522</v>
      </c>
      <c r="I1931" t="str">
        <f t="shared" si="369"/>
        <v>12/03/2026</v>
      </c>
      <c r="J1931" t="str">
        <f t="shared" si="372"/>
        <v>09/03/2026</v>
      </c>
      <c r="K1931">
        <v>46093</v>
      </c>
      <c r="N1931">
        <v>109</v>
      </c>
      <c r="O1931" t="s">
        <v>27</v>
      </c>
      <c r="Q1931">
        <v>1037</v>
      </c>
      <c r="R1931" t="str">
        <f>"BEM TE FAZ LOJA 7 (10285)"</f>
        <v>BEM TE FAZ LOJA 7 (10285)</v>
      </c>
      <c r="S1931" t="s">
        <v>37</v>
      </c>
      <c r="T1931">
        <v>31022</v>
      </c>
      <c r="U1931">
        <v>34342</v>
      </c>
      <c r="V1931" t="s">
        <v>37</v>
      </c>
    </row>
    <row r="1932" spans="1:22">
      <c r="A1932" t="str">
        <f t="shared" si="373"/>
        <v>12/03/2026</v>
      </c>
      <c r="B1932" t="str">
        <f t="shared" si="366"/>
        <v>SAÍDA</v>
      </c>
      <c r="C1932" t="str">
        <f t="shared" si="368"/>
        <v>PIX</v>
      </c>
      <c r="D1932" t="str">
        <f>"34343"</f>
        <v>34343</v>
      </c>
      <c r="E1932" t="str">
        <f t="shared" si="374"/>
        <v>1</v>
      </c>
      <c r="F1932" t="str">
        <f t="shared" si="370"/>
        <v>COM</v>
      </c>
      <c r="G1932" t="str">
        <f>"MIRIAN DE PAULO OLIVEIRA (1237)"</f>
        <v>MIRIAN DE PAULO OLIVEIRA (1237)</v>
      </c>
      <c r="H1932" t="str">
        <f>"Serv.Prest. 02/03/2026 a 08/03/2026 - PIX: CELULAR - CHAVE: (19) 99994-0858"</f>
        <v>Serv.Prest. 02/03/2026 a 08/03/2026 - PIX: CELULAR - CHAVE: (19) 99994-0858</v>
      </c>
      <c r="I1932" t="str">
        <f t="shared" si="369"/>
        <v>12/03/2026</v>
      </c>
      <c r="J1932" t="str">
        <f t="shared" si="372"/>
        <v>09/03/2026</v>
      </c>
      <c r="K1932" t="str">
        <f>("12/03/2026")</f>
        <v>12/03/2026</v>
      </c>
      <c r="L1932">
        <v>1302</v>
      </c>
      <c r="M1932">
        <v>1302</v>
      </c>
      <c r="N1932">
        <v>109</v>
      </c>
      <c r="O1932" t="str">
        <f>"PAGAMENTO DE ENTREGADORES"</f>
        <v>PAGAMENTO DE ENTREGADORES</v>
      </c>
      <c r="P1932">
        <v>1302</v>
      </c>
      <c r="S1932" t="str">
        <f>"BANCO C6 (149)"</f>
        <v>BANCO C6 (149)</v>
      </c>
      <c r="T1932">
        <v>31023</v>
      </c>
      <c r="U1932">
        <v>34343</v>
      </c>
      <c r="V1932" t="s">
        <v>37</v>
      </c>
    </row>
    <row r="1933" spans="1:22">
      <c r="A1933" t="str">
        <f t="shared" si="373"/>
        <v>12/03/2026</v>
      </c>
      <c r="B1933" t="str">
        <f t="shared" si="366"/>
        <v>SAÍDA</v>
      </c>
      <c r="C1933" t="str">
        <f t="shared" si="368"/>
        <v>PIX</v>
      </c>
      <c r="D1933" t="str">
        <f>"34343"</f>
        <v>34343</v>
      </c>
      <c r="E1933" t="str">
        <f t="shared" si="374"/>
        <v>1</v>
      </c>
      <c r="F1933" t="str">
        <f t="shared" si="370"/>
        <v>COM</v>
      </c>
      <c r="G1933" t="str">
        <f>"MIRIAN DE PAULO OLIVEIRA (1237)"</f>
        <v>MIRIAN DE PAULO OLIVEIRA (1237)</v>
      </c>
      <c r="H1933" t="s">
        <v>645</v>
      </c>
      <c r="I1933" t="str">
        <f t="shared" si="369"/>
        <v>12/03/2026</v>
      </c>
      <c r="J1933" t="str">
        <f t="shared" si="372"/>
        <v>09/03/2026</v>
      </c>
      <c r="K1933">
        <v>46093</v>
      </c>
      <c r="N1933">
        <v>109</v>
      </c>
      <c r="O1933" t="s">
        <v>27</v>
      </c>
      <c r="Q1933">
        <v>1302</v>
      </c>
      <c r="R1933" t="str">
        <f>"BEM TE FAZ LOJA 3 (10287)"</f>
        <v>BEM TE FAZ LOJA 3 (10287)</v>
      </c>
      <c r="S1933" t="s">
        <v>37</v>
      </c>
      <c r="T1933">
        <v>31023</v>
      </c>
      <c r="U1933">
        <v>34343</v>
      </c>
      <c r="V1933" t="s">
        <v>37</v>
      </c>
    </row>
    <row r="1934" spans="1:22">
      <c r="A1934" t="str">
        <f t="shared" si="373"/>
        <v>12/03/2026</v>
      </c>
      <c r="B1934" t="str">
        <f t="shared" si="366"/>
        <v>SAÍDA</v>
      </c>
      <c r="C1934" t="str">
        <f t="shared" si="368"/>
        <v>PIX</v>
      </c>
      <c r="D1934" t="str">
        <f>"34344"</f>
        <v>34344</v>
      </c>
      <c r="E1934" t="str">
        <f t="shared" si="374"/>
        <v>1</v>
      </c>
      <c r="F1934" t="str">
        <f t="shared" si="370"/>
        <v>COM</v>
      </c>
      <c r="G1934" t="str">
        <f>"RAFAEL LUCIO ASSIS BERNARDES (1269)"</f>
        <v>RAFAEL LUCIO ASSIS BERNARDES (1269)</v>
      </c>
      <c r="H1934" t="str">
        <f>"Serv.Prest. 02/03/2026 a 08/03/2026 - PIX: CELULAR - CHAVE: (19) 97822-4918"</f>
        <v>Serv.Prest. 02/03/2026 a 08/03/2026 - PIX: CELULAR - CHAVE: (19) 97822-4918</v>
      </c>
      <c r="I1934" t="str">
        <f t="shared" si="369"/>
        <v>12/03/2026</v>
      </c>
      <c r="J1934" t="str">
        <f t="shared" si="372"/>
        <v>09/03/2026</v>
      </c>
      <c r="K1934" t="str">
        <f>("12/03/2026")</f>
        <v>12/03/2026</v>
      </c>
      <c r="L1934">
        <v>133</v>
      </c>
      <c r="M1934">
        <v>133</v>
      </c>
      <c r="N1934">
        <v>109</v>
      </c>
      <c r="O1934" t="str">
        <f>"PAGAMENTO DE ENTREGADORES"</f>
        <v>PAGAMENTO DE ENTREGADORES</v>
      </c>
      <c r="P1934">
        <v>133</v>
      </c>
      <c r="S1934" t="str">
        <f>"BANCO C6 (149)"</f>
        <v>BANCO C6 (149)</v>
      </c>
      <c r="T1934">
        <v>31024</v>
      </c>
      <c r="U1934">
        <v>34344</v>
      </c>
      <c r="V1934" t="s">
        <v>37</v>
      </c>
    </row>
    <row r="1935" spans="1:22">
      <c r="A1935" t="str">
        <f t="shared" si="373"/>
        <v>12/03/2026</v>
      </c>
      <c r="B1935" t="str">
        <f t="shared" si="366"/>
        <v>SAÍDA</v>
      </c>
      <c r="C1935" t="str">
        <f t="shared" si="368"/>
        <v>PIX</v>
      </c>
      <c r="D1935" t="str">
        <f>"34344"</f>
        <v>34344</v>
      </c>
      <c r="E1935" t="str">
        <f t="shared" si="374"/>
        <v>1</v>
      </c>
      <c r="F1935" t="str">
        <f t="shared" si="370"/>
        <v>COM</v>
      </c>
      <c r="G1935" t="str">
        <f>"RAFAEL LUCIO ASSIS BERNARDES (1269)"</f>
        <v>RAFAEL LUCIO ASSIS BERNARDES (1269)</v>
      </c>
      <c r="H1935" t="s">
        <v>646</v>
      </c>
      <c r="I1935" t="str">
        <f t="shared" si="369"/>
        <v>12/03/2026</v>
      </c>
      <c r="J1935" t="str">
        <f t="shared" si="372"/>
        <v>09/03/2026</v>
      </c>
      <c r="K1935">
        <v>46093</v>
      </c>
      <c r="N1935">
        <v>109</v>
      </c>
      <c r="O1935" t="s">
        <v>27</v>
      </c>
      <c r="Q1935">
        <v>133</v>
      </c>
      <c r="R1935" t="str">
        <f>"BEM TE FAZ LOJA 9 (10286)"</f>
        <v>BEM TE FAZ LOJA 9 (10286)</v>
      </c>
      <c r="S1935" t="s">
        <v>37</v>
      </c>
      <c r="T1935">
        <v>31024</v>
      </c>
      <c r="U1935">
        <v>34344</v>
      </c>
      <c r="V1935" t="s">
        <v>37</v>
      </c>
    </row>
    <row r="1936" spans="1:22">
      <c r="A1936" t="str">
        <f t="shared" si="373"/>
        <v>12/03/2026</v>
      </c>
      <c r="B1936" t="str">
        <f t="shared" si="366"/>
        <v>SAÍDA</v>
      </c>
      <c r="C1936" t="str">
        <f t="shared" si="368"/>
        <v>PIX</v>
      </c>
      <c r="D1936" t="str">
        <f>"34345"</f>
        <v>34345</v>
      </c>
      <c r="E1936" t="str">
        <f t="shared" si="374"/>
        <v>1</v>
      </c>
      <c r="F1936" t="str">
        <f t="shared" si="370"/>
        <v>COM</v>
      </c>
      <c r="G1936" t="str">
        <f>"RAFAEL LUCIO ASSIS BERNARDES (1269)"</f>
        <v>RAFAEL LUCIO ASSIS BERNARDES (1269)</v>
      </c>
      <c r="H1936" t="str">
        <f>"Serv.Prest. 02/03/2026 a 08/03/2026 - PIX: CELULAR - CHAVE: (19) 97822-4918"</f>
        <v>Serv.Prest. 02/03/2026 a 08/03/2026 - PIX: CELULAR - CHAVE: (19) 97822-4918</v>
      </c>
      <c r="I1936" t="str">
        <f t="shared" si="369"/>
        <v>12/03/2026</v>
      </c>
      <c r="J1936" t="str">
        <f t="shared" si="372"/>
        <v>09/03/2026</v>
      </c>
      <c r="K1936" t="str">
        <f>("12/03/2026")</f>
        <v>12/03/2026</v>
      </c>
      <c r="L1936">
        <v>868</v>
      </c>
      <c r="M1936">
        <v>868</v>
      </c>
      <c r="N1936">
        <v>109</v>
      </c>
      <c r="O1936" t="str">
        <f>"PAGAMENTO DE ENTREGADORES"</f>
        <v>PAGAMENTO DE ENTREGADORES</v>
      </c>
      <c r="P1936">
        <v>868</v>
      </c>
      <c r="S1936" t="str">
        <f>"BANCO C6 (149)"</f>
        <v>BANCO C6 (149)</v>
      </c>
      <c r="T1936">
        <v>31025</v>
      </c>
      <c r="U1936">
        <v>34345</v>
      </c>
      <c r="V1936" t="s">
        <v>37</v>
      </c>
    </row>
    <row r="1937" spans="1:22">
      <c r="A1937" t="str">
        <f t="shared" si="373"/>
        <v>12/03/2026</v>
      </c>
      <c r="B1937" t="str">
        <f t="shared" si="366"/>
        <v>SAÍDA</v>
      </c>
      <c r="C1937" t="str">
        <f t="shared" si="368"/>
        <v>PIX</v>
      </c>
      <c r="D1937" t="str">
        <f>"34345"</f>
        <v>34345</v>
      </c>
      <c r="E1937" t="str">
        <f t="shared" si="374"/>
        <v>1</v>
      </c>
      <c r="F1937" t="str">
        <f t="shared" si="370"/>
        <v>COM</v>
      </c>
      <c r="G1937" t="str">
        <f>"RAFAEL LUCIO ASSIS BERNARDES (1269)"</f>
        <v>RAFAEL LUCIO ASSIS BERNARDES (1269)</v>
      </c>
      <c r="H1937" t="s">
        <v>646</v>
      </c>
      <c r="I1937" t="str">
        <f t="shared" si="369"/>
        <v>12/03/2026</v>
      </c>
      <c r="J1937" t="str">
        <f t="shared" si="372"/>
        <v>09/03/2026</v>
      </c>
      <c r="K1937">
        <v>46093</v>
      </c>
      <c r="N1937">
        <v>109</v>
      </c>
      <c r="O1937" t="s">
        <v>27</v>
      </c>
      <c r="Q1937">
        <v>868</v>
      </c>
      <c r="R1937" t="str">
        <f>"BEM TE FAZ LOJA 6 (10284)"</f>
        <v>BEM TE FAZ LOJA 6 (10284)</v>
      </c>
      <c r="S1937" t="s">
        <v>37</v>
      </c>
      <c r="T1937">
        <v>31025</v>
      </c>
      <c r="U1937">
        <v>34345</v>
      </c>
      <c r="V1937" t="s">
        <v>37</v>
      </c>
    </row>
    <row r="1938" spans="1:22">
      <c r="A1938" t="str">
        <f t="shared" si="373"/>
        <v>12/03/2026</v>
      </c>
      <c r="B1938" t="str">
        <f t="shared" si="366"/>
        <v>SAÍDA</v>
      </c>
      <c r="C1938" t="str">
        <f t="shared" si="368"/>
        <v>PIX</v>
      </c>
      <c r="D1938" t="str">
        <f>"34346"</f>
        <v>34346</v>
      </c>
      <c r="E1938" t="str">
        <f t="shared" si="374"/>
        <v>1</v>
      </c>
      <c r="F1938" t="str">
        <f t="shared" si="370"/>
        <v>COM</v>
      </c>
      <c r="G1938" t="str">
        <f>"RICARDO PERIN DE SOUZA (1272)"</f>
        <v>RICARDO PERIN DE SOUZA (1272)</v>
      </c>
      <c r="H1938" t="str">
        <f>"Serv.Prest. 02/03/2026 a 08/03/2026 - PIX: CPF - CHAVE: 472.998.978-30"</f>
        <v>Serv.Prest. 02/03/2026 a 08/03/2026 - PIX: CPF - CHAVE: 472.998.978-30</v>
      </c>
      <c r="I1938" t="str">
        <f t="shared" si="369"/>
        <v>12/03/2026</v>
      </c>
      <c r="J1938" t="str">
        <f t="shared" si="372"/>
        <v>09/03/2026</v>
      </c>
      <c r="K1938" t="str">
        <f>("12/03/2026")</f>
        <v>12/03/2026</v>
      </c>
      <c r="L1938">
        <v>1330</v>
      </c>
      <c r="M1938">
        <v>1330</v>
      </c>
      <c r="N1938">
        <v>109</v>
      </c>
      <c r="O1938" t="str">
        <f>"PAGAMENTO DE ENTREGADORES"</f>
        <v>PAGAMENTO DE ENTREGADORES</v>
      </c>
      <c r="P1938">
        <v>1330</v>
      </c>
      <c r="S1938" t="str">
        <f>"BANCO C6 (149)"</f>
        <v>BANCO C6 (149)</v>
      </c>
      <c r="T1938">
        <v>31026</v>
      </c>
      <c r="U1938">
        <v>34346</v>
      </c>
      <c r="V1938" t="s">
        <v>37</v>
      </c>
    </row>
    <row r="1939" spans="1:22">
      <c r="A1939" t="str">
        <f t="shared" si="373"/>
        <v>12/03/2026</v>
      </c>
      <c r="B1939" t="str">
        <f t="shared" si="366"/>
        <v>SAÍDA</v>
      </c>
      <c r="C1939" t="str">
        <f t="shared" si="368"/>
        <v>PIX</v>
      </c>
      <c r="D1939" t="str">
        <f>"34346"</f>
        <v>34346</v>
      </c>
      <c r="E1939" t="str">
        <f t="shared" si="374"/>
        <v>1</v>
      </c>
      <c r="F1939" t="str">
        <f t="shared" si="370"/>
        <v>COM</v>
      </c>
      <c r="G1939" t="str">
        <f>"RICARDO PERIN DE SOUZA (1272)"</f>
        <v>RICARDO PERIN DE SOUZA (1272)</v>
      </c>
      <c r="H1939" t="s">
        <v>647</v>
      </c>
      <c r="I1939" t="str">
        <f t="shared" si="369"/>
        <v>12/03/2026</v>
      </c>
      <c r="J1939" t="str">
        <f t="shared" si="372"/>
        <v>09/03/2026</v>
      </c>
      <c r="K1939">
        <v>46093</v>
      </c>
      <c r="N1939">
        <v>109</v>
      </c>
      <c r="O1939" t="s">
        <v>27</v>
      </c>
      <c r="Q1939">
        <v>1330</v>
      </c>
      <c r="R1939" t="str">
        <f>"BEM TE FAZ LOJA 3 (10287)"</f>
        <v>BEM TE FAZ LOJA 3 (10287)</v>
      </c>
      <c r="S1939" t="s">
        <v>37</v>
      </c>
      <c r="T1939">
        <v>31026</v>
      </c>
      <c r="U1939">
        <v>34346</v>
      </c>
      <c r="V1939" t="s">
        <v>37</v>
      </c>
    </row>
    <row r="1940" spans="1:22">
      <c r="A1940" t="str">
        <f t="shared" si="373"/>
        <v>12/03/2026</v>
      </c>
      <c r="B1940" t="str">
        <f t="shared" si="366"/>
        <v>SAÍDA</v>
      </c>
      <c r="C1940" t="str">
        <f t="shared" si="368"/>
        <v>PIX</v>
      </c>
      <c r="D1940" t="str">
        <f>"34347"</f>
        <v>34347</v>
      </c>
      <c r="E1940" t="str">
        <f t="shared" si="374"/>
        <v>1</v>
      </c>
      <c r="F1940" t="str">
        <f t="shared" si="370"/>
        <v>COM</v>
      </c>
      <c r="G1940" t="str">
        <f t="shared" ref="G1940:G1947" si="375">"SAMUEL HENRIQUE DE SOUSA (1335)"</f>
        <v>SAMUEL HENRIQUE DE SOUSA (1335)</v>
      </c>
      <c r="H1940" t="str">
        <f>"Serv.Prest. 02/03/2026 a 08/03/2026 - PIX: CPF - CHAVE: 533.495.008-70"</f>
        <v>Serv.Prest. 02/03/2026 a 08/03/2026 - PIX: CPF - CHAVE: 533.495.008-70</v>
      </c>
      <c r="I1940" t="str">
        <f t="shared" si="369"/>
        <v>12/03/2026</v>
      </c>
      <c r="J1940" t="str">
        <f t="shared" si="372"/>
        <v>09/03/2026</v>
      </c>
      <c r="K1940" t="str">
        <f>("12/03/2026")</f>
        <v>12/03/2026</v>
      </c>
      <c r="L1940">
        <v>35</v>
      </c>
      <c r="M1940">
        <v>35</v>
      </c>
      <c r="N1940">
        <v>109</v>
      </c>
      <c r="O1940" t="str">
        <f>"PAGAMENTO DE ENTREGADORES"</f>
        <v>PAGAMENTO DE ENTREGADORES</v>
      </c>
      <c r="P1940">
        <v>35</v>
      </c>
      <c r="S1940" t="str">
        <f>"BANCO C6 (149)"</f>
        <v>BANCO C6 (149)</v>
      </c>
      <c r="T1940">
        <v>31027</v>
      </c>
      <c r="U1940">
        <v>34347</v>
      </c>
      <c r="V1940" t="s">
        <v>37</v>
      </c>
    </row>
    <row r="1941" spans="1:22">
      <c r="A1941" t="str">
        <f t="shared" si="373"/>
        <v>12/03/2026</v>
      </c>
      <c r="B1941" t="str">
        <f t="shared" si="366"/>
        <v>SAÍDA</v>
      </c>
      <c r="C1941" t="str">
        <f t="shared" si="368"/>
        <v>PIX</v>
      </c>
      <c r="D1941" t="str">
        <f>"34347"</f>
        <v>34347</v>
      </c>
      <c r="E1941" t="str">
        <f t="shared" si="374"/>
        <v>1</v>
      </c>
      <c r="F1941" t="str">
        <f t="shared" si="370"/>
        <v>COM</v>
      </c>
      <c r="G1941" t="str">
        <f t="shared" si="375"/>
        <v>SAMUEL HENRIQUE DE SOUSA (1335)</v>
      </c>
      <c r="H1941" t="s">
        <v>648</v>
      </c>
      <c r="I1941" t="str">
        <f t="shared" si="369"/>
        <v>12/03/2026</v>
      </c>
      <c r="J1941" t="str">
        <f t="shared" si="372"/>
        <v>09/03/2026</v>
      </c>
      <c r="K1941">
        <v>46093</v>
      </c>
      <c r="N1941">
        <v>109</v>
      </c>
      <c r="O1941" t="s">
        <v>27</v>
      </c>
      <c r="Q1941">
        <v>35</v>
      </c>
      <c r="R1941" t="str">
        <f>"BEM TE FAZ 05 (10294)"</f>
        <v>BEM TE FAZ 05 (10294)</v>
      </c>
      <c r="S1941" t="s">
        <v>37</v>
      </c>
      <c r="T1941">
        <v>31027</v>
      </c>
      <c r="U1941">
        <v>34347</v>
      </c>
      <c r="V1941" t="s">
        <v>37</v>
      </c>
    </row>
    <row r="1942" spans="1:22">
      <c r="A1942" t="str">
        <f t="shared" si="373"/>
        <v>12/03/2026</v>
      </c>
      <c r="B1942" t="str">
        <f t="shared" si="366"/>
        <v>SAÍDA</v>
      </c>
      <c r="C1942" t="str">
        <f t="shared" si="368"/>
        <v>PIX</v>
      </c>
      <c r="D1942" t="str">
        <f>"34348"</f>
        <v>34348</v>
      </c>
      <c r="E1942" t="str">
        <f t="shared" si="374"/>
        <v>1</v>
      </c>
      <c r="F1942" t="str">
        <f t="shared" si="370"/>
        <v>COM</v>
      </c>
      <c r="G1942" t="str">
        <f t="shared" si="375"/>
        <v>SAMUEL HENRIQUE DE SOUSA (1335)</v>
      </c>
      <c r="H1942" t="str">
        <f>"Serv.Prest. 02/03/2026 a 08/03/2026 - PIX: CPF - CHAVE: 533.495.008-70"</f>
        <v>Serv.Prest. 02/03/2026 a 08/03/2026 - PIX: CPF - CHAVE: 533.495.008-70</v>
      </c>
      <c r="I1942" t="str">
        <f t="shared" si="369"/>
        <v>12/03/2026</v>
      </c>
      <c r="J1942" t="str">
        <f t="shared" si="372"/>
        <v>09/03/2026</v>
      </c>
      <c r="K1942" t="str">
        <f>("12/03/2026")</f>
        <v>12/03/2026</v>
      </c>
      <c r="L1942">
        <v>210</v>
      </c>
      <c r="M1942">
        <v>210</v>
      </c>
      <c r="N1942">
        <v>109</v>
      </c>
      <c r="O1942" t="str">
        <f>"PAGAMENTO DE ENTREGADORES"</f>
        <v>PAGAMENTO DE ENTREGADORES</v>
      </c>
      <c r="P1942">
        <v>210</v>
      </c>
      <c r="S1942" t="str">
        <f>"BANCO C6 (149)"</f>
        <v>BANCO C6 (149)</v>
      </c>
      <c r="T1942">
        <v>31028</v>
      </c>
      <c r="U1942">
        <v>34348</v>
      </c>
      <c r="V1942" t="s">
        <v>37</v>
      </c>
    </row>
    <row r="1943" spans="1:22">
      <c r="A1943" t="str">
        <f t="shared" si="373"/>
        <v>12/03/2026</v>
      </c>
      <c r="B1943" t="str">
        <f t="shared" si="366"/>
        <v>SAÍDA</v>
      </c>
      <c r="C1943" t="str">
        <f t="shared" si="368"/>
        <v>PIX</v>
      </c>
      <c r="D1943" t="str">
        <f>"34348"</f>
        <v>34348</v>
      </c>
      <c r="E1943" t="str">
        <f t="shared" si="374"/>
        <v>1</v>
      </c>
      <c r="F1943" t="str">
        <f t="shared" si="370"/>
        <v>COM</v>
      </c>
      <c r="G1943" t="str">
        <f t="shared" si="375"/>
        <v>SAMUEL HENRIQUE DE SOUSA (1335)</v>
      </c>
      <c r="H1943" t="s">
        <v>648</v>
      </c>
      <c r="I1943" t="str">
        <f t="shared" si="369"/>
        <v>12/03/2026</v>
      </c>
      <c r="J1943" t="str">
        <f t="shared" si="372"/>
        <v>09/03/2026</v>
      </c>
      <c r="K1943">
        <v>46093</v>
      </c>
      <c r="N1943">
        <v>109</v>
      </c>
      <c r="O1943" t="s">
        <v>27</v>
      </c>
      <c r="Q1943">
        <v>210</v>
      </c>
      <c r="R1943" t="str">
        <f>"BEM TE FAZ LOJA 9 (10286)"</f>
        <v>BEM TE FAZ LOJA 9 (10286)</v>
      </c>
      <c r="S1943" t="s">
        <v>37</v>
      </c>
      <c r="T1943">
        <v>31028</v>
      </c>
      <c r="U1943">
        <v>34348</v>
      </c>
      <c r="V1943" t="s">
        <v>37</v>
      </c>
    </row>
    <row r="1944" spans="1:22">
      <c r="A1944" t="str">
        <f t="shared" si="373"/>
        <v>12/03/2026</v>
      </c>
      <c r="B1944" t="str">
        <f t="shared" si="366"/>
        <v>SAÍDA</v>
      </c>
      <c r="C1944" t="str">
        <f t="shared" si="368"/>
        <v>PIX</v>
      </c>
      <c r="D1944" t="str">
        <f>"34349"</f>
        <v>34349</v>
      </c>
      <c r="E1944" t="str">
        <f t="shared" si="374"/>
        <v>1</v>
      </c>
      <c r="F1944" t="str">
        <f t="shared" si="370"/>
        <v>COM</v>
      </c>
      <c r="G1944" t="str">
        <f t="shared" si="375"/>
        <v>SAMUEL HENRIQUE DE SOUSA (1335)</v>
      </c>
      <c r="H1944" t="str">
        <f>"Serv.Prest. 02/03/2026 a 08/03/2026 - PIX: CPF - CHAVE: 533.495.008-70"</f>
        <v>Serv.Prest. 02/03/2026 a 08/03/2026 - PIX: CPF - CHAVE: 533.495.008-70</v>
      </c>
      <c r="I1944" t="str">
        <f t="shared" si="369"/>
        <v>12/03/2026</v>
      </c>
      <c r="J1944" t="str">
        <f t="shared" si="372"/>
        <v>09/03/2026</v>
      </c>
      <c r="K1944" t="str">
        <f>("12/03/2026")</f>
        <v>12/03/2026</v>
      </c>
      <c r="L1944">
        <v>21</v>
      </c>
      <c r="M1944">
        <v>21</v>
      </c>
      <c r="N1944">
        <v>109</v>
      </c>
      <c r="O1944" t="str">
        <f>"PAGAMENTO DE ENTREGADORES"</f>
        <v>PAGAMENTO DE ENTREGADORES</v>
      </c>
      <c r="P1944">
        <v>21</v>
      </c>
      <c r="S1944" t="str">
        <f>"BANCO C6 (149)"</f>
        <v>BANCO C6 (149)</v>
      </c>
      <c r="T1944">
        <v>31029</v>
      </c>
      <c r="U1944">
        <v>34349</v>
      </c>
      <c r="V1944" t="s">
        <v>37</v>
      </c>
    </row>
    <row r="1945" spans="1:22">
      <c r="A1945" t="str">
        <f t="shared" si="373"/>
        <v>12/03/2026</v>
      </c>
      <c r="B1945" t="str">
        <f t="shared" si="366"/>
        <v>SAÍDA</v>
      </c>
      <c r="C1945" t="str">
        <f t="shared" si="368"/>
        <v>PIX</v>
      </c>
      <c r="D1945" t="str">
        <f>"34349"</f>
        <v>34349</v>
      </c>
      <c r="E1945" t="str">
        <f t="shared" si="374"/>
        <v>1</v>
      </c>
      <c r="F1945" t="str">
        <f t="shared" si="370"/>
        <v>COM</v>
      </c>
      <c r="G1945" t="str">
        <f t="shared" si="375"/>
        <v>SAMUEL HENRIQUE DE SOUSA (1335)</v>
      </c>
      <c r="H1945" t="s">
        <v>648</v>
      </c>
      <c r="I1945" t="str">
        <f t="shared" si="369"/>
        <v>12/03/2026</v>
      </c>
      <c r="J1945" t="str">
        <f t="shared" si="372"/>
        <v>09/03/2026</v>
      </c>
      <c r="K1945">
        <v>46093</v>
      </c>
      <c r="N1945">
        <v>109</v>
      </c>
      <c r="O1945" t="s">
        <v>27</v>
      </c>
      <c r="Q1945">
        <v>21</v>
      </c>
      <c r="R1945" t="str">
        <f>"BEM TE FAZ LOJA 7 (10285)"</f>
        <v>BEM TE FAZ LOJA 7 (10285)</v>
      </c>
      <c r="S1945" t="s">
        <v>37</v>
      </c>
      <c r="T1945">
        <v>31029</v>
      </c>
      <c r="U1945">
        <v>34349</v>
      </c>
      <c r="V1945" t="s">
        <v>37</v>
      </c>
    </row>
    <row r="1946" spans="1:22">
      <c r="A1946" t="str">
        <f t="shared" si="373"/>
        <v>12/03/2026</v>
      </c>
      <c r="B1946" t="str">
        <f t="shared" si="366"/>
        <v>SAÍDA</v>
      </c>
      <c r="C1946" t="str">
        <f t="shared" si="368"/>
        <v>PIX</v>
      </c>
      <c r="D1946" t="str">
        <f>"34350"</f>
        <v>34350</v>
      </c>
      <c r="E1946" t="str">
        <f t="shared" si="374"/>
        <v>1</v>
      </c>
      <c r="F1946" t="str">
        <f t="shared" si="370"/>
        <v>COM</v>
      </c>
      <c r="G1946" t="str">
        <f t="shared" si="375"/>
        <v>SAMUEL HENRIQUE DE SOUSA (1335)</v>
      </c>
      <c r="H1946" t="str">
        <f>"Serv.Prest. 02/03/2026 a 08/03/2026 - PIX: CPF - CHAVE: 533.495.008-70"</f>
        <v>Serv.Prest. 02/03/2026 a 08/03/2026 - PIX: CPF - CHAVE: 533.495.008-70</v>
      </c>
      <c r="I1946" t="str">
        <f t="shared" si="369"/>
        <v>12/03/2026</v>
      </c>
      <c r="J1946" t="str">
        <f t="shared" si="372"/>
        <v>09/03/2026</v>
      </c>
      <c r="K1946" t="str">
        <f>("12/03/2026")</f>
        <v>12/03/2026</v>
      </c>
      <c r="L1946">
        <v>553</v>
      </c>
      <c r="M1946">
        <v>553</v>
      </c>
      <c r="N1946">
        <v>109</v>
      </c>
      <c r="O1946" t="str">
        <f>"PAGAMENTO DE ENTREGADORES"</f>
        <v>PAGAMENTO DE ENTREGADORES</v>
      </c>
      <c r="P1946">
        <v>553</v>
      </c>
      <c r="S1946" t="str">
        <f>"BANCO C6 (149)"</f>
        <v>BANCO C6 (149)</v>
      </c>
      <c r="T1946">
        <v>31030</v>
      </c>
      <c r="U1946">
        <v>34350</v>
      </c>
      <c r="V1946" t="s">
        <v>37</v>
      </c>
    </row>
    <row r="1947" spans="1:22">
      <c r="A1947" t="str">
        <f t="shared" si="373"/>
        <v>12/03/2026</v>
      </c>
      <c r="B1947" t="str">
        <f t="shared" si="366"/>
        <v>SAÍDA</v>
      </c>
      <c r="C1947" t="str">
        <f t="shared" si="368"/>
        <v>PIX</v>
      </c>
      <c r="D1947" t="str">
        <f>"34350"</f>
        <v>34350</v>
      </c>
      <c r="E1947" t="str">
        <f t="shared" si="374"/>
        <v>1</v>
      </c>
      <c r="F1947" t="str">
        <f t="shared" si="370"/>
        <v>COM</v>
      </c>
      <c r="G1947" t="str">
        <f t="shared" si="375"/>
        <v>SAMUEL HENRIQUE DE SOUSA (1335)</v>
      </c>
      <c r="H1947" t="s">
        <v>648</v>
      </c>
      <c r="I1947" t="str">
        <f t="shared" si="369"/>
        <v>12/03/2026</v>
      </c>
      <c r="J1947" t="str">
        <f t="shared" si="372"/>
        <v>09/03/2026</v>
      </c>
      <c r="K1947">
        <v>46093</v>
      </c>
      <c r="N1947">
        <v>109</v>
      </c>
      <c r="O1947" t="s">
        <v>27</v>
      </c>
      <c r="Q1947">
        <v>553</v>
      </c>
      <c r="R1947" t="str">
        <f>"BEM TE FAZ LOJA 6 (10284)"</f>
        <v>BEM TE FAZ LOJA 6 (10284)</v>
      </c>
      <c r="S1947" t="s">
        <v>37</v>
      </c>
      <c r="T1947">
        <v>31030</v>
      </c>
      <c r="U1947">
        <v>34350</v>
      </c>
      <c r="V1947" t="s">
        <v>37</v>
      </c>
    </row>
    <row r="1948" spans="1:22">
      <c r="A1948" t="str">
        <f t="shared" si="373"/>
        <v>12/03/2026</v>
      </c>
      <c r="B1948" t="str">
        <f t="shared" si="366"/>
        <v>SAÍDA</v>
      </c>
      <c r="C1948" t="str">
        <f t="shared" si="368"/>
        <v>PIX</v>
      </c>
      <c r="D1948" t="str">
        <f>"34355"</f>
        <v>34355</v>
      </c>
      <c r="E1948" t="str">
        <f t="shared" si="374"/>
        <v>1</v>
      </c>
      <c r="F1948" t="str">
        <f t="shared" si="370"/>
        <v>COM</v>
      </c>
      <c r="G1948" t="str">
        <f>"ALLAN SILVA DAMACENA (790)"</f>
        <v>ALLAN SILVA DAMACENA (790)</v>
      </c>
      <c r="H1948" t="str">
        <f>"Serv.Prest. 02/03/2026 a 08/03/2026 - PIX: CELULAR - CHAVE: (19) 98944-4977"</f>
        <v>Serv.Prest. 02/03/2026 a 08/03/2026 - PIX: CELULAR - CHAVE: (19) 98944-4977</v>
      </c>
      <c r="I1948" t="str">
        <f t="shared" si="369"/>
        <v>12/03/2026</v>
      </c>
      <c r="J1948" t="str">
        <f t="shared" si="372"/>
        <v>09/03/2026</v>
      </c>
      <c r="K1948" t="str">
        <f>("12/03/2026")</f>
        <v>12/03/2026</v>
      </c>
      <c r="L1948">
        <v>822</v>
      </c>
      <c r="M1948">
        <v>562</v>
      </c>
      <c r="N1948">
        <v>109</v>
      </c>
      <c r="O1948" t="str">
        <f>"PAGAMENTO DE ENTREGADORES"</f>
        <v>PAGAMENTO DE ENTREGADORES</v>
      </c>
      <c r="P1948">
        <v>562</v>
      </c>
      <c r="S1948" t="str">
        <f>"BANCO C6 (149)"</f>
        <v>BANCO C6 (149)</v>
      </c>
      <c r="T1948">
        <v>31031</v>
      </c>
      <c r="U1948">
        <v>34355</v>
      </c>
      <c r="V1948" t="s">
        <v>37</v>
      </c>
    </row>
    <row r="1949" spans="1:22">
      <c r="A1949" t="str">
        <f t="shared" si="373"/>
        <v>12/03/2026</v>
      </c>
      <c r="B1949" t="str">
        <f t="shared" si="366"/>
        <v>SAÍDA</v>
      </c>
      <c r="C1949" t="str">
        <f t="shared" si="368"/>
        <v>PIX</v>
      </c>
      <c r="D1949" t="str">
        <f>"34355"</f>
        <v>34355</v>
      </c>
      <c r="E1949" t="str">
        <f t="shared" si="374"/>
        <v>1</v>
      </c>
      <c r="F1949" t="str">
        <f t="shared" si="370"/>
        <v>COM</v>
      </c>
      <c r="G1949" t="str">
        <f>"ALLAN SILVA DAMACENA (790)"</f>
        <v>ALLAN SILVA DAMACENA (790)</v>
      </c>
      <c r="H1949" t="s">
        <v>423</v>
      </c>
      <c r="I1949" t="str">
        <f t="shared" si="369"/>
        <v>12/03/2026</v>
      </c>
      <c r="J1949" t="str">
        <f t="shared" si="372"/>
        <v>09/03/2026</v>
      </c>
      <c r="K1949">
        <v>46093</v>
      </c>
      <c r="N1949">
        <v>109</v>
      </c>
      <c r="O1949" t="s">
        <v>27</v>
      </c>
      <c r="Q1949">
        <v>562</v>
      </c>
      <c r="R1949" t="str">
        <f>"DROGARIA MORENO LTDA (10171)"</f>
        <v>DROGARIA MORENO LTDA (10171)</v>
      </c>
      <c r="S1949" t="s">
        <v>37</v>
      </c>
      <c r="T1949">
        <v>31031</v>
      </c>
      <c r="U1949">
        <v>34355</v>
      </c>
      <c r="V1949" t="s">
        <v>37</v>
      </c>
    </row>
    <row r="1950" spans="1:22">
      <c r="A1950" t="str">
        <f t="shared" si="373"/>
        <v>12/03/2026</v>
      </c>
      <c r="B1950" t="str">
        <f t="shared" si="366"/>
        <v>SAÍDA</v>
      </c>
      <c r="C1950" t="str">
        <f t="shared" si="368"/>
        <v>PIX</v>
      </c>
      <c r="D1950" t="str">
        <f>"34356"</f>
        <v>34356</v>
      </c>
      <c r="E1950" t="str">
        <f t="shared" si="374"/>
        <v>1</v>
      </c>
      <c r="F1950" t="str">
        <f t="shared" si="370"/>
        <v>COM</v>
      </c>
      <c r="G1950" t="str">
        <f>"EDUARDO MARQUES DOS SANTOS (787)"</f>
        <v>EDUARDO MARQUES DOS SANTOS (787)</v>
      </c>
      <c r="H1950" t="str">
        <f>"Serv.Prest. 02/03/2026 a 08/03/2026 - PIX: CELULAR - CHAVE: (11) 97402-1586"</f>
        <v>Serv.Prest. 02/03/2026 a 08/03/2026 - PIX: CELULAR - CHAVE: (11) 97402-1586</v>
      </c>
      <c r="I1950" t="str">
        <f t="shared" si="369"/>
        <v>12/03/2026</v>
      </c>
      <c r="J1950" t="str">
        <f t="shared" si="372"/>
        <v>09/03/2026</v>
      </c>
      <c r="K1950" t="str">
        <f>("12/03/2026")</f>
        <v>12/03/2026</v>
      </c>
      <c r="L1950">
        <v>806</v>
      </c>
      <c r="M1950">
        <v>806</v>
      </c>
      <c r="N1950">
        <v>109</v>
      </c>
      <c r="O1950" t="str">
        <f>"PAGAMENTO DE ENTREGADORES"</f>
        <v>PAGAMENTO DE ENTREGADORES</v>
      </c>
      <c r="P1950">
        <v>806</v>
      </c>
      <c r="S1950" t="str">
        <f>"BANCO C6 (149)"</f>
        <v>BANCO C6 (149)</v>
      </c>
      <c r="T1950">
        <v>31032</v>
      </c>
      <c r="U1950">
        <v>34356</v>
      </c>
      <c r="V1950" t="s">
        <v>37</v>
      </c>
    </row>
    <row r="1951" spans="1:22">
      <c r="A1951" t="str">
        <f t="shared" si="373"/>
        <v>12/03/2026</v>
      </c>
      <c r="B1951" t="str">
        <f t="shared" si="366"/>
        <v>SAÍDA</v>
      </c>
      <c r="C1951" t="str">
        <f t="shared" si="368"/>
        <v>PIX</v>
      </c>
      <c r="D1951" t="str">
        <f>"34356"</f>
        <v>34356</v>
      </c>
      <c r="E1951" t="str">
        <f t="shared" si="374"/>
        <v>1</v>
      </c>
      <c r="F1951" t="str">
        <f t="shared" si="370"/>
        <v>COM</v>
      </c>
      <c r="G1951" t="str">
        <f>"EDUARDO MARQUES DOS SANTOS (787)"</f>
        <v>EDUARDO MARQUES DOS SANTOS (787)</v>
      </c>
      <c r="H1951" t="s">
        <v>507</v>
      </c>
      <c r="I1951" t="str">
        <f t="shared" si="369"/>
        <v>12/03/2026</v>
      </c>
      <c r="J1951" t="str">
        <f t="shared" si="372"/>
        <v>09/03/2026</v>
      </c>
      <c r="K1951">
        <v>46093</v>
      </c>
      <c r="N1951">
        <v>109</v>
      </c>
      <c r="O1951" t="s">
        <v>27</v>
      </c>
      <c r="Q1951">
        <v>806</v>
      </c>
      <c r="R1951" t="str">
        <f>"DROGARIA MORENO LTDA (10171)"</f>
        <v>DROGARIA MORENO LTDA (10171)</v>
      </c>
      <c r="S1951" t="s">
        <v>37</v>
      </c>
      <c r="T1951">
        <v>31032</v>
      </c>
      <c r="U1951">
        <v>34356</v>
      </c>
      <c r="V1951" t="s">
        <v>37</v>
      </c>
    </row>
    <row r="1952" spans="1:22">
      <c r="A1952" t="str">
        <f t="shared" si="373"/>
        <v>12/03/2026</v>
      </c>
      <c r="B1952" t="str">
        <f t="shared" si="366"/>
        <v>SAÍDA</v>
      </c>
      <c r="C1952" t="str">
        <f t="shared" si="368"/>
        <v>PIX</v>
      </c>
      <c r="D1952" t="str">
        <f>"34357"</f>
        <v>34357</v>
      </c>
      <c r="E1952" t="str">
        <f t="shared" si="374"/>
        <v>1</v>
      </c>
      <c r="F1952" t="str">
        <f t="shared" si="370"/>
        <v>COM</v>
      </c>
      <c r="G1952" t="str">
        <f>"PAULO CESAR DE FARIA (865)"</f>
        <v>PAULO CESAR DE FARIA (865)</v>
      </c>
      <c r="H1952" t="str">
        <f>"Serv.Prest. 02/03/2026 a 08/03/2026 - PIX: CELULAR - CHAVE: (11) 99992-0816"</f>
        <v>Serv.Prest. 02/03/2026 a 08/03/2026 - PIX: CELULAR - CHAVE: (11) 99992-0816</v>
      </c>
      <c r="I1952" t="str">
        <f t="shared" si="369"/>
        <v>12/03/2026</v>
      </c>
      <c r="J1952" t="str">
        <f t="shared" si="372"/>
        <v>09/03/2026</v>
      </c>
      <c r="K1952" t="str">
        <f>("12/03/2026")</f>
        <v>12/03/2026</v>
      </c>
      <c r="L1952">
        <v>855</v>
      </c>
      <c r="M1952">
        <v>855</v>
      </c>
      <c r="N1952">
        <v>109</v>
      </c>
      <c r="O1952" t="str">
        <f>"PAGAMENTO DE ENTREGADORES"</f>
        <v>PAGAMENTO DE ENTREGADORES</v>
      </c>
      <c r="P1952">
        <v>855</v>
      </c>
      <c r="S1952" t="str">
        <f>"BANCO C6 (149)"</f>
        <v>BANCO C6 (149)</v>
      </c>
      <c r="T1952">
        <v>31033</v>
      </c>
      <c r="U1952">
        <v>34357</v>
      </c>
      <c r="V1952" t="s">
        <v>37</v>
      </c>
    </row>
    <row r="1953" spans="1:22">
      <c r="A1953" t="str">
        <f t="shared" si="373"/>
        <v>12/03/2026</v>
      </c>
      <c r="B1953" t="str">
        <f t="shared" si="366"/>
        <v>SAÍDA</v>
      </c>
      <c r="C1953" t="str">
        <f t="shared" si="368"/>
        <v>PIX</v>
      </c>
      <c r="D1953" t="str">
        <f>"34357"</f>
        <v>34357</v>
      </c>
      <c r="E1953" t="str">
        <f t="shared" si="374"/>
        <v>1</v>
      </c>
      <c r="F1953" t="str">
        <f t="shared" si="370"/>
        <v>COM</v>
      </c>
      <c r="G1953" t="str">
        <f>"PAULO CESAR DE FARIA (865)"</f>
        <v>PAULO CESAR DE FARIA (865)</v>
      </c>
      <c r="H1953" t="s">
        <v>448</v>
      </c>
      <c r="I1953" t="str">
        <f t="shared" si="369"/>
        <v>12/03/2026</v>
      </c>
      <c r="J1953" t="str">
        <f t="shared" si="372"/>
        <v>09/03/2026</v>
      </c>
      <c r="K1953">
        <v>46093</v>
      </c>
      <c r="N1953">
        <v>109</v>
      </c>
      <c r="O1953" t="s">
        <v>27</v>
      </c>
      <c r="Q1953">
        <v>855</v>
      </c>
      <c r="R1953" t="str">
        <f>"DROGARIA MORENO LTDA (10171)"</f>
        <v>DROGARIA MORENO LTDA (10171)</v>
      </c>
      <c r="S1953" t="s">
        <v>37</v>
      </c>
      <c r="T1953">
        <v>31033</v>
      </c>
      <c r="U1953">
        <v>34357</v>
      </c>
      <c r="V1953" t="s">
        <v>37</v>
      </c>
    </row>
    <row r="1954" spans="1:22">
      <c r="A1954" t="str">
        <f t="shared" si="373"/>
        <v>12/03/2026</v>
      </c>
      <c r="B1954" t="str">
        <f t="shared" si="366"/>
        <v>SAÍDA</v>
      </c>
      <c r="C1954" t="str">
        <f t="shared" si="368"/>
        <v>PIX</v>
      </c>
      <c r="D1954" t="str">
        <f>"34368"</f>
        <v>34368</v>
      </c>
      <c r="E1954" t="str">
        <f t="shared" si="374"/>
        <v>1</v>
      </c>
      <c r="F1954" t="str">
        <f t="shared" si="370"/>
        <v>COM</v>
      </c>
      <c r="G1954" t="str">
        <f t="shared" ref="G1954:G1959" si="376">"LUAN DOS REIS SILVA (954)"</f>
        <v>LUAN DOS REIS SILVA (954)</v>
      </c>
      <c r="H1954" t="str">
        <f>"Serv.Prest. 02/03/2026 a 08/03/2026 - PIX: CELULAR - CHAVE: (11) 95906-5439"</f>
        <v>Serv.Prest. 02/03/2026 a 08/03/2026 - PIX: CELULAR - CHAVE: (11) 95906-5439</v>
      </c>
      <c r="I1954" t="str">
        <f t="shared" si="369"/>
        <v>12/03/2026</v>
      </c>
      <c r="J1954" t="str">
        <f t="shared" si="372"/>
        <v>09/03/2026</v>
      </c>
      <c r="K1954" t="str">
        <f>("12/03/2026")</f>
        <v>12/03/2026</v>
      </c>
      <c r="L1954">
        <v>415</v>
      </c>
      <c r="M1954">
        <v>415</v>
      </c>
      <c r="N1954">
        <v>109</v>
      </c>
      <c r="O1954" t="str">
        <f>"PAGAMENTO DE ENTREGADORES"</f>
        <v>PAGAMENTO DE ENTREGADORES</v>
      </c>
      <c r="P1954">
        <v>415</v>
      </c>
      <c r="S1954" t="str">
        <f>"BANCO C6 (149)"</f>
        <v>BANCO C6 (149)</v>
      </c>
      <c r="T1954">
        <v>31034</v>
      </c>
      <c r="U1954">
        <v>34368</v>
      </c>
      <c r="V1954" t="s">
        <v>37</v>
      </c>
    </row>
    <row r="1955" spans="1:22">
      <c r="A1955" t="str">
        <f t="shared" si="373"/>
        <v>12/03/2026</v>
      </c>
      <c r="B1955" t="str">
        <f t="shared" si="366"/>
        <v>SAÍDA</v>
      </c>
      <c r="C1955" t="str">
        <f t="shared" si="368"/>
        <v>PIX</v>
      </c>
      <c r="D1955" t="str">
        <f>"34368"</f>
        <v>34368</v>
      </c>
      <c r="E1955" t="str">
        <f t="shared" si="374"/>
        <v>1</v>
      </c>
      <c r="F1955" t="str">
        <f t="shared" si="370"/>
        <v>COM</v>
      </c>
      <c r="G1955" t="str">
        <f t="shared" si="376"/>
        <v>LUAN DOS REIS SILVA (954)</v>
      </c>
      <c r="H1955" t="s">
        <v>444</v>
      </c>
      <c r="I1955" t="str">
        <f t="shared" si="369"/>
        <v>12/03/2026</v>
      </c>
      <c r="J1955" t="str">
        <f t="shared" si="372"/>
        <v>09/03/2026</v>
      </c>
      <c r="K1955">
        <v>46093</v>
      </c>
      <c r="N1955">
        <v>109</v>
      </c>
      <c r="O1955" t="s">
        <v>27</v>
      </c>
      <c r="Q1955">
        <v>415</v>
      </c>
      <c r="R1955" t="str">
        <f>"PENSE FARMA 05 (10200)"</f>
        <v>PENSE FARMA 05 (10200)</v>
      </c>
      <c r="S1955" t="s">
        <v>37</v>
      </c>
      <c r="T1955">
        <v>31034</v>
      </c>
      <c r="U1955">
        <v>34368</v>
      </c>
      <c r="V1955" t="s">
        <v>37</v>
      </c>
    </row>
    <row r="1956" spans="1:22">
      <c r="A1956" t="str">
        <f t="shared" si="373"/>
        <v>12/03/2026</v>
      </c>
      <c r="B1956" t="str">
        <f t="shared" si="366"/>
        <v>SAÍDA</v>
      </c>
      <c r="C1956" t="str">
        <f t="shared" si="368"/>
        <v>PIX</v>
      </c>
      <c r="D1956" t="str">
        <f>"34369"</f>
        <v>34369</v>
      </c>
      <c r="E1956" t="str">
        <f t="shared" si="374"/>
        <v>1</v>
      </c>
      <c r="F1956" t="str">
        <f t="shared" si="370"/>
        <v>COM</v>
      </c>
      <c r="G1956" t="str">
        <f t="shared" si="376"/>
        <v>LUAN DOS REIS SILVA (954)</v>
      </c>
      <c r="H1956" t="str">
        <f>"Serv.Prest. 02/03/2026 a 08/03/2026 - PIX: CELULAR - CHAVE: (11) 95906-5439"</f>
        <v>Serv.Prest. 02/03/2026 a 08/03/2026 - PIX: CELULAR - CHAVE: (11) 95906-5439</v>
      </c>
      <c r="I1956" t="str">
        <f t="shared" si="369"/>
        <v>12/03/2026</v>
      </c>
      <c r="J1956" t="str">
        <f t="shared" si="372"/>
        <v>09/03/2026</v>
      </c>
      <c r="K1956" t="str">
        <f>("12/03/2026")</f>
        <v>12/03/2026</v>
      </c>
      <c r="L1956">
        <v>395</v>
      </c>
      <c r="M1956">
        <v>395</v>
      </c>
      <c r="N1956">
        <v>109</v>
      </c>
      <c r="O1956" t="str">
        <f>"PAGAMENTO DE ENTREGADORES"</f>
        <v>PAGAMENTO DE ENTREGADORES</v>
      </c>
      <c r="P1956">
        <v>395</v>
      </c>
      <c r="S1956" t="str">
        <f>"BANCO C6 (149)"</f>
        <v>BANCO C6 (149)</v>
      </c>
      <c r="T1956">
        <v>31035</v>
      </c>
      <c r="U1956">
        <v>34369</v>
      </c>
      <c r="V1956" t="s">
        <v>37</v>
      </c>
    </row>
    <row r="1957" spans="1:22">
      <c r="A1957" t="str">
        <f t="shared" si="373"/>
        <v>12/03/2026</v>
      </c>
      <c r="B1957" t="str">
        <f t="shared" si="366"/>
        <v>SAÍDA</v>
      </c>
      <c r="C1957" t="str">
        <f t="shared" si="368"/>
        <v>PIX</v>
      </c>
      <c r="D1957" t="str">
        <f>"34369"</f>
        <v>34369</v>
      </c>
      <c r="E1957" t="str">
        <f t="shared" si="374"/>
        <v>1</v>
      </c>
      <c r="F1957" t="str">
        <f t="shared" si="370"/>
        <v>COM</v>
      </c>
      <c r="G1957" t="str">
        <f t="shared" si="376"/>
        <v>LUAN DOS REIS SILVA (954)</v>
      </c>
      <c r="H1957" t="s">
        <v>444</v>
      </c>
      <c r="I1957" t="str">
        <f t="shared" si="369"/>
        <v>12/03/2026</v>
      </c>
      <c r="J1957" t="str">
        <f t="shared" si="372"/>
        <v>09/03/2026</v>
      </c>
      <c r="K1957">
        <v>46093</v>
      </c>
      <c r="N1957">
        <v>109</v>
      </c>
      <c r="O1957" t="s">
        <v>27</v>
      </c>
      <c r="Q1957">
        <v>395</v>
      </c>
      <c r="R1957" t="str">
        <f>"PENSE FARMA 13 (10202)"</f>
        <v>PENSE FARMA 13 (10202)</v>
      </c>
      <c r="S1957" t="s">
        <v>37</v>
      </c>
      <c r="T1957">
        <v>31035</v>
      </c>
      <c r="U1957">
        <v>34369</v>
      </c>
      <c r="V1957" t="s">
        <v>37</v>
      </c>
    </row>
    <row r="1958" spans="1:22">
      <c r="A1958" t="str">
        <f t="shared" si="373"/>
        <v>12/03/2026</v>
      </c>
      <c r="B1958" t="str">
        <f t="shared" si="366"/>
        <v>SAÍDA</v>
      </c>
      <c r="C1958" t="str">
        <f t="shared" si="368"/>
        <v>PIX</v>
      </c>
      <c r="D1958" t="str">
        <f>"34370"</f>
        <v>34370</v>
      </c>
      <c r="E1958" t="str">
        <f t="shared" si="374"/>
        <v>1</v>
      </c>
      <c r="F1958" t="str">
        <f t="shared" si="370"/>
        <v>COM</v>
      </c>
      <c r="G1958" t="str">
        <f t="shared" si="376"/>
        <v>LUAN DOS REIS SILVA (954)</v>
      </c>
      <c r="H1958" t="str">
        <f>"Serv.Prest. 02/03/2026 a 08/03/2026 - PIX: CELULAR - CHAVE: (11) 95906-5439"</f>
        <v>Serv.Prest. 02/03/2026 a 08/03/2026 - PIX: CELULAR - CHAVE: (11) 95906-5439</v>
      </c>
      <c r="I1958" t="str">
        <f t="shared" si="369"/>
        <v>12/03/2026</v>
      </c>
      <c r="J1958" t="str">
        <f t="shared" si="372"/>
        <v>09/03/2026</v>
      </c>
      <c r="K1958" t="str">
        <f>("12/03/2026")</f>
        <v>12/03/2026</v>
      </c>
      <c r="L1958">
        <v>420</v>
      </c>
      <c r="M1958">
        <v>420</v>
      </c>
      <c r="N1958">
        <v>109</v>
      </c>
      <c r="O1958" t="str">
        <f>"PAGAMENTO DE ENTREGADORES"</f>
        <v>PAGAMENTO DE ENTREGADORES</v>
      </c>
      <c r="P1958">
        <v>420</v>
      </c>
      <c r="S1958" t="str">
        <f>"BANCO C6 (149)"</f>
        <v>BANCO C6 (149)</v>
      </c>
      <c r="T1958">
        <v>31036</v>
      </c>
      <c r="U1958">
        <v>34370</v>
      </c>
      <c r="V1958" t="s">
        <v>37</v>
      </c>
    </row>
    <row r="1959" spans="1:22">
      <c r="A1959" t="str">
        <f t="shared" si="373"/>
        <v>12/03/2026</v>
      </c>
      <c r="B1959" t="str">
        <f t="shared" si="366"/>
        <v>SAÍDA</v>
      </c>
      <c r="C1959" t="str">
        <f t="shared" si="368"/>
        <v>PIX</v>
      </c>
      <c r="D1959" t="str">
        <f>"34370"</f>
        <v>34370</v>
      </c>
      <c r="E1959" t="str">
        <f t="shared" si="374"/>
        <v>1</v>
      </c>
      <c r="F1959" t="str">
        <f t="shared" si="370"/>
        <v>COM</v>
      </c>
      <c r="G1959" t="str">
        <f t="shared" si="376"/>
        <v>LUAN DOS REIS SILVA (954)</v>
      </c>
      <c r="H1959" t="s">
        <v>444</v>
      </c>
      <c r="I1959" t="str">
        <f t="shared" si="369"/>
        <v>12/03/2026</v>
      </c>
      <c r="J1959" t="str">
        <f t="shared" si="372"/>
        <v>09/03/2026</v>
      </c>
      <c r="K1959">
        <v>46093</v>
      </c>
      <c r="N1959">
        <v>109</v>
      </c>
      <c r="O1959" t="s">
        <v>27</v>
      </c>
      <c r="Q1959">
        <v>420</v>
      </c>
      <c r="R1959" t="str">
        <f>"PENSE FARMA 27 (10204)"</f>
        <v>PENSE FARMA 27 (10204)</v>
      </c>
      <c r="S1959" t="s">
        <v>37</v>
      </c>
      <c r="T1959">
        <v>31036</v>
      </c>
      <c r="U1959">
        <v>34370</v>
      </c>
      <c r="V1959" t="s">
        <v>37</v>
      </c>
    </row>
    <row r="1960" spans="1:22">
      <c r="A1960" t="str">
        <f t="shared" si="373"/>
        <v>12/03/2026</v>
      </c>
      <c r="B1960" t="str">
        <f t="shared" si="366"/>
        <v>SAÍDA</v>
      </c>
      <c r="C1960" t="str">
        <f t="shared" si="368"/>
        <v>PIX</v>
      </c>
      <c r="D1960" t="str">
        <f>"34371"</f>
        <v>34371</v>
      </c>
      <c r="E1960" t="str">
        <f t="shared" si="374"/>
        <v>1</v>
      </c>
      <c r="F1960" t="str">
        <f t="shared" si="370"/>
        <v>COM</v>
      </c>
      <c r="G1960" t="str">
        <f t="shared" ref="G1960:G1965" si="377">"MANOEL DE JESUS ALMEIDA (1017)"</f>
        <v>MANOEL DE JESUS ALMEIDA (1017)</v>
      </c>
      <c r="H1960" t="str">
        <f>"Serv.Prest. 02/03/2026 a 08/03/2026 - PIX: CPF - CHAVE: 026.422.254-70"</f>
        <v>Serv.Prest. 02/03/2026 a 08/03/2026 - PIX: CPF - CHAVE: 026.422.254-70</v>
      </c>
      <c r="I1960" t="str">
        <f t="shared" si="369"/>
        <v>12/03/2026</v>
      </c>
      <c r="J1960" t="str">
        <f t="shared" si="372"/>
        <v>09/03/2026</v>
      </c>
      <c r="K1960" t="str">
        <f>("12/03/2026")</f>
        <v>12/03/2026</v>
      </c>
      <c r="L1960">
        <v>415</v>
      </c>
      <c r="M1960">
        <v>415</v>
      </c>
      <c r="N1960">
        <v>109</v>
      </c>
      <c r="O1960" t="str">
        <f>"PAGAMENTO DE ENTREGADORES"</f>
        <v>PAGAMENTO DE ENTREGADORES</v>
      </c>
      <c r="P1960">
        <v>415</v>
      </c>
      <c r="S1960" t="str">
        <f>"BANCO C6 (149)"</f>
        <v>BANCO C6 (149)</v>
      </c>
      <c r="T1960">
        <v>31037</v>
      </c>
      <c r="U1960">
        <v>34371</v>
      </c>
      <c r="V1960" t="s">
        <v>37</v>
      </c>
    </row>
    <row r="1961" spans="1:22">
      <c r="A1961" t="str">
        <f t="shared" si="373"/>
        <v>12/03/2026</v>
      </c>
      <c r="B1961" t="str">
        <f t="shared" si="366"/>
        <v>SAÍDA</v>
      </c>
      <c r="C1961" t="str">
        <f t="shared" si="368"/>
        <v>PIX</v>
      </c>
      <c r="D1961" t="str">
        <f>"34371"</f>
        <v>34371</v>
      </c>
      <c r="E1961" t="str">
        <f t="shared" si="374"/>
        <v>1</v>
      </c>
      <c r="F1961" t="str">
        <f t="shared" si="370"/>
        <v>COM</v>
      </c>
      <c r="G1961" t="str">
        <f t="shared" si="377"/>
        <v>MANOEL DE JESUS ALMEIDA (1017)</v>
      </c>
      <c r="H1961" t="s">
        <v>649</v>
      </c>
      <c r="I1961" t="str">
        <f t="shared" si="369"/>
        <v>12/03/2026</v>
      </c>
      <c r="J1961" t="str">
        <f t="shared" si="372"/>
        <v>09/03/2026</v>
      </c>
      <c r="K1961">
        <v>46093</v>
      </c>
      <c r="N1961">
        <v>109</v>
      </c>
      <c r="O1961" t="s">
        <v>27</v>
      </c>
      <c r="Q1961">
        <v>415</v>
      </c>
      <c r="R1961" t="str">
        <f>"PENSE FARMA 05 (10200)"</f>
        <v>PENSE FARMA 05 (10200)</v>
      </c>
      <c r="S1961" t="s">
        <v>37</v>
      </c>
      <c r="T1961">
        <v>31037</v>
      </c>
      <c r="U1961">
        <v>34371</v>
      </c>
      <c r="V1961" t="s">
        <v>37</v>
      </c>
    </row>
    <row r="1962" spans="1:22">
      <c r="A1962" t="str">
        <f t="shared" si="373"/>
        <v>12/03/2026</v>
      </c>
      <c r="B1962" t="str">
        <f t="shared" si="366"/>
        <v>SAÍDA</v>
      </c>
      <c r="C1962" t="str">
        <f t="shared" si="368"/>
        <v>PIX</v>
      </c>
      <c r="D1962" t="str">
        <f>"34372"</f>
        <v>34372</v>
      </c>
      <c r="E1962" t="str">
        <f t="shared" si="374"/>
        <v>1</v>
      </c>
      <c r="F1962" t="str">
        <f t="shared" si="370"/>
        <v>COM</v>
      </c>
      <c r="G1962" t="str">
        <f t="shared" si="377"/>
        <v>MANOEL DE JESUS ALMEIDA (1017)</v>
      </c>
      <c r="H1962" t="str">
        <f>"Serv.Prest. 02/03/2026 a 08/03/2026 - PIX: CPF - CHAVE: 026.422.254-70"</f>
        <v>Serv.Prest. 02/03/2026 a 08/03/2026 - PIX: CPF - CHAVE: 026.422.254-70</v>
      </c>
      <c r="I1962" t="str">
        <f t="shared" si="369"/>
        <v>12/03/2026</v>
      </c>
      <c r="J1962" t="str">
        <f t="shared" si="372"/>
        <v>09/03/2026</v>
      </c>
      <c r="K1962" t="str">
        <f>("12/03/2026")</f>
        <v>12/03/2026</v>
      </c>
      <c r="L1962">
        <v>415</v>
      </c>
      <c r="M1962">
        <v>415</v>
      </c>
      <c r="N1962">
        <v>109</v>
      </c>
      <c r="O1962" t="str">
        <f>"PAGAMENTO DE ENTREGADORES"</f>
        <v>PAGAMENTO DE ENTREGADORES</v>
      </c>
      <c r="P1962">
        <v>415</v>
      </c>
      <c r="S1962" t="str">
        <f>"BANCO C6 (149)"</f>
        <v>BANCO C6 (149)</v>
      </c>
      <c r="T1962">
        <v>31038</v>
      </c>
      <c r="U1962">
        <v>34372</v>
      </c>
      <c r="V1962" t="s">
        <v>37</v>
      </c>
    </row>
    <row r="1963" spans="1:22">
      <c r="A1963" t="str">
        <f t="shared" si="373"/>
        <v>12/03/2026</v>
      </c>
      <c r="B1963" t="str">
        <f t="shared" si="366"/>
        <v>SAÍDA</v>
      </c>
      <c r="C1963" t="str">
        <f t="shared" si="368"/>
        <v>PIX</v>
      </c>
      <c r="D1963" t="str">
        <f>"34372"</f>
        <v>34372</v>
      </c>
      <c r="E1963" t="str">
        <f t="shared" si="374"/>
        <v>1</v>
      </c>
      <c r="F1963" t="str">
        <f t="shared" si="370"/>
        <v>COM</v>
      </c>
      <c r="G1963" t="str">
        <f t="shared" si="377"/>
        <v>MANOEL DE JESUS ALMEIDA (1017)</v>
      </c>
      <c r="H1963" t="s">
        <v>649</v>
      </c>
      <c r="I1963" t="str">
        <f t="shared" si="369"/>
        <v>12/03/2026</v>
      </c>
      <c r="J1963" t="str">
        <f t="shared" si="372"/>
        <v>09/03/2026</v>
      </c>
      <c r="K1963">
        <v>46093</v>
      </c>
      <c r="N1963">
        <v>109</v>
      </c>
      <c r="O1963" t="s">
        <v>27</v>
      </c>
      <c r="Q1963">
        <v>415</v>
      </c>
      <c r="R1963" t="str">
        <f>"PENSE FARMA 13 (10202)"</f>
        <v>PENSE FARMA 13 (10202)</v>
      </c>
      <c r="S1963" t="s">
        <v>37</v>
      </c>
      <c r="T1963">
        <v>31038</v>
      </c>
      <c r="U1963">
        <v>34372</v>
      </c>
      <c r="V1963" t="s">
        <v>37</v>
      </c>
    </row>
    <row r="1964" spans="1:22">
      <c r="A1964" t="str">
        <f t="shared" si="373"/>
        <v>12/03/2026</v>
      </c>
      <c r="B1964" t="str">
        <f t="shared" si="366"/>
        <v>SAÍDA</v>
      </c>
      <c r="C1964" t="str">
        <f t="shared" si="368"/>
        <v>PIX</v>
      </c>
      <c r="D1964" t="str">
        <f>"34373"</f>
        <v>34373</v>
      </c>
      <c r="E1964" t="str">
        <f t="shared" si="374"/>
        <v>1</v>
      </c>
      <c r="F1964" t="str">
        <f t="shared" si="370"/>
        <v>COM</v>
      </c>
      <c r="G1964" t="str">
        <f t="shared" si="377"/>
        <v>MANOEL DE JESUS ALMEIDA (1017)</v>
      </c>
      <c r="H1964" t="str">
        <f>"Serv.Prest. 02/03/2026 a 08/03/2026 - PIX: CPF - CHAVE: 026.422.254-70"</f>
        <v>Serv.Prest. 02/03/2026 a 08/03/2026 - PIX: CPF - CHAVE: 026.422.254-70</v>
      </c>
      <c r="I1964" t="str">
        <f t="shared" si="369"/>
        <v>12/03/2026</v>
      </c>
      <c r="J1964" t="str">
        <f t="shared" si="372"/>
        <v>09/03/2026</v>
      </c>
      <c r="K1964" t="str">
        <f>("12/03/2026")</f>
        <v>12/03/2026</v>
      </c>
      <c r="L1964">
        <v>420</v>
      </c>
      <c r="M1964">
        <v>420</v>
      </c>
      <c r="N1964">
        <v>109</v>
      </c>
      <c r="O1964" t="str">
        <f>"PAGAMENTO DE ENTREGADORES"</f>
        <v>PAGAMENTO DE ENTREGADORES</v>
      </c>
      <c r="P1964">
        <v>420</v>
      </c>
      <c r="S1964" t="str">
        <f>"BANCO C6 (149)"</f>
        <v>BANCO C6 (149)</v>
      </c>
      <c r="T1964">
        <v>31039</v>
      </c>
      <c r="U1964">
        <v>34373</v>
      </c>
      <c r="V1964" t="s">
        <v>37</v>
      </c>
    </row>
    <row r="1965" spans="1:22">
      <c r="A1965" t="str">
        <f t="shared" si="373"/>
        <v>12/03/2026</v>
      </c>
      <c r="B1965" t="str">
        <f t="shared" si="366"/>
        <v>SAÍDA</v>
      </c>
      <c r="C1965" t="str">
        <f t="shared" si="368"/>
        <v>PIX</v>
      </c>
      <c r="D1965" t="str">
        <f>"34373"</f>
        <v>34373</v>
      </c>
      <c r="E1965" t="str">
        <f t="shared" si="374"/>
        <v>1</v>
      </c>
      <c r="F1965" t="str">
        <f t="shared" si="370"/>
        <v>COM</v>
      </c>
      <c r="G1965" t="str">
        <f t="shared" si="377"/>
        <v>MANOEL DE JESUS ALMEIDA (1017)</v>
      </c>
      <c r="H1965" t="s">
        <v>649</v>
      </c>
      <c r="I1965" t="str">
        <f t="shared" si="369"/>
        <v>12/03/2026</v>
      </c>
      <c r="J1965" t="str">
        <f t="shared" si="372"/>
        <v>09/03/2026</v>
      </c>
      <c r="K1965">
        <v>46093</v>
      </c>
      <c r="N1965">
        <v>109</v>
      </c>
      <c r="O1965" t="s">
        <v>27</v>
      </c>
      <c r="Q1965">
        <v>420</v>
      </c>
      <c r="R1965" t="str">
        <f>"PENSE FARMA 27 (10204)"</f>
        <v>PENSE FARMA 27 (10204)</v>
      </c>
      <c r="S1965" t="s">
        <v>37</v>
      </c>
      <c r="T1965">
        <v>31039</v>
      </c>
      <c r="U1965">
        <v>34373</v>
      </c>
      <c r="V1965" t="s">
        <v>37</v>
      </c>
    </row>
    <row r="1966" spans="1:22">
      <c r="A1966" t="str">
        <f t="shared" si="373"/>
        <v>12/03/2026</v>
      </c>
      <c r="B1966" t="str">
        <f t="shared" si="366"/>
        <v>SAÍDA</v>
      </c>
      <c r="C1966" t="str">
        <f t="shared" si="368"/>
        <v>PIX</v>
      </c>
      <c r="D1966" t="str">
        <f>"34378"</f>
        <v>34378</v>
      </c>
      <c r="E1966" t="str">
        <f t="shared" si="374"/>
        <v>1</v>
      </c>
      <c r="F1966" t="str">
        <f t="shared" si="370"/>
        <v>COM</v>
      </c>
      <c r="G1966" t="str">
        <f>"VAGNER DIEGO DE OLIVEIRA MELO (990)"</f>
        <v>VAGNER DIEGO DE OLIVEIRA MELO (990)</v>
      </c>
      <c r="H1966" t="str">
        <f>"Serv.Prest. 02/03/2026 a 08/03/2026 - PIX: CPF - CHAVE: 419.678.508-52"</f>
        <v>Serv.Prest. 02/03/2026 a 08/03/2026 - PIX: CPF - CHAVE: 419.678.508-52</v>
      </c>
      <c r="I1966" t="str">
        <f t="shared" si="369"/>
        <v>12/03/2026</v>
      </c>
      <c r="J1966" t="str">
        <f t="shared" si="372"/>
        <v>09/03/2026</v>
      </c>
      <c r="K1966" t="str">
        <f>("12/03/2026")</f>
        <v>12/03/2026</v>
      </c>
      <c r="L1966">
        <v>1300</v>
      </c>
      <c r="M1966">
        <v>1300</v>
      </c>
      <c r="N1966">
        <v>109</v>
      </c>
      <c r="O1966" t="str">
        <f>"PAGAMENTO DE ENTREGADORES"</f>
        <v>PAGAMENTO DE ENTREGADORES</v>
      </c>
      <c r="P1966">
        <v>1300</v>
      </c>
      <c r="S1966" t="str">
        <f>"BANCO C6 (149)"</f>
        <v>BANCO C6 (149)</v>
      </c>
      <c r="T1966">
        <v>31040</v>
      </c>
      <c r="U1966">
        <v>34378</v>
      </c>
      <c r="V1966" t="s">
        <v>37</v>
      </c>
    </row>
    <row r="1967" spans="1:22">
      <c r="A1967" t="str">
        <f t="shared" si="373"/>
        <v>12/03/2026</v>
      </c>
      <c r="B1967" t="str">
        <f t="shared" si="366"/>
        <v>SAÍDA</v>
      </c>
      <c r="C1967" t="str">
        <f t="shared" si="368"/>
        <v>PIX</v>
      </c>
      <c r="D1967" t="str">
        <f>"34378"</f>
        <v>34378</v>
      </c>
      <c r="E1967" t="str">
        <f t="shared" si="374"/>
        <v>1</v>
      </c>
      <c r="F1967" t="str">
        <f t="shared" si="370"/>
        <v>COM</v>
      </c>
      <c r="G1967" t="str">
        <f>"VAGNER DIEGO DE OLIVEIRA MELO (990)"</f>
        <v>VAGNER DIEGO DE OLIVEIRA MELO (990)</v>
      </c>
      <c r="H1967" t="s">
        <v>650</v>
      </c>
      <c r="I1967" t="str">
        <f t="shared" si="369"/>
        <v>12/03/2026</v>
      </c>
      <c r="J1967" t="str">
        <f t="shared" si="372"/>
        <v>09/03/2026</v>
      </c>
      <c r="K1967">
        <v>46093</v>
      </c>
      <c r="N1967">
        <v>109</v>
      </c>
      <c r="O1967" t="s">
        <v>27</v>
      </c>
      <c r="Q1967">
        <v>1300</v>
      </c>
      <c r="R1967" t="str">
        <f>"PENSE FARMA 25 (10224)"</f>
        <v>PENSE FARMA 25 (10224)</v>
      </c>
      <c r="S1967" t="s">
        <v>37</v>
      </c>
      <c r="T1967">
        <v>31040</v>
      </c>
      <c r="U1967">
        <v>34378</v>
      </c>
      <c r="V1967" t="s">
        <v>37</v>
      </c>
    </row>
    <row r="1968" spans="1:22">
      <c r="A1968" t="str">
        <f t="shared" si="373"/>
        <v>12/03/2026</v>
      </c>
      <c r="B1968" t="str">
        <f t="shared" si="366"/>
        <v>SAÍDA</v>
      </c>
      <c r="C1968" t="str">
        <f t="shared" si="368"/>
        <v>PIX</v>
      </c>
      <c r="D1968" t="str">
        <f>"34380"</f>
        <v>34380</v>
      </c>
      <c r="E1968" t="str">
        <f t="shared" si="374"/>
        <v>1</v>
      </c>
      <c r="F1968" t="str">
        <f t="shared" si="370"/>
        <v>COM</v>
      </c>
      <c r="G1968" t="str">
        <f>"ERIC RODRIGUES TEIXEIRA (939)"</f>
        <v>ERIC RODRIGUES TEIXEIRA (939)</v>
      </c>
      <c r="H1968" t="str">
        <f>"Serv.Prest. 02/03/2026 a 08/03/2026 - PIX: CELULAR - CHAVE: (11) 95038-0621"</f>
        <v>Serv.Prest. 02/03/2026 a 08/03/2026 - PIX: CELULAR - CHAVE: (11) 95038-0621</v>
      </c>
      <c r="I1968" t="str">
        <f t="shared" si="369"/>
        <v>12/03/2026</v>
      </c>
      <c r="J1968" t="str">
        <f t="shared" si="372"/>
        <v>09/03/2026</v>
      </c>
      <c r="K1968" t="str">
        <f>("12/03/2026")</f>
        <v>12/03/2026</v>
      </c>
      <c r="L1968">
        <v>500</v>
      </c>
      <c r="M1968">
        <v>500</v>
      </c>
      <c r="N1968">
        <v>109</v>
      </c>
      <c r="O1968" t="str">
        <f>"PAGAMENTO DE ENTREGADORES"</f>
        <v>PAGAMENTO DE ENTREGADORES</v>
      </c>
      <c r="P1968">
        <v>500</v>
      </c>
      <c r="S1968" t="str">
        <f>"BANCO C6 (149)"</f>
        <v>BANCO C6 (149)</v>
      </c>
      <c r="T1968">
        <v>31041</v>
      </c>
      <c r="U1968">
        <v>34380</v>
      </c>
      <c r="V1968" t="s">
        <v>37</v>
      </c>
    </row>
    <row r="1969" spans="1:22">
      <c r="A1969" t="str">
        <f t="shared" si="373"/>
        <v>12/03/2026</v>
      </c>
      <c r="B1969" t="str">
        <f t="shared" si="366"/>
        <v>SAÍDA</v>
      </c>
      <c r="C1969" t="str">
        <f t="shared" si="368"/>
        <v>PIX</v>
      </c>
      <c r="D1969" t="str">
        <f>"34380"</f>
        <v>34380</v>
      </c>
      <c r="E1969" t="str">
        <f t="shared" si="374"/>
        <v>1</v>
      </c>
      <c r="F1969" t="str">
        <f t="shared" si="370"/>
        <v>COM</v>
      </c>
      <c r="G1969" t="str">
        <f>"ERIC RODRIGUES TEIXEIRA (939)"</f>
        <v>ERIC RODRIGUES TEIXEIRA (939)</v>
      </c>
      <c r="H1969" t="s">
        <v>436</v>
      </c>
      <c r="I1969" t="str">
        <f t="shared" si="369"/>
        <v>12/03/2026</v>
      </c>
      <c r="J1969" t="str">
        <f t="shared" si="372"/>
        <v>09/03/2026</v>
      </c>
      <c r="K1969">
        <v>46093</v>
      </c>
      <c r="N1969">
        <v>109</v>
      </c>
      <c r="O1969" t="s">
        <v>27</v>
      </c>
      <c r="Q1969">
        <v>500</v>
      </c>
      <c r="R1969" t="str">
        <f>"PENSE FARMA 07 (10201)"</f>
        <v>PENSE FARMA 07 (10201)</v>
      </c>
      <c r="S1969" t="s">
        <v>37</v>
      </c>
      <c r="T1969">
        <v>31041</v>
      </c>
      <c r="U1969">
        <v>34380</v>
      </c>
      <c r="V1969" t="s">
        <v>37</v>
      </c>
    </row>
    <row r="1970" spans="1:22">
      <c r="A1970" t="str">
        <f t="shared" si="373"/>
        <v>12/03/2026</v>
      </c>
      <c r="B1970" t="str">
        <f t="shared" si="366"/>
        <v>SAÍDA</v>
      </c>
      <c r="C1970" t="str">
        <f t="shared" si="368"/>
        <v>PIX</v>
      </c>
      <c r="D1970" t="str">
        <f>"34382"</f>
        <v>34382</v>
      </c>
      <c r="E1970" t="str">
        <f t="shared" si="374"/>
        <v>1</v>
      </c>
      <c r="F1970" t="str">
        <f t="shared" si="370"/>
        <v>COM</v>
      </c>
      <c r="G1970" t="str">
        <f>"ERIC RODRIGUES TEIXEIRA (939)"</f>
        <v>ERIC RODRIGUES TEIXEIRA (939)</v>
      </c>
      <c r="H1970" t="str">
        <f>"Serv.Prest. 02/03/2026 a 08/03/2026 - PIX: CELULAR - CHAVE: (11) 95038-0621"</f>
        <v>Serv.Prest. 02/03/2026 a 08/03/2026 - PIX: CELULAR - CHAVE: (11) 95038-0621</v>
      </c>
      <c r="I1970" t="str">
        <f t="shared" si="369"/>
        <v>12/03/2026</v>
      </c>
      <c r="J1970" t="str">
        <f t="shared" si="372"/>
        <v>09/03/2026</v>
      </c>
      <c r="K1970" t="str">
        <f>("12/03/2026")</f>
        <v>12/03/2026</v>
      </c>
      <c r="L1970">
        <v>480</v>
      </c>
      <c r="M1970">
        <v>480</v>
      </c>
      <c r="N1970">
        <v>109</v>
      </c>
      <c r="O1970" t="str">
        <f>"PAGAMENTO DE ENTREGADORES"</f>
        <v>PAGAMENTO DE ENTREGADORES</v>
      </c>
      <c r="P1970">
        <v>480</v>
      </c>
      <c r="S1970" t="str">
        <f>"BANCO C6 (149)"</f>
        <v>BANCO C6 (149)</v>
      </c>
      <c r="T1970">
        <v>31042</v>
      </c>
      <c r="U1970">
        <v>34382</v>
      </c>
      <c r="V1970" t="s">
        <v>37</v>
      </c>
    </row>
    <row r="1971" spans="1:22">
      <c r="A1971" t="str">
        <f t="shared" si="373"/>
        <v>12/03/2026</v>
      </c>
      <c r="B1971" t="str">
        <f t="shared" si="366"/>
        <v>SAÍDA</v>
      </c>
      <c r="C1971" t="str">
        <f t="shared" si="368"/>
        <v>PIX</v>
      </c>
      <c r="D1971" t="str">
        <f>"34382"</f>
        <v>34382</v>
      </c>
      <c r="E1971" t="str">
        <f t="shared" si="374"/>
        <v>1</v>
      </c>
      <c r="F1971" t="str">
        <f t="shared" si="370"/>
        <v>COM</v>
      </c>
      <c r="G1971" t="str">
        <f>"ERIC RODRIGUES TEIXEIRA (939)"</f>
        <v>ERIC RODRIGUES TEIXEIRA (939)</v>
      </c>
      <c r="H1971" t="s">
        <v>436</v>
      </c>
      <c r="I1971" t="str">
        <f t="shared" si="369"/>
        <v>12/03/2026</v>
      </c>
      <c r="J1971" t="str">
        <f t="shared" si="372"/>
        <v>09/03/2026</v>
      </c>
      <c r="K1971">
        <v>46093</v>
      </c>
      <c r="N1971">
        <v>109</v>
      </c>
      <c r="O1971" t="s">
        <v>27</v>
      </c>
      <c r="Q1971">
        <v>480</v>
      </c>
      <c r="R1971" t="str">
        <f>"PENSE FARMA 50 (10210)"</f>
        <v>PENSE FARMA 50 (10210)</v>
      </c>
      <c r="S1971" t="s">
        <v>37</v>
      </c>
      <c r="T1971">
        <v>31042</v>
      </c>
      <c r="U1971">
        <v>34382</v>
      </c>
      <c r="V1971" t="s">
        <v>37</v>
      </c>
    </row>
    <row r="1972" spans="1:22">
      <c r="A1972" t="str">
        <f t="shared" si="373"/>
        <v>12/03/2026</v>
      </c>
      <c r="B1972" t="str">
        <f t="shared" si="366"/>
        <v>SAÍDA</v>
      </c>
      <c r="C1972" t="str">
        <f t="shared" si="368"/>
        <v>PIX</v>
      </c>
      <c r="D1972" t="str">
        <f>"34385"</f>
        <v>34385</v>
      </c>
      <c r="E1972" t="str">
        <f t="shared" si="374"/>
        <v>1</v>
      </c>
      <c r="F1972" t="str">
        <f t="shared" si="370"/>
        <v>COM</v>
      </c>
      <c r="G1972" t="str">
        <f>"GABRIEL SIQUEIRA DA SILVA (997)"</f>
        <v>GABRIEL SIQUEIRA DA SILVA (997)</v>
      </c>
      <c r="H1972" t="str">
        <f>"Serv.Prest. 02/03/2026 a 08/03/2026 - PIX: CPF - CHAVE: 500.480.978-02"</f>
        <v>Serv.Prest. 02/03/2026 a 08/03/2026 - PIX: CPF - CHAVE: 500.480.978-02</v>
      </c>
      <c r="I1972" t="str">
        <f t="shared" si="369"/>
        <v>12/03/2026</v>
      </c>
      <c r="J1972" t="str">
        <f t="shared" si="372"/>
        <v>09/03/2026</v>
      </c>
      <c r="K1972" t="str">
        <f>("12/03/2026")</f>
        <v>12/03/2026</v>
      </c>
      <c r="L1972">
        <v>800</v>
      </c>
      <c r="M1972">
        <v>800</v>
      </c>
      <c r="N1972">
        <v>109</v>
      </c>
      <c r="O1972" t="str">
        <f>"PAGAMENTO DE ENTREGADORES"</f>
        <v>PAGAMENTO DE ENTREGADORES</v>
      </c>
      <c r="P1972">
        <v>800</v>
      </c>
      <c r="S1972" t="str">
        <f>"BANCO C6 (149)"</f>
        <v>BANCO C6 (149)</v>
      </c>
      <c r="T1972">
        <v>31043</v>
      </c>
      <c r="U1972">
        <v>34385</v>
      </c>
      <c r="V1972" t="s">
        <v>37</v>
      </c>
    </row>
    <row r="1973" spans="1:22">
      <c r="A1973" t="str">
        <f t="shared" si="373"/>
        <v>12/03/2026</v>
      </c>
      <c r="B1973" t="str">
        <f t="shared" si="366"/>
        <v>SAÍDA</v>
      </c>
      <c r="C1973" t="str">
        <f t="shared" si="368"/>
        <v>PIX</v>
      </c>
      <c r="D1973" t="str">
        <f>"34385"</f>
        <v>34385</v>
      </c>
      <c r="E1973" t="str">
        <f t="shared" si="374"/>
        <v>1</v>
      </c>
      <c r="F1973" t="str">
        <f t="shared" si="370"/>
        <v>COM</v>
      </c>
      <c r="G1973" t="str">
        <f>"GABRIEL SIQUEIRA DA SILVA (997)"</f>
        <v>GABRIEL SIQUEIRA DA SILVA (997)</v>
      </c>
      <c r="H1973" t="s">
        <v>651</v>
      </c>
      <c r="I1973" t="str">
        <f t="shared" si="369"/>
        <v>12/03/2026</v>
      </c>
      <c r="J1973" t="str">
        <f t="shared" si="372"/>
        <v>09/03/2026</v>
      </c>
      <c r="K1973">
        <v>46093</v>
      </c>
      <c r="N1973">
        <v>109</v>
      </c>
      <c r="O1973" t="s">
        <v>27</v>
      </c>
      <c r="Q1973">
        <v>800</v>
      </c>
      <c r="R1973" t="str">
        <f>"PENSE FARMA 49 (10234)"</f>
        <v>PENSE FARMA 49 (10234)</v>
      </c>
      <c r="S1973" t="s">
        <v>37</v>
      </c>
      <c r="T1973">
        <v>31043</v>
      </c>
      <c r="U1973">
        <v>34385</v>
      </c>
      <c r="V1973" t="s">
        <v>37</v>
      </c>
    </row>
    <row r="1974" spans="1:22">
      <c r="A1974" t="str">
        <f t="shared" si="373"/>
        <v>12/03/2026</v>
      </c>
      <c r="B1974" t="str">
        <f t="shared" si="366"/>
        <v>SAÍDA</v>
      </c>
      <c r="C1974" t="str">
        <f t="shared" si="368"/>
        <v>PIX</v>
      </c>
      <c r="D1974" t="str">
        <f>"34387"</f>
        <v>34387</v>
      </c>
      <c r="E1974" t="str">
        <f t="shared" si="374"/>
        <v>1</v>
      </c>
      <c r="F1974" t="str">
        <f t="shared" si="370"/>
        <v>COM</v>
      </c>
      <c r="G1974" t="str">
        <f t="shared" ref="G1974:G1981" si="378">"ALEX GLAUBER PEREIRA (1329)"</f>
        <v>ALEX GLAUBER PEREIRA (1329)</v>
      </c>
      <c r="H1974" t="str">
        <f>"Serv.Prest. 02/03/2026 a 08/03/2026 - PIX: CELULAR - CHAVE: (11) 91487-0314"</f>
        <v>Serv.Prest. 02/03/2026 a 08/03/2026 - PIX: CELULAR - CHAVE: (11) 91487-0314</v>
      </c>
      <c r="I1974" t="str">
        <f t="shared" si="369"/>
        <v>12/03/2026</v>
      </c>
      <c r="J1974" t="str">
        <f t="shared" si="372"/>
        <v>09/03/2026</v>
      </c>
      <c r="K1974" t="str">
        <f>("12/03/2026")</f>
        <v>12/03/2026</v>
      </c>
      <c r="L1974">
        <v>325</v>
      </c>
      <c r="M1974">
        <v>325</v>
      </c>
      <c r="N1974">
        <v>109</v>
      </c>
      <c r="O1974" t="str">
        <f>"PAGAMENTO DE ENTREGADORES"</f>
        <v>PAGAMENTO DE ENTREGADORES</v>
      </c>
      <c r="P1974">
        <v>325</v>
      </c>
      <c r="S1974" t="str">
        <f>"BANCO C6 (149)"</f>
        <v>BANCO C6 (149)</v>
      </c>
      <c r="T1974">
        <v>31044</v>
      </c>
      <c r="U1974">
        <v>34387</v>
      </c>
      <c r="V1974" t="s">
        <v>37</v>
      </c>
    </row>
    <row r="1975" spans="1:22">
      <c r="A1975" t="str">
        <f t="shared" si="373"/>
        <v>12/03/2026</v>
      </c>
      <c r="B1975" t="str">
        <f t="shared" si="366"/>
        <v>SAÍDA</v>
      </c>
      <c r="C1975" t="str">
        <f t="shared" si="368"/>
        <v>PIX</v>
      </c>
      <c r="D1975" t="str">
        <f>"34387"</f>
        <v>34387</v>
      </c>
      <c r="E1975" t="str">
        <f t="shared" si="374"/>
        <v>1</v>
      </c>
      <c r="F1975" t="str">
        <f t="shared" si="370"/>
        <v>COM</v>
      </c>
      <c r="G1975" t="str">
        <f t="shared" si="378"/>
        <v>ALEX GLAUBER PEREIRA (1329)</v>
      </c>
      <c r="H1975" t="s">
        <v>652</v>
      </c>
      <c r="I1975" t="str">
        <f t="shared" si="369"/>
        <v>12/03/2026</v>
      </c>
      <c r="J1975" t="str">
        <f t="shared" si="372"/>
        <v>09/03/2026</v>
      </c>
      <c r="K1975">
        <v>46093</v>
      </c>
      <c r="N1975">
        <v>109</v>
      </c>
      <c r="O1975" t="s">
        <v>27</v>
      </c>
      <c r="Q1975">
        <v>325</v>
      </c>
      <c r="R1975" t="str">
        <f>"PENSE FARMA 02 (10199)"</f>
        <v>PENSE FARMA 02 (10199)</v>
      </c>
      <c r="S1975" t="s">
        <v>37</v>
      </c>
      <c r="T1975">
        <v>31044</v>
      </c>
      <c r="U1975">
        <v>34387</v>
      </c>
      <c r="V1975" t="s">
        <v>37</v>
      </c>
    </row>
    <row r="1976" spans="1:22">
      <c r="A1976" t="str">
        <f t="shared" si="373"/>
        <v>12/03/2026</v>
      </c>
      <c r="B1976" t="str">
        <f t="shared" ref="B1976:B2039" si="379">"SAÍDA"</f>
        <v>SAÍDA</v>
      </c>
      <c r="C1976" t="str">
        <f t="shared" si="368"/>
        <v>PIX</v>
      </c>
      <c r="D1976" t="str">
        <f>"34388"</f>
        <v>34388</v>
      </c>
      <c r="E1976" t="str">
        <f t="shared" si="374"/>
        <v>1</v>
      </c>
      <c r="F1976" t="str">
        <f t="shared" si="370"/>
        <v>COM</v>
      </c>
      <c r="G1976" t="str">
        <f t="shared" si="378"/>
        <v>ALEX GLAUBER PEREIRA (1329)</v>
      </c>
      <c r="H1976" t="str">
        <f>"Serv.Prest. 02/03/2026 a 08/03/2026 - PIX: CELULAR - CHAVE: (11) 91487-0314"</f>
        <v>Serv.Prest. 02/03/2026 a 08/03/2026 - PIX: CELULAR - CHAVE: (11) 91487-0314</v>
      </c>
      <c r="I1976" t="str">
        <f t="shared" si="369"/>
        <v>12/03/2026</v>
      </c>
      <c r="J1976" t="str">
        <f t="shared" si="372"/>
        <v>09/03/2026</v>
      </c>
      <c r="K1976" t="str">
        <f>("12/03/2026")</f>
        <v>12/03/2026</v>
      </c>
      <c r="L1976">
        <v>325</v>
      </c>
      <c r="M1976">
        <v>325</v>
      </c>
      <c r="N1976">
        <v>109</v>
      </c>
      <c r="O1976" t="str">
        <f>"PAGAMENTO DE ENTREGADORES"</f>
        <v>PAGAMENTO DE ENTREGADORES</v>
      </c>
      <c r="P1976">
        <v>325</v>
      </c>
      <c r="S1976" t="str">
        <f>"BANCO C6 (149)"</f>
        <v>BANCO C6 (149)</v>
      </c>
      <c r="T1976">
        <v>31045</v>
      </c>
      <c r="U1976">
        <v>34388</v>
      </c>
      <c r="V1976" t="s">
        <v>37</v>
      </c>
    </row>
    <row r="1977" spans="1:22">
      <c r="A1977" t="str">
        <f t="shared" si="373"/>
        <v>12/03/2026</v>
      </c>
      <c r="B1977" t="str">
        <f t="shared" si="379"/>
        <v>SAÍDA</v>
      </c>
      <c r="C1977" t="str">
        <f t="shared" si="368"/>
        <v>PIX</v>
      </c>
      <c r="D1977" t="str">
        <f>"34388"</f>
        <v>34388</v>
      </c>
      <c r="E1977" t="str">
        <f t="shared" si="374"/>
        <v>1</v>
      </c>
      <c r="F1977" t="str">
        <f t="shared" si="370"/>
        <v>COM</v>
      </c>
      <c r="G1977" t="str">
        <f t="shared" si="378"/>
        <v>ALEX GLAUBER PEREIRA (1329)</v>
      </c>
      <c r="H1977" t="s">
        <v>652</v>
      </c>
      <c r="I1977" t="str">
        <f t="shared" si="369"/>
        <v>12/03/2026</v>
      </c>
      <c r="J1977" t="str">
        <f t="shared" si="372"/>
        <v>09/03/2026</v>
      </c>
      <c r="K1977">
        <v>46093</v>
      </c>
      <c r="N1977">
        <v>109</v>
      </c>
      <c r="O1977" t="s">
        <v>27</v>
      </c>
      <c r="Q1977">
        <v>325</v>
      </c>
      <c r="R1977" t="str">
        <f>"PENSE FARMA 01 (10215)"</f>
        <v>PENSE FARMA 01 (10215)</v>
      </c>
      <c r="S1977" t="s">
        <v>37</v>
      </c>
      <c r="T1977">
        <v>31045</v>
      </c>
      <c r="U1977">
        <v>34388</v>
      </c>
      <c r="V1977" t="s">
        <v>37</v>
      </c>
    </row>
    <row r="1978" spans="1:22">
      <c r="A1978" t="str">
        <f t="shared" si="373"/>
        <v>12/03/2026</v>
      </c>
      <c r="B1978" t="str">
        <f t="shared" si="379"/>
        <v>SAÍDA</v>
      </c>
      <c r="C1978" t="str">
        <f t="shared" si="368"/>
        <v>PIX</v>
      </c>
      <c r="D1978" t="str">
        <f>"34389"</f>
        <v>34389</v>
      </c>
      <c r="E1978" t="str">
        <f t="shared" si="374"/>
        <v>1</v>
      </c>
      <c r="F1978" t="str">
        <f t="shared" si="370"/>
        <v>COM</v>
      </c>
      <c r="G1978" t="str">
        <f t="shared" si="378"/>
        <v>ALEX GLAUBER PEREIRA (1329)</v>
      </c>
      <c r="H1978" t="str">
        <f>"Serv.Prest. 02/03/2026 a 08/03/2026 - PIX: CELULAR - CHAVE: (11) 91487-0314"</f>
        <v>Serv.Prest. 02/03/2026 a 08/03/2026 - PIX: CELULAR - CHAVE: (11) 91487-0314</v>
      </c>
      <c r="I1978" t="str">
        <f t="shared" si="369"/>
        <v>12/03/2026</v>
      </c>
      <c r="J1978" t="str">
        <f t="shared" si="372"/>
        <v>09/03/2026</v>
      </c>
      <c r="K1978" t="str">
        <f>("12/03/2026")</f>
        <v>12/03/2026</v>
      </c>
      <c r="L1978">
        <v>325</v>
      </c>
      <c r="M1978">
        <v>325</v>
      </c>
      <c r="N1978">
        <v>109</v>
      </c>
      <c r="O1978" t="str">
        <f>"PAGAMENTO DE ENTREGADORES"</f>
        <v>PAGAMENTO DE ENTREGADORES</v>
      </c>
      <c r="P1978">
        <v>325</v>
      </c>
      <c r="S1978" t="str">
        <f>"BANCO C6 (149)"</f>
        <v>BANCO C6 (149)</v>
      </c>
      <c r="T1978">
        <v>31046</v>
      </c>
      <c r="U1978">
        <v>34389</v>
      </c>
      <c r="V1978" t="s">
        <v>37</v>
      </c>
    </row>
    <row r="1979" spans="1:22">
      <c r="A1979" t="str">
        <f t="shared" si="373"/>
        <v>12/03/2026</v>
      </c>
      <c r="B1979" t="str">
        <f t="shared" si="379"/>
        <v>SAÍDA</v>
      </c>
      <c r="C1979" t="str">
        <f t="shared" si="368"/>
        <v>PIX</v>
      </c>
      <c r="D1979" t="str">
        <f>"34389"</f>
        <v>34389</v>
      </c>
      <c r="E1979" t="str">
        <f t="shared" si="374"/>
        <v>1</v>
      </c>
      <c r="F1979" t="str">
        <f t="shared" si="370"/>
        <v>COM</v>
      </c>
      <c r="G1979" t="str">
        <f t="shared" si="378"/>
        <v>ALEX GLAUBER PEREIRA (1329)</v>
      </c>
      <c r="H1979" t="s">
        <v>652</v>
      </c>
      <c r="I1979" t="str">
        <f t="shared" si="369"/>
        <v>12/03/2026</v>
      </c>
      <c r="J1979" t="str">
        <f t="shared" si="372"/>
        <v>09/03/2026</v>
      </c>
      <c r="K1979">
        <v>46093</v>
      </c>
      <c r="N1979">
        <v>109</v>
      </c>
      <c r="O1979" t="s">
        <v>27</v>
      </c>
      <c r="Q1979">
        <v>325</v>
      </c>
      <c r="R1979" t="str">
        <f>"PENSE FARMA 03 (10216)"</f>
        <v>PENSE FARMA 03 (10216)</v>
      </c>
      <c r="S1979" t="s">
        <v>37</v>
      </c>
      <c r="T1979">
        <v>31046</v>
      </c>
      <c r="U1979">
        <v>34389</v>
      </c>
      <c r="V1979" t="s">
        <v>37</v>
      </c>
    </row>
    <row r="1980" spans="1:22">
      <c r="A1980" t="str">
        <f t="shared" si="373"/>
        <v>12/03/2026</v>
      </c>
      <c r="B1980" t="str">
        <f t="shared" si="379"/>
        <v>SAÍDA</v>
      </c>
      <c r="C1980" t="str">
        <f t="shared" si="368"/>
        <v>PIX</v>
      </c>
      <c r="D1980" t="str">
        <f>"34390"</f>
        <v>34390</v>
      </c>
      <c r="E1980" t="str">
        <f t="shared" si="374"/>
        <v>1</v>
      </c>
      <c r="F1980" t="str">
        <f t="shared" si="370"/>
        <v>COM</v>
      </c>
      <c r="G1980" t="str">
        <f t="shared" si="378"/>
        <v>ALEX GLAUBER PEREIRA (1329)</v>
      </c>
      <c r="H1980" t="str">
        <f>"Serv.Prest. 02/03/2026 a 08/03/2026 - PIX: CELULAR - CHAVE: (11) 91487-0314"</f>
        <v>Serv.Prest. 02/03/2026 a 08/03/2026 - PIX: CELULAR - CHAVE: (11) 91487-0314</v>
      </c>
      <c r="I1980" t="str">
        <f t="shared" si="369"/>
        <v>12/03/2026</v>
      </c>
      <c r="J1980" t="str">
        <f t="shared" si="372"/>
        <v>09/03/2026</v>
      </c>
      <c r="K1980" t="str">
        <f>("12/03/2026")</f>
        <v>12/03/2026</v>
      </c>
      <c r="L1980">
        <v>325</v>
      </c>
      <c r="M1980">
        <v>325</v>
      </c>
      <c r="N1980">
        <v>109</v>
      </c>
      <c r="O1980" t="str">
        <f>"PAGAMENTO DE ENTREGADORES"</f>
        <v>PAGAMENTO DE ENTREGADORES</v>
      </c>
      <c r="P1980">
        <v>325</v>
      </c>
      <c r="S1980" t="str">
        <f>"BANCO C6 (149)"</f>
        <v>BANCO C6 (149)</v>
      </c>
      <c r="T1980">
        <v>31047</v>
      </c>
      <c r="U1980">
        <v>34390</v>
      </c>
      <c r="V1980" t="s">
        <v>37</v>
      </c>
    </row>
    <row r="1981" spans="1:22">
      <c r="A1981" t="str">
        <f t="shared" si="373"/>
        <v>12/03/2026</v>
      </c>
      <c r="B1981" t="str">
        <f t="shared" si="379"/>
        <v>SAÍDA</v>
      </c>
      <c r="C1981" t="str">
        <f t="shared" si="368"/>
        <v>PIX</v>
      </c>
      <c r="D1981" t="str">
        <f>"34390"</f>
        <v>34390</v>
      </c>
      <c r="E1981" t="str">
        <f t="shared" si="374"/>
        <v>1</v>
      </c>
      <c r="F1981" t="str">
        <f t="shared" si="370"/>
        <v>COM</v>
      </c>
      <c r="G1981" t="str">
        <f t="shared" si="378"/>
        <v>ALEX GLAUBER PEREIRA (1329)</v>
      </c>
      <c r="H1981" t="s">
        <v>652</v>
      </c>
      <c r="I1981" t="str">
        <f t="shared" si="369"/>
        <v>12/03/2026</v>
      </c>
      <c r="J1981" t="str">
        <f t="shared" si="372"/>
        <v>09/03/2026</v>
      </c>
      <c r="K1981">
        <v>46093</v>
      </c>
      <c r="N1981">
        <v>109</v>
      </c>
      <c r="O1981" t="s">
        <v>27</v>
      </c>
      <c r="Q1981">
        <v>325</v>
      </c>
      <c r="R1981" t="str">
        <f>"PENSE FARMA 39 (10228)"</f>
        <v>PENSE FARMA 39 (10228)</v>
      </c>
      <c r="S1981" t="s">
        <v>37</v>
      </c>
      <c r="T1981">
        <v>31047</v>
      </c>
      <c r="U1981">
        <v>34390</v>
      </c>
      <c r="V1981" t="s">
        <v>37</v>
      </c>
    </row>
    <row r="1982" spans="1:22">
      <c r="A1982" t="str">
        <f t="shared" si="373"/>
        <v>12/03/2026</v>
      </c>
      <c r="B1982" t="str">
        <f t="shared" si="379"/>
        <v>SAÍDA</v>
      </c>
      <c r="C1982" t="str">
        <f t="shared" si="368"/>
        <v>PIX</v>
      </c>
      <c r="D1982" t="str">
        <f>"34391"</f>
        <v>34391</v>
      </c>
      <c r="E1982" t="str">
        <f t="shared" si="374"/>
        <v>1</v>
      </c>
      <c r="F1982" t="str">
        <f t="shared" si="370"/>
        <v>COM</v>
      </c>
      <c r="G1982" t="str">
        <f t="shared" ref="G1982:G1989" si="380">"IGOR LOPES DA SILVA (991)"</f>
        <v>IGOR LOPES DA SILVA (991)</v>
      </c>
      <c r="H1982" t="str">
        <f>"Serv.Prest. 02/03/2026 a 08/03/2026 - PIX: CELULAR - CHAVE: (11) 95054-2206"</f>
        <v>Serv.Prest. 02/03/2026 a 08/03/2026 - PIX: CELULAR - CHAVE: (11) 95054-2206</v>
      </c>
      <c r="I1982" t="str">
        <f t="shared" si="369"/>
        <v>12/03/2026</v>
      </c>
      <c r="J1982" t="str">
        <f t="shared" si="372"/>
        <v>09/03/2026</v>
      </c>
      <c r="K1982" t="str">
        <f>("12/03/2026")</f>
        <v>12/03/2026</v>
      </c>
      <c r="L1982">
        <v>365</v>
      </c>
      <c r="M1982">
        <v>365</v>
      </c>
      <c r="N1982">
        <v>109</v>
      </c>
      <c r="O1982" t="str">
        <f>"PAGAMENTO DE ENTREGADORES"</f>
        <v>PAGAMENTO DE ENTREGADORES</v>
      </c>
      <c r="P1982">
        <v>365</v>
      </c>
      <c r="S1982" t="str">
        <f>"BANCO C6 (149)"</f>
        <v>BANCO C6 (149)</v>
      </c>
      <c r="T1982">
        <v>31048</v>
      </c>
      <c r="U1982">
        <v>34391</v>
      </c>
      <c r="V1982" t="s">
        <v>37</v>
      </c>
    </row>
    <row r="1983" spans="1:22">
      <c r="A1983" t="str">
        <f t="shared" si="373"/>
        <v>12/03/2026</v>
      </c>
      <c r="B1983" t="str">
        <f t="shared" si="379"/>
        <v>SAÍDA</v>
      </c>
      <c r="C1983" t="str">
        <f t="shared" si="368"/>
        <v>PIX</v>
      </c>
      <c r="D1983" t="str">
        <f>"34391"</f>
        <v>34391</v>
      </c>
      <c r="E1983" t="str">
        <f t="shared" si="374"/>
        <v>1</v>
      </c>
      <c r="F1983" t="str">
        <f t="shared" si="370"/>
        <v>COM</v>
      </c>
      <c r="G1983" t="str">
        <f t="shared" si="380"/>
        <v>IGOR LOPES DA SILVA (991)</v>
      </c>
      <c r="H1983" t="s">
        <v>438</v>
      </c>
      <c r="I1983" t="str">
        <f t="shared" si="369"/>
        <v>12/03/2026</v>
      </c>
      <c r="J1983" t="str">
        <f t="shared" si="372"/>
        <v>09/03/2026</v>
      </c>
      <c r="K1983">
        <v>46093</v>
      </c>
      <c r="N1983">
        <v>109</v>
      </c>
      <c r="O1983" t="s">
        <v>27</v>
      </c>
      <c r="Q1983">
        <v>365</v>
      </c>
      <c r="R1983" t="str">
        <f>"PENSE FARMA 02 (10199)"</f>
        <v>PENSE FARMA 02 (10199)</v>
      </c>
      <c r="S1983" t="s">
        <v>37</v>
      </c>
      <c r="T1983">
        <v>31048</v>
      </c>
      <c r="U1983">
        <v>34391</v>
      </c>
      <c r="V1983" t="s">
        <v>37</v>
      </c>
    </row>
    <row r="1984" spans="1:22">
      <c r="A1984" t="str">
        <f t="shared" si="373"/>
        <v>12/03/2026</v>
      </c>
      <c r="B1984" t="str">
        <f t="shared" si="379"/>
        <v>SAÍDA</v>
      </c>
      <c r="C1984" t="str">
        <f t="shared" ref="C1984:C2047" si="381">"PIX"</f>
        <v>PIX</v>
      </c>
      <c r="D1984" t="str">
        <f>"34392"</f>
        <v>34392</v>
      </c>
      <c r="E1984" t="str">
        <f t="shared" si="374"/>
        <v>1</v>
      </c>
      <c r="F1984" t="str">
        <f t="shared" si="370"/>
        <v>COM</v>
      </c>
      <c r="G1984" t="str">
        <f t="shared" si="380"/>
        <v>IGOR LOPES DA SILVA (991)</v>
      </c>
      <c r="H1984" t="str">
        <f>"Serv.Prest. 02/03/2026 a 08/03/2026 - PIX: CELULAR - CHAVE: (11) 95054-2206"</f>
        <v>Serv.Prest. 02/03/2026 a 08/03/2026 - PIX: CELULAR - CHAVE: (11) 95054-2206</v>
      </c>
      <c r="I1984" t="str">
        <f t="shared" ref="I1984:I2047" si="382">("12/03/2026")</f>
        <v>12/03/2026</v>
      </c>
      <c r="J1984" t="str">
        <f t="shared" si="372"/>
        <v>09/03/2026</v>
      </c>
      <c r="K1984" t="str">
        <f>("12/03/2026")</f>
        <v>12/03/2026</v>
      </c>
      <c r="L1984">
        <v>385</v>
      </c>
      <c r="M1984">
        <v>385</v>
      </c>
      <c r="N1984">
        <v>109</v>
      </c>
      <c r="O1984" t="str">
        <f>"PAGAMENTO DE ENTREGADORES"</f>
        <v>PAGAMENTO DE ENTREGADORES</v>
      </c>
      <c r="P1984">
        <v>385</v>
      </c>
      <c r="S1984" t="str">
        <f>"BANCO C6 (149)"</f>
        <v>BANCO C6 (149)</v>
      </c>
      <c r="T1984">
        <v>31049</v>
      </c>
      <c r="U1984">
        <v>34392</v>
      </c>
      <c r="V1984" t="s">
        <v>37</v>
      </c>
    </row>
    <row r="1985" spans="1:22">
      <c r="A1985" t="str">
        <f t="shared" si="373"/>
        <v>12/03/2026</v>
      </c>
      <c r="B1985" t="str">
        <f t="shared" si="379"/>
        <v>SAÍDA</v>
      </c>
      <c r="C1985" t="str">
        <f t="shared" si="381"/>
        <v>PIX</v>
      </c>
      <c r="D1985" t="str">
        <f>"34392"</f>
        <v>34392</v>
      </c>
      <c r="E1985" t="str">
        <f t="shared" si="374"/>
        <v>1</v>
      </c>
      <c r="F1985" t="str">
        <f t="shared" si="370"/>
        <v>COM</v>
      </c>
      <c r="G1985" t="str">
        <f t="shared" si="380"/>
        <v>IGOR LOPES DA SILVA (991)</v>
      </c>
      <c r="H1985" t="s">
        <v>438</v>
      </c>
      <c r="I1985" t="str">
        <f t="shared" si="382"/>
        <v>12/03/2026</v>
      </c>
      <c r="J1985" t="str">
        <f t="shared" si="372"/>
        <v>09/03/2026</v>
      </c>
      <c r="K1985">
        <v>46093</v>
      </c>
      <c r="N1985">
        <v>109</v>
      </c>
      <c r="O1985" t="s">
        <v>27</v>
      </c>
      <c r="Q1985">
        <v>385</v>
      </c>
      <c r="R1985" t="str">
        <f>"PENSE FARMA 01 (10215)"</f>
        <v>PENSE FARMA 01 (10215)</v>
      </c>
      <c r="S1985" t="s">
        <v>37</v>
      </c>
      <c r="T1985">
        <v>31049</v>
      </c>
      <c r="U1985">
        <v>34392</v>
      </c>
      <c r="V1985" t="s">
        <v>37</v>
      </c>
    </row>
    <row r="1986" spans="1:22">
      <c r="A1986" t="str">
        <f t="shared" si="373"/>
        <v>12/03/2026</v>
      </c>
      <c r="B1986" t="str">
        <f t="shared" si="379"/>
        <v>SAÍDA</v>
      </c>
      <c r="C1986" t="str">
        <f t="shared" si="381"/>
        <v>PIX</v>
      </c>
      <c r="D1986" t="str">
        <f>"34393"</f>
        <v>34393</v>
      </c>
      <c r="E1986" t="str">
        <f t="shared" si="374"/>
        <v>1</v>
      </c>
      <c r="F1986" t="str">
        <f t="shared" ref="F1986:F2049" si="383">"COM"</f>
        <v>COM</v>
      </c>
      <c r="G1986" t="str">
        <f t="shared" si="380"/>
        <v>IGOR LOPES DA SILVA (991)</v>
      </c>
      <c r="H1986" t="str">
        <f>"Serv.Prest. 02/03/2026 a 08/03/2026 - PIX: CELULAR - CHAVE: (11) 95054-2206"</f>
        <v>Serv.Prest. 02/03/2026 a 08/03/2026 - PIX: CELULAR - CHAVE: (11) 95054-2206</v>
      </c>
      <c r="I1986" t="str">
        <f t="shared" si="382"/>
        <v>12/03/2026</v>
      </c>
      <c r="J1986" t="str">
        <f t="shared" si="372"/>
        <v>09/03/2026</v>
      </c>
      <c r="K1986" t="str">
        <f>("12/03/2026")</f>
        <v>12/03/2026</v>
      </c>
      <c r="L1986">
        <v>135</v>
      </c>
      <c r="M1986">
        <v>135</v>
      </c>
      <c r="N1986">
        <v>109</v>
      </c>
      <c r="O1986" t="str">
        <f>"PAGAMENTO DE ENTREGADORES"</f>
        <v>PAGAMENTO DE ENTREGADORES</v>
      </c>
      <c r="P1986">
        <v>135</v>
      </c>
      <c r="S1986" t="str">
        <f>"BANCO C6 (149)"</f>
        <v>BANCO C6 (149)</v>
      </c>
      <c r="T1986">
        <v>31050</v>
      </c>
      <c r="U1986">
        <v>34393</v>
      </c>
      <c r="V1986" t="s">
        <v>37</v>
      </c>
    </row>
    <row r="1987" spans="1:22">
      <c r="A1987" t="str">
        <f t="shared" si="373"/>
        <v>12/03/2026</v>
      </c>
      <c r="B1987" t="str">
        <f t="shared" si="379"/>
        <v>SAÍDA</v>
      </c>
      <c r="C1987" t="str">
        <f t="shared" si="381"/>
        <v>PIX</v>
      </c>
      <c r="D1987" t="str">
        <f>"34393"</f>
        <v>34393</v>
      </c>
      <c r="E1987" t="str">
        <f t="shared" si="374"/>
        <v>1</v>
      </c>
      <c r="F1987" t="str">
        <f t="shared" si="383"/>
        <v>COM</v>
      </c>
      <c r="G1987" t="str">
        <f t="shared" si="380"/>
        <v>IGOR LOPES DA SILVA (991)</v>
      </c>
      <c r="H1987" t="s">
        <v>438</v>
      </c>
      <c r="I1987" t="str">
        <f t="shared" si="382"/>
        <v>12/03/2026</v>
      </c>
      <c r="J1987" t="str">
        <f t="shared" si="372"/>
        <v>09/03/2026</v>
      </c>
      <c r="K1987">
        <v>46093</v>
      </c>
      <c r="N1987">
        <v>109</v>
      </c>
      <c r="O1987" t="s">
        <v>27</v>
      </c>
      <c r="Q1987">
        <v>135</v>
      </c>
      <c r="R1987" t="str">
        <f>"PENSE FARMA 03 (10216)"</f>
        <v>PENSE FARMA 03 (10216)</v>
      </c>
      <c r="S1987" t="s">
        <v>37</v>
      </c>
      <c r="T1987">
        <v>31050</v>
      </c>
      <c r="U1987">
        <v>34393</v>
      </c>
      <c r="V1987" t="s">
        <v>37</v>
      </c>
    </row>
    <row r="1988" spans="1:22">
      <c r="A1988" t="str">
        <f t="shared" si="373"/>
        <v>12/03/2026</v>
      </c>
      <c r="B1988" t="str">
        <f t="shared" si="379"/>
        <v>SAÍDA</v>
      </c>
      <c r="C1988" t="str">
        <f t="shared" si="381"/>
        <v>PIX</v>
      </c>
      <c r="D1988" t="str">
        <f>"34394"</f>
        <v>34394</v>
      </c>
      <c r="E1988" t="str">
        <f t="shared" si="374"/>
        <v>1</v>
      </c>
      <c r="F1988" t="str">
        <f t="shared" si="383"/>
        <v>COM</v>
      </c>
      <c r="G1988" t="str">
        <f t="shared" si="380"/>
        <v>IGOR LOPES DA SILVA (991)</v>
      </c>
      <c r="H1988" t="str">
        <f>"Serv.Prest. 02/03/2026 a 08/03/2026 - PIX: CELULAR - CHAVE: (11) 95054-2206"</f>
        <v>Serv.Prest. 02/03/2026 a 08/03/2026 - PIX: CELULAR - CHAVE: (11) 95054-2206</v>
      </c>
      <c r="I1988" t="str">
        <f t="shared" si="382"/>
        <v>12/03/2026</v>
      </c>
      <c r="J1988" t="str">
        <f t="shared" ref="J1988:J2051" si="384">("09/03/2026")</f>
        <v>09/03/2026</v>
      </c>
      <c r="K1988" t="str">
        <f>("12/03/2026")</f>
        <v>12/03/2026</v>
      </c>
      <c r="L1988">
        <v>395</v>
      </c>
      <c r="M1988">
        <v>395</v>
      </c>
      <c r="N1988">
        <v>109</v>
      </c>
      <c r="O1988" t="str">
        <f>"PAGAMENTO DE ENTREGADORES"</f>
        <v>PAGAMENTO DE ENTREGADORES</v>
      </c>
      <c r="P1988">
        <v>395</v>
      </c>
      <c r="S1988" t="str">
        <f>"BANCO C6 (149)"</f>
        <v>BANCO C6 (149)</v>
      </c>
      <c r="T1988">
        <v>31051</v>
      </c>
      <c r="U1988">
        <v>34394</v>
      </c>
      <c r="V1988" t="s">
        <v>37</v>
      </c>
    </row>
    <row r="1989" spans="1:22">
      <c r="A1989" t="str">
        <f t="shared" si="373"/>
        <v>12/03/2026</v>
      </c>
      <c r="B1989" t="str">
        <f t="shared" si="379"/>
        <v>SAÍDA</v>
      </c>
      <c r="C1989" t="str">
        <f t="shared" si="381"/>
        <v>PIX</v>
      </c>
      <c r="D1989" t="str">
        <f>"34394"</f>
        <v>34394</v>
      </c>
      <c r="E1989" t="str">
        <f t="shared" si="374"/>
        <v>1</v>
      </c>
      <c r="F1989" t="str">
        <f t="shared" si="383"/>
        <v>COM</v>
      </c>
      <c r="G1989" t="str">
        <f t="shared" si="380"/>
        <v>IGOR LOPES DA SILVA (991)</v>
      </c>
      <c r="H1989" t="s">
        <v>438</v>
      </c>
      <c r="I1989" t="str">
        <f t="shared" si="382"/>
        <v>12/03/2026</v>
      </c>
      <c r="J1989" t="str">
        <f t="shared" si="384"/>
        <v>09/03/2026</v>
      </c>
      <c r="K1989">
        <v>46093</v>
      </c>
      <c r="N1989">
        <v>109</v>
      </c>
      <c r="O1989" t="s">
        <v>27</v>
      </c>
      <c r="Q1989">
        <v>395</v>
      </c>
      <c r="R1989" t="str">
        <f>"PENSE FARMA 39 (10228)"</f>
        <v>PENSE FARMA 39 (10228)</v>
      </c>
      <c r="S1989" t="s">
        <v>37</v>
      </c>
      <c r="T1989">
        <v>31051</v>
      </c>
      <c r="U1989">
        <v>34394</v>
      </c>
      <c r="V1989" t="s">
        <v>37</v>
      </c>
    </row>
    <row r="1990" spans="1:22">
      <c r="A1990" t="str">
        <f t="shared" si="373"/>
        <v>12/03/2026</v>
      </c>
      <c r="B1990" t="str">
        <f t="shared" si="379"/>
        <v>SAÍDA</v>
      </c>
      <c r="C1990" t="str">
        <f t="shared" si="381"/>
        <v>PIX</v>
      </c>
      <c r="D1990" t="str">
        <f>"34396"</f>
        <v>34396</v>
      </c>
      <c r="E1990" t="str">
        <f t="shared" si="374"/>
        <v>1</v>
      </c>
      <c r="F1990" t="str">
        <f t="shared" si="383"/>
        <v>COM</v>
      </c>
      <c r="G1990" t="str">
        <f t="shared" ref="G1990:G1997" si="385">"ALINE ALVES DA SILVA (1081)"</f>
        <v>ALINE ALVES DA SILVA (1081)</v>
      </c>
      <c r="H1990" t="str">
        <f>"Serv.Prest. 02/03/2026 a 08/03/2026 - PIX: CELULAR - CHAVE: (11) 98439-2238"</f>
        <v>Serv.Prest. 02/03/2026 a 08/03/2026 - PIX: CELULAR - CHAVE: (11) 98439-2238</v>
      </c>
      <c r="I1990" t="str">
        <f t="shared" si="382"/>
        <v>12/03/2026</v>
      </c>
      <c r="J1990" t="str">
        <f t="shared" si="384"/>
        <v>09/03/2026</v>
      </c>
      <c r="K1990" t="str">
        <f>("12/03/2026")</f>
        <v>12/03/2026</v>
      </c>
      <c r="L1990">
        <v>250</v>
      </c>
      <c r="M1990">
        <v>250</v>
      </c>
      <c r="N1990">
        <v>109</v>
      </c>
      <c r="O1990" t="str">
        <f>"PAGAMENTO DE ENTREGADORES"</f>
        <v>PAGAMENTO DE ENTREGADORES</v>
      </c>
      <c r="P1990">
        <v>250</v>
      </c>
      <c r="S1990" t="str">
        <f>"BANCO C6 (149)"</f>
        <v>BANCO C6 (149)</v>
      </c>
      <c r="T1990">
        <v>31052</v>
      </c>
      <c r="U1990">
        <v>34396</v>
      </c>
      <c r="V1990" t="s">
        <v>37</v>
      </c>
    </row>
    <row r="1991" spans="1:22">
      <c r="A1991" t="str">
        <f t="shared" si="373"/>
        <v>12/03/2026</v>
      </c>
      <c r="B1991" t="str">
        <f t="shared" si="379"/>
        <v>SAÍDA</v>
      </c>
      <c r="C1991" t="str">
        <f t="shared" si="381"/>
        <v>PIX</v>
      </c>
      <c r="D1991" t="str">
        <f>"34396"</f>
        <v>34396</v>
      </c>
      <c r="E1991" t="str">
        <f t="shared" si="374"/>
        <v>1</v>
      </c>
      <c r="F1991" t="str">
        <f t="shared" si="383"/>
        <v>COM</v>
      </c>
      <c r="G1991" t="str">
        <f t="shared" si="385"/>
        <v>ALINE ALVES DA SILVA (1081)</v>
      </c>
      <c r="H1991" t="s">
        <v>653</v>
      </c>
      <c r="I1991" t="str">
        <f t="shared" si="382"/>
        <v>12/03/2026</v>
      </c>
      <c r="J1991" t="str">
        <f t="shared" si="384"/>
        <v>09/03/2026</v>
      </c>
      <c r="K1991">
        <v>46093</v>
      </c>
      <c r="N1991">
        <v>109</v>
      </c>
      <c r="O1991" t="s">
        <v>27</v>
      </c>
      <c r="Q1991">
        <v>250</v>
      </c>
      <c r="R1991" t="str">
        <f>"PENSE FARMA 31 (10205)"</f>
        <v>PENSE FARMA 31 (10205)</v>
      </c>
      <c r="S1991" t="s">
        <v>37</v>
      </c>
      <c r="T1991">
        <v>31052</v>
      </c>
      <c r="U1991">
        <v>34396</v>
      </c>
      <c r="V1991" t="s">
        <v>37</v>
      </c>
    </row>
    <row r="1992" spans="1:22">
      <c r="A1992" t="str">
        <f t="shared" si="373"/>
        <v>12/03/2026</v>
      </c>
      <c r="B1992" t="str">
        <f t="shared" si="379"/>
        <v>SAÍDA</v>
      </c>
      <c r="C1992" t="str">
        <f t="shared" si="381"/>
        <v>PIX</v>
      </c>
      <c r="D1992" t="str">
        <f>"34397"</f>
        <v>34397</v>
      </c>
      <c r="E1992" t="str">
        <f t="shared" si="374"/>
        <v>1</v>
      </c>
      <c r="F1992" t="str">
        <f t="shared" si="383"/>
        <v>COM</v>
      </c>
      <c r="G1992" t="str">
        <f t="shared" si="385"/>
        <v>ALINE ALVES DA SILVA (1081)</v>
      </c>
      <c r="H1992" t="str">
        <f>"Serv.Prest. 02/03/2026 a 08/03/2026 - PIX: CELULAR - CHAVE: (11) 98439-2238"</f>
        <v>Serv.Prest. 02/03/2026 a 08/03/2026 - PIX: CELULAR - CHAVE: (11) 98439-2238</v>
      </c>
      <c r="I1992" t="str">
        <f t="shared" si="382"/>
        <v>12/03/2026</v>
      </c>
      <c r="J1992" t="str">
        <f t="shared" si="384"/>
        <v>09/03/2026</v>
      </c>
      <c r="K1992" t="str">
        <f>("12/03/2026")</f>
        <v>12/03/2026</v>
      </c>
      <c r="L1992">
        <v>250</v>
      </c>
      <c r="M1992">
        <v>250</v>
      </c>
      <c r="N1992">
        <v>109</v>
      </c>
      <c r="O1992" t="str">
        <f>"PAGAMENTO DE ENTREGADORES"</f>
        <v>PAGAMENTO DE ENTREGADORES</v>
      </c>
      <c r="P1992">
        <v>250</v>
      </c>
      <c r="S1992" t="str">
        <f>"BANCO C6 (149)"</f>
        <v>BANCO C6 (149)</v>
      </c>
      <c r="T1992">
        <v>31053</v>
      </c>
      <c r="U1992">
        <v>34397</v>
      </c>
      <c r="V1992" t="s">
        <v>37</v>
      </c>
    </row>
    <row r="1993" spans="1:22">
      <c r="A1993" t="str">
        <f t="shared" ref="A1993:A2056" si="386">("12/03/2026")</f>
        <v>12/03/2026</v>
      </c>
      <c r="B1993" t="str">
        <f t="shared" si="379"/>
        <v>SAÍDA</v>
      </c>
      <c r="C1993" t="str">
        <f t="shared" si="381"/>
        <v>PIX</v>
      </c>
      <c r="D1993" t="str">
        <f>"34397"</f>
        <v>34397</v>
      </c>
      <c r="E1993" t="str">
        <f t="shared" ref="E1993:E2056" si="387">"1"</f>
        <v>1</v>
      </c>
      <c r="F1993" t="str">
        <f t="shared" si="383"/>
        <v>COM</v>
      </c>
      <c r="G1993" t="str">
        <f t="shared" si="385"/>
        <v>ALINE ALVES DA SILVA (1081)</v>
      </c>
      <c r="H1993" t="s">
        <v>653</v>
      </c>
      <c r="I1993" t="str">
        <f t="shared" si="382"/>
        <v>12/03/2026</v>
      </c>
      <c r="J1993" t="str">
        <f t="shared" si="384"/>
        <v>09/03/2026</v>
      </c>
      <c r="K1993">
        <v>46093</v>
      </c>
      <c r="N1993">
        <v>109</v>
      </c>
      <c r="O1993" t="s">
        <v>27</v>
      </c>
      <c r="Q1993">
        <v>250</v>
      </c>
      <c r="R1993" t="str">
        <f>"PENSE FARMA 16 (10221)"</f>
        <v>PENSE FARMA 16 (10221)</v>
      </c>
      <c r="S1993" t="s">
        <v>37</v>
      </c>
      <c r="T1993">
        <v>31053</v>
      </c>
      <c r="U1993">
        <v>34397</v>
      </c>
      <c r="V1993" t="s">
        <v>37</v>
      </c>
    </row>
    <row r="1994" spans="1:22">
      <c r="A1994" t="str">
        <f t="shared" si="386"/>
        <v>12/03/2026</v>
      </c>
      <c r="B1994" t="str">
        <f t="shared" si="379"/>
        <v>SAÍDA</v>
      </c>
      <c r="C1994" t="str">
        <f t="shared" si="381"/>
        <v>PIX</v>
      </c>
      <c r="D1994" t="str">
        <f>"34398"</f>
        <v>34398</v>
      </c>
      <c r="E1994" t="str">
        <f t="shared" si="387"/>
        <v>1</v>
      </c>
      <c r="F1994" t="str">
        <f t="shared" si="383"/>
        <v>COM</v>
      </c>
      <c r="G1994" t="str">
        <f t="shared" si="385"/>
        <v>ALINE ALVES DA SILVA (1081)</v>
      </c>
      <c r="H1994" t="str">
        <f>"Serv.Prest. 02/03/2026 a 08/03/2026 - PIX: CELULAR - CHAVE: (11) 98439-2238"</f>
        <v>Serv.Prest. 02/03/2026 a 08/03/2026 - PIX: CELULAR - CHAVE: (11) 98439-2238</v>
      </c>
      <c r="I1994" t="str">
        <f t="shared" si="382"/>
        <v>12/03/2026</v>
      </c>
      <c r="J1994" t="str">
        <f t="shared" si="384"/>
        <v>09/03/2026</v>
      </c>
      <c r="K1994" t="str">
        <f>("12/03/2026")</f>
        <v>12/03/2026</v>
      </c>
      <c r="L1994">
        <v>250</v>
      </c>
      <c r="M1994">
        <v>250</v>
      </c>
      <c r="N1994">
        <v>109</v>
      </c>
      <c r="O1994" t="str">
        <f>"PAGAMENTO DE ENTREGADORES"</f>
        <v>PAGAMENTO DE ENTREGADORES</v>
      </c>
      <c r="P1994">
        <v>250</v>
      </c>
      <c r="S1994" t="str">
        <f>"BANCO C6 (149)"</f>
        <v>BANCO C6 (149)</v>
      </c>
      <c r="T1994">
        <v>31054</v>
      </c>
      <c r="U1994">
        <v>34398</v>
      </c>
      <c r="V1994" t="s">
        <v>37</v>
      </c>
    </row>
    <row r="1995" spans="1:22">
      <c r="A1995" t="str">
        <f t="shared" si="386"/>
        <v>12/03/2026</v>
      </c>
      <c r="B1995" t="str">
        <f t="shared" si="379"/>
        <v>SAÍDA</v>
      </c>
      <c r="C1995" t="str">
        <f t="shared" si="381"/>
        <v>PIX</v>
      </c>
      <c r="D1995" t="str">
        <f>"34398"</f>
        <v>34398</v>
      </c>
      <c r="E1995" t="str">
        <f t="shared" si="387"/>
        <v>1</v>
      </c>
      <c r="F1995" t="str">
        <f t="shared" si="383"/>
        <v>COM</v>
      </c>
      <c r="G1995" t="str">
        <f t="shared" si="385"/>
        <v>ALINE ALVES DA SILVA (1081)</v>
      </c>
      <c r="H1995" t="s">
        <v>653</v>
      </c>
      <c r="I1995" t="str">
        <f t="shared" si="382"/>
        <v>12/03/2026</v>
      </c>
      <c r="J1995" t="str">
        <f t="shared" si="384"/>
        <v>09/03/2026</v>
      </c>
      <c r="K1995">
        <v>46093</v>
      </c>
      <c r="N1995">
        <v>109</v>
      </c>
      <c r="O1995" t="s">
        <v>27</v>
      </c>
      <c r="Q1995">
        <v>250</v>
      </c>
      <c r="R1995" t="str">
        <f>"PENSE FARMA 17 (10222)"</f>
        <v>PENSE FARMA 17 (10222)</v>
      </c>
      <c r="S1995" t="s">
        <v>37</v>
      </c>
      <c r="T1995">
        <v>31054</v>
      </c>
      <c r="U1995">
        <v>34398</v>
      </c>
      <c r="V1995" t="s">
        <v>37</v>
      </c>
    </row>
    <row r="1996" spans="1:22">
      <c r="A1996" t="str">
        <f t="shared" si="386"/>
        <v>12/03/2026</v>
      </c>
      <c r="B1996" t="str">
        <f t="shared" si="379"/>
        <v>SAÍDA</v>
      </c>
      <c r="C1996" t="str">
        <f t="shared" si="381"/>
        <v>PIX</v>
      </c>
      <c r="D1996" t="str">
        <f>"34399"</f>
        <v>34399</v>
      </c>
      <c r="E1996" t="str">
        <f t="shared" si="387"/>
        <v>1</v>
      </c>
      <c r="F1996" t="str">
        <f t="shared" si="383"/>
        <v>COM</v>
      </c>
      <c r="G1996" t="str">
        <f t="shared" si="385"/>
        <v>ALINE ALVES DA SILVA (1081)</v>
      </c>
      <c r="H1996" t="str">
        <f>"Serv.Prest. 02/03/2026 a 08/03/2026 - PIX: CELULAR - CHAVE: (11) 98439-2238"</f>
        <v>Serv.Prest. 02/03/2026 a 08/03/2026 - PIX: CELULAR - CHAVE: (11) 98439-2238</v>
      </c>
      <c r="I1996" t="str">
        <f t="shared" si="382"/>
        <v>12/03/2026</v>
      </c>
      <c r="J1996" t="str">
        <f t="shared" si="384"/>
        <v>09/03/2026</v>
      </c>
      <c r="K1996" t="str">
        <f>("12/03/2026")</f>
        <v>12/03/2026</v>
      </c>
      <c r="L1996">
        <v>250</v>
      </c>
      <c r="M1996">
        <v>250</v>
      </c>
      <c r="N1996">
        <v>109</v>
      </c>
      <c r="O1996" t="str">
        <f>"PAGAMENTO DE ENTREGADORES"</f>
        <v>PAGAMENTO DE ENTREGADORES</v>
      </c>
      <c r="P1996">
        <v>250</v>
      </c>
      <c r="S1996" t="str">
        <f>"BANCO C6 (149)"</f>
        <v>BANCO C6 (149)</v>
      </c>
      <c r="T1996">
        <v>31055</v>
      </c>
      <c r="U1996">
        <v>34399</v>
      </c>
      <c r="V1996" t="s">
        <v>37</v>
      </c>
    </row>
    <row r="1997" spans="1:22">
      <c r="A1997" t="str">
        <f t="shared" si="386"/>
        <v>12/03/2026</v>
      </c>
      <c r="B1997" t="str">
        <f t="shared" si="379"/>
        <v>SAÍDA</v>
      </c>
      <c r="C1997" t="str">
        <f t="shared" si="381"/>
        <v>PIX</v>
      </c>
      <c r="D1997" t="str">
        <f>"34399"</f>
        <v>34399</v>
      </c>
      <c r="E1997" t="str">
        <f t="shared" si="387"/>
        <v>1</v>
      </c>
      <c r="F1997" t="str">
        <f t="shared" si="383"/>
        <v>COM</v>
      </c>
      <c r="G1997" t="str">
        <f t="shared" si="385"/>
        <v>ALINE ALVES DA SILVA (1081)</v>
      </c>
      <c r="H1997" t="s">
        <v>653</v>
      </c>
      <c r="I1997" t="str">
        <f t="shared" si="382"/>
        <v>12/03/2026</v>
      </c>
      <c r="J1997" t="str">
        <f t="shared" si="384"/>
        <v>09/03/2026</v>
      </c>
      <c r="K1997">
        <v>46093</v>
      </c>
      <c r="N1997">
        <v>109</v>
      </c>
      <c r="O1997" t="s">
        <v>27</v>
      </c>
      <c r="Q1997">
        <v>250</v>
      </c>
      <c r="R1997" t="str">
        <f>"PENSE FARMA 62 (10274)"</f>
        <v>PENSE FARMA 62 (10274)</v>
      </c>
      <c r="S1997" t="s">
        <v>37</v>
      </c>
      <c r="T1997">
        <v>31055</v>
      </c>
      <c r="U1997">
        <v>34399</v>
      </c>
      <c r="V1997" t="s">
        <v>37</v>
      </c>
    </row>
    <row r="1998" spans="1:22">
      <c r="A1998" t="str">
        <f t="shared" si="386"/>
        <v>12/03/2026</v>
      </c>
      <c r="B1998" t="str">
        <f t="shared" si="379"/>
        <v>SAÍDA</v>
      </c>
      <c r="C1998" t="str">
        <f t="shared" si="381"/>
        <v>PIX</v>
      </c>
      <c r="D1998" t="str">
        <f>"34400"</f>
        <v>34400</v>
      </c>
      <c r="E1998" t="str">
        <f t="shared" si="387"/>
        <v>1</v>
      </c>
      <c r="F1998" t="str">
        <f t="shared" si="383"/>
        <v>COM</v>
      </c>
      <c r="G1998" t="str">
        <f t="shared" ref="G1998:G2005" si="388">"KENNEDY MALVEIRA POLUCENO (1330)"</f>
        <v>KENNEDY MALVEIRA POLUCENO (1330)</v>
      </c>
      <c r="H1998" t="str">
        <f>"Serv.Prest. 02/03/2026 a 08/03/2026 - PIX: CELULAR - CHAVE: (11) 91097-0937"</f>
        <v>Serv.Prest. 02/03/2026 a 08/03/2026 - PIX: CELULAR - CHAVE: (11) 91097-0937</v>
      </c>
      <c r="I1998" t="str">
        <f t="shared" si="382"/>
        <v>12/03/2026</v>
      </c>
      <c r="J1998" t="str">
        <f t="shared" si="384"/>
        <v>09/03/2026</v>
      </c>
      <c r="K1998" t="str">
        <f>("12/03/2026")</f>
        <v>12/03/2026</v>
      </c>
      <c r="L1998">
        <v>335</v>
      </c>
      <c r="M1998">
        <v>335</v>
      </c>
      <c r="N1998">
        <v>109</v>
      </c>
      <c r="O1998" t="str">
        <f>"PAGAMENTO DE ENTREGADORES"</f>
        <v>PAGAMENTO DE ENTREGADORES</v>
      </c>
      <c r="P1998">
        <v>335</v>
      </c>
      <c r="S1998" t="str">
        <f>"BANCO C6 (149)"</f>
        <v>BANCO C6 (149)</v>
      </c>
      <c r="T1998">
        <v>31056</v>
      </c>
      <c r="U1998">
        <v>34400</v>
      </c>
      <c r="V1998" t="s">
        <v>37</v>
      </c>
    </row>
    <row r="1999" spans="1:22">
      <c r="A1999" t="str">
        <f t="shared" si="386"/>
        <v>12/03/2026</v>
      </c>
      <c r="B1999" t="str">
        <f t="shared" si="379"/>
        <v>SAÍDA</v>
      </c>
      <c r="C1999" t="str">
        <f t="shared" si="381"/>
        <v>PIX</v>
      </c>
      <c r="D1999" t="str">
        <f>"34400"</f>
        <v>34400</v>
      </c>
      <c r="E1999" t="str">
        <f t="shared" si="387"/>
        <v>1</v>
      </c>
      <c r="F1999" t="str">
        <f t="shared" si="383"/>
        <v>COM</v>
      </c>
      <c r="G1999" t="str">
        <f t="shared" si="388"/>
        <v>KENNEDY MALVEIRA POLUCENO (1330)</v>
      </c>
      <c r="H1999" t="s">
        <v>654</v>
      </c>
      <c r="I1999" t="str">
        <f t="shared" si="382"/>
        <v>12/03/2026</v>
      </c>
      <c r="J1999" t="str">
        <f t="shared" si="384"/>
        <v>09/03/2026</v>
      </c>
      <c r="K1999">
        <v>46093</v>
      </c>
      <c r="N1999">
        <v>109</v>
      </c>
      <c r="O1999" t="s">
        <v>27</v>
      </c>
      <c r="Q1999">
        <v>335</v>
      </c>
      <c r="R1999" t="str">
        <f>"PENSE FARMA 62 (10274)"</f>
        <v>PENSE FARMA 62 (10274)</v>
      </c>
      <c r="S1999" t="s">
        <v>37</v>
      </c>
      <c r="T1999">
        <v>31056</v>
      </c>
      <c r="U1999">
        <v>34400</v>
      </c>
      <c r="V1999" t="s">
        <v>37</v>
      </c>
    </row>
    <row r="2000" spans="1:22">
      <c r="A2000" t="str">
        <f t="shared" si="386"/>
        <v>12/03/2026</v>
      </c>
      <c r="B2000" t="str">
        <f t="shared" si="379"/>
        <v>SAÍDA</v>
      </c>
      <c r="C2000" t="str">
        <f t="shared" si="381"/>
        <v>PIX</v>
      </c>
      <c r="D2000" t="str">
        <f>"34401"</f>
        <v>34401</v>
      </c>
      <c r="E2000" t="str">
        <f t="shared" si="387"/>
        <v>1</v>
      </c>
      <c r="F2000" t="str">
        <f t="shared" si="383"/>
        <v>COM</v>
      </c>
      <c r="G2000" t="str">
        <f t="shared" si="388"/>
        <v>KENNEDY MALVEIRA POLUCENO (1330)</v>
      </c>
      <c r="H2000" t="str">
        <f>"Serv.Prest. 02/03/2026 a 08/03/2026 - PIX: CELULAR - CHAVE: (11) 91097-0937"</f>
        <v>Serv.Prest. 02/03/2026 a 08/03/2026 - PIX: CELULAR - CHAVE: (11) 91097-0937</v>
      </c>
      <c r="I2000" t="str">
        <f t="shared" si="382"/>
        <v>12/03/2026</v>
      </c>
      <c r="J2000" t="str">
        <f t="shared" si="384"/>
        <v>09/03/2026</v>
      </c>
      <c r="K2000" t="str">
        <f>("12/03/2026")</f>
        <v>12/03/2026</v>
      </c>
      <c r="L2000">
        <v>330</v>
      </c>
      <c r="M2000">
        <v>330</v>
      </c>
      <c r="N2000">
        <v>109</v>
      </c>
      <c r="O2000" t="str">
        <f>"PAGAMENTO DE ENTREGADORES"</f>
        <v>PAGAMENTO DE ENTREGADORES</v>
      </c>
      <c r="P2000">
        <v>330</v>
      </c>
      <c r="S2000" t="str">
        <f>"BANCO C6 (149)"</f>
        <v>BANCO C6 (149)</v>
      </c>
      <c r="T2000">
        <v>31057</v>
      </c>
      <c r="U2000">
        <v>34401</v>
      </c>
      <c r="V2000" t="s">
        <v>37</v>
      </c>
    </row>
    <row r="2001" spans="1:22">
      <c r="A2001" t="str">
        <f t="shared" si="386"/>
        <v>12/03/2026</v>
      </c>
      <c r="B2001" t="str">
        <f t="shared" si="379"/>
        <v>SAÍDA</v>
      </c>
      <c r="C2001" t="str">
        <f t="shared" si="381"/>
        <v>PIX</v>
      </c>
      <c r="D2001" t="str">
        <f>"34401"</f>
        <v>34401</v>
      </c>
      <c r="E2001" t="str">
        <f t="shared" si="387"/>
        <v>1</v>
      </c>
      <c r="F2001" t="str">
        <f t="shared" si="383"/>
        <v>COM</v>
      </c>
      <c r="G2001" t="str">
        <f t="shared" si="388"/>
        <v>KENNEDY MALVEIRA POLUCENO (1330)</v>
      </c>
      <c r="H2001" t="s">
        <v>654</v>
      </c>
      <c r="I2001" t="str">
        <f t="shared" si="382"/>
        <v>12/03/2026</v>
      </c>
      <c r="J2001" t="str">
        <f t="shared" si="384"/>
        <v>09/03/2026</v>
      </c>
      <c r="K2001">
        <v>46093</v>
      </c>
      <c r="N2001">
        <v>109</v>
      </c>
      <c r="O2001" t="s">
        <v>27</v>
      </c>
      <c r="Q2001">
        <v>330</v>
      </c>
      <c r="R2001" t="str">
        <f>"PENSE FARMA 17 (10222)"</f>
        <v>PENSE FARMA 17 (10222)</v>
      </c>
      <c r="S2001" t="s">
        <v>37</v>
      </c>
      <c r="T2001">
        <v>31057</v>
      </c>
      <c r="U2001">
        <v>34401</v>
      </c>
      <c r="V2001" t="s">
        <v>37</v>
      </c>
    </row>
    <row r="2002" spans="1:22">
      <c r="A2002" t="str">
        <f t="shared" si="386"/>
        <v>12/03/2026</v>
      </c>
      <c r="B2002" t="str">
        <f t="shared" si="379"/>
        <v>SAÍDA</v>
      </c>
      <c r="C2002" t="str">
        <f t="shared" si="381"/>
        <v>PIX</v>
      </c>
      <c r="D2002" t="str">
        <f>"34402"</f>
        <v>34402</v>
      </c>
      <c r="E2002" t="str">
        <f t="shared" si="387"/>
        <v>1</v>
      </c>
      <c r="F2002" t="str">
        <f t="shared" si="383"/>
        <v>COM</v>
      </c>
      <c r="G2002" t="str">
        <f t="shared" si="388"/>
        <v>KENNEDY MALVEIRA POLUCENO (1330)</v>
      </c>
      <c r="H2002" t="str">
        <f>"Serv.Prest. 02/03/2026 a 08/03/2026 - PIX: CELULAR - CHAVE: (11) 91097-0937"</f>
        <v>Serv.Prest. 02/03/2026 a 08/03/2026 - PIX: CELULAR - CHAVE: (11) 91097-0937</v>
      </c>
      <c r="I2002" t="str">
        <f t="shared" si="382"/>
        <v>12/03/2026</v>
      </c>
      <c r="J2002" t="str">
        <f t="shared" si="384"/>
        <v>09/03/2026</v>
      </c>
      <c r="K2002" t="str">
        <f>("12/03/2026")</f>
        <v>12/03/2026</v>
      </c>
      <c r="L2002">
        <v>330</v>
      </c>
      <c r="M2002">
        <v>330</v>
      </c>
      <c r="N2002">
        <v>109</v>
      </c>
      <c r="O2002" t="str">
        <f>"PAGAMENTO DE ENTREGADORES"</f>
        <v>PAGAMENTO DE ENTREGADORES</v>
      </c>
      <c r="P2002">
        <v>330</v>
      </c>
      <c r="S2002" t="str">
        <f>"BANCO C6 (149)"</f>
        <v>BANCO C6 (149)</v>
      </c>
      <c r="T2002">
        <v>31058</v>
      </c>
      <c r="U2002">
        <v>34402</v>
      </c>
      <c r="V2002" t="s">
        <v>37</v>
      </c>
    </row>
    <row r="2003" spans="1:22">
      <c r="A2003" t="str">
        <f t="shared" si="386"/>
        <v>12/03/2026</v>
      </c>
      <c r="B2003" t="str">
        <f t="shared" si="379"/>
        <v>SAÍDA</v>
      </c>
      <c r="C2003" t="str">
        <f t="shared" si="381"/>
        <v>PIX</v>
      </c>
      <c r="D2003" t="str">
        <f>"34402"</f>
        <v>34402</v>
      </c>
      <c r="E2003" t="str">
        <f t="shared" si="387"/>
        <v>1</v>
      </c>
      <c r="F2003" t="str">
        <f t="shared" si="383"/>
        <v>COM</v>
      </c>
      <c r="G2003" t="str">
        <f t="shared" si="388"/>
        <v>KENNEDY MALVEIRA POLUCENO (1330)</v>
      </c>
      <c r="H2003" t="s">
        <v>654</v>
      </c>
      <c r="I2003" t="str">
        <f t="shared" si="382"/>
        <v>12/03/2026</v>
      </c>
      <c r="J2003" t="str">
        <f t="shared" si="384"/>
        <v>09/03/2026</v>
      </c>
      <c r="K2003">
        <v>46093</v>
      </c>
      <c r="N2003">
        <v>109</v>
      </c>
      <c r="O2003" t="s">
        <v>27</v>
      </c>
      <c r="Q2003">
        <v>330</v>
      </c>
      <c r="R2003" t="str">
        <f>"PENSE FARMA 16 (10221)"</f>
        <v>PENSE FARMA 16 (10221)</v>
      </c>
      <c r="S2003" t="s">
        <v>37</v>
      </c>
      <c r="T2003">
        <v>31058</v>
      </c>
      <c r="U2003">
        <v>34402</v>
      </c>
      <c r="V2003" t="s">
        <v>37</v>
      </c>
    </row>
    <row r="2004" spans="1:22">
      <c r="A2004" t="str">
        <f t="shared" si="386"/>
        <v>12/03/2026</v>
      </c>
      <c r="B2004" t="str">
        <f t="shared" si="379"/>
        <v>SAÍDA</v>
      </c>
      <c r="C2004" t="str">
        <f t="shared" si="381"/>
        <v>PIX</v>
      </c>
      <c r="D2004" t="str">
        <f>"34403"</f>
        <v>34403</v>
      </c>
      <c r="E2004" t="str">
        <f t="shared" si="387"/>
        <v>1</v>
      </c>
      <c r="F2004" t="str">
        <f t="shared" si="383"/>
        <v>COM</v>
      </c>
      <c r="G2004" t="str">
        <f t="shared" si="388"/>
        <v>KENNEDY MALVEIRA POLUCENO (1330)</v>
      </c>
      <c r="H2004" t="str">
        <f>"Serv.Prest. 02/03/2026 a 08/03/2026 - PIX: CELULAR - CHAVE: (11) 91097-0937"</f>
        <v>Serv.Prest. 02/03/2026 a 08/03/2026 - PIX: CELULAR - CHAVE: (11) 91097-0937</v>
      </c>
      <c r="I2004" t="str">
        <f t="shared" si="382"/>
        <v>12/03/2026</v>
      </c>
      <c r="J2004" t="str">
        <f t="shared" si="384"/>
        <v>09/03/2026</v>
      </c>
      <c r="K2004" t="str">
        <f>("12/03/2026")</f>
        <v>12/03/2026</v>
      </c>
      <c r="L2004">
        <v>330</v>
      </c>
      <c r="M2004">
        <v>330</v>
      </c>
      <c r="N2004">
        <v>109</v>
      </c>
      <c r="O2004" t="str">
        <f>"PAGAMENTO DE ENTREGADORES"</f>
        <v>PAGAMENTO DE ENTREGADORES</v>
      </c>
      <c r="P2004">
        <v>330</v>
      </c>
      <c r="S2004" t="str">
        <f>"BANCO C6 (149)"</f>
        <v>BANCO C6 (149)</v>
      </c>
      <c r="T2004">
        <v>31059</v>
      </c>
      <c r="U2004">
        <v>34403</v>
      </c>
      <c r="V2004" t="s">
        <v>37</v>
      </c>
    </row>
    <row r="2005" spans="1:22">
      <c r="A2005" t="str">
        <f t="shared" si="386"/>
        <v>12/03/2026</v>
      </c>
      <c r="B2005" t="str">
        <f t="shared" si="379"/>
        <v>SAÍDA</v>
      </c>
      <c r="C2005" t="str">
        <f t="shared" si="381"/>
        <v>PIX</v>
      </c>
      <c r="D2005" t="str">
        <f>"34403"</f>
        <v>34403</v>
      </c>
      <c r="E2005" t="str">
        <f t="shared" si="387"/>
        <v>1</v>
      </c>
      <c r="F2005" t="str">
        <f t="shared" si="383"/>
        <v>COM</v>
      </c>
      <c r="G2005" t="str">
        <f t="shared" si="388"/>
        <v>KENNEDY MALVEIRA POLUCENO (1330)</v>
      </c>
      <c r="H2005" t="s">
        <v>654</v>
      </c>
      <c r="I2005" t="str">
        <f t="shared" si="382"/>
        <v>12/03/2026</v>
      </c>
      <c r="J2005" t="str">
        <f t="shared" si="384"/>
        <v>09/03/2026</v>
      </c>
      <c r="K2005">
        <v>46093</v>
      </c>
      <c r="N2005">
        <v>109</v>
      </c>
      <c r="O2005" t="s">
        <v>27</v>
      </c>
      <c r="Q2005">
        <v>330</v>
      </c>
      <c r="R2005" t="str">
        <f>"PENSE FARMA 31 (10205)"</f>
        <v>PENSE FARMA 31 (10205)</v>
      </c>
      <c r="S2005" t="s">
        <v>37</v>
      </c>
      <c r="T2005">
        <v>31059</v>
      </c>
      <c r="U2005">
        <v>34403</v>
      </c>
      <c r="V2005" t="s">
        <v>37</v>
      </c>
    </row>
    <row r="2006" spans="1:22">
      <c r="A2006" t="str">
        <f t="shared" si="386"/>
        <v>12/03/2026</v>
      </c>
      <c r="B2006" t="str">
        <f t="shared" si="379"/>
        <v>SAÍDA</v>
      </c>
      <c r="C2006" t="str">
        <f t="shared" si="381"/>
        <v>PIX</v>
      </c>
      <c r="D2006" t="str">
        <f>"34409"</f>
        <v>34409</v>
      </c>
      <c r="E2006" t="str">
        <f t="shared" si="387"/>
        <v>1</v>
      </c>
      <c r="F2006" t="str">
        <f t="shared" si="383"/>
        <v>COM</v>
      </c>
      <c r="G2006" t="str">
        <f>"RODRIGO TEIXEIRA ROCHA (1007)"</f>
        <v>RODRIGO TEIXEIRA ROCHA (1007)</v>
      </c>
      <c r="H2006" t="str">
        <f>"Serv.Prest. 02/03/2026 a 08/03/2026 - PIX: CPF - CHAVE: 506.934.998-85"</f>
        <v>Serv.Prest. 02/03/2026 a 08/03/2026 - PIX: CPF - CHAVE: 506.934.998-85</v>
      </c>
      <c r="I2006" t="str">
        <f t="shared" si="382"/>
        <v>12/03/2026</v>
      </c>
      <c r="J2006" t="str">
        <f t="shared" si="384"/>
        <v>09/03/2026</v>
      </c>
      <c r="K2006" t="str">
        <f>("12/03/2026")</f>
        <v>12/03/2026</v>
      </c>
      <c r="L2006">
        <v>1380</v>
      </c>
      <c r="M2006">
        <v>1380</v>
      </c>
      <c r="N2006">
        <v>109</v>
      </c>
      <c r="O2006" t="str">
        <f>"PAGAMENTO DE ENTREGADORES"</f>
        <v>PAGAMENTO DE ENTREGADORES</v>
      </c>
      <c r="P2006">
        <v>1380</v>
      </c>
      <c r="S2006" t="str">
        <f>"BANCO C6 (149)"</f>
        <v>BANCO C6 (149)</v>
      </c>
      <c r="T2006">
        <v>31060</v>
      </c>
      <c r="U2006">
        <v>34409</v>
      </c>
      <c r="V2006" t="s">
        <v>37</v>
      </c>
    </row>
    <row r="2007" spans="1:22">
      <c r="A2007" t="str">
        <f t="shared" si="386"/>
        <v>12/03/2026</v>
      </c>
      <c r="B2007" t="str">
        <f t="shared" si="379"/>
        <v>SAÍDA</v>
      </c>
      <c r="C2007" t="str">
        <f t="shared" si="381"/>
        <v>PIX</v>
      </c>
      <c r="D2007" t="str">
        <f>"34409"</f>
        <v>34409</v>
      </c>
      <c r="E2007" t="str">
        <f t="shared" si="387"/>
        <v>1</v>
      </c>
      <c r="F2007" t="str">
        <f t="shared" si="383"/>
        <v>COM</v>
      </c>
      <c r="G2007" t="str">
        <f>"RODRIGO TEIXEIRA ROCHA (1007)"</f>
        <v>RODRIGO TEIXEIRA ROCHA (1007)</v>
      </c>
      <c r="H2007" t="s">
        <v>453</v>
      </c>
      <c r="I2007" t="str">
        <f t="shared" si="382"/>
        <v>12/03/2026</v>
      </c>
      <c r="J2007" t="str">
        <f t="shared" si="384"/>
        <v>09/03/2026</v>
      </c>
      <c r="K2007">
        <v>46093</v>
      </c>
      <c r="N2007">
        <v>109</v>
      </c>
      <c r="O2007" t="s">
        <v>27</v>
      </c>
      <c r="Q2007">
        <v>1380</v>
      </c>
      <c r="R2007" t="str">
        <f>"PENSE FARMA 46 (10194)"</f>
        <v>PENSE FARMA 46 (10194)</v>
      </c>
      <c r="S2007" t="s">
        <v>37</v>
      </c>
      <c r="T2007">
        <v>31060</v>
      </c>
      <c r="U2007">
        <v>34409</v>
      </c>
      <c r="V2007" t="s">
        <v>37</v>
      </c>
    </row>
    <row r="2008" spans="1:22">
      <c r="A2008" t="str">
        <f t="shared" si="386"/>
        <v>12/03/2026</v>
      </c>
      <c r="B2008" t="str">
        <f t="shared" si="379"/>
        <v>SAÍDA</v>
      </c>
      <c r="C2008" t="str">
        <f t="shared" si="381"/>
        <v>PIX</v>
      </c>
      <c r="D2008" t="str">
        <f>"34411"</f>
        <v>34411</v>
      </c>
      <c r="E2008" t="str">
        <f t="shared" si="387"/>
        <v>1</v>
      </c>
      <c r="F2008" t="str">
        <f t="shared" si="383"/>
        <v>COM</v>
      </c>
      <c r="G2008" t="str">
        <f t="shared" ref="G2008:G2015" si="389">"HENDRYL SOUZA DA SILVA (1026)"</f>
        <v>HENDRYL SOUZA DA SILVA (1026)</v>
      </c>
      <c r="H2008" t="str">
        <f>"Serv.Prest. 02/03/2026 a 08/03/2026 - PIX: CPF - CHAVE: 499.814.888-52"</f>
        <v>Serv.Prest. 02/03/2026 a 08/03/2026 - PIX: CPF - CHAVE: 499.814.888-52</v>
      </c>
      <c r="I2008" t="str">
        <f t="shared" si="382"/>
        <v>12/03/2026</v>
      </c>
      <c r="J2008" t="str">
        <f t="shared" si="384"/>
        <v>09/03/2026</v>
      </c>
      <c r="K2008" t="str">
        <f>("12/03/2026")</f>
        <v>12/03/2026</v>
      </c>
      <c r="L2008">
        <v>185</v>
      </c>
      <c r="M2008">
        <v>185</v>
      </c>
      <c r="N2008">
        <v>109</v>
      </c>
      <c r="O2008" t="str">
        <f>"PAGAMENTO DE ENTREGADORES"</f>
        <v>PAGAMENTO DE ENTREGADORES</v>
      </c>
      <c r="P2008">
        <v>185</v>
      </c>
      <c r="S2008" t="str">
        <f>"BANCO C6 (149)"</f>
        <v>BANCO C6 (149)</v>
      </c>
      <c r="T2008">
        <v>31061</v>
      </c>
      <c r="U2008">
        <v>34411</v>
      </c>
      <c r="V2008" t="s">
        <v>37</v>
      </c>
    </row>
    <row r="2009" spans="1:22">
      <c r="A2009" t="str">
        <f t="shared" si="386"/>
        <v>12/03/2026</v>
      </c>
      <c r="B2009" t="str">
        <f t="shared" si="379"/>
        <v>SAÍDA</v>
      </c>
      <c r="C2009" t="str">
        <f t="shared" si="381"/>
        <v>PIX</v>
      </c>
      <c r="D2009" t="str">
        <f>"34411"</f>
        <v>34411</v>
      </c>
      <c r="E2009" t="str">
        <f t="shared" si="387"/>
        <v>1</v>
      </c>
      <c r="F2009" t="str">
        <f t="shared" si="383"/>
        <v>COM</v>
      </c>
      <c r="G2009" t="str">
        <f t="shared" si="389"/>
        <v>HENDRYL SOUZA DA SILVA (1026)</v>
      </c>
      <c r="H2009" t="s">
        <v>655</v>
      </c>
      <c r="I2009" t="str">
        <f t="shared" si="382"/>
        <v>12/03/2026</v>
      </c>
      <c r="J2009" t="str">
        <f t="shared" si="384"/>
        <v>09/03/2026</v>
      </c>
      <c r="K2009">
        <v>46093</v>
      </c>
      <c r="N2009">
        <v>109</v>
      </c>
      <c r="O2009" t="s">
        <v>27</v>
      </c>
      <c r="Q2009">
        <v>185</v>
      </c>
      <c r="R2009" t="str">
        <f>"PENSE FARMA 60 (10197)"</f>
        <v>PENSE FARMA 60 (10197)</v>
      </c>
      <c r="S2009" t="s">
        <v>37</v>
      </c>
      <c r="T2009">
        <v>31061</v>
      </c>
      <c r="U2009">
        <v>34411</v>
      </c>
      <c r="V2009" t="s">
        <v>37</v>
      </c>
    </row>
    <row r="2010" spans="1:22">
      <c r="A2010" t="str">
        <f t="shared" si="386"/>
        <v>12/03/2026</v>
      </c>
      <c r="B2010" t="str">
        <f t="shared" si="379"/>
        <v>SAÍDA</v>
      </c>
      <c r="C2010" t="str">
        <f t="shared" si="381"/>
        <v>PIX</v>
      </c>
      <c r="D2010" t="str">
        <f>"34412"</f>
        <v>34412</v>
      </c>
      <c r="E2010" t="str">
        <f t="shared" si="387"/>
        <v>1</v>
      </c>
      <c r="F2010" t="str">
        <f t="shared" si="383"/>
        <v>COM</v>
      </c>
      <c r="G2010" t="str">
        <f t="shared" si="389"/>
        <v>HENDRYL SOUZA DA SILVA (1026)</v>
      </c>
      <c r="H2010" t="str">
        <f>"Serv.Prest. 02/03/2026 a 08/03/2026 - PIX: CPF - CHAVE: 499.814.888-52"</f>
        <v>Serv.Prest. 02/03/2026 a 08/03/2026 - PIX: CPF - CHAVE: 499.814.888-52</v>
      </c>
      <c r="I2010" t="str">
        <f t="shared" si="382"/>
        <v>12/03/2026</v>
      </c>
      <c r="J2010" t="str">
        <f t="shared" si="384"/>
        <v>09/03/2026</v>
      </c>
      <c r="K2010" t="str">
        <f>("12/03/2026")</f>
        <v>12/03/2026</v>
      </c>
      <c r="L2010">
        <v>185</v>
      </c>
      <c r="M2010">
        <v>185</v>
      </c>
      <c r="N2010">
        <v>109</v>
      </c>
      <c r="O2010" t="str">
        <f>"PAGAMENTO DE ENTREGADORES"</f>
        <v>PAGAMENTO DE ENTREGADORES</v>
      </c>
      <c r="P2010">
        <v>185</v>
      </c>
      <c r="S2010" t="str">
        <f>"BANCO C6 (149)"</f>
        <v>BANCO C6 (149)</v>
      </c>
      <c r="T2010">
        <v>31062</v>
      </c>
      <c r="U2010">
        <v>34412</v>
      </c>
      <c r="V2010" t="s">
        <v>37</v>
      </c>
    </row>
    <row r="2011" spans="1:22">
      <c r="A2011" t="str">
        <f t="shared" si="386"/>
        <v>12/03/2026</v>
      </c>
      <c r="B2011" t="str">
        <f t="shared" si="379"/>
        <v>SAÍDA</v>
      </c>
      <c r="C2011" t="str">
        <f t="shared" si="381"/>
        <v>PIX</v>
      </c>
      <c r="D2011" t="str">
        <f>"34412"</f>
        <v>34412</v>
      </c>
      <c r="E2011" t="str">
        <f t="shared" si="387"/>
        <v>1</v>
      </c>
      <c r="F2011" t="str">
        <f t="shared" si="383"/>
        <v>COM</v>
      </c>
      <c r="G2011" t="str">
        <f t="shared" si="389"/>
        <v>HENDRYL SOUZA DA SILVA (1026)</v>
      </c>
      <c r="H2011" t="s">
        <v>655</v>
      </c>
      <c r="I2011" t="str">
        <f t="shared" si="382"/>
        <v>12/03/2026</v>
      </c>
      <c r="J2011" t="str">
        <f t="shared" si="384"/>
        <v>09/03/2026</v>
      </c>
      <c r="K2011">
        <v>46093</v>
      </c>
      <c r="N2011">
        <v>109</v>
      </c>
      <c r="O2011" t="s">
        <v>27</v>
      </c>
      <c r="Q2011">
        <v>185</v>
      </c>
      <c r="R2011" t="str">
        <f>"PENSE FARMA 61 (10243)"</f>
        <v>PENSE FARMA 61 (10243)</v>
      </c>
      <c r="S2011" t="s">
        <v>37</v>
      </c>
      <c r="T2011">
        <v>31062</v>
      </c>
      <c r="U2011">
        <v>34412</v>
      </c>
      <c r="V2011" t="s">
        <v>37</v>
      </c>
    </row>
    <row r="2012" spans="1:22">
      <c r="A2012" t="str">
        <f t="shared" si="386"/>
        <v>12/03/2026</v>
      </c>
      <c r="B2012" t="str">
        <f t="shared" si="379"/>
        <v>SAÍDA</v>
      </c>
      <c r="C2012" t="str">
        <f t="shared" si="381"/>
        <v>PIX</v>
      </c>
      <c r="D2012" t="str">
        <f>"34413"</f>
        <v>34413</v>
      </c>
      <c r="E2012" t="str">
        <f t="shared" si="387"/>
        <v>1</v>
      </c>
      <c r="F2012" t="str">
        <f t="shared" si="383"/>
        <v>COM</v>
      </c>
      <c r="G2012" t="str">
        <f t="shared" si="389"/>
        <v>HENDRYL SOUZA DA SILVA (1026)</v>
      </c>
      <c r="H2012" t="str">
        <f>"Serv.Prest. 02/03/2026 a 08/03/2026 - PIX: CPF - CHAVE: 499.814.888-52"</f>
        <v>Serv.Prest. 02/03/2026 a 08/03/2026 - PIX: CPF - CHAVE: 499.814.888-52</v>
      </c>
      <c r="I2012" t="str">
        <f t="shared" si="382"/>
        <v>12/03/2026</v>
      </c>
      <c r="J2012" t="str">
        <f t="shared" si="384"/>
        <v>09/03/2026</v>
      </c>
      <c r="K2012" t="str">
        <f>("12/03/2026")</f>
        <v>12/03/2026</v>
      </c>
      <c r="L2012">
        <v>185</v>
      </c>
      <c r="M2012">
        <v>185</v>
      </c>
      <c r="N2012">
        <v>109</v>
      </c>
      <c r="O2012" t="str">
        <f>"PAGAMENTO DE ENTREGADORES"</f>
        <v>PAGAMENTO DE ENTREGADORES</v>
      </c>
      <c r="P2012">
        <v>185</v>
      </c>
      <c r="S2012" t="str">
        <f>"BANCO C6 (149)"</f>
        <v>BANCO C6 (149)</v>
      </c>
      <c r="T2012">
        <v>31063</v>
      </c>
      <c r="U2012">
        <v>34413</v>
      </c>
      <c r="V2012" t="s">
        <v>37</v>
      </c>
    </row>
    <row r="2013" spans="1:22">
      <c r="A2013" t="str">
        <f t="shared" si="386"/>
        <v>12/03/2026</v>
      </c>
      <c r="B2013" t="str">
        <f t="shared" si="379"/>
        <v>SAÍDA</v>
      </c>
      <c r="C2013" t="str">
        <f t="shared" si="381"/>
        <v>PIX</v>
      </c>
      <c r="D2013" t="str">
        <f>"34413"</f>
        <v>34413</v>
      </c>
      <c r="E2013" t="str">
        <f t="shared" si="387"/>
        <v>1</v>
      </c>
      <c r="F2013" t="str">
        <f t="shared" si="383"/>
        <v>COM</v>
      </c>
      <c r="G2013" t="str">
        <f t="shared" si="389"/>
        <v>HENDRYL SOUZA DA SILVA (1026)</v>
      </c>
      <c r="H2013" t="s">
        <v>655</v>
      </c>
      <c r="I2013" t="str">
        <f t="shared" si="382"/>
        <v>12/03/2026</v>
      </c>
      <c r="J2013" t="str">
        <f t="shared" si="384"/>
        <v>09/03/2026</v>
      </c>
      <c r="K2013">
        <v>46093</v>
      </c>
      <c r="N2013">
        <v>109</v>
      </c>
      <c r="O2013" t="s">
        <v>27</v>
      </c>
      <c r="Q2013">
        <v>185</v>
      </c>
      <c r="R2013" t="str">
        <f>"PENSE FARMA 26 (10196)"</f>
        <v>PENSE FARMA 26 (10196)</v>
      </c>
      <c r="S2013" t="s">
        <v>37</v>
      </c>
      <c r="T2013">
        <v>31063</v>
      </c>
      <c r="U2013">
        <v>34413</v>
      </c>
      <c r="V2013" t="s">
        <v>37</v>
      </c>
    </row>
    <row r="2014" spans="1:22">
      <c r="A2014" t="str">
        <f t="shared" si="386"/>
        <v>12/03/2026</v>
      </c>
      <c r="B2014" t="str">
        <f t="shared" si="379"/>
        <v>SAÍDA</v>
      </c>
      <c r="C2014" t="str">
        <f t="shared" si="381"/>
        <v>PIX</v>
      </c>
      <c r="D2014" t="str">
        <f>"34414"</f>
        <v>34414</v>
      </c>
      <c r="E2014" t="str">
        <f t="shared" si="387"/>
        <v>1</v>
      </c>
      <c r="F2014" t="str">
        <f t="shared" si="383"/>
        <v>COM</v>
      </c>
      <c r="G2014" t="str">
        <f t="shared" si="389"/>
        <v>HENDRYL SOUZA DA SILVA (1026)</v>
      </c>
      <c r="H2014" t="str">
        <f>"Serv.Prest. 02/03/2026 a 08/03/2026 - PIX: CPF - CHAVE: 499.814.888-52"</f>
        <v>Serv.Prest. 02/03/2026 a 08/03/2026 - PIX: CPF - CHAVE: 499.814.888-52</v>
      </c>
      <c r="I2014" t="str">
        <f t="shared" si="382"/>
        <v>12/03/2026</v>
      </c>
      <c r="J2014" t="str">
        <f t="shared" si="384"/>
        <v>09/03/2026</v>
      </c>
      <c r="K2014" t="str">
        <f>("12/03/2026")</f>
        <v>12/03/2026</v>
      </c>
      <c r="L2014">
        <v>185</v>
      </c>
      <c r="M2014">
        <v>185</v>
      </c>
      <c r="N2014">
        <v>109</v>
      </c>
      <c r="O2014" t="str">
        <f>"PAGAMENTO DE ENTREGADORES"</f>
        <v>PAGAMENTO DE ENTREGADORES</v>
      </c>
      <c r="P2014">
        <v>185</v>
      </c>
      <c r="S2014" t="str">
        <f>"BANCO C6 (149)"</f>
        <v>BANCO C6 (149)</v>
      </c>
      <c r="T2014">
        <v>31064</v>
      </c>
      <c r="U2014">
        <v>34414</v>
      </c>
      <c r="V2014" t="s">
        <v>37</v>
      </c>
    </row>
    <row r="2015" spans="1:22">
      <c r="A2015" t="str">
        <f t="shared" si="386"/>
        <v>12/03/2026</v>
      </c>
      <c r="B2015" t="str">
        <f t="shared" si="379"/>
        <v>SAÍDA</v>
      </c>
      <c r="C2015" t="str">
        <f t="shared" si="381"/>
        <v>PIX</v>
      </c>
      <c r="D2015" t="str">
        <f>"34414"</f>
        <v>34414</v>
      </c>
      <c r="E2015" t="str">
        <f t="shared" si="387"/>
        <v>1</v>
      </c>
      <c r="F2015" t="str">
        <f t="shared" si="383"/>
        <v>COM</v>
      </c>
      <c r="G2015" t="str">
        <f t="shared" si="389"/>
        <v>HENDRYL SOUZA DA SILVA (1026)</v>
      </c>
      <c r="H2015" t="s">
        <v>655</v>
      </c>
      <c r="I2015" t="str">
        <f t="shared" si="382"/>
        <v>12/03/2026</v>
      </c>
      <c r="J2015" t="str">
        <f t="shared" si="384"/>
        <v>09/03/2026</v>
      </c>
      <c r="K2015">
        <v>46093</v>
      </c>
      <c r="N2015">
        <v>109</v>
      </c>
      <c r="O2015" t="s">
        <v>27</v>
      </c>
      <c r="Q2015">
        <v>185</v>
      </c>
      <c r="R2015" t="str">
        <f>"PENSE FARMA 15 (10195)"</f>
        <v>PENSE FARMA 15 (10195)</v>
      </c>
      <c r="S2015" t="s">
        <v>37</v>
      </c>
      <c r="T2015">
        <v>31064</v>
      </c>
      <c r="U2015">
        <v>34414</v>
      </c>
      <c r="V2015" t="s">
        <v>37</v>
      </c>
    </row>
    <row r="2016" spans="1:22">
      <c r="A2016" t="str">
        <f t="shared" si="386"/>
        <v>12/03/2026</v>
      </c>
      <c r="B2016" t="str">
        <f t="shared" si="379"/>
        <v>SAÍDA</v>
      </c>
      <c r="C2016" t="str">
        <f t="shared" si="381"/>
        <v>PIX</v>
      </c>
      <c r="D2016" t="str">
        <f>"34415"</f>
        <v>34415</v>
      </c>
      <c r="E2016" t="str">
        <f t="shared" si="387"/>
        <v>1</v>
      </c>
      <c r="F2016" t="str">
        <f t="shared" si="383"/>
        <v>COM</v>
      </c>
      <c r="G2016" t="str">
        <f t="shared" ref="G2016:G2023" si="390">"JEFFERSON AMORIM DA SILVA (940)"</f>
        <v>JEFFERSON AMORIM DA SILVA (940)</v>
      </c>
      <c r="H2016" t="str">
        <f>"Serv.Prest. 02/03/2026 a 08/03/2026 - PIX: CPF - CHAVE: 423.685.688-32"</f>
        <v>Serv.Prest. 02/03/2026 a 08/03/2026 - PIX: CPF - CHAVE: 423.685.688-32</v>
      </c>
      <c r="I2016" t="str">
        <f t="shared" si="382"/>
        <v>12/03/2026</v>
      </c>
      <c r="J2016" t="str">
        <f t="shared" si="384"/>
        <v>09/03/2026</v>
      </c>
      <c r="K2016" t="str">
        <f>("12/03/2026")</f>
        <v>12/03/2026</v>
      </c>
      <c r="L2016">
        <v>350</v>
      </c>
      <c r="M2016">
        <v>350</v>
      </c>
      <c r="N2016">
        <v>109</v>
      </c>
      <c r="O2016" t="str">
        <f>"PAGAMENTO DE ENTREGADORES"</f>
        <v>PAGAMENTO DE ENTREGADORES</v>
      </c>
      <c r="P2016">
        <v>350</v>
      </c>
      <c r="S2016" t="str">
        <f>"BANCO C6 (149)"</f>
        <v>BANCO C6 (149)</v>
      </c>
      <c r="T2016">
        <v>31065</v>
      </c>
      <c r="U2016">
        <v>34415</v>
      </c>
      <c r="V2016" t="s">
        <v>37</v>
      </c>
    </row>
    <row r="2017" spans="1:22">
      <c r="A2017" t="str">
        <f t="shared" si="386"/>
        <v>12/03/2026</v>
      </c>
      <c r="B2017" t="str">
        <f t="shared" si="379"/>
        <v>SAÍDA</v>
      </c>
      <c r="C2017" t="str">
        <f t="shared" si="381"/>
        <v>PIX</v>
      </c>
      <c r="D2017" t="str">
        <f>"34415"</f>
        <v>34415</v>
      </c>
      <c r="E2017" t="str">
        <f t="shared" si="387"/>
        <v>1</v>
      </c>
      <c r="F2017" t="str">
        <f t="shared" si="383"/>
        <v>COM</v>
      </c>
      <c r="G2017" t="str">
        <f t="shared" si="390"/>
        <v>JEFFERSON AMORIM DA SILVA (940)</v>
      </c>
      <c r="H2017" t="s">
        <v>656</v>
      </c>
      <c r="I2017" t="str">
        <f t="shared" si="382"/>
        <v>12/03/2026</v>
      </c>
      <c r="J2017" t="str">
        <f t="shared" si="384"/>
        <v>09/03/2026</v>
      </c>
      <c r="K2017">
        <v>46093</v>
      </c>
      <c r="N2017">
        <v>109</v>
      </c>
      <c r="O2017" t="s">
        <v>27</v>
      </c>
      <c r="Q2017">
        <v>350</v>
      </c>
      <c r="R2017" t="str">
        <f>"PENSE FARMA 15 (10195)"</f>
        <v>PENSE FARMA 15 (10195)</v>
      </c>
      <c r="S2017" t="s">
        <v>37</v>
      </c>
      <c r="T2017">
        <v>31065</v>
      </c>
      <c r="U2017">
        <v>34415</v>
      </c>
      <c r="V2017" t="s">
        <v>37</v>
      </c>
    </row>
    <row r="2018" spans="1:22">
      <c r="A2018" t="str">
        <f t="shared" si="386"/>
        <v>12/03/2026</v>
      </c>
      <c r="B2018" t="str">
        <f t="shared" si="379"/>
        <v>SAÍDA</v>
      </c>
      <c r="C2018" t="str">
        <f t="shared" si="381"/>
        <v>PIX</v>
      </c>
      <c r="D2018" t="str">
        <f>"34416"</f>
        <v>34416</v>
      </c>
      <c r="E2018" t="str">
        <f t="shared" si="387"/>
        <v>1</v>
      </c>
      <c r="F2018" t="str">
        <f t="shared" si="383"/>
        <v>COM</v>
      </c>
      <c r="G2018" t="str">
        <f t="shared" si="390"/>
        <v>JEFFERSON AMORIM DA SILVA (940)</v>
      </c>
      <c r="H2018" t="str">
        <f>"Serv.Prest. 02/03/2026 a 08/03/2026 - PIX: CPF - CHAVE: 423.685.688-32"</f>
        <v>Serv.Prest. 02/03/2026 a 08/03/2026 - PIX: CPF - CHAVE: 423.685.688-32</v>
      </c>
      <c r="I2018" t="str">
        <f t="shared" si="382"/>
        <v>12/03/2026</v>
      </c>
      <c r="J2018" t="str">
        <f t="shared" si="384"/>
        <v>09/03/2026</v>
      </c>
      <c r="K2018" t="str">
        <f>("12/03/2026")</f>
        <v>12/03/2026</v>
      </c>
      <c r="L2018">
        <v>350</v>
      </c>
      <c r="M2018">
        <v>350</v>
      </c>
      <c r="N2018">
        <v>109</v>
      </c>
      <c r="O2018" t="str">
        <f>"PAGAMENTO DE ENTREGADORES"</f>
        <v>PAGAMENTO DE ENTREGADORES</v>
      </c>
      <c r="P2018">
        <v>350</v>
      </c>
      <c r="S2018" t="str">
        <f>"BANCO C6 (149)"</f>
        <v>BANCO C6 (149)</v>
      </c>
      <c r="T2018">
        <v>31066</v>
      </c>
      <c r="U2018">
        <v>34416</v>
      </c>
      <c r="V2018" t="s">
        <v>37</v>
      </c>
    </row>
    <row r="2019" spans="1:22">
      <c r="A2019" t="str">
        <f t="shared" si="386"/>
        <v>12/03/2026</v>
      </c>
      <c r="B2019" t="str">
        <f t="shared" si="379"/>
        <v>SAÍDA</v>
      </c>
      <c r="C2019" t="str">
        <f t="shared" si="381"/>
        <v>PIX</v>
      </c>
      <c r="D2019" t="str">
        <f>"34416"</f>
        <v>34416</v>
      </c>
      <c r="E2019" t="str">
        <f t="shared" si="387"/>
        <v>1</v>
      </c>
      <c r="F2019" t="str">
        <f t="shared" si="383"/>
        <v>COM</v>
      </c>
      <c r="G2019" t="str">
        <f t="shared" si="390"/>
        <v>JEFFERSON AMORIM DA SILVA (940)</v>
      </c>
      <c r="H2019" t="s">
        <v>656</v>
      </c>
      <c r="I2019" t="str">
        <f t="shared" si="382"/>
        <v>12/03/2026</v>
      </c>
      <c r="J2019" t="str">
        <f t="shared" si="384"/>
        <v>09/03/2026</v>
      </c>
      <c r="K2019">
        <v>46093</v>
      </c>
      <c r="N2019">
        <v>109</v>
      </c>
      <c r="O2019" t="s">
        <v>27</v>
      </c>
      <c r="Q2019">
        <v>350</v>
      </c>
      <c r="R2019" t="str">
        <f>"PENSE FARMA 61 (10243)"</f>
        <v>PENSE FARMA 61 (10243)</v>
      </c>
      <c r="S2019" t="s">
        <v>37</v>
      </c>
      <c r="T2019">
        <v>31066</v>
      </c>
      <c r="U2019">
        <v>34416</v>
      </c>
      <c r="V2019" t="s">
        <v>37</v>
      </c>
    </row>
    <row r="2020" spans="1:22">
      <c r="A2020" t="str">
        <f t="shared" si="386"/>
        <v>12/03/2026</v>
      </c>
      <c r="B2020" t="str">
        <f t="shared" si="379"/>
        <v>SAÍDA</v>
      </c>
      <c r="C2020" t="str">
        <f t="shared" si="381"/>
        <v>PIX</v>
      </c>
      <c r="D2020" t="str">
        <f>"34417"</f>
        <v>34417</v>
      </c>
      <c r="E2020" t="str">
        <f t="shared" si="387"/>
        <v>1</v>
      </c>
      <c r="F2020" t="str">
        <f t="shared" si="383"/>
        <v>COM</v>
      </c>
      <c r="G2020" t="str">
        <f t="shared" si="390"/>
        <v>JEFFERSON AMORIM DA SILVA (940)</v>
      </c>
      <c r="H2020" t="str">
        <f>"Serv.Prest. 02/03/2026 a 08/03/2026 - PIX: CPF - CHAVE: 423.685.688-32"</f>
        <v>Serv.Prest. 02/03/2026 a 08/03/2026 - PIX: CPF - CHAVE: 423.685.688-32</v>
      </c>
      <c r="I2020" t="str">
        <f t="shared" si="382"/>
        <v>12/03/2026</v>
      </c>
      <c r="J2020" t="str">
        <f t="shared" si="384"/>
        <v>09/03/2026</v>
      </c>
      <c r="K2020" t="str">
        <f>("12/03/2026")</f>
        <v>12/03/2026</v>
      </c>
      <c r="L2020">
        <v>350</v>
      </c>
      <c r="M2020">
        <v>350</v>
      </c>
      <c r="N2020">
        <v>109</v>
      </c>
      <c r="O2020" t="str">
        <f>"PAGAMENTO DE ENTREGADORES"</f>
        <v>PAGAMENTO DE ENTREGADORES</v>
      </c>
      <c r="P2020">
        <v>350</v>
      </c>
      <c r="S2020" t="str">
        <f>"BANCO C6 (149)"</f>
        <v>BANCO C6 (149)</v>
      </c>
      <c r="T2020">
        <v>31067</v>
      </c>
      <c r="U2020">
        <v>34417</v>
      </c>
      <c r="V2020" t="s">
        <v>37</v>
      </c>
    </row>
    <row r="2021" spans="1:22">
      <c r="A2021" t="str">
        <f t="shared" si="386"/>
        <v>12/03/2026</v>
      </c>
      <c r="B2021" t="str">
        <f t="shared" si="379"/>
        <v>SAÍDA</v>
      </c>
      <c r="C2021" t="str">
        <f t="shared" si="381"/>
        <v>PIX</v>
      </c>
      <c r="D2021" t="str">
        <f>"34417"</f>
        <v>34417</v>
      </c>
      <c r="E2021" t="str">
        <f t="shared" si="387"/>
        <v>1</v>
      </c>
      <c r="F2021" t="str">
        <f t="shared" si="383"/>
        <v>COM</v>
      </c>
      <c r="G2021" t="str">
        <f t="shared" si="390"/>
        <v>JEFFERSON AMORIM DA SILVA (940)</v>
      </c>
      <c r="H2021" t="s">
        <v>656</v>
      </c>
      <c r="I2021" t="str">
        <f t="shared" si="382"/>
        <v>12/03/2026</v>
      </c>
      <c r="J2021" t="str">
        <f t="shared" si="384"/>
        <v>09/03/2026</v>
      </c>
      <c r="K2021">
        <v>46093</v>
      </c>
      <c r="N2021">
        <v>109</v>
      </c>
      <c r="O2021" t="s">
        <v>27</v>
      </c>
      <c r="Q2021">
        <v>350</v>
      </c>
      <c r="R2021" t="str">
        <f>"PENSE FARMA 60 (10197)"</f>
        <v>PENSE FARMA 60 (10197)</v>
      </c>
      <c r="S2021" t="s">
        <v>37</v>
      </c>
      <c r="T2021">
        <v>31067</v>
      </c>
      <c r="U2021">
        <v>34417</v>
      </c>
      <c r="V2021" t="s">
        <v>37</v>
      </c>
    </row>
    <row r="2022" spans="1:22">
      <c r="A2022" t="str">
        <f t="shared" si="386"/>
        <v>12/03/2026</v>
      </c>
      <c r="B2022" t="str">
        <f t="shared" si="379"/>
        <v>SAÍDA</v>
      </c>
      <c r="C2022" t="str">
        <f t="shared" si="381"/>
        <v>PIX</v>
      </c>
      <c r="D2022" t="str">
        <f>"34418"</f>
        <v>34418</v>
      </c>
      <c r="E2022" t="str">
        <f t="shared" si="387"/>
        <v>1</v>
      </c>
      <c r="F2022" t="str">
        <f t="shared" si="383"/>
        <v>COM</v>
      </c>
      <c r="G2022" t="str">
        <f t="shared" si="390"/>
        <v>JEFFERSON AMORIM DA SILVA (940)</v>
      </c>
      <c r="H2022" t="str">
        <f>"Serv.Prest. 02/03/2026 a 08/03/2026 - PIX: CPF - CHAVE: 423.685.688-32"</f>
        <v>Serv.Prest. 02/03/2026 a 08/03/2026 - PIX: CPF - CHAVE: 423.685.688-32</v>
      </c>
      <c r="I2022" t="str">
        <f t="shared" si="382"/>
        <v>12/03/2026</v>
      </c>
      <c r="J2022" t="str">
        <f t="shared" si="384"/>
        <v>09/03/2026</v>
      </c>
      <c r="K2022" t="str">
        <f>("12/03/2026")</f>
        <v>12/03/2026</v>
      </c>
      <c r="L2022">
        <v>350</v>
      </c>
      <c r="M2022">
        <v>350</v>
      </c>
      <c r="N2022">
        <v>109</v>
      </c>
      <c r="O2022" t="str">
        <f>"PAGAMENTO DE ENTREGADORES"</f>
        <v>PAGAMENTO DE ENTREGADORES</v>
      </c>
      <c r="P2022">
        <v>350</v>
      </c>
      <c r="S2022" t="str">
        <f>"BANCO C6 (149)"</f>
        <v>BANCO C6 (149)</v>
      </c>
      <c r="T2022">
        <v>31068</v>
      </c>
      <c r="U2022">
        <v>34418</v>
      </c>
      <c r="V2022" t="s">
        <v>37</v>
      </c>
    </row>
    <row r="2023" spans="1:22">
      <c r="A2023" t="str">
        <f t="shared" si="386"/>
        <v>12/03/2026</v>
      </c>
      <c r="B2023" t="str">
        <f t="shared" si="379"/>
        <v>SAÍDA</v>
      </c>
      <c r="C2023" t="str">
        <f t="shared" si="381"/>
        <v>PIX</v>
      </c>
      <c r="D2023" t="str">
        <f>"34418"</f>
        <v>34418</v>
      </c>
      <c r="E2023" t="str">
        <f t="shared" si="387"/>
        <v>1</v>
      </c>
      <c r="F2023" t="str">
        <f t="shared" si="383"/>
        <v>COM</v>
      </c>
      <c r="G2023" t="str">
        <f t="shared" si="390"/>
        <v>JEFFERSON AMORIM DA SILVA (940)</v>
      </c>
      <c r="H2023" t="s">
        <v>656</v>
      </c>
      <c r="I2023" t="str">
        <f t="shared" si="382"/>
        <v>12/03/2026</v>
      </c>
      <c r="J2023" t="str">
        <f t="shared" si="384"/>
        <v>09/03/2026</v>
      </c>
      <c r="K2023">
        <v>46093</v>
      </c>
      <c r="N2023">
        <v>109</v>
      </c>
      <c r="O2023" t="s">
        <v>27</v>
      </c>
      <c r="Q2023">
        <v>350</v>
      </c>
      <c r="R2023" t="str">
        <f>"PENSE FARMA 26 (10196)"</f>
        <v>PENSE FARMA 26 (10196)</v>
      </c>
      <c r="S2023" t="s">
        <v>37</v>
      </c>
      <c r="T2023">
        <v>31068</v>
      </c>
      <c r="U2023">
        <v>34418</v>
      </c>
      <c r="V2023" t="s">
        <v>37</v>
      </c>
    </row>
    <row r="2024" spans="1:22">
      <c r="A2024" t="str">
        <f t="shared" si="386"/>
        <v>12/03/2026</v>
      </c>
      <c r="B2024" t="str">
        <f t="shared" si="379"/>
        <v>SAÍDA</v>
      </c>
      <c r="C2024" t="str">
        <f t="shared" si="381"/>
        <v>PIX</v>
      </c>
      <c r="D2024" t="str">
        <f>"34424"</f>
        <v>34424</v>
      </c>
      <c r="E2024" t="str">
        <f t="shared" si="387"/>
        <v>1</v>
      </c>
      <c r="F2024" t="str">
        <f t="shared" si="383"/>
        <v>COM</v>
      </c>
      <c r="G2024" t="str">
        <f>"FELIPE ALEXANDRE CAMA (976)"</f>
        <v>FELIPE ALEXANDRE CAMA (976)</v>
      </c>
      <c r="H2024" t="str">
        <f>"Serv.Prest. 02/03/2026 a 08/03/2026 - PIX: CPF - CHAVE: 471.142.438-55"</f>
        <v>Serv.Prest. 02/03/2026 a 08/03/2026 - PIX: CPF - CHAVE: 471.142.438-55</v>
      </c>
      <c r="I2024" t="str">
        <f t="shared" si="382"/>
        <v>12/03/2026</v>
      </c>
      <c r="J2024" t="str">
        <f t="shared" si="384"/>
        <v>09/03/2026</v>
      </c>
      <c r="K2024" t="str">
        <f>("12/03/2026")</f>
        <v>12/03/2026</v>
      </c>
      <c r="L2024">
        <v>1305</v>
      </c>
      <c r="M2024">
        <v>1305</v>
      </c>
      <c r="N2024">
        <v>109</v>
      </c>
      <c r="O2024" t="str">
        <f>"PAGAMENTO DE ENTREGADORES"</f>
        <v>PAGAMENTO DE ENTREGADORES</v>
      </c>
      <c r="P2024">
        <v>1305</v>
      </c>
      <c r="S2024" t="str">
        <f>"BANCO C6 (149)"</f>
        <v>BANCO C6 (149)</v>
      </c>
      <c r="T2024">
        <v>31069</v>
      </c>
      <c r="U2024">
        <v>34424</v>
      </c>
      <c r="V2024" t="s">
        <v>37</v>
      </c>
    </row>
    <row r="2025" spans="1:22">
      <c r="A2025" t="str">
        <f t="shared" si="386"/>
        <v>12/03/2026</v>
      </c>
      <c r="B2025" t="str">
        <f t="shared" si="379"/>
        <v>SAÍDA</v>
      </c>
      <c r="C2025" t="str">
        <f t="shared" si="381"/>
        <v>PIX</v>
      </c>
      <c r="D2025" t="str">
        <f>"34424"</f>
        <v>34424</v>
      </c>
      <c r="E2025" t="str">
        <f t="shared" si="387"/>
        <v>1</v>
      </c>
      <c r="F2025" t="str">
        <f t="shared" si="383"/>
        <v>COM</v>
      </c>
      <c r="G2025" t="str">
        <f>"FELIPE ALEXANDRE CAMA (976)"</f>
        <v>FELIPE ALEXANDRE CAMA (976)</v>
      </c>
      <c r="H2025" t="s">
        <v>437</v>
      </c>
      <c r="I2025" t="str">
        <f t="shared" si="382"/>
        <v>12/03/2026</v>
      </c>
      <c r="J2025" t="str">
        <f t="shared" si="384"/>
        <v>09/03/2026</v>
      </c>
      <c r="K2025">
        <v>46093</v>
      </c>
      <c r="N2025">
        <v>109</v>
      </c>
      <c r="O2025" t="s">
        <v>27</v>
      </c>
      <c r="Q2025">
        <v>1305</v>
      </c>
      <c r="R2025" t="str">
        <f>"PENSE FARMA DARK STORE 361 (10212)"</f>
        <v>PENSE FARMA DARK STORE 361 (10212)</v>
      </c>
      <c r="S2025" t="s">
        <v>37</v>
      </c>
      <c r="T2025">
        <v>31069</v>
      </c>
      <c r="U2025">
        <v>34424</v>
      </c>
      <c r="V2025" t="s">
        <v>37</v>
      </c>
    </row>
    <row r="2026" spans="1:22">
      <c r="A2026" t="str">
        <f t="shared" si="386"/>
        <v>12/03/2026</v>
      </c>
      <c r="B2026" t="str">
        <f t="shared" si="379"/>
        <v>SAÍDA</v>
      </c>
      <c r="C2026" t="str">
        <f t="shared" si="381"/>
        <v>PIX</v>
      </c>
      <c r="D2026" t="str">
        <f>"34430"</f>
        <v>34430</v>
      </c>
      <c r="E2026" t="str">
        <f t="shared" si="387"/>
        <v>1</v>
      </c>
      <c r="F2026" t="str">
        <f t="shared" si="383"/>
        <v>COM</v>
      </c>
      <c r="G2026" t="str">
        <f t="shared" ref="G2026:G2037" si="391">"JULIO GUIMARAES DOS SANTOS (977)"</f>
        <v>JULIO GUIMARAES DOS SANTOS (977)</v>
      </c>
      <c r="H2026" t="str">
        <f>"Serv.Prest. 02/03/2026 a 08/03/2026 - PIX: CELULAR - CHAVE: (11) 94195-2534"</f>
        <v>Serv.Prest. 02/03/2026 a 08/03/2026 - PIX: CELULAR - CHAVE: (11) 94195-2534</v>
      </c>
      <c r="I2026" t="str">
        <f t="shared" si="382"/>
        <v>12/03/2026</v>
      </c>
      <c r="J2026" t="str">
        <f t="shared" si="384"/>
        <v>09/03/2026</v>
      </c>
      <c r="K2026" t="str">
        <f>("12/03/2026")</f>
        <v>12/03/2026</v>
      </c>
      <c r="L2026">
        <v>220</v>
      </c>
      <c r="M2026">
        <v>220</v>
      </c>
      <c r="N2026">
        <v>109</v>
      </c>
      <c r="O2026" t="str">
        <f>"PAGAMENTO DE ENTREGADORES"</f>
        <v>PAGAMENTO DE ENTREGADORES</v>
      </c>
      <c r="P2026">
        <v>220</v>
      </c>
      <c r="S2026" t="str">
        <f>"BANCO C6 (149)"</f>
        <v>BANCO C6 (149)</v>
      </c>
      <c r="T2026">
        <v>31070</v>
      </c>
      <c r="U2026">
        <v>34430</v>
      </c>
      <c r="V2026" t="s">
        <v>37</v>
      </c>
    </row>
    <row r="2027" spans="1:22">
      <c r="A2027" t="str">
        <f t="shared" si="386"/>
        <v>12/03/2026</v>
      </c>
      <c r="B2027" t="str">
        <f t="shared" si="379"/>
        <v>SAÍDA</v>
      </c>
      <c r="C2027" t="str">
        <f t="shared" si="381"/>
        <v>PIX</v>
      </c>
      <c r="D2027" t="str">
        <f>"34430"</f>
        <v>34430</v>
      </c>
      <c r="E2027" t="str">
        <f t="shared" si="387"/>
        <v>1</v>
      </c>
      <c r="F2027" t="str">
        <f t="shared" si="383"/>
        <v>COM</v>
      </c>
      <c r="G2027" t="str">
        <f t="shared" si="391"/>
        <v>JULIO GUIMARAES DOS SANTOS (977)</v>
      </c>
      <c r="H2027" t="s">
        <v>657</v>
      </c>
      <c r="I2027" t="str">
        <f t="shared" si="382"/>
        <v>12/03/2026</v>
      </c>
      <c r="J2027" t="str">
        <f t="shared" si="384"/>
        <v>09/03/2026</v>
      </c>
      <c r="K2027">
        <v>46093</v>
      </c>
      <c r="N2027">
        <v>109</v>
      </c>
      <c r="O2027" t="s">
        <v>27</v>
      </c>
      <c r="Q2027">
        <v>220</v>
      </c>
      <c r="R2027" t="str">
        <f>"PENSE FARMA 36 (10206)"</f>
        <v>PENSE FARMA 36 (10206)</v>
      </c>
      <c r="S2027" t="s">
        <v>37</v>
      </c>
      <c r="T2027">
        <v>31070</v>
      </c>
      <c r="U2027">
        <v>34430</v>
      </c>
      <c r="V2027" t="s">
        <v>37</v>
      </c>
    </row>
    <row r="2028" spans="1:22">
      <c r="A2028" t="str">
        <f t="shared" si="386"/>
        <v>12/03/2026</v>
      </c>
      <c r="B2028" t="str">
        <f t="shared" si="379"/>
        <v>SAÍDA</v>
      </c>
      <c r="C2028" t="str">
        <f t="shared" si="381"/>
        <v>PIX</v>
      </c>
      <c r="D2028" t="str">
        <f>"34431"</f>
        <v>34431</v>
      </c>
      <c r="E2028" t="str">
        <f t="shared" si="387"/>
        <v>1</v>
      </c>
      <c r="F2028" t="str">
        <f t="shared" si="383"/>
        <v>COM</v>
      </c>
      <c r="G2028" t="str">
        <f t="shared" si="391"/>
        <v>JULIO GUIMARAES DOS SANTOS (977)</v>
      </c>
      <c r="H2028" t="str">
        <f>"Serv.Prest. 02/03/2026 a 08/03/2026 - PIX: CELULAR - CHAVE: (11) 94195-2534"</f>
        <v>Serv.Prest. 02/03/2026 a 08/03/2026 - PIX: CELULAR - CHAVE: (11) 94195-2534</v>
      </c>
      <c r="I2028" t="str">
        <f t="shared" si="382"/>
        <v>12/03/2026</v>
      </c>
      <c r="J2028" t="str">
        <f t="shared" si="384"/>
        <v>09/03/2026</v>
      </c>
      <c r="K2028" t="str">
        <f>("12/03/2026")</f>
        <v>12/03/2026</v>
      </c>
      <c r="L2028">
        <v>220</v>
      </c>
      <c r="M2028">
        <v>220</v>
      </c>
      <c r="N2028">
        <v>109</v>
      </c>
      <c r="O2028" t="str">
        <f>"PAGAMENTO DE ENTREGADORES"</f>
        <v>PAGAMENTO DE ENTREGADORES</v>
      </c>
      <c r="P2028">
        <v>220</v>
      </c>
      <c r="S2028" t="str">
        <f>"BANCO C6 (149)"</f>
        <v>BANCO C6 (149)</v>
      </c>
      <c r="T2028">
        <v>31071</v>
      </c>
      <c r="U2028">
        <v>34431</v>
      </c>
      <c r="V2028" t="s">
        <v>37</v>
      </c>
    </row>
    <row r="2029" spans="1:22">
      <c r="A2029" t="str">
        <f t="shared" si="386"/>
        <v>12/03/2026</v>
      </c>
      <c r="B2029" t="str">
        <f t="shared" si="379"/>
        <v>SAÍDA</v>
      </c>
      <c r="C2029" t="str">
        <f t="shared" si="381"/>
        <v>PIX</v>
      </c>
      <c r="D2029" t="str">
        <f>"34431"</f>
        <v>34431</v>
      </c>
      <c r="E2029" t="str">
        <f t="shared" si="387"/>
        <v>1</v>
      </c>
      <c r="F2029" t="str">
        <f t="shared" si="383"/>
        <v>COM</v>
      </c>
      <c r="G2029" t="str">
        <f t="shared" si="391"/>
        <v>JULIO GUIMARAES DOS SANTOS (977)</v>
      </c>
      <c r="H2029" t="s">
        <v>657</v>
      </c>
      <c r="I2029" t="str">
        <f t="shared" si="382"/>
        <v>12/03/2026</v>
      </c>
      <c r="J2029" t="str">
        <f t="shared" si="384"/>
        <v>09/03/2026</v>
      </c>
      <c r="K2029">
        <v>46093</v>
      </c>
      <c r="N2029">
        <v>109</v>
      </c>
      <c r="O2029" t="s">
        <v>27</v>
      </c>
      <c r="Q2029">
        <v>220</v>
      </c>
      <c r="R2029" t="str">
        <f>"PENSE FARMA 40 (10207)"</f>
        <v>PENSE FARMA 40 (10207)</v>
      </c>
      <c r="S2029" t="s">
        <v>37</v>
      </c>
      <c r="T2029">
        <v>31071</v>
      </c>
      <c r="U2029">
        <v>34431</v>
      </c>
      <c r="V2029" t="s">
        <v>37</v>
      </c>
    </row>
    <row r="2030" spans="1:22">
      <c r="A2030" t="str">
        <f t="shared" si="386"/>
        <v>12/03/2026</v>
      </c>
      <c r="B2030" t="str">
        <f t="shared" si="379"/>
        <v>SAÍDA</v>
      </c>
      <c r="C2030" t="str">
        <f t="shared" si="381"/>
        <v>PIX</v>
      </c>
      <c r="D2030" t="str">
        <f>"34432"</f>
        <v>34432</v>
      </c>
      <c r="E2030" t="str">
        <f t="shared" si="387"/>
        <v>1</v>
      </c>
      <c r="F2030" t="str">
        <f t="shared" si="383"/>
        <v>COM</v>
      </c>
      <c r="G2030" t="str">
        <f t="shared" si="391"/>
        <v>JULIO GUIMARAES DOS SANTOS (977)</v>
      </c>
      <c r="H2030" t="str">
        <f>"Serv.Prest. 02/03/2026 a 08/03/2026 - PIX: CELULAR - CHAVE: (11) 94195-2534"</f>
        <v>Serv.Prest. 02/03/2026 a 08/03/2026 - PIX: CELULAR - CHAVE: (11) 94195-2534</v>
      </c>
      <c r="I2030" t="str">
        <f t="shared" si="382"/>
        <v>12/03/2026</v>
      </c>
      <c r="J2030" t="str">
        <f t="shared" si="384"/>
        <v>09/03/2026</v>
      </c>
      <c r="K2030" t="str">
        <f>("12/03/2026")</f>
        <v>12/03/2026</v>
      </c>
      <c r="L2030">
        <v>220</v>
      </c>
      <c r="M2030">
        <v>220</v>
      </c>
      <c r="N2030">
        <v>109</v>
      </c>
      <c r="O2030" t="str">
        <f>"PAGAMENTO DE ENTREGADORES"</f>
        <v>PAGAMENTO DE ENTREGADORES</v>
      </c>
      <c r="P2030">
        <v>220</v>
      </c>
      <c r="S2030" t="str">
        <f>"BANCO C6 (149)"</f>
        <v>BANCO C6 (149)</v>
      </c>
      <c r="T2030">
        <v>31072</v>
      </c>
      <c r="U2030">
        <v>34432</v>
      </c>
      <c r="V2030" t="s">
        <v>37</v>
      </c>
    </row>
    <row r="2031" spans="1:22">
      <c r="A2031" t="str">
        <f t="shared" si="386"/>
        <v>12/03/2026</v>
      </c>
      <c r="B2031" t="str">
        <f t="shared" si="379"/>
        <v>SAÍDA</v>
      </c>
      <c r="C2031" t="str">
        <f t="shared" si="381"/>
        <v>PIX</v>
      </c>
      <c r="D2031" t="str">
        <f>"34432"</f>
        <v>34432</v>
      </c>
      <c r="E2031" t="str">
        <f t="shared" si="387"/>
        <v>1</v>
      </c>
      <c r="F2031" t="str">
        <f t="shared" si="383"/>
        <v>COM</v>
      </c>
      <c r="G2031" t="str">
        <f t="shared" si="391"/>
        <v>JULIO GUIMARAES DOS SANTOS (977)</v>
      </c>
      <c r="H2031" t="s">
        <v>657</v>
      </c>
      <c r="I2031" t="str">
        <f t="shared" si="382"/>
        <v>12/03/2026</v>
      </c>
      <c r="J2031" t="str">
        <f t="shared" si="384"/>
        <v>09/03/2026</v>
      </c>
      <c r="K2031">
        <v>46093</v>
      </c>
      <c r="N2031">
        <v>109</v>
      </c>
      <c r="O2031" t="s">
        <v>27</v>
      </c>
      <c r="Q2031">
        <v>220</v>
      </c>
      <c r="R2031" t="str">
        <f>"PENSE FARMA 43 (10208)"</f>
        <v>PENSE FARMA 43 (10208)</v>
      </c>
      <c r="S2031" t="s">
        <v>37</v>
      </c>
      <c r="T2031">
        <v>31072</v>
      </c>
      <c r="U2031">
        <v>34432</v>
      </c>
      <c r="V2031" t="s">
        <v>37</v>
      </c>
    </row>
    <row r="2032" spans="1:22">
      <c r="A2032" t="str">
        <f t="shared" si="386"/>
        <v>12/03/2026</v>
      </c>
      <c r="B2032" t="str">
        <f t="shared" si="379"/>
        <v>SAÍDA</v>
      </c>
      <c r="C2032" t="str">
        <f t="shared" si="381"/>
        <v>PIX</v>
      </c>
      <c r="D2032" t="str">
        <f>"34433"</f>
        <v>34433</v>
      </c>
      <c r="E2032" t="str">
        <f t="shared" si="387"/>
        <v>1</v>
      </c>
      <c r="F2032" t="str">
        <f t="shared" si="383"/>
        <v>COM</v>
      </c>
      <c r="G2032" t="str">
        <f t="shared" si="391"/>
        <v>JULIO GUIMARAES DOS SANTOS (977)</v>
      </c>
      <c r="H2032" t="str">
        <f>"Serv.Prest. 02/03/2026 a 08/03/2026 - PIX: CELULAR - CHAVE: (11) 94195-2534"</f>
        <v>Serv.Prest. 02/03/2026 a 08/03/2026 - PIX: CELULAR - CHAVE: (11) 94195-2534</v>
      </c>
      <c r="I2032" t="str">
        <f t="shared" si="382"/>
        <v>12/03/2026</v>
      </c>
      <c r="J2032" t="str">
        <f t="shared" si="384"/>
        <v>09/03/2026</v>
      </c>
      <c r="K2032" t="str">
        <f>("12/03/2026")</f>
        <v>12/03/2026</v>
      </c>
      <c r="L2032">
        <v>220</v>
      </c>
      <c r="M2032">
        <v>220</v>
      </c>
      <c r="N2032">
        <v>109</v>
      </c>
      <c r="O2032" t="str">
        <f>"PAGAMENTO DE ENTREGADORES"</f>
        <v>PAGAMENTO DE ENTREGADORES</v>
      </c>
      <c r="P2032">
        <v>220</v>
      </c>
      <c r="S2032" t="str">
        <f>"BANCO C6 (149)"</f>
        <v>BANCO C6 (149)</v>
      </c>
      <c r="T2032">
        <v>31073</v>
      </c>
      <c r="U2032">
        <v>34433</v>
      </c>
      <c r="V2032" t="s">
        <v>37</v>
      </c>
    </row>
    <row r="2033" spans="1:22">
      <c r="A2033" t="str">
        <f t="shared" si="386"/>
        <v>12/03/2026</v>
      </c>
      <c r="B2033" t="str">
        <f t="shared" si="379"/>
        <v>SAÍDA</v>
      </c>
      <c r="C2033" t="str">
        <f t="shared" si="381"/>
        <v>PIX</v>
      </c>
      <c r="D2033" t="str">
        <f>"34433"</f>
        <v>34433</v>
      </c>
      <c r="E2033" t="str">
        <f t="shared" si="387"/>
        <v>1</v>
      </c>
      <c r="F2033" t="str">
        <f t="shared" si="383"/>
        <v>COM</v>
      </c>
      <c r="G2033" t="str">
        <f t="shared" si="391"/>
        <v>JULIO GUIMARAES DOS SANTOS (977)</v>
      </c>
      <c r="H2033" t="s">
        <v>657</v>
      </c>
      <c r="I2033" t="str">
        <f t="shared" si="382"/>
        <v>12/03/2026</v>
      </c>
      <c r="J2033" t="str">
        <f t="shared" si="384"/>
        <v>09/03/2026</v>
      </c>
      <c r="K2033">
        <v>46093</v>
      </c>
      <c r="N2033">
        <v>109</v>
      </c>
      <c r="O2033" t="s">
        <v>27</v>
      </c>
      <c r="Q2033">
        <v>220</v>
      </c>
      <c r="R2033" t="str">
        <f>"PENSE FARMA 59 (10211)"</f>
        <v>PENSE FARMA 59 (10211)</v>
      </c>
      <c r="S2033" t="s">
        <v>37</v>
      </c>
      <c r="T2033">
        <v>31073</v>
      </c>
      <c r="U2033">
        <v>34433</v>
      </c>
      <c r="V2033" t="s">
        <v>37</v>
      </c>
    </row>
    <row r="2034" spans="1:22">
      <c r="A2034" t="str">
        <f t="shared" si="386"/>
        <v>12/03/2026</v>
      </c>
      <c r="B2034" t="str">
        <f t="shared" si="379"/>
        <v>SAÍDA</v>
      </c>
      <c r="C2034" t="str">
        <f t="shared" si="381"/>
        <v>PIX</v>
      </c>
      <c r="D2034" t="str">
        <f>"34434"</f>
        <v>34434</v>
      </c>
      <c r="E2034" t="str">
        <f t="shared" si="387"/>
        <v>1</v>
      </c>
      <c r="F2034" t="str">
        <f t="shared" si="383"/>
        <v>COM</v>
      </c>
      <c r="G2034" t="str">
        <f t="shared" si="391"/>
        <v>JULIO GUIMARAES DOS SANTOS (977)</v>
      </c>
      <c r="H2034" t="str">
        <f>"Serv.Prest. 02/03/2026 a 08/03/2026 - PIX: CELULAR - CHAVE: (11) 94195-2534"</f>
        <v>Serv.Prest. 02/03/2026 a 08/03/2026 - PIX: CELULAR - CHAVE: (11) 94195-2534</v>
      </c>
      <c r="I2034" t="str">
        <f t="shared" si="382"/>
        <v>12/03/2026</v>
      </c>
      <c r="J2034" t="str">
        <f t="shared" si="384"/>
        <v>09/03/2026</v>
      </c>
      <c r="K2034" t="str">
        <f>("12/03/2026")</f>
        <v>12/03/2026</v>
      </c>
      <c r="L2034">
        <v>225</v>
      </c>
      <c r="M2034">
        <v>225</v>
      </c>
      <c r="N2034">
        <v>109</v>
      </c>
      <c r="O2034" t="str">
        <f>"PAGAMENTO DE ENTREGADORES"</f>
        <v>PAGAMENTO DE ENTREGADORES</v>
      </c>
      <c r="P2034">
        <v>225</v>
      </c>
      <c r="S2034" t="str">
        <f>"BANCO C6 (149)"</f>
        <v>BANCO C6 (149)</v>
      </c>
      <c r="T2034">
        <v>31074</v>
      </c>
      <c r="U2034">
        <v>34434</v>
      </c>
      <c r="V2034" t="s">
        <v>37</v>
      </c>
    </row>
    <row r="2035" spans="1:22">
      <c r="A2035" t="str">
        <f t="shared" si="386"/>
        <v>12/03/2026</v>
      </c>
      <c r="B2035" t="str">
        <f t="shared" si="379"/>
        <v>SAÍDA</v>
      </c>
      <c r="C2035" t="str">
        <f t="shared" si="381"/>
        <v>PIX</v>
      </c>
      <c r="D2035" t="str">
        <f>"34434"</f>
        <v>34434</v>
      </c>
      <c r="E2035" t="str">
        <f t="shared" si="387"/>
        <v>1</v>
      </c>
      <c r="F2035" t="str">
        <f t="shared" si="383"/>
        <v>COM</v>
      </c>
      <c r="G2035" t="str">
        <f t="shared" si="391"/>
        <v>JULIO GUIMARAES DOS SANTOS (977)</v>
      </c>
      <c r="H2035" t="s">
        <v>657</v>
      </c>
      <c r="I2035" t="str">
        <f t="shared" si="382"/>
        <v>12/03/2026</v>
      </c>
      <c r="J2035" t="str">
        <f t="shared" si="384"/>
        <v>09/03/2026</v>
      </c>
      <c r="K2035">
        <v>46093</v>
      </c>
      <c r="N2035">
        <v>109</v>
      </c>
      <c r="O2035" t="s">
        <v>27</v>
      </c>
      <c r="Q2035">
        <v>225</v>
      </c>
      <c r="R2035" t="str">
        <f>"PENSE FARMA DARK STORE 361 (10212)"</f>
        <v>PENSE FARMA DARK STORE 361 (10212)</v>
      </c>
      <c r="S2035" t="s">
        <v>37</v>
      </c>
      <c r="T2035">
        <v>31074</v>
      </c>
      <c r="U2035">
        <v>34434</v>
      </c>
      <c r="V2035" t="s">
        <v>37</v>
      </c>
    </row>
    <row r="2036" spans="1:22">
      <c r="A2036" t="str">
        <f t="shared" si="386"/>
        <v>12/03/2026</v>
      </c>
      <c r="B2036" t="str">
        <f t="shared" si="379"/>
        <v>SAÍDA</v>
      </c>
      <c r="C2036" t="str">
        <f t="shared" si="381"/>
        <v>PIX</v>
      </c>
      <c r="D2036" t="str">
        <f>"34435"</f>
        <v>34435</v>
      </c>
      <c r="E2036" t="str">
        <f t="shared" si="387"/>
        <v>1</v>
      </c>
      <c r="F2036" t="str">
        <f t="shared" si="383"/>
        <v>COM</v>
      </c>
      <c r="G2036" t="str">
        <f t="shared" si="391"/>
        <v>JULIO GUIMARAES DOS SANTOS (977)</v>
      </c>
      <c r="H2036" t="str">
        <f>"Serv.Prest. 02/03/2026 a 08/03/2026 - PIX: CELULAR - CHAVE: (11) 94195-2534"</f>
        <v>Serv.Prest. 02/03/2026 a 08/03/2026 - PIX: CELULAR - CHAVE: (11) 94195-2534</v>
      </c>
      <c r="I2036" t="str">
        <f t="shared" si="382"/>
        <v>12/03/2026</v>
      </c>
      <c r="J2036" t="str">
        <f t="shared" si="384"/>
        <v>09/03/2026</v>
      </c>
      <c r="K2036" t="str">
        <f>("12/03/2026")</f>
        <v>12/03/2026</v>
      </c>
      <c r="L2036">
        <v>220</v>
      </c>
      <c r="M2036">
        <v>220</v>
      </c>
      <c r="N2036">
        <v>109</v>
      </c>
      <c r="O2036" t="str">
        <f>"PAGAMENTO DE ENTREGADORES"</f>
        <v>PAGAMENTO DE ENTREGADORES</v>
      </c>
      <c r="P2036">
        <v>220</v>
      </c>
      <c r="S2036" t="str">
        <f>"BANCO C6 (149)"</f>
        <v>BANCO C6 (149)</v>
      </c>
      <c r="T2036">
        <v>31075</v>
      </c>
      <c r="U2036">
        <v>34435</v>
      </c>
      <c r="V2036" t="s">
        <v>37</v>
      </c>
    </row>
    <row r="2037" spans="1:22">
      <c r="A2037" t="str">
        <f t="shared" si="386"/>
        <v>12/03/2026</v>
      </c>
      <c r="B2037" t="str">
        <f t="shared" si="379"/>
        <v>SAÍDA</v>
      </c>
      <c r="C2037" t="str">
        <f t="shared" si="381"/>
        <v>PIX</v>
      </c>
      <c r="D2037" t="str">
        <f>"34435"</f>
        <v>34435</v>
      </c>
      <c r="E2037" t="str">
        <f t="shared" si="387"/>
        <v>1</v>
      </c>
      <c r="F2037" t="str">
        <f t="shared" si="383"/>
        <v>COM</v>
      </c>
      <c r="G2037" t="str">
        <f t="shared" si="391"/>
        <v>JULIO GUIMARAES DOS SANTOS (977)</v>
      </c>
      <c r="H2037" t="s">
        <v>657</v>
      </c>
      <c r="I2037" t="str">
        <f t="shared" si="382"/>
        <v>12/03/2026</v>
      </c>
      <c r="J2037" t="str">
        <f t="shared" si="384"/>
        <v>09/03/2026</v>
      </c>
      <c r="K2037">
        <v>46093</v>
      </c>
      <c r="N2037">
        <v>109</v>
      </c>
      <c r="O2037" t="s">
        <v>27</v>
      </c>
      <c r="Q2037">
        <v>220</v>
      </c>
      <c r="R2037" t="str">
        <f>"PENSE FARMA 20 (10203)"</f>
        <v>PENSE FARMA 20 (10203)</v>
      </c>
      <c r="S2037" t="s">
        <v>37</v>
      </c>
      <c r="T2037">
        <v>31075</v>
      </c>
      <c r="U2037">
        <v>34435</v>
      </c>
      <c r="V2037" t="s">
        <v>37</v>
      </c>
    </row>
    <row r="2038" spans="1:22">
      <c r="A2038" t="str">
        <f t="shared" si="386"/>
        <v>12/03/2026</v>
      </c>
      <c r="B2038" t="str">
        <f t="shared" si="379"/>
        <v>SAÍDA</v>
      </c>
      <c r="C2038" t="str">
        <f t="shared" si="381"/>
        <v>PIX</v>
      </c>
      <c r="D2038" t="str">
        <f>"34436"</f>
        <v>34436</v>
      </c>
      <c r="E2038" t="str">
        <f t="shared" si="387"/>
        <v>1</v>
      </c>
      <c r="F2038" t="str">
        <f t="shared" si="383"/>
        <v>COM</v>
      </c>
      <c r="G2038" t="str">
        <f t="shared" ref="G2038:G2049" si="392">"RAFAEL PEDROSO DE CAMARA (975)"</f>
        <v>RAFAEL PEDROSO DE CAMARA (975)</v>
      </c>
      <c r="H2038" t="str">
        <f>"Serv.Prest. 02/03/2026 a 08/03/2026 - PIX: CELULAR - CHAVE: (11) 99270-3082"</f>
        <v>Serv.Prest. 02/03/2026 a 08/03/2026 - PIX: CELULAR - CHAVE: (11) 99270-3082</v>
      </c>
      <c r="I2038" t="str">
        <f t="shared" si="382"/>
        <v>12/03/2026</v>
      </c>
      <c r="J2038" t="str">
        <f t="shared" si="384"/>
        <v>09/03/2026</v>
      </c>
      <c r="K2038" t="str">
        <f>("12/03/2026")</f>
        <v>12/03/2026</v>
      </c>
      <c r="L2038">
        <v>225</v>
      </c>
      <c r="M2038">
        <v>225</v>
      </c>
      <c r="N2038">
        <v>109</v>
      </c>
      <c r="O2038" t="str">
        <f>"PAGAMENTO DE ENTREGADORES"</f>
        <v>PAGAMENTO DE ENTREGADORES</v>
      </c>
      <c r="P2038">
        <v>225</v>
      </c>
      <c r="S2038" t="str">
        <f>"BANCO C6 (149)"</f>
        <v>BANCO C6 (149)</v>
      </c>
      <c r="T2038">
        <v>31076</v>
      </c>
      <c r="U2038">
        <v>34436</v>
      </c>
      <c r="V2038" t="s">
        <v>37</v>
      </c>
    </row>
    <row r="2039" spans="1:22">
      <c r="A2039" t="str">
        <f t="shared" si="386"/>
        <v>12/03/2026</v>
      </c>
      <c r="B2039" t="str">
        <f t="shared" si="379"/>
        <v>SAÍDA</v>
      </c>
      <c r="C2039" t="str">
        <f t="shared" si="381"/>
        <v>PIX</v>
      </c>
      <c r="D2039" t="str">
        <f>"34436"</f>
        <v>34436</v>
      </c>
      <c r="E2039" t="str">
        <f t="shared" si="387"/>
        <v>1</v>
      </c>
      <c r="F2039" t="str">
        <f t="shared" si="383"/>
        <v>COM</v>
      </c>
      <c r="G2039" t="str">
        <f t="shared" si="392"/>
        <v>RAFAEL PEDROSO DE CAMARA (975)</v>
      </c>
      <c r="H2039" t="s">
        <v>658</v>
      </c>
      <c r="I2039" t="str">
        <f t="shared" si="382"/>
        <v>12/03/2026</v>
      </c>
      <c r="J2039" t="str">
        <f t="shared" si="384"/>
        <v>09/03/2026</v>
      </c>
      <c r="K2039">
        <v>46093</v>
      </c>
      <c r="N2039">
        <v>109</v>
      </c>
      <c r="O2039" t="s">
        <v>27</v>
      </c>
      <c r="Q2039">
        <v>225</v>
      </c>
      <c r="R2039" t="str">
        <f>"PENSE FARMA 20 (10203)"</f>
        <v>PENSE FARMA 20 (10203)</v>
      </c>
      <c r="S2039" t="s">
        <v>37</v>
      </c>
      <c r="T2039">
        <v>31076</v>
      </c>
      <c r="U2039">
        <v>34436</v>
      </c>
      <c r="V2039" t="s">
        <v>37</v>
      </c>
    </row>
    <row r="2040" spans="1:22">
      <c r="A2040" t="str">
        <f t="shared" si="386"/>
        <v>12/03/2026</v>
      </c>
      <c r="B2040" t="str">
        <f t="shared" ref="B2040:B2103" si="393">"SAÍDA"</f>
        <v>SAÍDA</v>
      </c>
      <c r="C2040" t="str">
        <f t="shared" si="381"/>
        <v>PIX</v>
      </c>
      <c r="D2040" t="str">
        <f>"34437"</f>
        <v>34437</v>
      </c>
      <c r="E2040" t="str">
        <f t="shared" si="387"/>
        <v>1</v>
      </c>
      <c r="F2040" t="str">
        <f t="shared" si="383"/>
        <v>COM</v>
      </c>
      <c r="G2040" t="str">
        <f t="shared" si="392"/>
        <v>RAFAEL PEDROSO DE CAMARA (975)</v>
      </c>
      <c r="H2040" t="str">
        <f>"Serv.Prest. 02/03/2026 a 08/03/2026 - PIX: CELULAR - CHAVE: (11) 99270-3082"</f>
        <v>Serv.Prest. 02/03/2026 a 08/03/2026 - PIX: CELULAR - CHAVE: (11) 99270-3082</v>
      </c>
      <c r="I2040" t="str">
        <f t="shared" si="382"/>
        <v>12/03/2026</v>
      </c>
      <c r="J2040" t="str">
        <f t="shared" si="384"/>
        <v>09/03/2026</v>
      </c>
      <c r="K2040" t="str">
        <f>("12/03/2026")</f>
        <v>12/03/2026</v>
      </c>
      <c r="L2040">
        <v>225</v>
      </c>
      <c r="M2040">
        <v>225</v>
      </c>
      <c r="N2040">
        <v>109</v>
      </c>
      <c r="O2040" t="str">
        <f>"PAGAMENTO DE ENTREGADORES"</f>
        <v>PAGAMENTO DE ENTREGADORES</v>
      </c>
      <c r="P2040">
        <v>225</v>
      </c>
      <c r="S2040" t="str">
        <f>"BANCO C6 (149)"</f>
        <v>BANCO C6 (149)</v>
      </c>
      <c r="T2040">
        <v>31077</v>
      </c>
      <c r="U2040">
        <v>34437</v>
      </c>
      <c r="V2040" t="s">
        <v>37</v>
      </c>
    </row>
    <row r="2041" spans="1:22">
      <c r="A2041" t="str">
        <f t="shared" si="386"/>
        <v>12/03/2026</v>
      </c>
      <c r="B2041" t="str">
        <f t="shared" si="393"/>
        <v>SAÍDA</v>
      </c>
      <c r="C2041" t="str">
        <f t="shared" si="381"/>
        <v>PIX</v>
      </c>
      <c r="D2041" t="str">
        <f>"34437"</f>
        <v>34437</v>
      </c>
      <c r="E2041" t="str">
        <f t="shared" si="387"/>
        <v>1</v>
      </c>
      <c r="F2041" t="str">
        <f t="shared" si="383"/>
        <v>COM</v>
      </c>
      <c r="G2041" t="str">
        <f t="shared" si="392"/>
        <v>RAFAEL PEDROSO DE CAMARA (975)</v>
      </c>
      <c r="H2041" t="s">
        <v>658</v>
      </c>
      <c r="I2041" t="str">
        <f t="shared" si="382"/>
        <v>12/03/2026</v>
      </c>
      <c r="J2041" t="str">
        <f t="shared" si="384"/>
        <v>09/03/2026</v>
      </c>
      <c r="K2041">
        <v>46093</v>
      </c>
      <c r="N2041">
        <v>109</v>
      </c>
      <c r="O2041" t="s">
        <v>27</v>
      </c>
      <c r="Q2041">
        <v>225</v>
      </c>
      <c r="R2041" t="str">
        <f>"PENSE FARMA 36 (10206)"</f>
        <v>PENSE FARMA 36 (10206)</v>
      </c>
      <c r="S2041" t="s">
        <v>37</v>
      </c>
      <c r="T2041">
        <v>31077</v>
      </c>
      <c r="U2041">
        <v>34437</v>
      </c>
      <c r="V2041" t="s">
        <v>37</v>
      </c>
    </row>
    <row r="2042" spans="1:22">
      <c r="A2042" t="str">
        <f t="shared" si="386"/>
        <v>12/03/2026</v>
      </c>
      <c r="B2042" t="str">
        <f t="shared" si="393"/>
        <v>SAÍDA</v>
      </c>
      <c r="C2042" t="str">
        <f t="shared" si="381"/>
        <v>PIX</v>
      </c>
      <c r="D2042" t="str">
        <f>"34438"</f>
        <v>34438</v>
      </c>
      <c r="E2042" t="str">
        <f t="shared" si="387"/>
        <v>1</v>
      </c>
      <c r="F2042" t="str">
        <f t="shared" si="383"/>
        <v>COM</v>
      </c>
      <c r="G2042" t="str">
        <f t="shared" si="392"/>
        <v>RAFAEL PEDROSO DE CAMARA (975)</v>
      </c>
      <c r="H2042" t="str">
        <f>"Serv.Prest. 02/03/2026 a 08/03/2026 - PIX: CELULAR - CHAVE: (11) 99270-3082"</f>
        <v>Serv.Prest. 02/03/2026 a 08/03/2026 - PIX: CELULAR - CHAVE: (11) 99270-3082</v>
      </c>
      <c r="I2042" t="str">
        <f t="shared" si="382"/>
        <v>12/03/2026</v>
      </c>
      <c r="J2042" t="str">
        <f t="shared" si="384"/>
        <v>09/03/2026</v>
      </c>
      <c r="K2042" t="str">
        <f>("12/03/2026")</f>
        <v>12/03/2026</v>
      </c>
      <c r="L2042">
        <v>225</v>
      </c>
      <c r="M2042">
        <v>225</v>
      </c>
      <c r="N2042">
        <v>109</v>
      </c>
      <c r="O2042" t="str">
        <f>"PAGAMENTO DE ENTREGADORES"</f>
        <v>PAGAMENTO DE ENTREGADORES</v>
      </c>
      <c r="P2042">
        <v>225</v>
      </c>
      <c r="S2042" t="str">
        <f>"BANCO C6 (149)"</f>
        <v>BANCO C6 (149)</v>
      </c>
      <c r="T2042">
        <v>31078</v>
      </c>
      <c r="U2042">
        <v>34438</v>
      </c>
      <c r="V2042" t="s">
        <v>37</v>
      </c>
    </row>
    <row r="2043" spans="1:22">
      <c r="A2043" t="str">
        <f t="shared" si="386"/>
        <v>12/03/2026</v>
      </c>
      <c r="B2043" t="str">
        <f t="shared" si="393"/>
        <v>SAÍDA</v>
      </c>
      <c r="C2043" t="str">
        <f t="shared" si="381"/>
        <v>PIX</v>
      </c>
      <c r="D2043" t="str">
        <f>"34438"</f>
        <v>34438</v>
      </c>
      <c r="E2043" t="str">
        <f t="shared" si="387"/>
        <v>1</v>
      </c>
      <c r="F2043" t="str">
        <f t="shared" si="383"/>
        <v>COM</v>
      </c>
      <c r="G2043" t="str">
        <f t="shared" si="392"/>
        <v>RAFAEL PEDROSO DE CAMARA (975)</v>
      </c>
      <c r="H2043" t="s">
        <v>658</v>
      </c>
      <c r="I2043" t="str">
        <f t="shared" si="382"/>
        <v>12/03/2026</v>
      </c>
      <c r="J2043" t="str">
        <f t="shared" si="384"/>
        <v>09/03/2026</v>
      </c>
      <c r="K2043">
        <v>46093</v>
      </c>
      <c r="N2043">
        <v>109</v>
      </c>
      <c r="O2043" t="s">
        <v>27</v>
      </c>
      <c r="Q2043">
        <v>225</v>
      </c>
      <c r="R2043" t="str">
        <f>"PENSE FARMA 40 (10207)"</f>
        <v>PENSE FARMA 40 (10207)</v>
      </c>
      <c r="S2043" t="s">
        <v>37</v>
      </c>
      <c r="T2043">
        <v>31078</v>
      </c>
      <c r="U2043">
        <v>34438</v>
      </c>
      <c r="V2043" t="s">
        <v>37</v>
      </c>
    </row>
    <row r="2044" spans="1:22">
      <c r="A2044" t="str">
        <f t="shared" si="386"/>
        <v>12/03/2026</v>
      </c>
      <c r="B2044" t="str">
        <f t="shared" si="393"/>
        <v>SAÍDA</v>
      </c>
      <c r="C2044" t="str">
        <f t="shared" si="381"/>
        <v>PIX</v>
      </c>
      <c r="D2044" t="str">
        <f>"34439"</f>
        <v>34439</v>
      </c>
      <c r="E2044" t="str">
        <f t="shared" si="387"/>
        <v>1</v>
      </c>
      <c r="F2044" t="str">
        <f t="shared" si="383"/>
        <v>COM</v>
      </c>
      <c r="G2044" t="str">
        <f t="shared" si="392"/>
        <v>RAFAEL PEDROSO DE CAMARA (975)</v>
      </c>
      <c r="H2044" t="str">
        <f>"Serv.Prest. 02/03/2026 a 08/03/2026 - PIX: CELULAR - CHAVE: (11) 99270-3082"</f>
        <v>Serv.Prest. 02/03/2026 a 08/03/2026 - PIX: CELULAR - CHAVE: (11) 99270-3082</v>
      </c>
      <c r="I2044" t="str">
        <f t="shared" si="382"/>
        <v>12/03/2026</v>
      </c>
      <c r="J2044" t="str">
        <f t="shared" si="384"/>
        <v>09/03/2026</v>
      </c>
      <c r="K2044" t="str">
        <f>("12/03/2026")</f>
        <v>12/03/2026</v>
      </c>
      <c r="L2044">
        <v>225</v>
      </c>
      <c r="M2044">
        <v>225</v>
      </c>
      <c r="N2044">
        <v>109</v>
      </c>
      <c r="O2044" t="str">
        <f>"PAGAMENTO DE ENTREGADORES"</f>
        <v>PAGAMENTO DE ENTREGADORES</v>
      </c>
      <c r="P2044">
        <v>225</v>
      </c>
      <c r="S2044" t="str">
        <f>"BANCO C6 (149)"</f>
        <v>BANCO C6 (149)</v>
      </c>
      <c r="T2044">
        <v>31079</v>
      </c>
      <c r="U2044">
        <v>34439</v>
      </c>
      <c r="V2044" t="s">
        <v>37</v>
      </c>
    </row>
    <row r="2045" spans="1:22">
      <c r="A2045" t="str">
        <f t="shared" si="386"/>
        <v>12/03/2026</v>
      </c>
      <c r="B2045" t="str">
        <f t="shared" si="393"/>
        <v>SAÍDA</v>
      </c>
      <c r="C2045" t="str">
        <f t="shared" si="381"/>
        <v>PIX</v>
      </c>
      <c r="D2045" t="str">
        <f>"34439"</f>
        <v>34439</v>
      </c>
      <c r="E2045" t="str">
        <f t="shared" si="387"/>
        <v>1</v>
      </c>
      <c r="F2045" t="str">
        <f t="shared" si="383"/>
        <v>COM</v>
      </c>
      <c r="G2045" t="str">
        <f t="shared" si="392"/>
        <v>RAFAEL PEDROSO DE CAMARA (975)</v>
      </c>
      <c r="H2045" t="s">
        <v>658</v>
      </c>
      <c r="I2045" t="str">
        <f t="shared" si="382"/>
        <v>12/03/2026</v>
      </c>
      <c r="J2045" t="str">
        <f t="shared" si="384"/>
        <v>09/03/2026</v>
      </c>
      <c r="K2045">
        <v>46093</v>
      </c>
      <c r="N2045">
        <v>109</v>
      </c>
      <c r="O2045" t="s">
        <v>27</v>
      </c>
      <c r="Q2045">
        <v>225</v>
      </c>
      <c r="R2045" t="str">
        <f>"PENSE FARMA 43 (10208)"</f>
        <v>PENSE FARMA 43 (10208)</v>
      </c>
      <c r="S2045" t="s">
        <v>37</v>
      </c>
      <c r="T2045">
        <v>31079</v>
      </c>
      <c r="U2045">
        <v>34439</v>
      </c>
      <c r="V2045" t="s">
        <v>37</v>
      </c>
    </row>
    <row r="2046" spans="1:22">
      <c r="A2046" t="str">
        <f t="shared" si="386"/>
        <v>12/03/2026</v>
      </c>
      <c r="B2046" t="str">
        <f t="shared" si="393"/>
        <v>SAÍDA</v>
      </c>
      <c r="C2046" t="str">
        <f t="shared" si="381"/>
        <v>PIX</v>
      </c>
      <c r="D2046" t="str">
        <f>"34440"</f>
        <v>34440</v>
      </c>
      <c r="E2046" t="str">
        <f t="shared" si="387"/>
        <v>1</v>
      </c>
      <c r="F2046" t="str">
        <f t="shared" si="383"/>
        <v>COM</v>
      </c>
      <c r="G2046" t="str">
        <f t="shared" si="392"/>
        <v>RAFAEL PEDROSO DE CAMARA (975)</v>
      </c>
      <c r="H2046" t="str">
        <f>"Serv.Prest. 02/03/2026 a 08/03/2026 - PIX: CELULAR - CHAVE: (11) 99270-3082"</f>
        <v>Serv.Prest. 02/03/2026 a 08/03/2026 - PIX: CELULAR - CHAVE: (11) 99270-3082</v>
      </c>
      <c r="I2046" t="str">
        <f t="shared" si="382"/>
        <v>12/03/2026</v>
      </c>
      <c r="J2046" t="str">
        <f t="shared" si="384"/>
        <v>09/03/2026</v>
      </c>
      <c r="K2046" t="str">
        <f>("12/03/2026")</f>
        <v>12/03/2026</v>
      </c>
      <c r="L2046">
        <v>225</v>
      </c>
      <c r="M2046">
        <v>225</v>
      </c>
      <c r="N2046">
        <v>109</v>
      </c>
      <c r="O2046" t="str">
        <f>"PAGAMENTO DE ENTREGADORES"</f>
        <v>PAGAMENTO DE ENTREGADORES</v>
      </c>
      <c r="P2046">
        <v>225</v>
      </c>
      <c r="S2046" t="str">
        <f>"BANCO C6 (149)"</f>
        <v>BANCO C6 (149)</v>
      </c>
      <c r="T2046">
        <v>31080</v>
      </c>
      <c r="U2046">
        <v>34440</v>
      </c>
      <c r="V2046" t="s">
        <v>37</v>
      </c>
    </row>
    <row r="2047" spans="1:22">
      <c r="A2047" t="str">
        <f t="shared" si="386"/>
        <v>12/03/2026</v>
      </c>
      <c r="B2047" t="str">
        <f t="shared" si="393"/>
        <v>SAÍDA</v>
      </c>
      <c r="C2047" t="str">
        <f t="shared" si="381"/>
        <v>PIX</v>
      </c>
      <c r="D2047" t="str">
        <f>"34440"</f>
        <v>34440</v>
      </c>
      <c r="E2047" t="str">
        <f t="shared" si="387"/>
        <v>1</v>
      </c>
      <c r="F2047" t="str">
        <f t="shared" si="383"/>
        <v>COM</v>
      </c>
      <c r="G2047" t="str">
        <f t="shared" si="392"/>
        <v>RAFAEL PEDROSO DE CAMARA (975)</v>
      </c>
      <c r="H2047" t="s">
        <v>658</v>
      </c>
      <c r="I2047" t="str">
        <f t="shared" si="382"/>
        <v>12/03/2026</v>
      </c>
      <c r="J2047" t="str">
        <f t="shared" si="384"/>
        <v>09/03/2026</v>
      </c>
      <c r="K2047">
        <v>46093</v>
      </c>
      <c r="N2047">
        <v>109</v>
      </c>
      <c r="O2047" t="s">
        <v>27</v>
      </c>
      <c r="Q2047">
        <v>225</v>
      </c>
      <c r="R2047" t="str">
        <f>"PENSE FARMA 59 (10211)"</f>
        <v>PENSE FARMA 59 (10211)</v>
      </c>
      <c r="S2047" t="s">
        <v>37</v>
      </c>
      <c r="T2047">
        <v>31080</v>
      </c>
      <c r="U2047">
        <v>34440</v>
      </c>
      <c r="V2047" t="s">
        <v>37</v>
      </c>
    </row>
    <row r="2048" spans="1:22">
      <c r="A2048" t="str">
        <f t="shared" si="386"/>
        <v>12/03/2026</v>
      </c>
      <c r="B2048" t="str">
        <f t="shared" si="393"/>
        <v>SAÍDA</v>
      </c>
      <c r="C2048" t="str">
        <f t="shared" ref="C2048:C2111" si="394">"PIX"</f>
        <v>PIX</v>
      </c>
      <c r="D2048" t="str">
        <f>"34441"</f>
        <v>34441</v>
      </c>
      <c r="E2048" t="str">
        <f t="shared" si="387"/>
        <v>1</v>
      </c>
      <c r="F2048" t="str">
        <f t="shared" si="383"/>
        <v>COM</v>
      </c>
      <c r="G2048" t="str">
        <f t="shared" si="392"/>
        <v>RAFAEL PEDROSO DE CAMARA (975)</v>
      </c>
      <c r="H2048" t="str">
        <f>"Serv.Prest. 02/03/2026 a 08/03/2026 - PIX: CELULAR - CHAVE: (11) 99270-3082"</f>
        <v>Serv.Prest. 02/03/2026 a 08/03/2026 - PIX: CELULAR - CHAVE: (11) 99270-3082</v>
      </c>
      <c r="I2048" t="str">
        <f t="shared" ref="I2048:I2111" si="395">("12/03/2026")</f>
        <v>12/03/2026</v>
      </c>
      <c r="J2048" t="str">
        <f t="shared" si="384"/>
        <v>09/03/2026</v>
      </c>
      <c r="K2048" t="str">
        <f>("12/03/2026")</f>
        <v>12/03/2026</v>
      </c>
      <c r="L2048">
        <v>250</v>
      </c>
      <c r="M2048">
        <v>250</v>
      </c>
      <c r="N2048">
        <v>109</v>
      </c>
      <c r="O2048" t="str">
        <f>"PAGAMENTO DE ENTREGADORES"</f>
        <v>PAGAMENTO DE ENTREGADORES</v>
      </c>
      <c r="P2048">
        <v>250</v>
      </c>
      <c r="S2048" t="str">
        <f>"BANCO C6 (149)"</f>
        <v>BANCO C6 (149)</v>
      </c>
      <c r="T2048">
        <v>31081</v>
      </c>
      <c r="U2048">
        <v>34441</v>
      </c>
      <c r="V2048" t="s">
        <v>37</v>
      </c>
    </row>
    <row r="2049" spans="1:22">
      <c r="A2049" t="str">
        <f t="shared" si="386"/>
        <v>12/03/2026</v>
      </c>
      <c r="B2049" t="str">
        <f t="shared" si="393"/>
        <v>SAÍDA</v>
      </c>
      <c r="C2049" t="str">
        <f t="shared" si="394"/>
        <v>PIX</v>
      </c>
      <c r="D2049" t="str">
        <f>"34441"</f>
        <v>34441</v>
      </c>
      <c r="E2049" t="str">
        <f t="shared" si="387"/>
        <v>1</v>
      </c>
      <c r="F2049" t="str">
        <f t="shared" si="383"/>
        <v>COM</v>
      </c>
      <c r="G2049" t="str">
        <f t="shared" si="392"/>
        <v>RAFAEL PEDROSO DE CAMARA (975)</v>
      </c>
      <c r="H2049" t="s">
        <v>658</v>
      </c>
      <c r="I2049" t="str">
        <f t="shared" si="395"/>
        <v>12/03/2026</v>
      </c>
      <c r="J2049" t="str">
        <f t="shared" si="384"/>
        <v>09/03/2026</v>
      </c>
      <c r="K2049">
        <v>46093</v>
      </c>
      <c r="N2049">
        <v>109</v>
      </c>
      <c r="O2049" t="s">
        <v>27</v>
      </c>
      <c r="Q2049">
        <v>250</v>
      </c>
      <c r="R2049" t="str">
        <f>"PENSE FARMA DARK STORE 361 (10212)"</f>
        <v>PENSE FARMA DARK STORE 361 (10212)</v>
      </c>
      <c r="S2049" t="s">
        <v>37</v>
      </c>
      <c r="T2049">
        <v>31081</v>
      </c>
      <c r="U2049">
        <v>34441</v>
      </c>
      <c r="V2049" t="s">
        <v>37</v>
      </c>
    </row>
    <row r="2050" spans="1:22">
      <c r="A2050" t="str">
        <f t="shared" si="386"/>
        <v>12/03/2026</v>
      </c>
      <c r="B2050" t="str">
        <f t="shared" si="393"/>
        <v>SAÍDA</v>
      </c>
      <c r="C2050" t="str">
        <f t="shared" si="394"/>
        <v>PIX</v>
      </c>
      <c r="D2050" t="str">
        <f>"34448"</f>
        <v>34448</v>
      </c>
      <c r="E2050" t="str">
        <f t="shared" si="387"/>
        <v>1</v>
      </c>
      <c r="F2050" t="str">
        <f t="shared" ref="F2050:F2113" si="396">"COM"</f>
        <v>COM</v>
      </c>
      <c r="G2050" t="str">
        <f>"MARCOS VINICIUS CORREIA JULI??O (1001)"</f>
        <v>MARCOS VINICIUS CORREIA JULI??O (1001)</v>
      </c>
      <c r="H2050" t="str">
        <f>"Serv.Prest. 02/03/2026 a 08/03/2026 - PIX: CELULAR - CHAVE: (11) 98144-5840"</f>
        <v>Serv.Prest. 02/03/2026 a 08/03/2026 - PIX: CELULAR - CHAVE: (11) 98144-5840</v>
      </c>
      <c r="I2050" t="str">
        <f t="shared" si="395"/>
        <v>12/03/2026</v>
      </c>
      <c r="J2050" t="str">
        <f t="shared" si="384"/>
        <v>09/03/2026</v>
      </c>
      <c r="K2050" t="str">
        <f>("12/03/2026")</f>
        <v>12/03/2026</v>
      </c>
      <c r="L2050">
        <v>335</v>
      </c>
      <c r="M2050">
        <v>335</v>
      </c>
      <c r="N2050">
        <v>109</v>
      </c>
      <c r="O2050" t="str">
        <f>"PAGAMENTO DE ENTREGADORES"</f>
        <v>PAGAMENTO DE ENTREGADORES</v>
      </c>
      <c r="P2050">
        <v>335</v>
      </c>
      <c r="S2050" t="str">
        <f>"BANCO C6 (149)"</f>
        <v>BANCO C6 (149)</v>
      </c>
      <c r="T2050">
        <v>31082</v>
      </c>
      <c r="U2050">
        <v>34448</v>
      </c>
      <c r="V2050" t="s">
        <v>37</v>
      </c>
    </row>
    <row r="2051" spans="1:22">
      <c r="A2051" t="str">
        <f t="shared" si="386"/>
        <v>12/03/2026</v>
      </c>
      <c r="B2051" t="str">
        <f t="shared" si="393"/>
        <v>SAÍDA</v>
      </c>
      <c r="C2051" t="str">
        <f t="shared" si="394"/>
        <v>PIX</v>
      </c>
      <c r="D2051" t="str">
        <f>"34448"</f>
        <v>34448</v>
      </c>
      <c r="E2051" t="str">
        <f t="shared" si="387"/>
        <v>1</v>
      </c>
      <c r="F2051" t="str">
        <f t="shared" si="396"/>
        <v>COM</v>
      </c>
      <c r="G2051" t="str">
        <f>"MARCOS VINICIUS CORREIA JULI??O (1001)"</f>
        <v>MARCOS VINICIUS CORREIA JULI??O (1001)</v>
      </c>
      <c r="H2051" t="s">
        <v>425</v>
      </c>
      <c r="I2051" t="str">
        <f t="shared" si="395"/>
        <v>12/03/2026</v>
      </c>
      <c r="J2051" t="str">
        <f t="shared" si="384"/>
        <v>09/03/2026</v>
      </c>
      <c r="K2051">
        <v>46093</v>
      </c>
      <c r="N2051">
        <v>109</v>
      </c>
      <c r="O2051" t="s">
        <v>27</v>
      </c>
      <c r="Q2051">
        <v>335</v>
      </c>
      <c r="R2051" t="str">
        <f>"PENSE FARMA 44 (10231)"</f>
        <v>PENSE FARMA 44 (10231)</v>
      </c>
      <c r="S2051" t="s">
        <v>37</v>
      </c>
      <c r="T2051">
        <v>31082</v>
      </c>
      <c r="U2051">
        <v>34448</v>
      </c>
      <c r="V2051" t="s">
        <v>37</v>
      </c>
    </row>
    <row r="2052" spans="1:22">
      <c r="A2052" t="str">
        <f t="shared" si="386"/>
        <v>12/03/2026</v>
      </c>
      <c r="B2052" t="str">
        <f t="shared" si="393"/>
        <v>SAÍDA</v>
      </c>
      <c r="C2052" t="str">
        <f t="shared" si="394"/>
        <v>PIX</v>
      </c>
      <c r="D2052" t="str">
        <f>"34449"</f>
        <v>34449</v>
      </c>
      <c r="E2052" t="str">
        <f t="shared" si="387"/>
        <v>1</v>
      </c>
      <c r="F2052" t="str">
        <f t="shared" si="396"/>
        <v>COM</v>
      </c>
      <c r="G2052" t="str">
        <f>"MARCOS VINICIUS CORREIA JULI??O (1001)"</f>
        <v>MARCOS VINICIUS CORREIA JULI??O (1001)</v>
      </c>
      <c r="H2052" t="str">
        <f>"Serv.Prest. 02/03/2026 a 08/03/2026 - PIX: CELULAR - CHAVE: (11) 98144-5840"</f>
        <v>Serv.Prest. 02/03/2026 a 08/03/2026 - PIX: CELULAR - CHAVE: (11) 98144-5840</v>
      </c>
      <c r="I2052" t="str">
        <f t="shared" si="395"/>
        <v>12/03/2026</v>
      </c>
      <c r="J2052" t="str">
        <f t="shared" ref="J2052:J2091" si="397">("09/03/2026")</f>
        <v>09/03/2026</v>
      </c>
      <c r="K2052" t="str">
        <f>("12/03/2026")</f>
        <v>12/03/2026</v>
      </c>
      <c r="L2052">
        <v>690</v>
      </c>
      <c r="M2052">
        <v>690</v>
      </c>
      <c r="N2052">
        <v>109</v>
      </c>
      <c r="O2052" t="str">
        <f>"PAGAMENTO DE ENTREGADORES"</f>
        <v>PAGAMENTO DE ENTREGADORES</v>
      </c>
      <c r="P2052">
        <v>690</v>
      </c>
      <c r="S2052" t="str">
        <f>"BANCO C6 (149)"</f>
        <v>BANCO C6 (149)</v>
      </c>
      <c r="T2052">
        <v>31083</v>
      </c>
      <c r="U2052">
        <v>34449</v>
      </c>
      <c r="V2052" t="s">
        <v>37</v>
      </c>
    </row>
    <row r="2053" spans="1:22">
      <c r="A2053" t="str">
        <f t="shared" si="386"/>
        <v>12/03/2026</v>
      </c>
      <c r="B2053" t="str">
        <f t="shared" si="393"/>
        <v>SAÍDA</v>
      </c>
      <c r="C2053" t="str">
        <f t="shared" si="394"/>
        <v>PIX</v>
      </c>
      <c r="D2053" t="str">
        <f>"34449"</f>
        <v>34449</v>
      </c>
      <c r="E2053" t="str">
        <f t="shared" si="387"/>
        <v>1</v>
      </c>
      <c r="F2053" t="str">
        <f t="shared" si="396"/>
        <v>COM</v>
      </c>
      <c r="G2053" t="str">
        <f>"MARCOS VINICIUS CORREIA JULI??O (1001)"</f>
        <v>MARCOS VINICIUS CORREIA JULI??O (1001)</v>
      </c>
      <c r="H2053" t="s">
        <v>425</v>
      </c>
      <c r="I2053" t="str">
        <f t="shared" si="395"/>
        <v>12/03/2026</v>
      </c>
      <c r="J2053" t="str">
        <f t="shared" si="397"/>
        <v>09/03/2026</v>
      </c>
      <c r="K2053">
        <v>46093</v>
      </c>
      <c r="N2053">
        <v>109</v>
      </c>
      <c r="O2053" t="s">
        <v>27</v>
      </c>
      <c r="Q2053">
        <v>690</v>
      </c>
      <c r="R2053" t="str">
        <f>"PENSE FARMA 48 (10233)"</f>
        <v>PENSE FARMA 48 (10233)</v>
      </c>
      <c r="S2053" t="s">
        <v>37</v>
      </c>
      <c r="T2053">
        <v>31083</v>
      </c>
      <c r="U2053">
        <v>34449</v>
      </c>
      <c r="V2053" t="s">
        <v>37</v>
      </c>
    </row>
    <row r="2054" spans="1:22">
      <c r="A2054" t="str">
        <f t="shared" si="386"/>
        <v>12/03/2026</v>
      </c>
      <c r="B2054" t="str">
        <f t="shared" si="393"/>
        <v>SAÍDA</v>
      </c>
      <c r="C2054" t="str">
        <f t="shared" si="394"/>
        <v>PIX</v>
      </c>
      <c r="D2054" t="str">
        <f>"34450"</f>
        <v>34450</v>
      </c>
      <c r="E2054" t="str">
        <f t="shared" si="387"/>
        <v>1</v>
      </c>
      <c r="F2054" t="str">
        <f t="shared" si="396"/>
        <v>COM</v>
      </c>
      <c r="G2054" t="str">
        <f>"VICTOR HUGO SOARES DE PAULA (1021)"</f>
        <v>VICTOR HUGO SOARES DE PAULA (1021)</v>
      </c>
      <c r="H2054" t="str">
        <f>"Serv.Prest. 02/03/2026 a 08/03/2026 - PIX: CELULAR - CHAVE: (11) 98281-4526"</f>
        <v>Serv.Prest. 02/03/2026 a 08/03/2026 - PIX: CELULAR - CHAVE: (11) 98281-4526</v>
      </c>
      <c r="I2054" t="str">
        <f t="shared" si="395"/>
        <v>12/03/2026</v>
      </c>
      <c r="J2054" t="str">
        <f t="shared" si="397"/>
        <v>09/03/2026</v>
      </c>
      <c r="K2054" t="str">
        <f>("12/03/2026")</f>
        <v>12/03/2026</v>
      </c>
      <c r="L2054">
        <v>560</v>
      </c>
      <c r="M2054">
        <v>560</v>
      </c>
      <c r="N2054">
        <v>109</v>
      </c>
      <c r="O2054" t="str">
        <f>"PAGAMENTO DE ENTREGADORES"</f>
        <v>PAGAMENTO DE ENTREGADORES</v>
      </c>
      <c r="P2054">
        <v>560</v>
      </c>
      <c r="S2054" t="str">
        <f>"BANCO C6 (149)"</f>
        <v>BANCO C6 (149)</v>
      </c>
      <c r="T2054">
        <v>31084</v>
      </c>
      <c r="U2054">
        <v>34450</v>
      </c>
      <c r="V2054" t="s">
        <v>37</v>
      </c>
    </row>
    <row r="2055" spans="1:22">
      <c r="A2055" t="str">
        <f t="shared" si="386"/>
        <v>12/03/2026</v>
      </c>
      <c r="B2055" t="str">
        <f t="shared" si="393"/>
        <v>SAÍDA</v>
      </c>
      <c r="C2055" t="str">
        <f t="shared" si="394"/>
        <v>PIX</v>
      </c>
      <c r="D2055" t="str">
        <f>"34450"</f>
        <v>34450</v>
      </c>
      <c r="E2055" t="str">
        <f t="shared" si="387"/>
        <v>1</v>
      </c>
      <c r="F2055" t="str">
        <f t="shared" si="396"/>
        <v>COM</v>
      </c>
      <c r="G2055" t="str">
        <f>"VICTOR HUGO SOARES DE PAULA (1021)"</f>
        <v>VICTOR HUGO SOARES DE PAULA (1021)</v>
      </c>
      <c r="H2055" t="s">
        <v>659</v>
      </c>
      <c r="I2055" t="str">
        <f t="shared" si="395"/>
        <v>12/03/2026</v>
      </c>
      <c r="J2055" t="str">
        <f t="shared" si="397"/>
        <v>09/03/2026</v>
      </c>
      <c r="K2055">
        <v>46093</v>
      </c>
      <c r="N2055">
        <v>109</v>
      </c>
      <c r="O2055" t="s">
        <v>27</v>
      </c>
      <c r="Q2055">
        <v>560</v>
      </c>
      <c r="R2055" t="str">
        <f>"PENSE FARMA 44 (10231)"</f>
        <v>PENSE FARMA 44 (10231)</v>
      </c>
      <c r="S2055" t="s">
        <v>37</v>
      </c>
      <c r="T2055">
        <v>31084</v>
      </c>
      <c r="U2055">
        <v>34450</v>
      </c>
      <c r="V2055" t="s">
        <v>37</v>
      </c>
    </row>
    <row r="2056" spans="1:22">
      <c r="A2056" t="str">
        <f t="shared" si="386"/>
        <v>12/03/2026</v>
      </c>
      <c r="B2056" t="str">
        <f t="shared" si="393"/>
        <v>SAÍDA</v>
      </c>
      <c r="C2056" t="str">
        <f t="shared" si="394"/>
        <v>PIX</v>
      </c>
      <c r="D2056" t="str">
        <f>"34451"</f>
        <v>34451</v>
      </c>
      <c r="E2056" t="str">
        <f t="shared" si="387"/>
        <v>1</v>
      </c>
      <c r="F2056" t="str">
        <f t="shared" si="396"/>
        <v>COM</v>
      </c>
      <c r="G2056" t="str">
        <f>"VICTOR HUGO SOARES DE PAULA (1021)"</f>
        <v>VICTOR HUGO SOARES DE PAULA (1021)</v>
      </c>
      <c r="H2056" t="str">
        <f>"Serv.Prest. 02/03/2026 a 08/03/2026 - PIX: CELULAR - CHAVE: (11) 98281-4526"</f>
        <v>Serv.Prest. 02/03/2026 a 08/03/2026 - PIX: CELULAR - CHAVE: (11) 98281-4526</v>
      </c>
      <c r="I2056" t="str">
        <f t="shared" si="395"/>
        <v>12/03/2026</v>
      </c>
      <c r="J2056" t="str">
        <f t="shared" si="397"/>
        <v>09/03/2026</v>
      </c>
      <c r="K2056" t="str">
        <f>("12/03/2026")</f>
        <v>12/03/2026</v>
      </c>
      <c r="L2056">
        <v>815</v>
      </c>
      <c r="M2056">
        <v>815</v>
      </c>
      <c r="N2056">
        <v>109</v>
      </c>
      <c r="O2056" t="str">
        <f>"PAGAMENTO DE ENTREGADORES"</f>
        <v>PAGAMENTO DE ENTREGADORES</v>
      </c>
      <c r="P2056">
        <v>815</v>
      </c>
      <c r="S2056" t="str">
        <f>"BANCO C6 (149)"</f>
        <v>BANCO C6 (149)</v>
      </c>
      <c r="T2056">
        <v>31085</v>
      </c>
      <c r="U2056">
        <v>34451</v>
      </c>
      <c r="V2056" t="s">
        <v>37</v>
      </c>
    </row>
    <row r="2057" spans="1:22">
      <c r="A2057" t="str">
        <f t="shared" ref="A2057:A2120" si="398">("12/03/2026")</f>
        <v>12/03/2026</v>
      </c>
      <c r="B2057" t="str">
        <f t="shared" si="393"/>
        <v>SAÍDA</v>
      </c>
      <c r="C2057" t="str">
        <f t="shared" si="394"/>
        <v>PIX</v>
      </c>
      <c r="D2057" t="str">
        <f>"34451"</f>
        <v>34451</v>
      </c>
      <c r="E2057" t="str">
        <f t="shared" ref="E2057:E2116" si="399">"1"</f>
        <v>1</v>
      </c>
      <c r="F2057" t="str">
        <f t="shared" si="396"/>
        <v>COM</v>
      </c>
      <c r="G2057" t="str">
        <f>"VICTOR HUGO SOARES DE PAULA (1021)"</f>
        <v>VICTOR HUGO SOARES DE PAULA (1021)</v>
      </c>
      <c r="H2057" t="s">
        <v>659</v>
      </c>
      <c r="I2057" t="str">
        <f t="shared" si="395"/>
        <v>12/03/2026</v>
      </c>
      <c r="J2057" t="str">
        <f t="shared" si="397"/>
        <v>09/03/2026</v>
      </c>
      <c r="K2057">
        <v>46093</v>
      </c>
      <c r="N2057">
        <v>109</v>
      </c>
      <c r="O2057" t="s">
        <v>27</v>
      </c>
      <c r="Q2057">
        <v>815</v>
      </c>
      <c r="R2057" t="str">
        <f>"PENSE FARMA 48 (10233)"</f>
        <v>PENSE FARMA 48 (10233)</v>
      </c>
      <c r="S2057" t="s">
        <v>37</v>
      </c>
      <c r="T2057">
        <v>31085</v>
      </c>
      <c r="U2057">
        <v>34451</v>
      </c>
      <c r="V2057" t="s">
        <v>37</v>
      </c>
    </row>
    <row r="2058" spans="1:22">
      <c r="A2058" t="str">
        <f t="shared" si="398"/>
        <v>12/03/2026</v>
      </c>
      <c r="B2058" t="str">
        <f t="shared" si="393"/>
        <v>SAÍDA</v>
      </c>
      <c r="C2058" t="str">
        <f t="shared" si="394"/>
        <v>PIX</v>
      </c>
      <c r="D2058" t="str">
        <f>"34453"</f>
        <v>34453</v>
      </c>
      <c r="E2058" t="str">
        <f t="shared" si="399"/>
        <v>1</v>
      </c>
      <c r="F2058" t="str">
        <f t="shared" si="396"/>
        <v>COM</v>
      </c>
      <c r="G2058" t="str">
        <f t="shared" ref="G2058:G2063" si="400">"DANILO VICENTE MARINHO SANTOS (1018)"</f>
        <v>DANILO VICENTE MARINHO SANTOS (1018)</v>
      </c>
      <c r="H2058" t="str">
        <f>"Serv.Prest. 02/03/2026 a 08/03/2026 - PIX: E-MAIL - CHAVE: vicentedanilo51@gmail.com"</f>
        <v>Serv.Prest. 02/03/2026 a 08/03/2026 - PIX: E-MAIL - CHAVE: vicentedanilo51@gmail.com</v>
      </c>
      <c r="I2058" t="str">
        <f t="shared" si="395"/>
        <v>12/03/2026</v>
      </c>
      <c r="J2058" t="str">
        <f t="shared" si="397"/>
        <v>09/03/2026</v>
      </c>
      <c r="K2058" t="str">
        <f>("12/03/2026")</f>
        <v>12/03/2026</v>
      </c>
      <c r="L2058">
        <v>10</v>
      </c>
      <c r="M2058">
        <v>10</v>
      </c>
      <c r="N2058">
        <v>109</v>
      </c>
      <c r="O2058" t="str">
        <f>"PAGAMENTO DE ENTREGADORES"</f>
        <v>PAGAMENTO DE ENTREGADORES</v>
      </c>
      <c r="P2058">
        <v>10</v>
      </c>
      <c r="S2058" t="str">
        <f>"BANCO C6 (149)"</f>
        <v>BANCO C6 (149)</v>
      </c>
      <c r="T2058">
        <v>31086</v>
      </c>
      <c r="U2058">
        <v>34453</v>
      </c>
      <c r="V2058" t="s">
        <v>37</v>
      </c>
    </row>
    <row r="2059" spans="1:22">
      <c r="A2059" t="str">
        <f t="shared" si="398"/>
        <v>12/03/2026</v>
      </c>
      <c r="B2059" t="str">
        <f t="shared" si="393"/>
        <v>SAÍDA</v>
      </c>
      <c r="C2059" t="str">
        <f t="shared" si="394"/>
        <v>PIX</v>
      </c>
      <c r="D2059" t="str">
        <f>"34453"</f>
        <v>34453</v>
      </c>
      <c r="E2059" t="str">
        <f t="shared" si="399"/>
        <v>1</v>
      </c>
      <c r="F2059" t="str">
        <f t="shared" si="396"/>
        <v>COM</v>
      </c>
      <c r="G2059" t="str">
        <f t="shared" si="400"/>
        <v>DANILO VICENTE MARINHO SANTOS (1018)</v>
      </c>
      <c r="H2059" t="s">
        <v>515</v>
      </c>
      <c r="I2059" t="str">
        <f t="shared" si="395"/>
        <v>12/03/2026</v>
      </c>
      <c r="J2059" t="str">
        <f t="shared" si="397"/>
        <v>09/03/2026</v>
      </c>
      <c r="K2059">
        <v>46093</v>
      </c>
      <c r="N2059">
        <v>109</v>
      </c>
      <c r="O2059" t="s">
        <v>27</v>
      </c>
      <c r="Q2059">
        <v>10</v>
      </c>
      <c r="R2059" t="str">
        <f>"PENSE FARMA 52 (10236)"</f>
        <v>PENSE FARMA 52 (10236)</v>
      </c>
      <c r="S2059" t="s">
        <v>37</v>
      </c>
      <c r="T2059">
        <v>31086</v>
      </c>
      <c r="U2059">
        <v>34453</v>
      </c>
      <c r="V2059" t="s">
        <v>37</v>
      </c>
    </row>
    <row r="2060" spans="1:22">
      <c r="A2060" t="str">
        <f t="shared" si="398"/>
        <v>12/03/2026</v>
      </c>
      <c r="B2060" t="str">
        <f t="shared" si="393"/>
        <v>SAÍDA</v>
      </c>
      <c r="C2060" t="str">
        <f t="shared" si="394"/>
        <v>PIX</v>
      </c>
      <c r="D2060" t="str">
        <f>"34454"</f>
        <v>34454</v>
      </c>
      <c r="E2060" t="str">
        <f t="shared" si="399"/>
        <v>1</v>
      </c>
      <c r="F2060" t="str">
        <f t="shared" si="396"/>
        <v>COM</v>
      </c>
      <c r="G2060" t="str">
        <f t="shared" si="400"/>
        <v>DANILO VICENTE MARINHO SANTOS (1018)</v>
      </c>
      <c r="H2060" t="str">
        <f>"Serv.Prest. 02/03/2026 a 08/03/2026 - PIX: E-MAIL - CHAVE: vicentedanilo51@gmail.com"</f>
        <v>Serv.Prest. 02/03/2026 a 08/03/2026 - PIX: E-MAIL - CHAVE: vicentedanilo51@gmail.com</v>
      </c>
      <c r="I2060" t="str">
        <f t="shared" si="395"/>
        <v>12/03/2026</v>
      </c>
      <c r="J2060" t="str">
        <f t="shared" si="397"/>
        <v>09/03/2026</v>
      </c>
      <c r="K2060" t="str">
        <f>("12/03/2026")</f>
        <v>12/03/2026</v>
      </c>
      <c r="L2060">
        <v>10</v>
      </c>
      <c r="M2060">
        <v>10</v>
      </c>
      <c r="N2060">
        <v>109</v>
      </c>
      <c r="O2060" t="str">
        <f>"PAGAMENTO DE ENTREGADORES"</f>
        <v>PAGAMENTO DE ENTREGADORES</v>
      </c>
      <c r="P2060">
        <v>10</v>
      </c>
      <c r="S2060" t="str">
        <f>"BANCO C6 (149)"</f>
        <v>BANCO C6 (149)</v>
      </c>
      <c r="T2060">
        <v>31087</v>
      </c>
      <c r="U2060">
        <v>34454</v>
      </c>
      <c r="V2060" t="s">
        <v>37</v>
      </c>
    </row>
    <row r="2061" spans="1:22">
      <c r="A2061" t="str">
        <f t="shared" si="398"/>
        <v>12/03/2026</v>
      </c>
      <c r="B2061" t="str">
        <f t="shared" si="393"/>
        <v>SAÍDA</v>
      </c>
      <c r="C2061" t="str">
        <f t="shared" si="394"/>
        <v>PIX</v>
      </c>
      <c r="D2061" t="str">
        <f>"34454"</f>
        <v>34454</v>
      </c>
      <c r="E2061" t="str">
        <f t="shared" si="399"/>
        <v>1</v>
      </c>
      <c r="F2061" t="str">
        <f t="shared" si="396"/>
        <v>COM</v>
      </c>
      <c r="G2061" t="str">
        <f t="shared" si="400"/>
        <v>DANILO VICENTE MARINHO SANTOS (1018)</v>
      </c>
      <c r="H2061" t="s">
        <v>515</v>
      </c>
      <c r="I2061" t="str">
        <f t="shared" si="395"/>
        <v>12/03/2026</v>
      </c>
      <c r="J2061" t="str">
        <f t="shared" si="397"/>
        <v>09/03/2026</v>
      </c>
      <c r="K2061">
        <v>46093</v>
      </c>
      <c r="N2061">
        <v>109</v>
      </c>
      <c r="O2061" t="s">
        <v>27</v>
      </c>
      <c r="Q2061">
        <v>10</v>
      </c>
      <c r="R2061" t="str">
        <f>"PENSE FARMA 42 (10230)"</f>
        <v>PENSE FARMA 42 (10230)</v>
      </c>
      <c r="S2061" t="s">
        <v>37</v>
      </c>
      <c r="T2061">
        <v>31087</v>
      </c>
      <c r="U2061">
        <v>34454</v>
      </c>
      <c r="V2061" t="s">
        <v>37</v>
      </c>
    </row>
    <row r="2062" spans="1:22">
      <c r="A2062" t="str">
        <f t="shared" si="398"/>
        <v>12/03/2026</v>
      </c>
      <c r="B2062" t="str">
        <f t="shared" si="393"/>
        <v>SAÍDA</v>
      </c>
      <c r="C2062" t="str">
        <f t="shared" si="394"/>
        <v>PIX</v>
      </c>
      <c r="D2062" t="str">
        <f>"34457"</f>
        <v>34457</v>
      </c>
      <c r="E2062" t="str">
        <f t="shared" si="399"/>
        <v>1</v>
      </c>
      <c r="F2062" t="str">
        <f t="shared" si="396"/>
        <v>COM</v>
      </c>
      <c r="G2062" t="str">
        <f t="shared" si="400"/>
        <v>DANILO VICENTE MARINHO SANTOS (1018)</v>
      </c>
      <c r="H2062" t="str">
        <f>"Serv.Prest. 02/03/2026 a 08/03/2026 - PIX: E-MAIL - CHAVE: vicentedanilo51@gmail.com"</f>
        <v>Serv.Prest. 02/03/2026 a 08/03/2026 - PIX: E-MAIL - CHAVE: vicentedanilo51@gmail.com</v>
      </c>
      <c r="I2062" t="str">
        <f t="shared" si="395"/>
        <v>12/03/2026</v>
      </c>
      <c r="J2062" t="str">
        <f t="shared" si="397"/>
        <v>09/03/2026</v>
      </c>
      <c r="K2062" t="str">
        <f>("12/03/2026")</f>
        <v>12/03/2026</v>
      </c>
      <c r="L2062">
        <v>145</v>
      </c>
      <c r="M2062">
        <v>145</v>
      </c>
      <c r="N2062">
        <v>109</v>
      </c>
      <c r="O2062" t="str">
        <f>"PAGAMENTO DE ENTREGADORES"</f>
        <v>PAGAMENTO DE ENTREGADORES</v>
      </c>
      <c r="P2062">
        <v>145</v>
      </c>
      <c r="S2062" t="str">
        <f>"BANCO C6 (149)"</f>
        <v>BANCO C6 (149)</v>
      </c>
      <c r="T2062">
        <v>31088</v>
      </c>
      <c r="U2062">
        <v>34457</v>
      </c>
      <c r="V2062" t="s">
        <v>37</v>
      </c>
    </row>
    <row r="2063" spans="1:22">
      <c r="A2063" t="str">
        <f t="shared" si="398"/>
        <v>12/03/2026</v>
      </c>
      <c r="B2063" t="str">
        <f t="shared" si="393"/>
        <v>SAÍDA</v>
      </c>
      <c r="C2063" t="str">
        <f t="shared" si="394"/>
        <v>PIX</v>
      </c>
      <c r="D2063" t="str">
        <f>"34457"</f>
        <v>34457</v>
      </c>
      <c r="E2063" t="str">
        <f t="shared" si="399"/>
        <v>1</v>
      </c>
      <c r="F2063" t="str">
        <f t="shared" si="396"/>
        <v>COM</v>
      </c>
      <c r="G2063" t="str">
        <f t="shared" si="400"/>
        <v>DANILO VICENTE MARINHO SANTOS (1018)</v>
      </c>
      <c r="H2063" t="s">
        <v>515</v>
      </c>
      <c r="I2063" t="str">
        <f t="shared" si="395"/>
        <v>12/03/2026</v>
      </c>
      <c r="J2063" t="str">
        <f t="shared" si="397"/>
        <v>09/03/2026</v>
      </c>
      <c r="K2063">
        <v>46093</v>
      </c>
      <c r="N2063">
        <v>109</v>
      </c>
      <c r="O2063" t="s">
        <v>27</v>
      </c>
      <c r="Q2063">
        <v>145</v>
      </c>
      <c r="R2063" t="str">
        <f>"PENSE FARMA 08 (10217)"</f>
        <v>PENSE FARMA 08 (10217)</v>
      </c>
      <c r="S2063" t="s">
        <v>37</v>
      </c>
      <c r="T2063">
        <v>31088</v>
      </c>
      <c r="U2063">
        <v>34457</v>
      </c>
      <c r="V2063" t="s">
        <v>37</v>
      </c>
    </row>
    <row r="2064" spans="1:22">
      <c r="A2064" t="str">
        <f t="shared" si="398"/>
        <v>12/03/2026</v>
      </c>
      <c r="B2064" t="str">
        <f t="shared" si="393"/>
        <v>SAÍDA</v>
      </c>
      <c r="C2064" t="str">
        <f t="shared" si="394"/>
        <v>PIX</v>
      </c>
      <c r="D2064" t="str">
        <f>"34458"</f>
        <v>34458</v>
      </c>
      <c r="E2064" t="str">
        <f t="shared" si="399"/>
        <v>1</v>
      </c>
      <c r="F2064" t="str">
        <f t="shared" si="396"/>
        <v>COM</v>
      </c>
      <c r="G2064" t="str">
        <f t="shared" ref="G2064:G2073" si="401">"EDUARDO RODRIGUES ALVES STEPHANO (999)"</f>
        <v>EDUARDO RODRIGUES ALVES STEPHANO (999)</v>
      </c>
      <c r="H2064" t="str">
        <f>"Serv.Prest. 02/03/2026 a 08/03/2026 - PIX: CPF - CHAVE: 370.849.948-40"</f>
        <v>Serv.Prest. 02/03/2026 a 08/03/2026 - PIX: CPF - CHAVE: 370.849.948-40</v>
      </c>
      <c r="I2064" t="str">
        <f t="shared" si="395"/>
        <v>12/03/2026</v>
      </c>
      <c r="J2064" t="str">
        <f t="shared" si="397"/>
        <v>09/03/2026</v>
      </c>
      <c r="K2064" t="str">
        <f>("12/03/2026")</f>
        <v>12/03/2026</v>
      </c>
      <c r="L2064">
        <v>290</v>
      </c>
      <c r="M2064">
        <v>290</v>
      </c>
      <c r="N2064">
        <v>109</v>
      </c>
      <c r="O2064" t="str">
        <f>"PAGAMENTO DE ENTREGADORES"</f>
        <v>PAGAMENTO DE ENTREGADORES</v>
      </c>
      <c r="P2064">
        <v>290</v>
      </c>
      <c r="S2064" t="str">
        <f>"BANCO C6 (149)"</f>
        <v>BANCO C6 (149)</v>
      </c>
      <c r="T2064">
        <v>31089</v>
      </c>
      <c r="U2064">
        <v>34458</v>
      </c>
      <c r="V2064" t="s">
        <v>37</v>
      </c>
    </row>
    <row r="2065" spans="1:22">
      <c r="A2065" t="str">
        <f t="shared" si="398"/>
        <v>12/03/2026</v>
      </c>
      <c r="B2065" t="str">
        <f t="shared" si="393"/>
        <v>SAÍDA</v>
      </c>
      <c r="C2065" t="str">
        <f t="shared" si="394"/>
        <v>PIX</v>
      </c>
      <c r="D2065" t="str">
        <f>"34458"</f>
        <v>34458</v>
      </c>
      <c r="E2065" t="str">
        <f t="shared" si="399"/>
        <v>1</v>
      </c>
      <c r="F2065" t="str">
        <f t="shared" si="396"/>
        <v>COM</v>
      </c>
      <c r="G2065" t="str">
        <f t="shared" si="401"/>
        <v>EDUARDO RODRIGUES ALVES STEPHANO (999)</v>
      </c>
      <c r="H2065" t="s">
        <v>660</v>
      </c>
      <c r="I2065" t="str">
        <f t="shared" si="395"/>
        <v>12/03/2026</v>
      </c>
      <c r="J2065" t="str">
        <f t="shared" si="397"/>
        <v>09/03/2026</v>
      </c>
      <c r="K2065">
        <v>46093</v>
      </c>
      <c r="N2065">
        <v>109</v>
      </c>
      <c r="O2065" t="s">
        <v>27</v>
      </c>
      <c r="Q2065">
        <v>290</v>
      </c>
      <c r="R2065" t="str">
        <f>"PENSE FARMA 52 (10236)"</f>
        <v>PENSE FARMA 52 (10236)</v>
      </c>
      <c r="S2065" t="s">
        <v>37</v>
      </c>
      <c r="T2065">
        <v>31089</v>
      </c>
      <c r="U2065">
        <v>34458</v>
      </c>
      <c r="V2065" t="s">
        <v>37</v>
      </c>
    </row>
    <row r="2066" spans="1:22">
      <c r="A2066" t="str">
        <f t="shared" si="398"/>
        <v>12/03/2026</v>
      </c>
      <c r="B2066" t="str">
        <f t="shared" si="393"/>
        <v>SAÍDA</v>
      </c>
      <c r="C2066" t="str">
        <f t="shared" si="394"/>
        <v>PIX</v>
      </c>
      <c r="D2066" t="str">
        <f>"34459"</f>
        <v>34459</v>
      </c>
      <c r="E2066" t="str">
        <f t="shared" si="399"/>
        <v>1</v>
      </c>
      <c r="F2066" t="str">
        <f t="shared" si="396"/>
        <v>COM</v>
      </c>
      <c r="G2066" t="str">
        <f t="shared" si="401"/>
        <v>EDUARDO RODRIGUES ALVES STEPHANO (999)</v>
      </c>
      <c r="H2066" t="str">
        <f>"Serv.Prest. 02/03/2026 a 08/03/2026 - PIX: CPF - CHAVE: 370.849.948-40"</f>
        <v>Serv.Prest. 02/03/2026 a 08/03/2026 - PIX: CPF - CHAVE: 370.849.948-40</v>
      </c>
      <c r="I2066" t="str">
        <f t="shared" si="395"/>
        <v>12/03/2026</v>
      </c>
      <c r="J2066" t="str">
        <f t="shared" si="397"/>
        <v>09/03/2026</v>
      </c>
      <c r="K2066" t="str">
        <f>("12/03/2026")</f>
        <v>12/03/2026</v>
      </c>
      <c r="L2066">
        <v>270</v>
      </c>
      <c r="M2066">
        <v>270</v>
      </c>
      <c r="N2066">
        <v>109</v>
      </c>
      <c r="O2066" t="str">
        <f>"PAGAMENTO DE ENTREGADORES"</f>
        <v>PAGAMENTO DE ENTREGADORES</v>
      </c>
      <c r="P2066">
        <v>270</v>
      </c>
      <c r="S2066" t="str">
        <f>"BANCO C6 (149)"</f>
        <v>BANCO C6 (149)</v>
      </c>
      <c r="T2066">
        <v>31090</v>
      </c>
      <c r="U2066">
        <v>34459</v>
      </c>
      <c r="V2066" t="s">
        <v>37</v>
      </c>
    </row>
    <row r="2067" spans="1:22">
      <c r="A2067" t="str">
        <f t="shared" si="398"/>
        <v>12/03/2026</v>
      </c>
      <c r="B2067" t="str">
        <f t="shared" si="393"/>
        <v>SAÍDA</v>
      </c>
      <c r="C2067" t="str">
        <f t="shared" si="394"/>
        <v>PIX</v>
      </c>
      <c r="D2067" t="str">
        <f>"34459"</f>
        <v>34459</v>
      </c>
      <c r="E2067" t="str">
        <f t="shared" si="399"/>
        <v>1</v>
      </c>
      <c r="F2067" t="str">
        <f t="shared" si="396"/>
        <v>COM</v>
      </c>
      <c r="G2067" t="str">
        <f t="shared" si="401"/>
        <v>EDUARDO RODRIGUES ALVES STEPHANO (999)</v>
      </c>
      <c r="H2067" t="s">
        <v>660</v>
      </c>
      <c r="I2067" t="str">
        <f t="shared" si="395"/>
        <v>12/03/2026</v>
      </c>
      <c r="J2067" t="str">
        <f t="shared" si="397"/>
        <v>09/03/2026</v>
      </c>
      <c r="K2067">
        <v>46093</v>
      </c>
      <c r="N2067">
        <v>109</v>
      </c>
      <c r="O2067" t="s">
        <v>27</v>
      </c>
      <c r="Q2067">
        <v>270</v>
      </c>
      <c r="R2067" t="str">
        <f>"PENSE FARMA 42 (10230)"</f>
        <v>PENSE FARMA 42 (10230)</v>
      </c>
      <c r="S2067" t="s">
        <v>37</v>
      </c>
      <c r="T2067">
        <v>31090</v>
      </c>
      <c r="U2067">
        <v>34459</v>
      </c>
      <c r="V2067" t="s">
        <v>37</v>
      </c>
    </row>
    <row r="2068" spans="1:22">
      <c r="A2068" t="str">
        <f t="shared" si="398"/>
        <v>12/03/2026</v>
      </c>
      <c r="B2068" t="str">
        <f t="shared" si="393"/>
        <v>SAÍDA</v>
      </c>
      <c r="C2068" t="str">
        <f t="shared" si="394"/>
        <v>PIX</v>
      </c>
      <c r="D2068" t="str">
        <f>"34460"</f>
        <v>34460</v>
      </c>
      <c r="E2068" t="str">
        <f t="shared" si="399"/>
        <v>1</v>
      </c>
      <c r="F2068" t="str">
        <f t="shared" si="396"/>
        <v>COM</v>
      </c>
      <c r="G2068" t="str">
        <f t="shared" si="401"/>
        <v>EDUARDO RODRIGUES ALVES STEPHANO (999)</v>
      </c>
      <c r="H2068" t="str">
        <f>"Serv.Prest. 02/03/2026 a 08/03/2026 - PIX: CPF - CHAVE: 370.849.948-40"</f>
        <v>Serv.Prest. 02/03/2026 a 08/03/2026 - PIX: CPF - CHAVE: 370.849.948-40</v>
      </c>
      <c r="I2068" t="str">
        <f t="shared" si="395"/>
        <v>12/03/2026</v>
      </c>
      <c r="J2068" t="str">
        <f t="shared" si="397"/>
        <v>09/03/2026</v>
      </c>
      <c r="K2068" t="str">
        <f>("12/03/2026")</f>
        <v>12/03/2026</v>
      </c>
      <c r="L2068">
        <v>270</v>
      </c>
      <c r="M2068">
        <v>270</v>
      </c>
      <c r="N2068">
        <v>109</v>
      </c>
      <c r="O2068" t="str">
        <f>"PAGAMENTO DE ENTREGADORES"</f>
        <v>PAGAMENTO DE ENTREGADORES</v>
      </c>
      <c r="P2068">
        <v>270</v>
      </c>
      <c r="S2068" t="str">
        <f>"BANCO C6 (149)"</f>
        <v>BANCO C6 (149)</v>
      </c>
      <c r="T2068">
        <v>31091</v>
      </c>
      <c r="U2068">
        <v>34460</v>
      </c>
      <c r="V2068" t="s">
        <v>37</v>
      </c>
    </row>
    <row r="2069" spans="1:22">
      <c r="A2069" t="str">
        <f t="shared" si="398"/>
        <v>12/03/2026</v>
      </c>
      <c r="B2069" t="str">
        <f t="shared" si="393"/>
        <v>SAÍDA</v>
      </c>
      <c r="C2069" t="str">
        <f t="shared" si="394"/>
        <v>PIX</v>
      </c>
      <c r="D2069" t="str">
        <f>"34460"</f>
        <v>34460</v>
      </c>
      <c r="E2069" t="str">
        <f t="shared" si="399"/>
        <v>1</v>
      </c>
      <c r="F2069" t="str">
        <f t="shared" si="396"/>
        <v>COM</v>
      </c>
      <c r="G2069" t="str">
        <f t="shared" si="401"/>
        <v>EDUARDO RODRIGUES ALVES STEPHANO (999)</v>
      </c>
      <c r="H2069" t="s">
        <v>660</v>
      </c>
      <c r="I2069" t="str">
        <f t="shared" si="395"/>
        <v>12/03/2026</v>
      </c>
      <c r="J2069" t="str">
        <f t="shared" si="397"/>
        <v>09/03/2026</v>
      </c>
      <c r="K2069">
        <v>46093</v>
      </c>
      <c r="N2069">
        <v>109</v>
      </c>
      <c r="O2069" t="s">
        <v>27</v>
      </c>
      <c r="Q2069">
        <v>270</v>
      </c>
      <c r="R2069" t="str">
        <f>"PENSE FARMA 41 (10229)"</f>
        <v>PENSE FARMA 41 (10229)</v>
      </c>
      <c r="S2069" t="s">
        <v>37</v>
      </c>
      <c r="T2069">
        <v>31091</v>
      </c>
      <c r="U2069">
        <v>34460</v>
      </c>
      <c r="V2069" t="s">
        <v>37</v>
      </c>
    </row>
    <row r="2070" spans="1:22">
      <c r="A2070" t="str">
        <f t="shared" si="398"/>
        <v>12/03/2026</v>
      </c>
      <c r="B2070" t="str">
        <f t="shared" si="393"/>
        <v>SAÍDA</v>
      </c>
      <c r="C2070" t="str">
        <f t="shared" si="394"/>
        <v>PIX</v>
      </c>
      <c r="D2070" t="str">
        <f>"34461"</f>
        <v>34461</v>
      </c>
      <c r="E2070" t="str">
        <f t="shared" si="399"/>
        <v>1</v>
      </c>
      <c r="F2070" t="str">
        <f t="shared" si="396"/>
        <v>COM</v>
      </c>
      <c r="G2070" t="str">
        <f t="shared" si="401"/>
        <v>EDUARDO RODRIGUES ALVES STEPHANO (999)</v>
      </c>
      <c r="H2070" t="str">
        <f>"Serv.Prest. 02/03/2026 a 08/03/2026 - PIX: CPF - CHAVE: 370.849.948-40"</f>
        <v>Serv.Prest. 02/03/2026 a 08/03/2026 - PIX: CPF - CHAVE: 370.849.948-40</v>
      </c>
      <c r="I2070" t="str">
        <f t="shared" si="395"/>
        <v>12/03/2026</v>
      </c>
      <c r="J2070" t="str">
        <f t="shared" si="397"/>
        <v>09/03/2026</v>
      </c>
      <c r="K2070" t="str">
        <f>("12/03/2026")</f>
        <v>12/03/2026</v>
      </c>
      <c r="L2070">
        <v>270</v>
      </c>
      <c r="M2070">
        <v>270</v>
      </c>
      <c r="N2070">
        <v>109</v>
      </c>
      <c r="O2070" t="str">
        <f>"PAGAMENTO DE ENTREGADORES"</f>
        <v>PAGAMENTO DE ENTREGADORES</v>
      </c>
      <c r="P2070">
        <v>270</v>
      </c>
      <c r="S2070" t="str">
        <f>"BANCO C6 (149)"</f>
        <v>BANCO C6 (149)</v>
      </c>
      <c r="T2070">
        <v>31092</v>
      </c>
      <c r="U2070">
        <v>34461</v>
      </c>
      <c r="V2070" t="s">
        <v>37</v>
      </c>
    </row>
    <row r="2071" spans="1:22">
      <c r="A2071" t="str">
        <f t="shared" si="398"/>
        <v>12/03/2026</v>
      </c>
      <c r="B2071" t="str">
        <f t="shared" si="393"/>
        <v>SAÍDA</v>
      </c>
      <c r="C2071" t="str">
        <f t="shared" si="394"/>
        <v>PIX</v>
      </c>
      <c r="D2071" t="str">
        <f>"34461"</f>
        <v>34461</v>
      </c>
      <c r="E2071" t="str">
        <f t="shared" si="399"/>
        <v>1</v>
      </c>
      <c r="F2071" t="str">
        <f t="shared" si="396"/>
        <v>COM</v>
      </c>
      <c r="G2071" t="str">
        <f t="shared" si="401"/>
        <v>EDUARDO RODRIGUES ALVES STEPHANO (999)</v>
      </c>
      <c r="H2071" t="s">
        <v>660</v>
      </c>
      <c r="I2071" t="str">
        <f t="shared" si="395"/>
        <v>12/03/2026</v>
      </c>
      <c r="J2071" t="str">
        <f t="shared" si="397"/>
        <v>09/03/2026</v>
      </c>
      <c r="K2071">
        <v>46093</v>
      </c>
      <c r="N2071">
        <v>109</v>
      </c>
      <c r="O2071" t="s">
        <v>27</v>
      </c>
      <c r="Q2071">
        <v>270</v>
      </c>
      <c r="R2071" t="str">
        <f>"PENSE FARMA 11 (10220)"</f>
        <v>PENSE FARMA 11 (10220)</v>
      </c>
      <c r="S2071" t="s">
        <v>37</v>
      </c>
      <c r="T2071">
        <v>31092</v>
      </c>
      <c r="U2071">
        <v>34461</v>
      </c>
      <c r="V2071" t="s">
        <v>37</v>
      </c>
    </row>
    <row r="2072" spans="1:22">
      <c r="A2072" t="str">
        <f t="shared" si="398"/>
        <v>12/03/2026</v>
      </c>
      <c r="B2072" t="str">
        <f t="shared" si="393"/>
        <v>SAÍDA</v>
      </c>
      <c r="C2072" t="str">
        <f t="shared" si="394"/>
        <v>PIX</v>
      </c>
      <c r="D2072" t="str">
        <f>"34462"</f>
        <v>34462</v>
      </c>
      <c r="E2072" t="str">
        <f t="shared" si="399"/>
        <v>1</v>
      </c>
      <c r="F2072" t="str">
        <f t="shared" si="396"/>
        <v>COM</v>
      </c>
      <c r="G2072" t="str">
        <f t="shared" si="401"/>
        <v>EDUARDO RODRIGUES ALVES STEPHANO (999)</v>
      </c>
      <c r="H2072" t="str">
        <f>"Serv.Prest. 02/03/2026 a 08/03/2026 - PIX: CPF - CHAVE: 370.849.948-40"</f>
        <v>Serv.Prest. 02/03/2026 a 08/03/2026 - PIX: CPF - CHAVE: 370.849.948-40</v>
      </c>
      <c r="I2072" t="str">
        <f t="shared" si="395"/>
        <v>12/03/2026</v>
      </c>
      <c r="J2072" t="str">
        <f t="shared" si="397"/>
        <v>09/03/2026</v>
      </c>
      <c r="K2072" t="str">
        <f>("12/03/2026")</f>
        <v>12/03/2026</v>
      </c>
      <c r="L2072">
        <v>270</v>
      </c>
      <c r="M2072">
        <v>270</v>
      </c>
      <c r="N2072">
        <v>109</v>
      </c>
      <c r="O2072" t="str">
        <f>"PAGAMENTO DE ENTREGADORES"</f>
        <v>PAGAMENTO DE ENTREGADORES</v>
      </c>
      <c r="P2072">
        <v>270</v>
      </c>
      <c r="S2072" t="str">
        <f>"BANCO C6 (149)"</f>
        <v>BANCO C6 (149)</v>
      </c>
      <c r="T2072">
        <v>31093</v>
      </c>
      <c r="U2072">
        <v>34462</v>
      </c>
      <c r="V2072" t="s">
        <v>37</v>
      </c>
    </row>
    <row r="2073" spans="1:22">
      <c r="A2073" t="str">
        <f t="shared" si="398"/>
        <v>12/03/2026</v>
      </c>
      <c r="B2073" t="str">
        <f t="shared" si="393"/>
        <v>SAÍDA</v>
      </c>
      <c r="C2073" t="str">
        <f t="shared" si="394"/>
        <v>PIX</v>
      </c>
      <c r="D2073" t="str">
        <f>"34462"</f>
        <v>34462</v>
      </c>
      <c r="E2073" t="str">
        <f t="shared" si="399"/>
        <v>1</v>
      </c>
      <c r="F2073" t="str">
        <f t="shared" si="396"/>
        <v>COM</v>
      </c>
      <c r="G2073" t="str">
        <f t="shared" si="401"/>
        <v>EDUARDO RODRIGUES ALVES STEPHANO (999)</v>
      </c>
      <c r="H2073" t="s">
        <v>660</v>
      </c>
      <c r="I2073" t="str">
        <f t="shared" si="395"/>
        <v>12/03/2026</v>
      </c>
      <c r="J2073" t="str">
        <f t="shared" si="397"/>
        <v>09/03/2026</v>
      </c>
      <c r="K2073">
        <v>46093</v>
      </c>
      <c r="N2073">
        <v>109</v>
      </c>
      <c r="O2073" t="s">
        <v>27</v>
      </c>
      <c r="Q2073">
        <v>270</v>
      </c>
      <c r="R2073" t="str">
        <f>"PENSE FARMA 08 (10217)"</f>
        <v>PENSE FARMA 08 (10217)</v>
      </c>
      <c r="S2073" t="s">
        <v>37</v>
      </c>
      <c r="T2073">
        <v>31093</v>
      </c>
      <c r="U2073">
        <v>34462</v>
      </c>
      <c r="V2073" t="s">
        <v>37</v>
      </c>
    </row>
    <row r="2074" spans="1:22">
      <c r="A2074" t="str">
        <f t="shared" si="398"/>
        <v>12/03/2026</v>
      </c>
      <c r="B2074" t="str">
        <f t="shared" si="393"/>
        <v>SAÍDA</v>
      </c>
      <c r="C2074" t="str">
        <f t="shared" si="394"/>
        <v>PIX</v>
      </c>
      <c r="D2074" t="str">
        <f>"34464"</f>
        <v>34464</v>
      </c>
      <c r="E2074" t="str">
        <f t="shared" si="399"/>
        <v>1</v>
      </c>
      <c r="F2074" t="str">
        <f t="shared" si="396"/>
        <v>COM</v>
      </c>
      <c r="G2074" t="str">
        <f>"JUAM SANGUINETE (1)"</f>
        <v>JUAM SANGUINETE (1)</v>
      </c>
      <c r="H2074" t="str">
        <f>"Serv.Prest. 02/03/2026 a 08/03/2026 - PIX: NÃO CADASTRADO - CHAVE: -"</f>
        <v>Serv.Prest. 02/03/2026 a 08/03/2026 - PIX: NÃO CADASTRADO - CHAVE: -</v>
      </c>
      <c r="I2074" t="str">
        <f t="shared" si="395"/>
        <v>12/03/2026</v>
      </c>
      <c r="J2074" t="str">
        <f t="shared" si="397"/>
        <v>09/03/2026</v>
      </c>
      <c r="K2074" t="str">
        <f>("12/03/2026")</f>
        <v>12/03/2026</v>
      </c>
      <c r="L2074">
        <v>600</v>
      </c>
      <c r="M2074">
        <v>600</v>
      </c>
      <c r="N2074">
        <v>109</v>
      </c>
      <c r="O2074" t="str">
        <f>"PAGAMENTO DE ENTREGADORES"</f>
        <v>PAGAMENTO DE ENTREGADORES</v>
      </c>
      <c r="P2074">
        <v>600</v>
      </c>
      <c r="S2074" t="str">
        <f>"BANCO C6 (149)"</f>
        <v>BANCO C6 (149)</v>
      </c>
      <c r="T2074">
        <v>31094</v>
      </c>
      <c r="U2074">
        <v>34464</v>
      </c>
      <c r="V2074" t="s">
        <v>37</v>
      </c>
    </row>
    <row r="2075" spans="1:22">
      <c r="A2075" t="str">
        <f t="shared" si="398"/>
        <v>12/03/2026</v>
      </c>
      <c r="B2075" t="str">
        <f t="shared" si="393"/>
        <v>SAÍDA</v>
      </c>
      <c r="C2075" t="str">
        <f t="shared" si="394"/>
        <v>PIX</v>
      </c>
      <c r="D2075" t="str">
        <f>"34464"</f>
        <v>34464</v>
      </c>
      <c r="E2075" t="str">
        <f t="shared" si="399"/>
        <v>1</v>
      </c>
      <c r="F2075" t="str">
        <f t="shared" si="396"/>
        <v>COM</v>
      </c>
      <c r="G2075" t="str">
        <f>"JUAM SANGUINETE (1)"</f>
        <v>JUAM SANGUINETE (1)</v>
      </c>
      <c r="H2075" t="s">
        <v>661</v>
      </c>
      <c r="I2075" t="str">
        <f t="shared" si="395"/>
        <v>12/03/2026</v>
      </c>
      <c r="J2075" t="str">
        <f t="shared" si="397"/>
        <v>09/03/2026</v>
      </c>
      <c r="K2075">
        <v>46093</v>
      </c>
      <c r="N2075">
        <v>109</v>
      </c>
      <c r="O2075" t="s">
        <v>27</v>
      </c>
      <c r="Q2075">
        <v>600</v>
      </c>
      <c r="R2075" t="str">
        <f>"PENSE FARMA 08 (10217)"</f>
        <v>PENSE FARMA 08 (10217)</v>
      </c>
      <c r="S2075" t="s">
        <v>37</v>
      </c>
      <c r="T2075">
        <v>31094</v>
      </c>
      <c r="U2075">
        <v>34464</v>
      </c>
      <c r="V2075" t="s">
        <v>37</v>
      </c>
    </row>
    <row r="2076" spans="1:22">
      <c r="A2076" t="str">
        <f t="shared" si="398"/>
        <v>12/03/2026</v>
      </c>
      <c r="B2076" t="str">
        <f t="shared" si="393"/>
        <v>SAÍDA</v>
      </c>
      <c r="C2076" t="str">
        <f t="shared" si="394"/>
        <v>PIX</v>
      </c>
      <c r="D2076" t="str">
        <f>"34466"</f>
        <v>34466</v>
      </c>
      <c r="E2076" t="str">
        <f t="shared" si="399"/>
        <v>1</v>
      </c>
      <c r="F2076" t="str">
        <f t="shared" si="396"/>
        <v>COM</v>
      </c>
      <c r="G2076" t="str">
        <f>"MARCOS DUARTE CARVALHO (998)"</f>
        <v>MARCOS DUARTE CARVALHO (998)</v>
      </c>
      <c r="H2076" t="str">
        <f>"Serv.Prest. 02/03/2026 a 08/03/2026 - PIX: CPF - CHAVE: 396.877.618-65"</f>
        <v>Serv.Prest. 02/03/2026 a 08/03/2026 - PIX: CPF - CHAVE: 396.877.618-65</v>
      </c>
      <c r="I2076" t="str">
        <f t="shared" si="395"/>
        <v>12/03/2026</v>
      </c>
      <c r="J2076" t="str">
        <f t="shared" si="397"/>
        <v>09/03/2026</v>
      </c>
      <c r="K2076" t="str">
        <f>("12/03/2026")</f>
        <v>12/03/2026</v>
      </c>
      <c r="L2076">
        <v>560</v>
      </c>
      <c r="M2076">
        <v>560</v>
      </c>
      <c r="N2076">
        <v>109</v>
      </c>
      <c r="O2076" t="str">
        <f>"PAGAMENTO DE ENTREGADORES"</f>
        <v>PAGAMENTO DE ENTREGADORES</v>
      </c>
      <c r="P2076">
        <v>560</v>
      </c>
      <c r="S2076" t="str">
        <f>"BANCO C6 (149)"</f>
        <v>BANCO C6 (149)</v>
      </c>
      <c r="T2076">
        <v>31095</v>
      </c>
      <c r="U2076">
        <v>34466</v>
      </c>
      <c r="V2076" t="s">
        <v>37</v>
      </c>
    </row>
    <row r="2077" spans="1:22">
      <c r="A2077" t="str">
        <f t="shared" si="398"/>
        <v>12/03/2026</v>
      </c>
      <c r="B2077" t="str">
        <f t="shared" si="393"/>
        <v>SAÍDA</v>
      </c>
      <c r="C2077" t="str">
        <f t="shared" si="394"/>
        <v>PIX</v>
      </c>
      <c r="D2077" t="str">
        <f>"34466"</f>
        <v>34466</v>
      </c>
      <c r="E2077" t="str">
        <f t="shared" si="399"/>
        <v>1</v>
      </c>
      <c r="F2077" t="str">
        <f t="shared" si="396"/>
        <v>COM</v>
      </c>
      <c r="G2077" t="str">
        <f>"MARCOS DUARTE CARVALHO (998)"</f>
        <v>MARCOS DUARTE CARVALHO (998)</v>
      </c>
      <c r="H2077" t="s">
        <v>662</v>
      </c>
      <c r="I2077" t="str">
        <f t="shared" si="395"/>
        <v>12/03/2026</v>
      </c>
      <c r="J2077" t="str">
        <f t="shared" si="397"/>
        <v>09/03/2026</v>
      </c>
      <c r="K2077">
        <v>46093</v>
      </c>
      <c r="N2077">
        <v>109</v>
      </c>
      <c r="O2077" t="s">
        <v>27</v>
      </c>
      <c r="Q2077">
        <v>560</v>
      </c>
      <c r="R2077" t="str">
        <f>"PENSE FARMA 09 (10218)"</f>
        <v>PENSE FARMA 09 (10218)</v>
      </c>
      <c r="S2077" t="s">
        <v>37</v>
      </c>
      <c r="T2077">
        <v>31095</v>
      </c>
      <c r="U2077">
        <v>34466</v>
      </c>
      <c r="V2077" t="s">
        <v>37</v>
      </c>
    </row>
    <row r="2078" spans="1:22">
      <c r="A2078" t="str">
        <f t="shared" si="398"/>
        <v>12/03/2026</v>
      </c>
      <c r="B2078" t="str">
        <f t="shared" si="393"/>
        <v>SAÍDA</v>
      </c>
      <c r="C2078" t="str">
        <f t="shared" si="394"/>
        <v>PIX</v>
      </c>
      <c r="D2078" t="str">
        <f>"34467"</f>
        <v>34467</v>
      </c>
      <c r="E2078" t="str">
        <f t="shared" si="399"/>
        <v>1</v>
      </c>
      <c r="F2078" t="str">
        <f t="shared" si="396"/>
        <v>COM</v>
      </c>
      <c r="G2078" t="str">
        <f>"MARCOS DUARTE CARVALHO (998)"</f>
        <v>MARCOS DUARTE CARVALHO (998)</v>
      </c>
      <c r="H2078" t="str">
        <f>"Serv.Prest. 02/03/2026 a 08/03/2026 - PIX: CPF - CHAVE: 396.877.618-65"</f>
        <v>Serv.Prest. 02/03/2026 a 08/03/2026 - PIX: CPF - CHAVE: 396.877.618-65</v>
      </c>
      <c r="I2078" t="str">
        <f t="shared" si="395"/>
        <v>12/03/2026</v>
      </c>
      <c r="J2078" t="str">
        <f t="shared" si="397"/>
        <v>09/03/2026</v>
      </c>
      <c r="K2078" t="str">
        <f>("12/03/2026")</f>
        <v>12/03/2026</v>
      </c>
      <c r="L2078">
        <v>815</v>
      </c>
      <c r="M2078">
        <v>815</v>
      </c>
      <c r="N2078">
        <v>109</v>
      </c>
      <c r="O2078" t="str">
        <f>"PAGAMENTO DE ENTREGADORES"</f>
        <v>PAGAMENTO DE ENTREGADORES</v>
      </c>
      <c r="P2078">
        <v>815</v>
      </c>
      <c r="S2078" t="str">
        <f>"BANCO C6 (149)"</f>
        <v>BANCO C6 (149)</v>
      </c>
      <c r="T2078">
        <v>31096</v>
      </c>
      <c r="U2078">
        <v>34467</v>
      </c>
      <c r="V2078" t="s">
        <v>37</v>
      </c>
    </row>
    <row r="2079" spans="1:22">
      <c r="A2079" t="str">
        <f t="shared" si="398"/>
        <v>12/03/2026</v>
      </c>
      <c r="B2079" t="str">
        <f t="shared" si="393"/>
        <v>SAÍDA</v>
      </c>
      <c r="C2079" t="str">
        <f t="shared" si="394"/>
        <v>PIX</v>
      </c>
      <c r="D2079" t="str">
        <f>"34467"</f>
        <v>34467</v>
      </c>
      <c r="E2079" t="str">
        <f t="shared" si="399"/>
        <v>1</v>
      </c>
      <c r="F2079" t="str">
        <f t="shared" si="396"/>
        <v>COM</v>
      </c>
      <c r="G2079" t="str">
        <f>"MARCOS DUARTE CARVALHO (998)"</f>
        <v>MARCOS DUARTE CARVALHO (998)</v>
      </c>
      <c r="H2079" t="s">
        <v>662</v>
      </c>
      <c r="I2079" t="str">
        <f t="shared" si="395"/>
        <v>12/03/2026</v>
      </c>
      <c r="J2079" t="str">
        <f t="shared" si="397"/>
        <v>09/03/2026</v>
      </c>
      <c r="K2079">
        <v>46093</v>
      </c>
      <c r="N2079">
        <v>109</v>
      </c>
      <c r="O2079" t="s">
        <v>27</v>
      </c>
      <c r="Q2079">
        <v>815</v>
      </c>
      <c r="R2079" t="str">
        <f>"PENSE FARMA 10 (10219)"</f>
        <v>PENSE FARMA 10 (10219)</v>
      </c>
      <c r="S2079" t="s">
        <v>37</v>
      </c>
      <c r="T2079">
        <v>31096</v>
      </c>
      <c r="U2079">
        <v>34467</v>
      </c>
      <c r="V2079" t="s">
        <v>37</v>
      </c>
    </row>
    <row r="2080" spans="1:22">
      <c r="A2080" t="str">
        <f t="shared" si="398"/>
        <v>12/03/2026</v>
      </c>
      <c r="B2080" t="str">
        <f t="shared" si="393"/>
        <v>SAÍDA</v>
      </c>
      <c r="C2080" t="str">
        <f t="shared" si="394"/>
        <v>PIX</v>
      </c>
      <c r="D2080" t="str">
        <f>"34469"</f>
        <v>34469</v>
      </c>
      <c r="E2080" t="str">
        <f t="shared" si="399"/>
        <v>1</v>
      </c>
      <c r="F2080" t="str">
        <f t="shared" si="396"/>
        <v>COM</v>
      </c>
      <c r="G2080" t="str">
        <f>"ALAN COSTA SILVA (994)"</f>
        <v>ALAN COSTA SILVA (994)</v>
      </c>
      <c r="H2080" t="str">
        <f>"Serv.Prest. 02/02/2026 a 08/03/2026 - PIX: CELULAR - CHAVE: (11) 98484-6837"</f>
        <v>Serv.Prest. 02/02/2026 a 08/03/2026 - PIX: CELULAR - CHAVE: (11) 98484-6837</v>
      </c>
      <c r="I2080" t="str">
        <f t="shared" si="395"/>
        <v>12/03/2026</v>
      </c>
      <c r="J2080" t="str">
        <f t="shared" si="397"/>
        <v>09/03/2026</v>
      </c>
      <c r="K2080" t="str">
        <f>("12/03/2026")</f>
        <v>12/03/2026</v>
      </c>
      <c r="L2080">
        <v>1100</v>
      </c>
      <c r="M2080">
        <v>1100</v>
      </c>
      <c r="N2080">
        <v>109</v>
      </c>
      <c r="O2080" t="str">
        <f>"PAGAMENTO DE ENTREGADORES"</f>
        <v>PAGAMENTO DE ENTREGADORES</v>
      </c>
      <c r="P2080">
        <v>1100</v>
      </c>
      <c r="S2080" t="str">
        <f>"BANCO C6 (149)"</f>
        <v>BANCO C6 (149)</v>
      </c>
      <c r="T2080">
        <v>31097</v>
      </c>
      <c r="U2080">
        <v>34469</v>
      </c>
      <c r="V2080" t="s">
        <v>37</v>
      </c>
    </row>
    <row r="2081" spans="1:22">
      <c r="A2081" t="str">
        <f t="shared" si="398"/>
        <v>12/03/2026</v>
      </c>
      <c r="B2081" t="str">
        <f t="shared" si="393"/>
        <v>SAÍDA</v>
      </c>
      <c r="C2081" t="str">
        <f t="shared" si="394"/>
        <v>PIX</v>
      </c>
      <c r="D2081" t="str">
        <f>"34469"</f>
        <v>34469</v>
      </c>
      <c r="E2081" t="str">
        <f t="shared" si="399"/>
        <v>1</v>
      </c>
      <c r="F2081" t="str">
        <f t="shared" si="396"/>
        <v>COM</v>
      </c>
      <c r="G2081" t="str">
        <f>"ALAN COSTA SILVA (994)"</f>
        <v>ALAN COSTA SILVA (994)</v>
      </c>
      <c r="H2081" t="s">
        <v>663</v>
      </c>
      <c r="I2081" t="str">
        <f t="shared" si="395"/>
        <v>12/03/2026</v>
      </c>
      <c r="J2081" t="str">
        <f t="shared" si="397"/>
        <v>09/03/2026</v>
      </c>
      <c r="K2081">
        <v>46093</v>
      </c>
      <c r="N2081">
        <v>109</v>
      </c>
      <c r="O2081" t="s">
        <v>27</v>
      </c>
      <c r="Q2081">
        <v>1100</v>
      </c>
      <c r="R2081" t="str">
        <f>"PENSE FARMA 19 (10223)"</f>
        <v>PENSE FARMA 19 (10223)</v>
      </c>
      <c r="S2081" t="s">
        <v>37</v>
      </c>
      <c r="T2081">
        <v>31097</v>
      </c>
      <c r="U2081">
        <v>34469</v>
      </c>
      <c r="V2081" t="s">
        <v>37</v>
      </c>
    </row>
    <row r="2082" spans="1:22">
      <c r="A2082" t="str">
        <f t="shared" si="398"/>
        <v>12/03/2026</v>
      </c>
      <c r="B2082" t="str">
        <f t="shared" si="393"/>
        <v>SAÍDA</v>
      </c>
      <c r="C2082" t="str">
        <f t="shared" si="394"/>
        <v>PIX</v>
      </c>
      <c r="D2082" t="str">
        <f>"34470"</f>
        <v>34470</v>
      </c>
      <c r="E2082" t="str">
        <f t="shared" si="399"/>
        <v>1</v>
      </c>
      <c r="F2082" t="str">
        <f t="shared" si="396"/>
        <v>COM</v>
      </c>
      <c r="G2082" t="str">
        <f>"ANDREA VOLPONI (1004)"</f>
        <v>ANDREA VOLPONI (1004)</v>
      </c>
      <c r="H2082" t="str">
        <f>"Serv.Prest. 02/03/2026 a 08/03/2026 - PIX: CPF - CHAVE: 361.750.258-06"</f>
        <v>Serv.Prest. 02/03/2026 a 08/03/2026 - PIX: CPF - CHAVE: 361.750.258-06</v>
      </c>
      <c r="I2082" t="str">
        <f t="shared" si="395"/>
        <v>12/03/2026</v>
      </c>
      <c r="J2082" t="str">
        <f t="shared" si="397"/>
        <v>09/03/2026</v>
      </c>
      <c r="K2082" t="str">
        <f>("12/03/2026")</f>
        <v>12/03/2026</v>
      </c>
      <c r="L2082">
        <v>800</v>
      </c>
      <c r="M2082">
        <v>800</v>
      </c>
      <c r="N2082">
        <v>109</v>
      </c>
      <c r="O2082" t="str">
        <f>"PAGAMENTO DE ENTREGADORES"</f>
        <v>PAGAMENTO DE ENTREGADORES</v>
      </c>
      <c r="P2082">
        <v>800</v>
      </c>
      <c r="S2082" t="str">
        <f>"BANCO C6 (149)"</f>
        <v>BANCO C6 (149)</v>
      </c>
      <c r="T2082">
        <v>31098</v>
      </c>
      <c r="U2082">
        <v>34470</v>
      </c>
      <c r="V2082" t="s">
        <v>37</v>
      </c>
    </row>
    <row r="2083" spans="1:22">
      <c r="A2083" t="str">
        <f t="shared" si="398"/>
        <v>12/03/2026</v>
      </c>
      <c r="B2083" t="str">
        <f t="shared" si="393"/>
        <v>SAÍDA</v>
      </c>
      <c r="C2083" t="str">
        <f t="shared" si="394"/>
        <v>PIX</v>
      </c>
      <c r="D2083" t="str">
        <f>"34470"</f>
        <v>34470</v>
      </c>
      <c r="E2083" t="str">
        <f t="shared" si="399"/>
        <v>1</v>
      </c>
      <c r="F2083" t="str">
        <f t="shared" si="396"/>
        <v>COM</v>
      </c>
      <c r="G2083" t="str">
        <f>"ANDREA VOLPONI (1004)"</f>
        <v>ANDREA VOLPONI (1004)</v>
      </c>
      <c r="H2083" t="s">
        <v>664</v>
      </c>
      <c r="I2083" t="str">
        <f t="shared" si="395"/>
        <v>12/03/2026</v>
      </c>
      <c r="J2083" t="str">
        <f t="shared" si="397"/>
        <v>09/03/2026</v>
      </c>
      <c r="K2083">
        <v>46093</v>
      </c>
      <c r="N2083">
        <v>109</v>
      </c>
      <c r="O2083" t="s">
        <v>27</v>
      </c>
      <c r="Q2083">
        <v>800</v>
      </c>
      <c r="R2083" t="str">
        <f>"PENSE FARMA 19 (10223)"</f>
        <v>PENSE FARMA 19 (10223)</v>
      </c>
      <c r="S2083" t="s">
        <v>37</v>
      </c>
      <c r="T2083">
        <v>31098</v>
      </c>
      <c r="U2083">
        <v>34470</v>
      </c>
      <c r="V2083" t="s">
        <v>37</v>
      </c>
    </row>
    <row r="2084" spans="1:22">
      <c r="A2084" t="str">
        <f t="shared" si="398"/>
        <v>12/03/2026</v>
      </c>
      <c r="B2084" t="str">
        <f t="shared" si="393"/>
        <v>SAÍDA</v>
      </c>
      <c r="C2084" t="str">
        <f t="shared" si="394"/>
        <v>PIX</v>
      </c>
      <c r="D2084" t="str">
        <f>"34472"</f>
        <v>34472</v>
      </c>
      <c r="E2084" t="str">
        <f t="shared" si="399"/>
        <v>1</v>
      </c>
      <c r="F2084" t="str">
        <f t="shared" si="396"/>
        <v>COM</v>
      </c>
      <c r="G2084" t="str">
        <f>"ENTREGADOR DIARISTA (5)"</f>
        <v>ENTREGADOR DIARISTA (5)</v>
      </c>
      <c r="H2084" t="str">
        <f>"Serv.Prest. 02/03/2026 a 08/03/2026 - PAGAR GUILHERME AMARAL PIX: CPF: 442.268.128-16"</f>
        <v>Serv.Prest. 02/03/2026 a 08/03/2026 - PAGAR GUILHERME AMARAL PIX: CPF: 442.268.128-16</v>
      </c>
      <c r="I2084" t="str">
        <f t="shared" si="395"/>
        <v>12/03/2026</v>
      </c>
      <c r="J2084" t="str">
        <f t="shared" si="397"/>
        <v>09/03/2026</v>
      </c>
      <c r="K2084" t="str">
        <f>("12/03/2026")</f>
        <v>12/03/2026</v>
      </c>
      <c r="L2084">
        <v>900</v>
      </c>
      <c r="M2084">
        <v>900</v>
      </c>
      <c r="N2084">
        <v>109</v>
      </c>
      <c r="O2084" t="str">
        <f>"PAGAMENTO DE ENTREGADORES"</f>
        <v>PAGAMENTO DE ENTREGADORES</v>
      </c>
      <c r="P2084">
        <v>900</v>
      </c>
      <c r="S2084" t="str">
        <f>"BANCO C6 (149)"</f>
        <v>BANCO C6 (149)</v>
      </c>
      <c r="T2084">
        <v>31099</v>
      </c>
      <c r="U2084">
        <v>34472</v>
      </c>
      <c r="V2084" t="s">
        <v>37</v>
      </c>
    </row>
    <row r="2085" spans="1:22">
      <c r="A2085" t="str">
        <f t="shared" si="398"/>
        <v>12/03/2026</v>
      </c>
      <c r="B2085" t="str">
        <f t="shared" si="393"/>
        <v>SAÍDA</v>
      </c>
      <c r="C2085" t="str">
        <f t="shared" si="394"/>
        <v>PIX</v>
      </c>
      <c r="D2085" t="str">
        <f>"34472"</f>
        <v>34472</v>
      </c>
      <c r="E2085" t="str">
        <f t="shared" si="399"/>
        <v>1</v>
      </c>
      <c r="F2085" t="str">
        <f t="shared" si="396"/>
        <v>COM</v>
      </c>
      <c r="G2085" t="str">
        <f>"ENTREGADOR DIARISTA (5)"</f>
        <v>ENTREGADOR DIARISTA (5)</v>
      </c>
      <c r="H2085" t="s">
        <v>665</v>
      </c>
      <c r="I2085" t="str">
        <f t="shared" si="395"/>
        <v>12/03/2026</v>
      </c>
      <c r="J2085" t="str">
        <f t="shared" si="397"/>
        <v>09/03/2026</v>
      </c>
      <c r="K2085">
        <v>46093</v>
      </c>
      <c r="N2085">
        <v>109</v>
      </c>
      <c r="O2085" t="s">
        <v>27</v>
      </c>
      <c r="Q2085">
        <v>900</v>
      </c>
      <c r="R2085" t="str">
        <f>"PENSE FARMA 22 (10198)"</f>
        <v>PENSE FARMA 22 (10198)</v>
      </c>
      <c r="S2085" t="s">
        <v>37</v>
      </c>
      <c r="T2085">
        <v>31099</v>
      </c>
      <c r="U2085">
        <v>34472</v>
      </c>
      <c r="V2085" t="s">
        <v>37</v>
      </c>
    </row>
    <row r="2086" spans="1:22">
      <c r="A2086" t="str">
        <f t="shared" si="398"/>
        <v>12/03/2026</v>
      </c>
      <c r="B2086" t="str">
        <f t="shared" si="393"/>
        <v>SAÍDA</v>
      </c>
      <c r="C2086" t="str">
        <f t="shared" si="394"/>
        <v>PIX</v>
      </c>
      <c r="D2086" t="str">
        <f>"34474"</f>
        <v>34474</v>
      </c>
      <c r="E2086" t="str">
        <f t="shared" si="399"/>
        <v>1</v>
      </c>
      <c r="F2086" t="str">
        <f t="shared" si="396"/>
        <v>COM</v>
      </c>
      <c r="G2086" t="str">
        <f>"REINALDO JOLY GRAZIANO (1357)"</f>
        <v>REINALDO JOLY GRAZIANO (1357)</v>
      </c>
      <c r="H2086" t="str">
        <f>"Serv.Prest. 02/03/2026 a 08/03/2026 - PIX: CELULAR - CHAVE: (14) 98205-8697"</f>
        <v>Serv.Prest. 02/03/2026 a 08/03/2026 - PIX: CELULAR - CHAVE: (14) 98205-8697</v>
      </c>
      <c r="I2086" t="str">
        <f t="shared" si="395"/>
        <v>12/03/2026</v>
      </c>
      <c r="J2086" t="str">
        <f t="shared" si="397"/>
        <v>09/03/2026</v>
      </c>
      <c r="K2086" t="str">
        <f>("12/03/2026")</f>
        <v>12/03/2026</v>
      </c>
      <c r="L2086">
        <v>900</v>
      </c>
      <c r="M2086">
        <v>900</v>
      </c>
      <c r="N2086">
        <v>109</v>
      </c>
      <c r="O2086" t="str">
        <f>"PAGAMENTO DE ENTREGADORES"</f>
        <v>PAGAMENTO DE ENTREGADORES</v>
      </c>
      <c r="P2086">
        <v>900</v>
      </c>
      <c r="S2086" t="str">
        <f>"BANCO C6 (149)"</f>
        <v>BANCO C6 (149)</v>
      </c>
      <c r="T2086">
        <v>31100</v>
      </c>
      <c r="U2086">
        <v>34474</v>
      </c>
      <c r="V2086" t="s">
        <v>37</v>
      </c>
    </row>
    <row r="2087" spans="1:22">
      <c r="A2087" t="str">
        <f t="shared" si="398"/>
        <v>12/03/2026</v>
      </c>
      <c r="B2087" t="str">
        <f t="shared" si="393"/>
        <v>SAÍDA</v>
      </c>
      <c r="C2087" t="str">
        <f t="shared" si="394"/>
        <v>PIX</v>
      </c>
      <c r="D2087" t="str">
        <f>"34474"</f>
        <v>34474</v>
      </c>
      <c r="E2087" t="str">
        <f t="shared" si="399"/>
        <v>1</v>
      </c>
      <c r="F2087" t="str">
        <f t="shared" si="396"/>
        <v>COM</v>
      </c>
      <c r="G2087" t="str">
        <f>"REINALDO JOLY GRAZIANO (1357)"</f>
        <v>REINALDO JOLY GRAZIANO (1357)</v>
      </c>
      <c r="H2087" t="s">
        <v>666</v>
      </c>
      <c r="I2087" t="str">
        <f t="shared" si="395"/>
        <v>12/03/2026</v>
      </c>
      <c r="J2087" t="str">
        <f t="shared" si="397"/>
        <v>09/03/2026</v>
      </c>
      <c r="K2087">
        <v>46093</v>
      </c>
      <c r="N2087">
        <v>109</v>
      </c>
      <c r="O2087" t="s">
        <v>27</v>
      </c>
      <c r="Q2087">
        <v>900</v>
      </c>
      <c r="R2087" t="str">
        <f>"PENSE FARMA 22 (10198)"</f>
        <v>PENSE FARMA 22 (10198)</v>
      </c>
      <c r="S2087" t="s">
        <v>37</v>
      </c>
      <c r="T2087">
        <v>31100</v>
      </c>
      <c r="U2087">
        <v>34474</v>
      </c>
      <c r="V2087" t="s">
        <v>37</v>
      </c>
    </row>
    <row r="2088" spans="1:22">
      <c r="A2088" t="str">
        <f t="shared" si="398"/>
        <v>12/03/2026</v>
      </c>
      <c r="B2088" t="str">
        <f t="shared" si="393"/>
        <v>SAÍDA</v>
      </c>
      <c r="C2088" t="str">
        <f t="shared" si="394"/>
        <v>PIX</v>
      </c>
      <c r="D2088" t="str">
        <f>"34476"</f>
        <v>34476</v>
      </c>
      <c r="E2088" t="str">
        <f t="shared" si="399"/>
        <v>1</v>
      </c>
      <c r="F2088" t="str">
        <f t="shared" si="396"/>
        <v>COM</v>
      </c>
      <c r="G2088" t="str">
        <f>"PEDRO HENRIQUE XAVIER DOS SANTOS (993)"</f>
        <v>PEDRO HENRIQUE XAVIER DOS SANTOS (993)</v>
      </c>
      <c r="H2088" t="str">
        <f>"Serv.Prest. 02/03/2026 a 08/03/2026 - PIX: CPF - CHAVE: 489.237.478-40"</f>
        <v>Serv.Prest. 02/03/2026 a 08/03/2026 - PIX: CPF - CHAVE: 489.237.478-40</v>
      </c>
      <c r="I2088" t="str">
        <f t="shared" si="395"/>
        <v>12/03/2026</v>
      </c>
      <c r="J2088" t="str">
        <f t="shared" si="397"/>
        <v>09/03/2026</v>
      </c>
      <c r="K2088" t="str">
        <f>("12/03/2026")</f>
        <v>12/03/2026</v>
      </c>
      <c r="L2088">
        <v>780</v>
      </c>
      <c r="M2088">
        <v>780</v>
      </c>
      <c r="N2088">
        <v>109</v>
      </c>
      <c r="O2088" t="str">
        <f>"PAGAMENTO DE ENTREGADORES"</f>
        <v>PAGAMENTO DE ENTREGADORES</v>
      </c>
      <c r="P2088">
        <v>780</v>
      </c>
      <c r="S2088" t="str">
        <f>"BANCO C6 (149)"</f>
        <v>BANCO C6 (149)</v>
      </c>
      <c r="T2088">
        <v>31101</v>
      </c>
      <c r="U2088">
        <v>34476</v>
      </c>
      <c r="V2088" t="s">
        <v>37</v>
      </c>
    </row>
    <row r="2089" spans="1:22">
      <c r="A2089" t="str">
        <f t="shared" si="398"/>
        <v>12/03/2026</v>
      </c>
      <c r="B2089" t="str">
        <f t="shared" si="393"/>
        <v>SAÍDA</v>
      </c>
      <c r="C2089" t="str">
        <f t="shared" si="394"/>
        <v>PIX</v>
      </c>
      <c r="D2089" t="str">
        <f>"34476"</f>
        <v>34476</v>
      </c>
      <c r="E2089" t="str">
        <f t="shared" si="399"/>
        <v>1</v>
      </c>
      <c r="F2089" t="str">
        <f t="shared" si="396"/>
        <v>COM</v>
      </c>
      <c r="G2089" t="str">
        <f>"PEDRO HENRIQUE XAVIER DOS SANTOS (993)"</f>
        <v>PEDRO HENRIQUE XAVIER DOS SANTOS (993)</v>
      </c>
      <c r="H2089" t="s">
        <v>449</v>
      </c>
      <c r="I2089" t="str">
        <f t="shared" si="395"/>
        <v>12/03/2026</v>
      </c>
      <c r="J2089" t="str">
        <f t="shared" si="397"/>
        <v>09/03/2026</v>
      </c>
      <c r="K2089">
        <v>46093</v>
      </c>
      <c r="N2089">
        <v>109</v>
      </c>
      <c r="O2089" t="s">
        <v>27</v>
      </c>
      <c r="Q2089">
        <v>780</v>
      </c>
      <c r="R2089" t="str">
        <f>"PENSE FARMA 35 (10227)"</f>
        <v>PENSE FARMA 35 (10227)</v>
      </c>
      <c r="S2089" t="s">
        <v>37</v>
      </c>
      <c r="T2089">
        <v>31101</v>
      </c>
      <c r="U2089">
        <v>34476</v>
      </c>
      <c r="V2089" t="s">
        <v>37</v>
      </c>
    </row>
    <row r="2090" spans="1:22">
      <c r="A2090" t="str">
        <f t="shared" si="398"/>
        <v>12/03/2026</v>
      </c>
      <c r="B2090" t="str">
        <f t="shared" si="393"/>
        <v>SAÍDA</v>
      </c>
      <c r="C2090" t="str">
        <f t="shared" si="394"/>
        <v>PIX</v>
      </c>
      <c r="D2090" t="str">
        <f>"34381"</f>
        <v>34381</v>
      </c>
      <c r="E2090" t="str">
        <f t="shared" si="399"/>
        <v>1</v>
      </c>
      <c r="F2090" t="str">
        <f t="shared" si="396"/>
        <v>COM</v>
      </c>
      <c r="G2090" t="str">
        <f>"ERIC RODRIGUES TEIXEIRA (939)"</f>
        <v>ERIC RODRIGUES TEIXEIRA (939)</v>
      </c>
      <c r="H2090" t="str">
        <f>"Serv.Prest. 02/03/2026 a 08/03/2026 - PIX: CELULAR - CHAVE: (11) 95038-0621"</f>
        <v>Serv.Prest. 02/03/2026 a 08/03/2026 - PIX: CELULAR - CHAVE: (11) 95038-0621</v>
      </c>
      <c r="I2090" t="str">
        <f t="shared" si="395"/>
        <v>12/03/2026</v>
      </c>
      <c r="J2090" t="str">
        <f t="shared" si="397"/>
        <v>09/03/2026</v>
      </c>
      <c r="K2090" t="str">
        <f>("12/03/2026")</f>
        <v>12/03/2026</v>
      </c>
      <c r="L2090">
        <v>250</v>
      </c>
      <c r="M2090">
        <v>250</v>
      </c>
      <c r="N2090">
        <v>109</v>
      </c>
      <c r="O2090" t="str">
        <f>"PAGAMENTO DE ENTREGADORES"</f>
        <v>PAGAMENTO DE ENTREGADORES</v>
      </c>
      <c r="P2090">
        <v>250</v>
      </c>
      <c r="S2090" t="str">
        <f>"BANCO C6 (149)"</f>
        <v>BANCO C6 (149)</v>
      </c>
      <c r="T2090">
        <v>31102</v>
      </c>
      <c r="U2090">
        <v>34525</v>
      </c>
      <c r="V2090" t="s">
        <v>37</v>
      </c>
    </row>
    <row r="2091" spans="1:22">
      <c r="A2091" t="str">
        <f t="shared" si="398"/>
        <v>12/03/2026</v>
      </c>
      <c r="B2091" t="str">
        <f t="shared" si="393"/>
        <v>SAÍDA</v>
      </c>
      <c r="C2091" t="str">
        <f t="shared" si="394"/>
        <v>PIX</v>
      </c>
      <c r="D2091" t="str">
        <f>"34381"</f>
        <v>34381</v>
      </c>
      <c r="E2091" t="str">
        <f t="shared" si="399"/>
        <v>1</v>
      </c>
      <c r="F2091" t="str">
        <f t="shared" si="396"/>
        <v>COM</v>
      </c>
      <c r="G2091" t="str">
        <f>"ERIC RODRIGUES TEIXEIRA (939)"</f>
        <v>ERIC RODRIGUES TEIXEIRA (939)</v>
      </c>
      <c r="H2091" t="s">
        <v>436</v>
      </c>
      <c r="I2091" t="str">
        <f t="shared" si="395"/>
        <v>12/03/2026</v>
      </c>
      <c r="J2091" t="str">
        <f t="shared" si="397"/>
        <v>09/03/2026</v>
      </c>
      <c r="K2091">
        <v>46093</v>
      </c>
      <c r="N2091">
        <v>109</v>
      </c>
      <c r="O2091" t="s">
        <v>27</v>
      </c>
      <c r="Q2091">
        <v>250</v>
      </c>
      <c r="R2091" t="str">
        <f>"PENSE FARMA 45 (10209)"</f>
        <v>PENSE FARMA 45 (10209)</v>
      </c>
      <c r="S2091" t="s">
        <v>37</v>
      </c>
      <c r="T2091">
        <v>31102</v>
      </c>
      <c r="U2091">
        <v>34525</v>
      </c>
      <c r="V2091" t="s">
        <v>37</v>
      </c>
    </row>
    <row r="2092" spans="1:22">
      <c r="A2092" t="str">
        <f t="shared" si="398"/>
        <v>12/03/2026</v>
      </c>
      <c r="B2092" t="str">
        <f t="shared" si="393"/>
        <v>SAÍDA</v>
      </c>
      <c r="C2092" t="str">
        <f t="shared" si="394"/>
        <v>PIX</v>
      </c>
      <c r="D2092" t="str">
        <f>"34716"</f>
        <v>34716</v>
      </c>
      <c r="E2092" t="str">
        <f t="shared" si="399"/>
        <v>1</v>
      </c>
      <c r="F2092" t="str">
        <f t="shared" si="396"/>
        <v>COM</v>
      </c>
      <c r="G2092" t="str">
        <f t="shared" ref="G2092:G2097" si="402">"ALYSSON HENRIQUE SOARES DE ARA??JO (1336)"</f>
        <v>ALYSSON HENRIQUE SOARES DE ARA??JO (1336)</v>
      </c>
      <c r="H2092" t="str">
        <f>"Serv.Prest. 02/03/2026 a 08/03/2026 - PIX: CPF - CHAVE: 116.683.686-09"</f>
        <v>Serv.Prest. 02/03/2026 a 08/03/2026 - PIX: CPF - CHAVE: 116.683.686-09</v>
      </c>
      <c r="I2092" t="str">
        <f t="shared" si="395"/>
        <v>12/03/2026</v>
      </c>
      <c r="J2092" t="str">
        <f t="shared" ref="J2092:J2118" si="403">("11/03/2026")</f>
        <v>11/03/2026</v>
      </c>
      <c r="K2092" t="str">
        <f>("12/03/2026")</f>
        <v>12/03/2026</v>
      </c>
      <c r="L2092">
        <v>246</v>
      </c>
      <c r="M2092">
        <v>246</v>
      </c>
      <c r="N2092">
        <v>109</v>
      </c>
      <c r="O2092" t="str">
        <f>"PAGAMENTO DE ENTREGADORES"</f>
        <v>PAGAMENTO DE ENTREGADORES</v>
      </c>
      <c r="P2092">
        <v>246</v>
      </c>
      <c r="S2092" t="str">
        <f>"BANCO C6 (149)"</f>
        <v>BANCO C6 (149)</v>
      </c>
      <c r="T2092">
        <v>31103</v>
      </c>
      <c r="U2092">
        <v>34716</v>
      </c>
      <c r="V2092" t="s">
        <v>37</v>
      </c>
    </row>
    <row r="2093" spans="1:22">
      <c r="A2093" t="str">
        <f t="shared" si="398"/>
        <v>12/03/2026</v>
      </c>
      <c r="B2093" t="str">
        <f t="shared" si="393"/>
        <v>SAÍDA</v>
      </c>
      <c r="C2093" t="str">
        <f t="shared" si="394"/>
        <v>PIX</v>
      </c>
      <c r="D2093" t="str">
        <f>"34716"</f>
        <v>34716</v>
      </c>
      <c r="E2093" t="str">
        <f t="shared" si="399"/>
        <v>1</v>
      </c>
      <c r="F2093" t="str">
        <f t="shared" si="396"/>
        <v>COM</v>
      </c>
      <c r="G2093" t="str">
        <f t="shared" si="402"/>
        <v>ALYSSON HENRIQUE SOARES DE ARA??JO (1336)</v>
      </c>
      <c r="H2093" t="s">
        <v>586</v>
      </c>
      <c r="I2093" t="str">
        <f t="shared" si="395"/>
        <v>12/03/2026</v>
      </c>
      <c r="J2093" t="str">
        <f t="shared" si="403"/>
        <v>11/03/2026</v>
      </c>
      <c r="K2093">
        <v>46093</v>
      </c>
      <c r="N2093">
        <v>109</v>
      </c>
      <c r="O2093" t="s">
        <v>27</v>
      </c>
      <c r="Q2093">
        <v>246</v>
      </c>
      <c r="R2093" t="str">
        <f>"PAGUE MENOS 1156 (10308)"</f>
        <v>PAGUE MENOS 1156 (10308)</v>
      </c>
      <c r="S2093" t="s">
        <v>37</v>
      </c>
      <c r="T2093">
        <v>31103</v>
      </c>
      <c r="U2093">
        <v>34716</v>
      </c>
      <c r="V2093" t="s">
        <v>37</v>
      </c>
    </row>
    <row r="2094" spans="1:22">
      <c r="A2094" t="str">
        <f t="shared" si="398"/>
        <v>12/03/2026</v>
      </c>
      <c r="B2094" t="str">
        <f t="shared" si="393"/>
        <v>SAÍDA</v>
      </c>
      <c r="C2094" t="str">
        <f t="shared" si="394"/>
        <v>PIX</v>
      </c>
      <c r="D2094" t="str">
        <f>"34717"</f>
        <v>34717</v>
      </c>
      <c r="E2094" t="str">
        <f t="shared" si="399"/>
        <v>1</v>
      </c>
      <c r="F2094" t="str">
        <f t="shared" si="396"/>
        <v>COM</v>
      </c>
      <c r="G2094" t="str">
        <f t="shared" si="402"/>
        <v>ALYSSON HENRIQUE SOARES DE ARA??JO (1336)</v>
      </c>
      <c r="H2094" t="str">
        <f>"Serv.Prest. 02/03/2026 a 08/03/2026 - PIX: CPF - CHAVE: 116.683.686-09"</f>
        <v>Serv.Prest. 02/03/2026 a 08/03/2026 - PIX: CPF - CHAVE: 116.683.686-09</v>
      </c>
      <c r="I2094" t="str">
        <f t="shared" si="395"/>
        <v>12/03/2026</v>
      </c>
      <c r="J2094" t="str">
        <f t="shared" si="403"/>
        <v>11/03/2026</v>
      </c>
      <c r="K2094" t="str">
        <f>("12/03/2026")</f>
        <v>12/03/2026</v>
      </c>
      <c r="L2094">
        <v>384</v>
      </c>
      <c r="M2094">
        <v>250</v>
      </c>
      <c r="N2094">
        <v>109</v>
      </c>
      <c r="O2094" t="str">
        <f>"PAGAMENTO DE ENTREGADORES"</f>
        <v>PAGAMENTO DE ENTREGADORES</v>
      </c>
      <c r="P2094">
        <v>250</v>
      </c>
      <c r="S2094" t="str">
        <f>"BANCO C6 (149)"</f>
        <v>BANCO C6 (149)</v>
      </c>
      <c r="T2094">
        <v>31104</v>
      </c>
      <c r="U2094">
        <v>34717</v>
      </c>
      <c r="V2094" t="s">
        <v>37</v>
      </c>
    </row>
    <row r="2095" spans="1:22">
      <c r="A2095" t="str">
        <f t="shared" si="398"/>
        <v>12/03/2026</v>
      </c>
      <c r="B2095" t="str">
        <f t="shared" si="393"/>
        <v>SAÍDA</v>
      </c>
      <c r="C2095" t="str">
        <f t="shared" si="394"/>
        <v>PIX</v>
      </c>
      <c r="D2095" t="str">
        <f>"34717"</f>
        <v>34717</v>
      </c>
      <c r="E2095" t="str">
        <f t="shared" si="399"/>
        <v>1</v>
      </c>
      <c r="F2095" t="str">
        <f t="shared" si="396"/>
        <v>COM</v>
      </c>
      <c r="G2095" t="str">
        <f t="shared" si="402"/>
        <v>ALYSSON HENRIQUE SOARES DE ARA??JO (1336)</v>
      </c>
      <c r="H2095" t="s">
        <v>586</v>
      </c>
      <c r="I2095" t="str">
        <f t="shared" si="395"/>
        <v>12/03/2026</v>
      </c>
      <c r="J2095" t="str">
        <f t="shared" si="403"/>
        <v>11/03/2026</v>
      </c>
      <c r="K2095">
        <v>46093</v>
      </c>
      <c r="N2095">
        <v>109</v>
      </c>
      <c r="O2095" t="s">
        <v>27</v>
      </c>
      <c r="Q2095">
        <v>250</v>
      </c>
      <c r="R2095" t="str">
        <f>"PAGUE MENOS 1155 (10307)"</f>
        <v>PAGUE MENOS 1155 (10307)</v>
      </c>
      <c r="S2095" t="s">
        <v>37</v>
      </c>
      <c r="T2095">
        <v>31104</v>
      </c>
      <c r="U2095">
        <v>34717</v>
      </c>
      <c r="V2095" t="s">
        <v>37</v>
      </c>
    </row>
    <row r="2096" spans="1:22">
      <c r="A2096" t="str">
        <f t="shared" si="398"/>
        <v>12/03/2026</v>
      </c>
      <c r="B2096" t="str">
        <f t="shared" si="393"/>
        <v>SAÍDA</v>
      </c>
      <c r="C2096" t="str">
        <f t="shared" si="394"/>
        <v>PIX</v>
      </c>
      <c r="D2096" t="str">
        <f>"34720"</f>
        <v>34720</v>
      </c>
      <c r="E2096" t="str">
        <f t="shared" si="399"/>
        <v>1</v>
      </c>
      <c r="F2096" t="str">
        <f t="shared" si="396"/>
        <v>COM</v>
      </c>
      <c r="G2096" t="str">
        <f t="shared" si="402"/>
        <v>ALYSSON HENRIQUE SOARES DE ARA??JO (1336)</v>
      </c>
      <c r="H2096" t="str">
        <f>"Serv.Prest. 02/03/2026 a 08/03/2026 - PIX: CPF - CHAVE: 116.683.686-09"</f>
        <v>Serv.Prest. 02/03/2026 a 08/03/2026 - PIX: CPF - CHAVE: 116.683.686-09</v>
      </c>
      <c r="I2096" t="str">
        <f t="shared" si="395"/>
        <v>12/03/2026</v>
      </c>
      <c r="J2096" t="str">
        <f t="shared" si="403"/>
        <v>11/03/2026</v>
      </c>
      <c r="K2096" t="str">
        <f>("12/03/2026")</f>
        <v>12/03/2026</v>
      </c>
      <c r="L2096">
        <v>64</v>
      </c>
      <c r="M2096">
        <v>64</v>
      </c>
      <c r="N2096">
        <v>109</v>
      </c>
      <c r="O2096" t="str">
        <f>"PAGAMENTO DE ENTREGADORES"</f>
        <v>PAGAMENTO DE ENTREGADORES</v>
      </c>
      <c r="P2096">
        <v>64</v>
      </c>
      <c r="S2096" t="str">
        <f>"BANCO C6 (149)"</f>
        <v>BANCO C6 (149)</v>
      </c>
      <c r="T2096">
        <v>31105</v>
      </c>
      <c r="U2096">
        <v>34720</v>
      </c>
      <c r="V2096" t="s">
        <v>37</v>
      </c>
    </row>
    <row r="2097" spans="1:22">
      <c r="A2097" t="str">
        <f t="shared" si="398"/>
        <v>12/03/2026</v>
      </c>
      <c r="B2097" t="str">
        <f t="shared" si="393"/>
        <v>SAÍDA</v>
      </c>
      <c r="C2097" t="str">
        <f t="shared" si="394"/>
        <v>PIX</v>
      </c>
      <c r="D2097" t="str">
        <f>"34720"</f>
        <v>34720</v>
      </c>
      <c r="E2097" t="str">
        <f t="shared" si="399"/>
        <v>1</v>
      </c>
      <c r="F2097" t="str">
        <f t="shared" si="396"/>
        <v>COM</v>
      </c>
      <c r="G2097" t="str">
        <f t="shared" si="402"/>
        <v>ALYSSON HENRIQUE SOARES DE ARA??JO (1336)</v>
      </c>
      <c r="H2097" t="s">
        <v>586</v>
      </c>
      <c r="I2097" t="str">
        <f t="shared" si="395"/>
        <v>12/03/2026</v>
      </c>
      <c r="J2097" t="str">
        <f t="shared" si="403"/>
        <v>11/03/2026</v>
      </c>
      <c r="K2097">
        <v>46093</v>
      </c>
      <c r="N2097">
        <v>109</v>
      </c>
      <c r="O2097" t="s">
        <v>27</v>
      </c>
      <c r="Q2097">
        <v>64</v>
      </c>
      <c r="R2097" t="str">
        <f>"PAGUE MENOS 377 (10300)"</f>
        <v>PAGUE MENOS 377 (10300)</v>
      </c>
      <c r="S2097" t="s">
        <v>37</v>
      </c>
      <c r="T2097">
        <v>31105</v>
      </c>
      <c r="U2097">
        <v>34720</v>
      </c>
      <c r="V2097" t="s">
        <v>37</v>
      </c>
    </row>
    <row r="2098" spans="1:22">
      <c r="A2098" t="str">
        <f t="shared" si="398"/>
        <v>12/03/2026</v>
      </c>
      <c r="B2098" t="str">
        <f t="shared" si="393"/>
        <v>SAÍDA</v>
      </c>
      <c r="C2098" t="str">
        <f t="shared" si="394"/>
        <v>PIX</v>
      </c>
      <c r="D2098" t="str">
        <f>"34738"</f>
        <v>34738</v>
      </c>
      <c r="E2098" t="str">
        <f t="shared" si="399"/>
        <v>1</v>
      </c>
      <c r="F2098" t="str">
        <f t="shared" si="396"/>
        <v>COM</v>
      </c>
      <c r="G2098" t="str">
        <f t="shared" ref="G2098:G2105" si="404">"RAINER AUGUSTO LASMA COSTA (1353)"</f>
        <v>RAINER AUGUSTO LASMA COSTA (1353)</v>
      </c>
      <c r="H2098" t="str">
        <f>"Serv.Prest. 02/03/2026 a 08/03/2026 - PIX: CPF - CHAVE: 125.932.666-78"</f>
        <v>Serv.Prest. 02/03/2026 a 08/03/2026 - PIX: CPF - CHAVE: 125.932.666-78</v>
      </c>
      <c r="I2098" t="str">
        <f t="shared" si="395"/>
        <v>12/03/2026</v>
      </c>
      <c r="J2098" t="str">
        <f t="shared" si="403"/>
        <v>11/03/2026</v>
      </c>
      <c r="K2098" t="str">
        <f>("12/03/2026")</f>
        <v>12/03/2026</v>
      </c>
      <c r="L2098">
        <v>18</v>
      </c>
      <c r="M2098">
        <v>18</v>
      </c>
      <c r="N2098">
        <v>109</v>
      </c>
      <c r="O2098" t="str">
        <f>"PAGAMENTO DE ENTREGADORES"</f>
        <v>PAGAMENTO DE ENTREGADORES</v>
      </c>
      <c r="P2098">
        <v>18</v>
      </c>
      <c r="S2098" t="str">
        <f>"BANCO C6 (149)"</f>
        <v>BANCO C6 (149)</v>
      </c>
      <c r="T2098">
        <v>31106</v>
      </c>
      <c r="U2098">
        <v>34738</v>
      </c>
      <c r="V2098" t="s">
        <v>37</v>
      </c>
    </row>
    <row r="2099" spans="1:22">
      <c r="A2099" t="str">
        <f t="shared" si="398"/>
        <v>12/03/2026</v>
      </c>
      <c r="B2099" t="str">
        <f t="shared" si="393"/>
        <v>SAÍDA</v>
      </c>
      <c r="C2099" t="str">
        <f t="shared" si="394"/>
        <v>PIX</v>
      </c>
      <c r="D2099" t="str">
        <f>"34738"</f>
        <v>34738</v>
      </c>
      <c r="E2099" t="str">
        <f t="shared" si="399"/>
        <v>1</v>
      </c>
      <c r="F2099" t="str">
        <f t="shared" si="396"/>
        <v>COM</v>
      </c>
      <c r="G2099" t="str">
        <f t="shared" si="404"/>
        <v>RAINER AUGUSTO LASMA COSTA (1353)</v>
      </c>
      <c r="H2099" t="s">
        <v>667</v>
      </c>
      <c r="I2099" t="str">
        <f t="shared" si="395"/>
        <v>12/03/2026</v>
      </c>
      <c r="J2099" t="str">
        <f t="shared" si="403"/>
        <v>11/03/2026</v>
      </c>
      <c r="K2099">
        <v>46093</v>
      </c>
      <c r="N2099">
        <v>109</v>
      </c>
      <c r="O2099" t="s">
        <v>27</v>
      </c>
      <c r="Q2099">
        <v>18</v>
      </c>
      <c r="R2099" t="str">
        <f>"PAGUE MENOS 1155 (10307)"</f>
        <v>PAGUE MENOS 1155 (10307)</v>
      </c>
      <c r="S2099" t="s">
        <v>37</v>
      </c>
      <c r="T2099">
        <v>31106</v>
      </c>
      <c r="U2099">
        <v>34738</v>
      </c>
      <c r="V2099" t="s">
        <v>37</v>
      </c>
    </row>
    <row r="2100" spans="1:22">
      <c r="A2100" t="str">
        <f t="shared" si="398"/>
        <v>12/03/2026</v>
      </c>
      <c r="B2100" t="str">
        <f t="shared" si="393"/>
        <v>SAÍDA</v>
      </c>
      <c r="C2100" t="str">
        <f t="shared" si="394"/>
        <v>PIX</v>
      </c>
      <c r="D2100" t="str">
        <f>"34739"</f>
        <v>34739</v>
      </c>
      <c r="E2100" t="str">
        <f t="shared" si="399"/>
        <v>1</v>
      </c>
      <c r="F2100" t="str">
        <f t="shared" si="396"/>
        <v>COM</v>
      </c>
      <c r="G2100" t="str">
        <f t="shared" si="404"/>
        <v>RAINER AUGUSTO LASMA COSTA (1353)</v>
      </c>
      <c r="H2100" t="str">
        <f>"Serv.Prest. 02/03/2026 a 08/03/2026 - PIX: CPF - CHAVE: 125.932.666-78"</f>
        <v>Serv.Prest. 02/03/2026 a 08/03/2026 - PIX: CPF - CHAVE: 125.932.666-78</v>
      </c>
      <c r="I2100" t="str">
        <f t="shared" si="395"/>
        <v>12/03/2026</v>
      </c>
      <c r="J2100" t="str">
        <f t="shared" si="403"/>
        <v>11/03/2026</v>
      </c>
      <c r="K2100" t="str">
        <f>("12/03/2026")</f>
        <v>12/03/2026</v>
      </c>
      <c r="L2100">
        <v>6</v>
      </c>
      <c r="M2100">
        <v>6</v>
      </c>
      <c r="N2100">
        <v>109</v>
      </c>
      <c r="O2100" t="str">
        <f>"PAGAMENTO DE ENTREGADORES"</f>
        <v>PAGAMENTO DE ENTREGADORES</v>
      </c>
      <c r="P2100">
        <v>6</v>
      </c>
      <c r="S2100" t="str">
        <f>"BANCO C6 (149)"</f>
        <v>BANCO C6 (149)</v>
      </c>
      <c r="T2100">
        <v>31107</v>
      </c>
      <c r="U2100">
        <v>34739</v>
      </c>
      <c r="V2100" t="s">
        <v>37</v>
      </c>
    </row>
    <row r="2101" spans="1:22">
      <c r="A2101" t="str">
        <f t="shared" si="398"/>
        <v>12/03/2026</v>
      </c>
      <c r="B2101" t="str">
        <f t="shared" si="393"/>
        <v>SAÍDA</v>
      </c>
      <c r="C2101" t="str">
        <f t="shared" si="394"/>
        <v>PIX</v>
      </c>
      <c r="D2101" t="str">
        <f>"34739"</f>
        <v>34739</v>
      </c>
      <c r="E2101" t="str">
        <f t="shared" si="399"/>
        <v>1</v>
      </c>
      <c r="F2101" t="str">
        <f t="shared" si="396"/>
        <v>COM</v>
      </c>
      <c r="G2101" t="str">
        <f t="shared" si="404"/>
        <v>RAINER AUGUSTO LASMA COSTA (1353)</v>
      </c>
      <c r="H2101" t="s">
        <v>667</v>
      </c>
      <c r="I2101" t="str">
        <f t="shared" si="395"/>
        <v>12/03/2026</v>
      </c>
      <c r="J2101" t="str">
        <f t="shared" si="403"/>
        <v>11/03/2026</v>
      </c>
      <c r="K2101">
        <v>46093</v>
      </c>
      <c r="N2101">
        <v>109</v>
      </c>
      <c r="O2101" t="s">
        <v>27</v>
      </c>
      <c r="Q2101">
        <v>6</v>
      </c>
      <c r="R2101" t="str">
        <f>"PAGUE MENOS 879 (10305)"</f>
        <v>PAGUE MENOS 879 (10305)</v>
      </c>
      <c r="S2101" t="s">
        <v>37</v>
      </c>
      <c r="T2101">
        <v>31107</v>
      </c>
      <c r="U2101">
        <v>34739</v>
      </c>
      <c r="V2101" t="s">
        <v>37</v>
      </c>
    </row>
    <row r="2102" spans="1:22">
      <c r="A2102" t="str">
        <f t="shared" si="398"/>
        <v>12/03/2026</v>
      </c>
      <c r="B2102" t="str">
        <f t="shared" si="393"/>
        <v>SAÍDA</v>
      </c>
      <c r="C2102" t="str">
        <f t="shared" si="394"/>
        <v>PIX</v>
      </c>
      <c r="D2102" t="str">
        <f>"34740"</f>
        <v>34740</v>
      </c>
      <c r="E2102" t="str">
        <f t="shared" si="399"/>
        <v>1</v>
      </c>
      <c r="F2102" t="str">
        <f t="shared" si="396"/>
        <v>COM</v>
      </c>
      <c r="G2102" t="str">
        <f t="shared" si="404"/>
        <v>RAINER AUGUSTO LASMA COSTA (1353)</v>
      </c>
      <c r="H2102" t="str">
        <f>"Serv.Prest. 02/03/2026 a 08/03/2026 - PIX: CPF - CHAVE: 125.932.666-78"</f>
        <v>Serv.Prest. 02/03/2026 a 08/03/2026 - PIX: CPF - CHAVE: 125.932.666-78</v>
      </c>
      <c r="I2102" t="str">
        <f t="shared" si="395"/>
        <v>12/03/2026</v>
      </c>
      <c r="J2102" t="str">
        <f t="shared" si="403"/>
        <v>11/03/2026</v>
      </c>
      <c r="K2102" t="str">
        <f>("12/03/2026")</f>
        <v>12/03/2026</v>
      </c>
      <c r="L2102">
        <v>6</v>
      </c>
      <c r="M2102">
        <v>6</v>
      </c>
      <c r="N2102">
        <v>109</v>
      </c>
      <c r="O2102" t="str">
        <f>"PAGAMENTO DE ENTREGADORES"</f>
        <v>PAGAMENTO DE ENTREGADORES</v>
      </c>
      <c r="P2102">
        <v>6</v>
      </c>
      <c r="S2102" t="str">
        <f>"BANCO C6 (149)"</f>
        <v>BANCO C6 (149)</v>
      </c>
      <c r="T2102">
        <v>31108</v>
      </c>
      <c r="U2102">
        <v>34740</v>
      </c>
      <c r="V2102" t="s">
        <v>37</v>
      </c>
    </row>
    <row r="2103" spans="1:22">
      <c r="A2103" t="str">
        <f t="shared" si="398"/>
        <v>12/03/2026</v>
      </c>
      <c r="B2103" t="str">
        <f t="shared" si="393"/>
        <v>SAÍDA</v>
      </c>
      <c r="C2103" t="str">
        <f t="shared" si="394"/>
        <v>PIX</v>
      </c>
      <c r="D2103" t="str">
        <f>"34740"</f>
        <v>34740</v>
      </c>
      <c r="E2103" t="str">
        <f t="shared" si="399"/>
        <v>1</v>
      </c>
      <c r="F2103" t="str">
        <f t="shared" si="396"/>
        <v>COM</v>
      </c>
      <c r="G2103" t="str">
        <f t="shared" si="404"/>
        <v>RAINER AUGUSTO LASMA COSTA (1353)</v>
      </c>
      <c r="H2103" t="s">
        <v>667</v>
      </c>
      <c r="I2103" t="str">
        <f t="shared" si="395"/>
        <v>12/03/2026</v>
      </c>
      <c r="J2103" t="str">
        <f t="shared" si="403"/>
        <v>11/03/2026</v>
      </c>
      <c r="K2103">
        <v>46093</v>
      </c>
      <c r="N2103">
        <v>109</v>
      </c>
      <c r="O2103" t="s">
        <v>27</v>
      </c>
      <c r="Q2103">
        <v>6</v>
      </c>
      <c r="R2103" t="str">
        <f>"PAGUE MENOS 377 (10300)"</f>
        <v>PAGUE MENOS 377 (10300)</v>
      </c>
      <c r="S2103" t="s">
        <v>37</v>
      </c>
      <c r="T2103">
        <v>31108</v>
      </c>
      <c r="U2103">
        <v>34740</v>
      </c>
      <c r="V2103" t="s">
        <v>37</v>
      </c>
    </row>
    <row r="2104" spans="1:22">
      <c r="A2104" t="str">
        <f t="shared" si="398"/>
        <v>12/03/2026</v>
      </c>
      <c r="B2104" t="str">
        <f t="shared" ref="B2104:B2126" si="405">"SAÍDA"</f>
        <v>SAÍDA</v>
      </c>
      <c r="C2104" t="str">
        <f t="shared" si="394"/>
        <v>PIX</v>
      </c>
      <c r="D2104" t="str">
        <f>"34741"</f>
        <v>34741</v>
      </c>
      <c r="E2104" t="str">
        <f t="shared" si="399"/>
        <v>1</v>
      </c>
      <c r="F2104" t="str">
        <f t="shared" si="396"/>
        <v>COM</v>
      </c>
      <c r="G2104" t="str">
        <f t="shared" si="404"/>
        <v>RAINER AUGUSTO LASMA COSTA (1353)</v>
      </c>
      <c r="H2104" t="str">
        <f>"Serv.Prest. 02/03/2026 a 08/03/2026 - PIX: CPF - CHAVE: 125.932.666-78"</f>
        <v>Serv.Prest. 02/03/2026 a 08/03/2026 - PIX: CPF - CHAVE: 125.932.666-78</v>
      </c>
      <c r="I2104" t="str">
        <f t="shared" si="395"/>
        <v>12/03/2026</v>
      </c>
      <c r="J2104" t="str">
        <f t="shared" si="403"/>
        <v>11/03/2026</v>
      </c>
      <c r="K2104" t="str">
        <f>("12/03/2026")</f>
        <v>12/03/2026</v>
      </c>
      <c r="L2104">
        <v>6</v>
      </c>
      <c r="M2104">
        <v>6</v>
      </c>
      <c r="N2104">
        <v>109</v>
      </c>
      <c r="O2104" t="str">
        <f>"PAGAMENTO DE ENTREGADORES"</f>
        <v>PAGAMENTO DE ENTREGADORES</v>
      </c>
      <c r="P2104">
        <v>6</v>
      </c>
      <c r="S2104" t="str">
        <f>"BANCO C6 (149)"</f>
        <v>BANCO C6 (149)</v>
      </c>
      <c r="T2104">
        <v>31109</v>
      </c>
      <c r="U2104">
        <v>34741</v>
      </c>
      <c r="V2104" t="s">
        <v>37</v>
      </c>
    </row>
    <row r="2105" spans="1:22">
      <c r="A2105" t="str">
        <f t="shared" si="398"/>
        <v>12/03/2026</v>
      </c>
      <c r="B2105" t="str">
        <f t="shared" si="405"/>
        <v>SAÍDA</v>
      </c>
      <c r="C2105" t="str">
        <f t="shared" si="394"/>
        <v>PIX</v>
      </c>
      <c r="D2105" t="str">
        <f>"34741"</f>
        <v>34741</v>
      </c>
      <c r="E2105" t="str">
        <f t="shared" si="399"/>
        <v>1</v>
      </c>
      <c r="F2105" t="str">
        <f t="shared" si="396"/>
        <v>COM</v>
      </c>
      <c r="G2105" t="str">
        <f t="shared" si="404"/>
        <v>RAINER AUGUSTO LASMA COSTA (1353)</v>
      </c>
      <c r="H2105" t="s">
        <v>667</v>
      </c>
      <c r="I2105" t="str">
        <f t="shared" si="395"/>
        <v>12/03/2026</v>
      </c>
      <c r="J2105" t="str">
        <f t="shared" si="403"/>
        <v>11/03/2026</v>
      </c>
      <c r="K2105">
        <v>46093</v>
      </c>
      <c r="N2105">
        <v>109</v>
      </c>
      <c r="O2105" t="s">
        <v>27</v>
      </c>
      <c r="Q2105">
        <v>6</v>
      </c>
      <c r="R2105" t="str">
        <f>"PAGUE MENOS 1156 (10308)"</f>
        <v>PAGUE MENOS 1156 (10308)</v>
      </c>
      <c r="S2105" t="s">
        <v>37</v>
      </c>
      <c r="T2105">
        <v>31109</v>
      </c>
      <c r="U2105">
        <v>34741</v>
      </c>
      <c r="V2105" t="s">
        <v>37</v>
      </c>
    </row>
    <row r="2106" spans="1:22">
      <c r="A2106" t="str">
        <f t="shared" si="398"/>
        <v>12/03/2026</v>
      </c>
      <c r="B2106" t="str">
        <f t="shared" si="405"/>
        <v>SAÍDA</v>
      </c>
      <c r="C2106" t="str">
        <f t="shared" si="394"/>
        <v>PIX</v>
      </c>
      <c r="D2106" t="str">
        <f>"34744"</f>
        <v>34744</v>
      </c>
      <c r="E2106" t="str">
        <f t="shared" si="399"/>
        <v>1</v>
      </c>
      <c r="F2106" t="str">
        <f t="shared" si="396"/>
        <v>COM</v>
      </c>
      <c r="G2106" t="str">
        <f>"THAIS SILVA MAIA (1057)"</f>
        <v>THAIS SILVA MAIA (1057)</v>
      </c>
      <c r="H2106" t="str">
        <f>"Serv.Prest. 02/03/2026 a 08/03/2026 - PIX: CELULAR - CHAVE: (34) 99688-5705"</f>
        <v>Serv.Prest. 02/03/2026 a 08/03/2026 - PIX: CELULAR - CHAVE: (34) 99688-5705</v>
      </c>
      <c r="I2106" t="str">
        <f t="shared" si="395"/>
        <v>12/03/2026</v>
      </c>
      <c r="J2106" t="str">
        <f t="shared" si="403"/>
        <v>11/03/2026</v>
      </c>
      <c r="K2106" t="str">
        <f>("12/03/2026")</f>
        <v>12/03/2026</v>
      </c>
      <c r="L2106">
        <v>1378</v>
      </c>
      <c r="M2106">
        <v>1378</v>
      </c>
      <c r="N2106">
        <v>109</v>
      </c>
      <c r="O2106" t="str">
        <f>"PAGAMENTO DE ENTREGADORES"</f>
        <v>PAGAMENTO DE ENTREGADORES</v>
      </c>
      <c r="P2106">
        <v>1378</v>
      </c>
      <c r="S2106" t="str">
        <f>"BANCO C6 (149)"</f>
        <v>BANCO C6 (149)</v>
      </c>
      <c r="T2106">
        <v>31110</v>
      </c>
      <c r="U2106">
        <v>34744</v>
      </c>
      <c r="V2106" t="s">
        <v>37</v>
      </c>
    </row>
    <row r="2107" spans="1:22">
      <c r="A2107" t="str">
        <f t="shared" si="398"/>
        <v>12/03/2026</v>
      </c>
      <c r="B2107" t="str">
        <f t="shared" si="405"/>
        <v>SAÍDA</v>
      </c>
      <c r="C2107" t="str">
        <f t="shared" si="394"/>
        <v>PIX</v>
      </c>
      <c r="D2107" t="str">
        <f>"34744"</f>
        <v>34744</v>
      </c>
      <c r="E2107" t="str">
        <f t="shared" si="399"/>
        <v>1</v>
      </c>
      <c r="F2107" t="str">
        <f t="shared" si="396"/>
        <v>COM</v>
      </c>
      <c r="G2107" t="str">
        <f>"THAIS SILVA MAIA (1057)"</f>
        <v>THAIS SILVA MAIA (1057)</v>
      </c>
      <c r="H2107" t="s">
        <v>502</v>
      </c>
      <c r="I2107" t="str">
        <f t="shared" si="395"/>
        <v>12/03/2026</v>
      </c>
      <c r="J2107" t="str">
        <f t="shared" si="403"/>
        <v>11/03/2026</v>
      </c>
      <c r="K2107">
        <v>46093</v>
      </c>
      <c r="N2107">
        <v>109</v>
      </c>
      <c r="O2107" t="s">
        <v>27</v>
      </c>
      <c r="Q2107">
        <v>1378</v>
      </c>
      <c r="R2107" t="str">
        <f>"PAGMENOS - LJ 768 (10266)"</f>
        <v>PAGMENOS - LJ 768 (10266)</v>
      </c>
      <c r="S2107" t="s">
        <v>37</v>
      </c>
      <c r="T2107">
        <v>31110</v>
      </c>
      <c r="U2107">
        <v>34744</v>
      </c>
      <c r="V2107" t="s">
        <v>37</v>
      </c>
    </row>
    <row r="2108" spans="1:22">
      <c r="A2108" t="str">
        <f t="shared" si="398"/>
        <v>12/03/2026</v>
      </c>
      <c r="B2108" t="str">
        <f t="shared" si="405"/>
        <v>SAÍDA</v>
      </c>
      <c r="C2108" t="str">
        <f t="shared" si="394"/>
        <v>PIX</v>
      </c>
      <c r="D2108" t="str">
        <f>"34745"</f>
        <v>34745</v>
      </c>
      <c r="E2108" t="str">
        <f t="shared" si="399"/>
        <v>1</v>
      </c>
      <c r="F2108" t="str">
        <f t="shared" si="396"/>
        <v>COM</v>
      </c>
      <c r="G2108" t="str">
        <f>"THIAGO BRUNNO CONCEICAO DE LIMA (1084)"</f>
        <v>THIAGO BRUNNO CONCEICAO DE LIMA (1084)</v>
      </c>
      <c r="H2108" t="str">
        <f>"Serv.Prest. DIARIA 08/03/2026 - PIX: CELULAR - CHAVE: (34) 99991-3450"</f>
        <v>Serv.Prest. DIARIA 08/03/2026 - PIX: CELULAR - CHAVE: (34) 99991-3450</v>
      </c>
      <c r="I2108" t="str">
        <f t="shared" si="395"/>
        <v>12/03/2026</v>
      </c>
      <c r="J2108" t="str">
        <f t="shared" si="403"/>
        <v>11/03/2026</v>
      </c>
      <c r="K2108" t="str">
        <f>("12/03/2026")</f>
        <v>12/03/2026</v>
      </c>
      <c r="L2108">
        <v>120</v>
      </c>
      <c r="M2108">
        <v>120</v>
      </c>
      <c r="N2108">
        <v>134</v>
      </c>
      <c r="O2108" t="str">
        <f>"DIARIA DE MOTOBOY"</f>
        <v>DIARIA DE MOTOBOY</v>
      </c>
      <c r="P2108">
        <v>120</v>
      </c>
      <c r="S2108" t="str">
        <f>"BANCO C6 (149)"</f>
        <v>BANCO C6 (149)</v>
      </c>
      <c r="T2108">
        <v>31111</v>
      </c>
      <c r="U2108">
        <v>34745</v>
      </c>
      <c r="V2108" t="s">
        <v>37</v>
      </c>
    </row>
    <row r="2109" spans="1:22">
      <c r="A2109" t="str">
        <f t="shared" si="398"/>
        <v>12/03/2026</v>
      </c>
      <c r="B2109" t="str">
        <f t="shared" si="405"/>
        <v>SAÍDA</v>
      </c>
      <c r="C2109" t="str">
        <f t="shared" si="394"/>
        <v>PIX</v>
      </c>
      <c r="D2109" t="str">
        <f>"34745"</f>
        <v>34745</v>
      </c>
      <c r="E2109" t="str">
        <f t="shared" si="399"/>
        <v>1</v>
      </c>
      <c r="F2109" t="str">
        <f t="shared" si="396"/>
        <v>COM</v>
      </c>
      <c r="G2109" t="str">
        <f>"THIAGO BRUNNO CONCEICAO DE LIMA (1084)"</f>
        <v>THIAGO BRUNNO CONCEICAO DE LIMA (1084)</v>
      </c>
      <c r="H2109" t="s">
        <v>668</v>
      </c>
      <c r="I2109" t="str">
        <f t="shared" si="395"/>
        <v>12/03/2026</v>
      </c>
      <c r="J2109" t="str">
        <f t="shared" si="403"/>
        <v>11/03/2026</v>
      </c>
      <c r="K2109">
        <v>46093</v>
      </c>
      <c r="N2109">
        <v>134</v>
      </c>
      <c r="O2109" t="s">
        <v>30</v>
      </c>
      <c r="Q2109">
        <v>60</v>
      </c>
      <c r="R2109" t="str">
        <f>"PAGMENOS - LJ 608 (10135)"</f>
        <v>PAGMENOS - LJ 608 (10135)</v>
      </c>
      <c r="S2109" t="s">
        <v>37</v>
      </c>
      <c r="T2109">
        <v>31111</v>
      </c>
      <c r="U2109">
        <v>34745</v>
      </c>
      <c r="V2109" t="s">
        <v>37</v>
      </c>
    </row>
    <row r="2110" spans="1:22">
      <c r="A2110" t="str">
        <f t="shared" si="398"/>
        <v>12/03/2026</v>
      </c>
      <c r="B2110" t="str">
        <f t="shared" si="405"/>
        <v>SAÍDA</v>
      </c>
      <c r="C2110" t="str">
        <f t="shared" si="394"/>
        <v>PIX</v>
      </c>
      <c r="D2110" t="str">
        <f>"34745"</f>
        <v>34745</v>
      </c>
      <c r="E2110" t="str">
        <f t="shared" si="399"/>
        <v>1</v>
      </c>
      <c r="F2110" t="str">
        <f t="shared" si="396"/>
        <v>COM</v>
      </c>
      <c r="G2110" t="str">
        <f>"THIAGO BRUNNO CONCEICAO DE LIMA (1084)"</f>
        <v>THIAGO BRUNNO CONCEICAO DE LIMA (1084)</v>
      </c>
      <c r="H2110" t="s">
        <v>668</v>
      </c>
      <c r="I2110" t="str">
        <f t="shared" si="395"/>
        <v>12/03/2026</v>
      </c>
      <c r="J2110" t="str">
        <f t="shared" si="403"/>
        <v>11/03/2026</v>
      </c>
      <c r="K2110">
        <v>46093</v>
      </c>
      <c r="N2110">
        <v>134</v>
      </c>
      <c r="O2110" t="s">
        <v>30</v>
      </c>
      <c r="Q2110">
        <v>60</v>
      </c>
      <c r="R2110" t="str">
        <f>"PAGMENOS - LJ 431 (10265)"</f>
        <v>PAGMENOS - LJ 431 (10265)</v>
      </c>
      <c r="S2110" t="s">
        <v>37</v>
      </c>
      <c r="T2110">
        <v>31111</v>
      </c>
      <c r="U2110">
        <v>34745</v>
      </c>
      <c r="V2110" t="s">
        <v>37</v>
      </c>
    </row>
    <row r="2111" spans="1:22">
      <c r="A2111" t="str">
        <f t="shared" si="398"/>
        <v>12/03/2026</v>
      </c>
      <c r="B2111" t="str">
        <f t="shared" si="405"/>
        <v>SAÍDA</v>
      </c>
      <c r="C2111" t="str">
        <f t="shared" si="394"/>
        <v>PIX</v>
      </c>
      <c r="D2111" t="str">
        <f>"34744"</f>
        <v>34744</v>
      </c>
      <c r="E2111" t="str">
        <f t="shared" si="399"/>
        <v>1</v>
      </c>
      <c r="F2111" t="str">
        <f t="shared" si="396"/>
        <v>COM</v>
      </c>
      <c r="G2111" t="str">
        <f>"THAIS SILVA MAIA (1057)"</f>
        <v>THAIS SILVA MAIA (1057)</v>
      </c>
      <c r="H2111" t="str">
        <f>"Serv.Prest. DIARIA 08/03/2026 - PIX: CELULAR - CHAVE: (34) 99688-5705"</f>
        <v>Serv.Prest. DIARIA 08/03/2026 - PIX: CELULAR - CHAVE: (34) 99688-5705</v>
      </c>
      <c r="I2111" t="str">
        <f t="shared" si="395"/>
        <v>12/03/2026</v>
      </c>
      <c r="J2111" t="str">
        <f t="shared" si="403"/>
        <v>11/03/2026</v>
      </c>
      <c r="K2111" t="str">
        <f>("12/03/2026")</f>
        <v>12/03/2026</v>
      </c>
      <c r="L2111">
        <v>120</v>
      </c>
      <c r="M2111">
        <v>120</v>
      </c>
      <c r="N2111">
        <v>134</v>
      </c>
      <c r="O2111" t="str">
        <f>"DIARIA DE MOTOBOY"</f>
        <v>DIARIA DE MOTOBOY</v>
      </c>
      <c r="P2111">
        <v>120</v>
      </c>
      <c r="S2111" t="str">
        <f>"BANCO C6 (149)"</f>
        <v>BANCO C6 (149)</v>
      </c>
      <c r="T2111">
        <v>31112</v>
      </c>
      <c r="U2111">
        <v>34753</v>
      </c>
      <c r="V2111" t="s">
        <v>37</v>
      </c>
    </row>
    <row r="2112" spans="1:22">
      <c r="A2112" t="str">
        <f t="shared" si="398"/>
        <v>12/03/2026</v>
      </c>
      <c r="B2112" t="str">
        <f t="shared" si="405"/>
        <v>SAÍDA</v>
      </c>
      <c r="C2112" t="str">
        <f t="shared" ref="C2112:C2126" si="406">"PIX"</f>
        <v>PIX</v>
      </c>
      <c r="D2112" t="str">
        <f>"34744"</f>
        <v>34744</v>
      </c>
      <c r="E2112" t="str">
        <f t="shared" si="399"/>
        <v>1</v>
      </c>
      <c r="F2112" t="str">
        <f t="shared" si="396"/>
        <v>COM</v>
      </c>
      <c r="G2112" t="str">
        <f>"THAIS SILVA MAIA (1057)"</f>
        <v>THAIS SILVA MAIA (1057)</v>
      </c>
      <c r="H2112" t="s">
        <v>669</v>
      </c>
      <c r="I2112" t="str">
        <f t="shared" ref="I2112:I2126" si="407">("12/03/2026")</f>
        <v>12/03/2026</v>
      </c>
      <c r="J2112" t="str">
        <f t="shared" si="403"/>
        <v>11/03/2026</v>
      </c>
      <c r="K2112">
        <v>46093</v>
      </c>
      <c r="N2112">
        <v>134</v>
      </c>
      <c r="O2112" t="s">
        <v>30</v>
      </c>
      <c r="Q2112">
        <v>120</v>
      </c>
      <c r="R2112" t="str">
        <f>"PAGMENOS - LJ 768 (10266)"</f>
        <v>PAGMENOS - LJ 768 (10266)</v>
      </c>
      <c r="S2112" t="s">
        <v>37</v>
      </c>
      <c r="T2112">
        <v>31112</v>
      </c>
      <c r="U2112">
        <v>34753</v>
      </c>
      <c r="V2112" t="s">
        <v>37</v>
      </c>
    </row>
    <row r="2113" spans="1:22">
      <c r="A2113" t="str">
        <f t="shared" si="398"/>
        <v>12/03/2026</v>
      </c>
      <c r="B2113" t="str">
        <f t="shared" si="405"/>
        <v>SAÍDA</v>
      </c>
      <c r="C2113" t="str">
        <f t="shared" si="406"/>
        <v>PIX</v>
      </c>
      <c r="D2113" t="str">
        <f>"34747"</f>
        <v>34747</v>
      </c>
      <c r="E2113" t="str">
        <f t="shared" si="399"/>
        <v>1</v>
      </c>
      <c r="F2113" t="str">
        <f t="shared" si="396"/>
        <v>COM</v>
      </c>
      <c r="G2113" t="str">
        <f>"WELDER LINHARES ALVES (1306)"</f>
        <v>WELDER LINHARES ALVES (1306)</v>
      </c>
      <c r="H2113" t="str">
        <f>"Serv.Prest. 02/03/2026 a 08/03/2026 - PIX: CHAVE ALEATÓRIA - CHAVE: b7127766-e2b6-47e0-bdc0-95f13babb6f4"</f>
        <v>Serv.Prest. 02/03/2026 a 08/03/2026 - PIX: CHAVE ALEATÓRIA - CHAVE: b7127766-e2b6-47e0-bdc0-95f13babb6f4</v>
      </c>
      <c r="I2113" t="str">
        <f t="shared" si="407"/>
        <v>12/03/2026</v>
      </c>
      <c r="J2113" t="str">
        <f t="shared" si="403"/>
        <v>11/03/2026</v>
      </c>
      <c r="K2113" t="str">
        <f>("12/03/2026")</f>
        <v>12/03/2026</v>
      </c>
      <c r="L2113">
        <v>348</v>
      </c>
      <c r="M2113">
        <v>348</v>
      </c>
      <c r="N2113">
        <v>109</v>
      </c>
      <c r="O2113" t="str">
        <f>"PAGAMENTO DE ENTREGADORES"</f>
        <v>PAGAMENTO DE ENTREGADORES</v>
      </c>
      <c r="P2113">
        <v>348</v>
      </c>
      <c r="S2113" t="str">
        <f>"BANCO C6 (149)"</f>
        <v>BANCO C6 (149)</v>
      </c>
      <c r="T2113">
        <v>31113</v>
      </c>
      <c r="U2113">
        <v>34747</v>
      </c>
      <c r="V2113" t="s">
        <v>37</v>
      </c>
    </row>
    <row r="2114" spans="1:22">
      <c r="A2114" t="str">
        <f t="shared" si="398"/>
        <v>12/03/2026</v>
      </c>
      <c r="B2114" t="str">
        <f t="shared" si="405"/>
        <v>SAÍDA</v>
      </c>
      <c r="C2114" t="str">
        <f t="shared" si="406"/>
        <v>PIX</v>
      </c>
      <c r="D2114" t="str">
        <f>"34747"</f>
        <v>34747</v>
      </c>
      <c r="E2114" t="str">
        <f t="shared" si="399"/>
        <v>1</v>
      </c>
      <c r="F2114" t="str">
        <f t="shared" ref="F2114:F2177" si="408">"COM"</f>
        <v>COM</v>
      </c>
      <c r="G2114" t="str">
        <f>"WELDER LINHARES ALVES (1306)"</f>
        <v>WELDER LINHARES ALVES (1306)</v>
      </c>
      <c r="H2114" t="s">
        <v>670</v>
      </c>
      <c r="I2114" t="str">
        <f t="shared" si="407"/>
        <v>12/03/2026</v>
      </c>
      <c r="J2114" t="str">
        <f t="shared" si="403"/>
        <v>11/03/2026</v>
      </c>
      <c r="K2114">
        <v>46093</v>
      </c>
      <c r="N2114">
        <v>109</v>
      </c>
      <c r="O2114" t="s">
        <v>27</v>
      </c>
      <c r="Q2114">
        <v>348</v>
      </c>
      <c r="R2114" t="str">
        <f>"PAGMENOS - LJ 768 (10266)"</f>
        <v>PAGMENOS - LJ 768 (10266)</v>
      </c>
      <c r="S2114" t="s">
        <v>37</v>
      </c>
      <c r="T2114">
        <v>31113</v>
      </c>
      <c r="U2114">
        <v>34747</v>
      </c>
      <c r="V2114" t="s">
        <v>37</v>
      </c>
    </row>
    <row r="2115" spans="1:22">
      <c r="A2115" t="str">
        <f t="shared" si="398"/>
        <v>12/03/2026</v>
      </c>
      <c r="B2115" t="str">
        <f t="shared" si="405"/>
        <v>SAÍDA</v>
      </c>
      <c r="C2115" t="str">
        <f t="shared" si="406"/>
        <v>PIX</v>
      </c>
      <c r="D2115" t="str">
        <f>"34749"</f>
        <v>34749</v>
      </c>
      <c r="E2115" t="str">
        <f t="shared" si="399"/>
        <v>1</v>
      </c>
      <c r="F2115" t="str">
        <f t="shared" si="408"/>
        <v>COM</v>
      </c>
      <c r="G2115" t="str">
        <f>"WENDERSON SILVA MAIA (1238)"</f>
        <v>WENDERSON SILVA MAIA (1238)</v>
      </c>
      <c r="H2115" t="str">
        <f>"Serv.Prest. 02/03/2026 a 08/03/2026 - PIX: E-MAIL - CHAVE: wender.56@hotmail.com"</f>
        <v>Serv.Prest. 02/03/2026 a 08/03/2026 - PIX: E-MAIL - CHAVE: wender.56@hotmail.com</v>
      </c>
      <c r="I2115" t="str">
        <f t="shared" si="407"/>
        <v>12/03/2026</v>
      </c>
      <c r="J2115" t="str">
        <f t="shared" si="403"/>
        <v>11/03/2026</v>
      </c>
      <c r="K2115" t="str">
        <f>("12/03/2026")</f>
        <v>12/03/2026</v>
      </c>
      <c r="L2115">
        <v>348</v>
      </c>
      <c r="M2115">
        <v>348</v>
      </c>
      <c r="N2115">
        <v>109</v>
      </c>
      <c r="O2115" t="str">
        <f>"PAGAMENTO DE ENTREGADORES"</f>
        <v>PAGAMENTO DE ENTREGADORES</v>
      </c>
      <c r="P2115">
        <v>348</v>
      </c>
      <c r="S2115" t="str">
        <f>"BANCO C6 (149)"</f>
        <v>BANCO C6 (149)</v>
      </c>
      <c r="T2115">
        <v>31114</v>
      </c>
      <c r="U2115">
        <v>34749</v>
      </c>
      <c r="V2115" t="s">
        <v>37</v>
      </c>
    </row>
    <row r="2116" spans="1:22">
      <c r="A2116" t="str">
        <f t="shared" si="398"/>
        <v>12/03/2026</v>
      </c>
      <c r="B2116" t="str">
        <f t="shared" si="405"/>
        <v>SAÍDA</v>
      </c>
      <c r="C2116" t="str">
        <f t="shared" si="406"/>
        <v>PIX</v>
      </c>
      <c r="D2116" t="str">
        <f>"34749"</f>
        <v>34749</v>
      </c>
      <c r="E2116" t="str">
        <f t="shared" si="399"/>
        <v>1</v>
      </c>
      <c r="F2116" t="str">
        <f t="shared" si="408"/>
        <v>COM</v>
      </c>
      <c r="G2116" t="str">
        <f>"WENDERSON SILVA MAIA (1238)"</f>
        <v>WENDERSON SILVA MAIA (1238)</v>
      </c>
      <c r="H2116" t="s">
        <v>671</v>
      </c>
      <c r="I2116" t="str">
        <f t="shared" si="407"/>
        <v>12/03/2026</v>
      </c>
      <c r="J2116" t="str">
        <f t="shared" si="403"/>
        <v>11/03/2026</v>
      </c>
      <c r="K2116">
        <v>46093</v>
      </c>
      <c r="N2116">
        <v>109</v>
      </c>
      <c r="O2116" t="s">
        <v>27</v>
      </c>
      <c r="Q2116">
        <v>348</v>
      </c>
      <c r="R2116" t="str">
        <f>"PAGMENOS - LJ 768 (10266)"</f>
        <v>PAGMENOS - LJ 768 (10266)</v>
      </c>
      <c r="S2116" t="s">
        <v>37</v>
      </c>
      <c r="T2116">
        <v>31114</v>
      </c>
      <c r="U2116">
        <v>34749</v>
      </c>
      <c r="V2116" t="s">
        <v>37</v>
      </c>
    </row>
    <row r="2117" spans="1:22">
      <c r="A2117" t="str">
        <f t="shared" si="398"/>
        <v>12/03/2026</v>
      </c>
      <c r="B2117" t="str">
        <f t="shared" si="405"/>
        <v>SAÍDA</v>
      </c>
      <c r="C2117" t="str">
        <f t="shared" si="406"/>
        <v>PIX</v>
      </c>
      <c r="D2117" t="str">
        <f t="shared" ref="D2117:D2126" si="409">"12032026"</f>
        <v>12032026</v>
      </c>
      <c r="E2117" t="str">
        <f>""</f>
        <v/>
      </c>
      <c r="F2117" t="str">
        <f t="shared" si="408"/>
        <v>COM</v>
      </c>
      <c r="G2117" t="str">
        <f>"WILLIAM FERREIRA (900)"</f>
        <v>WILLIAM FERREIRA (900)</v>
      </c>
      <c r="H2117" t="str">
        <f>"Serv.Prest. DIÁRIA 08/03/2026 - PIX: CPF - CHAVE: 106.393.056-10"</f>
        <v>Serv.Prest. DIÁRIA 08/03/2026 - PIX: CPF - CHAVE: 106.393.056-10</v>
      </c>
      <c r="I2117" t="str">
        <f t="shared" si="407"/>
        <v>12/03/2026</v>
      </c>
      <c r="J2117" t="str">
        <f t="shared" si="403"/>
        <v>11/03/2026</v>
      </c>
      <c r="K2117" t="str">
        <f>("12/03/2026")</f>
        <v>12/03/2026</v>
      </c>
      <c r="L2117">
        <v>140</v>
      </c>
      <c r="M2117">
        <v>140</v>
      </c>
      <c r="N2117">
        <v>134</v>
      </c>
      <c r="O2117" t="str">
        <f>"DIARIA DE MOTOBOY"</f>
        <v>DIARIA DE MOTOBOY</v>
      </c>
      <c r="P2117">
        <v>140</v>
      </c>
      <c r="S2117" t="str">
        <f>"BANCO C6 (149)"</f>
        <v>BANCO C6 (149)</v>
      </c>
      <c r="T2117">
        <v>31115</v>
      </c>
      <c r="U2117">
        <v>34752</v>
      </c>
      <c r="V2117" t="s">
        <v>37</v>
      </c>
    </row>
    <row r="2118" spans="1:22">
      <c r="A2118" t="str">
        <f t="shared" si="398"/>
        <v>12/03/2026</v>
      </c>
      <c r="B2118" t="str">
        <f t="shared" si="405"/>
        <v>SAÍDA</v>
      </c>
      <c r="C2118" t="str">
        <f t="shared" si="406"/>
        <v>PIX</v>
      </c>
      <c r="D2118" t="str">
        <f t="shared" si="409"/>
        <v>12032026</v>
      </c>
      <c r="E2118" t="str">
        <f>""</f>
        <v/>
      </c>
      <c r="F2118" t="str">
        <f t="shared" si="408"/>
        <v>COM</v>
      </c>
      <c r="G2118" t="str">
        <f>"WILLIAM FERREIRA (900)"</f>
        <v>WILLIAM FERREIRA (900)</v>
      </c>
      <c r="H2118" t="s">
        <v>672</v>
      </c>
      <c r="I2118" t="str">
        <f t="shared" si="407"/>
        <v>12/03/2026</v>
      </c>
      <c r="J2118" t="str">
        <f t="shared" si="403"/>
        <v>11/03/2026</v>
      </c>
      <c r="K2118">
        <v>46093</v>
      </c>
      <c r="N2118">
        <v>134</v>
      </c>
      <c r="O2118" t="s">
        <v>30</v>
      </c>
      <c r="Q2118">
        <v>140</v>
      </c>
      <c r="R2118" t="str">
        <f>"PAGMENOS - LJ 657 (10136)"</f>
        <v>PAGMENOS - LJ 657 (10136)</v>
      </c>
      <c r="S2118" t="s">
        <v>37</v>
      </c>
      <c r="T2118">
        <v>31115</v>
      </c>
      <c r="U2118">
        <v>34752</v>
      </c>
      <c r="V2118" t="s">
        <v>37</v>
      </c>
    </row>
    <row r="2119" spans="1:22">
      <c r="A2119" t="str">
        <f t="shared" si="398"/>
        <v>12/03/2026</v>
      </c>
      <c r="B2119" t="str">
        <f t="shared" si="405"/>
        <v>SAÍDA</v>
      </c>
      <c r="C2119" t="str">
        <f t="shared" si="406"/>
        <v>PIX</v>
      </c>
      <c r="D2119" t="str">
        <f t="shared" si="409"/>
        <v>12032026</v>
      </c>
      <c r="E2119" t="str">
        <f>""</f>
        <v/>
      </c>
      <c r="F2119" t="str">
        <f t="shared" si="408"/>
        <v>COM</v>
      </c>
      <c r="G2119" t="str">
        <f>"IAN DAVI SANTOS DALMONECHE (1318)"</f>
        <v>IAN DAVI SANTOS DALMONECHE (1318)</v>
      </c>
      <c r="H2119" t="str">
        <f>"Serv.Prest. 16/02/2026 a 22/02/2026 - PIX: CELULAR - CHAVE: (73) 99816-5318"</f>
        <v>Serv.Prest. 16/02/2026 a 22/02/2026 - PIX: CELULAR - CHAVE: (73) 99816-5318</v>
      </c>
      <c r="I2119" t="str">
        <f t="shared" si="407"/>
        <v>12/03/2026</v>
      </c>
      <c r="J2119" t="str">
        <f>("12/03/2026")</f>
        <v>12/03/2026</v>
      </c>
      <c r="K2119" t="str">
        <f>("12/03/2026")</f>
        <v>12/03/2026</v>
      </c>
      <c r="L2119">
        <v>276</v>
      </c>
      <c r="M2119">
        <v>276</v>
      </c>
      <c r="N2119">
        <v>109</v>
      </c>
      <c r="O2119" t="str">
        <f>"PAGAMENTO DE ENTREGADORES"</f>
        <v>PAGAMENTO DE ENTREGADORES</v>
      </c>
      <c r="P2119">
        <v>276</v>
      </c>
      <c r="S2119" t="str">
        <f>"BANCO C6 (149)"</f>
        <v>BANCO C6 (149)</v>
      </c>
      <c r="T2119">
        <v>31116</v>
      </c>
      <c r="U2119">
        <v>34814</v>
      </c>
      <c r="V2119" t="s">
        <v>37</v>
      </c>
    </row>
    <row r="2120" spans="1:22">
      <c r="A2120" t="str">
        <f t="shared" si="398"/>
        <v>12/03/2026</v>
      </c>
      <c r="B2120" t="str">
        <f t="shared" si="405"/>
        <v>SAÍDA</v>
      </c>
      <c r="C2120" t="str">
        <f t="shared" si="406"/>
        <v>PIX</v>
      </c>
      <c r="D2120" t="str">
        <f t="shared" si="409"/>
        <v>12032026</v>
      </c>
      <c r="E2120" t="str">
        <f>""</f>
        <v/>
      </c>
      <c r="F2120" t="str">
        <f t="shared" si="408"/>
        <v>COM</v>
      </c>
      <c r="G2120" t="str">
        <f>"IAN DAVI SANTOS DALMONECHE (1318)"</f>
        <v>IAN DAVI SANTOS DALMONECHE (1318)</v>
      </c>
      <c r="H2120" t="s">
        <v>272</v>
      </c>
      <c r="I2120" t="str">
        <f t="shared" si="407"/>
        <v>12/03/2026</v>
      </c>
      <c r="J2120" t="str">
        <f t="shared" ref="J2120:J2126" si="410">("12/03/2026")</f>
        <v>12/03/2026</v>
      </c>
      <c r="K2120">
        <v>46093</v>
      </c>
      <c r="N2120">
        <v>109</v>
      </c>
      <c r="O2120" t="s">
        <v>27</v>
      </c>
      <c r="Q2120">
        <v>276</v>
      </c>
      <c r="R2120" t="str">
        <f>"FARMÁCIA INDIANA LJ 65 (10030)"</f>
        <v>FARMÁCIA INDIANA LJ 65 (10030)</v>
      </c>
      <c r="S2120" t="s">
        <v>37</v>
      </c>
      <c r="T2120">
        <v>31116</v>
      </c>
      <c r="U2120">
        <v>34814</v>
      </c>
      <c r="V2120" t="s">
        <v>37</v>
      </c>
    </row>
    <row r="2121" spans="1:22">
      <c r="A2121" t="str">
        <f t="shared" ref="A2121:A2126" si="411">("12/03/2026")</f>
        <v>12/03/2026</v>
      </c>
      <c r="B2121" t="str">
        <f t="shared" si="405"/>
        <v>SAÍDA</v>
      </c>
      <c r="C2121" t="str">
        <f t="shared" si="406"/>
        <v>PIX</v>
      </c>
      <c r="D2121" t="str">
        <f t="shared" si="409"/>
        <v>12032026</v>
      </c>
      <c r="E2121" t="str">
        <f>""</f>
        <v/>
      </c>
      <c r="F2121" t="str">
        <f t="shared" si="408"/>
        <v>COM</v>
      </c>
      <c r="G2121" t="str">
        <f>"ELIEL PEREIRA BARBOZA DE LIMA (1321)"</f>
        <v>ELIEL PEREIRA BARBOZA DE LIMA (1321)</v>
      </c>
      <c r="H2121" t="str">
        <f>"Serv.Prest. DIÁRIA 09/03, 10/03/ e 11/03 - PIX: CPF - CHAVE: 276.110.698-96"</f>
        <v>Serv.Prest. DIÁRIA 09/03, 10/03/ e 11/03 - PIX: CPF - CHAVE: 276.110.698-96</v>
      </c>
      <c r="I2121" t="str">
        <f t="shared" si="407"/>
        <v>12/03/2026</v>
      </c>
      <c r="J2121" t="str">
        <f t="shared" si="410"/>
        <v>12/03/2026</v>
      </c>
      <c r="K2121" t="str">
        <f>("12/03/2026")</f>
        <v>12/03/2026</v>
      </c>
      <c r="L2121">
        <v>425</v>
      </c>
      <c r="M2121">
        <v>425</v>
      </c>
      <c r="N2121">
        <v>134</v>
      </c>
      <c r="O2121" t="str">
        <f>"DIARIA DE MOTOBOY"</f>
        <v>DIARIA DE MOTOBOY</v>
      </c>
      <c r="P2121">
        <v>425</v>
      </c>
      <c r="S2121" t="str">
        <f>"BANCO C6 (149)"</f>
        <v>BANCO C6 (149)</v>
      </c>
      <c r="T2121">
        <v>31117</v>
      </c>
      <c r="U2121">
        <v>34815</v>
      </c>
      <c r="V2121" t="s">
        <v>37</v>
      </c>
    </row>
    <row r="2122" spans="1:22">
      <c r="A2122" t="str">
        <f t="shared" si="411"/>
        <v>12/03/2026</v>
      </c>
      <c r="B2122" t="str">
        <f t="shared" si="405"/>
        <v>SAÍDA</v>
      </c>
      <c r="C2122" t="str">
        <f t="shared" si="406"/>
        <v>PIX</v>
      </c>
      <c r="D2122" t="str">
        <f t="shared" si="409"/>
        <v>12032026</v>
      </c>
      <c r="E2122" t="str">
        <f>""</f>
        <v/>
      </c>
      <c r="F2122" t="str">
        <f t="shared" si="408"/>
        <v>COM</v>
      </c>
      <c r="G2122" t="str">
        <f>"ELIEL PEREIRA BARBOZA DE LIMA (1321)"</f>
        <v>ELIEL PEREIRA BARBOZA DE LIMA (1321)</v>
      </c>
      <c r="H2122" t="s">
        <v>673</v>
      </c>
      <c r="I2122" t="str">
        <f t="shared" si="407"/>
        <v>12/03/2026</v>
      </c>
      <c r="J2122" t="str">
        <f t="shared" si="410"/>
        <v>12/03/2026</v>
      </c>
      <c r="K2122">
        <v>46093</v>
      </c>
      <c r="N2122">
        <v>134</v>
      </c>
      <c r="O2122" t="s">
        <v>30</v>
      </c>
      <c r="Q2122">
        <v>425</v>
      </c>
      <c r="R2122" t="str">
        <f>"FARMACIA ROSAS (10288)"</f>
        <v>FARMACIA ROSAS (10288)</v>
      </c>
      <c r="S2122" t="s">
        <v>37</v>
      </c>
      <c r="T2122">
        <v>31117</v>
      </c>
      <c r="U2122">
        <v>34815</v>
      </c>
      <c r="V2122" t="s">
        <v>37</v>
      </c>
    </row>
    <row r="2123" spans="1:22">
      <c r="A2123" t="str">
        <f t="shared" si="411"/>
        <v>12/03/2026</v>
      </c>
      <c r="B2123" t="str">
        <f t="shared" si="405"/>
        <v>SAÍDA</v>
      </c>
      <c r="C2123" t="str">
        <f t="shared" si="406"/>
        <v>PIX</v>
      </c>
      <c r="D2123" t="str">
        <f t="shared" si="409"/>
        <v>12032026</v>
      </c>
      <c r="E2123" t="str">
        <f>""</f>
        <v/>
      </c>
      <c r="F2123" t="str">
        <f t="shared" si="408"/>
        <v>COM</v>
      </c>
      <c r="G2123" t="str">
        <f>"VICTOR HENRIQUE GOUVEA (1360)"</f>
        <v>VICTOR HENRIQUE GOUVEA (1360)</v>
      </c>
      <c r="H2123" t="str">
        <f>"Serv.Prest. 09/03/, 10/03/ E 11/03 - PIX: E-MAIL - CHAVE: gouveavictor4@gmail.com"</f>
        <v>Serv.Prest. 09/03/, 10/03/ E 11/03 - PIX: E-MAIL - CHAVE: gouveavictor4@gmail.com</v>
      </c>
      <c r="I2123" t="str">
        <f t="shared" si="407"/>
        <v>12/03/2026</v>
      </c>
      <c r="J2123" t="str">
        <f t="shared" si="410"/>
        <v>12/03/2026</v>
      </c>
      <c r="K2123" t="str">
        <f>("12/03/2026")</f>
        <v>12/03/2026</v>
      </c>
      <c r="L2123">
        <v>322</v>
      </c>
      <c r="M2123">
        <v>322</v>
      </c>
      <c r="N2123">
        <v>109</v>
      </c>
      <c r="O2123" t="str">
        <f>"PAGAMENTO DE ENTREGADORES"</f>
        <v>PAGAMENTO DE ENTREGADORES</v>
      </c>
      <c r="P2123">
        <v>322</v>
      </c>
      <c r="S2123" t="str">
        <f>"BANCO C6 (149)"</f>
        <v>BANCO C6 (149)</v>
      </c>
      <c r="T2123">
        <v>31118</v>
      </c>
      <c r="U2123">
        <v>34816</v>
      </c>
      <c r="V2123" t="s">
        <v>37</v>
      </c>
    </row>
    <row r="2124" spans="1:22">
      <c r="A2124" t="str">
        <f t="shared" si="411"/>
        <v>12/03/2026</v>
      </c>
      <c r="B2124" t="str">
        <f t="shared" si="405"/>
        <v>SAÍDA</v>
      </c>
      <c r="C2124" t="str">
        <f t="shared" si="406"/>
        <v>PIX</v>
      </c>
      <c r="D2124" t="str">
        <f t="shared" si="409"/>
        <v>12032026</v>
      </c>
      <c r="E2124" t="str">
        <f>""</f>
        <v/>
      </c>
      <c r="F2124" t="str">
        <f t="shared" si="408"/>
        <v>COM</v>
      </c>
      <c r="G2124" t="str">
        <f>"VICTOR HENRIQUE GOUVEA (1360)"</f>
        <v>VICTOR HENRIQUE GOUVEA (1360)</v>
      </c>
      <c r="H2124" t="s">
        <v>674</v>
      </c>
      <c r="I2124" t="str">
        <f t="shared" si="407"/>
        <v>12/03/2026</v>
      </c>
      <c r="J2124" t="str">
        <f t="shared" si="410"/>
        <v>12/03/2026</v>
      </c>
      <c r="K2124">
        <v>46093</v>
      </c>
      <c r="N2124">
        <v>109</v>
      </c>
      <c r="O2124" t="s">
        <v>27</v>
      </c>
      <c r="Q2124">
        <v>322</v>
      </c>
      <c r="R2124" t="str">
        <f>"FARMACIA ROSAS (10288)"</f>
        <v>FARMACIA ROSAS (10288)</v>
      </c>
      <c r="S2124" t="s">
        <v>37</v>
      </c>
      <c r="T2124">
        <v>31118</v>
      </c>
      <c r="U2124">
        <v>34816</v>
      </c>
      <c r="V2124" t="s">
        <v>37</v>
      </c>
    </row>
    <row r="2125" spans="1:22">
      <c r="A2125" t="str">
        <f t="shared" si="411"/>
        <v>12/03/2026</v>
      </c>
      <c r="B2125" t="str">
        <f t="shared" si="405"/>
        <v>SAÍDA</v>
      </c>
      <c r="C2125" t="str">
        <f t="shared" si="406"/>
        <v>PIX</v>
      </c>
      <c r="D2125" t="str">
        <f t="shared" si="409"/>
        <v>12032026</v>
      </c>
      <c r="E2125" t="str">
        <f>""</f>
        <v/>
      </c>
      <c r="F2125" t="str">
        <f t="shared" si="408"/>
        <v>COM</v>
      </c>
      <c r="G2125" t="str">
        <f>"ALEXANDRE PEREIRA DE SOUZA (1252)"</f>
        <v>ALEXANDRE PEREIRA DE SOUZA (1252)</v>
      </c>
      <c r="H2125" t="str">
        <f>"Serv.Prest. DIÁRIA 08/03/2026 - PIX: CPF - CHAVE: 497.247.788-19"</f>
        <v>Serv.Prest. DIÁRIA 08/03/2026 - PIX: CPF - CHAVE: 497.247.788-19</v>
      </c>
      <c r="I2125" t="str">
        <f t="shared" si="407"/>
        <v>12/03/2026</v>
      </c>
      <c r="J2125" t="str">
        <f t="shared" si="410"/>
        <v>12/03/2026</v>
      </c>
      <c r="K2125" t="str">
        <f>("12/03/2026")</f>
        <v>12/03/2026</v>
      </c>
      <c r="L2125">
        <v>154</v>
      </c>
      <c r="M2125">
        <v>154</v>
      </c>
      <c r="N2125">
        <v>109</v>
      </c>
      <c r="O2125" t="str">
        <f>"PAGAMENTO DE ENTREGADORES"</f>
        <v>PAGAMENTO DE ENTREGADORES</v>
      </c>
      <c r="P2125">
        <v>154</v>
      </c>
      <c r="S2125" t="str">
        <f>"BANCO C6 (149)"</f>
        <v>BANCO C6 (149)</v>
      </c>
      <c r="T2125">
        <v>31119</v>
      </c>
      <c r="U2125">
        <v>34817</v>
      </c>
      <c r="V2125" t="s">
        <v>37</v>
      </c>
    </row>
    <row r="2126" spans="1:22">
      <c r="A2126" t="str">
        <f t="shared" si="411"/>
        <v>12/03/2026</v>
      </c>
      <c r="B2126" t="str">
        <f t="shared" si="405"/>
        <v>SAÍDA</v>
      </c>
      <c r="C2126" t="str">
        <f t="shared" si="406"/>
        <v>PIX</v>
      </c>
      <c r="D2126" t="str">
        <f t="shared" si="409"/>
        <v>12032026</v>
      </c>
      <c r="E2126" t="str">
        <f>""</f>
        <v/>
      </c>
      <c r="F2126" t="str">
        <f t="shared" si="408"/>
        <v>COM</v>
      </c>
      <c r="G2126" t="str">
        <f>"ALEXANDRE PEREIRA DE SOUZA (1252)"</f>
        <v>ALEXANDRE PEREIRA DE SOUZA (1252)</v>
      </c>
      <c r="H2126" t="s">
        <v>675</v>
      </c>
      <c r="I2126" t="str">
        <f t="shared" si="407"/>
        <v>12/03/2026</v>
      </c>
      <c r="J2126" t="str">
        <f t="shared" si="410"/>
        <v>12/03/2026</v>
      </c>
      <c r="K2126">
        <v>46093</v>
      </c>
      <c r="N2126">
        <v>109</v>
      </c>
      <c r="O2126" t="s">
        <v>27</v>
      </c>
      <c r="Q2126">
        <v>154</v>
      </c>
      <c r="R2126" t="str">
        <f>"BEM TE FAZ 01 (10283)"</f>
        <v>BEM TE FAZ 01 (10283)</v>
      </c>
      <c r="S2126" t="s">
        <v>37</v>
      </c>
      <c r="T2126">
        <v>31119</v>
      </c>
      <c r="U2126">
        <v>34817</v>
      </c>
      <c r="V2126" t="s">
        <v>37</v>
      </c>
    </row>
    <row r="2127" spans="1:22">
      <c r="A2127" t="str">
        <f t="shared" ref="A2127:A2190" si="412">("13/03/2026")</f>
        <v>13/03/2026</v>
      </c>
      <c r="B2127" t="str">
        <f>"ENTRADA"</f>
        <v>ENTRADA</v>
      </c>
      <c r="C2127" t="str">
        <f>"DINHEIRO"</f>
        <v>DINHEIRO</v>
      </c>
      <c r="D2127" t="str">
        <f>"07"</f>
        <v>07</v>
      </c>
      <c r="E2127" t="str">
        <f>"39"</f>
        <v>39</v>
      </c>
      <c r="F2127" t="str">
        <f t="shared" si="408"/>
        <v>COM</v>
      </c>
      <c r="G2127" t="str">
        <f>"RICHARD HENRIQUE DA SILVA (244)"</f>
        <v>RICHARD HENRIQUE DA SILVA (244)</v>
      </c>
      <c r="H2127" t="str">
        <f>"DESCONTO COTA COOPERADO"</f>
        <v>DESCONTO COTA COOPERADO</v>
      </c>
      <c r="I2127" t="str">
        <f>("16/03/2026")</f>
        <v>16/03/2026</v>
      </c>
      <c r="J2127" t="str">
        <f>("16/01/2025")</f>
        <v>16/01/2025</v>
      </c>
      <c r="K2127" t="str">
        <f>("13/03/2026")</f>
        <v>13/03/2026</v>
      </c>
      <c r="L2127">
        <v>20</v>
      </c>
      <c r="M2127">
        <v>20</v>
      </c>
      <c r="N2127">
        <v>106</v>
      </c>
      <c r="O2127" t="str">
        <f>"ENTRADA DE CAPITAL"</f>
        <v>ENTRADA DE CAPITAL</v>
      </c>
      <c r="P2127">
        <v>20</v>
      </c>
      <c r="S2127" t="str">
        <f>"ENTRADA DE CAPITAL (106)"</f>
        <v>ENTRADA DE CAPITAL (106)</v>
      </c>
      <c r="T2127">
        <v>30602</v>
      </c>
      <c r="U2127">
        <v>7400</v>
      </c>
      <c r="V2127" t="s">
        <v>22</v>
      </c>
    </row>
    <row r="2128" spans="1:22">
      <c r="A2128" t="str">
        <f t="shared" si="412"/>
        <v>13/03/2026</v>
      </c>
      <c r="B2128" t="str">
        <f>"ENTRADA"</f>
        <v>ENTRADA</v>
      </c>
      <c r="C2128" t="str">
        <f>"DINHEIRO"</f>
        <v>DINHEIRO</v>
      </c>
      <c r="D2128" t="str">
        <f>"07"</f>
        <v>07</v>
      </c>
      <c r="E2128" t="str">
        <f>"39"</f>
        <v>39</v>
      </c>
      <c r="F2128" t="str">
        <f t="shared" si="408"/>
        <v>COM</v>
      </c>
      <c r="G2128" t="str">
        <f>"RICHARD HENRIQUE DA SILVA (244)"</f>
        <v>RICHARD HENRIQUE DA SILVA (244)</v>
      </c>
      <c r="H2128" t="s">
        <v>549</v>
      </c>
      <c r="I2128" t="str">
        <f>("16/03/2026")</f>
        <v>16/03/2026</v>
      </c>
      <c r="J2128" t="str">
        <f>("16/01/2025")</f>
        <v>16/01/2025</v>
      </c>
      <c r="K2128">
        <v>46094</v>
      </c>
      <c r="N2128">
        <v>106</v>
      </c>
      <c r="O2128" t="s">
        <v>98</v>
      </c>
      <c r="Q2128">
        <v>20</v>
      </c>
      <c r="R2128" t="str">
        <f>"RICHARD HENRIQUE DA SILVA (244)"</f>
        <v>RICHARD HENRIQUE DA SILVA (244)</v>
      </c>
      <c r="S2128" t="s">
        <v>99</v>
      </c>
      <c r="T2128">
        <v>30602</v>
      </c>
      <c r="U2128">
        <v>7400</v>
      </c>
      <c r="V2128" t="s">
        <v>22</v>
      </c>
    </row>
    <row r="2129" spans="1:22">
      <c r="A2129" t="str">
        <f t="shared" si="412"/>
        <v>13/03/2026</v>
      </c>
      <c r="B2129" t="str">
        <f>"SAÍDA"</f>
        <v>SAÍDA</v>
      </c>
      <c r="C2129" t="str">
        <f>"PIX"</f>
        <v>PIX</v>
      </c>
      <c r="D2129" t="str">
        <f>"34742"</f>
        <v>34742</v>
      </c>
      <c r="E2129" t="str">
        <f t="shared" ref="E2129:E2160" si="413">"1"</f>
        <v>1</v>
      </c>
      <c r="F2129" t="str">
        <f t="shared" si="408"/>
        <v>COM</v>
      </c>
      <c r="G2129" t="str">
        <f>"RICHARD HENRIQUE DA SILVA (244)"</f>
        <v>RICHARD HENRIQUE DA SILVA (244)</v>
      </c>
      <c r="H2129" t="str">
        <f>"Serv.Prest. 02/03/2026 a 08/03/2026 - PIX: CELULAR - CHAVE: (37) 99197-6834"</f>
        <v>Serv.Prest. 02/03/2026 a 08/03/2026 - PIX: CELULAR - CHAVE: (37) 99197-6834</v>
      </c>
      <c r="I2129" t="str">
        <f>("19/03/2026")</f>
        <v>19/03/2026</v>
      </c>
      <c r="J2129" t="str">
        <f>("11/03/2026")</f>
        <v>11/03/2026</v>
      </c>
      <c r="K2129" t="str">
        <f>("13/03/2026")</f>
        <v>13/03/2026</v>
      </c>
      <c r="L2129">
        <v>20</v>
      </c>
      <c r="M2129">
        <v>20</v>
      </c>
      <c r="N2129">
        <v>109</v>
      </c>
      <c r="O2129" t="str">
        <f>"PAGAMENTO DE ENTREGADORES"</f>
        <v>PAGAMENTO DE ENTREGADORES</v>
      </c>
      <c r="P2129">
        <v>20</v>
      </c>
      <c r="S2129" t="str">
        <f>"CAIXA MOVIMENTAÇÃO OPERACIONAL (132)"</f>
        <v>CAIXA MOVIMENTAÇÃO OPERACIONAL (132)</v>
      </c>
      <c r="T2129">
        <v>30603</v>
      </c>
      <c r="U2129">
        <v>34836</v>
      </c>
      <c r="V2129" t="s">
        <v>22</v>
      </c>
    </row>
    <row r="2130" spans="1:22">
      <c r="A2130" t="str">
        <f t="shared" si="412"/>
        <v>13/03/2026</v>
      </c>
      <c r="B2130" t="str">
        <f>"SAÍDA"</f>
        <v>SAÍDA</v>
      </c>
      <c r="C2130" t="str">
        <f>"PIX"</f>
        <v>PIX</v>
      </c>
      <c r="D2130" t="str">
        <f>"34742"</f>
        <v>34742</v>
      </c>
      <c r="E2130" t="str">
        <f t="shared" si="413"/>
        <v>1</v>
      </c>
      <c r="F2130" t="str">
        <f t="shared" si="408"/>
        <v>COM</v>
      </c>
      <c r="G2130" t="str">
        <f>"RICHARD HENRIQUE DA SILVA (244)"</f>
        <v>RICHARD HENRIQUE DA SILVA (244)</v>
      </c>
      <c r="H2130" t="s">
        <v>633</v>
      </c>
      <c r="I2130" t="str">
        <f>("19/03/2026")</f>
        <v>19/03/2026</v>
      </c>
      <c r="J2130" t="str">
        <f>("11/03/2026")</f>
        <v>11/03/2026</v>
      </c>
      <c r="K2130">
        <v>46094</v>
      </c>
      <c r="N2130">
        <v>109</v>
      </c>
      <c r="O2130" t="s">
        <v>27</v>
      </c>
      <c r="Q2130">
        <v>20</v>
      </c>
      <c r="R2130" t="str">
        <f>"PAGUE MENOS 356 (10291)"</f>
        <v>PAGUE MENOS 356 (10291)</v>
      </c>
      <c r="S2130" t="s">
        <v>22</v>
      </c>
      <c r="T2130">
        <v>30603</v>
      </c>
      <c r="U2130">
        <v>34836</v>
      </c>
      <c r="V2130" t="s">
        <v>22</v>
      </c>
    </row>
    <row r="2131" spans="1:22">
      <c r="A2131" t="str">
        <f t="shared" si="412"/>
        <v>13/03/2026</v>
      </c>
      <c r="B2131" t="str">
        <f t="shared" ref="B2131:B2162" si="414">"ENTRADA"</f>
        <v>ENTRADA</v>
      </c>
      <c r="C2131" t="str">
        <f t="shared" ref="C2131:C2162" si="415">"NFSE"</f>
        <v>NFSE</v>
      </c>
      <c r="D2131" t="str">
        <f t="shared" ref="D2131:D2148" si="416">"459"</f>
        <v>459</v>
      </c>
      <c r="E2131" t="str">
        <f t="shared" si="413"/>
        <v>1</v>
      </c>
      <c r="F2131" t="str">
        <f t="shared" si="408"/>
        <v>COM</v>
      </c>
      <c r="G2131" t="str">
        <f t="shared" ref="G2131:G2148" si="417">"FARMÁCIA INDIANA LJ 30 (10127)"</f>
        <v>FARMÁCIA INDIANA LJ 30 (10127)</v>
      </c>
      <c r="H2131" t="str">
        <f>"Serv.Prest. 23/02/2026 a 01/03/2026 - RPS: 2387 - NFSe: 459"</f>
        <v>Serv.Prest. 23/02/2026 a 01/03/2026 - RPS: 2387 - NFSe: 459</v>
      </c>
      <c r="I2131" t="str">
        <f t="shared" ref="I2131:I2162" si="418">("11/03/2026")</f>
        <v>11/03/2026</v>
      </c>
      <c r="J2131" t="str">
        <f t="shared" ref="J2131:J2162" si="419">("03/03/2026")</f>
        <v>03/03/2026</v>
      </c>
      <c r="K2131" t="str">
        <f>("13/03/2026")</f>
        <v>13/03/2026</v>
      </c>
      <c r="L2131">
        <v>28858.6</v>
      </c>
      <c r="M2131">
        <v>28858.6</v>
      </c>
      <c r="N2131">
        <v>303</v>
      </c>
      <c r="O2131" t="str">
        <f>"RECEITAS COM ENTREGAS"</f>
        <v>RECEITAS COM ENTREGAS</v>
      </c>
      <c r="P2131">
        <v>28858.6</v>
      </c>
      <c r="S2131" t="str">
        <f>"RECEITAS COM ENTREGAS (303)"</f>
        <v>RECEITAS COM ENTREGAS (303)</v>
      </c>
      <c r="T2131">
        <v>30604</v>
      </c>
      <c r="U2131">
        <v>34056</v>
      </c>
      <c r="V2131" t="s">
        <v>37</v>
      </c>
    </row>
    <row r="2132" spans="1:22">
      <c r="A2132" t="str">
        <f t="shared" si="412"/>
        <v>13/03/2026</v>
      </c>
      <c r="B2132" t="str">
        <f t="shared" si="414"/>
        <v>ENTRADA</v>
      </c>
      <c r="C2132" t="str">
        <f t="shared" si="415"/>
        <v>NFSE</v>
      </c>
      <c r="D2132" t="str">
        <f t="shared" si="416"/>
        <v>459</v>
      </c>
      <c r="E2132" t="str">
        <f t="shared" si="413"/>
        <v>1</v>
      </c>
      <c r="F2132" t="str">
        <f t="shared" si="408"/>
        <v>COM</v>
      </c>
      <c r="G2132" t="str">
        <f t="shared" si="417"/>
        <v>FARMÁCIA INDIANA LJ 30 (10127)</v>
      </c>
      <c r="H2132" t="s">
        <v>676</v>
      </c>
      <c r="I2132" t="str">
        <f t="shared" si="418"/>
        <v>11/03/2026</v>
      </c>
      <c r="J2132" t="str">
        <f t="shared" si="419"/>
        <v>03/03/2026</v>
      </c>
      <c r="K2132">
        <v>46094</v>
      </c>
      <c r="N2132">
        <v>303</v>
      </c>
      <c r="O2132" t="s">
        <v>102</v>
      </c>
      <c r="Q2132">
        <v>3090.76</v>
      </c>
      <c r="R2132" t="str">
        <f>"FARMÁCIA INDIANA LJ 34 (10014)"</f>
        <v>FARMÁCIA INDIANA LJ 34 (10014)</v>
      </c>
      <c r="S2132" t="s">
        <v>103</v>
      </c>
      <c r="T2132">
        <v>30604</v>
      </c>
      <c r="U2132">
        <v>34056</v>
      </c>
      <c r="V2132" t="s">
        <v>37</v>
      </c>
    </row>
    <row r="2133" spans="1:22">
      <c r="A2133" t="str">
        <f t="shared" si="412"/>
        <v>13/03/2026</v>
      </c>
      <c r="B2133" t="str">
        <f t="shared" si="414"/>
        <v>ENTRADA</v>
      </c>
      <c r="C2133" t="str">
        <f t="shared" si="415"/>
        <v>NFSE</v>
      </c>
      <c r="D2133" t="str">
        <f t="shared" si="416"/>
        <v>459</v>
      </c>
      <c r="E2133" t="str">
        <f t="shared" si="413"/>
        <v>1</v>
      </c>
      <c r="F2133" t="str">
        <f t="shared" si="408"/>
        <v>COM</v>
      </c>
      <c r="G2133" t="str">
        <f t="shared" si="417"/>
        <v>FARMÁCIA INDIANA LJ 30 (10127)</v>
      </c>
      <c r="H2133" t="s">
        <v>676</v>
      </c>
      <c r="I2133" t="str">
        <f t="shared" si="418"/>
        <v>11/03/2026</v>
      </c>
      <c r="J2133" t="str">
        <f t="shared" si="419"/>
        <v>03/03/2026</v>
      </c>
      <c r="K2133">
        <v>46094</v>
      </c>
      <c r="N2133">
        <v>303</v>
      </c>
      <c r="O2133" t="s">
        <v>102</v>
      </c>
      <c r="Q2133">
        <v>1512.19</v>
      </c>
      <c r="R2133" t="str">
        <f>"FARMÁCIA INDIANA LJ 35 (10015)"</f>
        <v>FARMÁCIA INDIANA LJ 35 (10015)</v>
      </c>
      <c r="S2133" t="s">
        <v>103</v>
      </c>
      <c r="T2133">
        <v>30604</v>
      </c>
      <c r="U2133">
        <v>34056</v>
      </c>
      <c r="V2133" t="s">
        <v>37</v>
      </c>
    </row>
    <row r="2134" spans="1:22">
      <c r="A2134" t="str">
        <f t="shared" si="412"/>
        <v>13/03/2026</v>
      </c>
      <c r="B2134" t="str">
        <f t="shared" si="414"/>
        <v>ENTRADA</v>
      </c>
      <c r="C2134" t="str">
        <f t="shared" si="415"/>
        <v>NFSE</v>
      </c>
      <c r="D2134" t="str">
        <f t="shared" si="416"/>
        <v>459</v>
      </c>
      <c r="E2134" t="str">
        <f t="shared" si="413"/>
        <v>1</v>
      </c>
      <c r="F2134" t="str">
        <f t="shared" si="408"/>
        <v>COM</v>
      </c>
      <c r="G2134" t="str">
        <f t="shared" si="417"/>
        <v>FARMÁCIA INDIANA LJ 30 (10127)</v>
      </c>
      <c r="H2134" t="s">
        <v>676</v>
      </c>
      <c r="I2134" t="str">
        <f t="shared" si="418"/>
        <v>11/03/2026</v>
      </c>
      <c r="J2134" t="str">
        <f t="shared" si="419"/>
        <v>03/03/2026</v>
      </c>
      <c r="K2134">
        <v>46094</v>
      </c>
      <c r="N2134">
        <v>303</v>
      </c>
      <c r="O2134" t="s">
        <v>102</v>
      </c>
      <c r="Q2134">
        <v>2447.21</v>
      </c>
      <c r="R2134" t="str">
        <f>"FARMÁCIA INDIANA LJ 48 (10018)"</f>
        <v>FARMÁCIA INDIANA LJ 48 (10018)</v>
      </c>
      <c r="S2134" t="s">
        <v>103</v>
      </c>
      <c r="T2134">
        <v>30604</v>
      </c>
      <c r="U2134">
        <v>34056</v>
      </c>
      <c r="V2134" t="s">
        <v>37</v>
      </c>
    </row>
    <row r="2135" spans="1:22">
      <c r="A2135" t="str">
        <f t="shared" si="412"/>
        <v>13/03/2026</v>
      </c>
      <c r="B2135" t="str">
        <f t="shared" si="414"/>
        <v>ENTRADA</v>
      </c>
      <c r="C2135" t="str">
        <f t="shared" si="415"/>
        <v>NFSE</v>
      </c>
      <c r="D2135" t="str">
        <f t="shared" si="416"/>
        <v>459</v>
      </c>
      <c r="E2135" t="str">
        <f t="shared" si="413"/>
        <v>1</v>
      </c>
      <c r="F2135" t="str">
        <f t="shared" si="408"/>
        <v>COM</v>
      </c>
      <c r="G2135" t="str">
        <f t="shared" si="417"/>
        <v>FARMÁCIA INDIANA LJ 30 (10127)</v>
      </c>
      <c r="H2135" t="s">
        <v>676</v>
      </c>
      <c r="I2135" t="str">
        <f t="shared" si="418"/>
        <v>11/03/2026</v>
      </c>
      <c r="J2135" t="str">
        <f t="shared" si="419"/>
        <v>03/03/2026</v>
      </c>
      <c r="K2135">
        <v>46094</v>
      </c>
      <c r="N2135">
        <v>303</v>
      </c>
      <c r="O2135" t="s">
        <v>102</v>
      </c>
      <c r="Q2135">
        <v>3139.82</v>
      </c>
      <c r="R2135" t="str">
        <f>"FARMÁCIA INDIANA LJ 65 (10030)"</f>
        <v>FARMÁCIA INDIANA LJ 65 (10030)</v>
      </c>
      <c r="S2135" t="s">
        <v>103</v>
      </c>
      <c r="T2135">
        <v>30604</v>
      </c>
      <c r="U2135">
        <v>34056</v>
      </c>
      <c r="V2135" t="s">
        <v>37</v>
      </c>
    </row>
    <row r="2136" spans="1:22">
      <c r="A2136" t="str">
        <f t="shared" si="412"/>
        <v>13/03/2026</v>
      </c>
      <c r="B2136" t="str">
        <f t="shared" si="414"/>
        <v>ENTRADA</v>
      </c>
      <c r="C2136" t="str">
        <f t="shared" si="415"/>
        <v>NFSE</v>
      </c>
      <c r="D2136" t="str">
        <f t="shared" si="416"/>
        <v>459</v>
      </c>
      <c r="E2136" t="str">
        <f t="shared" si="413"/>
        <v>1</v>
      </c>
      <c r="F2136" t="str">
        <f t="shared" si="408"/>
        <v>COM</v>
      </c>
      <c r="G2136" t="str">
        <f t="shared" si="417"/>
        <v>FARMÁCIA INDIANA LJ 30 (10127)</v>
      </c>
      <c r="H2136" t="s">
        <v>676</v>
      </c>
      <c r="I2136" t="str">
        <f t="shared" si="418"/>
        <v>11/03/2026</v>
      </c>
      <c r="J2136" t="str">
        <f t="shared" si="419"/>
        <v>03/03/2026</v>
      </c>
      <c r="K2136">
        <v>46094</v>
      </c>
      <c r="N2136">
        <v>303</v>
      </c>
      <c r="O2136" t="s">
        <v>102</v>
      </c>
      <c r="Q2136">
        <v>770.52</v>
      </c>
      <c r="R2136" t="str">
        <f>"FARMÁCIA INDIANA LJ 77 (10034)"</f>
        <v>FARMÁCIA INDIANA LJ 77 (10034)</v>
      </c>
      <c r="S2136" t="s">
        <v>103</v>
      </c>
      <c r="T2136">
        <v>30604</v>
      </c>
      <c r="U2136">
        <v>34056</v>
      </c>
      <c r="V2136" t="s">
        <v>37</v>
      </c>
    </row>
    <row r="2137" spans="1:22">
      <c r="A2137" t="str">
        <f t="shared" si="412"/>
        <v>13/03/2026</v>
      </c>
      <c r="B2137" t="str">
        <f t="shared" si="414"/>
        <v>ENTRADA</v>
      </c>
      <c r="C2137" t="str">
        <f t="shared" si="415"/>
        <v>NFSE</v>
      </c>
      <c r="D2137" t="str">
        <f t="shared" si="416"/>
        <v>459</v>
      </c>
      <c r="E2137" t="str">
        <f t="shared" si="413"/>
        <v>1</v>
      </c>
      <c r="F2137" t="str">
        <f t="shared" si="408"/>
        <v>COM</v>
      </c>
      <c r="G2137" t="str">
        <f t="shared" si="417"/>
        <v>FARMÁCIA INDIANA LJ 30 (10127)</v>
      </c>
      <c r="H2137" t="s">
        <v>676</v>
      </c>
      <c r="I2137" t="str">
        <f t="shared" si="418"/>
        <v>11/03/2026</v>
      </c>
      <c r="J2137" t="str">
        <f t="shared" si="419"/>
        <v>03/03/2026</v>
      </c>
      <c r="K2137">
        <v>46094</v>
      </c>
      <c r="N2137">
        <v>303</v>
      </c>
      <c r="O2137" t="s">
        <v>102</v>
      </c>
      <c r="Q2137">
        <v>4845.3599999999997</v>
      </c>
      <c r="R2137" t="str">
        <f>"FARMÁCIA INDIANA LJ 91 (10037)"</f>
        <v>FARMÁCIA INDIANA LJ 91 (10037)</v>
      </c>
      <c r="S2137" t="s">
        <v>103</v>
      </c>
      <c r="T2137">
        <v>30604</v>
      </c>
      <c r="U2137">
        <v>34056</v>
      </c>
      <c r="V2137" t="s">
        <v>37</v>
      </c>
    </row>
    <row r="2138" spans="1:22">
      <c r="A2138" t="str">
        <f t="shared" si="412"/>
        <v>13/03/2026</v>
      </c>
      <c r="B2138" t="str">
        <f t="shared" si="414"/>
        <v>ENTRADA</v>
      </c>
      <c r="C2138" t="str">
        <f t="shared" si="415"/>
        <v>NFSE</v>
      </c>
      <c r="D2138" t="str">
        <f t="shared" si="416"/>
        <v>459</v>
      </c>
      <c r="E2138" t="str">
        <f t="shared" si="413"/>
        <v>1</v>
      </c>
      <c r="F2138" t="str">
        <f t="shared" si="408"/>
        <v>COM</v>
      </c>
      <c r="G2138" t="str">
        <f t="shared" si="417"/>
        <v>FARMÁCIA INDIANA LJ 30 (10127)</v>
      </c>
      <c r="H2138" t="s">
        <v>676</v>
      </c>
      <c r="I2138" t="str">
        <f t="shared" si="418"/>
        <v>11/03/2026</v>
      </c>
      <c r="J2138" t="str">
        <f t="shared" si="419"/>
        <v>03/03/2026</v>
      </c>
      <c r="K2138">
        <v>46094</v>
      </c>
      <c r="N2138">
        <v>303</v>
      </c>
      <c r="O2138" t="s">
        <v>102</v>
      </c>
      <c r="Q2138">
        <v>2181.71</v>
      </c>
      <c r="R2138" t="str">
        <f>"FARMÁCIA INDIANA LJ 95 (10039)"</f>
        <v>FARMÁCIA INDIANA LJ 95 (10039)</v>
      </c>
      <c r="S2138" t="s">
        <v>103</v>
      </c>
      <c r="T2138">
        <v>30604</v>
      </c>
      <c r="U2138">
        <v>34056</v>
      </c>
      <c r="V2138" t="s">
        <v>37</v>
      </c>
    </row>
    <row r="2139" spans="1:22">
      <c r="A2139" t="str">
        <f t="shared" si="412"/>
        <v>13/03/2026</v>
      </c>
      <c r="B2139" t="str">
        <f t="shared" si="414"/>
        <v>ENTRADA</v>
      </c>
      <c r="C2139" t="str">
        <f t="shared" si="415"/>
        <v>NFSE</v>
      </c>
      <c r="D2139" t="str">
        <f t="shared" si="416"/>
        <v>459</v>
      </c>
      <c r="E2139" t="str">
        <f t="shared" si="413"/>
        <v>1</v>
      </c>
      <c r="F2139" t="str">
        <f t="shared" si="408"/>
        <v>COM</v>
      </c>
      <c r="G2139" t="str">
        <f t="shared" si="417"/>
        <v>FARMÁCIA INDIANA LJ 30 (10127)</v>
      </c>
      <c r="H2139" t="s">
        <v>676</v>
      </c>
      <c r="I2139" t="str">
        <f t="shared" si="418"/>
        <v>11/03/2026</v>
      </c>
      <c r="J2139" t="str">
        <f t="shared" si="419"/>
        <v>03/03/2026</v>
      </c>
      <c r="K2139">
        <v>46094</v>
      </c>
      <c r="N2139">
        <v>303</v>
      </c>
      <c r="O2139" t="s">
        <v>102</v>
      </c>
      <c r="Q2139">
        <v>1275.55</v>
      </c>
      <c r="R2139" t="str">
        <f>"FARMÁCIA INDIANA LJ 145 (10068)"</f>
        <v>FARMÁCIA INDIANA LJ 145 (10068)</v>
      </c>
      <c r="S2139" t="s">
        <v>103</v>
      </c>
      <c r="T2139">
        <v>30604</v>
      </c>
      <c r="U2139">
        <v>34056</v>
      </c>
      <c r="V2139" t="s">
        <v>37</v>
      </c>
    </row>
    <row r="2140" spans="1:22">
      <c r="A2140" t="str">
        <f t="shared" si="412"/>
        <v>13/03/2026</v>
      </c>
      <c r="B2140" t="str">
        <f t="shared" si="414"/>
        <v>ENTRADA</v>
      </c>
      <c r="C2140" t="str">
        <f t="shared" si="415"/>
        <v>NFSE</v>
      </c>
      <c r="D2140" t="str">
        <f t="shared" si="416"/>
        <v>459</v>
      </c>
      <c r="E2140" t="str">
        <f t="shared" si="413"/>
        <v>1</v>
      </c>
      <c r="F2140" t="str">
        <f t="shared" si="408"/>
        <v>COM</v>
      </c>
      <c r="G2140" t="str">
        <f t="shared" si="417"/>
        <v>FARMÁCIA INDIANA LJ 30 (10127)</v>
      </c>
      <c r="H2140" t="s">
        <v>676</v>
      </c>
      <c r="I2140" t="str">
        <f t="shared" si="418"/>
        <v>11/03/2026</v>
      </c>
      <c r="J2140" t="str">
        <f t="shared" si="419"/>
        <v>03/03/2026</v>
      </c>
      <c r="K2140">
        <v>46094</v>
      </c>
      <c r="N2140">
        <v>303</v>
      </c>
      <c r="O2140" t="s">
        <v>102</v>
      </c>
      <c r="Q2140">
        <v>1264.01</v>
      </c>
      <c r="R2140" t="str">
        <f>"FARMÁCIA INDIANA LJ 169 (10073)"</f>
        <v>FARMÁCIA INDIANA LJ 169 (10073)</v>
      </c>
      <c r="S2140" t="s">
        <v>103</v>
      </c>
      <c r="T2140">
        <v>30604</v>
      </c>
      <c r="U2140">
        <v>34056</v>
      </c>
      <c r="V2140" t="s">
        <v>37</v>
      </c>
    </row>
    <row r="2141" spans="1:22">
      <c r="A2141" t="str">
        <f t="shared" si="412"/>
        <v>13/03/2026</v>
      </c>
      <c r="B2141" t="str">
        <f t="shared" si="414"/>
        <v>ENTRADA</v>
      </c>
      <c r="C2141" t="str">
        <f t="shared" si="415"/>
        <v>NFSE</v>
      </c>
      <c r="D2141" t="str">
        <f t="shared" si="416"/>
        <v>459</v>
      </c>
      <c r="E2141" t="str">
        <f t="shared" si="413"/>
        <v>1</v>
      </c>
      <c r="F2141" t="str">
        <f t="shared" si="408"/>
        <v>COM</v>
      </c>
      <c r="G2141" t="str">
        <f t="shared" si="417"/>
        <v>FARMÁCIA INDIANA LJ 30 (10127)</v>
      </c>
      <c r="H2141" t="s">
        <v>676</v>
      </c>
      <c r="I2141" t="str">
        <f t="shared" si="418"/>
        <v>11/03/2026</v>
      </c>
      <c r="J2141" t="str">
        <f t="shared" si="419"/>
        <v>03/03/2026</v>
      </c>
      <c r="K2141">
        <v>46094</v>
      </c>
      <c r="N2141">
        <v>303</v>
      </c>
      <c r="O2141" t="s">
        <v>102</v>
      </c>
      <c r="Q2141">
        <v>1569.91</v>
      </c>
      <c r="R2141" t="str">
        <f>"FARMÁCIA INDIANA LJ 173 (10075)"</f>
        <v>FARMÁCIA INDIANA LJ 173 (10075)</v>
      </c>
      <c r="S2141" t="s">
        <v>103</v>
      </c>
      <c r="T2141">
        <v>30604</v>
      </c>
      <c r="U2141">
        <v>34056</v>
      </c>
      <c r="V2141" t="s">
        <v>37</v>
      </c>
    </row>
    <row r="2142" spans="1:22">
      <c r="A2142" t="str">
        <f t="shared" si="412"/>
        <v>13/03/2026</v>
      </c>
      <c r="B2142" t="str">
        <f t="shared" si="414"/>
        <v>ENTRADA</v>
      </c>
      <c r="C2142" t="str">
        <f t="shared" si="415"/>
        <v>NFSE</v>
      </c>
      <c r="D2142" t="str">
        <f t="shared" si="416"/>
        <v>459</v>
      </c>
      <c r="E2142" t="str">
        <f t="shared" si="413"/>
        <v>1</v>
      </c>
      <c r="F2142" t="str">
        <f t="shared" si="408"/>
        <v>COM</v>
      </c>
      <c r="G2142" t="str">
        <f t="shared" si="417"/>
        <v>FARMÁCIA INDIANA LJ 30 (10127)</v>
      </c>
      <c r="H2142" t="s">
        <v>676</v>
      </c>
      <c r="I2142" t="str">
        <f t="shared" si="418"/>
        <v>11/03/2026</v>
      </c>
      <c r="J2142" t="str">
        <f t="shared" si="419"/>
        <v>03/03/2026</v>
      </c>
      <c r="K2142">
        <v>46094</v>
      </c>
      <c r="N2142">
        <v>303</v>
      </c>
      <c r="O2142" t="s">
        <v>102</v>
      </c>
      <c r="Q2142">
        <v>900.39</v>
      </c>
      <c r="R2142" t="str">
        <f>"FARMÁCIA INDIANA LJ 213 (10090)"</f>
        <v>FARMÁCIA INDIANA LJ 213 (10090)</v>
      </c>
      <c r="S2142" t="s">
        <v>103</v>
      </c>
      <c r="T2142">
        <v>30604</v>
      </c>
      <c r="U2142">
        <v>34056</v>
      </c>
      <c r="V2142" t="s">
        <v>37</v>
      </c>
    </row>
    <row r="2143" spans="1:22">
      <c r="A2143" t="str">
        <f t="shared" si="412"/>
        <v>13/03/2026</v>
      </c>
      <c r="B2143" t="str">
        <f t="shared" si="414"/>
        <v>ENTRADA</v>
      </c>
      <c r="C2143" t="str">
        <f t="shared" si="415"/>
        <v>NFSE</v>
      </c>
      <c r="D2143" t="str">
        <f t="shared" si="416"/>
        <v>459</v>
      </c>
      <c r="E2143" t="str">
        <f t="shared" si="413"/>
        <v>1</v>
      </c>
      <c r="F2143" t="str">
        <f t="shared" si="408"/>
        <v>COM</v>
      </c>
      <c r="G2143" t="str">
        <f t="shared" si="417"/>
        <v>FARMÁCIA INDIANA LJ 30 (10127)</v>
      </c>
      <c r="H2143" t="s">
        <v>676</v>
      </c>
      <c r="I2143" t="str">
        <f t="shared" si="418"/>
        <v>11/03/2026</v>
      </c>
      <c r="J2143" t="str">
        <f t="shared" si="419"/>
        <v>03/03/2026</v>
      </c>
      <c r="K2143">
        <v>46094</v>
      </c>
      <c r="N2143">
        <v>303</v>
      </c>
      <c r="O2143" t="s">
        <v>102</v>
      </c>
      <c r="Q2143">
        <v>1223.5999999999999</v>
      </c>
      <c r="R2143" t="str">
        <f>"FARMÁCIA INDIANA LJ 200 (10155)"</f>
        <v>FARMÁCIA INDIANA LJ 200 (10155)</v>
      </c>
      <c r="S2143" t="s">
        <v>103</v>
      </c>
      <c r="T2143">
        <v>30604</v>
      </c>
      <c r="U2143">
        <v>34056</v>
      </c>
      <c r="V2143" t="s">
        <v>37</v>
      </c>
    </row>
    <row r="2144" spans="1:22">
      <c r="A2144" t="str">
        <f t="shared" si="412"/>
        <v>13/03/2026</v>
      </c>
      <c r="B2144" t="str">
        <f t="shared" si="414"/>
        <v>ENTRADA</v>
      </c>
      <c r="C2144" t="str">
        <f t="shared" si="415"/>
        <v>NFSE</v>
      </c>
      <c r="D2144" t="str">
        <f t="shared" si="416"/>
        <v>459</v>
      </c>
      <c r="E2144" t="str">
        <f t="shared" si="413"/>
        <v>1</v>
      </c>
      <c r="F2144" t="str">
        <f t="shared" si="408"/>
        <v>COM</v>
      </c>
      <c r="G2144" t="str">
        <f t="shared" si="417"/>
        <v>FARMÁCIA INDIANA LJ 30 (10127)</v>
      </c>
      <c r="H2144" t="s">
        <v>676</v>
      </c>
      <c r="I2144" t="str">
        <f t="shared" si="418"/>
        <v>11/03/2026</v>
      </c>
      <c r="J2144" t="str">
        <f t="shared" si="419"/>
        <v>03/03/2026</v>
      </c>
      <c r="K2144">
        <v>46094</v>
      </c>
      <c r="N2144">
        <v>303</v>
      </c>
      <c r="O2144" t="s">
        <v>102</v>
      </c>
      <c r="Q2144">
        <v>1113.94</v>
      </c>
      <c r="R2144" t="str">
        <f>"FARMÁCIA INDIANA LJ 33 (10187)"</f>
        <v>FARMÁCIA INDIANA LJ 33 (10187)</v>
      </c>
      <c r="S2144" t="s">
        <v>103</v>
      </c>
      <c r="T2144">
        <v>30604</v>
      </c>
      <c r="U2144">
        <v>34056</v>
      </c>
      <c r="V2144" t="s">
        <v>37</v>
      </c>
    </row>
    <row r="2145" spans="1:22">
      <c r="A2145" t="str">
        <f t="shared" si="412"/>
        <v>13/03/2026</v>
      </c>
      <c r="B2145" t="str">
        <f t="shared" si="414"/>
        <v>ENTRADA</v>
      </c>
      <c r="C2145" t="str">
        <f t="shared" si="415"/>
        <v>NFSE</v>
      </c>
      <c r="D2145" t="str">
        <f t="shared" si="416"/>
        <v>459</v>
      </c>
      <c r="E2145" t="str">
        <f t="shared" si="413"/>
        <v>1</v>
      </c>
      <c r="F2145" t="str">
        <f t="shared" si="408"/>
        <v>COM</v>
      </c>
      <c r="G2145" t="str">
        <f t="shared" si="417"/>
        <v>FARMÁCIA INDIANA LJ 30 (10127)</v>
      </c>
      <c r="H2145" t="s">
        <v>676</v>
      </c>
      <c r="I2145" t="str">
        <f t="shared" si="418"/>
        <v>11/03/2026</v>
      </c>
      <c r="J2145" t="str">
        <f t="shared" si="419"/>
        <v>03/03/2026</v>
      </c>
      <c r="K2145">
        <v>46094</v>
      </c>
      <c r="N2145">
        <v>303</v>
      </c>
      <c r="O2145" t="s">
        <v>102</v>
      </c>
      <c r="Q2145">
        <v>897.5</v>
      </c>
      <c r="R2145" t="str">
        <f>"FARMÁCIA INDIANA LJ 283 (10268)"</f>
        <v>FARMÁCIA INDIANA LJ 283 (10268)</v>
      </c>
      <c r="S2145" t="s">
        <v>103</v>
      </c>
      <c r="T2145">
        <v>30604</v>
      </c>
      <c r="U2145">
        <v>34056</v>
      </c>
      <c r="V2145" t="s">
        <v>37</v>
      </c>
    </row>
    <row r="2146" spans="1:22">
      <c r="A2146" t="str">
        <f t="shared" si="412"/>
        <v>13/03/2026</v>
      </c>
      <c r="B2146" t="str">
        <f t="shared" si="414"/>
        <v>ENTRADA</v>
      </c>
      <c r="C2146" t="str">
        <f t="shared" si="415"/>
        <v>NFSE</v>
      </c>
      <c r="D2146" t="str">
        <f t="shared" si="416"/>
        <v>459</v>
      </c>
      <c r="E2146" t="str">
        <f t="shared" si="413"/>
        <v>1</v>
      </c>
      <c r="F2146" t="str">
        <f t="shared" si="408"/>
        <v>COM</v>
      </c>
      <c r="G2146" t="str">
        <f t="shared" si="417"/>
        <v>FARMÁCIA INDIANA LJ 30 (10127)</v>
      </c>
      <c r="H2146" t="s">
        <v>676</v>
      </c>
      <c r="I2146" t="str">
        <f t="shared" si="418"/>
        <v>11/03/2026</v>
      </c>
      <c r="J2146" t="str">
        <f t="shared" si="419"/>
        <v>03/03/2026</v>
      </c>
      <c r="K2146">
        <v>46094</v>
      </c>
      <c r="N2146">
        <v>303</v>
      </c>
      <c r="O2146" t="s">
        <v>102</v>
      </c>
      <c r="Q2146">
        <v>424.22</v>
      </c>
      <c r="R2146" t="str">
        <f>"FARMÁCIA INDIANA LJ 155 (10273)"</f>
        <v>FARMÁCIA INDIANA LJ 155 (10273)</v>
      </c>
      <c r="S2146" t="s">
        <v>103</v>
      </c>
      <c r="T2146">
        <v>30604</v>
      </c>
      <c r="U2146">
        <v>34056</v>
      </c>
      <c r="V2146" t="s">
        <v>37</v>
      </c>
    </row>
    <row r="2147" spans="1:22">
      <c r="A2147" t="str">
        <f t="shared" si="412"/>
        <v>13/03/2026</v>
      </c>
      <c r="B2147" t="str">
        <f t="shared" si="414"/>
        <v>ENTRADA</v>
      </c>
      <c r="C2147" t="str">
        <f t="shared" si="415"/>
        <v>NFSE</v>
      </c>
      <c r="D2147" t="str">
        <f t="shared" si="416"/>
        <v>459</v>
      </c>
      <c r="E2147" t="str">
        <f t="shared" si="413"/>
        <v>1</v>
      </c>
      <c r="F2147" t="str">
        <f t="shared" si="408"/>
        <v>COM</v>
      </c>
      <c r="G2147" t="str">
        <f t="shared" si="417"/>
        <v>FARMÁCIA INDIANA LJ 30 (10127)</v>
      </c>
      <c r="H2147" t="s">
        <v>676</v>
      </c>
      <c r="I2147" t="str">
        <f t="shared" si="418"/>
        <v>11/03/2026</v>
      </c>
      <c r="J2147" t="str">
        <f t="shared" si="419"/>
        <v>03/03/2026</v>
      </c>
      <c r="K2147">
        <v>46094</v>
      </c>
      <c r="N2147">
        <v>303</v>
      </c>
      <c r="O2147" t="s">
        <v>102</v>
      </c>
      <c r="Q2147">
        <v>1024.48</v>
      </c>
      <c r="R2147" t="str">
        <f>"FARMÁCIA INDIANA LJ 158 (10275)"</f>
        <v>FARMÁCIA INDIANA LJ 158 (10275)</v>
      </c>
      <c r="S2147" t="s">
        <v>103</v>
      </c>
      <c r="T2147">
        <v>30604</v>
      </c>
      <c r="U2147">
        <v>34056</v>
      </c>
      <c r="V2147" t="s">
        <v>37</v>
      </c>
    </row>
    <row r="2148" spans="1:22">
      <c r="A2148" t="str">
        <f t="shared" si="412"/>
        <v>13/03/2026</v>
      </c>
      <c r="B2148" t="str">
        <f t="shared" si="414"/>
        <v>ENTRADA</v>
      </c>
      <c r="C2148" t="str">
        <f t="shared" si="415"/>
        <v>NFSE</v>
      </c>
      <c r="D2148" t="str">
        <f t="shared" si="416"/>
        <v>459</v>
      </c>
      <c r="E2148" t="str">
        <f t="shared" si="413"/>
        <v>1</v>
      </c>
      <c r="F2148" t="str">
        <f t="shared" si="408"/>
        <v>COM</v>
      </c>
      <c r="G2148" t="str">
        <f t="shared" si="417"/>
        <v>FARMÁCIA INDIANA LJ 30 (10127)</v>
      </c>
      <c r="H2148" t="s">
        <v>676</v>
      </c>
      <c r="I2148" t="str">
        <f t="shared" si="418"/>
        <v>11/03/2026</v>
      </c>
      <c r="J2148" t="str">
        <f t="shared" si="419"/>
        <v>03/03/2026</v>
      </c>
      <c r="K2148">
        <v>46094</v>
      </c>
      <c r="N2148">
        <v>303</v>
      </c>
      <c r="O2148" t="s">
        <v>102</v>
      </c>
      <c r="Q2148">
        <v>1177.43</v>
      </c>
      <c r="R2148" t="str">
        <f>"FARMÁCIA INDIANA LJ 92 (10281)"</f>
        <v>FARMÁCIA INDIANA LJ 92 (10281)</v>
      </c>
      <c r="S2148" t="s">
        <v>103</v>
      </c>
      <c r="T2148">
        <v>30604</v>
      </c>
      <c r="U2148">
        <v>34056</v>
      </c>
      <c r="V2148" t="s">
        <v>37</v>
      </c>
    </row>
    <row r="2149" spans="1:22">
      <c r="A2149" t="str">
        <f t="shared" si="412"/>
        <v>13/03/2026</v>
      </c>
      <c r="B2149" t="str">
        <f t="shared" si="414"/>
        <v>ENTRADA</v>
      </c>
      <c r="C2149" t="str">
        <f t="shared" si="415"/>
        <v>NFSE</v>
      </c>
      <c r="D2149" t="str">
        <f t="shared" ref="D2149:D2159" si="420">"458"</f>
        <v>458</v>
      </c>
      <c r="E2149" t="str">
        <f t="shared" si="413"/>
        <v>1</v>
      </c>
      <c r="F2149" t="str">
        <f t="shared" si="408"/>
        <v>COM</v>
      </c>
      <c r="G2149" t="str">
        <f t="shared" ref="G2149:G2159" si="421">"FARMÁCIA INDIANA LJ 85 (10128)"</f>
        <v>FARMÁCIA INDIANA LJ 85 (10128)</v>
      </c>
      <c r="H2149" t="str">
        <f>"Serv.Prest. 23/02/2026 a 01/03/2026 - RPS: 2386 - NFSe: 458"</f>
        <v>Serv.Prest. 23/02/2026 a 01/03/2026 - RPS: 2386 - NFSe: 458</v>
      </c>
      <c r="I2149" t="str">
        <f t="shared" si="418"/>
        <v>11/03/2026</v>
      </c>
      <c r="J2149" t="str">
        <f t="shared" si="419"/>
        <v>03/03/2026</v>
      </c>
      <c r="K2149" t="str">
        <f>("13/03/2026")</f>
        <v>13/03/2026</v>
      </c>
      <c r="L2149">
        <v>8499.58</v>
      </c>
      <c r="M2149">
        <v>8499.58</v>
      </c>
      <c r="N2149">
        <v>303</v>
      </c>
      <c r="O2149" t="str">
        <f>"RECEITAS COM ENTREGAS"</f>
        <v>RECEITAS COM ENTREGAS</v>
      </c>
      <c r="P2149">
        <v>8499.58</v>
      </c>
      <c r="S2149" t="str">
        <f>"RECEITAS COM ENTREGAS (303)"</f>
        <v>RECEITAS COM ENTREGAS (303)</v>
      </c>
      <c r="T2149">
        <v>30605</v>
      </c>
      <c r="U2149">
        <v>34046</v>
      </c>
      <c r="V2149" t="s">
        <v>37</v>
      </c>
    </row>
    <row r="2150" spans="1:22">
      <c r="A2150" t="str">
        <f t="shared" si="412"/>
        <v>13/03/2026</v>
      </c>
      <c r="B2150" t="str">
        <f t="shared" si="414"/>
        <v>ENTRADA</v>
      </c>
      <c r="C2150" t="str">
        <f t="shared" si="415"/>
        <v>NFSE</v>
      </c>
      <c r="D2150" t="str">
        <f t="shared" si="420"/>
        <v>458</v>
      </c>
      <c r="E2150" t="str">
        <f t="shared" si="413"/>
        <v>1</v>
      </c>
      <c r="F2150" t="str">
        <f t="shared" si="408"/>
        <v>COM</v>
      </c>
      <c r="G2150" t="str">
        <f t="shared" si="421"/>
        <v>FARMÁCIA INDIANA LJ 85 (10128)</v>
      </c>
      <c r="H2150" t="s">
        <v>677</v>
      </c>
      <c r="I2150" t="str">
        <f t="shared" si="418"/>
        <v>11/03/2026</v>
      </c>
      <c r="J2150" t="str">
        <f t="shared" si="419"/>
        <v>03/03/2026</v>
      </c>
      <c r="K2150">
        <v>46094</v>
      </c>
      <c r="N2150">
        <v>303</v>
      </c>
      <c r="O2150" t="s">
        <v>102</v>
      </c>
      <c r="Q2150">
        <v>972.36</v>
      </c>
      <c r="R2150" t="str">
        <f>"FARMÁCIA INDIANA LJ 119 (10053)"</f>
        <v>FARMÁCIA INDIANA LJ 119 (10053)</v>
      </c>
      <c r="S2150" t="s">
        <v>103</v>
      </c>
      <c r="T2150">
        <v>30605</v>
      </c>
      <c r="U2150">
        <v>34046</v>
      </c>
      <c r="V2150" t="s">
        <v>37</v>
      </c>
    </row>
    <row r="2151" spans="1:22">
      <c r="A2151" t="str">
        <f t="shared" si="412"/>
        <v>13/03/2026</v>
      </c>
      <c r="B2151" t="str">
        <f t="shared" si="414"/>
        <v>ENTRADA</v>
      </c>
      <c r="C2151" t="str">
        <f t="shared" si="415"/>
        <v>NFSE</v>
      </c>
      <c r="D2151" t="str">
        <f t="shared" si="420"/>
        <v>458</v>
      </c>
      <c r="E2151" t="str">
        <f t="shared" si="413"/>
        <v>1</v>
      </c>
      <c r="F2151" t="str">
        <f t="shared" si="408"/>
        <v>COM</v>
      </c>
      <c r="G2151" t="str">
        <f t="shared" si="421"/>
        <v>FARMÁCIA INDIANA LJ 85 (10128)</v>
      </c>
      <c r="H2151" t="s">
        <v>677</v>
      </c>
      <c r="I2151" t="str">
        <f t="shared" si="418"/>
        <v>11/03/2026</v>
      </c>
      <c r="J2151" t="str">
        <f t="shared" si="419"/>
        <v>03/03/2026</v>
      </c>
      <c r="K2151">
        <v>46094</v>
      </c>
      <c r="N2151">
        <v>303</v>
      </c>
      <c r="O2151" t="s">
        <v>102</v>
      </c>
      <c r="Q2151">
        <v>1036.95</v>
      </c>
      <c r="R2151" t="str">
        <f>"FARMÁCIA INDIANA LJ 163 (10072)"</f>
        <v>FARMÁCIA INDIANA LJ 163 (10072)</v>
      </c>
      <c r="S2151" t="s">
        <v>103</v>
      </c>
      <c r="T2151">
        <v>30605</v>
      </c>
      <c r="U2151">
        <v>34046</v>
      </c>
      <c r="V2151" t="s">
        <v>37</v>
      </c>
    </row>
    <row r="2152" spans="1:22">
      <c r="A2152" t="str">
        <f t="shared" si="412"/>
        <v>13/03/2026</v>
      </c>
      <c r="B2152" t="str">
        <f t="shared" si="414"/>
        <v>ENTRADA</v>
      </c>
      <c r="C2152" t="str">
        <f t="shared" si="415"/>
        <v>NFSE</v>
      </c>
      <c r="D2152" t="str">
        <f t="shared" si="420"/>
        <v>458</v>
      </c>
      <c r="E2152" t="str">
        <f t="shared" si="413"/>
        <v>1</v>
      </c>
      <c r="F2152" t="str">
        <f t="shared" si="408"/>
        <v>COM</v>
      </c>
      <c r="G2152" t="str">
        <f t="shared" si="421"/>
        <v>FARMÁCIA INDIANA LJ 85 (10128)</v>
      </c>
      <c r="H2152" t="s">
        <v>677</v>
      </c>
      <c r="I2152" t="str">
        <f t="shared" si="418"/>
        <v>11/03/2026</v>
      </c>
      <c r="J2152" t="str">
        <f t="shared" si="419"/>
        <v>03/03/2026</v>
      </c>
      <c r="K2152">
        <v>46094</v>
      </c>
      <c r="N2152">
        <v>303</v>
      </c>
      <c r="O2152" t="s">
        <v>102</v>
      </c>
      <c r="Q2152">
        <v>1700.77</v>
      </c>
      <c r="R2152" t="str">
        <f>"FARMÁCIA INDIANA LJ 181 (10078)"</f>
        <v>FARMÁCIA INDIANA LJ 181 (10078)</v>
      </c>
      <c r="S2152" t="s">
        <v>103</v>
      </c>
      <c r="T2152">
        <v>30605</v>
      </c>
      <c r="U2152">
        <v>34046</v>
      </c>
      <c r="V2152" t="s">
        <v>37</v>
      </c>
    </row>
    <row r="2153" spans="1:22">
      <c r="A2153" t="str">
        <f t="shared" si="412"/>
        <v>13/03/2026</v>
      </c>
      <c r="B2153" t="str">
        <f t="shared" si="414"/>
        <v>ENTRADA</v>
      </c>
      <c r="C2153" t="str">
        <f t="shared" si="415"/>
        <v>NFSE</v>
      </c>
      <c r="D2153" t="str">
        <f t="shared" si="420"/>
        <v>458</v>
      </c>
      <c r="E2153" t="str">
        <f t="shared" si="413"/>
        <v>1</v>
      </c>
      <c r="F2153" t="str">
        <f t="shared" si="408"/>
        <v>COM</v>
      </c>
      <c r="G2153" t="str">
        <f t="shared" si="421"/>
        <v>FARMÁCIA INDIANA LJ 85 (10128)</v>
      </c>
      <c r="H2153" t="s">
        <v>677</v>
      </c>
      <c r="I2153" t="str">
        <f t="shared" si="418"/>
        <v>11/03/2026</v>
      </c>
      <c r="J2153" t="str">
        <f t="shared" si="419"/>
        <v>03/03/2026</v>
      </c>
      <c r="K2153">
        <v>46094</v>
      </c>
      <c r="N2153">
        <v>303</v>
      </c>
      <c r="O2153" t="s">
        <v>102</v>
      </c>
      <c r="Q2153">
        <v>969.8</v>
      </c>
      <c r="R2153" t="str">
        <f>"FARMÁCIA INDIANA LJ 221 (10093)"</f>
        <v>FARMÁCIA INDIANA LJ 221 (10093)</v>
      </c>
      <c r="S2153" t="s">
        <v>103</v>
      </c>
      <c r="T2153">
        <v>30605</v>
      </c>
      <c r="U2153">
        <v>34046</v>
      </c>
      <c r="V2153" t="s">
        <v>37</v>
      </c>
    </row>
    <row r="2154" spans="1:22">
      <c r="A2154" t="str">
        <f t="shared" si="412"/>
        <v>13/03/2026</v>
      </c>
      <c r="B2154" t="str">
        <f t="shared" si="414"/>
        <v>ENTRADA</v>
      </c>
      <c r="C2154" t="str">
        <f t="shared" si="415"/>
        <v>NFSE</v>
      </c>
      <c r="D2154" t="str">
        <f t="shared" si="420"/>
        <v>458</v>
      </c>
      <c r="E2154" t="str">
        <f t="shared" si="413"/>
        <v>1</v>
      </c>
      <c r="F2154" t="str">
        <f t="shared" si="408"/>
        <v>COM</v>
      </c>
      <c r="G2154" t="str">
        <f t="shared" si="421"/>
        <v>FARMÁCIA INDIANA LJ 85 (10128)</v>
      </c>
      <c r="H2154" t="s">
        <v>677</v>
      </c>
      <c r="I2154" t="str">
        <f t="shared" si="418"/>
        <v>11/03/2026</v>
      </c>
      <c r="J2154" t="str">
        <f t="shared" si="419"/>
        <v>03/03/2026</v>
      </c>
      <c r="K2154">
        <v>46094</v>
      </c>
      <c r="N2154">
        <v>303</v>
      </c>
      <c r="O2154" t="s">
        <v>102</v>
      </c>
      <c r="Q2154">
        <v>1081.1500000000001</v>
      </c>
      <c r="R2154" t="str">
        <f>"FARMÁCIA INDIANA LJ 243 (10142)"</f>
        <v>FARMÁCIA INDIANA LJ 243 (10142)</v>
      </c>
      <c r="S2154" t="s">
        <v>103</v>
      </c>
      <c r="T2154">
        <v>30605</v>
      </c>
      <c r="U2154">
        <v>34046</v>
      </c>
      <c r="V2154" t="s">
        <v>37</v>
      </c>
    </row>
    <row r="2155" spans="1:22">
      <c r="A2155" t="str">
        <f t="shared" si="412"/>
        <v>13/03/2026</v>
      </c>
      <c r="B2155" t="str">
        <f t="shared" si="414"/>
        <v>ENTRADA</v>
      </c>
      <c r="C2155" t="str">
        <f t="shared" si="415"/>
        <v>NFSE</v>
      </c>
      <c r="D2155" t="str">
        <f t="shared" si="420"/>
        <v>458</v>
      </c>
      <c r="E2155" t="str">
        <f t="shared" si="413"/>
        <v>1</v>
      </c>
      <c r="F2155" t="str">
        <f t="shared" si="408"/>
        <v>COM</v>
      </c>
      <c r="G2155" t="str">
        <f t="shared" si="421"/>
        <v>FARMÁCIA INDIANA LJ 85 (10128)</v>
      </c>
      <c r="H2155" t="s">
        <v>677</v>
      </c>
      <c r="I2155" t="str">
        <f t="shared" si="418"/>
        <v>11/03/2026</v>
      </c>
      <c r="J2155" t="str">
        <f t="shared" si="419"/>
        <v>03/03/2026</v>
      </c>
      <c r="K2155">
        <v>46094</v>
      </c>
      <c r="N2155">
        <v>303</v>
      </c>
      <c r="O2155" t="s">
        <v>102</v>
      </c>
      <c r="Q2155">
        <v>524.41999999999996</v>
      </c>
      <c r="R2155" t="str">
        <f>"FARMÁCIA INDIANA LJ 211 (10168)"</f>
        <v>FARMÁCIA INDIANA LJ 211 (10168)</v>
      </c>
      <c r="S2155" t="s">
        <v>103</v>
      </c>
      <c r="T2155">
        <v>30605</v>
      </c>
      <c r="U2155">
        <v>34046</v>
      </c>
      <c r="V2155" t="s">
        <v>37</v>
      </c>
    </row>
    <row r="2156" spans="1:22">
      <c r="A2156" t="str">
        <f t="shared" si="412"/>
        <v>13/03/2026</v>
      </c>
      <c r="B2156" t="str">
        <f t="shared" si="414"/>
        <v>ENTRADA</v>
      </c>
      <c r="C2156" t="str">
        <f t="shared" si="415"/>
        <v>NFSE</v>
      </c>
      <c r="D2156" t="str">
        <f t="shared" si="420"/>
        <v>458</v>
      </c>
      <c r="E2156" t="str">
        <f t="shared" si="413"/>
        <v>1</v>
      </c>
      <c r="F2156" t="str">
        <f t="shared" si="408"/>
        <v>COM</v>
      </c>
      <c r="G2156" t="str">
        <f t="shared" si="421"/>
        <v>FARMÁCIA INDIANA LJ 85 (10128)</v>
      </c>
      <c r="H2156" t="s">
        <v>677</v>
      </c>
      <c r="I2156" t="str">
        <f t="shared" si="418"/>
        <v>11/03/2026</v>
      </c>
      <c r="J2156" t="str">
        <f t="shared" si="419"/>
        <v>03/03/2026</v>
      </c>
      <c r="K2156">
        <v>46094</v>
      </c>
      <c r="N2156">
        <v>303</v>
      </c>
      <c r="O2156" t="s">
        <v>102</v>
      </c>
      <c r="Q2156">
        <v>509.12</v>
      </c>
      <c r="R2156" t="str">
        <f>"FARMÁCIA INDIANA LJ 236 (10169)"</f>
        <v>FARMÁCIA INDIANA LJ 236 (10169)</v>
      </c>
      <c r="S2156" t="s">
        <v>103</v>
      </c>
      <c r="T2156">
        <v>30605</v>
      </c>
      <c r="U2156">
        <v>34046</v>
      </c>
      <c r="V2156" t="s">
        <v>37</v>
      </c>
    </row>
    <row r="2157" spans="1:22">
      <c r="A2157" t="str">
        <f t="shared" si="412"/>
        <v>13/03/2026</v>
      </c>
      <c r="B2157" t="str">
        <f t="shared" si="414"/>
        <v>ENTRADA</v>
      </c>
      <c r="C2157" t="str">
        <f t="shared" si="415"/>
        <v>NFSE</v>
      </c>
      <c r="D2157" t="str">
        <f t="shared" si="420"/>
        <v>458</v>
      </c>
      <c r="E2157" t="str">
        <f t="shared" si="413"/>
        <v>1</v>
      </c>
      <c r="F2157" t="str">
        <f t="shared" si="408"/>
        <v>COM</v>
      </c>
      <c r="G2157" t="str">
        <f t="shared" si="421"/>
        <v>FARMÁCIA INDIANA LJ 85 (10128)</v>
      </c>
      <c r="H2157" t="s">
        <v>677</v>
      </c>
      <c r="I2157" t="str">
        <f t="shared" si="418"/>
        <v>11/03/2026</v>
      </c>
      <c r="J2157" t="str">
        <f t="shared" si="419"/>
        <v>03/03/2026</v>
      </c>
      <c r="K2157">
        <v>46094</v>
      </c>
      <c r="N2157">
        <v>303</v>
      </c>
      <c r="O2157" t="s">
        <v>102</v>
      </c>
      <c r="Q2157">
        <v>1033.55</v>
      </c>
      <c r="R2157" t="str">
        <f>"FARMÁCIA INDIANA LJ 188 (10176)"</f>
        <v>FARMÁCIA INDIANA LJ 188 (10176)</v>
      </c>
      <c r="S2157" t="s">
        <v>103</v>
      </c>
      <c r="T2157">
        <v>30605</v>
      </c>
      <c r="U2157">
        <v>34046</v>
      </c>
      <c r="V2157" t="s">
        <v>37</v>
      </c>
    </row>
    <row r="2158" spans="1:22">
      <c r="A2158" t="str">
        <f t="shared" si="412"/>
        <v>13/03/2026</v>
      </c>
      <c r="B2158" t="str">
        <f t="shared" si="414"/>
        <v>ENTRADA</v>
      </c>
      <c r="C2158" t="str">
        <f t="shared" si="415"/>
        <v>NFSE</v>
      </c>
      <c r="D2158" t="str">
        <f t="shared" si="420"/>
        <v>458</v>
      </c>
      <c r="E2158" t="str">
        <f t="shared" si="413"/>
        <v>1</v>
      </c>
      <c r="F2158" t="str">
        <f t="shared" si="408"/>
        <v>COM</v>
      </c>
      <c r="G2158" t="str">
        <f t="shared" si="421"/>
        <v>FARMÁCIA INDIANA LJ 85 (10128)</v>
      </c>
      <c r="H2158" t="s">
        <v>677</v>
      </c>
      <c r="I2158" t="str">
        <f t="shared" si="418"/>
        <v>11/03/2026</v>
      </c>
      <c r="J2158" t="str">
        <f t="shared" si="419"/>
        <v>03/03/2026</v>
      </c>
      <c r="K2158">
        <v>46094</v>
      </c>
      <c r="N2158">
        <v>303</v>
      </c>
      <c r="O2158" t="s">
        <v>102</v>
      </c>
      <c r="Q2158">
        <v>162.34</v>
      </c>
      <c r="R2158" t="str">
        <f>"FARMÁCIA INDIANA LJ 235 (10190)"</f>
        <v>FARMÁCIA INDIANA LJ 235 (10190)</v>
      </c>
      <c r="S2158" t="s">
        <v>103</v>
      </c>
      <c r="T2158">
        <v>30605</v>
      </c>
      <c r="U2158">
        <v>34046</v>
      </c>
      <c r="V2158" t="s">
        <v>37</v>
      </c>
    </row>
    <row r="2159" spans="1:22">
      <c r="A2159" t="str">
        <f t="shared" si="412"/>
        <v>13/03/2026</v>
      </c>
      <c r="B2159" t="str">
        <f t="shared" si="414"/>
        <v>ENTRADA</v>
      </c>
      <c r="C2159" t="str">
        <f t="shared" si="415"/>
        <v>NFSE</v>
      </c>
      <c r="D2159" t="str">
        <f t="shared" si="420"/>
        <v>458</v>
      </c>
      <c r="E2159" t="str">
        <f t="shared" si="413"/>
        <v>1</v>
      </c>
      <c r="F2159" t="str">
        <f t="shared" si="408"/>
        <v>COM</v>
      </c>
      <c r="G2159" t="str">
        <f t="shared" si="421"/>
        <v>FARMÁCIA INDIANA LJ 85 (10128)</v>
      </c>
      <c r="H2159" t="s">
        <v>677</v>
      </c>
      <c r="I2159" t="str">
        <f t="shared" si="418"/>
        <v>11/03/2026</v>
      </c>
      <c r="J2159" t="str">
        <f t="shared" si="419"/>
        <v>03/03/2026</v>
      </c>
      <c r="K2159">
        <v>46094</v>
      </c>
      <c r="N2159">
        <v>303</v>
      </c>
      <c r="O2159" t="s">
        <v>102</v>
      </c>
      <c r="Q2159">
        <v>509.12</v>
      </c>
      <c r="R2159" t="str">
        <f>"FARMÁCIA INDIANA LJ 292 (10282)"</f>
        <v>FARMÁCIA INDIANA LJ 292 (10282)</v>
      </c>
      <c r="S2159" t="s">
        <v>103</v>
      </c>
      <c r="T2159">
        <v>30605</v>
      </c>
      <c r="U2159">
        <v>34046</v>
      </c>
      <c r="V2159" t="s">
        <v>37</v>
      </c>
    </row>
    <row r="2160" spans="1:22">
      <c r="A2160" t="str">
        <f t="shared" si="412"/>
        <v>13/03/2026</v>
      </c>
      <c r="B2160" t="str">
        <f t="shared" si="414"/>
        <v>ENTRADA</v>
      </c>
      <c r="C2160" t="str">
        <f t="shared" si="415"/>
        <v>NFSE</v>
      </c>
      <c r="D2160" t="str">
        <f t="shared" ref="D2160:D2191" si="422">"460"</f>
        <v>460</v>
      </c>
      <c r="E2160" t="str">
        <f t="shared" si="413"/>
        <v>1</v>
      </c>
      <c r="F2160" t="str">
        <f t="shared" si="408"/>
        <v>COM</v>
      </c>
      <c r="G2160" t="str">
        <f t="shared" ref="G2160:G2191" si="423">"FARMÁCIA INDIANA LJ 1 (10126)"</f>
        <v>FARMÁCIA INDIANA LJ 1 (10126)</v>
      </c>
      <c r="H2160" t="str">
        <f>"Serv.Prest. 23/02/2026 a 01/03/2026 - RPS: 2388 - NFSe: 460"</f>
        <v>Serv.Prest. 23/02/2026 a 01/03/2026 - RPS: 2388 - NFSe: 460</v>
      </c>
      <c r="I2160" t="str">
        <f t="shared" si="418"/>
        <v>11/03/2026</v>
      </c>
      <c r="J2160" t="str">
        <f t="shared" si="419"/>
        <v>03/03/2026</v>
      </c>
      <c r="K2160" t="str">
        <f>("13/03/2026")</f>
        <v>13/03/2026</v>
      </c>
      <c r="L2160">
        <v>115288.69</v>
      </c>
      <c r="M2160">
        <v>115288.69</v>
      </c>
      <c r="N2160">
        <v>303</v>
      </c>
      <c r="O2160" t="str">
        <f>"RECEITAS COM ENTREGAS"</f>
        <v>RECEITAS COM ENTREGAS</v>
      </c>
      <c r="P2160">
        <v>115288.69</v>
      </c>
      <c r="S2160" t="str">
        <f>"RECEITAS COM ENTREGAS (303)"</f>
        <v>RECEITAS COM ENTREGAS (303)</v>
      </c>
      <c r="T2160">
        <v>30606</v>
      </c>
      <c r="U2160">
        <v>34094</v>
      </c>
      <c r="V2160" t="s">
        <v>37</v>
      </c>
    </row>
    <row r="2161" spans="1:22">
      <c r="A2161" t="str">
        <f t="shared" si="412"/>
        <v>13/03/2026</v>
      </c>
      <c r="B2161" t="str">
        <f t="shared" si="414"/>
        <v>ENTRADA</v>
      </c>
      <c r="C2161" t="str">
        <f t="shared" si="415"/>
        <v>NFSE</v>
      </c>
      <c r="D2161" t="str">
        <f t="shared" si="422"/>
        <v>460</v>
      </c>
      <c r="E2161" t="str">
        <f t="shared" ref="E2161:E2192" si="424">"1"</f>
        <v>1</v>
      </c>
      <c r="F2161" t="str">
        <f t="shared" si="408"/>
        <v>COM</v>
      </c>
      <c r="G2161" t="str">
        <f t="shared" si="423"/>
        <v>FARMÁCIA INDIANA LJ 1 (10126)</v>
      </c>
      <c r="H2161" t="s">
        <v>678</v>
      </c>
      <c r="I2161" t="str">
        <f t="shared" si="418"/>
        <v>11/03/2026</v>
      </c>
      <c r="J2161" t="str">
        <f t="shared" si="419"/>
        <v>03/03/2026</v>
      </c>
      <c r="K2161">
        <v>46094</v>
      </c>
      <c r="N2161">
        <v>303</v>
      </c>
      <c r="O2161" t="s">
        <v>102</v>
      </c>
      <c r="Q2161">
        <v>16889.79</v>
      </c>
      <c r="R2161" t="str">
        <f>"FARMÁCIA INDIANA LJ 06 (10006)"</f>
        <v>FARMÁCIA INDIANA LJ 06 (10006)</v>
      </c>
      <c r="S2161" t="s">
        <v>103</v>
      </c>
      <c r="T2161">
        <v>30606</v>
      </c>
      <c r="U2161">
        <v>34094</v>
      </c>
      <c r="V2161" t="s">
        <v>37</v>
      </c>
    </row>
    <row r="2162" spans="1:22">
      <c r="A2162" t="str">
        <f t="shared" si="412"/>
        <v>13/03/2026</v>
      </c>
      <c r="B2162" t="str">
        <f t="shared" si="414"/>
        <v>ENTRADA</v>
      </c>
      <c r="C2162" t="str">
        <f t="shared" si="415"/>
        <v>NFSE</v>
      </c>
      <c r="D2162" t="str">
        <f t="shared" si="422"/>
        <v>460</v>
      </c>
      <c r="E2162" t="str">
        <f t="shared" si="424"/>
        <v>1</v>
      </c>
      <c r="F2162" t="str">
        <f t="shared" si="408"/>
        <v>COM</v>
      </c>
      <c r="G2162" t="str">
        <f t="shared" si="423"/>
        <v>FARMÁCIA INDIANA LJ 1 (10126)</v>
      </c>
      <c r="H2162" t="s">
        <v>678</v>
      </c>
      <c r="I2162" t="str">
        <f t="shared" si="418"/>
        <v>11/03/2026</v>
      </c>
      <c r="J2162" t="str">
        <f t="shared" si="419"/>
        <v>03/03/2026</v>
      </c>
      <c r="K2162">
        <v>46094</v>
      </c>
      <c r="N2162">
        <v>303</v>
      </c>
      <c r="O2162" t="s">
        <v>102</v>
      </c>
      <c r="Q2162">
        <v>10952.43</v>
      </c>
      <c r="R2162" t="str">
        <f>"FARMÁCIA INDIANA LJ 07 (10007)"</f>
        <v>FARMÁCIA INDIANA LJ 07 (10007)</v>
      </c>
      <c r="S2162" t="s">
        <v>103</v>
      </c>
      <c r="T2162">
        <v>30606</v>
      </c>
      <c r="U2162">
        <v>34094</v>
      </c>
      <c r="V2162" t="s">
        <v>37</v>
      </c>
    </row>
    <row r="2163" spans="1:22">
      <c r="A2163" t="str">
        <f t="shared" si="412"/>
        <v>13/03/2026</v>
      </c>
      <c r="B2163" t="str">
        <f t="shared" ref="B2163:B2194" si="425">"ENTRADA"</f>
        <v>ENTRADA</v>
      </c>
      <c r="C2163" t="str">
        <f t="shared" ref="C2163:C2194" si="426">"NFSE"</f>
        <v>NFSE</v>
      </c>
      <c r="D2163" t="str">
        <f t="shared" si="422"/>
        <v>460</v>
      </c>
      <c r="E2163" t="str">
        <f t="shared" si="424"/>
        <v>1</v>
      </c>
      <c r="F2163" t="str">
        <f t="shared" si="408"/>
        <v>COM</v>
      </c>
      <c r="G2163" t="str">
        <f t="shared" si="423"/>
        <v>FARMÁCIA INDIANA LJ 1 (10126)</v>
      </c>
      <c r="H2163" t="s">
        <v>678</v>
      </c>
      <c r="I2163" t="str">
        <f t="shared" ref="I2163:I2194" si="427">("11/03/2026")</f>
        <v>11/03/2026</v>
      </c>
      <c r="J2163" t="str">
        <f t="shared" ref="J2163:J2194" si="428">("03/03/2026")</f>
        <v>03/03/2026</v>
      </c>
      <c r="K2163">
        <v>46094</v>
      </c>
      <c r="N2163">
        <v>303</v>
      </c>
      <c r="O2163" t="s">
        <v>102</v>
      </c>
      <c r="Q2163">
        <v>9292.27</v>
      </c>
      <c r="R2163" t="str">
        <f>"FARMÁCIA INDIANA LJ 11 (10008)"</f>
        <v>FARMÁCIA INDIANA LJ 11 (10008)</v>
      </c>
      <c r="S2163" t="s">
        <v>103</v>
      </c>
      <c r="T2163">
        <v>30606</v>
      </c>
      <c r="U2163">
        <v>34094</v>
      </c>
      <c r="V2163" t="s">
        <v>37</v>
      </c>
    </row>
    <row r="2164" spans="1:22">
      <c r="A2164" t="str">
        <f t="shared" si="412"/>
        <v>13/03/2026</v>
      </c>
      <c r="B2164" t="str">
        <f t="shared" si="425"/>
        <v>ENTRADA</v>
      </c>
      <c r="C2164" t="str">
        <f t="shared" si="426"/>
        <v>NFSE</v>
      </c>
      <c r="D2164" t="str">
        <f t="shared" si="422"/>
        <v>460</v>
      </c>
      <c r="E2164" t="str">
        <f t="shared" si="424"/>
        <v>1</v>
      </c>
      <c r="F2164" t="str">
        <f t="shared" si="408"/>
        <v>COM</v>
      </c>
      <c r="G2164" t="str">
        <f t="shared" si="423"/>
        <v>FARMÁCIA INDIANA LJ 1 (10126)</v>
      </c>
      <c r="H2164" t="s">
        <v>678</v>
      </c>
      <c r="I2164" t="str">
        <f t="shared" si="427"/>
        <v>11/03/2026</v>
      </c>
      <c r="J2164" t="str">
        <f t="shared" si="428"/>
        <v>03/03/2026</v>
      </c>
      <c r="K2164">
        <v>46094</v>
      </c>
      <c r="N2164">
        <v>303</v>
      </c>
      <c r="O2164" t="s">
        <v>102</v>
      </c>
      <c r="Q2164">
        <v>2178.96</v>
      </c>
      <c r="R2164" t="str">
        <f>"FARMÁCIA INDIANA LJ 14 (10009)"</f>
        <v>FARMÁCIA INDIANA LJ 14 (10009)</v>
      </c>
      <c r="S2164" t="s">
        <v>103</v>
      </c>
      <c r="T2164">
        <v>30606</v>
      </c>
      <c r="U2164">
        <v>34094</v>
      </c>
      <c r="V2164" t="s">
        <v>37</v>
      </c>
    </row>
    <row r="2165" spans="1:22">
      <c r="A2165" t="str">
        <f t="shared" si="412"/>
        <v>13/03/2026</v>
      </c>
      <c r="B2165" t="str">
        <f t="shared" si="425"/>
        <v>ENTRADA</v>
      </c>
      <c r="C2165" t="str">
        <f t="shared" si="426"/>
        <v>NFSE</v>
      </c>
      <c r="D2165" t="str">
        <f t="shared" si="422"/>
        <v>460</v>
      </c>
      <c r="E2165" t="str">
        <f t="shared" si="424"/>
        <v>1</v>
      </c>
      <c r="F2165" t="str">
        <f t="shared" si="408"/>
        <v>COM</v>
      </c>
      <c r="G2165" t="str">
        <f t="shared" si="423"/>
        <v>FARMÁCIA INDIANA LJ 1 (10126)</v>
      </c>
      <c r="H2165" t="s">
        <v>678</v>
      </c>
      <c r="I2165" t="str">
        <f t="shared" si="427"/>
        <v>11/03/2026</v>
      </c>
      <c r="J2165" t="str">
        <f t="shared" si="428"/>
        <v>03/03/2026</v>
      </c>
      <c r="K2165">
        <v>46094</v>
      </c>
      <c r="N2165">
        <v>303</v>
      </c>
      <c r="O2165" t="s">
        <v>102</v>
      </c>
      <c r="Q2165">
        <v>2225.0700000000002</v>
      </c>
      <c r="R2165" t="str">
        <f>"FARMÁCIA INDIANA LJ 18 (10011)"</f>
        <v>FARMÁCIA INDIANA LJ 18 (10011)</v>
      </c>
      <c r="S2165" t="s">
        <v>103</v>
      </c>
      <c r="T2165">
        <v>30606</v>
      </c>
      <c r="U2165">
        <v>34094</v>
      </c>
      <c r="V2165" t="s">
        <v>37</v>
      </c>
    </row>
    <row r="2166" spans="1:22">
      <c r="A2166" t="str">
        <f t="shared" si="412"/>
        <v>13/03/2026</v>
      </c>
      <c r="B2166" t="str">
        <f t="shared" si="425"/>
        <v>ENTRADA</v>
      </c>
      <c r="C2166" t="str">
        <f t="shared" si="426"/>
        <v>NFSE</v>
      </c>
      <c r="D2166" t="str">
        <f t="shared" si="422"/>
        <v>460</v>
      </c>
      <c r="E2166" t="str">
        <f t="shared" si="424"/>
        <v>1</v>
      </c>
      <c r="F2166" t="str">
        <f t="shared" si="408"/>
        <v>COM</v>
      </c>
      <c r="G2166" t="str">
        <f t="shared" si="423"/>
        <v>FARMÁCIA INDIANA LJ 1 (10126)</v>
      </c>
      <c r="H2166" t="s">
        <v>678</v>
      </c>
      <c r="I2166" t="str">
        <f t="shared" si="427"/>
        <v>11/03/2026</v>
      </c>
      <c r="J2166" t="str">
        <f t="shared" si="428"/>
        <v>03/03/2026</v>
      </c>
      <c r="K2166">
        <v>46094</v>
      </c>
      <c r="N2166">
        <v>303</v>
      </c>
      <c r="O2166" t="s">
        <v>102</v>
      </c>
      <c r="Q2166">
        <v>3089.74</v>
      </c>
      <c r="R2166" t="str">
        <f>"FARMÁCIA INDIANA LJ 19 (10012)"</f>
        <v>FARMÁCIA INDIANA LJ 19 (10012)</v>
      </c>
      <c r="S2166" t="s">
        <v>103</v>
      </c>
      <c r="T2166">
        <v>30606</v>
      </c>
      <c r="U2166">
        <v>34094</v>
      </c>
      <c r="V2166" t="s">
        <v>37</v>
      </c>
    </row>
    <row r="2167" spans="1:22">
      <c r="A2167" t="str">
        <f t="shared" si="412"/>
        <v>13/03/2026</v>
      </c>
      <c r="B2167" t="str">
        <f t="shared" si="425"/>
        <v>ENTRADA</v>
      </c>
      <c r="C2167" t="str">
        <f t="shared" si="426"/>
        <v>NFSE</v>
      </c>
      <c r="D2167" t="str">
        <f t="shared" si="422"/>
        <v>460</v>
      </c>
      <c r="E2167" t="str">
        <f t="shared" si="424"/>
        <v>1</v>
      </c>
      <c r="F2167" t="str">
        <f t="shared" si="408"/>
        <v>COM</v>
      </c>
      <c r="G2167" t="str">
        <f t="shared" si="423"/>
        <v>FARMÁCIA INDIANA LJ 1 (10126)</v>
      </c>
      <c r="H2167" t="s">
        <v>678</v>
      </c>
      <c r="I2167" t="str">
        <f t="shared" si="427"/>
        <v>11/03/2026</v>
      </c>
      <c r="J2167" t="str">
        <f t="shared" si="428"/>
        <v>03/03/2026</v>
      </c>
      <c r="K2167">
        <v>46094</v>
      </c>
      <c r="N2167">
        <v>303</v>
      </c>
      <c r="O2167" t="s">
        <v>102</v>
      </c>
      <c r="Q2167">
        <v>5499.27</v>
      </c>
      <c r="R2167" t="str">
        <f>"FARMÁCIA INDIANA LJ 40 (10016)"</f>
        <v>FARMÁCIA INDIANA LJ 40 (10016)</v>
      </c>
      <c r="S2167" t="s">
        <v>103</v>
      </c>
      <c r="T2167">
        <v>30606</v>
      </c>
      <c r="U2167">
        <v>34094</v>
      </c>
      <c r="V2167" t="s">
        <v>37</v>
      </c>
    </row>
    <row r="2168" spans="1:22">
      <c r="A2168" t="str">
        <f t="shared" si="412"/>
        <v>13/03/2026</v>
      </c>
      <c r="B2168" t="str">
        <f t="shared" si="425"/>
        <v>ENTRADA</v>
      </c>
      <c r="C2168" t="str">
        <f t="shared" si="426"/>
        <v>NFSE</v>
      </c>
      <c r="D2168" t="str">
        <f t="shared" si="422"/>
        <v>460</v>
      </c>
      <c r="E2168" t="str">
        <f t="shared" si="424"/>
        <v>1</v>
      </c>
      <c r="F2168" t="str">
        <f t="shared" si="408"/>
        <v>COM</v>
      </c>
      <c r="G2168" t="str">
        <f t="shared" si="423"/>
        <v>FARMÁCIA INDIANA LJ 1 (10126)</v>
      </c>
      <c r="H2168" t="s">
        <v>678</v>
      </c>
      <c r="I2168" t="str">
        <f t="shared" si="427"/>
        <v>11/03/2026</v>
      </c>
      <c r="J2168" t="str">
        <f t="shared" si="428"/>
        <v>03/03/2026</v>
      </c>
      <c r="K2168">
        <v>46094</v>
      </c>
      <c r="N2168">
        <v>303</v>
      </c>
      <c r="O2168" t="s">
        <v>102</v>
      </c>
      <c r="Q2168">
        <v>1786.97</v>
      </c>
      <c r="R2168" t="str">
        <f>"FARMÁCIA INDIANA LJ 59 (10026)"</f>
        <v>FARMÁCIA INDIANA LJ 59 (10026)</v>
      </c>
      <c r="S2168" t="s">
        <v>103</v>
      </c>
      <c r="T2168">
        <v>30606</v>
      </c>
      <c r="U2168">
        <v>34094</v>
      </c>
      <c r="V2168" t="s">
        <v>37</v>
      </c>
    </row>
    <row r="2169" spans="1:22">
      <c r="A2169" t="str">
        <f t="shared" si="412"/>
        <v>13/03/2026</v>
      </c>
      <c r="B2169" t="str">
        <f t="shared" si="425"/>
        <v>ENTRADA</v>
      </c>
      <c r="C2169" t="str">
        <f t="shared" si="426"/>
        <v>NFSE</v>
      </c>
      <c r="D2169" t="str">
        <f t="shared" si="422"/>
        <v>460</v>
      </c>
      <c r="E2169" t="str">
        <f t="shared" si="424"/>
        <v>1</v>
      </c>
      <c r="F2169" t="str">
        <f t="shared" si="408"/>
        <v>COM</v>
      </c>
      <c r="G2169" t="str">
        <f t="shared" si="423"/>
        <v>FARMÁCIA INDIANA LJ 1 (10126)</v>
      </c>
      <c r="H2169" t="s">
        <v>678</v>
      </c>
      <c r="I2169" t="str">
        <f t="shared" si="427"/>
        <v>11/03/2026</v>
      </c>
      <c r="J2169" t="str">
        <f t="shared" si="428"/>
        <v>03/03/2026</v>
      </c>
      <c r="K2169">
        <v>46094</v>
      </c>
      <c r="N2169">
        <v>303</v>
      </c>
      <c r="O2169" t="s">
        <v>102</v>
      </c>
      <c r="Q2169">
        <v>4796.01</v>
      </c>
      <c r="R2169" t="str">
        <f>"FARMÁCIA INDIANA LJ 61 (10027)"</f>
        <v>FARMÁCIA INDIANA LJ 61 (10027)</v>
      </c>
      <c r="S2169" t="s">
        <v>103</v>
      </c>
      <c r="T2169">
        <v>30606</v>
      </c>
      <c r="U2169">
        <v>34094</v>
      </c>
      <c r="V2169" t="s">
        <v>37</v>
      </c>
    </row>
    <row r="2170" spans="1:22">
      <c r="A2170" t="str">
        <f t="shared" si="412"/>
        <v>13/03/2026</v>
      </c>
      <c r="B2170" t="str">
        <f t="shared" si="425"/>
        <v>ENTRADA</v>
      </c>
      <c r="C2170" t="str">
        <f t="shared" si="426"/>
        <v>NFSE</v>
      </c>
      <c r="D2170" t="str">
        <f t="shared" si="422"/>
        <v>460</v>
      </c>
      <c r="E2170" t="str">
        <f t="shared" si="424"/>
        <v>1</v>
      </c>
      <c r="F2170" t="str">
        <f t="shared" si="408"/>
        <v>COM</v>
      </c>
      <c r="G2170" t="str">
        <f t="shared" si="423"/>
        <v>FARMÁCIA INDIANA LJ 1 (10126)</v>
      </c>
      <c r="H2170" t="s">
        <v>678</v>
      </c>
      <c r="I2170" t="str">
        <f t="shared" si="427"/>
        <v>11/03/2026</v>
      </c>
      <c r="J2170" t="str">
        <f t="shared" si="428"/>
        <v>03/03/2026</v>
      </c>
      <c r="K2170">
        <v>46094</v>
      </c>
      <c r="N2170">
        <v>303</v>
      </c>
      <c r="O2170" t="s">
        <v>102</v>
      </c>
      <c r="Q2170">
        <v>1959.91</v>
      </c>
      <c r="R2170" t="str">
        <f>"FARMÁCIA INDIANA LJ 62 (10028)"</f>
        <v>FARMÁCIA INDIANA LJ 62 (10028)</v>
      </c>
      <c r="S2170" t="s">
        <v>103</v>
      </c>
      <c r="T2170">
        <v>30606</v>
      </c>
      <c r="U2170">
        <v>34094</v>
      </c>
      <c r="V2170" t="s">
        <v>37</v>
      </c>
    </row>
    <row r="2171" spans="1:22">
      <c r="A2171" t="str">
        <f t="shared" si="412"/>
        <v>13/03/2026</v>
      </c>
      <c r="B2171" t="str">
        <f t="shared" si="425"/>
        <v>ENTRADA</v>
      </c>
      <c r="C2171" t="str">
        <f t="shared" si="426"/>
        <v>NFSE</v>
      </c>
      <c r="D2171" t="str">
        <f t="shared" si="422"/>
        <v>460</v>
      </c>
      <c r="E2171" t="str">
        <f t="shared" si="424"/>
        <v>1</v>
      </c>
      <c r="F2171" t="str">
        <f t="shared" si="408"/>
        <v>COM</v>
      </c>
      <c r="G2171" t="str">
        <f t="shared" si="423"/>
        <v>FARMÁCIA INDIANA LJ 1 (10126)</v>
      </c>
      <c r="H2171" t="s">
        <v>678</v>
      </c>
      <c r="I2171" t="str">
        <f t="shared" si="427"/>
        <v>11/03/2026</v>
      </c>
      <c r="J2171" t="str">
        <f t="shared" si="428"/>
        <v>03/03/2026</v>
      </c>
      <c r="K2171">
        <v>46094</v>
      </c>
      <c r="N2171">
        <v>303</v>
      </c>
      <c r="O2171" t="s">
        <v>102</v>
      </c>
      <c r="Q2171">
        <v>772.43</v>
      </c>
      <c r="R2171" t="str">
        <f>"FARMÁCIA INDIANA LJ 64 (10029)"</f>
        <v>FARMÁCIA INDIANA LJ 64 (10029)</v>
      </c>
      <c r="S2171" t="s">
        <v>103</v>
      </c>
      <c r="T2171">
        <v>30606</v>
      </c>
      <c r="U2171">
        <v>34094</v>
      </c>
      <c r="V2171" t="s">
        <v>37</v>
      </c>
    </row>
    <row r="2172" spans="1:22">
      <c r="A2172" t="str">
        <f t="shared" si="412"/>
        <v>13/03/2026</v>
      </c>
      <c r="B2172" t="str">
        <f t="shared" si="425"/>
        <v>ENTRADA</v>
      </c>
      <c r="C2172" t="str">
        <f t="shared" si="426"/>
        <v>NFSE</v>
      </c>
      <c r="D2172" t="str">
        <f t="shared" si="422"/>
        <v>460</v>
      </c>
      <c r="E2172" t="str">
        <f t="shared" si="424"/>
        <v>1</v>
      </c>
      <c r="F2172" t="str">
        <f t="shared" si="408"/>
        <v>COM</v>
      </c>
      <c r="G2172" t="str">
        <f t="shared" si="423"/>
        <v>FARMÁCIA INDIANA LJ 1 (10126)</v>
      </c>
      <c r="H2172" t="s">
        <v>678</v>
      </c>
      <c r="I2172" t="str">
        <f t="shared" si="427"/>
        <v>11/03/2026</v>
      </c>
      <c r="J2172" t="str">
        <f t="shared" si="428"/>
        <v>03/03/2026</v>
      </c>
      <c r="K2172">
        <v>46094</v>
      </c>
      <c r="N2172">
        <v>303</v>
      </c>
      <c r="O2172" t="s">
        <v>102</v>
      </c>
      <c r="Q2172">
        <v>599.5</v>
      </c>
      <c r="R2172" t="str">
        <f>"FARMÁCIA INDIANA LJ 97 (10040)"</f>
        <v>FARMÁCIA INDIANA LJ 97 (10040)</v>
      </c>
      <c r="S2172" t="s">
        <v>103</v>
      </c>
      <c r="T2172">
        <v>30606</v>
      </c>
      <c r="U2172">
        <v>34094</v>
      </c>
      <c r="V2172" t="s">
        <v>37</v>
      </c>
    </row>
    <row r="2173" spans="1:22">
      <c r="A2173" t="str">
        <f t="shared" si="412"/>
        <v>13/03/2026</v>
      </c>
      <c r="B2173" t="str">
        <f t="shared" si="425"/>
        <v>ENTRADA</v>
      </c>
      <c r="C2173" t="str">
        <f t="shared" si="426"/>
        <v>NFSE</v>
      </c>
      <c r="D2173" t="str">
        <f t="shared" si="422"/>
        <v>460</v>
      </c>
      <c r="E2173" t="str">
        <f t="shared" si="424"/>
        <v>1</v>
      </c>
      <c r="F2173" t="str">
        <f t="shared" si="408"/>
        <v>COM</v>
      </c>
      <c r="G2173" t="str">
        <f t="shared" si="423"/>
        <v>FARMÁCIA INDIANA LJ 1 (10126)</v>
      </c>
      <c r="H2173" t="s">
        <v>678</v>
      </c>
      <c r="I2173" t="str">
        <f t="shared" si="427"/>
        <v>11/03/2026</v>
      </c>
      <c r="J2173" t="str">
        <f t="shared" si="428"/>
        <v>03/03/2026</v>
      </c>
      <c r="K2173">
        <v>46094</v>
      </c>
      <c r="N2173">
        <v>303</v>
      </c>
      <c r="O2173" t="s">
        <v>102</v>
      </c>
      <c r="Q2173">
        <v>1798.5</v>
      </c>
      <c r="R2173" t="str">
        <f>"FARMÁCIA INDIANA LJ 100 (10042)"</f>
        <v>FARMÁCIA INDIANA LJ 100 (10042)</v>
      </c>
      <c r="S2173" t="s">
        <v>103</v>
      </c>
      <c r="T2173">
        <v>30606</v>
      </c>
      <c r="U2173">
        <v>34094</v>
      </c>
      <c r="V2173" t="s">
        <v>37</v>
      </c>
    </row>
    <row r="2174" spans="1:22">
      <c r="A2174" t="str">
        <f t="shared" si="412"/>
        <v>13/03/2026</v>
      </c>
      <c r="B2174" t="str">
        <f t="shared" si="425"/>
        <v>ENTRADA</v>
      </c>
      <c r="C2174" t="str">
        <f t="shared" si="426"/>
        <v>NFSE</v>
      </c>
      <c r="D2174" t="str">
        <f t="shared" si="422"/>
        <v>460</v>
      </c>
      <c r="E2174" t="str">
        <f t="shared" si="424"/>
        <v>1</v>
      </c>
      <c r="F2174" t="str">
        <f t="shared" si="408"/>
        <v>COM</v>
      </c>
      <c r="G2174" t="str">
        <f t="shared" si="423"/>
        <v>FARMÁCIA INDIANA LJ 1 (10126)</v>
      </c>
      <c r="H2174" t="s">
        <v>678</v>
      </c>
      <c r="I2174" t="str">
        <f t="shared" si="427"/>
        <v>11/03/2026</v>
      </c>
      <c r="J2174" t="str">
        <f t="shared" si="428"/>
        <v>03/03/2026</v>
      </c>
      <c r="K2174">
        <v>46094</v>
      </c>
      <c r="N2174">
        <v>303</v>
      </c>
      <c r="O2174" t="s">
        <v>102</v>
      </c>
      <c r="Q2174">
        <v>6525.34</v>
      </c>
      <c r="R2174" t="str">
        <f>"FARMÁCIA INDIANA LJ 101 (10043)"</f>
        <v>FARMÁCIA INDIANA LJ 101 (10043)</v>
      </c>
      <c r="S2174" t="s">
        <v>103</v>
      </c>
      <c r="T2174">
        <v>30606</v>
      </c>
      <c r="U2174">
        <v>34094</v>
      </c>
      <c r="V2174" t="s">
        <v>37</v>
      </c>
    </row>
    <row r="2175" spans="1:22">
      <c r="A2175" t="str">
        <f t="shared" si="412"/>
        <v>13/03/2026</v>
      </c>
      <c r="B2175" t="str">
        <f t="shared" si="425"/>
        <v>ENTRADA</v>
      </c>
      <c r="C2175" t="str">
        <f t="shared" si="426"/>
        <v>NFSE</v>
      </c>
      <c r="D2175" t="str">
        <f t="shared" si="422"/>
        <v>460</v>
      </c>
      <c r="E2175" t="str">
        <f t="shared" si="424"/>
        <v>1</v>
      </c>
      <c r="F2175" t="str">
        <f t="shared" si="408"/>
        <v>COM</v>
      </c>
      <c r="G2175" t="str">
        <f t="shared" si="423"/>
        <v>FARMÁCIA INDIANA LJ 1 (10126)</v>
      </c>
      <c r="H2175" t="s">
        <v>678</v>
      </c>
      <c r="I2175" t="str">
        <f t="shared" si="427"/>
        <v>11/03/2026</v>
      </c>
      <c r="J2175" t="str">
        <f t="shared" si="428"/>
        <v>03/03/2026</v>
      </c>
      <c r="K2175">
        <v>46094</v>
      </c>
      <c r="N2175">
        <v>303</v>
      </c>
      <c r="O2175" t="s">
        <v>102</v>
      </c>
      <c r="Q2175">
        <v>403.51</v>
      </c>
      <c r="R2175" t="str">
        <f>"FARMÁCIA INDIANA LJ 103 (10044)"</f>
        <v>FARMÁCIA INDIANA LJ 103 (10044)</v>
      </c>
      <c r="S2175" t="s">
        <v>103</v>
      </c>
      <c r="T2175">
        <v>30606</v>
      </c>
      <c r="U2175">
        <v>34094</v>
      </c>
      <c r="V2175" t="s">
        <v>37</v>
      </c>
    </row>
    <row r="2176" spans="1:22">
      <c r="A2176" t="str">
        <f t="shared" si="412"/>
        <v>13/03/2026</v>
      </c>
      <c r="B2176" t="str">
        <f t="shared" si="425"/>
        <v>ENTRADA</v>
      </c>
      <c r="C2176" t="str">
        <f t="shared" si="426"/>
        <v>NFSE</v>
      </c>
      <c r="D2176" t="str">
        <f t="shared" si="422"/>
        <v>460</v>
      </c>
      <c r="E2176" t="str">
        <f t="shared" si="424"/>
        <v>1</v>
      </c>
      <c r="F2176" t="str">
        <f t="shared" si="408"/>
        <v>COM</v>
      </c>
      <c r="G2176" t="str">
        <f t="shared" si="423"/>
        <v>FARMÁCIA INDIANA LJ 1 (10126)</v>
      </c>
      <c r="H2176" t="s">
        <v>678</v>
      </c>
      <c r="I2176" t="str">
        <f t="shared" si="427"/>
        <v>11/03/2026</v>
      </c>
      <c r="J2176" t="str">
        <f t="shared" si="428"/>
        <v>03/03/2026</v>
      </c>
      <c r="K2176">
        <v>46094</v>
      </c>
      <c r="N2176">
        <v>303</v>
      </c>
      <c r="O2176" t="s">
        <v>102</v>
      </c>
      <c r="Q2176">
        <v>1752.39</v>
      </c>
      <c r="R2176" t="str">
        <f>"FARMÁCIA INDIANA LJ 109 (10047)"</f>
        <v>FARMÁCIA INDIANA LJ 109 (10047)</v>
      </c>
      <c r="S2176" t="s">
        <v>103</v>
      </c>
      <c r="T2176">
        <v>30606</v>
      </c>
      <c r="U2176">
        <v>34094</v>
      </c>
      <c r="V2176" t="s">
        <v>37</v>
      </c>
    </row>
    <row r="2177" spans="1:22">
      <c r="A2177" t="str">
        <f t="shared" si="412"/>
        <v>13/03/2026</v>
      </c>
      <c r="B2177" t="str">
        <f t="shared" si="425"/>
        <v>ENTRADA</v>
      </c>
      <c r="C2177" t="str">
        <f t="shared" si="426"/>
        <v>NFSE</v>
      </c>
      <c r="D2177" t="str">
        <f t="shared" si="422"/>
        <v>460</v>
      </c>
      <c r="E2177" t="str">
        <f t="shared" si="424"/>
        <v>1</v>
      </c>
      <c r="F2177" t="str">
        <f t="shared" si="408"/>
        <v>COM</v>
      </c>
      <c r="G2177" t="str">
        <f t="shared" si="423"/>
        <v>FARMÁCIA INDIANA LJ 1 (10126)</v>
      </c>
      <c r="H2177" t="s">
        <v>678</v>
      </c>
      <c r="I2177" t="str">
        <f t="shared" si="427"/>
        <v>11/03/2026</v>
      </c>
      <c r="J2177" t="str">
        <f t="shared" si="428"/>
        <v>03/03/2026</v>
      </c>
      <c r="K2177">
        <v>46094</v>
      </c>
      <c r="N2177">
        <v>303</v>
      </c>
      <c r="O2177" t="s">
        <v>102</v>
      </c>
      <c r="Q2177">
        <v>3285.73</v>
      </c>
      <c r="R2177" t="str">
        <f>"FARMÁCIA INDIANA LJ 110 (10048)"</f>
        <v>FARMÁCIA INDIANA LJ 110 (10048)</v>
      </c>
      <c r="S2177" t="s">
        <v>103</v>
      </c>
      <c r="T2177">
        <v>30606</v>
      </c>
      <c r="U2177">
        <v>34094</v>
      </c>
      <c r="V2177" t="s">
        <v>37</v>
      </c>
    </row>
    <row r="2178" spans="1:22">
      <c r="A2178" t="str">
        <f t="shared" si="412"/>
        <v>13/03/2026</v>
      </c>
      <c r="B2178" t="str">
        <f t="shared" si="425"/>
        <v>ENTRADA</v>
      </c>
      <c r="C2178" t="str">
        <f t="shared" si="426"/>
        <v>NFSE</v>
      </c>
      <c r="D2178" t="str">
        <f t="shared" si="422"/>
        <v>460</v>
      </c>
      <c r="E2178" t="str">
        <f t="shared" si="424"/>
        <v>1</v>
      </c>
      <c r="F2178" t="str">
        <f t="shared" ref="F2178:F2241" si="429">"COM"</f>
        <v>COM</v>
      </c>
      <c r="G2178" t="str">
        <f t="shared" si="423"/>
        <v>FARMÁCIA INDIANA LJ 1 (10126)</v>
      </c>
      <c r="H2178" t="s">
        <v>678</v>
      </c>
      <c r="I2178" t="str">
        <f t="shared" si="427"/>
        <v>11/03/2026</v>
      </c>
      <c r="J2178" t="str">
        <f t="shared" si="428"/>
        <v>03/03/2026</v>
      </c>
      <c r="K2178">
        <v>46094</v>
      </c>
      <c r="N2178">
        <v>303</v>
      </c>
      <c r="O2178" t="s">
        <v>102</v>
      </c>
      <c r="Q2178">
        <v>587.97</v>
      </c>
      <c r="R2178" t="str">
        <f>"FARMÁCIA INDIANA LJ 111 (10049)"</f>
        <v>FARMÁCIA INDIANA LJ 111 (10049)</v>
      </c>
      <c r="S2178" t="s">
        <v>103</v>
      </c>
      <c r="T2178">
        <v>30606</v>
      </c>
      <c r="U2178">
        <v>34094</v>
      </c>
      <c r="V2178" t="s">
        <v>37</v>
      </c>
    </row>
    <row r="2179" spans="1:22">
      <c r="A2179" t="str">
        <f t="shared" si="412"/>
        <v>13/03/2026</v>
      </c>
      <c r="B2179" t="str">
        <f t="shared" si="425"/>
        <v>ENTRADA</v>
      </c>
      <c r="C2179" t="str">
        <f t="shared" si="426"/>
        <v>NFSE</v>
      </c>
      <c r="D2179" t="str">
        <f t="shared" si="422"/>
        <v>460</v>
      </c>
      <c r="E2179" t="str">
        <f t="shared" si="424"/>
        <v>1</v>
      </c>
      <c r="F2179" t="str">
        <f t="shared" si="429"/>
        <v>COM</v>
      </c>
      <c r="G2179" t="str">
        <f t="shared" si="423"/>
        <v>FARMÁCIA INDIANA LJ 1 (10126)</v>
      </c>
      <c r="H2179" t="s">
        <v>678</v>
      </c>
      <c r="I2179" t="str">
        <f t="shared" si="427"/>
        <v>11/03/2026</v>
      </c>
      <c r="J2179" t="str">
        <f t="shared" si="428"/>
        <v>03/03/2026</v>
      </c>
      <c r="K2179">
        <v>46094</v>
      </c>
      <c r="N2179">
        <v>303</v>
      </c>
      <c r="O2179" t="s">
        <v>102</v>
      </c>
      <c r="Q2179">
        <v>899.25</v>
      </c>
      <c r="R2179" t="str">
        <f>"FARMÁCIA INDIANA LJ 112 (10050)"</f>
        <v>FARMÁCIA INDIANA LJ 112 (10050)</v>
      </c>
      <c r="S2179" t="s">
        <v>103</v>
      </c>
      <c r="T2179">
        <v>30606</v>
      </c>
      <c r="U2179">
        <v>34094</v>
      </c>
      <c r="V2179" t="s">
        <v>37</v>
      </c>
    </row>
    <row r="2180" spans="1:22">
      <c r="A2180" t="str">
        <f t="shared" si="412"/>
        <v>13/03/2026</v>
      </c>
      <c r="B2180" t="str">
        <f t="shared" si="425"/>
        <v>ENTRADA</v>
      </c>
      <c r="C2180" t="str">
        <f t="shared" si="426"/>
        <v>NFSE</v>
      </c>
      <c r="D2180" t="str">
        <f t="shared" si="422"/>
        <v>460</v>
      </c>
      <c r="E2180" t="str">
        <f t="shared" si="424"/>
        <v>1</v>
      </c>
      <c r="F2180" t="str">
        <f t="shared" si="429"/>
        <v>COM</v>
      </c>
      <c r="G2180" t="str">
        <f t="shared" si="423"/>
        <v>FARMÁCIA INDIANA LJ 1 (10126)</v>
      </c>
      <c r="H2180" t="s">
        <v>678</v>
      </c>
      <c r="I2180" t="str">
        <f t="shared" si="427"/>
        <v>11/03/2026</v>
      </c>
      <c r="J2180" t="str">
        <f t="shared" si="428"/>
        <v>03/03/2026</v>
      </c>
      <c r="K2180">
        <v>46094</v>
      </c>
      <c r="N2180">
        <v>303</v>
      </c>
      <c r="O2180" t="s">
        <v>102</v>
      </c>
      <c r="Q2180">
        <v>1441.11</v>
      </c>
      <c r="R2180" t="str">
        <f>"FARMÁCIA INDIANA LJ 116 (10051)"</f>
        <v>FARMÁCIA INDIANA LJ 116 (10051)</v>
      </c>
      <c r="S2180" t="s">
        <v>103</v>
      </c>
      <c r="T2180">
        <v>30606</v>
      </c>
      <c r="U2180">
        <v>34094</v>
      </c>
      <c r="V2180" t="s">
        <v>37</v>
      </c>
    </row>
    <row r="2181" spans="1:22">
      <c r="A2181" t="str">
        <f t="shared" si="412"/>
        <v>13/03/2026</v>
      </c>
      <c r="B2181" t="str">
        <f t="shared" si="425"/>
        <v>ENTRADA</v>
      </c>
      <c r="C2181" t="str">
        <f t="shared" si="426"/>
        <v>NFSE</v>
      </c>
      <c r="D2181" t="str">
        <f t="shared" si="422"/>
        <v>460</v>
      </c>
      <c r="E2181" t="str">
        <f t="shared" si="424"/>
        <v>1</v>
      </c>
      <c r="F2181" t="str">
        <f t="shared" si="429"/>
        <v>COM</v>
      </c>
      <c r="G2181" t="str">
        <f t="shared" si="423"/>
        <v>FARMÁCIA INDIANA LJ 1 (10126)</v>
      </c>
      <c r="H2181" t="s">
        <v>678</v>
      </c>
      <c r="I2181" t="str">
        <f t="shared" si="427"/>
        <v>11/03/2026</v>
      </c>
      <c r="J2181" t="str">
        <f t="shared" si="428"/>
        <v>03/03/2026</v>
      </c>
      <c r="K2181">
        <v>46094</v>
      </c>
      <c r="N2181">
        <v>303</v>
      </c>
      <c r="O2181" t="s">
        <v>102</v>
      </c>
      <c r="Q2181">
        <v>818.55</v>
      </c>
      <c r="R2181" t="str">
        <f>"FARMÁCIA INDIANA LJ 118 (10052)"</f>
        <v>FARMÁCIA INDIANA LJ 118 (10052)</v>
      </c>
      <c r="S2181" t="s">
        <v>103</v>
      </c>
      <c r="T2181">
        <v>30606</v>
      </c>
      <c r="U2181">
        <v>34094</v>
      </c>
      <c r="V2181" t="s">
        <v>37</v>
      </c>
    </row>
    <row r="2182" spans="1:22">
      <c r="A2182" t="str">
        <f t="shared" si="412"/>
        <v>13/03/2026</v>
      </c>
      <c r="B2182" t="str">
        <f t="shared" si="425"/>
        <v>ENTRADA</v>
      </c>
      <c r="C2182" t="str">
        <f t="shared" si="426"/>
        <v>NFSE</v>
      </c>
      <c r="D2182" t="str">
        <f t="shared" si="422"/>
        <v>460</v>
      </c>
      <c r="E2182" t="str">
        <f t="shared" si="424"/>
        <v>1</v>
      </c>
      <c r="F2182" t="str">
        <f t="shared" si="429"/>
        <v>COM</v>
      </c>
      <c r="G2182" t="str">
        <f t="shared" si="423"/>
        <v>FARMÁCIA INDIANA LJ 1 (10126)</v>
      </c>
      <c r="H2182" t="s">
        <v>678</v>
      </c>
      <c r="I2182" t="str">
        <f t="shared" si="427"/>
        <v>11/03/2026</v>
      </c>
      <c r="J2182" t="str">
        <f t="shared" si="428"/>
        <v>03/03/2026</v>
      </c>
      <c r="K2182">
        <v>46094</v>
      </c>
      <c r="N2182">
        <v>303</v>
      </c>
      <c r="O2182" t="s">
        <v>102</v>
      </c>
      <c r="Q2182">
        <v>899.25</v>
      </c>
      <c r="R2182" t="str">
        <f>"FARMÁCIA INDIANA LJ 121 (10054)"</f>
        <v>FARMÁCIA INDIANA LJ 121 (10054)</v>
      </c>
      <c r="S2182" t="s">
        <v>103</v>
      </c>
      <c r="T2182">
        <v>30606</v>
      </c>
      <c r="U2182">
        <v>34094</v>
      </c>
      <c r="V2182" t="s">
        <v>37</v>
      </c>
    </row>
    <row r="2183" spans="1:22">
      <c r="A2183" t="str">
        <f t="shared" si="412"/>
        <v>13/03/2026</v>
      </c>
      <c r="B2183" t="str">
        <f t="shared" si="425"/>
        <v>ENTRADA</v>
      </c>
      <c r="C2183" t="str">
        <f t="shared" si="426"/>
        <v>NFSE</v>
      </c>
      <c r="D2183" t="str">
        <f t="shared" si="422"/>
        <v>460</v>
      </c>
      <c r="E2183" t="str">
        <f t="shared" si="424"/>
        <v>1</v>
      </c>
      <c r="F2183" t="str">
        <f t="shared" si="429"/>
        <v>COM</v>
      </c>
      <c r="G2183" t="str">
        <f t="shared" si="423"/>
        <v>FARMÁCIA INDIANA LJ 1 (10126)</v>
      </c>
      <c r="H2183" t="s">
        <v>678</v>
      </c>
      <c r="I2183" t="str">
        <f t="shared" si="427"/>
        <v>11/03/2026</v>
      </c>
      <c r="J2183" t="str">
        <f t="shared" si="428"/>
        <v>03/03/2026</v>
      </c>
      <c r="K2183">
        <v>46094</v>
      </c>
      <c r="N2183">
        <v>303</v>
      </c>
      <c r="O2183" t="s">
        <v>102</v>
      </c>
      <c r="Q2183">
        <v>899.25</v>
      </c>
      <c r="R2183" t="str">
        <f>"FARMÁCIA INDIANA LJ 128 (10057)"</f>
        <v>FARMÁCIA INDIANA LJ 128 (10057)</v>
      </c>
      <c r="S2183" t="s">
        <v>103</v>
      </c>
      <c r="T2183">
        <v>30606</v>
      </c>
      <c r="U2183">
        <v>34094</v>
      </c>
      <c r="V2183" t="s">
        <v>37</v>
      </c>
    </row>
    <row r="2184" spans="1:22">
      <c r="A2184" t="str">
        <f t="shared" si="412"/>
        <v>13/03/2026</v>
      </c>
      <c r="B2184" t="str">
        <f t="shared" si="425"/>
        <v>ENTRADA</v>
      </c>
      <c r="C2184" t="str">
        <f t="shared" si="426"/>
        <v>NFSE</v>
      </c>
      <c r="D2184" t="str">
        <f t="shared" si="422"/>
        <v>460</v>
      </c>
      <c r="E2184" t="str">
        <f t="shared" si="424"/>
        <v>1</v>
      </c>
      <c r="F2184" t="str">
        <f t="shared" si="429"/>
        <v>COM</v>
      </c>
      <c r="G2184" t="str">
        <f t="shared" si="423"/>
        <v>FARMÁCIA INDIANA LJ 1 (10126)</v>
      </c>
      <c r="H2184" t="s">
        <v>678</v>
      </c>
      <c r="I2184" t="str">
        <f t="shared" si="427"/>
        <v>11/03/2026</v>
      </c>
      <c r="J2184" t="str">
        <f t="shared" si="428"/>
        <v>03/03/2026</v>
      </c>
      <c r="K2184">
        <v>46094</v>
      </c>
      <c r="N2184">
        <v>303</v>
      </c>
      <c r="O2184" t="s">
        <v>102</v>
      </c>
      <c r="Q2184">
        <v>161.4</v>
      </c>
      <c r="R2184" t="str">
        <f>"FARMÁCIA INDIANA LJ 140 (10064)"</f>
        <v>FARMÁCIA INDIANA LJ 140 (10064)</v>
      </c>
      <c r="S2184" t="s">
        <v>103</v>
      </c>
      <c r="T2184">
        <v>30606</v>
      </c>
      <c r="U2184">
        <v>34094</v>
      </c>
      <c r="V2184" t="s">
        <v>37</v>
      </c>
    </row>
    <row r="2185" spans="1:22">
      <c r="A2185" t="str">
        <f t="shared" si="412"/>
        <v>13/03/2026</v>
      </c>
      <c r="B2185" t="str">
        <f t="shared" si="425"/>
        <v>ENTRADA</v>
      </c>
      <c r="C2185" t="str">
        <f t="shared" si="426"/>
        <v>NFSE</v>
      </c>
      <c r="D2185" t="str">
        <f t="shared" si="422"/>
        <v>460</v>
      </c>
      <c r="E2185" t="str">
        <f t="shared" si="424"/>
        <v>1</v>
      </c>
      <c r="F2185" t="str">
        <f t="shared" si="429"/>
        <v>COM</v>
      </c>
      <c r="G2185" t="str">
        <f t="shared" si="423"/>
        <v>FARMÁCIA INDIANA LJ 1 (10126)</v>
      </c>
      <c r="H2185" t="s">
        <v>678</v>
      </c>
      <c r="I2185" t="str">
        <f t="shared" si="427"/>
        <v>11/03/2026</v>
      </c>
      <c r="J2185" t="str">
        <f t="shared" si="428"/>
        <v>03/03/2026</v>
      </c>
      <c r="K2185">
        <v>46094</v>
      </c>
      <c r="N2185">
        <v>303</v>
      </c>
      <c r="O2185" t="s">
        <v>102</v>
      </c>
      <c r="Q2185">
        <v>115.29</v>
      </c>
      <c r="R2185" t="str">
        <f>"FARMÁCIA INDIANA LJ 141 (10065)"</f>
        <v>FARMÁCIA INDIANA LJ 141 (10065)</v>
      </c>
      <c r="S2185" t="s">
        <v>103</v>
      </c>
      <c r="T2185">
        <v>30606</v>
      </c>
      <c r="U2185">
        <v>34094</v>
      </c>
      <c r="V2185" t="s">
        <v>37</v>
      </c>
    </row>
    <row r="2186" spans="1:22">
      <c r="A2186" t="str">
        <f t="shared" si="412"/>
        <v>13/03/2026</v>
      </c>
      <c r="B2186" t="str">
        <f t="shared" si="425"/>
        <v>ENTRADA</v>
      </c>
      <c r="C2186" t="str">
        <f t="shared" si="426"/>
        <v>NFSE</v>
      </c>
      <c r="D2186" t="str">
        <f t="shared" si="422"/>
        <v>460</v>
      </c>
      <c r="E2186" t="str">
        <f t="shared" si="424"/>
        <v>1</v>
      </c>
      <c r="F2186" t="str">
        <f t="shared" si="429"/>
        <v>COM</v>
      </c>
      <c r="G2186" t="str">
        <f t="shared" si="423"/>
        <v>FARMÁCIA INDIANA LJ 1 (10126)</v>
      </c>
      <c r="H2186" t="s">
        <v>678</v>
      </c>
      <c r="I2186" t="str">
        <f t="shared" si="427"/>
        <v>11/03/2026</v>
      </c>
      <c r="J2186" t="str">
        <f t="shared" si="428"/>
        <v>03/03/2026</v>
      </c>
      <c r="K2186">
        <v>46094</v>
      </c>
      <c r="N2186">
        <v>303</v>
      </c>
      <c r="O2186" t="s">
        <v>102</v>
      </c>
      <c r="Q2186">
        <v>6029.6</v>
      </c>
      <c r="R2186" t="str">
        <f>"FARMÁCIA INDIANA LJ 142 (10066)"</f>
        <v>FARMÁCIA INDIANA LJ 142 (10066)</v>
      </c>
      <c r="S2186" t="s">
        <v>103</v>
      </c>
      <c r="T2186">
        <v>30606</v>
      </c>
      <c r="U2186">
        <v>34094</v>
      </c>
      <c r="V2186" t="s">
        <v>37</v>
      </c>
    </row>
    <row r="2187" spans="1:22">
      <c r="A2187" t="str">
        <f t="shared" si="412"/>
        <v>13/03/2026</v>
      </c>
      <c r="B2187" t="str">
        <f t="shared" si="425"/>
        <v>ENTRADA</v>
      </c>
      <c r="C2187" t="str">
        <f t="shared" si="426"/>
        <v>NFSE</v>
      </c>
      <c r="D2187" t="str">
        <f t="shared" si="422"/>
        <v>460</v>
      </c>
      <c r="E2187" t="str">
        <f t="shared" si="424"/>
        <v>1</v>
      </c>
      <c r="F2187" t="str">
        <f t="shared" si="429"/>
        <v>COM</v>
      </c>
      <c r="G2187" t="str">
        <f t="shared" si="423"/>
        <v>FARMÁCIA INDIANA LJ 1 (10126)</v>
      </c>
      <c r="H2187" t="s">
        <v>678</v>
      </c>
      <c r="I2187" t="str">
        <f t="shared" si="427"/>
        <v>11/03/2026</v>
      </c>
      <c r="J2187" t="str">
        <f t="shared" si="428"/>
        <v>03/03/2026</v>
      </c>
      <c r="K2187">
        <v>46094</v>
      </c>
      <c r="N2187">
        <v>303</v>
      </c>
      <c r="O2187" t="s">
        <v>102</v>
      </c>
      <c r="Q2187">
        <v>599.5</v>
      </c>
      <c r="R2187" t="str">
        <f>"FARMÁCIA INDIANA LJ 143 (10067)"</f>
        <v>FARMÁCIA INDIANA LJ 143 (10067)</v>
      </c>
      <c r="S2187" t="s">
        <v>103</v>
      </c>
      <c r="T2187">
        <v>30606</v>
      </c>
      <c r="U2187">
        <v>34094</v>
      </c>
      <c r="V2187" t="s">
        <v>37</v>
      </c>
    </row>
    <row r="2188" spans="1:22">
      <c r="A2188" t="str">
        <f t="shared" si="412"/>
        <v>13/03/2026</v>
      </c>
      <c r="B2188" t="str">
        <f t="shared" si="425"/>
        <v>ENTRADA</v>
      </c>
      <c r="C2188" t="str">
        <f t="shared" si="426"/>
        <v>NFSE</v>
      </c>
      <c r="D2188" t="str">
        <f t="shared" si="422"/>
        <v>460</v>
      </c>
      <c r="E2188" t="str">
        <f t="shared" si="424"/>
        <v>1</v>
      </c>
      <c r="F2188" t="str">
        <f t="shared" si="429"/>
        <v>COM</v>
      </c>
      <c r="G2188" t="str">
        <f t="shared" si="423"/>
        <v>FARMÁCIA INDIANA LJ 1 (10126)</v>
      </c>
      <c r="H2188" t="s">
        <v>678</v>
      </c>
      <c r="I2188" t="str">
        <f t="shared" si="427"/>
        <v>11/03/2026</v>
      </c>
      <c r="J2188" t="str">
        <f t="shared" si="428"/>
        <v>03/03/2026</v>
      </c>
      <c r="K2188">
        <v>46094</v>
      </c>
      <c r="N2188">
        <v>303</v>
      </c>
      <c r="O2188" t="s">
        <v>102</v>
      </c>
      <c r="Q2188">
        <v>3481.72</v>
      </c>
      <c r="R2188" t="str">
        <f>"FARMÁCIA INDIANA LJ 152 (10069)"</f>
        <v>FARMÁCIA INDIANA LJ 152 (10069)</v>
      </c>
      <c r="S2188" t="s">
        <v>103</v>
      </c>
      <c r="T2188">
        <v>30606</v>
      </c>
      <c r="U2188">
        <v>34094</v>
      </c>
      <c r="V2188" t="s">
        <v>37</v>
      </c>
    </row>
    <row r="2189" spans="1:22">
      <c r="A2189" t="str">
        <f t="shared" si="412"/>
        <v>13/03/2026</v>
      </c>
      <c r="B2189" t="str">
        <f t="shared" si="425"/>
        <v>ENTRADA</v>
      </c>
      <c r="C2189" t="str">
        <f t="shared" si="426"/>
        <v>NFSE</v>
      </c>
      <c r="D2189" t="str">
        <f t="shared" si="422"/>
        <v>460</v>
      </c>
      <c r="E2189" t="str">
        <f t="shared" si="424"/>
        <v>1</v>
      </c>
      <c r="F2189" t="str">
        <f t="shared" si="429"/>
        <v>COM</v>
      </c>
      <c r="G2189" t="str">
        <f t="shared" si="423"/>
        <v>FARMÁCIA INDIANA LJ 1 (10126)</v>
      </c>
      <c r="H2189" t="s">
        <v>678</v>
      </c>
      <c r="I2189" t="str">
        <f t="shared" si="427"/>
        <v>11/03/2026</v>
      </c>
      <c r="J2189" t="str">
        <f t="shared" si="428"/>
        <v>03/03/2026</v>
      </c>
      <c r="K2189">
        <v>46094</v>
      </c>
      <c r="N2189">
        <v>303</v>
      </c>
      <c r="O2189" t="s">
        <v>102</v>
      </c>
      <c r="Q2189">
        <v>219.05</v>
      </c>
      <c r="R2189" t="str">
        <f>"FARMÁCIA INDIANA LJ 154 (10070)"</f>
        <v>FARMÁCIA INDIANA LJ 154 (10070)</v>
      </c>
      <c r="S2189" t="s">
        <v>103</v>
      </c>
      <c r="T2189">
        <v>30606</v>
      </c>
      <c r="U2189">
        <v>34094</v>
      </c>
      <c r="V2189" t="s">
        <v>37</v>
      </c>
    </row>
    <row r="2190" spans="1:22">
      <c r="A2190" t="str">
        <f t="shared" si="412"/>
        <v>13/03/2026</v>
      </c>
      <c r="B2190" t="str">
        <f t="shared" si="425"/>
        <v>ENTRADA</v>
      </c>
      <c r="C2190" t="str">
        <f t="shared" si="426"/>
        <v>NFSE</v>
      </c>
      <c r="D2190" t="str">
        <f t="shared" si="422"/>
        <v>460</v>
      </c>
      <c r="E2190" t="str">
        <f t="shared" si="424"/>
        <v>1</v>
      </c>
      <c r="F2190" t="str">
        <f t="shared" si="429"/>
        <v>COM</v>
      </c>
      <c r="G2190" t="str">
        <f t="shared" si="423"/>
        <v>FARMÁCIA INDIANA LJ 1 (10126)</v>
      </c>
      <c r="H2190" t="s">
        <v>678</v>
      </c>
      <c r="I2190" t="str">
        <f t="shared" si="427"/>
        <v>11/03/2026</v>
      </c>
      <c r="J2190" t="str">
        <f t="shared" si="428"/>
        <v>03/03/2026</v>
      </c>
      <c r="K2190">
        <v>46094</v>
      </c>
      <c r="N2190">
        <v>303</v>
      </c>
      <c r="O2190" t="s">
        <v>102</v>
      </c>
      <c r="Q2190">
        <v>1925.32</v>
      </c>
      <c r="R2190" t="str">
        <f>"FARMÁCIA INDIANA LJ 171 (10074)"</f>
        <v>FARMÁCIA INDIANA LJ 171 (10074)</v>
      </c>
      <c r="S2190" t="s">
        <v>103</v>
      </c>
      <c r="T2190">
        <v>30606</v>
      </c>
      <c r="U2190">
        <v>34094</v>
      </c>
      <c r="V2190" t="s">
        <v>37</v>
      </c>
    </row>
    <row r="2191" spans="1:22">
      <c r="A2191" t="str">
        <f t="shared" ref="A2191:A2254" si="430">("13/03/2026")</f>
        <v>13/03/2026</v>
      </c>
      <c r="B2191" t="str">
        <f t="shared" si="425"/>
        <v>ENTRADA</v>
      </c>
      <c r="C2191" t="str">
        <f t="shared" si="426"/>
        <v>NFSE</v>
      </c>
      <c r="D2191" t="str">
        <f t="shared" si="422"/>
        <v>460</v>
      </c>
      <c r="E2191" t="str">
        <f t="shared" si="424"/>
        <v>1</v>
      </c>
      <c r="F2191" t="str">
        <f t="shared" si="429"/>
        <v>COM</v>
      </c>
      <c r="G2191" t="str">
        <f t="shared" si="423"/>
        <v>FARMÁCIA INDIANA LJ 1 (10126)</v>
      </c>
      <c r="H2191" t="s">
        <v>678</v>
      </c>
      <c r="I2191" t="str">
        <f t="shared" si="427"/>
        <v>11/03/2026</v>
      </c>
      <c r="J2191" t="str">
        <f t="shared" si="428"/>
        <v>03/03/2026</v>
      </c>
      <c r="K2191">
        <v>46094</v>
      </c>
      <c r="N2191">
        <v>303</v>
      </c>
      <c r="O2191" t="s">
        <v>102</v>
      </c>
      <c r="Q2191">
        <v>737.85</v>
      </c>
      <c r="R2191" t="str">
        <f>"FARMÁCIA INDIANA LJ 175 (10076)"</f>
        <v>FARMÁCIA INDIANA LJ 175 (10076)</v>
      </c>
      <c r="S2191" t="s">
        <v>103</v>
      </c>
      <c r="T2191">
        <v>30606</v>
      </c>
      <c r="U2191">
        <v>34094</v>
      </c>
      <c r="V2191" t="s">
        <v>37</v>
      </c>
    </row>
    <row r="2192" spans="1:22">
      <c r="A2192" t="str">
        <f t="shared" si="430"/>
        <v>13/03/2026</v>
      </c>
      <c r="B2192" t="str">
        <f t="shared" si="425"/>
        <v>ENTRADA</v>
      </c>
      <c r="C2192" t="str">
        <f t="shared" si="426"/>
        <v>NFSE</v>
      </c>
      <c r="D2192" t="str">
        <f t="shared" ref="D2192:D2209" si="431">"460"</f>
        <v>460</v>
      </c>
      <c r="E2192" t="str">
        <f t="shared" si="424"/>
        <v>1</v>
      </c>
      <c r="F2192" t="str">
        <f t="shared" si="429"/>
        <v>COM</v>
      </c>
      <c r="G2192" t="str">
        <f t="shared" ref="G2192:G2209" si="432">"FARMÁCIA INDIANA LJ 1 (10126)"</f>
        <v>FARMÁCIA INDIANA LJ 1 (10126)</v>
      </c>
      <c r="H2192" t="s">
        <v>678</v>
      </c>
      <c r="I2192" t="str">
        <f t="shared" si="427"/>
        <v>11/03/2026</v>
      </c>
      <c r="J2192" t="str">
        <f t="shared" si="428"/>
        <v>03/03/2026</v>
      </c>
      <c r="K2192">
        <v>46094</v>
      </c>
      <c r="N2192">
        <v>303</v>
      </c>
      <c r="O2192" t="s">
        <v>102</v>
      </c>
      <c r="Q2192">
        <v>1152.8900000000001</v>
      </c>
      <c r="R2192" t="str">
        <f>"FARMÁCIA INDIANA LJ 178 (10077)"</f>
        <v>FARMÁCIA INDIANA LJ 178 (10077)</v>
      </c>
      <c r="S2192" t="s">
        <v>103</v>
      </c>
      <c r="T2192">
        <v>30606</v>
      </c>
      <c r="U2192">
        <v>34094</v>
      </c>
      <c r="V2192" t="s">
        <v>37</v>
      </c>
    </row>
    <row r="2193" spans="1:22">
      <c r="A2193" t="str">
        <f t="shared" si="430"/>
        <v>13/03/2026</v>
      </c>
      <c r="B2193" t="str">
        <f t="shared" si="425"/>
        <v>ENTRADA</v>
      </c>
      <c r="C2193" t="str">
        <f t="shared" si="426"/>
        <v>NFSE</v>
      </c>
      <c r="D2193" t="str">
        <f t="shared" si="431"/>
        <v>460</v>
      </c>
      <c r="E2193" t="str">
        <f t="shared" ref="E2193:E2209" si="433">"1"</f>
        <v>1</v>
      </c>
      <c r="F2193" t="str">
        <f t="shared" si="429"/>
        <v>COM</v>
      </c>
      <c r="G2193" t="str">
        <f t="shared" si="432"/>
        <v>FARMÁCIA INDIANA LJ 1 (10126)</v>
      </c>
      <c r="H2193" t="s">
        <v>678</v>
      </c>
      <c r="I2193" t="str">
        <f t="shared" si="427"/>
        <v>11/03/2026</v>
      </c>
      <c r="J2193" t="str">
        <f t="shared" si="428"/>
        <v>03/03/2026</v>
      </c>
      <c r="K2193">
        <v>46094</v>
      </c>
      <c r="N2193">
        <v>303</v>
      </c>
      <c r="O2193" t="s">
        <v>102</v>
      </c>
      <c r="Q2193">
        <v>449.63</v>
      </c>
      <c r="R2193" t="str">
        <f>"FARMÁCIA INDIANA LJ 182 (10079)"</f>
        <v>FARMÁCIA INDIANA LJ 182 (10079)</v>
      </c>
      <c r="S2193" t="s">
        <v>103</v>
      </c>
      <c r="T2193">
        <v>30606</v>
      </c>
      <c r="U2193">
        <v>34094</v>
      </c>
      <c r="V2193" t="s">
        <v>37</v>
      </c>
    </row>
    <row r="2194" spans="1:22">
      <c r="A2194" t="str">
        <f t="shared" si="430"/>
        <v>13/03/2026</v>
      </c>
      <c r="B2194" t="str">
        <f t="shared" si="425"/>
        <v>ENTRADA</v>
      </c>
      <c r="C2194" t="str">
        <f t="shared" si="426"/>
        <v>NFSE</v>
      </c>
      <c r="D2194" t="str">
        <f t="shared" si="431"/>
        <v>460</v>
      </c>
      <c r="E2194" t="str">
        <f t="shared" si="433"/>
        <v>1</v>
      </c>
      <c r="F2194" t="str">
        <f t="shared" si="429"/>
        <v>COM</v>
      </c>
      <c r="G2194" t="str">
        <f t="shared" si="432"/>
        <v>FARMÁCIA INDIANA LJ 1 (10126)</v>
      </c>
      <c r="H2194" t="s">
        <v>678</v>
      </c>
      <c r="I2194" t="str">
        <f t="shared" si="427"/>
        <v>11/03/2026</v>
      </c>
      <c r="J2194" t="str">
        <f t="shared" si="428"/>
        <v>03/03/2026</v>
      </c>
      <c r="K2194">
        <v>46094</v>
      </c>
      <c r="N2194">
        <v>303</v>
      </c>
      <c r="O2194" t="s">
        <v>102</v>
      </c>
      <c r="Q2194">
        <v>357.39</v>
      </c>
      <c r="R2194" t="str">
        <f>"FARMÁCIA INDIANA LJ 184 (10080)"</f>
        <v>FARMÁCIA INDIANA LJ 184 (10080)</v>
      </c>
      <c r="S2194" t="s">
        <v>103</v>
      </c>
      <c r="T2194">
        <v>30606</v>
      </c>
      <c r="U2194">
        <v>34094</v>
      </c>
      <c r="V2194" t="s">
        <v>37</v>
      </c>
    </row>
    <row r="2195" spans="1:22">
      <c r="A2195" t="str">
        <f t="shared" si="430"/>
        <v>13/03/2026</v>
      </c>
      <c r="B2195" t="str">
        <f t="shared" ref="B2195:B2209" si="434">"ENTRADA"</f>
        <v>ENTRADA</v>
      </c>
      <c r="C2195" t="str">
        <f t="shared" ref="C2195:C2209" si="435">"NFSE"</f>
        <v>NFSE</v>
      </c>
      <c r="D2195" t="str">
        <f t="shared" si="431"/>
        <v>460</v>
      </c>
      <c r="E2195" t="str">
        <f t="shared" si="433"/>
        <v>1</v>
      </c>
      <c r="F2195" t="str">
        <f t="shared" si="429"/>
        <v>COM</v>
      </c>
      <c r="G2195" t="str">
        <f t="shared" si="432"/>
        <v>FARMÁCIA INDIANA LJ 1 (10126)</v>
      </c>
      <c r="H2195" t="s">
        <v>678</v>
      </c>
      <c r="I2195" t="str">
        <f t="shared" ref="I2195:I2209" si="436">("11/03/2026")</f>
        <v>11/03/2026</v>
      </c>
      <c r="J2195" t="str">
        <f t="shared" ref="J2195:J2209" si="437">("03/03/2026")</f>
        <v>03/03/2026</v>
      </c>
      <c r="K2195">
        <v>46094</v>
      </c>
      <c r="N2195">
        <v>303</v>
      </c>
      <c r="O2195" t="s">
        <v>102</v>
      </c>
      <c r="Q2195">
        <v>449.63</v>
      </c>
      <c r="R2195" t="str">
        <f>"FARMÁCIA INDIANA LJ 186 (10081)"</f>
        <v>FARMÁCIA INDIANA LJ 186 (10081)</v>
      </c>
      <c r="S2195" t="s">
        <v>103</v>
      </c>
      <c r="T2195">
        <v>30606</v>
      </c>
      <c r="U2195">
        <v>34094</v>
      </c>
      <c r="V2195" t="s">
        <v>37</v>
      </c>
    </row>
    <row r="2196" spans="1:22">
      <c r="A2196" t="str">
        <f t="shared" si="430"/>
        <v>13/03/2026</v>
      </c>
      <c r="B2196" t="str">
        <f t="shared" si="434"/>
        <v>ENTRADA</v>
      </c>
      <c r="C2196" t="str">
        <f t="shared" si="435"/>
        <v>NFSE</v>
      </c>
      <c r="D2196" t="str">
        <f t="shared" si="431"/>
        <v>460</v>
      </c>
      <c r="E2196" t="str">
        <f t="shared" si="433"/>
        <v>1</v>
      </c>
      <c r="F2196" t="str">
        <f t="shared" si="429"/>
        <v>COM</v>
      </c>
      <c r="G2196" t="str">
        <f t="shared" si="432"/>
        <v>FARMÁCIA INDIANA LJ 1 (10126)</v>
      </c>
      <c r="H2196" t="s">
        <v>678</v>
      </c>
      <c r="I2196" t="str">
        <f t="shared" si="436"/>
        <v>11/03/2026</v>
      </c>
      <c r="J2196" t="str">
        <f t="shared" si="437"/>
        <v>03/03/2026</v>
      </c>
      <c r="K2196">
        <v>46094</v>
      </c>
      <c r="N2196">
        <v>303</v>
      </c>
      <c r="O2196" t="s">
        <v>102</v>
      </c>
      <c r="Q2196">
        <v>818.55</v>
      </c>
      <c r="R2196" t="str">
        <f>"FARMÁCIA INDIANA LJ 192 (10082)"</f>
        <v>FARMÁCIA INDIANA LJ 192 (10082)</v>
      </c>
      <c r="S2196" t="s">
        <v>103</v>
      </c>
      <c r="T2196">
        <v>30606</v>
      </c>
      <c r="U2196">
        <v>34094</v>
      </c>
      <c r="V2196" t="s">
        <v>37</v>
      </c>
    </row>
    <row r="2197" spans="1:22">
      <c r="A2197" t="str">
        <f t="shared" si="430"/>
        <v>13/03/2026</v>
      </c>
      <c r="B2197" t="str">
        <f t="shared" si="434"/>
        <v>ENTRADA</v>
      </c>
      <c r="C2197" t="str">
        <f t="shared" si="435"/>
        <v>NFSE</v>
      </c>
      <c r="D2197" t="str">
        <f t="shared" si="431"/>
        <v>460</v>
      </c>
      <c r="E2197" t="str">
        <f t="shared" si="433"/>
        <v>1</v>
      </c>
      <c r="F2197" t="str">
        <f t="shared" si="429"/>
        <v>COM</v>
      </c>
      <c r="G2197" t="str">
        <f t="shared" si="432"/>
        <v>FARMÁCIA INDIANA LJ 1 (10126)</v>
      </c>
      <c r="H2197" t="s">
        <v>678</v>
      </c>
      <c r="I2197" t="str">
        <f t="shared" si="436"/>
        <v>11/03/2026</v>
      </c>
      <c r="J2197" t="str">
        <f t="shared" si="437"/>
        <v>03/03/2026</v>
      </c>
      <c r="K2197">
        <v>46094</v>
      </c>
      <c r="N2197">
        <v>303</v>
      </c>
      <c r="O2197" t="s">
        <v>102</v>
      </c>
      <c r="Q2197">
        <v>357.39</v>
      </c>
      <c r="R2197" t="str">
        <f>"FARMÁCIA INDIANA LJ 195 (10083)"</f>
        <v>FARMÁCIA INDIANA LJ 195 (10083)</v>
      </c>
      <c r="S2197" t="s">
        <v>103</v>
      </c>
      <c r="T2197">
        <v>30606</v>
      </c>
      <c r="U2197">
        <v>34094</v>
      </c>
      <c r="V2197" t="s">
        <v>37</v>
      </c>
    </row>
    <row r="2198" spans="1:22">
      <c r="A2198" t="str">
        <f t="shared" si="430"/>
        <v>13/03/2026</v>
      </c>
      <c r="B2198" t="str">
        <f t="shared" si="434"/>
        <v>ENTRADA</v>
      </c>
      <c r="C2198" t="str">
        <f t="shared" si="435"/>
        <v>NFSE</v>
      </c>
      <c r="D2198" t="str">
        <f t="shared" si="431"/>
        <v>460</v>
      </c>
      <c r="E2198" t="str">
        <f t="shared" si="433"/>
        <v>1</v>
      </c>
      <c r="F2198" t="str">
        <f t="shared" si="429"/>
        <v>COM</v>
      </c>
      <c r="G2198" t="str">
        <f t="shared" si="432"/>
        <v>FARMÁCIA INDIANA LJ 1 (10126)</v>
      </c>
      <c r="H2198" t="s">
        <v>678</v>
      </c>
      <c r="I2198" t="str">
        <f t="shared" si="436"/>
        <v>11/03/2026</v>
      </c>
      <c r="J2198" t="str">
        <f t="shared" si="437"/>
        <v>03/03/2026</v>
      </c>
      <c r="K2198">
        <v>46094</v>
      </c>
      <c r="N2198">
        <v>303</v>
      </c>
      <c r="O2198" t="s">
        <v>102</v>
      </c>
      <c r="Q2198">
        <v>899.25</v>
      </c>
      <c r="R2198" t="str">
        <f>"FARMÁCIA INDIANA LJ 202 (10085)"</f>
        <v>FARMÁCIA INDIANA LJ 202 (10085)</v>
      </c>
      <c r="S2198" t="s">
        <v>103</v>
      </c>
      <c r="T2198">
        <v>30606</v>
      </c>
      <c r="U2198">
        <v>34094</v>
      </c>
      <c r="V2198" t="s">
        <v>37</v>
      </c>
    </row>
    <row r="2199" spans="1:22">
      <c r="A2199" t="str">
        <f t="shared" si="430"/>
        <v>13/03/2026</v>
      </c>
      <c r="B2199" t="str">
        <f t="shared" si="434"/>
        <v>ENTRADA</v>
      </c>
      <c r="C2199" t="str">
        <f t="shared" si="435"/>
        <v>NFSE</v>
      </c>
      <c r="D2199" t="str">
        <f t="shared" si="431"/>
        <v>460</v>
      </c>
      <c r="E2199" t="str">
        <f t="shared" si="433"/>
        <v>1</v>
      </c>
      <c r="F2199" t="str">
        <f t="shared" si="429"/>
        <v>COM</v>
      </c>
      <c r="G2199" t="str">
        <f t="shared" si="432"/>
        <v>FARMÁCIA INDIANA LJ 1 (10126)</v>
      </c>
      <c r="H2199" t="s">
        <v>678</v>
      </c>
      <c r="I2199" t="str">
        <f t="shared" si="436"/>
        <v>11/03/2026</v>
      </c>
      <c r="J2199" t="str">
        <f t="shared" si="437"/>
        <v>03/03/2026</v>
      </c>
      <c r="K2199">
        <v>46094</v>
      </c>
      <c r="N2199">
        <v>303</v>
      </c>
      <c r="O2199" t="s">
        <v>102</v>
      </c>
      <c r="Q2199">
        <v>714.79</v>
      </c>
      <c r="R2199" t="str">
        <f>"FARMÁCIA INDIANA LJ 204 (10087)"</f>
        <v>FARMÁCIA INDIANA LJ 204 (10087)</v>
      </c>
      <c r="S2199" t="s">
        <v>103</v>
      </c>
      <c r="T2199">
        <v>30606</v>
      </c>
      <c r="U2199">
        <v>34094</v>
      </c>
      <c r="V2199" t="s">
        <v>37</v>
      </c>
    </row>
    <row r="2200" spans="1:22">
      <c r="A2200" t="str">
        <f t="shared" si="430"/>
        <v>13/03/2026</v>
      </c>
      <c r="B2200" t="str">
        <f t="shared" si="434"/>
        <v>ENTRADA</v>
      </c>
      <c r="C2200" t="str">
        <f t="shared" si="435"/>
        <v>NFSE</v>
      </c>
      <c r="D2200" t="str">
        <f t="shared" si="431"/>
        <v>460</v>
      </c>
      <c r="E2200" t="str">
        <f t="shared" si="433"/>
        <v>1</v>
      </c>
      <c r="F2200" t="str">
        <f t="shared" si="429"/>
        <v>COM</v>
      </c>
      <c r="G2200" t="str">
        <f t="shared" si="432"/>
        <v>FARMÁCIA INDIANA LJ 1 (10126)</v>
      </c>
      <c r="H2200" t="s">
        <v>678</v>
      </c>
      <c r="I2200" t="str">
        <f t="shared" si="436"/>
        <v>11/03/2026</v>
      </c>
      <c r="J2200" t="str">
        <f t="shared" si="437"/>
        <v>03/03/2026</v>
      </c>
      <c r="K2200">
        <v>46094</v>
      </c>
      <c r="N2200">
        <v>303</v>
      </c>
      <c r="O2200" t="s">
        <v>102</v>
      </c>
      <c r="Q2200">
        <v>1325.82</v>
      </c>
      <c r="R2200" t="str">
        <f>"FARMÁCIA INDIANA LJ 207 (10088)"</f>
        <v>FARMÁCIA INDIANA LJ 207 (10088)</v>
      </c>
      <c r="S2200" t="s">
        <v>103</v>
      </c>
      <c r="T2200">
        <v>30606</v>
      </c>
      <c r="U2200">
        <v>34094</v>
      </c>
      <c r="V2200" t="s">
        <v>37</v>
      </c>
    </row>
    <row r="2201" spans="1:22">
      <c r="A2201" t="str">
        <f t="shared" si="430"/>
        <v>13/03/2026</v>
      </c>
      <c r="B2201" t="str">
        <f t="shared" si="434"/>
        <v>ENTRADA</v>
      </c>
      <c r="C2201" t="str">
        <f t="shared" si="435"/>
        <v>NFSE</v>
      </c>
      <c r="D2201" t="str">
        <f t="shared" si="431"/>
        <v>460</v>
      </c>
      <c r="E2201" t="str">
        <f t="shared" si="433"/>
        <v>1</v>
      </c>
      <c r="F2201" t="str">
        <f t="shared" si="429"/>
        <v>COM</v>
      </c>
      <c r="G2201" t="str">
        <f t="shared" si="432"/>
        <v>FARMÁCIA INDIANA LJ 1 (10126)</v>
      </c>
      <c r="H2201" t="s">
        <v>678</v>
      </c>
      <c r="I2201" t="str">
        <f t="shared" si="436"/>
        <v>11/03/2026</v>
      </c>
      <c r="J2201" t="str">
        <f t="shared" si="437"/>
        <v>03/03/2026</v>
      </c>
      <c r="K2201">
        <v>46094</v>
      </c>
      <c r="N2201">
        <v>303</v>
      </c>
      <c r="O2201" t="s">
        <v>102</v>
      </c>
      <c r="Q2201">
        <v>1129.83</v>
      </c>
      <c r="R2201" t="str">
        <f>"FARMÁCIA INDIANA LJ 209 (10089)"</f>
        <v>FARMÁCIA INDIANA LJ 209 (10089)</v>
      </c>
      <c r="S2201" t="s">
        <v>103</v>
      </c>
      <c r="T2201">
        <v>30606</v>
      </c>
      <c r="U2201">
        <v>34094</v>
      </c>
      <c r="V2201" t="s">
        <v>37</v>
      </c>
    </row>
    <row r="2202" spans="1:22">
      <c r="A2202" t="str">
        <f t="shared" si="430"/>
        <v>13/03/2026</v>
      </c>
      <c r="B2202" t="str">
        <f t="shared" si="434"/>
        <v>ENTRADA</v>
      </c>
      <c r="C2202" t="str">
        <f t="shared" si="435"/>
        <v>NFSE</v>
      </c>
      <c r="D2202" t="str">
        <f t="shared" si="431"/>
        <v>460</v>
      </c>
      <c r="E2202" t="str">
        <f t="shared" si="433"/>
        <v>1</v>
      </c>
      <c r="F2202" t="str">
        <f t="shared" si="429"/>
        <v>COM</v>
      </c>
      <c r="G2202" t="str">
        <f t="shared" si="432"/>
        <v>FARMÁCIA INDIANA LJ 1 (10126)</v>
      </c>
      <c r="H2202" t="s">
        <v>678</v>
      </c>
      <c r="I2202" t="str">
        <f t="shared" si="436"/>
        <v>11/03/2026</v>
      </c>
      <c r="J2202" t="str">
        <f t="shared" si="437"/>
        <v>03/03/2026</v>
      </c>
      <c r="K2202">
        <v>46094</v>
      </c>
      <c r="N2202">
        <v>303</v>
      </c>
      <c r="O2202" t="s">
        <v>102</v>
      </c>
      <c r="Q2202">
        <v>2017.55</v>
      </c>
      <c r="R2202" t="str">
        <f>"FARMÁCIA INDIANA LJ 219 (10091)"</f>
        <v>FARMÁCIA INDIANA LJ 219 (10091)</v>
      </c>
      <c r="S2202" t="s">
        <v>103</v>
      </c>
      <c r="T2202">
        <v>30606</v>
      </c>
      <c r="U2202">
        <v>34094</v>
      </c>
      <c r="V2202" t="s">
        <v>37</v>
      </c>
    </row>
    <row r="2203" spans="1:22">
      <c r="A2203" t="str">
        <f t="shared" si="430"/>
        <v>13/03/2026</v>
      </c>
      <c r="B2203" t="str">
        <f t="shared" si="434"/>
        <v>ENTRADA</v>
      </c>
      <c r="C2203" t="str">
        <f t="shared" si="435"/>
        <v>NFSE</v>
      </c>
      <c r="D2203" t="str">
        <f t="shared" si="431"/>
        <v>460</v>
      </c>
      <c r="E2203" t="str">
        <f t="shared" si="433"/>
        <v>1</v>
      </c>
      <c r="F2203" t="str">
        <f t="shared" si="429"/>
        <v>COM</v>
      </c>
      <c r="G2203" t="str">
        <f t="shared" si="432"/>
        <v>FARMÁCIA INDIANA LJ 1 (10126)</v>
      </c>
      <c r="H2203" t="s">
        <v>678</v>
      </c>
      <c r="I2203" t="str">
        <f t="shared" si="436"/>
        <v>11/03/2026</v>
      </c>
      <c r="J2203" t="str">
        <f t="shared" si="437"/>
        <v>03/03/2026</v>
      </c>
      <c r="K2203">
        <v>46094</v>
      </c>
      <c r="N2203">
        <v>303</v>
      </c>
      <c r="O2203" t="s">
        <v>102</v>
      </c>
      <c r="Q2203">
        <v>3481.72</v>
      </c>
      <c r="R2203" t="str">
        <f>"FARMÁCIA INDIANA LJ 220 (10092)"</f>
        <v>FARMÁCIA INDIANA LJ 220 (10092)</v>
      </c>
      <c r="S2203" t="s">
        <v>103</v>
      </c>
      <c r="T2203">
        <v>30606</v>
      </c>
      <c r="U2203">
        <v>34094</v>
      </c>
      <c r="V2203" t="s">
        <v>37</v>
      </c>
    </row>
    <row r="2204" spans="1:22">
      <c r="A2204" t="str">
        <f t="shared" si="430"/>
        <v>13/03/2026</v>
      </c>
      <c r="B2204" t="str">
        <f t="shared" si="434"/>
        <v>ENTRADA</v>
      </c>
      <c r="C2204" t="str">
        <f t="shared" si="435"/>
        <v>NFSE</v>
      </c>
      <c r="D2204" t="str">
        <f t="shared" si="431"/>
        <v>460</v>
      </c>
      <c r="E2204" t="str">
        <f t="shared" si="433"/>
        <v>1</v>
      </c>
      <c r="F2204" t="str">
        <f t="shared" si="429"/>
        <v>COM</v>
      </c>
      <c r="G2204" t="str">
        <f t="shared" si="432"/>
        <v>FARMÁCIA INDIANA LJ 1 (10126)</v>
      </c>
      <c r="H2204" t="s">
        <v>678</v>
      </c>
      <c r="I2204" t="str">
        <f t="shared" si="436"/>
        <v>11/03/2026</v>
      </c>
      <c r="J2204" t="str">
        <f t="shared" si="437"/>
        <v>03/03/2026</v>
      </c>
      <c r="K2204">
        <v>46094</v>
      </c>
      <c r="N2204">
        <v>303</v>
      </c>
      <c r="O2204" t="s">
        <v>102</v>
      </c>
      <c r="Q2204">
        <v>1026.07</v>
      </c>
      <c r="R2204" t="str">
        <f>"FARMÁCIA INDIANA LJ 185 (10141)"</f>
        <v>FARMÁCIA INDIANA LJ 185 (10141)</v>
      </c>
      <c r="S2204" t="s">
        <v>103</v>
      </c>
      <c r="T2204">
        <v>30606</v>
      </c>
      <c r="U2204">
        <v>34094</v>
      </c>
      <c r="V2204" t="s">
        <v>37</v>
      </c>
    </row>
    <row r="2205" spans="1:22">
      <c r="A2205" t="str">
        <f t="shared" si="430"/>
        <v>13/03/2026</v>
      </c>
      <c r="B2205" t="str">
        <f t="shared" si="434"/>
        <v>ENTRADA</v>
      </c>
      <c r="C2205" t="str">
        <f t="shared" si="435"/>
        <v>NFSE</v>
      </c>
      <c r="D2205" t="str">
        <f t="shared" si="431"/>
        <v>460</v>
      </c>
      <c r="E2205" t="str">
        <f t="shared" si="433"/>
        <v>1</v>
      </c>
      <c r="F2205" t="str">
        <f t="shared" si="429"/>
        <v>COM</v>
      </c>
      <c r="G2205" t="str">
        <f t="shared" si="432"/>
        <v>FARMÁCIA INDIANA LJ 1 (10126)</v>
      </c>
      <c r="H2205" t="s">
        <v>678</v>
      </c>
      <c r="I2205" t="str">
        <f t="shared" si="436"/>
        <v>11/03/2026</v>
      </c>
      <c r="J2205" t="str">
        <f t="shared" si="437"/>
        <v>03/03/2026</v>
      </c>
      <c r="K2205">
        <v>46094</v>
      </c>
      <c r="N2205">
        <v>303</v>
      </c>
      <c r="O2205" t="s">
        <v>102</v>
      </c>
      <c r="Q2205">
        <v>956.9</v>
      </c>
      <c r="R2205" t="str">
        <f>"FARMÁCIA INDIANA LJ 205 (10150)"</f>
        <v>FARMÁCIA INDIANA LJ 205 (10150)</v>
      </c>
      <c r="S2205" t="s">
        <v>103</v>
      </c>
      <c r="T2205">
        <v>30606</v>
      </c>
      <c r="U2205">
        <v>34094</v>
      </c>
      <c r="V2205" t="s">
        <v>37</v>
      </c>
    </row>
    <row r="2206" spans="1:22">
      <c r="A2206" t="str">
        <f t="shared" si="430"/>
        <v>13/03/2026</v>
      </c>
      <c r="B2206" t="str">
        <f t="shared" si="434"/>
        <v>ENTRADA</v>
      </c>
      <c r="C2206" t="str">
        <f t="shared" si="435"/>
        <v>NFSE</v>
      </c>
      <c r="D2206" t="str">
        <f t="shared" si="431"/>
        <v>460</v>
      </c>
      <c r="E2206" t="str">
        <f t="shared" si="433"/>
        <v>1</v>
      </c>
      <c r="F2206" t="str">
        <f t="shared" si="429"/>
        <v>COM</v>
      </c>
      <c r="G2206" t="str">
        <f t="shared" si="432"/>
        <v>FARMÁCIA INDIANA LJ 1 (10126)</v>
      </c>
      <c r="H2206" t="s">
        <v>678</v>
      </c>
      <c r="I2206" t="str">
        <f t="shared" si="436"/>
        <v>11/03/2026</v>
      </c>
      <c r="J2206" t="str">
        <f t="shared" si="437"/>
        <v>03/03/2026</v>
      </c>
      <c r="K2206">
        <v>46094</v>
      </c>
      <c r="N2206">
        <v>303</v>
      </c>
      <c r="O2206" t="s">
        <v>102</v>
      </c>
      <c r="Q2206">
        <v>4876.71</v>
      </c>
      <c r="R2206" t="str">
        <f>"FARMÁCIA INDIANA LJ 172 (10161)"</f>
        <v>FARMÁCIA INDIANA LJ 172 (10161)</v>
      </c>
      <c r="S2206" t="s">
        <v>103</v>
      </c>
      <c r="T2206">
        <v>30606</v>
      </c>
      <c r="U2206">
        <v>34094</v>
      </c>
      <c r="V2206" t="s">
        <v>37</v>
      </c>
    </row>
    <row r="2207" spans="1:22">
      <c r="A2207" t="str">
        <f t="shared" si="430"/>
        <v>13/03/2026</v>
      </c>
      <c r="B2207" t="str">
        <f t="shared" si="434"/>
        <v>ENTRADA</v>
      </c>
      <c r="C2207" t="str">
        <f t="shared" si="435"/>
        <v>NFSE</v>
      </c>
      <c r="D2207" t="str">
        <f t="shared" si="431"/>
        <v>460</v>
      </c>
      <c r="E2207" t="str">
        <f t="shared" si="433"/>
        <v>1</v>
      </c>
      <c r="F2207" t="str">
        <f t="shared" si="429"/>
        <v>COM</v>
      </c>
      <c r="G2207" t="str">
        <f t="shared" si="432"/>
        <v>FARMÁCIA INDIANA LJ 1 (10126)</v>
      </c>
      <c r="H2207" t="s">
        <v>678</v>
      </c>
      <c r="I2207" t="str">
        <f t="shared" si="436"/>
        <v>11/03/2026</v>
      </c>
      <c r="J2207" t="str">
        <f t="shared" si="437"/>
        <v>03/03/2026</v>
      </c>
      <c r="K2207">
        <v>46094</v>
      </c>
      <c r="N2207">
        <v>303</v>
      </c>
      <c r="O2207" t="s">
        <v>102</v>
      </c>
      <c r="Q2207">
        <v>714.79</v>
      </c>
      <c r="R2207" t="str">
        <f>"FARMÁCIA INDIANA LJ 266 (10186)"</f>
        <v>FARMÁCIA INDIANA LJ 266 (10186)</v>
      </c>
      <c r="S2207" t="s">
        <v>103</v>
      </c>
      <c r="T2207">
        <v>30606</v>
      </c>
      <c r="U2207">
        <v>34094</v>
      </c>
      <c r="V2207" t="s">
        <v>37</v>
      </c>
    </row>
    <row r="2208" spans="1:22">
      <c r="A2208" t="str">
        <f t="shared" si="430"/>
        <v>13/03/2026</v>
      </c>
      <c r="B2208" t="str">
        <f t="shared" si="434"/>
        <v>ENTRADA</v>
      </c>
      <c r="C2208" t="str">
        <f t="shared" si="435"/>
        <v>NFSE</v>
      </c>
      <c r="D2208" t="str">
        <f t="shared" si="431"/>
        <v>460</v>
      </c>
      <c r="E2208" t="str">
        <f t="shared" si="433"/>
        <v>1</v>
      </c>
      <c r="F2208" t="str">
        <f t="shared" si="429"/>
        <v>COM</v>
      </c>
      <c r="G2208" t="str">
        <f t="shared" si="432"/>
        <v>FARMÁCIA INDIANA LJ 1 (10126)</v>
      </c>
      <c r="H2208" t="s">
        <v>678</v>
      </c>
      <c r="I2208" t="str">
        <f t="shared" si="436"/>
        <v>11/03/2026</v>
      </c>
      <c r="J2208" t="str">
        <f t="shared" si="437"/>
        <v>03/03/2026</v>
      </c>
      <c r="K2208">
        <v>46094</v>
      </c>
      <c r="N2208">
        <v>303</v>
      </c>
      <c r="O2208" t="s">
        <v>102</v>
      </c>
      <c r="Q2208">
        <v>1095.24</v>
      </c>
      <c r="R2208" t="str">
        <f>"FARMÁCIA INDIANA LJ 134 (10271)"</f>
        <v>FARMÁCIA INDIANA LJ 134 (10271)</v>
      </c>
      <c r="S2208" t="s">
        <v>103</v>
      </c>
      <c r="T2208">
        <v>30606</v>
      </c>
      <c r="U2208">
        <v>34094</v>
      </c>
      <c r="V2208" t="s">
        <v>37</v>
      </c>
    </row>
    <row r="2209" spans="1:22">
      <c r="A2209" t="str">
        <f t="shared" si="430"/>
        <v>13/03/2026</v>
      </c>
      <c r="B2209" t="str">
        <f t="shared" si="434"/>
        <v>ENTRADA</v>
      </c>
      <c r="C2209" t="str">
        <f t="shared" si="435"/>
        <v>NFSE</v>
      </c>
      <c r="D2209" t="str">
        <f t="shared" si="431"/>
        <v>460</v>
      </c>
      <c r="E2209" t="str">
        <f t="shared" si="433"/>
        <v>1</v>
      </c>
      <c r="F2209" t="str">
        <f t="shared" si="429"/>
        <v>COM</v>
      </c>
      <c r="G2209" t="str">
        <f t="shared" si="432"/>
        <v>FARMÁCIA INDIANA LJ 1 (10126)</v>
      </c>
      <c r="H2209" t="s">
        <v>678</v>
      </c>
      <c r="I2209" t="str">
        <f t="shared" si="436"/>
        <v>11/03/2026</v>
      </c>
      <c r="J2209" t="str">
        <f t="shared" si="437"/>
        <v>03/03/2026</v>
      </c>
      <c r="K2209">
        <v>46094</v>
      </c>
      <c r="N2209">
        <v>303</v>
      </c>
      <c r="O2209" t="s">
        <v>102</v>
      </c>
      <c r="Q2209">
        <v>841.61</v>
      </c>
      <c r="R2209" t="str">
        <f>"FARMÁCIA INDIANA LJ 284 (10280)"</f>
        <v>FARMÁCIA INDIANA LJ 284 (10280)</v>
      </c>
      <c r="S2209" t="s">
        <v>103</v>
      </c>
      <c r="T2209">
        <v>30606</v>
      </c>
      <c r="U2209">
        <v>34094</v>
      </c>
      <c r="V2209" t="s">
        <v>37</v>
      </c>
    </row>
    <row r="2210" spans="1:22">
      <c r="A2210" t="str">
        <f t="shared" si="430"/>
        <v>13/03/2026</v>
      </c>
      <c r="B2210" t="str">
        <f t="shared" ref="B2210:B2273" si="438">"SAÍDA"</f>
        <v>SAÍDA</v>
      </c>
      <c r="C2210" t="str">
        <f>"PIX"</f>
        <v>PIX</v>
      </c>
      <c r="D2210" t="str">
        <f>"18032026"</f>
        <v>18032026</v>
      </c>
      <c r="E2210" t="str">
        <f>""</f>
        <v/>
      </c>
      <c r="F2210" t="str">
        <f t="shared" si="429"/>
        <v>COM</v>
      </c>
      <c r="G2210" t="str">
        <f>"GILSON OLIVEIRA CAMPINHO JUNIOR (132)"</f>
        <v>GILSON OLIVEIRA CAMPINHO JUNIOR (132)</v>
      </c>
      <c r="H2210" t="str">
        <f>"Serv.Prest. 23/02/2026 a 01/02/2026 - PIX: CELULAR - CHAVE: (73) 988381077"</f>
        <v>Serv.Prest. 23/02/2026 a 01/02/2026 - PIX: CELULAR - CHAVE: (73) 988381077</v>
      </c>
      <c r="I2210" t="str">
        <f>("18/03/2026")</f>
        <v>18/03/2026</v>
      </c>
      <c r="J2210" t="str">
        <f>("18/03/2026")</f>
        <v>18/03/2026</v>
      </c>
      <c r="K2210" t="str">
        <f>("13/03/2026")</f>
        <v>13/03/2026</v>
      </c>
      <c r="L2210">
        <v>714</v>
      </c>
      <c r="M2210">
        <v>714</v>
      </c>
      <c r="N2210">
        <v>109</v>
      </c>
      <c r="O2210" t="str">
        <f>"PAGAMENTO DE ENTREGADORES"</f>
        <v>PAGAMENTO DE ENTREGADORES</v>
      </c>
      <c r="P2210">
        <v>714</v>
      </c>
      <c r="S2210" t="str">
        <f>"BANCO C6 (149)"</f>
        <v>BANCO C6 (149)</v>
      </c>
      <c r="T2210">
        <v>30640</v>
      </c>
      <c r="U2210">
        <v>35332</v>
      </c>
      <c r="V2210" t="s">
        <v>37</v>
      </c>
    </row>
    <row r="2211" spans="1:22">
      <c r="A2211" t="str">
        <f t="shared" si="430"/>
        <v>13/03/2026</v>
      </c>
      <c r="B2211" t="str">
        <f t="shared" si="438"/>
        <v>SAÍDA</v>
      </c>
      <c r="C2211" t="str">
        <f>"PIX"</f>
        <v>PIX</v>
      </c>
      <c r="D2211" t="str">
        <f>"18032026"</f>
        <v>18032026</v>
      </c>
      <c r="E2211" t="str">
        <f>""</f>
        <v/>
      </c>
      <c r="F2211" t="str">
        <f t="shared" si="429"/>
        <v>COM</v>
      </c>
      <c r="G2211" t="str">
        <f>"GILSON OLIVEIRA CAMPINHO JUNIOR (132)"</f>
        <v>GILSON OLIVEIRA CAMPINHO JUNIOR (132)</v>
      </c>
      <c r="H2211" t="s">
        <v>679</v>
      </c>
      <c r="I2211" t="str">
        <f>("18/03/2026")</f>
        <v>18/03/2026</v>
      </c>
      <c r="J2211" t="str">
        <f>("18/03/2026")</f>
        <v>18/03/2026</v>
      </c>
      <c r="K2211">
        <v>46094</v>
      </c>
      <c r="N2211">
        <v>109</v>
      </c>
      <c r="O2211" t="s">
        <v>27</v>
      </c>
      <c r="Q2211">
        <v>714</v>
      </c>
      <c r="R2211" t="str">
        <f>"FARMÁCIA INDIANA LJ 91 (10037)"</f>
        <v>FARMÁCIA INDIANA LJ 91 (10037)</v>
      </c>
      <c r="S2211" t="s">
        <v>37</v>
      </c>
      <c r="T2211">
        <v>30640</v>
      </c>
      <c r="U2211">
        <v>35332</v>
      </c>
      <c r="V2211" t="s">
        <v>37</v>
      </c>
    </row>
    <row r="2212" spans="1:22">
      <c r="A2212" t="str">
        <f t="shared" si="430"/>
        <v>13/03/2026</v>
      </c>
      <c r="B2212" t="str">
        <f t="shared" si="438"/>
        <v>SAÍDA</v>
      </c>
      <c r="C2212" t="str">
        <f>"PIX"</f>
        <v>PIX</v>
      </c>
      <c r="D2212" t="str">
        <f>"12032026"</f>
        <v>12032026</v>
      </c>
      <c r="E2212" t="str">
        <f>""</f>
        <v/>
      </c>
      <c r="F2212" t="str">
        <f t="shared" si="429"/>
        <v>COM</v>
      </c>
      <c r="G2212" t="str">
        <f>"PEDRO HENRIQUE MARQUES DA SILVA (1316)"</f>
        <v>PEDRO HENRIQUE MARQUES DA SILVA (1316)</v>
      </c>
      <c r="H2212" t="str">
        <f>"Serv.Prest. 01/03/2026 a 08/03/2026 - PIX: CNPJ - CHAVE: 64.557.825/0001-94"</f>
        <v>Serv.Prest. 01/03/2026 a 08/03/2026 - PIX: CNPJ - CHAVE: 64.557.825/0001-94</v>
      </c>
      <c r="I2212" t="str">
        <f>("13/03/2026")</f>
        <v>13/03/2026</v>
      </c>
      <c r="J2212" t="str">
        <f>("13/03/2026")</f>
        <v>13/03/2026</v>
      </c>
      <c r="K2212" t="str">
        <f>("13/03/2026")</f>
        <v>13/03/2026</v>
      </c>
      <c r="L2212">
        <v>74.5</v>
      </c>
      <c r="M2212">
        <v>74.5</v>
      </c>
      <c r="N2212">
        <v>109</v>
      </c>
      <c r="O2212" t="str">
        <f>"PAGAMENTO DE ENTREGADORES"</f>
        <v>PAGAMENTO DE ENTREGADORES</v>
      </c>
      <c r="P2212">
        <v>74.5</v>
      </c>
      <c r="S2212" t="str">
        <f>"BANCO C6 (149)"</f>
        <v>BANCO C6 (149)</v>
      </c>
      <c r="T2212">
        <v>30747</v>
      </c>
      <c r="U2212">
        <v>34806</v>
      </c>
      <c r="V2212" t="s">
        <v>37</v>
      </c>
    </row>
    <row r="2213" spans="1:22">
      <c r="A2213" t="str">
        <f t="shared" si="430"/>
        <v>13/03/2026</v>
      </c>
      <c r="B2213" t="str">
        <f t="shared" si="438"/>
        <v>SAÍDA</v>
      </c>
      <c r="C2213" t="str">
        <f>"PIX"</f>
        <v>PIX</v>
      </c>
      <c r="D2213" t="str">
        <f>"12032026"</f>
        <v>12032026</v>
      </c>
      <c r="E2213" t="str">
        <f>""</f>
        <v/>
      </c>
      <c r="F2213" t="str">
        <f t="shared" si="429"/>
        <v>COM</v>
      </c>
      <c r="G2213" t="str">
        <f>"PEDRO HENRIQUE MARQUES DA SILVA (1316)"</f>
        <v>PEDRO HENRIQUE MARQUES DA SILVA (1316)</v>
      </c>
      <c r="H2213" t="s">
        <v>680</v>
      </c>
      <c r="I2213" t="str">
        <f>("13/03/2026")</f>
        <v>13/03/2026</v>
      </c>
      <c r="J2213" t="str">
        <f>("13/03/2026")</f>
        <v>13/03/2026</v>
      </c>
      <c r="K2213">
        <v>46094</v>
      </c>
      <c r="N2213">
        <v>109</v>
      </c>
      <c r="O2213" t="s">
        <v>27</v>
      </c>
      <c r="Q2213">
        <v>74.5</v>
      </c>
      <c r="R2213" t="str">
        <f>"PEDRO HENRIQUE MARQUES DA SILVA (1316)"</f>
        <v>PEDRO HENRIQUE MARQUES DA SILVA (1316)</v>
      </c>
      <c r="S2213" t="s">
        <v>37</v>
      </c>
      <c r="T2213">
        <v>30747</v>
      </c>
      <c r="U2213">
        <v>34806</v>
      </c>
      <c r="V2213" t="s">
        <v>37</v>
      </c>
    </row>
    <row r="2214" spans="1:22">
      <c r="A2214" t="str">
        <f t="shared" si="430"/>
        <v>13/03/2026</v>
      </c>
      <c r="B2214" t="str">
        <f t="shared" si="438"/>
        <v>SAÍDA</v>
      </c>
      <c r="C2214" t="str">
        <f>"PIX"</f>
        <v>PIX</v>
      </c>
      <c r="D2214" t="str">
        <f>"12032026"</f>
        <v>12032026</v>
      </c>
      <c r="E2214" t="str">
        <f>""</f>
        <v/>
      </c>
      <c r="F2214" t="str">
        <f t="shared" si="429"/>
        <v>COM</v>
      </c>
      <c r="G2214" t="str">
        <f>"PEDRO HENRIQUE MARQUES DA SILVA (1316)"</f>
        <v>PEDRO HENRIQUE MARQUES DA SILVA (1316)</v>
      </c>
      <c r="H2214" t="s">
        <v>680</v>
      </c>
      <c r="I2214" t="str">
        <f>("13/03/2026")</f>
        <v>13/03/2026</v>
      </c>
      <c r="J2214" t="str">
        <f>("13/03/2026")</f>
        <v>13/03/2026</v>
      </c>
      <c r="K2214">
        <v>46094</v>
      </c>
      <c r="N2214">
        <v>109</v>
      </c>
      <c r="O2214" t="s">
        <v>27</v>
      </c>
      <c r="Q2214">
        <v>0</v>
      </c>
      <c r="R2214" t="str">
        <f>"PAGUE MENOS 321 (10295)"</f>
        <v>PAGUE MENOS 321 (10295)</v>
      </c>
      <c r="S2214" t="s">
        <v>37</v>
      </c>
      <c r="T2214">
        <v>30747</v>
      </c>
      <c r="U2214">
        <v>34806</v>
      </c>
      <c r="V2214" t="s">
        <v>37</v>
      </c>
    </row>
    <row r="2215" spans="1:22">
      <c r="A2215" t="str">
        <f t="shared" si="430"/>
        <v>13/03/2026</v>
      </c>
      <c r="B2215" t="str">
        <f t="shared" si="438"/>
        <v>SAÍDA</v>
      </c>
      <c r="C2215" t="str">
        <f>"BOLETO"</f>
        <v>BOLETO</v>
      </c>
      <c r="D2215" t="str">
        <f>"13032026"</f>
        <v>13032026</v>
      </c>
      <c r="E2215" t="str">
        <f>""</f>
        <v/>
      </c>
      <c r="F2215" t="str">
        <f t="shared" si="429"/>
        <v>COM</v>
      </c>
      <c r="G2215" t="str">
        <f>"SECRETARIA DE ESTADO DE FAZENDA DE MINAS GERAIS (20012)"</f>
        <v>SECRETARIA DE ESTADO DE FAZENDA DE MINAS GERAIS (20012)</v>
      </c>
      <c r="H2215" t="str">
        <f>"Guia ISSQN referente ao mês 02/2026"</f>
        <v>Guia ISSQN referente ao mês 02/2026</v>
      </c>
      <c r="I2215" t="str">
        <f t="shared" ref="I2215:I2278" si="439">("13/03/2026")</f>
        <v>13/03/2026</v>
      </c>
      <c r="J2215" t="str">
        <f>("10/03/2026")</f>
        <v>10/03/2026</v>
      </c>
      <c r="K2215" t="str">
        <f>("13/03/2026")</f>
        <v>13/03/2026</v>
      </c>
      <c r="L2215">
        <v>41896.58</v>
      </c>
      <c r="M2215">
        <v>41896.58</v>
      </c>
      <c r="N2215">
        <v>137</v>
      </c>
      <c r="O2215" t="str">
        <f>"ISS"</f>
        <v>ISS</v>
      </c>
      <c r="P2215">
        <v>41896.58</v>
      </c>
      <c r="S2215" t="str">
        <f>"BANCO C6 (149)"</f>
        <v>BANCO C6 (149)</v>
      </c>
      <c r="T2215">
        <v>30748</v>
      </c>
      <c r="U2215">
        <v>34794</v>
      </c>
      <c r="V2215" t="s">
        <v>37</v>
      </c>
    </row>
    <row r="2216" spans="1:22">
      <c r="A2216" t="str">
        <f t="shared" si="430"/>
        <v>13/03/2026</v>
      </c>
      <c r="B2216" t="str">
        <f t="shared" si="438"/>
        <v>SAÍDA</v>
      </c>
      <c r="C2216" t="str">
        <f>"BOLETO"</f>
        <v>BOLETO</v>
      </c>
      <c r="D2216" t="str">
        <f>"13032026"</f>
        <v>13032026</v>
      </c>
      <c r="E2216" t="str">
        <f>""</f>
        <v/>
      </c>
      <c r="F2216" t="str">
        <f t="shared" si="429"/>
        <v>COM</v>
      </c>
      <c r="G2216" t="str">
        <f>"SECRETARIA DE ESTADO DE FAZENDA DE MINAS GERAIS (20012)"</f>
        <v>SECRETARIA DE ESTADO DE FAZENDA DE MINAS GERAIS (20012)</v>
      </c>
      <c r="H2216" t="s">
        <v>681</v>
      </c>
      <c r="I2216" t="str">
        <f t="shared" si="439"/>
        <v>13/03/2026</v>
      </c>
      <c r="J2216" t="str">
        <f>("10/03/2026")</f>
        <v>10/03/2026</v>
      </c>
      <c r="K2216">
        <v>46094</v>
      </c>
      <c r="N2216">
        <v>137</v>
      </c>
      <c r="O2216" t="s">
        <v>496</v>
      </c>
      <c r="Q2216">
        <v>41896.58</v>
      </c>
      <c r="R2216" t="str">
        <f>"SECRETARIA DE ESTADO DE FAZENDA DE MINAS GERAIS (20012)"</f>
        <v>SECRETARIA DE ESTADO DE FAZENDA DE MINAS GERAIS (20012)</v>
      </c>
      <c r="S2216" t="s">
        <v>37</v>
      </c>
      <c r="T2216">
        <v>30748</v>
      </c>
      <c r="U2216">
        <v>34794</v>
      </c>
      <c r="V2216" t="s">
        <v>37</v>
      </c>
    </row>
    <row r="2217" spans="1:22">
      <c r="A2217" t="str">
        <f t="shared" si="430"/>
        <v>13/03/2026</v>
      </c>
      <c r="B2217" t="str">
        <f t="shared" si="438"/>
        <v>SAÍDA</v>
      </c>
      <c r="C2217" t="str">
        <f t="shared" ref="C2217:C2280" si="440">"PIX"</f>
        <v>PIX</v>
      </c>
      <c r="D2217" t="str">
        <f>"13032026"</f>
        <v>13032026</v>
      </c>
      <c r="E2217" t="str">
        <f>""</f>
        <v/>
      </c>
      <c r="F2217" t="str">
        <f t="shared" si="429"/>
        <v>COM</v>
      </c>
      <c r="G2217" t="str">
        <f>"LUCAS FERREIRA DA SILVA (1245)"</f>
        <v>LUCAS FERREIRA DA SILVA (1245)</v>
      </c>
      <c r="H2217" t="str">
        <f>"Serv.Prest. DIARIA 12/03/2026 - PIX: CELULAR - CHAVE: (11) 99593-3129"</f>
        <v>Serv.Prest. DIARIA 12/03/2026 - PIX: CELULAR - CHAVE: (11) 99593-3129</v>
      </c>
      <c r="I2217" t="str">
        <f t="shared" si="439"/>
        <v>13/03/2026</v>
      </c>
      <c r="J2217" t="str">
        <f>("13/02/2026")</f>
        <v>13/02/2026</v>
      </c>
      <c r="K2217" t="str">
        <f>("13/03/2026")</f>
        <v>13/03/2026</v>
      </c>
      <c r="L2217">
        <v>130</v>
      </c>
      <c r="M2217">
        <v>130</v>
      </c>
      <c r="N2217">
        <v>134</v>
      </c>
      <c r="O2217" t="str">
        <f>"DIARIA DE MOTOBOY"</f>
        <v>DIARIA DE MOTOBOY</v>
      </c>
      <c r="P2217">
        <v>130</v>
      </c>
      <c r="S2217" t="str">
        <f>"BANCO C6 (149)"</f>
        <v>BANCO C6 (149)</v>
      </c>
      <c r="T2217">
        <v>30749</v>
      </c>
      <c r="U2217">
        <v>34831</v>
      </c>
      <c r="V2217" t="s">
        <v>37</v>
      </c>
    </row>
    <row r="2218" spans="1:22">
      <c r="A2218" t="str">
        <f t="shared" si="430"/>
        <v>13/03/2026</v>
      </c>
      <c r="B2218" t="str">
        <f t="shared" si="438"/>
        <v>SAÍDA</v>
      </c>
      <c r="C2218" t="str">
        <f t="shared" si="440"/>
        <v>PIX</v>
      </c>
      <c r="D2218" t="str">
        <f>"13032026"</f>
        <v>13032026</v>
      </c>
      <c r="E2218" t="str">
        <f>""</f>
        <v/>
      </c>
      <c r="F2218" t="str">
        <f t="shared" si="429"/>
        <v>COM</v>
      </c>
      <c r="G2218" t="str">
        <f>"LUCAS FERREIRA DA SILVA (1245)"</f>
        <v>LUCAS FERREIRA DA SILVA (1245)</v>
      </c>
      <c r="H2218" t="s">
        <v>682</v>
      </c>
      <c r="I2218" t="str">
        <f t="shared" si="439"/>
        <v>13/03/2026</v>
      </c>
      <c r="J2218" t="str">
        <f>("13/02/2026")</f>
        <v>13/02/2026</v>
      </c>
      <c r="K2218">
        <v>46094</v>
      </c>
      <c r="N2218">
        <v>134</v>
      </c>
      <c r="O2218" t="s">
        <v>30</v>
      </c>
      <c r="Q2218">
        <v>130</v>
      </c>
      <c r="R2218" t="str">
        <f>"DROGARIA ISABELLA (10276)"</f>
        <v>DROGARIA ISABELLA (10276)</v>
      </c>
      <c r="S2218" t="s">
        <v>37</v>
      </c>
      <c r="T2218">
        <v>30749</v>
      </c>
      <c r="U2218">
        <v>34831</v>
      </c>
      <c r="V2218" t="s">
        <v>37</v>
      </c>
    </row>
    <row r="2219" spans="1:22">
      <c r="A2219" t="str">
        <f t="shared" si="430"/>
        <v>13/03/2026</v>
      </c>
      <c r="B2219" t="str">
        <f t="shared" si="438"/>
        <v>SAÍDA</v>
      </c>
      <c r="C2219" t="str">
        <f t="shared" si="440"/>
        <v>PIX</v>
      </c>
      <c r="D2219" t="str">
        <f>"15022025"</f>
        <v>15022025</v>
      </c>
      <c r="E2219" t="str">
        <f>"38"</f>
        <v>38</v>
      </c>
      <c r="F2219" t="str">
        <f t="shared" si="429"/>
        <v>COM</v>
      </c>
      <c r="G2219" t="str">
        <f>"ALBERTO KENNEDY ALMEIDA DE JESUS (20026)"</f>
        <v>ALBERTO KENNEDY ALMEIDA DE JESUS (20026)</v>
      </c>
      <c r="H2219" t="str">
        <f>"PAGAMENTO PRESTACAO DE SERVICO 03/2026"</f>
        <v>PAGAMENTO PRESTACAO DE SERVICO 03/2026</v>
      </c>
      <c r="I2219" t="str">
        <f t="shared" si="439"/>
        <v>13/03/2026</v>
      </c>
      <c r="J2219" t="str">
        <f>("14/02/2025")</f>
        <v>14/02/2025</v>
      </c>
      <c r="K2219" t="str">
        <f>("13/03/2026")</f>
        <v>13/03/2026</v>
      </c>
      <c r="L2219">
        <v>3200</v>
      </c>
      <c r="M2219">
        <v>3200</v>
      </c>
      <c r="N2219">
        <v>103</v>
      </c>
      <c r="O2219" t="str">
        <f>"PAGAMENTO DE FUNCIONÁRIOS"</f>
        <v>PAGAMENTO DE FUNCIONÁRIOS</v>
      </c>
      <c r="P2219">
        <v>3200</v>
      </c>
      <c r="S2219" t="str">
        <f>"BANCO C6 (149)"</f>
        <v>BANCO C6 (149)</v>
      </c>
      <c r="T2219">
        <v>30750</v>
      </c>
      <c r="U2219">
        <v>24323</v>
      </c>
      <c r="V2219" t="s">
        <v>37</v>
      </c>
    </row>
    <row r="2220" spans="1:22">
      <c r="A2220" t="str">
        <f t="shared" si="430"/>
        <v>13/03/2026</v>
      </c>
      <c r="B2220" t="str">
        <f t="shared" si="438"/>
        <v>SAÍDA</v>
      </c>
      <c r="C2220" t="str">
        <f t="shared" si="440"/>
        <v>PIX</v>
      </c>
      <c r="D2220" t="str">
        <f>"15022025"</f>
        <v>15022025</v>
      </c>
      <c r="E2220" t="str">
        <f>"38"</f>
        <v>38</v>
      </c>
      <c r="F2220" t="str">
        <f t="shared" si="429"/>
        <v>COM</v>
      </c>
      <c r="G2220" t="str">
        <f>"ALBERTO KENNEDY ALMEIDA DE JESUS (20026)"</f>
        <v>ALBERTO KENNEDY ALMEIDA DE JESUS (20026)</v>
      </c>
      <c r="H2220" t="s">
        <v>683</v>
      </c>
      <c r="I2220" t="str">
        <f t="shared" si="439"/>
        <v>13/03/2026</v>
      </c>
      <c r="J2220" t="str">
        <f>("14/02/2025")</f>
        <v>14/02/2025</v>
      </c>
      <c r="K2220">
        <v>46094</v>
      </c>
      <c r="N2220">
        <v>103</v>
      </c>
      <c r="O2220" t="s">
        <v>151</v>
      </c>
      <c r="Q2220">
        <v>3200</v>
      </c>
      <c r="R2220" t="str">
        <f>"ALBERTO KENNEDY ALMEIDA DE JESUS (20026)"</f>
        <v>ALBERTO KENNEDY ALMEIDA DE JESUS (20026)</v>
      </c>
      <c r="S2220" t="s">
        <v>37</v>
      </c>
      <c r="T2220">
        <v>30750</v>
      </c>
      <c r="U2220">
        <v>24323</v>
      </c>
      <c r="V2220" t="s">
        <v>37</v>
      </c>
    </row>
    <row r="2221" spans="1:22">
      <c r="A2221" t="str">
        <f t="shared" si="430"/>
        <v>13/03/2026</v>
      </c>
      <c r="B2221" t="str">
        <f t="shared" si="438"/>
        <v>SAÍDA</v>
      </c>
      <c r="C2221" t="str">
        <f t="shared" si="440"/>
        <v>PIX</v>
      </c>
      <c r="D2221" t="str">
        <f>"34667"</f>
        <v>34667</v>
      </c>
      <c r="E2221" t="str">
        <f t="shared" ref="E2221:E2284" si="441">"1"</f>
        <v>1</v>
      </c>
      <c r="F2221" t="str">
        <f t="shared" si="429"/>
        <v>COM</v>
      </c>
      <c r="G2221" t="str">
        <f>"DEIVID FERNANDES COSTA (828)"</f>
        <v>DEIVID FERNANDES COSTA (828)</v>
      </c>
      <c r="H2221" t="str">
        <f>"Serv.Prest. 02/03/2026 a 08/03/2026 - PIX: CELULAR - CHAVE: (62) 99550-3226"</f>
        <v>Serv.Prest. 02/03/2026 a 08/03/2026 - PIX: CELULAR - CHAVE: (62) 99550-3226</v>
      </c>
      <c r="I2221" t="str">
        <f t="shared" si="439"/>
        <v>13/03/2026</v>
      </c>
      <c r="J2221" t="str">
        <f>("10/03/2026")</f>
        <v>10/03/2026</v>
      </c>
      <c r="K2221" t="str">
        <f>("13/03/2026")</f>
        <v>13/03/2026</v>
      </c>
      <c r="L2221">
        <v>1408.4</v>
      </c>
      <c r="M2221">
        <v>1400</v>
      </c>
      <c r="N2221">
        <v>109</v>
      </c>
      <c r="O2221" t="str">
        <f>"PAGAMENTO DE ENTREGADORES"</f>
        <v>PAGAMENTO DE ENTREGADORES</v>
      </c>
      <c r="P2221">
        <v>1400</v>
      </c>
      <c r="S2221" t="str">
        <f>"BANCO C6 (149)"</f>
        <v>BANCO C6 (149)</v>
      </c>
      <c r="T2221">
        <v>30751</v>
      </c>
      <c r="U2221">
        <v>34667</v>
      </c>
      <c r="V2221" t="s">
        <v>37</v>
      </c>
    </row>
    <row r="2222" spans="1:22">
      <c r="A2222" t="str">
        <f t="shared" si="430"/>
        <v>13/03/2026</v>
      </c>
      <c r="B2222" t="str">
        <f t="shared" si="438"/>
        <v>SAÍDA</v>
      </c>
      <c r="C2222" t="str">
        <f t="shared" si="440"/>
        <v>PIX</v>
      </c>
      <c r="D2222" t="str">
        <f>"34667"</f>
        <v>34667</v>
      </c>
      <c r="E2222" t="str">
        <f t="shared" si="441"/>
        <v>1</v>
      </c>
      <c r="F2222" t="str">
        <f t="shared" si="429"/>
        <v>COM</v>
      </c>
      <c r="G2222" t="str">
        <f>"DEIVID FERNANDES COSTA (828)"</f>
        <v>DEIVID FERNANDES COSTA (828)</v>
      </c>
      <c r="H2222" t="s">
        <v>424</v>
      </c>
      <c r="I2222" t="str">
        <f t="shared" si="439"/>
        <v>13/03/2026</v>
      </c>
      <c r="J2222" t="str">
        <f>("10/03/2026")</f>
        <v>10/03/2026</v>
      </c>
      <c r="K2222">
        <v>46094</v>
      </c>
      <c r="N2222">
        <v>109</v>
      </c>
      <c r="O2222" t="s">
        <v>27</v>
      </c>
      <c r="Q2222">
        <v>1400</v>
      </c>
      <c r="R2222" t="str">
        <f>"BRASIL FARMA (10173)"</f>
        <v>BRASIL FARMA (10173)</v>
      </c>
      <c r="S2222" t="s">
        <v>37</v>
      </c>
      <c r="T2222">
        <v>30751</v>
      </c>
      <c r="U2222">
        <v>34667</v>
      </c>
      <c r="V2222" t="s">
        <v>37</v>
      </c>
    </row>
    <row r="2223" spans="1:22">
      <c r="A2223" t="str">
        <f t="shared" si="430"/>
        <v>13/03/2026</v>
      </c>
      <c r="B2223" t="str">
        <f t="shared" si="438"/>
        <v>SAÍDA</v>
      </c>
      <c r="C2223" t="str">
        <f t="shared" si="440"/>
        <v>PIX</v>
      </c>
      <c r="D2223" t="str">
        <f t="shared" ref="D2223:D2229" si="442">"33763"</f>
        <v>33763</v>
      </c>
      <c r="E2223" t="str">
        <f t="shared" si="441"/>
        <v>1</v>
      </c>
      <c r="F2223" t="str">
        <f t="shared" si="429"/>
        <v>COM</v>
      </c>
      <c r="G2223" t="str">
        <f t="shared" ref="G2223:G2229" si="443">"RONAN BAECE SILVA (296)"</f>
        <v>RONAN BAECE SILVA (296)</v>
      </c>
      <c r="H2223" t="str">
        <f>"Serv.Prest. 16/02/2026 a 22/02/2026 - PIX: CPF: CHAVE - 659.144.816-00"</f>
        <v>Serv.Prest. 16/02/2026 a 22/02/2026 - PIX: CPF: CHAVE - 659.144.816-00</v>
      </c>
      <c r="I2223" t="str">
        <f t="shared" si="439"/>
        <v>13/03/2026</v>
      </c>
      <c r="J2223" t="str">
        <f t="shared" ref="J2223:J2229" si="444">("24/02/2026")</f>
        <v>24/02/2026</v>
      </c>
      <c r="K2223" t="str">
        <f>("13/03/2026")</f>
        <v>13/03/2026</v>
      </c>
      <c r="L2223">
        <v>672</v>
      </c>
      <c r="M2223">
        <v>672</v>
      </c>
      <c r="N2223">
        <v>109</v>
      </c>
      <c r="O2223" t="str">
        <f>"PAGAMENTO DE ENTREGADORES"</f>
        <v>PAGAMENTO DE ENTREGADORES</v>
      </c>
      <c r="P2223">
        <v>672</v>
      </c>
      <c r="S2223" t="str">
        <f>"BANCO C6 (149)"</f>
        <v>BANCO C6 (149)</v>
      </c>
      <c r="T2223">
        <v>30752</v>
      </c>
      <c r="U2223">
        <v>33763</v>
      </c>
      <c r="V2223" t="s">
        <v>37</v>
      </c>
    </row>
    <row r="2224" spans="1:22">
      <c r="A2224" t="str">
        <f t="shared" si="430"/>
        <v>13/03/2026</v>
      </c>
      <c r="B2224" t="str">
        <f t="shared" si="438"/>
        <v>SAÍDA</v>
      </c>
      <c r="C2224" t="str">
        <f t="shared" si="440"/>
        <v>PIX</v>
      </c>
      <c r="D2224" t="str">
        <f t="shared" si="442"/>
        <v>33763</v>
      </c>
      <c r="E2224" t="str">
        <f t="shared" si="441"/>
        <v>1</v>
      </c>
      <c r="F2224" t="str">
        <f t="shared" si="429"/>
        <v>COM</v>
      </c>
      <c r="G2224" t="str">
        <f t="shared" si="443"/>
        <v>RONAN BAECE SILVA (296)</v>
      </c>
      <c r="H2224" t="s">
        <v>684</v>
      </c>
      <c r="I2224" t="str">
        <f t="shared" si="439"/>
        <v>13/03/2026</v>
      </c>
      <c r="J2224" t="str">
        <f t="shared" si="444"/>
        <v>24/02/2026</v>
      </c>
      <c r="K2224">
        <v>46094</v>
      </c>
      <c r="N2224">
        <v>109</v>
      </c>
      <c r="O2224" t="s">
        <v>27</v>
      </c>
      <c r="Q2224">
        <v>138.03</v>
      </c>
      <c r="R2224" t="str">
        <f>"PAGUE MENOS 377 (10300)"</f>
        <v>PAGUE MENOS 377 (10300)</v>
      </c>
      <c r="S2224" t="s">
        <v>37</v>
      </c>
      <c r="T2224">
        <v>30752</v>
      </c>
      <c r="U2224">
        <v>33763</v>
      </c>
      <c r="V2224" t="s">
        <v>37</v>
      </c>
    </row>
    <row r="2225" spans="1:22">
      <c r="A2225" t="str">
        <f t="shared" si="430"/>
        <v>13/03/2026</v>
      </c>
      <c r="B2225" t="str">
        <f t="shared" si="438"/>
        <v>SAÍDA</v>
      </c>
      <c r="C2225" t="str">
        <f t="shared" si="440"/>
        <v>PIX</v>
      </c>
      <c r="D2225" t="str">
        <f t="shared" si="442"/>
        <v>33763</v>
      </c>
      <c r="E2225" t="str">
        <f t="shared" si="441"/>
        <v>1</v>
      </c>
      <c r="F2225" t="str">
        <f t="shared" si="429"/>
        <v>COM</v>
      </c>
      <c r="G2225" t="str">
        <f t="shared" si="443"/>
        <v>RONAN BAECE SILVA (296)</v>
      </c>
      <c r="H2225" t="s">
        <v>684</v>
      </c>
      <c r="I2225" t="str">
        <f t="shared" si="439"/>
        <v>13/03/2026</v>
      </c>
      <c r="J2225" t="str">
        <f t="shared" si="444"/>
        <v>24/02/2026</v>
      </c>
      <c r="K2225">
        <v>46094</v>
      </c>
      <c r="N2225">
        <v>109</v>
      </c>
      <c r="O2225" t="s">
        <v>27</v>
      </c>
      <c r="Q2225">
        <v>12.03</v>
      </c>
      <c r="R2225" t="str">
        <f>"PAGUE MENOS 879 (10305)"</f>
        <v>PAGUE MENOS 879 (10305)</v>
      </c>
      <c r="S2225" t="s">
        <v>37</v>
      </c>
      <c r="T2225">
        <v>30752</v>
      </c>
      <c r="U2225">
        <v>33763</v>
      </c>
      <c r="V2225" t="s">
        <v>37</v>
      </c>
    </row>
    <row r="2226" spans="1:22">
      <c r="A2226" t="str">
        <f t="shared" si="430"/>
        <v>13/03/2026</v>
      </c>
      <c r="B2226" t="str">
        <f t="shared" si="438"/>
        <v>SAÍDA</v>
      </c>
      <c r="C2226" t="str">
        <f t="shared" si="440"/>
        <v>PIX</v>
      </c>
      <c r="D2226" t="str">
        <f t="shared" si="442"/>
        <v>33763</v>
      </c>
      <c r="E2226" t="str">
        <f t="shared" si="441"/>
        <v>1</v>
      </c>
      <c r="F2226" t="str">
        <f t="shared" si="429"/>
        <v>COM</v>
      </c>
      <c r="G2226" t="str">
        <f t="shared" si="443"/>
        <v>RONAN BAECE SILVA (296)</v>
      </c>
      <c r="H2226" t="s">
        <v>684</v>
      </c>
      <c r="I2226" t="str">
        <f t="shared" si="439"/>
        <v>13/03/2026</v>
      </c>
      <c r="J2226" t="str">
        <f t="shared" si="444"/>
        <v>24/02/2026</v>
      </c>
      <c r="K2226">
        <v>46094</v>
      </c>
      <c r="N2226">
        <v>109</v>
      </c>
      <c r="O2226" t="s">
        <v>27</v>
      </c>
      <c r="Q2226">
        <v>317.99</v>
      </c>
      <c r="R2226" t="str">
        <f>"PAGUE MENOS 1155 (10307)"</f>
        <v>PAGUE MENOS 1155 (10307)</v>
      </c>
      <c r="S2226" t="s">
        <v>37</v>
      </c>
      <c r="T2226">
        <v>30752</v>
      </c>
      <c r="U2226">
        <v>33763</v>
      </c>
      <c r="V2226" t="s">
        <v>37</v>
      </c>
    </row>
    <row r="2227" spans="1:22">
      <c r="A2227" t="str">
        <f t="shared" si="430"/>
        <v>13/03/2026</v>
      </c>
      <c r="B2227" t="str">
        <f t="shared" si="438"/>
        <v>SAÍDA</v>
      </c>
      <c r="C2227" t="str">
        <f t="shared" si="440"/>
        <v>PIX</v>
      </c>
      <c r="D2227" t="str">
        <f t="shared" si="442"/>
        <v>33763</v>
      </c>
      <c r="E2227" t="str">
        <f t="shared" si="441"/>
        <v>1</v>
      </c>
      <c r="F2227" t="str">
        <f t="shared" si="429"/>
        <v>COM</v>
      </c>
      <c r="G2227" t="str">
        <f t="shared" si="443"/>
        <v>RONAN BAECE SILVA (296)</v>
      </c>
      <c r="H2227" t="s">
        <v>684</v>
      </c>
      <c r="I2227" t="str">
        <f t="shared" si="439"/>
        <v>13/03/2026</v>
      </c>
      <c r="J2227" t="str">
        <f t="shared" si="444"/>
        <v>24/02/2026</v>
      </c>
      <c r="K2227">
        <v>46094</v>
      </c>
      <c r="N2227">
        <v>109</v>
      </c>
      <c r="O2227" t="s">
        <v>27</v>
      </c>
      <c r="Q2227">
        <v>191.99</v>
      </c>
      <c r="R2227" t="str">
        <f>"PAGUE MENOS 1156 (10308)"</f>
        <v>PAGUE MENOS 1156 (10308)</v>
      </c>
      <c r="S2227" t="s">
        <v>37</v>
      </c>
      <c r="T2227">
        <v>30752</v>
      </c>
      <c r="U2227">
        <v>33763</v>
      </c>
      <c r="V2227" t="s">
        <v>37</v>
      </c>
    </row>
    <row r="2228" spans="1:22">
      <c r="A2228" t="str">
        <f t="shared" si="430"/>
        <v>13/03/2026</v>
      </c>
      <c r="B2228" t="str">
        <f t="shared" si="438"/>
        <v>SAÍDA</v>
      </c>
      <c r="C2228" t="str">
        <f t="shared" si="440"/>
        <v>PIX</v>
      </c>
      <c r="D2228" t="str">
        <f t="shared" si="442"/>
        <v>33763</v>
      </c>
      <c r="E2228" t="str">
        <f t="shared" si="441"/>
        <v>1</v>
      </c>
      <c r="F2228" t="str">
        <f t="shared" si="429"/>
        <v>COM</v>
      </c>
      <c r="G2228" t="str">
        <f t="shared" si="443"/>
        <v>RONAN BAECE SILVA (296)</v>
      </c>
      <c r="H2228" t="s">
        <v>684</v>
      </c>
      <c r="I2228" t="str">
        <f t="shared" si="439"/>
        <v>13/03/2026</v>
      </c>
      <c r="J2228" t="str">
        <f t="shared" si="444"/>
        <v>24/02/2026</v>
      </c>
      <c r="K2228">
        <v>46094</v>
      </c>
      <c r="N2228">
        <v>109</v>
      </c>
      <c r="O2228" t="s">
        <v>27</v>
      </c>
      <c r="Q2228">
        <v>5.98</v>
      </c>
      <c r="R2228" t="str">
        <f>"PAGUE MENOS 1194 (10309)"</f>
        <v>PAGUE MENOS 1194 (10309)</v>
      </c>
      <c r="S2228" t="s">
        <v>37</v>
      </c>
      <c r="T2228">
        <v>30752</v>
      </c>
      <c r="U2228">
        <v>33763</v>
      </c>
      <c r="V2228" t="s">
        <v>37</v>
      </c>
    </row>
    <row r="2229" spans="1:22">
      <c r="A2229" t="str">
        <f t="shared" si="430"/>
        <v>13/03/2026</v>
      </c>
      <c r="B2229" t="str">
        <f t="shared" si="438"/>
        <v>SAÍDA</v>
      </c>
      <c r="C2229" t="str">
        <f t="shared" si="440"/>
        <v>PIX</v>
      </c>
      <c r="D2229" t="str">
        <f t="shared" si="442"/>
        <v>33763</v>
      </c>
      <c r="E2229" t="str">
        <f t="shared" si="441"/>
        <v>1</v>
      </c>
      <c r="F2229" t="str">
        <f t="shared" si="429"/>
        <v>COM</v>
      </c>
      <c r="G2229" t="str">
        <f t="shared" si="443"/>
        <v>RONAN BAECE SILVA (296)</v>
      </c>
      <c r="H2229" t="s">
        <v>684</v>
      </c>
      <c r="I2229" t="str">
        <f t="shared" si="439"/>
        <v>13/03/2026</v>
      </c>
      <c r="J2229" t="str">
        <f t="shared" si="444"/>
        <v>24/02/2026</v>
      </c>
      <c r="K2229">
        <v>46094</v>
      </c>
      <c r="N2229">
        <v>109</v>
      </c>
      <c r="O2229" t="s">
        <v>27</v>
      </c>
      <c r="Q2229">
        <v>5.98</v>
      </c>
      <c r="R2229" t="str">
        <f>"PAGUE MENOS 1327 (10312)"</f>
        <v>PAGUE MENOS 1327 (10312)</v>
      </c>
      <c r="S2229" t="s">
        <v>37</v>
      </c>
      <c r="T2229">
        <v>30752</v>
      </c>
      <c r="U2229">
        <v>33763</v>
      </c>
      <c r="V2229" t="s">
        <v>37</v>
      </c>
    </row>
    <row r="2230" spans="1:22">
      <c r="A2230" t="str">
        <f t="shared" si="430"/>
        <v>13/03/2026</v>
      </c>
      <c r="B2230" t="str">
        <f t="shared" si="438"/>
        <v>SAÍDA</v>
      </c>
      <c r="C2230" t="str">
        <f t="shared" si="440"/>
        <v>PIX</v>
      </c>
      <c r="D2230" t="str">
        <f>"34047"</f>
        <v>34047</v>
      </c>
      <c r="E2230" t="str">
        <f t="shared" si="441"/>
        <v>1</v>
      </c>
      <c r="F2230" t="str">
        <f t="shared" si="429"/>
        <v>COM</v>
      </c>
      <c r="G2230" t="str">
        <f>"ANDERSON PEREIRA DOS SANTOS (746)"</f>
        <v>ANDERSON PEREIRA DOS SANTOS (746)</v>
      </c>
      <c r="H2230" t="str">
        <f>"Serv.Prest. 23/02/2026 a 01/03/2026 - PIX: CPF - CHAVE: 079.930.865-07"</f>
        <v>Serv.Prest. 23/02/2026 a 01/03/2026 - PIX: CPF - CHAVE: 079.930.865-07</v>
      </c>
      <c r="I2230" t="str">
        <f t="shared" si="439"/>
        <v>13/03/2026</v>
      </c>
      <c r="J2230" t="str">
        <f t="shared" ref="J2230:J2293" si="445">("03/03/2026")</f>
        <v>03/03/2026</v>
      </c>
      <c r="K2230" t="str">
        <f>("13/03/2026")</f>
        <v>13/03/2026</v>
      </c>
      <c r="L2230">
        <v>1180</v>
      </c>
      <c r="M2230">
        <v>1180</v>
      </c>
      <c r="N2230">
        <v>109</v>
      </c>
      <c r="O2230" t="str">
        <f>"PAGAMENTO DE ENTREGADORES"</f>
        <v>PAGAMENTO DE ENTREGADORES</v>
      </c>
      <c r="P2230">
        <v>1180</v>
      </c>
      <c r="S2230" t="str">
        <f>"BANCO C6 (149)"</f>
        <v>BANCO C6 (149)</v>
      </c>
      <c r="T2230">
        <v>30753</v>
      </c>
      <c r="U2230">
        <v>34047</v>
      </c>
      <c r="V2230" t="s">
        <v>37</v>
      </c>
    </row>
    <row r="2231" spans="1:22">
      <c r="A2231" t="str">
        <f t="shared" si="430"/>
        <v>13/03/2026</v>
      </c>
      <c r="B2231" t="str">
        <f t="shared" si="438"/>
        <v>SAÍDA</v>
      </c>
      <c r="C2231" t="str">
        <f t="shared" si="440"/>
        <v>PIX</v>
      </c>
      <c r="D2231" t="str">
        <f>"34047"</f>
        <v>34047</v>
      </c>
      <c r="E2231" t="str">
        <f t="shared" si="441"/>
        <v>1</v>
      </c>
      <c r="F2231" t="str">
        <f t="shared" si="429"/>
        <v>COM</v>
      </c>
      <c r="G2231" t="str">
        <f>"ANDERSON PEREIRA DOS SANTOS (746)"</f>
        <v>ANDERSON PEREIRA DOS SANTOS (746)</v>
      </c>
      <c r="H2231" t="s">
        <v>503</v>
      </c>
      <c r="I2231" t="str">
        <f t="shared" si="439"/>
        <v>13/03/2026</v>
      </c>
      <c r="J2231" t="str">
        <f t="shared" si="445"/>
        <v>03/03/2026</v>
      </c>
      <c r="K2231">
        <v>46094</v>
      </c>
      <c r="N2231">
        <v>109</v>
      </c>
      <c r="O2231" t="s">
        <v>27</v>
      </c>
      <c r="Q2231">
        <v>254.52</v>
      </c>
      <c r="R2231" t="str">
        <f>"FARMÁCIA INDIANA LJ 211 (10168)"</f>
        <v>FARMÁCIA INDIANA LJ 211 (10168)</v>
      </c>
      <c r="S2231" t="s">
        <v>37</v>
      </c>
      <c r="T2231">
        <v>30753</v>
      </c>
      <c r="U2231">
        <v>34047</v>
      </c>
      <c r="V2231" t="s">
        <v>37</v>
      </c>
    </row>
    <row r="2232" spans="1:22">
      <c r="A2232" t="str">
        <f t="shared" si="430"/>
        <v>13/03/2026</v>
      </c>
      <c r="B2232" t="str">
        <f t="shared" si="438"/>
        <v>SAÍDA</v>
      </c>
      <c r="C2232" t="str">
        <f t="shared" si="440"/>
        <v>PIX</v>
      </c>
      <c r="D2232" t="str">
        <f>"34047"</f>
        <v>34047</v>
      </c>
      <c r="E2232" t="str">
        <f t="shared" si="441"/>
        <v>1</v>
      </c>
      <c r="F2232" t="str">
        <f t="shared" si="429"/>
        <v>COM</v>
      </c>
      <c r="G2232" t="str">
        <f>"ANDERSON PEREIRA DOS SANTOS (746)"</f>
        <v>ANDERSON PEREIRA DOS SANTOS (746)</v>
      </c>
      <c r="H2232" t="s">
        <v>503</v>
      </c>
      <c r="I2232" t="str">
        <f t="shared" si="439"/>
        <v>13/03/2026</v>
      </c>
      <c r="J2232" t="str">
        <f t="shared" si="445"/>
        <v>03/03/2026</v>
      </c>
      <c r="K2232">
        <v>46094</v>
      </c>
      <c r="N2232">
        <v>109</v>
      </c>
      <c r="O2232" t="s">
        <v>27</v>
      </c>
      <c r="Q2232">
        <v>555.30999999999995</v>
      </c>
      <c r="R2232" t="str">
        <f>"FARMÁCIA INDIANA LJ 236 (10169)"</f>
        <v>FARMÁCIA INDIANA LJ 236 (10169)</v>
      </c>
      <c r="S2232" t="s">
        <v>37</v>
      </c>
      <c r="T2232">
        <v>30753</v>
      </c>
      <c r="U2232">
        <v>34047</v>
      </c>
      <c r="V2232" t="s">
        <v>37</v>
      </c>
    </row>
    <row r="2233" spans="1:22">
      <c r="A2233" t="str">
        <f t="shared" si="430"/>
        <v>13/03/2026</v>
      </c>
      <c r="B2233" t="str">
        <f t="shared" si="438"/>
        <v>SAÍDA</v>
      </c>
      <c r="C2233" t="str">
        <f t="shared" si="440"/>
        <v>PIX</v>
      </c>
      <c r="D2233" t="str">
        <f>"34047"</f>
        <v>34047</v>
      </c>
      <c r="E2233" t="str">
        <f t="shared" si="441"/>
        <v>1</v>
      </c>
      <c r="F2233" t="str">
        <f t="shared" si="429"/>
        <v>COM</v>
      </c>
      <c r="G2233" t="str">
        <f>"ANDERSON PEREIRA DOS SANTOS (746)"</f>
        <v>ANDERSON PEREIRA DOS SANTOS (746)</v>
      </c>
      <c r="H2233" t="s">
        <v>503</v>
      </c>
      <c r="I2233" t="str">
        <f t="shared" si="439"/>
        <v>13/03/2026</v>
      </c>
      <c r="J2233" t="str">
        <f t="shared" si="445"/>
        <v>03/03/2026</v>
      </c>
      <c r="K2233">
        <v>46094</v>
      </c>
      <c r="N2233">
        <v>109</v>
      </c>
      <c r="O2233" t="s">
        <v>27</v>
      </c>
      <c r="Q2233">
        <v>370.17</v>
      </c>
      <c r="R2233" t="str">
        <f>"FARMÁCIA INDIANA LJ 292 (10282)"</f>
        <v>FARMÁCIA INDIANA LJ 292 (10282)</v>
      </c>
      <c r="S2233" t="s">
        <v>37</v>
      </c>
      <c r="T2233">
        <v>30753</v>
      </c>
      <c r="U2233">
        <v>34047</v>
      </c>
      <c r="V2233" t="s">
        <v>37</v>
      </c>
    </row>
    <row r="2234" spans="1:22">
      <c r="A2234" t="str">
        <f t="shared" si="430"/>
        <v>13/03/2026</v>
      </c>
      <c r="B2234" t="str">
        <f t="shared" si="438"/>
        <v>SAÍDA</v>
      </c>
      <c r="C2234" t="str">
        <f t="shared" si="440"/>
        <v>PIX</v>
      </c>
      <c r="D2234" t="str">
        <f>"34048"</f>
        <v>34048</v>
      </c>
      <c r="E2234" t="str">
        <f t="shared" si="441"/>
        <v>1</v>
      </c>
      <c r="F2234" t="str">
        <f t="shared" si="429"/>
        <v>COM</v>
      </c>
      <c r="G2234" t="str">
        <f>"CLEIDIVAN SALOMÃO DOS SANTOS (982)"</f>
        <v>CLEIDIVAN SALOMÃO DOS SANTOS (982)</v>
      </c>
      <c r="H2234" t="str">
        <f>"Serv.Prest. 23/02/2026 a 01/03/2026 - PIX: CELULAR - CHAVE: (27) 99657-5904"</f>
        <v>Serv.Prest. 23/02/2026 a 01/03/2026 - PIX: CELULAR - CHAVE: (27) 99657-5904</v>
      </c>
      <c r="I2234" t="str">
        <f t="shared" si="439"/>
        <v>13/03/2026</v>
      </c>
      <c r="J2234" t="str">
        <f t="shared" si="445"/>
        <v>03/03/2026</v>
      </c>
      <c r="K2234" t="str">
        <f>("13/03/2026")</f>
        <v>13/03/2026</v>
      </c>
      <c r="L2234">
        <v>968</v>
      </c>
      <c r="M2234">
        <v>968</v>
      </c>
      <c r="N2234">
        <v>109</v>
      </c>
      <c r="O2234" t="str">
        <f>"PAGAMENTO DE ENTREGADORES"</f>
        <v>PAGAMENTO DE ENTREGADORES</v>
      </c>
      <c r="P2234">
        <v>968</v>
      </c>
      <c r="S2234" t="str">
        <f>"BANCO C6 (149)"</f>
        <v>BANCO C6 (149)</v>
      </c>
      <c r="T2234">
        <v>30754</v>
      </c>
      <c r="U2234">
        <v>34048</v>
      </c>
      <c r="V2234" t="s">
        <v>37</v>
      </c>
    </row>
    <row r="2235" spans="1:22">
      <c r="A2235" t="str">
        <f t="shared" si="430"/>
        <v>13/03/2026</v>
      </c>
      <c r="B2235" t="str">
        <f t="shared" si="438"/>
        <v>SAÍDA</v>
      </c>
      <c r="C2235" t="str">
        <f t="shared" si="440"/>
        <v>PIX</v>
      </c>
      <c r="D2235" t="str">
        <f>"34048"</f>
        <v>34048</v>
      </c>
      <c r="E2235" t="str">
        <f t="shared" si="441"/>
        <v>1</v>
      </c>
      <c r="F2235" t="str">
        <f t="shared" si="429"/>
        <v>COM</v>
      </c>
      <c r="G2235" t="str">
        <f>"CLEIDIVAN SALOMÃO DOS SANTOS (982)"</f>
        <v>CLEIDIVAN SALOMÃO DOS SANTOS (982)</v>
      </c>
      <c r="H2235" t="s">
        <v>685</v>
      </c>
      <c r="I2235" t="str">
        <f t="shared" si="439"/>
        <v>13/03/2026</v>
      </c>
      <c r="J2235" t="str">
        <f t="shared" si="445"/>
        <v>03/03/2026</v>
      </c>
      <c r="K2235">
        <v>46094</v>
      </c>
      <c r="N2235">
        <v>109</v>
      </c>
      <c r="O2235" t="s">
        <v>27</v>
      </c>
      <c r="Q2235">
        <v>129.03</v>
      </c>
      <c r="R2235" t="str">
        <f>"FARMÁCIA INDIANA LJ 243 (10142)"</f>
        <v>FARMÁCIA INDIANA LJ 243 (10142)</v>
      </c>
      <c r="S2235" t="s">
        <v>37</v>
      </c>
      <c r="T2235">
        <v>30754</v>
      </c>
      <c r="U2235">
        <v>34048</v>
      </c>
      <c r="V2235" t="s">
        <v>37</v>
      </c>
    </row>
    <row r="2236" spans="1:22">
      <c r="A2236" t="str">
        <f t="shared" si="430"/>
        <v>13/03/2026</v>
      </c>
      <c r="B2236" t="str">
        <f t="shared" si="438"/>
        <v>SAÍDA</v>
      </c>
      <c r="C2236" t="str">
        <f t="shared" si="440"/>
        <v>PIX</v>
      </c>
      <c r="D2236" t="str">
        <f>"34048"</f>
        <v>34048</v>
      </c>
      <c r="E2236" t="str">
        <f t="shared" si="441"/>
        <v>1</v>
      </c>
      <c r="F2236" t="str">
        <f t="shared" si="429"/>
        <v>COM</v>
      </c>
      <c r="G2236" t="str">
        <f>"CLEIDIVAN SALOMÃO DOS SANTOS (982)"</f>
        <v>CLEIDIVAN SALOMÃO DOS SANTOS (982)</v>
      </c>
      <c r="H2236" t="s">
        <v>685</v>
      </c>
      <c r="I2236" t="str">
        <f t="shared" si="439"/>
        <v>13/03/2026</v>
      </c>
      <c r="J2236" t="str">
        <f t="shared" si="445"/>
        <v>03/03/2026</v>
      </c>
      <c r="K2236">
        <v>46094</v>
      </c>
      <c r="N2236">
        <v>109</v>
      </c>
      <c r="O2236" t="s">
        <v>27</v>
      </c>
      <c r="Q2236">
        <v>838.97</v>
      </c>
      <c r="R2236" t="str">
        <f>"FARMÁCIA INDIANA LJ 235 (10190)"</f>
        <v>FARMÁCIA INDIANA LJ 235 (10190)</v>
      </c>
      <c r="S2236" t="s">
        <v>37</v>
      </c>
      <c r="T2236">
        <v>30754</v>
      </c>
      <c r="U2236">
        <v>34048</v>
      </c>
      <c r="V2236" t="s">
        <v>37</v>
      </c>
    </row>
    <row r="2237" spans="1:22">
      <c r="A2237" t="str">
        <f t="shared" si="430"/>
        <v>13/03/2026</v>
      </c>
      <c r="B2237" t="str">
        <f t="shared" si="438"/>
        <v>SAÍDA</v>
      </c>
      <c r="C2237" t="str">
        <f t="shared" si="440"/>
        <v>PIX</v>
      </c>
      <c r="D2237" t="str">
        <f>"34049"</f>
        <v>34049</v>
      </c>
      <c r="E2237" t="str">
        <f t="shared" si="441"/>
        <v>1</v>
      </c>
      <c r="F2237" t="str">
        <f t="shared" si="429"/>
        <v>COM</v>
      </c>
      <c r="G2237" t="str">
        <f>"DANILO ROCHA SILVA (162)"</f>
        <v>DANILO ROCHA SILVA (162)</v>
      </c>
      <c r="H2237" t="str">
        <f>"Serv.Prest. 23/02/2026 a 01/03/2026 - PIX: CELULAR - CHAVE: (27) 99811-6850"</f>
        <v>Serv.Prest. 23/02/2026 a 01/03/2026 - PIX: CELULAR - CHAVE: (27) 99811-6850</v>
      </c>
      <c r="I2237" t="str">
        <f t="shared" si="439"/>
        <v>13/03/2026</v>
      </c>
      <c r="J2237" t="str">
        <f t="shared" si="445"/>
        <v>03/03/2026</v>
      </c>
      <c r="K2237" t="str">
        <f>("13/03/2026")</f>
        <v>13/03/2026</v>
      </c>
      <c r="L2237">
        <v>1417.5</v>
      </c>
      <c r="M2237">
        <v>1417.5</v>
      </c>
      <c r="N2237">
        <v>109</v>
      </c>
      <c r="O2237" t="str">
        <f>"PAGAMENTO DE ENTREGADORES"</f>
        <v>PAGAMENTO DE ENTREGADORES</v>
      </c>
      <c r="P2237">
        <v>1417.5</v>
      </c>
      <c r="S2237" t="str">
        <f>"BANCO C6 (149)"</f>
        <v>BANCO C6 (149)</v>
      </c>
      <c r="T2237">
        <v>30755</v>
      </c>
      <c r="U2237">
        <v>34049</v>
      </c>
      <c r="V2237" t="s">
        <v>37</v>
      </c>
    </row>
    <row r="2238" spans="1:22">
      <c r="A2238" t="str">
        <f t="shared" si="430"/>
        <v>13/03/2026</v>
      </c>
      <c r="B2238" t="str">
        <f t="shared" si="438"/>
        <v>SAÍDA</v>
      </c>
      <c r="C2238" t="str">
        <f t="shared" si="440"/>
        <v>PIX</v>
      </c>
      <c r="D2238" t="str">
        <f>"34049"</f>
        <v>34049</v>
      </c>
      <c r="E2238" t="str">
        <f t="shared" si="441"/>
        <v>1</v>
      </c>
      <c r="F2238" t="str">
        <f t="shared" si="429"/>
        <v>COM</v>
      </c>
      <c r="G2238" t="str">
        <f>"DANILO ROCHA SILVA (162)"</f>
        <v>DANILO ROCHA SILVA (162)</v>
      </c>
      <c r="H2238" t="s">
        <v>686</v>
      </c>
      <c r="I2238" t="str">
        <f t="shared" si="439"/>
        <v>13/03/2026</v>
      </c>
      <c r="J2238" t="str">
        <f t="shared" si="445"/>
        <v>03/03/2026</v>
      </c>
      <c r="K2238">
        <v>46094</v>
      </c>
      <c r="N2238">
        <v>109</v>
      </c>
      <c r="O2238" t="s">
        <v>27</v>
      </c>
      <c r="Q2238">
        <v>1417.5</v>
      </c>
      <c r="R2238" t="str">
        <f>"FARMÁCIA INDIANA LJ 181 (10078)"</f>
        <v>FARMÁCIA INDIANA LJ 181 (10078)</v>
      </c>
      <c r="S2238" t="s">
        <v>37</v>
      </c>
      <c r="T2238">
        <v>30755</v>
      </c>
      <c r="U2238">
        <v>34049</v>
      </c>
      <c r="V2238" t="s">
        <v>37</v>
      </c>
    </row>
    <row r="2239" spans="1:22">
      <c r="A2239" t="str">
        <f t="shared" si="430"/>
        <v>13/03/2026</v>
      </c>
      <c r="B2239" t="str">
        <f t="shared" si="438"/>
        <v>SAÍDA</v>
      </c>
      <c r="C2239" t="str">
        <f t="shared" si="440"/>
        <v>PIX</v>
      </c>
      <c r="D2239" t="str">
        <f>"34050"</f>
        <v>34050</v>
      </c>
      <c r="E2239" t="str">
        <f t="shared" si="441"/>
        <v>1</v>
      </c>
      <c r="F2239" t="str">
        <f t="shared" si="429"/>
        <v>COM</v>
      </c>
      <c r="G2239" t="str">
        <f>"GABRIEL PRATES DE OLIVEIRA (511)"</f>
        <v>GABRIEL PRATES DE OLIVEIRA (511)</v>
      </c>
      <c r="H2239" t="str">
        <f>"Serv.Prest. 23/02/2026 a 01/03/2026 - PIX: CELULAR - CHAVE: (27) 99869-8144"</f>
        <v>Serv.Prest. 23/02/2026 a 01/03/2026 - PIX: CELULAR - CHAVE: (27) 99869-8144</v>
      </c>
      <c r="I2239" t="str">
        <f t="shared" si="439"/>
        <v>13/03/2026</v>
      </c>
      <c r="J2239" t="str">
        <f t="shared" si="445"/>
        <v>03/03/2026</v>
      </c>
      <c r="K2239" t="str">
        <f>("13/03/2026")</f>
        <v>13/03/2026</v>
      </c>
      <c r="L2239">
        <v>864</v>
      </c>
      <c r="M2239">
        <v>864</v>
      </c>
      <c r="N2239">
        <v>109</v>
      </c>
      <c r="O2239" t="str">
        <f>"PAGAMENTO DE ENTREGADORES"</f>
        <v>PAGAMENTO DE ENTREGADORES</v>
      </c>
      <c r="P2239">
        <v>864</v>
      </c>
      <c r="S2239" t="str">
        <f>"BANCO C6 (149)"</f>
        <v>BANCO C6 (149)</v>
      </c>
      <c r="T2239">
        <v>30756</v>
      </c>
      <c r="U2239">
        <v>34050</v>
      </c>
      <c r="V2239" t="s">
        <v>37</v>
      </c>
    </row>
    <row r="2240" spans="1:22">
      <c r="A2240" t="str">
        <f t="shared" si="430"/>
        <v>13/03/2026</v>
      </c>
      <c r="B2240" t="str">
        <f t="shared" si="438"/>
        <v>SAÍDA</v>
      </c>
      <c r="C2240" t="str">
        <f t="shared" si="440"/>
        <v>PIX</v>
      </c>
      <c r="D2240" t="str">
        <f>"34050"</f>
        <v>34050</v>
      </c>
      <c r="E2240" t="str">
        <f t="shared" si="441"/>
        <v>1</v>
      </c>
      <c r="F2240" t="str">
        <f t="shared" si="429"/>
        <v>COM</v>
      </c>
      <c r="G2240" t="str">
        <f>"GABRIEL PRATES DE OLIVEIRA (511)"</f>
        <v>GABRIEL PRATES DE OLIVEIRA (511)</v>
      </c>
      <c r="H2240" t="s">
        <v>687</v>
      </c>
      <c r="I2240" t="str">
        <f t="shared" si="439"/>
        <v>13/03/2026</v>
      </c>
      <c r="J2240" t="str">
        <f t="shared" si="445"/>
        <v>03/03/2026</v>
      </c>
      <c r="K2240">
        <v>46094</v>
      </c>
      <c r="N2240">
        <v>109</v>
      </c>
      <c r="O2240" t="s">
        <v>27</v>
      </c>
      <c r="Q2240">
        <v>864</v>
      </c>
      <c r="R2240" t="str">
        <f>"FARMÁCIA INDIANA LJ 163 (10072)"</f>
        <v>FARMÁCIA INDIANA LJ 163 (10072)</v>
      </c>
      <c r="S2240" t="s">
        <v>37</v>
      </c>
      <c r="T2240">
        <v>30756</v>
      </c>
      <c r="U2240">
        <v>34050</v>
      </c>
      <c r="V2240" t="s">
        <v>37</v>
      </c>
    </row>
    <row r="2241" spans="1:22">
      <c r="A2241" t="str">
        <f t="shared" si="430"/>
        <v>13/03/2026</v>
      </c>
      <c r="B2241" t="str">
        <f t="shared" si="438"/>
        <v>SAÍDA</v>
      </c>
      <c r="C2241" t="str">
        <f t="shared" si="440"/>
        <v>PIX</v>
      </c>
      <c r="D2241" t="str">
        <f>"34051"</f>
        <v>34051</v>
      </c>
      <c r="E2241" t="str">
        <f t="shared" si="441"/>
        <v>1</v>
      </c>
      <c r="F2241" t="str">
        <f t="shared" si="429"/>
        <v>COM</v>
      </c>
      <c r="G2241" t="str">
        <f>"JACQUES SEBIM SANTNA (918)"</f>
        <v>JACQUES SEBIM SANTNA (918)</v>
      </c>
      <c r="H2241" t="str">
        <f>"Serv.Prest. 23/02/2026 a 01/03/2026 - PIX: CNPJ - CHAVE: 40.359.224/0001-09"</f>
        <v>Serv.Prest. 23/02/2026 a 01/03/2026 - PIX: CNPJ - CHAVE: 40.359.224/0001-09</v>
      </c>
      <c r="I2241" t="str">
        <f t="shared" si="439"/>
        <v>13/03/2026</v>
      </c>
      <c r="J2241" t="str">
        <f t="shared" si="445"/>
        <v>03/03/2026</v>
      </c>
      <c r="K2241" t="str">
        <f>("13/03/2026")</f>
        <v>13/03/2026</v>
      </c>
      <c r="L2241">
        <v>784</v>
      </c>
      <c r="M2241">
        <v>784</v>
      </c>
      <c r="N2241">
        <v>109</v>
      </c>
      <c r="O2241" t="str">
        <f>"PAGAMENTO DE ENTREGADORES"</f>
        <v>PAGAMENTO DE ENTREGADORES</v>
      </c>
      <c r="P2241">
        <v>784</v>
      </c>
      <c r="S2241" t="str">
        <f>"BANCO C6 (149)"</f>
        <v>BANCO C6 (149)</v>
      </c>
      <c r="T2241">
        <v>30757</v>
      </c>
      <c r="U2241">
        <v>34051</v>
      </c>
      <c r="V2241" t="s">
        <v>37</v>
      </c>
    </row>
    <row r="2242" spans="1:22">
      <c r="A2242" t="str">
        <f t="shared" si="430"/>
        <v>13/03/2026</v>
      </c>
      <c r="B2242" t="str">
        <f t="shared" si="438"/>
        <v>SAÍDA</v>
      </c>
      <c r="C2242" t="str">
        <f t="shared" si="440"/>
        <v>PIX</v>
      </c>
      <c r="D2242" t="str">
        <f>"34051"</f>
        <v>34051</v>
      </c>
      <c r="E2242" t="str">
        <f t="shared" si="441"/>
        <v>1</v>
      </c>
      <c r="F2242" t="str">
        <f t="shared" ref="F2242:F2305" si="446">"COM"</f>
        <v>COM</v>
      </c>
      <c r="G2242" t="str">
        <f>"JACQUES SEBIM SANTNA (918)"</f>
        <v>JACQUES SEBIM SANTNA (918)</v>
      </c>
      <c r="H2242" t="s">
        <v>439</v>
      </c>
      <c r="I2242" t="str">
        <f t="shared" si="439"/>
        <v>13/03/2026</v>
      </c>
      <c r="J2242" t="str">
        <f t="shared" si="445"/>
        <v>03/03/2026</v>
      </c>
      <c r="K2242">
        <v>46094</v>
      </c>
      <c r="N2242">
        <v>109</v>
      </c>
      <c r="O2242" t="s">
        <v>27</v>
      </c>
      <c r="Q2242">
        <v>784</v>
      </c>
      <c r="R2242" t="str">
        <f>"FARMÁCIA INDIANA LJ 188 (10176)"</f>
        <v>FARMÁCIA INDIANA LJ 188 (10176)</v>
      </c>
      <c r="S2242" t="s">
        <v>37</v>
      </c>
      <c r="T2242">
        <v>30757</v>
      </c>
      <c r="U2242">
        <v>34051</v>
      </c>
      <c r="V2242" t="s">
        <v>37</v>
      </c>
    </row>
    <row r="2243" spans="1:22">
      <c r="A2243" t="str">
        <f t="shared" si="430"/>
        <v>13/03/2026</v>
      </c>
      <c r="B2243" t="str">
        <f t="shared" si="438"/>
        <v>SAÍDA</v>
      </c>
      <c r="C2243" t="str">
        <f t="shared" si="440"/>
        <v>PIX</v>
      </c>
      <c r="D2243" t="str">
        <f>"34052"</f>
        <v>34052</v>
      </c>
      <c r="E2243" t="str">
        <f t="shared" si="441"/>
        <v>1</v>
      </c>
      <c r="F2243" t="str">
        <f t="shared" si="446"/>
        <v>COM</v>
      </c>
      <c r="G2243" t="str">
        <f>"JAIR BRISON JUNIOR (964)"</f>
        <v>JAIR BRISON JUNIOR (964)</v>
      </c>
      <c r="H2243" t="str">
        <f>"Serv.Prest. 23/02/2026 a 01/03/2026 - PIX: CPF - CHAVE: 096.116.707-61"</f>
        <v>Serv.Prest. 23/02/2026 a 01/03/2026 - PIX: CPF - CHAVE: 096.116.707-61</v>
      </c>
      <c r="I2243" t="str">
        <f t="shared" si="439"/>
        <v>13/03/2026</v>
      </c>
      <c r="J2243" t="str">
        <f t="shared" si="445"/>
        <v>03/03/2026</v>
      </c>
      <c r="K2243" t="str">
        <f>("13/03/2026")</f>
        <v>13/03/2026</v>
      </c>
      <c r="L2243">
        <v>825</v>
      </c>
      <c r="M2243">
        <v>825</v>
      </c>
      <c r="N2243">
        <v>109</v>
      </c>
      <c r="O2243" t="str">
        <f>"PAGAMENTO DE ENTREGADORES"</f>
        <v>PAGAMENTO DE ENTREGADORES</v>
      </c>
      <c r="P2243">
        <v>825</v>
      </c>
      <c r="S2243" t="str">
        <f>"BANCO C6 (149)"</f>
        <v>BANCO C6 (149)</v>
      </c>
      <c r="T2243">
        <v>30758</v>
      </c>
      <c r="U2243">
        <v>34052</v>
      </c>
      <c r="V2243" t="s">
        <v>37</v>
      </c>
    </row>
    <row r="2244" spans="1:22">
      <c r="A2244" t="str">
        <f t="shared" si="430"/>
        <v>13/03/2026</v>
      </c>
      <c r="B2244" t="str">
        <f t="shared" si="438"/>
        <v>SAÍDA</v>
      </c>
      <c r="C2244" t="str">
        <f t="shared" si="440"/>
        <v>PIX</v>
      </c>
      <c r="D2244" t="str">
        <f>"34052"</f>
        <v>34052</v>
      </c>
      <c r="E2244" t="str">
        <f t="shared" si="441"/>
        <v>1</v>
      </c>
      <c r="F2244" t="str">
        <f t="shared" si="446"/>
        <v>COM</v>
      </c>
      <c r="G2244" t="str">
        <f>"JAIR BRISON JUNIOR (964)"</f>
        <v>JAIR BRISON JUNIOR (964)</v>
      </c>
      <c r="H2244" t="s">
        <v>688</v>
      </c>
      <c r="I2244" t="str">
        <f t="shared" si="439"/>
        <v>13/03/2026</v>
      </c>
      <c r="J2244" t="str">
        <f t="shared" si="445"/>
        <v>03/03/2026</v>
      </c>
      <c r="K2244">
        <v>46094</v>
      </c>
      <c r="N2244">
        <v>109</v>
      </c>
      <c r="O2244" t="s">
        <v>27</v>
      </c>
      <c r="Q2244">
        <v>825</v>
      </c>
      <c r="R2244" t="str">
        <f>"FARMÁCIA INDIANA LJ 119 (10053)"</f>
        <v>FARMÁCIA INDIANA LJ 119 (10053)</v>
      </c>
      <c r="S2244" t="s">
        <v>37</v>
      </c>
      <c r="T2244">
        <v>30758</v>
      </c>
      <c r="U2244">
        <v>34052</v>
      </c>
      <c r="V2244" t="s">
        <v>37</v>
      </c>
    </row>
    <row r="2245" spans="1:22">
      <c r="A2245" t="str">
        <f t="shared" si="430"/>
        <v>13/03/2026</v>
      </c>
      <c r="B2245" t="str">
        <f t="shared" si="438"/>
        <v>SAÍDA</v>
      </c>
      <c r="C2245" t="str">
        <f t="shared" si="440"/>
        <v>PIX</v>
      </c>
      <c r="D2245" t="str">
        <f>"34053"</f>
        <v>34053</v>
      </c>
      <c r="E2245" t="str">
        <f t="shared" si="441"/>
        <v>1</v>
      </c>
      <c r="F2245" t="str">
        <f t="shared" si="446"/>
        <v>COM</v>
      </c>
      <c r="G2245" t="str">
        <f>"VINÍCIUS NEVES PEREIRA (776)"</f>
        <v>VINÍCIUS NEVES PEREIRA (776)</v>
      </c>
      <c r="H2245" t="str">
        <f>"Serv.Prest. 23/02/2026 a 01/03/2026 - PIX: CPF - CHAVE: 121.963.507-37"</f>
        <v>Serv.Prest. 23/02/2026 a 01/03/2026 - PIX: CPF - CHAVE: 121.963.507-37</v>
      </c>
      <c r="I2245" t="str">
        <f t="shared" si="439"/>
        <v>13/03/2026</v>
      </c>
      <c r="J2245" t="str">
        <f t="shared" si="445"/>
        <v>03/03/2026</v>
      </c>
      <c r="K2245" t="str">
        <f>("13/03/2026")</f>
        <v>13/03/2026</v>
      </c>
      <c r="L2245">
        <v>730.75</v>
      </c>
      <c r="M2245">
        <v>730.75</v>
      </c>
      <c r="N2245">
        <v>109</v>
      </c>
      <c r="O2245" t="str">
        <f>"PAGAMENTO DE ENTREGADORES"</f>
        <v>PAGAMENTO DE ENTREGADORES</v>
      </c>
      <c r="P2245">
        <v>730.75</v>
      </c>
      <c r="S2245" t="str">
        <f>"BANCO C6 (149)"</f>
        <v>BANCO C6 (149)</v>
      </c>
      <c r="T2245">
        <v>30759</v>
      </c>
      <c r="U2245">
        <v>34053</v>
      </c>
      <c r="V2245" t="s">
        <v>37</v>
      </c>
    </row>
    <row r="2246" spans="1:22">
      <c r="A2246" t="str">
        <f t="shared" si="430"/>
        <v>13/03/2026</v>
      </c>
      <c r="B2246" t="str">
        <f t="shared" si="438"/>
        <v>SAÍDA</v>
      </c>
      <c r="C2246" t="str">
        <f t="shared" si="440"/>
        <v>PIX</v>
      </c>
      <c r="D2246" t="str">
        <f>"34053"</f>
        <v>34053</v>
      </c>
      <c r="E2246" t="str">
        <f t="shared" si="441"/>
        <v>1</v>
      </c>
      <c r="F2246" t="str">
        <f t="shared" si="446"/>
        <v>COM</v>
      </c>
      <c r="G2246" t="str">
        <f>"VINÍCIUS NEVES PEREIRA (776)"</f>
        <v>VINÍCIUS NEVES PEREIRA (776)</v>
      </c>
      <c r="H2246" t="s">
        <v>529</v>
      </c>
      <c r="I2246" t="str">
        <f t="shared" si="439"/>
        <v>13/03/2026</v>
      </c>
      <c r="J2246" t="str">
        <f t="shared" si="445"/>
        <v>03/03/2026</v>
      </c>
      <c r="K2246">
        <v>46094</v>
      </c>
      <c r="N2246">
        <v>109</v>
      </c>
      <c r="O2246" t="s">
        <v>27</v>
      </c>
      <c r="Q2246">
        <v>730.75</v>
      </c>
      <c r="R2246" t="str">
        <f>"FARMÁCIA INDIANA LJ 221 (10093)"</f>
        <v>FARMÁCIA INDIANA LJ 221 (10093)</v>
      </c>
      <c r="S2246" t="s">
        <v>37</v>
      </c>
      <c r="T2246">
        <v>30759</v>
      </c>
      <c r="U2246">
        <v>34053</v>
      </c>
      <c r="V2246" t="s">
        <v>37</v>
      </c>
    </row>
    <row r="2247" spans="1:22">
      <c r="A2247" t="str">
        <f t="shared" si="430"/>
        <v>13/03/2026</v>
      </c>
      <c r="B2247" t="str">
        <f t="shared" si="438"/>
        <v>SAÍDA</v>
      </c>
      <c r="C2247" t="str">
        <f t="shared" si="440"/>
        <v>PIX</v>
      </c>
      <c r="D2247" t="str">
        <f>"34057"</f>
        <v>34057</v>
      </c>
      <c r="E2247" t="str">
        <f t="shared" si="441"/>
        <v>1</v>
      </c>
      <c r="F2247" t="str">
        <f t="shared" si="446"/>
        <v>COM</v>
      </c>
      <c r="G2247" t="str">
        <f>"DANIELA SANTOS BIZERRA (1259)"</f>
        <v>DANIELA SANTOS BIZERRA (1259)</v>
      </c>
      <c r="H2247" t="str">
        <f>"Serv.Prest. 23/02/2026 a 01/03/2026 - PIX: CELULAR - CHAVE: (00) 00000-0000"</f>
        <v>Serv.Prest. 23/02/2026 a 01/03/2026 - PIX: CELULAR - CHAVE: (00) 00000-0000</v>
      </c>
      <c r="I2247" t="str">
        <f t="shared" si="439"/>
        <v>13/03/2026</v>
      </c>
      <c r="J2247" t="str">
        <f t="shared" si="445"/>
        <v>03/03/2026</v>
      </c>
      <c r="K2247" t="str">
        <f>("13/03/2026")</f>
        <v>13/03/2026</v>
      </c>
      <c r="L2247">
        <v>648</v>
      </c>
      <c r="M2247">
        <v>648</v>
      </c>
      <c r="N2247">
        <v>109</v>
      </c>
      <c r="O2247" t="str">
        <f>"PAGAMENTO DE ENTREGADORES"</f>
        <v>PAGAMENTO DE ENTREGADORES</v>
      </c>
      <c r="P2247">
        <v>648</v>
      </c>
      <c r="S2247" t="str">
        <f>"BANCO C6 (149)"</f>
        <v>BANCO C6 (149)</v>
      </c>
      <c r="T2247">
        <v>30760</v>
      </c>
      <c r="U2247">
        <v>34057</v>
      </c>
      <c r="V2247" t="s">
        <v>37</v>
      </c>
    </row>
    <row r="2248" spans="1:22">
      <c r="A2248" t="str">
        <f t="shared" si="430"/>
        <v>13/03/2026</v>
      </c>
      <c r="B2248" t="str">
        <f t="shared" si="438"/>
        <v>SAÍDA</v>
      </c>
      <c r="C2248" t="str">
        <f t="shared" si="440"/>
        <v>PIX</v>
      </c>
      <c r="D2248" t="str">
        <f>"34057"</f>
        <v>34057</v>
      </c>
      <c r="E2248" t="str">
        <f t="shared" si="441"/>
        <v>1</v>
      </c>
      <c r="F2248" t="str">
        <f t="shared" si="446"/>
        <v>COM</v>
      </c>
      <c r="G2248" t="str">
        <f>"DANIELA SANTOS BIZERRA (1259)"</f>
        <v>DANIELA SANTOS BIZERRA (1259)</v>
      </c>
      <c r="H2248" t="s">
        <v>689</v>
      </c>
      <c r="I2248" t="str">
        <f t="shared" si="439"/>
        <v>13/03/2026</v>
      </c>
      <c r="J2248" t="str">
        <f t="shared" si="445"/>
        <v>03/03/2026</v>
      </c>
      <c r="K2248">
        <v>46094</v>
      </c>
      <c r="N2248">
        <v>109</v>
      </c>
      <c r="O2248" t="s">
        <v>27</v>
      </c>
      <c r="Q2248">
        <v>563.5</v>
      </c>
      <c r="R2248" t="str">
        <f>"FARMÁCIA INDIANA LJ 65 (10030)"</f>
        <v>FARMÁCIA INDIANA LJ 65 (10030)</v>
      </c>
      <c r="S2248" t="s">
        <v>37</v>
      </c>
      <c r="T2248">
        <v>30760</v>
      </c>
      <c r="U2248">
        <v>34057</v>
      </c>
      <c r="V2248" t="s">
        <v>37</v>
      </c>
    </row>
    <row r="2249" spans="1:22">
      <c r="A2249" t="str">
        <f t="shared" si="430"/>
        <v>13/03/2026</v>
      </c>
      <c r="B2249" t="str">
        <f t="shared" si="438"/>
        <v>SAÍDA</v>
      </c>
      <c r="C2249" t="str">
        <f t="shared" si="440"/>
        <v>PIX</v>
      </c>
      <c r="D2249" t="str">
        <f>"34057"</f>
        <v>34057</v>
      </c>
      <c r="E2249" t="str">
        <f t="shared" si="441"/>
        <v>1</v>
      </c>
      <c r="F2249" t="str">
        <f t="shared" si="446"/>
        <v>COM</v>
      </c>
      <c r="G2249" t="str">
        <f>"DANIELA SANTOS BIZERRA (1259)"</f>
        <v>DANIELA SANTOS BIZERRA (1259)</v>
      </c>
      <c r="H2249" t="s">
        <v>689</v>
      </c>
      <c r="I2249" t="str">
        <f t="shared" si="439"/>
        <v>13/03/2026</v>
      </c>
      <c r="J2249" t="str">
        <f t="shared" si="445"/>
        <v>03/03/2026</v>
      </c>
      <c r="K2249">
        <v>46094</v>
      </c>
      <c r="N2249">
        <v>109</v>
      </c>
      <c r="O2249" t="s">
        <v>27</v>
      </c>
      <c r="Q2249">
        <v>84.5</v>
      </c>
      <c r="R2249" t="str">
        <f>"FARMÁCIA INDIANA LJ 173 (10075)"</f>
        <v>FARMÁCIA INDIANA LJ 173 (10075)</v>
      </c>
      <c r="S2249" t="s">
        <v>37</v>
      </c>
      <c r="T2249">
        <v>30760</v>
      </c>
      <c r="U2249">
        <v>34057</v>
      </c>
      <c r="V2249" t="s">
        <v>37</v>
      </c>
    </row>
    <row r="2250" spans="1:22">
      <c r="A2250" t="str">
        <f t="shared" si="430"/>
        <v>13/03/2026</v>
      </c>
      <c r="B2250" t="str">
        <f t="shared" si="438"/>
        <v>SAÍDA</v>
      </c>
      <c r="C2250" t="str">
        <f t="shared" si="440"/>
        <v>PIX</v>
      </c>
      <c r="D2250" t="str">
        <f>"34058"</f>
        <v>34058</v>
      </c>
      <c r="E2250" t="str">
        <f t="shared" si="441"/>
        <v>1</v>
      </c>
      <c r="F2250" t="str">
        <f t="shared" si="446"/>
        <v>COM</v>
      </c>
      <c r="G2250" t="str">
        <f>"DIOCLECIO SANDES JOTA (135)"</f>
        <v>DIOCLECIO SANDES JOTA (135)</v>
      </c>
      <c r="H2250" t="str">
        <f>"Serv.Prest. 23/02/2026 a 01/03/2026 - PIX: CELULAR - CHAVE: (73) 99966-7211"</f>
        <v>Serv.Prest. 23/02/2026 a 01/03/2026 - PIX: CELULAR - CHAVE: (73) 99966-7211</v>
      </c>
      <c r="I2250" t="str">
        <f t="shared" si="439"/>
        <v>13/03/2026</v>
      </c>
      <c r="J2250" t="str">
        <f t="shared" si="445"/>
        <v>03/03/2026</v>
      </c>
      <c r="K2250" t="str">
        <f>("13/03/2026")</f>
        <v>13/03/2026</v>
      </c>
      <c r="L2250">
        <v>972</v>
      </c>
      <c r="M2250">
        <v>972</v>
      </c>
      <c r="N2250">
        <v>109</v>
      </c>
      <c r="O2250" t="str">
        <f>"PAGAMENTO DE ENTREGADORES"</f>
        <v>PAGAMENTO DE ENTREGADORES</v>
      </c>
      <c r="P2250">
        <v>972</v>
      </c>
      <c r="S2250" t="str">
        <f>"BANCO C6 (149)"</f>
        <v>BANCO C6 (149)</v>
      </c>
      <c r="T2250">
        <v>30761</v>
      </c>
      <c r="U2250">
        <v>34058</v>
      </c>
      <c r="V2250" t="s">
        <v>37</v>
      </c>
    </row>
    <row r="2251" spans="1:22">
      <c r="A2251" t="str">
        <f t="shared" si="430"/>
        <v>13/03/2026</v>
      </c>
      <c r="B2251" t="str">
        <f t="shared" si="438"/>
        <v>SAÍDA</v>
      </c>
      <c r="C2251" t="str">
        <f t="shared" si="440"/>
        <v>PIX</v>
      </c>
      <c r="D2251" t="str">
        <f>"34058"</f>
        <v>34058</v>
      </c>
      <c r="E2251" t="str">
        <f t="shared" si="441"/>
        <v>1</v>
      </c>
      <c r="F2251" t="str">
        <f t="shared" si="446"/>
        <v>COM</v>
      </c>
      <c r="G2251" t="str">
        <f>"DIOCLECIO SANDES JOTA (135)"</f>
        <v>DIOCLECIO SANDES JOTA (135)</v>
      </c>
      <c r="H2251" t="s">
        <v>690</v>
      </c>
      <c r="I2251" t="str">
        <f t="shared" si="439"/>
        <v>13/03/2026</v>
      </c>
      <c r="J2251" t="str">
        <f t="shared" si="445"/>
        <v>03/03/2026</v>
      </c>
      <c r="K2251">
        <v>46094</v>
      </c>
      <c r="N2251">
        <v>109</v>
      </c>
      <c r="O2251" t="s">
        <v>27</v>
      </c>
      <c r="Q2251">
        <v>972</v>
      </c>
      <c r="R2251" t="str">
        <f>"FARMÁCIA INDIANA LJ 91 (10037)"</f>
        <v>FARMÁCIA INDIANA LJ 91 (10037)</v>
      </c>
      <c r="S2251" t="s">
        <v>37</v>
      </c>
      <c r="T2251">
        <v>30761</v>
      </c>
      <c r="U2251">
        <v>34058</v>
      </c>
      <c r="V2251" t="s">
        <v>37</v>
      </c>
    </row>
    <row r="2252" spans="1:22">
      <c r="A2252" t="str">
        <f t="shared" si="430"/>
        <v>13/03/2026</v>
      </c>
      <c r="B2252" t="str">
        <f t="shared" si="438"/>
        <v>SAÍDA</v>
      </c>
      <c r="C2252" t="str">
        <f t="shared" si="440"/>
        <v>PIX</v>
      </c>
      <c r="D2252" t="str">
        <f>"34059"</f>
        <v>34059</v>
      </c>
      <c r="E2252" t="str">
        <f t="shared" si="441"/>
        <v>1</v>
      </c>
      <c r="F2252" t="str">
        <f t="shared" si="446"/>
        <v>COM</v>
      </c>
      <c r="G2252" t="str">
        <f>"EDNALDO ALMEIDA DE MELO NETO (1128)"</f>
        <v>EDNALDO ALMEIDA DE MELO NETO (1128)</v>
      </c>
      <c r="H2252" t="str">
        <f>"Serv.Prest. 23/02/2026 a 01/03/2026 - PIX: CELULAR - CHAVE: (73) 99192-1028"</f>
        <v>Serv.Prest. 23/02/2026 a 01/03/2026 - PIX: CELULAR - CHAVE: (73) 99192-1028</v>
      </c>
      <c r="I2252" t="str">
        <f t="shared" si="439"/>
        <v>13/03/2026</v>
      </c>
      <c r="J2252" t="str">
        <f t="shared" si="445"/>
        <v>03/03/2026</v>
      </c>
      <c r="K2252" t="str">
        <f>("13/03/2026")</f>
        <v>13/03/2026</v>
      </c>
      <c r="L2252">
        <v>804</v>
      </c>
      <c r="M2252">
        <v>804</v>
      </c>
      <c r="N2252">
        <v>109</v>
      </c>
      <c r="O2252" t="str">
        <f>"PAGAMENTO DE ENTREGADORES"</f>
        <v>PAGAMENTO DE ENTREGADORES</v>
      </c>
      <c r="P2252">
        <v>804</v>
      </c>
      <c r="S2252" t="str">
        <f>"BANCO C6 (149)"</f>
        <v>BANCO C6 (149)</v>
      </c>
      <c r="T2252">
        <v>30762</v>
      </c>
      <c r="U2252">
        <v>34059</v>
      </c>
      <c r="V2252" t="s">
        <v>37</v>
      </c>
    </row>
    <row r="2253" spans="1:22">
      <c r="A2253" t="str">
        <f t="shared" si="430"/>
        <v>13/03/2026</v>
      </c>
      <c r="B2253" t="str">
        <f t="shared" si="438"/>
        <v>SAÍDA</v>
      </c>
      <c r="C2253" t="str">
        <f t="shared" si="440"/>
        <v>PIX</v>
      </c>
      <c r="D2253" t="str">
        <f>"34059"</f>
        <v>34059</v>
      </c>
      <c r="E2253" t="str">
        <f t="shared" si="441"/>
        <v>1</v>
      </c>
      <c r="F2253" t="str">
        <f t="shared" si="446"/>
        <v>COM</v>
      </c>
      <c r="G2253" t="str">
        <f>"EDNALDO ALMEIDA DE MELO NETO (1128)"</f>
        <v>EDNALDO ALMEIDA DE MELO NETO (1128)</v>
      </c>
      <c r="H2253" t="s">
        <v>691</v>
      </c>
      <c r="I2253" t="str">
        <f t="shared" si="439"/>
        <v>13/03/2026</v>
      </c>
      <c r="J2253" t="str">
        <f t="shared" si="445"/>
        <v>03/03/2026</v>
      </c>
      <c r="K2253">
        <v>46094</v>
      </c>
      <c r="N2253">
        <v>109</v>
      </c>
      <c r="O2253" t="s">
        <v>27</v>
      </c>
      <c r="Q2253">
        <v>804</v>
      </c>
      <c r="R2253" t="str">
        <f>"FARMÁCIA INDIANA LJ 158 (10275)"</f>
        <v>FARMÁCIA INDIANA LJ 158 (10275)</v>
      </c>
      <c r="S2253" t="s">
        <v>37</v>
      </c>
      <c r="T2253">
        <v>30762</v>
      </c>
      <c r="U2253">
        <v>34059</v>
      </c>
      <c r="V2253" t="s">
        <v>37</v>
      </c>
    </row>
    <row r="2254" spans="1:22">
      <c r="A2254" t="str">
        <f t="shared" si="430"/>
        <v>13/03/2026</v>
      </c>
      <c r="B2254" t="str">
        <f t="shared" si="438"/>
        <v>SAÍDA</v>
      </c>
      <c r="C2254" t="str">
        <f t="shared" si="440"/>
        <v>PIX</v>
      </c>
      <c r="D2254" t="str">
        <f>"34061"</f>
        <v>34061</v>
      </c>
      <c r="E2254" t="str">
        <f t="shared" si="441"/>
        <v>1</v>
      </c>
      <c r="F2254" t="str">
        <f t="shared" si="446"/>
        <v>COM</v>
      </c>
      <c r="G2254" t="str">
        <f>"ERIC DE RAMOS GOMES (606)"</f>
        <v>ERIC DE RAMOS GOMES (606)</v>
      </c>
      <c r="H2254" t="str">
        <f>"Serv.Prest. 23/02/2026 a 01/03/2026 - PIX: E-MAIL - CHAVE: ericgomes508@gmail.com"</f>
        <v>Serv.Prest. 23/02/2026 a 01/03/2026 - PIX: E-MAIL - CHAVE: ericgomes508@gmail.com</v>
      </c>
      <c r="I2254" t="str">
        <f t="shared" si="439"/>
        <v>13/03/2026</v>
      </c>
      <c r="J2254" t="str">
        <f t="shared" si="445"/>
        <v>03/03/2026</v>
      </c>
      <c r="K2254" t="str">
        <f>("13/03/2026")</f>
        <v>13/03/2026</v>
      </c>
      <c r="L2254">
        <v>982</v>
      </c>
      <c r="M2254">
        <v>982</v>
      </c>
      <c r="N2254">
        <v>109</v>
      </c>
      <c r="O2254" t="str">
        <f>"PAGAMENTO DE ENTREGADORES"</f>
        <v>PAGAMENTO DE ENTREGADORES</v>
      </c>
      <c r="P2254">
        <v>982</v>
      </c>
      <c r="S2254" t="str">
        <f>"BANCO C6 (149)"</f>
        <v>BANCO C6 (149)</v>
      </c>
      <c r="T2254">
        <v>30763</v>
      </c>
      <c r="U2254">
        <v>34061</v>
      </c>
      <c r="V2254" t="s">
        <v>37</v>
      </c>
    </row>
    <row r="2255" spans="1:22">
      <c r="A2255" t="str">
        <f t="shared" ref="A2255:A2318" si="447">("13/03/2026")</f>
        <v>13/03/2026</v>
      </c>
      <c r="B2255" t="str">
        <f t="shared" si="438"/>
        <v>SAÍDA</v>
      </c>
      <c r="C2255" t="str">
        <f t="shared" si="440"/>
        <v>PIX</v>
      </c>
      <c r="D2255" t="str">
        <f>"34061"</f>
        <v>34061</v>
      </c>
      <c r="E2255" t="str">
        <f t="shared" si="441"/>
        <v>1</v>
      </c>
      <c r="F2255" t="str">
        <f t="shared" si="446"/>
        <v>COM</v>
      </c>
      <c r="G2255" t="str">
        <f>"ERIC DE RAMOS GOMES (606)"</f>
        <v>ERIC DE RAMOS GOMES (606)</v>
      </c>
      <c r="H2255" t="s">
        <v>535</v>
      </c>
      <c r="I2255" t="str">
        <f t="shared" si="439"/>
        <v>13/03/2026</v>
      </c>
      <c r="J2255" t="str">
        <f t="shared" si="445"/>
        <v>03/03/2026</v>
      </c>
      <c r="K2255">
        <v>46094</v>
      </c>
      <c r="N2255">
        <v>109</v>
      </c>
      <c r="O2255" t="s">
        <v>27</v>
      </c>
      <c r="Q2255">
        <v>982</v>
      </c>
      <c r="R2255" t="str">
        <f>"FARMÁCIA INDIANA LJ 91 (10037)"</f>
        <v>FARMÁCIA INDIANA LJ 91 (10037)</v>
      </c>
      <c r="S2255" t="s">
        <v>37</v>
      </c>
      <c r="T2255">
        <v>30763</v>
      </c>
      <c r="U2255">
        <v>34061</v>
      </c>
      <c r="V2255" t="s">
        <v>37</v>
      </c>
    </row>
    <row r="2256" spans="1:22">
      <c r="A2256" t="str">
        <f t="shared" si="447"/>
        <v>13/03/2026</v>
      </c>
      <c r="B2256" t="str">
        <f t="shared" si="438"/>
        <v>SAÍDA</v>
      </c>
      <c r="C2256" t="str">
        <f t="shared" si="440"/>
        <v>PIX</v>
      </c>
      <c r="D2256" t="str">
        <f>"34063"</f>
        <v>34063</v>
      </c>
      <c r="E2256" t="str">
        <f t="shared" si="441"/>
        <v>1</v>
      </c>
      <c r="F2256" t="str">
        <f t="shared" si="446"/>
        <v>COM</v>
      </c>
      <c r="G2256" t="str">
        <f>"GABRIEL SOUZA RIBEIRO (425)"</f>
        <v>GABRIEL SOUZA RIBEIRO (425)</v>
      </c>
      <c r="H2256" t="str">
        <f>"Serv.Prest. 23/02/2026 a 01/03/2026 - PIX: CPF - CHAVE: 087.398.185-51"</f>
        <v>Serv.Prest. 23/02/2026 a 01/03/2026 - PIX: CPF - CHAVE: 087.398.185-51</v>
      </c>
      <c r="I2256" t="str">
        <f t="shared" si="439"/>
        <v>13/03/2026</v>
      </c>
      <c r="J2256" t="str">
        <f t="shared" si="445"/>
        <v>03/03/2026</v>
      </c>
      <c r="K2256" t="str">
        <f>("13/03/2026")</f>
        <v>13/03/2026</v>
      </c>
      <c r="L2256">
        <v>462</v>
      </c>
      <c r="M2256">
        <v>462</v>
      </c>
      <c r="N2256">
        <v>109</v>
      </c>
      <c r="O2256" t="str">
        <f>"PAGAMENTO DE ENTREGADORES"</f>
        <v>PAGAMENTO DE ENTREGADORES</v>
      </c>
      <c r="P2256">
        <v>462</v>
      </c>
      <c r="S2256" t="str">
        <f>"BANCO C6 (149)"</f>
        <v>BANCO C6 (149)</v>
      </c>
      <c r="T2256">
        <v>30764</v>
      </c>
      <c r="U2256">
        <v>34063</v>
      </c>
      <c r="V2256" t="s">
        <v>37</v>
      </c>
    </row>
    <row r="2257" spans="1:22">
      <c r="A2257" t="str">
        <f t="shared" si="447"/>
        <v>13/03/2026</v>
      </c>
      <c r="B2257" t="str">
        <f t="shared" si="438"/>
        <v>SAÍDA</v>
      </c>
      <c r="C2257" t="str">
        <f t="shared" si="440"/>
        <v>PIX</v>
      </c>
      <c r="D2257" t="str">
        <f>"34063"</f>
        <v>34063</v>
      </c>
      <c r="E2257" t="str">
        <f t="shared" si="441"/>
        <v>1</v>
      </c>
      <c r="F2257" t="str">
        <f t="shared" si="446"/>
        <v>COM</v>
      </c>
      <c r="G2257" t="str">
        <f>"GABRIEL SOUZA RIBEIRO (425)"</f>
        <v>GABRIEL SOUZA RIBEIRO (425)</v>
      </c>
      <c r="H2257" t="s">
        <v>692</v>
      </c>
      <c r="I2257" t="str">
        <f t="shared" si="439"/>
        <v>13/03/2026</v>
      </c>
      <c r="J2257" t="str">
        <f t="shared" si="445"/>
        <v>03/03/2026</v>
      </c>
      <c r="K2257">
        <v>46094</v>
      </c>
      <c r="N2257">
        <v>109</v>
      </c>
      <c r="O2257" t="s">
        <v>27</v>
      </c>
      <c r="Q2257">
        <v>462</v>
      </c>
      <c r="R2257" t="str">
        <f>"FARMÁCIA INDIANA LJ 65 (10030)"</f>
        <v>FARMÁCIA INDIANA LJ 65 (10030)</v>
      </c>
      <c r="S2257" t="s">
        <v>37</v>
      </c>
      <c r="T2257">
        <v>30764</v>
      </c>
      <c r="U2257">
        <v>34063</v>
      </c>
      <c r="V2257" t="s">
        <v>37</v>
      </c>
    </row>
    <row r="2258" spans="1:22">
      <c r="A2258" t="str">
        <f t="shared" si="447"/>
        <v>13/03/2026</v>
      </c>
      <c r="B2258" t="str">
        <f t="shared" si="438"/>
        <v>SAÍDA</v>
      </c>
      <c r="C2258" t="str">
        <f t="shared" si="440"/>
        <v>PIX</v>
      </c>
      <c r="D2258" t="str">
        <f>"34065"</f>
        <v>34065</v>
      </c>
      <c r="E2258" t="str">
        <f t="shared" si="441"/>
        <v>1</v>
      </c>
      <c r="F2258" t="str">
        <f t="shared" si="446"/>
        <v>COM</v>
      </c>
      <c r="G2258" t="str">
        <f>"GILBERTO PINHEIRO DA ROCHA (155)"</f>
        <v>GILBERTO PINHEIRO DA ROCHA (155)</v>
      </c>
      <c r="H2258" t="str">
        <f>"Serv.Prest. 23/02/2026 a 01/03/2026 - PIX: CELULAR - CHAVE: (73) 99941-8352"</f>
        <v>Serv.Prest. 23/02/2026 a 01/03/2026 - PIX: CELULAR - CHAVE: (73) 99941-8352</v>
      </c>
      <c r="I2258" t="str">
        <f t="shared" si="439"/>
        <v>13/03/2026</v>
      </c>
      <c r="J2258" t="str">
        <f t="shared" si="445"/>
        <v>03/03/2026</v>
      </c>
      <c r="K2258" t="str">
        <f>("13/03/2026")</f>
        <v>13/03/2026</v>
      </c>
      <c r="L2258">
        <v>845.75</v>
      </c>
      <c r="M2258">
        <v>845.75</v>
      </c>
      <c r="N2258">
        <v>109</v>
      </c>
      <c r="O2258" t="str">
        <f>"PAGAMENTO DE ENTREGADORES"</f>
        <v>PAGAMENTO DE ENTREGADORES</v>
      </c>
      <c r="P2258">
        <v>845.75</v>
      </c>
      <c r="S2258" t="str">
        <f>"BANCO C6 (149)"</f>
        <v>BANCO C6 (149)</v>
      </c>
      <c r="T2258">
        <v>30765</v>
      </c>
      <c r="U2258">
        <v>34065</v>
      </c>
      <c r="V2258" t="s">
        <v>37</v>
      </c>
    </row>
    <row r="2259" spans="1:22">
      <c r="A2259" t="str">
        <f t="shared" si="447"/>
        <v>13/03/2026</v>
      </c>
      <c r="B2259" t="str">
        <f t="shared" si="438"/>
        <v>SAÍDA</v>
      </c>
      <c r="C2259" t="str">
        <f t="shared" si="440"/>
        <v>PIX</v>
      </c>
      <c r="D2259" t="str">
        <f>"34065"</f>
        <v>34065</v>
      </c>
      <c r="E2259" t="str">
        <f t="shared" si="441"/>
        <v>1</v>
      </c>
      <c r="F2259" t="str">
        <f t="shared" si="446"/>
        <v>COM</v>
      </c>
      <c r="G2259" t="str">
        <f>"GILBERTO PINHEIRO DA ROCHA (155)"</f>
        <v>GILBERTO PINHEIRO DA ROCHA (155)</v>
      </c>
      <c r="H2259" t="s">
        <v>693</v>
      </c>
      <c r="I2259" t="str">
        <f t="shared" si="439"/>
        <v>13/03/2026</v>
      </c>
      <c r="J2259" t="str">
        <f t="shared" si="445"/>
        <v>03/03/2026</v>
      </c>
      <c r="K2259">
        <v>46094</v>
      </c>
      <c r="N2259">
        <v>109</v>
      </c>
      <c r="O2259" t="s">
        <v>27</v>
      </c>
      <c r="Q2259">
        <v>845.75</v>
      </c>
      <c r="R2259" t="str">
        <f>"FARMÁCIA INDIANA LJ 34 (10014)"</f>
        <v>FARMÁCIA INDIANA LJ 34 (10014)</v>
      </c>
      <c r="S2259" t="s">
        <v>37</v>
      </c>
      <c r="T2259">
        <v>30765</v>
      </c>
      <c r="U2259">
        <v>34065</v>
      </c>
      <c r="V2259" t="s">
        <v>37</v>
      </c>
    </row>
    <row r="2260" spans="1:22">
      <c r="A2260" t="str">
        <f t="shared" si="447"/>
        <v>13/03/2026</v>
      </c>
      <c r="B2260" t="str">
        <f t="shared" si="438"/>
        <v>SAÍDA</v>
      </c>
      <c r="C2260" t="str">
        <f t="shared" si="440"/>
        <v>PIX</v>
      </c>
      <c r="D2260" t="str">
        <f>"34066"</f>
        <v>34066</v>
      </c>
      <c r="E2260" t="str">
        <f t="shared" si="441"/>
        <v>1</v>
      </c>
      <c r="F2260" t="str">
        <f t="shared" si="446"/>
        <v>COM</v>
      </c>
      <c r="G2260" t="str">
        <f>"HELITON MELGACO PIMENTEL JUNIOR (1079)"</f>
        <v>HELITON MELGACO PIMENTEL JUNIOR (1079)</v>
      </c>
      <c r="H2260" t="str">
        <f>"Serv.Prest. 23/02/2026 a 01/03/2026 - PIX: CPF - CHAVE: 768.859.176-72"</f>
        <v>Serv.Prest. 23/02/2026 a 01/03/2026 - PIX: CPF - CHAVE: 768.859.176-72</v>
      </c>
      <c r="I2260" t="str">
        <f t="shared" si="439"/>
        <v>13/03/2026</v>
      </c>
      <c r="J2260" t="str">
        <f t="shared" si="445"/>
        <v>03/03/2026</v>
      </c>
      <c r="K2260" t="str">
        <f>("13/03/2026")</f>
        <v>13/03/2026</v>
      </c>
      <c r="L2260">
        <v>552.5</v>
      </c>
      <c r="M2260">
        <v>552.5</v>
      </c>
      <c r="N2260">
        <v>109</v>
      </c>
      <c r="O2260" t="str">
        <f>"PAGAMENTO DE ENTREGADORES"</f>
        <v>PAGAMENTO DE ENTREGADORES</v>
      </c>
      <c r="P2260">
        <v>552.5</v>
      </c>
      <c r="S2260" t="str">
        <f>"BANCO C6 (149)"</f>
        <v>BANCO C6 (149)</v>
      </c>
      <c r="T2260">
        <v>30766</v>
      </c>
      <c r="U2260">
        <v>34066</v>
      </c>
      <c r="V2260" t="s">
        <v>37</v>
      </c>
    </row>
    <row r="2261" spans="1:22">
      <c r="A2261" t="str">
        <f t="shared" si="447"/>
        <v>13/03/2026</v>
      </c>
      <c r="B2261" t="str">
        <f t="shared" si="438"/>
        <v>SAÍDA</v>
      </c>
      <c r="C2261" t="str">
        <f t="shared" si="440"/>
        <v>PIX</v>
      </c>
      <c r="D2261" t="str">
        <f>"34066"</f>
        <v>34066</v>
      </c>
      <c r="E2261" t="str">
        <f t="shared" si="441"/>
        <v>1</v>
      </c>
      <c r="F2261" t="str">
        <f t="shared" si="446"/>
        <v>COM</v>
      </c>
      <c r="G2261" t="str">
        <f>"HELITON MELGACO PIMENTEL JUNIOR (1079)"</f>
        <v>HELITON MELGACO PIMENTEL JUNIOR (1079)</v>
      </c>
      <c r="H2261" t="s">
        <v>411</v>
      </c>
      <c r="I2261" t="str">
        <f t="shared" si="439"/>
        <v>13/03/2026</v>
      </c>
      <c r="J2261" t="str">
        <f t="shared" si="445"/>
        <v>03/03/2026</v>
      </c>
      <c r="K2261">
        <v>46094</v>
      </c>
      <c r="N2261">
        <v>109</v>
      </c>
      <c r="O2261" t="s">
        <v>27</v>
      </c>
      <c r="Q2261">
        <v>552.5</v>
      </c>
      <c r="R2261" t="str">
        <f>"FARMÁCIA INDIANA LJ 283 (10268)"</f>
        <v>FARMÁCIA INDIANA LJ 283 (10268)</v>
      </c>
      <c r="S2261" t="s">
        <v>37</v>
      </c>
      <c r="T2261">
        <v>30766</v>
      </c>
      <c r="U2261">
        <v>34066</v>
      </c>
      <c r="V2261" t="s">
        <v>37</v>
      </c>
    </row>
    <row r="2262" spans="1:22">
      <c r="A2262" t="str">
        <f t="shared" si="447"/>
        <v>13/03/2026</v>
      </c>
      <c r="B2262" t="str">
        <f t="shared" si="438"/>
        <v>SAÍDA</v>
      </c>
      <c r="C2262" t="str">
        <f t="shared" si="440"/>
        <v>PIX</v>
      </c>
      <c r="D2262" t="str">
        <f>"34067"</f>
        <v>34067</v>
      </c>
      <c r="E2262" t="str">
        <f t="shared" si="441"/>
        <v>1</v>
      </c>
      <c r="F2262" t="str">
        <f t="shared" si="446"/>
        <v>COM</v>
      </c>
      <c r="G2262" t="str">
        <f>"IAN DAVI SANTOS DALMONECHE (1318)"</f>
        <v>IAN DAVI SANTOS DALMONECHE (1318)</v>
      </c>
      <c r="H2262" t="str">
        <f>"Serv.Prest. 23/02/2026 a 01/03/2026 - PIX: CELULAR - CHAVE: (73) 99816-5318"</f>
        <v>Serv.Prest. 23/02/2026 a 01/03/2026 - PIX: CELULAR - CHAVE: (73) 99816-5318</v>
      </c>
      <c r="I2262" t="str">
        <f t="shared" si="439"/>
        <v>13/03/2026</v>
      </c>
      <c r="J2262" t="str">
        <f t="shared" si="445"/>
        <v>03/03/2026</v>
      </c>
      <c r="K2262" t="str">
        <f>("13/03/2026")</f>
        <v>13/03/2026</v>
      </c>
      <c r="L2262">
        <v>913.75</v>
      </c>
      <c r="M2262">
        <v>913.75</v>
      </c>
      <c r="N2262">
        <v>109</v>
      </c>
      <c r="O2262" t="str">
        <f>"PAGAMENTO DE ENTREGADORES"</f>
        <v>PAGAMENTO DE ENTREGADORES</v>
      </c>
      <c r="P2262">
        <v>913.75</v>
      </c>
      <c r="S2262" t="str">
        <f>"BANCO C6 (149)"</f>
        <v>BANCO C6 (149)</v>
      </c>
      <c r="T2262">
        <v>30767</v>
      </c>
      <c r="U2262">
        <v>34067</v>
      </c>
      <c r="V2262" t="s">
        <v>37</v>
      </c>
    </row>
    <row r="2263" spans="1:22">
      <c r="A2263" t="str">
        <f t="shared" si="447"/>
        <v>13/03/2026</v>
      </c>
      <c r="B2263" t="str">
        <f t="shared" si="438"/>
        <v>SAÍDA</v>
      </c>
      <c r="C2263" t="str">
        <f t="shared" si="440"/>
        <v>PIX</v>
      </c>
      <c r="D2263" t="str">
        <f>"34067"</f>
        <v>34067</v>
      </c>
      <c r="E2263" t="str">
        <f t="shared" si="441"/>
        <v>1</v>
      </c>
      <c r="F2263" t="str">
        <f t="shared" si="446"/>
        <v>COM</v>
      </c>
      <c r="G2263" t="str">
        <f>"IAN DAVI SANTOS DALMONECHE (1318)"</f>
        <v>IAN DAVI SANTOS DALMONECHE (1318)</v>
      </c>
      <c r="H2263" t="s">
        <v>694</v>
      </c>
      <c r="I2263" t="str">
        <f t="shared" si="439"/>
        <v>13/03/2026</v>
      </c>
      <c r="J2263" t="str">
        <f t="shared" si="445"/>
        <v>03/03/2026</v>
      </c>
      <c r="K2263">
        <v>46094</v>
      </c>
      <c r="N2263">
        <v>109</v>
      </c>
      <c r="O2263" t="s">
        <v>27</v>
      </c>
      <c r="Q2263">
        <v>913.75</v>
      </c>
      <c r="R2263" t="str">
        <f>"FARMÁCIA INDIANA LJ 95 (10039)"</f>
        <v>FARMÁCIA INDIANA LJ 95 (10039)</v>
      </c>
      <c r="S2263" t="s">
        <v>37</v>
      </c>
      <c r="T2263">
        <v>30767</v>
      </c>
      <c r="U2263">
        <v>34067</v>
      </c>
      <c r="V2263" t="s">
        <v>37</v>
      </c>
    </row>
    <row r="2264" spans="1:22">
      <c r="A2264" t="str">
        <f t="shared" si="447"/>
        <v>13/03/2026</v>
      </c>
      <c r="B2264" t="str">
        <f t="shared" si="438"/>
        <v>SAÍDA</v>
      </c>
      <c r="C2264" t="str">
        <f t="shared" si="440"/>
        <v>PIX</v>
      </c>
      <c r="D2264" t="str">
        <f>"34068"</f>
        <v>34068</v>
      </c>
      <c r="E2264" t="str">
        <f t="shared" si="441"/>
        <v>1</v>
      </c>
      <c r="F2264" t="str">
        <f t="shared" si="446"/>
        <v>COM</v>
      </c>
      <c r="G2264" t="str">
        <f>"JALDENIR MENDES DOS SANTOS (167)"</f>
        <v>JALDENIR MENDES DOS SANTOS (167)</v>
      </c>
      <c r="H2264" t="str">
        <f>"Serv.Prest. 23/02/2026 a 01/03/2026 - PIX: CPF - CHAVE: 439.169.103-53"</f>
        <v>Serv.Prest. 23/02/2026 a 01/03/2026 - PIX: CPF - CHAVE: 439.169.103-53</v>
      </c>
      <c r="I2264" t="str">
        <f t="shared" si="439"/>
        <v>13/03/2026</v>
      </c>
      <c r="J2264" t="str">
        <f t="shared" si="445"/>
        <v>03/03/2026</v>
      </c>
      <c r="K2264" t="str">
        <f>("13/03/2026")</f>
        <v>13/03/2026</v>
      </c>
      <c r="L2264">
        <v>726.75</v>
      </c>
      <c r="M2264">
        <v>726.75</v>
      </c>
      <c r="N2264">
        <v>109</v>
      </c>
      <c r="O2264" t="str">
        <f>"PAGAMENTO DE ENTREGADORES"</f>
        <v>PAGAMENTO DE ENTREGADORES</v>
      </c>
      <c r="P2264">
        <v>726.75</v>
      </c>
      <c r="S2264" t="str">
        <f>"BANCO C6 (149)"</f>
        <v>BANCO C6 (149)</v>
      </c>
      <c r="T2264">
        <v>30768</v>
      </c>
      <c r="U2264">
        <v>34068</v>
      </c>
      <c r="V2264" t="s">
        <v>37</v>
      </c>
    </row>
    <row r="2265" spans="1:22">
      <c r="A2265" t="str">
        <f t="shared" si="447"/>
        <v>13/03/2026</v>
      </c>
      <c r="B2265" t="str">
        <f t="shared" si="438"/>
        <v>SAÍDA</v>
      </c>
      <c r="C2265" t="str">
        <f t="shared" si="440"/>
        <v>PIX</v>
      </c>
      <c r="D2265" t="str">
        <f>"34068"</f>
        <v>34068</v>
      </c>
      <c r="E2265" t="str">
        <f t="shared" si="441"/>
        <v>1</v>
      </c>
      <c r="F2265" t="str">
        <f t="shared" si="446"/>
        <v>COM</v>
      </c>
      <c r="G2265" t="str">
        <f>"JALDENIR MENDES DOS SANTOS (167)"</f>
        <v>JALDENIR MENDES DOS SANTOS (167)</v>
      </c>
      <c r="H2265" t="s">
        <v>695</v>
      </c>
      <c r="I2265" t="str">
        <f t="shared" si="439"/>
        <v>13/03/2026</v>
      </c>
      <c r="J2265" t="str">
        <f t="shared" si="445"/>
        <v>03/03/2026</v>
      </c>
      <c r="K2265">
        <v>46094</v>
      </c>
      <c r="N2265">
        <v>109</v>
      </c>
      <c r="O2265" t="s">
        <v>27</v>
      </c>
      <c r="Q2265">
        <v>726.75</v>
      </c>
      <c r="R2265" t="str">
        <f>"FARMÁCIA INDIANA LJ 34 (10014)"</f>
        <v>FARMÁCIA INDIANA LJ 34 (10014)</v>
      </c>
      <c r="S2265" t="s">
        <v>37</v>
      </c>
      <c r="T2265">
        <v>30768</v>
      </c>
      <c r="U2265">
        <v>34068</v>
      </c>
      <c r="V2265" t="s">
        <v>37</v>
      </c>
    </row>
    <row r="2266" spans="1:22">
      <c r="A2266" t="str">
        <f t="shared" si="447"/>
        <v>13/03/2026</v>
      </c>
      <c r="B2266" t="str">
        <f t="shared" si="438"/>
        <v>SAÍDA</v>
      </c>
      <c r="C2266" t="str">
        <f t="shared" si="440"/>
        <v>PIX</v>
      </c>
      <c r="D2266" t="str">
        <f>"34069"</f>
        <v>34069</v>
      </c>
      <c r="E2266" t="str">
        <f t="shared" si="441"/>
        <v>1</v>
      </c>
      <c r="F2266" t="str">
        <f t="shared" si="446"/>
        <v>COM</v>
      </c>
      <c r="G2266" t="str">
        <f>"JARLES DE SOUZA PEREIRA (109)"</f>
        <v>JARLES DE SOUZA PEREIRA (109)</v>
      </c>
      <c r="H2266" t="str">
        <f>"Serv.Prest. 23/02/2026 a 01/03/2026 - PIX: CELULAR - CHAVE: (73) 99856-1756"</f>
        <v>Serv.Prest. 23/02/2026 a 01/03/2026 - PIX: CELULAR - CHAVE: (73) 99856-1756</v>
      </c>
      <c r="I2266" t="str">
        <f t="shared" si="439"/>
        <v>13/03/2026</v>
      </c>
      <c r="J2266" t="str">
        <f t="shared" si="445"/>
        <v>03/03/2026</v>
      </c>
      <c r="K2266" t="str">
        <f>("13/03/2026")</f>
        <v>13/03/2026</v>
      </c>
      <c r="L2266">
        <v>654</v>
      </c>
      <c r="M2266">
        <v>654</v>
      </c>
      <c r="N2266">
        <v>109</v>
      </c>
      <c r="O2266" t="str">
        <f>"PAGAMENTO DE ENTREGADORES"</f>
        <v>PAGAMENTO DE ENTREGADORES</v>
      </c>
      <c r="P2266">
        <v>654</v>
      </c>
      <c r="S2266" t="str">
        <f>"BANCO C6 (149)"</f>
        <v>BANCO C6 (149)</v>
      </c>
      <c r="T2266">
        <v>30769</v>
      </c>
      <c r="U2266">
        <v>34069</v>
      </c>
      <c r="V2266" t="s">
        <v>37</v>
      </c>
    </row>
    <row r="2267" spans="1:22">
      <c r="A2267" t="str">
        <f t="shared" si="447"/>
        <v>13/03/2026</v>
      </c>
      <c r="B2267" t="str">
        <f t="shared" si="438"/>
        <v>SAÍDA</v>
      </c>
      <c r="C2267" t="str">
        <f t="shared" si="440"/>
        <v>PIX</v>
      </c>
      <c r="D2267" t="str">
        <f>"34069"</f>
        <v>34069</v>
      </c>
      <c r="E2267" t="str">
        <f t="shared" si="441"/>
        <v>1</v>
      </c>
      <c r="F2267" t="str">
        <f t="shared" si="446"/>
        <v>COM</v>
      </c>
      <c r="G2267" t="str">
        <f>"JARLES DE SOUZA PEREIRA (109)"</f>
        <v>JARLES DE SOUZA PEREIRA (109)</v>
      </c>
      <c r="H2267" t="s">
        <v>696</v>
      </c>
      <c r="I2267" t="str">
        <f t="shared" si="439"/>
        <v>13/03/2026</v>
      </c>
      <c r="J2267" t="str">
        <f t="shared" si="445"/>
        <v>03/03/2026</v>
      </c>
      <c r="K2267">
        <v>46094</v>
      </c>
      <c r="N2267">
        <v>109</v>
      </c>
      <c r="O2267" t="s">
        <v>27</v>
      </c>
      <c r="Q2267">
        <v>654</v>
      </c>
      <c r="R2267" t="str">
        <f>"FARMÁCIA INDIANA LJ 173 (10075)"</f>
        <v>FARMÁCIA INDIANA LJ 173 (10075)</v>
      </c>
      <c r="S2267" t="s">
        <v>37</v>
      </c>
      <c r="T2267">
        <v>30769</v>
      </c>
      <c r="U2267">
        <v>34069</v>
      </c>
      <c r="V2267" t="s">
        <v>37</v>
      </c>
    </row>
    <row r="2268" spans="1:22">
      <c r="A2268" t="str">
        <f t="shared" si="447"/>
        <v>13/03/2026</v>
      </c>
      <c r="B2268" t="str">
        <f t="shared" si="438"/>
        <v>SAÍDA</v>
      </c>
      <c r="C2268" t="str">
        <f t="shared" si="440"/>
        <v>PIX</v>
      </c>
      <c r="D2268" t="str">
        <f>"34070"</f>
        <v>34070</v>
      </c>
      <c r="E2268" t="str">
        <f t="shared" si="441"/>
        <v>1</v>
      </c>
      <c r="F2268" t="str">
        <f t="shared" si="446"/>
        <v>COM</v>
      </c>
      <c r="G2268" t="str">
        <f>"JOAO PEDRO BRITO DE SOUZA (876)"</f>
        <v>JOAO PEDRO BRITO DE SOUZA (876)</v>
      </c>
      <c r="H2268" t="str">
        <f>"Serv.Prest. 23/02/2026 a 01/03/2026 - PIX: CPF - CHAVE: 860.305.455-07"</f>
        <v>Serv.Prest. 23/02/2026 a 01/03/2026 - PIX: CPF - CHAVE: 860.305.455-07</v>
      </c>
      <c r="I2268" t="str">
        <f t="shared" si="439"/>
        <v>13/03/2026</v>
      </c>
      <c r="J2268" t="str">
        <f t="shared" si="445"/>
        <v>03/03/2026</v>
      </c>
      <c r="K2268" t="str">
        <f>("13/03/2026")</f>
        <v>13/03/2026</v>
      </c>
      <c r="L2268">
        <v>1235</v>
      </c>
      <c r="M2268">
        <v>1235</v>
      </c>
      <c r="N2268">
        <v>109</v>
      </c>
      <c r="O2268" t="str">
        <f>"PAGAMENTO DE ENTREGADORES"</f>
        <v>PAGAMENTO DE ENTREGADORES</v>
      </c>
      <c r="P2268">
        <v>1235</v>
      </c>
      <c r="S2268" t="str">
        <f>"BANCO C6 (149)"</f>
        <v>BANCO C6 (149)</v>
      </c>
      <c r="T2268">
        <v>30770</v>
      </c>
      <c r="U2268">
        <v>34070</v>
      </c>
      <c r="V2268" t="s">
        <v>37</v>
      </c>
    </row>
    <row r="2269" spans="1:22">
      <c r="A2269" t="str">
        <f t="shared" si="447"/>
        <v>13/03/2026</v>
      </c>
      <c r="B2269" t="str">
        <f t="shared" si="438"/>
        <v>SAÍDA</v>
      </c>
      <c r="C2269" t="str">
        <f t="shared" si="440"/>
        <v>PIX</v>
      </c>
      <c r="D2269" t="str">
        <f>"34070"</f>
        <v>34070</v>
      </c>
      <c r="E2269" t="str">
        <f t="shared" si="441"/>
        <v>1</v>
      </c>
      <c r="F2269" t="str">
        <f t="shared" si="446"/>
        <v>COM</v>
      </c>
      <c r="G2269" t="str">
        <f>"JOAO PEDRO BRITO DE SOUZA (876)"</f>
        <v>JOAO PEDRO BRITO DE SOUZA (876)</v>
      </c>
      <c r="H2269" t="s">
        <v>442</v>
      </c>
      <c r="I2269" t="str">
        <f t="shared" si="439"/>
        <v>13/03/2026</v>
      </c>
      <c r="J2269" t="str">
        <f t="shared" si="445"/>
        <v>03/03/2026</v>
      </c>
      <c r="K2269">
        <v>46094</v>
      </c>
      <c r="N2269">
        <v>109</v>
      </c>
      <c r="O2269" t="s">
        <v>27</v>
      </c>
      <c r="Q2269">
        <v>679</v>
      </c>
      <c r="R2269" t="str">
        <f>"FARMÁCIA INDIANA LJ 48 (10018)"</f>
        <v>FARMÁCIA INDIANA LJ 48 (10018)</v>
      </c>
      <c r="S2269" t="s">
        <v>37</v>
      </c>
      <c r="T2269">
        <v>30770</v>
      </c>
      <c r="U2269">
        <v>34070</v>
      </c>
      <c r="V2269" t="s">
        <v>37</v>
      </c>
    </row>
    <row r="2270" spans="1:22">
      <c r="A2270" t="str">
        <f t="shared" si="447"/>
        <v>13/03/2026</v>
      </c>
      <c r="B2270" t="str">
        <f t="shared" si="438"/>
        <v>SAÍDA</v>
      </c>
      <c r="C2270" t="str">
        <f t="shared" si="440"/>
        <v>PIX</v>
      </c>
      <c r="D2270" t="str">
        <f>"34070"</f>
        <v>34070</v>
      </c>
      <c r="E2270" t="str">
        <f t="shared" si="441"/>
        <v>1</v>
      </c>
      <c r="F2270" t="str">
        <f t="shared" si="446"/>
        <v>COM</v>
      </c>
      <c r="G2270" t="str">
        <f>"JOAO PEDRO BRITO DE SOUZA (876)"</f>
        <v>JOAO PEDRO BRITO DE SOUZA (876)</v>
      </c>
      <c r="H2270" t="s">
        <v>442</v>
      </c>
      <c r="I2270" t="str">
        <f t="shared" si="439"/>
        <v>13/03/2026</v>
      </c>
      <c r="J2270" t="str">
        <f t="shared" si="445"/>
        <v>03/03/2026</v>
      </c>
      <c r="K2270">
        <v>46094</v>
      </c>
      <c r="N2270">
        <v>109</v>
      </c>
      <c r="O2270" t="s">
        <v>27</v>
      </c>
      <c r="Q2270">
        <v>556</v>
      </c>
      <c r="R2270" t="str">
        <f>"FARMÁCIA INDIANA LJ 169 (10073)"</f>
        <v>FARMÁCIA INDIANA LJ 169 (10073)</v>
      </c>
      <c r="S2270" t="s">
        <v>37</v>
      </c>
      <c r="T2270">
        <v>30770</v>
      </c>
      <c r="U2270">
        <v>34070</v>
      </c>
      <c r="V2270" t="s">
        <v>37</v>
      </c>
    </row>
    <row r="2271" spans="1:22">
      <c r="A2271" t="str">
        <f t="shared" si="447"/>
        <v>13/03/2026</v>
      </c>
      <c r="B2271" t="str">
        <f t="shared" si="438"/>
        <v>SAÍDA</v>
      </c>
      <c r="C2271" t="str">
        <f t="shared" si="440"/>
        <v>PIX</v>
      </c>
      <c r="D2271" t="str">
        <f>"34071"</f>
        <v>34071</v>
      </c>
      <c r="E2271" t="str">
        <f t="shared" si="441"/>
        <v>1</v>
      </c>
      <c r="F2271" t="str">
        <f t="shared" si="446"/>
        <v>COM</v>
      </c>
      <c r="G2271" t="str">
        <f>"JOSE MARIO MENEZES DA CRUZ (941)"</f>
        <v>JOSE MARIO MENEZES DA CRUZ (941)</v>
      </c>
      <c r="H2271" t="str">
        <f>"Serv.Prest. 23/02/2026 a 01/03/2026 - PIX: CPF - CHAVE: 009.476.175-23"</f>
        <v>Serv.Prest. 23/02/2026 a 01/03/2026 - PIX: CPF - CHAVE: 009.476.175-23</v>
      </c>
      <c r="I2271" t="str">
        <f t="shared" si="439"/>
        <v>13/03/2026</v>
      </c>
      <c r="J2271" t="str">
        <f t="shared" si="445"/>
        <v>03/03/2026</v>
      </c>
      <c r="K2271" t="str">
        <f>("13/03/2026")</f>
        <v>13/03/2026</v>
      </c>
      <c r="L2271">
        <v>870</v>
      </c>
      <c r="M2271">
        <v>870</v>
      </c>
      <c r="N2271">
        <v>109</v>
      </c>
      <c r="O2271" t="str">
        <f>"PAGAMENTO DE ENTREGADORES"</f>
        <v>PAGAMENTO DE ENTREGADORES</v>
      </c>
      <c r="P2271">
        <v>870</v>
      </c>
      <c r="S2271" t="str">
        <f>"BANCO C6 (149)"</f>
        <v>BANCO C6 (149)</v>
      </c>
      <c r="T2271">
        <v>30771</v>
      </c>
      <c r="U2271">
        <v>34071</v>
      </c>
      <c r="V2271" t="s">
        <v>37</v>
      </c>
    </row>
    <row r="2272" spans="1:22">
      <c r="A2272" t="str">
        <f t="shared" si="447"/>
        <v>13/03/2026</v>
      </c>
      <c r="B2272" t="str">
        <f t="shared" si="438"/>
        <v>SAÍDA</v>
      </c>
      <c r="C2272" t="str">
        <f t="shared" si="440"/>
        <v>PIX</v>
      </c>
      <c r="D2272" t="str">
        <f>"34071"</f>
        <v>34071</v>
      </c>
      <c r="E2272" t="str">
        <f t="shared" si="441"/>
        <v>1</v>
      </c>
      <c r="F2272" t="str">
        <f t="shared" si="446"/>
        <v>COM</v>
      </c>
      <c r="G2272" t="str">
        <f>"JOSE MARIO MENEZES DA CRUZ (941)"</f>
        <v>JOSE MARIO MENEZES DA CRUZ (941)</v>
      </c>
      <c r="H2272" t="s">
        <v>697</v>
      </c>
      <c r="I2272" t="str">
        <f t="shared" si="439"/>
        <v>13/03/2026</v>
      </c>
      <c r="J2272" t="str">
        <f t="shared" si="445"/>
        <v>03/03/2026</v>
      </c>
      <c r="K2272">
        <v>46094</v>
      </c>
      <c r="N2272">
        <v>109</v>
      </c>
      <c r="O2272" t="s">
        <v>27</v>
      </c>
      <c r="Q2272">
        <v>870</v>
      </c>
      <c r="R2272" t="str">
        <f>"FARMÁCIA INDIANA LJ 33 (10187)"</f>
        <v>FARMÁCIA INDIANA LJ 33 (10187)</v>
      </c>
      <c r="S2272" t="s">
        <v>37</v>
      </c>
      <c r="T2272">
        <v>30771</v>
      </c>
      <c r="U2272">
        <v>34071</v>
      </c>
      <c r="V2272" t="s">
        <v>37</v>
      </c>
    </row>
    <row r="2273" spans="1:22">
      <c r="A2273" t="str">
        <f t="shared" si="447"/>
        <v>13/03/2026</v>
      </c>
      <c r="B2273" t="str">
        <f t="shared" si="438"/>
        <v>SAÍDA</v>
      </c>
      <c r="C2273" t="str">
        <f t="shared" si="440"/>
        <v>PIX</v>
      </c>
      <c r="D2273" t="str">
        <f>"34072"</f>
        <v>34072</v>
      </c>
      <c r="E2273" t="str">
        <f t="shared" si="441"/>
        <v>1</v>
      </c>
      <c r="F2273" t="str">
        <f t="shared" si="446"/>
        <v>COM</v>
      </c>
      <c r="G2273" t="str">
        <f>"JUNIO SOUZA SILVA (610)"</f>
        <v>JUNIO SOUZA SILVA (610)</v>
      </c>
      <c r="H2273" t="str">
        <f>"Serv.Prest. 23/02/2026 a 01/03/2026 - PIX: CELULAR - CHAVE: (73) 98105-2187"</f>
        <v>Serv.Prest. 23/02/2026 a 01/03/2026 - PIX: CELULAR - CHAVE: (73) 98105-2187</v>
      </c>
      <c r="I2273" t="str">
        <f t="shared" si="439"/>
        <v>13/03/2026</v>
      </c>
      <c r="J2273" t="str">
        <f t="shared" si="445"/>
        <v>03/03/2026</v>
      </c>
      <c r="K2273" t="str">
        <f>("13/03/2026")</f>
        <v>13/03/2026</v>
      </c>
      <c r="L2273">
        <v>580</v>
      </c>
      <c r="M2273">
        <v>580</v>
      </c>
      <c r="N2273">
        <v>109</v>
      </c>
      <c r="O2273" t="str">
        <f>"PAGAMENTO DE ENTREGADORES"</f>
        <v>PAGAMENTO DE ENTREGADORES</v>
      </c>
      <c r="P2273">
        <v>580</v>
      </c>
      <c r="S2273" t="str">
        <f>"BANCO C6 (149)"</f>
        <v>BANCO C6 (149)</v>
      </c>
      <c r="T2273">
        <v>30772</v>
      </c>
      <c r="U2273">
        <v>34072</v>
      </c>
      <c r="V2273" t="s">
        <v>37</v>
      </c>
    </row>
    <row r="2274" spans="1:22">
      <c r="A2274" t="str">
        <f t="shared" si="447"/>
        <v>13/03/2026</v>
      </c>
      <c r="B2274" t="str">
        <f t="shared" ref="B2274:B2337" si="448">"SAÍDA"</f>
        <v>SAÍDA</v>
      </c>
      <c r="C2274" t="str">
        <f t="shared" si="440"/>
        <v>PIX</v>
      </c>
      <c r="D2274" t="str">
        <f>"34072"</f>
        <v>34072</v>
      </c>
      <c r="E2274" t="str">
        <f t="shared" si="441"/>
        <v>1</v>
      </c>
      <c r="F2274" t="str">
        <f t="shared" si="446"/>
        <v>COM</v>
      </c>
      <c r="G2274" t="str">
        <f>"JUNIO SOUZA SILVA (610)"</f>
        <v>JUNIO SOUZA SILVA (610)</v>
      </c>
      <c r="H2274" t="s">
        <v>537</v>
      </c>
      <c r="I2274" t="str">
        <f t="shared" si="439"/>
        <v>13/03/2026</v>
      </c>
      <c r="J2274" t="str">
        <f t="shared" si="445"/>
        <v>03/03/2026</v>
      </c>
      <c r="K2274">
        <v>46094</v>
      </c>
      <c r="N2274">
        <v>109</v>
      </c>
      <c r="O2274" t="s">
        <v>27</v>
      </c>
      <c r="Q2274">
        <v>580</v>
      </c>
      <c r="R2274" t="str">
        <f>"FARMÁCIA INDIANA LJ 77 (10034)"</f>
        <v>FARMÁCIA INDIANA LJ 77 (10034)</v>
      </c>
      <c r="S2274" t="s">
        <v>37</v>
      </c>
      <c r="T2274">
        <v>30772</v>
      </c>
      <c r="U2274">
        <v>34072</v>
      </c>
      <c r="V2274" t="s">
        <v>37</v>
      </c>
    </row>
    <row r="2275" spans="1:22">
      <c r="A2275" t="str">
        <f t="shared" si="447"/>
        <v>13/03/2026</v>
      </c>
      <c r="B2275" t="str">
        <f t="shared" si="448"/>
        <v>SAÍDA</v>
      </c>
      <c r="C2275" t="str">
        <f t="shared" si="440"/>
        <v>PIX</v>
      </c>
      <c r="D2275" t="str">
        <f>"34073"</f>
        <v>34073</v>
      </c>
      <c r="E2275" t="str">
        <f t="shared" si="441"/>
        <v>1</v>
      </c>
      <c r="F2275" t="str">
        <f t="shared" si="446"/>
        <v>COM</v>
      </c>
      <c r="G2275" t="str">
        <f>"KHENNEDY DAVY DOS SANTOS SILVA (692)"</f>
        <v>KHENNEDY DAVY DOS SANTOS SILVA (692)</v>
      </c>
      <c r="H2275" t="str">
        <f>"Serv.Prest. 23/02/2026 a 01/03/2026 - PIX: CPF - CHAVE: 094.700.685-05"</f>
        <v>Serv.Prest. 23/02/2026 a 01/03/2026 - PIX: CPF - CHAVE: 094.700.685-05</v>
      </c>
      <c r="I2275" t="str">
        <f t="shared" si="439"/>
        <v>13/03/2026</v>
      </c>
      <c r="J2275" t="str">
        <f t="shared" si="445"/>
        <v>03/03/2026</v>
      </c>
      <c r="K2275" t="str">
        <f>("13/03/2026")</f>
        <v>13/03/2026</v>
      </c>
      <c r="L2275">
        <v>634</v>
      </c>
      <c r="M2275">
        <v>634</v>
      </c>
      <c r="N2275">
        <v>109</v>
      </c>
      <c r="O2275" t="str">
        <f>"PAGAMENTO DE ENTREGADORES"</f>
        <v>PAGAMENTO DE ENTREGADORES</v>
      </c>
      <c r="P2275">
        <v>634</v>
      </c>
      <c r="S2275" t="str">
        <f>"BANCO C6 (149)"</f>
        <v>BANCO C6 (149)</v>
      </c>
      <c r="T2275">
        <v>30773</v>
      </c>
      <c r="U2275">
        <v>34073</v>
      </c>
      <c r="V2275" t="s">
        <v>37</v>
      </c>
    </row>
    <row r="2276" spans="1:22">
      <c r="A2276" t="str">
        <f t="shared" si="447"/>
        <v>13/03/2026</v>
      </c>
      <c r="B2276" t="str">
        <f t="shared" si="448"/>
        <v>SAÍDA</v>
      </c>
      <c r="C2276" t="str">
        <f t="shared" si="440"/>
        <v>PIX</v>
      </c>
      <c r="D2276" t="str">
        <f>"34073"</f>
        <v>34073</v>
      </c>
      <c r="E2276" t="str">
        <f t="shared" si="441"/>
        <v>1</v>
      </c>
      <c r="F2276" t="str">
        <f t="shared" si="446"/>
        <v>COM</v>
      </c>
      <c r="G2276" t="str">
        <f>"KHENNEDY DAVY DOS SANTOS SILVA (692)"</f>
        <v>KHENNEDY DAVY DOS SANTOS SILVA (692)</v>
      </c>
      <c r="H2276" t="s">
        <v>443</v>
      </c>
      <c r="I2276" t="str">
        <f t="shared" si="439"/>
        <v>13/03/2026</v>
      </c>
      <c r="J2276" t="str">
        <f t="shared" si="445"/>
        <v>03/03/2026</v>
      </c>
      <c r="K2276">
        <v>46094</v>
      </c>
      <c r="N2276">
        <v>109</v>
      </c>
      <c r="O2276" t="s">
        <v>27</v>
      </c>
      <c r="Q2276">
        <v>634</v>
      </c>
      <c r="R2276" t="str">
        <f>"FARMÁCIA INDIANA LJ 65 (10030)"</f>
        <v>FARMÁCIA INDIANA LJ 65 (10030)</v>
      </c>
      <c r="S2276" t="s">
        <v>37</v>
      </c>
      <c r="T2276">
        <v>30773</v>
      </c>
      <c r="U2276">
        <v>34073</v>
      </c>
      <c r="V2276" t="s">
        <v>37</v>
      </c>
    </row>
    <row r="2277" spans="1:22">
      <c r="A2277" t="str">
        <f t="shared" si="447"/>
        <v>13/03/2026</v>
      </c>
      <c r="B2277" t="str">
        <f t="shared" si="448"/>
        <v>SAÍDA</v>
      </c>
      <c r="C2277" t="str">
        <f t="shared" si="440"/>
        <v>PIX</v>
      </c>
      <c r="D2277" t="str">
        <f>"34074"</f>
        <v>34074</v>
      </c>
      <c r="E2277" t="str">
        <f t="shared" si="441"/>
        <v>1</v>
      </c>
      <c r="F2277" t="str">
        <f t="shared" si="446"/>
        <v>COM</v>
      </c>
      <c r="G2277" t="str">
        <f>"LEONARDO MERCÊS CAJAZEIRAS (235)"</f>
        <v>LEONARDO MERCÊS CAJAZEIRAS (235)</v>
      </c>
      <c r="H2277" t="str">
        <f>"Serv.Prest. 23/02/2026 a 01/03/2026 - PIX: CELULAR - CHAVE: (73) 99803-0715"</f>
        <v>Serv.Prest. 23/02/2026 a 01/03/2026 - PIX: CELULAR - CHAVE: (73) 99803-0715</v>
      </c>
      <c r="I2277" t="str">
        <f t="shared" si="439"/>
        <v>13/03/2026</v>
      </c>
      <c r="J2277" t="str">
        <f t="shared" si="445"/>
        <v>03/03/2026</v>
      </c>
      <c r="K2277" t="str">
        <f>("13/03/2026")</f>
        <v>13/03/2026</v>
      </c>
      <c r="L2277">
        <v>600</v>
      </c>
      <c r="M2277">
        <v>600</v>
      </c>
      <c r="N2277">
        <v>109</v>
      </c>
      <c r="O2277" t="str">
        <f>"PAGAMENTO DE ENTREGADORES"</f>
        <v>PAGAMENTO DE ENTREGADORES</v>
      </c>
      <c r="P2277">
        <v>600</v>
      </c>
      <c r="S2277" t="str">
        <f>"BANCO C6 (149)"</f>
        <v>BANCO C6 (149)</v>
      </c>
      <c r="T2277">
        <v>30774</v>
      </c>
      <c r="U2277">
        <v>34074</v>
      </c>
      <c r="V2277" t="s">
        <v>37</v>
      </c>
    </row>
    <row r="2278" spans="1:22">
      <c r="A2278" t="str">
        <f t="shared" si="447"/>
        <v>13/03/2026</v>
      </c>
      <c r="B2278" t="str">
        <f t="shared" si="448"/>
        <v>SAÍDA</v>
      </c>
      <c r="C2278" t="str">
        <f t="shared" si="440"/>
        <v>PIX</v>
      </c>
      <c r="D2278" t="str">
        <f>"34074"</f>
        <v>34074</v>
      </c>
      <c r="E2278" t="str">
        <f t="shared" si="441"/>
        <v>1</v>
      </c>
      <c r="F2278" t="str">
        <f t="shared" si="446"/>
        <v>COM</v>
      </c>
      <c r="G2278" t="str">
        <f>"LEONARDO MERCÊS CAJAZEIRAS (235)"</f>
        <v>LEONARDO MERCÊS CAJAZEIRAS (235)</v>
      </c>
      <c r="H2278" t="s">
        <v>698</v>
      </c>
      <c r="I2278" t="str">
        <f t="shared" si="439"/>
        <v>13/03/2026</v>
      </c>
      <c r="J2278" t="str">
        <f t="shared" si="445"/>
        <v>03/03/2026</v>
      </c>
      <c r="K2278">
        <v>46094</v>
      </c>
      <c r="N2278">
        <v>109</v>
      </c>
      <c r="O2278" t="s">
        <v>27</v>
      </c>
      <c r="Q2278">
        <v>600</v>
      </c>
      <c r="R2278" t="str">
        <f>"FARMÁCIA INDIANA LJ 35 (10015)"</f>
        <v>FARMÁCIA INDIANA LJ 35 (10015)</v>
      </c>
      <c r="S2278" t="s">
        <v>37</v>
      </c>
      <c r="T2278">
        <v>30774</v>
      </c>
      <c r="U2278">
        <v>34074</v>
      </c>
      <c r="V2278" t="s">
        <v>37</v>
      </c>
    </row>
    <row r="2279" spans="1:22">
      <c r="A2279" t="str">
        <f t="shared" si="447"/>
        <v>13/03/2026</v>
      </c>
      <c r="B2279" t="str">
        <f t="shared" si="448"/>
        <v>SAÍDA</v>
      </c>
      <c r="C2279" t="str">
        <f t="shared" si="440"/>
        <v>PIX</v>
      </c>
      <c r="D2279" t="str">
        <f>"34075"</f>
        <v>34075</v>
      </c>
      <c r="E2279" t="str">
        <f t="shared" si="441"/>
        <v>1</v>
      </c>
      <c r="F2279" t="str">
        <f t="shared" si="446"/>
        <v>COM</v>
      </c>
      <c r="G2279" t="str">
        <f>"LEONARDO SANTOS BIANCHINI (1115)"</f>
        <v>LEONARDO SANTOS BIANCHINI (1115)</v>
      </c>
      <c r="H2279" t="str">
        <f>"Serv.Prest. 23/02/2026 a 01/03/2026 - PIX: CPF - CHAVE: 157.217.827-22"</f>
        <v>Serv.Prest. 23/02/2026 a 01/03/2026 - PIX: CPF - CHAVE: 157.217.827-22</v>
      </c>
      <c r="I2279" t="str">
        <f t="shared" ref="I2279:I2342" si="449">("13/03/2026")</f>
        <v>13/03/2026</v>
      </c>
      <c r="J2279" t="str">
        <f t="shared" si="445"/>
        <v>03/03/2026</v>
      </c>
      <c r="K2279" t="str">
        <f>("13/03/2026")</f>
        <v>13/03/2026</v>
      </c>
      <c r="L2279">
        <v>918</v>
      </c>
      <c r="M2279">
        <v>918</v>
      </c>
      <c r="N2279">
        <v>109</v>
      </c>
      <c r="O2279" t="str">
        <f>"PAGAMENTO DE ENTREGADORES"</f>
        <v>PAGAMENTO DE ENTREGADORES</v>
      </c>
      <c r="P2279">
        <v>918</v>
      </c>
      <c r="S2279" t="str">
        <f>"BANCO C6 (149)"</f>
        <v>BANCO C6 (149)</v>
      </c>
      <c r="T2279">
        <v>30775</v>
      </c>
      <c r="U2279">
        <v>34075</v>
      </c>
      <c r="V2279" t="s">
        <v>37</v>
      </c>
    </row>
    <row r="2280" spans="1:22">
      <c r="A2280" t="str">
        <f t="shared" si="447"/>
        <v>13/03/2026</v>
      </c>
      <c r="B2280" t="str">
        <f t="shared" si="448"/>
        <v>SAÍDA</v>
      </c>
      <c r="C2280" t="str">
        <f t="shared" si="440"/>
        <v>PIX</v>
      </c>
      <c r="D2280" t="str">
        <f>"34075"</f>
        <v>34075</v>
      </c>
      <c r="E2280" t="str">
        <f t="shared" si="441"/>
        <v>1</v>
      </c>
      <c r="F2280" t="str">
        <f t="shared" si="446"/>
        <v>COM</v>
      </c>
      <c r="G2280" t="str">
        <f>"LEONARDO SANTOS BIANCHINI (1115)"</f>
        <v>LEONARDO SANTOS BIANCHINI (1115)</v>
      </c>
      <c r="H2280" t="s">
        <v>699</v>
      </c>
      <c r="I2280" t="str">
        <f t="shared" si="449"/>
        <v>13/03/2026</v>
      </c>
      <c r="J2280" t="str">
        <f t="shared" si="445"/>
        <v>03/03/2026</v>
      </c>
      <c r="K2280">
        <v>46094</v>
      </c>
      <c r="N2280">
        <v>109</v>
      </c>
      <c r="O2280" t="s">
        <v>27</v>
      </c>
      <c r="Q2280">
        <v>918</v>
      </c>
      <c r="R2280" t="str">
        <f>"FARMÁCIA INDIANA LJ 92 (10281)"</f>
        <v>FARMÁCIA INDIANA LJ 92 (10281)</v>
      </c>
      <c r="S2280" t="s">
        <v>37</v>
      </c>
      <c r="T2280">
        <v>30775</v>
      </c>
      <c r="U2280">
        <v>34075</v>
      </c>
      <c r="V2280" t="s">
        <v>37</v>
      </c>
    </row>
    <row r="2281" spans="1:22">
      <c r="A2281" t="str">
        <f t="shared" si="447"/>
        <v>13/03/2026</v>
      </c>
      <c r="B2281" t="str">
        <f t="shared" si="448"/>
        <v>SAÍDA</v>
      </c>
      <c r="C2281" t="str">
        <f t="shared" ref="C2281:C2344" si="450">"PIX"</f>
        <v>PIX</v>
      </c>
      <c r="D2281" t="str">
        <f>"34076"</f>
        <v>34076</v>
      </c>
      <c r="E2281" t="str">
        <f t="shared" si="441"/>
        <v>1</v>
      </c>
      <c r="F2281" t="str">
        <f t="shared" si="446"/>
        <v>COM</v>
      </c>
      <c r="G2281" t="str">
        <f>"LUCAS MOREIRA PEREIRA (153)"</f>
        <v>LUCAS MOREIRA PEREIRA (153)</v>
      </c>
      <c r="H2281" t="str">
        <f>"Serv.Prest. 23/02/2026 a 01/03/2026 - PIX: CNPJ - CHAVE: 65.104.813/0001-77"</f>
        <v>Serv.Prest. 23/02/2026 a 01/03/2026 - PIX: CNPJ - CHAVE: 65.104.813/0001-77</v>
      </c>
      <c r="I2281" t="str">
        <f t="shared" si="449"/>
        <v>13/03/2026</v>
      </c>
      <c r="J2281" t="str">
        <f t="shared" si="445"/>
        <v>03/03/2026</v>
      </c>
      <c r="K2281" t="str">
        <f>("13/03/2026")</f>
        <v>13/03/2026</v>
      </c>
      <c r="L2281">
        <v>1800</v>
      </c>
      <c r="M2281">
        <v>1800</v>
      </c>
      <c r="N2281">
        <v>109</v>
      </c>
      <c r="O2281" t="str">
        <f>"PAGAMENTO DE ENTREGADORES"</f>
        <v>PAGAMENTO DE ENTREGADORES</v>
      </c>
      <c r="P2281">
        <v>1800</v>
      </c>
      <c r="S2281" t="str">
        <f>"BANCO C6 (149)"</f>
        <v>BANCO C6 (149)</v>
      </c>
      <c r="T2281">
        <v>30776</v>
      </c>
      <c r="U2281">
        <v>34076</v>
      </c>
      <c r="V2281" t="s">
        <v>37</v>
      </c>
    </row>
    <row r="2282" spans="1:22">
      <c r="A2282" t="str">
        <f t="shared" si="447"/>
        <v>13/03/2026</v>
      </c>
      <c r="B2282" t="str">
        <f t="shared" si="448"/>
        <v>SAÍDA</v>
      </c>
      <c r="C2282" t="str">
        <f t="shared" si="450"/>
        <v>PIX</v>
      </c>
      <c r="D2282" t="str">
        <f>"34076"</f>
        <v>34076</v>
      </c>
      <c r="E2282" t="str">
        <f t="shared" si="441"/>
        <v>1</v>
      </c>
      <c r="F2282" t="str">
        <f t="shared" si="446"/>
        <v>COM</v>
      </c>
      <c r="G2282" t="str">
        <f>"LUCAS MOREIRA PEREIRA (153)"</f>
        <v>LUCAS MOREIRA PEREIRA (153)</v>
      </c>
      <c r="H2282" t="s">
        <v>700</v>
      </c>
      <c r="I2282" t="str">
        <f t="shared" si="449"/>
        <v>13/03/2026</v>
      </c>
      <c r="J2282" t="str">
        <f t="shared" si="445"/>
        <v>03/03/2026</v>
      </c>
      <c r="K2282">
        <v>46094</v>
      </c>
      <c r="N2282">
        <v>109</v>
      </c>
      <c r="O2282" t="s">
        <v>27</v>
      </c>
      <c r="Q2282">
        <v>1324.98</v>
      </c>
      <c r="R2282" t="str">
        <f>"FARMÁCIA INDIANA LJ 48 (10018)"</f>
        <v>FARMÁCIA INDIANA LJ 48 (10018)</v>
      </c>
      <c r="S2282" t="s">
        <v>37</v>
      </c>
      <c r="T2282">
        <v>30776</v>
      </c>
      <c r="U2282">
        <v>34076</v>
      </c>
      <c r="V2282" t="s">
        <v>37</v>
      </c>
    </row>
    <row r="2283" spans="1:22">
      <c r="A2283" t="str">
        <f t="shared" si="447"/>
        <v>13/03/2026</v>
      </c>
      <c r="B2283" t="str">
        <f t="shared" si="448"/>
        <v>SAÍDA</v>
      </c>
      <c r="C2283" t="str">
        <f t="shared" si="450"/>
        <v>PIX</v>
      </c>
      <c r="D2283" t="str">
        <f>"34076"</f>
        <v>34076</v>
      </c>
      <c r="E2283" t="str">
        <f t="shared" si="441"/>
        <v>1</v>
      </c>
      <c r="F2283" t="str">
        <f t="shared" si="446"/>
        <v>COM</v>
      </c>
      <c r="G2283" t="str">
        <f>"LUCAS MOREIRA PEREIRA (153)"</f>
        <v>LUCAS MOREIRA PEREIRA (153)</v>
      </c>
      <c r="H2283" t="s">
        <v>700</v>
      </c>
      <c r="I2283" t="str">
        <f t="shared" si="449"/>
        <v>13/03/2026</v>
      </c>
      <c r="J2283" t="str">
        <f t="shared" si="445"/>
        <v>03/03/2026</v>
      </c>
      <c r="K2283">
        <v>46094</v>
      </c>
      <c r="N2283">
        <v>109</v>
      </c>
      <c r="O2283" t="s">
        <v>27</v>
      </c>
      <c r="Q2283">
        <v>475.02</v>
      </c>
      <c r="R2283" t="str">
        <f>"FARMÁCIA INDIANA LJ 169 (10073)"</f>
        <v>FARMÁCIA INDIANA LJ 169 (10073)</v>
      </c>
      <c r="S2283" t="s">
        <v>37</v>
      </c>
      <c r="T2283">
        <v>30776</v>
      </c>
      <c r="U2283">
        <v>34076</v>
      </c>
      <c r="V2283" t="s">
        <v>37</v>
      </c>
    </row>
    <row r="2284" spans="1:22">
      <c r="A2284" t="str">
        <f t="shared" si="447"/>
        <v>13/03/2026</v>
      </c>
      <c r="B2284" t="str">
        <f t="shared" si="448"/>
        <v>SAÍDA</v>
      </c>
      <c r="C2284" t="str">
        <f t="shared" si="450"/>
        <v>PIX</v>
      </c>
      <c r="D2284" t="str">
        <f>"34077"</f>
        <v>34077</v>
      </c>
      <c r="E2284" t="str">
        <f t="shared" si="441"/>
        <v>1</v>
      </c>
      <c r="F2284" t="str">
        <f t="shared" si="446"/>
        <v>COM</v>
      </c>
      <c r="G2284" t="str">
        <f>"MARCELO RODRIGUES DA SILVA (1194)"</f>
        <v>MARCELO RODRIGUES DA SILVA (1194)</v>
      </c>
      <c r="H2284" t="str">
        <f>"Serv.Prest. 23/02/2026 a 01/03/2026 - PIX: CELULAR - CHAVE: (73) 99178-4624"</f>
        <v>Serv.Prest. 23/02/2026 a 01/03/2026 - PIX: CELULAR - CHAVE: (73) 99178-4624</v>
      </c>
      <c r="I2284" t="str">
        <f t="shared" si="449"/>
        <v>13/03/2026</v>
      </c>
      <c r="J2284" t="str">
        <f t="shared" si="445"/>
        <v>03/03/2026</v>
      </c>
      <c r="K2284" t="str">
        <f>("13/03/2026")</f>
        <v>13/03/2026</v>
      </c>
      <c r="L2284">
        <v>702</v>
      </c>
      <c r="M2284">
        <v>702</v>
      </c>
      <c r="N2284">
        <v>109</v>
      </c>
      <c r="O2284" t="str">
        <f>"PAGAMENTO DE ENTREGADORES"</f>
        <v>PAGAMENTO DE ENTREGADORES</v>
      </c>
      <c r="P2284">
        <v>702</v>
      </c>
      <c r="S2284" t="str">
        <f>"BANCO C6 (149)"</f>
        <v>BANCO C6 (149)</v>
      </c>
      <c r="T2284">
        <v>30777</v>
      </c>
      <c r="U2284">
        <v>34077</v>
      </c>
      <c r="V2284" t="s">
        <v>37</v>
      </c>
    </row>
    <row r="2285" spans="1:22">
      <c r="A2285" t="str">
        <f t="shared" si="447"/>
        <v>13/03/2026</v>
      </c>
      <c r="B2285" t="str">
        <f t="shared" si="448"/>
        <v>SAÍDA</v>
      </c>
      <c r="C2285" t="str">
        <f t="shared" si="450"/>
        <v>PIX</v>
      </c>
      <c r="D2285" t="str">
        <f>"34077"</f>
        <v>34077</v>
      </c>
      <c r="E2285" t="str">
        <f t="shared" ref="E2285:E2348" si="451">"1"</f>
        <v>1</v>
      </c>
      <c r="F2285" t="str">
        <f t="shared" si="446"/>
        <v>COM</v>
      </c>
      <c r="G2285" t="str">
        <f>"MARCELO RODRIGUES DA SILVA (1194)"</f>
        <v>MARCELO RODRIGUES DA SILVA (1194)</v>
      </c>
      <c r="H2285" t="s">
        <v>701</v>
      </c>
      <c r="I2285" t="str">
        <f t="shared" si="449"/>
        <v>13/03/2026</v>
      </c>
      <c r="J2285" t="str">
        <f t="shared" si="445"/>
        <v>03/03/2026</v>
      </c>
      <c r="K2285">
        <v>46094</v>
      </c>
      <c r="N2285">
        <v>109</v>
      </c>
      <c r="O2285" t="s">
        <v>27</v>
      </c>
      <c r="Q2285">
        <v>691.33</v>
      </c>
      <c r="R2285" t="str">
        <f>"FARMÁCIA INDIANA LJ 145 (10068)"</f>
        <v>FARMÁCIA INDIANA LJ 145 (10068)</v>
      </c>
      <c r="S2285" t="s">
        <v>37</v>
      </c>
      <c r="T2285">
        <v>30777</v>
      </c>
      <c r="U2285">
        <v>34077</v>
      </c>
      <c r="V2285" t="s">
        <v>37</v>
      </c>
    </row>
    <row r="2286" spans="1:22">
      <c r="A2286" t="str">
        <f t="shared" si="447"/>
        <v>13/03/2026</v>
      </c>
      <c r="B2286" t="str">
        <f t="shared" si="448"/>
        <v>SAÍDA</v>
      </c>
      <c r="C2286" t="str">
        <f t="shared" si="450"/>
        <v>PIX</v>
      </c>
      <c r="D2286" t="str">
        <f>"34077"</f>
        <v>34077</v>
      </c>
      <c r="E2286" t="str">
        <f t="shared" si="451"/>
        <v>1</v>
      </c>
      <c r="F2286" t="str">
        <f t="shared" si="446"/>
        <v>COM</v>
      </c>
      <c r="G2286" t="str">
        <f>"MARCELO RODRIGUES DA SILVA (1194)"</f>
        <v>MARCELO RODRIGUES DA SILVA (1194)</v>
      </c>
      <c r="H2286" t="s">
        <v>701</v>
      </c>
      <c r="I2286" t="str">
        <f t="shared" si="449"/>
        <v>13/03/2026</v>
      </c>
      <c r="J2286" t="str">
        <f t="shared" si="445"/>
        <v>03/03/2026</v>
      </c>
      <c r="K2286">
        <v>46094</v>
      </c>
      <c r="N2286">
        <v>109</v>
      </c>
      <c r="O2286" t="s">
        <v>27</v>
      </c>
      <c r="Q2286">
        <v>10.67</v>
      </c>
      <c r="R2286" t="str">
        <f>"FARMÁCIA INDIANA LJ 155 (10273)"</f>
        <v>FARMÁCIA INDIANA LJ 155 (10273)</v>
      </c>
      <c r="S2286" t="s">
        <v>37</v>
      </c>
      <c r="T2286">
        <v>30777</v>
      </c>
      <c r="U2286">
        <v>34077</v>
      </c>
      <c r="V2286" t="s">
        <v>37</v>
      </c>
    </row>
    <row r="2287" spans="1:22">
      <c r="A2287" t="str">
        <f t="shared" si="447"/>
        <v>13/03/2026</v>
      </c>
      <c r="B2287" t="str">
        <f t="shared" si="448"/>
        <v>SAÍDA</v>
      </c>
      <c r="C2287" t="str">
        <f t="shared" si="450"/>
        <v>PIX</v>
      </c>
      <c r="D2287" t="str">
        <f>"34078"</f>
        <v>34078</v>
      </c>
      <c r="E2287" t="str">
        <f t="shared" si="451"/>
        <v>1</v>
      </c>
      <c r="F2287" t="str">
        <f t="shared" si="446"/>
        <v>COM</v>
      </c>
      <c r="G2287" t="str">
        <f>"MARIA ILZA PEREIRA DOS SANTOS (618)"</f>
        <v>MARIA ILZA PEREIRA DOS SANTOS (618)</v>
      </c>
      <c r="H2287" t="str">
        <f>"Serv.Prest. 23/02/2026 a 01/03/2026 - PIX: CPF - CHAVE: 003.157.195-67"</f>
        <v>Serv.Prest. 23/02/2026 a 01/03/2026 - PIX: CPF - CHAVE: 003.157.195-67</v>
      </c>
      <c r="I2287" t="str">
        <f t="shared" si="449"/>
        <v>13/03/2026</v>
      </c>
      <c r="J2287" t="str">
        <f t="shared" si="445"/>
        <v>03/03/2026</v>
      </c>
      <c r="K2287" t="str">
        <f>("13/03/2026")</f>
        <v>13/03/2026</v>
      </c>
      <c r="L2287">
        <v>634</v>
      </c>
      <c r="M2287">
        <v>634</v>
      </c>
      <c r="N2287">
        <v>109</v>
      </c>
      <c r="O2287" t="str">
        <f>"PAGAMENTO DE ENTREGADORES"</f>
        <v>PAGAMENTO DE ENTREGADORES</v>
      </c>
      <c r="P2287">
        <v>634</v>
      </c>
      <c r="S2287" t="str">
        <f>"BANCO C6 (149)"</f>
        <v>BANCO C6 (149)</v>
      </c>
      <c r="T2287">
        <v>30778</v>
      </c>
      <c r="U2287">
        <v>34078</v>
      </c>
      <c r="V2287" t="s">
        <v>37</v>
      </c>
    </row>
    <row r="2288" spans="1:22">
      <c r="A2288" t="str">
        <f t="shared" si="447"/>
        <v>13/03/2026</v>
      </c>
      <c r="B2288" t="str">
        <f t="shared" si="448"/>
        <v>SAÍDA</v>
      </c>
      <c r="C2288" t="str">
        <f t="shared" si="450"/>
        <v>PIX</v>
      </c>
      <c r="D2288" t="str">
        <f>"34078"</f>
        <v>34078</v>
      </c>
      <c r="E2288" t="str">
        <f t="shared" si="451"/>
        <v>1</v>
      </c>
      <c r="F2288" t="str">
        <f t="shared" si="446"/>
        <v>COM</v>
      </c>
      <c r="G2288" t="str">
        <f>"MARIA ILZA PEREIRA DOS SANTOS (618)"</f>
        <v>MARIA ILZA PEREIRA DOS SANTOS (618)</v>
      </c>
      <c r="H2288" t="s">
        <v>539</v>
      </c>
      <c r="I2288" t="str">
        <f t="shared" si="449"/>
        <v>13/03/2026</v>
      </c>
      <c r="J2288" t="str">
        <f t="shared" si="445"/>
        <v>03/03/2026</v>
      </c>
      <c r="K2288">
        <v>46094</v>
      </c>
      <c r="N2288">
        <v>109</v>
      </c>
      <c r="O2288" t="s">
        <v>27</v>
      </c>
      <c r="Q2288">
        <v>533.89</v>
      </c>
      <c r="R2288" t="str">
        <f>"FARMÁCIA INDIANA LJ 65 (10030)"</f>
        <v>FARMÁCIA INDIANA LJ 65 (10030)</v>
      </c>
      <c r="S2288" t="s">
        <v>37</v>
      </c>
      <c r="T2288">
        <v>30778</v>
      </c>
      <c r="U2288">
        <v>34078</v>
      </c>
      <c r="V2288" t="s">
        <v>37</v>
      </c>
    </row>
    <row r="2289" spans="1:22">
      <c r="A2289" t="str">
        <f t="shared" si="447"/>
        <v>13/03/2026</v>
      </c>
      <c r="B2289" t="str">
        <f t="shared" si="448"/>
        <v>SAÍDA</v>
      </c>
      <c r="C2289" t="str">
        <f t="shared" si="450"/>
        <v>PIX</v>
      </c>
      <c r="D2289" t="str">
        <f>"34078"</f>
        <v>34078</v>
      </c>
      <c r="E2289" t="str">
        <f t="shared" si="451"/>
        <v>1</v>
      </c>
      <c r="F2289" t="str">
        <f t="shared" si="446"/>
        <v>COM</v>
      </c>
      <c r="G2289" t="str">
        <f>"MARIA ILZA PEREIRA DOS SANTOS (618)"</f>
        <v>MARIA ILZA PEREIRA DOS SANTOS (618)</v>
      </c>
      <c r="H2289" t="s">
        <v>539</v>
      </c>
      <c r="I2289" t="str">
        <f t="shared" si="449"/>
        <v>13/03/2026</v>
      </c>
      <c r="J2289" t="str">
        <f t="shared" si="445"/>
        <v>03/03/2026</v>
      </c>
      <c r="K2289">
        <v>46094</v>
      </c>
      <c r="N2289">
        <v>109</v>
      </c>
      <c r="O2289" t="s">
        <v>27</v>
      </c>
      <c r="Q2289">
        <v>100.11</v>
      </c>
      <c r="R2289" t="str">
        <f>"FARMÁCIA INDIANA LJ 173 (10075)"</f>
        <v>FARMÁCIA INDIANA LJ 173 (10075)</v>
      </c>
      <c r="S2289" t="s">
        <v>37</v>
      </c>
      <c r="T2289">
        <v>30778</v>
      </c>
      <c r="U2289">
        <v>34078</v>
      </c>
      <c r="V2289" t="s">
        <v>37</v>
      </c>
    </row>
    <row r="2290" spans="1:22">
      <c r="A2290" t="str">
        <f t="shared" si="447"/>
        <v>13/03/2026</v>
      </c>
      <c r="B2290" t="str">
        <f t="shared" si="448"/>
        <v>SAÍDA</v>
      </c>
      <c r="C2290" t="str">
        <f t="shared" si="450"/>
        <v>PIX</v>
      </c>
      <c r="D2290" t="str">
        <f>"34079"</f>
        <v>34079</v>
      </c>
      <c r="E2290" t="str">
        <f t="shared" si="451"/>
        <v>1</v>
      </c>
      <c r="F2290" t="str">
        <f t="shared" si="446"/>
        <v>COM</v>
      </c>
      <c r="G2290" t="str">
        <f>"MOABIO AZEVEDO DOS SANTOS (131)"</f>
        <v>MOABIO AZEVEDO DOS SANTOS (131)</v>
      </c>
      <c r="H2290" t="str">
        <f>"Serv.Prest. 23/02/2026 a 01/03/2026 - PIX: CNPJ - CHAVE: 33.412.676/0001-41"</f>
        <v>Serv.Prest. 23/02/2026 a 01/03/2026 - PIX: CNPJ - CHAVE: 33.412.676/0001-41</v>
      </c>
      <c r="I2290" t="str">
        <f t="shared" si="449"/>
        <v>13/03/2026</v>
      </c>
      <c r="J2290" t="str">
        <f t="shared" si="445"/>
        <v>03/03/2026</v>
      </c>
      <c r="K2290" t="str">
        <f>("13/03/2026")</f>
        <v>13/03/2026</v>
      </c>
      <c r="L2290">
        <v>1218</v>
      </c>
      <c r="M2290">
        <v>1218</v>
      </c>
      <c r="N2290">
        <v>109</v>
      </c>
      <c r="O2290" t="str">
        <f>"PAGAMENTO DE ENTREGADORES"</f>
        <v>PAGAMENTO DE ENTREGADORES</v>
      </c>
      <c r="P2290">
        <v>1218</v>
      </c>
      <c r="S2290" t="str">
        <f>"BANCO C6 (149)"</f>
        <v>BANCO C6 (149)</v>
      </c>
      <c r="T2290">
        <v>30779</v>
      </c>
      <c r="U2290">
        <v>34079</v>
      </c>
      <c r="V2290" t="s">
        <v>37</v>
      </c>
    </row>
    <row r="2291" spans="1:22">
      <c r="A2291" t="str">
        <f t="shared" si="447"/>
        <v>13/03/2026</v>
      </c>
      <c r="B2291" t="str">
        <f t="shared" si="448"/>
        <v>SAÍDA</v>
      </c>
      <c r="C2291" t="str">
        <f t="shared" si="450"/>
        <v>PIX</v>
      </c>
      <c r="D2291" t="str">
        <f>"34079"</f>
        <v>34079</v>
      </c>
      <c r="E2291" t="str">
        <f t="shared" si="451"/>
        <v>1</v>
      </c>
      <c r="F2291" t="str">
        <f t="shared" si="446"/>
        <v>COM</v>
      </c>
      <c r="G2291" t="str">
        <f>"MOABIO AZEVEDO DOS SANTOS (131)"</f>
        <v>MOABIO AZEVEDO DOS SANTOS (131)</v>
      </c>
      <c r="H2291" t="s">
        <v>702</v>
      </c>
      <c r="I2291" t="str">
        <f t="shared" si="449"/>
        <v>13/03/2026</v>
      </c>
      <c r="J2291" t="str">
        <f t="shared" si="445"/>
        <v>03/03/2026</v>
      </c>
      <c r="K2291">
        <v>46094</v>
      </c>
      <c r="N2291">
        <v>109</v>
      </c>
      <c r="O2291" t="s">
        <v>27</v>
      </c>
      <c r="Q2291">
        <v>1218</v>
      </c>
      <c r="R2291" t="str">
        <f>"FARMÁCIA INDIANA LJ 91 (10037)"</f>
        <v>FARMÁCIA INDIANA LJ 91 (10037)</v>
      </c>
      <c r="S2291" t="s">
        <v>37</v>
      </c>
      <c r="T2291">
        <v>30779</v>
      </c>
      <c r="U2291">
        <v>34079</v>
      </c>
      <c r="V2291" t="s">
        <v>37</v>
      </c>
    </row>
    <row r="2292" spans="1:22">
      <c r="A2292" t="str">
        <f t="shared" si="447"/>
        <v>13/03/2026</v>
      </c>
      <c r="B2292" t="str">
        <f t="shared" si="448"/>
        <v>SAÍDA</v>
      </c>
      <c r="C2292" t="str">
        <f t="shared" si="450"/>
        <v>PIX</v>
      </c>
      <c r="D2292" t="str">
        <f>"34080"</f>
        <v>34080</v>
      </c>
      <c r="E2292" t="str">
        <f t="shared" si="451"/>
        <v>1</v>
      </c>
      <c r="F2292" t="str">
        <f t="shared" si="446"/>
        <v>COM</v>
      </c>
      <c r="G2292" t="str">
        <f>"NATANAEL AZEVEDO DOS SANTOS (765)"</f>
        <v>NATANAEL AZEVEDO DOS SANTOS (765)</v>
      </c>
      <c r="H2292" t="str">
        <f>"Serv.Prest. 23/02/2026 a 01/03/2026 - PIX: CPF - CHAVE: 007.842.745-25"</f>
        <v>Serv.Prest. 23/02/2026 a 01/03/2026 - PIX: CPF - CHAVE: 007.842.745-25</v>
      </c>
      <c r="I2292" t="str">
        <f t="shared" si="449"/>
        <v>13/03/2026</v>
      </c>
      <c r="J2292" t="str">
        <f t="shared" si="445"/>
        <v>03/03/2026</v>
      </c>
      <c r="K2292" t="str">
        <f>("13/03/2026")</f>
        <v>13/03/2026</v>
      </c>
      <c r="L2292">
        <v>730</v>
      </c>
      <c r="M2292">
        <v>730</v>
      </c>
      <c r="N2292">
        <v>109</v>
      </c>
      <c r="O2292" t="str">
        <f>"PAGAMENTO DE ENTREGADORES"</f>
        <v>PAGAMENTO DE ENTREGADORES</v>
      </c>
      <c r="P2292">
        <v>730</v>
      </c>
      <c r="S2292" t="str">
        <f>"BANCO C6 (149)"</f>
        <v>BANCO C6 (149)</v>
      </c>
      <c r="T2292">
        <v>30780</v>
      </c>
      <c r="U2292">
        <v>34080</v>
      </c>
      <c r="V2292" t="s">
        <v>37</v>
      </c>
    </row>
    <row r="2293" spans="1:22">
      <c r="A2293" t="str">
        <f t="shared" si="447"/>
        <v>13/03/2026</v>
      </c>
      <c r="B2293" t="str">
        <f t="shared" si="448"/>
        <v>SAÍDA</v>
      </c>
      <c r="C2293" t="str">
        <f t="shared" si="450"/>
        <v>PIX</v>
      </c>
      <c r="D2293" t="str">
        <f>"34080"</f>
        <v>34080</v>
      </c>
      <c r="E2293" t="str">
        <f t="shared" si="451"/>
        <v>1</v>
      </c>
      <c r="F2293" t="str">
        <f t="shared" si="446"/>
        <v>COM</v>
      </c>
      <c r="G2293" t="str">
        <f>"NATANAEL AZEVEDO DOS SANTOS (765)"</f>
        <v>NATANAEL AZEVEDO DOS SANTOS (765)</v>
      </c>
      <c r="H2293" t="s">
        <v>528</v>
      </c>
      <c r="I2293" t="str">
        <f t="shared" si="449"/>
        <v>13/03/2026</v>
      </c>
      <c r="J2293" t="str">
        <f t="shared" si="445"/>
        <v>03/03/2026</v>
      </c>
      <c r="K2293">
        <v>46094</v>
      </c>
      <c r="N2293">
        <v>109</v>
      </c>
      <c r="O2293" t="s">
        <v>27</v>
      </c>
      <c r="Q2293">
        <v>730</v>
      </c>
      <c r="R2293" t="str">
        <f>"FARMÁCIA INDIANA LJ 91 (10037)"</f>
        <v>FARMÁCIA INDIANA LJ 91 (10037)</v>
      </c>
      <c r="S2293" t="s">
        <v>37</v>
      </c>
      <c r="T2293">
        <v>30780</v>
      </c>
      <c r="U2293">
        <v>34080</v>
      </c>
      <c r="V2293" t="s">
        <v>37</v>
      </c>
    </row>
    <row r="2294" spans="1:22">
      <c r="A2294" t="str">
        <f t="shared" si="447"/>
        <v>13/03/2026</v>
      </c>
      <c r="B2294" t="str">
        <f t="shared" si="448"/>
        <v>SAÍDA</v>
      </c>
      <c r="C2294" t="str">
        <f t="shared" si="450"/>
        <v>PIX</v>
      </c>
      <c r="D2294" t="str">
        <f>"34081"</f>
        <v>34081</v>
      </c>
      <c r="E2294" t="str">
        <f t="shared" si="451"/>
        <v>1</v>
      </c>
      <c r="F2294" t="str">
        <f t="shared" si="446"/>
        <v>COM</v>
      </c>
      <c r="G2294" t="str">
        <f>"OSVALDO DOS SANTOS (163)"</f>
        <v>OSVALDO DOS SANTOS (163)</v>
      </c>
      <c r="H2294" t="str">
        <f>"Serv.Prest. 23/02/2026 a 01/03/2026 - PIX: CELULAR - CHAVE: (73) 99977-2721"</f>
        <v>Serv.Prest. 23/02/2026 a 01/03/2026 - PIX: CELULAR - CHAVE: (73) 99977-2721</v>
      </c>
      <c r="I2294" t="str">
        <f t="shared" si="449"/>
        <v>13/03/2026</v>
      </c>
      <c r="J2294" t="str">
        <f t="shared" ref="J2294:J2357" si="452">("03/03/2026")</f>
        <v>03/03/2026</v>
      </c>
      <c r="K2294" t="str">
        <f>("13/03/2026")</f>
        <v>13/03/2026</v>
      </c>
      <c r="L2294">
        <v>600</v>
      </c>
      <c r="M2294">
        <v>600</v>
      </c>
      <c r="N2294">
        <v>109</v>
      </c>
      <c r="O2294" t="str">
        <f>"PAGAMENTO DE ENTREGADORES"</f>
        <v>PAGAMENTO DE ENTREGADORES</v>
      </c>
      <c r="P2294">
        <v>600</v>
      </c>
      <c r="S2294" t="str">
        <f>"BANCO C6 (149)"</f>
        <v>BANCO C6 (149)</v>
      </c>
      <c r="T2294">
        <v>30781</v>
      </c>
      <c r="U2294">
        <v>34081</v>
      </c>
      <c r="V2294" t="s">
        <v>37</v>
      </c>
    </row>
    <row r="2295" spans="1:22">
      <c r="A2295" t="str">
        <f t="shared" si="447"/>
        <v>13/03/2026</v>
      </c>
      <c r="B2295" t="str">
        <f t="shared" si="448"/>
        <v>SAÍDA</v>
      </c>
      <c r="C2295" t="str">
        <f t="shared" si="450"/>
        <v>PIX</v>
      </c>
      <c r="D2295" t="str">
        <f>"34081"</f>
        <v>34081</v>
      </c>
      <c r="E2295" t="str">
        <f t="shared" si="451"/>
        <v>1</v>
      </c>
      <c r="F2295" t="str">
        <f t="shared" si="446"/>
        <v>COM</v>
      </c>
      <c r="G2295" t="str">
        <f>"OSVALDO DOS SANTOS (163)"</f>
        <v>OSVALDO DOS SANTOS (163)</v>
      </c>
      <c r="H2295" t="s">
        <v>703</v>
      </c>
      <c r="I2295" t="str">
        <f t="shared" si="449"/>
        <v>13/03/2026</v>
      </c>
      <c r="J2295" t="str">
        <f t="shared" si="452"/>
        <v>03/03/2026</v>
      </c>
      <c r="K2295">
        <v>46094</v>
      </c>
      <c r="N2295">
        <v>109</v>
      </c>
      <c r="O2295" t="s">
        <v>27</v>
      </c>
      <c r="Q2295">
        <v>600</v>
      </c>
      <c r="R2295" t="str">
        <f>"FARMÁCIA INDIANA LJ 35 (10015)"</f>
        <v>FARMÁCIA INDIANA LJ 35 (10015)</v>
      </c>
      <c r="S2295" t="s">
        <v>37</v>
      </c>
      <c r="T2295">
        <v>30781</v>
      </c>
      <c r="U2295">
        <v>34081</v>
      </c>
      <c r="V2295" t="s">
        <v>37</v>
      </c>
    </row>
    <row r="2296" spans="1:22">
      <c r="A2296" t="str">
        <f t="shared" si="447"/>
        <v>13/03/2026</v>
      </c>
      <c r="B2296" t="str">
        <f t="shared" si="448"/>
        <v>SAÍDA</v>
      </c>
      <c r="C2296" t="str">
        <f t="shared" si="450"/>
        <v>PIX</v>
      </c>
      <c r="D2296" t="str">
        <f>"34084"</f>
        <v>34084</v>
      </c>
      <c r="E2296" t="str">
        <f t="shared" si="451"/>
        <v>1</v>
      </c>
      <c r="F2296" t="str">
        <f t="shared" si="446"/>
        <v>COM</v>
      </c>
      <c r="G2296" t="str">
        <f>"TALLES SILVA GUIMARAES (1098)"</f>
        <v>TALLES SILVA GUIMARAES (1098)</v>
      </c>
      <c r="H2296" t="str">
        <f>"Serv.Prest. 23/02/2026 a 01/03/2026 - PIX: CPF - CHAVE: 072.209.985-11"</f>
        <v>Serv.Prest. 23/02/2026 a 01/03/2026 - PIX: CPF - CHAVE: 072.209.985-11</v>
      </c>
      <c r="I2296" t="str">
        <f t="shared" si="449"/>
        <v>13/03/2026</v>
      </c>
      <c r="J2296" t="str">
        <f t="shared" si="452"/>
        <v>03/03/2026</v>
      </c>
      <c r="K2296" t="str">
        <f>("13/03/2026")</f>
        <v>13/03/2026</v>
      </c>
      <c r="L2296">
        <v>600</v>
      </c>
      <c r="M2296">
        <v>600</v>
      </c>
      <c r="N2296">
        <v>109</v>
      </c>
      <c r="O2296" t="str">
        <f>"PAGAMENTO DE ENTREGADORES"</f>
        <v>PAGAMENTO DE ENTREGADORES</v>
      </c>
      <c r="P2296">
        <v>600</v>
      </c>
      <c r="S2296" t="str">
        <f>"BANCO C6 (149)"</f>
        <v>BANCO C6 (149)</v>
      </c>
      <c r="T2296">
        <v>30782</v>
      </c>
      <c r="U2296">
        <v>34084</v>
      </c>
      <c r="V2296" t="s">
        <v>37</v>
      </c>
    </row>
    <row r="2297" spans="1:22">
      <c r="A2297" t="str">
        <f t="shared" si="447"/>
        <v>13/03/2026</v>
      </c>
      <c r="B2297" t="str">
        <f t="shared" si="448"/>
        <v>SAÍDA</v>
      </c>
      <c r="C2297" t="str">
        <f t="shared" si="450"/>
        <v>PIX</v>
      </c>
      <c r="D2297" t="str">
        <f>"34084"</f>
        <v>34084</v>
      </c>
      <c r="E2297" t="str">
        <f t="shared" si="451"/>
        <v>1</v>
      </c>
      <c r="F2297" t="str">
        <f t="shared" si="446"/>
        <v>COM</v>
      </c>
      <c r="G2297" t="str">
        <f>"TALLES SILVA GUIMARAES (1098)"</f>
        <v>TALLES SILVA GUIMARAES (1098)</v>
      </c>
      <c r="H2297" t="s">
        <v>704</v>
      </c>
      <c r="I2297" t="str">
        <f t="shared" si="449"/>
        <v>13/03/2026</v>
      </c>
      <c r="J2297" t="str">
        <f t="shared" si="452"/>
        <v>03/03/2026</v>
      </c>
      <c r="K2297">
        <v>46094</v>
      </c>
      <c r="N2297">
        <v>109</v>
      </c>
      <c r="O2297" t="s">
        <v>27</v>
      </c>
      <c r="Q2297">
        <v>600</v>
      </c>
      <c r="R2297" t="str">
        <f>"FARMÁCIA INDIANA LJ 213 (10090)"</f>
        <v>FARMÁCIA INDIANA LJ 213 (10090)</v>
      </c>
      <c r="S2297" t="s">
        <v>37</v>
      </c>
      <c r="T2297">
        <v>30782</v>
      </c>
      <c r="U2297">
        <v>34084</v>
      </c>
      <c r="V2297" t="s">
        <v>37</v>
      </c>
    </row>
    <row r="2298" spans="1:22">
      <c r="A2298" t="str">
        <f t="shared" si="447"/>
        <v>13/03/2026</v>
      </c>
      <c r="B2298" t="str">
        <f t="shared" si="448"/>
        <v>SAÍDA</v>
      </c>
      <c r="C2298" t="str">
        <f t="shared" si="450"/>
        <v>PIX</v>
      </c>
      <c r="D2298" t="str">
        <f>"34085"</f>
        <v>34085</v>
      </c>
      <c r="E2298" t="str">
        <f t="shared" si="451"/>
        <v>1</v>
      </c>
      <c r="F2298" t="str">
        <f t="shared" si="446"/>
        <v>COM</v>
      </c>
      <c r="G2298" t="str">
        <f>"VINICIUS SANTOS PEREIRA (633)"</f>
        <v>VINICIUS SANTOS PEREIRA (633)</v>
      </c>
      <c r="H2298" t="str">
        <f>"Serv.Prest. 23/02/2026 a 01/03/2026 - PIX: CELULAR - CHAVE: (73) 99818-9718"</f>
        <v>Serv.Prest. 23/02/2026 a 01/03/2026 - PIX: CELULAR - CHAVE: (73) 99818-9718</v>
      </c>
      <c r="I2298" t="str">
        <f t="shared" si="449"/>
        <v>13/03/2026</v>
      </c>
      <c r="J2298" t="str">
        <f t="shared" si="452"/>
        <v>03/03/2026</v>
      </c>
      <c r="K2298" t="str">
        <f>("13/03/2026")</f>
        <v>13/03/2026</v>
      </c>
      <c r="L2298">
        <v>1119</v>
      </c>
      <c r="M2298">
        <v>1119</v>
      </c>
      <c r="N2298">
        <v>109</v>
      </c>
      <c r="O2298" t="str">
        <f>"PAGAMENTO DE ENTREGADORES"</f>
        <v>PAGAMENTO DE ENTREGADORES</v>
      </c>
      <c r="P2298">
        <v>1119</v>
      </c>
      <c r="S2298" t="str">
        <f>"BANCO C6 (149)"</f>
        <v>BANCO C6 (149)</v>
      </c>
      <c r="T2298">
        <v>30783</v>
      </c>
      <c r="U2298">
        <v>34085</v>
      </c>
      <c r="V2298" t="s">
        <v>37</v>
      </c>
    </row>
    <row r="2299" spans="1:22">
      <c r="A2299" t="str">
        <f t="shared" si="447"/>
        <v>13/03/2026</v>
      </c>
      <c r="B2299" t="str">
        <f t="shared" si="448"/>
        <v>SAÍDA</v>
      </c>
      <c r="C2299" t="str">
        <f t="shared" si="450"/>
        <v>PIX</v>
      </c>
      <c r="D2299" t="str">
        <f>"34085"</f>
        <v>34085</v>
      </c>
      <c r="E2299" t="str">
        <f t="shared" si="451"/>
        <v>1</v>
      </c>
      <c r="F2299" t="str">
        <f t="shared" si="446"/>
        <v>COM</v>
      </c>
      <c r="G2299" t="str">
        <f>"VINICIUS SANTOS PEREIRA (633)"</f>
        <v>VINICIUS SANTOS PEREIRA (633)</v>
      </c>
      <c r="H2299" t="s">
        <v>542</v>
      </c>
      <c r="I2299" t="str">
        <f t="shared" si="449"/>
        <v>13/03/2026</v>
      </c>
      <c r="J2299" t="str">
        <f t="shared" si="452"/>
        <v>03/03/2026</v>
      </c>
      <c r="K2299">
        <v>46094</v>
      </c>
      <c r="N2299">
        <v>109</v>
      </c>
      <c r="O2299" t="s">
        <v>27</v>
      </c>
      <c r="Q2299">
        <v>1119</v>
      </c>
      <c r="R2299" t="str">
        <f>"FARMÁCIA INDIANA LJ 95 (10039)"</f>
        <v>FARMÁCIA INDIANA LJ 95 (10039)</v>
      </c>
      <c r="S2299" t="s">
        <v>37</v>
      </c>
      <c r="T2299">
        <v>30783</v>
      </c>
      <c r="U2299">
        <v>34085</v>
      </c>
      <c r="V2299" t="s">
        <v>37</v>
      </c>
    </row>
    <row r="2300" spans="1:22">
      <c r="A2300" t="str">
        <f t="shared" si="447"/>
        <v>13/03/2026</v>
      </c>
      <c r="B2300" t="str">
        <f t="shared" si="448"/>
        <v>SAÍDA</v>
      </c>
      <c r="C2300" t="str">
        <f t="shared" si="450"/>
        <v>PIX</v>
      </c>
      <c r="D2300" t="str">
        <f>"34086"</f>
        <v>34086</v>
      </c>
      <c r="E2300" t="str">
        <f t="shared" si="451"/>
        <v>1</v>
      </c>
      <c r="F2300" t="str">
        <f t="shared" si="446"/>
        <v>COM</v>
      </c>
      <c r="G2300" t="str">
        <f>"WESLEI GONÇALVES SANTOS (154)"</f>
        <v>WESLEI GONÇALVES SANTOS (154)</v>
      </c>
      <c r="H2300" t="str">
        <f>"Serv.Prest. 23/02/2026 a 01/03/2026 - PIX: CPF - CHAVE: 079.068.045-97"</f>
        <v>Serv.Prest. 23/02/2026 a 01/03/2026 - PIX: CPF - CHAVE: 079.068.045-97</v>
      </c>
      <c r="I2300" t="str">
        <f t="shared" si="449"/>
        <v>13/03/2026</v>
      </c>
      <c r="J2300" t="str">
        <f t="shared" si="452"/>
        <v>03/03/2026</v>
      </c>
      <c r="K2300" t="str">
        <f>("13/03/2026")</f>
        <v>13/03/2026</v>
      </c>
      <c r="L2300">
        <v>600.66</v>
      </c>
      <c r="M2300">
        <v>600.66</v>
      </c>
      <c r="N2300">
        <v>109</v>
      </c>
      <c r="O2300" t="str">
        <f>"PAGAMENTO DE ENTREGADORES"</f>
        <v>PAGAMENTO DE ENTREGADORES</v>
      </c>
      <c r="P2300">
        <v>600.66</v>
      </c>
      <c r="S2300" t="str">
        <f>"BANCO C6 (149)"</f>
        <v>BANCO C6 (149)</v>
      </c>
      <c r="T2300">
        <v>30784</v>
      </c>
      <c r="U2300">
        <v>34086</v>
      </c>
      <c r="V2300" t="s">
        <v>37</v>
      </c>
    </row>
    <row r="2301" spans="1:22">
      <c r="A2301" t="str">
        <f t="shared" si="447"/>
        <v>13/03/2026</v>
      </c>
      <c r="B2301" t="str">
        <f t="shared" si="448"/>
        <v>SAÍDA</v>
      </c>
      <c r="C2301" t="str">
        <f t="shared" si="450"/>
        <v>PIX</v>
      </c>
      <c r="D2301" t="str">
        <f>"34086"</f>
        <v>34086</v>
      </c>
      <c r="E2301" t="str">
        <f t="shared" si="451"/>
        <v>1</v>
      </c>
      <c r="F2301" t="str">
        <f t="shared" si="446"/>
        <v>COM</v>
      </c>
      <c r="G2301" t="str">
        <f>"WESLEI GONÇALVES SANTOS (154)"</f>
        <v>WESLEI GONÇALVES SANTOS (154)</v>
      </c>
      <c r="H2301" t="s">
        <v>705</v>
      </c>
      <c r="I2301" t="str">
        <f t="shared" si="449"/>
        <v>13/03/2026</v>
      </c>
      <c r="J2301" t="str">
        <f t="shared" si="452"/>
        <v>03/03/2026</v>
      </c>
      <c r="K2301">
        <v>46094</v>
      </c>
      <c r="N2301">
        <v>109</v>
      </c>
      <c r="O2301" t="s">
        <v>27</v>
      </c>
      <c r="Q2301">
        <v>600.66</v>
      </c>
      <c r="R2301" t="str">
        <f>"FARMÁCIA INDIANA LJ 34 (10014)"</f>
        <v>FARMÁCIA INDIANA LJ 34 (10014)</v>
      </c>
      <c r="S2301" t="s">
        <v>37</v>
      </c>
      <c r="T2301">
        <v>30784</v>
      </c>
      <c r="U2301">
        <v>34086</v>
      </c>
      <c r="V2301" t="s">
        <v>37</v>
      </c>
    </row>
    <row r="2302" spans="1:22">
      <c r="A2302" t="str">
        <f t="shared" si="447"/>
        <v>13/03/2026</v>
      </c>
      <c r="B2302" t="str">
        <f t="shared" si="448"/>
        <v>SAÍDA</v>
      </c>
      <c r="C2302" t="str">
        <f t="shared" si="450"/>
        <v>PIX</v>
      </c>
      <c r="D2302" t="str">
        <f>"34087"</f>
        <v>34087</v>
      </c>
      <c r="E2302" t="str">
        <f t="shared" si="451"/>
        <v>1</v>
      </c>
      <c r="F2302" t="str">
        <f t="shared" si="446"/>
        <v>COM</v>
      </c>
      <c r="G2302" t="str">
        <f>"YAN BRENDO CORREIA VIEIRA (861)"</f>
        <v>YAN BRENDO CORREIA VIEIRA (861)</v>
      </c>
      <c r="H2302" t="str">
        <f>"Serv.Prest. 23/02/2026 a 01/03/2026 - PIX: CPF - CHAVE: 096.891.935-97"</f>
        <v>Serv.Prest. 23/02/2026 a 01/03/2026 - PIX: CPF - CHAVE: 096.891.935-97</v>
      </c>
      <c r="I2302" t="str">
        <f t="shared" si="449"/>
        <v>13/03/2026</v>
      </c>
      <c r="J2302" t="str">
        <f t="shared" si="452"/>
        <v>03/03/2026</v>
      </c>
      <c r="K2302" t="str">
        <f>("13/03/2026")</f>
        <v>13/03/2026</v>
      </c>
      <c r="L2302">
        <v>780</v>
      </c>
      <c r="M2302">
        <v>780</v>
      </c>
      <c r="N2302">
        <v>109</v>
      </c>
      <c r="O2302" t="str">
        <f>"PAGAMENTO DE ENTREGADORES"</f>
        <v>PAGAMENTO DE ENTREGADORES</v>
      </c>
      <c r="P2302">
        <v>780</v>
      </c>
      <c r="S2302" t="str">
        <f>"BANCO C6 (149)"</f>
        <v>BANCO C6 (149)</v>
      </c>
      <c r="T2302">
        <v>30785</v>
      </c>
      <c r="U2302">
        <v>34087</v>
      </c>
      <c r="V2302" t="s">
        <v>37</v>
      </c>
    </row>
    <row r="2303" spans="1:22">
      <c r="A2303" t="str">
        <f t="shared" si="447"/>
        <v>13/03/2026</v>
      </c>
      <c r="B2303" t="str">
        <f t="shared" si="448"/>
        <v>SAÍDA</v>
      </c>
      <c r="C2303" t="str">
        <f t="shared" si="450"/>
        <v>PIX</v>
      </c>
      <c r="D2303" t="str">
        <f>"34087"</f>
        <v>34087</v>
      </c>
      <c r="E2303" t="str">
        <f t="shared" si="451"/>
        <v>1</v>
      </c>
      <c r="F2303" t="str">
        <f t="shared" si="446"/>
        <v>COM</v>
      </c>
      <c r="G2303" t="str">
        <f>"YAN BRENDO CORREIA VIEIRA (861)"</f>
        <v>YAN BRENDO CORREIA VIEIRA (861)</v>
      </c>
      <c r="H2303" t="s">
        <v>459</v>
      </c>
      <c r="I2303" t="str">
        <f t="shared" si="449"/>
        <v>13/03/2026</v>
      </c>
      <c r="J2303" t="str">
        <f t="shared" si="452"/>
        <v>03/03/2026</v>
      </c>
      <c r="K2303">
        <v>46094</v>
      </c>
      <c r="N2303">
        <v>109</v>
      </c>
      <c r="O2303" t="s">
        <v>27</v>
      </c>
      <c r="Q2303">
        <v>780</v>
      </c>
      <c r="R2303" t="str">
        <f>"FARMÁCIA INDIANA LJ 200 (10155)"</f>
        <v>FARMÁCIA INDIANA LJ 200 (10155)</v>
      </c>
      <c r="S2303" t="s">
        <v>37</v>
      </c>
      <c r="T2303">
        <v>30785</v>
      </c>
      <c r="U2303">
        <v>34087</v>
      </c>
      <c r="V2303" t="s">
        <v>37</v>
      </c>
    </row>
    <row r="2304" spans="1:22">
      <c r="A2304" t="str">
        <f t="shared" si="447"/>
        <v>13/03/2026</v>
      </c>
      <c r="B2304" t="str">
        <f t="shared" si="448"/>
        <v>SAÍDA</v>
      </c>
      <c r="C2304" t="str">
        <f t="shared" si="450"/>
        <v>PIX</v>
      </c>
      <c r="D2304" t="str">
        <f>"34095"</f>
        <v>34095</v>
      </c>
      <c r="E2304" t="str">
        <f t="shared" si="451"/>
        <v>1</v>
      </c>
      <c r="F2304" t="str">
        <f t="shared" si="446"/>
        <v>COM</v>
      </c>
      <c r="G2304" t="str">
        <f>"ALEXSANDER MESSIAS TEIXEIRA (382)"</f>
        <v>ALEXSANDER MESSIAS TEIXEIRA (382)</v>
      </c>
      <c r="H2304" t="str">
        <f>"Serv.Prest. 23/02/2026 a 01/03/2026 - PIX: CPF - CHAVE: 108.723.916-80"</f>
        <v>Serv.Prest. 23/02/2026 a 01/03/2026 - PIX: CPF - CHAVE: 108.723.916-80</v>
      </c>
      <c r="I2304" t="str">
        <f t="shared" si="449"/>
        <v>13/03/2026</v>
      </c>
      <c r="J2304" t="str">
        <f t="shared" si="452"/>
        <v>03/03/2026</v>
      </c>
      <c r="K2304" t="str">
        <f>("13/03/2026")</f>
        <v>13/03/2026</v>
      </c>
      <c r="L2304">
        <v>600</v>
      </c>
      <c r="M2304">
        <v>600</v>
      </c>
      <c r="N2304">
        <v>109</v>
      </c>
      <c r="O2304" t="str">
        <f>"PAGAMENTO DE ENTREGADORES"</f>
        <v>PAGAMENTO DE ENTREGADORES</v>
      </c>
      <c r="P2304">
        <v>600</v>
      </c>
      <c r="S2304" t="str">
        <f>"BANCO C6 (149)"</f>
        <v>BANCO C6 (149)</v>
      </c>
      <c r="T2304">
        <v>30786</v>
      </c>
      <c r="U2304">
        <v>34095</v>
      </c>
      <c r="V2304" t="s">
        <v>37</v>
      </c>
    </row>
    <row r="2305" spans="1:22">
      <c r="A2305" t="str">
        <f t="shared" si="447"/>
        <v>13/03/2026</v>
      </c>
      <c r="B2305" t="str">
        <f t="shared" si="448"/>
        <v>SAÍDA</v>
      </c>
      <c r="C2305" t="str">
        <f t="shared" si="450"/>
        <v>PIX</v>
      </c>
      <c r="D2305" t="str">
        <f>"34095"</f>
        <v>34095</v>
      </c>
      <c r="E2305" t="str">
        <f t="shared" si="451"/>
        <v>1</v>
      </c>
      <c r="F2305" t="str">
        <f t="shared" si="446"/>
        <v>COM</v>
      </c>
      <c r="G2305" t="str">
        <f>"ALEXSANDER MESSIAS TEIXEIRA (382)"</f>
        <v>ALEXSANDER MESSIAS TEIXEIRA (382)</v>
      </c>
      <c r="H2305" t="s">
        <v>706</v>
      </c>
      <c r="I2305" t="str">
        <f t="shared" si="449"/>
        <v>13/03/2026</v>
      </c>
      <c r="J2305" t="str">
        <f t="shared" si="452"/>
        <v>03/03/2026</v>
      </c>
      <c r="K2305">
        <v>46094</v>
      </c>
      <c r="N2305">
        <v>109</v>
      </c>
      <c r="O2305" t="s">
        <v>27</v>
      </c>
      <c r="Q2305">
        <v>600</v>
      </c>
      <c r="R2305" t="str">
        <f>"FARMÁCIA INDIANA LJ 110 (10048)"</f>
        <v>FARMÁCIA INDIANA LJ 110 (10048)</v>
      </c>
      <c r="S2305" t="s">
        <v>37</v>
      </c>
      <c r="T2305">
        <v>30786</v>
      </c>
      <c r="U2305">
        <v>34095</v>
      </c>
      <c r="V2305" t="s">
        <v>37</v>
      </c>
    </row>
    <row r="2306" spans="1:22">
      <c r="A2306" t="str">
        <f t="shared" si="447"/>
        <v>13/03/2026</v>
      </c>
      <c r="B2306" t="str">
        <f t="shared" si="448"/>
        <v>SAÍDA</v>
      </c>
      <c r="C2306" t="str">
        <f t="shared" si="450"/>
        <v>PIX</v>
      </c>
      <c r="D2306" t="str">
        <f>"34096"</f>
        <v>34096</v>
      </c>
      <c r="E2306" t="str">
        <f t="shared" si="451"/>
        <v>1</v>
      </c>
      <c r="F2306" t="str">
        <f t="shared" ref="F2306:F2369" si="453">"COM"</f>
        <v>COM</v>
      </c>
      <c r="G2306" t="str">
        <f>"ALISSON FELIPE GODINHO (219)"</f>
        <v>ALISSON FELIPE GODINHO (219)</v>
      </c>
      <c r="H2306" t="str">
        <f>"Serv.Prest. 23/02/2026 a 01/03/2026 - PIX: CELULAR - CHAVE: (33) 99877-0415"</f>
        <v>Serv.Prest. 23/02/2026 a 01/03/2026 - PIX: CELULAR - CHAVE: (33) 99877-0415</v>
      </c>
      <c r="I2306" t="str">
        <f t="shared" si="449"/>
        <v>13/03/2026</v>
      </c>
      <c r="J2306" t="str">
        <f t="shared" si="452"/>
        <v>03/03/2026</v>
      </c>
      <c r="K2306" t="str">
        <f>("13/03/2026")</f>
        <v>13/03/2026</v>
      </c>
      <c r="L2306">
        <v>144</v>
      </c>
      <c r="M2306">
        <v>144</v>
      </c>
      <c r="N2306">
        <v>109</v>
      </c>
      <c r="O2306" t="str">
        <f>"PAGAMENTO DE ENTREGADORES"</f>
        <v>PAGAMENTO DE ENTREGADORES</v>
      </c>
      <c r="P2306">
        <v>144</v>
      </c>
      <c r="S2306" t="str">
        <f>"BANCO C6 (149)"</f>
        <v>BANCO C6 (149)</v>
      </c>
      <c r="T2306">
        <v>30787</v>
      </c>
      <c r="U2306">
        <v>34096</v>
      </c>
      <c r="V2306" t="s">
        <v>37</v>
      </c>
    </row>
    <row r="2307" spans="1:22">
      <c r="A2307" t="str">
        <f t="shared" si="447"/>
        <v>13/03/2026</v>
      </c>
      <c r="B2307" t="str">
        <f t="shared" si="448"/>
        <v>SAÍDA</v>
      </c>
      <c r="C2307" t="str">
        <f t="shared" si="450"/>
        <v>PIX</v>
      </c>
      <c r="D2307" t="str">
        <f>"34096"</f>
        <v>34096</v>
      </c>
      <c r="E2307" t="str">
        <f t="shared" si="451"/>
        <v>1</v>
      </c>
      <c r="F2307" t="str">
        <f t="shared" si="453"/>
        <v>COM</v>
      </c>
      <c r="G2307" t="str">
        <f>"ALISSON FELIPE GODINHO (219)"</f>
        <v>ALISSON FELIPE GODINHO (219)</v>
      </c>
      <c r="H2307" t="s">
        <v>707</v>
      </c>
      <c r="I2307" t="str">
        <f t="shared" si="449"/>
        <v>13/03/2026</v>
      </c>
      <c r="J2307" t="str">
        <f t="shared" si="452"/>
        <v>03/03/2026</v>
      </c>
      <c r="K2307">
        <v>46094</v>
      </c>
      <c r="N2307">
        <v>109</v>
      </c>
      <c r="O2307" t="s">
        <v>27</v>
      </c>
      <c r="Q2307">
        <v>144</v>
      </c>
      <c r="R2307" t="str">
        <f>"FARMÁCIA INDIANA LJ 14 (10009)"</f>
        <v>FARMÁCIA INDIANA LJ 14 (10009)</v>
      </c>
      <c r="S2307" t="s">
        <v>37</v>
      </c>
      <c r="T2307">
        <v>30787</v>
      </c>
      <c r="U2307">
        <v>34096</v>
      </c>
      <c r="V2307" t="s">
        <v>37</v>
      </c>
    </row>
    <row r="2308" spans="1:22">
      <c r="A2308" t="str">
        <f t="shared" si="447"/>
        <v>13/03/2026</v>
      </c>
      <c r="B2308" t="str">
        <f t="shared" si="448"/>
        <v>SAÍDA</v>
      </c>
      <c r="C2308" t="str">
        <f t="shared" si="450"/>
        <v>PIX</v>
      </c>
      <c r="D2308" t="str">
        <f>"34097"</f>
        <v>34097</v>
      </c>
      <c r="E2308" t="str">
        <f t="shared" si="451"/>
        <v>1</v>
      </c>
      <c r="F2308" t="str">
        <f t="shared" si="453"/>
        <v>COM</v>
      </c>
      <c r="G2308" t="str">
        <f>"AMANDA VERÍSSIMO FERREIRA (794)"</f>
        <v>AMANDA VERÍSSIMO FERREIRA (794)</v>
      </c>
      <c r="H2308" t="str">
        <f>"Serv.Prest. 23/02/2026 a 01/03/2026 - PIX: CPF - CHAVE: 099.626.666-60"</f>
        <v>Serv.Prest. 23/02/2026 a 01/03/2026 - PIX: CPF - CHAVE: 099.626.666-60</v>
      </c>
      <c r="I2308" t="str">
        <f t="shared" si="449"/>
        <v>13/03/2026</v>
      </c>
      <c r="J2308" t="str">
        <f t="shared" si="452"/>
        <v>03/03/2026</v>
      </c>
      <c r="K2308" t="str">
        <f>("13/03/2026")</f>
        <v>13/03/2026</v>
      </c>
      <c r="L2308">
        <v>730</v>
      </c>
      <c r="M2308">
        <v>730</v>
      </c>
      <c r="N2308">
        <v>109</v>
      </c>
      <c r="O2308" t="str">
        <f>"PAGAMENTO DE ENTREGADORES"</f>
        <v>PAGAMENTO DE ENTREGADORES</v>
      </c>
      <c r="P2308">
        <v>730</v>
      </c>
      <c r="S2308" t="str">
        <f>"BANCO C6 (149)"</f>
        <v>BANCO C6 (149)</v>
      </c>
      <c r="T2308">
        <v>30788</v>
      </c>
      <c r="U2308">
        <v>34097</v>
      </c>
      <c r="V2308" t="s">
        <v>37</v>
      </c>
    </row>
    <row r="2309" spans="1:22">
      <c r="A2309" t="str">
        <f t="shared" si="447"/>
        <v>13/03/2026</v>
      </c>
      <c r="B2309" t="str">
        <f t="shared" si="448"/>
        <v>SAÍDA</v>
      </c>
      <c r="C2309" t="str">
        <f t="shared" si="450"/>
        <v>PIX</v>
      </c>
      <c r="D2309" t="str">
        <f>"34097"</f>
        <v>34097</v>
      </c>
      <c r="E2309" t="str">
        <f t="shared" si="451"/>
        <v>1</v>
      </c>
      <c r="F2309" t="str">
        <f t="shared" si="453"/>
        <v>COM</v>
      </c>
      <c r="G2309" t="str">
        <f>"AMANDA VERÍSSIMO FERREIRA (794)"</f>
        <v>AMANDA VERÍSSIMO FERREIRA (794)</v>
      </c>
      <c r="H2309" t="s">
        <v>524</v>
      </c>
      <c r="I2309" t="str">
        <f t="shared" si="449"/>
        <v>13/03/2026</v>
      </c>
      <c r="J2309" t="str">
        <f t="shared" si="452"/>
        <v>03/03/2026</v>
      </c>
      <c r="K2309">
        <v>46094</v>
      </c>
      <c r="N2309">
        <v>109</v>
      </c>
      <c r="O2309" t="s">
        <v>27</v>
      </c>
      <c r="Q2309">
        <v>456.25</v>
      </c>
      <c r="R2309" t="str">
        <f>"FARMÁCIA INDIANA LJ 97 (10040)"</f>
        <v>FARMÁCIA INDIANA LJ 97 (10040)</v>
      </c>
      <c r="S2309" t="s">
        <v>37</v>
      </c>
      <c r="T2309">
        <v>30788</v>
      </c>
      <c r="U2309">
        <v>34097</v>
      </c>
      <c r="V2309" t="s">
        <v>37</v>
      </c>
    </row>
    <row r="2310" spans="1:22">
      <c r="A2310" t="str">
        <f t="shared" si="447"/>
        <v>13/03/2026</v>
      </c>
      <c r="B2310" t="str">
        <f t="shared" si="448"/>
        <v>SAÍDA</v>
      </c>
      <c r="C2310" t="str">
        <f t="shared" si="450"/>
        <v>PIX</v>
      </c>
      <c r="D2310" t="str">
        <f>"34097"</f>
        <v>34097</v>
      </c>
      <c r="E2310" t="str">
        <f t="shared" si="451"/>
        <v>1</v>
      </c>
      <c r="F2310" t="str">
        <f t="shared" si="453"/>
        <v>COM</v>
      </c>
      <c r="G2310" t="str">
        <f>"AMANDA VERÍSSIMO FERREIRA (794)"</f>
        <v>AMANDA VERÍSSIMO FERREIRA (794)</v>
      </c>
      <c r="H2310" t="s">
        <v>524</v>
      </c>
      <c r="I2310" t="str">
        <f t="shared" si="449"/>
        <v>13/03/2026</v>
      </c>
      <c r="J2310" t="str">
        <f t="shared" si="452"/>
        <v>03/03/2026</v>
      </c>
      <c r="K2310">
        <v>46094</v>
      </c>
      <c r="N2310">
        <v>109</v>
      </c>
      <c r="O2310" t="s">
        <v>27</v>
      </c>
      <c r="Q2310">
        <v>273.75</v>
      </c>
      <c r="R2310" t="str">
        <f>"FARMÁCIA INDIANA LJ 143 (10067)"</f>
        <v>FARMÁCIA INDIANA LJ 143 (10067)</v>
      </c>
      <c r="S2310" t="s">
        <v>37</v>
      </c>
      <c r="T2310">
        <v>30788</v>
      </c>
      <c r="U2310">
        <v>34097</v>
      </c>
      <c r="V2310" t="s">
        <v>37</v>
      </c>
    </row>
    <row r="2311" spans="1:22">
      <c r="A2311" t="str">
        <f t="shared" si="447"/>
        <v>13/03/2026</v>
      </c>
      <c r="B2311" t="str">
        <f t="shared" si="448"/>
        <v>SAÍDA</v>
      </c>
      <c r="C2311" t="str">
        <f t="shared" si="450"/>
        <v>PIX</v>
      </c>
      <c r="D2311" t="str">
        <f>"34098"</f>
        <v>34098</v>
      </c>
      <c r="E2311" t="str">
        <f t="shared" si="451"/>
        <v>1</v>
      </c>
      <c r="F2311" t="str">
        <f t="shared" si="453"/>
        <v>COM</v>
      </c>
      <c r="G2311" t="str">
        <f>"ANDRE LUCAS DA SILVA (1158)"</f>
        <v>ANDRE LUCAS DA SILVA (1158)</v>
      </c>
      <c r="H2311" t="str">
        <f>"Serv.Prest. 23/02/2026 a 01/03/2026 - PIX: CPF - CHAVE: 125.636.656-04"</f>
        <v>Serv.Prest. 23/02/2026 a 01/03/2026 - PIX: CPF - CHAVE: 125.636.656-04</v>
      </c>
      <c r="I2311" t="str">
        <f t="shared" si="449"/>
        <v>13/03/2026</v>
      </c>
      <c r="J2311" t="str">
        <f t="shared" si="452"/>
        <v>03/03/2026</v>
      </c>
      <c r="K2311" t="str">
        <f>("13/03/2026")</f>
        <v>13/03/2026</v>
      </c>
      <c r="L2311">
        <v>600</v>
      </c>
      <c r="M2311">
        <v>600</v>
      </c>
      <c r="N2311">
        <v>109</v>
      </c>
      <c r="O2311" t="str">
        <f>"PAGAMENTO DE ENTREGADORES"</f>
        <v>PAGAMENTO DE ENTREGADORES</v>
      </c>
      <c r="P2311">
        <v>600</v>
      </c>
      <c r="S2311" t="str">
        <f>"BANCO C6 (149)"</f>
        <v>BANCO C6 (149)</v>
      </c>
      <c r="T2311">
        <v>30789</v>
      </c>
      <c r="U2311">
        <v>34098</v>
      </c>
      <c r="V2311" t="s">
        <v>37</v>
      </c>
    </row>
    <row r="2312" spans="1:22">
      <c r="A2312" t="str">
        <f t="shared" si="447"/>
        <v>13/03/2026</v>
      </c>
      <c r="B2312" t="str">
        <f t="shared" si="448"/>
        <v>SAÍDA</v>
      </c>
      <c r="C2312" t="str">
        <f t="shared" si="450"/>
        <v>PIX</v>
      </c>
      <c r="D2312" t="str">
        <f>"34098"</f>
        <v>34098</v>
      </c>
      <c r="E2312" t="str">
        <f t="shared" si="451"/>
        <v>1</v>
      </c>
      <c r="F2312" t="str">
        <f t="shared" si="453"/>
        <v>COM</v>
      </c>
      <c r="G2312" t="str">
        <f>"ANDRE LUCAS DA SILVA (1158)"</f>
        <v>ANDRE LUCAS DA SILVA (1158)</v>
      </c>
      <c r="H2312" t="s">
        <v>708</v>
      </c>
      <c r="I2312" t="str">
        <f t="shared" si="449"/>
        <v>13/03/2026</v>
      </c>
      <c r="J2312" t="str">
        <f t="shared" si="452"/>
        <v>03/03/2026</v>
      </c>
      <c r="K2312">
        <v>46094</v>
      </c>
      <c r="N2312">
        <v>109</v>
      </c>
      <c r="O2312" t="s">
        <v>27</v>
      </c>
      <c r="Q2312">
        <v>600</v>
      </c>
      <c r="R2312" t="str">
        <f>"FARMÁCIA INDIANA LJ 175 (10076)"</f>
        <v>FARMÁCIA INDIANA LJ 175 (10076)</v>
      </c>
      <c r="S2312" t="s">
        <v>37</v>
      </c>
      <c r="T2312">
        <v>30789</v>
      </c>
      <c r="U2312">
        <v>34098</v>
      </c>
      <c r="V2312" t="s">
        <v>37</v>
      </c>
    </row>
    <row r="2313" spans="1:22">
      <c r="A2313" t="str">
        <f t="shared" si="447"/>
        <v>13/03/2026</v>
      </c>
      <c r="B2313" t="str">
        <f t="shared" si="448"/>
        <v>SAÍDA</v>
      </c>
      <c r="C2313" t="str">
        <f t="shared" si="450"/>
        <v>PIX</v>
      </c>
      <c r="D2313" t="str">
        <f>"34099"</f>
        <v>34099</v>
      </c>
      <c r="E2313" t="str">
        <f t="shared" si="451"/>
        <v>1</v>
      </c>
      <c r="F2313" t="str">
        <f t="shared" si="453"/>
        <v>COM</v>
      </c>
      <c r="G2313" t="str">
        <f>"ANISSO ANIDAL DE PAULA (161)"</f>
        <v>ANISSO ANIDAL DE PAULA (161)</v>
      </c>
      <c r="H2313" t="str">
        <f>"Serv.Prest. 23/02/2026 a 01/03/2026 - PIX: CELULAR - CHAVE: (31) 98556-3149"</f>
        <v>Serv.Prest. 23/02/2026 a 01/03/2026 - PIX: CELULAR - CHAVE: (31) 98556-3149</v>
      </c>
      <c r="I2313" t="str">
        <f t="shared" si="449"/>
        <v>13/03/2026</v>
      </c>
      <c r="J2313" t="str">
        <f t="shared" si="452"/>
        <v>03/03/2026</v>
      </c>
      <c r="K2313" t="str">
        <f>("13/03/2026")</f>
        <v>13/03/2026</v>
      </c>
      <c r="L2313">
        <v>1146</v>
      </c>
      <c r="M2313">
        <v>1146</v>
      </c>
      <c r="N2313">
        <v>109</v>
      </c>
      <c r="O2313" t="str">
        <f>"PAGAMENTO DE ENTREGADORES"</f>
        <v>PAGAMENTO DE ENTREGADORES</v>
      </c>
      <c r="P2313">
        <v>1146</v>
      </c>
      <c r="S2313" t="str">
        <f>"BANCO C6 (149)"</f>
        <v>BANCO C6 (149)</v>
      </c>
      <c r="T2313">
        <v>30790</v>
      </c>
      <c r="U2313">
        <v>34099</v>
      </c>
      <c r="V2313" t="s">
        <v>37</v>
      </c>
    </row>
    <row r="2314" spans="1:22">
      <c r="A2314" t="str">
        <f t="shared" si="447"/>
        <v>13/03/2026</v>
      </c>
      <c r="B2314" t="str">
        <f t="shared" si="448"/>
        <v>SAÍDA</v>
      </c>
      <c r="C2314" t="str">
        <f t="shared" si="450"/>
        <v>PIX</v>
      </c>
      <c r="D2314" t="str">
        <f>"34099"</f>
        <v>34099</v>
      </c>
      <c r="E2314" t="str">
        <f t="shared" si="451"/>
        <v>1</v>
      </c>
      <c r="F2314" t="str">
        <f t="shared" si="453"/>
        <v>COM</v>
      </c>
      <c r="G2314" t="str">
        <f>"ANISSO ANIDAL DE PAULA (161)"</f>
        <v>ANISSO ANIDAL DE PAULA (161)</v>
      </c>
      <c r="H2314" t="s">
        <v>709</v>
      </c>
      <c r="I2314" t="str">
        <f t="shared" si="449"/>
        <v>13/03/2026</v>
      </c>
      <c r="J2314" t="str">
        <f t="shared" si="452"/>
        <v>03/03/2026</v>
      </c>
      <c r="K2314">
        <v>46094</v>
      </c>
      <c r="N2314">
        <v>109</v>
      </c>
      <c r="O2314" t="s">
        <v>27</v>
      </c>
      <c r="Q2314">
        <v>995.99</v>
      </c>
      <c r="R2314" t="str">
        <f>"FARMÁCIA INDIANA LJ 18 (10011)"</f>
        <v>FARMÁCIA INDIANA LJ 18 (10011)</v>
      </c>
      <c r="S2314" t="s">
        <v>37</v>
      </c>
      <c r="T2314">
        <v>30790</v>
      </c>
      <c r="U2314">
        <v>34099</v>
      </c>
      <c r="V2314" t="s">
        <v>37</v>
      </c>
    </row>
    <row r="2315" spans="1:22">
      <c r="A2315" t="str">
        <f t="shared" si="447"/>
        <v>13/03/2026</v>
      </c>
      <c r="B2315" t="str">
        <f t="shared" si="448"/>
        <v>SAÍDA</v>
      </c>
      <c r="C2315" t="str">
        <f t="shared" si="450"/>
        <v>PIX</v>
      </c>
      <c r="D2315" t="str">
        <f>"34099"</f>
        <v>34099</v>
      </c>
      <c r="E2315" t="str">
        <f t="shared" si="451"/>
        <v>1</v>
      </c>
      <c r="F2315" t="str">
        <f t="shared" si="453"/>
        <v>COM</v>
      </c>
      <c r="G2315" t="str">
        <f>"ANISSO ANIDAL DE PAULA (161)"</f>
        <v>ANISSO ANIDAL DE PAULA (161)</v>
      </c>
      <c r="H2315" t="s">
        <v>709</v>
      </c>
      <c r="I2315" t="str">
        <f t="shared" si="449"/>
        <v>13/03/2026</v>
      </c>
      <c r="J2315" t="str">
        <f t="shared" si="452"/>
        <v>03/03/2026</v>
      </c>
      <c r="K2315">
        <v>46094</v>
      </c>
      <c r="N2315">
        <v>109</v>
      </c>
      <c r="O2315" t="s">
        <v>27</v>
      </c>
      <c r="Q2315">
        <v>150.01</v>
      </c>
      <c r="R2315" t="str">
        <f>"FARMÁCIA INDIANA LJ 19 (10012)"</f>
        <v>FARMÁCIA INDIANA LJ 19 (10012)</v>
      </c>
      <c r="S2315" t="s">
        <v>37</v>
      </c>
      <c r="T2315">
        <v>30790</v>
      </c>
      <c r="U2315">
        <v>34099</v>
      </c>
      <c r="V2315" t="s">
        <v>37</v>
      </c>
    </row>
    <row r="2316" spans="1:22">
      <c r="A2316" t="str">
        <f t="shared" si="447"/>
        <v>13/03/2026</v>
      </c>
      <c r="B2316" t="str">
        <f t="shared" si="448"/>
        <v>SAÍDA</v>
      </c>
      <c r="C2316" t="str">
        <f t="shared" si="450"/>
        <v>PIX</v>
      </c>
      <c r="D2316" t="str">
        <f>"34100"</f>
        <v>34100</v>
      </c>
      <c r="E2316" t="str">
        <f t="shared" si="451"/>
        <v>1</v>
      </c>
      <c r="F2316" t="str">
        <f t="shared" si="453"/>
        <v>COM</v>
      </c>
      <c r="G2316" t="str">
        <f>"ANTONIO CARLOS GOMES DE SOUZA (1103)"</f>
        <v>ANTONIO CARLOS GOMES DE SOUZA (1103)</v>
      </c>
      <c r="H2316" t="str">
        <f>"Serv.Prest. 23/02/2026 a 01/03/2026 - PIX: CELULAR - CHAVE: (33) 99861-2274"</f>
        <v>Serv.Prest. 23/02/2026 a 01/03/2026 - PIX: CELULAR - CHAVE: (33) 99861-2274</v>
      </c>
      <c r="I2316" t="str">
        <f t="shared" si="449"/>
        <v>13/03/2026</v>
      </c>
      <c r="J2316" t="str">
        <f t="shared" si="452"/>
        <v>03/03/2026</v>
      </c>
      <c r="K2316" t="str">
        <f>("13/03/2026")</f>
        <v>13/03/2026</v>
      </c>
      <c r="L2316">
        <v>420</v>
      </c>
      <c r="M2316">
        <v>420</v>
      </c>
      <c r="N2316">
        <v>109</v>
      </c>
      <c r="O2316" t="str">
        <f>"PAGAMENTO DE ENTREGADORES"</f>
        <v>PAGAMENTO DE ENTREGADORES</v>
      </c>
      <c r="P2316">
        <v>420</v>
      </c>
      <c r="S2316" t="str">
        <f>"BANCO C6 (149)"</f>
        <v>BANCO C6 (149)</v>
      </c>
      <c r="T2316">
        <v>30791</v>
      </c>
      <c r="U2316">
        <v>34100</v>
      </c>
      <c r="V2316" t="s">
        <v>37</v>
      </c>
    </row>
    <row r="2317" spans="1:22">
      <c r="A2317" t="str">
        <f t="shared" si="447"/>
        <v>13/03/2026</v>
      </c>
      <c r="B2317" t="str">
        <f t="shared" si="448"/>
        <v>SAÍDA</v>
      </c>
      <c r="C2317" t="str">
        <f t="shared" si="450"/>
        <v>PIX</v>
      </c>
      <c r="D2317" t="str">
        <f>"34100"</f>
        <v>34100</v>
      </c>
      <c r="E2317" t="str">
        <f t="shared" si="451"/>
        <v>1</v>
      </c>
      <c r="F2317" t="str">
        <f t="shared" si="453"/>
        <v>COM</v>
      </c>
      <c r="G2317" t="str">
        <f>"ANTONIO CARLOS GOMES DE SOUZA (1103)"</f>
        <v>ANTONIO CARLOS GOMES DE SOUZA (1103)</v>
      </c>
      <c r="H2317" t="s">
        <v>710</v>
      </c>
      <c r="I2317" t="str">
        <f t="shared" si="449"/>
        <v>13/03/2026</v>
      </c>
      <c r="J2317" t="str">
        <f t="shared" si="452"/>
        <v>03/03/2026</v>
      </c>
      <c r="K2317">
        <v>46094</v>
      </c>
      <c r="N2317">
        <v>109</v>
      </c>
      <c r="O2317" t="s">
        <v>27</v>
      </c>
      <c r="Q2317">
        <v>420</v>
      </c>
      <c r="R2317" t="str">
        <f>"FARMÁCIA INDIANA LJ 07 (10007)"</f>
        <v>FARMÁCIA INDIANA LJ 07 (10007)</v>
      </c>
      <c r="S2317" t="s">
        <v>37</v>
      </c>
      <c r="T2317">
        <v>30791</v>
      </c>
      <c r="U2317">
        <v>34100</v>
      </c>
      <c r="V2317" t="s">
        <v>37</v>
      </c>
    </row>
    <row r="2318" spans="1:22">
      <c r="A2318" t="str">
        <f t="shared" si="447"/>
        <v>13/03/2026</v>
      </c>
      <c r="B2318" t="str">
        <f t="shared" si="448"/>
        <v>SAÍDA</v>
      </c>
      <c r="C2318" t="str">
        <f t="shared" si="450"/>
        <v>PIX</v>
      </c>
      <c r="D2318" t="str">
        <f>"34101"</f>
        <v>34101</v>
      </c>
      <c r="E2318" t="str">
        <f t="shared" si="451"/>
        <v>1</v>
      </c>
      <c r="F2318" t="str">
        <f t="shared" si="453"/>
        <v>COM</v>
      </c>
      <c r="G2318" t="str">
        <f>"ARLINDO JOSE MARTINS (909)"</f>
        <v>ARLINDO JOSE MARTINS (909)</v>
      </c>
      <c r="H2318" t="str">
        <f>"Serv.Prest. 23/02/2026 a 01/03/2026 - PIX: CPF - CHAVE: 037.192.076-09"</f>
        <v>Serv.Prest. 23/02/2026 a 01/03/2026 - PIX: CPF - CHAVE: 037.192.076-09</v>
      </c>
      <c r="I2318" t="str">
        <f t="shared" si="449"/>
        <v>13/03/2026</v>
      </c>
      <c r="J2318" t="str">
        <f t="shared" si="452"/>
        <v>03/03/2026</v>
      </c>
      <c r="K2318" t="str">
        <f>("13/03/2026")</f>
        <v>13/03/2026</v>
      </c>
      <c r="L2318">
        <v>783</v>
      </c>
      <c r="M2318">
        <v>783</v>
      </c>
      <c r="N2318">
        <v>109</v>
      </c>
      <c r="O2318" t="str">
        <f>"PAGAMENTO DE ENTREGADORES"</f>
        <v>PAGAMENTO DE ENTREGADORES</v>
      </c>
      <c r="P2318">
        <v>783</v>
      </c>
      <c r="S2318" t="str">
        <f>"BANCO C6 (149)"</f>
        <v>BANCO C6 (149)</v>
      </c>
      <c r="T2318">
        <v>30792</v>
      </c>
      <c r="U2318">
        <v>34101</v>
      </c>
      <c r="V2318" t="s">
        <v>37</v>
      </c>
    </row>
    <row r="2319" spans="1:22">
      <c r="A2319" t="str">
        <f t="shared" ref="A2319:A2382" si="454">("13/03/2026")</f>
        <v>13/03/2026</v>
      </c>
      <c r="B2319" t="str">
        <f t="shared" si="448"/>
        <v>SAÍDA</v>
      </c>
      <c r="C2319" t="str">
        <f t="shared" si="450"/>
        <v>PIX</v>
      </c>
      <c r="D2319" t="str">
        <f>"34101"</f>
        <v>34101</v>
      </c>
      <c r="E2319" t="str">
        <f t="shared" si="451"/>
        <v>1</v>
      </c>
      <c r="F2319" t="str">
        <f t="shared" si="453"/>
        <v>COM</v>
      </c>
      <c r="G2319" t="str">
        <f>"ARLINDO JOSE MARTINS (909)"</f>
        <v>ARLINDO JOSE MARTINS (909)</v>
      </c>
      <c r="H2319" t="s">
        <v>428</v>
      </c>
      <c r="I2319" t="str">
        <f t="shared" si="449"/>
        <v>13/03/2026</v>
      </c>
      <c r="J2319" t="str">
        <f t="shared" si="452"/>
        <v>03/03/2026</v>
      </c>
      <c r="K2319">
        <v>46094</v>
      </c>
      <c r="N2319">
        <v>109</v>
      </c>
      <c r="O2319" t="s">
        <v>27</v>
      </c>
      <c r="Q2319">
        <v>783</v>
      </c>
      <c r="R2319" t="str">
        <f>"FARMÁCIA INDIANA LJ 185 (10141)"</f>
        <v>FARMÁCIA INDIANA LJ 185 (10141)</v>
      </c>
      <c r="S2319" t="s">
        <v>37</v>
      </c>
      <c r="T2319">
        <v>30792</v>
      </c>
      <c r="U2319">
        <v>34101</v>
      </c>
      <c r="V2319" t="s">
        <v>37</v>
      </c>
    </row>
    <row r="2320" spans="1:22">
      <c r="A2320" t="str">
        <f t="shared" si="454"/>
        <v>13/03/2026</v>
      </c>
      <c r="B2320" t="str">
        <f t="shared" si="448"/>
        <v>SAÍDA</v>
      </c>
      <c r="C2320" t="str">
        <f t="shared" si="450"/>
        <v>PIX</v>
      </c>
      <c r="D2320" t="str">
        <f>"34102"</f>
        <v>34102</v>
      </c>
      <c r="E2320" t="str">
        <f t="shared" si="451"/>
        <v>1</v>
      </c>
      <c r="F2320" t="str">
        <f t="shared" si="453"/>
        <v>COM</v>
      </c>
      <c r="G2320" t="str">
        <f>"ARTHUR DANTAS PACHECO (928)"</f>
        <v>ARTHUR DANTAS PACHECO (928)</v>
      </c>
      <c r="H2320" t="str">
        <f>"Serv.Prest. 23/02/2026 a 01/03/2026 - PIX: CELULAR - CHAVE: (33) 99110-6940"</f>
        <v>Serv.Prest. 23/02/2026 a 01/03/2026 - PIX: CELULAR - CHAVE: (33) 99110-6940</v>
      </c>
      <c r="I2320" t="str">
        <f t="shared" si="449"/>
        <v>13/03/2026</v>
      </c>
      <c r="J2320" t="str">
        <f t="shared" si="452"/>
        <v>03/03/2026</v>
      </c>
      <c r="K2320" t="str">
        <f>("13/03/2026")</f>
        <v>13/03/2026</v>
      </c>
      <c r="L2320">
        <v>176</v>
      </c>
      <c r="M2320">
        <v>176</v>
      </c>
      <c r="N2320">
        <v>109</v>
      </c>
      <c r="O2320" t="str">
        <f>"PAGAMENTO DE ENTREGADORES"</f>
        <v>PAGAMENTO DE ENTREGADORES</v>
      </c>
      <c r="P2320">
        <v>176</v>
      </c>
      <c r="S2320" t="str">
        <f>"BANCO C6 (149)"</f>
        <v>BANCO C6 (149)</v>
      </c>
      <c r="T2320">
        <v>30793</v>
      </c>
      <c r="U2320">
        <v>34102</v>
      </c>
      <c r="V2320" t="s">
        <v>37</v>
      </c>
    </row>
    <row r="2321" spans="1:22">
      <c r="A2321" t="str">
        <f t="shared" si="454"/>
        <v>13/03/2026</v>
      </c>
      <c r="B2321" t="str">
        <f t="shared" si="448"/>
        <v>SAÍDA</v>
      </c>
      <c r="C2321" t="str">
        <f t="shared" si="450"/>
        <v>PIX</v>
      </c>
      <c r="D2321" t="str">
        <f>"34102"</f>
        <v>34102</v>
      </c>
      <c r="E2321" t="str">
        <f t="shared" si="451"/>
        <v>1</v>
      </c>
      <c r="F2321" t="str">
        <f t="shared" si="453"/>
        <v>COM</v>
      </c>
      <c r="G2321" t="str">
        <f>"ARTHUR DANTAS PACHECO (928)"</f>
        <v>ARTHUR DANTAS PACHECO (928)</v>
      </c>
      <c r="H2321" t="s">
        <v>711</v>
      </c>
      <c r="I2321" t="str">
        <f t="shared" si="449"/>
        <v>13/03/2026</v>
      </c>
      <c r="J2321" t="str">
        <f t="shared" si="452"/>
        <v>03/03/2026</v>
      </c>
      <c r="K2321">
        <v>46094</v>
      </c>
      <c r="N2321">
        <v>109</v>
      </c>
      <c r="O2321" t="s">
        <v>27</v>
      </c>
      <c r="Q2321">
        <v>176</v>
      </c>
      <c r="R2321" t="str">
        <f>"FARMÁCIA INDIANA LJ 40 (10016)"</f>
        <v>FARMÁCIA INDIANA LJ 40 (10016)</v>
      </c>
      <c r="S2321" t="s">
        <v>37</v>
      </c>
      <c r="T2321">
        <v>30793</v>
      </c>
      <c r="U2321">
        <v>34102</v>
      </c>
      <c r="V2321" t="s">
        <v>37</v>
      </c>
    </row>
    <row r="2322" spans="1:22">
      <c r="A2322" t="str">
        <f t="shared" si="454"/>
        <v>13/03/2026</v>
      </c>
      <c r="B2322" t="str">
        <f t="shared" si="448"/>
        <v>SAÍDA</v>
      </c>
      <c r="C2322" t="str">
        <f t="shared" si="450"/>
        <v>PIX</v>
      </c>
      <c r="D2322" t="str">
        <f>"34103"</f>
        <v>34103</v>
      </c>
      <c r="E2322" t="str">
        <f t="shared" si="451"/>
        <v>1</v>
      </c>
      <c r="F2322" t="str">
        <f t="shared" si="453"/>
        <v>COM</v>
      </c>
      <c r="G2322" t="str">
        <f>"BRUNO BARBOSA DE MATOS (82)"</f>
        <v>BRUNO BARBOSA DE MATOS (82)</v>
      </c>
      <c r="H2322" t="str">
        <f>"Serv.Prest. 23/02/2026 a 01/03/2026 - PIX: CNPJ - CHAVE: 64.409.849/0001-04"</f>
        <v>Serv.Prest. 23/02/2026 a 01/03/2026 - PIX: CNPJ - CHAVE: 64.409.849/0001-04</v>
      </c>
      <c r="I2322" t="str">
        <f t="shared" si="449"/>
        <v>13/03/2026</v>
      </c>
      <c r="J2322" t="str">
        <f t="shared" si="452"/>
        <v>03/03/2026</v>
      </c>
      <c r="K2322" t="str">
        <f>("13/03/2026")</f>
        <v>13/03/2026</v>
      </c>
      <c r="L2322">
        <v>1434</v>
      </c>
      <c r="M2322">
        <v>1434</v>
      </c>
      <c r="N2322">
        <v>109</v>
      </c>
      <c r="O2322" t="str">
        <f>"PAGAMENTO DE ENTREGADORES"</f>
        <v>PAGAMENTO DE ENTREGADORES</v>
      </c>
      <c r="P2322">
        <v>1434</v>
      </c>
      <c r="S2322" t="str">
        <f>"BANCO C6 (149)"</f>
        <v>BANCO C6 (149)</v>
      </c>
      <c r="T2322">
        <v>30794</v>
      </c>
      <c r="U2322">
        <v>34103</v>
      </c>
      <c r="V2322" t="s">
        <v>37</v>
      </c>
    </row>
    <row r="2323" spans="1:22">
      <c r="A2323" t="str">
        <f t="shared" si="454"/>
        <v>13/03/2026</v>
      </c>
      <c r="B2323" t="str">
        <f t="shared" si="448"/>
        <v>SAÍDA</v>
      </c>
      <c r="C2323" t="str">
        <f t="shared" si="450"/>
        <v>PIX</v>
      </c>
      <c r="D2323" t="str">
        <f>"34103"</f>
        <v>34103</v>
      </c>
      <c r="E2323" t="str">
        <f t="shared" si="451"/>
        <v>1</v>
      </c>
      <c r="F2323" t="str">
        <f t="shared" si="453"/>
        <v>COM</v>
      </c>
      <c r="G2323" t="str">
        <f>"BRUNO BARBOSA DE MATOS (82)"</f>
        <v>BRUNO BARBOSA DE MATOS (82)</v>
      </c>
      <c r="H2323" t="s">
        <v>712</v>
      </c>
      <c r="I2323" t="str">
        <f t="shared" si="449"/>
        <v>13/03/2026</v>
      </c>
      <c r="J2323" t="str">
        <f t="shared" si="452"/>
        <v>03/03/2026</v>
      </c>
      <c r="K2323">
        <v>46094</v>
      </c>
      <c r="N2323">
        <v>109</v>
      </c>
      <c r="O2323" t="s">
        <v>27</v>
      </c>
      <c r="Q2323">
        <v>1434</v>
      </c>
      <c r="R2323" t="str">
        <f>"FARMÁCIA INDIANA LJ 152 (10069)"</f>
        <v>FARMÁCIA INDIANA LJ 152 (10069)</v>
      </c>
      <c r="S2323" t="s">
        <v>37</v>
      </c>
      <c r="T2323">
        <v>30794</v>
      </c>
      <c r="U2323">
        <v>34103</v>
      </c>
      <c r="V2323" t="s">
        <v>37</v>
      </c>
    </row>
    <row r="2324" spans="1:22">
      <c r="A2324" t="str">
        <f t="shared" si="454"/>
        <v>13/03/2026</v>
      </c>
      <c r="B2324" t="str">
        <f t="shared" si="448"/>
        <v>SAÍDA</v>
      </c>
      <c r="C2324" t="str">
        <f t="shared" si="450"/>
        <v>PIX</v>
      </c>
      <c r="D2324" t="str">
        <f>"34104"</f>
        <v>34104</v>
      </c>
      <c r="E2324" t="str">
        <f t="shared" si="451"/>
        <v>1</v>
      </c>
      <c r="F2324" t="str">
        <f t="shared" si="453"/>
        <v>COM</v>
      </c>
      <c r="G2324" t="str">
        <f>"BRUNO DOS SANTOS MACHADO (702)"</f>
        <v>BRUNO DOS SANTOS MACHADO (702)</v>
      </c>
      <c r="H2324" t="str">
        <f>"Serv.Prest. 23/02/2026 a 01/03/2026 - PIX: CPF - CHAVE: 155.328.666-94"</f>
        <v>Serv.Prest. 23/02/2026 a 01/03/2026 - PIX: CPF - CHAVE: 155.328.666-94</v>
      </c>
      <c r="I2324" t="str">
        <f t="shared" si="449"/>
        <v>13/03/2026</v>
      </c>
      <c r="J2324" t="str">
        <f t="shared" si="452"/>
        <v>03/03/2026</v>
      </c>
      <c r="K2324" t="str">
        <f>("13/03/2026")</f>
        <v>13/03/2026</v>
      </c>
      <c r="L2324">
        <v>1180</v>
      </c>
      <c r="M2324">
        <v>1180</v>
      </c>
      <c r="N2324">
        <v>109</v>
      </c>
      <c r="O2324" t="str">
        <f>"PAGAMENTO DE ENTREGADORES"</f>
        <v>PAGAMENTO DE ENTREGADORES</v>
      </c>
      <c r="P2324">
        <v>1180</v>
      </c>
      <c r="S2324" t="str">
        <f>"BANCO C6 (149)"</f>
        <v>BANCO C6 (149)</v>
      </c>
      <c r="T2324">
        <v>30795</v>
      </c>
      <c r="U2324">
        <v>34104</v>
      </c>
      <c r="V2324" t="s">
        <v>37</v>
      </c>
    </row>
    <row r="2325" spans="1:22">
      <c r="A2325" t="str">
        <f t="shared" si="454"/>
        <v>13/03/2026</v>
      </c>
      <c r="B2325" t="str">
        <f t="shared" si="448"/>
        <v>SAÍDA</v>
      </c>
      <c r="C2325" t="str">
        <f t="shared" si="450"/>
        <v>PIX</v>
      </c>
      <c r="D2325" t="str">
        <f>"34104"</f>
        <v>34104</v>
      </c>
      <c r="E2325" t="str">
        <f t="shared" si="451"/>
        <v>1</v>
      </c>
      <c r="F2325" t="str">
        <f t="shared" si="453"/>
        <v>COM</v>
      </c>
      <c r="G2325" t="str">
        <f>"BRUNO DOS SANTOS MACHADO (702)"</f>
        <v>BRUNO DOS SANTOS MACHADO (702)</v>
      </c>
      <c r="H2325" t="s">
        <v>431</v>
      </c>
      <c r="I2325" t="str">
        <f t="shared" si="449"/>
        <v>13/03/2026</v>
      </c>
      <c r="J2325" t="str">
        <f t="shared" si="452"/>
        <v>03/03/2026</v>
      </c>
      <c r="K2325">
        <v>46094</v>
      </c>
      <c r="N2325">
        <v>109</v>
      </c>
      <c r="O2325" t="s">
        <v>27</v>
      </c>
      <c r="Q2325">
        <v>590</v>
      </c>
      <c r="R2325" t="str">
        <f>"FARMÁCIA INDIANA LJ 204 (10087)"</f>
        <v>FARMÁCIA INDIANA LJ 204 (10087)</v>
      </c>
      <c r="S2325" t="s">
        <v>37</v>
      </c>
      <c r="T2325">
        <v>30795</v>
      </c>
      <c r="U2325">
        <v>34104</v>
      </c>
      <c r="V2325" t="s">
        <v>37</v>
      </c>
    </row>
    <row r="2326" spans="1:22">
      <c r="A2326" t="str">
        <f t="shared" si="454"/>
        <v>13/03/2026</v>
      </c>
      <c r="B2326" t="str">
        <f t="shared" si="448"/>
        <v>SAÍDA</v>
      </c>
      <c r="C2326" t="str">
        <f t="shared" si="450"/>
        <v>PIX</v>
      </c>
      <c r="D2326" t="str">
        <f>"34104"</f>
        <v>34104</v>
      </c>
      <c r="E2326" t="str">
        <f t="shared" si="451"/>
        <v>1</v>
      </c>
      <c r="F2326" t="str">
        <f t="shared" si="453"/>
        <v>COM</v>
      </c>
      <c r="G2326" t="str">
        <f>"BRUNO DOS SANTOS MACHADO (702)"</f>
        <v>BRUNO DOS SANTOS MACHADO (702)</v>
      </c>
      <c r="H2326" t="s">
        <v>431</v>
      </c>
      <c r="I2326" t="str">
        <f t="shared" si="449"/>
        <v>13/03/2026</v>
      </c>
      <c r="J2326" t="str">
        <f t="shared" si="452"/>
        <v>03/03/2026</v>
      </c>
      <c r="K2326">
        <v>46094</v>
      </c>
      <c r="N2326">
        <v>109</v>
      </c>
      <c r="O2326" t="s">
        <v>27</v>
      </c>
      <c r="Q2326">
        <v>590</v>
      </c>
      <c r="R2326" t="str">
        <f>"FARMÁCIA INDIANA LJ 266 (10186)"</f>
        <v>FARMÁCIA INDIANA LJ 266 (10186)</v>
      </c>
      <c r="S2326" t="s">
        <v>37</v>
      </c>
      <c r="T2326">
        <v>30795</v>
      </c>
      <c r="U2326">
        <v>34104</v>
      </c>
      <c r="V2326" t="s">
        <v>37</v>
      </c>
    </row>
    <row r="2327" spans="1:22">
      <c r="A2327" t="str">
        <f t="shared" si="454"/>
        <v>13/03/2026</v>
      </c>
      <c r="B2327" t="str">
        <f t="shared" si="448"/>
        <v>SAÍDA</v>
      </c>
      <c r="C2327" t="str">
        <f t="shared" si="450"/>
        <v>PIX</v>
      </c>
      <c r="D2327" t="str">
        <f>"34105"</f>
        <v>34105</v>
      </c>
      <c r="E2327" t="str">
        <f t="shared" si="451"/>
        <v>1</v>
      </c>
      <c r="F2327" t="str">
        <f t="shared" si="453"/>
        <v>COM</v>
      </c>
      <c r="G2327" t="str">
        <f>"BRUNO WAGNER DE CARVALHO OLIVEIRA (84)"</f>
        <v>BRUNO WAGNER DE CARVALHO OLIVEIRA (84)</v>
      </c>
      <c r="H2327" t="str">
        <f>"Serv.Prest. 23/02/2026 a 01/03/2026 - PIX: CELULAR - CHAVE: (32) 98896-0708"</f>
        <v>Serv.Prest. 23/02/2026 a 01/03/2026 - PIX: CELULAR - CHAVE: (32) 98896-0708</v>
      </c>
      <c r="I2327" t="str">
        <f t="shared" si="449"/>
        <v>13/03/2026</v>
      </c>
      <c r="J2327" t="str">
        <f t="shared" si="452"/>
        <v>03/03/2026</v>
      </c>
      <c r="K2327" t="str">
        <f>("13/03/2026")</f>
        <v>13/03/2026</v>
      </c>
      <c r="L2327">
        <v>700</v>
      </c>
      <c r="M2327">
        <v>700</v>
      </c>
      <c r="N2327">
        <v>109</v>
      </c>
      <c r="O2327" t="str">
        <f>"PAGAMENTO DE ENTREGADORES"</f>
        <v>PAGAMENTO DE ENTREGADORES</v>
      </c>
      <c r="P2327">
        <v>700</v>
      </c>
      <c r="S2327" t="str">
        <f>"BANCO C6 (149)"</f>
        <v>BANCO C6 (149)</v>
      </c>
      <c r="T2327">
        <v>30796</v>
      </c>
      <c r="U2327">
        <v>34105</v>
      </c>
      <c r="V2327" t="s">
        <v>37</v>
      </c>
    </row>
    <row r="2328" spans="1:22">
      <c r="A2328" t="str">
        <f t="shared" si="454"/>
        <v>13/03/2026</v>
      </c>
      <c r="B2328" t="str">
        <f t="shared" si="448"/>
        <v>SAÍDA</v>
      </c>
      <c r="C2328" t="str">
        <f t="shared" si="450"/>
        <v>PIX</v>
      </c>
      <c r="D2328" t="str">
        <f>"34105"</f>
        <v>34105</v>
      </c>
      <c r="E2328" t="str">
        <f t="shared" si="451"/>
        <v>1</v>
      </c>
      <c r="F2328" t="str">
        <f t="shared" si="453"/>
        <v>COM</v>
      </c>
      <c r="G2328" t="str">
        <f>"BRUNO WAGNER DE CARVALHO OLIVEIRA (84)"</f>
        <v>BRUNO WAGNER DE CARVALHO OLIVEIRA (84)</v>
      </c>
      <c r="H2328" t="s">
        <v>713</v>
      </c>
      <c r="I2328" t="str">
        <f t="shared" si="449"/>
        <v>13/03/2026</v>
      </c>
      <c r="J2328" t="str">
        <f t="shared" si="452"/>
        <v>03/03/2026</v>
      </c>
      <c r="K2328">
        <v>46094</v>
      </c>
      <c r="N2328">
        <v>109</v>
      </c>
      <c r="O2328" t="s">
        <v>27</v>
      </c>
      <c r="Q2328">
        <v>350</v>
      </c>
      <c r="R2328" t="str">
        <f>"FARMÁCIA INDIANA LJ 182 (10079)"</f>
        <v>FARMÁCIA INDIANA LJ 182 (10079)</v>
      </c>
      <c r="S2328" t="s">
        <v>37</v>
      </c>
      <c r="T2328">
        <v>30796</v>
      </c>
      <c r="U2328">
        <v>34105</v>
      </c>
      <c r="V2328" t="s">
        <v>37</v>
      </c>
    </row>
    <row r="2329" spans="1:22">
      <c r="A2329" t="str">
        <f t="shared" si="454"/>
        <v>13/03/2026</v>
      </c>
      <c r="B2329" t="str">
        <f t="shared" si="448"/>
        <v>SAÍDA</v>
      </c>
      <c r="C2329" t="str">
        <f t="shared" si="450"/>
        <v>PIX</v>
      </c>
      <c r="D2329" t="str">
        <f>"34105"</f>
        <v>34105</v>
      </c>
      <c r="E2329" t="str">
        <f t="shared" si="451"/>
        <v>1</v>
      </c>
      <c r="F2329" t="str">
        <f t="shared" si="453"/>
        <v>COM</v>
      </c>
      <c r="G2329" t="str">
        <f>"BRUNO WAGNER DE CARVALHO OLIVEIRA (84)"</f>
        <v>BRUNO WAGNER DE CARVALHO OLIVEIRA (84)</v>
      </c>
      <c r="H2329" t="s">
        <v>713</v>
      </c>
      <c r="I2329" t="str">
        <f t="shared" si="449"/>
        <v>13/03/2026</v>
      </c>
      <c r="J2329" t="str">
        <f t="shared" si="452"/>
        <v>03/03/2026</v>
      </c>
      <c r="K2329">
        <v>46094</v>
      </c>
      <c r="N2329">
        <v>109</v>
      </c>
      <c r="O2329" t="s">
        <v>27</v>
      </c>
      <c r="Q2329">
        <v>350</v>
      </c>
      <c r="R2329" t="str">
        <f>"FARMÁCIA INDIANA LJ 186 (10081)"</f>
        <v>FARMÁCIA INDIANA LJ 186 (10081)</v>
      </c>
      <c r="S2329" t="s">
        <v>37</v>
      </c>
      <c r="T2329">
        <v>30796</v>
      </c>
      <c r="U2329">
        <v>34105</v>
      </c>
      <c r="V2329" t="s">
        <v>37</v>
      </c>
    </row>
    <row r="2330" spans="1:22">
      <c r="A2330" t="str">
        <f t="shared" si="454"/>
        <v>13/03/2026</v>
      </c>
      <c r="B2330" t="str">
        <f t="shared" si="448"/>
        <v>SAÍDA</v>
      </c>
      <c r="C2330" t="str">
        <f t="shared" si="450"/>
        <v>PIX</v>
      </c>
      <c r="D2330" t="str">
        <f>"34106"</f>
        <v>34106</v>
      </c>
      <c r="E2330" t="str">
        <f t="shared" si="451"/>
        <v>1</v>
      </c>
      <c r="F2330" t="str">
        <f t="shared" si="453"/>
        <v>COM</v>
      </c>
      <c r="G2330" t="str">
        <f>"CAMILO JEFERSON DA SILVA PACHECO (1242)"</f>
        <v>CAMILO JEFERSON DA SILVA PACHECO (1242)</v>
      </c>
      <c r="H2330" t="str">
        <f>"Serv.Prest. 23/02/2026 a 01/03/2026 - PIX: CELULAR - CHAVE: (33) 98899-5294"</f>
        <v>Serv.Prest. 23/02/2026 a 01/03/2026 - PIX: CELULAR - CHAVE: (33) 98899-5294</v>
      </c>
      <c r="I2330" t="str">
        <f t="shared" si="449"/>
        <v>13/03/2026</v>
      </c>
      <c r="J2330" t="str">
        <f t="shared" si="452"/>
        <v>03/03/2026</v>
      </c>
      <c r="K2330" t="str">
        <f>("13/03/2026")</f>
        <v>13/03/2026</v>
      </c>
      <c r="L2330">
        <v>762</v>
      </c>
      <c r="M2330">
        <v>762</v>
      </c>
      <c r="N2330">
        <v>109</v>
      </c>
      <c r="O2330" t="str">
        <f>"PAGAMENTO DE ENTREGADORES"</f>
        <v>PAGAMENTO DE ENTREGADORES</v>
      </c>
      <c r="P2330">
        <v>762</v>
      </c>
      <c r="S2330" t="str">
        <f>"BANCO C6 (149)"</f>
        <v>BANCO C6 (149)</v>
      </c>
      <c r="T2330">
        <v>30797</v>
      </c>
      <c r="U2330">
        <v>34106</v>
      </c>
      <c r="V2330" t="s">
        <v>37</v>
      </c>
    </row>
    <row r="2331" spans="1:22">
      <c r="A2331" t="str">
        <f t="shared" si="454"/>
        <v>13/03/2026</v>
      </c>
      <c r="B2331" t="str">
        <f t="shared" si="448"/>
        <v>SAÍDA</v>
      </c>
      <c r="C2331" t="str">
        <f t="shared" si="450"/>
        <v>PIX</v>
      </c>
      <c r="D2331" t="str">
        <f>"34106"</f>
        <v>34106</v>
      </c>
      <c r="E2331" t="str">
        <f t="shared" si="451"/>
        <v>1</v>
      </c>
      <c r="F2331" t="str">
        <f t="shared" si="453"/>
        <v>COM</v>
      </c>
      <c r="G2331" t="str">
        <f>"CAMILO JEFERSON DA SILVA PACHECO (1242)"</f>
        <v>CAMILO JEFERSON DA SILVA PACHECO (1242)</v>
      </c>
      <c r="H2331" t="s">
        <v>714</v>
      </c>
      <c r="I2331" t="str">
        <f t="shared" si="449"/>
        <v>13/03/2026</v>
      </c>
      <c r="J2331" t="str">
        <f t="shared" si="452"/>
        <v>03/03/2026</v>
      </c>
      <c r="K2331">
        <v>46094</v>
      </c>
      <c r="N2331">
        <v>109</v>
      </c>
      <c r="O2331" t="s">
        <v>27</v>
      </c>
      <c r="Q2331">
        <v>762</v>
      </c>
      <c r="R2331" t="str">
        <f>"FARMÁCIA INDIANA LJ 07 (10007)"</f>
        <v>FARMÁCIA INDIANA LJ 07 (10007)</v>
      </c>
      <c r="S2331" t="s">
        <v>37</v>
      </c>
      <c r="T2331">
        <v>30797</v>
      </c>
      <c r="U2331">
        <v>34106</v>
      </c>
      <c r="V2331" t="s">
        <v>37</v>
      </c>
    </row>
    <row r="2332" spans="1:22">
      <c r="A2332" t="str">
        <f t="shared" si="454"/>
        <v>13/03/2026</v>
      </c>
      <c r="B2332" t="str">
        <f t="shared" si="448"/>
        <v>SAÍDA</v>
      </c>
      <c r="C2332" t="str">
        <f t="shared" si="450"/>
        <v>PIX</v>
      </c>
      <c r="D2332" t="str">
        <f>"34107"</f>
        <v>34107</v>
      </c>
      <c r="E2332" t="str">
        <f t="shared" si="451"/>
        <v>1</v>
      </c>
      <c r="F2332" t="str">
        <f t="shared" si="453"/>
        <v>COM</v>
      </c>
      <c r="G2332" t="str">
        <f>"CARLOS ALEXANDRE BADARO CORDEIRO (1137)"</f>
        <v>CARLOS ALEXANDRE BADARO CORDEIRO (1137)</v>
      </c>
      <c r="H2332" t="str">
        <f>"Serv.Prest. 23/02/2026 a 01/03/2026 - PIX: CELULAR - CHAVE: (32) 99928-9092"</f>
        <v>Serv.Prest. 23/02/2026 a 01/03/2026 - PIX: CELULAR - CHAVE: (32) 99928-9092</v>
      </c>
      <c r="I2332" t="str">
        <f t="shared" si="449"/>
        <v>13/03/2026</v>
      </c>
      <c r="J2332" t="str">
        <f t="shared" si="452"/>
        <v>03/03/2026</v>
      </c>
      <c r="K2332" t="str">
        <f>("13/03/2026")</f>
        <v>13/03/2026</v>
      </c>
      <c r="L2332">
        <v>720</v>
      </c>
      <c r="M2332">
        <v>720</v>
      </c>
      <c r="N2332">
        <v>109</v>
      </c>
      <c r="O2332" t="str">
        <f>"PAGAMENTO DE ENTREGADORES"</f>
        <v>PAGAMENTO DE ENTREGADORES</v>
      </c>
      <c r="P2332">
        <v>720</v>
      </c>
      <c r="S2332" t="str">
        <f>"BANCO C6 (149)"</f>
        <v>BANCO C6 (149)</v>
      </c>
      <c r="T2332">
        <v>30798</v>
      </c>
      <c r="U2332">
        <v>34107</v>
      </c>
      <c r="V2332" t="s">
        <v>37</v>
      </c>
    </row>
    <row r="2333" spans="1:22">
      <c r="A2333" t="str">
        <f t="shared" si="454"/>
        <v>13/03/2026</v>
      </c>
      <c r="B2333" t="str">
        <f t="shared" si="448"/>
        <v>SAÍDA</v>
      </c>
      <c r="C2333" t="str">
        <f t="shared" si="450"/>
        <v>PIX</v>
      </c>
      <c r="D2333" t="str">
        <f>"34107"</f>
        <v>34107</v>
      </c>
      <c r="E2333" t="str">
        <f t="shared" si="451"/>
        <v>1</v>
      </c>
      <c r="F2333" t="str">
        <f t="shared" si="453"/>
        <v>COM</v>
      </c>
      <c r="G2333" t="str">
        <f>"CARLOS ALEXANDRE BADARO CORDEIRO (1137)"</f>
        <v>CARLOS ALEXANDRE BADARO CORDEIRO (1137)</v>
      </c>
      <c r="H2333" t="s">
        <v>715</v>
      </c>
      <c r="I2333" t="str">
        <f t="shared" si="449"/>
        <v>13/03/2026</v>
      </c>
      <c r="J2333" t="str">
        <f t="shared" si="452"/>
        <v>03/03/2026</v>
      </c>
      <c r="K2333">
        <v>46094</v>
      </c>
      <c r="N2333">
        <v>109</v>
      </c>
      <c r="O2333" t="s">
        <v>27</v>
      </c>
      <c r="Q2333">
        <v>720</v>
      </c>
      <c r="R2333" t="str">
        <f>"FARMÁCIA INDIANA LJ 284 (10280)"</f>
        <v>FARMÁCIA INDIANA LJ 284 (10280)</v>
      </c>
      <c r="S2333" t="s">
        <v>37</v>
      </c>
      <c r="T2333">
        <v>30798</v>
      </c>
      <c r="U2333">
        <v>34107</v>
      </c>
      <c r="V2333" t="s">
        <v>37</v>
      </c>
    </row>
    <row r="2334" spans="1:22">
      <c r="A2334" t="str">
        <f t="shared" si="454"/>
        <v>13/03/2026</v>
      </c>
      <c r="B2334" t="str">
        <f t="shared" si="448"/>
        <v>SAÍDA</v>
      </c>
      <c r="C2334" t="str">
        <f t="shared" si="450"/>
        <v>PIX</v>
      </c>
      <c r="D2334" t="str">
        <f>"34108"</f>
        <v>34108</v>
      </c>
      <c r="E2334" t="str">
        <f t="shared" si="451"/>
        <v>1</v>
      </c>
      <c r="F2334" t="str">
        <f t="shared" si="453"/>
        <v>COM</v>
      </c>
      <c r="G2334" t="str">
        <f>"CARLOS ROBERTO BADARÓ MACHADO (78)"</f>
        <v>CARLOS ROBERTO BADARÓ MACHADO (78)</v>
      </c>
      <c r="H2334" t="str">
        <f>"Serv.Prest. 23/02/2026 a 01/03/2026 - PIX: CELULAR - CHAVE: (32) 99166-8238"</f>
        <v>Serv.Prest. 23/02/2026 a 01/03/2026 - PIX: CELULAR - CHAVE: (32) 99166-8238</v>
      </c>
      <c r="I2334" t="str">
        <f t="shared" si="449"/>
        <v>13/03/2026</v>
      </c>
      <c r="J2334" t="str">
        <f t="shared" si="452"/>
        <v>03/03/2026</v>
      </c>
      <c r="K2334" t="str">
        <f>("13/03/2026")</f>
        <v>13/03/2026</v>
      </c>
      <c r="L2334">
        <v>1584</v>
      </c>
      <c r="M2334">
        <v>1584</v>
      </c>
      <c r="N2334">
        <v>109</v>
      </c>
      <c r="O2334" t="str">
        <f>"PAGAMENTO DE ENTREGADORES"</f>
        <v>PAGAMENTO DE ENTREGADORES</v>
      </c>
      <c r="P2334">
        <v>1584</v>
      </c>
      <c r="S2334" t="str">
        <f>"BANCO C6 (149)"</f>
        <v>BANCO C6 (149)</v>
      </c>
      <c r="T2334">
        <v>30799</v>
      </c>
      <c r="U2334">
        <v>34108</v>
      </c>
      <c r="V2334" t="s">
        <v>37</v>
      </c>
    </row>
    <row r="2335" spans="1:22">
      <c r="A2335" t="str">
        <f t="shared" si="454"/>
        <v>13/03/2026</v>
      </c>
      <c r="B2335" t="str">
        <f t="shared" si="448"/>
        <v>SAÍDA</v>
      </c>
      <c r="C2335" t="str">
        <f t="shared" si="450"/>
        <v>PIX</v>
      </c>
      <c r="D2335" t="str">
        <f>"34108"</f>
        <v>34108</v>
      </c>
      <c r="E2335" t="str">
        <f t="shared" si="451"/>
        <v>1</v>
      </c>
      <c r="F2335" t="str">
        <f t="shared" si="453"/>
        <v>COM</v>
      </c>
      <c r="G2335" t="str">
        <f>"CARLOS ROBERTO BADARÓ MACHADO (78)"</f>
        <v>CARLOS ROBERTO BADARÓ MACHADO (78)</v>
      </c>
      <c r="H2335" t="s">
        <v>716</v>
      </c>
      <c r="I2335" t="str">
        <f t="shared" si="449"/>
        <v>13/03/2026</v>
      </c>
      <c r="J2335" t="str">
        <f t="shared" si="452"/>
        <v>03/03/2026</v>
      </c>
      <c r="K2335">
        <v>46094</v>
      </c>
      <c r="N2335">
        <v>109</v>
      </c>
      <c r="O2335" t="s">
        <v>27</v>
      </c>
      <c r="Q2335">
        <v>1379.98</v>
      </c>
      <c r="R2335" t="str">
        <f>"FARMÁCIA INDIANA LJ 109 (10047)"</f>
        <v>FARMÁCIA INDIANA LJ 109 (10047)</v>
      </c>
      <c r="S2335" t="s">
        <v>37</v>
      </c>
      <c r="T2335">
        <v>30799</v>
      </c>
      <c r="U2335">
        <v>34108</v>
      </c>
      <c r="V2335" t="s">
        <v>37</v>
      </c>
    </row>
    <row r="2336" spans="1:22">
      <c r="A2336" t="str">
        <f t="shared" si="454"/>
        <v>13/03/2026</v>
      </c>
      <c r="B2336" t="str">
        <f t="shared" si="448"/>
        <v>SAÍDA</v>
      </c>
      <c r="C2336" t="str">
        <f t="shared" si="450"/>
        <v>PIX</v>
      </c>
      <c r="D2336" t="str">
        <f>"34108"</f>
        <v>34108</v>
      </c>
      <c r="E2336" t="str">
        <f t="shared" si="451"/>
        <v>1</v>
      </c>
      <c r="F2336" t="str">
        <f t="shared" si="453"/>
        <v>COM</v>
      </c>
      <c r="G2336" t="str">
        <f>"CARLOS ROBERTO BADARÓ MACHADO (78)"</f>
        <v>CARLOS ROBERTO BADARÓ MACHADO (78)</v>
      </c>
      <c r="H2336" t="s">
        <v>716</v>
      </c>
      <c r="I2336" t="str">
        <f t="shared" si="449"/>
        <v>13/03/2026</v>
      </c>
      <c r="J2336" t="str">
        <f t="shared" si="452"/>
        <v>03/03/2026</v>
      </c>
      <c r="K2336">
        <v>46094</v>
      </c>
      <c r="N2336">
        <v>109</v>
      </c>
      <c r="O2336" t="s">
        <v>27</v>
      </c>
      <c r="Q2336">
        <v>204.02</v>
      </c>
      <c r="R2336" t="str">
        <f>"FARMÁCIA INDIANA LJ 284 (10280)"</f>
        <v>FARMÁCIA INDIANA LJ 284 (10280)</v>
      </c>
      <c r="S2336" t="s">
        <v>37</v>
      </c>
      <c r="T2336">
        <v>30799</v>
      </c>
      <c r="U2336">
        <v>34108</v>
      </c>
      <c r="V2336" t="s">
        <v>37</v>
      </c>
    </row>
    <row r="2337" spans="1:22">
      <c r="A2337" t="str">
        <f t="shared" si="454"/>
        <v>13/03/2026</v>
      </c>
      <c r="B2337" t="str">
        <f t="shared" si="448"/>
        <v>SAÍDA</v>
      </c>
      <c r="C2337" t="str">
        <f t="shared" si="450"/>
        <v>PIX</v>
      </c>
      <c r="D2337" t="str">
        <f>"34109"</f>
        <v>34109</v>
      </c>
      <c r="E2337" t="str">
        <f t="shared" si="451"/>
        <v>1</v>
      </c>
      <c r="F2337" t="str">
        <f t="shared" si="453"/>
        <v>COM</v>
      </c>
      <c r="G2337" t="str">
        <f>"CASSIO DIAS RIBEIRO (32)"</f>
        <v>CASSIO DIAS RIBEIRO (32)</v>
      </c>
      <c r="H2337" t="str">
        <f>"Serv.Prest. 23/02/2026 a 01/03/2026 - PIX: CNPJ - CHAVE: 35.986.676/0001-80"</f>
        <v>Serv.Prest. 23/02/2026 a 01/03/2026 - PIX: CNPJ - CHAVE: 35.986.676/0001-80</v>
      </c>
      <c r="I2337" t="str">
        <f t="shared" si="449"/>
        <v>13/03/2026</v>
      </c>
      <c r="J2337" t="str">
        <f t="shared" si="452"/>
        <v>03/03/2026</v>
      </c>
      <c r="K2337" t="str">
        <f>("13/03/2026")</f>
        <v>13/03/2026</v>
      </c>
      <c r="L2337">
        <v>398</v>
      </c>
      <c r="M2337">
        <v>398</v>
      </c>
      <c r="N2337">
        <v>109</v>
      </c>
      <c r="O2337" t="str">
        <f>"PAGAMENTO DE ENTREGADORES"</f>
        <v>PAGAMENTO DE ENTREGADORES</v>
      </c>
      <c r="P2337">
        <v>398</v>
      </c>
      <c r="S2337" t="str">
        <f>"BANCO C6 (149)"</f>
        <v>BANCO C6 (149)</v>
      </c>
      <c r="T2337">
        <v>30800</v>
      </c>
      <c r="U2337">
        <v>34109</v>
      </c>
      <c r="V2337" t="s">
        <v>37</v>
      </c>
    </row>
    <row r="2338" spans="1:22">
      <c r="A2338" t="str">
        <f t="shared" si="454"/>
        <v>13/03/2026</v>
      </c>
      <c r="B2338" t="str">
        <f t="shared" ref="B2338:B2401" si="455">"SAÍDA"</f>
        <v>SAÍDA</v>
      </c>
      <c r="C2338" t="str">
        <f t="shared" si="450"/>
        <v>PIX</v>
      </c>
      <c r="D2338" t="str">
        <f>"34109"</f>
        <v>34109</v>
      </c>
      <c r="E2338" t="str">
        <f t="shared" si="451"/>
        <v>1</v>
      </c>
      <c r="F2338" t="str">
        <f t="shared" si="453"/>
        <v>COM</v>
      </c>
      <c r="G2338" t="str">
        <f>"CASSIO DIAS RIBEIRO (32)"</f>
        <v>CASSIO DIAS RIBEIRO (32)</v>
      </c>
      <c r="H2338" t="s">
        <v>96</v>
      </c>
      <c r="I2338" t="str">
        <f t="shared" si="449"/>
        <v>13/03/2026</v>
      </c>
      <c r="J2338" t="str">
        <f t="shared" si="452"/>
        <v>03/03/2026</v>
      </c>
      <c r="K2338">
        <v>46094</v>
      </c>
      <c r="N2338">
        <v>109</v>
      </c>
      <c r="O2338" t="s">
        <v>27</v>
      </c>
      <c r="Q2338">
        <v>388.41</v>
      </c>
      <c r="R2338" t="str">
        <f>"FARMÁCIA INDIANA LJ 11 (10008)"</f>
        <v>FARMÁCIA INDIANA LJ 11 (10008)</v>
      </c>
      <c r="S2338" t="s">
        <v>37</v>
      </c>
      <c r="T2338">
        <v>30800</v>
      </c>
      <c r="U2338">
        <v>34109</v>
      </c>
      <c r="V2338" t="s">
        <v>37</v>
      </c>
    </row>
    <row r="2339" spans="1:22">
      <c r="A2339" t="str">
        <f t="shared" si="454"/>
        <v>13/03/2026</v>
      </c>
      <c r="B2339" t="str">
        <f t="shared" si="455"/>
        <v>SAÍDA</v>
      </c>
      <c r="C2339" t="str">
        <f t="shared" si="450"/>
        <v>PIX</v>
      </c>
      <c r="D2339" t="str">
        <f>"34109"</f>
        <v>34109</v>
      </c>
      <c r="E2339" t="str">
        <f t="shared" si="451"/>
        <v>1</v>
      </c>
      <c r="F2339" t="str">
        <f t="shared" si="453"/>
        <v>COM</v>
      </c>
      <c r="G2339" t="str">
        <f>"CASSIO DIAS RIBEIRO (32)"</f>
        <v>CASSIO DIAS RIBEIRO (32)</v>
      </c>
      <c r="H2339" t="s">
        <v>96</v>
      </c>
      <c r="I2339" t="str">
        <f t="shared" si="449"/>
        <v>13/03/2026</v>
      </c>
      <c r="J2339" t="str">
        <f t="shared" si="452"/>
        <v>03/03/2026</v>
      </c>
      <c r="K2339">
        <v>46094</v>
      </c>
      <c r="N2339">
        <v>109</v>
      </c>
      <c r="O2339" t="s">
        <v>27</v>
      </c>
      <c r="Q2339">
        <v>9.59</v>
      </c>
      <c r="R2339" t="str">
        <f>"FARMÁCIA INDIANA LJ 18 (10011)"</f>
        <v>FARMÁCIA INDIANA LJ 18 (10011)</v>
      </c>
      <c r="S2339" t="s">
        <v>37</v>
      </c>
      <c r="T2339">
        <v>30800</v>
      </c>
      <c r="U2339">
        <v>34109</v>
      </c>
      <c r="V2339" t="s">
        <v>37</v>
      </c>
    </row>
    <row r="2340" spans="1:22">
      <c r="A2340" t="str">
        <f t="shared" si="454"/>
        <v>13/03/2026</v>
      </c>
      <c r="B2340" t="str">
        <f t="shared" si="455"/>
        <v>SAÍDA</v>
      </c>
      <c r="C2340" t="str">
        <f t="shared" si="450"/>
        <v>PIX</v>
      </c>
      <c r="D2340" t="str">
        <f>"34110"</f>
        <v>34110</v>
      </c>
      <c r="E2340" t="str">
        <f t="shared" si="451"/>
        <v>1</v>
      </c>
      <c r="F2340" t="str">
        <f t="shared" si="453"/>
        <v>COM</v>
      </c>
      <c r="G2340" t="str">
        <f>"CELIO JOSÉ RIBEIRO (189)"</f>
        <v>CELIO JOSÉ RIBEIRO (189)</v>
      </c>
      <c r="H2340" t="str">
        <f>"Serv.Prest. 23/02/2026 a 01/03/2026 - PIX: CELULAR - CHAVE: (33) 98845-4528"</f>
        <v>Serv.Prest. 23/02/2026 a 01/03/2026 - PIX: CELULAR - CHAVE: (33) 98845-4528</v>
      </c>
      <c r="I2340" t="str">
        <f t="shared" si="449"/>
        <v>13/03/2026</v>
      </c>
      <c r="J2340" t="str">
        <f t="shared" si="452"/>
        <v>03/03/2026</v>
      </c>
      <c r="K2340" t="str">
        <f>("13/03/2026")</f>
        <v>13/03/2026</v>
      </c>
      <c r="L2340">
        <v>1530</v>
      </c>
      <c r="M2340">
        <v>1530</v>
      </c>
      <c r="N2340">
        <v>109</v>
      </c>
      <c r="O2340" t="str">
        <f>"PAGAMENTO DE ENTREGADORES"</f>
        <v>PAGAMENTO DE ENTREGADORES</v>
      </c>
      <c r="P2340">
        <v>1530</v>
      </c>
      <c r="S2340" t="str">
        <f>"BANCO C6 (149)"</f>
        <v>BANCO C6 (149)</v>
      </c>
      <c r="T2340">
        <v>30801</v>
      </c>
      <c r="U2340">
        <v>34110</v>
      </c>
      <c r="V2340" t="s">
        <v>37</v>
      </c>
    </row>
    <row r="2341" spans="1:22">
      <c r="A2341" t="str">
        <f t="shared" si="454"/>
        <v>13/03/2026</v>
      </c>
      <c r="B2341" t="str">
        <f t="shared" si="455"/>
        <v>SAÍDA</v>
      </c>
      <c r="C2341" t="str">
        <f t="shared" si="450"/>
        <v>PIX</v>
      </c>
      <c r="D2341" t="str">
        <f>"34110"</f>
        <v>34110</v>
      </c>
      <c r="E2341" t="str">
        <f t="shared" si="451"/>
        <v>1</v>
      </c>
      <c r="F2341" t="str">
        <f t="shared" si="453"/>
        <v>COM</v>
      </c>
      <c r="G2341" t="str">
        <f>"CELIO JOSÉ RIBEIRO (189)"</f>
        <v>CELIO JOSÉ RIBEIRO (189)</v>
      </c>
      <c r="H2341" t="s">
        <v>717</v>
      </c>
      <c r="I2341" t="str">
        <f t="shared" si="449"/>
        <v>13/03/2026</v>
      </c>
      <c r="J2341" t="str">
        <f t="shared" si="452"/>
        <v>03/03/2026</v>
      </c>
      <c r="K2341">
        <v>46094</v>
      </c>
      <c r="N2341">
        <v>109</v>
      </c>
      <c r="O2341" t="s">
        <v>27</v>
      </c>
      <c r="Q2341">
        <v>1530</v>
      </c>
      <c r="R2341" t="str">
        <f>"FARMÁCIA INDIANA LJ 06 (10006)"</f>
        <v>FARMÁCIA INDIANA LJ 06 (10006)</v>
      </c>
      <c r="S2341" t="s">
        <v>37</v>
      </c>
      <c r="T2341">
        <v>30801</v>
      </c>
      <c r="U2341">
        <v>34110</v>
      </c>
      <c r="V2341" t="s">
        <v>37</v>
      </c>
    </row>
    <row r="2342" spans="1:22">
      <c r="A2342" t="str">
        <f t="shared" si="454"/>
        <v>13/03/2026</v>
      </c>
      <c r="B2342" t="str">
        <f t="shared" si="455"/>
        <v>SAÍDA</v>
      </c>
      <c r="C2342" t="str">
        <f t="shared" si="450"/>
        <v>PIX</v>
      </c>
      <c r="D2342" t="str">
        <f>"34111"</f>
        <v>34111</v>
      </c>
      <c r="E2342" t="str">
        <f t="shared" si="451"/>
        <v>1</v>
      </c>
      <c r="F2342" t="str">
        <f t="shared" si="453"/>
        <v>COM</v>
      </c>
      <c r="G2342" t="str">
        <f>"CLEIDIOMAR RIBEIRO FERREIRA (34)"</f>
        <v>CLEIDIOMAR RIBEIRO FERREIRA (34)</v>
      </c>
      <c r="H2342" t="str">
        <f>"Serv.Prest. 23/02/2026 a 01/03/2026 - PIX: CELULAR - CHAVE: (31) 98511-2851"</f>
        <v>Serv.Prest. 23/02/2026 a 01/03/2026 - PIX: CELULAR - CHAVE: (31) 98511-2851</v>
      </c>
      <c r="I2342" t="str">
        <f t="shared" si="449"/>
        <v>13/03/2026</v>
      </c>
      <c r="J2342" t="str">
        <f t="shared" si="452"/>
        <v>03/03/2026</v>
      </c>
      <c r="K2342" t="str">
        <f>("13/03/2026")</f>
        <v>13/03/2026</v>
      </c>
      <c r="L2342">
        <v>1410</v>
      </c>
      <c r="M2342">
        <v>1410</v>
      </c>
      <c r="N2342">
        <v>109</v>
      </c>
      <c r="O2342" t="str">
        <f>"PAGAMENTO DE ENTREGADORES"</f>
        <v>PAGAMENTO DE ENTREGADORES</v>
      </c>
      <c r="P2342">
        <v>1410</v>
      </c>
      <c r="S2342" t="str">
        <f>"BANCO C6 (149)"</f>
        <v>BANCO C6 (149)</v>
      </c>
      <c r="T2342">
        <v>30802</v>
      </c>
      <c r="U2342">
        <v>34111</v>
      </c>
      <c r="V2342" t="s">
        <v>37</v>
      </c>
    </row>
    <row r="2343" spans="1:22">
      <c r="A2343" t="str">
        <f t="shared" si="454"/>
        <v>13/03/2026</v>
      </c>
      <c r="B2343" t="str">
        <f t="shared" si="455"/>
        <v>SAÍDA</v>
      </c>
      <c r="C2343" t="str">
        <f t="shared" si="450"/>
        <v>PIX</v>
      </c>
      <c r="D2343" t="str">
        <f>"34111"</f>
        <v>34111</v>
      </c>
      <c r="E2343" t="str">
        <f t="shared" si="451"/>
        <v>1</v>
      </c>
      <c r="F2343" t="str">
        <f t="shared" si="453"/>
        <v>COM</v>
      </c>
      <c r="G2343" t="str">
        <f>"CLEIDIOMAR RIBEIRO FERREIRA (34)"</f>
        <v>CLEIDIOMAR RIBEIRO FERREIRA (34)</v>
      </c>
      <c r="H2343" t="s">
        <v>718</v>
      </c>
      <c r="I2343" t="str">
        <f t="shared" ref="I2343:I2406" si="456">("13/03/2026")</f>
        <v>13/03/2026</v>
      </c>
      <c r="J2343" t="str">
        <f t="shared" si="452"/>
        <v>03/03/2026</v>
      </c>
      <c r="K2343">
        <v>46094</v>
      </c>
      <c r="N2343">
        <v>109</v>
      </c>
      <c r="O2343" t="s">
        <v>27</v>
      </c>
      <c r="Q2343">
        <v>1410</v>
      </c>
      <c r="R2343" t="str">
        <f>"FARMÁCIA INDIANA LJ 11 (10008)"</f>
        <v>FARMÁCIA INDIANA LJ 11 (10008)</v>
      </c>
      <c r="S2343" t="s">
        <v>37</v>
      </c>
      <c r="T2343">
        <v>30802</v>
      </c>
      <c r="U2343">
        <v>34111</v>
      </c>
      <c r="V2343" t="s">
        <v>37</v>
      </c>
    </row>
    <row r="2344" spans="1:22">
      <c r="A2344" t="str">
        <f t="shared" si="454"/>
        <v>13/03/2026</v>
      </c>
      <c r="B2344" t="str">
        <f t="shared" si="455"/>
        <v>SAÍDA</v>
      </c>
      <c r="C2344" t="str">
        <f t="shared" si="450"/>
        <v>PIX</v>
      </c>
      <c r="D2344" t="str">
        <f>"34112"</f>
        <v>34112</v>
      </c>
      <c r="E2344" t="str">
        <f t="shared" si="451"/>
        <v>1</v>
      </c>
      <c r="F2344" t="str">
        <f t="shared" si="453"/>
        <v>COM</v>
      </c>
      <c r="G2344" t="str">
        <f>"CRISTIANO XAVIER DA COSTA (269)"</f>
        <v>CRISTIANO XAVIER DA COSTA (269)</v>
      </c>
      <c r="H2344" t="str">
        <f>"Serv.Prest. 23/02/2026 a 01/03/2026 - PIX: CELULAR - CHAVE: (32) 99177-6167"</f>
        <v>Serv.Prest. 23/02/2026 a 01/03/2026 - PIX: CELULAR - CHAVE: (32) 99177-6167</v>
      </c>
      <c r="I2344" t="str">
        <f t="shared" si="456"/>
        <v>13/03/2026</v>
      </c>
      <c r="J2344" t="str">
        <f t="shared" si="452"/>
        <v>03/03/2026</v>
      </c>
      <c r="K2344" t="str">
        <f>("13/03/2026")</f>
        <v>13/03/2026</v>
      </c>
      <c r="L2344">
        <v>2040</v>
      </c>
      <c r="M2344">
        <v>2040</v>
      </c>
      <c r="N2344">
        <v>109</v>
      </c>
      <c r="O2344" t="str">
        <f>"PAGAMENTO DE ENTREGADORES"</f>
        <v>PAGAMENTO DE ENTREGADORES</v>
      </c>
      <c r="P2344">
        <v>2040</v>
      </c>
      <c r="S2344" t="str">
        <f>"BANCO C6 (149)"</f>
        <v>BANCO C6 (149)</v>
      </c>
      <c r="T2344">
        <v>30803</v>
      </c>
      <c r="U2344">
        <v>34112</v>
      </c>
      <c r="V2344" t="s">
        <v>37</v>
      </c>
    </row>
    <row r="2345" spans="1:22">
      <c r="A2345" t="str">
        <f t="shared" si="454"/>
        <v>13/03/2026</v>
      </c>
      <c r="B2345" t="str">
        <f t="shared" si="455"/>
        <v>SAÍDA</v>
      </c>
      <c r="C2345" t="str">
        <f t="shared" ref="C2345:C2408" si="457">"PIX"</f>
        <v>PIX</v>
      </c>
      <c r="D2345" t="str">
        <f>"34112"</f>
        <v>34112</v>
      </c>
      <c r="E2345" t="str">
        <f t="shared" si="451"/>
        <v>1</v>
      </c>
      <c r="F2345" t="str">
        <f t="shared" si="453"/>
        <v>COM</v>
      </c>
      <c r="G2345" t="str">
        <f>"CRISTIANO XAVIER DA COSTA (269)"</f>
        <v>CRISTIANO XAVIER DA COSTA (269)</v>
      </c>
      <c r="H2345" t="s">
        <v>719</v>
      </c>
      <c r="I2345" t="str">
        <f t="shared" si="456"/>
        <v>13/03/2026</v>
      </c>
      <c r="J2345" t="str">
        <f t="shared" si="452"/>
        <v>03/03/2026</v>
      </c>
      <c r="K2345">
        <v>46094</v>
      </c>
      <c r="N2345">
        <v>109</v>
      </c>
      <c r="O2345" t="s">
        <v>27</v>
      </c>
      <c r="Q2345">
        <v>1349.46</v>
      </c>
      <c r="R2345" t="str">
        <f>"FARMÁCIA INDIANA LJ 207 (10088)"</f>
        <v>FARMÁCIA INDIANA LJ 207 (10088)</v>
      </c>
      <c r="S2345" t="s">
        <v>37</v>
      </c>
      <c r="T2345">
        <v>30803</v>
      </c>
      <c r="U2345">
        <v>34112</v>
      </c>
      <c r="V2345" t="s">
        <v>37</v>
      </c>
    </row>
    <row r="2346" spans="1:22">
      <c r="A2346" t="str">
        <f t="shared" si="454"/>
        <v>13/03/2026</v>
      </c>
      <c r="B2346" t="str">
        <f t="shared" si="455"/>
        <v>SAÍDA</v>
      </c>
      <c r="C2346" t="str">
        <f t="shared" si="457"/>
        <v>PIX</v>
      </c>
      <c r="D2346" t="str">
        <f>"34112"</f>
        <v>34112</v>
      </c>
      <c r="E2346" t="str">
        <f t="shared" si="451"/>
        <v>1</v>
      </c>
      <c r="F2346" t="str">
        <f t="shared" si="453"/>
        <v>COM</v>
      </c>
      <c r="G2346" t="str">
        <f>"CRISTIANO XAVIER DA COSTA (269)"</f>
        <v>CRISTIANO XAVIER DA COSTA (269)</v>
      </c>
      <c r="H2346" t="s">
        <v>719</v>
      </c>
      <c r="I2346" t="str">
        <f t="shared" si="456"/>
        <v>13/03/2026</v>
      </c>
      <c r="J2346" t="str">
        <f t="shared" si="452"/>
        <v>03/03/2026</v>
      </c>
      <c r="K2346">
        <v>46094</v>
      </c>
      <c r="N2346">
        <v>109</v>
      </c>
      <c r="O2346" t="s">
        <v>27</v>
      </c>
      <c r="Q2346">
        <v>690.54</v>
      </c>
      <c r="R2346" t="str">
        <f>"FARMÁCIA INDIANA LJ 209 (10089)"</f>
        <v>FARMÁCIA INDIANA LJ 209 (10089)</v>
      </c>
      <c r="S2346" t="s">
        <v>37</v>
      </c>
      <c r="T2346">
        <v>30803</v>
      </c>
      <c r="U2346">
        <v>34112</v>
      </c>
      <c r="V2346" t="s">
        <v>37</v>
      </c>
    </row>
    <row r="2347" spans="1:22">
      <c r="A2347" t="str">
        <f t="shared" si="454"/>
        <v>13/03/2026</v>
      </c>
      <c r="B2347" t="str">
        <f t="shared" si="455"/>
        <v>SAÍDA</v>
      </c>
      <c r="C2347" t="str">
        <f t="shared" si="457"/>
        <v>PIX</v>
      </c>
      <c r="D2347" t="str">
        <f>"34113"</f>
        <v>34113</v>
      </c>
      <c r="E2347" t="str">
        <f t="shared" si="451"/>
        <v>1</v>
      </c>
      <c r="F2347" t="str">
        <f t="shared" si="453"/>
        <v>COM</v>
      </c>
      <c r="G2347" t="str">
        <f>"DAMÁSIO JOSÉ DO NASCIMENTO NETO (147)"</f>
        <v>DAMÁSIO JOSÉ DO NASCIMENTO NETO (147)</v>
      </c>
      <c r="H2347" t="str">
        <f>"Serv.Prest. 23/02/2026 a 01/03/2026 - PIX: CPF - CHAVE: 110.483.296-82"</f>
        <v>Serv.Prest. 23/02/2026 a 01/03/2026 - PIX: CPF - CHAVE: 110.483.296-82</v>
      </c>
      <c r="I2347" t="str">
        <f t="shared" si="456"/>
        <v>13/03/2026</v>
      </c>
      <c r="J2347" t="str">
        <f t="shared" si="452"/>
        <v>03/03/2026</v>
      </c>
      <c r="K2347" t="str">
        <f>("13/03/2026")</f>
        <v>13/03/2026</v>
      </c>
      <c r="L2347">
        <v>1104</v>
      </c>
      <c r="M2347">
        <v>1104</v>
      </c>
      <c r="N2347">
        <v>109</v>
      </c>
      <c r="O2347" t="str">
        <f>"PAGAMENTO DE ENTREGADORES"</f>
        <v>PAGAMENTO DE ENTREGADORES</v>
      </c>
      <c r="P2347">
        <v>1104</v>
      </c>
      <c r="S2347" t="str">
        <f>"BANCO C6 (149)"</f>
        <v>BANCO C6 (149)</v>
      </c>
      <c r="T2347">
        <v>30804</v>
      </c>
      <c r="U2347">
        <v>34113</v>
      </c>
      <c r="V2347" t="s">
        <v>37</v>
      </c>
    </row>
    <row r="2348" spans="1:22">
      <c r="A2348" t="str">
        <f t="shared" si="454"/>
        <v>13/03/2026</v>
      </c>
      <c r="B2348" t="str">
        <f t="shared" si="455"/>
        <v>SAÍDA</v>
      </c>
      <c r="C2348" t="str">
        <f t="shared" si="457"/>
        <v>PIX</v>
      </c>
      <c r="D2348" t="str">
        <f>"34113"</f>
        <v>34113</v>
      </c>
      <c r="E2348" t="str">
        <f t="shared" si="451"/>
        <v>1</v>
      </c>
      <c r="F2348" t="str">
        <f t="shared" si="453"/>
        <v>COM</v>
      </c>
      <c r="G2348" t="str">
        <f>"DAMÁSIO JOSÉ DO NASCIMENTO NETO (147)"</f>
        <v>DAMÁSIO JOSÉ DO NASCIMENTO NETO (147)</v>
      </c>
      <c r="H2348" t="s">
        <v>720</v>
      </c>
      <c r="I2348" t="str">
        <f t="shared" si="456"/>
        <v>13/03/2026</v>
      </c>
      <c r="J2348" t="str">
        <f t="shared" si="452"/>
        <v>03/03/2026</v>
      </c>
      <c r="K2348">
        <v>46094</v>
      </c>
      <c r="N2348">
        <v>109</v>
      </c>
      <c r="O2348" t="s">
        <v>27</v>
      </c>
      <c r="Q2348">
        <v>138</v>
      </c>
      <c r="R2348" t="str">
        <f>"FARMÁCIA INDIANA LJ 19 (10012)"</f>
        <v>FARMÁCIA INDIANA LJ 19 (10012)</v>
      </c>
      <c r="S2348" t="s">
        <v>37</v>
      </c>
      <c r="T2348">
        <v>30804</v>
      </c>
      <c r="U2348">
        <v>34113</v>
      </c>
      <c r="V2348" t="s">
        <v>37</v>
      </c>
    </row>
    <row r="2349" spans="1:22">
      <c r="A2349" t="str">
        <f t="shared" si="454"/>
        <v>13/03/2026</v>
      </c>
      <c r="B2349" t="str">
        <f t="shared" si="455"/>
        <v>SAÍDA</v>
      </c>
      <c r="C2349" t="str">
        <f t="shared" si="457"/>
        <v>PIX</v>
      </c>
      <c r="D2349" t="str">
        <f>"34113"</f>
        <v>34113</v>
      </c>
      <c r="E2349" t="str">
        <f t="shared" ref="E2349:E2412" si="458">"1"</f>
        <v>1</v>
      </c>
      <c r="F2349" t="str">
        <f t="shared" si="453"/>
        <v>COM</v>
      </c>
      <c r="G2349" t="str">
        <f>"DAMÁSIO JOSÉ DO NASCIMENTO NETO (147)"</f>
        <v>DAMÁSIO JOSÉ DO NASCIMENTO NETO (147)</v>
      </c>
      <c r="H2349" t="s">
        <v>720</v>
      </c>
      <c r="I2349" t="str">
        <f t="shared" si="456"/>
        <v>13/03/2026</v>
      </c>
      <c r="J2349" t="str">
        <f t="shared" si="452"/>
        <v>03/03/2026</v>
      </c>
      <c r="K2349">
        <v>46094</v>
      </c>
      <c r="N2349">
        <v>109</v>
      </c>
      <c r="O2349" t="s">
        <v>27</v>
      </c>
      <c r="Q2349">
        <v>966</v>
      </c>
      <c r="R2349" t="str">
        <f>"FARMÁCIA INDIANA LJ 142 (10066)"</f>
        <v>FARMÁCIA INDIANA LJ 142 (10066)</v>
      </c>
      <c r="S2349" t="s">
        <v>37</v>
      </c>
      <c r="T2349">
        <v>30804</v>
      </c>
      <c r="U2349">
        <v>34113</v>
      </c>
      <c r="V2349" t="s">
        <v>37</v>
      </c>
    </row>
    <row r="2350" spans="1:22">
      <c r="A2350" t="str">
        <f t="shared" si="454"/>
        <v>13/03/2026</v>
      </c>
      <c r="B2350" t="str">
        <f t="shared" si="455"/>
        <v>SAÍDA</v>
      </c>
      <c r="C2350" t="str">
        <f t="shared" si="457"/>
        <v>PIX</v>
      </c>
      <c r="D2350" t="str">
        <f>"34114"</f>
        <v>34114</v>
      </c>
      <c r="E2350" t="str">
        <f t="shared" si="458"/>
        <v>1</v>
      </c>
      <c r="F2350" t="str">
        <f t="shared" si="453"/>
        <v>COM</v>
      </c>
      <c r="G2350" t="str">
        <f>"DANILO WASHINGTON DOS SANTOS (770)"</f>
        <v>DANILO WASHINGTON DOS SANTOS (770)</v>
      </c>
      <c r="H2350" t="str">
        <f>"Serv.Prest. 23/02/2026 a 01/03/2026 - PIX: CELULAR - CHAVE: (33) 98749-5105"</f>
        <v>Serv.Prest. 23/02/2026 a 01/03/2026 - PIX: CELULAR - CHAVE: (33) 98749-5105</v>
      </c>
      <c r="I2350" t="str">
        <f t="shared" si="456"/>
        <v>13/03/2026</v>
      </c>
      <c r="J2350" t="str">
        <f t="shared" si="452"/>
        <v>03/03/2026</v>
      </c>
      <c r="K2350" t="str">
        <f>("13/03/2026")</f>
        <v>13/03/2026</v>
      </c>
      <c r="L2350">
        <v>424</v>
      </c>
      <c r="M2350">
        <v>424</v>
      </c>
      <c r="N2350">
        <v>109</v>
      </c>
      <c r="O2350" t="str">
        <f>"PAGAMENTO DE ENTREGADORES"</f>
        <v>PAGAMENTO DE ENTREGADORES</v>
      </c>
      <c r="P2350">
        <v>424</v>
      </c>
      <c r="S2350" t="str">
        <f>"BANCO C6 (149)"</f>
        <v>BANCO C6 (149)</v>
      </c>
      <c r="T2350">
        <v>30805</v>
      </c>
      <c r="U2350">
        <v>34114</v>
      </c>
      <c r="V2350" t="s">
        <v>37</v>
      </c>
    </row>
    <row r="2351" spans="1:22">
      <c r="A2351" t="str">
        <f t="shared" si="454"/>
        <v>13/03/2026</v>
      </c>
      <c r="B2351" t="str">
        <f t="shared" si="455"/>
        <v>SAÍDA</v>
      </c>
      <c r="C2351" t="str">
        <f t="shared" si="457"/>
        <v>PIX</v>
      </c>
      <c r="D2351" t="str">
        <f>"34114"</f>
        <v>34114</v>
      </c>
      <c r="E2351" t="str">
        <f t="shared" si="458"/>
        <v>1</v>
      </c>
      <c r="F2351" t="str">
        <f t="shared" si="453"/>
        <v>COM</v>
      </c>
      <c r="G2351" t="str">
        <f>"DANILO WASHINGTON DOS SANTOS (770)"</f>
        <v>DANILO WASHINGTON DOS SANTOS (770)</v>
      </c>
      <c r="H2351" t="s">
        <v>506</v>
      </c>
      <c r="I2351" t="str">
        <f t="shared" si="456"/>
        <v>13/03/2026</v>
      </c>
      <c r="J2351" t="str">
        <f t="shared" si="452"/>
        <v>03/03/2026</v>
      </c>
      <c r="K2351">
        <v>46094</v>
      </c>
      <c r="N2351">
        <v>109</v>
      </c>
      <c r="O2351" t="s">
        <v>27</v>
      </c>
      <c r="Q2351">
        <v>424</v>
      </c>
      <c r="R2351" t="str">
        <f>"FARMÁCIA INDIANA LJ 07 (10007)"</f>
        <v>FARMÁCIA INDIANA LJ 07 (10007)</v>
      </c>
      <c r="S2351" t="s">
        <v>37</v>
      </c>
      <c r="T2351">
        <v>30805</v>
      </c>
      <c r="U2351">
        <v>34114</v>
      </c>
      <c r="V2351" t="s">
        <v>37</v>
      </c>
    </row>
    <row r="2352" spans="1:22">
      <c r="A2352" t="str">
        <f t="shared" si="454"/>
        <v>13/03/2026</v>
      </c>
      <c r="B2352" t="str">
        <f t="shared" si="455"/>
        <v>SAÍDA</v>
      </c>
      <c r="C2352" t="str">
        <f t="shared" si="457"/>
        <v>PIX</v>
      </c>
      <c r="D2352" t="str">
        <f>"34115"</f>
        <v>34115</v>
      </c>
      <c r="E2352" t="str">
        <f t="shared" si="458"/>
        <v>1</v>
      </c>
      <c r="F2352" t="str">
        <f t="shared" si="453"/>
        <v>COM</v>
      </c>
      <c r="G2352" t="str">
        <f>"DANTE SOARES DA SILVA (416)"</f>
        <v>DANTE SOARES DA SILVA (416)</v>
      </c>
      <c r="H2352" t="str">
        <f>"Serv.Prest. 23/02/2026 a 01/03/2026 - PIX: CELULAR - CHAVE: (33) 99802-1883"</f>
        <v>Serv.Prest. 23/02/2026 a 01/03/2026 - PIX: CELULAR - CHAVE: (33) 99802-1883</v>
      </c>
      <c r="I2352" t="str">
        <f t="shared" si="456"/>
        <v>13/03/2026</v>
      </c>
      <c r="J2352" t="str">
        <f t="shared" si="452"/>
        <v>03/03/2026</v>
      </c>
      <c r="K2352" t="str">
        <f>("13/03/2026")</f>
        <v>13/03/2026</v>
      </c>
      <c r="L2352">
        <v>710.5</v>
      </c>
      <c r="M2352">
        <v>710.5</v>
      </c>
      <c r="N2352">
        <v>109</v>
      </c>
      <c r="O2352" t="str">
        <f>"PAGAMENTO DE ENTREGADORES"</f>
        <v>PAGAMENTO DE ENTREGADORES</v>
      </c>
      <c r="P2352">
        <v>710.5</v>
      </c>
      <c r="S2352" t="str">
        <f>"BANCO C6 (149)"</f>
        <v>BANCO C6 (149)</v>
      </c>
      <c r="T2352">
        <v>30806</v>
      </c>
      <c r="U2352">
        <v>34115</v>
      </c>
      <c r="V2352" t="s">
        <v>37</v>
      </c>
    </row>
    <row r="2353" spans="1:22">
      <c r="A2353" t="str">
        <f t="shared" si="454"/>
        <v>13/03/2026</v>
      </c>
      <c r="B2353" t="str">
        <f t="shared" si="455"/>
        <v>SAÍDA</v>
      </c>
      <c r="C2353" t="str">
        <f t="shared" si="457"/>
        <v>PIX</v>
      </c>
      <c r="D2353" t="str">
        <f>"34115"</f>
        <v>34115</v>
      </c>
      <c r="E2353" t="str">
        <f t="shared" si="458"/>
        <v>1</v>
      </c>
      <c r="F2353" t="str">
        <f t="shared" si="453"/>
        <v>COM</v>
      </c>
      <c r="G2353" t="str">
        <f>"DANTE SOARES DA SILVA (416)"</f>
        <v>DANTE SOARES DA SILVA (416)</v>
      </c>
      <c r="H2353" t="s">
        <v>721</v>
      </c>
      <c r="I2353" t="str">
        <f t="shared" si="456"/>
        <v>13/03/2026</v>
      </c>
      <c r="J2353" t="str">
        <f t="shared" si="452"/>
        <v>03/03/2026</v>
      </c>
      <c r="K2353">
        <v>46094</v>
      </c>
      <c r="N2353">
        <v>109</v>
      </c>
      <c r="O2353" t="s">
        <v>27</v>
      </c>
      <c r="Q2353">
        <v>710.5</v>
      </c>
      <c r="R2353" t="str">
        <f>"FARMÁCIA INDIANA LJ 59 (10026)"</f>
        <v>FARMÁCIA INDIANA LJ 59 (10026)</v>
      </c>
      <c r="S2353" t="s">
        <v>37</v>
      </c>
      <c r="T2353">
        <v>30806</v>
      </c>
      <c r="U2353">
        <v>34115</v>
      </c>
      <c r="V2353" t="s">
        <v>37</v>
      </c>
    </row>
    <row r="2354" spans="1:22">
      <c r="A2354" t="str">
        <f t="shared" si="454"/>
        <v>13/03/2026</v>
      </c>
      <c r="B2354" t="str">
        <f t="shared" si="455"/>
        <v>SAÍDA</v>
      </c>
      <c r="C2354" t="str">
        <f t="shared" si="457"/>
        <v>PIX</v>
      </c>
      <c r="D2354" t="str">
        <f>"34116"</f>
        <v>34116</v>
      </c>
      <c r="E2354" t="str">
        <f t="shared" si="458"/>
        <v>1</v>
      </c>
      <c r="F2354" t="str">
        <f t="shared" si="453"/>
        <v>COM</v>
      </c>
      <c r="G2354" t="str">
        <f>"DEVANILDO PONTES CASAGRANDE (179)"</f>
        <v>DEVANILDO PONTES CASAGRANDE (179)</v>
      </c>
      <c r="H2354" t="str">
        <f>"Serv.Prest. 23/02/2026 a 01/03/2026 - PIX: CELULAR - CHAVE: (31) 99610-7049"</f>
        <v>Serv.Prest. 23/02/2026 a 01/03/2026 - PIX: CELULAR - CHAVE: (31) 99610-7049</v>
      </c>
      <c r="I2354" t="str">
        <f t="shared" si="456"/>
        <v>13/03/2026</v>
      </c>
      <c r="J2354" t="str">
        <f t="shared" si="452"/>
        <v>03/03/2026</v>
      </c>
      <c r="K2354" t="str">
        <f>("13/03/2026")</f>
        <v>13/03/2026</v>
      </c>
      <c r="L2354">
        <v>972</v>
      </c>
      <c r="M2354">
        <v>972</v>
      </c>
      <c r="N2354">
        <v>109</v>
      </c>
      <c r="O2354" t="str">
        <f>"PAGAMENTO DE ENTREGADORES"</f>
        <v>PAGAMENTO DE ENTREGADORES</v>
      </c>
      <c r="P2354">
        <v>972</v>
      </c>
      <c r="S2354" t="str">
        <f>"BANCO C6 (149)"</f>
        <v>BANCO C6 (149)</v>
      </c>
      <c r="T2354">
        <v>30807</v>
      </c>
      <c r="U2354">
        <v>34116</v>
      </c>
      <c r="V2354" t="s">
        <v>37</v>
      </c>
    </row>
    <row r="2355" spans="1:22">
      <c r="A2355" t="str">
        <f t="shared" si="454"/>
        <v>13/03/2026</v>
      </c>
      <c r="B2355" t="str">
        <f t="shared" si="455"/>
        <v>SAÍDA</v>
      </c>
      <c r="C2355" t="str">
        <f t="shared" si="457"/>
        <v>PIX</v>
      </c>
      <c r="D2355" t="str">
        <f>"34116"</f>
        <v>34116</v>
      </c>
      <c r="E2355" t="str">
        <f t="shared" si="458"/>
        <v>1</v>
      </c>
      <c r="F2355" t="str">
        <f t="shared" si="453"/>
        <v>COM</v>
      </c>
      <c r="G2355" t="str">
        <f>"DEVANILDO PONTES CASAGRANDE (179)"</f>
        <v>DEVANILDO PONTES CASAGRANDE (179)</v>
      </c>
      <c r="H2355" t="s">
        <v>722</v>
      </c>
      <c r="I2355" t="str">
        <f t="shared" si="456"/>
        <v>13/03/2026</v>
      </c>
      <c r="J2355" t="str">
        <f t="shared" si="452"/>
        <v>03/03/2026</v>
      </c>
      <c r="K2355">
        <v>46094</v>
      </c>
      <c r="N2355">
        <v>109</v>
      </c>
      <c r="O2355" t="s">
        <v>27</v>
      </c>
      <c r="Q2355">
        <v>972</v>
      </c>
      <c r="R2355" t="str">
        <f>"FARMÁCIA INDIANA LJ 142 (10066)"</f>
        <v>FARMÁCIA INDIANA LJ 142 (10066)</v>
      </c>
      <c r="S2355" t="s">
        <v>37</v>
      </c>
      <c r="T2355">
        <v>30807</v>
      </c>
      <c r="U2355">
        <v>34116</v>
      </c>
      <c r="V2355" t="s">
        <v>37</v>
      </c>
    </row>
    <row r="2356" spans="1:22">
      <c r="A2356" t="str">
        <f t="shared" si="454"/>
        <v>13/03/2026</v>
      </c>
      <c r="B2356" t="str">
        <f t="shared" si="455"/>
        <v>SAÍDA</v>
      </c>
      <c r="C2356" t="str">
        <f t="shared" si="457"/>
        <v>PIX</v>
      </c>
      <c r="D2356" t="str">
        <f>"34117"</f>
        <v>34117</v>
      </c>
      <c r="E2356" t="str">
        <f t="shared" si="458"/>
        <v>1</v>
      </c>
      <c r="F2356" t="str">
        <f t="shared" si="453"/>
        <v>COM</v>
      </c>
      <c r="G2356" t="str">
        <f>"DIEGO DAYSON FERNANDES VIEIRA (893)"</f>
        <v>DIEGO DAYSON FERNANDES VIEIRA (893)</v>
      </c>
      <c r="H2356" t="str">
        <f>"Serv.Prest. 23/02/2026 a 01/03/2026 - PIX: E-MAIL - CHAVE: turano296801@gmail.com"</f>
        <v>Serv.Prest. 23/02/2026 a 01/03/2026 - PIX: E-MAIL - CHAVE: turano296801@gmail.com</v>
      </c>
      <c r="I2356" t="str">
        <f t="shared" si="456"/>
        <v>13/03/2026</v>
      </c>
      <c r="J2356" t="str">
        <f t="shared" si="452"/>
        <v>03/03/2026</v>
      </c>
      <c r="K2356" t="str">
        <f>("13/03/2026")</f>
        <v>13/03/2026</v>
      </c>
      <c r="L2356">
        <v>780</v>
      </c>
      <c r="M2356">
        <v>780</v>
      </c>
      <c r="N2356">
        <v>109</v>
      </c>
      <c r="O2356" t="str">
        <f>"PAGAMENTO DE ENTREGADORES"</f>
        <v>PAGAMENTO DE ENTREGADORES</v>
      </c>
      <c r="P2356">
        <v>780</v>
      </c>
      <c r="S2356" t="str">
        <f>"BANCO C6 (149)"</f>
        <v>BANCO C6 (149)</v>
      </c>
      <c r="T2356">
        <v>30808</v>
      </c>
      <c r="U2356">
        <v>34117</v>
      </c>
      <c r="V2356" t="s">
        <v>37</v>
      </c>
    </row>
    <row r="2357" spans="1:22">
      <c r="A2357" t="str">
        <f t="shared" si="454"/>
        <v>13/03/2026</v>
      </c>
      <c r="B2357" t="str">
        <f t="shared" si="455"/>
        <v>SAÍDA</v>
      </c>
      <c r="C2357" t="str">
        <f t="shared" si="457"/>
        <v>PIX</v>
      </c>
      <c r="D2357" t="str">
        <f>"34117"</f>
        <v>34117</v>
      </c>
      <c r="E2357" t="str">
        <f t="shared" si="458"/>
        <v>1</v>
      </c>
      <c r="F2357" t="str">
        <f t="shared" si="453"/>
        <v>COM</v>
      </c>
      <c r="G2357" t="str">
        <f>"DIEGO DAYSON FERNANDES VIEIRA (893)"</f>
        <v>DIEGO DAYSON FERNANDES VIEIRA (893)</v>
      </c>
      <c r="H2357" t="s">
        <v>432</v>
      </c>
      <c r="I2357" t="str">
        <f t="shared" si="456"/>
        <v>13/03/2026</v>
      </c>
      <c r="J2357" t="str">
        <f t="shared" si="452"/>
        <v>03/03/2026</v>
      </c>
      <c r="K2357">
        <v>46094</v>
      </c>
      <c r="N2357">
        <v>109</v>
      </c>
      <c r="O2357" t="s">
        <v>27</v>
      </c>
      <c r="Q2357">
        <v>780</v>
      </c>
      <c r="R2357" t="str">
        <f>"FARMÁCIA INDIANA LJ 205 (10150)"</f>
        <v>FARMÁCIA INDIANA LJ 205 (10150)</v>
      </c>
      <c r="S2357" t="s">
        <v>37</v>
      </c>
      <c r="T2357">
        <v>30808</v>
      </c>
      <c r="U2357">
        <v>34117</v>
      </c>
      <c r="V2357" t="s">
        <v>37</v>
      </c>
    </row>
    <row r="2358" spans="1:22">
      <c r="A2358" t="str">
        <f t="shared" si="454"/>
        <v>13/03/2026</v>
      </c>
      <c r="B2358" t="str">
        <f t="shared" si="455"/>
        <v>SAÍDA</v>
      </c>
      <c r="C2358" t="str">
        <f t="shared" si="457"/>
        <v>PIX</v>
      </c>
      <c r="D2358" t="str">
        <f>"34118"</f>
        <v>34118</v>
      </c>
      <c r="E2358" t="str">
        <f t="shared" si="458"/>
        <v>1</v>
      </c>
      <c r="F2358" t="str">
        <f t="shared" si="453"/>
        <v>COM</v>
      </c>
      <c r="G2358" t="str">
        <f>"DIEGO DIRLEY RIBEIRO (38)"</f>
        <v>DIEGO DIRLEY RIBEIRO (38)</v>
      </c>
      <c r="H2358" t="str">
        <f>"Serv.Prest. 23/02/2026 a 01/03/2026 - PIX: CHAVE ALEATÓRIA - CHAVE: fa1cc12c-4f59-4ff9-b237-7274b08cf38e"</f>
        <v>Serv.Prest. 23/02/2026 a 01/03/2026 - PIX: CHAVE ALEATÓRIA - CHAVE: fa1cc12c-4f59-4ff9-b237-7274b08cf38e</v>
      </c>
      <c r="I2358" t="str">
        <f t="shared" si="456"/>
        <v>13/03/2026</v>
      </c>
      <c r="J2358" t="str">
        <f t="shared" ref="J2358:J2421" si="459">("03/03/2026")</f>
        <v>03/03/2026</v>
      </c>
      <c r="K2358" t="str">
        <f>("13/03/2026")</f>
        <v>13/03/2026</v>
      </c>
      <c r="L2358">
        <v>1488</v>
      </c>
      <c r="M2358">
        <v>1488</v>
      </c>
      <c r="N2358">
        <v>109</v>
      </c>
      <c r="O2358" t="str">
        <f>"PAGAMENTO DE ENTREGADORES"</f>
        <v>PAGAMENTO DE ENTREGADORES</v>
      </c>
      <c r="P2358">
        <v>1488</v>
      </c>
      <c r="S2358" t="str">
        <f>"BANCO C6 (149)"</f>
        <v>BANCO C6 (149)</v>
      </c>
      <c r="T2358">
        <v>30809</v>
      </c>
      <c r="U2358">
        <v>34118</v>
      </c>
      <c r="V2358" t="s">
        <v>37</v>
      </c>
    </row>
    <row r="2359" spans="1:22">
      <c r="A2359" t="str">
        <f t="shared" si="454"/>
        <v>13/03/2026</v>
      </c>
      <c r="B2359" t="str">
        <f t="shared" si="455"/>
        <v>SAÍDA</v>
      </c>
      <c r="C2359" t="str">
        <f t="shared" si="457"/>
        <v>PIX</v>
      </c>
      <c r="D2359" t="str">
        <f>"34118"</f>
        <v>34118</v>
      </c>
      <c r="E2359" t="str">
        <f t="shared" si="458"/>
        <v>1</v>
      </c>
      <c r="F2359" t="str">
        <f t="shared" si="453"/>
        <v>COM</v>
      </c>
      <c r="G2359" t="str">
        <f>"DIEGO DIRLEY RIBEIRO (38)"</f>
        <v>DIEGO DIRLEY RIBEIRO (38)</v>
      </c>
      <c r="H2359" t="s">
        <v>723</v>
      </c>
      <c r="I2359" t="str">
        <f t="shared" si="456"/>
        <v>13/03/2026</v>
      </c>
      <c r="J2359" t="str">
        <f t="shared" si="459"/>
        <v>03/03/2026</v>
      </c>
      <c r="K2359">
        <v>46094</v>
      </c>
      <c r="N2359">
        <v>109</v>
      </c>
      <c r="O2359" t="s">
        <v>27</v>
      </c>
      <c r="Q2359">
        <v>1488</v>
      </c>
      <c r="R2359" t="str">
        <f>"FARMÁCIA INDIANA LJ 172 (10161)"</f>
        <v>FARMÁCIA INDIANA LJ 172 (10161)</v>
      </c>
      <c r="S2359" t="s">
        <v>37</v>
      </c>
      <c r="T2359">
        <v>30809</v>
      </c>
      <c r="U2359">
        <v>34118</v>
      </c>
      <c r="V2359" t="s">
        <v>37</v>
      </c>
    </row>
    <row r="2360" spans="1:22">
      <c r="A2360" t="str">
        <f t="shared" si="454"/>
        <v>13/03/2026</v>
      </c>
      <c r="B2360" t="str">
        <f t="shared" si="455"/>
        <v>SAÍDA</v>
      </c>
      <c r="C2360" t="str">
        <f t="shared" si="457"/>
        <v>PIX</v>
      </c>
      <c r="D2360" t="str">
        <f>"34119"</f>
        <v>34119</v>
      </c>
      <c r="E2360" t="str">
        <f t="shared" si="458"/>
        <v>1</v>
      </c>
      <c r="F2360" t="str">
        <f t="shared" si="453"/>
        <v>COM</v>
      </c>
      <c r="G2360" t="str">
        <f>"DIEGO FAUSTINO DA SILVA (1076)"</f>
        <v>DIEGO FAUSTINO DA SILVA (1076)</v>
      </c>
      <c r="H2360" t="str">
        <f>"Serv.Prest. 23/02/2026 a 01/03/2026 - PIX: CELULAR - CHAVE: (33) 99874-0376"</f>
        <v>Serv.Prest. 23/02/2026 a 01/03/2026 - PIX: CELULAR - CHAVE: (33) 99874-0376</v>
      </c>
      <c r="I2360" t="str">
        <f t="shared" si="456"/>
        <v>13/03/2026</v>
      </c>
      <c r="J2360" t="str">
        <f t="shared" si="459"/>
        <v>03/03/2026</v>
      </c>
      <c r="K2360" t="str">
        <f>("13/03/2026")</f>
        <v>13/03/2026</v>
      </c>
      <c r="L2360">
        <v>858</v>
      </c>
      <c r="M2360">
        <v>858</v>
      </c>
      <c r="N2360">
        <v>109</v>
      </c>
      <c r="O2360" t="str">
        <f>"PAGAMENTO DE ENTREGADORES"</f>
        <v>PAGAMENTO DE ENTREGADORES</v>
      </c>
      <c r="P2360">
        <v>858</v>
      </c>
      <c r="S2360" t="str">
        <f>"BANCO C6 (149)"</f>
        <v>BANCO C6 (149)</v>
      </c>
      <c r="T2360">
        <v>30810</v>
      </c>
      <c r="U2360">
        <v>34119</v>
      </c>
      <c r="V2360" t="s">
        <v>37</v>
      </c>
    </row>
    <row r="2361" spans="1:22">
      <c r="A2361" t="str">
        <f t="shared" si="454"/>
        <v>13/03/2026</v>
      </c>
      <c r="B2361" t="str">
        <f t="shared" si="455"/>
        <v>SAÍDA</v>
      </c>
      <c r="C2361" t="str">
        <f t="shared" si="457"/>
        <v>PIX</v>
      </c>
      <c r="D2361" t="str">
        <f>"34119"</f>
        <v>34119</v>
      </c>
      <c r="E2361" t="str">
        <f t="shared" si="458"/>
        <v>1</v>
      </c>
      <c r="F2361" t="str">
        <f t="shared" si="453"/>
        <v>COM</v>
      </c>
      <c r="G2361" t="str">
        <f>"DIEGO FAUSTINO DA SILVA (1076)"</f>
        <v>DIEGO FAUSTINO DA SILVA (1076)</v>
      </c>
      <c r="H2361" t="s">
        <v>724</v>
      </c>
      <c r="I2361" t="str">
        <f t="shared" si="456"/>
        <v>13/03/2026</v>
      </c>
      <c r="J2361" t="str">
        <f t="shared" si="459"/>
        <v>03/03/2026</v>
      </c>
      <c r="K2361">
        <v>46094</v>
      </c>
      <c r="N2361">
        <v>109</v>
      </c>
      <c r="O2361" t="s">
        <v>27</v>
      </c>
      <c r="Q2361">
        <v>858</v>
      </c>
      <c r="R2361" t="str">
        <f>"FARMÁCIA INDIANA LJ 152 (10069)"</f>
        <v>FARMÁCIA INDIANA LJ 152 (10069)</v>
      </c>
      <c r="S2361" t="s">
        <v>37</v>
      </c>
      <c r="T2361">
        <v>30810</v>
      </c>
      <c r="U2361">
        <v>34119</v>
      </c>
      <c r="V2361" t="s">
        <v>37</v>
      </c>
    </row>
    <row r="2362" spans="1:22">
      <c r="A2362" t="str">
        <f t="shared" si="454"/>
        <v>13/03/2026</v>
      </c>
      <c r="B2362" t="str">
        <f t="shared" si="455"/>
        <v>SAÍDA</v>
      </c>
      <c r="C2362" t="str">
        <f t="shared" si="457"/>
        <v>PIX</v>
      </c>
      <c r="D2362" t="str">
        <f>"34120"</f>
        <v>34120</v>
      </c>
      <c r="E2362" t="str">
        <f t="shared" si="458"/>
        <v>1</v>
      </c>
      <c r="F2362" t="str">
        <f t="shared" si="453"/>
        <v>COM</v>
      </c>
      <c r="G2362" t="str">
        <f>"DIONE OLIVEIRA SILVA (214)"</f>
        <v>DIONE OLIVEIRA SILVA (214)</v>
      </c>
      <c r="H2362" t="str">
        <f>"Serv.Prest. 23/02/2026 a 01/03/2026 - PIX: CELULAR - CHAVE: (33) 98890-5095"</f>
        <v>Serv.Prest. 23/02/2026 a 01/03/2026 - PIX: CELULAR - CHAVE: (33) 98890-5095</v>
      </c>
      <c r="I2362" t="str">
        <f t="shared" si="456"/>
        <v>13/03/2026</v>
      </c>
      <c r="J2362" t="str">
        <f t="shared" si="459"/>
        <v>03/03/2026</v>
      </c>
      <c r="K2362" t="str">
        <f>("13/03/2026")</f>
        <v>13/03/2026</v>
      </c>
      <c r="L2362">
        <v>90</v>
      </c>
      <c r="M2362">
        <v>90</v>
      </c>
      <c r="N2362">
        <v>109</v>
      </c>
      <c r="O2362" t="str">
        <f>"PAGAMENTO DE ENTREGADORES"</f>
        <v>PAGAMENTO DE ENTREGADORES</v>
      </c>
      <c r="P2362">
        <v>90</v>
      </c>
      <c r="S2362" t="str">
        <f>"BANCO C6 (149)"</f>
        <v>BANCO C6 (149)</v>
      </c>
      <c r="T2362">
        <v>30811</v>
      </c>
      <c r="U2362">
        <v>34120</v>
      </c>
      <c r="V2362" t="s">
        <v>37</v>
      </c>
    </row>
    <row r="2363" spans="1:22">
      <c r="A2363" t="str">
        <f t="shared" si="454"/>
        <v>13/03/2026</v>
      </c>
      <c r="B2363" t="str">
        <f t="shared" si="455"/>
        <v>SAÍDA</v>
      </c>
      <c r="C2363" t="str">
        <f t="shared" si="457"/>
        <v>PIX</v>
      </c>
      <c r="D2363" t="str">
        <f>"34120"</f>
        <v>34120</v>
      </c>
      <c r="E2363" t="str">
        <f t="shared" si="458"/>
        <v>1</v>
      </c>
      <c r="F2363" t="str">
        <f t="shared" si="453"/>
        <v>COM</v>
      </c>
      <c r="G2363" t="str">
        <f>"DIONE OLIVEIRA SILVA (214)"</f>
        <v>DIONE OLIVEIRA SILVA (214)</v>
      </c>
      <c r="H2363" t="s">
        <v>725</v>
      </c>
      <c r="I2363" t="str">
        <f t="shared" si="456"/>
        <v>13/03/2026</v>
      </c>
      <c r="J2363" t="str">
        <f t="shared" si="459"/>
        <v>03/03/2026</v>
      </c>
      <c r="K2363">
        <v>46094</v>
      </c>
      <c r="N2363">
        <v>109</v>
      </c>
      <c r="O2363" t="s">
        <v>27</v>
      </c>
      <c r="Q2363">
        <v>90</v>
      </c>
      <c r="R2363" t="str">
        <f>"FARMÁCIA INDIANA LJ 14 (10009)"</f>
        <v>FARMÁCIA INDIANA LJ 14 (10009)</v>
      </c>
      <c r="S2363" t="s">
        <v>37</v>
      </c>
      <c r="T2363">
        <v>30811</v>
      </c>
      <c r="U2363">
        <v>34120</v>
      </c>
      <c r="V2363" t="s">
        <v>37</v>
      </c>
    </row>
    <row r="2364" spans="1:22">
      <c r="A2364" t="str">
        <f t="shared" si="454"/>
        <v>13/03/2026</v>
      </c>
      <c r="B2364" t="str">
        <f t="shared" si="455"/>
        <v>SAÍDA</v>
      </c>
      <c r="C2364" t="str">
        <f t="shared" si="457"/>
        <v>PIX</v>
      </c>
      <c r="D2364" t="str">
        <f>"34121"</f>
        <v>34121</v>
      </c>
      <c r="E2364" t="str">
        <f t="shared" si="458"/>
        <v>1</v>
      </c>
      <c r="F2364" t="str">
        <f t="shared" si="453"/>
        <v>COM</v>
      </c>
      <c r="G2364" t="str">
        <f>"EDIONIO CARVALHO DA SILVA (920)"</f>
        <v>EDIONIO CARVALHO DA SILVA (920)</v>
      </c>
      <c r="H2364" t="str">
        <f>"Serv.Prest. 23/02/2026 a 01/03/2026 - PIX: CNPJ - CHAVE: 64.839.868/0001-62"</f>
        <v>Serv.Prest. 23/02/2026 a 01/03/2026 - PIX: CNPJ - CHAVE: 64.839.868/0001-62</v>
      </c>
      <c r="I2364" t="str">
        <f t="shared" si="456"/>
        <v>13/03/2026</v>
      </c>
      <c r="J2364" t="str">
        <f t="shared" si="459"/>
        <v>03/03/2026</v>
      </c>
      <c r="K2364" t="str">
        <f>("13/03/2026")</f>
        <v>13/03/2026</v>
      </c>
      <c r="L2364">
        <v>730</v>
      </c>
      <c r="M2364">
        <v>730</v>
      </c>
      <c r="N2364">
        <v>109</v>
      </c>
      <c r="O2364" t="str">
        <f>"PAGAMENTO DE ENTREGADORES"</f>
        <v>PAGAMENTO DE ENTREGADORES</v>
      </c>
      <c r="P2364">
        <v>730</v>
      </c>
      <c r="S2364" t="str">
        <f>"BANCO C6 (149)"</f>
        <v>BANCO C6 (149)</v>
      </c>
      <c r="T2364">
        <v>30812</v>
      </c>
      <c r="U2364">
        <v>34121</v>
      </c>
      <c r="V2364" t="s">
        <v>37</v>
      </c>
    </row>
    <row r="2365" spans="1:22">
      <c r="A2365" t="str">
        <f t="shared" si="454"/>
        <v>13/03/2026</v>
      </c>
      <c r="B2365" t="str">
        <f t="shared" si="455"/>
        <v>SAÍDA</v>
      </c>
      <c r="C2365" t="str">
        <f t="shared" si="457"/>
        <v>PIX</v>
      </c>
      <c r="D2365" t="str">
        <f>"34121"</f>
        <v>34121</v>
      </c>
      <c r="E2365" t="str">
        <f t="shared" si="458"/>
        <v>1</v>
      </c>
      <c r="F2365" t="str">
        <f t="shared" si="453"/>
        <v>COM</v>
      </c>
      <c r="G2365" t="str">
        <f>"EDIONIO CARVALHO DA SILVA (920)"</f>
        <v>EDIONIO CARVALHO DA SILVA (920)</v>
      </c>
      <c r="H2365" t="s">
        <v>516</v>
      </c>
      <c r="I2365" t="str">
        <f t="shared" si="456"/>
        <v>13/03/2026</v>
      </c>
      <c r="J2365" t="str">
        <f t="shared" si="459"/>
        <v>03/03/2026</v>
      </c>
      <c r="K2365">
        <v>46094</v>
      </c>
      <c r="N2365">
        <v>109</v>
      </c>
      <c r="O2365" t="s">
        <v>27</v>
      </c>
      <c r="Q2365">
        <v>730</v>
      </c>
      <c r="R2365" t="str">
        <f>"FARMÁCIA INDIANA LJ 171 (10074)"</f>
        <v>FARMÁCIA INDIANA LJ 171 (10074)</v>
      </c>
      <c r="S2365" t="s">
        <v>37</v>
      </c>
      <c r="T2365">
        <v>30812</v>
      </c>
      <c r="U2365">
        <v>34121</v>
      </c>
      <c r="V2365" t="s">
        <v>37</v>
      </c>
    </row>
    <row r="2366" spans="1:22">
      <c r="A2366" t="str">
        <f t="shared" si="454"/>
        <v>13/03/2026</v>
      </c>
      <c r="B2366" t="str">
        <f t="shared" si="455"/>
        <v>SAÍDA</v>
      </c>
      <c r="C2366" t="str">
        <f t="shared" si="457"/>
        <v>PIX</v>
      </c>
      <c r="D2366" t="str">
        <f>"34122"</f>
        <v>34122</v>
      </c>
      <c r="E2366" t="str">
        <f t="shared" si="458"/>
        <v>1</v>
      </c>
      <c r="F2366" t="str">
        <f t="shared" si="453"/>
        <v>COM</v>
      </c>
      <c r="G2366" t="str">
        <f>"EDSON JUNIOR FERREIRA DA SILVA (99)"</f>
        <v>EDSON JUNIOR FERREIRA DA SILVA (99)</v>
      </c>
      <c r="H2366" t="str">
        <f>"Serv.Prest. 23/02/2026 a 01/03/2026 - PIX: CPF - CHAVE: 141.134.256-98"</f>
        <v>Serv.Prest. 23/02/2026 a 01/03/2026 - PIX: CPF - CHAVE: 141.134.256-98</v>
      </c>
      <c r="I2366" t="str">
        <f t="shared" si="456"/>
        <v>13/03/2026</v>
      </c>
      <c r="J2366" t="str">
        <f t="shared" si="459"/>
        <v>03/03/2026</v>
      </c>
      <c r="K2366" t="str">
        <f>("13/03/2026")</f>
        <v>13/03/2026</v>
      </c>
      <c r="L2366">
        <v>700.7</v>
      </c>
      <c r="M2366">
        <v>700.7</v>
      </c>
      <c r="N2366">
        <v>109</v>
      </c>
      <c r="O2366" t="str">
        <f>"PAGAMENTO DE ENTREGADORES"</f>
        <v>PAGAMENTO DE ENTREGADORES</v>
      </c>
      <c r="P2366">
        <v>700.7</v>
      </c>
      <c r="S2366" t="str">
        <f>"BANCO C6 (149)"</f>
        <v>BANCO C6 (149)</v>
      </c>
      <c r="T2366">
        <v>30813</v>
      </c>
      <c r="U2366">
        <v>34122</v>
      </c>
      <c r="V2366" t="s">
        <v>37</v>
      </c>
    </row>
    <row r="2367" spans="1:22">
      <c r="A2367" t="str">
        <f t="shared" si="454"/>
        <v>13/03/2026</v>
      </c>
      <c r="B2367" t="str">
        <f t="shared" si="455"/>
        <v>SAÍDA</v>
      </c>
      <c r="C2367" t="str">
        <f t="shared" si="457"/>
        <v>PIX</v>
      </c>
      <c r="D2367" t="str">
        <f>"34122"</f>
        <v>34122</v>
      </c>
      <c r="E2367" t="str">
        <f t="shared" si="458"/>
        <v>1</v>
      </c>
      <c r="F2367" t="str">
        <f t="shared" si="453"/>
        <v>COM</v>
      </c>
      <c r="G2367" t="str">
        <f>"EDSON JUNIOR FERREIRA DA SILVA (99)"</f>
        <v>EDSON JUNIOR FERREIRA DA SILVA (99)</v>
      </c>
      <c r="H2367" t="s">
        <v>726</v>
      </c>
      <c r="I2367" t="str">
        <f t="shared" si="456"/>
        <v>13/03/2026</v>
      </c>
      <c r="J2367" t="str">
        <f t="shared" si="459"/>
        <v>03/03/2026</v>
      </c>
      <c r="K2367">
        <v>46094</v>
      </c>
      <c r="N2367">
        <v>109</v>
      </c>
      <c r="O2367" t="s">
        <v>27</v>
      </c>
      <c r="Q2367">
        <v>700.7</v>
      </c>
      <c r="R2367" t="str">
        <f>"FARMÁCIA INDIANA LJ 100 (10042)"</f>
        <v>FARMÁCIA INDIANA LJ 100 (10042)</v>
      </c>
      <c r="S2367" t="s">
        <v>37</v>
      </c>
      <c r="T2367">
        <v>30813</v>
      </c>
      <c r="U2367">
        <v>34122</v>
      </c>
      <c r="V2367" t="s">
        <v>37</v>
      </c>
    </row>
    <row r="2368" spans="1:22">
      <c r="A2368" t="str">
        <f t="shared" si="454"/>
        <v>13/03/2026</v>
      </c>
      <c r="B2368" t="str">
        <f t="shared" si="455"/>
        <v>SAÍDA</v>
      </c>
      <c r="C2368" t="str">
        <f t="shared" si="457"/>
        <v>PIX</v>
      </c>
      <c r="D2368" t="str">
        <f>"34123"</f>
        <v>34123</v>
      </c>
      <c r="E2368" t="str">
        <f t="shared" si="458"/>
        <v>1</v>
      </c>
      <c r="F2368" t="str">
        <f t="shared" si="453"/>
        <v>COM</v>
      </c>
      <c r="G2368" t="str">
        <f>"EUDES PIMENTA (368)"</f>
        <v>EUDES PIMENTA (368)</v>
      </c>
      <c r="H2368" t="str">
        <f>"Serv.Prest. 23/02/2026 a 01/03/2026 - PIX: CPF - CHAVE: 070.073.316-70"</f>
        <v>Serv.Prest. 23/02/2026 a 01/03/2026 - PIX: CPF - CHAVE: 070.073.316-70</v>
      </c>
      <c r="I2368" t="str">
        <f t="shared" si="456"/>
        <v>13/03/2026</v>
      </c>
      <c r="J2368" t="str">
        <f t="shared" si="459"/>
        <v>03/03/2026</v>
      </c>
      <c r="K2368" t="str">
        <f>("13/03/2026")</f>
        <v>13/03/2026</v>
      </c>
      <c r="L2368">
        <v>996</v>
      </c>
      <c r="M2368">
        <v>996</v>
      </c>
      <c r="N2368">
        <v>109</v>
      </c>
      <c r="O2368" t="str">
        <f>"PAGAMENTO DE ENTREGADORES"</f>
        <v>PAGAMENTO DE ENTREGADORES</v>
      </c>
      <c r="P2368">
        <v>996</v>
      </c>
      <c r="S2368" t="str">
        <f>"BANCO C6 (149)"</f>
        <v>BANCO C6 (149)</v>
      </c>
      <c r="T2368">
        <v>30814</v>
      </c>
      <c r="U2368">
        <v>34123</v>
      </c>
      <c r="V2368" t="s">
        <v>37</v>
      </c>
    </row>
    <row r="2369" spans="1:22">
      <c r="A2369" t="str">
        <f t="shared" si="454"/>
        <v>13/03/2026</v>
      </c>
      <c r="B2369" t="str">
        <f t="shared" si="455"/>
        <v>SAÍDA</v>
      </c>
      <c r="C2369" t="str">
        <f t="shared" si="457"/>
        <v>PIX</v>
      </c>
      <c r="D2369" t="str">
        <f>"34123"</f>
        <v>34123</v>
      </c>
      <c r="E2369" t="str">
        <f t="shared" si="458"/>
        <v>1</v>
      </c>
      <c r="F2369" t="str">
        <f t="shared" si="453"/>
        <v>COM</v>
      </c>
      <c r="G2369" t="str">
        <f>"EUDES PIMENTA (368)"</f>
        <v>EUDES PIMENTA (368)</v>
      </c>
      <c r="H2369" t="s">
        <v>727</v>
      </c>
      <c r="I2369" t="str">
        <f t="shared" si="456"/>
        <v>13/03/2026</v>
      </c>
      <c r="J2369" t="str">
        <f t="shared" si="459"/>
        <v>03/03/2026</v>
      </c>
      <c r="K2369">
        <v>46094</v>
      </c>
      <c r="N2369">
        <v>109</v>
      </c>
      <c r="O2369" t="s">
        <v>27</v>
      </c>
      <c r="Q2369">
        <v>996</v>
      </c>
      <c r="R2369" t="str">
        <f>"FARMÁCIA INDIANA LJ 06 (10006)"</f>
        <v>FARMÁCIA INDIANA LJ 06 (10006)</v>
      </c>
      <c r="S2369" t="s">
        <v>37</v>
      </c>
      <c r="T2369">
        <v>30814</v>
      </c>
      <c r="U2369">
        <v>34123</v>
      </c>
      <c r="V2369" t="s">
        <v>37</v>
      </c>
    </row>
    <row r="2370" spans="1:22">
      <c r="A2370" t="str">
        <f t="shared" si="454"/>
        <v>13/03/2026</v>
      </c>
      <c r="B2370" t="str">
        <f t="shared" si="455"/>
        <v>SAÍDA</v>
      </c>
      <c r="C2370" t="str">
        <f t="shared" si="457"/>
        <v>PIX</v>
      </c>
      <c r="D2370" t="str">
        <f>"34124"</f>
        <v>34124</v>
      </c>
      <c r="E2370" t="str">
        <f t="shared" si="458"/>
        <v>1</v>
      </c>
      <c r="F2370" t="str">
        <f t="shared" ref="F2370:F2433" si="460">"COM"</f>
        <v>COM</v>
      </c>
      <c r="G2370" t="str">
        <f>"EZEQUIEL CORREA DA SILVA (1093)"</f>
        <v>EZEQUIEL CORREA DA SILVA (1093)</v>
      </c>
      <c r="H2370" t="str">
        <f>"Serv.Prest. 23/02/2026 a 01/03/2026 - PIX: E-MAIL - CHAVE: ezequielcorrea123@gmail.com"</f>
        <v>Serv.Prest. 23/02/2026 a 01/03/2026 - PIX: E-MAIL - CHAVE: ezequielcorrea123@gmail.com</v>
      </c>
      <c r="I2370" t="str">
        <f t="shared" si="456"/>
        <v>13/03/2026</v>
      </c>
      <c r="J2370" t="str">
        <f t="shared" si="459"/>
        <v>03/03/2026</v>
      </c>
      <c r="K2370" t="str">
        <f>("13/03/2026")</f>
        <v>13/03/2026</v>
      </c>
      <c r="L2370">
        <v>600</v>
      </c>
      <c r="M2370">
        <v>600</v>
      </c>
      <c r="N2370">
        <v>109</v>
      </c>
      <c r="O2370" t="str">
        <f>"PAGAMENTO DE ENTREGADORES"</f>
        <v>PAGAMENTO DE ENTREGADORES</v>
      </c>
      <c r="P2370">
        <v>600</v>
      </c>
      <c r="S2370" t="str">
        <f>"BANCO C6 (149)"</f>
        <v>BANCO C6 (149)</v>
      </c>
      <c r="T2370">
        <v>30815</v>
      </c>
      <c r="U2370">
        <v>34124</v>
      </c>
      <c r="V2370" t="s">
        <v>37</v>
      </c>
    </row>
    <row r="2371" spans="1:22">
      <c r="A2371" t="str">
        <f t="shared" si="454"/>
        <v>13/03/2026</v>
      </c>
      <c r="B2371" t="str">
        <f t="shared" si="455"/>
        <v>SAÍDA</v>
      </c>
      <c r="C2371" t="str">
        <f t="shared" si="457"/>
        <v>PIX</v>
      </c>
      <c r="D2371" t="str">
        <f>"34124"</f>
        <v>34124</v>
      </c>
      <c r="E2371" t="str">
        <f t="shared" si="458"/>
        <v>1</v>
      </c>
      <c r="F2371" t="str">
        <f t="shared" si="460"/>
        <v>COM</v>
      </c>
      <c r="G2371" t="str">
        <f>"EZEQUIEL CORREA DA SILVA (1093)"</f>
        <v>EZEQUIEL CORREA DA SILVA (1093)</v>
      </c>
      <c r="H2371" t="s">
        <v>728</v>
      </c>
      <c r="I2371" t="str">
        <f t="shared" si="456"/>
        <v>13/03/2026</v>
      </c>
      <c r="J2371" t="str">
        <f t="shared" si="459"/>
        <v>03/03/2026</v>
      </c>
      <c r="K2371">
        <v>46094</v>
      </c>
      <c r="N2371">
        <v>109</v>
      </c>
      <c r="O2371" t="s">
        <v>27</v>
      </c>
      <c r="Q2371">
        <v>600</v>
      </c>
      <c r="R2371" t="str">
        <f>"FARMÁCIA INDIANA LJ 64 (10029)"</f>
        <v>FARMÁCIA INDIANA LJ 64 (10029)</v>
      </c>
      <c r="S2371" t="s">
        <v>37</v>
      </c>
      <c r="T2371">
        <v>30815</v>
      </c>
      <c r="U2371">
        <v>34124</v>
      </c>
      <c r="V2371" t="s">
        <v>37</v>
      </c>
    </row>
    <row r="2372" spans="1:22">
      <c r="A2372" t="str">
        <f t="shared" si="454"/>
        <v>13/03/2026</v>
      </c>
      <c r="B2372" t="str">
        <f t="shared" si="455"/>
        <v>SAÍDA</v>
      </c>
      <c r="C2372" t="str">
        <f t="shared" si="457"/>
        <v>PIX</v>
      </c>
      <c r="D2372" t="str">
        <f>"34126"</f>
        <v>34126</v>
      </c>
      <c r="E2372" t="str">
        <f t="shared" si="458"/>
        <v>1</v>
      </c>
      <c r="F2372" t="str">
        <f t="shared" si="460"/>
        <v>COM</v>
      </c>
      <c r="G2372" t="str">
        <f>"GABRIEL MARINI CAMPOS DE SOUZA (1140)"</f>
        <v>GABRIEL MARINI CAMPOS DE SOUZA (1140)</v>
      </c>
      <c r="H2372" t="str">
        <f>"Serv.Prest. 23/02/2026 a 01/03/2026 - PIX: CPF - CHAVE: 163.440.926-45"</f>
        <v>Serv.Prest. 23/02/2026 a 01/03/2026 - PIX: CPF - CHAVE: 163.440.926-45</v>
      </c>
      <c r="I2372" t="str">
        <f t="shared" si="456"/>
        <v>13/03/2026</v>
      </c>
      <c r="J2372" t="str">
        <f t="shared" si="459"/>
        <v>03/03/2026</v>
      </c>
      <c r="K2372" t="str">
        <f>("13/03/2026")</f>
        <v>13/03/2026</v>
      </c>
      <c r="L2372">
        <v>702</v>
      </c>
      <c r="M2372">
        <v>702</v>
      </c>
      <c r="N2372">
        <v>109</v>
      </c>
      <c r="O2372" t="str">
        <f>"PAGAMENTO DE ENTREGADORES"</f>
        <v>PAGAMENTO DE ENTREGADORES</v>
      </c>
      <c r="P2372">
        <v>702</v>
      </c>
      <c r="S2372" t="str">
        <f>"BANCO C6 (149)"</f>
        <v>BANCO C6 (149)</v>
      </c>
      <c r="T2372">
        <v>30816</v>
      </c>
      <c r="U2372">
        <v>34126</v>
      </c>
      <c r="V2372" t="s">
        <v>37</v>
      </c>
    </row>
    <row r="2373" spans="1:22">
      <c r="A2373" t="str">
        <f t="shared" si="454"/>
        <v>13/03/2026</v>
      </c>
      <c r="B2373" t="str">
        <f t="shared" si="455"/>
        <v>SAÍDA</v>
      </c>
      <c r="C2373" t="str">
        <f t="shared" si="457"/>
        <v>PIX</v>
      </c>
      <c r="D2373" t="str">
        <f>"34126"</f>
        <v>34126</v>
      </c>
      <c r="E2373" t="str">
        <f t="shared" si="458"/>
        <v>1</v>
      </c>
      <c r="F2373" t="str">
        <f t="shared" si="460"/>
        <v>COM</v>
      </c>
      <c r="G2373" t="str">
        <f>"GABRIEL MARINI CAMPOS DE SOUZA (1140)"</f>
        <v>GABRIEL MARINI CAMPOS DE SOUZA (1140)</v>
      </c>
      <c r="H2373" t="s">
        <v>729</v>
      </c>
      <c r="I2373" t="str">
        <f t="shared" si="456"/>
        <v>13/03/2026</v>
      </c>
      <c r="J2373" t="str">
        <f t="shared" si="459"/>
        <v>03/03/2026</v>
      </c>
      <c r="K2373">
        <v>46094</v>
      </c>
      <c r="N2373">
        <v>109</v>
      </c>
      <c r="O2373" t="s">
        <v>27</v>
      </c>
      <c r="Q2373">
        <v>702</v>
      </c>
      <c r="R2373" t="str">
        <f>"FARMÁCIA INDIANA LJ 134 (10271)"</f>
        <v>FARMÁCIA INDIANA LJ 134 (10271)</v>
      </c>
      <c r="S2373" t="s">
        <v>37</v>
      </c>
      <c r="T2373">
        <v>30816</v>
      </c>
      <c r="U2373">
        <v>34126</v>
      </c>
      <c r="V2373" t="s">
        <v>37</v>
      </c>
    </row>
    <row r="2374" spans="1:22">
      <c r="A2374" t="str">
        <f t="shared" si="454"/>
        <v>13/03/2026</v>
      </c>
      <c r="B2374" t="str">
        <f t="shared" si="455"/>
        <v>SAÍDA</v>
      </c>
      <c r="C2374" t="str">
        <f t="shared" si="457"/>
        <v>PIX</v>
      </c>
      <c r="D2374" t="str">
        <f>"34127"</f>
        <v>34127</v>
      </c>
      <c r="E2374" t="str">
        <f t="shared" si="458"/>
        <v>1</v>
      </c>
      <c r="F2374" t="str">
        <f t="shared" si="460"/>
        <v>COM</v>
      </c>
      <c r="G2374" t="str">
        <f>"GABRIEL SOARES VIEIRA (18)"</f>
        <v>GABRIEL SOARES VIEIRA (18)</v>
      </c>
      <c r="H2374" t="str">
        <f>"Serv.Prest. 23/02/2026 a 01/03/2026 - PIX: CPF - CHAVE: 179.800.027-09"</f>
        <v>Serv.Prest. 23/02/2026 a 01/03/2026 - PIX: CPF - CHAVE: 179.800.027-09</v>
      </c>
      <c r="I2374" t="str">
        <f t="shared" si="456"/>
        <v>13/03/2026</v>
      </c>
      <c r="J2374" t="str">
        <f t="shared" si="459"/>
        <v>03/03/2026</v>
      </c>
      <c r="K2374" t="str">
        <f>("13/03/2026")</f>
        <v>13/03/2026</v>
      </c>
      <c r="L2374">
        <v>1474</v>
      </c>
      <c r="M2374">
        <v>1474</v>
      </c>
      <c r="N2374">
        <v>109</v>
      </c>
      <c r="O2374" t="str">
        <f>"PAGAMENTO DE ENTREGADORES"</f>
        <v>PAGAMENTO DE ENTREGADORES</v>
      </c>
      <c r="P2374">
        <v>1474</v>
      </c>
      <c r="S2374" t="str">
        <f>"BANCO C6 (149)"</f>
        <v>BANCO C6 (149)</v>
      </c>
      <c r="T2374">
        <v>30817</v>
      </c>
      <c r="U2374">
        <v>34127</v>
      </c>
      <c r="V2374" t="s">
        <v>37</v>
      </c>
    </row>
    <row r="2375" spans="1:22">
      <c r="A2375" t="str">
        <f t="shared" si="454"/>
        <v>13/03/2026</v>
      </c>
      <c r="B2375" t="str">
        <f t="shared" si="455"/>
        <v>SAÍDA</v>
      </c>
      <c r="C2375" t="str">
        <f t="shared" si="457"/>
        <v>PIX</v>
      </c>
      <c r="D2375" t="str">
        <f>"34127"</f>
        <v>34127</v>
      </c>
      <c r="E2375" t="str">
        <f t="shared" si="458"/>
        <v>1</v>
      </c>
      <c r="F2375" t="str">
        <f t="shared" si="460"/>
        <v>COM</v>
      </c>
      <c r="G2375" t="str">
        <f>"GABRIEL SOARES VIEIRA (18)"</f>
        <v>GABRIEL SOARES VIEIRA (18)</v>
      </c>
      <c r="H2375" t="s">
        <v>730</v>
      </c>
      <c r="I2375" t="str">
        <f t="shared" si="456"/>
        <v>13/03/2026</v>
      </c>
      <c r="J2375" t="str">
        <f t="shared" si="459"/>
        <v>03/03/2026</v>
      </c>
      <c r="K2375">
        <v>46094</v>
      </c>
      <c r="N2375">
        <v>109</v>
      </c>
      <c r="O2375" t="s">
        <v>27</v>
      </c>
      <c r="Q2375">
        <v>1435.53</v>
      </c>
      <c r="R2375" t="str">
        <f>"FARMÁCIA INDIANA LJ 40 (10016)"</f>
        <v>FARMÁCIA INDIANA LJ 40 (10016)</v>
      </c>
      <c r="S2375" t="s">
        <v>37</v>
      </c>
      <c r="T2375">
        <v>30817</v>
      </c>
      <c r="U2375">
        <v>34127</v>
      </c>
      <c r="V2375" t="s">
        <v>37</v>
      </c>
    </row>
    <row r="2376" spans="1:22">
      <c r="A2376" t="str">
        <f t="shared" si="454"/>
        <v>13/03/2026</v>
      </c>
      <c r="B2376" t="str">
        <f t="shared" si="455"/>
        <v>SAÍDA</v>
      </c>
      <c r="C2376" t="str">
        <f t="shared" si="457"/>
        <v>PIX</v>
      </c>
      <c r="D2376" t="str">
        <f>"34127"</f>
        <v>34127</v>
      </c>
      <c r="E2376" t="str">
        <f t="shared" si="458"/>
        <v>1</v>
      </c>
      <c r="F2376" t="str">
        <f t="shared" si="460"/>
        <v>COM</v>
      </c>
      <c r="G2376" t="str">
        <f>"GABRIEL SOARES VIEIRA (18)"</f>
        <v>GABRIEL SOARES VIEIRA (18)</v>
      </c>
      <c r="H2376" t="s">
        <v>730</v>
      </c>
      <c r="I2376" t="str">
        <f t="shared" si="456"/>
        <v>13/03/2026</v>
      </c>
      <c r="J2376" t="str">
        <f t="shared" si="459"/>
        <v>03/03/2026</v>
      </c>
      <c r="K2376">
        <v>46094</v>
      </c>
      <c r="N2376">
        <v>109</v>
      </c>
      <c r="O2376" t="s">
        <v>27</v>
      </c>
      <c r="Q2376">
        <v>38.47</v>
      </c>
      <c r="R2376" t="str">
        <f>"FARMÁCIA INDIANA LJ 61 (10027)"</f>
        <v>FARMÁCIA INDIANA LJ 61 (10027)</v>
      </c>
      <c r="S2376" t="s">
        <v>37</v>
      </c>
      <c r="T2376">
        <v>30817</v>
      </c>
      <c r="U2376">
        <v>34127</v>
      </c>
      <c r="V2376" t="s">
        <v>37</v>
      </c>
    </row>
    <row r="2377" spans="1:22">
      <c r="A2377" t="str">
        <f t="shared" si="454"/>
        <v>13/03/2026</v>
      </c>
      <c r="B2377" t="str">
        <f t="shared" si="455"/>
        <v>SAÍDA</v>
      </c>
      <c r="C2377" t="str">
        <f t="shared" si="457"/>
        <v>PIX</v>
      </c>
      <c r="D2377" t="str">
        <f>"34128"</f>
        <v>34128</v>
      </c>
      <c r="E2377" t="str">
        <f t="shared" si="458"/>
        <v>1</v>
      </c>
      <c r="F2377" t="str">
        <f t="shared" si="460"/>
        <v>COM</v>
      </c>
      <c r="G2377" t="str">
        <f>"GABRIEL VIANA PEREIRA (1097)"</f>
        <v>GABRIEL VIANA PEREIRA (1097)</v>
      </c>
      <c r="H2377" t="str">
        <f>"Serv.Prest. 23/02/2026 a 01/03/2026 - PIX: CELULAR - CHAVE: (33) 98408-4618"</f>
        <v>Serv.Prest. 23/02/2026 a 01/03/2026 - PIX: CELULAR - CHAVE: (33) 98408-4618</v>
      </c>
      <c r="I2377" t="str">
        <f t="shared" si="456"/>
        <v>13/03/2026</v>
      </c>
      <c r="J2377" t="str">
        <f t="shared" si="459"/>
        <v>03/03/2026</v>
      </c>
      <c r="K2377" t="str">
        <f>("13/03/2026")</f>
        <v>13/03/2026</v>
      </c>
      <c r="L2377">
        <v>432</v>
      </c>
      <c r="M2377">
        <v>432</v>
      </c>
      <c r="N2377">
        <v>109</v>
      </c>
      <c r="O2377" t="str">
        <f>"PAGAMENTO DE ENTREGADORES"</f>
        <v>PAGAMENTO DE ENTREGADORES</v>
      </c>
      <c r="P2377">
        <v>432</v>
      </c>
      <c r="S2377" t="str">
        <f>"BANCO C6 (149)"</f>
        <v>BANCO C6 (149)</v>
      </c>
      <c r="T2377">
        <v>30818</v>
      </c>
      <c r="U2377">
        <v>34128</v>
      </c>
      <c r="V2377" t="s">
        <v>37</v>
      </c>
    </row>
    <row r="2378" spans="1:22">
      <c r="A2378" t="str">
        <f t="shared" si="454"/>
        <v>13/03/2026</v>
      </c>
      <c r="B2378" t="str">
        <f t="shared" si="455"/>
        <v>SAÍDA</v>
      </c>
      <c r="C2378" t="str">
        <f t="shared" si="457"/>
        <v>PIX</v>
      </c>
      <c r="D2378" t="str">
        <f>"34128"</f>
        <v>34128</v>
      </c>
      <c r="E2378" t="str">
        <f t="shared" si="458"/>
        <v>1</v>
      </c>
      <c r="F2378" t="str">
        <f t="shared" si="460"/>
        <v>COM</v>
      </c>
      <c r="G2378" t="str">
        <f>"GABRIEL VIANA PEREIRA (1097)"</f>
        <v>GABRIEL VIANA PEREIRA (1097)</v>
      </c>
      <c r="H2378" t="s">
        <v>731</v>
      </c>
      <c r="I2378" t="str">
        <f t="shared" si="456"/>
        <v>13/03/2026</v>
      </c>
      <c r="J2378" t="str">
        <f t="shared" si="459"/>
        <v>03/03/2026</v>
      </c>
      <c r="K2378">
        <v>46094</v>
      </c>
      <c r="N2378">
        <v>109</v>
      </c>
      <c r="O2378" t="s">
        <v>27</v>
      </c>
      <c r="Q2378">
        <v>432</v>
      </c>
      <c r="R2378" t="str">
        <f>"FARMÁCIA INDIANA LJ 07 (10007)"</f>
        <v>FARMÁCIA INDIANA LJ 07 (10007)</v>
      </c>
      <c r="S2378" t="s">
        <v>37</v>
      </c>
      <c r="T2378">
        <v>30818</v>
      </c>
      <c r="U2378">
        <v>34128</v>
      </c>
      <c r="V2378" t="s">
        <v>37</v>
      </c>
    </row>
    <row r="2379" spans="1:22">
      <c r="A2379" t="str">
        <f t="shared" si="454"/>
        <v>13/03/2026</v>
      </c>
      <c r="B2379" t="str">
        <f t="shared" si="455"/>
        <v>SAÍDA</v>
      </c>
      <c r="C2379" t="str">
        <f t="shared" si="457"/>
        <v>PIX</v>
      </c>
      <c r="D2379" t="str">
        <f>"34129"</f>
        <v>34129</v>
      </c>
      <c r="E2379" t="str">
        <f t="shared" si="458"/>
        <v>1</v>
      </c>
      <c r="F2379" t="str">
        <f t="shared" si="460"/>
        <v>COM</v>
      </c>
      <c r="G2379" t="str">
        <f>"GILDASIO DOMINGOS DOS SANTOS (54)"</f>
        <v>GILDASIO DOMINGOS DOS SANTOS (54)</v>
      </c>
      <c r="H2379" t="str">
        <f>"Serv.Prest. 23/02/2026 a 01/03/2026 - PIX: CNPJ - CHAVE: 41.602.926/0001-34"</f>
        <v>Serv.Prest. 23/02/2026 a 01/03/2026 - PIX: CNPJ - CHAVE: 41.602.926/0001-34</v>
      </c>
      <c r="I2379" t="str">
        <f t="shared" si="456"/>
        <v>13/03/2026</v>
      </c>
      <c r="J2379" t="str">
        <f t="shared" si="459"/>
        <v>03/03/2026</v>
      </c>
      <c r="K2379" t="str">
        <f>("13/03/2026")</f>
        <v>13/03/2026</v>
      </c>
      <c r="L2379">
        <v>846</v>
      </c>
      <c r="M2379">
        <v>846</v>
      </c>
      <c r="N2379">
        <v>109</v>
      </c>
      <c r="O2379" t="str">
        <f>"PAGAMENTO DE ENTREGADORES"</f>
        <v>PAGAMENTO DE ENTREGADORES</v>
      </c>
      <c r="P2379">
        <v>846</v>
      </c>
      <c r="S2379" t="str">
        <f>"BANCO C6 (149)"</f>
        <v>BANCO C6 (149)</v>
      </c>
      <c r="T2379">
        <v>30819</v>
      </c>
      <c r="U2379">
        <v>34129</v>
      </c>
      <c r="V2379" t="s">
        <v>37</v>
      </c>
    </row>
    <row r="2380" spans="1:22">
      <c r="A2380" t="str">
        <f t="shared" si="454"/>
        <v>13/03/2026</v>
      </c>
      <c r="B2380" t="str">
        <f t="shared" si="455"/>
        <v>SAÍDA</v>
      </c>
      <c r="C2380" t="str">
        <f t="shared" si="457"/>
        <v>PIX</v>
      </c>
      <c r="D2380" t="str">
        <f>"34129"</f>
        <v>34129</v>
      </c>
      <c r="E2380" t="str">
        <f t="shared" si="458"/>
        <v>1</v>
      </c>
      <c r="F2380" t="str">
        <f t="shared" si="460"/>
        <v>COM</v>
      </c>
      <c r="G2380" t="str">
        <f>"GILDASIO DOMINGOS DOS SANTOS (54)"</f>
        <v>GILDASIO DOMINGOS DOS SANTOS (54)</v>
      </c>
      <c r="H2380" t="s">
        <v>732</v>
      </c>
      <c r="I2380" t="str">
        <f t="shared" si="456"/>
        <v>13/03/2026</v>
      </c>
      <c r="J2380" t="str">
        <f t="shared" si="459"/>
        <v>03/03/2026</v>
      </c>
      <c r="K2380">
        <v>46094</v>
      </c>
      <c r="N2380">
        <v>109</v>
      </c>
      <c r="O2380" t="s">
        <v>27</v>
      </c>
      <c r="Q2380">
        <v>846</v>
      </c>
      <c r="R2380" t="str">
        <f>"FARMÁCIA INDIANA LJ 07 (10007)"</f>
        <v>FARMÁCIA INDIANA LJ 07 (10007)</v>
      </c>
      <c r="S2380" t="s">
        <v>37</v>
      </c>
      <c r="T2380">
        <v>30819</v>
      </c>
      <c r="U2380">
        <v>34129</v>
      </c>
      <c r="V2380" t="s">
        <v>37</v>
      </c>
    </row>
    <row r="2381" spans="1:22">
      <c r="A2381" t="str">
        <f t="shared" si="454"/>
        <v>13/03/2026</v>
      </c>
      <c r="B2381" t="str">
        <f t="shared" si="455"/>
        <v>SAÍDA</v>
      </c>
      <c r="C2381" t="str">
        <f t="shared" si="457"/>
        <v>PIX</v>
      </c>
      <c r="D2381" t="str">
        <f>"34130"</f>
        <v>34130</v>
      </c>
      <c r="E2381" t="str">
        <f t="shared" si="458"/>
        <v>1</v>
      </c>
      <c r="F2381" t="str">
        <f t="shared" si="460"/>
        <v>COM</v>
      </c>
      <c r="G2381" t="str">
        <f>"GILNEI MENDES COELHO (195)"</f>
        <v>GILNEI MENDES COELHO (195)</v>
      </c>
      <c r="H2381" t="str">
        <f>"Serv.Prest. 23/02/2026 a 01/03/2026 - PIX: CPF - CHAVE: 386.313.426-53"</f>
        <v>Serv.Prest. 23/02/2026 a 01/03/2026 - PIX: CPF - CHAVE: 386.313.426-53</v>
      </c>
      <c r="I2381" t="str">
        <f t="shared" si="456"/>
        <v>13/03/2026</v>
      </c>
      <c r="J2381" t="str">
        <f t="shared" si="459"/>
        <v>03/03/2026</v>
      </c>
      <c r="K2381" t="str">
        <f>("13/03/2026")</f>
        <v>13/03/2026</v>
      </c>
      <c r="L2381">
        <v>1080</v>
      </c>
      <c r="M2381">
        <v>1080</v>
      </c>
      <c r="N2381">
        <v>109</v>
      </c>
      <c r="O2381" t="str">
        <f>"PAGAMENTO DE ENTREGADORES"</f>
        <v>PAGAMENTO DE ENTREGADORES</v>
      </c>
      <c r="P2381">
        <v>1080</v>
      </c>
      <c r="S2381" t="str">
        <f>"BANCO C6 (149)"</f>
        <v>BANCO C6 (149)</v>
      </c>
      <c r="T2381">
        <v>30820</v>
      </c>
      <c r="U2381">
        <v>34130</v>
      </c>
      <c r="V2381" t="s">
        <v>37</v>
      </c>
    </row>
    <row r="2382" spans="1:22">
      <c r="A2382" t="str">
        <f t="shared" si="454"/>
        <v>13/03/2026</v>
      </c>
      <c r="B2382" t="str">
        <f t="shared" si="455"/>
        <v>SAÍDA</v>
      </c>
      <c r="C2382" t="str">
        <f t="shared" si="457"/>
        <v>PIX</v>
      </c>
      <c r="D2382" t="str">
        <f>"34130"</f>
        <v>34130</v>
      </c>
      <c r="E2382" t="str">
        <f t="shared" si="458"/>
        <v>1</v>
      </c>
      <c r="F2382" t="str">
        <f t="shared" si="460"/>
        <v>COM</v>
      </c>
      <c r="G2382" t="str">
        <f>"GILNEI MENDES COELHO (195)"</f>
        <v>GILNEI MENDES COELHO (195)</v>
      </c>
      <c r="H2382" t="s">
        <v>733</v>
      </c>
      <c r="I2382" t="str">
        <f t="shared" si="456"/>
        <v>13/03/2026</v>
      </c>
      <c r="J2382" t="str">
        <f t="shared" si="459"/>
        <v>03/03/2026</v>
      </c>
      <c r="K2382">
        <v>46094</v>
      </c>
      <c r="N2382">
        <v>109</v>
      </c>
      <c r="O2382" t="s">
        <v>27</v>
      </c>
      <c r="Q2382">
        <v>1080</v>
      </c>
      <c r="R2382" t="str">
        <f>"FARMÁCIA INDIANA LJ 06 (10006)"</f>
        <v>FARMÁCIA INDIANA LJ 06 (10006)</v>
      </c>
      <c r="S2382" t="s">
        <v>37</v>
      </c>
      <c r="T2382">
        <v>30820</v>
      </c>
      <c r="U2382">
        <v>34130</v>
      </c>
      <c r="V2382" t="s">
        <v>37</v>
      </c>
    </row>
    <row r="2383" spans="1:22">
      <c r="A2383" t="str">
        <f t="shared" ref="A2383:A2446" si="461">("13/03/2026")</f>
        <v>13/03/2026</v>
      </c>
      <c r="B2383" t="str">
        <f t="shared" si="455"/>
        <v>SAÍDA</v>
      </c>
      <c r="C2383" t="str">
        <f t="shared" si="457"/>
        <v>PIX</v>
      </c>
      <c r="D2383" t="str">
        <f>"34132"</f>
        <v>34132</v>
      </c>
      <c r="E2383" t="str">
        <f t="shared" si="458"/>
        <v>1</v>
      </c>
      <c r="F2383" t="str">
        <f t="shared" si="460"/>
        <v>COM</v>
      </c>
      <c r="G2383" t="str">
        <f>"GUILHERME QUINTINO DA ROCHA (199)"</f>
        <v>GUILHERME QUINTINO DA ROCHA (199)</v>
      </c>
      <c r="H2383" t="str">
        <f>"Serv.Prest. 23/02/2026 a 01/03/2026 - PIX: CELULAR - CHAVE: (33) 99706-4860"</f>
        <v>Serv.Prest. 23/02/2026 a 01/03/2026 - PIX: CELULAR - CHAVE: (33) 99706-4860</v>
      </c>
      <c r="I2383" t="str">
        <f t="shared" si="456"/>
        <v>13/03/2026</v>
      </c>
      <c r="J2383" t="str">
        <f t="shared" si="459"/>
        <v>03/03/2026</v>
      </c>
      <c r="K2383" t="str">
        <f>("13/03/2026")</f>
        <v>13/03/2026</v>
      </c>
      <c r="L2383">
        <v>1440</v>
      </c>
      <c r="M2383">
        <v>1440</v>
      </c>
      <c r="N2383">
        <v>109</v>
      </c>
      <c r="O2383" t="str">
        <f>"PAGAMENTO DE ENTREGADORES"</f>
        <v>PAGAMENTO DE ENTREGADORES</v>
      </c>
      <c r="P2383">
        <v>1440</v>
      </c>
      <c r="S2383" t="str">
        <f>"BANCO C6 (149)"</f>
        <v>BANCO C6 (149)</v>
      </c>
      <c r="T2383">
        <v>30821</v>
      </c>
      <c r="U2383">
        <v>34132</v>
      </c>
      <c r="V2383" t="s">
        <v>37</v>
      </c>
    </row>
    <row r="2384" spans="1:22">
      <c r="A2384" t="str">
        <f t="shared" si="461"/>
        <v>13/03/2026</v>
      </c>
      <c r="B2384" t="str">
        <f t="shared" si="455"/>
        <v>SAÍDA</v>
      </c>
      <c r="C2384" t="str">
        <f t="shared" si="457"/>
        <v>PIX</v>
      </c>
      <c r="D2384" t="str">
        <f>"34132"</f>
        <v>34132</v>
      </c>
      <c r="E2384" t="str">
        <f t="shared" si="458"/>
        <v>1</v>
      </c>
      <c r="F2384" t="str">
        <f t="shared" si="460"/>
        <v>COM</v>
      </c>
      <c r="G2384" t="str">
        <f>"GUILHERME QUINTINO DA ROCHA (199)"</f>
        <v>GUILHERME QUINTINO DA ROCHA (199)</v>
      </c>
      <c r="H2384" t="s">
        <v>734</v>
      </c>
      <c r="I2384" t="str">
        <f t="shared" si="456"/>
        <v>13/03/2026</v>
      </c>
      <c r="J2384" t="str">
        <f t="shared" si="459"/>
        <v>03/03/2026</v>
      </c>
      <c r="K2384">
        <v>46094</v>
      </c>
      <c r="N2384">
        <v>109</v>
      </c>
      <c r="O2384" t="s">
        <v>27</v>
      </c>
      <c r="Q2384">
        <v>1440</v>
      </c>
      <c r="R2384" t="str">
        <f>"FARMÁCIA INDIANA LJ 06 (10006)"</f>
        <v>FARMÁCIA INDIANA LJ 06 (10006)</v>
      </c>
      <c r="S2384" t="s">
        <v>37</v>
      </c>
      <c r="T2384">
        <v>30821</v>
      </c>
      <c r="U2384">
        <v>34132</v>
      </c>
      <c r="V2384" t="s">
        <v>37</v>
      </c>
    </row>
    <row r="2385" spans="1:22">
      <c r="A2385" t="str">
        <f t="shared" si="461"/>
        <v>13/03/2026</v>
      </c>
      <c r="B2385" t="str">
        <f t="shared" si="455"/>
        <v>SAÍDA</v>
      </c>
      <c r="C2385" t="str">
        <f t="shared" si="457"/>
        <v>PIX</v>
      </c>
      <c r="D2385" t="str">
        <f>"34133"</f>
        <v>34133</v>
      </c>
      <c r="E2385" t="str">
        <f t="shared" si="458"/>
        <v>1</v>
      </c>
      <c r="F2385" t="str">
        <f t="shared" si="460"/>
        <v>COM</v>
      </c>
      <c r="G2385" t="str">
        <f>"GUSTAVO HENRIQUE OLIVEIRA (661)"</f>
        <v>GUSTAVO HENRIQUE OLIVEIRA (661)</v>
      </c>
      <c r="H2385" t="str">
        <f>"Serv.Prest. 23/02/2026 a 01/03/2026 - PIX: CPF - CHAVE: 113.084.266-58"</f>
        <v>Serv.Prest. 23/02/2026 a 01/03/2026 - PIX: CPF - CHAVE: 113.084.266-58</v>
      </c>
      <c r="I2385" t="str">
        <f t="shared" si="456"/>
        <v>13/03/2026</v>
      </c>
      <c r="J2385" t="str">
        <f t="shared" si="459"/>
        <v>03/03/2026</v>
      </c>
      <c r="K2385" t="str">
        <f>("13/03/2026")</f>
        <v>13/03/2026</v>
      </c>
      <c r="L2385">
        <v>702</v>
      </c>
      <c r="M2385">
        <v>702</v>
      </c>
      <c r="N2385">
        <v>109</v>
      </c>
      <c r="O2385" t="str">
        <f>"PAGAMENTO DE ENTREGADORES"</f>
        <v>PAGAMENTO DE ENTREGADORES</v>
      </c>
      <c r="P2385">
        <v>702</v>
      </c>
      <c r="S2385" t="str">
        <f>"BANCO C6 (149)"</f>
        <v>BANCO C6 (149)</v>
      </c>
      <c r="T2385">
        <v>30822</v>
      </c>
      <c r="U2385">
        <v>34133</v>
      </c>
      <c r="V2385" t="s">
        <v>37</v>
      </c>
    </row>
    <row r="2386" spans="1:22">
      <c r="A2386" t="str">
        <f t="shared" si="461"/>
        <v>13/03/2026</v>
      </c>
      <c r="B2386" t="str">
        <f t="shared" si="455"/>
        <v>SAÍDA</v>
      </c>
      <c r="C2386" t="str">
        <f t="shared" si="457"/>
        <v>PIX</v>
      </c>
      <c r="D2386" t="str">
        <f>"34133"</f>
        <v>34133</v>
      </c>
      <c r="E2386" t="str">
        <f t="shared" si="458"/>
        <v>1</v>
      </c>
      <c r="F2386" t="str">
        <f t="shared" si="460"/>
        <v>COM</v>
      </c>
      <c r="G2386" t="str">
        <f>"GUSTAVO HENRIQUE OLIVEIRA (661)"</f>
        <v>GUSTAVO HENRIQUE OLIVEIRA (661)</v>
      </c>
      <c r="H2386" t="s">
        <v>735</v>
      </c>
      <c r="I2386" t="str">
        <f t="shared" si="456"/>
        <v>13/03/2026</v>
      </c>
      <c r="J2386" t="str">
        <f t="shared" si="459"/>
        <v>03/03/2026</v>
      </c>
      <c r="K2386">
        <v>46094</v>
      </c>
      <c r="N2386">
        <v>109</v>
      </c>
      <c r="O2386" t="s">
        <v>27</v>
      </c>
      <c r="Q2386">
        <v>702</v>
      </c>
      <c r="R2386" t="str">
        <f>"FARMÁCIA INDIANA LJ 110 (10048)"</f>
        <v>FARMÁCIA INDIANA LJ 110 (10048)</v>
      </c>
      <c r="S2386" t="s">
        <v>37</v>
      </c>
      <c r="T2386">
        <v>30822</v>
      </c>
      <c r="U2386">
        <v>34133</v>
      </c>
      <c r="V2386" t="s">
        <v>37</v>
      </c>
    </row>
    <row r="2387" spans="1:22">
      <c r="A2387" t="str">
        <f t="shared" si="461"/>
        <v>13/03/2026</v>
      </c>
      <c r="B2387" t="str">
        <f t="shared" si="455"/>
        <v>SAÍDA</v>
      </c>
      <c r="C2387" t="str">
        <f t="shared" si="457"/>
        <v>PIX</v>
      </c>
      <c r="D2387" t="str">
        <f>"34134"</f>
        <v>34134</v>
      </c>
      <c r="E2387" t="str">
        <f t="shared" si="458"/>
        <v>1</v>
      </c>
      <c r="F2387" t="str">
        <f t="shared" si="460"/>
        <v>COM</v>
      </c>
      <c r="G2387" t="str">
        <f>"IVAN SOUZA SANTOS (101)"</f>
        <v>IVAN SOUZA SANTOS (101)</v>
      </c>
      <c r="H2387" t="str">
        <f>"Serv.Prest. 23/02/2026 a 01/03/2026 - PIX: CELULAR - CHAVE: (33) 98429-0263"</f>
        <v>Serv.Prest. 23/02/2026 a 01/03/2026 - PIX: CELULAR - CHAVE: (33) 98429-0263</v>
      </c>
      <c r="I2387" t="str">
        <f t="shared" si="456"/>
        <v>13/03/2026</v>
      </c>
      <c r="J2387" t="str">
        <f t="shared" si="459"/>
        <v>03/03/2026</v>
      </c>
      <c r="K2387" t="str">
        <f>("13/03/2026")</f>
        <v>13/03/2026</v>
      </c>
      <c r="L2387">
        <v>681.1</v>
      </c>
      <c r="M2387">
        <v>681.1</v>
      </c>
      <c r="N2387">
        <v>109</v>
      </c>
      <c r="O2387" t="str">
        <f>"PAGAMENTO DE ENTREGADORES"</f>
        <v>PAGAMENTO DE ENTREGADORES</v>
      </c>
      <c r="P2387">
        <v>681.1</v>
      </c>
      <c r="S2387" t="str">
        <f>"BANCO C6 (149)"</f>
        <v>BANCO C6 (149)</v>
      </c>
      <c r="T2387">
        <v>30823</v>
      </c>
      <c r="U2387">
        <v>34134</v>
      </c>
      <c r="V2387" t="s">
        <v>37</v>
      </c>
    </row>
    <row r="2388" spans="1:22">
      <c r="A2388" t="str">
        <f t="shared" si="461"/>
        <v>13/03/2026</v>
      </c>
      <c r="B2388" t="str">
        <f t="shared" si="455"/>
        <v>SAÍDA</v>
      </c>
      <c r="C2388" t="str">
        <f t="shared" si="457"/>
        <v>PIX</v>
      </c>
      <c r="D2388" t="str">
        <f>"34134"</f>
        <v>34134</v>
      </c>
      <c r="E2388" t="str">
        <f t="shared" si="458"/>
        <v>1</v>
      </c>
      <c r="F2388" t="str">
        <f t="shared" si="460"/>
        <v>COM</v>
      </c>
      <c r="G2388" t="str">
        <f>"IVAN SOUZA SANTOS (101)"</f>
        <v>IVAN SOUZA SANTOS (101)</v>
      </c>
      <c r="H2388" t="s">
        <v>736</v>
      </c>
      <c r="I2388" t="str">
        <f t="shared" si="456"/>
        <v>13/03/2026</v>
      </c>
      <c r="J2388" t="str">
        <f t="shared" si="459"/>
        <v>03/03/2026</v>
      </c>
      <c r="K2388">
        <v>46094</v>
      </c>
      <c r="N2388">
        <v>109</v>
      </c>
      <c r="O2388" t="s">
        <v>27</v>
      </c>
      <c r="Q2388">
        <v>681.1</v>
      </c>
      <c r="R2388" t="str">
        <f>"FARMÁCIA INDIANA LJ 59 (10026)"</f>
        <v>FARMÁCIA INDIANA LJ 59 (10026)</v>
      </c>
      <c r="S2388" t="s">
        <v>37</v>
      </c>
      <c r="T2388">
        <v>30823</v>
      </c>
      <c r="U2388">
        <v>34134</v>
      </c>
      <c r="V2388" t="s">
        <v>37</v>
      </c>
    </row>
    <row r="2389" spans="1:22">
      <c r="A2389" t="str">
        <f t="shared" si="461"/>
        <v>13/03/2026</v>
      </c>
      <c r="B2389" t="str">
        <f t="shared" si="455"/>
        <v>SAÍDA</v>
      </c>
      <c r="C2389" t="str">
        <f t="shared" si="457"/>
        <v>PIX</v>
      </c>
      <c r="D2389" t="str">
        <f>"34136"</f>
        <v>34136</v>
      </c>
      <c r="E2389" t="str">
        <f t="shared" si="458"/>
        <v>1</v>
      </c>
      <c r="F2389" t="str">
        <f t="shared" si="460"/>
        <v>COM</v>
      </c>
      <c r="G2389" t="str">
        <f>"JEAN ARAÚJO SANTOS GERMANO (551)"</f>
        <v>JEAN ARAÚJO SANTOS GERMANO (551)</v>
      </c>
      <c r="H2389" t="str">
        <f>"Serv.Prest. 23/02/2026 a 01/03/2026 - PIX: CELULAR - CHAVE: (31) 99812-7173"</f>
        <v>Serv.Prest. 23/02/2026 a 01/03/2026 - PIX: CELULAR - CHAVE: (31) 99812-7173</v>
      </c>
      <c r="I2389" t="str">
        <f t="shared" si="456"/>
        <v>13/03/2026</v>
      </c>
      <c r="J2389" t="str">
        <f t="shared" si="459"/>
        <v>03/03/2026</v>
      </c>
      <c r="K2389" t="str">
        <f>("13/03/2026")</f>
        <v>13/03/2026</v>
      </c>
      <c r="L2389">
        <v>780</v>
      </c>
      <c r="M2389">
        <v>780</v>
      </c>
      <c r="N2389">
        <v>109</v>
      </c>
      <c r="O2389" t="str">
        <f>"PAGAMENTO DE ENTREGADORES"</f>
        <v>PAGAMENTO DE ENTREGADORES</v>
      </c>
      <c r="P2389">
        <v>780</v>
      </c>
      <c r="S2389" t="str">
        <f>"BANCO C6 (149)"</f>
        <v>BANCO C6 (149)</v>
      </c>
      <c r="T2389">
        <v>30824</v>
      </c>
      <c r="U2389">
        <v>34136</v>
      </c>
      <c r="V2389" t="s">
        <v>37</v>
      </c>
    </row>
    <row r="2390" spans="1:22">
      <c r="A2390" t="str">
        <f t="shared" si="461"/>
        <v>13/03/2026</v>
      </c>
      <c r="B2390" t="str">
        <f t="shared" si="455"/>
        <v>SAÍDA</v>
      </c>
      <c r="C2390" t="str">
        <f t="shared" si="457"/>
        <v>PIX</v>
      </c>
      <c r="D2390" t="str">
        <f>"34136"</f>
        <v>34136</v>
      </c>
      <c r="E2390" t="str">
        <f t="shared" si="458"/>
        <v>1</v>
      </c>
      <c r="F2390" t="str">
        <f t="shared" si="460"/>
        <v>COM</v>
      </c>
      <c r="G2390" t="str">
        <f>"JEAN ARAÚJO SANTOS GERMANO (551)"</f>
        <v>JEAN ARAÚJO SANTOS GERMANO (551)</v>
      </c>
      <c r="H2390" t="s">
        <v>737</v>
      </c>
      <c r="I2390" t="str">
        <f t="shared" si="456"/>
        <v>13/03/2026</v>
      </c>
      <c r="J2390" t="str">
        <f t="shared" si="459"/>
        <v>03/03/2026</v>
      </c>
      <c r="K2390">
        <v>46094</v>
      </c>
      <c r="N2390">
        <v>109</v>
      </c>
      <c r="O2390" t="s">
        <v>27</v>
      </c>
      <c r="Q2390">
        <v>780</v>
      </c>
      <c r="R2390" t="str">
        <f>"FARMÁCIA INDIANA LJ 142 (10066)"</f>
        <v>FARMÁCIA INDIANA LJ 142 (10066)</v>
      </c>
      <c r="S2390" t="s">
        <v>37</v>
      </c>
      <c r="T2390">
        <v>30824</v>
      </c>
      <c r="U2390">
        <v>34136</v>
      </c>
      <c r="V2390" t="s">
        <v>37</v>
      </c>
    </row>
    <row r="2391" spans="1:22">
      <c r="A2391" t="str">
        <f t="shared" si="461"/>
        <v>13/03/2026</v>
      </c>
      <c r="B2391" t="str">
        <f t="shared" si="455"/>
        <v>SAÍDA</v>
      </c>
      <c r="C2391" t="str">
        <f t="shared" si="457"/>
        <v>PIX</v>
      </c>
      <c r="D2391" t="str">
        <f>"34137"</f>
        <v>34137</v>
      </c>
      <c r="E2391" t="str">
        <f t="shared" si="458"/>
        <v>1</v>
      </c>
      <c r="F2391" t="str">
        <f t="shared" si="460"/>
        <v>COM</v>
      </c>
      <c r="G2391" t="str">
        <f>"JEFERSON ANDRADE FERREIRA (165)"</f>
        <v>JEFERSON ANDRADE FERREIRA (165)</v>
      </c>
      <c r="H2391" t="str">
        <f>"Serv.Prest. 23/02/2026 a 01/03/2026 - PIX: CPF - CHAVE: 126.873.296-65"</f>
        <v>Serv.Prest. 23/02/2026 a 01/03/2026 - PIX: CPF - CHAVE: 126.873.296-65</v>
      </c>
      <c r="I2391" t="str">
        <f t="shared" si="456"/>
        <v>13/03/2026</v>
      </c>
      <c r="J2391" t="str">
        <f t="shared" si="459"/>
        <v>03/03/2026</v>
      </c>
      <c r="K2391" t="str">
        <f>("13/03/2026")</f>
        <v>13/03/2026</v>
      </c>
      <c r="L2391">
        <v>3432</v>
      </c>
      <c r="M2391">
        <v>3432</v>
      </c>
      <c r="N2391">
        <v>109</v>
      </c>
      <c r="O2391" t="str">
        <f>"PAGAMENTO DE ENTREGADORES"</f>
        <v>PAGAMENTO DE ENTREGADORES</v>
      </c>
      <c r="P2391">
        <v>3432</v>
      </c>
      <c r="S2391" t="str">
        <f>"BANCO C6 (149)"</f>
        <v>BANCO C6 (149)</v>
      </c>
      <c r="T2391">
        <v>30825</v>
      </c>
      <c r="U2391">
        <v>34137</v>
      </c>
      <c r="V2391" t="s">
        <v>37</v>
      </c>
    </row>
    <row r="2392" spans="1:22">
      <c r="A2392" t="str">
        <f t="shared" si="461"/>
        <v>13/03/2026</v>
      </c>
      <c r="B2392" t="str">
        <f t="shared" si="455"/>
        <v>SAÍDA</v>
      </c>
      <c r="C2392" t="str">
        <f t="shared" si="457"/>
        <v>PIX</v>
      </c>
      <c r="D2392" t="str">
        <f>"34137"</f>
        <v>34137</v>
      </c>
      <c r="E2392" t="str">
        <f t="shared" si="458"/>
        <v>1</v>
      </c>
      <c r="F2392" t="str">
        <f t="shared" si="460"/>
        <v>COM</v>
      </c>
      <c r="G2392" t="str">
        <f>"JEFERSON ANDRADE FERREIRA (165)"</f>
        <v>JEFERSON ANDRADE FERREIRA (165)</v>
      </c>
      <c r="H2392" t="s">
        <v>738</v>
      </c>
      <c r="I2392" t="str">
        <f t="shared" si="456"/>
        <v>13/03/2026</v>
      </c>
      <c r="J2392" t="str">
        <f t="shared" si="459"/>
        <v>03/03/2026</v>
      </c>
      <c r="K2392">
        <v>46094</v>
      </c>
      <c r="N2392">
        <v>109</v>
      </c>
      <c r="O2392" t="s">
        <v>27</v>
      </c>
      <c r="Q2392">
        <v>2010.12</v>
      </c>
      <c r="R2392" t="str">
        <f>"FARMÁCIA INDIANA LJ 101 (10043)"</f>
        <v>FARMÁCIA INDIANA LJ 101 (10043)</v>
      </c>
      <c r="S2392" t="s">
        <v>37</v>
      </c>
      <c r="T2392">
        <v>30825</v>
      </c>
      <c r="U2392">
        <v>34137</v>
      </c>
      <c r="V2392" t="s">
        <v>37</v>
      </c>
    </row>
    <row r="2393" spans="1:22">
      <c r="A2393" t="str">
        <f t="shared" si="461"/>
        <v>13/03/2026</v>
      </c>
      <c r="B2393" t="str">
        <f t="shared" si="455"/>
        <v>SAÍDA</v>
      </c>
      <c r="C2393" t="str">
        <f t="shared" si="457"/>
        <v>PIX</v>
      </c>
      <c r="D2393" t="str">
        <f>"34137"</f>
        <v>34137</v>
      </c>
      <c r="E2393" t="str">
        <f t="shared" si="458"/>
        <v>1</v>
      </c>
      <c r="F2393" t="str">
        <f t="shared" si="460"/>
        <v>COM</v>
      </c>
      <c r="G2393" t="str">
        <f>"JEFERSON ANDRADE FERREIRA (165)"</f>
        <v>JEFERSON ANDRADE FERREIRA (165)</v>
      </c>
      <c r="H2393" t="s">
        <v>738</v>
      </c>
      <c r="I2393" t="str">
        <f t="shared" si="456"/>
        <v>13/03/2026</v>
      </c>
      <c r="J2393" t="str">
        <f t="shared" si="459"/>
        <v>03/03/2026</v>
      </c>
      <c r="K2393">
        <v>46094</v>
      </c>
      <c r="N2393">
        <v>109</v>
      </c>
      <c r="O2393" t="s">
        <v>27</v>
      </c>
      <c r="Q2393">
        <v>1421.88</v>
      </c>
      <c r="R2393" t="str">
        <f>"FARMÁCIA INDIANA LJ 220 (10092)"</f>
        <v>FARMÁCIA INDIANA LJ 220 (10092)</v>
      </c>
      <c r="S2393" t="s">
        <v>37</v>
      </c>
      <c r="T2393">
        <v>30825</v>
      </c>
      <c r="U2393">
        <v>34137</v>
      </c>
      <c r="V2393" t="s">
        <v>37</v>
      </c>
    </row>
    <row r="2394" spans="1:22">
      <c r="A2394" t="str">
        <f t="shared" si="461"/>
        <v>13/03/2026</v>
      </c>
      <c r="B2394" t="str">
        <f t="shared" si="455"/>
        <v>SAÍDA</v>
      </c>
      <c r="C2394" t="str">
        <f t="shared" si="457"/>
        <v>PIX</v>
      </c>
      <c r="D2394" t="str">
        <f>"34138"</f>
        <v>34138</v>
      </c>
      <c r="E2394" t="str">
        <f t="shared" si="458"/>
        <v>1</v>
      </c>
      <c r="F2394" t="str">
        <f t="shared" si="460"/>
        <v>COM</v>
      </c>
      <c r="G2394" t="str">
        <f>"JEFERSON DE JESUS SANTOS (910)"</f>
        <v>JEFERSON DE JESUS SANTOS (910)</v>
      </c>
      <c r="H2394" t="str">
        <f>"Serv.Prest. 23/02/2026 a 01/03/2026 - PIX: CELULAR - CHAVE: (33) 98836-6015"</f>
        <v>Serv.Prest. 23/02/2026 a 01/03/2026 - PIX: CELULAR - CHAVE: (33) 98836-6015</v>
      </c>
      <c r="I2394" t="str">
        <f t="shared" si="456"/>
        <v>13/03/2026</v>
      </c>
      <c r="J2394" t="str">
        <f t="shared" si="459"/>
        <v>03/03/2026</v>
      </c>
      <c r="K2394" t="str">
        <f>("13/03/2026")</f>
        <v>13/03/2026</v>
      </c>
      <c r="L2394">
        <v>634</v>
      </c>
      <c r="M2394">
        <v>634</v>
      </c>
      <c r="N2394">
        <v>109</v>
      </c>
      <c r="O2394" t="str">
        <f>"PAGAMENTO DE ENTREGADORES"</f>
        <v>PAGAMENTO DE ENTREGADORES</v>
      </c>
      <c r="P2394">
        <v>634</v>
      </c>
      <c r="S2394" t="str">
        <f>"BANCO C6 (149)"</f>
        <v>BANCO C6 (149)</v>
      </c>
      <c r="T2394">
        <v>30826</v>
      </c>
      <c r="U2394">
        <v>34138</v>
      </c>
      <c r="V2394" t="s">
        <v>37</v>
      </c>
    </row>
    <row r="2395" spans="1:22">
      <c r="A2395" t="str">
        <f t="shared" si="461"/>
        <v>13/03/2026</v>
      </c>
      <c r="B2395" t="str">
        <f t="shared" si="455"/>
        <v>SAÍDA</v>
      </c>
      <c r="C2395" t="str">
        <f t="shared" si="457"/>
        <v>PIX</v>
      </c>
      <c r="D2395" t="str">
        <f>"34138"</f>
        <v>34138</v>
      </c>
      <c r="E2395" t="str">
        <f t="shared" si="458"/>
        <v>1</v>
      </c>
      <c r="F2395" t="str">
        <f t="shared" si="460"/>
        <v>COM</v>
      </c>
      <c r="G2395" t="str">
        <f>"JEFERSON DE JESUS SANTOS (910)"</f>
        <v>JEFERSON DE JESUS SANTOS (910)</v>
      </c>
      <c r="H2395" t="s">
        <v>440</v>
      </c>
      <c r="I2395" t="str">
        <f t="shared" si="456"/>
        <v>13/03/2026</v>
      </c>
      <c r="J2395" t="str">
        <f t="shared" si="459"/>
        <v>03/03/2026</v>
      </c>
      <c r="K2395">
        <v>46094</v>
      </c>
      <c r="N2395">
        <v>109</v>
      </c>
      <c r="O2395" t="s">
        <v>27</v>
      </c>
      <c r="Q2395">
        <v>634</v>
      </c>
      <c r="R2395" t="str">
        <f>"FARMÁCIA INDIANA LJ 07 (10007)"</f>
        <v>FARMÁCIA INDIANA LJ 07 (10007)</v>
      </c>
      <c r="S2395" t="s">
        <v>37</v>
      </c>
      <c r="T2395">
        <v>30826</v>
      </c>
      <c r="U2395">
        <v>34138</v>
      </c>
      <c r="V2395" t="s">
        <v>37</v>
      </c>
    </row>
    <row r="2396" spans="1:22">
      <c r="A2396" t="str">
        <f t="shared" si="461"/>
        <v>13/03/2026</v>
      </c>
      <c r="B2396" t="str">
        <f t="shared" si="455"/>
        <v>SAÍDA</v>
      </c>
      <c r="C2396" t="str">
        <f t="shared" si="457"/>
        <v>PIX</v>
      </c>
      <c r="D2396" t="str">
        <f>"34139"</f>
        <v>34139</v>
      </c>
      <c r="E2396" t="str">
        <f t="shared" si="458"/>
        <v>1</v>
      </c>
      <c r="F2396" t="str">
        <f t="shared" si="460"/>
        <v>COM</v>
      </c>
      <c r="G2396" t="str">
        <f>"JHONANTAN LACERDA DE JESUS (142)"</f>
        <v>JHONANTAN LACERDA DE JESUS (142)</v>
      </c>
      <c r="H2396" t="str">
        <f>"Serv.Prest. 23/02/2026 a 01/03/2026 - PIX: E-MAIL - CHAVE: jhonantanlacerda@gmail.com"</f>
        <v>Serv.Prest. 23/02/2026 a 01/03/2026 - PIX: E-MAIL - CHAVE: jhonantanlacerda@gmail.com</v>
      </c>
      <c r="I2396" t="str">
        <f t="shared" si="456"/>
        <v>13/03/2026</v>
      </c>
      <c r="J2396" t="str">
        <f t="shared" si="459"/>
        <v>03/03/2026</v>
      </c>
      <c r="K2396" t="str">
        <f>("13/03/2026")</f>
        <v>13/03/2026</v>
      </c>
      <c r="L2396">
        <v>1176</v>
      </c>
      <c r="M2396">
        <v>1176</v>
      </c>
      <c r="N2396">
        <v>109</v>
      </c>
      <c r="O2396" t="str">
        <f>"PAGAMENTO DE ENTREGADORES"</f>
        <v>PAGAMENTO DE ENTREGADORES</v>
      </c>
      <c r="P2396">
        <v>1176</v>
      </c>
      <c r="S2396" t="str">
        <f>"BANCO C6 (149)"</f>
        <v>BANCO C6 (149)</v>
      </c>
      <c r="T2396">
        <v>30827</v>
      </c>
      <c r="U2396">
        <v>34139</v>
      </c>
      <c r="V2396" t="s">
        <v>37</v>
      </c>
    </row>
    <row r="2397" spans="1:22">
      <c r="A2397" t="str">
        <f t="shared" si="461"/>
        <v>13/03/2026</v>
      </c>
      <c r="B2397" t="str">
        <f t="shared" si="455"/>
        <v>SAÍDA</v>
      </c>
      <c r="C2397" t="str">
        <f t="shared" si="457"/>
        <v>PIX</v>
      </c>
      <c r="D2397" t="str">
        <f>"34139"</f>
        <v>34139</v>
      </c>
      <c r="E2397" t="str">
        <f t="shared" si="458"/>
        <v>1</v>
      </c>
      <c r="F2397" t="str">
        <f t="shared" si="460"/>
        <v>COM</v>
      </c>
      <c r="G2397" t="str">
        <f>"JHONANTAN LACERDA DE JESUS (142)"</f>
        <v>JHONANTAN LACERDA DE JESUS (142)</v>
      </c>
      <c r="H2397" t="s">
        <v>739</v>
      </c>
      <c r="I2397" t="str">
        <f t="shared" si="456"/>
        <v>13/03/2026</v>
      </c>
      <c r="J2397" t="str">
        <f t="shared" si="459"/>
        <v>03/03/2026</v>
      </c>
      <c r="K2397">
        <v>46094</v>
      </c>
      <c r="N2397">
        <v>109</v>
      </c>
      <c r="O2397" t="s">
        <v>27</v>
      </c>
      <c r="Q2397">
        <v>1176</v>
      </c>
      <c r="R2397" t="str">
        <f>"FARMÁCIA INDIANA LJ 142 (10066)"</f>
        <v>FARMÁCIA INDIANA LJ 142 (10066)</v>
      </c>
      <c r="S2397" t="s">
        <v>37</v>
      </c>
      <c r="T2397">
        <v>30827</v>
      </c>
      <c r="U2397">
        <v>34139</v>
      </c>
      <c r="V2397" t="s">
        <v>37</v>
      </c>
    </row>
    <row r="2398" spans="1:22">
      <c r="A2398" t="str">
        <f t="shared" si="461"/>
        <v>13/03/2026</v>
      </c>
      <c r="B2398" t="str">
        <f t="shared" si="455"/>
        <v>SAÍDA</v>
      </c>
      <c r="C2398" t="str">
        <f t="shared" si="457"/>
        <v>PIX</v>
      </c>
      <c r="D2398" t="str">
        <f>"34140"</f>
        <v>34140</v>
      </c>
      <c r="E2398" t="str">
        <f t="shared" si="458"/>
        <v>1</v>
      </c>
      <c r="F2398" t="str">
        <f t="shared" si="460"/>
        <v>COM</v>
      </c>
      <c r="G2398" t="str">
        <f>"JOCIMAR VAZ FERREIRA (197)"</f>
        <v>JOCIMAR VAZ FERREIRA (197)</v>
      </c>
      <c r="H2398" t="str">
        <f>"Serv.Prest. 23/02/2026 a 01/03/2026 - PIX: CELULAR - CHAVE: (33) 99924-7557"</f>
        <v>Serv.Prest. 23/02/2026 a 01/03/2026 - PIX: CELULAR - CHAVE: (33) 99924-7557</v>
      </c>
      <c r="I2398" t="str">
        <f t="shared" si="456"/>
        <v>13/03/2026</v>
      </c>
      <c r="J2398" t="str">
        <f t="shared" si="459"/>
        <v>03/03/2026</v>
      </c>
      <c r="K2398" t="str">
        <f>("13/03/2026")</f>
        <v>13/03/2026</v>
      </c>
      <c r="L2398">
        <v>1200</v>
      </c>
      <c r="M2398">
        <v>1200</v>
      </c>
      <c r="N2398">
        <v>109</v>
      </c>
      <c r="O2398" t="str">
        <f>"PAGAMENTO DE ENTREGADORES"</f>
        <v>PAGAMENTO DE ENTREGADORES</v>
      </c>
      <c r="P2398">
        <v>1200</v>
      </c>
      <c r="S2398" t="str">
        <f>"BANCO C6 (149)"</f>
        <v>BANCO C6 (149)</v>
      </c>
      <c r="T2398">
        <v>30828</v>
      </c>
      <c r="U2398">
        <v>34140</v>
      </c>
      <c r="V2398" t="s">
        <v>37</v>
      </c>
    </row>
    <row r="2399" spans="1:22">
      <c r="A2399" t="str">
        <f t="shared" si="461"/>
        <v>13/03/2026</v>
      </c>
      <c r="B2399" t="str">
        <f t="shared" si="455"/>
        <v>SAÍDA</v>
      </c>
      <c r="C2399" t="str">
        <f t="shared" si="457"/>
        <v>PIX</v>
      </c>
      <c r="D2399" t="str">
        <f>"34140"</f>
        <v>34140</v>
      </c>
      <c r="E2399" t="str">
        <f t="shared" si="458"/>
        <v>1</v>
      </c>
      <c r="F2399" t="str">
        <f t="shared" si="460"/>
        <v>COM</v>
      </c>
      <c r="G2399" t="str">
        <f>"JOCIMAR VAZ FERREIRA (197)"</f>
        <v>JOCIMAR VAZ FERREIRA (197)</v>
      </c>
      <c r="H2399" t="s">
        <v>740</v>
      </c>
      <c r="I2399" t="str">
        <f t="shared" si="456"/>
        <v>13/03/2026</v>
      </c>
      <c r="J2399" t="str">
        <f t="shared" si="459"/>
        <v>03/03/2026</v>
      </c>
      <c r="K2399">
        <v>46094</v>
      </c>
      <c r="N2399">
        <v>109</v>
      </c>
      <c r="O2399" t="s">
        <v>27</v>
      </c>
      <c r="Q2399">
        <v>412.8</v>
      </c>
      <c r="R2399" t="str">
        <f>"FARMÁCIA INDIANA LJ 06 (10006)"</f>
        <v>FARMÁCIA INDIANA LJ 06 (10006)</v>
      </c>
      <c r="S2399" t="s">
        <v>37</v>
      </c>
      <c r="T2399">
        <v>30828</v>
      </c>
      <c r="U2399">
        <v>34140</v>
      </c>
      <c r="V2399" t="s">
        <v>37</v>
      </c>
    </row>
    <row r="2400" spans="1:22">
      <c r="A2400" t="str">
        <f t="shared" si="461"/>
        <v>13/03/2026</v>
      </c>
      <c r="B2400" t="str">
        <f t="shared" si="455"/>
        <v>SAÍDA</v>
      </c>
      <c r="C2400" t="str">
        <f t="shared" si="457"/>
        <v>PIX</v>
      </c>
      <c r="D2400" t="str">
        <f>"34140"</f>
        <v>34140</v>
      </c>
      <c r="E2400" t="str">
        <f t="shared" si="458"/>
        <v>1</v>
      </c>
      <c r="F2400" t="str">
        <f t="shared" si="460"/>
        <v>COM</v>
      </c>
      <c r="G2400" t="str">
        <f>"JOCIMAR VAZ FERREIRA (197)"</f>
        <v>JOCIMAR VAZ FERREIRA (197)</v>
      </c>
      <c r="H2400" t="s">
        <v>740</v>
      </c>
      <c r="I2400" t="str">
        <f t="shared" si="456"/>
        <v>13/03/2026</v>
      </c>
      <c r="J2400" t="str">
        <f t="shared" si="459"/>
        <v>03/03/2026</v>
      </c>
      <c r="K2400">
        <v>46094</v>
      </c>
      <c r="N2400">
        <v>109</v>
      </c>
      <c r="O2400" t="s">
        <v>27</v>
      </c>
      <c r="Q2400">
        <v>787.2</v>
      </c>
      <c r="R2400" t="str">
        <f>"FARMÁCIA INDIANA LJ 14 (10009)"</f>
        <v>FARMÁCIA INDIANA LJ 14 (10009)</v>
      </c>
      <c r="S2400" t="s">
        <v>37</v>
      </c>
      <c r="T2400">
        <v>30828</v>
      </c>
      <c r="U2400">
        <v>34140</v>
      </c>
      <c r="V2400" t="s">
        <v>37</v>
      </c>
    </row>
    <row r="2401" spans="1:22">
      <c r="A2401" t="str">
        <f t="shared" si="461"/>
        <v>13/03/2026</v>
      </c>
      <c r="B2401" t="str">
        <f t="shared" si="455"/>
        <v>SAÍDA</v>
      </c>
      <c r="C2401" t="str">
        <f t="shared" si="457"/>
        <v>PIX</v>
      </c>
      <c r="D2401" t="str">
        <f>"34141"</f>
        <v>34141</v>
      </c>
      <c r="E2401" t="str">
        <f t="shared" si="458"/>
        <v>1</v>
      </c>
      <c r="F2401" t="str">
        <f t="shared" si="460"/>
        <v>COM</v>
      </c>
      <c r="G2401" t="str">
        <f>"JOMAR GONÇALVES DIAS (16)"</f>
        <v>JOMAR GONÇALVES DIAS (16)</v>
      </c>
      <c r="H2401" t="str">
        <f>"Serv.Prest. 23/02/2026 a 01/03/2026 - PIX: CPF - CHAVE: 602.838.315-53"</f>
        <v>Serv.Prest. 23/02/2026 a 01/03/2026 - PIX: CPF - CHAVE: 602.838.315-53</v>
      </c>
      <c r="I2401" t="str">
        <f t="shared" si="456"/>
        <v>13/03/2026</v>
      </c>
      <c r="J2401" t="str">
        <f t="shared" si="459"/>
        <v>03/03/2026</v>
      </c>
      <c r="K2401" t="str">
        <f>("13/03/2026")</f>
        <v>13/03/2026</v>
      </c>
      <c r="L2401">
        <v>797.5</v>
      </c>
      <c r="M2401">
        <v>797.5</v>
      </c>
      <c r="N2401">
        <v>109</v>
      </c>
      <c r="O2401" t="str">
        <f>"PAGAMENTO DE ENTREGADORES"</f>
        <v>PAGAMENTO DE ENTREGADORES</v>
      </c>
      <c r="P2401">
        <v>797.5</v>
      </c>
      <c r="S2401" t="str">
        <f>"BANCO C6 (149)"</f>
        <v>BANCO C6 (149)</v>
      </c>
      <c r="T2401">
        <v>30829</v>
      </c>
      <c r="U2401">
        <v>34141</v>
      </c>
      <c r="V2401" t="s">
        <v>37</v>
      </c>
    </row>
    <row r="2402" spans="1:22">
      <c r="A2402" t="str">
        <f t="shared" si="461"/>
        <v>13/03/2026</v>
      </c>
      <c r="B2402" t="str">
        <f t="shared" ref="B2402:B2465" si="462">"SAÍDA"</f>
        <v>SAÍDA</v>
      </c>
      <c r="C2402" t="str">
        <f t="shared" si="457"/>
        <v>PIX</v>
      </c>
      <c r="D2402" t="str">
        <f>"34141"</f>
        <v>34141</v>
      </c>
      <c r="E2402" t="str">
        <f t="shared" si="458"/>
        <v>1</v>
      </c>
      <c r="F2402" t="str">
        <f t="shared" si="460"/>
        <v>COM</v>
      </c>
      <c r="G2402" t="str">
        <f>"JOMAR GONÇALVES DIAS (16)"</f>
        <v>JOMAR GONÇALVES DIAS (16)</v>
      </c>
      <c r="H2402" t="s">
        <v>741</v>
      </c>
      <c r="I2402" t="str">
        <f t="shared" si="456"/>
        <v>13/03/2026</v>
      </c>
      <c r="J2402" t="str">
        <f t="shared" si="459"/>
        <v>03/03/2026</v>
      </c>
      <c r="K2402">
        <v>46094</v>
      </c>
      <c r="N2402">
        <v>109</v>
      </c>
      <c r="O2402" t="s">
        <v>27</v>
      </c>
      <c r="Q2402">
        <v>797.5</v>
      </c>
      <c r="R2402" t="str">
        <f>"FARMÁCIA INDIANA LJ 61 (10027)"</f>
        <v>FARMÁCIA INDIANA LJ 61 (10027)</v>
      </c>
      <c r="S2402" t="s">
        <v>37</v>
      </c>
      <c r="T2402">
        <v>30829</v>
      </c>
      <c r="U2402">
        <v>34141</v>
      </c>
      <c r="V2402" t="s">
        <v>37</v>
      </c>
    </row>
    <row r="2403" spans="1:22">
      <c r="A2403" t="str">
        <f t="shared" si="461"/>
        <v>13/03/2026</v>
      </c>
      <c r="B2403" t="str">
        <f t="shared" si="462"/>
        <v>SAÍDA</v>
      </c>
      <c r="C2403" t="str">
        <f t="shared" si="457"/>
        <v>PIX</v>
      </c>
      <c r="D2403" t="str">
        <f>"34142"</f>
        <v>34142</v>
      </c>
      <c r="E2403" t="str">
        <f t="shared" si="458"/>
        <v>1</v>
      </c>
      <c r="F2403" t="str">
        <f t="shared" si="460"/>
        <v>COM</v>
      </c>
      <c r="G2403" t="str">
        <f>"JOSÉ CARLOS DA COSTA (83)"</f>
        <v>JOSÉ CARLOS DA COSTA (83)</v>
      </c>
      <c r="H2403" t="str">
        <f>"Serv.Prest. 23/02/2026 a 01/03/2026 - PIX: E-MAIL - CHAVE: jcarlosctga36@hotmail.com"</f>
        <v>Serv.Prest. 23/02/2026 a 01/03/2026 - PIX: E-MAIL - CHAVE: jcarlosctga36@hotmail.com</v>
      </c>
      <c r="I2403" t="str">
        <f t="shared" si="456"/>
        <v>13/03/2026</v>
      </c>
      <c r="J2403" t="str">
        <f t="shared" si="459"/>
        <v>03/03/2026</v>
      </c>
      <c r="K2403" t="str">
        <f>("13/03/2026")</f>
        <v>13/03/2026</v>
      </c>
      <c r="L2403">
        <v>606</v>
      </c>
      <c r="M2403">
        <v>606</v>
      </c>
      <c r="N2403">
        <v>109</v>
      </c>
      <c r="O2403" t="str">
        <f>"PAGAMENTO DE ENTREGADORES"</f>
        <v>PAGAMENTO DE ENTREGADORES</v>
      </c>
      <c r="P2403">
        <v>606</v>
      </c>
      <c r="S2403" t="str">
        <f>"BANCO C6 (149)"</f>
        <v>BANCO C6 (149)</v>
      </c>
      <c r="T2403">
        <v>30830</v>
      </c>
      <c r="U2403">
        <v>34142</v>
      </c>
      <c r="V2403" t="s">
        <v>37</v>
      </c>
    </row>
    <row r="2404" spans="1:22">
      <c r="A2404" t="str">
        <f t="shared" si="461"/>
        <v>13/03/2026</v>
      </c>
      <c r="B2404" t="str">
        <f t="shared" si="462"/>
        <v>SAÍDA</v>
      </c>
      <c r="C2404" t="str">
        <f t="shared" si="457"/>
        <v>PIX</v>
      </c>
      <c r="D2404" t="str">
        <f>"34142"</f>
        <v>34142</v>
      </c>
      <c r="E2404" t="str">
        <f t="shared" si="458"/>
        <v>1</v>
      </c>
      <c r="F2404" t="str">
        <f t="shared" si="460"/>
        <v>COM</v>
      </c>
      <c r="G2404" t="str">
        <f>"JOSÉ CARLOS DA COSTA (83)"</f>
        <v>JOSÉ CARLOS DA COSTA (83)</v>
      </c>
      <c r="H2404" t="s">
        <v>742</v>
      </c>
      <c r="I2404" t="str">
        <f t="shared" si="456"/>
        <v>13/03/2026</v>
      </c>
      <c r="J2404" t="str">
        <f t="shared" si="459"/>
        <v>03/03/2026</v>
      </c>
      <c r="K2404">
        <v>46094</v>
      </c>
      <c r="N2404">
        <v>109</v>
      </c>
      <c r="O2404" t="s">
        <v>27</v>
      </c>
      <c r="Q2404">
        <v>606</v>
      </c>
      <c r="R2404" t="str">
        <f>"FARMÁCIA INDIANA LJ 152 (10069)"</f>
        <v>FARMÁCIA INDIANA LJ 152 (10069)</v>
      </c>
      <c r="S2404" t="s">
        <v>37</v>
      </c>
      <c r="T2404">
        <v>30830</v>
      </c>
      <c r="U2404">
        <v>34142</v>
      </c>
      <c r="V2404" t="s">
        <v>37</v>
      </c>
    </row>
    <row r="2405" spans="1:22">
      <c r="A2405" t="str">
        <f t="shared" si="461"/>
        <v>13/03/2026</v>
      </c>
      <c r="B2405" t="str">
        <f t="shared" si="462"/>
        <v>SAÍDA</v>
      </c>
      <c r="C2405" t="str">
        <f t="shared" si="457"/>
        <v>PIX</v>
      </c>
      <c r="D2405" t="str">
        <f>"34144"</f>
        <v>34144</v>
      </c>
      <c r="E2405" t="str">
        <f t="shared" si="458"/>
        <v>1</v>
      </c>
      <c r="F2405" t="str">
        <f t="shared" si="460"/>
        <v>COM</v>
      </c>
      <c r="G2405" t="str">
        <f>"JUBER FERREIRA SILVA BASTOS (192)"</f>
        <v>JUBER FERREIRA SILVA BASTOS (192)</v>
      </c>
      <c r="H2405" t="str">
        <f>"Serv.Prest. 23/02/2026 a 01/03/2026 - PIX: CPF - CHAVE: 012.459.366-62"</f>
        <v>Serv.Prest. 23/02/2026 a 01/03/2026 - PIX: CPF - CHAVE: 012.459.366-62</v>
      </c>
      <c r="I2405" t="str">
        <f t="shared" si="456"/>
        <v>13/03/2026</v>
      </c>
      <c r="J2405" t="str">
        <f t="shared" si="459"/>
        <v>03/03/2026</v>
      </c>
      <c r="K2405" t="str">
        <f>("13/03/2026")</f>
        <v>13/03/2026</v>
      </c>
      <c r="L2405">
        <v>1050</v>
      </c>
      <c r="M2405">
        <v>1050</v>
      </c>
      <c r="N2405">
        <v>109</v>
      </c>
      <c r="O2405" t="str">
        <f>"PAGAMENTO DE ENTREGADORES"</f>
        <v>PAGAMENTO DE ENTREGADORES</v>
      </c>
      <c r="P2405">
        <v>1050</v>
      </c>
      <c r="S2405" t="str">
        <f>"BANCO C6 (149)"</f>
        <v>BANCO C6 (149)</v>
      </c>
      <c r="T2405">
        <v>30831</v>
      </c>
      <c r="U2405">
        <v>34144</v>
      </c>
      <c r="V2405" t="s">
        <v>37</v>
      </c>
    </row>
    <row r="2406" spans="1:22">
      <c r="A2406" t="str">
        <f t="shared" si="461"/>
        <v>13/03/2026</v>
      </c>
      <c r="B2406" t="str">
        <f t="shared" si="462"/>
        <v>SAÍDA</v>
      </c>
      <c r="C2406" t="str">
        <f t="shared" si="457"/>
        <v>PIX</v>
      </c>
      <c r="D2406" t="str">
        <f>"34144"</f>
        <v>34144</v>
      </c>
      <c r="E2406" t="str">
        <f t="shared" si="458"/>
        <v>1</v>
      </c>
      <c r="F2406" t="str">
        <f t="shared" si="460"/>
        <v>COM</v>
      </c>
      <c r="G2406" t="str">
        <f>"JUBER FERREIRA SILVA BASTOS (192)"</f>
        <v>JUBER FERREIRA SILVA BASTOS (192)</v>
      </c>
      <c r="H2406" t="s">
        <v>743</v>
      </c>
      <c r="I2406" t="str">
        <f t="shared" si="456"/>
        <v>13/03/2026</v>
      </c>
      <c r="J2406" t="str">
        <f t="shared" si="459"/>
        <v>03/03/2026</v>
      </c>
      <c r="K2406">
        <v>46094</v>
      </c>
      <c r="N2406">
        <v>109</v>
      </c>
      <c r="O2406" t="s">
        <v>27</v>
      </c>
      <c r="Q2406">
        <v>315</v>
      </c>
      <c r="R2406" t="str">
        <f>"FARMÁCIA INDIANA LJ 06 (10006)"</f>
        <v>FARMÁCIA INDIANA LJ 06 (10006)</v>
      </c>
      <c r="S2406" t="s">
        <v>37</v>
      </c>
      <c r="T2406">
        <v>30831</v>
      </c>
      <c r="U2406">
        <v>34144</v>
      </c>
      <c r="V2406" t="s">
        <v>37</v>
      </c>
    </row>
    <row r="2407" spans="1:22">
      <c r="A2407" t="str">
        <f t="shared" si="461"/>
        <v>13/03/2026</v>
      </c>
      <c r="B2407" t="str">
        <f t="shared" si="462"/>
        <v>SAÍDA</v>
      </c>
      <c r="C2407" t="str">
        <f t="shared" si="457"/>
        <v>PIX</v>
      </c>
      <c r="D2407" t="str">
        <f>"34144"</f>
        <v>34144</v>
      </c>
      <c r="E2407" t="str">
        <f t="shared" si="458"/>
        <v>1</v>
      </c>
      <c r="F2407" t="str">
        <f t="shared" si="460"/>
        <v>COM</v>
      </c>
      <c r="G2407" t="str">
        <f>"JUBER FERREIRA SILVA BASTOS (192)"</f>
        <v>JUBER FERREIRA SILVA BASTOS (192)</v>
      </c>
      <c r="H2407" t="s">
        <v>743</v>
      </c>
      <c r="I2407" t="str">
        <f t="shared" ref="I2407:I2470" si="463">("13/03/2026")</f>
        <v>13/03/2026</v>
      </c>
      <c r="J2407" t="str">
        <f t="shared" si="459"/>
        <v>03/03/2026</v>
      </c>
      <c r="K2407">
        <v>46094</v>
      </c>
      <c r="N2407">
        <v>109</v>
      </c>
      <c r="O2407" t="s">
        <v>27</v>
      </c>
      <c r="Q2407">
        <v>735</v>
      </c>
      <c r="R2407" t="str">
        <f>"FARMÁCIA INDIANA LJ 14 (10009)"</f>
        <v>FARMÁCIA INDIANA LJ 14 (10009)</v>
      </c>
      <c r="S2407" t="s">
        <v>37</v>
      </c>
      <c r="T2407">
        <v>30831</v>
      </c>
      <c r="U2407">
        <v>34144</v>
      </c>
      <c r="V2407" t="s">
        <v>37</v>
      </c>
    </row>
    <row r="2408" spans="1:22">
      <c r="A2408" t="str">
        <f t="shared" si="461"/>
        <v>13/03/2026</v>
      </c>
      <c r="B2408" t="str">
        <f t="shared" si="462"/>
        <v>SAÍDA</v>
      </c>
      <c r="C2408" t="str">
        <f t="shared" si="457"/>
        <v>PIX</v>
      </c>
      <c r="D2408" t="str">
        <f>"34145"</f>
        <v>34145</v>
      </c>
      <c r="E2408" t="str">
        <f t="shared" si="458"/>
        <v>1</v>
      </c>
      <c r="F2408" t="str">
        <f t="shared" si="460"/>
        <v>COM</v>
      </c>
      <c r="G2408" t="str">
        <f>"JUCIMAR LEANDRO DA SILVA (1326)"</f>
        <v>JUCIMAR LEANDRO DA SILVA (1326)</v>
      </c>
      <c r="H2408" t="str">
        <f>"Serv.Prest. 23/02/2026 a 01/03/2026 - PIX: CELULAR - CHAVE: (64) 98124-5160"</f>
        <v>Serv.Prest. 23/02/2026 a 01/03/2026 - PIX: CELULAR - CHAVE: (64) 98124-5160</v>
      </c>
      <c r="I2408" t="str">
        <f t="shared" si="463"/>
        <v>13/03/2026</v>
      </c>
      <c r="J2408" t="str">
        <f t="shared" si="459"/>
        <v>03/03/2026</v>
      </c>
      <c r="K2408" t="str">
        <f>("13/03/2026")</f>
        <v>13/03/2026</v>
      </c>
      <c r="L2408">
        <v>19.5</v>
      </c>
      <c r="M2408">
        <v>19.5</v>
      </c>
      <c r="N2408">
        <v>109</v>
      </c>
      <c r="O2408" t="str">
        <f>"PAGAMENTO DE ENTREGADORES"</f>
        <v>PAGAMENTO DE ENTREGADORES</v>
      </c>
      <c r="P2408">
        <v>19.5</v>
      </c>
      <c r="S2408" t="str">
        <f>"BANCO C6 (149)"</f>
        <v>BANCO C6 (149)</v>
      </c>
      <c r="T2408">
        <v>30832</v>
      </c>
      <c r="U2408">
        <v>34145</v>
      </c>
      <c r="V2408" t="s">
        <v>37</v>
      </c>
    </row>
    <row r="2409" spans="1:22">
      <c r="A2409" t="str">
        <f t="shared" si="461"/>
        <v>13/03/2026</v>
      </c>
      <c r="B2409" t="str">
        <f t="shared" si="462"/>
        <v>SAÍDA</v>
      </c>
      <c r="C2409" t="str">
        <f t="shared" ref="C2409:C2472" si="464">"PIX"</f>
        <v>PIX</v>
      </c>
      <c r="D2409" t="str">
        <f>"34145"</f>
        <v>34145</v>
      </c>
      <c r="E2409" t="str">
        <f t="shared" si="458"/>
        <v>1</v>
      </c>
      <c r="F2409" t="str">
        <f t="shared" si="460"/>
        <v>COM</v>
      </c>
      <c r="G2409" t="str">
        <f>"JUCIMAR LEANDRO DA SILVA (1326)"</f>
        <v>JUCIMAR LEANDRO DA SILVA (1326)</v>
      </c>
      <c r="H2409" t="s">
        <v>744</v>
      </c>
      <c r="I2409" t="str">
        <f t="shared" si="463"/>
        <v>13/03/2026</v>
      </c>
      <c r="J2409" t="str">
        <f t="shared" si="459"/>
        <v>03/03/2026</v>
      </c>
      <c r="K2409">
        <v>46094</v>
      </c>
      <c r="N2409">
        <v>109</v>
      </c>
      <c r="O2409" t="s">
        <v>27</v>
      </c>
      <c r="Q2409">
        <v>19.5</v>
      </c>
      <c r="R2409" t="str">
        <f>"FARMÁCIA INDIANA LJ 14 (10009)"</f>
        <v>FARMÁCIA INDIANA LJ 14 (10009)</v>
      </c>
      <c r="S2409" t="s">
        <v>37</v>
      </c>
      <c r="T2409">
        <v>30832</v>
      </c>
      <c r="U2409">
        <v>34145</v>
      </c>
      <c r="V2409" t="s">
        <v>37</v>
      </c>
    </row>
    <row r="2410" spans="1:22">
      <c r="A2410" t="str">
        <f t="shared" si="461"/>
        <v>13/03/2026</v>
      </c>
      <c r="B2410" t="str">
        <f t="shared" si="462"/>
        <v>SAÍDA</v>
      </c>
      <c r="C2410" t="str">
        <f t="shared" si="464"/>
        <v>PIX</v>
      </c>
      <c r="D2410" t="str">
        <f>"34146"</f>
        <v>34146</v>
      </c>
      <c r="E2410" t="str">
        <f t="shared" si="458"/>
        <v>1</v>
      </c>
      <c r="F2410" t="str">
        <f t="shared" si="460"/>
        <v>COM</v>
      </c>
      <c r="G2410" t="str">
        <f>"JUNIO DE ANDRADE ARRUDA (145)"</f>
        <v>JUNIO DE ANDRADE ARRUDA (145)</v>
      </c>
      <c r="H2410" t="str">
        <f>"Serv.Prest. 23/02/2026 a 01/03/2026 - PIX: CELULAR - CHAVE: (31) 98674-8323"</f>
        <v>Serv.Prest. 23/02/2026 a 01/03/2026 - PIX: CELULAR - CHAVE: (31) 98674-8323</v>
      </c>
      <c r="I2410" t="str">
        <f t="shared" si="463"/>
        <v>13/03/2026</v>
      </c>
      <c r="J2410" t="str">
        <f t="shared" si="459"/>
        <v>03/03/2026</v>
      </c>
      <c r="K2410" t="str">
        <f>("13/03/2026")</f>
        <v>13/03/2026</v>
      </c>
      <c r="L2410">
        <v>1218</v>
      </c>
      <c r="M2410">
        <v>1218</v>
      </c>
      <c r="N2410">
        <v>109</v>
      </c>
      <c r="O2410" t="str">
        <f>"PAGAMENTO DE ENTREGADORES"</f>
        <v>PAGAMENTO DE ENTREGADORES</v>
      </c>
      <c r="P2410">
        <v>1218</v>
      </c>
      <c r="S2410" t="str">
        <f>"BANCO C6 (149)"</f>
        <v>BANCO C6 (149)</v>
      </c>
      <c r="T2410">
        <v>30833</v>
      </c>
      <c r="U2410">
        <v>34146</v>
      </c>
      <c r="V2410" t="s">
        <v>37</v>
      </c>
    </row>
    <row r="2411" spans="1:22">
      <c r="A2411" t="str">
        <f t="shared" si="461"/>
        <v>13/03/2026</v>
      </c>
      <c r="B2411" t="str">
        <f t="shared" si="462"/>
        <v>SAÍDA</v>
      </c>
      <c r="C2411" t="str">
        <f t="shared" si="464"/>
        <v>PIX</v>
      </c>
      <c r="D2411" t="str">
        <f>"34146"</f>
        <v>34146</v>
      </c>
      <c r="E2411" t="str">
        <f t="shared" si="458"/>
        <v>1</v>
      </c>
      <c r="F2411" t="str">
        <f t="shared" si="460"/>
        <v>COM</v>
      </c>
      <c r="G2411" t="str">
        <f>"JUNIO DE ANDRADE ARRUDA (145)"</f>
        <v>JUNIO DE ANDRADE ARRUDA (145)</v>
      </c>
      <c r="H2411" t="s">
        <v>745</v>
      </c>
      <c r="I2411" t="str">
        <f t="shared" si="463"/>
        <v>13/03/2026</v>
      </c>
      <c r="J2411" t="str">
        <f t="shared" si="459"/>
        <v>03/03/2026</v>
      </c>
      <c r="K2411">
        <v>46094</v>
      </c>
      <c r="N2411">
        <v>109</v>
      </c>
      <c r="O2411" t="s">
        <v>27</v>
      </c>
      <c r="Q2411">
        <v>23.99</v>
      </c>
      <c r="R2411" t="str">
        <f>"FARMÁCIA INDIANA LJ 18 (10011)"</f>
        <v>FARMÁCIA INDIANA LJ 18 (10011)</v>
      </c>
      <c r="S2411" t="s">
        <v>37</v>
      </c>
      <c r="T2411">
        <v>30833</v>
      </c>
      <c r="U2411">
        <v>34146</v>
      </c>
      <c r="V2411" t="s">
        <v>37</v>
      </c>
    </row>
    <row r="2412" spans="1:22">
      <c r="A2412" t="str">
        <f t="shared" si="461"/>
        <v>13/03/2026</v>
      </c>
      <c r="B2412" t="str">
        <f t="shared" si="462"/>
        <v>SAÍDA</v>
      </c>
      <c r="C2412" t="str">
        <f t="shared" si="464"/>
        <v>PIX</v>
      </c>
      <c r="D2412" t="str">
        <f>"34146"</f>
        <v>34146</v>
      </c>
      <c r="E2412" t="str">
        <f t="shared" si="458"/>
        <v>1</v>
      </c>
      <c r="F2412" t="str">
        <f t="shared" si="460"/>
        <v>COM</v>
      </c>
      <c r="G2412" t="str">
        <f>"JUNIO DE ANDRADE ARRUDA (145)"</f>
        <v>JUNIO DE ANDRADE ARRUDA (145)</v>
      </c>
      <c r="H2412" t="s">
        <v>745</v>
      </c>
      <c r="I2412" t="str">
        <f t="shared" si="463"/>
        <v>13/03/2026</v>
      </c>
      <c r="J2412" t="str">
        <f t="shared" si="459"/>
        <v>03/03/2026</v>
      </c>
      <c r="K2412">
        <v>46094</v>
      </c>
      <c r="N2412">
        <v>109</v>
      </c>
      <c r="O2412" t="s">
        <v>27</v>
      </c>
      <c r="Q2412">
        <v>1194.01</v>
      </c>
      <c r="R2412" t="str">
        <f>"FARMÁCIA INDIANA LJ 19 (10012)"</f>
        <v>FARMÁCIA INDIANA LJ 19 (10012)</v>
      </c>
      <c r="S2412" t="s">
        <v>37</v>
      </c>
      <c r="T2412">
        <v>30833</v>
      </c>
      <c r="U2412">
        <v>34146</v>
      </c>
      <c r="V2412" t="s">
        <v>37</v>
      </c>
    </row>
    <row r="2413" spans="1:22">
      <c r="A2413" t="str">
        <f t="shared" si="461"/>
        <v>13/03/2026</v>
      </c>
      <c r="B2413" t="str">
        <f t="shared" si="462"/>
        <v>SAÍDA</v>
      </c>
      <c r="C2413" t="str">
        <f t="shared" si="464"/>
        <v>PIX</v>
      </c>
      <c r="D2413" t="str">
        <f>"34147"</f>
        <v>34147</v>
      </c>
      <c r="E2413" t="str">
        <f t="shared" ref="E2413:E2476" si="465">"1"</f>
        <v>1</v>
      </c>
      <c r="F2413" t="str">
        <f t="shared" si="460"/>
        <v>COM</v>
      </c>
      <c r="G2413" t="str">
        <f>"JUNIOR DOS SANTOS MACHADO (240)"</f>
        <v>JUNIOR DOS SANTOS MACHADO (240)</v>
      </c>
      <c r="H2413" t="str">
        <f>"Serv.Prest. 23/02/2026 a 01/03/2026 - PIX: E-MAIL - CHAVE: juninhomachado789@gmail.com"</f>
        <v>Serv.Prest. 23/02/2026 a 01/03/2026 - PIX: E-MAIL - CHAVE: juninhomachado789@gmail.com</v>
      </c>
      <c r="I2413" t="str">
        <f t="shared" si="463"/>
        <v>13/03/2026</v>
      </c>
      <c r="J2413" t="str">
        <f t="shared" si="459"/>
        <v>03/03/2026</v>
      </c>
      <c r="K2413" t="str">
        <f>("13/03/2026")</f>
        <v>13/03/2026</v>
      </c>
      <c r="L2413">
        <v>737</v>
      </c>
      <c r="M2413">
        <v>737</v>
      </c>
      <c r="N2413">
        <v>109</v>
      </c>
      <c r="O2413" t="str">
        <f>"PAGAMENTO DE ENTREGADORES"</f>
        <v>PAGAMENTO DE ENTREGADORES</v>
      </c>
      <c r="P2413">
        <v>737</v>
      </c>
      <c r="S2413" t="str">
        <f>"BANCO C6 (149)"</f>
        <v>BANCO C6 (149)</v>
      </c>
      <c r="T2413">
        <v>30834</v>
      </c>
      <c r="U2413">
        <v>34147</v>
      </c>
      <c r="V2413" t="s">
        <v>37</v>
      </c>
    </row>
    <row r="2414" spans="1:22">
      <c r="A2414" t="str">
        <f t="shared" si="461"/>
        <v>13/03/2026</v>
      </c>
      <c r="B2414" t="str">
        <f t="shared" si="462"/>
        <v>SAÍDA</v>
      </c>
      <c r="C2414" t="str">
        <f t="shared" si="464"/>
        <v>PIX</v>
      </c>
      <c r="D2414" t="str">
        <f>"34147"</f>
        <v>34147</v>
      </c>
      <c r="E2414" t="str">
        <f t="shared" si="465"/>
        <v>1</v>
      </c>
      <c r="F2414" t="str">
        <f t="shared" si="460"/>
        <v>COM</v>
      </c>
      <c r="G2414" t="str">
        <f>"JUNIOR DOS SANTOS MACHADO (240)"</f>
        <v>JUNIOR DOS SANTOS MACHADO (240)</v>
      </c>
      <c r="H2414" t="s">
        <v>746</v>
      </c>
      <c r="I2414" t="str">
        <f t="shared" si="463"/>
        <v>13/03/2026</v>
      </c>
      <c r="J2414" t="str">
        <f t="shared" si="459"/>
        <v>03/03/2026</v>
      </c>
      <c r="K2414">
        <v>46094</v>
      </c>
      <c r="N2414">
        <v>109</v>
      </c>
      <c r="O2414" t="s">
        <v>27</v>
      </c>
      <c r="Q2414">
        <v>737</v>
      </c>
      <c r="R2414" t="str">
        <f>"FARMÁCIA INDIANA LJ 62 (10028)"</f>
        <v>FARMÁCIA INDIANA LJ 62 (10028)</v>
      </c>
      <c r="S2414" t="s">
        <v>37</v>
      </c>
      <c r="T2414">
        <v>30834</v>
      </c>
      <c r="U2414">
        <v>34147</v>
      </c>
      <c r="V2414" t="s">
        <v>37</v>
      </c>
    </row>
    <row r="2415" spans="1:22">
      <c r="A2415" t="str">
        <f t="shared" si="461"/>
        <v>13/03/2026</v>
      </c>
      <c r="B2415" t="str">
        <f t="shared" si="462"/>
        <v>SAÍDA</v>
      </c>
      <c r="C2415" t="str">
        <f t="shared" si="464"/>
        <v>PIX</v>
      </c>
      <c r="D2415" t="str">
        <f>"34149"</f>
        <v>34149</v>
      </c>
      <c r="E2415" t="str">
        <f t="shared" si="465"/>
        <v>1</v>
      </c>
      <c r="F2415" t="str">
        <f t="shared" si="460"/>
        <v>COM</v>
      </c>
      <c r="G2415" t="str">
        <f>"KALESSON BARROSO DIAS (216)"</f>
        <v>KALESSON BARROSO DIAS (216)</v>
      </c>
      <c r="H2415" t="str">
        <f>"Serv.Prest. 23/02/2026 a 01/03/2026 - PIX: CELULAR - CHAVE: (33) 99106-9330"</f>
        <v>Serv.Prest. 23/02/2026 a 01/03/2026 - PIX: CELULAR - CHAVE: (33) 99106-9330</v>
      </c>
      <c r="I2415" t="str">
        <f t="shared" si="463"/>
        <v>13/03/2026</v>
      </c>
      <c r="J2415" t="str">
        <f t="shared" si="459"/>
        <v>03/03/2026</v>
      </c>
      <c r="K2415" t="str">
        <f>("13/03/2026")</f>
        <v>13/03/2026</v>
      </c>
      <c r="L2415">
        <v>1080</v>
      </c>
      <c r="M2415">
        <v>1080</v>
      </c>
      <c r="N2415">
        <v>109</v>
      </c>
      <c r="O2415" t="str">
        <f>"PAGAMENTO DE ENTREGADORES"</f>
        <v>PAGAMENTO DE ENTREGADORES</v>
      </c>
      <c r="P2415">
        <v>1080</v>
      </c>
      <c r="S2415" t="str">
        <f>"BANCO C6 (149)"</f>
        <v>BANCO C6 (149)</v>
      </c>
      <c r="T2415">
        <v>30835</v>
      </c>
      <c r="U2415">
        <v>34149</v>
      </c>
      <c r="V2415" t="s">
        <v>37</v>
      </c>
    </row>
    <row r="2416" spans="1:22">
      <c r="A2416" t="str">
        <f t="shared" si="461"/>
        <v>13/03/2026</v>
      </c>
      <c r="B2416" t="str">
        <f t="shared" si="462"/>
        <v>SAÍDA</v>
      </c>
      <c r="C2416" t="str">
        <f t="shared" si="464"/>
        <v>PIX</v>
      </c>
      <c r="D2416" t="str">
        <f>"34149"</f>
        <v>34149</v>
      </c>
      <c r="E2416" t="str">
        <f t="shared" si="465"/>
        <v>1</v>
      </c>
      <c r="F2416" t="str">
        <f t="shared" si="460"/>
        <v>COM</v>
      </c>
      <c r="G2416" t="str">
        <f>"KALESSON BARROSO DIAS (216)"</f>
        <v>KALESSON BARROSO DIAS (216)</v>
      </c>
      <c r="H2416" t="s">
        <v>747</v>
      </c>
      <c r="I2416" t="str">
        <f t="shared" si="463"/>
        <v>13/03/2026</v>
      </c>
      <c r="J2416" t="str">
        <f t="shared" si="459"/>
        <v>03/03/2026</v>
      </c>
      <c r="K2416">
        <v>46094</v>
      </c>
      <c r="N2416">
        <v>109</v>
      </c>
      <c r="O2416" t="s">
        <v>27</v>
      </c>
      <c r="Q2416">
        <v>1080</v>
      </c>
      <c r="R2416" t="str">
        <f>"FARMÁCIA INDIANA LJ 06 (10006)"</f>
        <v>FARMÁCIA INDIANA LJ 06 (10006)</v>
      </c>
      <c r="S2416" t="s">
        <v>37</v>
      </c>
      <c r="T2416">
        <v>30835</v>
      </c>
      <c r="U2416">
        <v>34149</v>
      </c>
      <c r="V2416" t="s">
        <v>37</v>
      </c>
    </row>
    <row r="2417" spans="1:22">
      <c r="A2417" t="str">
        <f t="shared" si="461"/>
        <v>13/03/2026</v>
      </c>
      <c r="B2417" t="str">
        <f t="shared" si="462"/>
        <v>SAÍDA</v>
      </c>
      <c r="C2417" t="str">
        <f t="shared" si="464"/>
        <v>PIX</v>
      </c>
      <c r="D2417" t="str">
        <f>"34150"</f>
        <v>34150</v>
      </c>
      <c r="E2417" t="str">
        <f t="shared" si="465"/>
        <v>1</v>
      </c>
      <c r="F2417" t="str">
        <f t="shared" si="460"/>
        <v>COM</v>
      </c>
      <c r="G2417" t="str">
        <f>"LAMARK FERREIRA DE AMORIM (625)"</f>
        <v>LAMARK FERREIRA DE AMORIM (625)</v>
      </c>
      <c r="H2417" t="str">
        <f>"Serv.Prest. 23/02/2026 a 01/03/2026 - PIX: CPF - CHAVE: 057.893.536-81"</f>
        <v>Serv.Prest. 23/02/2026 a 01/03/2026 - PIX: CPF - CHAVE: 057.893.536-81</v>
      </c>
      <c r="I2417" t="str">
        <f t="shared" si="463"/>
        <v>13/03/2026</v>
      </c>
      <c r="J2417" t="str">
        <f t="shared" si="459"/>
        <v>03/03/2026</v>
      </c>
      <c r="K2417" t="str">
        <f>("13/03/2026")</f>
        <v>13/03/2026</v>
      </c>
      <c r="L2417">
        <v>906</v>
      </c>
      <c r="M2417">
        <v>906</v>
      </c>
      <c r="N2417">
        <v>109</v>
      </c>
      <c r="O2417" t="str">
        <f>"PAGAMENTO DE ENTREGADORES"</f>
        <v>PAGAMENTO DE ENTREGADORES</v>
      </c>
      <c r="P2417">
        <v>906</v>
      </c>
      <c r="S2417" t="str">
        <f>"BANCO C6 (149)"</f>
        <v>BANCO C6 (149)</v>
      </c>
      <c r="T2417">
        <v>30836</v>
      </c>
      <c r="U2417">
        <v>34150</v>
      </c>
      <c r="V2417" t="s">
        <v>37</v>
      </c>
    </row>
    <row r="2418" spans="1:22">
      <c r="A2418" t="str">
        <f t="shared" si="461"/>
        <v>13/03/2026</v>
      </c>
      <c r="B2418" t="str">
        <f t="shared" si="462"/>
        <v>SAÍDA</v>
      </c>
      <c r="C2418" t="str">
        <f t="shared" si="464"/>
        <v>PIX</v>
      </c>
      <c r="D2418" t="str">
        <f>"34150"</f>
        <v>34150</v>
      </c>
      <c r="E2418" t="str">
        <f t="shared" si="465"/>
        <v>1</v>
      </c>
      <c r="F2418" t="str">
        <f t="shared" si="460"/>
        <v>COM</v>
      </c>
      <c r="G2418" t="str">
        <f>"LAMARK FERREIRA DE AMORIM (625)"</f>
        <v>LAMARK FERREIRA DE AMORIM (625)</v>
      </c>
      <c r="H2418" t="s">
        <v>748</v>
      </c>
      <c r="I2418" t="str">
        <f t="shared" si="463"/>
        <v>13/03/2026</v>
      </c>
      <c r="J2418" t="str">
        <f t="shared" si="459"/>
        <v>03/03/2026</v>
      </c>
      <c r="K2418">
        <v>46094</v>
      </c>
      <c r="N2418">
        <v>109</v>
      </c>
      <c r="O2418" t="s">
        <v>27</v>
      </c>
      <c r="Q2418">
        <v>906</v>
      </c>
      <c r="R2418" t="str">
        <f>"FARMÁCIA INDIANA LJ 07 (10007)"</f>
        <v>FARMÁCIA INDIANA LJ 07 (10007)</v>
      </c>
      <c r="S2418" t="s">
        <v>37</v>
      </c>
      <c r="T2418">
        <v>30836</v>
      </c>
      <c r="U2418">
        <v>34150</v>
      </c>
      <c r="V2418" t="s">
        <v>37</v>
      </c>
    </row>
    <row r="2419" spans="1:22">
      <c r="A2419" t="str">
        <f t="shared" si="461"/>
        <v>13/03/2026</v>
      </c>
      <c r="B2419" t="str">
        <f t="shared" si="462"/>
        <v>SAÍDA</v>
      </c>
      <c r="C2419" t="str">
        <f t="shared" si="464"/>
        <v>PIX</v>
      </c>
      <c r="D2419" t="str">
        <f>"34151"</f>
        <v>34151</v>
      </c>
      <c r="E2419" t="str">
        <f t="shared" si="465"/>
        <v>1</v>
      </c>
      <c r="F2419" t="str">
        <f t="shared" si="460"/>
        <v>COM</v>
      </c>
      <c r="G2419" t="str">
        <f>"LEANDRO BARBOSA RIBEIRO (742)"</f>
        <v>LEANDRO BARBOSA RIBEIRO (742)</v>
      </c>
      <c r="H2419" t="str">
        <f>"Serv.Prest. 23/02/2026 a 01/03/2026 - PIX: CELULAR - CHAVE: (31) 97145-0796"</f>
        <v>Serv.Prest. 23/02/2026 a 01/03/2026 - PIX: CELULAR - CHAVE: (31) 97145-0796</v>
      </c>
      <c r="I2419" t="str">
        <f t="shared" si="463"/>
        <v>13/03/2026</v>
      </c>
      <c r="J2419" t="str">
        <f t="shared" si="459"/>
        <v>03/03/2026</v>
      </c>
      <c r="K2419" t="str">
        <f>("13/03/2026")</f>
        <v>13/03/2026</v>
      </c>
      <c r="L2419">
        <v>912</v>
      </c>
      <c r="M2419">
        <v>912</v>
      </c>
      <c r="N2419">
        <v>109</v>
      </c>
      <c r="O2419" t="str">
        <f>"PAGAMENTO DE ENTREGADORES"</f>
        <v>PAGAMENTO DE ENTREGADORES</v>
      </c>
      <c r="P2419">
        <v>912</v>
      </c>
      <c r="S2419" t="str">
        <f>"BANCO C6 (149)"</f>
        <v>BANCO C6 (149)</v>
      </c>
      <c r="T2419">
        <v>30837</v>
      </c>
      <c r="U2419">
        <v>34151</v>
      </c>
      <c r="V2419" t="s">
        <v>37</v>
      </c>
    </row>
    <row r="2420" spans="1:22">
      <c r="A2420" t="str">
        <f t="shared" si="461"/>
        <v>13/03/2026</v>
      </c>
      <c r="B2420" t="str">
        <f t="shared" si="462"/>
        <v>SAÍDA</v>
      </c>
      <c r="C2420" t="str">
        <f t="shared" si="464"/>
        <v>PIX</v>
      </c>
      <c r="D2420" t="str">
        <f>"34151"</f>
        <v>34151</v>
      </c>
      <c r="E2420" t="str">
        <f t="shared" si="465"/>
        <v>1</v>
      </c>
      <c r="F2420" t="str">
        <f t="shared" si="460"/>
        <v>COM</v>
      </c>
      <c r="G2420" t="str">
        <f>"LEANDRO BARBOSA RIBEIRO (742)"</f>
        <v>LEANDRO BARBOSA RIBEIRO (742)</v>
      </c>
      <c r="H2420" t="s">
        <v>749</v>
      </c>
      <c r="I2420" t="str">
        <f t="shared" si="463"/>
        <v>13/03/2026</v>
      </c>
      <c r="J2420" t="str">
        <f t="shared" si="459"/>
        <v>03/03/2026</v>
      </c>
      <c r="K2420">
        <v>46094</v>
      </c>
      <c r="N2420">
        <v>109</v>
      </c>
      <c r="O2420" t="s">
        <v>27</v>
      </c>
      <c r="Q2420">
        <v>912</v>
      </c>
      <c r="R2420" t="str">
        <f>"FARMÁCIA INDIANA LJ 172 (10161)"</f>
        <v>FARMÁCIA INDIANA LJ 172 (10161)</v>
      </c>
      <c r="S2420" t="s">
        <v>37</v>
      </c>
      <c r="T2420">
        <v>30837</v>
      </c>
      <c r="U2420">
        <v>34151</v>
      </c>
      <c r="V2420" t="s">
        <v>37</v>
      </c>
    </row>
    <row r="2421" spans="1:22">
      <c r="A2421" t="str">
        <f t="shared" si="461"/>
        <v>13/03/2026</v>
      </c>
      <c r="B2421" t="str">
        <f t="shared" si="462"/>
        <v>SAÍDA</v>
      </c>
      <c r="C2421" t="str">
        <f t="shared" si="464"/>
        <v>PIX</v>
      </c>
      <c r="D2421" t="str">
        <f>"34152"</f>
        <v>34152</v>
      </c>
      <c r="E2421" t="str">
        <f t="shared" si="465"/>
        <v>1</v>
      </c>
      <c r="F2421" t="str">
        <f t="shared" si="460"/>
        <v>COM</v>
      </c>
      <c r="G2421" t="str">
        <f>"LUAN DOS SANTOS NUNES (719)"</f>
        <v>LUAN DOS SANTOS NUNES (719)</v>
      </c>
      <c r="H2421" t="str">
        <f>"Serv.Prest. 23/02/2026 a 01/03/2026 - PIX: CELULAR - CHAVE: (33) 98749-4693"</f>
        <v>Serv.Prest. 23/02/2026 a 01/03/2026 - PIX: CELULAR - CHAVE: (33) 98749-4693</v>
      </c>
      <c r="I2421" t="str">
        <f t="shared" si="463"/>
        <v>13/03/2026</v>
      </c>
      <c r="J2421" t="str">
        <f t="shared" si="459"/>
        <v>03/03/2026</v>
      </c>
      <c r="K2421" t="str">
        <f>("13/03/2026")</f>
        <v>13/03/2026</v>
      </c>
      <c r="L2421">
        <v>1861</v>
      </c>
      <c r="M2421">
        <v>1861</v>
      </c>
      <c r="N2421">
        <v>109</v>
      </c>
      <c r="O2421" t="str">
        <f>"PAGAMENTO DE ENTREGADORES"</f>
        <v>PAGAMENTO DE ENTREGADORES</v>
      </c>
      <c r="P2421">
        <v>1861</v>
      </c>
      <c r="S2421" t="str">
        <f>"BANCO C6 (149)"</f>
        <v>BANCO C6 (149)</v>
      </c>
      <c r="T2421">
        <v>30838</v>
      </c>
      <c r="U2421">
        <v>34152</v>
      </c>
      <c r="V2421" t="s">
        <v>37</v>
      </c>
    </row>
    <row r="2422" spans="1:22">
      <c r="A2422" t="str">
        <f t="shared" si="461"/>
        <v>13/03/2026</v>
      </c>
      <c r="B2422" t="str">
        <f t="shared" si="462"/>
        <v>SAÍDA</v>
      </c>
      <c r="C2422" t="str">
        <f t="shared" si="464"/>
        <v>PIX</v>
      </c>
      <c r="D2422" t="str">
        <f>"34152"</f>
        <v>34152</v>
      </c>
      <c r="E2422" t="str">
        <f t="shared" si="465"/>
        <v>1</v>
      </c>
      <c r="F2422" t="str">
        <f t="shared" si="460"/>
        <v>COM</v>
      </c>
      <c r="G2422" t="str">
        <f>"LUAN DOS SANTOS NUNES (719)"</f>
        <v>LUAN DOS SANTOS NUNES (719)</v>
      </c>
      <c r="H2422" t="s">
        <v>543</v>
      </c>
      <c r="I2422" t="str">
        <f t="shared" si="463"/>
        <v>13/03/2026</v>
      </c>
      <c r="J2422" t="str">
        <f t="shared" ref="J2422:J2485" si="466">("03/03/2026")</f>
        <v>03/03/2026</v>
      </c>
      <c r="K2422">
        <v>46094</v>
      </c>
      <c r="N2422">
        <v>109</v>
      </c>
      <c r="O2422" t="s">
        <v>27</v>
      </c>
      <c r="Q2422">
        <v>103.47</v>
      </c>
      <c r="R2422" t="str">
        <f>"FARMÁCIA INDIANA LJ 40 (10016)"</f>
        <v>FARMÁCIA INDIANA LJ 40 (10016)</v>
      </c>
      <c r="S2422" t="s">
        <v>37</v>
      </c>
      <c r="T2422">
        <v>30838</v>
      </c>
      <c r="U2422">
        <v>34152</v>
      </c>
      <c r="V2422" t="s">
        <v>37</v>
      </c>
    </row>
    <row r="2423" spans="1:22">
      <c r="A2423" t="str">
        <f t="shared" si="461"/>
        <v>13/03/2026</v>
      </c>
      <c r="B2423" t="str">
        <f t="shared" si="462"/>
        <v>SAÍDA</v>
      </c>
      <c r="C2423" t="str">
        <f t="shared" si="464"/>
        <v>PIX</v>
      </c>
      <c r="D2423" t="str">
        <f>"34152"</f>
        <v>34152</v>
      </c>
      <c r="E2423" t="str">
        <f t="shared" si="465"/>
        <v>1</v>
      </c>
      <c r="F2423" t="str">
        <f t="shared" si="460"/>
        <v>COM</v>
      </c>
      <c r="G2423" t="str">
        <f>"LUAN DOS SANTOS NUNES (719)"</f>
        <v>LUAN DOS SANTOS NUNES (719)</v>
      </c>
      <c r="H2423" t="s">
        <v>543</v>
      </c>
      <c r="I2423" t="str">
        <f t="shared" si="463"/>
        <v>13/03/2026</v>
      </c>
      <c r="J2423" t="str">
        <f t="shared" si="466"/>
        <v>03/03/2026</v>
      </c>
      <c r="K2423">
        <v>46094</v>
      </c>
      <c r="N2423">
        <v>109</v>
      </c>
      <c r="O2423" t="s">
        <v>27</v>
      </c>
      <c r="Q2423">
        <v>1757.53</v>
      </c>
      <c r="R2423" t="str">
        <f>"FARMÁCIA INDIANA LJ 61 (10027)"</f>
        <v>FARMÁCIA INDIANA LJ 61 (10027)</v>
      </c>
      <c r="S2423" t="s">
        <v>37</v>
      </c>
      <c r="T2423">
        <v>30838</v>
      </c>
      <c r="U2423">
        <v>34152</v>
      </c>
      <c r="V2423" t="s">
        <v>37</v>
      </c>
    </row>
    <row r="2424" spans="1:22">
      <c r="A2424" t="str">
        <f t="shared" si="461"/>
        <v>13/03/2026</v>
      </c>
      <c r="B2424" t="str">
        <f t="shared" si="462"/>
        <v>SAÍDA</v>
      </c>
      <c r="C2424" t="str">
        <f t="shared" si="464"/>
        <v>PIX</v>
      </c>
      <c r="D2424" t="str">
        <f>"34153"</f>
        <v>34153</v>
      </c>
      <c r="E2424" t="str">
        <f t="shared" si="465"/>
        <v>1</v>
      </c>
      <c r="F2424" t="str">
        <f t="shared" si="460"/>
        <v>COM</v>
      </c>
      <c r="G2424" t="str">
        <f>"LUAN VICTOR SERQUEIRA DA SILVA (577)"</f>
        <v>LUAN VICTOR SERQUEIRA DA SILVA (577)</v>
      </c>
      <c r="H2424" t="str">
        <f>"Serv.Prest. 23/02/2026 a 01/03/2026 - PIX: CPF - CHAVE: 161.508.516-56"</f>
        <v>Serv.Prest. 23/02/2026 a 01/03/2026 - PIX: CPF - CHAVE: 161.508.516-56</v>
      </c>
      <c r="I2424" t="str">
        <f t="shared" si="463"/>
        <v>13/03/2026</v>
      </c>
      <c r="J2424" t="str">
        <f t="shared" si="466"/>
        <v>03/03/2026</v>
      </c>
      <c r="K2424" t="str">
        <f>("13/03/2026")</f>
        <v>13/03/2026</v>
      </c>
      <c r="L2424">
        <v>678.5</v>
      </c>
      <c r="M2424">
        <v>678.5</v>
      </c>
      <c r="N2424">
        <v>109</v>
      </c>
      <c r="O2424" t="str">
        <f>"PAGAMENTO DE ENTREGADORES"</f>
        <v>PAGAMENTO DE ENTREGADORES</v>
      </c>
      <c r="P2424">
        <v>678.5</v>
      </c>
      <c r="S2424" t="str">
        <f>"BANCO C6 (149)"</f>
        <v>BANCO C6 (149)</v>
      </c>
      <c r="T2424">
        <v>30839</v>
      </c>
      <c r="U2424">
        <v>34153</v>
      </c>
      <c r="V2424" t="s">
        <v>37</v>
      </c>
    </row>
    <row r="2425" spans="1:22">
      <c r="A2425" t="str">
        <f t="shared" si="461"/>
        <v>13/03/2026</v>
      </c>
      <c r="B2425" t="str">
        <f t="shared" si="462"/>
        <v>SAÍDA</v>
      </c>
      <c r="C2425" t="str">
        <f t="shared" si="464"/>
        <v>PIX</v>
      </c>
      <c r="D2425" t="str">
        <f>"34153"</f>
        <v>34153</v>
      </c>
      <c r="E2425" t="str">
        <f t="shared" si="465"/>
        <v>1</v>
      </c>
      <c r="F2425" t="str">
        <f t="shared" si="460"/>
        <v>COM</v>
      </c>
      <c r="G2425" t="str">
        <f>"LUAN VICTOR SERQUEIRA DA SILVA (577)"</f>
        <v>LUAN VICTOR SERQUEIRA DA SILVA (577)</v>
      </c>
      <c r="H2425" t="s">
        <v>538</v>
      </c>
      <c r="I2425" t="str">
        <f t="shared" si="463"/>
        <v>13/03/2026</v>
      </c>
      <c r="J2425" t="str">
        <f t="shared" si="466"/>
        <v>03/03/2026</v>
      </c>
      <c r="K2425">
        <v>46094</v>
      </c>
      <c r="N2425">
        <v>109</v>
      </c>
      <c r="O2425" t="s">
        <v>27</v>
      </c>
      <c r="Q2425">
        <v>678.5</v>
      </c>
      <c r="R2425" t="str">
        <f>"FARMÁCIA INDIANA LJ 202 (10085)"</f>
        <v>FARMÁCIA INDIANA LJ 202 (10085)</v>
      </c>
      <c r="S2425" t="s">
        <v>37</v>
      </c>
      <c r="T2425">
        <v>30839</v>
      </c>
      <c r="U2425">
        <v>34153</v>
      </c>
      <c r="V2425" t="s">
        <v>37</v>
      </c>
    </row>
    <row r="2426" spans="1:22">
      <c r="A2426" t="str">
        <f t="shared" si="461"/>
        <v>13/03/2026</v>
      </c>
      <c r="B2426" t="str">
        <f t="shared" si="462"/>
        <v>SAÍDA</v>
      </c>
      <c r="C2426" t="str">
        <f t="shared" si="464"/>
        <v>PIX</v>
      </c>
      <c r="D2426" t="str">
        <f>"34154"</f>
        <v>34154</v>
      </c>
      <c r="E2426" t="str">
        <f t="shared" si="465"/>
        <v>1</v>
      </c>
      <c r="F2426" t="str">
        <f t="shared" si="460"/>
        <v>COM</v>
      </c>
      <c r="G2426" t="str">
        <f>"LUCAS FERREIRA DOS SANTOS (868)"</f>
        <v>LUCAS FERREIRA DOS SANTOS (868)</v>
      </c>
      <c r="H2426" t="str">
        <f>"Serv.Prest. 23/02/2026 a 01/03/2026 - PIX: CELULAR - CHAVE: (33) 99172-0627"</f>
        <v>Serv.Prest. 23/02/2026 a 01/03/2026 - PIX: CELULAR - CHAVE: (33) 99172-0627</v>
      </c>
      <c r="I2426" t="str">
        <f t="shared" si="463"/>
        <v>13/03/2026</v>
      </c>
      <c r="J2426" t="str">
        <f t="shared" si="466"/>
        <v>03/03/2026</v>
      </c>
      <c r="K2426" t="str">
        <f>("13/03/2026")</f>
        <v>13/03/2026</v>
      </c>
      <c r="L2426">
        <v>1060</v>
      </c>
      <c r="M2426">
        <v>1060</v>
      </c>
      <c r="N2426">
        <v>109</v>
      </c>
      <c r="O2426" t="str">
        <f>"PAGAMENTO DE ENTREGADORES"</f>
        <v>PAGAMENTO DE ENTREGADORES</v>
      </c>
      <c r="P2426">
        <v>1060</v>
      </c>
      <c r="S2426" t="str">
        <f>"BANCO C6 (149)"</f>
        <v>BANCO C6 (149)</v>
      </c>
      <c r="T2426">
        <v>30840</v>
      </c>
      <c r="U2426">
        <v>34154</v>
      </c>
      <c r="V2426" t="s">
        <v>37</v>
      </c>
    </row>
    <row r="2427" spans="1:22">
      <c r="A2427" t="str">
        <f t="shared" si="461"/>
        <v>13/03/2026</v>
      </c>
      <c r="B2427" t="str">
        <f t="shared" si="462"/>
        <v>SAÍDA</v>
      </c>
      <c r="C2427" t="str">
        <f t="shared" si="464"/>
        <v>PIX</v>
      </c>
      <c r="D2427" t="str">
        <f>"34154"</f>
        <v>34154</v>
      </c>
      <c r="E2427" t="str">
        <f t="shared" si="465"/>
        <v>1</v>
      </c>
      <c r="F2427" t="str">
        <f t="shared" si="460"/>
        <v>COM</v>
      </c>
      <c r="G2427" t="str">
        <f>"LUCAS FERREIRA DOS SANTOS (868)"</f>
        <v>LUCAS FERREIRA DOS SANTOS (868)</v>
      </c>
      <c r="H2427" t="s">
        <v>445</v>
      </c>
      <c r="I2427" t="str">
        <f t="shared" si="463"/>
        <v>13/03/2026</v>
      </c>
      <c r="J2427" t="str">
        <f t="shared" si="466"/>
        <v>03/03/2026</v>
      </c>
      <c r="K2427">
        <v>46094</v>
      </c>
      <c r="N2427">
        <v>109</v>
      </c>
      <c r="O2427" t="s">
        <v>27</v>
      </c>
      <c r="Q2427">
        <v>1060</v>
      </c>
      <c r="R2427" t="str">
        <f>"FARMÁCIA INDIANA LJ 06 (10006)"</f>
        <v>FARMÁCIA INDIANA LJ 06 (10006)</v>
      </c>
      <c r="S2427" t="s">
        <v>37</v>
      </c>
      <c r="T2427">
        <v>30840</v>
      </c>
      <c r="U2427">
        <v>34154</v>
      </c>
      <c r="V2427" t="s">
        <v>37</v>
      </c>
    </row>
    <row r="2428" spans="1:22">
      <c r="A2428" t="str">
        <f t="shared" si="461"/>
        <v>13/03/2026</v>
      </c>
      <c r="B2428" t="str">
        <f t="shared" si="462"/>
        <v>SAÍDA</v>
      </c>
      <c r="C2428" t="str">
        <f t="shared" si="464"/>
        <v>PIX</v>
      </c>
      <c r="D2428" t="str">
        <f>"34156"</f>
        <v>34156</v>
      </c>
      <c r="E2428" t="str">
        <f t="shared" si="465"/>
        <v>1</v>
      </c>
      <c r="F2428" t="str">
        <f t="shared" si="460"/>
        <v>COM</v>
      </c>
      <c r="G2428" t="str">
        <f>"LUIZ ALVES MARTINS (40)"</f>
        <v>LUIZ ALVES MARTINS (40)</v>
      </c>
      <c r="H2428" t="str">
        <f>"Serv.Prest. 23/02/2026 a 01/03/2026 - PIX: CELULAR - CHAVE: (33) 99981-6650"</f>
        <v>Serv.Prest. 23/02/2026 a 01/03/2026 - PIX: CELULAR - CHAVE: (33) 99981-6650</v>
      </c>
      <c r="I2428" t="str">
        <f t="shared" si="463"/>
        <v>13/03/2026</v>
      </c>
      <c r="J2428" t="str">
        <f t="shared" si="466"/>
        <v>03/03/2026</v>
      </c>
      <c r="K2428" t="str">
        <f>("13/03/2026")</f>
        <v>13/03/2026</v>
      </c>
      <c r="L2428">
        <v>414</v>
      </c>
      <c r="M2428">
        <v>414</v>
      </c>
      <c r="N2428">
        <v>109</v>
      </c>
      <c r="O2428" t="str">
        <f>"PAGAMENTO DE ENTREGADORES"</f>
        <v>PAGAMENTO DE ENTREGADORES</v>
      </c>
      <c r="P2428">
        <v>414</v>
      </c>
      <c r="S2428" t="str">
        <f>"BANCO C6 (149)"</f>
        <v>BANCO C6 (149)</v>
      </c>
      <c r="T2428">
        <v>30841</v>
      </c>
      <c r="U2428">
        <v>34156</v>
      </c>
      <c r="V2428" t="s">
        <v>37</v>
      </c>
    </row>
    <row r="2429" spans="1:22">
      <c r="A2429" t="str">
        <f t="shared" si="461"/>
        <v>13/03/2026</v>
      </c>
      <c r="B2429" t="str">
        <f t="shared" si="462"/>
        <v>SAÍDA</v>
      </c>
      <c r="C2429" t="str">
        <f t="shared" si="464"/>
        <v>PIX</v>
      </c>
      <c r="D2429" t="str">
        <f>"34156"</f>
        <v>34156</v>
      </c>
      <c r="E2429" t="str">
        <f t="shared" si="465"/>
        <v>1</v>
      </c>
      <c r="F2429" t="str">
        <f t="shared" si="460"/>
        <v>COM</v>
      </c>
      <c r="G2429" t="str">
        <f>"LUIZ ALVES MARTINS (40)"</f>
        <v>LUIZ ALVES MARTINS (40)</v>
      </c>
      <c r="H2429" t="s">
        <v>750</v>
      </c>
      <c r="I2429" t="str">
        <f t="shared" si="463"/>
        <v>13/03/2026</v>
      </c>
      <c r="J2429" t="str">
        <f t="shared" si="466"/>
        <v>03/03/2026</v>
      </c>
      <c r="K2429">
        <v>46094</v>
      </c>
      <c r="N2429">
        <v>109</v>
      </c>
      <c r="O2429" t="s">
        <v>27</v>
      </c>
      <c r="Q2429">
        <v>414</v>
      </c>
      <c r="R2429" t="str">
        <f>"FARMÁCIA INDIANA LJ 11 (10008)"</f>
        <v>FARMÁCIA INDIANA LJ 11 (10008)</v>
      </c>
      <c r="S2429" t="s">
        <v>37</v>
      </c>
      <c r="T2429">
        <v>30841</v>
      </c>
      <c r="U2429">
        <v>34156</v>
      </c>
      <c r="V2429" t="s">
        <v>37</v>
      </c>
    </row>
    <row r="2430" spans="1:22">
      <c r="A2430" t="str">
        <f t="shared" si="461"/>
        <v>13/03/2026</v>
      </c>
      <c r="B2430" t="str">
        <f t="shared" si="462"/>
        <v>SAÍDA</v>
      </c>
      <c r="C2430" t="str">
        <f t="shared" si="464"/>
        <v>PIX</v>
      </c>
      <c r="D2430" t="str">
        <f>"34157"</f>
        <v>34157</v>
      </c>
      <c r="E2430" t="str">
        <f t="shared" si="465"/>
        <v>1</v>
      </c>
      <c r="F2430" t="str">
        <f t="shared" si="460"/>
        <v>COM</v>
      </c>
      <c r="G2430" t="str">
        <f>"LUIZ EDUARDO VIANA BRITO (878)"</f>
        <v>LUIZ EDUARDO VIANA BRITO (878)</v>
      </c>
      <c r="H2430" t="str">
        <f>"Serv.Prest. 23/02/2026 a 01/03/2026 - PIX: CPF - CHAVE: 101.220.976-88"</f>
        <v>Serv.Prest. 23/02/2026 a 01/03/2026 - PIX: CPF - CHAVE: 101.220.976-88</v>
      </c>
      <c r="I2430" t="str">
        <f t="shared" si="463"/>
        <v>13/03/2026</v>
      </c>
      <c r="J2430" t="str">
        <f t="shared" si="466"/>
        <v>03/03/2026</v>
      </c>
      <c r="K2430" t="str">
        <f>("13/03/2026")</f>
        <v>13/03/2026</v>
      </c>
      <c r="L2430">
        <v>942.5</v>
      </c>
      <c r="M2430">
        <v>942.5</v>
      </c>
      <c r="N2430">
        <v>109</v>
      </c>
      <c r="O2430" t="str">
        <f>"PAGAMENTO DE ENTREGADORES"</f>
        <v>PAGAMENTO DE ENTREGADORES</v>
      </c>
      <c r="P2430">
        <v>942.5</v>
      </c>
      <c r="S2430" t="str">
        <f>"BANCO C6 (149)"</f>
        <v>BANCO C6 (149)</v>
      </c>
      <c r="T2430">
        <v>30842</v>
      </c>
      <c r="U2430">
        <v>34157</v>
      </c>
      <c r="V2430" t="s">
        <v>37</v>
      </c>
    </row>
    <row r="2431" spans="1:22">
      <c r="A2431" t="str">
        <f t="shared" si="461"/>
        <v>13/03/2026</v>
      </c>
      <c r="B2431" t="str">
        <f t="shared" si="462"/>
        <v>SAÍDA</v>
      </c>
      <c r="C2431" t="str">
        <f t="shared" si="464"/>
        <v>PIX</v>
      </c>
      <c r="D2431" t="str">
        <f>"34157"</f>
        <v>34157</v>
      </c>
      <c r="E2431" t="str">
        <f t="shared" si="465"/>
        <v>1</v>
      </c>
      <c r="F2431" t="str">
        <f t="shared" si="460"/>
        <v>COM</v>
      </c>
      <c r="G2431" t="str">
        <f>"LUIZ EDUARDO VIANA BRITO (878)"</f>
        <v>LUIZ EDUARDO VIANA BRITO (878)</v>
      </c>
      <c r="H2431" t="s">
        <v>446</v>
      </c>
      <c r="I2431" t="str">
        <f t="shared" si="463"/>
        <v>13/03/2026</v>
      </c>
      <c r="J2431" t="str">
        <f t="shared" si="466"/>
        <v>03/03/2026</v>
      </c>
      <c r="K2431">
        <v>46094</v>
      </c>
      <c r="N2431">
        <v>109</v>
      </c>
      <c r="O2431" t="s">
        <v>27</v>
      </c>
      <c r="Q2431">
        <v>942.5</v>
      </c>
      <c r="R2431" t="str">
        <f>"FARMÁCIA INDIANA LJ 40 (10016)"</f>
        <v>FARMÁCIA INDIANA LJ 40 (10016)</v>
      </c>
      <c r="S2431" t="s">
        <v>37</v>
      </c>
      <c r="T2431">
        <v>30842</v>
      </c>
      <c r="U2431">
        <v>34157</v>
      </c>
      <c r="V2431" t="s">
        <v>37</v>
      </c>
    </row>
    <row r="2432" spans="1:22">
      <c r="A2432" t="str">
        <f t="shared" si="461"/>
        <v>13/03/2026</v>
      </c>
      <c r="B2432" t="str">
        <f t="shared" si="462"/>
        <v>SAÍDA</v>
      </c>
      <c r="C2432" t="str">
        <f t="shared" si="464"/>
        <v>PIX</v>
      </c>
      <c r="D2432" t="str">
        <f>"34158"</f>
        <v>34158</v>
      </c>
      <c r="E2432" t="str">
        <f t="shared" si="465"/>
        <v>1</v>
      </c>
      <c r="F2432" t="str">
        <f t="shared" si="460"/>
        <v>COM</v>
      </c>
      <c r="G2432" t="str">
        <f>"LUIZ FERNANDO CARVALHO ALVES (198)"</f>
        <v>LUIZ FERNANDO CARVALHO ALVES (198)</v>
      </c>
      <c r="H2432" t="str">
        <f>"Serv.Prest. 23/02/2026 a 01/03/2026 - PIX: CPF - CHAVE: 705.097.186-39"</f>
        <v>Serv.Prest. 23/02/2026 a 01/03/2026 - PIX: CPF - CHAVE: 705.097.186-39</v>
      </c>
      <c r="I2432" t="str">
        <f t="shared" si="463"/>
        <v>13/03/2026</v>
      </c>
      <c r="J2432" t="str">
        <f t="shared" si="466"/>
        <v>03/03/2026</v>
      </c>
      <c r="K2432" t="str">
        <f>("13/03/2026")</f>
        <v>13/03/2026</v>
      </c>
      <c r="L2432">
        <v>750</v>
      </c>
      <c r="M2432">
        <v>750</v>
      </c>
      <c r="N2432">
        <v>109</v>
      </c>
      <c r="O2432" t="str">
        <f>"PAGAMENTO DE ENTREGADORES"</f>
        <v>PAGAMENTO DE ENTREGADORES</v>
      </c>
      <c r="P2432">
        <v>750</v>
      </c>
      <c r="S2432" t="str">
        <f>"BANCO C6 (149)"</f>
        <v>BANCO C6 (149)</v>
      </c>
      <c r="T2432">
        <v>30843</v>
      </c>
      <c r="U2432">
        <v>34158</v>
      </c>
      <c r="V2432" t="s">
        <v>37</v>
      </c>
    </row>
    <row r="2433" spans="1:22">
      <c r="A2433" t="str">
        <f t="shared" si="461"/>
        <v>13/03/2026</v>
      </c>
      <c r="B2433" t="str">
        <f t="shared" si="462"/>
        <v>SAÍDA</v>
      </c>
      <c r="C2433" t="str">
        <f t="shared" si="464"/>
        <v>PIX</v>
      </c>
      <c r="D2433" t="str">
        <f>"34158"</f>
        <v>34158</v>
      </c>
      <c r="E2433" t="str">
        <f t="shared" si="465"/>
        <v>1</v>
      </c>
      <c r="F2433" t="str">
        <f t="shared" si="460"/>
        <v>COM</v>
      </c>
      <c r="G2433" t="str">
        <f>"LUIZ FERNANDO CARVALHO ALVES (198)"</f>
        <v>LUIZ FERNANDO CARVALHO ALVES (198)</v>
      </c>
      <c r="H2433" t="s">
        <v>751</v>
      </c>
      <c r="I2433" t="str">
        <f t="shared" si="463"/>
        <v>13/03/2026</v>
      </c>
      <c r="J2433" t="str">
        <f t="shared" si="466"/>
        <v>03/03/2026</v>
      </c>
      <c r="K2433">
        <v>46094</v>
      </c>
      <c r="N2433">
        <v>109</v>
      </c>
      <c r="O2433" t="s">
        <v>27</v>
      </c>
      <c r="Q2433">
        <v>750</v>
      </c>
      <c r="R2433" t="str">
        <f>"FARMÁCIA INDIANA LJ 171 (10074)"</f>
        <v>FARMÁCIA INDIANA LJ 171 (10074)</v>
      </c>
      <c r="S2433" t="s">
        <v>37</v>
      </c>
      <c r="T2433">
        <v>30843</v>
      </c>
      <c r="U2433">
        <v>34158</v>
      </c>
      <c r="V2433" t="s">
        <v>37</v>
      </c>
    </row>
    <row r="2434" spans="1:22">
      <c r="A2434" t="str">
        <f t="shared" si="461"/>
        <v>13/03/2026</v>
      </c>
      <c r="B2434" t="str">
        <f t="shared" si="462"/>
        <v>SAÍDA</v>
      </c>
      <c r="C2434" t="str">
        <f t="shared" si="464"/>
        <v>PIX</v>
      </c>
      <c r="D2434" t="str">
        <f>"34160"</f>
        <v>34160</v>
      </c>
      <c r="E2434" t="str">
        <f t="shared" si="465"/>
        <v>1</v>
      </c>
      <c r="F2434" t="str">
        <f t="shared" ref="F2434:F2497" si="467">"COM"</f>
        <v>COM</v>
      </c>
      <c r="G2434" t="str">
        <f>"MARCIO CLAUDIO DE ARAUJO (204)"</f>
        <v>MARCIO CLAUDIO DE ARAUJO (204)</v>
      </c>
      <c r="H2434" t="str">
        <f>"Serv.Prest. 23/02/2026 a 01/03/2026 - PIX: CELULAR - CHAVE: (33) 98427-3872"</f>
        <v>Serv.Prest. 23/02/2026 a 01/03/2026 - PIX: CELULAR - CHAVE: (33) 98427-3872</v>
      </c>
      <c r="I2434" t="str">
        <f t="shared" si="463"/>
        <v>13/03/2026</v>
      </c>
      <c r="J2434" t="str">
        <f t="shared" si="466"/>
        <v>03/03/2026</v>
      </c>
      <c r="K2434" t="str">
        <f>("13/03/2026")</f>
        <v>13/03/2026</v>
      </c>
      <c r="L2434">
        <v>1116</v>
      </c>
      <c r="M2434">
        <v>1116</v>
      </c>
      <c r="N2434">
        <v>109</v>
      </c>
      <c r="O2434" t="str">
        <f>"PAGAMENTO DE ENTREGADORES"</f>
        <v>PAGAMENTO DE ENTREGADORES</v>
      </c>
      <c r="P2434">
        <v>1116</v>
      </c>
      <c r="S2434" t="str">
        <f>"BANCO C6 (149)"</f>
        <v>BANCO C6 (149)</v>
      </c>
      <c r="T2434">
        <v>30844</v>
      </c>
      <c r="U2434">
        <v>34160</v>
      </c>
      <c r="V2434" t="s">
        <v>37</v>
      </c>
    </row>
    <row r="2435" spans="1:22">
      <c r="A2435" t="str">
        <f t="shared" si="461"/>
        <v>13/03/2026</v>
      </c>
      <c r="B2435" t="str">
        <f t="shared" si="462"/>
        <v>SAÍDA</v>
      </c>
      <c r="C2435" t="str">
        <f t="shared" si="464"/>
        <v>PIX</v>
      </c>
      <c r="D2435" t="str">
        <f>"34160"</f>
        <v>34160</v>
      </c>
      <c r="E2435" t="str">
        <f t="shared" si="465"/>
        <v>1</v>
      </c>
      <c r="F2435" t="str">
        <f t="shared" si="467"/>
        <v>COM</v>
      </c>
      <c r="G2435" t="str">
        <f>"MARCIO CLAUDIO DE ARAUJO (204)"</f>
        <v>MARCIO CLAUDIO DE ARAUJO (204)</v>
      </c>
      <c r="H2435" t="s">
        <v>752</v>
      </c>
      <c r="I2435" t="str">
        <f t="shared" si="463"/>
        <v>13/03/2026</v>
      </c>
      <c r="J2435" t="str">
        <f t="shared" si="466"/>
        <v>03/03/2026</v>
      </c>
      <c r="K2435">
        <v>46094</v>
      </c>
      <c r="N2435">
        <v>109</v>
      </c>
      <c r="O2435" t="s">
        <v>27</v>
      </c>
      <c r="Q2435">
        <v>1116</v>
      </c>
      <c r="R2435" t="str">
        <f>"FARMÁCIA INDIANA LJ 06 (10006)"</f>
        <v>FARMÁCIA INDIANA LJ 06 (10006)</v>
      </c>
      <c r="S2435" t="s">
        <v>37</v>
      </c>
      <c r="T2435">
        <v>30844</v>
      </c>
      <c r="U2435">
        <v>34160</v>
      </c>
      <c r="V2435" t="s">
        <v>37</v>
      </c>
    </row>
    <row r="2436" spans="1:22">
      <c r="A2436" t="str">
        <f t="shared" si="461"/>
        <v>13/03/2026</v>
      </c>
      <c r="B2436" t="str">
        <f t="shared" si="462"/>
        <v>SAÍDA</v>
      </c>
      <c r="C2436" t="str">
        <f t="shared" si="464"/>
        <v>PIX</v>
      </c>
      <c r="D2436" t="str">
        <f>"34161"</f>
        <v>34161</v>
      </c>
      <c r="E2436" t="str">
        <f t="shared" si="465"/>
        <v>1</v>
      </c>
      <c r="F2436" t="str">
        <f t="shared" si="467"/>
        <v>COM</v>
      </c>
      <c r="G2436" t="str">
        <f>"MARCOS DIONI RODRIGUES GASPAR (506)"</f>
        <v>MARCOS DIONI RODRIGUES GASPAR (506)</v>
      </c>
      <c r="H2436" t="str">
        <f>"Serv.Prest. 23/02/2026 a 01/03/2026 - PIX: E-MAIL - CHAVE: dih.mdr@gmail.com"</f>
        <v>Serv.Prest. 23/02/2026 a 01/03/2026 - PIX: E-MAIL - CHAVE: dih.mdr@gmail.com</v>
      </c>
      <c r="I2436" t="str">
        <f t="shared" si="463"/>
        <v>13/03/2026</v>
      </c>
      <c r="J2436" t="str">
        <f t="shared" si="466"/>
        <v>03/03/2026</v>
      </c>
      <c r="K2436" t="str">
        <f>("13/03/2026")</f>
        <v>13/03/2026</v>
      </c>
      <c r="L2436">
        <v>1260</v>
      </c>
      <c r="M2436">
        <v>1260</v>
      </c>
      <c r="N2436">
        <v>109</v>
      </c>
      <c r="O2436" t="str">
        <f>"PAGAMENTO DE ENTREGADORES"</f>
        <v>PAGAMENTO DE ENTREGADORES</v>
      </c>
      <c r="P2436">
        <v>1260</v>
      </c>
      <c r="S2436" t="str">
        <f>"BANCO C6 (149)"</f>
        <v>BANCO C6 (149)</v>
      </c>
      <c r="T2436">
        <v>30845</v>
      </c>
      <c r="U2436">
        <v>34161</v>
      </c>
      <c r="V2436" t="s">
        <v>37</v>
      </c>
    </row>
    <row r="2437" spans="1:22">
      <c r="A2437" t="str">
        <f t="shared" si="461"/>
        <v>13/03/2026</v>
      </c>
      <c r="B2437" t="str">
        <f t="shared" si="462"/>
        <v>SAÍDA</v>
      </c>
      <c r="C2437" t="str">
        <f t="shared" si="464"/>
        <v>PIX</v>
      </c>
      <c r="D2437" t="str">
        <f>"34161"</f>
        <v>34161</v>
      </c>
      <c r="E2437" t="str">
        <f t="shared" si="465"/>
        <v>1</v>
      </c>
      <c r="F2437" t="str">
        <f t="shared" si="467"/>
        <v>COM</v>
      </c>
      <c r="G2437" t="str">
        <f>"MARCOS DIONI RODRIGUES GASPAR (506)"</f>
        <v>MARCOS DIONI RODRIGUES GASPAR (506)</v>
      </c>
      <c r="H2437" t="s">
        <v>753</v>
      </c>
      <c r="I2437" t="str">
        <f t="shared" si="463"/>
        <v>13/03/2026</v>
      </c>
      <c r="J2437" t="str">
        <f t="shared" si="466"/>
        <v>03/03/2026</v>
      </c>
      <c r="K2437">
        <v>46094</v>
      </c>
      <c r="N2437">
        <v>109</v>
      </c>
      <c r="O2437" t="s">
        <v>27</v>
      </c>
      <c r="Q2437">
        <v>1260</v>
      </c>
      <c r="R2437" t="str">
        <f>"FARMÁCIA INDIANA LJ 06 (10006)"</f>
        <v>FARMÁCIA INDIANA LJ 06 (10006)</v>
      </c>
      <c r="S2437" t="s">
        <v>37</v>
      </c>
      <c r="T2437">
        <v>30845</v>
      </c>
      <c r="U2437">
        <v>34161</v>
      </c>
      <c r="V2437" t="s">
        <v>37</v>
      </c>
    </row>
    <row r="2438" spans="1:22">
      <c r="A2438" t="str">
        <f t="shared" si="461"/>
        <v>13/03/2026</v>
      </c>
      <c r="B2438" t="str">
        <f t="shared" si="462"/>
        <v>SAÍDA</v>
      </c>
      <c r="C2438" t="str">
        <f t="shared" si="464"/>
        <v>PIX</v>
      </c>
      <c r="D2438" t="str">
        <f>"34162"</f>
        <v>34162</v>
      </c>
      <c r="E2438" t="str">
        <f t="shared" si="465"/>
        <v>1</v>
      </c>
      <c r="F2438" t="str">
        <f t="shared" si="467"/>
        <v>COM</v>
      </c>
      <c r="G2438" t="str">
        <f>"MARCOS RODRIGUES PENA (64)"</f>
        <v>MARCOS RODRIGUES PENA (64)</v>
      </c>
      <c r="H2438" t="str">
        <f>"Serv.Prest. 23/02/2026 a 01/03/2026 - PIX: CELULAR - CHAVE: (33) 99194-2339"</f>
        <v>Serv.Prest. 23/02/2026 a 01/03/2026 - PIX: CELULAR - CHAVE: (33) 99194-2339</v>
      </c>
      <c r="I2438" t="str">
        <f t="shared" si="463"/>
        <v>13/03/2026</v>
      </c>
      <c r="J2438" t="str">
        <f t="shared" si="466"/>
        <v>03/03/2026</v>
      </c>
      <c r="K2438" t="str">
        <f>("13/03/2026")</f>
        <v>13/03/2026</v>
      </c>
      <c r="L2438">
        <v>602.5</v>
      </c>
      <c r="M2438">
        <v>602.5</v>
      </c>
      <c r="N2438">
        <v>109</v>
      </c>
      <c r="O2438" t="str">
        <f>"PAGAMENTO DE ENTREGADORES"</f>
        <v>PAGAMENTO DE ENTREGADORES</v>
      </c>
      <c r="P2438">
        <v>602.5</v>
      </c>
      <c r="S2438" t="str">
        <f>"BANCO C6 (149)"</f>
        <v>BANCO C6 (149)</v>
      </c>
      <c r="T2438">
        <v>30846</v>
      </c>
      <c r="U2438">
        <v>34162</v>
      </c>
      <c r="V2438" t="s">
        <v>37</v>
      </c>
    </row>
    <row r="2439" spans="1:22">
      <c r="A2439" t="str">
        <f t="shared" si="461"/>
        <v>13/03/2026</v>
      </c>
      <c r="B2439" t="str">
        <f t="shared" si="462"/>
        <v>SAÍDA</v>
      </c>
      <c r="C2439" t="str">
        <f t="shared" si="464"/>
        <v>PIX</v>
      </c>
      <c r="D2439" t="str">
        <f>"34162"</f>
        <v>34162</v>
      </c>
      <c r="E2439" t="str">
        <f t="shared" si="465"/>
        <v>1</v>
      </c>
      <c r="F2439" t="str">
        <f t="shared" si="467"/>
        <v>COM</v>
      </c>
      <c r="G2439" t="str">
        <f>"MARCOS RODRIGUES PENA (64)"</f>
        <v>MARCOS RODRIGUES PENA (64)</v>
      </c>
      <c r="H2439" t="s">
        <v>754</v>
      </c>
      <c r="I2439" t="str">
        <f t="shared" si="463"/>
        <v>13/03/2026</v>
      </c>
      <c r="J2439" t="str">
        <f t="shared" si="466"/>
        <v>03/03/2026</v>
      </c>
      <c r="K2439">
        <v>46094</v>
      </c>
      <c r="N2439">
        <v>109</v>
      </c>
      <c r="O2439" t="s">
        <v>27</v>
      </c>
      <c r="Q2439">
        <v>602.5</v>
      </c>
      <c r="R2439" t="str">
        <f>"FARMÁCIA INDIANA LJ 62 (10028)"</f>
        <v>FARMÁCIA INDIANA LJ 62 (10028)</v>
      </c>
      <c r="S2439" t="s">
        <v>37</v>
      </c>
      <c r="T2439">
        <v>30846</v>
      </c>
      <c r="U2439">
        <v>34162</v>
      </c>
      <c r="V2439" t="s">
        <v>37</v>
      </c>
    </row>
    <row r="2440" spans="1:22">
      <c r="A2440" t="str">
        <f t="shared" si="461"/>
        <v>13/03/2026</v>
      </c>
      <c r="B2440" t="str">
        <f t="shared" si="462"/>
        <v>SAÍDA</v>
      </c>
      <c r="C2440" t="str">
        <f t="shared" si="464"/>
        <v>PIX</v>
      </c>
      <c r="D2440" t="str">
        <f>"34163"</f>
        <v>34163</v>
      </c>
      <c r="E2440" t="str">
        <f t="shared" si="465"/>
        <v>1</v>
      </c>
      <c r="F2440" t="str">
        <f t="shared" si="467"/>
        <v>COM</v>
      </c>
      <c r="G2440" t="str">
        <f>"MATHEUS VIEIRA DA SILVA (886)"</f>
        <v>MATHEUS VIEIRA DA SILVA (886)</v>
      </c>
      <c r="H2440" t="str">
        <f>"Serv.Prest. 23/02/2026 a 01/03/2026 - PIX: CPF - CHAVE: 142.716.106-23"</f>
        <v>Serv.Prest. 23/02/2026 a 01/03/2026 - PIX: CPF - CHAVE: 142.716.106-23</v>
      </c>
      <c r="I2440" t="str">
        <f t="shared" si="463"/>
        <v>13/03/2026</v>
      </c>
      <c r="J2440" t="str">
        <f t="shared" si="466"/>
        <v>03/03/2026</v>
      </c>
      <c r="K2440" t="str">
        <f>("13/03/2026")</f>
        <v>13/03/2026</v>
      </c>
      <c r="L2440">
        <v>1078</v>
      </c>
      <c r="M2440">
        <v>1078</v>
      </c>
      <c r="N2440">
        <v>109</v>
      </c>
      <c r="O2440" t="str">
        <f>"PAGAMENTO DE ENTREGADORES"</f>
        <v>PAGAMENTO DE ENTREGADORES</v>
      </c>
      <c r="P2440">
        <v>1078</v>
      </c>
      <c r="S2440" t="str">
        <f>"BANCO C6 (149)"</f>
        <v>BANCO C6 (149)</v>
      </c>
      <c r="T2440">
        <v>30847</v>
      </c>
      <c r="U2440">
        <v>34163</v>
      </c>
      <c r="V2440" t="s">
        <v>37</v>
      </c>
    </row>
    <row r="2441" spans="1:22">
      <c r="A2441" t="str">
        <f t="shared" si="461"/>
        <v>13/03/2026</v>
      </c>
      <c r="B2441" t="str">
        <f t="shared" si="462"/>
        <v>SAÍDA</v>
      </c>
      <c r="C2441" t="str">
        <f t="shared" si="464"/>
        <v>PIX</v>
      </c>
      <c r="D2441" t="str">
        <f>"34163"</f>
        <v>34163</v>
      </c>
      <c r="E2441" t="str">
        <f t="shared" si="465"/>
        <v>1</v>
      </c>
      <c r="F2441" t="str">
        <f t="shared" si="467"/>
        <v>COM</v>
      </c>
      <c r="G2441" t="str">
        <f>"MATHEUS VIEIRA DA SILVA (886)"</f>
        <v>MATHEUS VIEIRA DA SILVA (886)</v>
      </c>
      <c r="H2441" t="s">
        <v>447</v>
      </c>
      <c r="I2441" t="str">
        <f t="shared" si="463"/>
        <v>13/03/2026</v>
      </c>
      <c r="J2441" t="str">
        <f t="shared" si="466"/>
        <v>03/03/2026</v>
      </c>
      <c r="K2441">
        <v>46094</v>
      </c>
      <c r="N2441">
        <v>109</v>
      </c>
      <c r="O2441" t="s">
        <v>27</v>
      </c>
      <c r="Q2441">
        <v>1078</v>
      </c>
      <c r="R2441" t="str">
        <f>"FARMÁCIA INDIANA LJ 07 (10007)"</f>
        <v>FARMÁCIA INDIANA LJ 07 (10007)</v>
      </c>
      <c r="S2441" t="s">
        <v>37</v>
      </c>
      <c r="T2441">
        <v>30847</v>
      </c>
      <c r="U2441">
        <v>34163</v>
      </c>
      <c r="V2441" t="s">
        <v>37</v>
      </c>
    </row>
    <row r="2442" spans="1:22">
      <c r="A2442" t="str">
        <f t="shared" si="461"/>
        <v>13/03/2026</v>
      </c>
      <c r="B2442" t="str">
        <f t="shared" si="462"/>
        <v>SAÍDA</v>
      </c>
      <c r="C2442" t="str">
        <f t="shared" si="464"/>
        <v>PIX</v>
      </c>
      <c r="D2442" t="str">
        <f>"34164"</f>
        <v>34164</v>
      </c>
      <c r="E2442" t="str">
        <f t="shared" si="465"/>
        <v>1</v>
      </c>
      <c r="F2442" t="str">
        <f t="shared" si="467"/>
        <v>COM</v>
      </c>
      <c r="G2442" t="str">
        <f>"MAURO AUGUSTO MACHADO DE ASSIS (767)"</f>
        <v>MAURO AUGUSTO MACHADO DE ASSIS (767)</v>
      </c>
      <c r="H2442" t="str">
        <f>"Serv.Prest. 23/02/2026 a 01/03/2026 - PIX: CNPJ - CHAVE: 64.142.681/0001-05"</f>
        <v>Serv.Prest. 23/02/2026 a 01/03/2026 - PIX: CNPJ - CHAVE: 64.142.681/0001-05</v>
      </c>
      <c r="I2442" t="str">
        <f t="shared" si="463"/>
        <v>13/03/2026</v>
      </c>
      <c r="J2442" t="str">
        <f t="shared" si="466"/>
        <v>03/03/2026</v>
      </c>
      <c r="K2442" t="str">
        <f>("13/03/2026")</f>
        <v>13/03/2026</v>
      </c>
      <c r="L2442">
        <v>1078</v>
      </c>
      <c r="M2442">
        <v>1078</v>
      </c>
      <c r="N2442">
        <v>109</v>
      </c>
      <c r="O2442" t="str">
        <f>"PAGAMENTO DE ENTREGADORES"</f>
        <v>PAGAMENTO DE ENTREGADORES</v>
      </c>
      <c r="P2442">
        <v>1078</v>
      </c>
      <c r="S2442" t="str">
        <f>"BANCO C6 (149)"</f>
        <v>BANCO C6 (149)</v>
      </c>
      <c r="T2442">
        <v>30848</v>
      </c>
      <c r="U2442">
        <v>34164</v>
      </c>
      <c r="V2442" t="s">
        <v>37</v>
      </c>
    </row>
    <row r="2443" spans="1:22">
      <c r="A2443" t="str">
        <f t="shared" si="461"/>
        <v>13/03/2026</v>
      </c>
      <c r="B2443" t="str">
        <f t="shared" si="462"/>
        <v>SAÍDA</v>
      </c>
      <c r="C2443" t="str">
        <f t="shared" si="464"/>
        <v>PIX</v>
      </c>
      <c r="D2443" t="str">
        <f>"34164"</f>
        <v>34164</v>
      </c>
      <c r="E2443" t="str">
        <f t="shared" si="465"/>
        <v>1</v>
      </c>
      <c r="F2443" t="str">
        <f t="shared" si="467"/>
        <v>COM</v>
      </c>
      <c r="G2443" t="str">
        <f>"MAURO AUGUSTO MACHADO DE ASSIS (767)"</f>
        <v>MAURO AUGUSTO MACHADO DE ASSIS (767)</v>
      </c>
      <c r="H2443" t="s">
        <v>513</v>
      </c>
      <c r="I2443" t="str">
        <f t="shared" si="463"/>
        <v>13/03/2026</v>
      </c>
      <c r="J2443" t="str">
        <f t="shared" si="466"/>
        <v>03/03/2026</v>
      </c>
      <c r="K2443">
        <v>46094</v>
      </c>
      <c r="N2443">
        <v>109</v>
      </c>
      <c r="O2443" t="s">
        <v>27</v>
      </c>
      <c r="Q2443">
        <v>901.32</v>
      </c>
      <c r="R2443" t="str">
        <f>"FARMÁCIA INDIANA LJ 11 (10008)"</f>
        <v>FARMÁCIA INDIANA LJ 11 (10008)</v>
      </c>
      <c r="S2443" t="s">
        <v>37</v>
      </c>
      <c r="T2443">
        <v>30848</v>
      </c>
      <c r="U2443">
        <v>34164</v>
      </c>
      <c r="V2443" t="s">
        <v>37</v>
      </c>
    </row>
    <row r="2444" spans="1:22">
      <c r="A2444" t="str">
        <f t="shared" si="461"/>
        <v>13/03/2026</v>
      </c>
      <c r="B2444" t="str">
        <f t="shared" si="462"/>
        <v>SAÍDA</v>
      </c>
      <c r="C2444" t="str">
        <f t="shared" si="464"/>
        <v>PIX</v>
      </c>
      <c r="D2444" t="str">
        <f>"34164"</f>
        <v>34164</v>
      </c>
      <c r="E2444" t="str">
        <f t="shared" si="465"/>
        <v>1</v>
      </c>
      <c r="F2444" t="str">
        <f t="shared" si="467"/>
        <v>COM</v>
      </c>
      <c r="G2444" t="str">
        <f>"MAURO AUGUSTO MACHADO DE ASSIS (767)"</f>
        <v>MAURO AUGUSTO MACHADO DE ASSIS (767)</v>
      </c>
      <c r="H2444" t="s">
        <v>513</v>
      </c>
      <c r="I2444" t="str">
        <f t="shared" si="463"/>
        <v>13/03/2026</v>
      </c>
      <c r="J2444" t="str">
        <f t="shared" si="466"/>
        <v>03/03/2026</v>
      </c>
      <c r="K2444">
        <v>46094</v>
      </c>
      <c r="N2444">
        <v>109</v>
      </c>
      <c r="O2444" t="s">
        <v>27</v>
      </c>
      <c r="Q2444">
        <v>176.68</v>
      </c>
      <c r="R2444" t="str">
        <f>"FARMÁCIA INDIANA LJ 172 (10161)"</f>
        <v>FARMÁCIA INDIANA LJ 172 (10161)</v>
      </c>
      <c r="S2444" t="s">
        <v>37</v>
      </c>
      <c r="T2444">
        <v>30848</v>
      </c>
      <c r="U2444">
        <v>34164</v>
      </c>
      <c r="V2444" t="s">
        <v>37</v>
      </c>
    </row>
    <row r="2445" spans="1:22">
      <c r="A2445" t="str">
        <f t="shared" si="461"/>
        <v>13/03/2026</v>
      </c>
      <c r="B2445" t="str">
        <f t="shared" si="462"/>
        <v>SAÍDA</v>
      </c>
      <c r="C2445" t="str">
        <f t="shared" si="464"/>
        <v>PIX</v>
      </c>
      <c r="D2445" t="str">
        <f>"34165"</f>
        <v>34165</v>
      </c>
      <c r="E2445" t="str">
        <f t="shared" si="465"/>
        <v>1</v>
      </c>
      <c r="F2445" t="str">
        <f t="shared" si="467"/>
        <v>COM</v>
      </c>
      <c r="G2445" t="str">
        <f>"MAYCON GUILHERME DUARTE (541)"</f>
        <v>MAYCON GUILHERME DUARTE (541)</v>
      </c>
      <c r="H2445" t="str">
        <f>"Serv.Prest. 23/02/2026 a 01/03/2026 - PIX: CELULAR - CHAVE: (31) 99076-6539"</f>
        <v>Serv.Prest. 23/02/2026 a 01/03/2026 - PIX: CELULAR - CHAVE: (31) 99076-6539</v>
      </c>
      <c r="I2445" t="str">
        <f t="shared" si="463"/>
        <v>13/03/2026</v>
      </c>
      <c r="J2445" t="str">
        <f t="shared" si="466"/>
        <v>03/03/2026</v>
      </c>
      <c r="K2445" t="str">
        <f>("13/03/2026")</f>
        <v>13/03/2026</v>
      </c>
      <c r="L2445">
        <v>1482</v>
      </c>
      <c r="M2445">
        <v>1482</v>
      </c>
      <c r="N2445">
        <v>109</v>
      </c>
      <c r="O2445" t="str">
        <f>"PAGAMENTO DE ENTREGADORES"</f>
        <v>PAGAMENTO DE ENTREGADORES</v>
      </c>
      <c r="P2445">
        <v>1482</v>
      </c>
      <c r="S2445" t="str">
        <f>"BANCO C6 (149)"</f>
        <v>BANCO C6 (149)</v>
      </c>
      <c r="T2445">
        <v>30849</v>
      </c>
      <c r="U2445">
        <v>34165</v>
      </c>
      <c r="V2445" t="s">
        <v>37</v>
      </c>
    </row>
    <row r="2446" spans="1:22">
      <c r="A2446" t="str">
        <f t="shared" si="461"/>
        <v>13/03/2026</v>
      </c>
      <c r="B2446" t="str">
        <f t="shared" si="462"/>
        <v>SAÍDA</v>
      </c>
      <c r="C2446" t="str">
        <f t="shared" si="464"/>
        <v>PIX</v>
      </c>
      <c r="D2446" t="str">
        <f>"34165"</f>
        <v>34165</v>
      </c>
      <c r="E2446" t="str">
        <f t="shared" si="465"/>
        <v>1</v>
      </c>
      <c r="F2446" t="str">
        <f t="shared" si="467"/>
        <v>COM</v>
      </c>
      <c r="G2446" t="str">
        <f>"MAYCON GUILHERME DUARTE (541)"</f>
        <v>MAYCON GUILHERME DUARTE (541)</v>
      </c>
      <c r="H2446" t="s">
        <v>755</v>
      </c>
      <c r="I2446" t="str">
        <f t="shared" si="463"/>
        <v>13/03/2026</v>
      </c>
      <c r="J2446" t="str">
        <f t="shared" si="466"/>
        <v>03/03/2026</v>
      </c>
      <c r="K2446">
        <v>46094</v>
      </c>
      <c r="N2446">
        <v>109</v>
      </c>
      <c r="O2446" t="s">
        <v>27</v>
      </c>
      <c r="Q2446">
        <v>1482</v>
      </c>
      <c r="R2446" t="str">
        <f>"FARMÁCIA INDIANA LJ 220 (10092)"</f>
        <v>FARMÁCIA INDIANA LJ 220 (10092)</v>
      </c>
      <c r="S2446" t="s">
        <v>37</v>
      </c>
      <c r="T2446">
        <v>30849</v>
      </c>
      <c r="U2446">
        <v>34165</v>
      </c>
      <c r="V2446" t="s">
        <v>37</v>
      </c>
    </row>
    <row r="2447" spans="1:22">
      <c r="A2447" t="str">
        <f t="shared" ref="A2447:A2510" si="468">("13/03/2026")</f>
        <v>13/03/2026</v>
      </c>
      <c r="B2447" t="str">
        <f t="shared" si="462"/>
        <v>SAÍDA</v>
      </c>
      <c r="C2447" t="str">
        <f t="shared" si="464"/>
        <v>PIX</v>
      </c>
      <c r="D2447" t="str">
        <f>"34166"</f>
        <v>34166</v>
      </c>
      <c r="E2447" t="str">
        <f t="shared" si="465"/>
        <v>1</v>
      </c>
      <c r="F2447" t="str">
        <f t="shared" si="467"/>
        <v>COM</v>
      </c>
      <c r="G2447" t="str">
        <f>"MIGUEL PESSOA RAMOS (68)"</f>
        <v>MIGUEL PESSOA RAMOS (68)</v>
      </c>
      <c r="H2447" t="str">
        <f>"Serv.Prest. 23/02/2026 a 01/03/2026 - PIX: CELULAR - CHAVE: (33) 99845-0493"</f>
        <v>Serv.Prest. 23/02/2026 a 01/03/2026 - PIX: CELULAR - CHAVE: (33) 99845-0493</v>
      </c>
      <c r="I2447" t="str">
        <f t="shared" si="463"/>
        <v>13/03/2026</v>
      </c>
      <c r="J2447" t="str">
        <f t="shared" si="466"/>
        <v>03/03/2026</v>
      </c>
      <c r="K2447" t="str">
        <f>("13/03/2026")</f>
        <v>13/03/2026</v>
      </c>
      <c r="L2447">
        <v>684</v>
      </c>
      <c r="M2447">
        <v>684</v>
      </c>
      <c r="N2447">
        <v>109</v>
      </c>
      <c r="O2447" t="str">
        <f>"PAGAMENTO DE ENTREGADORES"</f>
        <v>PAGAMENTO DE ENTREGADORES</v>
      </c>
      <c r="P2447">
        <v>684</v>
      </c>
      <c r="S2447" t="str">
        <f>"BANCO C6 (149)"</f>
        <v>BANCO C6 (149)</v>
      </c>
      <c r="T2447">
        <v>30850</v>
      </c>
      <c r="U2447">
        <v>34166</v>
      </c>
      <c r="V2447" t="s">
        <v>37</v>
      </c>
    </row>
    <row r="2448" spans="1:22">
      <c r="A2448" t="str">
        <f t="shared" si="468"/>
        <v>13/03/2026</v>
      </c>
      <c r="B2448" t="str">
        <f t="shared" si="462"/>
        <v>SAÍDA</v>
      </c>
      <c r="C2448" t="str">
        <f t="shared" si="464"/>
        <v>PIX</v>
      </c>
      <c r="D2448" t="str">
        <f>"34166"</f>
        <v>34166</v>
      </c>
      <c r="E2448" t="str">
        <f t="shared" si="465"/>
        <v>1</v>
      </c>
      <c r="F2448" t="str">
        <f t="shared" si="467"/>
        <v>COM</v>
      </c>
      <c r="G2448" t="str">
        <f>"MIGUEL PESSOA RAMOS (68)"</f>
        <v>MIGUEL PESSOA RAMOS (68)</v>
      </c>
      <c r="H2448" t="s">
        <v>756</v>
      </c>
      <c r="I2448" t="str">
        <f t="shared" si="463"/>
        <v>13/03/2026</v>
      </c>
      <c r="J2448" t="str">
        <f t="shared" si="466"/>
        <v>03/03/2026</v>
      </c>
      <c r="K2448">
        <v>46094</v>
      </c>
      <c r="N2448">
        <v>109</v>
      </c>
      <c r="O2448" t="s">
        <v>27</v>
      </c>
      <c r="Q2448">
        <v>684</v>
      </c>
      <c r="R2448" t="str">
        <f>"FARMÁCIA INDIANA LJ 07 (10007)"</f>
        <v>FARMÁCIA INDIANA LJ 07 (10007)</v>
      </c>
      <c r="S2448" t="s">
        <v>37</v>
      </c>
      <c r="T2448">
        <v>30850</v>
      </c>
      <c r="U2448">
        <v>34166</v>
      </c>
      <c r="V2448" t="s">
        <v>37</v>
      </c>
    </row>
    <row r="2449" spans="1:22">
      <c r="A2449" t="str">
        <f t="shared" si="468"/>
        <v>13/03/2026</v>
      </c>
      <c r="B2449" t="str">
        <f t="shared" si="462"/>
        <v>SAÍDA</v>
      </c>
      <c r="C2449" t="str">
        <f t="shared" si="464"/>
        <v>PIX</v>
      </c>
      <c r="D2449" t="str">
        <f>"34167"</f>
        <v>34167</v>
      </c>
      <c r="E2449" t="str">
        <f t="shared" si="465"/>
        <v>1</v>
      </c>
      <c r="F2449" t="str">
        <f t="shared" si="467"/>
        <v>COM</v>
      </c>
      <c r="G2449" t="str">
        <f>"MURILO BARRETO AFONSO (30)"</f>
        <v>MURILO BARRETO AFONSO (30)</v>
      </c>
      <c r="H2449" t="str">
        <f>"Serv.Prest. 23/02/2026 a 01/03/2026 - PIX: CPF - CHAVE: 123.020.026-60"</f>
        <v>Serv.Prest. 23/02/2026 a 01/03/2026 - PIX: CPF - CHAVE: 123.020.026-60</v>
      </c>
      <c r="I2449" t="str">
        <f t="shared" si="463"/>
        <v>13/03/2026</v>
      </c>
      <c r="J2449" t="str">
        <f t="shared" si="466"/>
        <v>03/03/2026</v>
      </c>
      <c r="K2449" t="str">
        <f>("13/03/2026")</f>
        <v>13/03/2026</v>
      </c>
      <c r="L2449">
        <v>1200</v>
      </c>
      <c r="M2449">
        <v>1200</v>
      </c>
      <c r="N2449">
        <v>109</v>
      </c>
      <c r="O2449" t="str">
        <f>"PAGAMENTO DE ENTREGADORES"</f>
        <v>PAGAMENTO DE ENTREGADORES</v>
      </c>
      <c r="P2449">
        <v>1200</v>
      </c>
      <c r="S2449" t="str">
        <f>"BANCO C6 (149)"</f>
        <v>BANCO C6 (149)</v>
      </c>
      <c r="T2449">
        <v>30851</v>
      </c>
      <c r="U2449">
        <v>34167</v>
      </c>
      <c r="V2449" t="s">
        <v>37</v>
      </c>
    </row>
    <row r="2450" spans="1:22">
      <c r="A2450" t="str">
        <f t="shared" si="468"/>
        <v>13/03/2026</v>
      </c>
      <c r="B2450" t="str">
        <f t="shared" si="462"/>
        <v>SAÍDA</v>
      </c>
      <c r="C2450" t="str">
        <f t="shared" si="464"/>
        <v>PIX</v>
      </c>
      <c r="D2450" t="str">
        <f>"34167"</f>
        <v>34167</v>
      </c>
      <c r="E2450" t="str">
        <f t="shared" si="465"/>
        <v>1</v>
      </c>
      <c r="F2450" t="str">
        <f t="shared" si="467"/>
        <v>COM</v>
      </c>
      <c r="G2450" t="str">
        <f>"MURILO BARRETO AFONSO (30)"</f>
        <v>MURILO BARRETO AFONSO (30)</v>
      </c>
      <c r="H2450" t="s">
        <v>757</v>
      </c>
      <c r="I2450" t="str">
        <f t="shared" si="463"/>
        <v>13/03/2026</v>
      </c>
      <c r="J2450" t="str">
        <f t="shared" si="466"/>
        <v>03/03/2026</v>
      </c>
      <c r="K2450">
        <v>46094</v>
      </c>
      <c r="N2450">
        <v>109</v>
      </c>
      <c r="O2450" t="s">
        <v>27</v>
      </c>
      <c r="Q2450">
        <v>805.32</v>
      </c>
      <c r="R2450" t="str">
        <f>"FARMÁCIA INDIANA LJ 118 (10052)"</f>
        <v>FARMÁCIA INDIANA LJ 118 (10052)</v>
      </c>
      <c r="S2450" t="s">
        <v>37</v>
      </c>
      <c r="T2450">
        <v>30851</v>
      </c>
      <c r="U2450">
        <v>34167</v>
      </c>
      <c r="V2450" t="s">
        <v>37</v>
      </c>
    </row>
    <row r="2451" spans="1:22">
      <c r="A2451" t="str">
        <f t="shared" si="468"/>
        <v>13/03/2026</v>
      </c>
      <c r="B2451" t="str">
        <f t="shared" si="462"/>
        <v>SAÍDA</v>
      </c>
      <c r="C2451" t="str">
        <f t="shared" si="464"/>
        <v>PIX</v>
      </c>
      <c r="D2451" t="str">
        <f>"34167"</f>
        <v>34167</v>
      </c>
      <c r="E2451" t="str">
        <f t="shared" si="465"/>
        <v>1</v>
      </c>
      <c r="F2451" t="str">
        <f t="shared" si="467"/>
        <v>COM</v>
      </c>
      <c r="G2451" t="str">
        <f>"MURILO BARRETO AFONSO (30)"</f>
        <v>MURILO BARRETO AFONSO (30)</v>
      </c>
      <c r="H2451" t="s">
        <v>757</v>
      </c>
      <c r="I2451" t="str">
        <f t="shared" si="463"/>
        <v>13/03/2026</v>
      </c>
      <c r="J2451" t="str">
        <f t="shared" si="466"/>
        <v>03/03/2026</v>
      </c>
      <c r="K2451">
        <v>46094</v>
      </c>
      <c r="N2451">
        <v>109</v>
      </c>
      <c r="O2451" t="s">
        <v>27</v>
      </c>
      <c r="Q2451">
        <v>394.68</v>
      </c>
      <c r="R2451" t="str">
        <f>"FARMÁCIA INDIANA LJ 192 (10082)"</f>
        <v>FARMÁCIA INDIANA LJ 192 (10082)</v>
      </c>
      <c r="S2451" t="s">
        <v>37</v>
      </c>
      <c r="T2451">
        <v>30851</v>
      </c>
      <c r="U2451">
        <v>34167</v>
      </c>
      <c r="V2451" t="s">
        <v>37</v>
      </c>
    </row>
    <row r="2452" spans="1:22">
      <c r="A2452" t="str">
        <f t="shared" si="468"/>
        <v>13/03/2026</v>
      </c>
      <c r="B2452" t="str">
        <f t="shared" si="462"/>
        <v>SAÍDA</v>
      </c>
      <c r="C2452" t="str">
        <f t="shared" si="464"/>
        <v>PIX</v>
      </c>
      <c r="D2452" t="str">
        <f>"34168"</f>
        <v>34168</v>
      </c>
      <c r="E2452" t="str">
        <f t="shared" si="465"/>
        <v>1</v>
      </c>
      <c r="F2452" t="str">
        <f t="shared" si="467"/>
        <v>COM</v>
      </c>
      <c r="G2452" t="str">
        <f>"NELSON DOS SANTOS RODRIGUES (37)"</f>
        <v>NELSON DOS SANTOS RODRIGUES (37)</v>
      </c>
      <c r="H2452" t="str">
        <f>"Serv.Prest. 23/02/2026 a 01/03/2026 - PIX: CPF - CHAVE: 108.680.396-59"</f>
        <v>Serv.Prest. 23/02/2026 a 01/03/2026 - PIX: CPF - CHAVE: 108.680.396-59</v>
      </c>
      <c r="I2452" t="str">
        <f t="shared" si="463"/>
        <v>13/03/2026</v>
      </c>
      <c r="J2452" t="str">
        <f t="shared" si="466"/>
        <v>03/03/2026</v>
      </c>
      <c r="K2452" t="str">
        <f>("13/03/2026")</f>
        <v>13/03/2026</v>
      </c>
      <c r="L2452">
        <v>1764</v>
      </c>
      <c r="M2452">
        <v>1764</v>
      </c>
      <c r="N2452">
        <v>109</v>
      </c>
      <c r="O2452" t="str">
        <f>"PAGAMENTO DE ENTREGADORES"</f>
        <v>PAGAMENTO DE ENTREGADORES</v>
      </c>
      <c r="P2452">
        <v>1764</v>
      </c>
      <c r="S2452" t="str">
        <f>"BANCO C6 (149)"</f>
        <v>BANCO C6 (149)</v>
      </c>
      <c r="T2452">
        <v>30852</v>
      </c>
      <c r="U2452">
        <v>34168</v>
      </c>
      <c r="V2452" t="s">
        <v>37</v>
      </c>
    </row>
    <row r="2453" spans="1:22">
      <c r="A2453" t="str">
        <f t="shared" si="468"/>
        <v>13/03/2026</v>
      </c>
      <c r="B2453" t="str">
        <f t="shared" si="462"/>
        <v>SAÍDA</v>
      </c>
      <c r="C2453" t="str">
        <f t="shared" si="464"/>
        <v>PIX</v>
      </c>
      <c r="D2453" t="str">
        <f>"34168"</f>
        <v>34168</v>
      </c>
      <c r="E2453" t="str">
        <f t="shared" si="465"/>
        <v>1</v>
      </c>
      <c r="F2453" t="str">
        <f t="shared" si="467"/>
        <v>COM</v>
      </c>
      <c r="G2453" t="str">
        <f>"NELSON DOS SANTOS RODRIGUES (37)"</f>
        <v>NELSON DOS SANTOS RODRIGUES (37)</v>
      </c>
      <c r="H2453" t="s">
        <v>758</v>
      </c>
      <c r="I2453" t="str">
        <f t="shared" si="463"/>
        <v>13/03/2026</v>
      </c>
      <c r="J2453" t="str">
        <f t="shared" si="466"/>
        <v>03/03/2026</v>
      </c>
      <c r="K2453">
        <v>46094</v>
      </c>
      <c r="N2453">
        <v>109</v>
      </c>
      <c r="O2453" t="s">
        <v>27</v>
      </c>
      <c r="Q2453">
        <v>1764</v>
      </c>
      <c r="R2453" t="str">
        <f>"FARMÁCIA INDIANA LJ 11 (10008)"</f>
        <v>FARMÁCIA INDIANA LJ 11 (10008)</v>
      </c>
      <c r="S2453" t="s">
        <v>37</v>
      </c>
      <c r="T2453">
        <v>30852</v>
      </c>
      <c r="U2453">
        <v>34168</v>
      </c>
      <c r="V2453" t="s">
        <v>37</v>
      </c>
    </row>
    <row r="2454" spans="1:22">
      <c r="A2454" t="str">
        <f t="shared" si="468"/>
        <v>13/03/2026</v>
      </c>
      <c r="B2454" t="str">
        <f t="shared" si="462"/>
        <v>SAÍDA</v>
      </c>
      <c r="C2454" t="str">
        <f t="shared" si="464"/>
        <v>PIX</v>
      </c>
      <c r="D2454" t="str">
        <f>"34169"</f>
        <v>34169</v>
      </c>
      <c r="E2454" t="str">
        <f t="shared" si="465"/>
        <v>1</v>
      </c>
      <c r="F2454" t="str">
        <f t="shared" si="467"/>
        <v>COM</v>
      </c>
      <c r="G2454" t="str">
        <f>"NILTON RODRIGUES DE SOUZA (136)"</f>
        <v>NILTON RODRIGUES DE SOUZA (136)</v>
      </c>
      <c r="H2454" t="str">
        <f>"Serv.Prest. 23/02/2026 a 01/03/2026 - PIX: CPF - CHAVE: 037.974.316-78"</f>
        <v>Serv.Prest. 23/02/2026 a 01/03/2026 - PIX: CPF - CHAVE: 037.974.316-78</v>
      </c>
      <c r="I2454" t="str">
        <f t="shared" si="463"/>
        <v>13/03/2026</v>
      </c>
      <c r="J2454" t="str">
        <f t="shared" si="466"/>
        <v>03/03/2026</v>
      </c>
      <c r="K2454" t="str">
        <f>("13/03/2026")</f>
        <v>13/03/2026</v>
      </c>
      <c r="L2454">
        <v>1110</v>
      </c>
      <c r="M2454">
        <v>1110</v>
      </c>
      <c r="N2454">
        <v>109</v>
      </c>
      <c r="O2454" t="str">
        <f>"PAGAMENTO DE ENTREGADORES"</f>
        <v>PAGAMENTO DE ENTREGADORES</v>
      </c>
      <c r="P2454">
        <v>1110</v>
      </c>
      <c r="S2454" t="str">
        <f>"BANCO C6 (149)"</f>
        <v>BANCO C6 (149)</v>
      </c>
      <c r="T2454">
        <v>30853</v>
      </c>
      <c r="U2454">
        <v>34169</v>
      </c>
      <c r="V2454" t="s">
        <v>37</v>
      </c>
    </row>
    <row r="2455" spans="1:22">
      <c r="A2455" t="str">
        <f t="shared" si="468"/>
        <v>13/03/2026</v>
      </c>
      <c r="B2455" t="str">
        <f t="shared" si="462"/>
        <v>SAÍDA</v>
      </c>
      <c r="C2455" t="str">
        <f t="shared" si="464"/>
        <v>PIX</v>
      </c>
      <c r="D2455" t="str">
        <f>"34169"</f>
        <v>34169</v>
      </c>
      <c r="E2455" t="str">
        <f t="shared" si="465"/>
        <v>1</v>
      </c>
      <c r="F2455" t="str">
        <f t="shared" si="467"/>
        <v>COM</v>
      </c>
      <c r="G2455" t="str">
        <f>"NILTON RODRIGUES DE SOUZA (136)"</f>
        <v>NILTON RODRIGUES DE SOUZA (136)</v>
      </c>
      <c r="H2455" t="s">
        <v>759</v>
      </c>
      <c r="I2455" t="str">
        <f t="shared" si="463"/>
        <v>13/03/2026</v>
      </c>
      <c r="J2455" t="str">
        <f t="shared" si="466"/>
        <v>03/03/2026</v>
      </c>
      <c r="K2455">
        <v>46094</v>
      </c>
      <c r="N2455">
        <v>109</v>
      </c>
      <c r="O2455" t="s">
        <v>27</v>
      </c>
      <c r="Q2455">
        <v>821.95</v>
      </c>
      <c r="R2455" t="str">
        <f>"FARMÁCIA INDIANA LJ 18 (10011)"</f>
        <v>FARMÁCIA INDIANA LJ 18 (10011)</v>
      </c>
      <c r="S2455" t="s">
        <v>37</v>
      </c>
      <c r="T2455">
        <v>30853</v>
      </c>
      <c r="U2455">
        <v>34169</v>
      </c>
      <c r="V2455" t="s">
        <v>37</v>
      </c>
    </row>
    <row r="2456" spans="1:22">
      <c r="A2456" t="str">
        <f t="shared" si="468"/>
        <v>13/03/2026</v>
      </c>
      <c r="B2456" t="str">
        <f t="shared" si="462"/>
        <v>SAÍDA</v>
      </c>
      <c r="C2456" t="str">
        <f t="shared" si="464"/>
        <v>PIX</v>
      </c>
      <c r="D2456" t="str">
        <f>"34169"</f>
        <v>34169</v>
      </c>
      <c r="E2456" t="str">
        <f t="shared" si="465"/>
        <v>1</v>
      </c>
      <c r="F2456" t="str">
        <f t="shared" si="467"/>
        <v>COM</v>
      </c>
      <c r="G2456" t="str">
        <f>"NILTON RODRIGUES DE SOUZA (136)"</f>
        <v>NILTON RODRIGUES DE SOUZA (136)</v>
      </c>
      <c r="H2456" t="s">
        <v>759</v>
      </c>
      <c r="I2456" t="str">
        <f t="shared" si="463"/>
        <v>13/03/2026</v>
      </c>
      <c r="J2456" t="str">
        <f t="shared" si="466"/>
        <v>03/03/2026</v>
      </c>
      <c r="K2456">
        <v>46094</v>
      </c>
      <c r="N2456">
        <v>109</v>
      </c>
      <c r="O2456" t="s">
        <v>27</v>
      </c>
      <c r="Q2456">
        <v>288.05</v>
      </c>
      <c r="R2456" t="str">
        <f>"FARMÁCIA INDIANA LJ 19 (10012)"</f>
        <v>FARMÁCIA INDIANA LJ 19 (10012)</v>
      </c>
      <c r="S2456" t="s">
        <v>37</v>
      </c>
      <c r="T2456">
        <v>30853</v>
      </c>
      <c r="U2456">
        <v>34169</v>
      </c>
      <c r="V2456" t="s">
        <v>37</v>
      </c>
    </row>
    <row r="2457" spans="1:22">
      <c r="A2457" t="str">
        <f t="shared" si="468"/>
        <v>13/03/2026</v>
      </c>
      <c r="B2457" t="str">
        <f t="shared" si="462"/>
        <v>SAÍDA</v>
      </c>
      <c r="C2457" t="str">
        <f t="shared" si="464"/>
        <v>PIX</v>
      </c>
      <c r="D2457" t="str">
        <f>"34170"</f>
        <v>34170</v>
      </c>
      <c r="E2457" t="str">
        <f t="shared" si="465"/>
        <v>1</v>
      </c>
      <c r="F2457" t="str">
        <f t="shared" si="467"/>
        <v>COM</v>
      </c>
      <c r="G2457" t="str">
        <f>"PATRICK DE SOUZA CORREA (92)"</f>
        <v>PATRICK DE SOUZA CORREA (92)</v>
      </c>
      <c r="H2457" t="str">
        <f>"Serv.Prest. 23/02/2026 a 01/03/2026 - PIX: CELULAR - CHAVE: (31) 99216-8711"</f>
        <v>Serv.Prest. 23/02/2026 a 01/03/2026 - PIX: CELULAR - CHAVE: (31) 99216-8711</v>
      </c>
      <c r="I2457" t="str">
        <f t="shared" si="463"/>
        <v>13/03/2026</v>
      </c>
      <c r="J2457" t="str">
        <f t="shared" si="466"/>
        <v>03/03/2026</v>
      </c>
      <c r="K2457" t="str">
        <f>("13/03/2026")</f>
        <v>13/03/2026</v>
      </c>
      <c r="L2457">
        <v>600</v>
      </c>
      <c r="M2457">
        <v>600</v>
      </c>
      <c r="N2457">
        <v>109</v>
      </c>
      <c r="O2457" t="str">
        <f>"PAGAMENTO DE ENTREGADORES"</f>
        <v>PAGAMENTO DE ENTREGADORES</v>
      </c>
      <c r="P2457">
        <v>600</v>
      </c>
      <c r="S2457" t="str">
        <f>"BANCO C6 (149)"</f>
        <v>BANCO C6 (149)</v>
      </c>
      <c r="T2457">
        <v>30854</v>
      </c>
      <c r="U2457">
        <v>34170</v>
      </c>
      <c r="V2457" t="s">
        <v>37</v>
      </c>
    </row>
    <row r="2458" spans="1:22">
      <c r="A2458" t="str">
        <f t="shared" si="468"/>
        <v>13/03/2026</v>
      </c>
      <c r="B2458" t="str">
        <f t="shared" si="462"/>
        <v>SAÍDA</v>
      </c>
      <c r="C2458" t="str">
        <f t="shared" si="464"/>
        <v>PIX</v>
      </c>
      <c r="D2458" t="str">
        <f>"34170"</f>
        <v>34170</v>
      </c>
      <c r="E2458" t="str">
        <f t="shared" si="465"/>
        <v>1</v>
      </c>
      <c r="F2458" t="str">
        <f t="shared" si="467"/>
        <v>COM</v>
      </c>
      <c r="G2458" t="str">
        <f>"PATRICK DE SOUZA CORREA (92)"</f>
        <v>PATRICK DE SOUZA CORREA (92)</v>
      </c>
      <c r="H2458" t="s">
        <v>760</v>
      </c>
      <c r="I2458" t="str">
        <f t="shared" si="463"/>
        <v>13/03/2026</v>
      </c>
      <c r="J2458" t="str">
        <f t="shared" si="466"/>
        <v>03/03/2026</v>
      </c>
      <c r="K2458">
        <v>46094</v>
      </c>
      <c r="N2458">
        <v>109</v>
      </c>
      <c r="O2458" t="s">
        <v>27</v>
      </c>
      <c r="Q2458">
        <v>471.42</v>
      </c>
      <c r="R2458" t="str">
        <f>"FARMÁCIA INDIANA LJ 184 (10080)"</f>
        <v>FARMÁCIA INDIANA LJ 184 (10080)</v>
      </c>
      <c r="S2458" t="s">
        <v>37</v>
      </c>
      <c r="T2458">
        <v>30854</v>
      </c>
      <c r="U2458">
        <v>34170</v>
      </c>
      <c r="V2458" t="s">
        <v>37</v>
      </c>
    </row>
    <row r="2459" spans="1:22">
      <c r="A2459" t="str">
        <f t="shared" si="468"/>
        <v>13/03/2026</v>
      </c>
      <c r="B2459" t="str">
        <f t="shared" si="462"/>
        <v>SAÍDA</v>
      </c>
      <c r="C2459" t="str">
        <f t="shared" si="464"/>
        <v>PIX</v>
      </c>
      <c r="D2459" t="str">
        <f>"34170"</f>
        <v>34170</v>
      </c>
      <c r="E2459" t="str">
        <f t="shared" si="465"/>
        <v>1</v>
      </c>
      <c r="F2459" t="str">
        <f t="shared" si="467"/>
        <v>COM</v>
      </c>
      <c r="G2459" t="str">
        <f>"PATRICK DE SOUZA CORREA (92)"</f>
        <v>PATRICK DE SOUZA CORREA (92)</v>
      </c>
      <c r="H2459" t="s">
        <v>760</v>
      </c>
      <c r="I2459" t="str">
        <f t="shared" si="463"/>
        <v>13/03/2026</v>
      </c>
      <c r="J2459" t="str">
        <f t="shared" si="466"/>
        <v>03/03/2026</v>
      </c>
      <c r="K2459">
        <v>46094</v>
      </c>
      <c r="N2459">
        <v>109</v>
      </c>
      <c r="O2459" t="s">
        <v>27</v>
      </c>
      <c r="Q2459">
        <v>128.58000000000001</v>
      </c>
      <c r="R2459" t="str">
        <f>"FARMÁCIA INDIANA LJ 195 (10083)"</f>
        <v>FARMÁCIA INDIANA LJ 195 (10083)</v>
      </c>
      <c r="S2459" t="s">
        <v>37</v>
      </c>
      <c r="T2459">
        <v>30854</v>
      </c>
      <c r="U2459">
        <v>34170</v>
      </c>
      <c r="V2459" t="s">
        <v>37</v>
      </c>
    </row>
    <row r="2460" spans="1:22">
      <c r="A2460" t="str">
        <f t="shared" si="468"/>
        <v>13/03/2026</v>
      </c>
      <c r="B2460" t="str">
        <f t="shared" si="462"/>
        <v>SAÍDA</v>
      </c>
      <c r="C2460" t="str">
        <f t="shared" si="464"/>
        <v>PIX</v>
      </c>
      <c r="D2460" t="str">
        <f>"34171"</f>
        <v>34171</v>
      </c>
      <c r="E2460" t="str">
        <f t="shared" si="465"/>
        <v>1</v>
      </c>
      <c r="F2460" t="str">
        <f t="shared" si="467"/>
        <v>COM</v>
      </c>
      <c r="G2460" t="str">
        <f>"PAULO HENRIQUE OLIVEIRA SILVA (39)"</f>
        <v>PAULO HENRIQUE OLIVEIRA SILVA (39)</v>
      </c>
      <c r="H2460" t="str">
        <f>"Serv.Prest. 23/02/2026 a 01/03/2026 - PIX: CELULAR - CHAVE: (31) 97339-3761"</f>
        <v>Serv.Prest. 23/02/2026 a 01/03/2026 - PIX: CELULAR - CHAVE: (31) 97339-3761</v>
      </c>
      <c r="I2460" t="str">
        <f t="shared" si="463"/>
        <v>13/03/2026</v>
      </c>
      <c r="J2460" t="str">
        <f t="shared" si="466"/>
        <v>03/03/2026</v>
      </c>
      <c r="K2460" t="str">
        <f>("13/03/2026")</f>
        <v>13/03/2026</v>
      </c>
      <c r="L2460">
        <v>1458</v>
      </c>
      <c r="M2460">
        <v>1458</v>
      </c>
      <c r="N2460">
        <v>109</v>
      </c>
      <c r="O2460" t="str">
        <f>"PAGAMENTO DE ENTREGADORES"</f>
        <v>PAGAMENTO DE ENTREGADORES</v>
      </c>
      <c r="P2460">
        <v>1458</v>
      </c>
      <c r="S2460" t="str">
        <f>"BANCO C6 (149)"</f>
        <v>BANCO C6 (149)</v>
      </c>
      <c r="T2460">
        <v>30855</v>
      </c>
      <c r="U2460">
        <v>34171</v>
      </c>
      <c r="V2460" t="s">
        <v>37</v>
      </c>
    </row>
    <row r="2461" spans="1:22">
      <c r="A2461" t="str">
        <f t="shared" si="468"/>
        <v>13/03/2026</v>
      </c>
      <c r="B2461" t="str">
        <f t="shared" si="462"/>
        <v>SAÍDA</v>
      </c>
      <c r="C2461" t="str">
        <f t="shared" si="464"/>
        <v>PIX</v>
      </c>
      <c r="D2461" t="str">
        <f>"34171"</f>
        <v>34171</v>
      </c>
      <c r="E2461" t="str">
        <f t="shared" si="465"/>
        <v>1</v>
      </c>
      <c r="F2461" t="str">
        <f t="shared" si="467"/>
        <v>COM</v>
      </c>
      <c r="G2461" t="str">
        <f>"PAULO HENRIQUE OLIVEIRA SILVA (39)"</f>
        <v>PAULO HENRIQUE OLIVEIRA SILVA (39)</v>
      </c>
      <c r="H2461" t="s">
        <v>761</v>
      </c>
      <c r="I2461" t="str">
        <f t="shared" si="463"/>
        <v>13/03/2026</v>
      </c>
      <c r="J2461" t="str">
        <f t="shared" si="466"/>
        <v>03/03/2026</v>
      </c>
      <c r="K2461">
        <v>46094</v>
      </c>
      <c r="N2461">
        <v>109</v>
      </c>
      <c r="O2461" t="s">
        <v>27</v>
      </c>
      <c r="Q2461">
        <v>1458</v>
      </c>
      <c r="R2461" t="str">
        <f>"FARMÁCIA INDIANA LJ 11 (10008)"</f>
        <v>FARMÁCIA INDIANA LJ 11 (10008)</v>
      </c>
      <c r="S2461" t="s">
        <v>37</v>
      </c>
      <c r="T2461">
        <v>30855</v>
      </c>
      <c r="U2461">
        <v>34171</v>
      </c>
      <c r="V2461" t="s">
        <v>37</v>
      </c>
    </row>
    <row r="2462" spans="1:22">
      <c r="A2462" t="str">
        <f t="shared" si="468"/>
        <v>13/03/2026</v>
      </c>
      <c r="B2462" t="str">
        <f t="shared" si="462"/>
        <v>SAÍDA</v>
      </c>
      <c r="C2462" t="str">
        <f t="shared" si="464"/>
        <v>PIX</v>
      </c>
      <c r="D2462" t="str">
        <f>"34172"</f>
        <v>34172</v>
      </c>
      <c r="E2462" t="str">
        <f t="shared" si="465"/>
        <v>1</v>
      </c>
      <c r="F2462" t="str">
        <f t="shared" si="467"/>
        <v>COM</v>
      </c>
      <c r="G2462" t="str">
        <f>"PHABLO HEINRICK VALADARES FERREIRA (989)"</f>
        <v>PHABLO HEINRICK VALADARES FERREIRA (989)</v>
      </c>
      <c r="H2462" t="str">
        <f>"Serv.Prest. 23/02/2026 a 01/03/2026 - PIX: CPF - CHAVE: 135.640.066-30"</f>
        <v>Serv.Prest. 23/02/2026 a 01/03/2026 - PIX: CPF - CHAVE: 135.640.066-30</v>
      </c>
      <c r="I2462" t="str">
        <f t="shared" si="463"/>
        <v>13/03/2026</v>
      </c>
      <c r="J2462" t="str">
        <f t="shared" si="466"/>
        <v>03/03/2026</v>
      </c>
      <c r="K2462" t="str">
        <f>("13/03/2026")</f>
        <v>13/03/2026</v>
      </c>
      <c r="L2462">
        <v>1086</v>
      </c>
      <c r="M2462">
        <v>1086</v>
      </c>
      <c r="N2462">
        <v>109</v>
      </c>
      <c r="O2462" t="str">
        <f>"PAGAMENTO DE ENTREGADORES"</f>
        <v>PAGAMENTO DE ENTREGADORES</v>
      </c>
      <c r="P2462">
        <v>1086</v>
      </c>
      <c r="S2462" t="str">
        <f>"BANCO C6 (149)"</f>
        <v>BANCO C6 (149)</v>
      </c>
      <c r="T2462">
        <v>30856</v>
      </c>
      <c r="U2462">
        <v>34172</v>
      </c>
      <c r="V2462" t="s">
        <v>37</v>
      </c>
    </row>
    <row r="2463" spans="1:22">
      <c r="A2463" t="str">
        <f t="shared" si="468"/>
        <v>13/03/2026</v>
      </c>
      <c r="B2463" t="str">
        <f t="shared" si="462"/>
        <v>SAÍDA</v>
      </c>
      <c r="C2463" t="str">
        <f t="shared" si="464"/>
        <v>PIX</v>
      </c>
      <c r="D2463" t="str">
        <f>"34172"</f>
        <v>34172</v>
      </c>
      <c r="E2463" t="str">
        <f t="shared" si="465"/>
        <v>1</v>
      </c>
      <c r="F2463" t="str">
        <f t="shared" si="467"/>
        <v>COM</v>
      </c>
      <c r="G2463" t="str">
        <f>"PHABLO HEINRICK VALADARES FERREIRA (989)"</f>
        <v>PHABLO HEINRICK VALADARES FERREIRA (989)</v>
      </c>
      <c r="H2463" t="s">
        <v>762</v>
      </c>
      <c r="I2463" t="str">
        <f t="shared" si="463"/>
        <v>13/03/2026</v>
      </c>
      <c r="J2463" t="str">
        <f t="shared" si="466"/>
        <v>03/03/2026</v>
      </c>
      <c r="K2463">
        <v>46094</v>
      </c>
      <c r="N2463">
        <v>109</v>
      </c>
      <c r="O2463" t="s">
        <v>27</v>
      </c>
      <c r="Q2463">
        <v>1086</v>
      </c>
      <c r="R2463" t="str">
        <f>"FARMÁCIA INDIANA LJ 101 (10043)"</f>
        <v>FARMÁCIA INDIANA LJ 101 (10043)</v>
      </c>
      <c r="S2463" t="s">
        <v>37</v>
      </c>
      <c r="T2463">
        <v>30856</v>
      </c>
      <c r="U2463">
        <v>34172</v>
      </c>
      <c r="V2463" t="s">
        <v>37</v>
      </c>
    </row>
    <row r="2464" spans="1:22">
      <c r="A2464" t="str">
        <f t="shared" si="468"/>
        <v>13/03/2026</v>
      </c>
      <c r="B2464" t="str">
        <f t="shared" si="462"/>
        <v>SAÍDA</v>
      </c>
      <c r="C2464" t="str">
        <f t="shared" si="464"/>
        <v>PIX</v>
      </c>
      <c r="D2464" t="str">
        <f>"34173"</f>
        <v>34173</v>
      </c>
      <c r="E2464" t="str">
        <f t="shared" si="465"/>
        <v>1</v>
      </c>
      <c r="F2464" t="str">
        <f t="shared" si="467"/>
        <v>COM</v>
      </c>
      <c r="G2464" t="str">
        <f>"RAFAEL MONTEIRO DE CASTRO VITRAL (1038)"</f>
        <v>RAFAEL MONTEIRO DE CASTRO VITRAL (1038)</v>
      </c>
      <c r="H2464" t="str">
        <f>"Serv.Prest. 23/02/2026 a 01/03/2026 - PIX: CELULAR - CHAVE: (24) 99846-2202"</f>
        <v>Serv.Prest. 23/02/2026 a 01/03/2026 - PIX: CELULAR - CHAVE: (24) 99846-2202</v>
      </c>
      <c r="I2464" t="str">
        <f t="shared" si="463"/>
        <v>13/03/2026</v>
      </c>
      <c r="J2464" t="str">
        <f t="shared" si="466"/>
        <v>03/03/2026</v>
      </c>
      <c r="K2464" t="str">
        <f>("13/03/2026")</f>
        <v>13/03/2026</v>
      </c>
      <c r="L2464">
        <v>680</v>
      </c>
      <c r="M2464">
        <v>680</v>
      </c>
      <c r="N2464">
        <v>109</v>
      </c>
      <c r="O2464" t="str">
        <f>"PAGAMENTO DE ENTREGADORES"</f>
        <v>PAGAMENTO DE ENTREGADORES</v>
      </c>
      <c r="P2464">
        <v>680</v>
      </c>
      <c r="S2464" t="str">
        <f>"BANCO C6 (149)"</f>
        <v>BANCO C6 (149)</v>
      </c>
      <c r="T2464">
        <v>30857</v>
      </c>
      <c r="U2464">
        <v>34173</v>
      </c>
      <c r="V2464" t="s">
        <v>37</v>
      </c>
    </row>
    <row r="2465" spans="1:22">
      <c r="A2465" t="str">
        <f t="shared" si="468"/>
        <v>13/03/2026</v>
      </c>
      <c r="B2465" t="str">
        <f t="shared" si="462"/>
        <v>SAÍDA</v>
      </c>
      <c r="C2465" t="str">
        <f t="shared" si="464"/>
        <v>PIX</v>
      </c>
      <c r="D2465" t="str">
        <f>"34173"</f>
        <v>34173</v>
      </c>
      <c r="E2465" t="str">
        <f t="shared" si="465"/>
        <v>1</v>
      </c>
      <c r="F2465" t="str">
        <f t="shared" si="467"/>
        <v>COM</v>
      </c>
      <c r="G2465" t="str">
        <f>"RAFAEL MONTEIRO DE CASTRO VITRAL (1038)"</f>
        <v>RAFAEL MONTEIRO DE CASTRO VITRAL (1038)</v>
      </c>
      <c r="H2465" t="s">
        <v>450</v>
      </c>
      <c r="I2465" t="str">
        <f t="shared" si="463"/>
        <v>13/03/2026</v>
      </c>
      <c r="J2465" t="str">
        <f t="shared" si="466"/>
        <v>03/03/2026</v>
      </c>
      <c r="K2465">
        <v>46094</v>
      </c>
      <c r="N2465">
        <v>109</v>
      </c>
      <c r="O2465" t="s">
        <v>27</v>
      </c>
      <c r="Q2465">
        <v>680</v>
      </c>
      <c r="R2465" t="str">
        <f>"FARMÁCIA INDIANA LJ 219 (10091)"</f>
        <v>FARMÁCIA INDIANA LJ 219 (10091)</v>
      </c>
      <c r="S2465" t="s">
        <v>37</v>
      </c>
      <c r="T2465">
        <v>30857</v>
      </c>
      <c r="U2465">
        <v>34173</v>
      </c>
      <c r="V2465" t="s">
        <v>37</v>
      </c>
    </row>
    <row r="2466" spans="1:22">
      <c r="A2466" t="str">
        <f t="shared" si="468"/>
        <v>13/03/2026</v>
      </c>
      <c r="B2466" t="str">
        <f t="shared" ref="B2466:B2529" si="469">"SAÍDA"</f>
        <v>SAÍDA</v>
      </c>
      <c r="C2466" t="str">
        <f t="shared" si="464"/>
        <v>PIX</v>
      </c>
      <c r="D2466" t="str">
        <f>"34174"</f>
        <v>34174</v>
      </c>
      <c r="E2466" t="str">
        <f t="shared" si="465"/>
        <v>1</v>
      </c>
      <c r="F2466" t="str">
        <f t="shared" si="467"/>
        <v>COM</v>
      </c>
      <c r="G2466" t="str">
        <f>"RAISSON VITOR MENDES DE ABREU (705)"</f>
        <v>RAISSON VITOR MENDES DE ABREU (705)</v>
      </c>
      <c r="H2466" t="str">
        <f>"Serv.Prest. 23/02/2026 a 01/03/2026 - PIX: CELULAR - CHAVE: (31) 99959-5414"</f>
        <v>Serv.Prest. 23/02/2026 a 01/03/2026 - PIX: CELULAR - CHAVE: (31) 99959-5414</v>
      </c>
      <c r="I2466" t="str">
        <f t="shared" si="463"/>
        <v>13/03/2026</v>
      </c>
      <c r="J2466" t="str">
        <f t="shared" si="466"/>
        <v>03/03/2026</v>
      </c>
      <c r="K2466" t="str">
        <f>("13/03/2026")</f>
        <v>13/03/2026</v>
      </c>
      <c r="L2466">
        <v>940</v>
      </c>
      <c r="M2466">
        <v>940</v>
      </c>
      <c r="N2466">
        <v>109</v>
      </c>
      <c r="O2466" t="str">
        <f>"PAGAMENTO DE ENTREGADORES"</f>
        <v>PAGAMENTO DE ENTREGADORES</v>
      </c>
      <c r="P2466">
        <v>940</v>
      </c>
      <c r="S2466" t="str">
        <f>"BANCO C6 (149)"</f>
        <v>BANCO C6 (149)</v>
      </c>
      <c r="T2466">
        <v>30858</v>
      </c>
      <c r="U2466">
        <v>34174</v>
      </c>
      <c r="V2466" t="s">
        <v>37</v>
      </c>
    </row>
    <row r="2467" spans="1:22">
      <c r="A2467" t="str">
        <f t="shared" si="468"/>
        <v>13/03/2026</v>
      </c>
      <c r="B2467" t="str">
        <f t="shared" si="469"/>
        <v>SAÍDA</v>
      </c>
      <c r="C2467" t="str">
        <f t="shared" si="464"/>
        <v>PIX</v>
      </c>
      <c r="D2467" t="str">
        <f>"34174"</f>
        <v>34174</v>
      </c>
      <c r="E2467" t="str">
        <f t="shared" si="465"/>
        <v>1</v>
      </c>
      <c r="F2467" t="str">
        <f t="shared" si="467"/>
        <v>COM</v>
      </c>
      <c r="G2467" t="str">
        <f>"RAISSON VITOR MENDES DE ABREU (705)"</f>
        <v>RAISSON VITOR MENDES DE ABREU (705)</v>
      </c>
      <c r="H2467" t="s">
        <v>451</v>
      </c>
      <c r="I2467" t="str">
        <f t="shared" si="463"/>
        <v>13/03/2026</v>
      </c>
      <c r="J2467" t="str">
        <f t="shared" si="466"/>
        <v>03/03/2026</v>
      </c>
      <c r="K2467">
        <v>46094</v>
      </c>
      <c r="N2467">
        <v>109</v>
      </c>
      <c r="O2467" t="s">
        <v>27</v>
      </c>
      <c r="Q2467">
        <v>940</v>
      </c>
      <c r="R2467" t="str">
        <f>"FARMÁCIA INDIANA LJ 178 (10077)"</f>
        <v>FARMÁCIA INDIANA LJ 178 (10077)</v>
      </c>
      <c r="S2467" t="s">
        <v>37</v>
      </c>
      <c r="T2467">
        <v>30858</v>
      </c>
      <c r="U2467">
        <v>34174</v>
      </c>
      <c r="V2467" t="s">
        <v>37</v>
      </c>
    </row>
    <row r="2468" spans="1:22">
      <c r="A2468" t="str">
        <f t="shared" si="468"/>
        <v>13/03/2026</v>
      </c>
      <c r="B2468" t="str">
        <f t="shared" si="469"/>
        <v>SAÍDA</v>
      </c>
      <c r="C2468" t="str">
        <f t="shared" si="464"/>
        <v>PIX</v>
      </c>
      <c r="D2468" t="str">
        <f>"34175"</f>
        <v>34175</v>
      </c>
      <c r="E2468" t="str">
        <f t="shared" si="465"/>
        <v>1</v>
      </c>
      <c r="F2468" t="str">
        <f t="shared" si="467"/>
        <v>COM</v>
      </c>
      <c r="G2468" t="str">
        <f>"REGINALDO PIRES PORTES (1009)"</f>
        <v>REGINALDO PIRES PORTES (1009)</v>
      </c>
      <c r="H2468" t="str">
        <f>"Serv.Prest. 23/02/2026 a 01/03/2026 - PIX: CPF - CHAVE: 072.968.086-08"</f>
        <v>Serv.Prest. 23/02/2026 a 01/03/2026 - PIX: CPF - CHAVE: 072.968.086-08</v>
      </c>
      <c r="I2468" t="str">
        <f t="shared" si="463"/>
        <v>13/03/2026</v>
      </c>
      <c r="J2468" t="str">
        <f t="shared" si="466"/>
        <v>03/03/2026</v>
      </c>
      <c r="K2468" t="str">
        <f>("13/03/2026")</f>
        <v>13/03/2026</v>
      </c>
      <c r="L2468">
        <v>784</v>
      </c>
      <c r="M2468">
        <v>784</v>
      </c>
      <c r="N2468">
        <v>109</v>
      </c>
      <c r="O2468" t="str">
        <f>"PAGAMENTO DE ENTREGADORES"</f>
        <v>PAGAMENTO DE ENTREGADORES</v>
      </c>
      <c r="P2468">
        <v>784</v>
      </c>
      <c r="S2468" t="str">
        <f>"BANCO C6 (149)"</f>
        <v>BANCO C6 (149)</v>
      </c>
      <c r="T2468">
        <v>30859</v>
      </c>
      <c r="U2468">
        <v>34175</v>
      </c>
      <c r="V2468" t="s">
        <v>37</v>
      </c>
    </row>
    <row r="2469" spans="1:22">
      <c r="A2469" t="str">
        <f t="shared" si="468"/>
        <v>13/03/2026</v>
      </c>
      <c r="B2469" t="str">
        <f t="shared" si="469"/>
        <v>SAÍDA</v>
      </c>
      <c r="C2469" t="str">
        <f t="shared" si="464"/>
        <v>PIX</v>
      </c>
      <c r="D2469" t="str">
        <f>"34175"</f>
        <v>34175</v>
      </c>
      <c r="E2469" t="str">
        <f t="shared" si="465"/>
        <v>1</v>
      </c>
      <c r="F2469" t="str">
        <f t="shared" si="467"/>
        <v>COM</v>
      </c>
      <c r="G2469" t="str">
        <f>"REGINALDO PIRES PORTES (1009)"</f>
        <v>REGINALDO PIRES PORTES (1009)</v>
      </c>
      <c r="H2469" t="s">
        <v>452</v>
      </c>
      <c r="I2469" t="str">
        <f t="shared" si="463"/>
        <v>13/03/2026</v>
      </c>
      <c r="J2469" t="str">
        <f t="shared" si="466"/>
        <v>03/03/2026</v>
      </c>
      <c r="K2469">
        <v>46094</v>
      </c>
      <c r="N2469">
        <v>109</v>
      </c>
      <c r="O2469" t="s">
        <v>27</v>
      </c>
      <c r="Q2469">
        <v>784</v>
      </c>
      <c r="R2469" t="str">
        <f>"FARMÁCIA INDIANA LJ 19 (10012)"</f>
        <v>FARMÁCIA INDIANA LJ 19 (10012)</v>
      </c>
      <c r="S2469" t="s">
        <v>37</v>
      </c>
      <c r="T2469">
        <v>30859</v>
      </c>
      <c r="U2469">
        <v>34175</v>
      </c>
      <c r="V2469" t="s">
        <v>37</v>
      </c>
    </row>
    <row r="2470" spans="1:22">
      <c r="A2470" t="str">
        <f t="shared" si="468"/>
        <v>13/03/2026</v>
      </c>
      <c r="B2470" t="str">
        <f t="shared" si="469"/>
        <v>SAÍDA</v>
      </c>
      <c r="C2470" t="str">
        <f t="shared" si="464"/>
        <v>PIX</v>
      </c>
      <c r="D2470" t="str">
        <f>"34178"</f>
        <v>34178</v>
      </c>
      <c r="E2470" t="str">
        <f t="shared" si="465"/>
        <v>1</v>
      </c>
      <c r="F2470" t="str">
        <f t="shared" si="467"/>
        <v>COM</v>
      </c>
      <c r="G2470" t="str">
        <f>"RENATO GEORGE GONÇALVES (191)"</f>
        <v>RENATO GEORGE GONÇALVES (191)</v>
      </c>
      <c r="H2470" t="str">
        <f>"Serv.Prest. 23/02/2026 a 01/03/2026 - PIX: CPF - CHAVE: 012.783.036-77"</f>
        <v>Serv.Prest. 23/02/2026 a 01/03/2026 - PIX: CPF - CHAVE: 012.783.036-77</v>
      </c>
      <c r="I2470" t="str">
        <f t="shared" si="463"/>
        <v>13/03/2026</v>
      </c>
      <c r="J2470" t="str">
        <f t="shared" si="466"/>
        <v>03/03/2026</v>
      </c>
      <c r="K2470" t="str">
        <f>("13/03/2026")</f>
        <v>13/03/2026</v>
      </c>
      <c r="L2470">
        <v>1080</v>
      </c>
      <c r="M2470">
        <v>1080</v>
      </c>
      <c r="N2470">
        <v>109</v>
      </c>
      <c r="O2470" t="str">
        <f>"PAGAMENTO DE ENTREGADORES"</f>
        <v>PAGAMENTO DE ENTREGADORES</v>
      </c>
      <c r="P2470">
        <v>1080</v>
      </c>
      <c r="S2470" t="str">
        <f>"BANCO C6 (149)"</f>
        <v>BANCO C6 (149)</v>
      </c>
      <c r="T2470">
        <v>30860</v>
      </c>
      <c r="U2470">
        <v>34178</v>
      </c>
      <c r="V2470" t="s">
        <v>37</v>
      </c>
    </row>
    <row r="2471" spans="1:22">
      <c r="A2471" t="str">
        <f t="shared" si="468"/>
        <v>13/03/2026</v>
      </c>
      <c r="B2471" t="str">
        <f t="shared" si="469"/>
        <v>SAÍDA</v>
      </c>
      <c r="C2471" t="str">
        <f t="shared" si="464"/>
        <v>PIX</v>
      </c>
      <c r="D2471" t="str">
        <f>"34178"</f>
        <v>34178</v>
      </c>
      <c r="E2471" t="str">
        <f t="shared" si="465"/>
        <v>1</v>
      </c>
      <c r="F2471" t="str">
        <f t="shared" si="467"/>
        <v>COM</v>
      </c>
      <c r="G2471" t="str">
        <f>"RENATO GEORGE GONÇALVES (191)"</f>
        <v>RENATO GEORGE GONÇALVES (191)</v>
      </c>
      <c r="H2471" t="s">
        <v>763</v>
      </c>
      <c r="I2471" t="str">
        <f t="shared" ref="I2471:I2534" si="470">("13/03/2026")</f>
        <v>13/03/2026</v>
      </c>
      <c r="J2471" t="str">
        <f t="shared" si="466"/>
        <v>03/03/2026</v>
      </c>
      <c r="K2471">
        <v>46094</v>
      </c>
      <c r="N2471">
        <v>109</v>
      </c>
      <c r="O2471" t="s">
        <v>27</v>
      </c>
      <c r="Q2471">
        <v>1080</v>
      </c>
      <c r="R2471" t="str">
        <f>"FARMÁCIA INDIANA LJ 06 (10006)"</f>
        <v>FARMÁCIA INDIANA LJ 06 (10006)</v>
      </c>
      <c r="S2471" t="s">
        <v>37</v>
      </c>
      <c r="T2471">
        <v>30860</v>
      </c>
      <c r="U2471">
        <v>34178</v>
      </c>
      <c r="V2471" t="s">
        <v>37</v>
      </c>
    </row>
    <row r="2472" spans="1:22">
      <c r="A2472" t="str">
        <f t="shared" si="468"/>
        <v>13/03/2026</v>
      </c>
      <c r="B2472" t="str">
        <f t="shared" si="469"/>
        <v>SAÍDA</v>
      </c>
      <c r="C2472" t="str">
        <f t="shared" si="464"/>
        <v>PIX</v>
      </c>
      <c r="D2472" t="str">
        <f>"34179"</f>
        <v>34179</v>
      </c>
      <c r="E2472" t="str">
        <f t="shared" si="465"/>
        <v>1</v>
      </c>
      <c r="F2472" t="str">
        <f t="shared" si="467"/>
        <v>COM</v>
      </c>
      <c r="G2472" t="str">
        <f>"ROGÉRIO LAURINDO BORGES (176)"</f>
        <v>ROGÉRIO LAURINDO BORGES (176)</v>
      </c>
      <c r="H2472" t="str">
        <f>"Serv.Prest. 23/02/2026 a 01/03/2026 - PIX: E-MAIL - CHAVE: roger.l.borges04@gmail.com"</f>
        <v>Serv.Prest. 23/02/2026 a 01/03/2026 - PIX: E-MAIL - CHAVE: roger.l.borges04@gmail.com</v>
      </c>
      <c r="I2472" t="str">
        <f t="shared" si="470"/>
        <v>13/03/2026</v>
      </c>
      <c r="J2472" t="str">
        <f t="shared" si="466"/>
        <v>03/03/2026</v>
      </c>
      <c r="K2472" t="str">
        <f>("13/03/2026")</f>
        <v>13/03/2026</v>
      </c>
      <c r="L2472">
        <v>1128</v>
      </c>
      <c r="M2472">
        <v>1128</v>
      </c>
      <c r="N2472">
        <v>109</v>
      </c>
      <c r="O2472" t="str">
        <f>"PAGAMENTO DE ENTREGADORES"</f>
        <v>PAGAMENTO DE ENTREGADORES</v>
      </c>
      <c r="P2472">
        <v>1128</v>
      </c>
      <c r="S2472" t="str">
        <f>"BANCO C6 (149)"</f>
        <v>BANCO C6 (149)</v>
      </c>
      <c r="T2472">
        <v>30861</v>
      </c>
      <c r="U2472">
        <v>34179</v>
      </c>
      <c r="V2472" t="s">
        <v>37</v>
      </c>
    </row>
    <row r="2473" spans="1:22">
      <c r="A2473" t="str">
        <f t="shared" si="468"/>
        <v>13/03/2026</v>
      </c>
      <c r="B2473" t="str">
        <f t="shared" si="469"/>
        <v>SAÍDA</v>
      </c>
      <c r="C2473" t="str">
        <f t="shared" ref="C2473:C2536" si="471">"PIX"</f>
        <v>PIX</v>
      </c>
      <c r="D2473" t="str">
        <f>"34179"</f>
        <v>34179</v>
      </c>
      <c r="E2473" t="str">
        <f t="shared" si="465"/>
        <v>1</v>
      </c>
      <c r="F2473" t="str">
        <f t="shared" si="467"/>
        <v>COM</v>
      </c>
      <c r="G2473" t="str">
        <f>"ROGÉRIO LAURINDO BORGES (176)"</f>
        <v>ROGÉRIO LAURINDO BORGES (176)</v>
      </c>
      <c r="H2473" t="s">
        <v>764</v>
      </c>
      <c r="I2473" t="str">
        <f t="shared" si="470"/>
        <v>13/03/2026</v>
      </c>
      <c r="J2473" t="str">
        <f t="shared" si="466"/>
        <v>03/03/2026</v>
      </c>
      <c r="K2473">
        <v>46094</v>
      </c>
      <c r="N2473">
        <v>109</v>
      </c>
      <c r="O2473" t="s">
        <v>27</v>
      </c>
      <c r="Q2473">
        <v>1128</v>
      </c>
      <c r="R2473" t="str">
        <f>"FARMÁCIA INDIANA LJ 142 (10066)"</f>
        <v>FARMÁCIA INDIANA LJ 142 (10066)</v>
      </c>
      <c r="S2473" t="s">
        <v>37</v>
      </c>
      <c r="T2473">
        <v>30861</v>
      </c>
      <c r="U2473">
        <v>34179</v>
      </c>
      <c r="V2473" t="s">
        <v>37</v>
      </c>
    </row>
    <row r="2474" spans="1:22">
      <c r="A2474" t="str">
        <f t="shared" si="468"/>
        <v>13/03/2026</v>
      </c>
      <c r="B2474" t="str">
        <f t="shared" si="469"/>
        <v>SAÍDA</v>
      </c>
      <c r="C2474" t="str">
        <f t="shared" si="471"/>
        <v>PIX</v>
      </c>
      <c r="D2474" t="str">
        <f>"34180"</f>
        <v>34180</v>
      </c>
      <c r="E2474" t="str">
        <f t="shared" si="465"/>
        <v>1</v>
      </c>
      <c r="F2474" t="str">
        <f t="shared" si="467"/>
        <v>COM</v>
      </c>
      <c r="G2474" t="str">
        <f>"RONY RODRIGUES SOARES (1105)"</f>
        <v>RONY RODRIGUES SOARES (1105)</v>
      </c>
      <c r="H2474" t="str">
        <f>"Serv.Prest. 23/02/2026 a 01/03/2026 - PIX: CPF - CHAVE: 700.147.856-33"</f>
        <v>Serv.Prest. 23/02/2026 a 01/03/2026 - PIX: CPF - CHAVE: 700.147.856-33</v>
      </c>
      <c r="I2474" t="str">
        <f t="shared" si="470"/>
        <v>13/03/2026</v>
      </c>
      <c r="J2474" t="str">
        <f t="shared" si="466"/>
        <v>03/03/2026</v>
      </c>
      <c r="K2474" t="str">
        <f>("13/03/2026")</f>
        <v>13/03/2026</v>
      </c>
      <c r="L2474">
        <v>885</v>
      </c>
      <c r="M2474">
        <v>885</v>
      </c>
      <c r="N2474">
        <v>109</v>
      </c>
      <c r="O2474" t="str">
        <f>"PAGAMENTO DE ENTREGADORES"</f>
        <v>PAGAMENTO DE ENTREGADORES</v>
      </c>
      <c r="P2474">
        <v>885</v>
      </c>
      <c r="S2474" t="str">
        <f>"BANCO C6 (149)"</f>
        <v>BANCO C6 (149)</v>
      </c>
      <c r="T2474">
        <v>30862</v>
      </c>
      <c r="U2474">
        <v>34180</v>
      </c>
      <c r="V2474" t="s">
        <v>37</v>
      </c>
    </row>
    <row r="2475" spans="1:22">
      <c r="A2475" t="str">
        <f t="shared" si="468"/>
        <v>13/03/2026</v>
      </c>
      <c r="B2475" t="str">
        <f t="shared" si="469"/>
        <v>SAÍDA</v>
      </c>
      <c r="C2475" t="str">
        <f t="shared" si="471"/>
        <v>PIX</v>
      </c>
      <c r="D2475" t="str">
        <f>"34180"</f>
        <v>34180</v>
      </c>
      <c r="E2475" t="str">
        <f t="shared" si="465"/>
        <v>1</v>
      </c>
      <c r="F2475" t="str">
        <f t="shared" si="467"/>
        <v>COM</v>
      </c>
      <c r="G2475" t="str">
        <f>"RONY RODRIGUES SOARES (1105)"</f>
        <v>RONY RODRIGUES SOARES (1105)</v>
      </c>
      <c r="H2475" t="s">
        <v>765</v>
      </c>
      <c r="I2475" t="str">
        <f t="shared" si="470"/>
        <v>13/03/2026</v>
      </c>
      <c r="J2475" t="str">
        <f t="shared" si="466"/>
        <v>03/03/2026</v>
      </c>
      <c r="K2475">
        <v>46094</v>
      </c>
      <c r="N2475">
        <v>109</v>
      </c>
      <c r="O2475" t="s">
        <v>27</v>
      </c>
      <c r="Q2475">
        <v>294.97000000000003</v>
      </c>
      <c r="R2475" t="str">
        <f>"FARMÁCIA INDIANA LJ 112 (10050)"</f>
        <v>FARMÁCIA INDIANA LJ 112 (10050)</v>
      </c>
      <c r="S2475" t="s">
        <v>37</v>
      </c>
      <c r="T2475">
        <v>30862</v>
      </c>
      <c r="U2475">
        <v>34180</v>
      </c>
      <c r="V2475" t="s">
        <v>37</v>
      </c>
    </row>
    <row r="2476" spans="1:22">
      <c r="A2476" t="str">
        <f t="shared" si="468"/>
        <v>13/03/2026</v>
      </c>
      <c r="B2476" t="str">
        <f t="shared" si="469"/>
        <v>SAÍDA</v>
      </c>
      <c r="C2476" t="str">
        <f t="shared" si="471"/>
        <v>PIX</v>
      </c>
      <c r="D2476" t="str">
        <f>"34180"</f>
        <v>34180</v>
      </c>
      <c r="E2476" t="str">
        <f t="shared" si="465"/>
        <v>1</v>
      </c>
      <c r="F2476" t="str">
        <f t="shared" si="467"/>
        <v>COM</v>
      </c>
      <c r="G2476" t="str">
        <f>"RONY RODRIGUES SOARES (1105)"</f>
        <v>RONY RODRIGUES SOARES (1105)</v>
      </c>
      <c r="H2476" t="s">
        <v>765</v>
      </c>
      <c r="I2476" t="str">
        <f t="shared" si="470"/>
        <v>13/03/2026</v>
      </c>
      <c r="J2476" t="str">
        <f t="shared" si="466"/>
        <v>03/03/2026</v>
      </c>
      <c r="K2476">
        <v>46094</v>
      </c>
      <c r="N2476">
        <v>109</v>
      </c>
      <c r="O2476" t="s">
        <v>27</v>
      </c>
      <c r="Q2476">
        <v>136.11000000000001</v>
      </c>
      <c r="R2476" t="str">
        <f>"FARMÁCIA INDIANA LJ 116 (10051)"</f>
        <v>FARMÁCIA INDIANA LJ 116 (10051)</v>
      </c>
      <c r="S2476" t="s">
        <v>37</v>
      </c>
      <c r="T2476">
        <v>30862</v>
      </c>
      <c r="U2476">
        <v>34180</v>
      </c>
      <c r="V2476" t="s">
        <v>37</v>
      </c>
    </row>
    <row r="2477" spans="1:22">
      <c r="A2477" t="str">
        <f t="shared" si="468"/>
        <v>13/03/2026</v>
      </c>
      <c r="B2477" t="str">
        <f t="shared" si="469"/>
        <v>SAÍDA</v>
      </c>
      <c r="C2477" t="str">
        <f t="shared" si="471"/>
        <v>PIX</v>
      </c>
      <c r="D2477" t="str">
        <f>"34180"</f>
        <v>34180</v>
      </c>
      <c r="E2477" t="str">
        <f t="shared" ref="E2477:E2524" si="472">"1"</f>
        <v>1</v>
      </c>
      <c r="F2477" t="str">
        <f t="shared" si="467"/>
        <v>COM</v>
      </c>
      <c r="G2477" t="str">
        <f>"RONY RODRIGUES SOARES (1105)"</f>
        <v>RONY RODRIGUES SOARES (1105)</v>
      </c>
      <c r="H2477" t="s">
        <v>765</v>
      </c>
      <c r="I2477" t="str">
        <f t="shared" si="470"/>
        <v>13/03/2026</v>
      </c>
      <c r="J2477" t="str">
        <f t="shared" si="466"/>
        <v>03/03/2026</v>
      </c>
      <c r="K2477">
        <v>46094</v>
      </c>
      <c r="N2477">
        <v>109</v>
      </c>
      <c r="O2477" t="s">
        <v>27</v>
      </c>
      <c r="Q2477">
        <v>166.38</v>
      </c>
      <c r="R2477" t="str">
        <f>"FARMÁCIA INDIANA LJ 121 (10054)"</f>
        <v>FARMÁCIA INDIANA LJ 121 (10054)</v>
      </c>
      <c r="S2477" t="s">
        <v>37</v>
      </c>
      <c r="T2477">
        <v>30862</v>
      </c>
      <c r="U2477">
        <v>34180</v>
      </c>
      <c r="V2477" t="s">
        <v>37</v>
      </c>
    </row>
    <row r="2478" spans="1:22">
      <c r="A2478" t="str">
        <f t="shared" si="468"/>
        <v>13/03/2026</v>
      </c>
      <c r="B2478" t="str">
        <f t="shared" si="469"/>
        <v>SAÍDA</v>
      </c>
      <c r="C2478" t="str">
        <f t="shared" si="471"/>
        <v>PIX</v>
      </c>
      <c r="D2478" t="str">
        <f>"34180"</f>
        <v>34180</v>
      </c>
      <c r="E2478" t="str">
        <f t="shared" si="472"/>
        <v>1</v>
      </c>
      <c r="F2478" t="str">
        <f t="shared" si="467"/>
        <v>COM</v>
      </c>
      <c r="G2478" t="str">
        <f>"RONY RODRIGUES SOARES (1105)"</f>
        <v>RONY RODRIGUES SOARES (1105)</v>
      </c>
      <c r="H2478" t="s">
        <v>765</v>
      </c>
      <c r="I2478" t="str">
        <f t="shared" si="470"/>
        <v>13/03/2026</v>
      </c>
      <c r="J2478" t="str">
        <f t="shared" si="466"/>
        <v>03/03/2026</v>
      </c>
      <c r="K2478">
        <v>46094</v>
      </c>
      <c r="N2478">
        <v>109</v>
      </c>
      <c r="O2478" t="s">
        <v>27</v>
      </c>
      <c r="Q2478">
        <v>287.54000000000002</v>
      </c>
      <c r="R2478" t="str">
        <f>"FARMÁCIA INDIANA LJ 128 (10057)"</f>
        <v>FARMÁCIA INDIANA LJ 128 (10057)</v>
      </c>
      <c r="S2478" t="s">
        <v>37</v>
      </c>
      <c r="T2478">
        <v>30862</v>
      </c>
      <c r="U2478">
        <v>34180</v>
      </c>
      <c r="V2478" t="s">
        <v>37</v>
      </c>
    </row>
    <row r="2479" spans="1:22">
      <c r="A2479" t="str">
        <f t="shared" si="468"/>
        <v>13/03/2026</v>
      </c>
      <c r="B2479" t="str">
        <f t="shared" si="469"/>
        <v>SAÍDA</v>
      </c>
      <c r="C2479" t="str">
        <f t="shared" si="471"/>
        <v>PIX</v>
      </c>
      <c r="D2479" t="str">
        <f>"34181"</f>
        <v>34181</v>
      </c>
      <c r="E2479" t="str">
        <f t="shared" si="472"/>
        <v>1</v>
      </c>
      <c r="F2479" t="str">
        <f t="shared" si="467"/>
        <v>COM</v>
      </c>
      <c r="G2479" t="str">
        <f>"SAMUEL JADSON SANTANA RIBEIRO (55)"</f>
        <v>SAMUEL JADSON SANTANA RIBEIRO (55)</v>
      </c>
      <c r="H2479" t="str">
        <f>"Serv.Prest. 23/02/2026 a 01/03/2026 - PIX: CNPJ - CHAVE: 64.690.606/0001-89"</f>
        <v>Serv.Prest. 23/02/2026 a 01/03/2026 - PIX: CNPJ - CHAVE: 64.690.606/0001-89</v>
      </c>
      <c r="I2479" t="str">
        <f t="shared" si="470"/>
        <v>13/03/2026</v>
      </c>
      <c r="J2479" t="str">
        <f t="shared" si="466"/>
        <v>03/03/2026</v>
      </c>
      <c r="K2479" t="str">
        <f>("13/03/2026")</f>
        <v>13/03/2026</v>
      </c>
      <c r="L2479">
        <v>840</v>
      </c>
      <c r="M2479">
        <v>840</v>
      </c>
      <c r="N2479">
        <v>109</v>
      </c>
      <c r="O2479" t="str">
        <f>"PAGAMENTO DE ENTREGADORES"</f>
        <v>PAGAMENTO DE ENTREGADORES</v>
      </c>
      <c r="P2479">
        <v>840</v>
      </c>
      <c r="S2479" t="str">
        <f>"BANCO C6 (149)"</f>
        <v>BANCO C6 (149)</v>
      </c>
      <c r="T2479">
        <v>30863</v>
      </c>
      <c r="U2479">
        <v>34181</v>
      </c>
      <c r="V2479" t="s">
        <v>37</v>
      </c>
    </row>
    <row r="2480" spans="1:22">
      <c r="A2480" t="str">
        <f t="shared" si="468"/>
        <v>13/03/2026</v>
      </c>
      <c r="B2480" t="str">
        <f t="shared" si="469"/>
        <v>SAÍDA</v>
      </c>
      <c r="C2480" t="str">
        <f t="shared" si="471"/>
        <v>PIX</v>
      </c>
      <c r="D2480" t="str">
        <f>"34181"</f>
        <v>34181</v>
      </c>
      <c r="E2480" t="str">
        <f t="shared" si="472"/>
        <v>1</v>
      </c>
      <c r="F2480" t="str">
        <f t="shared" si="467"/>
        <v>COM</v>
      </c>
      <c r="G2480" t="str">
        <f>"SAMUEL JADSON SANTANA RIBEIRO (55)"</f>
        <v>SAMUEL JADSON SANTANA RIBEIRO (55)</v>
      </c>
      <c r="H2480" t="s">
        <v>766</v>
      </c>
      <c r="I2480" t="str">
        <f t="shared" si="470"/>
        <v>13/03/2026</v>
      </c>
      <c r="J2480" t="str">
        <f t="shared" si="466"/>
        <v>03/03/2026</v>
      </c>
      <c r="K2480">
        <v>46094</v>
      </c>
      <c r="N2480">
        <v>109</v>
      </c>
      <c r="O2480" t="s">
        <v>27</v>
      </c>
      <c r="Q2480">
        <v>840</v>
      </c>
      <c r="R2480" t="str">
        <f>"FARMÁCIA INDIANA LJ 07 (10007)"</f>
        <v>FARMÁCIA INDIANA LJ 07 (10007)</v>
      </c>
      <c r="S2480" t="s">
        <v>37</v>
      </c>
      <c r="T2480">
        <v>30863</v>
      </c>
      <c r="U2480">
        <v>34181</v>
      </c>
      <c r="V2480" t="s">
        <v>37</v>
      </c>
    </row>
    <row r="2481" spans="1:22">
      <c r="A2481" t="str">
        <f t="shared" si="468"/>
        <v>13/03/2026</v>
      </c>
      <c r="B2481" t="str">
        <f t="shared" si="469"/>
        <v>SAÍDA</v>
      </c>
      <c r="C2481" t="str">
        <f t="shared" si="471"/>
        <v>PIX</v>
      </c>
      <c r="D2481" t="str">
        <f>"34182"</f>
        <v>34182</v>
      </c>
      <c r="E2481" t="str">
        <f t="shared" si="472"/>
        <v>1</v>
      </c>
      <c r="F2481" t="str">
        <f t="shared" si="467"/>
        <v>COM</v>
      </c>
      <c r="G2481" t="str">
        <f>"SEDNEY GOMES SOARES (87)"</f>
        <v>SEDNEY GOMES SOARES (87)</v>
      </c>
      <c r="H2481" t="str">
        <f>"Serv.Prest. 23/02/2026 a 01/03/2026 - PIX: CPF - CHAVE: 048.151.276-46"</f>
        <v>Serv.Prest. 23/02/2026 a 01/03/2026 - PIX: CPF - CHAVE: 048.151.276-46</v>
      </c>
      <c r="I2481" t="str">
        <f t="shared" si="470"/>
        <v>13/03/2026</v>
      </c>
      <c r="J2481" t="str">
        <f t="shared" si="466"/>
        <v>03/03/2026</v>
      </c>
      <c r="K2481" t="str">
        <f>("13/03/2026")</f>
        <v>13/03/2026</v>
      </c>
      <c r="L2481">
        <v>750</v>
      </c>
      <c r="M2481">
        <v>750</v>
      </c>
      <c r="N2481">
        <v>109</v>
      </c>
      <c r="O2481" t="str">
        <f>"PAGAMENTO DE ENTREGADORES"</f>
        <v>PAGAMENTO DE ENTREGADORES</v>
      </c>
      <c r="P2481">
        <v>750</v>
      </c>
      <c r="S2481" t="str">
        <f>"BANCO C6 (149)"</f>
        <v>BANCO C6 (149)</v>
      </c>
      <c r="T2481">
        <v>30864</v>
      </c>
      <c r="U2481">
        <v>34182</v>
      </c>
      <c r="V2481" t="s">
        <v>37</v>
      </c>
    </row>
    <row r="2482" spans="1:22">
      <c r="A2482" t="str">
        <f t="shared" si="468"/>
        <v>13/03/2026</v>
      </c>
      <c r="B2482" t="str">
        <f t="shared" si="469"/>
        <v>SAÍDA</v>
      </c>
      <c r="C2482" t="str">
        <f t="shared" si="471"/>
        <v>PIX</v>
      </c>
      <c r="D2482" t="str">
        <f>"34182"</f>
        <v>34182</v>
      </c>
      <c r="E2482" t="str">
        <f t="shared" si="472"/>
        <v>1</v>
      </c>
      <c r="F2482" t="str">
        <f t="shared" si="467"/>
        <v>COM</v>
      </c>
      <c r="G2482" t="str">
        <f>"SEDNEY GOMES SOARES (87)"</f>
        <v>SEDNEY GOMES SOARES (87)</v>
      </c>
      <c r="H2482" t="s">
        <v>767</v>
      </c>
      <c r="I2482" t="str">
        <f t="shared" si="470"/>
        <v>13/03/2026</v>
      </c>
      <c r="J2482" t="str">
        <f t="shared" si="466"/>
        <v>03/03/2026</v>
      </c>
      <c r="K2482">
        <v>46094</v>
      </c>
      <c r="N2482">
        <v>109</v>
      </c>
      <c r="O2482" t="s">
        <v>27</v>
      </c>
      <c r="Q2482">
        <v>315.22000000000003</v>
      </c>
      <c r="R2482" t="str">
        <f>"FARMÁCIA INDIANA LJ 97 (10040)"</f>
        <v>FARMÁCIA INDIANA LJ 97 (10040)</v>
      </c>
      <c r="S2482" t="s">
        <v>37</v>
      </c>
      <c r="T2482">
        <v>30864</v>
      </c>
      <c r="U2482">
        <v>34182</v>
      </c>
      <c r="V2482" t="s">
        <v>37</v>
      </c>
    </row>
    <row r="2483" spans="1:22">
      <c r="A2483" t="str">
        <f t="shared" si="468"/>
        <v>13/03/2026</v>
      </c>
      <c r="B2483" t="str">
        <f t="shared" si="469"/>
        <v>SAÍDA</v>
      </c>
      <c r="C2483" t="str">
        <f t="shared" si="471"/>
        <v>PIX</v>
      </c>
      <c r="D2483" t="str">
        <f>"34182"</f>
        <v>34182</v>
      </c>
      <c r="E2483" t="str">
        <f t="shared" si="472"/>
        <v>1</v>
      </c>
      <c r="F2483" t="str">
        <f t="shared" si="467"/>
        <v>COM</v>
      </c>
      <c r="G2483" t="str">
        <f>"SEDNEY GOMES SOARES (87)"</f>
        <v>SEDNEY GOMES SOARES (87)</v>
      </c>
      <c r="H2483" t="s">
        <v>767</v>
      </c>
      <c r="I2483" t="str">
        <f t="shared" si="470"/>
        <v>13/03/2026</v>
      </c>
      <c r="J2483" t="str">
        <f t="shared" si="466"/>
        <v>03/03/2026</v>
      </c>
      <c r="K2483">
        <v>46094</v>
      </c>
      <c r="N2483">
        <v>109</v>
      </c>
      <c r="O2483" t="s">
        <v>27</v>
      </c>
      <c r="Q2483">
        <v>228.23</v>
      </c>
      <c r="R2483" t="str">
        <f>"FARMÁCIA INDIANA LJ 111 (10049)"</f>
        <v>FARMÁCIA INDIANA LJ 111 (10049)</v>
      </c>
      <c r="S2483" t="s">
        <v>37</v>
      </c>
      <c r="T2483">
        <v>30864</v>
      </c>
      <c r="U2483">
        <v>34182</v>
      </c>
      <c r="V2483" t="s">
        <v>37</v>
      </c>
    </row>
    <row r="2484" spans="1:22">
      <c r="A2484" t="str">
        <f t="shared" si="468"/>
        <v>13/03/2026</v>
      </c>
      <c r="B2484" t="str">
        <f t="shared" si="469"/>
        <v>SAÍDA</v>
      </c>
      <c r="C2484" t="str">
        <f t="shared" si="471"/>
        <v>PIX</v>
      </c>
      <c r="D2484" t="str">
        <f>"34182"</f>
        <v>34182</v>
      </c>
      <c r="E2484" t="str">
        <f t="shared" si="472"/>
        <v>1</v>
      </c>
      <c r="F2484" t="str">
        <f t="shared" si="467"/>
        <v>COM</v>
      </c>
      <c r="G2484" t="str">
        <f>"SEDNEY GOMES SOARES (87)"</f>
        <v>SEDNEY GOMES SOARES (87)</v>
      </c>
      <c r="H2484" t="s">
        <v>767</v>
      </c>
      <c r="I2484" t="str">
        <f t="shared" si="470"/>
        <v>13/03/2026</v>
      </c>
      <c r="J2484" t="str">
        <f t="shared" si="466"/>
        <v>03/03/2026</v>
      </c>
      <c r="K2484">
        <v>46094</v>
      </c>
      <c r="N2484">
        <v>109</v>
      </c>
      <c r="O2484" t="s">
        <v>27</v>
      </c>
      <c r="Q2484">
        <v>206.55</v>
      </c>
      <c r="R2484" t="str">
        <f>"FARMÁCIA INDIANA LJ 143 (10067)"</f>
        <v>FARMÁCIA INDIANA LJ 143 (10067)</v>
      </c>
      <c r="S2484" t="s">
        <v>37</v>
      </c>
      <c r="T2484">
        <v>30864</v>
      </c>
      <c r="U2484">
        <v>34182</v>
      </c>
      <c r="V2484" t="s">
        <v>37</v>
      </c>
    </row>
    <row r="2485" spans="1:22">
      <c r="A2485" t="str">
        <f t="shared" si="468"/>
        <v>13/03/2026</v>
      </c>
      <c r="B2485" t="str">
        <f t="shared" si="469"/>
        <v>SAÍDA</v>
      </c>
      <c r="C2485" t="str">
        <f t="shared" si="471"/>
        <v>PIX</v>
      </c>
      <c r="D2485" t="str">
        <f>"34183"</f>
        <v>34183</v>
      </c>
      <c r="E2485" t="str">
        <f t="shared" si="472"/>
        <v>1</v>
      </c>
      <c r="F2485" t="str">
        <f t="shared" si="467"/>
        <v>COM</v>
      </c>
      <c r="G2485" t="str">
        <f>"SILAS ALVES DE FREITAS (35)"</f>
        <v>SILAS ALVES DE FREITAS (35)</v>
      </c>
      <c r="H2485" t="str">
        <f>"Serv.Prest. 23/02/2026 a 01/03/2026 - PIX: CPF - CHAVE: 097.855.786-74"</f>
        <v>Serv.Prest. 23/02/2026 a 01/03/2026 - PIX: CPF - CHAVE: 097.855.786-74</v>
      </c>
      <c r="I2485" t="str">
        <f t="shared" si="470"/>
        <v>13/03/2026</v>
      </c>
      <c r="J2485" t="str">
        <f t="shared" si="466"/>
        <v>03/03/2026</v>
      </c>
      <c r="K2485" t="str">
        <f>("13/03/2026")</f>
        <v>13/03/2026</v>
      </c>
      <c r="L2485">
        <v>1482</v>
      </c>
      <c r="M2485">
        <v>1482</v>
      </c>
      <c r="N2485">
        <v>109</v>
      </c>
      <c r="O2485" t="str">
        <f>"PAGAMENTO DE ENTREGADORES"</f>
        <v>PAGAMENTO DE ENTREGADORES</v>
      </c>
      <c r="P2485">
        <v>1482</v>
      </c>
      <c r="S2485" t="str">
        <f>"BANCO C6 (149)"</f>
        <v>BANCO C6 (149)</v>
      </c>
      <c r="T2485">
        <v>30865</v>
      </c>
      <c r="U2485">
        <v>34183</v>
      </c>
      <c r="V2485" t="s">
        <v>37</v>
      </c>
    </row>
    <row r="2486" spans="1:22">
      <c r="A2486" t="str">
        <f t="shared" si="468"/>
        <v>13/03/2026</v>
      </c>
      <c r="B2486" t="str">
        <f t="shared" si="469"/>
        <v>SAÍDA</v>
      </c>
      <c r="C2486" t="str">
        <f t="shared" si="471"/>
        <v>PIX</v>
      </c>
      <c r="D2486" t="str">
        <f>"34183"</f>
        <v>34183</v>
      </c>
      <c r="E2486" t="str">
        <f t="shared" si="472"/>
        <v>1</v>
      </c>
      <c r="F2486" t="str">
        <f t="shared" si="467"/>
        <v>COM</v>
      </c>
      <c r="G2486" t="str">
        <f>"SILAS ALVES DE FREITAS (35)"</f>
        <v>SILAS ALVES DE FREITAS (35)</v>
      </c>
      <c r="H2486" t="s">
        <v>768</v>
      </c>
      <c r="I2486" t="str">
        <f t="shared" si="470"/>
        <v>13/03/2026</v>
      </c>
      <c r="J2486" t="str">
        <f t="shared" ref="J2486:J2514" si="473">("03/03/2026")</f>
        <v>03/03/2026</v>
      </c>
      <c r="K2486">
        <v>46094</v>
      </c>
      <c r="N2486">
        <v>109</v>
      </c>
      <c r="O2486" t="s">
        <v>27</v>
      </c>
      <c r="Q2486">
        <v>1482</v>
      </c>
      <c r="R2486" t="str">
        <f>"FARMÁCIA INDIANA LJ 172 (10161)"</f>
        <v>FARMÁCIA INDIANA LJ 172 (10161)</v>
      </c>
      <c r="S2486" t="s">
        <v>37</v>
      </c>
      <c r="T2486">
        <v>30865</v>
      </c>
      <c r="U2486">
        <v>34183</v>
      </c>
      <c r="V2486" t="s">
        <v>37</v>
      </c>
    </row>
    <row r="2487" spans="1:22">
      <c r="A2487" t="str">
        <f t="shared" si="468"/>
        <v>13/03/2026</v>
      </c>
      <c r="B2487" t="str">
        <f t="shared" si="469"/>
        <v>SAÍDA</v>
      </c>
      <c r="C2487" t="str">
        <f t="shared" si="471"/>
        <v>PIX</v>
      </c>
      <c r="D2487" t="str">
        <f>"34184"</f>
        <v>34184</v>
      </c>
      <c r="E2487" t="str">
        <f t="shared" si="472"/>
        <v>1</v>
      </c>
      <c r="F2487" t="str">
        <f t="shared" si="467"/>
        <v>COM</v>
      </c>
      <c r="G2487" t="str">
        <f>"THALES VIANA DOS SANTOS (63)"</f>
        <v>THALES VIANA DOS SANTOS (63)</v>
      </c>
      <c r="H2487" t="str">
        <f>"Serv.Prest. 23/02/2026 a 01/03/2026 - PIX: CELULAR - CHAVE: (33) 99880-7941"</f>
        <v>Serv.Prest. 23/02/2026 a 01/03/2026 - PIX: CELULAR - CHAVE: (33) 99880-7941</v>
      </c>
      <c r="I2487" t="str">
        <f t="shared" si="470"/>
        <v>13/03/2026</v>
      </c>
      <c r="J2487" t="str">
        <f t="shared" si="473"/>
        <v>03/03/2026</v>
      </c>
      <c r="K2487" t="str">
        <f>("13/03/2026")</f>
        <v>13/03/2026</v>
      </c>
      <c r="L2487">
        <v>366</v>
      </c>
      <c r="M2487">
        <v>366</v>
      </c>
      <c r="N2487">
        <v>109</v>
      </c>
      <c r="O2487" t="str">
        <f>"PAGAMENTO DE ENTREGADORES"</f>
        <v>PAGAMENTO DE ENTREGADORES</v>
      </c>
      <c r="P2487">
        <v>366</v>
      </c>
      <c r="S2487" t="str">
        <f>"BANCO C6 (149)"</f>
        <v>BANCO C6 (149)</v>
      </c>
      <c r="T2487">
        <v>30866</v>
      </c>
      <c r="U2487">
        <v>34184</v>
      </c>
      <c r="V2487" t="s">
        <v>37</v>
      </c>
    </row>
    <row r="2488" spans="1:22">
      <c r="A2488" t="str">
        <f t="shared" si="468"/>
        <v>13/03/2026</v>
      </c>
      <c r="B2488" t="str">
        <f t="shared" si="469"/>
        <v>SAÍDA</v>
      </c>
      <c r="C2488" t="str">
        <f t="shared" si="471"/>
        <v>PIX</v>
      </c>
      <c r="D2488" t="str">
        <f>"34184"</f>
        <v>34184</v>
      </c>
      <c r="E2488" t="str">
        <f t="shared" si="472"/>
        <v>1</v>
      </c>
      <c r="F2488" t="str">
        <f t="shared" si="467"/>
        <v>COM</v>
      </c>
      <c r="G2488" t="str">
        <f>"THALES VIANA DOS SANTOS (63)"</f>
        <v>THALES VIANA DOS SANTOS (63)</v>
      </c>
      <c r="H2488" t="s">
        <v>769</v>
      </c>
      <c r="I2488" t="str">
        <f t="shared" si="470"/>
        <v>13/03/2026</v>
      </c>
      <c r="J2488" t="str">
        <f t="shared" si="473"/>
        <v>03/03/2026</v>
      </c>
      <c r="K2488">
        <v>46094</v>
      </c>
      <c r="N2488">
        <v>109</v>
      </c>
      <c r="O2488" t="s">
        <v>27</v>
      </c>
      <c r="Q2488">
        <v>366</v>
      </c>
      <c r="R2488" t="str">
        <f>"FARMÁCIA INDIANA LJ 07 (10007)"</f>
        <v>FARMÁCIA INDIANA LJ 07 (10007)</v>
      </c>
      <c r="S2488" t="s">
        <v>37</v>
      </c>
      <c r="T2488">
        <v>30866</v>
      </c>
      <c r="U2488">
        <v>34184</v>
      </c>
      <c r="V2488" t="s">
        <v>37</v>
      </c>
    </row>
    <row r="2489" spans="1:22">
      <c r="A2489" t="str">
        <f t="shared" si="468"/>
        <v>13/03/2026</v>
      </c>
      <c r="B2489" t="str">
        <f t="shared" si="469"/>
        <v>SAÍDA</v>
      </c>
      <c r="C2489" t="str">
        <f t="shared" si="471"/>
        <v>PIX</v>
      </c>
      <c r="D2489" t="str">
        <f>"34185"</f>
        <v>34185</v>
      </c>
      <c r="E2489" t="str">
        <f t="shared" si="472"/>
        <v>1</v>
      </c>
      <c r="F2489" t="str">
        <f t="shared" si="467"/>
        <v>COM</v>
      </c>
      <c r="G2489" t="str">
        <f>"VICTOR RILLEY CRUZ MESQUITA (1005)"</f>
        <v>VICTOR RILLEY CRUZ MESQUITA (1005)</v>
      </c>
      <c r="H2489" t="str">
        <f>"Serv.Prest. 23/02/2026 a 01/03/2026 - PIX: CELULAR - CHAVE: (33) 99973-4407"</f>
        <v>Serv.Prest. 23/02/2026 a 01/03/2026 - PIX: CELULAR - CHAVE: (33) 99973-4407</v>
      </c>
      <c r="I2489" t="str">
        <f t="shared" si="470"/>
        <v>13/03/2026</v>
      </c>
      <c r="J2489" t="str">
        <f t="shared" si="473"/>
        <v>03/03/2026</v>
      </c>
      <c r="K2489" t="str">
        <f>("13/03/2026")</f>
        <v>13/03/2026</v>
      </c>
      <c r="L2489">
        <v>784</v>
      </c>
      <c r="M2489">
        <v>784</v>
      </c>
      <c r="N2489">
        <v>109</v>
      </c>
      <c r="O2489" t="str">
        <f>"PAGAMENTO DE ENTREGADORES"</f>
        <v>PAGAMENTO DE ENTREGADORES</v>
      </c>
      <c r="P2489">
        <v>784</v>
      </c>
      <c r="S2489" t="str">
        <f>"BANCO C6 (149)"</f>
        <v>BANCO C6 (149)</v>
      </c>
      <c r="T2489">
        <v>30867</v>
      </c>
      <c r="U2489">
        <v>34185</v>
      </c>
      <c r="V2489" t="s">
        <v>37</v>
      </c>
    </row>
    <row r="2490" spans="1:22">
      <c r="A2490" t="str">
        <f t="shared" si="468"/>
        <v>13/03/2026</v>
      </c>
      <c r="B2490" t="str">
        <f t="shared" si="469"/>
        <v>SAÍDA</v>
      </c>
      <c r="C2490" t="str">
        <f t="shared" si="471"/>
        <v>PIX</v>
      </c>
      <c r="D2490" t="str">
        <f>"34185"</f>
        <v>34185</v>
      </c>
      <c r="E2490" t="str">
        <f t="shared" si="472"/>
        <v>1</v>
      </c>
      <c r="F2490" t="str">
        <f t="shared" si="467"/>
        <v>COM</v>
      </c>
      <c r="G2490" t="str">
        <f>"VICTOR RILLEY CRUZ MESQUITA (1005)"</f>
        <v>VICTOR RILLEY CRUZ MESQUITA (1005)</v>
      </c>
      <c r="H2490" t="s">
        <v>456</v>
      </c>
      <c r="I2490" t="str">
        <f t="shared" si="470"/>
        <v>13/03/2026</v>
      </c>
      <c r="J2490" t="str">
        <f t="shared" si="473"/>
        <v>03/03/2026</v>
      </c>
      <c r="K2490">
        <v>46094</v>
      </c>
      <c r="N2490">
        <v>109</v>
      </c>
      <c r="O2490" t="s">
        <v>27</v>
      </c>
      <c r="Q2490">
        <v>784</v>
      </c>
      <c r="R2490" t="str">
        <f>"FARMÁCIA INDIANA LJ 07 (10007)"</f>
        <v>FARMÁCIA INDIANA LJ 07 (10007)</v>
      </c>
      <c r="S2490" t="s">
        <v>37</v>
      </c>
      <c r="T2490">
        <v>30867</v>
      </c>
      <c r="U2490">
        <v>34185</v>
      </c>
      <c r="V2490" t="s">
        <v>37</v>
      </c>
    </row>
    <row r="2491" spans="1:22">
      <c r="A2491" t="str">
        <f t="shared" si="468"/>
        <v>13/03/2026</v>
      </c>
      <c r="B2491" t="str">
        <f t="shared" si="469"/>
        <v>SAÍDA</v>
      </c>
      <c r="C2491" t="str">
        <f t="shared" si="471"/>
        <v>PIX</v>
      </c>
      <c r="D2491" t="str">
        <f>"34186"</f>
        <v>34186</v>
      </c>
      <c r="E2491" t="str">
        <f t="shared" si="472"/>
        <v>1</v>
      </c>
      <c r="F2491" t="str">
        <f t="shared" si="467"/>
        <v>COM</v>
      </c>
      <c r="G2491" t="str">
        <f>"VINICIUS DE SOUZA ISABEL (658)"</f>
        <v>VINICIUS DE SOUZA ISABEL (658)</v>
      </c>
      <c r="H2491" t="str">
        <f>"Serv.Prest. 23/02/2026 a 01/03/2026 - PIX: CPF - CHAVE: 092.566.416-23"</f>
        <v>Serv.Prest. 23/02/2026 a 01/03/2026 - PIX: CPF - CHAVE: 092.566.416-23</v>
      </c>
      <c r="I2491" t="str">
        <f t="shared" si="470"/>
        <v>13/03/2026</v>
      </c>
      <c r="J2491" t="str">
        <f t="shared" si="473"/>
        <v>03/03/2026</v>
      </c>
      <c r="K2491" t="str">
        <f>("13/03/2026")</f>
        <v>13/03/2026</v>
      </c>
      <c r="L2491">
        <v>680</v>
      </c>
      <c r="M2491">
        <v>680</v>
      </c>
      <c r="N2491">
        <v>109</v>
      </c>
      <c r="O2491" t="str">
        <f>"PAGAMENTO DE ENTREGADORES"</f>
        <v>PAGAMENTO DE ENTREGADORES</v>
      </c>
      <c r="P2491">
        <v>680</v>
      </c>
      <c r="S2491" t="str">
        <f>"BANCO C6 (149)"</f>
        <v>BANCO C6 (149)</v>
      </c>
      <c r="T2491">
        <v>30868</v>
      </c>
      <c r="U2491">
        <v>34186</v>
      </c>
      <c r="V2491" t="s">
        <v>37</v>
      </c>
    </row>
    <row r="2492" spans="1:22">
      <c r="A2492" t="str">
        <f t="shared" si="468"/>
        <v>13/03/2026</v>
      </c>
      <c r="B2492" t="str">
        <f t="shared" si="469"/>
        <v>SAÍDA</v>
      </c>
      <c r="C2492" t="str">
        <f t="shared" si="471"/>
        <v>PIX</v>
      </c>
      <c r="D2492" t="str">
        <f>"34186"</f>
        <v>34186</v>
      </c>
      <c r="E2492" t="str">
        <f t="shared" si="472"/>
        <v>1</v>
      </c>
      <c r="F2492" t="str">
        <f t="shared" si="467"/>
        <v>COM</v>
      </c>
      <c r="G2492" t="str">
        <f>"VINICIUS DE SOUZA ISABEL (658)"</f>
        <v>VINICIUS DE SOUZA ISABEL (658)</v>
      </c>
      <c r="H2492" t="s">
        <v>457</v>
      </c>
      <c r="I2492" t="str">
        <f t="shared" si="470"/>
        <v>13/03/2026</v>
      </c>
      <c r="J2492" t="str">
        <f t="shared" si="473"/>
        <v>03/03/2026</v>
      </c>
      <c r="K2492">
        <v>46094</v>
      </c>
      <c r="N2492">
        <v>109</v>
      </c>
      <c r="O2492" t="s">
        <v>27</v>
      </c>
      <c r="Q2492">
        <v>680</v>
      </c>
      <c r="R2492" t="str">
        <f>"FARMÁCIA INDIANA LJ 219 (10091)"</f>
        <v>FARMÁCIA INDIANA LJ 219 (10091)</v>
      </c>
      <c r="S2492" t="s">
        <v>37</v>
      </c>
      <c r="T2492">
        <v>30868</v>
      </c>
      <c r="U2492">
        <v>34186</v>
      </c>
      <c r="V2492" t="s">
        <v>37</v>
      </c>
    </row>
    <row r="2493" spans="1:22">
      <c r="A2493" t="str">
        <f t="shared" si="468"/>
        <v>13/03/2026</v>
      </c>
      <c r="B2493" t="str">
        <f t="shared" si="469"/>
        <v>SAÍDA</v>
      </c>
      <c r="C2493" t="str">
        <f t="shared" si="471"/>
        <v>PIX</v>
      </c>
      <c r="D2493" t="str">
        <f>"34188"</f>
        <v>34188</v>
      </c>
      <c r="E2493" t="str">
        <f t="shared" si="472"/>
        <v>1</v>
      </c>
      <c r="F2493" t="str">
        <f t="shared" si="467"/>
        <v>COM</v>
      </c>
      <c r="G2493" t="str">
        <f>"VITOR DE SOUZA SILVA (360)"</f>
        <v>VITOR DE SOUZA SILVA (360)</v>
      </c>
      <c r="H2493" t="str">
        <f>"Serv.Prest. 23/02/2026 a 01/03/2026 - PIX: CPF - CHAVE: 130.194.566-81"</f>
        <v>Serv.Prest. 23/02/2026 a 01/03/2026 - PIX: CPF - CHAVE: 130.194.566-81</v>
      </c>
      <c r="I2493" t="str">
        <f t="shared" si="470"/>
        <v>13/03/2026</v>
      </c>
      <c r="J2493" t="str">
        <f t="shared" si="473"/>
        <v>03/03/2026</v>
      </c>
      <c r="K2493" t="str">
        <f>("13/03/2026")</f>
        <v>13/03/2026</v>
      </c>
      <c r="L2493">
        <v>1060</v>
      </c>
      <c r="M2493">
        <v>1060</v>
      </c>
      <c r="N2493">
        <v>109</v>
      </c>
      <c r="O2493" t="str">
        <f>"PAGAMENTO DE ENTREGADORES"</f>
        <v>PAGAMENTO DE ENTREGADORES</v>
      </c>
      <c r="P2493">
        <v>1060</v>
      </c>
      <c r="S2493" t="str">
        <f>"BANCO C6 (149)"</f>
        <v>BANCO C6 (149)</v>
      </c>
      <c r="T2493">
        <v>30869</v>
      </c>
      <c r="U2493">
        <v>34188</v>
      </c>
      <c r="V2493" t="s">
        <v>37</v>
      </c>
    </row>
    <row r="2494" spans="1:22">
      <c r="A2494" t="str">
        <f t="shared" si="468"/>
        <v>13/03/2026</v>
      </c>
      <c r="B2494" t="str">
        <f t="shared" si="469"/>
        <v>SAÍDA</v>
      </c>
      <c r="C2494" t="str">
        <f t="shared" si="471"/>
        <v>PIX</v>
      </c>
      <c r="D2494" t="str">
        <f>"34188"</f>
        <v>34188</v>
      </c>
      <c r="E2494" t="str">
        <f t="shared" si="472"/>
        <v>1</v>
      </c>
      <c r="F2494" t="str">
        <f t="shared" si="467"/>
        <v>COM</v>
      </c>
      <c r="G2494" t="str">
        <f>"VITOR DE SOUZA SILVA (360)"</f>
        <v>VITOR DE SOUZA SILVA (360)</v>
      </c>
      <c r="H2494" t="s">
        <v>770</v>
      </c>
      <c r="I2494" t="str">
        <f t="shared" si="470"/>
        <v>13/03/2026</v>
      </c>
      <c r="J2494" t="str">
        <f t="shared" si="473"/>
        <v>03/03/2026</v>
      </c>
      <c r="K2494">
        <v>46094</v>
      </c>
      <c r="N2494">
        <v>109</v>
      </c>
      <c r="O2494" t="s">
        <v>27</v>
      </c>
      <c r="Q2494">
        <v>320.75</v>
      </c>
      <c r="R2494" t="str">
        <f>"FARMÁCIA INDIANA LJ 112 (10050)"</f>
        <v>FARMÁCIA INDIANA LJ 112 (10050)</v>
      </c>
      <c r="S2494" t="s">
        <v>37</v>
      </c>
      <c r="T2494">
        <v>30869</v>
      </c>
      <c r="U2494">
        <v>34188</v>
      </c>
      <c r="V2494" t="s">
        <v>37</v>
      </c>
    </row>
    <row r="2495" spans="1:22">
      <c r="A2495" t="str">
        <f t="shared" si="468"/>
        <v>13/03/2026</v>
      </c>
      <c r="B2495" t="str">
        <f t="shared" si="469"/>
        <v>SAÍDA</v>
      </c>
      <c r="C2495" t="str">
        <f t="shared" si="471"/>
        <v>PIX</v>
      </c>
      <c r="D2495" t="str">
        <f>"34188"</f>
        <v>34188</v>
      </c>
      <c r="E2495" t="str">
        <f t="shared" si="472"/>
        <v>1</v>
      </c>
      <c r="F2495" t="str">
        <f t="shared" si="467"/>
        <v>COM</v>
      </c>
      <c r="G2495" t="str">
        <f>"VITOR DE SOUZA SILVA (360)"</f>
        <v>VITOR DE SOUZA SILVA (360)</v>
      </c>
      <c r="H2495" t="s">
        <v>770</v>
      </c>
      <c r="I2495" t="str">
        <f t="shared" si="470"/>
        <v>13/03/2026</v>
      </c>
      <c r="J2495" t="str">
        <f t="shared" si="473"/>
        <v>03/03/2026</v>
      </c>
      <c r="K2495">
        <v>46094</v>
      </c>
      <c r="N2495">
        <v>109</v>
      </c>
      <c r="O2495" t="s">
        <v>27</v>
      </c>
      <c r="Q2495">
        <v>188.26</v>
      </c>
      <c r="R2495" t="str">
        <f>"FARMÁCIA INDIANA LJ 116 (10051)"</f>
        <v>FARMÁCIA INDIANA LJ 116 (10051)</v>
      </c>
      <c r="S2495" t="s">
        <v>37</v>
      </c>
      <c r="T2495">
        <v>30869</v>
      </c>
      <c r="U2495">
        <v>34188</v>
      </c>
      <c r="V2495" t="s">
        <v>37</v>
      </c>
    </row>
    <row r="2496" spans="1:22">
      <c r="A2496" t="str">
        <f t="shared" si="468"/>
        <v>13/03/2026</v>
      </c>
      <c r="B2496" t="str">
        <f t="shared" si="469"/>
        <v>SAÍDA</v>
      </c>
      <c r="C2496" t="str">
        <f t="shared" si="471"/>
        <v>PIX</v>
      </c>
      <c r="D2496" t="str">
        <f>"34188"</f>
        <v>34188</v>
      </c>
      <c r="E2496" t="str">
        <f t="shared" si="472"/>
        <v>1</v>
      </c>
      <c r="F2496" t="str">
        <f t="shared" si="467"/>
        <v>COM</v>
      </c>
      <c r="G2496" t="str">
        <f>"VITOR DE SOUZA SILVA (360)"</f>
        <v>VITOR DE SOUZA SILVA (360)</v>
      </c>
      <c r="H2496" t="s">
        <v>770</v>
      </c>
      <c r="I2496" t="str">
        <f t="shared" si="470"/>
        <v>13/03/2026</v>
      </c>
      <c r="J2496" t="str">
        <f t="shared" si="473"/>
        <v>03/03/2026</v>
      </c>
      <c r="K2496">
        <v>46094</v>
      </c>
      <c r="N2496">
        <v>109</v>
      </c>
      <c r="O2496" t="s">
        <v>27</v>
      </c>
      <c r="Q2496">
        <v>265</v>
      </c>
      <c r="R2496" t="str">
        <f>"FARMÁCIA INDIANA LJ 121 (10054)"</f>
        <v>FARMÁCIA INDIANA LJ 121 (10054)</v>
      </c>
      <c r="S2496" t="s">
        <v>37</v>
      </c>
      <c r="T2496">
        <v>30869</v>
      </c>
      <c r="U2496">
        <v>34188</v>
      </c>
      <c r="V2496" t="s">
        <v>37</v>
      </c>
    </row>
    <row r="2497" spans="1:22">
      <c r="A2497" t="str">
        <f t="shared" si="468"/>
        <v>13/03/2026</v>
      </c>
      <c r="B2497" t="str">
        <f t="shared" si="469"/>
        <v>SAÍDA</v>
      </c>
      <c r="C2497" t="str">
        <f t="shared" si="471"/>
        <v>PIX</v>
      </c>
      <c r="D2497" t="str">
        <f>"34188"</f>
        <v>34188</v>
      </c>
      <c r="E2497" t="str">
        <f t="shared" si="472"/>
        <v>1</v>
      </c>
      <c r="F2497" t="str">
        <f t="shared" si="467"/>
        <v>COM</v>
      </c>
      <c r="G2497" t="str">
        <f>"VITOR DE SOUZA SILVA (360)"</f>
        <v>VITOR DE SOUZA SILVA (360)</v>
      </c>
      <c r="H2497" t="s">
        <v>770</v>
      </c>
      <c r="I2497" t="str">
        <f t="shared" si="470"/>
        <v>13/03/2026</v>
      </c>
      <c r="J2497" t="str">
        <f t="shared" si="473"/>
        <v>03/03/2026</v>
      </c>
      <c r="K2497">
        <v>46094</v>
      </c>
      <c r="N2497">
        <v>109</v>
      </c>
      <c r="O2497" t="s">
        <v>27</v>
      </c>
      <c r="Q2497">
        <v>285.99</v>
      </c>
      <c r="R2497" t="str">
        <f>"FARMÁCIA INDIANA LJ 128 (10057)"</f>
        <v>FARMÁCIA INDIANA LJ 128 (10057)</v>
      </c>
      <c r="S2497" t="s">
        <v>37</v>
      </c>
      <c r="T2497">
        <v>30869</v>
      </c>
      <c r="U2497">
        <v>34188</v>
      </c>
      <c r="V2497" t="s">
        <v>37</v>
      </c>
    </row>
    <row r="2498" spans="1:22">
      <c r="A2498" t="str">
        <f t="shared" si="468"/>
        <v>13/03/2026</v>
      </c>
      <c r="B2498" t="str">
        <f t="shared" si="469"/>
        <v>SAÍDA</v>
      </c>
      <c r="C2498" t="str">
        <f t="shared" si="471"/>
        <v>PIX</v>
      </c>
      <c r="D2498" t="str">
        <f>"34189"</f>
        <v>34189</v>
      </c>
      <c r="E2498" t="str">
        <f t="shared" si="472"/>
        <v>1</v>
      </c>
      <c r="F2498" t="str">
        <f t="shared" ref="F2498:F2561" si="474">"COM"</f>
        <v>COM</v>
      </c>
      <c r="G2498" t="str">
        <f>"WAGNER DOS SANTOS LIMA (31)"</f>
        <v>WAGNER DOS SANTOS LIMA (31)</v>
      </c>
      <c r="H2498" t="str">
        <f>"Serv.Prest. 23/02/2026 a 01/03/2026 - PIX: CELULAR - CHAVE: (33) 99118-9032"</f>
        <v>Serv.Prest. 23/02/2026 a 01/03/2026 - PIX: CELULAR - CHAVE: (33) 99118-9032</v>
      </c>
      <c r="I2498" t="str">
        <f t="shared" si="470"/>
        <v>13/03/2026</v>
      </c>
      <c r="J2498" t="str">
        <f t="shared" si="473"/>
        <v>03/03/2026</v>
      </c>
      <c r="K2498" t="str">
        <f>("13/03/2026")</f>
        <v>13/03/2026</v>
      </c>
      <c r="L2498">
        <v>1265</v>
      </c>
      <c r="M2498">
        <v>1265</v>
      </c>
      <c r="N2498">
        <v>109</v>
      </c>
      <c r="O2498" t="str">
        <f>"PAGAMENTO DE ENTREGADORES"</f>
        <v>PAGAMENTO DE ENTREGADORES</v>
      </c>
      <c r="P2498">
        <v>1265</v>
      </c>
      <c r="S2498" t="str">
        <f>"BANCO C6 (149)"</f>
        <v>BANCO C6 (149)</v>
      </c>
      <c r="T2498">
        <v>30870</v>
      </c>
      <c r="U2498">
        <v>34189</v>
      </c>
      <c r="V2498" t="s">
        <v>37</v>
      </c>
    </row>
    <row r="2499" spans="1:22">
      <c r="A2499" t="str">
        <f t="shared" si="468"/>
        <v>13/03/2026</v>
      </c>
      <c r="B2499" t="str">
        <f t="shared" si="469"/>
        <v>SAÍDA</v>
      </c>
      <c r="C2499" t="str">
        <f t="shared" si="471"/>
        <v>PIX</v>
      </c>
      <c r="D2499" t="str">
        <f>"34189"</f>
        <v>34189</v>
      </c>
      <c r="E2499" t="str">
        <f t="shared" si="472"/>
        <v>1</v>
      </c>
      <c r="F2499" t="str">
        <f t="shared" si="474"/>
        <v>COM</v>
      </c>
      <c r="G2499" t="str">
        <f>"WAGNER DOS SANTOS LIMA (31)"</f>
        <v>WAGNER DOS SANTOS LIMA (31)</v>
      </c>
      <c r="H2499" t="s">
        <v>771</v>
      </c>
      <c r="I2499" t="str">
        <f t="shared" si="470"/>
        <v>13/03/2026</v>
      </c>
      <c r="J2499" t="str">
        <f t="shared" si="473"/>
        <v>03/03/2026</v>
      </c>
      <c r="K2499">
        <v>46094</v>
      </c>
      <c r="N2499">
        <v>109</v>
      </c>
      <c r="O2499" t="s">
        <v>27</v>
      </c>
      <c r="Q2499">
        <v>1265</v>
      </c>
      <c r="R2499" t="str">
        <f>"FARMÁCIA INDIANA LJ 61 (10027)"</f>
        <v>FARMÁCIA INDIANA LJ 61 (10027)</v>
      </c>
      <c r="S2499" t="s">
        <v>37</v>
      </c>
      <c r="T2499">
        <v>30870</v>
      </c>
      <c r="U2499">
        <v>34189</v>
      </c>
      <c r="V2499" t="s">
        <v>37</v>
      </c>
    </row>
    <row r="2500" spans="1:22">
      <c r="A2500" t="str">
        <f t="shared" si="468"/>
        <v>13/03/2026</v>
      </c>
      <c r="B2500" t="str">
        <f t="shared" si="469"/>
        <v>SAÍDA</v>
      </c>
      <c r="C2500" t="str">
        <f t="shared" si="471"/>
        <v>PIX</v>
      </c>
      <c r="D2500" t="str">
        <f>"34191"</f>
        <v>34191</v>
      </c>
      <c r="E2500" t="str">
        <f t="shared" si="472"/>
        <v>1</v>
      </c>
      <c r="F2500" t="str">
        <f t="shared" si="474"/>
        <v>COM</v>
      </c>
      <c r="G2500" t="str">
        <f>"WELVES DA SILVA RAMOS (194)"</f>
        <v>WELVES DA SILVA RAMOS (194)</v>
      </c>
      <c r="H2500" t="str">
        <f>"Serv.Prest. 23/02/2026 a 01/03/2026 - PIX: CPF - CHAVE: 700.454.836-80"</f>
        <v>Serv.Prest. 23/02/2026 a 01/03/2026 - PIX: CPF - CHAVE: 700.454.836-80</v>
      </c>
      <c r="I2500" t="str">
        <f t="shared" si="470"/>
        <v>13/03/2026</v>
      </c>
      <c r="J2500" t="str">
        <f t="shared" si="473"/>
        <v>03/03/2026</v>
      </c>
      <c r="K2500" t="str">
        <f>("13/03/2026")</f>
        <v>13/03/2026</v>
      </c>
      <c r="L2500">
        <v>1080</v>
      </c>
      <c r="M2500">
        <v>1080</v>
      </c>
      <c r="N2500">
        <v>109</v>
      </c>
      <c r="O2500" t="str">
        <f>"PAGAMENTO DE ENTREGADORES"</f>
        <v>PAGAMENTO DE ENTREGADORES</v>
      </c>
      <c r="P2500">
        <v>1080</v>
      </c>
      <c r="S2500" t="str">
        <f>"BANCO C6 (149)"</f>
        <v>BANCO C6 (149)</v>
      </c>
      <c r="T2500">
        <v>30871</v>
      </c>
      <c r="U2500">
        <v>34191</v>
      </c>
      <c r="V2500" t="s">
        <v>37</v>
      </c>
    </row>
    <row r="2501" spans="1:22">
      <c r="A2501" t="str">
        <f t="shared" si="468"/>
        <v>13/03/2026</v>
      </c>
      <c r="B2501" t="str">
        <f t="shared" si="469"/>
        <v>SAÍDA</v>
      </c>
      <c r="C2501" t="str">
        <f t="shared" si="471"/>
        <v>PIX</v>
      </c>
      <c r="D2501" t="str">
        <f>"34191"</f>
        <v>34191</v>
      </c>
      <c r="E2501" t="str">
        <f t="shared" si="472"/>
        <v>1</v>
      </c>
      <c r="F2501" t="str">
        <f t="shared" si="474"/>
        <v>COM</v>
      </c>
      <c r="G2501" t="str">
        <f>"WELVES DA SILVA RAMOS (194)"</f>
        <v>WELVES DA SILVA RAMOS (194)</v>
      </c>
      <c r="H2501" t="s">
        <v>772</v>
      </c>
      <c r="I2501" t="str">
        <f t="shared" si="470"/>
        <v>13/03/2026</v>
      </c>
      <c r="J2501" t="str">
        <f t="shared" si="473"/>
        <v>03/03/2026</v>
      </c>
      <c r="K2501">
        <v>46094</v>
      </c>
      <c r="N2501">
        <v>109</v>
      </c>
      <c r="O2501" t="s">
        <v>27</v>
      </c>
      <c r="Q2501">
        <v>1080</v>
      </c>
      <c r="R2501" t="str">
        <f>"FARMÁCIA INDIANA LJ 06 (10006)"</f>
        <v>FARMÁCIA INDIANA LJ 06 (10006)</v>
      </c>
      <c r="S2501" t="s">
        <v>37</v>
      </c>
      <c r="T2501">
        <v>30871</v>
      </c>
      <c r="U2501">
        <v>34191</v>
      </c>
      <c r="V2501" t="s">
        <v>37</v>
      </c>
    </row>
    <row r="2502" spans="1:22">
      <c r="A2502" t="str">
        <f t="shared" si="468"/>
        <v>13/03/2026</v>
      </c>
      <c r="B2502" t="str">
        <f t="shared" si="469"/>
        <v>SAÍDA</v>
      </c>
      <c r="C2502" t="str">
        <f t="shared" si="471"/>
        <v>PIX</v>
      </c>
      <c r="D2502" t="str">
        <f>"34192"</f>
        <v>34192</v>
      </c>
      <c r="E2502" t="str">
        <f t="shared" si="472"/>
        <v>1</v>
      </c>
      <c r="F2502" t="str">
        <f t="shared" si="474"/>
        <v>COM</v>
      </c>
      <c r="G2502" t="str">
        <f>"WEMERSON FELIPE LOPES (187)"</f>
        <v>WEMERSON FELIPE LOPES (187)</v>
      </c>
      <c r="H2502" t="str">
        <f>"Serv.Prest. 23/02/2026 a 01/03/2026 - PIX: CELULAR - CHAVE: (33) 98806-5772"</f>
        <v>Serv.Prest. 23/02/2026 a 01/03/2026 - PIX: CELULAR - CHAVE: (33) 98806-5772</v>
      </c>
      <c r="I2502" t="str">
        <f t="shared" si="470"/>
        <v>13/03/2026</v>
      </c>
      <c r="J2502" t="str">
        <f t="shared" si="473"/>
        <v>03/03/2026</v>
      </c>
      <c r="K2502" t="str">
        <f>("13/03/2026")</f>
        <v>13/03/2026</v>
      </c>
      <c r="L2502">
        <v>1080</v>
      </c>
      <c r="M2502">
        <v>1080</v>
      </c>
      <c r="N2502">
        <v>109</v>
      </c>
      <c r="O2502" t="str">
        <f>"PAGAMENTO DE ENTREGADORES"</f>
        <v>PAGAMENTO DE ENTREGADORES</v>
      </c>
      <c r="P2502">
        <v>1080</v>
      </c>
      <c r="S2502" t="str">
        <f>"BANCO C6 (149)"</f>
        <v>BANCO C6 (149)</v>
      </c>
      <c r="T2502">
        <v>30872</v>
      </c>
      <c r="U2502">
        <v>34192</v>
      </c>
      <c r="V2502" t="s">
        <v>37</v>
      </c>
    </row>
    <row r="2503" spans="1:22">
      <c r="A2503" t="str">
        <f t="shared" si="468"/>
        <v>13/03/2026</v>
      </c>
      <c r="B2503" t="str">
        <f t="shared" si="469"/>
        <v>SAÍDA</v>
      </c>
      <c r="C2503" t="str">
        <f t="shared" si="471"/>
        <v>PIX</v>
      </c>
      <c r="D2503" t="str">
        <f>"34192"</f>
        <v>34192</v>
      </c>
      <c r="E2503" t="str">
        <f t="shared" si="472"/>
        <v>1</v>
      </c>
      <c r="F2503" t="str">
        <f t="shared" si="474"/>
        <v>COM</v>
      </c>
      <c r="G2503" t="str">
        <f>"WEMERSON FELIPE LOPES (187)"</f>
        <v>WEMERSON FELIPE LOPES (187)</v>
      </c>
      <c r="H2503" t="s">
        <v>773</v>
      </c>
      <c r="I2503" t="str">
        <f t="shared" si="470"/>
        <v>13/03/2026</v>
      </c>
      <c r="J2503" t="str">
        <f t="shared" si="473"/>
        <v>03/03/2026</v>
      </c>
      <c r="K2503">
        <v>46094</v>
      </c>
      <c r="N2503">
        <v>109</v>
      </c>
      <c r="O2503" t="s">
        <v>27</v>
      </c>
      <c r="Q2503">
        <v>1080</v>
      </c>
      <c r="R2503" t="str">
        <f>"FARMÁCIA INDIANA LJ 06 (10006)"</f>
        <v>FARMÁCIA INDIANA LJ 06 (10006)</v>
      </c>
      <c r="S2503" t="s">
        <v>37</v>
      </c>
      <c r="T2503">
        <v>30872</v>
      </c>
      <c r="U2503">
        <v>34192</v>
      </c>
      <c r="V2503" t="s">
        <v>37</v>
      </c>
    </row>
    <row r="2504" spans="1:22">
      <c r="A2504" t="str">
        <f t="shared" si="468"/>
        <v>13/03/2026</v>
      </c>
      <c r="B2504" t="str">
        <f t="shared" si="469"/>
        <v>SAÍDA</v>
      </c>
      <c r="C2504" t="str">
        <f t="shared" si="471"/>
        <v>PIX</v>
      </c>
      <c r="D2504" t="str">
        <f>"34193"</f>
        <v>34193</v>
      </c>
      <c r="E2504" t="str">
        <f t="shared" si="472"/>
        <v>1</v>
      </c>
      <c r="F2504" t="str">
        <f t="shared" si="474"/>
        <v>COM</v>
      </c>
      <c r="G2504" t="str">
        <f>"WEMERSON MOREIRA PESSOA (75)"</f>
        <v>WEMERSON MOREIRA PESSOA (75)</v>
      </c>
      <c r="H2504" t="str">
        <f>"Serv.Prest. 23/02/2026 a 01/03/2026 - PIX: CELULAR - CHAVE: (33) 99996-3668"</f>
        <v>Serv.Prest. 23/02/2026 a 01/03/2026 - PIX: CELULAR - CHAVE: (33) 99996-3668</v>
      </c>
      <c r="I2504" t="str">
        <f t="shared" si="470"/>
        <v>13/03/2026</v>
      </c>
      <c r="J2504" t="str">
        <f t="shared" si="473"/>
        <v>03/03/2026</v>
      </c>
      <c r="K2504" t="str">
        <f>("13/03/2026")</f>
        <v>13/03/2026</v>
      </c>
      <c r="L2504">
        <v>432</v>
      </c>
      <c r="M2504">
        <v>432</v>
      </c>
      <c r="N2504">
        <v>109</v>
      </c>
      <c r="O2504" t="str">
        <f>"PAGAMENTO DE ENTREGADORES"</f>
        <v>PAGAMENTO DE ENTREGADORES</v>
      </c>
      <c r="P2504">
        <v>432</v>
      </c>
      <c r="S2504" t="str">
        <f>"BANCO C6 (149)"</f>
        <v>BANCO C6 (149)</v>
      </c>
      <c r="T2504">
        <v>30873</v>
      </c>
      <c r="U2504">
        <v>34193</v>
      </c>
      <c r="V2504" t="s">
        <v>37</v>
      </c>
    </row>
    <row r="2505" spans="1:22">
      <c r="A2505" t="str">
        <f t="shared" si="468"/>
        <v>13/03/2026</v>
      </c>
      <c r="B2505" t="str">
        <f t="shared" si="469"/>
        <v>SAÍDA</v>
      </c>
      <c r="C2505" t="str">
        <f t="shared" si="471"/>
        <v>PIX</v>
      </c>
      <c r="D2505" t="str">
        <f>"34193"</f>
        <v>34193</v>
      </c>
      <c r="E2505" t="str">
        <f t="shared" si="472"/>
        <v>1</v>
      </c>
      <c r="F2505" t="str">
        <f t="shared" si="474"/>
        <v>COM</v>
      </c>
      <c r="G2505" t="str">
        <f>"WEMERSON MOREIRA PESSOA (75)"</f>
        <v>WEMERSON MOREIRA PESSOA (75)</v>
      </c>
      <c r="H2505" t="s">
        <v>774</v>
      </c>
      <c r="I2505" t="str">
        <f t="shared" si="470"/>
        <v>13/03/2026</v>
      </c>
      <c r="J2505" t="str">
        <f t="shared" si="473"/>
        <v>03/03/2026</v>
      </c>
      <c r="K2505">
        <v>46094</v>
      </c>
      <c r="N2505">
        <v>109</v>
      </c>
      <c r="O2505" t="s">
        <v>27</v>
      </c>
      <c r="Q2505">
        <v>432</v>
      </c>
      <c r="R2505" t="str">
        <f>"FARMÁCIA INDIANA LJ 07 (10007)"</f>
        <v>FARMÁCIA INDIANA LJ 07 (10007)</v>
      </c>
      <c r="S2505" t="s">
        <v>37</v>
      </c>
      <c r="T2505">
        <v>30873</v>
      </c>
      <c r="U2505">
        <v>34193</v>
      </c>
      <c r="V2505" t="s">
        <v>37</v>
      </c>
    </row>
    <row r="2506" spans="1:22">
      <c r="A2506" t="str">
        <f t="shared" si="468"/>
        <v>13/03/2026</v>
      </c>
      <c r="B2506" t="str">
        <f t="shared" si="469"/>
        <v>SAÍDA</v>
      </c>
      <c r="C2506" t="str">
        <f t="shared" si="471"/>
        <v>PIX</v>
      </c>
      <c r="D2506" t="str">
        <f>"34194"</f>
        <v>34194</v>
      </c>
      <c r="E2506" t="str">
        <f t="shared" si="472"/>
        <v>1</v>
      </c>
      <c r="F2506" t="str">
        <f t="shared" si="474"/>
        <v>COM</v>
      </c>
      <c r="G2506" t="str">
        <f>"WENDEL LIMA DE SOUZA (112)"</f>
        <v>WENDEL LIMA DE SOUZA (112)</v>
      </c>
      <c r="H2506" t="str">
        <f>"Serv.Prest. 23/02/2026 a 01/03/2026 - PIX: CELULAR - CHAVE: (31) 99506-2265"</f>
        <v>Serv.Prest. 23/02/2026 a 01/03/2026 - PIX: CELULAR - CHAVE: (31) 99506-2265</v>
      </c>
      <c r="I2506" t="str">
        <f t="shared" si="470"/>
        <v>13/03/2026</v>
      </c>
      <c r="J2506" t="str">
        <f t="shared" si="473"/>
        <v>03/03/2026</v>
      </c>
      <c r="K2506" t="str">
        <f>("13/03/2026")</f>
        <v>13/03/2026</v>
      </c>
      <c r="L2506">
        <v>1290</v>
      </c>
      <c r="M2506">
        <v>1290</v>
      </c>
      <c r="N2506">
        <v>109</v>
      </c>
      <c r="O2506" t="str">
        <f>"PAGAMENTO DE ENTREGADORES"</f>
        <v>PAGAMENTO DE ENTREGADORES</v>
      </c>
      <c r="P2506">
        <v>1290</v>
      </c>
      <c r="S2506" t="str">
        <f>"BANCO C6 (149)"</f>
        <v>BANCO C6 (149)</v>
      </c>
      <c r="T2506">
        <v>30874</v>
      </c>
      <c r="U2506">
        <v>34194</v>
      </c>
      <c r="V2506" t="s">
        <v>37</v>
      </c>
    </row>
    <row r="2507" spans="1:22">
      <c r="A2507" t="str">
        <f t="shared" si="468"/>
        <v>13/03/2026</v>
      </c>
      <c r="B2507" t="str">
        <f t="shared" si="469"/>
        <v>SAÍDA</v>
      </c>
      <c r="C2507" t="str">
        <f t="shared" si="471"/>
        <v>PIX</v>
      </c>
      <c r="D2507" t="str">
        <f>"34194"</f>
        <v>34194</v>
      </c>
      <c r="E2507" t="str">
        <f t="shared" si="472"/>
        <v>1</v>
      </c>
      <c r="F2507" t="str">
        <f t="shared" si="474"/>
        <v>COM</v>
      </c>
      <c r="G2507" t="str">
        <f>"WENDEL LIMA DE SOUZA (112)"</f>
        <v>WENDEL LIMA DE SOUZA (112)</v>
      </c>
      <c r="H2507" t="s">
        <v>775</v>
      </c>
      <c r="I2507" t="str">
        <f t="shared" si="470"/>
        <v>13/03/2026</v>
      </c>
      <c r="J2507" t="str">
        <f t="shared" si="473"/>
        <v>03/03/2026</v>
      </c>
      <c r="K2507">
        <v>46094</v>
      </c>
      <c r="N2507">
        <v>109</v>
      </c>
      <c r="O2507" t="s">
        <v>27</v>
      </c>
      <c r="Q2507">
        <v>1290</v>
      </c>
      <c r="R2507" t="str">
        <f>"FARMÁCIA INDIANA LJ 11 (10008)"</f>
        <v>FARMÁCIA INDIANA LJ 11 (10008)</v>
      </c>
      <c r="S2507" t="s">
        <v>37</v>
      </c>
      <c r="T2507">
        <v>30874</v>
      </c>
      <c r="U2507">
        <v>34194</v>
      </c>
      <c r="V2507" t="s">
        <v>37</v>
      </c>
    </row>
    <row r="2508" spans="1:22">
      <c r="A2508" t="str">
        <f t="shared" si="468"/>
        <v>13/03/2026</v>
      </c>
      <c r="B2508" t="str">
        <f t="shared" si="469"/>
        <v>SAÍDA</v>
      </c>
      <c r="C2508" t="str">
        <f t="shared" si="471"/>
        <v>PIX</v>
      </c>
      <c r="D2508" t="str">
        <f>"34195"</f>
        <v>34195</v>
      </c>
      <c r="E2508" t="str">
        <f t="shared" si="472"/>
        <v>1</v>
      </c>
      <c r="F2508" t="str">
        <f t="shared" si="474"/>
        <v>COM</v>
      </c>
      <c r="G2508" t="str">
        <f>"WILIAN ROSA VIEIRA (488)"</f>
        <v>WILIAN ROSA VIEIRA (488)</v>
      </c>
      <c r="H2508" t="str">
        <f>"Serv.Prest. 23/02/2026 a 01/03/2026 - PIX: E-MAIL - CHAVE: wilianvieirawrv3578@gmail.com"</f>
        <v>Serv.Prest. 23/02/2026 a 01/03/2026 - PIX: E-MAIL - CHAVE: wilianvieirawrv3578@gmail.com</v>
      </c>
      <c r="I2508" t="str">
        <f t="shared" si="470"/>
        <v>13/03/2026</v>
      </c>
      <c r="J2508" t="str">
        <f t="shared" si="473"/>
        <v>03/03/2026</v>
      </c>
      <c r="K2508" t="str">
        <f>("13/03/2026")</f>
        <v>13/03/2026</v>
      </c>
      <c r="L2508">
        <v>702</v>
      </c>
      <c r="M2508">
        <v>702</v>
      </c>
      <c r="N2508">
        <v>109</v>
      </c>
      <c r="O2508" t="str">
        <f>"PAGAMENTO DE ENTREGADORES"</f>
        <v>PAGAMENTO DE ENTREGADORES</v>
      </c>
      <c r="P2508">
        <v>702</v>
      </c>
      <c r="S2508" t="str">
        <f>"BANCO C6 (149)"</f>
        <v>BANCO C6 (149)</v>
      </c>
      <c r="T2508">
        <v>30875</v>
      </c>
      <c r="U2508">
        <v>34195</v>
      </c>
      <c r="V2508" t="s">
        <v>37</v>
      </c>
    </row>
    <row r="2509" spans="1:22">
      <c r="A2509" t="str">
        <f t="shared" si="468"/>
        <v>13/03/2026</v>
      </c>
      <c r="B2509" t="str">
        <f t="shared" si="469"/>
        <v>SAÍDA</v>
      </c>
      <c r="C2509" t="str">
        <f t="shared" si="471"/>
        <v>PIX</v>
      </c>
      <c r="D2509" t="str">
        <f>"34195"</f>
        <v>34195</v>
      </c>
      <c r="E2509" t="str">
        <f t="shared" si="472"/>
        <v>1</v>
      </c>
      <c r="F2509" t="str">
        <f t="shared" si="474"/>
        <v>COM</v>
      </c>
      <c r="G2509" t="str">
        <f>"WILIAN ROSA VIEIRA (488)"</f>
        <v>WILIAN ROSA VIEIRA (488)</v>
      </c>
      <c r="H2509" t="s">
        <v>776</v>
      </c>
      <c r="I2509" t="str">
        <f t="shared" si="470"/>
        <v>13/03/2026</v>
      </c>
      <c r="J2509" t="str">
        <f t="shared" si="473"/>
        <v>03/03/2026</v>
      </c>
      <c r="K2509">
        <v>46094</v>
      </c>
      <c r="N2509">
        <v>109</v>
      </c>
      <c r="O2509" t="s">
        <v>27</v>
      </c>
      <c r="Q2509">
        <v>311.97000000000003</v>
      </c>
      <c r="R2509" t="str">
        <f>"FARMÁCIA INDIANA LJ 103 (10044)"</f>
        <v>FARMÁCIA INDIANA LJ 103 (10044)</v>
      </c>
      <c r="S2509" t="s">
        <v>37</v>
      </c>
      <c r="T2509">
        <v>30875</v>
      </c>
      <c r="U2509">
        <v>34195</v>
      </c>
      <c r="V2509" t="s">
        <v>37</v>
      </c>
    </row>
    <row r="2510" spans="1:22">
      <c r="A2510" t="str">
        <f t="shared" si="468"/>
        <v>13/03/2026</v>
      </c>
      <c r="B2510" t="str">
        <f t="shared" si="469"/>
        <v>SAÍDA</v>
      </c>
      <c r="C2510" t="str">
        <f t="shared" si="471"/>
        <v>PIX</v>
      </c>
      <c r="D2510" t="str">
        <f>"34195"</f>
        <v>34195</v>
      </c>
      <c r="E2510" t="str">
        <f t="shared" si="472"/>
        <v>1</v>
      </c>
      <c r="F2510" t="str">
        <f t="shared" si="474"/>
        <v>COM</v>
      </c>
      <c r="G2510" t="str">
        <f>"WILIAN ROSA VIEIRA (488)"</f>
        <v>WILIAN ROSA VIEIRA (488)</v>
      </c>
      <c r="H2510" t="s">
        <v>776</v>
      </c>
      <c r="I2510" t="str">
        <f t="shared" si="470"/>
        <v>13/03/2026</v>
      </c>
      <c r="J2510" t="str">
        <f t="shared" si="473"/>
        <v>03/03/2026</v>
      </c>
      <c r="K2510">
        <v>46094</v>
      </c>
      <c r="N2510">
        <v>109</v>
      </c>
      <c r="O2510" t="s">
        <v>27</v>
      </c>
      <c r="Q2510">
        <v>77.989999999999995</v>
      </c>
      <c r="R2510" t="str">
        <f>"FARMÁCIA INDIANA LJ 140 (10064)"</f>
        <v>FARMÁCIA INDIANA LJ 140 (10064)</v>
      </c>
      <c r="S2510" t="s">
        <v>37</v>
      </c>
      <c r="T2510">
        <v>30875</v>
      </c>
      <c r="U2510">
        <v>34195</v>
      </c>
      <c r="V2510" t="s">
        <v>37</v>
      </c>
    </row>
    <row r="2511" spans="1:22">
      <c r="A2511" t="str">
        <f t="shared" ref="A2511:A2550" si="475">("13/03/2026")</f>
        <v>13/03/2026</v>
      </c>
      <c r="B2511" t="str">
        <f t="shared" si="469"/>
        <v>SAÍDA</v>
      </c>
      <c r="C2511" t="str">
        <f t="shared" si="471"/>
        <v>PIX</v>
      </c>
      <c r="D2511" t="str">
        <f>"34195"</f>
        <v>34195</v>
      </c>
      <c r="E2511" t="str">
        <f t="shared" si="472"/>
        <v>1</v>
      </c>
      <c r="F2511" t="str">
        <f t="shared" si="474"/>
        <v>COM</v>
      </c>
      <c r="G2511" t="str">
        <f>"WILIAN ROSA VIEIRA (488)"</f>
        <v>WILIAN ROSA VIEIRA (488)</v>
      </c>
      <c r="H2511" t="s">
        <v>776</v>
      </c>
      <c r="I2511" t="str">
        <f t="shared" si="470"/>
        <v>13/03/2026</v>
      </c>
      <c r="J2511" t="str">
        <f t="shared" si="473"/>
        <v>03/03/2026</v>
      </c>
      <c r="K2511">
        <v>46094</v>
      </c>
      <c r="N2511">
        <v>109</v>
      </c>
      <c r="O2511" t="s">
        <v>27</v>
      </c>
      <c r="Q2511">
        <v>39.03</v>
      </c>
      <c r="R2511" t="str">
        <f>"FARMÁCIA INDIANA LJ 141 (10065)"</f>
        <v>FARMÁCIA INDIANA LJ 141 (10065)</v>
      </c>
      <c r="S2511" t="s">
        <v>37</v>
      </c>
      <c r="T2511">
        <v>30875</v>
      </c>
      <c r="U2511">
        <v>34195</v>
      </c>
      <c r="V2511" t="s">
        <v>37</v>
      </c>
    </row>
    <row r="2512" spans="1:22">
      <c r="A2512" t="str">
        <f t="shared" si="475"/>
        <v>13/03/2026</v>
      </c>
      <c r="B2512" t="str">
        <f t="shared" si="469"/>
        <v>SAÍDA</v>
      </c>
      <c r="C2512" t="str">
        <f t="shared" si="471"/>
        <v>PIX</v>
      </c>
      <c r="D2512" t="str">
        <f>"34195"</f>
        <v>34195</v>
      </c>
      <c r="E2512" t="str">
        <f t="shared" si="472"/>
        <v>1</v>
      </c>
      <c r="F2512" t="str">
        <f t="shared" si="474"/>
        <v>COM</v>
      </c>
      <c r="G2512" t="str">
        <f>"WILIAN ROSA VIEIRA (488)"</f>
        <v>WILIAN ROSA VIEIRA (488)</v>
      </c>
      <c r="H2512" t="s">
        <v>776</v>
      </c>
      <c r="I2512" t="str">
        <f t="shared" si="470"/>
        <v>13/03/2026</v>
      </c>
      <c r="J2512" t="str">
        <f t="shared" si="473"/>
        <v>03/03/2026</v>
      </c>
      <c r="K2512">
        <v>46094</v>
      </c>
      <c r="N2512">
        <v>109</v>
      </c>
      <c r="O2512" t="s">
        <v>27</v>
      </c>
      <c r="Q2512">
        <v>273.01</v>
      </c>
      <c r="R2512" t="str">
        <f>"FARMÁCIA INDIANA LJ 154 (10070)"</f>
        <v>FARMÁCIA INDIANA LJ 154 (10070)</v>
      </c>
      <c r="S2512" t="s">
        <v>37</v>
      </c>
      <c r="T2512">
        <v>30875</v>
      </c>
      <c r="U2512">
        <v>34195</v>
      </c>
      <c r="V2512" t="s">
        <v>37</v>
      </c>
    </row>
    <row r="2513" spans="1:22">
      <c r="A2513" t="str">
        <f t="shared" si="475"/>
        <v>13/03/2026</v>
      </c>
      <c r="B2513" t="str">
        <f t="shared" si="469"/>
        <v>SAÍDA</v>
      </c>
      <c r="C2513" t="str">
        <f t="shared" si="471"/>
        <v>PIX</v>
      </c>
      <c r="D2513" t="str">
        <f>"34197"</f>
        <v>34197</v>
      </c>
      <c r="E2513" t="str">
        <f t="shared" si="472"/>
        <v>1</v>
      </c>
      <c r="F2513" t="str">
        <f t="shared" si="474"/>
        <v>COM</v>
      </c>
      <c r="G2513" t="str">
        <f>"YAN EVERTON RODRIGUES DE LIMA (875)"</f>
        <v>YAN EVERTON RODRIGUES DE LIMA (875)</v>
      </c>
      <c r="H2513" t="str">
        <f>"Serv.Prest. 23/02/2026 a 01/03/2026 - PIX: CELULAR - CHAVE: (33) 99859-8751"</f>
        <v>Serv.Prest. 23/02/2026 a 01/03/2026 - PIX: CELULAR - CHAVE: (33) 99859-8751</v>
      </c>
      <c r="I2513" t="str">
        <f t="shared" si="470"/>
        <v>13/03/2026</v>
      </c>
      <c r="J2513" t="str">
        <f t="shared" si="473"/>
        <v>03/03/2026</v>
      </c>
      <c r="K2513" t="str">
        <f>("13/03/2026")</f>
        <v>13/03/2026</v>
      </c>
      <c r="L2513">
        <v>1060</v>
      </c>
      <c r="M2513">
        <v>1060</v>
      </c>
      <c r="N2513">
        <v>109</v>
      </c>
      <c r="O2513" t="str">
        <f>"PAGAMENTO DE ENTREGADORES"</f>
        <v>PAGAMENTO DE ENTREGADORES</v>
      </c>
      <c r="P2513">
        <v>1060</v>
      </c>
      <c r="S2513" t="str">
        <f>"BANCO C6 (149)"</f>
        <v>BANCO C6 (149)</v>
      </c>
      <c r="T2513">
        <v>30876</v>
      </c>
      <c r="U2513">
        <v>34197</v>
      </c>
      <c r="V2513" t="s">
        <v>37</v>
      </c>
    </row>
    <row r="2514" spans="1:22">
      <c r="A2514" t="str">
        <f t="shared" si="475"/>
        <v>13/03/2026</v>
      </c>
      <c r="B2514" t="str">
        <f t="shared" si="469"/>
        <v>SAÍDA</v>
      </c>
      <c r="C2514" t="str">
        <f t="shared" si="471"/>
        <v>PIX</v>
      </c>
      <c r="D2514" t="str">
        <f>"34197"</f>
        <v>34197</v>
      </c>
      <c r="E2514" t="str">
        <f t="shared" si="472"/>
        <v>1</v>
      </c>
      <c r="F2514" t="str">
        <f t="shared" si="474"/>
        <v>COM</v>
      </c>
      <c r="G2514" t="str">
        <f>"YAN EVERTON RODRIGUES DE LIMA (875)"</f>
        <v>YAN EVERTON RODRIGUES DE LIMA (875)</v>
      </c>
      <c r="H2514" t="s">
        <v>460</v>
      </c>
      <c r="I2514" t="str">
        <f t="shared" si="470"/>
        <v>13/03/2026</v>
      </c>
      <c r="J2514" t="str">
        <f t="shared" si="473"/>
        <v>03/03/2026</v>
      </c>
      <c r="K2514">
        <v>46094</v>
      </c>
      <c r="N2514">
        <v>109</v>
      </c>
      <c r="O2514" t="s">
        <v>27</v>
      </c>
      <c r="Q2514">
        <v>1060</v>
      </c>
      <c r="R2514" t="str">
        <f>"FARMÁCIA INDIANA LJ 06 (10006)"</f>
        <v>FARMÁCIA INDIANA LJ 06 (10006)</v>
      </c>
      <c r="S2514" t="s">
        <v>37</v>
      </c>
      <c r="T2514">
        <v>30876</v>
      </c>
      <c r="U2514">
        <v>34197</v>
      </c>
      <c r="V2514" t="s">
        <v>37</v>
      </c>
    </row>
    <row r="2515" spans="1:22">
      <c r="A2515" t="str">
        <f t="shared" si="475"/>
        <v>13/03/2026</v>
      </c>
      <c r="B2515" t="str">
        <f t="shared" si="469"/>
        <v>SAÍDA</v>
      </c>
      <c r="C2515" t="str">
        <f t="shared" si="471"/>
        <v>PIX</v>
      </c>
      <c r="D2515" t="str">
        <f>"34735"</f>
        <v>34735</v>
      </c>
      <c r="E2515" t="str">
        <f t="shared" si="472"/>
        <v>1</v>
      </c>
      <c r="F2515" t="str">
        <f t="shared" si="474"/>
        <v>COM</v>
      </c>
      <c r="G2515" t="str">
        <f>"JOSÉ HENRIQUE RODRIGUES (430)"</f>
        <v>JOSÉ HENRIQUE RODRIGUES (430)</v>
      </c>
      <c r="H2515" t="str">
        <f>"Serv.Prest. 02/03/2026 a 08/03/2026 - PIX: CPF - CHAVE: 100.826.516-04"</f>
        <v>Serv.Prest. 02/03/2026 a 08/03/2026 - PIX: CPF - CHAVE: 100.826.516-04</v>
      </c>
      <c r="I2515" t="str">
        <f t="shared" si="470"/>
        <v>13/03/2026</v>
      </c>
      <c r="J2515" t="str">
        <f t="shared" ref="J2515:J2524" si="476">("11/03/2026")</f>
        <v>11/03/2026</v>
      </c>
      <c r="K2515" t="str">
        <f>("13/03/2026")</f>
        <v>13/03/2026</v>
      </c>
      <c r="L2515">
        <v>900</v>
      </c>
      <c r="M2515">
        <v>900</v>
      </c>
      <c r="N2515">
        <v>109</v>
      </c>
      <c r="O2515" t="str">
        <f>"PAGAMENTO DE ENTREGADORES"</f>
        <v>PAGAMENTO DE ENTREGADORES</v>
      </c>
      <c r="P2515">
        <v>900</v>
      </c>
      <c r="S2515" t="str">
        <f>"BANCO C6 (149)"</f>
        <v>BANCO C6 (149)</v>
      </c>
      <c r="T2515">
        <v>30877</v>
      </c>
      <c r="U2515">
        <v>34735</v>
      </c>
      <c r="V2515" t="s">
        <v>37</v>
      </c>
    </row>
    <row r="2516" spans="1:22">
      <c r="A2516" t="str">
        <f t="shared" si="475"/>
        <v>13/03/2026</v>
      </c>
      <c r="B2516" t="str">
        <f t="shared" si="469"/>
        <v>SAÍDA</v>
      </c>
      <c r="C2516" t="str">
        <f t="shared" si="471"/>
        <v>PIX</v>
      </c>
      <c r="D2516" t="str">
        <f>"34735"</f>
        <v>34735</v>
      </c>
      <c r="E2516" t="str">
        <f t="shared" si="472"/>
        <v>1</v>
      </c>
      <c r="F2516" t="str">
        <f t="shared" si="474"/>
        <v>COM</v>
      </c>
      <c r="G2516" t="str">
        <f>"JOSÉ HENRIQUE RODRIGUES (430)"</f>
        <v>JOSÉ HENRIQUE RODRIGUES (430)</v>
      </c>
      <c r="H2516" t="s">
        <v>551</v>
      </c>
      <c r="I2516" t="str">
        <f t="shared" si="470"/>
        <v>13/03/2026</v>
      </c>
      <c r="J2516" t="str">
        <f t="shared" si="476"/>
        <v>11/03/2026</v>
      </c>
      <c r="K2516">
        <v>46094</v>
      </c>
      <c r="N2516">
        <v>109</v>
      </c>
      <c r="O2516" t="s">
        <v>27</v>
      </c>
      <c r="Q2516">
        <v>900</v>
      </c>
      <c r="R2516" t="str">
        <f>"PAGMENOS - LJ 608 (10135)"</f>
        <v>PAGMENOS - LJ 608 (10135)</v>
      </c>
      <c r="S2516" t="s">
        <v>37</v>
      </c>
      <c r="T2516">
        <v>30877</v>
      </c>
      <c r="U2516">
        <v>34735</v>
      </c>
      <c r="V2516" t="s">
        <v>37</v>
      </c>
    </row>
    <row r="2517" spans="1:22">
      <c r="A2517" t="str">
        <f t="shared" si="475"/>
        <v>13/03/2026</v>
      </c>
      <c r="B2517" t="str">
        <f t="shared" si="469"/>
        <v>SAÍDA</v>
      </c>
      <c r="C2517" t="str">
        <f t="shared" si="471"/>
        <v>PIX</v>
      </c>
      <c r="D2517" t="str">
        <f>"34743"</f>
        <v>34743</v>
      </c>
      <c r="E2517" t="str">
        <f t="shared" si="472"/>
        <v>1</v>
      </c>
      <c r="F2517" t="str">
        <f t="shared" si="474"/>
        <v>COM</v>
      </c>
      <c r="G2517" t="str">
        <f>"TALES SILVA MARIANO (431)"</f>
        <v>TALES SILVA MARIANO (431)</v>
      </c>
      <c r="H2517" t="str">
        <f>"Serv.Prest. 02/03/2026 a 08/03/2026 - PIX: CNPJ - CHAVE: 64.735.042/0001-53"</f>
        <v>Serv.Prest. 02/03/2026 a 08/03/2026 - PIX: CNPJ - CHAVE: 64.735.042/0001-53</v>
      </c>
      <c r="I2517" t="str">
        <f t="shared" si="470"/>
        <v>13/03/2026</v>
      </c>
      <c r="J2517" t="str">
        <f t="shared" si="476"/>
        <v>11/03/2026</v>
      </c>
      <c r="K2517" t="str">
        <f>("13/03/2026")</f>
        <v>13/03/2026</v>
      </c>
      <c r="L2517">
        <v>900</v>
      </c>
      <c r="M2517">
        <v>900</v>
      </c>
      <c r="N2517">
        <v>109</v>
      </c>
      <c r="O2517" t="str">
        <f>"PAGAMENTO DE ENTREGADORES"</f>
        <v>PAGAMENTO DE ENTREGADORES</v>
      </c>
      <c r="P2517">
        <v>900</v>
      </c>
      <c r="S2517" t="str">
        <f>"BANCO C6 (149)"</f>
        <v>BANCO C6 (149)</v>
      </c>
      <c r="T2517">
        <v>30878</v>
      </c>
      <c r="U2517">
        <v>34743</v>
      </c>
      <c r="V2517" t="s">
        <v>37</v>
      </c>
    </row>
    <row r="2518" spans="1:22">
      <c r="A2518" t="str">
        <f t="shared" si="475"/>
        <v>13/03/2026</v>
      </c>
      <c r="B2518" t="str">
        <f t="shared" si="469"/>
        <v>SAÍDA</v>
      </c>
      <c r="C2518" t="str">
        <f t="shared" si="471"/>
        <v>PIX</v>
      </c>
      <c r="D2518" t="str">
        <f>"34743"</f>
        <v>34743</v>
      </c>
      <c r="E2518" t="str">
        <f t="shared" si="472"/>
        <v>1</v>
      </c>
      <c r="F2518" t="str">
        <f t="shared" si="474"/>
        <v>COM</v>
      </c>
      <c r="G2518" t="str">
        <f>"TALES SILVA MARIANO (431)"</f>
        <v>TALES SILVA MARIANO (431)</v>
      </c>
      <c r="H2518" t="s">
        <v>548</v>
      </c>
      <c r="I2518" t="str">
        <f t="shared" si="470"/>
        <v>13/03/2026</v>
      </c>
      <c r="J2518" t="str">
        <f t="shared" si="476"/>
        <v>11/03/2026</v>
      </c>
      <c r="K2518">
        <v>46094</v>
      </c>
      <c r="N2518">
        <v>109</v>
      </c>
      <c r="O2518" t="s">
        <v>27</v>
      </c>
      <c r="Q2518">
        <v>900</v>
      </c>
      <c r="R2518" t="str">
        <f>"PAGMENOS - LJ 608 (10135)"</f>
        <v>PAGMENOS - LJ 608 (10135)</v>
      </c>
      <c r="S2518" t="s">
        <v>37</v>
      </c>
      <c r="T2518">
        <v>30878</v>
      </c>
      <c r="U2518">
        <v>34743</v>
      </c>
      <c r="V2518" t="s">
        <v>37</v>
      </c>
    </row>
    <row r="2519" spans="1:22">
      <c r="A2519" t="str">
        <f t="shared" si="475"/>
        <v>13/03/2026</v>
      </c>
      <c r="B2519" t="str">
        <f t="shared" si="469"/>
        <v>SAÍDA</v>
      </c>
      <c r="C2519" t="str">
        <f t="shared" si="471"/>
        <v>PIX</v>
      </c>
      <c r="D2519" t="str">
        <f>"34748"</f>
        <v>34748</v>
      </c>
      <c r="E2519" t="str">
        <f t="shared" si="472"/>
        <v>1</v>
      </c>
      <c r="F2519" t="str">
        <f t="shared" si="474"/>
        <v>COM</v>
      </c>
      <c r="G2519" t="str">
        <f>"WELDER LINHARES ALVES (1306)"</f>
        <v>WELDER LINHARES ALVES (1306)</v>
      </c>
      <c r="H2519" t="str">
        <f>"Serv.Prest.COMPLEMENTO 02/03/2026 a 08/03/2026 - PIX: CHAVE ALEATÓRIA - CHAVE: b7127766-e2b6-47e0-bdc0-95f13babb6f4"</f>
        <v>Serv.Prest.COMPLEMENTO 02/03/2026 a 08/03/2026 - PIX: CHAVE ALEATÓRIA - CHAVE: b7127766-e2b6-47e0-bdc0-95f13babb6f4</v>
      </c>
      <c r="I2519" t="str">
        <f t="shared" si="470"/>
        <v>13/03/2026</v>
      </c>
      <c r="J2519" t="str">
        <f t="shared" si="476"/>
        <v>11/03/2026</v>
      </c>
      <c r="K2519" t="str">
        <f>("13/03/2026")</f>
        <v>13/03/2026</v>
      </c>
      <c r="L2519">
        <v>348</v>
      </c>
      <c r="M2519">
        <v>348</v>
      </c>
      <c r="N2519">
        <v>109</v>
      </c>
      <c r="O2519" t="str">
        <f>"PAGAMENTO DE ENTREGADORES"</f>
        <v>PAGAMENTO DE ENTREGADORES</v>
      </c>
      <c r="P2519">
        <v>348</v>
      </c>
      <c r="S2519" t="str">
        <f>"BANCO C6 (149)"</f>
        <v>BANCO C6 (149)</v>
      </c>
      <c r="T2519">
        <v>30879</v>
      </c>
      <c r="U2519">
        <v>34748</v>
      </c>
      <c r="V2519" t="s">
        <v>37</v>
      </c>
    </row>
    <row r="2520" spans="1:22">
      <c r="A2520" t="str">
        <f t="shared" si="475"/>
        <v>13/03/2026</v>
      </c>
      <c r="B2520" t="str">
        <f t="shared" si="469"/>
        <v>SAÍDA</v>
      </c>
      <c r="C2520" t="str">
        <f t="shared" si="471"/>
        <v>PIX</v>
      </c>
      <c r="D2520" t="str">
        <f>"34748"</f>
        <v>34748</v>
      </c>
      <c r="E2520" t="str">
        <f t="shared" si="472"/>
        <v>1</v>
      </c>
      <c r="F2520" t="str">
        <f t="shared" si="474"/>
        <v>COM</v>
      </c>
      <c r="G2520" t="str">
        <f>"WELDER LINHARES ALVES (1306)"</f>
        <v>WELDER LINHARES ALVES (1306)</v>
      </c>
      <c r="H2520" t="s">
        <v>777</v>
      </c>
      <c r="I2520" t="str">
        <f t="shared" si="470"/>
        <v>13/03/2026</v>
      </c>
      <c r="J2520" t="str">
        <f t="shared" si="476"/>
        <v>11/03/2026</v>
      </c>
      <c r="K2520">
        <v>46094</v>
      </c>
      <c r="N2520">
        <v>109</v>
      </c>
      <c r="O2520" t="s">
        <v>27</v>
      </c>
      <c r="Q2520">
        <v>348</v>
      </c>
      <c r="R2520" t="str">
        <f>"PAGMENOS - LJ 431 (10265)"</f>
        <v>PAGMENOS - LJ 431 (10265)</v>
      </c>
      <c r="S2520" t="s">
        <v>37</v>
      </c>
      <c r="T2520">
        <v>30879</v>
      </c>
      <c r="U2520">
        <v>34748</v>
      </c>
      <c r="V2520" t="s">
        <v>37</v>
      </c>
    </row>
    <row r="2521" spans="1:22">
      <c r="A2521" t="str">
        <f t="shared" si="475"/>
        <v>13/03/2026</v>
      </c>
      <c r="B2521" t="str">
        <f t="shared" si="469"/>
        <v>SAÍDA</v>
      </c>
      <c r="C2521" t="str">
        <f t="shared" si="471"/>
        <v>PIX</v>
      </c>
      <c r="D2521" t="str">
        <f>"34750"</f>
        <v>34750</v>
      </c>
      <c r="E2521" t="str">
        <f t="shared" si="472"/>
        <v>1</v>
      </c>
      <c r="F2521" t="str">
        <f t="shared" si="474"/>
        <v>COM</v>
      </c>
      <c r="G2521" t="str">
        <f>"WENDERSON SILVA MAIA (1238)"</f>
        <v>WENDERSON SILVA MAIA (1238)</v>
      </c>
      <c r="H2521" t="str">
        <f>"Serv.Prest.COMPLEMENTO 02/03/2026 a 08/03/2026 - PIX: E-MAIL - CHAVE: wender.56@hotmail.com"</f>
        <v>Serv.Prest.COMPLEMENTO 02/03/2026 a 08/03/2026 - PIX: E-MAIL - CHAVE: wender.56@hotmail.com</v>
      </c>
      <c r="I2521" t="str">
        <f t="shared" si="470"/>
        <v>13/03/2026</v>
      </c>
      <c r="J2521" t="str">
        <f t="shared" si="476"/>
        <v>11/03/2026</v>
      </c>
      <c r="K2521" t="str">
        <f>("13/03/2026")</f>
        <v>13/03/2026</v>
      </c>
      <c r="L2521">
        <v>348</v>
      </c>
      <c r="M2521">
        <v>348</v>
      </c>
      <c r="N2521">
        <v>109</v>
      </c>
      <c r="O2521" t="str">
        <f>"PAGAMENTO DE ENTREGADORES"</f>
        <v>PAGAMENTO DE ENTREGADORES</v>
      </c>
      <c r="P2521">
        <v>348</v>
      </c>
      <c r="S2521" t="str">
        <f>"BANCO C6 (149)"</f>
        <v>BANCO C6 (149)</v>
      </c>
      <c r="T2521">
        <v>30880</v>
      </c>
      <c r="U2521">
        <v>34750</v>
      </c>
      <c r="V2521" t="s">
        <v>37</v>
      </c>
    </row>
    <row r="2522" spans="1:22">
      <c r="A2522" t="str">
        <f t="shared" si="475"/>
        <v>13/03/2026</v>
      </c>
      <c r="B2522" t="str">
        <f t="shared" si="469"/>
        <v>SAÍDA</v>
      </c>
      <c r="C2522" t="str">
        <f t="shared" si="471"/>
        <v>PIX</v>
      </c>
      <c r="D2522" t="str">
        <f>"34750"</f>
        <v>34750</v>
      </c>
      <c r="E2522" t="str">
        <f t="shared" si="472"/>
        <v>1</v>
      </c>
      <c r="F2522" t="str">
        <f t="shared" si="474"/>
        <v>COM</v>
      </c>
      <c r="G2522" t="str">
        <f>"WENDERSON SILVA MAIA (1238)"</f>
        <v>WENDERSON SILVA MAIA (1238)</v>
      </c>
      <c r="H2522" t="s">
        <v>778</v>
      </c>
      <c r="I2522" t="str">
        <f t="shared" si="470"/>
        <v>13/03/2026</v>
      </c>
      <c r="J2522" t="str">
        <f t="shared" si="476"/>
        <v>11/03/2026</v>
      </c>
      <c r="K2522">
        <v>46094</v>
      </c>
      <c r="N2522">
        <v>109</v>
      </c>
      <c r="O2522" t="s">
        <v>27</v>
      </c>
      <c r="Q2522">
        <v>348</v>
      </c>
      <c r="R2522" t="str">
        <f>"PAGMENOS - LJ 431 (10265)"</f>
        <v>PAGMENOS - LJ 431 (10265)</v>
      </c>
      <c r="S2522" t="s">
        <v>37</v>
      </c>
      <c r="T2522">
        <v>30880</v>
      </c>
      <c r="U2522">
        <v>34750</v>
      </c>
      <c r="V2522" t="s">
        <v>37</v>
      </c>
    </row>
    <row r="2523" spans="1:22">
      <c r="A2523" t="str">
        <f t="shared" si="475"/>
        <v>13/03/2026</v>
      </c>
      <c r="B2523" t="str">
        <f t="shared" si="469"/>
        <v>SAÍDA</v>
      </c>
      <c r="C2523" t="str">
        <f t="shared" si="471"/>
        <v>PIX</v>
      </c>
      <c r="D2523" t="str">
        <f>"34751"</f>
        <v>34751</v>
      </c>
      <c r="E2523" t="str">
        <f t="shared" si="472"/>
        <v>1</v>
      </c>
      <c r="F2523" t="str">
        <f t="shared" si="474"/>
        <v>COM</v>
      </c>
      <c r="G2523" t="str">
        <f>"WILIANA RODRIGUES E RODRIGUES (398)"</f>
        <v>WILIANA RODRIGUES E RODRIGUES (398)</v>
      </c>
      <c r="H2523" t="str">
        <f>"Serv.Prest. 02/03/2026 a 08/03/2026 - PIX: CPF - CHAVE: 016.203.336-27"</f>
        <v>Serv.Prest. 02/03/2026 a 08/03/2026 - PIX: CPF - CHAVE: 016.203.336-27</v>
      </c>
      <c r="I2523" t="str">
        <f t="shared" si="470"/>
        <v>13/03/2026</v>
      </c>
      <c r="J2523" t="str">
        <f t="shared" si="476"/>
        <v>11/03/2026</v>
      </c>
      <c r="K2523" t="str">
        <f>("13/03/2026")</f>
        <v>13/03/2026</v>
      </c>
      <c r="L2523">
        <v>1200</v>
      </c>
      <c r="M2523">
        <v>1200</v>
      </c>
      <c r="N2523">
        <v>109</v>
      </c>
      <c r="O2523" t="str">
        <f>"PAGAMENTO DE ENTREGADORES"</f>
        <v>PAGAMENTO DE ENTREGADORES</v>
      </c>
      <c r="P2523">
        <v>1200</v>
      </c>
      <c r="S2523" t="str">
        <f>"BANCO C6 (149)"</f>
        <v>BANCO C6 (149)</v>
      </c>
      <c r="T2523">
        <v>30881</v>
      </c>
      <c r="U2523">
        <v>34751</v>
      </c>
      <c r="V2523" t="s">
        <v>37</v>
      </c>
    </row>
    <row r="2524" spans="1:22">
      <c r="A2524" t="str">
        <f t="shared" si="475"/>
        <v>13/03/2026</v>
      </c>
      <c r="B2524" t="str">
        <f t="shared" si="469"/>
        <v>SAÍDA</v>
      </c>
      <c r="C2524" t="str">
        <f t="shared" si="471"/>
        <v>PIX</v>
      </c>
      <c r="D2524" t="str">
        <f>"34751"</f>
        <v>34751</v>
      </c>
      <c r="E2524" t="str">
        <f t="shared" si="472"/>
        <v>1</v>
      </c>
      <c r="F2524" t="str">
        <f t="shared" si="474"/>
        <v>COM</v>
      </c>
      <c r="G2524" t="str">
        <f>"WILIANA RODRIGUES E RODRIGUES (398)"</f>
        <v>WILIANA RODRIGUES E RODRIGUES (398)</v>
      </c>
      <c r="H2524" t="s">
        <v>550</v>
      </c>
      <c r="I2524" t="str">
        <f t="shared" si="470"/>
        <v>13/03/2026</v>
      </c>
      <c r="J2524" t="str">
        <f t="shared" si="476"/>
        <v>11/03/2026</v>
      </c>
      <c r="K2524">
        <v>46094</v>
      </c>
      <c r="N2524">
        <v>109</v>
      </c>
      <c r="O2524" t="s">
        <v>27</v>
      </c>
      <c r="Q2524">
        <v>1200</v>
      </c>
      <c r="R2524" t="str">
        <f>"PAGMENOS - LJ 657 (10136)"</f>
        <v>PAGMENOS - LJ 657 (10136)</v>
      </c>
      <c r="S2524" t="s">
        <v>37</v>
      </c>
      <c r="T2524">
        <v>30881</v>
      </c>
      <c r="U2524">
        <v>34751</v>
      </c>
      <c r="V2524" t="s">
        <v>37</v>
      </c>
    </row>
    <row r="2525" spans="1:22">
      <c r="A2525" t="str">
        <f t="shared" si="475"/>
        <v>13/03/2026</v>
      </c>
      <c r="B2525" t="str">
        <f t="shared" si="469"/>
        <v>SAÍDA</v>
      </c>
      <c r="C2525" t="str">
        <f t="shared" si="471"/>
        <v>PIX</v>
      </c>
      <c r="D2525" t="str">
        <f>"13032026"</f>
        <v>13032026</v>
      </c>
      <c r="E2525" t="str">
        <f>""</f>
        <v/>
      </c>
      <c r="F2525" t="str">
        <f t="shared" si="474"/>
        <v>COM</v>
      </c>
      <c r="G2525" t="str">
        <f>"THALISSON NUNES (1046)"</f>
        <v>THALISSON NUNES (1046)</v>
      </c>
      <c r="H2525" t="str">
        <f>"Serv.Prest. 02/03/2026 a 08/03/2026- PIX: CELULAR - CHAVE: (34) 99694-0926"</f>
        <v>Serv.Prest. 02/03/2026 a 08/03/2026- PIX: CELULAR - CHAVE: (34) 99694-0926</v>
      </c>
      <c r="I2525" t="str">
        <f t="shared" si="470"/>
        <v>13/03/2026</v>
      </c>
      <c r="J2525" t="str">
        <f>("13/03/2026")</f>
        <v>13/03/2026</v>
      </c>
      <c r="K2525" t="str">
        <f>("13/03/2026")</f>
        <v>13/03/2026</v>
      </c>
      <c r="L2525">
        <v>801</v>
      </c>
      <c r="M2525">
        <v>801</v>
      </c>
      <c r="N2525">
        <v>109</v>
      </c>
      <c r="O2525" t="str">
        <f>"PAGAMENTO DE ENTREGADORES"</f>
        <v>PAGAMENTO DE ENTREGADORES</v>
      </c>
      <c r="P2525">
        <v>801</v>
      </c>
      <c r="S2525" t="str">
        <f>"BANCO C6 (149)"</f>
        <v>BANCO C6 (149)</v>
      </c>
      <c r="T2525">
        <v>30882</v>
      </c>
      <c r="U2525">
        <v>34832</v>
      </c>
      <c r="V2525" t="s">
        <v>37</v>
      </c>
    </row>
    <row r="2526" spans="1:22">
      <c r="A2526" t="str">
        <f t="shared" si="475"/>
        <v>13/03/2026</v>
      </c>
      <c r="B2526" t="str">
        <f t="shared" si="469"/>
        <v>SAÍDA</v>
      </c>
      <c r="C2526" t="str">
        <f t="shared" si="471"/>
        <v>PIX</v>
      </c>
      <c r="D2526" t="str">
        <f>"13032026"</f>
        <v>13032026</v>
      </c>
      <c r="E2526" t="str">
        <f>""</f>
        <v/>
      </c>
      <c r="F2526" t="str">
        <f t="shared" si="474"/>
        <v>COM</v>
      </c>
      <c r="G2526" t="str">
        <f>"THALISSON NUNES (1046)"</f>
        <v>THALISSON NUNES (1046)</v>
      </c>
      <c r="H2526" t="s">
        <v>779</v>
      </c>
      <c r="I2526" t="str">
        <f t="shared" si="470"/>
        <v>13/03/2026</v>
      </c>
      <c r="J2526" t="str">
        <f>("13/03/2026")</f>
        <v>13/03/2026</v>
      </c>
      <c r="K2526">
        <v>46094</v>
      </c>
      <c r="N2526">
        <v>109</v>
      </c>
      <c r="O2526" t="s">
        <v>27</v>
      </c>
      <c r="Q2526">
        <v>801</v>
      </c>
      <c r="R2526" t="str">
        <f>"PAGMENOS - LJ 326 (10264)"</f>
        <v>PAGMENOS - LJ 326 (10264)</v>
      </c>
      <c r="S2526" t="s">
        <v>37</v>
      </c>
      <c r="T2526">
        <v>30882</v>
      </c>
      <c r="U2526">
        <v>34832</v>
      </c>
      <c r="V2526" t="s">
        <v>37</v>
      </c>
    </row>
    <row r="2527" spans="1:22">
      <c r="A2527" t="str">
        <f t="shared" si="475"/>
        <v>13/03/2026</v>
      </c>
      <c r="B2527" t="str">
        <f t="shared" si="469"/>
        <v>SAÍDA</v>
      </c>
      <c r="C2527" t="str">
        <f t="shared" si="471"/>
        <v>PIX</v>
      </c>
      <c r="D2527" t="str">
        <f>"12032026"</f>
        <v>12032026</v>
      </c>
      <c r="E2527" t="str">
        <f t="shared" ref="E2527:E2538" si="477">"2"</f>
        <v>2</v>
      </c>
      <c r="F2527" t="str">
        <f t="shared" si="474"/>
        <v>COM</v>
      </c>
      <c r="G2527" t="str">
        <f>"ALEXANDRE PEREIRA DE SOUZA (1252)"</f>
        <v>ALEXANDRE PEREIRA DE SOUZA (1252)</v>
      </c>
      <c r="H2527" t="str">
        <f>"Serv.Prest. DIÁRIA 10/03/2026 - PIX: CPF - CHAVE: 497.247.788-19"</f>
        <v>Serv.Prest. DIÁRIA 10/03/2026 - PIX: CPF - CHAVE: 497.247.788-19</v>
      </c>
      <c r="I2527" t="str">
        <f t="shared" si="470"/>
        <v>13/03/2026</v>
      </c>
      <c r="J2527" t="str">
        <f>("12/03/2026")</f>
        <v>12/03/2026</v>
      </c>
      <c r="K2527" t="str">
        <f>("13/03/2026")</f>
        <v>13/03/2026</v>
      </c>
      <c r="L2527">
        <v>196</v>
      </c>
      <c r="M2527">
        <v>196</v>
      </c>
      <c r="N2527">
        <v>109</v>
      </c>
      <c r="O2527" t="str">
        <f>"PAGAMENTO DE ENTREGADORES"</f>
        <v>PAGAMENTO DE ENTREGADORES</v>
      </c>
      <c r="P2527">
        <v>196</v>
      </c>
      <c r="S2527" t="str">
        <f>"BANCO C6 (149)"</f>
        <v>BANCO C6 (149)</v>
      </c>
      <c r="T2527">
        <v>30883</v>
      </c>
      <c r="U2527">
        <v>34833</v>
      </c>
      <c r="V2527" t="s">
        <v>37</v>
      </c>
    </row>
    <row r="2528" spans="1:22">
      <c r="A2528" t="str">
        <f t="shared" si="475"/>
        <v>13/03/2026</v>
      </c>
      <c r="B2528" t="str">
        <f t="shared" si="469"/>
        <v>SAÍDA</v>
      </c>
      <c r="C2528" t="str">
        <f t="shared" si="471"/>
        <v>PIX</v>
      </c>
      <c r="D2528" t="str">
        <f>"12032026"</f>
        <v>12032026</v>
      </c>
      <c r="E2528" t="str">
        <f t="shared" si="477"/>
        <v>2</v>
      </c>
      <c r="F2528" t="str">
        <f t="shared" si="474"/>
        <v>COM</v>
      </c>
      <c r="G2528" t="str">
        <f>"ALEXANDRE PEREIRA DE SOUZA (1252)"</f>
        <v>ALEXANDRE PEREIRA DE SOUZA (1252)</v>
      </c>
      <c r="H2528" t="s">
        <v>780</v>
      </c>
      <c r="I2528" t="str">
        <f t="shared" si="470"/>
        <v>13/03/2026</v>
      </c>
      <c r="J2528" t="str">
        <f>("12/03/2026")</f>
        <v>12/03/2026</v>
      </c>
      <c r="K2528">
        <v>46094</v>
      </c>
      <c r="N2528">
        <v>109</v>
      </c>
      <c r="O2528" t="s">
        <v>27</v>
      </c>
      <c r="Q2528">
        <v>196</v>
      </c>
      <c r="R2528" t="str">
        <f>"BEM TE FAZ 01 (10283)"</f>
        <v>BEM TE FAZ 01 (10283)</v>
      </c>
      <c r="S2528" t="s">
        <v>37</v>
      </c>
      <c r="T2528">
        <v>30883</v>
      </c>
      <c r="U2528">
        <v>34833</v>
      </c>
      <c r="V2528" t="s">
        <v>37</v>
      </c>
    </row>
    <row r="2529" spans="1:22">
      <c r="A2529" t="str">
        <f t="shared" si="475"/>
        <v>13/03/2026</v>
      </c>
      <c r="B2529" t="str">
        <f t="shared" si="469"/>
        <v>SAÍDA</v>
      </c>
      <c r="C2529" t="str">
        <f t="shared" si="471"/>
        <v>PIX</v>
      </c>
      <c r="D2529" t="str">
        <f>"34290"</f>
        <v>34290</v>
      </c>
      <c r="E2529" t="str">
        <f t="shared" si="477"/>
        <v>2</v>
      </c>
      <c r="F2529" t="str">
        <f t="shared" si="474"/>
        <v>COM</v>
      </c>
      <c r="G2529" t="str">
        <f>"YAN FILIPUTI CORA (926)"</f>
        <v>YAN FILIPUTI CORA (926)</v>
      </c>
      <c r="H2529" t="str">
        <f>"Serv.Prest.DIARIAS 10/03 E 11/03/2026 - PIX: CELULAR - CHAVE: (28) 98816-4170"</f>
        <v>Serv.Prest.DIARIAS 10/03 E 11/03/2026 - PIX: CELULAR - CHAVE: (28) 98816-4170</v>
      </c>
      <c r="I2529" t="str">
        <f t="shared" si="470"/>
        <v>13/03/2026</v>
      </c>
      <c r="J2529" t="str">
        <f t="shared" ref="J2529:J2538" si="478">("09/03/2026")</f>
        <v>09/03/2026</v>
      </c>
      <c r="K2529" t="str">
        <f>("13/03/2026")</f>
        <v>13/03/2026</v>
      </c>
      <c r="L2529">
        <v>200</v>
      </c>
      <c r="M2529">
        <v>200</v>
      </c>
      <c r="N2529">
        <v>109</v>
      </c>
      <c r="O2529" t="str">
        <f>"PAGAMENTO DE ENTREGADORES"</f>
        <v>PAGAMENTO DE ENTREGADORES</v>
      </c>
      <c r="P2529">
        <v>200</v>
      </c>
      <c r="S2529" t="str">
        <f>"BANCO C6 (149)"</f>
        <v>BANCO C6 (149)</v>
      </c>
      <c r="T2529">
        <v>30884</v>
      </c>
      <c r="U2529">
        <v>34834</v>
      </c>
      <c r="V2529" t="s">
        <v>37</v>
      </c>
    </row>
    <row r="2530" spans="1:22">
      <c r="A2530" t="str">
        <f t="shared" si="475"/>
        <v>13/03/2026</v>
      </c>
      <c r="B2530" t="str">
        <f t="shared" ref="B2530:B2568" si="479">"SAÍDA"</f>
        <v>SAÍDA</v>
      </c>
      <c r="C2530" t="str">
        <f t="shared" si="471"/>
        <v>PIX</v>
      </c>
      <c r="D2530" t="str">
        <f>"34290"</f>
        <v>34290</v>
      </c>
      <c r="E2530" t="str">
        <f t="shared" si="477"/>
        <v>2</v>
      </c>
      <c r="F2530" t="str">
        <f t="shared" si="474"/>
        <v>COM</v>
      </c>
      <c r="G2530" t="str">
        <f>"YAN FILIPUTI CORA (926)"</f>
        <v>YAN FILIPUTI CORA (926)</v>
      </c>
      <c r="H2530" t="s">
        <v>781</v>
      </c>
      <c r="I2530" t="str">
        <f t="shared" si="470"/>
        <v>13/03/2026</v>
      </c>
      <c r="J2530" t="str">
        <f t="shared" si="478"/>
        <v>09/03/2026</v>
      </c>
      <c r="K2530">
        <v>46094</v>
      </c>
      <c r="N2530">
        <v>109</v>
      </c>
      <c r="O2530" t="s">
        <v>27</v>
      </c>
      <c r="Q2530">
        <v>200</v>
      </c>
      <c r="R2530" t="str">
        <f>"LBL FARMACIA LTDA FILIAL (10192)"</f>
        <v>LBL FARMACIA LTDA FILIAL (10192)</v>
      </c>
      <c r="S2530" t="s">
        <v>37</v>
      </c>
      <c r="T2530">
        <v>30884</v>
      </c>
      <c r="U2530">
        <v>34834</v>
      </c>
      <c r="V2530" t="s">
        <v>37</v>
      </c>
    </row>
    <row r="2531" spans="1:22">
      <c r="A2531" t="str">
        <f t="shared" si="475"/>
        <v>13/03/2026</v>
      </c>
      <c r="B2531" t="str">
        <f t="shared" si="479"/>
        <v>SAÍDA</v>
      </c>
      <c r="C2531" t="str">
        <f t="shared" si="471"/>
        <v>PIX</v>
      </c>
      <c r="D2531" t="str">
        <f>"34305"</f>
        <v>34305</v>
      </c>
      <c r="E2531" t="str">
        <f t="shared" si="477"/>
        <v>2</v>
      </c>
      <c r="F2531" t="str">
        <f t="shared" si="474"/>
        <v>COM</v>
      </c>
      <c r="G2531" t="str">
        <f>"LUIZ PAULO DE OLIVEIRA (712)"</f>
        <v>LUIZ PAULO DE OLIVEIRA (712)</v>
      </c>
      <c r="H2531" t="str">
        <f>"Serv.Prest.COMPLEMENTO 02/03/2026 a 08/03/2026 - PIX: E-MAIL - CHAVE: karinasilvaaparecida1286@gmail.com"</f>
        <v>Serv.Prest.COMPLEMENTO 02/03/2026 a 08/03/2026 - PIX: E-MAIL - CHAVE: karinasilvaaparecida1286@gmail.com</v>
      </c>
      <c r="I2531" t="str">
        <f t="shared" si="470"/>
        <v>13/03/2026</v>
      </c>
      <c r="J2531" t="str">
        <f t="shared" si="478"/>
        <v>09/03/2026</v>
      </c>
      <c r="K2531" t="str">
        <f>("13/03/2026")</f>
        <v>13/03/2026</v>
      </c>
      <c r="L2531">
        <v>87</v>
      </c>
      <c r="M2531">
        <v>87</v>
      </c>
      <c r="N2531">
        <v>109</v>
      </c>
      <c r="O2531" t="str">
        <f>"PAGAMENTO DE ENTREGADORES"</f>
        <v>PAGAMENTO DE ENTREGADORES</v>
      </c>
      <c r="P2531">
        <v>87</v>
      </c>
      <c r="S2531" t="str">
        <f>"BANCO C6 (149)"</f>
        <v>BANCO C6 (149)</v>
      </c>
      <c r="T2531">
        <v>30885</v>
      </c>
      <c r="U2531">
        <v>34835</v>
      </c>
      <c r="V2531" t="s">
        <v>37</v>
      </c>
    </row>
    <row r="2532" spans="1:22">
      <c r="A2532" t="str">
        <f t="shared" si="475"/>
        <v>13/03/2026</v>
      </c>
      <c r="B2532" t="str">
        <f t="shared" si="479"/>
        <v>SAÍDA</v>
      </c>
      <c r="C2532" t="str">
        <f t="shared" si="471"/>
        <v>PIX</v>
      </c>
      <c r="D2532" t="str">
        <f>"34305"</f>
        <v>34305</v>
      </c>
      <c r="E2532" t="str">
        <f t="shared" si="477"/>
        <v>2</v>
      </c>
      <c r="F2532" t="str">
        <f t="shared" si="474"/>
        <v>COM</v>
      </c>
      <c r="G2532" t="str">
        <f>"LUIZ PAULO DE OLIVEIRA (712)"</f>
        <v>LUIZ PAULO DE OLIVEIRA (712)</v>
      </c>
      <c r="H2532" t="s">
        <v>782</v>
      </c>
      <c r="I2532" t="str">
        <f t="shared" si="470"/>
        <v>13/03/2026</v>
      </c>
      <c r="J2532" t="str">
        <f t="shared" si="478"/>
        <v>09/03/2026</v>
      </c>
      <c r="K2532">
        <v>46094</v>
      </c>
      <c r="N2532">
        <v>109</v>
      </c>
      <c r="O2532" t="s">
        <v>27</v>
      </c>
      <c r="Q2532">
        <v>87</v>
      </c>
      <c r="R2532" t="str">
        <f>"DROGARIA POUPA MINAS (ULTRAMINAS) 1 (10181)"</f>
        <v>DROGARIA POUPA MINAS (ULTRAMINAS) 1 (10181)</v>
      </c>
      <c r="S2532" t="s">
        <v>37</v>
      </c>
      <c r="T2532">
        <v>30885</v>
      </c>
      <c r="U2532">
        <v>34835</v>
      </c>
      <c r="V2532" t="s">
        <v>37</v>
      </c>
    </row>
    <row r="2533" spans="1:22">
      <c r="A2533" t="str">
        <f t="shared" si="475"/>
        <v>13/03/2026</v>
      </c>
      <c r="B2533" t="str">
        <f t="shared" si="479"/>
        <v>SAÍDA</v>
      </c>
      <c r="C2533" t="str">
        <f t="shared" si="471"/>
        <v>PIX</v>
      </c>
      <c r="D2533" t="str">
        <f>"34306"</f>
        <v>34306</v>
      </c>
      <c r="E2533" t="str">
        <f t="shared" si="477"/>
        <v>2</v>
      </c>
      <c r="F2533" t="str">
        <f t="shared" si="474"/>
        <v>COM</v>
      </c>
      <c r="G2533" t="str">
        <f>"RICHARD HENRIQUE DA SILVA (244)"</f>
        <v>RICHARD HENRIQUE DA SILVA (244)</v>
      </c>
      <c r="H2533" t="str">
        <f>"Serv.Prest.COMPLEMENTO 02/03/2026 a 08/03/2026 - PIX: CELULAR - CHAVE: (37) 99197-6834"</f>
        <v>Serv.Prest.COMPLEMENTO 02/03/2026 a 08/03/2026 - PIX: CELULAR - CHAVE: (37) 99197-6834</v>
      </c>
      <c r="I2533" t="str">
        <f t="shared" si="470"/>
        <v>13/03/2026</v>
      </c>
      <c r="J2533" t="str">
        <f t="shared" si="478"/>
        <v>09/03/2026</v>
      </c>
      <c r="K2533" t="str">
        <f>("13/03/2026")</f>
        <v>13/03/2026</v>
      </c>
      <c r="L2533">
        <v>400</v>
      </c>
      <c r="M2533">
        <v>400</v>
      </c>
      <c r="N2533">
        <v>109</v>
      </c>
      <c r="O2533" t="str">
        <f>"PAGAMENTO DE ENTREGADORES"</f>
        <v>PAGAMENTO DE ENTREGADORES</v>
      </c>
      <c r="P2533">
        <v>400</v>
      </c>
      <c r="S2533" t="str">
        <f>"BANCO C6 (149)"</f>
        <v>BANCO C6 (149)</v>
      </c>
      <c r="T2533">
        <v>30886</v>
      </c>
      <c r="U2533">
        <v>34837</v>
      </c>
      <c r="V2533" t="s">
        <v>37</v>
      </c>
    </row>
    <row r="2534" spans="1:22">
      <c r="A2534" t="str">
        <f t="shared" si="475"/>
        <v>13/03/2026</v>
      </c>
      <c r="B2534" t="str">
        <f t="shared" si="479"/>
        <v>SAÍDA</v>
      </c>
      <c r="C2534" t="str">
        <f t="shared" si="471"/>
        <v>PIX</v>
      </c>
      <c r="D2534" t="str">
        <f>"34306"</f>
        <v>34306</v>
      </c>
      <c r="E2534" t="str">
        <f t="shared" si="477"/>
        <v>2</v>
      </c>
      <c r="F2534" t="str">
        <f t="shared" si="474"/>
        <v>COM</v>
      </c>
      <c r="G2534" t="str">
        <f>"RICHARD HENRIQUE DA SILVA (244)"</f>
        <v>RICHARD HENRIQUE DA SILVA (244)</v>
      </c>
      <c r="H2534" t="s">
        <v>783</v>
      </c>
      <c r="I2534" t="str">
        <f t="shared" si="470"/>
        <v>13/03/2026</v>
      </c>
      <c r="J2534" t="str">
        <f t="shared" si="478"/>
        <v>09/03/2026</v>
      </c>
      <c r="K2534">
        <v>46094</v>
      </c>
      <c r="N2534">
        <v>109</v>
      </c>
      <c r="O2534" t="s">
        <v>27</v>
      </c>
      <c r="Q2534">
        <v>400</v>
      </c>
      <c r="R2534" t="str">
        <f>"DROGARIA POUPA MINAS (ULTRAMINAS) 1 (10181)"</f>
        <v>DROGARIA POUPA MINAS (ULTRAMINAS) 1 (10181)</v>
      </c>
      <c r="S2534" t="s">
        <v>37</v>
      </c>
      <c r="T2534">
        <v>30886</v>
      </c>
      <c r="U2534">
        <v>34837</v>
      </c>
      <c r="V2534" t="s">
        <v>37</v>
      </c>
    </row>
    <row r="2535" spans="1:22">
      <c r="A2535" t="str">
        <f t="shared" si="475"/>
        <v>13/03/2026</v>
      </c>
      <c r="B2535" t="str">
        <f t="shared" si="479"/>
        <v>SAÍDA</v>
      </c>
      <c r="C2535" t="str">
        <f t="shared" si="471"/>
        <v>PIX</v>
      </c>
      <c r="D2535" t="str">
        <f>"34304"</f>
        <v>34304</v>
      </c>
      <c r="E2535" t="str">
        <f t="shared" si="477"/>
        <v>2</v>
      </c>
      <c r="F2535" t="str">
        <f t="shared" si="474"/>
        <v>COM</v>
      </c>
      <c r="G2535" t="str">
        <f>"JHONATA SOUSA UCHOA (464)"</f>
        <v>JHONATA SOUSA UCHOA (464)</v>
      </c>
      <c r="H2535" t="str">
        <f>"Serv.Prest.COMPLEMENTO 02/03/2026 a 08/03/2026 - PIX: CPF - CHAVE: 020.590.606-05"</f>
        <v>Serv.Prest.COMPLEMENTO 02/03/2026 a 08/03/2026 - PIX: CPF - CHAVE: 020.590.606-05</v>
      </c>
      <c r="I2535" t="str">
        <f t="shared" ref="I2535:I2548" si="480">("13/03/2026")</f>
        <v>13/03/2026</v>
      </c>
      <c r="J2535" t="str">
        <f t="shared" si="478"/>
        <v>09/03/2026</v>
      </c>
      <c r="K2535" t="str">
        <f>("13/03/2026")</f>
        <v>13/03/2026</v>
      </c>
      <c r="L2535">
        <v>20</v>
      </c>
      <c r="M2535">
        <v>20</v>
      </c>
      <c r="N2535">
        <v>109</v>
      </c>
      <c r="O2535" t="str">
        <f>"PAGAMENTO DE ENTREGADORES"</f>
        <v>PAGAMENTO DE ENTREGADORES</v>
      </c>
      <c r="P2535">
        <v>20</v>
      </c>
      <c r="S2535" t="str">
        <f>"BANCO C6 (149)"</f>
        <v>BANCO C6 (149)</v>
      </c>
      <c r="T2535">
        <v>30887</v>
      </c>
      <c r="U2535">
        <v>34838</v>
      </c>
      <c r="V2535" t="s">
        <v>37</v>
      </c>
    </row>
    <row r="2536" spans="1:22">
      <c r="A2536" t="str">
        <f t="shared" si="475"/>
        <v>13/03/2026</v>
      </c>
      <c r="B2536" t="str">
        <f t="shared" si="479"/>
        <v>SAÍDA</v>
      </c>
      <c r="C2536" t="str">
        <f t="shared" si="471"/>
        <v>PIX</v>
      </c>
      <c r="D2536" t="str">
        <f>"34304"</f>
        <v>34304</v>
      </c>
      <c r="E2536" t="str">
        <f t="shared" si="477"/>
        <v>2</v>
      </c>
      <c r="F2536" t="str">
        <f t="shared" si="474"/>
        <v>COM</v>
      </c>
      <c r="G2536" t="str">
        <f>"JHONATA SOUSA UCHOA (464)"</f>
        <v>JHONATA SOUSA UCHOA (464)</v>
      </c>
      <c r="H2536" t="s">
        <v>784</v>
      </c>
      <c r="I2536" t="str">
        <f t="shared" si="480"/>
        <v>13/03/2026</v>
      </c>
      <c r="J2536" t="str">
        <f t="shared" si="478"/>
        <v>09/03/2026</v>
      </c>
      <c r="K2536">
        <v>46094</v>
      </c>
      <c r="N2536">
        <v>109</v>
      </c>
      <c r="O2536" t="s">
        <v>27</v>
      </c>
      <c r="Q2536">
        <v>20</v>
      </c>
      <c r="R2536" t="str">
        <f>"DROGARIA POUPA MINAS (ULTRAMINAS) 1 (10181)"</f>
        <v>DROGARIA POUPA MINAS (ULTRAMINAS) 1 (10181)</v>
      </c>
      <c r="S2536" t="s">
        <v>37</v>
      </c>
      <c r="T2536">
        <v>30887</v>
      </c>
      <c r="U2536">
        <v>34838</v>
      </c>
      <c r="V2536" t="s">
        <v>37</v>
      </c>
    </row>
    <row r="2537" spans="1:22">
      <c r="A2537" t="str">
        <f t="shared" si="475"/>
        <v>13/03/2026</v>
      </c>
      <c r="B2537" t="str">
        <f t="shared" si="479"/>
        <v>SAÍDA</v>
      </c>
      <c r="C2537" t="str">
        <f t="shared" ref="C2537:C2568" si="481">"PIX"</f>
        <v>PIX</v>
      </c>
      <c r="D2537" t="str">
        <f>"34307"</f>
        <v>34307</v>
      </c>
      <c r="E2537" t="str">
        <f t="shared" si="477"/>
        <v>2</v>
      </c>
      <c r="F2537" t="str">
        <f t="shared" si="474"/>
        <v>COM</v>
      </c>
      <c r="G2537" t="str">
        <f>"THALES VINÍCIUS RODRIGUES DE OLIVEIRA (704)"</f>
        <v>THALES VINÍCIUS RODRIGUES DE OLIVEIRA (704)</v>
      </c>
      <c r="H2537" t="str">
        <f>"Serv.Prest.COMPLEMENTO 02/03/2026 a 08/03/2026 - PIX: CELULAR - CHAVE: (37) 99138-1777"</f>
        <v>Serv.Prest.COMPLEMENTO 02/03/2026 a 08/03/2026 - PIX: CELULAR - CHAVE: (37) 99138-1777</v>
      </c>
      <c r="I2537" t="str">
        <f t="shared" si="480"/>
        <v>13/03/2026</v>
      </c>
      <c r="J2537" t="str">
        <f t="shared" si="478"/>
        <v>09/03/2026</v>
      </c>
      <c r="K2537" t="str">
        <f>("13/03/2026")</f>
        <v>13/03/2026</v>
      </c>
      <c r="L2537">
        <v>20</v>
      </c>
      <c r="M2537">
        <v>20</v>
      </c>
      <c r="N2537">
        <v>109</v>
      </c>
      <c r="O2537" t="str">
        <f>"PAGAMENTO DE ENTREGADORES"</f>
        <v>PAGAMENTO DE ENTREGADORES</v>
      </c>
      <c r="P2537">
        <v>20</v>
      </c>
      <c r="S2537" t="str">
        <f>"BANCO C6 (149)"</f>
        <v>BANCO C6 (149)</v>
      </c>
      <c r="T2537">
        <v>30888</v>
      </c>
      <c r="U2537">
        <v>34839</v>
      </c>
      <c r="V2537" t="s">
        <v>37</v>
      </c>
    </row>
    <row r="2538" spans="1:22">
      <c r="A2538" t="str">
        <f t="shared" si="475"/>
        <v>13/03/2026</v>
      </c>
      <c r="B2538" t="str">
        <f t="shared" si="479"/>
        <v>SAÍDA</v>
      </c>
      <c r="C2538" t="str">
        <f t="shared" si="481"/>
        <v>PIX</v>
      </c>
      <c r="D2538" t="str">
        <f>"34307"</f>
        <v>34307</v>
      </c>
      <c r="E2538" t="str">
        <f t="shared" si="477"/>
        <v>2</v>
      </c>
      <c r="F2538" t="str">
        <f t="shared" si="474"/>
        <v>COM</v>
      </c>
      <c r="G2538" t="str">
        <f>"THALES VINÍCIUS RODRIGUES DE OLIVEIRA (704)"</f>
        <v>THALES VINÍCIUS RODRIGUES DE OLIVEIRA (704)</v>
      </c>
      <c r="H2538" t="s">
        <v>785</v>
      </c>
      <c r="I2538" t="str">
        <f t="shared" si="480"/>
        <v>13/03/2026</v>
      </c>
      <c r="J2538" t="str">
        <f t="shared" si="478"/>
        <v>09/03/2026</v>
      </c>
      <c r="K2538">
        <v>46094</v>
      </c>
      <c r="N2538">
        <v>109</v>
      </c>
      <c r="O2538" t="s">
        <v>27</v>
      </c>
      <c r="Q2538">
        <v>20</v>
      </c>
      <c r="R2538" t="str">
        <f>"DROGARIA POUPA MINAS (ULTRAMINAS) 1 (10181)"</f>
        <v>DROGARIA POUPA MINAS (ULTRAMINAS) 1 (10181)</v>
      </c>
      <c r="S2538" t="s">
        <v>37</v>
      </c>
      <c r="T2538">
        <v>30888</v>
      </c>
      <c r="U2538">
        <v>34839</v>
      </c>
      <c r="V2538" t="s">
        <v>37</v>
      </c>
    </row>
    <row r="2539" spans="1:22">
      <c r="A2539" t="str">
        <f t="shared" si="475"/>
        <v>13/03/2026</v>
      </c>
      <c r="B2539" t="str">
        <f t="shared" si="479"/>
        <v>SAÍDA</v>
      </c>
      <c r="C2539" t="str">
        <f t="shared" si="481"/>
        <v>PIX</v>
      </c>
      <c r="D2539" t="str">
        <f>"13032026"</f>
        <v>13032026</v>
      </c>
      <c r="E2539" t="str">
        <f>""</f>
        <v/>
      </c>
      <c r="F2539" t="str">
        <f t="shared" si="474"/>
        <v>COM</v>
      </c>
      <c r="G2539" t="str">
        <f>"LUCAS DA VISITA????O DOS (1332)"</f>
        <v>LUCAS DA VISITA????O DOS (1332)</v>
      </c>
      <c r="H2539" t="str">
        <f>"Prest.Serv. DIARIAS 10/03 e 11/03/2026 - PIX CHAVE: (11)94139-4820"</f>
        <v>Prest.Serv. DIARIAS 10/03 e 11/03/2026 - PIX CHAVE: (11)94139-4820</v>
      </c>
      <c r="I2539" t="str">
        <f t="shared" si="480"/>
        <v>13/03/2026</v>
      </c>
      <c r="J2539" t="str">
        <f>("13/03/2026")</f>
        <v>13/03/2026</v>
      </c>
      <c r="K2539" t="str">
        <f>("13/03/2026")</f>
        <v>13/03/2026</v>
      </c>
      <c r="L2539">
        <v>300</v>
      </c>
      <c r="M2539">
        <v>300</v>
      </c>
      <c r="N2539">
        <v>134</v>
      </c>
      <c r="O2539" t="str">
        <f>"DIARIA DE MOTOBOY"</f>
        <v>DIARIA DE MOTOBOY</v>
      </c>
      <c r="P2539">
        <v>300</v>
      </c>
      <c r="S2539" t="str">
        <f>"BANCO C6 (149)"</f>
        <v>BANCO C6 (149)</v>
      </c>
      <c r="T2539">
        <v>30889</v>
      </c>
      <c r="U2539">
        <v>34840</v>
      </c>
      <c r="V2539" t="s">
        <v>37</v>
      </c>
    </row>
    <row r="2540" spans="1:22">
      <c r="A2540" t="str">
        <f t="shared" si="475"/>
        <v>13/03/2026</v>
      </c>
      <c r="B2540" t="str">
        <f t="shared" si="479"/>
        <v>SAÍDA</v>
      </c>
      <c r="C2540" t="str">
        <f t="shared" si="481"/>
        <v>PIX</v>
      </c>
      <c r="D2540" t="str">
        <f>"13032026"</f>
        <v>13032026</v>
      </c>
      <c r="E2540" t="str">
        <f>""</f>
        <v/>
      </c>
      <c r="F2540" t="str">
        <f t="shared" si="474"/>
        <v>COM</v>
      </c>
      <c r="G2540" t="str">
        <f>"LUCAS DA VISITA????O DOS (1332)"</f>
        <v>LUCAS DA VISITA????O DOS (1332)</v>
      </c>
      <c r="H2540" t="s">
        <v>786</v>
      </c>
      <c r="I2540" t="str">
        <f t="shared" si="480"/>
        <v>13/03/2026</v>
      </c>
      <c r="J2540" t="str">
        <f>("13/03/2026")</f>
        <v>13/03/2026</v>
      </c>
      <c r="K2540">
        <v>46094</v>
      </c>
      <c r="N2540">
        <v>134</v>
      </c>
      <c r="O2540" t="s">
        <v>30</v>
      </c>
      <c r="Q2540">
        <v>300</v>
      </c>
      <c r="R2540" t="str">
        <f>"PENSE FARMA 22 (10198)"</f>
        <v>PENSE FARMA 22 (10198)</v>
      </c>
      <c r="S2540" t="s">
        <v>37</v>
      </c>
      <c r="T2540">
        <v>30889</v>
      </c>
      <c r="U2540">
        <v>34840</v>
      </c>
      <c r="V2540" t="s">
        <v>37</v>
      </c>
    </row>
    <row r="2541" spans="1:22">
      <c r="A2541" t="str">
        <f t="shared" si="475"/>
        <v>13/03/2026</v>
      </c>
      <c r="B2541" t="str">
        <f t="shared" si="479"/>
        <v>SAÍDA</v>
      </c>
      <c r="C2541" t="str">
        <f t="shared" si="481"/>
        <v>PIX</v>
      </c>
      <c r="D2541" t="str">
        <f>"13032026"</f>
        <v>13032026</v>
      </c>
      <c r="E2541" t="str">
        <f>""</f>
        <v/>
      </c>
      <c r="F2541" t="str">
        <f t="shared" si="474"/>
        <v>COM</v>
      </c>
      <c r="G2541" t="str">
        <f>"PAULO ROGERIO DA SILVA (1123)"</f>
        <v>PAULO ROGERIO DA SILVA (1123)</v>
      </c>
      <c r="H2541" t="str">
        <f>"Serv.Prest. DIÁRIA 07/03 e 09/03/2026 - PIX: CPF - CHAVE: 302.919.358-69 "</f>
        <v xml:space="preserve">Serv.Prest. DIÁRIA 07/03 e 09/03/2026 - PIX: CPF - CHAVE: 302.919.358-69 </v>
      </c>
      <c r="I2541" t="str">
        <f t="shared" si="480"/>
        <v>13/03/2026</v>
      </c>
      <c r="J2541" t="str">
        <f>("13/03/2026")</f>
        <v>13/03/2026</v>
      </c>
      <c r="K2541" t="str">
        <f>("13/03/2026")</f>
        <v>13/03/2026</v>
      </c>
      <c r="L2541">
        <v>210</v>
      </c>
      <c r="M2541">
        <v>210</v>
      </c>
      <c r="N2541">
        <v>134</v>
      </c>
      <c r="O2541" t="str">
        <f>"DIARIA DE MOTOBOY"</f>
        <v>DIARIA DE MOTOBOY</v>
      </c>
      <c r="P2541">
        <v>210</v>
      </c>
      <c r="S2541" t="str">
        <f>"BANCO C6 (149)"</f>
        <v>BANCO C6 (149)</v>
      </c>
      <c r="T2541">
        <v>30890</v>
      </c>
      <c r="U2541">
        <v>34841</v>
      </c>
      <c r="V2541" t="s">
        <v>37</v>
      </c>
    </row>
    <row r="2542" spans="1:22">
      <c r="A2542" t="str">
        <f t="shared" si="475"/>
        <v>13/03/2026</v>
      </c>
      <c r="B2542" t="str">
        <f t="shared" si="479"/>
        <v>SAÍDA</v>
      </c>
      <c r="C2542" t="str">
        <f t="shared" si="481"/>
        <v>PIX</v>
      </c>
      <c r="D2542" t="str">
        <f>"13032026"</f>
        <v>13032026</v>
      </c>
      <c r="E2542" t="str">
        <f>""</f>
        <v/>
      </c>
      <c r="F2542" t="str">
        <f t="shared" si="474"/>
        <v>COM</v>
      </c>
      <c r="G2542" t="str">
        <f>"PAULO ROGERIO DA SILVA (1123)"</f>
        <v>PAULO ROGERIO DA SILVA (1123)</v>
      </c>
      <c r="H2542" t="s">
        <v>787</v>
      </c>
      <c r="I2542" t="str">
        <f t="shared" si="480"/>
        <v>13/03/2026</v>
      </c>
      <c r="J2542" t="str">
        <f>("13/03/2026")</f>
        <v>13/03/2026</v>
      </c>
      <c r="K2542">
        <v>46094</v>
      </c>
      <c r="N2542">
        <v>134</v>
      </c>
      <c r="O2542" t="s">
        <v>30</v>
      </c>
      <c r="Q2542">
        <v>210</v>
      </c>
      <c r="R2542" t="str">
        <f>"PENSE FARMA 15 (10195)"</f>
        <v>PENSE FARMA 15 (10195)</v>
      </c>
      <c r="S2542" t="s">
        <v>37</v>
      </c>
      <c r="T2542">
        <v>30890</v>
      </c>
      <c r="U2542">
        <v>34841</v>
      </c>
      <c r="V2542" t="s">
        <v>37</v>
      </c>
    </row>
    <row r="2543" spans="1:22">
      <c r="A2543" t="str">
        <f t="shared" si="475"/>
        <v>13/03/2026</v>
      </c>
      <c r="B2543" t="str">
        <f t="shared" si="479"/>
        <v>SAÍDA</v>
      </c>
      <c r="C2543" t="str">
        <f t="shared" si="481"/>
        <v>PIX</v>
      </c>
      <c r="D2543" t="str">
        <f>"34293"</f>
        <v>34293</v>
      </c>
      <c r="E2543" t="str">
        <f>"2"</f>
        <v>2</v>
      </c>
      <c r="F2543" t="str">
        <f t="shared" si="474"/>
        <v>COM</v>
      </c>
      <c r="G2543" t="str">
        <f>"JO??O OTÁVIO GRANZIOL (1309)"</f>
        <v>JO??O OTÁVIO GRANZIOL (1309)</v>
      </c>
      <c r="H2543" t="str">
        <f>"Serv.Prest. COMPLEMENTO 02/03/2026 a 08/03/2026 - PIX: CPF - CHAVE: 491.327.628-01"</f>
        <v>Serv.Prest. COMPLEMENTO 02/03/2026 a 08/03/2026 - PIX: CPF - CHAVE: 491.327.628-01</v>
      </c>
      <c r="I2543" t="str">
        <f t="shared" si="480"/>
        <v>13/03/2026</v>
      </c>
      <c r="J2543" t="str">
        <f>("09/03/2026")</f>
        <v>09/03/2026</v>
      </c>
      <c r="K2543" t="str">
        <f>("13/03/2026")</f>
        <v>13/03/2026</v>
      </c>
      <c r="L2543">
        <v>490</v>
      </c>
      <c r="M2543">
        <v>490</v>
      </c>
      <c r="N2543">
        <v>109</v>
      </c>
      <c r="O2543" t="str">
        <f>"PAGAMENTO DE ENTREGADORES"</f>
        <v>PAGAMENTO DE ENTREGADORES</v>
      </c>
      <c r="P2543">
        <v>490</v>
      </c>
      <c r="S2543" t="str">
        <f>"BANCO C6 (149)"</f>
        <v>BANCO C6 (149)</v>
      </c>
      <c r="T2543">
        <v>30891</v>
      </c>
      <c r="U2543">
        <v>34842</v>
      </c>
      <c r="V2543" t="s">
        <v>37</v>
      </c>
    </row>
    <row r="2544" spans="1:22">
      <c r="A2544" t="str">
        <f t="shared" si="475"/>
        <v>13/03/2026</v>
      </c>
      <c r="B2544" t="str">
        <f t="shared" si="479"/>
        <v>SAÍDA</v>
      </c>
      <c r="C2544" t="str">
        <f t="shared" si="481"/>
        <v>PIX</v>
      </c>
      <c r="D2544" t="str">
        <f>"34293"</f>
        <v>34293</v>
      </c>
      <c r="E2544" t="str">
        <f>"2"</f>
        <v>2</v>
      </c>
      <c r="F2544" t="str">
        <f t="shared" si="474"/>
        <v>COM</v>
      </c>
      <c r="G2544" t="str">
        <f>"JO??O OTÁVIO GRANZIOL (1309)"</f>
        <v>JO??O OTÁVIO GRANZIOL (1309)</v>
      </c>
      <c r="H2544" t="s">
        <v>788</v>
      </c>
      <c r="I2544" t="str">
        <f t="shared" si="480"/>
        <v>13/03/2026</v>
      </c>
      <c r="J2544" t="str">
        <f>("09/03/2026")</f>
        <v>09/03/2026</v>
      </c>
      <c r="K2544">
        <v>46094</v>
      </c>
      <c r="N2544">
        <v>109</v>
      </c>
      <c r="O2544" t="s">
        <v>27</v>
      </c>
      <c r="Q2544">
        <v>490</v>
      </c>
      <c r="R2544" t="str">
        <f>"FARMACIA ROSAS (10288)"</f>
        <v>FARMACIA ROSAS (10288)</v>
      </c>
      <c r="S2544" t="s">
        <v>37</v>
      </c>
      <c r="T2544">
        <v>30891</v>
      </c>
      <c r="U2544">
        <v>34842</v>
      </c>
      <c r="V2544" t="s">
        <v>37</v>
      </c>
    </row>
    <row r="2545" spans="1:22">
      <c r="A2545" t="str">
        <f t="shared" si="475"/>
        <v>13/03/2026</v>
      </c>
      <c r="B2545" t="str">
        <f t="shared" si="479"/>
        <v>SAÍDA</v>
      </c>
      <c r="C2545" t="str">
        <f t="shared" si="481"/>
        <v>PIX</v>
      </c>
      <c r="D2545" t="str">
        <f>"13032026"</f>
        <v>13032026</v>
      </c>
      <c r="E2545" t="str">
        <f>""</f>
        <v/>
      </c>
      <c r="F2545" t="str">
        <f t="shared" si="474"/>
        <v>COM</v>
      </c>
      <c r="G2545" t="str">
        <f>"JONATHAN CARVALHO DE ABREU (1358)"</f>
        <v>JONATHAN CARVALHO DE ABREU (1358)</v>
      </c>
      <c r="H2545" t="str">
        <f>"Serv.Prest. DIARIA 04/03 a 07/03/2026 - PIX CHAVE: 528.279.248-62"</f>
        <v>Serv.Prest. DIARIA 04/03 a 07/03/2026 - PIX CHAVE: 528.279.248-62</v>
      </c>
      <c r="I2545" t="str">
        <f t="shared" si="480"/>
        <v>13/03/2026</v>
      </c>
      <c r="J2545" t="str">
        <f>("13/03/2026")</f>
        <v>13/03/2026</v>
      </c>
      <c r="K2545" t="str">
        <f>("13/03/2026")</f>
        <v>13/03/2026</v>
      </c>
      <c r="L2545">
        <v>600</v>
      </c>
      <c r="M2545">
        <v>600</v>
      </c>
      <c r="N2545">
        <v>134</v>
      </c>
      <c r="O2545" t="str">
        <f>"DIARIA DE MOTOBOY"</f>
        <v>DIARIA DE MOTOBOY</v>
      </c>
      <c r="P2545">
        <v>600</v>
      </c>
      <c r="S2545" t="str">
        <f>"BANCO C6 (149)"</f>
        <v>BANCO C6 (149)</v>
      </c>
      <c r="T2545">
        <v>30892</v>
      </c>
      <c r="U2545">
        <v>34843</v>
      </c>
      <c r="V2545" t="s">
        <v>37</v>
      </c>
    </row>
    <row r="2546" spans="1:22">
      <c r="A2546" t="str">
        <f t="shared" si="475"/>
        <v>13/03/2026</v>
      </c>
      <c r="B2546" t="str">
        <f t="shared" si="479"/>
        <v>SAÍDA</v>
      </c>
      <c r="C2546" t="str">
        <f t="shared" si="481"/>
        <v>PIX</v>
      </c>
      <c r="D2546" t="str">
        <f>"13032026"</f>
        <v>13032026</v>
      </c>
      <c r="E2546" t="str">
        <f>""</f>
        <v/>
      </c>
      <c r="F2546" t="str">
        <f t="shared" si="474"/>
        <v>COM</v>
      </c>
      <c r="G2546" t="str">
        <f>"JONATHAN CARVALHO DE ABREU (1358)"</f>
        <v>JONATHAN CARVALHO DE ABREU (1358)</v>
      </c>
      <c r="H2546" t="s">
        <v>789</v>
      </c>
      <c r="I2546" t="str">
        <f t="shared" si="480"/>
        <v>13/03/2026</v>
      </c>
      <c r="J2546" t="str">
        <f>("13/03/2026")</f>
        <v>13/03/2026</v>
      </c>
      <c r="K2546">
        <v>46094</v>
      </c>
      <c r="N2546">
        <v>134</v>
      </c>
      <c r="O2546" t="s">
        <v>30</v>
      </c>
      <c r="Q2546">
        <v>600</v>
      </c>
      <c r="R2546" t="str">
        <f>"PENSE FARMA 08 (10217)"</f>
        <v>PENSE FARMA 08 (10217)</v>
      </c>
      <c r="S2546" t="s">
        <v>37</v>
      </c>
      <c r="T2546">
        <v>30892</v>
      </c>
      <c r="U2546">
        <v>34843</v>
      </c>
      <c r="V2546" t="s">
        <v>37</v>
      </c>
    </row>
    <row r="2547" spans="1:22">
      <c r="A2547" t="str">
        <f t="shared" si="475"/>
        <v>13/03/2026</v>
      </c>
      <c r="B2547" t="str">
        <f t="shared" si="479"/>
        <v>SAÍDA</v>
      </c>
      <c r="C2547" t="str">
        <f t="shared" si="481"/>
        <v>PIX</v>
      </c>
      <c r="D2547" t="str">
        <f>"13032026"</f>
        <v>13032026</v>
      </c>
      <c r="E2547" t="str">
        <f>""</f>
        <v/>
      </c>
      <c r="F2547" t="str">
        <f t="shared" si="474"/>
        <v>COM</v>
      </c>
      <c r="G2547" t="str">
        <f>"VALDIR PEREIRA PINHEIRO (1146)"</f>
        <v>VALDIR PEREIRA PINHEIRO (1146)</v>
      </c>
      <c r="H2547" t="str">
        <f>"Serv.Prest. DIARIA 12/03/2026 PIX: CELULAR - CHAVE: (11) 96180-2717"</f>
        <v>Serv.Prest. DIARIA 12/03/2026 PIX: CELULAR - CHAVE: (11) 96180-2717</v>
      </c>
      <c r="I2547" t="str">
        <f t="shared" si="480"/>
        <v>13/03/2026</v>
      </c>
      <c r="J2547" t="str">
        <f>("13/03/2026")</f>
        <v>13/03/2026</v>
      </c>
      <c r="K2547" t="str">
        <f>("13/03/2026")</f>
        <v>13/03/2026</v>
      </c>
      <c r="L2547">
        <v>50</v>
      </c>
      <c r="M2547">
        <v>50</v>
      </c>
      <c r="N2547">
        <v>134</v>
      </c>
      <c r="O2547" t="str">
        <f>"DIARIA DE MOTOBOY"</f>
        <v>DIARIA DE MOTOBOY</v>
      </c>
      <c r="P2547">
        <v>50</v>
      </c>
      <c r="S2547" t="str">
        <f>"BANCO C6 (149)"</f>
        <v>BANCO C6 (149)</v>
      </c>
      <c r="T2547">
        <v>30893</v>
      </c>
      <c r="U2547">
        <v>34844</v>
      </c>
      <c r="V2547" t="s">
        <v>37</v>
      </c>
    </row>
    <row r="2548" spans="1:22">
      <c r="A2548" t="str">
        <f t="shared" si="475"/>
        <v>13/03/2026</v>
      </c>
      <c r="B2548" t="str">
        <f t="shared" si="479"/>
        <v>SAÍDA</v>
      </c>
      <c r="C2548" t="str">
        <f t="shared" si="481"/>
        <v>PIX</v>
      </c>
      <c r="D2548" t="str">
        <f>"13032026"</f>
        <v>13032026</v>
      </c>
      <c r="E2548" t="str">
        <f>""</f>
        <v/>
      </c>
      <c r="F2548" t="str">
        <f t="shared" si="474"/>
        <v>COM</v>
      </c>
      <c r="G2548" t="str">
        <f>"VALDIR PEREIRA PINHEIRO (1146)"</f>
        <v>VALDIR PEREIRA PINHEIRO (1146)</v>
      </c>
      <c r="H2548" t="s">
        <v>790</v>
      </c>
      <c r="I2548" t="str">
        <f t="shared" si="480"/>
        <v>13/03/2026</v>
      </c>
      <c r="J2548" t="str">
        <f>("13/03/2026")</f>
        <v>13/03/2026</v>
      </c>
      <c r="K2548">
        <v>46094</v>
      </c>
      <c r="N2548">
        <v>134</v>
      </c>
      <c r="O2548" t="s">
        <v>30</v>
      </c>
      <c r="Q2548">
        <v>50</v>
      </c>
      <c r="R2548" t="str">
        <f>"DROGARIA TOTAL JUNDIAI (10177)"</f>
        <v>DROGARIA TOTAL JUNDIAI (10177)</v>
      </c>
      <c r="S2548" t="s">
        <v>37</v>
      </c>
      <c r="T2548">
        <v>30893</v>
      </c>
      <c r="U2548">
        <v>34844</v>
      </c>
      <c r="V2548" t="s">
        <v>37</v>
      </c>
    </row>
    <row r="2549" spans="1:22">
      <c r="A2549" t="str">
        <f t="shared" si="475"/>
        <v>13/03/2026</v>
      </c>
      <c r="B2549" t="str">
        <f t="shared" si="479"/>
        <v>SAÍDA</v>
      </c>
      <c r="C2549" t="str">
        <f t="shared" si="481"/>
        <v>PIX</v>
      </c>
      <c r="D2549" t="str">
        <f>"23122025"</f>
        <v>23122025</v>
      </c>
      <c r="E2549" t="str">
        <f>"48"</f>
        <v>48</v>
      </c>
      <c r="F2549" t="str">
        <f t="shared" si="474"/>
        <v>COM</v>
      </c>
      <c r="G2549" t="str">
        <f>"49.368.461 MARIA REGINA PAGLIARONI FARIAS (20128)"</f>
        <v>49.368.461 MARIA REGINA PAGLIARONI FARIAS (20128)</v>
      </c>
      <c r="H2549" t="str">
        <f>"PRESTAÇÃO DE SERVIÇO FEVEREIRO/2026 CHAVE PIX: 49368461000100"</f>
        <v>PRESTAÇÃO DE SERVIÇO FEVEREIRO/2026 CHAVE PIX: 49368461000100</v>
      </c>
      <c r="I2549" t="str">
        <f>("12/03/2026")</f>
        <v>12/03/2026</v>
      </c>
      <c r="J2549" t="str">
        <f>("22/12/2025")</f>
        <v>22/12/2025</v>
      </c>
      <c r="K2549" t="str">
        <f>("13/03/2026")</f>
        <v>13/03/2026</v>
      </c>
      <c r="L2549">
        <v>3000</v>
      </c>
      <c r="M2549">
        <v>3000</v>
      </c>
      <c r="N2549">
        <v>103</v>
      </c>
      <c r="O2549" t="str">
        <f>"PAGAMENTO DE FUNCIONÁRIOS"</f>
        <v>PAGAMENTO DE FUNCIONÁRIOS</v>
      </c>
      <c r="P2549">
        <v>3000</v>
      </c>
      <c r="S2549" t="str">
        <f>"BANCO C6 (149)"</f>
        <v>BANCO C6 (149)</v>
      </c>
      <c r="T2549">
        <v>30922</v>
      </c>
      <c r="U2549">
        <v>29081</v>
      </c>
      <c r="V2549" t="s">
        <v>37</v>
      </c>
    </row>
    <row r="2550" spans="1:22">
      <c r="A2550" t="str">
        <f t="shared" si="475"/>
        <v>13/03/2026</v>
      </c>
      <c r="B2550" t="str">
        <f t="shared" si="479"/>
        <v>SAÍDA</v>
      </c>
      <c r="C2550" t="str">
        <f t="shared" si="481"/>
        <v>PIX</v>
      </c>
      <c r="D2550" t="str">
        <f>"23122025"</f>
        <v>23122025</v>
      </c>
      <c r="E2550" t="str">
        <f>"48"</f>
        <v>48</v>
      </c>
      <c r="F2550" t="str">
        <f t="shared" si="474"/>
        <v>COM</v>
      </c>
      <c r="G2550" t="str">
        <f>"49.368.461 MARIA REGINA PAGLIARONI FARIAS (20128)"</f>
        <v>49.368.461 MARIA REGINA PAGLIARONI FARIAS (20128)</v>
      </c>
      <c r="H2550" t="s">
        <v>791</v>
      </c>
      <c r="I2550" t="str">
        <f>("12/03/2026")</f>
        <v>12/03/2026</v>
      </c>
      <c r="J2550" t="str">
        <f>("22/12/2025")</f>
        <v>22/12/2025</v>
      </c>
      <c r="K2550">
        <v>46094</v>
      </c>
      <c r="N2550">
        <v>103</v>
      </c>
      <c r="O2550" t="s">
        <v>151</v>
      </c>
      <c r="Q2550">
        <v>3000</v>
      </c>
      <c r="R2550" t="str">
        <f>"49.368.461 MARIA REGINA PAGLIARONI FARIAS (20128)"</f>
        <v>49.368.461 MARIA REGINA PAGLIARONI FARIAS (20128)</v>
      </c>
      <c r="S2550" t="s">
        <v>37</v>
      </c>
      <c r="T2550">
        <v>30922</v>
      </c>
      <c r="U2550">
        <v>29081</v>
      </c>
      <c r="V2550" t="s">
        <v>37</v>
      </c>
    </row>
    <row r="2551" spans="1:22">
      <c r="A2551" t="str">
        <f>("14/03/2026")</f>
        <v>14/03/2026</v>
      </c>
      <c r="B2551" t="str">
        <f t="shared" si="479"/>
        <v>SAÍDA</v>
      </c>
      <c r="C2551" t="str">
        <f t="shared" si="481"/>
        <v>PIX</v>
      </c>
      <c r="D2551" t="str">
        <f>"18032026"</f>
        <v>18032026</v>
      </c>
      <c r="E2551" t="str">
        <f>""</f>
        <v/>
      </c>
      <c r="F2551" t="str">
        <f t="shared" si="474"/>
        <v>COM</v>
      </c>
      <c r="G2551" t="str">
        <f>"FELIPE AUGUSTO MORAIS ALMEIDA (1370)"</f>
        <v>FELIPE AUGUSTO MORAIS ALMEIDA (1370)</v>
      </c>
      <c r="H2551" t="str">
        <f>"DIARIA 14/03/2026 "</f>
        <v xml:space="preserve">DIARIA 14/03/2026 </v>
      </c>
      <c r="I2551" t="str">
        <f t="shared" ref="I2551:J2554" si="482">("18/03/2026")</f>
        <v>18/03/2026</v>
      </c>
      <c r="J2551" t="str">
        <f t="shared" si="482"/>
        <v>18/03/2026</v>
      </c>
      <c r="K2551" t="str">
        <f>("14/03/2026")</f>
        <v>14/03/2026</v>
      </c>
      <c r="L2551">
        <v>140</v>
      </c>
      <c r="M2551">
        <v>140</v>
      </c>
      <c r="N2551">
        <v>134</v>
      </c>
      <c r="O2551" t="str">
        <f>"DIARIA DE MOTOBOY"</f>
        <v>DIARIA DE MOTOBOY</v>
      </c>
      <c r="P2551">
        <v>140</v>
      </c>
      <c r="S2551" t="str">
        <f>"BANCO CORA (102)"</f>
        <v>BANCO CORA (102)</v>
      </c>
      <c r="T2551">
        <v>31120</v>
      </c>
      <c r="U2551">
        <v>35373</v>
      </c>
      <c r="V2551" t="s">
        <v>33</v>
      </c>
    </row>
    <row r="2552" spans="1:22">
      <c r="A2552" t="str">
        <f>("14/03/2026")</f>
        <v>14/03/2026</v>
      </c>
      <c r="B2552" t="str">
        <f t="shared" si="479"/>
        <v>SAÍDA</v>
      </c>
      <c r="C2552" t="str">
        <f t="shared" si="481"/>
        <v>PIX</v>
      </c>
      <c r="D2552" t="str">
        <f>"18032026"</f>
        <v>18032026</v>
      </c>
      <c r="E2552" t="str">
        <f>""</f>
        <v/>
      </c>
      <c r="F2552" t="str">
        <f t="shared" si="474"/>
        <v>COM</v>
      </c>
      <c r="G2552" t="str">
        <f>"FELIPE AUGUSTO MORAIS ALMEIDA (1370)"</f>
        <v>FELIPE AUGUSTO MORAIS ALMEIDA (1370)</v>
      </c>
      <c r="H2552" t="s">
        <v>792</v>
      </c>
      <c r="I2552" t="str">
        <f t="shared" si="482"/>
        <v>18/03/2026</v>
      </c>
      <c r="J2552" t="str">
        <f t="shared" si="482"/>
        <v>18/03/2026</v>
      </c>
      <c r="K2552">
        <v>46095</v>
      </c>
      <c r="N2552">
        <v>134</v>
      </c>
      <c r="O2552" t="s">
        <v>30</v>
      </c>
      <c r="Q2552">
        <v>140</v>
      </c>
      <c r="R2552" t="str">
        <f>"BRASIL FARMA (10173)"</f>
        <v>BRASIL FARMA (10173)</v>
      </c>
      <c r="S2552" t="s">
        <v>33</v>
      </c>
      <c r="T2552">
        <v>31120</v>
      </c>
      <c r="U2552">
        <v>35373</v>
      </c>
      <c r="V2552" t="s">
        <v>33</v>
      </c>
    </row>
    <row r="2553" spans="1:22">
      <c r="A2553" t="str">
        <f>("14/03/2026")</f>
        <v>14/03/2026</v>
      </c>
      <c r="B2553" t="str">
        <f t="shared" si="479"/>
        <v>SAÍDA</v>
      </c>
      <c r="C2553" t="str">
        <f t="shared" si="481"/>
        <v>PIX</v>
      </c>
      <c r="D2553" t="str">
        <f>"18032026"</f>
        <v>18032026</v>
      </c>
      <c r="E2553" t="str">
        <f>""</f>
        <v/>
      </c>
      <c r="F2553" t="str">
        <f t="shared" si="474"/>
        <v>COM</v>
      </c>
      <c r="G2553" t="str">
        <f>"JOAO VICTOR MARTINS NUNES (832)"</f>
        <v>JOAO VICTOR MARTINS NUNES (832)</v>
      </c>
      <c r="H2553" t="str">
        <f>"Serv.Prest. DIARIA 14/03/2026 - PIX: CELULAR - CHAVE: (62) 98459-3826"</f>
        <v>Serv.Prest. DIARIA 14/03/2026 - PIX: CELULAR - CHAVE: (62) 98459-3826</v>
      </c>
      <c r="I2553" t="str">
        <f t="shared" si="482"/>
        <v>18/03/2026</v>
      </c>
      <c r="J2553" t="str">
        <f t="shared" si="482"/>
        <v>18/03/2026</v>
      </c>
      <c r="K2553" t="str">
        <f>("14/03/2026")</f>
        <v>14/03/2026</v>
      </c>
      <c r="L2553">
        <v>150</v>
      </c>
      <c r="M2553">
        <v>150</v>
      </c>
      <c r="N2553">
        <v>134</v>
      </c>
      <c r="O2553" t="str">
        <f>"DIARIA DE MOTOBOY"</f>
        <v>DIARIA DE MOTOBOY</v>
      </c>
      <c r="P2553">
        <v>150</v>
      </c>
      <c r="S2553" t="str">
        <f>"BANCO CORA (102)"</f>
        <v>BANCO CORA (102)</v>
      </c>
      <c r="T2553">
        <v>31121</v>
      </c>
      <c r="U2553">
        <v>35374</v>
      </c>
      <c r="V2553" t="s">
        <v>33</v>
      </c>
    </row>
    <row r="2554" spans="1:22">
      <c r="A2554" t="str">
        <f>("14/03/2026")</f>
        <v>14/03/2026</v>
      </c>
      <c r="B2554" t="str">
        <f t="shared" si="479"/>
        <v>SAÍDA</v>
      </c>
      <c r="C2554" t="str">
        <f t="shared" si="481"/>
        <v>PIX</v>
      </c>
      <c r="D2554" t="str">
        <f>"18032026"</f>
        <v>18032026</v>
      </c>
      <c r="E2554" t="str">
        <f>""</f>
        <v/>
      </c>
      <c r="F2554" t="str">
        <f t="shared" si="474"/>
        <v>COM</v>
      </c>
      <c r="G2554" t="str">
        <f>"JOAO VICTOR MARTINS NUNES (832)"</f>
        <v>JOAO VICTOR MARTINS NUNES (832)</v>
      </c>
      <c r="H2554" t="s">
        <v>793</v>
      </c>
      <c r="I2554" t="str">
        <f t="shared" si="482"/>
        <v>18/03/2026</v>
      </c>
      <c r="J2554" t="str">
        <f t="shared" si="482"/>
        <v>18/03/2026</v>
      </c>
      <c r="K2554">
        <v>46095</v>
      </c>
      <c r="N2554">
        <v>134</v>
      </c>
      <c r="O2554" t="s">
        <v>30</v>
      </c>
      <c r="Q2554">
        <v>150</v>
      </c>
      <c r="R2554" t="str">
        <f>"BRASIL FARMA (10173)"</f>
        <v>BRASIL FARMA (10173)</v>
      </c>
      <c r="S2554" t="s">
        <v>33</v>
      </c>
      <c r="T2554">
        <v>31121</v>
      </c>
      <c r="U2554">
        <v>35374</v>
      </c>
      <c r="V2554" t="s">
        <v>33</v>
      </c>
    </row>
    <row r="2555" spans="1:22">
      <c r="A2555" t="str">
        <f t="shared" ref="A2555:A2570" si="483">("16/03/2026")</f>
        <v>16/03/2026</v>
      </c>
      <c r="B2555" t="str">
        <f t="shared" si="479"/>
        <v>SAÍDA</v>
      </c>
      <c r="C2555" t="str">
        <f t="shared" si="481"/>
        <v>PIX</v>
      </c>
      <c r="D2555" t="str">
        <f t="shared" ref="D2555:D2568" si="484">"16032026"</f>
        <v>16032026</v>
      </c>
      <c r="E2555" t="str">
        <f>""</f>
        <v/>
      </c>
      <c r="F2555" t="str">
        <f t="shared" si="474"/>
        <v>COM</v>
      </c>
      <c r="G2555" t="str">
        <f t="shared" ref="G2555:G2570" si="485">"CASSIO DIAS RIBEIRO (32)"</f>
        <v>CASSIO DIAS RIBEIRO (32)</v>
      </c>
      <c r="H2555" t="str">
        <f>"PAGAMENTO LIDERANÇA REF. MES 02/2026 - PIX: CPF - CHAVE: 091.575.986-14"</f>
        <v>PAGAMENTO LIDERANÇA REF. MES 02/2026 - PIX: CPF - CHAVE: 091.575.986-14</v>
      </c>
      <c r="I2555" t="str">
        <f>("16/03/2026")</f>
        <v>16/03/2026</v>
      </c>
      <c r="J2555" t="str">
        <f>("16/03/2026")</f>
        <v>16/03/2026</v>
      </c>
      <c r="K2555" t="str">
        <f>("16/03/2026")</f>
        <v>16/03/2026</v>
      </c>
      <c r="L2555">
        <v>1000</v>
      </c>
      <c r="M2555">
        <v>1000</v>
      </c>
      <c r="N2555">
        <v>120</v>
      </c>
      <c r="O2555" t="str">
        <f>"PAGAMENTO COMISSAO LIDERES"</f>
        <v>PAGAMENTO COMISSAO LIDERES</v>
      </c>
      <c r="P2555">
        <v>1000</v>
      </c>
      <c r="S2555" t="str">
        <f>"CAIXA MOVIMENTAÇÃO OPERACIONAL (132)"</f>
        <v>CAIXA MOVIMENTAÇÃO OPERACIONAL (132)</v>
      </c>
      <c r="T2555">
        <v>30609</v>
      </c>
      <c r="U2555">
        <v>34958</v>
      </c>
      <c r="V2555" t="s">
        <v>22</v>
      </c>
    </row>
    <row r="2556" spans="1:22">
      <c r="A2556" t="str">
        <f t="shared" si="483"/>
        <v>16/03/2026</v>
      </c>
      <c r="B2556" t="str">
        <f t="shared" si="479"/>
        <v>SAÍDA</v>
      </c>
      <c r="C2556" t="str">
        <f t="shared" si="481"/>
        <v>PIX</v>
      </c>
      <c r="D2556" t="str">
        <f t="shared" si="484"/>
        <v>16032026</v>
      </c>
      <c r="E2556" t="str">
        <f>""</f>
        <v/>
      </c>
      <c r="F2556" t="str">
        <f t="shared" si="474"/>
        <v>COM</v>
      </c>
      <c r="G2556" t="str">
        <f t="shared" si="485"/>
        <v>CASSIO DIAS RIBEIRO (32)</v>
      </c>
      <c r="H2556" t="s">
        <v>794</v>
      </c>
      <c r="I2556" t="str">
        <f t="shared" ref="I2556:J2568" si="486">("16/03/2026")</f>
        <v>16/03/2026</v>
      </c>
      <c r="J2556" t="str">
        <f t="shared" si="486"/>
        <v>16/03/2026</v>
      </c>
      <c r="K2556">
        <v>46097</v>
      </c>
      <c r="N2556">
        <v>120</v>
      </c>
      <c r="O2556" t="s">
        <v>795</v>
      </c>
      <c r="Q2556">
        <v>494.1</v>
      </c>
      <c r="R2556" t="str">
        <f>"CASSIO DIAS RIBEIRO (32)"</f>
        <v>CASSIO DIAS RIBEIRO (32)</v>
      </c>
      <c r="S2556" t="s">
        <v>22</v>
      </c>
      <c r="T2556">
        <v>30609</v>
      </c>
      <c r="U2556">
        <v>34958</v>
      </c>
      <c r="V2556" t="s">
        <v>22</v>
      </c>
    </row>
    <row r="2557" spans="1:22">
      <c r="A2557" t="str">
        <f t="shared" si="483"/>
        <v>16/03/2026</v>
      </c>
      <c r="B2557" t="str">
        <f t="shared" si="479"/>
        <v>SAÍDA</v>
      </c>
      <c r="C2557" t="str">
        <f t="shared" si="481"/>
        <v>PIX</v>
      </c>
      <c r="D2557" t="str">
        <f t="shared" si="484"/>
        <v>16032026</v>
      </c>
      <c r="E2557" t="str">
        <f>""</f>
        <v/>
      </c>
      <c r="F2557" t="str">
        <f t="shared" si="474"/>
        <v>COM</v>
      </c>
      <c r="G2557" t="str">
        <f t="shared" si="485"/>
        <v>CASSIO DIAS RIBEIRO (32)</v>
      </c>
      <c r="H2557" t="s">
        <v>794</v>
      </c>
      <c r="I2557" t="str">
        <f t="shared" si="486"/>
        <v>16/03/2026</v>
      </c>
      <c r="J2557" t="str">
        <f t="shared" si="486"/>
        <v>16/03/2026</v>
      </c>
      <c r="K2557">
        <v>46097</v>
      </c>
      <c r="N2557">
        <v>120</v>
      </c>
      <c r="O2557" t="s">
        <v>795</v>
      </c>
      <c r="Q2557">
        <v>169.6</v>
      </c>
      <c r="R2557" t="str">
        <f>"FARMÁCIA INDIANA LJ 06 (10006)"</f>
        <v>FARMÁCIA INDIANA LJ 06 (10006)</v>
      </c>
      <c r="S2557" t="s">
        <v>22</v>
      </c>
      <c r="T2557">
        <v>30609</v>
      </c>
      <c r="U2557">
        <v>34958</v>
      </c>
      <c r="V2557" t="s">
        <v>22</v>
      </c>
    </row>
    <row r="2558" spans="1:22">
      <c r="A2558" t="str">
        <f t="shared" si="483"/>
        <v>16/03/2026</v>
      </c>
      <c r="B2558" t="str">
        <f t="shared" si="479"/>
        <v>SAÍDA</v>
      </c>
      <c r="C2558" t="str">
        <f t="shared" si="481"/>
        <v>PIX</v>
      </c>
      <c r="D2558" t="str">
        <f t="shared" si="484"/>
        <v>16032026</v>
      </c>
      <c r="E2558" t="str">
        <f>""</f>
        <v/>
      </c>
      <c r="F2558" t="str">
        <f t="shared" si="474"/>
        <v>COM</v>
      </c>
      <c r="G2558" t="str">
        <f t="shared" si="485"/>
        <v>CASSIO DIAS RIBEIRO (32)</v>
      </c>
      <c r="H2558" t="s">
        <v>794</v>
      </c>
      <c r="I2558" t="str">
        <f t="shared" si="486"/>
        <v>16/03/2026</v>
      </c>
      <c r="J2558" t="str">
        <f t="shared" si="486"/>
        <v>16/03/2026</v>
      </c>
      <c r="K2558">
        <v>46097</v>
      </c>
      <c r="N2558">
        <v>120</v>
      </c>
      <c r="O2558" t="s">
        <v>795</v>
      </c>
      <c r="Q2558">
        <v>90</v>
      </c>
      <c r="R2558" t="str">
        <f>"FARMÁCIA INDIANA LJ 11 (10008)"</f>
        <v>FARMÁCIA INDIANA LJ 11 (10008)</v>
      </c>
      <c r="S2558" t="s">
        <v>22</v>
      </c>
      <c r="T2558">
        <v>30609</v>
      </c>
      <c r="U2558">
        <v>34958</v>
      </c>
      <c r="V2558" t="s">
        <v>22</v>
      </c>
    </row>
    <row r="2559" spans="1:22">
      <c r="A2559" t="str">
        <f t="shared" si="483"/>
        <v>16/03/2026</v>
      </c>
      <c r="B2559" t="str">
        <f t="shared" si="479"/>
        <v>SAÍDA</v>
      </c>
      <c r="C2559" t="str">
        <f t="shared" si="481"/>
        <v>PIX</v>
      </c>
      <c r="D2559" t="str">
        <f t="shared" si="484"/>
        <v>16032026</v>
      </c>
      <c r="E2559" t="str">
        <f>""</f>
        <v/>
      </c>
      <c r="F2559" t="str">
        <f t="shared" si="474"/>
        <v>COM</v>
      </c>
      <c r="G2559" t="str">
        <f t="shared" si="485"/>
        <v>CASSIO DIAS RIBEIRO (32)</v>
      </c>
      <c r="H2559" t="s">
        <v>794</v>
      </c>
      <c r="I2559" t="str">
        <f t="shared" si="486"/>
        <v>16/03/2026</v>
      </c>
      <c r="J2559" t="str">
        <f t="shared" si="486"/>
        <v>16/03/2026</v>
      </c>
      <c r="K2559">
        <v>46097</v>
      </c>
      <c r="N2559">
        <v>120</v>
      </c>
      <c r="O2559" t="s">
        <v>795</v>
      </c>
      <c r="Q2559">
        <v>36.4</v>
      </c>
      <c r="R2559" t="str">
        <f>"FARMÁCIA INDIANA LJ 14 (10009)"</f>
        <v>FARMÁCIA INDIANA LJ 14 (10009)</v>
      </c>
      <c r="S2559" t="s">
        <v>22</v>
      </c>
      <c r="T2559">
        <v>30609</v>
      </c>
      <c r="U2559">
        <v>34958</v>
      </c>
      <c r="V2559" t="s">
        <v>22</v>
      </c>
    </row>
    <row r="2560" spans="1:22">
      <c r="A2560" t="str">
        <f t="shared" si="483"/>
        <v>16/03/2026</v>
      </c>
      <c r="B2560" t="str">
        <f t="shared" si="479"/>
        <v>SAÍDA</v>
      </c>
      <c r="C2560" t="str">
        <f t="shared" si="481"/>
        <v>PIX</v>
      </c>
      <c r="D2560" t="str">
        <f t="shared" si="484"/>
        <v>16032026</v>
      </c>
      <c r="E2560" t="str">
        <f>""</f>
        <v/>
      </c>
      <c r="F2560" t="str">
        <f t="shared" si="474"/>
        <v>COM</v>
      </c>
      <c r="G2560" t="str">
        <f t="shared" si="485"/>
        <v>CASSIO DIAS RIBEIRO (32)</v>
      </c>
      <c r="H2560" t="s">
        <v>794</v>
      </c>
      <c r="I2560" t="str">
        <f t="shared" si="486"/>
        <v>16/03/2026</v>
      </c>
      <c r="J2560" t="str">
        <f t="shared" si="486"/>
        <v>16/03/2026</v>
      </c>
      <c r="K2560">
        <v>46097</v>
      </c>
      <c r="N2560">
        <v>120</v>
      </c>
      <c r="O2560" t="s">
        <v>795</v>
      </c>
      <c r="Q2560">
        <v>26.6</v>
      </c>
      <c r="R2560" t="str">
        <f>"FARMÁCIA INDIANA LJ 18 (10011)"</f>
        <v>FARMÁCIA INDIANA LJ 18 (10011)</v>
      </c>
      <c r="S2560" t="s">
        <v>22</v>
      </c>
      <c r="T2560">
        <v>30609</v>
      </c>
      <c r="U2560">
        <v>34958</v>
      </c>
      <c r="V2560" t="s">
        <v>22</v>
      </c>
    </row>
    <row r="2561" spans="1:22">
      <c r="A2561" t="str">
        <f t="shared" si="483"/>
        <v>16/03/2026</v>
      </c>
      <c r="B2561" t="str">
        <f t="shared" si="479"/>
        <v>SAÍDA</v>
      </c>
      <c r="C2561" t="str">
        <f t="shared" si="481"/>
        <v>PIX</v>
      </c>
      <c r="D2561" t="str">
        <f t="shared" si="484"/>
        <v>16032026</v>
      </c>
      <c r="E2561" t="str">
        <f>""</f>
        <v/>
      </c>
      <c r="F2561" t="str">
        <f t="shared" si="474"/>
        <v>COM</v>
      </c>
      <c r="G2561" t="str">
        <f t="shared" si="485"/>
        <v>CASSIO DIAS RIBEIRO (32)</v>
      </c>
      <c r="H2561" t="s">
        <v>794</v>
      </c>
      <c r="I2561" t="str">
        <f t="shared" si="486"/>
        <v>16/03/2026</v>
      </c>
      <c r="J2561" t="str">
        <f t="shared" si="486"/>
        <v>16/03/2026</v>
      </c>
      <c r="K2561">
        <v>46097</v>
      </c>
      <c r="N2561">
        <v>120</v>
      </c>
      <c r="O2561" t="s">
        <v>795</v>
      </c>
      <c r="Q2561">
        <v>29.7</v>
      </c>
      <c r="R2561" t="str">
        <f>"FARMÁCIA INDIANA LJ 19 (10012)"</f>
        <v>FARMÁCIA INDIANA LJ 19 (10012)</v>
      </c>
      <c r="S2561" t="s">
        <v>22</v>
      </c>
      <c r="T2561">
        <v>30609</v>
      </c>
      <c r="U2561">
        <v>34958</v>
      </c>
      <c r="V2561" t="s">
        <v>22</v>
      </c>
    </row>
    <row r="2562" spans="1:22">
      <c r="A2562" t="str">
        <f t="shared" si="483"/>
        <v>16/03/2026</v>
      </c>
      <c r="B2562" t="str">
        <f t="shared" si="479"/>
        <v>SAÍDA</v>
      </c>
      <c r="C2562" t="str">
        <f t="shared" si="481"/>
        <v>PIX</v>
      </c>
      <c r="D2562" t="str">
        <f t="shared" si="484"/>
        <v>16032026</v>
      </c>
      <c r="E2562" t="str">
        <f>""</f>
        <v/>
      </c>
      <c r="F2562" t="str">
        <f t="shared" ref="F2562:F2625" si="487">"COM"</f>
        <v>COM</v>
      </c>
      <c r="G2562" t="str">
        <f t="shared" si="485"/>
        <v>CASSIO DIAS RIBEIRO (32)</v>
      </c>
      <c r="H2562" t="s">
        <v>794</v>
      </c>
      <c r="I2562" t="str">
        <f t="shared" si="486"/>
        <v>16/03/2026</v>
      </c>
      <c r="J2562" t="str">
        <f t="shared" si="486"/>
        <v>16/03/2026</v>
      </c>
      <c r="K2562">
        <v>46097</v>
      </c>
      <c r="N2562">
        <v>120</v>
      </c>
      <c r="O2562" t="s">
        <v>795</v>
      </c>
      <c r="Q2562">
        <v>13.1</v>
      </c>
      <c r="R2562" t="str">
        <f>"FARMÁCIA INDIANA LJ 181 (10078)"</f>
        <v>FARMÁCIA INDIANA LJ 181 (10078)</v>
      </c>
      <c r="S2562" t="s">
        <v>22</v>
      </c>
      <c r="T2562">
        <v>30609</v>
      </c>
      <c r="U2562">
        <v>34958</v>
      </c>
      <c r="V2562" t="s">
        <v>22</v>
      </c>
    </row>
    <row r="2563" spans="1:22">
      <c r="A2563" t="str">
        <f t="shared" si="483"/>
        <v>16/03/2026</v>
      </c>
      <c r="B2563" t="str">
        <f t="shared" si="479"/>
        <v>SAÍDA</v>
      </c>
      <c r="C2563" t="str">
        <f t="shared" si="481"/>
        <v>PIX</v>
      </c>
      <c r="D2563" t="str">
        <f t="shared" si="484"/>
        <v>16032026</v>
      </c>
      <c r="E2563" t="str">
        <f>""</f>
        <v/>
      </c>
      <c r="F2563" t="str">
        <f t="shared" si="487"/>
        <v>COM</v>
      </c>
      <c r="G2563" t="str">
        <f t="shared" si="485"/>
        <v>CASSIO DIAS RIBEIRO (32)</v>
      </c>
      <c r="H2563" t="s">
        <v>794</v>
      </c>
      <c r="I2563" t="str">
        <f t="shared" si="486"/>
        <v>16/03/2026</v>
      </c>
      <c r="J2563" t="str">
        <f t="shared" si="486"/>
        <v>16/03/2026</v>
      </c>
      <c r="K2563">
        <v>46097</v>
      </c>
      <c r="N2563">
        <v>120</v>
      </c>
      <c r="O2563" t="s">
        <v>795</v>
      </c>
      <c r="Q2563">
        <v>47.3</v>
      </c>
      <c r="R2563" t="str">
        <f>"FARMÁCIA INDIANA LJ 172 (10161)"</f>
        <v>FARMÁCIA INDIANA LJ 172 (10161)</v>
      </c>
      <c r="S2563" t="s">
        <v>22</v>
      </c>
      <c r="T2563">
        <v>30609</v>
      </c>
      <c r="U2563">
        <v>34958</v>
      </c>
      <c r="V2563" t="s">
        <v>22</v>
      </c>
    </row>
    <row r="2564" spans="1:22">
      <c r="A2564" t="str">
        <f t="shared" si="483"/>
        <v>16/03/2026</v>
      </c>
      <c r="B2564" t="str">
        <f t="shared" si="479"/>
        <v>SAÍDA</v>
      </c>
      <c r="C2564" t="str">
        <f t="shared" si="481"/>
        <v>PIX</v>
      </c>
      <c r="D2564" t="str">
        <f t="shared" si="484"/>
        <v>16032026</v>
      </c>
      <c r="E2564" t="str">
        <f>""</f>
        <v/>
      </c>
      <c r="F2564" t="str">
        <f t="shared" si="487"/>
        <v>COM</v>
      </c>
      <c r="G2564" t="str">
        <f t="shared" si="485"/>
        <v>CASSIO DIAS RIBEIRO (32)</v>
      </c>
      <c r="H2564" t="s">
        <v>794</v>
      </c>
      <c r="I2564" t="str">
        <f t="shared" si="486"/>
        <v>16/03/2026</v>
      </c>
      <c r="J2564" t="str">
        <f t="shared" si="486"/>
        <v>16/03/2026</v>
      </c>
      <c r="K2564">
        <v>46097</v>
      </c>
      <c r="N2564">
        <v>120</v>
      </c>
      <c r="O2564" t="s">
        <v>795</v>
      </c>
      <c r="Q2564">
        <v>36.5</v>
      </c>
      <c r="R2564" t="str">
        <f>"ENTREFARMA (10164)"</f>
        <v>ENTREFARMA (10164)</v>
      </c>
      <c r="S2564" t="s">
        <v>22</v>
      </c>
      <c r="T2564">
        <v>30609</v>
      </c>
      <c r="U2564">
        <v>34958</v>
      </c>
      <c r="V2564" t="s">
        <v>22</v>
      </c>
    </row>
    <row r="2565" spans="1:22">
      <c r="A2565" t="str">
        <f t="shared" si="483"/>
        <v>16/03/2026</v>
      </c>
      <c r="B2565" t="str">
        <f t="shared" si="479"/>
        <v>SAÍDA</v>
      </c>
      <c r="C2565" t="str">
        <f t="shared" si="481"/>
        <v>PIX</v>
      </c>
      <c r="D2565" t="str">
        <f t="shared" si="484"/>
        <v>16032026</v>
      </c>
      <c r="E2565" t="str">
        <f>""</f>
        <v/>
      </c>
      <c r="F2565" t="str">
        <f t="shared" si="487"/>
        <v>COM</v>
      </c>
      <c r="G2565" t="str">
        <f t="shared" si="485"/>
        <v>CASSIO DIAS RIBEIRO (32)</v>
      </c>
      <c r="H2565" t="s">
        <v>794</v>
      </c>
      <c r="I2565" t="str">
        <f t="shared" si="486"/>
        <v>16/03/2026</v>
      </c>
      <c r="J2565" t="str">
        <f t="shared" si="486"/>
        <v>16/03/2026</v>
      </c>
      <c r="K2565">
        <v>46097</v>
      </c>
      <c r="N2565">
        <v>120</v>
      </c>
      <c r="O2565" t="s">
        <v>795</v>
      </c>
      <c r="Q2565">
        <v>23.6</v>
      </c>
      <c r="R2565" t="str">
        <f>"DROGARIA VAZ (10179)"</f>
        <v>DROGARIA VAZ (10179)</v>
      </c>
      <c r="S2565" t="s">
        <v>22</v>
      </c>
      <c r="T2565">
        <v>30609</v>
      </c>
      <c r="U2565">
        <v>34958</v>
      </c>
      <c r="V2565" t="s">
        <v>22</v>
      </c>
    </row>
    <row r="2566" spans="1:22">
      <c r="A2566" t="str">
        <f t="shared" si="483"/>
        <v>16/03/2026</v>
      </c>
      <c r="B2566" t="str">
        <f t="shared" si="479"/>
        <v>SAÍDA</v>
      </c>
      <c r="C2566" t="str">
        <f t="shared" si="481"/>
        <v>PIX</v>
      </c>
      <c r="D2566" t="str">
        <f t="shared" si="484"/>
        <v>16032026</v>
      </c>
      <c r="E2566" t="str">
        <f>""</f>
        <v/>
      </c>
      <c r="F2566" t="str">
        <f t="shared" si="487"/>
        <v>COM</v>
      </c>
      <c r="G2566" t="str">
        <f t="shared" si="485"/>
        <v>CASSIO DIAS RIBEIRO (32)</v>
      </c>
      <c r="H2566" t="s">
        <v>794</v>
      </c>
      <c r="I2566" t="str">
        <f t="shared" si="486"/>
        <v>16/03/2026</v>
      </c>
      <c r="J2566" t="str">
        <f t="shared" si="486"/>
        <v>16/03/2026</v>
      </c>
      <c r="K2566">
        <v>46097</v>
      </c>
      <c r="N2566">
        <v>120</v>
      </c>
      <c r="O2566" t="s">
        <v>795</v>
      </c>
      <c r="Q2566">
        <v>19</v>
      </c>
      <c r="R2566" t="str">
        <f>"DROGARIA NIQUINHO (10257)"</f>
        <v>DROGARIA NIQUINHO (10257)</v>
      </c>
      <c r="S2566" t="s">
        <v>22</v>
      </c>
      <c r="T2566">
        <v>30609</v>
      </c>
      <c r="U2566">
        <v>34958</v>
      </c>
      <c r="V2566" t="s">
        <v>22</v>
      </c>
    </row>
    <row r="2567" spans="1:22">
      <c r="A2567" t="str">
        <f t="shared" si="483"/>
        <v>16/03/2026</v>
      </c>
      <c r="B2567" t="str">
        <f t="shared" si="479"/>
        <v>SAÍDA</v>
      </c>
      <c r="C2567" t="str">
        <f t="shared" si="481"/>
        <v>PIX</v>
      </c>
      <c r="D2567" t="str">
        <f t="shared" si="484"/>
        <v>16032026</v>
      </c>
      <c r="E2567" t="str">
        <f>""</f>
        <v/>
      </c>
      <c r="F2567" t="str">
        <f t="shared" si="487"/>
        <v>COM</v>
      </c>
      <c r="G2567" t="str">
        <f t="shared" si="485"/>
        <v>CASSIO DIAS RIBEIRO (32)</v>
      </c>
      <c r="H2567" t="s">
        <v>794</v>
      </c>
      <c r="I2567" t="str">
        <f t="shared" si="486"/>
        <v>16/03/2026</v>
      </c>
      <c r="J2567" t="str">
        <f t="shared" si="486"/>
        <v>16/03/2026</v>
      </c>
      <c r="K2567">
        <v>46097</v>
      </c>
      <c r="N2567">
        <v>120</v>
      </c>
      <c r="O2567" t="s">
        <v>795</v>
      </c>
      <c r="Q2567">
        <v>13.7</v>
      </c>
      <c r="R2567" t="str">
        <f>"PAGUE MENOS 426 (10292)"</f>
        <v>PAGUE MENOS 426 (10292)</v>
      </c>
      <c r="S2567" t="s">
        <v>22</v>
      </c>
      <c r="T2567">
        <v>30609</v>
      </c>
      <c r="U2567">
        <v>34958</v>
      </c>
      <c r="V2567" t="s">
        <v>22</v>
      </c>
    </row>
    <row r="2568" spans="1:22">
      <c r="A2568" t="str">
        <f t="shared" si="483"/>
        <v>16/03/2026</v>
      </c>
      <c r="B2568" t="str">
        <f t="shared" si="479"/>
        <v>SAÍDA</v>
      </c>
      <c r="C2568" t="str">
        <f t="shared" si="481"/>
        <v>PIX</v>
      </c>
      <c r="D2568" t="str">
        <f t="shared" si="484"/>
        <v>16032026</v>
      </c>
      <c r="E2568" t="str">
        <f>""</f>
        <v/>
      </c>
      <c r="F2568" t="str">
        <f t="shared" si="487"/>
        <v>COM</v>
      </c>
      <c r="G2568" t="str">
        <f t="shared" si="485"/>
        <v>CASSIO DIAS RIBEIRO (32)</v>
      </c>
      <c r="H2568" t="s">
        <v>794</v>
      </c>
      <c r="I2568" t="str">
        <f t="shared" si="486"/>
        <v>16/03/2026</v>
      </c>
      <c r="J2568" t="str">
        <f t="shared" si="486"/>
        <v>16/03/2026</v>
      </c>
      <c r="K2568">
        <v>46097</v>
      </c>
      <c r="N2568">
        <v>120</v>
      </c>
      <c r="O2568" t="s">
        <v>795</v>
      </c>
      <c r="Q2568">
        <v>0.4</v>
      </c>
      <c r="R2568" t="str">
        <f>"PAGUE MENOS 540 (10293)"</f>
        <v>PAGUE MENOS 540 (10293)</v>
      </c>
      <c r="S2568" t="s">
        <v>22</v>
      </c>
      <c r="T2568">
        <v>30609</v>
      </c>
      <c r="U2568">
        <v>34958</v>
      </c>
      <c r="V2568" t="s">
        <v>22</v>
      </c>
    </row>
    <row r="2569" spans="1:22">
      <c r="A2569" t="str">
        <f t="shared" si="483"/>
        <v>16/03/2026</v>
      </c>
      <c r="B2569" t="str">
        <f>"ENTRADA"</f>
        <v>ENTRADA</v>
      </c>
      <c r="C2569" t="str">
        <f>"DINHEIRO"</f>
        <v>DINHEIRO</v>
      </c>
      <c r="D2569" t="str">
        <f>"1503"</f>
        <v>1503</v>
      </c>
      <c r="E2569" t="str">
        <f>"26"</f>
        <v>26</v>
      </c>
      <c r="F2569" t="str">
        <f t="shared" si="487"/>
        <v>COM</v>
      </c>
      <c r="G2569" t="str">
        <f t="shared" si="485"/>
        <v>CASSIO DIAS RIBEIRO (32)</v>
      </c>
      <c r="H2569" t="str">
        <f>"REEMBOLSO ADIANTAMENTO LIDERANÇA"</f>
        <v>REEMBOLSO ADIANTAMENTO LIDERANÇA</v>
      </c>
      <c r="I2569" t="str">
        <f>("15/03/2026")</f>
        <v>15/03/2026</v>
      </c>
      <c r="J2569" t="str">
        <f>("20/08/2025")</f>
        <v>20/08/2025</v>
      </c>
      <c r="K2569" t="str">
        <f>("16/03/2026")</f>
        <v>16/03/2026</v>
      </c>
      <c r="L2569">
        <v>1000</v>
      </c>
      <c r="M2569">
        <v>1000</v>
      </c>
      <c r="N2569">
        <v>129</v>
      </c>
      <c r="O2569" t="str">
        <f>"ENTRADA DE REEMBOLSO ADIANTAMENTO"</f>
        <v>ENTRADA DE REEMBOLSO ADIANTAMENTO</v>
      </c>
      <c r="P2569">
        <v>1000</v>
      </c>
      <c r="S2569" t="str">
        <f>"ENTRADA DE REEMBOLSO ADIANTAMENTO (129)"</f>
        <v>ENTRADA DE REEMBOLSO ADIANTAMENTO (129)</v>
      </c>
      <c r="T2569">
        <v>30610</v>
      </c>
      <c r="U2569">
        <v>20693</v>
      </c>
      <c r="V2569" t="s">
        <v>22</v>
      </c>
    </row>
    <row r="2570" spans="1:22">
      <c r="A2570" t="str">
        <f t="shared" si="483"/>
        <v>16/03/2026</v>
      </c>
      <c r="B2570" t="str">
        <f>"ENTRADA"</f>
        <v>ENTRADA</v>
      </c>
      <c r="C2570" t="str">
        <f>"DINHEIRO"</f>
        <v>DINHEIRO</v>
      </c>
      <c r="D2570" t="str">
        <f>"1503"</f>
        <v>1503</v>
      </c>
      <c r="E2570" t="str">
        <f>"26"</f>
        <v>26</v>
      </c>
      <c r="F2570" t="str">
        <f t="shared" si="487"/>
        <v>COM</v>
      </c>
      <c r="G2570" t="str">
        <f t="shared" si="485"/>
        <v>CASSIO DIAS RIBEIRO (32)</v>
      </c>
      <c r="H2570" t="s">
        <v>796</v>
      </c>
      <c r="I2570" t="str">
        <f>("15/03/2026")</f>
        <v>15/03/2026</v>
      </c>
      <c r="J2570" t="str">
        <f>("20/08/2025")</f>
        <v>20/08/2025</v>
      </c>
      <c r="K2570">
        <v>46097</v>
      </c>
      <c r="N2570">
        <v>129</v>
      </c>
      <c r="O2570" t="s">
        <v>24</v>
      </c>
      <c r="Q2570">
        <v>1000</v>
      </c>
      <c r="R2570" t="str">
        <f>"CASSIO DIAS RIBEIRO (32)"</f>
        <v>CASSIO DIAS RIBEIRO (32)</v>
      </c>
      <c r="S2570" t="s">
        <v>25</v>
      </c>
      <c r="T2570">
        <v>30610</v>
      </c>
      <c r="U2570">
        <v>20693</v>
      </c>
      <c r="V2570" t="s">
        <v>22</v>
      </c>
    </row>
    <row r="2571" spans="1:22">
      <c r="A2571" t="str">
        <f t="shared" ref="A2571:A2602" si="488">("17/03/2026")</f>
        <v>17/03/2026</v>
      </c>
      <c r="B2571" t="str">
        <f t="shared" ref="B2571:B2602" si="489">"SAÍDA"</f>
        <v>SAÍDA</v>
      </c>
      <c r="C2571" t="str">
        <f t="shared" ref="C2571:C2602" si="490">"PIX"</f>
        <v>PIX</v>
      </c>
      <c r="D2571" t="str">
        <f>"35091"</f>
        <v>35091</v>
      </c>
      <c r="E2571" t="str">
        <f t="shared" ref="E2571:E2588" si="491">"1"</f>
        <v>1</v>
      </c>
      <c r="F2571" t="str">
        <f t="shared" si="487"/>
        <v>COM</v>
      </c>
      <c r="G2571" t="str">
        <f>"MATEUS VIEIRA DE SOUZA (1019)"</f>
        <v>MATEUS VIEIRA DE SOUZA (1019)</v>
      </c>
      <c r="H2571" t="str">
        <f>"Serv.Prest. DIÁRIA 15/03/2026 - PIX: CELULAR - CHAVE: (11) 97702-1316"</f>
        <v>Serv.Prest. DIÁRIA 15/03/2026 - PIX: CELULAR - CHAVE: (11) 97702-1316</v>
      </c>
      <c r="I2571" t="str">
        <f>("17/03/2026")</f>
        <v>17/03/2026</v>
      </c>
      <c r="J2571" t="str">
        <f>("17/03/2026")</f>
        <v>17/03/2026</v>
      </c>
      <c r="K2571" t="str">
        <f>("17/03/2026")</f>
        <v>17/03/2026</v>
      </c>
      <c r="L2571">
        <v>250</v>
      </c>
      <c r="M2571">
        <v>250</v>
      </c>
      <c r="N2571">
        <v>134</v>
      </c>
      <c r="O2571" t="str">
        <f>"DIARIA DE MOTOBOY"</f>
        <v>DIARIA DE MOTOBOY</v>
      </c>
      <c r="P2571">
        <v>250</v>
      </c>
      <c r="S2571" t="str">
        <f>"BANCO CORA (102)"</f>
        <v>BANCO CORA (102)</v>
      </c>
      <c r="T2571">
        <v>30704</v>
      </c>
      <c r="U2571">
        <v>35143</v>
      </c>
      <c r="V2571" t="s">
        <v>33</v>
      </c>
    </row>
    <row r="2572" spans="1:22">
      <c r="A2572" t="str">
        <f t="shared" si="488"/>
        <v>17/03/2026</v>
      </c>
      <c r="B2572" t="str">
        <f t="shared" si="489"/>
        <v>SAÍDA</v>
      </c>
      <c r="C2572" t="str">
        <f t="shared" si="490"/>
        <v>PIX</v>
      </c>
      <c r="D2572" t="str">
        <f>"35091"</f>
        <v>35091</v>
      </c>
      <c r="E2572" t="str">
        <f t="shared" si="491"/>
        <v>1</v>
      </c>
      <c r="F2572" t="str">
        <f t="shared" si="487"/>
        <v>COM</v>
      </c>
      <c r="G2572" t="str">
        <f>"MATEUS VIEIRA DE SOUZA (1019)"</f>
        <v>MATEUS VIEIRA DE SOUZA (1019)</v>
      </c>
      <c r="H2572" t="s">
        <v>797</v>
      </c>
      <c r="I2572" t="str">
        <f>("17/03/2026")</f>
        <v>17/03/2026</v>
      </c>
      <c r="J2572" t="str">
        <f>("17/03/2026")</f>
        <v>17/03/2026</v>
      </c>
      <c r="K2572">
        <v>46098</v>
      </c>
      <c r="N2572">
        <v>134</v>
      </c>
      <c r="O2572" t="s">
        <v>30</v>
      </c>
      <c r="Q2572">
        <v>250</v>
      </c>
      <c r="R2572" t="str">
        <f>"PENSE FARMA 47 (10232)"</f>
        <v>PENSE FARMA 47 (10232)</v>
      </c>
      <c r="S2572" t="s">
        <v>33</v>
      </c>
      <c r="T2572">
        <v>30704</v>
      </c>
      <c r="U2572">
        <v>35143</v>
      </c>
      <c r="V2572" t="s">
        <v>33</v>
      </c>
    </row>
    <row r="2573" spans="1:22">
      <c r="A2573" t="str">
        <f t="shared" si="488"/>
        <v>17/03/2026</v>
      </c>
      <c r="B2573" t="str">
        <f t="shared" si="489"/>
        <v>SAÍDA</v>
      </c>
      <c r="C2573" t="str">
        <f t="shared" si="490"/>
        <v>PIX</v>
      </c>
      <c r="D2573" t="str">
        <f>"34882"</f>
        <v>34882</v>
      </c>
      <c r="E2573" t="str">
        <f t="shared" si="491"/>
        <v>1</v>
      </c>
      <c r="F2573" t="str">
        <f t="shared" si="487"/>
        <v>COM</v>
      </c>
      <c r="G2573" t="str">
        <f>"PAULO VINICIUS BERNARDES ANEZIO (1371)"</f>
        <v>PAULO VINICIUS BERNARDES ANEZIO (1371)</v>
      </c>
      <c r="H2573" t="str">
        <f>"Serv.Prest. 09/03/2026 a 15/03/2026 - PIX: E-MAIL - CHAVE: zulupaulinho@gmail.com"</f>
        <v>Serv.Prest. 09/03/2026 a 15/03/2026 - PIX: E-MAIL - CHAVE: zulupaulinho@gmail.com</v>
      </c>
      <c r="I2573" t="str">
        <f t="shared" ref="I2573:I2604" si="492">("17/03/2026")</f>
        <v>17/03/2026</v>
      </c>
      <c r="J2573" t="str">
        <f t="shared" ref="J2573:J2578" si="493">("16/03/2026")</f>
        <v>16/03/2026</v>
      </c>
      <c r="K2573" t="str">
        <f>("17/03/2026")</f>
        <v>17/03/2026</v>
      </c>
      <c r="L2573">
        <v>154</v>
      </c>
      <c r="M2573">
        <v>150</v>
      </c>
      <c r="N2573">
        <v>134</v>
      </c>
      <c r="O2573" t="str">
        <f>"DIARIA DE MOTOBOY"</f>
        <v>DIARIA DE MOTOBOY</v>
      </c>
      <c r="P2573">
        <v>150</v>
      </c>
      <c r="S2573" t="str">
        <f>"BANCO C6 (149)"</f>
        <v>BANCO C6 (149)</v>
      </c>
      <c r="T2573">
        <v>30705</v>
      </c>
      <c r="U2573">
        <v>34882</v>
      </c>
      <c r="V2573" t="s">
        <v>37</v>
      </c>
    </row>
    <row r="2574" spans="1:22">
      <c r="A2574" t="str">
        <f t="shared" si="488"/>
        <v>17/03/2026</v>
      </c>
      <c r="B2574" t="str">
        <f t="shared" si="489"/>
        <v>SAÍDA</v>
      </c>
      <c r="C2574" t="str">
        <f t="shared" si="490"/>
        <v>PIX</v>
      </c>
      <c r="D2574" t="str">
        <f>"34882"</f>
        <v>34882</v>
      </c>
      <c r="E2574" t="str">
        <f t="shared" si="491"/>
        <v>1</v>
      </c>
      <c r="F2574" t="str">
        <f t="shared" si="487"/>
        <v>COM</v>
      </c>
      <c r="G2574" t="str">
        <f>"PAULO VINICIUS BERNARDES ANEZIO (1371)"</f>
        <v>PAULO VINICIUS BERNARDES ANEZIO (1371)</v>
      </c>
      <c r="H2574" t="s">
        <v>798</v>
      </c>
      <c r="I2574" t="str">
        <f t="shared" si="492"/>
        <v>17/03/2026</v>
      </c>
      <c r="J2574" t="str">
        <f t="shared" si="493"/>
        <v>16/03/2026</v>
      </c>
      <c r="K2574">
        <v>46098</v>
      </c>
      <c r="N2574">
        <v>134</v>
      </c>
      <c r="O2574" t="s">
        <v>30</v>
      </c>
      <c r="Q2574">
        <v>150</v>
      </c>
      <c r="R2574" t="str">
        <f>"BEM TE FAZ LOJA 6 (10284)"</f>
        <v>BEM TE FAZ LOJA 6 (10284)</v>
      </c>
      <c r="S2574" t="s">
        <v>37</v>
      </c>
      <c r="T2574">
        <v>30705</v>
      </c>
      <c r="U2574">
        <v>34882</v>
      </c>
      <c r="V2574" t="s">
        <v>37</v>
      </c>
    </row>
    <row r="2575" spans="1:22">
      <c r="A2575" t="str">
        <f t="shared" si="488"/>
        <v>17/03/2026</v>
      </c>
      <c r="B2575" t="str">
        <f t="shared" si="489"/>
        <v>SAÍDA</v>
      </c>
      <c r="C2575" t="str">
        <f t="shared" si="490"/>
        <v>PIX</v>
      </c>
      <c r="D2575" t="str">
        <f>"34917"</f>
        <v>34917</v>
      </c>
      <c r="E2575" t="str">
        <f t="shared" si="491"/>
        <v>1</v>
      </c>
      <c r="F2575" t="str">
        <f t="shared" si="487"/>
        <v>COM</v>
      </c>
      <c r="G2575" t="str">
        <f>"THIAGO RODRIGUES DA SILVA (1327)"</f>
        <v>THIAGO RODRIGUES DA SILVA (1327)</v>
      </c>
      <c r="H2575" t="str">
        <f>"Serv.Prest. 09/03/2026 a 15/03/2026 - PIX: CPF - CHAVE: 385.908.908-05"</f>
        <v>Serv.Prest. 09/03/2026 a 15/03/2026 - PIX: CPF - CHAVE: 385.908.908-05</v>
      </c>
      <c r="I2575" t="str">
        <f t="shared" si="492"/>
        <v>17/03/2026</v>
      </c>
      <c r="J2575" t="str">
        <f t="shared" si="493"/>
        <v>16/03/2026</v>
      </c>
      <c r="K2575" t="str">
        <f>("17/03/2026")</f>
        <v>17/03/2026</v>
      </c>
      <c r="L2575">
        <v>343</v>
      </c>
      <c r="M2575">
        <v>343</v>
      </c>
      <c r="N2575">
        <v>134</v>
      </c>
      <c r="O2575" t="str">
        <f>"DIARIA DE MOTOBOY"</f>
        <v>DIARIA DE MOTOBOY</v>
      </c>
      <c r="P2575">
        <v>343</v>
      </c>
      <c r="S2575" t="str">
        <f>"BANCO C6 (149)"</f>
        <v>BANCO C6 (149)</v>
      </c>
      <c r="T2575">
        <v>30706</v>
      </c>
      <c r="U2575">
        <v>34917</v>
      </c>
      <c r="V2575" t="s">
        <v>37</v>
      </c>
    </row>
    <row r="2576" spans="1:22">
      <c r="A2576" t="str">
        <f t="shared" si="488"/>
        <v>17/03/2026</v>
      </c>
      <c r="B2576" t="str">
        <f t="shared" si="489"/>
        <v>SAÍDA</v>
      </c>
      <c r="C2576" t="str">
        <f t="shared" si="490"/>
        <v>PIX</v>
      </c>
      <c r="D2576" t="str">
        <f>"34917"</f>
        <v>34917</v>
      </c>
      <c r="E2576" t="str">
        <f t="shared" si="491"/>
        <v>1</v>
      </c>
      <c r="F2576" t="str">
        <f t="shared" si="487"/>
        <v>COM</v>
      </c>
      <c r="G2576" t="str">
        <f>"THIAGO RODRIGUES DA SILVA (1327)"</f>
        <v>THIAGO RODRIGUES DA SILVA (1327)</v>
      </c>
      <c r="H2576" t="s">
        <v>799</v>
      </c>
      <c r="I2576" t="str">
        <f t="shared" si="492"/>
        <v>17/03/2026</v>
      </c>
      <c r="J2576" t="str">
        <f t="shared" si="493"/>
        <v>16/03/2026</v>
      </c>
      <c r="K2576">
        <v>46098</v>
      </c>
      <c r="N2576">
        <v>134</v>
      </c>
      <c r="O2576" t="s">
        <v>30</v>
      </c>
      <c r="Q2576">
        <v>343</v>
      </c>
      <c r="R2576" t="str">
        <f>"DROGARIA MEDIC CENTER LTDA (10172)"</f>
        <v>DROGARIA MEDIC CENTER LTDA (10172)</v>
      </c>
      <c r="S2576" t="s">
        <v>37</v>
      </c>
      <c r="T2576">
        <v>30706</v>
      </c>
      <c r="U2576">
        <v>34917</v>
      </c>
      <c r="V2576" t="s">
        <v>37</v>
      </c>
    </row>
    <row r="2577" spans="1:22">
      <c r="A2577" t="str">
        <f t="shared" si="488"/>
        <v>17/03/2026</v>
      </c>
      <c r="B2577" t="str">
        <f t="shared" si="489"/>
        <v>SAÍDA</v>
      </c>
      <c r="C2577" t="str">
        <f t="shared" si="490"/>
        <v>PIX</v>
      </c>
      <c r="D2577" t="str">
        <f>"34916"</f>
        <v>34916</v>
      </c>
      <c r="E2577" t="str">
        <f t="shared" si="491"/>
        <v>1</v>
      </c>
      <c r="F2577" t="str">
        <f t="shared" si="487"/>
        <v>COM</v>
      </c>
      <c r="G2577" t="str">
        <f>"DOUGLAS RODRIGUES DE FREITAS (1161)"</f>
        <v>DOUGLAS RODRIGUES DE FREITAS (1161)</v>
      </c>
      <c r="H2577" t="str">
        <f>"Serv.Prest. 09/03/2026 a 15/03/2026 - PIX: E-MAIL - CHAVE: doug6866@gmail.com"</f>
        <v>Serv.Prest. 09/03/2026 a 15/03/2026 - PIX: E-MAIL - CHAVE: doug6866@gmail.com</v>
      </c>
      <c r="I2577" t="str">
        <f t="shared" si="492"/>
        <v>17/03/2026</v>
      </c>
      <c r="J2577" t="str">
        <f t="shared" si="493"/>
        <v>16/03/2026</v>
      </c>
      <c r="K2577" t="str">
        <f>("17/03/2026")</f>
        <v>17/03/2026</v>
      </c>
      <c r="L2577">
        <v>130</v>
      </c>
      <c r="M2577">
        <v>130</v>
      </c>
      <c r="N2577">
        <v>134</v>
      </c>
      <c r="O2577" t="str">
        <f>"DIARIA DE MOTOBOY"</f>
        <v>DIARIA DE MOTOBOY</v>
      </c>
      <c r="P2577">
        <v>130</v>
      </c>
      <c r="S2577" t="str">
        <f>"BANCO C6 (149)"</f>
        <v>BANCO C6 (149)</v>
      </c>
      <c r="T2577">
        <v>30707</v>
      </c>
      <c r="U2577">
        <v>34918</v>
      </c>
      <c r="V2577" t="s">
        <v>37</v>
      </c>
    </row>
    <row r="2578" spans="1:22">
      <c r="A2578" t="str">
        <f t="shared" si="488"/>
        <v>17/03/2026</v>
      </c>
      <c r="B2578" t="str">
        <f t="shared" si="489"/>
        <v>SAÍDA</v>
      </c>
      <c r="C2578" t="str">
        <f t="shared" si="490"/>
        <v>PIX</v>
      </c>
      <c r="D2578" t="str">
        <f>"34916"</f>
        <v>34916</v>
      </c>
      <c r="E2578" t="str">
        <f t="shared" si="491"/>
        <v>1</v>
      </c>
      <c r="F2578" t="str">
        <f t="shared" si="487"/>
        <v>COM</v>
      </c>
      <c r="G2578" t="str">
        <f>"DOUGLAS RODRIGUES DE FREITAS (1161)"</f>
        <v>DOUGLAS RODRIGUES DE FREITAS (1161)</v>
      </c>
      <c r="H2578" t="s">
        <v>800</v>
      </c>
      <c r="I2578" t="str">
        <f t="shared" si="492"/>
        <v>17/03/2026</v>
      </c>
      <c r="J2578" t="str">
        <f t="shared" si="493"/>
        <v>16/03/2026</v>
      </c>
      <c r="K2578">
        <v>46098</v>
      </c>
      <c r="N2578">
        <v>134</v>
      </c>
      <c r="O2578" t="s">
        <v>30</v>
      </c>
      <c r="Q2578">
        <v>130</v>
      </c>
      <c r="R2578" t="str">
        <f>"DROGARIA MEDIC CENTER LTDA (10172)"</f>
        <v>DROGARIA MEDIC CENTER LTDA (10172)</v>
      </c>
      <c r="S2578" t="s">
        <v>37</v>
      </c>
      <c r="T2578">
        <v>30707</v>
      </c>
      <c r="U2578">
        <v>34918</v>
      </c>
      <c r="V2578" t="s">
        <v>37</v>
      </c>
    </row>
    <row r="2579" spans="1:22">
      <c r="A2579" t="str">
        <f t="shared" si="488"/>
        <v>17/03/2026</v>
      </c>
      <c r="B2579" t="str">
        <f t="shared" si="489"/>
        <v>SAÍDA</v>
      </c>
      <c r="C2579" t="str">
        <f t="shared" si="490"/>
        <v>PIX</v>
      </c>
      <c r="D2579" t="str">
        <f>"34983"</f>
        <v>34983</v>
      </c>
      <c r="E2579" t="str">
        <f t="shared" si="491"/>
        <v>1</v>
      </c>
      <c r="F2579" t="str">
        <f t="shared" si="487"/>
        <v>COM</v>
      </c>
      <c r="G2579" t="str">
        <f>"ERIC RODRIGUES TEIXEIRA (939)"</f>
        <v>ERIC RODRIGUES TEIXEIRA (939)</v>
      </c>
      <c r="H2579" t="str">
        <f>"Serv.Prest. DIÁRIA 15/03/2026 - PIX: CELULAR - CHAVE: (11) 95038-0621"</f>
        <v>Serv.Prest. DIÁRIA 15/03/2026 - PIX: CELULAR - CHAVE: (11) 95038-0621</v>
      </c>
      <c r="I2579" t="str">
        <f t="shared" si="492"/>
        <v>17/03/2026</v>
      </c>
      <c r="J2579" t="str">
        <f>("17/03/2026")</f>
        <v>17/03/2026</v>
      </c>
      <c r="K2579" t="str">
        <f>("17/03/2026")</f>
        <v>17/03/2026</v>
      </c>
      <c r="L2579">
        <v>250</v>
      </c>
      <c r="M2579">
        <v>250</v>
      </c>
      <c r="N2579">
        <v>134</v>
      </c>
      <c r="O2579" t="str">
        <f>"DIARIA DE MOTOBOY"</f>
        <v>DIARIA DE MOTOBOY</v>
      </c>
      <c r="P2579">
        <v>250</v>
      </c>
      <c r="S2579" t="str">
        <f>"BANCO C6 (149)"</f>
        <v>BANCO C6 (149)</v>
      </c>
      <c r="T2579">
        <v>30708</v>
      </c>
      <c r="U2579">
        <v>34983</v>
      </c>
      <c r="V2579" t="s">
        <v>37</v>
      </c>
    </row>
    <row r="2580" spans="1:22">
      <c r="A2580" t="str">
        <f t="shared" si="488"/>
        <v>17/03/2026</v>
      </c>
      <c r="B2580" t="str">
        <f t="shared" si="489"/>
        <v>SAÍDA</v>
      </c>
      <c r="C2580" t="str">
        <f t="shared" si="490"/>
        <v>PIX</v>
      </c>
      <c r="D2580" t="str">
        <f>"34983"</f>
        <v>34983</v>
      </c>
      <c r="E2580" t="str">
        <f t="shared" si="491"/>
        <v>1</v>
      </c>
      <c r="F2580" t="str">
        <f t="shared" si="487"/>
        <v>COM</v>
      </c>
      <c r="G2580" t="str">
        <f>"ERIC RODRIGUES TEIXEIRA (939)"</f>
        <v>ERIC RODRIGUES TEIXEIRA (939)</v>
      </c>
      <c r="H2580" t="s">
        <v>801</v>
      </c>
      <c r="I2580" t="str">
        <f t="shared" si="492"/>
        <v>17/03/2026</v>
      </c>
      <c r="J2580" t="str">
        <f t="shared" ref="J2580:J2611" si="494">("17/03/2026")</f>
        <v>17/03/2026</v>
      </c>
      <c r="K2580">
        <v>46098</v>
      </c>
      <c r="N2580">
        <v>134</v>
      </c>
      <c r="O2580" t="s">
        <v>30</v>
      </c>
      <c r="Q2580">
        <v>250</v>
      </c>
      <c r="R2580" t="str">
        <f>"PENSE FARMA 50 (10210)"</f>
        <v>PENSE FARMA 50 (10210)</v>
      </c>
      <c r="S2580" t="s">
        <v>37</v>
      </c>
      <c r="T2580">
        <v>30708</v>
      </c>
      <c r="U2580">
        <v>34983</v>
      </c>
      <c r="V2580" t="s">
        <v>37</v>
      </c>
    </row>
    <row r="2581" spans="1:22">
      <c r="A2581" t="str">
        <f t="shared" si="488"/>
        <v>17/03/2026</v>
      </c>
      <c r="B2581" t="str">
        <f t="shared" si="489"/>
        <v>SAÍDA</v>
      </c>
      <c r="C2581" t="str">
        <f t="shared" si="490"/>
        <v>PIX</v>
      </c>
      <c r="D2581" t="str">
        <f>"35008"</f>
        <v>35008</v>
      </c>
      <c r="E2581" t="str">
        <f t="shared" si="491"/>
        <v>1</v>
      </c>
      <c r="F2581" t="str">
        <f t="shared" si="487"/>
        <v>COM</v>
      </c>
      <c r="G2581" t="str">
        <f t="shared" ref="G2581:G2588" si="495">"ITALO GONÇALVES (974)"</f>
        <v>ITALO GONÇALVES (974)</v>
      </c>
      <c r="H2581" t="str">
        <f>"Serv.Prest. DIÁRIA 15/03/2026 - PIX: CELULAR - CHAVE: (11) 99220-4018"</f>
        <v>Serv.Prest. DIÁRIA 15/03/2026 - PIX: CELULAR - CHAVE: (11) 99220-4018</v>
      </c>
      <c r="I2581" t="str">
        <f t="shared" si="492"/>
        <v>17/03/2026</v>
      </c>
      <c r="J2581" t="str">
        <f t="shared" si="494"/>
        <v>17/03/2026</v>
      </c>
      <c r="K2581" t="str">
        <f>("17/03/2026")</f>
        <v>17/03/2026</v>
      </c>
      <c r="L2581">
        <v>100</v>
      </c>
      <c r="M2581">
        <v>100</v>
      </c>
      <c r="N2581">
        <v>134</v>
      </c>
      <c r="O2581" t="str">
        <f>"DIARIA DE MOTOBOY"</f>
        <v>DIARIA DE MOTOBOY</v>
      </c>
      <c r="P2581">
        <v>100</v>
      </c>
      <c r="S2581" t="str">
        <f>"BANCO C6 (149)"</f>
        <v>BANCO C6 (149)</v>
      </c>
      <c r="T2581">
        <v>30709</v>
      </c>
      <c r="U2581">
        <v>35008</v>
      </c>
      <c r="V2581" t="s">
        <v>37</v>
      </c>
    </row>
    <row r="2582" spans="1:22">
      <c r="A2582" t="str">
        <f t="shared" si="488"/>
        <v>17/03/2026</v>
      </c>
      <c r="B2582" t="str">
        <f t="shared" si="489"/>
        <v>SAÍDA</v>
      </c>
      <c r="C2582" t="str">
        <f t="shared" si="490"/>
        <v>PIX</v>
      </c>
      <c r="D2582" t="str">
        <f>"35008"</f>
        <v>35008</v>
      </c>
      <c r="E2582" t="str">
        <f t="shared" si="491"/>
        <v>1</v>
      </c>
      <c r="F2582" t="str">
        <f t="shared" si="487"/>
        <v>COM</v>
      </c>
      <c r="G2582" t="str">
        <f t="shared" si="495"/>
        <v>ITALO GONÇALVES (974)</v>
      </c>
      <c r="H2582" t="s">
        <v>802</v>
      </c>
      <c r="I2582" t="str">
        <f t="shared" si="492"/>
        <v>17/03/2026</v>
      </c>
      <c r="J2582" t="str">
        <f t="shared" si="494"/>
        <v>17/03/2026</v>
      </c>
      <c r="K2582">
        <v>46098</v>
      </c>
      <c r="N2582">
        <v>134</v>
      </c>
      <c r="O2582" t="s">
        <v>30</v>
      </c>
      <c r="Q2582">
        <v>100</v>
      </c>
      <c r="R2582" t="str">
        <f>"PENSE FARMA 61 (10243)"</f>
        <v>PENSE FARMA 61 (10243)</v>
      </c>
      <c r="S2582" t="s">
        <v>37</v>
      </c>
      <c r="T2582">
        <v>30709</v>
      </c>
      <c r="U2582">
        <v>35008</v>
      </c>
      <c r="V2582" t="s">
        <v>37</v>
      </c>
    </row>
    <row r="2583" spans="1:22">
      <c r="A2583" t="str">
        <f t="shared" si="488"/>
        <v>17/03/2026</v>
      </c>
      <c r="B2583" t="str">
        <f t="shared" si="489"/>
        <v>SAÍDA</v>
      </c>
      <c r="C2583" t="str">
        <f t="shared" si="490"/>
        <v>PIX</v>
      </c>
      <c r="D2583" t="str">
        <f>"35009"</f>
        <v>35009</v>
      </c>
      <c r="E2583" t="str">
        <f t="shared" si="491"/>
        <v>1</v>
      </c>
      <c r="F2583" t="str">
        <f t="shared" si="487"/>
        <v>COM</v>
      </c>
      <c r="G2583" t="str">
        <f t="shared" si="495"/>
        <v>ITALO GONÇALVES (974)</v>
      </c>
      <c r="H2583" t="str">
        <f>"Serv.Prest. DIÁRIA 15/03/2026 - PIX: CELULAR - CHAVE: (11) 99220-4018"</f>
        <v>Serv.Prest. DIÁRIA 15/03/2026 - PIX: CELULAR - CHAVE: (11) 99220-4018</v>
      </c>
      <c r="I2583" t="str">
        <f t="shared" si="492"/>
        <v>17/03/2026</v>
      </c>
      <c r="J2583" t="str">
        <f t="shared" si="494"/>
        <v>17/03/2026</v>
      </c>
      <c r="K2583" t="str">
        <f>("17/03/2026")</f>
        <v>17/03/2026</v>
      </c>
      <c r="L2583">
        <v>100</v>
      </c>
      <c r="M2583">
        <v>100</v>
      </c>
      <c r="N2583">
        <v>134</v>
      </c>
      <c r="O2583" t="str">
        <f>"DIARIA DE MOTOBOY"</f>
        <v>DIARIA DE MOTOBOY</v>
      </c>
      <c r="P2583">
        <v>100</v>
      </c>
      <c r="S2583" t="str">
        <f>"BANCO C6 (149)"</f>
        <v>BANCO C6 (149)</v>
      </c>
      <c r="T2583">
        <v>30710</v>
      </c>
      <c r="U2583">
        <v>35009</v>
      </c>
      <c r="V2583" t="s">
        <v>37</v>
      </c>
    </row>
    <row r="2584" spans="1:22">
      <c r="A2584" t="str">
        <f t="shared" si="488"/>
        <v>17/03/2026</v>
      </c>
      <c r="B2584" t="str">
        <f t="shared" si="489"/>
        <v>SAÍDA</v>
      </c>
      <c r="C2584" t="str">
        <f t="shared" si="490"/>
        <v>PIX</v>
      </c>
      <c r="D2584" t="str">
        <f>"35009"</f>
        <v>35009</v>
      </c>
      <c r="E2584" t="str">
        <f t="shared" si="491"/>
        <v>1</v>
      </c>
      <c r="F2584" t="str">
        <f t="shared" si="487"/>
        <v>COM</v>
      </c>
      <c r="G2584" t="str">
        <f t="shared" si="495"/>
        <v>ITALO GONÇALVES (974)</v>
      </c>
      <c r="H2584" t="s">
        <v>802</v>
      </c>
      <c r="I2584" t="str">
        <f t="shared" si="492"/>
        <v>17/03/2026</v>
      </c>
      <c r="J2584" t="str">
        <f t="shared" si="494"/>
        <v>17/03/2026</v>
      </c>
      <c r="K2584">
        <v>46098</v>
      </c>
      <c r="N2584">
        <v>134</v>
      </c>
      <c r="O2584" t="s">
        <v>30</v>
      </c>
      <c r="Q2584">
        <v>100</v>
      </c>
      <c r="R2584" t="str">
        <f>"PENSE FARMA 60 (10197)"</f>
        <v>PENSE FARMA 60 (10197)</v>
      </c>
      <c r="S2584" t="s">
        <v>37</v>
      </c>
      <c r="T2584">
        <v>30710</v>
      </c>
      <c r="U2584">
        <v>35009</v>
      </c>
      <c r="V2584" t="s">
        <v>37</v>
      </c>
    </row>
    <row r="2585" spans="1:22">
      <c r="A2585" t="str">
        <f t="shared" si="488"/>
        <v>17/03/2026</v>
      </c>
      <c r="B2585" t="str">
        <f t="shared" si="489"/>
        <v>SAÍDA</v>
      </c>
      <c r="C2585" t="str">
        <f t="shared" si="490"/>
        <v>PIX</v>
      </c>
      <c r="D2585" t="str">
        <f>"35010"</f>
        <v>35010</v>
      </c>
      <c r="E2585" t="str">
        <f t="shared" si="491"/>
        <v>1</v>
      </c>
      <c r="F2585" t="str">
        <f t="shared" si="487"/>
        <v>COM</v>
      </c>
      <c r="G2585" t="str">
        <f t="shared" si="495"/>
        <v>ITALO GONÇALVES (974)</v>
      </c>
      <c r="H2585" t="str">
        <f>"Serv.Prest. DIÁRIA 15/03/2026 - PIX: CELULAR - CHAVE: (11) 99220-4018"</f>
        <v>Serv.Prest. DIÁRIA 15/03/2026 - PIX: CELULAR - CHAVE: (11) 99220-4018</v>
      </c>
      <c r="I2585" t="str">
        <f t="shared" si="492"/>
        <v>17/03/2026</v>
      </c>
      <c r="J2585" t="str">
        <f t="shared" si="494"/>
        <v>17/03/2026</v>
      </c>
      <c r="K2585" t="str">
        <f>("17/03/2026")</f>
        <v>17/03/2026</v>
      </c>
      <c r="L2585">
        <v>100</v>
      </c>
      <c r="M2585">
        <v>100</v>
      </c>
      <c r="N2585">
        <v>134</v>
      </c>
      <c r="O2585" t="str">
        <f>"DIARIA DE MOTOBOY"</f>
        <v>DIARIA DE MOTOBOY</v>
      </c>
      <c r="P2585">
        <v>100</v>
      </c>
      <c r="S2585" t="str">
        <f>"BANCO C6 (149)"</f>
        <v>BANCO C6 (149)</v>
      </c>
      <c r="T2585">
        <v>30711</v>
      </c>
      <c r="U2585">
        <v>35010</v>
      </c>
      <c r="V2585" t="s">
        <v>37</v>
      </c>
    </row>
    <row r="2586" spans="1:22">
      <c r="A2586" t="str">
        <f t="shared" si="488"/>
        <v>17/03/2026</v>
      </c>
      <c r="B2586" t="str">
        <f t="shared" si="489"/>
        <v>SAÍDA</v>
      </c>
      <c r="C2586" t="str">
        <f t="shared" si="490"/>
        <v>PIX</v>
      </c>
      <c r="D2586" t="str">
        <f>"35010"</f>
        <v>35010</v>
      </c>
      <c r="E2586" t="str">
        <f t="shared" si="491"/>
        <v>1</v>
      </c>
      <c r="F2586" t="str">
        <f t="shared" si="487"/>
        <v>COM</v>
      </c>
      <c r="G2586" t="str">
        <f t="shared" si="495"/>
        <v>ITALO GONÇALVES (974)</v>
      </c>
      <c r="H2586" t="s">
        <v>802</v>
      </c>
      <c r="I2586" t="str">
        <f t="shared" si="492"/>
        <v>17/03/2026</v>
      </c>
      <c r="J2586" t="str">
        <f t="shared" si="494"/>
        <v>17/03/2026</v>
      </c>
      <c r="K2586">
        <v>46098</v>
      </c>
      <c r="N2586">
        <v>134</v>
      </c>
      <c r="O2586" t="s">
        <v>30</v>
      </c>
      <c r="Q2586">
        <v>100</v>
      </c>
      <c r="R2586" t="str">
        <f>"PENSE FARMA 26 (10196)"</f>
        <v>PENSE FARMA 26 (10196)</v>
      </c>
      <c r="S2586" t="s">
        <v>37</v>
      </c>
      <c r="T2586">
        <v>30711</v>
      </c>
      <c r="U2586">
        <v>35010</v>
      </c>
      <c r="V2586" t="s">
        <v>37</v>
      </c>
    </row>
    <row r="2587" spans="1:22">
      <c r="A2587" t="str">
        <f t="shared" si="488"/>
        <v>17/03/2026</v>
      </c>
      <c r="B2587" t="str">
        <f t="shared" si="489"/>
        <v>SAÍDA</v>
      </c>
      <c r="C2587" t="str">
        <f t="shared" si="490"/>
        <v>PIX</v>
      </c>
      <c r="D2587" t="str">
        <f>"35011"</f>
        <v>35011</v>
      </c>
      <c r="E2587" t="str">
        <f t="shared" si="491"/>
        <v>1</v>
      </c>
      <c r="F2587" t="str">
        <f t="shared" si="487"/>
        <v>COM</v>
      </c>
      <c r="G2587" t="str">
        <f t="shared" si="495"/>
        <v>ITALO GONÇALVES (974)</v>
      </c>
      <c r="H2587" t="str">
        <f>"Serv.Prest. 09/03/2026 a 15/03/2026 - PIX: CELULAR - CHAVE: (11) 99220-4018"</f>
        <v>Serv.Prest. 09/03/2026 a 15/03/2026 - PIX: CELULAR - CHAVE: (11) 99220-4018</v>
      </c>
      <c r="I2587" t="str">
        <f t="shared" si="492"/>
        <v>17/03/2026</v>
      </c>
      <c r="J2587" t="str">
        <f t="shared" si="494"/>
        <v>17/03/2026</v>
      </c>
      <c r="K2587" t="str">
        <f>("17/03/2026")</f>
        <v>17/03/2026</v>
      </c>
      <c r="L2587">
        <v>100</v>
      </c>
      <c r="M2587">
        <v>100</v>
      </c>
      <c r="N2587">
        <v>134</v>
      </c>
      <c r="O2587" t="str">
        <f>"DIARIA DE MOTOBOY"</f>
        <v>DIARIA DE MOTOBOY</v>
      </c>
      <c r="P2587">
        <v>100</v>
      </c>
      <c r="S2587" t="str">
        <f>"BANCO C6 (149)"</f>
        <v>BANCO C6 (149)</v>
      </c>
      <c r="T2587">
        <v>30712</v>
      </c>
      <c r="U2587">
        <v>35011</v>
      </c>
      <c r="V2587" t="s">
        <v>37</v>
      </c>
    </row>
    <row r="2588" spans="1:22">
      <c r="A2588" t="str">
        <f t="shared" si="488"/>
        <v>17/03/2026</v>
      </c>
      <c r="B2588" t="str">
        <f t="shared" si="489"/>
        <v>SAÍDA</v>
      </c>
      <c r="C2588" t="str">
        <f t="shared" si="490"/>
        <v>PIX</v>
      </c>
      <c r="D2588" t="str">
        <f>"35011"</f>
        <v>35011</v>
      </c>
      <c r="E2588" t="str">
        <f t="shared" si="491"/>
        <v>1</v>
      </c>
      <c r="F2588" t="str">
        <f t="shared" si="487"/>
        <v>COM</v>
      </c>
      <c r="G2588" t="str">
        <f t="shared" si="495"/>
        <v>ITALO GONÇALVES (974)</v>
      </c>
      <c r="H2588" t="s">
        <v>803</v>
      </c>
      <c r="I2588" t="str">
        <f t="shared" si="492"/>
        <v>17/03/2026</v>
      </c>
      <c r="J2588" t="str">
        <f t="shared" si="494"/>
        <v>17/03/2026</v>
      </c>
      <c r="K2588">
        <v>46098</v>
      </c>
      <c r="N2588">
        <v>134</v>
      </c>
      <c r="O2588" t="s">
        <v>30</v>
      </c>
      <c r="Q2588">
        <v>100</v>
      </c>
      <c r="R2588" t="str">
        <f>"PENSE FARMA 15 (10195)"</f>
        <v>PENSE FARMA 15 (10195)</v>
      </c>
      <c r="S2588" t="s">
        <v>37</v>
      </c>
      <c r="T2588">
        <v>30712</v>
      </c>
      <c r="U2588">
        <v>35011</v>
      </c>
      <c r="V2588" t="s">
        <v>37</v>
      </c>
    </row>
    <row r="2589" spans="1:22">
      <c r="A2589" t="str">
        <f t="shared" si="488"/>
        <v>17/03/2026</v>
      </c>
      <c r="B2589" t="str">
        <f t="shared" si="489"/>
        <v>SAÍDA</v>
      </c>
      <c r="C2589" t="str">
        <f t="shared" si="490"/>
        <v>PIX</v>
      </c>
      <c r="D2589" t="str">
        <f>"17032026"</f>
        <v>17032026</v>
      </c>
      <c r="E2589" t="str">
        <f>""</f>
        <v/>
      </c>
      <c r="F2589" t="str">
        <f t="shared" si="487"/>
        <v>COM</v>
      </c>
      <c r="G2589" t="str">
        <f>"GABRIEL RAMALHO LOPES (1343)"</f>
        <v>GABRIEL RAMALHO LOPES (1343)</v>
      </c>
      <c r="H2589" t="str">
        <f>"Serv.Prest. DIÁRIA 15/03/2026 - PIX: E-MAIL - CHAVE: ramalhogabriel155@gmail.com"</f>
        <v>Serv.Prest. DIÁRIA 15/03/2026 - PIX: E-MAIL - CHAVE: ramalhogabriel155@gmail.com</v>
      </c>
      <c r="I2589" t="str">
        <f t="shared" si="492"/>
        <v>17/03/2026</v>
      </c>
      <c r="J2589" t="str">
        <f t="shared" si="494"/>
        <v>17/03/2026</v>
      </c>
      <c r="K2589" t="str">
        <f>("17/03/2026")</f>
        <v>17/03/2026</v>
      </c>
      <c r="L2589">
        <v>250</v>
      </c>
      <c r="M2589">
        <v>250</v>
      </c>
      <c r="N2589">
        <v>134</v>
      </c>
      <c r="O2589" t="str">
        <f>"DIARIA DE MOTOBOY"</f>
        <v>DIARIA DE MOTOBOY</v>
      </c>
      <c r="P2589">
        <v>250</v>
      </c>
      <c r="S2589" t="str">
        <f>"BANCO C6 (149)"</f>
        <v>BANCO C6 (149)</v>
      </c>
      <c r="T2589">
        <v>30713</v>
      </c>
      <c r="U2589">
        <v>35320</v>
      </c>
      <c r="V2589" t="s">
        <v>37</v>
      </c>
    </row>
    <row r="2590" spans="1:22">
      <c r="A2590" t="str">
        <f t="shared" si="488"/>
        <v>17/03/2026</v>
      </c>
      <c r="B2590" t="str">
        <f t="shared" si="489"/>
        <v>SAÍDA</v>
      </c>
      <c r="C2590" t="str">
        <f t="shared" si="490"/>
        <v>PIX</v>
      </c>
      <c r="D2590" t="str">
        <f>"17032026"</f>
        <v>17032026</v>
      </c>
      <c r="E2590" t="str">
        <f>""</f>
        <v/>
      </c>
      <c r="F2590" t="str">
        <f t="shared" si="487"/>
        <v>COM</v>
      </c>
      <c r="G2590" t="str">
        <f>"GABRIEL RAMALHO LOPES (1343)"</f>
        <v>GABRIEL RAMALHO LOPES (1343)</v>
      </c>
      <c r="H2590" t="s">
        <v>804</v>
      </c>
      <c r="I2590" t="str">
        <f t="shared" si="492"/>
        <v>17/03/2026</v>
      </c>
      <c r="J2590" t="str">
        <f t="shared" si="494"/>
        <v>17/03/2026</v>
      </c>
      <c r="K2590">
        <v>46098</v>
      </c>
      <c r="N2590">
        <v>134</v>
      </c>
      <c r="O2590" t="s">
        <v>30</v>
      </c>
      <c r="Q2590">
        <v>250</v>
      </c>
      <c r="R2590" t="str">
        <f>"GABRIEL RAMALHO LOPES (1343)"</f>
        <v>GABRIEL RAMALHO LOPES (1343)</v>
      </c>
      <c r="S2590" t="s">
        <v>37</v>
      </c>
      <c r="T2590">
        <v>30713</v>
      </c>
      <c r="U2590">
        <v>35320</v>
      </c>
      <c r="V2590" t="s">
        <v>37</v>
      </c>
    </row>
    <row r="2591" spans="1:22">
      <c r="A2591" t="str">
        <f t="shared" si="488"/>
        <v>17/03/2026</v>
      </c>
      <c r="B2591" t="str">
        <f t="shared" si="489"/>
        <v>SAÍDA</v>
      </c>
      <c r="C2591" t="str">
        <f t="shared" si="490"/>
        <v>PIX</v>
      </c>
      <c r="D2591" t="str">
        <f>"35024"</f>
        <v>35024</v>
      </c>
      <c r="E2591" t="str">
        <f t="shared" ref="E2591:E2622" si="496">"1"</f>
        <v>1</v>
      </c>
      <c r="F2591" t="str">
        <f t="shared" si="487"/>
        <v>COM</v>
      </c>
      <c r="G2591" t="str">
        <f>"JEFFERSON AMORIM DA SILVA (940)"</f>
        <v>JEFFERSON AMORIM DA SILVA (940)</v>
      </c>
      <c r="H2591" t="str">
        <f>"Serv.Prest. DIÁRIA 15/03/2026 - PIX: CPF - CHAVE: 423.685.688-32"</f>
        <v>Serv.Prest. DIÁRIA 15/03/2026 - PIX: CPF - CHAVE: 423.685.688-32</v>
      </c>
      <c r="I2591" t="str">
        <f t="shared" si="492"/>
        <v>17/03/2026</v>
      </c>
      <c r="J2591" t="str">
        <f t="shared" si="494"/>
        <v>17/03/2026</v>
      </c>
      <c r="K2591" t="str">
        <f>("17/03/2026")</f>
        <v>17/03/2026</v>
      </c>
      <c r="L2591">
        <v>250</v>
      </c>
      <c r="M2591">
        <v>250</v>
      </c>
      <c r="N2591">
        <v>134</v>
      </c>
      <c r="O2591" t="str">
        <f>"DIARIA DE MOTOBOY"</f>
        <v>DIARIA DE MOTOBOY</v>
      </c>
      <c r="P2591">
        <v>250</v>
      </c>
      <c r="S2591" t="str">
        <f>"BANCO C6 (149)"</f>
        <v>BANCO C6 (149)</v>
      </c>
      <c r="T2591">
        <v>30714</v>
      </c>
      <c r="U2591">
        <v>35024</v>
      </c>
      <c r="V2591" t="s">
        <v>37</v>
      </c>
    </row>
    <row r="2592" spans="1:22">
      <c r="A2592" t="str">
        <f t="shared" si="488"/>
        <v>17/03/2026</v>
      </c>
      <c r="B2592" t="str">
        <f t="shared" si="489"/>
        <v>SAÍDA</v>
      </c>
      <c r="C2592" t="str">
        <f t="shared" si="490"/>
        <v>PIX</v>
      </c>
      <c r="D2592" t="str">
        <f>"35024"</f>
        <v>35024</v>
      </c>
      <c r="E2592" t="str">
        <f t="shared" si="496"/>
        <v>1</v>
      </c>
      <c r="F2592" t="str">
        <f t="shared" si="487"/>
        <v>COM</v>
      </c>
      <c r="G2592" t="str">
        <f>"JEFFERSON AMORIM DA SILVA (940)"</f>
        <v>JEFFERSON AMORIM DA SILVA (940)</v>
      </c>
      <c r="H2592" t="s">
        <v>805</v>
      </c>
      <c r="I2592" t="str">
        <f t="shared" si="492"/>
        <v>17/03/2026</v>
      </c>
      <c r="J2592" t="str">
        <f t="shared" si="494"/>
        <v>17/03/2026</v>
      </c>
      <c r="K2592">
        <v>46098</v>
      </c>
      <c r="N2592">
        <v>134</v>
      </c>
      <c r="O2592" t="s">
        <v>30</v>
      </c>
      <c r="Q2592">
        <v>250</v>
      </c>
      <c r="R2592" t="str">
        <f>"PENSE FARMA 25 (10224)"</f>
        <v>PENSE FARMA 25 (10224)</v>
      </c>
      <c r="S2592" t="s">
        <v>37</v>
      </c>
      <c r="T2592">
        <v>30714</v>
      </c>
      <c r="U2592">
        <v>35024</v>
      </c>
      <c r="V2592" t="s">
        <v>37</v>
      </c>
    </row>
    <row r="2593" spans="1:22">
      <c r="A2593" t="str">
        <f t="shared" si="488"/>
        <v>17/03/2026</v>
      </c>
      <c r="B2593" t="str">
        <f t="shared" si="489"/>
        <v>SAÍDA</v>
      </c>
      <c r="C2593" t="str">
        <f t="shared" si="490"/>
        <v>PIX</v>
      </c>
      <c r="D2593" t="str">
        <f>"35042"</f>
        <v>35042</v>
      </c>
      <c r="E2593" t="str">
        <f t="shared" si="496"/>
        <v>1</v>
      </c>
      <c r="F2593" t="str">
        <f t="shared" si="487"/>
        <v>COM</v>
      </c>
      <c r="G2593" t="str">
        <f t="shared" ref="G2593:G2600" si="497">"MILENA MARTINELI BRANCO DA SILVA (1344)"</f>
        <v>MILENA MARTINELI BRANCO DA SILVA (1344)</v>
      </c>
      <c r="H2593" t="str">
        <f>"Serv.Prest. DIÁRIA 15/03/2026 - PIX: CPF - CHAVE: 499.340.868-40"</f>
        <v>Serv.Prest. DIÁRIA 15/03/2026 - PIX: CPF - CHAVE: 499.340.868-40</v>
      </c>
      <c r="I2593" t="str">
        <f t="shared" si="492"/>
        <v>17/03/2026</v>
      </c>
      <c r="J2593" t="str">
        <f t="shared" si="494"/>
        <v>17/03/2026</v>
      </c>
      <c r="K2593" t="str">
        <f>("17/03/2026")</f>
        <v>17/03/2026</v>
      </c>
      <c r="L2593">
        <v>60</v>
      </c>
      <c r="M2593">
        <v>60</v>
      </c>
      <c r="N2593">
        <v>134</v>
      </c>
      <c r="O2593" t="str">
        <f>"DIARIA DE MOTOBOY"</f>
        <v>DIARIA DE MOTOBOY</v>
      </c>
      <c r="P2593">
        <v>60</v>
      </c>
      <c r="S2593" t="str">
        <f>"BANCO C6 (149)"</f>
        <v>BANCO C6 (149)</v>
      </c>
      <c r="T2593">
        <v>30715</v>
      </c>
      <c r="U2593">
        <v>35042</v>
      </c>
      <c r="V2593" t="s">
        <v>37</v>
      </c>
    </row>
    <row r="2594" spans="1:22">
      <c r="A2594" t="str">
        <f t="shared" si="488"/>
        <v>17/03/2026</v>
      </c>
      <c r="B2594" t="str">
        <f t="shared" si="489"/>
        <v>SAÍDA</v>
      </c>
      <c r="C2594" t="str">
        <f t="shared" si="490"/>
        <v>PIX</v>
      </c>
      <c r="D2594" t="str">
        <f>"35042"</f>
        <v>35042</v>
      </c>
      <c r="E2594" t="str">
        <f t="shared" si="496"/>
        <v>1</v>
      </c>
      <c r="F2594" t="str">
        <f t="shared" si="487"/>
        <v>COM</v>
      </c>
      <c r="G2594" t="str">
        <f t="shared" si="497"/>
        <v>MILENA MARTINELI BRANCO DA SILVA (1344)</v>
      </c>
      <c r="H2594" t="s">
        <v>806</v>
      </c>
      <c r="I2594" t="str">
        <f t="shared" si="492"/>
        <v>17/03/2026</v>
      </c>
      <c r="J2594" t="str">
        <f t="shared" si="494"/>
        <v>17/03/2026</v>
      </c>
      <c r="K2594">
        <v>46098</v>
      </c>
      <c r="N2594">
        <v>134</v>
      </c>
      <c r="O2594" t="s">
        <v>30</v>
      </c>
      <c r="Q2594">
        <v>60</v>
      </c>
      <c r="R2594" t="str">
        <f>"PENSE FARMA 31 (10205)"</f>
        <v>PENSE FARMA 31 (10205)</v>
      </c>
      <c r="S2594" t="s">
        <v>37</v>
      </c>
      <c r="T2594">
        <v>30715</v>
      </c>
      <c r="U2594">
        <v>35042</v>
      </c>
      <c r="V2594" t="s">
        <v>37</v>
      </c>
    </row>
    <row r="2595" spans="1:22">
      <c r="A2595" t="str">
        <f t="shared" si="488"/>
        <v>17/03/2026</v>
      </c>
      <c r="B2595" t="str">
        <f t="shared" si="489"/>
        <v>SAÍDA</v>
      </c>
      <c r="C2595" t="str">
        <f t="shared" si="490"/>
        <v>PIX</v>
      </c>
      <c r="D2595" t="str">
        <f>"35043"</f>
        <v>35043</v>
      </c>
      <c r="E2595" t="str">
        <f t="shared" si="496"/>
        <v>1</v>
      </c>
      <c r="F2595" t="str">
        <f t="shared" si="487"/>
        <v>COM</v>
      </c>
      <c r="G2595" t="str">
        <f t="shared" si="497"/>
        <v>MILENA MARTINELI BRANCO DA SILVA (1344)</v>
      </c>
      <c r="H2595" t="str">
        <f>"Serv.Prest. DIÁRIA 15/03/2026 - PIX: CPF - CHAVE: 499.340.868-40"</f>
        <v>Serv.Prest. DIÁRIA 15/03/2026 - PIX: CPF - CHAVE: 499.340.868-40</v>
      </c>
      <c r="I2595" t="str">
        <f t="shared" si="492"/>
        <v>17/03/2026</v>
      </c>
      <c r="J2595" t="str">
        <f t="shared" si="494"/>
        <v>17/03/2026</v>
      </c>
      <c r="K2595" t="str">
        <f>("17/03/2026")</f>
        <v>17/03/2026</v>
      </c>
      <c r="L2595">
        <v>60</v>
      </c>
      <c r="M2595">
        <v>60</v>
      </c>
      <c r="N2595">
        <v>134</v>
      </c>
      <c r="O2595" t="str">
        <f>"DIARIA DE MOTOBOY"</f>
        <v>DIARIA DE MOTOBOY</v>
      </c>
      <c r="P2595">
        <v>60</v>
      </c>
      <c r="S2595" t="str">
        <f>"BANCO C6 (149)"</f>
        <v>BANCO C6 (149)</v>
      </c>
      <c r="T2595">
        <v>30716</v>
      </c>
      <c r="U2595">
        <v>35043</v>
      </c>
      <c r="V2595" t="s">
        <v>37</v>
      </c>
    </row>
    <row r="2596" spans="1:22">
      <c r="A2596" t="str">
        <f t="shared" si="488"/>
        <v>17/03/2026</v>
      </c>
      <c r="B2596" t="str">
        <f t="shared" si="489"/>
        <v>SAÍDA</v>
      </c>
      <c r="C2596" t="str">
        <f t="shared" si="490"/>
        <v>PIX</v>
      </c>
      <c r="D2596" t="str">
        <f>"35043"</f>
        <v>35043</v>
      </c>
      <c r="E2596" t="str">
        <f t="shared" si="496"/>
        <v>1</v>
      </c>
      <c r="F2596" t="str">
        <f t="shared" si="487"/>
        <v>COM</v>
      </c>
      <c r="G2596" t="str">
        <f t="shared" si="497"/>
        <v>MILENA MARTINELI BRANCO DA SILVA (1344)</v>
      </c>
      <c r="H2596" t="s">
        <v>806</v>
      </c>
      <c r="I2596" t="str">
        <f t="shared" si="492"/>
        <v>17/03/2026</v>
      </c>
      <c r="J2596" t="str">
        <f t="shared" si="494"/>
        <v>17/03/2026</v>
      </c>
      <c r="K2596">
        <v>46098</v>
      </c>
      <c r="N2596">
        <v>134</v>
      </c>
      <c r="O2596" t="s">
        <v>30</v>
      </c>
      <c r="Q2596">
        <v>60</v>
      </c>
      <c r="R2596" t="str">
        <f>"PENSE FARMA 16 (10221)"</f>
        <v>PENSE FARMA 16 (10221)</v>
      </c>
      <c r="S2596" t="s">
        <v>37</v>
      </c>
      <c r="T2596">
        <v>30716</v>
      </c>
      <c r="U2596">
        <v>35043</v>
      </c>
      <c r="V2596" t="s">
        <v>37</v>
      </c>
    </row>
    <row r="2597" spans="1:22">
      <c r="A2597" t="str">
        <f t="shared" si="488"/>
        <v>17/03/2026</v>
      </c>
      <c r="B2597" t="str">
        <f t="shared" si="489"/>
        <v>SAÍDA</v>
      </c>
      <c r="C2597" t="str">
        <f t="shared" si="490"/>
        <v>PIX</v>
      </c>
      <c r="D2597" t="str">
        <f>"35044"</f>
        <v>35044</v>
      </c>
      <c r="E2597" t="str">
        <f t="shared" si="496"/>
        <v>1</v>
      </c>
      <c r="F2597" t="str">
        <f t="shared" si="487"/>
        <v>COM</v>
      </c>
      <c r="G2597" t="str">
        <f t="shared" si="497"/>
        <v>MILENA MARTINELI BRANCO DA SILVA (1344)</v>
      </c>
      <c r="H2597" t="str">
        <f>"Serv.Prest. DIÁRIA 15/03/2026 - PIX: CPF - CHAVE: 499.340.868-40"</f>
        <v>Serv.Prest. DIÁRIA 15/03/2026 - PIX: CPF - CHAVE: 499.340.868-40</v>
      </c>
      <c r="I2597" t="str">
        <f t="shared" si="492"/>
        <v>17/03/2026</v>
      </c>
      <c r="J2597" t="str">
        <f t="shared" si="494"/>
        <v>17/03/2026</v>
      </c>
      <c r="K2597" t="str">
        <f>("17/03/2026")</f>
        <v>17/03/2026</v>
      </c>
      <c r="L2597">
        <v>60</v>
      </c>
      <c r="M2597">
        <v>60</v>
      </c>
      <c r="N2597">
        <v>134</v>
      </c>
      <c r="O2597" t="str">
        <f>"DIARIA DE MOTOBOY"</f>
        <v>DIARIA DE MOTOBOY</v>
      </c>
      <c r="P2597">
        <v>60</v>
      </c>
      <c r="S2597" t="str">
        <f>"BANCO C6 (149)"</f>
        <v>BANCO C6 (149)</v>
      </c>
      <c r="T2597">
        <v>30717</v>
      </c>
      <c r="U2597">
        <v>35044</v>
      </c>
      <c r="V2597" t="s">
        <v>37</v>
      </c>
    </row>
    <row r="2598" spans="1:22">
      <c r="A2598" t="str">
        <f t="shared" si="488"/>
        <v>17/03/2026</v>
      </c>
      <c r="B2598" t="str">
        <f t="shared" si="489"/>
        <v>SAÍDA</v>
      </c>
      <c r="C2598" t="str">
        <f t="shared" si="490"/>
        <v>PIX</v>
      </c>
      <c r="D2598" t="str">
        <f>"35044"</f>
        <v>35044</v>
      </c>
      <c r="E2598" t="str">
        <f t="shared" si="496"/>
        <v>1</v>
      </c>
      <c r="F2598" t="str">
        <f t="shared" si="487"/>
        <v>COM</v>
      </c>
      <c r="G2598" t="str">
        <f t="shared" si="497"/>
        <v>MILENA MARTINELI BRANCO DA SILVA (1344)</v>
      </c>
      <c r="H2598" t="s">
        <v>806</v>
      </c>
      <c r="I2598" t="str">
        <f t="shared" si="492"/>
        <v>17/03/2026</v>
      </c>
      <c r="J2598" t="str">
        <f t="shared" si="494"/>
        <v>17/03/2026</v>
      </c>
      <c r="K2598">
        <v>46098</v>
      </c>
      <c r="N2598">
        <v>134</v>
      </c>
      <c r="O2598" t="s">
        <v>30</v>
      </c>
      <c r="Q2598">
        <v>60</v>
      </c>
      <c r="R2598" t="str">
        <f>"PENSE FARMA 17 (10222)"</f>
        <v>PENSE FARMA 17 (10222)</v>
      </c>
      <c r="S2598" t="s">
        <v>37</v>
      </c>
      <c r="T2598">
        <v>30717</v>
      </c>
      <c r="U2598">
        <v>35044</v>
      </c>
      <c r="V2598" t="s">
        <v>37</v>
      </c>
    </row>
    <row r="2599" spans="1:22">
      <c r="A2599" t="str">
        <f t="shared" si="488"/>
        <v>17/03/2026</v>
      </c>
      <c r="B2599" t="str">
        <f t="shared" si="489"/>
        <v>SAÍDA</v>
      </c>
      <c r="C2599" t="str">
        <f t="shared" si="490"/>
        <v>PIX</v>
      </c>
      <c r="D2599" t="str">
        <f>"35045"</f>
        <v>35045</v>
      </c>
      <c r="E2599" t="str">
        <f t="shared" si="496"/>
        <v>1</v>
      </c>
      <c r="F2599" t="str">
        <f t="shared" si="487"/>
        <v>COM</v>
      </c>
      <c r="G2599" t="str">
        <f t="shared" si="497"/>
        <v>MILENA MARTINELI BRANCO DA SILVA (1344)</v>
      </c>
      <c r="H2599" t="str">
        <f>"Serv.Prest. DIÁRIA 15/03/2026 - PIX: CPF - CHAVE: 499.340.868-40"</f>
        <v>Serv.Prest. DIÁRIA 15/03/2026 - PIX: CPF - CHAVE: 499.340.868-40</v>
      </c>
      <c r="I2599" t="str">
        <f t="shared" si="492"/>
        <v>17/03/2026</v>
      </c>
      <c r="J2599" t="str">
        <f t="shared" si="494"/>
        <v>17/03/2026</v>
      </c>
      <c r="K2599" t="str">
        <f>("17/03/2026")</f>
        <v>17/03/2026</v>
      </c>
      <c r="L2599">
        <v>70</v>
      </c>
      <c r="M2599">
        <v>70</v>
      </c>
      <c r="N2599">
        <v>134</v>
      </c>
      <c r="O2599" t="str">
        <f>"DIARIA DE MOTOBOY"</f>
        <v>DIARIA DE MOTOBOY</v>
      </c>
      <c r="P2599">
        <v>70</v>
      </c>
      <c r="S2599" t="str">
        <f>"BANCO C6 (149)"</f>
        <v>BANCO C6 (149)</v>
      </c>
      <c r="T2599">
        <v>30718</v>
      </c>
      <c r="U2599">
        <v>35045</v>
      </c>
      <c r="V2599" t="s">
        <v>37</v>
      </c>
    </row>
    <row r="2600" spans="1:22">
      <c r="A2600" t="str">
        <f t="shared" si="488"/>
        <v>17/03/2026</v>
      </c>
      <c r="B2600" t="str">
        <f t="shared" si="489"/>
        <v>SAÍDA</v>
      </c>
      <c r="C2600" t="str">
        <f t="shared" si="490"/>
        <v>PIX</v>
      </c>
      <c r="D2600" t="str">
        <f>"35045"</f>
        <v>35045</v>
      </c>
      <c r="E2600" t="str">
        <f t="shared" si="496"/>
        <v>1</v>
      </c>
      <c r="F2600" t="str">
        <f t="shared" si="487"/>
        <v>COM</v>
      </c>
      <c r="G2600" t="str">
        <f t="shared" si="497"/>
        <v>MILENA MARTINELI BRANCO DA SILVA (1344)</v>
      </c>
      <c r="H2600" t="s">
        <v>806</v>
      </c>
      <c r="I2600" t="str">
        <f t="shared" si="492"/>
        <v>17/03/2026</v>
      </c>
      <c r="J2600" t="str">
        <f t="shared" si="494"/>
        <v>17/03/2026</v>
      </c>
      <c r="K2600">
        <v>46098</v>
      </c>
      <c r="N2600">
        <v>134</v>
      </c>
      <c r="O2600" t="s">
        <v>30</v>
      </c>
      <c r="Q2600">
        <v>70</v>
      </c>
      <c r="R2600" t="str">
        <f>"PENSE FARMA 62 (10274)"</f>
        <v>PENSE FARMA 62 (10274)</v>
      </c>
      <c r="S2600" t="s">
        <v>37</v>
      </c>
      <c r="T2600">
        <v>30718</v>
      </c>
      <c r="U2600">
        <v>35045</v>
      </c>
      <c r="V2600" t="s">
        <v>37</v>
      </c>
    </row>
    <row r="2601" spans="1:22">
      <c r="A2601" t="str">
        <f t="shared" si="488"/>
        <v>17/03/2026</v>
      </c>
      <c r="B2601" t="str">
        <f t="shared" si="489"/>
        <v>SAÍDA</v>
      </c>
      <c r="C2601" t="str">
        <f t="shared" si="490"/>
        <v>PIX</v>
      </c>
      <c r="D2601" t="str">
        <f>"35088"</f>
        <v>35088</v>
      </c>
      <c r="E2601" t="str">
        <f t="shared" si="496"/>
        <v>1</v>
      </c>
      <c r="F2601" t="str">
        <f t="shared" si="487"/>
        <v>COM</v>
      </c>
      <c r="G2601" t="str">
        <f>"HERICK KUSSYOYADA CAMARA (937)"</f>
        <v>HERICK KUSSYOYADA CAMARA (937)</v>
      </c>
      <c r="H2601" t="str">
        <f>"Serv.Prest. DIÁRIA 15/03/2026 - PIX: CPF - CHAVE: 427.090.718-51"</f>
        <v>Serv.Prest. DIÁRIA 15/03/2026 - PIX: CPF - CHAVE: 427.090.718-51</v>
      </c>
      <c r="I2601" t="str">
        <f t="shared" si="492"/>
        <v>17/03/2026</v>
      </c>
      <c r="J2601" t="str">
        <f t="shared" si="494"/>
        <v>17/03/2026</v>
      </c>
      <c r="K2601" t="str">
        <f>("17/03/2026")</f>
        <v>17/03/2026</v>
      </c>
      <c r="L2601">
        <v>250</v>
      </c>
      <c r="M2601">
        <v>250</v>
      </c>
      <c r="N2601">
        <v>134</v>
      </c>
      <c r="O2601" t="str">
        <f>"DIARIA DE MOTOBOY"</f>
        <v>DIARIA DE MOTOBOY</v>
      </c>
      <c r="P2601">
        <v>250</v>
      </c>
      <c r="S2601" t="str">
        <f>"BANCO C6 (149)"</f>
        <v>BANCO C6 (149)</v>
      </c>
      <c r="T2601">
        <v>30719</v>
      </c>
      <c r="U2601">
        <v>35088</v>
      </c>
      <c r="V2601" t="s">
        <v>37</v>
      </c>
    </row>
    <row r="2602" spans="1:22">
      <c r="A2602" t="str">
        <f t="shared" si="488"/>
        <v>17/03/2026</v>
      </c>
      <c r="B2602" t="str">
        <f t="shared" si="489"/>
        <v>SAÍDA</v>
      </c>
      <c r="C2602" t="str">
        <f t="shared" si="490"/>
        <v>PIX</v>
      </c>
      <c r="D2602" t="str">
        <f>"35088"</f>
        <v>35088</v>
      </c>
      <c r="E2602" t="str">
        <f t="shared" si="496"/>
        <v>1</v>
      </c>
      <c r="F2602" t="str">
        <f t="shared" si="487"/>
        <v>COM</v>
      </c>
      <c r="G2602" t="str">
        <f>"HERICK KUSSYOYADA CAMARA (937)"</f>
        <v>HERICK KUSSYOYADA CAMARA (937)</v>
      </c>
      <c r="H2602" t="s">
        <v>807</v>
      </c>
      <c r="I2602" t="str">
        <f t="shared" si="492"/>
        <v>17/03/2026</v>
      </c>
      <c r="J2602" t="str">
        <f t="shared" si="494"/>
        <v>17/03/2026</v>
      </c>
      <c r="K2602">
        <v>46098</v>
      </c>
      <c r="N2602">
        <v>134</v>
      </c>
      <c r="O2602" t="s">
        <v>30</v>
      </c>
      <c r="Q2602">
        <v>250</v>
      </c>
      <c r="R2602" t="str">
        <f>"PENSE FARMA 46 (10194)"</f>
        <v>PENSE FARMA 46 (10194)</v>
      </c>
      <c r="S2602" t="s">
        <v>37</v>
      </c>
      <c r="T2602">
        <v>30719</v>
      </c>
      <c r="U2602">
        <v>35088</v>
      </c>
      <c r="V2602" t="s">
        <v>37</v>
      </c>
    </row>
    <row r="2603" spans="1:22">
      <c r="A2603" t="str">
        <f t="shared" ref="A2603:A2634" si="498">("17/03/2026")</f>
        <v>17/03/2026</v>
      </c>
      <c r="B2603" t="str">
        <f t="shared" ref="B2603:B2634" si="499">"SAÍDA"</f>
        <v>SAÍDA</v>
      </c>
      <c r="C2603" t="str">
        <f t="shared" ref="C2603:C2634" si="500">"PIX"</f>
        <v>PIX</v>
      </c>
      <c r="D2603" t="str">
        <f>"35093"</f>
        <v>35093</v>
      </c>
      <c r="E2603" t="str">
        <f t="shared" si="496"/>
        <v>1</v>
      </c>
      <c r="F2603" t="str">
        <f t="shared" si="487"/>
        <v>COM</v>
      </c>
      <c r="G2603" t="str">
        <f>"DANIELE MARIA DE LIMA THEODORO SANTOS (1108)"</f>
        <v>DANIELE MARIA DE LIMA THEODORO SANTOS (1108)</v>
      </c>
      <c r="H2603" t="str">
        <f>"Serv.Prest. DIÁRIA 09/03/2026 a 13/03/2026 - PIX: CPF - CHAVE: 530.612.488-70"</f>
        <v>Serv.Prest. DIÁRIA 09/03/2026 a 13/03/2026 - PIX: CPF - CHAVE: 530.612.488-70</v>
      </c>
      <c r="I2603" t="str">
        <f t="shared" si="492"/>
        <v>17/03/2026</v>
      </c>
      <c r="J2603" t="str">
        <f t="shared" si="494"/>
        <v>17/03/2026</v>
      </c>
      <c r="K2603" t="str">
        <f>("17/03/2026")</f>
        <v>17/03/2026</v>
      </c>
      <c r="L2603">
        <v>430</v>
      </c>
      <c r="M2603">
        <v>430</v>
      </c>
      <c r="N2603">
        <v>134</v>
      </c>
      <c r="O2603" t="str">
        <f>"DIARIA DE MOTOBOY"</f>
        <v>DIARIA DE MOTOBOY</v>
      </c>
      <c r="P2603">
        <v>430</v>
      </c>
      <c r="S2603" t="str">
        <f>"BANCO C6 (149)"</f>
        <v>BANCO C6 (149)</v>
      </c>
      <c r="T2603">
        <v>30720</v>
      </c>
      <c r="U2603">
        <v>35093</v>
      </c>
      <c r="V2603" t="s">
        <v>37</v>
      </c>
    </row>
    <row r="2604" spans="1:22">
      <c r="A2604" t="str">
        <f t="shared" si="498"/>
        <v>17/03/2026</v>
      </c>
      <c r="B2604" t="str">
        <f t="shared" si="499"/>
        <v>SAÍDA</v>
      </c>
      <c r="C2604" t="str">
        <f t="shared" si="500"/>
        <v>PIX</v>
      </c>
      <c r="D2604" t="str">
        <f>"35093"</f>
        <v>35093</v>
      </c>
      <c r="E2604" t="str">
        <f t="shared" si="496"/>
        <v>1</v>
      </c>
      <c r="F2604" t="str">
        <f t="shared" si="487"/>
        <v>COM</v>
      </c>
      <c r="G2604" t="str">
        <f>"DANIELE MARIA DE LIMA THEODORO SANTOS (1108)"</f>
        <v>DANIELE MARIA DE LIMA THEODORO SANTOS (1108)</v>
      </c>
      <c r="H2604" t="s">
        <v>808</v>
      </c>
      <c r="I2604" t="str">
        <f t="shared" si="492"/>
        <v>17/03/2026</v>
      </c>
      <c r="J2604" t="str">
        <f t="shared" si="494"/>
        <v>17/03/2026</v>
      </c>
      <c r="K2604">
        <v>46098</v>
      </c>
      <c r="N2604">
        <v>134</v>
      </c>
      <c r="O2604" t="s">
        <v>30</v>
      </c>
      <c r="Q2604">
        <v>430</v>
      </c>
      <c r="R2604" t="str">
        <f>"PENSE FARMA 49 (10234)"</f>
        <v>PENSE FARMA 49 (10234)</v>
      </c>
      <c r="S2604" t="s">
        <v>37</v>
      </c>
      <c r="T2604">
        <v>30720</v>
      </c>
      <c r="U2604">
        <v>35093</v>
      </c>
      <c r="V2604" t="s">
        <v>37</v>
      </c>
    </row>
    <row r="2605" spans="1:22">
      <c r="A2605" t="str">
        <f t="shared" si="498"/>
        <v>17/03/2026</v>
      </c>
      <c r="B2605" t="str">
        <f t="shared" si="499"/>
        <v>SAÍDA</v>
      </c>
      <c r="C2605" t="str">
        <f t="shared" si="500"/>
        <v>PIX</v>
      </c>
      <c r="D2605" t="str">
        <f>"35096"</f>
        <v>35096</v>
      </c>
      <c r="E2605" t="str">
        <f t="shared" si="496"/>
        <v>1</v>
      </c>
      <c r="F2605" t="str">
        <f t="shared" si="487"/>
        <v>COM</v>
      </c>
      <c r="G2605" t="str">
        <f>"ELIEL PEREIRA BARBOZA DE LIMA (1321)"</f>
        <v>ELIEL PEREIRA BARBOZA DE LIMA (1321)</v>
      </c>
      <c r="H2605" t="str">
        <f>"Serv.Prest. DIÁRIA 15/03/2026 - PIX: CPF - CHAVE: 276.110.698-96"</f>
        <v>Serv.Prest. DIÁRIA 15/03/2026 - PIX: CPF - CHAVE: 276.110.698-96</v>
      </c>
      <c r="I2605" t="str">
        <f t="shared" ref="I2605:I2636" si="501">("17/03/2026")</f>
        <v>17/03/2026</v>
      </c>
      <c r="J2605" t="str">
        <f t="shared" si="494"/>
        <v>17/03/2026</v>
      </c>
      <c r="K2605" t="str">
        <f>("17/03/2026")</f>
        <v>17/03/2026</v>
      </c>
      <c r="L2605">
        <v>322</v>
      </c>
      <c r="M2605">
        <v>130</v>
      </c>
      <c r="N2605">
        <v>134</v>
      </c>
      <c r="O2605" t="str">
        <f>"DIARIA DE MOTOBOY"</f>
        <v>DIARIA DE MOTOBOY</v>
      </c>
      <c r="P2605">
        <v>130</v>
      </c>
      <c r="S2605" t="str">
        <f>"BANCO C6 (149)"</f>
        <v>BANCO C6 (149)</v>
      </c>
      <c r="T2605">
        <v>30721</v>
      </c>
      <c r="U2605">
        <v>35096</v>
      </c>
      <c r="V2605" t="s">
        <v>37</v>
      </c>
    </row>
    <row r="2606" spans="1:22">
      <c r="A2606" t="str">
        <f t="shared" si="498"/>
        <v>17/03/2026</v>
      </c>
      <c r="B2606" t="str">
        <f t="shared" si="499"/>
        <v>SAÍDA</v>
      </c>
      <c r="C2606" t="str">
        <f t="shared" si="500"/>
        <v>PIX</v>
      </c>
      <c r="D2606" t="str">
        <f>"35096"</f>
        <v>35096</v>
      </c>
      <c r="E2606" t="str">
        <f t="shared" si="496"/>
        <v>1</v>
      </c>
      <c r="F2606" t="str">
        <f t="shared" si="487"/>
        <v>COM</v>
      </c>
      <c r="G2606" t="str">
        <f>"ELIEL PEREIRA BARBOZA DE LIMA (1321)"</f>
        <v>ELIEL PEREIRA BARBOZA DE LIMA (1321)</v>
      </c>
      <c r="H2606" t="s">
        <v>809</v>
      </c>
      <c r="I2606" t="str">
        <f t="shared" si="501"/>
        <v>17/03/2026</v>
      </c>
      <c r="J2606" t="str">
        <f t="shared" si="494"/>
        <v>17/03/2026</v>
      </c>
      <c r="K2606">
        <v>46098</v>
      </c>
      <c r="N2606">
        <v>134</v>
      </c>
      <c r="O2606" t="s">
        <v>30</v>
      </c>
      <c r="Q2606">
        <v>130</v>
      </c>
      <c r="R2606" t="str">
        <f>"FARMACIA ROSAS (10288)"</f>
        <v>FARMACIA ROSAS (10288)</v>
      </c>
      <c r="S2606" t="s">
        <v>37</v>
      </c>
      <c r="T2606">
        <v>30721</v>
      </c>
      <c r="U2606">
        <v>35096</v>
      </c>
      <c r="V2606" t="s">
        <v>37</v>
      </c>
    </row>
    <row r="2607" spans="1:22">
      <c r="A2607" t="str">
        <f t="shared" si="498"/>
        <v>17/03/2026</v>
      </c>
      <c r="B2607" t="str">
        <f t="shared" si="499"/>
        <v>SAÍDA</v>
      </c>
      <c r="C2607" t="str">
        <f t="shared" si="500"/>
        <v>PIX</v>
      </c>
      <c r="D2607" t="str">
        <f>"35101"</f>
        <v>35101</v>
      </c>
      <c r="E2607" t="str">
        <f t="shared" si="496"/>
        <v>1</v>
      </c>
      <c r="F2607" t="str">
        <f t="shared" si="487"/>
        <v>COM</v>
      </c>
      <c r="G2607" t="str">
        <f>"ALLAN SILVA DAMACENA (790)"</f>
        <v>ALLAN SILVA DAMACENA (790)</v>
      </c>
      <c r="H2607" t="str">
        <f>"Serv.Prest. DIÁRIA 09/03/2026 - PIX: CELULAR - CHAVE: (19) 98944-4977"</f>
        <v>Serv.Prest. DIÁRIA 09/03/2026 - PIX: CELULAR - CHAVE: (19) 98944-4977</v>
      </c>
      <c r="I2607" t="str">
        <f t="shared" si="501"/>
        <v>17/03/2026</v>
      </c>
      <c r="J2607" t="str">
        <f t="shared" si="494"/>
        <v>17/03/2026</v>
      </c>
      <c r="K2607" t="str">
        <f>("17/03/2026")</f>
        <v>17/03/2026</v>
      </c>
      <c r="L2607">
        <v>175</v>
      </c>
      <c r="M2607">
        <v>154</v>
      </c>
      <c r="N2607">
        <v>134</v>
      </c>
      <c r="O2607" t="str">
        <f>"DIARIA DE MOTOBOY"</f>
        <v>DIARIA DE MOTOBOY</v>
      </c>
      <c r="P2607">
        <v>154</v>
      </c>
      <c r="S2607" t="str">
        <f>"BANCO C6 (149)"</f>
        <v>BANCO C6 (149)</v>
      </c>
      <c r="T2607">
        <v>30722</v>
      </c>
      <c r="U2607">
        <v>35101</v>
      </c>
      <c r="V2607" t="s">
        <v>37</v>
      </c>
    </row>
    <row r="2608" spans="1:22">
      <c r="A2608" t="str">
        <f t="shared" si="498"/>
        <v>17/03/2026</v>
      </c>
      <c r="B2608" t="str">
        <f t="shared" si="499"/>
        <v>SAÍDA</v>
      </c>
      <c r="C2608" t="str">
        <f t="shared" si="500"/>
        <v>PIX</v>
      </c>
      <c r="D2608" t="str">
        <f>"35101"</f>
        <v>35101</v>
      </c>
      <c r="E2608" t="str">
        <f t="shared" si="496"/>
        <v>1</v>
      </c>
      <c r="F2608" t="str">
        <f t="shared" si="487"/>
        <v>COM</v>
      </c>
      <c r="G2608" t="str">
        <f>"ALLAN SILVA DAMACENA (790)"</f>
        <v>ALLAN SILVA DAMACENA (790)</v>
      </c>
      <c r="H2608" t="s">
        <v>810</v>
      </c>
      <c r="I2608" t="str">
        <f t="shared" si="501"/>
        <v>17/03/2026</v>
      </c>
      <c r="J2608" t="str">
        <f t="shared" si="494"/>
        <v>17/03/2026</v>
      </c>
      <c r="K2608">
        <v>46098</v>
      </c>
      <c r="N2608">
        <v>134</v>
      </c>
      <c r="O2608" t="s">
        <v>30</v>
      </c>
      <c r="Q2608">
        <v>154</v>
      </c>
      <c r="R2608" t="str">
        <f>"DROGARIA TOTAL JUNDIAI (10177)"</f>
        <v>DROGARIA TOTAL JUNDIAI (10177)</v>
      </c>
      <c r="S2608" t="s">
        <v>37</v>
      </c>
      <c r="T2608">
        <v>30722</v>
      </c>
      <c r="U2608">
        <v>35101</v>
      </c>
      <c r="V2608" t="s">
        <v>37</v>
      </c>
    </row>
    <row r="2609" spans="1:22">
      <c r="A2609" t="str">
        <f t="shared" si="498"/>
        <v>17/03/2026</v>
      </c>
      <c r="B2609" t="str">
        <f t="shared" si="499"/>
        <v>SAÍDA</v>
      </c>
      <c r="C2609" t="str">
        <f t="shared" si="500"/>
        <v>PIX</v>
      </c>
      <c r="D2609" t="str">
        <f>"35102"</f>
        <v>35102</v>
      </c>
      <c r="E2609" t="str">
        <f t="shared" si="496"/>
        <v>1</v>
      </c>
      <c r="F2609" t="str">
        <f t="shared" si="487"/>
        <v>COM</v>
      </c>
      <c r="G2609" t="str">
        <f>"JOEL ARAGAO SALES (864)"</f>
        <v>JOEL ARAGAO SALES (864)</v>
      </c>
      <c r="H2609" t="str">
        <f>"Serv.Prest. DIÁRIA 15/03/2026 - PIX: CPF - CHAVE: 052.353.883-99"</f>
        <v>Serv.Prest. DIÁRIA 15/03/2026 - PIX: CPF - CHAVE: 052.353.883-99</v>
      </c>
      <c r="I2609" t="str">
        <f t="shared" si="501"/>
        <v>17/03/2026</v>
      </c>
      <c r="J2609" t="str">
        <f t="shared" si="494"/>
        <v>17/03/2026</v>
      </c>
      <c r="K2609" t="str">
        <f>("17/03/2026")</f>
        <v>17/03/2026</v>
      </c>
      <c r="L2609">
        <v>336</v>
      </c>
      <c r="M2609">
        <v>336</v>
      </c>
      <c r="N2609">
        <v>134</v>
      </c>
      <c r="O2609" t="str">
        <f>"DIARIA DE MOTOBOY"</f>
        <v>DIARIA DE MOTOBOY</v>
      </c>
      <c r="P2609">
        <v>336</v>
      </c>
      <c r="S2609" t="str">
        <f>"BANCO C6 (149)"</f>
        <v>BANCO C6 (149)</v>
      </c>
      <c r="T2609">
        <v>30723</v>
      </c>
      <c r="U2609">
        <v>35102</v>
      </c>
      <c r="V2609" t="s">
        <v>37</v>
      </c>
    </row>
    <row r="2610" spans="1:22">
      <c r="A2610" t="str">
        <f t="shared" si="498"/>
        <v>17/03/2026</v>
      </c>
      <c r="B2610" t="str">
        <f t="shared" si="499"/>
        <v>SAÍDA</v>
      </c>
      <c r="C2610" t="str">
        <f t="shared" si="500"/>
        <v>PIX</v>
      </c>
      <c r="D2610" t="str">
        <f>"35102"</f>
        <v>35102</v>
      </c>
      <c r="E2610" t="str">
        <f t="shared" si="496"/>
        <v>1</v>
      </c>
      <c r="F2610" t="str">
        <f t="shared" si="487"/>
        <v>COM</v>
      </c>
      <c r="G2610" t="str">
        <f>"JOEL ARAGAO SALES (864)"</f>
        <v>JOEL ARAGAO SALES (864)</v>
      </c>
      <c r="H2610" t="s">
        <v>811</v>
      </c>
      <c r="I2610" t="str">
        <f t="shared" si="501"/>
        <v>17/03/2026</v>
      </c>
      <c r="J2610" t="str">
        <f t="shared" si="494"/>
        <v>17/03/2026</v>
      </c>
      <c r="K2610">
        <v>46098</v>
      </c>
      <c r="N2610">
        <v>134</v>
      </c>
      <c r="O2610" t="s">
        <v>30</v>
      </c>
      <c r="Q2610">
        <v>336</v>
      </c>
      <c r="R2610" t="str">
        <f>"DROGARIA TOTAL JUNDIAI (10177)"</f>
        <v>DROGARIA TOTAL JUNDIAI (10177)</v>
      </c>
      <c r="S2610" t="s">
        <v>37</v>
      </c>
      <c r="T2610">
        <v>30723</v>
      </c>
      <c r="U2610">
        <v>35102</v>
      </c>
      <c r="V2610" t="s">
        <v>37</v>
      </c>
    </row>
    <row r="2611" spans="1:22">
      <c r="A2611" t="str">
        <f t="shared" si="498"/>
        <v>17/03/2026</v>
      </c>
      <c r="B2611" t="str">
        <f t="shared" si="499"/>
        <v>SAÍDA</v>
      </c>
      <c r="C2611" t="str">
        <f t="shared" si="500"/>
        <v>PIX</v>
      </c>
      <c r="D2611" t="str">
        <f>"35103"</f>
        <v>35103</v>
      </c>
      <c r="E2611" t="str">
        <f t="shared" si="496"/>
        <v>1</v>
      </c>
      <c r="F2611" t="str">
        <f t="shared" si="487"/>
        <v>COM</v>
      </c>
      <c r="G2611" t="str">
        <f>"JOSE ADILSON DA SILVA (1168)"</f>
        <v>JOSE ADILSON DA SILVA (1168)</v>
      </c>
      <c r="H2611" t="str">
        <f>"Serv.Prest. DIÁRIA 14/03/2026 - PIX: CPF - CHAVE: 142.473.524-66"</f>
        <v>Serv.Prest. DIÁRIA 14/03/2026 - PIX: CPF - CHAVE: 142.473.524-66</v>
      </c>
      <c r="I2611" t="str">
        <f t="shared" si="501"/>
        <v>17/03/2026</v>
      </c>
      <c r="J2611" t="str">
        <f t="shared" si="494"/>
        <v>17/03/2026</v>
      </c>
      <c r="K2611" t="str">
        <f>("17/03/2026")</f>
        <v>17/03/2026</v>
      </c>
      <c r="L2611">
        <v>154</v>
      </c>
      <c r="M2611">
        <v>150</v>
      </c>
      <c r="N2611">
        <v>134</v>
      </c>
      <c r="O2611" t="str">
        <f>"DIARIA DE MOTOBOY"</f>
        <v>DIARIA DE MOTOBOY</v>
      </c>
      <c r="P2611">
        <v>150</v>
      </c>
      <c r="S2611" t="str">
        <f>"BANCO C6 (149)"</f>
        <v>BANCO C6 (149)</v>
      </c>
      <c r="T2611">
        <v>30724</v>
      </c>
      <c r="U2611">
        <v>35103</v>
      </c>
      <c r="V2611" t="s">
        <v>37</v>
      </c>
    </row>
    <row r="2612" spans="1:22">
      <c r="A2612" t="str">
        <f t="shared" si="498"/>
        <v>17/03/2026</v>
      </c>
      <c r="B2612" t="str">
        <f t="shared" si="499"/>
        <v>SAÍDA</v>
      </c>
      <c r="C2612" t="str">
        <f t="shared" si="500"/>
        <v>PIX</v>
      </c>
      <c r="D2612" t="str">
        <f>"35103"</f>
        <v>35103</v>
      </c>
      <c r="E2612" t="str">
        <f t="shared" si="496"/>
        <v>1</v>
      </c>
      <c r="F2612" t="str">
        <f t="shared" si="487"/>
        <v>COM</v>
      </c>
      <c r="G2612" t="str">
        <f>"JOSE ADILSON DA SILVA (1168)"</f>
        <v>JOSE ADILSON DA SILVA (1168)</v>
      </c>
      <c r="H2612" t="s">
        <v>812</v>
      </c>
      <c r="I2612" t="str">
        <f t="shared" si="501"/>
        <v>17/03/2026</v>
      </c>
      <c r="J2612" t="str">
        <f t="shared" ref="J2612:J2643" si="502">("17/03/2026")</f>
        <v>17/03/2026</v>
      </c>
      <c r="K2612">
        <v>46098</v>
      </c>
      <c r="N2612">
        <v>134</v>
      </c>
      <c r="O2612" t="s">
        <v>30</v>
      </c>
      <c r="Q2612">
        <v>150</v>
      </c>
      <c r="R2612" t="str">
        <f>"DROGARIA TOTAL JUNDIAI (10177)"</f>
        <v>DROGARIA TOTAL JUNDIAI (10177)</v>
      </c>
      <c r="S2612" t="s">
        <v>37</v>
      </c>
      <c r="T2612">
        <v>30724</v>
      </c>
      <c r="U2612">
        <v>35103</v>
      </c>
      <c r="V2612" t="s">
        <v>37</v>
      </c>
    </row>
    <row r="2613" spans="1:22">
      <c r="A2613" t="str">
        <f t="shared" si="498"/>
        <v>17/03/2026</v>
      </c>
      <c r="B2613" t="str">
        <f t="shared" si="499"/>
        <v>SAÍDA</v>
      </c>
      <c r="C2613" t="str">
        <f t="shared" si="500"/>
        <v>PIX</v>
      </c>
      <c r="D2613" t="str">
        <f>"35104"</f>
        <v>35104</v>
      </c>
      <c r="E2613" t="str">
        <f t="shared" si="496"/>
        <v>1</v>
      </c>
      <c r="F2613" t="str">
        <f t="shared" si="487"/>
        <v>COM</v>
      </c>
      <c r="G2613" t="str">
        <f>"VALDIR PEREIRA PINHEIRO (1146)"</f>
        <v>VALDIR PEREIRA PINHEIRO (1146)</v>
      </c>
      <c r="H2613" t="str">
        <f>"Serv.Prest. DIARIA 15/03/2026 - PIX: CELULAR - CHAVE: (11) 96180-2717"</f>
        <v>Serv.Prest. DIARIA 15/03/2026 - PIX: CELULAR - CHAVE: (11) 96180-2717</v>
      </c>
      <c r="I2613" t="str">
        <f t="shared" si="501"/>
        <v>17/03/2026</v>
      </c>
      <c r="J2613" t="str">
        <f t="shared" si="502"/>
        <v>17/03/2026</v>
      </c>
      <c r="K2613" t="str">
        <f>("17/03/2026")</f>
        <v>17/03/2026</v>
      </c>
      <c r="L2613">
        <v>98</v>
      </c>
      <c r="M2613">
        <v>100</v>
      </c>
      <c r="N2613">
        <v>134</v>
      </c>
      <c r="O2613" t="str">
        <f>"DIARIA DE MOTOBOY"</f>
        <v>DIARIA DE MOTOBOY</v>
      </c>
      <c r="P2613">
        <v>100</v>
      </c>
      <c r="S2613" t="str">
        <f>"BANCO C6 (149)"</f>
        <v>BANCO C6 (149)</v>
      </c>
      <c r="T2613">
        <v>30725</v>
      </c>
      <c r="U2613">
        <v>35104</v>
      </c>
      <c r="V2613" t="s">
        <v>37</v>
      </c>
    </row>
    <row r="2614" spans="1:22">
      <c r="A2614" t="str">
        <f t="shared" si="498"/>
        <v>17/03/2026</v>
      </c>
      <c r="B2614" t="str">
        <f t="shared" si="499"/>
        <v>SAÍDA</v>
      </c>
      <c r="C2614" t="str">
        <f t="shared" si="500"/>
        <v>PIX</v>
      </c>
      <c r="D2614" t="str">
        <f>"35104"</f>
        <v>35104</v>
      </c>
      <c r="E2614" t="str">
        <f t="shared" si="496"/>
        <v>1</v>
      </c>
      <c r="F2614" t="str">
        <f t="shared" si="487"/>
        <v>COM</v>
      </c>
      <c r="G2614" t="str">
        <f>"VALDIR PEREIRA PINHEIRO (1146)"</f>
        <v>VALDIR PEREIRA PINHEIRO (1146)</v>
      </c>
      <c r="H2614" t="s">
        <v>813</v>
      </c>
      <c r="I2614" t="str">
        <f t="shared" si="501"/>
        <v>17/03/2026</v>
      </c>
      <c r="J2614" t="str">
        <f t="shared" si="502"/>
        <v>17/03/2026</v>
      </c>
      <c r="K2614">
        <v>46098</v>
      </c>
      <c r="N2614">
        <v>134</v>
      </c>
      <c r="O2614" t="s">
        <v>30</v>
      </c>
      <c r="Q2614">
        <v>100</v>
      </c>
      <c r="R2614" t="str">
        <f>"DROGARIA TOTAL JUNDIAI (10177)"</f>
        <v>DROGARIA TOTAL JUNDIAI (10177)</v>
      </c>
      <c r="S2614" t="s">
        <v>37</v>
      </c>
      <c r="T2614">
        <v>30725</v>
      </c>
      <c r="U2614">
        <v>35104</v>
      </c>
      <c r="V2614" t="s">
        <v>37</v>
      </c>
    </row>
    <row r="2615" spans="1:22">
      <c r="A2615" t="str">
        <f t="shared" si="498"/>
        <v>17/03/2026</v>
      </c>
      <c r="B2615" t="str">
        <f t="shared" si="499"/>
        <v>SAÍDA</v>
      </c>
      <c r="C2615" t="str">
        <f t="shared" si="500"/>
        <v>PIX</v>
      </c>
      <c r="D2615" t="str">
        <f>"35106"</f>
        <v>35106</v>
      </c>
      <c r="E2615" t="str">
        <f t="shared" si="496"/>
        <v>1</v>
      </c>
      <c r="F2615" t="str">
        <f t="shared" si="487"/>
        <v>COM</v>
      </c>
      <c r="G2615" t="str">
        <f>"FRANCISCO LUCIANO DE LIMA (1062)"</f>
        <v>FRANCISCO LUCIANO DE LIMA (1062)</v>
      </c>
      <c r="H2615" t="str">
        <f>"Serv.Prest. DIÁRIA 15/03/2026 - PIX: CELULAR - CHAVE: (11) 94910-8689"</f>
        <v>Serv.Prest. DIÁRIA 15/03/2026 - PIX: CELULAR - CHAVE: (11) 94910-8689</v>
      </c>
      <c r="I2615" t="str">
        <f t="shared" si="501"/>
        <v>17/03/2026</v>
      </c>
      <c r="J2615" t="str">
        <f t="shared" si="502"/>
        <v>17/03/2026</v>
      </c>
      <c r="K2615" t="str">
        <f>("17/03/2026")</f>
        <v>17/03/2026</v>
      </c>
      <c r="L2615">
        <v>140</v>
      </c>
      <c r="M2615">
        <v>140</v>
      </c>
      <c r="N2615">
        <v>134</v>
      </c>
      <c r="O2615" t="str">
        <f>"DIARIA DE MOTOBOY"</f>
        <v>DIARIA DE MOTOBOY</v>
      </c>
      <c r="P2615">
        <v>140</v>
      </c>
      <c r="S2615" t="str">
        <f>"BANCO C6 (149)"</f>
        <v>BANCO C6 (149)</v>
      </c>
      <c r="T2615">
        <v>30726</v>
      </c>
      <c r="U2615">
        <v>35106</v>
      </c>
      <c r="V2615" t="s">
        <v>37</v>
      </c>
    </row>
    <row r="2616" spans="1:22">
      <c r="A2616" t="str">
        <f t="shared" si="498"/>
        <v>17/03/2026</v>
      </c>
      <c r="B2616" t="str">
        <f t="shared" si="499"/>
        <v>SAÍDA</v>
      </c>
      <c r="C2616" t="str">
        <f t="shared" si="500"/>
        <v>PIX</v>
      </c>
      <c r="D2616" t="str">
        <f>"35106"</f>
        <v>35106</v>
      </c>
      <c r="E2616" t="str">
        <f t="shared" si="496"/>
        <v>1</v>
      </c>
      <c r="F2616" t="str">
        <f t="shared" si="487"/>
        <v>COM</v>
      </c>
      <c r="G2616" t="str">
        <f>"FRANCISCO LUCIANO DE LIMA (1062)"</f>
        <v>FRANCISCO LUCIANO DE LIMA (1062)</v>
      </c>
      <c r="H2616" t="s">
        <v>814</v>
      </c>
      <c r="I2616" t="str">
        <f t="shared" si="501"/>
        <v>17/03/2026</v>
      </c>
      <c r="J2616" t="str">
        <f t="shared" si="502"/>
        <v>17/03/2026</v>
      </c>
      <c r="K2616">
        <v>46098</v>
      </c>
      <c r="N2616">
        <v>134</v>
      </c>
      <c r="O2616" t="s">
        <v>30</v>
      </c>
      <c r="Q2616">
        <v>140</v>
      </c>
      <c r="R2616" t="str">
        <f>"DROGA ELIDA (10121)"</f>
        <v>DROGA ELIDA (10121)</v>
      </c>
      <c r="S2616" t="s">
        <v>37</v>
      </c>
      <c r="T2616">
        <v>30726</v>
      </c>
      <c r="U2616">
        <v>35106</v>
      </c>
      <c r="V2616" t="s">
        <v>37</v>
      </c>
    </row>
    <row r="2617" spans="1:22">
      <c r="A2617" t="str">
        <f t="shared" si="498"/>
        <v>17/03/2026</v>
      </c>
      <c r="B2617" t="str">
        <f t="shared" si="499"/>
        <v>SAÍDA</v>
      </c>
      <c r="C2617" t="str">
        <f t="shared" si="500"/>
        <v>PIX</v>
      </c>
      <c r="D2617" t="str">
        <f>"35123"</f>
        <v>35123</v>
      </c>
      <c r="E2617" t="str">
        <f t="shared" si="496"/>
        <v>1</v>
      </c>
      <c r="F2617" t="str">
        <f t="shared" si="487"/>
        <v>COM</v>
      </c>
      <c r="G2617" t="str">
        <f>"FELIPE CHAVES FRANCO (1325)"</f>
        <v>FELIPE CHAVES FRANCO (1325)</v>
      </c>
      <c r="H2617" t="str">
        <f>"Serv.Prest. DIARIA 15/03/2026 - PIX: CPF - CHAVE: 135.653.486-40"</f>
        <v>Serv.Prest. DIARIA 15/03/2026 - PIX: CPF - CHAVE: 135.653.486-40</v>
      </c>
      <c r="I2617" t="str">
        <f t="shared" si="501"/>
        <v>17/03/2026</v>
      </c>
      <c r="J2617" t="str">
        <f t="shared" si="502"/>
        <v>17/03/2026</v>
      </c>
      <c r="K2617" t="str">
        <f>("17/03/2026")</f>
        <v>17/03/2026</v>
      </c>
      <c r="L2617">
        <v>114</v>
      </c>
      <c r="M2617">
        <v>114</v>
      </c>
      <c r="N2617">
        <v>134</v>
      </c>
      <c r="O2617" t="str">
        <f>"DIARIA DE MOTOBOY"</f>
        <v>DIARIA DE MOTOBOY</v>
      </c>
      <c r="P2617">
        <v>114</v>
      </c>
      <c r="S2617" t="str">
        <f>"BANCO C6 (149)"</f>
        <v>BANCO C6 (149)</v>
      </c>
      <c r="T2617">
        <v>30727</v>
      </c>
      <c r="U2617">
        <v>35123</v>
      </c>
      <c r="V2617" t="s">
        <v>37</v>
      </c>
    </row>
    <row r="2618" spans="1:22">
      <c r="A2618" t="str">
        <f t="shared" si="498"/>
        <v>17/03/2026</v>
      </c>
      <c r="B2618" t="str">
        <f t="shared" si="499"/>
        <v>SAÍDA</v>
      </c>
      <c r="C2618" t="str">
        <f t="shared" si="500"/>
        <v>PIX</v>
      </c>
      <c r="D2618" t="str">
        <f>"35123"</f>
        <v>35123</v>
      </c>
      <c r="E2618" t="str">
        <f t="shared" si="496"/>
        <v>1</v>
      </c>
      <c r="F2618" t="str">
        <f t="shared" si="487"/>
        <v>COM</v>
      </c>
      <c r="G2618" t="str">
        <f>"FELIPE CHAVES FRANCO (1325)"</f>
        <v>FELIPE CHAVES FRANCO (1325)</v>
      </c>
      <c r="H2618" t="s">
        <v>815</v>
      </c>
      <c r="I2618" t="str">
        <f t="shared" si="501"/>
        <v>17/03/2026</v>
      </c>
      <c r="J2618" t="str">
        <f t="shared" si="502"/>
        <v>17/03/2026</v>
      </c>
      <c r="K2618">
        <v>46098</v>
      </c>
      <c r="N2618">
        <v>134</v>
      </c>
      <c r="O2618" t="s">
        <v>30</v>
      </c>
      <c r="Q2618">
        <v>114</v>
      </c>
      <c r="R2618" t="str">
        <f>"PAGMENOS - LJ 768 (10266)"</f>
        <v>PAGMENOS - LJ 768 (10266)</v>
      </c>
      <c r="S2618" t="s">
        <v>37</v>
      </c>
      <c r="T2618">
        <v>30727</v>
      </c>
      <c r="U2618">
        <v>35123</v>
      </c>
      <c r="V2618" t="s">
        <v>37</v>
      </c>
    </row>
    <row r="2619" spans="1:22">
      <c r="A2619" t="str">
        <f t="shared" si="498"/>
        <v>17/03/2026</v>
      </c>
      <c r="B2619" t="str">
        <f t="shared" si="499"/>
        <v>SAÍDA</v>
      </c>
      <c r="C2619" t="str">
        <f t="shared" si="500"/>
        <v>PIX</v>
      </c>
      <c r="D2619" t="str">
        <f>"35001"</f>
        <v>35001</v>
      </c>
      <c r="E2619" t="str">
        <f t="shared" si="496"/>
        <v>1</v>
      </c>
      <c r="F2619" t="str">
        <f t="shared" si="487"/>
        <v>COM</v>
      </c>
      <c r="G2619" t="str">
        <f>"MARCOS DUARTE CARVALHO (998)"</f>
        <v>MARCOS DUARTE CARVALHO (998)</v>
      </c>
      <c r="H2619" t="str">
        <f>"Serv.Prest. DIÁRIA 15/03/2026 - PIX: CPF - CHAVE: 396.877.618-65"</f>
        <v>Serv.Prest. DIÁRIA 15/03/2026 - PIX: CPF - CHAVE: 396.877.618-65</v>
      </c>
      <c r="I2619" t="str">
        <f t="shared" si="501"/>
        <v>17/03/2026</v>
      </c>
      <c r="J2619" t="str">
        <f t="shared" si="502"/>
        <v>17/03/2026</v>
      </c>
      <c r="K2619" t="str">
        <f>("17/03/2026")</f>
        <v>17/03/2026</v>
      </c>
      <c r="L2619">
        <v>250</v>
      </c>
      <c r="M2619">
        <v>250</v>
      </c>
      <c r="N2619">
        <v>134</v>
      </c>
      <c r="O2619" t="str">
        <f>"DIARIA DE MOTOBOY"</f>
        <v>DIARIA DE MOTOBOY</v>
      </c>
      <c r="P2619">
        <v>250</v>
      </c>
      <c r="S2619" t="str">
        <f>"BANCO C6 (149)"</f>
        <v>BANCO C6 (149)</v>
      </c>
      <c r="T2619">
        <v>30728</v>
      </c>
      <c r="U2619">
        <v>35141</v>
      </c>
      <c r="V2619" t="s">
        <v>37</v>
      </c>
    </row>
    <row r="2620" spans="1:22">
      <c r="A2620" t="str">
        <f t="shared" si="498"/>
        <v>17/03/2026</v>
      </c>
      <c r="B2620" t="str">
        <f t="shared" si="499"/>
        <v>SAÍDA</v>
      </c>
      <c r="C2620" t="str">
        <f t="shared" si="500"/>
        <v>PIX</v>
      </c>
      <c r="D2620" t="str">
        <f>"35001"</f>
        <v>35001</v>
      </c>
      <c r="E2620" t="str">
        <f t="shared" si="496"/>
        <v>1</v>
      </c>
      <c r="F2620" t="str">
        <f t="shared" si="487"/>
        <v>COM</v>
      </c>
      <c r="G2620" t="str">
        <f>"MARCOS DUARTE CARVALHO (998)"</f>
        <v>MARCOS DUARTE CARVALHO (998)</v>
      </c>
      <c r="H2620" t="s">
        <v>816</v>
      </c>
      <c r="I2620" t="str">
        <f t="shared" si="501"/>
        <v>17/03/2026</v>
      </c>
      <c r="J2620" t="str">
        <f t="shared" si="502"/>
        <v>17/03/2026</v>
      </c>
      <c r="K2620">
        <v>46098</v>
      </c>
      <c r="N2620">
        <v>134</v>
      </c>
      <c r="O2620" t="s">
        <v>30</v>
      </c>
      <c r="Q2620">
        <v>250</v>
      </c>
      <c r="R2620" t="str">
        <f>"PENSE FARMA 09 (10218)"</f>
        <v>PENSE FARMA 09 (10218)</v>
      </c>
      <c r="S2620" t="s">
        <v>37</v>
      </c>
      <c r="T2620">
        <v>30728</v>
      </c>
      <c r="U2620">
        <v>35141</v>
      </c>
      <c r="V2620" t="s">
        <v>37</v>
      </c>
    </row>
    <row r="2621" spans="1:22">
      <c r="A2621" t="str">
        <f t="shared" si="498"/>
        <v>17/03/2026</v>
      </c>
      <c r="B2621" t="str">
        <f t="shared" si="499"/>
        <v>SAÍDA</v>
      </c>
      <c r="C2621" t="str">
        <f t="shared" si="500"/>
        <v>PIX</v>
      </c>
      <c r="D2621" t="str">
        <f>"35085"</f>
        <v>35085</v>
      </c>
      <c r="E2621" t="str">
        <f t="shared" si="496"/>
        <v>1</v>
      </c>
      <c r="F2621" t="str">
        <f t="shared" si="487"/>
        <v>COM</v>
      </c>
      <c r="G2621" t="str">
        <f>"VICTOR HUGO SOARES DE PAULA (1021)"</f>
        <v>VICTOR HUGO SOARES DE PAULA (1021)</v>
      </c>
      <c r="H2621" t="str">
        <f>"Serv.Prest. DIÁRIA 15/03/2026 - PIX: CELULAR - CHAVE: (11) 98281-4526"</f>
        <v>Serv.Prest. DIÁRIA 15/03/2026 - PIX: CELULAR - CHAVE: (11) 98281-4526</v>
      </c>
      <c r="I2621" t="str">
        <f t="shared" si="501"/>
        <v>17/03/2026</v>
      </c>
      <c r="J2621" t="str">
        <f t="shared" si="502"/>
        <v>17/03/2026</v>
      </c>
      <c r="K2621" t="str">
        <f>("17/03/2026")</f>
        <v>17/03/2026</v>
      </c>
      <c r="L2621">
        <v>250</v>
      </c>
      <c r="M2621">
        <v>250</v>
      </c>
      <c r="N2621">
        <v>134</v>
      </c>
      <c r="O2621" t="str">
        <f>"DIARIA DE MOTOBOY"</f>
        <v>DIARIA DE MOTOBOY</v>
      </c>
      <c r="P2621">
        <v>250</v>
      </c>
      <c r="S2621" t="str">
        <f>"BANCO C6 (149)"</f>
        <v>BANCO C6 (149)</v>
      </c>
      <c r="T2621">
        <v>30729</v>
      </c>
      <c r="U2621">
        <v>35142</v>
      </c>
      <c r="V2621" t="s">
        <v>37</v>
      </c>
    </row>
    <row r="2622" spans="1:22">
      <c r="A2622" t="str">
        <f t="shared" si="498"/>
        <v>17/03/2026</v>
      </c>
      <c r="B2622" t="str">
        <f t="shared" si="499"/>
        <v>SAÍDA</v>
      </c>
      <c r="C2622" t="str">
        <f t="shared" si="500"/>
        <v>PIX</v>
      </c>
      <c r="D2622" t="str">
        <f>"35085"</f>
        <v>35085</v>
      </c>
      <c r="E2622" t="str">
        <f t="shared" si="496"/>
        <v>1</v>
      </c>
      <c r="F2622" t="str">
        <f t="shared" si="487"/>
        <v>COM</v>
      </c>
      <c r="G2622" t="str">
        <f>"VICTOR HUGO SOARES DE PAULA (1021)"</f>
        <v>VICTOR HUGO SOARES DE PAULA (1021)</v>
      </c>
      <c r="H2622" t="s">
        <v>817</v>
      </c>
      <c r="I2622" t="str">
        <f t="shared" si="501"/>
        <v>17/03/2026</v>
      </c>
      <c r="J2622" t="str">
        <f t="shared" si="502"/>
        <v>17/03/2026</v>
      </c>
      <c r="K2622">
        <v>46098</v>
      </c>
      <c r="N2622">
        <v>134</v>
      </c>
      <c r="O2622" t="s">
        <v>30</v>
      </c>
      <c r="Q2622">
        <v>250</v>
      </c>
      <c r="R2622" t="str">
        <f>"PENSE FARMA 44 (10231)"</f>
        <v>PENSE FARMA 44 (10231)</v>
      </c>
      <c r="S2622" t="s">
        <v>37</v>
      </c>
      <c r="T2622">
        <v>30729</v>
      </c>
      <c r="U2622">
        <v>35142</v>
      </c>
      <c r="V2622" t="s">
        <v>37</v>
      </c>
    </row>
    <row r="2623" spans="1:22">
      <c r="A2623" t="str">
        <f t="shared" si="498"/>
        <v>17/03/2026</v>
      </c>
      <c r="B2623" t="str">
        <f t="shared" si="499"/>
        <v>SAÍDA</v>
      </c>
      <c r="C2623" t="str">
        <f t="shared" si="500"/>
        <v>PIX</v>
      </c>
      <c r="D2623" t="str">
        <f>"35151"</f>
        <v>35151</v>
      </c>
      <c r="E2623" t="str">
        <f t="shared" ref="E2623:E2646" si="503">"1"</f>
        <v>1</v>
      </c>
      <c r="F2623" t="str">
        <f t="shared" si="487"/>
        <v>COM</v>
      </c>
      <c r="G2623" t="str">
        <f>"EVERTON DA SILVEIRA SANTOS (834)"</f>
        <v>EVERTON DA SILVEIRA SANTOS (834)</v>
      </c>
      <c r="H2623" t="str">
        <f>"Serv.Prest. DIARIA 5/03/2026 - PIX: CELULAR - CHAVE: (73) 99982-9939"</f>
        <v>Serv.Prest. DIARIA 5/03/2026 - PIX: CELULAR - CHAVE: (73) 99982-9939</v>
      </c>
      <c r="I2623" t="str">
        <f t="shared" si="501"/>
        <v>17/03/2026</v>
      </c>
      <c r="J2623" t="str">
        <f t="shared" si="502"/>
        <v>17/03/2026</v>
      </c>
      <c r="K2623" t="str">
        <f>("17/03/2026")</f>
        <v>17/03/2026</v>
      </c>
      <c r="L2623">
        <v>150</v>
      </c>
      <c r="M2623">
        <v>150</v>
      </c>
      <c r="N2623">
        <v>134</v>
      </c>
      <c r="O2623" t="str">
        <f>"DIARIA DE MOTOBOY"</f>
        <v>DIARIA DE MOTOBOY</v>
      </c>
      <c r="P2623">
        <v>150</v>
      </c>
      <c r="S2623" t="str">
        <f>"BANCO C6 (149)"</f>
        <v>BANCO C6 (149)</v>
      </c>
      <c r="T2623">
        <v>30730</v>
      </c>
      <c r="U2623">
        <v>35151</v>
      </c>
      <c r="V2623" t="s">
        <v>37</v>
      </c>
    </row>
    <row r="2624" spans="1:22">
      <c r="A2624" t="str">
        <f t="shared" si="498"/>
        <v>17/03/2026</v>
      </c>
      <c r="B2624" t="str">
        <f t="shared" si="499"/>
        <v>SAÍDA</v>
      </c>
      <c r="C2624" t="str">
        <f t="shared" si="500"/>
        <v>PIX</v>
      </c>
      <c r="D2624" t="str">
        <f>"35151"</f>
        <v>35151</v>
      </c>
      <c r="E2624" t="str">
        <f t="shared" si="503"/>
        <v>1</v>
      </c>
      <c r="F2624" t="str">
        <f t="shared" si="487"/>
        <v>COM</v>
      </c>
      <c r="G2624" t="str">
        <f>"EVERTON DA SILVEIRA SANTOS (834)"</f>
        <v>EVERTON DA SILVEIRA SANTOS (834)</v>
      </c>
      <c r="H2624" t="s">
        <v>818</v>
      </c>
      <c r="I2624" t="str">
        <f t="shared" si="501"/>
        <v>17/03/2026</v>
      </c>
      <c r="J2624" t="str">
        <f t="shared" si="502"/>
        <v>17/03/2026</v>
      </c>
      <c r="K2624">
        <v>46098</v>
      </c>
      <c r="N2624">
        <v>134</v>
      </c>
      <c r="O2624" t="s">
        <v>30</v>
      </c>
      <c r="Q2624">
        <v>150</v>
      </c>
      <c r="R2624" t="str">
        <f>"FARMÁCIA INDIANA LJ 200 (10155)"</f>
        <v>FARMÁCIA INDIANA LJ 200 (10155)</v>
      </c>
      <c r="S2624" t="s">
        <v>37</v>
      </c>
      <c r="T2624">
        <v>30730</v>
      </c>
      <c r="U2624">
        <v>35151</v>
      </c>
      <c r="V2624" t="s">
        <v>37</v>
      </c>
    </row>
    <row r="2625" spans="1:22">
      <c r="A2625" t="str">
        <f t="shared" si="498"/>
        <v>17/03/2026</v>
      </c>
      <c r="B2625" t="str">
        <f t="shared" si="499"/>
        <v>SAÍDA</v>
      </c>
      <c r="C2625" t="str">
        <f t="shared" si="500"/>
        <v>PIX</v>
      </c>
      <c r="D2625" t="str">
        <f>"35243"</f>
        <v>35243</v>
      </c>
      <c r="E2625" t="str">
        <f t="shared" si="503"/>
        <v>1</v>
      </c>
      <c r="F2625" t="str">
        <f t="shared" si="487"/>
        <v>COM</v>
      </c>
      <c r="G2625" t="str">
        <f>"JOSE ERIC SILVA MACENA (854)"</f>
        <v>JOSE ERIC SILVA MACENA (854)</v>
      </c>
      <c r="H2625" t="str">
        <f>"Serv.Prest.DIARIA 15/03/2026 - PIX: E-MAIL - CHAVE: ericsilva8marcena@gmail.com"</f>
        <v>Serv.Prest.DIARIA 15/03/2026 - PIX: E-MAIL - CHAVE: ericsilva8marcena@gmail.com</v>
      </c>
      <c r="I2625" t="str">
        <f t="shared" si="501"/>
        <v>17/03/2026</v>
      </c>
      <c r="J2625" t="str">
        <f t="shared" si="502"/>
        <v>17/03/2026</v>
      </c>
      <c r="K2625" t="str">
        <f>("17/03/2026")</f>
        <v>17/03/2026</v>
      </c>
      <c r="L2625">
        <v>180</v>
      </c>
      <c r="M2625">
        <v>180</v>
      </c>
      <c r="N2625">
        <v>134</v>
      </c>
      <c r="O2625" t="str">
        <f>"DIARIA DE MOTOBOY"</f>
        <v>DIARIA DE MOTOBOY</v>
      </c>
      <c r="P2625">
        <v>180</v>
      </c>
      <c r="S2625" t="str">
        <f>"BANCO C6 (149)"</f>
        <v>BANCO C6 (149)</v>
      </c>
      <c r="T2625">
        <v>30731</v>
      </c>
      <c r="U2625">
        <v>35243</v>
      </c>
      <c r="V2625" t="s">
        <v>37</v>
      </c>
    </row>
    <row r="2626" spans="1:22">
      <c r="A2626" t="str">
        <f t="shared" si="498"/>
        <v>17/03/2026</v>
      </c>
      <c r="B2626" t="str">
        <f t="shared" si="499"/>
        <v>SAÍDA</v>
      </c>
      <c r="C2626" t="str">
        <f t="shared" si="500"/>
        <v>PIX</v>
      </c>
      <c r="D2626" t="str">
        <f>"35243"</f>
        <v>35243</v>
      </c>
      <c r="E2626" t="str">
        <f t="shared" si="503"/>
        <v>1</v>
      </c>
      <c r="F2626" t="str">
        <f t="shared" ref="F2626:F2689" si="504">"COM"</f>
        <v>COM</v>
      </c>
      <c r="G2626" t="str">
        <f>"JOSE ERIC SILVA MACENA (854)"</f>
        <v>JOSE ERIC SILVA MACENA (854)</v>
      </c>
      <c r="H2626" t="s">
        <v>819</v>
      </c>
      <c r="I2626" t="str">
        <f t="shared" si="501"/>
        <v>17/03/2026</v>
      </c>
      <c r="J2626" t="str">
        <f t="shared" si="502"/>
        <v>17/03/2026</v>
      </c>
      <c r="K2626">
        <v>46098</v>
      </c>
      <c r="N2626">
        <v>134</v>
      </c>
      <c r="O2626" t="s">
        <v>30</v>
      </c>
      <c r="Q2626">
        <v>180</v>
      </c>
      <c r="R2626" t="str">
        <f>"FARMÁCIA INDIANA LJ 101 (10043)"</f>
        <v>FARMÁCIA INDIANA LJ 101 (10043)</v>
      </c>
      <c r="S2626" t="s">
        <v>37</v>
      </c>
      <c r="T2626">
        <v>30731</v>
      </c>
      <c r="U2626">
        <v>35243</v>
      </c>
      <c r="V2626" t="s">
        <v>37</v>
      </c>
    </row>
    <row r="2627" spans="1:22">
      <c r="A2627" t="str">
        <f t="shared" si="498"/>
        <v>17/03/2026</v>
      </c>
      <c r="B2627" t="str">
        <f t="shared" si="499"/>
        <v>SAÍDA</v>
      </c>
      <c r="C2627" t="str">
        <f t="shared" si="500"/>
        <v>PIX</v>
      </c>
      <c r="D2627" t="str">
        <f>"35248"</f>
        <v>35248</v>
      </c>
      <c r="E2627" t="str">
        <f t="shared" si="503"/>
        <v>1</v>
      </c>
      <c r="F2627" t="str">
        <f t="shared" si="504"/>
        <v>COM</v>
      </c>
      <c r="G2627" t="str">
        <f>"JUSSARA CRISTINA FARIA (783)"</f>
        <v>JUSSARA CRISTINA FARIA (783)</v>
      </c>
      <c r="H2627" t="str">
        <f>"Serv.Prest. DIARIA 13/03, 14/03 E 5/03/2026 - PIX: CELULAR - CHAVE: (31) 99373-5678"</f>
        <v>Serv.Prest. DIARIA 13/03, 14/03 E 5/03/2026 - PIX: CELULAR - CHAVE: (31) 99373-5678</v>
      </c>
      <c r="I2627" t="str">
        <f t="shared" si="501"/>
        <v>17/03/2026</v>
      </c>
      <c r="J2627" t="str">
        <f t="shared" si="502"/>
        <v>17/03/2026</v>
      </c>
      <c r="K2627" t="str">
        <f>("17/03/2026")</f>
        <v>17/03/2026</v>
      </c>
      <c r="L2627">
        <v>450</v>
      </c>
      <c r="M2627">
        <v>450</v>
      </c>
      <c r="N2627">
        <v>134</v>
      </c>
      <c r="O2627" t="str">
        <f>"DIARIA DE MOTOBOY"</f>
        <v>DIARIA DE MOTOBOY</v>
      </c>
      <c r="P2627">
        <v>450</v>
      </c>
      <c r="S2627" t="str">
        <f>"BANCO C6 (149)"</f>
        <v>BANCO C6 (149)</v>
      </c>
      <c r="T2627">
        <v>30732</v>
      </c>
      <c r="U2627">
        <v>35248</v>
      </c>
      <c r="V2627" t="s">
        <v>37</v>
      </c>
    </row>
    <row r="2628" spans="1:22">
      <c r="A2628" t="str">
        <f t="shared" si="498"/>
        <v>17/03/2026</v>
      </c>
      <c r="B2628" t="str">
        <f t="shared" si="499"/>
        <v>SAÍDA</v>
      </c>
      <c r="C2628" t="str">
        <f t="shared" si="500"/>
        <v>PIX</v>
      </c>
      <c r="D2628" t="str">
        <f>"35248"</f>
        <v>35248</v>
      </c>
      <c r="E2628" t="str">
        <f t="shared" si="503"/>
        <v>1</v>
      </c>
      <c r="F2628" t="str">
        <f t="shared" si="504"/>
        <v>COM</v>
      </c>
      <c r="G2628" t="str">
        <f>"JUSSARA CRISTINA FARIA (783)"</f>
        <v>JUSSARA CRISTINA FARIA (783)</v>
      </c>
      <c r="H2628" t="s">
        <v>820</v>
      </c>
      <c r="I2628" t="str">
        <f t="shared" si="501"/>
        <v>17/03/2026</v>
      </c>
      <c r="J2628" t="str">
        <f t="shared" si="502"/>
        <v>17/03/2026</v>
      </c>
      <c r="K2628">
        <v>46098</v>
      </c>
      <c r="N2628">
        <v>134</v>
      </c>
      <c r="O2628" t="s">
        <v>30</v>
      </c>
      <c r="Q2628">
        <v>450</v>
      </c>
      <c r="R2628" t="str">
        <f>"FARMÁCIA INDIANA LJ 110 (10048)"</f>
        <v>FARMÁCIA INDIANA LJ 110 (10048)</v>
      </c>
      <c r="S2628" t="s">
        <v>37</v>
      </c>
      <c r="T2628">
        <v>30732</v>
      </c>
      <c r="U2628">
        <v>35248</v>
      </c>
      <c r="V2628" t="s">
        <v>37</v>
      </c>
    </row>
    <row r="2629" spans="1:22">
      <c r="A2629" t="str">
        <f t="shared" si="498"/>
        <v>17/03/2026</v>
      </c>
      <c r="B2629" t="str">
        <f t="shared" si="499"/>
        <v>SAÍDA</v>
      </c>
      <c r="C2629" t="str">
        <f t="shared" si="500"/>
        <v>PIX</v>
      </c>
      <c r="D2629" t="str">
        <f>"35257"</f>
        <v>35257</v>
      </c>
      <c r="E2629" t="str">
        <f t="shared" si="503"/>
        <v>1</v>
      </c>
      <c r="F2629" t="str">
        <f t="shared" si="504"/>
        <v>COM</v>
      </c>
      <c r="G2629" t="str">
        <f>"LUCAS RODRIGO LAGE ARRUDA (1052)"</f>
        <v>LUCAS RODRIGO LAGE ARRUDA (1052)</v>
      </c>
      <c r="H2629" t="str">
        <f>"Serv.Prest. DIARIA 14/03 E 15/03/2026 - PIX: CELULAR - CHAVE: (31) 99607-6585"</f>
        <v>Serv.Prest. DIARIA 14/03 E 15/03/2026 - PIX: CELULAR - CHAVE: (31) 99607-6585</v>
      </c>
      <c r="I2629" t="str">
        <f t="shared" si="501"/>
        <v>17/03/2026</v>
      </c>
      <c r="J2629" t="str">
        <f t="shared" si="502"/>
        <v>17/03/2026</v>
      </c>
      <c r="K2629" t="str">
        <f>("17/03/2026")</f>
        <v>17/03/2026</v>
      </c>
      <c r="L2629">
        <v>360</v>
      </c>
      <c r="M2629">
        <v>360</v>
      </c>
      <c r="N2629">
        <v>134</v>
      </c>
      <c r="O2629" t="str">
        <f>"DIARIA DE MOTOBOY"</f>
        <v>DIARIA DE MOTOBOY</v>
      </c>
      <c r="P2629">
        <v>360</v>
      </c>
      <c r="S2629" t="str">
        <f>"BANCO C6 (149)"</f>
        <v>BANCO C6 (149)</v>
      </c>
      <c r="T2629">
        <v>30733</v>
      </c>
      <c r="U2629">
        <v>35257</v>
      </c>
      <c r="V2629" t="s">
        <v>37</v>
      </c>
    </row>
    <row r="2630" spans="1:22">
      <c r="A2630" t="str">
        <f t="shared" si="498"/>
        <v>17/03/2026</v>
      </c>
      <c r="B2630" t="str">
        <f t="shared" si="499"/>
        <v>SAÍDA</v>
      </c>
      <c r="C2630" t="str">
        <f t="shared" si="500"/>
        <v>PIX</v>
      </c>
      <c r="D2630" t="str">
        <f>"35257"</f>
        <v>35257</v>
      </c>
      <c r="E2630" t="str">
        <f t="shared" si="503"/>
        <v>1</v>
      </c>
      <c r="F2630" t="str">
        <f t="shared" si="504"/>
        <v>COM</v>
      </c>
      <c r="G2630" t="str">
        <f>"LUCAS RODRIGO LAGE ARRUDA (1052)"</f>
        <v>LUCAS RODRIGO LAGE ARRUDA (1052)</v>
      </c>
      <c r="H2630" t="s">
        <v>821</v>
      </c>
      <c r="I2630" t="str">
        <f t="shared" si="501"/>
        <v>17/03/2026</v>
      </c>
      <c r="J2630" t="str">
        <f t="shared" si="502"/>
        <v>17/03/2026</v>
      </c>
      <c r="K2630">
        <v>46098</v>
      </c>
      <c r="N2630">
        <v>134</v>
      </c>
      <c r="O2630" t="s">
        <v>30</v>
      </c>
      <c r="Q2630">
        <v>360</v>
      </c>
      <c r="R2630" t="str">
        <f>"FARMÁCIA INDIANA LJ 101 (10043)"</f>
        <v>FARMÁCIA INDIANA LJ 101 (10043)</v>
      </c>
      <c r="S2630" t="s">
        <v>37</v>
      </c>
      <c r="T2630">
        <v>30733</v>
      </c>
      <c r="U2630">
        <v>35257</v>
      </c>
      <c r="V2630" t="s">
        <v>37</v>
      </c>
    </row>
    <row r="2631" spans="1:22">
      <c r="A2631" t="str">
        <f t="shared" si="498"/>
        <v>17/03/2026</v>
      </c>
      <c r="B2631" t="str">
        <f t="shared" si="499"/>
        <v>SAÍDA</v>
      </c>
      <c r="C2631" t="str">
        <f t="shared" si="500"/>
        <v>PIX</v>
      </c>
      <c r="D2631" t="str">
        <f>"35261"</f>
        <v>35261</v>
      </c>
      <c r="E2631" t="str">
        <f t="shared" si="503"/>
        <v>1</v>
      </c>
      <c r="F2631" t="str">
        <f t="shared" si="504"/>
        <v>COM</v>
      </c>
      <c r="G2631" t="str">
        <f>"LUIZ FERNANDO SILVA VICENTE (1166)"</f>
        <v>LUIZ FERNANDO SILVA VICENTE (1166)</v>
      </c>
      <c r="H2631" t="str">
        <f>"Serv.Prest. DIARIA 15/03/2026 - PIX: CPF - CHAVE: 105.020.076-48"</f>
        <v>Serv.Prest. DIARIA 15/03/2026 - PIX: CPF - CHAVE: 105.020.076-48</v>
      </c>
      <c r="I2631" t="str">
        <f t="shared" si="501"/>
        <v>17/03/2026</v>
      </c>
      <c r="J2631" t="str">
        <f t="shared" si="502"/>
        <v>17/03/2026</v>
      </c>
      <c r="K2631" t="str">
        <f>("17/03/2026")</f>
        <v>17/03/2026</v>
      </c>
      <c r="L2631">
        <v>150</v>
      </c>
      <c r="M2631">
        <v>150</v>
      </c>
      <c r="N2631">
        <v>134</v>
      </c>
      <c r="O2631" t="str">
        <f>"DIARIA DE MOTOBOY"</f>
        <v>DIARIA DE MOTOBOY</v>
      </c>
      <c r="P2631">
        <v>150</v>
      </c>
      <c r="S2631" t="str">
        <f>"BANCO C6 (149)"</f>
        <v>BANCO C6 (149)</v>
      </c>
      <c r="T2631">
        <v>30734</v>
      </c>
      <c r="U2631">
        <v>35261</v>
      </c>
      <c r="V2631" t="s">
        <v>37</v>
      </c>
    </row>
    <row r="2632" spans="1:22">
      <c r="A2632" t="str">
        <f t="shared" si="498"/>
        <v>17/03/2026</v>
      </c>
      <c r="B2632" t="str">
        <f t="shared" si="499"/>
        <v>SAÍDA</v>
      </c>
      <c r="C2632" t="str">
        <f t="shared" si="500"/>
        <v>PIX</v>
      </c>
      <c r="D2632" t="str">
        <f>"35261"</f>
        <v>35261</v>
      </c>
      <c r="E2632" t="str">
        <f t="shared" si="503"/>
        <v>1</v>
      </c>
      <c r="F2632" t="str">
        <f t="shared" si="504"/>
        <v>COM</v>
      </c>
      <c r="G2632" t="str">
        <f>"LUIZ FERNANDO SILVA VICENTE (1166)"</f>
        <v>LUIZ FERNANDO SILVA VICENTE (1166)</v>
      </c>
      <c r="H2632" t="s">
        <v>822</v>
      </c>
      <c r="I2632" t="str">
        <f t="shared" si="501"/>
        <v>17/03/2026</v>
      </c>
      <c r="J2632" t="str">
        <f t="shared" si="502"/>
        <v>17/03/2026</v>
      </c>
      <c r="K2632">
        <v>46098</v>
      </c>
      <c r="N2632">
        <v>134</v>
      </c>
      <c r="O2632" t="s">
        <v>30</v>
      </c>
      <c r="Q2632">
        <v>150</v>
      </c>
      <c r="R2632" t="str">
        <f>"FARMÁCIA INDIANA LJ 134 (10271)"</f>
        <v>FARMÁCIA INDIANA LJ 134 (10271)</v>
      </c>
      <c r="S2632" t="s">
        <v>37</v>
      </c>
      <c r="T2632">
        <v>30734</v>
      </c>
      <c r="U2632">
        <v>35261</v>
      </c>
      <c r="V2632" t="s">
        <v>37</v>
      </c>
    </row>
    <row r="2633" spans="1:22">
      <c r="A2633" t="str">
        <f t="shared" si="498"/>
        <v>17/03/2026</v>
      </c>
      <c r="B2633" t="str">
        <f t="shared" si="499"/>
        <v>SAÍDA</v>
      </c>
      <c r="C2633" t="str">
        <f t="shared" si="500"/>
        <v>PIX</v>
      </c>
      <c r="D2633" t="str">
        <f>"35155"</f>
        <v>35155</v>
      </c>
      <c r="E2633" t="str">
        <f t="shared" si="503"/>
        <v>1</v>
      </c>
      <c r="F2633" t="str">
        <f t="shared" si="504"/>
        <v>COM</v>
      </c>
      <c r="G2633" t="str">
        <f>"HELITON MELGACO PIMENTEL JUNIOR (1079)"</f>
        <v>HELITON MELGACO PIMENTEL JUNIOR (1079)</v>
      </c>
      <c r="H2633" t="str">
        <f>"Serv.Prest. DIARIA 15/03/2026 - PIX: CPF - CHAVE: 768.859.176-72"</f>
        <v>Serv.Prest. DIARIA 15/03/2026 - PIX: CPF - CHAVE: 768.859.176-72</v>
      </c>
      <c r="I2633" t="str">
        <f t="shared" si="501"/>
        <v>17/03/2026</v>
      </c>
      <c r="J2633" t="str">
        <f t="shared" si="502"/>
        <v>17/03/2026</v>
      </c>
      <c r="K2633" t="str">
        <f>("17/03/2026")</f>
        <v>17/03/2026</v>
      </c>
      <c r="L2633">
        <v>150</v>
      </c>
      <c r="M2633">
        <v>150</v>
      </c>
      <c r="N2633">
        <v>134</v>
      </c>
      <c r="O2633" t="str">
        <f>"DIARIA DE MOTOBOY"</f>
        <v>DIARIA DE MOTOBOY</v>
      </c>
      <c r="P2633">
        <v>150</v>
      </c>
      <c r="S2633" t="str">
        <f>"BANCO C6 (149)"</f>
        <v>BANCO C6 (149)</v>
      </c>
      <c r="T2633">
        <v>30735</v>
      </c>
      <c r="U2633">
        <v>35324</v>
      </c>
      <c r="V2633" t="s">
        <v>37</v>
      </c>
    </row>
    <row r="2634" spans="1:22">
      <c r="A2634" t="str">
        <f t="shared" si="498"/>
        <v>17/03/2026</v>
      </c>
      <c r="B2634" t="str">
        <f t="shared" si="499"/>
        <v>SAÍDA</v>
      </c>
      <c r="C2634" t="str">
        <f t="shared" si="500"/>
        <v>PIX</v>
      </c>
      <c r="D2634" t="str">
        <f>"35155"</f>
        <v>35155</v>
      </c>
      <c r="E2634" t="str">
        <f t="shared" si="503"/>
        <v>1</v>
      </c>
      <c r="F2634" t="str">
        <f t="shared" si="504"/>
        <v>COM</v>
      </c>
      <c r="G2634" t="str">
        <f>"HELITON MELGACO PIMENTEL JUNIOR (1079)"</f>
        <v>HELITON MELGACO PIMENTEL JUNIOR (1079)</v>
      </c>
      <c r="H2634" t="s">
        <v>823</v>
      </c>
      <c r="I2634" t="str">
        <f t="shared" si="501"/>
        <v>17/03/2026</v>
      </c>
      <c r="J2634" t="str">
        <f t="shared" si="502"/>
        <v>17/03/2026</v>
      </c>
      <c r="K2634">
        <v>46098</v>
      </c>
      <c r="N2634">
        <v>134</v>
      </c>
      <c r="O2634" t="s">
        <v>30</v>
      </c>
      <c r="Q2634">
        <v>150</v>
      </c>
      <c r="R2634" t="str">
        <f>"FARMÁCIA INDIANA LJ 283 (10268)"</f>
        <v>FARMÁCIA INDIANA LJ 283 (10268)</v>
      </c>
      <c r="S2634" t="s">
        <v>37</v>
      </c>
      <c r="T2634">
        <v>30735</v>
      </c>
      <c r="U2634">
        <v>35324</v>
      </c>
      <c r="V2634" t="s">
        <v>37</v>
      </c>
    </row>
    <row r="2635" spans="1:22">
      <c r="A2635" t="str">
        <f t="shared" ref="A2635:A2658" si="505">("17/03/2026")</f>
        <v>17/03/2026</v>
      </c>
      <c r="B2635" t="str">
        <f t="shared" ref="B2635:B2658" si="506">"SAÍDA"</f>
        <v>SAÍDA</v>
      </c>
      <c r="C2635" t="str">
        <f t="shared" ref="C2635:C2654" si="507">"PIX"</f>
        <v>PIX</v>
      </c>
      <c r="D2635" t="str">
        <f>"35282"</f>
        <v>35282</v>
      </c>
      <c r="E2635" t="str">
        <f t="shared" si="503"/>
        <v>1</v>
      </c>
      <c r="F2635" t="str">
        <f t="shared" si="504"/>
        <v>COM</v>
      </c>
      <c r="G2635" t="str">
        <f>"RENATO DE SOUZA HADDAD (1059)"</f>
        <v>RENATO DE SOUZA HADDAD (1059)</v>
      </c>
      <c r="H2635" t="str">
        <f>"Serv.Prest. DIARIA 15/03/2026 - PIX: CELULAR - CHAVE: (32) 98703-8039"</f>
        <v>Serv.Prest. DIARIA 15/03/2026 - PIX: CELULAR - CHAVE: (32) 98703-8039</v>
      </c>
      <c r="I2635" t="str">
        <f t="shared" si="501"/>
        <v>17/03/2026</v>
      </c>
      <c r="J2635" t="str">
        <f t="shared" si="502"/>
        <v>17/03/2026</v>
      </c>
      <c r="K2635" t="str">
        <f>("17/03/2026")</f>
        <v>17/03/2026</v>
      </c>
      <c r="L2635">
        <v>119</v>
      </c>
      <c r="M2635">
        <v>120</v>
      </c>
      <c r="N2635">
        <v>134</v>
      </c>
      <c r="O2635" t="str">
        <f>"DIARIA DE MOTOBOY"</f>
        <v>DIARIA DE MOTOBOY</v>
      </c>
      <c r="P2635">
        <v>120</v>
      </c>
      <c r="S2635" t="str">
        <f>"BANCO C6 (149)"</f>
        <v>BANCO C6 (149)</v>
      </c>
      <c r="T2635">
        <v>30736</v>
      </c>
      <c r="U2635">
        <v>35282</v>
      </c>
      <c r="V2635" t="s">
        <v>37</v>
      </c>
    </row>
    <row r="2636" spans="1:22">
      <c r="A2636" t="str">
        <f t="shared" si="505"/>
        <v>17/03/2026</v>
      </c>
      <c r="B2636" t="str">
        <f t="shared" si="506"/>
        <v>SAÍDA</v>
      </c>
      <c r="C2636" t="str">
        <f t="shared" si="507"/>
        <v>PIX</v>
      </c>
      <c r="D2636" t="str">
        <f>"35282"</f>
        <v>35282</v>
      </c>
      <c r="E2636" t="str">
        <f t="shared" si="503"/>
        <v>1</v>
      </c>
      <c r="F2636" t="str">
        <f t="shared" si="504"/>
        <v>COM</v>
      </c>
      <c r="G2636" t="str">
        <f>"RENATO DE SOUZA HADDAD (1059)"</f>
        <v>RENATO DE SOUZA HADDAD (1059)</v>
      </c>
      <c r="H2636" t="s">
        <v>824</v>
      </c>
      <c r="I2636" t="str">
        <f t="shared" si="501"/>
        <v>17/03/2026</v>
      </c>
      <c r="J2636" t="str">
        <f t="shared" si="502"/>
        <v>17/03/2026</v>
      </c>
      <c r="K2636">
        <v>46098</v>
      </c>
      <c r="N2636">
        <v>134</v>
      </c>
      <c r="O2636" t="s">
        <v>30</v>
      </c>
      <c r="Q2636">
        <v>120</v>
      </c>
      <c r="R2636" t="str">
        <f>"FARMÁCIA INDIANA LJ 219 (10091)"</f>
        <v>FARMÁCIA INDIANA LJ 219 (10091)</v>
      </c>
      <c r="S2636" t="s">
        <v>37</v>
      </c>
      <c r="T2636">
        <v>30736</v>
      </c>
      <c r="U2636">
        <v>35282</v>
      </c>
      <c r="V2636" t="s">
        <v>37</v>
      </c>
    </row>
    <row r="2637" spans="1:22">
      <c r="A2637" t="str">
        <f t="shared" si="505"/>
        <v>17/03/2026</v>
      </c>
      <c r="B2637" t="str">
        <f t="shared" si="506"/>
        <v>SAÍDA</v>
      </c>
      <c r="C2637" t="str">
        <f t="shared" si="507"/>
        <v>PIX</v>
      </c>
      <c r="D2637" t="str">
        <f>"35313"</f>
        <v>35313</v>
      </c>
      <c r="E2637" t="str">
        <f t="shared" si="503"/>
        <v>1</v>
      </c>
      <c r="F2637" t="str">
        <f t="shared" si="504"/>
        <v>COM</v>
      </c>
      <c r="G2637" t="str">
        <f>"WILLIAN VAZ DA SILVA (96)"</f>
        <v>WILLIAN VAZ DA SILVA (96)</v>
      </c>
      <c r="H2637" t="str">
        <f>"Serv.Prest. DIARIA 15/03/2026 - PIX: CELULAR - CHAVE: (32) 98889-7793"</f>
        <v>Serv.Prest. DIARIA 15/03/2026 - PIX: CELULAR - CHAVE: (32) 98889-7793</v>
      </c>
      <c r="I2637" t="str">
        <f t="shared" ref="I2637:I2656" si="508">("17/03/2026")</f>
        <v>17/03/2026</v>
      </c>
      <c r="J2637" t="str">
        <f t="shared" si="502"/>
        <v>17/03/2026</v>
      </c>
      <c r="K2637" t="str">
        <f>("17/03/2026")</f>
        <v>17/03/2026</v>
      </c>
      <c r="L2637">
        <v>78</v>
      </c>
      <c r="M2637">
        <v>78</v>
      </c>
      <c r="N2637">
        <v>134</v>
      </c>
      <c r="O2637" t="str">
        <f>"DIARIA DE MOTOBOY"</f>
        <v>DIARIA DE MOTOBOY</v>
      </c>
      <c r="P2637">
        <v>78</v>
      </c>
      <c r="S2637" t="str">
        <f>"BANCO C6 (149)"</f>
        <v>BANCO C6 (149)</v>
      </c>
      <c r="T2637">
        <v>30737</v>
      </c>
      <c r="U2637">
        <v>35313</v>
      </c>
      <c r="V2637" t="s">
        <v>37</v>
      </c>
    </row>
    <row r="2638" spans="1:22">
      <c r="A2638" t="str">
        <f t="shared" si="505"/>
        <v>17/03/2026</v>
      </c>
      <c r="B2638" t="str">
        <f t="shared" si="506"/>
        <v>SAÍDA</v>
      </c>
      <c r="C2638" t="str">
        <f t="shared" si="507"/>
        <v>PIX</v>
      </c>
      <c r="D2638" t="str">
        <f>"35313"</f>
        <v>35313</v>
      </c>
      <c r="E2638" t="str">
        <f t="shared" si="503"/>
        <v>1</v>
      </c>
      <c r="F2638" t="str">
        <f t="shared" si="504"/>
        <v>COM</v>
      </c>
      <c r="G2638" t="str">
        <f>"WILLIAN VAZ DA SILVA (96)"</f>
        <v>WILLIAN VAZ DA SILVA (96)</v>
      </c>
      <c r="H2638" t="s">
        <v>825</v>
      </c>
      <c r="I2638" t="str">
        <f t="shared" si="508"/>
        <v>17/03/2026</v>
      </c>
      <c r="J2638" t="str">
        <f t="shared" si="502"/>
        <v>17/03/2026</v>
      </c>
      <c r="K2638">
        <v>46098</v>
      </c>
      <c r="N2638">
        <v>134</v>
      </c>
      <c r="O2638" t="s">
        <v>30</v>
      </c>
      <c r="Q2638">
        <v>78</v>
      </c>
      <c r="R2638" t="str">
        <f>"FARMÁCIA INDIANA LJ 284 (10280)"</f>
        <v>FARMÁCIA INDIANA LJ 284 (10280)</v>
      </c>
      <c r="S2638" t="s">
        <v>37</v>
      </c>
      <c r="T2638">
        <v>30737</v>
      </c>
      <c r="U2638">
        <v>35313</v>
      </c>
      <c r="V2638" t="s">
        <v>37</v>
      </c>
    </row>
    <row r="2639" spans="1:22">
      <c r="A2639" t="str">
        <f t="shared" si="505"/>
        <v>17/03/2026</v>
      </c>
      <c r="B2639" t="str">
        <f t="shared" si="506"/>
        <v>SAÍDA</v>
      </c>
      <c r="C2639" t="str">
        <f t="shared" si="507"/>
        <v>PIX</v>
      </c>
      <c r="D2639" t="str">
        <f>"35314"</f>
        <v>35314</v>
      </c>
      <c r="E2639" t="str">
        <f t="shared" si="503"/>
        <v>1</v>
      </c>
      <c r="F2639" t="str">
        <f t="shared" si="504"/>
        <v>COM</v>
      </c>
      <c r="G2639" t="str">
        <f>"WILLIAN VAZ DA SILVA (96)"</f>
        <v>WILLIAN VAZ DA SILVA (96)</v>
      </c>
      <c r="H2639" t="str">
        <f>"Serv.Prest. DIARIA 15/03/2026 - PIX: CELULAR - CHAVE: (32) 98889-7793"</f>
        <v>Serv.Prest. DIARIA 15/03/2026 - PIX: CELULAR - CHAVE: (32) 98889-7793</v>
      </c>
      <c r="I2639" t="str">
        <f t="shared" si="508"/>
        <v>17/03/2026</v>
      </c>
      <c r="J2639" t="str">
        <f t="shared" si="502"/>
        <v>17/03/2026</v>
      </c>
      <c r="K2639" t="str">
        <f>("17/03/2026")</f>
        <v>17/03/2026</v>
      </c>
      <c r="L2639">
        <v>60</v>
      </c>
      <c r="M2639">
        <v>60</v>
      </c>
      <c r="N2639">
        <v>134</v>
      </c>
      <c r="O2639" t="str">
        <f>"DIARIA DE MOTOBOY"</f>
        <v>DIARIA DE MOTOBOY</v>
      </c>
      <c r="P2639">
        <v>60</v>
      </c>
      <c r="S2639" t="str">
        <f>"BANCO C6 (149)"</f>
        <v>BANCO C6 (149)</v>
      </c>
      <c r="T2639">
        <v>30738</v>
      </c>
      <c r="U2639">
        <v>35314</v>
      </c>
      <c r="V2639" t="s">
        <v>37</v>
      </c>
    </row>
    <row r="2640" spans="1:22">
      <c r="A2640" t="str">
        <f t="shared" si="505"/>
        <v>17/03/2026</v>
      </c>
      <c r="B2640" t="str">
        <f t="shared" si="506"/>
        <v>SAÍDA</v>
      </c>
      <c r="C2640" t="str">
        <f t="shared" si="507"/>
        <v>PIX</v>
      </c>
      <c r="D2640" t="str">
        <f>"35314"</f>
        <v>35314</v>
      </c>
      <c r="E2640" t="str">
        <f t="shared" si="503"/>
        <v>1</v>
      </c>
      <c r="F2640" t="str">
        <f t="shared" si="504"/>
        <v>COM</v>
      </c>
      <c r="G2640" t="str">
        <f>"WILLIAN VAZ DA SILVA (96)"</f>
        <v>WILLIAN VAZ DA SILVA (96)</v>
      </c>
      <c r="H2640" t="s">
        <v>825</v>
      </c>
      <c r="I2640" t="str">
        <f t="shared" si="508"/>
        <v>17/03/2026</v>
      </c>
      <c r="J2640" t="str">
        <f t="shared" si="502"/>
        <v>17/03/2026</v>
      </c>
      <c r="K2640">
        <v>46098</v>
      </c>
      <c r="N2640">
        <v>134</v>
      </c>
      <c r="O2640" t="s">
        <v>30</v>
      </c>
      <c r="Q2640">
        <v>60</v>
      </c>
      <c r="R2640" t="str">
        <f>"FARMÁCIA INDIANA LJ 109 (10047)"</f>
        <v>FARMÁCIA INDIANA LJ 109 (10047)</v>
      </c>
      <c r="S2640" t="s">
        <v>37</v>
      </c>
      <c r="T2640">
        <v>30738</v>
      </c>
      <c r="U2640">
        <v>35314</v>
      </c>
      <c r="V2640" t="s">
        <v>37</v>
      </c>
    </row>
    <row r="2641" spans="1:22">
      <c r="A2641" t="str">
        <f t="shared" si="505"/>
        <v>17/03/2026</v>
      </c>
      <c r="B2641" t="str">
        <f t="shared" si="506"/>
        <v>SAÍDA</v>
      </c>
      <c r="C2641" t="str">
        <f t="shared" si="507"/>
        <v>PIX</v>
      </c>
      <c r="D2641" t="str">
        <f>"35017"</f>
        <v>35017</v>
      </c>
      <c r="E2641" t="str">
        <f t="shared" si="503"/>
        <v>1</v>
      </c>
      <c r="F2641" t="str">
        <f t="shared" si="504"/>
        <v>COM</v>
      </c>
      <c r="G2641" t="str">
        <f>"ALAN COSTA SILVA (994)"</f>
        <v>ALAN COSTA SILVA (994)</v>
      </c>
      <c r="H2641" t="str">
        <f>"Serv.Prest. 09/03/2026 a 15/03/2026 - PIX: CELULAR - CHAVE: (11) 98484-6837"</f>
        <v>Serv.Prest. 09/03/2026 a 15/03/2026 - PIX: CELULAR - CHAVE: (11) 98484-6837</v>
      </c>
      <c r="I2641" t="str">
        <f t="shared" si="508"/>
        <v>17/03/2026</v>
      </c>
      <c r="J2641" t="str">
        <f t="shared" si="502"/>
        <v>17/03/2026</v>
      </c>
      <c r="K2641" t="str">
        <f>("17/03/2026")</f>
        <v>17/03/2026</v>
      </c>
      <c r="L2641">
        <v>250</v>
      </c>
      <c r="M2641">
        <v>250</v>
      </c>
      <c r="N2641">
        <v>134</v>
      </c>
      <c r="O2641" t="str">
        <f>"DIARIA DE MOTOBOY"</f>
        <v>DIARIA DE MOTOBOY</v>
      </c>
      <c r="P2641">
        <v>250</v>
      </c>
      <c r="S2641" t="str">
        <f>"BANCO C6 (149)"</f>
        <v>BANCO C6 (149)</v>
      </c>
      <c r="T2641">
        <v>30739</v>
      </c>
      <c r="U2641">
        <v>35317</v>
      </c>
      <c r="V2641" t="s">
        <v>37</v>
      </c>
    </row>
    <row r="2642" spans="1:22">
      <c r="A2642" t="str">
        <f t="shared" si="505"/>
        <v>17/03/2026</v>
      </c>
      <c r="B2642" t="str">
        <f t="shared" si="506"/>
        <v>SAÍDA</v>
      </c>
      <c r="C2642" t="str">
        <f t="shared" si="507"/>
        <v>PIX</v>
      </c>
      <c r="D2642" t="str">
        <f>"35017"</f>
        <v>35017</v>
      </c>
      <c r="E2642" t="str">
        <f t="shared" si="503"/>
        <v>1</v>
      </c>
      <c r="F2642" t="str">
        <f t="shared" si="504"/>
        <v>COM</v>
      </c>
      <c r="G2642" t="str">
        <f>"ALAN COSTA SILVA (994)"</f>
        <v>ALAN COSTA SILVA (994)</v>
      </c>
      <c r="H2642" t="s">
        <v>826</v>
      </c>
      <c r="I2642" t="str">
        <f t="shared" si="508"/>
        <v>17/03/2026</v>
      </c>
      <c r="J2642" t="str">
        <f t="shared" si="502"/>
        <v>17/03/2026</v>
      </c>
      <c r="K2642">
        <v>46098</v>
      </c>
      <c r="N2642">
        <v>134</v>
      </c>
      <c r="O2642" t="s">
        <v>30</v>
      </c>
      <c r="Q2642">
        <v>250</v>
      </c>
      <c r="R2642" t="str">
        <f>"PENSE FARMA 19 (10223)"</f>
        <v>PENSE FARMA 19 (10223)</v>
      </c>
      <c r="S2642" t="s">
        <v>37</v>
      </c>
      <c r="T2642">
        <v>30739</v>
      </c>
      <c r="U2642">
        <v>35317</v>
      </c>
      <c r="V2642" t="s">
        <v>37</v>
      </c>
    </row>
    <row r="2643" spans="1:22">
      <c r="A2643" t="str">
        <f t="shared" si="505"/>
        <v>17/03/2026</v>
      </c>
      <c r="B2643" t="str">
        <f t="shared" si="506"/>
        <v>SAÍDA</v>
      </c>
      <c r="C2643" t="str">
        <f t="shared" si="507"/>
        <v>PIX</v>
      </c>
      <c r="D2643" t="str">
        <f>"35081"</f>
        <v>35081</v>
      </c>
      <c r="E2643" t="str">
        <f t="shared" si="503"/>
        <v>1</v>
      </c>
      <c r="F2643" t="str">
        <f t="shared" si="504"/>
        <v>COM</v>
      </c>
      <c r="G2643" t="str">
        <f>"IGOR LOPES DA SILVA (991)"</f>
        <v>IGOR LOPES DA SILVA (991)</v>
      </c>
      <c r="H2643" t="str">
        <f>"Serv.Prest. 09/03/2026 a 15/03/2026 - PIX: CELULAR - CHAVE: (11) 95054-2206"</f>
        <v>Serv.Prest. 09/03/2026 a 15/03/2026 - PIX: CELULAR - CHAVE: (11) 95054-2206</v>
      </c>
      <c r="I2643" t="str">
        <f t="shared" si="508"/>
        <v>17/03/2026</v>
      </c>
      <c r="J2643" t="str">
        <f t="shared" si="502"/>
        <v>17/03/2026</v>
      </c>
      <c r="K2643" t="str">
        <f>("17/03/2026")</f>
        <v>17/03/2026</v>
      </c>
      <c r="L2643">
        <v>250</v>
      </c>
      <c r="M2643">
        <v>250</v>
      </c>
      <c r="N2643">
        <v>134</v>
      </c>
      <c r="O2643" t="str">
        <f>"DIARIA DE MOTOBOY"</f>
        <v>DIARIA DE MOTOBOY</v>
      </c>
      <c r="P2643">
        <v>250</v>
      </c>
      <c r="S2643" t="str">
        <f>"BANCO C6 (149)"</f>
        <v>BANCO C6 (149)</v>
      </c>
      <c r="T2643">
        <v>30740</v>
      </c>
      <c r="U2643">
        <v>35318</v>
      </c>
      <c r="V2643" t="s">
        <v>37</v>
      </c>
    </row>
    <row r="2644" spans="1:22">
      <c r="A2644" t="str">
        <f t="shared" si="505"/>
        <v>17/03/2026</v>
      </c>
      <c r="B2644" t="str">
        <f t="shared" si="506"/>
        <v>SAÍDA</v>
      </c>
      <c r="C2644" t="str">
        <f t="shared" si="507"/>
        <v>PIX</v>
      </c>
      <c r="D2644" t="str">
        <f>"35081"</f>
        <v>35081</v>
      </c>
      <c r="E2644" t="str">
        <f t="shared" si="503"/>
        <v>1</v>
      </c>
      <c r="F2644" t="str">
        <f t="shared" si="504"/>
        <v>COM</v>
      </c>
      <c r="G2644" t="str">
        <f>"IGOR LOPES DA SILVA (991)"</f>
        <v>IGOR LOPES DA SILVA (991)</v>
      </c>
      <c r="H2644" t="s">
        <v>827</v>
      </c>
      <c r="I2644" t="str">
        <f t="shared" si="508"/>
        <v>17/03/2026</v>
      </c>
      <c r="J2644" t="str">
        <f t="shared" ref="J2644:J2654" si="509">("17/03/2026")</f>
        <v>17/03/2026</v>
      </c>
      <c r="K2644">
        <v>46098</v>
      </c>
      <c r="N2644">
        <v>134</v>
      </c>
      <c r="O2644" t="s">
        <v>30</v>
      </c>
      <c r="Q2644">
        <v>250</v>
      </c>
      <c r="R2644" t="str">
        <f>"PENSE FARMA 39 (10228)"</f>
        <v>PENSE FARMA 39 (10228)</v>
      </c>
      <c r="S2644" t="s">
        <v>37</v>
      </c>
      <c r="T2644">
        <v>30740</v>
      </c>
      <c r="U2644">
        <v>35318</v>
      </c>
      <c r="V2644" t="s">
        <v>37</v>
      </c>
    </row>
    <row r="2645" spans="1:22">
      <c r="A2645" t="str">
        <f t="shared" si="505"/>
        <v>17/03/2026</v>
      </c>
      <c r="B2645" t="str">
        <f t="shared" si="506"/>
        <v>SAÍDA</v>
      </c>
      <c r="C2645" t="str">
        <f t="shared" si="507"/>
        <v>PIX</v>
      </c>
      <c r="D2645" t="str">
        <f>"35022"</f>
        <v>35022</v>
      </c>
      <c r="E2645" t="str">
        <f t="shared" si="503"/>
        <v>1</v>
      </c>
      <c r="F2645" t="str">
        <f t="shared" si="504"/>
        <v>COM</v>
      </c>
      <c r="G2645" t="str">
        <f>"PEDRO HENRIQUE ALVES DA SILVA (1133)"</f>
        <v>PEDRO HENRIQUE ALVES DA SILVA (1133)</v>
      </c>
      <c r="H2645" t="str">
        <f>"Serv.Prest. 09/03/2026 a 15/03/2026 - PIX: CELULAR - CHAVE: (11) 98776-2232"</f>
        <v>Serv.Prest. 09/03/2026 a 15/03/2026 - PIX: CELULAR - CHAVE: (11) 98776-2232</v>
      </c>
      <c r="I2645" t="str">
        <f t="shared" si="508"/>
        <v>17/03/2026</v>
      </c>
      <c r="J2645" t="str">
        <f t="shared" si="509"/>
        <v>17/03/2026</v>
      </c>
      <c r="K2645" t="str">
        <f>("17/03/2026")</f>
        <v>17/03/2026</v>
      </c>
      <c r="L2645">
        <v>900</v>
      </c>
      <c r="M2645">
        <v>900</v>
      </c>
      <c r="N2645">
        <v>134</v>
      </c>
      <c r="O2645" t="str">
        <f>"DIARIA DE MOTOBOY"</f>
        <v>DIARIA DE MOTOBOY</v>
      </c>
      <c r="P2645">
        <v>900</v>
      </c>
      <c r="S2645" t="str">
        <f>"BANCO C6 (149)"</f>
        <v>BANCO C6 (149)</v>
      </c>
      <c r="T2645">
        <v>30741</v>
      </c>
      <c r="U2645">
        <v>35319</v>
      </c>
      <c r="V2645" t="s">
        <v>37</v>
      </c>
    </row>
    <row r="2646" spans="1:22">
      <c r="A2646" t="str">
        <f t="shared" si="505"/>
        <v>17/03/2026</v>
      </c>
      <c r="B2646" t="str">
        <f t="shared" si="506"/>
        <v>SAÍDA</v>
      </c>
      <c r="C2646" t="str">
        <f t="shared" si="507"/>
        <v>PIX</v>
      </c>
      <c r="D2646" t="str">
        <f>"35022"</f>
        <v>35022</v>
      </c>
      <c r="E2646" t="str">
        <f t="shared" si="503"/>
        <v>1</v>
      </c>
      <c r="F2646" t="str">
        <f t="shared" si="504"/>
        <v>COM</v>
      </c>
      <c r="G2646" t="str">
        <f>"PEDRO HENRIQUE ALVES DA SILVA (1133)"</f>
        <v>PEDRO HENRIQUE ALVES DA SILVA (1133)</v>
      </c>
      <c r="H2646" t="s">
        <v>828</v>
      </c>
      <c r="I2646" t="str">
        <f t="shared" si="508"/>
        <v>17/03/2026</v>
      </c>
      <c r="J2646" t="str">
        <f t="shared" si="509"/>
        <v>17/03/2026</v>
      </c>
      <c r="K2646">
        <v>46098</v>
      </c>
      <c r="N2646">
        <v>134</v>
      </c>
      <c r="O2646" t="s">
        <v>30</v>
      </c>
      <c r="Q2646">
        <v>900</v>
      </c>
      <c r="R2646" t="str">
        <f>"PENSE FARMA 22 (10198)"</f>
        <v>PENSE FARMA 22 (10198)</v>
      </c>
      <c r="S2646" t="s">
        <v>37</v>
      </c>
      <c r="T2646">
        <v>30741</v>
      </c>
      <c r="U2646">
        <v>35319</v>
      </c>
      <c r="V2646" t="s">
        <v>37</v>
      </c>
    </row>
    <row r="2647" spans="1:22">
      <c r="A2647" t="str">
        <f t="shared" si="505"/>
        <v>17/03/2026</v>
      </c>
      <c r="B2647" t="str">
        <f t="shared" si="506"/>
        <v>SAÍDA</v>
      </c>
      <c r="C2647" t="str">
        <f t="shared" si="507"/>
        <v>PIX</v>
      </c>
      <c r="D2647" t="str">
        <f>"35094"</f>
        <v>35094</v>
      </c>
      <c r="E2647" t="str">
        <f>"2"</f>
        <v>2</v>
      </c>
      <c r="F2647" t="str">
        <f t="shared" si="504"/>
        <v>COM</v>
      </c>
      <c r="G2647" t="str">
        <f>"GABRIEL SIQUEIRA DA SILVA (997)"</f>
        <v>GABRIEL SIQUEIRA DA SILVA (997)</v>
      </c>
      <c r="H2647" t="str">
        <f>"Serv.Prest. DIARIA 12/03/2026 - PIX: CPF - CHAVE: 500.480.978-02"</f>
        <v>Serv.Prest. DIARIA 12/03/2026 - PIX: CPF - CHAVE: 500.480.978-02</v>
      </c>
      <c r="I2647" t="str">
        <f t="shared" si="508"/>
        <v>17/03/2026</v>
      </c>
      <c r="J2647" t="str">
        <f t="shared" si="509"/>
        <v>17/03/2026</v>
      </c>
      <c r="K2647" t="str">
        <f>("17/03/2026")</f>
        <v>17/03/2026</v>
      </c>
      <c r="L2647">
        <v>100</v>
      </c>
      <c r="M2647">
        <v>100</v>
      </c>
      <c r="N2647">
        <v>109</v>
      </c>
      <c r="O2647" t="str">
        <f>"PAGAMENTO DE ENTREGADORES"</f>
        <v>PAGAMENTO DE ENTREGADORES</v>
      </c>
      <c r="P2647">
        <v>100</v>
      </c>
      <c r="S2647" t="str">
        <f>"BANCO C6 (149)"</f>
        <v>BANCO C6 (149)</v>
      </c>
      <c r="T2647">
        <v>30742</v>
      </c>
      <c r="U2647">
        <v>35321</v>
      </c>
      <c r="V2647" t="s">
        <v>37</v>
      </c>
    </row>
    <row r="2648" spans="1:22">
      <c r="A2648" t="str">
        <f t="shared" si="505"/>
        <v>17/03/2026</v>
      </c>
      <c r="B2648" t="str">
        <f t="shared" si="506"/>
        <v>SAÍDA</v>
      </c>
      <c r="C2648" t="str">
        <f t="shared" si="507"/>
        <v>PIX</v>
      </c>
      <c r="D2648" t="str">
        <f>"35094"</f>
        <v>35094</v>
      </c>
      <c r="E2648" t="str">
        <f>"2"</f>
        <v>2</v>
      </c>
      <c r="F2648" t="str">
        <f t="shared" si="504"/>
        <v>COM</v>
      </c>
      <c r="G2648" t="str">
        <f>"GABRIEL SIQUEIRA DA SILVA (997)"</f>
        <v>GABRIEL SIQUEIRA DA SILVA (997)</v>
      </c>
      <c r="H2648" t="s">
        <v>829</v>
      </c>
      <c r="I2648" t="str">
        <f t="shared" si="508"/>
        <v>17/03/2026</v>
      </c>
      <c r="J2648" t="str">
        <f t="shared" si="509"/>
        <v>17/03/2026</v>
      </c>
      <c r="K2648">
        <v>46098</v>
      </c>
      <c r="N2648">
        <v>109</v>
      </c>
      <c r="O2648" t="s">
        <v>27</v>
      </c>
      <c r="Q2648">
        <v>100</v>
      </c>
      <c r="R2648" t="str">
        <f>"PENSE FARMA 49 (10234)"</f>
        <v>PENSE FARMA 49 (10234)</v>
      </c>
      <c r="S2648" t="s">
        <v>37</v>
      </c>
      <c r="T2648">
        <v>30742</v>
      </c>
      <c r="U2648">
        <v>35321</v>
      </c>
      <c r="V2648" t="s">
        <v>37</v>
      </c>
    </row>
    <row r="2649" spans="1:22">
      <c r="A2649" t="str">
        <f t="shared" si="505"/>
        <v>17/03/2026</v>
      </c>
      <c r="B2649" t="str">
        <f t="shared" si="506"/>
        <v>SAÍDA</v>
      </c>
      <c r="C2649" t="str">
        <f t="shared" si="507"/>
        <v>PIX</v>
      </c>
      <c r="D2649" t="str">
        <f>"17032026"</f>
        <v>17032026</v>
      </c>
      <c r="E2649" t="str">
        <f>""</f>
        <v/>
      </c>
      <c r="F2649" t="str">
        <f t="shared" si="504"/>
        <v>COM</v>
      </c>
      <c r="G2649" t="str">
        <f>"RENAN PABLO PEREIRA FERNANDES (1119)"</f>
        <v>RENAN PABLO PEREIRA FERNANDES (1119)</v>
      </c>
      <c r="H2649" t="str">
        <f>"Serv.Prest. DIÁRIA 15/03/2026 - PIX: CPF - CHAVE: 152.577.816-11"</f>
        <v>Serv.Prest. DIÁRIA 15/03/2026 - PIX: CPF - CHAVE: 152.577.816-11</v>
      </c>
      <c r="I2649" t="str">
        <f t="shared" si="508"/>
        <v>17/03/2026</v>
      </c>
      <c r="J2649" t="str">
        <f t="shared" si="509"/>
        <v>17/03/2026</v>
      </c>
      <c r="K2649" t="str">
        <f>("17/03/2026")</f>
        <v>17/03/2026</v>
      </c>
      <c r="L2649">
        <v>170</v>
      </c>
      <c r="M2649">
        <v>170</v>
      </c>
      <c r="N2649">
        <v>134</v>
      </c>
      <c r="O2649" t="str">
        <f>"DIARIA DE MOTOBOY"</f>
        <v>DIARIA DE MOTOBOY</v>
      </c>
      <c r="P2649">
        <v>170</v>
      </c>
      <c r="S2649" t="str">
        <f>"BANCO C6 (149)"</f>
        <v>BANCO C6 (149)</v>
      </c>
      <c r="T2649">
        <v>30743</v>
      </c>
      <c r="U2649">
        <v>35322</v>
      </c>
      <c r="V2649" t="s">
        <v>37</v>
      </c>
    </row>
    <row r="2650" spans="1:22">
      <c r="A2650" t="str">
        <f t="shared" si="505"/>
        <v>17/03/2026</v>
      </c>
      <c r="B2650" t="str">
        <f t="shared" si="506"/>
        <v>SAÍDA</v>
      </c>
      <c r="C2650" t="str">
        <f t="shared" si="507"/>
        <v>PIX</v>
      </c>
      <c r="D2650" t="str">
        <f>"17032026"</f>
        <v>17032026</v>
      </c>
      <c r="E2650" t="str">
        <f>""</f>
        <v/>
      </c>
      <c r="F2650" t="str">
        <f t="shared" si="504"/>
        <v>COM</v>
      </c>
      <c r="G2650" t="str">
        <f>"RENAN PABLO PEREIRA FERNANDES (1119)"</f>
        <v>RENAN PABLO PEREIRA FERNANDES (1119)</v>
      </c>
      <c r="H2650" t="s">
        <v>830</v>
      </c>
      <c r="I2650" t="str">
        <f t="shared" si="508"/>
        <v>17/03/2026</v>
      </c>
      <c r="J2650" t="str">
        <f t="shared" si="509"/>
        <v>17/03/2026</v>
      </c>
      <c r="K2650">
        <v>46098</v>
      </c>
      <c r="N2650">
        <v>134</v>
      </c>
      <c r="O2650" t="s">
        <v>30</v>
      </c>
      <c r="Q2650">
        <v>170</v>
      </c>
      <c r="R2650" t="str">
        <f>"FARMÁCIA INDIANA LJ 118 (10052)"</f>
        <v>FARMÁCIA INDIANA LJ 118 (10052)</v>
      </c>
      <c r="S2650" t="s">
        <v>37</v>
      </c>
      <c r="T2650">
        <v>30743</v>
      </c>
      <c r="U2650">
        <v>35322</v>
      </c>
      <c r="V2650" t="s">
        <v>37</v>
      </c>
    </row>
    <row r="2651" spans="1:22">
      <c r="A2651" t="str">
        <f t="shared" si="505"/>
        <v>17/03/2026</v>
      </c>
      <c r="B2651" t="str">
        <f t="shared" si="506"/>
        <v>SAÍDA</v>
      </c>
      <c r="C2651" t="str">
        <f t="shared" si="507"/>
        <v>PIX</v>
      </c>
      <c r="D2651" t="str">
        <f>"35264"</f>
        <v>35264</v>
      </c>
      <c r="E2651" t="str">
        <f>"1"</f>
        <v>1</v>
      </c>
      <c r="F2651" t="str">
        <f t="shared" si="504"/>
        <v>COM</v>
      </c>
      <c r="G2651" t="str">
        <f>"MARCOS RODRIGUES PENA (64)"</f>
        <v>MARCOS RODRIGUES PENA (64)</v>
      </c>
      <c r="H2651" t="str">
        <f>"Serv.Prest. DIARIA 15/03/2026 - PIX: CELULAR - CHAVE: (33) 99194-2339"</f>
        <v>Serv.Prest. DIARIA 15/03/2026 - PIX: CELULAR - CHAVE: (33) 99194-2339</v>
      </c>
      <c r="I2651" t="str">
        <f t="shared" si="508"/>
        <v>17/03/2026</v>
      </c>
      <c r="J2651" t="str">
        <f t="shared" si="509"/>
        <v>17/03/2026</v>
      </c>
      <c r="K2651" t="str">
        <f>("17/03/2026")</f>
        <v>17/03/2026</v>
      </c>
      <c r="L2651">
        <v>140</v>
      </c>
      <c r="M2651">
        <v>140</v>
      </c>
      <c r="N2651">
        <v>134</v>
      </c>
      <c r="O2651" t="str">
        <f>"DIARIA DE MOTOBOY"</f>
        <v>DIARIA DE MOTOBOY</v>
      </c>
      <c r="P2651">
        <v>140</v>
      </c>
      <c r="S2651" t="str">
        <f>"BANCO C6 (149)"</f>
        <v>BANCO C6 (149)</v>
      </c>
      <c r="T2651">
        <v>30744</v>
      </c>
      <c r="U2651">
        <v>35323</v>
      </c>
      <c r="V2651" t="s">
        <v>37</v>
      </c>
    </row>
    <row r="2652" spans="1:22">
      <c r="A2652" t="str">
        <f t="shared" si="505"/>
        <v>17/03/2026</v>
      </c>
      <c r="B2652" t="str">
        <f t="shared" si="506"/>
        <v>SAÍDA</v>
      </c>
      <c r="C2652" t="str">
        <f t="shared" si="507"/>
        <v>PIX</v>
      </c>
      <c r="D2652" t="str">
        <f>"35264"</f>
        <v>35264</v>
      </c>
      <c r="E2652" t="str">
        <f>"1"</f>
        <v>1</v>
      </c>
      <c r="F2652" t="str">
        <f t="shared" si="504"/>
        <v>COM</v>
      </c>
      <c r="G2652" t="str">
        <f>"MARCOS RODRIGUES PENA (64)"</f>
        <v>MARCOS RODRIGUES PENA (64)</v>
      </c>
      <c r="H2652" t="s">
        <v>831</v>
      </c>
      <c r="I2652" t="str">
        <f t="shared" si="508"/>
        <v>17/03/2026</v>
      </c>
      <c r="J2652" t="str">
        <f t="shared" si="509"/>
        <v>17/03/2026</v>
      </c>
      <c r="K2652">
        <v>46098</v>
      </c>
      <c r="N2652">
        <v>134</v>
      </c>
      <c r="O2652" t="s">
        <v>30</v>
      </c>
      <c r="Q2652">
        <v>140</v>
      </c>
      <c r="R2652" t="str">
        <f>"FARMÁCIA INDIANA LJ 62 (10028)"</f>
        <v>FARMÁCIA INDIANA LJ 62 (10028)</v>
      </c>
      <c r="S2652" t="s">
        <v>37</v>
      </c>
      <c r="T2652">
        <v>30744</v>
      </c>
      <c r="U2652">
        <v>35323</v>
      </c>
      <c r="V2652" t="s">
        <v>37</v>
      </c>
    </row>
    <row r="2653" spans="1:22">
      <c r="A2653" t="str">
        <f t="shared" si="505"/>
        <v>17/03/2026</v>
      </c>
      <c r="B2653" t="str">
        <f t="shared" si="506"/>
        <v>SAÍDA</v>
      </c>
      <c r="C2653" t="str">
        <f t="shared" si="507"/>
        <v>PIX</v>
      </c>
      <c r="D2653" t="str">
        <f>"35270"</f>
        <v>35270</v>
      </c>
      <c r="E2653" t="str">
        <f>"1"</f>
        <v>1</v>
      </c>
      <c r="F2653" t="str">
        <f t="shared" si="504"/>
        <v>COM</v>
      </c>
      <c r="G2653" t="str">
        <f>"MURILO BARRETO AFONSO (30)"</f>
        <v>MURILO BARRETO AFONSO (30)</v>
      </c>
      <c r="H2653" t="str">
        <f>"Serv.Prest. DIARIA 15/03/2026 - PIX: CPF - CHAVE: 123.020.026-60"</f>
        <v>Serv.Prest. DIARIA 15/03/2026 - PIX: CPF - CHAVE: 123.020.026-60</v>
      </c>
      <c r="I2653" t="str">
        <f t="shared" si="508"/>
        <v>17/03/2026</v>
      </c>
      <c r="J2653" t="str">
        <f t="shared" si="509"/>
        <v>17/03/2026</v>
      </c>
      <c r="K2653" t="str">
        <f>("17/03/2026")</f>
        <v>17/03/2026</v>
      </c>
      <c r="L2653">
        <v>170</v>
      </c>
      <c r="M2653">
        <v>170</v>
      </c>
      <c r="N2653">
        <v>134</v>
      </c>
      <c r="O2653" t="str">
        <f>"DIARIA DE MOTOBOY"</f>
        <v>DIARIA DE MOTOBOY</v>
      </c>
      <c r="P2653">
        <v>170</v>
      </c>
      <c r="S2653" t="str">
        <f>"BANCO C6 (149)"</f>
        <v>BANCO C6 (149)</v>
      </c>
      <c r="T2653">
        <v>30745</v>
      </c>
      <c r="U2653">
        <v>35325</v>
      </c>
      <c r="V2653" t="s">
        <v>37</v>
      </c>
    </row>
    <row r="2654" spans="1:22">
      <c r="A2654" t="str">
        <f t="shared" si="505"/>
        <v>17/03/2026</v>
      </c>
      <c r="B2654" t="str">
        <f t="shared" si="506"/>
        <v>SAÍDA</v>
      </c>
      <c r="C2654" t="str">
        <f t="shared" si="507"/>
        <v>PIX</v>
      </c>
      <c r="D2654" t="str">
        <f>"35270"</f>
        <v>35270</v>
      </c>
      <c r="E2654" t="str">
        <f>"1"</f>
        <v>1</v>
      </c>
      <c r="F2654" t="str">
        <f t="shared" si="504"/>
        <v>COM</v>
      </c>
      <c r="G2654" t="str">
        <f>"MURILO BARRETO AFONSO (30)"</f>
        <v>MURILO BARRETO AFONSO (30)</v>
      </c>
      <c r="H2654" t="s">
        <v>832</v>
      </c>
      <c r="I2654" t="str">
        <f t="shared" si="508"/>
        <v>17/03/2026</v>
      </c>
      <c r="J2654" t="str">
        <f t="shared" si="509"/>
        <v>17/03/2026</v>
      </c>
      <c r="K2654">
        <v>46098</v>
      </c>
      <c r="N2654">
        <v>134</v>
      </c>
      <c r="O2654" t="s">
        <v>30</v>
      </c>
      <c r="Q2654">
        <v>170</v>
      </c>
      <c r="R2654" t="str">
        <f>"FARMÁCIA INDIANA LJ 192 (10082)"</f>
        <v>FARMÁCIA INDIANA LJ 192 (10082)</v>
      </c>
      <c r="S2654" t="s">
        <v>37</v>
      </c>
      <c r="T2654">
        <v>30745</v>
      </c>
      <c r="U2654">
        <v>35325</v>
      </c>
      <c r="V2654" t="s">
        <v>37</v>
      </c>
    </row>
    <row r="2655" spans="1:22">
      <c r="A2655" t="str">
        <f t="shared" si="505"/>
        <v>17/03/2026</v>
      </c>
      <c r="B2655" t="str">
        <f t="shared" si="506"/>
        <v>SAÍDA</v>
      </c>
      <c r="C2655" t="str">
        <f>"BOLETO"</f>
        <v>BOLETO</v>
      </c>
      <c r="D2655" t="str">
        <f>"17032026"</f>
        <v>17032026</v>
      </c>
      <c r="E2655" t="str">
        <f>""</f>
        <v/>
      </c>
      <c r="F2655" t="str">
        <f t="shared" si="504"/>
        <v>COM</v>
      </c>
      <c r="G2655" t="str">
        <f>"SECRETARIA DE ESTADO DE FAZENDA DE MINAS GERAIS (20012)"</f>
        <v>SECRETARIA DE ESTADO DE FAZENDA DE MINAS GERAIS (20012)</v>
      </c>
      <c r="H2655" t="str">
        <f>"TAXA FUNCIONAMENTO PREFEITURA UBERLANDIA "</f>
        <v xml:space="preserve">TAXA FUNCIONAMENTO PREFEITURA UBERLANDIA </v>
      </c>
      <c r="I2655" t="str">
        <f t="shared" si="508"/>
        <v>17/03/2026</v>
      </c>
      <c r="J2655" t="str">
        <f>("11/03/2026")</f>
        <v>11/03/2026</v>
      </c>
      <c r="K2655" t="str">
        <f>("17/03/2026")</f>
        <v>17/03/2026</v>
      </c>
      <c r="L2655">
        <v>99.11</v>
      </c>
      <c r="M2655">
        <v>99.11</v>
      </c>
      <c r="N2655">
        <v>111</v>
      </c>
      <c r="O2655" t="str">
        <f>"OUTRAS DESPESAS / TAXAS"</f>
        <v>OUTRAS DESPESAS / TAXAS</v>
      </c>
      <c r="P2655">
        <v>99.11</v>
      </c>
      <c r="S2655" t="str">
        <f>"BANCO CORA (102)"</f>
        <v>BANCO CORA (102)</v>
      </c>
      <c r="T2655">
        <v>30746</v>
      </c>
      <c r="U2655">
        <v>34792</v>
      </c>
      <c r="V2655" t="s">
        <v>33</v>
      </c>
    </row>
    <row r="2656" spans="1:22">
      <c r="A2656" t="str">
        <f t="shared" si="505"/>
        <v>17/03/2026</v>
      </c>
      <c r="B2656" t="str">
        <f t="shared" si="506"/>
        <v>SAÍDA</v>
      </c>
      <c r="C2656" t="str">
        <f>"BOLETO"</f>
        <v>BOLETO</v>
      </c>
      <c r="D2656" t="str">
        <f>"17032026"</f>
        <v>17032026</v>
      </c>
      <c r="E2656" t="str">
        <f>""</f>
        <v/>
      </c>
      <c r="F2656" t="str">
        <f t="shared" si="504"/>
        <v>COM</v>
      </c>
      <c r="G2656" t="str">
        <f>"SECRETARIA DE ESTADO DE FAZENDA DE MINAS GERAIS (20012)"</f>
        <v>SECRETARIA DE ESTADO DE FAZENDA DE MINAS GERAIS (20012)</v>
      </c>
      <c r="H2656" t="s">
        <v>833</v>
      </c>
      <c r="I2656" t="str">
        <f t="shared" si="508"/>
        <v>17/03/2026</v>
      </c>
      <c r="J2656" t="str">
        <f>("11/03/2026")</f>
        <v>11/03/2026</v>
      </c>
      <c r="K2656">
        <v>46098</v>
      </c>
      <c r="N2656">
        <v>111</v>
      </c>
      <c r="O2656" t="s">
        <v>606</v>
      </c>
      <c r="Q2656">
        <v>99.11</v>
      </c>
      <c r="R2656" t="str">
        <f>"SECRETARIA DE ESTADO DE FAZENDA DE MINAS GERAIS (20012)"</f>
        <v>SECRETARIA DE ESTADO DE FAZENDA DE MINAS GERAIS (20012)</v>
      </c>
      <c r="S2656" t="s">
        <v>33</v>
      </c>
      <c r="T2656">
        <v>30746</v>
      </c>
      <c r="U2656">
        <v>34792</v>
      </c>
      <c r="V2656" t="s">
        <v>33</v>
      </c>
    </row>
    <row r="2657" spans="1:22">
      <c r="A2657" t="str">
        <f t="shared" si="505"/>
        <v>17/03/2026</v>
      </c>
      <c r="B2657" t="str">
        <f t="shared" si="506"/>
        <v>SAÍDA</v>
      </c>
      <c r="C2657" t="str">
        <f>"PIX"</f>
        <v>PIX</v>
      </c>
      <c r="D2657" t="str">
        <f>"35365"</f>
        <v>35365</v>
      </c>
      <c r="E2657" t="str">
        <f>"1"</f>
        <v>1</v>
      </c>
      <c r="F2657" t="str">
        <f t="shared" si="504"/>
        <v>COM</v>
      </c>
      <c r="G2657" t="str">
        <f>"MATHEUS HENRIQUE GOMES DE ALMEIDA (1362)"</f>
        <v>MATHEUS HENRIQUE GOMES DE ALMEIDA (1362)</v>
      </c>
      <c r="H2657" t="str">
        <f>"Serv.Prest. 09/03/2026 a 15/03/2026 - PIX: CPF - CHAVE: 054.700.811-25"</f>
        <v>Serv.Prest. 09/03/2026 a 15/03/2026 - PIX: CPF - CHAVE: 054.700.811-25</v>
      </c>
      <c r="I2657" t="str">
        <f t="shared" ref="I2657:I2662" si="510">("19/03/2026")</f>
        <v>19/03/2026</v>
      </c>
      <c r="J2657" t="str">
        <f>("18/03/2026")</f>
        <v>18/03/2026</v>
      </c>
      <c r="K2657" t="str">
        <f>("17/03/2026")</f>
        <v>17/03/2026</v>
      </c>
      <c r="L2657">
        <v>200</v>
      </c>
      <c r="M2657">
        <v>200</v>
      </c>
      <c r="N2657">
        <v>109</v>
      </c>
      <c r="O2657" t="str">
        <f>"PAGAMENTO DE ENTREGADORES"</f>
        <v>PAGAMENTO DE ENTREGADORES</v>
      </c>
      <c r="P2657">
        <v>200</v>
      </c>
      <c r="S2657" t="str">
        <f>"BANCO C6 (149)"</f>
        <v>BANCO C6 (149)</v>
      </c>
      <c r="T2657">
        <v>31203</v>
      </c>
      <c r="U2657">
        <v>35486</v>
      </c>
      <c r="V2657" t="s">
        <v>37</v>
      </c>
    </row>
    <row r="2658" spans="1:22">
      <c r="A2658" t="str">
        <f t="shared" si="505"/>
        <v>17/03/2026</v>
      </c>
      <c r="B2658" t="str">
        <f t="shared" si="506"/>
        <v>SAÍDA</v>
      </c>
      <c r="C2658" t="str">
        <f>"PIX"</f>
        <v>PIX</v>
      </c>
      <c r="D2658" t="str">
        <f>"35365"</f>
        <v>35365</v>
      </c>
      <c r="E2658" t="str">
        <f>"1"</f>
        <v>1</v>
      </c>
      <c r="F2658" t="str">
        <f t="shared" si="504"/>
        <v>COM</v>
      </c>
      <c r="G2658" t="str">
        <f>"MATHEUS HENRIQUE GOMES DE ALMEIDA (1362)"</f>
        <v>MATHEUS HENRIQUE GOMES DE ALMEIDA (1362)</v>
      </c>
      <c r="H2658" t="s">
        <v>834</v>
      </c>
      <c r="I2658" t="str">
        <f t="shared" si="510"/>
        <v>19/03/2026</v>
      </c>
      <c r="J2658" t="str">
        <f>("18/03/2026")</f>
        <v>18/03/2026</v>
      </c>
      <c r="K2658">
        <v>46098</v>
      </c>
      <c r="N2658">
        <v>109</v>
      </c>
      <c r="O2658" t="s">
        <v>27</v>
      </c>
      <c r="Q2658">
        <v>200</v>
      </c>
      <c r="R2658" t="str">
        <f>"BRASIL FARMA (10173)"</f>
        <v>BRASIL FARMA (10173)</v>
      </c>
      <c r="S2658" t="s">
        <v>37</v>
      </c>
      <c r="T2658">
        <v>31203</v>
      </c>
      <c r="U2658">
        <v>35486</v>
      </c>
      <c r="V2658" t="s">
        <v>37</v>
      </c>
    </row>
    <row r="2659" spans="1:22">
      <c r="A2659" t="str">
        <f t="shared" ref="A2659:A2722" si="511">("18/03/2026")</f>
        <v>18/03/2026</v>
      </c>
      <c r="B2659" t="str">
        <f>"ENTRADA"</f>
        <v>ENTRADA</v>
      </c>
      <c r="C2659" t="str">
        <f>"DINHEIRO"</f>
        <v>DINHEIRO</v>
      </c>
      <c r="D2659" t="str">
        <f>"1903"</f>
        <v>1903</v>
      </c>
      <c r="E2659" t="str">
        <f>"26"</f>
        <v>26</v>
      </c>
      <c r="F2659" t="str">
        <f t="shared" si="504"/>
        <v>COM</v>
      </c>
      <c r="G2659" t="str">
        <f t="shared" ref="G2659:G2666" si="512">"CASSIO DIAS RIBEIRO (32)"</f>
        <v>CASSIO DIAS RIBEIRO (32)</v>
      </c>
      <c r="H2659" t="str">
        <f>"REEMBOLSO ADIANTAMENTO"</f>
        <v>REEMBOLSO ADIANTAMENTO</v>
      </c>
      <c r="I2659" t="str">
        <f t="shared" si="510"/>
        <v>19/03/2026</v>
      </c>
      <c r="J2659" t="str">
        <f>("29/01/2026")</f>
        <v>29/01/2026</v>
      </c>
      <c r="K2659" t="str">
        <f>("18/03/2026")</f>
        <v>18/03/2026</v>
      </c>
      <c r="L2659">
        <v>100</v>
      </c>
      <c r="M2659">
        <v>100</v>
      </c>
      <c r="N2659">
        <v>129</v>
      </c>
      <c r="O2659" t="str">
        <f>"ENTRADA DE REEMBOLSO ADIANTAMENTO"</f>
        <v>ENTRADA DE REEMBOLSO ADIANTAMENTO</v>
      </c>
      <c r="P2659">
        <v>100</v>
      </c>
      <c r="S2659" t="str">
        <f>"ENTRADA DE REEMBOLSO ADIANTAMENTO (129)"</f>
        <v>ENTRADA DE REEMBOLSO ADIANTAMENTO (129)</v>
      </c>
      <c r="T2659">
        <v>30632</v>
      </c>
      <c r="U2659">
        <v>31712</v>
      </c>
      <c r="V2659" t="s">
        <v>22</v>
      </c>
    </row>
    <row r="2660" spans="1:22">
      <c r="A2660" t="str">
        <f t="shared" si="511"/>
        <v>18/03/2026</v>
      </c>
      <c r="B2660" t="str">
        <f>"ENTRADA"</f>
        <v>ENTRADA</v>
      </c>
      <c r="C2660" t="str">
        <f>"DINHEIRO"</f>
        <v>DINHEIRO</v>
      </c>
      <c r="D2660" t="str">
        <f>"1903"</f>
        <v>1903</v>
      </c>
      <c r="E2660" t="str">
        <f>"26"</f>
        <v>26</v>
      </c>
      <c r="F2660" t="str">
        <f t="shared" si="504"/>
        <v>COM</v>
      </c>
      <c r="G2660" t="str">
        <f t="shared" si="512"/>
        <v>CASSIO DIAS RIBEIRO (32)</v>
      </c>
      <c r="H2660" t="s">
        <v>32</v>
      </c>
      <c r="I2660" t="str">
        <f t="shared" si="510"/>
        <v>19/03/2026</v>
      </c>
      <c r="J2660" t="str">
        <f>("29/01/2026")</f>
        <v>29/01/2026</v>
      </c>
      <c r="K2660">
        <v>46099</v>
      </c>
      <c r="N2660">
        <v>129</v>
      </c>
      <c r="O2660" t="s">
        <v>24</v>
      </c>
      <c r="Q2660">
        <v>100</v>
      </c>
      <c r="R2660" t="str">
        <f>"FARMÁCIA INDIANA LJ 11 (10008)"</f>
        <v>FARMÁCIA INDIANA LJ 11 (10008)</v>
      </c>
      <c r="S2660" t="s">
        <v>25</v>
      </c>
      <c r="T2660">
        <v>30632</v>
      </c>
      <c r="U2660">
        <v>31712</v>
      </c>
      <c r="V2660" t="s">
        <v>22</v>
      </c>
    </row>
    <row r="2661" spans="1:22">
      <c r="A2661" t="str">
        <f t="shared" si="511"/>
        <v>18/03/2026</v>
      </c>
      <c r="B2661" t="str">
        <f>"SAÍDA"</f>
        <v>SAÍDA</v>
      </c>
      <c r="C2661" t="str">
        <f>"PIX"</f>
        <v>PIX</v>
      </c>
      <c r="D2661" t="str">
        <f>"34553"</f>
        <v>34553</v>
      </c>
      <c r="E2661" t="str">
        <f>"1"</f>
        <v>1</v>
      </c>
      <c r="F2661" t="str">
        <f t="shared" si="504"/>
        <v>COM</v>
      </c>
      <c r="G2661" t="str">
        <f t="shared" si="512"/>
        <v>CASSIO DIAS RIBEIRO (32)</v>
      </c>
      <c r="H2661" t="str">
        <f>"Serv.Prest. 02/03/2026 a 08/03/2026 - PIX: CNPJ - CHAVE: 35.986.676/0001-80"</f>
        <v>Serv.Prest. 02/03/2026 a 08/03/2026 - PIX: CNPJ - CHAVE: 35.986.676/0001-80</v>
      </c>
      <c r="I2661" t="str">
        <f t="shared" si="510"/>
        <v>19/03/2026</v>
      </c>
      <c r="J2661" t="str">
        <f>("10/03/2026")</f>
        <v>10/03/2026</v>
      </c>
      <c r="K2661" t="str">
        <f>("18/03/2026")</f>
        <v>18/03/2026</v>
      </c>
      <c r="L2661">
        <v>100</v>
      </c>
      <c r="M2661">
        <v>100</v>
      </c>
      <c r="N2661">
        <v>109</v>
      </c>
      <c r="O2661" t="str">
        <f>"PAGAMENTO DE ENTREGADORES"</f>
        <v>PAGAMENTO DE ENTREGADORES</v>
      </c>
      <c r="P2661">
        <v>100</v>
      </c>
      <c r="S2661" t="str">
        <f>"CAIXA MOVIMENTAÇÃO OPERACIONAL (132)"</f>
        <v>CAIXA MOVIMENTAÇÃO OPERACIONAL (132)</v>
      </c>
      <c r="T2661">
        <v>30633</v>
      </c>
      <c r="U2661">
        <v>35328</v>
      </c>
      <c r="V2661" t="s">
        <v>22</v>
      </c>
    </row>
    <row r="2662" spans="1:22">
      <c r="A2662" t="str">
        <f t="shared" si="511"/>
        <v>18/03/2026</v>
      </c>
      <c r="B2662" t="str">
        <f>"SAÍDA"</f>
        <v>SAÍDA</v>
      </c>
      <c r="C2662" t="str">
        <f>"PIX"</f>
        <v>PIX</v>
      </c>
      <c r="D2662" t="str">
        <f>"34553"</f>
        <v>34553</v>
      </c>
      <c r="E2662" t="str">
        <f>"1"</f>
        <v>1</v>
      </c>
      <c r="F2662" t="str">
        <f t="shared" si="504"/>
        <v>COM</v>
      </c>
      <c r="G2662" t="str">
        <f t="shared" si="512"/>
        <v>CASSIO DIAS RIBEIRO (32)</v>
      </c>
      <c r="H2662" t="s">
        <v>835</v>
      </c>
      <c r="I2662" t="str">
        <f t="shared" si="510"/>
        <v>19/03/2026</v>
      </c>
      <c r="J2662" t="str">
        <f>("10/03/2026")</f>
        <v>10/03/2026</v>
      </c>
      <c r="K2662">
        <v>46099</v>
      </c>
      <c r="N2662">
        <v>109</v>
      </c>
      <c r="O2662" t="s">
        <v>27</v>
      </c>
      <c r="Q2662">
        <v>100</v>
      </c>
      <c r="R2662" t="str">
        <f>"FARMÁCIA INDIANA LJ 11 (10008)"</f>
        <v>FARMÁCIA INDIANA LJ 11 (10008)</v>
      </c>
      <c r="S2662" t="s">
        <v>22</v>
      </c>
      <c r="T2662">
        <v>30633</v>
      </c>
      <c r="U2662">
        <v>35328</v>
      </c>
      <c r="V2662" t="s">
        <v>22</v>
      </c>
    </row>
    <row r="2663" spans="1:22">
      <c r="A2663" t="str">
        <f t="shared" si="511"/>
        <v>18/03/2026</v>
      </c>
      <c r="B2663" t="str">
        <f>"SAÍDA"</f>
        <v>SAÍDA</v>
      </c>
      <c r="C2663" t="str">
        <f>"PIX"</f>
        <v>PIX</v>
      </c>
      <c r="D2663" t="str">
        <f>"35206"</f>
        <v>35206</v>
      </c>
      <c r="E2663" t="str">
        <f>"1"</f>
        <v>1</v>
      </c>
      <c r="F2663" t="str">
        <f t="shared" si="504"/>
        <v>COM</v>
      </c>
      <c r="G2663" t="str">
        <f t="shared" si="512"/>
        <v>CASSIO DIAS RIBEIRO (32)</v>
      </c>
      <c r="H2663" t="str">
        <f>"Serv.Prest. 09/03/2026 a 15/03/2026 - PIX: CNPJ - CHAVE: 35.986.676/0001-80"</f>
        <v>Serv.Prest. 09/03/2026 a 15/03/2026 - PIX: CNPJ - CHAVE: 35.986.676/0001-80</v>
      </c>
      <c r="I2663" t="str">
        <f>("26/03/2026")</f>
        <v>26/03/2026</v>
      </c>
      <c r="J2663" t="str">
        <f>("17/03/2026")</f>
        <v>17/03/2026</v>
      </c>
      <c r="K2663" t="str">
        <f>("18/03/2026")</f>
        <v>18/03/2026</v>
      </c>
      <c r="L2663">
        <v>100</v>
      </c>
      <c r="M2663">
        <v>100</v>
      </c>
      <c r="N2663">
        <v>109</v>
      </c>
      <c r="O2663" t="str">
        <f>"PAGAMENTO DE ENTREGADORES"</f>
        <v>PAGAMENTO DE ENTREGADORES</v>
      </c>
      <c r="P2663">
        <v>100</v>
      </c>
      <c r="S2663" t="str">
        <f>"CAIXA MOVIMENTAÇÃO OPERACIONAL (132)"</f>
        <v>CAIXA MOVIMENTAÇÃO OPERACIONAL (132)</v>
      </c>
      <c r="T2663">
        <v>30634</v>
      </c>
      <c r="U2663">
        <v>35329</v>
      </c>
      <c r="V2663" t="s">
        <v>22</v>
      </c>
    </row>
    <row r="2664" spans="1:22">
      <c r="A2664" t="str">
        <f t="shared" si="511"/>
        <v>18/03/2026</v>
      </c>
      <c r="B2664" t="str">
        <f>"SAÍDA"</f>
        <v>SAÍDA</v>
      </c>
      <c r="C2664" t="str">
        <f>"PIX"</f>
        <v>PIX</v>
      </c>
      <c r="D2664" t="str">
        <f>"35206"</f>
        <v>35206</v>
      </c>
      <c r="E2664" t="str">
        <f>"1"</f>
        <v>1</v>
      </c>
      <c r="F2664" t="str">
        <f t="shared" si="504"/>
        <v>COM</v>
      </c>
      <c r="G2664" t="str">
        <f t="shared" si="512"/>
        <v>CASSIO DIAS RIBEIRO (32)</v>
      </c>
      <c r="H2664" t="s">
        <v>836</v>
      </c>
      <c r="I2664" t="str">
        <f>("26/03/2026")</f>
        <v>26/03/2026</v>
      </c>
      <c r="J2664" t="str">
        <f>("17/03/2026")</f>
        <v>17/03/2026</v>
      </c>
      <c r="K2664">
        <v>46099</v>
      </c>
      <c r="N2664">
        <v>109</v>
      </c>
      <c r="O2664" t="s">
        <v>27</v>
      </c>
      <c r="Q2664">
        <v>100</v>
      </c>
      <c r="R2664" t="str">
        <f>"FARMÁCIA INDIANA LJ 11 (10008)"</f>
        <v>FARMÁCIA INDIANA LJ 11 (10008)</v>
      </c>
      <c r="S2664" t="s">
        <v>22</v>
      </c>
      <c r="T2664">
        <v>30634</v>
      </c>
      <c r="U2664">
        <v>35329</v>
      </c>
      <c r="V2664" t="s">
        <v>22</v>
      </c>
    </row>
    <row r="2665" spans="1:22">
      <c r="A2665" t="str">
        <f t="shared" si="511"/>
        <v>18/03/2026</v>
      </c>
      <c r="B2665" t="str">
        <f>"ENTRADA"</f>
        <v>ENTRADA</v>
      </c>
      <c r="C2665" t="str">
        <f>"DINHEIRO"</f>
        <v>DINHEIRO</v>
      </c>
      <c r="D2665" t="str">
        <f>"2603"</f>
        <v>2603</v>
      </c>
      <c r="E2665" t="str">
        <f>"26"</f>
        <v>26</v>
      </c>
      <c r="F2665" t="str">
        <f t="shared" si="504"/>
        <v>COM</v>
      </c>
      <c r="G2665" t="str">
        <f t="shared" si="512"/>
        <v>CASSIO DIAS RIBEIRO (32)</v>
      </c>
      <c r="H2665" t="str">
        <f>"REEMBOLSO ADIANTAMENTO"</f>
        <v>REEMBOLSO ADIANTAMENTO</v>
      </c>
      <c r="I2665" t="str">
        <f>("26/03/2026")</f>
        <v>26/03/2026</v>
      </c>
      <c r="J2665" t="str">
        <f>("29/01/2026")</f>
        <v>29/01/2026</v>
      </c>
      <c r="K2665" t="str">
        <f>("18/03/2026")</f>
        <v>18/03/2026</v>
      </c>
      <c r="L2665">
        <v>100</v>
      </c>
      <c r="M2665">
        <v>100</v>
      </c>
      <c r="N2665">
        <v>129</v>
      </c>
      <c r="O2665" t="str">
        <f>"ENTRADA DE REEMBOLSO ADIANTAMENTO"</f>
        <v>ENTRADA DE REEMBOLSO ADIANTAMENTO</v>
      </c>
      <c r="P2665">
        <v>100</v>
      </c>
      <c r="S2665" t="str">
        <f>"ENTRADA DE REEMBOLSO ADIANTAMENTO (129)"</f>
        <v>ENTRADA DE REEMBOLSO ADIANTAMENTO (129)</v>
      </c>
      <c r="T2665">
        <v>30635</v>
      </c>
      <c r="U2665">
        <v>31713</v>
      </c>
      <c r="V2665" t="s">
        <v>22</v>
      </c>
    </row>
    <row r="2666" spans="1:22">
      <c r="A2666" t="str">
        <f t="shared" si="511"/>
        <v>18/03/2026</v>
      </c>
      <c r="B2666" t="str">
        <f>"ENTRADA"</f>
        <v>ENTRADA</v>
      </c>
      <c r="C2666" t="str">
        <f>"DINHEIRO"</f>
        <v>DINHEIRO</v>
      </c>
      <c r="D2666" t="str">
        <f>"2603"</f>
        <v>2603</v>
      </c>
      <c r="E2666" t="str">
        <f>"26"</f>
        <v>26</v>
      </c>
      <c r="F2666" t="str">
        <f t="shared" si="504"/>
        <v>COM</v>
      </c>
      <c r="G2666" t="str">
        <f t="shared" si="512"/>
        <v>CASSIO DIAS RIBEIRO (32)</v>
      </c>
      <c r="H2666" t="s">
        <v>32</v>
      </c>
      <c r="I2666" t="str">
        <f>("26/03/2026")</f>
        <v>26/03/2026</v>
      </c>
      <c r="J2666" t="str">
        <f>("29/01/2026")</f>
        <v>29/01/2026</v>
      </c>
      <c r="K2666">
        <v>46099</v>
      </c>
      <c r="N2666">
        <v>129</v>
      </c>
      <c r="O2666" t="s">
        <v>24</v>
      </c>
      <c r="Q2666">
        <v>100</v>
      </c>
      <c r="R2666" t="str">
        <f>"FARMÁCIA INDIANA LJ 11 (10008)"</f>
        <v>FARMÁCIA INDIANA LJ 11 (10008)</v>
      </c>
      <c r="S2666" t="s">
        <v>25</v>
      </c>
      <c r="T2666">
        <v>30635</v>
      </c>
      <c r="U2666">
        <v>31713</v>
      </c>
      <c r="V2666" t="s">
        <v>22</v>
      </c>
    </row>
    <row r="2667" spans="1:22">
      <c r="A2667" t="str">
        <f t="shared" si="511"/>
        <v>18/03/2026</v>
      </c>
      <c r="B2667" t="str">
        <f>"SAÍDA"</f>
        <v>SAÍDA</v>
      </c>
      <c r="C2667" t="str">
        <f>"PIX"</f>
        <v>PIX</v>
      </c>
      <c r="D2667" t="str">
        <f>"34648"</f>
        <v>34648</v>
      </c>
      <c r="E2667" t="str">
        <f>"1"</f>
        <v>1</v>
      </c>
      <c r="F2667" t="str">
        <f t="shared" si="504"/>
        <v>COM</v>
      </c>
      <c r="G2667" t="str">
        <f>"WEIGNE SENA CARDOSO (53)"</f>
        <v>WEIGNE SENA CARDOSO (53)</v>
      </c>
      <c r="H2667" t="str">
        <f>"Serv.Prest. 02/03/2026 a 08/03/2026 - PIX: CPF - CHAVE: 097.245.586-81"</f>
        <v>Serv.Prest. 02/03/2026 a 08/03/2026 - PIX: CPF - CHAVE: 097.245.586-81</v>
      </c>
      <c r="I2667" t="str">
        <f>("19/03/2026")</f>
        <v>19/03/2026</v>
      </c>
      <c r="J2667" t="str">
        <f>("10/03/2026")</f>
        <v>10/03/2026</v>
      </c>
      <c r="K2667" t="str">
        <f>("18/03/2026")</f>
        <v>18/03/2026</v>
      </c>
      <c r="L2667">
        <v>425</v>
      </c>
      <c r="M2667">
        <v>425</v>
      </c>
      <c r="N2667">
        <v>109</v>
      </c>
      <c r="O2667" t="str">
        <f>"PAGAMENTO DE ENTREGADORES"</f>
        <v>PAGAMENTO DE ENTREGADORES</v>
      </c>
      <c r="P2667">
        <v>425</v>
      </c>
      <c r="S2667" t="str">
        <f>"CAIXA MOVIMENTAÇÃO OPERACIONAL (132)"</f>
        <v>CAIXA MOVIMENTAÇÃO OPERACIONAL (132)</v>
      </c>
      <c r="T2667">
        <v>30636</v>
      </c>
      <c r="U2667">
        <v>35330</v>
      </c>
      <c r="V2667" t="s">
        <v>22</v>
      </c>
    </row>
    <row r="2668" spans="1:22">
      <c r="A2668" t="str">
        <f t="shared" si="511"/>
        <v>18/03/2026</v>
      </c>
      <c r="B2668" t="str">
        <f>"SAÍDA"</f>
        <v>SAÍDA</v>
      </c>
      <c r="C2668" t="str">
        <f>"PIX"</f>
        <v>PIX</v>
      </c>
      <c r="D2668" t="str">
        <f>"34648"</f>
        <v>34648</v>
      </c>
      <c r="E2668" t="str">
        <f>"1"</f>
        <v>1</v>
      </c>
      <c r="F2668" t="str">
        <f t="shared" si="504"/>
        <v>COM</v>
      </c>
      <c r="G2668" t="str">
        <f>"WEIGNE SENA CARDOSO (53)"</f>
        <v>WEIGNE SENA CARDOSO (53)</v>
      </c>
      <c r="H2668" t="s">
        <v>837</v>
      </c>
      <c r="I2668" t="str">
        <f>("19/03/2026")</f>
        <v>19/03/2026</v>
      </c>
      <c r="J2668" t="str">
        <f>("10/03/2026")</f>
        <v>10/03/2026</v>
      </c>
      <c r="K2668">
        <v>46099</v>
      </c>
      <c r="N2668">
        <v>109</v>
      </c>
      <c r="O2668" t="s">
        <v>27</v>
      </c>
      <c r="Q2668">
        <v>425</v>
      </c>
      <c r="R2668" t="str">
        <f>"FARMÁCIA INDIANA LJ 07 (10007)"</f>
        <v>FARMÁCIA INDIANA LJ 07 (10007)</v>
      </c>
      <c r="S2668" t="s">
        <v>22</v>
      </c>
      <c r="T2668">
        <v>30636</v>
      </c>
      <c r="U2668">
        <v>35330</v>
      </c>
      <c r="V2668" t="s">
        <v>22</v>
      </c>
    </row>
    <row r="2669" spans="1:22">
      <c r="A2669" t="str">
        <f t="shared" si="511"/>
        <v>18/03/2026</v>
      </c>
      <c r="B2669" t="str">
        <f>"ENTRADA"</f>
        <v>ENTRADA</v>
      </c>
      <c r="C2669" t="str">
        <f>"DINHEIRO"</f>
        <v>DINHEIRO</v>
      </c>
      <c r="D2669" t="str">
        <f>"1903"</f>
        <v>1903</v>
      </c>
      <c r="E2669" t="str">
        <f>"26"</f>
        <v>26</v>
      </c>
      <c r="F2669" t="str">
        <f t="shared" si="504"/>
        <v>COM</v>
      </c>
      <c r="G2669" t="str">
        <f>"WEIGNE SENA CARDOSO (53)"</f>
        <v>WEIGNE SENA CARDOSO (53)</v>
      </c>
      <c r="H2669" t="str">
        <f>"REEMBOLSO ADIANTAMENTO"</f>
        <v>REEMBOLSO ADIANTAMENTO</v>
      </c>
      <c r="I2669" t="str">
        <f>("19/03/2026")</f>
        <v>19/03/2026</v>
      </c>
      <c r="J2669" t="str">
        <f>("16/01/2026")</f>
        <v>16/01/2026</v>
      </c>
      <c r="K2669" t="str">
        <f>("18/03/2026")</f>
        <v>18/03/2026</v>
      </c>
      <c r="L2669">
        <v>425</v>
      </c>
      <c r="M2669">
        <v>425</v>
      </c>
      <c r="N2669">
        <v>129</v>
      </c>
      <c r="O2669" t="str">
        <f>"ENTRADA DE REEMBOLSO ADIANTAMENTO"</f>
        <v>ENTRADA DE REEMBOLSO ADIANTAMENTO</v>
      </c>
      <c r="P2669">
        <v>425</v>
      </c>
      <c r="S2669" t="str">
        <f>"ENTRADA DE REEMBOLSO ADIANTAMENTO (129)"</f>
        <v>ENTRADA DE REEMBOLSO ADIANTAMENTO (129)</v>
      </c>
      <c r="T2669">
        <v>30637</v>
      </c>
      <c r="U2669">
        <v>30749</v>
      </c>
      <c r="V2669" t="s">
        <v>22</v>
      </c>
    </row>
    <row r="2670" spans="1:22">
      <c r="A2670" t="str">
        <f t="shared" si="511"/>
        <v>18/03/2026</v>
      </c>
      <c r="B2670" t="str">
        <f>"ENTRADA"</f>
        <v>ENTRADA</v>
      </c>
      <c r="C2670" t="str">
        <f>"DINHEIRO"</f>
        <v>DINHEIRO</v>
      </c>
      <c r="D2670" t="str">
        <f>"1903"</f>
        <v>1903</v>
      </c>
      <c r="E2670" t="str">
        <f>"26"</f>
        <v>26</v>
      </c>
      <c r="F2670" t="str">
        <f t="shared" si="504"/>
        <v>COM</v>
      </c>
      <c r="G2670" t="str">
        <f>"WEIGNE SENA CARDOSO (53)"</f>
        <v>WEIGNE SENA CARDOSO (53)</v>
      </c>
      <c r="H2670" t="s">
        <v>32</v>
      </c>
      <c r="I2670" t="str">
        <f>("19/03/2026")</f>
        <v>19/03/2026</v>
      </c>
      <c r="J2670" t="str">
        <f>("16/01/2026")</f>
        <v>16/01/2026</v>
      </c>
      <c r="K2670">
        <v>46099</v>
      </c>
      <c r="N2670">
        <v>129</v>
      </c>
      <c r="O2670" t="s">
        <v>24</v>
      </c>
      <c r="Q2670">
        <v>425</v>
      </c>
      <c r="R2670" t="str">
        <f>"WEIGNE SENA CARDOSO (53)"</f>
        <v>WEIGNE SENA CARDOSO (53)</v>
      </c>
      <c r="S2670" t="s">
        <v>25</v>
      </c>
      <c r="T2670">
        <v>30637</v>
      </c>
      <c r="U2670">
        <v>30749</v>
      </c>
      <c r="V2670" t="s">
        <v>22</v>
      </c>
    </row>
    <row r="2671" spans="1:22">
      <c r="A2671" t="str">
        <f t="shared" si="511"/>
        <v>18/03/2026</v>
      </c>
      <c r="B2671" t="str">
        <f>"ENTRADA"</f>
        <v>ENTRADA</v>
      </c>
      <c r="C2671" t="str">
        <f>"DINHEIRO"</f>
        <v>DINHEIRO</v>
      </c>
      <c r="D2671" t="str">
        <f>"1503"</f>
        <v>1503</v>
      </c>
      <c r="E2671" t="str">
        <f>"26"</f>
        <v>26</v>
      </c>
      <c r="F2671" t="str">
        <f t="shared" si="504"/>
        <v>COM</v>
      </c>
      <c r="G2671" t="str">
        <f>"GILSON OLIVEIRA CAMPINHO JUNIOR (132)"</f>
        <v>GILSON OLIVEIRA CAMPINHO JUNIOR (132)</v>
      </c>
      <c r="H2671" t="str">
        <f>"REEMBOLSO ADIANTAMENTO LIDERANÇA"</f>
        <v>REEMBOLSO ADIANTAMENTO LIDERANÇA</v>
      </c>
      <c r="I2671" t="str">
        <f>("26/03/2026")</f>
        <v>26/03/2026</v>
      </c>
      <c r="J2671" t="str">
        <f>("14/11/2025")</f>
        <v>14/11/2025</v>
      </c>
      <c r="K2671" t="str">
        <f>("18/03/2026")</f>
        <v>18/03/2026</v>
      </c>
      <c r="L2671">
        <v>754.88</v>
      </c>
      <c r="M2671">
        <v>754.88</v>
      </c>
      <c r="N2671">
        <v>129</v>
      </c>
      <c r="O2671" t="str">
        <f>"ENTRADA DE REEMBOLSO ADIANTAMENTO"</f>
        <v>ENTRADA DE REEMBOLSO ADIANTAMENTO</v>
      </c>
      <c r="P2671">
        <v>754.88</v>
      </c>
      <c r="S2671" t="str">
        <f>"ENTRADA DE REEMBOLSO ADIANTAMENTO (129)"</f>
        <v>ENTRADA DE REEMBOLSO ADIANTAMENTO (129)</v>
      </c>
      <c r="T2671">
        <v>30638</v>
      </c>
      <c r="U2671">
        <v>25512</v>
      </c>
      <c r="V2671" t="s">
        <v>22</v>
      </c>
    </row>
    <row r="2672" spans="1:22">
      <c r="A2672" t="str">
        <f t="shared" si="511"/>
        <v>18/03/2026</v>
      </c>
      <c r="B2672" t="str">
        <f>"ENTRADA"</f>
        <v>ENTRADA</v>
      </c>
      <c r="C2672" t="str">
        <f>"DINHEIRO"</f>
        <v>DINHEIRO</v>
      </c>
      <c r="D2672" t="str">
        <f>"1503"</f>
        <v>1503</v>
      </c>
      <c r="E2672" t="str">
        <f>"26"</f>
        <v>26</v>
      </c>
      <c r="F2672" t="str">
        <f t="shared" si="504"/>
        <v>COM</v>
      </c>
      <c r="G2672" t="str">
        <f>"GILSON OLIVEIRA CAMPINHO JUNIOR (132)"</f>
        <v>GILSON OLIVEIRA CAMPINHO JUNIOR (132)</v>
      </c>
      <c r="H2672" t="s">
        <v>796</v>
      </c>
      <c r="I2672" t="str">
        <f>("26/03/2026")</f>
        <v>26/03/2026</v>
      </c>
      <c r="J2672" t="str">
        <f>("14/11/2025")</f>
        <v>14/11/2025</v>
      </c>
      <c r="K2672">
        <v>46099</v>
      </c>
      <c r="N2672">
        <v>129</v>
      </c>
      <c r="O2672" t="s">
        <v>24</v>
      </c>
      <c r="Q2672">
        <v>754.88</v>
      </c>
      <c r="R2672" t="str">
        <f>"GILSON OLIVEIRA CAMPINHO JUNIOR (132)"</f>
        <v>GILSON OLIVEIRA CAMPINHO JUNIOR (132)</v>
      </c>
      <c r="S2672" t="s">
        <v>25</v>
      </c>
      <c r="T2672">
        <v>30638</v>
      </c>
      <c r="U2672">
        <v>25512</v>
      </c>
      <c r="V2672" t="s">
        <v>22</v>
      </c>
    </row>
    <row r="2673" spans="1:22">
      <c r="A2673" t="str">
        <f t="shared" si="511"/>
        <v>18/03/2026</v>
      </c>
      <c r="B2673" t="str">
        <f>"SAÍDA"</f>
        <v>SAÍDA</v>
      </c>
      <c r="C2673" t="str">
        <f>"PIX"</f>
        <v>PIX</v>
      </c>
      <c r="D2673" t="str">
        <f>"35154"</f>
        <v>35154</v>
      </c>
      <c r="E2673" t="str">
        <f>"1"</f>
        <v>1</v>
      </c>
      <c r="F2673" t="str">
        <f t="shared" si="504"/>
        <v>COM</v>
      </c>
      <c r="G2673" t="str">
        <f>"GILSON OLIVEIRA CAMPINHO JUNIOR (132)"</f>
        <v>GILSON OLIVEIRA CAMPINHO JUNIOR (132)</v>
      </c>
      <c r="H2673" t="str">
        <f>"Serv.Prest. 09/03/2026 a 15/03/2026 - PIX: CELULAR - CHAVE: (73) 988381077"</f>
        <v>Serv.Prest. 09/03/2026 a 15/03/2026 - PIX: CELULAR - CHAVE: (73) 988381077</v>
      </c>
      <c r="I2673" t="str">
        <f>("26/03/2026")</f>
        <v>26/03/2026</v>
      </c>
      <c r="J2673" t="str">
        <f>("17/03/2026")</f>
        <v>17/03/2026</v>
      </c>
      <c r="K2673" t="str">
        <f>("18/03/2026")</f>
        <v>18/03/2026</v>
      </c>
      <c r="L2673">
        <v>754.88</v>
      </c>
      <c r="M2673">
        <v>754.88</v>
      </c>
      <c r="N2673">
        <v>109</v>
      </c>
      <c r="O2673" t="str">
        <f>"PAGAMENTO DE ENTREGADORES"</f>
        <v>PAGAMENTO DE ENTREGADORES</v>
      </c>
      <c r="P2673">
        <v>754.88</v>
      </c>
      <c r="S2673" t="str">
        <f>"CAIXA MOVIMENTAÇÃO OPERACIONAL (132)"</f>
        <v>CAIXA MOVIMENTAÇÃO OPERACIONAL (132)</v>
      </c>
      <c r="T2673">
        <v>30639</v>
      </c>
      <c r="U2673">
        <v>35331</v>
      </c>
      <c r="V2673" t="s">
        <v>22</v>
      </c>
    </row>
    <row r="2674" spans="1:22">
      <c r="A2674" t="str">
        <f t="shared" si="511"/>
        <v>18/03/2026</v>
      </c>
      <c r="B2674" t="str">
        <f>"SAÍDA"</f>
        <v>SAÍDA</v>
      </c>
      <c r="C2674" t="str">
        <f>"PIX"</f>
        <v>PIX</v>
      </c>
      <c r="D2674" t="str">
        <f>"35154"</f>
        <v>35154</v>
      </c>
      <c r="E2674" t="str">
        <f>"1"</f>
        <v>1</v>
      </c>
      <c r="F2674" t="str">
        <f t="shared" si="504"/>
        <v>COM</v>
      </c>
      <c r="G2674" t="str">
        <f>"GILSON OLIVEIRA CAMPINHO JUNIOR (132)"</f>
        <v>GILSON OLIVEIRA CAMPINHO JUNIOR (132)</v>
      </c>
      <c r="H2674" t="s">
        <v>838</v>
      </c>
      <c r="I2674" t="str">
        <f>("26/03/2026")</f>
        <v>26/03/2026</v>
      </c>
      <c r="J2674" t="str">
        <f>("17/03/2026")</f>
        <v>17/03/2026</v>
      </c>
      <c r="K2674">
        <v>46099</v>
      </c>
      <c r="N2674">
        <v>109</v>
      </c>
      <c r="O2674" t="s">
        <v>27</v>
      </c>
      <c r="Q2674">
        <v>754.88</v>
      </c>
      <c r="R2674" t="str">
        <f>"FARMÁCIA INDIANA LJ 91 (10037)"</f>
        <v>FARMÁCIA INDIANA LJ 91 (10037)</v>
      </c>
      <c r="S2674" t="s">
        <v>22</v>
      </c>
      <c r="T2674">
        <v>30639</v>
      </c>
      <c r="U2674">
        <v>35331</v>
      </c>
      <c r="V2674" t="s">
        <v>22</v>
      </c>
    </row>
    <row r="2675" spans="1:22">
      <c r="A2675" t="str">
        <f t="shared" si="511"/>
        <v>18/03/2026</v>
      </c>
      <c r="B2675" t="str">
        <f>"ENTRADA"</f>
        <v>ENTRADA</v>
      </c>
      <c r="C2675" t="str">
        <f>"DINHEIRO"</f>
        <v>DINHEIRO</v>
      </c>
      <c r="D2675" t="str">
        <f>"25"</f>
        <v>25</v>
      </c>
      <c r="E2675" t="str">
        <f>"13"</f>
        <v>13</v>
      </c>
      <c r="F2675" t="str">
        <f t="shared" si="504"/>
        <v>COM</v>
      </c>
      <c r="G2675" t="str">
        <f>"FABRICIO RAMON SOARES SANTOS (645)"</f>
        <v>FABRICIO RAMON SOARES SANTOS (645)</v>
      </c>
      <c r="H2675" t="str">
        <f>"DESCONTO COTA COOPERATIVA"</f>
        <v>DESCONTO COTA COOPERATIVA</v>
      </c>
      <c r="I2675" t="str">
        <f>("13/03/2026")</f>
        <v>13/03/2026</v>
      </c>
      <c r="J2675" t="str">
        <f>("13/03/2025")</f>
        <v>13/03/2025</v>
      </c>
      <c r="K2675" t="str">
        <f>("18/03/2026")</f>
        <v>18/03/2026</v>
      </c>
      <c r="L2675">
        <v>20</v>
      </c>
      <c r="M2675">
        <v>20</v>
      </c>
      <c r="N2675">
        <v>106</v>
      </c>
      <c r="O2675" t="str">
        <f>"ENTRADA DE CAPITAL"</f>
        <v>ENTRADA DE CAPITAL</v>
      </c>
      <c r="P2675">
        <v>20</v>
      </c>
      <c r="S2675" t="str">
        <f>"ENTRADA DE CAPITAL (106)"</f>
        <v>ENTRADA DE CAPITAL (106)</v>
      </c>
      <c r="T2675">
        <v>30641</v>
      </c>
      <c r="U2675">
        <v>10903</v>
      </c>
      <c r="V2675" t="s">
        <v>22</v>
      </c>
    </row>
    <row r="2676" spans="1:22">
      <c r="A2676" t="str">
        <f t="shared" si="511"/>
        <v>18/03/2026</v>
      </c>
      <c r="B2676" t="str">
        <f>"ENTRADA"</f>
        <v>ENTRADA</v>
      </c>
      <c r="C2676" t="str">
        <f>"DINHEIRO"</f>
        <v>DINHEIRO</v>
      </c>
      <c r="D2676" t="str">
        <f>"25"</f>
        <v>25</v>
      </c>
      <c r="E2676" t="str">
        <f>"13"</f>
        <v>13</v>
      </c>
      <c r="F2676" t="str">
        <f t="shared" si="504"/>
        <v>COM</v>
      </c>
      <c r="G2676" t="str">
        <f>"FABRICIO RAMON SOARES SANTOS (645)"</f>
        <v>FABRICIO RAMON SOARES SANTOS (645)</v>
      </c>
      <c r="H2676" t="s">
        <v>839</v>
      </c>
      <c r="I2676" t="str">
        <f>("13/03/2026")</f>
        <v>13/03/2026</v>
      </c>
      <c r="J2676" t="str">
        <f>("13/03/2025")</f>
        <v>13/03/2025</v>
      </c>
      <c r="K2676">
        <v>46099</v>
      </c>
      <c r="N2676">
        <v>106</v>
      </c>
      <c r="O2676" t="s">
        <v>98</v>
      </c>
      <c r="Q2676">
        <v>20</v>
      </c>
      <c r="R2676" t="str">
        <f>"FABRICIO RAMON SOARES SANTOS (645)"</f>
        <v>FABRICIO RAMON SOARES SANTOS (645)</v>
      </c>
      <c r="S2676" t="s">
        <v>99</v>
      </c>
      <c r="T2676">
        <v>30641</v>
      </c>
      <c r="U2676">
        <v>10903</v>
      </c>
      <c r="V2676" t="s">
        <v>22</v>
      </c>
    </row>
    <row r="2677" spans="1:22">
      <c r="A2677" t="str">
        <f t="shared" si="511"/>
        <v>18/03/2026</v>
      </c>
      <c r="B2677" t="str">
        <f>"SAÍDA"</f>
        <v>SAÍDA</v>
      </c>
      <c r="C2677" t="str">
        <f>"PIX"</f>
        <v>PIX</v>
      </c>
      <c r="D2677" t="str">
        <f>"34571"</f>
        <v>34571</v>
      </c>
      <c r="E2677" t="str">
        <f>"1"</f>
        <v>1</v>
      </c>
      <c r="F2677" t="str">
        <f t="shared" si="504"/>
        <v>COM</v>
      </c>
      <c r="G2677" t="str">
        <f>"FABRICIO RAMON SOARES SANTOS (645)"</f>
        <v>FABRICIO RAMON SOARES SANTOS (645)</v>
      </c>
      <c r="H2677" t="str">
        <f>"Serv.Prest. 02/03/2026 a 08/03/2026 - PIX: CELULAR - CHAVE: (31) 98483-3242"</f>
        <v>Serv.Prest. 02/03/2026 a 08/03/2026 - PIX: CELULAR - CHAVE: (31) 98483-3242</v>
      </c>
      <c r="I2677" t="str">
        <f>("19/03/2026")</f>
        <v>19/03/2026</v>
      </c>
      <c r="J2677" t="str">
        <f>("10/03/2026")</f>
        <v>10/03/2026</v>
      </c>
      <c r="K2677" t="str">
        <f>("18/03/2026")</f>
        <v>18/03/2026</v>
      </c>
      <c r="L2677">
        <v>20</v>
      </c>
      <c r="M2677">
        <v>20</v>
      </c>
      <c r="N2677">
        <v>109</v>
      </c>
      <c r="O2677" t="str">
        <f>"PAGAMENTO DE ENTREGADORES"</f>
        <v>PAGAMENTO DE ENTREGADORES</v>
      </c>
      <c r="P2677">
        <v>20</v>
      </c>
      <c r="S2677" t="str">
        <f>"CAIXA MOVIMENTAÇÃO OPERACIONAL (132)"</f>
        <v>CAIXA MOVIMENTAÇÃO OPERACIONAL (132)</v>
      </c>
      <c r="T2677">
        <v>30642</v>
      </c>
      <c r="U2677">
        <v>35333</v>
      </c>
      <c r="V2677" t="s">
        <v>22</v>
      </c>
    </row>
    <row r="2678" spans="1:22">
      <c r="A2678" t="str">
        <f t="shared" si="511"/>
        <v>18/03/2026</v>
      </c>
      <c r="B2678" t="str">
        <f>"SAÍDA"</f>
        <v>SAÍDA</v>
      </c>
      <c r="C2678" t="str">
        <f>"PIX"</f>
        <v>PIX</v>
      </c>
      <c r="D2678" t="str">
        <f>"34571"</f>
        <v>34571</v>
      </c>
      <c r="E2678" t="str">
        <f>"1"</f>
        <v>1</v>
      </c>
      <c r="F2678" t="str">
        <f t="shared" si="504"/>
        <v>COM</v>
      </c>
      <c r="G2678" t="str">
        <f>"FABRICIO RAMON SOARES SANTOS (645)"</f>
        <v>FABRICIO RAMON SOARES SANTOS (645)</v>
      </c>
      <c r="H2678" t="s">
        <v>840</v>
      </c>
      <c r="I2678" t="str">
        <f>("19/03/2026")</f>
        <v>19/03/2026</v>
      </c>
      <c r="J2678" t="str">
        <f>("10/03/2026")</f>
        <v>10/03/2026</v>
      </c>
      <c r="K2678">
        <v>46099</v>
      </c>
      <c r="N2678">
        <v>109</v>
      </c>
      <c r="O2678" t="s">
        <v>27</v>
      </c>
      <c r="Q2678">
        <v>20</v>
      </c>
      <c r="R2678" t="str">
        <f>"FARMÁCIA INDIANA LJ 101 (10043)"</f>
        <v>FARMÁCIA INDIANA LJ 101 (10043)</v>
      </c>
      <c r="S2678" t="s">
        <v>22</v>
      </c>
      <c r="T2678">
        <v>30642</v>
      </c>
      <c r="U2678">
        <v>35333</v>
      </c>
      <c r="V2678" t="s">
        <v>22</v>
      </c>
    </row>
    <row r="2679" spans="1:22">
      <c r="A2679" t="str">
        <f t="shared" si="511"/>
        <v>18/03/2026</v>
      </c>
      <c r="B2679" t="str">
        <f>"ENTRADA"</f>
        <v>ENTRADA</v>
      </c>
      <c r="C2679" t="str">
        <f>"DINHEIRO"</f>
        <v>DINHEIRO</v>
      </c>
      <c r="D2679" t="str">
        <f>"25"</f>
        <v>25</v>
      </c>
      <c r="E2679" t="str">
        <f>"13"</f>
        <v>13</v>
      </c>
      <c r="F2679" t="str">
        <f t="shared" si="504"/>
        <v>COM</v>
      </c>
      <c r="G2679" t="str">
        <f>"GUSTAVO HENRIQUE OLIVEIRA (661)"</f>
        <v>GUSTAVO HENRIQUE OLIVEIRA (661)</v>
      </c>
      <c r="H2679" t="str">
        <f>"DESCONTO COTA COOPERADO"</f>
        <v>DESCONTO COTA COOPERADO</v>
      </c>
      <c r="I2679" t="str">
        <f>("13/03/2026")</f>
        <v>13/03/2026</v>
      </c>
      <c r="J2679" t="str">
        <f>("13/03/2025")</f>
        <v>13/03/2025</v>
      </c>
      <c r="K2679" t="str">
        <f>("18/03/2026")</f>
        <v>18/03/2026</v>
      </c>
      <c r="L2679">
        <v>20</v>
      </c>
      <c r="M2679">
        <v>20</v>
      </c>
      <c r="N2679">
        <v>106</v>
      </c>
      <c r="O2679" t="str">
        <f>"ENTRADA DE CAPITAL"</f>
        <v>ENTRADA DE CAPITAL</v>
      </c>
      <c r="P2679">
        <v>20</v>
      </c>
      <c r="S2679" t="str">
        <f>"ENTRADA DE CAPITAL (106)"</f>
        <v>ENTRADA DE CAPITAL (106)</v>
      </c>
      <c r="T2679">
        <v>30643</v>
      </c>
      <c r="U2679">
        <v>10942</v>
      </c>
      <c r="V2679" t="s">
        <v>22</v>
      </c>
    </row>
    <row r="2680" spans="1:22">
      <c r="A2680" t="str">
        <f t="shared" si="511"/>
        <v>18/03/2026</v>
      </c>
      <c r="B2680" t="str">
        <f>"ENTRADA"</f>
        <v>ENTRADA</v>
      </c>
      <c r="C2680" t="str">
        <f>"DINHEIRO"</f>
        <v>DINHEIRO</v>
      </c>
      <c r="D2680" t="str">
        <f>"25"</f>
        <v>25</v>
      </c>
      <c r="E2680" t="str">
        <f>"13"</f>
        <v>13</v>
      </c>
      <c r="F2680" t="str">
        <f t="shared" si="504"/>
        <v>COM</v>
      </c>
      <c r="G2680" t="str">
        <f>"GUSTAVO HENRIQUE OLIVEIRA (661)"</f>
        <v>GUSTAVO HENRIQUE OLIVEIRA (661)</v>
      </c>
      <c r="H2680" t="s">
        <v>549</v>
      </c>
      <c r="I2680" t="str">
        <f>("13/03/2026")</f>
        <v>13/03/2026</v>
      </c>
      <c r="J2680" t="str">
        <f>("13/03/2025")</f>
        <v>13/03/2025</v>
      </c>
      <c r="K2680">
        <v>46099</v>
      </c>
      <c r="N2680">
        <v>106</v>
      </c>
      <c r="O2680" t="s">
        <v>98</v>
      </c>
      <c r="Q2680">
        <v>20</v>
      </c>
      <c r="R2680" t="str">
        <f>"GUSTAVO HENRIQUE OLIVEIRA (661)"</f>
        <v>GUSTAVO HENRIQUE OLIVEIRA (661)</v>
      </c>
      <c r="S2680" t="s">
        <v>99</v>
      </c>
      <c r="T2680">
        <v>30643</v>
      </c>
      <c r="U2680">
        <v>10942</v>
      </c>
      <c r="V2680" t="s">
        <v>22</v>
      </c>
    </row>
    <row r="2681" spans="1:22">
      <c r="A2681" t="str">
        <f t="shared" si="511"/>
        <v>18/03/2026</v>
      </c>
      <c r="B2681" t="str">
        <f t="shared" ref="B2681:B2690" si="513">"SAÍDA"</f>
        <v>SAÍDA</v>
      </c>
      <c r="C2681" t="str">
        <f t="shared" ref="C2681:C2690" si="514">"PIX"</f>
        <v>PIX</v>
      </c>
      <c r="D2681" t="str">
        <f>"34580"</f>
        <v>34580</v>
      </c>
      <c r="E2681" t="str">
        <f t="shared" ref="E2681:E2690" si="515">"1"</f>
        <v>1</v>
      </c>
      <c r="F2681" t="str">
        <f t="shared" si="504"/>
        <v>COM</v>
      </c>
      <c r="G2681" t="str">
        <f>"GUSTAVO HENRIQUE OLIVEIRA (661)"</f>
        <v>GUSTAVO HENRIQUE OLIVEIRA (661)</v>
      </c>
      <c r="H2681" t="str">
        <f>"Serv.Prest. 02/03/2026 a 08/03/2026 - PIX: CPF - CHAVE: 113.084.266-58"</f>
        <v>Serv.Prest. 02/03/2026 a 08/03/2026 - PIX: CPF - CHAVE: 113.084.266-58</v>
      </c>
      <c r="I2681" t="str">
        <f t="shared" ref="I2681:I2686" si="516">("19/03/2026")</f>
        <v>19/03/2026</v>
      </c>
      <c r="J2681" t="str">
        <f t="shared" ref="J2681:J2686" si="517">("10/03/2026")</f>
        <v>10/03/2026</v>
      </c>
      <c r="K2681" t="str">
        <f>("18/03/2026")</f>
        <v>18/03/2026</v>
      </c>
      <c r="L2681">
        <v>20</v>
      </c>
      <c r="M2681">
        <v>20</v>
      </c>
      <c r="N2681">
        <v>109</v>
      </c>
      <c r="O2681" t="str">
        <f>"PAGAMENTO DE ENTREGADORES"</f>
        <v>PAGAMENTO DE ENTREGADORES</v>
      </c>
      <c r="P2681">
        <v>20</v>
      </c>
      <c r="S2681" t="str">
        <f>"CAIXA MOVIMENTAÇÃO OPERACIONAL (132)"</f>
        <v>CAIXA MOVIMENTAÇÃO OPERACIONAL (132)</v>
      </c>
      <c r="T2681">
        <v>30644</v>
      </c>
      <c r="U2681">
        <v>35334</v>
      </c>
      <c r="V2681" t="s">
        <v>22</v>
      </c>
    </row>
    <row r="2682" spans="1:22">
      <c r="A2682" t="str">
        <f t="shared" si="511"/>
        <v>18/03/2026</v>
      </c>
      <c r="B2682" t="str">
        <f t="shared" si="513"/>
        <v>SAÍDA</v>
      </c>
      <c r="C2682" t="str">
        <f t="shared" si="514"/>
        <v>PIX</v>
      </c>
      <c r="D2682" t="str">
        <f>"34580"</f>
        <v>34580</v>
      </c>
      <c r="E2682" t="str">
        <f t="shared" si="515"/>
        <v>1</v>
      </c>
      <c r="F2682" t="str">
        <f t="shared" si="504"/>
        <v>COM</v>
      </c>
      <c r="G2682" t="str">
        <f>"GUSTAVO HENRIQUE OLIVEIRA (661)"</f>
        <v>GUSTAVO HENRIQUE OLIVEIRA (661)</v>
      </c>
      <c r="H2682" t="s">
        <v>841</v>
      </c>
      <c r="I2682" t="str">
        <f t="shared" si="516"/>
        <v>19/03/2026</v>
      </c>
      <c r="J2682" t="str">
        <f t="shared" si="517"/>
        <v>10/03/2026</v>
      </c>
      <c r="K2682">
        <v>46099</v>
      </c>
      <c r="N2682">
        <v>109</v>
      </c>
      <c r="O2682" t="s">
        <v>27</v>
      </c>
      <c r="Q2682">
        <v>20</v>
      </c>
      <c r="R2682" t="str">
        <f>"FARMÁCIA INDIANA LJ 110 (10048)"</f>
        <v>FARMÁCIA INDIANA LJ 110 (10048)</v>
      </c>
      <c r="S2682" t="s">
        <v>22</v>
      </c>
      <c r="T2682">
        <v>30644</v>
      </c>
      <c r="U2682">
        <v>35334</v>
      </c>
      <c r="V2682" t="s">
        <v>22</v>
      </c>
    </row>
    <row r="2683" spans="1:22">
      <c r="A2683" t="str">
        <f t="shared" si="511"/>
        <v>18/03/2026</v>
      </c>
      <c r="B2683" t="str">
        <f t="shared" si="513"/>
        <v>SAÍDA</v>
      </c>
      <c r="C2683" t="str">
        <f t="shared" si="514"/>
        <v>PIX</v>
      </c>
      <c r="D2683" t="str">
        <f>"34546"</f>
        <v>34546</v>
      </c>
      <c r="E2683" t="str">
        <f t="shared" si="515"/>
        <v>1</v>
      </c>
      <c r="F2683" t="str">
        <f t="shared" si="504"/>
        <v>COM</v>
      </c>
      <c r="G2683" t="str">
        <f t="shared" ref="G2683:G2692" si="518">"BRUNO WAGNER DE CARVALHO OLIVEIRA (84)"</f>
        <v>BRUNO WAGNER DE CARVALHO OLIVEIRA (84)</v>
      </c>
      <c r="H2683" t="str">
        <f>"Serv.Prest. 02/03/2026 a 08/03/2026 - PIX: CELULAR - CHAVE: (32) 98896-0708"</f>
        <v>Serv.Prest. 02/03/2026 a 08/03/2026 - PIX: CELULAR - CHAVE: (32) 98896-0708</v>
      </c>
      <c r="I2683" t="str">
        <f t="shared" si="516"/>
        <v>19/03/2026</v>
      </c>
      <c r="J2683" t="str">
        <f t="shared" si="517"/>
        <v>10/03/2026</v>
      </c>
      <c r="K2683" t="str">
        <f>("18/03/2026")</f>
        <v>18/03/2026</v>
      </c>
      <c r="L2683">
        <v>5</v>
      </c>
      <c r="M2683">
        <v>5</v>
      </c>
      <c r="N2683">
        <v>109</v>
      </c>
      <c r="O2683" t="str">
        <f>"PAGAMENTO DE ENTREGADORES"</f>
        <v>PAGAMENTO DE ENTREGADORES</v>
      </c>
      <c r="P2683">
        <v>5</v>
      </c>
      <c r="S2683" t="str">
        <f>"CAIXA MOVIMENTAÇÃO OPERACIONAL (132)"</f>
        <v>CAIXA MOVIMENTAÇÃO OPERACIONAL (132)</v>
      </c>
      <c r="T2683">
        <v>30645</v>
      </c>
      <c r="U2683">
        <v>34546</v>
      </c>
      <c r="V2683" t="s">
        <v>22</v>
      </c>
    </row>
    <row r="2684" spans="1:22">
      <c r="A2684" t="str">
        <f t="shared" si="511"/>
        <v>18/03/2026</v>
      </c>
      <c r="B2684" t="str">
        <f t="shared" si="513"/>
        <v>SAÍDA</v>
      </c>
      <c r="C2684" t="str">
        <f t="shared" si="514"/>
        <v>PIX</v>
      </c>
      <c r="D2684" t="str">
        <f>"34546"</f>
        <v>34546</v>
      </c>
      <c r="E2684" t="str">
        <f t="shared" si="515"/>
        <v>1</v>
      </c>
      <c r="F2684" t="str">
        <f t="shared" si="504"/>
        <v>COM</v>
      </c>
      <c r="G2684" t="str">
        <f t="shared" si="518"/>
        <v>BRUNO WAGNER DE CARVALHO OLIVEIRA (84)</v>
      </c>
      <c r="H2684" t="s">
        <v>842</v>
      </c>
      <c r="I2684" t="str">
        <f t="shared" si="516"/>
        <v>19/03/2026</v>
      </c>
      <c r="J2684" t="str">
        <f t="shared" si="517"/>
        <v>10/03/2026</v>
      </c>
      <c r="K2684">
        <v>46099</v>
      </c>
      <c r="N2684">
        <v>109</v>
      </c>
      <c r="O2684" t="s">
        <v>27</v>
      </c>
      <c r="Q2684">
        <v>5</v>
      </c>
      <c r="R2684" t="str">
        <f>"FARMÁCIA INDIANA LJ 182 (10079)"</f>
        <v>FARMÁCIA INDIANA LJ 182 (10079)</v>
      </c>
      <c r="S2684" t="s">
        <v>22</v>
      </c>
      <c r="T2684">
        <v>30645</v>
      </c>
      <c r="U2684">
        <v>34546</v>
      </c>
      <c r="V2684" t="s">
        <v>22</v>
      </c>
    </row>
    <row r="2685" spans="1:22">
      <c r="A2685" t="str">
        <f t="shared" si="511"/>
        <v>18/03/2026</v>
      </c>
      <c r="B2685" t="str">
        <f t="shared" si="513"/>
        <v>SAÍDA</v>
      </c>
      <c r="C2685" t="str">
        <f t="shared" si="514"/>
        <v>PIX</v>
      </c>
      <c r="D2685" t="str">
        <f>"34547"</f>
        <v>34547</v>
      </c>
      <c r="E2685" t="str">
        <f t="shared" si="515"/>
        <v>1</v>
      </c>
      <c r="F2685" t="str">
        <f t="shared" si="504"/>
        <v>COM</v>
      </c>
      <c r="G2685" t="str">
        <f t="shared" si="518"/>
        <v>BRUNO WAGNER DE CARVALHO OLIVEIRA (84)</v>
      </c>
      <c r="H2685" t="str">
        <f>"Serv.Prest. 02/03/2026 a 08/03/2026 - PIX: CELULAR - CHAVE: (32) 98896-0708"</f>
        <v>Serv.Prest. 02/03/2026 a 08/03/2026 - PIX: CELULAR - CHAVE: (32) 98896-0708</v>
      </c>
      <c r="I2685" t="str">
        <f t="shared" si="516"/>
        <v>19/03/2026</v>
      </c>
      <c r="J2685" t="str">
        <f t="shared" si="517"/>
        <v>10/03/2026</v>
      </c>
      <c r="K2685" t="str">
        <f>("18/03/2026")</f>
        <v>18/03/2026</v>
      </c>
      <c r="L2685">
        <v>5</v>
      </c>
      <c r="M2685">
        <v>5</v>
      </c>
      <c r="N2685">
        <v>109</v>
      </c>
      <c r="O2685" t="str">
        <f>"PAGAMENTO DE ENTREGADORES"</f>
        <v>PAGAMENTO DE ENTREGADORES</v>
      </c>
      <c r="P2685">
        <v>5</v>
      </c>
      <c r="S2685" t="str">
        <f>"CAIXA MOVIMENTAÇÃO OPERACIONAL (132)"</f>
        <v>CAIXA MOVIMENTAÇÃO OPERACIONAL (132)</v>
      </c>
      <c r="T2685">
        <v>30646</v>
      </c>
      <c r="U2685">
        <v>34547</v>
      </c>
      <c r="V2685" t="s">
        <v>22</v>
      </c>
    </row>
    <row r="2686" spans="1:22">
      <c r="A2686" t="str">
        <f t="shared" si="511"/>
        <v>18/03/2026</v>
      </c>
      <c r="B2686" t="str">
        <f t="shared" si="513"/>
        <v>SAÍDA</v>
      </c>
      <c r="C2686" t="str">
        <f t="shared" si="514"/>
        <v>PIX</v>
      </c>
      <c r="D2686" t="str">
        <f>"34547"</f>
        <v>34547</v>
      </c>
      <c r="E2686" t="str">
        <f t="shared" si="515"/>
        <v>1</v>
      </c>
      <c r="F2686" t="str">
        <f t="shared" si="504"/>
        <v>COM</v>
      </c>
      <c r="G2686" t="str">
        <f t="shared" si="518"/>
        <v>BRUNO WAGNER DE CARVALHO OLIVEIRA (84)</v>
      </c>
      <c r="H2686" t="s">
        <v>842</v>
      </c>
      <c r="I2686" t="str">
        <f t="shared" si="516"/>
        <v>19/03/2026</v>
      </c>
      <c r="J2686" t="str">
        <f t="shared" si="517"/>
        <v>10/03/2026</v>
      </c>
      <c r="K2686">
        <v>46099</v>
      </c>
      <c r="N2686">
        <v>109</v>
      </c>
      <c r="O2686" t="s">
        <v>27</v>
      </c>
      <c r="Q2686">
        <v>5</v>
      </c>
      <c r="R2686" t="str">
        <f>"FARMÁCIA INDIANA LJ 186 (10081)"</f>
        <v>FARMÁCIA INDIANA LJ 186 (10081)</v>
      </c>
      <c r="S2686" t="s">
        <v>22</v>
      </c>
      <c r="T2686">
        <v>30646</v>
      </c>
      <c r="U2686">
        <v>34547</v>
      </c>
      <c r="V2686" t="s">
        <v>22</v>
      </c>
    </row>
    <row r="2687" spans="1:22">
      <c r="A2687" t="str">
        <f t="shared" si="511"/>
        <v>18/03/2026</v>
      </c>
      <c r="B2687" t="str">
        <f t="shared" si="513"/>
        <v>SAÍDA</v>
      </c>
      <c r="C2687" t="str">
        <f t="shared" si="514"/>
        <v>PIX</v>
      </c>
      <c r="D2687" t="str">
        <f>"35201"</f>
        <v>35201</v>
      </c>
      <c r="E2687" t="str">
        <f t="shared" si="515"/>
        <v>1</v>
      </c>
      <c r="F2687" t="str">
        <f t="shared" si="504"/>
        <v>COM</v>
      </c>
      <c r="G2687" t="str">
        <f t="shared" si="518"/>
        <v>BRUNO WAGNER DE CARVALHO OLIVEIRA (84)</v>
      </c>
      <c r="H2687" t="str">
        <f>"Serv.Prest. 09/03/2026 a 15/03/2026 - PIX: CELULAR - CHAVE: (32) 98896-0708"</f>
        <v>Serv.Prest. 09/03/2026 a 15/03/2026 - PIX: CELULAR - CHAVE: (32) 98896-0708</v>
      </c>
      <c r="I2687" t="str">
        <f>("26/03/2026")</f>
        <v>26/03/2026</v>
      </c>
      <c r="J2687" t="str">
        <f>("17/03/2026")</f>
        <v>17/03/2026</v>
      </c>
      <c r="K2687" t="str">
        <f>("18/03/2026")</f>
        <v>18/03/2026</v>
      </c>
      <c r="L2687">
        <v>5</v>
      </c>
      <c r="M2687">
        <v>5</v>
      </c>
      <c r="N2687">
        <v>109</v>
      </c>
      <c r="O2687" t="str">
        <f>"PAGAMENTO DE ENTREGADORES"</f>
        <v>PAGAMENTO DE ENTREGADORES</v>
      </c>
      <c r="P2687">
        <v>5</v>
      </c>
      <c r="S2687" t="str">
        <f>"CAIXA MOVIMENTAÇÃO OPERACIONAL (132)"</f>
        <v>CAIXA MOVIMENTAÇÃO OPERACIONAL (132)</v>
      </c>
      <c r="T2687">
        <v>30647</v>
      </c>
      <c r="U2687">
        <v>35201</v>
      </c>
      <c r="V2687" t="s">
        <v>22</v>
      </c>
    </row>
    <row r="2688" spans="1:22">
      <c r="A2688" t="str">
        <f t="shared" si="511"/>
        <v>18/03/2026</v>
      </c>
      <c r="B2688" t="str">
        <f t="shared" si="513"/>
        <v>SAÍDA</v>
      </c>
      <c r="C2688" t="str">
        <f t="shared" si="514"/>
        <v>PIX</v>
      </c>
      <c r="D2688" t="str">
        <f>"35201"</f>
        <v>35201</v>
      </c>
      <c r="E2688" t="str">
        <f t="shared" si="515"/>
        <v>1</v>
      </c>
      <c r="F2688" t="str">
        <f t="shared" si="504"/>
        <v>COM</v>
      </c>
      <c r="G2688" t="str">
        <f t="shared" si="518"/>
        <v>BRUNO WAGNER DE CARVALHO OLIVEIRA (84)</v>
      </c>
      <c r="H2688" t="s">
        <v>843</v>
      </c>
      <c r="I2688" t="str">
        <f>("26/03/2026")</f>
        <v>26/03/2026</v>
      </c>
      <c r="J2688" t="str">
        <f>("17/03/2026")</f>
        <v>17/03/2026</v>
      </c>
      <c r="K2688">
        <v>46099</v>
      </c>
      <c r="N2688">
        <v>109</v>
      </c>
      <c r="O2688" t="s">
        <v>27</v>
      </c>
      <c r="Q2688">
        <v>5</v>
      </c>
      <c r="R2688" t="str">
        <f>"FARMÁCIA INDIANA LJ 182 (10079)"</f>
        <v>FARMÁCIA INDIANA LJ 182 (10079)</v>
      </c>
      <c r="S2688" t="s">
        <v>22</v>
      </c>
      <c r="T2688">
        <v>30647</v>
      </c>
      <c r="U2688">
        <v>35201</v>
      </c>
      <c r="V2688" t="s">
        <v>22</v>
      </c>
    </row>
    <row r="2689" spans="1:22">
      <c r="A2689" t="str">
        <f t="shared" si="511"/>
        <v>18/03/2026</v>
      </c>
      <c r="B2689" t="str">
        <f t="shared" si="513"/>
        <v>SAÍDA</v>
      </c>
      <c r="C2689" t="str">
        <f t="shared" si="514"/>
        <v>PIX</v>
      </c>
      <c r="D2689" t="str">
        <f>"35200"</f>
        <v>35200</v>
      </c>
      <c r="E2689" t="str">
        <f t="shared" si="515"/>
        <v>1</v>
      </c>
      <c r="F2689" t="str">
        <f t="shared" si="504"/>
        <v>COM</v>
      </c>
      <c r="G2689" t="str">
        <f t="shared" si="518"/>
        <v>BRUNO WAGNER DE CARVALHO OLIVEIRA (84)</v>
      </c>
      <c r="H2689" t="str">
        <f>"Serv.Prest. 09/03/2026 a 15/03/2026 - PIX: CELULAR - CHAVE: (32) 98896-0708"</f>
        <v>Serv.Prest. 09/03/2026 a 15/03/2026 - PIX: CELULAR - CHAVE: (32) 98896-0708</v>
      </c>
      <c r="I2689" t="str">
        <f>("26/03/2026")</f>
        <v>26/03/2026</v>
      </c>
      <c r="J2689" t="str">
        <f>("17/03/2026")</f>
        <v>17/03/2026</v>
      </c>
      <c r="K2689" t="str">
        <f>("18/03/2026")</f>
        <v>18/03/2026</v>
      </c>
      <c r="L2689">
        <v>5</v>
      </c>
      <c r="M2689">
        <v>5</v>
      </c>
      <c r="N2689">
        <v>109</v>
      </c>
      <c r="O2689" t="str">
        <f>"PAGAMENTO DE ENTREGADORES"</f>
        <v>PAGAMENTO DE ENTREGADORES</v>
      </c>
      <c r="P2689">
        <v>5</v>
      </c>
      <c r="S2689" t="str">
        <f>"CAIXA MOVIMENTAÇÃO OPERACIONAL (132)"</f>
        <v>CAIXA MOVIMENTAÇÃO OPERACIONAL (132)</v>
      </c>
      <c r="T2689">
        <v>30648</v>
      </c>
      <c r="U2689">
        <v>35335</v>
      </c>
      <c r="V2689" t="s">
        <v>22</v>
      </c>
    </row>
    <row r="2690" spans="1:22">
      <c r="A2690" t="str">
        <f t="shared" si="511"/>
        <v>18/03/2026</v>
      </c>
      <c r="B2690" t="str">
        <f t="shared" si="513"/>
        <v>SAÍDA</v>
      </c>
      <c r="C2690" t="str">
        <f t="shared" si="514"/>
        <v>PIX</v>
      </c>
      <c r="D2690" t="str">
        <f>"35200"</f>
        <v>35200</v>
      </c>
      <c r="E2690" t="str">
        <f t="shared" si="515"/>
        <v>1</v>
      </c>
      <c r="F2690" t="str">
        <f t="shared" ref="F2690:F2753" si="519">"COM"</f>
        <v>COM</v>
      </c>
      <c r="G2690" t="str">
        <f t="shared" si="518"/>
        <v>BRUNO WAGNER DE CARVALHO OLIVEIRA (84)</v>
      </c>
      <c r="H2690" t="s">
        <v>843</v>
      </c>
      <c r="I2690" t="str">
        <f>("26/03/2026")</f>
        <v>26/03/2026</v>
      </c>
      <c r="J2690" t="str">
        <f>("17/03/2026")</f>
        <v>17/03/2026</v>
      </c>
      <c r="K2690">
        <v>46099</v>
      </c>
      <c r="N2690">
        <v>109</v>
      </c>
      <c r="O2690" t="s">
        <v>27</v>
      </c>
      <c r="Q2690">
        <v>5</v>
      </c>
      <c r="R2690" t="str">
        <f>"FARMÁCIA INDIANA LJ 186 (10081)"</f>
        <v>FARMÁCIA INDIANA LJ 186 (10081)</v>
      </c>
      <c r="S2690" t="s">
        <v>22</v>
      </c>
      <c r="T2690">
        <v>30648</v>
      </c>
      <c r="U2690">
        <v>35335</v>
      </c>
      <c r="V2690" t="s">
        <v>22</v>
      </c>
    </row>
    <row r="2691" spans="1:22">
      <c r="A2691" t="str">
        <f t="shared" si="511"/>
        <v>18/03/2026</v>
      </c>
      <c r="B2691" t="str">
        <f>"ENTRADA"</f>
        <v>ENTRADA</v>
      </c>
      <c r="C2691" t="str">
        <f>"DINHEIRO"</f>
        <v>DINHEIRO</v>
      </c>
      <c r="D2691" t="str">
        <f>"10"</f>
        <v>10</v>
      </c>
      <c r="E2691" t="str">
        <f>"39"</f>
        <v>39</v>
      </c>
      <c r="F2691" t="str">
        <f t="shared" si="519"/>
        <v>COM</v>
      </c>
      <c r="G2691" t="str">
        <f t="shared" si="518"/>
        <v>BRUNO WAGNER DE CARVALHO OLIVEIRA (84)</v>
      </c>
      <c r="H2691" t="str">
        <f>"DESCONTO COTA COOPERADO"</f>
        <v>DESCONTO COTA COOPERADO</v>
      </c>
      <c r="I2691" t="str">
        <f>("16/03/2026")</f>
        <v>16/03/2026</v>
      </c>
      <c r="J2691" t="str">
        <f>("15/01/2025")</f>
        <v>15/01/2025</v>
      </c>
      <c r="K2691" t="str">
        <f>("18/03/2026")</f>
        <v>18/03/2026</v>
      </c>
      <c r="L2691">
        <v>20</v>
      </c>
      <c r="M2691">
        <v>20</v>
      </c>
      <c r="N2691">
        <v>106</v>
      </c>
      <c r="O2691" t="str">
        <f>"ENTRADA DE CAPITAL"</f>
        <v>ENTRADA DE CAPITAL</v>
      </c>
      <c r="P2691">
        <v>20</v>
      </c>
      <c r="S2691" t="str">
        <f>"ENTRADA DE CAPITAL (106)"</f>
        <v>ENTRADA DE CAPITAL (106)</v>
      </c>
      <c r="T2691">
        <v>30649</v>
      </c>
      <c r="U2691">
        <v>5904</v>
      </c>
      <c r="V2691" t="s">
        <v>22</v>
      </c>
    </row>
    <row r="2692" spans="1:22">
      <c r="A2692" t="str">
        <f t="shared" si="511"/>
        <v>18/03/2026</v>
      </c>
      <c r="B2692" t="str">
        <f>"ENTRADA"</f>
        <v>ENTRADA</v>
      </c>
      <c r="C2692" t="str">
        <f>"DINHEIRO"</f>
        <v>DINHEIRO</v>
      </c>
      <c r="D2692" t="str">
        <f>"10"</f>
        <v>10</v>
      </c>
      <c r="E2692" t="str">
        <f>"39"</f>
        <v>39</v>
      </c>
      <c r="F2692" t="str">
        <f t="shared" si="519"/>
        <v>COM</v>
      </c>
      <c r="G2692" t="str">
        <f t="shared" si="518"/>
        <v>BRUNO WAGNER DE CARVALHO OLIVEIRA (84)</v>
      </c>
      <c r="H2692" t="s">
        <v>549</v>
      </c>
      <c r="I2692" t="str">
        <f>("16/03/2026")</f>
        <v>16/03/2026</v>
      </c>
      <c r="J2692" t="str">
        <f>("15/01/2025")</f>
        <v>15/01/2025</v>
      </c>
      <c r="K2692">
        <v>46099</v>
      </c>
      <c r="N2692">
        <v>106</v>
      </c>
      <c r="O2692" t="s">
        <v>98</v>
      </c>
      <c r="Q2692">
        <v>20</v>
      </c>
      <c r="R2692" t="str">
        <f>"BRUNO WAGNER DE CARVALHO OLIVEIRA (84)"</f>
        <v>BRUNO WAGNER DE CARVALHO OLIVEIRA (84)</v>
      </c>
      <c r="S2692" t="s">
        <v>99</v>
      </c>
      <c r="T2692">
        <v>30649</v>
      </c>
      <c r="U2692">
        <v>5904</v>
      </c>
      <c r="V2692" t="s">
        <v>22</v>
      </c>
    </row>
    <row r="2693" spans="1:22">
      <c r="A2693" t="str">
        <f t="shared" si="511"/>
        <v>18/03/2026</v>
      </c>
      <c r="B2693" t="str">
        <f>"SAÍDA"</f>
        <v>SAÍDA</v>
      </c>
      <c r="C2693" t="str">
        <f>"PIX"</f>
        <v>PIX</v>
      </c>
      <c r="D2693" t="str">
        <f>"34942"</f>
        <v>34942</v>
      </c>
      <c r="E2693" t="str">
        <f>"1"</f>
        <v>1</v>
      </c>
      <c r="F2693" t="str">
        <f t="shared" si="519"/>
        <v>COM</v>
      </c>
      <c r="G2693" t="str">
        <f>"CLAUDIO DOS SANTOS (507)"</f>
        <v>CLAUDIO DOS SANTOS (507)</v>
      </c>
      <c r="H2693" t="str">
        <f>"Serv.Prest. 09/03/2026 a 15/03/2026 - PIX: E-MAIL - CHAVE: claudioverdinho2009@hotmail.com"</f>
        <v>Serv.Prest. 09/03/2026 a 15/03/2026 - PIX: E-MAIL - CHAVE: claudioverdinho2009@hotmail.com</v>
      </c>
      <c r="I2693" t="str">
        <f>("19/03/2026")</f>
        <v>19/03/2026</v>
      </c>
      <c r="J2693" t="str">
        <f>("16/03/2026")</f>
        <v>16/03/2026</v>
      </c>
      <c r="K2693" t="str">
        <f>("18/03/2026")</f>
        <v>18/03/2026</v>
      </c>
      <c r="L2693">
        <v>20</v>
      </c>
      <c r="M2693">
        <v>20</v>
      </c>
      <c r="N2693">
        <v>109</v>
      </c>
      <c r="O2693" t="str">
        <f>"PAGAMENTO DE ENTREGADORES"</f>
        <v>PAGAMENTO DE ENTREGADORES</v>
      </c>
      <c r="P2693">
        <v>20</v>
      </c>
      <c r="S2693" t="str">
        <f>"CAIXA MOVIMENTAÇÃO OPERACIONAL (132)"</f>
        <v>CAIXA MOVIMENTAÇÃO OPERACIONAL (132)</v>
      </c>
      <c r="T2693">
        <v>30650</v>
      </c>
      <c r="U2693">
        <v>35336</v>
      </c>
      <c r="V2693" t="s">
        <v>22</v>
      </c>
    </row>
    <row r="2694" spans="1:22">
      <c r="A2694" t="str">
        <f t="shared" si="511"/>
        <v>18/03/2026</v>
      </c>
      <c r="B2694" t="str">
        <f>"SAÍDA"</f>
        <v>SAÍDA</v>
      </c>
      <c r="C2694" t="str">
        <f>"PIX"</f>
        <v>PIX</v>
      </c>
      <c r="D2694" t="str">
        <f>"34942"</f>
        <v>34942</v>
      </c>
      <c r="E2694" t="str">
        <f>"1"</f>
        <v>1</v>
      </c>
      <c r="F2694" t="str">
        <f t="shared" si="519"/>
        <v>COM</v>
      </c>
      <c r="G2694" t="str">
        <f>"CLAUDIO DOS SANTOS (507)"</f>
        <v>CLAUDIO DOS SANTOS (507)</v>
      </c>
      <c r="H2694" t="s">
        <v>844</v>
      </c>
      <c r="I2694" t="str">
        <f>("19/03/2026")</f>
        <v>19/03/2026</v>
      </c>
      <c r="J2694" t="str">
        <f>("16/03/2026")</f>
        <v>16/03/2026</v>
      </c>
      <c r="K2694">
        <v>46099</v>
      </c>
      <c r="N2694">
        <v>109</v>
      </c>
      <c r="O2694" t="s">
        <v>27</v>
      </c>
      <c r="Q2694">
        <v>20</v>
      </c>
      <c r="R2694" t="str">
        <f>"JAL FARMACIA E DROGARIA LJ 2 (10138)"</f>
        <v>JAL FARMACIA E DROGARIA LJ 2 (10138)</v>
      </c>
      <c r="S2694" t="s">
        <v>22</v>
      </c>
      <c r="T2694">
        <v>30650</v>
      </c>
      <c r="U2694">
        <v>35336</v>
      </c>
      <c r="V2694" t="s">
        <v>22</v>
      </c>
    </row>
    <row r="2695" spans="1:22">
      <c r="A2695" t="str">
        <f t="shared" si="511"/>
        <v>18/03/2026</v>
      </c>
      <c r="B2695" t="str">
        <f>"ENTRADA"</f>
        <v>ENTRADA</v>
      </c>
      <c r="C2695" t="str">
        <f>"DINHEIRO"</f>
        <v>DINHEIRO</v>
      </c>
      <c r="D2695" t="str">
        <f>"3"</f>
        <v>3</v>
      </c>
      <c r="E2695" t="str">
        <f>"39"</f>
        <v>39</v>
      </c>
      <c r="F2695" t="str">
        <f t="shared" si="519"/>
        <v>COM</v>
      </c>
      <c r="G2695" t="str">
        <f>"CLAUDIO DOS SANTOS (507)"</f>
        <v>CLAUDIO DOS SANTOS (507)</v>
      </c>
      <c r="H2695" t="str">
        <f>"DESCONTO COTA COOPERADO"</f>
        <v>DESCONTO COTA COOPERADO</v>
      </c>
      <c r="I2695" t="str">
        <f>("16/03/2026")</f>
        <v>16/03/2026</v>
      </c>
      <c r="J2695" t="str">
        <f>("15/01/2025")</f>
        <v>15/01/2025</v>
      </c>
      <c r="K2695" t="str">
        <f>("18/03/2026")</f>
        <v>18/03/2026</v>
      </c>
      <c r="L2695">
        <v>20</v>
      </c>
      <c r="M2695">
        <v>20</v>
      </c>
      <c r="N2695">
        <v>106</v>
      </c>
      <c r="O2695" t="str">
        <f>"ENTRADA DE CAPITAL"</f>
        <v>ENTRADA DE CAPITAL</v>
      </c>
      <c r="P2695">
        <v>20</v>
      </c>
      <c r="S2695" t="str">
        <f>"ENTRADA DE CAPITAL (106)"</f>
        <v>ENTRADA DE CAPITAL (106)</v>
      </c>
      <c r="T2695">
        <v>30651</v>
      </c>
      <c r="U2695">
        <v>5973</v>
      </c>
      <c r="V2695" t="s">
        <v>22</v>
      </c>
    </row>
    <row r="2696" spans="1:22">
      <c r="A2696" t="str">
        <f t="shared" si="511"/>
        <v>18/03/2026</v>
      </c>
      <c r="B2696" t="str">
        <f>"ENTRADA"</f>
        <v>ENTRADA</v>
      </c>
      <c r="C2696" t="str">
        <f>"DINHEIRO"</f>
        <v>DINHEIRO</v>
      </c>
      <c r="D2696" t="str">
        <f>"3"</f>
        <v>3</v>
      </c>
      <c r="E2696" t="str">
        <f>"39"</f>
        <v>39</v>
      </c>
      <c r="F2696" t="str">
        <f t="shared" si="519"/>
        <v>COM</v>
      </c>
      <c r="G2696" t="str">
        <f>"CLAUDIO DOS SANTOS (507)"</f>
        <v>CLAUDIO DOS SANTOS (507)</v>
      </c>
      <c r="H2696" t="s">
        <v>549</v>
      </c>
      <c r="I2696" t="str">
        <f>("16/03/2026")</f>
        <v>16/03/2026</v>
      </c>
      <c r="J2696" t="str">
        <f>("15/01/2025")</f>
        <v>15/01/2025</v>
      </c>
      <c r="K2696">
        <v>46099</v>
      </c>
      <c r="N2696">
        <v>106</v>
      </c>
      <c r="O2696" t="s">
        <v>98</v>
      </c>
      <c r="Q2696">
        <v>20</v>
      </c>
      <c r="R2696" t="str">
        <f>"CLAUDIO DOS SANTOS (507)"</f>
        <v>CLAUDIO DOS SANTOS (507)</v>
      </c>
      <c r="S2696" t="s">
        <v>99</v>
      </c>
      <c r="T2696">
        <v>30651</v>
      </c>
      <c r="U2696">
        <v>5973</v>
      </c>
      <c r="V2696" t="s">
        <v>22</v>
      </c>
    </row>
    <row r="2697" spans="1:22">
      <c r="A2697" t="str">
        <f t="shared" si="511"/>
        <v>18/03/2026</v>
      </c>
      <c r="B2697" t="str">
        <f>"SAÍDA"</f>
        <v>SAÍDA</v>
      </c>
      <c r="C2697" t="str">
        <f>"PIX"</f>
        <v>PIX</v>
      </c>
      <c r="D2697" t="str">
        <f>"34556"</f>
        <v>34556</v>
      </c>
      <c r="E2697" t="str">
        <f>"1"</f>
        <v>1</v>
      </c>
      <c r="F2697" t="str">
        <f t="shared" si="519"/>
        <v>COM</v>
      </c>
      <c r="G2697" t="str">
        <f>"CRISTIANO XAVIER DA COSTA (269)"</f>
        <v>CRISTIANO XAVIER DA COSTA (269)</v>
      </c>
      <c r="H2697" t="str">
        <f>"Serv.Prest. 02/03/2026 a 08/03/2026 - PIX: CELULAR - CHAVE: (32) 99177-6167"</f>
        <v>Serv.Prest. 02/03/2026 a 08/03/2026 - PIX: CELULAR - CHAVE: (32) 99177-6167</v>
      </c>
      <c r="I2697" t="str">
        <f>("19/03/2026")</f>
        <v>19/03/2026</v>
      </c>
      <c r="J2697" t="str">
        <f>("10/03/2026")</f>
        <v>10/03/2026</v>
      </c>
      <c r="K2697" t="str">
        <f>("18/03/2026")</f>
        <v>18/03/2026</v>
      </c>
      <c r="L2697">
        <v>20</v>
      </c>
      <c r="M2697">
        <v>20</v>
      </c>
      <c r="N2697">
        <v>109</v>
      </c>
      <c r="O2697" t="str">
        <f>"PAGAMENTO DE ENTREGADORES"</f>
        <v>PAGAMENTO DE ENTREGADORES</v>
      </c>
      <c r="P2697">
        <v>20</v>
      </c>
      <c r="S2697" t="str">
        <f>"CAIXA MOVIMENTAÇÃO OPERACIONAL (132)"</f>
        <v>CAIXA MOVIMENTAÇÃO OPERACIONAL (132)</v>
      </c>
      <c r="T2697">
        <v>30652</v>
      </c>
      <c r="U2697">
        <v>35337</v>
      </c>
      <c r="V2697" t="s">
        <v>22</v>
      </c>
    </row>
    <row r="2698" spans="1:22">
      <c r="A2698" t="str">
        <f t="shared" si="511"/>
        <v>18/03/2026</v>
      </c>
      <c r="B2698" t="str">
        <f>"SAÍDA"</f>
        <v>SAÍDA</v>
      </c>
      <c r="C2698" t="str">
        <f>"PIX"</f>
        <v>PIX</v>
      </c>
      <c r="D2698" t="str">
        <f>"34556"</f>
        <v>34556</v>
      </c>
      <c r="E2698" t="str">
        <f>"1"</f>
        <v>1</v>
      </c>
      <c r="F2698" t="str">
        <f t="shared" si="519"/>
        <v>COM</v>
      </c>
      <c r="G2698" t="str">
        <f>"CRISTIANO XAVIER DA COSTA (269)"</f>
        <v>CRISTIANO XAVIER DA COSTA (269)</v>
      </c>
      <c r="H2698" t="s">
        <v>845</v>
      </c>
      <c r="I2698" t="str">
        <f>("19/03/2026")</f>
        <v>19/03/2026</v>
      </c>
      <c r="J2698" t="str">
        <f>("10/03/2026")</f>
        <v>10/03/2026</v>
      </c>
      <c r="K2698">
        <v>46099</v>
      </c>
      <c r="N2698">
        <v>109</v>
      </c>
      <c r="O2698" t="s">
        <v>27</v>
      </c>
      <c r="Q2698">
        <v>20</v>
      </c>
      <c r="R2698" t="str">
        <f>"FARMÁCIA INDIANA LJ 209 (10089)"</f>
        <v>FARMÁCIA INDIANA LJ 209 (10089)</v>
      </c>
      <c r="S2698" t="s">
        <v>22</v>
      </c>
      <c r="T2698">
        <v>30652</v>
      </c>
      <c r="U2698">
        <v>35337</v>
      </c>
      <c r="V2698" t="s">
        <v>22</v>
      </c>
    </row>
    <row r="2699" spans="1:22">
      <c r="A2699" t="str">
        <f t="shared" si="511"/>
        <v>18/03/2026</v>
      </c>
      <c r="B2699" t="str">
        <f>"ENTRADA"</f>
        <v>ENTRADA</v>
      </c>
      <c r="C2699" t="str">
        <f>"DINHEIRO"</f>
        <v>DINHEIRO</v>
      </c>
      <c r="D2699" t="str">
        <f>"10"</f>
        <v>10</v>
      </c>
      <c r="E2699" t="str">
        <f>"39"</f>
        <v>39</v>
      </c>
      <c r="F2699" t="str">
        <f t="shared" si="519"/>
        <v>COM</v>
      </c>
      <c r="G2699" t="str">
        <f>"CRISTIANO XAVIER DA COSTA (269)"</f>
        <v>CRISTIANO XAVIER DA COSTA (269)</v>
      </c>
      <c r="H2699" t="str">
        <f>"DESCONTO COTA COOPERADO"</f>
        <v>DESCONTO COTA COOPERADO</v>
      </c>
      <c r="I2699" t="str">
        <f>("16/03/2026")</f>
        <v>16/03/2026</v>
      </c>
      <c r="J2699" t="str">
        <f>("16/01/2025")</f>
        <v>16/01/2025</v>
      </c>
      <c r="K2699" t="str">
        <f>("18/03/2026")</f>
        <v>18/03/2026</v>
      </c>
      <c r="L2699">
        <v>20</v>
      </c>
      <c r="M2699">
        <v>20</v>
      </c>
      <c r="N2699">
        <v>106</v>
      </c>
      <c r="O2699" t="str">
        <f>"ENTRADA DE CAPITAL"</f>
        <v>ENTRADA DE CAPITAL</v>
      </c>
      <c r="P2699">
        <v>20</v>
      </c>
      <c r="S2699" t="str">
        <f>"ENTRADA DE CAPITAL (106)"</f>
        <v>ENTRADA DE CAPITAL (106)</v>
      </c>
      <c r="T2699">
        <v>30653</v>
      </c>
      <c r="U2699">
        <v>6004</v>
      </c>
      <c r="V2699" t="s">
        <v>22</v>
      </c>
    </row>
    <row r="2700" spans="1:22">
      <c r="A2700" t="str">
        <f t="shared" si="511"/>
        <v>18/03/2026</v>
      </c>
      <c r="B2700" t="str">
        <f>"ENTRADA"</f>
        <v>ENTRADA</v>
      </c>
      <c r="C2700" t="str">
        <f>"DINHEIRO"</f>
        <v>DINHEIRO</v>
      </c>
      <c r="D2700" t="str">
        <f>"10"</f>
        <v>10</v>
      </c>
      <c r="E2700" t="str">
        <f>"39"</f>
        <v>39</v>
      </c>
      <c r="F2700" t="str">
        <f t="shared" si="519"/>
        <v>COM</v>
      </c>
      <c r="G2700" t="str">
        <f>"CRISTIANO XAVIER DA COSTA (269)"</f>
        <v>CRISTIANO XAVIER DA COSTA (269)</v>
      </c>
      <c r="H2700" t="s">
        <v>549</v>
      </c>
      <c r="I2700" t="str">
        <f>("16/03/2026")</f>
        <v>16/03/2026</v>
      </c>
      <c r="J2700" t="str">
        <f>("16/01/2025")</f>
        <v>16/01/2025</v>
      </c>
      <c r="K2700">
        <v>46099</v>
      </c>
      <c r="N2700">
        <v>106</v>
      </c>
      <c r="O2700" t="s">
        <v>98</v>
      </c>
      <c r="Q2700">
        <v>20</v>
      </c>
      <c r="R2700" t="str">
        <f>"CRISTIANO XAVIER DA COSTA (269)"</f>
        <v>CRISTIANO XAVIER DA COSTA (269)</v>
      </c>
      <c r="S2700" t="s">
        <v>99</v>
      </c>
      <c r="T2700">
        <v>30653</v>
      </c>
      <c r="U2700">
        <v>6004</v>
      </c>
      <c r="V2700" t="s">
        <v>22</v>
      </c>
    </row>
    <row r="2701" spans="1:22">
      <c r="A2701" t="str">
        <f t="shared" si="511"/>
        <v>18/03/2026</v>
      </c>
      <c r="B2701" t="str">
        <f>"SAÍDA"</f>
        <v>SAÍDA</v>
      </c>
      <c r="C2701" t="str">
        <f>"PIX"</f>
        <v>PIX</v>
      </c>
      <c r="D2701" t="str">
        <f>"34491"</f>
        <v>34491</v>
      </c>
      <c r="E2701" t="str">
        <f>"1"</f>
        <v>1</v>
      </c>
      <c r="F2701" t="str">
        <f t="shared" si="519"/>
        <v>COM</v>
      </c>
      <c r="G2701" t="str">
        <f t="shared" ref="G2701:G2708" si="520">"DANILO DE JESUS SANTOS (490)"</f>
        <v>DANILO DE JESUS SANTOS (490)</v>
      </c>
      <c r="H2701" t="str">
        <f>"Serv.Prest. 02/03/2026 a 08/03/2026 - PIX: CELULAR - CHAVE: (73) 98191-0061"</f>
        <v>Serv.Prest. 02/03/2026 a 08/03/2026 - PIX: CELULAR - CHAVE: (73) 98191-0061</v>
      </c>
      <c r="I2701" t="str">
        <f>("19/03/2026")</f>
        <v>19/03/2026</v>
      </c>
      <c r="J2701" t="str">
        <f>("10/03/2026")</f>
        <v>10/03/2026</v>
      </c>
      <c r="K2701" t="str">
        <f>("18/03/2026")</f>
        <v>18/03/2026</v>
      </c>
      <c r="L2701">
        <v>20</v>
      </c>
      <c r="M2701">
        <v>20</v>
      </c>
      <c r="N2701">
        <v>109</v>
      </c>
      <c r="O2701" t="str">
        <f>"PAGAMENTO DE ENTREGADORES"</f>
        <v>PAGAMENTO DE ENTREGADORES</v>
      </c>
      <c r="P2701">
        <v>20</v>
      </c>
      <c r="S2701" t="str">
        <f>"CAIXA MOVIMENTAÇÃO OPERACIONAL (132)"</f>
        <v>CAIXA MOVIMENTAÇÃO OPERACIONAL (132)</v>
      </c>
      <c r="T2701">
        <v>30654</v>
      </c>
      <c r="U2701">
        <v>35338</v>
      </c>
      <c r="V2701" t="s">
        <v>22</v>
      </c>
    </row>
    <row r="2702" spans="1:22">
      <c r="A2702" t="str">
        <f t="shared" si="511"/>
        <v>18/03/2026</v>
      </c>
      <c r="B2702" t="str">
        <f>"SAÍDA"</f>
        <v>SAÍDA</v>
      </c>
      <c r="C2702" t="str">
        <f>"PIX"</f>
        <v>PIX</v>
      </c>
      <c r="D2702" t="str">
        <f>"34491"</f>
        <v>34491</v>
      </c>
      <c r="E2702" t="str">
        <f>"1"</f>
        <v>1</v>
      </c>
      <c r="F2702" t="str">
        <f t="shared" si="519"/>
        <v>COM</v>
      </c>
      <c r="G2702" t="str">
        <f t="shared" si="520"/>
        <v>DANILO DE JESUS SANTOS (490)</v>
      </c>
      <c r="H2702" t="s">
        <v>846</v>
      </c>
      <c r="I2702" t="str">
        <f>("19/03/2026")</f>
        <v>19/03/2026</v>
      </c>
      <c r="J2702" t="str">
        <f>("10/03/2026")</f>
        <v>10/03/2026</v>
      </c>
      <c r="K2702">
        <v>46099</v>
      </c>
      <c r="N2702">
        <v>109</v>
      </c>
      <c r="O2702" t="s">
        <v>27</v>
      </c>
      <c r="Q2702">
        <v>20</v>
      </c>
      <c r="R2702" t="str">
        <f>"FARMÁCIA INDIANA LJ 145 (10068)"</f>
        <v>FARMÁCIA INDIANA LJ 145 (10068)</v>
      </c>
      <c r="S2702" t="s">
        <v>22</v>
      </c>
      <c r="T2702">
        <v>30654</v>
      </c>
      <c r="U2702">
        <v>35338</v>
      </c>
      <c r="V2702" t="s">
        <v>22</v>
      </c>
    </row>
    <row r="2703" spans="1:22">
      <c r="A2703" t="str">
        <f t="shared" si="511"/>
        <v>18/03/2026</v>
      </c>
      <c r="B2703" t="str">
        <f>"ENTRADA"</f>
        <v>ENTRADA</v>
      </c>
      <c r="C2703" t="str">
        <f>"DINHEIRO"</f>
        <v>DINHEIRO</v>
      </c>
      <c r="D2703" t="str">
        <f>"03"</f>
        <v>03</v>
      </c>
      <c r="E2703" t="str">
        <f>"39"</f>
        <v>39</v>
      </c>
      <c r="F2703" t="str">
        <f t="shared" si="519"/>
        <v>COM</v>
      </c>
      <c r="G2703" t="str">
        <f t="shared" si="520"/>
        <v>DANILO DE JESUS SANTOS (490)</v>
      </c>
      <c r="H2703" t="str">
        <f>"DESCONTO COTA COOPERADO"</f>
        <v>DESCONTO COTA COOPERADO</v>
      </c>
      <c r="I2703" t="str">
        <f>("16/03/2026")</f>
        <v>16/03/2026</v>
      </c>
      <c r="J2703" t="str">
        <f>("14/01/2025")</f>
        <v>14/01/2025</v>
      </c>
      <c r="K2703" t="str">
        <f>("18/03/2026")</f>
        <v>18/03/2026</v>
      </c>
      <c r="L2703">
        <v>20</v>
      </c>
      <c r="M2703">
        <v>20</v>
      </c>
      <c r="N2703">
        <v>106</v>
      </c>
      <c r="O2703" t="str">
        <f>"ENTRADA DE CAPITAL"</f>
        <v>ENTRADA DE CAPITAL</v>
      </c>
      <c r="P2703">
        <v>20</v>
      </c>
      <c r="S2703" t="str">
        <f>"ENTRADA DE CAPITAL (106)"</f>
        <v>ENTRADA DE CAPITAL (106)</v>
      </c>
      <c r="T2703">
        <v>30655</v>
      </c>
      <c r="U2703">
        <v>5822</v>
      </c>
      <c r="V2703" t="s">
        <v>22</v>
      </c>
    </row>
    <row r="2704" spans="1:22">
      <c r="A2704" t="str">
        <f t="shared" si="511"/>
        <v>18/03/2026</v>
      </c>
      <c r="B2704" t="str">
        <f>"ENTRADA"</f>
        <v>ENTRADA</v>
      </c>
      <c r="C2704" t="str">
        <f>"DINHEIRO"</f>
        <v>DINHEIRO</v>
      </c>
      <c r="D2704" t="str">
        <f>"03"</f>
        <v>03</v>
      </c>
      <c r="E2704" t="str">
        <f>"39"</f>
        <v>39</v>
      </c>
      <c r="F2704" t="str">
        <f t="shared" si="519"/>
        <v>COM</v>
      </c>
      <c r="G2704" t="str">
        <f t="shared" si="520"/>
        <v>DANILO DE JESUS SANTOS (490)</v>
      </c>
      <c r="H2704" t="s">
        <v>549</v>
      </c>
      <c r="I2704" t="str">
        <f>("16/03/2026")</f>
        <v>16/03/2026</v>
      </c>
      <c r="J2704" t="str">
        <f>("14/01/2025")</f>
        <v>14/01/2025</v>
      </c>
      <c r="K2704">
        <v>46099</v>
      </c>
      <c r="N2704">
        <v>106</v>
      </c>
      <c r="O2704" t="s">
        <v>98</v>
      </c>
      <c r="Q2704">
        <v>20</v>
      </c>
      <c r="R2704" t="str">
        <f>"DANILO DE JESUS SANTOS (490)"</f>
        <v>DANILO DE JESUS SANTOS (490)</v>
      </c>
      <c r="S2704" t="s">
        <v>99</v>
      </c>
      <c r="T2704">
        <v>30655</v>
      </c>
      <c r="U2704">
        <v>5822</v>
      </c>
      <c r="V2704" t="s">
        <v>22</v>
      </c>
    </row>
    <row r="2705" spans="1:22">
      <c r="A2705" t="str">
        <f t="shared" si="511"/>
        <v>18/03/2026</v>
      </c>
      <c r="B2705" t="str">
        <f>"ENTRADA"</f>
        <v>ENTRADA</v>
      </c>
      <c r="C2705" t="str">
        <f>"DINHEIRO"</f>
        <v>DINHEIRO</v>
      </c>
      <c r="D2705" t="str">
        <f>"03"</f>
        <v>03</v>
      </c>
      <c r="E2705" t="str">
        <f>"38"</f>
        <v>38</v>
      </c>
      <c r="F2705" t="str">
        <f t="shared" si="519"/>
        <v>COM</v>
      </c>
      <c r="G2705" t="str">
        <f t="shared" si="520"/>
        <v>DANILO DE JESUS SANTOS (490)</v>
      </c>
      <c r="H2705" t="str">
        <f>"DESCONTO COTA COOPERADO"</f>
        <v>DESCONTO COTA COOPERADO</v>
      </c>
      <c r="I2705" t="str">
        <f>("16/02/2026")</f>
        <v>16/02/2026</v>
      </c>
      <c r="J2705" t="str">
        <f>("14/01/2025")</f>
        <v>14/01/2025</v>
      </c>
      <c r="K2705" t="str">
        <f>("18/03/2026")</f>
        <v>18/03/2026</v>
      </c>
      <c r="L2705">
        <v>20</v>
      </c>
      <c r="M2705">
        <v>20</v>
      </c>
      <c r="N2705">
        <v>106</v>
      </c>
      <c r="O2705" t="str">
        <f>"ENTRADA DE CAPITAL"</f>
        <v>ENTRADA DE CAPITAL</v>
      </c>
      <c r="P2705">
        <v>20</v>
      </c>
      <c r="S2705" t="str">
        <f>"ENTRADA DE CAPITAL (106)"</f>
        <v>ENTRADA DE CAPITAL (106)</v>
      </c>
      <c r="T2705">
        <v>30656</v>
      </c>
      <c r="U2705">
        <v>5821</v>
      </c>
      <c r="V2705" t="s">
        <v>22</v>
      </c>
    </row>
    <row r="2706" spans="1:22">
      <c r="A2706" t="str">
        <f t="shared" si="511"/>
        <v>18/03/2026</v>
      </c>
      <c r="B2706" t="str">
        <f>"ENTRADA"</f>
        <v>ENTRADA</v>
      </c>
      <c r="C2706" t="str">
        <f>"DINHEIRO"</f>
        <v>DINHEIRO</v>
      </c>
      <c r="D2706" t="str">
        <f>"03"</f>
        <v>03</v>
      </c>
      <c r="E2706" t="str">
        <f>"38"</f>
        <v>38</v>
      </c>
      <c r="F2706" t="str">
        <f t="shared" si="519"/>
        <v>COM</v>
      </c>
      <c r="G2706" t="str">
        <f t="shared" si="520"/>
        <v>DANILO DE JESUS SANTOS (490)</v>
      </c>
      <c r="H2706" t="s">
        <v>549</v>
      </c>
      <c r="I2706" t="str">
        <f>("16/02/2026")</f>
        <v>16/02/2026</v>
      </c>
      <c r="J2706" t="str">
        <f>("14/01/2025")</f>
        <v>14/01/2025</v>
      </c>
      <c r="K2706">
        <v>46099</v>
      </c>
      <c r="N2706">
        <v>106</v>
      </c>
      <c r="O2706" t="s">
        <v>98</v>
      </c>
      <c r="Q2706">
        <v>20</v>
      </c>
      <c r="R2706" t="str">
        <f>"DANILO DE JESUS SANTOS (490)"</f>
        <v>DANILO DE JESUS SANTOS (490)</v>
      </c>
      <c r="S2706" t="s">
        <v>99</v>
      </c>
      <c r="T2706">
        <v>30656</v>
      </c>
      <c r="U2706">
        <v>5821</v>
      </c>
      <c r="V2706" t="s">
        <v>22</v>
      </c>
    </row>
    <row r="2707" spans="1:22">
      <c r="A2707" t="str">
        <f t="shared" si="511"/>
        <v>18/03/2026</v>
      </c>
      <c r="B2707" t="str">
        <f>"SAÍDA"</f>
        <v>SAÍDA</v>
      </c>
      <c r="C2707" t="str">
        <f>"PIX"</f>
        <v>PIX</v>
      </c>
      <c r="D2707" t="str">
        <f>"34491"</f>
        <v>34491</v>
      </c>
      <c r="E2707" t="str">
        <f>"1"</f>
        <v>1</v>
      </c>
      <c r="F2707" t="str">
        <f t="shared" si="519"/>
        <v>COM</v>
      </c>
      <c r="G2707" t="str">
        <f t="shared" si="520"/>
        <v>DANILO DE JESUS SANTOS (490)</v>
      </c>
      <c r="H2707" t="str">
        <f>"Serv.Prest. 02/03/2026 a 08/03/2026 - PIX: CELULAR - CHAVE: (73) 98191-0061"</f>
        <v>Serv.Prest. 02/03/2026 a 08/03/2026 - PIX: CELULAR - CHAVE: (73) 98191-0061</v>
      </c>
      <c r="I2707" t="str">
        <f>("19/03/2026")</f>
        <v>19/03/2026</v>
      </c>
      <c r="J2707" t="str">
        <f>("10/03/2026")</f>
        <v>10/03/2026</v>
      </c>
      <c r="K2707" t="str">
        <f>("18/03/2026")</f>
        <v>18/03/2026</v>
      </c>
      <c r="L2707">
        <v>20</v>
      </c>
      <c r="M2707">
        <v>20</v>
      </c>
      <c r="N2707">
        <v>109</v>
      </c>
      <c r="O2707" t="str">
        <f>"PAGAMENTO DE ENTREGADORES"</f>
        <v>PAGAMENTO DE ENTREGADORES</v>
      </c>
      <c r="P2707">
        <v>20</v>
      </c>
      <c r="S2707" t="str">
        <f>"CAIXA MOVIMENTAÇÃO OPERACIONAL (132)"</f>
        <v>CAIXA MOVIMENTAÇÃO OPERACIONAL (132)</v>
      </c>
      <c r="T2707">
        <v>30657</v>
      </c>
      <c r="U2707">
        <v>35339</v>
      </c>
      <c r="V2707" t="s">
        <v>22</v>
      </c>
    </row>
    <row r="2708" spans="1:22">
      <c r="A2708" t="str">
        <f t="shared" si="511"/>
        <v>18/03/2026</v>
      </c>
      <c r="B2708" t="str">
        <f>"SAÍDA"</f>
        <v>SAÍDA</v>
      </c>
      <c r="C2708" t="str">
        <f>"PIX"</f>
        <v>PIX</v>
      </c>
      <c r="D2708" t="str">
        <f>"34491"</f>
        <v>34491</v>
      </c>
      <c r="E2708" t="str">
        <f>"1"</f>
        <v>1</v>
      </c>
      <c r="F2708" t="str">
        <f t="shared" si="519"/>
        <v>COM</v>
      </c>
      <c r="G2708" t="str">
        <f t="shared" si="520"/>
        <v>DANILO DE JESUS SANTOS (490)</v>
      </c>
      <c r="H2708" t="s">
        <v>846</v>
      </c>
      <c r="I2708" t="str">
        <f>("19/03/2026")</f>
        <v>19/03/2026</v>
      </c>
      <c r="J2708" t="str">
        <f>("10/03/2026")</f>
        <v>10/03/2026</v>
      </c>
      <c r="K2708">
        <v>46099</v>
      </c>
      <c r="N2708">
        <v>109</v>
      </c>
      <c r="O2708" t="s">
        <v>27</v>
      </c>
      <c r="Q2708">
        <v>20</v>
      </c>
      <c r="R2708" t="str">
        <f>"FARMÁCIA INDIANA LJ 145 (10068)"</f>
        <v>FARMÁCIA INDIANA LJ 145 (10068)</v>
      </c>
      <c r="S2708" t="s">
        <v>22</v>
      </c>
      <c r="T2708">
        <v>30657</v>
      </c>
      <c r="U2708">
        <v>35339</v>
      </c>
      <c r="V2708" t="s">
        <v>22</v>
      </c>
    </row>
    <row r="2709" spans="1:22">
      <c r="A2709" t="str">
        <f t="shared" si="511"/>
        <v>18/03/2026</v>
      </c>
      <c r="B2709" t="str">
        <f>"SAÍDA"</f>
        <v>SAÍDA</v>
      </c>
      <c r="C2709" t="str">
        <f>"PIX"</f>
        <v>PIX</v>
      </c>
      <c r="D2709" t="str">
        <f>"34561"</f>
        <v>34561</v>
      </c>
      <c r="E2709" t="str">
        <f>"1"</f>
        <v>1</v>
      </c>
      <c r="F2709" t="str">
        <f t="shared" si="519"/>
        <v>COM</v>
      </c>
      <c r="G2709" t="str">
        <f>"DANTE SOARES DA SILVA (416)"</f>
        <v>DANTE SOARES DA SILVA (416)</v>
      </c>
      <c r="H2709" t="str">
        <f>"Serv.Prest. 02/03/2026 a 08/03/2026 - PIX: CELULAR - CHAVE: (33) 99802-1883"</f>
        <v>Serv.Prest. 02/03/2026 a 08/03/2026 - PIX: CELULAR - CHAVE: (33) 99802-1883</v>
      </c>
      <c r="I2709" t="str">
        <f>("19/03/2026")</f>
        <v>19/03/2026</v>
      </c>
      <c r="J2709" t="str">
        <f>("10/03/2026")</f>
        <v>10/03/2026</v>
      </c>
      <c r="K2709" t="str">
        <f>("18/03/2026")</f>
        <v>18/03/2026</v>
      </c>
      <c r="L2709">
        <v>20</v>
      </c>
      <c r="M2709">
        <v>20</v>
      </c>
      <c r="N2709">
        <v>109</v>
      </c>
      <c r="O2709" t="str">
        <f>"PAGAMENTO DE ENTREGADORES"</f>
        <v>PAGAMENTO DE ENTREGADORES</v>
      </c>
      <c r="P2709">
        <v>20</v>
      </c>
      <c r="S2709" t="str">
        <f>"CAIXA MOVIMENTAÇÃO OPERACIONAL (132)"</f>
        <v>CAIXA MOVIMENTAÇÃO OPERACIONAL (132)</v>
      </c>
      <c r="T2709">
        <v>30658</v>
      </c>
      <c r="U2709">
        <v>35340</v>
      </c>
      <c r="V2709" t="s">
        <v>22</v>
      </c>
    </row>
    <row r="2710" spans="1:22">
      <c r="A2710" t="str">
        <f t="shared" si="511"/>
        <v>18/03/2026</v>
      </c>
      <c r="B2710" t="str">
        <f>"SAÍDA"</f>
        <v>SAÍDA</v>
      </c>
      <c r="C2710" t="str">
        <f>"PIX"</f>
        <v>PIX</v>
      </c>
      <c r="D2710" t="str">
        <f>"34561"</f>
        <v>34561</v>
      </c>
      <c r="E2710" t="str">
        <f>"1"</f>
        <v>1</v>
      </c>
      <c r="F2710" t="str">
        <f t="shared" si="519"/>
        <v>COM</v>
      </c>
      <c r="G2710" t="str">
        <f>"DANTE SOARES DA SILVA (416)"</f>
        <v>DANTE SOARES DA SILVA (416)</v>
      </c>
      <c r="H2710" t="s">
        <v>847</v>
      </c>
      <c r="I2710" t="str">
        <f>("19/03/2026")</f>
        <v>19/03/2026</v>
      </c>
      <c r="J2710" t="str">
        <f>("10/03/2026")</f>
        <v>10/03/2026</v>
      </c>
      <c r="K2710">
        <v>46099</v>
      </c>
      <c r="N2710">
        <v>109</v>
      </c>
      <c r="O2710" t="s">
        <v>27</v>
      </c>
      <c r="Q2710">
        <v>20</v>
      </c>
      <c r="R2710" t="str">
        <f>"FARMÁCIA INDIANA LJ 59 (10026)"</f>
        <v>FARMÁCIA INDIANA LJ 59 (10026)</v>
      </c>
      <c r="S2710" t="s">
        <v>22</v>
      </c>
      <c r="T2710">
        <v>30658</v>
      </c>
      <c r="U2710">
        <v>35340</v>
      </c>
      <c r="V2710" t="s">
        <v>22</v>
      </c>
    </row>
    <row r="2711" spans="1:22">
      <c r="A2711" t="str">
        <f t="shared" si="511"/>
        <v>18/03/2026</v>
      </c>
      <c r="B2711" t="str">
        <f>"ENTRADA"</f>
        <v>ENTRADA</v>
      </c>
      <c r="C2711" t="str">
        <f>"DINHEIRO"</f>
        <v>DINHEIRO</v>
      </c>
      <c r="D2711" t="str">
        <f>"09"</f>
        <v>09</v>
      </c>
      <c r="E2711" t="str">
        <f>"39"</f>
        <v>39</v>
      </c>
      <c r="F2711" t="str">
        <f t="shared" si="519"/>
        <v>COM</v>
      </c>
      <c r="G2711" t="str">
        <f>"DANTE SOARES DA SILVA (416)"</f>
        <v>DANTE SOARES DA SILVA (416)</v>
      </c>
      <c r="H2711" t="str">
        <f>"DESCONTO COTA COOPERADO"</f>
        <v>DESCONTO COTA COOPERADO</v>
      </c>
      <c r="I2711" t="str">
        <f>("16/03/2026")</f>
        <v>16/03/2026</v>
      </c>
      <c r="J2711" t="str">
        <f>("16/01/2025")</f>
        <v>16/01/2025</v>
      </c>
      <c r="K2711" t="str">
        <f>("18/03/2026")</f>
        <v>18/03/2026</v>
      </c>
      <c r="L2711">
        <v>20</v>
      </c>
      <c r="M2711">
        <v>20</v>
      </c>
      <c r="N2711">
        <v>106</v>
      </c>
      <c r="O2711" t="str">
        <f>"ENTRADA DE CAPITAL"</f>
        <v>ENTRADA DE CAPITAL</v>
      </c>
      <c r="P2711">
        <v>20</v>
      </c>
      <c r="S2711" t="str">
        <f>"ENTRADA DE CAPITAL (106)"</f>
        <v>ENTRADA DE CAPITAL (106)</v>
      </c>
      <c r="T2711">
        <v>30659</v>
      </c>
      <c r="U2711">
        <v>6039</v>
      </c>
      <c r="V2711" t="s">
        <v>22</v>
      </c>
    </row>
    <row r="2712" spans="1:22">
      <c r="A2712" t="str">
        <f t="shared" si="511"/>
        <v>18/03/2026</v>
      </c>
      <c r="B2712" t="str">
        <f>"ENTRADA"</f>
        <v>ENTRADA</v>
      </c>
      <c r="C2712" t="str">
        <f>"DINHEIRO"</f>
        <v>DINHEIRO</v>
      </c>
      <c r="D2712" t="str">
        <f>"09"</f>
        <v>09</v>
      </c>
      <c r="E2712" t="str">
        <f>"39"</f>
        <v>39</v>
      </c>
      <c r="F2712" t="str">
        <f t="shared" si="519"/>
        <v>COM</v>
      </c>
      <c r="G2712" t="str">
        <f>"DANTE SOARES DA SILVA (416)"</f>
        <v>DANTE SOARES DA SILVA (416)</v>
      </c>
      <c r="H2712" t="s">
        <v>549</v>
      </c>
      <c r="I2712" t="str">
        <f>("16/03/2026")</f>
        <v>16/03/2026</v>
      </c>
      <c r="J2712" t="str">
        <f>("16/01/2025")</f>
        <v>16/01/2025</v>
      </c>
      <c r="K2712">
        <v>46099</v>
      </c>
      <c r="N2712">
        <v>106</v>
      </c>
      <c r="O2712" t="s">
        <v>98</v>
      </c>
      <c r="Q2712">
        <v>20</v>
      </c>
      <c r="R2712" t="str">
        <f>"DANTE SOARES DA SILVA (416)"</f>
        <v>DANTE SOARES DA SILVA (416)</v>
      </c>
      <c r="S2712" t="s">
        <v>99</v>
      </c>
      <c r="T2712">
        <v>30659</v>
      </c>
      <c r="U2712">
        <v>6039</v>
      </c>
      <c r="V2712" t="s">
        <v>22</v>
      </c>
    </row>
    <row r="2713" spans="1:22">
      <c r="A2713" t="str">
        <f t="shared" si="511"/>
        <v>18/03/2026</v>
      </c>
      <c r="B2713" t="str">
        <f>"ENTRADA"</f>
        <v>ENTRADA</v>
      </c>
      <c r="C2713" t="str">
        <f>"DINHEIRO"</f>
        <v>DINHEIRO</v>
      </c>
      <c r="D2713" t="str">
        <f>"09"</f>
        <v>09</v>
      </c>
      <c r="E2713" t="str">
        <f>"39"</f>
        <v>39</v>
      </c>
      <c r="F2713" t="str">
        <f t="shared" si="519"/>
        <v>COM</v>
      </c>
      <c r="G2713" t="str">
        <f>"DEVANILDO PONTES CASAGRANDE (179)"</f>
        <v>DEVANILDO PONTES CASAGRANDE (179)</v>
      </c>
      <c r="H2713" t="str">
        <f>"DESCONTO COTA COOPERADO"</f>
        <v>DESCONTO COTA COOPERADO</v>
      </c>
      <c r="I2713" t="str">
        <f>("16/03/2026")</f>
        <v>16/03/2026</v>
      </c>
      <c r="J2713" t="str">
        <f>("16/01/2025")</f>
        <v>16/01/2025</v>
      </c>
      <c r="K2713" t="str">
        <f>("18/03/2026")</f>
        <v>18/03/2026</v>
      </c>
      <c r="L2713">
        <v>20</v>
      </c>
      <c r="M2713">
        <v>20</v>
      </c>
      <c r="N2713">
        <v>106</v>
      </c>
      <c r="O2713" t="str">
        <f>"ENTRADA DE CAPITAL"</f>
        <v>ENTRADA DE CAPITAL</v>
      </c>
      <c r="P2713">
        <v>20</v>
      </c>
      <c r="S2713" t="str">
        <f>"ENTRADA DE CAPITAL (106)"</f>
        <v>ENTRADA DE CAPITAL (106)</v>
      </c>
      <c r="T2713">
        <v>30660</v>
      </c>
      <c r="U2713">
        <v>6078</v>
      </c>
      <c r="V2713" t="s">
        <v>22</v>
      </c>
    </row>
    <row r="2714" spans="1:22">
      <c r="A2714" t="str">
        <f t="shared" si="511"/>
        <v>18/03/2026</v>
      </c>
      <c r="B2714" t="str">
        <f>"ENTRADA"</f>
        <v>ENTRADA</v>
      </c>
      <c r="C2714" t="str">
        <f>"DINHEIRO"</f>
        <v>DINHEIRO</v>
      </c>
      <c r="D2714" t="str">
        <f>"09"</f>
        <v>09</v>
      </c>
      <c r="E2714" t="str">
        <f>"39"</f>
        <v>39</v>
      </c>
      <c r="F2714" t="str">
        <f t="shared" si="519"/>
        <v>COM</v>
      </c>
      <c r="G2714" t="str">
        <f>"DEVANILDO PONTES CASAGRANDE (179)"</f>
        <v>DEVANILDO PONTES CASAGRANDE (179)</v>
      </c>
      <c r="H2714" t="s">
        <v>549</v>
      </c>
      <c r="I2714" t="str">
        <f>("16/03/2026")</f>
        <v>16/03/2026</v>
      </c>
      <c r="J2714" t="str">
        <f>("16/01/2025")</f>
        <v>16/01/2025</v>
      </c>
      <c r="K2714">
        <v>46099</v>
      </c>
      <c r="N2714">
        <v>106</v>
      </c>
      <c r="O2714" t="s">
        <v>98</v>
      </c>
      <c r="Q2714">
        <v>20</v>
      </c>
      <c r="R2714" t="str">
        <f>"DEVANILDO PONTES CASAGRANDE (179)"</f>
        <v>DEVANILDO PONTES CASAGRANDE (179)</v>
      </c>
      <c r="S2714" t="s">
        <v>99</v>
      </c>
      <c r="T2714">
        <v>30660</v>
      </c>
      <c r="U2714">
        <v>6078</v>
      </c>
      <c r="V2714" t="s">
        <v>22</v>
      </c>
    </row>
    <row r="2715" spans="1:22">
      <c r="A2715" t="str">
        <f t="shared" si="511"/>
        <v>18/03/2026</v>
      </c>
      <c r="B2715" t="str">
        <f>"SAÍDA"</f>
        <v>SAÍDA</v>
      </c>
      <c r="C2715" t="str">
        <f>"PIX"</f>
        <v>PIX</v>
      </c>
      <c r="D2715" t="str">
        <f>"34562"</f>
        <v>34562</v>
      </c>
      <c r="E2715" t="str">
        <f>"1"</f>
        <v>1</v>
      </c>
      <c r="F2715" t="str">
        <f t="shared" si="519"/>
        <v>COM</v>
      </c>
      <c r="G2715" t="str">
        <f>"DEVANILDO PONTES CASAGRANDE (179)"</f>
        <v>DEVANILDO PONTES CASAGRANDE (179)</v>
      </c>
      <c r="H2715" t="str">
        <f>"Serv.Prest. 02/03/2026 a 08/03/2026 - PIX: CELULAR - CHAVE: (31) 99610-7049"</f>
        <v>Serv.Prest. 02/03/2026 a 08/03/2026 - PIX: CELULAR - CHAVE: (31) 99610-7049</v>
      </c>
      <c r="I2715" t="str">
        <f>("19/03/2026")</f>
        <v>19/03/2026</v>
      </c>
      <c r="J2715" t="str">
        <f>("10/03/2026")</f>
        <v>10/03/2026</v>
      </c>
      <c r="K2715" t="str">
        <f>("18/03/2026")</f>
        <v>18/03/2026</v>
      </c>
      <c r="L2715">
        <v>20</v>
      </c>
      <c r="M2715">
        <v>20</v>
      </c>
      <c r="N2715">
        <v>109</v>
      </c>
      <c r="O2715" t="str">
        <f>"PAGAMENTO DE ENTREGADORES"</f>
        <v>PAGAMENTO DE ENTREGADORES</v>
      </c>
      <c r="P2715">
        <v>20</v>
      </c>
      <c r="S2715" t="str">
        <f>"CAIXA MOVIMENTAÇÃO OPERACIONAL (132)"</f>
        <v>CAIXA MOVIMENTAÇÃO OPERACIONAL (132)</v>
      </c>
      <c r="T2715">
        <v>30661</v>
      </c>
      <c r="U2715">
        <v>35341</v>
      </c>
      <c r="V2715" t="s">
        <v>22</v>
      </c>
    </row>
    <row r="2716" spans="1:22">
      <c r="A2716" t="str">
        <f t="shared" si="511"/>
        <v>18/03/2026</v>
      </c>
      <c r="B2716" t="str">
        <f>"SAÍDA"</f>
        <v>SAÍDA</v>
      </c>
      <c r="C2716" t="str">
        <f>"PIX"</f>
        <v>PIX</v>
      </c>
      <c r="D2716" t="str">
        <f>"34562"</f>
        <v>34562</v>
      </c>
      <c r="E2716" t="str">
        <f>"1"</f>
        <v>1</v>
      </c>
      <c r="F2716" t="str">
        <f t="shared" si="519"/>
        <v>COM</v>
      </c>
      <c r="G2716" t="str">
        <f>"DEVANILDO PONTES CASAGRANDE (179)"</f>
        <v>DEVANILDO PONTES CASAGRANDE (179)</v>
      </c>
      <c r="H2716" t="s">
        <v>848</v>
      </c>
      <c r="I2716" t="str">
        <f>("19/03/2026")</f>
        <v>19/03/2026</v>
      </c>
      <c r="J2716" t="str">
        <f>("10/03/2026")</f>
        <v>10/03/2026</v>
      </c>
      <c r="K2716">
        <v>46099</v>
      </c>
      <c r="N2716">
        <v>109</v>
      </c>
      <c r="O2716" t="s">
        <v>27</v>
      </c>
      <c r="Q2716">
        <v>20</v>
      </c>
      <c r="R2716" t="str">
        <f>"FARMÁCIA INDIANA LJ 142 (10066)"</f>
        <v>FARMÁCIA INDIANA LJ 142 (10066)</v>
      </c>
      <c r="S2716" t="s">
        <v>22</v>
      </c>
      <c r="T2716">
        <v>30661</v>
      </c>
      <c r="U2716">
        <v>35341</v>
      </c>
      <c r="V2716" t="s">
        <v>22</v>
      </c>
    </row>
    <row r="2717" spans="1:22">
      <c r="A2717" t="str">
        <f t="shared" si="511"/>
        <v>18/03/2026</v>
      </c>
      <c r="B2717" t="str">
        <f>"SAÍDA"</f>
        <v>SAÍDA</v>
      </c>
      <c r="C2717" t="str">
        <f>"PIX"</f>
        <v>PIX</v>
      </c>
      <c r="D2717" t="str">
        <f>"34567"</f>
        <v>34567</v>
      </c>
      <c r="E2717" t="str">
        <f>"1"</f>
        <v>1</v>
      </c>
      <c r="F2717" t="str">
        <f t="shared" si="519"/>
        <v>COM</v>
      </c>
      <c r="G2717" t="str">
        <f>"EDSON JUNIOR FERREIRA DA SILVA (99)"</f>
        <v>EDSON JUNIOR FERREIRA DA SILVA (99)</v>
      </c>
      <c r="H2717" t="str">
        <f>"Serv.Prest. 02/03/2026 a 08/03/2026 - PIX: CPF - CHAVE: 141.134.256-98"</f>
        <v>Serv.Prest. 02/03/2026 a 08/03/2026 - PIX: CPF - CHAVE: 141.134.256-98</v>
      </c>
      <c r="I2717" t="str">
        <f>("19/03/2026")</f>
        <v>19/03/2026</v>
      </c>
      <c r="J2717" t="str">
        <f>("10/03/2026")</f>
        <v>10/03/2026</v>
      </c>
      <c r="K2717" t="str">
        <f>("18/03/2026")</f>
        <v>18/03/2026</v>
      </c>
      <c r="L2717">
        <v>20</v>
      </c>
      <c r="M2717">
        <v>20</v>
      </c>
      <c r="N2717">
        <v>109</v>
      </c>
      <c r="O2717" t="str">
        <f>"PAGAMENTO DE ENTREGADORES"</f>
        <v>PAGAMENTO DE ENTREGADORES</v>
      </c>
      <c r="P2717">
        <v>20</v>
      </c>
      <c r="S2717" t="str">
        <f>"CAIXA MOVIMENTAÇÃO OPERACIONAL (132)"</f>
        <v>CAIXA MOVIMENTAÇÃO OPERACIONAL (132)</v>
      </c>
      <c r="T2717">
        <v>30662</v>
      </c>
      <c r="U2717">
        <v>35342</v>
      </c>
      <c r="V2717" t="s">
        <v>22</v>
      </c>
    </row>
    <row r="2718" spans="1:22">
      <c r="A2718" t="str">
        <f t="shared" si="511"/>
        <v>18/03/2026</v>
      </c>
      <c r="B2718" t="str">
        <f>"SAÍDA"</f>
        <v>SAÍDA</v>
      </c>
      <c r="C2718" t="str">
        <f>"PIX"</f>
        <v>PIX</v>
      </c>
      <c r="D2718" t="str">
        <f>"34567"</f>
        <v>34567</v>
      </c>
      <c r="E2718" t="str">
        <f>"1"</f>
        <v>1</v>
      </c>
      <c r="F2718" t="str">
        <f t="shared" si="519"/>
        <v>COM</v>
      </c>
      <c r="G2718" t="str">
        <f>"EDSON JUNIOR FERREIRA DA SILVA (99)"</f>
        <v>EDSON JUNIOR FERREIRA DA SILVA (99)</v>
      </c>
      <c r="H2718" t="s">
        <v>849</v>
      </c>
      <c r="I2718" t="str">
        <f>("19/03/2026")</f>
        <v>19/03/2026</v>
      </c>
      <c r="J2718" t="str">
        <f>("10/03/2026")</f>
        <v>10/03/2026</v>
      </c>
      <c r="K2718">
        <v>46099</v>
      </c>
      <c r="N2718">
        <v>109</v>
      </c>
      <c r="O2718" t="s">
        <v>27</v>
      </c>
      <c r="Q2718">
        <v>20</v>
      </c>
      <c r="R2718" t="str">
        <f>"FARMÁCIA INDIANA LJ 100 (10042)"</f>
        <v>FARMÁCIA INDIANA LJ 100 (10042)</v>
      </c>
      <c r="S2718" t="s">
        <v>22</v>
      </c>
      <c r="T2718">
        <v>30662</v>
      </c>
      <c r="U2718">
        <v>35342</v>
      </c>
      <c r="V2718" t="s">
        <v>22</v>
      </c>
    </row>
    <row r="2719" spans="1:22">
      <c r="A2719" t="str">
        <f t="shared" si="511"/>
        <v>18/03/2026</v>
      </c>
      <c r="B2719" t="str">
        <f>"ENTRADA"</f>
        <v>ENTRADA</v>
      </c>
      <c r="C2719" t="str">
        <f>"DINHEIRO"</f>
        <v>DINHEIRO</v>
      </c>
      <c r="D2719" t="str">
        <f>"09"</f>
        <v>09</v>
      </c>
      <c r="E2719" t="str">
        <f>"39"</f>
        <v>39</v>
      </c>
      <c r="F2719" t="str">
        <f t="shared" si="519"/>
        <v>COM</v>
      </c>
      <c r="G2719" t="str">
        <f>"EDSON JUNIOR FERREIRA DA SILVA (99)"</f>
        <v>EDSON JUNIOR FERREIRA DA SILVA (99)</v>
      </c>
      <c r="H2719" t="str">
        <f>"DESCONTO COTA COOPERADO"</f>
        <v>DESCONTO COTA COOPERADO</v>
      </c>
      <c r="I2719" t="str">
        <f>("16/03/2026")</f>
        <v>16/03/2026</v>
      </c>
      <c r="J2719" t="str">
        <f>("16/01/2025")</f>
        <v>16/01/2025</v>
      </c>
      <c r="K2719" t="str">
        <f>("18/03/2026")</f>
        <v>18/03/2026</v>
      </c>
      <c r="L2719">
        <v>20</v>
      </c>
      <c r="M2719">
        <v>20</v>
      </c>
      <c r="N2719">
        <v>106</v>
      </c>
      <c r="O2719" t="str">
        <f>"ENTRADA DE CAPITAL"</f>
        <v>ENTRADA DE CAPITAL</v>
      </c>
      <c r="P2719">
        <v>20</v>
      </c>
      <c r="S2719" t="str">
        <f>"ENTRADA DE CAPITAL (106)"</f>
        <v>ENTRADA DE CAPITAL (106)</v>
      </c>
      <c r="T2719">
        <v>30663</v>
      </c>
      <c r="U2719">
        <v>6128</v>
      </c>
      <c r="V2719" t="s">
        <v>22</v>
      </c>
    </row>
    <row r="2720" spans="1:22">
      <c r="A2720" t="str">
        <f t="shared" si="511"/>
        <v>18/03/2026</v>
      </c>
      <c r="B2720" t="str">
        <f>"ENTRADA"</f>
        <v>ENTRADA</v>
      </c>
      <c r="C2720" t="str">
        <f>"DINHEIRO"</f>
        <v>DINHEIRO</v>
      </c>
      <c r="D2720" t="str">
        <f>"09"</f>
        <v>09</v>
      </c>
      <c r="E2720" t="str">
        <f>"39"</f>
        <v>39</v>
      </c>
      <c r="F2720" t="str">
        <f t="shared" si="519"/>
        <v>COM</v>
      </c>
      <c r="G2720" t="str">
        <f>"EDSON JUNIOR FERREIRA DA SILVA (99)"</f>
        <v>EDSON JUNIOR FERREIRA DA SILVA (99)</v>
      </c>
      <c r="H2720" t="s">
        <v>549</v>
      </c>
      <c r="I2720" t="str">
        <f>("16/03/2026")</f>
        <v>16/03/2026</v>
      </c>
      <c r="J2720" t="str">
        <f>("16/01/2025")</f>
        <v>16/01/2025</v>
      </c>
      <c r="K2720">
        <v>46099</v>
      </c>
      <c r="N2720">
        <v>106</v>
      </c>
      <c r="O2720" t="s">
        <v>98</v>
      </c>
      <c r="Q2720">
        <v>20</v>
      </c>
      <c r="R2720" t="str">
        <f>"EDSON JUNIOR FERREIRA DA SILVA (99)"</f>
        <v>EDSON JUNIOR FERREIRA DA SILVA (99)</v>
      </c>
      <c r="S2720" t="s">
        <v>99</v>
      </c>
      <c r="T2720">
        <v>30663</v>
      </c>
      <c r="U2720">
        <v>6128</v>
      </c>
      <c r="V2720" t="s">
        <v>22</v>
      </c>
    </row>
    <row r="2721" spans="1:22">
      <c r="A2721" t="str">
        <f t="shared" si="511"/>
        <v>18/03/2026</v>
      </c>
      <c r="B2721" t="str">
        <f>"ENTRADA"</f>
        <v>ENTRADA</v>
      </c>
      <c r="C2721" t="str">
        <f>"DINHEIRO"</f>
        <v>DINHEIRO</v>
      </c>
      <c r="D2721" t="str">
        <f>"04"</f>
        <v>04</v>
      </c>
      <c r="E2721" t="str">
        <f>"39"</f>
        <v>39</v>
      </c>
      <c r="F2721" t="str">
        <f t="shared" si="519"/>
        <v>COM</v>
      </c>
      <c r="G2721" t="str">
        <f>"ELIENAI ROSA DO NASCIMENTO (343)"</f>
        <v>ELIENAI ROSA DO NASCIMENTO (343)</v>
      </c>
      <c r="H2721" t="str">
        <f>"DESCONTO COTA COOPERADO"</f>
        <v>DESCONTO COTA COOPERADO</v>
      </c>
      <c r="I2721" t="str">
        <f>("16/03/2026")</f>
        <v>16/03/2026</v>
      </c>
      <c r="J2721" t="str">
        <f>("16/01/2025")</f>
        <v>16/01/2025</v>
      </c>
      <c r="K2721" t="str">
        <f>("18/03/2026")</f>
        <v>18/03/2026</v>
      </c>
      <c r="L2721">
        <v>20</v>
      </c>
      <c r="M2721">
        <v>20</v>
      </c>
      <c r="N2721">
        <v>106</v>
      </c>
      <c r="O2721" t="str">
        <f>"ENTRADA DE CAPITAL"</f>
        <v>ENTRADA DE CAPITAL</v>
      </c>
      <c r="P2721">
        <v>20</v>
      </c>
      <c r="S2721" t="str">
        <f>"ENTRADA DE CAPITAL (106)"</f>
        <v>ENTRADA DE CAPITAL (106)</v>
      </c>
      <c r="T2721">
        <v>30664</v>
      </c>
      <c r="U2721">
        <v>6160</v>
      </c>
      <c r="V2721" t="s">
        <v>22</v>
      </c>
    </row>
    <row r="2722" spans="1:22">
      <c r="A2722" t="str">
        <f t="shared" si="511"/>
        <v>18/03/2026</v>
      </c>
      <c r="B2722" t="str">
        <f>"ENTRADA"</f>
        <v>ENTRADA</v>
      </c>
      <c r="C2722" t="str">
        <f>"DINHEIRO"</f>
        <v>DINHEIRO</v>
      </c>
      <c r="D2722" t="str">
        <f>"04"</f>
        <v>04</v>
      </c>
      <c r="E2722" t="str">
        <f>"39"</f>
        <v>39</v>
      </c>
      <c r="F2722" t="str">
        <f t="shared" si="519"/>
        <v>COM</v>
      </c>
      <c r="G2722" t="str">
        <f>"ELIENAI ROSA DO NASCIMENTO (343)"</f>
        <v>ELIENAI ROSA DO NASCIMENTO (343)</v>
      </c>
      <c r="H2722" t="s">
        <v>549</v>
      </c>
      <c r="I2722" t="str">
        <f>("16/03/2026")</f>
        <v>16/03/2026</v>
      </c>
      <c r="J2722" t="str">
        <f>("16/01/2025")</f>
        <v>16/01/2025</v>
      </c>
      <c r="K2722">
        <v>46099</v>
      </c>
      <c r="N2722">
        <v>106</v>
      </c>
      <c r="O2722" t="s">
        <v>98</v>
      </c>
      <c r="Q2722">
        <v>20</v>
      </c>
      <c r="R2722" t="str">
        <f>"ELIENAI ROSA DO NASCIMENTO (343)"</f>
        <v>ELIENAI ROSA DO NASCIMENTO (343)</v>
      </c>
      <c r="S2722" t="s">
        <v>99</v>
      </c>
      <c r="T2722">
        <v>30664</v>
      </c>
      <c r="U2722">
        <v>6160</v>
      </c>
      <c r="V2722" t="s">
        <v>22</v>
      </c>
    </row>
    <row r="2723" spans="1:22">
      <c r="A2723" t="str">
        <f t="shared" ref="A2723:A2786" si="521">("18/03/2026")</f>
        <v>18/03/2026</v>
      </c>
      <c r="B2723" t="str">
        <f>"SAÍDA"</f>
        <v>SAÍDA</v>
      </c>
      <c r="C2723" t="str">
        <f>"PIX"</f>
        <v>PIX</v>
      </c>
      <c r="D2723" t="str">
        <f>"34923"</f>
        <v>34923</v>
      </c>
      <c r="E2723" t="str">
        <f>"1"</f>
        <v>1</v>
      </c>
      <c r="F2723" t="str">
        <f t="shared" si="519"/>
        <v>COM</v>
      </c>
      <c r="G2723" t="str">
        <f>"ELIENAI ROSA DO NASCIMENTO (343)"</f>
        <v>ELIENAI ROSA DO NASCIMENTO (343)</v>
      </c>
      <c r="H2723" t="str">
        <f>"Serv.Prest. 09/03/2026 a 15/03/2026 - PIX: CPF - CHAVE: 048.672.645-20"</f>
        <v>Serv.Prest. 09/03/2026 a 15/03/2026 - PIX: CPF - CHAVE: 048.672.645-20</v>
      </c>
      <c r="I2723" t="str">
        <f>("19/03/2026")</f>
        <v>19/03/2026</v>
      </c>
      <c r="J2723" t="str">
        <f>("16/03/2026")</f>
        <v>16/03/2026</v>
      </c>
      <c r="K2723" t="str">
        <f>("18/03/2026")</f>
        <v>18/03/2026</v>
      </c>
      <c r="L2723">
        <v>20</v>
      </c>
      <c r="M2723">
        <v>20</v>
      </c>
      <c r="N2723">
        <v>109</v>
      </c>
      <c r="O2723" t="str">
        <f>"PAGAMENTO DE ENTREGADORES"</f>
        <v>PAGAMENTO DE ENTREGADORES</v>
      </c>
      <c r="P2723">
        <v>20</v>
      </c>
      <c r="S2723" t="str">
        <f>"CAIXA MOVIMENTAÇÃO OPERACIONAL (132)"</f>
        <v>CAIXA MOVIMENTAÇÃO OPERACIONAL (132)</v>
      </c>
      <c r="T2723">
        <v>30665</v>
      </c>
      <c r="U2723">
        <v>35343</v>
      </c>
      <c r="V2723" t="s">
        <v>22</v>
      </c>
    </row>
    <row r="2724" spans="1:22">
      <c r="A2724" t="str">
        <f t="shared" si="521"/>
        <v>18/03/2026</v>
      </c>
      <c r="B2724" t="str">
        <f>"SAÍDA"</f>
        <v>SAÍDA</v>
      </c>
      <c r="C2724" t="str">
        <f>"PIX"</f>
        <v>PIX</v>
      </c>
      <c r="D2724" t="str">
        <f>"34923"</f>
        <v>34923</v>
      </c>
      <c r="E2724" t="str">
        <f>"1"</f>
        <v>1</v>
      </c>
      <c r="F2724" t="str">
        <f t="shared" si="519"/>
        <v>COM</v>
      </c>
      <c r="G2724" t="str">
        <f>"ELIENAI ROSA DO NASCIMENTO (343)"</f>
        <v>ELIENAI ROSA DO NASCIMENTO (343)</v>
      </c>
      <c r="H2724" t="s">
        <v>850</v>
      </c>
      <c r="I2724" t="str">
        <f>("19/03/2026")</f>
        <v>19/03/2026</v>
      </c>
      <c r="J2724" t="str">
        <f>("16/03/2026")</f>
        <v>16/03/2026</v>
      </c>
      <c r="K2724">
        <v>46099</v>
      </c>
      <c r="N2724">
        <v>109</v>
      </c>
      <c r="O2724" t="s">
        <v>27</v>
      </c>
      <c r="Q2724">
        <v>20</v>
      </c>
      <c r="R2724" t="str">
        <f>"DELTA LOJA 2 (10123)"</f>
        <v>DELTA LOJA 2 (10123)</v>
      </c>
      <c r="S2724" t="s">
        <v>22</v>
      </c>
      <c r="T2724">
        <v>30665</v>
      </c>
      <c r="U2724">
        <v>35343</v>
      </c>
      <c r="V2724" t="s">
        <v>22</v>
      </c>
    </row>
    <row r="2725" spans="1:22">
      <c r="A2725" t="str">
        <f t="shared" si="521"/>
        <v>18/03/2026</v>
      </c>
      <c r="B2725" t="str">
        <f>"ENTRADA"</f>
        <v>ENTRADA</v>
      </c>
      <c r="C2725" t="str">
        <f>"DINHEIRO"</f>
        <v>DINHEIRO</v>
      </c>
      <c r="D2725" t="str">
        <f>"06"</f>
        <v>06</v>
      </c>
      <c r="E2725" t="str">
        <f>"39"</f>
        <v>39</v>
      </c>
      <c r="F2725" t="str">
        <f t="shared" si="519"/>
        <v>COM</v>
      </c>
      <c r="G2725" t="str">
        <f>"EUDES PIMENTA (368)"</f>
        <v>EUDES PIMENTA (368)</v>
      </c>
      <c r="H2725" t="str">
        <f>"DESCONTO COTA COOPERADO"</f>
        <v>DESCONTO COTA COOPERADO</v>
      </c>
      <c r="I2725" t="str">
        <f>("16/03/2026")</f>
        <v>16/03/2026</v>
      </c>
      <c r="J2725" t="str">
        <f>("16/01/2025")</f>
        <v>16/01/2025</v>
      </c>
      <c r="K2725" t="str">
        <f>("18/03/2026")</f>
        <v>18/03/2026</v>
      </c>
      <c r="L2725">
        <v>20</v>
      </c>
      <c r="M2725">
        <v>20</v>
      </c>
      <c r="N2725">
        <v>106</v>
      </c>
      <c r="O2725" t="str">
        <f>"ENTRADA DE CAPITAL"</f>
        <v>ENTRADA DE CAPITAL</v>
      </c>
      <c r="P2725">
        <v>20</v>
      </c>
      <c r="S2725" t="str">
        <f>"ENTRADA DE CAPITAL (106)"</f>
        <v>ENTRADA DE CAPITAL (106)</v>
      </c>
      <c r="T2725">
        <v>30666</v>
      </c>
      <c r="U2725">
        <v>6183</v>
      </c>
      <c r="V2725" t="s">
        <v>22</v>
      </c>
    </row>
    <row r="2726" spans="1:22">
      <c r="A2726" t="str">
        <f t="shared" si="521"/>
        <v>18/03/2026</v>
      </c>
      <c r="B2726" t="str">
        <f>"ENTRADA"</f>
        <v>ENTRADA</v>
      </c>
      <c r="C2726" t="str">
        <f>"DINHEIRO"</f>
        <v>DINHEIRO</v>
      </c>
      <c r="D2726" t="str">
        <f>"06"</f>
        <v>06</v>
      </c>
      <c r="E2726" t="str">
        <f>"39"</f>
        <v>39</v>
      </c>
      <c r="F2726" t="str">
        <f t="shared" si="519"/>
        <v>COM</v>
      </c>
      <c r="G2726" t="str">
        <f>"EUDES PIMENTA (368)"</f>
        <v>EUDES PIMENTA (368)</v>
      </c>
      <c r="H2726" t="s">
        <v>549</v>
      </c>
      <c r="I2726" t="str">
        <f>("16/03/2026")</f>
        <v>16/03/2026</v>
      </c>
      <c r="J2726" t="str">
        <f>("16/01/2025")</f>
        <v>16/01/2025</v>
      </c>
      <c r="K2726">
        <v>46099</v>
      </c>
      <c r="N2726">
        <v>106</v>
      </c>
      <c r="O2726" t="s">
        <v>98</v>
      </c>
      <c r="Q2726">
        <v>20</v>
      </c>
      <c r="R2726" t="str">
        <f>"EUDES PIMENTA (368)"</f>
        <v>EUDES PIMENTA (368)</v>
      </c>
      <c r="S2726" t="s">
        <v>99</v>
      </c>
      <c r="T2726">
        <v>30666</v>
      </c>
      <c r="U2726">
        <v>6183</v>
      </c>
      <c r="V2726" t="s">
        <v>22</v>
      </c>
    </row>
    <row r="2727" spans="1:22">
      <c r="A2727" t="str">
        <f t="shared" si="521"/>
        <v>18/03/2026</v>
      </c>
      <c r="B2727" t="str">
        <f>"SAÍDA"</f>
        <v>SAÍDA</v>
      </c>
      <c r="C2727" t="str">
        <f>"PIX"</f>
        <v>PIX</v>
      </c>
      <c r="D2727" t="str">
        <f>"34569"</f>
        <v>34569</v>
      </c>
      <c r="E2727" t="str">
        <f>"1"</f>
        <v>1</v>
      </c>
      <c r="F2727" t="str">
        <f t="shared" si="519"/>
        <v>COM</v>
      </c>
      <c r="G2727" t="str">
        <f>"EUDES PIMENTA (368)"</f>
        <v>EUDES PIMENTA (368)</v>
      </c>
      <c r="H2727" t="str">
        <f>"Serv.Prest. 02/03/2026 a 08/03/2026 - PIX: CPF - CHAVE: 070.073.316-70"</f>
        <v>Serv.Prest. 02/03/2026 a 08/03/2026 - PIX: CPF - CHAVE: 070.073.316-70</v>
      </c>
      <c r="I2727" t="str">
        <f>("19/03/2026")</f>
        <v>19/03/2026</v>
      </c>
      <c r="J2727" t="str">
        <f>("10/03/2026")</f>
        <v>10/03/2026</v>
      </c>
      <c r="K2727" t="str">
        <f>("18/03/2026")</f>
        <v>18/03/2026</v>
      </c>
      <c r="L2727">
        <v>20</v>
      </c>
      <c r="M2727">
        <v>20</v>
      </c>
      <c r="N2727">
        <v>109</v>
      </c>
      <c r="O2727" t="str">
        <f>"PAGAMENTO DE ENTREGADORES"</f>
        <v>PAGAMENTO DE ENTREGADORES</v>
      </c>
      <c r="P2727">
        <v>20</v>
      </c>
      <c r="S2727" t="str">
        <f>"CAIXA MOVIMENTAÇÃO OPERACIONAL (132)"</f>
        <v>CAIXA MOVIMENTAÇÃO OPERACIONAL (132)</v>
      </c>
      <c r="T2727">
        <v>30667</v>
      </c>
      <c r="U2727">
        <v>35344</v>
      </c>
      <c r="V2727" t="s">
        <v>22</v>
      </c>
    </row>
    <row r="2728" spans="1:22">
      <c r="A2728" t="str">
        <f t="shared" si="521"/>
        <v>18/03/2026</v>
      </c>
      <c r="B2728" t="str">
        <f>"SAÍDA"</f>
        <v>SAÍDA</v>
      </c>
      <c r="C2728" t="str">
        <f>"PIX"</f>
        <v>PIX</v>
      </c>
      <c r="D2728" t="str">
        <f>"34569"</f>
        <v>34569</v>
      </c>
      <c r="E2728" t="str">
        <f>"1"</f>
        <v>1</v>
      </c>
      <c r="F2728" t="str">
        <f t="shared" si="519"/>
        <v>COM</v>
      </c>
      <c r="G2728" t="str">
        <f>"EUDES PIMENTA (368)"</f>
        <v>EUDES PIMENTA (368)</v>
      </c>
      <c r="H2728" t="s">
        <v>851</v>
      </c>
      <c r="I2728" t="str">
        <f>("19/03/2026")</f>
        <v>19/03/2026</v>
      </c>
      <c r="J2728" t="str">
        <f>("10/03/2026")</f>
        <v>10/03/2026</v>
      </c>
      <c r="K2728">
        <v>46099</v>
      </c>
      <c r="N2728">
        <v>109</v>
      </c>
      <c r="O2728" t="s">
        <v>27</v>
      </c>
      <c r="Q2728">
        <v>20</v>
      </c>
      <c r="R2728" t="str">
        <f>"FARMÁCIA INDIANA LJ 06 (10006)"</f>
        <v>FARMÁCIA INDIANA LJ 06 (10006)</v>
      </c>
      <c r="S2728" t="s">
        <v>22</v>
      </c>
      <c r="T2728">
        <v>30667</v>
      </c>
      <c r="U2728">
        <v>35344</v>
      </c>
      <c r="V2728" t="s">
        <v>22</v>
      </c>
    </row>
    <row r="2729" spans="1:22">
      <c r="A2729" t="str">
        <f t="shared" si="521"/>
        <v>18/03/2026</v>
      </c>
      <c r="B2729" t="str">
        <f>"ENTRADA"</f>
        <v>ENTRADA</v>
      </c>
      <c r="C2729" t="str">
        <f>"DINHEIRO"</f>
        <v>DINHEIRO</v>
      </c>
      <c r="D2729" t="str">
        <f>"10"</f>
        <v>10</v>
      </c>
      <c r="E2729" t="str">
        <f>"39"</f>
        <v>39</v>
      </c>
      <c r="F2729" t="str">
        <f t="shared" si="519"/>
        <v>COM</v>
      </c>
      <c r="G2729" t="str">
        <f>"GUILHERME QUINTINO DA ROCHA (199)"</f>
        <v>GUILHERME QUINTINO DA ROCHA (199)</v>
      </c>
      <c r="H2729" t="str">
        <f>"DESCONTO COTA COOPERADO"</f>
        <v>DESCONTO COTA COOPERADO</v>
      </c>
      <c r="I2729" t="str">
        <f>("16/03/2026")</f>
        <v>16/03/2026</v>
      </c>
      <c r="J2729" t="str">
        <f>("16/01/2025")</f>
        <v>16/01/2025</v>
      </c>
      <c r="K2729" t="str">
        <f>("18/03/2026")</f>
        <v>18/03/2026</v>
      </c>
      <c r="L2729">
        <v>20</v>
      </c>
      <c r="M2729">
        <v>20</v>
      </c>
      <c r="N2729">
        <v>106</v>
      </c>
      <c r="O2729" t="str">
        <f>"ENTRADA DE CAPITAL"</f>
        <v>ENTRADA DE CAPITAL</v>
      </c>
      <c r="P2729">
        <v>20</v>
      </c>
      <c r="S2729" t="str">
        <f>"ENTRADA DE CAPITAL (106)"</f>
        <v>ENTRADA DE CAPITAL (106)</v>
      </c>
      <c r="T2729">
        <v>30668</v>
      </c>
      <c r="U2729">
        <v>6417</v>
      </c>
      <c r="V2729" t="s">
        <v>22</v>
      </c>
    </row>
    <row r="2730" spans="1:22">
      <c r="A2730" t="str">
        <f t="shared" si="521"/>
        <v>18/03/2026</v>
      </c>
      <c r="B2730" t="str">
        <f>"ENTRADA"</f>
        <v>ENTRADA</v>
      </c>
      <c r="C2730" t="str">
        <f>"DINHEIRO"</f>
        <v>DINHEIRO</v>
      </c>
      <c r="D2730" t="str">
        <f>"10"</f>
        <v>10</v>
      </c>
      <c r="E2730" t="str">
        <f>"39"</f>
        <v>39</v>
      </c>
      <c r="F2730" t="str">
        <f t="shared" si="519"/>
        <v>COM</v>
      </c>
      <c r="G2730" t="str">
        <f>"GUILHERME QUINTINO DA ROCHA (199)"</f>
        <v>GUILHERME QUINTINO DA ROCHA (199)</v>
      </c>
      <c r="H2730" t="s">
        <v>549</v>
      </c>
      <c r="I2730" t="str">
        <f>("16/03/2026")</f>
        <v>16/03/2026</v>
      </c>
      <c r="J2730" t="str">
        <f>("16/01/2025")</f>
        <v>16/01/2025</v>
      </c>
      <c r="K2730">
        <v>46099</v>
      </c>
      <c r="N2730">
        <v>106</v>
      </c>
      <c r="O2730" t="s">
        <v>98</v>
      </c>
      <c r="Q2730">
        <v>20</v>
      </c>
      <c r="R2730" t="str">
        <f>"GUILHERME QUINTINO DA ROCHA (199)"</f>
        <v>GUILHERME QUINTINO DA ROCHA (199)</v>
      </c>
      <c r="S2730" t="s">
        <v>99</v>
      </c>
      <c r="T2730">
        <v>30668</v>
      </c>
      <c r="U2730">
        <v>6417</v>
      </c>
      <c r="V2730" t="s">
        <v>22</v>
      </c>
    </row>
    <row r="2731" spans="1:22">
      <c r="A2731" t="str">
        <f t="shared" si="521"/>
        <v>18/03/2026</v>
      </c>
      <c r="B2731" t="str">
        <f>"SAÍDA"</f>
        <v>SAÍDA</v>
      </c>
      <c r="C2731" t="str">
        <f>"PIX"</f>
        <v>PIX</v>
      </c>
      <c r="D2731" t="str">
        <f>"34579"</f>
        <v>34579</v>
      </c>
      <c r="E2731" t="str">
        <f>"1"</f>
        <v>1</v>
      </c>
      <c r="F2731" t="str">
        <f t="shared" si="519"/>
        <v>COM</v>
      </c>
      <c r="G2731" t="str">
        <f>"GUILHERME QUINTINO DA ROCHA (199)"</f>
        <v>GUILHERME QUINTINO DA ROCHA (199)</v>
      </c>
      <c r="H2731" t="str">
        <f>"Serv.Prest. 02/03/2026 a 08/03/2026 - PIX: CELULAR - CHAVE: (33) 99706-4860"</f>
        <v>Serv.Prest. 02/03/2026 a 08/03/2026 - PIX: CELULAR - CHAVE: (33) 99706-4860</v>
      </c>
      <c r="I2731" t="str">
        <f>("19/03/2026")</f>
        <v>19/03/2026</v>
      </c>
      <c r="J2731" t="str">
        <f>("10/03/2026")</f>
        <v>10/03/2026</v>
      </c>
      <c r="K2731" t="str">
        <f>("18/03/2026")</f>
        <v>18/03/2026</v>
      </c>
      <c r="L2731">
        <v>20</v>
      </c>
      <c r="M2731">
        <v>20</v>
      </c>
      <c r="N2731">
        <v>109</v>
      </c>
      <c r="O2731" t="str">
        <f>"PAGAMENTO DE ENTREGADORES"</f>
        <v>PAGAMENTO DE ENTREGADORES</v>
      </c>
      <c r="P2731">
        <v>20</v>
      </c>
      <c r="S2731" t="str">
        <f>"CAIXA MOVIMENTAÇÃO OPERACIONAL (132)"</f>
        <v>CAIXA MOVIMENTAÇÃO OPERACIONAL (132)</v>
      </c>
      <c r="T2731">
        <v>30669</v>
      </c>
      <c r="U2731">
        <v>35345</v>
      </c>
      <c r="V2731" t="s">
        <v>22</v>
      </c>
    </row>
    <row r="2732" spans="1:22">
      <c r="A2732" t="str">
        <f t="shared" si="521"/>
        <v>18/03/2026</v>
      </c>
      <c r="B2732" t="str">
        <f>"SAÍDA"</f>
        <v>SAÍDA</v>
      </c>
      <c r="C2732" t="str">
        <f>"PIX"</f>
        <v>PIX</v>
      </c>
      <c r="D2732" t="str">
        <f>"34579"</f>
        <v>34579</v>
      </c>
      <c r="E2732" t="str">
        <f>"1"</f>
        <v>1</v>
      </c>
      <c r="F2732" t="str">
        <f t="shared" si="519"/>
        <v>COM</v>
      </c>
      <c r="G2732" t="str">
        <f>"GUILHERME QUINTINO DA ROCHA (199)"</f>
        <v>GUILHERME QUINTINO DA ROCHA (199)</v>
      </c>
      <c r="H2732" t="s">
        <v>852</v>
      </c>
      <c r="I2732" t="str">
        <f>("19/03/2026")</f>
        <v>19/03/2026</v>
      </c>
      <c r="J2732" t="str">
        <f>("10/03/2026")</f>
        <v>10/03/2026</v>
      </c>
      <c r="K2732">
        <v>46099</v>
      </c>
      <c r="N2732">
        <v>109</v>
      </c>
      <c r="O2732" t="s">
        <v>27</v>
      </c>
      <c r="Q2732">
        <v>20</v>
      </c>
      <c r="R2732" t="str">
        <f>"FARMÁCIA INDIANA LJ 06 (10006)"</f>
        <v>FARMÁCIA INDIANA LJ 06 (10006)</v>
      </c>
      <c r="S2732" t="s">
        <v>22</v>
      </c>
      <c r="T2732">
        <v>30669</v>
      </c>
      <c r="U2732">
        <v>35345</v>
      </c>
      <c r="V2732" t="s">
        <v>22</v>
      </c>
    </row>
    <row r="2733" spans="1:22">
      <c r="A2733" t="str">
        <f t="shared" si="521"/>
        <v>18/03/2026</v>
      </c>
      <c r="B2733" t="str">
        <f>"ENTRADA"</f>
        <v>ENTRADA</v>
      </c>
      <c r="C2733" t="str">
        <f>"DINHEIRO"</f>
        <v>DINHEIRO</v>
      </c>
      <c r="D2733" t="str">
        <f>"09"</f>
        <v>09</v>
      </c>
      <c r="E2733" t="str">
        <f>"39"</f>
        <v>39</v>
      </c>
      <c r="F2733" t="str">
        <f t="shared" si="519"/>
        <v>COM</v>
      </c>
      <c r="G2733" t="str">
        <f>"IVAN SOUZA SANTOS (101)"</f>
        <v>IVAN SOUZA SANTOS (101)</v>
      </c>
      <c r="H2733" t="str">
        <f>"DESCONTO COTA COOPERADO"</f>
        <v>DESCONTO COTA COOPERADO</v>
      </c>
      <c r="I2733" t="str">
        <f>("16/03/2026")</f>
        <v>16/03/2026</v>
      </c>
      <c r="J2733" t="str">
        <f>("16/01/2025")</f>
        <v>16/01/2025</v>
      </c>
      <c r="K2733" t="str">
        <f>("18/03/2026")</f>
        <v>18/03/2026</v>
      </c>
      <c r="L2733">
        <v>20</v>
      </c>
      <c r="M2733">
        <v>20</v>
      </c>
      <c r="N2733">
        <v>106</v>
      </c>
      <c r="O2733" t="str">
        <f>"ENTRADA DE CAPITAL"</f>
        <v>ENTRADA DE CAPITAL</v>
      </c>
      <c r="P2733">
        <v>20</v>
      </c>
      <c r="S2733" t="str">
        <f>"ENTRADA DE CAPITAL (106)"</f>
        <v>ENTRADA DE CAPITAL (106)</v>
      </c>
      <c r="T2733">
        <v>30670</v>
      </c>
      <c r="U2733">
        <v>6529</v>
      </c>
      <c r="V2733" t="s">
        <v>22</v>
      </c>
    </row>
    <row r="2734" spans="1:22">
      <c r="A2734" t="str">
        <f t="shared" si="521"/>
        <v>18/03/2026</v>
      </c>
      <c r="B2734" t="str">
        <f>"ENTRADA"</f>
        <v>ENTRADA</v>
      </c>
      <c r="C2734" t="str">
        <f>"DINHEIRO"</f>
        <v>DINHEIRO</v>
      </c>
      <c r="D2734" t="str">
        <f>"09"</f>
        <v>09</v>
      </c>
      <c r="E2734" t="str">
        <f>"39"</f>
        <v>39</v>
      </c>
      <c r="F2734" t="str">
        <f t="shared" si="519"/>
        <v>COM</v>
      </c>
      <c r="G2734" t="str">
        <f>"IVAN SOUZA SANTOS (101)"</f>
        <v>IVAN SOUZA SANTOS (101)</v>
      </c>
      <c r="H2734" t="s">
        <v>549</v>
      </c>
      <c r="I2734" t="str">
        <f>("16/03/2026")</f>
        <v>16/03/2026</v>
      </c>
      <c r="J2734" t="str">
        <f>("16/01/2025")</f>
        <v>16/01/2025</v>
      </c>
      <c r="K2734">
        <v>46099</v>
      </c>
      <c r="N2734">
        <v>106</v>
      </c>
      <c r="O2734" t="s">
        <v>98</v>
      </c>
      <c r="Q2734">
        <v>20</v>
      </c>
      <c r="R2734" t="str">
        <f>"IVAN SOUZA SANTOS (101)"</f>
        <v>IVAN SOUZA SANTOS (101)</v>
      </c>
      <c r="S2734" t="s">
        <v>99</v>
      </c>
      <c r="T2734">
        <v>30670</v>
      </c>
      <c r="U2734">
        <v>6529</v>
      </c>
      <c r="V2734" t="s">
        <v>22</v>
      </c>
    </row>
    <row r="2735" spans="1:22">
      <c r="A2735" t="str">
        <f t="shared" si="521"/>
        <v>18/03/2026</v>
      </c>
      <c r="B2735" t="str">
        <f>"SAÍDA"</f>
        <v>SAÍDA</v>
      </c>
      <c r="C2735" t="str">
        <f>"PIX"</f>
        <v>PIX</v>
      </c>
      <c r="D2735" t="str">
        <f>"34581"</f>
        <v>34581</v>
      </c>
      <c r="E2735" t="str">
        <f>"1"</f>
        <v>1</v>
      </c>
      <c r="F2735" t="str">
        <f t="shared" si="519"/>
        <v>COM</v>
      </c>
      <c r="G2735" t="str">
        <f>"IVAN SOUZA SANTOS (101)"</f>
        <v>IVAN SOUZA SANTOS (101)</v>
      </c>
      <c r="H2735" t="str">
        <f>"Serv.Prest. 02/03/2026 a 08/03/2026 - PIX: CELULAR - CHAVE: (33) 98429-0263"</f>
        <v>Serv.Prest. 02/03/2026 a 08/03/2026 - PIX: CELULAR - CHAVE: (33) 98429-0263</v>
      </c>
      <c r="I2735" t="str">
        <f>("19/03/2026")</f>
        <v>19/03/2026</v>
      </c>
      <c r="J2735" t="str">
        <f>("10/03/2026")</f>
        <v>10/03/2026</v>
      </c>
      <c r="K2735" t="str">
        <f>("18/03/2026")</f>
        <v>18/03/2026</v>
      </c>
      <c r="L2735">
        <v>20</v>
      </c>
      <c r="M2735">
        <v>20</v>
      </c>
      <c r="N2735">
        <v>109</v>
      </c>
      <c r="O2735" t="str">
        <f>"PAGAMENTO DE ENTREGADORES"</f>
        <v>PAGAMENTO DE ENTREGADORES</v>
      </c>
      <c r="P2735">
        <v>20</v>
      </c>
      <c r="S2735" t="str">
        <f>"CAIXA MOVIMENTAÇÃO OPERACIONAL (132)"</f>
        <v>CAIXA MOVIMENTAÇÃO OPERACIONAL (132)</v>
      </c>
      <c r="T2735">
        <v>30671</v>
      </c>
      <c r="U2735">
        <v>35346</v>
      </c>
      <c r="V2735" t="s">
        <v>22</v>
      </c>
    </row>
    <row r="2736" spans="1:22">
      <c r="A2736" t="str">
        <f t="shared" si="521"/>
        <v>18/03/2026</v>
      </c>
      <c r="B2736" t="str">
        <f>"SAÍDA"</f>
        <v>SAÍDA</v>
      </c>
      <c r="C2736" t="str">
        <f>"PIX"</f>
        <v>PIX</v>
      </c>
      <c r="D2736" t="str">
        <f>"34581"</f>
        <v>34581</v>
      </c>
      <c r="E2736" t="str">
        <f>"1"</f>
        <v>1</v>
      </c>
      <c r="F2736" t="str">
        <f t="shared" si="519"/>
        <v>COM</v>
      </c>
      <c r="G2736" t="str">
        <f>"IVAN SOUZA SANTOS (101)"</f>
        <v>IVAN SOUZA SANTOS (101)</v>
      </c>
      <c r="H2736" t="s">
        <v>853</v>
      </c>
      <c r="I2736" t="str">
        <f>("19/03/2026")</f>
        <v>19/03/2026</v>
      </c>
      <c r="J2736" t="str">
        <f>("10/03/2026")</f>
        <v>10/03/2026</v>
      </c>
      <c r="K2736">
        <v>46099</v>
      </c>
      <c r="N2736">
        <v>109</v>
      </c>
      <c r="O2736" t="s">
        <v>27</v>
      </c>
      <c r="Q2736">
        <v>20</v>
      </c>
      <c r="R2736" t="str">
        <f>"FARMÁCIA INDIANA LJ 59 (10026)"</f>
        <v>FARMÁCIA INDIANA LJ 59 (10026)</v>
      </c>
      <c r="S2736" t="s">
        <v>22</v>
      </c>
      <c r="T2736">
        <v>30671</v>
      </c>
      <c r="U2736">
        <v>35346</v>
      </c>
      <c r="V2736" t="s">
        <v>22</v>
      </c>
    </row>
    <row r="2737" spans="1:22">
      <c r="A2737" t="str">
        <f t="shared" si="521"/>
        <v>18/03/2026</v>
      </c>
      <c r="B2737" t="str">
        <f>"SAÍDA"</f>
        <v>SAÍDA</v>
      </c>
      <c r="C2737" t="str">
        <f>"PIX"</f>
        <v>PIX</v>
      </c>
      <c r="D2737" t="str">
        <f>"34502"</f>
        <v>34502</v>
      </c>
      <c r="E2737" t="str">
        <f>"1"</f>
        <v>1</v>
      </c>
      <c r="F2737" t="str">
        <f t="shared" si="519"/>
        <v>COM</v>
      </c>
      <c r="G2737" t="str">
        <f>"JALDENIR MENDES DOS SANTOS (167)"</f>
        <v>JALDENIR MENDES DOS SANTOS (167)</v>
      </c>
      <c r="H2737" t="str">
        <f>"Serv.Prest. 02/03/2026 a 08/03/2026 - PIX: CPF - CHAVE: 439.169.103-53"</f>
        <v>Serv.Prest. 02/03/2026 a 08/03/2026 - PIX: CPF - CHAVE: 439.169.103-53</v>
      </c>
      <c r="I2737" t="str">
        <f>("19/03/2026")</f>
        <v>19/03/2026</v>
      </c>
      <c r="J2737" t="str">
        <f>("10/03/2026")</f>
        <v>10/03/2026</v>
      </c>
      <c r="K2737" t="str">
        <f>("18/03/2026")</f>
        <v>18/03/2026</v>
      </c>
      <c r="L2737">
        <v>20</v>
      </c>
      <c r="M2737">
        <v>20</v>
      </c>
      <c r="N2737">
        <v>109</v>
      </c>
      <c r="O2737" t="str">
        <f>"PAGAMENTO DE ENTREGADORES"</f>
        <v>PAGAMENTO DE ENTREGADORES</v>
      </c>
      <c r="P2737">
        <v>20</v>
      </c>
      <c r="S2737" t="str">
        <f>"CAIXA MOVIMENTAÇÃO OPERACIONAL (132)"</f>
        <v>CAIXA MOVIMENTAÇÃO OPERACIONAL (132)</v>
      </c>
      <c r="T2737">
        <v>30672</v>
      </c>
      <c r="U2737">
        <v>35347</v>
      </c>
      <c r="V2737" t="s">
        <v>22</v>
      </c>
    </row>
    <row r="2738" spans="1:22">
      <c r="A2738" t="str">
        <f t="shared" si="521"/>
        <v>18/03/2026</v>
      </c>
      <c r="B2738" t="str">
        <f>"SAÍDA"</f>
        <v>SAÍDA</v>
      </c>
      <c r="C2738" t="str">
        <f>"PIX"</f>
        <v>PIX</v>
      </c>
      <c r="D2738" t="str">
        <f>"34502"</f>
        <v>34502</v>
      </c>
      <c r="E2738" t="str">
        <f>"1"</f>
        <v>1</v>
      </c>
      <c r="F2738" t="str">
        <f t="shared" si="519"/>
        <v>COM</v>
      </c>
      <c r="G2738" t="str">
        <f>"JALDENIR MENDES DOS SANTOS (167)"</f>
        <v>JALDENIR MENDES DOS SANTOS (167)</v>
      </c>
      <c r="H2738" t="s">
        <v>854</v>
      </c>
      <c r="I2738" t="str">
        <f>("19/03/2026")</f>
        <v>19/03/2026</v>
      </c>
      <c r="J2738" t="str">
        <f>("10/03/2026")</f>
        <v>10/03/2026</v>
      </c>
      <c r="K2738">
        <v>46099</v>
      </c>
      <c r="N2738">
        <v>109</v>
      </c>
      <c r="O2738" t="s">
        <v>27</v>
      </c>
      <c r="Q2738">
        <v>20</v>
      </c>
      <c r="R2738" t="str">
        <f>"FARMÁCIA INDIANA LJ 34 (10014)"</f>
        <v>FARMÁCIA INDIANA LJ 34 (10014)</v>
      </c>
      <c r="S2738" t="s">
        <v>22</v>
      </c>
      <c r="T2738">
        <v>30672</v>
      </c>
      <c r="U2738">
        <v>35347</v>
      </c>
      <c r="V2738" t="s">
        <v>22</v>
      </c>
    </row>
    <row r="2739" spans="1:22">
      <c r="A2739" t="str">
        <f t="shared" si="521"/>
        <v>18/03/2026</v>
      </c>
      <c r="B2739" t="str">
        <f>"ENTRADA"</f>
        <v>ENTRADA</v>
      </c>
      <c r="C2739" t="str">
        <f>"DINHEIRO"</f>
        <v>DINHEIRO</v>
      </c>
      <c r="D2739" t="str">
        <f>"11"</f>
        <v>11</v>
      </c>
      <c r="E2739" t="str">
        <f>"39"</f>
        <v>39</v>
      </c>
      <c r="F2739" t="str">
        <f t="shared" si="519"/>
        <v>COM</v>
      </c>
      <c r="G2739" t="str">
        <f>"JALDENIR MENDES DOS SANTOS (167)"</f>
        <v>JALDENIR MENDES DOS SANTOS (167)</v>
      </c>
      <c r="H2739" t="str">
        <f>"DESCONTO COTA COOPERADO"</f>
        <v>DESCONTO COTA COOPERADO</v>
      </c>
      <c r="I2739" t="str">
        <f>("16/03/2026")</f>
        <v>16/03/2026</v>
      </c>
      <c r="J2739" t="str">
        <f>("16/01/2025")</f>
        <v>16/01/2025</v>
      </c>
      <c r="K2739" t="str">
        <f>("18/03/2026")</f>
        <v>18/03/2026</v>
      </c>
      <c r="L2739">
        <v>20</v>
      </c>
      <c r="M2739">
        <v>20</v>
      </c>
      <c r="N2739">
        <v>106</v>
      </c>
      <c r="O2739" t="str">
        <f>"ENTRADA DE CAPITAL"</f>
        <v>ENTRADA DE CAPITAL</v>
      </c>
      <c r="P2739">
        <v>20</v>
      </c>
      <c r="S2739" t="str">
        <f>"ENTRADA DE CAPITAL (106)"</f>
        <v>ENTRADA DE CAPITAL (106)</v>
      </c>
      <c r="T2739">
        <v>30673</v>
      </c>
      <c r="U2739">
        <v>6547</v>
      </c>
      <c r="V2739" t="s">
        <v>22</v>
      </c>
    </row>
    <row r="2740" spans="1:22">
      <c r="A2740" t="str">
        <f t="shared" si="521"/>
        <v>18/03/2026</v>
      </c>
      <c r="B2740" t="str">
        <f>"ENTRADA"</f>
        <v>ENTRADA</v>
      </c>
      <c r="C2740" t="str">
        <f>"DINHEIRO"</f>
        <v>DINHEIRO</v>
      </c>
      <c r="D2740" t="str">
        <f>"11"</f>
        <v>11</v>
      </c>
      <c r="E2740" t="str">
        <f>"39"</f>
        <v>39</v>
      </c>
      <c r="F2740" t="str">
        <f t="shared" si="519"/>
        <v>COM</v>
      </c>
      <c r="G2740" t="str">
        <f>"JALDENIR MENDES DOS SANTOS (167)"</f>
        <v>JALDENIR MENDES DOS SANTOS (167)</v>
      </c>
      <c r="H2740" t="s">
        <v>549</v>
      </c>
      <c r="I2740" t="str">
        <f>("16/03/2026")</f>
        <v>16/03/2026</v>
      </c>
      <c r="J2740" t="str">
        <f>("16/01/2025")</f>
        <v>16/01/2025</v>
      </c>
      <c r="K2740">
        <v>46099</v>
      </c>
      <c r="N2740">
        <v>106</v>
      </c>
      <c r="O2740" t="s">
        <v>98</v>
      </c>
      <c r="Q2740">
        <v>20</v>
      </c>
      <c r="R2740" t="str">
        <f>"JALDENIR MENDES DOS SANTOS (167)"</f>
        <v>JALDENIR MENDES DOS SANTOS (167)</v>
      </c>
      <c r="S2740" t="s">
        <v>99</v>
      </c>
      <c r="T2740">
        <v>30673</v>
      </c>
      <c r="U2740">
        <v>6547</v>
      </c>
      <c r="V2740" t="s">
        <v>22</v>
      </c>
    </row>
    <row r="2741" spans="1:22">
      <c r="A2741" t="str">
        <f t="shared" si="521"/>
        <v>18/03/2026</v>
      </c>
      <c r="B2741" t="str">
        <f>"ENTRADA"</f>
        <v>ENTRADA</v>
      </c>
      <c r="C2741" t="str">
        <f>"DINHEIRO"</f>
        <v>DINHEIRO</v>
      </c>
      <c r="D2741" t="str">
        <f>"02"</f>
        <v>02</v>
      </c>
      <c r="E2741" t="str">
        <f>"39"</f>
        <v>39</v>
      </c>
      <c r="F2741" t="str">
        <f t="shared" si="519"/>
        <v>COM</v>
      </c>
      <c r="G2741" t="str">
        <f>"JEAN ARAÚJO SANTOS GERMANO (551)"</f>
        <v>JEAN ARAÚJO SANTOS GERMANO (551)</v>
      </c>
      <c r="H2741" t="str">
        <f>"DESCONTO COTA COOPERADO"</f>
        <v>DESCONTO COTA COOPERADO</v>
      </c>
      <c r="I2741" t="str">
        <f>("16/03/2026")</f>
        <v>16/03/2026</v>
      </c>
      <c r="J2741" t="str">
        <f>("16/01/2025")</f>
        <v>16/01/2025</v>
      </c>
      <c r="K2741" t="str">
        <f>("18/03/2026")</f>
        <v>18/03/2026</v>
      </c>
      <c r="L2741">
        <v>20</v>
      </c>
      <c r="M2741">
        <v>20</v>
      </c>
      <c r="N2741">
        <v>106</v>
      </c>
      <c r="O2741" t="str">
        <f>"ENTRADA DE CAPITAL"</f>
        <v>ENTRADA DE CAPITAL</v>
      </c>
      <c r="P2741">
        <v>20</v>
      </c>
      <c r="S2741" t="str">
        <f>"ENTRADA DE CAPITAL (106)"</f>
        <v>ENTRADA DE CAPITAL (106)</v>
      </c>
      <c r="T2741">
        <v>30674</v>
      </c>
      <c r="U2741">
        <v>6587</v>
      </c>
      <c r="V2741" t="s">
        <v>22</v>
      </c>
    </row>
    <row r="2742" spans="1:22">
      <c r="A2742" t="str">
        <f t="shared" si="521"/>
        <v>18/03/2026</v>
      </c>
      <c r="B2742" t="str">
        <f>"ENTRADA"</f>
        <v>ENTRADA</v>
      </c>
      <c r="C2742" t="str">
        <f>"DINHEIRO"</f>
        <v>DINHEIRO</v>
      </c>
      <c r="D2742" t="str">
        <f>"02"</f>
        <v>02</v>
      </c>
      <c r="E2742" t="str">
        <f>"39"</f>
        <v>39</v>
      </c>
      <c r="F2742" t="str">
        <f t="shared" si="519"/>
        <v>COM</v>
      </c>
      <c r="G2742" t="str">
        <f>"JEAN ARAÚJO SANTOS GERMANO (551)"</f>
        <v>JEAN ARAÚJO SANTOS GERMANO (551)</v>
      </c>
      <c r="H2742" t="s">
        <v>549</v>
      </c>
      <c r="I2742" t="str">
        <f>("16/03/2026")</f>
        <v>16/03/2026</v>
      </c>
      <c r="J2742" t="str">
        <f>("16/01/2025")</f>
        <v>16/01/2025</v>
      </c>
      <c r="K2742">
        <v>46099</v>
      </c>
      <c r="N2742">
        <v>106</v>
      </c>
      <c r="O2742" t="s">
        <v>98</v>
      </c>
      <c r="Q2742">
        <v>20</v>
      </c>
      <c r="R2742" t="str">
        <f>"JEAN ARAÚJO SANTOS GERMANO (551)"</f>
        <v>JEAN ARAÚJO SANTOS GERMANO (551)</v>
      </c>
      <c r="S2742" t="s">
        <v>99</v>
      </c>
      <c r="T2742">
        <v>30674</v>
      </c>
      <c r="U2742">
        <v>6587</v>
      </c>
      <c r="V2742" t="s">
        <v>22</v>
      </c>
    </row>
    <row r="2743" spans="1:22">
      <c r="A2743" t="str">
        <f t="shared" si="521"/>
        <v>18/03/2026</v>
      </c>
      <c r="B2743" t="str">
        <f>"SAÍDA"</f>
        <v>SAÍDA</v>
      </c>
      <c r="C2743" t="str">
        <f>"PIX"</f>
        <v>PIX</v>
      </c>
      <c r="D2743" t="str">
        <f>"34583"</f>
        <v>34583</v>
      </c>
      <c r="E2743" t="str">
        <f>"1"</f>
        <v>1</v>
      </c>
      <c r="F2743" t="str">
        <f t="shared" si="519"/>
        <v>COM</v>
      </c>
      <c r="G2743" t="str">
        <f>"JEAN ARAÚJO SANTOS GERMANO (551)"</f>
        <v>JEAN ARAÚJO SANTOS GERMANO (551)</v>
      </c>
      <c r="H2743" t="str">
        <f>"Serv.Prest. 02/03/2026 a 08/03/2026 - PIX: CELULAR - CHAVE: (31) 99812-7173"</f>
        <v>Serv.Prest. 02/03/2026 a 08/03/2026 - PIX: CELULAR - CHAVE: (31) 99812-7173</v>
      </c>
      <c r="I2743" t="str">
        <f>("19/03/2026")</f>
        <v>19/03/2026</v>
      </c>
      <c r="J2743" t="str">
        <f>("10/03/2026")</f>
        <v>10/03/2026</v>
      </c>
      <c r="K2743" t="str">
        <f>("18/03/2026")</f>
        <v>18/03/2026</v>
      </c>
      <c r="L2743">
        <v>20</v>
      </c>
      <c r="M2743">
        <v>20</v>
      </c>
      <c r="N2743">
        <v>109</v>
      </c>
      <c r="O2743" t="str">
        <f>"PAGAMENTO DE ENTREGADORES"</f>
        <v>PAGAMENTO DE ENTREGADORES</v>
      </c>
      <c r="P2743">
        <v>20</v>
      </c>
      <c r="S2743" t="str">
        <f>"CAIXA MOVIMENTAÇÃO OPERACIONAL (132)"</f>
        <v>CAIXA MOVIMENTAÇÃO OPERACIONAL (132)</v>
      </c>
      <c r="T2743">
        <v>30675</v>
      </c>
      <c r="U2743">
        <v>35348</v>
      </c>
      <c r="V2743" t="s">
        <v>22</v>
      </c>
    </row>
    <row r="2744" spans="1:22">
      <c r="A2744" t="str">
        <f t="shared" si="521"/>
        <v>18/03/2026</v>
      </c>
      <c r="B2744" t="str">
        <f>"SAÍDA"</f>
        <v>SAÍDA</v>
      </c>
      <c r="C2744" t="str">
        <f>"PIX"</f>
        <v>PIX</v>
      </c>
      <c r="D2744" t="str">
        <f>"34583"</f>
        <v>34583</v>
      </c>
      <c r="E2744" t="str">
        <f>"1"</f>
        <v>1</v>
      </c>
      <c r="F2744" t="str">
        <f t="shared" si="519"/>
        <v>COM</v>
      </c>
      <c r="G2744" t="str">
        <f>"JEAN ARAÚJO SANTOS GERMANO (551)"</f>
        <v>JEAN ARAÚJO SANTOS GERMANO (551)</v>
      </c>
      <c r="H2744" t="s">
        <v>855</v>
      </c>
      <c r="I2744" t="str">
        <f>("19/03/2026")</f>
        <v>19/03/2026</v>
      </c>
      <c r="J2744" t="str">
        <f>("10/03/2026")</f>
        <v>10/03/2026</v>
      </c>
      <c r="K2744">
        <v>46099</v>
      </c>
      <c r="N2744">
        <v>109</v>
      </c>
      <c r="O2744" t="s">
        <v>27</v>
      </c>
      <c r="Q2744">
        <v>20</v>
      </c>
      <c r="R2744" t="str">
        <f>"FARMÁCIA INDIANA LJ 142 (10066)"</f>
        <v>FARMÁCIA INDIANA LJ 142 (10066)</v>
      </c>
      <c r="S2744" t="s">
        <v>22</v>
      </c>
      <c r="T2744">
        <v>30675</v>
      </c>
      <c r="U2744">
        <v>35348</v>
      </c>
      <c r="V2744" t="s">
        <v>22</v>
      </c>
    </row>
    <row r="2745" spans="1:22">
      <c r="A2745" t="str">
        <f t="shared" si="521"/>
        <v>18/03/2026</v>
      </c>
      <c r="B2745" t="str">
        <f>"ENTRADA"</f>
        <v>ENTRADA</v>
      </c>
      <c r="C2745" t="str">
        <f>"DINHEIRO"</f>
        <v>DINHEIRO</v>
      </c>
      <c r="D2745" t="str">
        <f>"09"</f>
        <v>09</v>
      </c>
      <c r="E2745" t="str">
        <f>"39"</f>
        <v>39</v>
      </c>
      <c r="F2745" t="str">
        <f t="shared" si="519"/>
        <v>COM</v>
      </c>
      <c r="G2745" t="str">
        <f>"JEFERSON ANDRADE FERREIRA (165)"</f>
        <v>JEFERSON ANDRADE FERREIRA (165)</v>
      </c>
      <c r="H2745" t="str">
        <f>"DESCONTO COTA COOPERADO"</f>
        <v>DESCONTO COTA COOPERADO</v>
      </c>
      <c r="I2745" t="str">
        <f>("16/03/2026")</f>
        <v>16/03/2026</v>
      </c>
      <c r="J2745" t="str">
        <f>("16/01/2025")</f>
        <v>16/01/2025</v>
      </c>
      <c r="K2745" t="str">
        <f>("18/03/2026")</f>
        <v>18/03/2026</v>
      </c>
      <c r="L2745">
        <v>20</v>
      </c>
      <c r="M2745">
        <v>20</v>
      </c>
      <c r="N2745">
        <v>106</v>
      </c>
      <c r="O2745" t="str">
        <f>"ENTRADA DE CAPITAL"</f>
        <v>ENTRADA DE CAPITAL</v>
      </c>
      <c r="P2745">
        <v>20</v>
      </c>
      <c r="S2745" t="str">
        <f>"ENTRADA DE CAPITAL (106)"</f>
        <v>ENTRADA DE CAPITAL (106)</v>
      </c>
      <c r="T2745">
        <v>30676</v>
      </c>
      <c r="U2745">
        <v>6629</v>
      </c>
      <c r="V2745" t="s">
        <v>22</v>
      </c>
    </row>
    <row r="2746" spans="1:22">
      <c r="A2746" t="str">
        <f t="shared" si="521"/>
        <v>18/03/2026</v>
      </c>
      <c r="B2746" t="str">
        <f>"ENTRADA"</f>
        <v>ENTRADA</v>
      </c>
      <c r="C2746" t="str">
        <f>"DINHEIRO"</f>
        <v>DINHEIRO</v>
      </c>
      <c r="D2746" t="str">
        <f>"09"</f>
        <v>09</v>
      </c>
      <c r="E2746" t="str">
        <f>"39"</f>
        <v>39</v>
      </c>
      <c r="F2746" t="str">
        <f t="shared" si="519"/>
        <v>COM</v>
      </c>
      <c r="G2746" t="str">
        <f>"JEFERSON ANDRADE FERREIRA (165)"</f>
        <v>JEFERSON ANDRADE FERREIRA (165)</v>
      </c>
      <c r="H2746" t="s">
        <v>549</v>
      </c>
      <c r="I2746" t="str">
        <f>("16/03/2026")</f>
        <v>16/03/2026</v>
      </c>
      <c r="J2746" t="str">
        <f>("16/01/2025")</f>
        <v>16/01/2025</v>
      </c>
      <c r="K2746">
        <v>46099</v>
      </c>
      <c r="N2746">
        <v>106</v>
      </c>
      <c r="O2746" t="s">
        <v>98</v>
      </c>
      <c r="Q2746">
        <v>20</v>
      </c>
      <c r="R2746" t="str">
        <f>"JEFERSON ANDRADE FERREIRA (165)"</f>
        <v>JEFERSON ANDRADE FERREIRA (165)</v>
      </c>
      <c r="S2746" t="s">
        <v>99</v>
      </c>
      <c r="T2746">
        <v>30676</v>
      </c>
      <c r="U2746">
        <v>6629</v>
      </c>
      <c r="V2746" t="s">
        <v>22</v>
      </c>
    </row>
    <row r="2747" spans="1:22">
      <c r="A2747" t="str">
        <f t="shared" si="521"/>
        <v>18/03/2026</v>
      </c>
      <c r="B2747" t="str">
        <f>"SAÍDA"</f>
        <v>SAÍDA</v>
      </c>
      <c r="C2747" t="str">
        <f>"PIX"</f>
        <v>PIX</v>
      </c>
      <c r="D2747" t="str">
        <f>"34584"</f>
        <v>34584</v>
      </c>
      <c r="E2747" t="str">
        <f>"1"</f>
        <v>1</v>
      </c>
      <c r="F2747" t="str">
        <f t="shared" si="519"/>
        <v>COM</v>
      </c>
      <c r="G2747" t="str">
        <f>"JEFERSON ANDRADE FERREIRA (165)"</f>
        <v>JEFERSON ANDRADE FERREIRA (165)</v>
      </c>
      <c r="H2747" t="str">
        <f>"Serv.Prest. 02/03/2026 a 08/03/2026 - PIX: CPF - CHAVE: 126.873.296-65"</f>
        <v>Serv.Prest. 02/03/2026 a 08/03/2026 - PIX: CPF - CHAVE: 126.873.296-65</v>
      </c>
      <c r="I2747" t="str">
        <f>("19/03/2026")</f>
        <v>19/03/2026</v>
      </c>
      <c r="J2747" t="str">
        <f>("10/03/2026")</f>
        <v>10/03/2026</v>
      </c>
      <c r="K2747" t="str">
        <f>("18/03/2026")</f>
        <v>18/03/2026</v>
      </c>
      <c r="L2747">
        <v>20</v>
      </c>
      <c r="M2747">
        <v>20</v>
      </c>
      <c r="N2747">
        <v>109</v>
      </c>
      <c r="O2747" t="str">
        <f>"PAGAMENTO DE ENTREGADORES"</f>
        <v>PAGAMENTO DE ENTREGADORES</v>
      </c>
      <c r="P2747">
        <v>20</v>
      </c>
      <c r="S2747" t="str">
        <f>"CAIXA MOVIMENTAÇÃO OPERACIONAL (132)"</f>
        <v>CAIXA MOVIMENTAÇÃO OPERACIONAL (132)</v>
      </c>
      <c r="T2747">
        <v>30677</v>
      </c>
      <c r="U2747">
        <v>35349</v>
      </c>
      <c r="V2747" t="s">
        <v>22</v>
      </c>
    </row>
    <row r="2748" spans="1:22">
      <c r="A2748" t="str">
        <f t="shared" si="521"/>
        <v>18/03/2026</v>
      </c>
      <c r="B2748" t="str">
        <f>"SAÍDA"</f>
        <v>SAÍDA</v>
      </c>
      <c r="C2748" t="str">
        <f>"PIX"</f>
        <v>PIX</v>
      </c>
      <c r="D2748" t="str">
        <f>"34584"</f>
        <v>34584</v>
      </c>
      <c r="E2748" t="str">
        <f>"1"</f>
        <v>1</v>
      </c>
      <c r="F2748" t="str">
        <f t="shared" si="519"/>
        <v>COM</v>
      </c>
      <c r="G2748" t="str">
        <f>"JEFERSON ANDRADE FERREIRA (165)"</f>
        <v>JEFERSON ANDRADE FERREIRA (165)</v>
      </c>
      <c r="H2748" t="s">
        <v>856</v>
      </c>
      <c r="I2748" t="str">
        <f>("19/03/2026")</f>
        <v>19/03/2026</v>
      </c>
      <c r="J2748" t="str">
        <f>("10/03/2026")</f>
        <v>10/03/2026</v>
      </c>
      <c r="K2748">
        <v>46099</v>
      </c>
      <c r="N2748">
        <v>109</v>
      </c>
      <c r="O2748" t="s">
        <v>27</v>
      </c>
      <c r="Q2748">
        <v>20</v>
      </c>
      <c r="R2748" t="str">
        <f>"FARMÁCIA INDIANA LJ 220 (10092)"</f>
        <v>FARMÁCIA INDIANA LJ 220 (10092)</v>
      </c>
      <c r="S2748" t="s">
        <v>22</v>
      </c>
      <c r="T2748">
        <v>30677</v>
      </c>
      <c r="U2748">
        <v>35349</v>
      </c>
      <c r="V2748" t="s">
        <v>22</v>
      </c>
    </row>
    <row r="2749" spans="1:22">
      <c r="A2749" t="str">
        <f t="shared" si="521"/>
        <v>18/03/2026</v>
      </c>
      <c r="B2749" t="str">
        <f>"ENTRADA"</f>
        <v>ENTRADA</v>
      </c>
      <c r="C2749" t="str">
        <f>"DINHEIRO"</f>
        <v>DINHEIRO</v>
      </c>
      <c r="D2749" t="str">
        <f>"07"</f>
        <v>07</v>
      </c>
      <c r="E2749" t="str">
        <f>"39"</f>
        <v>39</v>
      </c>
      <c r="F2749" t="str">
        <f t="shared" si="519"/>
        <v>COM</v>
      </c>
      <c r="G2749" t="str">
        <f>"JUNIOR DOS SANTOS MACHADO (240)"</f>
        <v>JUNIOR DOS SANTOS MACHADO (240)</v>
      </c>
      <c r="H2749" t="str">
        <f>"DESCONTO COTA COOPERADO"</f>
        <v>DESCONTO COTA COOPERADO</v>
      </c>
      <c r="I2749" t="str">
        <f>("16/03/2026")</f>
        <v>16/03/2026</v>
      </c>
      <c r="J2749" t="str">
        <f>("16/01/2025")</f>
        <v>16/01/2025</v>
      </c>
      <c r="K2749" t="str">
        <f>("18/03/2026")</f>
        <v>18/03/2026</v>
      </c>
      <c r="L2749">
        <v>20</v>
      </c>
      <c r="M2749">
        <v>20</v>
      </c>
      <c r="N2749">
        <v>106</v>
      </c>
      <c r="O2749" t="str">
        <f>"ENTRADA DE CAPITAL"</f>
        <v>ENTRADA DE CAPITAL</v>
      </c>
      <c r="P2749">
        <v>20</v>
      </c>
      <c r="S2749" t="str">
        <f>"ENTRADA DE CAPITAL (106)"</f>
        <v>ENTRADA DE CAPITAL (106)</v>
      </c>
      <c r="T2749">
        <v>30678</v>
      </c>
      <c r="U2749">
        <v>6845</v>
      </c>
      <c r="V2749" t="s">
        <v>22</v>
      </c>
    </row>
    <row r="2750" spans="1:22">
      <c r="A2750" t="str">
        <f t="shared" si="521"/>
        <v>18/03/2026</v>
      </c>
      <c r="B2750" t="str">
        <f>"ENTRADA"</f>
        <v>ENTRADA</v>
      </c>
      <c r="C2750" t="str">
        <f>"DINHEIRO"</f>
        <v>DINHEIRO</v>
      </c>
      <c r="D2750" t="str">
        <f>"07"</f>
        <v>07</v>
      </c>
      <c r="E2750" t="str">
        <f>"39"</f>
        <v>39</v>
      </c>
      <c r="F2750" t="str">
        <f t="shared" si="519"/>
        <v>COM</v>
      </c>
      <c r="G2750" t="str">
        <f>"JUNIOR DOS SANTOS MACHADO (240)"</f>
        <v>JUNIOR DOS SANTOS MACHADO (240)</v>
      </c>
      <c r="H2750" t="s">
        <v>549</v>
      </c>
      <c r="I2750" t="str">
        <f>("16/03/2026")</f>
        <v>16/03/2026</v>
      </c>
      <c r="J2750" t="str">
        <f>("16/01/2025")</f>
        <v>16/01/2025</v>
      </c>
      <c r="K2750">
        <v>46099</v>
      </c>
      <c r="N2750">
        <v>106</v>
      </c>
      <c r="O2750" t="s">
        <v>98</v>
      </c>
      <c r="Q2750">
        <v>20</v>
      </c>
      <c r="R2750" t="str">
        <f>"JUNIOR DOS SANTOS MACHADO (240)"</f>
        <v>JUNIOR DOS SANTOS MACHADO (240)</v>
      </c>
      <c r="S2750" t="s">
        <v>99</v>
      </c>
      <c r="T2750">
        <v>30678</v>
      </c>
      <c r="U2750">
        <v>6845</v>
      </c>
      <c r="V2750" t="s">
        <v>22</v>
      </c>
    </row>
    <row r="2751" spans="1:22">
      <c r="A2751" t="str">
        <f t="shared" si="521"/>
        <v>18/03/2026</v>
      </c>
      <c r="B2751" t="str">
        <f>"SAÍDA"</f>
        <v>SAÍDA</v>
      </c>
      <c r="C2751" t="str">
        <f>"PIX"</f>
        <v>PIX</v>
      </c>
      <c r="D2751" t="str">
        <f>"34595"</f>
        <v>34595</v>
      </c>
      <c r="E2751" t="str">
        <f>"1"</f>
        <v>1</v>
      </c>
      <c r="F2751" t="str">
        <f t="shared" si="519"/>
        <v>COM</v>
      </c>
      <c r="G2751" t="str">
        <f>"JUNIOR DOS SANTOS MACHADO (240)"</f>
        <v>JUNIOR DOS SANTOS MACHADO (240)</v>
      </c>
      <c r="H2751" t="str">
        <f>"Serv.Prest. 02/03/2026 a 08/03/2026 - PIX: E-MAIL - CHAVE: juninhomachado789@gmail.com"</f>
        <v>Serv.Prest. 02/03/2026 a 08/03/2026 - PIX: E-MAIL - CHAVE: juninhomachado789@gmail.com</v>
      </c>
      <c r="I2751" t="str">
        <f>("19/03/2026")</f>
        <v>19/03/2026</v>
      </c>
      <c r="J2751" t="str">
        <f>("10/03/2026")</f>
        <v>10/03/2026</v>
      </c>
      <c r="K2751" t="str">
        <f>("18/03/2026")</f>
        <v>18/03/2026</v>
      </c>
      <c r="L2751">
        <v>20</v>
      </c>
      <c r="M2751">
        <v>20</v>
      </c>
      <c r="N2751">
        <v>109</v>
      </c>
      <c r="O2751" t="str">
        <f>"PAGAMENTO DE ENTREGADORES"</f>
        <v>PAGAMENTO DE ENTREGADORES</v>
      </c>
      <c r="P2751">
        <v>20</v>
      </c>
      <c r="S2751" t="str">
        <f>"CAIXA MOVIMENTAÇÃO OPERACIONAL (132)"</f>
        <v>CAIXA MOVIMENTAÇÃO OPERACIONAL (132)</v>
      </c>
      <c r="T2751">
        <v>30679</v>
      </c>
      <c r="U2751">
        <v>35350</v>
      </c>
      <c r="V2751" t="s">
        <v>22</v>
      </c>
    </row>
    <row r="2752" spans="1:22">
      <c r="A2752" t="str">
        <f t="shared" si="521"/>
        <v>18/03/2026</v>
      </c>
      <c r="B2752" t="str">
        <f>"SAÍDA"</f>
        <v>SAÍDA</v>
      </c>
      <c r="C2752" t="str">
        <f>"PIX"</f>
        <v>PIX</v>
      </c>
      <c r="D2752" t="str">
        <f>"34595"</f>
        <v>34595</v>
      </c>
      <c r="E2752" t="str">
        <f>"1"</f>
        <v>1</v>
      </c>
      <c r="F2752" t="str">
        <f t="shared" si="519"/>
        <v>COM</v>
      </c>
      <c r="G2752" t="str">
        <f>"JUNIOR DOS SANTOS MACHADO (240)"</f>
        <v>JUNIOR DOS SANTOS MACHADO (240)</v>
      </c>
      <c r="H2752" t="s">
        <v>857</v>
      </c>
      <c r="I2752" t="str">
        <f>("19/03/2026")</f>
        <v>19/03/2026</v>
      </c>
      <c r="J2752" t="str">
        <f>("10/03/2026")</f>
        <v>10/03/2026</v>
      </c>
      <c r="K2752">
        <v>46099</v>
      </c>
      <c r="N2752">
        <v>109</v>
      </c>
      <c r="O2752" t="s">
        <v>27</v>
      </c>
      <c r="Q2752">
        <v>20</v>
      </c>
      <c r="R2752" t="str">
        <f>"FARMÁCIA INDIANA LJ 62 (10028)"</f>
        <v>FARMÁCIA INDIANA LJ 62 (10028)</v>
      </c>
      <c r="S2752" t="s">
        <v>22</v>
      </c>
      <c r="T2752">
        <v>30679</v>
      </c>
      <c r="U2752">
        <v>35350</v>
      </c>
      <c r="V2752" t="s">
        <v>22</v>
      </c>
    </row>
    <row r="2753" spans="1:22">
      <c r="A2753" t="str">
        <f t="shared" si="521"/>
        <v>18/03/2026</v>
      </c>
      <c r="B2753" t="str">
        <f>"ENTRADA"</f>
        <v>ENTRADA</v>
      </c>
      <c r="C2753" t="str">
        <f>"DINHEIRO"</f>
        <v>DINHEIRO</v>
      </c>
      <c r="D2753" t="str">
        <f>"08"</f>
        <v>08</v>
      </c>
      <c r="E2753" t="str">
        <f>"39"</f>
        <v>39</v>
      </c>
      <c r="F2753" t="str">
        <f t="shared" si="519"/>
        <v>COM</v>
      </c>
      <c r="G2753" t="str">
        <f>"LEONARDO MERCÊS CAJAZEIRAS (235)"</f>
        <v>LEONARDO MERCÊS CAJAZEIRAS (235)</v>
      </c>
      <c r="H2753" t="str">
        <f>"DESCONTO COTA COOPERADO"</f>
        <v>DESCONTO COTA COOPERADO</v>
      </c>
      <c r="I2753" t="str">
        <f>("16/03/2026")</f>
        <v>16/03/2026</v>
      </c>
      <c r="J2753" t="str">
        <f>("16/01/2025")</f>
        <v>16/01/2025</v>
      </c>
      <c r="K2753" t="str">
        <f>("18/03/2026")</f>
        <v>18/03/2026</v>
      </c>
      <c r="L2753">
        <v>20</v>
      </c>
      <c r="M2753">
        <v>20</v>
      </c>
      <c r="N2753">
        <v>106</v>
      </c>
      <c r="O2753" t="str">
        <f>"ENTRADA DE CAPITAL"</f>
        <v>ENTRADA DE CAPITAL</v>
      </c>
      <c r="P2753">
        <v>20</v>
      </c>
      <c r="S2753" t="str">
        <f>"ENTRADA DE CAPITAL (106)"</f>
        <v>ENTRADA DE CAPITAL (106)</v>
      </c>
      <c r="T2753">
        <v>30680</v>
      </c>
      <c r="U2753">
        <v>6943</v>
      </c>
      <c r="V2753" t="s">
        <v>22</v>
      </c>
    </row>
    <row r="2754" spans="1:22">
      <c r="A2754" t="str">
        <f t="shared" si="521"/>
        <v>18/03/2026</v>
      </c>
      <c r="B2754" t="str">
        <f>"ENTRADA"</f>
        <v>ENTRADA</v>
      </c>
      <c r="C2754" t="str">
        <f>"DINHEIRO"</f>
        <v>DINHEIRO</v>
      </c>
      <c r="D2754" t="str">
        <f>"08"</f>
        <v>08</v>
      </c>
      <c r="E2754" t="str">
        <f>"39"</f>
        <v>39</v>
      </c>
      <c r="F2754" t="str">
        <f t="shared" ref="F2754:F2817" si="522">"COM"</f>
        <v>COM</v>
      </c>
      <c r="G2754" t="str">
        <f>"LEONARDO MERCÊS CAJAZEIRAS (235)"</f>
        <v>LEONARDO MERCÊS CAJAZEIRAS (235)</v>
      </c>
      <c r="H2754" t="s">
        <v>549</v>
      </c>
      <c r="I2754" t="str">
        <f>("16/03/2026")</f>
        <v>16/03/2026</v>
      </c>
      <c r="J2754" t="str">
        <f>("16/01/2025")</f>
        <v>16/01/2025</v>
      </c>
      <c r="K2754">
        <v>46099</v>
      </c>
      <c r="N2754">
        <v>106</v>
      </c>
      <c r="O2754" t="s">
        <v>98</v>
      </c>
      <c r="Q2754">
        <v>20</v>
      </c>
      <c r="R2754" t="str">
        <f>"LEONARDO MERCÊS CAJAZEIRAS (235)"</f>
        <v>LEONARDO MERCÊS CAJAZEIRAS (235)</v>
      </c>
      <c r="S2754" t="s">
        <v>99</v>
      </c>
      <c r="T2754">
        <v>30680</v>
      </c>
      <c r="U2754">
        <v>6943</v>
      </c>
      <c r="V2754" t="s">
        <v>22</v>
      </c>
    </row>
    <row r="2755" spans="1:22">
      <c r="A2755" t="str">
        <f t="shared" si="521"/>
        <v>18/03/2026</v>
      </c>
      <c r="B2755" t="str">
        <f>"SAÍDA"</f>
        <v>SAÍDA</v>
      </c>
      <c r="C2755" t="str">
        <f>"PIX"</f>
        <v>PIX</v>
      </c>
      <c r="D2755" t="str">
        <f>"34509"</f>
        <v>34509</v>
      </c>
      <c r="E2755" t="str">
        <f>"1"</f>
        <v>1</v>
      </c>
      <c r="F2755" t="str">
        <f t="shared" si="522"/>
        <v>COM</v>
      </c>
      <c r="G2755" t="str">
        <f>"LEONARDO MERCÊS CAJAZEIRAS (235)"</f>
        <v>LEONARDO MERCÊS CAJAZEIRAS (235)</v>
      </c>
      <c r="H2755" t="str">
        <f>"Serv.Prest. 02/03/2026 a 08/03/2026 - PIX: CELULAR - CHAVE: (73) 99803-0715"</f>
        <v>Serv.Prest. 02/03/2026 a 08/03/2026 - PIX: CELULAR - CHAVE: (73) 99803-0715</v>
      </c>
      <c r="I2755" t="str">
        <f>("19/03/2026")</f>
        <v>19/03/2026</v>
      </c>
      <c r="J2755" t="str">
        <f>("10/03/2026")</f>
        <v>10/03/2026</v>
      </c>
      <c r="K2755" t="str">
        <f>("18/03/2026")</f>
        <v>18/03/2026</v>
      </c>
      <c r="L2755">
        <v>20</v>
      </c>
      <c r="M2755">
        <v>20</v>
      </c>
      <c r="N2755">
        <v>109</v>
      </c>
      <c r="O2755" t="str">
        <f>"PAGAMENTO DE ENTREGADORES"</f>
        <v>PAGAMENTO DE ENTREGADORES</v>
      </c>
      <c r="P2755">
        <v>20</v>
      </c>
      <c r="S2755" t="str">
        <f>"CAIXA MOVIMENTAÇÃO OPERACIONAL (132)"</f>
        <v>CAIXA MOVIMENTAÇÃO OPERACIONAL (132)</v>
      </c>
      <c r="T2755">
        <v>30681</v>
      </c>
      <c r="U2755">
        <v>35351</v>
      </c>
      <c r="V2755" t="s">
        <v>22</v>
      </c>
    </row>
    <row r="2756" spans="1:22">
      <c r="A2756" t="str">
        <f t="shared" si="521"/>
        <v>18/03/2026</v>
      </c>
      <c r="B2756" t="str">
        <f>"SAÍDA"</f>
        <v>SAÍDA</v>
      </c>
      <c r="C2756" t="str">
        <f>"PIX"</f>
        <v>PIX</v>
      </c>
      <c r="D2756" t="str">
        <f>"34509"</f>
        <v>34509</v>
      </c>
      <c r="E2756" t="str">
        <f>"1"</f>
        <v>1</v>
      </c>
      <c r="F2756" t="str">
        <f t="shared" si="522"/>
        <v>COM</v>
      </c>
      <c r="G2756" t="str">
        <f>"LEONARDO MERCÊS CAJAZEIRAS (235)"</f>
        <v>LEONARDO MERCÊS CAJAZEIRAS (235)</v>
      </c>
      <c r="H2756" t="s">
        <v>858</v>
      </c>
      <c r="I2756" t="str">
        <f>("19/03/2026")</f>
        <v>19/03/2026</v>
      </c>
      <c r="J2756" t="str">
        <f>("10/03/2026")</f>
        <v>10/03/2026</v>
      </c>
      <c r="K2756">
        <v>46099</v>
      </c>
      <c r="N2756">
        <v>109</v>
      </c>
      <c r="O2756" t="s">
        <v>27</v>
      </c>
      <c r="Q2756">
        <v>20</v>
      </c>
      <c r="R2756" t="str">
        <f>"FARMÁCIA INDIANA LJ 35 (10015)"</f>
        <v>FARMÁCIA INDIANA LJ 35 (10015)</v>
      </c>
      <c r="S2756" t="s">
        <v>22</v>
      </c>
      <c r="T2756">
        <v>30681</v>
      </c>
      <c r="U2756">
        <v>35351</v>
      </c>
      <c r="V2756" t="s">
        <v>22</v>
      </c>
    </row>
    <row r="2757" spans="1:22">
      <c r="A2757" t="str">
        <f t="shared" si="521"/>
        <v>18/03/2026</v>
      </c>
      <c r="B2757" t="str">
        <f>"ENTRADA"</f>
        <v>ENTRADA</v>
      </c>
      <c r="C2757" t="str">
        <f>"DINHEIRO"</f>
        <v>DINHEIRO</v>
      </c>
      <c r="D2757" t="str">
        <f>"10"</f>
        <v>10</v>
      </c>
      <c r="E2757" t="str">
        <f>"39"</f>
        <v>39</v>
      </c>
      <c r="F2757" t="str">
        <f t="shared" si="522"/>
        <v>COM</v>
      </c>
      <c r="G2757" t="str">
        <f>"LUIZ FERNANDO CARVALHO ALVES (198)"</f>
        <v>LUIZ FERNANDO CARVALHO ALVES (198)</v>
      </c>
      <c r="H2757" t="str">
        <f>"DESCONTO COTA COOPERADO"</f>
        <v>DESCONTO COTA COOPERADO</v>
      </c>
      <c r="I2757" t="str">
        <f>("16/03/2026")</f>
        <v>16/03/2026</v>
      </c>
      <c r="J2757" t="str">
        <f>("16/01/2025")</f>
        <v>16/01/2025</v>
      </c>
      <c r="K2757" t="str">
        <f>("18/03/2026")</f>
        <v>18/03/2026</v>
      </c>
      <c r="L2757">
        <v>20</v>
      </c>
      <c r="M2757">
        <v>20</v>
      </c>
      <c r="N2757">
        <v>106</v>
      </c>
      <c r="O2757" t="str">
        <f>"ENTRADA DE CAPITAL"</f>
        <v>ENTRADA DE CAPITAL</v>
      </c>
      <c r="P2757">
        <v>20</v>
      </c>
      <c r="S2757" t="str">
        <f>"ENTRADA DE CAPITAL (106)"</f>
        <v>ENTRADA DE CAPITAL (106)</v>
      </c>
      <c r="T2757">
        <v>30682</v>
      </c>
      <c r="U2757">
        <v>6990</v>
      </c>
      <c r="V2757" t="s">
        <v>22</v>
      </c>
    </row>
    <row r="2758" spans="1:22">
      <c r="A2758" t="str">
        <f t="shared" si="521"/>
        <v>18/03/2026</v>
      </c>
      <c r="B2758" t="str">
        <f>"ENTRADA"</f>
        <v>ENTRADA</v>
      </c>
      <c r="C2758" t="str">
        <f>"DINHEIRO"</f>
        <v>DINHEIRO</v>
      </c>
      <c r="D2758" t="str">
        <f>"10"</f>
        <v>10</v>
      </c>
      <c r="E2758" t="str">
        <f>"39"</f>
        <v>39</v>
      </c>
      <c r="F2758" t="str">
        <f t="shared" si="522"/>
        <v>COM</v>
      </c>
      <c r="G2758" t="str">
        <f>"LUIZ FERNANDO CARVALHO ALVES (198)"</f>
        <v>LUIZ FERNANDO CARVALHO ALVES (198)</v>
      </c>
      <c r="H2758" t="s">
        <v>549</v>
      </c>
      <c r="I2758" t="str">
        <f>("16/03/2026")</f>
        <v>16/03/2026</v>
      </c>
      <c r="J2758" t="str">
        <f>("16/01/2025")</f>
        <v>16/01/2025</v>
      </c>
      <c r="K2758">
        <v>46099</v>
      </c>
      <c r="N2758">
        <v>106</v>
      </c>
      <c r="O2758" t="s">
        <v>98</v>
      </c>
      <c r="Q2758">
        <v>20</v>
      </c>
      <c r="R2758" t="str">
        <f>"LUIZ FERNANDO CARVALHO ALVES (198)"</f>
        <v>LUIZ FERNANDO CARVALHO ALVES (198)</v>
      </c>
      <c r="S2758" t="s">
        <v>99</v>
      </c>
      <c r="T2758">
        <v>30682</v>
      </c>
      <c r="U2758">
        <v>6990</v>
      </c>
      <c r="V2758" t="s">
        <v>22</v>
      </c>
    </row>
    <row r="2759" spans="1:22">
      <c r="A2759" t="str">
        <f t="shared" si="521"/>
        <v>18/03/2026</v>
      </c>
      <c r="B2759" t="str">
        <f>"SAÍDA"</f>
        <v>SAÍDA</v>
      </c>
      <c r="C2759" t="str">
        <f>"PIX"</f>
        <v>PIX</v>
      </c>
      <c r="D2759" t="str">
        <f>"35260"</f>
        <v>35260</v>
      </c>
      <c r="E2759" t="str">
        <f>"1"</f>
        <v>1</v>
      </c>
      <c r="F2759" t="str">
        <f t="shared" si="522"/>
        <v>COM</v>
      </c>
      <c r="G2759" t="str">
        <f>"LUIZ FERNANDO CARVALHO ALVES (198)"</f>
        <v>LUIZ FERNANDO CARVALHO ALVES (198)</v>
      </c>
      <c r="H2759" t="str">
        <f>"Serv.Prest. 09/03/2026 a 15/03/2026 - PIX: CPF - CHAVE: 705.097.186-39"</f>
        <v>Serv.Prest. 09/03/2026 a 15/03/2026 - PIX: CPF - CHAVE: 705.097.186-39</v>
      </c>
      <c r="I2759" t="str">
        <f>("26/03/2026")</f>
        <v>26/03/2026</v>
      </c>
      <c r="J2759" t="str">
        <f>("17/03/2026")</f>
        <v>17/03/2026</v>
      </c>
      <c r="K2759" t="str">
        <f>("18/03/2026")</f>
        <v>18/03/2026</v>
      </c>
      <c r="L2759">
        <v>20</v>
      </c>
      <c r="M2759">
        <v>20</v>
      </c>
      <c r="N2759">
        <v>109</v>
      </c>
      <c r="O2759" t="str">
        <f>"PAGAMENTO DE ENTREGADORES"</f>
        <v>PAGAMENTO DE ENTREGADORES</v>
      </c>
      <c r="P2759">
        <v>20</v>
      </c>
      <c r="S2759" t="str">
        <f>"CAIXA MOVIMENTAÇÃO OPERACIONAL (132)"</f>
        <v>CAIXA MOVIMENTAÇÃO OPERACIONAL (132)</v>
      </c>
      <c r="T2759">
        <v>30683</v>
      </c>
      <c r="U2759">
        <v>35260</v>
      </c>
      <c r="V2759" t="s">
        <v>22</v>
      </c>
    </row>
    <row r="2760" spans="1:22">
      <c r="A2760" t="str">
        <f t="shared" si="521"/>
        <v>18/03/2026</v>
      </c>
      <c r="B2760" t="str">
        <f>"SAÍDA"</f>
        <v>SAÍDA</v>
      </c>
      <c r="C2760" t="str">
        <f>"PIX"</f>
        <v>PIX</v>
      </c>
      <c r="D2760" t="str">
        <f>"35260"</f>
        <v>35260</v>
      </c>
      <c r="E2760" t="str">
        <f>"1"</f>
        <v>1</v>
      </c>
      <c r="F2760" t="str">
        <f t="shared" si="522"/>
        <v>COM</v>
      </c>
      <c r="G2760" t="str">
        <f>"LUIZ FERNANDO CARVALHO ALVES (198)"</f>
        <v>LUIZ FERNANDO CARVALHO ALVES (198)</v>
      </c>
      <c r="H2760" t="s">
        <v>859</v>
      </c>
      <c r="I2760" t="str">
        <f>("26/03/2026")</f>
        <v>26/03/2026</v>
      </c>
      <c r="J2760" t="str">
        <f>("17/03/2026")</f>
        <v>17/03/2026</v>
      </c>
      <c r="K2760">
        <v>46099</v>
      </c>
      <c r="N2760">
        <v>109</v>
      </c>
      <c r="O2760" t="s">
        <v>27</v>
      </c>
      <c r="Q2760">
        <v>20</v>
      </c>
      <c r="R2760" t="str">
        <f>"FARMÁCIA INDIANA LJ 171 (10074)"</f>
        <v>FARMÁCIA INDIANA LJ 171 (10074)</v>
      </c>
      <c r="S2760" t="s">
        <v>22</v>
      </c>
      <c r="T2760">
        <v>30683</v>
      </c>
      <c r="U2760">
        <v>35260</v>
      </c>
      <c r="V2760" t="s">
        <v>22</v>
      </c>
    </row>
    <row r="2761" spans="1:22">
      <c r="A2761" t="str">
        <f t="shared" si="521"/>
        <v>18/03/2026</v>
      </c>
      <c r="B2761" t="str">
        <f>"ENTRADA"</f>
        <v>ENTRADA</v>
      </c>
      <c r="C2761" t="str">
        <f>"DINHEIRO"</f>
        <v>DINHEIRO</v>
      </c>
      <c r="D2761" t="str">
        <f>"03"</f>
        <v>03</v>
      </c>
      <c r="E2761" t="str">
        <f>"39"</f>
        <v>39</v>
      </c>
      <c r="F2761" t="str">
        <f t="shared" si="522"/>
        <v>COM</v>
      </c>
      <c r="G2761" t="str">
        <f>"MARCOS DIONI RODRIGUES GASPAR (506)"</f>
        <v>MARCOS DIONI RODRIGUES GASPAR (506)</v>
      </c>
      <c r="H2761" t="str">
        <f>"DESCONTO COTA COOPERADO"</f>
        <v>DESCONTO COTA COOPERADO</v>
      </c>
      <c r="I2761" t="str">
        <f>("16/03/2026")</f>
        <v>16/03/2026</v>
      </c>
      <c r="J2761" t="str">
        <f>("16/01/2025")</f>
        <v>16/01/2025</v>
      </c>
      <c r="K2761" t="str">
        <f>("18/03/2026")</f>
        <v>18/03/2026</v>
      </c>
      <c r="L2761">
        <v>20</v>
      </c>
      <c r="M2761">
        <v>20</v>
      </c>
      <c r="N2761">
        <v>106</v>
      </c>
      <c r="O2761" t="str">
        <f>"ENTRADA DE CAPITAL"</f>
        <v>ENTRADA DE CAPITAL</v>
      </c>
      <c r="P2761">
        <v>20</v>
      </c>
      <c r="S2761" t="str">
        <f>"ENTRADA DE CAPITAL (106)"</f>
        <v>ENTRADA DE CAPITAL (106)</v>
      </c>
      <c r="T2761">
        <v>30684</v>
      </c>
      <c r="U2761">
        <v>7084</v>
      </c>
      <c r="V2761" t="s">
        <v>22</v>
      </c>
    </row>
    <row r="2762" spans="1:22">
      <c r="A2762" t="str">
        <f t="shared" si="521"/>
        <v>18/03/2026</v>
      </c>
      <c r="B2762" t="str">
        <f>"ENTRADA"</f>
        <v>ENTRADA</v>
      </c>
      <c r="C2762" t="str">
        <f>"DINHEIRO"</f>
        <v>DINHEIRO</v>
      </c>
      <c r="D2762" t="str">
        <f>"03"</f>
        <v>03</v>
      </c>
      <c r="E2762" t="str">
        <f>"39"</f>
        <v>39</v>
      </c>
      <c r="F2762" t="str">
        <f t="shared" si="522"/>
        <v>COM</v>
      </c>
      <c r="G2762" t="str">
        <f>"MARCOS DIONI RODRIGUES GASPAR (506)"</f>
        <v>MARCOS DIONI RODRIGUES GASPAR (506)</v>
      </c>
      <c r="H2762" t="s">
        <v>549</v>
      </c>
      <c r="I2762" t="str">
        <f>("16/03/2026")</f>
        <v>16/03/2026</v>
      </c>
      <c r="J2762" t="str">
        <f>("16/01/2025")</f>
        <v>16/01/2025</v>
      </c>
      <c r="K2762">
        <v>46099</v>
      </c>
      <c r="N2762">
        <v>106</v>
      </c>
      <c r="O2762" t="s">
        <v>98</v>
      </c>
      <c r="Q2762">
        <v>20</v>
      </c>
      <c r="R2762" t="str">
        <f>"MARCOS DIONI RODRIGUES GASPAR (506)"</f>
        <v>MARCOS DIONI RODRIGUES GASPAR (506)</v>
      </c>
      <c r="S2762" t="s">
        <v>99</v>
      </c>
      <c r="T2762">
        <v>30684</v>
      </c>
      <c r="U2762">
        <v>7084</v>
      </c>
      <c r="V2762" t="s">
        <v>22</v>
      </c>
    </row>
    <row r="2763" spans="1:22">
      <c r="A2763" t="str">
        <f t="shared" si="521"/>
        <v>18/03/2026</v>
      </c>
      <c r="B2763" t="str">
        <f>"SAÍDA"</f>
        <v>SAÍDA</v>
      </c>
      <c r="C2763" t="str">
        <f>"PIX"</f>
        <v>PIX</v>
      </c>
      <c r="D2763" t="str">
        <f>"34608"</f>
        <v>34608</v>
      </c>
      <c r="E2763" t="str">
        <f>"1"</f>
        <v>1</v>
      </c>
      <c r="F2763" t="str">
        <f t="shared" si="522"/>
        <v>COM</v>
      </c>
      <c r="G2763" t="str">
        <f>"MARCOS DIONI RODRIGUES GASPAR (506)"</f>
        <v>MARCOS DIONI RODRIGUES GASPAR (506)</v>
      </c>
      <c r="H2763" t="str">
        <f>"Serv.Prest. 02/03/2026 a 08/03/2026 - PIX: E-MAIL - CHAVE: dih.mdr@gmail.com"</f>
        <v>Serv.Prest. 02/03/2026 a 08/03/2026 - PIX: E-MAIL - CHAVE: dih.mdr@gmail.com</v>
      </c>
      <c r="I2763" t="str">
        <f>("19/03/2026")</f>
        <v>19/03/2026</v>
      </c>
      <c r="J2763" t="str">
        <f>("10/03/2026")</f>
        <v>10/03/2026</v>
      </c>
      <c r="K2763" t="str">
        <f>("18/03/2026")</f>
        <v>18/03/2026</v>
      </c>
      <c r="L2763">
        <v>20</v>
      </c>
      <c r="M2763">
        <v>20</v>
      </c>
      <c r="N2763">
        <v>109</v>
      </c>
      <c r="O2763" t="str">
        <f>"PAGAMENTO DE ENTREGADORES"</f>
        <v>PAGAMENTO DE ENTREGADORES</v>
      </c>
      <c r="P2763">
        <v>20</v>
      </c>
      <c r="S2763" t="str">
        <f>"CAIXA MOVIMENTAÇÃO OPERACIONAL (132)"</f>
        <v>CAIXA MOVIMENTAÇÃO OPERACIONAL (132)</v>
      </c>
      <c r="T2763">
        <v>30685</v>
      </c>
      <c r="U2763">
        <v>35352</v>
      </c>
      <c r="V2763" t="s">
        <v>22</v>
      </c>
    </row>
    <row r="2764" spans="1:22">
      <c r="A2764" t="str">
        <f t="shared" si="521"/>
        <v>18/03/2026</v>
      </c>
      <c r="B2764" t="str">
        <f>"SAÍDA"</f>
        <v>SAÍDA</v>
      </c>
      <c r="C2764" t="str">
        <f>"PIX"</f>
        <v>PIX</v>
      </c>
      <c r="D2764" t="str">
        <f>"34608"</f>
        <v>34608</v>
      </c>
      <c r="E2764" t="str">
        <f>"1"</f>
        <v>1</v>
      </c>
      <c r="F2764" t="str">
        <f t="shared" si="522"/>
        <v>COM</v>
      </c>
      <c r="G2764" t="str">
        <f>"MARCOS DIONI RODRIGUES GASPAR (506)"</f>
        <v>MARCOS DIONI RODRIGUES GASPAR (506)</v>
      </c>
      <c r="H2764" t="s">
        <v>860</v>
      </c>
      <c r="I2764" t="str">
        <f>("19/03/2026")</f>
        <v>19/03/2026</v>
      </c>
      <c r="J2764" t="str">
        <f>("10/03/2026")</f>
        <v>10/03/2026</v>
      </c>
      <c r="K2764">
        <v>46099</v>
      </c>
      <c r="N2764">
        <v>109</v>
      </c>
      <c r="O2764" t="s">
        <v>27</v>
      </c>
      <c r="Q2764">
        <v>20</v>
      </c>
      <c r="R2764" t="str">
        <f>"FARMÁCIA INDIANA LJ 06 (10006)"</f>
        <v>FARMÁCIA INDIANA LJ 06 (10006)</v>
      </c>
      <c r="S2764" t="s">
        <v>22</v>
      </c>
      <c r="T2764">
        <v>30685</v>
      </c>
      <c r="U2764">
        <v>35352</v>
      </c>
      <c r="V2764" t="s">
        <v>22</v>
      </c>
    </row>
    <row r="2765" spans="1:22">
      <c r="A2765" t="str">
        <f t="shared" si="521"/>
        <v>18/03/2026</v>
      </c>
      <c r="B2765" t="str">
        <f>"ENTRADA"</f>
        <v>ENTRADA</v>
      </c>
      <c r="C2765" t="str">
        <f>"DINHEIRO"</f>
        <v>DINHEIRO</v>
      </c>
      <c r="D2765" t="str">
        <f>"02"</f>
        <v>02</v>
      </c>
      <c r="E2765" t="str">
        <f>"39"</f>
        <v>39</v>
      </c>
      <c r="F2765" t="str">
        <f t="shared" si="522"/>
        <v>COM</v>
      </c>
      <c r="G2765" t="str">
        <f>"MAYCON GUILHERME DUARTE (541)"</f>
        <v>MAYCON GUILHERME DUARTE (541)</v>
      </c>
      <c r="H2765" t="str">
        <f>"DESCONTO COTA COOPERADO"</f>
        <v>DESCONTO COTA COOPERADO</v>
      </c>
      <c r="I2765" t="str">
        <f>("16/03/2026")</f>
        <v>16/03/2026</v>
      </c>
      <c r="J2765" t="str">
        <f>("16/01/2025")</f>
        <v>16/01/2025</v>
      </c>
      <c r="K2765" t="str">
        <f>("18/03/2026")</f>
        <v>18/03/2026</v>
      </c>
      <c r="L2765">
        <v>20</v>
      </c>
      <c r="M2765">
        <v>20</v>
      </c>
      <c r="N2765">
        <v>106</v>
      </c>
      <c r="O2765" t="str">
        <f>"ENTRADA DE CAPITAL"</f>
        <v>ENTRADA DE CAPITAL</v>
      </c>
      <c r="P2765">
        <v>20</v>
      </c>
      <c r="S2765" t="str">
        <f>"ENTRADA DE CAPITAL (106)"</f>
        <v>ENTRADA DE CAPITAL (106)</v>
      </c>
      <c r="T2765">
        <v>30686</v>
      </c>
      <c r="U2765">
        <v>7173</v>
      </c>
      <c r="V2765" t="s">
        <v>22</v>
      </c>
    </row>
    <row r="2766" spans="1:22">
      <c r="A2766" t="str">
        <f t="shared" si="521"/>
        <v>18/03/2026</v>
      </c>
      <c r="B2766" t="str">
        <f>"ENTRADA"</f>
        <v>ENTRADA</v>
      </c>
      <c r="C2766" t="str">
        <f>"DINHEIRO"</f>
        <v>DINHEIRO</v>
      </c>
      <c r="D2766" t="str">
        <f>"02"</f>
        <v>02</v>
      </c>
      <c r="E2766" t="str">
        <f>"39"</f>
        <v>39</v>
      </c>
      <c r="F2766" t="str">
        <f t="shared" si="522"/>
        <v>COM</v>
      </c>
      <c r="G2766" t="str">
        <f>"MAYCON GUILHERME DUARTE (541)"</f>
        <v>MAYCON GUILHERME DUARTE (541)</v>
      </c>
      <c r="H2766" t="s">
        <v>549</v>
      </c>
      <c r="I2766" t="str">
        <f>("16/03/2026")</f>
        <v>16/03/2026</v>
      </c>
      <c r="J2766" t="str">
        <f>("16/01/2025")</f>
        <v>16/01/2025</v>
      </c>
      <c r="K2766">
        <v>46099</v>
      </c>
      <c r="N2766">
        <v>106</v>
      </c>
      <c r="O2766" t="s">
        <v>98</v>
      </c>
      <c r="Q2766">
        <v>20</v>
      </c>
      <c r="R2766" t="str">
        <f>"MAYCON GUILHERME DUARTE (541)"</f>
        <v>MAYCON GUILHERME DUARTE (541)</v>
      </c>
      <c r="S2766" t="s">
        <v>99</v>
      </c>
      <c r="T2766">
        <v>30686</v>
      </c>
      <c r="U2766">
        <v>7173</v>
      </c>
      <c r="V2766" t="s">
        <v>22</v>
      </c>
    </row>
    <row r="2767" spans="1:22">
      <c r="A2767" t="str">
        <f t="shared" si="521"/>
        <v>18/03/2026</v>
      </c>
      <c r="B2767" t="str">
        <f>"SAÍDA"</f>
        <v>SAÍDA</v>
      </c>
      <c r="C2767" t="str">
        <f>"PIX"</f>
        <v>PIX</v>
      </c>
      <c r="D2767" t="str">
        <f>"34615"</f>
        <v>34615</v>
      </c>
      <c r="E2767" t="str">
        <f>"1"</f>
        <v>1</v>
      </c>
      <c r="F2767" t="str">
        <f t="shared" si="522"/>
        <v>COM</v>
      </c>
      <c r="G2767" t="str">
        <f>"MURILO BARRETO AFONSO (30)"</f>
        <v>MURILO BARRETO AFONSO (30)</v>
      </c>
      <c r="H2767" t="str">
        <f>"Serv.Prest. 02/03/2026 a 08/03/2026 - PIX: CPF - CHAVE: 123.020.026-60"</f>
        <v>Serv.Prest. 02/03/2026 a 08/03/2026 - PIX: CPF - CHAVE: 123.020.026-60</v>
      </c>
      <c r="I2767" t="str">
        <f>("19/03/2026")</f>
        <v>19/03/2026</v>
      </c>
      <c r="J2767" t="str">
        <f>("10/03/2026")</f>
        <v>10/03/2026</v>
      </c>
      <c r="K2767" t="str">
        <f>("18/03/2026")</f>
        <v>18/03/2026</v>
      </c>
      <c r="L2767">
        <v>20</v>
      </c>
      <c r="M2767">
        <v>20</v>
      </c>
      <c r="N2767">
        <v>109</v>
      </c>
      <c r="O2767" t="str">
        <f>"PAGAMENTO DE ENTREGADORES"</f>
        <v>PAGAMENTO DE ENTREGADORES</v>
      </c>
      <c r="P2767">
        <v>20</v>
      </c>
      <c r="S2767" t="str">
        <f>"CAIXA MOVIMENTAÇÃO OPERACIONAL (132)"</f>
        <v>CAIXA MOVIMENTAÇÃO OPERACIONAL (132)</v>
      </c>
      <c r="T2767">
        <v>30687</v>
      </c>
      <c r="U2767">
        <v>35354</v>
      </c>
      <c r="V2767" t="s">
        <v>22</v>
      </c>
    </row>
    <row r="2768" spans="1:22">
      <c r="A2768" t="str">
        <f t="shared" si="521"/>
        <v>18/03/2026</v>
      </c>
      <c r="B2768" t="str">
        <f>"SAÍDA"</f>
        <v>SAÍDA</v>
      </c>
      <c r="C2768" t="str">
        <f>"PIX"</f>
        <v>PIX</v>
      </c>
      <c r="D2768" t="str">
        <f>"34615"</f>
        <v>34615</v>
      </c>
      <c r="E2768" t="str">
        <f>"1"</f>
        <v>1</v>
      </c>
      <c r="F2768" t="str">
        <f t="shared" si="522"/>
        <v>COM</v>
      </c>
      <c r="G2768" t="str">
        <f>"MURILO BARRETO AFONSO (30)"</f>
        <v>MURILO BARRETO AFONSO (30)</v>
      </c>
      <c r="H2768" t="s">
        <v>861</v>
      </c>
      <c r="I2768" t="str">
        <f>("19/03/2026")</f>
        <v>19/03/2026</v>
      </c>
      <c r="J2768" t="str">
        <f>("10/03/2026")</f>
        <v>10/03/2026</v>
      </c>
      <c r="K2768">
        <v>46099</v>
      </c>
      <c r="N2768">
        <v>109</v>
      </c>
      <c r="O2768" t="s">
        <v>27</v>
      </c>
      <c r="Q2768">
        <v>20</v>
      </c>
      <c r="R2768" t="str">
        <f>"FARMÁCIA INDIANA LJ 192 (10082)"</f>
        <v>FARMÁCIA INDIANA LJ 192 (10082)</v>
      </c>
      <c r="S2768" t="s">
        <v>22</v>
      </c>
      <c r="T2768">
        <v>30687</v>
      </c>
      <c r="U2768">
        <v>35354</v>
      </c>
      <c r="V2768" t="s">
        <v>22</v>
      </c>
    </row>
    <row r="2769" spans="1:22">
      <c r="A2769" t="str">
        <f t="shared" si="521"/>
        <v>18/03/2026</v>
      </c>
      <c r="B2769" t="str">
        <f>"ENTRADA"</f>
        <v>ENTRADA</v>
      </c>
      <c r="C2769" t="str">
        <f>"DINHEIRO"</f>
        <v>DINHEIRO</v>
      </c>
      <c r="D2769" t="str">
        <f>"11"</f>
        <v>11</v>
      </c>
      <c r="E2769" t="str">
        <f>"39"</f>
        <v>39</v>
      </c>
      <c r="F2769" t="str">
        <f t="shared" si="522"/>
        <v>COM</v>
      </c>
      <c r="G2769" t="str">
        <f>"MURILO BARRETO AFONSO (30)"</f>
        <v>MURILO BARRETO AFONSO (30)</v>
      </c>
      <c r="H2769" t="str">
        <f>"DESCONTO COTA COOPERADO"</f>
        <v>DESCONTO COTA COOPERADO</v>
      </c>
      <c r="I2769" t="str">
        <f>("16/03/2026")</f>
        <v>16/03/2026</v>
      </c>
      <c r="J2769" t="str">
        <f>("16/01/2025")</f>
        <v>16/01/2025</v>
      </c>
      <c r="K2769" t="str">
        <f>("18/03/2026")</f>
        <v>18/03/2026</v>
      </c>
      <c r="L2769">
        <v>20</v>
      </c>
      <c r="M2769">
        <v>20</v>
      </c>
      <c r="N2769">
        <v>106</v>
      </c>
      <c r="O2769" t="str">
        <f>"ENTRADA DE CAPITAL"</f>
        <v>ENTRADA DE CAPITAL</v>
      </c>
      <c r="P2769">
        <v>20</v>
      </c>
      <c r="S2769" t="str">
        <f>"ENTRADA DE CAPITAL (106)"</f>
        <v>ENTRADA DE CAPITAL (106)</v>
      </c>
      <c r="T2769">
        <v>30688</v>
      </c>
      <c r="U2769">
        <v>7212</v>
      </c>
      <c r="V2769" t="s">
        <v>22</v>
      </c>
    </row>
    <row r="2770" spans="1:22">
      <c r="A2770" t="str">
        <f t="shared" si="521"/>
        <v>18/03/2026</v>
      </c>
      <c r="B2770" t="str">
        <f>"ENTRADA"</f>
        <v>ENTRADA</v>
      </c>
      <c r="C2770" t="str">
        <f>"DINHEIRO"</f>
        <v>DINHEIRO</v>
      </c>
      <c r="D2770" t="str">
        <f>"11"</f>
        <v>11</v>
      </c>
      <c r="E2770" t="str">
        <f>"39"</f>
        <v>39</v>
      </c>
      <c r="F2770" t="str">
        <f t="shared" si="522"/>
        <v>COM</v>
      </c>
      <c r="G2770" t="str">
        <f>"MURILO BARRETO AFONSO (30)"</f>
        <v>MURILO BARRETO AFONSO (30)</v>
      </c>
      <c r="H2770" t="s">
        <v>549</v>
      </c>
      <c r="I2770" t="str">
        <f>("16/03/2026")</f>
        <v>16/03/2026</v>
      </c>
      <c r="J2770" t="str">
        <f>("16/01/2025")</f>
        <v>16/01/2025</v>
      </c>
      <c r="K2770">
        <v>46099</v>
      </c>
      <c r="N2770">
        <v>106</v>
      </c>
      <c r="O2770" t="s">
        <v>98</v>
      </c>
      <c r="Q2770">
        <v>20</v>
      </c>
      <c r="R2770" t="str">
        <f>"MURILO BARRETO AFONSO (30)"</f>
        <v>MURILO BARRETO AFONSO (30)</v>
      </c>
      <c r="S2770" t="s">
        <v>99</v>
      </c>
      <c r="T2770">
        <v>30688</v>
      </c>
      <c r="U2770">
        <v>7212</v>
      </c>
      <c r="V2770" t="s">
        <v>22</v>
      </c>
    </row>
    <row r="2771" spans="1:22">
      <c r="A2771" t="str">
        <f t="shared" si="521"/>
        <v>18/03/2026</v>
      </c>
      <c r="B2771" t="str">
        <f>"ENTRADA"</f>
        <v>ENTRADA</v>
      </c>
      <c r="C2771" t="str">
        <f>"DINHEIRO"</f>
        <v>DINHEIRO</v>
      </c>
      <c r="D2771" t="str">
        <f>"09"</f>
        <v>09</v>
      </c>
      <c r="E2771" t="str">
        <f>"39"</f>
        <v>39</v>
      </c>
      <c r="F2771" t="str">
        <f t="shared" si="522"/>
        <v>COM</v>
      </c>
      <c r="G2771" t="str">
        <f>"OSVALDO DOS SANTOS (163)"</f>
        <v>OSVALDO DOS SANTOS (163)</v>
      </c>
      <c r="H2771" t="str">
        <f>"DESCONTO COTA COOPERADO"</f>
        <v>DESCONTO COTA COOPERADO</v>
      </c>
      <c r="I2771" t="str">
        <f>("16/03/2026")</f>
        <v>16/03/2026</v>
      </c>
      <c r="J2771" t="str">
        <f>("16/01/2025")</f>
        <v>16/01/2025</v>
      </c>
      <c r="K2771" t="str">
        <f>("18/03/2026")</f>
        <v>18/03/2026</v>
      </c>
      <c r="L2771">
        <v>20</v>
      </c>
      <c r="M2771">
        <v>20</v>
      </c>
      <c r="N2771">
        <v>106</v>
      </c>
      <c r="O2771" t="str">
        <f>"ENTRADA DE CAPITAL"</f>
        <v>ENTRADA DE CAPITAL</v>
      </c>
      <c r="P2771">
        <v>20</v>
      </c>
      <c r="S2771" t="str">
        <f>"ENTRADA DE CAPITAL (106)"</f>
        <v>ENTRADA DE CAPITAL (106)</v>
      </c>
      <c r="T2771">
        <v>30689</v>
      </c>
      <c r="U2771">
        <v>7246</v>
      </c>
      <c r="V2771" t="s">
        <v>22</v>
      </c>
    </row>
    <row r="2772" spans="1:22">
      <c r="A2772" t="str">
        <f t="shared" si="521"/>
        <v>18/03/2026</v>
      </c>
      <c r="B2772" t="str">
        <f>"ENTRADA"</f>
        <v>ENTRADA</v>
      </c>
      <c r="C2772" t="str">
        <f>"DINHEIRO"</f>
        <v>DINHEIRO</v>
      </c>
      <c r="D2772" t="str">
        <f>"09"</f>
        <v>09</v>
      </c>
      <c r="E2772" t="str">
        <f>"39"</f>
        <v>39</v>
      </c>
      <c r="F2772" t="str">
        <f t="shared" si="522"/>
        <v>COM</v>
      </c>
      <c r="G2772" t="str">
        <f>"OSVALDO DOS SANTOS (163)"</f>
        <v>OSVALDO DOS SANTOS (163)</v>
      </c>
      <c r="H2772" t="s">
        <v>549</v>
      </c>
      <c r="I2772" t="str">
        <f>("16/03/2026")</f>
        <v>16/03/2026</v>
      </c>
      <c r="J2772" t="str">
        <f>("16/01/2025")</f>
        <v>16/01/2025</v>
      </c>
      <c r="K2772">
        <v>46099</v>
      </c>
      <c r="N2772">
        <v>106</v>
      </c>
      <c r="O2772" t="s">
        <v>98</v>
      </c>
      <c r="Q2772">
        <v>20</v>
      </c>
      <c r="R2772" t="str">
        <f>"OSVALDO DOS SANTOS (163)"</f>
        <v>OSVALDO DOS SANTOS (163)</v>
      </c>
      <c r="S2772" t="s">
        <v>99</v>
      </c>
      <c r="T2772">
        <v>30689</v>
      </c>
      <c r="U2772">
        <v>7246</v>
      </c>
      <c r="V2772" t="s">
        <v>22</v>
      </c>
    </row>
    <row r="2773" spans="1:22">
      <c r="A2773" t="str">
        <f t="shared" si="521"/>
        <v>18/03/2026</v>
      </c>
      <c r="B2773" t="str">
        <f>"SAÍDA"</f>
        <v>SAÍDA</v>
      </c>
      <c r="C2773" t="str">
        <f>"PIX"</f>
        <v>PIX</v>
      </c>
      <c r="D2773" t="str">
        <f>"34517"</f>
        <v>34517</v>
      </c>
      <c r="E2773" t="str">
        <f>"1"</f>
        <v>1</v>
      </c>
      <c r="F2773" t="str">
        <f t="shared" si="522"/>
        <v>COM</v>
      </c>
      <c r="G2773" t="str">
        <f>"OSVALDO DOS SANTOS (163)"</f>
        <v>OSVALDO DOS SANTOS (163)</v>
      </c>
      <c r="H2773" t="str">
        <f>"Serv.Prest. 02/03/2026 a 08/03/2026 - PIX: CELULAR - CHAVE: (73) 99977-2721"</f>
        <v>Serv.Prest. 02/03/2026 a 08/03/2026 - PIX: CELULAR - CHAVE: (73) 99977-2721</v>
      </c>
      <c r="I2773" t="str">
        <f>("19/03/2026")</f>
        <v>19/03/2026</v>
      </c>
      <c r="J2773" t="str">
        <f>("10/03/2026")</f>
        <v>10/03/2026</v>
      </c>
      <c r="K2773" t="str">
        <f>("18/03/2026")</f>
        <v>18/03/2026</v>
      </c>
      <c r="L2773">
        <v>20</v>
      </c>
      <c r="M2773">
        <v>20</v>
      </c>
      <c r="N2773">
        <v>109</v>
      </c>
      <c r="O2773" t="str">
        <f>"PAGAMENTO DE ENTREGADORES"</f>
        <v>PAGAMENTO DE ENTREGADORES</v>
      </c>
      <c r="P2773">
        <v>20</v>
      </c>
      <c r="S2773" t="str">
        <f>"CAIXA MOVIMENTAÇÃO OPERACIONAL (132)"</f>
        <v>CAIXA MOVIMENTAÇÃO OPERACIONAL (132)</v>
      </c>
      <c r="T2773">
        <v>30690</v>
      </c>
      <c r="U2773">
        <v>35355</v>
      </c>
      <c r="V2773" t="s">
        <v>22</v>
      </c>
    </row>
    <row r="2774" spans="1:22">
      <c r="A2774" t="str">
        <f t="shared" si="521"/>
        <v>18/03/2026</v>
      </c>
      <c r="B2774" t="str">
        <f>"SAÍDA"</f>
        <v>SAÍDA</v>
      </c>
      <c r="C2774" t="str">
        <f>"PIX"</f>
        <v>PIX</v>
      </c>
      <c r="D2774" t="str">
        <f>"34517"</f>
        <v>34517</v>
      </c>
      <c r="E2774" t="str">
        <f>"1"</f>
        <v>1</v>
      </c>
      <c r="F2774" t="str">
        <f t="shared" si="522"/>
        <v>COM</v>
      </c>
      <c r="G2774" t="str">
        <f>"OSVALDO DOS SANTOS (163)"</f>
        <v>OSVALDO DOS SANTOS (163)</v>
      </c>
      <c r="H2774" t="s">
        <v>862</v>
      </c>
      <c r="I2774" t="str">
        <f>("19/03/2026")</f>
        <v>19/03/2026</v>
      </c>
      <c r="J2774" t="str">
        <f>("10/03/2026")</f>
        <v>10/03/2026</v>
      </c>
      <c r="K2774">
        <v>46099</v>
      </c>
      <c r="N2774">
        <v>109</v>
      </c>
      <c r="O2774" t="s">
        <v>27</v>
      </c>
      <c r="Q2774">
        <v>20</v>
      </c>
      <c r="R2774" t="str">
        <f>"FARMÁCIA INDIANA LJ 35 (10015)"</f>
        <v>FARMÁCIA INDIANA LJ 35 (10015)</v>
      </c>
      <c r="S2774" t="s">
        <v>22</v>
      </c>
      <c r="T2774">
        <v>30690</v>
      </c>
      <c r="U2774">
        <v>35355</v>
      </c>
      <c r="V2774" t="s">
        <v>22</v>
      </c>
    </row>
    <row r="2775" spans="1:22">
      <c r="A2775" t="str">
        <f t="shared" si="521"/>
        <v>18/03/2026</v>
      </c>
      <c r="B2775" t="str">
        <f>"ENTRADA"</f>
        <v>ENTRADA</v>
      </c>
      <c r="C2775" t="str">
        <f>"DINHEIRO"</f>
        <v>DINHEIRO</v>
      </c>
      <c r="D2775" t="str">
        <f>"05"</f>
        <v>05</v>
      </c>
      <c r="E2775" t="str">
        <f>"39"</f>
        <v>39</v>
      </c>
      <c r="F2775" t="str">
        <f t="shared" si="522"/>
        <v>COM</v>
      </c>
      <c r="G2775" t="str">
        <f>"TIAGO VIEIRA (372)"</f>
        <v>TIAGO VIEIRA (372)</v>
      </c>
      <c r="H2775" t="str">
        <f>"DESCONTO COTA COOPERADO"</f>
        <v>DESCONTO COTA COOPERADO</v>
      </c>
      <c r="I2775" t="str">
        <f>("16/03/2026")</f>
        <v>16/03/2026</v>
      </c>
      <c r="J2775" t="str">
        <f>("16/01/2025")</f>
        <v>16/01/2025</v>
      </c>
      <c r="K2775" t="str">
        <f>("18/03/2026")</f>
        <v>18/03/2026</v>
      </c>
      <c r="L2775">
        <v>20</v>
      </c>
      <c r="M2775">
        <v>20</v>
      </c>
      <c r="N2775">
        <v>106</v>
      </c>
      <c r="O2775" t="str">
        <f>"ENTRADA DE CAPITAL"</f>
        <v>ENTRADA DE CAPITAL</v>
      </c>
      <c r="P2775">
        <v>20</v>
      </c>
      <c r="S2775" t="str">
        <f>"ENTRADA DE CAPITAL (106)"</f>
        <v>ENTRADA DE CAPITAL (106)</v>
      </c>
      <c r="T2775">
        <v>30691</v>
      </c>
      <c r="U2775">
        <v>7608</v>
      </c>
      <c r="V2775" t="s">
        <v>22</v>
      </c>
    </row>
    <row r="2776" spans="1:22">
      <c r="A2776" t="str">
        <f t="shared" si="521"/>
        <v>18/03/2026</v>
      </c>
      <c r="B2776" t="str">
        <f>"ENTRADA"</f>
        <v>ENTRADA</v>
      </c>
      <c r="C2776" t="str">
        <f>"DINHEIRO"</f>
        <v>DINHEIRO</v>
      </c>
      <c r="D2776" t="str">
        <f>"05"</f>
        <v>05</v>
      </c>
      <c r="E2776" t="str">
        <f>"39"</f>
        <v>39</v>
      </c>
      <c r="F2776" t="str">
        <f t="shared" si="522"/>
        <v>COM</v>
      </c>
      <c r="G2776" t="str">
        <f>"TIAGO VIEIRA (372)"</f>
        <v>TIAGO VIEIRA (372)</v>
      </c>
      <c r="H2776" t="s">
        <v>549</v>
      </c>
      <c r="I2776" t="str">
        <f>("16/03/2026")</f>
        <v>16/03/2026</v>
      </c>
      <c r="J2776" t="str">
        <f>("16/01/2025")</f>
        <v>16/01/2025</v>
      </c>
      <c r="K2776">
        <v>46099</v>
      </c>
      <c r="N2776">
        <v>106</v>
      </c>
      <c r="O2776" t="s">
        <v>98</v>
      </c>
      <c r="Q2776">
        <v>20</v>
      </c>
      <c r="R2776" t="str">
        <f>"TIAGO VIEIRA (372)"</f>
        <v>TIAGO VIEIRA (372)</v>
      </c>
      <c r="S2776" t="s">
        <v>99</v>
      </c>
      <c r="T2776">
        <v>30691</v>
      </c>
      <c r="U2776">
        <v>7608</v>
      </c>
      <c r="V2776" t="s">
        <v>22</v>
      </c>
    </row>
    <row r="2777" spans="1:22">
      <c r="A2777" t="str">
        <f t="shared" si="521"/>
        <v>18/03/2026</v>
      </c>
      <c r="B2777" t="str">
        <f>"SAÍDA"</f>
        <v>SAÍDA</v>
      </c>
      <c r="C2777" t="str">
        <f>"PIX"</f>
        <v>PIX</v>
      </c>
      <c r="D2777" t="str">
        <f>"34896"</f>
        <v>34896</v>
      </c>
      <c r="E2777" t="str">
        <f>"1"</f>
        <v>1</v>
      </c>
      <c r="F2777" t="str">
        <f t="shared" si="522"/>
        <v>COM</v>
      </c>
      <c r="G2777" t="str">
        <f>"TIAGO VIEIRA (372)"</f>
        <v>TIAGO VIEIRA (372)</v>
      </c>
      <c r="H2777" t="str">
        <f>"Serv.Prest. 09/03/2026 a 15/03/2026 - PIX: CELULAR - CHAVE: (37) 98841-8571"</f>
        <v>Serv.Prest. 09/03/2026 a 15/03/2026 - PIX: CELULAR - CHAVE: (37) 98841-8571</v>
      </c>
      <c r="I2777" t="str">
        <f>("19/03/2026")</f>
        <v>19/03/2026</v>
      </c>
      <c r="J2777" t="str">
        <f>("16/03/2026")</f>
        <v>16/03/2026</v>
      </c>
      <c r="K2777" t="str">
        <f>("18/03/2026")</f>
        <v>18/03/2026</v>
      </c>
      <c r="L2777">
        <v>20</v>
      </c>
      <c r="M2777">
        <v>20</v>
      </c>
      <c r="N2777">
        <v>109</v>
      </c>
      <c r="O2777" t="str">
        <f>"PAGAMENTO DE ENTREGADORES"</f>
        <v>PAGAMENTO DE ENTREGADORES</v>
      </c>
      <c r="P2777">
        <v>20</v>
      </c>
      <c r="S2777" t="str">
        <f>"CAIXA MOVIMENTAÇÃO OPERACIONAL (132)"</f>
        <v>CAIXA MOVIMENTAÇÃO OPERACIONAL (132)</v>
      </c>
      <c r="T2777">
        <v>30692</v>
      </c>
      <c r="U2777">
        <v>35356</v>
      </c>
      <c r="V2777" t="s">
        <v>22</v>
      </c>
    </row>
    <row r="2778" spans="1:22">
      <c r="A2778" t="str">
        <f t="shared" si="521"/>
        <v>18/03/2026</v>
      </c>
      <c r="B2778" t="str">
        <f>"SAÍDA"</f>
        <v>SAÍDA</v>
      </c>
      <c r="C2778" t="str">
        <f>"PIX"</f>
        <v>PIX</v>
      </c>
      <c r="D2778" t="str">
        <f>"34896"</f>
        <v>34896</v>
      </c>
      <c r="E2778" t="str">
        <f>"1"</f>
        <v>1</v>
      </c>
      <c r="F2778" t="str">
        <f t="shared" si="522"/>
        <v>COM</v>
      </c>
      <c r="G2778" t="str">
        <f>"TIAGO VIEIRA (372)"</f>
        <v>TIAGO VIEIRA (372)</v>
      </c>
      <c r="H2778" t="s">
        <v>863</v>
      </c>
      <c r="I2778" t="str">
        <f>("19/03/2026")</f>
        <v>19/03/2026</v>
      </c>
      <c r="J2778" t="str">
        <f>("16/03/2026")</f>
        <v>16/03/2026</v>
      </c>
      <c r="K2778">
        <v>46099</v>
      </c>
      <c r="N2778">
        <v>109</v>
      </c>
      <c r="O2778" t="s">
        <v>27</v>
      </c>
      <c r="Q2778">
        <v>20</v>
      </c>
      <c r="R2778" t="str">
        <f>"DROGARIA POUPA MINAS (ULTRAMINAS) 1 (10181)"</f>
        <v>DROGARIA POUPA MINAS (ULTRAMINAS) 1 (10181)</v>
      </c>
      <c r="S2778" t="s">
        <v>22</v>
      </c>
      <c r="T2778">
        <v>30692</v>
      </c>
      <c r="U2778">
        <v>35356</v>
      </c>
      <c r="V2778" t="s">
        <v>22</v>
      </c>
    </row>
    <row r="2779" spans="1:22">
      <c r="A2779" t="str">
        <f t="shared" si="521"/>
        <v>18/03/2026</v>
      </c>
      <c r="B2779" t="str">
        <f>"ENTRADA"</f>
        <v>ENTRADA</v>
      </c>
      <c r="C2779" t="str">
        <f>"DINHEIRO"</f>
        <v>DINHEIRO</v>
      </c>
      <c r="D2779" t="str">
        <f>"06"</f>
        <v>06</v>
      </c>
      <c r="E2779" t="str">
        <f>"39"</f>
        <v>39</v>
      </c>
      <c r="F2779" t="str">
        <f t="shared" si="522"/>
        <v>COM</v>
      </c>
      <c r="G2779" t="str">
        <f>"VITOR DE SOUZA SILVA (360)"</f>
        <v>VITOR DE SOUZA SILVA (360)</v>
      </c>
      <c r="H2779" t="str">
        <f>"DESCONTO COTA COOPERADO"</f>
        <v>DESCONTO COTA COOPERADO</v>
      </c>
      <c r="I2779" t="str">
        <f>("16/03/2026")</f>
        <v>16/03/2026</v>
      </c>
      <c r="J2779" t="str">
        <f>("16/01/2025")</f>
        <v>16/01/2025</v>
      </c>
      <c r="K2779" t="str">
        <f>("18/03/2026")</f>
        <v>18/03/2026</v>
      </c>
      <c r="L2779">
        <v>20</v>
      </c>
      <c r="M2779">
        <v>20</v>
      </c>
      <c r="N2779">
        <v>106</v>
      </c>
      <c r="O2779" t="str">
        <f>"ENTRADA DE CAPITAL"</f>
        <v>ENTRADA DE CAPITAL</v>
      </c>
      <c r="P2779">
        <v>20</v>
      </c>
      <c r="S2779" t="str">
        <f>"ENTRADA DE CAPITAL (106)"</f>
        <v>ENTRADA DE CAPITAL (106)</v>
      </c>
      <c r="T2779">
        <v>30693</v>
      </c>
      <c r="U2779">
        <v>7657</v>
      </c>
      <c r="V2779" t="s">
        <v>22</v>
      </c>
    </row>
    <row r="2780" spans="1:22">
      <c r="A2780" t="str">
        <f t="shared" si="521"/>
        <v>18/03/2026</v>
      </c>
      <c r="B2780" t="str">
        <f>"ENTRADA"</f>
        <v>ENTRADA</v>
      </c>
      <c r="C2780" t="str">
        <f>"DINHEIRO"</f>
        <v>DINHEIRO</v>
      </c>
      <c r="D2780" t="str">
        <f>"06"</f>
        <v>06</v>
      </c>
      <c r="E2780" t="str">
        <f>"39"</f>
        <v>39</v>
      </c>
      <c r="F2780" t="str">
        <f t="shared" si="522"/>
        <v>COM</v>
      </c>
      <c r="G2780" t="str">
        <f>"VITOR DE SOUZA SILVA (360)"</f>
        <v>VITOR DE SOUZA SILVA (360)</v>
      </c>
      <c r="H2780" t="s">
        <v>549</v>
      </c>
      <c r="I2780" t="str">
        <f>("16/03/2026")</f>
        <v>16/03/2026</v>
      </c>
      <c r="J2780" t="str">
        <f>("16/01/2025")</f>
        <v>16/01/2025</v>
      </c>
      <c r="K2780">
        <v>46099</v>
      </c>
      <c r="N2780">
        <v>106</v>
      </c>
      <c r="O2780" t="s">
        <v>98</v>
      </c>
      <c r="Q2780">
        <v>20</v>
      </c>
      <c r="R2780" t="str">
        <f>"VITOR DE SOUZA SILVA (360)"</f>
        <v>VITOR DE SOUZA SILVA (360)</v>
      </c>
      <c r="S2780" t="s">
        <v>99</v>
      </c>
      <c r="T2780">
        <v>30693</v>
      </c>
      <c r="U2780">
        <v>7657</v>
      </c>
      <c r="V2780" t="s">
        <v>22</v>
      </c>
    </row>
    <row r="2781" spans="1:22">
      <c r="A2781" t="str">
        <f t="shared" si="521"/>
        <v>18/03/2026</v>
      </c>
      <c r="B2781" t="str">
        <f>"SAÍDA"</f>
        <v>SAÍDA</v>
      </c>
      <c r="C2781" t="str">
        <f>"PIX"</f>
        <v>PIX</v>
      </c>
      <c r="D2781" t="str">
        <f>"34646"</f>
        <v>34646</v>
      </c>
      <c r="E2781" t="str">
        <f>"1"</f>
        <v>1</v>
      </c>
      <c r="F2781" t="str">
        <f t="shared" si="522"/>
        <v>COM</v>
      </c>
      <c r="G2781" t="str">
        <f>"VITOR DE SOUZA SILVA (360)"</f>
        <v>VITOR DE SOUZA SILVA (360)</v>
      </c>
      <c r="H2781" t="str">
        <f>"Serv.Prest. 02/03/2026 a 08/03/2026 - PIX: CPF - CHAVE: 130.194.566-81"</f>
        <v>Serv.Prest. 02/03/2026 a 08/03/2026 - PIX: CPF - CHAVE: 130.194.566-81</v>
      </c>
      <c r="I2781" t="str">
        <f>("19/03/2026")</f>
        <v>19/03/2026</v>
      </c>
      <c r="J2781" t="str">
        <f>("10/03/2026")</f>
        <v>10/03/2026</v>
      </c>
      <c r="K2781" t="str">
        <f>("18/03/2026")</f>
        <v>18/03/2026</v>
      </c>
      <c r="L2781">
        <v>20</v>
      </c>
      <c r="M2781">
        <v>20</v>
      </c>
      <c r="N2781">
        <v>109</v>
      </c>
      <c r="O2781" t="str">
        <f>"PAGAMENTO DE ENTREGADORES"</f>
        <v>PAGAMENTO DE ENTREGADORES</v>
      </c>
      <c r="P2781">
        <v>20</v>
      </c>
      <c r="S2781" t="str">
        <f>"CAIXA MOVIMENTAÇÃO OPERACIONAL (132)"</f>
        <v>CAIXA MOVIMENTAÇÃO OPERACIONAL (132)</v>
      </c>
      <c r="T2781">
        <v>30694</v>
      </c>
      <c r="U2781">
        <v>35357</v>
      </c>
      <c r="V2781" t="s">
        <v>22</v>
      </c>
    </row>
    <row r="2782" spans="1:22">
      <c r="A2782" t="str">
        <f t="shared" si="521"/>
        <v>18/03/2026</v>
      </c>
      <c r="B2782" t="str">
        <f>"SAÍDA"</f>
        <v>SAÍDA</v>
      </c>
      <c r="C2782" t="str">
        <f>"PIX"</f>
        <v>PIX</v>
      </c>
      <c r="D2782" t="str">
        <f>"34646"</f>
        <v>34646</v>
      </c>
      <c r="E2782" t="str">
        <f>"1"</f>
        <v>1</v>
      </c>
      <c r="F2782" t="str">
        <f t="shared" si="522"/>
        <v>COM</v>
      </c>
      <c r="G2782" t="str">
        <f>"VITOR DE SOUZA SILVA (360)"</f>
        <v>VITOR DE SOUZA SILVA (360)</v>
      </c>
      <c r="H2782" t="s">
        <v>864</v>
      </c>
      <c r="I2782" t="str">
        <f>("19/03/2026")</f>
        <v>19/03/2026</v>
      </c>
      <c r="J2782" t="str">
        <f>("10/03/2026")</f>
        <v>10/03/2026</v>
      </c>
      <c r="K2782">
        <v>46099</v>
      </c>
      <c r="N2782">
        <v>109</v>
      </c>
      <c r="O2782" t="s">
        <v>27</v>
      </c>
      <c r="Q2782">
        <v>20</v>
      </c>
      <c r="R2782" t="str">
        <f>"FARMÁCIA INDIANA LJ 128 (10057)"</f>
        <v>FARMÁCIA INDIANA LJ 128 (10057)</v>
      </c>
      <c r="S2782" t="s">
        <v>22</v>
      </c>
      <c r="T2782">
        <v>30694</v>
      </c>
      <c r="U2782">
        <v>35357</v>
      </c>
      <c r="V2782" t="s">
        <v>22</v>
      </c>
    </row>
    <row r="2783" spans="1:22">
      <c r="A2783" t="str">
        <f t="shared" si="521"/>
        <v>18/03/2026</v>
      </c>
      <c r="B2783" t="str">
        <f>"ENTRADA"</f>
        <v>ENTRADA</v>
      </c>
      <c r="C2783" t="str">
        <f>"DINHEIRO"</f>
        <v>DINHEIRO</v>
      </c>
      <c r="D2783" t="str">
        <f>"04"</f>
        <v>04</v>
      </c>
      <c r="E2783" t="str">
        <f>"39"</f>
        <v>39</v>
      </c>
      <c r="F2783" t="str">
        <f t="shared" si="522"/>
        <v>COM</v>
      </c>
      <c r="G2783" t="str">
        <f>"WELLINGTON DOS SANTOS ALVES (438)"</f>
        <v>WELLINGTON DOS SANTOS ALVES (438)</v>
      </c>
      <c r="H2783" t="str">
        <f>"DESCONTO COTA COOPERADO"</f>
        <v>DESCONTO COTA COOPERADO</v>
      </c>
      <c r="I2783" t="str">
        <f>("16/03/2026")</f>
        <v>16/03/2026</v>
      </c>
      <c r="J2783" t="str">
        <f>("16/01/2025")</f>
        <v>16/01/2025</v>
      </c>
      <c r="K2783" t="str">
        <f>("18/03/2026")</f>
        <v>18/03/2026</v>
      </c>
      <c r="L2783">
        <v>20</v>
      </c>
      <c r="M2783">
        <v>20</v>
      </c>
      <c r="N2783">
        <v>106</v>
      </c>
      <c r="O2783" t="str">
        <f>"ENTRADA DE CAPITAL"</f>
        <v>ENTRADA DE CAPITAL</v>
      </c>
      <c r="P2783">
        <v>20</v>
      </c>
      <c r="S2783" t="str">
        <f>"ENTRADA DE CAPITAL (106)"</f>
        <v>ENTRADA DE CAPITAL (106)</v>
      </c>
      <c r="T2783">
        <v>30695</v>
      </c>
      <c r="U2783">
        <v>7747</v>
      </c>
      <c r="V2783" t="s">
        <v>22</v>
      </c>
    </row>
    <row r="2784" spans="1:22">
      <c r="A2784" t="str">
        <f t="shared" si="521"/>
        <v>18/03/2026</v>
      </c>
      <c r="B2784" t="str">
        <f>"ENTRADA"</f>
        <v>ENTRADA</v>
      </c>
      <c r="C2784" t="str">
        <f>"DINHEIRO"</f>
        <v>DINHEIRO</v>
      </c>
      <c r="D2784" t="str">
        <f>"04"</f>
        <v>04</v>
      </c>
      <c r="E2784" t="str">
        <f>"39"</f>
        <v>39</v>
      </c>
      <c r="F2784" t="str">
        <f t="shared" si="522"/>
        <v>COM</v>
      </c>
      <c r="G2784" t="str">
        <f>"WELLINGTON DOS SANTOS ALVES (438)"</f>
        <v>WELLINGTON DOS SANTOS ALVES (438)</v>
      </c>
      <c r="H2784" t="s">
        <v>549</v>
      </c>
      <c r="I2784" t="str">
        <f>("16/03/2026")</f>
        <v>16/03/2026</v>
      </c>
      <c r="J2784" t="str">
        <f>("16/01/2025")</f>
        <v>16/01/2025</v>
      </c>
      <c r="K2784">
        <v>46099</v>
      </c>
      <c r="N2784">
        <v>106</v>
      </c>
      <c r="O2784" t="s">
        <v>98</v>
      </c>
      <c r="Q2784">
        <v>20</v>
      </c>
      <c r="R2784" t="str">
        <f>"WELLINGTON DOS SANTOS ALVES (438)"</f>
        <v>WELLINGTON DOS SANTOS ALVES (438)</v>
      </c>
      <c r="S2784" t="s">
        <v>99</v>
      </c>
      <c r="T2784">
        <v>30695</v>
      </c>
      <c r="U2784">
        <v>7747</v>
      </c>
      <c r="V2784" t="s">
        <v>22</v>
      </c>
    </row>
    <row r="2785" spans="1:22">
      <c r="A2785" t="str">
        <f t="shared" si="521"/>
        <v>18/03/2026</v>
      </c>
      <c r="B2785" t="str">
        <f>"SAÍDA"</f>
        <v>SAÍDA</v>
      </c>
      <c r="C2785" t="str">
        <f>"PIX"</f>
        <v>PIX</v>
      </c>
      <c r="D2785" t="str">
        <f>"34649"</f>
        <v>34649</v>
      </c>
      <c r="E2785" t="str">
        <f>"1"</f>
        <v>1</v>
      </c>
      <c r="F2785" t="str">
        <f t="shared" si="522"/>
        <v>COM</v>
      </c>
      <c r="G2785" t="str">
        <f>"WELLINGTON DOS SANTOS ALVES (438)"</f>
        <v>WELLINGTON DOS SANTOS ALVES (438)</v>
      </c>
      <c r="H2785" t="str">
        <f>"Serv.Prest. 02/03/2026 a 08/03/2026 - PIX: CELULAR - CHAVE: (32) 99800-1691"</f>
        <v>Serv.Prest. 02/03/2026 a 08/03/2026 - PIX: CELULAR - CHAVE: (32) 99800-1691</v>
      </c>
      <c r="I2785" t="str">
        <f>("19/03/2026")</f>
        <v>19/03/2026</v>
      </c>
      <c r="J2785" t="str">
        <f>("10/03/2026")</f>
        <v>10/03/2026</v>
      </c>
      <c r="K2785" t="str">
        <f>("18/03/2026")</f>
        <v>18/03/2026</v>
      </c>
      <c r="L2785">
        <v>20</v>
      </c>
      <c r="M2785">
        <v>20</v>
      </c>
      <c r="N2785">
        <v>109</v>
      </c>
      <c r="O2785" t="str">
        <f>"PAGAMENTO DE ENTREGADORES"</f>
        <v>PAGAMENTO DE ENTREGADORES</v>
      </c>
      <c r="P2785">
        <v>20</v>
      </c>
      <c r="S2785" t="str">
        <f>"CAIXA MOVIMENTAÇÃO OPERACIONAL (132)"</f>
        <v>CAIXA MOVIMENTAÇÃO OPERACIONAL (132)</v>
      </c>
      <c r="T2785">
        <v>30696</v>
      </c>
      <c r="U2785">
        <v>35358</v>
      </c>
      <c r="V2785" t="s">
        <v>22</v>
      </c>
    </row>
    <row r="2786" spans="1:22">
      <c r="A2786" t="str">
        <f t="shared" si="521"/>
        <v>18/03/2026</v>
      </c>
      <c r="B2786" t="str">
        <f>"SAÍDA"</f>
        <v>SAÍDA</v>
      </c>
      <c r="C2786" t="str">
        <f>"PIX"</f>
        <v>PIX</v>
      </c>
      <c r="D2786" t="str">
        <f>"34649"</f>
        <v>34649</v>
      </c>
      <c r="E2786" t="str">
        <f>"1"</f>
        <v>1</v>
      </c>
      <c r="F2786" t="str">
        <f t="shared" si="522"/>
        <v>COM</v>
      </c>
      <c r="G2786" t="str">
        <f>"WELLINGTON DOS SANTOS ALVES (438)"</f>
        <v>WELLINGTON DOS SANTOS ALVES (438)</v>
      </c>
      <c r="H2786" t="s">
        <v>865</v>
      </c>
      <c r="I2786" t="str">
        <f>("19/03/2026")</f>
        <v>19/03/2026</v>
      </c>
      <c r="J2786" t="str">
        <f>("10/03/2026")</f>
        <v>10/03/2026</v>
      </c>
      <c r="K2786">
        <v>46099</v>
      </c>
      <c r="N2786">
        <v>109</v>
      </c>
      <c r="O2786" t="s">
        <v>27</v>
      </c>
      <c r="Q2786">
        <v>20</v>
      </c>
      <c r="R2786" t="str">
        <f>"FARMÁCIA INDIANA LJ 121 (10054)"</f>
        <v>FARMÁCIA INDIANA LJ 121 (10054)</v>
      </c>
      <c r="S2786" t="s">
        <v>22</v>
      </c>
      <c r="T2786">
        <v>30696</v>
      </c>
      <c r="U2786">
        <v>35358</v>
      </c>
      <c r="V2786" t="s">
        <v>22</v>
      </c>
    </row>
    <row r="2787" spans="1:22">
      <c r="A2787" t="str">
        <f t="shared" ref="A2787:A2850" si="523">("18/03/2026")</f>
        <v>18/03/2026</v>
      </c>
      <c r="B2787" t="str">
        <f>"ENTRADA"</f>
        <v>ENTRADA</v>
      </c>
      <c r="C2787" t="str">
        <f>"DINHEIRO"</f>
        <v>DINHEIRO</v>
      </c>
      <c r="D2787" t="str">
        <f>"11"</f>
        <v>11</v>
      </c>
      <c r="E2787" t="str">
        <f>"39"</f>
        <v>39</v>
      </c>
      <c r="F2787" t="str">
        <f t="shared" si="522"/>
        <v>COM</v>
      </c>
      <c r="G2787" t="str">
        <f>"WEMERSON FELIPE LOPES (187)"</f>
        <v>WEMERSON FELIPE LOPES (187)</v>
      </c>
      <c r="H2787" t="str">
        <f>"DESCONTO COTA COOPERADO"</f>
        <v>DESCONTO COTA COOPERADO</v>
      </c>
      <c r="I2787" t="str">
        <f>("16/03/2026")</f>
        <v>16/03/2026</v>
      </c>
      <c r="J2787" t="str">
        <f>("16/01/2025")</f>
        <v>16/01/2025</v>
      </c>
      <c r="K2787" t="str">
        <f>("18/03/2026")</f>
        <v>18/03/2026</v>
      </c>
      <c r="L2787">
        <v>20</v>
      </c>
      <c r="M2787">
        <v>20</v>
      </c>
      <c r="N2787">
        <v>106</v>
      </c>
      <c r="O2787" t="str">
        <f>"ENTRADA DE CAPITAL"</f>
        <v>ENTRADA DE CAPITAL</v>
      </c>
      <c r="P2787">
        <v>20</v>
      </c>
      <c r="S2787" t="str">
        <f>"ENTRADA DE CAPITAL (106)"</f>
        <v>ENTRADA DE CAPITAL (106)</v>
      </c>
      <c r="T2787">
        <v>30697</v>
      </c>
      <c r="U2787">
        <v>7772</v>
      </c>
      <c r="V2787" t="s">
        <v>22</v>
      </c>
    </row>
    <row r="2788" spans="1:22">
      <c r="A2788" t="str">
        <f t="shared" si="523"/>
        <v>18/03/2026</v>
      </c>
      <c r="B2788" t="str">
        <f>"ENTRADA"</f>
        <v>ENTRADA</v>
      </c>
      <c r="C2788" t="str">
        <f>"DINHEIRO"</f>
        <v>DINHEIRO</v>
      </c>
      <c r="D2788" t="str">
        <f>"11"</f>
        <v>11</v>
      </c>
      <c r="E2788" t="str">
        <f>"39"</f>
        <v>39</v>
      </c>
      <c r="F2788" t="str">
        <f t="shared" si="522"/>
        <v>COM</v>
      </c>
      <c r="G2788" t="str">
        <f>"WEMERSON FELIPE LOPES (187)"</f>
        <v>WEMERSON FELIPE LOPES (187)</v>
      </c>
      <c r="H2788" t="s">
        <v>549</v>
      </c>
      <c r="I2788" t="str">
        <f>("16/03/2026")</f>
        <v>16/03/2026</v>
      </c>
      <c r="J2788" t="str">
        <f>("16/01/2025")</f>
        <v>16/01/2025</v>
      </c>
      <c r="K2788">
        <v>46099</v>
      </c>
      <c r="N2788">
        <v>106</v>
      </c>
      <c r="O2788" t="s">
        <v>98</v>
      </c>
      <c r="Q2788">
        <v>20</v>
      </c>
      <c r="R2788" t="str">
        <f>"WEMERSON FELIPE LOPES (187)"</f>
        <v>WEMERSON FELIPE LOPES (187)</v>
      </c>
      <c r="S2788" t="s">
        <v>99</v>
      </c>
      <c r="T2788">
        <v>30697</v>
      </c>
      <c r="U2788">
        <v>7772</v>
      </c>
      <c r="V2788" t="s">
        <v>22</v>
      </c>
    </row>
    <row r="2789" spans="1:22">
      <c r="A2789" t="str">
        <f t="shared" si="523"/>
        <v>18/03/2026</v>
      </c>
      <c r="B2789" t="str">
        <f>"SAÍDA"</f>
        <v>SAÍDA</v>
      </c>
      <c r="C2789" t="str">
        <f>"PIX"</f>
        <v>PIX</v>
      </c>
      <c r="D2789" t="str">
        <f>"34651"</f>
        <v>34651</v>
      </c>
      <c r="E2789" t="str">
        <f>"1"</f>
        <v>1</v>
      </c>
      <c r="F2789" t="str">
        <f t="shared" si="522"/>
        <v>COM</v>
      </c>
      <c r="G2789" t="str">
        <f>"WEMERSON FELIPE LOPES (187)"</f>
        <v>WEMERSON FELIPE LOPES (187)</v>
      </c>
      <c r="H2789" t="str">
        <f>"Serv.Prest. 02/03/2026 a 08/03/2026 - PIX: CELULAR - CHAVE: (33) 98806-5772"</f>
        <v>Serv.Prest. 02/03/2026 a 08/03/2026 - PIX: CELULAR - CHAVE: (33) 98806-5772</v>
      </c>
      <c r="I2789" t="str">
        <f>("19/03/2026")</f>
        <v>19/03/2026</v>
      </c>
      <c r="J2789" t="str">
        <f>("10/03/2026")</f>
        <v>10/03/2026</v>
      </c>
      <c r="K2789" t="str">
        <f>("18/03/2026")</f>
        <v>18/03/2026</v>
      </c>
      <c r="L2789">
        <v>20</v>
      </c>
      <c r="M2789">
        <v>20</v>
      </c>
      <c r="N2789">
        <v>109</v>
      </c>
      <c r="O2789" t="str">
        <f>"PAGAMENTO DE ENTREGADORES"</f>
        <v>PAGAMENTO DE ENTREGADORES</v>
      </c>
      <c r="P2789">
        <v>20</v>
      </c>
      <c r="S2789" t="str">
        <f>"CAIXA MOVIMENTAÇÃO OPERACIONAL (132)"</f>
        <v>CAIXA MOVIMENTAÇÃO OPERACIONAL (132)</v>
      </c>
      <c r="T2789">
        <v>30698</v>
      </c>
      <c r="U2789">
        <v>35359</v>
      </c>
      <c r="V2789" t="s">
        <v>22</v>
      </c>
    </row>
    <row r="2790" spans="1:22">
      <c r="A2790" t="str">
        <f t="shared" si="523"/>
        <v>18/03/2026</v>
      </c>
      <c r="B2790" t="str">
        <f>"SAÍDA"</f>
        <v>SAÍDA</v>
      </c>
      <c r="C2790" t="str">
        <f>"PIX"</f>
        <v>PIX</v>
      </c>
      <c r="D2790" t="str">
        <f>"34651"</f>
        <v>34651</v>
      </c>
      <c r="E2790" t="str">
        <f>"1"</f>
        <v>1</v>
      </c>
      <c r="F2790" t="str">
        <f t="shared" si="522"/>
        <v>COM</v>
      </c>
      <c r="G2790" t="str">
        <f>"WEMERSON FELIPE LOPES (187)"</f>
        <v>WEMERSON FELIPE LOPES (187)</v>
      </c>
      <c r="H2790" t="s">
        <v>866</v>
      </c>
      <c r="I2790" t="str">
        <f>("19/03/2026")</f>
        <v>19/03/2026</v>
      </c>
      <c r="J2790" t="str">
        <f>("10/03/2026")</f>
        <v>10/03/2026</v>
      </c>
      <c r="K2790">
        <v>46099</v>
      </c>
      <c r="N2790">
        <v>109</v>
      </c>
      <c r="O2790" t="s">
        <v>27</v>
      </c>
      <c r="Q2790">
        <v>20</v>
      </c>
      <c r="R2790" t="str">
        <f>"FARMÁCIA INDIANA LJ 06 (10006)"</f>
        <v>FARMÁCIA INDIANA LJ 06 (10006)</v>
      </c>
      <c r="S2790" t="s">
        <v>22</v>
      </c>
      <c r="T2790">
        <v>30698</v>
      </c>
      <c r="U2790">
        <v>35359</v>
      </c>
      <c r="V2790" t="s">
        <v>22</v>
      </c>
    </row>
    <row r="2791" spans="1:22">
      <c r="A2791" t="str">
        <f t="shared" si="523"/>
        <v>18/03/2026</v>
      </c>
      <c r="B2791" t="str">
        <f>"ENTRADA"</f>
        <v>ENTRADA</v>
      </c>
      <c r="C2791" t="str">
        <f>"DINHEIRO"</f>
        <v>DINHEIRO</v>
      </c>
      <c r="D2791" t="str">
        <f>"10"</f>
        <v>10</v>
      </c>
      <c r="E2791" t="str">
        <f>"38"</f>
        <v>38</v>
      </c>
      <c r="F2791" t="str">
        <f t="shared" si="522"/>
        <v>COM</v>
      </c>
      <c r="G2791" t="str">
        <f>"WENDEL LIMA DE SOUZA (112)"</f>
        <v>WENDEL LIMA DE SOUZA (112)</v>
      </c>
      <c r="H2791" t="str">
        <f>"DESCONTO COTA COOPERADO"</f>
        <v>DESCONTO COTA COOPERADO</v>
      </c>
      <c r="I2791" t="str">
        <f>("16/03/2026")</f>
        <v>16/03/2026</v>
      </c>
      <c r="J2791" t="str">
        <f>("16/01/2025")</f>
        <v>16/01/2025</v>
      </c>
      <c r="K2791" t="str">
        <f>("18/03/2026")</f>
        <v>18/03/2026</v>
      </c>
      <c r="L2791">
        <v>20</v>
      </c>
      <c r="M2791">
        <v>20</v>
      </c>
      <c r="N2791">
        <v>106</v>
      </c>
      <c r="O2791" t="str">
        <f>"ENTRADA DE CAPITAL"</f>
        <v>ENTRADA DE CAPITAL</v>
      </c>
      <c r="P2791">
        <v>20</v>
      </c>
      <c r="S2791" t="str">
        <f>"ENTRADA DE CAPITAL (106)"</f>
        <v>ENTRADA DE CAPITAL (106)</v>
      </c>
      <c r="T2791">
        <v>30699</v>
      </c>
      <c r="U2791">
        <v>7795</v>
      </c>
      <c r="V2791" t="s">
        <v>22</v>
      </c>
    </row>
    <row r="2792" spans="1:22">
      <c r="A2792" t="str">
        <f t="shared" si="523"/>
        <v>18/03/2026</v>
      </c>
      <c r="B2792" t="str">
        <f>"ENTRADA"</f>
        <v>ENTRADA</v>
      </c>
      <c r="C2792" t="str">
        <f>"DINHEIRO"</f>
        <v>DINHEIRO</v>
      </c>
      <c r="D2792" t="str">
        <f>"10"</f>
        <v>10</v>
      </c>
      <c r="E2792" t="str">
        <f>"38"</f>
        <v>38</v>
      </c>
      <c r="F2792" t="str">
        <f t="shared" si="522"/>
        <v>COM</v>
      </c>
      <c r="G2792" t="str">
        <f>"WENDEL LIMA DE SOUZA (112)"</f>
        <v>WENDEL LIMA DE SOUZA (112)</v>
      </c>
      <c r="H2792" t="s">
        <v>549</v>
      </c>
      <c r="I2792" t="str">
        <f>("16/03/2026")</f>
        <v>16/03/2026</v>
      </c>
      <c r="J2792" t="str">
        <f>("16/01/2025")</f>
        <v>16/01/2025</v>
      </c>
      <c r="K2792">
        <v>46099</v>
      </c>
      <c r="N2792">
        <v>106</v>
      </c>
      <c r="O2792" t="s">
        <v>98</v>
      </c>
      <c r="Q2792">
        <v>20</v>
      </c>
      <c r="R2792" t="str">
        <f>"WENDEL LIMA DE SOUZA (112)"</f>
        <v>WENDEL LIMA DE SOUZA (112)</v>
      </c>
      <c r="S2792" t="s">
        <v>99</v>
      </c>
      <c r="T2792">
        <v>30699</v>
      </c>
      <c r="U2792">
        <v>7795</v>
      </c>
      <c r="V2792" t="s">
        <v>22</v>
      </c>
    </row>
    <row r="2793" spans="1:22">
      <c r="A2793" t="str">
        <f t="shared" si="523"/>
        <v>18/03/2026</v>
      </c>
      <c r="B2793" t="str">
        <f t="shared" ref="B2793:B2798" si="524">"SAÍDA"</f>
        <v>SAÍDA</v>
      </c>
      <c r="C2793" t="str">
        <f t="shared" ref="C2793:C2798" si="525">"PIX"</f>
        <v>PIX</v>
      </c>
      <c r="D2793" t="str">
        <f>"34653"</f>
        <v>34653</v>
      </c>
      <c r="E2793" t="str">
        <f t="shared" ref="E2793:E2798" si="526">"1"</f>
        <v>1</v>
      </c>
      <c r="F2793" t="str">
        <f t="shared" si="522"/>
        <v>COM</v>
      </c>
      <c r="G2793" t="str">
        <f>"WENDEL LIMA DE SOUZA (112)"</f>
        <v>WENDEL LIMA DE SOUZA (112)</v>
      </c>
      <c r="H2793" t="str">
        <f>"Serv.Prest. 02/03/2026 a 08/03/2026 - PIX: CELULAR - CHAVE: (31) 99506-2265"</f>
        <v>Serv.Prest. 02/03/2026 a 08/03/2026 - PIX: CELULAR - CHAVE: (31) 99506-2265</v>
      </c>
      <c r="I2793" t="str">
        <f>("19/03/2026")</f>
        <v>19/03/2026</v>
      </c>
      <c r="J2793" t="str">
        <f>("10/03/2026")</f>
        <v>10/03/2026</v>
      </c>
      <c r="K2793" t="str">
        <f>("18/03/2026")</f>
        <v>18/03/2026</v>
      </c>
      <c r="L2793">
        <v>20</v>
      </c>
      <c r="M2793">
        <v>20</v>
      </c>
      <c r="N2793">
        <v>109</v>
      </c>
      <c r="O2793" t="str">
        <f>"PAGAMENTO DE ENTREGADORES"</f>
        <v>PAGAMENTO DE ENTREGADORES</v>
      </c>
      <c r="P2793">
        <v>20</v>
      </c>
      <c r="S2793" t="str">
        <f>"CAIXA MOVIMENTAÇÃO OPERACIONAL (132)"</f>
        <v>CAIXA MOVIMENTAÇÃO OPERACIONAL (132)</v>
      </c>
      <c r="T2793">
        <v>30700</v>
      </c>
      <c r="U2793">
        <v>35360</v>
      </c>
      <c r="V2793" t="s">
        <v>22</v>
      </c>
    </row>
    <row r="2794" spans="1:22">
      <c r="A2794" t="str">
        <f t="shared" si="523"/>
        <v>18/03/2026</v>
      </c>
      <c r="B2794" t="str">
        <f t="shared" si="524"/>
        <v>SAÍDA</v>
      </c>
      <c r="C2794" t="str">
        <f t="shared" si="525"/>
        <v>PIX</v>
      </c>
      <c r="D2794" t="str">
        <f>"34653"</f>
        <v>34653</v>
      </c>
      <c r="E2794" t="str">
        <f t="shared" si="526"/>
        <v>1</v>
      </c>
      <c r="F2794" t="str">
        <f t="shared" si="522"/>
        <v>COM</v>
      </c>
      <c r="G2794" t="str">
        <f>"WENDEL LIMA DE SOUZA (112)"</f>
        <v>WENDEL LIMA DE SOUZA (112)</v>
      </c>
      <c r="H2794" t="s">
        <v>867</v>
      </c>
      <c r="I2794" t="str">
        <f>("19/03/2026")</f>
        <v>19/03/2026</v>
      </c>
      <c r="J2794" t="str">
        <f>("10/03/2026")</f>
        <v>10/03/2026</v>
      </c>
      <c r="K2794">
        <v>46099</v>
      </c>
      <c r="N2794">
        <v>109</v>
      </c>
      <c r="O2794" t="s">
        <v>27</v>
      </c>
      <c r="Q2794">
        <v>20</v>
      </c>
      <c r="R2794" t="str">
        <f>"FARMÁCIA INDIANA LJ 11 (10008)"</f>
        <v>FARMÁCIA INDIANA LJ 11 (10008)</v>
      </c>
      <c r="S2794" t="s">
        <v>22</v>
      </c>
      <c r="T2794">
        <v>30700</v>
      </c>
      <c r="U2794">
        <v>35360</v>
      </c>
      <c r="V2794" t="s">
        <v>22</v>
      </c>
    </row>
    <row r="2795" spans="1:22">
      <c r="A2795" t="str">
        <f t="shared" si="523"/>
        <v>18/03/2026</v>
      </c>
      <c r="B2795" t="str">
        <f t="shared" si="524"/>
        <v>SAÍDA</v>
      </c>
      <c r="C2795" t="str">
        <f t="shared" si="525"/>
        <v>PIX</v>
      </c>
      <c r="D2795" t="str">
        <f>"34654"</f>
        <v>34654</v>
      </c>
      <c r="E2795" t="str">
        <f t="shared" si="526"/>
        <v>1</v>
      </c>
      <c r="F2795" t="str">
        <f t="shared" si="522"/>
        <v>COM</v>
      </c>
      <c r="G2795" t="str">
        <f t="shared" ref="G2795:G2800" si="527">"WILIAN ROSA VIEIRA (488)"</f>
        <v>WILIAN ROSA VIEIRA (488)</v>
      </c>
      <c r="H2795" t="str">
        <f>"Serv.Prest. 02/03/2026 a 08/03/2026 - PIX: E-MAIL - CHAVE: wilianvieirawrv3578@gmail.com"</f>
        <v>Serv.Prest. 02/03/2026 a 08/03/2026 - PIX: E-MAIL - CHAVE: wilianvieirawrv3578@gmail.com</v>
      </c>
      <c r="I2795" t="str">
        <f>("19/03/2026")</f>
        <v>19/03/2026</v>
      </c>
      <c r="J2795" t="str">
        <f>("10/03/2026")</f>
        <v>10/03/2026</v>
      </c>
      <c r="K2795" t="str">
        <f>("18/03/2026")</f>
        <v>18/03/2026</v>
      </c>
      <c r="L2795">
        <v>6</v>
      </c>
      <c r="M2795">
        <v>6</v>
      </c>
      <c r="N2795">
        <v>109</v>
      </c>
      <c r="O2795" t="str">
        <f>"PAGAMENTO DE ENTREGADORES"</f>
        <v>PAGAMENTO DE ENTREGADORES</v>
      </c>
      <c r="P2795">
        <v>6</v>
      </c>
      <c r="S2795" t="str">
        <f>"CAIXA MOVIMENTAÇÃO OPERACIONAL (132)"</f>
        <v>CAIXA MOVIMENTAÇÃO OPERACIONAL (132)</v>
      </c>
      <c r="T2795">
        <v>30701</v>
      </c>
      <c r="U2795">
        <v>34654</v>
      </c>
      <c r="V2795" t="s">
        <v>22</v>
      </c>
    </row>
    <row r="2796" spans="1:22">
      <c r="A2796" t="str">
        <f t="shared" si="523"/>
        <v>18/03/2026</v>
      </c>
      <c r="B2796" t="str">
        <f t="shared" si="524"/>
        <v>SAÍDA</v>
      </c>
      <c r="C2796" t="str">
        <f t="shared" si="525"/>
        <v>PIX</v>
      </c>
      <c r="D2796" t="str">
        <f>"34654"</f>
        <v>34654</v>
      </c>
      <c r="E2796" t="str">
        <f t="shared" si="526"/>
        <v>1</v>
      </c>
      <c r="F2796" t="str">
        <f t="shared" si="522"/>
        <v>COM</v>
      </c>
      <c r="G2796" t="str">
        <f t="shared" si="527"/>
        <v>WILIAN ROSA VIEIRA (488)</v>
      </c>
      <c r="H2796" t="s">
        <v>868</v>
      </c>
      <c r="I2796" t="str">
        <f>("19/03/2026")</f>
        <v>19/03/2026</v>
      </c>
      <c r="J2796" t="str">
        <f>("10/03/2026")</f>
        <v>10/03/2026</v>
      </c>
      <c r="K2796">
        <v>46099</v>
      </c>
      <c r="N2796">
        <v>109</v>
      </c>
      <c r="O2796" t="s">
        <v>27</v>
      </c>
      <c r="Q2796">
        <v>6</v>
      </c>
      <c r="R2796" t="str">
        <f>"FARMÁCIA INDIANA LJ 103 (10044)"</f>
        <v>FARMÁCIA INDIANA LJ 103 (10044)</v>
      </c>
      <c r="S2796" t="s">
        <v>22</v>
      </c>
      <c r="T2796">
        <v>30701</v>
      </c>
      <c r="U2796">
        <v>34654</v>
      </c>
      <c r="V2796" t="s">
        <v>22</v>
      </c>
    </row>
    <row r="2797" spans="1:22">
      <c r="A2797" t="str">
        <f t="shared" si="523"/>
        <v>18/03/2026</v>
      </c>
      <c r="B2797" t="str">
        <f t="shared" si="524"/>
        <v>SAÍDA</v>
      </c>
      <c r="C2797" t="str">
        <f t="shared" si="525"/>
        <v>PIX</v>
      </c>
      <c r="D2797" t="str">
        <f>"35311"</f>
        <v>35311</v>
      </c>
      <c r="E2797" t="str">
        <f t="shared" si="526"/>
        <v>1</v>
      </c>
      <c r="F2797" t="str">
        <f t="shared" si="522"/>
        <v>COM</v>
      </c>
      <c r="G2797" t="str">
        <f t="shared" si="527"/>
        <v>WILIAN ROSA VIEIRA (488)</v>
      </c>
      <c r="H2797" t="str">
        <f>"Serv.Prest. 09/03/2026 a 15/03/2026 - PIX: E-MAIL - CHAVE: wilianvieirawrv3578@gmail.com"</f>
        <v>Serv.Prest. 09/03/2026 a 15/03/2026 - PIX: E-MAIL - CHAVE: wilianvieirawrv3578@gmail.com</v>
      </c>
      <c r="I2797" t="str">
        <f>("26/03/2026")</f>
        <v>26/03/2026</v>
      </c>
      <c r="J2797" t="str">
        <f>("17/03/2026")</f>
        <v>17/03/2026</v>
      </c>
      <c r="K2797" t="str">
        <f>("18/03/2026")</f>
        <v>18/03/2026</v>
      </c>
      <c r="L2797">
        <v>14</v>
      </c>
      <c r="M2797">
        <v>14</v>
      </c>
      <c r="N2797">
        <v>109</v>
      </c>
      <c r="O2797" t="str">
        <f>"PAGAMENTO DE ENTREGADORES"</f>
        <v>PAGAMENTO DE ENTREGADORES</v>
      </c>
      <c r="P2797">
        <v>14</v>
      </c>
      <c r="S2797" t="str">
        <f>"CAIXA MOVIMENTAÇÃO OPERACIONAL (132)"</f>
        <v>CAIXA MOVIMENTAÇÃO OPERACIONAL (132)</v>
      </c>
      <c r="T2797">
        <v>30702</v>
      </c>
      <c r="U2797">
        <v>35361</v>
      </c>
      <c r="V2797" t="s">
        <v>22</v>
      </c>
    </row>
    <row r="2798" spans="1:22">
      <c r="A2798" t="str">
        <f t="shared" si="523"/>
        <v>18/03/2026</v>
      </c>
      <c r="B2798" t="str">
        <f t="shared" si="524"/>
        <v>SAÍDA</v>
      </c>
      <c r="C2798" t="str">
        <f t="shared" si="525"/>
        <v>PIX</v>
      </c>
      <c r="D2798" t="str">
        <f>"35311"</f>
        <v>35311</v>
      </c>
      <c r="E2798" t="str">
        <f t="shared" si="526"/>
        <v>1</v>
      </c>
      <c r="F2798" t="str">
        <f t="shared" si="522"/>
        <v>COM</v>
      </c>
      <c r="G2798" t="str">
        <f t="shared" si="527"/>
        <v>WILIAN ROSA VIEIRA (488)</v>
      </c>
      <c r="H2798" t="s">
        <v>869</v>
      </c>
      <c r="I2798" t="str">
        <f>("26/03/2026")</f>
        <v>26/03/2026</v>
      </c>
      <c r="J2798" t="str">
        <f>("17/03/2026")</f>
        <v>17/03/2026</v>
      </c>
      <c r="K2798">
        <v>46099</v>
      </c>
      <c r="N2798">
        <v>109</v>
      </c>
      <c r="O2798" t="s">
        <v>27</v>
      </c>
      <c r="Q2798">
        <v>14</v>
      </c>
      <c r="R2798" t="str">
        <f>"FARMÁCIA INDIANA LJ 103 (10044)"</f>
        <v>FARMÁCIA INDIANA LJ 103 (10044)</v>
      </c>
      <c r="S2798" t="s">
        <v>22</v>
      </c>
      <c r="T2798">
        <v>30702</v>
      </c>
      <c r="U2798">
        <v>35361</v>
      </c>
      <c r="V2798" t="s">
        <v>22</v>
      </c>
    </row>
    <row r="2799" spans="1:22">
      <c r="A2799" t="str">
        <f t="shared" si="523"/>
        <v>18/03/2026</v>
      </c>
      <c r="B2799" t="str">
        <f>"ENTRADA"</f>
        <v>ENTRADA</v>
      </c>
      <c r="C2799" t="str">
        <f>"DINHEIRO"</f>
        <v>DINHEIRO</v>
      </c>
      <c r="D2799" t="str">
        <f>"03"</f>
        <v>03</v>
      </c>
      <c r="E2799" t="str">
        <f>"39"</f>
        <v>39</v>
      </c>
      <c r="F2799" t="str">
        <f t="shared" si="522"/>
        <v>COM</v>
      </c>
      <c r="G2799" t="str">
        <f t="shared" si="527"/>
        <v>WILIAN ROSA VIEIRA (488)</v>
      </c>
      <c r="H2799" t="str">
        <f>"DESCONTO COTA COOPERADO"</f>
        <v>DESCONTO COTA COOPERADO</v>
      </c>
      <c r="I2799" t="str">
        <f>("16/03/2026")</f>
        <v>16/03/2026</v>
      </c>
      <c r="J2799" t="str">
        <f>("16/01/2025")</f>
        <v>16/01/2025</v>
      </c>
      <c r="K2799" t="str">
        <f>("18/03/2026")</f>
        <v>18/03/2026</v>
      </c>
      <c r="L2799">
        <v>20</v>
      </c>
      <c r="M2799">
        <v>20</v>
      </c>
      <c r="N2799">
        <v>106</v>
      </c>
      <c r="O2799" t="str">
        <f>"ENTRADA DE CAPITAL"</f>
        <v>ENTRADA DE CAPITAL</v>
      </c>
      <c r="P2799">
        <v>20</v>
      </c>
      <c r="S2799" t="str">
        <f>"ENTRADA DE CAPITAL (106)"</f>
        <v>ENTRADA DE CAPITAL (106)</v>
      </c>
      <c r="T2799">
        <v>30703</v>
      </c>
      <c r="U2799">
        <v>7825</v>
      </c>
      <c r="V2799" t="s">
        <v>22</v>
      </c>
    </row>
    <row r="2800" spans="1:22">
      <c r="A2800" t="str">
        <f t="shared" si="523"/>
        <v>18/03/2026</v>
      </c>
      <c r="B2800" t="str">
        <f>"ENTRADA"</f>
        <v>ENTRADA</v>
      </c>
      <c r="C2800" t="str">
        <f>"DINHEIRO"</f>
        <v>DINHEIRO</v>
      </c>
      <c r="D2800" t="str">
        <f>"03"</f>
        <v>03</v>
      </c>
      <c r="E2800" t="str">
        <f>"39"</f>
        <v>39</v>
      </c>
      <c r="F2800" t="str">
        <f t="shared" si="522"/>
        <v>COM</v>
      </c>
      <c r="G2800" t="str">
        <f t="shared" si="527"/>
        <v>WILIAN ROSA VIEIRA (488)</v>
      </c>
      <c r="H2800" t="s">
        <v>549</v>
      </c>
      <c r="I2800" t="str">
        <f>("16/03/2026")</f>
        <v>16/03/2026</v>
      </c>
      <c r="J2800" t="str">
        <f>("16/01/2025")</f>
        <v>16/01/2025</v>
      </c>
      <c r="K2800">
        <v>46099</v>
      </c>
      <c r="N2800">
        <v>106</v>
      </c>
      <c r="O2800" t="s">
        <v>98</v>
      </c>
      <c r="Q2800">
        <v>20</v>
      </c>
      <c r="R2800" t="str">
        <f>"WILIAN ROSA VIEIRA (488)"</f>
        <v>WILIAN ROSA VIEIRA (488)</v>
      </c>
      <c r="S2800" t="s">
        <v>99</v>
      </c>
      <c r="T2800">
        <v>30703</v>
      </c>
      <c r="U2800">
        <v>7825</v>
      </c>
      <c r="V2800" t="s">
        <v>22</v>
      </c>
    </row>
    <row r="2801" spans="1:22">
      <c r="A2801" t="str">
        <f t="shared" si="523"/>
        <v>18/03/2026</v>
      </c>
      <c r="B2801" t="str">
        <f>"ENTRADA"</f>
        <v>ENTRADA</v>
      </c>
      <c r="C2801" t="str">
        <f>"DINHEIRO"</f>
        <v>DINHEIRO</v>
      </c>
      <c r="D2801" t="str">
        <f>"19032026"</f>
        <v>19032026</v>
      </c>
      <c r="E2801" t="str">
        <f>""</f>
        <v/>
      </c>
      <c r="F2801" t="str">
        <f t="shared" si="522"/>
        <v>COM</v>
      </c>
      <c r="G2801" t="str">
        <f>"ALAN COSTA SILVA (994)"</f>
        <v>ALAN COSTA SILVA (994)</v>
      </c>
      <c r="H2801" t="str">
        <f>"REEMBOLSO UNIFORMES "</f>
        <v xml:space="preserve">REEMBOLSO UNIFORMES </v>
      </c>
      <c r="I2801" t="str">
        <f t="shared" ref="I2801:I2824" si="528">("19/03/2026")</f>
        <v>19/03/2026</v>
      </c>
      <c r="J2801" t="str">
        <f>("18/03/2026")</f>
        <v>18/03/2026</v>
      </c>
      <c r="K2801" t="str">
        <f>("18/03/2026")</f>
        <v>18/03/2026</v>
      </c>
      <c r="L2801">
        <v>34</v>
      </c>
      <c r="M2801">
        <v>34</v>
      </c>
      <c r="N2801">
        <v>108</v>
      </c>
      <c r="O2801" t="str">
        <f>"RECEITAS COM REEMBOLSOS"</f>
        <v>RECEITAS COM REEMBOLSOS</v>
      </c>
      <c r="P2801">
        <v>34</v>
      </c>
      <c r="S2801" t="str">
        <f>"RECEITAS COM REEMBOLSOS (108)"</f>
        <v>RECEITAS COM REEMBOLSOS (108)</v>
      </c>
      <c r="T2801">
        <v>31122</v>
      </c>
      <c r="U2801">
        <v>35378</v>
      </c>
      <c r="V2801" t="s">
        <v>22</v>
      </c>
    </row>
    <row r="2802" spans="1:22">
      <c r="A2802" t="str">
        <f t="shared" si="523"/>
        <v>18/03/2026</v>
      </c>
      <c r="B2802" t="str">
        <f>"ENTRADA"</f>
        <v>ENTRADA</v>
      </c>
      <c r="C2802" t="str">
        <f>"DINHEIRO"</f>
        <v>DINHEIRO</v>
      </c>
      <c r="D2802" t="str">
        <f>"19032026"</f>
        <v>19032026</v>
      </c>
      <c r="E2802" t="str">
        <f>""</f>
        <v/>
      </c>
      <c r="F2802" t="str">
        <f t="shared" si="522"/>
        <v>COM</v>
      </c>
      <c r="G2802" t="str">
        <f>"ALAN COSTA SILVA (994)"</f>
        <v>ALAN COSTA SILVA (994)</v>
      </c>
      <c r="H2802" t="s">
        <v>870</v>
      </c>
      <c r="I2802" t="str">
        <f t="shared" si="528"/>
        <v>19/03/2026</v>
      </c>
      <c r="J2802" t="str">
        <f>("18/03/2026")</f>
        <v>18/03/2026</v>
      </c>
      <c r="K2802">
        <v>46099</v>
      </c>
      <c r="N2802">
        <v>108</v>
      </c>
      <c r="O2802" t="s">
        <v>871</v>
      </c>
      <c r="Q2802">
        <v>34</v>
      </c>
      <c r="R2802" t="str">
        <f>"ALAN COSTA SILVA (994)"</f>
        <v>ALAN COSTA SILVA (994)</v>
      </c>
      <c r="S2802" t="s">
        <v>872</v>
      </c>
      <c r="T2802">
        <v>31122</v>
      </c>
      <c r="U2802">
        <v>35378</v>
      </c>
      <c r="V2802" t="s">
        <v>22</v>
      </c>
    </row>
    <row r="2803" spans="1:22">
      <c r="A2803" t="str">
        <f t="shared" si="523"/>
        <v>18/03/2026</v>
      </c>
      <c r="B2803" t="str">
        <f>"SAÍDA"</f>
        <v>SAÍDA</v>
      </c>
      <c r="C2803" t="str">
        <f>"PIX"</f>
        <v>PIX</v>
      </c>
      <c r="D2803" t="str">
        <f>"35017"</f>
        <v>35017</v>
      </c>
      <c r="E2803" t="str">
        <f>"1"</f>
        <v>1</v>
      </c>
      <c r="F2803" t="str">
        <f t="shared" si="522"/>
        <v>COM</v>
      </c>
      <c r="G2803" t="str">
        <f>"ALAN COSTA SILVA (994)"</f>
        <v>ALAN COSTA SILVA (994)</v>
      </c>
      <c r="H2803" t="str">
        <f>"Serv.Prest. 09/03/2026 a 15/03/2026 - PIX: CELULAR - CHAVE: (11) 98484-6837"</f>
        <v>Serv.Prest. 09/03/2026 a 15/03/2026 - PIX: CELULAR - CHAVE: (11) 98484-6837</v>
      </c>
      <c r="I2803" t="str">
        <f t="shared" si="528"/>
        <v>19/03/2026</v>
      </c>
      <c r="J2803" t="str">
        <f>("17/03/2026")</f>
        <v>17/03/2026</v>
      </c>
      <c r="K2803" t="str">
        <f>("18/03/2026")</f>
        <v>18/03/2026</v>
      </c>
      <c r="L2803">
        <v>34</v>
      </c>
      <c r="M2803">
        <v>34</v>
      </c>
      <c r="N2803">
        <v>109</v>
      </c>
      <c r="O2803" t="str">
        <f>"PAGAMENTO DE ENTREGADORES"</f>
        <v>PAGAMENTO DE ENTREGADORES</v>
      </c>
      <c r="P2803">
        <v>34</v>
      </c>
      <c r="S2803" t="str">
        <f>"CAIXA MOVIMENTAÇÃO OPERACIONAL (132)"</f>
        <v>CAIXA MOVIMENTAÇÃO OPERACIONAL (132)</v>
      </c>
      <c r="T2803">
        <v>31123</v>
      </c>
      <c r="U2803">
        <v>35381</v>
      </c>
      <c r="V2803" t="s">
        <v>22</v>
      </c>
    </row>
    <row r="2804" spans="1:22">
      <c r="A2804" t="str">
        <f t="shared" si="523"/>
        <v>18/03/2026</v>
      </c>
      <c r="B2804" t="str">
        <f>"SAÍDA"</f>
        <v>SAÍDA</v>
      </c>
      <c r="C2804" t="str">
        <f>"PIX"</f>
        <v>PIX</v>
      </c>
      <c r="D2804" t="str">
        <f>"35017"</f>
        <v>35017</v>
      </c>
      <c r="E2804" t="str">
        <f>"1"</f>
        <v>1</v>
      </c>
      <c r="F2804" t="str">
        <f t="shared" si="522"/>
        <v>COM</v>
      </c>
      <c r="G2804" t="str">
        <f>"ALAN COSTA SILVA (994)"</f>
        <v>ALAN COSTA SILVA (994)</v>
      </c>
      <c r="H2804" t="s">
        <v>826</v>
      </c>
      <c r="I2804" t="str">
        <f t="shared" si="528"/>
        <v>19/03/2026</v>
      </c>
      <c r="J2804" t="str">
        <f>("17/03/2026")</f>
        <v>17/03/2026</v>
      </c>
      <c r="K2804">
        <v>46099</v>
      </c>
      <c r="N2804">
        <v>109</v>
      </c>
      <c r="O2804" t="s">
        <v>27</v>
      </c>
      <c r="Q2804">
        <v>34</v>
      </c>
      <c r="R2804" t="str">
        <f>"PENSE FARMA 19 (10223)"</f>
        <v>PENSE FARMA 19 (10223)</v>
      </c>
      <c r="S2804" t="s">
        <v>22</v>
      </c>
      <c r="T2804">
        <v>31123</v>
      </c>
      <c r="U2804">
        <v>35381</v>
      </c>
      <c r="V2804" t="s">
        <v>22</v>
      </c>
    </row>
    <row r="2805" spans="1:22">
      <c r="A2805" t="str">
        <f t="shared" si="523"/>
        <v>18/03/2026</v>
      </c>
      <c r="B2805" t="str">
        <f>"SAÍDA"</f>
        <v>SAÍDA</v>
      </c>
      <c r="C2805" t="str">
        <f>"PIX"</f>
        <v>PIX</v>
      </c>
      <c r="D2805" t="str">
        <f>"34920"</f>
        <v>34920</v>
      </c>
      <c r="E2805" t="str">
        <f>"1"</f>
        <v>1</v>
      </c>
      <c r="F2805" t="str">
        <f t="shared" si="522"/>
        <v>COM</v>
      </c>
      <c r="G2805" t="str">
        <f>"ALBERTO FARIAS DOS SANTOS JUNIOR (800)"</f>
        <v>ALBERTO FARIAS DOS SANTOS JUNIOR (800)</v>
      </c>
      <c r="H2805" t="str">
        <f>"Serv.Prest. 09/03/2026 a 15/03/2026 - PIX: CELULAR - CHAVE: (71) 99696-7530"</f>
        <v>Serv.Prest. 09/03/2026 a 15/03/2026 - PIX: CELULAR - CHAVE: (71) 99696-7530</v>
      </c>
      <c r="I2805" t="str">
        <f t="shared" si="528"/>
        <v>19/03/2026</v>
      </c>
      <c r="J2805" t="str">
        <f>("16/03/2026")</f>
        <v>16/03/2026</v>
      </c>
      <c r="K2805" t="str">
        <f>("18/03/2026")</f>
        <v>18/03/2026</v>
      </c>
      <c r="L2805">
        <v>20</v>
      </c>
      <c r="M2805">
        <v>20</v>
      </c>
      <c r="N2805">
        <v>109</v>
      </c>
      <c r="O2805" t="str">
        <f>"PAGAMENTO DE ENTREGADORES"</f>
        <v>PAGAMENTO DE ENTREGADORES</v>
      </c>
      <c r="P2805">
        <v>20</v>
      </c>
      <c r="S2805" t="str">
        <f>"CAIXA MOVIMENTAÇÃO OPERACIONAL (132)"</f>
        <v>CAIXA MOVIMENTAÇÃO OPERACIONAL (132)</v>
      </c>
      <c r="T2805">
        <v>31124</v>
      </c>
      <c r="U2805">
        <v>35383</v>
      </c>
      <c r="V2805" t="s">
        <v>22</v>
      </c>
    </row>
    <row r="2806" spans="1:22">
      <c r="A2806" t="str">
        <f t="shared" si="523"/>
        <v>18/03/2026</v>
      </c>
      <c r="B2806" t="str">
        <f>"SAÍDA"</f>
        <v>SAÍDA</v>
      </c>
      <c r="C2806" t="str">
        <f>"PIX"</f>
        <v>PIX</v>
      </c>
      <c r="D2806" t="str">
        <f>"34920"</f>
        <v>34920</v>
      </c>
      <c r="E2806" t="str">
        <f>"1"</f>
        <v>1</v>
      </c>
      <c r="F2806" t="str">
        <f t="shared" si="522"/>
        <v>COM</v>
      </c>
      <c r="G2806" t="str">
        <f>"ALBERTO FARIAS DOS SANTOS JUNIOR (800)"</f>
        <v>ALBERTO FARIAS DOS SANTOS JUNIOR (800)</v>
      </c>
      <c r="H2806" t="s">
        <v>873</v>
      </c>
      <c r="I2806" t="str">
        <f t="shared" si="528"/>
        <v>19/03/2026</v>
      </c>
      <c r="J2806" t="str">
        <f>("16/03/2026")</f>
        <v>16/03/2026</v>
      </c>
      <c r="K2806">
        <v>46099</v>
      </c>
      <c r="N2806">
        <v>109</v>
      </c>
      <c r="O2806" t="s">
        <v>27</v>
      </c>
      <c r="Q2806">
        <v>20</v>
      </c>
      <c r="R2806" t="str">
        <f>"DELTA LOJA 2 (10123)"</f>
        <v>DELTA LOJA 2 (10123)</v>
      </c>
      <c r="S2806" t="s">
        <v>22</v>
      </c>
      <c r="T2806">
        <v>31124</v>
      </c>
      <c r="U2806">
        <v>35383</v>
      </c>
      <c r="V2806" t="s">
        <v>22</v>
      </c>
    </row>
    <row r="2807" spans="1:22">
      <c r="A2807" t="str">
        <f t="shared" si="523"/>
        <v>18/03/2026</v>
      </c>
      <c r="B2807" t="str">
        <f>"ENTRADA"</f>
        <v>ENTRADA</v>
      </c>
      <c r="C2807" t="str">
        <f>"DINHEIRO"</f>
        <v>DINHEIRO</v>
      </c>
      <c r="D2807" t="str">
        <f>"19032026"</f>
        <v>19032026</v>
      </c>
      <c r="E2807" t="str">
        <f>""</f>
        <v/>
      </c>
      <c r="F2807" t="str">
        <f t="shared" si="522"/>
        <v>COM</v>
      </c>
      <c r="G2807" t="str">
        <f>"ALBERTO FARIAS DOS SANTOS JUNIOR (800)"</f>
        <v>ALBERTO FARIAS DOS SANTOS JUNIOR (800)</v>
      </c>
      <c r="H2807" t="str">
        <f>"REEMBOLSO UNIFORME "</f>
        <v xml:space="preserve">REEMBOLSO UNIFORME </v>
      </c>
      <c r="I2807" t="str">
        <f t="shared" si="528"/>
        <v>19/03/2026</v>
      </c>
      <c r="J2807" t="str">
        <f>("18/03/2026")</f>
        <v>18/03/2026</v>
      </c>
      <c r="K2807" t="str">
        <f>("18/03/2026")</f>
        <v>18/03/2026</v>
      </c>
      <c r="L2807">
        <v>20</v>
      </c>
      <c r="M2807">
        <v>20</v>
      </c>
      <c r="N2807">
        <v>108</v>
      </c>
      <c r="O2807" t="str">
        <f>"RECEITAS COM REEMBOLSOS"</f>
        <v>RECEITAS COM REEMBOLSOS</v>
      </c>
      <c r="P2807">
        <v>20</v>
      </c>
      <c r="S2807" t="str">
        <f>"RECEITAS COM REEMBOLSOS (108)"</f>
        <v>RECEITAS COM REEMBOLSOS (108)</v>
      </c>
      <c r="T2807">
        <v>31125</v>
      </c>
      <c r="U2807">
        <v>35382</v>
      </c>
      <c r="V2807" t="s">
        <v>22</v>
      </c>
    </row>
    <row r="2808" spans="1:22">
      <c r="A2808" t="str">
        <f t="shared" si="523"/>
        <v>18/03/2026</v>
      </c>
      <c r="B2808" t="str">
        <f>"ENTRADA"</f>
        <v>ENTRADA</v>
      </c>
      <c r="C2808" t="str">
        <f>"DINHEIRO"</f>
        <v>DINHEIRO</v>
      </c>
      <c r="D2808" t="str">
        <f>"19032026"</f>
        <v>19032026</v>
      </c>
      <c r="E2808" t="str">
        <f>""</f>
        <v/>
      </c>
      <c r="F2808" t="str">
        <f t="shared" si="522"/>
        <v>COM</v>
      </c>
      <c r="G2808" t="str">
        <f>"ALBERTO FARIAS DOS SANTOS JUNIOR (800)"</f>
        <v>ALBERTO FARIAS DOS SANTOS JUNIOR (800)</v>
      </c>
      <c r="H2808" t="s">
        <v>874</v>
      </c>
      <c r="I2808" t="str">
        <f t="shared" si="528"/>
        <v>19/03/2026</v>
      </c>
      <c r="J2808" t="str">
        <f t="shared" ref="J2808:J2814" si="529">("18/03/2026")</f>
        <v>18/03/2026</v>
      </c>
      <c r="K2808">
        <v>46099</v>
      </c>
      <c r="N2808">
        <v>108</v>
      </c>
      <c r="O2808" t="s">
        <v>871</v>
      </c>
      <c r="Q2808">
        <v>20</v>
      </c>
      <c r="R2808" t="str">
        <f>"ALBERTO FARIAS DOS SANTOS JUNIOR (800)"</f>
        <v>ALBERTO FARIAS DOS SANTOS JUNIOR (800)</v>
      </c>
      <c r="S2808" t="s">
        <v>872</v>
      </c>
      <c r="T2808">
        <v>31125</v>
      </c>
      <c r="U2808">
        <v>35382</v>
      </c>
      <c r="V2808" t="s">
        <v>22</v>
      </c>
    </row>
    <row r="2809" spans="1:22">
      <c r="A2809" t="str">
        <f t="shared" si="523"/>
        <v>18/03/2026</v>
      </c>
      <c r="B2809" t="str">
        <f>"SAÍDA"</f>
        <v>SAÍDA</v>
      </c>
      <c r="C2809" t="str">
        <f>"PIX"</f>
        <v>PIX</v>
      </c>
      <c r="D2809" t="str">
        <f>"35367"</f>
        <v>35367</v>
      </c>
      <c r="E2809" t="str">
        <f>"1"</f>
        <v>1</v>
      </c>
      <c r="F2809" t="str">
        <f t="shared" si="522"/>
        <v>COM</v>
      </c>
      <c r="G2809" t="str">
        <f>"ALLAN SILVA DAMACENA (790)"</f>
        <v>ALLAN SILVA DAMACENA (790)</v>
      </c>
      <c r="H2809" t="str">
        <f>"Serv.Prest. 09/03/2026 a 15/03/2026 - PIX: CELULAR - CHAVE: (19) 98944-4977"</f>
        <v>Serv.Prest. 09/03/2026 a 15/03/2026 - PIX: CELULAR - CHAVE: (19) 98944-4977</v>
      </c>
      <c r="I2809" t="str">
        <f t="shared" si="528"/>
        <v>19/03/2026</v>
      </c>
      <c r="J2809" t="str">
        <f t="shared" si="529"/>
        <v>18/03/2026</v>
      </c>
      <c r="K2809" t="str">
        <f>("18/03/2026")</f>
        <v>18/03/2026</v>
      </c>
      <c r="L2809">
        <v>40</v>
      </c>
      <c r="M2809">
        <v>40</v>
      </c>
      <c r="N2809">
        <v>109</v>
      </c>
      <c r="O2809" t="str">
        <f>"PAGAMENTO DE ENTREGADORES"</f>
        <v>PAGAMENTO DE ENTREGADORES</v>
      </c>
      <c r="P2809">
        <v>40</v>
      </c>
      <c r="S2809" t="str">
        <f>"CAIXA MOVIMENTAÇÃO OPERACIONAL (132)"</f>
        <v>CAIXA MOVIMENTAÇÃO OPERACIONAL (132)</v>
      </c>
      <c r="T2809">
        <v>31126</v>
      </c>
      <c r="U2809">
        <v>35385</v>
      </c>
      <c r="V2809" t="s">
        <v>22</v>
      </c>
    </row>
    <row r="2810" spans="1:22">
      <c r="A2810" t="str">
        <f t="shared" si="523"/>
        <v>18/03/2026</v>
      </c>
      <c r="B2810" t="str">
        <f>"SAÍDA"</f>
        <v>SAÍDA</v>
      </c>
      <c r="C2810" t="str">
        <f>"PIX"</f>
        <v>PIX</v>
      </c>
      <c r="D2810" t="str">
        <f>"35367"</f>
        <v>35367</v>
      </c>
      <c r="E2810" t="str">
        <f>"1"</f>
        <v>1</v>
      </c>
      <c r="F2810" t="str">
        <f t="shared" si="522"/>
        <v>COM</v>
      </c>
      <c r="G2810" t="str">
        <f>"ALLAN SILVA DAMACENA (790)"</f>
        <v>ALLAN SILVA DAMACENA (790)</v>
      </c>
      <c r="H2810" t="s">
        <v>875</v>
      </c>
      <c r="I2810" t="str">
        <f t="shared" si="528"/>
        <v>19/03/2026</v>
      </c>
      <c r="J2810" t="str">
        <f t="shared" si="529"/>
        <v>18/03/2026</v>
      </c>
      <c r="K2810">
        <v>46099</v>
      </c>
      <c r="N2810">
        <v>109</v>
      </c>
      <c r="O2810" t="s">
        <v>27</v>
      </c>
      <c r="Q2810">
        <v>40</v>
      </c>
      <c r="R2810" t="str">
        <f>"DROGARIA MORENO LTDA (10171)"</f>
        <v>DROGARIA MORENO LTDA (10171)</v>
      </c>
      <c r="S2810" t="s">
        <v>22</v>
      </c>
      <c r="T2810">
        <v>31126</v>
      </c>
      <c r="U2810">
        <v>35385</v>
      </c>
      <c r="V2810" t="s">
        <v>22</v>
      </c>
    </row>
    <row r="2811" spans="1:22">
      <c r="A2811" t="str">
        <f t="shared" si="523"/>
        <v>18/03/2026</v>
      </c>
      <c r="B2811" t="str">
        <f>"ENTRADA"</f>
        <v>ENTRADA</v>
      </c>
      <c r="C2811" t="str">
        <f>"DINHEIRO"</f>
        <v>DINHEIRO</v>
      </c>
      <c r="D2811" t="str">
        <f>"19032026"</f>
        <v>19032026</v>
      </c>
      <c r="E2811" t="str">
        <f>""</f>
        <v/>
      </c>
      <c r="F2811" t="str">
        <f t="shared" si="522"/>
        <v>COM</v>
      </c>
      <c r="G2811" t="str">
        <f>"ALLAN SILVA DAMACENA (790)"</f>
        <v>ALLAN SILVA DAMACENA (790)</v>
      </c>
      <c r="H2811" t="str">
        <f>"REEMBOLSO UNIFORMES "</f>
        <v xml:space="preserve">REEMBOLSO UNIFORMES </v>
      </c>
      <c r="I2811" t="str">
        <f t="shared" si="528"/>
        <v>19/03/2026</v>
      </c>
      <c r="J2811" t="str">
        <f t="shared" si="529"/>
        <v>18/03/2026</v>
      </c>
      <c r="K2811" t="str">
        <f>("18/03/2026")</f>
        <v>18/03/2026</v>
      </c>
      <c r="L2811">
        <v>40</v>
      </c>
      <c r="M2811">
        <v>40</v>
      </c>
      <c r="N2811">
        <v>108</v>
      </c>
      <c r="O2811" t="str">
        <f>"RECEITAS COM REEMBOLSOS"</f>
        <v>RECEITAS COM REEMBOLSOS</v>
      </c>
      <c r="P2811">
        <v>40</v>
      </c>
      <c r="S2811" t="str">
        <f>"RECEITAS COM REEMBOLSOS (108)"</f>
        <v>RECEITAS COM REEMBOLSOS (108)</v>
      </c>
      <c r="T2811">
        <v>31127</v>
      </c>
      <c r="U2811">
        <v>35384</v>
      </c>
      <c r="V2811" t="s">
        <v>22</v>
      </c>
    </row>
    <row r="2812" spans="1:22">
      <c r="A2812" t="str">
        <f t="shared" si="523"/>
        <v>18/03/2026</v>
      </c>
      <c r="B2812" t="str">
        <f>"ENTRADA"</f>
        <v>ENTRADA</v>
      </c>
      <c r="C2812" t="str">
        <f>"DINHEIRO"</f>
        <v>DINHEIRO</v>
      </c>
      <c r="D2812" t="str">
        <f>"19032026"</f>
        <v>19032026</v>
      </c>
      <c r="E2812" t="str">
        <f>""</f>
        <v/>
      </c>
      <c r="F2812" t="str">
        <f t="shared" si="522"/>
        <v>COM</v>
      </c>
      <c r="G2812" t="str">
        <f>"ALLAN SILVA DAMACENA (790)"</f>
        <v>ALLAN SILVA DAMACENA (790)</v>
      </c>
      <c r="H2812" t="s">
        <v>870</v>
      </c>
      <c r="I2812" t="str">
        <f t="shared" si="528"/>
        <v>19/03/2026</v>
      </c>
      <c r="J2812" t="str">
        <f t="shared" si="529"/>
        <v>18/03/2026</v>
      </c>
      <c r="K2812">
        <v>46099</v>
      </c>
      <c r="N2812">
        <v>108</v>
      </c>
      <c r="O2812" t="s">
        <v>871</v>
      </c>
      <c r="Q2812">
        <v>40</v>
      </c>
      <c r="R2812" t="str">
        <f>"DROGARIA MORENO LTDA (10171)"</f>
        <v>DROGARIA MORENO LTDA (10171)</v>
      </c>
      <c r="S2812" t="s">
        <v>872</v>
      </c>
      <c r="T2812">
        <v>31127</v>
      </c>
      <c r="U2812">
        <v>35384</v>
      </c>
      <c r="V2812" t="s">
        <v>22</v>
      </c>
    </row>
    <row r="2813" spans="1:22">
      <c r="A2813" t="str">
        <f t="shared" si="523"/>
        <v>18/03/2026</v>
      </c>
      <c r="B2813" t="str">
        <f>"ENTRADA"</f>
        <v>ENTRADA</v>
      </c>
      <c r="C2813" t="str">
        <f>"DINHEIRO"</f>
        <v>DINHEIRO</v>
      </c>
      <c r="D2813" t="str">
        <f>"19032026"</f>
        <v>19032026</v>
      </c>
      <c r="E2813" t="str">
        <f>""</f>
        <v/>
      </c>
      <c r="F2813" t="str">
        <f t="shared" si="522"/>
        <v>COM</v>
      </c>
      <c r="G2813" t="str">
        <f>"ANDREA VOLPONI (1004)"</f>
        <v>ANDREA VOLPONI (1004)</v>
      </c>
      <c r="H2813" t="str">
        <f>"REEMBOLSO UNIFORMES"</f>
        <v>REEMBOLSO UNIFORMES</v>
      </c>
      <c r="I2813" t="str">
        <f t="shared" si="528"/>
        <v>19/03/2026</v>
      </c>
      <c r="J2813" t="str">
        <f t="shared" si="529"/>
        <v>18/03/2026</v>
      </c>
      <c r="K2813" t="str">
        <f>("18/03/2026")</f>
        <v>18/03/2026</v>
      </c>
      <c r="L2813">
        <v>30</v>
      </c>
      <c r="M2813">
        <v>30</v>
      </c>
      <c r="N2813">
        <v>108</v>
      </c>
      <c r="O2813" t="str">
        <f>"RECEITAS COM REEMBOLSOS"</f>
        <v>RECEITAS COM REEMBOLSOS</v>
      </c>
      <c r="P2813">
        <v>30</v>
      </c>
      <c r="S2813" t="str">
        <f>"RECEITAS COM REEMBOLSOS (108)"</f>
        <v>RECEITAS COM REEMBOLSOS (108)</v>
      </c>
      <c r="T2813">
        <v>31128</v>
      </c>
      <c r="U2813">
        <v>35386</v>
      </c>
      <c r="V2813" t="s">
        <v>22</v>
      </c>
    </row>
    <row r="2814" spans="1:22">
      <c r="A2814" t="str">
        <f t="shared" si="523"/>
        <v>18/03/2026</v>
      </c>
      <c r="B2814" t="str">
        <f>"ENTRADA"</f>
        <v>ENTRADA</v>
      </c>
      <c r="C2814" t="str">
        <f>"DINHEIRO"</f>
        <v>DINHEIRO</v>
      </c>
      <c r="D2814" t="str">
        <f>"19032026"</f>
        <v>19032026</v>
      </c>
      <c r="E2814" t="str">
        <f>""</f>
        <v/>
      </c>
      <c r="F2814" t="str">
        <f t="shared" si="522"/>
        <v>COM</v>
      </c>
      <c r="G2814" t="str">
        <f>"ANDREA VOLPONI (1004)"</f>
        <v>ANDREA VOLPONI (1004)</v>
      </c>
      <c r="H2814" t="s">
        <v>876</v>
      </c>
      <c r="I2814" t="str">
        <f t="shared" si="528"/>
        <v>19/03/2026</v>
      </c>
      <c r="J2814" t="str">
        <f t="shared" si="529"/>
        <v>18/03/2026</v>
      </c>
      <c r="K2814">
        <v>46099</v>
      </c>
      <c r="N2814">
        <v>108</v>
      </c>
      <c r="O2814" t="s">
        <v>871</v>
      </c>
      <c r="Q2814">
        <v>30</v>
      </c>
      <c r="R2814" t="str">
        <f>"PENSE FARMA 19 (10223)"</f>
        <v>PENSE FARMA 19 (10223)</v>
      </c>
      <c r="S2814" t="s">
        <v>872</v>
      </c>
      <c r="T2814">
        <v>31128</v>
      </c>
      <c r="U2814">
        <v>35386</v>
      </c>
      <c r="V2814" t="s">
        <v>22</v>
      </c>
    </row>
    <row r="2815" spans="1:22">
      <c r="A2815" t="str">
        <f t="shared" si="523"/>
        <v>18/03/2026</v>
      </c>
      <c r="B2815" t="str">
        <f>"SAÍDA"</f>
        <v>SAÍDA</v>
      </c>
      <c r="C2815" t="str">
        <f>"PIX"</f>
        <v>PIX</v>
      </c>
      <c r="D2815" t="str">
        <f>"35018"</f>
        <v>35018</v>
      </c>
      <c r="E2815" t="str">
        <f>"1"</f>
        <v>1</v>
      </c>
      <c r="F2815" t="str">
        <f t="shared" si="522"/>
        <v>COM</v>
      </c>
      <c r="G2815" t="str">
        <f>"ANDREA VOLPONI (1004)"</f>
        <v>ANDREA VOLPONI (1004)</v>
      </c>
      <c r="H2815" t="str">
        <f>"Serv.Prest. 09/03/2026 a 15/03/2026 - PIX: CPF - CHAVE: 361.750.258-06"</f>
        <v>Serv.Prest. 09/03/2026 a 15/03/2026 - PIX: CPF - CHAVE: 361.750.258-06</v>
      </c>
      <c r="I2815" t="str">
        <f t="shared" si="528"/>
        <v>19/03/2026</v>
      </c>
      <c r="J2815" t="str">
        <f>("17/03/2026")</f>
        <v>17/03/2026</v>
      </c>
      <c r="K2815" t="str">
        <f>("18/03/2026")</f>
        <v>18/03/2026</v>
      </c>
      <c r="L2815">
        <v>30</v>
      </c>
      <c r="M2815">
        <v>30</v>
      </c>
      <c r="N2815">
        <v>109</v>
      </c>
      <c r="O2815" t="str">
        <f>"PAGAMENTO DE ENTREGADORES"</f>
        <v>PAGAMENTO DE ENTREGADORES</v>
      </c>
      <c r="P2815">
        <v>30</v>
      </c>
      <c r="S2815" t="str">
        <f>"CAIXA MOVIMENTAÇÃO OPERACIONAL (132)"</f>
        <v>CAIXA MOVIMENTAÇÃO OPERACIONAL (132)</v>
      </c>
      <c r="T2815">
        <v>31129</v>
      </c>
      <c r="U2815">
        <v>35388</v>
      </c>
      <c r="V2815" t="s">
        <v>22</v>
      </c>
    </row>
    <row r="2816" spans="1:22">
      <c r="A2816" t="str">
        <f t="shared" si="523"/>
        <v>18/03/2026</v>
      </c>
      <c r="B2816" t="str">
        <f>"SAÍDA"</f>
        <v>SAÍDA</v>
      </c>
      <c r="C2816" t="str">
        <f>"PIX"</f>
        <v>PIX</v>
      </c>
      <c r="D2816" t="str">
        <f>"35018"</f>
        <v>35018</v>
      </c>
      <c r="E2816" t="str">
        <f>"1"</f>
        <v>1</v>
      </c>
      <c r="F2816" t="str">
        <f t="shared" si="522"/>
        <v>COM</v>
      </c>
      <c r="G2816" t="str">
        <f>"ANDREA VOLPONI (1004)"</f>
        <v>ANDREA VOLPONI (1004)</v>
      </c>
      <c r="H2816" t="s">
        <v>877</v>
      </c>
      <c r="I2816" t="str">
        <f t="shared" si="528"/>
        <v>19/03/2026</v>
      </c>
      <c r="J2816" t="str">
        <f>("17/03/2026")</f>
        <v>17/03/2026</v>
      </c>
      <c r="K2816">
        <v>46099</v>
      </c>
      <c r="N2816">
        <v>109</v>
      </c>
      <c r="O2816" t="s">
        <v>27</v>
      </c>
      <c r="Q2816">
        <v>30</v>
      </c>
      <c r="R2816" t="str">
        <f>"PENSE FARMA 19 (10223)"</f>
        <v>PENSE FARMA 19 (10223)</v>
      </c>
      <c r="S2816" t="s">
        <v>22</v>
      </c>
      <c r="T2816">
        <v>31129</v>
      </c>
      <c r="U2816">
        <v>35388</v>
      </c>
      <c r="V2816" t="s">
        <v>22</v>
      </c>
    </row>
    <row r="2817" spans="1:22">
      <c r="A2817" t="str">
        <f t="shared" si="523"/>
        <v>18/03/2026</v>
      </c>
      <c r="B2817" t="str">
        <f>"ENTRADA"</f>
        <v>ENTRADA</v>
      </c>
      <c r="C2817" t="str">
        <f>"DINHEIRO"</f>
        <v>DINHEIRO</v>
      </c>
      <c r="D2817" t="str">
        <f>"19032026"</f>
        <v>19032026</v>
      </c>
      <c r="E2817" t="str">
        <f>""</f>
        <v/>
      </c>
      <c r="F2817" t="str">
        <f t="shared" si="522"/>
        <v>COM</v>
      </c>
      <c r="G2817" t="str">
        <f>"DAMÁSIO JOSÉ DO NASCIMENTO NETO (147)"</f>
        <v>DAMÁSIO JOSÉ DO NASCIMENTO NETO (147)</v>
      </c>
      <c r="H2817" t="str">
        <f>"REEMBOLSO UNIFORMES"</f>
        <v>REEMBOLSO UNIFORMES</v>
      </c>
      <c r="I2817" t="str">
        <f t="shared" si="528"/>
        <v>19/03/2026</v>
      </c>
      <c r="J2817" t="str">
        <f>("18/03/2026")</f>
        <v>18/03/2026</v>
      </c>
      <c r="K2817" t="str">
        <f>("18/03/2026")</f>
        <v>18/03/2026</v>
      </c>
      <c r="L2817">
        <v>40</v>
      </c>
      <c r="M2817">
        <v>40</v>
      </c>
      <c r="N2817">
        <v>108</v>
      </c>
      <c r="O2817" t="str">
        <f>"RECEITAS COM REEMBOLSOS"</f>
        <v>RECEITAS COM REEMBOLSOS</v>
      </c>
      <c r="P2817">
        <v>40</v>
      </c>
      <c r="S2817" t="str">
        <f>"RECEITAS COM REEMBOLSOS (108)"</f>
        <v>RECEITAS COM REEMBOLSOS (108)</v>
      </c>
      <c r="T2817">
        <v>31130</v>
      </c>
      <c r="U2817">
        <v>35389</v>
      </c>
      <c r="V2817" t="s">
        <v>22</v>
      </c>
    </row>
    <row r="2818" spans="1:22">
      <c r="A2818" t="str">
        <f t="shared" si="523"/>
        <v>18/03/2026</v>
      </c>
      <c r="B2818" t="str">
        <f>"ENTRADA"</f>
        <v>ENTRADA</v>
      </c>
      <c r="C2818" t="str">
        <f>"DINHEIRO"</f>
        <v>DINHEIRO</v>
      </c>
      <c r="D2818" t="str">
        <f>"19032026"</f>
        <v>19032026</v>
      </c>
      <c r="E2818" t="str">
        <f>""</f>
        <v/>
      </c>
      <c r="F2818" t="str">
        <f t="shared" ref="F2818:F2881" si="530">"COM"</f>
        <v>COM</v>
      </c>
      <c r="G2818" t="str">
        <f>"DAMÁSIO JOSÉ DO NASCIMENTO NETO (147)"</f>
        <v>DAMÁSIO JOSÉ DO NASCIMENTO NETO (147)</v>
      </c>
      <c r="H2818" t="s">
        <v>876</v>
      </c>
      <c r="I2818" t="str">
        <f t="shared" si="528"/>
        <v>19/03/2026</v>
      </c>
      <c r="J2818" t="str">
        <f>("18/03/2026")</f>
        <v>18/03/2026</v>
      </c>
      <c r="K2818">
        <v>46099</v>
      </c>
      <c r="N2818">
        <v>108</v>
      </c>
      <c r="O2818" t="s">
        <v>871</v>
      </c>
      <c r="Q2818">
        <v>40</v>
      </c>
      <c r="R2818" t="str">
        <f>"FARMÁCIA INDIANA LJ 192 (10082)"</f>
        <v>FARMÁCIA INDIANA LJ 192 (10082)</v>
      </c>
      <c r="S2818" t="s">
        <v>872</v>
      </c>
      <c r="T2818">
        <v>31130</v>
      </c>
      <c r="U2818">
        <v>35389</v>
      </c>
      <c r="V2818" t="s">
        <v>22</v>
      </c>
    </row>
    <row r="2819" spans="1:22">
      <c r="A2819" t="str">
        <f t="shared" si="523"/>
        <v>18/03/2026</v>
      </c>
      <c r="B2819" t="str">
        <f>"SAÍDA"</f>
        <v>SAÍDA</v>
      </c>
      <c r="C2819" t="str">
        <f>"PIX"</f>
        <v>PIX</v>
      </c>
      <c r="D2819" t="str">
        <f>"34558"</f>
        <v>34558</v>
      </c>
      <c r="E2819" t="str">
        <f>"1"</f>
        <v>1</v>
      </c>
      <c r="F2819" t="str">
        <f t="shared" si="530"/>
        <v>COM</v>
      </c>
      <c r="G2819" t="str">
        <f>"DAMÁSIO JOSÉ DO NASCIMENTO NETO (147)"</f>
        <v>DAMÁSIO JOSÉ DO NASCIMENTO NETO (147)</v>
      </c>
      <c r="H2819" t="str">
        <f>"Serv.Prest. 02/03/2026 a 08/03/2026 - PIX: CPF - CHAVE: 110.483.296-82"</f>
        <v>Serv.Prest. 02/03/2026 a 08/03/2026 - PIX: CPF - CHAVE: 110.483.296-82</v>
      </c>
      <c r="I2819" t="str">
        <f t="shared" si="528"/>
        <v>19/03/2026</v>
      </c>
      <c r="J2819" t="str">
        <f>("10/03/2026")</f>
        <v>10/03/2026</v>
      </c>
      <c r="K2819" t="str">
        <f>("18/03/2026")</f>
        <v>18/03/2026</v>
      </c>
      <c r="L2819">
        <v>40</v>
      </c>
      <c r="M2819">
        <v>40</v>
      </c>
      <c r="N2819">
        <v>109</v>
      </c>
      <c r="O2819" t="str">
        <f>"PAGAMENTO DE ENTREGADORES"</f>
        <v>PAGAMENTO DE ENTREGADORES</v>
      </c>
      <c r="P2819">
        <v>40</v>
      </c>
      <c r="S2819" t="str">
        <f>"CAIXA MOVIMENTAÇÃO OPERACIONAL (132)"</f>
        <v>CAIXA MOVIMENTAÇÃO OPERACIONAL (132)</v>
      </c>
      <c r="T2819">
        <v>31131</v>
      </c>
      <c r="U2819">
        <v>35390</v>
      </c>
      <c r="V2819" t="s">
        <v>22</v>
      </c>
    </row>
    <row r="2820" spans="1:22">
      <c r="A2820" t="str">
        <f t="shared" si="523"/>
        <v>18/03/2026</v>
      </c>
      <c r="B2820" t="str">
        <f>"SAÍDA"</f>
        <v>SAÍDA</v>
      </c>
      <c r="C2820" t="str">
        <f>"PIX"</f>
        <v>PIX</v>
      </c>
      <c r="D2820" t="str">
        <f>"34558"</f>
        <v>34558</v>
      </c>
      <c r="E2820" t="str">
        <f>"1"</f>
        <v>1</v>
      </c>
      <c r="F2820" t="str">
        <f t="shared" si="530"/>
        <v>COM</v>
      </c>
      <c r="G2820" t="str">
        <f>"DAMÁSIO JOSÉ DO NASCIMENTO NETO (147)"</f>
        <v>DAMÁSIO JOSÉ DO NASCIMENTO NETO (147)</v>
      </c>
      <c r="H2820" t="s">
        <v>878</v>
      </c>
      <c r="I2820" t="str">
        <f t="shared" si="528"/>
        <v>19/03/2026</v>
      </c>
      <c r="J2820" t="str">
        <f>("10/03/2026")</f>
        <v>10/03/2026</v>
      </c>
      <c r="K2820">
        <v>46099</v>
      </c>
      <c r="N2820">
        <v>109</v>
      </c>
      <c r="O2820" t="s">
        <v>27</v>
      </c>
      <c r="Q2820">
        <v>40</v>
      </c>
      <c r="R2820" t="str">
        <f>"FARMÁCIA INDIANA LJ 142 (10066)"</f>
        <v>FARMÁCIA INDIANA LJ 142 (10066)</v>
      </c>
      <c r="S2820" t="s">
        <v>22</v>
      </c>
      <c r="T2820">
        <v>31131</v>
      </c>
      <c r="U2820">
        <v>35390</v>
      </c>
      <c r="V2820" t="s">
        <v>22</v>
      </c>
    </row>
    <row r="2821" spans="1:22">
      <c r="A2821" t="str">
        <f t="shared" si="523"/>
        <v>18/03/2026</v>
      </c>
      <c r="B2821" t="str">
        <f>"ENTRADA"</f>
        <v>ENTRADA</v>
      </c>
      <c r="C2821" t="str">
        <f>"DINHEIRO"</f>
        <v>DINHEIRO</v>
      </c>
      <c r="D2821" t="str">
        <f>"19032026"</f>
        <v>19032026</v>
      </c>
      <c r="E2821" t="str">
        <f>""</f>
        <v/>
      </c>
      <c r="F2821" t="str">
        <f t="shared" si="530"/>
        <v>COM</v>
      </c>
      <c r="G2821" t="str">
        <f t="shared" ref="G2821:G2828" si="531">"DIOCLECIO SANDES JOTA (135)"</f>
        <v>DIOCLECIO SANDES JOTA (135)</v>
      </c>
      <c r="H2821" t="str">
        <f>"REEMBOLSO UNIFORMES"</f>
        <v>REEMBOLSO UNIFORMES</v>
      </c>
      <c r="I2821" t="str">
        <f t="shared" si="528"/>
        <v>19/03/2026</v>
      </c>
      <c r="J2821" t="str">
        <f>("18/03/2026")</f>
        <v>18/03/2026</v>
      </c>
      <c r="K2821" t="str">
        <f>("18/03/2026")</f>
        <v>18/03/2026</v>
      </c>
      <c r="L2821">
        <v>20</v>
      </c>
      <c r="M2821">
        <v>20</v>
      </c>
      <c r="N2821">
        <v>108</v>
      </c>
      <c r="O2821" t="str">
        <f>"RECEITAS COM REEMBOLSOS"</f>
        <v>RECEITAS COM REEMBOLSOS</v>
      </c>
      <c r="P2821">
        <v>20</v>
      </c>
      <c r="S2821" t="str">
        <f>"RECEITAS COM REEMBOLSOS (108)"</f>
        <v>RECEITAS COM REEMBOLSOS (108)</v>
      </c>
      <c r="T2821">
        <v>31132</v>
      </c>
      <c r="U2821">
        <v>35391</v>
      </c>
      <c r="V2821" t="s">
        <v>22</v>
      </c>
    </row>
    <row r="2822" spans="1:22">
      <c r="A2822" t="str">
        <f t="shared" si="523"/>
        <v>18/03/2026</v>
      </c>
      <c r="B2822" t="str">
        <f>"ENTRADA"</f>
        <v>ENTRADA</v>
      </c>
      <c r="C2822" t="str">
        <f>"DINHEIRO"</f>
        <v>DINHEIRO</v>
      </c>
      <c r="D2822" t="str">
        <f>"19032026"</f>
        <v>19032026</v>
      </c>
      <c r="E2822" t="str">
        <f>""</f>
        <v/>
      </c>
      <c r="F2822" t="str">
        <f t="shared" si="530"/>
        <v>COM</v>
      </c>
      <c r="G2822" t="str">
        <f t="shared" si="531"/>
        <v>DIOCLECIO SANDES JOTA (135)</v>
      </c>
      <c r="H2822" t="s">
        <v>876</v>
      </c>
      <c r="I2822" t="str">
        <f t="shared" si="528"/>
        <v>19/03/2026</v>
      </c>
      <c r="J2822" t="str">
        <f>("18/03/2026")</f>
        <v>18/03/2026</v>
      </c>
      <c r="K2822">
        <v>46099</v>
      </c>
      <c r="N2822">
        <v>108</v>
      </c>
      <c r="O2822" t="s">
        <v>871</v>
      </c>
      <c r="Q2822">
        <v>20</v>
      </c>
      <c r="R2822" t="str">
        <f>"FARMÁCIA INDIANA LJ 91 (10037)"</f>
        <v>FARMÁCIA INDIANA LJ 91 (10037)</v>
      </c>
      <c r="S2822" t="s">
        <v>872</v>
      </c>
      <c r="T2822">
        <v>31132</v>
      </c>
      <c r="U2822">
        <v>35391</v>
      </c>
      <c r="V2822" t="s">
        <v>22</v>
      </c>
    </row>
    <row r="2823" spans="1:22">
      <c r="A2823" t="str">
        <f t="shared" si="523"/>
        <v>18/03/2026</v>
      </c>
      <c r="B2823" t="str">
        <f>"SAÍDA"</f>
        <v>SAÍDA</v>
      </c>
      <c r="C2823" t="str">
        <f>"PIX"</f>
        <v>PIX</v>
      </c>
      <c r="D2823" t="str">
        <f>"34492"</f>
        <v>34492</v>
      </c>
      <c r="E2823" t="str">
        <f>"1"</f>
        <v>1</v>
      </c>
      <c r="F2823" t="str">
        <f t="shared" si="530"/>
        <v>COM</v>
      </c>
      <c r="G2823" t="str">
        <f t="shared" si="531"/>
        <v>DIOCLECIO SANDES JOTA (135)</v>
      </c>
      <c r="H2823" t="str">
        <f>"Serv.Prest. 02/03/2026 a 08/03/2026 - PIX: CELULAR - CHAVE: (73) 99966-7211"</f>
        <v>Serv.Prest. 02/03/2026 a 08/03/2026 - PIX: CELULAR - CHAVE: (73) 99966-7211</v>
      </c>
      <c r="I2823" t="str">
        <f t="shared" si="528"/>
        <v>19/03/2026</v>
      </c>
      <c r="J2823" t="str">
        <f>("10/03/2026")</f>
        <v>10/03/2026</v>
      </c>
      <c r="K2823" t="str">
        <f>("18/03/2026")</f>
        <v>18/03/2026</v>
      </c>
      <c r="L2823">
        <v>20</v>
      </c>
      <c r="M2823">
        <v>20</v>
      </c>
      <c r="N2823">
        <v>109</v>
      </c>
      <c r="O2823" t="str">
        <f>"PAGAMENTO DE ENTREGADORES"</f>
        <v>PAGAMENTO DE ENTREGADORES</v>
      </c>
      <c r="P2823">
        <v>20</v>
      </c>
      <c r="S2823" t="str">
        <f>"CAIXA MOVIMENTAÇÃO OPERACIONAL (132)"</f>
        <v>CAIXA MOVIMENTAÇÃO OPERACIONAL (132)</v>
      </c>
      <c r="T2823">
        <v>31133</v>
      </c>
      <c r="U2823">
        <v>35393</v>
      </c>
      <c r="V2823" t="s">
        <v>22</v>
      </c>
    </row>
    <row r="2824" spans="1:22">
      <c r="A2824" t="str">
        <f t="shared" si="523"/>
        <v>18/03/2026</v>
      </c>
      <c r="B2824" t="str">
        <f>"SAÍDA"</f>
        <v>SAÍDA</v>
      </c>
      <c r="C2824" t="str">
        <f>"PIX"</f>
        <v>PIX</v>
      </c>
      <c r="D2824" t="str">
        <f>"34492"</f>
        <v>34492</v>
      </c>
      <c r="E2824" t="str">
        <f>"1"</f>
        <v>1</v>
      </c>
      <c r="F2824" t="str">
        <f t="shared" si="530"/>
        <v>COM</v>
      </c>
      <c r="G2824" t="str">
        <f t="shared" si="531"/>
        <v>DIOCLECIO SANDES JOTA (135)</v>
      </c>
      <c r="H2824" t="s">
        <v>879</v>
      </c>
      <c r="I2824" t="str">
        <f t="shared" si="528"/>
        <v>19/03/2026</v>
      </c>
      <c r="J2824" t="str">
        <f>("10/03/2026")</f>
        <v>10/03/2026</v>
      </c>
      <c r="K2824">
        <v>46099</v>
      </c>
      <c r="N2824">
        <v>109</v>
      </c>
      <c r="O2824" t="s">
        <v>27</v>
      </c>
      <c r="Q2824">
        <v>20</v>
      </c>
      <c r="R2824" t="str">
        <f>"FARMÁCIA INDIANA LJ 91 (10037)"</f>
        <v>FARMÁCIA INDIANA LJ 91 (10037)</v>
      </c>
      <c r="S2824" t="s">
        <v>22</v>
      </c>
      <c r="T2824">
        <v>31133</v>
      </c>
      <c r="U2824">
        <v>35393</v>
      </c>
      <c r="V2824" t="s">
        <v>22</v>
      </c>
    </row>
    <row r="2825" spans="1:22">
      <c r="A2825" t="str">
        <f t="shared" si="523"/>
        <v>18/03/2026</v>
      </c>
      <c r="B2825" t="str">
        <f>"ENTRADA"</f>
        <v>ENTRADA</v>
      </c>
      <c r="C2825" t="str">
        <f>"DINHEIRO"</f>
        <v>DINHEIRO</v>
      </c>
      <c r="D2825" t="str">
        <f>"19032026"</f>
        <v>19032026</v>
      </c>
      <c r="E2825" t="str">
        <f>"2"</f>
        <v>2</v>
      </c>
      <c r="F2825" t="str">
        <f t="shared" si="530"/>
        <v>COM</v>
      </c>
      <c r="G2825" t="str">
        <f t="shared" si="531"/>
        <v>DIOCLECIO SANDES JOTA (135)</v>
      </c>
      <c r="H2825" t="str">
        <f>"REEMBOLSO UNIFORMES"</f>
        <v>REEMBOLSO UNIFORMES</v>
      </c>
      <c r="I2825" t="str">
        <f>("26/03/2026")</f>
        <v>26/03/2026</v>
      </c>
      <c r="J2825" t="str">
        <f>("18/03/2026")</f>
        <v>18/03/2026</v>
      </c>
      <c r="K2825" t="str">
        <f>("18/03/2026")</f>
        <v>18/03/2026</v>
      </c>
      <c r="L2825">
        <v>20</v>
      </c>
      <c r="M2825">
        <v>20</v>
      </c>
      <c r="N2825">
        <v>108</v>
      </c>
      <c r="O2825" t="str">
        <f>"RECEITAS COM REEMBOLSOS"</f>
        <v>RECEITAS COM REEMBOLSOS</v>
      </c>
      <c r="P2825">
        <v>20</v>
      </c>
      <c r="S2825" t="str">
        <f>"RECEITAS COM REEMBOLSOS (108)"</f>
        <v>RECEITAS COM REEMBOLSOS (108)</v>
      </c>
      <c r="T2825">
        <v>31134</v>
      </c>
      <c r="U2825">
        <v>35392</v>
      </c>
      <c r="V2825" t="s">
        <v>22</v>
      </c>
    </row>
    <row r="2826" spans="1:22">
      <c r="A2826" t="str">
        <f t="shared" si="523"/>
        <v>18/03/2026</v>
      </c>
      <c r="B2826" t="str">
        <f>"ENTRADA"</f>
        <v>ENTRADA</v>
      </c>
      <c r="C2826" t="str">
        <f>"DINHEIRO"</f>
        <v>DINHEIRO</v>
      </c>
      <c r="D2826" t="str">
        <f>"19032026"</f>
        <v>19032026</v>
      </c>
      <c r="E2826" t="str">
        <f>"2"</f>
        <v>2</v>
      </c>
      <c r="F2826" t="str">
        <f t="shared" si="530"/>
        <v>COM</v>
      </c>
      <c r="G2826" t="str">
        <f t="shared" si="531"/>
        <v>DIOCLECIO SANDES JOTA (135)</v>
      </c>
      <c r="H2826" t="s">
        <v>876</v>
      </c>
      <c r="I2826" t="str">
        <f>("26/03/2026")</f>
        <v>26/03/2026</v>
      </c>
      <c r="J2826" t="str">
        <f>("18/03/2026")</f>
        <v>18/03/2026</v>
      </c>
      <c r="K2826">
        <v>46099</v>
      </c>
      <c r="N2826">
        <v>108</v>
      </c>
      <c r="O2826" t="s">
        <v>871</v>
      </c>
      <c r="Q2826">
        <v>20</v>
      </c>
      <c r="R2826" t="str">
        <f>"FARMÁCIA INDIANA LJ 91 (10037)"</f>
        <v>FARMÁCIA INDIANA LJ 91 (10037)</v>
      </c>
      <c r="S2826" t="s">
        <v>872</v>
      </c>
      <c r="T2826">
        <v>31134</v>
      </c>
      <c r="U2826">
        <v>35392</v>
      </c>
      <c r="V2826" t="s">
        <v>22</v>
      </c>
    </row>
    <row r="2827" spans="1:22">
      <c r="A2827" t="str">
        <f t="shared" si="523"/>
        <v>18/03/2026</v>
      </c>
      <c r="B2827" t="str">
        <f>"SAÍDA"</f>
        <v>SAÍDA</v>
      </c>
      <c r="C2827" t="str">
        <f>"PIX"</f>
        <v>PIX</v>
      </c>
      <c r="D2827" t="str">
        <f>"35147"</f>
        <v>35147</v>
      </c>
      <c r="E2827" t="str">
        <f>"1"</f>
        <v>1</v>
      </c>
      <c r="F2827" t="str">
        <f t="shared" si="530"/>
        <v>COM</v>
      </c>
      <c r="G2827" t="str">
        <f t="shared" si="531"/>
        <v>DIOCLECIO SANDES JOTA (135)</v>
      </c>
      <c r="H2827" t="str">
        <f>"Serv.Prest. 09/03/2026 a 15/03/2026 - PIX: CELULAR - CHAVE: (73) 99966-7211"</f>
        <v>Serv.Prest. 09/03/2026 a 15/03/2026 - PIX: CELULAR - CHAVE: (73) 99966-7211</v>
      </c>
      <c r="I2827" t="str">
        <f>("26/03/2026")</f>
        <v>26/03/2026</v>
      </c>
      <c r="J2827" t="str">
        <f>("17/03/2026")</f>
        <v>17/03/2026</v>
      </c>
      <c r="K2827" t="str">
        <f>("18/03/2026")</f>
        <v>18/03/2026</v>
      </c>
      <c r="L2827">
        <v>20</v>
      </c>
      <c r="M2827">
        <v>20</v>
      </c>
      <c r="N2827">
        <v>109</v>
      </c>
      <c r="O2827" t="str">
        <f>"PAGAMENTO DE ENTREGADORES"</f>
        <v>PAGAMENTO DE ENTREGADORES</v>
      </c>
      <c r="P2827">
        <v>20</v>
      </c>
      <c r="S2827" t="str">
        <f>"CAIXA MOVIMENTAÇÃO OPERACIONAL (132)"</f>
        <v>CAIXA MOVIMENTAÇÃO OPERACIONAL (132)</v>
      </c>
      <c r="T2827">
        <v>31135</v>
      </c>
      <c r="U2827">
        <v>35394</v>
      </c>
      <c r="V2827" t="s">
        <v>22</v>
      </c>
    </row>
    <row r="2828" spans="1:22">
      <c r="A2828" t="str">
        <f t="shared" si="523"/>
        <v>18/03/2026</v>
      </c>
      <c r="B2828" t="str">
        <f>"SAÍDA"</f>
        <v>SAÍDA</v>
      </c>
      <c r="C2828" t="str">
        <f>"PIX"</f>
        <v>PIX</v>
      </c>
      <c r="D2828" t="str">
        <f>"35147"</f>
        <v>35147</v>
      </c>
      <c r="E2828" t="str">
        <f>"1"</f>
        <v>1</v>
      </c>
      <c r="F2828" t="str">
        <f t="shared" si="530"/>
        <v>COM</v>
      </c>
      <c r="G2828" t="str">
        <f t="shared" si="531"/>
        <v>DIOCLECIO SANDES JOTA (135)</v>
      </c>
      <c r="H2828" t="s">
        <v>880</v>
      </c>
      <c r="I2828" t="str">
        <f>("26/03/2026")</f>
        <v>26/03/2026</v>
      </c>
      <c r="J2828" t="str">
        <f>("17/03/2026")</f>
        <v>17/03/2026</v>
      </c>
      <c r="K2828">
        <v>46099</v>
      </c>
      <c r="N2828">
        <v>109</v>
      </c>
      <c r="O2828" t="s">
        <v>27</v>
      </c>
      <c r="Q2828">
        <v>20</v>
      </c>
      <c r="R2828" t="str">
        <f>"FARMÁCIA INDIANA LJ 91 (10037)"</f>
        <v>FARMÁCIA INDIANA LJ 91 (10037)</v>
      </c>
      <c r="S2828" t="s">
        <v>22</v>
      </c>
      <c r="T2828">
        <v>31135</v>
      </c>
      <c r="U2828">
        <v>35394</v>
      </c>
      <c r="V2828" t="s">
        <v>22</v>
      </c>
    </row>
    <row r="2829" spans="1:22">
      <c r="A2829" t="str">
        <f t="shared" si="523"/>
        <v>18/03/2026</v>
      </c>
      <c r="B2829" t="str">
        <f>"SAÍDA"</f>
        <v>SAÍDA</v>
      </c>
      <c r="C2829" t="str">
        <f>"PIX"</f>
        <v>PIX</v>
      </c>
      <c r="D2829" t="str">
        <f>"34921"</f>
        <v>34921</v>
      </c>
      <c r="E2829" t="str">
        <f>"1"</f>
        <v>1</v>
      </c>
      <c r="F2829" t="str">
        <f t="shared" si="530"/>
        <v>COM</v>
      </c>
      <c r="G2829" t="str">
        <f>"EDNUBIA RAMOS ALVES OLIVEIRA (899)"</f>
        <v>EDNUBIA RAMOS ALVES OLIVEIRA (899)</v>
      </c>
      <c r="H2829" t="str">
        <f>"Serv.Prest. 09/03/2026 a 15/03/2026 - PIX: CELULAR - CHAVE: (71) 99214-9256"</f>
        <v>Serv.Prest. 09/03/2026 a 15/03/2026 - PIX: CELULAR - CHAVE: (71) 99214-9256</v>
      </c>
      <c r="I2829" t="str">
        <f t="shared" ref="I2829:I2848" si="532">("19/03/2026")</f>
        <v>19/03/2026</v>
      </c>
      <c r="J2829" t="str">
        <f>("16/03/2026")</f>
        <v>16/03/2026</v>
      </c>
      <c r="K2829" t="str">
        <f>("18/03/2026")</f>
        <v>18/03/2026</v>
      </c>
      <c r="L2829">
        <v>20</v>
      </c>
      <c r="M2829">
        <v>20</v>
      </c>
      <c r="N2829">
        <v>109</v>
      </c>
      <c r="O2829" t="str">
        <f>"PAGAMENTO DE ENTREGADORES"</f>
        <v>PAGAMENTO DE ENTREGADORES</v>
      </c>
      <c r="P2829">
        <v>20</v>
      </c>
      <c r="S2829" t="str">
        <f>"CAIXA MOVIMENTAÇÃO OPERACIONAL (132)"</f>
        <v>CAIXA MOVIMENTAÇÃO OPERACIONAL (132)</v>
      </c>
      <c r="T2829">
        <v>31136</v>
      </c>
      <c r="U2829">
        <v>35397</v>
      </c>
      <c r="V2829" t="s">
        <v>22</v>
      </c>
    </row>
    <row r="2830" spans="1:22">
      <c r="A2830" t="str">
        <f t="shared" si="523"/>
        <v>18/03/2026</v>
      </c>
      <c r="B2830" t="str">
        <f>"SAÍDA"</f>
        <v>SAÍDA</v>
      </c>
      <c r="C2830" t="str">
        <f>"PIX"</f>
        <v>PIX</v>
      </c>
      <c r="D2830" t="str">
        <f>"34921"</f>
        <v>34921</v>
      </c>
      <c r="E2830" t="str">
        <f>"1"</f>
        <v>1</v>
      </c>
      <c r="F2830" t="str">
        <f t="shared" si="530"/>
        <v>COM</v>
      </c>
      <c r="G2830" t="str">
        <f>"EDNUBIA RAMOS ALVES OLIVEIRA (899)"</f>
        <v>EDNUBIA RAMOS ALVES OLIVEIRA (899)</v>
      </c>
      <c r="H2830" t="s">
        <v>881</v>
      </c>
      <c r="I2830" t="str">
        <f t="shared" si="532"/>
        <v>19/03/2026</v>
      </c>
      <c r="J2830" t="str">
        <f>("16/03/2026")</f>
        <v>16/03/2026</v>
      </c>
      <c r="K2830">
        <v>46099</v>
      </c>
      <c r="N2830">
        <v>109</v>
      </c>
      <c r="O2830" t="s">
        <v>27</v>
      </c>
      <c r="Q2830">
        <v>20</v>
      </c>
      <c r="R2830" t="str">
        <f>"DELTA LOJA 2 (10123)"</f>
        <v>DELTA LOJA 2 (10123)</v>
      </c>
      <c r="S2830" t="s">
        <v>22</v>
      </c>
      <c r="T2830">
        <v>31136</v>
      </c>
      <c r="U2830">
        <v>35397</v>
      </c>
      <c r="V2830" t="s">
        <v>22</v>
      </c>
    </row>
    <row r="2831" spans="1:22">
      <c r="A2831" t="str">
        <f t="shared" si="523"/>
        <v>18/03/2026</v>
      </c>
      <c r="B2831" t="str">
        <f>"ENTRADA"</f>
        <v>ENTRADA</v>
      </c>
      <c r="C2831" t="str">
        <f>"DINHEIRO"</f>
        <v>DINHEIRO</v>
      </c>
      <c r="D2831" t="str">
        <f>"19032026"</f>
        <v>19032026</v>
      </c>
      <c r="E2831" t="str">
        <f>""</f>
        <v/>
      </c>
      <c r="F2831" t="str">
        <f t="shared" si="530"/>
        <v>COM</v>
      </c>
      <c r="G2831" t="str">
        <f>"EDNUBIA RAMOS ALVES OLIVEIRA (899)"</f>
        <v>EDNUBIA RAMOS ALVES OLIVEIRA (899)</v>
      </c>
      <c r="H2831" t="str">
        <f>"REEMBOLSO UNIFORMES"</f>
        <v>REEMBOLSO UNIFORMES</v>
      </c>
      <c r="I2831" t="str">
        <f t="shared" si="532"/>
        <v>19/03/2026</v>
      </c>
      <c r="J2831" t="str">
        <f>("18/03/2026")</f>
        <v>18/03/2026</v>
      </c>
      <c r="K2831" t="str">
        <f>("18/03/2026")</f>
        <v>18/03/2026</v>
      </c>
      <c r="L2831">
        <v>20</v>
      </c>
      <c r="M2831">
        <v>20</v>
      </c>
      <c r="N2831">
        <v>108</v>
      </c>
      <c r="O2831" t="str">
        <f>"RECEITAS COM REEMBOLSOS"</f>
        <v>RECEITAS COM REEMBOLSOS</v>
      </c>
      <c r="P2831">
        <v>20</v>
      </c>
      <c r="S2831" t="str">
        <f>"RECEITAS COM REEMBOLSOS (108)"</f>
        <v>RECEITAS COM REEMBOLSOS (108)</v>
      </c>
      <c r="T2831">
        <v>31137</v>
      </c>
      <c r="U2831">
        <v>35395</v>
      </c>
      <c r="V2831" t="s">
        <v>22</v>
      </c>
    </row>
    <row r="2832" spans="1:22">
      <c r="A2832" t="str">
        <f t="shared" si="523"/>
        <v>18/03/2026</v>
      </c>
      <c r="B2832" t="str">
        <f>"ENTRADA"</f>
        <v>ENTRADA</v>
      </c>
      <c r="C2832" t="str">
        <f>"DINHEIRO"</f>
        <v>DINHEIRO</v>
      </c>
      <c r="D2832" t="str">
        <f>"19032026"</f>
        <v>19032026</v>
      </c>
      <c r="E2832" t="str">
        <f>""</f>
        <v/>
      </c>
      <c r="F2832" t="str">
        <f t="shared" si="530"/>
        <v>COM</v>
      </c>
      <c r="G2832" t="str">
        <f>"EDNUBIA RAMOS ALVES OLIVEIRA (899)"</f>
        <v>EDNUBIA RAMOS ALVES OLIVEIRA (899)</v>
      </c>
      <c r="H2832" t="s">
        <v>876</v>
      </c>
      <c r="I2832" t="str">
        <f t="shared" si="532"/>
        <v>19/03/2026</v>
      </c>
      <c r="J2832" t="str">
        <f>("18/03/2026")</f>
        <v>18/03/2026</v>
      </c>
      <c r="K2832">
        <v>46099</v>
      </c>
      <c r="N2832">
        <v>108</v>
      </c>
      <c r="O2832" t="s">
        <v>871</v>
      </c>
      <c r="Q2832">
        <v>20</v>
      </c>
      <c r="R2832" t="str">
        <f>"DELTA LOJA 2 (10123)"</f>
        <v>DELTA LOJA 2 (10123)</v>
      </c>
      <c r="S2832" t="s">
        <v>872</v>
      </c>
      <c r="T2832">
        <v>31137</v>
      </c>
      <c r="U2832">
        <v>35395</v>
      </c>
      <c r="V2832" t="s">
        <v>22</v>
      </c>
    </row>
    <row r="2833" spans="1:22">
      <c r="A2833" t="str">
        <f t="shared" si="523"/>
        <v>18/03/2026</v>
      </c>
      <c r="B2833" t="str">
        <f>"SAÍDA"</f>
        <v>SAÍDA</v>
      </c>
      <c r="C2833" t="str">
        <f>"PIX"</f>
        <v>PIX</v>
      </c>
      <c r="D2833" t="str">
        <f>"34494"</f>
        <v>34494</v>
      </c>
      <c r="E2833" t="str">
        <f>"1"</f>
        <v>1</v>
      </c>
      <c r="F2833" t="str">
        <f t="shared" si="530"/>
        <v>COM</v>
      </c>
      <c r="G2833" t="str">
        <f>"ERIC DE RAMOS GOMES (606)"</f>
        <v>ERIC DE RAMOS GOMES (606)</v>
      </c>
      <c r="H2833" t="str">
        <f>"Serv.Prest. 02/03/2026 a 08/03/2026 - PIX: E-MAIL - CHAVE: ericgomes508@gmail.com"</f>
        <v>Serv.Prest. 02/03/2026 a 08/03/2026 - PIX: E-MAIL - CHAVE: ericgomes508@gmail.com</v>
      </c>
      <c r="I2833" t="str">
        <f t="shared" si="532"/>
        <v>19/03/2026</v>
      </c>
      <c r="J2833" t="str">
        <f>("10/03/2026")</f>
        <v>10/03/2026</v>
      </c>
      <c r="K2833" t="str">
        <f>("18/03/2026")</f>
        <v>18/03/2026</v>
      </c>
      <c r="L2833">
        <v>20</v>
      </c>
      <c r="M2833">
        <v>20</v>
      </c>
      <c r="N2833">
        <v>109</v>
      </c>
      <c r="O2833" t="str">
        <f>"PAGAMENTO DE ENTREGADORES"</f>
        <v>PAGAMENTO DE ENTREGADORES</v>
      </c>
      <c r="P2833">
        <v>20</v>
      </c>
      <c r="S2833" t="str">
        <f>"CAIXA MOVIMENTAÇÃO OPERACIONAL (132)"</f>
        <v>CAIXA MOVIMENTAÇÃO OPERACIONAL (132)</v>
      </c>
      <c r="T2833">
        <v>31138</v>
      </c>
      <c r="U2833">
        <v>35399</v>
      </c>
      <c r="V2833" t="s">
        <v>22</v>
      </c>
    </row>
    <row r="2834" spans="1:22">
      <c r="A2834" t="str">
        <f t="shared" si="523"/>
        <v>18/03/2026</v>
      </c>
      <c r="B2834" t="str">
        <f>"SAÍDA"</f>
        <v>SAÍDA</v>
      </c>
      <c r="C2834" t="str">
        <f>"PIX"</f>
        <v>PIX</v>
      </c>
      <c r="D2834" t="str">
        <f>"34494"</f>
        <v>34494</v>
      </c>
      <c r="E2834" t="str">
        <f>"1"</f>
        <v>1</v>
      </c>
      <c r="F2834" t="str">
        <f t="shared" si="530"/>
        <v>COM</v>
      </c>
      <c r="G2834" t="str">
        <f>"ERIC DE RAMOS GOMES (606)"</f>
        <v>ERIC DE RAMOS GOMES (606)</v>
      </c>
      <c r="H2834" t="s">
        <v>882</v>
      </c>
      <c r="I2834" t="str">
        <f t="shared" si="532"/>
        <v>19/03/2026</v>
      </c>
      <c r="J2834" t="str">
        <f>("10/03/2026")</f>
        <v>10/03/2026</v>
      </c>
      <c r="K2834">
        <v>46099</v>
      </c>
      <c r="N2834">
        <v>109</v>
      </c>
      <c r="O2834" t="s">
        <v>27</v>
      </c>
      <c r="Q2834">
        <v>20</v>
      </c>
      <c r="R2834" t="str">
        <f>"FARMÁCIA INDIANA LJ 91 (10037)"</f>
        <v>FARMÁCIA INDIANA LJ 91 (10037)</v>
      </c>
      <c r="S2834" t="s">
        <v>22</v>
      </c>
      <c r="T2834">
        <v>31138</v>
      </c>
      <c r="U2834">
        <v>35399</v>
      </c>
      <c r="V2834" t="s">
        <v>22</v>
      </c>
    </row>
    <row r="2835" spans="1:22">
      <c r="A2835" t="str">
        <f t="shared" si="523"/>
        <v>18/03/2026</v>
      </c>
      <c r="B2835" t="str">
        <f>"ENTRADA"</f>
        <v>ENTRADA</v>
      </c>
      <c r="C2835" t="str">
        <f>"DINHEIRO"</f>
        <v>DINHEIRO</v>
      </c>
      <c r="D2835" t="str">
        <f>"19032026"</f>
        <v>19032026</v>
      </c>
      <c r="E2835" t="str">
        <f>""</f>
        <v/>
      </c>
      <c r="F2835" t="str">
        <f t="shared" si="530"/>
        <v>COM</v>
      </c>
      <c r="G2835" t="str">
        <f>"ERIC DE RAMOS GOMES (606)"</f>
        <v>ERIC DE RAMOS GOMES (606)</v>
      </c>
      <c r="H2835" t="str">
        <f>"REEMBOLSO UNIFORME"</f>
        <v>REEMBOLSO UNIFORME</v>
      </c>
      <c r="I2835" t="str">
        <f t="shared" si="532"/>
        <v>19/03/2026</v>
      </c>
      <c r="J2835" t="str">
        <f>("18/03/2026")</f>
        <v>18/03/2026</v>
      </c>
      <c r="K2835" t="str">
        <f>("18/03/2026")</f>
        <v>18/03/2026</v>
      </c>
      <c r="L2835">
        <v>20</v>
      </c>
      <c r="M2835">
        <v>20</v>
      </c>
      <c r="N2835">
        <v>108</v>
      </c>
      <c r="O2835" t="str">
        <f>"RECEITAS COM REEMBOLSOS"</f>
        <v>RECEITAS COM REEMBOLSOS</v>
      </c>
      <c r="P2835">
        <v>20</v>
      </c>
      <c r="S2835" t="str">
        <f>"RECEITAS COM REEMBOLSOS (108)"</f>
        <v>RECEITAS COM REEMBOLSOS (108)</v>
      </c>
      <c r="T2835">
        <v>31139</v>
      </c>
      <c r="U2835">
        <v>35398</v>
      </c>
      <c r="V2835" t="s">
        <v>22</v>
      </c>
    </row>
    <row r="2836" spans="1:22">
      <c r="A2836" t="str">
        <f t="shared" si="523"/>
        <v>18/03/2026</v>
      </c>
      <c r="B2836" t="str">
        <f>"ENTRADA"</f>
        <v>ENTRADA</v>
      </c>
      <c r="C2836" t="str">
        <f>"DINHEIRO"</f>
        <v>DINHEIRO</v>
      </c>
      <c r="D2836" t="str">
        <f>"19032026"</f>
        <v>19032026</v>
      </c>
      <c r="E2836" t="str">
        <f>""</f>
        <v/>
      </c>
      <c r="F2836" t="str">
        <f t="shared" si="530"/>
        <v>COM</v>
      </c>
      <c r="G2836" t="str">
        <f>"ERIC DE RAMOS GOMES (606)"</f>
        <v>ERIC DE RAMOS GOMES (606)</v>
      </c>
      <c r="H2836" t="s">
        <v>883</v>
      </c>
      <c r="I2836" t="str">
        <f t="shared" si="532"/>
        <v>19/03/2026</v>
      </c>
      <c r="J2836" t="str">
        <f>("18/03/2026")</f>
        <v>18/03/2026</v>
      </c>
      <c r="K2836">
        <v>46099</v>
      </c>
      <c r="N2836">
        <v>108</v>
      </c>
      <c r="O2836" t="s">
        <v>871</v>
      </c>
      <c r="Q2836">
        <v>20</v>
      </c>
      <c r="R2836" t="str">
        <f>"FARMÁCIA INDIANA LJ 91 (10037)"</f>
        <v>FARMÁCIA INDIANA LJ 91 (10037)</v>
      </c>
      <c r="S2836" t="s">
        <v>872</v>
      </c>
      <c r="T2836">
        <v>31139</v>
      </c>
      <c r="U2836">
        <v>35398</v>
      </c>
      <c r="V2836" t="s">
        <v>22</v>
      </c>
    </row>
    <row r="2837" spans="1:22">
      <c r="A2837" t="str">
        <f t="shared" si="523"/>
        <v>18/03/2026</v>
      </c>
      <c r="B2837" t="str">
        <f>"SAÍDA"</f>
        <v>SAÍDA</v>
      </c>
      <c r="C2837" t="str">
        <f>"PIX"</f>
        <v>PIX</v>
      </c>
      <c r="D2837" t="str">
        <f>"35054"</f>
        <v>35054</v>
      </c>
      <c r="E2837" t="str">
        <f>"1"</f>
        <v>1</v>
      </c>
      <c r="F2837" t="str">
        <f t="shared" si="530"/>
        <v>COM</v>
      </c>
      <c r="G2837" t="str">
        <f>"FELIPE ALEXANDRE CAMA (976)"</f>
        <v>FELIPE ALEXANDRE CAMA (976)</v>
      </c>
      <c r="H2837" t="str">
        <f>"Serv.Prest. 09/03/2026 a 15/03/2026 - PIX: CPF - CHAVE: 471.142.438-55"</f>
        <v>Serv.Prest. 09/03/2026 a 15/03/2026 - PIX: CPF - CHAVE: 471.142.438-55</v>
      </c>
      <c r="I2837" t="str">
        <f t="shared" si="532"/>
        <v>19/03/2026</v>
      </c>
      <c r="J2837" t="str">
        <f>("17/03/2026")</f>
        <v>17/03/2026</v>
      </c>
      <c r="K2837" t="str">
        <f>("18/03/2026")</f>
        <v>18/03/2026</v>
      </c>
      <c r="L2837">
        <v>20</v>
      </c>
      <c r="M2837">
        <v>20</v>
      </c>
      <c r="N2837">
        <v>109</v>
      </c>
      <c r="O2837" t="str">
        <f>"PAGAMENTO DE ENTREGADORES"</f>
        <v>PAGAMENTO DE ENTREGADORES</v>
      </c>
      <c r="P2837">
        <v>20</v>
      </c>
      <c r="S2837" t="str">
        <f>"CAIXA MOVIMENTAÇÃO OPERACIONAL (132)"</f>
        <v>CAIXA MOVIMENTAÇÃO OPERACIONAL (132)</v>
      </c>
      <c r="T2837">
        <v>31141</v>
      </c>
      <c r="U2837">
        <v>35402</v>
      </c>
      <c r="V2837" t="s">
        <v>22</v>
      </c>
    </row>
    <row r="2838" spans="1:22">
      <c r="A2838" t="str">
        <f t="shared" si="523"/>
        <v>18/03/2026</v>
      </c>
      <c r="B2838" t="str">
        <f>"SAÍDA"</f>
        <v>SAÍDA</v>
      </c>
      <c r="C2838" t="str">
        <f>"PIX"</f>
        <v>PIX</v>
      </c>
      <c r="D2838" t="str">
        <f>"35054"</f>
        <v>35054</v>
      </c>
      <c r="E2838" t="str">
        <f>"1"</f>
        <v>1</v>
      </c>
      <c r="F2838" t="str">
        <f t="shared" si="530"/>
        <v>COM</v>
      </c>
      <c r="G2838" t="str">
        <f>"FELIPE ALEXANDRE CAMA (976)"</f>
        <v>FELIPE ALEXANDRE CAMA (976)</v>
      </c>
      <c r="H2838" t="s">
        <v>884</v>
      </c>
      <c r="I2838" t="str">
        <f t="shared" si="532"/>
        <v>19/03/2026</v>
      </c>
      <c r="J2838" t="str">
        <f>("17/03/2026")</f>
        <v>17/03/2026</v>
      </c>
      <c r="K2838">
        <v>46099</v>
      </c>
      <c r="N2838">
        <v>109</v>
      </c>
      <c r="O2838" t="s">
        <v>27</v>
      </c>
      <c r="Q2838">
        <v>20</v>
      </c>
      <c r="R2838" t="str">
        <f>"PENSE FARMA 20 (10203)"</f>
        <v>PENSE FARMA 20 (10203)</v>
      </c>
      <c r="S2838" t="s">
        <v>22</v>
      </c>
      <c r="T2838">
        <v>31141</v>
      </c>
      <c r="U2838">
        <v>35402</v>
      </c>
      <c r="V2838" t="s">
        <v>22</v>
      </c>
    </row>
    <row r="2839" spans="1:22">
      <c r="A2839" t="str">
        <f t="shared" si="523"/>
        <v>18/03/2026</v>
      </c>
      <c r="B2839" t="str">
        <f>"ENTRADA"</f>
        <v>ENTRADA</v>
      </c>
      <c r="C2839" t="str">
        <f>"DINHEIRO"</f>
        <v>DINHEIRO</v>
      </c>
      <c r="D2839" t="str">
        <f>"19032026"</f>
        <v>19032026</v>
      </c>
      <c r="E2839" t="str">
        <f>""</f>
        <v/>
      </c>
      <c r="F2839" t="str">
        <f t="shared" si="530"/>
        <v>COM</v>
      </c>
      <c r="G2839" t="str">
        <f>"FELIPE ALEXANDRE CAMA (976)"</f>
        <v>FELIPE ALEXANDRE CAMA (976)</v>
      </c>
      <c r="H2839" t="str">
        <f>"REEMBOLSO UNIFORMES"</f>
        <v>REEMBOLSO UNIFORMES</v>
      </c>
      <c r="I2839" t="str">
        <f t="shared" si="532"/>
        <v>19/03/2026</v>
      </c>
      <c r="J2839" t="str">
        <f>("18/03/2026")</f>
        <v>18/03/2026</v>
      </c>
      <c r="K2839" t="str">
        <f>("18/03/2026")</f>
        <v>18/03/2026</v>
      </c>
      <c r="L2839">
        <v>20</v>
      </c>
      <c r="M2839">
        <v>20</v>
      </c>
      <c r="N2839">
        <v>108</v>
      </c>
      <c r="O2839" t="str">
        <f>"RECEITAS COM REEMBOLSOS"</f>
        <v>RECEITAS COM REEMBOLSOS</v>
      </c>
      <c r="P2839">
        <v>20</v>
      </c>
      <c r="S2839" t="str">
        <f>"RECEITAS COM REEMBOLSOS (108)"</f>
        <v>RECEITAS COM REEMBOLSOS (108)</v>
      </c>
      <c r="T2839">
        <v>31142</v>
      </c>
      <c r="U2839">
        <v>35400</v>
      </c>
      <c r="V2839" t="s">
        <v>22</v>
      </c>
    </row>
    <row r="2840" spans="1:22">
      <c r="A2840" t="str">
        <f t="shared" si="523"/>
        <v>18/03/2026</v>
      </c>
      <c r="B2840" t="str">
        <f>"ENTRADA"</f>
        <v>ENTRADA</v>
      </c>
      <c r="C2840" t="str">
        <f>"DINHEIRO"</f>
        <v>DINHEIRO</v>
      </c>
      <c r="D2840" t="str">
        <f>"19032026"</f>
        <v>19032026</v>
      </c>
      <c r="E2840" t="str">
        <f>""</f>
        <v/>
      </c>
      <c r="F2840" t="str">
        <f t="shared" si="530"/>
        <v>COM</v>
      </c>
      <c r="G2840" t="str">
        <f>"FELIPE ALEXANDRE CAMA (976)"</f>
        <v>FELIPE ALEXANDRE CAMA (976)</v>
      </c>
      <c r="H2840" t="s">
        <v>876</v>
      </c>
      <c r="I2840" t="str">
        <f t="shared" si="532"/>
        <v>19/03/2026</v>
      </c>
      <c r="J2840" t="str">
        <f>("18/03/2026")</f>
        <v>18/03/2026</v>
      </c>
      <c r="K2840">
        <v>46099</v>
      </c>
      <c r="N2840">
        <v>108</v>
      </c>
      <c r="O2840" t="s">
        <v>871</v>
      </c>
      <c r="Q2840">
        <v>20</v>
      </c>
      <c r="R2840" t="str">
        <f>"PENSE FARMA 20 (10203)"</f>
        <v>PENSE FARMA 20 (10203)</v>
      </c>
      <c r="S2840" t="s">
        <v>872</v>
      </c>
      <c r="T2840">
        <v>31142</v>
      </c>
      <c r="U2840">
        <v>35400</v>
      </c>
      <c r="V2840" t="s">
        <v>22</v>
      </c>
    </row>
    <row r="2841" spans="1:22">
      <c r="A2841" t="str">
        <f t="shared" si="523"/>
        <v>18/03/2026</v>
      </c>
      <c r="B2841" t="str">
        <f>"ENTRADA"</f>
        <v>ENTRADA</v>
      </c>
      <c r="C2841" t="str">
        <f>"DINHEIRO"</f>
        <v>DINHEIRO</v>
      </c>
      <c r="D2841" t="str">
        <f>"19032026"</f>
        <v>19032026</v>
      </c>
      <c r="E2841" t="str">
        <f>""</f>
        <v/>
      </c>
      <c r="F2841" t="str">
        <f t="shared" si="530"/>
        <v>COM</v>
      </c>
      <c r="G2841" t="str">
        <f>"J??LIO GUIMAR??ES DOS SANTOS (977)"</f>
        <v>J??LIO GUIMAR??ES DOS SANTOS (977)</v>
      </c>
      <c r="H2841" t="str">
        <f>"REEMBOLSO UNIFORME"</f>
        <v>REEMBOLSO UNIFORME</v>
      </c>
      <c r="I2841" t="str">
        <f t="shared" si="532"/>
        <v>19/03/2026</v>
      </c>
      <c r="J2841" t="str">
        <f>("18/03/2026")</f>
        <v>18/03/2026</v>
      </c>
      <c r="K2841" t="str">
        <f>("18/03/2026")</f>
        <v>18/03/2026</v>
      </c>
      <c r="L2841">
        <v>28</v>
      </c>
      <c r="M2841">
        <v>28</v>
      </c>
      <c r="N2841">
        <v>108</v>
      </c>
      <c r="O2841" t="str">
        <f>"RECEITAS COM REEMBOLSOS"</f>
        <v>RECEITAS COM REEMBOLSOS</v>
      </c>
      <c r="P2841">
        <v>28</v>
      </c>
      <c r="S2841" t="str">
        <f>"RECEITAS COM REEMBOLSOS (108)"</f>
        <v>RECEITAS COM REEMBOLSOS (108)</v>
      </c>
      <c r="T2841">
        <v>31143</v>
      </c>
      <c r="U2841">
        <v>35403</v>
      </c>
      <c r="V2841" t="s">
        <v>22</v>
      </c>
    </row>
    <row r="2842" spans="1:22">
      <c r="A2842" t="str">
        <f t="shared" si="523"/>
        <v>18/03/2026</v>
      </c>
      <c r="B2842" t="str">
        <f>"ENTRADA"</f>
        <v>ENTRADA</v>
      </c>
      <c r="C2842" t="str">
        <f>"DINHEIRO"</f>
        <v>DINHEIRO</v>
      </c>
      <c r="D2842" t="str">
        <f>"19032026"</f>
        <v>19032026</v>
      </c>
      <c r="E2842" t="str">
        <f>""</f>
        <v/>
      </c>
      <c r="F2842" t="str">
        <f t="shared" si="530"/>
        <v>COM</v>
      </c>
      <c r="G2842" t="str">
        <f>"J??LIO GUIMAR??ES DOS SANTOS (977)"</f>
        <v>J??LIO GUIMAR??ES DOS SANTOS (977)</v>
      </c>
      <c r="H2842" t="s">
        <v>883</v>
      </c>
      <c r="I2842" t="str">
        <f t="shared" si="532"/>
        <v>19/03/2026</v>
      </c>
      <c r="J2842" t="str">
        <f>("18/03/2026")</f>
        <v>18/03/2026</v>
      </c>
      <c r="K2842">
        <v>46099</v>
      </c>
      <c r="N2842">
        <v>108</v>
      </c>
      <c r="O2842" t="s">
        <v>871</v>
      </c>
      <c r="Q2842">
        <v>28</v>
      </c>
      <c r="R2842" t="str">
        <f>"PENSE FARMA 43 (10208)"</f>
        <v>PENSE FARMA 43 (10208)</v>
      </c>
      <c r="S2842" t="s">
        <v>872</v>
      </c>
      <c r="T2842">
        <v>31143</v>
      </c>
      <c r="U2842">
        <v>35403</v>
      </c>
      <c r="V2842" t="s">
        <v>22</v>
      </c>
    </row>
    <row r="2843" spans="1:22">
      <c r="A2843" t="str">
        <f t="shared" si="523"/>
        <v>18/03/2026</v>
      </c>
      <c r="B2843" t="str">
        <f>"SAÍDA"</f>
        <v>SAÍDA</v>
      </c>
      <c r="C2843" t="str">
        <f>"PIX"</f>
        <v>PIX</v>
      </c>
      <c r="D2843" t="str">
        <f>"35059"</f>
        <v>35059</v>
      </c>
      <c r="E2843" t="str">
        <f>"1"</f>
        <v>1</v>
      </c>
      <c r="F2843" t="str">
        <f t="shared" si="530"/>
        <v>COM</v>
      </c>
      <c r="G2843" t="str">
        <f>"JULIO GUIMARAES DOS SANTOS (977)"</f>
        <v>JULIO GUIMARAES DOS SANTOS (977)</v>
      </c>
      <c r="H2843" t="str">
        <f>"Serv.Prest. 09/03/2026 a 15/03/2026 - PIX: CELULAR - CHAVE: (11) 94195-2534"</f>
        <v>Serv.Prest. 09/03/2026 a 15/03/2026 - PIX: CELULAR - CHAVE: (11) 94195-2534</v>
      </c>
      <c r="I2843" t="str">
        <f t="shared" si="532"/>
        <v>19/03/2026</v>
      </c>
      <c r="J2843" t="str">
        <f>("17/03/2026")</f>
        <v>17/03/2026</v>
      </c>
      <c r="K2843" t="str">
        <f>("18/03/2026")</f>
        <v>18/03/2026</v>
      </c>
      <c r="L2843">
        <v>28</v>
      </c>
      <c r="M2843">
        <v>28</v>
      </c>
      <c r="N2843">
        <v>109</v>
      </c>
      <c r="O2843" t="str">
        <f>"PAGAMENTO DE ENTREGADORES"</f>
        <v>PAGAMENTO DE ENTREGADORES</v>
      </c>
      <c r="P2843">
        <v>28</v>
      </c>
      <c r="S2843" t="str">
        <f>"CAIXA MOVIMENTAÇÃO OPERACIONAL (132)"</f>
        <v>CAIXA MOVIMENTAÇÃO OPERACIONAL (132)</v>
      </c>
      <c r="T2843">
        <v>31144</v>
      </c>
      <c r="U2843">
        <v>35407</v>
      </c>
      <c r="V2843" t="s">
        <v>22</v>
      </c>
    </row>
    <row r="2844" spans="1:22">
      <c r="A2844" t="str">
        <f t="shared" si="523"/>
        <v>18/03/2026</v>
      </c>
      <c r="B2844" t="str">
        <f>"SAÍDA"</f>
        <v>SAÍDA</v>
      </c>
      <c r="C2844" t="str">
        <f>"PIX"</f>
        <v>PIX</v>
      </c>
      <c r="D2844" t="str">
        <f>"35059"</f>
        <v>35059</v>
      </c>
      <c r="E2844" t="str">
        <f>"1"</f>
        <v>1</v>
      </c>
      <c r="F2844" t="str">
        <f t="shared" si="530"/>
        <v>COM</v>
      </c>
      <c r="G2844" t="str">
        <f>"JULIO GUIMARAES DOS SANTOS (977)"</f>
        <v>JULIO GUIMARAES DOS SANTOS (977)</v>
      </c>
      <c r="H2844" t="s">
        <v>885</v>
      </c>
      <c r="I2844" t="str">
        <f t="shared" si="532"/>
        <v>19/03/2026</v>
      </c>
      <c r="J2844" t="str">
        <f>("17/03/2026")</f>
        <v>17/03/2026</v>
      </c>
      <c r="K2844">
        <v>46099</v>
      </c>
      <c r="N2844">
        <v>109</v>
      </c>
      <c r="O2844" t="s">
        <v>27</v>
      </c>
      <c r="Q2844">
        <v>28</v>
      </c>
      <c r="R2844" t="str">
        <f>"PENSE FARMA DARK STORE 361 (10212)"</f>
        <v>PENSE FARMA DARK STORE 361 (10212)</v>
      </c>
      <c r="S2844" t="s">
        <v>22</v>
      </c>
      <c r="T2844">
        <v>31144</v>
      </c>
      <c r="U2844">
        <v>35407</v>
      </c>
      <c r="V2844" t="s">
        <v>22</v>
      </c>
    </row>
    <row r="2845" spans="1:22">
      <c r="A2845" t="str">
        <f t="shared" si="523"/>
        <v>18/03/2026</v>
      </c>
      <c r="B2845" t="str">
        <f>"ENTRADA"</f>
        <v>ENTRADA</v>
      </c>
      <c r="C2845" t="str">
        <f>"DINHEIRO"</f>
        <v>DINHEIRO</v>
      </c>
      <c r="D2845" t="str">
        <f>"19032026"</f>
        <v>19032026</v>
      </c>
      <c r="E2845" t="str">
        <f>""</f>
        <v/>
      </c>
      <c r="F2845" t="str">
        <f t="shared" si="530"/>
        <v>COM</v>
      </c>
      <c r="G2845" t="str">
        <f t="shared" ref="G2845:G2852" si="533">"LEONARDO SANTOS BIANCHINI (1115)"</f>
        <v>LEONARDO SANTOS BIANCHINI (1115)</v>
      </c>
      <c r="H2845" t="str">
        <f>"REEMBOLSO UNIFORMES"</f>
        <v>REEMBOLSO UNIFORMES</v>
      </c>
      <c r="I2845" t="str">
        <f t="shared" si="532"/>
        <v>19/03/2026</v>
      </c>
      <c r="J2845" t="str">
        <f>("18/03/2026")</f>
        <v>18/03/2026</v>
      </c>
      <c r="K2845" t="str">
        <f>("18/03/2026")</f>
        <v>18/03/2026</v>
      </c>
      <c r="L2845">
        <v>20</v>
      </c>
      <c r="M2845">
        <v>20</v>
      </c>
      <c r="N2845">
        <v>108</v>
      </c>
      <c r="O2845" t="str">
        <f>"RECEITAS COM REEMBOLSOS"</f>
        <v>RECEITAS COM REEMBOLSOS</v>
      </c>
      <c r="P2845">
        <v>20</v>
      </c>
      <c r="S2845" t="str">
        <f>"RECEITAS COM REEMBOLSOS (108)"</f>
        <v>RECEITAS COM REEMBOLSOS (108)</v>
      </c>
      <c r="T2845">
        <v>31145</v>
      </c>
      <c r="U2845">
        <v>35408</v>
      </c>
      <c r="V2845" t="s">
        <v>22</v>
      </c>
    </row>
    <row r="2846" spans="1:22">
      <c r="A2846" t="str">
        <f t="shared" si="523"/>
        <v>18/03/2026</v>
      </c>
      <c r="B2846" t="str">
        <f>"ENTRADA"</f>
        <v>ENTRADA</v>
      </c>
      <c r="C2846" t="str">
        <f>"DINHEIRO"</f>
        <v>DINHEIRO</v>
      </c>
      <c r="D2846" t="str">
        <f>"19032026"</f>
        <v>19032026</v>
      </c>
      <c r="E2846" t="str">
        <f>""</f>
        <v/>
      </c>
      <c r="F2846" t="str">
        <f t="shared" si="530"/>
        <v>COM</v>
      </c>
      <c r="G2846" t="str">
        <f t="shared" si="533"/>
        <v>LEONARDO SANTOS BIANCHINI (1115)</v>
      </c>
      <c r="H2846" t="s">
        <v>876</v>
      </c>
      <c r="I2846" t="str">
        <f t="shared" si="532"/>
        <v>19/03/2026</v>
      </c>
      <c r="J2846" t="str">
        <f>("18/03/2026")</f>
        <v>18/03/2026</v>
      </c>
      <c r="K2846">
        <v>46099</v>
      </c>
      <c r="N2846">
        <v>108</v>
      </c>
      <c r="O2846" t="s">
        <v>871</v>
      </c>
      <c r="Q2846">
        <v>20</v>
      </c>
      <c r="R2846" t="str">
        <f>"FARMÁCIA INDIANA LJ 92 (10281)"</f>
        <v>FARMÁCIA INDIANA LJ 92 (10281)</v>
      </c>
      <c r="S2846" t="s">
        <v>872</v>
      </c>
      <c r="T2846">
        <v>31145</v>
      </c>
      <c r="U2846">
        <v>35408</v>
      </c>
      <c r="V2846" t="s">
        <v>22</v>
      </c>
    </row>
    <row r="2847" spans="1:22">
      <c r="A2847" t="str">
        <f t="shared" si="523"/>
        <v>18/03/2026</v>
      </c>
      <c r="B2847" t="str">
        <f>"SAÍDA"</f>
        <v>SAÍDA</v>
      </c>
      <c r="C2847" t="str">
        <f>"PIX"</f>
        <v>PIX</v>
      </c>
      <c r="D2847" t="str">
        <f>"34510"</f>
        <v>34510</v>
      </c>
      <c r="E2847" t="str">
        <f>"1"</f>
        <v>1</v>
      </c>
      <c r="F2847" t="str">
        <f t="shared" si="530"/>
        <v>COM</v>
      </c>
      <c r="G2847" t="str">
        <f t="shared" si="533"/>
        <v>LEONARDO SANTOS BIANCHINI (1115)</v>
      </c>
      <c r="H2847" t="str">
        <f>"Serv.Prest. 02/03/2026 a 08/03/2026 - PIX: CPF - CHAVE: 157.217.827-22"</f>
        <v>Serv.Prest. 02/03/2026 a 08/03/2026 - PIX: CPF - CHAVE: 157.217.827-22</v>
      </c>
      <c r="I2847" t="str">
        <f t="shared" si="532"/>
        <v>19/03/2026</v>
      </c>
      <c r="J2847" t="str">
        <f>("10/03/2026")</f>
        <v>10/03/2026</v>
      </c>
      <c r="K2847" t="str">
        <f>("18/03/2026")</f>
        <v>18/03/2026</v>
      </c>
      <c r="L2847">
        <v>20</v>
      </c>
      <c r="M2847">
        <v>20</v>
      </c>
      <c r="N2847">
        <v>109</v>
      </c>
      <c r="O2847" t="str">
        <f>"PAGAMENTO DE ENTREGADORES"</f>
        <v>PAGAMENTO DE ENTREGADORES</v>
      </c>
      <c r="P2847">
        <v>20</v>
      </c>
      <c r="S2847" t="str">
        <f>"CAIXA MOVIMENTAÇÃO OPERACIONAL (132)"</f>
        <v>CAIXA MOVIMENTAÇÃO OPERACIONAL (132)</v>
      </c>
      <c r="T2847">
        <v>31146</v>
      </c>
      <c r="U2847">
        <v>35411</v>
      </c>
      <c r="V2847" t="s">
        <v>22</v>
      </c>
    </row>
    <row r="2848" spans="1:22">
      <c r="A2848" t="str">
        <f t="shared" si="523"/>
        <v>18/03/2026</v>
      </c>
      <c r="B2848" t="str">
        <f>"SAÍDA"</f>
        <v>SAÍDA</v>
      </c>
      <c r="C2848" t="str">
        <f>"PIX"</f>
        <v>PIX</v>
      </c>
      <c r="D2848" t="str">
        <f>"34510"</f>
        <v>34510</v>
      </c>
      <c r="E2848" t="str">
        <f>"1"</f>
        <v>1</v>
      </c>
      <c r="F2848" t="str">
        <f t="shared" si="530"/>
        <v>COM</v>
      </c>
      <c r="G2848" t="str">
        <f t="shared" si="533"/>
        <v>LEONARDO SANTOS BIANCHINI (1115)</v>
      </c>
      <c r="H2848" t="s">
        <v>886</v>
      </c>
      <c r="I2848" t="str">
        <f t="shared" si="532"/>
        <v>19/03/2026</v>
      </c>
      <c r="J2848" t="str">
        <f>("10/03/2026")</f>
        <v>10/03/2026</v>
      </c>
      <c r="K2848">
        <v>46099</v>
      </c>
      <c r="N2848">
        <v>109</v>
      </c>
      <c r="O2848" t="s">
        <v>27</v>
      </c>
      <c r="Q2848">
        <v>20</v>
      </c>
      <c r="R2848" t="str">
        <f>"FARMÁCIA INDIANA LJ 92 (10281)"</f>
        <v>FARMÁCIA INDIANA LJ 92 (10281)</v>
      </c>
      <c r="S2848" t="s">
        <v>22</v>
      </c>
      <c r="T2848">
        <v>31146</v>
      </c>
      <c r="U2848">
        <v>35411</v>
      </c>
      <c r="V2848" t="s">
        <v>22</v>
      </c>
    </row>
    <row r="2849" spans="1:22">
      <c r="A2849" t="str">
        <f t="shared" si="523"/>
        <v>18/03/2026</v>
      </c>
      <c r="B2849" t="str">
        <f>"SAÍDA"</f>
        <v>SAÍDA</v>
      </c>
      <c r="C2849" t="str">
        <f>"PIX"</f>
        <v>PIX</v>
      </c>
      <c r="D2849" t="str">
        <f>"35165"</f>
        <v>35165</v>
      </c>
      <c r="E2849" t="str">
        <f>"1"</f>
        <v>1</v>
      </c>
      <c r="F2849" t="str">
        <f t="shared" si="530"/>
        <v>COM</v>
      </c>
      <c r="G2849" t="str">
        <f t="shared" si="533"/>
        <v>LEONARDO SANTOS BIANCHINI (1115)</v>
      </c>
      <c r="H2849" t="str">
        <f>"Serv.Prest. 09/03/2026 a 15/03/2026 - PIX: CPF - CHAVE: 157.217.827-22"</f>
        <v>Serv.Prest. 09/03/2026 a 15/03/2026 - PIX: CPF - CHAVE: 157.217.827-22</v>
      </c>
      <c r="I2849" t="str">
        <f>("26/03/2026")</f>
        <v>26/03/2026</v>
      </c>
      <c r="J2849" t="str">
        <f>("17/03/2026")</f>
        <v>17/03/2026</v>
      </c>
      <c r="K2849" t="str">
        <f>("18/03/2026")</f>
        <v>18/03/2026</v>
      </c>
      <c r="L2849">
        <v>20</v>
      </c>
      <c r="M2849">
        <v>20</v>
      </c>
      <c r="N2849">
        <v>109</v>
      </c>
      <c r="O2849" t="str">
        <f>"PAGAMENTO DE ENTREGADORES"</f>
        <v>PAGAMENTO DE ENTREGADORES</v>
      </c>
      <c r="P2849">
        <v>20</v>
      </c>
      <c r="S2849" t="str">
        <f>"CAIXA MOVIMENTAÇÃO OPERACIONAL (132)"</f>
        <v>CAIXA MOVIMENTAÇÃO OPERACIONAL (132)</v>
      </c>
      <c r="T2849">
        <v>31147</v>
      </c>
      <c r="U2849">
        <v>35412</v>
      </c>
      <c r="V2849" t="s">
        <v>22</v>
      </c>
    </row>
    <row r="2850" spans="1:22">
      <c r="A2850" t="str">
        <f t="shared" si="523"/>
        <v>18/03/2026</v>
      </c>
      <c r="B2850" t="str">
        <f>"SAÍDA"</f>
        <v>SAÍDA</v>
      </c>
      <c r="C2850" t="str">
        <f>"PIX"</f>
        <v>PIX</v>
      </c>
      <c r="D2850" t="str">
        <f>"35165"</f>
        <v>35165</v>
      </c>
      <c r="E2850" t="str">
        <f>"1"</f>
        <v>1</v>
      </c>
      <c r="F2850" t="str">
        <f t="shared" si="530"/>
        <v>COM</v>
      </c>
      <c r="G2850" t="str">
        <f t="shared" si="533"/>
        <v>LEONARDO SANTOS BIANCHINI (1115)</v>
      </c>
      <c r="H2850" t="s">
        <v>887</v>
      </c>
      <c r="I2850" t="str">
        <f>("26/03/2026")</f>
        <v>26/03/2026</v>
      </c>
      <c r="J2850" t="str">
        <f>("17/03/2026")</f>
        <v>17/03/2026</v>
      </c>
      <c r="K2850">
        <v>46099</v>
      </c>
      <c r="N2850">
        <v>109</v>
      </c>
      <c r="O2850" t="s">
        <v>27</v>
      </c>
      <c r="Q2850">
        <v>20</v>
      </c>
      <c r="R2850" t="str">
        <f>"FARMÁCIA INDIANA LJ 92 (10281)"</f>
        <v>FARMÁCIA INDIANA LJ 92 (10281)</v>
      </c>
      <c r="S2850" t="s">
        <v>22</v>
      </c>
      <c r="T2850">
        <v>31147</v>
      </c>
      <c r="U2850">
        <v>35412</v>
      </c>
      <c r="V2850" t="s">
        <v>22</v>
      </c>
    </row>
    <row r="2851" spans="1:22">
      <c r="A2851" t="str">
        <f t="shared" ref="A2851:A2914" si="534">("18/03/2026")</f>
        <v>18/03/2026</v>
      </c>
      <c r="B2851" t="str">
        <f>"ENTRADA"</f>
        <v>ENTRADA</v>
      </c>
      <c r="C2851" t="str">
        <f>"DINHEIRO"</f>
        <v>DINHEIRO</v>
      </c>
      <c r="D2851" t="str">
        <f>"19032026"</f>
        <v>19032026</v>
      </c>
      <c r="E2851" t="str">
        <f>"2"</f>
        <v>2</v>
      </c>
      <c r="F2851" t="str">
        <f t="shared" si="530"/>
        <v>COM</v>
      </c>
      <c r="G2851" t="str">
        <f t="shared" si="533"/>
        <v>LEONARDO SANTOS BIANCHINI (1115)</v>
      </c>
      <c r="H2851" t="str">
        <f>"REEMBOLSO UNIFORMES"</f>
        <v>REEMBOLSO UNIFORMES</v>
      </c>
      <c r="I2851" t="str">
        <f>("26/03/2026")</f>
        <v>26/03/2026</v>
      </c>
      <c r="J2851" t="str">
        <f>("18/03/2026")</f>
        <v>18/03/2026</v>
      </c>
      <c r="K2851" t="str">
        <f>("18/03/2026")</f>
        <v>18/03/2026</v>
      </c>
      <c r="L2851">
        <v>20</v>
      </c>
      <c r="M2851">
        <v>20</v>
      </c>
      <c r="N2851">
        <v>108</v>
      </c>
      <c r="O2851" t="str">
        <f>"RECEITAS COM REEMBOLSOS"</f>
        <v>RECEITAS COM REEMBOLSOS</v>
      </c>
      <c r="P2851">
        <v>20</v>
      </c>
      <c r="S2851" t="str">
        <f>"RECEITAS COM REEMBOLSOS (108)"</f>
        <v>RECEITAS COM REEMBOLSOS (108)</v>
      </c>
      <c r="T2851">
        <v>31148</v>
      </c>
      <c r="U2851">
        <v>35409</v>
      </c>
      <c r="V2851" t="s">
        <v>22</v>
      </c>
    </row>
    <row r="2852" spans="1:22">
      <c r="A2852" t="str">
        <f t="shared" si="534"/>
        <v>18/03/2026</v>
      </c>
      <c r="B2852" t="str">
        <f>"ENTRADA"</f>
        <v>ENTRADA</v>
      </c>
      <c r="C2852" t="str">
        <f>"DINHEIRO"</f>
        <v>DINHEIRO</v>
      </c>
      <c r="D2852" t="str">
        <f>"19032026"</f>
        <v>19032026</v>
      </c>
      <c r="E2852" t="str">
        <f>"2"</f>
        <v>2</v>
      </c>
      <c r="F2852" t="str">
        <f t="shared" si="530"/>
        <v>COM</v>
      </c>
      <c r="G2852" t="str">
        <f t="shared" si="533"/>
        <v>LEONARDO SANTOS BIANCHINI (1115)</v>
      </c>
      <c r="H2852" t="s">
        <v>876</v>
      </c>
      <c r="I2852" t="str">
        <f>("26/03/2026")</f>
        <v>26/03/2026</v>
      </c>
      <c r="J2852" t="str">
        <f>("18/03/2026")</f>
        <v>18/03/2026</v>
      </c>
      <c r="K2852">
        <v>46099</v>
      </c>
      <c r="N2852">
        <v>108</v>
      </c>
      <c r="O2852" t="s">
        <v>871</v>
      </c>
      <c r="Q2852">
        <v>20</v>
      </c>
      <c r="R2852" t="str">
        <f>"FARMÁCIA INDIANA LJ 92 (10281)"</f>
        <v>FARMÁCIA INDIANA LJ 92 (10281)</v>
      </c>
      <c r="S2852" t="s">
        <v>872</v>
      </c>
      <c r="T2852">
        <v>31148</v>
      </c>
      <c r="U2852">
        <v>35409</v>
      </c>
      <c r="V2852" t="s">
        <v>22</v>
      </c>
    </row>
    <row r="2853" spans="1:22">
      <c r="A2853" t="str">
        <f t="shared" si="534"/>
        <v>18/03/2026</v>
      </c>
      <c r="B2853" t="str">
        <f>"SAÍDA"</f>
        <v>SAÍDA</v>
      </c>
      <c r="C2853" t="str">
        <f>"PIX"</f>
        <v>PIX</v>
      </c>
      <c r="D2853" t="str">
        <f>"35029"</f>
        <v>35029</v>
      </c>
      <c r="E2853" t="str">
        <f>"1"</f>
        <v>1</v>
      </c>
      <c r="F2853" t="str">
        <f t="shared" si="530"/>
        <v>COM</v>
      </c>
      <c r="G2853" t="str">
        <f>"LUAN DOS REIS SILVA (954)"</f>
        <v>LUAN DOS REIS SILVA (954)</v>
      </c>
      <c r="H2853" t="str">
        <f>"Serv.Prest. 09/03/2026 a 15/03/2026 - PIX: CELULAR - CHAVE: (11) 95906-5439"</f>
        <v>Serv.Prest. 09/03/2026 a 15/03/2026 - PIX: CELULAR - CHAVE: (11) 95906-5439</v>
      </c>
      <c r="I2853" t="str">
        <f t="shared" ref="I2853:I2864" si="535">("19/03/2026")</f>
        <v>19/03/2026</v>
      </c>
      <c r="J2853" t="str">
        <f>("17/03/2026")</f>
        <v>17/03/2026</v>
      </c>
      <c r="K2853" t="str">
        <f>("18/03/2026")</f>
        <v>18/03/2026</v>
      </c>
      <c r="L2853">
        <v>20</v>
      </c>
      <c r="M2853">
        <v>20</v>
      </c>
      <c r="N2853">
        <v>109</v>
      </c>
      <c r="O2853" t="str">
        <f>"PAGAMENTO DE ENTREGADORES"</f>
        <v>PAGAMENTO DE ENTREGADORES</v>
      </c>
      <c r="P2853">
        <v>20</v>
      </c>
      <c r="S2853" t="str">
        <f>"CAIXA MOVIMENTAÇÃO OPERACIONAL (132)"</f>
        <v>CAIXA MOVIMENTAÇÃO OPERACIONAL (132)</v>
      </c>
      <c r="T2853">
        <v>31149</v>
      </c>
      <c r="U2853">
        <v>35415</v>
      </c>
      <c r="V2853" t="s">
        <v>22</v>
      </c>
    </row>
    <row r="2854" spans="1:22">
      <c r="A2854" t="str">
        <f t="shared" si="534"/>
        <v>18/03/2026</v>
      </c>
      <c r="B2854" t="str">
        <f>"SAÍDA"</f>
        <v>SAÍDA</v>
      </c>
      <c r="C2854" t="str">
        <f>"PIX"</f>
        <v>PIX</v>
      </c>
      <c r="D2854" t="str">
        <f>"35029"</f>
        <v>35029</v>
      </c>
      <c r="E2854" t="str">
        <f>"1"</f>
        <v>1</v>
      </c>
      <c r="F2854" t="str">
        <f t="shared" si="530"/>
        <v>COM</v>
      </c>
      <c r="G2854" t="str">
        <f>"LUAN DOS REIS SILVA (954)"</f>
        <v>LUAN DOS REIS SILVA (954)</v>
      </c>
      <c r="H2854" t="s">
        <v>888</v>
      </c>
      <c r="I2854" t="str">
        <f t="shared" si="535"/>
        <v>19/03/2026</v>
      </c>
      <c r="J2854" t="str">
        <f>("17/03/2026")</f>
        <v>17/03/2026</v>
      </c>
      <c r="K2854">
        <v>46099</v>
      </c>
      <c r="N2854">
        <v>109</v>
      </c>
      <c r="O2854" t="s">
        <v>27</v>
      </c>
      <c r="Q2854">
        <v>20</v>
      </c>
      <c r="R2854" t="str">
        <f>"PENSE FARMA 27 (10204)"</f>
        <v>PENSE FARMA 27 (10204)</v>
      </c>
      <c r="S2854" t="s">
        <v>22</v>
      </c>
      <c r="T2854">
        <v>31149</v>
      </c>
      <c r="U2854">
        <v>35415</v>
      </c>
      <c r="V2854" t="s">
        <v>22</v>
      </c>
    </row>
    <row r="2855" spans="1:22">
      <c r="A2855" t="str">
        <f t="shared" si="534"/>
        <v>18/03/2026</v>
      </c>
      <c r="B2855" t="str">
        <f>"ENTRADA"</f>
        <v>ENTRADA</v>
      </c>
      <c r="C2855" t="str">
        <f>"DINHEIRO"</f>
        <v>DINHEIRO</v>
      </c>
      <c r="D2855" t="str">
        <f>"19032026"</f>
        <v>19032026</v>
      </c>
      <c r="E2855" t="str">
        <f>""</f>
        <v/>
      </c>
      <c r="F2855" t="str">
        <f t="shared" si="530"/>
        <v>COM</v>
      </c>
      <c r="G2855" t="str">
        <f>"LUAN DOS REIS SILV A (954)"</f>
        <v>LUAN DOS REIS SILV A (954)</v>
      </c>
      <c r="H2855" t="str">
        <f>"REEMBOLSO UNIFORMES"</f>
        <v>REEMBOLSO UNIFORMES</v>
      </c>
      <c r="I2855" t="str">
        <f t="shared" si="535"/>
        <v>19/03/2026</v>
      </c>
      <c r="J2855" t="str">
        <f>("18/03/2026")</f>
        <v>18/03/2026</v>
      </c>
      <c r="K2855" t="str">
        <f>("18/03/2026")</f>
        <v>18/03/2026</v>
      </c>
      <c r="L2855">
        <v>20</v>
      </c>
      <c r="M2855">
        <v>20</v>
      </c>
      <c r="N2855">
        <v>108</v>
      </c>
      <c r="O2855" t="str">
        <f>"RECEITAS COM REEMBOLSOS"</f>
        <v>RECEITAS COM REEMBOLSOS</v>
      </c>
      <c r="P2855">
        <v>20</v>
      </c>
      <c r="S2855" t="str">
        <f>"RECEITAS COM REEMBOLSOS (108)"</f>
        <v>RECEITAS COM REEMBOLSOS (108)</v>
      </c>
      <c r="T2855">
        <v>31150</v>
      </c>
      <c r="U2855">
        <v>35413</v>
      </c>
      <c r="V2855" t="s">
        <v>22</v>
      </c>
    </row>
    <row r="2856" spans="1:22">
      <c r="A2856" t="str">
        <f t="shared" si="534"/>
        <v>18/03/2026</v>
      </c>
      <c r="B2856" t="str">
        <f>"ENTRADA"</f>
        <v>ENTRADA</v>
      </c>
      <c r="C2856" t="str">
        <f>"DINHEIRO"</f>
        <v>DINHEIRO</v>
      </c>
      <c r="D2856" t="str">
        <f>"19032026"</f>
        <v>19032026</v>
      </c>
      <c r="E2856" t="str">
        <f>""</f>
        <v/>
      </c>
      <c r="F2856" t="str">
        <f t="shared" si="530"/>
        <v>COM</v>
      </c>
      <c r="G2856" t="str">
        <f>"LUAN DOS REIS SILV A (954)"</f>
        <v>LUAN DOS REIS SILV A (954)</v>
      </c>
      <c r="H2856" t="s">
        <v>876</v>
      </c>
      <c r="I2856" t="str">
        <f t="shared" si="535"/>
        <v>19/03/2026</v>
      </c>
      <c r="J2856" t="str">
        <f>("18/03/2026")</f>
        <v>18/03/2026</v>
      </c>
      <c r="K2856">
        <v>46099</v>
      </c>
      <c r="N2856">
        <v>108</v>
      </c>
      <c r="O2856" t="s">
        <v>871</v>
      </c>
      <c r="Q2856">
        <v>20</v>
      </c>
      <c r="R2856" t="str">
        <f>"PENSE FARMA 13 (10202)"</f>
        <v>PENSE FARMA 13 (10202)</v>
      </c>
      <c r="S2856" t="s">
        <v>872</v>
      </c>
      <c r="T2856">
        <v>31150</v>
      </c>
      <c r="U2856">
        <v>35413</v>
      </c>
      <c r="V2856" t="s">
        <v>22</v>
      </c>
    </row>
    <row r="2857" spans="1:22">
      <c r="A2857" t="str">
        <f t="shared" si="534"/>
        <v>18/03/2026</v>
      </c>
      <c r="B2857" t="str">
        <f>"ENTRADA"</f>
        <v>ENTRADA</v>
      </c>
      <c r="C2857" t="str">
        <f>"DINHEIRO"</f>
        <v>DINHEIRO</v>
      </c>
      <c r="D2857" t="str">
        <f>"19032026"</f>
        <v>19032026</v>
      </c>
      <c r="E2857" t="str">
        <f>""</f>
        <v/>
      </c>
      <c r="F2857" t="str">
        <f t="shared" si="530"/>
        <v>COM</v>
      </c>
      <c r="G2857" t="str">
        <f>"MANOEL DE JESUS ALMEIDA (1017)"</f>
        <v>MANOEL DE JESUS ALMEIDA (1017)</v>
      </c>
      <c r="H2857" t="str">
        <f>"REEMBOLSO UNIFORMES"</f>
        <v>REEMBOLSO UNIFORMES</v>
      </c>
      <c r="I2857" t="str">
        <f t="shared" si="535"/>
        <v>19/03/2026</v>
      </c>
      <c r="J2857" t="str">
        <f>("18/03/2026")</f>
        <v>18/03/2026</v>
      </c>
      <c r="K2857" t="str">
        <f>("18/03/2026")</f>
        <v>18/03/2026</v>
      </c>
      <c r="L2857">
        <v>40</v>
      </c>
      <c r="M2857">
        <v>40</v>
      </c>
      <c r="N2857">
        <v>108</v>
      </c>
      <c r="O2857" t="str">
        <f>"RECEITAS COM REEMBOLSOS"</f>
        <v>RECEITAS COM REEMBOLSOS</v>
      </c>
      <c r="P2857">
        <v>40</v>
      </c>
      <c r="S2857" t="str">
        <f>"RECEITAS COM REEMBOLSOS (108)"</f>
        <v>RECEITAS COM REEMBOLSOS (108)</v>
      </c>
      <c r="T2857">
        <v>31151</v>
      </c>
      <c r="U2857">
        <v>35416</v>
      </c>
      <c r="V2857" t="s">
        <v>22</v>
      </c>
    </row>
    <row r="2858" spans="1:22">
      <c r="A2858" t="str">
        <f t="shared" si="534"/>
        <v>18/03/2026</v>
      </c>
      <c r="B2858" t="str">
        <f>"ENTRADA"</f>
        <v>ENTRADA</v>
      </c>
      <c r="C2858" t="str">
        <f>"DINHEIRO"</f>
        <v>DINHEIRO</v>
      </c>
      <c r="D2858" t="str">
        <f>"19032026"</f>
        <v>19032026</v>
      </c>
      <c r="E2858" t="str">
        <f>""</f>
        <v/>
      </c>
      <c r="F2858" t="str">
        <f t="shared" si="530"/>
        <v>COM</v>
      </c>
      <c r="G2858" t="str">
        <f>"MANOEL DE JESUS ALMEIDA (1017)"</f>
        <v>MANOEL DE JESUS ALMEIDA (1017)</v>
      </c>
      <c r="H2858" t="s">
        <v>876</v>
      </c>
      <c r="I2858" t="str">
        <f t="shared" si="535"/>
        <v>19/03/2026</v>
      </c>
      <c r="J2858" t="str">
        <f>("18/03/2026")</f>
        <v>18/03/2026</v>
      </c>
      <c r="K2858">
        <v>46099</v>
      </c>
      <c r="N2858">
        <v>108</v>
      </c>
      <c r="O2858" t="s">
        <v>871</v>
      </c>
      <c r="Q2858">
        <v>40</v>
      </c>
      <c r="R2858" t="str">
        <f>"PENSE FARMA 27 (10204)"</f>
        <v>PENSE FARMA 27 (10204)</v>
      </c>
      <c r="S2858" t="s">
        <v>872</v>
      </c>
      <c r="T2858">
        <v>31151</v>
      </c>
      <c r="U2858">
        <v>35416</v>
      </c>
      <c r="V2858" t="s">
        <v>22</v>
      </c>
    </row>
    <row r="2859" spans="1:22">
      <c r="A2859" t="str">
        <f t="shared" si="534"/>
        <v>18/03/2026</v>
      </c>
      <c r="B2859" t="str">
        <f>"SAÍDA"</f>
        <v>SAÍDA</v>
      </c>
      <c r="C2859" t="str">
        <f>"PIX"</f>
        <v>PIX</v>
      </c>
      <c r="D2859" t="str">
        <f>"35032"</f>
        <v>35032</v>
      </c>
      <c r="E2859" t="str">
        <f>"1"</f>
        <v>1</v>
      </c>
      <c r="F2859" t="str">
        <f t="shared" si="530"/>
        <v>COM</v>
      </c>
      <c r="G2859" t="str">
        <f>"MANOEL DE JESUS ALMEIDA (1017)"</f>
        <v>MANOEL DE JESUS ALMEIDA (1017)</v>
      </c>
      <c r="H2859" t="str">
        <f>"Serv.Prest. 09/03/2026 a 15/03/2026 - PIX: CPF - CHAVE: 026.422.254-70"</f>
        <v>Serv.Prest. 09/03/2026 a 15/03/2026 - PIX: CPF - CHAVE: 026.422.254-70</v>
      </c>
      <c r="I2859" t="str">
        <f t="shared" si="535"/>
        <v>19/03/2026</v>
      </c>
      <c r="J2859" t="str">
        <f>("17/03/2026")</f>
        <v>17/03/2026</v>
      </c>
      <c r="K2859" t="str">
        <f>("18/03/2026")</f>
        <v>18/03/2026</v>
      </c>
      <c r="L2859">
        <v>20</v>
      </c>
      <c r="M2859">
        <v>20</v>
      </c>
      <c r="N2859">
        <v>109</v>
      </c>
      <c r="O2859" t="str">
        <f>"PAGAMENTO DE ENTREGADORES"</f>
        <v>PAGAMENTO DE ENTREGADORES</v>
      </c>
      <c r="P2859">
        <v>20</v>
      </c>
      <c r="S2859" t="str">
        <f>"CAIXA MOVIMENTAÇÃO OPERACIONAL (132)"</f>
        <v>CAIXA MOVIMENTAÇÃO OPERACIONAL (132)</v>
      </c>
      <c r="T2859">
        <v>31152</v>
      </c>
      <c r="U2859">
        <v>35417</v>
      </c>
      <c r="V2859" t="s">
        <v>22</v>
      </c>
    </row>
    <row r="2860" spans="1:22">
      <c r="A2860" t="str">
        <f t="shared" si="534"/>
        <v>18/03/2026</v>
      </c>
      <c r="B2860" t="str">
        <f>"SAÍDA"</f>
        <v>SAÍDA</v>
      </c>
      <c r="C2860" t="str">
        <f>"PIX"</f>
        <v>PIX</v>
      </c>
      <c r="D2860" t="str">
        <f>"35032"</f>
        <v>35032</v>
      </c>
      <c r="E2860" t="str">
        <f>"1"</f>
        <v>1</v>
      </c>
      <c r="F2860" t="str">
        <f t="shared" si="530"/>
        <v>COM</v>
      </c>
      <c r="G2860" t="str">
        <f>"MANOEL DE JESUS ALMEIDA (1017)"</f>
        <v>MANOEL DE JESUS ALMEIDA (1017)</v>
      </c>
      <c r="H2860" t="s">
        <v>889</v>
      </c>
      <c r="I2860" t="str">
        <f t="shared" si="535"/>
        <v>19/03/2026</v>
      </c>
      <c r="J2860" t="str">
        <f>("17/03/2026")</f>
        <v>17/03/2026</v>
      </c>
      <c r="K2860">
        <v>46099</v>
      </c>
      <c r="N2860">
        <v>109</v>
      </c>
      <c r="O2860" t="s">
        <v>27</v>
      </c>
      <c r="Q2860">
        <v>20</v>
      </c>
      <c r="R2860" t="str">
        <f>"PENSE FARMA 27 (10204)"</f>
        <v>PENSE FARMA 27 (10204)</v>
      </c>
      <c r="S2860" t="s">
        <v>22</v>
      </c>
      <c r="T2860">
        <v>31152</v>
      </c>
      <c r="U2860">
        <v>35417</v>
      </c>
      <c r="V2860" t="s">
        <v>22</v>
      </c>
    </row>
    <row r="2861" spans="1:22">
      <c r="A2861" t="str">
        <f t="shared" si="534"/>
        <v>18/03/2026</v>
      </c>
      <c r="B2861" t="str">
        <f>"SAÍDA"</f>
        <v>SAÍDA</v>
      </c>
      <c r="C2861" t="str">
        <f>"PIX"</f>
        <v>PIX</v>
      </c>
      <c r="D2861" t="str">
        <f>"34513"</f>
        <v>34513</v>
      </c>
      <c r="E2861" t="str">
        <f>"1"</f>
        <v>1</v>
      </c>
      <c r="F2861" t="str">
        <f t="shared" si="530"/>
        <v>COM</v>
      </c>
      <c r="G2861" t="str">
        <f t="shared" ref="G2861:G2868" si="536">"MARCELO RODRIGUES DA SILVA (1194)"</f>
        <v>MARCELO RODRIGUES DA SILVA (1194)</v>
      </c>
      <c r="H2861" t="str">
        <f>"Serv.Prest. 02/03/2026 a 08/03/2026 - PIX: CELULAR - CHAVE: (73) 99178-4624"</f>
        <v>Serv.Prest. 02/03/2026 a 08/03/2026 - PIX: CELULAR - CHAVE: (73) 99178-4624</v>
      </c>
      <c r="I2861" t="str">
        <f t="shared" si="535"/>
        <v>19/03/2026</v>
      </c>
      <c r="J2861" t="str">
        <f>("10/03/2026")</f>
        <v>10/03/2026</v>
      </c>
      <c r="K2861" t="str">
        <f>("18/03/2026")</f>
        <v>18/03/2026</v>
      </c>
      <c r="L2861">
        <v>20</v>
      </c>
      <c r="M2861">
        <v>20</v>
      </c>
      <c r="N2861">
        <v>109</v>
      </c>
      <c r="O2861" t="str">
        <f>"PAGAMENTO DE ENTREGADORES"</f>
        <v>PAGAMENTO DE ENTREGADORES</v>
      </c>
      <c r="P2861">
        <v>20</v>
      </c>
      <c r="S2861" t="str">
        <f>"CAIXA MOVIMENTAÇÃO OPERACIONAL (132)"</f>
        <v>CAIXA MOVIMENTAÇÃO OPERACIONAL (132)</v>
      </c>
      <c r="T2861">
        <v>31153</v>
      </c>
      <c r="U2861">
        <v>35421</v>
      </c>
      <c r="V2861" t="s">
        <v>22</v>
      </c>
    </row>
    <row r="2862" spans="1:22">
      <c r="A2862" t="str">
        <f t="shared" si="534"/>
        <v>18/03/2026</v>
      </c>
      <c r="B2862" t="str">
        <f>"SAÍDA"</f>
        <v>SAÍDA</v>
      </c>
      <c r="C2862" t="str">
        <f>"PIX"</f>
        <v>PIX</v>
      </c>
      <c r="D2862" t="str">
        <f>"34513"</f>
        <v>34513</v>
      </c>
      <c r="E2862" t="str">
        <f>"1"</f>
        <v>1</v>
      </c>
      <c r="F2862" t="str">
        <f t="shared" si="530"/>
        <v>COM</v>
      </c>
      <c r="G2862" t="str">
        <f t="shared" si="536"/>
        <v>MARCELO RODRIGUES DA SILVA (1194)</v>
      </c>
      <c r="H2862" t="s">
        <v>890</v>
      </c>
      <c r="I2862" t="str">
        <f t="shared" si="535"/>
        <v>19/03/2026</v>
      </c>
      <c r="J2862" t="str">
        <f>("10/03/2026")</f>
        <v>10/03/2026</v>
      </c>
      <c r="K2862">
        <v>46099</v>
      </c>
      <c r="N2862">
        <v>109</v>
      </c>
      <c r="O2862" t="s">
        <v>27</v>
      </c>
      <c r="Q2862">
        <v>20</v>
      </c>
      <c r="R2862" t="str">
        <f>"FARMÁCIA INDIANA LJ 145 (10068)"</f>
        <v>FARMÁCIA INDIANA LJ 145 (10068)</v>
      </c>
      <c r="S2862" t="s">
        <v>22</v>
      </c>
      <c r="T2862">
        <v>31153</v>
      </c>
      <c r="U2862">
        <v>35421</v>
      </c>
      <c r="V2862" t="s">
        <v>22</v>
      </c>
    </row>
    <row r="2863" spans="1:22">
      <c r="A2863" t="str">
        <f t="shared" si="534"/>
        <v>18/03/2026</v>
      </c>
      <c r="B2863" t="str">
        <f>"ENTRADA"</f>
        <v>ENTRADA</v>
      </c>
      <c r="C2863" t="str">
        <f>"DINHEIRO"</f>
        <v>DINHEIRO</v>
      </c>
      <c r="D2863" t="str">
        <f>"19032026"</f>
        <v>19032026</v>
      </c>
      <c r="E2863" t="str">
        <f>""</f>
        <v/>
      </c>
      <c r="F2863" t="str">
        <f t="shared" si="530"/>
        <v>COM</v>
      </c>
      <c r="G2863" t="str">
        <f t="shared" si="536"/>
        <v>MARCELO RODRIGUES DA SILVA (1194)</v>
      </c>
      <c r="H2863" t="str">
        <f>"REEMBOLSO UNIFORMES"</f>
        <v>REEMBOLSO UNIFORMES</v>
      </c>
      <c r="I2863" t="str">
        <f t="shared" si="535"/>
        <v>19/03/2026</v>
      </c>
      <c r="J2863" t="str">
        <f>("18/03/2026")</f>
        <v>18/03/2026</v>
      </c>
      <c r="K2863" t="str">
        <f>("18/03/2026")</f>
        <v>18/03/2026</v>
      </c>
      <c r="L2863">
        <v>20</v>
      </c>
      <c r="M2863">
        <v>20</v>
      </c>
      <c r="N2863">
        <v>108</v>
      </c>
      <c r="O2863" t="str">
        <f>"RECEITAS COM REEMBOLSOS"</f>
        <v>RECEITAS COM REEMBOLSOS</v>
      </c>
      <c r="P2863">
        <v>20</v>
      </c>
      <c r="S2863" t="str">
        <f>"RECEITAS COM REEMBOLSOS (108)"</f>
        <v>RECEITAS COM REEMBOLSOS (108)</v>
      </c>
      <c r="T2863">
        <v>31154</v>
      </c>
      <c r="U2863">
        <v>35418</v>
      </c>
      <c r="V2863" t="s">
        <v>22</v>
      </c>
    </row>
    <row r="2864" spans="1:22">
      <c r="A2864" t="str">
        <f t="shared" si="534"/>
        <v>18/03/2026</v>
      </c>
      <c r="B2864" t="str">
        <f>"ENTRADA"</f>
        <v>ENTRADA</v>
      </c>
      <c r="C2864" t="str">
        <f>"DINHEIRO"</f>
        <v>DINHEIRO</v>
      </c>
      <c r="D2864" t="str">
        <f>"19032026"</f>
        <v>19032026</v>
      </c>
      <c r="E2864" t="str">
        <f>""</f>
        <v/>
      </c>
      <c r="F2864" t="str">
        <f t="shared" si="530"/>
        <v>COM</v>
      </c>
      <c r="G2864" t="str">
        <f t="shared" si="536"/>
        <v>MARCELO RODRIGUES DA SILVA (1194)</v>
      </c>
      <c r="H2864" t="s">
        <v>876</v>
      </c>
      <c r="I2864" t="str">
        <f t="shared" si="535"/>
        <v>19/03/2026</v>
      </c>
      <c r="J2864" t="str">
        <f>("18/03/2026")</f>
        <v>18/03/2026</v>
      </c>
      <c r="K2864">
        <v>46099</v>
      </c>
      <c r="N2864">
        <v>108</v>
      </c>
      <c r="O2864" t="s">
        <v>871</v>
      </c>
      <c r="Q2864">
        <v>20</v>
      </c>
      <c r="R2864" t="str">
        <f>"FARMÁCIA INDIANA LJ 155 (10273)"</f>
        <v>FARMÁCIA INDIANA LJ 155 (10273)</v>
      </c>
      <c r="S2864" t="s">
        <v>872</v>
      </c>
      <c r="T2864">
        <v>31154</v>
      </c>
      <c r="U2864">
        <v>35418</v>
      </c>
      <c r="V2864" t="s">
        <v>22</v>
      </c>
    </row>
    <row r="2865" spans="1:22">
      <c r="A2865" t="str">
        <f t="shared" si="534"/>
        <v>18/03/2026</v>
      </c>
      <c r="B2865" t="str">
        <f>"SAÍDA"</f>
        <v>SAÍDA</v>
      </c>
      <c r="C2865" t="str">
        <f>"PIX"</f>
        <v>PIX</v>
      </c>
      <c r="D2865" t="str">
        <f>"35168"</f>
        <v>35168</v>
      </c>
      <c r="E2865" t="str">
        <f>"1"</f>
        <v>1</v>
      </c>
      <c r="F2865" t="str">
        <f t="shared" si="530"/>
        <v>COM</v>
      </c>
      <c r="G2865" t="str">
        <f t="shared" si="536"/>
        <v>MARCELO RODRIGUES DA SILVA (1194)</v>
      </c>
      <c r="H2865" t="str">
        <f>"Serv.Prest. 09/03/2026 a 15/03/2026 - PIX: CELULAR - CHAVE: (73) 99178-4624"</f>
        <v>Serv.Prest. 09/03/2026 a 15/03/2026 - PIX: CELULAR - CHAVE: (73) 99178-4624</v>
      </c>
      <c r="I2865" t="str">
        <f>("26/03/2026")</f>
        <v>26/03/2026</v>
      </c>
      <c r="J2865" t="str">
        <f>("17/03/2026")</f>
        <v>17/03/2026</v>
      </c>
      <c r="K2865" t="str">
        <f>("18/03/2026")</f>
        <v>18/03/2026</v>
      </c>
      <c r="L2865">
        <v>20</v>
      </c>
      <c r="M2865">
        <v>20</v>
      </c>
      <c r="N2865">
        <v>109</v>
      </c>
      <c r="O2865" t="str">
        <f>"PAGAMENTO DE ENTREGADORES"</f>
        <v>PAGAMENTO DE ENTREGADORES</v>
      </c>
      <c r="P2865">
        <v>20</v>
      </c>
      <c r="S2865" t="str">
        <f>"CAIXA MOVIMENTAÇÃO OPERACIONAL (132)"</f>
        <v>CAIXA MOVIMENTAÇÃO OPERACIONAL (132)</v>
      </c>
      <c r="T2865">
        <v>31155</v>
      </c>
      <c r="U2865">
        <v>35422</v>
      </c>
      <c r="V2865" t="s">
        <v>22</v>
      </c>
    </row>
    <row r="2866" spans="1:22">
      <c r="A2866" t="str">
        <f t="shared" si="534"/>
        <v>18/03/2026</v>
      </c>
      <c r="B2866" t="str">
        <f>"SAÍDA"</f>
        <v>SAÍDA</v>
      </c>
      <c r="C2866" t="str">
        <f>"PIX"</f>
        <v>PIX</v>
      </c>
      <c r="D2866" t="str">
        <f>"35168"</f>
        <v>35168</v>
      </c>
      <c r="E2866" t="str">
        <f>"1"</f>
        <v>1</v>
      </c>
      <c r="F2866" t="str">
        <f t="shared" si="530"/>
        <v>COM</v>
      </c>
      <c r="G2866" t="str">
        <f t="shared" si="536"/>
        <v>MARCELO RODRIGUES DA SILVA (1194)</v>
      </c>
      <c r="H2866" t="s">
        <v>891</v>
      </c>
      <c r="I2866" t="str">
        <f>("26/03/2026")</f>
        <v>26/03/2026</v>
      </c>
      <c r="J2866" t="str">
        <f>("17/03/2026")</f>
        <v>17/03/2026</v>
      </c>
      <c r="K2866">
        <v>46099</v>
      </c>
      <c r="N2866">
        <v>109</v>
      </c>
      <c r="O2866" t="s">
        <v>27</v>
      </c>
      <c r="Q2866">
        <v>20</v>
      </c>
      <c r="R2866" t="str">
        <f>"FARMÁCIA INDIANA LJ 145 (10068)"</f>
        <v>FARMÁCIA INDIANA LJ 145 (10068)</v>
      </c>
      <c r="S2866" t="s">
        <v>22</v>
      </c>
      <c r="T2866">
        <v>31155</v>
      </c>
      <c r="U2866">
        <v>35422</v>
      </c>
      <c r="V2866" t="s">
        <v>22</v>
      </c>
    </row>
    <row r="2867" spans="1:22">
      <c r="A2867" t="str">
        <f t="shared" si="534"/>
        <v>18/03/2026</v>
      </c>
      <c r="B2867" t="str">
        <f>"ENTRADA"</f>
        <v>ENTRADA</v>
      </c>
      <c r="C2867" t="str">
        <f>"DINHEIRO"</f>
        <v>DINHEIRO</v>
      </c>
      <c r="D2867" t="str">
        <f>"19032026"</f>
        <v>19032026</v>
      </c>
      <c r="E2867" t="str">
        <f>"2"</f>
        <v>2</v>
      </c>
      <c r="F2867" t="str">
        <f t="shared" si="530"/>
        <v>COM</v>
      </c>
      <c r="G2867" t="str">
        <f t="shared" si="536"/>
        <v>MARCELO RODRIGUES DA SILVA (1194)</v>
      </c>
      <c r="H2867" t="str">
        <f>"REEMBOLSO UNIFORMES"</f>
        <v>REEMBOLSO UNIFORMES</v>
      </c>
      <c r="I2867" t="str">
        <f>("26/03/2026")</f>
        <v>26/03/2026</v>
      </c>
      <c r="J2867" t="str">
        <f>("18/03/2026")</f>
        <v>18/03/2026</v>
      </c>
      <c r="K2867" t="str">
        <f>("18/03/2026")</f>
        <v>18/03/2026</v>
      </c>
      <c r="L2867">
        <v>20</v>
      </c>
      <c r="M2867">
        <v>20</v>
      </c>
      <c r="N2867">
        <v>108</v>
      </c>
      <c r="O2867" t="str">
        <f>"RECEITAS COM REEMBOLSOS"</f>
        <v>RECEITAS COM REEMBOLSOS</v>
      </c>
      <c r="P2867">
        <v>20</v>
      </c>
      <c r="S2867" t="str">
        <f>"RECEITAS COM REEMBOLSOS (108)"</f>
        <v>RECEITAS COM REEMBOLSOS (108)</v>
      </c>
      <c r="T2867">
        <v>31156</v>
      </c>
      <c r="U2867">
        <v>35419</v>
      </c>
      <c r="V2867" t="s">
        <v>22</v>
      </c>
    </row>
    <row r="2868" spans="1:22">
      <c r="A2868" t="str">
        <f t="shared" si="534"/>
        <v>18/03/2026</v>
      </c>
      <c r="B2868" t="str">
        <f>"ENTRADA"</f>
        <v>ENTRADA</v>
      </c>
      <c r="C2868" t="str">
        <f>"DINHEIRO"</f>
        <v>DINHEIRO</v>
      </c>
      <c r="D2868" t="str">
        <f>"19032026"</f>
        <v>19032026</v>
      </c>
      <c r="E2868" t="str">
        <f>"2"</f>
        <v>2</v>
      </c>
      <c r="F2868" t="str">
        <f t="shared" si="530"/>
        <v>COM</v>
      </c>
      <c r="G2868" t="str">
        <f t="shared" si="536"/>
        <v>MARCELO RODRIGUES DA SILVA (1194)</v>
      </c>
      <c r="H2868" t="s">
        <v>876</v>
      </c>
      <c r="I2868" t="str">
        <f>("26/03/2026")</f>
        <v>26/03/2026</v>
      </c>
      <c r="J2868" t="str">
        <f>("18/03/2026")</f>
        <v>18/03/2026</v>
      </c>
      <c r="K2868">
        <v>46099</v>
      </c>
      <c r="N2868">
        <v>108</v>
      </c>
      <c r="O2868" t="s">
        <v>871</v>
      </c>
      <c r="Q2868">
        <v>20</v>
      </c>
      <c r="R2868" t="str">
        <f>"FARMÁCIA INDIANA LJ 155 (10273)"</f>
        <v>FARMÁCIA INDIANA LJ 155 (10273)</v>
      </c>
      <c r="S2868" t="s">
        <v>872</v>
      </c>
      <c r="T2868">
        <v>31156</v>
      </c>
      <c r="U2868">
        <v>35419</v>
      </c>
      <c r="V2868" t="s">
        <v>22</v>
      </c>
    </row>
    <row r="2869" spans="1:22">
      <c r="A2869" t="str">
        <f t="shared" si="534"/>
        <v>18/03/2026</v>
      </c>
      <c r="B2869" t="str">
        <f>"ENTRADA"</f>
        <v>ENTRADA</v>
      </c>
      <c r="C2869" t="str">
        <f>"DINHEIRO"</f>
        <v>DINHEIRO</v>
      </c>
      <c r="D2869" t="str">
        <f>"19032026"</f>
        <v>19032026</v>
      </c>
      <c r="E2869" t="str">
        <f>""</f>
        <v/>
      </c>
      <c r="F2869" t="str">
        <f t="shared" si="530"/>
        <v>COM</v>
      </c>
      <c r="G2869" t="str">
        <f>"MARCOS DUARTE CARVALHO (998)"</f>
        <v>MARCOS DUARTE CARVALHO (998)</v>
      </c>
      <c r="H2869" t="str">
        <f>"REEMBOLSO UNIFORMES"</f>
        <v>REEMBOLSO UNIFORMES</v>
      </c>
      <c r="I2869" t="str">
        <f t="shared" ref="I2869:I2888" si="537">("19/03/2026")</f>
        <v>19/03/2026</v>
      </c>
      <c r="J2869" t="str">
        <f>("18/03/2026")</f>
        <v>18/03/2026</v>
      </c>
      <c r="K2869" t="str">
        <f>("18/03/2026")</f>
        <v>18/03/2026</v>
      </c>
      <c r="L2869">
        <v>40</v>
      </c>
      <c r="M2869">
        <v>40</v>
      </c>
      <c r="N2869">
        <v>108</v>
      </c>
      <c r="O2869" t="str">
        <f>"RECEITAS COM REEMBOLSOS"</f>
        <v>RECEITAS COM REEMBOLSOS</v>
      </c>
      <c r="P2869">
        <v>40</v>
      </c>
      <c r="S2869" t="str">
        <f>"RECEITAS COM REEMBOLSOS (108)"</f>
        <v>RECEITAS COM REEMBOLSOS (108)</v>
      </c>
      <c r="T2869">
        <v>31157</v>
      </c>
      <c r="U2869">
        <v>35423</v>
      </c>
      <c r="V2869" t="s">
        <v>22</v>
      </c>
    </row>
    <row r="2870" spans="1:22">
      <c r="A2870" t="str">
        <f t="shared" si="534"/>
        <v>18/03/2026</v>
      </c>
      <c r="B2870" t="str">
        <f>"ENTRADA"</f>
        <v>ENTRADA</v>
      </c>
      <c r="C2870" t="str">
        <f>"DINHEIRO"</f>
        <v>DINHEIRO</v>
      </c>
      <c r="D2870" t="str">
        <f>"19032026"</f>
        <v>19032026</v>
      </c>
      <c r="E2870" t="str">
        <f>""</f>
        <v/>
      </c>
      <c r="F2870" t="str">
        <f t="shared" si="530"/>
        <v>COM</v>
      </c>
      <c r="G2870" t="str">
        <f>"MARCOS DUARTE CARVALHO (998)"</f>
        <v>MARCOS DUARTE CARVALHO (998)</v>
      </c>
      <c r="H2870" t="s">
        <v>876</v>
      </c>
      <c r="I2870" t="str">
        <f t="shared" si="537"/>
        <v>19/03/2026</v>
      </c>
      <c r="J2870" t="str">
        <f>("18/03/2026")</f>
        <v>18/03/2026</v>
      </c>
      <c r="K2870">
        <v>46099</v>
      </c>
      <c r="N2870">
        <v>108</v>
      </c>
      <c r="O2870" t="s">
        <v>871</v>
      </c>
      <c r="Q2870">
        <v>40</v>
      </c>
      <c r="R2870" t="str">
        <f>"PENSE FARMA 09 (10218)"</f>
        <v>PENSE FARMA 09 (10218)</v>
      </c>
      <c r="S2870" t="s">
        <v>872</v>
      </c>
      <c r="T2870">
        <v>31157</v>
      </c>
      <c r="U2870">
        <v>35423</v>
      </c>
      <c r="V2870" t="s">
        <v>22</v>
      </c>
    </row>
    <row r="2871" spans="1:22">
      <c r="A2871" t="str">
        <f t="shared" si="534"/>
        <v>18/03/2026</v>
      </c>
      <c r="B2871" t="str">
        <f>"SAÍDA"</f>
        <v>SAÍDA</v>
      </c>
      <c r="C2871" t="str">
        <f>"PIX"</f>
        <v>PIX</v>
      </c>
      <c r="D2871" t="str">
        <f>"35001"</f>
        <v>35001</v>
      </c>
      <c r="E2871" t="str">
        <f>"1"</f>
        <v>1</v>
      </c>
      <c r="F2871" t="str">
        <f t="shared" si="530"/>
        <v>COM</v>
      </c>
      <c r="G2871" t="str">
        <f>"MARCOS DUARTE CARVALHO (998)"</f>
        <v>MARCOS DUARTE CARVALHO (998)</v>
      </c>
      <c r="H2871" t="str">
        <f>"Serv.Prest. 09/03/2026 a 15/03/2026 - PIX: CPF - CHAVE: 396.877.618-65"</f>
        <v>Serv.Prest. 09/03/2026 a 15/03/2026 - PIX: CPF - CHAVE: 396.877.618-65</v>
      </c>
      <c r="I2871" t="str">
        <f t="shared" si="537"/>
        <v>19/03/2026</v>
      </c>
      <c r="J2871" t="str">
        <f>("17/03/2026")</f>
        <v>17/03/2026</v>
      </c>
      <c r="K2871" t="str">
        <f>("18/03/2026")</f>
        <v>18/03/2026</v>
      </c>
      <c r="L2871">
        <v>40</v>
      </c>
      <c r="M2871">
        <v>40</v>
      </c>
      <c r="N2871">
        <v>109</v>
      </c>
      <c r="O2871" t="str">
        <f>"PAGAMENTO DE ENTREGADORES"</f>
        <v>PAGAMENTO DE ENTREGADORES</v>
      </c>
      <c r="P2871">
        <v>40</v>
      </c>
      <c r="S2871" t="str">
        <f>"CAIXA MOVIMENTAÇÃO OPERACIONAL (132)"</f>
        <v>CAIXA MOVIMENTAÇÃO OPERACIONAL (132)</v>
      </c>
      <c r="T2871">
        <v>31158</v>
      </c>
      <c r="U2871">
        <v>35424</v>
      </c>
      <c r="V2871" t="s">
        <v>22</v>
      </c>
    </row>
    <row r="2872" spans="1:22">
      <c r="A2872" t="str">
        <f t="shared" si="534"/>
        <v>18/03/2026</v>
      </c>
      <c r="B2872" t="str">
        <f>"SAÍDA"</f>
        <v>SAÍDA</v>
      </c>
      <c r="C2872" t="str">
        <f>"PIX"</f>
        <v>PIX</v>
      </c>
      <c r="D2872" t="str">
        <f>"35001"</f>
        <v>35001</v>
      </c>
      <c r="E2872" t="str">
        <f>"1"</f>
        <v>1</v>
      </c>
      <c r="F2872" t="str">
        <f t="shared" si="530"/>
        <v>COM</v>
      </c>
      <c r="G2872" t="str">
        <f>"MARCOS DUARTE CARVALHO (998)"</f>
        <v>MARCOS DUARTE CARVALHO (998)</v>
      </c>
      <c r="H2872" t="s">
        <v>892</v>
      </c>
      <c r="I2872" t="str">
        <f t="shared" si="537"/>
        <v>19/03/2026</v>
      </c>
      <c r="J2872" t="str">
        <f>("17/03/2026")</f>
        <v>17/03/2026</v>
      </c>
      <c r="K2872">
        <v>46099</v>
      </c>
      <c r="N2872">
        <v>109</v>
      </c>
      <c r="O2872" t="s">
        <v>27</v>
      </c>
      <c r="Q2872">
        <v>40</v>
      </c>
      <c r="R2872" t="str">
        <f>"PENSE FARMA 09 (10218)"</f>
        <v>PENSE FARMA 09 (10218)</v>
      </c>
      <c r="S2872" t="s">
        <v>22</v>
      </c>
      <c r="T2872">
        <v>31158</v>
      </c>
      <c r="U2872">
        <v>35424</v>
      </c>
      <c r="V2872" t="s">
        <v>22</v>
      </c>
    </row>
    <row r="2873" spans="1:22">
      <c r="A2873" t="str">
        <f t="shared" si="534"/>
        <v>18/03/2026</v>
      </c>
      <c r="B2873" t="str">
        <f>"ENTRADA"</f>
        <v>ENTRADA</v>
      </c>
      <c r="C2873" t="str">
        <f>"DINHEIRO"</f>
        <v>DINHEIRO</v>
      </c>
      <c r="D2873" t="str">
        <f>"19032026"</f>
        <v>19032026</v>
      </c>
      <c r="E2873" t="str">
        <f>""</f>
        <v/>
      </c>
      <c r="F2873" t="str">
        <f t="shared" si="530"/>
        <v>COM</v>
      </c>
      <c r="G2873" t="str">
        <f>"MARCOS RODRIGUES PENA (64)"</f>
        <v>MARCOS RODRIGUES PENA (64)</v>
      </c>
      <c r="H2873" t="str">
        <f>"REEMBOLSO UNIFORMES"</f>
        <v>REEMBOLSO UNIFORMES</v>
      </c>
      <c r="I2873" t="str">
        <f t="shared" si="537"/>
        <v>19/03/2026</v>
      </c>
      <c r="J2873" t="str">
        <f>("18/03/2026")</f>
        <v>18/03/2026</v>
      </c>
      <c r="K2873" t="str">
        <f>("18/03/2026")</f>
        <v>18/03/2026</v>
      </c>
      <c r="L2873">
        <v>40</v>
      </c>
      <c r="M2873">
        <v>40</v>
      </c>
      <c r="N2873">
        <v>108</v>
      </c>
      <c r="O2873" t="str">
        <f>"RECEITAS COM REEMBOLSOS"</f>
        <v>RECEITAS COM REEMBOLSOS</v>
      </c>
      <c r="P2873">
        <v>40</v>
      </c>
      <c r="S2873" t="str">
        <f>"RECEITAS COM REEMBOLSOS (108)"</f>
        <v>RECEITAS COM REEMBOLSOS (108)</v>
      </c>
      <c r="T2873">
        <v>31159</v>
      </c>
      <c r="U2873">
        <v>35425</v>
      </c>
      <c r="V2873" t="s">
        <v>22</v>
      </c>
    </row>
    <row r="2874" spans="1:22">
      <c r="A2874" t="str">
        <f t="shared" si="534"/>
        <v>18/03/2026</v>
      </c>
      <c r="B2874" t="str">
        <f>"ENTRADA"</f>
        <v>ENTRADA</v>
      </c>
      <c r="C2874" t="str">
        <f>"DINHEIRO"</f>
        <v>DINHEIRO</v>
      </c>
      <c r="D2874" t="str">
        <f>"19032026"</f>
        <v>19032026</v>
      </c>
      <c r="E2874" t="str">
        <f>""</f>
        <v/>
      </c>
      <c r="F2874" t="str">
        <f t="shared" si="530"/>
        <v>COM</v>
      </c>
      <c r="G2874" t="str">
        <f>"MARCOS RODRIGUES PENA (64)"</f>
        <v>MARCOS RODRIGUES PENA (64)</v>
      </c>
      <c r="H2874" t="s">
        <v>876</v>
      </c>
      <c r="I2874" t="str">
        <f t="shared" si="537"/>
        <v>19/03/2026</v>
      </c>
      <c r="J2874" t="str">
        <f>("18/03/2026")</f>
        <v>18/03/2026</v>
      </c>
      <c r="K2874">
        <v>46099</v>
      </c>
      <c r="N2874">
        <v>108</v>
      </c>
      <c r="O2874" t="s">
        <v>871</v>
      </c>
      <c r="Q2874">
        <v>40</v>
      </c>
      <c r="R2874" t="str">
        <f>"FARMÁCIA INDIANA LJ 40 (10016)"</f>
        <v>FARMÁCIA INDIANA LJ 40 (10016)</v>
      </c>
      <c r="S2874" t="s">
        <v>872</v>
      </c>
      <c r="T2874">
        <v>31159</v>
      </c>
      <c r="U2874">
        <v>35425</v>
      </c>
      <c r="V2874" t="s">
        <v>22</v>
      </c>
    </row>
    <row r="2875" spans="1:22">
      <c r="A2875" t="str">
        <f t="shared" si="534"/>
        <v>18/03/2026</v>
      </c>
      <c r="B2875" t="str">
        <f>"SAÍDA"</f>
        <v>SAÍDA</v>
      </c>
      <c r="C2875" t="str">
        <f>"PIX"</f>
        <v>PIX</v>
      </c>
      <c r="D2875" t="str">
        <f>"34609"</f>
        <v>34609</v>
      </c>
      <c r="E2875" t="str">
        <f>"1"</f>
        <v>1</v>
      </c>
      <c r="F2875" t="str">
        <f t="shared" si="530"/>
        <v>COM</v>
      </c>
      <c r="G2875" t="str">
        <f>"MARCOS RODRIGUES PENA (64)"</f>
        <v>MARCOS RODRIGUES PENA (64)</v>
      </c>
      <c r="H2875" t="str">
        <f>"Serv.Prest. 02/03/2026 a 08/03/2026 - PIX: CELULAR - CHAVE: (33) 99194-2339"</f>
        <v>Serv.Prest. 02/03/2026 a 08/03/2026 - PIX: CELULAR - CHAVE: (33) 99194-2339</v>
      </c>
      <c r="I2875" t="str">
        <f t="shared" si="537"/>
        <v>19/03/2026</v>
      </c>
      <c r="J2875" t="str">
        <f>("10/03/2026")</f>
        <v>10/03/2026</v>
      </c>
      <c r="K2875" t="str">
        <f>("18/03/2026")</f>
        <v>18/03/2026</v>
      </c>
      <c r="L2875">
        <v>40</v>
      </c>
      <c r="M2875">
        <v>40</v>
      </c>
      <c r="N2875">
        <v>109</v>
      </c>
      <c r="O2875" t="str">
        <f>"PAGAMENTO DE ENTREGADORES"</f>
        <v>PAGAMENTO DE ENTREGADORES</v>
      </c>
      <c r="P2875">
        <v>40</v>
      </c>
      <c r="S2875" t="str">
        <f>"CAIXA MOVIMENTAÇÃO OPERACIONAL (132)"</f>
        <v>CAIXA MOVIMENTAÇÃO OPERACIONAL (132)</v>
      </c>
      <c r="T2875">
        <v>31160</v>
      </c>
      <c r="U2875">
        <v>35426</v>
      </c>
      <c r="V2875" t="s">
        <v>22</v>
      </c>
    </row>
    <row r="2876" spans="1:22">
      <c r="A2876" t="str">
        <f t="shared" si="534"/>
        <v>18/03/2026</v>
      </c>
      <c r="B2876" t="str">
        <f>"SAÍDA"</f>
        <v>SAÍDA</v>
      </c>
      <c r="C2876" t="str">
        <f>"PIX"</f>
        <v>PIX</v>
      </c>
      <c r="D2876" t="str">
        <f>"34609"</f>
        <v>34609</v>
      </c>
      <c r="E2876" t="str">
        <f>"1"</f>
        <v>1</v>
      </c>
      <c r="F2876" t="str">
        <f t="shared" si="530"/>
        <v>COM</v>
      </c>
      <c r="G2876" t="str">
        <f>"MARCOS RODRIGUES PENA (64)"</f>
        <v>MARCOS RODRIGUES PENA (64)</v>
      </c>
      <c r="H2876" t="s">
        <v>893</v>
      </c>
      <c r="I2876" t="str">
        <f t="shared" si="537"/>
        <v>19/03/2026</v>
      </c>
      <c r="J2876" t="str">
        <f>("10/03/2026")</f>
        <v>10/03/2026</v>
      </c>
      <c r="K2876">
        <v>46099</v>
      </c>
      <c r="N2876">
        <v>109</v>
      </c>
      <c r="O2876" t="s">
        <v>27</v>
      </c>
      <c r="Q2876">
        <v>40</v>
      </c>
      <c r="R2876" t="str">
        <f>"FARMÁCIA INDIANA LJ 62 (10028)"</f>
        <v>FARMÁCIA INDIANA LJ 62 (10028)</v>
      </c>
      <c r="S2876" t="s">
        <v>22</v>
      </c>
      <c r="T2876">
        <v>31160</v>
      </c>
      <c r="U2876">
        <v>35426</v>
      </c>
      <c r="V2876" t="s">
        <v>22</v>
      </c>
    </row>
    <row r="2877" spans="1:22">
      <c r="A2877" t="str">
        <f t="shared" si="534"/>
        <v>18/03/2026</v>
      </c>
      <c r="B2877" t="str">
        <f>"ENTRADA"</f>
        <v>ENTRADA</v>
      </c>
      <c r="C2877" t="str">
        <f>"DINHEIRO"</f>
        <v>DINHEIRO</v>
      </c>
      <c r="D2877" t="str">
        <f>"19032026"</f>
        <v>19032026</v>
      </c>
      <c r="E2877" t="str">
        <f>""</f>
        <v/>
      </c>
      <c r="F2877" t="str">
        <f t="shared" si="530"/>
        <v>COM</v>
      </c>
      <c r="G2877" t="str">
        <f>"MARCOS VINICIUS CORREIA JULI??O (1001)"</f>
        <v>MARCOS VINICIUS CORREIA JULI??O (1001)</v>
      </c>
      <c r="H2877" t="str">
        <f>"REEMBOLSO UNIFORMES"</f>
        <v>REEMBOLSO UNIFORMES</v>
      </c>
      <c r="I2877" t="str">
        <f t="shared" si="537"/>
        <v>19/03/2026</v>
      </c>
      <c r="J2877" t="str">
        <f>("18/03/2026")</f>
        <v>18/03/2026</v>
      </c>
      <c r="K2877" t="str">
        <f>("18/03/2026")</f>
        <v>18/03/2026</v>
      </c>
      <c r="L2877">
        <v>20</v>
      </c>
      <c r="M2877">
        <v>20</v>
      </c>
      <c r="N2877">
        <v>108</v>
      </c>
      <c r="O2877" t="str">
        <f>"RECEITAS COM REEMBOLSOS"</f>
        <v>RECEITAS COM REEMBOLSOS</v>
      </c>
      <c r="P2877">
        <v>20</v>
      </c>
      <c r="S2877" t="str">
        <f>"RECEITAS COM REEMBOLSOS (108)"</f>
        <v>RECEITAS COM REEMBOLSOS (108)</v>
      </c>
      <c r="T2877">
        <v>31161</v>
      </c>
      <c r="U2877">
        <v>35427</v>
      </c>
      <c r="V2877" t="s">
        <v>22</v>
      </c>
    </row>
    <row r="2878" spans="1:22">
      <c r="A2878" t="str">
        <f t="shared" si="534"/>
        <v>18/03/2026</v>
      </c>
      <c r="B2878" t="str">
        <f>"ENTRADA"</f>
        <v>ENTRADA</v>
      </c>
      <c r="C2878" t="str">
        <f>"DINHEIRO"</f>
        <v>DINHEIRO</v>
      </c>
      <c r="D2878" t="str">
        <f>"19032026"</f>
        <v>19032026</v>
      </c>
      <c r="E2878" t="str">
        <f>""</f>
        <v/>
      </c>
      <c r="F2878" t="str">
        <f t="shared" si="530"/>
        <v>COM</v>
      </c>
      <c r="G2878" t="str">
        <f>"MARCOS VINICIUS CORREIA JULI??O (1001)"</f>
        <v>MARCOS VINICIUS CORREIA JULI??O (1001)</v>
      </c>
      <c r="H2878" t="s">
        <v>876</v>
      </c>
      <c r="I2878" t="str">
        <f t="shared" si="537"/>
        <v>19/03/2026</v>
      </c>
      <c r="J2878" t="str">
        <f>("18/03/2026")</f>
        <v>18/03/2026</v>
      </c>
      <c r="K2878">
        <v>46099</v>
      </c>
      <c r="N2878">
        <v>108</v>
      </c>
      <c r="O2878" t="s">
        <v>871</v>
      </c>
      <c r="Q2878">
        <v>20</v>
      </c>
      <c r="R2878" t="str">
        <f>"PENSE FARMA 44 (10231)"</f>
        <v>PENSE FARMA 44 (10231)</v>
      </c>
      <c r="S2878" t="s">
        <v>872</v>
      </c>
      <c r="T2878">
        <v>31161</v>
      </c>
      <c r="U2878">
        <v>35427</v>
      </c>
      <c r="V2878" t="s">
        <v>22</v>
      </c>
    </row>
    <row r="2879" spans="1:22">
      <c r="A2879" t="str">
        <f t="shared" si="534"/>
        <v>18/03/2026</v>
      </c>
      <c r="B2879" t="str">
        <f>"SAÍDA"</f>
        <v>SAÍDA</v>
      </c>
      <c r="C2879" t="str">
        <f>"PIX"</f>
        <v>PIX</v>
      </c>
      <c r="D2879" t="str">
        <f>"35084"</f>
        <v>35084</v>
      </c>
      <c r="E2879" t="str">
        <f>"1"</f>
        <v>1</v>
      </c>
      <c r="F2879" t="str">
        <f t="shared" si="530"/>
        <v>COM</v>
      </c>
      <c r="G2879" t="str">
        <f>"MARCOS VINICIUS CORREIA JULI??O (1001)"</f>
        <v>MARCOS VINICIUS CORREIA JULI??O (1001)</v>
      </c>
      <c r="H2879" t="str">
        <f>"Serv.Prest. 09/03/2026 a 15/03/2026 - PIX: CELULAR - CHAVE: (11) 98144-5840"</f>
        <v>Serv.Prest. 09/03/2026 a 15/03/2026 - PIX: CELULAR - CHAVE: (11) 98144-5840</v>
      </c>
      <c r="I2879" t="str">
        <f t="shared" si="537"/>
        <v>19/03/2026</v>
      </c>
      <c r="J2879" t="str">
        <f>("17/03/2026")</f>
        <v>17/03/2026</v>
      </c>
      <c r="K2879" t="str">
        <f>("18/03/2026")</f>
        <v>18/03/2026</v>
      </c>
      <c r="L2879">
        <v>20</v>
      </c>
      <c r="M2879">
        <v>20</v>
      </c>
      <c r="N2879">
        <v>109</v>
      </c>
      <c r="O2879" t="str">
        <f>"PAGAMENTO DE ENTREGADORES"</f>
        <v>PAGAMENTO DE ENTREGADORES</v>
      </c>
      <c r="P2879">
        <v>20</v>
      </c>
      <c r="S2879" t="str">
        <f>"CAIXA MOVIMENTAÇÃO OPERACIONAL (132)"</f>
        <v>CAIXA MOVIMENTAÇÃO OPERACIONAL (132)</v>
      </c>
      <c r="T2879">
        <v>31162</v>
      </c>
      <c r="U2879">
        <v>35428</v>
      </c>
      <c r="V2879" t="s">
        <v>22</v>
      </c>
    </row>
    <row r="2880" spans="1:22">
      <c r="A2880" t="str">
        <f t="shared" si="534"/>
        <v>18/03/2026</v>
      </c>
      <c r="B2880" t="str">
        <f>"SAÍDA"</f>
        <v>SAÍDA</v>
      </c>
      <c r="C2880" t="str">
        <f>"PIX"</f>
        <v>PIX</v>
      </c>
      <c r="D2880" t="str">
        <f>"35084"</f>
        <v>35084</v>
      </c>
      <c r="E2880" t="str">
        <f>"1"</f>
        <v>1</v>
      </c>
      <c r="F2880" t="str">
        <f t="shared" si="530"/>
        <v>COM</v>
      </c>
      <c r="G2880" t="str">
        <f>"MARCOS VINICIUS CORREIA JULI??O (1001)"</f>
        <v>MARCOS VINICIUS CORREIA JULI??O (1001)</v>
      </c>
      <c r="H2880" t="s">
        <v>894</v>
      </c>
      <c r="I2880" t="str">
        <f t="shared" si="537"/>
        <v>19/03/2026</v>
      </c>
      <c r="J2880" t="str">
        <f>("17/03/2026")</f>
        <v>17/03/2026</v>
      </c>
      <c r="K2880">
        <v>46099</v>
      </c>
      <c r="N2880">
        <v>109</v>
      </c>
      <c r="O2880" t="s">
        <v>27</v>
      </c>
      <c r="Q2880">
        <v>20</v>
      </c>
      <c r="R2880" t="str">
        <f>"PENSE FARMA 48 (10233)"</f>
        <v>PENSE FARMA 48 (10233)</v>
      </c>
      <c r="S2880" t="s">
        <v>22</v>
      </c>
      <c r="T2880">
        <v>31162</v>
      </c>
      <c r="U2880">
        <v>35428</v>
      </c>
      <c r="V2880" t="s">
        <v>22</v>
      </c>
    </row>
    <row r="2881" spans="1:22">
      <c r="A2881" t="str">
        <f t="shared" si="534"/>
        <v>18/03/2026</v>
      </c>
      <c r="B2881" t="str">
        <f>"ENTRADA"</f>
        <v>ENTRADA</v>
      </c>
      <c r="C2881" t="str">
        <f>"DINHEIRO"</f>
        <v>DINHEIRO</v>
      </c>
      <c r="D2881" t="str">
        <f>"19032026"</f>
        <v>19032026</v>
      </c>
      <c r="E2881" t="str">
        <f>""</f>
        <v/>
      </c>
      <c r="F2881" t="str">
        <f t="shared" si="530"/>
        <v>COM</v>
      </c>
      <c r="G2881" t="str">
        <f>"MATEUS VIEIRA DE SOUZA (1019)"</f>
        <v>MATEUS VIEIRA DE SOUZA (1019)</v>
      </c>
      <c r="H2881" t="str">
        <f>"REEMBOLSO UNIFORMES"</f>
        <v>REEMBOLSO UNIFORMES</v>
      </c>
      <c r="I2881" t="str">
        <f t="shared" si="537"/>
        <v>19/03/2026</v>
      </c>
      <c r="J2881" t="str">
        <f>("18/03/2026")</f>
        <v>18/03/2026</v>
      </c>
      <c r="K2881" t="str">
        <f>("18/03/2026")</f>
        <v>18/03/2026</v>
      </c>
      <c r="L2881">
        <v>40</v>
      </c>
      <c r="M2881">
        <v>40</v>
      </c>
      <c r="N2881">
        <v>108</v>
      </c>
      <c r="O2881" t="str">
        <f>"RECEITAS COM REEMBOLSOS"</f>
        <v>RECEITAS COM REEMBOLSOS</v>
      </c>
      <c r="P2881">
        <v>40</v>
      </c>
      <c r="S2881" t="str">
        <f>"RECEITAS COM REEMBOLSOS (108)"</f>
        <v>RECEITAS COM REEMBOLSOS (108)</v>
      </c>
      <c r="T2881">
        <v>31163</v>
      </c>
      <c r="U2881">
        <v>35429</v>
      </c>
      <c r="V2881" t="s">
        <v>22</v>
      </c>
    </row>
    <row r="2882" spans="1:22">
      <c r="A2882" t="str">
        <f t="shared" si="534"/>
        <v>18/03/2026</v>
      </c>
      <c r="B2882" t="str">
        <f>"ENTRADA"</f>
        <v>ENTRADA</v>
      </c>
      <c r="C2882" t="str">
        <f>"DINHEIRO"</f>
        <v>DINHEIRO</v>
      </c>
      <c r="D2882" t="str">
        <f>"19032026"</f>
        <v>19032026</v>
      </c>
      <c r="E2882" t="str">
        <f>""</f>
        <v/>
      </c>
      <c r="F2882" t="str">
        <f t="shared" ref="F2882:F2945" si="538">"COM"</f>
        <v>COM</v>
      </c>
      <c r="G2882" t="str">
        <f>"MATEUS VIEIRA DE SOUZA (1019)"</f>
        <v>MATEUS VIEIRA DE SOUZA (1019)</v>
      </c>
      <c r="H2882" t="s">
        <v>876</v>
      </c>
      <c r="I2882" t="str">
        <f t="shared" si="537"/>
        <v>19/03/2026</v>
      </c>
      <c r="J2882" t="str">
        <f>("18/03/2026")</f>
        <v>18/03/2026</v>
      </c>
      <c r="K2882">
        <v>46099</v>
      </c>
      <c r="N2882">
        <v>108</v>
      </c>
      <c r="O2882" t="s">
        <v>871</v>
      </c>
      <c r="Q2882">
        <v>40</v>
      </c>
      <c r="R2882" t="str">
        <f>"PENSE FARMA 47 (10232)"</f>
        <v>PENSE FARMA 47 (10232)</v>
      </c>
      <c r="S2882" t="s">
        <v>872</v>
      </c>
      <c r="T2882">
        <v>31163</v>
      </c>
      <c r="U2882">
        <v>35429</v>
      </c>
      <c r="V2882" t="s">
        <v>22</v>
      </c>
    </row>
    <row r="2883" spans="1:22">
      <c r="A2883" t="str">
        <f t="shared" si="534"/>
        <v>18/03/2026</v>
      </c>
      <c r="B2883" t="str">
        <f>"SAÍDA"</f>
        <v>SAÍDA</v>
      </c>
      <c r="C2883" t="str">
        <f>"PIX"</f>
        <v>PIX</v>
      </c>
      <c r="D2883" t="str">
        <f>"35091"</f>
        <v>35091</v>
      </c>
      <c r="E2883" t="str">
        <f>"1"</f>
        <v>1</v>
      </c>
      <c r="F2883" t="str">
        <f t="shared" si="538"/>
        <v>COM</v>
      </c>
      <c r="G2883" t="str">
        <f>"MATEUS VIEIRA DE SOUZA (1019)"</f>
        <v>MATEUS VIEIRA DE SOUZA (1019)</v>
      </c>
      <c r="H2883" t="str">
        <f>"Serv.Prest. 09/03/2026 a 15/03/2026 - PIX: CELULAR - CHAVE: (11) 97702-1316"</f>
        <v>Serv.Prest. 09/03/2026 a 15/03/2026 - PIX: CELULAR - CHAVE: (11) 97702-1316</v>
      </c>
      <c r="I2883" t="str">
        <f t="shared" si="537"/>
        <v>19/03/2026</v>
      </c>
      <c r="J2883" t="str">
        <f>("17/03/2026")</f>
        <v>17/03/2026</v>
      </c>
      <c r="K2883" t="str">
        <f>("18/03/2026")</f>
        <v>18/03/2026</v>
      </c>
      <c r="L2883">
        <v>40</v>
      </c>
      <c r="M2883">
        <v>40</v>
      </c>
      <c r="N2883">
        <v>109</v>
      </c>
      <c r="O2883" t="str">
        <f>"PAGAMENTO DE ENTREGADORES"</f>
        <v>PAGAMENTO DE ENTREGADORES</v>
      </c>
      <c r="P2883">
        <v>40</v>
      </c>
      <c r="S2883" t="str">
        <f>"CAIXA MOVIMENTAÇÃO OPERACIONAL (132)"</f>
        <v>CAIXA MOVIMENTAÇÃO OPERACIONAL (132)</v>
      </c>
      <c r="T2883">
        <v>31164</v>
      </c>
      <c r="U2883">
        <v>35430</v>
      </c>
      <c r="V2883" t="s">
        <v>22</v>
      </c>
    </row>
    <row r="2884" spans="1:22">
      <c r="A2884" t="str">
        <f t="shared" si="534"/>
        <v>18/03/2026</v>
      </c>
      <c r="B2884" t="str">
        <f>"SAÍDA"</f>
        <v>SAÍDA</v>
      </c>
      <c r="C2884" t="str">
        <f>"PIX"</f>
        <v>PIX</v>
      </c>
      <c r="D2884" t="str">
        <f>"35091"</f>
        <v>35091</v>
      </c>
      <c r="E2884" t="str">
        <f>"1"</f>
        <v>1</v>
      </c>
      <c r="F2884" t="str">
        <f t="shared" si="538"/>
        <v>COM</v>
      </c>
      <c r="G2884" t="str">
        <f>"MATEUS VIEIRA DE SOUZA (1019)"</f>
        <v>MATEUS VIEIRA DE SOUZA (1019)</v>
      </c>
      <c r="H2884" t="s">
        <v>895</v>
      </c>
      <c r="I2884" t="str">
        <f t="shared" si="537"/>
        <v>19/03/2026</v>
      </c>
      <c r="J2884" t="str">
        <f>("17/03/2026")</f>
        <v>17/03/2026</v>
      </c>
      <c r="K2884">
        <v>46099</v>
      </c>
      <c r="N2884">
        <v>109</v>
      </c>
      <c r="O2884" t="s">
        <v>27</v>
      </c>
      <c r="Q2884">
        <v>40</v>
      </c>
      <c r="R2884" t="str">
        <f>"PENSE FARMA 47 (10232)"</f>
        <v>PENSE FARMA 47 (10232)</v>
      </c>
      <c r="S2884" t="s">
        <v>22</v>
      </c>
      <c r="T2884">
        <v>31164</v>
      </c>
      <c r="U2884">
        <v>35430</v>
      </c>
      <c r="V2884" t="s">
        <v>22</v>
      </c>
    </row>
    <row r="2885" spans="1:22">
      <c r="A2885" t="str">
        <f t="shared" si="534"/>
        <v>18/03/2026</v>
      </c>
      <c r="B2885" t="str">
        <f>"ENTRADA"</f>
        <v>ENTRADA</v>
      </c>
      <c r="C2885" t="str">
        <f>"DINHEIRO"</f>
        <v>DINHEIRO</v>
      </c>
      <c r="D2885" t="str">
        <f>"19032026"</f>
        <v>19032026</v>
      </c>
      <c r="E2885" t="str">
        <f>""</f>
        <v/>
      </c>
      <c r="F2885" t="str">
        <f t="shared" si="538"/>
        <v>COM</v>
      </c>
      <c r="G2885" t="str">
        <f t="shared" ref="G2885:G2892" si="539">"MOABIO AZEVEDO DOS SANTOS (131)"</f>
        <v>MOABIO AZEVEDO DOS SANTOS (131)</v>
      </c>
      <c r="H2885" t="str">
        <f>"REEMBOLSO UNIFORMES"</f>
        <v>REEMBOLSO UNIFORMES</v>
      </c>
      <c r="I2885" t="str">
        <f t="shared" si="537"/>
        <v>19/03/2026</v>
      </c>
      <c r="J2885" t="str">
        <f>("18/03/2026")</f>
        <v>18/03/2026</v>
      </c>
      <c r="K2885" t="str">
        <f>("18/03/2026")</f>
        <v>18/03/2026</v>
      </c>
      <c r="L2885">
        <v>20</v>
      </c>
      <c r="M2885">
        <v>20</v>
      </c>
      <c r="N2885">
        <v>108</v>
      </c>
      <c r="O2885" t="str">
        <f>"RECEITAS COM REEMBOLSOS"</f>
        <v>RECEITAS COM REEMBOLSOS</v>
      </c>
      <c r="P2885">
        <v>20</v>
      </c>
      <c r="S2885" t="str">
        <f>"RECEITAS COM REEMBOLSOS (108)"</f>
        <v>RECEITAS COM REEMBOLSOS (108)</v>
      </c>
      <c r="T2885">
        <v>31165</v>
      </c>
      <c r="U2885">
        <v>35431</v>
      </c>
      <c r="V2885" t="s">
        <v>22</v>
      </c>
    </row>
    <row r="2886" spans="1:22">
      <c r="A2886" t="str">
        <f t="shared" si="534"/>
        <v>18/03/2026</v>
      </c>
      <c r="B2886" t="str">
        <f>"ENTRADA"</f>
        <v>ENTRADA</v>
      </c>
      <c r="C2886" t="str">
        <f>"DINHEIRO"</f>
        <v>DINHEIRO</v>
      </c>
      <c r="D2886" t="str">
        <f>"19032026"</f>
        <v>19032026</v>
      </c>
      <c r="E2886" t="str">
        <f>""</f>
        <v/>
      </c>
      <c r="F2886" t="str">
        <f t="shared" si="538"/>
        <v>COM</v>
      </c>
      <c r="G2886" t="str">
        <f t="shared" si="539"/>
        <v>MOABIO AZEVEDO DOS SANTOS (131)</v>
      </c>
      <c r="H2886" t="s">
        <v>876</v>
      </c>
      <c r="I2886" t="str">
        <f t="shared" si="537"/>
        <v>19/03/2026</v>
      </c>
      <c r="J2886" t="str">
        <f>("18/03/2026")</f>
        <v>18/03/2026</v>
      </c>
      <c r="K2886">
        <v>46099</v>
      </c>
      <c r="N2886">
        <v>108</v>
      </c>
      <c r="O2886" t="s">
        <v>871</v>
      </c>
      <c r="Q2886">
        <v>20</v>
      </c>
      <c r="R2886" t="str">
        <f>"FARMÁCIA INDIANA LJ 91 (10037)"</f>
        <v>FARMÁCIA INDIANA LJ 91 (10037)</v>
      </c>
      <c r="S2886" t="s">
        <v>872</v>
      </c>
      <c r="T2886">
        <v>31165</v>
      </c>
      <c r="U2886">
        <v>35431</v>
      </c>
      <c r="V2886" t="s">
        <v>22</v>
      </c>
    </row>
    <row r="2887" spans="1:22">
      <c r="A2887" t="str">
        <f t="shared" si="534"/>
        <v>18/03/2026</v>
      </c>
      <c r="B2887" t="str">
        <f>"SAÍDA"</f>
        <v>SAÍDA</v>
      </c>
      <c r="C2887" t="str">
        <f>"PIX"</f>
        <v>PIX</v>
      </c>
      <c r="D2887" t="str">
        <f>"34516"</f>
        <v>34516</v>
      </c>
      <c r="E2887" t="str">
        <f>"1"</f>
        <v>1</v>
      </c>
      <c r="F2887" t="str">
        <f t="shared" si="538"/>
        <v>COM</v>
      </c>
      <c r="G2887" t="str">
        <f t="shared" si="539"/>
        <v>MOABIO AZEVEDO DOS SANTOS (131)</v>
      </c>
      <c r="H2887" t="str">
        <f>"Serv.Prest. 02/03/2026 a 08/03/2026 - PIX: CNPJ - CHAVE: 33.412.676/0001-41"</f>
        <v>Serv.Prest. 02/03/2026 a 08/03/2026 - PIX: CNPJ - CHAVE: 33.412.676/0001-41</v>
      </c>
      <c r="I2887" t="str">
        <f t="shared" si="537"/>
        <v>19/03/2026</v>
      </c>
      <c r="J2887" t="str">
        <f>("10/03/2026")</f>
        <v>10/03/2026</v>
      </c>
      <c r="K2887" t="str">
        <f>("18/03/2026")</f>
        <v>18/03/2026</v>
      </c>
      <c r="L2887">
        <v>20</v>
      </c>
      <c r="M2887">
        <v>20</v>
      </c>
      <c r="N2887">
        <v>109</v>
      </c>
      <c r="O2887" t="str">
        <f>"PAGAMENTO DE ENTREGADORES"</f>
        <v>PAGAMENTO DE ENTREGADORES</v>
      </c>
      <c r="P2887">
        <v>20</v>
      </c>
      <c r="S2887" t="str">
        <f>"CAIXA MOVIMENTAÇÃO OPERACIONAL (132)"</f>
        <v>CAIXA MOVIMENTAÇÃO OPERACIONAL (132)</v>
      </c>
      <c r="T2887">
        <v>31166</v>
      </c>
      <c r="U2887">
        <v>35433</v>
      </c>
      <c r="V2887" t="s">
        <v>22</v>
      </c>
    </row>
    <row r="2888" spans="1:22">
      <c r="A2888" t="str">
        <f t="shared" si="534"/>
        <v>18/03/2026</v>
      </c>
      <c r="B2888" t="str">
        <f>"SAÍDA"</f>
        <v>SAÍDA</v>
      </c>
      <c r="C2888" t="str">
        <f>"PIX"</f>
        <v>PIX</v>
      </c>
      <c r="D2888" t="str">
        <f>"34516"</f>
        <v>34516</v>
      </c>
      <c r="E2888" t="str">
        <f>"1"</f>
        <v>1</v>
      </c>
      <c r="F2888" t="str">
        <f t="shared" si="538"/>
        <v>COM</v>
      </c>
      <c r="G2888" t="str">
        <f t="shared" si="539"/>
        <v>MOABIO AZEVEDO DOS SANTOS (131)</v>
      </c>
      <c r="H2888" t="s">
        <v>896</v>
      </c>
      <c r="I2888" t="str">
        <f t="shared" si="537"/>
        <v>19/03/2026</v>
      </c>
      <c r="J2888" t="str">
        <f>("10/03/2026")</f>
        <v>10/03/2026</v>
      </c>
      <c r="K2888">
        <v>46099</v>
      </c>
      <c r="N2888">
        <v>109</v>
      </c>
      <c r="O2888" t="s">
        <v>27</v>
      </c>
      <c r="Q2888">
        <v>20</v>
      </c>
      <c r="R2888" t="str">
        <f>"FARMÁCIA INDIANA LJ 91 (10037)"</f>
        <v>FARMÁCIA INDIANA LJ 91 (10037)</v>
      </c>
      <c r="S2888" t="s">
        <v>22</v>
      </c>
      <c r="T2888">
        <v>31166</v>
      </c>
      <c r="U2888">
        <v>35433</v>
      </c>
      <c r="V2888" t="s">
        <v>22</v>
      </c>
    </row>
    <row r="2889" spans="1:22">
      <c r="A2889" t="str">
        <f t="shared" si="534"/>
        <v>18/03/2026</v>
      </c>
      <c r="B2889" t="str">
        <f>"ENTRADA"</f>
        <v>ENTRADA</v>
      </c>
      <c r="C2889" t="str">
        <f>"DINHEIRO"</f>
        <v>DINHEIRO</v>
      </c>
      <c r="D2889" t="str">
        <f>"19032026"</f>
        <v>19032026</v>
      </c>
      <c r="E2889" t="str">
        <f>""</f>
        <v/>
      </c>
      <c r="F2889" t="str">
        <f t="shared" si="538"/>
        <v>COM</v>
      </c>
      <c r="G2889" t="str">
        <f t="shared" si="539"/>
        <v>MOABIO AZEVEDO DOS SANTOS (131)</v>
      </c>
      <c r="H2889" t="str">
        <f>"REEMBOLSO UNIFORMES"</f>
        <v>REEMBOLSO UNIFORMES</v>
      </c>
      <c r="I2889" t="str">
        <f>("26/03/2026")</f>
        <v>26/03/2026</v>
      </c>
      <c r="J2889" t="str">
        <f>("18/03/2026")</f>
        <v>18/03/2026</v>
      </c>
      <c r="K2889" t="str">
        <f>("18/03/2026")</f>
        <v>18/03/2026</v>
      </c>
      <c r="L2889">
        <v>20</v>
      </c>
      <c r="M2889">
        <v>20</v>
      </c>
      <c r="N2889">
        <v>108</v>
      </c>
      <c r="O2889" t="str">
        <f>"RECEITAS COM REEMBOLSOS"</f>
        <v>RECEITAS COM REEMBOLSOS</v>
      </c>
      <c r="P2889">
        <v>20</v>
      </c>
      <c r="S2889" t="str">
        <f>"RECEITAS COM REEMBOLSOS (108)"</f>
        <v>RECEITAS COM REEMBOLSOS (108)</v>
      </c>
      <c r="T2889">
        <v>31167</v>
      </c>
      <c r="U2889">
        <v>35432</v>
      </c>
      <c r="V2889" t="s">
        <v>22</v>
      </c>
    </row>
    <row r="2890" spans="1:22">
      <c r="A2890" t="str">
        <f t="shared" si="534"/>
        <v>18/03/2026</v>
      </c>
      <c r="B2890" t="str">
        <f>"ENTRADA"</f>
        <v>ENTRADA</v>
      </c>
      <c r="C2890" t="str">
        <f>"DINHEIRO"</f>
        <v>DINHEIRO</v>
      </c>
      <c r="D2890" t="str">
        <f>"19032026"</f>
        <v>19032026</v>
      </c>
      <c r="E2890" t="str">
        <f>""</f>
        <v/>
      </c>
      <c r="F2890" t="str">
        <f t="shared" si="538"/>
        <v>COM</v>
      </c>
      <c r="G2890" t="str">
        <f t="shared" si="539"/>
        <v>MOABIO AZEVEDO DOS SANTOS (131)</v>
      </c>
      <c r="H2890" t="s">
        <v>876</v>
      </c>
      <c r="I2890" t="str">
        <f>("26/03/2026")</f>
        <v>26/03/2026</v>
      </c>
      <c r="J2890" t="str">
        <f>("18/03/2026")</f>
        <v>18/03/2026</v>
      </c>
      <c r="K2890">
        <v>46099</v>
      </c>
      <c r="N2890">
        <v>108</v>
      </c>
      <c r="O2890" t="s">
        <v>871</v>
      </c>
      <c r="Q2890">
        <v>20</v>
      </c>
      <c r="R2890" t="str">
        <f>"FARMÁCIA INDIANA LJ 91 (10037)"</f>
        <v>FARMÁCIA INDIANA LJ 91 (10037)</v>
      </c>
      <c r="S2890" t="s">
        <v>872</v>
      </c>
      <c r="T2890">
        <v>31167</v>
      </c>
      <c r="U2890">
        <v>35432</v>
      </c>
      <c r="V2890" t="s">
        <v>22</v>
      </c>
    </row>
    <row r="2891" spans="1:22">
      <c r="A2891" t="str">
        <f t="shared" si="534"/>
        <v>18/03/2026</v>
      </c>
      <c r="B2891" t="str">
        <f>"SAÍDA"</f>
        <v>SAÍDA</v>
      </c>
      <c r="C2891" t="str">
        <f>"PIX"</f>
        <v>PIX</v>
      </c>
      <c r="D2891" t="str">
        <f>"35171"</f>
        <v>35171</v>
      </c>
      <c r="E2891" t="str">
        <f>"1"</f>
        <v>1</v>
      </c>
      <c r="F2891" t="str">
        <f t="shared" si="538"/>
        <v>COM</v>
      </c>
      <c r="G2891" t="str">
        <f t="shared" si="539"/>
        <v>MOABIO AZEVEDO DOS SANTOS (131)</v>
      </c>
      <c r="H2891" t="str">
        <f>"Serv.Prest. 09/03/2026 a 15/03/2026 - PIX: CNPJ - CHAVE: 33.412.676/0001-41"</f>
        <v>Serv.Prest. 09/03/2026 a 15/03/2026 - PIX: CNPJ - CHAVE: 33.412.676/0001-41</v>
      </c>
      <c r="I2891" t="str">
        <f>("26/03/2026")</f>
        <v>26/03/2026</v>
      </c>
      <c r="J2891" t="str">
        <f>("17/03/2026")</f>
        <v>17/03/2026</v>
      </c>
      <c r="K2891" t="str">
        <f>("18/03/2026")</f>
        <v>18/03/2026</v>
      </c>
      <c r="L2891">
        <v>20</v>
      </c>
      <c r="M2891">
        <v>20</v>
      </c>
      <c r="N2891">
        <v>109</v>
      </c>
      <c r="O2891" t="str">
        <f>"PAGAMENTO DE ENTREGADORES"</f>
        <v>PAGAMENTO DE ENTREGADORES</v>
      </c>
      <c r="P2891">
        <v>20</v>
      </c>
      <c r="S2891" t="str">
        <f>"CAIXA MOVIMENTAÇÃO OPERACIONAL (132)"</f>
        <v>CAIXA MOVIMENTAÇÃO OPERACIONAL (132)</v>
      </c>
      <c r="T2891">
        <v>31168</v>
      </c>
      <c r="U2891">
        <v>35434</v>
      </c>
      <c r="V2891" t="s">
        <v>22</v>
      </c>
    </row>
    <row r="2892" spans="1:22">
      <c r="A2892" t="str">
        <f t="shared" si="534"/>
        <v>18/03/2026</v>
      </c>
      <c r="B2892" t="str">
        <f>"SAÍDA"</f>
        <v>SAÍDA</v>
      </c>
      <c r="C2892" t="str">
        <f>"PIX"</f>
        <v>PIX</v>
      </c>
      <c r="D2892" t="str">
        <f>"35171"</f>
        <v>35171</v>
      </c>
      <c r="E2892" t="str">
        <f>"1"</f>
        <v>1</v>
      </c>
      <c r="F2892" t="str">
        <f t="shared" si="538"/>
        <v>COM</v>
      </c>
      <c r="G2892" t="str">
        <f t="shared" si="539"/>
        <v>MOABIO AZEVEDO DOS SANTOS (131)</v>
      </c>
      <c r="H2892" t="s">
        <v>897</v>
      </c>
      <c r="I2892" t="str">
        <f>("26/03/2026")</f>
        <v>26/03/2026</v>
      </c>
      <c r="J2892" t="str">
        <f>("17/03/2026")</f>
        <v>17/03/2026</v>
      </c>
      <c r="K2892">
        <v>46099</v>
      </c>
      <c r="N2892">
        <v>109</v>
      </c>
      <c r="O2892" t="s">
        <v>27</v>
      </c>
      <c r="Q2892">
        <v>20</v>
      </c>
      <c r="R2892" t="str">
        <f>"FARMÁCIA INDIANA LJ 91 (10037)"</f>
        <v>FARMÁCIA INDIANA LJ 91 (10037)</v>
      </c>
      <c r="S2892" t="s">
        <v>22</v>
      </c>
      <c r="T2892">
        <v>31168</v>
      </c>
      <c r="U2892">
        <v>35434</v>
      </c>
      <c r="V2892" t="s">
        <v>22</v>
      </c>
    </row>
    <row r="2893" spans="1:22">
      <c r="A2893" t="str">
        <f t="shared" si="534"/>
        <v>18/03/2026</v>
      </c>
      <c r="B2893" t="str">
        <f>"SAÍDA"</f>
        <v>SAÍDA</v>
      </c>
      <c r="C2893" t="str">
        <f>"PIX"</f>
        <v>PIX</v>
      </c>
      <c r="D2893" t="str">
        <f>"35066"</f>
        <v>35066</v>
      </c>
      <c r="E2893" t="str">
        <f>"1"</f>
        <v>1</v>
      </c>
      <c r="F2893" t="str">
        <f t="shared" si="538"/>
        <v>COM</v>
      </c>
      <c r="G2893" t="str">
        <f>"RAFAEL PEDROSO DE CAMARA (975)"</f>
        <v>RAFAEL PEDROSO DE CAMARA (975)</v>
      </c>
      <c r="H2893" t="str">
        <f>"Serv.Prest. 09/03/2026 a 15/03/2026 - PIX: CELULAR - CHAVE: (11) 99270-3082"</f>
        <v>Serv.Prest. 09/03/2026 a 15/03/2026 - PIX: CELULAR - CHAVE: (11) 99270-3082</v>
      </c>
      <c r="I2893" t="str">
        <f>("19/03/2026")</f>
        <v>19/03/2026</v>
      </c>
      <c r="J2893" t="str">
        <f>("17/03/2026")</f>
        <v>17/03/2026</v>
      </c>
      <c r="K2893" t="str">
        <f>("18/03/2026")</f>
        <v>18/03/2026</v>
      </c>
      <c r="L2893">
        <v>20</v>
      </c>
      <c r="M2893">
        <v>20</v>
      </c>
      <c r="N2893">
        <v>109</v>
      </c>
      <c r="O2893" t="str">
        <f>"PAGAMENTO DE ENTREGADORES"</f>
        <v>PAGAMENTO DE ENTREGADORES</v>
      </c>
      <c r="P2893">
        <v>20</v>
      </c>
      <c r="S2893" t="str">
        <f>"CAIXA MOVIMENTAÇÃO OPERACIONAL (132)"</f>
        <v>CAIXA MOVIMENTAÇÃO OPERACIONAL (132)</v>
      </c>
      <c r="T2893">
        <v>31169</v>
      </c>
      <c r="U2893">
        <v>35436</v>
      </c>
      <c r="V2893" t="s">
        <v>22</v>
      </c>
    </row>
    <row r="2894" spans="1:22">
      <c r="A2894" t="str">
        <f t="shared" si="534"/>
        <v>18/03/2026</v>
      </c>
      <c r="B2894" t="str">
        <f>"SAÍDA"</f>
        <v>SAÍDA</v>
      </c>
      <c r="C2894" t="str">
        <f>"PIX"</f>
        <v>PIX</v>
      </c>
      <c r="D2894" t="str">
        <f>"35066"</f>
        <v>35066</v>
      </c>
      <c r="E2894" t="str">
        <f>"1"</f>
        <v>1</v>
      </c>
      <c r="F2894" t="str">
        <f t="shared" si="538"/>
        <v>COM</v>
      </c>
      <c r="G2894" t="str">
        <f>"RAFAEL PEDROSO DE CAMARA (975)"</f>
        <v>RAFAEL PEDROSO DE CAMARA (975)</v>
      </c>
      <c r="H2894" t="s">
        <v>898</v>
      </c>
      <c r="I2894" t="str">
        <f>("19/03/2026")</f>
        <v>19/03/2026</v>
      </c>
      <c r="J2894" t="str">
        <f>("17/03/2026")</f>
        <v>17/03/2026</v>
      </c>
      <c r="K2894">
        <v>46099</v>
      </c>
      <c r="N2894">
        <v>109</v>
      </c>
      <c r="O2894" t="s">
        <v>27</v>
      </c>
      <c r="Q2894">
        <v>20</v>
      </c>
      <c r="R2894" t="str">
        <f>"PENSE FARMA 36 (10206)"</f>
        <v>PENSE FARMA 36 (10206)</v>
      </c>
      <c r="S2894" t="s">
        <v>22</v>
      </c>
      <c r="T2894">
        <v>31169</v>
      </c>
      <c r="U2894">
        <v>35436</v>
      </c>
      <c r="V2894" t="s">
        <v>22</v>
      </c>
    </row>
    <row r="2895" spans="1:22">
      <c r="A2895" t="str">
        <f t="shared" si="534"/>
        <v>18/03/2026</v>
      </c>
      <c r="B2895" t="str">
        <f>"ENTRADA"</f>
        <v>ENTRADA</v>
      </c>
      <c r="C2895" t="str">
        <f>"DINHEIRO"</f>
        <v>DINHEIRO</v>
      </c>
      <c r="D2895" t="str">
        <f>"19032026"</f>
        <v>19032026</v>
      </c>
      <c r="E2895" t="str">
        <f>""</f>
        <v/>
      </c>
      <c r="F2895" t="str">
        <f t="shared" si="538"/>
        <v>COM</v>
      </c>
      <c r="G2895" t="str">
        <f>"RAFAEL PEDROSO DE C??MARA (975)"</f>
        <v>RAFAEL PEDROSO DE C??MARA (975)</v>
      </c>
      <c r="H2895" t="str">
        <f>"REEMBOLSO UNIFORMES"</f>
        <v>REEMBOLSO UNIFORMES</v>
      </c>
      <c r="I2895" t="str">
        <f>("19/03/2026")</f>
        <v>19/03/2026</v>
      </c>
      <c r="J2895" t="str">
        <f>("18/03/2026")</f>
        <v>18/03/2026</v>
      </c>
      <c r="K2895" t="str">
        <f>("18/03/2026")</f>
        <v>18/03/2026</v>
      </c>
      <c r="L2895">
        <v>20</v>
      </c>
      <c r="M2895">
        <v>20</v>
      </c>
      <c r="N2895">
        <v>108</v>
      </c>
      <c r="O2895" t="str">
        <f>"RECEITAS COM REEMBOLSOS"</f>
        <v>RECEITAS COM REEMBOLSOS</v>
      </c>
      <c r="P2895">
        <v>20</v>
      </c>
      <c r="S2895" t="str">
        <f>"RECEITAS COM REEMBOLSOS (108)"</f>
        <v>RECEITAS COM REEMBOLSOS (108)</v>
      </c>
      <c r="T2895">
        <v>31170</v>
      </c>
      <c r="U2895">
        <v>35435</v>
      </c>
      <c r="V2895" t="s">
        <v>22</v>
      </c>
    </row>
    <row r="2896" spans="1:22">
      <c r="A2896" t="str">
        <f t="shared" si="534"/>
        <v>18/03/2026</v>
      </c>
      <c r="B2896" t="str">
        <f>"ENTRADA"</f>
        <v>ENTRADA</v>
      </c>
      <c r="C2896" t="str">
        <f>"DINHEIRO"</f>
        <v>DINHEIRO</v>
      </c>
      <c r="D2896" t="str">
        <f>"19032026"</f>
        <v>19032026</v>
      </c>
      <c r="E2896" t="str">
        <f>""</f>
        <v/>
      </c>
      <c r="F2896" t="str">
        <f t="shared" si="538"/>
        <v>COM</v>
      </c>
      <c r="G2896" t="str">
        <f>"RAFAEL PEDROSO DE C??MARA (975)"</f>
        <v>RAFAEL PEDROSO DE C??MARA (975)</v>
      </c>
      <c r="H2896" t="s">
        <v>876</v>
      </c>
      <c r="I2896" t="str">
        <f>("19/03/2026")</f>
        <v>19/03/2026</v>
      </c>
      <c r="J2896" t="str">
        <f>("18/03/2026")</f>
        <v>18/03/2026</v>
      </c>
      <c r="K2896">
        <v>46099</v>
      </c>
      <c r="N2896">
        <v>108</v>
      </c>
      <c r="O2896" t="s">
        <v>871</v>
      </c>
      <c r="Q2896">
        <v>20</v>
      </c>
      <c r="R2896" t="str">
        <f>"PENSE FARMA 20 (10203)"</f>
        <v>PENSE FARMA 20 (10203)</v>
      </c>
      <c r="S2896" t="s">
        <v>872</v>
      </c>
      <c r="T2896">
        <v>31170</v>
      </c>
      <c r="U2896">
        <v>35435</v>
      </c>
      <c r="V2896" t="s">
        <v>22</v>
      </c>
    </row>
    <row r="2897" spans="1:22">
      <c r="A2897" t="str">
        <f t="shared" si="534"/>
        <v>18/03/2026</v>
      </c>
      <c r="B2897" t="str">
        <f>"SAÍDA"</f>
        <v>SAÍDA</v>
      </c>
      <c r="C2897" t="str">
        <f>"PIX"</f>
        <v>PIX</v>
      </c>
      <c r="D2897" t="str">
        <f>"35174"</f>
        <v>35174</v>
      </c>
      <c r="E2897" t="str">
        <f>"1"</f>
        <v>1</v>
      </c>
      <c r="F2897" t="str">
        <f t="shared" si="538"/>
        <v>COM</v>
      </c>
      <c r="G2897" t="str">
        <f>"ROBSON OLIVEIRA DE JESUS (623)"</f>
        <v>ROBSON OLIVEIRA DE JESUS (623)</v>
      </c>
      <c r="H2897" t="str">
        <f>"Serv.Prest. 09/03/2026 a 15/03/2026 - PIX: CELULAR - CHAVE: (73) 98166-3325"</f>
        <v>Serv.Prest. 09/03/2026 a 15/03/2026 - PIX: CELULAR - CHAVE: (73) 98166-3325</v>
      </c>
      <c r="I2897" t="str">
        <f>("26/03/2026")</f>
        <v>26/03/2026</v>
      </c>
      <c r="J2897" t="str">
        <f>("17/03/2026")</f>
        <v>17/03/2026</v>
      </c>
      <c r="K2897" t="str">
        <f>("18/03/2026")</f>
        <v>18/03/2026</v>
      </c>
      <c r="L2897">
        <v>20</v>
      </c>
      <c r="M2897">
        <v>20</v>
      </c>
      <c r="N2897">
        <v>109</v>
      </c>
      <c r="O2897" t="str">
        <f>"PAGAMENTO DE ENTREGADORES"</f>
        <v>PAGAMENTO DE ENTREGADORES</v>
      </c>
      <c r="P2897">
        <v>20</v>
      </c>
      <c r="S2897" t="str">
        <f>"CAIXA MOVIMENTAÇÃO OPERACIONAL (132)"</f>
        <v>CAIXA MOVIMENTAÇÃO OPERACIONAL (132)</v>
      </c>
      <c r="T2897">
        <v>31171</v>
      </c>
      <c r="U2897">
        <v>35438</v>
      </c>
      <c r="V2897" t="s">
        <v>22</v>
      </c>
    </row>
    <row r="2898" spans="1:22">
      <c r="A2898" t="str">
        <f t="shared" si="534"/>
        <v>18/03/2026</v>
      </c>
      <c r="B2898" t="str">
        <f>"SAÍDA"</f>
        <v>SAÍDA</v>
      </c>
      <c r="C2898" t="str">
        <f>"PIX"</f>
        <v>PIX</v>
      </c>
      <c r="D2898" t="str">
        <f>"35174"</f>
        <v>35174</v>
      </c>
      <c r="E2898" t="str">
        <f>"1"</f>
        <v>1</v>
      </c>
      <c r="F2898" t="str">
        <f t="shared" si="538"/>
        <v>COM</v>
      </c>
      <c r="G2898" t="str">
        <f>"ROBSON OLIVEIRA DE JESUS (623)"</f>
        <v>ROBSON OLIVEIRA DE JESUS (623)</v>
      </c>
      <c r="H2898" t="s">
        <v>899</v>
      </c>
      <c r="I2898" t="str">
        <f>("26/03/2026")</f>
        <v>26/03/2026</v>
      </c>
      <c r="J2898" t="str">
        <f>("17/03/2026")</f>
        <v>17/03/2026</v>
      </c>
      <c r="K2898">
        <v>46099</v>
      </c>
      <c r="N2898">
        <v>109</v>
      </c>
      <c r="O2898" t="s">
        <v>27</v>
      </c>
      <c r="Q2898">
        <v>20</v>
      </c>
      <c r="R2898" t="str">
        <f>"FARMÁCIA INDIANA LJ 145 (10068)"</f>
        <v>FARMÁCIA INDIANA LJ 145 (10068)</v>
      </c>
      <c r="S2898" t="s">
        <v>22</v>
      </c>
      <c r="T2898">
        <v>31171</v>
      </c>
      <c r="U2898">
        <v>35438</v>
      </c>
      <c r="V2898" t="s">
        <v>22</v>
      </c>
    </row>
    <row r="2899" spans="1:22">
      <c r="A2899" t="str">
        <f t="shared" si="534"/>
        <v>18/03/2026</v>
      </c>
      <c r="B2899" t="str">
        <f>"ENTRADA"</f>
        <v>ENTRADA</v>
      </c>
      <c r="C2899" t="str">
        <f>"DINHEIRO"</f>
        <v>DINHEIRO</v>
      </c>
      <c r="D2899" t="str">
        <f>"19032026"</f>
        <v>19032026</v>
      </c>
      <c r="E2899" t="str">
        <f>""</f>
        <v/>
      </c>
      <c r="F2899" t="str">
        <f t="shared" si="538"/>
        <v>COM</v>
      </c>
      <c r="G2899" t="str">
        <f>"ROBSON OLIVEIRA DE JESUS (623)"</f>
        <v>ROBSON OLIVEIRA DE JESUS (623)</v>
      </c>
      <c r="H2899" t="str">
        <f>"REEMBOLSO UNIFORME"</f>
        <v>REEMBOLSO UNIFORME</v>
      </c>
      <c r="I2899" t="str">
        <f t="shared" ref="I2899:I2912" si="540">("19/03/2026")</f>
        <v>19/03/2026</v>
      </c>
      <c r="J2899" t="str">
        <f>("18/03/2026")</f>
        <v>18/03/2026</v>
      </c>
      <c r="K2899" t="str">
        <f>("18/03/2026")</f>
        <v>18/03/2026</v>
      </c>
      <c r="L2899">
        <v>20</v>
      </c>
      <c r="M2899">
        <v>20</v>
      </c>
      <c r="N2899">
        <v>108</v>
      </c>
      <c r="O2899" t="str">
        <f>"RECEITAS COM REEMBOLSOS"</f>
        <v>RECEITAS COM REEMBOLSOS</v>
      </c>
      <c r="P2899">
        <v>20</v>
      </c>
      <c r="S2899" t="str">
        <f>"RECEITAS COM REEMBOLSOS (108)"</f>
        <v>RECEITAS COM REEMBOLSOS (108)</v>
      </c>
      <c r="T2899">
        <v>31172</v>
      </c>
      <c r="U2899">
        <v>35439</v>
      </c>
      <c r="V2899" t="s">
        <v>22</v>
      </c>
    </row>
    <row r="2900" spans="1:22">
      <c r="A2900" t="str">
        <f t="shared" si="534"/>
        <v>18/03/2026</v>
      </c>
      <c r="B2900" t="str">
        <f>"ENTRADA"</f>
        <v>ENTRADA</v>
      </c>
      <c r="C2900" t="str">
        <f>"DINHEIRO"</f>
        <v>DINHEIRO</v>
      </c>
      <c r="D2900" t="str">
        <f>"19032026"</f>
        <v>19032026</v>
      </c>
      <c r="E2900" t="str">
        <f>""</f>
        <v/>
      </c>
      <c r="F2900" t="str">
        <f t="shared" si="538"/>
        <v>COM</v>
      </c>
      <c r="G2900" t="str">
        <f>"ROBSON OLIVEIRA DE JESUS (623)"</f>
        <v>ROBSON OLIVEIRA DE JESUS (623)</v>
      </c>
      <c r="H2900" t="s">
        <v>883</v>
      </c>
      <c r="I2900" t="str">
        <f t="shared" si="540"/>
        <v>19/03/2026</v>
      </c>
      <c r="J2900" t="str">
        <f>("18/03/2026")</f>
        <v>18/03/2026</v>
      </c>
      <c r="K2900">
        <v>46099</v>
      </c>
      <c r="N2900">
        <v>108</v>
      </c>
      <c r="O2900" t="s">
        <v>871</v>
      </c>
      <c r="Q2900">
        <v>20</v>
      </c>
      <c r="R2900" t="str">
        <f>"FARMÁCIA INDIANA LJ 145 (10068)"</f>
        <v>FARMÁCIA INDIANA LJ 145 (10068)</v>
      </c>
      <c r="S2900" t="s">
        <v>872</v>
      </c>
      <c r="T2900">
        <v>31172</v>
      </c>
      <c r="U2900">
        <v>35439</v>
      </c>
      <c r="V2900" t="s">
        <v>22</v>
      </c>
    </row>
    <row r="2901" spans="1:22">
      <c r="A2901" t="str">
        <f t="shared" si="534"/>
        <v>18/03/2026</v>
      </c>
      <c r="B2901" t="str">
        <f>"SAÍDA"</f>
        <v>SAÍDA</v>
      </c>
      <c r="C2901" t="str">
        <f>"PIX"</f>
        <v>PIX</v>
      </c>
      <c r="D2901" t="str">
        <f>"35089"</f>
        <v>35089</v>
      </c>
      <c r="E2901" t="str">
        <f>"1"</f>
        <v>1</v>
      </c>
      <c r="F2901" t="str">
        <f t="shared" si="538"/>
        <v>COM</v>
      </c>
      <c r="G2901" t="str">
        <f>"RODRIGO TEIXEIRA ROCHA (1007)"</f>
        <v>RODRIGO TEIXEIRA ROCHA (1007)</v>
      </c>
      <c r="H2901" t="str">
        <f>"Serv.Prest. 09/03/2026 a 15/03/2026 - PIX: CPF - CHAVE: 506.934.998-85"</f>
        <v>Serv.Prest. 09/03/2026 a 15/03/2026 - PIX: CPF - CHAVE: 506.934.998-85</v>
      </c>
      <c r="I2901" t="str">
        <f t="shared" si="540"/>
        <v>19/03/2026</v>
      </c>
      <c r="J2901" t="str">
        <f>("17/03/2026")</f>
        <v>17/03/2026</v>
      </c>
      <c r="K2901" t="str">
        <f>("18/03/2026")</f>
        <v>18/03/2026</v>
      </c>
      <c r="L2901">
        <v>60</v>
      </c>
      <c r="M2901">
        <v>60</v>
      </c>
      <c r="N2901">
        <v>109</v>
      </c>
      <c r="O2901" t="str">
        <f>"PAGAMENTO DE ENTREGADORES"</f>
        <v>PAGAMENTO DE ENTREGADORES</v>
      </c>
      <c r="P2901">
        <v>60</v>
      </c>
      <c r="S2901" t="str">
        <f>"CAIXA MOVIMENTAÇÃO OPERACIONAL (132)"</f>
        <v>CAIXA MOVIMENTAÇÃO OPERACIONAL (132)</v>
      </c>
      <c r="T2901">
        <v>31173</v>
      </c>
      <c r="U2901">
        <v>35442</v>
      </c>
      <c r="V2901" t="s">
        <v>22</v>
      </c>
    </row>
    <row r="2902" spans="1:22">
      <c r="A2902" t="str">
        <f t="shared" si="534"/>
        <v>18/03/2026</v>
      </c>
      <c r="B2902" t="str">
        <f>"SAÍDA"</f>
        <v>SAÍDA</v>
      </c>
      <c r="C2902" t="str">
        <f>"PIX"</f>
        <v>PIX</v>
      </c>
      <c r="D2902" t="str">
        <f>"35089"</f>
        <v>35089</v>
      </c>
      <c r="E2902" t="str">
        <f>"1"</f>
        <v>1</v>
      </c>
      <c r="F2902" t="str">
        <f t="shared" si="538"/>
        <v>COM</v>
      </c>
      <c r="G2902" t="str">
        <f>"RODRIGO TEIXEIRA ROCHA (1007)"</f>
        <v>RODRIGO TEIXEIRA ROCHA (1007)</v>
      </c>
      <c r="H2902" t="s">
        <v>900</v>
      </c>
      <c r="I2902" t="str">
        <f t="shared" si="540"/>
        <v>19/03/2026</v>
      </c>
      <c r="J2902" t="str">
        <f>("17/03/2026")</f>
        <v>17/03/2026</v>
      </c>
      <c r="K2902">
        <v>46099</v>
      </c>
      <c r="N2902">
        <v>109</v>
      </c>
      <c r="O2902" t="s">
        <v>27</v>
      </c>
      <c r="Q2902">
        <v>60</v>
      </c>
      <c r="R2902" t="str">
        <f>"PENSE FARMA 46 (10194)"</f>
        <v>PENSE FARMA 46 (10194)</v>
      </c>
      <c r="S2902" t="s">
        <v>22</v>
      </c>
      <c r="T2902">
        <v>31173</v>
      </c>
      <c r="U2902">
        <v>35442</v>
      </c>
      <c r="V2902" t="s">
        <v>22</v>
      </c>
    </row>
    <row r="2903" spans="1:22">
      <c r="A2903" t="str">
        <f t="shared" si="534"/>
        <v>18/03/2026</v>
      </c>
      <c r="B2903" t="str">
        <f>"ENTRADA"</f>
        <v>ENTRADA</v>
      </c>
      <c r="C2903" t="str">
        <f>"DINHEIRO"</f>
        <v>DINHEIRO</v>
      </c>
      <c r="D2903" t="str">
        <f>"19032026"</f>
        <v>19032026</v>
      </c>
      <c r="E2903" t="str">
        <f>""</f>
        <v/>
      </c>
      <c r="F2903" t="str">
        <f t="shared" si="538"/>
        <v>COM</v>
      </c>
      <c r="G2903" t="str">
        <f>"RODRIGO TEIXEIRA ROCHA (1007)"</f>
        <v>RODRIGO TEIXEIRA ROCHA (1007)</v>
      </c>
      <c r="H2903" t="str">
        <f>"REEMBOLSO UNIFORMES"</f>
        <v>REEMBOLSO UNIFORMES</v>
      </c>
      <c r="I2903" t="str">
        <f t="shared" si="540"/>
        <v>19/03/2026</v>
      </c>
      <c r="J2903" t="str">
        <f>("18/03/2026")</f>
        <v>18/03/2026</v>
      </c>
      <c r="K2903" t="str">
        <f>("18/03/2026")</f>
        <v>18/03/2026</v>
      </c>
      <c r="L2903">
        <v>60</v>
      </c>
      <c r="M2903">
        <v>60</v>
      </c>
      <c r="N2903">
        <v>108</v>
      </c>
      <c r="O2903" t="str">
        <f>"RECEITAS COM REEMBOLSOS"</f>
        <v>RECEITAS COM REEMBOLSOS</v>
      </c>
      <c r="P2903">
        <v>60</v>
      </c>
      <c r="S2903" t="str">
        <f>"RECEITAS COM REEMBOLSOS (108)"</f>
        <v>RECEITAS COM REEMBOLSOS (108)</v>
      </c>
      <c r="T2903">
        <v>31174</v>
      </c>
      <c r="U2903">
        <v>35441</v>
      </c>
      <c r="V2903" t="s">
        <v>22</v>
      </c>
    </row>
    <row r="2904" spans="1:22">
      <c r="A2904" t="str">
        <f t="shared" si="534"/>
        <v>18/03/2026</v>
      </c>
      <c r="B2904" t="str">
        <f>"ENTRADA"</f>
        <v>ENTRADA</v>
      </c>
      <c r="C2904" t="str">
        <f>"DINHEIRO"</f>
        <v>DINHEIRO</v>
      </c>
      <c r="D2904" t="str">
        <f>"19032026"</f>
        <v>19032026</v>
      </c>
      <c r="E2904" t="str">
        <f>""</f>
        <v/>
      </c>
      <c r="F2904" t="str">
        <f t="shared" si="538"/>
        <v>COM</v>
      </c>
      <c r="G2904" t="str">
        <f>"RODRIGO TEIXEIRA ROCHA (1007)"</f>
        <v>RODRIGO TEIXEIRA ROCHA (1007)</v>
      </c>
      <c r="H2904" t="s">
        <v>876</v>
      </c>
      <c r="I2904" t="str">
        <f t="shared" si="540"/>
        <v>19/03/2026</v>
      </c>
      <c r="J2904" t="str">
        <f>("18/03/2026")</f>
        <v>18/03/2026</v>
      </c>
      <c r="K2904">
        <v>46099</v>
      </c>
      <c r="N2904">
        <v>108</v>
      </c>
      <c r="O2904" t="s">
        <v>871</v>
      </c>
      <c r="Q2904">
        <v>60</v>
      </c>
      <c r="R2904" t="str">
        <f>"PENSE FARMA 46 (10194)"</f>
        <v>PENSE FARMA 46 (10194)</v>
      </c>
      <c r="S2904" t="s">
        <v>872</v>
      </c>
      <c r="T2904">
        <v>31174</v>
      </c>
      <c r="U2904">
        <v>35441</v>
      </c>
      <c r="V2904" t="s">
        <v>22</v>
      </c>
    </row>
    <row r="2905" spans="1:22">
      <c r="A2905" t="str">
        <f t="shared" si="534"/>
        <v>18/03/2026</v>
      </c>
      <c r="B2905" t="str">
        <f>"ENTRADA"</f>
        <v>ENTRADA</v>
      </c>
      <c r="C2905" t="str">
        <f>"PIX"</f>
        <v>PIX</v>
      </c>
      <c r="D2905" t="str">
        <f>"19032026"</f>
        <v>19032026</v>
      </c>
      <c r="E2905" t="str">
        <f>""</f>
        <v/>
      </c>
      <c r="F2905" t="str">
        <f t="shared" si="538"/>
        <v>COM</v>
      </c>
      <c r="G2905" t="str">
        <f>"JOSE CARLOS ALEXANDRE (1315)"</f>
        <v>JOSE CARLOS ALEXANDRE (1315)</v>
      </c>
      <c r="H2905" t="str">
        <f>"REEMBOLSO BAG"</f>
        <v>REEMBOLSO BAG</v>
      </c>
      <c r="I2905" t="str">
        <f t="shared" si="540"/>
        <v>19/03/2026</v>
      </c>
      <c r="J2905" t="str">
        <f>("18/03/2026")</f>
        <v>18/03/2026</v>
      </c>
      <c r="K2905" t="str">
        <f>("18/03/2026")</f>
        <v>18/03/2026</v>
      </c>
      <c r="L2905">
        <v>58</v>
      </c>
      <c r="M2905">
        <v>58</v>
      </c>
      <c r="N2905">
        <v>108</v>
      </c>
      <c r="O2905" t="str">
        <f>"RECEITAS COM REEMBOLSOS"</f>
        <v>RECEITAS COM REEMBOLSOS</v>
      </c>
      <c r="P2905">
        <v>58</v>
      </c>
      <c r="S2905" t="str">
        <f>"RECEITAS COM REEMBOLSOS (108)"</f>
        <v>RECEITAS COM REEMBOLSOS (108)</v>
      </c>
      <c r="T2905">
        <v>31175</v>
      </c>
      <c r="U2905">
        <v>35444</v>
      </c>
      <c r="V2905" t="s">
        <v>22</v>
      </c>
    </row>
    <row r="2906" spans="1:22">
      <c r="A2906" t="str">
        <f t="shared" si="534"/>
        <v>18/03/2026</v>
      </c>
      <c r="B2906" t="str">
        <f>"ENTRADA"</f>
        <v>ENTRADA</v>
      </c>
      <c r="C2906" t="str">
        <f>"PIX"</f>
        <v>PIX</v>
      </c>
      <c r="D2906" t="str">
        <f>"19032026"</f>
        <v>19032026</v>
      </c>
      <c r="E2906" t="str">
        <f>""</f>
        <v/>
      </c>
      <c r="F2906" t="str">
        <f t="shared" si="538"/>
        <v>COM</v>
      </c>
      <c r="G2906" t="str">
        <f>"JOSE CARLOS ALEXANDRE (1315)"</f>
        <v>JOSE CARLOS ALEXANDRE (1315)</v>
      </c>
      <c r="H2906" t="s">
        <v>901</v>
      </c>
      <c r="I2906" t="str">
        <f t="shared" si="540"/>
        <v>19/03/2026</v>
      </c>
      <c r="J2906" t="str">
        <f>("18/03/2026")</f>
        <v>18/03/2026</v>
      </c>
      <c r="K2906">
        <v>46099</v>
      </c>
      <c r="N2906">
        <v>108</v>
      </c>
      <c r="O2906" t="s">
        <v>871</v>
      </c>
      <c r="Q2906">
        <v>58</v>
      </c>
      <c r="R2906" t="str">
        <f>"LBL FARMACIA LTDA (10189)"</f>
        <v>LBL FARMACIA LTDA (10189)</v>
      </c>
      <c r="S2906" t="s">
        <v>872</v>
      </c>
      <c r="T2906">
        <v>31175</v>
      </c>
      <c r="U2906">
        <v>35444</v>
      </c>
      <c r="V2906" t="s">
        <v>22</v>
      </c>
    </row>
    <row r="2907" spans="1:22">
      <c r="A2907" t="str">
        <f t="shared" si="534"/>
        <v>18/03/2026</v>
      </c>
      <c r="B2907" t="str">
        <f>"SAÍDA"</f>
        <v>SAÍDA</v>
      </c>
      <c r="C2907" t="str">
        <f>"PIX"</f>
        <v>PIX</v>
      </c>
      <c r="D2907" t="str">
        <f>"34969"</f>
        <v>34969</v>
      </c>
      <c r="E2907" t="str">
        <f>"1"</f>
        <v>1</v>
      </c>
      <c r="F2907" t="str">
        <f t="shared" si="538"/>
        <v>COM</v>
      </c>
      <c r="G2907" t="str">
        <f>"JOSE CARLOS ALEXANDRE (1315)"</f>
        <v>JOSE CARLOS ALEXANDRE (1315)</v>
      </c>
      <c r="H2907" t="str">
        <f>"Serv.Prest. 09/03/2026 a 15/03/2026 - PIX: CPF - CHAVE: 026.311.016-85"</f>
        <v>Serv.Prest. 09/03/2026 a 15/03/2026 - PIX: CPF - CHAVE: 026.311.016-85</v>
      </c>
      <c r="I2907" t="str">
        <f t="shared" si="540"/>
        <v>19/03/2026</v>
      </c>
      <c r="J2907" t="str">
        <f>("16/03/2026")</f>
        <v>16/03/2026</v>
      </c>
      <c r="K2907" t="str">
        <f>("18/03/2026")</f>
        <v>18/03/2026</v>
      </c>
      <c r="L2907">
        <v>58</v>
      </c>
      <c r="M2907">
        <v>58</v>
      </c>
      <c r="N2907">
        <v>109</v>
      </c>
      <c r="O2907" t="str">
        <f>"PAGAMENTO DE ENTREGADORES"</f>
        <v>PAGAMENTO DE ENTREGADORES</v>
      </c>
      <c r="P2907">
        <v>58</v>
      </c>
      <c r="S2907" t="str">
        <f>"CAIXA MOVIMENTAÇÃO OPERACIONAL (132)"</f>
        <v>CAIXA MOVIMENTAÇÃO OPERACIONAL (132)</v>
      </c>
      <c r="T2907">
        <v>31176</v>
      </c>
      <c r="U2907">
        <v>35445</v>
      </c>
      <c r="V2907" t="s">
        <v>22</v>
      </c>
    </row>
    <row r="2908" spans="1:22">
      <c r="A2908" t="str">
        <f t="shared" si="534"/>
        <v>18/03/2026</v>
      </c>
      <c r="B2908" t="str">
        <f>"SAÍDA"</f>
        <v>SAÍDA</v>
      </c>
      <c r="C2908" t="str">
        <f>"PIX"</f>
        <v>PIX</v>
      </c>
      <c r="D2908" t="str">
        <f>"34969"</f>
        <v>34969</v>
      </c>
      <c r="E2908" t="str">
        <f>"1"</f>
        <v>1</v>
      </c>
      <c r="F2908" t="str">
        <f t="shared" si="538"/>
        <v>COM</v>
      </c>
      <c r="G2908" t="str">
        <f>"JOSE CARLOS ALEXANDRE (1315)"</f>
        <v>JOSE CARLOS ALEXANDRE (1315)</v>
      </c>
      <c r="H2908" t="s">
        <v>902</v>
      </c>
      <c r="I2908" t="str">
        <f t="shared" si="540"/>
        <v>19/03/2026</v>
      </c>
      <c r="J2908" t="str">
        <f>("16/03/2026")</f>
        <v>16/03/2026</v>
      </c>
      <c r="K2908">
        <v>46099</v>
      </c>
      <c r="N2908">
        <v>109</v>
      </c>
      <c r="O2908" t="s">
        <v>27</v>
      </c>
      <c r="Q2908">
        <v>58</v>
      </c>
      <c r="R2908" t="str">
        <f>"LBL FARMACIA LTDA (10189)"</f>
        <v>LBL FARMACIA LTDA (10189)</v>
      </c>
      <c r="S2908" t="s">
        <v>22</v>
      </c>
      <c r="T2908">
        <v>31176</v>
      </c>
      <c r="U2908">
        <v>35445</v>
      </c>
      <c r="V2908" t="s">
        <v>22</v>
      </c>
    </row>
    <row r="2909" spans="1:22">
      <c r="A2909" t="str">
        <f t="shared" si="534"/>
        <v>18/03/2026</v>
      </c>
      <c r="B2909" t="str">
        <f>"ENTRADA"</f>
        <v>ENTRADA</v>
      </c>
      <c r="C2909" t="str">
        <f>"DINHEIRO"</f>
        <v>DINHEIRO</v>
      </c>
      <c r="D2909" t="str">
        <f>"19032026"</f>
        <v>19032026</v>
      </c>
      <c r="E2909" t="str">
        <f>""</f>
        <v/>
      </c>
      <c r="F2909" t="str">
        <f t="shared" si="538"/>
        <v>COM</v>
      </c>
      <c r="G2909" t="str">
        <f t="shared" ref="G2909:G2916" si="541">"DIEGO FAUSTINO DA SILVA (1076)"</f>
        <v>DIEGO FAUSTINO DA SILVA (1076)</v>
      </c>
      <c r="H2909" t="str">
        <f>"REEMBOLSO BAG"</f>
        <v>REEMBOLSO BAG</v>
      </c>
      <c r="I2909" t="str">
        <f t="shared" si="540"/>
        <v>19/03/2026</v>
      </c>
      <c r="J2909" t="str">
        <f>("18/03/2026")</f>
        <v>18/03/2026</v>
      </c>
      <c r="K2909" t="str">
        <f>("18/03/2026")</f>
        <v>18/03/2026</v>
      </c>
      <c r="L2909">
        <v>28</v>
      </c>
      <c r="M2909">
        <v>28</v>
      </c>
      <c r="N2909">
        <v>108</v>
      </c>
      <c r="O2909" t="str">
        <f>"RECEITAS COM REEMBOLSOS"</f>
        <v>RECEITAS COM REEMBOLSOS</v>
      </c>
      <c r="P2909">
        <v>28</v>
      </c>
      <c r="S2909" t="str">
        <f>"RECEITAS COM REEMBOLSOS (108)"</f>
        <v>RECEITAS COM REEMBOLSOS (108)</v>
      </c>
      <c r="T2909">
        <v>31177</v>
      </c>
      <c r="U2909">
        <v>35446</v>
      </c>
      <c r="V2909" t="s">
        <v>22</v>
      </c>
    </row>
    <row r="2910" spans="1:22">
      <c r="A2910" t="str">
        <f t="shared" si="534"/>
        <v>18/03/2026</v>
      </c>
      <c r="B2910" t="str">
        <f>"ENTRADA"</f>
        <v>ENTRADA</v>
      </c>
      <c r="C2910" t="str">
        <f>"DINHEIRO"</f>
        <v>DINHEIRO</v>
      </c>
      <c r="D2910" t="str">
        <f>"19032026"</f>
        <v>19032026</v>
      </c>
      <c r="E2910" t="str">
        <f>""</f>
        <v/>
      </c>
      <c r="F2910" t="str">
        <f t="shared" si="538"/>
        <v>COM</v>
      </c>
      <c r="G2910" t="str">
        <f t="shared" si="541"/>
        <v>DIEGO FAUSTINO DA SILVA (1076)</v>
      </c>
      <c r="H2910" t="s">
        <v>901</v>
      </c>
      <c r="I2910" t="str">
        <f t="shared" si="540"/>
        <v>19/03/2026</v>
      </c>
      <c r="J2910" t="str">
        <f>("18/03/2026")</f>
        <v>18/03/2026</v>
      </c>
      <c r="K2910">
        <v>46099</v>
      </c>
      <c r="N2910">
        <v>108</v>
      </c>
      <c r="O2910" t="s">
        <v>871</v>
      </c>
      <c r="Q2910">
        <v>28</v>
      </c>
      <c r="R2910" t="str">
        <f>"FARMÁCIA INDIANA LJ 152 (10069)"</f>
        <v>FARMÁCIA INDIANA LJ 152 (10069)</v>
      </c>
      <c r="S2910" t="s">
        <v>872</v>
      </c>
      <c r="T2910">
        <v>31177</v>
      </c>
      <c r="U2910">
        <v>35446</v>
      </c>
      <c r="V2910" t="s">
        <v>22</v>
      </c>
    </row>
    <row r="2911" spans="1:22">
      <c r="A2911" t="str">
        <f t="shared" si="534"/>
        <v>18/03/2026</v>
      </c>
      <c r="B2911" t="str">
        <f>"SAÍDA"</f>
        <v>SAÍDA</v>
      </c>
      <c r="C2911" t="str">
        <f>"PIX"</f>
        <v>PIX</v>
      </c>
      <c r="D2911" t="str">
        <f>"34565"</f>
        <v>34565</v>
      </c>
      <c r="E2911" t="str">
        <f>"1"</f>
        <v>1</v>
      </c>
      <c r="F2911" t="str">
        <f t="shared" si="538"/>
        <v>COM</v>
      </c>
      <c r="G2911" t="str">
        <f t="shared" si="541"/>
        <v>DIEGO FAUSTINO DA SILVA (1076)</v>
      </c>
      <c r="H2911" t="str">
        <f>"Serv.Prest. 02/03/2026 a 08/03/2026 - PIX: CELULAR - CHAVE: (33) 99874-0376"</f>
        <v>Serv.Prest. 02/03/2026 a 08/03/2026 - PIX: CELULAR - CHAVE: (33) 99874-0376</v>
      </c>
      <c r="I2911" t="str">
        <f t="shared" si="540"/>
        <v>19/03/2026</v>
      </c>
      <c r="J2911" t="str">
        <f>("10/03/2026")</f>
        <v>10/03/2026</v>
      </c>
      <c r="K2911" t="str">
        <f>("18/03/2026")</f>
        <v>18/03/2026</v>
      </c>
      <c r="L2911">
        <v>28</v>
      </c>
      <c r="M2911">
        <v>28</v>
      </c>
      <c r="N2911">
        <v>109</v>
      </c>
      <c r="O2911" t="str">
        <f>"PAGAMENTO DE ENTREGADORES"</f>
        <v>PAGAMENTO DE ENTREGADORES</v>
      </c>
      <c r="P2911">
        <v>28</v>
      </c>
      <c r="S2911" t="str">
        <f>"CAIXA MOVIMENTAÇÃO OPERACIONAL (132)"</f>
        <v>CAIXA MOVIMENTAÇÃO OPERACIONAL (132)</v>
      </c>
      <c r="T2911">
        <v>31178</v>
      </c>
      <c r="U2911">
        <v>35450</v>
      </c>
      <c r="V2911" t="s">
        <v>22</v>
      </c>
    </row>
    <row r="2912" spans="1:22">
      <c r="A2912" t="str">
        <f t="shared" si="534"/>
        <v>18/03/2026</v>
      </c>
      <c r="B2912" t="str">
        <f>"SAÍDA"</f>
        <v>SAÍDA</v>
      </c>
      <c r="C2912" t="str">
        <f>"PIX"</f>
        <v>PIX</v>
      </c>
      <c r="D2912" t="str">
        <f>"34565"</f>
        <v>34565</v>
      </c>
      <c r="E2912" t="str">
        <f>"1"</f>
        <v>1</v>
      </c>
      <c r="F2912" t="str">
        <f t="shared" si="538"/>
        <v>COM</v>
      </c>
      <c r="G2912" t="str">
        <f t="shared" si="541"/>
        <v>DIEGO FAUSTINO DA SILVA (1076)</v>
      </c>
      <c r="H2912" t="s">
        <v>903</v>
      </c>
      <c r="I2912" t="str">
        <f t="shared" si="540"/>
        <v>19/03/2026</v>
      </c>
      <c r="J2912" t="str">
        <f>("10/03/2026")</f>
        <v>10/03/2026</v>
      </c>
      <c r="K2912">
        <v>46099</v>
      </c>
      <c r="N2912">
        <v>109</v>
      </c>
      <c r="O2912" t="s">
        <v>27</v>
      </c>
      <c r="Q2912">
        <v>28</v>
      </c>
      <c r="R2912" t="str">
        <f>"FARMÁCIA INDIANA LJ 152 (10069)"</f>
        <v>FARMÁCIA INDIANA LJ 152 (10069)</v>
      </c>
      <c r="S2912" t="s">
        <v>22</v>
      </c>
      <c r="T2912">
        <v>31178</v>
      </c>
      <c r="U2912">
        <v>35450</v>
      </c>
      <c r="V2912" t="s">
        <v>22</v>
      </c>
    </row>
    <row r="2913" spans="1:22">
      <c r="A2913" t="str">
        <f t="shared" si="534"/>
        <v>18/03/2026</v>
      </c>
      <c r="B2913" t="str">
        <f>"ENTRADA"</f>
        <v>ENTRADA</v>
      </c>
      <c r="C2913" t="str">
        <f>"DINHEIRO"</f>
        <v>DINHEIRO</v>
      </c>
      <c r="D2913" t="str">
        <f>"19032026"</f>
        <v>19032026</v>
      </c>
      <c r="E2913" t="str">
        <f>"2"</f>
        <v>2</v>
      </c>
      <c r="F2913" t="str">
        <f t="shared" si="538"/>
        <v>COM</v>
      </c>
      <c r="G2913" t="str">
        <f t="shared" si="541"/>
        <v>DIEGO FAUSTINO DA SILVA (1076)</v>
      </c>
      <c r="H2913" t="str">
        <f>"REEMBOLSO BAG"</f>
        <v>REEMBOLSO BAG</v>
      </c>
      <c r="I2913" t="str">
        <f>("26/03/2026")</f>
        <v>26/03/2026</v>
      </c>
      <c r="J2913" t="str">
        <f>("18/03/2026")</f>
        <v>18/03/2026</v>
      </c>
      <c r="K2913" t="str">
        <f>("18/03/2026")</f>
        <v>18/03/2026</v>
      </c>
      <c r="L2913">
        <v>31</v>
      </c>
      <c r="M2913">
        <v>31</v>
      </c>
      <c r="N2913">
        <v>108</v>
      </c>
      <c r="O2913" t="str">
        <f>"RECEITAS COM REEMBOLSOS"</f>
        <v>RECEITAS COM REEMBOLSOS</v>
      </c>
      <c r="P2913">
        <v>31</v>
      </c>
      <c r="S2913" t="str">
        <f>"RECEITAS COM REEMBOLSOS (108)"</f>
        <v>RECEITAS COM REEMBOLSOS (108)</v>
      </c>
      <c r="T2913">
        <v>31179</v>
      </c>
      <c r="U2913">
        <v>35447</v>
      </c>
      <c r="V2913" t="s">
        <v>22</v>
      </c>
    </row>
    <row r="2914" spans="1:22">
      <c r="A2914" t="str">
        <f t="shared" si="534"/>
        <v>18/03/2026</v>
      </c>
      <c r="B2914" t="str">
        <f>"ENTRADA"</f>
        <v>ENTRADA</v>
      </c>
      <c r="C2914" t="str">
        <f>"DINHEIRO"</f>
        <v>DINHEIRO</v>
      </c>
      <c r="D2914" t="str">
        <f>"19032026"</f>
        <v>19032026</v>
      </c>
      <c r="E2914" t="str">
        <f>"2"</f>
        <v>2</v>
      </c>
      <c r="F2914" t="str">
        <f t="shared" si="538"/>
        <v>COM</v>
      </c>
      <c r="G2914" t="str">
        <f t="shared" si="541"/>
        <v>DIEGO FAUSTINO DA SILVA (1076)</v>
      </c>
      <c r="H2914" t="s">
        <v>901</v>
      </c>
      <c r="I2914" t="str">
        <f>("26/03/2026")</f>
        <v>26/03/2026</v>
      </c>
      <c r="J2914" t="str">
        <f>("18/03/2026")</f>
        <v>18/03/2026</v>
      </c>
      <c r="K2914">
        <v>46099</v>
      </c>
      <c r="N2914">
        <v>108</v>
      </c>
      <c r="O2914" t="s">
        <v>871</v>
      </c>
      <c r="Q2914">
        <v>31</v>
      </c>
      <c r="R2914" t="str">
        <f>"FARMÁCIA INDIANA LJ 152 (10069)"</f>
        <v>FARMÁCIA INDIANA LJ 152 (10069)</v>
      </c>
      <c r="S2914" t="s">
        <v>872</v>
      </c>
      <c r="T2914">
        <v>31179</v>
      </c>
      <c r="U2914">
        <v>35447</v>
      </c>
      <c r="V2914" t="s">
        <v>22</v>
      </c>
    </row>
    <row r="2915" spans="1:22">
      <c r="A2915" t="str">
        <f t="shared" ref="A2915:A2978" si="542">("18/03/2026")</f>
        <v>18/03/2026</v>
      </c>
      <c r="B2915" t="str">
        <f>"SAÍDA"</f>
        <v>SAÍDA</v>
      </c>
      <c r="C2915" t="str">
        <f>"PIX"</f>
        <v>PIX</v>
      </c>
      <c r="D2915" t="str">
        <f>"35218"</f>
        <v>35218</v>
      </c>
      <c r="E2915" t="str">
        <f>"1"</f>
        <v>1</v>
      </c>
      <c r="F2915" t="str">
        <f t="shared" si="538"/>
        <v>COM</v>
      </c>
      <c r="G2915" t="str">
        <f t="shared" si="541"/>
        <v>DIEGO FAUSTINO DA SILVA (1076)</v>
      </c>
      <c r="H2915" t="str">
        <f>"Serv.Prest. 09/03/2026 a 15/03/2026 - PIX: CELULAR - CHAVE: (33) 99874-0376"</f>
        <v>Serv.Prest. 09/03/2026 a 15/03/2026 - PIX: CELULAR - CHAVE: (33) 99874-0376</v>
      </c>
      <c r="I2915" t="str">
        <f>("26/03/2026")</f>
        <v>26/03/2026</v>
      </c>
      <c r="J2915" t="str">
        <f>("17/03/2026")</f>
        <v>17/03/2026</v>
      </c>
      <c r="K2915" t="str">
        <f>("18/03/2026")</f>
        <v>18/03/2026</v>
      </c>
      <c r="L2915">
        <v>31</v>
      </c>
      <c r="M2915">
        <v>31</v>
      </c>
      <c r="N2915">
        <v>109</v>
      </c>
      <c r="O2915" t="str">
        <f>"PAGAMENTO DE ENTREGADORES"</f>
        <v>PAGAMENTO DE ENTREGADORES</v>
      </c>
      <c r="P2915">
        <v>31</v>
      </c>
      <c r="S2915" t="str">
        <f>"CAIXA MOVIMENTAÇÃO OPERACIONAL (132)"</f>
        <v>CAIXA MOVIMENTAÇÃO OPERACIONAL (132)</v>
      </c>
      <c r="T2915">
        <v>31180</v>
      </c>
      <c r="U2915">
        <v>35451</v>
      </c>
      <c r="V2915" t="s">
        <v>22</v>
      </c>
    </row>
    <row r="2916" spans="1:22">
      <c r="A2916" t="str">
        <f t="shared" si="542"/>
        <v>18/03/2026</v>
      </c>
      <c r="B2916" t="str">
        <f>"SAÍDA"</f>
        <v>SAÍDA</v>
      </c>
      <c r="C2916" t="str">
        <f>"PIX"</f>
        <v>PIX</v>
      </c>
      <c r="D2916" t="str">
        <f>"35218"</f>
        <v>35218</v>
      </c>
      <c r="E2916" t="str">
        <f>"1"</f>
        <v>1</v>
      </c>
      <c r="F2916" t="str">
        <f t="shared" si="538"/>
        <v>COM</v>
      </c>
      <c r="G2916" t="str">
        <f t="shared" si="541"/>
        <v>DIEGO FAUSTINO DA SILVA (1076)</v>
      </c>
      <c r="H2916" t="s">
        <v>904</v>
      </c>
      <c r="I2916" t="str">
        <f>("26/03/2026")</f>
        <v>26/03/2026</v>
      </c>
      <c r="J2916" t="str">
        <f>("17/03/2026")</f>
        <v>17/03/2026</v>
      </c>
      <c r="K2916">
        <v>46099</v>
      </c>
      <c r="N2916">
        <v>109</v>
      </c>
      <c r="O2916" t="s">
        <v>27</v>
      </c>
      <c r="Q2916">
        <v>31</v>
      </c>
      <c r="R2916" t="str">
        <f>"FARMÁCIA INDIANA LJ 152 (10069)"</f>
        <v>FARMÁCIA INDIANA LJ 152 (10069)</v>
      </c>
      <c r="S2916" t="s">
        <v>22</v>
      </c>
      <c r="T2916">
        <v>31180</v>
      </c>
      <c r="U2916">
        <v>35451</v>
      </c>
      <c r="V2916" t="s">
        <v>22</v>
      </c>
    </row>
    <row r="2917" spans="1:22">
      <c r="A2917" t="str">
        <f t="shared" si="542"/>
        <v>18/03/2026</v>
      </c>
      <c r="B2917" t="str">
        <f>"ENTRADA"</f>
        <v>ENTRADA</v>
      </c>
      <c r="C2917" t="str">
        <f>"DINHEIRO"</f>
        <v>DINHEIRO</v>
      </c>
      <c r="D2917" t="str">
        <f>"19032026"</f>
        <v>19032026</v>
      </c>
      <c r="E2917" t="str">
        <f>""</f>
        <v/>
      </c>
      <c r="F2917" t="str">
        <f t="shared" si="538"/>
        <v>COM</v>
      </c>
      <c r="G2917" t="str">
        <f t="shared" ref="G2917:G2924" si="543">"GILSON OLIVEIRA CAMPINHO JUNIOR (132)"</f>
        <v>GILSON OLIVEIRA CAMPINHO JUNIOR (132)</v>
      </c>
      <c r="H2917" t="str">
        <f>"REEMBOLSO BAG"</f>
        <v>REEMBOLSO BAG</v>
      </c>
      <c r="I2917" t="str">
        <f>("19/03/2026")</f>
        <v>19/03/2026</v>
      </c>
      <c r="J2917" t="str">
        <f>("18/03/2026")</f>
        <v>18/03/2026</v>
      </c>
      <c r="K2917" t="str">
        <f>("18/03/2026")</f>
        <v>18/03/2026</v>
      </c>
      <c r="L2917">
        <v>31</v>
      </c>
      <c r="M2917">
        <v>31</v>
      </c>
      <c r="N2917">
        <v>108</v>
      </c>
      <c r="O2917" t="str">
        <f>"RECEITAS COM REEMBOLSOS"</f>
        <v>RECEITAS COM REEMBOLSOS</v>
      </c>
      <c r="P2917">
        <v>31</v>
      </c>
      <c r="S2917" t="str">
        <f>"RECEITAS COM REEMBOLSOS (108)"</f>
        <v>RECEITAS COM REEMBOLSOS (108)</v>
      </c>
      <c r="T2917">
        <v>31181</v>
      </c>
      <c r="U2917">
        <v>35452</v>
      </c>
      <c r="V2917" t="s">
        <v>22</v>
      </c>
    </row>
    <row r="2918" spans="1:22">
      <c r="A2918" t="str">
        <f t="shared" si="542"/>
        <v>18/03/2026</v>
      </c>
      <c r="B2918" t="str">
        <f>"ENTRADA"</f>
        <v>ENTRADA</v>
      </c>
      <c r="C2918" t="str">
        <f>"DINHEIRO"</f>
        <v>DINHEIRO</v>
      </c>
      <c r="D2918" t="str">
        <f>"19032026"</f>
        <v>19032026</v>
      </c>
      <c r="E2918" t="str">
        <f>""</f>
        <v/>
      </c>
      <c r="F2918" t="str">
        <f t="shared" si="538"/>
        <v>COM</v>
      </c>
      <c r="G2918" t="str">
        <f t="shared" si="543"/>
        <v>GILSON OLIVEIRA CAMPINHO JUNIOR (132)</v>
      </c>
      <c r="H2918" t="s">
        <v>901</v>
      </c>
      <c r="I2918" t="str">
        <f>("19/03/2026")</f>
        <v>19/03/2026</v>
      </c>
      <c r="J2918" t="str">
        <f>("18/03/2026")</f>
        <v>18/03/2026</v>
      </c>
      <c r="K2918">
        <v>46099</v>
      </c>
      <c r="N2918">
        <v>108</v>
      </c>
      <c r="O2918" t="s">
        <v>871</v>
      </c>
      <c r="Q2918">
        <v>31</v>
      </c>
      <c r="R2918" t="str">
        <f>"FARMÁCIA INDIANA LJ 91 (10037)"</f>
        <v>FARMÁCIA INDIANA LJ 91 (10037)</v>
      </c>
      <c r="S2918" t="s">
        <v>872</v>
      </c>
      <c r="T2918">
        <v>31181</v>
      </c>
      <c r="U2918">
        <v>35452</v>
      </c>
      <c r="V2918" t="s">
        <v>22</v>
      </c>
    </row>
    <row r="2919" spans="1:22">
      <c r="A2919" t="str">
        <f t="shared" si="542"/>
        <v>18/03/2026</v>
      </c>
      <c r="B2919" t="str">
        <f>"SAÍDA"</f>
        <v>SAÍDA</v>
      </c>
      <c r="C2919" t="str">
        <f>"PIX"</f>
        <v>PIX</v>
      </c>
      <c r="D2919" t="str">
        <f>"34499"</f>
        <v>34499</v>
      </c>
      <c r="E2919" t="str">
        <f>"1"</f>
        <v>1</v>
      </c>
      <c r="F2919" t="str">
        <f t="shared" si="538"/>
        <v>COM</v>
      </c>
      <c r="G2919" t="str">
        <f t="shared" si="543"/>
        <v>GILSON OLIVEIRA CAMPINHO JUNIOR (132)</v>
      </c>
      <c r="H2919" t="str">
        <f>"Serv.Prest. 02/03/2026 a 08/03/2026 - PIX: CELULAR - CHAVE: (73) 988381077"</f>
        <v>Serv.Prest. 02/03/2026 a 08/03/2026 - PIX: CELULAR - CHAVE: (73) 988381077</v>
      </c>
      <c r="I2919" t="str">
        <f>("19/03/2026")</f>
        <v>19/03/2026</v>
      </c>
      <c r="J2919" t="str">
        <f>("10/03/2026")</f>
        <v>10/03/2026</v>
      </c>
      <c r="K2919" t="str">
        <f>("18/03/2026")</f>
        <v>18/03/2026</v>
      </c>
      <c r="L2919">
        <v>31</v>
      </c>
      <c r="M2919">
        <v>31</v>
      </c>
      <c r="N2919">
        <v>109</v>
      </c>
      <c r="O2919" t="str">
        <f>"PAGAMENTO DE ENTREGADORES"</f>
        <v>PAGAMENTO DE ENTREGADORES</v>
      </c>
      <c r="P2919">
        <v>31</v>
      </c>
      <c r="S2919" t="str">
        <f>"CAIXA MOVIMENTAÇÃO OPERACIONAL (132)"</f>
        <v>CAIXA MOVIMENTAÇÃO OPERACIONAL (132)</v>
      </c>
      <c r="T2919">
        <v>31182</v>
      </c>
      <c r="U2919">
        <v>35456</v>
      </c>
      <c r="V2919" t="s">
        <v>22</v>
      </c>
    </row>
    <row r="2920" spans="1:22">
      <c r="A2920" t="str">
        <f t="shared" si="542"/>
        <v>18/03/2026</v>
      </c>
      <c r="B2920" t="str">
        <f>"SAÍDA"</f>
        <v>SAÍDA</v>
      </c>
      <c r="C2920" t="str">
        <f>"PIX"</f>
        <v>PIX</v>
      </c>
      <c r="D2920" t="str">
        <f>"34499"</f>
        <v>34499</v>
      </c>
      <c r="E2920" t="str">
        <f>"1"</f>
        <v>1</v>
      </c>
      <c r="F2920" t="str">
        <f t="shared" si="538"/>
        <v>COM</v>
      </c>
      <c r="G2920" t="str">
        <f t="shared" si="543"/>
        <v>GILSON OLIVEIRA CAMPINHO JUNIOR (132)</v>
      </c>
      <c r="H2920" t="s">
        <v>905</v>
      </c>
      <c r="I2920" t="str">
        <f>("19/03/2026")</f>
        <v>19/03/2026</v>
      </c>
      <c r="J2920" t="str">
        <f>("10/03/2026")</f>
        <v>10/03/2026</v>
      </c>
      <c r="K2920">
        <v>46099</v>
      </c>
      <c r="N2920">
        <v>109</v>
      </c>
      <c r="O2920" t="s">
        <v>27</v>
      </c>
      <c r="Q2920">
        <v>31</v>
      </c>
      <c r="R2920" t="str">
        <f>"FARMÁCIA INDIANA LJ 91 (10037)"</f>
        <v>FARMÁCIA INDIANA LJ 91 (10037)</v>
      </c>
      <c r="S2920" t="s">
        <v>22</v>
      </c>
      <c r="T2920">
        <v>31182</v>
      </c>
      <c r="U2920">
        <v>35456</v>
      </c>
      <c r="V2920" t="s">
        <v>22</v>
      </c>
    </row>
    <row r="2921" spans="1:22">
      <c r="A2921" t="str">
        <f t="shared" si="542"/>
        <v>18/03/2026</v>
      </c>
      <c r="B2921" t="str">
        <f>"ENTRADA"</f>
        <v>ENTRADA</v>
      </c>
      <c r="C2921" t="str">
        <f>"DINHEIRO"</f>
        <v>DINHEIRO</v>
      </c>
      <c r="D2921" t="str">
        <f>"19032026"</f>
        <v>19032026</v>
      </c>
      <c r="E2921" t="str">
        <f>"2"</f>
        <v>2</v>
      </c>
      <c r="F2921" t="str">
        <f t="shared" si="538"/>
        <v>COM</v>
      </c>
      <c r="G2921" t="str">
        <f t="shared" si="543"/>
        <v>GILSON OLIVEIRA CAMPINHO JUNIOR (132)</v>
      </c>
      <c r="H2921" t="str">
        <f>"REEMBOLSO BAG"</f>
        <v>REEMBOLSO BAG</v>
      </c>
      <c r="I2921" t="str">
        <f>("26/03/2026")</f>
        <v>26/03/2026</v>
      </c>
      <c r="J2921" t="str">
        <f>("18/03/2026")</f>
        <v>18/03/2026</v>
      </c>
      <c r="K2921" t="str">
        <f>("18/03/2026")</f>
        <v>18/03/2026</v>
      </c>
      <c r="L2921">
        <v>28</v>
      </c>
      <c r="M2921">
        <v>28</v>
      </c>
      <c r="N2921">
        <v>108</v>
      </c>
      <c r="O2921" t="str">
        <f>"RECEITAS COM REEMBOLSOS"</f>
        <v>RECEITAS COM REEMBOLSOS</v>
      </c>
      <c r="P2921">
        <v>28</v>
      </c>
      <c r="S2921" t="str">
        <f>"RECEITAS COM REEMBOLSOS (108)"</f>
        <v>RECEITAS COM REEMBOLSOS (108)</v>
      </c>
      <c r="T2921">
        <v>31183</v>
      </c>
      <c r="U2921">
        <v>35453</v>
      </c>
      <c r="V2921" t="s">
        <v>22</v>
      </c>
    </row>
    <row r="2922" spans="1:22">
      <c r="A2922" t="str">
        <f t="shared" si="542"/>
        <v>18/03/2026</v>
      </c>
      <c r="B2922" t="str">
        <f>"ENTRADA"</f>
        <v>ENTRADA</v>
      </c>
      <c r="C2922" t="str">
        <f>"DINHEIRO"</f>
        <v>DINHEIRO</v>
      </c>
      <c r="D2922" t="str">
        <f>"19032026"</f>
        <v>19032026</v>
      </c>
      <c r="E2922" t="str">
        <f>"2"</f>
        <v>2</v>
      </c>
      <c r="F2922" t="str">
        <f t="shared" si="538"/>
        <v>COM</v>
      </c>
      <c r="G2922" t="str">
        <f t="shared" si="543"/>
        <v>GILSON OLIVEIRA CAMPINHO JUNIOR (132)</v>
      </c>
      <c r="H2922" t="s">
        <v>901</v>
      </c>
      <c r="I2922" t="str">
        <f>("26/03/2026")</f>
        <v>26/03/2026</v>
      </c>
      <c r="J2922" t="str">
        <f>("18/03/2026")</f>
        <v>18/03/2026</v>
      </c>
      <c r="K2922">
        <v>46099</v>
      </c>
      <c r="N2922">
        <v>108</v>
      </c>
      <c r="O2922" t="s">
        <v>871</v>
      </c>
      <c r="Q2922">
        <v>28</v>
      </c>
      <c r="R2922" t="str">
        <f>"FARMÁCIA INDIANA LJ 91 (10037)"</f>
        <v>FARMÁCIA INDIANA LJ 91 (10037)</v>
      </c>
      <c r="S2922" t="s">
        <v>872</v>
      </c>
      <c r="T2922">
        <v>31183</v>
      </c>
      <c r="U2922">
        <v>35453</v>
      </c>
      <c r="V2922" t="s">
        <v>22</v>
      </c>
    </row>
    <row r="2923" spans="1:22">
      <c r="A2923" t="str">
        <f t="shared" si="542"/>
        <v>18/03/2026</v>
      </c>
      <c r="B2923" t="str">
        <f>"SAÍDA"</f>
        <v>SAÍDA</v>
      </c>
      <c r="C2923" t="str">
        <f>"PIX"</f>
        <v>PIX</v>
      </c>
      <c r="D2923" t="str">
        <f>"35154"</f>
        <v>35154</v>
      </c>
      <c r="E2923" t="str">
        <f>"1"</f>
        <v>1</v>
      </c>
      <c r="F2923" t="str">
        <f t="shared" si="538"/>
        <v>COM</v>
      </c>
      <c r="G2923" t="str">
        <f t="shared" si="543"/>
        <v>GILSON OLIVEIRA CAMPINHO JUNIOR (132)</v>
      </c>
      <c r="H2923" t="str">
        <f>"Serv.Prest. 09/03/2026 a 15/03/2026 - PIX: CELULAR - CHAVE: (73) 988381077"</f>
        <v>Serv.Prest. 09/03/2026 a 15/03/2026 - PIX: CELULAR - CHAVE: (73) 988381077</v>
      </c>
      <c r="I2923" t="str">
        <f>("26/03/2026")</f>
        <v>26/03/2026</v>
      </c>
      <c r="J2923" t="str">
        <f>("17/03/2026")</f>
        <v>17/03/2026</v>
      </c>
      <c r="K2923" t="str">
        <f>("18/03/2026")</f>
        <v>18/03/2026</v>
      </c>
      <c r="L2923">
        <v>28</v>
      </c>
      <c r="M2923">
        <v>28</v>
      </c>
      <c r="N2923">
        <v>109</v>
      </c>
      <c r="O2923" t="str">
        <f>"PAGAMENTO DE ENTREGADORES"</f>
        <v>PAGAMENTO DE ENTREGADORES</v>
      </c>
      <c r="P2923">
        <v>28</v>
      </c>
      <c r="S2923" t="str">
        <f>"CAIXA MOVIMENTAÇÃO OPERACIONAL (132)"</f>
        <v>CAIXA MOVIMENTAÇÃO OPERACIONAL (132)</v>
      </c>
      <c r="T2923">
        <v>31184</v>
      </c>
      <c r="U2923">
        <v>35457</v>
      </c>
      <c r="V2923" t="s">
        <v>22</v>
      </c>
    </row>
    <row r="2924" spans="1:22">
      <c r="A2924" t="str">
        <f t="shared" si="542"/>
        <v>18/03/2026</v>
      </c>
      <c r="B2924" t="str">
        <f>"SAÍDA"</f>
        <v>SAÍDA</v>
      </c>
      <c r="C2924" t="str">
        <f>"PIX"</f>
        <v>PIX</v>
      </c>
      <c r="D2924" t="str">
        <f>"35154"</f>
        <v>35154</v>
      </c>
      <c r="E2924" t="str">
        <f>"1"</f>
        <v>1</v>
      </c>
      <c r="F2924" t="str">
        <f t="shared" si="538"/>
        <v>COM</v>
      </c>
      <c r="G2924" t="str">
        <f t="shared" si="543"/>
        <v>GILSON OLIVEIRA CAMPINHO JUNIOR (132)</v>
      </c>
      <c r="H2924" t="s">
        <v>838</v>
      </c>
      <c r="I2924" t="str">
        <f>("26/03/2026")</f>
        <v>26/03/2026</v>
      </c>
      <c r="J2924" t="str">
        <f>("17/03/2026")</f>
        <v>17/03/2026</v>
      </c>
      <c r="K2924">
        <v>46099</v>
      </c>
      <c r="N2924">
        <v>109</v>
      </c>
      <c r="O2924" t="s">
        <v>27</v>
      </c>
      <c r="Q2924">
        <v>28</v>
      </c>
      <c r="R2924" t="str">
        <f>"FARMÁCIA INDIANA LJ 91 (10037)"</f>
        <v>FARMÁCIA INDIANA LJ 91 (10037)</v>
      </c>
      <c r="S2924" t="s">
        <v>22</v>
      </c>
      <c r="T2924">
        <v>31184</v>
      </c>
      <c r="U2924">
        <v>35457</v>
      </c>
      <c r="V2924" t="s">
        <v>22</v>
      </c>
    </row>
    <row r="2925" spans="1:22">
      <c r="A2925" t="str">
        <f t="shared" si="542"/>
        <v>18/03/2026</v>
      </c>
      <c r="B2925" t="str">
        <f>"SAÍDA"</f>
        <v>SAÍDA</v>
      </c>
      <c r="C2925" t="str">
        <f>"PIX"</f>
        <v>PIX</v>
      </c>
      <c r="D2925" t="str">
        <f>"34877"</f>
        <v>34877</v>
      </c>
      <c r="E2925" t="str">
        <f>"1"</f>
        <v>1</v>
      </c>
      <c r="F2925" t="str">
        <f t="shared" si="538"/>
        <v>COM</v>
      </c>
      <c r="G2925" t="str">
        <f>"MAICON ALVES DA SILVA (1205)"</f>
        <v>MAICON ALVES DA SILVA (1205)</v>
      </c>
      <c r="H2925" t="str">
        <f>"Serv.Prest. 09/03/2026 a 15/03/2026 - PIX: CNPJ - CHAVE: 48.182.907/0001-45"</f>
        <v>Serv.Prest. 09/03/2026 a 15/03/2026 - PIX: CNPJ - CHAVE: 48.182.907/0001-45</v>
      </c>
      <c r="I2925" t="str">
        <f t="shared" ref="I2925:I2932" si="544">("19/03/2026")</f>
        <v>19/03/2026</v>
      </c>
      <c r="J2925" t="str">
        <f>("16/03/2026")</f>
        <v>16/03/2026</v>
      </c>
      <c r="K2925" t="str">
        <f>("18/03/2026")</f>
        <v>18/03/2026</v>
      </c>
      <c r="L2925">
        <v>31</v>
      </c>
      <c r="M2925">
        <v>31</v>
      </c>
      <c r="N2925">
        <v>109</v>
      </c>
      <c r="O2925" t="str">
        <f>"PAGAMENTO DE ENTREGADORES"</f>
        <v>PAGAMENTO DE ENTREGADORES</v>
      </c>
      <c r="P2925">
        <v>31</v>
      </c>
      <c r="S2925" t="str">
        <f>"CAIXA MOVIMENTAÇÃO OPERACIONAL (132)"</f>
        <v>CAIXA MOVIMENTAÇÃO OPERACIONAL (132)</v>
      </c>
      <c r="T2925">
        <v>31185</v>
      </c>
      <c r="U2925">
        <v>35462</v>
      </c>
      <c r="V2925" t="s">
        <v>22</v>
      </c>
    </row>
    <row r="2926" spans="1:22">
      <c r="A2926" t="str">
        <f t="shared" si="542"/>
        <v>18/03/2026</v>
      </c>
      <c r="B2926" t="str">
        <f>"SAÍDA"</f>
        <v>SAÍDA</v>
      </c>
      <c r="C2926" t="str">
        <f>"PIX"</f>
        <v>PIX</v>
      </c>
      <c r="D2926" t="str">
        <f>"34877"</f>
        <v>34877</v>
      </c>
      <c r="E2926" t="str">
        <f>"1"</f>
        <v>1</v>
      </c>
      <c r="F2926" t="str">
        <f t="shared" si="538"/>
        <v>COM</v>
      </c>
      <c r="G2926" t="str">
        <f>"MAICON ALVES DA SILVA (1205)"</f>
        <v>MAICON ALVES DA SILVA (1205)</v>
      </c>
      <c r="H2926" t="s">
        <v>906</v>
      </c>
      <c r="I2926" t="str">
        <f t="shared" si="544"/>
        <v>19/03/2026</v>
      </c>
      <c r="J2926" t="str">
        <f>("16/03/2026")</f>
        <v>16/03/2026</v>
      </c>
      <c r="K2926">
        <v>46099</v>
      </c>
      <c r="N2926">
        <v>109</v>
      </c>
      <c r="O2926" t="s">
        <v>27</v>
      </c>
      <c r="Q2926">
        <v>31</v>
      </c>
      <c r="R2926" t="str">
        <f>"BEM TE FAZ LOJA 9 (10286)"</f>
        <v>BEM TE FAZ LOJA 9 (10286)</v>
      </c>
      <c r="S2926" t="s">
        <v>22</v>
      </c>
      <c r="T2926">
        <v>31185</v>
      </c>
      <c r="U2926">
        <v>35462</v>
      </c>
      <c r="V2926" t="s">
        <v>22</v>
      </c>
    </row>
    <row r="2927" spans="1:22">
      <c r="A2927" t="str">
        <f t="shared" si="542"/>
        <v>18/03/2026</v>
      </c>
      <c r="B2927" t="str">
        <f>"ENTRADA"</f>
        <v>ENTRADA</v>
      </c>
      <c r="C2927" t="str">
        <f>"DINHEIRO"</f>
        <v>DINHEIRO</v>
      </c>
      <c r="D2927" t="str">
        <f>"19032026"</f>
        <v>19032026</v>
      </c>
      <c r="E2927" t="str">
        <f>""</f>
        <v/>
      </c>
      <c r="F2927" t="str">
        <f t="shared" si="538"/>
        <v>COM</v>
      </c>
      <c r="G2927" t="str">
        <f>"MAICON ALVES DA SILVA (1205)"</f>
        <v>MAICON ALVES DA SILVA (1205)</v>
      </c>
      <c r="H2927" t="str">
        <f>"REEMBOLSO BAG"</f>
        <v>REEMBOLSO BAG</v>
      </c>
      <c r="I2927" t="str">
        <f t="shared" si="544"/>
        <v>19/03/2026</v>
      </c>
      <c r="J2927" t="str">
        <f>("18/03/2026")</f>
        <v>18/03/2026</v>
      </c>
      <c r="K2927" t="str">
        <f>("18/03/2026")</f>
        <v>18/03/2026</v>
      </c>
      <c r="L2927">
        <v>31</v>
      </c>
      <c r="M2927">
        <v>31</v>
      </c>
      <c r="N2927">
        <v>108</v>
      </c>
      <c r="O2927" t="str">
        <f>"RECEITAS COM REEMBOLSOS"</f>
        <v>RECEITAS COM REEMBOLSOS</v>
      </c>
      <c r="P2927">
        <v>31</v>
      </c>
      <c r="S2927" t="str">
        <f>"RECEITAS COM REEMBOLSOS (108)"</f>
        <v>RECEITAS COM REEMBOLSOS (108)</v>
      </c>
      <c r="T2927">
        <v>31186</v>
      </c>
      <c r="U2927">
        <v>35458</v>
      </c>
      <c r="V2927" t="s">
        <v>22</v>
      </c>
    </row>
    <row r="2928" spans="1:22">
      <c r="A2928" t="str">
        <f t="shared" si="542"/>
        <v>18/03/2026</v>
      </c>
      <c r="B2928" t="str">
        <f>"ENTRADA"</f>
        <v>ENTRADA</v>
      </c>
      <c r="C2928" t="str">
        <f>"DINHEIRO"</f>
        <v>DINHEIRO</v>
      </c>
      <c r="D2928" t="str">
        <f>"19032026"</f>
        <v>19032026</v>
      </c>
      <c r="E2928" t="str">
        <f>""</f>
        <v/>
      </c>
      <c r="F2928" t="str">
        <f t="shared" si="538"/>
        <v>COM</v>
      </c>
      <c r="G2928" t="str">
        <f>"MAICON ALVES DA SILVA (1205)"</f>
        <v>MAICON ALVES DA SILVA (1205)</v>
      </c>
      <c r="H2928" t="s">
        <v>901</v>
      </c>
      <c r="I2928" t="str">
        <f t="shared" si="544"/>
        <v>19/03/2026</v>
      </c>
      <c r="J2928" t="str">
        <f>("18/03/2026")</f>
        <v>18/03/2026</v>
      </c>
      <c r="K2928">
        <v>46099</v>
      </c>
      <c r="N2928">
        <v>108</v>
      </c>
      <c r="O2928" t="s">
        <v>871</v>
      </c>
      <c r="Q2928">
        <v>31</v>
      </c>
      <c r="R2928" t="str">
        <f>"BEM TE FAZ LOJA 9 (10286)"</f>
        <v>BEM TE FAZ LOJA 9 (10286)</v>
      </c>
      <c r="S2928" t="s">
        <v>872</v>
      </c>
      <c r="T2928">
        <v>31186</v>
      </c>
      <c r="U2928">
        <v>35458</v>
      </c>
      <c r="V2928" t="s">
        <v>22</v>
      </c>
    </row>
    <row r="2929" spans="1:22">
      <c r="A2929" t="str">
        <f t="shared" si="542"/>
        <v>18/03/2026</v>
      </c>
      <c r="B2929" t="str">
        <f>"SAÍDA"</f>
        <v>SAÍDA</v>
      </c>
      <c r="C2929" t="str">
        <f>"PIX"</f>
        <v>PIX</v>
      </c>
      <c r="D2929" t="str">
        <f>"34605"</f>
        <v>34605</v>
      </c>
      <c r="E2929" t="str">
        <f>"1"</f>
        <v>1</v>
      </c>
      <c r="F2929" t="str">
        <f t="shared" si="538"/>
        <v>COM</v>
      </c>
      <c r="G2929" t="str">
        <f t="shared" ref="G2929:G2936" si="545">"LUIZ EDUARDO VIANA BRITO (878)"</f>
        <v>LUIZ EDUARDO VIANA BRITO (878)</v>
      </c>
      <c r="H2929" t="str">
        <f>"Serv.Prest. 02/03/2026 a 08/03/2026 - PIX: CPF - CHAVE: 101.220.976-88"</f>
        <v>Serv.Prest. 02/03/2026 a 08/03/2026 - PIX: CPF - CHAVE: 101.220.976-88</v>
      </c>
      <c r="I2929" t="str">
        <f t="shared" si="544"/>
        <v>19/03/2026</v>
      </c>
      <c r="J2929" t="str">
        <f>("10/03/2026")</f>
        <v>10/03/2026</v>
      </c>
      <c r="K2929" t="str">
        <f>("18/03/2026")</f>
        <v>18/03/2026</v>
      </c>
      <c r="L2929">
        <v>31</v>
      </c>
      <c r="M2929">
        <v>31</v>
      </c>
      <c r="N2929">
        <v>109</v>
      </c>
      <c r="O2929" t="str">
        <f>"PAGAMENTO DE ENTREGADORES"</f>
        <v>PAGAMENTO DE ENTREGADORES</v>
      </c>
      <c r="P2929">
        <v>31</v>
      </c>
      <c r="S2929" t="str">
        <f>"CAIXA MOVIMENTAÇÃO OPERACIONAL (132)"</f>
        <v>CAIXA MOVIMENTAÇÃO OPERACIONAL (132)</v>
      </c>
      <c r="T2929">
        <v>31187</v>
      </c>
      <c r="U2929">
        <v>35467</v>
      </c>
      <c r="V2929" t="s">
        <v>22</v>
      </c>
    </row>
    <row r="2930" spans="1:22">
      <c r="A2930" t="str">
        <f t="shared" si="542"/>
        <v>18/03/2026</v>
      </c>
      <c r="B2930" t="str">
        <f>"SAÍDA"</f>
        <v>SAÍDA</v>
      </c>
      <c r="C2930" t="str">
        <f>"PIX"</f>
        <v>PIX</v>
      </c>
      <c r="D2930" t="str">
        <f>"34605"</f>
        <v>34605</v>
      </c>
      <c r="E2930" t="str">
        <f>"1"</f>
        <v>1</v>
      </c>
      <c r="F2930" t="str">
        <f t="shared" si="538"/>
        <v>COM</v>
      </c>
      <c r="G2930" t="str">
        <f t="shared" si="545"/>
        <v>LUIZ EDUARDO VIANA BRITO (878)</v>
      </c>
      <c r="H2930" t="s">
        <v>907</v>
      </c>
      <c r="I2930" t="str">
        <f t="shared" si="544"/>
        <v>19/03/2026</v>
      </c>
      <c r="J2930" t="str">
        <f>("10/03/2026")</f>
        <v>10/03/2026</v>
      </c>
      <c r="K2930">
        <v>46099</v>
      </c>
      <c r="N2930">
        <v>109</v>
      </c>
      <c r="O2930" t="s">
        <v>27</v>
      </c>
      <c r="Q2930">
        <v>31</v>
      </c>
      <c r="R2930" t="str">
        <f>"FARMÁCIA INDIANA LJ 40 (10016)"</f>
        <v>FARMÁCIA INDIANA LJ 40 (10016)</v>
      </c>
      <c r="S2930" t="s">
        <v>22</v>
      </c>
      <c r="T2930">
        <v>31187</v>
      </c>
      <c r="U2930">
        <v>35467</v>
      </c>
      <c r="V2930" t="s">
        <v>22</v>
      </c>
    </row>
    <row r="2931" spans="1:22">
      <c r="A2931" t="str">
        <f t="shared" si="542"/>
        <v>18/03/2026</v>
      </c>
      <c r="B2931" t="str">
        <f>"ENTRADA"</f>
        <v>ENTRADA</v>
      </c>
      <c r="C2931" t="str">
        <f>"DINHEIRO"</f>
        <v>DINHEIRO</v>
      </c>
      <c r="D2931" t="str">
        <f>"19032026"</f>
        <v>19032026</v>
      </c>
      <c r="E2931" t="str">
        <f>""</f>
        <v/>
      </c>
      <c r="F2931" t="str">
        <f t="shared" si="538"/>
        <v>COM</v>
      </c>
      <c r="G2931" t="str">
        <f t="shared" si="545"/>
        <v>LUIZ EDUARDO VIANA BRITO (878)</v>
      </c>
      <c r="H2931" t="str">
        <f>"REEMBOLSO UNIFORMES"</f>
        <v>REEMBOLSO UNIFORMES</v>
      </c>
      <c r="I2931" t="str">
        <f t="shared" si="544"/>
        <v>19/03/2026</v>
      </c>
      <c r="J2931" t="str">
        <f>("18/03/2026")</f>
        <v>18/03/2026</v>
      </c>
      <c r="K2931" t="str">
        <f>("18/03/2026")</f>
        <v>18/03/2026</v>
      </c>
      <c r="L2931">
        <v>31</v>
      </c>
      <c r="M2931">
        <v>31</v>
      </c>
      <c r="N2931">
        <v>108</v>
      </c>
      <c r="O2931" t="str">
        <f>"RECEITAS COM REEMBOLSOS"</f>
        <v>RECEITAS COM REEMBOLSOS</v>
      </c>
      <c r="P2931">
        <v>31</v>
      </c>
      <c r="S2931" t="str">
        <f>"RECEITAS COM REEMBOLSOS (108)"</f>
        <v>RECEITAS COM REEMBOLSOS (108)</v>
      </c>
      <c r="T2931">
        <v>31188</v>
      </c>
      <c r="U2931">
        <v>35463</v>
      </c>
      <c r="V2931" t="s">
        <v>22</v>
      </c>
    </row>
    <row r="2932" spans="1:22">
      <c r="A2932" t="str">
        <f t="shared" si="542"/>
        <v>18/03/2026</v>
      </c>
      <c r="B2932" t="str">
        <f>"ENTRADA"</f>
        <v>ENTRADA</v>
      </c>
      <c r="C2932" t="str">
        <f>"DINHEIRO"</f>
        <v>DINHEIRO</v>
      </c>
      <c r="D2932" t="str">
        <f>"19032026"</f>
        <v>19032026</v>
      </c>
      <c r="E2932" t="str">
        <f>""</f>
        <v/>
      </c>
      <c r="F2932" t="str">
        <f t="shared" si="538"/>
        <v>COM</v>
      </c>
      <c r="G2932" t="str">
        <f t="shared" si="545"/>
        <v>LUIZ EDUARDO VIANA BRITO (878)</v>
      </c>
      <c r="H2932" t="s">
        <v>876</v>
      </c>
      <c r="I2932" t="str">
        <f t="shared" si="544"/>
        <v>19/03/2026</v>
      </c>
      <c r="J2932" t="str">
        <f>("18/03/2026")</f>
        <v>18/03/2026</v>
      </c>
      <c r="K2932">
        <v>46099</v>
      </c>
      <c r="N2932">
        <v>108</v>
      </c>
      <c r="O2932" t="s">
        <v>871</v>
      </c>
      <c r="Q2932">
        <v>31</v>
      </c>
      <c r="R2932" t="str">
        <f>"FARMÁCIA INDIANA LJ 40 (10016)"</f>
        <v>FARMÁCIA INDIANA LJ 40 (10016)</v>
      </c>
      <c r="S2932" t="s">
        <v>872</v>
      </c>
      <c r="T2932">
        <v>31188</v>
      </c>
      <c r="U2932">
        <v>35463</v>
      </c>
      <c r="V2932" t="s">
        <v>22</v>
      </c>
    </row>
    <row r="2933" spans="1:22">
      <c r="A2933" t="str">
        <f t="shared" si="542"/>
        <v>18/03/2026</v>
      </c>
      <c r="B2933" t="str">
        <f>"SAÍDA"</f>
        <v>SAÍDA</v>
      </c>
      <c r="C2933" t="str">
        <f>"PIX"</f>
        <v>PIX</v>
      </c>
      <c r="D2933" t="str">
        <f>"35259"</f>
        <v>35259</v>
      </c>
      <c r="E2933" t="str">
        <f>"1"</f>
        <v>1</v>
      </c>
      <c r="F2933" t="str">
        <f t="shared" si="538"/>
        <v>COM</v>
      </c>
      <c r="G2933" t="str">
        <f t="shared" si="545"/>
        <v>LUIZ EDUARDO VIANA BRITO (878)</v>
      </c>
      <c r="H2933" t="str">
        <f>"Serv.Prest. 09/03/2026 a 15/03/2026 - PIX: CPF - CHAVE: 101.220.976-88"</f>
        <v>Serv.Prest. 09/03/2026 a 15/03/2026 - PIX: CPF - CHAVE: 101.220.976-88</v>
      </c>
      <c r="I2933" t="str">
        <f>("26/03/2026")</f>
        <v>26/03/2026</v>
      </c>
      <c r="J2933" t="str">
        <f>("17/03/2026")</f>
        <v>17/03/2026</v>
      </c>
      <c r="K2933" t="str">
        <f>("18/03/2026")</f>
        <v>18/03/2026</v>
      </c>
      <c r="L2933">
        <v>28</v>
      </c>
      <c r="M2933">
        <v>28</v>
      </c>
      <c r="N2933">
        <v>109</v>
      </c>
      <c r="O2933" t="str">
        <f>"PAGAMENTO DE ENTREGADORES"</f>
        <v>PAGAMENTO DE ENTREGADORES</v>
      </c>
      <c r="P2933">
        <v>28</v>
      </c>
      <c r="S2933" t="str">
        <f>"CAIXA MOVIMENTAÇÃO OPERACIONAL (132)"</f>
        <v>CAIXA MOVIMENTAÇÃO OPERACIONAL (132)</v>
      </c>
      <c r="T2933">
        <v>31189</v>
      </c>
      <c r="U2933">
        <v>35468</v>
      </c>
      <c r="V2933" t="s">
        <v>22</v>
      </c>
    </row>
    <row r="2934" spans="1:22">
      <c r="A2934" t="str">
        <f t="shared" si="542"/>
        <v>18/03/2026</v>
      </c>
      <c r="B2934" t="str">
        <f>"SAÍDA"</f>
        <v>SAÍDA</v>
      </c>
      <c r="C2934" t="str">
        <f>"PIX"</f>
        <v>PIX</v>
      </c>
      <c r="D2934" t="str">
        <f>"35259"</f>
        <v>35259</v>
      </c>
      <c r="E2934" t="str">
        <f>"1"</f>
        <v>1</v>
      </c>
      <c r="F2934" t="str">
        <f t="shared" si="538"/>
        <v>COM</v>
      </c>
      <c r="G2934" t="str">
        <f t="shared" si="545"/>
        <v>LUIZ EDUARDO VIANA BRITO (878)</v>
      </c>
      <c r="H2934" t="s">
        <v>908</v>
      </c>
      <c r="I2934" t="str">
        <f>("26/03/2026")</f>
        <v>26/03/2026</v>
      </c>
      <c r="J2934" t="str">
        <f>("17/03/2026")</f>
        <v>17/03/2026</v>
      </c>
      <c r="K2934">
        <v>46099</v>
      </c>
      <c r="N2934">
        <v>109</v>
      </c>
      <c r="O2934" t="s">
        <v>27</v>
      </c>
      <c r="Q2934">
        <v>28</v>
      </c>
      <c r="R2934" t="str">
        <f>"FARMÁCIA INDIANA LJ 40 (10016)"</f>
        <v>FARMÁCIA INDIANA LJ 40 (10016)</v>
      </c>
      <c r="S2934" t="s">
        <v>22</v>
      </c>
      <c r="T2934">
        <v>31189</v>
      </c>
      <c r="U2934">
        <v>35468</v>
      </c>
      <c r="V2934" t="s">
        <v>22</v>
      </c>
    </row>
    <row r="2935" spans="1:22">
      <c r="A2935" t="str">
        <f t="shared" si="542"/>
        <v>18/03/2026</v>
      </c>
      <c r="B2935" t="str">
        <f>"ENTRADA"</f>
        <v>ENTRADA</v>
      </c>
      <c r="C2935" t="str">
        <f>"DINHEIRO"</f>
        <v>DINHEIRO</v>
      </c>
      <c r="D2935" t="str">
        <f>"19032026"</f>
        <v>19032026</v>
      </c>
      <c r="E2935" t="str">
        <f>"2"</f>
        <v>2</v>
      </c>
      <c r="F2935" t="str">
        <f t="shared" si="538"/>
        <v>COM</v>
      </c>
      <c r="G2935" t="str">
        <f t="shared" si="545"/>
        <v>LUIZ EDUARDO VIANA BRITO (878)</v>
      </c>
      <c r="H2935" t="str">
        <f>"REEMBOLSO UNIFORMES"</f>
        <v>REEMBOLSO UNIFORMES</v>
      </c>
      <c r="I2935" t="str">
        <f>("26/03/2026")</f>
        <v>26/03/2026</v>
      </c>
      <c r="J2935" t="str">
        <f>("18/03/2026")</f>
        <v>18/03/2026</v>
      </c>
      <c r="K2935" t="str">
        <f>("18/03/2026")</f>
        <v>18/03/2026</v>
      </c>
      <c r="L2935">
        <v>28</v>
      </c>
      <c r="M2935">
        <v>28</v>
      </c>
      <c r="N2935">
        <v>108</v>
      </c>
      <c r="O2935" t="str">
        <f>"RECEITAS COM REEMBOLSOS"</f>
        <v>RECEITAS COM REEMBOLSOS</v>
      </c>
      <c r="P2935">
        <v>28</v>
      </c>
      <c r="S2935" t="str">
        <f>"RECEITAS COM REEMBOLSOS (108)"</f>
        <v>RECEITAS COM REEMBOLSOS (108)</v>
      </c>
      <c r="T2935">
        <v>31190</v>
      </c>
      <c r="U2935">
        <v>35464</v>
      </c>
      <c r="V2935" t="s">
        <v>22</v>
      </c>
    </row>
    <row r="2936" spans="1:22">
      <c r="A2936" t="str">
        <f t="shared" si="542"/>
        <v>18/03/2026</v>
      </c>
      <c r="B2936" t="str">
        <f>"ENTRADA"</f>
        <v>ENTRADA</v>
      </c>
      <c r="C2936" t="str">
        <f>"DINHEIRO"</f>
        <v>DINHEIRO</v>
      </c>
      <c r="D2936" t="str">
        <f>"19032026"</f>
        <v>19032026</v>
      </c>
      <c r="E2936" t="str">
        <f>"2"</f>
        <v>2</v>
      </c>
      <c r="F2936" t="str">
        <f t="shared" si="538"/>
        <v>COM</v>
      </c>
      <c r="G2936" t="str">
        <f t="shared" si="545"/>
        <v>LUIZ EDUARDO VIANA BRITO (878)</v>
      </c>
      <c r="H2936" t="s">
        <v>876</v>
      </c>
      <c r="I2936" t="str">
        <f>("26/03/2026")</f>
        <v>26/03/2026</v>
      </c>
      <c r="J2936" t="str">
        <f>("18/03/2026")</f>
        <v>18/03/2026</v>
      </c>
      <c r="K2936">
        <v>46099</v>
      </c>
      <c r="N2936">
        <v>108</v>
      </c>
      <c r="O2936" t="s">
        <v>871</v>
      </c>
      <c r="Q2936">
        <v>28</v>
      </c>
      <c r="R2936" t="str">
        <f>"FARMÁCIA INDIANA LJ 40 (10016)"</f>
        <v>FARMÁCIA INDIANA LJ 40 (10016)</v>
      </c>
      <c r="S2936" t="s">
        <v>872</v>
      </c>
      <c r="T2936">
        <v>31190</v>
      </c>
      <c r="U2936">
        <v>35464</v>
      </c>
      <c r="V2936" t="s">
        <v>22</v>
      </c>
    </row>
    <row r="2937" spans="1:22">
      <c r="A2937" t="str">
        <f t="shared" si="542"/>
        <v>18/03/2026</v>
      </c>
      <c r="B2937" t="str">
        <f>"SAÍDA"</f>
        <v>SAÍDA</v>
      </c>
      <c r="C2937" t="str">
        <f>"PIX"</f>
        <v>PIX</v>
      </c>
      <c r="D2937" t="str">
        <f>"34600"</f>
        <v>34600</v>
      </c>
      <c r="E2937" t="str">
        <f>"1"</f>
        <v>1</v>
      </c>
      <c r="F2937" t="str">
        <f t="shared" si="538"/>
        <v>COM</v>
      </c>
      <c r="G2937" t="str">
        <f t="shared" ref="G2937:G2944" si="546">"LUAN DOS SANTOS NUNES (719)"</f>
        <v>LUAN DOS SANTOS NUNES (719)</v>
      </c>
      <c r="H2937" t="str">
        <f>"Serv.Prest. 02/03/2026 a 08/03/2026 - PIX: CELULAR - CHAVE: (33) 98749-4693"</f>
        <v>Serv.Prest. 02/03/2026 a 08/03/2026 - PIX: CELULAR - CHAVE: (33) 98749-4693</v>
      </c>
      <c r="I2937" t="str">
        <f>("19/03/2026")</f>
        <v>19/03/2026</v>
      </c>
      <c r="J2937" t="str">
        <f>("10/03/2026")</f>
        <v>10/03/2026</v>
      </c>
      <c r="K2937" t="str">
        <f>("18/03/2026")</f>
        <v>18/03/2026</v>
      </c>
      <c r="L2937">
        <v>31</v>
      </c>
      <c r="M2937">
        <v>31</v>
      </c>
      <c r="N2937">
        <v>109</v>
      </c>
      <c r="O2937" t="str">
        <f>"PAGAMENTO DE ENTREGADORES"</f>
        <v>PAGAMENTO DE ENTREGADORES</v>
      </c>
      <c r="P2937">
        <v>31</v>
      </c>
      <c r="S2937" t="str">
        <f>"CAIXA MOVIMENTAÇÃO OPERACIONAL (132)"</f>
        <v>CAIXA MOVIMENTAÇÃO OPERACIONAL (132)</v>
      </c>
      <c r="T2937">
        <v>31191</v>
      </c>
      <c r="U2937">
        <v>35473</v>
      </c>
      <c r="V2937" t="s">
        <v>22</v>
      </c>
    </row>
    <row r="2938" spans="1:22">
      <c r="A2938" t="str">
        <f t="shared" si="542"/>
        <v>18/03/2026</v>
      </c>
      <c r="B2938" t="str">
        <f>"SAÍDA"</f>
        <v>SAÍDA</v>
      </c>
      <c r="C2938" t="str">
        <f>"PIX"</f>
        <v>PIX</v>
      </c>
      <c r="D2938" t="str">
        <f>"34600"</f>
        <v>34600</v>
      </c>
      <c r="E2938" t="str">
        <f>"1"</f>
        <v>1</v>
      </c>
      <c r="F2938" t="str">
        <f t="shared" si="538"/>
        <v>COM</v>
      </c>
      <c r="G2938" t="str">
        <f t="shared" si="546"/>
        <v>LUAN DOS SANTOS NUNES (719)</v>
      </c>
      <c r="H2938" t="s">
        <v>909</v>
      </c>
      <c r="I2938" t="str">
        <f>("19/03/2026")</f>
        <v>19/03/2026</v>
      </c>
      <c r="J2938" t="str">
        <f>("10/03/2026")</f>
        <v>10/03/2026</v>
      </c>
      <c r="K2938">
        <v>46099</v>
      </c>
      <c r="N2938">
        <v>109</v>
      </c>
      <c r="O2938" t="s">
        <v>27</v>
      </c>
      <c r="Q2938">
        <v>31</v>
      </c>
      <c r="R2938" t="str">
        <f>"FARMÁCIA INDIANA LJ 61 (10027)"</f>
        <v>FARMÁCIA INDIANA LJ 61 (10027)</v>
      </c>
      <c r="S2938" t="s">
        <v>22</v>
      </c>
      <c r="T2938">
        <v>31191</v>
      </c>
      <c r="U2938">
        <v>35473</v>
      </c>
      <c r="V2938" t="s">
        <v>22</v>
      </c>
    </row>
    <row r="2939" spans="1:22">
      <c r="A2939" t="str">
        <f t="shared" si="542"/>
        <v>18/03/2026</v>
      </c>
      <c r="B2939" t="str">
        <f>"ENTRADA"</f>
        <v>ENTRADA</v>
      </c>
      <c r="C2939" t="str">
        <f>"DINHEIRO"</f>
        <v>DINHEIRO</v>
      </c>
      <c r="D2939" t="str">
        <f>"19032026"</f>
        <v>19032026</v>
      </c>
      <c r="E2939" t="str">
        <f>""</f>
        <v/>
      </c>
      <c r="F2939" t="str">
        <f t="shared" si="538"/>
        <v>COM</v>
      </c>
      <c r="G2939" t="str">
        <f t="shared" si="546"/>
        <v>LUAN DOS SANTOS NUNES (719)</v>
      </c>
      <c r="H2939" t="str">
        <f>"REEMBOLSO BAG"</f>
        <v>REEMBOLSO BAG</v>
      </c>
      <c r="I2939" t="str">
        <f>("19/03/2026")</f>
        <v>19/03/2026</v>
      </c>
      <c r="J2939" t="str">
        <f>("18/03/2026")</f>
        <v>18/03/2026</v>
      </c>
      <c r="K2939" t="str">
        <f>("18/03/2026")</f>
        <v>18/03/2026</v>
      </c>
      <c r="L2939">
        <v>31</v>
      </c>
      <c r="M2939">
        <v>31</v>
      </c>
      <c r="N2939">
        <v>108</v>
      </c>
      <c r="O2939" t="str">
        <f>"RECEITAS COM REEMBOLSOS"</f>
        <v>RECEITAS COM REEMBOLSOS</v>
      </c>
      <c r="P2939">
        <v>31</v>
      </c>
      <c r="S2939" t="str">
        <f>"RECEITAS COM REEMBOLSOS (108)"</f>
        <v>RECEITAS COM REEMBOLSOS (108)</v>
      </c>
      <c r="T2939">
        <v>31192</v>
      </c>
      <c r="U2939">
        <v>35469</v>
      </c>
      <c r="V2939" t="s">
        <v>22</v>
      </c>
    </row>
    <row r="2940" spans="1:22">
      <c r="A2940" t="str">
        <f t="shared" si="542"/>
        <v>18/03/2026</v>
      </c>
      <c r="B2940" t="str">
        <f>"ENTRADA"</f>
        <v>ENTRADA</v>
      </c>
      <c r="C2940" t="str">
        <f>"DINHEIRO"</f>
        <v>DINHEIRO</v>
      </c>
      <c r="D2940" t="str">
        <f>"19032026"</f>
        <v>19032026</v>
      </c>
      <c r="E2940" t="str">
        <f>""</f>
        <v/>
      </c>
      <c r="F2940" t="str">
        <f t="shared" si="538"/>
        <v>COM</v>
      </c>
      <c r="G2940" t="str">
        <f t="shared" si="546"/>
        <v>LUAN DOS SANTOS NUNES (719)</v>
      </c>
      <c r="H2940" t="s">
        <v>901</v>
      </c>
      <c r="I2940" t="str">
        <f>("19/03/2026")</f>
        <v>19/03/2026</v>
      </c>
      <c r="J2940" t="str">
        <f>("18/03/2026")</f>
        <v>18/03/2026</v>
      </c>
      <c r="K2940">
        <v>46099</v>
      </c>
      <c r="N2940">
        <v>108</v>
      </c>
      <c r="O2940" t="s">
        <v>871</v>
      </c>
      <c r="Q2940">
        <v>31</v>
      </c>
      <c r="R2940" t="str">
        <f>"FARMÁCIA INDIANA LJ 61 (10027)"</f>
        <v>FARMÁCIA INDIANA LJ 61 (10027)</v>
      </c>
      <c r="S2940" t="s">
        <v>872</v>
      </c>
      <c r="T2940">
        <v>31192</v>
      </c>
      <c r="U2940">
        <v>35469</v>
      </c>
      <c r="V2940" t="s">
        <v>22</v>
      </c>
    </row>
    <row r="2941" spans="1:22">
      <c r="A2941" t="str">
        <f t="shared" si="542"/>
        <v>18/03/2026</v>
      </c>
      <c r="B2941" t="str">
        <f>"SAÍDA"</f>
        <v>SAÍDA</v>
      </c>
      <c r="C2941" t="str">
        <f>"PIX"</f>
        <v>PIX</v>
      </c>
      <c r="D2941" t="str">
        <f>"35253"</f>
        <v>35253</v>
      </c>
      <c r="E2941" t="str">
        <f>"1"</f>
        <v>1</v>
      </c>
      <c r="F2941" t="str">
        <f t="shared" si="538"/>
        <v>COM</v>
      </c>
      <c r="G2941" t="str">
        <f t="shared" si="546"/>
        <v>LUAN DOS SANTOS NUNES (719)</v>
      </c>
      <c r="H2941" t="str">
        <f>"Serv.Prest. 09/03/2026 a 15/03/2026 - PIX: CELULAR - CHAVE: (33) 98749-4693"</f>
        <v>Serv.Prest. 09/03/2026 a 15/03/2026 - PIX: CELULAR - CHAVE: (33) 98749-4693</v>
      </c>
      <c r="I2941" t="str">
        <f>("26/03/2026")</f>
        <v>26/03/2026</v>
      </c>
      <c r="J2941" t="str">
        <f>("17/03/2026")</f>
        <v>17/03/2026</v>
      </c>
      <c r="K2941" t="str">
        <f>("18/03/2026")</f>
        <v>18/03/2026</v>
      </c>
      <c r="L2941">
        <v>28</v>
      </c>
      <c r="M2941">
        <v>28</v>
      </c>
      <c r="N2941">
        <v>109</v>
      </c>
      <c r="O2941" t="str">
        <f>"PAGAMENTO DE ENTREGADORES"</f>
        <v>PAGAMENTO DE ENTREGADORES</v>
      </c>
      <c r="P2941">
        <v>28</v>
      </c>
      <c r="S2941" t="str">
        <f>"CAIXA MOVIMENTAÇÃO OPERACIONAL (132)"</f>
        <v>CAIXA MOVIMENTAÇÃO OPERACIONAL (132)</v>
      </c>
      <c r="T2941">
        <v>31193</v>
      </c>
      <c r="U2941">
        <v>35474</v>
      </c>
      <c r="V2941" t="s">
        <v>22</v>
      </c>
    </row>
    <row r="2942" spans="1:22">
      <c r="A2942" t="str">
        <f t="shared" si="542"/>
        <v>18/03/2026</v>
      </c>
      <c r="B2942" t="str">
        <f>"SAÍDA"</f>
        <v>SAÍDA</v>
      </c>
      <c r="C2942" t="str">
        <f>"PIX"</f>
        <v>PIX</v>
      </c>
      <c r="D2942" t="str">
        <f>"35253"</f>
        <v>35253</v>
      </c>
      <c r="E2942" t="str">
        <f>"1"</f>
        <v>1</v>
      </c>
      <c r="F2942" t="str">
        <f t="shared" si="538"/>
        <v>COM</v>
      </c>
      <c r="G2942" t="str">
        <f t="shared" si="546"/>
        <v>LUAN DOS SANTOS NUNES (719)</v>
      </c>
      <c r="H2942" t="s">
        <v>910</v>
      </c>
      <c r="I2942" t="str">
        <f>("26/03/2026")</f>
        <v>26/03/2026</v>
      </c>
      <c r="J2942" t="str">
        <f>("17/03/2026")</f>
        <v>17/03/2026</v>
      </c>
      <c r="K2942">
        <v>46099</v>
      </c>
      <c r="N2942">
        <v>109</v>
      </c>
      <c r="O2942" t="s">
        <v>27</v>
      </c>
      <c r="Q2942">
        <v>28</v>
      </c>
      <c r="R2942" t="str">
        <f>"FARMÁCIA INDIANA LJ 61 (10027)"</f>
        <v>FARMÁCIA INDIANA LJ 61 (10027)</v>
      </c>
      <c r="S2942" t="s">
        <v>22</v>
      </c>
      <c r="T2942">
        <v>31193</v>
      </c>
      <c r="U2942">
        <v>35474</v>
      </c>
      <c r="V2942" t="s">
        <v>22</v>
      </c>
    </row>
    <row r="2943" spans="1:22">
      <c r="A2943" t="str">
        <f t="shared" si="542"/>
        <v>18/03/2026</v>
      </c>
      <c r="B2943" t="str">
        <f>"ENTRADA"</f>
        <v>ENTRADA</v>
      </c>
      <c r="C2943" t="str">
        <f>"DINHEIRO"</f>
        <v>DINHEIRO</v>
      </c>
      <c r="D2943" t="str">
        <f>"19032026"</f>
        <v>19032026</v>
      </c>
      <c r="E2943" t="str">
        <f>"2"</f>
        <v>2</v>
      </c>
      <c r="F2943" t="str">
        <f t="shared" si="538"/>
        <v>COM</v>
      </c>
      <c r="G2943" t="str">
        <f t="shared" si="546"/>
        <v>LUAN DOS SANTOS NUNES (719)</v>
      </c>
      <c r="H2943" t="str">
        <f>"REEMBOLSO BAG"</f>
        <v>REEMBOLSO BAG</v>
      </c>
      <c r="I2943" t="str">
        <f>("26/03/2026")</f>
        <v>26/03/2026</v>
      </c>
      <c r="J2943" t="str">
        <f>("18/03/2026")</f>
        <v>18/03/2026</v>
      </c>
      <c r="K2943" t="str">
        <f>("18/03/2026")</f>
        <v>18/03/2026</v>
      </c>
      <c r="L2943">
        <v>28</v>
      </c>
      <c r="M2943">
        <v>28</v>
      </c>
      <c r="N2943">
        <v>108</v>
      </c>
      <c r="O2943" t="str">
        <f>"RECEITAS COM REEMBOLSOS"</f>
        <v>RECEITAS COM REEMBOLSOS</v>
      </c>
      <c r="P2943">
        <v>28</v>
      </c>
      <c r="S2943" t="str">
        <f>"RECEITAS COM REEMBOLSOS (108)"</f>
        <v>RECEITAS COM REEMBOLSOS (108)</v>
      </c>
      <c r="T2943">
        <v>31194</v>
      </c>
      <c r="U2943">
        <v>35470</v>
      </c>
      <c r="V2943" t="s">
        <v>22</v>
      </c>
    </row>
    <row r="2944" spans="1:22">
      <c r="A2944" t="str">
        <f t="shared" si="542"/>
        <v>18/03/2026</v>
      </c>
      <c r="B2944" t="str">
        <f>"ENTRADA"</f>
        <v>ENTRADA</v>
      </c>
      <c r="C2944" t="str">
        <f>"DINHEIRO"</f>
        <v>DINHEIRO</v>
      </c>
      <c r="D2944" t="str">
        <f>"19032026"</f>
        <v>19032026</v>
      </c>
      <c r="E2944" t="str">
        <f>"2"</f>
        <v>2</v>
      </c>
      <c r="F2944" t="str">
        <f t="shared" si="538"/>
        <v>COM</v>
      </c>
      <c r="G2944" t="str">
        <f t="shared" si="546"/>
        <v>LUAN DOS SANTOS NUNES (719)</v>
      </c>
      <c r="H2944" t="s">
        <v>901</v>
      </c>
      <c r="I2944" t="str">
        <f>("26/03/2026")</f>
        <v>26/03/2026</v>
      </c>
      <c r="J2944" t="str">
        <f>("18/03/2026")</f>
        <v>18/03/2026</v>
      </c>
      <c r="K2944">
        <v>46099</v>
      </c>
      <c r="N2944">
        <v>108</v>
      </c>
      <c r="O2944" t="s">
        <v>871</v>
      </c>
      <c r="Q2944">
        <v>28</v>
      </c>
      <c r="R2944" t="str">
        <f>"FARMÁCIA INDIANA LJ 61 (10027)"</f>
        <v>FARMÁCIA INDIANA LJ 61 (10027)</v>
      </c>
      <c r="S2944" t="s">
        <v>872</v>
      </c>
      <c r="T2944">
        <v>31194</v>
      </c>
      <c r="U2944">
        <v>35470</v>
      </c>
      <c r="V2944" t="s">
        <v>22</v>
      </c>
    </row>
    <row r="2945" spans="1:22">
      <c r="A2945" t="str">
        <f t="shared" si="542"/>
        <v>18/03/2026</v>
      </c>
      <c r="B2945" t="str">
        <f>"SAÍDA"</f>
        <v>SAÍDA</v>
      </c>
      <c r="C2945" t="str">
        <f>"PIX"</f>
        <v>PIX</v>
      </c>
      <c r="D2945" t="str">
        <f>"34516"</f>
        <v>34516</v>
      </c>
      <c r="E2945" t="str">
        <f>"1"</f>
        <v>1</v>
      </c>
      <c r="F2945" t="str">
        <f t="shared" si="538"/>
        <v>COM</v>
      </c>
      <c r="G2945" t="str">
        <f t="shared" ref="G2945:G2952" si="547">"MOABIO AZEVEDO DOS SANTOS (131)"</f>
        <v>MOABIO AZEVEDO DOS SANTOS (131)</v>
      </c>
      <c r="H2945" t="str">
        <f>"Serv.Prest. 02/03/2026 a 08/03/2026 - PIX: CNPJ - CHAVE: 33.412.676/0001-41"</f>
        <v>Serv.Prest. 02/03/2026 a 08/03/2026 - PIX: CNPJ - CHAVE: 33.412.676/0001-41</v>
      </c>
      <c r="I2945" t="str">
        <f>("19/03/2026")</f>
        <v>19/03/2026</v>
      </c>
      <c r="J2945" t="str">
        <f>("10/03/2026")</f>
        <v>10/03/2026</v>
      </c>
      <c r="K2945" t="str">
        <f>("18/03/2026")</f>
        <v>18/03/2026</v>
      </c>
      <c r="L2945">
        <v>58</v>
      </c>
      <c r="M2945">
        <v>58</v>
      </c>
      <c r="N2945">
        <v>109</v>
      </c>
      <c r="O2945" t="str">
        <f>"PAGAMENTO DE ENTREGADORES"</f>
        <v>PAGAMENTO DE ENTREGADORES</v>
      </c>
      <c r="P2945">
        <v>58</v>
      </c>
      <c r="S2945" t="str">
        <f>"CAIXA MOVIMENTAÇÃO OPERACIONAL (132)"</f>
        <v>CAIXA MOVIMENTAÇÃO OPERACIONAL (132)</v>
      </c>
      <c r="T2945">
        <v>31195</v>
      </c>
      <c r="U2945">
        <v>35477</v>
      </c>
      <c r="V2945" t="s">
        <v>22</v>
      </c>
    </row>
    <row r="2946" spans="1:22">
      <c r="A2946" t="str">
        <f t="shared" si="542"/>
        <v>18/03/2026</v>
      </c>
      <c r="B2946" t="str">
        <f>"SAÍDA"</f>
        <v>SAÍDA</v>
      </c>
      <c r="C2946" t="str">
        <f>"PIX"</f>
        <v>PIX</v>
      </c>
      <c r="D2946" t="str">
        <f>"34516"</f>
        <v>34516</v>
      </c>
      <c r="E2946" t="str">
        <f>"1"</f>
        <v>1</v>
      </c>
      <c r="F2946" t="str">
        <f t="shared" ref="F2946:F3009" si="548">"COM"</f>
        <v>COM</v>
      </c>
      <c r="G2946" t="str">
        <f t="shared" si="547"/>
        <v>MOABIO AZEVEDO DOS SANTOS (131)</v>
      </c>
      <c r="H2946" t="s">
        <v>896</v>
      </c>
      <c r="I2946" t="str">
        <f>("19/03/2026")</f>
        <v>19/03/2026</v>
      </c>
      <c r="J2946" t="str">
        <f>("10/03/2026")</f>
        <v>10/03/2026</v>
      </c>
      <c r="K2946">
        <v>46099</v>
      </c>
      <c r="N2946">
        <v>109</v>
      </c>
      <c r="O2946" t="s">
        <v>27</v>
      </c>
      <c r="Q2946">
        <v>58</v>
      </c>
      <c r="R2946" t="str">
        <f>"FARMÁCIA INDIANA LJ 91 (10037)"</f>
        <v>FARMÁCIA INDIANA LJ 91 (10037)</v>
      </c>
      <c r="S2946" t="s">
        <v>22</v>
      </c>
      <c r="T2946">
        <v>31195</v>
      </c>
      <c r="U2946">
        <v>35477</v>
      </c>
      <c r="V2946" t="s">
        <v>22</v>
      </c>
    </row>
    <row r="2947" spans="1:22">
      <c r="A2947" t="str">
        <f t="shared" si="542"/>
        <v>18/03/2026</v>
      </c>
      <c r="B2947" t="str">
        <f>"ENTRADA"</f>
        <v>ENTRADA</v>
      </c>
      <c r="C2947" t="str">
        <f>"DINHEIRO"</f>
        <v>DINHEIRO</v>
      </c>
      <c r="D2947" t="str">
        <f>"19032026"</f>
        <v>19032026</v>
      </c>
      <c r="E2947" t="str">
        <f>""</f>
        <v/>
      </c>
      <c r="F2947" t="str">
        <f t="shared" si="548"/>
        <v>COM</v>
      </c>
      <c r="G2947" t="str">
        <f t="shared" si="547"/>
        <v>MOABIO AZEVEDO DOS SANTOS (131)</v>
      </c>
      <c r="H2947" t="str">
        <f>"REEMBOLSO BAG"</f>
        <v>REEMBOLSO BAG</v>
      </c>
      <c r="I2947" t="str">
        <f>("19/03/2026")</f>
        <v>19/03/2026</v>
      </c>
      <c r="J2947" t="str">
        <f>("18/03/2026")</f>
        <v>18/03/2026</v>
      </c>
      <c r="K2947" t="str">
        <f>("18/03/2026")</f>
        <v>18/03/2026</v>
      </c>
      <c r="L2947">
        <v>58</v>
      </c>
      <c r="M2947">
        <v>58</v>
      </c>
      <c r="N2947">
        <v>108</v>
      </c>
      <c r="O2947" t="str">
        <f>"RECEITAS COM REEMBOLSOS"</f>
        <v>RECEITAS COM REEMBOLSOS</v>
      </c>
      <c r="P2947">
        <v>58</v>
      </c>
      <c r="S2947" t="str">
        <f>"RECEITAS COM REEMBOLSOS (108)"</f>
        <v>RECEITAS COM REEMBOLSOS (108)</v>
      </c>
      <c r="T2947">
        <v>31196</v>
      </c>
      <c r="U2947">
        <v>35475</v>
      </c>
      <c r="V2947" t="s">
        <v>22</v>
      </c>
    </row>
    <row r="2948" spans="1:22">
      <c r="A2948" t="str">
        <f t="shared" si="542"/>
        <v>18/03/2026</v>
      </c>
      <c r="B2948" t="str">
        <f>"ENTRADA"</f>
        <v>ENTRADA</v>
      </c>
      <c r="C2948" t="str">
        <f>"DINHEIRO"</f>
        <v>DINHEIRO</v>
      </c>
      <c r="D2948" t="str">
        <f>"19032026"</f>
        <v>19032026</v>
      </c>
      <c r="E2948" t="str">
        <f>""</f>
        <v/>
      </c>
      <c r="F2948" t="str">
        <f t="shared" si="548"/>
        <v>COM</v>
      </c>
      <c r="G2948" t="str">
        <f t="shared" si="547"/>
        <v>MOABIO AZEVEDO DOS SANTOS (131)</v>
      </c>
      <c r="H2948" t="s">
        <v>901</v>
      </c>
      <c r="I2948" t="str">
        <f>("19/03/2026")</f>
        <v>19/03/2026</v>
      </c>
      <c r="J2948" t="str">
        <f>("18/03/2026")</f>
        <v>18/03/2026</v>
      </c>
      <c r="K2948">
        <v>46099</v>
      </c>
      <c r="N2948">
        <v>108</v>
      </c>
      <c r="O2948" t="s">
        <v>871</v>
      </c>
      <c r="Q2948">
        <v>58</v>
      </c>
      <c r="R2948" t="str">
        <f>"FARMÁCIA INDIANA LJ 91 (10037)"</f>
        <v>FARMÁCIA INDIANA LJ 91 (10037)</v>
      </c>
      <c r="S2948" t="s">
        <v>872</v>
      </c>
      <c r="T2948">
        <v>31196</v>
      </c>
      <c r="U2948">
        <v>35475</v>
      </c>
      <c r="V2948" t="s">
        <v>22</v>
      </c>
    </row>
    <row r="2949" spans="1:22">
      <c r="A2949" t="str">
        <f t="shared" si="542"/>
        <v>18/03/2026</v>
      </c>
      <c r="B2949" t="str">
        <f>"SAÍDA"</f>
        <v>SAÍDA</v>
      </c>
      <c r="C2949" t="str">
        <f>"PIX"</f>
        <v>PIX</v>
      </c>
      <c r="D2949" t="str">
        <f>"35171"</f>
        <v>35171</v>
      </c>
      <c r="E2949" t="str">
        <f>"1"</f>
        <v>1</v>
      </c>
      <c r="F2949" t="str">
        <f t="shared" si="548"/>
        <v>COM</v>
      </c>
      <c r="G2949" t="str">
        <f t="shared" si="547"/>
        <v>MOABIO AZEVEDO DOS SANTOS (131)</v>
      </c>
      <c r="H2949" t="str">
        <f>"Serv.Prest. 09/03/2026 a 15/03/2026 - PIX: CNPJ - CHAVE: 33.412.676/0001-41"</f>
        <v>Serv.Prest. 09/03/2026 a 15/03/2026 - PIX: CNPJ - CHAVE: 33.412.676/0001-41</v>
      </c>
      <c r="I2949" t="str">
        <f>("26/03/2026")</f>
        <v>26/03/2026</v>
      </c>
      <c r="J2949" t="str">
        <f>("17/03/2026")</f>
        <v>17/03/2026</v>
      </c>
      <c r="K2949" t="str">
        <f>("18/03/2026")</f>
        <v>18/03/2026</v>
      </c>
      <c r="L2949">
        <v>57</v>
      </c>
      <c r="M2949">
        <v>57</v>
      </c>
      <c r="N2949">
        <v>109</v>
      </c>
      <c r="O2949" t="str">
        <f>"PAGAMENTO DE ENTREGADORES"</f>
        <v>PAGAMENTO DE ENTREGADORES</v>
      </c>
      <c r="P2949">
        <v>57</v>
      </c>
      <c r="S2949" t="str">
        <f>"CAIXA MOVIMENTAÇÃO OPERACIONAL (132)"</f>
        <v>CAIXA MOVIMENTAÇÃO OPERACIONAL (132)</v>
      </c>
      <c r="T2949">
        <v>31197</v>
      </c>
      <c r="U2949">
        <v>35478</v>
      </c>
      <c r="V2949" t="s">
        <v>22</v>
      </c>
    </row>
    <row r="2950" spans="1:22">
      <c r="A2950" t="str">
        <f t="shared" si="542"/>
        <v>18/03/2026</v>
      </c>
      <c r="B2950" t="str">
        <f>"SAÍDA"</f>
        <v>SAÍDA</v>
      </c>
      <c r="C2950" t="str">
        <f>"PIX"</f>
        <v>PIX</v>
      </c>
      <c r="D2950" t="str">
        <f>"35171"</f>
        <v>35171</v>
      </c>
      <c r="E2950" t="str">
        <f>"1"</f>
        <v>1</v>
      </c>
      <c r="F2950" t="str">
        <f t="shared" si="548"/>
        <v>COM</v>
      </c>
      <c r="G2950" t="str">
        <f t="shared" si="547"/>
        <v>MOABIO AZEVEDO DOS SANTOS (131)</v>
      </c>
      <c r="H2950" t="s">
        <v>897</v>
      </c>
      <c r="I2950" t="str">
        <f>("26/03/2026")</f>
        <v>26/03/2026</v>
      </c>
      <c r="J2950" t="str">
        <f>("17/03/2026")</f>
        <v>17/03/2026</v>
      </c>
      <c r="K2950">
        <v>46099</v>
      </c>
      <c r="N2950">
        <v>109</v>
      </c>
      <c r="O2950" t="s">
        <v>27</v>
      </c>
      <c r="Q2950">
        <v>57</v>
      </c>
      <c r="R2950" t="str">
        <f>"FARMÁCIA INDIANA LJ 91 (10037)"</f>
        <v>FARMÁCIA INDIANA LJ 91 (10037)</v>
      </c>
      <c r="S2950" t="s">
        <v>22</v>
      </c>
      <c r="T2950">
        <v>31197</v>
      </c>
      <c r="U2950">
        <v>35478</v>
      </c>
      <c r="V2950" t="s">
        <v>22</v>
      </c>
    </row>
    <row r="2951" spans="1:22">
      <c r="A2951" t="str">
        <f t="shared" si="542"/>
        <v>18/03/2026</v>
      </c>
      <c r="B2951" t="str">
        <f>"ENTRADA"</f>
        <v>ENTRADA</v>
      </c>
      <c r="C2951" t="str">
        <f>"DINHEIRO"</f>
        <v>DINHEIRO</v>
      </c>
      <c r="D2951" t="str">
        <f>"19032026"</f>
        <v>19032026</v>
      </c>
      <c r="E2951" t="str">
        <f>"2"</f>
        <v>2</v>
      </c>
      <c r="F2951" t="str">
        <f t="shared" si="548"/>
        <v>COM</v>
      </c>
      <c r="G2951" t="str">
        <f t="shared" si="547"/>
        <v>MOABIO AZEVEDO DOS SANTOS (131)</v>
      </c>
      <c r="H2951" t="str">
        <f>"REEMBOLSO BAG"</f>
        <v>REEMBOLSO BAG</v>
      </c>
      <c r="I2951" t="str">
        <f>("26/03/2026")</f>
        <v>26/03/2026</v>
      </c>
      <c r="J2951" t="str">
        <f>("18/03/2026")</f>
        <v>18/03/2026</v>
      </c>
      <c r="K2951" t="str">
        <f>("18/03/2026")</f>
        <v>18/03/2026</v>
      </c>
      <c r="L2951">
        <v>57</v>
      </c>
      <c r="M2951">
        <v>57</v>
      </c>
      <c r="N2951">
        <v>108</v>
      </c>
      <c r="O2951" t="str">
        <f>"RECEITAS COM REEMBOLSOS"</f>
        <v>RECEITAS COM REEMBOLSOS</v>
      </c>
      <c r="P2951">
        <v>57</v>
      </c>
      <c r="S2951" t="str">
        <f>"RECEITAS COM REEMBOLSOS (108)"</f>
        <v>RECEITAS COM REEMBOLSOS (108)</v>
      </c>
      <c r="T2951">
        <v>31198</v>
      </c>
      <c r="U2951">
        <v>35476</v>
      </c>
      <c r="V2951" t="s">
        <v>22</v>
      </c>
    </row>
    <row r="2952" spans="1:22">
      <c r="A2952" t="str">
        <f t="shared" si="542"/>
        <v>18/03/2026</v>
      </c>
      <c r="B2952" t="str">
        <f>"ENTRADA"</f>
        <v>ENTRADA</v>
      </c>
      <c r="C2952" t="str">
        <f>"DINHEIRO"</f>
        <v>DINHEIRO</v>
      </c>
      <c r="D2952" t="str">
        <f>"19032026"</f>
        <v>19032026</v>
      </c>
      <c r="E2952" t="str">
        <f>"2"</f>
        <v>2</v>
      </c>
      <c r="F2952" t="str">
        <f t="shared" si="548"/>
        <v>COM</v>
      </c>
      <c r="G2952" t="str">
        <f t="shared" si="547"/>
        <v>MOABIO AZEVEDO DOS SANTOS (131)</v>
      </c>
      <c r="H2952" t="s">
        <v>901</v>
      </c>
      <c r="I2952" t="str">
        <f>("26/03/2026")</f>
        <v>26/03/2026</v>
      </c>
      <c r="J2952" t="str">
        <f>("18/03/2026")</f>
        <v>18/03/2026</v>
      </c>
      <c r="K2952">
        <v>46099</v>
      </c>
      <c r="N2952">
        <v>108</v>
      </c>
      <c r="O2952" t="s">
        <v>871</v>
      </c>
      <c r="Q2952">
        <v>57</v>
      </c>
      <c r="R2952" t="str">
        <f>"FARMÁCIA INDIANA LJ 91 (10037)"</f>
        <v>FARMÁCIA INDIANA LJ 91 (10037)</v>
      </c>
      <c r="S2952" t="s">
        <v>872</v>
      </c>
      <c r="T2952">
        <v>31198</v>
      </c>
      <c r="U2952">
        <v>35476</v>
      </c>
      <c r="V2952" t="s">
        <v>22</v>
      </c>
    </row>
    <row r="2953" spans="1:22">
      <c r="A2953" t="str">
        <f t="shared" si="542"/>
        <v>18/03/2026</v>
      </c>
      <c r="B2953" t="str">
        <f>"ENTRADA"</f>
        <v>ENTRADA</v>
      </c>
      <c r="C2953" t="str">
        <f>"DINHEIRO"</f>
        <v>DINHEIRO</v>
      </c>
      <c r="D2953" t="str">
        <f>"19032026"</f>
        <v>19032026</v>
      </c>
      <c r="E2953" t="str">
        <f>""</f>
        <v/>
      </c>
      <c r="F2953" t="str">
        <f t="shared" si="548"/>
        <v>COM</v>
      </c>
      <c r="G2953" t="str">
        <f t="shared" ref="G2953:G2960" si="549">"ANDRE LUCAS DA SILVA (1158)"</f>
        <v>ANDRE LUCAS DA SILVA (1158)</v>
      </c>
      <c r="H2953" t="str">
        <f>"REEMBOLSO BAG"</f>
        <v>REEMBOLSO BAG</v>
      </c>
      <c r="I2953" t="str">
        <f>("19/03/2026")</f>
        <v>19/03/2026</v>
      </c>
      <c r="J2953" t="str">
        <f>("18/03/2026")</f>
        <v>18/03/2026</v>
      </c>
      <c r="K2953" t="str">
        <f>("18/03/2026")</f>
        <v>18/03/2026</v>
      </c>
      <c r="L2953">
        <v>31</v>
      </c>
      <c r="M2953">
        <v>31</v>
      </c>
      <c r="N2953">
        <v>108</v>
      </c>
      <c r="O2953" t="str">
        <f>"RECEITAS COM REEMBOLSOS"</f>
        <v>RECEITAS COM REEMBOLSOS</v>
      </c>
      <c r="P2953">
        <v>31</v>
      </c>
      <c r="S2953" t="str">
        <f>"RECEITAS COM REEMBOLSOS (108)"</f>
        <v>RECEITAS COM REEMBOLSOS (108)</v>
      </c>
      <c r="T2953">
        <v>31199</v>
      </c>
      <c r="U2953">
        <v>35479</v>
      </c>
      <c r="V2953" t="s">
        <v>22</v>
      </c>
    </row>
    <row r="2954" spans="1:22">
      <c r="A2954" t="str">
        <f t="shared" si="542"/>
        <v>18/03/2026</v>
      </c>
      <c r="B2954" t="str">
        <f>"ENTRADA"</f>
        <v>ENTRADA</v>
      </c>
      <c r="C2954" t="str">
        <f>"DINHEIRO"</f>
        <v>DINHEIRO</v>
      </c>
      <c r="D2954" t="str">
        <f>"19032026"</f>
        <v>19032026</v>
      </c>
      <c r="E2954" t="str">
        <f>""</f>
        <v/>
      </c>
      <c r="F2954" t="str">
        <f t="shared" si="548"/>
        <v>COM</v>
      </c>
      <c r="G2954" t="str">
        <f t="shared" si="549"/>
        <v>ANDRE LUCAS DA SILVA (1158)</v>
      </c>
      <c r="H2954" t="s">
        <v>901</v>
      </c>
      <c r="I2954" t="str">
        <f>("19/03/2026")</f>
        <v>19/03/2026</v>
      </c>
      <c r="J2954" t="str">
        <f>("18/03/2026")</f>
        <v>18/03/2026</v>
      </c>
      <c r="K2954">
        <v>46099</v>
      </c>
      <c r="N2954">
        <v>108</v>
      </c>
      <c r="O2954" t="s">
        <v>871</v>
      </c>
      <c r="Q2954">
        <v>31</v>
      </c>
      <c r="R2954" t="str">
        <f>"FARMÁCIA INDIANA LJ 175 (10076)"</f>
        <v>FARMÁCIA INDIANA LJ 175 (10076)</v>
      </c>
      <c r="S2954" t="s">
        <v>872</v>
      </c>
      <c r="T2954">
        <v>31199</v>
      </c>
      <c r="U2954">
        <v>35479</v>
      </c>
      <c r="V2954" t="s">
        <v>22</v>
      </c>
    </row>
    <row r="2955" spans="1:22">
      <c r="A2955" t="str">
        <f t="shared" si="542"/>
        <v>18/03/2026</v>
      </c>
      <c r="B2955" t="str">
        <f>"SAÍDA"</f>
        <v>SAÍDA</v>
      </c>
      <c r="C2955" t="str">
        <f>"PIX"</f>
        <v>PIX</v>
      </c>
      <c r="D2955" t="str">
        <f>"34536"</f>
        <v>34536</v>
      </c>
      <c r="E2955" t="str">
        <f>"1"</f>
        <v>1</v>
      </c>
      <c r="F2955" t="str">
        <f t="shared" si="548"/>
        <v>COM</v>
      </c>
      <c r="G2955" t="str">
        <f t="shared" si="549"/>
        <v>ANDRE LUCAS DA SILVA (1158)</v>
      </c>
      <c r="H2955" t="str">
        <f>"Serv.Prest. 02/03/2026 a 08/03/2026 - PIX: CPF - CHAVE: 125.636.656-04"</f>
        <v>Serv.Prest. 02/03/2026 a 08/03/2026 - PIX: CPF - CHAVE: 125.636.656-04</v>
      </c>
      <c r="I2955" t="str">
        <f>("19/03/2026")</f>
        <v>19/03/2026</v>
      </c>
      <c r="J2955" t="str">
        <f>("10/03/2026")</f>
        <v>10/03/2026</v>
      </c>
      <c r="K2955" t="str">
        <f>("18/03/2026")</f>
        <v>18/03/2026</v>
      </c>
      <c r="L2955">
        <v>31</v>
      </c>
      <c r="M2955">
        <v>31</v>
      </c>
      <c r="N2955">
        <v>109</v>
      </c>
      <c r="O2955" t="str">
        <f>"PAGAMENTO DE ENTREGADORES"</f>
        <v>PAGAMENTO DE ENTREGADORES</v>
      </c>
      <c r="P2955">
        <v>31</v>
      </c>
      <c r="S2955" t="str">
        <f>"CAIXA MOVIMENTAÇÃO OPERACIONAL (132)"</f>
        <v>CAIXA MOVIMENTAÇÃO OPERACIONAL (132)</v>
      </c>
      <c r="T2955">
        <v>31200</v>
      </c>
      <c r="U2955">
        <v>35483</v>
      </c>
      <c r="V2955" t="s">
        <v>22</v>
      </c>
    </row>
    <row r="2956" spans="1:22">
      <c r="A2956" t="str">
        <f t="shared" si="542"/>
        <v>18/03/2026</v>
      </c>
      <c r="B2956" t="str">
        <f>"SAÍDA"</f>
        <v>SAÍDA</v>
      </c>
      <c r="C2956" t="str">
        <f>"PIX"</f>
        <v>PIX</v>
      </c>
      <c r="D2956" t="str">
        <f>"34536"</f>
        <v>34536</v>
      </c>
      <c r="E2956" t="str">
        <f>"1"</f>
        <v>1</v>
      </c>
      <c r="F2956" t="str">
        <f t="shared" si="548"/>
        <v>COM</v>
      </c>
      <c r="G2956" t="str">
        <f t="shared" si="549"/>
        <v>ANDRE LUCAS DA SILVA (1158)</v>
      </c>
      <c r="H2956" t="s">
        <v>911</v>
      </c>
      <c r="I2956" t="str">
        <f>("19/03/2026")</f>
        <v>19/03/2026</v>
      </c>
      <c r="J2956" t="str">
        <f>("10/03/2026")</f>
        <v>10/03/2026</v>
      </c>
      <c r="K2956">
        <v>46099</v>
      </c>
      <c r="N2956">
        <v>109</v>
      </c>
      <c r="O2956" t="s">
        <v>27</v>
      </c>
      <c r="Q2956">
        <v>31</v>
      </c>
      <c r="R2956" t="str">
        <f>"FARMÁCIA INDIANA LJ 175 (10076)"</f>
        <v>FARMÁCIA INDIANA LJ 175 (10076)</v>
      </c>
      <c r="S2956" t="s">
        <v>22</v>
      </c>
      <c r="T2956">
        <v>31200</v>
      </c>
      <c r="U2956">
        <v>35483</v>
      </c>
      <c r="V2956" t="s">
        <v>22</v>
      </c>
    </row>
    <row r="2957" spans="1:22">
      <c r="A2957" t="str">
        <f t="shared" si="542"/>
        <v>18/03/2026</v>
      </c>
      <c r="B2957" t="str">
        <f>"SAÍDA"</f>
        <v>SAÍDA</v>
      </c>
      <c r="C2957" t="str">
        <f>"PIX"</f>
        <v>PIX</v>
      </c>
      <c r="D2957" t="str">
        <f>"35190"</f>
        <v>35190</v>
      </c>
      <c r="E2957" t="str">
        <f>"1"</f>
        <v>1</v>
      </c>
      <c r="F2957" t="str">
        <f t="shared" si="548"/>
        <v>COM</v>
      </c>
      <c r="G2957" t="str">
        <f t="shared" si="549"/>
        <v>ANDRE LUCAS DA SILVA (1158)</v>
      </c>
      <c r="H2957" t="str">
        <f>"Serv.Prest. 09/03/2026 a 15/03/2026 - PIX: CPF - CHAVE: 125.636.656-04"</f>
        <v>Serv.Prest. 09/03/2026 a 15/03/2026 - PIX: CPF - CHAVE: 125.636.656-04</v>
      </c>
      <c r="I2957" t="str">
        <f>("26/03/2026")</f>
        <v>26/03/2026</v>
      </c>
      <c r="J2957" t="str">
        <f>("17/03/2026")</f>
        <v>17/03/2026</v>
      </c>
      <c r="K2957" t="str">
        <f>("18/03/2026")</f>
        <v>18/03/2026</v>
      </c>
      <c r="L2957">
        <v>28</v>
      </c>
      <c r="M2957">
        <v>28</v>
      </c>
      <c r="N2957">
        <v>109</v>
      </c>
      <c r="O2957" t="str">
        <f>"PAGAMENTO DE ENTREGADORES"</f>
        <v>PAGAMENTO DE ENTREGADORES</v>
      </c>
      <c r="P2957">
        <v>28</v>
      </c>
      <c r="S2957" t="str">
        <f>"CAIXA MOVIMENTAÇÃO OPERACIONAL (132)"</f>
        <v>CAIXA MOVIMENTAÇÃO OPERACIONAL (132)</v>
      </c>
      <c r="T2957">
        <v>31201</v>
      </c>
      <c r="U2957">
        <v>35484</v>
      </c>
      <c r="V2957" t="s">
        <v>22</v>
      </c>
    </row>
    <row r="2958" spans="1:22">
      <c r="A2958" t="str">
        <f t="shared" si="542"/>
        <v>18/03/2026</v>
      </c>
      <c r="B2958" t="str">
        <f>"SAÍDA"</f>
        <v>SAÍDA</v>
      </c>
      <c r="C2958" t="str">
        <f>"PIX"</f>
        <v>PIX</v>
      </c>
      <c r="D2958" t="str">
        <f>"35190"</f>
        <v>35190</v>
      </c>
      <c r="E2958" t="str">
        <f>"1"</f>
        <v>1</v>
      </c>
      <c r="F2958" t="str">
        <f t="shared" si="548"/>
        <v>COM</v>
      </c>
      <c r="G2958" t="str">
        <f t="shared" si="549"/>
        <v>ANDRE LUCAS DA SILVA (1158)</v>
      </c>
      <c r="H2958" t="s">
        <v>912</v>
      </c>
      <c r="I2958" t="str">
        <f>("26/03/2026")</f>
        <v>26/03/2026</v>
      </c>
      <c r="J2958" t="str">
        <f>("17/03/2026")</f>
        <v>17/03/2026</v>
      </c>
      <c r="K2958">
        <v>46099</v>
      </c>
      <c r="N2958">
        <v>109</v>
      </c>
      <c r="O2958" t="s">
        <v>27</v>
      </c>
      <c r="Q2958">
        <v>28</v>
      </c>
      <c r="R2958" t="str">
        <f>"FARMÁCIA INDIANA LJ 175 (10076)"</f>
        <v>FARMÁCIA INDIANA LJ 175 (10076)</v>
      </c>
      <c r="S2958" t="s">
        <v>22</v>
      </c>
      <c r="T2958">
        <v>31201</v>
      </c>
      <c r="U2958">
        <v>35484</v>
      </c>
      <c r="V2958" t="s">
        <v>22</v>
      </c>
    </row>
    <row r="2959" spans="1:22">
      <c r="A2959" t="str">
        <f t="shared" si="542"/>
        <v>18/03/2026</v>
      </c>
      <c r="B2959" t="str">
        <f>"ENTRADA"</f>
        <v>ENTRADA</v>
      </c>
      <c r="C2959" t="str">
        <f>"DINHEIRO"</f>
        <v>DINHEIRO</v>
      </c>
      <c r="D2959" t="str">
        <f>"19032026"</f>
        <v>19032026</v>
      </c>
      <c r="E2959" t="str">
        <f>"2"</f>
        <v>2</v>
      </c>
      <c r="F2959" t="str">
        <f t="shared" si="548"/>
        <v>COM</v>
      </c>
      <c r="G2959" t="str">
        <f t="shared" si="549"/>
        <v>ANDRE LUCAS DA SILVA (1158)</v>
      </c>
      <c r="H2959" t="str">
        <f>"REEMBOLSO BAG"</f>
        <v>REEMBOLSO BAG</v>
      </c>
      <c r="I2959" t="str">
        <f>("26/03/2026")</f>
        <v>26/03/2026</v>
      </c>
      <c r="J2959" t="str">
        <f>("18/03/2026")</f>
        <v>18/03/2026</v>
      </c>
      <c r="K2959" t="str">
        <f>("18/03/2026")</f>
        <v>18/03/2026</v>
      </c>
      <c r="L2959">
        <v>28</v>
      </c>
      <c r="M2959">
        <v>28</v>
      </c>
      <c r="N2959">
        <v>108</v>
      </c>
      <c r="O2959" t="str">
        <f>"RECEITAS COM REEMBOLSOS"</f>
        <v>RECEITAS COM REEMBOLSOS</v>
      </c>
      <c r="P2959">
        <v>28</v>
      </c>
      <c r="S2959" t="str">
        <f>"RECEITAS COM REEMBOLSOS (108)"</f>
        <v>RECEITAS COM REEMBOLSOS (108)</v>
      </c>
      <c r="T2959">
        <v>31202</v>
      </c>
      <c r="U2959">
        <v>35480</v>
      </c>
      <c r="V2959" t="s">
        <v>22</v>
      </c>
    </row>
    <row r="2960" spans="1:22">
      <c r="A2960" t="str">
        <f t="shared" si="542"/>
        <v>18/03/2026</v>
      </c>
      <c r="B2960" t="str">
        <f>"ENTRADA"</f>
        <v>ENTRADA</v>
      </c>
      <c r="C2960" t="str">
        <f>"DINHEIRO"</f>
        <v>DINHEIRO</v>
      </c>
      <c r="D2960" t="str">
        <f>"19032026"</f>
        <v>19032026</v>
      </c>
      <c r="E2960" t="str">
        <f>"2"</f>
        <v>2</v>
      </c>
      <c r="F2960" t="str">
        <f t="shared" si="548"/>
        <v>COM</v>
      </c>
      <c r="G2960" t="str">
        <f t="shared" si="549"/>
        <v>ANDRE LUCAS DA SILVA (1158)</v>
      </c>
      <c r="H2960" t="s">
        <v>901</v>
      </c>
      <c r="I2960" t="str">
        <f>("26/03/2026")</f>
        <v>26/03/2026</v>
      </c>
      <c r="J2960" t="str">
        <f>("18/03/2026")</f>
        <v>18/03/2026</v>
      </c>
      <c r="K2960">
        <v>46099</v>
      </c>
      <c r="N2960">
        <v>108</v>
      </c>
      <c r="O2960" t="s">
        <v>871</v>
      </c>
      <c r="Q2960">
        <v>28</v>
      </c>
      <c r="R2960" t="str">
        <f>"FARMÁCIA INDIANA LJ 175 (10076)"</f>
        <v>FARMÁCIA INDIANA LJ 175 (10076)</v>
      </c>
      <c r="S2960" t="s">
        <v>872</v>
      </c>
      <c r="T2960">
        <v>31202</v>
      </c>
      <c r="U2960">
        <v>35480</v>
      </c>
      <c r="V2960" t="s">
        <v>22</v>
      </c>
    </row>
    <row r="2961" spans="1:22">
      <c r="A2961" t="str">
        <f t="shared" si="542"/>
        <v>18/03/2026</v>
      </c>
      <c r="B2961" t="str">
        <f>"SAÍDA"</f>
        <v>SAÍDA</v>
      </c>
      <c r="C2961" t="str">
        <f>"PIX"</f>
        <v>PIX</v>
      </c>
      <c r="D2961" t="str">
        <f>"34571"</f>
        <v>34571</v>
      </c>
      <c r="E2961" t="str">
        <f>"1"</f>
        <v>1</v>
      </c>
      <c r="F2961" t="str">
        <f t="shared" si="548"/>
        <v>COM</v>
      </c>
      <c r="G2961" t="str">
        <f>"FABRICIO RAMON SOARES SANTOS (645)"</f>
        <v>FABRICIO RAMON SOARES SANTOS (645)</v>
      </c>
      <c r="H2961" t="str">
        <f>"Serv.Prest. 02/03/2026 a 08/03/2026 - PIX: CELULAR - CHAVE: (31) 98483-3242"</f>
        <v>Serv.Prest. 02/03/2026 a 08/03/2026 - PIX: CELULAR - CHAVE: (31) 98483-3242</v>
      </c>
      <c r="I2961" t="str">
        <f t="shared" ref="I2961:I2990" si="550">("19/03/2026")</f>
        <v>19/03/2026</v>
      </c>
      <c r="J2961" t="str">
        <f>("10/03/2026")</f>
        <v>10/03/2026</v>
      </c>
      <c r="K2961" t="str">
        <f>("18/03/2026")</f>
        <v>18/03/2026</v>
      </c>
      <c r="L2961">
        <v>60</v>
      </c>
      <c r="M2961">
        <v>60</v>
      </c>
      <c r="N2961">
        <v>109</v>
      </c>
      <c r="O2961" t="str">
        <f>"PAGAMENTO DE ENTREGADORES"</f>
        <v>PAGAMENTO DE ENTREGADORES</v>
      </c>
      <c r="P2961">
        <v>60</v>
      </c>
      <c r="S2961" t="str">
        <f>"CAIXA MOVIMENTAÇÃO OPERACIONAL (132)"</f>
        <v>CAIXA MOVIMENTAÇÃO OPERACIONAL (132)</v>
      </c>
      <c r="T2961">
        <v>31204</v>
      </c>
      <c r="U2961">
        <v>35493</v>
      </c>
      <c r="V2961" t="s">
        <v>22</v>
      </c>
    </row>
    <row r="2962" spans="1:22">
      <c r="A2962" t="str">
        <f t="shared" si="542"/>
        <v>18/03/2026</v>
      </c>
      <c r="B2962" t="str">
        <f>"SAÍDA"</f>
        <v>SAÍDA</v>
      </c>
      <c r="C2962" t="str">
        <f>"PIX"</f>
        <v>PIX</v>
      </c>
      <c r="D2962" t="str">
        <f>"34571"</f>
        <v>34571</v>
      </c>
      <c r="E2962" t="str">
        <f>"1"</f>
        <v>1</v>
      </c>
      <c r="F2962" t="str">
        <f t="shared" si="548"/>
        <v>COM</v>
      </c>
      <c r="G2962" t="str">
        <f>"FABRICIO RAMON SOARES SANTOS (645)"</f>
        <v>FABRICIO RAMON SOARES SANTOS (645)</v>
      </c>
      <c r="H2962" t="s">
        <v>840</v>
      </c>
      <c r="I2962" t="str">
        <f t="shared" si="550"/>
        <v>19/03/2026</v>
      </c>
      <c r="J2962" t="str">
        <f>("10/03/2026")</f>
        <v>10/03/2026</v>
      </c>
      <c r="K2962">
        <v>46099</v>
      </c>
      <c r="N2962">
        <v>109</v>
      </c>
      <c r="O2962" t="s">
        <v>27</v>
      </c>
      <c r="Q2962">
        <v>60</v>
      </c>
      <c r="R2962" t="str">
        <f>"FARMÁCIA INDIANA LJ 101 (10043)"</f>
        <v>FARMÁCIA INDIANA LJ 101 (10043)</v>
      </c>
      <c r="S2962" t="s">
        <v>22</v>
      </c>
      <c r="T2962">
        <v>31204</v>
      </c>
      <c r="U2962">
        <v>35493</v>
      </c>
      <c r="V2962" t="s">
        <v>22</v>
      </c>
    </row>
    <row r="2963" spans="1:22">
      <c r="A2963" t="str">
        <f t="shared" si="542"/>
        <v>18/03/2026</v>
      </c>
      <c r="B2963" t="str">
        <f>"ENTRADA"</f>
        <v>ENTRADA</v>
      </c>
      <c r="C2963" t="str">
        <f>"DINHEIRO"</f>
        <v>DINHEIRO</v>
      </c>
      <c r="D2963" t="str">
        <f>"19032026"</f>
        <v>19032026</v>
      </c>
      <c r="E2963" t="str">
        <f>""</f>
        <v/>
      </c>
      <c r="F2963" t="str">
        <f t="shared" si="548"/>
        <v>COM</v>
      </c>
      <c r="G2963" t="str">
        <f>"FABRICIO RAMON SOARES SANTOS (645)"</f>
        <v>FABRICIO RAMON SOARES SANTOS (645)</v>
      </c>
      <c r="H2963" t="str">
        <f>"REELMBOLSO CERTIFICADO DIGITAL 1/2"</f>
        <v>REELMBOLSO CERTIFICADO DIGITAL 1/2</v>
      </c>
      <c r="I2963" t="str">
        <f t="shared" si="550"/>
        <v>19/03/2026</v>
      </c>
      <c r="J2963" t="str">
        <f>("18/03/2026")</f>
        <v>18/03/2026</v>
      </c>
      <c r="K2963" t="str">
        <f>("18/03/2026")</f>
        <v>18/03/2026</v>
      </c>
      <c r="L2963">
        <v>60</v>
      </c>
      <c r="M2963">
        <v>60</v>
      </c>
      <c r="N2963">
        <v>108</v>
      </c>
      <c r="O2963" t="str">
        <f>"RECEITAS COM REEMBOLSOS"</f>
        <v>RECEITAS COM REEMBOLSOS</v>
      </c>
      <c r="P2963">
        <v>60</v>
      </c>
      <c r="S2963" t="str">
        <f>"RECEITAS COM REEMBOLSOS (108)"</f>
        <v>RECEITAS COM REEMBOLSOS (108)</v>
      </c>
      <c r="T2963">
        <v>31205</v>
      </c>
      <c r="U2963">
        <v>35491</v>
      </c>
      <c r="V2963" t="s">
        <v>22</v>
      </c>
    </row>
    <row r="2964" spans="1:22">
      <c r="A2964" t="str">
        <f t="shared" si="542"/>
        <v>18/03/2026</v>
      </c>
      <c r="B2964" t="str">
        <f>"ENTRADA"</f>
        <v>ENTRADA</v>
      </c>
      <c r="C2964" t="str">
        <f>"DINHEIRO"</f>
        <v>DINHEIRO</v>
      </c>
      <c r="D2964" t="str">
        <f>"19032026"</f>
        <v>19032026</v>
      </c>
      <c r="E2964" t="str">
        <f>""</f>
        <v/>
      </c>
      <c r="F2964" t="str">
        <f t="shared" si="548"/>
        <v>COM</v>
      </c>
      <c r="G2964" t="str">
        <f>"FABRICIO RAMON SOARES SANTOS (645)"</f>
        <v>FABRICIO RAMON SOARES SANTOS (645)</v>
      </c>
      <c r="H2964" t="s">
        <v>913</v>
      </c>
      <c r="I2964" t="str">
        <f t="shared" si="550"/>
        <v>19/03/2026</v>
      </c>
      <c r="J2964" t="str">
        <f>("18/03/2026")</f>
        <v>18/03/2026</v>
      </c>
      <c r="K2964">
        <v>46099</v>
      </c>
      <c r="N2964">
        <v>108</v>
      </c>
      <c r="O2964" t="s">
        <v>871</v>
      </c>
      <c r="Q2964">
        <v>60</v>
      </c>
      <c r="R2964" t="str">
        <f>"FABRICIO RAMON SOARES SANTOS (645)"</f>
        <v>FABRICIO RAMON SOARES SANTOS (645)</v>
      </c>
      <c r="S2964" t="s">
        <v>872</v>
      </c>
      <c r="T2964">
        <v>31205</v>
      </c>
      <c r="U2964">
        <v>35491</v>
      </c>
      <c r="V2964" t="s">
        <v>22</v>
      </c>
    </row>
    <row r="2965" spans="1:22">
      <c r="A2965" t="str">
        <f t="shared" si="542"/>
        <v>18/03/2026</v>
      </c>
      <c r="B2965" t="str">
        <f>"SAÍDA"</f>
        <v>SAÍDA</v>
      </c>
      <c r="C2965" t="str">
        <f>"PIX"</f>
        <v>PIX</v>
      </c>
      <c r="D2965" t="str">
        <f>"34600"</f>
        <v>34600</v>
      </c>
      <c r="E2965" t="str">
        <f>"1"</f>
        <v>1</v>
      </c>
      <c r="F2965" t="str">
        <f t="shared" si="548"/>
        <v>COM</v>
      </c>
      <c r="G2965" t="str">
        <f>"LUAN DOS SANTOS NUNES (719)"</f>
        <v>LUAN DOS SANTOS NUNES (719)</v>
      </c>
      <c r="H2965" t="str">
        <f>"Serv.Prest. 02/03/2026 a 08/03/2026 - PIX: CELULAR - CHAVE: (33) 98749-4693"</f>
        <v>Serv.Prest. 02/03/2026 a 08/03/2026 - PIX: CELULAR - CHAVE: (33) 98749-4693</v>
      </c>
      <c r="I2965" t="str">
        <f t="shared" si="550"/>
        <v>19/03/2026</v>
      </c>
      <c r="J2965" t="str">
        <f>("10/03/2026")</f>
        <v>10/03/2026</v>
      </c>
      <c r="K2965" t="str">
        <f>("18/03/2026")</f>
        <v>18/03/2026</v>
      </c>
      <c r="L2965">
        <v>60</v>
      </c>
      <c r="M2965">
        <v>60</v>
      </c>
      <c r="N2965">
        <v>109</v>
      </c>
      <c r="O2965" t="str">
        <f>"PAGAMENTO DE ENTREGADORES"</f>
        <v>PAGAMENTO DE ENTREGADORES</v>
      </c>
      <c r="P2965">
        <v>60</v>
      </c>
      <c r="S2965" t="str">
        <f>"CAIXA MOVIMENTAÇÃO OPERACIONAL (132)"</f>
        <v>CAIXA MOVIMENTAÇÃO OPERACIONAL (132)</v>
      </c>
      <c r="T2965">
        <v>31206</v>
      </c>
      <c r="U2965">
        <v>35496</v>
      </c>
      <c r="V2965" t="s">
        <v>22</v>
      </c>
    </row>
    <row r="2966" spans="1:22">
      <c r="A2966" t="str">
        <f t="shared" si="542"/>
        <v>18/03/2026</v>
      </c>
      <c r="B2966" t="str">
        <f>"SAÍDA"</f>
        <v>SAÍDA</v>
      </c>
      <c r="C2966" t="str">
        <f>"PIX"</f>
        <v>PIX</v>
      </c>
      <c r="D2966" t="str">
        <f>"34600"</f>
        <v>34600</v>
      </c>
      <c r="E2966" t="str">
        <f>"1"</f>
        <v>1</v>
      </c>
      <c r="F2966" t="str">
        <f t="shared" si="548"/>
        <v>COM</v>
      </c>
      <c r="G2966" t="str">
        <f>"LUAN DOS SANTOS NUNES (719)"</f>
        <v>LUAN DOS SANTOS NUNES (719)</v>
      </c>
      <c r="H2966" t="s">
        <v>909</v>
      </c>
      <c r="I2966" t="str">
        <f t="shared" si="550"/>
        <v>19/03/2026</v>
      </c>
      <c r="J2966" t="str">
        <f>("10/03/2026")</f>
        <v>10/03/2026</v>
      </c>
      <c r="K2966">
        <v>46099</v>
      </c>
      <c r="N2966">
        <v>109</v>
      </c>
      <c r="O2966" t="s">
        <v>27</v>
      </c>
      <c r="Q2966">
        <v>60</v>
      </c>
      <c r="R2966" t="str">
        <f>"FARMÁCIA INDIANA LJ 61 (10027)"</f>
        <v>FARMÁCIA INDIANA LJ 61 (10027)</v>
      </c>
      <c r="S2966" t="s">
        <v>22</v>
      </c>
      <c r="T2966">
        <v>31206</v>
      </c>
      <c r="U2966">
        <v>35496</v>
      </c>
      <c r="V2966" t="s">
        <v>22</v>
      </c>
    </row>
    <row r="2967" spans="1:22">
      <c r="A2967" t="str">
        <f t="shared" si="542"/>
        <v>18/03/2026</v>
      </c>
      <c r="B2967" t="str">
        <f>"ENTRADA"</f>
        <v>ENTRADA</v>
      </c>
      <c r="C2967" t="str">
        <f>"DINHEIRO"</f>
        <v>DINHEIRO</v>
      </c>
      <c r="D2967" t="str">
        <f>"19032026"</f>
        <v>19032026</v>
      </c>
      <c r="E2967" t="str">
        <f>""</f>
        <v/>
      </c>
      <c r="F2967" t="str">
        <f t="shared" si="548"/>
        <v>COM</v>
      </c>
      <c r="G2967" t="str">
        <f>"LUAN DOS SANTOS NUNES (719)"</f>
        <v>LUAN DOS SANTOS NUNES (719)</v>
      </c>
      <c r="H2967" t="str">
        <f>"REELMBOLSO CERTIFICADO DIGITAL 1/2"</f>
        <v>REELMBOLSO CERTIFICADO DIGITAL 1/2</v>
      </c>
      <c r="I2967" t="str">
        <f t="shared" si="550"/>
        <v>19/03/2026</v>
      </c>
      <c r="J2967" t="str">
        <f>("18/03/2026")</f>
        <v>18/03/2026</v>
      </c>
      <c r="K2967" t="str">
        <f>("18/03/2026")</f>
        <v>18/03/2026</v>
      </c>
      <c r="L2967">
        <v>60</v>
      </c>
      <c r="M2967">
        <v>60</v>
      </c>
      <c r="N2967">
        <v>108</v>
      </c>
      <c r="O2967" t="str">
        <f>"RECEITAS COM REEMBOLSOS"</f>
        <v>RECEITAS COM REEMBOLSOS</v>
      </c>
      <c r="P2967">
        <v>60</v>
      </c>
      <c r="S2967" t="str">
        <f>"RECEITAS COM REEMBOLSOS (108)"</f>
        <v>RECEITAS COM REEMBOLSOS (108)</v>
      </c>
      <c r="T2967">
        <v>31207</v>
      </c>
      <c r="U2967">
        <v>35494</v>
      </c>
      <c r="V2967" t="s">
        <v>22</v>
      </c>
    </row>
    <row r="2968" spans="1:22">
      <c r="A2968" t="str">
        <f t="shared" si="542"/>
        <v>18/03/2026</v>
      </c>
      <c r="B2968" t="str">
        <f>"ENTRADA"</f>
        <v>ENTRADA</v>
      </c>
      <c r="C2968" t="str">
        <f>"DINHEIRO"</f>
        <v>DINHEIRO</v>
      </c>
      <c r="D2968" t="str">
        <f>"19032026"</f>
        <v>19032026</v>
      </c>
      <c r="E2968" t="str">
        <f>""</f>
        <v/>
      </c>
      <c r="F2968" t="str">
        <f t="shared" si="548"/>
        <v>COM</v>
      </c>
      <c r="G2968" t="str">
        <f>"LUAN DOS SANTOS NUNES (719)"</f>
        <v>LUAN DOS SANTOS NUNES (719)</v>
      </c>
      <c r="H2968" t="s">
        <v>913</v>
      </c>
      <c r="I2968" t="str">
        <f t="shared" si="550"/>
        <v>19/03/2026</v>
      </c>
      <c r="J2968" t="str">
        <f>("18/03/2026")</f>
        <v>18/03/2026</v>
      </c>
      <c r="K2968">
        <v>46099</v>
      </c>
      <c r="N2968">
        <v>108</v>
      </c>
      <c r="O2968" t="s">
        <v>871</v>
      </c>
      <c r="Q2968">
        <v>60</v>
      </c>
      <c r="R2968" t="str">
        <f>"LUAN DOS SANTOS NUNES (719)"</f>
        <v>LUAN DOS SANTOS NUNES (719)</v>
      </c>
      <c r="S2968" t="s">
        <v>872</v>
      </c>
      <c r="T2968">
        <v>31207</v>
      </c>
      <c r="U2968">
        <v>35494</v>
      </c>
      <c r="V2968" t="s">
        <v>22</v>
      </c>
    </row>
    <row r="2969" spans="1:22">
      <c r="A2969" t="str">
        <f t="shared" si="542"/>
        <v>18/03/2026</v>
      </c>
      <c r="B2969" t="str">
        <f>"ENTRADA"</f>
        <v>ENTRADA</v>
      </c>
      <c r="C2969" t="str">
        <f>"DINHEIRO"</f>
        <v>DINHEIRO</v>
      </c>
      <c r="D2969" t="str">
        <f>"19032026"</f>
        <v>19032026</v>
      </c>
      <c r="E2969" t="str">
        <f>""</f>
        <v/>
      </c>
      <c r="F2969" t="str">
        <f t="shared" si="548"/>
        <v>COM</v>
      </c>
      <c r="G2969" t="str">
        <f>"WEMERSON FELIPE LOPES (187)"</f>
        <v>WEMERSON FELIPE LOPES (187)</v>
      </c>
      <c r="H2969" t="str">
        <f>"REELMBOLSO CERTIFICADO DIGITAL 1/2"</f>
        <v>REELMBOLSO CERTIFICADO DIGITAL 1/2</v>
      </c>
      <c r="I2969" t="str">
        <f t="shared" si="550"/>
        <v>19/03/2026</v>
      </c>
      <c r="J2969" t="str">
        <f>("18/03/2026")</f>
        <v>18/03/2026</v>
      </c>
      <c r="K2969" t="str">
        <f>("18/03/2026")</f>
        <v>18/03/2026</v>
      </c>
      <c r="L2969">
        <v>60</v>
      </c>
      <c r="M2969">
        <v>60</v>
      </c>
      <c r="N2969">
        <v>108</v>
      </c>
      <c r="O2969" t="str">
        <f>"RECEITAS COM REEMBOLSOS"</f>
        <v>RECEITAS COM REEMBOLSOS</v>
      </c>
      <c r="P2969">
        <v>60</v>
      </c>
      <c r="S2969" t="str">
        <f>"RECEITAS COM REEMBOLSOS (108)"</f>
        <v>RECEITAS COM REEMBOLSOS (108)</v>
      </c>
      <c r="T2969">
        <v>31208</v>
      </c>
      <c r="U2969">
        <v>35497</v>
      </c>
      <c r="V2969" t="s">
        <v>22</v>
      </c>
    </row>
    <row r="2970" spans="1:22">
      <c r="A2970" t="str">
        <f t="shared" si="542"/>
        <v>18/03/2026</v>
      </c>
      <c r="B2970" t="str">
        <f>"ENTRADA"</f>
        <v>ENTRADA</v>
      </c>
      <c r="C2970" t="str">
        <f>"DINHEIRO"</f>
        <v>DINHEIRO</v>
      </c>
      <c r="D2970" t="str">
        <f>"19032026"</f>
        <v>19032026</v>
      </c>
      <c r="E2970" t="str">
        <f>""</f>
        <v/>
      </c>
      <c r="F2970" t="str">
        <f t="shared" si="548"/>
        <v>COM</v>
      </c>
      <c r="G2970" t="str">
        <f>"WEMERSON FELIPE LOPES (187)"</f>
        <v>WEMERSON FELIPE LOPES (187)</v>
      </c>
      <c r="H2970" t="s">
        <v>913</v>
      </c>
      <c r="I2970" t="str">
        <f t="shared" si="550"/>
        <v>19/03/2026</v>
      </c>
      <c r="J2970" t="str">
        <f>("18/03/2026")</f>
        <v>18/03/2026</v>
      </c>
      <c r="K2970">
        <v>46099</v>
      </c>
      <c r="N2970">
        <v>108</v>
      </c>
      <c r="O2970" t="s">
        <v>871</v>
      </c>
      <c r="Q2970">
        <v>60</v>
      </c>
      <c r="R2970" t="str">
        <f>"WEMERSON FELIPE LOPES (187)"</f>
        <v>WEMERSON FELIPE LOPES (187)</v>
      </c>
      <c r="S2970" t="s">
        <v>872</v>
      </c>
      <c r="T2970">
        <v>31208</v>
      </c>
      <c r="U2970">
        <v>35497</v>
      </c>
      <c r="V2970" t="s">
        <v>22</v>
      </c>
    </row>
    <row r="2971" spans="1:22">
      <c r="A2971" t="str">
        <f t="shared" si="542"/>
        <v>18/03/2026</v>
      </c>
      <c r="B2971" t="str">
        <f>"SAÍDA"</f>
        <v>SAÍDA</v>
      </c>
      <c r="C2971" t="str">
        <f>"PIX"</f>
        <v>PIX</v>
      </c>
      <c r="D2971" t="str">
        <f>"34651"</f>
        <v>34651</v>
      </c>
      <c r="E2971" t="str">
        <f>"1"</f>
        <v>1</v>
      </c>
      <c r="F2971" t="str">
        <f t="shared" si="548"/>
        <v>COM</v>
      </c>
      <c r="G2971" t="str">
        <f>"WEMERSON FELIPE LOPES (187)"</f>
        <v>WEMERSON FELIPE LOPES (187)</v>
      </c>
      <c r="H2971" t="str">
        <f>"Serv.Prest. 02/03/2026 a 08/03/2026 - PIX: CELULAR - CHAVE: (33) 98806-5772"</f>
        <v>Serv.Prest. 02/03/2026 a 08/03/2026 - PIX: CELULAR - CHAVE: (33) 98806-5772</v>
      </c>
      <c r="I2971" t="str">
        <f t="shared" si="550"/>
        <v>19/03/2026</v>
      </c>
      <c r="J2971" t="str">
        <f>("10/03/2026")</f>
        <v>10/03/2026</v>
      </c>
      <c r="K2971" t="str">
        <f>("18/03/2026")</f>
        <v>18/03/2026</v>
      </c>
      <c r="L2971">
        <v>60</v>
      </c>
      <c r="M2971">
        <v>60</v>
      </c>
      <c r="N2971">
        <v>109</v>
      </c>
      <c r="O2971" t="str">
        <f>"PAGAMENTO DE ENTREGADORES"</f>
        <v>PAGAMENTO DE ENTREGADORES</v>
      </c>
      <c r="P2971">
        <v>60</v>
      </c>
      <c r="S2971" t="str">
        <f>"CAIXA MOVIMENTAÇÃO OPERACIONAL (132)"</f>
        <v>CAIXA MOVIMENTAÇÃO OPERACIONAL (132)</v>
      </c>
      <c r="T2971">
        <v>31209</v>
      </c>
      <c r="U2971">
        <v>35499</v>
      </c>
      <c r="V2971" t="s">
        <v>22</v>
      </c>
    </row>
    <row r="2972" spans="1:22">
      <c r="A2972" t="str">
        <f t="shared" si="542"/>
        <v>18/03/2026</v>
      </c>
      <c r="B2972" t="str">
        <f>"SAÍDA"</f>
        <v>SAÍDA</v>
      </c>
      <c r="C2972" t="str">
        <f>"PIX"</f>
        <v>PIX</v>
      </c>
      <c r="D2972" t="str">
        <f>"34651"</f>
        <v>34651</v>
      </c>
      <c r="E2972" t="str">
        <f>"1"</f>
        <v>1</v>
      </c>
      <c r="F2972" t="str">
        <f t="shared" si="548"/>
        <v>COM</v>
      </c>
      <c r="G2972" t="str">
        <f>"WEMERSON FELIPE LOPES (187)"</f>
        <v>WEMERSON FELIPE LOPES (187)</v>
      </c>
      <c r="H2972" t="s">
        <v>866</v>
      </c>
      <c r="I2972" t="str">
        <f t="shared" si="550"/>
        <v>19/03/2026</v>
      </c>
      <c r="J2972" t="str">
        <f>("10/03/2026")</f>
        <v>10/03/2026</v>
      </c>
      <c r="K2972">
        <v>46099</v>
      </c>
      <c r="N2972">
        <v>109</v>
      </c>
      <c r="O2972" t="s">
        <v>27</v>
      </c>
      <c r="Q2972">
        <v>60</v>
      </c>
      <c r="R2972" t="str">
        <f>"FARMÁCIA INDIANA LJ 06 (10006)"</f>
        <v>FARMÁCIA INDIANA LJ 06 (10006)</v>
      </c>
      <c r="S2972" t="s">
        <v>22</v>
      </c>
      <c r="T2972">
        <v>31209</v>
      </c>
      <c r="U2972">
        <v>35499</v>
      </c>
      <c r="V2972" t="s">
        <v>22</v>
      </c>
    </row>
    <row r="2973" spans="1:22">
      <c r="A2973" t="str">
        <f t="shared" si="542"/>
        <v>18/03/2026</v>
      </c>
      <c r="B2973" t="str">
        <f>"SAÍDA"</f>
        <v>SAÍDA</v>
      </c>
      <c r="C2973" t="str">
        <f>"PIX"</f>
        <v>PIX</v>
      </c>
      <c r="D2973" t="str">
        <f>"34661"</f>
        <v>34661</v>
      </c>
      <c r="E2973" t="str">
        <f>"1"</f>
        <v>1</v>
      </c>
      <c r="F2973" t="str">
        <f t="shared" si="548"/>
        <v>COM</v>
      </c>
      <c r="G2973" t="str">
        <f>"YAN EVERTON RODRIGUES DE LIMA (875)"</f>
        <v>YAN EVERTON RODRIGUES DE LIMA (875)</v>
      </c>
      <c r="H2973" t="str">
        <f>"Serv.Prest. 02/03/2026 a 08/03/2026 - PIX: CELULAR - CHAVE: (33) 99859-8751"</f>
        <v>Serv.Prest. 02/03/2026 a 08/03/2026 - PIX: CELULAR - CHAVE: (33) 99859-8751</v>
      </c>
      <c r="I2973" t="str">
        <f t="shared" si="550"/>
        <v>19/03/2026</v>
      </c>
      <c r="J2973" t="str">
        <f>("10/03/2026")</f>
        <v>10/03/2026</v>
      </c>
      <c r="K2973" t="str">
        <f>("18/03/2026")</f>
        <v>18/03/2026</v>
      </c>
      <c r="L2973">
        <v>60</v>
      </c>
      <c r="M2973">
        <v>60</v>
      </c>
      <c r="N2973">
        <v>109</v>
      </c>
      <c r="O2973" t="str">
        <f>"PAGAMENTO DE ENTREGADORES"</f>
        <v>PAGAMENTO DE ENTREGADORES</v>
      </c>
      <c r="P2973">
        <v>60</v>
      </c>
      <c r="S2973" t="str">
        <f>"CAIXA MOVIMENTAÇÃO OPERACIONAL (132)"</f>
        <v>CAIXA MOVIMENTAÇÃO OPERACIONAL (132)</v>
      </c>
      <c r="T2973">
        <v>31210</v>
      </c>
      <c r="U2973">
        <v>35502</v>
      </c>
      <c r="V2973" t="s">
        <v>22</v>
      </c>
    </row>
    <row r="2974" spans="1:22">
      <c r="A2974" t="str">
        <f t="shared" si="542"/>
        <v>18/03/2026</v>
      </c>
      <c r="B2974" t="str">
        <f>"SAÍDA"</f>
        <v>SAÍDA</v>
      </c>
      <c r="C2974" t="str">
        <f>"PIX"</f>
        <v>PIX</v>
      </c>
      <c r="D2974" t="str">
        <f>"34661"</f>
        <v>34661</v>
      </c>
      <c r="E2974" t="str">
        <f>"1"</f>
        <v>1</v>
      </c>
      <c r="F2974" t="str">
        <f t="shared" si="548"/>
        <v>COM</v>
      </c>
      <c r="G2974" t="str">
        <f>"YAN EVERTON RODRIGUES DE LIMA (875)"</f>
        <v>YAN EVERTON RODRIGUES DE LIMA (875)</v>
      </c>
      <c r="H2974" t="s">
        <v>914</v>
      </c>
      <c r="I2974" t="str">
        <f t="shared" si="550"/>
        <v>19/03/2026</v>
      </c>
      <c r="J2974" t="str">
        <f>("10/03/2026")</f>
        <v>10/03/2026</v>
      </c>
      <c r="K2974">
        <v>46099</v>
      </c>
      <c r="N2974">
        <v>109</v>
      </c>
      <c r="O2974" t="s">
        <v>27</v>
      </c>
      <c r="Q2974">
        <v>60</v>
      </c>
      <c r="R2974" t="str">
        <f>"FARMÁCIA INDIANA LJ 06 (10006)"</f>
        <v>FARMÁCIA INDIANA LJ 06 (10006)</v>
      </c>
      <c r="S2974" t="s">
        <v>22</v>
      </c>
      <c r="T2974">
        <v>31210</v>
      </c>
      <c r="U2974">
        <v>35502</v>
      </c>
      <c r="V2974" t="s">
        <v>22</v>
      </c>
    </row>
    <row r="2975" spans="1:22">
      <c r="A2975" t="str">
        <f t="shared" si="542"/>
        <v>18/03/2026</v>
      </c>
      <c r="B2975" t="str">
        <f>"ENTRADA"</f>
        <v>ENTRADA</v>
      </c>
      <c r="C2975" t="str">
        <f>"DINHEIRO"</f>
        <v>DINHEIRO</v>
      </c>
      <c r="D2975" t="str">
        <f>"19032026"</f>
        <v>19032026</v>
      </c>
      <c r="E2975" t="str">
        <f>""</f>
        <v/>
      </c>
      <c r="F2975" t="str">
        <f t="shared" si="548"/>
        <v>COM</v>
      </c>
      <c r="G2975" t="str">
        <f>"YAN EVERTON RODRIGUES DE LIMA (875)"</f>
        <v>YAN EVERTON RODRIGUES DE LIMA (875)</v>
      </c>
      <c r="H2975" t="str">
        <f>"REELMBOLSO CERTIFICADO DIGITAL 1/2"</f>
        <v>REELMBOLSO CERTIFICADO DIGITAL 1/2</v>
      </c>
      <c r="I2975" t="str">
        <f t="shared" si="550"/>
        <v>19/03/2026</v>
      </c>
      <c r="J2975" t="str">
        <f>("18/03/2026")</f>
        <v>18/03/2026</v>
      </c>
      <c r="K2975" t="str">
        <f>("18/03/2026")</f>
        <v>18/03/2026</v>
      </c>
      <c r="L2975">
        <v>60</v>
      </c>
      <c r="M2975">
        <v>60</v>
      </c>
      <c r="N2975">
        <v>108</v>
      </c>
      <c r="O2975" t="str">
        <f>"RECEITAS COM REEMBOLSOS"</f>
        <v>RECEITAS COM REEMBOLSOS</v>
      </c>
      <c r="P2975">
        <v>60</v>
      </c>
      <c r="S2975" t="str">
        <f>"RECEITAS COM REEMBOLSOS (108)"</f>
        <v>RECEITAS COM REEMBOLSOS (108)</v>
      </c>
      <c r="T2975">
        <v>31211</v>
      </c>
      <c r="U2975">
        <v>35500</v>
      </c>
      <c r="V2975" t="s">
        <v>22</v>
      </c>
    </row>
    <row r="2976" spans="1:22">
      <c r="A2976" t="str">
        <f t="shared" si="542"/>
        <v>18/03/2026</v>
      </c>
      <c r="B2976" t="str">
        <f>"ENTRADA"</f>
        <v>ENTRADA</v>
      </c>
      <c r="C2976" t="str">
        <f>"DINHEIRO"</f>
        <v>DINHEIRO</v>
      </c>
      <c r="D2976" t="str">
        <f>"19032026"</f>
        <v>19032026</v>
      </c>
      <c r="E2976" t="str">
        <f>""</f>
        <v/>
      </c>
      <c r="F2976" t="str">
        <f t="shared" si="548"/>
        <v>COM</v>
      </c>
      <c r="G2976" t="str">
        <f>"YAN EVERTON RODRIGUES DE LIMA (875)"</f>
        <v>YAN EVERTON RODRIGUES DE LIMA (875)</v>
      </c>
      <c r="H2976" t="s">
        <v>913</v>
      </c>
      <c r="I2976" t="str">
        <f t="shared" si="550"/>
        <v>19/03/2026</v>
      </c>
      <c r="J2976" t="str">
        <f>("18/03/2026")</f>
        <v>18/03/2026</v>
      </c>
      <c r="K2976">
        <v>46099</v>
      </c>
      <c r="N2976">
        <v>108</v>
      </c>
      <c r="O2976" t="s">
        <v>871</v>
      </c>
      <c r="Q2976">
        <v>60</v>
      </c>
      <c r="R2976" t="str">
        <f>"YAN EVERTON RODRIGUES DE LIMA (875)"</f>
        <v>YAN EVERTON RODRIGUES DE LIMA (875)</v>
      </c>
      <c r="S2976" t="s">
        <v>872</v>
      </c>
      <c r="T2976">
        <v>31211</v>
      </c>
      <c r="U2976">
        <v>35500</v>
      </c>
      <c r="V2976" t="s">
        <v>22</v>
      </c>
    </row>
    <row r="2977" spans="1:22">
      <c r="A2977" t="str">
        <f t="shared" si="542"/>
        <v>18/03/2026</v>
      </c>
      <c r="B2977" t="str">
        <f>"ENTRADA"</f>
        <v>ENTRADA</v>
      </c>
      <c r="C2977" t="str">
        <f>"DINHEIRO"</f>
        <v>DINHEIRO</v>
      </c>
      <c r="D2977" t="str">
        <f>"19032026"</f>
        <v>19032026</v>
      </c>
      <c r="E2977" t="str">
        <f>""</f>
        <v/>
      </c>
      <c r="F2977" t="str">
        <f t="shared" si="548"/>
        <v>COM</v>
      </c>
      <c r="G2977" t="str">
        <f>"SILAS ALVES DE FREITAS (35)"</f>
        <v>SILAS ALVES DE FREITAS (35)</v>
      </c>
      <c r="H2977" t="str">
        <f>"REELMBOLSO CERTIFICADO DIGITAL 1/2"</f>
        <v>REELMBOLSO CERTIFICADO DIGITAL 1/2</v>
      </c>
      <c r="I2977" t="str">
        <f t="shared" si="550"/>
        <v>19/03/2026</v>
      </c>
      <c r="J2977" t="str">
        <f>("18/03/2026")</f>
        <v>18/03/2026</v>
      </c>
      <c r="K2977" t="str">
        <f>("18/03/2026")</f>
        <v>18/03/2026</v>
      </c>
      <c r="L2977">
        <v>60</v>
      </c>
      <c r="M2977">
        <v>60</v>
      </c>
      <c r="N2977">
        <v>108</v>
      </c>
      <c r="O2977" t="str">
        <f>"RECEITAS COM REEMBOLSOS"</f>
        <v>RECEITAS COM REEMBOLSOS</v>
      </c>
      <c r="P2977">
        <v>60</v>
      </c>
      <c r="S2977" t="str">
        <f>"RECEITAS COM REEMBOLSOS (108)"</f>
        <v>RECEITAS COM REEMBOLSOS (108)</v>
      </c>
      <c r="T2977">
        <v>31212</v>
      </c>
      <c r="U2977">
        <v>35503</v>
      </c>
      <c r="V2977" t="s">
        <v>22</v>
      </c>
    </row>
    <row r="2978" spans="1:22">
      <c r="A2978" t="str">
        <f t="shared" si="542"/>
        <v>18/03/2026</v>
      </c>
      <c r="B2978" t="str">
        <f>"ENTRADA"</f>
        <v>ENTRADA</v>
      </c>
      <c r="C2978" t="str">
        <f>"DINHEIRO"</f>
        <v>DINHEIRO</v>
      </c>
      <c r="D2978" t="str">
        <f>"19032026"</f>
        <v>19032026</v>
      </c>
      <c r="E2978" t="str">
        <f>""</f>
        <v/>
      </c>
      <c r="F2978" t="str">
        <f t="shared" si="548"/>
        <v>COM</v>
      </c>
      <c r="G2978" t="str">
        <f>"SILAS ALVES DE FREITAS (35)"</f>
        <v>SILAS ALVES DE FREITAS (35)</v>
      </c>
      <c r="H2978" t="s">
        <v>913</v>
      </c>
      <c r="I2978" t="str">
        <f t="shared" si="550"/>
        <v>19/03/2026</v>
      </c>
      <c r="J2978" t="str">
        <f>("18/03/2026")</f>
        <v>18/03/2026</v>
      </c>
      <c r="K2978">
        <v>46099</v>
      </c>
      <c r="N2978">
        <v>108</v>
      </c>
      <c r="O2978" t="s">
        <v>871</v>
      </c>
      <c r="Q2978">
        <v>60</v>
      </c>
      <c r="R2978" t="str">
        <f>"SILAS ALVES DE FREITAS (35)"</f>
        <v>SILAS ALVES DE FREITAS (35)</v>
      </c>
      <c r="S2978" t="s">
        <v>872</v>
      </c>
      <c r="T2978">
        <v>31212</v>
      </c>
      <c r="U2978">
        <v>35503</v>
      </c>
      <c r="V2978" t="s">
        <v>22</v>
      </c>
    </row>
    <row r="2979" spans="1:22">
      <c r="A2979" t="str">
        <f t="shared" ref="A2979:A3042" si="551">("18/03/2026")</f>
        <v>18/03/2026</v>
      </c>
      <c r="B2979" t="str">
        <f>"SAÍDA"</f>
        <v>SAÍDA</v>
      </c>
      <c r="C2979" t="str">
        <f>"PIX"</f>
        <v>PIX</v>
      </c>
      <c r="D2979" t="str">
        <f>"34639"</f>
        <v>34639</v>
      </c>
      <c r="E2979" t="str">
        <f>"1"</f>
        <v>1</v>
      </c>
      <c r="F2979" t="str">
        <f t="shared" si="548"/>
        <v>COM</v>
      </c>
      <c r="G2979" t="str">
        <f>"SILAS ALVES DE FREITAS (35)"</f>
        <v>SILAS ALVES DE FREITAS (35)</v>
      </c>
      <c r="H2979" t="str">
        <f>"Serv.Prest. 02/03/2026 a 08/03/2026 - PIX: CPF - CHAVE: 097.855.786-74"</f>
        <v>Serv.Prest. 02/03/2026 a 08/03/2026 - PIX: CPF - CHAVE: 097.855.786-74</v>
      </c>
      <c r="I2979" t="str">
        <f t="shared" si="550"/>
        <v>19/03/2026</v>
      </c>
      <c r="J2979" t="str">
        <f>("10/03/2026")</f>
        <v>10/03/2026</v>
      </c>
      <c r="K2979" t="str">
        <f>("18/03/2026")</f>
        <v>18/03/2026</v>
      </c>
      <c r="L2979">
        <v>60</v>
      </c>
      <c r="M2979">
        <v>60</v>
      </c>
      <c r="N2979">
        <v>109</v>
      </c>
      <c r="O2979" t="str">
        <f>"PAGAMENTO DE ENTREGADORES"</f>
        <v>PAGAMENTO DE ENTREGADORES</v>
      </c>
      <c r="P2979">
        <v>60</v>
      </c>
      <c r="S2979" t="str">
        <f>"CAIXA MOVIMENTAÇÃO OPERACIONAL (132)"</f>
        <v>CAIXA MOVIMENTAÇÃO OPERACIONAL (132)</v>
      </c>
      <c r="T2979">
        <v>31213</v>
      </c>
      <c r="U2979">
        <v>35505</v>
      </c>
      <c r="V2979" t="s">
        <v>22</v>
      </c>
    </row>
    <row r="2980" spans="1:22">
      <c r="A2980" t="str">
        <f t="shared" si="551"/>
        <v>18/03/2026</v>
      </c>
      <c r="B2980" t="str">
        <f>"SAÍDA"</f>
        <v>SAÍDA</v>
      </c>
      <c r="C2980" t="str">
        <f>"PIX"</f>
        <v>PIX</v>
      </c>
      <c r="D2980" t="str">
        <f>"34639"</f>
        <v>34639</v>
      </c>
      <c r="E2980" t="str">
        <f>"1"</f>
        <v>1</v>
      </c>
      <c r="F2980" t="str">
        <f t="shared" si="548"/>
        <v>COM</v>
      </c>
      <c r="G2980" t="str">
        <f>"SILAS ALVES DE FREITAS (35)"</f>
        <v>SILAS ALVES DE FREITAS (35)</v>
      </c>
      <c r="H2980" t="s">
        <v>915</v>
      </c>
      <c r="I2980" t="str">
        <f t="shared" si="550"/>
        <v>19/03/2026</v>
      </c>
      <c r="J2980" t="str">
        <f>("10/03/2026")</f>
        <v>10/03/2026</v>
      </c>
      <c r="K2980">
        <v>46099</v>
      </c>
      <c r="N2980">
        <v>109</v>
      </c>
      <c r="O2980" t="s">
        <v>27</v>
      </c>
      <c r="Q2980">
        <v>60</v>
      </c>
      <c r="R2980" t="str">
        <f>"FARMÁCIA INDIANA LJ 172 (10161)"</f>
        <v>FARMÁCIA INDIANA LJ 172 (10161)</v>
      </c>
      <c r="S2980" t="s">
        <v>22</v>
      </c>
      <c r="T2980">
        <v>31213</v>
      </c>
      <c r="U2980">
        <v>35505</v>
      </c>
      <c r="V2980" t="s">
        <v>22</v>
      </c>
    </row>
    <row r="2981" spans="1:22">
      <c r="A2981" t="str">
        <f t="shared" si="551"/>
        <v>18/03/2026</v>
      </c>
      <c r="B2981" t="str">
        <f>"SAÍDA"</f>
        <v>SAÍDA</v>
      </c>
      <c r="C2981" t="str">
        <f>"PIX"</f>
        <v>PIX</v>
      </c>
      <c r="D2981" t="str">
        <f>"34543"</f>
        <v>34543</v>
      </c>
      <c r="E2981" t="str">
        <f>"1"</f>
        <v>1</v>
      </c>
      <c r="F2981" t="str">
        <f t="shared" si="548"/>
        <v>COM</v>
      </c>
      <c r="G2981" t="str">
        <f>"BRUNO BARBOSA DE MATOS (82)"</f>
        <v>BRUNO BARBOSA DE MATOS (82)</v>
      </c>
      <c r="H2981" t="str">
        <f>"Serv.Prest. 02/03/2026 a 08/03/2026 - PIX: CNPJ - CHAVE: 64.409.849/0001-04"</f>
        <v>Serv.Prest. 02/03/2026 a 08/03/2026 - PIX: CNPJ - CHAVE: 64.409.849/0001-04</v>
      </c>
      <c r="I2981" t="str">
        <f t="shared" si="550"/>
        <v>19/03/2026</v>
      </c>
      <c r="J2981" t="str">
        <f>("10/03/2026")</f>
        <v>10/03/2026</v>
      </c>
      <c r="K2981" t="str">
        <f>("18/03/2026")</f>
        <v>18/03/2026</v>
      </c>
      <c r="L2981">
        <v>60</v>
      </c>
      <c r="M2981">
        <v>60</v>
      </c>
      <c r="N2981">
        <v>109</v>
      </c>
      <c r="O2981" t="str">
        <f>"PAGAMENTO DE ENTREGADORES"</f>
        <v>PAGAMENTO DE ENTREGADORES</v>
      </c>
      <c r="P2981">
        <v>60</v>
      </c>
      <c r="S2981" t="str">
        <f>"CAIXA MOVIMENTAÇÃO OPERACIONAL (132)"</f>
        <v>CAIXA MOVIMENTAÇÃO OPERACIONAL (132)</v>
      </c>
      <c r="T2981">
        <v>31214</v>
      </c>
      <c r="U2981">
        <v>35508</v>
      </c>
      <c r="V2981" t="s">
        <v>22</v>
      </c>
    </row>
    <row r="2982" spans="1:22">
      <c r="A2982" t="str">
        <f t="shared" si="551"/>
        <v>18/03/2026</v>
      </c>
      <c r="B2982" t="str">
        <f>"SAÍDA"</f>
        <v>SAÍDA</v>
      </c>
      <c r="C2982" t="str">
        <f>"PIX"</f>
        <v>PIX</v>
      </c>
      <c r="D2982" t="str">
        <f>"34543"</f>
        <v>34543</v>
      </c>
      <c r="E2982" t="str">
        <f>"1"</f>
        <v>1</v>
      </c>
      <c r="F2982" t="str">
        <f t="shared" si="548"/>
        <v>COM</v>
      </c>
      <c r="G2982" t="str">
        <f>"BRUNO BARBOSA DE MATOS (82)"</f>
        <v>BRUNO BARBOSA DE MATOS (82)</v>
      </c>
      <c r="H2982" t="s">
        <v>916</v>
      </c>
      <c r="I2982" t="str">
        <f t="shared" si="550"/>
        <v>19/03/2026</v>
      </c>
      <c r="J2982" t="str">
        <f>("10/03/2026")</f>
        <v>10/03/2026</v>
      </c>
      <c r="K2982">
        <v>46099</v>
      </c>
      <c r="N2982">
        <v>109</v>
      </c>
      <c r="O2982" t="s">
        <v>27</v>
      </c>
      <c r="Q2982">
        <v>60</v>
      </c>
      <c r="R2982" t="str">
        <f>"FARMÁCIA INDIANA LJ 152 (10069)"</f>
        <v>FARMÁCIA INDIANA LJ 152 (10069)</v>
      </c>
      <c r="S2982" t="s">
        <v>22</v>
      </c>
      <c r="T2982">
        <v>31214</v>
      </c>
      <c r="U2982">
        <v>35508</v>
      </c>
      <c r="V2982" t="s">
        <v>22</v>
      </c>
    </row>
    <row r="2983" spans="1:22">
      <c r="A2983" t="str">
        <f t="shared" si="551"/>
        <v>18/03/2026</v>
      </c>
      <c r="B2983" t="str">
        <f>"ENTRADA"</f>
        <v>ENTRADA</v>
      </c>
      <c r="C2983" t="str">
        <f>"DINHEIRO"</f>
        <v>DINHEIRO</v>
      </c>
      <c r="D2983" t="str">
        <f>"19032026"</f>
        <v>19032026</v>
      </c>
      <c r="E2983" t="str">
        <f>""</f>
        <v/>
      </c>
      <c r="F2983" t="str">
        <f t="shared" si="548"/>
        <v>COM</v>
      </c>
      <c r="G2983" t="str">
        <f>"BRUNO BARBOSA DE MATOS (82)"</f>
        <v>BRUNO BARBOSA DE MATOS (82)</v>
      </c>
      <c r="H2983" t="str">
        <f>"REELMBOLSO CERTIFICADO DIGITAL 1/2"</f>
        <v>REELMBOLSO CERTIFICADO DIGITAL 1/2</v>
      </c>
      <c r="I2983" t="str">
        <f t="shared" si="550"/>
        <v>19/03/2026</v>
      </c>
      <c r="J2983" t="str">
        <f>("18/03/2026")</f>
        <v>18/03/2026</v>
      </c>
      <c r="K2983" t="str">
        <f>("18/03/2026")</f>
        <v>18/03/2026</v>
      </c>
      <c r="L2983">
        <v>60</v>
      </c>
      <c r="M2983">
        <v>60</v>
      </c>
      <c r="N2983">
        <v>108</v>
      </c>
      <c r="O2983" t="str">
        <f>"RECEITAS COM REEMBOLSOS"</f>
        <v>RECEITAS COM REEMBOLSOS</v>
      </c>
      <c r="P2983">
        <v>60</v>
      </c>
      <c r="S2983" t="str">
        <f>"RECEITAS COM REEMBOLSOS (108)"</f>
        <v>RECEITAS COM REEMBOLSOS (108)</v>
      </c>
      <c r="T2983">
        <v>31215</v>
      </c>
      <c r="U2983">
        <v>35506</v>
      </c>
      <c r="V2983" t="s">
        <v>22</v>
      </c>
    </row>
    <row r="2984" spans="1:22">
      <c r="A2984" t="str">
        <f t="shared" si="551"/>
        <v>18/03/2026</v>
      </c>
      <c r="B2984" t="str">
        <f>"ENTRADA"</f>
        <v>ENTRADA</v>
      </c>
      <c r="C2984" t="str">
        <f>"DINHEIRO"</f>
        <v>DINHEIRO</v>
      </c>
      <c r="D2984" t="str">
        <f>"19032026"</f>
        <v>19032026</v>
      </c>
      <c r="E2984" t="str">
        <f>""</f>
        <v/>
      </c>
      <c r="F2984" t="str">
        <f t="shared" si="548"/>
        <v>COM</v>
      </c>
      <c r="G2984" t="str">
        <f>"BRUNO BARBOSA DE MATOS (82)"</f>
        <v>BRUNO BARBOSA DE MATOS (82)</v>
      </c>
      <c r="H2984" t="s">
        <v>913</v>
      </c>
      <c r="I2984" t="str">
        <f t="shared" si="550"/>
        <v>19/03/2026</v>
      </c>
      <c r="J2984" t="str">
        <f>("18/03/2026")</f>
        <v>18/03/2026</v>
      </c>
      <c r="K2984">
        <v>46099</v>
      </c>
      <c r="N2984">
        <v>108</v>
      </c>
      <c r="O2984" t="s">
        <v>871</v>
      </c>
      <c r="Q2984">
        <v>60</v>
      </c>
      <c r="R2984" t="str">
        <f>"BRUNO BARBOSA DE MATOS (82)"</f>
        <v>BRUNO BARBOSA DE MATOS (82)</v>
      </c>
      <c r="S2984" t="s">
        <v>872</v>
      </c>
      <c r="T2984">
        <v>31215</v>
      </c>
      <c r="U2984">
        <v>35506</v>
      </c>
      <c r="V2984" t="s">
        <v>22</v>
      </c>
    </row>
    <row r="2985" spans="1:22">
      <c r="A2985" t="str">
        <f t="shared" si="551"/>
        <v>18/03/2026</v>
      </c>
      <c r="B2985" t="str">
        <f>"SAÍDA"</f>
        <v>SAÍDA</v>
      </c>
      <c r="C2985" t="str">
        <f>"PIX"</f>
        <v>PIX</v>
      </c>
      <c r="D2985" t="str">
        <f>"34623"</f>
        <v>34623</v>
      </c>
      <c r="E2985" t="str">
        <f>"1"</f>
        <v>1</v>
      </c>
      <c r="F2985" t="str">
        <f t="shared" si="548"/>
        <v>COM</v>
      </c>
      <c r="G2985" t="str">
        <f>"PHABLO HEINRICK VALADARES FERREIRA (989)"</f>
        <v>PHABLO HEINRICK VALADARES FERREIRA (989)</v>
      </c>
      <c r="H2985" t="str">
        <f>"Serv.Prest. 02/03/2026 a 08/03/2026 - PIX: CPF - CHAVE: 135.640.066-30"</f>
        <v>Serv.Prest. 02/03/2026 a 08/03/2026 - PIX: CPF - CHAVE: 135.640.066-30</v>
      </c>
      <c r="I2985" t="str">
        <f t="shared" si="550"/>
        <v>19/03/2026</v>
      </c>
      <c r="J2985" t="str">
        <f>("10/03/2026")</f>
        <v>10/03/2026</v>
      </c>
      <c r="K2985" t="str">
        <f>("18/03/2026")</f>
        <v>18/03/2026</v>
      </c>
      <c r="L2985">
        <v>60</v>
      </c>
      <c r="M2985">
        <v>60</v>
      </c>
      <c r="N2985">
        <v>109</v>
      </c>
      <c r="O2985" t="str">
        <f>"PAGAMENTO DE ENTREGADORES"</f>
        <v>PAGAMENTO DE ENTREGADORES</v>
      </c>
      <c r="P2985">
        <v>60</v>
      </c>
      <c r="S2985" t="str">
        <f>"CAIXA MOVIMENTAÇÃO OPERACIONAL (132)"</f>
        <v>CAIXA MOVIMENTAÇÃO OPERACIONAL (132)</v>
      </c>
      <c r="T2985">
        <v>31216</v>
      </c>
      <c r="U2985">
        <v>35511</v>
      </c>
      <c r="V2985" t="s">
        <v>22</v>
      </c>
    </row>
    <row r="2986" spans="1:22">
      <c r="A2986" t="str">
        <f t="shared" si="551"/>
        <v>18/03/2026</v>
      </c>
      <c r="B2986" t="str">
        <f>"SAÍDA"</f>
        <v>SAÍDA</v>
      </c>
      <c r="C2986" t="str">
        <f>"PIX"</f>
        <v>PIX</v>
      </c>
      <c r="D2986" t="str">
        <f>"34623"</f>
        <v>34623</v>
      </c>
      <c r="E2986" t="str">
        <f>"1"</f>
        <v>1</v>
      </c>
      <c r="F2986" t="str">
        <f t="shared" si="548"/>
        <v>COM</v>
      </c>
      <c r="G2986" t="str">
        <f>"PHABLO HEINRICK VALADARES FERREIRA (989)"</f>
        <v>PHABLO HEINRICK VALADARES FERREIRA (989)</v>
      </c>
      <c r="H2986" t="s">
        <v>917</v>
      </c>
      <c r="I2986" t="str">
        <f t="shared" si="550"/>
        <v>19/03/2026</v>
      </c>
      <c r="J2986" t="str">
        <f>("10/03/2026")</f>
        <v>10/03/2026</v>
      </c>
      <c r="K2986">
        <v>46099</v>
      </c>
      <c r="N2986">
        <v>109</v>
      </c>
      <c r="O2986" t="s">
        <v>27</v>
      </c>
      <c r="Q2986">
        <v>60</v>
      </c>
      <c r="R2986" t="str">
        <f>"FARMÁCIA INDIANA LJ 101 (10043)"</f>
        <v>FARMÁCIA INDIANA LJ 101 (10043)</v>
      </c>
      <c r="S2986" t="s">
        <v>22</v>
      </c>
      <c r="T2986">
        <v>31216</v>
      </c>
      <c r="U2986">
        <v>35511</v>
      </c>
      <c r="V2986" t="s">
        <v>22</v>
      </c>
    </row>
    <row r="2987" spans="1:22">
      <c r="A2987" t="str">
        <f t="shared" si="551"/>
        <v>18/03/2026</v>
      </c>
      <c r="B2987" t="str">
        <f>"ENTRADA"</f>
        <v>ENTRADA</v>
      </c>
      <c r="C2987" t="str">
        <f>"DINHEIRO"</f>
        <v>DINHEIRO</v>
      </c>
      <c r="D2987" t="str">
        <f>"19032026"</f>
        <v>19032026</v>
      </c>
      <c r="E2987" t="str">
        <f>""</f>
        <v/>
      </c>
      <c r="F2987" t="str">
        <f t="shared" si="548"/>
        <v>COM</v>
      </c>
      <c r="G2987" t="str">
        <f>"PHABLO HEINRICK VALADARES FERREIRA (989)"</f>
        <v>PHABLO HEINRICK VALADARES FERREIRA (989)</v>
      </c>
      <c r="H2987" t="str">
        <f>"REELMBOLSO CERTIFICADO DIGITAL 1/2"</f>
        <v>REELMBOLSO CERTIFICADO DIGITAL 1/2</v>
      </c>
      <c r="I2987" t="str">
        <f t="shared" si="550"/>
        <v>19/03/2026</v>
      </c>
      <c r="J2987" t="str">
        <f>("18/03/2026")</f>
        <v>18/03/2026</v>
      </c>
      <c r="K2987" t="str">
        <f>("18/03/2026")</f>
        <v>18/03/2026</v>
      </c>
      <c r="L2987">
        <v>60</v>
      </c>
      <c r="M2987">
        <v>60</v>
      </c>
      <c r="N2987">
        <v>108</v>
      </c>
      <c r="O2987" t="str">
        <f>"RECEITAS COM REEMBOLSOS"</f>
        <v>RECEITAS COM REEMBOLSOS</v>
      </c>
      <c r="P2987">
        <v>60</v>
      </c>
      <c r="S2987" t="str">
        <f>"RECEITAS COM REEMBOLSOS (108)"</f>
        <v>RECEITAS COM REEMBOLSOS (108)</v>
      </c>
      <c r="T2987">
        <v>31217</v>
      </c>
      <c r="U2987">
        <v>35509</v>
      </c>
      <c r="V2987" t="s">
        <v>22</v>
      </c>
    </row>
    <row r="2988" spans="1:22">
      <c r="A2988" t="str">
        <f t="shared" si="551"/>
        <v>18/03/2026</v>
      </c>
      <c r="B2988" t="str">
        <f>"ENTRADA"</f>
        <v>ENTRADA</v>
      </c>
      <c r="C2988" t="str">
        <f>"DINHEIRO"</f>
        <v>DINHEIRO</v>
      </c>
      <c r="D2988" t="str">
        <f>"19032026"</f>
        <v>19032026</v>
      </c>
      <c r="E2988" t="str">
        <f>""</f>
        <v/>
      </c>
      <c r="F2988" t="str">
        <f t="shared" si="548"/>
        <v>COM</v>
      </c>
      <c r="G2988" t="str">
        <f>"PHABLO HEINRICK VALADARES FERREIRA (989)"</f>
        <v>PHABLO HEINRICK VALADARES FERREIRA (989)</v>
      </c>
      <c r="H2988" t="s">
        <v>913</v>
      </c>
      <c r="I2988" t="str">
        <f t="shared" si="550"/>
        <v>19/03/2026</v>
      </c>
      <c r="J2988" t="str">
        <f>("18/03/2026")</f>
        <v>18/03/2026</v>
      </c>
      <c r="K2988">
        <v>46099</v>
      </c>
      <c r="N2988">
        <v>108</v>
      </c>
      <c r="O2988" t="s">
        <v>871</v>
      </c>
      <c r="Q2988">
        <v>60</v>
      </c>
      <c r="R2988" t="str">
        <f>"PHABLO HEINRICK VALADARES FERREIRA (989)"</f>
        <v>PHABLO HEINRICK VALADARES FERREIRA (989)</v>
      </c>
      <c r="S2988" t="s">
        <v>872</v>
      </c>
      <c r="T2988">
        <v>31217</v>
      </c>
      <c r="U2988">
        <v>35509</v>
      </c>
      <c r="V2988" t="s">
        <v>22</v>
      </c>
    </row>
    <row r="2989" spans="1:22">
      <c r="A2989" t="str">
        <f t="shared" si="551"/>
        <v>18/03/2026</v>
      </c>
      <c r="B2989" t="str">
        <f>"SAÍDA"</f>
        <v>SAÍDA</v>
      </c>
      <c r="C2989" t="str">
        <f>"PIX"</f>
        <v>PIX</v>
      </c>
      <c r="D2989" t="str">
        <f>"34542"</f>
        <v>34542</v>
      </c>
      <c r="E2989" t="str">
        <f>"1"</f>
        <v>1</v>
      </c>
      <c r="F2989" t="str">
        <f t="shared" si="548"/>
        <v>COM</v>
      </c>
      <c r="G2989" t="str">
        <f t="shared" ref="G2989:G3000" si="552">"ARTHUR DANTAS PACHECO (928)"</f>
        <v>ARTHUR DANTAS PACHECO (928)</v>
      </c>
      <c r="H2989" t="str">
        <f>"Serv.Prest. 02/03/2026 a 08/03/2026 - PIX: CELULAR - CHAVE: (33) 99110-6940"</f>
        <v>Serv.Prest. 02/03/2026 a 08/03/2026 - PIX: CELULAR - CHAVE: (33) 99110-6940</v>
      </c>
      <c r="I2989" t="str">
        <f t="shared" si="550"/>
        <v>19/03/2026</v>
      </c>
      <c r="J2989" t="str">
        <f>("10/03/2026")</f>
        <v>10/03/2026</v>
      </c>
      <c r="K2989" t="str">
        <f>("18/03/2026")</f>
        <v>18/03/2026</v>
      </c>
      <c r="L2989">
        <v>20</v>
      </c>
      <c r="M2989">
        <v>20</v>
      </c>
      <c r="N2989">
        <v>109</v>
      </c>
      <c r="O2989" t="str">
        <f>"PAGAMENTO DE ENTREGADORES"</f>
        <v>PAGAMENTO DE ENTREGADORES</v>
      </c>
      <c r="P2989">
        <v>20</v>
      </c>
      <c r="S2989" t="str">
        <f>"CAIXA MOVIMENTAÇÃO OPERACIONAL (132)"</f>
        <v>CAIXA MOVIMENTAÇÃO OPERACIONAL (132)</v>
      </c>
      <c r="T2989">
        <v>31218</v>
      </c>
      <c r="U2989">
        <v>35512</v>
      </c>
      <c r="V2989" t="s">
        <v>22</v>
      </c>
    </row>
    <row r="2990" spans="1:22">
      <c r="A2990" t="str">
        <f t="shared" si="551"/>
        <v>18/03/2026</v>
      </c>
      <c r="B2990" t="str">
        <f>"SAÍDA"</f>
        <v>SAÍDA</v>
      </c>
      <c r="C2990" t="str">
        <f>"PIX"</f>
        <v>PIX</v>
      </c>
      <c r="D2990" t="str">
        <f>"34542"</f>
        <v>34542</v>
      </c>
      <c r="E2990" t="str">
        <f>"1"</f>
        <v>1</v>
      </c>
      <c r="F2990" t="str">
        <f t="shared" si="548"/>
        <v>COM</v>
      </c>
      <c r="G2990" t="str">
        <f t="shared" si="552"/>
        <v>ARTHUR DANTAS PACHECO (928)</v>
      </c>
      <c r="H2990" t="s">
        <v>429</v>
      </c>
      <c r="I2990" t="str">
        <f t="shared" si="550"/>
        <v>19/03/2026</v>
      </c>
      <c r="J2990" t="str">
        <f>("10/03/2026")</f>
        <v>10/03/2026</v>
      </c>
      <c r="K2990">
        <v>46099</v>
      </c>
      <c r="N2990">
        <v>109</v>
      </c>
      <c r="O2990" t="s">
        <v>27</v>
      </c>
      <c r="Q2990">
        <v>20</v>
      </c>
      <c r="R2990" t="str">
        <f>"FARMÁCIA INDIANA LJ 40 (10016)"</f>
        <v>FARMÁCIA INDIANA LJ 40 (10016)</v>
      </c>
      <c r="S2990" t="s">
        <v>22</v>
      </c>
      <c r="T2990">
        <v>31218</v>
      </c>
      <c r="U2990">
        <v>35512</v>
      </c>
      <c r="V2990" t="s">
        <v>22</v>
      </c>
    </row>
    <row r="2991" spans="1:22">
      <c r="A2991" t="str">
        <f t="shared" si="551"/>
        <v>18/03/2026</v>
      </c>
      <c r="B2991" t="str">
        <f>"ENTRADA"</f>
        <v>ENTRADA</v>
      </c>
      <c r="C2991" t="str">
        <f>"DINHEIRO"</f>
        <v>DINHEIRO</v>
      </c>
      <c r="D2991" t="str">
        <f>"928"</f>
        <v>928</v>
      </c>
      <c r="E2991" t="str">
        <f>"5"</f>
        <v>5</v>
      </c>
      <c r="F2991" t="str">
        <f t="shared" si="548"/>
        <v>COM</v>
      </c>
      <c r="G2991" t="str">
        <f t="shared" si="552"/>
        <v>ARTHUR DANTAS PACHECO (928)</v>
      </c>
      <c r="H2991" t="str">
        <f>"COTAS COOPERATIVA"</f>
        <v>COTAS COOPERATIVA</v>
      </c>
      <c r="I2991" t="str">
        <f>("10/02/2026")</f>
        <v>10/02/2026</v>
      </c>
      <c r="J2991" t="str">
        <f>("29/09/2025")</f>
        <v>29/09/2025</v>
      </c>
      <c r="K2991" t="str">
        <f>("18/03/2026")</f>
        <v>18/03/2026</v>
      </c>
      <c r="L2991">
        <v>20</v>
      </c>
      <c r="M2991">
        <v>20</v>
      </c>
      <c r="N2991">
        <v>106</v>
      </c>
      <c r="O2991" t="str">
        <f>"ENTRADA DE CAPITAL"</f>
        <v>ENTRADA DE CAPITAL</v>
      </c>
      <c r="P2991">
        <v>20</v>
      </c>
      <c r="S2991" t="str">
        <f>"ENTRADA DE CAPITAL (106)"</f>
        <v>ENTRADA DE CAPITAL (106)</v>
      </c>
      <c r="T2991">
        <v>31219</v>
      </c>
      <c r="U2991">
        <v>23147</v>
      </c>
      <c r="V2991" t="s">
        <v>22</v>
      </c>
    </row>
    <row r="2992" spans="1:22">
      <c r="A2992" t="str">
        <f t="shared" si="551"/>
        <v>18/03/2026</v>
      </c>
      <c r="B2992" t="str">
        <f>"ENTRADA"</f>
        <v>ENTRADA</v>
      </c>
      <c r="C2992" t="str">
        <f>"DINHEIRO"</f>
        <v>DINHEIRO</v>
      </c>
      <c r="D2992" t="str">
        <f>"928"</f>
        <v>928</v>
      </c>
      <c r="E2992" t="str">
        <f>"5"</f>
        <v>5</v>
      </c>
      <c r="F2992" t="str">
        <f t="shared" si="548"/>
        <v>COM</v>
      </c>
      <c r="G2992" t="str">
        <f t="shared" si="552"/>
        <v>ARTHUR DANTAS PACHECO (928)</v>
      </c>
      <c r="H2992" t="s">
        <v>430</v>
      </c>
      <c r="I2992" t="str">
        <f>("10/02/2026")</f>
        <v>10/02/2026</v>
      </c>
      <c r="J2992" t="str">
        <f>("29/09/2025")</f>
        <v>29/09/2025</v>
      </c>
      <c r="K2992">
        <v>46099</v>
      </c>
      <c r="N2992">
        <v>106</v>
      </c>
      <c r="O2992" t="s">
        <v>98</v>
      </c>
      <c r="Q2992">
        <v>20</v>
      </c>
      <c r="R2992" t="str">
        <f>"ARTHUR DANTAS PACHECO (928)"</f>
        <v>ARTHUR DANTAS PACHECO (928)</v>
      </c>
      <c r="S2992" t="s">
        <v>99</v>
      </c>
      <c r="T2992">
        <v>31219</v>
      </c>
      <c r="U2992">
        <v>23147</v>
      </c>
      <c r="V2992" t="s">
        <v>22</v>
      </c>
    </row>
    <row r="2993" spans="1:22">
      <c r="A2993" t="str">
        <f t="shared" si="551"/>
        <v>18/03/2026</v>
      </c>
      <c r="B2993" t="str">
        <f>"SAÍDA"</f>
        <v>SAÍDA</v>
      </c>
      <c r="C2993" t="str">
        <f>"PIX"</f>
        <v>PIX</v>
      </c>
      <c r="D2993" t="str">
        <f>"35196"</f>
        <v>35196</v>
      </c>
      <c r="E2993" t="str">
        <f>"1"</f>
        <v>1</v>
      </c>
      <c r="F2993" t="str">
        <f t="shared" si="548"/>
        <v>COM</v>
      </c>
      <c r="G2993" t="str">
        <f t="shared" si="552"/>
        <v>ARTHUR DANTAS PACHECO (928)</v>
      </c>
      <c r="H2993" t="str">
        <f>"Serv.Prest. 09/03/2026 a 15/03/2026 - PIX: CELULAR - CHAVE: (33) 99110-6940"</f>
        <v>Serv.Prest. 09/03/2026 a 15/03/2026 - PIX: CELULAR - CHAVE: (33) 99110-6940</v>
      </c>
      <c r="I2993" t="str">
        <f>("26/03/2026")</f>
        <v>26/03/2026</v>
      </c>
      <c r="J2993" t="str">
        <f>("17/03/2026")</f>
        <v>17/03/2026</v>
      </c>
      <c r="K2993" t="str">
        <f>("18/03/2026")</f>
        <v>18/03/2026</v>
      </c>
      <c r="L2993">
        <v>20</v>
      </c>
      <c r="M2993">
        <v>20</v>
      </c>
      <c r="N2993">
        <v>109</v>
      </c>
      <c r="O2993" t="str">
        <f>"PAGAMENTO DE ENTREGADORES"</f>
        <v>PAGAMENTO DE ENTREGADORES</v>
      </c>
      <c r="P2993">
        <v>20</v>
      </c>
      <c r="S2993" t="str">
        <f>"CAIXA MOVIMENTAÇÃO OPERACIONAL (132)"</f>
        <v>CAIXA MOVIMENTAÇÃO OPERACIONAL (132)</v>
      </c>
      <c r="T2993">
        <v>31220</v>
      </c>
      <c r="U2993">
        <v>35513</v>
      </c>
      <c r="V2993" t="s">
        <v>22</v>
      </c>
    </row>
    <row r="2994" spans="1:22">
      <c r="A2994" t="str">
        <f t="shared" si="551"/>
        <v>18/03/2026</v>
      </c>
      <c r="B2994" t="str">
        <f>"SAÍDA"</f>
        <v>SAÍDA</v>
      </c>
      <c r="C2994" t="str">
        <f>"PIX"</f>
        <v>PIX</v>
      </c>
      <c r="D2994" t="str">
        <f>"35196"</f>
        <v>35196</v>
      </c>
      <c r="E2994" t="str">
        <f>"1"</f>
        <v>1</v>
      </c>
      <c r="F2994" t="str">
        <f t="shared" si="548"/>
        <v>COM</v>
      </c>
      <c r="G2994" t="str">
        <f t="shared" si="552"/>
        <v>ARTHUR DANTAS PACHECO (928)</v>
      </c>
      <c r="H2994" t="s">
        <v>918</v>
      </c>
      <c r="I2994" t="str">
        <f>("26/03/2026")</f>
        <v>26/03/2026</v>
      </c>
      <c r="J2994" t="str">
        <f>("17/03/2026")</f>
        <v>17/03/2026</v>
      </c>
      <c r="K2994">
        <v>46099</v>
      </c>
      <c r="N2994">
        <v>109</v>
      </c>
      <c r="O2994" t="s">
        <v>27</v>
      </c>
      <c r="Q2994">
        <v>20</v>
      </c>
      <c r="R2994" t="str">
        <f>"FARMÁCIA INDIANA LJ 40 (10016)"</f>
        <v>FARMÁCIA INDIANA LJ 40 (10016)</v>
      </c>
      <c r="S2994" t="s">
        <v>22</v>
      </c>
      <c r="T2994">
        <v>31220</v>
      </c>
      <c r="U2994">
        <v>35513</v>
      </c>
      <c r="V2994" t="s">
        <v>22</v>
      </c>
    </row>
    <row r="2995" spans="1:22">
      <c r="A2995" t="str">
        <f t="shared" si="551"/>
        <v>18/03/2026</v>
      </c>
      <c r="B2995" t="str">
        <f>"ENTRADA"</f>
        <v>ENTRADA</v>
      </c>
      <c r="C2995" t="str">
        <f>"DINHEIRO"</f>
        <v>DINHEIRO</v>
      </c>
      <c r="D2995" t="str">
        <f>"928"</f>
        <v>928</v>
      </c>
      <c r="E2995" t="str">
        <f>"4"</f>
        <v>4</v>
      </c>
      <c r="F2995" t="str">
        <f t="shared" si="548"/>
        <v>COM</v>
      </c>
      <c r="G2995" t="str">
        <f t="shared" si="552"/>
        <v>ARTHUR DANTAS PACHECO (928)</v>
      </c>
      <c r="H2995" t="str">
        <f>"COTAS COOPERATIVA"</f>
        <v>COTAS COOPERATIVA</v>
      </c>
      <c r="I2995" t="str">
        <f>("10/01/2026")</f>
        <v>10/01/2026</v>
      </c>
      <c r="J2995" t="str">
        <f>("29/09/2025")</f>
        <v>29/09/2025</v>
      </c>
      <c r="K2995" t="str">
        <f>("18/03/2026")</f>
        <v>18/03/2026</v>
      </c>
      <c r="L2995">
        <v>20</v>
      </c>
      <c r="M2995">
        <v>20</v>
      </c>
      <c r="N2995">
        <v>106</v>
      </c>
      <c r="O2995" t="str">
        <f>"ENTRADA DE CAPITAL"</f>
        <v>ENTRADA DE CAPITAL</v>
      </c>
      <c r="P2995">
        <v>20</v>
      </c>
      <c r="S2995" t="str">
        <f>"ENTRADA DE CAPITAL (106)"</f>
        <v>ENTRADA DE CAPITAL (106)</v>
      </c>
      <c r="T2995">
        <v>31221</v>
      </c>
      <c r="U2995">
        <v>23146</v>
      </c>
      <c r="V2995" t="s">
        <v>22</v>
      </c>
    </row>
    <row r="2996" spans="1:22">
      <c r="A2996" t="str">
        <f t="shared" si="551"/>
        <v>18/03/2026</v>
      </c>
      <c r="B2996" t="str">
        <f>"ENTRADA"</f>
        <v>ENTRADA</v>
      </c>
      <c r="C2996" t="str">
        <f>"DINHEIRO"</f>
        <v>DINHEIRO</v>
      </c>
      <c r="D2996" t="str">
        <f>"928"</f>
        <v>928</v>
      </c>
      <c r="E2996" t="str">
        <f>"4"</f>
        <v>4</v>
      </c>
      <c r="F2996" t="str">
        <f t="shared" si="548"/>
        <v>COM</v>
      </c>
      <c r="G2996" t="str">
        <f t="shared" si="552"/>
        <v>ARTHUR DANTAS PACHECO (928)</v>
      </c>
      <c r="H2996" t="s">
        <v>430</v>
      </c>
      <c r="I2996" t="str">
        <f>("10/01/2026")</f>
        <v>10/01/2026</v>
      </c>
      <c r="J2996" t="str">
        <f>("29/09/2025")</f>
        <v>29/09/2025</v>
      </c>
      <c r="K2996">
        <v>46099</v>
      </c>
      <c r="N2996">
        <v>106</v>
      </c>
      <c r="O2996" t="s">
        <v>98</v>
      </c>
      <c r="Q2996">
        <v>20</v>
      </c>
      <c r="R2996" t="str">
        <f>"ARTHUR DANTAS PACHECO (928)"</f>
        <v>ARTHUR DANTAS PACHECO (928)</v>
      </c>
      <c r="S2996" t="s">
        <v>99</v>
      </c>
      <c r="T2996">
        <v>31221</v>
      </c>
      <c r="U2996">
        <v>23146</v>
      </c>
      <c r="V2996" t="s">
        <v>22</v>
      </c>
    </row>
    <row r="2997" spans="1:22">
      <c r="A2997" t="str">
        <f t="shared" si="551"/>
        <v>18/03/2026</v>
      </c>
      <c r="B2997" t="str">
        <f>"SAÍDA"</f>
        <v>SAÍDA</v>
      </c>
      <c r="C2997" t="str">
        <f>"PIX"</f>
        <v>PIX</v>
      </c>
      <c r="D2997" t="str">
        <f>"34542"</f>
        <v>34542</v>
      </c>
      <c r="E2997" t="str">
        <f>"1"</f>
        <v>1</v>
      </c>
      <c r="F2997" t="str">
        <f t="shared" si="548"/>
        <v>COM</v>
      </c>
      <c r="G2997" t="str">
        <f t="shared" si="552"/>
        <v>ARTHUR DANTAS PACHECO (928)</v>
      </c>
      <c r="H2997" t="str">
        <f>"Serv.Prest. 02/03/2026 a 08/03/2026 - PIX: CELULAR - CHAVE: (33) 99110-6940"</f>
        <v>Serv.Prest. 02/03/2026 a 08/03/2026 - PIX: CELULAR - CHAVE: (33) 99110-6940</v>
      </c>
      <c r="I2997" t="str">
        <f t="shared" ref="I2997:I3028" si="553">("19/03/2026")</f>
        <v>19/03/2026</v>
      </c>
      <c r="J2997" t="str">
        <f>("10/03/2026")</f>
        <v>10/03/2026</v>
      </c>
      <c r="K2997" t="str">
        <f>("18/03/2026")</f>
        <v>18/03/2026</v>
      </c>
      <c r="L2997">
        <v>60</v>
      </c>
      <c r="M2997">
        <v>60</v>
      </c>
      <c r="N2997">
        <v>109</v>
      </c>
      <c r="O2997" t="str">
        <f>"PAGAMENTO DE ENTREGADORES"</f>
        <v>PAGAMENTO DE ENTREGADORES</v>
      </c>
      <c r="P2997">
        <v>60</v>
      </c>
      <c r="S2997" t="str">
        <f>"CAIXA MOVIMENTAÇÃO OPERACIONAL (132)"</f>
        <v>CAIXA MOVIMENTAÇÃO OPERACIONAL (132)</v>
      </c>
      <c r="T2997">
        <v>31222</v>
      </c>
      <c r="U2997">
        <v>35516</v>
      </c>
      <c r="V2997" t="s">
        <v>22</v>
      </c>
    </row>
    <row r="2998" spans="1:22">
      <c r="A2998" t="str">
        <f t="shared" si="551"/>
        <v>18/03/2026</v>
      </c>
      <c r="B2998" t="str">
        <f>"SAÍDA"</f>
        <v>SAÍDA</v>
      </c>
      <c r="C2998" t="str">
        <f>"PIX"</f>
        <v>PIX</v>
      </c>
      <c r="D2998" t="str">
        <f>"34542"</f>
        <v>34542</v>
      </c>
      <c r="E2998" t="str">
        <f>"1"</f>
        <v>1</v>
      </c>
      <c r="F2998" t="str">
        <f t="shared" si="548"/>
        <v>COM</v>
      </c>
      <c r="G2998" t="str">
        <f t="shared" si="552"/>
        <v>ARTHUR DANTAS PACHECO (928)</v>
      </c>
      <c r="H2998" t="s">
        <v>429</v>
      </c>
      <c r="I2998" t="str">
        <f t="shared" si="553"/>
        <v>19/03/2026</v>
      </c>
      <c r="J2998" t="str">
        <f>("10/03/2026")</f>
        <v>10/03/2026</v>
      </c>
      <c r="K2998">
        <v>46099</v>
      </c>
      <c r="N2998">
        <v>109</v>
      </c>
      <c r="O2998" t="s">
        <v>27</v>
      </c>
      <c r="Q2998">
        <v>60</v>
      </c>
      <c r="R2998" t="str">
        <f>"FARMÁCIA INDIANA LJ 40 (10016)"</f>
        <v>FARMÁCIA INDIANA LJ 40 (10016)</v>
      </c>
      <c r="S2998" t="s">
        <v>22</v>
      </c>
      <c r="T2998">
        <v>31222</v>
      </c>
      <c r="U2998">
        <v>35516</v>
      </c>
      <c r="V2998" t="s">
        <v>22</v>
      </c>
    </row>
    <row r="2999" spans="1:22">
      <c r="A2999" t="str">
        <f t="shared" si="551"/>
        <v>18/03/2026</v>
      </c>
      <c r="B2999" t="str">
        <f>"ENTRADA"</f>
        <v>ENTRADA</v>
      </c>
      <c r="C2999" t="str">
        <f>"DINHEIRO"</f>
        <v>DINHEIRO</v>
      </c>
      <c r="D2999" t="str">
        <f>"19032026"</f>
        <v>19032026</v>
      </c>
      <c r="E2999" t="str">
        <f>""</f>
        <v/>
      </c>
      <c r="F2999" t="str">
        <f t="shared" si="548"/>
        <v>COM</v>
      </c>
      <c r="G2999" t="str">
        <f t="shared" si="552"/>
        <v>ARTHUR DANTAS PACHECO (928)</v>
      </c>
      <c r="H2999" t="str">
        <f>"REELMBOLSO CERTIFICADO DIGITAL 1/2"</f>
        <v>REELMBOLSO CERTIFICADO DIGITAL 1/2</v>
      </c>
      <c r="I2999" t="str">
        <f t="shared" si="553"/>
        <v>19/03/2026</v>
      </c>
      <c r="J2999" t="str">
        <f>("18/03/2026")</f>
        <v>18/03/2026</v>
      </c>
      <c r="K2999" t="str">
        <f>("18/03/2026")</f>
        <v>18/03/2026</v>
      </c>
      <c r="L2999">
        <v>60</v>
      </c>
      <c r="M2999">
        <v>60</v>
      </c>
      <c r="N2999">
        <v>108</v>
      </c>
      <c r="O2999" t="str">
        <f>"RECEITAS COM REEMBOLSOS"</f>
        <v>RECEITAS COM REEMBOLSOS</v>
      </c>
      <c r="P2999">
        <v>60</v>
      </c>
      <c r="S2999" t="str">
        <f>"RECEITAS COM REEMBOLSOS (108)"</f>
        <v>RECEITAS COM REEMBOLSOS (108)</v>
      </c>
      <c r="T2999">
        <v>31223</v>
      </c>
      <c r="U2999">
        <v>35514</v>
      </c>
      <c r="V2999" t="s">
        <v>22</v>
      </c>
    </row>
    <row r="3000" spans="1:22">
      <c r="A3000" t="str">
        <f t="shared" si="551"/>
        <v>18/03/2026</v>
      </c>
      <c r="B3000" t="str">
        <f>"ENTRADA"</f>
        <v>ENTRADA</v>
      </c>
      <c r="C3000" t="str">
        <f>"DINHEIRO"</f>
        <v>DINHEIRO</v>
      </c>
      <c r="D3000" t="str">
        <f>"19032026"</f>
        <v>19032026</v>
      </c>
      <c r="E3000" t="str">
        <f>""</f>
        <v/>
      </c>
      <c r="F3000" t="str">
        <f t="shared" si="548"/>
        <v>COM</v>
      </c>
      <c r="G3000" t="str">
        <f t="shared" si="552"/>
        <v>ARTHUR DANTAS PACHECO (928)</v>
      </c>
      <c r="H3000" t="s">
        <v>913</v>
      </c>
      <c r="I3000" t="str">
        <f t="shared" si="553"/>
        <v>19/03/2026</v>
      </c>
      <c r="J3000" t="str">
        <f>("18/03/2026")</f>
        <v>18/03/2026</v>
      </c>
      <c r="K3000">
        <v>46099</v>
      </c>
      <c r="N3000">
        <v>108</v>
      </c>
      <c r="O3000" t="s">
        <v>871</v>
      </c>
      <c r="Q3000">
        <v>60</v>
      </c>
      <c r="R3000" t="str">
        <f>"ARTHUR DANTAS PACHECO (928)"</f>
        <v>ARTHUR DANTAS PACHECO (928)</v>
      </c>
      <c r="S3000" t="s">
        <v>872</v>
      </c>
      <c r="T3000">
        <v>31223</v>
      </c>
      <c r="U3000">
        <v>35514</v>
      </c>
      <c r="V3000" t="s">
        <v>22</v>
      </c>
    </row>
    <row r="3001" spans="1:22">
      <c r="A3001" t="str">
        <f t="shared" si="551"/>
        <v>18/03/2026</v>
      </c>
      <c r="B3001" t="str">
        <f>"SAÍDA"</f>
        <v>SAÍDA</v>
      </c>
      <c r="C3001" t="str">
        <f>"PIX"</f>
        <v>PIX</v>
      </c>
      <c r="D3001" t="str">
        <f>"34619"</f>
        <v>34619</v>
      </c>
      <c r="E3001" t="str">
        <f>"1"</f>
        <v>1</v>
      </c>
      <c r="F3001" t="str">
        <f t="shared" si="548"/>
        <v>COM</v>
      </c>
      <c r="G3001" t="str">
        <f>"NILTON RODRIGUES DE SOUZA (136)"</f>
        <v>NILTON RODRIGUES DE SOUZA (136)</v>
      </c>
      <c r="H3001" t="str">
        <f>"Serv.Prest. 02/03/2026 a 08/03/2026 - PIX: CPF - CHAVE: 037.974.316-78"</f>
        <v>Serv.Prest. 02/03/2026 a 08/03/2026 - PIX: CPF - CHAVE: 037.974.316-78</v>
      </c>
      <c r="I3001" t="str">
        <f t="shared" si="553"/>
        <v>19/03/2026</v>
      </c>
      <c r="J3001" t="str">
        <f>("10/03/2026")</f>
        <v>10/03/2026</v>
      </c>
      <c r="K3001" t="str">
        <f>("18/03/2026")</f>
        <v>18/03/2026</v>
      </c>
      <c r="L3001">
        <v>60</v>
      </c>
      <c r="M3001">
        <v>60</v>
      </c>
      <c r="N3001">
        <v>109</v>
      </c>
      <c r="O3001" t="str">
        <f>"PAGAMENTO DE ENTREGADORES"</f>
        <v>PAGAMENTO DE ENTREGADORES</v>
      </c>
      <c r="P3001">
        <v>60</v>
      </c>
      <c r="S3001" t="str">
        <f>"CAIXA MOVIMENTAÇÃO OPERACIONAL (132)"</f>
        <v>CAIXA MOVIMENTAÇÃO OPERACIONAL (132)</v>
      </c>
      <c r="T3001">
        <v>31224</v>
      </c>
      <c r="U3001">
        <v>35519</v>
      </c>
      <c r="V3001" t="s">
        <v>22</v>
      </c>
    </row>
    <row r="3002" spans="1:22">
      <c r="A3002" t="str">
        <f t="shared" si="551"/>
        <v>18/03/2026</v>
      </c>
      <c r="B3002" t="str">
        <f>"SAÍDA"</f>
        <v>SAÍDA</v>
      </c>
      <c r="C3002" t="str">
        <f>"PIX"</f>
        <v>PIX</v>
      </c>
      <c r="D3002" t="str">
        <f>"34619"</f>
        <v>34619</v>
      </c>
      <c r="E3002" t="str">
        <f>"1"</f>
        <v>1</v>
      </c>
      <c r="F3002" t="str">
        <f t="shared" si="548"/>
        <v>COM</v>
      </c>
      <c r="G3002" t="str">
        <f>"NILTON RODRIGUES DE SOUZA (136)"</f>
        <v>NILTON RODRIGUES DE SOUZA (136)</v>
      </c>
      <c r="H3002" t="s">
        <v>919</v>
      </c>
      <c r="I3002" t="str">
        <f t="shared" si="553"/>
        <v>19/03/2026</v>
      </c>
      <c r="J3002" t="str">
        <f>("10/03/2026")</f>
        <v>10/03/2026</v>
      </c>
      <c r="K3002">
        <v>46099</v>
      </c>
      <c r="N3002">
        <v>109</v>
      </c>
      <c r="O3002" t="s">
        <v>27</v>
      </c>
      <c r="Q3002">
        <v>60</v>
      </c>
      <c r="R3002" t="str">
        <f>"FARMÁCIA INDIANA LJ 18 (10011)"</f>
        <v>FARMÁCIA INDIANA LJ 18 (10011)</v>
      </c>
      <c r="S3002" t="s">
        <v>22</v>
      </c>
      <c r="T3002">
        <v>31224</v>
      </c>
      <c r="U3002">
        <v>35519</v>
      </c>
      <c r="V3002" t="s">
        <v>22</v>
      </c>
    </row>
    <row r="3003" spans="1:22">
      <c r="A3003" t="str">
        <f t="shared" si="551"/>
        <v>18/03/2026</v>
      </c>
      <c r="B3003" t="str">
        <f>"ENTRADA"</f>
        <v>ENTRADA</v>
      </c>
      <c r="C3003" t="str">
        <f>"DINHEIRO"</f>
        <v>DINHEIRO</v>
      </c>
      <c r="D3003" t="str">
        <f>"19032026"</f>
        <v>19032026</v>
      </c>
      <c r="E3003" t="str">
        <f>""</f>
        <v/>
      </c>
      <c r="F3003" t="str">
        <f t="shared" si="548"/>
        <v>COM</v>
      </c>
      <c r="G3003" t="str">
        <f>"NILTON RODRIGUES DE SOUZA (136)"</f>
        <v>NILTON RODRIGUES DE SOUZA (136)</v>
      </c>
      <c r="H3003" t="str">
        <f>"REELMBOLSO CERTIFICADO DIGITAL 1/2"</f>
        <v>REELMBOLSO CERTIFICADO DIGITAL 1/2</v>
      </c>
      <c r="I3003" t="str">
        <f t="shared" si="553"/>
        <v>19/03/2026</v>
      </c>
      <c r="J3003" t="str">
        <f>("18/03/2026")</f>
        <v>18/03/2026</v>
      </c>
      <c r="K3003" t="str">
        <f>("18/03/2026")</f>
        <v>18/03/2026</v>
      </c>
      <c r="L3003">
        <v>60</v>
      </c>
      <c r="M3003">
        <v>60</v>
      </c>
      <c r="N3003">
        <v>108</v>
      </c>
      <c r="O3003" t="str">
        <f>"RECEITAS COM REEMBOLSOS"</f>
        <v>RECEITAS COM REEMBOLSOS</v>
      </c>
      <c r="P3003">
        <v>60</v>
      </c>
      <c r="S3003" t="str">
        <f>"RECEITAS COM REEMBOLSOS (108)"</f>
        <v>RECEITAS COM REEMBOLSOS (108)</v>
      </c>
      <c r="T3003">
        <v>31225</v>
      </c>
      <c r="U3003">
        <v>35517</v>
      </c>
      <c r="V3003" t="s">
        <v>22</v>
      </c>
    </row>
    <row r="3004" spans="1:22">
      <c r="A3004" t="str">
        <f t="shared" si="551"/>
        <v>18/03/2026</v>
      </c>
      <c r="B3004" t="str">
        <f>"ENTRADA"</f>
        <v>ENTRADA</v>
      </c>
      <c r="C3004" t="str">
        <f>"DINHEIRO"</f>
        <v>DINHEIRO</v>
      </c>
      <c r="D3004" t="str">
        <f>"19032026"</f>
        <v>19032026</v>
      </c>
      <c r="E3004" t="str">
        <f>""</f>
        <v/>
      </c>
      <c r="F3004" t="str">
        <f t="shared" si="548"/>
        <v>COM</v>
      </c>
      <c r="G3004" t="str">
        <f>"NILTON RODRIGUES DE SOUZA (136)"</f>
        <v>NILTON RODRIGUES DE SOUZA (136)</v>
      </c>
      <c r="H3004" t="s">
        <v>913</v>
      </c>
      <c r="I3004" t="str">
        <f t="shared" si="553"/>
        <v>19/03/2026</v>
      </c>
      <c r="J3004" t="str">
        <f>("18/03/2026")</f>
        <v>18/03/2026</v>
      </c>
      <c r="K3004">
        <v>46099</v>
      </c>
      <c r="N3004">
        <v>108</v>
      </c>
      <c r="O3004" t="s">
        <v>871</v>
      </c>
      <c r="Q3004">
        <v>60</v>
      </c>
      <c r="R3004" t="str">
        <f>"NILTON RODRIGUES DE SOUZA (136)"</f>
        <v>NILTON RODRIGUES DE SOUZA (136)</v>
      </c>
      <c r="S3004" t="s">
        <v>872</v>
      </c>
      <c r="T3004">
        <v>31225</v>
      </c>
      <c r="U3004">
        <v>35517</v>
      </c>
      <c r="V3004" t="s">
        <v>22</v>
      </c>
    </row>
    <row r="3005" spans="1:22">
      <c r="A3005" t="str">
        <f t="shared" si="551"/>
        <v>18/03/2026</v>
      </c>
      <c r="B3005" t="str">
        <f>"SAÍDA"</f>
        <v>SAÍDA</v>
      </c>
      <c r="C3005" t="str">
        <f>"PIX"</f>
        <v>PIX</v>
      </c>
      <c r="D3005" t="str">
        <f>"34605"</f>
        <v>34605</v>
      </c>
      <c r="E3005" t="str">
        <f>"1"</f>
        <v>1</v>
      </c>
      <c r="F3005" t="str">
        <f t="shared" si="548"/>
        <v>COM</v>
      </c>
      <c r="G3005" t="str">
        <f>"LUIZ EDUARDO VIANA BRITO (878)"</f>
        <v>LUIZ EDUARDO VIANA BRITO (878)</v>
      </c>
      <c r="H3005" t="str">
        <f>"Serv.Prest. 02/03/2026 a 08/03/2026 - PIX: CPF - CHAVE: 101.220.976-88"</f>
        <v>Serv.Prest. 02/03/2026 a 08/03/2026 - PIX: CPF - CHAVE: 101.220.976-88</v>
      </c>
      <c r="I3005" t="str">
        <f t="shared" si="553"/>
        <v>19/03/2026</v>
      </c>
      <c r="J3005" t="str">
        <f>("10/03/2026")</f>
        <v>10/03/2026</v>
      </c>
      <c r="K3005" t="str">
        <f>("18/03/2026")</f>
        <v>18/03/2026</v>
      </c>
      <c r="L3005">
        <v>60</v>
      </c>
      <c r="M3005">
        <v>60</v>
      </c>
      <c r="N3005">
        <v>109</v>
      </c>
      <c r="O3005" t="str">
        <f>"PAGAMENTO DE ENTREGADORES"</f>
        <v>PAGAMENTO DE ENTREGADORES</v>
      </c>
      <c r="P3005">
        <v>60</v>
      </c>
      <c r="S3005" t="str">
        <f>"CAIXA MOVIMENTAÇÃO OPERACIONAL (132)"</f>
        <v>CAIXA MOVIMENTAÇÃO OPERACIONAL (132)</v>
      </c>
      <c r="T3005">
        <v>31226</v>
      </c>
      <c r="U3005">
        <v>35522</v>
      </c>
      <c r="V3005" t="s">
        <v>22</v>
      </c>
    </row>
    <row r="3006" spans="1:22">
      <c r="A3006" t="str">
        <f t="shared" si="551"/>
        <v>18/03/2026</v>
      </c>
      <c r="B3006" t="str">
        <f>"SAÍDA"</f>
        <v>SAÍDA</v>
      </c>
      <c r="C3006" t="str">
        <f>"PIX"</f>
        <v>PIX</v>
      </c>
      <c r="D3006" t="str">
        <f>"34605"</f>
        <v>34605</v>
      </c>
      <c r="E3006" t="str">
        <f>"1"</f>
        <v>1</v>
      </c>
      <c r="F3006" t="str">
        <f t="shared" si="548"/>
        <v>COM</v>
      </c>
      <c r="G3006" t="str">
        <f>"LUIZ EDUARDO VIANA BRITO (878)"</f>
        <v>LUIZ EDUARDO VIANA BRITO (878)</v>
      </c>
      <c r="H3006" t="s">
        <v>907</v>
      </c>
      <c r="I3006" t="str">
        <f t="shared" si="553"/>
        <v>19/03/2026</v>
      </c>
      <c r="J3006" t="str">
        <f>("10/03/2026")</f>
        <v>10/03/2026</v>
      </c>
      <c r="K3006">
        <v>46099</v>
      </c>
      <c r="N3006">
        <v>109</v>
      </c>
      <c r="O3006" t="s">
        <v>27</v>
      </c>
      <c r="Q3006">
        <v>60</v>
      </c>
      <c r="R3006" t="str">
        <f>"FARMÁCIA INDIANA LJ 40 (10016)"</f>
        <v>FARMÁCIA INDIANA LJ 40 (10016)</v>
      </c>
      <c r="S3006" t="s">
        <v>22</v>
      </c>
      <c r="T3006">
        <v>31226</v>
      </c>
      <c r="U3006">
        <v>35522</v>
      </c>
      <c r="V3006" t="s">
        <v>22</v>
      </c>
    </row>
    <row r="3007" spans="1:22">
      <c r="A3007" t="str">
        <f t="shared" si="551"/>
        <v>18/03/2026</v>
      </c>
      <c r="B3007" t="str">
        <f>"ENTRADA"</f>
        <v>ENTRADA</v>
      </c>
      <c r="C3007" t="str">
        <f>"DINHEIRO"</f>
        <v>DINHEIRO</v>
      </c>
      <c r="D3007" t="str">
        <f>"19032026"</f>
        <v>19032026</v>
      </c>
      <c r="E3007" t="str">
        <f>""</f>
        <v/>
      </c>
      <c r="F3007" t="str">
        <f t="shared" si="548"/>
        <v>COM</v>
      </c>
      <c r="G3007" t="str">
        <f>"LUIZ EDUARDO VIANA BRITO (878)"</f>
        <v>LUIZ EDUARDO VIANA BRITO (878)</v>
      </c>
      <c r="H3007" t="str">
        <f>"REELMBOLSO CERTIFICADO DIGITAL 1/2"</f>
        <v>REELMBOLSO CERTIFICADO DIGITAL 1/2</v>
      </c>
      <c r="I3007" t="str">
        <f t="shared" si="553"/>
        <v>19/03/2026</v>
      </c>
      <c r="J3007" t="str">
        <f>("18/03/2026")</f>
        <v>18/03/2026</v>
      </c>
      <c r="K3007" t="str">
        <f>("18/03/2026")</f>
        <v>18/03/2026</v>
      </c>
      <c r="L3007">
        <v>60</v>
      </c>
      <c r="M3007">
        <v>60</v>
      </c>
      <c r="N3007">
        <v>108</v>
      </c>
      <c r="O3007" t="str">
        <f>"RECEITAS COM REEMBOLSOS"</f>
        <v>RECEITAS COM REEMBOLSOS</v>
      </c>
      <c r="P3007">
        <v>60</v>
      </c>
      <c r="S3007" t="str">
        <f>"RECEITAS COM REEMBOLSOS (108)"</f>
        <v>RECEITAS COM REEMBOLSOS (108)</v>
      </c>
      <c r="T3007">
        <v>31227</v>
      </c>
      <c r="U3007">
        <v>35520</v>
      </c>
      <c r="V3007" t="s">
        <v>22</v>
      </c>
    </row>
    <row r="3008" spans="1:22">
      <c r="A3008" t="str">
        <f t="shared" si="551"/>
        <v>18/03/2026</v>
      </c>
      <c r="B3008" t="str">
        <f>"ENTRADA"</f>
        <v>ENTRADA</v>
      </c>
      <c r="C3008" t="str">
        <f>"DINHEIRO"</f>
        <v>DINHEIRO</v>
      </c>
      <c r="D3008" t="str">
        <f>"19032026"</f>
        <v>19032026</v>
      </c>
      <c r="E3008" t="str">
        <f>""</f>
        <v/>
      </c>
      <c r="F3008" t="str">
        <f t="shared" si="548"/>
        <v>COM</v>
      </c>
      <c r="G3008" t="str">
        <f>"LUIZ EDUARDO VIANA BRITO (878)"</f>
        <v>LUIZ EDUARDO VIANA BRITO (878)</v>
      </c>
      <c r="H3008" t="s">
        <v>913</v>
      </c>
      <c r="I3008" t="str">
        <f t="shared" si="553"/>
        <v>19/03/2026</v>
      </c>
      <c r="J3008" t="str">
        <f>("18/03/2026")</f>
        <v>18/03/2026</v>
      </c>
      <c r="K3008">
        <v>46099</v>
      </c>
      <c r="N3008">
        <v>108</v>
      </c>
      <c r="O3008" t="s">
        <v>871</v>
      </c>
      <c r="Q3008">
        <v>60</v>
      </c>
      <c r="R3008" t="str">
        <f>"LUIZ EDUARDO VIANA BRITO (878)"</f>
        <v>LUIZ EDUARDO VIANA BRITO (878)</v>
      </c>
      <c r="S3008" t="s">
        <v>872</v>
      </c>
      <c r="T3008">
        <v>31227</v>
      </c>
      <c r="U3008">
        <v>35520</v>
      </c>
      <c r="V3008" t="s">
        <v>22</v>
      </c>
    </row>
    <row r="3009" spans="1:22">
      <c r="A3009" t="str">
        <f t="shared" si="551"/>
        <v>18/03/2026</v>
      </c>
      <c r="B3009" t="str">
        <f>"SAÍDA"</f>
        <v>SAÍDA</v>
      </c>
      <c r="C3009" t="str">
        <f>"PIX"</f>
        <v>PIX</v>
      </c>
      <c r="D3009" t="str">
        <f>"34537"</f>
        <v>34537</v>
      </c>
      <c r="E3009" t="str">
        <f>"1"</f>
        <v>1</v>
      </c>
      <c r="F3009" t="str">
        <f t="shared" si="548"/>
        <v>COM</v>
      </c>
      <c r="G3009" t="str">
        <f>"ANISSO ANIDAL DE PAULA (161)"</f>
        <v>ANISSO ANIDAL DE PAULA (161)</v>
      </c>
      <c r="H3009" t="str">
        <f>"Serv.Prest. 02/03/2026 a 08/03/2026 - PIX: CELULAR - CHAVE: (31) 98556-3149"</f>
        <v>Serv.Prest. 02/03/2026 a 08/03/2026 - PIX: CELULAR - CHAVE: (31) 98556-3149</v>
      </c>
      <c r="I3009" t="str">
        <f t="shared" si="553"/>
        <v>19/03/2026</v>
      </c>
      <c r="J3009" t="str">
        <f>("10/03/2026")</f>
        <v>10/03/2026</v>
      </c>
      <c r="K3009" t="str">
        <f>("18/03/2026")</f>
        <v>18/03/2026</v>
      </c>
      <c r="L3009">
        <v>60</v>
      </c>
      <c r="M3009">
        <v>60</v>
      </c>
      <c r="N3009">
        <v>109</v>
      </c>
      <c r="O3009" t="str">
        <f>"PAGAMENTO DE ENTREGADORES"</f>
        <v>PAGAMENTO DE ENTREGADORES</v>
      </c>
      <c r="P3009">
        <v>60</v>
      </c>
      <c r="S3009" t="str">
        <f>"CAIXA MOVIMENTAÇÃO OPERACIONAL (132)"</f>
        <v>CAIXA MOVIMENTAÇÃO OPERACIONAL (132)</v>
      </c>
      <c r="T3009">
        <v>31228</v>
      </c>
      <c r="U3009">
        <v>35525</v>
      </c>
      <c r="V3009" t="s">
        <v>22</v>
      </c>
    </row>
    <row r="3010" spans="1:22">
      <c r="A3010" t="str">
        <f t="shared" si="551"/>
        <v>18/03/2026</v>
      </c>
      <c r="B3010" t="str">
        <f>"SAÍDA"</f>
        <v>SAÍDA</v>
      </c>
      <c r="C3010" t="str">
        <f>"PIX"</f>
        <v>PIX</v>
      </c>
      <c r="D3010" t="str">
        <f>"34537"</f>
        <v>34537</v>
      </c>
      <c r="E3010" t="str">
        <f>"1"</f>
        <v>1</v>
      </c>
      <c r="F3010" t="str">
        <f t="shared" ref="F3010:F3073" si="554">"COM"</f>
        <v>COM</v>
      </c>
      <c r="G3010" t="str">
        <f>"ANISSO ANIDAL DE PAULA (161)"</f>
        <v>ANISSO ANIDAL DE PAULA (161)</v>
      </c>
      <c r="H3010" t="s">
        <v>920</v>
      </c>
      <c r="I3010" t="str">
        <f t="shared" si="553"/>
        <v>19/03/2026</v>
      </c>
      <c r="J3010" t="str">
        <f>("10/03/2026")</f>
        <v>10/03/2026</v>
      </c>
      <c r="K3010">
        <v>46099</v>
      </c>
      <c r="N3010">
        <v>109</v>
      </c>
      <c r="O3010" t="s">
        <v>27</v>
      </c>
      <c r="Q3010">
        <v>60</v>
      </c>
      <c r="R3010" t="str">
        <f>"FARMÁCIA INDIANA LJ 18 (10011)"</f>
        <v>FARMÁCIA INDIANA LJ 18 (10011)</v>
      </c>
      <c r="S3010" t="s">
        <v>22</v>
      </c>
      <c r="T3010">
        <v>31228</v>
      </c>
      <c r="U3010">
        <v>35525</v>
      </c>
      <c r="V3010" t="s">
        <v>22</v>
      </c>
    </row>
    <row r="3011" spans="1:22">
      <c r="A3011" t="str">
        <f t="shared" si="551"/>
        <v>18/03/2026</v>
      </c>
      <c r="B3011" t="str">
        <f>"ENTRADA"</f>
        <v>ENTRADA</v>
      </c>
      <c r="C3011" t="str">
        <f>"DINHEIRO"</f>
        <v>DINHEIRO</v>
      </c>
      <c r="D3011" t="str">
        <f>"19032026"</f>
        <v>19032026</v>
      </c>
      <c r="E3011" t="str">
        <f>""</f>
        <v/>
      </c>
      <c r="F3011" t="str">
        <f t="shared" si="554"/>
        <v>COM</v>
      </c>
      <c r="G3011" t="str">
        <f>"ANISSO ANIDAL DE PAULA (161)"</f>
        <v>ANISSO ANIDAL DE PAULA (161)</v>
      </c>
      <c r="H3011" t="str">
        <f>"REELMBOLSO CERTIFICADO DIGITAL 1/2"</f>
        <v>REELMBOLSO CERTIFICADO DIGITAL 1/2</v>
      </c>
      <c r="I3011" t="str">
        <f t="shared" si="553"/>
        <v>19/03/2026</v>
      </c>
      <c r="J3011" t="str">
        <f>("18/03/2026")</f>
        <v>18/03/2026</v>
      </c>
      <c r="K3011" t="str">
        <f>("18/03/2026")</f>
        <v>18/03/2026</v>
      </c>
      <c r="L3011">
        <v>60</v>
      </c>
      <c r="M3011">
        <v>60</v>
      </c>
      <c r="N3011">
        <v>108</v>
      </c>
      <c r="O3011" t="str">
        <f>"RECEITAS COM REEMBOLSOS"</f>
        <v>RECEITAS COM REEMBOLSOS</v>
      </c>
      <c r="P3011">
        <v>60</v>
      </c>
      <c r="S3011" t="str">
        <f>"RECEITAS COM REEMBOLSOS (108)"</f>
        <v>RECEITAS COM REEMBOLSOS (108)</v>
      </c>
      <c r="T3011">
        <v>31229</v>
      </c>
      <c r="U3011">
        <v>35523</v>
      </c>
      <c r="V3011" t="s">
        <v>22</v>
      </c>
    </row>
    <row r="3012" spans="1:22">
      <c r="A3012" t="str">
        <f t="shared" si="551"/>
        <v>18/03/2026</v>
      </c>
      <c r="B3012" t="str">
        <f>"ENTRADA"</f>
        <v>ENTRADA</v>
      </c>
      <c r="C3012" t="str">
        <f>"DINHEIRO"</f>
        <v>DINHEIRO</v>
      </c>
      <c r="D3012" t="str">
        <f>"19032026"</f>
        <v>19032026</v>
      </c>
      <c r="E3012" t="str">
        <f>""</f>
        <v/>
      </c>
      <c r="F3012" t="str">
        <f t="shared" si="554"/>
        <v>COM</v>
      </c>
      <c r="G3012" t="str">
        <f>"ANISSO ANIDAL DE PAULA (161)"</f>
        <v>ANISSO ANIDAL DE PAULA (161)</v>
      </c>
      <c r="H3012" t="s">
        <v>913</v>
      </c>
      <c r="I3012" t="str">
        <f t="shared" si="553"/>
        <v>19/03/2026</v>
      </c>
      <c r="J3012" t="str">
        <f>("18/03/2026")</f>
        <v>18/03/2026</v>
      </c>
      <c r="K3012">
        <v>46099</v>
      </c>
      <c r="N3012">
        <v>108</v>
      </c>
      <c r="O3012" t="s">
        <v>871</v>
      </c>
      <c r="Q3012">
        <v>60</v>
      </c>
      <c r="R3012" t="str">
        <f>"ANISSO ANIDAL DE PAULA (161)"</f>
        <v>ANISSO ANIDAL DE PAULA (161)</v>
      </c>
      <c r="S3012" t="s">
        <v>872</v>
      </c>
      <c r="T3012">
        <v>31229</v>
      </c>
      <c r="U3012">
        <v>35523</v>
      </c>
      <c r="V3012" t="s">
        <v>22</v>
      </c>
    </row>
    <row r="3013" spans="1:22">
      <c r="A3013" t="str">
        <f t="shared" si="551"/>
        <v>18/03/2026</v>
      </c>
      <c r="B3013" t="str">
        <f>"SAÍDA"</f>
        <v>SAÍDA</v>
      </c>
      <c r="C3013" t="str">
        <f>"PIX"</f>
        <v>PIX</v>
      </c>
      <c r="D3013" t="str">
        <f>"35055"</f>
        <v>35055</v>
      </c>
      <c r="E3013" t="str">
        <f>"1"</f>
        <v>1</v>
      </c>
      <c r="F3013" t="str">
        <f t="shared" si="554"/>
        <v>COM</v>
      </c>
      <c r="G3013" t="str">
        <f>"JULIO GUIMARAES DOS SANTOS (977)"</f>
        <v>JULIO GUIMARAES DOS SANTOS (977)</v>
      </c>
      <c r="H3013" t="str">
        <f>"Serv.Prest. 09/03/2026 a 15/03/2026 - PIX: CELULAR - CHAVE: (11) 94195-2534"</f>
        <v>Serv.Prest. 09/03/2026 a 15/03/2026 - PIX: CELULAR - CHAVE: (11) 94195-2534</v>
      </c>
      <c r="I3013" t="str">
        <f t="shared" si="553"/>
        <v>19/03/2026</v>
      </c>
      <c r="J3013" t="str">
        <f>("17/03/2026")</f>
        <v>17/03/2026</v>
      </c>
      <c r="K3013" t="str">
        <f>("18/03/2026")</f>
        <v>18/03/2026</v>
      </c>
      <c r="L3013">
        <v>60</v>
      </c>
      <c r="M3013">
        <v>60</v>
      </c>
      <c r="N3013">
        <v>109</v>
      </c>
      <c r="O3013" t="str">
        <f>"PAGAMENTO DE ENTREGADORES"</f>
        <v>PAGAMENTO DE ENTREGADORES</v>
      </c>
      <c r="P3013">
        <v>60</v>
      </c>
      <c r="S3013" t="str">
        <f>"CAIXA MOVIMENTAÇÃO OPERACIONAL (132)"</f>
        <v>CAIXA MOVIMENTAÇÃO OPERACIONAL (132)</v>
      </c>
      <c r="T3013">
        <v>31230</v>
      </c>
      <c r="U3013">
        <v>35528</v>
      </c>
      <c r="V3013" t="s">
        <v>22</v>
      </c>
    </row>
    <row r="3014" spans="1:22">
      <c r="A3014" t="str">
        <f t="shared" si="551"/>
        <v>18/03/2026</v>
      </c>
      <c r="B3014" t="str">
        <f>"SAÍDA"</f>
        <v>SAÍDA</v>
      </c>
      <c r="C3014" t="str">
        <f>"PIX"</f>
        <v>PIX</v>
      </c>
      <c r="D3014" t="str">
        <f>"35055"</f>
        <v>35055</v>
      </c>
      <c r="E3014" t="str">
        <f>"1"</f>
        <v>1</v>
      </c>
      <c r="F3014" t="str">
        <f t="shared" si="554"/>
        <v>COM</v>
      </c>
      <c r="G3014" t="str">
        <f>"JULIO GUIMARAES DOS SANTOS (977)"</f>
        <v>JULIO GUIMARAES DOS SANTOS (977)</v>
      </c>
      <c r="H3014" t="s">
        <v>885</v>
      </c>
      <c r="I3014" t="str">
        <f t="shared" si="553"/>
        <v>19/03/2026</v>
      </c>
      <c r="J3014" t="str">
        <f>("17/03/2026")</f>
        <v>17/03/2026</v>
      </c>
      <c r="K3014">
        <v>46099</v>
      </c>
      <c r="N3014">
        <v>109</v>
      </c>
      <c r="O3014" t="s">
        <v>27</v>
      </c>
      <c r="Q3014">
        <v>60</v>
      </c>
      <c r="R3014" t="str">
        <f>"PENSE FARMA 36 (10206)"</f>
        <v>PENSE FARMA 36 (10206)</v>
      </c>
      <c r="S3014" t="s">
        <v>22</v>
      </c>
      <c r="T3014">
        <v>31230</v>
      </c>
      <c r="U3014">
        <v>35528</v>
      </c>
      <c r="V3014" t="s">
        <v>22</v>
      </c>
    </row>
    <row r="3015" spans="1:22">
      <c r="A3015" t="str">
        <f t="shared" si="551"/>
        <v>18/03/2026</v>
      </c>
      <c r="B3015" t="str">
        <f>"ENTRADA"</f>
        <v>ENTRADA</v>
      </c>
      <c r="C3015" t="str">
        <f>"DINHEIRO"</f>
        <v>DINHEIRO</v>
      </c>
      <c r="D3015" t="str">
        <f>"19032026"</f>
        <v>19032026</v>
      </c>
      <c r="E3015" t="str">
        <f>""</f>
        <v/>
      </c>
      <c r="F3015" t="str">
        <f t="shared" si="554"/>
        <v>COM</v>
      </c>
      <c r="G3015" t="str">
        <f>"J??LIO GUIMAR??ES DOS SANTOS (977)"</f>
        <v>J??LIO GUIMAR??ES DOS SANTOS (977)</v>
      </c>
      <c r="H3015" t="str">
        <f>"REELMBOLSO CERTIFICADO DIGITAL 1/2"</f>
        <v>REELMBOLSO CERTIFICADO DIGITAL 1/2</v>
      </c>
      <c r="I3015" t="str">
        <f t="shared" si="553"/>
        <v>19/03/2026</v>
      </c>
      <c r="J3015" t="str">
        <f>("18/03/2026")</f>
        <v>18/03/2026</v>
      </c>
      <c r="K3015" t="str">
        <f>("18/03/2026")</f>
        <v>18/03/2026</v>
      </c>
      <c r="L3015">
        <v>60</v>
      </c>
      <c r="M3015">
        <v>60</v>
      </c>
      <c r="N3015">
        <v>108</v>
      </c>
      <c r="O3015" t="str">
        <f>"RECEITAS COM REEMBOLSOS"</f>
        <v>RECEITAS COM REEMBOLSOS</v>
      </c>
      <c r="P3015">
        <v>60</v>
      </c>
      <c r="S3015" t="str">
        <f>"RECEITAS COM REEMBOLSOS (108)"</f>
        <v>RECEITAS COM REEMBOLSOS (108)</v>
      </c>
      <c r="T3015">
        <v>31231</v>
      </c>
      <c r="U3015">
        <v>35526</v>
      </c>
      <c r="V3015" t="s">
        <v>22</v>
      </c>
    </row>
    <row r="3016" spans="1:22">
      <c r="A3016" t="str">
        <f t="shared" si="551"/>
        <v>18/03/2026</v>
      </c>
      <c r="B3016" t="str">
        <f>"ENTRADA"</f>
        <v>ENTRADA</v>
      </c>
      <c r="C3016" t="str">
        <f>"DINHEIRO"</f>
        <v>DINHEIRO</v>
      </c>
      <c r="D3016" t="str">
        <f>"19032026"</f>
        <v>19032026</v>
      </c>
      <c r="E3016" t="str">
        <f>""</f>
        <v/>
      </c>
      <c r="F3016" t="str">
        <f t="shared" si="554"/>
        <v>COM</v>
      </c>
      <c r="G3016" t="str">
        <f>"J??LIO GUIMAR??ES DOS SANTOS (977)"</f>
        <v>J??LIO GUIMAR??ES DOS SANTOS (977)</v>
      </c>
      <c r="H3016" t="s">
        <v>913</v>
      </c>
      <c r="I3016" t="str">
        <f t="shared" si="553"/>
        <v>19/03/2026</v>
      </c>
      <c r="J3016" t="str">
        <f>("18/03/2026")</f>
        <v>18/03/2026</v>
      </c>
      <c r="K3016">
        <v>46099</v>
      </c>
      <c r="N3016">
        <v>108</v>
      </c>
      <c r="O3016" t="s">
        <v>871</v>
      </c>
      <c r="Q3016">
        <v>60</v>
      </c>
      <c r="R3016" t="str">
        <f>"J??LIO GUIMAR??ES DOS SANTOS (977)"</f>
        <v>J??LIO GUIMAR??ES DOS SANTOS (977)</v>
      </c>
      <c r="S3016" t="s">
        <v>872</v>
      </c>
      <c r="T3016">
        <v>31231</v>
      </c>
      <c r="U3016">
        <v>35526</v>
      </c>
      <c r="V3016" t="s">
        <v>22</v>
      </c>
    </row>
    <row r="3017" spans="1:22">
      <c r="A3017" t="str">
        <f t="shared" si="551"/>
        <v>18/03/2026</v>
      </c>
      <c r="B3017" t="str">
        <f>"SAÍDA"</f>
        <v>SAÍDA</v>
      </c>
      <c r="C3017" t="str">
        <f>"PIX"</f>
        <v>PIX</v>
      </c>
      <c r="D3017" t="str">
        <f>"35002"</f>
        <v>35002</v>
      </c>
      <c r="E3017" t="str">
        <f>"1"</f>
        <v>1</v>
      </c>
      <c r="F3017" t="str">
        <f t="shared" si="554"/>
        <v>COM</v>
      </c>
      <c r="G3017" t="str">
        <f>"MARCOS DUARTE CARVALHO (998)"</f>
        <v>MARCOS DUARTE CARVALHO (998)</v>
      </c>
      <c r="H3017" t="str">
        <f>"Serv.Prest. 09/03/2026 a 15/03/2026 - PIX: CPF - CHAVE: 396.877.618-65"</f>
        <v>Serv.Prest. 09/03/2026 a 15/03/2026 - PIX: CPF - CHAVE: 396.877.618-65</v>
      </c>
      <c r="I3017" t="str">
        <f t="shared" si="553"/>
        <v>19/03/2026</v>
      </c>
      <c r="J3017" t="str">
        <f>("17/03/2026")</f>
        <v>17/03/2026</v>
      </c>
      <c r="K3017" t="str">
        <f>("18/03/2026")</f>
        <v>18/03/2026</v>
      </c>
      <c r="L3017">
        <v>60</v>
      </c>
      <c r="M3017">
        <v>60</v>
      </c>
      <c r="N3017">
        <v>109</v>
      </c>
      <c r="O3017" t="str">
        <f>"PAGAMENTO DE ENTREGADORES"</f>
        <v>PAGAMENTO DE ENTREGADORES</v>
      </c>
      <c r="P3017">
        <v>60</v>
      </c>
      <c r="S3017" t="str">
        <f>"CAIXA MOVIMENTAÇÃO OPERACIONAL (132)"</f>
        <v>CAIXA MOVIMENTAÇÃO OPERACIONAL (132)</v>
      </c>
      <c r="T3017">
        <v>31232</v>
      </c>
      <c r="U3017">
        <v>35531</v>
      </c>
      <c r="V3017" t="s">
        <v>22</v>
      </c>
    </row>
    <row r="3018" spans="1:22">
      <c r="A3018" t="str">
        <f t="shared" si="551"/>
        <v>18/03/2026</v>
      </c>
      <c r="B3018" t="str">
        <f>"SAÍDA"</f>
        <v>SAÍDA</v>
      </c>
      <c r="C3018" t="str">
        <f>"PIX"</f>
        <v>PIX</v>
      </c>
      <c r="D3018" t="str">
        <f>"35002"</f>
        <v>35002</v>
      </c>
      <c r="E3018" t="str">
        <f>"1"</f>
        <v>1</v>
      </c>
      <c r="F3018" t="str">
        <f t="shared" si="554"/>
        <v>COM</v>
      </c>
      <c r="G3018" t="str">
        <f>"MARCOS DUARTE CARVALHO (998)"</f>
        <v>MARCOS DUARTE CARVALHO (998)</v>
      </c>
      <c r="H3018" t="s">
        <v>892</v>
      </c>
      <c r="I3018" t="str">
        <f t="shared" si="553"/>
        <v>19/03/2026</v>
      </c>
      <c r="J3018" t="str">
        <f>("17/03/2026")</f>
        <v>17/03/2026</v>
      </c>
      <c r="K3018">
        <v>46099</v>
      </c>
      <c r="N3018">
        <v>109</v>
      </c>
      <c r="O3018" t="s">
        <v>27</v>
      </c>
      <c r="Q3018">
        <v>60</v>
      </c>
      <c r="R3018" t="str">
        <f>"PENSE FARMA 10 (10219)"</f>
        <v>PENSE FARMA 10 (10219)</v>
      </c>
      <c r="S3018" t="s">
        <v>22</v>
      </c>
      <c r="T3018">
        <v>31232</v>
      </c>
      <c r="U3018">
        <v>35531</v>
      </c>
      <c r="V3018" t="s">
        <v>22</v>
      </c>
    </row>
    <row r="3019" spans="1:22">
      <c r="A3019" t="str">
        <f t="shared" si="551"/>
        <v>18/03/2026</v>
      </c>
      <c r="B3019" t="str">
        <f>"ENTRADA"</f>
        <v>ENTRADA</v>
      </c>
      <c r="C3019" t="str">
        <f>"DINHEIRO"</f>
        <v>DINHEIRO</v>
      </c>
      <c r="D3019" t="str">
        <f>"19032026"</f>
        <v>19032026</v>
      </c>
      <c r="E3019" t="str">
        <f>""</f>
        <v/>
      </c>
      <c r="F3019" t="str">
        <f t="shared" si="554"/>
        <v>COM</v>
      </c>
      <c r="G3019" t="str">
        <f>"MARCOS DUARTE CARVALHO (998)"</f>
        <v>MARCOS DUARTE CARVALHO (998)</v>
      </c>
      <c r="H3019" t="str">
        <f>"REELMBOLSO CERTIFICADO DIGITAL 1/2"</f>
        <v>REELMBOLSO CERTIFICADO DIGITAL 1/2</v>
      </c>
      <c r="I3019" t="str">
        <f t="shared" si="553"/>
        <v>19/03/2026</v>
      </c>
      <c r="J3019" t="str">
        <f>("18/03/2026")</f>
        <v>18/03/2026</v>
      </c>
      <c r="K3019" t="str">
        <f>("18/03/2026")</f>
        <v>18/03/2026</v>
      </c>
      <c r="L3019">
        <v>60</v>
      </c>
      <c r="M3019">
        <v>60</v>
      </c>
      <c r="N3019">
        <v>108</v>
      </c>
      <c r="O3019" t="str">
        <f>"RECEITAS COM REEMBOLSOS"</f>
        <v>RECEITAS COM REEMBOLSOS</v>
      </c>
      <c r="P3019">
        <v>60</v>
      </c>
      <c r="S3019" t="str">
        <f>"RECEITAS COM REEMBOLSOS (108)"</f>
        <v>RECEITAS COM REEMBOLSOS (108)</v>
      </c>
      <c r="T3019">
        <v>31233</v>
      </c>
      <c r="U3019">
        <v>35529</v>
      </c>
      <c r="V3019" t="s">
        <v>22</v>
      </c>
    </row>
    <row r="3020" spans="1:22">
      <c r="A3020" t="str">
        <f t="shared" si="551"/>
        <v>18/03/2026</v>
      </c>
      <c r="B3020" t="str">
        <f>"ENTRADA"</f>
        <v>ENTRADA</v>
      </c>
      <c r="C3020" t="str">
        <f>"DINHEIRO"</f>
        <v>DINHEIRO</v>
      </c>
      <c r="D3020" t="str">
        <f>"19032026"</f>
        <v>19032026</v>
      </c>
      <c r="E3020" t="str">
        <f>""</f>
        <v/>
      </c>
      <c r="F3020" t="str">
        <f t="shared" si="554"/>
        <v>COM</v>
      </c>
      <c r="G3020" t="str">
        <f>"MARCOS DUARTE CARVALHO (998)"</f>
        <v>MARCOS DUARTE CARVALHO (998)</v>
      </c>
      <c r="H3020" t="s">
        <v>913</v>
      </c>
      <c r="I3020" t="str">
        <f t="shared" si="553"/>
        <v>19/03/2026</v>
      </c>
      <c r="J3020" t="str">
        <f>("18/03/2026")</f>
        <v>18/03/2026</v>
      </c>
      <c r="K3020">
        <v>46099</v>
      </c>
      <c r="N3020">
        <v>108</v>
      </c>
      <c r="O3020" t="s">
        <v>871</v>
      </c>
      <c r="Q3020">
        <v>60</v>
      </c>
      <c r="R3020" t="str">
        <f>"MARCOS DUARTE CARVALHO (998)"</f>
        <v>MARCOS DUARTE CARVALHO (998)</v>
      </c>
      <c r="S3020" t="s">
        <v>872</v>
      </c>
      <c r="T3020">
        <v>31233</v>
      </c>
      <c r="U3020">
        <v>35529</v>
      </c>
      <c r="V3020" t="s">
        <v>22</v>
      </c>
    </row>
    <row r="3021" spans="1:22">
      <c r="A3021" t="str">
        <f t="shared" si="551"/>
        <v>18/03/2026</v>
      </c>
      <c r="B3021" t="str">
        <f>"SAÍDA"</f>
        <v>SAÍDA</v>
      </c>
      <c r="C3021" t="str">
        <f>"PIX"</f>
        <v>PIX</v>
      </c>
      <c r="D3021" t="str">
        <f>"35029"</f>
        <v>35029</v>
      </c>
      <c r="E3021" t="str">
        <f>"1"</f>
        <v>1</v>
      </c>
      <c r="F3021" t="str">
        <f t="shared" si="554"/>
        <v>COM</v>
      </c>
      <c r="G3021" t="str">
        <f>"LUAN DOS REIS SILVA (954)"</f>
        <v>LUAN DOS REIS SILVA (954)</v>
      </c>
      <c r="H3021" t="str">
        <f>"Serv.Prest. 09/03/2026 a 15/03/2026 - PIX: CELULAR - CHAVE: (11) 95906-5439"</f>
        <v>Serv.Prest. 09/03/2026 a 15/03/2026 - PIX: CELULAR - CHAVE: (11) 95906-5439</v>
      </c>
      <c r="I3021" t="str">
        <f t="shared" si="553"/>
        <v>19/03/2026</v>
      </c>
      <c r="J3021" t="str">
        <f>("17/03/2026")</f>
        <v>17/03/2026</v>
      </c>
      <c r="K3021" t="str">
        <f>("18/03/2026")</f>
        <v>18/03/2026</v>
      </c>
      <c r="L3021">
        <v>60</v>
      </c>
      <c r="M3021">
        <v>60</v>
      </c>
      <c r="N3021">
        <v>109</v>
      </c>
      <c r="O3021" t="str">
        <f>"PAGAMENTO DE ENTREGADORES"</f>
        <v>PAGAMENTO DE ENTREGADORES</v>
      </c>
      <c r="P3021">
        <v>60</v>
      </c>
      <c r="S3021" t="str">
        <f>"CAIXA MOVIMENTAÇÃO OPERACIONAL (132)"</f>
        <v>CAIXA MOVIMENTAÇÃO OPERACIONAL (132)</v>
      </c>
      <c r="T3021">
        <v>31234</v>
      </c>
      <c r="U3021">
        <v>35534</v>
      </c>
      <c r="V3021" t="s">
        <v>22</v>
      </c>
    </row>
    <row r="3022" spans="1:22">
      <c r="A3022" t="str">
        <f t="shared" si="551"/>
        <v>18/03/2026</v>
      </c>
      <c r="B3022" t="str">
        <f>"SAÍDA"</f>
        <v>SAÍDA</v>
      </c>
      <c r="C3022" t="str">
        <f>"PIX"</f>
        <v>PIX</v>
      </c>
      <c r="D3022" t="str">
        <f>"35029"</f>
        <v>35029</v>
      </c>
      <c r="E3022" t="str">
        <f>"1"</f>
        <v>1</v>
      </c>
      <c r="F3022" t="str">
        <f t="shared" si="554"/>
        <v>COM</v>
      </c>
      <c r="G3022" t="str">
        <f>"LUAN DOS REIS SILVA (954)"</f>
        <v>LUAN DOS REIS SILVA (954)</v>
      </c>
      <c r="H3022" t="s">
        <v>888</v>
      </c>
      <c r="I3022" t="str">
        <f t="shared" si="553"/>
        <v>19/03/2026</v>
      </c>
      <c r="J3022" t="str">
        <f>("17/03/2026")</f>
        <v>17/03/2026</v>
      </c>
      <c r="K3022">
        <v>46099</v>
      </c>
      <c r="N3022">
        <v>109</v>
      </c>
      <c r="O3022" t="s">
        <v>27</v>
      </c>
      <c r="Q3022">
        <v>60</v>
      </c>
      <c r="R3022" t="str">
        <f>"PENSE FARMA 27 (10204)"</f>
        <v>PENSE FARMA 27 (10204)</v>
      </c>
      <c r="S3022" t="s">
        <v>22</v>
      </c>
      <c r="T3022">
        <v>31234</v>
      </c>
      <c r="U3022">
        <v>35534</v>
      </c>
      <c r="V3022" t="s">
        <v>22</v>
      </c>
    </row>
    <row r="3023" spans="1:22">
      <c r="A3023" t="str">
        <f t="shared" si="551"/>
        <v>18/03/2026</v>
      </c>
      <c r="B3023" t="str">
        <f>"ENTRADA"</f>
        <v>ENTRADA</v>
      </c>
      <c r="C3023" t="str">
        <f>"DINHEIRO"</f>
        <v>DINHEIRO</v>
      </c>
      <c r="D3023" t="str">
        <f>"19032026"</f>
        <v>19032026</v>
      </c>
      <c r="E3023" t="str">
        <f>""</f>
        <v/>
      </c>
      <c r="F3023" t="str">
        <f t="shared" si="554"/>
        <v>COM</v>
      </c>
      <c r="G3023" t="str">
        <f>"LUAN DOS REIS SILV A (954)"</f>
        <v>LUAN DOS REIS SILV A (954)</v>
      </c>
      <c r="H3023" t="str">
        <f>"REELMBOLSO CERTIFICADO DIGITAL 1/2"</f>
        <v>REELMBOLSO CERTIFICADO DIGITAL 1/2</v>
      </c>
      <c r="I3023" t="str">
        <f t="shared" si="553"/>
        <v>19/03/2026</v>
      </c>
      <c r="J3023" t="str">
        <f>("18/03/2026")</f>
        <v>18/03/2026</v>
      </c>
      <c r="K3023" t="str">
        <f>("18/03/2026")</f>
        <v>18/03/2026</v>
      </c>
      <c r="L3023">
        <v>60</v>
      </c>
      <c r="M3023">
        <v>60</v>
      </c>
      <c r="N3023">
        <v>108</v>
      </c>
      <c r="O3023" t="str">
        <f>"RECEITAS COM REEMBOLSOS"</f>
        <v>RECEITAS COM REEMBOLSOS</v>
      </c>
      <c r="P3023">
        <v>60</v>
      </c>
      <c r="S3023" t="str">
        <f>"RECEITAS COM REEMBOLSOS (108)"</f>
        <v>RECEITAS COM REEMBOLSOS (108)</v>
      </c>
      <c r="T3023">
        <v>31235</v>
      </c>
      <c r="U3023">
        <v>35532</v>
      </c>
      <c r="V3023" t="s">
        <v>22</v>
      </c>
    </row>
    <row r="3024" spans="1:22">
      <c r="A3024" t="str">
        <f t="shared" si="551"/>
        <v>18/03/2026</v>
      </c>
      <c r="B3024" t="str">
        <f>"ENTRADA"</f>
        <v>ENTRADA</v>
      </c>
      <c r="C3024" t="str">
        <f>"DINHEIRO"</f>
        <v>DINHEIRO</v>
      </c>
      <c r="D3024" t="str">
        <f>"19032026"</f>
        <v>19032026</v>
      </c>
      <c r="E3024" t="str">
        <f>""</f>
        <v/>
      </c>
      <c r="F3024" t="str">
        <f t="shared" si="554"/>
        <v>COM</v>
      </c>
      <c r="G3024" t="str">
        <f>"LUAN DOS REIS SILV A (954)"</f>
        <v>LUAN DOS REIS SILV A (954)</v>
      </c>
      <c r="H3024" t="s">
        <v>913</v>
      </c>
      <c r="I3024" t="str">
        <f t="shared" si="553"/>
        <v>19/03/2026</v>
      </c>
      <c r="J3024" t="str">
        <f>("18/03/2026")</f>
        <v>18/03/2026</v>
      </c>
      <c r="K3024">
        <v>46099</v>
      </c>
      <c r="N3024">
        <v>108</v>
      </c>
      <c r="O3024" t="s">
        <v>871</v>
      </c>
      <c r="Q3024">
        <v>60</v>
      </c>
      <c r="R3024" t="str">
        <f>"LUAN DOS REIS SILV A (954)"</f>
        <v>LUAN DOS REIS SILV A (954)</v>
      </c>
      <c r="S3024" t="s">
        <v>872</v>
      </c>
      <c r="T3024">
        <v>31235</v>
      </c>
      <c r="U3024">
        <v>35532</v>
      </c>
      <c r="V3024" t="s">
        <v>22</v>
      </c>
    </row>
    <row r="3025" spans="1:22">
      <c r="A3025" t="str">
        <f t="shared" si="551"/>
        <v>18/03/2026</v>
      </c>
      <c r="B3025" t="str">
        <f>"SAÍDA"</f>
        <v>SAÍDA</v>
      </c>
      <c r="C3025" t="str">
        <f>"PIX"</f>
        <v>PIX</v>
      </c>
      <c r="D3025" t="str">
        <f>"34585"</f>
        <v>34585</v>
      </c>
      <c r="E3025" t="str">
        <f>"1"</f>
        <v>1</v>
      </c>
      <c r="F3025" t="str">
        <f t="shared" si="554"/>
        <v>COM</v>
      </c>
      <c r="G3025" t="str">
        <f>"JEFERSON ANDRADE FERREIRA (165)"</f>
        <v>JEFERSON ANDRADE FERREIRA (165)</v>
      </c>
      <c r="H3025" t="str">
        <f>"Serv.Prest. 02/03/2026 a 08/03/2026 - PIX: CPF - CHAVE: 126.873.296-65"</f>
        <v>Serv.Prest. 02/03/2026 a 08/03/2026 - PIX: CPF - CHAVE: 126.873.296-65</v>
      </c>
      <c r="I3025" t="str">
        <f t="shared" si="553"/>
        <v>19/03/2026</v>
      </c>
      <c r="J3025" t="str">
        <f>("10/03/2026")</f>
        <v>10/03/2026</v>
      </c>
      <c r="K3025" t="str">
        <f>("18/03/2026")</f>
        <v>18/03/2026</v>
      </c>
      <c r="L3025">
        <v>60</v>
      </c>
      <c r="M3025">
        <v>60</v>
      </c>
      <c r="N3025">
        <v>109</v>
      </c>
      <c r="O3025" t="str">
        <f>"PAGAMENTO DE ENTREGADORES"</f>
        <v>PAGAMENTO DE ENTREGADORES</v>
      </c>
      <c r="P3025">
        <v>60</v>
      </c>
      <c r="S3025" t="str">
        <f>"CAIXA MOVIMENTAÇÃO OPERACIONAL (132)"</f>
        <v>CAIXA MOVIMENTAÇÃO OPERACIONAL (132)</v>
      </c>
      <c r="T3025">
        <v>31236</v>
      </c>
      <c r="U3025">
        <v>35537</v>
      </c>
      <c r="V3025" t="s">
        <v>22</v>
      </c>
    </row>
    <row r="3026" spans="1:22">
      <c r="A3026" t="str">
        <f t="shared" si="551"/>
        <v>18/03/2026</v>
      </c>
      <c r="B3026" t="str">
        <f>"SAÍDA"</f>
        <v>SAÍDA</v>
      </c>
      <c r="C3026" t="str">
        <f>"PIX"</f>
        <v>PIX</v>
      </c>
      <c r="D3026" t="str">
        <f>"34585"</f>
        <v>34585</v>
      </c>
      <c r="E3026" t="str">
        <f>"1"</f>
        <v>1</v>
      </c>
      <c r="F3026" t="str">
        <f t="shared" si="554"/>
        <v>COM</v>
      </c>
      <c r="G3026" t="str">
        <f>"JEFERSON ANDRADE FERREIRA (165)"</f>
        <v>JEFERSON ANDRADE FERREIRA (165)</v>
      </c>
      <c r="H3026" t="s">
        <v>856</v>
      </c>
      <c r="I3026" t="str">
        <f t="shared" si="553"/>
        <v>19/03/2026</v>
      </c>
      <c r="J3026" t="str">
        <f>("10/03/2026")</f>
        <v>10/03/2026</v>
      </c>
      <c r="K3026">
        <v>46099</v>
      </c>
      <c r="N3026">
        <v>109</v>
      </c>
      <c r="O3026" t="s">
        <v>27</v>
      </c>
      <c r="Q3026">
        <v>60</v>
      </c>
      <c r="R3026" t="str">
        <f>"FARMÁCIA INDIANA LJ 101 (10043)"</f>
        <v>FARMÁCIA INDIANA LJ 101 (10043)</v>
      </c>
      <c r="S3026" t="s">
        <v>22</v>
      </c>
      <c r="T3026">
        <v>31236</v>
      </c>
      <c r="U3026">
        <v>35537</v>
      </c>
      <c r="V3026" t="s">
        <v>22</v>
      </c>
    </row>
    <row r="3027" spans="1:22">
      <c r="A3027" t="str">
        <f t="shared" si="551"/>
        <v>18/03/2026</v>
      </c>
      <c r="B3027" t="str">
        <f>"ENTRADA"</f>
        <v>ENTRADA</v>
      </c>
      <c r="C3027" t="str">
        <f>"DINHEIRO"</f>
        <v>DINHEIRO</v>
      </c>
      <c r="D3027" t="str">
        <f>"19032026"</f>
        <v>19032026</v>
      </c>
      <c r="E3027" t="str">
        <f>""</f>
        <v/>
      </c>
      <c r="F3027" t="str">
        <f t="shared" si="554"/>
        <v>COM</v>
      </c>
      <c r="G3027" t="str">
        <f>"JEFERSON ANDRADE FERREIRA (165)"</f>
        <v>JEFERSON ANDRADE FERREIRA (165)</v>
      </c>
      <c r="H3027" t="str">
        <f>"REELMBOLSO CERTIFICADO DIGITAL 1/2"</f>
        <v>REELMBOLSO CERTIFICADO DIGITAL 1/2</v>
      </c>
      <c r="I3027" t="str">
        <f t="shared" si="553"/>
        <v>19/03/2026</v>
      </c>
      <c r="J3027" t="str">
        <f>("18/03/2026")</f>
        <v>18/03/2026</v>
      </c>
      <c r="K3027" t="str">
        <f>("18/03/2026")</f>
        <v>18/03/2026</v>
      </c>
      <c r="L3027">
        <v>60</v>
      </c>
      <c r="M3027">
        <v>60</v>
      </c>
      <c r="N3027">
        <v>108</v>
      </c>
      <c r="O3027" t="str">
        <f>"RECEITAS COM REEMBOLSOS"</f>
        <v>RECEITAS COM REEMBOLSOS</v>
      </c>
      <c r="P3027">
        <v>60</v>
      </c>
      <c r="S3027" t="str">
        <f>"RECEITAS COM REEMBOLSOS (108)"</f>
        <v>RECEITAS COM REEMBOLSOS (108)</v>
      </c>
      <c r="T3027">
        <v>31237</v>
      </c>
      <c r="U3027">
        <v>35535</v>
      </c>
      <c r="V3027" t="s">
        <v>22</v>
      </c>
    </row>
    <row r="3028" spans="1:22">
      <c r="A3028" t="str">
        <f t="shared" si="551"/>
        <v>18/03/2026</v>
      </c>
      <c r="B3028" t="str">
        <f>"ENTRADA"</f>
        <v>ENTRADA</v>
      </c>
      <c r="C3028" t="str">
        <f>"DINHEIRO"</f>
        <v>DINHEIRO</v>
      </c>
      <c r="D3028" t="str">
        <f>"19032026"</f>
        <v>19032026</v>
      </c>
      <c r="E3028" t="str">
        <f>""</f>
        <v/>
      </c>
      <c r="F3028" t="str">
        <f t="shared" si="554"/>
        <v>COM</v>
      </c>
      <c r="G3028" t="str">
        <f>"JEFERSON ANDRADE FERREIRA (165)"</f>
        <v>JEFERSON ANDRADE FERREIRA (165)</v>
      </c>
      <c r="H3028" t="s">
        <v>913</v>
      </c>
      <c r="I3028" t="str">
        <f t="shared" si="553"/>
        <v>19/03/2026</v>
      </c>
      <c r="J3028" t="str">
        <f>("18/03/2026")</f>
        <v>18/03/2026</v>
      </c>
      <c r="K3028">
        <v>46099</v>
      </c>
      <c r="N3028">
        <v>108</v>
      </c>
      <c r="O3028" t="s">
        <v>871</v>
      </c>
      <c r="Q3028">
        <v>60</v>
      </c>
      <c r="R3028" t="str">
        <f>"JEFERSON ANDRADE FERREIRA (165)"</f>
        <v>JEFERSON ANDRADE FERREIRA (165)</v>
      </c>
      <c r="S3028" t="s">
        <v>872</v>
      </c>
      <c r="T3028">
        <v>31237</v>
      </c>
      <c r="U3028">
        <v>35535</v>
      </c>
      <c r="V3028" t="s">
        <v>22</v>
      </c>
    </row>
    <row r="3029" spans="1:22">
      <c r="A3029" t="str">
        <f t="shared" si="551"/>
        <v>18/03/2026</v>
      </c>
      <c r="B3029" t="str">
        <f>"SAÍDA"</f>
        <v>SAÍDA</v>
      </c>
      <c r="C3029" t="str">
        <f>"PIX"</f>
        <v>PIX</v>
      </c>
      <c r="D3029" t="str">
        <f>"34923"</f>
        <v>34923</v>
      </c>
      <c r="E3029" t="str">
        <f>"1"</f>
        <v>1</v>
      </c>
      <c r="F3029" t="str">
        <f t="shared" si="554"/>
        <v>COM</v>
      </c>
      <c r="G3029" t="str">
        <f>"ELIENAI ROSA DO NASCIMENTO (343)"</f>
        <v>ELIENAI ROSA DO NASCIMENTO (343)</v>
      </c>
      <c r="H3029" t="str">
        <f>"Serv.Prest. 09/03/2026 a 15/03/2026 - PIX: CPF - CHAVE: 048.672.645-20"</f>
        <v>Serv.Prest. 09/03/2026 a 15/03/2026 - PIX: CPF - CHAVE: 048.672.645-20</v>
      </c>
      <c r="I3029" t="str">
        <f t="shared" ref="I3029:I3060" si="555">("19/03/2026")</f>
        <v>19/03/2026</v>
      </c>
      <c r="J3029" t="str">
        <f>("16/03/2026")</f>
        <v>16/03/2026</v>
      </c>
      <c r="K3029" t="str">
        <f>("18/03/2026")</f>
        <v>18/03/2026</v>
      </c>
      <c r="L3029">
        <v>60</v>
      </c>
      <c r="M3029">
        <v>60</v>
      </c>
      <c r="N3029">
        <v>109</v>
      </c>
      <c r="O3029" t="str">
        <f>"PAGAMENTO DE ENTREGADORES"</f>
        <v>PAGAMENTO DE ENTREGADORES</v>
      </c>
      <c r="P3029">
        <v>60</v>
      </c>
      <c r="S3029" t="str">
        <f>"CAIXA MOVIMENTAÇÃO OPERACIONAL (132)"</f>
        <v>CAIXA MOVIMENTAÇÃO OPERACIONAL (132)</v>
      </c>
      <c r="T3029">
        <v>31238</v>
      </c>
      <c r="U3029">
        <v>35540</v>
      </c>
      <c r="V3029" t="s">
        <v>22</v>
      </c>
    </row>
    <row r="3030" spans="1:22">
      <c r="A3030" t="str">
        <f t="shared" si="551"/>
        <v>18/03/2026</v>
      </c>
      <c r="B3030" t="str">
        <f>"SAÍDA"</f>
        <v>SAÍDA</v>
      </c>
      <c r="C3030" t="str">
        <f>"PIX"</f>
        <v>PIX</v>
      </c>
      <c r="D3030" t="str">
        <f>"34923"</f>
        <v>34923</v>
      </c>
      <c r="E3030" t="str">
        <f>"1"</f>
        <v>1</v>
      </c>
      <c r="F3030" t="str">
        <f t="shared" si="554"/>
        <v>COM</v>
      </c>
      <c r="G3030" t="str">
        <f>"ELIENAI ROSA DO NASCIMENTO (343)"</f>
        <v>ELIENAI ROSA DO NASCIMENTO (343)</v>
      </c>
      <c r="H3030" t="s">
        <v>850</v>
      </c>
      <c r="I3030" t="str">
        <f t="shared" si="555"/>
        <v>19/03/2026</v>
      </c>
      <c r="J3030" t="str">
        <f>("16/03/2026")</f>
        <v>16/03/2026</v>
      </c>
      <c r="K3030">
        <v>46099</v>
      </c>
      <c r="N3030">
        <v>109</v>
      </c>
      <c r="O3030" t="s">
        <v>27</v>
      </c>
      <c r="Q3030">
        <v>60</v>
      </c>
      <c r="R3030" t="str">
        <f>"DELTA LOJA 2 (10123)"</f>
        <v>DELTA LOJA 2 (10123)</v>
      </c>
      <c r="S3030" t="s">
        <v>22</v>
      </c>
      <c r="T3030">
        <v>31238</v>
      </c>
      <c r="U3030">
        <v>35540</v>
      </c>
      <c r="V3030" t="s">
        <v>22</v>
      </c>
    </row>
    <row r="3031" spans="1:22">
      <c r="A3031" t="str">
        <f t="shared" si="551"/>
        <v>18/03/2026</v>
      </c>
      <c r="B3031" t="str">
        <f>"ENTRADA"</f>
        <v>ENTRADA</v>
      </c>
      <c r="C3031" t="str">
        <f>"DINHEIRO"</f>
        <v>DINHEIRO</v>
      </c>
      <c r="D3031" t="str">
        <f>"19032026"</f>
        <v>19032026</v>
      </c>
      <c r="E3031" t="str">
        <f>""</f>
        <v/>
      </c>
      <c r="F3031" t="str">
        <f t="shared" si="554"/>
        <v>COM</v>
      </c>
      <c r="G3031" t="str">
        <f>"ELIENAI ROSA DO NASCIMENTO (343)"</f>
        <v>ELIENAI ROSA DO NASCIMENTO (343)</v>
      </c>
      <c r="H3031" t="str">
        <f>"REELMBOLSO CERTIFICADO DIGITAL 1/2"</f>
        <v>REELMBOLSO CERTIFICADO DIGITAL 1/2</v>
      </c>
      <c r="I3031" t="str">
        <f t="shared" si="555"/>
        <v>19/03/2026</v>
      </c>
      <c r="J3031" t="str">
        <f>("18/03/2026")</f>
        <v>18/03/2026</v>
      </c>
      <c r="K3031" t="str">
        <f>("18/03/2026")</f>
        <v>18/03/2026</v>
      </c>
      <c r="L3031">
        <v>60</v>
      </c>
      <c r="M3031">
        <v>60</v>
      </c>
      <c r="N3031">
        <v>108</v>
      </c>
      <c r="O3031" t="str">
        <f>"RECEITAS COM REEMBOLSOS"</f>
        <v>RECEITAS COM REEMBOLSOS</v>
      </c>
      <c r="P3031">
        <v>60</v>
      </c>
      <c r="S3031" t="str">
        <f>"RECEITAS COM REEMBOLSOS (108)"</f>
        <v>RECEITAS COM REEMBOLSOS (108)</v>
      </c>
      <c r="T3031">
        <v>31239</v>
      </c>
      <c r="U3031">
        <v>35538</v>
      </c>
      <c r="V3031" t="s">
        <v>22</v>
      </c>
    </row>
    <row r="3032" spans="1:22">
      <c r="A3032" t="str">
        <f t="shared" si="551"/>
        <v>18/03/2026</v>
      </c>
      <c r="B3032" t="str">
        <f>"ENTRADA"</f>
        <v>ENTRADA</v>
      </c>
      <c r="C3032" t="str">
        <f>"DINHEIRO"</f>
        <v>DINHEIRO</v>
      </c>
      <c r="D3032" t="str">
        <f>"19032026"</f>
        <v>19032026</v>
      </c>
      <c r="E3032" t="str">
        <f>""</f>
        <v/>
      </c>
      <c r="F3032" t="str">
        <f t="shared" si="554"/>
        <v>COM</v>
      </c>
      <c r="G3032" t="str">
        <f>"ELIENAI ROSA DO NASCIMENTO (343)"</f>
        <v>ELIENAI ROSA DO NASCIMENTO (343)</v>
      </c>
      <c r="H3032" t="s">
        <v>913</v>
      </c>
      <c r="I3032" t="str">
        <f t="shared" si="555"/>
        <v>19/03/2026</v>
      </c>
      <c r="J3032" t="str">
        <f>("18/03/2026")</f>
        <v>18/03/2026</v>
      </c>
      <c r="K3032">
        <v>46099</v>
      </c>
      <c r="N3032">
        <v>108</v>
      </c>
      <c r="O3032" t="s">
        <v>871</v>
      </c>
      <c r="Q3032">
        <v>60</v>
      </c>
      <c r="R3032" t="str">
        <f>"ELIENAI ROSA DO NASCIMENTO (343)"</f>
        <v>ELIENAI ROSA DO NASCIMENTO (343)</v>
      </c>
      <c r="S3032" t="s">
        <v>872</v>
      </c>
      <c r="T3032">
        <v>31239</v>
      </c>
      <c r="U3032">
        <v>35538</v>
      </c>
      <c r="V3032" t="s">
        <v>22</v>
      </c>
    </row>
    <row r="3033" spans="1:22">
      <c r="A3033" t="str">
        <f t="shared" si="551"/>
        <v>18/03/2026</v>
      </c>
      <c r="B3033" t="str">
        <f>"ENTRADA"</f>
        <v>ENTRADA</v>
      </c>
      <c r="C3033" t="str">
        <f>"DINHEIRO"</f>
        <v>DINHEIRO</v>
      </c>
      <c r="D3033" t="str">
        <f>"19032026"</f>
        <v>19032026</v>
      </c>
      <c r="E3033" t="str">
        <f>""</f>
        <v/>
      </c>
      <c r="F3033" t="str">
        <f t="shared" si="554"/>
        <v>COM</v>
      </c>
      <c r="G3033" t="str">
        <f>"ALAN COSTA SILVA (994)"</f>
        <v>ALAN COSTA SILVA (994)</v>
      </c>
      <c r="H3033" t="str">
        <f>"REELMBOLSO CERTIFICADO DIGITAL 1/2"</f>
        <v>REELMBOLSO CERTIFICADO DIGITAL 1/2</v>
      </c>
      <c r="I3033" t="str">
        <f t="shared" si="555"/>
        <v>19/03/2026</v>
      </c>
      <c r="J3033" t="str">
        <f>("18/03/2026")</f>
        <v>18/03/2026</v>
      </c>
      <c r="K3033" t="str">
        <f>("18/03/2026")</f>
        <v>18/03/2026</v>
      </c>
      <c r="L3033">
        <v>60</v>
      </c>
      <c r="M3033">
        <v>60</v>
      </c>
      <c r="N3033">
        <v>108</v>
      </c>
      <c r="O3033" t="str">
        <f>"RECEITAS COM REEMBOLSOS"</f>
        <v>RECEITAS COM REEMBOLSOS</v>
      </c>
      <c r="P3033">
        <v>60</v>
      </c>
      <c r="S3033" t="str">
        <f>"RECEITAS COM REEMBOLSOS (108)"</f>
        <v>RECEITAS COM REEMBOLSOS (108)</v>
      </c>
      <c r="T3033">
        <v>31240</v>
      </c>
      <c r="U3033">
        <v>35543</v>
      </c>
      <c r="V3033" t="s">
        <v>22</v>
      </c>
    </row>
    <row r="3034" spans="1:22">
      <c r="A3034" t="str">
        <f t="shared" si="551"/>
        <v>18/03/2026</v>
      </c>
      <c r="B3034" t="str">
        <f>"ENTRADA"</f>
        <v>ENTRADA</v>
      </c>
      <c r="C3034" t="str">
        <f>"DINHEIRO"</f>
        <v>DINHEIRO</v>
      </c>
      <c r="D3034" t="str">
        <f>"19032026"</f>
        <v>19032026</v>
      </c>
      <c r="E3034" t="str">
        <f>""</f>
        <v/>
      </c>
      <c r="F3034" t="str">
        <f t="shared" si="554"/>
        <v>COM</v>
      </c>
      <c r="G3034" t="str">
        <f>"ALAN COSTA SILVA (994)"</f>
        <v>ALAN COSTA SILVA (994)</v>
      </c>
      <c r="H3034" t="s">
        <v>913</v>
      </c>
      <c r="I3034" t="str">
        <f t="shared" si="555"/>
        <v>19/03/2026</v>
      </c>
      <c r="J3034" t="str">
        <f>("18/03/2026")</f>
        <v>18/03/2026</v>
      </c>
      <c r="K3034">
        <v>46099</v>
      </c>
      <c r="N3034">
        <v>108</v>
      </c>
      <c r="O3034" t="s">
        <v>871</v>
      </c>
      <c r="Q3034">
        <v>60</v>
      </c>
      <c r="R3034" t="str">
        <f>"ALAN COSTA SILVA (994)"</f>
        <v>ALAN COSTA SILVA (994)</v>
      </c>
      <c r="S3034" t="s">
        <v>872</v>
      </c>
      <c r="T3034">
        <v>31240</v>
      </c>
      <c r="U3034">
        <v>35543</v>
      </c>
      <c r="V3034" t="s">
        <v>22</v>
      </c>
    </row>
    <row r="3035" spans="1:22">
      <c r="A3035" t="str">
        <f t="shared" si="551"/>
        <v>18/03/2026</v>
      </c>
      <c r="B3035" t="str">
        <f>"SAÍDA"</f>
        <v>SAÍDA</v>
      </c>
      <c r="C3035" t="str">
        <f>"PIX"</f>
        <v>PIX</v>
      </c>
      <c r="D3035" t="str">
        <f>"35017"</f>
        <v>35017</v>
      </c>
      <c r="E3035" t="str">
        <f>"1"</f>
        <v>1</v>
      </c>
      <c r="F3035" t="str">
        <f t="shared" si="554"/>
        <v>COM</v>
      </c>
      <c r="G3035" t="str">
        <f>"ALAN COSTA SILVA (994)"</f>
        <v>ALAN COSTA SILVA (994)</v>
      </c>
      <c r="H3035" t="str">
        <f>"Serv.Prest. 09/03/2026 a 15/03/2026 - PIX: CELULAR - CHAVE: (11) 98484-6837"</f>
        <v>Serv.Prest. 09/03/2026 a 15/03/2026 - PIX: CELULAR - CHAVE: (11) 98484-6837</v>
      </c>
      <c r="I3035" t="str">
        <f t="shared" si="555"/>
        <v>19/03/2026</v>
      </c>
      <c r="J3035" t="str">
        <f>("17/03/2026")</f>
        <v>17/03/2026</v>
      </c>
      <c r="K3035" t="str">
        <f>("18/03/2026")</f>
        <v>18/03/2026</v>
      </c>
      <c r="L3035">
        <v>60</v>
      </c>
      <c r="M3035">
        <v>60</v>
      </c>
      <c r="N3035">
        <v>109</v>
      </c>
      <c r="O3035" t="str">
        <f>"PAGAMENTO DE ENTREGADORES"</f>
        <v>PAGAMENTO DE ENTREGADORES</v>
      </c>
      <c r="P3035">
        <v>60</v>
      </c>
      <c r="S3035" t="str">
        <f>"CAIXA MOVIMENTAÇÃO OPERACIONAL (132)"</f>
        <v>CAIXA MOVIMENTAÇÃO OPERACIONAL (132)</v>
      </c>
      <c r="T3035">
        <v>31241</v>
      </c>
      <c r="U3035">
        <v>35545</v>
      </c>
      <c r="V3035" t="s">
        <v>22</v>
      </c>
    </row>
    <row r="3036" spans="1:22">
      <c r="A3036" t="str">
        <f t="shared" si="551"/>
        <v>18/03/2026</v>
      </c>
      <c r="B3036" t="str">
        <f>"SAÍDA"</f>
        <v>SAÍDA</v>
      </c>
      <c r="C3036" t="str">
        <f>"PIX"</f>
        <v>PIX</v>
      </c>
      <c r="D3036" t="str">
        <f>"35017"</f>
        <v>35017</v>
      </c>
      <c r="E3036" t="str">
        <f>"1"</f>
        <v>1</v>
      </c>
      <c r="F3036" t="str">
        <f t="shared" si="554"/>
        <v>COM</v>
      </c>
      <c r="G3036" t="str">
        <f>"ALAN COSTA SILVA (994)"</f>
        <v>ALAN COSTA SILVA (994)</v>
      </c>
      <c r="H3036" t="s">
        <v>826</v>
      </c>
      <c r="I3036" t="str">
        <f t="shared" si="555"/>
        <v>19/03/2026</v>
      </c>
      <c r="J3036" t="str">
        <f>("17/03/2026")</f>
        <v>17/03/2026</v>
      </c>
      <c r="K3036">
        <v>46099</v>
      </c>
      <c r="N3036">
        <v>109</v>
      </c>
      <c r="O3036" t="s">
        <v>27</v>
      </c>
      <c r="Q3036">
        <v>60</v>
      </c>
      <c r="R3036" t="str">
        <f>"PENSE FARMA 19 (10223)"</f>
        <v>PENSE FARMA 19 (10223)</v>
      </c>
      <c r="S3036" t="s">
        <v>22</v>
      </c>
      <c r="T3036">
        <v>31241</v>
      </c>
      <c r="U3036">
        <v>35545</v>
      </c>
      <c r="V3036" t="s">
        <v>22</v>
      </c>
    </row>
    <row r="3037" spans="1:22">
      <c r="A3037" t="str">
        <f t="shared" si="551"/>
        <v>18/03/2026</v>
      </c>
      <c r="B3037" t="str">
        <f>"SAÍDA"</f>
        <v>SAÍDA</v>
      </c>
      <c r="C3037" t="str">
        <f>"PIX"</f>
        <v>PIX</v>
      </c>
      <c r="D3037" t="str">
        <f>"35032"</f>
        <v>35032</v>
      </c>
      <c r="E3037" t="str">
        <f>"1"</f>
        <v>1</v>
      </c>
      <c r="F3037" t="str">
        <f t="shared" si="554"/>
        <v>COM</v>
      </c>
      <c r="G3037" t="str">
        <f>"MANOEL DE JESUS ALMEIDA (1017)"</f>
        <v>MANOEL DE JESUS ALMEIDA (1017)</v>
      </c>
      <c r="H3037" t="str">
        <f>"Serv.Prest. 09/03/2026 a 15/03/2026 - PIX: CPF - CHAVE: 026.422.254-70"</f>
        <v>Serv.Prest. 09/03/2026 a 15/03/2026 - PIX: CPF - CHAVE: 026.422.254-70</v>
      </c>
      <c r="I3037" t="str">
        <f t="shared" si="555"/>
        <v>19/03/2026</v>
      </c>
      <c r="J3037" t="str">
        <f>("17/03/2026")</f>
        <v>17/03/2026</v>
      </c>
      <c r="K3037" t="str">
        <f>("18/03/2026")</f>
        <v>18/03/2026</v>
      </c>
      <c r="L3037">
        <v>60</v>
      </c>
      <c r="M3037">
        <v>60</v>
      </c>
      <c r="N3037">
        <v>109</v>
      </c>
      <c r="O3037" t="str">
        <f>"PAGAMENTO DE ENTREGADORES"</f>
        <v>PAGAMENTO DE ENTREGADORES</v>
      </c>
      <c r="P3037">
        <v>60</v>
      </c>
      <c r="S3037" t="str">
        <f>"CAIXA MOVIMENTAÇÃO OPERACIONAL (132)"</f>
        <v>CAIXA MOVIMENTAÇÃO OPERACIONAL (132)</v>
      </c>
      <c r="T3037">
        <v>31242</v>
      </c>
      <c r="U3037">
        <v>35548</v>
      </c>
      <c r="V3037" t="s">
        <v>22</v>
      </c>
    </row>
    <row r="3038" spans="1:22">
      <c r="A3038" t="str">
        <f t="shared" si="551"/>
        <v>18/03/2026</v>
      </c>
      <c r="B3038" t="str">
        <f>"SAÍDA"</f>
        <v>SAÍDA</v>
      </c>
      <c r="C3038" t="str">
        <f>"PIX"</f>
        <v>PIX</v>
      </c>
      <c r="D3038" t="str">
        <f>"35032"</f>
        <v>35032</v>
      </c>
      <c r="E3038" t="str">
        <f>"1"</f>
        <v>1</v>
      </c>
      <c r="F3038" t="str">
        <f t="shared" si="554"/>
        <v>COM</v>
      </c>
      <c r="G3038" t="str">
        <f>"MANOEL DE JESUS ALMEIDA (1017)"</f>
        <v>MANOEL DE JESUS ALMEIDA (1017)</v>
      </c>
      <c r="H3038" t="s">
        <v>889</v>
      </c>
      <c r="I3038" t="str">
        <f t="shared" si="555"/>
        <v>19/03/2026</v>
      </c>
      <c r="J3038" t="str">
        <f>("17/03/2026")</f>
        <v>17/03/2026</v>
      </c>
      <c r="K3038">
        <v>46099</v>
      </c>
      <c r="N3038">
        <v>109</v>
      </c>
      <c r="O3038" t="s">
        <v>27</v>
      </c>
      <c r="Q3038">
        <v>60</v>
      </c>
      <c r="R3038" t="str">
        <f>"PENSE FARMA 27 (10204)"</f>
        <v>PENSE FARMA 27 (10204)</v>
      </c>
      <c r="S3038" t="s">
        <v>22</v>
      </c>
      <c r="T3038">
        <v>31242</v>
      </c>
      <c r="U3038">
        <v>35548</v>
      </c>
      <c r="V3038" t="s">
        <v>22</v>
      </c>
    </row>
    <row r="3039" spans="1:22">
      <c r="A3039" t="str">
        <f t="shared" si="551"/>
        <v>18/03/2026</v>
      </c>
      <c r="B3039" t="str">
        <f>"ENTRADA"</f>
        <v>ENTRADA</v>
      </c>
      <c r="C3039" t="str">
        <f>"DINHEIRO"</f>
        <v>DINHEIRO</v>
      </c>
      <c r="D3039" t="str">
        <f>"19032026"</f>
        <v>19032026</v>
      </c>
      <c r="E3039" t="str">
        <f>""</f>
        <v/>
      </c>
      <c r="F3039" t="str">
        <f t="shared" si="554"/>
        <v>COM</v>
      </c>
      <c r="G3039" t="str">
        <f>"MANOEL DE JESUS ALMEIDA (1017)"</f>
        <v>MANOEL DE JESUS ALMEIDA (1017)</v>
      </c>
      <c r="H3039" t="str">
        <f>"REELMBOLSO CERTIFICADO DIGITAL 1/2"</f>
        <v>REELMBOLSO CERTIFICADO DIGITAL 1/2</v>
      </c>
      <c r="I3039" t="str">
        <f t="shared" si="555"/>
        <v>19/03/2026</v>
      </c>
      <c r="J3039" t="str">
        <f>("18/03/2026")</f>
        <v>18/03/2026</v>
      </c>
      <c r="K3039" t="str">
        <f>("18/03/2026")</f>
        <v>18/03/2026</v>
      </c>
      <c r="L3039">
        <v>60</v>
      </c>
      <c r="M3039">
        <v>60</v>
      </c>
      <c r="N3039">
        <v>108</v>
      </c>
      <c r="O3039" t="str">
        <f>"RECEITAS COM REEMBOLSOS"</f>
        <v>RECEITAS COM REEMBOLSOS</v>
      </c>
      <c r="P3039">
        <v>60</v>
      </c>
      <c r="S3039" t="str">
        <f>"RECEITAS COM REEMBOLSOS (108)"</f>
        <v>RECEITAS COM REEMBOLSOS (108)</v>
      </c>
      <c r="T3039">
        <v>31243</v>
      </c>
      <c r="U3039">
        <v>35546</v>
      </c>
      <c r="V3039" t="s">
        <v>22</v>
      </c>
    </row>
    <row r="3040" spans="1:22">
      <c r="A3040" t="str">
        <f t="shared" si="551"/>
        <v>18/03/2026</v>
      </c>
      <c r="B3040" t="str">
        <f>"ENTRADA"</f>
        <v>ENTRADA</v>
      </c>
      <c r="C3040" t="str">
        <f>"DINHEIRO"</f>
        <v>DINHEIRO</v>
      </c>
      <c r="D3040" t="str">
        <f>"19032026"</f>
        <v>19032026</v>
      </c>
      <c r="E3040" t="str">
        <f>""</f>
        <v/>
      </c>
      <c r="F3040" t="str">
        <f t="shared" si="554"/>
        <v>COM</v>
      </c>
      <c r="G3040" t="str">
        <f>"MANOEL DE JESUS ALMEIDA (1017)"</f>
        <v>MANOEL DE JESUS ALMEIDA (1017)</v>
      </c>
      <c r="H3040" t="s">
        <v>913</v>
      </c>
      <c r="I3040" t="str">
        <f t="shared" si="555"/>
        <v>19/03/2026</v>
      </c>
      <c r="J3040" t="str">
        <f>("18/03/2026")</f>
        <v>18/03/2026</v>
      </c>
      <c r="K3040">
        <v>46099</v>
      </c>
      <c r="N3040">
        <v>108</v>
      </c>
      <c r="O3040" t="s">
        <v>871</v>
      </c>
      <c r="Q3040">
        <v>60</v>
      </c>
      <c r="R3040" t="str">
        <f>"MANOEL DE JESUS ALMEIDA (1017)"</f>
        <v>MANOEL DE JESUS ALMEIDA (1017)</v>
      </c>
      <c r="S3040" t="s">
        <v>872</v>
      </c>
      <c r="T3040">
        <v>31243</v>
      </c>
      <c r="U3040">
        <v>35546</v>
      </c>
      <c r="V3040" t="s">
        <v>22</v>
      </c>
    </row>
    <row r="3041" spans="1:22">
      <c r="A3041" t="str">
        <f t="shared" si="551"/>
        <v>18/03/2026</v>
      </c>
      <c r="B3041" t="str">
        <f>"SAÍDA"</f>
        <v>SAÍDA</v>
      </c>
      <c r="C3041" t="str">
        <f>"PIX"</f>
        <v>PIX</v>
      </c>
      <c r="D3041" t="str">
        <f>"35084"</f>
        <v>35084</v>
      </c>
      <c r="E3041" t="str">
        <f>"1"</f>
        <v>1</v>
      </c>
      <c r="F3041" t="str">
        <f t="shared" si="554"/>
        <v>COM</v>
      </c>
      <c r="G3041" t="str">
        <f>"MARCOS VINICIUS CORREIA JULI??O (1001)"</f>
        <v>MARCOS VINICIUS CORREIA JULI??O (1001)</v>
      </c>
      <c r="H3041" t="str">
        <f>"Serv.Prest. 09/03/2026 a 15/03/2026 - PIX: CELULAR - CHAVE: (11) 98144-5840"</f>
        <v>Serv.Prest. 09/03/2026 a 15/03/2026 - PIX: CELULAR - CHAVE: (11) 98144-5840</v>
      </c>
      <c r="I3041" t="str">
        <f t="shared" si="555"/>
        <v>19/03/2026</v>
      </c>
      <c r="J3041" t="str">
        <f>("17/03/2026")</f>
        <v>17/03/2026</v>
      </c>
      <c r="K3041" t="str">
        <f>("18/03/2026")</f>
        <v>18/03/2026</v>
      </c>
      <c r="L3041">
        <v>60</v>
      </c>
      <c r="M3041">
        <v>60</v>
      </c>
      <c r="N3041">
        <v>109</v>
      </c>
      <c r="O3041" t="str">
        <f>"PAGAMENTO DE ENTREGADORES"</f>
        <v>PAGAMENTO DE ENTREGADORES</v>
      </c>
      <c r="P3041">
        <v>60</v>
      </c>
      <c r="S3041" t="str">
        <f>"CAIXA MOVIMENTAÇÃO OPERACIONAL (132)"</f>
        <v>CAIXA MOVIMENTAÇÃO OPERACIONAL (132)</v>
      </c>
      <c r="T3041">
        <v>31244</v>
      </c>
      <c r="U3041">
        <v>35551</v>
      </c>
      <c r="V3041" t="s">
        <v>22</v>
      </c>
    </row>
    <row r="3042" spans="1:22">
      <c r="A3042" t="str">
        <f t="shared" si="551"/>
        <v>18/03/2026</v>
      </c>
      <c r="B3042" t="str">
        <f>"SAÍDA"</f>
        <v>SAÍDA</v>
      </c>
      <c r="C3042" t="str">
        <f>"PIX"</f>
        <v>PIX</v>
      </c>
      <c r="D3042" t="str">
        <f>"35084"</f>
        <v>35084</v>
      </c>
      <c r="E3042" t="str">
        <f>"1"</f>
        <v>1</v>
      </c>
      <c r="F3042" t="str">
        <f t="shared" si="554"/>
        <v>COM</v>
      </c>
      <c r="G3042" t="str">
        <f>"MARCOS VINICIUS CORREIA JULI??O (1001)"</f>
        <v>MARCOS VINICIUS CORREIA JULI??O (1001)</v>
      </c>
      <c r="H3042" t="s">
        <v>894</v>
      </c>
      <c r="I3042" t="str">
        <f t="shared" si="555"/>
        <v>19/03/2026</v>
      </c>
      <c r="J3042" t="str">
        <f>("17/03/2026")</f>
        <v>17/03/2026</v>
      </c>
      <c r="K3042">
        <v>46099</v>
      </c>
      <c r="N3042">
        <v>109</v>
      </c>
      <c r="O3042" t="s">
        <v>27</v>
      </c>
      <c r="Q3042">
        <v>60</v>
      </c>
      <c r="R3042" t="str">
        <f>"PENSE FARMA 48 (10233)"</f>
        <v>PENSE FARMA 48 (10233)</v>
      </c>
      <c r="S3042" t="s">
        <v>22</v>
      </c>
      <c r="T3042">
        <v>31244</v>
      </c>
      <c r="U3042">
        <v>35551</v>
      </c>
      <c r="V3042" t="s">
        <v>22</v>
      </c>
    </row>
    <row r="3043" spans="1:22">
      <c r="A3043" t="str">
        <f t="shared" ref="A3043:A3106" si="556">("18/03/2026")</f>
        <v>18/03/2026</v>
      </c>
      <c r="B3043" t="str">
        <f>"ENTRADA"</f>
        <v>ENTRADA</v>
      </c>
      <c r="C3043" t="str">
        <f>"DINHEIRO"</f>
        <v>DINHEIRO</v>
      </c>
      <c r="D3043" t="str">
        <f>"19032026"</f>
        <v>19032026</v>
      </c>
      <c r="E3043" t="str">
        <f>""</f>
        <v/>
      </c>
      <c r="F3043" t="str">
        <f t="shared" si="554"/>
        <v>COM</v>
      </c>
      <c r="G3043" t="str">
        <f>"MARCOS VINICIUS CORREIA JULI??O (1001)"</f>
        <v>MARCOS VINICIUS CORREIA JULI??O (1001)</v>
      </c>
      <c r="H3043" t="str">
        <f>"REELMBOLSO CERTIFICADO DIGITAL 1/2"</f>
        <v>REELMBOLSO CERTIFICADO DIGITAL 1/2</v>
      </c>
      <c r="I3043" t="str">
        <f t="shared" si="555"/>
        <v>19/03/2026</v>
      </c>
      <c r="J3043" t="str">
        <f>("18/03/2026")</f>
        <v>18/03/2026</v>
      </c>
      <c r="K3043" t="str">
        <f>("18/03/2026")</f>
        <v>18/03/2026</v>
      </c>
      <c r="L3043">
        <v>60</v>
      </c>
      <c r="M3043">
        <v>60</v>
      </c>
      <c r="N3043">
        <v>108</v>
      </c>
      <c r="O3043" t="str">
        <f>"RECEITAS COM REEMBOLSOS"</f>
        <v>RECEITAS COM REEMBOLSOS</v>
      </c>
      <c r="P3043">
        <v>60</v>
      </c>
      <c r="S3043" t="str">
        <f>"RECEITAS COM REEMBOLSOS (108)"</f>
        <v>RECEITAS COM REEMBOLSOS (108)</v>
      </c>
      <c r="T3043">
        <v>31245</v>
      </c>
      <c r="U3043">
        <v>35549</v>
      </c>
      <c r="V3043" t="s">
        <v>22</v>
      </c>
    </row>
    <row r="3044" spans="1:22">
      <c r="A3044" t="str">
        <f t="shared" si="556"/>
        <v>18/03/2026</v>
      </c>
      <c r="B3044" t="str">
        <f>"ENTRADA"</f>
        <v>ENTRADA</v>
      </c>
      <c r="C3044" t="str">
        <f>"DINHEIRO"</f>
        <v>DINHEIRO</v>
      </c>
      <c r="D3044" t="str">
        <f>"19032026"</f>
        <v>19032026</v>
      </c>
      <c r="E3044" t="str">
        <f>""</f>
        <v/>
      </c>
      <c r="F3044" t="str">
        <f t="shared" si="554"/>
        <v>COM</v>
      </c>
      <c r="G3044" t="str">
        <f>"MARCOS VINICIUS CORREIA JULI??O (1001)"</f>
        <v>MARCOS VINICIUS CORREIA JULI??O (1001)</v>
      </c>
      <c r="H3044" t="s">
        <v>913</v>
      </c>
      <c r="I3044" t="str">
        <f t="shared" si="555"/>
        <v>19/03/2026</v>
      </c>
      <c r="J3044" t="str">
        <f>("18/03/2026")</f>
        <v>18/03/2026</v>
      </c>
      <c r="K3044">
        <v>46099</v>
      </c>
      <c r="N3044">
        <v>108</v>
      </c>
      <c r="O3044" t="s">
        <v>871</v>
      </c>
      <c r="Q3044">
        <v>60</v>
      </c>
      <c r="R3044" t="str">
        <f>"MARCOS VINICIUS CORREIA JULI??O (1001)"</f>
        <v>MARCOS VINICIUS CORREIA JULI??O (1001)</v>
      </c>
      <c r="S3044" t="s">
        <v>872</v>
      </c>
      <c r="T3044">
        <v>31245</v>
      </c>
      <c r="U3044">
        <v>35549</v>
      </c>
      <c r="V3044" t="s">
        <v>22</v>
      </c>
    </row>
    <row r="3045" spans="1:22">
      <c r="A3045" t="str">
        <f t="shared" si="556"/>
        <v>18/03/2026</v>
      </c>
      <c r="B3045" t="str">
        <f>"SAÍDA"</f>
        <v>SAÍDA</v>
      </c>
      <c r="C3045" t="str">
        <f>"PIX"</f>
        <v>PIX</v>
      </c>
      <c r="D3045" t="str">
        <f>"35086"</f>
        <v>35086</v>
      </c>
      <c r="E3045" t="str">
        <f>"1"</f>
        <v>1</v>
      </c>
      <c r="F3045" t="str">
        <f t="shared" si="554"/>
        <v>COM</v>
      </c>
      <c r="G3045" t="str">
        <f>"VICTOR HUGO SOARES DE PAULA (1021)"</f>
        <v>VICTOR HUGO SOARES DE PAULA (1021)</v>
      </c>
      <c r="H3045" t="str">
        <f>"Serv.Prest. 09/03/2026 a 15/03/2026 - PIX: CELULAR - CHAVE: (11) 98281-4526"</f>
        <v>Serv.Prest. 09/03/2026 a 15/03/2026 - PIX: CELULAR - CHAVE: (11) 98281-4526</v>
      </c>
      <c r="I3045" t="str">
        <f t="shared" si="555"/>
        <v>19/03/2026</v>
      </c>
      <c r="J3045" t="str">
        <f>("17/03/2026")</f>
        <v>17/03/2026</v>
      </c>
      <c r="K3045" t="str">
        <f>("18/03/2026")</f>
        <v>18/03/2026</v>
      </c>
      <c r="L3045">
        <v>60</v>
      </c>
      <c r="M3045">
        <v>60</v>
      </c>
      <c r="N3045">
        <v>109</v>
      </c>
      <c r="O3045" t="str">
        <f>"PAGAMENTO DE ENTREGADORES"</f>
        <v>PAGAMENTO DE ENTREGADORES</v>
      </c>
      <c r="P3045">
        <v>60</v>
      </c>
      <c r="S3045" t="str">
        <f>"CAIXA MOVIMENTAÇÃO OPERACIONAL (132)"</f>
        <v>CAIXA MOVIMENTAÇÃO OPERACIONAL (132)</v>
      </c>
      <c r="T3045">
        <v>31246</v>
      </c>
      <c r="U3045">
        <v>35554</v>
      </c>
      <c r="V3045" t="s">
        <v>22</v>
      </c>
    </row>
    <row r="3046" spans="1:22">
      <c r="A3046" t="str">
        <f t="shared" si="556"/>
        <v>18/03/2026</v>
      </c>
      <c r="B3046" t="str">
        <f>"SAÍDA"</f>
        <v>SAÍDA</v>
      </c>
      <c r="C3046" t="str">
        <f>"PIX"</f>
        <v>PIX</v>
      </c>
      <c r="D3046" t="str">
        <f>"35086"</f>
        <v>35086</v>
      </c>
      <c r="E3046" t="str">
        <f>"1"</f>
        <v>1</v>
      </c>
      <c r="F3046" t="str">
        <f t="shared" si="554"/>
        <v>COM</v>
      </c>
      <c r="G3046" t="str">
        <f>"VICTOR HUGO SOARES DE PAULA (1021)"</f>
        <v>VICTOR HUGO SOARES DE PAULA (1021)</v>
      </c>
      <c r="H3046" t="s">
        <v>921</v>
      </c>
      <c r="I3046" t="str">
        <f t="shared" si="555"/>
        <v>19/03/2026</v>
      </c>
      <c r="J3046" t="str">
        <f>("17/03/2026")</f>
        <v>17/03/2026</v>
      </c>
      <c r="K3046">
        <v>46099</v>
      </c>
      <c r="N3046">
        <v>109</v>
      </c>
      <c r="O3046" t="s">
        <v>27</v>
      </c>
      <c r="Q3046">
        <v>60</v>
      </c>
      <c r="R3046" t="str">
        <f>"PENSE FARMA 48 (10233)"</f>
        <v>PENSE FARMA 48 (10233)</v>
      </c>
      <c r="S3046" t="s">
        <v>22</v>
      </c>
      <c r="T3046">
        <v>31246</v>
      </c>
      <c r="U3046">
        <v>35554</v>
      </c>
      <c r="V3046" t="s">
        <v>22</v>
      </c>
    </row>
    <row r="3047" spans="1:22">
      <c r="A3047" t="str">
        <f t="shared" si="556"/>
        <v>18/03/2026</v>
      </c>
      <c r="B3047" t="str">
        <f>"ENTRADA"</f>
        <v>ENTRADA</v>
      </c>
      <c r="C3047" t="str">
        <f>"DINHEIRO"</f>
        <v>DINHEIRO</v>
      </c>
      <c r="D3047" t="str">
        <f>"19032026"</f>
        <v>19032026</v>
      </c>
      <c r="E3047" t="str">
        <f>""</f>
        <v/>
      </c>
      <c r="F3047" t="str">
        <f t="shared" si="554"/>
        <v>COM</v>
      </c>
      <c r="G3047" t="str">
        <f>"VICTOR HUGO SOARES DE PAULA (1021)"</f>
        <v>VICTOR HUGO SOARES DE PAULA (1021)</v>
      </c>
      <c r="H3047" t="str">
        <f>"REELMBOLSO CERTIFICADO DIGITAL 1/2"</f>
        <v>REELMBOLSO CERTIFICADO DIGITAL 1/2</v>
      </c>
      <c r="I3047" t="str">
        <f t="shared" si="555"/>
        <v>19/03/2026</v>
      </c>
      <c r="J3047" t="str">
        <f>("18/03/2026")</f>
        <v>18/03/2026</v>
      </c>
      <c r="K3047" t="str">
        <f>("18/03/2026")</f>
        <v>18/03/2026</v>
      </c>
      <c r="L3047">
        <v>60</v>
      </c>
      <c r="M3047">
        <v>60</v>
      </c>
      <c r="N3047">
        <v>108</v>
      </c>
      <c r="O3047" t="str">
        <f>"RECEITAS COM REEMBOLSOS"</f>
        <v>RECEITAS COM REEMBOLSOS</v>
      </c>
      <c r="P3047">
        <v>60</v>
      </c>
      <c r="S3047" t="str">
        <f>"RECEITAS COM REEMBOLSOS (108)"</f>
        <v>RECEITAS COM REEMBOLSOS (108)</v>
      </c>
      <c r="T3047">
        <v>31247</v>
      </c>
      <c r="U3047">
        <v>35552</v>
      </c>
      <c r="V3047" t="s">
        <v>22</v>
      </c>
    </row>
    <row r="3048" spans="1:22">
      <c r="A3048" t="str">
        <f t="shared" si="556"/>
        <v>18/03/2026</v>
      </c>
      <c r="B3048" t="str">
        <f>"ENTRADA"</f>
        <v>ENTRADA</v>
      </c>
      <c r="C3048" t="str">
        <f>"DINHEIRO"</f>
        <v>DINHEIRO</v>
      </c>
      <c r="D3048" t="str">
        <f>"19032026"</f>
        <v>19032026</v>
      </c>
      <c r="E3048" t="str">
        <f>""</f>
        <v/>
      </c>
      <c r="F3048" t="str">
        <f t="shared" si="554"/>
        <v>COM</v>
      </c>
      <c r="G3048" t="str">
        <f>"VICTOR HUGO SOARES DE PAULA (1021)"</f>
        <v>VICTOR HUGO SOARES DE PAULA (1021)</v>
      </c>
      <c r="H3048" t="s">
        <v>913</v>
      </c>
      <c r="I3048" t="str">
        <f t="shared" si="555"/>
        <v>19/03/2026</v>
      </c>
      <c r="J3048" t="str">
        <f>("18/03/2026")</f>
        <v>18/03/2026</v>
      </c>
      <c r="K3048">
        <v>46099</v>
      </c>
      <c r="N3048">
        <v>108</v>
      </c>
      <c r="O3048" t="s">
        <v>871</v>
      </c>
      <c r="Q3048">
        <v>60</v>
      </c>
      <c r="R3048" t="str">
        <f>"VICTOR HUGO SOARES DE PAULA (1021)"</f>
        <v>VICTOR HUGO SOARES DE PAULA (1021)</v>
      </c>
      <c r="S3048" t="s">
        <v>872</v>
      </c>
      <c r="T3048">
        <v>31247</v>
      </c>
      <c r="U3048">
        <v>35552</v>
      </c>
      <c r="V3048" t="s">
        <v>22</v>
      </c>
    </row>
    <row r="3049" spans="1:22">
      <c r="A3049" t="str">
        <f t="shared" si="556"/>
        <v>18/03/2026</v>
      </c>
      <c r="B3049" t="str">
        <f>"SAÍDA"</f>
        <v>SAÍDA</v>
      </c>
      <c r="C3049" t="str">
        <f>"PIX"</f>
        <v>PIX</v>
      </c>
      <c r="D3049" t="str">
        <f>"34613"</f>
        <v>34613</v>
      </c>
      <c r="E3049" t="str">
        <f>"1"</f>
        <v>1</v>
      </c>
      <c r="F3049" t="str">
        <f t="shared" si="554"/>
        <v>COM</v>
      </c>
      <c r="G3049" t="str">
        <f t="shared" ref="G3049:G3054" si="557">"MAYCON GUILHERME DUARTE (541)"</f>
        <v>MAYCON GUILHERME DUARTE (541)</v>
      </c>
      <c r="H3049" t="str">
        <f>"Serv.Prest. 02/03/2026 a 08/03/2026 - PIX: CELULAR - CHAVE: (31) 99076-6539"</f>
        <v>Serv.Prest. 02/03/2026 a 08/03/2026 - PIX: CELULAR - CHAVE: (31) 99076-6539</v>
      </c>
      <c r="I3049" t="str">
        <f t="shared" si="555"/>
        <v>19/03/2026</v>
      </c>
      <c r="J3049" t="str">
        <f>("10/03/2026")</f>
        <v>10/03/2026</v>
      </c>
      <c r="K3049" t="str">
        <f>("18/03/2026")</f>
        <v>18/03/2026</v>
      </c>
      <c r="L3049">
        <v>20</v>
      </c>
      <c r="M3049">
        <v>20</v>
      </c>
      <c r="N3049">
        <v>109</v>
      </c>
      <c r="O3049" t="str">
        <f>"PAGAMENTO DE ENTREGADORES"</f>
        <v>PAGAMENTO DE ENTREGADORES</v>
      </c>
      <c r="P3049">
        <v>20</v>
      </c>
      <c r="S3049" t="str">
        <f>"CAIXA MOVIMENTAÇÃO OPERACIONAL (132)"</f>
        <v>CAIXA MOVIMENTAÇÃO OPERACIONAL (132)</v>
      </c>
      <c r="T3049">
        <v>31248</v>
      </c>
      <c r="U3049">
        <v>35353</v>
      </c>
      <c r="V3049" t="s">
        <v>22</v>
      </c>
    </row>
    <row r="3050" spans="1:22">
      <c r="A3050" t="str">
        <f t="shared" si="556"/>
        <v>18/03/2026</v>
      </c>
      <c r="B3050" t="str">
        <f>"SAÍDA"</f>
        <v>SAÍDA</v>
      </c>
      <c r="C3050" t="str">
        <f>"PIX"</f>
        <v>PIX</v>
      </c>
      <c r="D3050" t="str">
        <f>"34613"</f>
        <v>34613</v>
      </c>
      <c r="E3050" t="str">
        <f>"1"</f>
        <v>1</v>
      </c>
      <c r="F3050" t="str">
        <f t="shared" si="554"/>
        <v>COM</v>
      </c>
      <c r="G3050" t="str">
        <f t="shared" si="557"/>
        <v>MAYCON GUILHERME DUARTE (541)</v>
      </c>
      <c r="H3050" t="s">
        <v>922</v>
      </c>
      <c r="I3050" t="str">
        <f t="shared" si="555"/>
        <v>19/03/2026</v>
      </c>
      <c r="J3050" t="str">
        <f>("10/03/2026")</f>
        <v>10/03/2026</v>
      </c>
      <c r="K3050">
        <v>46099</v>
      </c>
      <c r="N3050">
        <v>109</v>
      </c>
      <c r="O3050" t="s">
        <v>27</v>
      </c>
      <c r="Q3050">
        <v>20</v>
      </c>
      <c r="R3050" t="str">
        <f>"FARMÁCIA INDIANA LJ 220 (10092)"</f>
        <v>FARMÁCIA INDIANA LJ 220 (10092)</v>
      </c>
      <c r="S3050" t="s">
        <v>22</v>
      </c>
      <c r="T3050">
        <v>31248</v>
      </c>
      <c r="U3050">
        <v>35353</v>
      </c>
      <c r="V3050" t="s">
        <v>22</v>
      </c>
    </row>
    <row r="3051" spans="1:22">
      <c r="A3051" t="str">
        <f t="shared" si="556"/>
        <v>18/03/2026</v>
      </c>
      <c r="B3051" t="str">
        <f>"SAÍDA"</f>
        <v>SAÍDA</v>
      </c>
      <c r="C3051" t="str">
        <f>"PIX"</f>
        <v>PIX</v>
      </c>
      <c r="D3051" t="str">
        <f>"34613"</f>
        <v>34613</v>
      </c>
      <c r="E3051" t="str">
        <f>"1"</f>
        <v>1</v>
      </c>
      <c r="F3051" t="str">
        <f t="shared" si="554"/>
        <v>COM</v>
      </c>
      <c r="G3051" t="str">
        <f t="shared" si="557"/>
        <v>MAYCON GUILHERME DUARTE (541)</v>
      </c>
      <c r="H3051" t="str">
        <f>"Serv.Prest. 02/03/2026 a 08/03/2026 - PIX: CELULAR - CHAVE: (31) 99076-6539"</f>
        <v>Serv.Prest. 02/03/2026 a 08/03/2026 - PIX: CELULAR - CHAVE: (31) 99076-6539</v>
      </c>
      <c r="I3051" t="str">
        <f t="shared" si="555"/>
        <v>19/03/2026</v>
      </c>
      <c r="J3051" t="str">
        <f>("10/03/2026")</f>
        <v>10/03/2026</v>
      </c>
      <c r="K3051" t="str">
        <f>("18/03/2026")</f>
        <v>18/03/2026</v>
      </c>
      <c r="L3051">
        <v>60</v>
      </c>
      <c r="M3051">
        <v>60</v>
      </c>
      <c r="N3051">
        <v>109</v>
      </c>
      <c r="O3051" t="str">
        <f>"PAGAMENTO DE ENTREGADORES"</f>
        <v>PAGAMENTO DE ENTREGADORES</v>
      </c>
      <c r="P3051">
        <v>60</v>
      </c>
      <c r="S3051" t="str">
        <f>"CAIXA MOVIMENTAÇÃO OPERACIONAL (132)"</f>
        <v>CAIXA MOVIMENTAÇÃO OPERACIONAL (132)</v>
      </c>
      <c r="T3051">
        <v>31249</v>
      </c>
      <c r="U3051">
        <v>35557</v>
      </c>
      <c r="V3051" t="s">
        <v>22</v>
      </c>
    </row>
    <row r="3052" spans="1:22">
      <c r="A3052" t="str">
        <f t="shared" si="556"/>
        <v>18/03/2026</v>
      </c>
      <c r="B3052" t="str">
        <f>"SAÍDA"</f>
        <v>SAÍDA</v>
      </c>
      <c r="C3052" t="str">
        <f>"PIX"</f>
        <v>PIX</v>
      </c>
      <c r="D3052" t="str">
        <f>"34613"</f>
        <v>34613</v>
      </c>
      <c r="E3052" t="str">
        <f>"1"</f>
        <v>1</v>
      </c>
      <c r="F3052" t="str">
        <f t="shared" si="554"/>
        <v>COM</v>
      </c>
      <c r="G3052" t="str">
        <f t="shared" si="557"/>
        <v>MAYCON GUILHERME DUARTE (541)</v>
      </c>
      <c r="H3052" t="s">
        <v>922</v>
      </c>
      <c r="I3052" t="str">
        <f t="shared" si="555"/>
        <v>19/03/2026</v>
      </c>
      <c r="J3052" t="str">
        <f>("10/03/2026")</f>
        <v>10/03/2026</v>
      </c>
      <c r="K3052">
        <v>46099</v>
      </c>
      <c r="N3052">
        <v>109</v>
      </c>
      <c r="O3052" t="s">
        <v>27</v>
      </c>
      <c r="Q3052">
        <v>60</v>
      </c>
      <c r="R3052" t="str">
        <f>"FARMÁCIA INDIANA LJ 220 (10092)"</f>
        <v>FARMÁCIA INDIANA LJ 220 (10092)</v>
      </c>
      <c r="S3052" t="s">
        <v>22</v>
      </c>
      <c r="T3052">
        <v>31249</v>
      </c>
      <c r="U3052">
        <v>35557</v>
      </c>
      <c r="V3052" t="s">
        <v>22</v>
      </c>
    </row>
    <row r="3053" spans="1:22">
      <c r="A3053" t="str">
        <f t="shared" si="556"/>
        <v>18/03/2026</v>
      </c>
      <c r="B3053" t="str">
        <f>"ENTRADA"</f>
        <v>ENTRADA</v>
      </c>
      <c r="C3053" t="str">
        <f>"DINHEIRO"</f>
        <v>DINHEIRO</v>
      </c>
      <c r="D3053" t="str">
        <f>"19032026"</f>
        <v>19032026</v>
      </c>
      <c r="E3053" t="str">
        <f>""</f>
        <v/>
      </c>
      <c r="F3053" t="str">
        <f t="shared" si="554"/>
        <v>COM</v>
      </c>
      <c r="G3053" t="str">
        <f t="shared" si="557"/>
        <v>MAYCON GUILHERME DUARTE (541)</v>
      </c>
      <c r="H3053" t="str">
        <f>"REELMBOLSO CERTIFICADO DIGITAL 1/2"</f>
        <v>REELMBOLSO CERTIFICADO DIGITAL 1/2</v>
      </c>
      <c r="I3053" t="str">
        <f t="shared" si="555"/>
        <v>19/03/2026</v>
      </c>
      <c r="J3053" t="str">
        <f>("18/03/2026")</f>
        <v>18/03/2026</v>
      </c>
      <c r="K3053" t="str">
        <f>("18/03/2026")</f>
        <v>18/03/2026</v>
      </c>
      <c r="L3053">
        <v>60</v>
      </c>
      <c r="M3053">
        <v>60</v>
      </c>
      <c r="N3053">
        <v>108</v>
      </c>
      <c r="O3053" t="str">
        <f>"RECEITAS COM REEMBOLSOS"</f>
        <v>RECEITAS COM REEMBOLSOS</v>
      </c>
      <c r="P3053">
        <v>60</v>
      </c>
      <c r="S3053" t="str">
        <f>"RECEITAS COM REEMBOLSOS (108)"</f>
        <v>RECEITAS COM REEMBOLSOS (108)</v>
      </c>
      <c r="T3053">
        <v>31250</v>
      </c>
      <c r="U3053">
        <v>35555</v>
      </c>
      <c r="V3053" t="s">
        <v>22</v>
      </c>
    </row>
    <row r="3054" spans="1:22">
      <c r="A3054" t="str">
        <f t="shared" si="556"/>
        <v>18/03/2026</v>
      </c>
      <c r="B3054" t="str">
        <f>"ENTRADA"</f>
        <v>ENTRADA</v>
      </c>
      <c r="C3054" t="str">
        <f>"DINHEIRO"</f>
        <v>DINHEIRO</v>
      </c>
      <c r="D3054" t="str">
        <f>"19032026"</f>
        <v>19032026</v>
      </c>
      <c r="E3054" t="str">
        <f>""</f>
        <v/>
      </c>
      <c r="F3054" t="str">
        <f t="shared" si="554"/>
        <v>COM</v>
      </c>
      <c r="G3054" t="str">
        <f t="shared" si="557"/>
        <v>MAYCON GUILHERME DUARTE (541)</v>
      </c>
      <c r="H3054" t="s">
        <v>913</v>
      </c>
      <c r="I3054" t="str">
        <f t="shared" si="555"/>
        <v>19/03/2026</v>
      </c>
      <c r="J3054" t="str">
        <f>("18/03/2026")</f>
        <v>18/03/2026</v>
      </c>
      <c r="K3054">
        <v>46099</v>
      </c>
      <c r="N3054">
        <v>108</v>
      </c>
      <c r="O3054" t="s">
        <v>871</v>
      </c>
      <c r="Q3054">
        <v>60</v>
      </c>
      <c r="R3054" t="str">
        <f>"MAYCON GUILHERME DUARTE (541)"</f>
        <v>MAYCON GUILHERME DUARTE (541)</v>
      </c>
      <c r="S3054" t="s">
        <v>872</v>
      </c>
      <c r="T3054">
        <v>31250</v>
      </c>
      <c r="U3054">
        <v>35555</v>
      </c>
      <c r="V3054" t="s">
        <v>22</v>
      </c>
    </row>
    <row r="3055" spans="1:22">
      <c r="A3055" t="str">
        <f t="shared" si="556"/>
        <v>18/03/2026</v>
      </c>
      <c r="B3055" t="str">
        <f>"SAÍDA"</f>
        <v>SAÍDA</v>
      </c>
      <c r="C3055" t="str">
        <f>"PIX"</f>
        <v>PIX</v>
      </c>
      <c r="D3055" t="str">
        <f>"34971"</f>
        <v>34971</v>
      </c>
      <c r="E3055" t="str">
        <f>"1"</f>
        <v>1</v>
      </c>
      <c r="F3055" t="str">
        <f t="shared" si="554"/>
        <v>COM</v>
      </c>
      <c r="G3055" t="str">
        <f>"AMANDA LUCIO FERNANDES (1138)"</f>
        <v>AMANDA LUCIO FERNANDES (1138)</v>
      </c>
      <c r="H3055" t="str">
        <f>"Serv.Prest. 09/03/2026 a 15/03/2026 - PIX: CELULAR - CHAVE: (28) 99904-4082"</f>
        <v>Serv.Prest. 09/03/2026 a 15/03/2026 - PIX: CELULAR - CHAVE: (28) 99904-4082</v>
      </c>
      <c r="I3055" t="str">
        <f t="shared" si="555"/>
        <v>19/03/2026</v>
      </c>
      <c r="J3055" t="str">
        <f>("16/03/2026")</f>
        <v>16/03/2026</v>
      </c>
      <c r="K3055" t="str">
        <f>("18/03/2026")</f>
        <v>18/03/2026</v>
      </c>
      <c r="L3055">
        <v>60</v>
      </c>
      <c r="M3055">
        <v>60</v>
      </c>
      <c r="N3055">
        <v>109</v>
      </c>
      <c r="O3055" t="str">
        <f>"PAGAMENTO DE ENTREGADORES"</f>
        <v>PAGAMENTO DE ENTREGADORES</v>
      </c>
      <c r="P3055">
        <v>60</v>
      </c>
      <c r="S3055" t="str">
        <f>"CAIXA MOVIMENTAÇÃO OPERACIONAL (132)"</f>
        <v>CAIXA MOVIMENTAÇÃO OPERACIONAL (132)</v>
      </c>
      <c r="T3055">
        <v>31251</v>
      </c>
      <c r="U3055">
        <v>35560</v>
      </c>
      <c r="V3055" t="s">
        <v>22</v>
      </c>
    </row>
    <row r="3056" spans="1:22">
      <c r="A3056" t="str">
        <f t="shared" si="556"/>
        <v>18/03/2026</v>
      </c>
      <c r="B3056" t="str">
        <f>"SAÍDA"</f>
        <v>SAÍDA</v>
      </c>
      <c r="C3056" t="str">
        <f>"PIX"</f>
        <v>PIX</v>
      </c>
      <c r="D3056" t="str">
        <f>"34971"</f>
        <v>34971</v>
      </c>
      <c r="E3056" t="str">
        <f>"1"</f>
        <v>1</v>
      </c>
      <c r="F3056" t="str">
        <f t="shared" si="554"/>
        <v>COM</v>
      </c>
      <c r="G3056" t="str">
        <f>"AMANDA LUCIO FERNANDES (1138)"</f>
        <v>AMANDA LUCIO FERNANDES (1138)</v>
      </c>
      <c r="H3056" t="s">
        <v>923</v>
      </c>
      <c r="I3056" t="str">
        <f t="shared" si="555"/>
        <v>19/03/2026</v>
      </c>
      <c r="J3056" t="str">
        <f>("16/03/2026")</f>
        <v>16/03/2026</v>
      </c>
      <c r="K3056">
        <v>46099</v>
      </c>
      <c r="N3056">
        <v>109</v>
      </c>
      <c r="O3056" t="s">
        <v>27</v>
      </c>
      <c r="Q3056">
        <v>60</v>
      </c>
      <c r="R3056" t="str">
        <f>"LBL FARMACIA LTDA FILIAL (10192)"</f>
        <v>LBL FARMACIA LTDA FILIAL (10192)</v>
      </c>
      <c r="S3056" t="s">
        <v>22</v>
      </c>
      <c r="T3056">
        <v>31251</v>
      </c>
      <c r="U3056">
        <v>35560</v>
      </c>
      <c r="V3056" t="s">
        <v>22</v>
      </c>
    </row>
    <row r="3057" spans="1:22">
      <c r="A3057" t="str">
        <f t="shared" si="556"/>
        <v>18/03/2026</v>
      </c>
      <c r="B3057" t="str">
        <f>"ENTRADA"</f>
        <v>ENTRADA</v>
      </c>
      <c r="C3057" t="str">
        <f>"DINHEIRO"</f>
        <v>DINHEIRO</v>
      </c>
      <c r="D3057" t="str">
        <f>"19032026"</f>
        <v>19032026</v>
      </c>
      <c r="E3057" t="str">
        <f>""</f>
        <v/>
      </c>
      <c r="F3057" t="str">
        <f t="shared" si="554"/>
        <v>COM</v>
      </c>
      <c r="G3057" t="str">
        <f>"AMANDA LUCIO FERNANDES (1138)"</f>
        <v>AMANDA LUCIO FERNANDES (1138)</v>
      </c>
      <c r="H3057" t="str">
        <f>"REELMBOLSO CERTIFICADO DIGITAL 1/2"</f>
        <v>REELMBOLSO CERTIFICADO DIGITAL 1/2</v>
      </c>
      <c r="I3057" t="str">
        <f t="shared" si="555"/>
        <v>19/03/2026</v>
      </c>
      <c r="J3057" t="str">
        <f>("18/03/2026")</f>
        <v>18/03/2026</v>
      </c>
      <c r="K3057" t="str">
        <f>("18/03/2026")</f>
        <v>18/03/2026</v>
      </c>
      <c r="L3057">
        <v>60</v>
      </c>
      <c r="M3057">
        <v>60</v>
      </c>
      <c r="N3057">
        <v>108</v>
      </c>
      <c r="O3057" t="str">
        <f>"RECEITAS COM REEMBOLSOS"</f>
        <v>RECEITAS COM REEMBOLSOS</v>
      </c>
      <c r="P3057">
        <v>60</v>
      </c>
      <c r="S3057" t="str">
        <f>"RECEITAS COM REEMBOLSOS (108)"</f>
        <v>RECEITAS COM REEMBOLSOS (108)</v>
      </c>
      <c r="T3057">
        <v>31252</v>
      </c>
      <c r="U3057">
        <v>35558</v>
      </c>
      <c r="V3057" t="s">
        <v>22</v>
      </c>
    </row>
    <row r="3058" spans="1:22">
      <c r="A3058" t="str">
        <f t="shared" si="556"/>
        <v>18/03/2026</v>
      </c>
      <c r="B3058" t="str">
        <f>"ENTRADA"</f>
        <v>ENTRADA</v>
      </c>
      <c r="C3058" t="str">
        <f>"DINHEIRO"</f>
        <v>DINHEIRO</v>
      </c>
      <c r="D3058" t="str">
        <f>"19032026"</f>
        <v>19032026</v>
      </c>
      <c r="E3058" t="str">
        <f>""</f>
        <v/>
      </c>
      <c r="F3058" t="str">
        <f t="shared" si="554"/>
        <v>COM</v>
      </c>
      <c r="G3058" t="str">
        <f>"AMANDA LUCIO FERNANDES (1138)"</f>
        <v>AMANDA LUCIO FERNANDES (1138)</v>
      </c>
      <c r="H3058" t="s">
        <v>913</v>
      </c>
      <c r="I3058" t="str">
        <f t="shared" si="555"/>
        <v>19/03/2026</v>
      </c>
      <c r="J3058" t="str">
        <f>("18/03/2026")</f>
        <v>18/03/2026</v>
      </c>
      <c r="K3058">
        <v>46099</v>
      </c>
      <c r="N3058">
        <v>108</v>
      </c>
      <c r="O3058" t="s">
        <v>871</v>
      </c>
      <c r="Q3058">
        <v>60</v>
      </c>
      <c r="R3058" t="str">
        <f>"AMANDA LUCIO FERNANDES (1138)"</f>
        <v>AMANDA LUCIO FERNANDES (1138)</v>
      </c>
      <c r="S3058" t="s">
        <v>872</v>
      </c>
      <c r="T3058">
        <v>31252</v>
      </c>
      <c r="U3058">
        <v>35558</v>
      </c>
      <c r="V3058" t="s">
        <v>22</v>
      </c>
    </row>
    <row r="3059" spans="1:22">
      <c r="A3059" t="str">
        <f t="shared" si="556"/>
        <v>18/03/2026</v>
      </c>
      <c r="B3059" t="str">
        <f>"SAÍDA"</f>
        <v>SAÍDA</v>
      </c>
      <c r="C3059" t="str">
        <f>"PIX"</f>
        <v>PIX</v>
      </c>
      <c r="D3059" t="str">
        <f>"34564"</f>
        <v>34564</v>
      </c>
      <c r="E3059" t="str">
        <f>"1"</f>
        <v>1</v>
      </c>
      <c r="F3059" t="str">
        <f t="shared" si="554"/>
        <v>COM</v>
      </c>
      <c r="G3059" t="str">
        <f>"DIEGO DIRLEY RIBEIRO (38)"</f>
        <v>DIEGO DIRLEY RIBEIRO (38)</v>
      </c>
      <c r="H3059" t="str">
        <f>"Serv.Prest. 02/03/2026 a 08/03/2026 - PIX: CHAVE ALEATÓRIA - CHAVE: fa1cc12c-4f59-4ff9-b237-7274b08cf38e"</f>
        <v>Serv.Prest. 02/03/2026 a 08/03/2026 - PIX: CHAVE ALEATÓRIA - CHAVE: fa1cc12c-4f59-4ff9-b237-7274b08cf38e</v>
      </c>
      <c r="I3059" t="str">
        <f t="shared" si="555"/>
        <v>19/03/2026</v>
      </c>
      <c r="J3059" t="str">
        <f>("10/03/2026")</f>
        <v>10/03/2026</v>
      </c>
      <c r="K3059" t="str">
        <f>("18/03/2026")</f>
        <v>18/03/2026</v>
      </c>
      <c r="L3059">
        <v>60</v>
      </c>
      <c r="M3059">
        <v>60</v>
      </c>
      <c r="N3059">
        <v>109</v>
      </c>
      <c r="O3059" t="str">
        <f>"PAGAMENTO DE ENTREGADORES"</f>
        <v>PAGAMENTO DE ENTREGADORES</v>
      </c>
      <c r="P3059">
        <v>60</v>
      </c>
      <c r="S3059" t="str">
        <f>"CAIXA MOVIMENTAÇÃO OPERACIONAL (132)"</f>
        <v>CAIXA MOVIMENTAÇÃO OPERACIONAL (132)</v>
      </c>
      <c r="T3059">
        <v>31253</v>
      </c>
      <c r="U3059">
        <v>35563</v>
      </c>
      <c r="V3059" t="s">
        <v>22</v>
      </c>
    </row>
    <row r="3060" spans="1:22">
      <c r="A3060" t="str">
        <f t="shared" si="556"/>
        <v>18/03/2026</v>
      </c>
      <c r="B3060" t="str">
        <f>"SAÍDA"</f>
        <v>SAÍDA</v>
      </c>
      <c r="C3060" t="str">
        <f>"PIX"</f>
        <v>PIX</v>
      </c>
      <c r="D3060" t="str">
        <f>"34564"</f>
        <v>34564</v>
      </c>
      <c r="E3060" t="str">
        <f>"1"</f>
        <v>1</v>
      </c>
      <c r="F3060" t="str">
        <f t="shared" si="554"/>
        <v>COM</v>
      </c>
      <c r="G3060" t="str">
        <f>"DIEGO DIRLEY RIBEIRO (38)"</f>
        <v>DIEGO DIRLEY RIBEIRO (38)</v>
      </c>
      <c r="H3060" t="s">
        <v>924</v>
      </c>
      <c r="I3060" t="str">
        <f t="shared" si="555"/>
        <v>19/03/2026</v>
      </c>
      <c r="J3060" t="str">
        <f>("10/03/2026")</f>
        <v>10/03/2026</v>
      </c>
      <c r="K3060">
        <v>46099</v>
      </c>
      <c r="N3060">
        <v>109</v>
      </c>
      <c r="O3060" t="s">
        <v>27</v>
      </c>
      <c r="Q3060">
        <v>60</v>
      </c>
      <c r="R3060" t="str">
        <f>"FARMÁCIA INDIANA LJ 172 (10161)"</f>
        <v>FARMÁCIA INDIANA LJ 172 (10161)</v>
      </c>
      <c r="S3060" t="s">
        <v>22</v>
      </c>
      <c r="T3060">
        <v>31253</v>
      </c>
      <c r="U3060">
        <v>35563</v>
      </c>
      <c r="V3060" t="s">
        <v>22</v>
      </c>
    </row>
    <row r="3061" spans="1:22">
      <c r="A3061" t="str">
        <f t="shared" si="556"/>
        <v>18/03/2026</v>
      </c>
      <c r="B3061" t="str">
        <f>"ENTRADA"</f>
        <v>ENTRADA</v>
      </c>
      <c r="C3061" t="str">
        <f>"DINHEIRO"</f>
        <v>DINHEIRO</v>
      </c>
      <c r="D3061" t="str">
        <f>"19032026"</f>
        <v>19032026</v>
      </c>
      <c r="E3061" t="str">
        <f>""</f>
        <v/>
      </c>
      <c r="F3061" t="str">
        <f t="shared" si="554"/>
        <v>COM</v>
      </c>
      <c r="G3061" t="str">
        <f>"DIEGO DIRLEY RIBEIRO (38)"</f>
        <v>DIEGO DIRLEY RIBEIRO (38)</v>
      </c>
      <c r="H3061" t="str">
        <f>"REELMBOLSO CERTIFICADO DIGITAL 1/2"</f>
        <v>REELMBOLSO CERTIFICADO DIGITAL 1/2</v>
      </c>
      <c r="I3061" t="str">
        <f t="shared" ref="I3061:I3092" si="558">("19/03/2026")</f>
        <v>19/03/2026</v>
      </c>
      <c r="J3061" t="str">
        <f>("18/03/2026")</f>
        <v>18/03/2026</v>
      </c>
      <c r="K3061" t="str">
        <f>("18/03/2026")</f>
        <v>18/03/2026</v>
      </c>
      <c r="L3061">
        <v>60</v>
      </c>
      <c r="M3061">
        <v>60</v>
      </c>
      <c r="N3061">
        <v>108</v>
      </c>
      <c r="O3061" t="str">
        <f>"RECEITAS COM REEMBOLSOS"</f>
        <v>RECEITAS COM REEMBOLSOS</v>
      </c>
      <c r="P3061">
        <v>60</v>
      </c>
      <c r="S3061" t="str">
        <f>"RECEITAS COM REEMBOLSOS (108)"</f>
        <v>RECEITAS COM REEMBOLSOS (108)</v>
      </c>
      <c r="T3061">
        <v>31254</v>
      </c>
      <c r="U3061">
        <v>35561</v>
      </c>
      <c r="V3061" t="s">
        <v>22</v>
      </c>
    </row>
    <row r="3062" spans="1:22">
      <c r="A3062" t="str">
        <f t="shared" si="556"/>
        <v>18/03/2026</v>
      </c>
      <c r="B3062" t="str">
        <f>"ENTRADA"</f>
        <v>ENTRADA</v>
      </c>
      <c r="C3062" t="str">
        <f>"DINHEIRO"</f>
        <v>DINHEIRO</v>
      </c>
      <c r="D3062" t="str">
        <f>"19032026"</f>
        <v>19032026</v>
      </c>
      <c r="E3062" t="str">
        <f>""</f>
        <v/>
      </c>
      <c r="F3062" t="str">
        <f t="shared" si="554"/>
        <v>COM</v>
      </c>
      <c r="G3062" t="str">
        <f>"DIEGO DIRLEY RIBEIRO (38)"</f>
        <v>DIEGO DIRLEY RIBEIRO (38)</v>
      </c>
      <c r="H3062" t="s">
        <v>913</v>
      </c>
      <c r="I3062" t="str">
        <f t="shared" si="558"/>
        <v>19/03/2026</v>
      </c>
      <c r="J3062" t="str">
        <f>("18/03/2026")</f>
        <v>18/03/2026</v>
      </c>
      <c r="K3062">
        <v>46099</v>
      </c>
      <c r="N3062">
        <v>108</v>
      </c>
      <c r="O3062" t="s">
        <v>871</v>
      </c>
      <c r="Q3062">
        <v>60</v>
      </c>
      <c r="R3062" t="str">
        <f>"DIEGO DIRLEY RIBEIRO (38)"</f>
        <v>DIEGO DIRLEY RIBEIRO (38)</v>
      </c>
      <c r="S3062" t="s">
        <v>872</v>
      </c>
      <c r="T3062">
        <v>31254</v>
      </c>
      <c r="U3062">
        <v>35561</v>
      </c>
      <c r="V3062" t="s">
        <v>22</v>
      </c>
    </row>
    <row r="3063" spans="1:22">
      <c r="A3063" t="str">
        <f t="shared" si="556"/>
        <v>18/03/2026</v>
      </c>
      <c r="B3063" t="str">
        <f>"SAÍDA"</f>
        <v>SAÍDA</v>
      </c>
      <c r="C3063" t="str">
        <f>"PIX"</f>
        <v>PIX</v>
      </c>
      <c r="D3063" t="str">
        <f>"34597"</f>
        <v>34597</v>
      </c>
      <c r="E3063" t="str">
        <f>"1"</f>
        <v>1</v>
      </c>
      <c r="F3063" t="str">
        <f t="shared" si="554"/>
        <v>COM</v>
      </c>
      <c r="G3063" t="str">
        <f>"KALESSON BARROSO DIAS (216)"</f>
        <v>KALESSON BARROSO DIAS (216)</v>
      </c>
      <c r="H3063" t="str">
        <f>"Serv.Prest. 02/03/2026 a 08/03/2026 - PIX: CELULAR - CHAVE: (33) 99106-9330"</f>
        <v>Serv.Prest. 02/03/2026 a 08/03/2026 - PIX: CELULAR - CHAVE: (33) 99106-9330</v>
      </c>
      <c r="I3063" t="str">
        <f t="shared" si="558"/>
        <v>19/03/2026</v>
      </c>
      <c r="J3063" t="str">
        <f>("10/03/2026")</f>
        <v>10/03/2026</v>
      </c>
      <c r="K3063" t="str">
        <f>("18/03/2026")</f>
        <v>18/03/2026</v>
      </c>
      <c r="L3063">
        <v>60</v>
      </c>
      <c r="M3063">
        <v>60</v>
      </c>
      <c r="N3063">
        <v>109</v>
      </c>
      <c r="O3063" t="str">
        <f>"PAGAMENTO DE ENTREGADORES"</f>
        <v>PAGAMENTO DE ENTREGADORES</v>
      </c>
      <c r="P3063">
        <v>60</v>
      </c>
      <c r="S3063" t="str">
        <f>"CAIXA MOVIMENTAÇÃO OPERACIONAL (132)"</f>
        <v>CAIXA MOVIMENTAÇÃO OPERACIONAL (132)</v>
      </c>
      <c r="T3063">
        <v>31255</v>
      </c>
      <c r="U3063">
        <v>35566</v>
      </c>
      <c r="V3063" t="s">
        <v>22</v>
      </c>
    </row>
    <row r="3064" spans="1:22">
      <c r="A3064" t="str">
        <f t="shared" si="556"/>
        <v>18/03/2026</v>
      </c>
      <c r="B3064" t="str">
        <f>"SAÍDA"</f>
        <v>SAÍDA</v>
      </c>
      <c r="C3064" t="str">
        <f>"PIX"</f>
        <v>PIX</v>
      </c>
      <c r="D3064" t="str">
        <f>"34597"</f>
        <v>34597</v>
      </c>
      <c r="E3064" t="str">
        <f>"1"</f>
        <v>1</v>
      </c>
      <c r="F3064" t="str">
        <f t="shared" si="554"/>
        <v>COM</v>
      </c>
      <c r="G3064" t="str">
        <f>"KALESSON BARROSO DIAS (216)"</f>
        <v>KALESSON BARROSO DIAS (216)</v>
      </c>
      <c r="H3064" t="s">
        <v>925</v>
      </c>
      <c r="I3064" t="str">
        <f t="shared" si="558"/>
        <v>19/03/2026</v>
      </c>
      <c r="J3064" t="str">
        <f>("10/03/2026")</f>
        <v>10/03/2026</v>
      </c>
      <c r="K3064">
        <v>46099</v>
      </c>
      <c r="N3064">
        <v>109</v>
      </c>
      <c r="O3064" t="s">
        <v>27</v>
      </c>
      <c r="Q3064">
        <v>60</v>
      </c>
      <c r="R3064" t="str">
        <f>"FARMÁCIA INDIANA LJ 06 (10006)"</f>
        <v>FARMÁCIA INDIANA LJ 06 (10006)</v>
      </c>
      <c r="S3064" t="s">
        <v>22</v>
      </c>
      <c r="T3064">
        <v>31255</v>
      </c>
      <c r="U3064">
        <v>35566</v>
      </c>
      <c r="V3064" t="s">
        <v>22</v>
      </c>
    </row>
    <row r="3065" spans="1:22">
      <c r="A3065" t="str">
        <f t="shared" si="556"/>
        <v>18/03/2026</v>
      </c>
      <c r="B3065" t="str">
        <f>"ENTRADA"</f>
        <v>ENTRADA</v>
      </c>
      <c r="C3065" t="str">
        <f>"DINHEIRO"</f>
        <v>DINHEIRO</v>
      </c>
      <c r="D3065" t="str">
        <f>"19032026"</f>
        <v>19032026</v>
      </c>
      <c r="E3065" t="str">
        <f>""</f>
        <v/>
      </c>
      <c r="F3065" t="str">
        <f t="shared" si="554"/>
        <v>COM</v>
      </c>
      <c r="G3065" t="str">
        <f>"KALESSON BARROSO DIAS (216)"</f>
        <v>KALESSON BARROSO DIAS (216)</v>
      </c>
      <c r="H3065" t="str">
        <f>"REELMBOLSO CERTIFICADO DIGITAL 1/2"</f>
        <v>REELMBOLSO CERTIFICADO DIGITAL 1/2</v>
      </c>
      <c r="I3065" t="str">
        <f t="shared" si="558"/>
        <v>19/03/2026</v>
      </c>
      <c r="J3065" t="str">
        <f>("18/03/2026")</f>
        <v>18/03/2026</v>
      </c>
      <c r="K3065" t="str">
        <f>("18/03/2026")</f>
        <v>18/03/2026</v>
      </c>
      <c r="L3065">
        <v>60</v>
      </c>
      <c r="M3065">
        <v>60</v>
      </c>
      <c r="N3065">
        <v>108</v>
      </c>
      <c r="O3065" t="str">
        <f>"RECEITAS COM REEMBOLSOS"</f>
        <v>RECEITAS COM REEMBOLSOS</v>
      </c>
      <c r="P3065">
        <v>60</v>
      </c>
      <c r="S3065" t="str">
        <f>"RECEITAS COM REEMBOLSOS (108)"</f>
        <v>RECEITAS COM REEMBOLSOS (108)</v>
      </c>
      <c r="T3065">
        <v>31256</v>
      </c>
      <c r="U3065">
        <v>35564</v>
      </c>
      <c r="V3065" t="s">
        <v>22</v>
      </c>
    </row>
    <row r="3066" spans="1:22">
      <c r="A3066" t="str">
        <f t="shared" si="556"/>
        <v>18/03/2026</v>
      </c>
      <c r="B3066" t="str">
        <f>"ENTRADA"</f>
        <v>ENTRADA</v>
      </c>
      <c r="C3066" t="str">
        <f>"DINHEIRO"</f>
        <v>DINHEIRO</v>
      </c>
      <c r="D3066" t="str">
        <f>"19032026"</f>
        <v>19032026</v>
      </c>
      <c r="E3066" t="str">
        <f>""</f>
        <v/>
      </c>
      <c r="F3066" t="str">
        <f t="shared" si="554"/>
        <v>COM</v>
      </c>
      <c r="G3066" t="str">
        <f>"KALESSON BARROSO DIAS (216)"</f>
        <v>KALESSON BARROSO DIAS (216)</v>
      </c>
      <c r="H3066" t="s">
        <v>913</v>
      </c>
      <c r="I3066" t="str">
        <f t="shared" si="558"/>
        <v>19/03/2026</v>
      </c>
      <c r="J3066" t="str">
        <f>("18/03/2026")</f>
        <v>18/03/2026</v>
      </c>
      <c r="K3066">
        <v>46099</v>
      </c>
      <c r="N3066">
        <v>108</v>
      </c>
      <c r="O3066" t="s">
        <v>871</v>
      </c>
      <c r="Q3066">
        <v>60</v>
      </c>
      <c r="R3066" t="str">
        <f>"KALESSON BARROSO DIAS (216)"</f>
        <v>KALESSON BARROSO DIAS (216)</v>
      </c>
      <c r="S3066" t="s">
        <v>872</v>
      </c>
      <c r="T3066">
        <v>31256</v>
      </c>
      <c r="U3066">
        <v>35564</v>
      </c>
      <c r="V3066" t="s">
        <v>22</v>
      </c>
    </row>
    <row r="3067" spans="1:22">
      <c r="A3067" t="str">
        <f t="shared" si="556"/>
        <v>18/03/2026</v>
      </c>
      <c r="B3067" t="str">
        <f>"SAÍDA"</f>
        <v>SAÍDA</v>
      </c>
      <c r="C3067" t="str">
        <f>"PIX"</f>
        <v>PIX</v>
      </c>
      <c r="D3067" t="str">
        <f>"34582"</f>
        <v>34582</v>
      </c>
      <c r="E3067" t="str">
        <f>"1"</f>
        <v>1</v>
      </c>
      <c r="F3067" t="str">
        <f t="shared" si="554"/>
        <v>COM</v>
      </c>
      <c r="G3067" t="str">
        <f>"JANDERSON SOUZA ARCANJO (28)"</f>
        <v>JANDERSON SOUZA ARCANJO (28)</v>
      </c>
      <c r="H3067" t="str">
        <f>"Serv.Prest. 02/03/2026 a 08/03/2026 - PIX: CPF - CHAVE: 121.297.376-33"</f>
        <v>Serv.Prest. 02/03/2026 a 08/03/2026 - PIX: CPF - CHAVE: 121.297.376-33</v>
      </c>
      <c r="I3067" t="str">
        <f t="shared" si="558"/>
        <v>19/03/2026</v>
      </c>
      <c r="J3067" t="str">
        <f>("10/03/2026")</f>
        <v>10/03/2026</v>
      </c>
      <c r="K3067" t="str">
        <f>("18/03/2026")</f>
        <v>18/03/2026</v>
      </c>
      <c r="L3067">
        <v>60</v>
      </c>
      <c r="M3067">
        <v>60</v>
      </c>
      <c r="N3067">
        <v>109</v>
      </c>
      <c r="O3067" t="str">
        <f>"PAGAMENTO DE ENTREGADORES"</f>
        <v>PAGAMENTO DE ENTREGADORES</v>
      </c>
      <c r="P3067">
        <v>60</v>
      </c>
      <c r="S3067" t="str">
        <f>"CAIXA MOVIMENTAÇÃO OPERACIONAL (132)"</f>
        <v>CAIXA MOVIMENTAÇÃO OPERACIONAL (132)</v>
      </c>
      <c r="T3067">
        <v>31257</v>
      </c>
      <c r="U3067">
        <v>35569</v>
      </c>
      <c r="V3067" t="s">
        <v>22</v>
      </c>
    </row>
    <row r="3068" spans="1:22">
      <c r="A3068" t="str">
        <f t="shared" si="556"/>
        <v>18/03/2026</v>
      </c>
      <c r="B3068" t="str">
        <f>"SAÍDA"</f>
        <v>SAÍDA</v>
      </c>
      <c r="C3068" t="str">
        <f>"PIX"</f>
        <v>PIX</v>
      </c>
      <c r="D3068" t="str">
        <f>"34582"</f>
        <v>34582</v>
      </c>
      <c r="E3068" t="str">
        <f>"1"</f>
        <v>1</v>
      </c>
      <c r="F3068" t="str">
        <f t="shared" si="554"/>
        <v>COM</v>
      </c>
      <c r="G3068" t="str">
        <f>"JANDERSON SOUZA ARCANJO (28)"</f>
        <v>JANDERSON SOUZA ARCANJO (28)</v>
      </c>
      <c r="H3068" t="s">
        <v>926</v>
      </c>
      <c r="I3068" t="str">
        <f t="shared" si="558"/>
        <v>19/03/2026</v>
      </c>
      <c r="J3068" t="str">
        <f>("10/03/2026")</f>
        <v>10/03/2026</v>
      </c>
      <c r="K3068">
        <v>46099</v>
      </c>
      <c r="N3068">
        <v>109</v>
      </c>
      <c r="O3068" t="s">
        <v>27</v>
      </c>
      <c r="Q3068">
        <v>60</v>
      </c>
      <c r="R3068" t="str">
        <f>"FARMÁCIA INDIANA LJ 40 (10016)"</f>
        <v>FARMÁCIA INDIANA LJ 40 (10016)</v>
      </c>
      <c r="S3068" t="s">
        <v>22</v>
      </c>
      <c r="T3068">
        <v>31257</v>
      </c>
      <c r="U3068">
        <v>35569</v>
      </c>
      <c r="V3068" t="s">
        <v>22</v>
      </c>
    </row>
    <row r="3069" spans="1:22">
      <c r="A3069" t="str">
        <f t="shared" si="556"/>
        <v>18/03/2026</v>
      </c>
      <c r="B3069" t="str">
        <f>"ENTRADA"</f>
        <v>ENTRADA</v>
      </c>
      <c r="C3069" t="str">
        <f>"DINHEIRO"</f>
        <v>DINHEIRO</v>
      </c>
      <c r="D3069" t="str">
        <f>"19032026"</f>
        <v>19032026</v>
      </c>
      <c r="E3069" t="str">
        <f>""</f>
        <v/>
      </c>
      <c r="F3069" t="str">
        <f t="shared" si="554"/>
        <v>COM</v>
      </c>
      <c r="G3069" t="str">
        <f>"JANDERSON SOUZA ARCANJO (28)"</f>
        <v>JANDERSON SOUZA ARCANJO (28)</v>
      </c>
      <c r="H3069" t="str">
        <f>"REELMBOLSO CERTIFICADO DIGITAL 1/2"</f>
        <v>REELMBOLSO CERTIFICADO DIGITAL 1/2</v>
      </c>
      <c r="I3069" t="str">
        <f t="shared" si="558"/>
        <v>19/03/2026</v>
      </c>
      <c r="J3069" t="str">
        <f>("18/03/2026")</f>
        <v>18/03/2026</v>
      </c>
      <c r="K3069" t="str">
        <f>("18/03/2026")</f>
        <v>18/03/2026</v>
      </c>
      <c r="L3069">
        <v>60</v>
      </c>
      <c r="M3069">
        <v>60</v>
      </c>
      <c r="N3069">
        <v>108</v>
      </c>
      <c r="O3069" t="str">
        <f>"RECEITAS COM REEMBOLSOS"</f>
        <v>RECEITAS COM REEMBOLSOS</v>
      </c>
      <c r="P3069">
        <v>60</v>
      </c>
      <c r="S3069" t="str">
        <f>"RECEITAS COM REEMBOLSOS (108)"</f>
        <v>RECEITAS COM REEMBOLSOS (108)</v>
      </c>
      <c r="T3069">
        <v>31258</v>
      </c>
      <c r="U3069">
        <v>35567</v>
      </c>
      <c r="V3069" t="s">
        <v>22</v>
      </c>
    </row>
    <row r="3070" spans="1:22">
      <c r="A3070" t="str">
        <f t="shared" si="556"/>
        <v>18/03/2026</v>
      </c>
      <c r="B3070" t="str">
        <f>"ENTRADA"</f>
        <v>ENTRADA</v>
      </c>
      <c r="C3070" t="str">
        <f>"DINHEIRO"</f>
        <v>DINHEIRO</v>
      </c>
      <c r="D3070" t="str">
        <f>"19032026"</f>
        <v>19032026</v>
      </c>
      <c r="E3070" t="str">
        <f>""</f>
        <v/>
      </c>
      <c r="F3070" t="str">
        <f t="shared" si="554"/>
        <v>COM</v>
      </c>
      <c r="G3070" t="str">
        <f>"JANDERSON SOUZA ARCANJO (28)"</f>
        <v>JANDERSON SOUZA ARCANJO (28)</v>
      </c>
      <c r="H3070" t="s">
        <v>913</v>
      </c>
      <c r="I3070" t="str">
        <f t="shared" si="558"/>
        <v>19/03/2026</v>
      </c>
      <c r="J3070" t="str">
        <f>("18/03/2026")</f>
        <v>18/03/2026</v>
      </c>
      <c r="K3070">
        <v>46099</v>
      </c>
      <c r="N3070">
        <v>108</v>
      </c>
      <c r="O3070" t="s">
        <v>871</v>
      </c>
      <c r="Q3070">
        <v>60</v>
      </c>
      <c r="R3070" t="str">
        <f>"JANDERSON SOUZA ARCANJO (28)"</f>
        <v>JANDERSON SOUZA ARCANJO (28)</v>
      </c>
      <c r="S3070" t="s">
        <v>872</v>
      </c>
      <c r="T3070">
        <v>31258</v>
      </c>
      <c r="U3070">
        <v>35567</v>
      </c>
      <c r="V3070" t="s">
        <v>22</v>
      </c>
    </row>
    <row r="3071" spans="1:22">
      <c r="A3071" t="str">
        <f t="shared" si="556"/>
        <v>18/03/2026</v>
      </c>
      <c r="B3071" t="str">
        <f>"SAÍDA"</f>
        <v>SAÍDA</v>
      </c>
      <c r="C3071" t="str">
        <f>"PIX"</f>
        <v>PIX</v>
      </c>
      <c r="D3071" t="str">
        <f>"34573"</f>
        <v>34573</v>
      </c>
      <c r="E3071" t="str">
        <f>"1"</f>
        <v>1</v>
      </c>
      <c r="F3071" t="str">
        <f t="shared" si="554"/>
        <v>COM</v>
      </c>
      <c r="G3071" t="str">
        <f>"GABRIEL SOARES VIEIRA (18)"</f>
        <v>GABRIEL SOARES VIEIRA (18)</v>
      </c>
      <c r="H3071" t="str">
        <f>"Serv.Prest. 02/03/2026 a 08/03/2026 - PIX: CPF - CHAVE: 179.800.027-09"</f>
        <v>Serv.Prest. 02/03/2026 a 08/03/2026 - PIX: CPF - CHAVE: 179.800.027-09</v>
      </c>
      <c r="I3071" t="str">
        <f t="shared" si="558"/>
        <v>19/03/2026</v>
      </c>
      <c r="J3071" t="str">
        <f>("10/03/2026")</f>
        <v>10/03/2026</v>
      </c>
      <c r="K3071" t="str">
        <f>("18/03/2026")</f>
        <v>18/03/2026</v>
      </c>
      <c r="L3071">
        <v>60</v>
      </c>
      <c r="M3071">
        <v>60</v>
      </c>
      <c r="N3071">
        <v>109</v>
      </c>
      <c r="O3071" t="str">
        <f>"PAGAMENTO DE ENTREGADORES"</f>
        <v>PAGAMENTO DE ENTREGADORES</v>
      </c>
      <c r="P3071">
        <v>60</v>
      </c>
      <c r="S3071" t="str">
        <f>"CAIXA MOVIMENTAÇÃO OPERACIONAL (132)"</f>
        <v>CAIXA MOVIMENTAÇÃO OPERACIONAL (132)</v>
      </c>
      <c r="T3071">
        <v>31259</v>
      </c>
      <c r="U3071">
        <v>35572</v>
      </c>
      <c r="V3071" t="s">
        <v>22</v>
      </c>
    </row>
    <row r="3072" spans="1:22">
      <c r="A3072" t="str">
        <f t="shared" si="556"/>
        <v>18/03/2026</v>
      </c>
      <c r="B3072" t="str">
        <f>"SAÍDA"</f>
        <v>SAÍDA</v>
      </c>
      <c r="C3072" t="str">
        <f>"PIX"</f>
        <v>PIX</v>
      </c>
      <c r="D3072" t="str">
        <f>"34573"</f>
        <v>34573</v>
      </c>
      <c r="E3072" t="str">
        <f>"1"</f>
        <v>1</v>
      </c>
      <c r="F3072" t="str">
        <f t="shared" si="554"/>
        <v>COM</v>
      </c>
      <c r="G3072" t="str">
        <f>"GABRIEL SOARES VIEIRA (18)"</f>
        <v>GABRIEL SOARES VIEIRA (18)</v>
      </c>
      <c r="H3072" t="s">
        <v>927</v>
      </c>
      <c r="I3072" t="str">
        <f t="shared" si="558"/>
        <v>19/03/2026</v>
      </c>
      <c r="J3072" t="str">
        <f>("10/03/2026")</f>
        <v>10/03/2026</v>
      </c>
      <c r="K3072">
        <v>46099</v>
      </c>
      <c r="N3072">
        <v>109</v>
      </c>
      <c r="O3072" t="s">
        <v>27</v>
      </c>
      <c r="Q3072">
        <v>60</v>
      </c>
      <c r="R3072" t="str">
        <f>"FARMÁCIA INDIANA LJ 40 (10016)"</f>
        <v>FARMÁCIA INDIANA LJ 40 (10016)</v>
      </c>
      <c r="S3072" t="s">
        <v>22</v>
      </c>
      <c r="T3072">
        <v>31259</v>
      </c>
      <c r="U3072">
        <v>35572</v>
      </c>
      <c r="V3072" t="s">
        <v>22</v>
      </c>
    </row>
    <row r="3073" spans="1:22">
      <c r="A3073" t="str">
        <f t="shared" si="556"/>
        <v>18/03/2026</v>
      </c>
      <c r="B3073" t="str">
        <f>"ENTRADA"</f>
        <v>ENTRADA</v>
      </c>
      <c r="C3073" t="str">
        <f>"DINHEIRO"</f>
        <v>DINHEIRO</v>
      </c>
      <c r="D3073" t="str">
        <f>"19032026"</f>
        <v>19032026</v>
      </c>
      <c r="E3073" t="str">
        <f>""</f>
        <v/>
      </c>
      <c r="F3073" t="str">
        <f t="shared" si="554"/>
        <v>COM</v>
      </c>
      <c r="G3073" t="str">
        <f>"GABRIEL SOARES VIEIRA (18)"</f>
        <v>GABRIEL SOARES VIEIRA (18)</v>
      </c>
      <c r="H3073" t="str">
        <f>"REELMBOLSO CERTIFICADO DIGITAL 1/2"</f>
        <v>REELMBOLSO CERTIFICADO DIGITAL 1/2</v>
      </c>
      <c r="I3073" t="str">
        <f t="shared" si="558"/>
        <v>19/03/2026</v>
      </c>
      <c r="J3073" t="str">
        <f>("18/03/2026")</f>
        <v>18/03/2026</v>
      </c>
      <c r="K3073" t="str">
        <f>("18/03/2026")</f>
        <v>18/03/2026</v>
      </c>
      <c r="L3073">
        <v>60</v>
      </c>
      <c r="M3073">
        <v>60</v>
      </c>
      <c r="N3073">
        <v>108</v>
      </c>
      <c r="O3073" t="str">
        <f>"RECEITAS COM REEMBOLSOS"</f>
        <v>RECEITAS COM REEMBOLSOS</v>
      </c>
      <c r="P3073">
        <v>60</v>
      </c>
      <c r="S3073" t="str">
        <f>"RECEITAS COM REEMBOLSOS (108)"</f>
        <v>RECEITAS COM REEMBOLSOS (108)</v>
      </c>
      <c r="T3073">
        <v>31260</v>
      </c>
      <c r="U3073">
        <v>35570</v>
      </c>
      <c r="V3073" t="s">
        <v>22</v>
      </c>
    </row>
    <row r="3074" spans="1:22">
      <c r="A3074" t="str">
        <f t="shared" si="556"/>
        <v>18/03/2026</v>
      </c>
      <c r="B3074" t="str">
        <f>"ENTRADA"</f>
        <v>ENTRADA</v>
      </c>
      <c r="C3074" t="str">
        <f>"DINHEIRO"</f>
        <v>DINHEIRO</v>
      </c>
      <c r="D3074" t="str">
        <f>"19032026"</f>
        <v>19032026</v>
      </c>
      <c r="E3074" t="str">
        <f>""</f>
        <v/>
      </c>
      <c r="F3074" t="str">
        <f t="shared" ref="F3074:F3137" si="559">"COM"</f>
        <v>COM</v>
      </c>
      <c r="G3074" t="str">
        <f>"GABRIEL SOARES VIEIRA (18)"</f>
        <v>GABRIEL SOARES VIEIRA (18)</v>
      </c>
      <c r="H3074" t="s">
        <v>913</v>
      </c>
      <c r="I3074" t="str">
        <f t="shared" si="558"/>
        <v>19/03/2026</v>
      </c>
      <c r="J3074" t="str">
        <f>("18/03/2026")</f>
        <v>18/03/2026</v>
      </c>
      <c r="K3074">
        <v>46099</v>
      </c>
      <c r="N3074">
        <v>108</v>
      </c>
      <c r="O3074" t="s">
        <v>871</v>
      </c>
      <c r="Q3074">
        <v>60</v>
      </c>
      <c r="R3074" t="str">
        <f>"GABRIEL SOARES VIEIRA (18)"</f>
        <v>GABRIEL SOARES VIEIRA (18)</v>
      </c>
      <c r="S3074" t="s">
        <v>872</v>
      </c>
      <c r="T3074">
        <v>31260</v>
      </c>
      <c r="U3074">
        <v>35570</v>
      </c>
      <c r="V3074" t="s">
        <v>22</v>
      </c>
    </row>
    <row r="3075" spans="1:22">
      <c r="A3075" t="str">
        <f t="shared" si="556"/>
        <v>18/03/2026</v>
      </c>
      <c r="B3075" t="str">
        <f>"SAÍDA"</f>
        <v>SAÍDA</v>
      </c>
      <c r="C3075" t="str">
        <f>"PIX"</f>
        <v>PIX</v>
      </c>
      <c r="D3075" t="str">
        <f>"34484"</f>
        <v>34484</v>
      </c>
      <c r="E3075" t="str">
        <f>"1"</f>
        <v>1</v>
      </c>
      <c r="F3075" t="str">
        <f t="shared" si="559"/>
        <v>COM</v>
      </c>
      <c r="G3075" t="str">
        <f>"GABRIEL PRATES DE OLIVEIRA (511)"</f>
        <v>GABRIEL PRATES DE OLIVEIRA (511)</v>
      </c>
      <c r="H3075" t="str">
        <f>"Serv.Prest. 02/03/2026 a 08/03/2026 - PIX: CELULAR - CHAVE: (27) 99869-8144"</f>
        <v>Serv.Prest. 02/03/2026 a 08/03/2026 - PIX: CELULAR - CHAVE: (27) 99869-8144</v>
      </c>
      <c r="I3075" t="str">
        <f t="shared" si="558"/>
        <v>19/03/2026</v>
      </c>
      <c r="J3075" t="str">
        <f>("09/03/2026")</f>
        <v>09/03/2026</v>
      </c>
      <c r="K3075" t="str">
        <f>("18/03/2026")</f>
        <v>18/03/2026</v>
      </c>
      <c r="L3075">
        <v>60</v>
      </c>
      <c r="M3075">
        <v>60</v>
      </c>
      <c r="N3075">
        <v>109</v>
      </c>
      <c r="O3075" t="str">
        <f>"PAGAMENTO DE ENTREGADORES"</f>
        <v>PAGAMENTO DE ENTREGADORES</v>
      </c>
      <c r="P3075">
        <v>60</v>
      </c>
      <c r="S3075" t="str">
        <f>"CAIXA MOVIMENTAÇÃO OPERACIONAL (132)"</f>
        <v>CAIXA MOVIMENTAÇÃO OPERACIONAL (132)</v>
      </c>
      <c r="T3075">
        <v>31261</v>
      </c>
      <c r="U3075">
        <v>35575</v>
      </c>
      <c r="V3075" t="s">
        <v>22</v>
      </c>
    </row>
    <row r="3076" spans="1:22">
      <c r="A3076" t="str">
        <f t="shared" si="556"/>
        <v>18/03/2026</v>
      </c>
      <c r="B3076" t="str">
        <f>"SAÍDA"</f>
        <v>SAÍDA</v>
      </c>
      <c r="C3076" t="str">
        <f>"PIX"</f>
        <v>PIX</v>
      </c>
      <c r="D3076" t="str">
        <f>"34484"</f>
        <v>34484</v>
      </c>
      <c r="E3076" t="str">
        <f>"1"</f>
        <v>1</v>
      </c>
      <c r="F3076" t="str">
        <f t="shared" si="559"/>
        <v>COM</v>
      </c>
      <c r="G3076" t="str">
        <f>"GABRIEL PRATES DE OLIVEIRA (511)"</f>
        <v>GABRIEL PRATES DE OLIVEIRA (511)</v>
      </c>
      <c r="H3076" t="s">
        <v>928</v>
      </c>
      <c r="I3076" t="str">
        <f t="shared" si="558"/>
        <v>19/03/2026</v>
      </c>
      <c r="J3076" t="str">
        <f>("09/03/2026")</f>
        <v>09/03/2026</v>
      </c>
      <c r="K3076">
        <v>46099</v>
      </c>
      <c r="N3076">
        <v>109</v>
      </c>
      <c r="O3076" t="s">
        <v>27</v>
      </c>
      <c r="Q3076">
        <v>60</v>
      </c>
      <c r="R3076" t="str">
        <f>"FARMÁCIA INDIANA LJ 163 (10072)"</f>
        <v>FARMÁCIA INDIANA LJ 163 (10072)</v>
      </c>
      <c r="S3076" t="s">
        <v>22</v>
      </c>
      <c r="T3076">
        <v>31261</v>
      </c>
      <c r="U3076">
        <v>35575</v>
      </c>
      <c r="V3076" t="s">
        <v>22</v>
      </c>
    </row>
    <row r="3077" spans="1:22">
      <c r="A3077" t="str">
        <f t="shared" si="556"/>
        <v>18/03/2026</v>
      </c>
      <c r="B3077" t="str">
        <f>"ENTRADA"</f>
        <v>ENTRADA</v>
      </c>
      <c r="C3077" t="str">
        <f>"DINHEIRO"</f>
        <v>DINHEIRO</v>
      </c>
      <c r="D3077" t="str">
        <f>"19032026"</f>
        <v>19032026</v>
      </c>
      <c r="E3077" t="str">
        <f>""</f>
        <v/>
      </c>
      <c r="F3077" t="str">
        <f t="shared" si="559"/>
        <v>COM</v>
      </c>
      <c r="G3077" t="str">
        <f>"GABRIEL PRATES DE OLIVEIRA (511)"</f>
        <v>GABRIEL PRATES DE OLIVEIRA (511)</v>
      </c>
      <c r="H3077" t="str">
        <f>"REELMBOLSO CERTIFICADO DIGITAL 1/2"</f>
        <v>REELMBOLSO CERTIFICADO DIGITAL 1/2</v>
      </c>
      <c r="I3077" t="str">
        <f t="shared" si="558"/>
        <v>19/03/2026</v>
      </c>
      <c r="J3077" t="str">
        <f>("18/03/2026")</f>
        <v>18/03/2026</v>
      </c>
      <c r="K3077" t="str">
        <f>("18/03/2026")</f>
        <v>18/03/2026</v>
      </c>
      <c r="L3077">
        <v>60</v>
      </c>
      <c r="M3077">
        <v>60</v>
      </c>
      <c r="N3077">
        <v>108</v>
      </c>
      <c r="O3077" t="str">
        <f>"RECEITAS COM REEMBOLSOS"</f>
        <v>RECEITAS COM REEMBOLSOS</v>
      </c>
      <c r="P3077">
        <v>60</v>
      </c>
      <c r="S3077" t="str">
        <f>"RECEITAS COM REEMBOLSOS (108)"</f>
        <v>RECEITAS COM REEMBOLSOS (108)</v>
      </c>
      <c r="T3077">
        <v>31262</v>
      </c>
      <c r="U3077">
        <v>35573</v>
      </c>
      <c r="V3077" t="s">
        <v>22</v>
      </c>
    </row>
    <row r="3078" spans="1:22">
      <c r="A3078" t="str">
        <f t="shared" si="556"/>
        <v>18/03/2026</v>
      </c>
      <c r="B3078" t="str">
        <f>"ENTRADA"</f>
        <v>ENTRADA</v>
      </c>
      <c r="C3078" t="str">
        <f>"DINHEIRO"</f>
        <v>DINHEIRO</v>
      </c>
      <c r="D3078" t="str">
        <f>"19032026"</f>
        <v>19032026</v>
      </c>
      <c r="E3078" t="str">
        <f>""</f>
        <v/>
      </c>
      <c r="F3078" t="str">
        <f t="shared" si="559"/>
        <v>COM</v>
      </c>
      <c r="G3078" t="str">
        <f>"GABRIEL PRATES DE OLIVEIRA (511)"</f>
        <v>GABRIEL PRATES DE OLIVEIRA (511)</v>
      </c>
      <c r="H3078" t="s">
        <v>913</v>
      </c>
      <c r="I3078" t="str">
        <f t="shared" si="558"/>
        <v>19/03/2026</v>
      </c>
      <c r="J3078" t="str">
        <f>("18/03/2026")</f>
        <v>18/03/2026</v>
      </c>
      <c r="K3078">
        <v>46099</v>
      </c>
      <c r="N3078">
        <v>108</v>
      </c>
      <c r="O3078" t="s">
        <v>871</v>
      </c>
      <c r="Q3078">
        <v>60</v>
      </c>
      <c r="R3078" t="str">
        <f>"GABRIEL PRATES DE OLIVEIRA (511)"</f>
        <v>GABRIEL PRATES DE OLIVEIRA (511)</v>
      </c>
      <c r="S3078" t="s">
        <v>872</v>
      </c>
      <c r="T3078">
        <v>31262</v>
      </c>
      <c r="U3078">
        <v>35573</v>
      </c>
      <c r="V3078" t="s">
        <v>22</v>
      </c>
    </row>
    <row r="3079" spans="1:22">
      <c r="A3079" t="str">
        <f t="shared" si="556"/>
        <v>18/03/2026</v>
      </c>
      <c r="B3079" t="str">
        <f>"SAÍDA"</f>
        <v>SAÍDA</v>
      </c>
      <c r="C3079" t="str">
        <f>"PIX"</f>
        <v>PIX</v>
      </c>
      <c r="D3079" t="str">
        <f>"34607"</f>
        <v>34607</v>
      </c>
      <c r="E3079" t="str">
        <f>"1"</f>
        <v>1</v>
      </c>
      <c r="F3079" t="str">
        <f t="shared" si="559"/>
        <v>COM</v>
      </c>
      <c r="G3079" t="str">
        <f>"MARCIO CLAUDIO DE ARAUJO (204)"</f>
        <v>MARCIO CLAUDIO DE ARAUJO (204)</v>
      </c>
      <c r="H3079" t="str">
        <f>"Serv.Prest. 02/03/2026 a 08/03/2026 - PIX: CELULAR - CHAVE: (33) 98427-3872"</f>
        <v>Serv.Prest. 02/03/2026 a 08/03/2026 - PIX: CELULAR - CHAVE: (33) 98427-3872</v>
      </c>
      <c r="I3079" t="str">
        <f t="shared" si="558"/>
        <v>19/03/2026</v>
      </c>
      <c r="J3079" t="str">
        <f>("10/03/2026")</f>
        <v>10/03/2026</v>
      </c>
      <c r="K3079" t="str">
        <f>("18/03/2026")</f>
        <v>18/03/2026</v>
      </c>
      <c r="L3079">
        <v>60</v>
      </c>
      <c r="M3079">
        <v>60</v>
      </c>
      <c r="N3079">
        <v>109</v>
      </c>
      <c r="O3079" t="str">
        <f>"PAGAMENTO DE ENTREGADORES"</f>
        <v>PAGAMENTO DE ENTREGADORES</v>
      </c>
      <c r="P3079">
        <v>60</v>
      </c>
      <c r="S3079" t="str">
        <f>"CAIXA MOVIMENTAÇÃO OPERACIONAL (132)"</f>
        <v>CAIXA MOVIMENTAÇÃO OPERACIONAL (132)</v>
      </c>
      <c r="T3079">
        <v>31263</v>
      </c>
      <c r="U3079">
        <v>35578</v>
      </c>
      <c r="V3079" t="s">
        <v>22</v>
      </c>
    </row>
    <row r="3080" spans="1:22">
      <c r="A3080" t="str">
        <f t="shared" si="556"/>
        <v>18/03/2026</v>
      </c>
      <c r="B3080" t="str">
        <f>"SAÍDA"</f>
        <v>SAÍDA</v>
      </c>
      <c r="C3080" t="str">
        <f>"PIX"</f>
        <v>PIX</v>
      </c>
      <c r="D3080" t="str">
        <f>"34607"</f>
        <v>34607</v>
      </c>
      <c r="E3080" t="str">
        <f>"1"</f>
        <v>1</v>
      </c>
      <c r="F3080" t="str">
        <f t="shared" si="559"/>
        <v>COM</v>
      </c>
      <c r="G3080" t="str">
        <f>"MARCIO CLAUDIO DE ARAUJO (204)"</f>
        <v>MARCIO CLAUDIO DE ARAUJO (204)</v>
      </c>
      <c r="H3080" t="s">
        <v>929</v>
      </c>
      <c r="I3080" t="str">
        <f t="shared" si="558"/>
        <v>19/03/2026</v>
      </c>
      <c r="J3080" t="str">
        <f>("10/03/2026")</f>
        <v>10/03/2026</v>
      </c>
      <c r="K3080">
        <v>46099</v>
      </c>
      <c r="N3080">
        <v>109</v>
      </c>
      <c r="O3080" t="s">
        <v>27</v>
      </c>
      <c r="Q3080">
        <v>60</v>
      </c>
      <c r="R3080" t="str">
        <f>"FARMÁCIA INDIANA LJ 06 (10006)"</f>
        <v>FARMÁCIA INDIANA LJ 06 (10006)</v>
      </c>
      <c r="S3080" t="s">
        <v>22</v>
      </c>
      <c r="T3080">
        <v>31263</v>
      </c>
      <c r="U3080">
        <v>35578</v>
      </c>
      <c r="V3080" t="s">
        <v>22</v>
      </c>
    </row>
    <row r="3081" spans="1:22">
      <c r="A3081" t="str">
        <f t="shared" si="556"/>
        <v>18/03/2026</v>
      </c>
      <c r="B3081" t="str">
        <f>"ENTRADA"</f>
        <v>ENTRADA</v>
      </c>
      <c r="C3081" t="str">
        <f>"DINHEIRO"</f>
        <v>DINHEIRO</v>
      </c>
      <c r="D3081" t="str">
        <f>"19032026"</f>
        <v>19032026</v>
      </c>
      <c r="E3081" t="str">
        <f>""</f>
        <v/>
      </c>
      <c r="F3081" t="str">
        <f t="shared" si="559"/>
        <v>COM</v>
      </c>
      <c r="G3081" t="str">
        <f>"MARCIO CLAUDIO DE ARAUJO (204)"</f>
        <v>MARCIO CLAUDIO DE ARAUJO (204)</v>
      </c>
      <c r="H3081" t="str">
        <f>"REELMBOLSO CERTIFICADO DIGITAL 1/2"</f>
        <v>REELMBOLSO CERTIFICADO DIGITAL 1/2</v>
      </c>
      <c r="I3081" t="str">
        <f t="shared" si="558"/>
        <v>19/03/2026</v>
      </c>
      <c r="J3081" t="str">
        <f>("18/03/2026")</f>
        <v>18/03/2026</v>
      </c>
      <c r="K3081" t="str">
        <f>("18/03/2026")</f>
        <v>18/03/2026</v>
      </c>
      <c r="L3081">
        <v>60</v>
      </c>
      <c r="M3081">
        <v>60</v>
      </c>
      <c r="N3081">
        <v>108</v>
      </c>
      <c r="O3081" t="str">
        <f>"RECEITAS COM REEMBOLSOS"</f>
        <v>RECEITAS COM REEMBOLSOS</v>
      </c>
      <c r="P3081">
        <v>60</v>
      </c>
      <c r="S3081" t="str">
        <f>"RECEITAS COM REEMBOLSOS (108)"</f>
        <v>RECEITAS COM REEMBOLSOS (108)</v>
      </c>
      <c r="T3081">
        <v>31264</v>
      </c>
      <c r="U3081">
        <v>35576</v>
      </c>
      <c r="V3081" t="s">
        <v>22</v>
      </c>
    </row>
    <row r="3082" spans="1:22">
      <c r="A3082" t="str">
        <f t="shared" si="556"/>
        <v>18/03/2026</v>
      </c>
      <c r="B3082" t="str">
        <f>"ENTRADA"</f>
        <v>ENTRADA</v>
      </c>
      <c r="C3082" t="str">
        <f>"DINHEIRO"</f>
        <v>DINHEIRO</v>
      </c>
      <c r="D3082" t="str">
        <f>"19032026"</f>
        <v>19032026</v>
      </c>
      <c r="E3082" t="str">
        <f>""</f>
        <v/>
      </c>
      <c r="F3082" t="str">
        <f t="shared" si="559"/>
        <v>COM</v>
      </c>
      <c r="G3082" t="str">
        <f>"MARCIO CLAUDIO DE ARAUJO (204)"</f>
        <v>MARCIO CLAUDIO DE ARAUJO (204)</v>
      </c>
      <c r="H3082" t="s">
        <v>913</v>
      </c>
      <c r="I3082" t="str">
        <f t="shared" si="558"/>
        <v>19/03/2026</v>
      </c>
      <c r="J3082" t="str">
        <f>("18/03/2026")</f>
        <v>18/03/2026</v>
      </c>
      <c r="K3082">
        <v>46099</v>
      </c>
      <c r="N3082">
        <v>108</v>
      </c>
      <c r="O3082" t="s">
        <v>871</v>
      </c>
      <c r="Q3082">
        <v>60</v>
      </c>
      <c r="R3082" t="str">
        <f>"MARCIO CLAUDIO DE ARAUJO (204)"</f>
        <v>MARCIO CLAUDIO DE ARAUJO (204)</v>
      </c>
      <c r="S3082" t="s">
        <v>872</v>
      </c>
      <c r="T3082">
        <v>31264</v>
      </c>
      <c r="U3082">
        <v>35576</v>
      </c>
      <c r="V3082" t="s">
        <v>22</v>
      </c>
    </row>
    <row r="3083" spans="1:22">
      <c r="A3083" t="str">
        <f t="shared" si="556"/>
        <v>18/03/2026</v>
      </c>
      <c r="B3083" t="str">
        <f>"SAÍDA"</f>
        <v>SAÍDA</v>
      </c>
      <c r="C3083" t="str">
        <f>"PIX"</f>
        <v>PIX</v>
      </c>
      <c r="D3083" t="str">
        <f>"34903"</f>
        <v>34903</v>
      </c>
      <c r="E3083" t="str">
        <f>"1"</f>
        <v>1</v>
      </c>
      <c r="F3083" t="str">
        <f t="shared" si="559"/>
        <v>COM</v>
      </c>
      <c r="G3083" t="str">
        <f>"ANDERSON LUIZ SOARES (807)"</f>
        <v>ANDERSON LUIZ SOARES (807)</v>
      </c>
      <c r="H3083" t="str">
        <f>"Serv.Prest. 09/03/2026 a 15/03/2026 - PIX: CELULAR - CHAVE: (32) 99920-0416"</f>
        <v>Serv.Prest. 09/03/2026 a 15/03/2026 - PIX: CELULAR - CHAVE: (32) 99920-0416</v>
      </c>
      <c r="I3083" t="str">
        <f t="shared" si="558"/>
        <v>19/03/2026</v>
      </c>
      <c r="J3083" t="str">
        <f>("16/03/2026")</f>
        <v>16/03/2026</v>
      </c>
      <c r="K3083" t="str">
        <f>("18/03/2026")</f>
        <v>18/03/2026</v>
      </c>
      <c r="L3083">
        <v>60</v>
      </c>
      <c r="M3083">
        <v>60</v>
      </c>
      <c r="N3083">
        <v>109</v>
      </c>
      <c r="O3083" t="str">
        <f>"PAGAMENTO DE ENTREGADORES"</f>
        <v>PAGAMENTO DE ENTREGADORES</v>
      </c>
      <c r="P3083">
        <v>60</v>
      </c>
      <c r="S3083" t="str">
        <f>"CAIXA MOVIMENTAÇÃO OPERACIONAL (132)"</f>
        <v>CAIXA MOVIMENTAÇÃO OPERACIONAL (132)</v>
      </c>
      <c r="T3083">
        <v>31265</v>
      </c>
      <c r="U3083">
        <v>35581</v>
      </c>
      <c r="V3083" t="s">
        <v>22</v>
      </c>
    </row>
    <row r="3084" spans="1:22">
      <c r="A3084" t="str">
        <f t="shared" si="556"/>
        <v>18/03/2026</v>
      </c>
      <c r="B3084" t="str">
        <f>"SAÍDA"</f>
        <v>SAÍDA</v>
      </c>
      <c r="C3084" t="str">
        <f>"PIX"</f>
        <v>PIX</v>
      </c>
      <c r="D3084" t="str">
        <f>"34903"</f>
        <v>34903</v>
      </c>
      <c r="E3084" t="str">
        <f>"1"</f>
        <v>1</v>
      </c>
      <c r="F3084" t="str">
        <f t="shared" si="559"/>
        <v>COM</v>
      </c>
      <c r="G3084" t="str">
        <f>"ANDERSON LUIZ SOARES (807)"</f>
        <v>ANDERSON LUIZ SOARES (807)</v>
      </c>
      <c r="H3084" t="s">
        <v>930</v>
      </c>
      <c r="I3084" t="str">
        <f t="shared" si="558"/>
        <v>19/03/2026</v>
      </c>
      <c r="J3084" t="str">
        <f>("16/03/2026")</f>
        <v>16/03/2026</v>
      </c>
      <c r="K3084">
        <v>46099</v>
      </c>
      <c r="N3084">
        <v>109</v>
      </c>
      <c r="O3084" t="s">
        <v>27</v>
      </c>
      <c r="Q3084">
        <v>60</v>
      </c>
      <c r="R3084" t="str">
        <f>"DROGARIA ANA VISCONDE DO RIO BRANCO (10182)"</f>
        <v>DROGARIA ANA VISCONDE DO RIO BRANCO (10182)</v>
      </c>
      <c r="S3084" t="s">
        <v>22</v>
      </c>
      <c r="T3084">
        <v>31265</v>
      </c>
      <c r="U3084">
        <v>35581</v>
      </c>
      <c r="V3084" t="s">
        <v>22</v>
      </c>
    </row>
    <row r="3085" spans="1:22">
      <c r="A3085" t="str">
        <f t="shared" si="556"/>
        <v>18/03/2026</v>
      </c>
      <c r="B3085" t="str">
        <f>"ENTRADA"</f>
        <v>ENTRADA</v>
      </c>
      <c r="C3085" t="str">
        <f>"DINHEIRO"</f>
        <v>DINHEIRO</v>
      </c>
      <c r="D3085" t="str">
        <f>"19032026"</f>
        <v>19032026</v>
      </c>
      <c r="E3085" t="str">
        <f>""</f>
        <v/>
      </c>
      <c r="F3085" t="str">
        <f t="shared" si="559"/>
        <v>COM</v>
      </c>
      <c r="G3085" t="str">
        <f>"ANDERSON LUIZ SOARES (807)"</f>
        <v>ANDERSON LUIZ SOARES (807)</v>
      </c>
      <c r="H3085" t="str">
        <f>"REELMBOLSO CERTIFICADO DIGITAL 1/2"</f>
        <v>REELMBOLSO CERTIFICADO DIGITAL 1/2</v>
      </c>
      <c r="I3085" t="str">
        <f t="shared" si="558"/>
        <v>19/03/2026</v>
      </c>
      <c r="J3085" t="str">
        <f>("18/03/2026")</f>
        <v>18/03/2026</v>
      </c>
      <c r="K3085" t="str">
        <f>("18/03/2026")</f>
        <v>18/03/2026</v>
      </c>
      <c r="L3085">
        <v>60</v>
      </c>
      <c r="M3085">
        <v>60</v>
      </c>
      <c r="N3085">
        <v>108</v>
      </c>
      <c r="O3085" t="str">
        <f>"RECEITAS COM REEMBOLSOS"</f>
        <v>RECEITAS COM REEMBOLSOS</v>
      </c>
      <c r="P3085">
        <v>60</v>
      </c>
      <c r="S3085" t="str">
        <f>"RECEITAS COM REEMBOLSOS (108)"</f>
        <v>RECEITAS COM REEMBOLSOS (108)</v>
      </c>
      <c r="T3085">
        <v>31266</v>
      </c>
      <c r="U3085">
        <v>35579</v>
      </c>
      <c r="V3085" t="s">
        <v>22</v>
      </c>
    </row>
    <row r="3086" spans="1:22">
      <c r="A3086" t="str">
        <f t="shared" si="556"/>
        <v>18/03/2026</v>
      </c>
      <c r="B3086" t="str">
        <f>"ENTRADA"</f>
        <v>ENTRADA</v>
      </c>
      <c r="C3086" t="str">
        <f>"DINHEIRO"</f>
        <v>DINHEIRO</v>
      </c>
      <c r="D3086" t="str">
        <f>"19032026"</f>
        <v>19032026</v>
      </c>
      <c r="E3086" t="str">
        <f>""</f>
        <v/>
      </c>
      <c r="F3086" t="str">
        <f t="shared" si="559"/>
        <v>COM</v>
      </c>
      <c r="G3086" t="str">
        <f>"ANDERSON LUIZ SOARES (807)"</f>
        <v>ANDERSON LUIZ SOARES (807)</v>
      </c>
      <c r="H3086" t="s">
        <v>913</v>
      </c>
      <c r="I3086" t="str">
        <f t="shared" si="558"/>
        <v>19/03/2026</v>
      </c>
      <c r="J3086" t="str">
        <f>("18/03/2026")</f>
        <v>18/03/2026</v>
      </c>
      <c r="K3086">
        <v>46099</v>
      </c>
      <c r="N3086">
        <v>108</v>
      </c>
      <c r="O3086" t="s">
        <v>871</v>
      </c>
      <c r="Q3086">
        <v>60</v>
      </c>
      <c r="R3086" t="str">
        <f>"ANDERSON LUIZ SOARES (807)"</f>
        <v>ANDERSON LUIZ SOARES (807)</v>
      </c>
      <c r="S3086" t="s">
        <v>872</v>
      </c>
      <c r="T3086">
        <v>31266</v>
      </c>
      <c r="U3086">
        <v>35579</v>
      </c>
      <c r="V3086" t="s">
        <v>22</v>
      </c>
    </row>
    <row r="3087" spans="1:22">
      <c r="A3087" t="str">
        <f t="shared" si="556"/>
        <v>18/03/2026</v>
      </c>
      <c r="B3087" t="str">
        <f>"SAÍDA"</f>
        <v>SAÍDA</v>
      </c>
      <c r="C3087" t="str">
        <f>"PIX"</f>
        <v>PIX</v>
      </c>
      <c r="D3087" t="str">
        <f>"34579"</f>
        <v>34579</v>
      </c>
      <c r="E3087" t="str">
        <f>"1"</f>
        <v>1</v>
      </c>
      <c r="F3087" t="str">
        <f t="shared" si="559"/>
        <v>COM</v>
      </c>
      <c r="G3087" t="str">
        <f>"GUILHERME QUINTINO DA ROCHA (199)"</f>
        <v>GUILHERME QUINTINO DA ROCHA (199)</v>
      </c>
      <c r="H3087" t="str">
        <f>"Serv.Prest. 02/03/2026 a 08/03/2026 - PIX: CELULAR - CHAVE: (33) 99706-4860"</f>
        <v>Serv.Prest. 02/03/2026 a 08/03/2026 - PIX: CELULAR - CHAVE: (33) 99706-4860</v>
      </c>
      <c r="I3087" t="str">
        <f t="shared" si="558"/>
        <v>19/03/2026</v>
      </c>
      <c r="J3087" t="str">
        <f>("10/03/2026")</f>
        <v>10/03/2026</v>
      </c>
      <c r="K3087" t="str">
        <f>("18/03/2026")</f>
        <v>18/03/2026</v>
      </c>
      <c r="L3087">
        <v>60</v>
      </c>
      <c r="M3087">
        <v>60</v>
      </c>
      <c r="N3087">
        <v>109</v>
      </c>
      <c r="O3087" t="str">
        <f>"PAGAMENTO DE ENTREGADORES"</f>
        <v>PAGAMENTO DE ENTREGADORES</v>
      </c>
      <c r="P3087">
        <v>60</v>
      </c>
      <c r="S3087" t="str">
        <f>"CAIXA MOVIMENTAÇÃO OPERACIONAL (132)"</f>
        <v>CAIXA MOVIMENTAÇÃO OPERACIONAL (132)</v>
      </c>
      <c r="T3087">
        <v>31267</v>
      </c>
      <c r="U3087">
        <v>35584</v>
      </c>
      <c r="V3087" t="s">
        <v>22</v>
      </c>
    </row>
    <row r="3088" spans="1:22">
      <c r="A3088" t="str">
        <f t="shared" si="556"/>
        <v>18/03/2026</v>
      </c>
      <c r="B3088" t="str">
        <f>"SAÍDA"</f>
        <v>SAÍDA</v>
      </c>
      <c r="C3088" t="str">
        <f>"PIX"</f>
        <v>PIX</v>
      </c>
      <c r="D3088" t="str">
        <f>"34579"</f>
        <v>34579</v>
      </c>
      <c r="E3088" t="str">
        <f>"1"</f>
        <v>1</v>
      </c>
      <c r="F3088" t="str">
        <f t="shared" si="559"/>
        <v>COM</v>
      </c>
      <c r="G3088" t="str">
        <f>"GUILHERME QUINTINO DA ROCHA (199)"</f>
        <v>GUILHERME QUINTINO DA ROCHA (199)</v>
      </c>
      <c r="H3088" t="s">
        <v>852</v>
      </c>
      <c r="I3088" t="str">
        <f t="shared" si="558"/>
        <v>19/03/2026</v>
      </c>
      <c r="J3088" t="str">
        <f>("10/03/2026")</f>
        <v>10/03/2026</v>
      </c>
      <c r="K3088">
        <v>46099</v>
      </c>
      <c r="N3088">
        <v>109</v>
      </c>
      <c r="O3088" t="s">
        <v>27</v>
      </c>
      <c r="Q3088">
        <v>60</v>
      </c>
      <c r="R3088" t="str">
        <f>"FARMÁCIA INDIANA LJ 06 (10006)"</f>
        <v>FARMÁCIA INDIANA LJ 06 (10006)</v>
      </c>
      <c r="S3088" t="s">
        <v>22</v>
      </c>
      <c r="T3088">
        <v>31267</v>
      </c>
      <c r="U3088">
        <v>35584</v>
      </c>
      <c r="V3088" t="s">
        <v>22</v>
      </c>
    </row>
    <row r="3089" spans="1:22">
      <c r="A3089" t="str">
        <f t="shared" si="556"/>
        <v>18/03/2026</v>
      </c>
      <c r="B3089" t="str">
        <f>"ENTRADA"</f>
        <v>ENTRADA</v>
      </c>
      <c r="C3089" t="str">
        <f>"DINHEIRO"</f>
        <v>DINHEIRO</v>
      </c>
      <c r="D3089" t="str">
        <f>"19032026"</f>
        <v>19032026</v>
      </c>
      <c r="E3089" t="str">
        <f>""</f>
        <v/>
      </c>
      <c r="F3089" t="str">
        <f t="shared" si="559"/>
        <v>COM</v>
      </c>
      <c r="G3089" t="str">
        <f>"GUILHERME QUINTINO DA ROCHA (199)"</f>
        <v>GUILHERME QUINTINO DA ROCHA (199)</v>
      </c>
      <c r="H3089" t="str">
        <f>"REELMBOLSO CERTIFICADO DIGITAL 1/2"</f>
        <v>REELMBOLSO CERTIFICADO DIGITAL 1/2</v>
      </c>
      <c r="I3089" t="str">
        <f t="shared" si="558"/>
        <v>19/03/2026</v>
      </c>
      <c r="J3089" t="str">
        <f>("18/03/2026")</f>
        <v>18/03/2026</v>
      </c>
      <c r="K3089" t="str">
        <f>("18/03/2026")</f>
        <v>18/03/2026</v>
      </c>
      <c r="L3089">
        <v>60</v>
      </c>
      <c r="M3089">
        <v>60</v>
      </c>
      <c r="N3089">
        <v>108</v>
      </c>
      <c r="O3089" t="str">
        <f>"RECEITAS COM REEMBOLSOS"</f>
        <v>RECEITAS COM REEMBOLSOS</v>
      </c>
      <c r="P3089">
        <v>60</v>
      </c>
      <c r="S3089" t="str">
        <f>"RECEITAS COM REEMBOLSOS (108)"</f>
        <v>RECEITAS COM REEMBOLSOS (108)</v>
      </c>
      <c r="T3089">
        <v>31268</v>
      </c>
      <c r="U3089">
        <v>35582</v>
      </c>
      <c r="V3089" t="s">
        <v>22</v>
      </c>
    </row>
    <row r="3090" spans="1:22">
      <c r="A3090" t="str">
        <f t="shared" si="556"/>
        <v>18/03/2026</v>
      </c>
      <c r="B3090" t="str">
        <f>"ENTRADA"</f>
        <v>ENTRADA</v>
      </c>
      <c r="C3090" t="str">
        <f>"DINHEIRO"</f>
        <v>DINHEIRO</v>
      </c>
      <c r="D3090" t="str">
        <f>"19032026"</f>
        <v>19032026</v>
      </c>
      <c r="E3090" t="str">
        <f>""</f>
        <v/>
      </c>
      <c r="F3090" t="str">
        <f t="shared" si="559"/>
        <v>COM</v>
      </c>
      <c r="G3090" t="str">
        <f>"GUILHERME QUINTINO DA ROCHA (199)"</f>
        <v>GUILHERME QUINTINO DA ROCHA (199)</v>
      </c>
      <c r="H3090" t="s">
        <v>913</v>
      </c>
      <c r="I3090" t="str">
        <f t="shared" si="558"/>
        <v>19/03/2026</v>
      </c>
      <c r="J3090" t="str">
        <f>("18/03/2026")</f>
        <v>18/03/2026</v>
      </c>
      <c r="K3090">
        <v>46099</v>
      </c>
      <c r="N3090">
        <v>108</v>
      </c>
      <c r="O3090" t="s">
        <v>871</v>
      </c>
      <c r="Q3090">
        <v>60</v>
      </c>
      <c r="R3090" t="str">
        <f>"GUILHERME QUINTINO DA ROCHA (199)"</f>
        <v>GUILHERME QUINTINO DA ROCHA (199)</v>
      </c>
      <c r="S3090" t="s">
        <v>872</v>
      </c>
      <c r="T3090">
        <v>31268</v>
      </c>
      <c r="U3090">
        <v>35582</v>
      </c>
      <c r="V3090" t="s">
        <v>22</v>
      </c>
    </row>
    <row r="3091" spans="1:22">
      <c r="A3091" t="str">
        <f t="shared" si="556"/>
        <v>18/03/2026</v>
      </c>
      <c r="B3091" t="str">
        <f>"SAÍDA"</f>
        <v>SAÍDA</v>
      </c>
      <c r="C3091" t="str">
        <f>"PIX"</f>
        <v>PIX</v>
      </c>
      <c r="D3091" t="str">
        <f>"34608"</f>
        <v>34608</v>
      </c>
      <c r="E3091" t="str">
        <f>"1"</f>
        <v>1</v>
      </c>
      <c r="F3091" t="str">
        <f t="shared" si="559"/>
        <v>COM</v>
      </c>
      <c r="G3091" t="str">
        <f>"MARCOS DIONI RODRIGUES GASPAR (506)"</f>
        <v>MARCOS DIONI RODRIGUES GASPAR (506)</v>
      </c>
      <c r="H3091" t="str">
        <f>"Serv.Prest. 02/03/2026 a 08/03/2026 - PIX: E-MAIL - CHAVE: dih.mdr@gmail.com"</f>
        <v>Serv.Prest. 02/03/2026 a 08/03/2026 - PIX: E-MAIL - CHAVE: dih.mdr@gmail.com</v>
      </c>
      <c r="I3091" t="str">
        <f t="shared" si="558"/>
        <v>19/03/2026</v>
      </c>
      <c r="J3091" t="str">
        <f>("10/03/2026")</f>
        <v>10/03/2026</v>
      </c>
      <c r="K3091" t="str">
        <f>("18/03/2026")</f>
        <v>18/03/2026</v>
      </c>
      <c r="L3091">
        <v>60</v>
      </c>
      <c r="M3091">
        <v>60</v>
      </c>
      <c r="N3091">
        <v>109</v>
      </c>
      <c r="O3091" t="str">
        <f>"PAGAMENTO DE ENTREGADORES"</f>
        <v>PAGAMENTO DE ENTREGADORES</v>
      </c>
      <c r="P3091">
        <v>60</v>
      </c>
      <c r="S3091" t="str">
        <f>"CAIXA MOVIMENTAÇÃO OPERACIONAL (132)"</f>
        <v>CAIXA MOVIMENTAÇÃO OPERACIONAL (132)</v>
      </c>
      <c r="T3091">
        <v>31269</v>
      </c>
      <c r="U3091">
        <v>35587</v>
      </c>
      <c r="V3091" t="s">
        <v>22</v>
      </c>
    </row>
    <row r="3092" spans="1:22">
      <c r="A3092" t="str">
        <f t="shared" si="556"/>
        <v>18/03/2026</v>
      </c>
      <c r="B3092" t="str">
        <f>"SAÍDA"</f>
        <v>SAÍDA</v>
      </c>
      <c r="C3092" t="str">
        <f>"PIX"</f>
        <v>PIX</v>
      </c>
      <c r="D3092" t="str">
        <f>"34608"</f>
        <v>34608</v>
      </c>
      <c r="E3092" t="str">
        <f>"1"</f>
        <v>1</v>
      </c>
      <c r="F3092" t="str">
        <f t="shared" si="559"/>
        <v>COM</v>
      </c>
      <c r="G3092" t="str">
        <f>"MARCOS DIONI RODRIGUES GASPAR (506)"</f>
        <v>MARCOS DIONI RODRIGUES GASPAR (506)</v>
      </c>
      <c r="H3092" t="s">
        <v>860</v>
      </c>
      <c r="I3092" t="str">
        <f t="shared" si="558"/>
        <v>19/03/2026</v>
      </c>
      <c r="J3092" t="str">
        <f>("10/03/2026")</f>
        <v>10/03/2026</v>
      </c>
      <c r="K3092">
        <v>46099</v>
      </c>
      <c r="N3092">
        <v>109</v>
      </c>
      <c r="O3092" t="s">
        <v>27</v>
      </c>
      <c r="Q3092">
        <v>60</v>
      </c>
      <c r="R3092" t="str">
        <f>"FARMÁCIA INDIANA LJ 06 (10006)"</f>
        <v>FARMÁCIA INDIANA LJ 06 (10006)</v>
      </c>
      <c r="S3092" t="s">
        <v>22</v>
      </c>
      <c r="T3092">
        <v>31269</v>
      </c>
      <c r="U3092">
        <v>35587</v>
      </c>
      <c r="V3092" t="s">
        <v>22</v>
      </c>
    </row>
    <row r="3093" spans="1:22">
      <c r="A3093" t="str">
        <f t="shared" si="556"/>
        <v>18/03/2026</v>
      </c>
      <c r="B3093" t="str">
        <f>"ENTRADA"</f>
        <v>ENTRADA</v>
      </c>
      <c r="C3093" t="str">
        <f>"DINHEIRO"</f>
        <v>DINHEIRO</v>
      </c>
      <c r="D3093" t="str">
        <f>"19032026"</f>
        <v>19032026</v>
      </c>
      <c r="E3093" t="str">
        <f>""</f>
        <v/>
      </c>
      <c r="F3093" t="str">
        <f t="shared" si="559"/>
        <v>COM</v>
      </c>
      <c r="G3093" t="str">
        <f>"MARCOS DIONI RODRIGUES GASPAR (506)"</f>
        <v>MARCOS DIONI RODRIGUES GASPAR (506)</v>
      </c>
      <c r="H3093" t="str">
        <f>"REELMBOLSO CERTIFICADO DIGITAL 1/2"</f>
        <v>REELMBOLSO CERTIFICADO DIGITAL 1/2</v>
      </c>
      <c r="I3093" t="str">
        <f t="shared" ref="I3093:I3098" si="560">("19/03/2026")</f>
        <v>19/03/2026</v>
      </c>
      <c r="J3093" t="str">
        <f>("18/03/2026")</f>
        <v>18/03/2026</v>
      </c>
      <c r="K3093" t="str">
        <f>("18/03/2026")</f>
        <v>18/03/2026</v>
      </c>
      <c r="L3093">
        <v>60</v>
      </c>
      <c r="M3093">
        <v>60</v>
      </c>
      <c r="N3093">
        <v>108</v>
      </c>
      <c r="O3093" t="str">
        <f>"RECEITAS COM REEMBOLSOS"</f>
        <v>RECEITAS COM REEMBOLSOS</v>
      </c>
      <c r="P3093">
        <v>60</v>
      </c>
      <c r="S3093" t="str">
        <f>"RECEITAS COM REEMBOLSOS (108)"</f>
        <v>RECEITAS COM REEMBOLSOS (108)</v>
      </c>
      <c r="T3093">
        <v>31270</v>
      </c>
      <c r="U3093">
        <v>35585</v>
      </c>
      <c r="V3093" t="s">
        <v>22</v>
      </c>
    </row>
    <row r="3094" spans="1:22">
      <c r="A3094" t="str">
        <f t="shared" si="556"/>
        <v>18/03/2026</v>
      </c>
      <c r="B3094" t="str">
        <f>"ENTRADA"</f>
        <v>ENTRADA</v>
      </c>
      <c r="C3094" t="str">
        <f>"DINHEIRO"</f>
        <v>DINHEIRO</v>
      </c>
      <c r="D3094" t="str">
        <f>"19032026"</f>
        <v>19032026</v>
      </c>
      <c r="E3094" t="str">
        <f>""</f>
        <v/>
      </c>
      <c r="F3094" t="str">
        <f t="shared" si="559"/>
        <v>COM</v>
      </c>
      <c r="G3094" t="str">
        <f>"MARCOS DIONI RODRIGUES GASPAR (506)"</f>
        <v>MARCOS DIONI RODRIGUES GASPAR (506)</v>
      </c>
      <c r="H3094" t="s">
        <v>913</v>
      </c>
      <c r="I3094" t="str">
        <f t="shared" si="560"/>
        <v>19/03/2026</v>
      </c>
      <c r="J3094" t="str">
        <f>("18/03/2026")</f>
        <v>18/03/2026</v>
      </c>
      <c r="K3094">
        <v>46099</v>
      </c>
      <c r="N3094">
        <v>108</v>
      </c>
      <c r="O3094" t="s">
        <v>871</v>
      </c>
      <c r="Q3094">
        <v>60</v>
      </c>
      <c r="R3094" t="str">
        <f>"MARCOS DIONI RODRIGUES GASPAR (506)"</f>
        <v>MARCOS DIONI RODRIGUES GASPAR (506)</v>
      </c>
      <c r="S3094" t="s">
        <v>872</v>
      </c>
      <c r="T3094">
        <v>31270</v>
      </c>
      <c r="U3094">
        <v>35585</v>
      </c>
      <c r="V3094" t="s">
        <v>22</v>
      </c>
    </row>
    <row r="3095" spans="1:22">
      <c r="A3095" t="str">
        <f t="shared" si="556"/>
        <v>18/03/2026</v>
      </c>
      <c r="B3095" t="str">
        <f>"SAÍDA"</f>
        <v>SAÍDA</v>
      </c>
      <c r="C3095" t="str">
        <f>"PIX"</f>
        <v>PIX</v>
      </c>
      <c r="D3095" t="str">
        <f>"34507"</f>
        <v>34507</v>
      </c>
      <c r="E3095" t="str">
        <f>"1"</f>
        <v>1</v>
      </c>
      <c r="F3095" t="str">
        <f t="shared" si="559"/>
        <v>COM</v>
      </c>
      <c r="G3095" t="str">
        <f>"JUNIO SOUZA SILVA (610)"</f>
        <v>JUNIO SOUZA SILVA (610)</v>
      </c>
      <c r="H3095" t="str">
        <f>"Serv.Prest. 02/03/2026 a 08/03/2026 - PIX: CELULAR - CHAVE: (73) 98105-2187"</f>
        <v>Serv.Prest. 02/03/2026 a 08/03/2026 - PIX: CELULAR - CHAVE: (73) 98105-2187</v>
      </c>
      <c r="I3095" t="str">
        <f t="shared" si="560"/>
        <v>19/03/2026</v>
      </c>
      <c r="J3095" t="str">
        <f>("10/03/2026")</f>
        <v>10/03/2026</v>
      </c>
      <c r="K3095" t="str">
        <f>("18/03/2026")</f>
        <v>18/03/2026</v>
      </c>
      <c r="L3095">
        <v>60</v>
      </c>
      <c r="M3095">
        <v>60</v>
      </c>
      <c r="N3095">
        <v>109</v>
      </c>
      <c r="O3095" t="str">
        <f>"PAGAMENTO DE ENTREGADORES"</f>
        <v>PAGAMENTO DE ENTREGADORES</v>
      </c>
      <c r="P3095">
        <v>60</v>
      </c>
      <c r="S3095" t="str">
        <f>"CAIXA MOVIMENTAÇÃO OPERACIONAL (132)"</f>
        <v>CAIXA MOVIMENTAÇÃO OPERACIONAL (132)</v>
      </c>
      <c r="T3095">
        <v>31271</v>
      </c>
      <c r="U3095">
        <v>35590</v>
      </c>
      <c r="V3095" t="s">
        <v>22</v>
      </c>
    </row>
    <row r="3096" spans="1:22">
      <c r="A3096" t="str">
        <f t="shared" si="556"/>
        <v>18/03/2026</v>
      </c>
      <c r="B3096" t="str">
        <f>"SAÍDA"</f>
        <v>SAÍDA</v>
      </c>
      <c r="C3096" t="str">
        <f>"PIX"</f>
        <v>PIX</v>
      </c>
      <c r="D3096" t="str">
        <f>"34507"</f>
        <v>34507</v>
      </c>
      <c r="E3096" t="str">
        <f>"1"</f>
        <v>1</v>
      </c>
      <c r="F3096" t="str">
        <f t="shared" si="559"/>
        <v>COM</v>
      </c>
      <c r="G3096" t="str">
        <f>"JUNIO SOUZA SILVA (610)"</f>
        <v>JUNIO SOUZA SILVA (610)</v>
      </c>
      <c r="H3096" t="s">
        <v>931</v>
      </c>
      <c r="I3096" t="str">
        <f t="shared" si="560"/>
        <v>19/03/2026</v>
      </c>
      <c r="J3096" t="str">
        <f>("10/03/2026")</f>
        <v>10/03/2026</v>
      </c>
      <c r="K3096">
        <v>46099</v>
      </c>
      <c r="N3096">
        <v>109</v>
      </c>
      <c r="O3096" t="s">
        <v>27</v>
      </c>
      <c r="Q3096">
        <v>60</v>
      </c>
      <c r="R3096" t="str">
        <f>"FARMÁCIA INDIANA LJ 77 (10034)"</f>
        <v>FARMÁCIA INDIANA LJ 77 (10034)</v>
      </c>
      <c r="S3096" t="s">
        <v>22</v>
      </c>
      <c r="T3096">
        <v>31271</v>
      </c>
      <c r="U3096">
        <v>35590</v>
      </c>
      <c r="V3096" t="s">
        <v>22</v>
      </c>
    </row>
    <row r="3097" spans="1:22">
      <c r="A3097" t="str">
        <f t="shared" si="556"/>
        <v>18/03/2026</v>
      </c>
      <c r="B3097" t="str">
        <f t="shared" ref="B3097:B3128" si="561">"ENTRADA"</f>
        <v>ENTRADA</v>
      </c>
      <c r="C3097" t="str">
        <f>"DINHEIRO"</f>
        <v>DINHEIRO</v>
      </c>
      <c r="D3097" t="str">
        <f>"19032026"</f>
        <v>19032026</v>
      </c>
      <c r="E3097" t="str">
        <f>""</f>
        <v/>
      </c>
      <c r="F3097" t="str">
        <f t="shared" si="559"/>
        <v>COM</v>
      </c>
      <c r="G3097" t="str">
        <f>"JUNIO SOUZA SILVA (610)"</f>
        <v>JUNIO SOUZA SILVA (610)</v>
      </c>
      <c r="H3097" t="str">
        <f>"REELMBOLSO CERTIFICADO DIGITAL 1/2"</f>
        <v>REELMBOLSO CERTIFICADO DIGITAL 1/2</v>
      </c>
      <c r="I3097" t="str">
        <f t="shared" si="560"/>
        <v>19/03/2026</v>
      </c>
      <c r="J3097" t="str">
        <f>("18/03/2026")</f>
        <v>18/03/2026</v>
      </c>
      <c r="K3097" t="str">
        <f>("18/03/2026")</f>
        <v>18/03/2026</v>
      </c>
      <c r="L3097">
        <v>60</v>
      </c>
      <c r="M3097">
        <v>60</v>
      </c>
      <c r="N3097">
        <v>108</v>
      </c>
      <c r="O3097" t="str">
        <f>"RECEITAS COM REEMBOLSOS"</f>
        <v>RECEITAS COM REEMBOLSOS</v>
      </c>
      <c r="P3097">
        <v>60</v>
      </c>
      <c r="S3097" t="str">
        <f>"RECEITAS COM REEMBOLSOS (108)"</f>
        <v>RECEITAS COM REEMBOLSOS (108)</v>
      </c>
      <c r="T3097">
        <v>31272</v>
      </c>
      <c r="U3097">
        <v>35588</v>
      </c>
      <c r="V3097" t="s">
        <v>22</v>
      </c>
    </row>
    <row r="3098" spans="1:22">
      <c r="A3098" t="str">
        <f t="shared" si="556"/>
        <v>18/03/2026</v>
      </c>
      <c r="B3098" t="str">
        <f t="shared" si="561"/>
        <v>ENTRADA</v>
      </c>
      <c r="C3098" t="str">
        <f>"DINHEIRO"</f>
        <v>DINHEIRO</v>
      </c>
      <c r="D3098" t="str">
        <f>"19032026"</f>
        <v>19032026</v>
      </c>
      <c r="E3098" t="str">
        <f>""</f>
        <v/>
      </c>
      <c r="F3098" t="str">
        <f t="shared" si="559"/>
        <v>COM</v>
      </c>
      <c r="G3098" t="str">
        <f>"JUNIO SOUZA SILVA (610)"</f>
        <v>JUNIO SOUZA SILVA (610)</v>
      </c>
      <c r="H3098" t="s">
        <v>913</v>
      </c>
      <c r="I3098" t="str">
        <f t="shared" si="560"/>
        <v>19/03/2026</v>
      </c>
      <c r="J3098" t="str">
        <f>("18/03/2026")</f>
        <v>18/03/2026</v>
      </c>
      <c r="K3098">
        <v>46099</v>
      </c>
      <c r="N3098">
        <v>108</v>
      </c>
      <c r="O3098" t="s">
        <v>871</v>
      </c>
      <c r="Q3098">
        <v>60</v>
      </c>
      <c r="R3098" t="str">
        <f>"JUNIO SOUZA SILVA (610)"</f>
        <v>JUNIO SOUZA SILVA (610)</v>
      </c>
      <c r="S3098" t="s">
        <v>872</v>
      </c>
      <c r="T3098">
        <v>31272</v>
      </c>
      <c r="U3098">
        <v>35588</v>
      </c>
      <c r="V3098" t="s">
        <v>22</v>
      </c>
    </row>
    <row r="3099" spans="1:22">
      <c r="A3099" t="str">
        <f t="shared" si="556"/>
        <v>18/03/2026</v>
      </c>
      <c r="B3099" t="str">
        <f t="shared" si="561"/>
        <v>ENTRADA</v>
      </c>
      <c r="C3099" t="str">
        <f t="shared" ref="C3099:C3130" si="562">"NFSE"</f>
        <v>NFSE</v>
      </c>
      <c r="D3099" t="str">
        <f>"517"</f>
        <v>517</v>
      </c>
      <c r="E3099" t="str">
        <f t="shared" ref="E3099:E3130" si="563">"1"</f>
        <v>1</v>
      </c>
      <c r="F3099" t="str">
        <f t="shared" si="559"/>
        <v>COM</v>
      </c>
      <c r="G3099" t="str">
        <f>"DROGARIA AGAPEAMA (10167)"</f>
        <v>DROGARIA AGAPEAMA (10167)</v>
      </c>
      <c r="H3099" t="str">
        <f>"Serv.Prest. 09/03/2026 a 15/03/2026 - RPS: 2445 - NFSe: 517"</f>
        <v>Serv.Prest. 09/03/2026 a 15/03/2026 - RPS: 2445 - NFSe: 517</v>
      </c>
      <c r="I3099" t="str">
        <f t="shared" ref="I3099:I3130" si="564">("18/03/2026")</f>
        <v>18/03/2026</v>
      </c>
      <c r="J3099" t="str">
        <f t="shared" ref="J3099:J3118" si="565">("16/03/2026")</f>
        <v>16/03/2026</v>
      </c>
      <c r="K3099" t="str">
        <f>("18/03/2026")</f>
        <v>18/03/2026</v>
      </c>
      <c r="L3099">
        <v>3549.6</v>
      </c>
      <c r="M3099">
        <v>3549.6</v>
      </c>
      <c r="N3099">
        <v>303</v>
      </c>
      <c r="O3099" t="str">
        <f>"RECEITAS COM ENTREGAS"</f>
        <v>RECEITAS COM ENTREGAS</v>
      </c>
      <c r="P3099">
        <v>3549.6</v>
      </c>
      <c r="S3099" t="str">
        <f>"RECEITAS COM ENTREGAS (303)"</f>
        <v>RECEITAS COM ENTREGAS (303)</v>
      </c>
      <c r="T3099">
        <v>31387</v>
      </c>
      <c r="U3099">
        <v>34897</v>
      </c>
      <c r="V3099" t="s">
        <v>33</v>
      </c>
    </row>
    <row r="3100" spans="1:22">
      <c r="A3100" t="str">
        <f t="shared" si="556"/>
        <v>18/03/2026</v>
      </c>
      <c r="B3100" t="str">
        <f t="shared" si="561"/>
        <v>ENTRADA</v>
      </c>
      <c r="C3100" t="str">
        <f t="shared" si="562"/>
        <v>NFSE</v>
      </c>
      <c r="D3100" t="str">
        <f>"517"</f>
        <v>517</v>
      </c>
      <c r="E3100" t="str">
        <f t="shared" si="563"/>
        <v>1</v>
      </c>
      <c r="F3100" t="str">
        <f t="shared" si="559"/>
        <v>COM</v>
      </c>
      <c r="G3100" t="str">
        <f>"DROGARIA AGAPEAMA (10167)"</f>
        <v>DROGARIA AGAPEAMA (10167)</v>
      </c>
      <c r="H3100" t="s">
        <v>932</v>
      </c>
      <c r="I3100" t="str">
        <f t="shared" si="564"/>
        <v>18/03/2026</v>
      </c>
      <c r="J3100" t="str">
        <f t="shared" si="565"/>
        <v>16/03/2026</v>
      </c>
      <c r="K3100">
        <v>46099</v>
      </c>
      <c r="N3100">
        <v>303</v>
      </c>
      <c r="O3100" t="s">
        <v>102</v>
      </c>
      <c r="Q3100">
        <v>3549.6</v>
      </c>
      <c r="R3100" t="str">
        <f>"DROGARIA AGAPEAMA (10167)"</f>
        <v>DROGARIA AGAPEAMA (10167)</v>
      </c>
      <c r="S3100" t="s">
        <v>103</v>
      </c>
      <c r="T3100">
        <v>31387</v>
      </c>
      <c r="U3100">
        <v>34897</v>
      </c>
      <c r="V3100" t="s">
        <v>33</v>
      </c>
    </row>
    <row r="3101" spans="1:22">
      <c r="A3101" t="str">
        <f t="shared" si="556"/>
        <v>18/03/2026</v>
      </c>
      <c r="B3101" t="str">
        <f t="shared" si="561"/>
        <v>ENTRADA</v>
      </c>
      <c r="C3101" t="str">
        <f t="shared" si="562"/>
        <v>NFSE</v>
      </c>
      <c r="D3101" t="str">
        <f>"525"</f>
        <v>525</v>
      </c>
      <c r="E3101" t="str">
        <f t="shared" si="563"/>
        <v>1</v>
      </c>
      <c r="F3101" t="str">
        <f t="shared" si="559"/>
        <v>COM</v>
      </c>
      <c r="G3101" t="str">
        <f>"ENTREFARMA (10164)"</f>
        <v>ENTREFARMA (10164)</v>
      </c>
      <c r="H3101" t="str">
        <f>"Serv.Prest. 09/03/2026 a 15/03/2026 - RPS: 2453 - NFSe: 525"</f>
        <v>Serv.Prest. 09/03/2026 a 15/03/2026 - RPS: 2453 - NFSe: 525</v>
      </c>
      <c r="I3101" t="str">
        <f t="shared" si="564"/>
        <v>18/03/2026</v>
      </c>
      <c r="J3101" t="str">
        <f t="shared" si="565"/>
        <v>16/03/2026</v>
      </c>
      <c r="K3101" t="str">
        <f>("18/03/2026")</f>
        <v>18/03/2026</v>
      </c>
      <c r="L3101">
        <v>6719.25</v>
      </c>
      <c r="M3101">
        <v>6719.25</v>
      </c>
      <c r="N3101">
        <v>303</v>
      </c>
      <c r="O3101" t="str">
        <f>"RECEITAS COM ENTREGAS"</f>
        <v>RECEITAS COM ENTREGAS</v>
      </c>
      <c r="P3101">
        <v>6719.25</v>
      </c>
      <c r="S3101" t="str">
        <f>"RECEITAS COM ENTREGAS (303)"</f>
        <v>RECEITAS COM ENTREGAS (303)</v>
      </c>
      <c r="T3101">
        <v>31388</v>
      </c>
      <c r="U3101">
        <v>34926</v>
      </c>
      <c r="V3101" t="s">
        <v>33</v>
      </c>
    </row>
    <row r="3102" spans="1:22">
      <c r="A3102" t="str">
        <f t="shared" si="556"/>
        <v>18/03/2026</v>
      </c>
      <c r="B3102" t="str">
        <f t="shared" si="561"/>
        <v>ENTRADA</v>
      </c>
      <c r="C3102" t="str">
        <f t="shared" si="562"/>
        <v>NFSE</v>
      </c>
      <c r="D3102" t="str">
        <f>"525"</f>
        <v>525</v>
      </c>
      <c r="E3102" t="str">
        <f t="shared" si="563"/>
        <v>1</v>
      </c>
      <c r="F3102" t="str">
        <f t="shared" si="559"/>
        <v>COM</v>
      </c>
      <c r="G3102" t="str">
        <f>"ENTREFARMA (10164)"</f>
        <v>ENTREFARMA (10164)</v>
      </c>
      <c r="H3102" t="s">
        <v>933</v>
      </c>
      <c r="I3102" t="str">
        <f t="shared" si="564"/>
        <v>18/03/2026</v>
      </c>
      <c r="J3102" t="str">
        <f t="shared" si="565"/>
        <v>16/03/2026</v>
      </c>
      <c r="K3102">
        <v>46099</v>
      </c>
      <c r="N3102">
        <v>303</v>
      </c>
      <c r="O3102" t="s">
        <v>102</v>
      </c>
      <c r="Q3102">
        <v>6719.25</v>
      </c>
      <c r="R3102" t="str">
        <f>"ENTREFARMA (10164)"</f>
        <v>ENTREFARMA (10164)</v>
      </c>
      <c r="S3102" t="s">
        <v>103</v>
      </c>
      <c r="T3102">
        <v>31388</v>
      </c>
      <c r="U3102">
        <v>34926</v>
      </c>
      <c r="V3102" t="s">
        <v>33</v>
      </c>
    </row>
    <row r="3103" spans="1:22">
      <c r="A3103" t="str">
        <f t="shared" si="556"/>
        <v>18/03/2026</v>
      </c>
      <c r="B3103" t="str">
        <f t="shared" si="561"/>
        <v>ENTRADA</v>
      </c>
      <c r="C3103" t="str">
        <f t="shared" si="562"/>
        <v>NFSE</v>
      </c>
      <c r="D3103" t="str">
        <f>"529"</f>
        <v>529</v>
      </c>
      <c r="E3103" t="str">
        <f t="shared" si="563"/>
        <v>1</v>
      </c>
      <c r="F3103" t="str">
        <f t="shared" si="559"/>
        <v>COM</v>
      </c>
      <c r="G3103" t="str">
        <f>"JAL FARMACIA E DROGARIA LJ 2 (10138)"</f>
        <v>JAL FARMACIA E DROGARIA LJ 2 (10138)</v>
      </c>
      <c r="H3103" t="str">
        <f>"Serv.Prest. 09/03/2026 a 15/03/2026 - RPS: 2457 - NFSe: 529"</f>
        <v>Serv.Prest. 09/03/2026 a 15/03/2026 - RPS: 2457 - NFSe: 529</v>
      </c>
      <c r="I3103" t="str">
        <f t="shared" si="564"/>
        <v>18/03/2026</v>
      </c>
      <c r="J3103" t="str">
        <f t="shared" si="565"/>
        <v>16/03/2026</v>
      </c>
      <c r="K3103" t="str">
        <f>("18/03/2026")</f>
        <v>18/03/2026</v>
      </c>
      <c r="L3103">
        <v>1623.5</v>
      </c>
      <c r="M3103">
        <v>1623.5</v>
      </c>
      <c r="N3103">
        <v>303</v>
      </c>
      <c r="O3103" t="str">
        <f>"RECEITAS COM ENTREGAS"</f>
        <v>RECEITAS COM ENTREGAS</v>
      </c>
      <c r="P3103">
        <v>1623.5</v>
      </c>
      <c r="S3103" t="str">
        <f>"RECEITAS COM ENTREGAS (303)"</f>
        <v>RECEITAS COM ENTREGAS (303)</v>
      </c>
      <c r="T3103">
        <v>31389</v>
      </c>
      <c r="U3103">
        <v>34941</v>
      </c>
      <c r="V3103" t="s">
        <v>33</v>
      </c>
    </row>
    <row r="3104" spans="1:22">
      <c r="A3104" t="str">
        <f t="shared" si="556"/>
        <v>18/03/2026</v>
      </c>
      <c r="B3104" t="str">
        <f t="shared" si="561"/>
        <v>ENTRADA</v>
      </c>
      <c r="C3104" t="str">
        <f t="shared" si="562"/>
        <v>NFSE</v>
      </c>
      <c r="D3104" t="str">
        <f>"529"</f>
        <v>529</v>
      </c>
      <c r="E3104" t="str">
        <f t="shared" si="563"/>
        <v>1</v>
      </c>
      <c r="F3104" t="str">
        <f t="shared" si="559"/>
        <v>COM</v>
      </c>
      <c r="G3104" t="str">
        <f>"JAL FARMACIA E DROGARIA LJ 2 (10138)"</f>
        <v>JAL FARMACIA E DROGARIA LJ 2 (10138)</v>
      </c>
      <c r="H3104" t="s">
        <v>934</v>
      </c>
      <c r="I3104" t="str">
        <f t="shared" si="564"/>
        <v>18/03/2026</v>
      </c>
      <c r="J3104" t="str">
        <f t="shared" si="565"/>
        <v>16/03/2026</v>
      </c>
      <c r="K3104">
        <v>46099</v>
      </c>
      <c r="N3104">
        <v>303</v>
      </c>
      <c r="O3104" t="s">
        <v>102</v>
      </c>
      <c r="Q3104">
        <v>1623.5</v>
      </c>
      <c r="R3104" t="str">
        <f>"JAL FARMACIA E DROGARIA LJ 2 (10138)"</f>
        <v>JAL FARMACIA E DROGARIA LJ 2 (10138)</v>
      </c>
      <c r="S3104" t="s">
        <v>103</v>
      </c>
      <c r="T3104">
        <v>31389</v>
      </c>
      <c r="U3104">
        <v>34941</v>
      </c>
      <c r="V3104" t="s">
        <v>33</v>
      </c>
    </row>
    <row r="3105" spans="1:22">
      <c r="A3105" t="str">
        <f t="shared" si="556"/>
        <v>18/03/2026</v>
      </c>
      <c r="B3105" t="str">
        <f t="shared" si="561"/>
        <v>ENTRADA</v>
      </c>
      <c r="C3105" t="str">
        <f t="shared" si="562"/>
        <v>NFSE</v>
      </c>
      <c r="D3105" t="str">
        <f>"532"</f>
        <v>532</v>
      </c>
      <c r="E3105" t="str">
        <f t="shared" si="563"/>
        <v>1</v>
      </c>
      <c r="F3105" t="str">
        <f t="shared" si="559"/>
        <v>COM</v>
      </c>
      <c r="G3105" t="str">
        <f>"LBL FARMACIA LTDA FILIAL (10192)"</f>
        <v>LBL FARMACIA LTDA FILIAL (10192)</v>
      </c>
      <c r="H3105" t="str">
        <f>"Serv.Prest. 09/03/2026 a 15/03/2026 - RPS: 2460 - NFSe: 532"</f>
        <v>Serv.Prest. 09/03/2026 a 15/03/2026 - RPS: 2460 - NFSe: 532</v>
      </c>
      <c r="I3105" t="str">
        <f t="shared" si="564"/>
        <v>18/03/2026</v>
      </c>
      <c r="J3105" t="str">
        <f t="shared" si="565"/>
        <v>16/03/2026</v>
      </c>
      <c r="K3105" t="str">
        <f>("18/03/2026")</f>
        <v>18/03/2026</v>
      </c>
      <c r="L3105">
        <v>1969.45</v>
      </c>
      <c r="M3105">
        <v>1969.45</v>
      </c>
      <c r="N3105">
        <v>303</v>
      </c>
      <c r="O3105" t="str">
        <f>"RECEITAS COM ENTREGAS"</f>
        <v>RECEITAS COM ENTREGAS</v>
      </c>
      <c r="P3105">
        <v>1969.45</v>
      </c>
      <c r="S3105" t="str">
        <f>"RECEITAS COM ENTREGAS (303)"</f>
        <v>RECEITAS COM ENTREGAS (303)</v>
      </c>
      <c r="T3105">
        <v>31390</v>
      </c>
      <c r="U3105">
        <v>34970</v>
      </c>
      <c r="V3105" t="s">
        <v>33</v>
      </c>
    </row>
    <row r="3106" spans="1:22">
      <c r="A3106" t="str">
        <f t="shared" si="556"/>
        <v>18/03/2026</v>
      </c>
      <c r="B3106" t="str">
        <f t="shared" si="561"/>
        <v>ENTRADA</v>
      </c>
      <c r="C3106" t="str">
        <f t="shared" si="562"/>
        <v>NFSE</v>
      </c>
      <c r="D3106" t="str">
        <f>"532"</f>
        <v>532</v>
      </c>
      <c r="E3106" t="str">
        <f t="shared" si="563"/>
        <v>1</v>
      </c>
      <c r="F3106" t="str">
        <f t="shared" si="559"/>
        <v>COM</v>
      </c>
      <c r="G3106" t="str">
        <f>"LBL FARMACIA LTDA FILIAL (10192)"</f>
        <v>LBL FARMACIA LTDA FILIAL (10192)</v>
      </c>
      <c r="H3106" t="s">
        <v>935</v>
      </c>
      <c r="I3106" t="str">
        <f t="shared" si="564"/>
        <v>18/03/2026</v>
      </c>
      <c r="J3106" t="str">
        <f t="shared" si="565"/>
        <v>16/03/2026</v>
      </c>
      <c r="K3106">
        <v>46099</v>
      </c>
      <c r="N3106">
        <v>303</v>
      </c>
      <c r="O3106" t="s">
        <v>102</v>
      </c>
      <c r="Q3106">
        <v>1969.45</v>
      </c>
      <c r="R3106" t="str">
        <f>"LBL FARMACIA LTDA FILIAL (10192)"</f>
        <v>LBL FARMACIA LTDA FILIAL (10192)</v>
      </c>
      <c r="S3106" t="s">
        <v>103</v>
      </c>
      <c r="T3106">
        <v>31390</v>
      </c>
      <c r="U3106">
        <v>34970</v>
      </c>
      <c r="V3106" t="s">
        <v>33</v>
      </c>
    </row>
    <row r="3107" spans="1:22">
      <c r="A3107" t="str">
        <f t="shared" ref="A3107:A3170" si="566">("18/03/2026")</f>
        <v>18/03/2026</v>
      </c>
      <c r="B3107" t="str">
        <f t="shared" si="561"/>
        <v>ENTRADA</v>
      </c>
      <c r="C3107" t="str">
        <f t="shared" si="562"/>
        <v>NFSE</v>
      </c>
      <c r="D3107" t="str">
        <f>"531"</f>
        <v>531</v>
      </c>
      <c r="E3107" t="str">
        <f t="shared" si="563"/>
        <v>1</v>
      </c>
      <c r="F3107" t="str">
        <f t="shared" si="559"/>
        <v>COM</v>
      </c>
      <c r="G3107" t="str">
        <f>"LBL FARMACIA LTDA (10189)"</f>
        <v>LBL FARMACIA LTDA (10189)</v>
      </c>
      <c r="H3107" t="str">
        <f>"Serv.Prest. 09/03/2026 a 15/03/2026 - RPS: 2459 - NFSe: 531"</f>
        <v>Serv.Prest. 09/03/2026 a 15/03/2026 - RPS: 2459 - NFSe: 531</v>
      </c>
      <c r="I3107" t="str">
        <f t="shared" si="564"/>
        <v>18/03/2026</v>
      </c>
      <c r="J3107" t="str">
        <f t="shared" si="565"/>
        <v>16/03/2026</v>
      </c>
      <c r="K3107" t="str">
        <f>("18/03/2026")</f>
        <v>18/03/2026</v>
      </c>
      <c r="L3107">
        <v>922.25</v>
      </c>
      <c r="M3107">
        <v>922.25</v>
      </c>
      <c r="N3107">
        <v>303</v>
      </c>
      <c r="O3107" t="str">
        <f>"RECEITAS COM ENTREGAS"</f>
        <v>RECEITAS COM ENTREGAS</v>
      </c>
      <c r="P3107">
        <v>922.25</v>
      </c>
      <c r="S3107" t="str">
        <f>"RECEITAS COM ENTREGAS (303)"</f>
        <v>RECEITAS COM ENTREGAS (303)</v>
      </c>
      <c r="T3107">
        <v>31391</v>
      </c>
      <c r="U3107">
        <v>34968</v>
      </c>
      <c r="V3107" t="s">
        <v>33</v>
      </c>
    </row>
    <row r="3108" spans="1:22">
      <c r="A3108" t="str">
        <f t="shared" si="566"/>
        <v>18/03/2026</v>
      </c>
      <c r="B3108" t="str">
        <f t="shared" si="561"/>
        <v>ENTRADA</v>
      </c>
      <c r="C3108" t="str">
        <f t="shared" si="562"/>
        <v>NFSE</v>
      </c>
      <c r="D3108" t="str">
        <f>"531"</f>
        <v>531</v>
      </c>
      <c r="E3108" t="str">
        <f t="shared" si="563"/>
        <v>1</v>
      </c>
      <c r="F3108" t="str">
        <f t="shared" si="559"/>
        <v>COM</v>
      </c>
      <c r="G3108" t="str">
        <f>"LBL FARMACIA LTDA (10189)"</f>
        <v>LBL FARMACIA LTDA (10189)</v>
      </c>
      <c r="H3108" t="s">
        <v>936</v>
      </c>
      <c r="I3108" t="str">
        <f t="shared" si="564"/>
        <v>18/03/2026</v>
      </c>
      <c r="J3108" t="str">
        <f t="shared" si="565"/>
        <v>16/03/2026</v>
      </c>
      <c r="K3108">
        <v>46099</v>
      </c>
      <c r="N3108">
        <v>303</v>
      </c>
      <c r="O3108" t="s">
        <v>102</v>
      </c>
      <c r="Q3108">
        <v>922.25</v>
      </c>
      <c r="R3108" t="str">
        <f>"LBL FARMACIA LTDA (10189)"</f>
        <v>LBL FARMACIA LTDA (10189)</v>
      </c>
      <c r="S3108" t="s">
        <v>103</v>
      </c>
      <c r="T3108">
        <v>31391</v>
      </c>
      <c r="U3108">
        <v>34968</v>
      </c>
      <c r="V3108" t="s">
        <v>33</v>
      </c>
    </row>
    <row r="3109" spans="1:22">
      <c r="A3109" t="str">
        <f t="shared" si="566"/>
        <v>18/03/2026</v>
      </c>
      <c r="B3109" t="str">
        <f t="shared" si="561"/>
        <v>ENTRADA</v>
      </c>
      <c r="C3109" t="str">
        <f t="shared" si="562"/>
        <v>NFSE</v>
      </c>
      <c r="D3109" t="str">
        <f>"521"</f>
        <v>521</v>
      </c>
      <c r="E3109" t="str">
        <f t="shared" si="563"/>
        <v>1</v>
      </c>
      <c r="F3109" t="str">
        <f t="shared" si="559"/>
        <v>COM</v>
      </c>
      <c r="G3109" t="str">
        <f>"DROGARIA ANA &amp; ANA TIRADENTES (10322)"</f>
        <v>DROGARIA ANA &amp; ANA TIRADENTES (10322)</v>
      </c>
      <c r="H3109" t="str">
        <f>"Serv.Prest. 09/03/2026 a 15/03/2026 - RPS: 2449 - NFSe: 521"</f>
        <v>Serv.Prest. 09/03/2026 a 15/03/2026 - RPS: 2449 - NFSe: 521</v>
      </c>
      <c r="I3109" t="str">
        <f t="shared" si="564"/>
        <v>18/03/2026</v>
      </c>
      <c r="J3109" t="str">
        <f t="shared" si="565"/>
        <v>16/03/2026</v>
      </c>
      <c r="K3109" t="str">
        <f>("18/03/2026")</f>
        <v>18/03/2026</v>
      </c>
      <c r="L3109">
        <v>851.29</v>
      </c>
      <c r="M3109">
        <v>851.29</v>
      </c>
      <c r="N3109">
        <v>303</v>
      </c>
      <c r="O3109" t="str">
        <f>"RECEITAS COM ENTREGAS"</f>
        <v>RECEITAS COM ENTREGAS</v>
      </c>
      <c r="P3109">
        <v>851.29</v>
      </c>
      <c r="S3109" t="str">
        <f>"RECEITAS COM ENTREGAS (303)"</f>
        <v>RECEITAS COM ENTREGAS (303)</v>
      </c>
      <c r="T3109">
        <v>31392</v>
      </c>
      <c r="U3109">
        <v>34913</v>
      </c>
      <c r="V3109" t="s">
        <v>33</v>
      </c>
    </row>
    <row r="3110" spans="1:22">
      <c r="A3110" t="str">
        <f t="shared" si="566"/>
        <v>18/03/2026</v>
      </c>
      <c r="B3110" t="str">
        <f t="shared" si="561"/>
        <v>ENTRADA</v>
      </c>
      <c r="C3110" t="str">
        <f t="shared" si="562"/>
        <v>NFSE</v>
      </c>
      <c r="D3110" t="str">
        <f>"521"</f>
        <v>521</v>
      </c>
      <c r="E3110" t="str">
        <f t="shared" si="563"/>
        <v>1</v>
      </c>
      <c r="F3110" t="str">
        <f t="shared" si="559"/>
        <v>COM</v>
      </c>
      <c r="G3110" t="str">
        <f>"DROGARIA ANA &amp; ANA TIRADENTES (10322)"</f>
        <v>DROGARIA ANA &amp; ANA TIRADENTES (10322)</v>
      </c>
      <c r="H3110" t="s">
        <v>937</v>
      </c>
      <c r="I3110" t="str">
        <f t="shared" si="564"/>
        <v>18/03/2026</v>
      </c>
      <c r="J3110" t="str">
        <f t="shared" si="565"/>
        <v>16/03/2026</v>
      </c>
      <c r="K3110">
        <v>46099</v>
      </c>
      <c r="N3110">
        <v>303</v>
      </c>
      <c r="O3110" t="s">
        <v>102</v>
      </c>
      <c r="Q3110">
        <v>851.29</v>
      </c>
      <c r="R3110" t="str">
        <f>"DROGARIA ANA &amp; ANA TIRADENTES (10322)"</f>
        <v>DROGARIA ANA &amp; ANA TIRADENTES (10322)</v>
      </c>
      <c r="S3110" t="s">
        <v>103</v>
      </c>
      <c r="T3110">
        <v>31392</v>
      </c>
      <c r="U3110">
        <v>34913</v>
      </c>
      <c r="V3110" t="s">
        <v>33</v>
      </c>
    </row>
    <row r="3111" spans="1:22">
      <c r="A3111" t="str">
        <f t="shared" si="566"/>
        <v>18/03/2026</v>
      </c>
      <c r="B3111" t="str">
        <f t="shared" si="561"/>
        <v>ENTRADA</v>
      </c>
      <c r="C3111" t="str">
        <f t="shared" si="562"/>
        <v>NFSE</v>
      </c>
      <c r="D3111" t="str">
        <f>"518"</f>
        <v>518</v>
      </c>
      <c r="E3111" t="str">
        <f t="shared" si="563"/>
        <v>1</v>
      </c>
      <c r="F3111" t="str">
        <f t="shared" si="559"/>
        <v>COM</v>
      </c>
      <c r="G3111" t="str">
        <f>"DROGARIA ANA VISCONDE DO RIO BRANCO (10182)"</f>
        <v>DROGARIA ANA VISCONDE DO RIO BRANCO (10182)</v>
      </c>
      <c r="H3111" t="str">
        <f>"Serv.Prest. 09/03/2026 a 15/03/2026 - RPS: 2446 - NFSe: 518"</f>
        <v>Serv.Prest. 09/03/2026 a 15/03/2026 - RPS: 2446 - NFSe: 518</v>
      </c>
      <c r="I3111" t="str">
        <f t="shared" si="564"/>
        <v>18/03/2026</v>
      </c>
      <c r="J3111" t="str">
        <f t="shared" si="565"/>
        <v>16/03/2026</v>
      </c>
      <c r="K3111" t="str">
        <f>("18/03/2026")</f>
        <v>18/03/2026</v>
      </c>
      <c r="L3111">
        <v>4509.68</v>
      </c>
      <c r="M3111">
        <v>4509.68</v>
      </c>
      <c r="N3111">
        <v>303</v>
      </c>
      <c r="O3111" t="str">
        <f>"RECEITAS COM ENTREGAS"</f>
        <v>RECEITAS COM ENTREGAS</v>
      </c>
      <c r="P3111">
        <v>4509.68</v>
      </c>
      <c r="S3111" t="str">
        <f>"RECEITAS COM ENTREGAS (303)"</f>
        <v>RECEITAS COM ENTREGAS (303)</v>
      </c>
      <c r="T3111">
        <v>31393</v>
      </c>
      <c r="U3111">
        <v>34901</v>
      </c>
      <c r="V3111" t="s">
        <v>33</v>
      </c>
    </row>
    <row r="3112" spans="1:22">
      <c r="A3112" t="str">
        <f t="shared" si="566"/>
        <v>18/03/2026</v>
      </c>
      <c r="B3112" t="str">
        <f t="shared" si="561"/>
        <v>ENTRADA</v>
      </c>
      <c r="C3112" t="str">
        <f t="shared" si="562"/>
        <v>NFSE</v>
      </c>
      <c r="D3112" t="str">
        <f>"518"</f>
        <v>518</v>
      </c>
      <c r="E3112" t="str">
        <f t="shared" si="563"/>
        <v>1</v>
      </c>
      <c r="F3112" t="str">
        <f t="shared" si="559"/>
        <v>COM</v>
      </c>
      <c r="G3112" t="str">
        <f>"DROGARIA ANA VISCONDE DO RIO BRANCO (10182)"</f>
        <v>DROGARIA ANA VISCONDE DO RIO BRANCO (10182)</v>
      </c>
      <c r="H3112" t="s">
        <v>938</v>
      </c>
      <c r="I3112" t="str">
        <f t="shared" si="564"/>
        <v>18/03/2026</v>
      </c>
      <c r="J3112" t="str">
        <f t="shared" si="565"/>
        <v>16/03/2026</v>
      </c>
      <c r="K3112">
        <v>46099</v>
      </c>
      <c r="N3112">
        <v>303</v>
      </c>
      <c r="O3112" t="s">
        <v>102</v>
      </c>
      <c r="Q3112">
        <v>4509.68</v>
      </c>
      <c r="R3112" t="str">
        <f>"DROGARIA ANA VISCONDE DO RIO BRANCO (10182)"</f>
        <v>DROGARIA ANA VISCONDE DO RIO BRANCO (10182)</v>
      </c>
      <c r="S3112" t="s">
        <v>103</v>
      </c>
      <c r="T3112">
        <v>31393</v>
      </c>
      <c r="U3112">
        <v>34901</v>
      </c>
      <c r="V3112" t="s">
        <v>33</v>
      </c>
    </row>
    <row r="3113" spans="1:22">
      <c r="A3113" t="str">
        <f t="shared" si="566"/>
        <v>18/03/2026</v>
      </c>
      <c r="B3113" t="str">
        <f t="shared" si="561"/>
        <v>ENTRADA</v>
      </c>
      <c r="C3113" t="str">
        <f t="shared" si="562"/>
        <v>NFSE</v>
      </c>
      <c r="D3113" t="str">
        <f>"527"</f>
        <v>527</v>
      </c>
      <c r="E3113" t="str">
        <f t="shared" si="563"/>
        <v>1</v>
      </c>
      <c r="F3113" t="str">
        <f t="shared" si="559"/>
        <v>COM</v>
      </c>
      <c r="G3113" t="str">
        <f>"FARMA &amp; FORMA (10296)"</f>
        <v>FARMA &amp; FORMA (10296)</v>
      </c>
      <c r="H3113" t="str">
        <f>"Serv.Prest. 09/03/2026 a 15/03/2026 - RPS: 2455 - NFSe: 527"</f>
        <v>Serv.Prest. 09/03/2026 a 15/03/2026 - RPS: 2455 - NFSe: 527</v>
      </c>
      <c r="I3113" t="str">
        <f t="shared" si="564"/>
        <v>18/03/2026</v>
      </c>
      <c r="J3113" t="str">
        <f t="shared" si="565"/>
        <v>16/03/2026</v>
      </c>
      <c r="K3113" t="str">
        <f>("18/03/2026")</f>
        <v>18/03/2026</v>
      </c>
      <c r="L3113">
        <v>1733.71</v>
      </c>
      <c r="M3113">
        <v>1733.71</v>
      </c>
      <c r="N3113">
        <v>303</v>
      </c>
      <c r="O3113" t="str">
        <f>"RECEITAS COM ENTREGAS"</f>
        <v>RECEITAS COM ENTREGAS</v>
      </c>
      <c r="P3113">
        <v>1733.71</v>
      </c>
      <c r="S3113" t="str">
        <f>"RECEITAS COM ENTREGAS (303)"</f>
        <v>RECEITAS COM ENTREGAS (303)</v>
      </c>
      <c r="T3113">
        <v>31394</v>
      </c>
      <c r="U3113">
        <v>34935</v>
      </c>
      <c r="V3113" t="s">
        <v>33</v>
      </c>
    </row>
    <row r="3114" spans="1:22">
      <c r="A3114" t="str">
        <f t="shared" si="566"/>
        <v>18/03/2026</v>
      </c>
      <c r="B3114" t="str">
        <f t="shared" si="561"/>
        <v>ENTRADA</v>
      </c>
      <c r="C3114" t="str">
        <f t="shared" si="562"/>
        <v>NFSE</v>
      </c>
      <c r="D3114" t="str">
        <f>"527"</f>
        <v>527</v>
      </c>
      <c r="E3114" t="str">
        <f t="shared" si="563"/>
        <v>1</v>
      </c>
      <c r="F3114" t="str">
        <f t="shared" si="559"/>
        <v>COM</v>
      </c>
      <c r="G3114" t="str">
        <f>"FARMA &amp; FORMA (10296)"</f>
        <v>FARMA &amp; FORMA (10296)</v>
      </c>
      <c r="H3114" t="s">
        <v>939</v>
      </c>
      <c r="I3114" t="str">
        <f t="shared" si="564"/>
        <v>18/03/2026</v>
      </c>
      <c r="J3114" t="str">
        <f t="shared" si="565"/>
        <v>16/03/2026</v>
      </c>
      <c r="K3114">
        <v>46099</v>
      </c>
      <c r="N3114">
        <v>303</v>
      </c>
      <c r="O3114" t="s">
        <v>102</v>
      </c>
      <c r="Q3114">
        <v>1733.71</v>
      </c>
      <c r="R3114" t="str">
        <f>"FARMA &amp; FORMA (10296)"</f>
        <v>FARMA &amp; FORMA (10296)</v>
      </c>
      <c r="S3114" t="s">
        <v>103</v>
      </c>
      <c r="T3114">
        <v>31394</v>
      </c>
      <c r="U3114">
        <v>34935</v>
      </c>
      <c r="V3114" t="s">
        <v>33</v>
      </c>
    </row>
    <row r="3115" spans="1:22">
      <c r="A3115" t="str">
        <f t="shared" si="566"/>
        <v>18/03/2026</v>
      </c>
      <c r="B3115" t="str">
        <f t="shared" si="561"/>
        <v>ENTRADA</v>
      </c>
      <c r="C3115" t="str">
        <f t="shared" si="562"/>
        <v>NFSE</v>
      </c>
      <c r="D3115" t="str">
        <f>"528"</f>
        <v>528</v>
      </c>
      <c r="E3115" t="str">
        <f t="shared" si="563"/>
        <v>1</v>
      </c>
      <c r="F3115" t="str">
        <f t="shared" si="559"/>
        <v>COM</v>
      </c>
      <c r="G3115" t="str">
        <f>"ULTRA POPULAR  UBA 2 (10214)"</f>
        <v>ULTRA POPULAR  UBA 2 (10214)</v>
      </c>
      <c r="H3115" t="str">
        <f>"Serv.Prest. 09/03/2026 a 15/03/2026 - RPS: 2456 - NFSe: 528"</f>
        <v>Serv.Prest. 09/03/2026 a 15/03/2026 - RPS: 2456 - NFSe: 528</v>
      </c>
      <c r="I3115" t="str">
        <f t="shared" si="564"/>
        <v>18/03/2026</v>
      </c>
      <c r="J3115" t="str">
        <f t="shared" si="565"/>
        <v>16/03/2026</v>
      </c>
      <c r="K3115" t="str">
        <f>("18/03/2026")</f>
        <v>18/03/2026</v>
      </c>
      <c r="L3115">
        <v>804.81</v>
      </c>
      <c r="M3115">
        <v>804.81</v>
      </c>
      <c r="N3115">
        <v>303</v>
      </c>
      <c r="O3115" t="str">
        <f>"RECEITAS COM ENTREGAS"</f>
        <v>RECEITAS COM ENTREGAS</v>
      </c>
      <c r="P3115">
        <v>804.81</v>
      </c>
      <c r="S3115" t="str">
        <f>"RECEITAS COM ENTREGAS (303)"</f>
        <v>RECEITAS COM ENTREGAS (303)</v>
      </c>
      <c r="T3115">
        <v>31395</v>
      </c>
      <c r="U3115">
        <v>34938</v>
      </c>
      <c r="V3115" t="s">
        <v>33</v>
      </c>
    </row>
    <row r="3116" spans="1:22">
      <c r="A3116" t="str">
        <f t="shared" si="566"/>
        <v>18/03/2026</v>
      </c>
      <c r="B3116" t="str">
        <f t="shared" si="561"/>
        <v>ENTRADA</v>
      </c>
      <c r="C3116" t="str">
        <f t="shared" si="562"/>
        <v>NFSE</v>
      </c>
      <c r="D3116" t="str">
        <f>"528"</f>
        <v>528</v>
      </c>
      <c r="E3116" t="str">
        <f t="shared" si="563"/>
        <v>1</v>
      </c>
      <c r="F3116" t="str">
        <f t="shared" si="559"/>
        <v>COM</v>
      </c>
      <c r="G3116" t="str">
        <f>"ULTRA POPULAR  UBA 2 (10214)"</f>
        <v>ULTRA POPULAR  UBA 2 (10214)</v>
      </c>
      <c r="H3116" t="s">
        <v>940</v>
      </c>
      <c r="I3116" t="str">
        <f t="shared" si="564"/>
        <v>18/03/2026</v>
      </c>
      <c r="J3116" t="str">
        <f t="shared" si="565"/>
        <v>16/03/2026</v>
      </c>
      <c r="K3116">
        <v>46099</v>
      </c>
      <c r="N3116">
        <v>303</v>
      </c>
      <c r="O3116" t="s">
        <v>102</v>
      </c>
      <c r="Q3116">
        <v>804.81</v>
      </c>
      <c r="R3116" t="str">
        <f>"ULTRA POPULAR  UBA 2 (10214)"</f>
        <v>ULTRA POPULAR  UBA 2 (10214)</v>
      </c>
      <c r="S3116" t="s">
        <v>103</v>
      </c>
      <c r="T3116">
        <v>31395</v>
      </c>
      <c r="U3116">
        <v>34938</v>
      </c>
      <c r="V3116" t="s">
        <v>33</v>
      </c>
    </row>
    <row r="3117" spans="1:22">
      <c r="A3117" t="str">
        <f t="shared" si="566"/>
        <v>18/03/2026</v>
      </c>
      <c r="B3117" t="str">
        <f t="shared" si="561"/>
        <v>ENTRADA</v>
      </c>
      <c r="C3117" t="str">
        <f t="shared" si="562"/>
        <v>NFSE</v>
      </c>
      <c r="D3117" t="str">
        <f>"530"</f>
        <v>530</v>
      </c>
      <c r="E3117" t="str">
        <f t="shared" si="563"/>
        <v>1</v>
      </c>
      <c r="F3117" t="str">
        <f t="shared" si="559"/>
        <v>COM</v>
      </c>
      <c r="G3117" t="str">
        <f>"JAL FARMACIA E DROGARIA LJ 1 (10137)"</f>
        <v>JAL FARMACIA E DROGARIA LJ 1 (10137)</v>
      </c>
      <c r="H3117" t="str">
        <f>"Serv.Prest. 09/03/2026 a 15/03/2026 - RPS: 2458 - NFSe: 530"</f>
        <v>Serv.Prest. 09/03/2026 a 15/03/2026 - RPS: 2458 - NFSe: 530</v>
      </c>
      <c r="I3117" t="str">
        <f t="shared" si="564"/>
        <v>18/03/2026</v>
      </c>
      <c r="J3117" t="str">
        <f t="shared" si="565"/>
        <v>16/03/2026</v>
      </c>
      <c r="K3117" t="str">
        <f>("18/03/2026")</f>
        <v>18/03/2026</v>
      </c>
      <c r="L3117">
        <v>2516</v>
      </c>
      <c r="M3117">
        <v>2516</v>
      </c>
      <c r="N3117">
        <v>303</v>
      </c>
      <c r="O3117" t="str">
        <f>"RECEITAS COM ENTREGAS"</f>
        <v>RECEITAS COM ENTREGAS</v>
      </c>
      <c r="P3117">
        <v>2516</v>
      </c>
      <c r="S3117" t="str">
        <f>"RECEITAS COM ENTREGAS (303)"</f>
        <v>RECEITAS COM ENTREGAS (303)</v>
      </c>
      <c r="T3117">
        <v>31396</v>
      </c>
      <c r="U3117">
        <v>34945</v>
      </c>
      <c r="V3117" t="s">
        <v>33</v>
      </c>
    </row>
    <row r="3118" spans="1:22">
      <c r="A3118" t="str">
        <f t="shared" si="566"/>
        <v>18/03/2026</v>
      </c>
      <c r="B3118" t="str">
        <f t="shared" si="561"/>
        <v>ENTRADA</v>
      </c>
      <c r="C3118" t="str">
        <f t="shared" si="562"/>
        <v>NFSE</v>
      </c>
      <c r="D3118" t="str">
        <f>"530"</f>
        <v>530</v>
      </c>
      <c r="E3118" t="str">
        <f t="shared" si="563"/>
        <v>1</v>
      </c>
      <c r="F3118" t="str">
        <f t="shared" si="559"/>
        <v>COM</v>
      </c>
      <c r="G3118" t="str">
        <f>"JAL FARMACIA E DROGARIA LJ 1 (10137)"</f>
        <v>JAL FARMACIA E DROGARIA LJ 1 (10137)</v>
      </c>
      <c r="H3118" t="s">
        <v>941</v>
      </c>
      <c r="I3118" t="str">
        <f t="shared" si="564"/>
        <v>18/03/2026</v>
      </c>
      <c r="J3118" t="str">
        <f t="shared" si="565"/>
        <v>16/03/2026</v>
      </c>
      <c r="K3118">
        <v>46099</v>
      </c>
      <c r="N3118">
        <v>303</v>
      </c>
      <c r="O3118" t="s">
        <v>102</v>
      </c>
      <c r="Q3118">
        <v>2516</v>
      </c>
      <c r="R3118" t="str">
        <f>"JAL FARMACIA E DROGARIA LJ 1 (10137)"</f>
        <v>JAL FARMACIA E DROGARIA LJ 1 (10137)</v>
      </c>
      <c r="S3118" t="s">
        <v>103</v>
      </c>
      <c r="T3118">
        <v>31396</v>
      </c>
      <c r="U3118">
        <v>34945</v>
      </c>
      <c r="V3118" t="s">
        <v>33</v>
      </c>
    </row>
    <row r="3119" spans="1:22">
      <c r="A3119" t="str">
        <f t="shared" si="566"/>
        <v>18/03/2026</v>
      </c>
      <c r="B3119" t="str">
        <f t="shared" si="561"/>
        <v>ENTRADA</v>
      </c>
      <c r="C3119" t="str">
        <f t="shared" si="562"/>
        <v>NFSE</v>
      </c>
      <c r="D3119" t="str">
        <f>"535"</f>
        <v>535</v>
      </c>
      <c r="E3119" t="str">
        <f t="shared" si="563"/>
        <v>1</v>
      </c>
      <c r="F3119" t="str">
        <f t="shared" si="559"/>
        <v>COM</v>
      </c>
      <c r="G3119" t="str">
        <f>"PENSE FARMA 07 (10201)"</f>
        <v>PENSE FARMA 07 (10201)</v>
      </c>
      <c r="H3119" t="str">
        <f>"Serv.Prest. 09/03/2026 a 15/03/2026 - RPS: 2463 - NFSe: 535"</f>
        <v>Serv.Prest. 09/03/2026 a 15/03/2026 - RPS: 2463 - NFSe: 535</v>
      </c>
      <c r="I3119" t="str">
        <f t="shared" si="564"/>
        <v>18/03/2026</v>
      </c>
      <c r="J3119" t="str">
        <f t="shared" ref="J3119:J3160" si="567">("17/03/2026")</f>
        <v>17/03/2026</v>
      </c>
      <c r="K3119" t="str">
        <f>("18/03/2026")</f>
        <v>18/03/2026</v>
      </c>
      <c r="L3119">
        <v>1755.25</v>
      </c>
      <c r="M3119">
        <v>1755.25</v>
      </c>
      <c r="N3119">
        <v>303</v>
      </c>
      <c r="O3119" t="str">
        <f>"RECEITAS COM ENTREGAS"</f>
        <v>RECEITAS COM ENTREGAS</v>
      </c>
      <c r="P3119">
        <v>1755.25</v>
      </c>
      <c r="S3119" t="str">
        <f>"RECEITAS COM ENTREGAS (303)"</f>
        <v>RECEITAS COM ENTREGAS (303)</v>
      </c>
      <c r="T3119">
        <v>31397</v>
      </c>
      <c r="U3119">
        <v>34980</v>
      </c>
      <c r="V3119" t="s">
        <v>33</v>
      </c>
    </row>
    <row r="3120" spans="1:22">
      <c r="A3120" t="str">
        <f t="shared" si="566"/>
        <v>18/03/2026</v>
      </c>
      <c r="B3120" t="str">
        <f t="shared" si="561"/>
        <v>ENTRADA</v>
      </c>
      <c r="C3120" t="str">
        <f t="shared" si="562"/>
        <v>NFSE</v>
      </c>
      <c r="D3120" t="str">
        <f>"535"</f>
        <v>535</v>
      </c>
      <c r="E3120" t="str">
        <f t="shared" si="563"/>
        <v>1</v>
      </c>
      <c r="F3120" t="str">
        <f t="shared" si="559"/>
        <v>COM</v>
      </c>
      <c r="G3120" t="str">
        <f>"PENSE FARMA 07 (10201)"</f>
        <v>PENSE FARMA 07 (10201)</v>
      </c>
      <c r="H3120" t="s">
        <v>942</v>
      </c>
      <c r="I3120" t="str">
        <f t="shared" si="564"/>
        <v>18/03/2026</v>
      </c>
      <c r="J3120" t="str">
        <f t="shared" si="567"/>
        <v>17/03/2026</v>
      </c>
      <c r="K3120">
        <v>46099</v>
      </c>
      <c r="N3120">
        <v>303</v>
      </c>
      <c r="O3120" t="s">
        <v>102</v>
      </c>
      <c r="Q3120">
        <v>583.1</v>
      </c>
      <c r="R3120" t="str">
        <f>"PENSE FARMA 07 (10201)"</f>
        <v>PENSE FARMA 07 (10201)</v>
      </c>
      <c r="S3120" t="s">
        <v>103</v>
      </c>
      <c r="T3120">
        <v>31397</v>
      </c>
      <c r="U3120">
        <v>34980</v>
      </c>
      <c r="V3120" t="s">
        <v>33</v>
      </c>
    </row>
    <row r="3121" spans="1:22">
      <c r="A3121" t="str">
        <f t="shared" si="566"/>
        <v>18/03/2026</v>
      </c>
      <c r="B3121" t="str">
        <f t="shared" si="561"/>
        <v>ENTRADA</v>
      </c>
      <c r="C3121" t="str">
        <f t="shared" si="562"/>
        <v>NFSE</v>
      </c>
      <c r="D3121" t="str">
        <f>"535"</f>
        <v>535</v>
      </c>
      <c r="E3121" t="str">
        <f t="shared" si="563"/>
        <v>1</v>
      </c>
      <c r="F3121" t="str">
        <f t="shared" si="559"/>
        <v>COM</v>
      </c>
      <c r="G3121" t="str">
        <f>"PENSE FARMA 07 (10201)"</f>
        <v>PENSE FARMA 07 (10201)</v>
      </c>
      <c r="H3121" t="s">
        <v>942</v>
      </c>
      <c r="I3121" t="str">
        <f t="shared" si="564"/>
        <v>18/03/2026</v>
      </c>
      <c r="J3121" t="str">
        <f t="shared" si="567"/>
        <v>17/03/2026</v>
      </c>
      <c r="K3121">
        <v>46099</v>
      </c>
      <c r="N3121">
        <v>303</v>
      </c>
      <c r="O3121" t="s">
        <v>102</v>
      </c>
      <c r="Q3121">
        <v>583.09</v>
      </c>
      <c r="R3121" t="str">
        <f>"PENSE FARMA 45 (10209)"</f>
        <v>PENSE FARMA 45 (10209)</v>
      </c>
      <c r="S3121" t="s">
        <v>103</v>
      </c>
      <c r="T3121">
        <v>31397</v>
      </c>
      <c r="U3121">
        <v>34980</v>
      </c>
      <c r="V3121" t="s">
        <v>33</v>
      </c>
    </row>
    <row r="3122" spans="1:22">
      <c r="A3122" t="str">
        <f t="shared" si="566"/>
        <v>18/03/2026</v>
      </c>
      <c r="B3122" t="str">
        <f t="shared" si="561"/>
        <v>ENTRADA</v>
      </c>
      <c r="C3122" t="str">
        <f t="shared" si="562"/>
        <v>NFSE</v>
      </c>
      <c r="D3122" t="str">
        <f>"535"</f>
        <v>535</v>
      </c>
      <c r="E3122" t="str">
        <f t="shared" si="563"/>
        <v>1</v>
      </c>
      <c r="F3122" t="str">
        <f t="shared" si="559"/>
        <v>COM</v>
      </c>
      <c r="G3122" t="str">
        <f>"PENSE FARMA 07 (10201)"</f>
        <v>PENSE FARMA 07 (10201)</v>
      </c>
      <c r="H3122" t="s">
        <v>942</v>
      </c>
      <c r="I3122" t="str">
        <f t="shared" si="564"/>
        <v>18/03/2026</v>
      </c>
      <c r="J3122" t="str">
        <f t="shared" si="567"/>
        <v>17/03/2026</v>
      </c>
      <c r="K3122">
        <v>46099</v>
      </c>
      <c r="N3122">
        <v>303</v>
      </c>
      <c r="O3122" t="s">
        <v>102</v>
      </c>
      <c r="Q3122">
        <v>589.05999999999995</v>
      </c>
      <c r="R3122" t="str">
        <f>"PENSE FARMA 50 (10210)"</f>
        <v>PENSE FARMA 50 (10210)</v>
      </c>
      <c r="S3122" t="s">
        <v>103</v>
      </c>
      <c r="T3122">
        <v>31397</v>
      </c>
      <c r="U3122">
        <v>34980</v>
      </c>
      <c r="V3122" t="s">
        <v>33</v>
      </c>
    </row>
    <row r="3123" spans="1:22">
      <c r="A3123" t="str">
        <f t="shared" si="566"/>
        <v>18/03/2026</v>
      </c>
      <c r="B3123" t="str">
        <f t="shared" si="561"/>
        <v>ENTRADA</v>
      </c>
      <c r="C3123" t="str">
        <f t="shared" si="562"/>
        <v>NFSE</v>
      </c>
      <c r="D3123" t="str">
        <f t="shared" ref="D3123:D3128" si="568">"536"</f>
        <v>536</v>
      </c>
      <c r="E3123" t="str">
        <f t="shared" si="563"/>
        <v>1</v>
      </c>
      <c r="F3123" t="str">
        <f t="shared" si="559"/>
        <v>COM</v>
      </c>
      <c r="G3123" t="str">
        <f t="shared" ref="G3123:G3128" si="569">"PENSE FARMA 08 (10217)"</f>
        <v>PENSE FARMA 08 (10217)</v>
      </c>
      <c r="H3123" t="str">
        <f>"Serv.Prest. 09/03/2026 a 15/03/2026 - RPS: 2464 - NFSe: 536"</f>
        <v>Serv.Prest. 09/03/2026 a 15/03/2026 - RPS: 2464 - NFSe: 536</v>
      </c>
      <c r="I3123" t="str">
        <f t="shared" si="564"/>
        <v>18/03/2026</v>
      </c>
      <c r="J3123" t="str">
        <f t="shared" si="567"/>
        <v>17/03/2026</v>
      </c>
      <c r="K3123" t="str">
        <f>("18/03/2026")</f>
        <v>18/03/2026</v>
      </c>
      <c r="L3123">
        <v>3513.9</v>
      </c>
      <c r="M3123">
        <v>3513.9</v>
      </c>
      <c r="N3123">
        <v>303</v>
      </c>
      <c r="O3123" t="str">
        <f>"RECEITAS COM ENTREGAS"</f>
        <v>RECEITAS COM ENTREGAS</v>
      </c>
      <c r="P3123">
        <v>3513.9</v>
      </c>
      <c r="S3123" t="str">
        <f>"RECEITAS COM ENTREGAS (303)"</f>
        <v>RECEITAS COM ENTREGAS (303)</v>
      </c>
      <c r="T3123">
        <v>31398</v>
      </c>
      <c r="U3123">
        <v>34984</v>
      </c>
      <c r="V3123" t="s">
        <v>33</v>
      </c>
    </row>
    <row r="3124" spans="1:22">
      <c r="A3124" t="str">
        <f t="shared" si="566"/>
        <v>18/03/2026</v>
      </c>
      <c r="B3124" t="str">
        <f t="shared" si="561"/>
        <v>ENTRADA</v>
      </c>
      <c r="C3124" t="str">
        <f t="shared" si="562"/>
        <v>NFSE</v>
      </c>
      <c r="D3124" t="str">
        <f t="shared" si="568"/>
        <v>536</v>
      </c>
      <c r="E3124" t="str">
        <f t="shared" si="563"/>
        <v>1</v>
      </c>
      <c r="F3124" t="str">
        <f t="shared" si="559"/>
        <v>COM</v>
      </c>
      <c r="G3124" t="str">
        <f t="shared" si="569"/>
        <v>PENSE FARMA 08 (10217)</v>
      </c>
      <c r="H3124" t="s">
        <v>943</v>
      </c>
      <c r="I3124" t="str">
        <f t="shared" si="564"/>
        <v>18/03/2026</v>
      </c>
      <c r="J3124" t="str">
        <f t="shared" si="567"/>
        <v>17/03/2026</v>
      </c>
      <c r="K3124">
        <v>46099</v>
      </c>
      <c r="N3124">
        <v>303</v>
      </c>
      <c r="O3124" t="s">
        <v>102</v>
      </c>
      <c r="Q3124">
        <v>683.46</v>
      </c>
      <c r="R3124" t="str">
        <f>"PENSE FARMA 08 (10217)"</f>
        <v>PENSE FARMA 08 (10217)</v>
      </c>
      <c r="S3124" t="s">
        <v>103</v>
      </c>
      <c r="T3124">
        <v>31398</v>
      </c>
      <c r="U3124">
        <v>34984</v>
      </c>
      <c r="V3124" t="s">
        <v>33</v>
      </c>
    </row>
    <row r="3125" spans="1:22">
      <c r="A3125" t="str">
        <f t="shared" si="566"/>
        <v>18/03/2026</v>
      </c>
      <c r="B3125" t="str">
        <f t="shared" si="561"/>
        <v>ENTRADA</v>
      </c>
      <c r="C3125" t="str">
        <f t="shared" si="562"/>
        <v>NFSE</v>
      </c>
      <c r="D3125" t="str">
        <f t="shared" si="568"/>
        <v>536</v>
      </c>
      <c r="E3125" t="str">
        <f t="shared" si="563"/>
        <v>1</v>
      </c>
      <c r="F3125" t="str">
        <f t="shared" si="559"/>
        <v>COM</v>
      </c>
      <c r="G3125" t="str">
        <f t="shared" si="569"/>
        <v>PENSE FARMA 08 (10217)</v>
      </c>
      <c r="H3125" t="s">
        <v>943</v>
      </c>
      <c r="I3125" t="str">
        <f t="shared" si="564"/>
        <v>18/03/2026</v>
      </c>
      <c r="J3125" t="str">
        <f t="shared" si="567"/>
        <v>17/03/2026</v>
      </c>
      <c r="K3125">
        <v>46099</v>
      </c>
      <c r="N3125">
        <v>303</v>
      </c>
      <c r="O3125" t="s">
        <v>102</v>
      </c>
      <c r="Q3125">
        <v>770.25</v>
      </c>
      <c r="R3125" t="str">
        <f>"PENSE FARMA 11 (10220)"</f>
        <v>PENSE FARMA 11 (10220)</v>
      </c>
      <c r="S3125" t="s">
        <v>103</v>
      </c>
      <c r="T3125">
        <v>31398</v>
      </c>
      <c r="U3125">
        <v>34984</v>
      </c>
      <c r="V3125" t="s">
        <v>33</v>
      </c>
    </row>
    <row r="3126" spans="1:22">
      <c r="A3126" t="str">
        <f t="shared" si="566"/>
        <v>18/03/2026</v>
      </c>
      <c r="B3126" t="str">
        <f t="shared" si="561"/>
        <v>ENTRADA</v>
      </c>
      <c r="C3126" t="str">
        <f t="shared" si="562"/>
        <v>NFSE</v>
      </c>
      <c r="D3126" t="str">
        <f t="shared" si="568"/>
        <v>536</v>
      </c>
      <c r="E3126" t="str">
        <f t="shared" si="563"/>
        <v>1</v>
      </c>
      <c r="F3126" t="str">
        <f t="shared" si="559"/>
        <v>COM</v>
      </c>
      <c r="G3126" t="str">
        <f t="shared" si="569"/>
        <v>PENSE FARMA 08 (10217)</v>
      </c>
      <c r="H3126" t="s">
        <v>943</v>
      </c>
      <c r="I3126" t="str">
        <f t="shared" si="564"/>
        <v>18/03/2026</v>
      </c>
      <c r="J3126" t="str">
        <f t="shared" si="567"/>
        <v>17/03/2026</v>
      </c>
      <c r="K3126">
        <v>46099</v>
      </c>
      <c r="N3126">
        <v>303</v>
      </c>
      <c r="O3126" t="s">
        <v>102</v>
      </c>
      <c r="Q3126">
        <v>683.45</v>
      </c>
      <c r="R3126" t="str">
        <f>"PENSE FARMA 41 (10229)"</f>
        <v>PENSE FARMA 41 (10229)</v>
      </c>
      <c r="S3126" t="s">
        <v>103</v>
      </c>
      <c r="T3126">
        <v>31398</v>
      </c>
      <c r="U3126">
        <v>34984</v>
      </c>
      <c r="V3126" t="s">
        <v>33</v>
      </c>
    </row>
    <row r="3127" spans="1:22">
      <c r="A3127" t="str">
        <f t="shared" si="566"/>
        <v>18/03/2026</v>
      </c>
      <c r="B3127" t="str">
        <f t="shared" si="561"/>
        <v>ENTRADA</v>
      </c>
      <c r="C3127" t="str">
        <f t="shared" si="562"/>
        <v>NFSE</v>
      </c>
      <c r="D3127" t="str">
        <f t="shared" si="568"/>
        <v>536</v>
      </c>
      <c r="E3127" t="str">
        <f t="shared" si="563"/>
        <v>1</v>
      </c>
      <c r="F3127" t="str">
        <f t="shared" si="559"/>
        <v>COM</v>
      </c>
      <c r="G3127" t="str">
        <f t="shared" si="569"/>
        <v>PENSE FARMA 08 (10217)</v>
      </c>
      <c r="H3127" t="s">
        <v>943</v>
      </c>
      <c r="I3127" t="str">
        <f t="shared" si="564"/>
        <v>18/03/2026</v>
      </c>
      <c r="J3127" t="str">
        <f t="shared" si="567"/>
        <v>17/03/2026</v>
      </c>
      <c r="K3127">
        <v>46099</v>
      </c>
      <c r="N3127">
        <v>303</v>
      </c>
      <c r="O3127" t="s">
        <v>102</v>
      </c>
      <c r="Q3127">
        <v>708.75</v>
      </c>
      <c r="R3127" t="str">
        <f>"PENSE FARMA 42 (10230)"</f>
        <v>PENSE FARMA 42 (10230)</v>
      </c>
      <c r="S3127" t="s">
        <v>103</v>
      </c>
      <c r="T3127">
        <v>31398</v>
      </c>
      <c r="U3127">
        <v>34984</v>
      </c>
      <c r="V3127" t="s">
        <v>33</v>
      </c>
    </row>
    <row r="3128" spans="1:22">
      <c r="A3128" t="str">
        <f t="shared" si="566"/>
        <v>18/03/2026</v>
      </c>
      <c r="B3128" t="str">
        <f t="shared" si="561"/>
        <v>ENTRADA</v>
      </c>
      <c r="C3128" t="str">
        <f t="shared" si="562"/>
        <v>NFSE</v>
      </c>
      <c r="D3128" t="str">
        <f t="shared" si="568"/>
        <v>536</v>
      </c>
      <c r="E3128" t="str">
        <f t="shared" si="563"/>
        <v>1</v>
      </c>
      <c r="F3128" t="str">
        <f t="shared" si="559"/>
        <v>COM</v>
      </c>
      <c r="G3128" t="str">
        <f t="shared" si="569"/>
        <v>PENSE FARMA 08 (10217)</v>
      </c>
      <c r="H3128" t="s">
        <v>943</v>
      </c>
      <c r="I3128" t="str">
        <f t="shared" si="564"/>
        <v>18/03/2026</v>
      </c>
      <c r="J3128" t="str">
        <f t="shared" si="567"/>
        <v>17/03/2026</v>
      </c>
      <c r="K3128">
        <v>46099</v>
      </c>
      <c r="N3128">
        <v>303</v>
      </c>
      <c r="O3128" t="s">
        <v>102</v>
      </c>
      <c r="Q3128">
        <v>667.99</v>
      </c>
      <c r="R3128" t="str">
        <f>"PENSE FARMA 52 (10236)"</f>
        <v>PENSE FARMA 52 (10236)</v>
      </c>
      <c r="S3128" t="s">
        <v>103</v>
      </c>
      <c r="T3128">
        <v>31398</v>
      </c>
      <c r="U3128">
        <v>34984</v>
      </c>
      <c r="V3128" t="s">
        <v>33</v>
      </c>
    </row>
    <row r="3129" spans="1:22">
      <c r="A3129" t="str">
        <f t="shared" si="566"/>
        <v>18/03/2026</v>
      </c>
      <c r="B3129" t="str">
        <f t="shared" ref="B3129:B3160" si="570">"ENTRADA"</f>
        <v>ENTRADA</v>
      </c>
      <c r="C3129" t="str">
        <f t="shared" si="562"/>
        <v>NFSE</v>
      </c>
      <c r="D3129" t="str">
        <f>"537"</f>
        <v>537</v>
      </c>
      <c r="E3129" t="str">
        <f t="shared" si="563"/>
        <v>1</v>
      </c>
      <c r="F3129" t="str">
        <f t="shared" si="559"/>
        <v>COM</v>
      </c>
      <c r="G3129" t="str">
        <f>"PENSE FARMA 09 (10218)"</f>
        <v>PENSE FARMA 09 (10218)</v>
      </c>
      <c r="H3129" t="str">
        <f>"Serv.Prest. 09/03/2026 a 15/03/2026 - RPS: 2465 - NFSe: 537"</f>
        <v>Serv.Prest. 09/03/2026 a 15/03/2026 - RPS: 2465 - NFSe: 537</v>
      </c>
      <c r="I3129" t="str">
        <f t="shared" si="564"/>
        <v>18/03/2026</v>
      </c>
      <c r="J3129" t="str">
        <f t="shared" si="567"/>
        <v>17/03/2026</v>
      </c>
      <c r="K3129" t="str">
        <f>("18/03/2026")</f>
        <v>18/03/2026</v>
      </c>
      <c r="L3129">
        <v>1907.06</v>
      </c>
      <c r="M3129">
        <v>1907.06</v>
      </c>
      <c r="N3129">
        <v>303</v>
      </c>
      <c r="O3129" t="str">
        <f>"RECEITAS COM ENTREGAS"</f>
        <v>RECEITAS COM ENTREGAS</v>
      </c>
      <c r="P3129">
        <v>1907.06</v>
      </c>
      <c r="S3129" t="str">
        <f>"RECEITAS COM ENTREGAS (303)"</f>
        <v>RECEITAS COM ENTREGAS (303)</v>
      </c>
      <c r="T3129">
        <v>31399</v>
      </c>
      <c r="U3129">
        <v>35000</v>
      </c>
      <c r="V3129" t="s">
        <v>33</v>
      </c>
    </row>
    <row r="3130" spans="1:22">
      <c r="A3130" t="str">
        <f t="shared" si="566"/>
        <v>18/03/2026</v>
      </c>
      <c r="B3130" t="str">
        <f t="shared" si="570"/>
        <v>ENTRADA</v>
      </c>
      <c r="C3130" t="str">
        <f t="shared" si="562"/>
        <v>NFSE</v>
      </c>
      <c r="D3130" t="str">
        <f>"537"</f>
        <v>537</v>
      </c>
      <c r="E3130" t="str">
        <f t="shared" si="563"/>
        <v>1</v>
      </c>
      <c r="F3130" t="str">
        <f t="shared" si="559"/>
        <v>COM</v>
      </c>
      <c r="G3130" t="str">
        <f>"PENSE FARMA 09 (10218)"</f>
        <v>PENSE FARMA 09 (10218)</v>
      </c>
      <c r="H3130" t="s">
        <v>944</v>
      </c>
      <c r="I3130" t="str">
        <f t="shared" si="564"/>
        <v>18/03/2026</v>
      </c>
      <c r="J3130" t="str">
        <f t="shared" si="567"/>
        <v>17/03/2026</v>
      </c>
      <c r="K3130">
        <v>46099</v>
      </c>
      <c r="N3130">
        <v>303</v>
      </c>
      <c r="O3130" t="s">
        <v>102</v>
      </c>
      <c r="Q3130">
        <v>953.53</v>
      </c>
      <c r="R3130" t="str">
        <f>"PENSE FARMA 09 (10218)"</f>
        <v>PENSE FARMA 09 (10218)</v>
      </c>
      <c r="S3130" t="s">
        <v>103</v>
      </c>
      <c r="T3130">
        <v>31399</v>
      </c>
      <c r="U3130">
        <v>35000</v>
      </c>
      <c r="V3130" t="s">
        <v>33</v>
      </c>
    </row>
    <row r="3131" spans="1:22">
      <c r="A3131" t="str">
        <f t="shared" si="566"/>
        <v>18/03/2026</v>
      </c>
      <c r="B3131" t="str">
        <f t="shared" si="570"/>
        <v>ENTRADA</v>
      </c>
      <c r="C3131" t="str">
        <f t="shared" ref="C3131:C3162" si="571">"NFSE"</f>
        <v>NFSE</v>
      </c>
      <c r="D3131" t="str">
        <f>"537"</f>
        <v>537</v>
      </c>
      <c r="E3131" t="str">
        <f t="shared" ref="E3131:E3162" si="572">"1"</f>
        <v>1</v>
      </c>
      <c r="F3131" t="str">
        <f t="shared" si="559"/>
        <v>COM</v>
      </c>
      <c r="G3131" t="str">
        <f>"PENSE FARMA 09 (10218)"</f>
        <v>PENSE FARMA 09 (10218)</v>
      </c>
      <c r="H3131" t="s">
        <v>944</v>
      </c>
      <c r="I3131" t="str">
        <f t="shared" ref="I3131:I3162" si="573">("18/03/2026")</f>
        <v>18/03/2026</v>
      </c>
      <c r="J3131" t="str">
        <f t="shared" si="567"/>
        <v>17/03/2026</v>
      </c>
      <c r="K3131">
        <v>46099</v>
      </c>
      <c r="N3131">
        <v>303</v>
      </c>
      <c r="O3131" t="s">
        <v>102</v>
      </c>
      <c r="Q3131">
        <v>953.53</v>
      </c>
      <c r="R3131" t="str">
        <f>"PENSE FARMA 10 (10219)"</f>
        <v>PENSE FARMA 10 (10219)</v>
      </c>
      <c r="S3131" t="s">
        <v>103</v>
      </c>
      <c r="T3131">
        <v>31399</v>
      </c>
      <c r="U3131">
        <v>35000</v>
      </c>
      <c r="V3131" t="s">
        <v>33</v>
      </c>
    </row>
    <row r="3132" spans="1:22">
      <c r="A3132" t="str">
        <f t="shared" si="566"/>
        <v>18/03/2026</v>
      </c>
      <c r="B3132" t="str">
        <f t="shared" si="570"/>
        <v>ENTRADA</v>
      </c>
      <c r="C3132" t="str">
        <f t="shared" si="571"/>
        <v>NFSE</v>
      </c>
      <c r="D3132" t="str">
        <f>"539"</f>
        <v>539</v>
      </c>
      <c r="E3132" t="str">
        <f t="shared" si="572"/>
        <v>1</v>
      </c>
      <c r="F3132" t="str">
        <f t="shared" si="559"/>
        <v>COM</v>
      </c>
      <c r="G3132" t="str">
        <f>"PENSE FARMA 19 (10223)"</f>
        <v>PENSE FARMA 19 (10223)</v>
      </c>
      <c r="H3132" t="str">
        <f>"Serv.Prest. 09/03/2026 a 15/03/2026 - RPS: 2467 - NFSe: 539"</f>
        <v>Serv.Prest. 09/03/2026 a 15/03/2026 - RPS: 2467 - NFSe: 539</v>
      </c>
      <c r="I3132" t="str">
        <f t="shared" si="573"/>
        <v>18/03/2026</v>
      </c>
      <c r="J3132" t="str">
        <f t="shared" si="567"/>
        <v>17/03/2026</v>
      </c>
      <c r="K3132" t="str">
        <f>("18/03/2026")</f>
        <v>18/03/2026</v>
      </c>
      <c r="L3132">
        <v>2544.0500000000002</v>
      </c>
      <c r="M3132">
        <v>2544.0500000000002</v>
      </c>
      <c r="N3132">
        <v>303</v>
      </c>
      <c r="O3132" t="str">
        <f>"RECEITAS COM ENTREGAS"</f>
        <v>RECEITAS COM ENTREGAS</v>
      </c>
      <c r="P3132">
        <v>2544.0500000000002</v>
      </c>
      <c r="S3132" t="str">
        <f>"RECEITAS COM ENTREGAS (303)"</f>
        <v>RECEITAS COM ENTREGAS (303)</v>
      </c>
      <c r="T3132">
        <v>31400</v>
      </c>
      <c r="U3132">
        <v>35016</v>
      </c>
      <c r="V3132" t="s">
        <v>33</v>
      </c>
    </row>
    <row r="3133" spans="1:22">
      <c r="A3133" t="str">
        <f t="shared" si="566"/>
        <v>18/03/2026</v>
      </c>
      <c r="B3133" t="str">
        <f t="shared" si="570"/>
        <v>ENTRADA</v>
      </c>
      <c r="C3133" t="str">
        <f t="shared" si="571"/>
        <v>NFSE</v>
      </c>
      <c r="D3133" t="str">
        <f>"539"</f>
        <v>539</v>
      </c>
      <c r="E3133" t="str">
        <f t="shared" si="572"/>
        <v>1</v>
      </c>
      <c r="F3133" t="str">
        <f t="shared" si="559"/>
        <v>COM</v>
      </c>
      <c r="G3133" t="str">
        <f>"PENSE FARMA 19 (10223)"</f>
        <v>PENSE FARMA 19 (10223)</v>
      </c>
      <c r="H3133" t="s">
        <v>945</v>
      </c>
      <c r="I3133" t="str">
        <f t="shared" si="573"/>
        <v>18/03/2026</v>
      </c>
      <c r="J3133" t="str">
        <f t="shared" si="567"/>
        <v>17/03/2026</v>
      </c>
      <c r="K3133">
        <v>46099</v>
      </c>
      <c r="N3133">
        <v>303</v>
      </c>
      <c r="O3133" t="s">
        <v>102</v>
      </c>
      <c r="Q3133">
        <v>2544.0500000000002</v>
      </c>
      <c r="R3133" t="str">
        <f>"PENSE FARMA 19 (10223)"</f>
        <v>PENSE FARMA 19 (10223)</v>
      </c>
      <c r="S3133" t="s">
        <v>103</v>
      </c>
      <c r="T3133">
        <v>31400</v>
      </c>
      <c r="U3133">
        <v>35016</v>
      </c>
      <c r="V3133" t="s">
        <v>33</v>
      </c>
    </row>
    <row r="3134" spans="1:22">
      <c r="A3134" t="str">
        <f t="shared" si="566"/>
        <v>18/03/2026</v>
      </c>
      <c r="B3134" t="str">
        <f t="shared" si="570"/>
        <v>ENTRADA</v>
      </c>
      <c r="C3134" t="str">
        <f t="shared" si="571"/>
        <v>NFSE</v>
      </c>
      <c r="D3134" t="str">
        <f>"540"</f>
        <v>540</v>
      </c>
      <c r="E3134" t="str">
        <f t="shared" si="572"/>
        <v>1</v>
      </c>
      <c r="F3134" t="str">
        <f t="shared" si="559"/>
        <v>COM</v>
      </c>
      <c r="G3134" t="str">
        <f>"PENSE FARMA 22 (10198)"</f>
        <v>PENSE FARMA 22 (10198)</v>
      </c>
      <c r="H3134" t="str">
        <f>"Serv.Prest. 09/03/2026 a 15/03/2026 - RPS: 2468 - NFSe: 540"</f>
        <v>Serv.Prest. 09/03/2026 a 15/03/2026 - RPS: 2468 - NFSe: 540</v>
      </c>
      <c r="I3134" t="str">
        <f t="shared" si="573"/>
        <v>18/03/2026</v>
      </c>
      <c r="J3134" t="str">
        <f t="shared" si="567"/>
        <v>17/03/2026</v>
      </c>
      <c r="K3134" t="str">
        <f>("18/03/2026")</f>
        <v>18/03/2026</v>
      </c>
      <c r="L3134">
        <v>4954.05</v>
      </c>
      <c r="M3134">
        <v>4954.05</v>
      </c>
      <c r="N3134">
        <v>303</v>
      </c>
      <c r="O3134" t="str">
        <f>"RECEITAS COM ENTREGAS"</f>
        <v>RECEITAS COM ENTREGAS</v>
      </c>
      <c r="P3134">
        <v>4954.05</v>
      </c>
      <c r="S3134" t="str">
        <f>"RECEITAS COM ENTREGAS (303)"</f>
        <v>RECEITAS COM ENTREGAS (303)</v>
      </c>
      <c r="T3134">
        <v>31401</v>
      </c>
      <c r="U3134">
        <v>35019</v>
      </c>
      <c r="V3134" t="s">
        <v>33</v>
      </c>
    </row>
    <row r="3135" spans="1:22">
      <c r="A3135" t="str">
        <f t="shared" si="566"/>
        <v>18/03/2026</v>
      </c>
      <c r="B3135" t="str">
        <f t="shared" si="570"/>
        <v>ENTRADA</v>
      </c>
      <c r="C3135" t="str">
        <f t="shared" si="571"/>
        <v>NFSE</v>
      </c>
      <c r="D3135" t="str">
        <f>"540"</f>
        <v>540</v>
      </c>
      <c r="E3135" t="str">
        <f t="shared" si="572"/>
        <v>1</v>
      </c>
      <c r="F3135" t="str">
        <f t="shared" si="559"/>
        <v>COM</v>
      </c>
      <c r="G3135" t="str">
        <f>"PENSE FARMA 22 (10198)"</f>
        <v>PENSE FARMA 22 (10198)</v>
      </c>
      <c r="H3135" t="s">
        <v>946</v>
      </c>
      <c r="I3135" t="str">
        <f t="shared" si="573"/>
        <v>18/03/2026</v>
      </c>
      <c r="J3135" t="str">
        <f t="shared" si="567"/>
        <v>17/03/2026</v>
      </c>
      <c r="K3135">
        <v>46099</v>
      </c>
      <c r="N3135">
        <v>303</v>
      </c>
      <c r="O3135" t="s">
        <v>102</v>
      </c>
      <c r="Q3135">
        <v>4954.05</v>
      </c>
      <c r="R3135" t="str">
        <f>"PENSE FARMA 22 (10198)"</f>
        <v>PENSE FARMA 22 (10198)</v>
      </c>
      <c r="S3135" t="s">
        <v>103</v>
      </c>
      <c r="T3135">
        <v>31401</v>
      </c>
      <c r="U3135">
        <v>35019</v>
      </c>
      <c r="V3135" t="s">
        <v>33</v>
      </c>
    </row>
    <row r="3136" spans="1:22">
      <c r="A3136" t="str">
        <f t="shared" si="566"/>
        <v>18/03/2026</v>
      </c>
      <c r="B3136" t="str">
        <f t="shared" si="570"/>
        <v>ENTRADA</v>
      </c>
      <c r="C3136" t="str">
        <f t="shared" si="571"/>
        <v>NFSE</v>
      </c>
      <c r="D3136" t="str">
        <f>"541"</f>
        <v>541</v>
      </c>
      <c r="E3136" t="str">
        <f t="shared" si="572"/>
        <v>1</v>
      </c>
      <c r="F3136" t="str">
        <f t="shared" si="559"/>
        <v>COM</v>
      </c>
      <c r="G3136" t="str">
        <f>"PENSE FARMA 25 (10224)"</f>
        <v>PENSE FARMA 25 (10224)</v>
      </c>
      <c r="H3136" t="str">
        <f>"Serv.Prest. 09/03/2026 a 15/03/2026 - RPS: 2469 - NFSe: 541"</f>
        <v>Serv.Prest. 09/03/2026 a 15/03/2026 - RPS: 2469 - NFSe: 541</v>
      </c>
      <c r="I3136" t="str">
        <f t="shared" si="573"/>
        <v>18/03/2026</v>
      </c>
      <c r="J3136" t="str">
        <f t="shared" si="567"/>
        <v>17/03/2026</v>
      </c>
      <c r="K3136" t="str">
        <f>("18/03/2026")</f>
        <v>18/03/2026</v>
      </c>
      <c r="L3136">
        <v>1816.16</v>
      </c>
      <c r="M3136">
        <v>1816.16</v>
      </c>
      <c r="N3136">
        <v>303</v>
      </c>
      <c r="O3136" t="str">
        <f>"RECEITAS COM ENTREGAS"</f>
        <v>RECEITAS COM ENTREGAS</v>
      </c>
      <c r="P3136">
        <v>1816.16</v>
      </c>
      <c r="S3136" t="str">
        <f>"RECEITAS COM ENTREGAS (303)"</f>
        <v>RECEITAS COM ENTREGAS (303)</v>
      </c>
      <c r="T3136">
        <v>31402</v>
      </c>
      <c r="U3136">
        <v>35023</v>
      </c>
      <c r="V3136" t="s">
        <v>33</v>
      </c>
    </row>
    <row r="3137" spans="1:22">
      <c r="A3137" t="str">
        <f t="shared" si="566"/>
        <v>18/03/2026</v>
      </c>
      <c r="B3137" t="str">
        <f t="shared" si="570"/>
        <v>ENTRADA</v>
      </c>
      <c r="C3137" t="str">
        <f t="shared" si="571"/>
        <v>NFSE</v>
      </c>
      <c r="D3137" t="str">
        <f>"541"</f>
        <v>541</v>
      </c>
      <c r="E3137" t="str">
        <f t="shared" si="572"/>
        <v>1</v>
      </c>
      <c r="F3137" t="str">
        <f t="shared" si="559"/>
        <v>COM</v>
      </c>
      <c r="G3137" t="str">
        <f>"PENSE FARMA 25 (10224)"</f>
        <v>PENSE FARMA 25 (10224)</v>
      </c>
      <c r="H3137" t="s">
        <v>947</v>
      </c>
      <c r="I3137" t="str">
        <f t="shared" si="573"/>
        <v>18/03/2026</v>
      </c>
      <c r="J3137" t="str">
        <f t="shared" si="567"/>
        <v>17/03/2026</v>
      </c>
      <c r="K3137">
        <v>46099</v>
      </c>
      <c r="N3137">
        <v>303</v>
      </c>
      <c r="O3137" t="s">
        <v>102</v>
      </c>
      <c r="Q3137">
        <v>1816.16</v>
      </c>
      <c r="R3137" t="str">
        <f>"PENSE FARMA 25 (10224)"</f>
        <v>PENSE FARMA 25 (10224)</v>
      </c>
      <c r="S3137" t="s">
        <v>103</v>
      </c>
      <c r="T3137">
        <v>31402</v>
      </c>
      <c r="U3137">
        <v>35023</v>
      </c>
      <c r="V3137" t="s">
        <v>33</v>
      </c>
    </row>
    <row r="3138" spans="1:22">
      <c r="A3138" t="str">
        <f t="shared" si="566"/>
        <v>18/03/2026</v>
      </c>
      <c r="B3138" t="str">
        <f t="shared" si="570"/>
        <v>ENTRADA</v>
      </c>
      <c r="C3138" t="str">
        <f t="shared" si="571"/>
        <v>NFSE</v>
      </c>
      <c r="D3138" t="str">
        <f>"542"</f>
        <v>542</v>
      </c>
      <c r="E3138" t="str">
        <f t="shared" si="572"/>
        <v>1</v>
      </c>
      <c r="F3138" t="str">
        <f t="shared" ref="F3138:F3201" si="574">"COM"</f>
        <v>COM</v>
      </c>
      <c r="G3138" t="str">
        <f>"PENSE FARMA 27 (10204)"</f>
        <v>PENSE FARMA 27 (10204)</v>
      </c>
      <c r="H3138" t="str">
        <f>"Serv.Prest. 09/03/2026 a 15/03/2026 - RPS: 2470 - NFSe: 542"</f>
        <v>Serv.Prest. 09/03/2026 a 15/03/2026 - RPS: 2470 - NFSe: 542</v>
      </c>
      <c r="I3138" t="str">
        <f t="shared" si="573"/>
        <v>18/03/2026</v>
      </c>
      <c r="J3138" t="str">
        <f t="shared" si="567"/>
        <v>17/03/2026</v>
      </c>
      <c r="K3138" t="str">
        <f>("18/03/2026")</f>
        <v>18/03/2026</v>
      </c>
      <c r="L3138">
        <v>3272.5</v>
      </c>
      <c r="M3138">
        <v>3272.5</v>
      </c>
      <c r="N3138">
        <v>303</v>
      </c>
      <c r="O3138" t="str">
        <f>"RECEITAS COM ENTREGAS"</f>
        <v>RECEITAS COM ENTREGAS</v>
      </c>
      <c r="P3138">
        <v>3272.5</v>
      </c>
      <c r="S3138" t="str">
        <f>"RECEITAS COM ENTREGAS (303)"</f>
        <v>RECEITAS COM ENTREGAS (303)</v>
      </c>
      <c r="T3138">
        <v>31403</v>
      </c>
      <c r="U3138">
        <v>35026</v>
      </c>
      <c r="V3138" t="s">
        <v>33</v>
      </c>
    </row>
    <row r="3139" spans="1:22">
      <c r="A3139" t="str">
        <f t="shared" si="566"/>
        <v>18/03/2026</v>
      </c>
      <c r="B3139" t="str">
        <f t="shared" si="570"/>
        <v>ENTRADA</v>
      </c>
      <c r="C3139" t="str">
        <f t="shared" si="571"/>
        <v>NFSE</v>
      </c>
      <c r="D3139" t="str">
        <f>"542"</f>
        <v>542</v>
      </c>
      <c r="E3139" t="str">
        <f t="shared" si="572"/>
        <v>1</v>
      </c>
      <c r="F3139" t="str">
        <f t="shared" si="574"/>
        <v>COM</v>
      </c>
      <c r="G3139" t="str">
        <f>"PENSE FARMA 27 (10204)"</f>
        <v>PENSE FARMA 27 (10204)</v>
      </c>
      <c r="H3139" t="s">
        <v>948</v>
      </c>
      <c r="I3139" t="str">
        <f t="shared" si="573"/>
        <v>18/03/2026</v>
      </c>
      <c r="J3139" t="str">
        <f t="shared" si="567"/>
        <v>17/03/2026</v>
      </c>
      <c r="K3139">
        <v>46099</v>
      </c>
      <c r="N3139">
        <v>303</v>
      </c>
      <c r="O3139" t="s">
        <v>102</v>
      </c>
      <c r="Q3139">
        <v>1088.76</v>
      </c>
      <c r="R3139" t="str">
        <f>"PENSE FARMA 05 (10200)"</f>
        <v>PENSE FARMA 05 (10200)</v>
      </c>
      <c r="S3139" t="s">
        <v>103</v>
      </c>
      <c r="T3139">
        <v>31403</v>
      </c>
      <c r="U3139">
        <v>35026</v>
      </c>
      <c r="V3139" t="s">
        <v>33</v>
      </c>
    </row>
    <row r="3140" spans="1:22">
      <c r="A3140" t="str">
        <f t="shared" si="566"/>
        <v>18/03/2026</v>
      </c>
      <c r="B3140" t="str">
        <f t="shared" si="570"/>
        <v>ENTRADA</v>
      </c>
      <c r="C3140" t="str">
        <f t="shared" si="571"/>
        <v>NFSE</v>
      </c>
      <c r="D3140" t="str">
        <f>"542"</f>
        <v>542</v>
      </c>
      <c r="E3140" t="str">
        <f t="shared" si="572"/>
        <v>1</v>
      </c>
      <c r="F3140" t="str">
        <f t="shared" si="574"/>
        <v>COM</v>
      </c>
      <c r="G3140" t="str">
        <f>"PENSE FARMA 27 (10204)"</f>
        <v>PENSE FARMA 27 (10204)</v>
      </c>
      <c r="H3140" t="s">
        <v>948</v>
      </c>
      <c r="I3140" t="str">
        <f t="shared" si="573"/>
        <v>18/03/2026</v>
      </c>
      <c r="J3140" t="str">
        <f t="shared" si="567"/>
        <v>17/03/2026</v>
      </c>
      <c r="K3140">
        <v>46099</v>
      </c>
      <c r="N3140">
        <v>303</v>
      </c>
      <c r="O3140" t="s">
        <v>102</v>
      </c>
      <c r="Q3140">
        <v>1088.76</v>
      </c>
      <c r="R3140" t="str">
        <f>"PENSE FARMA 13 (10202)"</f>
        <v>PENSE FARMA 13 (10202)</v>
      </c>
      <c r="S3140" t="s">
        <v>103</v>
      </c>
      <c r="T3140">
        <v>31403</v>
      </c>
      <c r="U3140">
        <v>35026</v>
      </c>
      <c r="V3140" t="s">
        <v>33</v>
      </c>
    </row>
    <row r="3141" spans="1:22">
      <c r="A3141" t="str">
        <f t="shared" si="566"/>
        <v>18/03/2026</v>
      </c>
      <c r="B3141" t="str">
        <f t="shared" si="570"/>
        <v>ENTRADA</v>
      </c>
      <c r="C3141" t="str">
        <f t="shared" si="571"/>
        <v>NFSE</v>
      </c>
      <c r="D3141" t="str">
        <f>"542"</f>
        <v>542</v>
      </c>
      <c r="E3141" t="str">
        <f t="shared" si="572"/>
        <v>1</v>
      </c>
      <c r="F3141" t="str">
        <f t="shared" si="574"/>
        <v>COM</v>
      </c>
      <c r="G3141" t="str">
        <f>"PENSE FARMA 27 (10204)"</f>
        <v>PENSE FARMA 27 (10204)</v>
      </c>
      <c r="H3141" t="s">
        <v>948</v>
      </c>
      <c r="I3141" t="str">
        <f t="shared" si="573"/>
        <v>18/03/2026</v>
      </c>
      <c r="J3141" t="str">
        <f t="shared" si="567"/>
        <v>17/03/2026</v>
      </c>
      <c r="K3141">
        <v>46099</v>
      </c>
      <c r="N3141">
        <v>303</v>
      </c>
      <c r="O3141" t="s">
        <v>102</v>
      </c>
      <c r="Q3141">
        <v>1094.98</v>
      </c>
      <c r="R3141" t="str">
        <f>"PENSE FARMA 27 (10204)"</f>
        <v>PENSE FARMA 27 (10204)</v>
      </c>
      <c r="S3141" t="s">
        <v>103</v>
      </c>
      <c r="T3141">
        <v>31403</v>
      </c>
      <c r="U3141">
        <v>35026</v>
      </c>
      <c r="V3141" t="s">
        <v>33</v>
      </c>
    </row>
    <row r="3142" spans="1:22">
      <c r="A3142" t="str">
        <f t="shared" si="566"/>
        <v>18/03/2026</v>
      </c>
      <c r="B3142" t="str">
        <f t="shared" si="570"/>
        <v>ENTRADA</v>
      </c>
      <c r="C3142" t="str">
        <f t="shared" si="571"/>
        <v>NFSE</v>
      </c>
      <c r="D3142" t="str">
        <f>"543"</f>
        <v>543</v>
      </c>
      <c r="E3142" t="str">
        <f t="shared" si="572"/>
        <v>1</v>
      </c>
      <c r="F3142" t="str">
        <f t="shared" si="574"/>
        <v>COM</v>
      </c>
      <c r="G3142" t="str">
        <f>"PENSE FARMA 31 (10205)"</f>
        <v>PENSE FARMA 31 (10205)</v>
      </c>
      <c r="H3142" t="str">
        <f>"Serv.Prest. 09/03/2026 a 15/03/2026 - RPS: 2471 - NFSe: 543"</f>
        <v>Serv.Prest. 09/03/2026 a 15/03/2026 - RPS: 2471 - NFSe: 543</v>
      </c>
      <c r="I3142" t="str">
        <f t="shared" si="573"/>
        <v>18/03/2026</v>
      </c>
      <c r="J3142" t="str">
        <f t="shared" si="567"/>
        <v>17/03/2026</v>
      </c>
      <c r="K3142" t="str">
        <f>("18/03/2026")</f>
        <v>18/03/2026</v>
      </c>
      <c r="L3142">
        <v>3060.91</v>
      </c>
      <c r="M3142">
        <v>3060.91</v>
      </c>
      <c r="N3142">
        <v>303</v>
      </c>
      <c r="O3142" t="str">
        <f>"RECEITAS COM ENTREGAS"</f>
        <v>RECEITAS COM ENTREGAS</v>
      </c>
      <c r="P3142">
        <v>3060.91</v>
      </c>
      <c r="S3142" t="str">
        <f>"RECEITAS COM ENTREGAS (303)"</f>
        <v>RECEITAS COM ENTREGAS (303)</v>
      </c>
      <c r="T3142">
        <v>31404</v>
      </c>
      <c r="U3142">
        <v>35033</v>
      </c>
      <c r="V3142" t="s">
        <v>33</v>
      </c>
    </row>
    <row r="3143" spans="1:22">
      <c r="A3143" t="str">
        <f t="shared" si="566"/>
        <v>18/03/2026</v>
      </c>
      <c r="B3143" t="str">
        <f t="shared" si="570"/>
        <v>ENTRADA</v>
      </c>
      <c r="C3143" t="str">
        <f t="shared" si="571"/>
        <v>NFSE</v>
      </c>
      <c r="D3143" t="str">
        <f>"543"</f>
        <v>543</v>
      </c>
      <c r="E3143" t="str">
        <f t="shared" si="572"/>
        <v>1</v>
      </c>
      <c r="F3143" t="str">
        <f t="shared" si="574"/>
        <v>COM</v>
      </c>
      <c r="G3143" t="str">
        <f>"PENSE FARMA 31 (10205)"</f>
        <v>PENSE FARMA 31 (10205)</v>
      </c>
      <c r="H3143" t="s">
        <v>949</v>
      </c>
      <c r="I3143" t="str">
        <f t="shared" si="573"/>
        <v>18/03/2026</v>
      </c>
      <c r="J3143" t="str">
        <f t="shared" si="567"/>
        <v>17/03/2026</v>
      </c>
      <c r="K3143">
        <v>46099</v>
      </c>
      <c r="N3143">
        <v>303</v>
      </c>
      <c r="O3143" t="s">
        <v>102</v>
      </c>
      <c r="Q3143">
        <v>764.61</v>
      </c>
      <c r="R3143" t="str">
        <f>"PENSE FARMA 31 (10205)"</f>
        <v>PENSE FARMA 31 (10205)</v>
      </c>
      <c r="S3143" t="s">
        <v>103</v>
      </c>
      <c r="T3143">
        <v>31404</v>
      </c>
      <c r="U3143">
        <v>35033</v>
      </c>
      <c r="V3143" t="s">
        <v>33</v>
      </c>
    </row>
    <row r="3144" spans="1:22">
      <c r="A3144" t="str">
        <f t="shared" si="566"/>
        <v>18/03/2026</v>
      </c>
      <c r="B3144" t="str">
        <f t="shared" si="570"/>
        <v>ENTRADA</v>
      </c>
      <c r="C3144" t="str">
        <f t="shared" si="571"/>
        <v>NFSE</v>
      </c>
      <c r="D3144" t="str">
        <f>"543"</f>
        <v>543</v>
      </c>
      <c r="E3144" t="str">
        <f t="shared" si="572"/>
        <v>1</v>
      </c>
      <c r="F3144" t="str">
        <f t="shared" si="574"/>
        <v>COM</v>
      </c>
      <c r="G3144" t="str">
        <f>"PENSE FARMA 31 (10205)"</f>
        <v>PENSE FARMA 31 (10205)</v>
      </c>
      <c r="H3144" t="s">
        <v>949</v>
      </c>
      <c r="I3144" t="str">
        <f t="shared" si="573"/>
        <v>18/03/2026</v>
      </c>
      <c r="J3144" t="str">
        <f t="shared" si="567"/>
        <v>17/03/2026</v>
      </c>
      <c r="K3144">
        <v>46099</v>
      </c>
      <c r="N3144">
        <v>303</v>
      </c>
      <c r="O3144" t="s">
        <v>102</v>
      </c>
      <c r="Q3144">
        <v>764.62</v>
      </c>
      <c r="R3144" t="str">
        <f>"PENSE FARMA 16 (10221)"</f>
        <v>PENSE FARMA 16 (10221)</v>
      </c>
      <c r="S3144" t="s">
        <v>103</v>
      </c>
      <c r="T3144">
        <v>31404</v>
      </c>
      <c r="U3144">
        <v>35033</v>
      </c>
      <c r="V3144" t="s">
        <v>33</v>
      </c>
    </row>
    <row r="3145" spans="1:22">
      <c r="A3145" t="str">
        <f t="shared" si="566"/>
        <v>18/03/2026</v>
      </c>
      <c r="B3145" t="str">
        <f t="shared" si="570"/>
        <v>ENTRADA</v>
      </c>
      <c r="C3145" t="str">
        <f t="shared" si="571"/>
        <v>NFSE</v>
      </c>
      <c r="D3145" t="str">
        <f>"543"</f>
        <v>543</v>
      </c>
      <c r="E3145" t="str">
        <f t="shared" si="572"/>
        <v>1</v>
      </c>
      <c r="F3145" t="str">
        <f t="shared" si="574"/>
        <v>COM</v>
      </c>
      <c r="G3145" t="str">
        <f>"PENSE FARMA 31 (10205)"</f>
        <v>PENSE FARMA 31 (10205)</v>
      </c>
      <c r="H3145" t="s">
        <v>949</v>
      </c>
      <c r="I3145" t="str">
        <f t="shared" si="573"/>
        <v>18/03/2026</v>
      </c>
      <c r="J3145" t="str">
        <f t="shared" si="567"/>
        <v>17/03/2026</v>
      </c>
      <c r="K3145">
        <v>46099</v>
      </c>
      <c r="N3145">
        <v>303</v>
      </c>
      <c r="O3145" t="s">
        <v>102</v>
      </c>
      <c r="Q3145">
        <v>764.62</v>
      </c>
      <c r="R3145" t="str">
        <f>"PENSE FARMA 17 (10222)"</f>
        <v>PENSE FARMA 17 (10222)</v>
      </c>
      <c r="S3145" t="s">
        <v>103</v>
      </c>
      <c r="T3145">
        <v>31404</v>
      </c>
      <c r="U3145">
        <v>35033</v>
      </c>
      <c r="V3145" t="s">
        <v>33</v>
      </c>
    </row>
    <row r="3146" spans="1:22">
      <c r="A3146" t="str">
        <f t="shared" si="566"/>
        <v>18/03/2026</v>
      </c>
      <c r="B3146" t="str">
        <f t="shared" si="570"/>
        <v>ENTRADA</v>
      </c>
      <c r="C3146" t="str">
        <f t="shared" si="571"/>
        <v>NFSE</v>
      </c>
      <c r="D3146" t="str">
        <f>"543"</f>
        <v>543</v>
      </c>
      <c r="E3146" t="str">
        <f t="shared" si="572"/>
        <v>1</v>
      </c>
      <c r="F3146" t="str">
        <f t="shared" si="574"/>
        <v>COM</v>
      </c>
      <c r="G3146" t="str">
        <f>"PENSE FARMA 31 (10205)"</f>
        <v>PENSE FARMA 31 (10205)</v>
      </c>
      <c r="H3146" t="s">
        <v>949</v>
      </c>
      <c r="I3146" t="str">
        <f t="shared" si="573"/>
        <v>18/03/2026</v>
      </c>
      <c r="J3146" t="str">
        <f t="shared" si="567"/>
        <v>17/03/2026</v>
      </c>
      <c r="K3146">
        <v>46099</v>
      </c>
      <c r="N3146">
        <v>303</v>
      </c>
      <c r="O3146" t="s">
        <v>102</v>
      </c>
      <c r="Q3146">
        <v>767.06</v>
      </c>
      <c r="R3146" t="str">
        <f>"PENSE FARMA 62 (10274)"</f>
        <v>PENSE FARMA 62 (10274)</v>
      </c>
      <c r="S3146" t="s">
        <v>103</v>
      </c>
      <c r="T3146">
        <v>31404</v>
      </c>
      <c r="U3146">
        <v>35033</v>
      </c>
      <c r="V3146" t="s">
        <v>33</v>
      </c>
    </row>
    <row r="3147" spans="1:22">
      <c r="A3147" t="str">
        <f t="shared" si="566"/>
        <v>18/03/2026</v>
      </c>
      <c r="B3147" t="str">
        <f t="shared" si="570"/>
        <v>ENTRADA</v>
      </c>
      <c r="C3147" t="str">
        <f t="shared" si="571"/>
        <v>NFSE</v>
      </c>
      <c r="D3147" t="str">
        <f>"544"</f>
        <v>544</v>
      </c>
      <c r="E3147" t="str">
        <f t="shared" si="572"/>
        <v>1</v>
      </c>
      <c r="F3147" t="str">
        <f t="shared" si="574"/>
        <v>COM</v>
      </c>
      <c r="G3147" t="str">
        <f>"PENSE FARMA 35 (10227)"</f>
        <v>PENSE FARMA 35 (10227)</v>
      </c>
      <c r="H3147" t="str">
        <f>"Serv.Prest. 09/03/2026 a 15/03/2026 - RPS: 2472 - NFSe: 544"</f>
        <v>Serv.Prest. 09/03/2026 a 15/03/2026 - RPS: 2472 - NFSe: 544</v>
      </c>
      <c r="I3147" t="str">
        <f t="shared" si="573"/>
        <v>18/03/2026</v>
      </c>
      <c r="J3147" t="str">
        <f t="shared" si="567"/>
        <v>17/03/2026</v>
      </c>
      <c r="K3147" t="str">
        <f>("18/03/2026")</f>
        <v>18/03/2026</v>
      </c>
      <c r="L3147">
        <v>971.55</v>
      </c>
      <c r="M3147">
        <v>971.55</v>
      </c>
      <c r="N3147">
        <v>303</v>
      </c>
      <c r="O3147" t="str">
        <f>"RECEITAS COM ENTREGAS"</f>
        <v>RECEITAS COM ENTREGAS</v>
      </c>
      <c r="P3147">
        <v>971.55</v>
      </c>
      <c r="S3147" t="str">
        <f>"RECEITAS COM ENTREGAS (303)"</f>
        <v>RECEITAS COM ENTREGAS (303)</v>
      </c>
      <c r="T3147">
        <v>31405</v>
      </c>
      <c r="U3147">
        <v>35046</v>
      </c>
      <c r="V3147" t="s">
        <v>33</v>
      </c>
    </row>
    <row r="3148" spans="1:22">
      <c r="A3148" t="str">
        <f t="shared" si="566"/>
        <v>18/03/2026</v>
      </c>
      <c r="B3148" t="str">
        <f t="shared" si="570"/>
        <v>ENTRADA</v>
      </c>
      <c r="C3148" t="str">
        <f t="shared" si="571"/>
        <v>NFSE</v>
      </c>
      <c r="D3148" t="str">
        <f>"544"</f>
        <v>544</v>
      </c>
      <c r="E3148" t="str">
        <f t="shared" si="572"/>
        <v>1</v>
      </c>
      <c r="F3148" t="str">
        <f t="shared" si="574"/>
        <v>COM</v>
      </c>
      <c r="G3148" t="str">
        <f>"PENSE FARMA 35 (10227)"</f>
        <v>PENSE FARMA 35 (10227)</v>
      </c>
      <c r="H3148" t="s">
        <v>950</v>
      </c>
      <c r="I3148" t="str">
        <f t="shared" si="573"/>
        <v>18/03/2026</v>
      </c>
      <c r="J3148" t="str">
        <f t="shared" si="567"/>
        <v>17/03/2026</v>
      </c>
      <c r="K3148">
        <v>46099</v>
      </c>
      <c r="N3148">
        <v>303</v>
      </c>
      <c r="O3148" t="s">
        <v>102</v>
      </c>
      <c r="Q3148">
        <v>971.55</v>
      </c>
      <c r="R3148" t="str">
        <f>"PENSE FARMA 35 (10227)"</f>
        <v>PENSE FARMA 35 (10227)</v>
      </c>
      <c r="S3148" t="s">
        <v>103</v>
      </c>
      <c r="T3148">
        <v>31405</v>
      </c>
      <c r="U3148">
        <v>35046</v>
      </c>
      <c r="V3148" t="s">
        <v>33</v>
      </c>
    </row>
    <row r="3149" spans="1:22">
      <c r="A3149" t="str">
        <f t="shared" si="566"/>
        <v>18/03/2026</v>
      </c>
      <c r="B3149" t="str">
        <f t="shared" si="570"/>
        <v>ENTRADA</v>
      </c>
      <c r="C3149" t="str">
        <f t="shared" si="571"/>
        <v>NFSE</v>
      </c>
      <c r="D3149" t="str">
        <f>"546"</f>
        <v>546</v>
      </c>
      <c r="E3149" t="str">
        <f t="shared" si="572"/>
        <v>1</v>
      </c>
      <c r="F3149" t="str">
        <f t="shared" si="574"/>
        <v>COM</v>
      </c>
      <c r="G3149" t="str">
        <f>"PENSE FARMA 39 (10228)"</f>
        <v>PENSE FARMA 39 (10228)</v>
      </c>
      <c r="H3149" t="str">
        <f>"Serv.Prest. 09/03/2026 a 15/03/2026 - RPS: 2474 - NFSe: 546"</f>
        <v>Serv.Prest. 09/03/2026 a 15/03/2026 - RPS: 2474 - NFSe: 546</v>
      </c>
      <c r="I3149" t="str">
        <f t="shared" si="573"/>
        <v>18/03/2026</v>
      </c>
      <c r="J3149" t="str">
        <f t="shared" si="567"/>
        <v>17/03/2026</v>
      </c>
      <c r="K3149" t="str">
        <f>("18/03/2026")</f>
        <v>18/03/2026</v>
      </c>
      <c r="L3149">
        <v>3399.85</v>
      </c>
      <c r="M3149">
        <v>3399.85</v>
      </c>
      <c r="N3149">
        <v>303</v>
      </c>
      <c r="O3149" t="str">
        <f>"RECEITAS COM ENTREGAS"</f>
        <v>RECEITAS COM ENTREGAS</v>
      </c>
      <c r="P3149">
        <v>3399.85</v>
      </c>
      <c r="S3149" t="str">
        <f>"RECEITAS COM ENTREGAS (303)"</f>
        <v>RECEITAS COM ENTREGAS (303)</v>
      </c>
      <c r="T3149">
        <v>31406</v>
      </c>
      <c r="U3149">
        <v>35073</v>
      </c>
      <c r="V3149" t="s">
        <v>33</v>
      </c>
    </row>
    <row r="3150" spans="1:22">
      <c r="A3150" t="str">
        <f t="shared" si="566"/>
        <v>18/03/2026</v>
      </c>
      <c r="B3150" t="str">
        <f t="shared" si="570"/>
        <v>ENTRADA</v>
      </c>
      <c r="C3150" t="str">
        <f t="shared" si="571"/>
        <v>NFSE</v>
      </c>
      <c r="D3150" t="str">
        <f>"546"</f>
        <v>546</v>
      </c>
      <c r="E3150" t="str">
        <f t="shared" si="572"/>
        <v>1</v>
      </c>
      <c r="F3150" t="str">
        <f t="shared" si="574"/>
        <v>COM</v>
      </c>
      <c r="G3150" t="str">
        <f>"PENSE FARMA 39 (10228)"</f>
        <v>PENSE FARMA 39 (10228)</v>
      </c>
      <c r="H3150" t="s">
        <v>951</v>
      </c>
      <c r="I3150" t="str">
        <f t="shared" si="573"/>
        <v>18/03/2026</v>
      </c>
      <c r="J3150" t="str">
        <f t="shared" si="567"/>
        <v>17/03/2026</v>
      </c>
      <c r="K3150">
        <v>46099</v>
      </c>
      <c r="N3150">
        <v>303</v>
      </c>
      <c r="O3150" t="s">
        <v>102</v>
      </c>
      <c r="Q3150">
        <v>843.51</v>
      </c>
      <c r="R3150" t="str">
        <f>"PENSE FARMA 02 (10199)"</f>
        <v>PENSE FARMA 02 (10199)</v>
      </c>
      <c r="S3150" t="s">
        <v>103</v>
      </c>
      <c r="T3150">
        <v>31406</v>
      </c>
      <c r="U3150">
        <v>35073</v>
      </c>
      <c r="V3150" t="s">
        <v>33</v>
      </c>
    </row>
    <row r="3151" spans="1:22">
      <c r="A3151" t="str">
        <f t="shared" si="566"/>
        <v>18/03/2026</v>
      </c>
      <c r="B3151" t="str">
        <f t="shared" si="570"/>
        <v>ENTRADA</v>
      </c>
      <c r="C3151" t="str">
        <f t="shared" si="571"/>
        <v>NFSE</v>
      </c>
      <c r="D3151" t="str">
        <f>"546"</f>
        <v>546</v>
      </c>
      <c r="E3151" t="str">
        <f t="shared" si="572"/>
        <v>1</v>
      </c>
      <c r="F3151" t="str">
        <f t="shared" si="574"/>
        <v>COM</v>
      </c>
      <c r="G3151" t="str">
        <f>"PENSE FARMA 39 (10228)"</f>
        <v>PENSE FARMA 39 (10228)</v>
      </c>
      <c r="H3151" t="s">
        <v>951</v>
      </c>
      <c r="I3151" t="str">
        <f t="shared" si="573"/>
        <v>18/03/2026</v>
      </c>
      <c r="J3151" t="str">
        <f t="shared" si="567"/>
        <v>17/03/2026</v>
      </c>
      <c r="K3151">
        <v>46099</v>
      </c>
      <c r="N3151">
        <v>303</v>
      </c>
      <c r="O3151" t="s">
        <v>102</v>
      </c>
      <c r="Q3151">
        <v>843.5</v>
      </c>
      <c r="R3151" t="str">
        <f>"PENSE FARMA 01 (10215)"</f>
        <v>PENSE FARMA 01 (10215)</v>
      </c>
      <c r="S3151" t="s">
        <v>103</v>
      </c>
      <c r="T3151">
        <v>31406</v>
      </c>
      <c r="U3151">
        <v>35073</v>
      </c>
      <c r="V3151" t="s">
        <v>33</v>
      </c>
    </row>
    <row r="3152" spans="1:22">
      <c r="A3152" t="str">
        <f t="shared" si="566"/>
        <v>18/03/2026</v>
      </c>
      <c r="B3152" t="str">
        <f t="shared" si="570"/>
        <v>ENTRADA</v>
      </c>
      <c r="C3152" t="str">
        <f t="shared" si="571"/>
        <v>NFSE</v>
      </c>
      <c r="D3152" t="str">
        <f>"546"</f>
        <v>546</v>
      </c>
      <c r="E3152" t="str">
        <f t="shared" si="572"/>
        <v>1</v>
      </c>
      <c r="F3152" t="str">
        <f t="shared" si="574"/>
        <v>COM</v>
      </c>
      <c r="G3152" t="str">
        <f>"PENSE FARMA 39 (10228)"</f>
        <v>PENSE FARMA 39 (10228)</v>
      </c>
      <c r="H3152" t="s">
        <v>951</v>
      </c>
      <c r="I3152" t="str">
        <f t="shared" si="573"/>
        <v>18/03/2026</v>
      </c>
      <c r="J3152" t="str">
        <f t="shared" si="567"/>
        <v>17/03/2026</v>
      </c>
      <c r="K3152">
        <v>46099</v>
      </c>
      <c r="N3152">
        <v>303</v>
      </c>
      <c r="O3152" t="s">
        <v>102</v>
      </c>
      <c r="Q3152">
        <v>843.5</v>
      </c>
      <c r="R3152" t="str">
        <f>"PENSE FARMA 03 (10216)"</f>
        <v>PENSE FARMA 03 (10216)</v>
      </c>
      <c r="S3152" t="s">
        <v>103</v>
      </c>
      <c r="T3152">
        <v>31406</v>
      </c>
      <c r="U3152">
        <v>35073</v>
      </c>
      <c r="V3152" t="s">
        <v>33</v>
      </c>
    </row>
    <row r="3153" spans="1:22">
      <c r="A3153" t="str">
        <f t="shared" si="566"/>
        <v>18/03/2026</v>
      </c>
      <c r="B3153" t="str">
        <f t="shared" si="570"/>
        <v>ENTRADA</v>
      </c>
      <c r="C3153" t="str">
        <f t="shared" si="571"/>
        <v>NFSE</v>
      </c>
      <c r="D3153" t="str">
        <f>"546"</f>
        <v>546</v>
      </c>
      <c r="E3153" t="str">
        <f t="shared" si="572"/>
        <v>1</v>
      </c>
      <c r="F3153" t="str">
        <f t="shared" si="574"/>
        <v>COM</v>
      </c>
      <c r="G3153" t="str">
        <f>"PENSE FARMA 39 (10228)"</f>
        <v>PENSE FARMA 39 (10228)</v>
      </c>
      <c r="H3153" t="s">
        <v>951</v>
      </c>
      <c r="I3153" t="str">
        <f t="shared" si="573"/>
        <v>18/03/2026</v>
      </c>
      <c r="J3153" t="str">
        <f t="shared" si="567"/>
        <v>17/03/2026</v>
      </c>
      <c r="K3153">
        <v>46099</v>
      </c>
      <c r="N3153">
        <v>303</v>
      </c>
      <c r="O3153" t="s">
        <v>102</v>
      </c>
      <c r="Q3153">
        <v>869.34</v>
      </c>
      <c r="R3153" t="str">
        <f>"PENSE FARMA 39 (10228)"</f>
        <v>PENSE FARMA 39 (10228)</v>
      </c>
      <c r="S3153" t="s">
        <v>103</v>
      </c>
      <c r="T3153">
        <v>31406</v>
      </c>
      <c r="U3153">
        <v>35073</v>
      </c>
      <c r="V3153" t="s">
        <v>33</v>
      </c>
    </row>
    <row r="3154" spans="1:22">
      <c r="A3154" t="str">
        <f t="shared" si="566"/>
        <v>18/03/2026</v>
      </c>
      <c r="B3154" t="str">
        <f t="shared" si="570"/>
        <v>ENTRADA</v>
      </c>
      <c r="C3154" t="str">
        <f t="shared" si="571"/>
        <v>NFSE</v>
      </c>
      <c r="D3154" t="str">
        <f>"547"</f>
        <v>547</v>
      </c>
      <c r="E3154" t="str">
        <f t="shared" si="572"/>
        <v>1</v>
      </c>
      <c r="F3154" t="str">
        <f t="shared" si="574"/>
        <v>COM</v>
      </c>
      <c r="G3154" t="str">
        <f>"PENSE FARMA 44 (10231)"</f>
        <v>PENSE FARMA 44 (10231)</v>
      </c>
      <c r="H3154" t="str">
        <f>"Serv.Prest. 09/03/2026 a 15/03/2026 - RPS: 2475 - NFSe: 547"</f>
        <v>Serv.Prest. 09/03/2026 a 15/03/2026 - RPS: 2475 - NFSe: 547</v>
      </c>
      <c r="I3154" t="str">
        <f t="shared" si="573"/>
        <v>18/03/2026</v>
      </c>
      <c r="J3154" t="str">
        <f t="shared" si="567"/>
        <v>17/03/2026</v>
      </c>
      <c r="K3154" t="str">
        <f>("18/03/2026")</f>
        <v>18/03/2026</v>
      </c>
      <c r="L3154">
        <v>3574.65</v>
      </c>
      <c r="M3154">
        <v>3574.65</v>
      </c>
      <c r="N3154">
        <v>303</v>
      </c>
      <c r="O3154" t="str">
        <f>"RECEITAS COM ENTREGAS"</f>
        <v>RECEITAS COM ENTREGAS</v>
      </c>
      <c r="P3154">
        <v>3574.65</v>
      </c>
      <c r="S3154" t="str">
        <f>"RECEITAS COM ENTREGAS (303)"</f>
        <v>RECEITAS COM ENTREGAS (303)</v>
      </c>
      <c r="T3154">
        <v>31407</v>
      </c>
      <c r="U3154">
        <v>35082</v>
      </c>
      <c r="V3154" t="s">
        <v>33</v>
      </c>
    </row>
    <row r="3155" spans="1:22">
      <c r="A3155" t="str">
        <f t="shared" si="566"/>
        <v>18/03/2026</v>
      </c>
      <c r="B3155" t="str">
        <f t="shared" si="570"/>
        <v>ENTRADA</v>
      </c>
      <c r="C3155" t="str">
        <f t="shared" si="571"/>
        <v>NFSE</v>
      </c>
      <c r="D3155" t="str">
        <f>"547"</f>
        <v>547</v>
      </c>
      <c r="E3155" t="str">
        <f t="shared" si="572"/>
        <v>1</v>
      </c>
      <c r="F3155" t="str">
        <f t="shared" si="574"/>
        <v>COM</v>
      </c>
      <c r="G3155" t="str">
        <f>"PENSE FARMA 44 (10231)"</f>
        <v>PENSE FARMA 44 (10231)</v>
      </c>
      <c r="H3155" t="s">
        <v>952</v>
      </c>
      <c r="I3155" t="str">
        <f t="shared" si="573"/>
        <v>18/03/2026</v>
      </c>
      <c r="J3155" t="str">
        <f t="shared" si="567"/>
        <v>17/03/2026</v>
      </c>
      <c r="K3155">
        <v>46099</v>
      </c>
      <c r="N3155">
        <v>303</v>
      </c>
      <c r="O3155" t="s">
        <v>102</v>
      </c>
      <c r="Q3155">
        <v>1784.47</v>
      </c>
      <c r="R3155" t="str">
        <f>"PENSE FARMA 44 (10231)"</f>
        <v>PENSE FARMA 44 (10231)</v>
      </c>
      <c r="S3155" t="s">
        <v>103</v>
      </c>
      <c r="T3155">
        <v>31407</v>
      </c>
      <c r="U3155">
        <v>35082</v>
      </c>
      <c r="V3155" t="s">
        <v>33</v>
      </c>
    </row>
    <row r="3156" spans="1:22">
      <c r="A3156" t="str">
        <f t="shared" si="566"/>
        <v>18/03/2026</v>
      </c>
      <c r="B3156" t="str">
        <f t="shared" si="570"/>
        <v>ENTRADA</v>
      </c>
      <c r="C3156" t="str">
        <f t="shared" si="571"/>
        <v>NFSE</v>
      </c>
      <c r="D3156" t="str">
        <f>"547"</f>
        <v>547</v>
      </c>
      <c r="E3156" t="str">
        <f t="shared" si="572"/>
        <v>1</v>
      </c>
      <c r="F3156" t="str">
        <f t="shared" si="574"/>
        <v>COM</v>
      </c>
      <c r="G3156" t="str">
        <f>"PENSE FARMA 44 (10231)"</f>
        <v>PENSE FARMA 44 (10231)</v>
      </c>
      <c r="H3156" t="s">
        <v>952</v>
      </c>
      <c r="I3156" t="str">
        <f t="shared" si="573"/>
        <v>18/03/2026</v>
      </c>
      <c r="J3156" t="str">
        <f t="shared" si="567"/>
        <v>17/03/2026</v>
      </c>
      <c r="K3156">
        <v>46099</v>
      </c>
      <c r="N3156">
        <v>303</v>
      </c>
      <c r="O3156" t="s">
        <v>102</v>
      </c>
      <c r="Q3156">
        <v>1790.18</v>
      </c>
      <c r="R3156" t="str">
        <f>"PENSE FARMA 48 (10233)"</f>
        <v>PENSE FARMA 48 (10233)</v>
      </c>
      <c r="S3156" t="s">
        <v>103</v>
      </c>
      <c r="T3156">
        <v>31407</v>
      </c>
      <c r="U3156">
        <v>35082</v>
      </c>
      <c r="V3156" t="s">
        <v>33</v>
      </c>
    </row>
    <row r="3157" spans="1:22">
      <c r="A3157" t="str">
        <f t="shared" si="566"/>
        <v>18/03/2026</v>
      </c>
      <c r="B3157" t="str">
        <f t="shared" si="570"/>
        <v>ENTRADA</v>
      </c>
      <c r="C3157" t="str">
        <f t="shared" si="571"/>
        <v>NFSE</v>
      </c>
      <c r="D3157" t="str">
        <f>"548"</f>
        <v>548</v>
      </c>
      <c r="E3157" t="str">
        <f t="shared" si="572"/>
        <v>1</v>
      </c>
      <c r="F3157" t="str">
        <f t="shared" si="574"/>
        <v>COM</v>
      </c>
      <c r="G3157" t="str">
        <f>"PENSE FARMA 46 (10194)"</f>
        <v>PENSE FARMA 46 (10194)</v>
      </c>
      <c r="H3157" t="str">
        <f>"Serv.Prest. 09/03/2026 a 15/03/2026 - RPS: 2476 - NFSe: 548"</f>
        <v>Serv.Prest. 09/03/2026 a 15/03/2026 - RPS: 2476 - NFSe: 548</v>
      </c>
      <c r="I3157" t="str">
        <f t="shared" si="573"/>
        <v>18/03/2026</v>
      </c>
      <c r="J3157" t="str">
        <f t="shared" si="567"/>
        <v>17/03/2026</v>
      </c>
      <c r="K3157" t="str">
        <f>("18/03/2026")</f>
        <v>18/03/2026</v>
      </c>
      <c r="L3157">
        <v>1938</v>
      </c>
      <c r="M3157">
        <v>1938</v>
      </c>
      <c r="N3157">
        <v>303</v>
      </c>
      <c r="O3157" t="str">
        <f>"RECEITAS COM ENTREGAS"</f>
        <v>RECEITAS COM ENTREGAS</v>
      </c>
      <c r="P3157">
        <v>1938</v>
      </c>
      <c r="S3157" t="str">
        <f>"RECEITAS COM ENTREGAS (303)"</f>
        <v>RECEITAS COM ENTREGAS (303)</v>
      </c>
      <c r="T3157">
        <v>31408</v>
      </c>
      <c r="U3157">
        <v>35087</v>
      </c>
      <c r="V3157" t="s">
        <v>33</v>
      </c>
    </row>
    <row r="3158" spans="1:22">
      <c r="A3158" t="str">
        <f t="shared" si="566"/>
        <v>18/03/2026</v>
      </c>
      <c r="B3158" t="str">
        <f t="shared" si="570"/>
        <v>ENTRADA</v>
      </c>
      <c r="C3158" t="str">
        <f t="shared" si="571"/>
        <v>NFSE</v>
      </c>
      <c r="D3158" t="str">
        <f>"548"</f>
        <v>548</v>
      </c>
      <c r="E3158" t="str">
        <f t="shared" si="572"/>
        <v>1</v>
      </c>
      <c r="F3158" t="str">
        <f t="shared" si="574"/>
        <v>COM</v>
      </c>
      <c r="G3158" t="str">
        <f>"PENSE FARMA 46 (10194)"</f>
        <v>PENSE FARMA 46 (10194)</v>
      </c>
      <c r="H3158" t="s">
        <v>953</v>
      </c>
      <c r="I3158" t="str">
        <f t="shared" si="573"/>
        <v>18/03/2026</v>
      </c>
      <c r="J3158" t="str">
        <f t="shared" si="567"/>
        <v>17/03/2026</v>
      </c>
      <c r="K3158">
        <v>46099</v>
      </c>
      <c r="N3158">
        <v>303</v>
      </c>
      <c r="O3158" t="s">
        <v>102</v>
      </c>
      <c r="Q3158">
        <v>1938</v>
      </c>
      <c r="R3158" t="str">
        <f>"PENSE FARMA 46 (10194)"</f>
        <v>PENSE FARMA 46 (10194)</v>
      </c>
      <c r="S3158" t="s">
        <v>103</v>
      </c>
      <c r="T3158">
        <v>31408</v>
      </c>
      <c r="U3158">
        <v>35087</v>
      </c>
      <c r="V3158" t="s">
        <v>33</v>
      </c>
    </row>
    <row r="3159" spans="1:22">
      <c r="A3159" t="str">
        <f t="shared" si="566"/>
        <v>18/03/2026</v>
      </c>
      <c r="B3159" t="str">
        <f t="shared" si="570"/>
        <v>ENTRADA</v>
      </c>
      <c r="C3159" t="str">
        <f t="shared" si="571"/>
        <v>NFSE</v>
      </c>
      <c r="D3159" t="str">
        <f>"549"</f>
        <v>549</v>
      </c>
      <c r="E3159" t="str">
        <f t="shared" si="572"/>
        <v>1</v>
      </c>
      <c r="F3159" t="str">
        <f t="shared" si="574"/>
        <v>COM</v>
      </c>
      <c r="G3159" t="str">
        <f>"PENSE FARMA 47 (10232)"</f>
        <v>PENSE FARMA 47 (10232)</v>
      </c>
      <c r="H3159" t="str">
        <f>"Serv.Prest. 09/03/2026 a 15/03/2026 - RPS: 2477 - NFSe: 549"</f>
        <v>Serv.Prest. 09/03/2026 a 15/03/2026 - RPS: 2477 - NFSe: 549</v>
      </c>
      <c r="I3159" t="str">
        <f t="shared" si="573"/>
        <v>18/03/2026</v>
      </c>
      <c r="J3159" t="str">
        <f t="shared" si="567"/>
        <v>17/03/2026</v>
      </c>
      <c r="K3159" t="str">
        <f>("18/03/2026")</f>
        <v>18/03/2026</v>
      </c>
      <c r="L3159">
        <v>1820.7</v>
      </c>
      <c r="M3159">
        <v>1820.7</v>
      </c>
      <c r="N3159">
        <v>303</v>
      </c>
      <c r="O3159" t="str">
        <f>"RECEITAS COM ENTREGAS"</f>
        <v>RECEITAS COM ENTREGAS</v>
      </c>
      <c r="P3159">
        <v>1820.7</v>
      </c>
      <c r="S3159" t="str">
        <f>"RECEITAS COM ENTREGAS (303)"</f>
        <v>RECEITAS COM ENTREGAS (303)</v>
      </c>
      <c r="T3159">
        <v>31409</v>
      </c>
      <c r="U3159">
        <v>35090</v>
      </c>
      <c r="V3159" t="s">
        <v>33</v>
      </c>
    </row>
    <row r="3160" spans="1:22">
      <c r="A3160" t="str">
        <f t="shared" si="566"/>
        <v>18/03/2026</v>
      </c>
      <c r="B3160" t="str">
        <f t="shared" si="570"/>
        <v>ENTRADA</v>
      </c>
      <c r="C3160" t="str">
        <f t="shared" si="571"/>
        <v>NFSE</v>
      </c>
      <c r="D3160" t="str">
        <f>"549"</f>
        <v>549</v>
      </c>
      <c r="E3160" t="str">
        <f t="shared" si="572"/>
        <v>1</v>
      </c>
      <c r="F3160" t="str">
        <f t="shared" si="574"/>
        <v>COM</v>
      </c>
      <c r="G3160" t="str">
        <f>"PENSE FARMA 47 (10232)"</f>
        <v>PENSE FARMA 47 (10232)</v>
      </c>
      <c r="H3160" t="s">
        <v>954</v>
      </c>
      <c r="I3160" t="str">
        <f t="shared" si="573"/>
        <v>18/03/2026</v>
      </c>
      <c r="J3160" t="str">
        <f t="shared" si="567"/>
        <v>17/03/2026</v>
      </c>
      <c r="K3160">
        <v>46099</v>
      </c>
      <c r="N3160">
        <v>303</v>
      </c>
      <c r="O3160" t="s">
        <v>102</v>
      </c>
      <c r="Q3160">
        <v>1820.7</v>
      </c>
      <c r="R3160" t="str">
        <f>"PENSE FARMA 47 (10232)"</f>
        <v>PENSE FARMA 47 (10232)</v>
      </c>
      <c r="S3160" t="s">
        <v>103</v>
      </c>
      <c r="T3160">
        <v>31409</v>
      </c>
      <c r="U3160">
        <v>35090</v>
      </c>
      <c r="V3160" t="s">
        <v>33</v>
      </c>
    </row>
    <row r="3161" spans="1:22">
      <c r="A3161" t="str">
        <f t="shared" si="566"/>
        <v>18/03/2026</v>
      </c>
      <c r="B3161" t="str">
        <f t="shared" ref="B3161:B3192" si="575">"ENTRADA"</f>
        <v>ENTRADA</v>
      </c>
      <c r="C3161" t="str">
        <f t="shared" si="571"/>
        <v>NFSE</v>
      </c>
      <c r="D3161" t="str">
        <f t="shared" ref="D3161:D3171" si="576">"505"</f>
        <v>505</v>
      </c>
      <c r="E3161" t="str">
        <f t="shared" si="572"/>
        <v>1</v>
      </c>
      <c r="F3161" t="str">
        <f t="shared" si="574"/>
        <v>COM</v>
      </c>
      <c r="G3161" t="str">
        <f t="shared" ref="G3161:G3171" si="577">"FARMÁCIA INDIANA LJ 85 (10128)"</f>
        <v>FARMÁCIA INDIANA LJ 85 (10128)</v>
      </c>
      <c r="H3161" t="str">
        <f>"Serv.Prest. 02/03/2026 a 08/03/2026 - RPS: 2433 - NFSe: 505"</f>
        <v>Serv.Prest. 02/03/2026 a 08/03/2026 - RPS: 2433 - NFSe: 505</v>
      </c>
      <c r="I3161" t="str">
        <f t="shared" si="573"/>
        <v>18/03/2026</v>
      </c>
      <c r="J3161" t="str">
        <f t="shared" ref="J3161:J3171" si="578">("09/03/2026")</f>
        <v>09/03/2026</v>
      </c>
      <c r="K3161" t="str">
        <f>("18/03/2026")</f>
        <v>18/03/2026</v>
      </c>
      <c r="L3161">
        <v>7938.12</v>
      </c>
      <c r="M3161">
        <v>7938.12</v>
      </c>
      <c r="N3161">
        <v>303</v>
      </c>
      <c r="O3161" t="str">
        <f>"RECEITAS COM ENTREGAS"</f>
        <v>RECEITAS COM ENTREGAS</v>
      </c>
      <c r="P3161">
        <v>7938.12</v>
      </c>
      <c r="S3161" t="str">
        <f>"RECEITAS COM ENTREGAS (303)"</f>
        <v>RECEITAS COM ENTREGAS (303)</v>
      </c>
      <c r="T3161">
        <v>31413</v>
      </c>
      <c r="U3161">
        <v>34477</v>
      </c>
      <c r="V3161" t="s">
        <v>37</v>
      </c>
    </row>
    <row r="3162" spans="1:22">
      <c r="A3162" t="str">
        <f t="shared" si="566"/>
        <v>18/03/2026</v>
      </c>
      <c r="B3162" t="str">
        <f t="shared" si="575"/>
        <v>ENTRADA</v>
      </c>
      <c r="C3162" t="str">
        <f t="shared" si="571"/>
        <v>NFSE</v>
      </c>
      <c r="D3162" t="str">
        <f t="shared" si="576"/>
        <v>505</v>
      </c>
      <c r="E3162" t="str">
        <f t="shared" si="572"/>
        <v>1</v>
      </c>
      <c r="F3162" t="str">
        <f t="shared" si="574"/>
        <v>COM</v>
      </c>
      <c r="G3162" t="str">
        <f t="shared" si="577"/>
        <v>FARMÁCIA INDIANA LJ 85 (10128)</v>
      </c>
      <c r="H3162" t="s">
        <v>955</v>
      </c>
      <c r="I3162" t="str">
        <f t="shared" si="573"/>
        <v>18/03/2026</v>
      </c>
      <c r="J3162" t="str">
        <f t="shared" si="578"/>
        <v>09/03/2026</v>
      </c>
      <c r="K3162">
        <v>46099</v>
      </c>
      <c r="N3162">
        <v>303</v>
      </c>
      <c r="O3162" t="s">
        <v>102</v>
      </c>
      <c r="Q3162">
        <v>971.64</v>
      </c>
      <c r="R3162" t="str">
        <f>"FARMÁCIA INDIANA LJ 119 (10053)"</f>
        <v>FARMÁCIA INDIANA LJ 119 (10053)</v>
      </c>
      <c r="S3162" t="s">
        <v>103</v>
      </c>
      <c r="T3162">
        <v>31413</v>
      </c>
      <c r="U3162">
        <v>34477</v>
      </c>
      <c r="V3162" t="s">
        <v>37</v>
      </c>
    </row>
    <row r="3163" spans="1:22">
      <c r="A3163" t="str">
        <f t="shared" si="566"/>
        <v>18/03/2026</v>
      </c>
      <c r="B3163" t="str">
        <f t="shared" si="575"/>
        <v>ENTRADA</v>
      </c>
      <c r="C3163" t="str">
        <f t="shared" ref="C3163:C3194" si="579">"NFSE"</f>
        <v>NFSE</v>
      </c>
      <c r="D3163" t="str">
        <f t="shared" si="576"/>
        <v>505</v>
      </c>
      <c r="E3163" t="str">
        <f t="shared" ref="E3163:E3194" si="580">"1"</f>
        <v>1</v>
      </c>
      <c r="F3163" t="str">
        <f t="shared" si="574"/>
        <v>COM</v>
      </c>
      <c r="G3163" t="str">
        <f t="shared" si="577"/>
        <v>FARMÁCIA INDIANA LJ 85 (10128)</v>
      </c>
      <c r="H3163" t="s">
        <v>955</v>
      </c>
      <c r="I3163" t="str">
        <f t="shared" ref="I3163:I3194" si="581">("18/03/2026")</f>
        <v>18/03/2026</v>
      </c>
      <c r="J3163" t="str">
        <f t="shared" si="578"/>
        <v>09/03/2026</v>
      </c>
      <c r="K3163">
        <v>46099</v>
      </c>
      <c r="N3163">
        <v>303</v>
      </c>
      <c r="O3163" t="s">
        <v>102</v>
      </c>
      <c r="Q3163">
        <v>979.56</v>
      </c>
      <c r="R3163" t="str">
        <f>"FARMÁCIA INDIANA LJ 163 (10072)"</f>
        <v>FARMÁCIA INDIANA LJ 163 (10072)</v>
      </c>
      <c r="S3163" t="s">
        <v>103</v>
      </c>
      <c r="T3163">
        <v>31413</v>
      </c>
      <c r="U3163">
        <v>34477</v>
      </c>
      <c r="V3163" t="s">
        <v>37</v>
      </c>
    </row>
    <row r="3164" spans="1:22">
      <c r="A3164" t="str">
        <f t="shared" si="566"/>
        <v>18/03/2026</v>
      </c>
      <c r="B3164" t="str">
        <f t="shared" si="575"/>
        <v>ENTRADA</v>
      </c>
      <c r="C3164" t="str">
        <f t="shared" si="579"/>
        <v>NFSE</v>
      </c>
      <c r="D3164" t="str">
        <f t="shared" si="576"/>
        <v>505</v>
      </c>
      <c r="E3164" t="str">
        <f t="shared" si="580"/>
        <v>1</v>
      </c>
      <c r="F3164" t="str">
        <f t="shared" si="574"/>
        <v>COM</v>
      </c>
      <c r="G3164" t="str">
        <f t="shared" si="577"/>
        <v>FARMÁCIA INDIANA LJ 85 (10128)</v>
      </c>
      <c r="H3164" t="s">
        <v>955</v>
      </c>
      <c r="I3164" t="str">
        <f t="shared" si="581"/>
        <v>18/03/2026</v>
      </c>
      <c r="J3164" t="str">
        <f t="shared" si="578"/>
        <v>09/03/2026</v>
      </c>
      <c r="K3164">
        <v>46099</v>
      </c>
      <c r="N3164">
        <v>303</v>
      </c>
      <c r="O3164" t="s">
        <v>102</v>
      </c>
      <c r="Q3164">
        <v>1204.21</v>
      </c>
      <c r="R3164" t="str">
        <f>"FARMÁCIA INDIANA LJ 181 (10078)"</f>
        <v>FARMÁCIA INDIANA LJ 181 (10078)</v>
      </c>
      <c r="S3164" t="s">
        <v>103</v>
      </c>
      <c r="T3164">
        <v>31413</v>
      </c>
      <c r="U3164">
        <v>34477</v>
      </c>
      <c r="V3164" t="s">
        <v>37</v>
      </c>
    </row>
    <row r="3165" spans="1:22">
      <c r="A3165" t="str">
        <f t="shared" si="566"/>
        <v>18/03/2026</v>
      </c>
      <c r="B3165" t="str">
        <f t="shared" si="575"/>
        <v>ENTRADA</v>
      </c>
      <c r="C3165" t="str">
        <f t="shared" si="579"/>
        <v>NFSE</v>
      </c>
      <c r="D3165" t="str">
        <f t="shared" si="576"/>
        <v>505</v>
      </c>
      <c r="E3165" t="str">
        <f t="shared" si="580"/>
        <v>1</v>
      </c>
      <c r="F3165" t="str">
        <f t="shared" si="574"/>
        <v>COM</v>
      </c>
      <c r="G3165" t="str">
        <f t="shared" si="577"/>
        <v>FARMÁCIA INDIANA LJ 85 (10128)</v>
      </c>
      <c r="H3165" t="s">
        <v>955</v>
      </c>
      <c r="I3165" t="str">
        <f t="shared" si="581"/>
        <v>18/03/2026</v>
      </c>
      <c r="J3165" t="str">
        <f t="shared" si="578"/>
        <v>09/03/2026</v>
      </c>
      <c r="K3165">
        <v>46099</v>
      </c>
      <c r="N3165">
        <v>303</v>
      </c>
      <c r="O3165" t="s">
        <v>102</v>
      </c>
      <c r="Q3165">
        <v>970.04</v>
      </c>
      <c r="R3165" t="str">
        <f>"FARMÁCIA INDIANA LJ 221 (10093)"</f>
        <v>FARMÁCIA INDIANA LJ 221 (10093)</v>
      </c>
      <c r="S3165" t="s">
        <v>103</v>
      </c>
      <c r="T3165">
        <v>31413</v>
      </c>
      <c r="U3165">
        <v>34477</v>
      </c>
      <c r="V3165" t="s">
        <v>37</v>
      </c>
    </row>
    <row r="3166" spans="1:22">
      <c r="A3166" t="str">
        <f t="shared" si="566"/>
        <v>18/03/2026</v>
      </c>
      <c r="B3166" t="str">
        <f t="shared" si="575"/>
        <v>ENTRADA</v>
      </c>
      <c r="C3166" t="str">
        <f t="shared" si="579"/>
        <v>NFSE</v>
      </c>
      <c r="D3166" t="str">
        <f t="shared" si="576"/>
        <v>505</v>
      </c>
      <c r="E3166" t="str">
        <f t="shared" si="580"/>
        <v>1</v>
      </c>
      <c r="F3166" t="str">
        <f t="shared" si="574"/>
        <v>COM</v>
      </c>
      <c r="G3166" t="str">
        <f t="shared" si="577"/>
        <v>FARMÁCIA INDIANA LJ 85 (10128)</v>
      </c>
      <c r="H3166" t="s">
        <v>955</v>
      </c>
      <c r="I3166" t="str">
        <f t="shared" si="581"/>
        <v>18/03/2026</v>
      </c>
      <c r="J3166" t="str">
        <f t="shared" si="578"/>
        <v>09/03/2026</v>
      </c>
      <c r="K3166">
        <v>46099</v>
      </c>
      <c r="N3166">
        <v>303</v>
      </c>
      <c r="O3166" t="s">
        <v>102</v>
      </c>
      <c r="Q3166">
        <v>1074.03</v>
      </c>
      <c r="R3166" t="str">
        <f>"FARMÁCIA INDIANA LJ 243 (10142)"</f>
        <v>FARMÁCIA INDIANA LJ 243 (10142)</v>
      </c>
      <c r="S3166" t="s">
        <v>103</v>
      </c>
      <c r="T3166">
        <v>31413</v>
      </c>
      <c r="U3166">
        <v>34477</v>
      </c>
      <c r="V3166" t="s">
        <v>37</v>
      </c>
    </row>
    <row r="3167" spans="1:22">
      <c r="A3167" t="str">
        <f t="shared" si="566"/>
        <v>18/03/2026</v>
      </c>
      <c r="B3167" t="str">
        <f t="shared" si="575"/>
        <v>ENTRADA</v>
      </c>
      <c r="C3167" t="str">
        <f t="shared" si="579"/>
        <v>NFSE</v>
      </c>
      <c r="D3167" t="str">
        <f t="shared" si="576"/>
        <v>505</v>
      </c>
      <c r="E3167" t="str">
        <f t="shared" si="580"/>
        <v>1</v>
      </c>
      <c r="F3167" t="str">
        <f t="shared" si="574"/>
        <v>COM</v>
      </c>
      <c r="G3167" t="str">
        <f t="shared" si="577"/>
        <v>FARMÁCIA INDIANA LJ 85 (10128)</v>
      </c>
      <c r="H3167" t="s">
        <v>955</v>
      </c>
      <c r="I3167" t="str">
        <f t="shared" si="581"/>
        <v>18/03/2026</v>
      </c>
      <c r="J3167" t="str">
        <f t="shared" si="578"/>
        <v>09/03/2026</v>
      </c>
      <c r="K3167">
        <v>46099</v>
      </c>
      <c r="N3167">
        <v>303</v>
      </c>
      <c r="O3167" t="s">
        <v>102</v>
      </c>
      <c r="Q3167">
        <v>524.71</v>
      </c>
      <c r="R3167" t="str">
        <f>"FARMÁCIA INDIANA LJ 211 (10168)"</f>
        <v>FARMÁCIA INDIANA LJ 211 (10168)</v>
      </c>
      <c r="S3167" t="s">
        <v>103</v>
      </c>
      <c r="T3167">
        <v>31413</v>
      </c>
      <c r="U3167">
        <v>34477</v>
      </c>
      <c r="V3167" t="s">
        <v>37</v>
      </c>
    </row>
    <row r="3168" spans="1:22">
      <c r="A3168" t="str">
        <f t="shared" si="566"/>
        <v>18/03/2026</v>
      </c>
      <c r="B3168" t="str">
        <f t="shared" si="575"/>
        <v>ENTRADA</v>
      </c>
      <c r="C3168" t="str">
        <f t="shared" si="579"/>
        <v>NFSE</v>
      </c>
      <c r="D3168" t="str">
        <f t="shared" si="576"/>
        <v>505</v>
      </c>
      <c r="E3168" t="str">
        <f t="shared" si="580"/>
        <v>1</v>
      </c>
      <c r="F3168" t="str">
        <f t="shared" si="574"/>
        <v>COM</v>
      </c>
      <c r="G3168" t="str">
        <f t="shared" si="577"/>
        <v>FARMÁCIA INDIANA LJ 85 (10128)</v>
      </c>
      <c r="H3168" t="s">
        <v>955</v>
      </c>
      <c r="I3168" t="str">
        <f t="shared" si="581"/>
        <v>18/03/2026</v>
      </c>
      <c r="J3168" t="str">
        <f t="shared" si="578"/>
        <v>09/03/2026</v>
      </c>
      <c r="K3168">
        <v>46099</v>
      </c>
      <c r="N3168">
        <v>303</v>
      </c>
      <c r="O3168" t="s">
        <v>102</v>
      </c>
      <c r="Q3168">
        <v>508.83</v>
      </c>
      <c r="R3168" t="str">
        <f>"FARMÁCIA INDIANA LJ 236 (10169)"</f>
        <v>FARMÁCIA INDIANA LJ 236 (10169)</v>
      </c>
      <c r="S3168" t="s">
        <v>103</v>
      </c>
      <c r="T3168">
        <v>31413</v>
      </c>
      <c r="U3168">
        <v>34477</v>
      </c>
      <c r="V3168" t="s">
        <v>37</v>
      </c>
    </row>
    <row r="3169" spans="1:22">
      <c r="A3169" t="str">
        <f t="shared" si="566"/>
        <v>18/03/2026</v>
      </c>
      <c r="B3169" t="str">
        <f t="shared" si="575"/>
        <v>ENTRADA</v>
      </c>
      <c r="C3169" t="str">
        <f t="shared" si="579"/>
        <v>NFSE</v>
      </c>
      <c r="D3169" t="str">
        <f t="shared" si="576"/>
        <v>505</v>
      </c>
      <c r="E3169" t="str">
        <f t="shared" si="580"/>
        <v>1</v>
      </c>
      <c r="F3169" t="str">
        <f t="shared" si="574"/>
        <v>COM</v>
      </c>
      <c r="G3169" t="str">
        <f t="shared" si="577"/>
        <v>FARMÁCIA INDIANA LJ 85 (10128)</v>
      </c>
      <c r="H3169" t="s">
        <v>955</v>
      </c>
      <c r="I3169" t="str">
        <f t="shared" si="581"/>
        <v>18/03/2026</v>
      </c>
      <c r="J3169" t="str">
        <f t="shared" si="578"/>
        <v>09/03/2026</v>
      </c>
      <c r="K3169">
        <v>46099</v>
      </c>
      <c r="N3169">
        <v>303</v>
      </c>
      <c r="O3169" t="s">
        <v>102</v>
      </c>
      <c r="Q3169">
        <v>1033.54</v>
      </c>
      <c r="R3169" t="str">
        <f>"FARMÁCIA INDIANA LJ 188 (10176)"</f>
        <v>FARMÁCIA INDIANA LJ 188 (10176)</v>
      </c>
      <c r="S3169" t="s">
        <v>103</v>
      </c>
      <c r="T3169">
        <v>31413</v>
      </c>
      <c r="U3169">
        <v>34477</v>
      </c>
      <c r="V3169" t="s">
        <v>37</v>
      </c>
    </row>
    <row r="3170" spans="1:22">
      <c r="A3170" t="str">
        <f t="shared" si="566"/>
        <v>18/03/2026</v>
      </c>
      <c r="B3170" t="str">
        <f t="shared" si="575"/>
        <v>ENTRADA</v>
      </c>
      <c r="C3170" t="str">
        <f t="shared" si="579"/>
        <v>NFSE</v>
      </c>
      <c r="D3170" t="str">
        <f t="shared" si="576"/>
        <v>505</v>
      </c>
      <c r="E3170" t="str">
        <f t="shared" si="580"/>
        <v>1</v>
      </c>
      <c r="F3170" t="str">
        <f t="shared" si="574"/>
        <v>COM</v>
      </c>
      <c r="G3170" t="str">
        <f t="shared" si="577"/>
        <v>FARMÁCIA INDIANA LJ 85 (10128)</v>
      </c>
      <c r="H3170" t="s">
        <v>955</v>
      </c>
      <c r="I3170" t="str">
        <f t="shared" si="581"/>
        <v>18/03/2026</v>
      </c>
      <c r="J3170" t="str">
        <f t="shared" si="578"/>
        <v>09/03/2026</v>
      </c>
      <c r="K3170">
        <v>46099</v>
      </c>
      <c r="N3170">
        <v>303</v>
      </c>
      <c r="O3170" t="s">
        <v>102</v>
      </c>
      <c r="Q3170">
        <v>162.72999999999999</v>
      </c>
      <c r="R3170" t="str">
        <f>"FARMÁCIA INDIANA LJ 235 (10190)"</f>
        <v>FARMÁCIA INDIANA LJ 235 (10190)</v>
      </c>
      <c r="S3170" t="s">
        <v>103</v>
      </c>
      <c r="T3170">
        <v>31413</v>
      </c>
      <c r="U3170">
        <v>34477</v>
      </c>
      <c r="V3170" t="s">
        <v>37</v>
      </c>
    </row>
    <row r="3171" spans="1:22">
      <c r="A3171" t="str">
        <f t="shared" ref="A3171:A3234" si="582">("18/03/2026")</f>
        <v>18/03/2026</v>
      </c>
      <c r="B3171" t="str">
        <f t="shared" si="575"/>
        <v>ENTRADA</v>
      </c>
      <c r="C3171" t="str">
        <f t="shared" si="579"/>
        <v>NFSE</v>
      </c>
      <c r="D3171" t="str">
        <f t="shared" si="576"/>
        <v>505</v>
      </c>
      <c r="E3171" t="str">
        <f t="shared" si="580"/>
        <v>1</v>
      </c>
      <c r="F3171" t="str">
        <f t="shared" si="574"/>
        <v>COM</v>
      </c>
      <c r="G3171" t="str">
        <f t="shared" si="577"/>
        <v>FARMÁCIA INDIANA LJ 85 (10128)</v>
      </c>
      <c r="H3171" t="s">
        <v>955</v>
      </c>
      <c r="I3171" t="str">
        <f t="shared" si="581"/>
        <v>18/03/2026</v>
      </c>
      <c r="J3171" t="str">
        <f t="shared" si="578"/>
        <v>09/03/2026</v>
      </c>
      <c r="K3171">
        <v>46099</v>
      </c>
      <c r="N3171">
        <v>303</v>
      </c>
      <c r="O3171" t="s">
        <v>102</v>
      </c>
      <c r="Q3171">
        <v>508.83</v>
      </c>
      <c r="R3171" t="str">
        <f>"FARMÁCIA INDIANA LJ 292 (10282)"</f>
        <v>FARMÁCIA INDIANA LJ 292 (10282)</v>
      </c>
      <c r="S3171" t="s">
        <v>103</v>
      </c>
      <c r="T3171">
        <v>31413</v>
      </c>
      <c r="U3171">
        <v>34477</v>
      </c>
      <c r="V3171" t="s">
        <v>37</v>
      </c>
    </row>
    <row r="3172" spans="1:22">
      <c r="A3172" t="str">
        <f t="shared" si="582"/>
        <v>18/03/2026</v>
      </c>
      <c r="B3172" t="str">
        <f t="shared" si="575"/>
        <v>ENTRADA</v>
      </c>
      <c r="C3172" t="str">
        <f t="shared" si="579"/>
        <v>NFSE</v>
      </c>
      <c r="D3172" t="str">
        <f t="shared" ref="D3172:D3189" si="583">"506"</f>
        <v>506</v>
      </c>
      <c r="E3172" t="str">
        <f t="shared" si="580"/>
        <v>1</v>
      </c>
      <c r="F3172" t="str">
        <f t="shared" si="574"/>
        <v>COM</v>
      </c>
      <c r="G3172" t="str">
        <f t="shared" ref="G3172:G3189" si="584">"FARMÁCIA INDIANA LJ 30 (10127)"</f>
        <v>FARMÁCIA INDIANA LJ 30 (10127)</v>
      </c>
      <c r="H3172" t="str">
        <f>"Serv.Prest. 02/03/2026 a 08/03/2026 - RPS: 2434 - NFSe: 506"</f>
        <v>Serv.Prest. 02/03/2026 a 08/03/2026 - RPS: 2434 - NFSe: 506</v>
      </c>
      <c r="I3172" t="str">
        <f t="shared" si="581"/>
        <v>18/03/2026</v>
      </c>
      <c r="J3172" t="str">
        <f t="shared" ref="J3172:J3203" si="585">("10/03/2026")</f>
        <v>10/03/2026</v>
      </c>
      <c r="K3172" t="str">
        <f>("18/03/2026")</f>
        <v>18/03/2026</v>
      </c>
      <c r="L3172">
        <v>28707.63</v>
      </c>
      <c r="M3172">
        <v>28707.63</v>
      </c>
      <c r="N3172">
        <v>303</v>
      </c>
      <c r="O3172" t="str">
        <f>"RECEITAS COM ENTREGAS"</f>
        <v>RECEITAS COM ENTREGAS</v>
      </c>
      <c r="P3172">
        <v>28707.63</v>
      </c>
      <c r="S3172" t="str">
        <f>"RECEITAS COM ENTREGAS (303)"</f>
        <v>RECEITAS COM ENTREGAS (303)</v>
      </c>
      <c r="T3172">
        <v>31414</v>
      </c>
      <c r="U3172">
        <v>34489</v>
      </c>
      <c r="V3172" t="s">
        <v>37</v>
      </c>
    </row>
    <row r="3173" spans="1:22">
      <c r="A3173" t="str">
        <f t="shared" si="582"/>
        <v>18/03/2026</v>
      </c>
      <c r="B3173" t="str">
        <f t="shared" si="575"/>
        <v>ENTRADA</v>
      </c>
      <c r="C3173" t="str">
        <f t="shared" si="579"/>
        <v>NFSE</v>
      </c>
      <c r="D3173" t="str">
        <f t="shared" si="583"/>
        <v>506</v>
      </c>
      <c r="E3173" t="str">
        <f t="shared" si="580"/>
        <v>1</v>
      </c>
      <c r="F3173" t="str">
        <f t="shared" si="574"/>
        <v>COM</v>
      </c>
      <c r="G3173" t="str">
        <f t="shared" si="584"/>
        <v>FARMÁCIA INDIANA LJ 30 (10127)</v>
      </c>
      <c r="H3173" t="s">
        <v>956</v>
      </c>
      <c r="I3173" t="str">
        <f t="shared" si="581"/>
        <v>18/03/2026</v>
      </c>
      <c r="J3173" t="str">
        <f t="shared" si="585"/>
        <v>10/03/2026</v>
      </c>
      <c r="K3173">
        <v>46099</v>
      </c>
      <c r="N3173">
        <v>303</v>
      </c>
      <c r="O3173" t="s">
        <v>102</v>
      </c>
      <c r="Q3173">
        <v>3091.8</v>
      </c>
      <c r="R3173" t="str">
        <f>"FARMÁCIA INDIANA LJ 34 (10014)"</f>
        <v>FARMÁCIA INDIANA LJ 34 (10014)</v>
      </c>
      <c r="S3173" t="s">
        <v>103</v>
      </c>
      <c r="T3173">
        <v>31414</v>
      </c>
      <c r="U3173">
        <v>34489</v>
      </c>
      <c r="V3173" t="s">
        <v>37</v>
      </c>
    </row>
    <row r="3174" spans="1:22">
      <c r="A3174" t="str">
        <f t="shared" si="582"/>
        <v>18/03/2026</v>
      </c>
      <c r="B3174" t="str">
        <f t="shared" si="575"/>
        <v>ENTRADA</v>
      </c>
      <c r="C3174" t="str">
        <f t="shared" si="579"/>
        <v>NFSE</v>
      </c>
      <c r="D3174" t="str">
        <f t="shared" si="583"/>
        <v>506</v>
      </c>
      <c r="E3174" t="str">
        <f t="shared" si="580"/>
        <v>1</v>
      </c>
      <c r="F3174" t="str">
        <f t="shared" si="574"/>
        <v>COM</v>
      </c>
      <c r="G3174" t="str">
        <f t="shared" si="584"/>
        <v>FARMÁCIA INDIANA LJ 30 (10127)</v>
      </c>
      <c r="H3174" t="s">
        <v>956</v>
      </c>
      <c r="I3174" t="str">
        <f t="shared" si="581"/>
        <v>18/03/2026</v>
      </c>
      <c r="J3174" t="str">
        <f t="shared" si="585"/>
        <v>10/03/2026</v>
      </c>
      <c r="K3174">
        <v>46099</v>
      </c>
      <c r="N3174">
        <v>303</v>
      </c>
      <c r="O3174" t="s">
        <v>102</v>
      </c>
      <c r="Q3174">
        <v>1512.89</v>
      </c>
      <c r="R3174" t="str">
        <f>"FARMÁCIA INDIANA LJ 35 (10015)"</f>
        <v>FARMÁCIA INDIANA LJ 35 (10015)</v>
      </c>
      <c r="S3174" t="s">
        <v>103</v>
      </c>
      <c r="T3174">
        <v>31414</v>
      </c>
      <c r="U3174">
        <v>34489</v>
      </c>
      <c r="V3174" t="s">
        <v>37</v>
      </c>
    </row>
    <row r="3175" spans="1:22">
      <c r="A3175" t="str">
        <f t="shared" si="582"/>
        <v>18/03/2026</v>
      </c>
      <c r="B3175" t="str">
        <f t="shared" si="575"/>
        <v>ENTRADA</v>
      </c>
      <c r="C3175" t="str">
        <f t="shared" si="579"/>
        <v>NFSE</v>
      </c>
      <c r="D3175" t="str">
        <f t="shared" si="583"/>
        <v>506</v>
      </c>
      <c r="E3175" t="str">
        <f t="shared" si="580"/>
        <v>1</v>
      </c>
      <c r="F3175" t="str">
        <f t="shared" si="574"/>
        <v>COM</v>
      </c>
      <c r="G3175" t="str">
        <f t="shared" si="584"/>
        <v>FARMÁCIA INDIANA LJ 30 (10127)</v>
      </c>
      <c r="H3175" t="s">
        <v>956</v>
      </c>
      <c r="I3175" t="str">
        <f t="shared" si="581"/>
        <v>18/03/2026</v>
      </c>
      <c r="J3175" t="str">
        <f t="shared" si="585"/>
        <v>10/03/2026</v>
      </c>
      <c r="K3175">
        <v>46099</v>
      </c>
      <c r="N3175">
        <v>303</v>
      </c>
      <c r="O3175" t="s">
        <v>102</v>
      </c>
      <c r="Q3175">
        <v>2704.26</v>
      </c>
      <c r="R3175" t="str">
        <f>"FARMÁCIA INDIANA LJ 48 (10018)"</f>
        <v>FARMÁCIA INDIANA LJ 48 (10018)</v>
      </c>
      <c r="S3175" t="s">
        <v>103</v>
      </c>
      <c r="T3175">
        <v>31414</v>
      </c>
      <c r="U3175">
        <v>34489</v>
      </c>
      <c r="V3175" t="s">
        <v>37</v>
      </c>
    </row>
    <row r="3176" spans="1:22">
      <c r="A3176" t="str">
        <f t="shared" si="582"/>
        <v>18/03/2026</v>
      </c>
      <c r="B3176" t="str">
        <f t="shared" si="575"/>
        <v>ENTRADA</v>
      </c>
      <c r="C3176" t="str">
        <f t="shared" si="579"/>
        <v>NFSE</v>
      </c>
      <c r="D3176" t="str">
        <f t="shared" si="583"/>
        <v>506</v>
      </c>
      <c r="E3176" t="str">
        <f t="shared" si="580"/>
        <v>1</v>
      </c>
      <c r="F3176" t="str">
        <f t="shared" si="574"/>
        <v>COM</v>
      </c>
      <c r="G3176" t="str">
        <f t="shared" si="584"/>
        <v>FARMÁCIA INDIANA LJ 30 (10127)</v>
      </c>
      <c r="H3176" t="s">
        <v>956</v>
      </c>
      <c r="I3176" t="str">
        <f t="shared" si="581"/>
        <v>18/03/2026</v>
      </c>
      <c r="J3176" t="str">
        <f t="shared" si="585"/>
        <v>10/03/2026</v>
      </c>
      <c r="K3176">
        <v>46099</v>
      </c>
      <c r="N3176">
        <v>303</v>
      </c>
      <c r="O3176" t="s">
        <v>102</v>
      </c>
      <c r="Q3176">
        <v>3140.61</v>
      </c>
      <c r="R3176" t="str">
        <f>"FARMÁCIA INDIANA LJ 65 (10030)"</f>
        <v>FARMÁCIA INDIANA LJ 65 (10030)</v>
      </c>
      <c r="S3176" t="s">
        <v>103</v>
      </c>
      <c r="T3176">
        <v>31414</v>
      </c>
      <c r="U3176">
        <v>34489</v>
      </c>
      <c r="V3176" t="s">
        <v>37</v>
      </c>
    </row>
    <row r="3177" spans="1:22">
      <c r="A3177" t="str">
        <f t="shared" si="582"/>
        <v>18/03/2026</v>
      </c>
      <c r="B3177" t="str">
        <f t="shared" si="575"/>
        <v>ENTRADA</v>
      </c>
      <c r="C3177" t="str">
        <f t="shared" si="579"/>
        <v>NFSE</v>
      </c>
      <c r="D3177" t="str">
        <f t="shared" si="583"/>
        <v>506</v>
      </c>
      <c r="E3177" t="str">
        <f t="shared" si="580"/>
        <v>1</v>
      </c>
      <c r="F3177" t="str">
        <f t="shared" si="574"/>
        <v>COM</v>
      </c>
      <c r="G3177" t="str">
        <f t="shared" si="584"/>
        <v>FARMÁCIA INDIANA LJ 30 (10127)</v>
      </c>
      <c r="H3177" t="s">
        <v>956</v>
      </c>
      <c r="I3177" t="str">
        <f t="shared" si="581"/>
        <v>18/03/2026</v>
      </c>
      <c r="J3177" t="str">
        <f t="shared" si="585"/>
        <v>10/03/2026</v>
      </c>
      <c r="K3177">
        <v>46099</v>
      </c>
      <c r="N3177">
        <v>303</v>
      </c>
      <c r="O3177" t="s">
        <v>102</v>
      </c>
      <c r="Q3177">
        <v>772.24</v>
      </c>
      <c r="R3177" t="str">
        <f>"FARMÁCIA INDIANA LJ 77 (10034)"</f>
        <v>FARMÁCIA INDIANA LJ 77 (10034)</v>
      </c>
      <c r="S3177" t="s">
        <v>103</v>
      </c>
      <c r="T3177">
        <v>31414</v>
      </c>
      <c r="U3177">
        <v>34489</v>
      </c>
      <c r="V3177" t="s">
        <v>37</v>
      </c>
    </row>
    <row r="3178" spans="1:22">
      <c r="A3178" t="str">
        <f t="shared" si="582"/>
        <v>18/03/2026</v>
      </c>
      <c r="B3178" t="str">
        <f t="shared" si="575"/>
        <v>ENTRADA</v>
      </c>
      <c r="C3178" t="str">
        <f t="shared" si="579"/>
        <v>NFSE</v>
      </c>
      <c r="D3178" t="str">
        <f t="shared" si="583"/>
        <v>506</v>
      </c>
      <c r="E3178" t="str">
        <f t="shared" si="580"/>
        <v>1</v>
      </c>
      <c r="F3178" t="str">
        <f t="shared" si="574"/>
        <v>COM</v>
      </c>
      <c r="G3178" t="str">
        <f t="shared" si="584"/>
        <v>FARMÁCIA INDIANA LJ 30 (10127)</v>
      </c>
      <c r="H3178" t="s">
        <v>956</v>
      </c>
      <c r="I3178" t="str">
        <f t="shared" si="581"/>
        <v>18/03/2026</v>
      </c>
      <c r="J3178" t="str">
        <f t="shared" si="585"/>
        <v>10/03/2026</v>
      </c>
      <c r="K3178">
        <v>46099</v>
      </c>
      <c r="N3178">
        <v>303</v>
      </c>
      <c r="O3178" t="s">
        <v>102</v>
      </c>
      <c r="Q3178">
        <v>4860.2</v>
      </c>
      <c r="R3178" t="str">
        <f>"FARMÁCIA INDIANA LJ 91 (10037)"</f>
        <v>FARMÁCIA INDIANA LJ 91 (10037)</v>
      </c>
      <c r="S3178" t="s">
        <v>103</v>
      </c>
      <c r="T3178">
        <v>31414</v>
      </c>
      <c r="U3178">
        <v>34489</v>
      </c>
      <c r="V3178" t="s">
        <v>37</v>
      </c>
    </row>
    <row r="3179" spans="1:22">
      <c r="A3179" t="str">
        <f t="shared" si="582"/>
        <v>18/03/2026</v>
      </c>
      <c r="B3179" t="str">
        <f t="shared" si="575"/>
        <v>ENTRADA</v>
      </c>
      <c r="C3179" t="str">
        <f t="shared" si="579"/>
        <v>NFSE</v>
      </c>
      <c r="D3179" t="str">
        <f t="shared" si="583"/>
        <v>506</v>
      </c>
      <c r="E3179" t="str">
        <f t="shared" si="580"/>
        <v>1</v>
      </c>
      <c r="F3179" t="str">
        <f t="shared" si="574"/>
        <v>COM</v>
      </c>
      <c r="G3179" t="str">
        <f t="shared" si="584"/>
        <v>FARMÁCIA INDIANA LJ 30 (10127)</v>
      </c>
      <c r="H3179" t="s">
        <v>956</v>
      </c>
      <c r="I3179" t="str">
        <f t="shared" si="581"/>
        <v>18/03/2026</v>
      </c>
      <c r="J3179" t="str">
        <f t="shared" si="585"/>
        <v>10/03/2026</v>
      </c>
      <c r="K3179">
        <v>46099</v>
      </c>
      <c r="N3179">
        <v>303</v>
      </c>
      <c r="O3179" t="s">
        <v>102</v>
      </c>
      <c r="Q3179">
        <v>1754.04</v>
      </c>
      <c r="R3179" t="str">
        <f>"FARMÁCIA INDIANA LJ 95 (10039)"</f>
        <v>FARMÁCIA INDIANA LJ 95 (10039)</v>
      </c>
      <c r="S3179" t="s">
        <v>103</v>
      </c>
      <c r="T3179">
        <v>31414</v>
      </c>
      <c r="U3179">
        <v>34489</v>
      </c>
      <c r="V3179" t="s">
        <v>37</v>
      </c>
    </row>
    <row r="3180" spans="1:22">
      <c r="A3180" t="str">
        <f t="shared" si="582"/>
        <v>18/03/2026</v>
      </c>
      <c r="B3180" t="str">
        <f t="shared" si="575"/>
        <v>ENTRADA</v>
      </c>
      <c r="C3180" t="str">
        <f t="shared" si="579"/>
        <v>NFSE</v>
      </c>
      <c r="D3180" t="str">
        <f t="shared" si="583"/>
        <v>506</v>
      </c>
      <c r="E3180" t="str">
        <f t="shared" si="580"/>
        <v>1</v>
      </c>
      <c r="F3180" t="str">
        <f t="shared" si="574"/>
        <v>COM</v>
      </c>
      <c r="G3180" t="str">
        <f t="shared" si="584"/>
        <v>FARMÁCIA INDIANA LJ 30 (10127)</v>
      </c>
      <c r="H3180" t="s">
        <v>956</v>
      </c>
      <c r="I3180" t="str">
        <f t="shared" si="581"/>
        <v>18/03/2026</v>
      </c>
      <c r="J3180" t="str">
        <f t="shared" si="585"/>
        <v>10/03/2026</v>
      </c>
      <c r="K3180">
        <v>46099</v>
      </c>
      <c r="N3180">
        <v>303</v>
      </c>
      <c r="O3180" t="s">
        <v>102</v>
      </c>
      <c r="Q3180">
        <v>1274.6199999999999</v>
      </c>
      <c r="R3180" t="str">
        <f>"FARMÁCIA INDIANA LJ 145 (10068)"</f>
        <v>FARMÁCIA INDIANA LJ 145 (10068)</v>
      </c>
      <c r="S3180" t="s">
        <v>103</v>
      </c>
      <c r="T3180">
        <v>31414</v>
      </c>
      <c r="U3180">
        <v>34489</v>
      </c>
      <c r="V3180" t="s">
        <v>37</v>
      </c>
    </row>
    <row r="3181" spans="1:22">
      <c r="A3181" t="str">
        <f t="shared" si="582"/>
        <v>18/03/2026</v>
      </c>
      <c r="B3181" t="str">
        <f t="shared" si="575"/>
        <v>ENTRADA</v>
      </c>
      <c r="C3181" t="str">
        <f t="shared" si="579"/>
        <v>NFSE</v>
      </c>
      <c r="D3181" t="str">
        <f t="shared" si="583"/>
        <v>506</v>
      </c>
      <c r="E3181" t="str">
        <f t="shared" si="580"/>
        <v>1</v>
      </c>
      <c r="F3181" t="str">
        <f t="shared" si="574"/>
        <v>COM</v>
      </c>
      <c r="G3181" t="str">
        <f t="shared" si="584"/>
        <v>FARMÁCIA INDIANA LJ 30 (10127)</v>
      </c>
      <c r="H3181" t="s">
        <v>956</v>
      </c>
      <c r="I3181" t="str">
        <f t="shared" si="581"/>
        <v>18/03/2026</v>
      </c>
      <c r="J3181" t="str">
        <f t="shared" si="585"/>
        <v>10/03/2026</v>
      </c>
      <c r="K3181">
        <v>46099</v>
      </c>
      <c r="N3181">
        <v>303</v>
      </c>
      <c r="O3181" t="s">
        <v>102</v>
      </c>
      <c r="Q3181">
        <v>1268.8800000000001</v>
      </c>
      <c r="R3181" t="str">
        <f>"FARMÁCIA INDIANA LJ 169 (10073)"</f>
        <v>FARMÁCIA INDIANA LJ 169 (10073)</v>
      </c>
      <c r="S3181" t="s">
        <v>103</v>
      </c>
      <c r="T3181">
        <v>31414</v>
      </c>
      <c r="U3181">
        <v>34489</v>
      </c>
      <c r="V3181" t="s">
        <v>37</v>
      </c>
    </row>
    <row r="3182" spans="1:22">
      <c r="A3182" t="str">
        <f t="shared" si="582"/>
        <v>18/03/2026</v>
      </c>
      <c r="B3182" t="str">
        <f t="shared" si="575"/>
        <v>ENTRADA</v>
      </c>
      <c r="C3182" t="str">
        <f t="shared" si="579"/>
        <v>NFSE</v>
      </c>
      <c r="D3182" t="str">
        <f t="shared" si="583"/>
        <v>506</v>
      </c>
      <c r="E3182" t="str">
        <f t="shared" si="580"/>
        <v>1</v>
      </c>
      <c r="F3182" t="str">
        <f t="shared" si="574"/>
        <v>COM</v>
      </c>
      <c r="G3182" t="str">
        <f t="shared" si="584"/>
        <v>FARMÁCIA INDIANA LJ 30 (10127)</v>
      </c>
      <c r="H3182" t="s">
        <v>956</v>
      </c>
      <c r="I3182" t="str">
        <f t="shared" si="581"/>
        <v>18/03/2026</v>
      </c>
      <c r="J3182" t="str">
        <f t="shared" si="585"/>
        <v>10/03/2026</v>
      </c>
      <c r="K3182">
        <v>46099</v>
      </c>
      <c r="N3182">
        <v>303</v>
      </c>
      <c r="O3182" t="s">
        <v>102</v>
      </c>
      <c r="Q3182">
        <v>1570.31</v>
      </c>
      <c r="R3182" t="str">
        <f>"FARMÁCIA INDIANA LJ 173 (10075)"</f>
        <v>FARMÁCIA INDIANA LJ 173 (10075)</v>
      </c>
      <c r="S3182" t="s">
        <v>103</v>
      </c>
      <c r="T3182">
        <v>31414</v>
      </c>
      <c r="U3182">
        <v>34489</v>
      </c>
      <c r="V3182" t="s">
        <v>37</v>
      </c>
    </row>
    <row r="3183" spans="1:22">
      <c r="A3183" t="str">
        <f t="shared" si="582"/>
        <v>18/03/2026</v>
      </c>
      <c r="B3183" t="str">
        <f t="shared" si="575"/>
        <v>ENTRADA</v>
      </c>
      <c r="C3183" t="str">
        <f t="shared" si="579"/>
        <v>NFSE</v>
      </c>
      <c r="D3183" t="str">
        <f t="shared" si="583"/>
        <v>506</v>
      </c>
      <c r="E3183" t="str">
        <f t="shared" si="580"/>
        <v>1</v>
      </c>
      <c r="F3183" t="str">
        <f t="shared" si="574"/>
        <v>COM</v>
      </c>
      <c r="G3183" t="str">
        <f t="shared" si="584"/>
        <v>FARMÁCIA INDIANA LJ 30 (10127)</v>
      </c>
      <c r="H3183" t="s">
        <v>956</v>
      </c>
      <c r="I3183" t="str">
        <f t="shared" si="581"/>
        <v>18/03/2026</v>
      </c>
      <c r="J3183" t="str">
        <f t="shared" si="585"/>
        <v>10/03/2026</v>
      </c>
      <c r="K3183">
        <v>46099</v>
      </c>
      <c r="N3183">
        <v>303</v>
      </c>
      <c r="O3183" t="s">
        <v>102</v>
      </c>
      <c r="Q3183">
        <v>901.42</v>
      </c>
      <c r="R3183" t="str">
        <f>"FARMÁCIA INDIANA LJ 213 (10090)"</f>
        <v>FARMÁCIA INDIANA LJ 213 (10090)</v>
      </c>
      <c r="S3183" t="s">
        <v>103</v>
      </c>
      <c r="T3183">
        <v>31414</v>
      </c>
      <c r="U3183">
        <v>34489</v>
      </c>
      <c r="V3183" t="s">
        <v>37</v>
      </c>
    </row>
    <row r="3184" spans="1:22">
      <c r="A3184" t="str">
        <f t="shared" si="582"/>
        <v>18/03/2026</v>
      </c>
      <c r="B3184" t="str">
        <f t="shared" si="575"/>
        <v>ENTRADA</v>
      </c>
      <c r="C3184" t="str">
        <f t="shared" si="579"/>
        <v>NFSE</v>
      </c>
      <c r="D3184" t="str">
        <f t="shared" si="583"/>
        <v>506</v>
      </c>
      <c r="E3184" t="str">
        <f t="shared" si="580"/>
        <v>1</v>
      </c>
      <c r="F3184" t="str">
        <f t="shared" si="574"/>
        <v>COM</v>
      </c>
      <c r="G3184" t="str">
        <f t="shared" si="584"/>
        <v>FARMÁCIA INDIANA LJ 30 (10127)</v>
      </c>
      <c r="H3184" t="s">
        <v>956</v>
      </c>
      <c r="I3184" t="str">
        <f t="shared" si="581"/>
        <v>18/03/2026</v>
      </c>
      <c r="J3184" t="str">
        <f t="shared" si="585"/>
        <v>10/03/2026</v>
      </c>
      <c r="K3184">
        <v>46099</v>
      </c>
      <c r="N3184">
        <v>303</v>
      </c>
      <c r="O3184" t="s">
        <v>102</v>
      </c>
      <c r="Q3184">
        <v>1222.95</v>
      </c>
      <c r="R3184" t="str">
        <f>"FARMÁCIA INDIANA LJ 200 (10155)"</f>
        <v>FARMÁCIA INDIANA LJ 200 (10155)</v>
      </c>
      <c r="S3184" t="s">
        <v>103</v>
      </c>
      <c r="T3184">
        <v>31414</v>
      </c>
      <c r="U3184">
        <v>34489</v>
      </c>
      <c r="V3184" t="s">
        <v>37</v>
      </c>
    </row>
    <row r="3185" spans="1:22">
      <c r="A3185" t="str">
        <f t="shared" si="582"/>
        <v>18/03/2026</v>
      </c>
      <c r="B3185" t="str">
        <f t="shared" si="575"/>
        <v>ENTRADA</v>
      </c>
      <c r="C3185" t="str">
        <f t="shared" si="579"/>
        <v>NFSE</v>
      </c>
      <c r="D3185" t="str">
        <f t="shared" si="583"/>
        <v>506</v>
      </c>
      <c r="E3185" t="str">
        <f t="shared" si="580"/>
        <v>1</v>
      </c>
      <c r="F3185" t="str">
        <f t="shared" si="574"/>
        <v>COM</v>
      </c>
      <c r="G3185" t="str">
        <f t="shared" si="584"/>
        <v>FARMÁCIA INDIANA LJ 30 (10127)</v>
      </c>
      <c r="H3185" t="s">
        <v>956</v>
      </c>
      <c r="I3185" t="str">
        <f t="shared" si="581"/>
        <v>18/03/2026</v>
      </c>
      <c r="J3185" t="str">
        <f t="shared" si="585"/>
        <v>10/03/2026</v>
      </c>
      <c r="K3185">
        <v>46099</v>
      </c>
      <c r="N3185">
        <v>303</v>
      </c>
      <c r="O3185" t="s">
        <v>102</v>
      </c>
      <c r="Q3185">
        <v>1113.8599999999999</v>
      </c>
      <c r="R3185" t="str">
        <f>"FARMÁCIA INDIANA LJ 33 (10187)"</f>
        <v>FARMÁCIA INDIANA LJ 33 (10187)</v>
      </c>
      <c r="S3185" t="s">
        <v>103</v>
      </c>
      <c r="T3185">
        <v>31414</v>
      </c>
      <c r="U3185">
        <v>34489</v>
      </c>
      <c r="V3185" t="s">
        <v>37</v>
      </c>
    </row>
    <row r="3186" spans="1:22">
      <c r="A3186" t="str">
        <f t="shared" si="582"/>
        <v>18/03/2026</v>
      </c>
      <c r="B3186" t="str">
        <f t="shared" si="575"/>
        <v>ENTRADA</v>
      </c>
      <c r="C3186" t="str">
        <f t="shared" si="579"/>
        <v>NFSE</v>
      </c>
      <c r="D3186" t="str">
        <f t="shared" si="583"/>
        <v>506</v>
      </c>
      <c r="E3186" t="str">
        <f t="shared" si="580"/>
        <v>1</v>
      </c>
      <c r="F3186" t="str">
        <f t="shared" si="574"/>
        <v>COM</v>
      </c>
      <c r="G3186" t="str">
        <f t="shared" si="584"/>
        <v>FARMÁCIA INDIANA LJ 30 (10127)</v>
      </c>
      <c r="H3186" t="s">
        <v>956</v>
      </c>
      <c r="I3186" t="str">
        <f t="shared" si="581"/>
        <v>18/03/2026</v>
      </c>
      <c r="J3186" t="str">
        <f t="shared" si="585"/>
        <v>10/03/2026</v>
      </c>
      <c r="K3186">
        <v>46099</v>
      </c>
      <c r="N3186">
        <v>303</v>
      </c>
      <c r="O3186" t="s">
        <v>102</v>
      </c>
      <c r="Q3186">
        <v>898.55</v>
      </c>
      <c r="R3186" t="str">
        <f>"FARMÁCIA INDIANA LJ 283 (10268)"</f>
        <v>FARMÁCIA INDIANA LJ 283 (10268)</v>
      </c>
      <c r="S3186" t="s">
        <v>103</v>
      </c>
      <c r="T3186">
        <v>31414</v>
      </c>
      <c r="U3186">
        <v>34489</v>
      </c>
      <c r="V3186" t="s">
        <v>37</v>
      </c>
    </row>
    <row r="3187" spans="1:22">
      <c r="A3187" t="str">
        <f t="shared" si="582"/>
        <v>18/03/2026</v>
      </c>
      <c r="B3187" t="str">
        <f t="shared" si="575"/>
        <v>ENTRADA</v>
      </c>
      <c r="C3187" t="str">
        <f t="shared" si="579"/>
        <v>NFSE</v>
      </c>
      <c r="D3187" t="str">
        <f t="shared" si="583"/>
        <v>506</v>
      </c>
      <c r="E3187" t="str">
        <f t="shared" si="580"/>
        <v>1</v>
      </c>
      <c r="F3187" t="str">
        <f t="shared" si="574"/>
        <v>COM</v>
      </c>
      <c r="G3187" t="str">
        <f t="shared" si="584"/>
        <v>FARMÁCIA INDIANA LJ 30 (10127)</v>
      </c>
      <c r="H3187" t="s">
        <v>956</v>
      </c>
      <c r="I3187" t="str">
        <f t="shared" si="581"/>
        <v>18/03/2026</v>
      </c>
      <c r="J3187" t="str">
        <f t="shared" si="585"/>
        <v>10/03/2026</v>
      </c>
      <c r="K3187">
        <v>46099</v>
      </c>
      <c r="N3187">
        <v>303</v>
      </c>
      <c r="O3187" t="s">
        <v>102</v>
      </c>
      <c r="Q3187">
        <v>424.87</v>
      </c>
      <c r="R3187" t="str">
        <f>"FARMÁCIA INDIANA LJ 155 (10273)"</f>
        <v>FARMÁCIA INDIANA LJ 155 (10273)</v>
      </c>
      <c r="S3187" t="s">
        <v>103</v>
      </c>
      <c r="T3187">
        <v>31414</v>
      </c>
      <c r="U3187">
        <v>34489</v>
      </c>
      <c r="V3187" t="s">
        <v>37</v>
      </c>
    </row>
    <row r="3188" spans="1:22">
      <c r="A3188" t="str">
        <f t="shared" si="582"/>
        <v>18/03/2026</v>
      </c>
      <c r="B3188" t="str">
        <f t="shared" si="575"/>
        <v>ENTRADA</v>
      </c>
      <c r="C3188" t="str">
        <f t="shared" si="579"/>
        <v>NFSE</v>
      </c>
      <c r="D3188" t="str">
        <f t="shared" si="583"/>
        <v>506</v>
      </c>
      <c r="E3188" t="str">
        <f t="shared" si="580"/>
        <v>1</v>
      </c>
      <c r="F3188" t="str">
        <f t="shared" si="574"/>
        <v>COM</v>
      </c>
      <c r="G3188" t="str">
        <f t="shared" si="584"/>
        <v>FARMÁCIA INDIANA LJ 30 (10127)</v>
      </c>
      <c r="H3188" t="s">
        <v>956</v>
      </c>
      <c r="I3188" t="str">
        <f t="shared" si="581"/>
        <v>18/03/2026</v>
      </c>
      <c r="J3188" t="str">
        <f t="shared" si="585"/>
        <v>10/03/2026</v>
      </c>
      <c r="K3188">
        <v>46099</v>
      </c>
      <c r="N3188">
        <v>303</v>
      </c>
      <c r="O3188" t="s">
        <v>102</v>
      </c>
      <c r="Q3188">
        <v>1024.8599999999999</v>
      </c>
      <c r="R3188" t="str">
        <f>"FARMÁCIA INDIANA LJ 158 (10275)"</f>
        <v>FARMÁCIA INDIANA LJ 158 (10275)</v>
      </c>
      <c r="S3188" t="s">
        <v>103</v>
      </c>
      <c r="T3188">
        <v>31414</v>
      </c>
      <c r="U3188">
        <v>34489</v>
      </c>
      <c r="V3188" t="s">
        <v>37</v>
      </c>
    </row>
    <row r="3189" spans="1:22">
      <c r="A3189" t="str">
        <f t="shared" si="582"/>
        <v>18/03/2026</v>
      </c>
      <c r="B3189" t="str">
        <f t="shared" si="575"/>
        <v>ENTRADA</v>
      </c>
      <c r="C3189" t="str">
        <f t="shared" si="579"/>
        <v>NFSE</v>
      </c>
      <c r="D3189" t="str">
        <f t="shared" si="583"/>
        <v>506</v>
      </c>
      <c r="E3189" t="str">
        <f t="shared" si="580"/>
        <v>1</v>
      </c>
      <c r="F3189" t="str">
        <f t="shared" si="574"/>
        <v>COM</v>
      </c>
      <c r="G3189" t="str">
        <f t="shared" si="584"/>
        <v>FARMÁCIA INDIANA LJ 30 (10127)</v>
      </c>
      <c r="H3189" t="s">
        <v>956</v>
      </c>
      <c r="I3189" t="str">
        <f t="shared" si="581"/>
        <v>18/03/2026</v>
      </c>
      <c r="J3189" t="str">
        <f t="shared" si="585"/>
        <v>10/03/2026</v>
      </c>
      <c r="K3189">
        <v>46099</v>
      </c>
      <c r="N3189">
        <v>303</v>
      </c>
      <c r="O3189" t="s">
        <v>102</v>
      </c>
      <c r="Q3189">
        <v>1171.27</v>
      </c>
      <c r="R3189" t="str">
        <f>"FARMÁCIA INDIANA LJ 92 (10281)"</f>
        <v>FARMÁCIA INDIANA LJ 92 (10281)</v>
      </c>
      <c r="S3189" t="s">
        <v>103</v>
      </c>
      <c r="T3189">
        <v>31414</v>
      </c>
      <c r="U3189">
        <v>34489</v>
      </c>
      <c r="V3189" t="s">
        <v>37</v>
      </c>
    </row>
    <row r="3190" spans="1:22">
      <c r="A3190" t="str">
        <f t="shared" si="582"/>
        <v>18/03/2026</v>
      </c>
      <c r="B3190" t="str">
        <f t="shared" si="575"/>
        <v>ENTRADA</v>
      </c>
      <c r="C3190" t="str">
        <f t="shared" si="579"/>
        <v>NFSE</v>
      </c>
      <c r="D3190" t="str">
        <f t="shared" ref="D3190:D3221" si="586">"507"</f>
        <v>507</v>
      </c>
      <c r="E3190" t="str">
        <f t="shared" si="580"/>
        <v>1</v>
      </c>
      <c r="F3190" t="str">
        <f t="shared" si="574"/>
        <v>COM</v>
      </c>
      <c r="G3190" t="str">
        <f t="shared" ref="G3190:G3221" si="587">"FARMÁCIA INDIANA LJ 1 (10126)"</f>
        <v>FARMÁCIA INDIANA LJ 1 (10126)</v>
      </c>
      <c r="H3190" t="str">
        <f>"Serv.Prest. 02/03/2026 a 08/03/2026 - RPS: 2435 - NFSe: 507"</f>
        <v>Serv.Prest. 02/03/2026 a 08/03/2026 - RPS: 2435 - NFSe: 507</v>
      </c>
      <c r="I3190" t="str">
        <f t="shared" si="581"/>
        <v>18/03/2026</v>
      </c>
      <c r="J3190" t="str">
        <f t="shared" si="585"/>
        <v>10/03/2026</v>
      </c>
      <c r="K3190" t="str">
        <f>("18/03/2026")</f>
        <v>18/03/2026</v>
      </c>
      <c r="L3190">
        <v>117746.26</v>
      </c>
      <c r="M3190">
        <v>117746.26</v>
      </c>
      <c r="N3190">
        <v>303</v>
      </c>
      <c r="O3190" t="str">
        <f>"RECEITAS COM ENTREGAS"</f>
        <v>RECEITAS COM ENTREGAS</v>
      </c>
      <c r="P3190">
        <v>117746.26</v>
      </c>
      <c r="S3190" t="str">
        <f>"RECEITAS COM ENTREGAS (303)"</f>
        <v>RECEITAS COM ENTREGAS (303)</v>
      </c>
      <c r="T3190">
        <v>31415</v>
      </c>
      <c r="U3190">
        <v>34532</v>
      </c>
      <c r="V3190" t="s">
        <v>37</v>
      </c>
    </row>
    <row r="3191" spans="1:22">
      <c r="A3191" t="str">
        <f t="shared" si="582"/>
        <v>18/03/2026</v>
      </c>
      <c r="B3191" t="str">
        <f t="shared" si="575"/>
        <v>ENTRADA</v>
      </c>
      <c r="C3191" t="str">
        <f t="shared" si="579"/>
        <v>NFSE</v>
      </c>
      <c r="D3191" t="str">
        <f t="shared" si="586"/>
        <v>507</v>
      </c>
      <c r="E3191" t="str">
        <f t="shared" si="580"/>
        <v>1</v>
      </c>
      <c r="F3191" t="str">
        <f t="shared" si="574"/>
        <v>COM</v>
      </c>
      <c r="G3191" t="str">
        <f t="shared" si="587"/>
        <v>FARMÁCIA INDIANA LJ 1 (10126)</v>
      </c>
      <c r="H3191" t="s">
        <v>957</v>
      </c>
      <c r="I3191" t="str">
        <f t="shared" si="581"/>
        <v>18/03/2026</v>
      </c>
      <c r="J3191" t="str">
        <f t="shared" si="585"/>
        <v>10/03/2026</v>
      </c>
      <c r="K3191">
        <v>46099</v>
      </c>
      <c r="N3191">
        <v>303</v>
      </c>
      <c r="O3191" t="s">
        <v>102</v>
      </c>
      <c r="Q3191">
        <v>16531.57</v>
      </c>
      <c r="R3191" t="str">
        <f>"FARMÁCIA INDIANA LJ 06 (10006)"</f>
        <v>FARMÁCIA INDIANA LJ 06 (10006)</v>
      </c>
      <c r="S3191" t="s">
        <v>103</v>
      </c>
      <c r="T3191">
        <v>31415</v>
      </c>
      <c r="U3191">
        <v>34532</v>
      </c>
      <c r="V3191" t="s">
        <v>37</v>
      </c>
    </row>
    <row r="3192" spans="1:22">
      <c r="A3192" t="str">
        <f t="shared" si="582"/>
        <v>18/03/2026</v>
      </c>
      <c r="B3192" t="str">
        <f t="shared" si="575"/>
        <v>ENTRADA</v>
      </c>
      <c r="C3192" t="str">
        <f t="shared" si="579"/>
        <v>NFSE</v>
      </c>
      <c r="D3192" t="str">
        <f t="shared" si="586"/>
        <v>507</v>
      </c>
      <c r="E3192" t="str">
        <f t="shared" si="580"/>
        <v>1</v>
      </c>
      <c r="F3192" t="str">
        <f t="shared" si="574"/>
        <v>COM</v>
      </c>
      <c r="G3192" t="str">
        <f t="shared" si="587"/>
        <v>FARMÁCIA INDIANA LJ 1 (10126)</v>
      </c>
      <c r="H3192" t="s">
        <v>957</v>
      </c>
      <c r="I3192" t="str">
        <f t="shared" si="581"/>
        <v>18/03/2026</v>
      </c>
      <c r="J3192" t="str">
        <f t="shared" si="585"/>
        <v>10/03/2026</v>
      </c>
      <c r="K3192">
        <v>46099</v>
      </c>
      <c r="N3192">
        <v>303</v>
      </c>
      <c r="O3192" t="s">
        <v>102</v>
      </c>
      <c r="Q3192">
        <v>11550.91</v>
      </c>
      <c r="R3192" t="str">
        <f>"FARMÁCIA INDIANA LJ 07 (10007)"</f>
        <v>FARMÁCIA INDIANA LJ 07 (10007)</v>
      </c>
      <c r="S3192" t="s">
        <v>103</v>
      </c>
      <c r="T3192">
        <v>31415</v>
      </c>
      <c r="U3192">
        <v>34532</v>
      </c>
      <c r="V3192" t="s">
        <v>37</v>
      </c>
    </row>
    <row r="3193" spans="1:22">
      <c r="A3193" t="str">
        <f t="shared" si="582"/>
        <v>18/03/2026</v>
      </c>
      <c r="B3193" t="str">
        <f t="shared" ref="B3193:B3224" si="588">"ENTRADA"</f>
        <v>ENTRADA</v>
      </c>
      <c r="C3193" t="str">
        <f t="shared" si="579"/>
        <v>NFSE</v>
      </c>
      <c r="D3193" t="str">
        <f t="shared" si="586"/>
        <v>507</v>
      </c>
      <c r="E3193" t="str">
        <f t="shared" si="580"/>
        <v>1</v>
      </c>
      <c r="F3193" t="str">
        <f t="shared" si="574"/>
        <v>COM</v>
      </c>
      <c r="G3193" t="str">
        <f t="shared" si="587"/>
        <v>FARMÁCIA INDIANA LJ 1 (10126)</v>
      </c>
      <c r="H3193" t="s">
        <v>957</v>
      </c>
      <c r="I3193" t="str">
        <f t="shared" si="581"/>
        <v>18/03/2026</v>
      </c>
      <c r="J3193" t="str">
        <f t="shared" si="585"/>
        <v>10/03/2026</v>
      </c>
      <c r="K3193">
        <v>46099</v>
      </c>
      <c r="N3193">
        <v>303</v>
      </c>
      <c r="O3193" t="s">
        <v>102</v>
      </c>
      <c r="Q3193">
        <v>9290.18</v>
      </c>
      <c r="R3193" t="str">
        <f>"FARMÁCIA INDIANA LJ 11 (10008)"</f>
        <v>FARMÁCIA INDIANA LJ 11 (10008)</v>
      </c>
      <c r="S3193" t="s">
        <v>103</v>
      </c>
      <c r="T3193">
        <v>31415</v>
      </c>
      <c r="U3193">
        <v>34532</v>
      </c>
      <c r="V3193" t="s">
        <v>37</v>
      </c>
    </row>
    <row r="3194" spans="1:22">
      <c r="A3194" t="str">
        <f t="shared" si="582"/>
        <v>18/03/2026</v>
      </c>
      <c r="B3194" t="str">
        <f t="shared" si="588"/>
        <v>ENTRADA</v>
      </c>
      <c r="C3194" t="str">
        <f t="shared" si="579"/>
        <v>NFSE</v>
      </c>
      <c r="D3194" t="str">
        <f t="shared" si="586"/>
        <v>507</v>
      </c>
      <c r="E3194" t="str">
        <f t="shared" si="580"/>
        <v>1</v>
      </c>
      <c r="F3194" t="str">
        <f t="shared" si="574"/>
        <v>COM</v>
      </c>
      <c r="G3194" t="str">
        <f t="shared" si="587"/>
        <v>FARMÁCIA INDIANA LJ 1 (10126)</v>
      </c>
      <c r="H3194" t="s">
        <v>957</v>
      </c>
      <c r="I3194" t="str">
        <f t="shared" si="581"/>
        <v>18/03/2026</v>
      </c>
      <c r="J3194" t="str">
        <f t="shared" si="585"/>
        <v>10/03/2026</v>
      </c>
      <c r="K3194">
        <v>46099</v>
      </c>
      <c r="N3194">
        <v>303</v>
      </c>
      <c r="O3194" t="s">
        <v>102</v>
      </c>
      <c r="Q3194">
        <v>2178.31</v>
      </c>
      <c r="R3194" t="str">
        <f>"FARMÁCIA INDIANA LJ 14 (10009)"</f>
        <v>FARMÁCIA INDIANA LJ 14 (10009)</v>
      </c>
      <c r="S3194" t="s">
        <v>103</v>
      </c>
      <c r="T3194">
        <v>31415</v>
      </c>
      <c r="U3194">
        <v>34532</v>
      </c>
      <c r="V3194" t="s">
        <v>37</v>
      </c>
    </row>
    <row r="3195" spans="1:22">
      <c r="A3195" t="str">
        <f t="shared" si="582"/>
        <v>18/03/2026</v>
      </c>
      <c r="B3195" t="str">
        <f t="shared" si="588"/>
        <v>ENTRADA</v>
      </c>
      <c r="C3195" t="str">
        <f t="shared" ref="C3195:C3226" si="589">"NFSE"</f>
        <v>NFSE</v>
      </c>
      <c r="D3195" t="str">
        <f t="shared" si="586"/>
        <v>507</v>
      </c>
      <c r="E3195" t="str">
        <f t="shared" ref="E3195:E3226" si="590">"1"</f>
        <v>1</v>
      </c>
      <c r="F3195" t="str">
        <f t="shared" si="574"/>
        <v>COM</v>
      </c>
      <c r="G3195" t="str">
        <f t="shared" si="587"/>
        <v>FARMÁCIA INDIANA LJ 1 (10126)</v>
      </c>
      <c r="H3195" t="s">
        <v>957</v>
      </c>
      <c r="I3195" t="str">
        <f t="shared" ref="I3195:I3226" si="591">("18/03/2026")</f>
        <v>18/03/2026</v>
      </c>
      <c r="J3195" t="str">
        <f t="shared" si="585"/>
        <v>10/03/2026</v>
      </c>
      <c r="K3195">
        <v>46099</v>
      </c>
      <c r="N3195">
        <v>303</v>
      </c>
      <c r="O3195" t="s">
        <v>102</v>
      </c>
      <c r="Q3195">
        <v>2496.2199999999998</v>
      </c>
      <c r="R3195" t="str">
        <f>"FARMÁCIA INDIANA LJ 18 (10011)"</f>
        <v>FARMÁCIA INDIANA LJ 18 (10011)</v>
      </c>
      <c r="S3195" t="s">
        <v>103</v>
      </c>
      <c r="T3195">
        <v>31415</v>
      </c>
      <c r="U3195">
        <v>34532</v>
      </c>
      <c r="V3195" t="s">
        <v>37</v>
      </c>
    </row>
    <row r="3196" spans="1:22">
      <c r="A3196" t="str">
        <f t="shared" si="582"/>
        <v>18/03/2026</v>
      </c>
      <c r="B3196" t="str">
        <f t="shared" si="588"/>
        <v>ENTRADA</v>
      </c>
      <c r="C3196" t="str">
        <f t="shared" si="589"/>
        <v>NFSE</v>
      </c>
      <c r="D3196" t="str">
        <f t="shared" si="586"/>
        <v>507</v>
      </c>
      <c r="E3196" t="str">
        <f t="shared" si="590"/>
        <v>1</v>
      </c>
      <c r="F3196" t="str">
        <f t="shared" si="574"/>
        <v>COM</v>
      </c>
      <c r="G3196" t="str">
        <f t="shared" si="587"/>
        <v>FARMÁCIA INDIANA LJ 1 (10126)</v>
      </c>
      <c r="H3196" t="s">
        <v>957</v>
      </c>
      <c r="I3196" t="str">
        <f t="shared" si="591"/>
        <v>18/03/2026</v>
      </c>
      <c r="J3196" t="str">
        <f t="shared" si="585"/>
        <v>10/03/2026</v>
      </c>
      <c r="K3196">
        <v>46099</v>
      </c>
      <c r="N3196">
        <v>303</v>
      </c>
      <c r="O3196" t="s">
        <v>102</v>
      </c>
      <c r="Q3196">
        <v>3120.28</v>
      </c>
      <c r="R3196" t="str">
        <f>"FARMÁCIA INDIANA LJ 19 (10012)"</f>
        <v>FARMÁCIA INDIANA LJ 19 (10012)</v>
      </c>
      <c r="S3196" t="s">
        <v>103</v>
      </c>
      <c r="T3196">
        <v>31415</v>
      </c>
      <c r="U3196">
        <v>34532</v>
      </c>
      <c r="V3196" t="s">
        <v>37</v>
      </c>
    </row>
    <row r="3197" spans="1:22">
      <c r="A3197" t="str">
        <f t="shared" si="582"/>
        <v>18/03/2026</v>
      </c>
      <c r="B3197" t="str">
        <f t="shared" si="588"/>
        <v>ENTRADA</v>
      </c>
      <c r="C3197" t="str">
        <f t="shared" si="589"/>
        <v>NFSE</v>
      </c>
      <c r="D3197" t="str">
        <f t="shared" si="586"/>
        <v>507</v>
      </c>
      <c r="E3197" t="str">
        <f t="shared" si="590"/>
        <v>1</v>
      </c>
      <c r="F3197" t="str">
        <f t="shared" si="574"/>
        <v>COM</v>
      </c>
      <c r="G3197" t="str">
        <f t="shared" si="587"/>
        <v>FARMÁCIA INDIANA LJ 1 (10126)</v>
      </c>
      <c r="H3197" t="s">
        <v>957</v>
      </c>
      <c r="I3197" t="str">
        <f t="shared" si="591"/>
        <v>18/03/2026</v>
      </c>
      <c r="J3197" t="str">
        <f t="shared" si="585"/>
        <v>10/03/2026</v>
      </c>
      <c r="K3197">
        <v>46099</v>
      </c>
      <c r="N3197">
        <v>303</v>
      </c>
      <c r="O3197" t="s">
        <v>102</v>
      </c>
      <c r="Q3197">
        <v>5404.55</v>
      </c>
      <c r="R3197" t="str">
        <f>"FARMÁCIA INDIANA LJ 40 (10016)"</f>
        <v>FARMÁCIA INDIANA LJ 40 (10016)</v>
      </c>
      <c r="S3197" t="s">
        <v>103</v>
      </c>
      <c r="T3197">
        <v>31415</v>
      </c>
      <c r="U3197">
        <v>34532</v>
      </c>
      <c r="V3197" t="s">
        <v>37</v>
      </c>
    </row>
    <row r="3198" spans="1:22">
      <c r="A3198" t="str">
        <f t="shared" si="582"/>
        <v>18/03/2026</v>
      </c>
      <c r="B3198" t="str">
        <f t="shared" si="588"/>
        <v>ENTRADA</v>
      </c>
      <c r="C3198" t="str">
        <f t="shared" si="589"/>
        <v>NFSE</v>
      </c>
      <c r="D3198" t="str">
        <f t="shared" si="586"/>
        <v>507</v>
      </c>
      <c r="E3198" t="str">
        <f t="shared" si="590"/>
        <v>1</v>
      </c>
      <c r="F3198" t="str">
        <f t="shared" si="574"/>
        <v>COM</v>
      </c>
      <c r="G3198" t="str">
        <f t="shared" si="587"/>
        <v>FARMÁCIA INDIANA LJ 1 (10126)</v>
      </c>
      <c r="H3198" t="s">
        <v>957</v>
      </c>
      <c r="I3198" t="str">
        <f t="shared" si="591"/>
        <v>18/03/2026</v>
      </c>
      <c r="J3198" t="str">
        <f t="shared" si="585"/>
        <v>10/03/2026</v>
      </c>
      <c r="K3198">
        <v>46099</v>
      </c>
      <c r="N3198">
        <v>303</v>
      </c>
      <c r="O3198" t="s">
        <v>102</v>
      </c>
      <c r="Q3198">
        <v>2555.09</v>
      </c>
      <c r="R3198" t="str">
        <f>"FARMÁCIA INDIANA LJ 59 (10026)"</f>
        <v>FARMÁCIA INDIANA LJ 59 (10026)</v>
      </c>
      <c r="S3198" t="s">
        <v>103</v>
      </c>
      <c r="T3198">
        <v>31415</v>
      </c>
      <c r="U3198">
        <v>34532</v>
      </c>
      <c r="V3198" t="s">
        <v>37</v>
      </c>
    </row>
    <row r="3199" spans="1:22">
      <c r="A3199" t="str">
        <f t="shared" si="582"/>
        <v>18/03/2026</v>
      </c>
      <c r="B3199" t="str">
        <f t="shared" si="588"/>
        <v>ENTRADA</v>
      </c>
      <c r="C3199" t="str">
        <f t="shared" si="589"/>
        <v>NFSE</v>
      </c>
      <c r="D3199" t="str">
        <f t="shared" si="586"/>
        <v>507</v>
      </c>
      <c r="E3199" t="str">
        <f t="shared" si="590"/>
        <v>1</v>
      </c>
      <c r="F3199" t="str">
        <f t="shared" si="574"/>
        <v>COM</v>
      </c>
      <c r="G3199" t="str">
        <f t="shared" si="587"/>
        <v>FARMÁCIA INDIANA LJ 1 (10126)</v>
      </c>
      <c r="H3199" t="s">
        <v>957</v>
      </c>
      <c r="I3199" t="str">
        <f t="shared" si="591"/>
        <v>18/03/2026</v>
      </c>
      <c r="J3199" t="str">
        <f t="shared" si="585"/>
        <v>10/03/2026</v>
      </c>
      <c r="K3199">
        <v>46099</v>
      </c>
      <c r="N3199">
        <v>303</v>
      </c>
      <c r="O3199" t="s">
        <v>102</v>
      </c>
      <c r="Q3199">
        <v>4533.2299999999996</v>
      </c>
      <c r="R3199" t="str">
        <f>"FARMÁCIA INDIANA LJ 61 (10027)"</f>
        <v>FARMÁCIA INDIANA LJ 61 (10027)</v>
      </c>
      <c r="S3199" t="s">
        <v>103</v>
      </c>
      <c r="T3199">
        <v>31415</v>
      </c>
      <c r="U3199">
        <v>34532</v>
      </c>
      <c r="V3199" t="s">
        <v>37</v>
      </c>
    </row>
    <row r="3200" spans="1:22">
      <c r="A3200" t="str">
        <f t="shared" si="582"/>
        <v>18/03/2026</v>
      </c>
      <c r="B3200" t="str">
        <f t="shared" si="588"/>
        <v>ENTRADA</v>
      </c>
      <c r="C3200" t="str">
        <f t="shared" si="589"/>
        <v>NFSE</v>
      </c>
      <c r="D3200" t="str">
        <f t="shared" si="586"/>
        <v>507</v>
      </c>
      <c r="E3200" t="str">
        <f t="shared" si="590"/>
        <v>1</v>
      </c>
      <c r="F3200" t="str">
        <f t="shared" si="574"/>
        <v>COM</v>
      </c>
      <c r="G3200" t="str">
        <f t="shared" si="587"/>
        <v>FARMÁCIA INDIANA LJ 1 (10126)</v>
      </c>
      <c r="H3200" t="s">
        <v>957</v>
      </c>
      <c r="I3200" t="str">
        <f t="shared" si="591"/>
        <v>18/03/2026</v>
      </c>
      <c r="J3200" t="str">
        <f t="shared" si="585"/>
        <v>10/03/2026</v>
      </c>
      <c r="K3200">
        <v>46099</v>
      </c>
      <c r="N3200">
        <v>303</v>
      </c>
      <c r="O3200" t="s">
        <v>102</v>
      </c>
      <c r="Q3200">
        <v>1954.59</v>
      </c>
      <c r="R3200" t="str">
        <f>"FARMÁCIA INDIANA LJ 62 (10028)"</f>
        <v>FARMÁCIA INDIANA LJ 62 (10028)</v>
      </c>
      <c r="S3200" t="s">
        <v>103</v>
      </c>
      <c r="T3200">
        <v>31415</v>
      </c>
      <c r="U3200">
        <v>34532</v>
      </c>
      <c r="V3200" t="s">
        <v>37</v>
      </c>
    </row>
    <row r="3201" spans="1:22">
      <c r="A3201" t="str">
        <f t="shared" si="582"/>
        <v>18/03/2026</v>
      </c>
      <c r="B3201" t="str">
        <f t="shared" si="588"/>
        <v>ENTRADA</v>
      </c>
      <c r="C3201" t="str">
        <f t="shared" si="589"/>
        <v>NFSE</v>
      </c>
      <c r="D3201" t="str">
        <f t="shared" si="586"/>
        <v>507</v>
      </c>
      <c r="E3201" t="str">
        <f t="shared" si="590"/>
        <v>1</v>
      </c>
      <c r="F3201" t="str">
        <f t="shared" si="574"/>
        <v>COM</v>
      </c>
      <c r="G3201" t="str">
        <f t="shared" si="587"/>
        <v>FARMÁCIA INDIANA LJ 1 (10126)</v>
      </c>
      <c r="H3201" t="s">
        <v>957</v>
      </c>
      <c r="I3201" t="str">
        <f t="shared" si="591"/>
        <v>18/03/2026</v>
      </c>
      <c r="J3201" t="str">
        <f t="shared" si="585"/>
        <v>10/03/2026</v>
      </c>
      <c r="K3201">
        <v>46099</v>
      </c>
      <c r="N3201">
        <v>303</v>
      </c>
      <c r="O3201" t="s">
        <v>102</v>
      </c>
      <c r="Q3201">
        <v>777.13</v>
      </c>
      <c r="R3201" t="str">
        <f>"FARMÁCIA INDIANA LJ 64 (10029)"</f>
        <v>FARMÁCIA INDIANA LJ 64 (10029)</v>
      </c>
      <c r="S3201" t="s">
        <v>103</v>
      </c>
      <c r="T3201">
        <v>31415</v>
      </c>
      <c r="U3201">
        <v>34532</v>
      </c>
      <c r="V3201" t="s">
        <v>37</v>
      </c>
    </row>
    <row r="3202" spans="1:22">
      <c r="A3202" t="str">
        <f t="shared" si="582"/>
        <v>18/03/2026</v>
      </c>
      <c r="B3202" t="str">
        <f t="shared" si="588"/>
        <v>ENTRADA</v>
      </c>
      <c r="C3202" t="str">
        <f t="shared" si="589"/>
        <v>NFSE</v>
      </c>
      <c r="D3202" t="str">
        <f t="shared" si="586"/>
        <v>507</v>
      </c>
      <c r="E3202" t="str">
        <f t="shared" si="590"/>
        <v>1</v>
      </c>
      <c r="F3202" t="str">
        <f t="shared" ref="F3202:F3265" si="592">"COM"</f>
        <v>COM</v>
      </c>
      <c r="G3202" t="str">
        <f t="shared" si="587"/>
        <v>FARMÁCIA INDIANA LJ 1 (10126)</v>
      </c>
      <c r="H3202" t="s">
        <v>957</v>
      </c>
      <c r="I3202" t="str">
        <f t="shared" si="591"/>
        <v>18/03/2026</v>
      </c>
      <c r="J3202" t="str">
        <f t="shared" si="585"/>
        <v>10/03/2026</v>
      </c>
      <c r="K3202">
        <v>46099</v>
      </c>
      <c r="N3202">
        <v>303</v>
      </c>
      <c r="O3202" t="s">
        <v>102</v>
      </c>
      <c r="Q3202">
        <v>600.51</v>
      </c>
      <c r="R3202" t="str">
        <f>"FARMÁCIA INDIANA LJ 97 (10040)"</f>
        <v>FARMÁCIA INDIANA LJ 97 (10040)</v>
      </c>
      <c r="S3202" t="s">
        <v>103</v>
      </c>
      <c r="T3202">
        <v>31415</v>
      </c>
      <c r="U3202">
        <v>34532</v>
      </c>
      <c r="V3202" t="s">
        <v>37</v>
      </c>
    </row>
    <row r="3203" spans="1:22">
      <c r="A3203" t="str">
        <f t="shared" si="582"/>
        <v>18/03/2026</v>
      </c>
      <c r="B3203" t="str">
        <f t="shared" si="588"/>
        <v>ENTRADA</v>
      </c>
      <c r="C3203" t="str">
        <f t="shared" si="589"/>
        <v>NFSE</v>
      </c>
      <c r="D3203" t="str">
        <f t="shared" si="586"/>
        <v>507</v>
      </c>
      <c r="E3203" t="str">
        <f t="shared" si="590"/>
        <v>1</v>
      </c>
      <c r="F3203" t="str">
        <f t="shared" si="592"/>
        <v>COM</v>
      </c>
      <c r="G3203" t="str">
        <f t="shared" si="587"/>
        <v>FARMÁCIA INDIANA LJ 1 (10126)</v>
      </c>
      <c r="H3203" t="s">
        <v>957</v>
      </c>
      <c r="I3203" t="str">
        <f t="shared" si="591"/>
        <v>18/03/2026</v>
      </c>
      <c r="J3203" t="str">
        <f t="shared" si="585"/>
        <v>10/03/2026</v>
      </c>
      <c r="K3203">
        <v>46099</v>
      </c>
      <c r="N3203">
        <v>303</v>
      </c>
      <c r="O3203" t="s">
        <v>102</v>
      </c>
      <c r="Q3203">
        <v>1801.52</v>
      </c>
      <c r="R3203" t="str">
        <f>"FARMÁCIA INDIANA LJ 100 (10042)"</f>
        <v>FARMÁCIA INDIANA LJ 100 (10042)</v>
      </c>
      <c r="S3203" t="s">
        <v>103</v>
      </c>
      <c r="T3203">
        <v>31415</v>
      </c>
      <c r="U3203">
        <v>34532</v>
      </c>
      <c r="V3203" t="s">
        <v>37</v>
      </c>
    </row>
    <row r="3204" spans="1:22">
      <c r="A3204" t="str">
        <f t="shared" si="582"/>
        <v>18/03/2026</v>
      </c>
      <c r="B3204" t="str">
        <f t="shared" si="588"/>
        <v>ENTRADA</v>
      </c>
      <c r="C3204" t="str">
        <f t="shared" si="589"/>
        <v>NFSE</v>
      </c>
      <c r="D3204" t="str">
        <f t="shared" si="586"/>
        <v>507</v>
      </c>
      <c r="E3204" t="str">
        <f t="shared" si="590"/>
        <v>1</v>
      </c>
      <c r="F3204" t="str">
        <f t="shared" si="592"/>
        <v>COM</v>
      </c>
      <c r="G3204" t="str">
        <f t="shared" si="587"/>
        <v>FARMÁCIA INDIANA LJ 1 (10126)</v>
      </c>
      <c r="H3204" t="s">
        <v>957</v>
      </c>
      <c r="I3204" t="str">
        <f t="shared" si="591"/>
        <v>18/03/2026</v>
      </c>
      <c r="J3204" t="str">
        <f t="shared" ref="J3204:J3239" si="593">("10/03/2026")</f>
        <v>10/03/2026</v>
      </c>
      <c r="K3204">
        <v>46099</v>
      </c>
      <c r="N3204">
        <v>303</v>
      </c>
      <c r="O3204" t="s">
        <v>102</v>
      </c>
      <c r="Q3204">
        <v>6935.25</v>
      </c>
      <c r="R3204" t="str">
        <f>"FARMÁCIA INDIANA LJ 101 (10043)"</f>
        <v>FARMÁCIA INDIANA LJ 101 (10043)</v>
      </c>
      <c r="S3204" t="s">
        <v>103</v>
      </c>
      <c r="T3204">
        <v>31415</v>
      </c>
      <c r="U3204">
        <v>34532</v>
      </c>
      <c r="V3204" t="s">
        <v>37</v>
      </c>
    </row>
    <row r="3205" spans="1:22">
      <c r="A3205" t="str">
        <f t="shared" si="582"/>
        <v>18/03/2026</v>
      </c>
      <c r="B3205" t="str">
        <f t="shared" si="588"/>
        <v>ENTRADA</v>
      </c>
      <c r="C3205" t="str">
        <f t="shared" si="589"/>
        <v>NFSE</v>
      </c>
      <c r="D3205" t="str">
        <f t="shared" si="586"/>
        <v>507</v>
      </c>
      <c r="E3205" t="str">
        <f t="shared" si="590"/>
        <v>1</v>
      </c>
      <c r="F3205" t="str">
        <f t="shared" si="592"/>
        <v>COM</v>
      </c>
      <c r="G3205" t="str">
        <f t="shared" si="587"/>
        <v>FARMÁCIA INDIANA LJ 1 (10126)</v>
      </c>
      <c r="H3205" t="s">
        <v>957</v>
      </c>
      <c r="I3205" t="str">
        <f t="shared" si="591"/>
        <v>18/03/2026</v>
      </c>
      <c r="J3205" t="str">
        <f t="shared" si="593"/>
        <v>10/03/2026</v>
      </c>
      <c r="K3205">
        <v>46099</v>
      </c>
      <c r="N3205">
        <v>303</v>
      </c>
      <c r="O3205" t="s">
        <v>102</v>
      </c>
      <c r="Q3205">
        <v>400.34</v>
      </c>
      <c r="R3205" t="str">
        <f>"FARMÁCIA INDIANA LJ 103 (10044)"</f>
        <v>FARMÁCIA INDIANA LJ 103 (10044)</v>
      </c>
      <c r="S3205" t="s">
        <v>103</v>
      </c>
      <c r="T3205">
        <v>31415</v>
      </c>
      <c r="U3205">
        <v>34532</v>
      </c>
      <c r="V3205" t="s">
        <v>37</v>
      </c>
    </row>
    <row r="3206" spans="1:22">
      <c r="A3206" t="str">
        <f t="shared" si="582"/>
        <v>18/03/2026</v>
      </c>
      <c r="B3206" t="str">
        <f t="shared" si="588"/>
        <v>ENTRADA</v>
      </c>
      <c r="C3206" t="str">
        <f t="shared" si="589"/>
        <v>NFSE</v>
      </c>
      <c r="D3206" t="str">
        <f t="shared" si="586"/>
        <v>507</v>
      </c>
      <c r="E3206" t="str">
        <f t="shared" si="590"/>
        <v>1</v>
      </c>
      <c r="F3206" t="str">
        <f t="shared" si="592"/>
        <v>COM</v>
      </c>
      <c r="G3206" t="str">
        <f t="shared" si="587"/>
        <v>FARMÁCIA INDIANA LJ 1 (10126)</v>
      </c>
      <c r="H3206" t="s">
        <v>957</v>
      </c>
      <c r="I3206" t="str">
        <f t="shared" si="591"/>
        <v>18/03/2026</v>
      </c>
      <c r="J3206" t="str">
        <f t="shared" si="593"/>
        <v>10/03/2026</v>
      </c>
      <c r="K3206">
        <v>46099</v>
      </c>
      <c r="N3206">
        <v>303</v>
      </c>
      <c r="O3206" t="s">
        <v>102</v>
      </c>
      <c r="Q3206">
        <v>1954.59</v>
      </c>
      <c r="R3206" t="str">
        <f>"FARMÁCIA INDIANA LJ 109 (10047)"</f>
        <v>FARMÁCIA INDIANA LJ 109 (10047)</v>
      </c>
      <c r="S3206" t="s">
        <v>103</v>
      </c>
      <c r="T3206">
        <v>31415</v>
      </c>
      <c r="U3206">
        <v>34532</v>
      </c>
      <c r="V3206" t="s">
        <v>37</v>
      </c>
    </row>
    <row r="3207" spans="1:22">
      <c r="A3207" t="str">
        <f t="shared" si="582"/>
        <v>18/03/2026</v>
      </c>
      <c r="B3207" t="str">
        <f t="shared" si="588"/>
        <v>ENTRADA</v>
      </c>
      <c r="C3207" t="str">
        <f t="shared" si="589"/>
        <v>NFSE</v>
      </c>
      <c r="D3207" t="str">
        <f t="shared" si="586"/>
        <v>507</v>
      </c>
      <c r="E3207" t="str">
        <f t="shared" si="590"/>
        <v>1</v>
      </c>
      <c r="F3207" t="str">
        <f t="shared" si="592"/>
        <v>COM</v>
      </c>
      <c r="G3207" t="str">
        <f t="shared" si="587"/>
        <v>FARMÁCIA INDIANA LJ 1 (10126)</v>
      </c>
      <c r="H3207" t="s">
        <v>957</v>
      </c>
      <c r="I3207" t="str">
        <f t="shared" si="591"/>
        <v>18/03/2026</v>
      </c>
      <c r="J3207" t="str">
        <f t="shared" si="593"/>
        <v>10/03/2026</v>
      </c>
      <c r="K3207">
        <v>46099</v>
      </c>
      <c r="N3207">
        <v>303</v>
      </c>
      <c r="O3207" t="s">
        <v>102</v>
      </c>
      <c r="Q3207">
        <v>3285.12</v>
      </c>
      <c r="R3207" t="str">
        <f>"FARMÁCIA INDIANA LJ 110 (10048)"</f>
        <v>FARMÁCIA INDIANA LJ 110 (10048)</v>
      </c>
      <c r="S3207" t="s">
        <v>103</v>
      </c>
      <c r="T3207">
        <v>31415</v>
      </c>
      <c r="U3207">
        <v>34532</v>
      </c>
      <c r="V3207" t="s">
        <v>37</v>
      </c>
    </row>
    <row r="3208" spans="1:22">
      <c r="A3208" t="str">
        <f t="shared" si="582"/>
        <v>18/03/2026</v>
      </c>
      <c r="B3208" t="str">
        <f t="shared" si="588"/>
        <v>ENTRADA</v>
      </c>
      <c r="C3208" t="str">
        <f t="shared" si="589"/>
        <v>NFSE</v>
      </c>
      <c r="D3208" t="str">
        <f t="shared" si="586"/>
        <v>507</v>
      </c>
      <c r="E3208" t="str">
        <f t="shared" si="590"/>
        <v>1</v>
      </c>
      <c r="F3208" t="str">
        <f t="shared" si="592"/>
        <v>COM</v>
      </c>
      <c r="G3208" t="str">
        <f t="shared" si="587"/>
        <v>FARMÁCIA INDIANA LJ 1 (10126)</v>
      </c>
      <c r="H3208" t="s">
        <v>957</v>
      </c>
      <c r="I3208" t="str">
        <f t="shared" si="591"/>
        <v>18/03/2026</v>
      </c>
      <c r="J3208" t="str">
        <f t="shared" si="593"/>
        <v>10/03/2026</v>
      </c>
      <c r="K3208">
        <v>46099</v>
      </c>
      <c r="N3208">
        <v>303</v>
      </c>
      <c r="O3208" t="s">
        <v>102</v>
      </c>
      <c r="Q3208">
        <v>588.73</v>
      </c>
      <c r="R3208" t="str">
        <f>"FARMÁCIA INDIANA LJ 111 (10049)"</f>
        <v>FARMÁCIA INDIANA LJ 111 (10049)</v>
      </c>
      <c r="S3208" t="s">
        <v>103</v>
      </c>
      <c r="T3208">
        <v>31415</v>
      </c>
      <c r="U3208">
        <v>34532</v>
      </c>
      <c r="V3208" t="s">
        <v>37</v>
      </c>
    </row>
    <row r="3209" spans="1:22">
      <c r="A3209" t="str">
        <f t="shared" si="582"/>
        <v>18/03/2026</v>
      </c>
      <c r="B3209" t="str">
        <f t="shared" si="588"/>
        <v>ENTRADA</v>
      </c>
      <c r="C3209" t="str">
        <f t="shared" si="589"/>
        <v>NFSE</v>
      </c>
      <c r="D3209" t="str">
        <f t="shared" si="586"/>
        <v>507</v>
      </c>
      <c r="E3209" t="str">
        <f t="shared" si="590"/>
        <v>1</v>
      </c>
      <c r="F3209" t="str">
        <f t="shared" si="592"/>
        <v>COM</v>
      </c>
      <c r="G3209" t="str">
        <f t="shared" si="587"/>
        <v>FARMÁCIA INDIANA LJ 1 (10126)</v>
      </c>
      <c r="H3209" t="s">
        <v>957</v>
      </c>
      <c r="I3209" t="str">
        <f t="shared" si="591"/>
        <v>18/03/2026</v>
      </c>
      <c r="J3209" t="str">
        <f t="shared" si="593"/>
        <v>10/03/2026</v>
      </c>
      <c r="K3209">
        <v>46099</v>
      </c>
      <c r="N3209">
        <v>303</v>
      </c>
      <c r="O3209" t="s">
        <v>102</v>
      </c>
      <c r="Q3209">
        <v>894.87</v>
      </c>
      <c r="R3209" t="str">
        <f>"FARMÁCIA INDIANA LJ 112 (10050)"</f>
        <v>FARMÁCIA INDIANA LJ 112 (10050)</v>
      </c>
      <c r="S3209" t="s">
        <v>103</v>
      </c>
      <c r="T3209">
        <v>31415</v>
      </c>
      <c r="U3209">
        <v>34532</v>
      </c>
      <c r="V3209" t="s">
        <v>37</v>
      </c>
    </row>
    <row r="3210" spans="1:22">
      <c r="A3210" t="str">
        <f t="shared" si="582"/>
        <v>18/03/2026</v>
      </c>
      <c r="B3210" t="str">
        <f t="shared" si="588"/>
        <v>ENTRADA</v>
      </c>
      <c r="C3210" t="str">
        <f t="shared" si="589"/>
        <v>NFSE</v>
      </c>
      <c r="D3210" t="str">
        <f t="shared" si="586"/>
        <v>507</v>
      </c>
      <c r="E3210" t="str">
        <f t="shared" si="590"/>
        <v>1</v>
      </c>
      <c r="F3210" t="str">
        <f t="shared" si="592"/>
        <v>COM</v>
      </c>
      <c r="G3210" t="str">
        <f t="shared" si="587"/>
        <v>FARMÁCIA INDIANA LJ 1 (10126)</v>
      </c>
      <c r="H3210" t="s">
        <v>957</v>
      </c>
      <c r="I3210" t="str">
        <f t="shared" si="591"/>
        <v>18/03/2026</v>
      </c>
      <c r="J3210" t="str">
        <f t="shared" si="593"/>
        <v>10/03/2026</v>
      </c>
      <c r="K3210">
        <v>46099</v>
      </c>
      <c r="N3210">
        <v>303</v>
      </c>
      <c r="O3210" t="s">
        <v>102</v>
      </c>
      <c r="Q3210">
        <v>1448.28</v>
      </c>
      <c r="R3210" t="str">
        <f>"FARMÁCIA INDIANA LJ 116 (10051)"</f>
        <v>FARMÁCIA INDIANA LJ 116 (10051)</v>
      </c>
      <c r="S3210" t="s">
        <v>103</v>
      </c>
      <c r="T3210">
        <v>31415</v>
      </c>
      <c r="U3210">
        <v>34532</v>
      </c>
      <c r="V3210" t="s">
        <v>37</v>
      </c>
    </row>
    <row r="3211" spans="1:22">
      <c r="A3211" t="str">
        <f t="shared" si="582"/>
        <v>18/03/2026</v>
      </c>
      <c r="B3211" t="str">
        <f t="shared" si="588"/>
        <v>ENTRADA</v>
      </c>
      <c r="C3211" t="str">
        <f t="shared" si="589"/>
        <v>NFSE</v>
      </c>
      <c r="D3211" t="str">
        <f t="shared" si="586"/>
        <v>507</v>
      </c>
      <c r="E3211" t="str">
        <f t="shared" si="590"/>
        <v>1</v>
      </c>
      <c r="F3211" t="str">
        <f t="shared" si="592"/>
        <v>COM</v>
      </c>
      <c r="G3211" t="str">
        <f t="shared" si="587"/>
        <v>FARMÁCIA INDIANA LJ 1 (10126)</v>
      </c>
      <c r="H3211" t="s">
        <v>957</v>
      </c>
      <c r="I3211" t="str">
        <f t="shared" si="591"/>
        <v>18/03/2026</v>
      </c>
      <c r="J3211" t="str">
        <f t="shared" si="593"/>
        <v>10/03/2026</v>
      </c>
      <c r="K3211">
        <v>46099</v>
      </c>
      <c r="N3211">
        <v>303</v>
      </c>
      <c r="O3211" t="s">
        <v>102</v>
      </c>
      <c r="Q3211">
        <v>1106.81</v>
      </c>
      <c r="R3211" t="str">
        <f>"FARMÁCIA INDIANA LJ 118 (10052)"</f>
        <v>FARMÁCIA INDIANA LJ 118 (10052)</v>
      </c>
      <c r="S3211" t="s">
        <v>103</v>
      </c>
      <c r="T3211">
        <v>31415</v>
      </c>
      <c r="U3211">
        <v>34532</v>
      </c>
      <c r="V3211" t="s">
        <v>37</v>
      </c>
    </row>
    <row r="3212" spans="1:22">
      <c r="A3212" t="str">
        <f t="shared" si="582"/>
        <v>18/03/2026</v>
      </c>
      <c r="B3212" t="str">
        <f t="shared" si="588"/>
        <v>ENTRADA</v>
      </c>
      <c r="C3212" t="str">
        <f t="shared" si="589"/>
        <v>NFSE</v>
      </c>
      <c r="D3212" t="str">
        <f t="shared" si="586"/>
        <v>507</v>
      </c>
      <c r="E3212" t="str">
        <f t="shared" si="590"/>
        <v>1</v>
      </c>
      <c r="F3212" t="str">
        <f t="shared" si="592"/>
        <v>COM</v>
      </c>
      <c r="G3212" t="str">
        <f t="shared" si="587"/>
        <v>FARMÁCIA INDIANA LJ 1 (10126)</v>
      </c>
      <c r="H3212" t="s">
        <v>957</v>
      </c>
      <c r="I3212" t="str">
        <f t="shared" si="591"/>
        <v>18/03/2026</v>
      </c>
      <c r="J3212" t="str">
        <f t="shared" si="593"/>
        <v>10/03/2026</v>
      </c>
      <c r="K3212">
        <v>46099</v>
      </c>
      <c r="N3212">
        <v>303</v>
      </c>
      <c r="O3212" t="s">
        <v>102</v>
      </c>
      <c r="Q3212">
        <v>894.87</v>
      </c>
      <c r="R3212" t="str">
        <f>"FARMÁCIA INDIANA LJ 121 (10054)"</f>
        <v>FARMÁCIA INDIANA LJ 121 (10054)</v>
      </c>
      <c r="S3212" t="s">
        <v>103</v>
      </c>
      <c r="T3212">
        <v>31415</v>
      </c>
      <c r="U3212">
        <v>34532</v>
      </c>
      <c r="V3212" t="s">
        <v>37</v>
      </c>
    </row>
    <row r="3213" spans="1:22">
      <c r="A3213" t="str">
        <f t="shared" si="582"/>
        <v>18/03/2026</v>
      </c>
      <c r="B3213" t="str">
        <f t="shared" si="588"/>
        <v>ENTRADA</v>
      </c>
      <c r="C3213" t="str">
        <f t="shared" si="589"/>
        <v>NFSE</v>
      </c>
      <c r="D3213" t="str">
        <f t="shared" si="586"/>
        <v>507</v>
      </c>
      <c r="E3213" t="str">
        <f t="shared" si="590"/>
        <v>1</v>
      </c>
      <c r="F3213" t="str">
        <f t="shared" si="592"/>
        <v>COM</v>
      </c>
      <c r="G3213" t="str">
        <f t="shared" si="587"/>
        <v>FARMÁCIA INDIANA LJ 1 (10126)</v>
      </c>
      <c r="H3213" t="s">
        <v>957</v>
      </c>
      <c r="I3213" t="str">
        <f t="shared" si="591"/>
        <v>18/03/2026</v>
      </c>
      <c r="J3213" t="str">
        <f t="shared" si="593"/>
        <v>10/03/2026</v>
      </c>
      <c r="K3213">
        <v>46099</v>
      </c>
      <c r="N3213">
        <v>303</v>
      </c>
      <c r="O3213" t="s">
        <v>102</v>
      </c>
      <c r="Q3213">
        <v>894.87</v>
      </c>
      <c r="R3213" t="str">
        <f>"FARMÁCIA INDIANA LJ 128 (10057)"</f>
        <v>FARMÁCIA INDIANA LJ 128 (10057)</v>
      </c>
      <c r="S3213" t="s">
        <v>103</v>
      </c>
      <c r="T3213">
        <v>31415</v>
      </c>
      <c r="U3213">
        <v>34532</v>
      </c>
      <c r="V3213" t="s">
        <v>37</v>
      </c>
    </row>
    <row r="3214" spans="1:22">
      <c r="A3214" t="str">
        <f t="shared" si="582"/>
        <v>18/03/2026</v>
      </c>
      <c r="B3214" t="str">
        <f t="shared" si="588"/>
        <v>ENTRADA</v>
      </c>
      <c r="C3214" t="str">
        <f t="shared" si="589"/>
        <v>NFSE</v>
      </c>
      <c r="D3214" t="str">
        <f t="shared" si="586"/>
        <v>507</v>
      </c>
      <c r="E3214" t="str">
        <f t="shared" si="590"/>
        <v>1</v>
      </c>
      <c r="F3214" t="str">
        <f t="shared" si="592"/>
        <v>COM</v>
      </c>
      <c r="G3214" t="str">
        <f t="shared" si="587"/>
        <v>FARMÁCIA INDIANA LJ 1 (10126)</v>
      </c>
      <c r="H3214" t="s">
        <v>957</v>
      </c>
      <c r="I3214" t="str">
        <f t="shared" si="591"/>
        <v>18/03/2026</v>
      </c>
      <c r="J3214" t="str">
        <f t="shared" si="593"/>
        <v>10/03/2026</v>
      </c>
      <c r="K3214">
        <v>46099</v>
      </c>
      <c r="N3214">
        <v>303</v>
      </c>
      <c r="O3214" t="s">
        <v>102</v>
      </c>
      <c r="Q3214">
        <v>164.84</v>
      </c>
      <c r="R3214" t="str">
        <f>"FARMÁCIA INDIANA LJ 140 (10064)"</f>
        <v>FARMÁCIA INDIANA LJ 140 (10064)</v>
      </c>
      <c r="S3214" t="s">
        <v>103</v>
      </c>
      <c r="T3214">
        <v>31415</v>
      </c>
      <c r="U3214">
        <v>34532</v>
      </c>
      <c r="V3214" t="s">
        <v>37</v>
      </c>
    </row>
    <row r="3215" spans="1:22">
      <c r="A3215" t="str">
        <f t="shared" si="582"/>
        <v>18/03/2026</v>
      </c>
      <c r="B3215" t="str">
        <f t="shared" si="588"/>
        <v>ENTRADA</v>
      </c>
      <c r="C3215" t="str">
        <f t="shared" si="589"/>
        <v>NFSE</v>
      </c>
      <c r="D3215" t="str">
        <f t="shared" si="586"/>
        <v>507</v>
      </c>
      <c r="E3215" t="str">
        <f t="shared" si="590"/>
        <v>1</v>
      </c>
      <c r="F3215" t="str">
        <f t="shared" si="592"/>
        <v>COM</v>
      </c>
      <c r="G3215" t="str">
        <f t="shared" si="587"/>
        <v>FARMÁCIA INDIANA LJ 1 (10126)</v>
      </c>
      <c r="H3215" t="s">
        <v>957</v>
      </c>
      <c r="I3215" t="str">
        <f t="shared" si="591"/>
        <v>18/03/2026</v>
      </c>
      <c r="J3215" t="str">
        <f t="shared" si="593"/>
        <v>10/03/2026</v>
      </c>
      <c r="K3215">
        <v>46099</v>
      </c>
      <c r="N3215">
        <v>303</v>
      </c>
      <c r="O3215" t="s">
        <v>102</v>
      </c>
      <c r="Q3215">
        <v>117.75</v>
      </c>
      <c r="R3215" t="str">
        <f>"FARMÁCIA INDIANA LJ 141 (10065)"</f>
        <v>FARMÁCIA INDIANA LJ 141 (10065)</v>
      </c>
      <c r="S3215" t="s">
        <v>103</v>
      </c>
      <c r="T3215">
        <v>31415</v>
      </c>
      <c r="U3215">
        <v>34532</v>
      </c>
      <c r="V3215" t="s">
        <v>37</v>
      </c>
    </row>
    <row r="3216" spans="1:22">
      <c r="A3216" t="str">
        <f t="shared" si="582"/>
        <v>18/03/2026</v>
      </c>
      <c r="B3216" t="str">
        <f t="shared" si="588"/>
        <v>ENTRADA</v>
      </c>
      <c r="C3216" t="str">
        <f t="shared" si="589"/>
        <v>NFSE</v>
      </c>
      <c r="D3216" t="str">
        <f t="shared" si="586"/>
        <v>507</v>
      </c>
      <c r="E3216" t="str">
        <f t="shared" si="590"/>
        <v>1</v>
      </c>
      <c r="F3216" t="str">
        <f t="shared" si="592"/>
        <v>COM</v>
      </c>
      <c r="G3216" t="str">
        <f t="shared" si="587"/>
        <v>FARMÁCIA INDIANA LJ 1 (10126)</v>
      </c>
      <c r="H3216" t="s">
        <v>957</v>
      </c>
      <c r="I3216" t="str">
        <f t="shared" si="591"/>
        <v>18/03/2026</v>
      </c>
      <c r="J3216" t="str">
        <f t="shared" si="593"/>
        <v>10/03/2026</v>
      </c>
      <c r="K3216">
        <v>46099</v>
      </c>
      <c r="N3216">
        <v>303</v>
      </c>
      <c r="O3216" t="s">
        <v>102</v>
      </c>
      <c r="Q3216">
        <v>5675.37</v>
      </c>
      <c r="R3216" t="str">
        <f>"FARMÁCIA INDIANA LJ 142 (10066)"</f>
        <v>FARMÁCIA INDIANA LJ 142 (10066)</v>
      </c>
      <c r="S3216" t="s">
        <v>103</v>
      </c>
      <c r="T3216">
        <v>31415</v>
      </c>
      <c r="U3216">
        <v>34532</v>
      </c>
      <c r="V3216" t="s">
        <v>37</v>
      </c>
    </row>
    <row r="3217" spans="1:22">
      <c r="A3217" t="str">
        <f t="shared" si="582"/>
        <v>18/03/2026</v>
      </c>
      <c r="B3217" t="str">
        <f t="shared" si="588"/>
        <v>ENTRADA</v>
      </c>
      <c r="C3217" t="str">
        <f t="shared" si="589"/>
        <v>NFSE</v>
      </c>
      <c r="D3217" t="str">
        <f t="shared" si="586"/>
        <v>507</v>
      </c>
      <c r="E3217" t="str">
        <f t="shared" si="590"/>
        <v>1</v>
      </c>
      <c r="F3217" t="str">
        <f t="shared" si="592"/>
        <v>COM</v>
      </c>
      <c r="G3217" t="str">
        <f t="shared" si="587"/>
        <v>FARMÁCIA INDIANA LJ 1 (10126)</v>
      </c>
      <c r="H3217" t="s">
        <v>957</v>
      </c>
      <c r="I3217" t="str">
        <f t="shared" si="591"/>
        <v>18/03/2026</v>
      </c>
      <c r="J3217" t="str">
        <f t="shared" si="593"/>
        <v>10/03/2026</v>
      </c>
      <c r="K3217">
        <v>46099</v>
      </c>
      <c r="N3217">
        <v>303</v>
      </c>
      <c r="O3217" t="s">
        <v>102</v>
      </c>
      <c r="Q3217">
        <v>600.51</v>
      </c>
      <c r="R3217" t="str">
        <f>"FARMÁCIA INDIANA LJ 143 (10067)"</f>
        <v>FARMÁCIA INDIANA LJ 143 (10067)</v>
      </c>
      <c r="S3217" t="s">
        <v>103</v>
      </c>
      <c r="T3217">
        <v>31415</v>
      </c>
      <c r="U3217">
        <v>34532</v>
      </c>
      <c r="V3217" t="s">
        <v>37</v>
      </c>
    </row>
    <row r="3218" spans="1:22">
      <c r="A3218" t="str">
        <f t="shared" si="582"/>
        <v>18/03/2026</v>
      </c>
      <c r="B3218" t="str">
        <f t="shared" si="588"/>
        <v>ENTRADA</v>
      </c>
      <c r="C3218" t="str">
        <f t="shared" si="589"/>
        <v>NFSE</v>
      </c>
      <c r="D3218" t="str">
        <f t="shared" si="586"/>
        <v>507</v>
      </c>
      <c r="E3218" t="str">
        <f t="shared" si="590"/>
        <v>1</v>
      </c>
      <c r="F3218" t="str">
        <f t="shared" si="592"/>
        <v>COM</v>
      </c>
      <c r="G3218" t="str">
        <f t="shared" si="587"/>
        <v>FARMÁCIA INDIANA LJ 1 (10126)</v>
      </c>
      <c r="H3218" t="s">
        <v>957</v>
      </c>
      <c r="I3218" t="str">
        <f t="shared" si="591"/>
        <v>18/03/2026</v>
      </c>
      <c r="J3218" t="str">
        <f t="shared" si="593"/>
        <v>10/03/2026</v>
      </c>
      <c r="K3218">
        <v>46099</v>
      </c>
      <c r="N3218">
        <v>303</v>
      </c>
      <c r="O3218" t="s">
        <v>102</v>
      </c>
      <c r="Q3218">
        <v>3591.26</v>
      </c>
      <c r="R3218" t="str">
        <f>"FARMÁCIA INDIANA LJ 152 (10069)"</f>
        <v>FARMÁCIA INDIANA LJ 152 (10069)</v>
      </c>
      <c r="S3218" t="s">
        <v>103</v>
      </c>
      <c r="T3218">
        <v>31415</v>
      </c>
      <c r="U3218">
        <v>34532</v>
      </c>
      <c r="V3218" t="s">
        <v>37</v>
      </c>
    </row>
    <row r="3219" spans="1:22">
      <c r="A3219" t="str">
        <f t="shared" si="582"/>
        <v>18/03/2026</v>
      </c>
      <c r="B3219" t="str">
        <f t="shared" si="588"/>
        <v>ENTRADA</v>
      </c>
      <c r="C3219" t="str">
        <f t="shared" si="589"/>
        <v>NFSE</v>
      </c>
      <c r="D3219" t="str">
        <f t="shared" si="586"/>
        <v>507</v>
      </c>
      <c r="E3219" t="str">
        <f t="shared" si="590"/>
        <v>1</v>
      </c>
      <c r="F3219" t="str">
        <f t="shared" si="592"/>
        <v>COM</v>
      </c>
      <c r="G3219" t="str">
        <f t="shared" si="587"/>
        <v>FARMÁCIA INDIANA LJ 1 (10126)</v>
      </c>
      <c r="H3219" t="s">
        <v>957</v>
      </c>
      <c r="I3219" t="str">
        <f t="shared" si="591"/>
        <v>18/03/2026</v>
      </c>
      <c r="J3219" t="str">
        <f t="shared" si="593"/>
        <v>10/03/2026</v>
      </c>
      <c r="K3219">
        <v>46099</v>
      </c>
      <c r="N3219">
        <v>303</v>
      </c>
      <c r="O3219" t="s">
        <v>102</v>
      </c>
      <c r="Q3219">
        <v>353.24</v>
      </c>
      <c r="R3219" t="str">
        <f>"FARMÁCIA INDIANA LJ 154 (10070)"</f>
        <v>FARMÁCIA INDIANA LJ 154 (10070)</v>
      </c>
      <c r="S3219" t="s">
        <v>103</v>
      </c>
      <c r="T3219">
        <v>31415</v>
      </c>
      <c r="U3219">
        <v>34532</v>
      </c>
      <c r="V3219" t="s">
        <v>37</v>
      </c>
    </row>
    <row r="3220" spans="1:22">
      <c r="A3220" t="str">
        <f t="shared" si="582"/>
        <v>18/03/2026</v>
      </c>
      <c r="B3220" t="str">
        <f t="shared" si="588"/>
        <v>ENTRADA</v>
      </c>
      <c r="C3220" t="str">
        <f t="shared" si="589"/>
        <v>NFSE</v>
      </c>
      <c r="D3220" t="str">
        <f t="shared" si="586"/>
        <v>507</v>
      </c>
      <c r="E3220" t="str">
        <f t="shared" si="590"/>
        <v>1</v>
      </c>
      <c r="F3220" t="str">
        <f t="shared" si="592"/>
        <v>COM</v>
      </c>
      <c r="G3220" t="str">
        <f t="shared" si="587"/>
        <v>FARMÁCIA INDIANA LJ 1 (10126)</v>
      </c>
      <c r="H3220" t="s">
        <v>957</v>
      </c>
      <c r="I3220" t="str">
        <f t="shared" si="591"/>
        <v>18/03/2026</v>
      </c>
      <c r="J3220" t="str">
        <f t="shared" si="593"/>
        <v>10/03/2026</v>
      </c>
      <c r="K3220">
        <v>46099</v>
      </c>
      <c r="N3220">
        <v>303</v>
      </c>
      <c r="O3220" t="s">
        <v>102</v>
      </c>
      <c r="Q3220">
        <v>1931.04</v>
      </c>
      <c r="R3220" t="str">
        <f>"FARMÁCIA INDIANA LJ 171 (10074)"</f>
        <v>FARMÁCIA INDIANA LJ 171 (10074)</v>
      </c>
      <c r="S3220" t="s">
        <v>103</v>
      </c>
      <c r="T3220">
        <v>31415</v>
      </c>
      <c r="U3220">
        <v>34532</v>
      </c>
      <c r="V3220" t="s">
        <v>37</v>
      </c>
    </row>
    <row r="3221" spans="1:22">
      <c r="A3221" t="str">
        <f t="shared" si="582"/>
        <v>18/03/2026</v>
      </c>
      <c r="B3221" t="str">
        <f t="shared" si="588"/>
        <v>ENTRADA</v>
      </c>
      <c r="C3221" t="str">
        <f t="shared" si="589"/>
        <v>NFSE</v>
      </c>
      <c r="D3221" t="str">
        <f t="shared" si="586"/>
        <v>507</v>
      </c>
      <c r="E3221" t="str">
        <f t="shared" si="590"/>
        <v>1</v>
      </c>
      <c r="F3221" t="str">
        <f t="shared" si="592"/>
        <v>COM</v>
      </c>
      <c r="G3221" t="str">
        <f t="shared" si="587"/>
        <v>FARMÁCIA INDIANA LJ 1 (10126)</v>
      </c>
      <c r="H3221" t="s">
        <v>957</v>
      </c>
      <c r="I3221" t="str">
        <f t="shared" si="591"/>
        <v>18/03/2026</v>
      </c>
      <c r="J3221" t="str">
        <f t="shared" si="593"/>
        <v>10/03/2026</v>
      </c>
      <c r="K3221">
        <v>46099</v>
      </c>
      <c r="N3221">
        <v>303</v>
      </c>
      <c r="O3221" t="s">
        <v>102</v>
      </c>
      <c r="Q3221">
        <v>741.8</v>
      </c>
      <c r="R3221" t="str">
        <f>"FARMÁCIA INDIANA LJ 175 (10076)"</f>
        <v>FARMÁCIA INDIANA LJ 175 (10076)</v>
      </c>
      <c r="S3221" t="s">
        <v>103</v>
      </c>
      <c r="T3221">
        <v>31415</v>
      </c>
      <c r="U3221">
        <v>34532</v>
      </c>
      <c r="V3221" t="s">
        <v>37</v>
      </c>
    </row>
    <row r="3222" spans="1:22">
      <c r="A3222" t="str">
        <f t="shared" si="582"/>
        <v>18/03/2026</v>
      </c>
      <c r="B3222" t="str">
        <f t="shared" si="588"/>
        <v>ENTRADA</v>
      </c>
      <c r="C3222" t="str">
        <f t="shared" si="589"/>
        <v>NFSE</v>
      </c>
      <c r="D3222" t="str">
        <f t="shared" ref="D3222:D3239" si="594">"507"</f>
        <v>507</v>
      </c>
      <c r="E3222" t="str">
        <f t="shared" si="590"/>
        <v>1</v>
      </c>
      <c r="F3222" t="str">
        <f t="shared" si="592"/>
        <v>COM</v>
      </c>
      <c r="G3222" t="str">
        <f t="shared" ref="G3222:G3239" si="595">"FARMÁCIA INDIANA LJ 1 (10126)"</f>
        <v>FARMÁCIA INDIANA LJ 1 (10126)</v>
      </c>
      <c r="H3222" t="s">
        <v>957</v>
      </c>
      <c r="I3222" t="str">
        <f t="shared" si="591"/>
        <v>18/03/2026</v>
      </c>
      <c r="J3222" t="str">
        <f t="shared" si="593"/>
        <v>10/03/2026</v>
      </c>
      <c r="K3222">
        <v>46099</v>
      </c>
      <c r="N3222">
        <v>303</v>
      </c>
      <c r="O3222" t="s">
        <v>102</v>
      </c>
      <c r="Q3222">
        <v>1153.9100000000001</v>
      </c>
      <c r="R3222" t="str">
        <f>"FARMÁCIA INDIANA LJ 178 (10077)"</f>
        <v>FARMÁCIA INDIANA LJ 178 (10077)</v>
      </c>
      <c r="S3222" t="s">
        <v>103</v>
      </c>
      <c r="T3222">
        <v>31415</v>
      </c>
      <c r="U3222">
        <v>34532</v>
      </c>
      <c r="V3222" t="s">
        <v>37</v>
      </c>
    </row>
    <row r="3223" spans="1:22">
      <c r="A3223" t="str">
        <f t="shared" si="582"/>
        <v>18/03/2026</v>
      </c>
      <c r="B3223" t="str">
        <f t="shared" si="588"/>
        <v>ENTRADA</v>
      </c>
      <c r="C3223" t="str">
        <f t="shared" si="589"/>
        <v>NFSE</v>
      </c>
      <c r="D3223" t="str">
        <f t="shared" si="594"/>
        <v>507</v>
      </c>
      <c r="E3223" t="str">
        <f t="shared" si="590"/>
        <v>1</v>
      </c>
      <c r="F3223" t="str">
        <f t="shared" si="592"/>
        <v>COM</v>
      </c>
      <c r="G3223" t="str">
        <f t="shared" si="595"/>
        <v>FARMÁCIA INDIANA LJ 1 (10126)</v>
      </c>
      <c r="H3223" t="s">
        <v>957</v>
      </c>
      <c r="I3223" t="str">
        <f t="shared" si="591"/>
        <v>18/03/2026</v>
      </c>
      <c r="J3223" t="str">
        <f t="shared" si="593"/>
        <v>10/03/2026</v>
      </c>
      <c r="K3223">
        <v>46099</v>
      </c>
      <c r="N3223">
        <v>303</v>
      </c>
      <c r="O3223" t="s">
        <v>102</v>
      </c>
      <c r="Q3223">
        <v>447.44</v>
      </c>
      <c r="R3223" t="str">
        <f>"FARMÁCIA INDIANA LJ 182 (10079)"</f>
        <v>FARMÁCIA INDIANA LJ 182 (10079)</v>
      </c>
      <c r="S3223" t="s">
        <v>103</v>
      </c>
      <c r="T3223">
        <v>31415</v>
      </c>
      <c r="U3223">
        <v>34532</v>
      </c>
      <c r="V3223" t="s">
        <v>37</v>
      </c>
    </row>
    <row r="3224" spans="1:22">
      <c r="A3224" t="str">
        <f t="shared" si="582"/>
        <v>18/03/2026</v>
      </c>
      <c r="B3224" t="str">
        <f t="shared" si="588"/>
        <v>ENTRADA</v>
      </c>
      <c r="C3224" t="str">
        <f t="shared" si="589"/>
        <v>NFSE</v>
      </c>
      <c r="D3224" t="str">
        <f t="shared" si="594"/>
        <v>507</v>
      </c>
      <c r="E3224" t="str">
        <f t="shared" si="590"/>
        <v>1</v>
      </c>
      <c r="F3224" t="str">
        <f t="shared" si="592"/>
        <v>COM</v>
      </c>
      <c r="G3224" t="str">
        <f t="shared" si="595"/>
        <v>FARMÁCIA INDIANA LJ 1 (10126)</v>
      </c>
      <c r="H3224" t="s">
        <v>957</v>
      </c>
      <c r="I3224" t="str">
        <f t="shared" si="591"/>
        <v>18/03/2026</v>
      </c>
      <c r="J3224" t="str">
        <f t="shared" si="593"/>
        <v>10/03/2026</v>
      </c>
      <c r="K3224">
        <v>46099</v>
      </c>
      <c r="N3224">
        <v>303</v>
      </c>
      <c r="O3224" t="s">
        <v>102</v>
      </c>
      <c r="Q3224">
        <v>365.01</v>
      </c>
      <c r="R3224" t="str">
        <f>"FARMÁCIA INDIANA LJ 184 (10080)"</f>
        <v>FARMÁCIA INDIANA LJ 184 (10080)</v>
      </c>
      <c r="S3224" t="s">
        <v>103</v>
      </c>
      <c r="T3224">
        <v>31415</v>
      </c>
      <c r="U3224">
        <v>34532</v>
      </c>
      <c r="V3224" t="s">
        <v>37</v>
      </c>
    </row>
    <row r="3225" spans="1:22">
      <c r="A3225" t="str">
        <f t="shared" si="582"/>
        <v>18/03/2026</v>
      </c>
      <c r="B3225" t="str">
        <f t="shared" ref="B3225:B3239" si="596">"ENTRADA"</f>
        <v>ENTRADA</v>
      </c>
      <c r="C3225" t="str">
        <f t="shared" si="589"/>
        <v>NFSE</v>
      </c>
      <c r="D3225" t="str">
        <f t="shared" si="594"/>
        <v>507</v>
      </c>
      <c r="E3225" t="str">
        <f t="shared" si="590"/>
        <v>1</v>
      </c>
      <c r="F3225" t="str">
        <f t="shared" si="592"/>
        <v>COM</v>
      </c>
      <c r="G3225" t="str">
        <f t="shared" si="595"/>
        <v>FARMÁCIA INDIANA LJ 1 (10126)</v>
      </c>
      <c r="H3225" t="s">
        <v>957</v>
      </c>
      <c r="I3225" t="str">
        <f t="shared" si="591"/>
        <v>18/03/2026</v>
      </c>
      <c r="J3225" t="str">
        <f t="shared" si="593"/>
        <v>10/03/2026</v>
      </c>
      <c r="K3225">
        <v>46099</v>
      </c>
      <c r="N3225">
        <v>303</v>
      </c>
      <c r="O3225" t="s">
        <v>102</v>
      </c>
      <c r="Q3225">
        <v>447.44</v>
      </c>
      <c r="R3225" t="str">
        <f>"FARMÁCIA INDIANA LJ 186 (10081)"</f>
        <v>FARMÁCIA INDIANA LJ 186 (10081)</v>
      </c>
      <c r="S3225" t="s">
        <v>103</v>
      </c>
      <c r="T3225">
        <v>31415</v>
      </c>
      <c r="U3225">
        <v>34532</v>
      </c>
      <c r="V3225" t="s">
        <v>37</v>
      </c>
    </row>
    <row r="3226" spans="1:22">
      <c r="A3226" t="str">
        <f t="shared" si="582"/>
        <v>18/03/2026</v>
      </c>
      <c r="B3226" t="str">
        <f t="shared" si="596"/>
        <v>ENTRADA</v>
      </c>
      <c r="C3226" t="str">
        <f t="shared" si="589"/>
        <v>NFSE</v>
      </c>
      <c r="D3226" t="str">
        <f t="shared" si="594"/>
        <v>507</v>
      </c>
      <c r="E3226" t="str">
        <f t="shared" si="590"/>
        <v>1</v>
      </c>
      <c r="F3226" t="str">
        <f t="shared" si="592"/>
        <v>COM</v>
      </c>
      <c r="G3226" t="str">
        <f t="shared" si="595"/>
        <v>FARMÁCIA INDIANA LJ 1 (10126)</v>
      </c>
      <c r="H3226" t="s">
        <v>957</v>
      </c>
      <c r="I3226" t="str">
        <f t="shared" si="591"/>
        <v>18/03/2026</v>
      </c>
      <c r="J3226" t="str">
        <f t="shared" si="593"/>
        <v>10/03/2026</v>
      </c>
      <c r="K3226">
        <v>46099</v>
      </c>
      <c r="N3226">
        <v>303</v>
      </c>
      <c r="O3226" t="s">
        <v>102</v>
      </c>
      <c r="Q3226">
        <v>812.45</v>
      </c>
      <c r="R3226" t="str">
        <f>"FARMÁCIA INDIANA LJ 192 (10082)"</f>
        <v>FARMÁCIA INDIANA LJ 192 (10082)</v>
      </c>
      <c r="S3226" t="s">
        <v>103</v>
      </c>
      <c r="T3226">
        <v>31415</v>
      </c>
      <c r="U3226">
        <v>34532</v>
      </c>
      <c r="V3226" t="s">
        <v>37</v>
      </c>
    </row>
    <row r="3227" spans="1:22">
      <c r="A3227" t="str">
        <f t="shared" si="582"/>
        <v>18/03/2026</v>
      </c>
      <c r="B3227" t="str">
        <f t="shared" si="596"/>
        <v>ENTRADA</v>
      </c>
      <c r="C3227" t="str">
        <f t="shared" ref="C3227:C3239" si="597">"NFSE"</f>
        <v>NFSE</v>
      </c>
      <c r="D3227" t="str">
        <f t="shared" si="594"/>
        <v>507</v>
      </c>
      <c r="E3227" t="str">
        <f t="shared" ref="E3227:E3239" si="598">"1"</f>
        <v>1</v>
      </c>
      <c r="F3227" t="str">
        <f t="shared" si="592"/>
        <v>COM</v>
      </c>
      <c r="G3227" t="str">
        <f t="shared" si="595"/>
        <v>FARMÁCIA INDIANA LJ 1 (10126)</v>
      </c>
      <c r="H3227" t="s">
        <v>957</v>
      </c>
      <c r="I3227" t="str">
        <f t="shared" ref="I3227:I3247" si="599">("18/03/2026")</f>
        <v>18/03/2026</v>
      </c>
      <c r="J3227" t="str">
        <f t="shared" si="593"/>
        <v>10/03/2026</v>
      </c>
      <c r="K3227">
        <v>46099</v>
      </c>
      <c r="N3227">
        <v>303</v>
      </c>
      <c r="O3227" t="s">
        <v>102</v>
      </c>
      <c r="Q3227">
        <v>365.01</v>
      </c>
      <c r="R3227" t="str">
        <f>"FARMÁCIA INDIANA LJ 195 (10083)"</f>
        <v>FARMÁCIA INDIANA LJ 195 (10083)</v>
      </c>
      <c r="S3227" t="s">
        <v>103</v>
      </c>
      <c r="T3227">
        <v>31415</v>
      </c>
      <c r="U3227">
        <v>34532</v>
      </c>
      <c r="V3227" t="s">
        <v>37</v>
      </c>
    </row>
    <row r="3228" spans="1:22">
      <c r="A3228" t="str">
        <f t="shared" si="582"/>
        <v>18/03/2026</v>
      </c>
      <c r="B3228" t="str">
        <f t="shared" si="596"/>
        <v>ENTRADA</v>
      </c>
      <c r="C3228" t="str">
        <f t="shared" si="597"/>
        <v>NFSE</v>
      </c>
      <c r="D3228" t="str">
        <f t="shared" si="594"/>
        <v>507</v>
      </c>
      <c r="E3228" t="str">
        <f t="shared" si="598"/>
        <v>1</v>
      </c>
      <c r="F3228" t="str">
        <f t="shared" si="592"/>
        <v>COM</v>
      </c>
      <c r="G3228" t="str">
        <f t="shared" si="595"/>
        <v>FARMÁCIA INDIANA LJ 1 (10126)</v>
      </c>
      <c r="H3228" t="s">
        <v>957</v>
      </c>
      <c r="I3228" t="str">
        <f t="shared" si="599"/>
        <v>18/03/2026</v>
      </c>
      <c r="J3228" t="str">
        <f t="shared" si="593"/>
        <v>10/03/2026</v>
      </c>
      <c r="K3228">
        <v>46099</v>
      </c>
      <c r="N3228">
        <v>303</v>
      </c>
      <c r="O3228" t="s">
        <v>102</v>
      </c>
      <c r="Q3228">
        <v>894.87</v>
      </c>
      <c r="R3228" t="str">
        <f>"FARMÁCIA INDIANA LJ 202 (10085)"</f>
        <v>FARMÁCIA INDIANA LJ 202 (10085)</v>
      </c>
      <c r="S3228" t="s">
        <v>103</v>
      </c>
      <c r="T3228">
        <v>31415</v>
      </c>
      <c r="U3228">
        <v>34532</v>
      </c>
      <c r="V3228" t="s">
        <v>37</v>
      </c>
    </row>
    <row r="3229" spans="1:22">
      <c r="A3229" t="str">
        <f t="shared" si="582"/>
        <v>18/03/2026</v>
      </c>
      <c r="B3229" t="str">
        <f t="shared" si="596"/>
        <v>ENTRADA</v>
      </c>
      <c r="C3229" t="str">
        <f t="shared" si="597"/>
        <v>NFSE</v>
      </c>
      <c r="D3229" t="str">
        <f t="shared" si="594"/>
        <v>507</v>
      </c>
      <c r="E3229" t="str">
        <f t="shared" si="598"/>
        <v>1</v>
      </c>
      <c r="F3229" t="str">
        <f t="shared" si="592"/>
        <v>COM</v>
      </c>
      <c r="G3229" t="str">
        <f t="shared" si="595"/>
        <v>FARMÁCIA INDIANA LJ 1 (10126)</v>
      </c>
      <c r="H3229" t="s">
        <v>957</v>
      </c>
      <c r="I3229" t="str">
        <f t="shared" si="599"/>
        <v>18/03/2026</v>
      </c>
      <c r="J3229" t="str">
        <f t="shared" si="593"/>
        <v>10/03/2026</v>
      </c>
      <c r="K3229">
        <v>46099</v>
      </c>
      <c r="N3229">
        <v>303</v>
      </c>
      <c r="O3229" t="s">
        <v>102</v>
      </c>
      <c r="Q3229">
        <v>718.25</v>
      </c>
      <c r="R3229" t="str">
        <f>"FARMÁCIA INDIANA LJ 204 (10087)"</f>
        <v>FARMÁCIA INDIANA LJ 204 (10087)</v>
      </c>
      <c r="S3229" t="s">
        <v>103</v>
      </c>
      <c r="T3229">
        <v>31415</v>
      </c>
      <c r="U3229">
        <v>34532</v>
      </c>
      <c r="V3229" t="s">
        <v>37</v>
      </c>
    </row>
    <row r="3230" spans="1:22">
      <c r="A3230" t="str">
        <f t="shared" si="582"/>
        <v>18/03/2026</v>
      </c>
      <c r="B3230" t="str">
        <f t="shared" si="596"/>
        <v>ENTRADA</v>
      </c>
      <c r="C3230" t="str">
        <f t="shared" si="597"/>
        <v>NFSE</v>
      </c>
      <c r="D3230" t="str">
        <f t="shared" si="594"/>
        <v>507</v>
      </c>
      <c r="E3230" t="str">
        <f t="shared" si="598"/>
        <v>1</v>
      </c>
      <c r="F3230" t="str">
        <f t="shared" si="592"/>
        <v>COM</v>
      </c>
      <c r="G3230" t="str">
        <f t="shared" si="595"/>
        <v>FARMÁCIA INDIANA LJ 1 (10126)</v>
      </c>
      <c r="H3230" t="s">
        <v>957</v>
      </c>
      <c r="I3230" t="str">
        <f t="shared" si="599"/>
        <v>18/03/2026</v>
      </c>
      <c r="J3230" t="str">
        <f t="shared" si="593"/>
        <v>10/03/2026</v>
      </c>
      <c r="K3230">
        <v>46099</v>
      </c>
      <c r="N3230">
        <v>303</v>
      </c>
      <c r="O3230" t="s">
        <v>102</v>
      </c>
      <c r="Q3230">
        <v>1318.76</v>
      </c>
      <c r="R3230" t="str">
        <f>"FARMÁCIA INDIANA LJ 207 (10088)"</f>
        <v>FARMÁCIA INDIANA LJ 207 (10088)</v>
      </c>
      <c r="S3230" t="s">
        <v>103</v>
      </c>
      <c r="T3230">
        <v>31415</v>
      </c>
      <c r="U3230">
        <v>34532</v>
      </c>
      <c r="V3230" t="s">
        <v>37</v>
      </c>
    </row>
    <row r="3231" spans="1:22">
      <c r="A3231" t="str">
        <f t="shared" si="582"/>
        <v>18/03/2026</v>
      </c>
      <c r="B3231" t="str">
        <f t="shared" si="596"/>
        <v>ENTRADA</v>
      </c>
      <c r="C3231" t="str">
        <f t="shared" si="597"/>
        <v>NFSE</v>
      </c>
      <c r="D3231" t="str">
        <f t="shared" si="594"/>
        <v>507</v>
      </c>
      <c r="E3231" t="str">
        <f t="shared" si="598"/>
        <v>1</v>
      </c>
      <c r="F3231" t="str">
        <f t="shared" si="592"/>
        <v>COM</v>
      </c>
      <c r="G3231" t="str">
        <f t="shared" si="595"/>
        <v>FARMÁCIA INDIANA LJ 1 (10126)</v>
      </c>
      <c r="H3231" t="s">
        <v>957</v>
      </c>
      <c r="I3231" t="str">
        <f t="shared" si="599"/>
        <v>18/03/2026</v>
      </c>
      <c r="J3231" t="str">
        <f t="shared" si="593"/>
        <v>10/03/2026</v>
      </c>
      <c r="K3231">
        <v>46099</v>
      </c>
      <c r="N3231">
        <v>303</v>
      </c>
      <c r="O3231" t="s">
        <v>102</v>
      </c>
      <c r="Q3231">
        <v>1130.3599999999999</v>
      </c>
      <c r="R3231" t="str">
        <f>"FARMÁCIA INDIANA LJ 209 (10089)"</f>
        <v>FARMÁCIA INDIANA LJ 209 (10089)</v>
      </c>
      <c r="S3231" t="s">
        <v>103</v>
      </c>
      <c r="T3231">
        <v>31415</v>
      </c>
      <c r="U3231">
        <v>34532</v>
      </c>
      <c r="V3231" t="s">
        <v>37</v>
      </c>
    </row>
    <row r="3232" spans="1:22">
      <c r="A3232" t="str">
        <f t="shared" si="582"/>
        <v>18/03/2026</v>
      </c>
      <c r="B3232" t="str">
        <f t="shared" si="596"/>
        <v>ENTRADA</v>
      </c>
      <c r="C3232" t="str">
        <f t="shared" si="597"/>
        <v>NFSE</v>
      </c>
      <c r="D3232" t="str">
        <f t="shared" si="594"/>
        <v>507</v>
      </c>
      <c r="E3232" t="str">
        <f t="shared" si="598"/>
        <v>1</v>
      </c>
      <c r="F3232" t="str">
        <f t="shared" si="592"/>
        <v>COM</v>
      </c>
      <c r="G3232" t="str">
        <f t="shared" si="595"/>
        <v>FARMÁCIA INDIANA LJ 1 (10126)</v>
      </c>
      <c r="H3232" t="s">
        <v>957</v>
      </c>
      <c r="I3232" t="str">
        <f t="shared" si="599"/>
        <v>18/03/2026</v>
      </c>
      <c r="J3232" t="str">
        <f t="shared" si="593"/>
        <v>10/03/2026</v>
      </c>
      <c r="K3232">
        <v>46099</v>
      </c>
      <c r="N3232">
        <v>303</v>
      </c>
      <c r="O3232" t="s">
        <v>102</v>
      </c>
      <c r="Q3232">
        <v>2025.24</v>
      </c>
      <c r="R3232" t="str">
        <f>"FARMÁCIA INDIANA LJ 219 (10091)"</f>
        <v>FARMÁCIA INDIANA LJ 219 (10091)</v>
      </c>
      <c r="S3232" t="s">
        <v>103</v>
      </c>
      <c r="T3232">
        <v>31415</v>
      </c>
      <c r="U3232">
        <v>34532</v>
      </c>
      <c r="V3232" t="s">
        <v>37</v>
      </c>
    </row>
    <row r="3233" spans="1:22">
      <c r="A3233" t="str">
        <f t="shared" si="582"/>
        <v>18/03/2026</v>
      </c>
      <c r="B3233" t="str">
        <f t="shared" si="596"/>
        <v>ENTRADA</v>
      </c>
      <c r="C3233" t="str">
        <f t="shared" si="597"/>
        <v>NFSE</v>
      </c>
      <c r="D3233" t="str">
        <f t="shared" si="594"/>
        <v>507</v>
      </c>
      <c r="E3233" t="str">
        <f t="shared" si="598"/>
        <v>1</v>
      </c>
      <c r="F3233" t="str">
        <f t="shared" si="592"/>
        <v>COM</v>
      </c>
      <c r="G3233" t="str">
        <f t="shared" si="595"/>
        <v>FARMÁCIA INDIANA LJ 1 (10126)</v>
      </c>
      <c r="H3233" t="s">
        <v>957</v>
      </c>
      <c r="I3233" t="str">
        <f t="shared" si="599"/>
        <v>18/03/2026</v>
      </c>
      <c r="J3233" t="str">
        <f t="shared" si="593"/>
        <v>10/03/2026</v>
      </c>
      <c r="K3233">
        <v>46099</v>
      </c>
      <c r="N3233">
        <v>303</v>
      </c>
      <c r="O3233" t="s">
        <v>102</v>
      </c>
      <c r="Q3233">
        <v>2896.56</v>
      </c>
      <c r="R3233" t="str">
        <f>"FARMÁCIA INDIANA LJ 220 (10092)"</f>
        <v>FARMÁCIA INDIANA LJ 220 (10092)</v>
      </c>
      <c r="S3233" t="s">
        <v>103</v>
      </c>
      <c r="T3233">
        <v>31415</v>
      </c>
      <c r="U3233">
        <v>34532</v>
      </c>
      <c r="V3233" t="s">
        <v>37</v>
      </c>
    </row>
    <row r="3234" spans="1:22">
      <c r="A3234" t="str">
        <f t="shared" si="582"/>
        <v>18/03/2026</v>
      </c>
      <c r="B3234" t="str">
        <f t="shared" si="596"/>
        <v>ENTRADA</v>
      </c>
      <c r="C3234" t="str">
        <f t="shared" si="597"/>
        <v>NFSE</v>
      </c>
      <c r="D3234" t="str">
        <f t="shared" si="594"/>
        <v>507</v>
      </c>
      <c r="E3234" t="str">
        <f t="shared" si="598"/>
        <v>1</v>
      </c>
      <c r="F3234" t="str">
        <f t="shared" si="592"/>
        <v>COM</v>
      </c>
      <c r="G3234" t="str">
        <f t="shared" si="595"/>
        <v>FARMÁCIA INDIANA LJ 1 (10126)</v>
      </c>
      <c r="H3234" t="s">
        <v>957</v>
      </c>
      <c r="I3234" t="str">
        <f t="shared" si="599"/>
        <v>18/03/2026</v>
      </c>
      <c r="J3234" t="str">
        <f t="shared" si="593"/>
        <v>10/03/2026</v>
      </c>
      <c r="K3234">
        <v>46099</v>
      </c>
      <c r="N3234">
        <v>303</v>
      </c>
      <c r="O3234" t="s">
        <v>102</v>
      </c>
      <c r="Q3234">
        <v>1036.17</v>
      </c>
      <c r="R3234" t="str">
        <f>"FARMÁCIA INDIANA LJ 185 (10141)"</f>
        <v>FARMÁCIA INDIANA LJ 185 (10141)</v>
      </c>
      <c r="S3234" t="s">
        <v>103</v>
      </c>
      <c r="T3234">
        <v>31415</v>
      </c>
      <c r="U3234">
        <v>34532</v>
      </c>
      <c r="V3234" t="s">
        <v>37</v>
      </c>
    </row>
    <row r="3235" spans="1:22">
      <c r="A3235" t="str">
        <f t="shared" ref="A3235:A3247" si="600">("18/03/2026")</f>
        <v>18/03/2026</v>
      </c>
      <c r="B3235" t="str">
        <f t="shared" si="596"/>
        <v>ENTRADA</v>
      </c>
      <c r="C3235" t="str">
        <f t="shared" si="597"/>
        <v>NFSE</v>
      </c>
      <c r="D3235" t="str">
        <f t="shared" si="594"/>
        <v>507</v>
      </c>
      <c r="E3235" t="str">
        <f t="shared" si="598"/>
        <v>1</v>
      </c>
      <c r="F3235" t="str">
        <f t="shared" si="592"/>
        <v>COM</v>
      </c>
      <c r="G3235" t="str">
        <f t="shared" si="595"/>
        <v>FARMÁCIA INDIANA LJ 1 (10126)</v>
      </c>
      <c r="H3235" t="s">
        <v>957</v>
      </c>
      <c r="I3235" t="str">
        <f t="shared" si="599"/>
        <v>18/03/2026</v>
      </c>
      <c r="J3235" t="str">
        <f t="shared" si="593"/>
        <v>10/03/2026</v>
      </c>
      <c r="K3235">
        <v>46099</v>
      </c>
      <c r="N3235">
        <v>303</v>
      </c>
      <c r="O3235" t="s">
        <v>102</v>
      </c>
      <c r="Q3235">
        <v>965.52</v>
      </c>
      <c r="R3235" t="str">
        <f>"FARMÁCIA INDIANA LJ 205 (10150)"</f>
        <v>FARMÁCIA INDIANA LJ 205 (10150)</v>
      </c>
      <c r="S3235" t="s">
        <v>103</v>
      </c>
      <c r="T3235">
        <v>31415</v>
      </c>
      <c r="U3235">
        <v>34532</v>
      </c>
      <c r="V3235" t="s">
        <v>37</v>
      </c>
    </row>
    <row r="3236" spans="1:22">
      <c r="A3236" t="str">
        <f t="shared" si="600"/>
        <v>18/03/2026</v>
      </c>
      <c r="B3236" t="str">
        <f t="shared" si="596"/>
        <v>ENTRADA</v>
      </c>
      <c r="C3236" t="str">
        <f t="shared" si="597"/>
        <v>NFSE</v>
      </c>
      <c r="D3236" t="str">
        <f t="shared" si="594"/>
        <v>507</v>
      </c>
      <c r="E3236" t="str">
        <f t="shared" si="598"/>
        <v>1</v>
      </c>
      <c r="F3236" t="str">
        <f t="shared" si="592"/>
        <v>COM</v>
      </c>
      <c r="G3236" t="str">
        <f t="shared" si="595"/>
        <v>FARMÁCIA INDIANA LJ 1 (10126)</v>
      </c>
      <c r="H3236" t="s">
        <v>957</v>
      </c>
      <c r="I3236" t="str">
        <f t="shared" si="599"/>
        <v>18/03/2026</v>
      </c>
      <c r="J3236" t="str">
        <f t="shared" si="593"/>
        <v>10/03/2026</v>
      </c>
      <c r="K3236">
        <v>46099</v>
      </c>
      <c r="N3236">
        <v>303</v>
      </c>
      <c r="O3236" t="s">
        <v>102</v>
      </c>
      <c r="Q3236">
        <v>5863.76</v>
      </c>
      <c r="R3236" t="str">
        <f>"FARMÁCIA INDIANA LJ 172 (10161)"</f>
        <v>FARMÁCIA INDIANA LJ 172 (10161)</v>
      </c>
      <c r="S3236" t="s">
        <v>103</v>
      </c>
      <c r="T3236">
        <v>31415</v>
      </c>
      <c r="U3236">
        <v>34532</v>
      </c>
      <c r="V3236" t="s">
        <v>37</v>
      </c>
    </row>
    <row r="3237" spans="1:22">
      <c r="A3237" t="str">
        <f t="shared" si="600"/>
        <v>18/03/2026</v>
      </c>
      <c r="B3237" t="str">
        <f t="shared" si="596"/>
        <v>ENTRADA</v>
      </c>
      <c r="C3237" t="str">
        <f t="shared" si="597"/>
        <v>NFSE</v>
      </c>
      <c r="D3237" t="str">
        <f t="shared" si="594"/>
        <v>507</v>
      </c>
      <c r="E3237" t="str">
        <f t="shared" si="598"/>
        <v>1</v>
      </c>
      <c r="F3237" t="str">
        <f t="shared" si="592"/>
        <v>COM</v>
      </c>
      <c r="G3237" t="str">
        <f t="shared" si="595"/>
        <v>FARMÁCIA INDIANA LJ 1 (10126)</v>
      </c>
      <c r="H3237" t="s">
        <v>957</v>
      </c>
      <c r="I3237" t="str">
        <f t="shared" si="599"/>
        <v>18/03/2026</v>
      </c>
      <c r="J3237" t="str">
        <f t="shared" si="593"/>
        <v>10/03/2026</v>
      </c>
      <c r="K3237">
        <v>46099</v>
      </c>
      <c r="N3237">
        <v>303</v>
      </c>
      <c r="O3237" t="s">
        <v>102</v>
      </c>
      <c r="Q3237">
        <v>718.25</v>
      </c>
      <c r="R3237" t="str">
        <f>"FARMÁCIA INDIANA LJ 266 (10186)"</f>
        <v>FARMÁCIA INDIANA LJ 266 (10186)</v>
      </c>
      <c r="S3237" t="s">
        <v>103</v>
      </c>
      <c r="T3237">
        <v>31415</v>
      </c>
      <c r="U3237">
        <v>34532</v>
      </c>
      <c r="V3237" t="s">
        <v>37</v>
      </c>
    </row>
    <row r="3238" spans="1:22">
      <c r="A3238" t="str">
        <f t="shared" si="600"/>
        <v>18/03/2026</v>
      </c>
      <c r="B3238" t="str">
        <f t="shared" si="596"/>
        <v>ENTRADA</v>
      </c>
      <c r="C3238" t="str">
        <f t="shared" si="597"/>
        <v>NFSE</v>
      </c>
      <c r="D3238" t="str">
        <f t="shared" si="594"/>
        <v>507</v>
      </c>
      <c r="E3238" t="str">
        <f t="shared" si="598"/>
        <v>1</v>
      </c>
      <c r="F3238" t="str">
        <f t="shared" si="592"/>
        <v>COM</v>
      </c>
      <c r="G3238" t="str">
        <f t="shared" si="595"/>
        <v>FARMÁCIA INDIANA LJ 1 (10126)</v>
      </c>
      <c r="H3238" t="s">
        <v>957</v>
      </c>
      <c r="I3238" t="str">
        <f t="shared" si="599"/>
        <v>18/03/2026</v>
      </c>
      <c r="J3238" t="str">
        <f t="shared" si="593"/>
        <v>10/03/2026</v>
      </c>
      <c r="K3238">
        <v>46099</v>
      </c>
      <c r="N3238">
        <v>303</v>
      </c>
      <c r="O3238" t="s">
        <v>102</v>
      </c>
      <c r="Q3238">
        <v>1095.04</v>
      </c>
      <c r="R3238" t="str">
        <f>"FARMÁCIA INDIANA LJ 134 (10271)"</f>
        <v>FARMÁCIA INDIANA LJ 134 (10271)</v>
      </c>
      <c r="S3238" t="s">
        <v>103</v>
      </c>
      <c r="T3238">
        <v>31415</v>
      </c>
      <c r="U3238">
        <v>34532</v>
      </c>
      <c r="V3238" t="s">
        <v>37</v>
      </c>
    </row>
    <row r="3239" spans="1:22">
      <c r="A3239" t="str">
        <f t="shared" si="600"/>
        <v>18/03/2026</v>
      </c>
      <c r="B3239" t="str">
        <f t="shared" si="596"/>
        <v>ENTRADA</v>
      </c>
      <c r="C3239" t="str">
        <f t="shared" si="597"/>
        <v>NFSE</v>
      </c>
      <c r="D3239" t="str">
        <f t="shared" si="594"/>
        <v>507</v>
      </c>
      <c r="E3239" t="str">
        <f t="shared" si="598"/>
        <v>1</v>
      </c>
      <c r="F3239" t="str">
        <f t="shared" si="592"/>
        <v>COM</v>
      </c>
      <c r="G3239" t="str">
        <f t="shared" si="595"/>
        <v>FARMÁCIA INDIANA LJ 1 (10126)</v>
      </c>
      <c r="H3239" t="s">
        <v>957</v>
      </c>
      <c r="I3239" t="str">
        <f t="shared" si="599"/>
        <v>18/03/2026</v>
      </c>
      <c r="J3239" t="str">
        <f t="shared" si="593"/>
        <v>10/03/2026</v>
      </c>
      <c r="K3239">
        <v>46099</v>
      </c>
      <c r="N3239">
        <v>303</v>
      </c>
      <c r="O3239" t="s">
        <v>102</v>
      </c>
      <c r="Q3239">
        <v>1118.5899999999999</v>
      </c>
      <c r="R3239" t="str">
        <f>"FARMÁCIA INDIANA LJ 284 (10280)"</f>
        <v>FARMÁCIA INDIANA LJ 284 (10280)</v>
      </c>
      <c r="S3239" t="s">
        <v>103</v>
      </c>
      <c r="T3239">
        <v>31415</v>
      </c>
      <c r="U3239">
        <v>34532</v>
      </c>
      <c r="V3239" t="s">
        <v>37</v>
      </c>
    </row>
    <row r="3240" spans="1:22">
      <c r="A3240" t="str">
        <f t="shared" si="600"/>
        <v>18/03/2026</v>
      </c>
      <c r="B3240" t="str">
        <f t="shared" ref="B3240:B3249" si="601">"SAÍDA"</f>
        <v>SAÍDA</v>
      </c>
      <c r="C3240" t="str">
        <f>"BOLETO"</f>
        <v>BOLETO</v>
      </c>
      <c r="D3240" t="str">
        <f>"0509"</f>
        <v>0509</v>
      </c>
      <c r="E3240" t="str">
        <f>"31"</f>
        <v>31</v>
      </c>
      <c r="F3240" t="str">
        <f t="shared" si="592"/>
        <v>COM</v>
      </c>
      <c r="G3240" t="str">
        <f>"MG BRASIL CLUBE DE BENEFICIOS E COOPERACAO RECIPROCA (20112)"</f>
        <v>MG BRASIL CLUBE DE BENEFICIOS E COOPERACAO RECIPROCA (20112)</v>
      </c>
      <c r="H3240" t="str">
        <f>"CLUBE DE BENEFICIOS MOTOBOYS - PIX CPF 03291254600"</f>
        <v>CLUBE DE BENEFICIOS MOTOBOYS - PIX CPF 03291254600</v>
      </c>
      <c r="I3240" t="str">
        <f t="shared" si="599"/>
        <v>18/03/2026</v>
      </c>
      <c r="J3240" t="str">
        <f>("06/03/2026")</f>
        <v>06/03/2026</v>
      </c>
      <c r="K3240" t="str">
        <f>("18/03/2026")</f>
        <v>18/03/2026</v>
      </c>
      <c r="L3240">
        <v>2369.12</v>
      </c>
      <c r="M3240">
        <v>2418.84</v>
      </c>
      <c r="N3240">
        <v>192</v>
      </c>
      <c r="O3240" t="str">
        <f>"PLANOS E SEGUROS"</f>
        <v>PLANOS E SEGUROS</v>
      </c>
      <c r="P3240">
        <v>2418.84</v>
      </c>
      <c r="S3240" t="str">
        <f>"BANCO C6 (149)"</f>
        <v>BANCO C6 (149)</v>
      </c>
      <c r="T3240">
        <v>31419</v>
      </c>
      <c r="U3240">
        <v>21376</v>
      </c>
      <c r="V3240" t="s">
        <v>37</v>
      </c>
    </row>
    <row r="3241" spans="1:22">
      <c r="A3241" t="str">
        <f t="shared" si="600"/>
        <v>18/03/2026</v>
      </c>
      <c r="B3241" t="str">
        <f t="shared" si="601"/>
        <v>SAÍDA</v>
      </c>
      <c r="C3241" t="str">
        <f>"BOLETO"</f>
        <v>BOLETO</v>
      </c>
      <c r="D3241" t="str">
        <f>"0509"</f>
        <v>0509</v>
      </c>
      <c r="E3241" t="str">
        <f>"31"</f>
        <v>31</v>
      </c>
      <c r="F3241" t="str">
        <f t="shared" si="592"/>
        <v>COM</v>
      </c>
      <c r="G3241" t="str">
        <f>"MG BRASIL CLUBE DE BENEFICIOS E COOPERACAO RECIPROCA (20112)"</f>
        <v>MG BRASIL CLUBE DE BENEFICIOS E COOPERACAO RECIPROCA (20112)</v>
      </c>
      <c r="H3241" t="s">
        <v>958</v>
      </c>
      <c r="I3241" t="str">
        <f t="shared" si="599"/>
        <v>18/03/2026</v>
      </c>
      <c r="J3241" t="str">
        <f>("06/03/2026")</f>
        <v>06/03/2026</v>
      </c>
      <c r="K3241">
        <v>46099</v>
      </c>
      <c r="N3241">
        <v>192</v>
      </c>
      <c r="O3241" t="s">
        <v>35</v>
      </c>
      <c r="Q3241">
        <v>2418.84</v>
      </c>
      <c r="R3241" t="str">
        <f>"MG BRASIL CLUBE DE BENEFICIOS E COOPERACAO RECIPROCA (20112)"</f>
        <v>MG BRASIL CLUBE DE BENEFICIOS E COOPERACAO RECIPROCA (20112)</v>
      </c>
      <c r="S3241" t="s">
        <v>37</v>
      </c>
      <c r="T3241">
        <v>31419</v>
      </c>
      <c r="U3241">
        <v>21376</v>
      </c>
      <c r="V3241" t="s">
        <v>37</v>
      </c>
    </row>
    <row r="3242" spans="1:22">
      <c r="A3242" t="str">
        <f t="shared" si="600"/>
        <v>18/03/2026</v>
      </c>
      <c r="B3242" t="str">
        <f t="shared" si="601"/>
        <v>SAÍDA</v>
      </c>
      <c r="C3242" t="str">
        <f>"BOLETO"</f>
        <v>BOLETO</v>
      </c>
      <c r="D3242" t="str">
        <f>"7875682"</f>
        <v>7875682</v>
      </c>
      <c r="E3242" t="str">
        <f>"2"</f>
        <v>2</v>
      </c>
      <c r="F3242" t="str">
        <f t="shared" si="592"/>
        <v>COM</v>
      </c>
      <c r="G3242" t="str">
        <f>"CAPEMISA SEGURADORA DE VIDA E PREVIDENCIA SA (20038)"</f>
        <v>CAPEMISA SEGURADORA DE VIDA E PREVIDENCIA SA (20038)</v>
      </c>
      <c r="H3242" t="str">
        <f>"SEGURO CAPEMISA APOLICE Nº 1018200570131"</f>
        <v>SEGURO CAPEMISA APOLICE Nº 1018200570131</v>
      </c>
      <c r="I3242" t="str">
        <f t="shared" si="599"/>
        <v>18/03/2026</v>
      </c>
      <c r="J3242" t="str">
        <f>("02/02/2026")</f>
        <v>02/02/2026</v>
      </c>
      <c r="K3242" t="str">
        <f>("18/03/2026")</f>
        <v>18/03/2026</v>
      </c>
      <c r="L3242">
        <v>3965.25</v>
      </c>
      <c r="M3242">
        <v>3965.25</v>
      </c>
      <c r="N3242">
        <v>192</v>
      </c>
      <c r="O3242" t="str">
        <f>"PLANOS E SEGUROS"</f>
        <v>PLANOS E SEGUROS</v>
      </c>
      <c r="P3242">
        <v>3965.25</v>
      </c>
      <c r="S3242" t="str">
        <f>"BANCO C6 (149)"</f>
        <v>BANCO C6 (149)</v>
      </c>
      <c r="T3242">
        <v>31420</v>
      </c>
      <c r="U3242">
        <v>31791</v>
      </c>
      <c r="V3242" t="s">
        <v>37</v>
      </c>
    </row>
    <row r="3243" spans="1:22">
      <c r="A3243" t="str">
        <f t="shared" si="600"/>
        <v>18/03/2026</v>
      </c>
      <c r="B3243" t="str">
        <f t="shared" si="601"/>
        <v>SAÍDA</v>
      </c>
      <c r="C3243" t="str">
        <f>"BOLETO"</f>
        <v>BOLETO</v>
      </c>
      <c r="D3243" t="str">
        <f>"7875682"</f>
        <v>7875682</v>
      </c>
      <c r="E3243" t="str">
        <f>"2"</f>
        <v>2</v>
      </c>
      <c r="F3243" t="str">
        <f t="shared" si="592"/>
        <v>COM</v>
      </c>
      <c r="G3243" t="str">
        <f>"CAPEMISA SEGURADORA DE VIDA E PREVIDENCIA SA (20038)"</f>
        <v>CAPEMISA SEGURADORA DE VIDA E PREVIDENCIA SA (20038)</v>
      </c>
      <c r="H3243" t="s">
        <v>959</v>
      </c>
      <c r="I3243" t="str">
        <f t="shared" si="599"/>
        <v>18/03/2026</v>
      </c>
      <c r="J3243" t="str">
        <f>("02/02/2026")</f>
        <v>02/02/2026</v>
      </c>
      <c r="K3243">
        <v>46099</v>
      </c>
      <c r="N3243">
        <v>192</v>
      </c>
      <c r="O3243" t="s">
        <v>35</v>
      </c>
      <c r="Q3243">
        <v>3965.25</v>
      </c>
      <c r="R3243" t="str">
        <f>"CAPEMISA SEGURADORA DE VIDA E PREVIDENCIA SA (20038)"</f>
        <v>CAPEMISA SEGURADORA DE VIDA E PREVIDENCIA SA (20038)</v>
      </c>
      <c r="S3243" t="s">
        <v>37</v>
      </c>
      <c r="T3243">
        <v>31420</v>
      </c>
      <c r="U3243">
        <v>31791</v>
      </c>
      <c r="V3243" t="s">
        <v>37</v>
      </c>
    </row>
    <row r="3244" spans="1:22">
      <c r="A3244" t="str">
        <f t="shared" si="600"/>
        <v>18/03/2026</v>
      </c>
      <c r="B3244" t="str">
        <f t="shared" si="601"/>
        <v>SAÍDA</v>
      </c>
      <c r="C3244" t="str">
        <f t="shared" ref="C3244:C3249" si="602">"PIX"</f>
        <v>PIX</v>
      </c>
      <c r="D3244" t="str">
        <f>"34463"</f>
        <v>34463</v>
      </c>
      <c r="E3244" t="str">
        <f t="shared" ref="E3244:E3249" si="603">"1"</f>
        <v>1</v>
      </c>
      <c r="F3244" t="str">
        <f t="shared" si="592"/>
        <v>COM</v>
      </c>
      <c r="G3244" t="str">
        <f>"JUAM SANGUINETE (1)"</f>
        <v>JUAM SANGUINETE (1)</v>
      </c>
      <c r="H3244" t="str">
        <f>"Serv.Prest. 02/03/2026 a 08/03/2026 - VITOR PIX: E-MAIL: costavitoor77@gmail.com"</f>
        <v>Serv.Prest. 02/03/2026 a 08/03/2026 - VITOR PIX: E-MAIL: costavitoor77@gmail.com</v>
      </c>
      <c r="I3244" t="str">
        <f t="shared" si="599"/>
        <v>18/03/2026</v>
      </c>
      <c r="J3244" t="str">
        <f>("09/03/2026")</f>
        <v>09/03/2026</v>
      </c>
      <c r="K3244" t="str">
        <f>("18/03/2026")</f>
        <v>18/03/2026</v>
      </c>
      <c r="L3244">
        <v>600</v>
      </c>
      <c r="M3244">
        <v>600</v>
      </c>
      <c r="N3244">
        <v>109</v>
      </c>
      <c r="O3244" t="str">
        <f>"PAGAMENTO DE ENTREGADORES"</f>
        <v>PAGAMENTO DE ENTREGADORES</v>
      </c>
      <c r="P3244">
        <v>600</v>
      </c>
      <c r="S3244" t="str">
        <f>"BANCO CORA (102)"</f>
        <v>BANCO CORA (102)</v>
      </c>
      <c r="T3244">
        <v>31421</v>
      </c>
      <c r="U3244">
        <v>34463</v>
      </c>
      <c r="V3244" t="s">
        <v>33</v>
      </c>
    </row>
    <row r="3245" spans="1:22">
      <c r="A3245" t="str">
        <f t="shared" si="600"/>
        <v>18/03/2026</v>
      </c>
      <c r="B3245" t="str">
        <f t="shared" si="601"/>
        <v>SAÍDA</v>
      </c>
      <c r="C3245" t="str">
        <f t="shared" si="602"/>
        <v>PIX</v>
      </c>
      <c r="D3245" t="str">
        <f>"34463"</f>
        <v>34463</v>
      </c>
      <c r="E3245" t="str">
        <f t="shared" si="603"/>
        <v>1</v>
      </c>
      <c r="F3245" t="str">
        <f t="shared" si="592"/>
        <v>COM</v>
      </c>
      <c r="G3245" t="str">
        <f>"JUAM SANGUINETE (1)"</f>
        <v>JUAM SANGUINETE (1)</v>
      </c>
      <c r="H3245" t="s">
        <v>960</v>
      </c>
      <c r="I3245" t="str">
        <f t="shared" si="599"/>
        <v>18/03/2026</v>
      </c>
      <c r="J3245" t="str">
        <f>("09/03/2026")</f>
        <v>09/03/2026</v>
      </c>
      <c r="K3245">
        <v>46099</v>
      </c>
      <c r="N3245">
        <v>109</v>
      </c>
      <c r="O3245" t="s">
        <v>27</v>
      </c>
      <c r="Q3245">
        <v>600</v>
      </c>
      <c r="R3245" t="str">
        <f>"PENSE FARMA 11 (10220)"</f>
        <v>PENSE FARMA 11 (10220)</v>
      </c>
      <c r="S3245" t="s">
        <v>33</v>
      </c>
      <c r="T3245">
        <v>31421</v>
      </c>
      <c r="U3245">
        <v>34463</v>
      </c>
      <c r="V3245" t="s">
        <v>33</v>
      </c>
    </row>
    <row r="3246" spans="1:22">
      <c r="A3246" t="str">
        <f t="shared" si="600"/>
        <v>18/03/2026</v>
      </c>
      <c r="B3246" t="str">
        <f t="shared" si="601"/>
        <v>SAÍDA</v>
      </c>
      <c r="C3246" t="str">
        <f t="shared" si="602"/>
        <v>PIX</v>
      </c>
      <c r="D3246" t="str">
        <f>"34859"</f>
        <v>34859</v>
      </c>
      <c r="E3246" t="str">
        <f t="shared" si="603"/>
        <v>1</v>
      </c>
      <c r="F3246" t="str">
        <f t="shared" si="592"/>
        <v>COM</v>
      </c>
      <c r="G3246" t="str">
        <f>"ANNIELLE CRISTIANE SILVA BARBOSA GOMES (1228)"</f>
        <v>ANNIELLE CRISTIANE SILVA BARBOSA GOMES (1228)</v>
      </c>
      <c r="H3246" t="str">
        <f>"Serv.Prest. 09/03/2026 a 15/03/2026 - PIX: CPF - CHAVE: 034.458.495-01"</f>
        <v>Serv.Prest. 09/03/2026 a 15/03/2026 - PIX: CPF - CHAVE: 034.458.495-01</v>
      </c>
      <c r="I3246" t="str">
        <f t="shared" si="599"/>
        <v>18/03/2026</v>
      </c>
      <c r="J3246" t="str">
        <f>("16/03/2026")</f>
        <v>16/03/2026</v>
      </c>
      <c r="K3246" t="str">
        <f>("18/03/2026")</f>
        <v>18/03/2026</v>
      </c>
      <c r="L3246">
        <v>550</v>
      </c>
      <c r="M3246">
        <v>550</v>
      </c>
      <c r="N3246">
        <v>109</v>
      </c>
      <c r="O3246" t="str">
        <f>"PAGAMENTO DE ENTREGADORES"</f>
        <v>PAGAMENTO DE ENTREGADORES</v>
      </c>
      <c r="P3246">
        <v>550</v>
      </c>
      <c r="S3246" t="str">
        <f>"BANCO CORA (102)"</f>
        <v>BANCO CORA (102)</v>
      </c>
      <c r="T3246">
        <v>31422</v>
      </c>
      <c r="U3246">
        <v>35377</v>
      </c>
      <c r="V3246" t="s">
        <v>33</v>
      </c>
    </row>
    <row r="3247" spans="1:22">
      <c r="A3247" t="str">
        <f t="shared" si="600"/>
        <v>18/03/2026</v>
      </c>
      <c r="B3247" t="str">
        <f t="shared" si="601"/>
        <v>SAÍDA</v>
      </c>
      <c r="C3247" t="str">
        <f t="shared" si="602"/>
        <v>PIX</v>
      </c>
      <c r="D3247" t="str">
        <f>"34859"</f>
        <v>34859</v>
      </c>
      <c r="E3247" t="str">
        <f t="shared" si="603"/>
        <v>1</v>
      </c>
      <c r="F3247" t="str">
        <f t="shared" si="592"/>
        <v>COM</v>
      </c>
      <c r="G3247" t="str">
        <f>"ANNIELLE CRISTIANE SILVA BARBOSA GOMES (1228)"</f>
        <v>ANNIELLE CRISTIANE SILVA BARBOSA GOMES (1228)</v>
      </c>
      <c r="H3247" t="s">
        <v>961</v>
      </c>
      <c r="I3247" t="str">
        <f t="shared" si="599"/>
        <v>18/03/2026</v>
      </c>
      <c r="J3247" t="str">
        <f>("16/03/2026")</f>
        <v>16/03/2026</v>
      </c>
      <c r="K3247">
        <v>46099</v>
      </c>
      <c r="N3247">
        <v>109</v>
      </c>
      <c r="O3247" t="s">
        <v>27</v>
      </c>
      <c r="Q3247">
        <v>550</v>
      </c>
      <c r="R3247" t="str">
        <f>"BEM TE FAZ LOJA 7 (10285)"</f>
        <v>BEM TE FAZ LOJA 7 (10285)</v>
      </c>
      <c r="S3247" t="s">
        <v>33</v>
      </c>
      <c r="T3247">
        <v>31422</v>
      </c>
      <c r="U3247">
        <v>35377</v>
      </c>
      <c r="V3247" t="s">
        <v>33</v>
      </c>
    </row>
    <row r="3248" spans="1:22">
      <c r="A3248" t="str">
        <f t="shared" ref="A3248:A3311" si="604">("19/03/2026")</f>
        <v>19/03/2026</v>
      </c>
      <c r="B3248" t="str">
        <f t="shared" si="601"/>
        <v>SAÍDA</v>
      </c>
      <c r="C3248" t="str">
        <f t="shared" si="602"/>
        <v>PIX</v>
      </c>
      <c r="D3248" t="str">
        <f>"34645"</f>
        <v>34645</v>
      </c>
      <c r="E3248" t="str">
        <f t="shared" si="603"/>
        <v>1</v>
      </c>
      <c r="F3248" t="str">
        <f t="shared" si="592"/>
        <v>COM</v>
      </c>
      <c r="G3248" t="str">
        <f>"VITOR DE SOUZA SILVA (360)"</f>
        <v>VITOR DE SOUZA SILVA (360)</v>
      </c>
      <c r="H3248" t="str">
        <f>"Serv.Prest. 02/03/2026 a 08/03/2026 - PIX: CPF - CHAVE: 130.194.566-81"</f>
        <v>Serv.Prest. 02/03/2026 a 08/03/2026 - PIX: CPF - CHAVE: 130.194.566-81</v>
      </c>
      <c r="I3248" t="str">
        <f t="shared" ref="I3248:I3311" si="605">("19/03/2026")</f>
        <v>19/03/2026</v>
      </c>
      <c r="J3248" t="str">
        <f>("10/03/2026")</f>
        <v>10/03/2026</v>
      </c>
      <c r="K3248" t="str">
        <f>("19/03/2026")</f>
        <v>19/03/2026</v>
      </c>
      <c r="L3248">
        <v>60</v>
      </c>
      <c r="M3248">
        <v>60</v>
      </c>
      <c r="N3248">
        <v>109</v>
      </c>
      <c r="O3248" t="str">
        <f>"PAGAMENTO DE ENTREGADORES"</f>
        <v>PAGAMENTO DE ENTREGADORES</v>
      </c>
      <c r="P3248">
        <v>60</v>
      </c>
      <c r="S3248" t="str">
        <f>"CAIXA MOVIMENTAÇÃO OPERACIONAL (132)"</f>
        <v>CAIXA MOVIMENTAÇÃO OPERACIONAL (132)</v>
      </c>
      <c r="T3248">
        <v>31273</v>
      </c>
      <c r="U3248">
        <v>35593</v>
      </c>
      <c r="V3248" t="s">
        <v>22</v>
      </c>
    </row>
    <row r="3249" spans="1:22">
      <c r="A3249" t="str">
        <f t="shared" si="604"/>
        <v>19/03/2026</v>
      </c>
      <c r="B3249" t="str">
        <f t="shared" si="601"/>
        <v>SAÍDA</v>
      </c>
      <c r="C3249" t="str">
        <f t="shared" si="602"/>
        <v>PIX</v>
      </c>
      <c r="D3249" t="str">
        <f>"34645"</f>
        <v>34645</v>
      </c>
      <c r="E3249" t="str">
        <f t="shared" si="603"/>
        <v>1</v>
      </c>
      <c r="F3249" t="str">
        <f t="shared" si="592"/>
        <v>COM</v>
      </c>
      <c r="G3249" t="str">
        <f>"VITOR DE SOUZA SILVA (360)"</f>
        <v>VITOR DE SOUZA SILVA (360)</v>
      </c>
      <c r="H3249" t="s">
        <v>864</v>
      </c>
      <c r="I3249" t="str">
        <f t="shared" si="605"/>
        <v>19/03/2026</v>
      </c>
      <c r="J3249" t="str">
        <f>("10/03/2026")</f>
        <v>10/03/2026</v>
      </c>
      <c r="K3249">
        <v>46100</v>
      </c>
      <c r="N3249">
        <v>109</v>
      </c>
      <c r="O3249" t="s">
        <v>27</v>
      </c>
      <c r="Q3249">
        <v>60</v>
      </c>
      <c r="R3249" t="str">
        <f>"FARMÁCIA INDIANA LJ 121 (10054)"</f>
        <v>FARMÁCIA INDIANA LJ 121 (10054)</v>
      </c>
      <c r="S3249" t="s">
        <v>22</v>
      </c>
      <c r="T3249">
        <v>31273</v>
      </c>
      <c r="U3249">
        <v>35593</v>
      </c>
      <c r="V3249" t="s">
        <v>22</v>
      </c>
    </row>
    <row r="3250" spans="1:22">
      <c r="A3250" t="str">
        <f t="shared" si="604"/>
        <v>19/03/2026</v>
      </c>
      <c r="B3250" t="str">
        <f>"ENTRADA"</f>
        <v>ENTRADA</v>
      </c>
      <c r="C3250" t="str">
        <f>"DINHEIRO"</f>
        <v>DINHEIRO</v>
      </c>
      <c r="D3250" t="str">
        <f>"19032026"</f>
        <v>19032026</v>
      </c>
      <c r="E3250" t="str">
        <f>""</f>
        <v/>
      </c>
      <c r="F3250" t="str">
        <f t="shared" si="592"/>
        <v>COM</v>
      </c>
      <c r="G3250" t="str">
        <f>"VITOR DE SOUZA SILVA (360)"</f>
        <v>VITOR DE SOUZA SILVA (360)</v>
      </c>
      <c r="H3250" t="str">
        <f>"REELMBOLSO CERTIFICADO DIGITAL 1/2"</f>
        <v>REELMBOLSO CERTIFICADO DIGITAL 1/2</v>
      </c>
      <c r="I3250" t="str">
        <f t="shared" si="605"/>
        <v>19/03/2026</v>
      </c>
      <c r="J3250" t="str">
        <f>("18/03/2026")</f>
        <v>18/03/2026</v>
      </c>
      <c r="K3250" t="str">
        <f>("19/03/2026")</f>
        <v>19/03/2026</v>
      </c>
      <c r="L3250">
        <v>60</v>
      </c>
      <c r="M3250">
        <v>60</v>
      </c>
      <c r="N3250">
        <v>108</v>
      </c>
      <c r="O3250" t="str">
        <f>"RECEITAS COM REEMBOLSOS"</f>
        <v>RECEITAS COM REEMBOLSOS</v>
      </c>
      <c r="P3250">
        <v>60</v>
      </c>
      <c r="S3250" t="str">
        <f>"RECEITAS COM REEMBOLSOS (108)"</f>
        <v>RECEITAS COM REEMBOLSOS (108)</v>
      </c>
      <c r="T3250">
        <v>31274</v>
      </c>
      <c r="U3250">
        <v>35591</v>
      </c>
      <c r="V3250" t="s">
        <v>22</v>
      </c>
    </row>
    <row r="3251" spans="1:22">
      <c r="A3251" t="str">
        <f t="shared" si="604"/>
        <v>19/03/2026</v>
      </c>
      <c r="B3251" t="str">
        <f>"ENTRADA"</f>
        <v>ENTRADA</v>
      </c>
      <c r="C3251" t="str">
        <f>"DINHEIRO"</f>
        <v>DINHEIRO</v>
      </c>
      <c r="D3251" t="str">
        <f>"19032026"</f>
        <v>19032026</v>
      </c>
      <c r="E3251" t="str">
        <f>""</f>
        <v/>
      </c>
      <c r="F3251" t="str">
        <f t="shared" si="592"/>
        <v>COM</v>
      </c>
      <c r="G3251" t="str">
        <f>"VITOR DE SOUZA SILVA (360)"</f>
        <v>VITOR DE SOUZA SILVA (360)</v>
      </c>
      <c r="H3251" t="s">
        <v>913</v>
      </c>
      <c r="I3251" t="str">
        <f t="shared" si="605"/>
        <v>19/03/2026</v>
      </c>
      <c r="J3251" t="str">
        <f>("18/03/2026")</f>
        <v>18/03/2026</v>
      </c>
      <c r="K3251">
        <v>46100</v>
      </c>
      <c r="N3251">
        <v>108</v>
      </c>
      <c r="O3251" t="s">
        <v>871</v>
      </c>
      <c r="Q3251">
        <v>60</v>
      </c>
      <c r="R3251" t="str">
        <f>"VITOR DE SOUZA SILVA (360)"</f>
        <v>VITOR DE SOUZA SILVA (360)</v>
      </c>
      <c r="S3251" t="s">
        <v>872</v>
      </c>
      <c r="T3251">
        <v>31274</v>
      </c>
      <c r="U3251">
        <v>35591</v>
      </c>
      <c r="V3251" t="s">
        <v>22</v>
      </c>
    </row>
    <row r="3252" spans="1:22">
      <c r="A3252" t="str">
        <f t="shared" si="604"/>
        <v>19/03/2026</v>
      </c>
      <c r="B3252" t="str">
        <f>"SAÍDA"</f>
        <v>SAÍDA</v>
      </c>
      <c r="C3252" t="str">
        <f>"PIX"</f>
        <v>PIX</v>
      </c>
      <c r="D3252" t="str">
        <f>"34624"</f>
        <v>34624</v>
      </c>
      <c r="E3252" t="str">
        <f>"1"</f>
        <v>1</v>
      </c>
      <c r="F3252" t="str">
        <f t="shared" si="592"/>
        <v>COM</v>
      </c>
      <c r="G3252" t="str">
        <f>"RAFAEL MONTEIRO DE CASTRO VITRAL (1038)"</f>
        <v>RAFAEL MONTEIRO DE CASTRO VITRAL (1038)</v>
      </c>
      <c r="H3252" t="str">
        <f>"Serv.Prest. 02/03/2026 a 08/03/2026 - PIX: CELULAR - CHAVE: (24) 99846-2202"</f>
        <v>Serv.Prest. 02/03/2026 a 08/03/2026 - PIX: CELULAR - CHAVE: (24) 99846-2202</v>
      </c>
      <c r="I3252" t="str">
        <f t="shared" si="605"/>
        <v>19/03/2026</v>
      </c>
      <c r="J3252" t="str">
        <f>("10/03/2026")</f>
        <v>10/03/2026</v>
      </c>
      <c r="K3252" t="str">
        <f>("19/03/2026")</f>
        <v>19/03/2026</v>
      </c>
      <c r="L3252">
        <v>60</v>
      </c>
      <c r="M3252">
        <v>60</v>
      </c>
      <c r="N3252">
        <v>109</v>
      </c>
      <c r="O3252" t="str">
        <f>"PAGAMENTO DE ENTREGADORES"</f>
        <v>PAGAMENTO DE ENTREGADORES</v>
      </c>
      <c r="P3252">
        <v>60</v>
      </c>
      <c r="S3252" t="str">
        <f>"CAIXA MOVIMENTAÇÃO OPERACIONAL (132)"</f>
        <v>CAIXA MOVIMENTAÇÃO OPERACIONAL (132)</v>
      </c>
      <c r="T3252">
        <v>31275</v>
      </c>
      <c r="U3252">
        <v>35596</v>
      </c>
      <c r="V3252" t="s">
        <v>22</v>
      </c>
    </row>
    <row r="3253" spans="1:22">
      <c r="A3253" t="str">
        <f t="shared" si="604"/>
        <v>19/03/2026</v>
      </c>
      <c r="B3253" t="str">
        <f>"SAÍDA"</f>
        <v>SAÍDA</v>
      </c>
      <c r="C3253" t="str">
        <f>"PIX"</f>
        <v>PIX</v>
      </c>
      <c r="D3253" t="str">
        <f>"34624"</f>
        <v>34624</v>
      </c>
      <c r="E3253" t="str">
        <f>"1"</f>
        <v>1</v>
      </c>
      <c r="F3253" t="str">
        <f t="shared" si="592"/>
        <v>COM</v>
      </c>
      <c r="G3253" t="str">
        <f>"RAFAEL MONTEIRO DE CASTRO VITRAL (1038)"</f>
        <v>RAFAEL MONTEIRO DE CASTRO VITRAL (1038)</v>
      </c>
      <c r="H3253" t="s">
        <v>962</v>
      </c>
      <c r="I3253" t="str">
        <f t="shared" si="605"/>
        <v>19/03/2026</v>
      </c>
      <c r="J3253" t="str">
        <f>("10/03/2026")</f>
        <v>10/03/2026</v>
      </c>
      <c r="K3253">
        <v>46100</v>
      </c>
      <c r="N3253">
        <v>109</v>
      </c>
      <c r="O3253" t="s">
        <v>27</v>
      </c>
      <c r="Q3253">
        <v>60</v>
      </c>
      <c r="R3253" t="str">
        <f>"FARMÁCIA INDIANA LJ 219 (10091)"</f>
        <v>FARMÁCIA INDIANA LJ 219 (10091)</v>
      </c>
      <c r="S3253" t="s">
        <v>22</v>
      </c>
      <c r="T3253">
        <v>31275</v>
      </c>
      <c r="U3253">
        <v>35596</v>
      </c>
      <c r="V3253" t="s">
        <v>22</v>
      </c>
    </row>
    <row r="3254" spans="1:22">
      <c r="A3254" t="str">
        <f t="shared" si="604"/>
        <v>19/03/2026</v>
      </c>
      <c r="B3254" t="str">
        <f>"ENTRADA"</f>
        <v>ENTRADA</v>
      </c>
      <c r="C3254" t="str">
        <f>"DINHEIRO"</f>
        <v>DINHEIRO</v>
      </c>
      <c r="D3254" t="str">
        <f>"19032026"</f>
        <v>19032026</v>
      </c>
      <c r="E3254" t="str">
        <f>""</f>
        <v/>
      </c>
      <c r="F3254" t="str">
        <f t="shared" si="592"/>
        <v>COM</v>
      </c>
      <c r="G3254" t="str">
        <f>"RAFAEL MONTEIRO DE CASTRO VITRAL (1038)"</f>
        <v>RAFAEL MONTEIRO DE CASTRO VITRAL (1038)</v>
      </c>
      <c r="H3254" t="str">
        <f>"REELMBOLSO CERTIFICADO DIGITAL 1/2"</f>
        <v>REELMBOLSO CERTIFICADO DIGITAL 1/2</v>
      </c>
      <c r="I3254" t="str">
        <f t="shared" si="605"/>
        <v>19/03/2026</v>
      </c>
      <c r="J3254" t="str">
        <f>("18/03/2026")</f>
        <v>18/03/2026</v>
      </c>
      <c r="K3254" t="str">
        <f>("19/03/2026")</f>
        <v>19/03/2026</v>
      </c>
      <c r="L3254">
        <v>60</v>
      </c>
      <c r="M3254">
        <v>60</v>
      </c>
      <c r="N3254">
        <v>108</v>
      </c>
      <c r="O3254" t="str">
        <f>"RECEITAS COM REEMBOLSOS"</f>
        <v>RECEITAS COM REEMBOLSOS</v>
      </c>
      <c r="P3254">
        <v>60</v>
      </c>
      <c r="S3254" t="str">
        <f>"RECEITAS COM REEMBOLSOS (108)"</f>
        <v>RECEITAS COM REEMBOLSOS (108)</v>
      </c>
      <c r="T3254">
        <v>31276</v>
      </c>
      <c r="U3254">
        <v>35594</v>
      </c>
      <c r="V3254" t="s">
        <v>22</v>
      </c>
    </row>
    <row r="3255" spans="1:22">
      <c r="A3255" t="str">
        <f t="shared" si="604"/>
        <v>19/03/2026</v>
      </c>
      <c r="B3255" t="str">
        <f>"ENTRADA"</f>
        <v>ENTRADA</v>
      </c>
      <c r="C3255" t="str">
        <f>"DINHEIRO"</f>
        <v>DINHEIRO</v>
      </c>
      <c r="D3255" t="str">
        <f>"19032026"</f>
        <v>19032026</v>
      </c>
      <c r="E3255" t="str">
        <f>""</f>
        <v/>
      </c>
      <c r="F3255" t="str">
        <f t="shared" si="592"/>
        <v>COM</v>
      </c>
      <c r="G3255" t="str">
        <f>"RAFAEL MONTEIRO DE CASTRO VITRAL (1038)"</f>
        <v>RAFAEL MONTEIRO DE CASTRO VITRAL (1038)</v>
      </c>
      <c r="H3255" t="s">
        <v>913</v>
      </c>
      <c r="I3255" t="str">
        <f t="shared" si="605"/>
        <v>19/03/2026</v>
      </c>
      <c r="J3255" t="str">
        <f>("18/03/2026")</f>
        <v>18/03/2026</v>
      </c>
      <c r="K3255">
        <v>46100</v>
      </c>
      <c r="N3255">
        <v>108</v>
      </c>
      <c r="O3255" t="s">
        <v>871</v>
      </c>
      <c r="Q3255">
        <v>60</v>
      </c>
      <c r="R3255" t="str">
        <f>"RAFAEL MONTEIRO DE CASTRO VITRAL (1038)"</f>
        <v>RAFAEL MONTEIRO DE CASTRO VITRAL (1038)</v>
      </c>
      <c r="S3255" t="s">
        <v>872</v>
      </c>
      <c r="T3255">
        <v>31276</v>
      </c>
      <c r="U3255">
        <v>35594</v>
      </c>
      <c r="V3255" t="s">
        <v>22</v>
      </c>
    </row>
    <row r="3256" spans="1:22">
      <c r="A3256" t="str">
        <f t="shared" si="604"/>
        <v>19/03/2026</v>
      </c>
      <c r="B3256" t="str">
        <f>"SAÍDA"</f>
        <v>SAÍDA</v>
      </c>
      <c r="C3256" t="str">
        <f>"PIX"</f>
        <v>PIX</v>
      </c>
      <c r="D3256" t="str">
        <f>"35091"</f>
        <v>35091</v>
      </c>
      <c r="E3256" t="str">
        <f>"1"</f>
        <v>1</v>
      </c>
      <c r="F3256" t="str">
        <f t="shared" si="592"/>
        <v>COM</v>
      </c>
      <c r="G3256" t="str">
        <f>"MATEUS VIEIRA DE SOUZA (1019)"</f>
        <v>MATEUS VIEIRA DE SOUZA (1019)</v>
      </c>
      <c r="H3256" t="str">
        <f>"Serv.Prest. 09/03/2026 a 15/03/2026 - PIX: CELULAR - CHAVE: (11) 97702-1316"</f>
        <v>Serv.Prest. 09/03/2026 a 15/03/2026 - PIX: CELULAR - CHAVE: (11) 97702-1316</v>
      </c>
      <c r="I3256" t="str">
        <f t="shared" si="605"/>
        <v>19/03/2026</v>
      </c>
      <c r="J3256" t="str">
        <f>("17/03/2026")</f>
        <v>17/03/2026</v>
      </c>
      <c r="K3256" t="str">
        <f>("19/03/2026")</f>
        <v>19/03/2026</v>
      </c>
      <c r="L3256">
        <v>60</v>
      </c>
      <c r="M3256">
        <v>60</v>
      </c>
      <c r="N3256">
        <v>109</v>
      </c>
      <c r="O3256" t="str">
        <f>"PAGAMENTO DE ENTREGADORES"</f>
        <v>PAGAMENTO DE ENTREGADORES</v>
      </c>
      <c r="P3256">
        <v>60</v>
      </c>
      <c r="S3256" t="str">
        <f>"CAIXA MOVIMENTAÇÃO OPERACIONAL (132)"</f>
        <v>CAIXA MOVIMENTAÇÃO OPERACIONAL (132)</v>
      </c>
      <c r="T3256">
        <v>31277</v>
      </c>
      <c r="U3256">
        <v>35599</v>
      </c>
      <c r="V3256" t="s">
        <v>22</v>
      </c>
    </row>
    <row r="3257" spans="1:22">
      <c r="A3257" t="str">
        <f t="shared" si="604"/>
        <v>19/03/2026</v>
      </c>
      <c r="B3257" t="str">
        <f>"SAÍDA"</f>
        <v>SAÍDA</v>
      </c>
      <c r="C3257" t="str">
        <f>"PIX"</f>
        <v>PIX</v>
      </c>
      <c r="D3257" t="str">
        <f>"35091"</f>
        <v>35091</v>
      </c>
      <c r="E3257" t="str">
        <f>"1"</f>
        <v>1</v>
      </c>
      <c r="F3257" t="str">
        <f t="shared" si="592"/>
        <v>COM</v>
      </c>
      <c r="G3257" t="str">
        <f>"MATEUS VIEIRA DE SOUZA (1019)"</f>
        <v>MATEUS VIEIRA DE SOUZA (1019)</v>
      </c>
      <c r="H3257" t="s">
        <v>895</v>
      </c>
      <c r="I3257" t="str">
        <f t="shared" si="605"/>
        <v>19/03/2026</v>
      </c>
      <c r="J3257" t="str">
        <f>("17/03/2026")</f>
        <v>17/03/2026</v>
      </c>
      <c r="K3257">
        <v>46100</v>
      </c>
      <c r="N3257">
        <v>109</v>
      </c>
      <c r="O3257" t="s">
        <v>27</v>
      </c>
      <c r="Q3257">
        <v>60</v>
      </c>
      <c r="R3257" t="str">
        <f>"PENSE FARMA 47 (10232)"</f>
        <v>PENSE FARMA 47 (10232)</v>
      </c>
      <c r="S3257" t="s">
        <v>22</v>
      </c>
      <c r="T3257">
        <v>31277</v>
      </c>
      <c r="U3257">
        <v>35599</v>
      </c>
      <c r="V3257" t="s">
        <v>22</v>
      </c>
    </row>
    <row r="3258" spans="1:22">
      <c r="A3258" t="str">
        <f t="shared" si="604"/>
        <v>19/03/2026</v>
      </c>
      <c r="B3258" t="str">
        <f>"ENTRADA"</f>
        <v>ENTRADA</v>
      </c>
      <c r="C3258" t="str">
        <f>"DINHEIRO"</f>
        <v>DINHEIRO</v>
      </c>
      <c r="D3258" t="str">
        <f>"19032026"</f>
        <v>19032026</v>
      </c>
      <c r="E3258" t="str">
        <f>""</f>
        <v/>
      </c>
      <c r="F3258" t="str">
        <f t="shared" si="592"/>
        <v>COM</v>
      </c>
      <c r="G3258" t="str">
        <f>"MATEUS VIEIRA DE SOUZA (1019)"</f>
        <v>MATEUS VIEIRA DE SOUZA (1019)</v>
      </c>
      <c r="H3258" t="str">
        <f>"REELMBOLSO CERTIFICADO DIGITAL 1/2"</f>
        <v>REELMBOLSO CERTIFICADO DIGITAL 1/2</v>
      </c>
      <c r="I3258" t="str">
        <f t="shared" si="605"/>
        <v>19/03/2026</v>
      </c>
      <c r="J3258" t="str">
        <f>("18/03/2026")</f>
        <v>18/03/2026</v>
      </c>
      <c r="K3258" t="str">
        <f>("19/03/2026")</f>
        <v>19/03/2026</v>
      </c>
      <c r="L3258">
        <v>60</v>
      </c>
      <c r="M3258">
        <v>60</v>
      </c>
      <c r="N3258">
        <v>108</v>
      </c>
      <c r="O3258" t="str">
        <f>"RECEITAS COM REEMBOLSOS"</f>
        <v>RECEITAS COM REEMBOLSOS</v>
      </c>
      <c r="P3258">
        <v>60</v>
      </c>
      <c r="S3258" t="str">
        <f>"RECEITAS COM REEMBOLSOS (108)"</f>
        <v>RECEITAS COM REEMBOLSOS (108)</v>
      </c>
      <c r="T3258">
        <v>31278</v>
      </c>
      <c r="U3258">
        <v>35597</v>
      </c>
      <c r="V3258" t="s">
        <v>22</v>
      </c>
    </row>
    <row r="3259" spans="1:22">
      <c r="A3259" t="str">
        <f t="shared" si="604"/>
        <v>19/03/2026</v>
      </c>
      <c r="B3259" t="str">
        <f>"ENTRADA"</f>
        <v>ENTRADA</v>
      </c>
      <c r="C3259" t="str">
        <f>"DINHEIRO"</f>
        <v>DINHEIRO</v>
      </c>
      <c r="D3259" t="str">
        <f>"19032026"</f>
        <v>19032026</v>
      </c>
      <c r="E3259" t="str">
        <f>""</f>
        <v/>
      </c>
      <c r="F3259" t="str">
        <f t="shared" si="592"/>
        <v>COM</v>
      </c>
      <c r="G3259" t="str">
        <f>"MATEUS VIEIRA DE SOUZA (1019)"</f>
        <v>MATEUS VIEIRA DE SOUZA (1019)</v>
      </c>
      <c r="H3259" t="s">
        <v>913</v>
      </c>
      <c r="I3259" t="str">
        <f t="shared" si="605"/>
        <v>19/03/2026</v>
      </c>
      <c r="J3259" t="str">
        <f>("18/03/2026")</f>
        <v>18/03/2026</v>
      </c>
      <c r="K3259">
        <v>46100</v>
      </c>
      <c r="N3259">
        <v>108</v>
      </c>
      <c r="O3259" t="s">
        <v>871</v>
      </c>
      <c r="Q3259">
        <v>60</v>
      </c>
      <c r="R3259" t="str">
        <f>"MATEUS VIEIRA DE SOUZA (1019)"</f>
        <v>MATEUS VIEIRA DE SOUZA (1019)</v>
      </c>
      <c r="S3259" t="s">
        <v>872</v>
      </c>
      <c r="T3259">
        <v>31278</v>
      </c>
      <c r="U3259">
        <v>35597</v>
      </c>
      <c r="V3259" t="s">
        <v>22</v>
      </c>
    </row>
    <row r="3260" spans="1:22">
      <c r="A3260" t="str">
        <f t="shared" si="604"/>
        <v>19/03/2026</v>
      </c>
      <c r="B3260" t="str">
        <f>"SAÍDA"</f>
        <v>SAÍDA</v>
      </c>
      <c r="C3260" t="str">
        <f>"PIX"</f>
        <v>PIX</v>
      </c>
      <c r="D3260" t="str">
        <f>"34513"</f>
        <v>34513</v>
      </c>
      <c r="E3260" t="str">
        <f>"1"</f>
        <v>1</v>
      </c>
      <c r="F3260" t="str">
        <f t="shared" si="592"/>
        <v>COM</v>
      </c>
      <c r="G3260" t="str">
        <f>"MARCELO RODRIGUES DA SILVA (1194)"</f>
        <v>MARCELO RODRIGUES DA SILVA (1194)</v>
      </c>
      <c r="H3260" t="str">
        <f>"Serv.Prest. 02/03/2026 a 08/03/2026 - PIX: CELULAR - CHAVE: (73) 99178-4624"</f>
        <v>Serv.Prest. 02/03/2026 a 08/03/2026 - PIX: CELULAR - CHAVE: (73) 99178-4624</v>
      </c>
      <c r="I3260" t="str">
        <f t="shared" si="605"/>
        <v>19/03/2026</v>
      </c>
      <c r="J3260" t="str">
        <f>("10/03/2026")</f>
        <v>10/03/2026</v>
      </c>
      <c r="K3260" t="str">
        <f>("19/03/2026")</f>
        <v>19/03/2026</v>
      </c>
      <c r="L3260">
        <v>60</v>
      </c>
      <c r="M3260">
        <v>60</v>
      </c>
      <c r="N3260">
        <v>109</v>
      </c>
      <c r="O3260" t="str">
        <f>"PAGAMENTO DE ENTREGADORES"</f>
        <v>PAGAMENTO DE ENTREGADORES</v>
      </c>
      <c r="P3260">
        <v>60</v>
      </c>
      <c r="S3260" t="str">
        <f>"CAIXA MOVIMENTAÇÃO OPERACIONAL (132)"</f>
        <v>CAIXA MOVIMENTAÇÃO OPERACIONAL (132)</v>
      </c>
      <c r="T3260">
        <v>31279</v>
      </c>
      <c r="U3260">
        <v>35602</v>
      </c>
      <c r="V3260" t="s">
        <v>22</v>
      </c>
    </row>
    <row r="3261" spans="1:22">
      <c r="A3261" t="str">
        <f t="shared" si="604"/>
        <v>19/03/2026</v>
      </c>
      <c r="B3261" t="str">
        <f>"SAÍDA"</f>
        <v>SAÍDA</v>
      </c>
      <c r="C3261" t="str">
        <f>"PIX"</f>
        <v>PIX</v>
      </c>
      <c r="D3261" t="str">
        <f>"34513"</f>
        <v>34513</v>
      </c>
      <c r="E3261" t="str">
        <f>"1"</f>
        <v>1</v>
      </c>
      <c r="F3261" t="str">
        <f t="shared" si="592"/>
        <v>COM</v>
      </c>
      <c r="G3261" t="str">
        <f>"MARCELO RODRIGUES DA SILVA (1194)"</f>
        <v>MARCELO RODRIGUES DA SILVA (1194)</v>
      </c>
      <c r="H3261" t="s">
        <v>890</v>
      </c>
      <c r="I3261" t="str">
        <f t="shared" si="605"/>
        <v>19/03/2026</v>
      </c>
      <c r="J3261" t="str">
        <f>("10/03/2026")</f>
        <v>10/03/2026</v>
      </c>
      <c r="K3261">
        <v>46100</v>
      </c>
      <c r="N3261">
        <v>109</v>
      </c>
      <c r="O3261" t="s">
        <v>27</v>
      </c>
      <c r="Q3261">
        <v>60</v>
      </c>
      <c r="R3261" t="str">
        <f>"FARMÁCIA INDIANA LJ 145 (10068)"</f>
        <v>FARMÁCIA INDIANA LJ 145 (10068)</v>
      </c>
      <c r="S3261" t="s">
        <v>22</v>
      </c>
      <c r="T3261">
        <v>31279</v>
      </c>
      <c r="U3261">
        <v>35602</v>
      </c>
      <c r="V3261" t="s">
        <v>22</v>
      </c>
    </row>
    <row r="3262" spans="1:22">
      <c r="A3262" t="str">
        <f t="shared" si="604"/>
        <v>19/03/2026</v>
      </c>
      <c r="B3262" t="str">
        <f>"ENTRADA"</f>
        <v>ENTRADA</v>
      </c>
      <c r="C3262" t="str">
        <f>"DINHEIRO"</f>
        <v>DINHEIRO</v>
      </c>
      <c r="D3262" t="str">
        <f>"19032026"</f>
        <v>19032026</v>
      </c>
      <c r="E3262" t="str">
        <f>""</f>
        <v/>
      </c>
      <c r="F3262" t="str">
        <f t="shared" si="592"/>
        <v>COM</v>
      </c>
      <c r="G3262" t="str">
        <f>"MARCELO RODRIGUES DA SILVA (1194)"</f>
        <v>MARCELO RODRIGUES DA SILVA (1194)</v>
      </c>
      <c r="H3262" t="str">
        <f>"REELMBOLSO CERTIFICADO DIGITAL 1/2"</f>
        <v>REELMBOLSO CERTIFICADO DIGITAL 1/2</v>
      </c>
      <c r="I3262" t="str">
        <f t="shared" si="605"/>
        <v>19/03/2026</v>
      </c>
      <c r="J3262" t="str">
        <f>("18/03/2026")</f>
        <v>18/03/2026</v>
      </c>
      <c r="K3262" t="str">
        <f>("19/03/2026")</f>
        <v>19/03/2026</v>
      </c>
      <c r="L3262">
        <v>60</v>
      </c>
      <c r="M3262">
        <v>60</v>
      </c>
      <c r="N3262">
        <v>108</v>
      </c>
      <c r="O3262" t="str">
        <f>"RECEITAS COM REEMBOLSOS"</f>
        <v>RECEITAS COM REEMBOLSOS</v>
      </c>
      <c r="P3262">
        <v>60</v>
      </c>
      <c r="S3262" t="str">
        <f>"RECEITAS COM REEMBOLSOS (108)"</f>
        <v>RECEITAS COM REEMBOLSOS (108)</v>
      </c>
      <c r="T3262">
        <v>31280</v>
      </c>
      <c r="U3262">
        <v>35600</v>
      </c>
      <c r="V3262" t="s">
        <v>22</v>
      </c>
    </row>
    <row r="3263" spans="1:22">
      <c r="A3263" t="str">
        <f t="shared" si="604"/>
        <v>19/03/2026</v>
      </c>
      <c r="B3263" t="str">
        <f>"ENTRADA"</f>
        <v>ENTRADA</v>
      </c>
      <c r="C3263" t="str">
        <f>"DINHEIRO"</f>
        <v>DINHEIRO</v>
      </c>
      <c r="D3263" t="str">
        <f>"19032026"</f>
        <v>19032026</v>
      </c>
      <c r="E3263" t="str">
        <f>""</f>
        <v/>
      </c>
      <c r="F3263" t="str">
        <f t="shared" si="592"/>
        <v>COM</v>
      </c>
      <c r="G3263" t="str">
        <f>"MARCELO RODRIGUES DA SILVA (1194)"</f>
        <v>MARCELO RODRIGUES DA SILVA (1194)</v>
      </c>
      <c r="H3263" t="s">
        <v>913</v>
      </c>
      <c r="I3263" t="str">
        <f t="shared" si="605"/>
        <v>19/03/2026</v>
      </c>
      <c r="J3263" t="str">
        <f>("18/03/2026")</f>
        <v>18/03/2026</v>
      </c>
      <c r="K3263">
        <v>46100</v>
      </c>
      <c r="N3263">
        <v>108</v>
      </c>
      <c r="O3263" t="s">
        <v>871</v>
      </c>
      <c r="Q3263">
        <v>60</v>
      </c>
      <c r="R3263" t="str">
        <f>"MARCELO RODRIGUES DA SILVA (1194)"</f>
        <v>MARCELO RODRIGUES DA SILVA (1194)</v>
      </c>
      <c r="S3263" t="s">
        <v>872</v>
      </c>
      <c r="T3263">
        <v>31280</v>
      </c>
      <c r="U3263">
        <v>35600</v>
      </c>
      <c r="V3263" t="s">
        <v>22</v>
      </c>
    </row>
    <row r="3264" spans="1:22">
      <c r="A3264" t="str">
        <f t="shared" si="604"/>
        <v>19/03/2026</v>
      </c>
      <c r="B3264" t="str">
        <f>"SAÍDA"</f>
        <v>SAÍDA</v>
      </c>
      <c r="C3264" t="str">
        <f>"PIX"</f>
        <v>PIX</v>
      </c>
      <c r="D3264" t="str">
        <f>"34894"</f>
        <v>34894</v>
      </c>
      <c r="E3264" t="str">
        <f>"1"</f>
        <v>1</v>
      </c>
      <c r="F3264" t="str">
        <f t="shared" si="592"/>
        <v>COM</v>
      </c>
      <c r="G3264" t="str">
        <f>"RICHARD HENRIQUE DA SILVA (244)"</f>
        <v>RICHARD HENRIQUE DA SILVA (244)</v>
      </c>
      <c r="H3264" t="str">
        <f>"Serv.Prest. 09/03/2026 a 15/03/2026 - PIX: CELULAR - CHAVE: (37) 99197-6834"</f>
        <v>Serv.Prest. 09/03/2026 a 15/03/2026 - PIX: CELULAR - CHAVE: (37) 99197-6834</v>
      </c>
      <c r="I3264" t="str">
        <f t="shared" si="605"/>
        <v>19/03/2026</v>
      </c>
      <c r="J3264" t="str">
        <f>("16/03/2026")</f>
        <v>16/03/2026</v>
      </c>
      <c r="K3264" t="str">
        <f>("19/03/2026")</f>
        <v>19/03/2026</v>
      </c>
      <c r="L3264">
        <v>60</v>
      </c>
      <c r="M3264">
        <v>60</v>
      </c>
      <c r="N3264">
        <v>109</v>
      </c>
      <c r="O3264" t="str">
        <f>"PAGAMENTO DE ENTREGADORES"</f>
        <v>PAGAMENTO DE ENTREGADORES</v>
      </c>
      <c r="P3264">
        <v>60</v>
      </c>
      <c r="S3264" t="str">
        <f>"CAIXA MOVIMENTAÇÃO OPERACIONAL (132)"</f>
        <v>CAIXA MOVIMENTAÇÃO OPERACIONAL (132)</v>
      </c>
      <c r="T3264">
        <v>31281</v>
      </c>
      <c r="U3264">
        <v>35605</v>
      </c>
      <c r="V3264" t="s">
        <v>22</v>
      </c>
    </row>
    <row r="3265" spans="1:22">
      <c r="A3265" t="str">
        <f t="shared" si="604"/>
        <v>19/03/2026</v>
      </c>
      <c r="B3265" t="str">
        <f>"SAÍDA"</f>
        <v>SAÍDA</v>
      </c>
      <c r="C3265" t="str">
        <f>"PIX"</f>
        <v>PIX</v>
      </c>
      <c r="D3265" t="str">
        <f>"34894"</f>
        <v>34894</v>
      </c>
      <c r="E3265" t="str">
        <f>"1"</f>
        <v>1</v>
      </c>
      <c r="F3265" t="str">
        <f t="shared" si="592"/>
        <v>COM</v>
      </c>
      <c r="G3265" t="str">
        <f>"RICHARD HENRIQUE DA SILVA (244)"</f>
        <v>RICHARD HENRIQUE DA SILVA (244)</v>
      </c>
      <c r="H3265" t="s">
        <v>963</v>
      </c>
      <c r="I3265" t="str">
        <f t="shared" si="605"/>
        <v>19/03/2026</v>
      </c>
      <c r="J3265" t="str">
        <f>("16/03/2026")</f>
        <v>16/03/2026</v>
      </c>
      <c r="K3265">
        <v>46100</v>
      </c>
      <c r="N3265">
        <v>109</v>
      </c>
      <c r="O3265" t="s">
        <v>27</v>
      </c>
      <c r="Q3265">
        <v>60</v>
      </c>
      <c r="R3265" t="str">
        <f>"DROGARIA POUPA MINAS (ULTRAMINAS) 1 (10181)"</f>
        <v>DROGARIA POUPA MINAS (ULTRAMINAS) 1 (10181)</v>
      </c>
      <c r="S3265" t="s">
        <v>22</v>
      </c>
      <c r="T3265">
        <v>31281</v>
      </c>
      <c r="U3265">
        <v>35605</v>
      </c>
      <c r="V3265" t="s">
        <v>22</v>
      </c>
    </row>
    <row r="3266" spans="1:22">
      <c r="A3266" t="str">
        <f t="shared" si="604"/>
        <v>19/03/2026</v>
      </c>
      <c r="B3266" t="str">
        <f>"ENTRADA"</f>
        <v>ENTRADA</v>
      </c>
      <c r="C3266" t="str">
        <f>"DINHEIRO"</f>
        <v>DINHEIRO</v>
      </c>
      <c r="D3266" t="str">
        <f>"19032026"</f>
        <v>19032026</v>
      </c>
      <c r="E3266" t="str">
        <f>""</f>
        <v/>
      </c>
      <c r="F3266" t="str">
        <f t="shared" ref="F3266:F3329" si="606">"COM"</f>
        <v>COM</v>
      </c>
      <c r="G3266" t="str">
        <f>"RICHARD HENRIQUE DA SILVA (244)"</f>
        <v>RICHARD HENRIQUE DA SILVA (244)</v>
      </c>
      <c r="H3266" t="str">
        <f>"REELMBOLSO CERTIFICADO DIGITAL 1/2"</f>
        <v>REELMBOLSO CERTIFICADO DIGITAL 1/2</v>
      </c>
      <c r="I3266" t="str">
        <f t="shared" si="605"/>
        <v>19/03/2026</v>
      </c>
      <c r="J3266" t="str">
        <f>("18/03/2026")</f>
        <v>18/03/2026</v>
      </c>
      <c r="K3266" t="str">
        <f>("19/03/2026")</f>
        <v>19/03/2026</v>
      </c>
      <c r="L3266">
        <v>60</v>
      </c>
      <c r="M3266">
        <v>60</v>
      </c>
      <c r="N3266">
        <v>108</v>
      </c>
      <c r="O3266" t="str">
        <f>"RECEITAS COM REEMBOLSOS"</f>
        <v>RECEITAS COM REEMBOLSOS</v>
      </c>
      <c r="P3266">
        <v>60</v>
      </c>
      <c r="S3266" t="str">
        <f>"RECEITAS COM REEMBOLSOS (108)"</f>
        <v>RECEITAS COM REEMBOLSOS (108)</v>
      </c>
      <c r="T3266">
        <v>31282</v>
      </c>
      <c r="U3266">
        <v>35603</v>
      </c>
      <c r="V3266" t="s">
        <v>22</v>
      </c>
    </row>
    <row r="3267" spans="1:22">
      <c r="A3267" t="str">
        <f t="shared" si="604"/>
        <v>19/03/2026</v>
      </c>
      <c r="B3267" t="str">
        <f>"ENTRADA"</f>
        <v>ENTRADA</v>
      </c>
      <c r="C3267" t="str">
        <f>"DINHEIRO"</f>
        <v>DINHEIRO</v>
      </c>
      <c r="D3267" t="str">
        <f>"19032026"</f>
        <v>19032026</v>
      </c>
      <c r="E3267" t="str">
        <f>""</f>
        <v/>
      </c>
      <c r="F3267" t="str">
        <f t="shared" si="606"/>
        <v>COM</v>
      </c>
      <c r="G3267" t="str">
        <f>"RICHARD HENRIQUE DA SILVA (244)"</f>
        <v>RICHARD HENRIQUE DA SILVA (244)</v>
      </c>
      <c r="H3267" t="s">
        <v>913</v>
      </c>
      <c r="I3267" t="str">
        <f t="shared" si="605"/>
        <v>19/03/2026</v>
      </c>
      <c r="J3267" t="str">
        <f>("18/03/2026")</f>
        <v>18/03/2026</v>
      </c>
      <c r="K3267">
        <v>46100</v>
      </c>
      <c r="N3267">
        <v>108</v>
      </c>
      <c r="O3267" t="s">
        <v>871</v>
      </c>
      <c r="Q3267">
        <v>60</v>
      </c>
      <c r="R3267" t="str">
        <f>"RICHARD HENRIQUE DA SILVA (244)"</f>
        <v>RICHARD HENRIQUE DA SILVA (244)</v>
      </c>
      <c r="S3267" t="s">
        <v>872</v>
      </c>
      <c r="T3267">
        <v>31282</v>
      </c>
      <c r="U3267">
        <v>35603</v>
      </c>
      <c r="V3267" t="s">
        <v>22</v>
      </c>
    </row>
    <row r="3268" spans="1:22">
      <c r="A3268" t="str">
        <f t="shared" si="604"/>
        <v>19/03/2026</v>
      </c>
      <c r="B3268" t="str">
        <f>"ENTRADA"</f>
        <v>ENTRADA</v>
      </c>
      <c r="C3268" t="str">
        <f>"DINHEIRO"</f>
        <v>DINHEIRO</v>
      </c>
      <c r="D3268" t="str">
        <f>"19032026"</f>
        <v>19032026</v>
      </c>
      <c r="E3268" t="str">
        <f>""</f>
        <v/>
      </c>
      <c r="F3268" t="str">
        <f t="shared" si="606"/>
        <v>COM</v>
      </c>
      <c r="G3268" t="str">
        <f>"EUDES PIMENTA (368)"</f>
        <v>EUDES PIMENTA (368)</v>
      </c>
      <c r="H3268" t="str">
        <f>"REELMBOLSO CERTIFICADO DIGITAL 1/2"</f>
        <v>REELMBOLSO CERTIFICADO DIGITAL 1/2</v>
      </c>
      <c r="I3268" t="str">
        <f t="shared" si="605"/>
        <v>19/03/2026</v>
      </c>
      <c r="J3268" t="str">
        <f>("18/03/2026")</f>
        <v>18/03/2026</v>
      </c>
      <c r="K3268" t="str">
        <f>("19/03/2026")</f>
        <v>19/03/2026</v>
      </c>
      <c r="L3268">
        <v>60</v>
      </c>
      <c r="M3268">
        <v>60</v>
      </c>
      <c r="N3268">
        <v>108</v>
      </c>
      <c r="O3268" t="str">
        <f>"RECEITAS COM REEMBOLSOS"</f>
        <v>RECEITAS COM REEMBOLSOS</v>
      </c>
      <c r="P3268">
        <v>60</v>
      </c>
      <c r="S3268" t="str">
        <f>"RECEITAS COM REEMBOLSOS (108)"</f>
        <v>RECEITAS COM REEMBOLSOS (108)</v>
      </c>
      <c r="T3268">
        <v>31283</v>
      </c>
      <c r="U3268">
        <v>35606</v>
      </c>
      <c r="V3268" t="s">
        <v>22</v>
      </c>
    </row>
    <row r="3269" spans="1:22">
      <c r="A3269" t="str">
        <f t="shared" si="604"/>
        <v>19/03/2026</v>
      </c>
      <c r="B3269" t="str">
        <f>"ENTRADA"</f>
        <v>ENTRADA</v>
      </c>
      <c r="C3269" t="str">
        <f>"DINHEIRO"</f>
        <v>DINHEIRO</v>
      </c>
      <c r="D3269" t="str">
        <f>"19032026"</f>
        <v>19032026</v>
      </c>
      <c r="E3269" t="str">
        <f>""</f>
        <v/>
      </c>
      <c r="F3269" t="str">
        <f t="shared" si="606"/>
        <v>COM</v>
      </c>
      <c r="G3269" t="str">
        <f>"EUDES PIMENTA (368)"</f>
        <v>EUDES PIMENTA (368)</v>
      </c>
      <c r="H3269" t="s">
        <v>913</v>
      </c>
      <c r="I3269" t="str">
        <f t="shared" si="605"/>
        <v>19/03/2026</v>
      </c>
      <c r="J3269" t="str">
        <f>("18/03/2026")</f>
        <v>18/03/2026</v>
      </c>
      <c r="K3269">
        <v>46100</v>
      </c>
      <c r="N3269">
        <v>108</v>
      </c>
      <c r="O3269" t="s">
        <v>871</v>
      </c>
      <c r="Q3269">
        <v>60</v>
      </c>
      <c r="R3269" t="str">
        <f>"EUDES PIMENTA (368)"</f>
        <v>EUDES PIMENTA (368)</v>
      </c>
      <c r="S3269" t="s">
        <v>872</v>
      </c>
      <c r="T3269">
        <v>31283</v>
      </c>
      <c r="U3269">
        <v>35606</v>
      </c>
      <c r="V3269" t="s">
        <v>22</v>
      </c>
    </row>
    <row r="3270" spans="1:22">
      <c r="A3270" t="str">
        <f t="shared" si="604"/>
        <v>19/03/2026</v>
      </c>
      <c r="B3270" t="str">
        <f>"SAÍDA"</f>
        <v>SAÍDA</v>
      </c>
      <c r="C3270" t="str">
        <f>"PIX"</f>
        <v>PIX</v>
      </c>
      <c r="D3270" t="str">
        <f>"34569"</f>
        <v>34569</v>
      </c>
      <c r="E3270" t="str">
        <f>"1"</f>
        <v>1</v>
      </c>
      <c r="F3270" t="str">
        <f t="shared" si="606"/>
        <v>COM</v>
      </c>
      <c r="G3270" t="str">
        <f>"EUDES PIMENTA (368)"</f>
        <v>EUDES PIMENTA (368)</v>
      </c>
      <c r="H3270" t="str">
        <f>"Serv.Prest. 02/03/2026 a 08/03/2026 - PIX: CPF - CHAVE: 070.073.316-70"</f>
        <v>Serv.Prest. 02/03/2026 a 08/03/2026 - PIX: CPF - CHAVE: 070.073.316-70</v>
      </c>
      <c r="I3270" t="str">
        <f t="shared" si="605"/>
        <v>19/03/2026</v>
      </c>
      <c r="J3270" t="str">
        <f>("10/03/2026")</f>
        <v>10/03/2026</v>
      </c>
      <c r="K3270" t="str">
        <f>("19/03/2026")</f>
        <v>19/03/2026</v>
      </c>
      <c r="L3270">
        <v>60</v>
      </c>
      <c r="M3270">
        <v>60</v>
      </c>
      <c r="N3270">
        <v>109</v>
      </c>
      <c r="O3270" t="str">
        <f>"PAGAMENTO DE ENTREGADORES"</f>
        <v>PAGAMENTO DE ENTREGADORES</v>
      </c>
      <c r="P3270">
        <v>60</v>
      </c>
      <c r="S3270" t="str">
        <f>"CAIXA MOVIMENTAÇÃO OPERACIONAL (132)"</f>
        <v>CAIXA MOVIMENTAÇÃO OPERACIONAL (132)</v>
      </c>
      <c r="T3270">
        <v>31284</v>
      </c>
      <c r="U3270">
        <v>35608</v>
      </c>
      <c r="V3270" t="s">
        <v>22</v>
      </c>
    </row>
    <row r="3271" spans="1:22">
      <c r="A3271" t="str">
        <f t="shared" si="604"/>
        <v>19/03/2026</v>
      </c>
      <c r="B3271" t="str">
        <f>"SAÍDA"</f>
        <v>SAÍDA</v>
      </c>
      <c r="C3271" t="str">
        <f>"PIX"</f>
        <v>PIX</v>
      </c>
      <c r="D3271" t="str">
        <f>"34569"</f>
        <v>34569</v>
      </c>
      <c r="E3271" t="str">
        <f>"1"</f>
        <v>1</v>
      </c>
      <c r="F3271" t="str">
        <f t="shared" si="606"/>
        <v>COM</v>
      </c>
      <c r="G3271" t="str">
        <f>"EUDES PIMENTA (368)"</f>
        <v>EUDES PIMENTA (368)</v>
      </c>
      <c r="H3271" t="s">
        <v>851</v>
      </c>
      <c r="I3271" t="str">
        <f t="shared" si="605"/>
        <v>19/03/2026</v>
      </c>
      <c r="J3271" t="str">
        <f>("10/03/2026")</f>
        <v>10/03/2026</v>
      </c>
      <c r="K3271">
        <v>46100</v>
      </c>
      <c r="N3271">
        <v>109</v>
      </c>
      <c r="O3271" t="s">
        <v>27</v>
      </c>
      <c r="Q3271">
        <v>60</v>
      </c>
      <c r="R3271" t="str">
        <f>"FARMÁCIA INDIANA LJ 06 (10006)"</f>
        <v>FARMÁCIA INDIANA LJ 06 (10006)</v>
      </c>
      <c r="S3271" t="s">
        <v>22</v>
      </c>
      <c r="T3271">
        <v>31284</v>
      </c>
      <c r="U3271">
        <v>35608</v>
      </c>
      <c r="V3271" t="s">
        <v>22</v>
      </c>
    </row>
    <row r="3272" spans="1:22">
      <c r="A3272" t="str">
        <f t="shared" si="604"/>
        <v>19/03/2026</v>
      </c>
      <c r="B3272" t="str">
        <f>"SAÍDA"</f>
        <v>SAÍDA</v>
      </c>
      <c r="C3272" t="str">
        <f>"PIX"</f>
        <v>PIX</v>
      </c>
      <c r="D3272" t="str">
        <f>"34555"</f>
        <v>34555</v>
      </c>
      <c r="E3272" t="str">
        <f>"1"</f>
        <v>1</v>
      </c>
      <c r="F3272" t="str">
        <f t="shared" si="606"/>
        <v>COM</v>
      </c>
      <c r="G3272" t="str">
        <f>"CLEIDIOMAR RIBEIRO FERREIRA (34)"</f>
        <v>CLEIDIOMAR RIBEIRO FERREIRA (34)</v>
      </c>
      <c r="H3272" t="str">
        <f>"Serv.Prest. 02/03/2026 a 08/03/2026 - PIX: CELULAR - CHAVE: (31) 98511-2851"</f>
        <v>Serv.Prest. 02/03/2026 a 08/03/2026 - PIX: CELULAR - CHAVE: (31) 98511-2851</v>
      </c>
      <c r="I3272" t="str">
        <f t="shared" si="605"/>
        <v>19/03/2026</v>
      </c>
      <c r="J3272" t="str">
        <f>("10/03/2026")</f>
        <v>10/03/2026</v>
      </c>
      <c r="K3272" t="str">
        <f>("19/03/2026")</f>
        <v>19/03/2026</v>
      </c>
      <c r="L3272">
        <v>60</v>
      </c>
      <c r="M3272">
        <v>60</v>
      </c>
      <c r="N3272">
        <v>109</v>
      </c>
      <c r="O3272" t="str">
        <f>"PAGAMENTO DE ENTREGADORES"</f>
        <v>PAGAMENTO DE ENTREGADORES</v>
      </c>
      <c r="P3272">
        <v>60</v>
      </c>
      <c r="S3272" t="str">
        <f>"CAIXA MOVIMENTAÇÃO OPERACIONAL (132)"</f>
        <v>CAIXA MOVIMENTAÇÃO OPERACIONAL (132)</v>
      </c>
      <c r="T3272">
        <v>31285</v>
      </c>
      <c r="U3272">
        <v>35611</v>
      </c>
      <c r="V3272" t="s">
        <v>22</v>
      </c>
    </row>
    <row r="3273" spans="1:22">
      <c r="A3273" t="str">
        <f t="shared" si="604"/>
        <v>19/03/2026</v>
      </c>
      <c r="B3273" t="str">
        <f>"SAÍDA"</f>
        <v>SAÍDA</v>
      </c>
      <c r="C3273" t="str">
        <f>"PIX"</f>
        <v>PIX</v>
      </c>
      <c r="D3273" t="str">
        <f>"34555"</f>
        <v>34555</v>
      </c>
      <c r="E3273" t="str">
        <f>"1"</f>
        <v>1</v>
      </c>
      <c r="F3273" t="str">
        <f t="shared" si="606"/>
        <v>COM</v>
      </c>
      <c r="G3273" t="str">
        <f>"CLEIDIOMAR RIBEIRO FERREIRA (34)"</f>
        <v>CLEIDIOMAR RIBEIRO FERREIRA (34)</v>
      </c>
      <c r="H3273" t="s">
        <v>964</v>
      </c>
      <c r="I3273" t="str">
        <f t="shared" si="605"/>
        <v>19/03/2026</v>
      </c>
      <c r="J3273" t="str">
        <f>("10/03/2026")</f>
        <v>10/03/2026</v>
      </c>
      <c r="K3273">
        <v>46100</v>
      </c>
      <c r="N3273">
        <v>109</v>
      </c>
      <c r="O3273" t="s">
        <v>27</v>
      </c>
      <c r="Q3273">
        <v>60</v>
      </c>
      <c r="R3273" t="str">
        <f>"FARMÁCIA INDIANA LJ 11 (10008)"</f>
        <v>FARMÁCIA INDIANA LJ 11 (10008)</v>
      </c>
      <c r="S3273" t="s">
        <v>22</v>
      </c>
      <c r="T3273">
        <v>31285</v>
      </c>
      <c r="U3273">
        <v>35611</v>
      </c>
      <c r="V3273" t="s">
        <v>22</v>
      </c>
    </row>
    <row r="3274" spans="1:22">
      <c r="A3274" t="str">
        <f t="shared" si="604"/>
        <v>19/03/2026</v>
      </c>
      <c r="B3274" t="str">
        <f>"ENTRADA"</f>
        <v>ENTRADA</v>
      </c>
      <c r="C3274" t="str">
        <f>"DINHEIRO"</f>
        <v>DINHEIRO</v>
      </c>
      <c r="D3274" t="str">
        <f>"19032026"</f>
        <v>19032026</v>
      </c>
      <c r="E3274" t="str">
        <f>""</f>
        <v/>
      </c>
      <c r="F3274" t="str">
        <f t="shared" si="606"/>
        <v>COM</v>
      </c>
      <c r="G3274" t="str">
        <f>"CLEIDIOMAR RIBEIRO FERREIRA (34)"</f>
        <v>CLEIDIOMAR RIBEIRO FERREIRA (34)</v>
      </c>
      <c r="H3274" t="str">
        <f>"REELMBOLSO CERTIFICADO DIGITAL 1/2"</f>
        <v>REELMBOLSO CERTIFICADO DIGITAL 1/2</v>
      </c>
      <c r="I3274" t="str">
        <f t="shared" si="605"/>
        <v>19/03/2026</v>
      </c>
      <c r="J3274" t="str">
        <f>("18/03/2026")</f>
        <v>18/03/2026</v>
      </c>
      <c r="K3274" t="str">
        <f>("19/03/2026")</f>
        <v>19/03/2026</v>
      </c>
      <c r="L3274">
        <v>60</v>
      </c>
      <c r="M3274">
        <v>60</v>
      </c>
      <c r="N3274">
        <v>108</v>
      </c>
      <c r="O3274" t="str">
        <f>"RECEITAS COM REEMBOLSOS"</f>
        <v>RECEITAS COM REEMBOLSOS</v>
      </c>
      <c r="P3274">
        <v>60</v>
      </c>
      <c r="S3274" t="str">
        <f>"RECEITAS COM REEMBOLSOS (108)"</f>
        <v>RECEITAS COM REEMBOLSOS (108)</v>
      </c>
      <c r="T3274">
        <v>31286</v>
      </c>
      <c r="U3274">
        <v>35609</v>
      </c>
      <c r="V3274" t="s">
        <v>22</v>
      </c>
    </row>
    <row r="3275" spans="1:22">
      <c r="A3275" t="str">
        <f t="shared" si="604"/>
        <v>19/03/2026</v>
      </c>
      <c r="B3275" t="str">
        <f>"ENTRADA"</f>
        <v>ENTRADA</v>
      </c>
      <c r="C3275" t="str">
        <f>"DINHEIRO"</f>
        <v>DINHEIRO</v>
      </c>
      <c r="D3275" t="str">
        <f>"19032026"</f>
        <v>19032026</v>
      </c>
      <c r="E3275" t="str">
        <f>""</f>
        <v/>
      </c>
      <c r="F3275" t="str">
        <f t="shared" si="606"/>
        <v>COM</v>
      </c>
      <c r="G3275" t="str">
        <f>"CLEIDIOMAR RIBEIRO FERREIRA (34)"</f>
        <v>CLEIDIOMAR RIBEIRO FERREIRA (34)</v>
      </c>
      <c r="H3275" t="s">
        <v>913</v>
      </c>
      <c r="I3275" t="str">
        <f t="shared" si="605"/>
        <v>19/03/2026</v>
      </c>
      <c r="J3275" t="str">
        <f>("18/03/2026")</f>
        <v>18/03/2026</v>
      </c>
      <c r="K3275">
        <v>46100</v>
      </c>
      <c r="N3275">
        <v>108</v>
      </c>
      <c r="O3275" t="s">
        <v>871</v>
      </c>
      <c r="Q3275">
        <v>60</v>
      </c>
      <c r="R3275" t="str">
        <f>"CLEIDIOMAR RIBEIRO FERREIRA (34)"</f>
        <v>CLEIDIOMAR RIBEIRO FERREIRA (34)</v>
      </c>
      <c r="S3275" t="s">
        <v>872</v>
      </c>
      <c r="T3275">
        <v>31286</v>
      </c>
      <c r="U3275">
        <v>35609</v>
      </c>
      <c r="V3275" t="s">
        <v>22</v>
      </c>
    </row>
    <row r="3276" spans="1:22">
      <c r="A3276" t="str">
        <f t="shared" si="604"/>
        <v>19/03/2026</v>
      </c>
      <c r="B3276" t="str">
        <f>"SAÍDA"</f>
        <v>SAÍDA</v>
      </c>
      <c r="C3276" t="str">
        <f>"PIX"</f>
        <v>PIX</v>
      </c>
      <c r="D3276" t="str">
        <f>"34629"</f>
        <v>34629</v>
      </c>
      <c r="E3276" t="str">
        <f>"1"</f>
        <v>1</v>
      </c>
      <c r="F3276" t="str">
        <f t="shared" si="606"/>
        <v>COM</v>
      </c>
      <c r="G3276" t="str">
        <f>"RENATO GEORGE GONÇALVES (191)"</f>
        <v>RENATO GEORGE GONÇALVES (191)</v>
      </c>
      <c r="H3276" t="str">
        <f>"Serv.Prest. 02/03/2026 a 08/03/2026 - PIX: CPF - CHAVE: 012.783.036-77"</f>
        <v>Serv.Prest. 02/03/2026 a 08/03/2026 - PIX: CPF - CHAVE: 012.783.036-77</v>
      </c>
      <c r="I3276" t="str">
        <f t="shared" si="605"/>
        <v>19/03/2026</v>
      </c>
      <c r="J3276" t="str">
        <f>("10/03/2026")</f>
        <v>10/03/2026</v>
      </c>
      <c r="K3276" t="str">
        <f>("19/03/2026")</f>
        <v>19/03/2026</v>
      </c>
      <c r="L3276">
        <v>60</v>
      </c>
      <c r="M3276">
        <v>60</v>
      </c>
      <c r="N3276">
        <v>109</v>
      </c>
      <c r="O3276" t="str">
        <f>"PAGAMENTO DE ENTREGADORES"</f>
        <v>PAGAMENTO DE ENTREGADORES</v>
      </c>
      <c r="P3276">
        <v>60</v>
      </c>
      <c r="S3276" t="str">
        <f>"CAIXA MOVIMENTAÇÃO OPERACIONAL (132)"</f>
        <v>CAIXA MOVIMENTAÇÃO OPERACIONAL (132)</v>
      </c>
      <c r="T3276">
        <v>31287</v>
      </c>
      <c r="U3276">
        <v>35614</v>
      </c>
      <c r="V3276" t="s">
        <v>22</v>
      </c>
    </row>
    <row r="3277" spans="1:22">
      <c r="A3277" t="str">
        <f t="shared" si="604"/>
        <v>19/03/2026</v>
      </c>
      <c r="B3277" t="str">
        <f>"SAÍDA"</f>
        <v>SAÍDA</v>
      </c>
      <c r="C3277" t="str">
        <f>"PIX"</f>
        <v>PIX</v>
      </c>
      <c r="D3277" t="str">
        <f>"34629"</f>
        <v>34629</v>
      </c>
      <c r="E3277" t="str">
        <f>"1"</f>
        <v>1</v>
      </c>
      <c r="F3277" t="str">
        <f t="shared" si="606"/>
        <v>COM</v>
      </c>
      <c r="G3277" t="str">
        <f>"RENATO GEORGE GONÇALVES (191)"</f>
        <v>RENATO GEORGE GONÇALVES (191)</v>
      </c>
      <c r="H3277" t="s">
        <v>965</v>
      </c>
      <c r="I3277" t="str">
        <f t="shared" si="605"/>
        <v>19/03/2026</v>
      </c>
      <c r="J3277" t="str">
        <f>("10/03/2026")</f>
        <v>10/03/2026</v>
      </c>
      <c r="K3277">
        <v>46100</v>
      </c>
      <c r="N3277">
        <v>109</v>
      </c>
      <c r="O3277" t="s">
        <v>27</v>
      </c>
      <c r="Q3277">
        <v>60</v>
      </c>
      <c r="R3277" t="str">
        <f>"FARMÁCIA INDIANA LJ 06 (10006)"</f>
        <v>FARMÁCIA INDIANA LJ 06 (10006)</v>
      </c>
      <c r="S3277" t="s">
        <v>22</v>
      </c>
      <c r="T3277">
        <v>31287</v>
      </c>
      <c r="U3277">
        <v>35614</v>
      </c>
      <c r="V3277" t="s">
        <v>22</v>
      </c>
    </row>
    <row r="3278" spans="1:22">
      <c r="A3278" t="str">
        <f t="shared" si="604"/>
        <v>19/03/2026</v>
      </c>
      <c r="B3278" t="str">
        <f>"ENTRADA"</f>
        <v>ENTRADA</v>
      </c>
      <c r="C3278" t="str">
        <f>"DINHEIRO"</f>
        <v>DINHEIRO</v>
      </c>
      <c r="D3278" t="str">
        <f>"19032026"</f>
        <v>19032026</v>
      </c>
      <c r="E3278" t="str">
        <f>""</f>
        <v/>
      </c>
      <c r="F3278" t="str">
        <f t="shared" si="606"/>
        <v>COM</v>
      </c>
      <c r="G3278" t="str">
        <f>"RENATO GEORGE GONÇALVES (191)"</f>
        <v>RENATO GEORGE GONÇALVES (191)</v>
      </c>
      <c r="H3278" t="str">
        <f>"REELMBOLSO CERTIFICADO DIGITAL 1/2"</f>
        <v>REELMBOLSO CERTIFICADO DIGITAL 1/2</v>
      </c>
      <c r="I3278" t="str">
        <f t="shared" si="605"/>
        <v>19/03/2026</v>
      </c>
      <c r="J3278" t="str">
        <f>("18/03/2026")</f>
        <v>18/03/2026</v>
      </c>
      <c r="K3278" t="str">
        <f>("19/03/2026")</f>
        <v>19/03/2026</v>
      </c>
      <c r="L3278">
        <v>60</v>
      </c>
      <c r="M3278">
        <v>60</v>
      </c>
      <c r="N3278">
        <v>108</v>
      </c>
      <c r="O3278" t="str">
        <f>"RECEITAS COM REEMBOLSOS"</f>
        <v>RECEITAS COM REEMBOLSOS</v>
      </c>
      <c r="P3278">
        <v>60</v>
      </c>
      <c r="S3278" t="str">
        <f>"RECEITAS COM REEMBOLSOS (108)"</f>
        <v>RECEITAS COM REEMBOLSOS (108)</v>
      </c>
      <c r="T3278">
        <v>31288</v>
      </c>
      <c r="U3278">
        <v>35612</v>
      </c>
      <c r="V3278" t="s">
        <v>22</v>
      </c>
    </row>
    <row r="3279" spans="1:22">
      <c r="A3279" t="str">
        <f t="shared" si="604"/>
        <v>19/03/2026</v>
      </c>
      <c r="B3279" t="str">
        <f>"ENTRADA"</f>
        <v>ENTRADA</v>
      </c>
      <c r="C3279" t="str">
        <f>"DINHEIRO"</f>
        <v>DINHEIRO</v>
      </c>
      <c r="D3279" t="str">
        <f>"19032026"</f>
        <v>19032026</v>
      </c>
      <c r="E3279" t="str">
        <f>""</f>
        <v/>
      </c>
      <c r="F3279" t="str">
        <f t="shared" si="606"/>
        <v>COM</v>
      </c>
      <c r="G3279" t="str">
        <f>"RENATO GEORGE GONÇALVES (191)"</f>
        <v>RENATO GEORGE GONÇALVES (191)</v>
      </c>
      <c r="H3279" t="s">
        <v>913</v>
      </c>
      <c r="I3279" t="str">
        <f t="shared" si="605"/>
        <v>19/03/2026</v>
      </c>
      <c r="J3279" t="str">
        <f>("18/03/2026")</f>
        <v>18/03/2026</v>
      </c>
      <c r="K3279">
        <v>46100</v>
      </c>
      <c r="N3279">
        <v>108</v>
      </c>
      <c r="O3279" t="s">
        <v>871</v>
      </c>
      <c r="Q3279">
        <v>60</v>
      </c>
      <c r="R3279" t="str">
        <f>"RENATO GEORGE GONÇALVES (191)"</f>
        <v>RENATO GEORGE GONÇALVES (191)</v>
      </c>
      <c r="S3279" t="s">
        <v>872</v>
      </c>
      <c r="T3279">
        <v>31288</v>
      </c>
      <c r="U3279">
        <v>35612</v>
      </c>
      <c r="V3279" t="s">
        <v>22</v>
      </c>
    </row>
    <row r="3280" spans="1:22">
      <c r="A3280" t="str">
        <f t="shared" si="604"/>
        <v>19/03/2026</v>
      </c>
      <c r="B3280" t="str">
        <f>"SAÍDA"</f>
        <v>SAÍDA</v>
      </c>
      <c r="C3280" t="str">
        <f>"PIX"</f>
        <v>PIX</v>
      </c>
      <c r="D3280" t="str">
        <f>"34554"</f>
        <v>34554</v>
      </c>
      <c r="E3280" t="str">
        <f>"1"</f>
        <v>1</v>
      </c>
      <c r="F3280" t="str">
        <f t="shared" si="606"/>
        <v>COM</v>
      </c>
      <c r="G3280" t="str">
        <f>"CELIO JOSÉ RIBEIRO (189)"</f>
        <v>CELIO JOSÉ RIBEIRO (189)</v>
      </c>
      <c r="H3280" t="str">
        <f>"Serv.Prest. 02/03/2026 a 08/03/2026 - PIX: CELULAR - CHAVE: (33) 98845-4528"</f>
        <v>Serv.Prest. 02/03/2026 a 08/03/2026 - PIX: CELULAR - CHAVE: (33) 98845-4528</v>
      </c>
      <c r="I3280" t="str">
        <f t="shared" si="605"/>
        <v>19/03/2026</v>
      </c>
      <c r="J3280" t="str">
        <f>("10/03/2026")</f>
        <v>10/03/2026</v>
      </c>
      <c r="K3280" t="str">
        <f>("19/03/2026")</f>
        <v>19/03/2026</v>
      </c>
      <c r="L3280">
        <v>60</v>
      </c>
      <c r="M3280">
        <v>60</v>
      </c>
      <c r="N3280">
        <v>109</v>
      </c>
      <c r="O3280" t="str">
        <f>"PAGAMENTO DE ENTREGADORES"</f>
        <v>PAGAMENTO DE ENTREGADORES</v>
      </c>
      <c r="P3280">
        <v>60</v>
      </c>
      <c r="S3280" t="str">
        <f>"CAIXA MOVIMENTAÇÃO OPERACIONAL (132)"</f>
        <v>CAIXA MOVIMENTAÇÃO OPERACIONAL (132)</v>
      </c>
      <c r="T3280">
        <v>31289</v>
      </c>
      <c r="U3280">
        <v>35617</v>
      </c>
      <c r="V3280" t="s">
        <v>22</v>
      </c>
    </row>
    <row r="3281" spans="1:22">
      <c r="A3281" t="str">
        <f t="shared" si="604"/>
        <v>19/03/2026</v>
      </c>
      <c r="B3281" t="str">
        <f>"SAÍDA"</f>
        <v>SAÍDA</v>
      </c>
      <c r="C3281" t="str">
        <f>"PIX"</f>
        <v>PIX</v>
      </c>
      <c r="D3281" t="str">
        <f>"34554"</f>
        <v>34554</v>
      </c>
      <c r="E3281" t="str">
        <f>"1"</f>
        <v>1</v>
      </c>
      <c r="F3281" t="str">
        <f t="shared" si="606"/>
        <v>COM</v>
      </c>
      <c r="G3281" t="str">
        <f>"CELIO JOSÉ RIBEIRO (189)"</f>
        <v>CELIO JOSÉ RIBEIRO (189)</v>
      </c>
      <c r="H3281" t="s">
        <v>966</v>
      </c>
      <c r="I3281" t="str">
        <f t="shared" si="605"/>
        <v>19/03/2026</v>
      </c>
      <c r="J3281" t="str">
        <f>("10/03/2026")</f>
        <v>10/03/2026</v>
      </c>
      <c r="K3281">
        <v>46100</v>
      </c>
      <c r="N3281">
        <v>109</v>
      </c>
      <c r="O3281" t="s">
        <v>27</v>
      </c>
      <c r="Q3281">
        <v>60</v>
      </c>
      <c r="R3281" t="str">
        <f>"FARMÁCIA INDIANA LJ 06 (10006)"</f>
        <v>FARMÁCIA INDIANA LJ 06 (10006)</v>
      </c>
      <c r="S3281" t="s">
        <v>22</v>
      </c>
      <c r="T3281">
        <v>31289</v>
      </c>
      <c r="U3281">
        <v>35617</v>
      </c>
      <c r="V3281" t="s">
        <v>22</v>
      </c>
    </row>
    <row r="3282" spans="1:22">
      <c r="A3282" t="str">
        <f t="shared" si="604"/>
        <v>19/03/2026</v>
      </c>
      <c r="B3282" t="str">
        <f>"ENTRADA"</f>
        <v>ENTRADA</v>
      </c>
      <c r="C3282" t="str">
        <f>"DINHEIRO"</f>
        <v>DINHEIRO</v>
      </c>
      <c r="D3282" t="str">
        <f>"19032026"</f>
        <v>19032026</v>
      </c>
      <c r="E3282" t="str">
        <f>""</f>
        <v/>
      </c>
      <c r="F3282" t="str">
        <f t="shared" si="606"/>
        <v>COM</v>
      </c>
      <c r="G3282" t="str">
        <f>"CELIO JOSÉ RIBEIRO (189)"</f>
        <v>CELIO JOSÉ RIBEIRO (189)</v>
      </c>
      <c r="H3282" t="str">
        <f>"REELMBOLSO CERTIFICADO DIGITAL 1/2"</f>
        <v>REELMBOLSO CERTIFICADO DIGITAL 1/2</v>
      </c>
      <c r="I3282" t="str">
        <f t="shared" si="605"/>
        <v>19/03/2026</v>
      </c>
      <c r="J3282" t="str">
        <f>("18/03/2026")</f>
        <v>18/03/2026</v>
      </c>
      <c r="K3282" t="str">
        <f>("19/03/2026")</f>
        <v>19/03/2026</v>
      </c>
      <c r="L3282">
        <v>60</v>
      </c>
      <c r="M3282">
        <v>60</v>
      </c>
      <c r="N3282">
        <v>108</v>
      </c>
      <c r="O3282" t="str">
        <f>"RECEITAS COM REEMBOLSOS"</f>
        <v>RECEITAS COM REEMBOLSOS</v>
      </c>
      <c r="P3282">
        <v>60</v>
      </c>
      <c r="S3282" t="str">
        <f>"RECEITAS COM REEMBOLSOS (108)"</f>
        <v>RECEITAS COM REEMBOLSOS (108)</v>
      </c>
      <c r="T3282">
        <v>31290</v>
      </c>
      <c r="U3282">
        <v>35615</v>
      </c>
      <c r="V3282" t="s">
        <v>22</v>
      </c>
    </row>
    <row r="3283" spans="1:22">
      <c r="A3283" t="str">
        <f t="shared" si="604"/>
        <v>19/03/2026</v>
      </c>
      <c r="B3283" t="str">
        <f>"ENTRADA"</f>
        <v>ENTRADA</v>
      </c>
      <c r="C3283" t="str">
        <f>"DINHEIRO"</f>
        <v>DINHEIRO</v>
      </c>
      <c r="D3283" t="str">
        <f>"19032026"</f>
        <v>19032026</v>
      </c>
      <c r="E3283" t="str">
        <f>""</f>
        <v/>
      </c>
      <c r="F3283" t="str">
        <f t="shared" si="606"/>
        <v>COM</v>
      </c>
      <c r="G3283" t="str">
        <f>"CELIO JOSÉ RIBEIRO (189)"</f>
        <v>CELIO JOSÉ RIBEIRO (189)</v>
      </c>
      <c r="H3283" t="s">
        <v>913</v>
      </c>
      <c r="I3283" t="str">
        <f t="shared" si="605"/>
        <v>19/03/2026</v>
      </c>
      <c r="J3283" t="str">
        <f>("18/03/2026")</f>
        <v>18/03/2026</v>
      </c>
      <c r="K3283">
        <v>46100</v>
      </c>
      <c r="N3283">
        <v>108</v>
      </c>
      <c r="O3283" t="s">
        <v>871</v>
      </c>
      <c r="Q3283">
        <v>60</v>
      </c>
      <c r="R3283" t="str">
        <f>"CELIO JOSÉ RIBEIRO (189)"</f>
        <v>CELIO JOSÉ RIBEIRO (189)</v>
      </c>
      <c r="S3283" t="s">
        <v>872</v>
      </c>
      <c r="T3283">
        <v>31290</v>
      </c>
      <c r="U3283">
        <v>35615</v>
      </c>
      <c r="V3283" t="s">
        <v>22</v>
      </c>
    </row>
    <row r="3284" spans="1:22">
      <c r="A3284" t="str">
        <f t="shared" si="604"/>
        <v>19/03/2026</v>
      </c>
      <c r="B3284" t="str">
        <f>"SAÍDA"</f>
        <v>SAÍDA</v>
      </c>
      <c r="C3284" t="str">
        <f>"PIX"</f>
        <v>PIX</v>
      </c>
      <c r="D3284" t="str">
        <f>"34565"</f>
        <v>34565</v>
      </c>
      <c r="E3284" t="str">
        <f>"1"</f>
        <v>1</v>
      </c>
      <c r="F3284" t="str">
        <f t="shared" si="606"/>
        <v>COM</v>
      </c>
      <c r="G3284" t="str">
        <f>"DIEGO FAUSTINO DA SILVA (1076)"</f>
        <v>DIEGO FAUSTINO DA SILVA (1076)</v>
      </c>
      <c r="H3284" t="str">
        <f>"Serv.Prest. 02/03/2026 a 08/03/2026 - PIX: CELULAR - CHAVE: (33) 99874-0376"</f>
        <v>Serv.Prest. 02/03/2026 a 08/03/2026 - PIX: CELULAR - CHAVE: (33) 99874-0376</v>
      </c>
      <c r="I3284" t="str">
        <f t="shared" si="605"/>
        <v>19/03/2026</v>
      </c>
      <c r="J3284" t="str">
        <f>("10/03/2026")</f>
        <v>10/03/2026</v>
      </c>
      <c r="K3284" t="str">
        <f>("19/03/2026")</f>
        <v>19/03/2026</v>
      </c>
      <c r="L3284">
        <v>60</v>
      </c>
      <c r="M3284">
        <v>60</v>
      </c>
      <c r="N3284">
        <v>109</v>
      </c>
      <c r="O3284" t="str">
        <f>"PAGAMENTO DE ENTREGADORES"</f>
        <v>PAGAMENTO DE ENTREGADORES</v>
      </c>
      <c r="P3284">
        <v>60</v>
      </c>
      <c r="S3284" t="str">
        <f>"CAIXA MOVIMENTAÇÃO OPERACIONAL (132)"</f>
        <v>CAIXA MOVIMENTAÇÃO OPERACIONAL (132)</v>
      </c>
      <c r="T3284">
        <v>31291</v>
      </c>
      <c r="U3284">
        <v>35622</v>
      </c>
      <c r="V3284" t="s">
        <v>22</v>
      </c>
    </row>
    <row r="3285" spans="1:22">
      <c r="A3285" t="str">
        <f t="shared" si="604"/>
        <v>19/03/2026</v>
      </c>
      <c r="B3285" t="str">
        <f>"SAÍDA"</f>
        <v>SAÍDA</v>
      </c>
      <c r="C3285" t="str">
        <f>"PIX"</f>
        <v>PIX</v>
      </c>
      <c r="D3285" t="str">
        <f>"34565"</f>
        <v>34565</v>
      </c>
      <c r="E3285" t="str">
        <f>"1"</f>
        <v>1</v>
      </c>
      <c r="F3285" t="str">
        <f t="shared" si="606"/>
        <v>COM</v>
      </c>
      <c r="G3285" t="str">
        <f>"DIEGO FAUSTINO DA SILVA (1076)"</f>
        <v>DIEGO FAUSTINO DA SILVA (1076)</v>
      </c>
      <c r="H3285" t="s">
        <v>903</v>
      </c>
      <c r="I3285" t="str">
        <f t="shared" si="605"/>
        <v>19/03/2026</v>
      </c>
      <c r="J3285" t="str">
        <f>("10/03/2026")</f>
        <v>10/03/2026</v>
      </c>
      <c r="K3285">
        <v>46100</v>
      </c>
      <c r="N3285">
        <v>109</v>
      </c>
      <c r="O3285" t="s">
        <v>27</v>
      </c>
      <c r="Q3285">
        <v>60</v>
      </c>
      <c r="R3285" t="str">
        <f>"FARMÁCIA INDIANA LJ 152 (10069)"</f>
        <v>FARMÁCIA INDIANA LJ 152 (10069)</v>
      </c>
      <c r="S3285" t="s">
        <v>22</v>
      </c>
      <c r="T3285">
        <v>31291</v>
      </c>
      <c r="U3285">
        <v>35622</v>
      </c>
      <c r="V3285" t="s">
        <v>22</v>
      </c>
    </row>
    <row r="3286" spans="1:22">
      <c r="A3286" t="str">
        <f t="shared" si="604"/>
        <v>19/03/2026</v>
      </c>
      <c r="B3286" t="str">
        <f>"ENTRADA"</f>
        <v>ENTRADA</v>
      </c>
      <c r="C3286" t="str">
        <f>"DINHEIRO"</f>
        <v>DINHEIRO</v>
      </c>
      <c r="D3286" t="str">
        <f>"19032026"</f>
        <v>19032026</v>
      </c>
      <c r="E3286" t="str">
        <f>""</f>
        <v/>
      </c>
      <c r="F3286" t="str">
        <f t="shared" si="606"/>
        <v>COM</v>
      </c>
      <c r="G3286" t="str">
        <f>"DIEGO FAUSTINO DA SILVA (1076)"</f>
        <v>DIEGO FAUSTINO DA SILVA (1076)</v>
      </c>
      <c r="H3286" t="str">
        <f>"REELMBOLSO CERTIFICADO DIGITAL 1/2"</f>
        <v>REELMBOLSO CERTIFICADO DIGITAL 1/2</v>
      </c>
      <c r="I3286" t="str">
        <f t="shared" si="605"/>
        <v>19/03/2026</v>
      </c>
      <c r="J3286" t="str">
        <f>("18/03/2026")</f>
        <v>18/03/2026</v>
      </c>
      <c r="K3286" t="str">
        <f>("19/03/2026")</f>
        <v>19/03/2026</v>
      </c>
      <c r="L3286">
        <v>60</v>
      </c>
      <c r="M3286">
        <v>60</v>
      </c>
      <c r="N3286">
        <v>108</v>
      </c>
      <c r="O3286" t="str">
        <f>"RECEITAS COM REEMBOLSOS"</f>
        <v>RECEITAS COM REEMBOLSOS</v>
      </c>
      <c r="P3286">
        <v>60</v>
      </c>
      <c r="S3286" t="str">
        <f>"RECEITAS COM REEMBOLSOS (108)"</f>
        <v>RECEITAS COM REEMBOLSOS (108)</v>
      </c>
      <c r="T3286">
        <v>31292</v>
      </c>
      <c r="U3286">
        <v>35620</v>
      </c>
      <c r="V3286" t="s">
        <v>22</v>
      </c>
    </row>
    <row r="3287" spans="1:22">
      <c r="A3287" t="str">
        <f t="shared" si="604"/>
        <v>19/03/2026</v>
      </c>
      <c r="B3287" t="str">
        <f>"ENTRADA"</f>
        <v>ENTRADA</v>
      </c>
      <c r="C3287" t="str">
        <f>"DINHEIRO"</f>
        <v>DINHEIRO</v>
      </c>
      <c r="D3287" t="str">
        <f>"19032026"</f>
        <v>19032026</v>
      </c>
      <c r="E3287" t="str">
        <f>""</f>
        <v/>
      </c>
      <c r="F3287" t="str">
        <f t="shared" si="606"/>
        <v>COM</v>
      </c>
      <c r="G3287" t="str">
        <f>"DIEGO FAUSTINO DA SILVA (1076)"</f>
        <v>DIEGO FAUSTINO DA SILVA (1076)</v>
      </c>
      <c r="H3287" t="s">
        <v>913</v>
      </c>
      <c r="I3287" t="str">
        <f t="shared" si="605"/>
        <v>19/03/2026</v>
      </c>
      <c r="J3287" t="str">
        <f>("18/03/2026")</f>
        <v>18/03/2026</v>
      </c>
      <c r="K3287">
        <v>46100</v>
      </c>
      <c r="N3287">
        <v>108</v>
      </c>
      <c r="O3287" t="s">
        <v>871</v>
      </c>
      <c r="Q3287">
        <v>60</v>
      </c>
      <c r="R3287" t="str">
        <f>"DIEGO FAUSTINO DA SILVA (1076)"</f>
        <v>DIEGO FAUSTINO DA SILVA (1076)</v>
      </c>
      <c r="S3287" t="s">
        <v>872</v>
      </c>
      <c r="T3287">
        <v>31292</v>
      </c>
      <c r="U3287">
        <v>35620</v>
      </c>
      <c r="V3287" t="s">
        <v>22</v>
      </c>
    </row>
    <row r="3288" spans="1:22">
      <c r="A3288" t="str">
        <f t="shared" si="604"/>
        <v>19/03/2026</v>
      </c>
      <c r="B3288" t="str">
        <f>"SAÍDA"</f>
        <v>SAÍDA</v>
      </c>
      <c r="C3288" t="str">
        <f>"PIX"</f>
        <v>PIX</v>
      </c>
      <c r="D3288" t="str">
        <f>"34544"</f>
        <v>34544</v>
      </c>
      <c r="E3288" t="str">
        <f>"1"</f>
        <v>1</v>
      </c>
      <c r="F3288" t="str">
        <f t="shared" si="606"/>
        <v>COM</v>
      </c>
      <c r="G3288" t="str">
        <f t="shared" ref="G3288:G3293" si="607">"BRUNO DOS SANTOS MACHADO (702)"</f>
        <v>BRUNO DOS SANTOS MACHADO (702)</v>
      </c>
      <c r="H3288" t="str">
        <f>"Serv.Prest. 02/03/2026 a 08/03/2026 - PIX: CPF - CHAVE: 155.328.666-94"</f>
        <v>Serv.Prest. 02/03/2026 a 08/03/2026 - PIX: CPF - CHAVE: 155.328.666-94</v>
      </c>
      <c r="I3288" t="str">
        <f t="shared" si="605"/>
        <v>19/03/2026</v>
      </c>
      <c r="J3288" t="str">
        <f>("10/03/2026")</f>
        <v>10/03/2026</v>
      </c>
      <c r="K3288" t="str">
        <f>("19/03/2026")</f>
        <v>19/03/2026</v>
      </c>
      <c r="L3288">
        <v>60</v>
      </c>
      <c r="M3288">
        <v>60</v>
      </c>
      <c r="N3288">
        <v>109</v>
      </c>
      <c r="O3288" t="str">
        <f>"PAGAMENTO DE ENTREGADORES"</f>
        <v>PAGAMENTO DE ENTREGADORES</v>
      </c>
      <c r="P3288">
        <v>60</v>
      </c>
      <c r="S3288" t="str">
        <f>"CAIXA MOVIMENTAÇÃO OPERACIONAL (132)"</f>
        <v>CAIXA MOVIMENTAÇÃO OPERACIONAL (132)</v>
      </c>
      <c r="T3288">
        <v>31293</v>
      </c>
      <c r="U3288">
        <v>35625</v>
      </c>
      <c r="V3288" t="s">
        <v>22</v>
      </c>
    </row>
    <row r="3289" spans="1:22">
      <c r="A3289" t="str">
        <f t="shared" si="604"/>
        <v>19/03/2026</v>
      </c>
      <c r="B3289" t="str">
        <f>"SAÍDA"</f>
        <v>SAÍDA</v>
      </c>
      <c r="C3289" t="str">
        <f>"PIX"</f>
        <v>PIX</v>
      </c>
      <c r="D3289" t="str">
        <f>"34544"</f>
        <v>34544</v>
      </c>
      <c r="E3289" t="str">
        <f>"1"</f>
        <v>1</v>
      </c>
      <c r="F3289" t="str">
        <f t="shared" si="606"/>
        <v>COM</v>
      </c>
      <c r="G3289" t="str">
        <f t="shared" si="607"/>
        <v>BRUNO DOS SANTOS MACHADO (702)</v>
      </c>
      <c r="H3289" t="s">
        <v>967</v>
      </c>
      <c r="I3289" t="str">
        <f t="shared" si="605"/>
        <v>19/03/2026</v>
      </c>
      <c r="J3289" t="str">
        <f>("10/03/2026")</f>
        <v>10/03/2026</v>
      </c>
      <c r="K3289">
        <v>46100</v>
      </c>
      <c r="N3289">
        <v>109</v>
      </c>
      <c r="O3289" t="s">
        <v>27</v>
      </c>
      <c r="Q3289">
        <v>60</v>
      </c>
      <c r="R3289" t="str">
        <f>"FARMÁCIA INDIANA LJ 204 (10087)"</f>
        <v>FARMÁCIA INDIANA LJ 204 (10087)</v>
      </c>
      <c r="S3289" t="s">
        <v>22</v>
      </c>
      <c r="T3289">
        <v>31293</v>
      </c>
      <c r="U3289">
        <v>35625</v>
      </c>
      <c r="V3289" t="s">
        <v>22</v>
      </c>
    </row>
    <row r="3290" spans="1:22">
      <c r="A3290" t="str">
        <f t="shared" si="604"/>
        <v>19/03/2026</v>
      </c>
      <c r="B3290" t="str">
        <f>"SAÍDA"</f>
        <v>SAÍDA</v>
      </c>
      <c r="C3290" t="str">
        <f>"PIX"</f>
        <v>PIX</v>
      </c>
      <c r="D3290" t="str">
        <f>"34544"</f>
        <v>34544</v>
      </c>
      <c r="E3290" t="str">
        <f>"1"</f>
        <v>1</v>
      </c>
      <c r="F3290" t="str">
        <f t="shared" si="606"/>
        <v>COM</v>
      </c>
      <c r="G3290" t="str">
        <f t="shared" si="607"/>
        <v>BRUNO DOS SANTOS MACHADO (702)</v>
      </c>
      <c r="H3290" t="str">
        <f>"Serv.Prest. 02/03/2026 a 08/03/2026 - PIX: CPF - CHAVE: 155.328.666-94"</f>
        <v>Serv.Prest. 02/03/2026 a 08/03/2026 - PIX: CPF - CHAVE: 155.328.666-94</v>
      </c>
      <c r="I3290" t="str">
        <f t="shared" si="605"/>
        <v>19/03/2026</v>
      </c>
      <c r="J3290" t="str">
        <f>("10/03/2026")</f>
        <v>10/03/2026</v>
      </c>
      <c r="K3290" t="str">
        <f>("19/03/2026")</f>
        <v>19/03/2026</v>
      </c>
      <c r="L3290">
        <v>60</v>
      </c>
      <c r="M3290">
        <v>60</v>
      </c>
      <c r="N3290">
        <v>109</v>
      </c>
      <c r="O3290" t="str">
        <f>"PAGAMENTO DE ENTREGADORES"</f>
        <v>PAGAMENTO DE ENTREGADORES</v>
      </c>
      <c r="P3290">
        <v>60</v>
      </c>
      <c r="S3290" t="str">
        <f>"CAIXA MOVIMENTAÇÃO OPERACIONAL (132)"</f>
        <v>CAIXA MOVIMENTAÇÃO OPERACIONAL (132)</v>
      </c>
      <c r="T3290">
        <v>31294</v>
      </c>
      <c r="U3290">
        <v>35626</v>
      </c>
      <c r="V3290" t="s">
        <v>22</v>
      </c>
    </row>
    <row r="3291" spans="1:22">
      <c r="A3291" t="str">
        <f t="shared" si="604"/>
        <v>19/03/2026</v>
      </c>
      <c r="B3291" t="str">
        <f>"SAÍDA"</f>
        <v>SAÍDA</v>
      </c>
      <c r="C3291" t="str">
        <f>"PIX"</f>
        <v>PIX</v>
      </c>
      <c r="D3291" t="str">
        <f>"34544"</f>
        <v>34544</v>
      </c>
      <c r="E3291" t="str">
        <f>"1"</f>
        <v>1</v>
      </c>
      <c r="F3291" t="str">
        <f t="shared" si="606"/>
        <v>COM</v>
      </c>
      <c r="G3291" t="str">
        <f t="shared" si="607"/>
        <v>BRUNO DOS SANTOS MACHADO (702)</v>
      </c>
      <c r="H3291" t="s">
        <v>967</v>
      </c>
      <c r="I3291" t="str">
        <f t="shared" si="605"/>
        <v>19/03/2026</v>
      </c>
      <c r="J3291" t="str">
        <f>("10/03/2026")</f>
        <v>10/03/2026</v>
      </c>
      <c r="K3291">
        <v>46100</v>
      </c>
      <c r="N3291">
        <v>109</v>
      </c>
      <c r="O3291" t="s">
        <v>27</v>
      </c>
      <c r="Q3291">
        <v>60</v>
      </c>
      <c r="R3291" t="str">
        <f>"FARMÁCIA INDIANA LJ 204 (10087)"</f>
        <v>FARMÁCIA INDIANA LJ 204 (10087)</v>
      </c>
      <c r="S3291" t="s">
        <v>22</v>
      </c>
      <c r="T3291">
        <v>31294</v>
      </c>
      <c r="U3291">
        <v>35626</v>
      </c>
      <c r="V3291" t="s">
        <v>22</v>
      </c>
    </row>
    <row r="3292" spans="1:22">
      <c r="A3292" t="str">
        <f t="shared" si="604"/>
        <v>19/03/2026</v>
      </c>
      <c r="B3292" t="str">
        <f>"ENTRADA"</f>
        <v>ENTRADA</v>
      </c>
      <c r="C3292" t="str">
        <f>"DINHEIRO"</f>
        <v>DINHEIRO</v>
      </c>
      <c r="D3292" t="str">
        <f>"19032026"</f>
        <v>19032026</v>
      </c>
      <c r="E3292" t="str">
        <f>""</f>
        <v/>
      </c>
      <c r="F3292" t="str">
        <f t="shared" si="606"/>
        <v>COM</v>
      </c>
      <c r="G3292" t="str">
        <f t="shared" si="607"/>
        <v>BRUNO DOS SANTOS MACHADO (702)</v>
      </c>
      <c r="H3292" t="str">
        <f>"REELMBOLSO CERTIFICADO DIGITAL 1/2"</f>
        <v>REELMBOLSO CERTIFICADO DIGITAL 1/2</v>
      </c>
      <c r="I3292" t="str">
        <f t="shared" si="605"/>
        <v>19/03/2026</v>
      </c>
      <c r="J3292" t="str">
        <f>("18/03/2026")</f>
        <v>18/03/2026</v>
      </c>
      <c r="K3292" t="str">
        <f>("19/03/2026")</f>
        <v>19/03/2026</v>
      </c>
      <c r="L3292">
        <v>60</v>
      </c>
      <c r="M3292">
        <v>60</v>
      </c>
      <c r="N3292">
        <v>108</v>
      </c>
      <c r="O3292" t="str">
        <f>"RECEITAS COM REEMBOLSOS"</f>
        <v>RECEITAS COM REEMBOLSOS</v>
      </c>
      <c r="P3292">
        <v>60</v>
      </c>
      <c r="S3292" t="str">
        <f>"RECEITAS COM REEMBOLSOS (108)"</f>
        <v>RECEITAS COM REEMBOLSOS (108)</v>
      </c>
      <c r="T3292">
        <v>31295</v>
      </c>
      <c r="U3292">
        <v>35623</v>
      </c>
      <c r="V3292" t="s">
        <v>22</v>
      </c>
    </row>
    <row r="3293" spans="1:22">
      <c r="A3293" t="str">
        <f t="shared" si="604"/>
        <v>19/03/2026</v>
      </c>
      <c r="B3293" t="str">
        <f>"ENTRADA"</f>
        <v>ENTRADA</v>
      </c>
      <c r="C3293" t="str">
        <f>"DINHEIRO"</f>
        <v>DINHEIRO</v>
      </c>
      <c r="D3293" t="str">
        <f>"19032026"</f>
        <v>19032026</v>
      </c>
      <c r="E3293" t="str">
        <f>""</f>
        <v/>
      </c>
      <c r="F3293" t="str">
        <f t="shared" si="606"/>
        <v>COM</v>
      </c>
      <c r="G3293" t="str">
        <f t="shared" si="607"/>
        <v>BRUNO DOS SANTOS MACHADO (702)</v>
      </c>
      <c r="H3293" t="s">
        <v>913</v>
      </c>
      <c r="I3293" t="str">
        <f t="shared" si="605"/>
        <v>19/03/2026</v>
      </c>
      <c r="J3293" t="str">
        <f>("18/03/2026")</f>
        <v>18/03/2026</v>
      </c>
      <c r="K3293">
        <v>46100</v>
      </c>
      <c r="N3293">
        <v>108</v>
      </c>
      <c r="O3293" t="s">
        <v>871</v>
      </c>
      <c r="Q3293">
        <v>60</v>
      </c>
      <c r="R3293" t="str">
        <f>"BRUNO DOS SANTOS MACHADO (702)"</f>
        <v>BRUNO DOS SANTOS MACHADO (702)</v>
      </c>
      <c r="S3293" t="s">
        <v>872</v>
      </c>
      <c r="T3293">
        <v>31295</v>
      </c>
      <c r="U3293">
        <v>35623</v>
      </c>
      <c r="V3293" t="s">
        <v>22</v>
      </c>
    </row>
    <row r="3294" spans="1:22">
      <c r="A3294" t="str">
        <f t="shared" si="604"/>
        <v>19/03/2026</v>
      </c>
      <c r="B3294" t="str">
        <f>"SAÍDA"</f>
        <v>SAÍDA</v>
      </c>
      <c r="C3294" t="str">
        <f>"PIX"</f>
        <v>PIX</v>
      </c>
      <c r="D3294" t="str">
        <f>"34553"</f>
        <v>34553</v>
      </c>
      <c r="E3294" t="str">
        <f>"1"</f>
        <v>1</v>
      </c>
      <c r="F3294" t="str">
        <f t="shared" si="606"/>
        <v>COM</v>
      </c>
      <c r="G3294" t="str">
        <f>"CASSIO DIAS RIBEIRO (32)"</f>
        <v>CASSIO DIAS RIBEIRO (32)</v>
      </c>
      <c r="H3294" t="str">
        <f>"Serv.Prest. 02/03/2026 a 08/03/2026 - PIX: CNPJ - CHAVE: 35.986.676/0001-80"</f>
        <v>Serv.Prest. 02/03/2026 a 08/03/2026 - PIX: CNPJ - CHAVE: 35.986.676/0001-80</v>
      </c>
      <c r="I3294" t="str">
        <f t="shared" si="605"/>
        <v>19/03/2026</v>
      </c>
      <c r="J3294" t="str">
        <f>("10/03/2026")</f>
        <v>10/03/2026</v>
      </c>
      <c r="K3294" t="str">
        <f>("19/03/2026")</f>
        <v>19/03/2026</v>
      </c>
      <c r="L3294">
        <v>60</v>
      </c>
      <c r="M3294">
        <v>60</v>
      </c>
      <c r="N3294">
        <v>109</v>
      </c>
      <c r="O3294" t="str">
        <f>"PAGAMENTO DE ENTREGADORES"</f>
        <v>PAGAMENTO DE ENTREGADORES</v>
      </c>
      <c r="P3294">
        <v>60</v>
      </c>
      <c r="S3294" t="str">
        <f>"CAIXA MOVIMENTAÇÃO OPERACIONAL (132)"</f>
        <v>CAIXA MOVIMENTAÇÃO OPERACIONAL (132)</v>
      </c>
      <c r="T3294">
        <v>31296</v>
      </c>
      <c r="U3294">
        <v>35629</v>
      </c>
      <c r="V3294" t="s">
        <v>22</v>
      </c>
    </row>
    <row r="3295" spans="1:22">
      <c r="A3295" t="str">
        <f t="shared" si="604"/>
        <v>19/03/2026</v>
      </c>
      <c r="B3295" t="str">
        <f>"SAÍDA"</f>
        <v>SAÍDA</v>
      </c>
      <c r="C3295" t="str">
        <f>"PIX"</f>
        <v>PIX</v>
      </c>
      <c r="D3295" t="str">
        <f>"34553"</f>
        <v>34553</v>
      </c>
      <c r="E3295" t="str">
        <f>"1"</f>
        <v>1</v>
      </c>
      <c r="F3295" t="str">
        <f t="shared" si="606"/>
        <v>COM</v>
      </c>
      <c r="G3295" t="str">
        <f>"CASSIO DIAS RIBEIRO (32)"</f>
        <v>CASSIO DIAS RIBEIRO (32)</v>
      </c>
      <c r="H3295" t="s">
        <v>835</v>
      </c>
      <c r="I3295" t="str">
        <f t="shared" si="605"/>
        <v>19/03/2026</v>
      </c>
      <c r="J3295" t="str">
        <f>("10/03/2026")</f>
        <v>10/03/2026</v>
      </c>
      <c r="K3295">
        <v>46100</v>
      </c>
      <c r="N3295">
        <v>109</v>
      </c>
      <c r="O3295" t="s">
        <v>27</v>
      </c>
      <c r="Q3295">
        <v>60</v>
      </c>
      <c r="R3295" t="str">
        <f>"FARMÁCIA INDIANA LJ 11 (10008)"</f>
        <v>FARMÁCIA INDIANA LJ 11 (10008)</v>
      </c>
      <c r="S3295" t="s">
        <v>22</v>
      </c>
      <c r="T3295">
        <v>31296</v>
      </c>
      <c r="U3295">
        <v>35629</v>
      </c>
      <c r="V3295" t="s">
        <v>22</v>
      </c>
    </row>
    <row r="3296" spans="1:22">
      <c r="A3296" t="str">
        <f t="shared" si="604"/>
        <v>19/03/2026</v>
      </c>
      <c r="B3296" t="str">
        <f>"ENTRADA"</f>
        <v>ENTRADA</v>
      </c>
      <c r="C3296" t="str">
        <f>"DINHEIRO"</f>
        <v>DINHEIRO</v>
      </c>
      <c r="D3296" t="str">
        <f>"19032026"</f>
        <v>19032026</v>
      </c>
      <c r="E3296" t="str">
        <f>""</f>
        <v/>
      </c>
      <c r="F3296" t="str">
        <f t="shared" si="606"/>
        <v>COM</v>
      </c>
      <c r="G3296" t="str">
        <f>"CASSIO DIAS RIBEIRO (32)"</f>
        <v>CASSIO DIAS RIBEIRO (32)</v>
      </c>
      <c r="H3296" t="str">
        <f>"REELMBOLSO CERTIFICADO DIGITAL 1/2"</f>
        <v>REELMBOLSO CERTIFICADO DIGITAL 1/2</v>
      </c>
      <c r="I3296" t="str">
        <f t="shared" si="605"/>
        <v>19/03/2026</v>
      </c>
      <c r="J3296" t="str">
        <f>("18/03/2026")</f>
        <v>18/03/2026</v>
      </c>
      <c r="K3296" t="str">
        <f>("19/03/2026")</f>
        <v>19/03/2026</v>
      </c>
      <c r="L3296">
        <v>60</v>
      </c>
      <c r="M3296">
        <v>60</v>
      </c>
      <c r="N3296">
        <v>108</v>
      </c>
      <c r="O3296" t="str">
        <f>"RECEITAS COM REEMBOLSOS"</f>
        <v>RECEITAS COM REEMBOLSOS</v>
      </c>
      <c r="P3296">
        <v>60</v>
      </c>
      <c r="S3296" t="str">
        <f>"RECEITAS COM REEMBOLSOS (108)"</f>
        <v>RECEITAS COM REEMBOLSOS (108)</v>
      </c>
      <c r="T3296">
        <v>31297</v>
      </c>
      <c r="U3296">
        <v>35627</v>
      </c>
      <c r="V3296" t="s">
        <v>22</v>
      </c>
    </row>
    <row r="3297" spans="1:22">
      <c r="A3297" t="str">
        <f t="shared" si="604"/>
        <v>19/03/2026</v>
      </c>
      <c r="B3297" t="str">
        <f>"ENTRADA"</f>
        <v>ENTRADA</v>
      </c>
      <c r="C3297" t="str">
        <f>"DINHEIRO"</f>
        <v>DINHEIRO</v>
      </c>
      <c r="D3297" t="str">
        <f>"19032026"</f>
        <v>19032026</v>
      </c>
      <c r="E3297" t="str">
        <f>""</f>
        <v/>
      </c>
      <c r="F3297" t="str">
        <f t="shared" si="606"/>
        <v>COM</v>
      </c>
      <c r="G3297" t="str">
        <f>"CASSIO DIAS RIBEIRO (32)"</f>
        <v>CASSIO DIAS RIBEIRO (32)</v>
      </c>
      <c r="H3297" t="s">
        <v>913</v>
      </c>
      <c r="I3297" t="str">
        <f t="shared" si="605"/>
        <v>19/03/2026</v>
      </c>
      <c r="J3297" t="str">
        <f>("18/03/2026")</f>
        <v>18/03/2026</v>
      </c>
      <c r="K3297">
        <v>46100</v>
      </c>
      <c r="N3297">
        <v>108</v>
      </c>
      <c r="O3297" t="s">
        <v>871</v>
      </c>
      <c r="Q3297">
        <v>60</v>
      </c>
      <c r="R3297" t="str">
        <f>"CASSIO DIAS RIBEIRO (32)"</f>
        <v>CASSIO DIAS RIBEIRO (32)</v>
      </c>
      <c r="S3297" t="s">
        <v>872</v>
      </c>
      <c r="T3297">
        <v>31297</v>
      </c>
      <c r="U3297">
        <v>35627</v>
      </c>
      <c r="V3297" t="s">
        <v>22</v>
      </c>
    </row>
    <row r="3298" spans="1:22">
      <c r="A3298" t="str">
        <f t="shared" si="604"/>
        <v>19/03/2026</v>
      </c>
      <c r="B3298" t="str">
        <f>"SAÍDA"</f>
        <v>SAÍDA</v>
      </c>
      <c r="C3298" t="str">
        <f>"PIX"</f>
        <v>PIX</v>
      </c>
      <c r="D3298" t="str">
        <f>"34505"</f>
        <v>34505</v>
      </c>
      <c r="E3298" t="str">
        <f>"1"</f>
        <v>1</v>
      </c>
      <c r="F3298" t="str">
        <f t="shared" si="606"/>
        <v>COM</v>
      </c>
      <c r="G3298" t="str">
        <f>"JOAO PEDRO BRITO DE SOUZA (876)"</f>
        <v>JOAO PEDRO BRITO DE SOUZA (876)</v>
      </c>
      <c r="H3298" t="str">
        <f>"Serv.Prest. 02/03/2026 a 08/03/2026 - PIX: CPF - CHAVE: 860.305.455-07"</f>
        <v>Serv.Prest. 02/03/2026 a 08/03/2026 - PIX: CPF - CHAVE: 860.305.455-07</v>
      </c>
      <c r="I3298" t="str">
        <f t="shared" si="605"/>
        <v>19/03/2026</v>
      </c>
      <c r="J3298" t="str">
        <f>("10/03/2026")</f>
        <v>10/03/2026</v>
      </c>
      <c r="K3298" t="str">
        <f>("19/03/2026")</f>
        <v>19/03/2026</v>
      </c>
      <c r="L3298">
        <v>60</v>
      </c>
      <c r="M3298">
        <v>60</v>
      </c>
      <c r="N3298">
        <v>109</v>
      </c>
      <c r="O3298" t="str">
        <f>"PAGAMENTO DE ENTREGADORES"</f>
        <v>PAGAMENTO DE ENTREGADORES</v>
      </c>
      <c r="P3298">
        <v>60</v>
      </c>
      <c r="S3298" t="str">
        <f>"CAIXA MOVIMENTAÇÃO OPERACIONAL (132)"</f>
        <v>CAIXA MOVIMENTAÇÃO OPERACIONAL (132)</v>
      </c>
      <c r="T3298">
        <v>31298</v>
      </c>
      <c r="U3298">
        <v>35632</v>
      </c>
      <c r="V3298" t="s">
        <v>22</v>
      </c>
    </row>
    <row r="3299" spans="1:22">
      <c r="A3299" t="str">
        <f t="shared" si="604"/>
        <v>19/03/2026</v>
      </c>
      <c r="B3299" t="str">
        <f>"SAÍDA"</f>
        <v>SAÍDA</v>
      </c>
      <c r="C3299" t="str">
        <f>"PIX"</f>
        <v>PIX</v>
      </c>
      <c r="D3299" t="str">
        <f>"34505"</f>
        <v>34505</v>
      </c>
      <c r="E3299" t="str">
        <f>"1"</f>
        <v>1</v>
      </c>
      <c r="F3299" t="str">
        <f t="shared" si="606"/>
        <v>COM</v>
      </c>
      <c r="G3299" t="str">
        <f>"JOAO PEDRO BRITO DE SOUZA (876)"</f>
        <v>JOAO PEDRO BRITO DE SOUZA (876)</v>
      </c>
      <c r="H3299" t="s">
        <v>968</v>
      </c>
      <c r="I3299" t="str">
        <f t="shared" si="605"/>
        <v>19/03/2026</v>
      </c>
      <c r="J3299" t="str">
        <f>("10/03/2026")</f>
        <v>10/03/2026</v>
      </c>
      <c r="K3299">
        <v>46100</v>
      </c>
      <c r="N3299">
        <v>109</v>
      </c>
      <c r="O3299" t="s">
        <v>27</v>
      </c>
      <c r="Q3299">
        <v>60</v>
      </c>
      <c r="R3299" t="str">
        <f>"FARMÁCIA INDIANA LJ 48 (10018)"</f>
        <v>FARMÁCIA INDIANA LJ 48 (10018)</v>
      </c>
      <c r="S3299" t="s">
        <v>22</v>
      </c>
      <c r="T3299">
        <v>31298</v>
      </c>
      <c r="U3299">
        <v>35632</v>
      </c>
      <c r="V3299" t="s">
        <v>22</v>
      </c>
    </row>
    <row r="3300" spans="1:22">
      <c r="A3300" t="str">
        <f t="shared" si="604"/>
        <v>19/03/2026</v>
      </c>
      <c r="B3300" t="str">
        <f>"ENTRADA"</f>
        <v>ENTRADA</v>
      </c>
      <c r="C3300" t="str">
        <f>"DINHEIRO"</f>
        <v>DINHEIRO</v>
      </c>
      <c r="D3300" t="str">
        <f>"19032026"</f>
        <v>19032026</v>
      </c>
      <c r="E3300" t="str">
        <f>""</f>
        <v/>
      </c>
      <c r="F3300" t="str">
        <f t="shared" si="606"/>
        <v>COM</v>
      </c>
      <c r="G3300" t="str">
        <f>"JOAO PEDRO BRITO DE SOUZA (876)"</f>
        <v>JOAO PEDRO BRITO DE SOUZA (876)</v>
      </c>
      <c r="H3300" t="str">
        <f>"REELMBOLSO CERTIFICADO DIGITAL 1/2"</f>
        <v>REELMBOLSO CERTIFICADO DIGITAL 1/2</v>
      </c>
      <c r="I3300" t="str">
        <f t="shared" si="605"/>
        <v>19/03/2026</v>
      </c>
      <c r="J3300" t="str">
        <f>("18/03/2026")</f>
        <v>18/03/2026</v>
      </c>
      <c r="K3300" t="str">
        <f>("19/03/2026")</f>
        <v>19/03/2026</v>
      </c>
      <c r="L3300">
        <v>60</v>
      </c>
      <c r="M3300">
        <v>60</v>
      </c>
      <c r="N3300">
        <v>108</v>
      </c>
      <c r="O3300" t="str">
        <f>"RECEITAS COM REEMBOLSOS"</f>
        <v>RECEITAS COM REEMBOLSOS</v>
      </c>
      <c r="P3300">
        <v>60</v>
      </c>
      <c r="S3300" t="str">
        <f>"RECEITAS COM REEMBOLSOS (108)"</f>
        <v>RECEITAS COM REEMBOLSOS (108)</v>
      </c>
      <c r="T3300">
        <v>31299</v>
      </c>
      <c r="U3300">
        <v>35630</v>
      </c>
      <c r="V3300" t="s">
        <v>22</v>
      </c>
    </row>
    <row r="3301" spans="1:22">
      <c r="A3301" t="str">
        <f t="shared" si="604"/>
        <v>19/03/2026</v>
      </c>
      <c r="B3301" t="str">
        <f>"ENTRADA"</f>
        <v>ENTRADA</v>
      </c>
      <c r="C3301" t="str">
        <f>"DINHEIRO"</f>
        <v>DINHEIRO</v>
      </c>
      <c r="D3301" t="str">
        <f>"19032026"</f>
        <v>19032026</v>
      </c>
      <c r="E3301" t="str">
        <f>""</f>
        <v/>
      </c>
      <c r="F3301" t="str">
        <f t="shared" si="606"/>
        <v>COM</v>
      </c>
      <c r="G3301" t="str">
        <f>"JOAO PEDRO BRITO DE SOUZA (876)"</f>
        <v>JOAO PEDRO BRITO DE SOUZA (876)</v>
      </c>
      <c r="H3301" t="s">
        <v>913</v>
      </c>
      <c r="I3301" t="str">
        <f t="shared" si="605"/>
        <v>19/03/2026</v>
      </c>
      <c r="J3301" t="str">
        <f>("18/03/2026")</f>
        <v>18/03/2026</v>
      </c>
      <c r="K3301">
        <v>46100</v>
      </c>
      <c r="N3301">
        <v>108</v>
      </c>
      <c r="O3301" t="s">
        <v>871</v>
      </c>
      <c r="Q3301">
        <v>60</v>
      </c>
      <c r="R3301" t="str">
        <f>"JOAO PEDRO BRITO DE SOUZA (876)"</f>
        <v>JOAO PEDRO BRITO DE SOUZA (876)</v>
      </c>
      <c r="S3301" t="s">
        <v>872</v>
      </c>
      <c r="T3301">
        <v>31299</v>
      </c>
      <c r="U3301">
        <v>35630</v>
      </c>
      <c r="V3301" t="s">
        <v>22</v>
      </c>
    </row>
    <row r="3302" spans="1:22">
      <c r="A3302" t="str">
        <f t="shared" si="604"/>
        <v>19/03/2026</v>
      </c>
      <c r="B3302" t="str">
        <f>"SAÍDA"</f>
        <v>SAÍDA</v>
      </c>
      <c r="C3302" t="str">
        <f>"PIX"</f>
        <v>PIX</v>
      </c>
      <c r="D3302" t="str">
        <f>"34599"</f>
        <v>34599</v>
      </c>
      <c r="E3302" t="str">
        <f>"1"</f>
        <v>1</v>
      </c>
      <c r="F3302" t="str">
        <f t="shared" si="606"/>
        <v>COM</v>
      </c>
      <c r="G3302" t="str">
        <f>"LEANDRO BARBOSA RIBEIRO (742)"</f>
        <v>LEANDRO BARBOSA RIBEIRO (742)</v>
      </c>
      <c r="H3302" t="str">
        <f>"Serv.Prest. 02/03/2026 a 08/03/2026 - PIX: CELULAR - CHAVE: (31) 97145-0796"</f>
        <v>Serv.Prest. 02/03/2026 a 08/03/2026 - PIX: CELULAR - CHAVE: (31) 97145-0796</v>
      </c>
      <c r="I3302" t="str">
        <f t="shared" si="605"/>
        <v>19/03/2026</v>
      </c>
      <c r="J3302" t="str">
        <f>("10/03/2026")</f>
        <v>10/03/2026</v>
      </c>
      <c r="K3302" t="str">
        <f>("19/03/2026")</f>
        <v>19/03/2026</v>
      </c>
      <c r="L3302">
        <v>60</v>
      </c>
      <c r="M3302">
        <v>60</v>
      </c>
      <c r="N3302">
        <v>109</v>
      </c>
      <c r="O3302" t="str">
        <f>"PAGAMENTO DE ENTREGADORES"</f>
        <v>PAGAMENTO DE ENTREGADORES</v>
      </c>
      <c r="P3302">
        <v>60</v>
      </c>
      <c r="S3302" t="str">
        <f>"CAIXA MOVIMENTAÇÃO OPERACIONAL (132)"</f>
        <v>CAIXA MOVIMENTAÇÃO OPERACIONAL (132)</v>
      </c>
      <c r="T3302">
        <v>31300</v>
      </c>
      <c r="U3302">
        <v>35635</v>
      </c>
      <c r="V3302" t="s">
        <v>22</v>
      </c>
    </row>
    <row r="3303" spans="1:22">
      <c r="A3303" t="str">
        <f t="shared" si="604"/>
        <v>19/03/2026</v>
      </c>
      <c r="B3303" t="str">
        <f>"SAÍDA"</f>
        <v>SAÍDA</v>
      </c>
      <c r="C3303" t="str">
        <f>"PIX"</f>
        <v>PIX</v>
      </c>
      <c r="D3303" t="str">
        <f>"34599"</f>
        <v>34599</v>
      </c>
      <c r="E3303" t="str">
        <f>"1"</f>
        <v>1</v>
      </c>
      <c r="F3303" t="str">
        <f t="shared" si="606"/>
        <v>COM</v>
      </c>
      <c r="G3303" t="str">
        <f>"LEANDRO BARBOSA RIBEIRO (742)"</f>
        <v>LEANDRO BARBOSA RIBEIRO (742)</v>
      </c>
      <c r="H3303" t="s">
        <v>969</v>
      </c>
      <c r="I3303" t="str">
        <f t="shared" si="605"/>
        <v>19/03/2026</v>
      </c>
      <c r="J3303" t="str">
        <f>("10/03/2026")</f>
        <v>10/03/2026</v>
      </c>
      <c r="K3303">
        <v>46100</v>
      </c>
      <c r="N3303">
        <v>109</v>
      </c>
      <c r="O3303" t="s">
        <v>27</v>
      </c>
      <c r="Q3303">
        <v>60</v>
      </c>
      <c r="R3303" t="str">
        <f>"FARMÁCIA INDIANA LJ 172 (10161)"</f>
        <v>FARMÁCIA INDIANA LJ 172 (10161)</v>
      </c>
      <c r="S3303" t="s">
        <v>22</v>
      </c>
      <c r="T3303">
        <v>31300</v>
      </c>
      <c r="U3303">
        <v>35635</v>
      </c>
      <c r="V3303" t="s">
        <v>22</v>
      </c>
    </row>
    <row r="3304" spans="1:22">
      <c r="A3304" t="str">
        <f t="shared" si="604"/>
        <v>19/03/2026</v>
      </c>
      <c r="B3304" t="str">
        <f>"ENTRADA"</f>
        <v>ENTRADA</v>
      </c>
      <c r="C3304" t="str">
        <f>"DINHEIRO"</f>
        <v>DINHEIRO</v>
      </c>
      <c r="D3304" t="str">
        <f>"19032026"</f>
        <v>19032026</v>
      </c>
      <c r="E3304" t="str">
        <f>""</f>
        <v/>
      </c>
      <c r="F3304" t="str">
        <f t="shared" si="606"/>
        <v>COM</v>
      </c>
      <c r="G3304" t="str">
        <f>"LEANDRO BARBOSA RIBEIRO (742)"</f>
        <v>LEANDRO BARBOSA RIBEIRO (742)</v>
      </c>
      <c r="H3304" t="str">
        <f>"REELMBOLSO CERTIFICADO DIGITAL 1/2"</f>
        <v>REELMBOLSO CERTIFICADO DIGITAL 1/2</v>
      </c>
      <c r="I3304" t="str">
        <f t="shared" si="605"/>
        <v>19/03/2026</v>
      </c>
      <c r="J3304" t="str">
        <f>("19/03/2026")</f>
        <v>19/03/2026</v>
      </c>
      <c r="K3304" t="str">
        <f>("19/03/2026")</f>
        <v>19/03/2026</v>
      </c>
      <c r="L3304">
        <v>60</v>
      </c>
      <c r="M3304">
        <v>60</v>
      </c>
      <c r="N3304">
        <v>108</v>
      </c>
      <c r="O3304" t="str">
        <f>"RECEITAS COM REEMBOLSOS"</f>
        <v>RECEITAS COM REEMBOLSOS</v>
      </c>
      <c r="P3304">
        <v>60</v>
      </c>
      <c r="S3304" t="str">
        <f>"RECEITAS COM REEMBOLSOS (108)"</f>
        <v>RECEITAS COM REEMBOLSOS (108)</v>
      </c>
      <c r="T3304">
        <v>31301</v>
      </c>
      <c r="U3304">
        <v>35633</v>
      </c>
      <c r="V3304" t="s">
        <v>22</v>
      </c>
    </row>
    <row r="3305" spans="1:22">
      <c r="A3305" t="str">
        <f t="shared" si="604"/>
        <v>19/03/2026</v>
      </c>
      <c r="B3305" t="str">
        <f>"ENTRADA"</f>
        <v>ENTRADA</v>
      </c>
      <c r="C3305" t="str">
        <f>"DINHEIRO"</f>
        <v>DINHEIRO</v>
      </c>
      <c r="D3305" t="str">
        <f>"19032026"</f>
        <v>19032026</v>
      </c>
      <c r="E3305" t="str">
        <f>""</f>
        <v/>
      </c>
      <c r="F3305" t="str">
        <f t="shared" si="606"/>
        <v>COM</v>
      </c>
      <c r="G3305" t="str">
        <f>"LEANDRO BARBOSA RIBEIRO (742)"</f>
        <v>LEANDRO BARBOSA RIBEIRO (742)</v>
      </c>
      <c r="H3305" t="s">
        <v>913</v>
      </c>
      <c r="I3305" t="str">
        <f t="shared" si="605"/>
        <v>19/03/2026</v>
      </c>
      <c r="J3305" t="str">
        <f>("19/03/2026")</f>
        <v>19/03/2026</v>
      </c>
      <c r="K3305">
        <v>46100</v>
      </c>
      <c r="N3305">
        <v>108</v>
      </c>
      <c r="O3305" t="s">
        <v>871</v>
      </c>
      <c r="Q3305">
        <v>60</v>
      </c>
      <c r="R3305" t="str">
        <f>"LEANDRO BARBOSA RIBEIRO (742)"</f>
        <v>LEANDRO BARBOSA RIBEIRO (742)</v>
      </c>
      <c r="S3305" t="s">
        <v>872</v>
      </c>
      <c r="T3305">
        <v>31301</v>
      </c>
      <c r="U3305">
        <v>35633</v>
      </c>
      <c r="V3305" t="s">
        <v>22</v>
      </c>
    </row>
    <row r="3306" spans="1:22">
      <c r="A3306" t="str">
        <f t="shared" si="604"/>
        <v>19/03/2026</v>
      </c>
      <c r="B3306" t="str">
        <f>"SAÍDA"</f>
        <v>SAÍDA</v>
      </c>
      <c r="C3306" t="str">
        <f>"PIX"</f>
        <v>PIX</v>
      </c>
      <c r="D3306" t="str">
        <f>"34647"</f>
        <v>34647</v>
      </c>
      <c r="E3306" t="str">
        <f>"1"</f>
        <v>1</v>
      </c>
      <c r="F3306" t="str">
        <f t="shared" si="606"/>
        <v>COM</v>
      </c>
      <c r="G3306" t="str">
        <f>"WAGNER DOS SANTOS LIMA (31)"</f>
        <v>WAGNER DOS SANTOS LIMA (31)</v>
      </c>
      <c r="H3306" t="str">
        <f>"Serv.Prest. 02/03/2026 a 08/03/2026 - PIX: CELULAR - CHAVE: (33) 99118-9032"</f>
        <v>Serv.Prest. 02/03/2026 a 08/03/2026 - PIX: CELULAR - CHAVE: (33) 99118-9032</v>
      </c>
      <c r="I3306" t="str">
        <f t="shared" si="605"/>
        <v>19/03/2026</v>
      </c>
      <c r="J3306" t="str">
        <f>("10/03/2026")</f>
        <v>10/03/2026</v>
      </c>
      <c r="K3306" t="str">
        <f>("19/03/2026")</f>
        <v>19/03/2026</v>
      </c>
      <c r="L3306">
        <v>60</v>
      </c>
      <c r="M3306">
        <v>60</v>
      </c>
      <c r="N3306">
        <v>109</v>
      </c>
      <c r="O3306" t="str">
        <f>"PAGAMENTO DE ENTREGADORES"</f>
        <v>PAGAMENTO DE ENTREGADORES</v>
      </c>
      <c r="P3306">
        <v>60</v>
      </c>
      <c r="S3306" t="str">
        <f>"CAIXA MOVIMENTAÇÃO OPERACIONAL (132)"</f>
        <v>CAIXA MOVIMENTAÇÃO OPERACIONAL (132)</v>
      </c>
      <c r="T3306">
        <v>31302</v>
      </c>
      <c r="U3306">
        <v>35638</v>
      </c>
      <c r="V3306" t="s">
        <v>22</v>
      </c>
    </row>
    <row r="3307" spans="1:22">
      <c r="A3307" t="str">
        <f t="shared" si="604"/>
        <v>19/03/2026</v>
      </c>
      <c r="B3307" t="str">
        <f>"SAÍDA"</f>
        <v>SAÍDA</v>
      </c>
      <c r="C3307" t="str">
        <f>"PIX"</f>
        <v>PIX</v>
      </c>
      <c r="D3307" t="str">
        <f>"34647"</f>
        <v>34647</v>
      </c>
      <c r="E3307" t="str">
        <f>"1"</f>
        <v>1</v>
      </c>
      <c r="F3307" t="str">
        <f t="shared" si="606"/>
        <v>COM</v>
      </c>
      <c r="G3307" t="str">
        <f>"WAGNER DOS SANTOS LIMA (31)"</f>
        <v>WAGNER DOS SANTOS LIMA (31)</v>
      </c>
      <c r="H3307" t="s">
        <v>970</v>
      </c>
      <c r="I3307" t="str">
        <f t="shared" si="605"/>
        <v>19/03/2026</v>
      </c>
      <c r="J3307" t="str">
        <f>("10/03/2026")</f>
        <v>10/03/2026</v>
      </c>
      <c r="K3307">
        <v>46100</v>
      </c>
      <c r="N3307">
        <v>109</v>
      </c>
      <c r="O3307" t="s">
        <v>27</v>
      </c>
      <c r="Q3307">
        <v>60</v>
      </c>
      <c r="R3307" t="str">
        <f>"FARMÁCIA INDIANA LJ 61 (10027)"</f>
        <v>FARMÁCIA INDIANA LJ 61 (10027)</v>
      </c>
      <c r="S3307" t="s">
        <v>22</v>
      </c>
      <c r="T3307">
        <v>31302</v>
      </c>
      <c r="U3307">
        <v>35638</v>
      </c>
      <c r="V3307" t="s">
        <v>22</v>
      </c>
    </row>
    <row r="3308" spans="1:22">
      <c r="A3308" t="str">
        <f t="shared" si="604"/>
        <v>19/03/2026</v>
      </c>
      <c r="B3308" t="str">
        <f>"ENTRADA"</f>
        <v>ENTRADA</v>
      </c>
      <c r="C3308" t="str">
        <f>"DINHEIRO"</f>
        <v>DINHEIRO</v>
      </c>
      <c r="D3308" t="str">
        <f>"19032026"</f>
        <v>19032026</v>
      </c>
      <c r="E3308" t="str">
        <f>""</f>
        <v/>
      </c>
      <c r="F3308" t="str">
        <f t="shared" si="606"/>
        <v>COM</v>
      </c>
      <c r="G3308" t="str">
        <f>"WAGNER DOS SANTOS LIMA (31)"</f>
        <v>WAGNER DOS SANTOS LIMA (31)</v>
      </c>
      <c r="H3308" t="str">
        <f>"REELMBOLSO CERTIFICADO DIGITAL 1/2"</f>
        <v>REELMBOLSO CERTIFICADO DIGITAL 1/2</v>
      </c>
      <c r="I3308" t="str">
        <f t="shared" si="605"/>
        <v>19/03/2026</v>
      </c>
      <c r="J3308" t="str">
        <f>("19/03/2026")</f>
        <v>19/03/2026</v>
      </c>
      <c r="K3308" t="str">
        <f>("19/03/2026")</f>
        <v>19/03/2026</v>
      </c>
      <c r="L3308">
        <v>60</v>
      </c>
      <c r="M3308">
        <v>60</v>
      </c>
      <c r="N3308">
        <v>108</v>
      </c>
      <c r="O3308" t="str">
        <f>"RECEITAS COM REEMBOLSOS"</f>
        <v>RECEITAS COM REEMBOLSOS</v>
      </c>
      <c r="P3308">
        <v>60</v>
      </c>
      <c r="S3308" t="str">
        <f>"RECEITAS COM REEMBOLSOS (108)"</f>
        <v>RECEITAS COM REEMBOLSOS (108)</v>
      </c>
      <c r="T3308">
        <v>31303</v>
      </c>
      <c r="U3308">
        <v>35636</v>
      </c>
      <c r="V3308" t="s">
        <v>22</v>
      </c>
    </row>
    <row r="3309" spans="1:22">
      <c r="A3309" t="str">
        <f t="shared" si="604"/>
        <v>19/03/2026</v>
      </c>
      <c r="B3309" t="str">
        <f>"ENTRADA"</f>
        <v>ENTRADA</v>
      </c>
      <c r="C3309" t="str">
        <f>"DINHEIRO"</f>
        <v>DINHEIRO</v>
      </c>
      <c r="D3309" t="str">
        <f>"19032026"</f>
        <v>19032026</v>
      </c>
      <c r="E3309" t="str">
        <f>""</f>
        <v/>
      </c>
      <c r="F3309" t="str">
        <f t="shared" si="606"/>
        <v>COM</v>
      </c>
      <c r="G3309" t="str">
        <f>"WAGNER DOS SANTOS LIMA (31)"</f>
        <v>WAGNER DOS SANTOS LIMA (31)</v>
      </c>
      <c r="H3309" t="s">
        <v>913</v>
      </c>
      <c r="I3309" t="str">
        <f t="shared" si="605"/>
        <v>19/03/2026</v>
      </c>
      <c r="J3309" t="str">
        <f>("19/03/2026")</f>
        <v>19/03/2026</v>
      </c>
      <c r="K3309">
        <v>46100</v>
      </c>
      <c r="N3309">
        <v>108</v>
      </c>
      <c r="O3309" t="s">
        <v>871</v>
      </c>
      <c r="Q3309">
        <v>60</v>
      </c>
      <c r="R3309" t="str">
        <f>"WAGNER DOS SANTOS LIMA (31)"</f>
        <v>WAGNER DOS SANTOS LIMA (31)</v>
      </c>
      <c r="S3309" t="s">
        <v>872</v>
      </c>
      <c r="T3309">
        <v>31303</v>
      </c>
      <c r="U3309">
        <v>35636</v>
      </c>
      <c r="V3309" t="s">
        <v>22</v>
      </c>
    </row>
    <row r="3310" spans="1:22">
      <c r="A3310" t="str">
        <f t="shared" si="604"/>
        <v>19/03/2026</v>
      </c>
      <c r="B3310" t="str">
        <f>"SAÍDA"</f>
        <v>SAÍDA</v>
      </c>
      <c r="C3310" t="str">
        <f>"PIX"</f>
        <v>PIX</v>
      </c>
      <c r="D3310" t="str">
        <f>"34626"</f>
        <v>34626</v>
      </c>
      <c r="E3310" t="str">
        <f>"1"</f>
        <v>1</v>
      </c>
      <c r="F3310" t="str">
        <f t="shared" si="606"/>
        <v>COM</v>
      </c>
      <c r="G3310" t="str">
        <f>"REGINALDO PIRES PORTES (1009)"</f>
        <v>REGINALDO PIRES PORTES (1009)</v>
      </c>
      <c r="H3310" t="str">
        <f>"Serv.Prest. 02/03/2026 a 08/03/2026 - PIX: CPF - CHAVE: 072.968.086-08"</f>
        <v>Serv.Prest. 02/03/2026 a 08/03/2026 - PIX: CPF - CHAVE: 072.968.086-08</v>
      </c>
      <c r="I3310" t="str">
        <f t="shared" si="605"/>
        <v>19/03/2026</v>
      </c>
      <c r="J3310" t="str">
        <f>("10/03/2026")</f>
        <v>10/03/2026</v>
      </c>
      <c r="K3310" t="str">
        <f>("19/03/2026")</f>
        <v>19/03/2026</v>
      </c>
      <c r="L3310">
        <v>60</v>
      </c>
      <c r="M3310">
        <v>60</v>
      </c>
      <c r="N3310">
        <v>109</v>
      </c>
      <c r="O3310" t="str">
        <f>"PAGAMENTO DE ENTREGADORES"</f>
        <v>PAGAMENTO DE ENTREGADORES</v>
      </c>
      <c r="P3310">
        <v>60</v>
      </c>
      <c r="S3310" t="str">
        <f>"CAIXA MOVIMENTAÇÃO OPERACIONAL (132)"</f>
        <v>CAIXA MOVIMENTAÇÃO OPERACIONAL (132)</v>
      </c>
      <c r="T3310">
        <v>31304</v>
      </c>
      <c r="U3310">
        <v>35641</v>
      </c>
      <c r="V3310" t="s">
        <v>22</v>
      </c>
    </row>
    <row r="3311" spans="1:22">
      <c r="A3311" t="str">
        <f t="shared" si="604"/>
        <v>19/03/2026</v>
      </c>
      <c r="B3311" t="str">
        <f>"SAÍDA"</f>
        <v>SAÍDA</v>
      </c>
      <c r="C3311" t="str">
        <f>"PIX"</f>
        <v>PIX</v>
      </c>
      <c r="D3311" t="str">
        <f>"34626"</f>
        <v>34626</v>
      </c>
      <c r="E3311" t="str">
        <f>"1"</f>
        <v>1</v>
      </c>
      <c r="F3311" t="str">
        <f t="shared" si="606"/>
        <v>COM</v>
      </c>
      <c r="G3311" t="str">
        <f>"REGINALDO PIRES PORTES (1009)"</f>
        <v>REGINALDO PIRES PORTES (1009)</v>
      </c>
      <c r="H3311" t="s">
        <v>971</v>
      </c>
      <c r="I3311" t="str">
        <f t="shared" si="605"/>
        <v>19/03/2026</v>
      </c>
      <c r="J3311" t="str">
        <f>("10/03/2026")</f>
        <v>10/03/2026</v>
      </c>
      <c r="K3311">
        <v>46100</v>
      </c>
      <c r="N3311">
        <v>109</v>
      </c>
      <c r="O3311" t="s">
        <v>27</v>
      </c>
      <c r="Q3311">
        <v>60</v>
      </c>
      <c r="R3311" t="str">
        <f>"FARMÁCIA INDIANA LJ 19 (10012)"</f>
        <v>FARMÁCIA INDIANA LJ 19 (10012)</v>
      </c>
      <c r="S3311" t="s">
        <v>22</v>
      </c>
      <c r="T3311">
        <v>31304</v>
      </c>
      <c r="U3311">
        <v>35641</v>
      </c>
      <c r="V3311" t="s">
        <v>22</v>
      </c>
    </row>
    <row r="3312" spans="1:22">
      <c r="A3312" t="str">
        <f t="shared" ref="A3312:A3375" si="608">("19/03/2026")</f>
        <v>19/03/2026</v>
      </c>
      <c r="B3312" t="str">
        <f>"ENTRADA"</f>
        <v>ENTRADA</v>
      </c>
      <c r="C3312" t="str">
        <f>"DINHEIRO"</f>
        <v>DINHEIRO</v>
      </c>
      <c r="D3312" t="str">
        <f>"19032026"</f>
        <v>19032026</v>
      </c>
      <c r="E3312" t="str">
        <f>""</f>
        <v/>
      </c>
      <c r="F3312" t="str">
        <f t="shared" si="606"/>
        <v>COM</v>
      </c>
      <c r="G3312" t="str">
        <f>"REGINALDO PIRES PORTES (1009)"</f>
        <v>REGINALDO PIRES PORTES (1009)</v>
      </c>
      <c r="H3312" t="str">
        <f>"REELMBOLSO CERTIFICADO DIGITAL 1/2"</f>
        <v>REELMBOLSO CERTIFICADO DIGITAL 1/2</v>
      </c>
      <c r="I3312" t="str">
        <f t="shared" ref="I3312:I3375" si="609">("19/03/2026")</f>
        <v>19/03/2026</v>
      </c>
      <c r="J3312" t="str">
        <f>("19/03/2026")</f>
        <v>19/03/2026</v>
      </c>
      <c r="K3312" t="str">
        <f>("19/03/2026")</f>
        <v>19/03/2026</v>
      </c>
      <c r="L3312">
        <v>60</v>
      </c>
      <c r="M3312">
        <v>60</v>
      </c>
      <c r="N3312">
        <v>108</v>
      </c>
      <c r="O3312" t="str">
        <f>"RECEITAS COM REEMBOLSOS"</f>
        <v>RECEITAS COM REEMBOLSOS</v>
      </c>
      <c r="P3312">
        <v>60</v>
      </c>
      <c r="S3312" t="str">
        <f>"RECEITAS COM REEMBOLSOS (108)"</f>
        <v>RECEITAS COM REEMBOLSOS (108)</v>
      </c>
      <c r="T3312">
        <v>31305</v>
      </c>
      <c r="U3312">
        <v>35639</v>
      </c>
      <c r="V3312" t="s">
        <v>22</v>
      </c>
    </row>
    <row r="3313" spans="1:22">
      <c r="A3313" t="str">
        <f t="shared" si="608"/>
        <v>19/03/2026</v>
      </c>
      <c r="B3313" t="str">
        <f>"ENTRADA"</f>
        <v>ENTRADA</v>
      </c>
      <c r="C3313" t="str">
        <f>"DINHEIRO"</f>
        <v>DINHEIRO</v>
      </c>
      <c r="D3313" t="str">
        <f>"19032026"</f>
        <v>19032026</v>
      </c>
      <c r="E3313" t="str">
        <f>""</f>
        <v/>
      </c>
      <c r="F3313" t="str">
        <f t="shared" si="606"/>
        <v>COM</v>
      </c>
      <c r="G3313" t="str">
        <f>"REGINALDO PIRES PORTES (1009)"</f>
        <v>REGINALDO PIRES PORTES (1009)</v>
      </c>
      <c r="H3313" t="s">
        <v>913</v>
      </c>
      <c r="I3313" t="str">
        <f t="shared" si="609"/>
        <v>19/03/2026</v>
      </c>
      <c r="J3313" t="str">
        <f>("19/03/2026")</f>
        <v>19/03/2026</v>
      </c>
      <c r="K3313">
        <v>46100</v>
      </c>
      <c r="N3313">
        <v>108</v>
      </c>
      <c r="O3313" t="s">
        <v>871</v>
      </c>
      <c r="Q3313">
        <v>60</v>
      </c>
      <c r="R3313" t="str">
        <f>"REGINALDO PIRES PORTES (1009)"</f>
        <v>REGINALDO PIRES PORTES (1009)</v>
      </c>
      <c r="S3313" t="s">
        <v>872</v>
      </c>
      <c r="T3313">
        <v>31305</v>
      </c>
      <c r="U3313">
        <v>35639</v>
      </c>
      <c r="V3313" t="s">
        <v>22</v>
      </c>
    </row>
    <row r="3314" spans="1:22">
      <c r="A3314" t="str">
        <f t="shared" si="608"/>
        <v>19/03/2026</v>
      </c>
      <c r="B3314" t="str">
        <f>"SAÍDA"</f>
        <v>SAÍDA</v>
      </c>
      <c r="C3314" t="str">
        <f>"PIX"</f>
        <v>PIX</v>
      </c>
      <c r="D3314" t="str">
        <f>"34620"</f>
        <v>34620</v>
      </c>
      <c r="E3314" t="str">
        <f>"1"</f>
        <v>1</v>
      </c>
      <c r="F3314" t="str">
        <f t="shared" si="606"/>
        <v>COM</v>
      </c>
      <c r="G3314" t="str">
        <f>"PATRICK DE SOUZA CORREA (92)"</f>
        <v>PATRICK DE SOUZA CORREA (92)</v>
      </c>
      <c r="H3314" t="str">
        <f>"Serv.Prest. 02/03/2026 a 08/03/2026 - PIX: CELULAR - CHAVE: (31) 99216-8711"</f>
        <v>Serv.Prest. 02/03/2026 a 08/03/2026 - PIX: CELULAR - CHAVE: (31) 99216-8711</v>
      </c>
      <c r="I3314" t="str">
        <f t="shared" si="609"/>
        <v>19/03/2026</v>
      </c>
      <c r="J3314" t="str">
        <f>("10/03/2026")</f>
        <v>10/03/2026</v>
      </c>
      <c r="K3314" t="str">
        <f>("19/03/2026")</f>
        <v>19/03/2026</v>
      </c>
      <c r="L3314">
        <v>60</v>
      </c>
      <c r="M3314">
        <v>60</v>
      </c>
      <c r="N3314">
        <v>109</v>
      </c>
      <c r="O3314" t="str">
        <f>"PAGAMENTO DE ENTREGADORES"</f>
        <v>PAGAMENTO DE ENTREGADORES</v>
      </c>
      <c r="P3314">
        <v>60</v>
      </c>
      <c r="S3314" t="str">
        <f>"CAIXA MOVIMENTAÇÃO OPERACIONAL (132)"</f>
        <v>CAIXA MOVIMENTAÇÃO OPERACIONAL (132)</v>
      </c>
      <c r="T3314">
        <v>31306</v>
      </c>
      <c r="U3314">
        <v>35644</v>
      </c>
      <c r="V3314" t="s">
        <v>22</v>
      </c>
    </row>
    <row r="3315" spans="1:22">
      <c r="A3315" t="str">
        <f t="shared" si="608"/>
        <v>19/03/2026</v>
      </c>
      <c r="B3315" t="str">
        <f>"SAÍDA"</f>
        <v>SAÍDA</v>
      </c>
      <c r="C3315" t="str">
        <f>"PIX"</f>
        <v>PIX</v>
      </c>
      <c r="D3315" t="str">
        <f>"34620"</f>
        <v>34620</v>
      </c>
      <c r="E3315" t="str">
        <f>"1"</f>
        <v>1</v>
      </c>
      <c r="F3315" t="str">
        <f t="shared" si="606"/>
        <v>COM</v>
      </c>
      <c r="G3315" t="str">
        <f>"PATRICK DE SOUZA CORREA (92)"</f>
        <v>PATRICK DE SOUZA CORREA (92)</v>
      </c>
      <c r="H3315" t="s">
        <v>972</v>
      </c>
      <c r="I3315" t="str">
        <f t="shared" si="609"/>
        <v>19/03/2026</v>
      </c>
      <c r="J3315" t="str">
        <f>("10/03/2026")</f>
        <v>10/03/2026</v>
      </c>
      <c r="K3315">
        <v>46100</v>
      </c>
      <c r="N3315">
        <v>109</v>
      </c>
      <c r="O3315" t="s">
        <v>27</v>
      </c>
      <c r="Q3315">
        <v>60</v>
      </c>
      <c r="R3315" t="str">
        <f>"FARMÁCIA INDIANA LJ 184 (10080)"</f>
        <v>FARMÁCIA INDIANA LJ 184 (10080)</v>
      </c>
      <c r="S3315" t="s">
        <v>22</v>
      </c>
      <c r="T3315">
        <v>31306</v>
      </c>
      <c r="U3315">
        <v>35644</v>
      </c>
      <c r="V3315" t="s">
        <v>22</v>
      </c>
    </row>
    <row r="3316" spans="1:22">
      <c r="A3316" t="str">
        <f t="shared" si="608"/>
        <v>19/03/2026</v>
      </c>
      <c r="B3316" t="str">
        <f>"ENTRADA"</f>
        <v>ENTRADA</v>
      </c>
      <c r="C3316" t="str">
        <f>"DINHEIRO"</f>
        <v>DINHEIRO</v>
      </c>
      <c r="D3316" t="str">
        <f>"19032026"</f>
        <v>19032026</v>
      </c>
      <c r="E3316" t="str">
        <f>""</f>
        <v/>
      </c>
      <c r="F3316" t="str">
        <f t="shared" si="606"/>
        <v>COM</v>
      </c>
      <c r="G3316" t="str">
        <f>"PATRICK DE SOUZA CORREA (92)"</f>
        <v>PATRICK DE SOUZA CORREA (92)</v>
      </c>
      <c r="H3316" t="str">
        <f>"REELMBOLSO CERTIFICADO DIGITAL 1/2"</f>
        <v>REELMBOLSO CERTIFICADO DIGITAL 1/2</v>
      </c>
      <c r="I3316" t="str">
        <f t="shared" si="609"/>
        <v>19/03/2026</v>
      </c>
      <c r="J3316" t="str">
        <f>("19/03/2026")</f>
        <v>19/03/2026</v>
      </c>
      <c r="K3316" t="str">
        <f>("19/03/2026")</f>
        <v>19/03/2026</v>
      </c>
      <c r="L3316">
        <v>60</v>
      </c>
      <c r="M3316">
        <v>60</v>
      </c>
      <c r="N3316">
        <v>108</v>
      </c>
      <c r="O3316" t="str">
        <f>"RECEITAS COM REEMBOLSOS"</f>
        <v>RECEITAS COM REEMBOLSOS</v>
      </c>
      <c r="P3316">
        <v>60</v>
      </c>
      <c r="S3316" t="str">
        <f>"RECEITAS COM REEMBOLSOS (108)"</f>
        <v>RECEITAS COM REEMBOLSOS (108)</v>
      </c>
      <c r="T3316">
        <v>31307</v>
      </c>
      <c r="U3316">
        <v>35642</v>
      </c>
      <c r="V3316" t="s">
        <v>22</v>
      </c>
    </row>
    <row r="3317" spans="1:22">
      <c r="A3317" t="str">
        <f t="shared" si="608"/>
        <v>19/03/2026</v>
      </c>
      <c r="B3317" t="str">
        <f>"ENTRADA"</f>
        <v>ENTRADA</v>
      </c>
      <c r="C3317" t="str">
        <f>"DINHEIRO"</f>
        <v>DINHEIRO</v>
      </c>
      <c r="D3317" t="str">
        <f>"19032026"</f>
        <v>19032026</v>
      </c>
      <c r="E3317" t="str">
        <f>""</f>
        <v/>
      </c>
      <c r="F3317" t="str">
        <f t="shared" si="606"/>
        <v>COM</v>
      </c>
      <c r="G3317" t="str">
        <f>"PATRICK DE SOUZA CORREA (92)"</f>
        <v>PATRICK DE SOUZA CORREA (92)</v>
      </c>
      <c r="H3317" t="s">
        <v>913</v>
      </c>
      <c r="I3317" t="str">
        <f t="shared" si="609"/>
        <v>19/03/2026</v>
      </c>
      <c r="J3317" t="str">
        <f>("19/03/2026")</f>
        <v>19/03/2026</v>
      </c>
      <c r="K3317">
        <v>46100</v>
      </c>
      <c r="N3317">
        <v>108</v>
      </c>
      <c r="O3317" t="s">
        <v>871</v>
      </c>
      <c r="Q3317">
        <v>60</v>
      </c>
      <c r="R3317" t="str">
        <f>"PATRICK DE SOUZA CORREA (92)"</f>
        <v>PATRICK DE SOUZA CORREA (92)</v>
      </c>
      <c r="S3317" t="s">
        <v>872</v>
      </c>
      <c r="T3317">
        <v>31307</v>
      </c>
      <c r="U3317">
        <v>35642</v>
      </c>
      <c r="V3317" t="s">
        <v>22</v>
      </c>
    </row>
    <row r="3318" spans="1:22">
      <c r="A3318" t="str">
        <f t="shared" si="608"/>
        <v>19/03/2026</v>
      </c>
      <c r="B3318" t="str">
        <f>"SAÍDA"</f>
        <v>SAÍDA</v>
      </c>
      <c r="C3318" t="str">
        <f>"PIX"</f>
        <v>PIX</v>
      </c>
      <c r="D3318" t="str">
        <f>"34558"</f>
        <v>34558</v>
      </c>
      <c r="E3318" t="str">
        <f t="shared" ref="E3318:E3325" si="610">"1"</f>
        <v>1</v>
      </c>
      <c r="F3318" t="str">
        <f t="shared" si="606"/>
        <v>COM</v>
      </c>
      <c r="G3318" t="str">
        <f>"DAMÁSIO JOSÉ DO NASCIMENTO NETO (147)"</f>
        <v>DAMÁSIO JOSÉ DO NASCIMENTO NETO (147)</v>
      </c>
      <c r="H3318" t="str">
        <f>"Serv.Prest. 02/03/2026 a 08/03/2026 - PIX: CPF - CHAVE: 110.483.296-82"</f>
        <v>Serv.Prest. 02/03/2026 a 08/03/2026 - PIX: CPF - CHAVE: 110.483.296-82</v>
      </c>
      <c r="I3318" t="str">
        <f t="shared" si="609"/>
        <v>19/03/2026</v>
      </c>
      <c r="J3318" t="str">
        <f>("10/03/2026")</f>
        <v>10/03/2026</v>
      </c>
      <c r="K3318" t="str">
        <f>("19/03/2026")</f>
        <v>19/03/2026</v>
      </c>
      <c r="L3318">
        <v>60</v>
      </c>
      <c r="M3318">
        <v>60</v>
      </c>
      <c r="N3318">
        <v>109</v>
      </c>
      <c r="O3318" t="str">
        <f>"PAGAMENTO DE ENTREGADORES"</f>
        <v>PAGAMENTO DE ENTREGADORES</v>
      </c>
      <c r="P3318">
        <v>60</v>
      </c>
      <c r="S3318" t="str">
        <f>"CAIXA MOVIMENTAÇÃO OPERACIONAL (132)"</f>
        <v>CAIXA MOVIMENTAÇÃO OPERACIONAL (132)</v>
      </c>
      <c r="T3318">
        <v>31308</v>
      </c>
      <c r="U3318">
        <v>35647</v>
      </c>
      <c r="V3318" t="s">
        <v>22</v>
      </c>
    </row>
    <row r="3319" spans="1:22">
      <c r="A3319" t="str">
        <f t="shared" si="608"/>
        <v>19/03/2026</v>
      </c>
      <c r="B3319" t="str">
        <f>"SAÍDA"</f>
        <v>SAÍDA</v>
      </c>
      <c r="C3319" t="str">
        <f>"PIX"</f>
        <v>PIX</v>
      </c>
      <c r="D3319" t="str">
        <f>"34558"</f>
        <v>34558</v>
      </c>
      <c r="E3319" t="str">
        <f t="shared" si="610"/>
        <v>1</v>
      </c>
      <c r="F3319" t="str">
        <f t="shared" si="606"/>
        <v>COM</v>
      </c>
      <c r="G3319" t="str">
        <f>"DAMÁSIO JOSÉ DO NASCIMENTO NETO (147)"</f>
        <v>DAMÁSIO JOSÉ DO NASCIMENTO NETO (147)</v>
      </c>
      <c r="H3319" t="s">
        <v>878</v>
      </c>
      <c r="I3319" t="str">
        <f t="shared" si="609"/>
        <v>19/03/2026</v>
      </c>
      <c r="J3319" t="str">
        <f>("10/03/2026")</f>
        <v>10/03/2026</v>
      </c>
      <c r="K3319">
        <v>46100</v>
      </c>
      <c r="N3319">
        <v>109</v>
      </c>
      <c r="O3319" t="s">
        <v>27</v>
      </c>
      <c r="Q3319">
        <v>60</v>
      </c>
      <c r="R3319" t="str">
        <f>"FARMÁCIA INDIANA LJ 142 (10066)"</f>
        <v>FARMÁCIA INDIANA LJ 142 (10066)</v>
      </c>
      <c r="S3319" t="s">
        <v>22</v>
      </c>
      <c r="T3319">
        <v>31308</v>
      </c>
      <c r="U3319">
        <v>35647</v>
      </c>
      <c r="V3319" t="s">
        <v>22</v>
      </c>
    </row>
    <row r="3320" spans="1:22">
      <c r="A3320" t="str">
        <f t="shared" si="608"/>
        <v>19/03/2026</v>
      </c>
      <c r="B3320" t="str">
        <f>"ENTRADA"</f>
        <v>ENTRADA</v>
      </c>
      <c r="C3320" t="str">
        <f>"DINHEIRO"</f>
        <v>DINHEIRO</v>
      </c>
      <c r="D3320" t="str">
        <f>"19032026"</f>
        <v>19032026</v>
      </c>
      <c r="E3320" t="str">
        <f t="shared" si="610"/>
        <v>1</v>
      </c>
      <c r="F3320" t="str">
        <f t="shared" si="606"/>
        <v>COM</v>
      </c>
      <c r="G3320" t="str">
        <f>"DAMÁSIO JOSÉ DO NASCIMENTO NETO (147)"</f>
        <v>DAMÁSIO JOSÉ DO NASCIMENTO NETO (147)</v>
      </c>
      <c r="H3320" t="str">
        <f>"REELMBOLSO CERTIFICADO DIGITAL 1/2"</f>
        <v>REELMBOLSO CERTIFICADO DIGITAL 1/2</v>
      </c>
      <c r="I3320" t="str">
        <f t="shared" si="609"/>
        <v>19/03/2026</v>
      </c>
      <c r="J3320" t="str">
        <f>("19/03/2026")</f>
        <v>19/03/2026</v>
      </c>
      <c r="K3320" t="str">
        <f>("19/03/2026")</f>
        <v>19/03/2026</v>
      </c>
      <c r="L3320">
        <v>60</v>
      </c>
      <c r="M3320">
        <v>60</v>
      </c>
      <c r="N3320">
        <v>108</v>
      </c>
      <c r="O3320" t="str">
        <f>"RECEITAS COM REEMBOLSOS"</f>
        <v>RECEITAS COM REEMBOLSOS</v>
      </c>
      <c r="P3320">
        <v>60</v>
      </c>
      <c r="S3320" t="str">
        <f>"RECEITAS COM REEMBOLSOS (108)"</f>
        <v>RECEITAS COM REEMBOLSOS (108)</v>
      </c>
      <c r="T3320">
        <v>31309</v>
      </c>
      <c r="U3320">
        <v>35645</v>
      </c>
      <c r="V3320" t="s">
        <v>22</v>
      </c>
    </row>
    <row r="3321" spans="1:22">
      <c r="A3321" t="str">
        <f t="shared" si="608"/>
        <v>19/03/2026</v>
      </c>
      <c r="B3321" t="str">
        <f>"ENTRADA"</f>
        <v>ENTRADA</v>
      </c>
      <c r="C3321" t="str">
        <f>"DINHEIRO"</f>
        <v>DINHEIRO</v>
      </c>
      <c r="D3321" t="str">
        <f>"19032026"</f>
        <v>19032026</v>
      </c>
      <c r="E3321" t="str">
        <f t="shared" si="610"/>
        <v>1</v>
      </c>
      <c r="F3321" t="str">
        <f t="shared" si="606"/>
        <v>COM</v>
      </c>
      <c r="G3321" t="str">
        <f>"DAMÁSIO JOSÉ DO NASCIMENTO NETO (147)"</f>
        <v>DAMÁSIO JOSÉ DO NASCIMENTO NETO (147)</v>
      </c>
      <c r="H3321" t="s">
        <v>913</v>
      </c>
      <c r="I3321" t="str">
        <f t="shared" si="609"/>
        <v>19/03/2026</v>
      </c>
      <c r="J3321" t="str">
        <f>("19/03/2026")</f>
        <v>19/03/2026</v>
      </c>
      <c r="K3321">
        <v>46100</v>
      </c>
      <c r="N3321">
        <v>108</v>
      </c>
      <c r="O3321" t="s">
        <v>871</v>
      </c>
      <c r="Q3321">
        <v>60</v>
      </c>
      <c r="R3321" t="str">
        <f>"DAMÁSIO JOSÉ DO NASCIMENTO NETO (147)"</f>
        <v>DAMÁSIO JOSÉ DO NASCIMENTO NETO (147)</v>
      </c>
      <c r="S3321" t="s">
        <v>872</v>
      </c>
      <c r="T3321">
        <v>31309</v>
      </c>
      <c r="U3321">
        <v>35645</v>
      </c>
      <c r="V3321" t="s">
        <v>22</v>
      </c>
    </row>
    <row r="3322" spans="1:22">
      <c r="A3322" t="str">
        <f t="shared" si="608"/>
        <v>19/03/2026</v>
      </c>
      <c r="B3322" t="str">
        <f>"SAÍDA"</f>
        <v>SAÍDA</v>
      </c>
      <c r="C3322" t="str">
        <f>"PIX"</f>
        <v>PIX</v>
      </c>
      <c r="D3322" t="str">
        <f>"34593"</f>
        <v>34593</v>
      </c>
      <c r="E3322" t="str">
        <f t="shared" si="610"/>
        <v>1</v>
      </c>
      <c r="F3322" t="str">
        <f t="shared" si="606"/>
        <v>COM</v>
      </c>
      <c r="G3322" t="str">
        <f t="shared" ref="G3322:G3327" si="611">"JUNIO DE ANDRADE ARRUDA (145)"</f>
        <v>JUNIO DE ANDRADE ARRUDA (145)</v>
      </c>
      <c r="H3322" t="str">
        <f>"Serv.Prest. 02/03/2026 a 08/03/2026 - PIX: CELULAR - CHAVE: (31) 98674-8323"</f>
        <v>Serv.Prest. 02/03/2026 a 08/03/2026 - PIX: CELULAR - CHAVE: (31) 98674-8323</v>
      </c>
      <c r="I3322" t="str">
        <f t="shared" si="609"/>
        <v>19/03/2026</v>
      </c>
      <c r="J3322" t="str">
        <f>("10/03/2026")</f>
        <v>10/03/2026</v>
      </c>
      <c r="K3322" t="str">
        <f>("19/03/2026")</f>
        <v>19/03/2026</v>
      </c>
      <c r="L3322">
        <v>30</v>
      </c>
      <c r="M3322">
        <v>30</v>
      </c>
      <c r="N3322">
        <v>109</v>
      </c>
      <c r="O3322" t="str">
        <f>"PAGAMENTO DE ENTREGADORES"</f>
        <v>PAGAMENTO DE ENTREGADORES</v>
      </c>
      <c r="P3322">
        <v>30</v>
      </c>
      <c r="S3322" t="str">
        <f>"CAIXA MOVIMENTAÇÃO OPERACIONAL (132)"</f>
        <v>CAIXA MOVIMENTAÇÃO OPERACIONAL (132)</v>
      </c>
      <c r="T3322">
        <v>31310</v>
      </c>
      <c r="U3322">
        <v>35650</v>
      </c>
      <c r="V3322" t="s">
        <v>22</v>
      </c>
    </row>
    <row r="3323" spans="1:22">
      <c r="A3323" t="str">
        <f t="shared" si="608"/>
        <v>19/03/2026</v>
      </c>
      <c r="B3323" t="str">
        <f>"SAÍDA"</f>
        <v>SAÍDA</v>
      </c>
      <c r="C3323" t="str">
        <f>"PIX"</f>
        <v>PIX</v>
      </c>
      <c r="D3323" t="str">
        <f>"34593"</f>
        <v>34593</v>
      </c>
      <c r="E3323" t="str">
        <f t="shared" si="610"/>
        <v>1</v>
      </c>
      <c r="F3323" t="str">
        <f t="shared" si="606"/>
        <v>COM</v>
      </c>
      <c r="G3323" t="str">
        <f t="shared" si="611"/>
        <v>JUNIO DE ANDRADE ARRUDA (145)</v>
      </c>
      <c r="H3323" t="s">
        <v>973</v>
      </c>
      <c r="I3323" t="str">
        <f t="shared" si="609"/>
        <v>19/03/2026</v>
      </c>
      <c r="J3323" t="str">
        <f>("10/03/2026")</f>
        <v>10/03/2026</v>
      </c>
      <c r="K3323">
        <v>46100</v>
      </c>
      <c r="N3323">
        <v>109</v>
      </c>
      <c r="O3323" t="s">
        <v>27</v>
      </c>
      <c r="Q3323">
        <v>30</v>
      </c>
      <c r="R3323" t="str">
        <f>"FARMÁCIA INDIANA LJ 19 (10012)"</f>
        <v>FARMÁCIA INDIANA LJ 19 (10012)</v>
      </c>
      <c r="S3323" t="s">
        <v>22</v>
      </c>
      <c r="T3323">
        <v>31310</v>
      </c>
      <c r="U3323">
        <v>35650</v>
      </c>
      <c r="V3323" t="s">
        <v>22</v>
      </c>
    </row>
    <row r="3324" spans="1:22">
      <c r="A3324" t="str">
        <f t="shared" si="608"/>
        <v>19/03/2026</v>
      </c>
      <c r="B3324" t="str">
        <f>"SAÍDA"</f>
        <v>SAÍDA</v>
      </c>
      <c r="C3324" t="str">
        <f>"PIX"</f>
        <v>PIX</v>
      </c>
      <c r="D3324" t="str">
        <f>"34594"</f>
        <v>34594</v>
      </c>
      <c r="E3324" t="str">
        <f t="shared" si="610"/>
        <v>1</v>
      </c>
      <c r="F3324" t="str">
        <f t="shared" si="606"/>
        <v>COM</v>
      </c>
      <c r="G3324" t="str">
        <f t="shared" si="611"/>
        <v>JUNIO DE ANDRADE ARRUDA (145)</v>
      </c>
      <c r="H3324" t="str">
        <f>"Serv.Prest. 02/03/2026 a 08/03/2026 - PIX: CELULAR - CHAVE: (31) 98674-8323"</f>
        <v>Serv.Prest. 02/03/2026 a 08/03/2026 - PIX: CELULAR - CHAVE: (31) 98674-8323</v>
      </c>
      <c r="I3324" t="str">
        <f t="shared" si="609"/>
        <v>19/03/2026</v>
      </c>
      <c r="J3324" t="str">
        <f>("10/03/2026")</f>
        <v>10/03/2026</v>
      </c>
      <c r="K3324" t="str">
        <f>("19/03/2026")</f>
        <v>19/03/2026</v>
      </c>
      <c r="L3324">
        <v>30</v>
      </c>
      <c r="M3324">
        <v>30</v>
      </c>
      <c r="N3324">
        <v>109</v>
      </c>
      <c r="O3324" t="str">
        <f>"PAGAMENTO DE ENTREGADORES"</f>
        <v>PAGAMENTO DE ENTREGADORES</v>
      </c>
      <c r="P3324">
        <v>30</v>
      </c>
      <c r="S3324" t="str">
        <f>"CAIXA MOVIMENTAÇÃO OPERACIONAL (132)"</f>
        <v>CAIXA MOVIMENTAÇÃO OPERACIONAL (132)</v>
      </c>
      <c r="T3324">
        <v>31311</v>
      </c>
      <c r="U3324">
        <v>34594</v>
      </c>
      <c r="V3324" t="s">
        <v>22</v>
      </c>
    </row>
    <row r="3325" spans="1:22">
      <c r="A3325" t="str">
        <f t="shared" si="608"/>
        <v>19/03/2026</v>
      </c>
      <c r="B3325" t="str">
        <f>"SAÍDA"</f>
        <v>SAÍDA</v>
      </c>
      <c r="C3325" t="str">
        <f>"PIX"</f>
        <v>PIX</v>
      </c>
      <c r="D3325" t="str">
        <f>"34594"</f>
        <v>34594</v>
      </c>
      <c r="E3325" t="str">
        <f t="shared" si="610"/>
        <v>1</v>
      </c>
      <c r="F3325" t="str">
        <f t="shared" si="606"/>
        <v>COM</v>
      </c>
      <c r="G3325" t="str">
        <f t="shared" si="611"/>
        <v>JUNIO DE ANDRADE ARRUDA (145)</v>
      </c>
      <c r="H3325" t="s">
        <v>973</v>
      </c>
      <c r="I3325" t="str">
        <f t="shared" si="609"/>
        <v>19/03/2026</v>
      </c>
      <c r="J3325" t="str">
        <f>("10/03/2026")</f>
        <v>10/03/2026</v>
      </c>
      <c r="K3325">
        <v>46100</v>
      </c>
      <c r="N3325">
        <v>109</v>
      </c>
      <c r="O3325" t="s">
        <v>27</v>
      </c>
      <c r="Q3325">
        <v>30</v>
      </c>
      <c r="R3325" t="str">
        <f>"FARMÁCIA INDIANA LJ 142 (10066)"</f>
        <v>FARMÁCIA INDIANA LJ 142 (10066)</v>
      </c>
      <c r="S3325" t="s">
        <v>22</v>
      </c>
      <c r="T3325">
        <v>31311</v>
      </c>
      <c r="U3325">
        <v>34594</v>
      </c>
      <c r="V3325" t="s">
        <v>22</v>
      </c>
    </row>
    <row r="3326" spans="1:22">
      <c r="A3326" t="str">
        <f t="shared" si="608"/>
        <v>19/03/2026</v>
      </c>
      <c r="B3326" t="str">
        <f>"ENTRADA"</f>
        <v>ENTRADA</v>
      </c>
      <c r="C3326" t="str">
        <f>"DINHEIRO"</f>
        <v>DINHEIRO</v>
      </c>
      <c r="D3326" t="str">
        <f>"19032026"</f>
        <v>19032026</v>
      </c>
      <c r="E3326" t="str">
        <f>""</f>
        <v/>
      </c>
      <c r="F3326" t="str">
        <f t="shared" si="606"/>
        <v>COM</v>
      </c>
      <c r="G3326" t="str">
        <f t="shared" si="611"/>
        <v>JUNIO DE ANDRADE ARRUDA (145)</v>
      </c>
      <c r="H3326" t="str">
        <f>"REELMBOLSO CERTIFICADO DIGITAL 1/2"</f>
        <v>REELMBOLSO CERTIFICADO DIGITAL 1/2</v>
      </c>
      <c r="I3326" t="str">
        <f t="shared" si="609"/>
        <v>19/03/2026</v>
      </c>
      <c r="J3326" t="str">
        <f>("19/03/2026")</f>
        <v>19/03/2026</v>
      </c>
      <c r="K3326" t="str">
        <f>("19/03/2026")</f>
        <v>19/03/2026</v>
      </c>
      <c r="L3326">
        <v>60</v>
      </c>
      <c r="M3326">
        <v>60</v>
      </c>
      <c r="N3326">
        <v>108</v>
      </c>
      <c r="O3326" t="str">
        <f>"RECEITAS COM REEMBOLSOS"</f>
        <v>RECEITAS COM REEMBOLSOS</v>
      </c>
      <c r="P3326">
        <v>60</v>
      </c>
      <c r="S3326" t="str">
        <f>"RECEITAS COM REEMBOLSOS (108)"</f>
        <v>RECEITAS COM REEMBOLSOS (108)</v>
      </c>
      <c r="T3326">
        <v>31312</v>
      </c>
      <c r="U3326">
        <v>35648</v>
      </c>
      <c r="V3326" t="s">
        <v>22</v>
      </c>
    </row>
    <row r="3327" spans="1:22">
      <c r="A3327" t="str">
        <f t="shared" si="608"/>
        <v>19/03/2026</v>
      </c>
      <c r="B3327" t="str">
        <f>"ENTRADA"</f>
        <v>ENTRADA</v>
      </c>
      <c r="C3327" t="str">
        <f>"DINHEIRO"</f>
        <v>DINHEIRO</v>
      </c>
      <c r="D3327" t="str">
        <f>"19032026"</f>
        <v>19032026</v>
      </c>
      <c r="E3327" t="str">
        <f>""</f>
        <v/>
      </c>
      <c r="F3327" t="str">
        <f t="shared" si="606"/>
        <v>COM</v>
      </c>
      <c r="G3327" t="str">
        <f t="shared" si="611"/>
        <v>JUNIO DE ANDRADE ARRUDA (145)</v>
      </c>
      <c r="H3327" t="s">
        <v>913</v>
      </c>
      <c r="I3327" t="str">
        <f t="shared" si="609"/>
        <v>19/03/2026</v>
      </c>
      <c r="J3327" t="str">
        <f>("19/03/2026")</f>
        <v>19/03/2026</v>
      </c>
      <c r="K3327">
        <v>46100</v>
      </c>
      <c r="N3327">
        <v>108</v>
      </c>
      <c r="O3327" t="s">
        <v>871</v>
      </c>
      <c r="Q3327">
        <v>60</v>
      </c>
      <c r="R3327" t="str">
        <f>"JUNIO DE ANDRADE ARRUDA (145)"</f>
        <v>JUNIO DE ANDRADE ARRUDA (145)</v>
      </c>
      <c r="S3327" t="s">
        <v>872</v>
      </c>
      <c r="T3327">
        <v>31312</v>
      </c>
      <c r="U3327">
        <v>35648</v>
      </c>
      <c r="V3327" t="s">
        <v>22</v>
      </c>
    </row>
    <row r="3328" spans="1:22">
      <c r="A3328" t="str">
        <f t="shared" si="608"/>
        <v>19/03/2026</v>
      </c>
      <c r="B3328" t="str">
        <f>"SAÍDA"</f>
        <v>SAÍDA</v>
      </c>
      <c r="C3328" t="str">
        <f>"PIX"</f>
        <v>PIX</v>
      </c>
      <c r="D3328" t="str">
        <f>"34592"</f>
        <v>34592</v>
      </c>
      <c r="E3328" t="str">
        <f>"1"</f>
        <v>1</v>
      </c>
      <c r="F3328" t="str">
        <f t="shared" si="606"/>
        <v>COM</v>
      </c>
      <c r="G3328" t="str">
        <f>"JUBER FERREIRA SILVA BASTOS (192)"</f>
        <v>JUBER FERREIRA SILVA BASTOS (192)</v>
      </c>
      <c r="H3328" t="str">
        <f>"Serv.Prest. 02/03/2026 a 08/03/2026 - PIX: CPF - CHAVE: 012.459.366-62"</f>
        <v>Serv.Prest. 02/03/2026 a 08/03/2026 - PIX: CPF - CHAVE: 012.459.366-62</v>
      </c>
      <c r="I3328" t="str">
        <f t="shared" si="609"/>
        <v>19/03/2026</v>
      </c>
      <c r="J3328" t="str">
        <f>("10/03/2026")</f>
        <v>10/03/2026</v>
      </c>
      <c r="K3328" t="str">
        <f>("19/03/2026")</f>
        <v>19/03/2026</v>
      </c>
      <c r="L3328">
        <v>60</v>
      </c>
      <c r="M3328">
        <v>60</v>
      </c>
      <c r="N3328">
        <v>109</v>
      </c>
      <c r="O3328" t="str">
        <f>"PAGAMENTO DE ENTREGADORES"</f>
        <v>PAGAMENTO DE ENTREGADORES</v>
      </c>
      <c r="P3328">
        <v>60</v>
      </c>
      <c r="S3328" t="str">
        <f>"CAIXA MOVIMENTAÇÃO OPERACIONAL (132)"</f>
        <v>CAIXA MOVIMENTAÇÃO OPERACIONAL (132)</v>
      </c>
      <c r="T3328">
        <v>31313</v>
      </c>
      <c r="U3328">
        <v>35653</v>
      </c>
      <c r="V3328" t="s">
        <v>22</v>
      </c>
    </row>
    <row r="3329" spans="1:22">
      <c r="A3329" t="str">
        <f t="shared" si="608"/>
        <v>19/03/2026</v>
      </c>
      <c r="B3329" t="str">
        <f>"SAÍDA"</f>
        <v>SAÍDA</v>
      </c>
      <c r="C3329" t="str">
        <f>"PIX"</f>
        <v>PIX</v>
      </c>
      <c r="D3329" t="str">
        <f>"34592"</f>
        <v>34592</v>
      </c>
      <c r="E3329" t="str">
        <f>"1"</f>
        <v>1</v>
      </c>
      <c r="F3329" t="str">
        <f t="shared" si="606"/>
        <v>COM</v>
      </c>
      <c r="G3329" t="str">
        <f>"JUBER FERREIRA SILVA BASTOS (192)"</f>
        <v>JUBER FERREIRA SILVA BASTOS (192)</v>
      </c>
      <c r="H3329" t="s">
        <v>974</v>
      </c>
      <c r="I3329" t="str">
        <f t="shared" si="609"/>
        <v>19/03/2026</v>
      </c>
      <c r="J3329" t="str">
        <f>("10/03/2026")</f>
        <v>10/03/2026</v>
      </c>
      <c r="K3329">
        <v>46100</v>
      </c>
      <c r="N3329">
        <v>109</v>
      </c>
      <c r="O3329" t="s">
        <v>27</v>
      </c>
      <c r="Q3329">
        <v>60</v>
      </c>
      <c r="R3329" t="str">
        <f>"FARMÁCIA INDIANA LJ 14 (10009)"</f>
        <v>FARMÁCIA INDIANA LJ 14 (10009)</v>
      </c>
      <c r="S3329" t="s">
        <v>22</v>
      </c>
      <c r="T3329">
        <v>31313</v>
      </c>
      <c r="U3329">
        <v>35653</v>
      </c>
      <c r="V3329" t="s">
        <v>22</v>
      </c>
    </row>
    <row r="3330" spans="1:22">
      <c r="A3330" t="str">
        <f t="shared" si="608"/>
        <v>19/03/2026</v>
      </c>
      <c r="B3330" t="str">
        <f>"ENTRADA"</f>
        <v>ENTRADA</v>
      </c>
      <c r="C3330" t="str">
        <f>"DINHEIRO"</f>
        <v>DINHEIRO</v>
      </c>
      <c r="D3330" t="str">
        <f>"19032026"</f>
        <v>19032026</v>
      </c>
      <c r="E3330" t="str">
        <f>""</f>
        <v/>
      </c>
      <c r="F3330" t="str">
        <f t="shared" ref="F3330:F3393" si="612">"COM"</f>
        <v>COM</v>
      </c>
      <c r="G3330" t="str">
        <f>"JUBER FERREIRA SILVA BASTOS (192)"</f>
        <v>JUBER FERREIRA SILVA BASTOS (192)</v>
      </c>
      <c r="H3330" t="str">
        <f>"REELMBOLSO CERTIFICADO DIGITAL 1/2"</f>
        <v>REELMBOLSO CERTIFICADO DIGITAL 1/2</v>
      </c>
      <c r="I3330" t="str">
        <f t="shared" si="609"/>
        <v>19/03/2026</v>
      </c>
      <c r="J3330" t="str">
        <f>("19/03/2026")</f>
        <v>19/03/2026</v>
      </c>
      <c r="K3330" t="str">
        <f>("19/03/2026")</f>
        <v>19/03/2026</v>
      </c>
      <c r="L3330">
        <v>60</v>
      </c>
      <c r="M3330">
        <v>60</v>
      </c>
      <c r="N3330">
        <v>108</v>
      </c>
      <c r="O3330" t="str">
        <f>"RECEITAS COM REEMBOLSOS"</f>
        <v>RECEITAS COM REEMBOLSOS</v>
      </c>
      <c r="P3330">
        <v>60</v>
      </c>
      <c r="S3330" t="str">
        <f>"RECEITAS COM REEMBOLSOS (108)"</f>
        <v>RECEITAS COM REEMBOLSOS (108)</v>
      </c>
      <c r="T3330">
        <v>31314</v>
      </c>
      <c r="U3330">
        <v>35651</v>
      </c>
      <c r="V3330" t="s">
        <v>22</v>
      </c>
    </row>
    <row r="3331" spans="1:22">
      <c r="A3331" t="str">
        <f t="shared" si="608"/>
        <v>19/03/2026</v>
      </c>
      <c r="B3331" t="str">
        <f>"ENTRADA"</f>
        <v>ENTRADA</v>
      </c>
      <c r="C3331" t="str">
        <f>"DINHEIRO"</f>
        <v>DINHEIRO</v>
      </c>
      <c r="D3331" t="str">
        <f>"19032026"</f>
        <v>19032026</v>
      </c>
      <c r="E3331" t="str">
        <f>""</f>
        <v/>
      </c>
      <c r="F3331" t="str">
        <f t="shared" si="612"/>
        <v>COM</v>
      </c>
      <c r="G3331" t="str">
        <f>"JUBER FERREIRA SILVA BASTOS (192)"</f>
        <v>JUBER FERREIRA SILVA BASTOS (192)</v>
      </c>
      <c r="H3331" t="s">
        <v>913</v>
      </c>
      <c r="I3331" t="str">
        <f t="shared" si="609"/>
        <v>19/03/2026</v>
      </c>
      <c r="J3331" t="str">
        <f>("19/03/2026")</f>
        <v>19/03/2026</v>
      </c>
      <c r="K3331">
        <v>46100</v>
      </c>
      <c r="N3331">
        <v>108</v>
      </c>
      <c r="O3331" t="s">
        <v>871</v>
      </c>
      <c r="Q3331">
        <v>60</v>
      </c>
      <c r="R3331" t="str">
        <f>"JUBER FERREIRA SILVA BASTOS (192)"</f>
        <v>JUBER FERREIRA SILVA BASTOS (192)</v>
      </c>
      <c r="S3331" t="s">
        <v>872</v>
      </c>
      <c r="T3331">
        <v>31314</v>
      </c>
      <c r="U3331">
        <v>35651</v>
      </c>
      <c r="V3331" t="s">
        <v>22</v>
      </c>
    </row>
    <row r="3332" spans="1:22">
      <c r="A3332" t="str">
        <f t="shared" si="608"/>
        <v>19/03/2026</v>
      </c>
      <c r="B3332" t="str">
        <f>"SAÍDA"</f>
        <v>SAÍDA</v>
      </c>
      <c r="C3332" t="str">
        <f>"PIX"</f>
        <v>PIX</v>
      </c>
      <c r="D3332" t="str">
        <f>"34572"</f>
        <v>34572</v>
      </c>
      <c r="E3332" t="str">
        <f>"1"</f>
        <v>1</v>
      </c>
      <c r="F3332" t="str">
        <f t="shared" si="612"/>
        <v>COM</v>
      </c>
      <c r="G3332" t="str">
        <f>"GABRIEL MARINI CAMPOS DE SOUZA (1140)"</f>
        <v>GABRIEL MARINI CAMPOS DE SOUZA (1140)</v>
      </c>
      <c r="H3332" t="str">
        <f>"Serv.Prest. 02/03/2026 a 08/03/2026 - PIX: CPF - CHAVE: 163.440.926-45"</f>
        <v>Serv.Prest. 02/03/2026 a 08/03/2026 - PIX: CPF - CHAVE: 163.440.926-45</v>
      </c>
      <c r="I3332" t="str">
        <f t="shared" si="609"/>
        <v>19/03/2026</v>
      </c>
      <c r="J3332" t="str">
        <f>("10/03/2026")</f>
        <v>10/03/2026</v>
      </c>
      <c r="K3332" t="str">
        <f>("19/03/2026")</f>
        <v>19/03/2026</v>
      </c>
      <c r="L3332">
        <v>60</v>
      </c>
      <c r="M3332">
        <v>60</v>
      </c>
      <c r="N3332">
        <v>109</v>
      </c>
      <c r="O3332" t="str">
        <f>"PAGAMENTO DE ENTREGADORES"</f>
        <v>PAGAMENTO DE ENTREGADORES</v>
      </c>
      <c r="P3332">
        <v>60</v>
      </c>
      <c r="S3332" t="str">
        <f>"CAIXA MOVIMENTAÇÃO OPERACIONAL (132)"</f>
        <v>CAIXA MOVIMENTAÇÃO OPERACIONAL (132)</v>
      </c>
      <c r="T3332">
        <v>31315</v>
      </c>
      <c r="U3332">
        <v>35656</v>
      </c>
      <c r="V3332" t="s">
        <v>22</v>
      </c>
    </row>
    <row r="3333" spans="1:22">
      <c r="A3333" t="str">
        <f t="shared" si="608"/>
        <v>19/03/2026</v>
      </c>
      <c r="B3333" t="str">
        <f>"SAÍDA"</f>
        <v>SAÍDA</v>
      </c>
      <c r="C3333" t="str">
        <f>"PIX"</f>
        <v>PIX</v>
      </c>
      <c r="D3333" t="str">
        <f>"34572"</f>
        <v>34572</v>
      </c>
      <c r="E3333" t="str">
        <f>"1"</f>
        <v>1</v>
      </c>
      <c r="F3333" t="str">
        <f t="shared" si="612"/>
        <v>COM</v>
      </c>
      <c r="G3333" t="str">
        <f>"GABRIEL MARINI CAMPOS DE SOUZA (1140)"</f>
        <v>GABRIEL MARINI CAMPOS DE SOUZA (1140)</v>
      </c>
      <c r="H3333" t="s">
        <v>975</v>
      </c>
      <c r="I3333" t="str">
        <f t="shared" si="609"/>
        <v>19/03/2026</v>
      </c>
      <c r="J3333" t="str">
        <f>("10/03/2026")</f>
        <v>10/03/2026</v>
      </c>
      <c r="K3333">
        <v>46100</v>
      </c>
      <c r="N3333">
        <v>109</v>
      </c>
      <c r="O3333" t="s">
        <v>27</v>
      </c>
      <c r="Q3333">
        <v>60</v>
      </c>
      <c r="R3333" t="str">
        <f>"FARMÁCIA INDIANA LJ 134 (10271)"</f>
        <v>FARMÁCIA INDIANA LJ 134 (10271)</v>
      </c>
      <c r="S3333" t="s">
        <v>22</v>
      </c>
      <c r="T3333">
        <v>31315</v>
      </c>
      <c r="U3333">
        <v>35656</v>
      </c>
      <c r="V3333" t="s">
        <v>22</v>
      </c>
    </row>
    <row r="3334" spans="1:22">
      <c r="A3334" t="str">
        <f t="shared" si="608"/>
        <v>19/03/2026</v>
      </c>
      <c r="B3334" t="str">
        <f>"ENTRADA"</f>
        <v>ENTRADA</v>
      </c>
      <c r="C3334" t="str">
        <f>"DINHEIRO"</f>
        <v>DINHEIRO</v>
      </c>
      <c r="D3334" t="str">
        <f>"19032026"</f>
        <v>19032026</v>
      </c>
      <c r="E3334" t="str">
        <f>""</f>
        <v/>
      </c>
      <c r="F3334" t="str">
        <f t="shared" si="612"/>
        <v>COM</v>
      </c>
      <c r="G3334" t="str">
        <f>"GABRIEL MARINI CAMPOS DE SOUZA (1140)"</f>
        <v>GABRIEL MARINI CAMPOS DE SOUZA (1140)</v>
      </c>
      <c r="H3334" t="str">
        <f>"REELMBOLSO CERTIFICADO DIGITAL 1/2"</f>
        <v>REELMBOLSO CERTIFICADO DIGITAL 1/2</v>
      </c>
      <c r="I3334" t="str">
        <f t="shared" si="609"/>
        <v>19/03/2026</v>
      </c>
      <c r="J3334" t="str">
        <f>("19/03/2026")</f>
        <v>19/03/2026</v>
      </c>
      <c r="K3334" t="str">
        <f>("19/03/2026")</f>
        <v>19/03/2026</v>
      </c>
      <c r="L3334">
        <v>60</v>
      </c>
      <c r="M3334">
        <v>60</v>
      </c>
      <c r="N3334">
        <v>108</v>
      </c>
      <c r="O3334" t="str">
        <f>"RECEITAS COM REEMBOLSOS"</f>
        <v>RECEITAS COM REEMBOLSOS</v>
      </c>
      <c r="P3334">
        <v>60</v>
      </c>
      <c r="S3334" t="str">
        <f>"RECEITAS COM REEMBOLSOS (108)"</f>
        <v>RECEITAS COM REEMBOLSOS (108)</v>
      </c>
      <c r="T3334">
        <v>31316</v>
      </c>
      <c r="U3334">
        <v>35654</v>
      </c>
      <c r="V3334" t="s">
        <v>22</v>
      </c>
    </row>
    <row r="3335" spans="1:22">
      <c r="A3335" t="str">
        <f t="shared" si="608"/>
        <v>19/03/2026</v>
      </c>
      <c r="B3335" t="str">
        <f>"ENTRADA"</f>
        <v>ENTRADA</v>
      </c>
      <c r="C3335" t="str">
        <f>"DINHEIRO"</f>
        <v>DINHEIRO</v>
      </c>
      <c r="D3335" t="str">
        <f>"19032026"</f>
        <v>19032026</v>
      </c>
      <c r="E3335" t="str">
        <f>""</f>
        <v/>
      </c>
      <c r="F3335" t="str">
        <f t="shared" si="612"/>
        <v>COM</v>
      </c>
      <c r="G3335" t="str">
        <f>"GABRIEL MARINI CAMPOS DE SOUZA (1140)"</f>
        <v>GABRIEL MARINI CAMPOS DE SOUZA (1140)</v>
      </c>
      <c r="H3335" t="s">
        <v>913</v>
      </c>
      <c r="I3335" t="str">
        <f t="shared" si="609"/>
        <v>19/03/2026</v>
      </c>
      <c r="J3335" t="str">
        <f>("19/03/2026")</f>
        <v>19/03/2026</v>
      </c>
      <c r="K3335">
        <v>46100</v>
      </c>
      <c r="N3335">
        <v>108</v>
      </c>
      <c r="O3335" t="s">
        <v>871</v>
      </c>
      <c r="Q3335">
        <v>60</v>
      </c>
      <c r="R3335" t="str">
        <f>"GABRIEL MARINI CAMPOS DE SOUZA (1140)"</f>
        <v>GABRIEL MARINI CAMPOS DE SOUZA (1140)</v>
      </c>
      <c r="S3335" t="s">
        <v>872</v>
      </c>
      <c r="T3335">
        <v>31316</v>
      </c>
      <c r="U3335">
        <v>35654</v>
      </c>
      <c r="V3335" t="s">
        <v>22</v>
      </c>
    </row>
    <row r="3336" spans="1:22">
      <c r="A3336" t="str">
        <f t="shared" si="608"/>
        <v>19/03/2026</v>
      </c>
      <c r="B3336" t="str">
        <f>"SAÍDA"</f>
        <v>SAÍDA</v>
      </c>
      <c r="C3336" t="str">
        <f>"PIX"</f>
        <v>PIX</v>
      </c>
      <c r="D3336" t="str">
        <f>"34550"</f>
        <v>34550</v>
      </c>
      <c r="E3336" t="str">
        <f>"1"</f>
        <v>1</v>
      </c>
      <c r="F3336" t="str">
        <f t="shared" si="612"/>
        <v>COM</v>
      </c>
      <c r="G3336" t="str">
        <f>"CARLOS ALEXANDRE BADARO CORDEIRO (1137)"</f>
        <v>CARLOS ALEXANDRE BADARO CORDEIRO (1137)</v>
      </c>
      <c r="H3336" t="str">
        <f>"Serv.Prest. 02/03/2026 a 08/03/2026 - PIX: CELULAR - CHAVE: (32) 99928-9092"</f>
        <v>Serv.Prest. 02/03/2026 a 08/03/2026 - PIX: CELULAR - CHAVE: (32) 99928-9092</v>
      </c>
      <c r="I3336" t="str">
        <f t="shared" si="609"/>
        <v>19/03/2026</v>
      </c>
      <c r="J3336" t="str">
        <f>("10/03/2026")</f>
        <v>10/03/2026</v>
      </c>
      <c r="K3336" t="str">
        <f>("19/03/2026")</f>
        <v>19/03/2026</v>
      </c>
      <c r="L3336">
        <v>60</v>
      </c>
      <c r="M3336">
        <v>60</v>
      </c>
      <c r="N3336">
        <v>109</v>
      </c>
      <c r="O3336" t="str">
        <f>"PAGAMENTO DE ENTREGADORES"</f>
        <v>PAGAMENTO DE ENTREGADORES</v>
      </c>
      <c r="P3336">
        <v>60</v>
      </c>
      <c r="S3336" t="str">
        <f>"CAIXA MOVIMENTAÇÃO OPERACIONAL (132)"</f>
        <v>CAIXA MOVIMENTAÇÃO OPERACIONAL (132)</v>
      </c>
      <c r="T3336">
        <v>31317</v>
      </c>
      <c r="U3336">
        <v>35659</v>
      </c>
      <c r="V3336" t="s">
        <v>22</v>
      </c>
    </row>
    <row r="3337" spans="1:22">
      <c r="A3337" t="str">
        <f t="shared" si="608"/>
        <v>19/03/2026</v>
      </c>
      <c r="B3337" t="str">
        <f>"SAÍDA"</f>
        <v>SAÍDA</v>
      </c>
      <c r="C3337" t="str">
        <f>"PIX"</f>
        <v>PIX</v>
      </c>
      <c r="D3337" t="str">
        <f>"34550"</f>
        <v>34550</v>
      </c>
      <c r="E3337" t="str">
        <f>"1"</f>
        <v>1</v>
      </c>
      <c r="F3337" t="str">
        <f t="shared" si="612"/>
        <v>COM</v>
      </c>
      <c r="G3337" t="str">
        <f>"CARLOS ALEXANDRE BADARO CORDEIRO (1137)"</f>
        <v>CARLOS ALEXANDRE BADARO CORDEIRO (1137)</v>
      </c>
      <c r="H3337" t="s">
        <v>976</v>
      </c>
      <c r="I3337" t="str">
        <f t="shared" si="609"/>
        <v>19/03/2026</v>
      </c>
      <c r="J3337" t="str">
        <f>("10/03/2026")</f>
        <v>10/03/2026</v>
      </c>
      <c r="K3337">
        <v>46100</v>
      </c>
      <c r="N3337">
        <v>109</v>
      </c>
      <c r="O3337" t="s">
        <v>27</v>
      </c>
      <c r="Q3337">
        <v>60</v>
      </c>
      <c r="R3337" t="str">
        <f>"FARMÁCIA INDIANA LJ 284 (10280)"</f>
        <v>FARMÁCIA INDIANA LJ 284 (10280)</v>
      </c>
      <c r="S3337" t="s">
        <v>22</v>
      </c>
      <c r="T3337">
        <v>31317</v>
      </c>
      <c r="U3337">
        <v>35659</v>
      </c>
      <c r="V3337" t="s">
        <v>22</v>
      </c>
    </row>
    <row r="3338" spans="1:22">
      <c r="A3338" t="str">
        <f t="shared" si="608"/>
        <v>19/03/2026</v>
      </c>
      <c r="B3338" t="str">
        <f>"ENTRADA"</f>
        <v>ENTRADA</v>
      </c>
      <c r="C3338" t="str">
        <f>"DINHEIRO"</f>
        <v>DINHEIRO</v>
      </c>
      <c r="D3338" t="str">
        <f>"19032026"</f>
        <v>19032026</v>
      </c>
      <c r="E3338" t="str">
        <f>""</f>
        <v/>
      </c>
      <c r="F3338" t="str">
        <f t="shared" si="612"/>
        <v>COM</v>
      </c>
      <c r="G3338" t="str">
        <f>"CARLOS ALEXANDRE BADAR?? CORDEIRO (1137)"</f>
        <v>CARLOS ALEXANDRE BADAR?? CORDEIRO (1137)</v>
      </c>
      <c r="H3338" t="str">
        <f>"REELMBOLSO CERTIFICADO DIGITAL 1/2"</f>
        <v>REELMBOLSO CERTIFICADO DIGITAL 1/2</v>
      </c>
      <c r="I3338" t="str">
        <f t="shared" si="609"/>
        <v>19/03/2026</v>
      </c>
      <c r="J3338" t="str">
        <f>("19/03/2026")</f>
        <v>19/03/2026</v>
      </c>
      <c r="K3338" t="str">
        <f>("19/03/2026")</f>
        <v>19/03/2026</v>
      </c>
      <c r="L3338">
        <v>60</v>
      </c>
      <c r="M3338">
        <v>60</v>
      </c>
      <c r="N3338">
        <v>108</v>
      </c>
      <c r="O3338" t="str">
        <f>"RECEITAS COM REEMBOLSOS"</f>
        <v>RECEITAS COM REEMBOLSOS</v>
      </c>
      <c r="P3338">
        <v>60</v>
      </c>
      <c r="S3338" t="str">
        <f>"RECEITAS COM REEMBOLSOS (108)"</f>
        <v>RECEITAS COM REEMBOLSOS (108)</v>
      </c>
      <c r="T3338">
        <v>31318</v>
      </c>
      <c r="U3338">
        <v>35657</v>
      </c>
      <c r="V3338" t="s">
        <v>22</v>
      </c>
    </row>
    <row r="3339" spans="1:22">
      <c r="A3339" t="str">
        <f t="shared" si="608"/>
        <v>19/03/2026</v>
      </c>
      <c r="B3339" t="str">
        <f>"ENTRADA"</f>
        <v>ENTRADA</v>
      </c>
      <c r="C3339" t="str">
        <f>"DINHEIRO"</f>
        <v>DINHEIRO</v>
      </c>
      <c r="D3339" t="str">
        <f>"19032026"</f>
        <v>19032026</v>
      </c>
      <c r="E3339" t="str">
        <f>""</f>
        <v/>
      </c>
      <c r="F3339" t="str">
        <f t="shared" si="612"/>
        <v>COM</v>
      </c>
      <c r="G3339" t="str">
        <f>"CARLOS ALEXANDRE BADAR?? CORDEIRO (1137)"</f>
        <v>CARLOS ALEXANDRE BADAR?? CORDEIRO (1137)</v>
      </c>
      <c r="H3339" t="s">
        <v>913</v>
      </c>
      <c r="I3339" t="str">
        <f t="shared" si="609"/>
        <v>19/03/2026</v>
      </c>
      <c r="J3339" t="str">
        <f>("19/03/2026")</f>
        <v>19/03/2026</v>
      </c>
      <c r="K3339">
        <v>46100</v>
      </c>
      <c r="N3339">
        <v>108</v>
      </c>
      <c r="O3339" t="s">
        <v>871</v>
      </c>
      <c r="Q3339">
        <v>60</v>
      </c>
      <c r="R3339" t="str">
        <f>"CARLOS ALEXANDRE BADAR?? CORDEIRO (1137)"</f>
        <v>CARLOS ALEXANDRE BADAR?? CORDEIRO (1137)</v>
      </c>
      <c r="S3339" t="s">
        <v>872</v>
      </c>
      <c r="T3339">
        <v>31318</v>
      </c>
      <c r="U3339">
        <v>35657</v>
      </c>
      <c r="V3339" t="s">
        <v>22</v>
      </c>
    </row>
    <row r="3340" spans="1:22">
      <c r="A3340" t="str">
        <f t="shared" si="608"/>
        <v>19/03/2026</v>
      </c>
      <c r="B3340" t="str">
        <f>"SAÍDA"</f>
        <v>SAÍDA</v>
      </c>
      <c r="C3340" t="str">
        <f>"PIX"</f>
        <v>PIX</v>
      </c>
      <c r="D3340" t="str">
        <f>"34567"</f>
        <v>34567</v>
      </c>
      <c r="E3340" t="str">
        <f>"1"</f>
        <v>1</v>
      </c>
      <c r="F3340" t="str">
        <f t="shared" si="612"/>
        <v>COM</v>
      </c>
      <c r="G3340" t="str">
        <f>"EDSON JUNIOR FERREIRA DA SILVA (99)"</f>
        <v>EDSON JUNIOR FERREIRA DA SILVA (99)</v>
      </c>
      <c r="H3340" t="str">
        <f>"Serv.Prest. 02/03/2026 a 08/03/2026 - PIX: CPF - CHAVE: 141.134.256-98"</f>
        <v>Serv.Prest. 02/03/2026 a 08/03/2026 - PIX: CPF - CHAVE: 141.134.256-98</v>
      </c>
      <c r="I3340" t="str">
        <f t="shared" si="609"/>
        <v>19/03/2026</v>
      </c>
      <c r="J3340" t="str">
        <f>("10/03/2026")</f>
        <v>10/03/2026</v>
      </c>
      <c r="K3340" t="str">
        <f>("19/03/2026")</f>
        <v>19/03/2026</v>
      </c>
      <c r="L3340">
        <v>60</v>
      </c>
      <c r="M3340">
        <v>60</v>
      </c>
      <c r="N3340">
        <v>109</v>
      </c>
      <c r="O3340" t="str">
        <f>"PAGAMENTO DE ENTREGADORES"</f>
        <v>PAGAMENTO DE ENTREGADORES</v>
      </c>
      <c r="P3340">
        <v>60</v>
      </c>
      <c r="S3340" t="str">
        <f>"CAIXA MOVIMENTAÇÃO OPERACIONAL (132)"</f>
        <v>CAIXA MOVIMENTAÇÃO OPERACIONAL (132)</v>
      </c>
      <c r="T3340">
        <v>31319</v>
      </c>
      <c r="U3340">
        <v>35662</v>
      </c>
      <c r="V3340" t="s">
        <v>22</v>
      </c>
    </row>
    <row r="3341" spans="1:22">
      <c r="A3341" t="str">
        <f t="shared" si="608"/>
        <v>19/03/2026</v>
      </c>
      <c r="B3341" t="str">
        <f>"SAÍDA"</f>
        <v>SAÍDA</v>
      </c>
      <c r="C3341" t="str">
        <f>"PIX"</f>
        <v>PIX</v>
      </c>
      <c r="D3341" t="str">
        <f>"34567"</f>
        <v>34567</v>
      </c>
      <c r="E3341" t="str">
        <f>"1"</f>
        <v>1</v>
      </c>
      <c r="F3341" t="str">
        <f t="shared" si="612"/>
        <v>COM</v>
      </c>
      <c r="G3341" t="str">
        <f>"EDSON JUNIOR FERREIRA DA SILVA (99)"</f>
        <v>EDSON JUNIOR FERREIRA DA SILVA (99)</v>
      </c>
      <c r="H3341" t="s">
        <v>849</v>
      </c>
      <c r="I3341" t="str">
        <f t="shared" si="609"/>
        <v>19/03/2026</v>
      </c>
      <c r="J3341" t="str">
        <f>("10/03/2026")</f>
        <v>10/03/2026</v>
      </c>
      <c r="K3341">
        <v>46100</v>
      </c>
      <c r="N3341">
        <v>109</v>
      </c>
      <c r="O3341" t="s">
        <v>27</v>
      </c>
      <c r="Q3341">
        <v>60</v>
      </c>
      <c r="R3341" t="str">
        <f>"FARMÁCIA INDIANA LJ 100 (10042)"</f>
        <v>FARMÁCIA INDIANA LJ 100 (10042)</v>
      </c>
      <c r="S3341" t="s">
        <v>22</v>
      </c>
      <c r="T3341">
        <v>31319</v>
      </c>
      <c r="U3341">
        <v>35662</v>
      </c>
      <c r="V3341" t="s">
        <v>22</v>
      </c>
    </row>
    <row r="3342" spans="1:22">
      <c r="A3342" t="str">
        <f t="shared" si="608"/>
        <v>19/03/2026</v>
      </c>
      <c r="B3342" t="str">
        <f>"ENTRADA"</f>
        <v>ENTRADA</v>
      </c>
      <c r="C3342" t="str">
        <f>"DINHEIRO"</f>
        <v>DINHEIRO</v>
      </c>
      <c r="D3342" t="str">
        <f>"19032026"</f>
        <v>19032026</v>
      </c>
      <c r="E3342" t="str">
        <f>""</f>
        <v/>
      </c>
      <c r="F3342" t="str">
        <f t="shared" si="612"/>
        <v>COM</v>
      </c>
      <c r="G3342" t="str">
        <f>"EDSON JUNIOR FERREIRA DA SILVA (99)"</f>
        <v>EDSON JUNIOR FERREIRA DA SILVA (99)</v>
      </c>
      <c r="H3342" t="str">
        <f>"REELMBOLSO CERTIFICADO DIGITAL 1/2"</f>
        <v>REELMBOLSO CERTIFICADO DIGITAL 1/2</v>
      </c>
      <c r="I3342" t="str">
        <f t="shared" si="609"/>
        <v>19/03/2026</v>
      </c>
      <c r="J3342" t="str">
        <f>("19/03/2026")</f>
        <v>19/03/2026</v>
      </c>
      <c r="K3342" t="str">
        <f>("19/03/2026")</f>
        <v>19/03/2026</v>
      </c>
      <c r="L3342">
        <v>60</v>
      </c>
      <c r="M3342">
        <v>60</v>
      </c>
      <c r="N3342">
        <v>108</v>
      </c>
      <c r="O3342" t="str">
        <f>"RECEITAS COM REEMBOLSOS"</f>
        <v>RECEITAS COM REEMBOLSOS</v>
      </c>
      <c r="P3342">
        <v>60</v>
      </c>
      <c r="S3342" t="str">
        <f>"RECEITAS COM REEMBOLSOS (108)"</f>
        <v>RECEITAS COM REEMBOLSOS (108)</v>
      </c>
      <c r="T3342">
        <v>31320</v>
      </c>
      <c r="U3342">
        <v>35660</v>
      </c>
      <c r="V3342" t="s">
        <v>22</v>
      </c>
    </row>
    <row r="3343" spans="1:22">
      <c r="A3343" t="str">
        <f t="shared" si="608"/>
        <v>19/03/2026</v>
      </c>
      <c r="B3343" t="str">
        <f>"ENTRADA"</f>
        <v>ENTRADA</v>
      </c>
      <c r="C3343" t="str">
        <f>"DINHEIRO"</f>
        <v>DINHEIRO</v>
      </c>
      <c r="D3343" t="str">
        <f>"19032026"</f>
        <v>19032026</v>
      </c>
      <c r="E3343" t="str">
        <f>""</f>
        <v/>
      </c>
      <c r="F3343" t="str">
        <f t="shared" si="612"/>
        <v>COM</v>
      </c>
      <c r="G3343" t="str">
        <f>"EDSON JUNIOR FERREIRA DA SILVA (99)"</f>
        <v>EDSON JUNIOR FERREIRA DA SILVA (99)</v>
      </c>
      <c r="H3343" t="s">
        <v>913</v>
      </c>
      <c r="I3343" t="str">
        <f t="shared" si="609"/>
        <v>19/03/2026</v>
      </c>
      <c r="J3343" t="str">
        <f>("19/03/2026")</f>
        <v>19/03/2026</v>
      </c>
      <c r="K3343">
        <v>46100</v>
      </c>
      <c r="N3343">
        <v>108</v>
      </c>
      <c r="O3343" t="s">
        <v>871</v>
      </c>
      <c r="Q3343">
        <v>60</v>
      </c>
      <c r="R3343" t="str">
        <f>"EDSON JUNIOR FERREIRA DA SILVA (99)"</f>
        <v>EDSON JUNIOR FERREIRA DA SILVA (99)</v>
      </c>
      <c r="S3343" t="s">
        <v>872</v>
      </c>
      <c r="T3343">
        <v>31320</v>
      </c>
      <c r="U3343">
        <v>35660</v>
      </c>
      <c r="V3343" t="s">
        <v>22</v>
      </c>
    </row>
    <row r="3344" spans="1:22">
      <c r="A3344" t="str">
        <f t="shared" si="608"/>
        <v>19/03/2026</v>
      </c>
      <c r="B3344" t="str">
        <f>"SAÍDA"</f>
        <v>SAÍDA</v>
      </c>
      <c r="C3344" t="str">
        <f>"PIX"</f>
        <v>PIX</v>
      </c>
      <c r="D3344" t="str">
        <f>"34641"</f>
        <v>34641</v>
      </c>
      <c r="E3344" t="str">
        <f>"1"</f>
        <v>1</v>
      </c>
      <c r="F3344" t="str">
        <f t="shared" si="612"/>
        <v>COM</v>
      </c>
      <c r="G3344" t="str">
        <f>"VICTOR RILLEY CRUZ MESQUITA (1005)"</f>
        <v>VICTOR RILLEY CRUZ MESQUITA (1005)</v>
      </c>
      <c r="H3344" t="str">
        <f>"Serv.Prest. 02/03/2026 a 08/03/2026 - PIX: CELULAR - CHAVE: (33) 99973-4407"</f>
        <v>Serv.Prest. 02/03/2026 a 08/03/2026 - PIX: CELULAR - CHAVE: (33) 99973-4407</v>
      </c>
      <c r="I3344" t="str">
        <f t="shared" si="609"/>
        <v>19/03/2026</v>
      </c>
      <c r="J3344" t="str">
        <f>("10/03/2026")</f>
        <v>10/03/2026</v>
      </c>
      <c r="K3344" t="str">
        <f>("19/03/2026")</f>
        <v>19/03/2026</v>
      </c>
      <c r="L3344">
        <v>60</v>
      </c>
      <c r="M3344">
        <v>60</v>
      </c>
      <c r="N3344">
        <v>109</v>
      </c>
      <c r="O3344" t="str">
        <f>"PAGAMENTO DE ENTREGADORES"</f>
        <v>PAGAMENTO DE ENTREGADORES</v>
      </c>
      <c r="P3344">
        <v>60</v>
      </c>
      <c r="S3344" t="str">
        <f>"CAIXA MOVIMENTAÇÃO OPERACIONAL (132)"</f>
        <v>CAIXA MOVIMENTAÇÃO OPERACIONAL (132)</v>
      </c>
      <c r="T3344">
        <v>31321</v>
      </c>
      <c r="U3344">
        <v>35665</v>
      </c>
      <c r="V3344" t="s">
        <v>22</v>
      </c>
    </row>
    <row r="3345" spans="1:22">
      <c r="A3345" t="str">
        <f t="shared" si="608"/>
        <v>19/03/2026</v>
      </c>
      <c r="B3345" t="str">
        <f>"SAÍDA"</f>
        <v>SAÍDA</v>
      </c>
      <c r="C3345" t="str">
        <f>"PIX"</f>
        <v>PIX</v>
      </c>
      <c r="D3345" t="str">
        <f>"34641"</f>
        <v>34641</v>
      </c>
      <c r="E3345" t="str">
        <f>"1"</f>
        <v>1</v>
      </c>
      <c r="F3345" t="str">
        <f t="shared" si="612"/>
        <v>COM</v>
      </c>
      <c r="G3345" t="str">
        <f>"VICTOR RILLEY CRUZ MESQUITA (1005)"</f>
        <v>VICTOR RILLEY CRUZ MESQUITA (1005)</v>
      </c>
      <c r="H3345" t="s">
        <v>977</v>
      </c>
      <c r="I3345" t="str">
        <f t="shared" si="609"/>
        <v>19/03/2026</v>
      </c>
      <c r="J3345" t="str">
        <f>("10/03/2026")</f>
        <v>10/03/2026</v>
      </c>
      <c r="K3345">
        <v>46100</v>
      </c>
      <c r="N3345">
        <v>109</v>
      </c>
      <c r="O3345" t="s">
        <v>27</v>
      </c>
      <c r="Q3345">
        <v>60</v>
      </c>
      <c r="R3345" t="str">
        <f>"FARMÁCIA INDIANA LJ 07 (10007)"</f>
        <v>FARMÁCIA INDIANA LJ 07 (10007)</v>
      </c>
      <c r="S3345" t="s">
        <v>22</v>
      </c>
      <c r="T3345">
        <v>31321</v>
      </c>
      <c r="U3345">
        <v>35665</v>
      </c>
      <c r="V3345" t="s">
        <v>22</v>
      </c>
    </row>
    <row r="3346" spans="1:22">
      <c r="A3346" t="str">
        <f t="shared" si="608"/>
        <v>19/03/2026</v>
      </c>
      <c r="B3346" t="str">
        <f>"ENTRADA"</f>
        <v>ENTRADA</v>
      </c>
      <c r="C3346" t="str">
        <f>"DINHEIRO"</f>
        <v>DINHEIRO</v>
      </c>
      <c r="D3346" t="str">
        <f>"19032026"</f>
        <v>19032026</v>
      </c>
      <c r="E3346" t="str">
        <f>""</f>
        <v/>
      </c>
      <c r="F3346" t="str">
        <f t="shared" si="612"/>
        <v>COM</v>
      </c>
      <c r="G3346" t="str">
        <f>"VICTOR RILLEY CRUZ MESQUITA (1005)"</f>
        <v>VICTOR RILLEY CRUZ MESQUITA (1005)</v>
      </c>
      <c r="H3346" t="str">
        <f>"REELMBOLSO CERTIFICADO DIGITAL 1/2"</f>
        <v>REELMBOLSO CERTIFICADO DIGITAL 1/2</v>
      </c>
      <c r="I3346" t="str">
        <f t="shared" si="609"/>
        <v>19/03/2026</v>
      </c>
      <c r="J3346" t="str">
        <f>("19/03/2026")</f>
        <v>19/03/2026</v>
      </c>
      <c r="K3346" t="str">
        <f>("19/03/2026")</f>
        <v>19/03/2026</v>
      </c>
      <c r="L3346">
        <v>60</v>
      </c>
      <c r="M3346">
        <v>60</v>
      </c>
      <c r="N3346">
        <v>108</v>
      </c>
      <c r="O3346" t="str">
        <f>"RECEITAS COM REEMBOLSOS"</f>
        <v>RECEITAS COM REEMBOLSOS</v>
      </c>
      <c r="P3346">
        <v>60</v>
      </c>
      <c r="S3346" t="str">
        <f>"RECEITAS COM REEMBOLSOS (108)"</f>
        <v>RECEITAS COM REEMBOLSOS (108)</v>
      </c>
      <c r="T3346">
        <v>31322</v>
      </c>
      <c r="U3346">
        <v>35663</v>
      </c>
      <c r="V3346" t="s">
        <v>22</v>
      </c>
    </row>
    <row r="3347" spans="1:22">
      <c r="A3347" t="str">
        <f t="shared" si="608"/>
        <v>19/03/2026</v>
      </c>
      <c r="B3347" t="str">
        <f>"ENTRADA"</f>
        <v>ENTRADA</v>
      </c>
      <c r="C3347" t="str">
        <f>"DINHEIRO"</f>
        <v>DINHEIRO</v>
      </c>
      <c r="D3347" t="str">
        <f>"19032026"</f>
        <v>19032026</v>
      </c>
      <c r="E3347" t="str">
        <f>""</f>
        <v/>
      </c>
      <c r="F3347" t="str">
        <f t="shared" si="612"/>
        <v>COM</v>
      </c>
      <c r="G3347" t="str">
        <f>"VICTOR RILLEY CRUZ MESQUITA (1005)"</f>
        <v>VICTOR RILLEY CRUZ MESQUITA (1005)</v>
      </c>
      <c r="H3347" t="s">
        <v>913</v>
      </c>
      <c r="I3347" t="str">
        <f t="shared" si="609"/>
        <v>19/03/2026</v>
      </c>
      <c r="J3347" t="str">
        <f>("19/03/2026")</f>
        <v>19/03/2026</v>
      </c>
      <c r="K3347">
        <v>46100</v>
      </c>
      <c r="N3347">
        <v>108</v>
      </c>
      <c r="O3347" t="s">
        <v>871</v>
      </c>
      <c r="Q3347">
        <v>60</v>
      </c>
      <c r="R3347" t="str">
        <f>"VICTOR RILLEY CRUZ MESQUITA (1005)"</f>
        <v>VICTOR RILLEY CRUZ MESQUITA (1005)</v>
      </c>
      <c r="S3347" t="s">
        <v>872</v>
      </c>
      <c r="T3347">
        <v>31322</v>
      </c>
      <c r="U3347">
        <v>35663</v>
      </c>
      <c r="V3347" t="s">
        <v>22</v>
      </c>
    </row>
    <row r="3348" spans="1:22">
      <c r="A3348" t="str">
        <f t="shared" si="608"/>
        <v>19/03/2026</v>
      </c>
      <c r="B3348" t="str">
        <f>"SAÍDA"</f>
        <v>SAÍDA</v>
      </c>
      <c r="C3348" t="str">
        <f>"PIX"</f>
        <v>PIX</v>
      </c>
      <c r="D3348" t="str">
        <f>"34630"</f>
        <v>34630</v>
      </c>
      <c r="E3348" t="str">
        <f>"1"</f>
        <v>1</v>
      </c>
      <c r="F3348" t="str">
        <f t="shared" si="612"/>
        <v>COM</v>
      </c>
      <c r="G3348" t="str">
        <f>"ROGÉRIO LAURINDO BORGES (176)"</f>
        <v>ROGÉRIO LAURINDO BORGES (176)</v>
      </c>
      <c r="H3348" t="str">
        <f>"Serv.Prest. 02/03/2026 a 08/03/2026 - PIX: E-MAIL - CHAVE: roger.l.borges04@gmail.com"</f>
        <v>Serv.Prest. 02/03/2026 a 08/03/2026 - PIX: E-MAIL - CHAVE: roger.l.borges04@gmail.com</v>
      </c>
      <c r="I3348" t="str">
        <f t="shared" si="609"/>
        <v>19/03/2026</v>
      </c>
      <c r="J3348" t="str">
        <f>("10/03/2026")</f>
        <v>10/03/2026</v>
      </c>
      <c r="K3348" t="str">
        <f>("19/03/2026")</f>
        <v>19/03/2026</v>
      </c>
      <c r="L3348">
        <v>60</v>
      </c>
      <c r="M3348">
        <v>60</v>
      </c>
      <c r="N3348">
        <v>109</v>
      </c>
      <c r="O3348" t="str">
        <f>"PAGAMENTO DE ENTREGADORES"</f>
        <v>PAGAMENTO DE ENTREGADORES</v>
      </c>
      <c r="P3348">
        <v>60</v>
      </c>
      <c r="S3348" t="str">
        <f>"CAIXA MOVIMENTAÇÃO OPERACIONAL (132)"</f>
        <v>CAIXA MOVIMENTAÇÃO OPERACIONAL (132)</v>
      </c>
      <c r="T3348">
        <v>31323</v>
      </c>
      <c r="U3348">
        <v>35669</v>
      </c>
      <c r="V3348" t="s">
        <v>22</v>
      </c>
    </row>
    <row r="3349" spans="1:22">
      <c r="A3349" t="str">
        <f t="shared" si="608"/>
        <v>19/03/2026</v>
      </c>
      <c r="B3349" t="str">
        <f>"SAÍDA"</f>
        <v>SAÍDA</v>
      </c>
      <c r="C3349" t="str">
        <f>"PIX"</f>
        <v>PIX</v>
      </c>
      <c r="D3349" t="str">
        <f>"34630"</f>
        <v>34630</v>
      </c>
      <c r="E3349" t="str">
        <f>"1"</f>
        <v>1</v>
      </c>
      <c r="F3349" t="str">
        <f t="shared" si="612"/>
        <v>COM</v>
      </c>
      <c r="G3349" t="str">
        <f>"ROGÉRIO LAURINDO BORGES (176)"</f>
        <v>ROGÉRIO LAURINDO BORGES (176)</v>
      </c>
      <c r="H3349" t="s">
        <v>978</v>
      </c>
      <c r="I3349" t="str">
        <f t="shared" si="609"/>
        <v>19/03/2026</v>
      </c>
      <c r="J3349" t="str">
        <f>("10/03/2026")</f>
        <v>10/03/2026</v>
      </c>
      <c r="K3349">
        <v>46100</v>
      </c>
      <c r="N3349">
        <v>109</v>
      </c>
      <c r="O3349" t="s">
        <v>27</v>
      </c>
      <c r="Q3349">
        <v>60</v>
      </c>
      <c r="R3349" t="str">
        <f>"FARMÁCIA INDIANA LJ 142 (10066)"</f>
        <v>FARMÁCIA INDIANA LJ 142 (10066)</v>
      </c>
      <c r="S3349" t="s">
        <v>22</v>
      </c>
      <c r="T3349">
        <v>31323</v>
      </c>
      <c r="U3349">
        <v>35669</v>
      </c>
      <c r="V3349" t="s">
        <v>22</v>
      </c>
    </row>
    <row r="3350" spans="1:22">
      <c r="A3350" t="str">
        <f t="shared" si="608"/>
        <v>19/03/2026</v>
      </c>
      <c r="B3350" t="str">
        <f>"ENTRADA"</f>
        <v>ENTRADA</v>
      </c>
      <c r="C3350" t="str">
        <f>"DINHEIRO"</f>
        <v>DINHEIRO</v>
      </c>
      <c r="D3350" t="str">
        <f>"19032026"</f>
        <v>19032026</v>
      </c>
      <c r="E3350" t="str">
        <f>""</f>
        <v/>
      </c>
      <c r="F3350" t="str">
        <f t="shared" si="612"/>
        <v>COM</v>
      </c>
      <c r="G3350" t="str">
        <f>"ROGÉRIO LAURINDO BORGES (176)"</f>
        <v>ROGÉRIO LAURINDO BORGES (176)</v>
      </c>
      <c r="H3350" t="str">
        <f>"REELMBOLSO CERTIFICADO DIGITAL 1/2"</f>
        <v>REELMBOLSO CERTIFICADO DIGITAL 1/2</v>
      </c>
      <c r="I3350" t="str">
        <f t="shared" si="609"/>
        <v>19/03/2026</v>
      </c>
      <c r="J3350" t="str">
        <f>("19/03/2026")</f>
        <v>19/03/2026</v>
      </c>
      <c r="K3350" t="str">
        <f>("19/03/2026")</f>
        <v>19/03/2026</v>
      </c>
      <c r="L3350">
        <v>60</v>
      </c>
      <c r="M3350">
        <v>60</v>
      </c>
      <c r="N3350">
        <v>108</v>
      </c>
      <c r="O3350" t="str">
        <f>"RECEITAS COM REEMBOLSOS"</f>
        <v>RECEITAS COM REEMBOLSOS</v>
      </c>
      <c r="P3350">
        <v>60</v>
      </c>
      <c r="S3350" t="str">
        <f>"RECEITAS COM REEMBOLSOS (108)"</f>
        <v>RECEITAS COM REEMBOLSOS (108)</v>
      </c>
      <c r="T3350">
        <v>31324</v>
      </c>
      <c r="U3350">
        <v>35666</v>
      </c>
      <c r="V3350" t="s">
        <v>22</v>
      </c>
    </row>
    <row r="3351" spans="1:22">
      <c r="A3351" t="str">
        <f t="shared" si="608"/>
        <v>19/03/2026</v>
      </c>
      <c r="B3351" t="str">
        <f>"ENTRADA"</f>
        <v>ENTRADA</v>
      </c>
      <c r="C3351" t="str">
        <f>"DINHEIRO"</f>
        <v>DINHEIRO</v>
      </c>
      <c r="D3351" t="str">
        <f>"19032026"</f>
        <v>19032026</v>
      </c>
      <c r="E3351" t="str">
        <f>""</f>
        <v/>
      </c>
      <c r="F3351" t="str">
        <f t="shared" si="612"/>
        <v>COM</v>
      </c>
      <c r="G3351" t="str">
        <f>"ROGÉRIO LAURINDO BORGES (176)"</f>
        <v>ROGÉRIO LAURINDO BORGES (176)</v>
      </c>
      <c r="H3351" t="s">
        <v>913</v>
      </c>
      <c r="I3351" t="str">
        <f t="shared" si="609"/>
        <v>19/03/2026</v>
      </c>
      <c r="J3351" t="str">
        <f>("19/03/2026")</f>
        <v>19/03/2026</v>
      </c>
      <c r="K3351">
        <v>46100</v>
      </c>
      <c r="N3351">
        <v>108</v>
      </c>
      <c r="O3351" t="s">
        <v>871</v>
      </c>
      <c r="Q3351">
        <v>60</v>
      </c>
      <c r="R3351" t="str">
        <f>"ROGÉRIO LAURINDO BORGES (176)"</f>
        <v>ROGÉRIO LAURINDO BORGES (176)</v>
      </c>
      <c r="S3351" t="s">
        <v>872</v>
      </c>
      <c r="T3351">
        <v>31324</v>
      </c>
      <c r="U3351">
        <v>35666</v>
      </c>
      <c r="V3351" t="s">
        <v>22</v>
      </c>
    </row>
    <row r="3352" spans="1:22">
      <c r="A3352" t="str">
        <f t="shared" si="608"/>
        <v>19/03/2026</v>
      </c>
      <c r="B3352" t="str">
        <f>"SAÍDA"</f>
        <v>SAÍDA</v>
      </c>
      <c r="C3352" t="str">
        <f>"PIX"</f>
        <v>PIX</v>
      </c>
      <c r="D3352" t="str">
        <f>"34595"</f>
        <v>34595</v>
      </c>
      <c r="E3352" t="str">
        <f>"1"</f>
        <v>1</v>
      </c>
      <c r="F3352" t="str">
        <f t="shared" si="612"/>
        <v>COM</v>
      </c>
      <c r="G3352" t="str">
        <f>"JUNIOR DOS SANTOS MACHADO (240)"</f>
        <v>JUNIOR DOS SANTOS MACHADO (240)</v>
      </c>
      <c r="H3352" t="str">
        <f>"Serv.Prest. 02/03/2026 a 08/03/2026 - PIX: E-MAIL - CHAVE: juninhomachado789@gmail.com"</f>
        <v>Serv.Prest. 02/03/2026 a 08/03/2026 - PIX: E-MAIL - CHAVE: juninhomachado789@gmail.com</v>
      </c>
      <c r="I3352" t="str">
        <f t="shared" si="609"/>
        <v>19/03/2026</v>
      </c>
      <c r="J3352" t="str">
        <f>("10/03/2026")</f>
        <v>10/03/2026</v>
      </c>
      <c r="K3352" t="str">
        <f>("19/03/2026")</f>
        <v>19/03/2026</v>
      </c>
      <c r="L3352">
        <v>60</v>
      </c>
      <c r="M3352">
        <v>60</v>
      </c>
      <c r="N3352">
        <v>109</v>
      </c>
      <c r="O3352" t="str">
        <f>"PAGAMENTO DE ENTREGADORES"</f>
        <v>PAGAMENTO DE ENTREGADORES</v>
      </c>
      <c r="P3352">
        <v>60</v>
      </c>
      <c r="S3352" t="str">
        <f>"CAIXA MOVIMENTAÇÃO OPERACIONAL (132)"</f>
        <v>CAIXA MOVIMENTAÇÃO OPERACIONAL (132)</v>
      </c>
      <c r="T3352">
        <v>31325</v>
      </c>
      <c r="U3352">
        <v>35672</v>
      </c>
      <c r="V3352" t="s">
        <v>22</v>
      </c>
    </row>
    <row r="3353" spans="1:22">
      <c r="A3353" t="str">
        <f t="shared" si="608"/>
        <v>19/03/2026</v>
      </c>
      <c r="B3353" t="str">
        <f>"SAÍDA"</f>
        <v>SAÍDA</v>
      </c>
      <c r="C3353" t="str">
        <f>"PIX"</f>
        <v>PIX</v>
      </c>
      <c r="D3353" t="str">
        <f>"34595"</f>
        <v>34595</v>
      </c>
      <c r="E3353" t="str">
        <f>"1"</f>
        <v>1</v>
      </c>
      <c r="F3353" t="str">
        <f t="shared" si="612"/>
        <v>COM</v>
      </c>
      <c r="G3353" t="str">
        <f>"JUNIOR DOS SANTOS MACHADO (240)"</f>
        <v>JUNIOR DOS SANTOS MACHADO (240)</v>
      </c>
      <c r="H3353" t="s">
        <v>857</v>
      </c>
      <c r="I3353" t="str">
        <f t="shared" si="609"/>
        <v>19/03/2026</v>
      </c>
      <c r="J3353" t="str">
        <f>("10/03/2026")</f>
        <v>10/03/2026</v>
      </c>
      <c r="K3353">
        <v>46100</v>
      </c>
      <c r="N3353">
        <v>109</v>
      </c>
      <c r="O3353" t="s">
        <v>27</v>
      </c>
      <c r="Q3353">
        <v>60</v>
      </c>
      <c r="R3353" t="str">
        <f>"FARMÁCIA INDIANA LJ 62 (10028)"</f>
        <v>FARMÁCIA INDIANA LJ 62 (10028)</v>
      </c>
      <c r="S3353" t="s">
        <v>22</v>
      </c>
      <c r="T3353">
        <v>31325</v>
      </c>
      <c r="U3353">
        <v>35672</v>
      </c>
      <c r="V3353" t="s">
        <v>22</v>
      </c>
    </row>
    <row r="3354" spans="1:22">
      <c r="A3354" t="str">
        <f t="shared" si="608"/>
        <v>19/03/2026</v>
      </c>
      <c r="B3354" t="str">
        <f>"ENTRADA"</f>
        <v>ENTRADA</v>
      </c>
      <c r="C3354" t="str">
        <f>"DINHEIRO"</f>
        <v>DINHEIRO</v>
      </c>
      <c r="D3354" t="str">
        <f>"19032026"</f>
        <v>19032026</v>
      </c>
      <c r="E3354" t="str">
        <f>""</f>
        <v/>
      </c>
      <c r="F3354" t="str">
        <f t="shared" si="612"/>
        <v>COM</v>
      </c>
      <c r="G3354" t="str">
        <f>"JUNIOR DOS SANTOS MACHADO (240)"</f>
        <v>JUNIOR DOS SANTOS MACHADO (240)</v>
      </c>
      <c r="H3354" t="str">
        <f>"REELMBOLSO CERTIFICADO DIGITAL 1/2"</f>
        <v>REELMBOLSO CERTIFICADO DIGITAL 1/2</v>
      </c>
      <c r="I3354" t="str">
        <f t="shared" si="609"/>
        <v>19/03/2026</v>
      </c>
      <c r="J3354" t="str">
        <f>("19/03/2026")</f>
        <v>19/03/2026</v>
      </c>
      <c r="K3354" t="str">
        <f>("19/03/2026")</f>
        <v>19/03/2026</v>
      </c>
      <c r="L3354">
        <v>60</v>
      </c>
      <c r="M3354">
        <v>60</v>
      </c>
      <c r="N3354">
        <v>108</v>
      </c>
      <c r="O3354" t="str">
        <f>"RECEITAS COM REEMBOLSOS"</f>
        <v>RECEITAS COM REEMBOLSOS</v>
      </c>
      <c r="P3354">
        <v>60</v>
      </c>
      <c r="S3354" t="str">
        <f>"RECEITAS COM REEMBOLSOS (108)"</f>
        <v>RECEITAS COM REEMBOLSOS (108)</v>
      </c>
      <c r="T3354">
        <v>31326</v>
      </c>
      <c r="U3354">
        <v>35670</v>
      </c>
      <c r="V3354" t="s">
        <v>22</v>
      </c>
    </row>
    <row r="3355" spans="1:22">
      <c r="A3355" t="str">
        <f t="shared" si="608"/>
        <v>19/03/2026</v>
      </c>
      <c r="B3355" t="str">
        <f>"ENTRADA"</f>
        <v>ENTRADA</v>
      </c>
      <c r="C3355" t="str">
        <f>"DINHEIRO"</f>
        <v>DINHEIRO</v>
      </c>
      <c r="D3355" t="str">
        <f>"19032026"</f>
        <v>19032026</v>
      </c>
      <c r="E3355" t="str">
        <f>""</f>
        <v/>
      </c>
      <c r="F3355" t="str">
        <f t="shared" si="612"/>
        <v>COM</v>
      </c>
      <c r="G3355" t="str">
        <f>"JUNIOR DOS SANTOS MACHADO (240)"</f>
        <v>JUNIOR DOS SANTOS MACHADO (240)</v>
      </c>
      <c r="H3355" t="s">
        <v>913</v>
      </c>
      <c r="I3355" t="str">
        <f t="shared" si="609"/>
        <v>19/03/2026</v>
      </c>
      <c r="J3355" t="str">
        <f>("19/03/2026")</f>
        <v>19/03/2026</v>
      </c>
      <c r="K3355">
        <v>46100</v>
      </c>
      <c r="N3355">
        <v>108</v>
      </c>
      <c r="O3355" t="s">
        <v>871</v>
      </c>
      <c r="Q3355">
        <v>60</v>
      </c>
      <c r="R3355" t="str">
        <f>"JUNIOR DOS SANTOS MACHADO (240)"</f>
        <v>JUNIOR DOS SANTOS MACHADO (240)</v>
      </c>
      <c r="S3355" t="s">
        <v>872</v>
      </c>
      <c r="T3355">
        <v>31326</v>
      </c>
      <c r="U3355">
        <v>35670</v>
      </c>
      <c r="V3355" t="s">
        <v>22</v>
      </c>
    </row>
    <row r="3356" spans="1:22">
      <c r="A3356" t="str">
        <f t="shared" si="608"/>
        <v>19/03/2026</v>
      </c>
      <c r="B3356" t="str">
        <f>"SAÍDA"</f>
        <v>SAÍDA</v>
      </c>
      <c r="C3356" t="str">
        <f>"PIX"</f>
        <v>PIX</v>
      </c>
      <c r="D3356" t="str">
        <f>"34622"</f>
        <v>34622</v>
      </c>
      <c r="E3356" t="str">
        <f>"1"</f>
        <v>1</v>
      </c>
      <c r="F3356" t="str">
        <f t="shared" si="612"/>
        <v>COM</v>
      </c>
      <c r="G3356" t="str">
        <f>"PAULO HENRIQUE OLIVEIRA SILVA (39)"</f>
        <v>PAULO HENRIQUE OLIVEIRA SILVA (39)</v>
      </c>
      <c r="H3356" t="str">
        <f>"Serv.Prest. 02/03/2026 a 08/03/2026 - PIX: CELULAR - CHAVE: (31) 97339-3761"</f>
        <v>Serv.Prest. 02/03/2026 a 08/03/2026 - PIX: CELULAR - CHAVE: (31) 97339-3761</v>
      </c>
      <c r="I3356" t="str">
        <f t="shared" si="609"/>
        <v>19/03/2026</v>
      </c>
      <c r="J3356" t="str">
        <f>("10/03/2026")</f>
        <v>10/03/2026</v>
      </c>
      <c r="K3356" t="str">
        <f>("19/03/2026")</f>
        <v>19/03/2026</v>
      </c>
      <c r="L3356">
        <v>60</v>
      </c>
      <c r="M3356">
        <v>60</v>
      </c>
      <c r="N3356">
        <v>109</v>
      </c>
      <c r="O3356" t="str">
        <f>"PAGAMENTO DE ENTREGADORES"</f>
        <v>PAGAMENTO DE ENTREGADORES</v>
      </c>
      <c r="P3356">
        <v>60</v>
      </c>
      <c r="S3356" t="str">
        <f>"CAIXA MOVIMENTAÇÃO OPERACIONAL (132)"</f>
        <v>CAIXA MOVIMENTAÇÃO OPERACIONAL (132)</v>
      </c>
      <c r="T3356">
        <v>31327</v>
      </c>
      <c r="U3356">
        <v>35675</v>
      </c>
      <c r="V3356" t="s">
        <v>22</v>
      </c>
    </row>
    <row r="3357" spans="1:22">
      <c r="A3357" t="str">
        <f t="shared" si="608"/>
        <v>19/03/2026</v>
      </c>
      <c r="B3357" t="str">
        <f>"SAÍDA"</f>
        <v>SAÍDA</v>
      </c>
      <c r="C3357" t="str">
        <f>"PIX"</f>
        <v>PIX</v>
      </c>
      <c r="D3357" t="str">
        <f>"34622"</f>
        <v>34622</v>
      </c>
      <c r="E3357" t="str">
        <f>"1"</f>
        <v>1</v>
      </c>
      <c r="F3357" t="str">
        <f t="shared" si="612"/>
        <v>COM</v>
      </c>
      <c r="G3357" t="str">
        <f>"PAULO HENRIQUE OLIVEIRA SILVA (39)"</f>
        <v>PAULO HENRIQUE OLIVEIRA SILVA (39)</v>
      </c>
      <c r="H3357" t="s">
        <v>979</v>
      </c>
      <c r="I3357" t="str">
        <f t="shared" si="609"/>
        <v>19/03/2026</v>
      </c>
      <c r="J3357" t="str">
        <f>("10/03/2026")</f>
        <v>10/03/2026</v>
      </c>
      <c r="K3357">
        <v>46100</v>
      </c>
      <c r="N3357">
        <v>109</v>
      </c>
      <c r="O3357" t="s">
        <v>27</v>
      </c>
      <c r="Q3357">
        <v>60</v>
      </c>
      <c r="R3357" t="str">
        <f>"FARMÁCIA INDIANA LJ 11 (10008)"</f>
        <v>FARMÁCIA INDIANA LJ 11 (10008)</v>
      </c>
      <c r="S3357" t="s">
        <v>22</v>
      </c>
      <c r="T3357">
        <v>31327</v>
      </c>
      <c r="U3357">
        <v>35675</v>
      </c>
      <c r="V3357" t="s">
        <v>22</v>
      </c>
    </row>
    <row r="3358" spans="1:22">
      <c r="A3358" t="str">
        <f t="shared" si="608"/>
        <v>19/03/2026</v>
      </c>
      <c r="B3358" t="str">
        <f>"ENTRADA"</f>
        <v>ENTRADA</v>
      </c>
      <c r="C3358" t="str">
        <f>"DINHEIRO"</f>
        <v>DINHEIRO</v>
      </c>
      <c r="D3358" t="str">
        <f>"19032026"</f>
        <v>19032026</v>
      </c>
      <c r="E3358" t="str">
        <f>""</f>
        <v/>
      </c>
      <c r="F3358" t="str">
        <f t="shared" si="612"/>
        <v>COM</v>
      </c>
      <c r="G3358" t="str">
        <f>"PAULO HENRIQUE OLIVEIRA SILVA (39)"</f>
        <v>PAULO HENRIQUE OLIVEIRA SILVA (39)</v>
      </c>
      <c r="H3358" t="str">
        <f>"REELMBOLSO CERTIFICADO DIGITAL 1/2"</f>
        <v>REELMBOLSO CERTIFICADO DIGITAL 1/2</v>
      </c>
      <c r="I3358" t="str">
        <f t="shared" si="609"/>
        <v>19/03/2026</v>
      </c>
      <c r="J3358" t="str">
        <f>("19/03/2026")</f>
        <v>19/03/2026</v>
      </c>
      <c r="K3358" t="str">
        <f>("19/03/2026")</f>
        <v>19/03/2026</v>
      </c>
      <c r="L3358">
        <v>60</v>
      </c>
      <c r="M3358">
        <v>60</v>
      </c>
      <c r="N3358">
        <v>108</v>
      </c>
      <c r="O3358" t="str">
        <f>"RECEITAS COM REEMBOLSOS"</f>
        <v>RECEITAS COM REEMBOLSOS</v>
      </c>
      <c r="P3358">
        <v>60</v>
      </c>
      <c r="S3358" t="str">
        <f>"RECEITAS COM REEMBOLSOS (108)"</f>
        <v>RECEITAS COM REEMBOLSOS (108)</v>
      </c>
      <c r="T3358">
        <v>31328</v>
      </c>
      <c r="U3358">
        <v>35673</v>
      </c>
      <c r="V3358" t="s">
        <v>22</v>
      </c>
    </row>
    <row r="3359" spans="1:22">
      <c r="A3359" t="str">
        <f t="shared" si="608"/>
        <v>19/03/2026</v>
      </c>
      <c r="B3359" t="str">
        <f>"ENTRADA"</f>
        <v>ENTRADA</v>
      </c>
      <c r="C3359" t="str">
        <f>"DINHEIRO"</f>
        <v>DINHEIRO</v>
      </c>
      <c r="D3359" t="str">
        <f>"19032026"</f>
        <v>19032026</v>
      </c>
      <c r="E3359" t="str">
        <f>""</f>
        <v/>
      </c>
      <c r="F3359" t="str">
        <f t="shared" si="612"/>
        <v>COM</v>
      </c>
      <c r="G3359" t="str">
        <f>"PAULO HENRIQUE OLIVEIRA SILVA (39)"</f>
        <v>PAULO HENRIQUE OLIVEIRA SILVA (39)</v>
      </c>
      <c r="H3359" t="s">
        <v>913</v>
      </c>
      <c r="I3359" t="str">
        <f t="shared" si="609"/>
        <v>19/03/2026</v>
      </c>
      <c r="J3359" t="str">
        <f>("19/03/2026")</f>
        <v>19/03/2026</v>
      </c>
      <c r="K3359">
        <v>46100</v>
      </c>
      <c r="N3359">
        <v>108</v>
      </c>
      <c r="O3359" t="s">
        <v>871</v>
      </c>
      <c r="Q3359">
        <v>60</v>
      </c>
      <c r="R3359" t="str">
        <f>"PAULO HENRIQUE OLIVEIRA SILVA (39)"</f>
        <v>PAULO HENRIQUE OLIVEIRA SILVA (39)</v>
      </c>
      <c r="S3359" t="s">
        <v>872</v>
      </c>
      <c r="T3359">
        <v>31328</v>
      </c>
      <c r="U3359">
        <v>35673</v>
      </c>
      <c r="V3359" t="s">
        <v>22</v>
      </c>
    </row>
    <row r="3360" spans="1:22">
      <c r="A3360" t="str">
        <f t="shared" si="608"/>
        <v>19/03/2026</v>
      </c>
      <c r="B3360" t="str">
        <f>"SAÍDA"</f>
        <v>SAÍDA</v>
      </c>
      <c r="C3360" t="str">
        <f>"PIX"</f>
        <v>PIX</v>
      </c>
      <c r="D3360" t="str">
        <f>"34922"</f>
        <v>34922</v>
      </c>
      <c r="E3360" t="str">
        <f>"1"</f>
        <v>1</v>
      </c>
      <c r="F3360" t="str">
        <f t="shared" si="612"/>
        <v>COM</v>
      </c>
      <c r="G3360" t="str">
        <f>"EDVAN DA SILVA ALVES (934)"</f>
        <v>EDVAN DA SILVA ALVES (934)</v>
      </c>
      <c r="H3360" t="str">
        <f>"Serv.Prest. 09/03/2026 a 15/03/2026 - PIX: E-MAIL - CHAVE: edvam18.alves@gmail.com"</f>
        <v>Serv.Prest. 09/03/2026 a 15/03/2026 - PIX: E-MAIL - CHAVE: edvam18.alves@gmail.com</v>
      </c>
      <c r="I3360" t="str">
        <f t="shared" si="609"/>
        <v>19/03/2026</v>
      </c>
      <c r="J3360" t="str">
        <f>("16/03/2026")</f>
        <v>16/03/2026</v>
      </c>
      <c r="K3360" t="str">
        <f>("19/03/2026")</f>
        <v>19/03/2026</v>
      </c>
      <c r="L3360">
        <v>60</v>
      </c>
      <c r="M3360">
        <v>60</v>
      </c>
      <c r="N3360">
        <v>109</v>
      </c>
      <c r="O3360" t="str">
        <f>"PAGAMENTO DE ENTREGADORES"</f>
        <v>PAGAMENTO DE ENTREGADORES</v>
      </c>
      <c r="P3360">
        <v>60</v>
      </c>
      <c r="S3360" t="str">
        <f>"CAIXA MOVIMENTAÇÃO OPERACIONAL (132)"</f>
        <v>CAIXA MOVIMENTAÇÃO OPERACIONAL (132)</v>
      </c>
      <c r="T3360">
        <v>31329</v>
      </c>
      <c r="U3360">
        <v>35678</v>
      </c>
      <c r="V3360" t="s">
        <v>22</v>
      </c>
    </row>
    <row r="3361" spans="1:22">
      <c r="A3361" t="str">
        <f t="shared" si="608"/>
        <v>19/03/2026</v>
      </c>
      <c r="B3361" t="str">
        <f>"SAÍDA"</f>
        <v>SAÍDA</v>
      </c>
      <c r="C3361" t="str">
        <f>"PIX"</f>
        <v>PIX</v>
      </c>
      <c r="D3361" t="str">
        <f>"34922"</f>
        <v>34922</v>
      </c>
      <c r="E3361" t="str">
        <f>"1"</f>
        <v>1</v>
      </c>
      <c r="F3361" t="str">
        <f t="shared" si="612"/>
        <v>COM</v>
      </c>
      <c r="G3361" t="str">
        <f>"EDVAN DA SILVA ALVES (934)"</f>
        <v>EDVAN DA SILVA ALVES (934)</v>
      </c>
      <c r="H3361" t="s">
        <v>980</v>
      </c>
      <c r="I3361" t="str">
        <f t="shared" si="609"/>
        <v>19/03/2026</v>
      </c>
      <c r="J3361" t="str">
        <f>("16/03/2026")</f>
        <v>16/03/2026</v>
      </c>
      <c r="K3361">
        <v>46100</v>
      </c>
      <c r="N3361">
        <v>109</v>
      </c>
      <c r="O3361" t="s">
        <v>27</v>
      </c>
      <c r="Q3361">
        <v>60</v>
      </c>
      <c r="R3361" t="str">
        <f>"DELTA LOJA 2 (10123)"</f>
        <v>DELTA LOJA 2 (10123)</v>
      </c>
      <c r="S3361" t="s">
        <v>22</v>
      </c>
      <c r="T3361">
        <v>31329</v>
      </c>
      <c r="U3361">
        <v>35678</v>
      </c>
      <c r="V3361" t="s">
        <v>22</v>
      </c>
    </row>
    <row r="3362" spans="1:22">
      <c r="A3362" t="str">
        <f t="shared" si="608"/>
        <v>19/03/2026</v>
      </c>
      <c r="B3362" t="str">
        <f>"ENTRADA"</f>
        <v>ENTRADA</v>
      </c>
      <c r="C3362" t="str">
        <f>"DINHEIRO"</f>
        <v>DINHEIRO</v>
      </c>
      <c r="D3362" t="str">
        <f>"19032026"</f>
        <v>19032026</v>
      </c>
      <c r="E3362" t="str">
        <f>""</f>
        <v/>
      </c>
      <c r="F3362" t="str">
        <f t="shared" si="612"/>
        <v>COM</v>
      </c>
      <c r="G3362" t="str">
        <f>"EDVAN DA SILVA ALVES (934)"</f>
        <v>EDVAN DA SILVA ALVES (934)</v>
      </c>
      <c r="H3362" t="str">
        <f>"REELMBOLSO CERTIFICADO DIGITAL 1/2"</f>
        <v>REELMBOLSO CERTIFICADO DIGITAL 1/2</v>
      </c>
      <c r="I3362" t="str">
        <f t="shared" si="609"/>
        <v>19/03/2026</v>
      </c>
      <c r="J3362" t="str">
        <f>("19/03/2026")</f>
        <v>19/03/2026</v>
      </c>
      <c r="K3362" t="str">
        <f>("19/03/2026")</f>
        <v>19/03/2026</v>
      </c>
      <c r="L3362">
        <v>60</v>
      </c>
      <c r="M3362">
        <v>60</v>
      </c>
      <c r="N3362">
        <v>108</v>
      </c>
      <c r="O3362" t="str">
        <f>"RECEITAS COM REEMBOLSOS"</f>
        <v>RECEITAS COM REEMBOLSOS</v>
      </c>
      <c r="P3362">
        <v>60</v>
      </c>
      <c r="S3362" t="str">
        <f>"RECEITAS COM REEMBOLSOS (108)"</f>
        <v>RECEITAS COM REEMBOLSOS (108)</v>
      </c>
      <c r="T3362">
        <v>31330</v>
      </c>
      <c r="U3362">
        <v>35676</v>
      </c>
      <c r="V3362" t="s">
        <v>22</v>
      </c>
    </row>
    <row r="3363" spans="1:22">
      <c r="A3363" t="str">
        <f t="shared" si="608"/>
        <v>19/03/2026</v>
      </c>
      <c r="B3363" t="str">
        <f>"ENTRADA"</f>
        <v>ENTRADA</v>
      </c>
      <c r="C3363" t="str">
        <f>"DINHEIRO"</f>
        <v>DINHEIRO</v>
      </c>
      <c r="D3363" t="str">
        <f>"19032026"</f>
        <v>19032026</v>
      </c>
      <c r="E3363" t="str">
        <f>""</f>
        <v/>
      </c>
      <c r="F3363" t="str">
        <f t="shared" si="612"/>
        <v>COM</v>
      </c>
      <c r="G3363" t="str">
        <f>"EDVAN DA SILVA ALVES (934)"</f>
        <v>EDVAN DA SILVA ALVES (934)</v>
      </c>
      <c r="H3363" t="s">
        <v>913</v>
      </c>
      <c r="I3363" t="str">
        <f t="shared" si="609"/>
        <v>19/03/2026</v>
      </c>
      <c r="J3363" t="str">
        <f>("19/03/2026")</f>
        <v>19/03/2026</v>
      </c>
      <c r="K3363">
        <v>46100</v>
      </c>
      <c r="N3363">
        <v>108</v>
      </c>
      <c r="O3363" t="s">
        <v>871</v>
      </c>
      <c r="Q3363">
        <v>60</v>
      </c>
      <c r="R3363" t="str">
        <f>"EDVAN DA SILVA ALVES (934)"</f>
        <v>EDVAN DA SILVA ALVES (934)</v>
      </c>
      <c r="S3363" t="s">
        <v>872</v>
      </c>
      <c r="T3363">
        <v>31330</v>
      </c>
      <c r="U3363">
        <v>35676</v>
      </c>
      <c r="V3363" t="s">
        <v>22</v>
      </c>
    </row>
    <row r="3364" spans="1:22">
      <c r="A3364" t="str">
        <f t="shared" si="608"/>
        <v>19/03/2026</v>
      </c>
      <c r="B3364" t="str">
        <f>"SAÍDA"</f>
        <v>SAÍDA</v>
      </c>
      <c r="C3364" t="str">
        <f>"PIX"</f>
        <v>PIX</v>
      </c>
      <c r="D3364" t="str">
        <f>"34610"</f>
        <v>34610</v>
      </c>
      <c r="E3364" t="str">
        <f>"1"</f>
        <v>1</v>
      </c>
      <c r="F3364" t="str">
        <f t="shared" si="612"/>
        <v>COM</v>
      </c>
      <c r="G3364" t="str">
        <f>"MATHEUS VIEIRA DA SILVA (886)"</f>
        <v>MATHEUS VIEIRA DA SILVA (886)</v>
      </c>
      <c r="H3364" t="str">
        <f>"Serv.Prest. 02/03/2026 a 08/03/2026 - PIX: CPF - CHAVE: 142.716.106-23"</f>
        <v>Serv.Prest. 02/03/2026 a 08/03/2026 - PIX: CPF - CHAVE: 142.716.106-23</v>
      </c>
      <c r="I3364" t="str">
        <f t="shared" si="609"/>
        <v>19/03/2026</v>
      </c>
      <c r="J3364" t="str">
        <f>("10/03/2026")</f>
        <v>10/03/2026</v>
      </c>
      <c r="K3364" t="str">
        <f>("19/03/2026")</f>
        <v>19/03/2026</v>
      </c>
      <c r="L3364">
        <v>60</v>
      </c>
      <c r="M3364">
        <v>60</v>
      </c>
      <c r="N3364">
        <v>109</v>
      </c>
      <c r="O3364" t="str">
        <f>"PAGAMENTO DE ENTREGADORES"</f>
        <v>PAGAMENTO DE ENTREGADORES</v>
      </c>
      <c r="P3364">
        <v>60</v>
      </c>
      <c r="S3364" t="str">
        <f>"CAIXA MOVIMENTAÇÃO OPERACIONAL (132)"</f>
        <v>CAIXA MOVIMENTAÇÃO OPERACIONAL (132)</v>
      </c>
      <c r="T3364">
        <v>31331</v>
      </c>
      <c r="U3364">
        <v>35681</v>
      </c>
      <c r="V3364" t="s">
        <v>22</v>
      </c>
    </row>
    <row r="3365" spans="1:22">
      <c r="A3365" t="str">
        <f t="shared" si="608"/>
        <v>19/03/2026</v>
      </c>
      <c r="B3365" t="str">
        <f>"SAÍDA"</f>
        <v>SAÍDA</v>
      </c>
      <c r="C3365" t="str">
        <f>"PIX"</f>
        <v>PIX</v>
      </c>
      <c r="D3365" t="str">
        <f>"34610"</f>
        <v>34610</v>
      </c>
      <c r="E3365" t="str">
        <f>"1"</f>
        <v>1</v>
      </c>
      <c r="F3365" t="str">
        <f t="shared" si="612"/>
        <v>COM</v>
      </c>
      <c r="G3365" t="str">
        <f>"MATHEUS VIEIRA DA SILVA (886)"</f>
        <v>MATHEUS VIEIRA DA SILVA (886)</v>
      </c>
      <c r="H3365" t="s">
        <v>981</v>
      </c>
      <c r="I3365" t="str">
        <f t="shared" si="609"/>
        <v>19/03/2026</v>
      </c>
      <c r="J3365" t="str">
        <f>("10/03/2026")</f>
        <v>10/03/2026</v>
      </c>
      <c r="K3365">
        <v>46100</v>
      </c>
      <c r="N3365">
        <v>109</v>
      </c>
      <c r="O3365" t="s">
        <v>27</v>
      </c>
      <c r="Q3365">
        <v>60</v>
      </c>
      <c r="R3365" t="str">
        <f>"FARMÁCIA INDIANA LJ 07 (10007)"</f>
        <v>FARMÁCIA INDIANA LJ 07 (10007)</v>
      </c>
      <c r="S3365" t="s">
        <v>22</v>
      </c>
      <c r="T3365">
        <v>31331</v>
      </c>
      <c r="U3365">
        <v>35681</v>
      </c>
      <c r="V3365" t="s">
        <v>22</v>
      </c>
    </row>
    <row r="3366" spans="1:22">
      <c r="A3366" t="str">
        <f t="shared" si="608"/>
        <v>19/03/2026</v>
      </c>
      <c r="B3366" t="str">
        <f>"ENTRADA"</f>
        <v>ENTRADA</v>
      </c>
      <c r="C3366" t="str">
        <f>"DINHEIRO"</f>
        <v>DINHEIRO</v>
      </c>
      <c r="D3366" t="str">
        <f>"19032026"</f>
        <v>19032026</v>
      </c>
      <c r="E3366" t="str">
        <f>""</f>
        <v/>
      </c>
      <c r="F3366" t="str">
        <f t="shared" si="612"/>
        <v>COM</v>
      </c>
      <c r="G3366" t="str">
        <f>"MATHEUS VIEIRA DA SILVA (886)"</f>
        <v>MATHEUS VIEIRA DA SILVA (886)</v>
      </c>
      <c r="H3366" t="str">
        <f>"REELMBOLSO CERTIFICADO DIGITAL 1/2"</f>
        <v>REELMBOLSO CERTIFICADO DIGITAL 1/2</v>
      </c>
      <c r="I3366" t="str">
        <f t="shared" si="609"/>
        <v>19/03/2026</v>
      </c>
      <c r="J3366" t="str">
        <f>("19/03/2026")</f>
        <v>19/03/2026</v>
      </c>
      <c r="K3366" t="str">
        <f>("19/03/2026")</f>
        <v>19/03/2026</v>
      </c>
      <c r="L3366">
        <v>60</v>
      </c>
      <c r="M3366">
        <v>60</v>
      </c>
      <c r="N3366">
        <v>108</v>
      </c>
      <c r="O3366" t="str">
        <f>"RECEITAS COM REEMBOLSOS"</f>
        <v>RECEITAS COM REEMBOLSOS</v>
      </c>
      <c r="P3366">
        <v>60</v>
      </c>
      <c r="S3366" t="str">
        <f>"RECEITAS COM REEMBOLSOS (108)"</f>
        <v>RECEITAS COM REEMBOLSOS (108)</v>
      </c>
      <c r="T3366">
        <v>31332</v>
      </c>
      <c r="U3366">
        <v>35679</v>
      </c>
      <c r="V3366" t="s">
        <v>22</v>
      </c>
    </row>
    <row r="3367" spans="1:22">
      <c r="A3367" t="str">
        <f t="shared" si="608"/>
        <v>19/03/2026</v>
      </c>
      <c r="B3367" t="str">
        <f>"ENTRADA"</f>
        <v>ENTRADA</v>
      </c>
      <c r="C3367" t="str">
        <f>"DINHEIRO"</f>
        <v>DINHEIRO</v>
      </c>
      <c r="D3367" t="str">
        <f>"19032026"</f>
        <v>19032026</v>
      </c>
      <c r="E3367" t="str">
        <f>""</f>
        <v/>
      </c>
      <c r="F3367" t="str">
        <f t="shared" si="612"/>
        <v>COM</v>
      </c>
      <c r="G3367" t="str">
        <f>"MATHEUS VIEIRA DA SILVA (886)"</f>
        <v>MATHEUS VIEIRA DA SILVA (886)</v>
      </c>
      <c r="H3367" t="s">
        <v>913</v>
      </c>
      <c r="I3367" t="str">
        <f t="shared" si="609"/>
        <v>19/03/2026</v>
      </c>
      <c r="J3367" t="str">
        <f>("19/03/2026")</f>
        <v>19/03/2026</v>
      </c>
      <c r="K3367">
        <v>46100</v>
      </c>
      <c r="N3367">
        <v>108</v>
      </c>
      <c r="O3367" t="s">
        <v>871</v>
      </c>
      <c r="Q3367">
        <v>60</v>
      </c>
      <c r="R3367" t="str">
        <f>"MATHEUS VIEIRA DA SILVA (886)"</f>
        <v>MATHEUS VIEIRA DA SILVA (886)</v>
      </c>
      <c r="S3367" t="s">
        <v>872</v>
      </c>
      <c r="T3367">
        <v>31332</v>
      </c>
      <c r="U3367">
        <v>35679</v>
      </c>
      <c r="V3367" t="s">
        <v>22</v>
      </c>
    </row>
    <row r="3368" spans="1:22">
      <c r="A3368" t="str">
        <f t="shared" si="608"/>
        <v>19/03/2026</v>
      </c>
      <c r="B3368" t="str">
        <f>"SAÍDA"</f>
        <v>SAÍDA</v>
      </c>
      <c r="C3368" t="str">
        <f>"PIX"</f>
        <v>PIX</v>
      </c>
      <c r="D3368" t="str">
        <f>"34920"</f>
        <v>34920</v>
      </c>
      <c r="E3368" t="str">
        <f>"1"</f>
        <v>1</v>
      </c>
      <c r="F3368" t="str">
        <f t="shared" si="612"/>
        <v>COM</v>
      </c>
      <c r="G3368" t="str">
        <f>"ALBERTO FARIAS DOS SANTOS JUNIOR (800)"</f>
        <v>ALBERTO FARIAS DOS SANTOS JUNIOR (800)</v>
      </c>
      <c r="H3368" t="str">
        <f>"Serv.Prest. 09/03/2026 a 15/03/2026 - PIX: CELULAR - CHAVE: (71) 99696-7530"</f>
        <v>Serv.Prest. 09/03/2026 a 15/03/2026 - PIX: CELULAR - CHAVE: (71) 99696-7530</v>
      </c>
      <c r="I3368" t="str">
        <f t="shared" si="609"/>
        <v>19/03/2026</v>
      </c>
      <c r="J3368" t="str">
        <f>("16/03/2026")</f>
        <v>16/03/2026</v>
      </c>
      <c r="K3368" t="str">
        <f>("19/03/2026")</f>
        <v>19/03/2026</v>
      </c>
      <c r="L3368">
        <v>60</v>
      </c>
      <c r="M3368">
        <v>60</v>
      </c>
      <c r="N3368">
        <v>109</v>
      </c>
      <c r="O3368" t="str">
        <f>"PAGAMENTO DE ENTREGADORES"</f>
        <v>PAGAMENTO DE ENTREGADORES</v>
      </c>
      <c r="P3368">
        <v>60</v>
      </c>
      <c r="S3368" t="str">
        <f>"CAIXA MOVIMENTAÇÃO OPERACIONAL (132)"</f>
        <v>CAIXA MOVIMENTAÇÃO OPERACIONAL (132)</v>
      </c>
      <c r="T3368">
        <v>31333</v>
      </c>
      <c r="U3368">
        <v>35684</v>
      </c>
      <c r="V3368" t="s">
        <v>22</v>
      </c>
    </row>
    <row r="3369" spans="1:22">
      <c r="A3369" t="str">
        <f t="shared" si="608"/>
        <v>19/03/2026</v>
      </c>
      <c r="B3369" t="str">
        <f>"SAÍDA"</f>
        <v>SAÍDA</v>
      </c>
      <c r="C3369" t="str">
        <f>"PIX"</f>
        <v>PIX</v>
      </c>
      <c r="D3369" t="str">
        <f>"34920"</f>
        <v>34920</v>
      </c>
      <c r="E3369" t="str">
        <f>"1"</f>
        <v>1</v>
      </c>
      <c r="F3369" t="str">
        <f t="shared" si="612"/>
        <v>COM</v>
      </c>
      <c r="G3369" t="str">
        <f>"ALBERTO FARIAS DOS SANTOS JUNIOR (800)"</f>
        <v>ALBERTO FARIAS DOS SANTOS JUNIOR (800)</v>
      </c>
      <c r="H3369" t="s">
        <v>873</v>
      </c>
      <c r="I3369" t="str">
        <f t="shared" si="609"/>
        <v>19/03/2026</v>
      </c>
      <c r="J3369" t="str">
        <f>("16/03/2026")</f>
        <v>16/03/2026</v>
      </c>
      <c r="K3369">
        <v>46100</v>
      </c>
      <c r="N3369">
        <v>109</v>
      </c>
      <c r="O3369" t="s">
        <v>27</v>
      </c>
      <c r="Q3369">
        <v>60</v>
      </c>
      <c r="R3369" t="str">
        <f>"DELTA LOJA 2 (10123)"</f>
        <v>DELTA LOJA 2 (10123)</v>
      </c>
      <c r="S3369" t="s">
        <v>22</v>
      </c>
      <c r="T3369">
        <v>31333</v>
      </c>
      <c r="U3369">
        <v>35684</v>
      </c>
      <c r="V3369" t="s">
        <v>22</v>
      </c>
    </row>
    <row r="3370" spans="1:22">
      <c r="A3370" t="str">
        <f t="shared" si="608"/>
        <v>19/03/2026</v>
      </c>
      <c r="B3370" t="str">
        <f>"ENTRADA"</f>
        <v>ENTRADA</v>
      </c>
      <c r="C3370" t="str">
        <f>"DINHEIRO"</f>
        <v>DINHEIRO</v>
      </c>
      <c r="D3370" t="str">
        <f>"19032026"</f>
        <v>19032026</v>
      </c>
      <c r="E3370" t="str">
        <f>""</f>
        <v/>
      </c>
      <c r="F3370" t="str">
        <f t="shared" si="612"/>
        <v>COM</v>
      </c>
      <c r="G3370" t="str">
        <f>"ALBERTO FARIAS DOS SANTOS JUNIOR (800)"</f>
        <v>ALBERTO FARIAS DOS SANTOS JUNIOR (800)</v>
      </c>
      <c r="H3370" t="str">
        <f>"REELMBOLSO CERTIFICADO DIGITAL 1/2"</f>
        <v>REELMBOLSO CERTIFICADO DIGITAL 1/2</v>
      </c>
      <c r="I3370" t="str">
        <f t="shared" si="609"/>
        <v>19/03/2026</v>
      </c>
      <c r="J3370" t="str">
        <f>("19/03/2026")</f>
        <v>19/03/2026</v>
      </c>
      <c r="K3370" t="str">
        <f>("19/03/2026")</f>
        <v>19/03/2026</v>
      </c>
      <c r="L3370">
        <v>60</v>
      </c>
      <c r="M3370">
        <v>60</v>
      </c>
      <c r="N3370">
        <v>108</v>
      </c>
      <c r="O3370" t="str">
        <f>"RECEITAS COM REEMBOLSOS"</f>
        <v>RECEITAS COM REEMBOLSOS</v>
      </c>
      <c r="P3370">
        <v>60</v>
      </c>
      <c r="S3370" t="str">
        <f>"RECEITAS COM REEMBOLSOS (108)"</f>
        <v>RECEITAS COM REEMBOLSOS (108)</v>
      </c>
      <c r="T3370">
        <v>31334</v>
      </c>
      <c r="U3370">
        <v>35682</v>
      </c>
      <c r="V3370" t="s">
        <v>22</v>
      </c>
    </row>
    <row r="3371" spans="1:22">
      <c r="A3371" t="str">
        <f t="shared" si="608"/>
        <v>19/03/2026</v>
      </c>
      <c r="B3371" t="str">
        <f>"ENTRADA"</f>
        <v>ENTRADA</v>
      </c>
      <c r="C3371" t="str">
        <f>"DINHEIRO"</f>
        <v>DINHEIRO</v>
      </c>
      <c r="D3371" t="str">
        <f>"19032026"</f>
        <v>19032026</v>
      </c>
      <c r="E3371" t="str">
        <f>""</f>
        <v/>
      </c>
      <c r="F3371" t="str">
        <f t="shared" si="612"/>
        <v>COM</v>
      </c>
      <c r="G3371" t="str">
        <f>"ALBERTO FARIAS DOS SANTOS JUNIOR (800)"</f>
        <v>ALBERTO FARIAS DOS SANTOS JUNIOR (800)</v>
      </c>
      <c r="H3371" t="s">
        <v>913</v>
      </c>
      <c r="I3371" t="str">
        <f t="shared" si="609"/>
        <v>19/03/2026</v>
      </c>
      <c r="J3371" t="str">
        <f>("19/03/2026")</f>
        <v>19/03/2026</v>
      </c>
      <c r="K3371">
        <v>46100</v>
      </c>
      <c r="N3371">
        <v>108</v>
      </c>
      <c r="O3371" t="s">
        <v>871</v>
      </c>
      <c r="Q3371">
        <v>60</v>
      </c>
      <c r="R3371" t="str">
        <f>"ALBERTO FARIAS DOS SANTOS JUNIOR (800)"</f>
        <v>ALBERTO FARIAS DOS SANTOS JUNIOR (800)</v>
      </c>
      <c r="S3371" t="s">
        <v>872</v>
      </c>
      <c r="T3371">
        <v>31334</v>
      </c>
      <c r="U3371">
        <v>35682</v>
      </c>
      <c r="V3371" t="s">
        <v>22</v>
      </c>
    </row>
    <row r="3372" spans="1:22">
      <c r="A3372" t="str">
        <f t="shared" si="608"/>
        <v>19/03/2026</v>
      </c>
      <c r="B3372" t="str">
        <f>"SAÍDA"</f>
        <v>SAÍDA</v>
      </c>
      <c r="C3372" t="str">
        <f>"PIX"</f>
        <v>PIX</v>
      </c>
      <c r="D3372" t="str">
        <f>"34588"</f>
        <v>34588</v>
      </c>
      <c r="E3372" t="str">
        <f>"1"</f>
        <v>1</v>
      </c>
      <c r="F3372" t="str">
        <f t="shared" si="612"/>
        <v>COM</v>
      </c>
      <c r="G3372" t="str">
        <f>"JOCIMAR VAZ FERREIRA (197)"</f>
        <v>JOCIMAR VAZ FERREIRA (197)</v>
      </c>
      <c r="H3372" t="str">
        <f>"Serv.Prest. 02/03/2026 a 08/03/2026 - PIX: CELULAR - CHAVE: (33) 99924-7557"</f>
        <v>Serv.Prest. 02/03/2026 a 08/03/2026 - PIX: CELULAR - CHAVE: (33) 99924-7557</v>
      </c>
      <c r="I3372" t="str">
        <f t="shared" si="609"/>
        <v>19/03/2026</v>
      </c>
      <c r="J3372" t="str">
        <f>("10/03/2026")</f>
        <v>10/03/2026</v>
      </c>
      <c r="K3372" t="str">
        <f>("19/03/2026")</f>
        <v>19/03/2026</v>
      </c>
      <c r="L3372">
        <v>60</v>
      </c>
      <c r="M3372">
        <v>60</v>
      </c>
      <c r="N3372">
        <v>109</v>
      </c>
      <c r="O3372" t="str">
        <f>"PAGAMENTO DE ENTREGADORES"</f>
        <v>PAGAMENTO DE ENTREGADORES</v>
      </c>
      <c r="P3372">
        <v>60</v>
      </c>
      <c r="S3372" t="str">
        <f>"CAIXA MOVIMENTAÇÃO OPERACIONAL (132)"</f>
        <v>CAIXA MOVIMENTAÇÃO OPERACIONAL (132)</v>
      </c>
      <c r="T3372">
        <v>31335</v>
      </c>
      <c r="U3372">
        <v>35687</v>
      </c>
      <c r="V3372" t="s">
        <v>22</v>
      </c>
    </row>
    <row r="3373" spans="1:22">
      <c r="A3373" t="str">
        <f t="shared" si="608"/>
        <v>19/03/2026</v>
      </c>
      <c r="B3373" t="str">
        <f>"SAÍDA"</f>
        <v>SAÍDA</v>
      </c>
      <c r="C3373" t="str">
        <f>"PIX"</f>
        <v>PIX</v>
      </c>
      <c r="D3373" t="str">
        <f>"34588"</f>
        <v>34588</v>
      </c>
      <c r="E3373" t="str">
        <f>"1"</f>
        <v>1</v>
      </c>
      <c r="F3373" t="str">
        <f t="shared" si="612"/>
        <v>COM</v>
      </c>
      <c r="G3373" t="str">
        <f>"JOCIMAR VAZ FERREIRA (197)"</f>
        <v>JOCIMAR VAZ FERREIRA (197)</v>
      </c>
      <c r="H3373" t="s">
        <v>982</v>
      </c>
      <c r="I3373" t="str">
        <f t="shared" si="609"/>
        <v>19/03/2026</v>
      </c>
      <c r="J3373" t="str">
        <f>("10/03/2026")</f>
        <v>10/03/2026</v>
      </c>
      <c r="K3373">
        <v>46100</v>
      </c>
      <c r="N3373">
        <v>109</v>
      </c>
      <c r="O3373" t="s">
        <v>27</v>
      </c>
      <c r="Q3373">
        <v>60</v>
      </c>
      <c r="R3373" t="str">
        <f>"FARMÁCIA INDIANA LJ 14 (10009)"</f>
        <v>FARMÁCIA INDIANA LJ 14 (10009)</v>
      </c>
      <c r="S3373" t="s">
        <v>22</v>
      </c>
      <c r="T3373">
        <v>31335</v>
      </c>
      <c r="U3373">
        <v>35687</v>
      </c>
      <c r="V3373" t="s">
        <v>22</v>
      </c>
    </row>
    <row r="3374" spans="1:22">
      <c r="A3374" t="str">
        <f t="shared" si="608"/>
        <v>19/03/2026</v>
      </c>
      <c r="B3374" t="str">
        <f>"ENTRADA"</f>
        <v>ENTRADA</v>
      </c>
      <c r="C3374" t="str">
        <f>"DINHEIRO"</f>
        <v>DINHEIRO</v>
      </c>
      <c r="D3374" t="str">
        <f>"19032026"</f>
        <v>19032026</v>
      </c>
      <c r="E3374" t="str">
        <f>""</f>
        <v/>
      </c>
      <c r="F3374" t="str">
        <f t="shared" si="612"/>
        <v>COM</v>
      </c>
      <c r="G3374" t="str">
        <f>"JOCIMAR VAZ FERREIRA (197)"</f>
        <v>JOCIMAR VAZ FERREIRA (197)</v>
      </c>
      <c r="H3374" t="str">
        <f>"REELMBOLSO CERTIFICADO DIGITAL 1/2"</f>
        <v>REELMBOLSO CERTIFICADO DIGITAL 1/2</v>
      </c>
      <c r="I3374" t="str">
        <f t="shared" si="609"/>
        <v>19/03/2026</v>
      </c>
      <c r="J3374" t="str">
        <f>("19/03/2026")</f>
        <v>19/03/2026</v>
      </c>
      <c r="K3374" t="str">
        <f>("19/03/2026")</f>
        <v>19/03/2026</v>
      </c>
      <c r="L3374">
        <v>60</v>
      </c>
      <c r="M3374">
        <v>60</v>
      </c>
      <c r="N3374">
        <v>108</v>
      </c>
      <c r="O3374" t="str">
        <f>"RECEITAS COM REEMBOLSOS"</f>
        <v>RECEITAS COM REEMBOLSOS</v>
      </c>
      <c r="P3374">
        <v>60</v>
      </c>
      <c r="S3374" t="str">
        <f>"RECEITAS COM REEMBOLSOS (108)"</f>
        <v>RECEITAS COM REEMBOLSOS (108)</v>
      </c>
      <c r="T3374">
        <v>31336</v>
      </c>
      <c r="U3374">
        <v>35685</v>
      </c>
      <c r="V3374" t="s">
        <v>22</v>
      </c>
    </row>
    <row r="3375" spans="1:22">
      <c r="A3375" t="str">
        <f t="shared" si="608"/>
        <v>19/03/2026</v>
      </c>
      <c r="B3375" t="str">
        <f>"ENTRADA"</f>
        <v>ENTRADA</v>
      </c>
      <c r="C3375" t="str">
        <f>"DINHEIRO"</f>
        <v>DINHEIRO</v>
      </c>
      <c r="D3375" t="str">
        <f>"19032026"</f>
        <v>19032026</v>
      </c>
      <c r="E3375" t="str">
        <f>""</f>
        <v/>
      </c>
      <c r="F3375" t="str">
        <f t="shared" si="612"/>
        <v>COM</v>
      </c>
      <c r="G3375" t="str">
        <f>"JOCIMAR VAZ FERREIRA (197)"</f>
        <v>JOCIMAR VAZ FERREIRA (197)</v>
      </c>
      <c r="H3375" t="s">
        <v>913</v>
      </c>
      <c r="I3375" t="str">
        <f t="shared" si="609"/>
        <v>19/03/2026</v>
      </c>
      <c r="J3375" t="str">
        <f>("19/03/2026")</f>
        <v>19/03/2026</v>
      </c>
      <c r="K3375">
        <v>46100</v>
      </c>
      <c r="N3375">
        <v>108</v>
      </c>
      <c r="O3375" t="s">
        <v>871</v>
      </c>
      <c r="Q3375">
        <v>60</v>
      </c>
      <c r="R3375" t="str">
        <f>"JOCIMAR VAZ FERREIRA (197)"</f>
        <v>JOCIMAR VAZ FERREIRA (197)</v>
      </c>
      <c r="S3375" t="s">
        <v>872</v>
      </c>
      <c r="T3375">
        <v>31336</v>
      </c>
      <c r="U3375">
        <v>35685</v>
      </c>
      <c r="V3375" t="s">
        <v>22</v>
      </c>
    </row>
    <row r="3376" spans="1:22">
      <c r="A3376" t="str">
        <f t="shared" ref="A3376:A3439" si="613">("19/03/2026")</f>
        <v>19/03/2026</v>
      </c>
      <c r="B3376" t="str">
        <f>"SAÍDA"</f>
        <v>SAÍDA</v>
      </c>
      <c r="C3376" t="str">
        <f>"PIX"</f>
        <v>PIX</v>
      </c>
      <c r="D3376" t="str">
        <f>"34612"</f>
        <v>34612</v>
      </c>
      <c r="E3376" t="str">
        <f>"1"</f>
        <v>1</v>
      </c>
      <c r="F3376" t="str">
        <f t="shared" si="612"/>
        <v>COM</v>
      </c>
      <c r="G3376" t="str">
        <f>"MAURO AUGUSTO MACHADO DE ASSIS (767)"</f>
        <v>MAURO AUGUSTO MACHADO DE ASSIS (767)</v>
      </c>
      <c r="H3376" t="str">
        <f>"Serv.Prest. 02/03/2026 a 08/03/2026 - PIX: CNPJ - CHAVE: 64.142.681/0001-05"</f>
        <v>Serv.Prest. 02/03/2026 a 08/03/2026 - PIX: CNPJ - CHAVE: 64.142.681/0001-05</v>
      </c>
      <c r="I3376" t="str">
        <f t="shared" ref="I3376:I3439" si="614">("19/03/2026")</f>
        <v>19/03/2026</v>
      </c>
      <c r="J3376" t="str">
        <f>("10/03/2026")</f>
        <v>10/03/2026</v>
      </c>
      <c r="K3376" t="str">
        <f>("19/03/2026")</f>
        <v>19/03/2026</v>
      </c>
      <c r="L3376">
        <v>60</v>
      </c>
      <c r="M3376">
        <v>60</v>
      </c>
      <c r="N3376">
        <v>109</v>
      </c>
      <c r="O3376" t="str">
        <f>"PAGAMENTO DE ENTREGADORES"</f>
        <v>PAGAMENTO DE ENTREGADORES</v>
      </c>
      <c r="P3376">
        <v>60</v>
      </c>
      <c r="S3376" t="str">
        <f>"CAIXA MOVIMENTAÇÃO OPERACIONAL (132)"</f>
        <v>CAIXA MOVIMENTAÇÃO OPERACIONAL (132)</v>
      </c>
      <c r="T3376">
        <v>31337</v>
      </c>
      <c r="U3376">
        <v>35690</v>
      </c>
      <c r="V3376" t="s">
        <v>22</v>
      </c>
    </row>
    <row r="3377" spans="1:22">
      <c r="A3377" t="str">
        <f t="shared" si="613"/>
        <v>19/03/2026</v>
      </c>
      <c r="B3377" t="str">
        <f>"SAÍDA"</f>
        <v>SAÍDA</v>
      </c>
      <c r="C3377" t="str">
        <f>"PIX"</f>
        <v>PIX</v>
      </c>
      <c r="D3377" t="str">
        <f>"34612"</f>
        <v>34612</v>
      </c>
      <c r="E3377" t="str">
        <f>"1"</f>
        <v>1</v>
      </c>
      <c r="F3377" t="str">
        <f t="shared" si="612"/>
        <v>COM</v>
      </c>
      <c r="G3377" t="str">
        <f>"MAURO AUGUSTO MACHADO DE ASSIS (767)"</f>
        <v>MAURO AUGUSTO MACHADO DE ASSIS (767)</v>
      </c>
      <c r="H3377" t="s">
        <v>983</v>
      </c>
      <c r="I3377" t="str">
        <f t="shared" si="614"/>
        <v>19/03/2026</v>
      </c>
      <c r="J3377" t="str">
        <f>("10/03/2026")</f>
        <v>10/03/2026</v>
      </c>
      <c r="K3377">
        <v>46100</v>
      </c>
      <c r="N3377">
        <v>109</v>
      </c>
      <c r="O3377" t="s">
        <v>27</v>
      </c>
      <c r="Q3377">
        <v>60</v>
      </c>
      <c r="R3377" t="str">
        <f>"FARMÁCIA INDIANA LJ 172 (10161)"</f>
        <v>FARMÁCIA INDIANA LJ 172 (10161)</v>
      </c>
      <c r="S3377" t="s">
        <v>22</v>
      </c>
      <c r="T3377">
        <v>31337</v>
      </c>
      <c r="U3377">
        <v>35690</v>
      </c>
      <c r="V3377" t="s">
        <v>22</v>
      </c>
    </row>
    <row r="3378" spans="1:22">
      <c r="A3378" t="str">
        <f t="shared" si="613"/>
        <v>19/03/2026</v>
      </c>
      <c r="B3378" t="str">
        <f>"ENTRADA"</f>
        <v>ENTRADA</v>
      </c>
      <c r="C3378" t="str">
        <f>"DINHEIRO"</f>
        <v>DINHEIRO</v>
      </c>
      <c r="D3378" t="str">
        <f>"19032026"</f>
        <v>19032026</v>
      </c>
      <c r="E3378" t="str">
        <f>""</f>
        <v/>
      </c>
      <c r="F3378" t="str">
        <f t="shared" si="612"/>
        <v>COM</v>
      </c>
      <c r="G3378" t="str">
        <f>"MAURO AUGUSTO MACHADO DE ASSIS (767)"</f>
        <v>MAURO AUGUSTO MACHADO DE ASSIS (767)</v>
      </c>
      <c r="H3378" t="str">
        <f>"REELMBOLSO CERTIFICADO DIGITAL 1/2"</f>
        <v>REELMBOLSO CERTIFICADO DIGITAL 1/2</v>
      </c>
      <c r="I3378" t="str">
        <f t="shared" si="614"/>
        <v>19/03/2026</v>
      </c>
      <c r="J3378" t="str">
        <f>("19/03/2026")</f>
        <v>19/03/2026</v>
      </c>
      <c r="K3378" t="str">
        <f>("19/03/2026")</f>
        <v>19/03/2026</v>
      </c>
      <c r="L3378">
        <v>60</v>
      </c>
      <c r="M3378">
        <v>60</v>
      </c>
      <c r="N3378">
        <v>108</v>
      </c>
      <c r="O3378" t="str">
        <f>"RECEITAS COM REEMBOLSOS"</f>
        <v>RECEITAS COM REEMBOLSOS</v>
      </c>
      <c r="P3378">
        <v>60</v>
      </c>
      <c r="S3378" t="str">
        <f>"RECEITAS COM REEMBOLSOS (108)"</f>
        <v>RECEITAS COM REEMBOLSOS (108)</v>
      </c>
      <c r="T3378">
        <v>31338</v>
      </c>
      <c r="U3378">
        <v>35688</v>
      </c>
      <c r="V3378" t="s">
        <v>22</v>
      </c>
    </row>
    <row r="3379" spans="1:22">
      <c r="A3379" t="str">
        <f t="shared" si="613"/>
        <v>19/03/2026</v>
      </c>
      <c r="B3379" t="str">
        <f>"ENTRADA"</f>
        <v>ENTRADA</v>
      </c>
      <c r="C3379" t="str">
        <f>"DINHEIRO"</f>
        <v>DINHEIRO</v>
      </c>
      <c r="D3379" t="str">
        <f>"19032026"</f>
        <v>19032026</v>
      </c>
      <c r="E3379" t="str">
        <f>""</f>
        <v/>
      </c>
      <c r="F3379" t="str">
        <f t="shared" si="612"/>
        <v>COM</v>
      </c>
      <c r="G3379" t="str">
        <f>"MAURO AUGUSTO MACHADO DE ASSIS (767)"</f>
        <v>MAURO AUGUSTO MACHADO DE ASSIS (767)</v>
      </c>
      <c r="H3379" t="s">
        <v>913</v>
      </c>
      <c r="I3379" t="str">
        <f t="shared" si="614"/>
        <v>19/03/2026</v>
      </c>
      <c r="J3379" t="str">
        <f>("19/03/2026")</f>
        <v>19/03/2026</v>
      </c>
      <c r="K3379">
        <v>46100</v>
      </c>
      <c r="N3379">
        <v>108</v>
      </c>
      <c r="O3379" t="s">
        <v>871</v>
      </c>
      <c r="Q3379">
        <v>60</v>
      </c>
      <c r="R3379" t="str">
        <f>"MAURO AUGUSTO MACHADO DE ASSIS (767)"</f>
        <v>MAURO AUGUSTO MACHADO DE ASSIS (767)</v>
      </c>
      <c r="S3379" t="s">
        <v>872</v>
      </c>
      <c r="T3379">
        <v>31338</v>
      </c>
      <c r="U3379">
        <v>35688</v>
      </c>
      <c r="V3379" t="s">
        <v>22</v>
      </c>
    </row>
    <row r="3380" spans="1:22">
      <c r="A3380" t="str">
        <f t="shared" si="613"/>
        <v>19/03/2026</v>
      </c>
      <c r="B3380" t="str">
        <f>"SAÍDA"</f>
        <v>SAÍDA</v>
      </c>
      <c r="C3380" t="str">
        <f>"PIX"</f>
        <v>PIX</v>
      </c>
      <c r="D3380" t="str">
        <f>"34562"</f>
        <v>34562</v>
      </c>
      <c r="E3380" t="str">
        <f>"1"</f>
        <v>1</v>
      </c>
      <c r="F3380" t="str">
        <f t="shared" si="612"/>
        <v>COM</v>
      </c>
      <c r="G3380" t="str">
        <f>"DEVANILDO PONTES CASAGRANDE (179)"</f>
        <v>DEVANILDO PONTES CASAGRANDE (179)</v>
      </c>
      <c r="H3380" t="str">
        <f>"Serv.Prest. 02/03/2026 a 08/03/2026 - PIX: CELULAR - CHAVE: (31) 99610-7049"</f>
        <v>Serv.Prest. 02/03/2026 a 08/03/2026 - PIX: CELULAR - CHAVE: (31) 99610-7049</v>
      </c>
      <c r="I3380" t="str">
        <f t="shared" si="614"/>
        <v>19/03/2026</v>
      </c>
      <c r="J3380" t="str">
        <f>("10/03/2026")</f>
        <v>10/03/2026</v>
      </c>
      <c r="K3380" t="str">
        <f>("19/03/2026")</f>
        <v>19/03/2026</v>
      </c>
      <c r="L3380">
        <v>60</v>
      </c>
      <c r="M3380">
        <v>60</v>
      </c>
      <c r="N3380">
        <v>109</v>
      </c>
      <c r="O3380" t="str">
        <f>"PAGAMENTO DE ENTREGADORES"</f>
        <v>PAGAMENTO DE ENTREGADORES</v>
      </c>
      <c r="P3380">
        <v>60</v>
      </c>
      <c r="S3380" t="str">
        <f>"CAIXA MOVIMENTAÇÃO OPERACIONAL (132)"</f>
        <v>CAIXA MOVIMENTAÇÃO OPERACIONAL (132)</v>
      </c>
      <c r="T3380">
        <v>31339</v>
      </c>
      <c r="U3380">
        <v>35693</v>
      </c>
      <c r="V3380" t="s">
        <v>22</v>
      </c>
    </row>
    <row r="3381" spans="1:22">
      <c r="A3381" t="str">
        <f t="shared" si="613"/>
        <v>19/03/2026</v>
      </c>
      <c r="B3381" t="str">
        <f>"SAÍDA"</f>
        <v>SAÍDA</v>
      </c>
      <c r="C3381" t="str">
        <f>"PIX"</f>
        <v>PIX</v>
      </c>
      <c r="D3381" t="str">
        <f>"34562"</f>
        <v>34562</v>
      </c>
      <c r="E3381" t="str">
        <f>"1"</f>
        <v>1</v>
      </c>
      <c r="F3381" t="str">
        <f t="shared" si="612"/>
        <v>COM</v>
      </c>
      <c r="G3381" t="str">
        <f>"DEVANILDO PONTES CASAGRANDE (179)"</f>
        <v>DEVANILDO PONTES CASAGRANDE (179)</v>
      </c>
      <c r="H3381" t="s">
        <v>848</v>
      </c>
      <c r="I3381" t="str">
        <f t="shared" si="614"/>
        <v>19/03/2026</v>
      </c>
      <c r="J3381" t="str">
        <f>("10/03/2026")</f>
        <v>10/03/2026</v>
      </c>
      <c r="K3381">
        <v>46100</v>
      </c>
      <c r="N3381">
        <v>109</v>
      </c>
      <c r="O3381" t="s">
        <v>27</v>
      </c>
      <c r="Q3381">
        <v>60</v>
      </c>
      <c r="R3381" t="str">
        <f>"FARMÁCIA INDIANA LJ 142 (10066)"</f>
        <v>FARMÁCIA INDIANA LJ 142 (10066)</v>
      </c>
      <c r="S3381" t="s">
        <v>22</v>
      </c>
      <c r="T3381">
        <v>31339</v>
      </c>
      <c r="U3381">
        <v>35693</v>
      </c>
      <c r="V3381" t="s">
        <v>22</v>
      </c>
    </row>
    <row r="3382" spans="1:22">
      <c r="A3382" t="str">
        <f t="shared" si="613"/>
        <v>19/03/2026</v>
      </c>
      <c r="B3382" t="str">
        <f>"ENTRADA"</f>
        <v>ENTRADA</v>
      </c>
      <c r="C3382" t="str">
        <f>"DINHEIRO"</f>
        <v>DINHEIRO</v>
      </c>
      <c r="D3382" t="str">
        <f>"19032026"</f>
        <v>19032026</v>
      </c>
      <c r="E3382" t="str">
        <f>""</f>
        <v/>
      </c>
      <c r="F3382" t="str">
        <f t="shared" si="612"/>
        <v>COM</v>
      </c>
      <c r="G3382" t="str">
        <f>"DEVANILDO PONTES CASAGRANDE (179)"</f>
        <v>DEVANILDO PONTES CASAGRANDE (179)</v>
      </c>
      <c r="H3382" t="str">
        <f>"REELMBOLSO CERTIFICADO DIGITAL 1/2"</f>
        <v>REELMBOLSO CERTIFICADO DIGITAL 1/2</v>
      </c>
      <c r="I3382" t="str">
        <f t="shared" si="614"/>
        <v>19/03/2026</v>
      </c>
      <c r="J3382" t="str">
        <f>("19/03/2026")</f>
        <v>19/03/2026</v>
      </c>
      <c r="K3382" t="str">
        <f>("19/03/2026")</f>
        <v>19/03/2026</v>
      </c>
      <c r="L3382">
        <v>60</v>
      </c>
      <c r="M3382">
        <v>60</v>
      </c>
      <c r="N3382">
        <v>108</v>
      </c>
      <c r="O3382" t="str">
        <f>"RECEITAS COM REEMBOLSOS"</f>
        <v>RECEITAS COM REEMBOLSOS</v>
      </c>
      <c r="P3382">
        <v>60</v>
      </c>
      <c r="S3382" t="str">
        <f>"RECEITAS COM REEMBOLSOS (108)"</f>
        <v>RECEITAS COM REEMBOLSOS (108)</v>
      </c>
      <c r="T3382">
        <v>31340</v>
      </c>
      <c r="U3382">
        <v>35691</v>
      </c>
      <c r="V3382" t="s">
        <v>22</v>
      </c>
    </row>
    <row r="3383" spans="1:22">
      <c r="A3383" t="str">
        <f t="shared" si="613"/>
        <v>19/03/2026</v>
      </c>
      <c r="B3383" t="str">
        <f>"ENTRADA"</f>
        <v>ENTRADA</v>
      </c>
      <c r="C3383" t="str">
        <f>"DINHEIRO"</f>
        <v>DINHEIRO</v>
      </c>
      <c r="D3383" t="str">
        <f>"19032026"</f>
        <v>19032026</v>
      </c>
      <c r="E3383" t="str">
        <f>""</f>
        <v/>
      </c>
      <c r="F3383" t="str">
        <f t="shared" si="612"/>
        <v>COM</v>
      </c>
      <c r="G3383" t="str">
        <f>"DEVANILDO PONTES CASAGRANDE (179)"</f>
        <v>DEVANILDO PONTES CASAGRANDE (179)</v>
      </c>
      <c r="H3383" t="s">
        <v>913</v>
      </c>
      <c r="I3383" t="str">
        <f t="shared" si="614"/>
        <v>19/03/2026</v>
      </c>
      <c r="J3383" t="str">
        <f>("19/03/2026")</f>
        <v>19/03/2026</v>
      </c>
      <c r="K3383">
        <v>46100</v>
      </c>
      <c r="N3383">
        <v>108</v>
      </c>
      <c r="O3383" t="s">
        <v>871</v>
      </c>
      <c r="Q3383">
        <v>60</v>
      </c>
      <c r="R3383" t="str">
        <f>"DEVANILDO PONTES CASAGRANDE (179)"</f>
        <v>DEVANILDO PONTES CASAGRANDE (179)</v>
      </c>
      <c r="S3383" t="s">
        <v>872</v>
      </c>
      <c r="T3383">
        <v>31340</v>
      </c>
      <c r="U3383">
        <v>35691</v>
      </c>
      <c r="V3383" t="s">
        <v>22</v>
      </c>
    </row>
    <row r="3384" spans="1:22">
      <c r="A3384" t="str">
        <f t="shared" si="613"/>
        <v>19/03/2026</v>
      </c>
      <c r="B3384" t="str">
        <f>"SAÍDA"</f>
        <v>SAÍDA</v>
      </c>
      <c r="C3384" t="str">
        <f>"PIX"</f>
        <v>PIX</v>
      </c>
      <c r="D3384" t="str">
        <f>"35052"</f>
        <v>35052</v>
      </c>
      <c r="E3384" t="str">
        <f>"1"</f>
        <v>1</v>
      </c>
      <c r="F3384" t="str">
        <f t="shared" si="612"/>
        <v>COM</v>
      </c>
      <c r="G3384" t="str">
        <f>"FELIPE ALEXANDRE CAMA (976)"</f>
        <v>FELIPE ALEXANDRE CAMA (976)</v>
      </c>
      <c r="H3384" t="str">
        <f>"Serv.Prest. 09/03/2026 a 15/03/2026 - PIX: CPF - CHAVE: 471.142.438-55"</f>
        <v>Serv.Prest. 09/03/2026 a 15/03/2026 - PIX: CPF - CHAVE: 471.142.438-55</v>
      </c>
      <c r="I3384" t="str">
        <f t="shared" si="614"/>
        <v>19/03/2026</v>
      </c>
      <c r="J3384" t="str">
        <f>("17/03/2026")</f>
        <v>17/03/2026</v>
      </c>
      <c r="K3384" t="str">
        <f>("19/03/2026")</f>
        <v>19/03/2026</v>
      </c>
      <c r="L3384">
        <v>60</v>
      </c>
      <c r="M3384">
        <v>60</v>
      </c>
      <c r="N3384">
        <v>109</v>
      </c>
      <c r="O3384" t="str">
        <f>"PAGAMENTO DE ENTREGADORES"</f>
        <v>PAGAMENTO DE ENTREGADORES</v>
      </c>
      <c r="P3384">
        <v>60</v>
      </c>
      <c r="S3384" t="str">
        <f>"CAIXA MOVIMENTAÇÃO OPERACIONAL (132)"</f>
        <v>CAIXA MOVIMENTAÇÃO OPERACIONAL (132)</v>
      </c>
      <c r="T3384">
        <v>31341</v>
      </c>
      <c r="U3384">
        <v>35696</v>
      </c>
      <c r="V3384" t="s">
        <v>22</v>
      </c>
    </row>
    <row r="3385" spans="1:22">
      <c r="A3385" t="str">
        <f t="shared" si="613"/>
        <v>19/03/2026</v>
      </c>
      <c r="B3385" t="str">
        <f>"SAÍDA"</f>
        <v>SAÍDA</v>
      </c>
      <c r="C3385" t="str">
        <f>"PIX"</f>
        <v>PIX</v>
      </c>
      <c r="D3385" t="str">
        <f>"35052"</f>
        <v>35052</v>
      </c>
      <c r="E3385" t="str">
        <f>"1"</f>
        <v>1</v>
      </c>
      <c r="F3385" t="str">
        <f t="shared" si="612"/>
        <v>COM</v>
      </c>
      <c r="G3385" t="str">
        <f>"FELIPE ALEXANDRE CAMA (976)"</f>
        <v>FELIPE ALEXANDRE CAMA (976)</v>
      </c>
      <c r="H3385" t="s">
        <v>884</v>
      </c>
      <c r="I3385" t="str">
        <f t="shared" si="614"/>
        <v>19/03/2026</v>
      </c>
      <c r="J3385" t="str">
        <f>("17/03/2026")</f>
        <v>17/03/2026</v>
      </c>
      <c r="K3385">
        <v>46100</v>
      </c>
      <c r="N3385">
        <v>109</v>
      </c>
      <c r="O3385" t="s">
        <v>27</v>
      </c>
      <c r="Q3385">
        <v>60</v>
      </c>
      <c r="R3385" t="str">
        <f>"PENSE FARMA 40 (10207)"</f>
        <v>PENSE FARMA 40 (10207)</v>
      </c>
      <c r="S3385" t="s">
        <v>22</v>
      </c>
      <c r="T3385">
        <v>31341</v>
      </c>
      <c r="U3385">
        <v>35696</v>
      </c>
      <c r="V3385" t="s">
        <v>22</v>
      </c>
    </row>
    <row r="3386" spans="1:22">
      <c r="A3386" t="str">
        <f t="shared" si="613"/>
        <v>19/03/2026</v>
      </c>
      <c r="B3386" t="str">
        <f>"ENTRADA"</f>
        <v>ENTRADA</v>
      </c>
      <c r="C3386" t="str">
        <f>"DINHEIRO"</f>
        <v>DINHEIRO</v>
      </c>
      <c r="D3386" t="str">
        <f>"19032026"</f>
        <v>19032026</v>
      </c>
      <c r="E3386" t="str">
        <f>""</f>
        <v/>
      </c>
      <c r="F3386" t="str">
        <f t="shared" si="612"/>
        <v>COM</v>
      </c>
      <c r="G3386" t="str">
        <f>"FELIPE ALEXANDRE CAMA (976)"</f>
        <v>FELIPE ALEXANDRE CAMA (976)</v>
      </c>
      <c r="H3386" t="str">
        <f>"REELMBOLSO CERTIFICADO DIGITAL 1/2"</f>
        <v>REELMBOLSO CERTIFICADO DIGITAL 1/2</v>
      </c>
      <c r="I3386" t="str">
        <f t="shared" si="614"/>
        <v>19/03/2026</v>
      </c>
      <c r="J3386" t="str">
        <f>("19/03/2026")</f>
        <v>19/03/2026</v>
      </c>
      <c r="K3386" t="str">
        <f>("19/03/2026")</f>
        <v>19/03/2026</v>
      </c>
      <c r="L3386">
        <v>60</v>
      </c>
      <c r="M3386">
        <v>60</v>
      </c>
      <c r="N3386">
        <v>108</v>
      </c>
      <c r="O3386" t="str">
        <f>"RECEITAS COM REEMBOLSOS"</f>
        <v>RECEITAS COM REEMBOLSOS</v>
      </c>
      <c r="P3386">
        <v>60</v>
      </c>
      <c r="S3386" t="str">
        <f>"RECEITAS COM REEMBOLSOS (108)"</f>
        <v>RECEITAS COM REEMBOLSOS (108)</v>
      </c>
      <c r="T3386">
        <v>31342</v>
      </c>
      <c r="U3386">
        <v>35694</v>
      </c>
      <c r="V3386" t="s">
        <v>22</v>
      </c>
    </row>
    <row r="3387" spans="1:22">
      <c r="A3387" t="str">
        <f t="shared" si="613"/>
        <v>19/03/2026</v>
      </c>
      <c r="B3387" t="str">
        <f>"ENTRADA"</f>
        <v>ENTRADA</v>
      </c>
      <c r="C3387" t="str">
        <f>"DINHEIRO"</f>
        <v>DINHEIRO</v>
      </c>
      <c r="D3387" t="str">
        <f>"19032026"</f>
        <v>19032026</v>
      </c>
      <c r="E3387" t="str">
        <f>""</f>
        <v/>
      </c>
      <c r="F3387" t="str">
        <f t="shared" si="612"/>
        <v>COM</v>
      </c>
      <c r="G3387" t="str">
        <f>"FELIPE ALEXANDRE CAMA (976)"</f>
        <v>FELIPE ALEXANDRE CAMA (976)</v>
      </c>
      <c r="H3387" t="s">
        <v>913</v>
      </c>
      <c r="I3387" t="str">
        <f t="shared" si="614"/>
        <v>19/03/2026</v>
      </c>
      <c r="J3387" t="str">
        <f>("19/03/2026")</f>
        <v>19/03/2026</v>
      </c>
      <c r="K3387">
        <v>46100</v>
      </c>
      <c r="N3387">
        <v>108</v>
      </c>
      <c r="O3387" t="s">
        <v>871</v>
      </c>
      <c r="Q3387">
        <v>60</v>
      </c>
      <c r="R3387" t="str">
        <f>"FELIPE ALEXANDRE CAMA (976)"</f>
        <v>FELIPE ALEXANDRE CAMA (976)</v>
      </c>
      <c r="S3387" t="s">
        <v>872</v>
      </c>
      <c r="T3387">
        <v>31342</v>
      </c>
      <c r="U3387">
        <v>35694</v>
      </c>
      <c r="V3387" t="s">
        <v>22</v>
      </c>
    </row>
    <row r="3388" spans="1:22">
      <c r="A3388" t="str">
        <f t="shared" si="613"/>
        <v>19/03/2026</v>
      </c>
      <c r="B3388" t="str">
        <f>"SAÍDA"</f>
        <v>SAÍDA</v>
      </c>
      <c r="C3388" t="str">
        <f>"PIX"</f>
        <v>PIX</v>
      </c>
      <c r="D3388" t="str">
        <f>"35065"</f>
        <v>35065</v>
      </c>
      <c r="E3388" t="str">
        <f>"1"</f>
        <v>1</v>
      </c>
      <c r="F3388" t="str">
        <f t="shared" si="612"/>
        <v>COM</v>
      </c>
      <c r="G3388" t="str">
        <f>"RAFAEL PEDROSO DE CAMARA (975)"</f>
        <v>RAFAEL PEDROSO DE CAMARA (975)</v>
      </c>
      <c r="H3388" t="str">
        <f>"Serv.Prest. 09/03/2026 a 15/03/2026 - PIX: CELULAR - CHAVE: (11) 99270-3082"</f>
        <v>Serv.Prest. 09/03/2026 a 15/03/2026 - PIX: CELULAR - CHAVE: (11) 99270-3082</v>
      </c>
      <c r="I3388" t="str">
        <f t="shared" si="614"/>
        <v>19/03/2026</v>
      </c>
      <c r="J3388" t="str">
        <f>("17/03/2026")</f>
        <v>17/03/2026</v>
      </c>
      <c r="K3388" t="str">
        <f>("19/03/2026")</f>
        <v>19/03/2026</v>
      </c>
      <c r="L3388">
        <v>60</v>
      </c>
      <c r="M3388">
        <v>60</v>
      </c>
      <c r="N3388">
        <v>109</v>
      </c>
      <c r="O3388" t="str">
        <f>"PAGAMENTO DE ENTREGADORES"</f>
        <v>PAGAMENTO DE ENTREGADORES</v>
      </c>
      <c r="P3388">
        <v>60</v>
      </c>
      <c r="S3388" t="str">
        <f>"CAIXA MOVIMENTAÇÃO OPERACIONAL (132)"</f>
        <v>CAIXA MOVIMENTAÇÃO OPERACIONAL (132)</v>
      </c>
      <c r="T3388">
        <v>31343</v>
      </c>
      <c r="U3388">
        <v>35699</v>
      </c>
      <c r="V3388" t="s">
        <v>22</v>
      </c>
    </row>
    <row r="3389" spans="1:22">
      <c r="A3389" t="str">
        <f t="shared" si="613"/>
        <v>19/03/2026</v>
      </c>
      <c r="B3389" t="str">
        <f>"SAÍDA"</f>
        <v>SAÍDA</v>
      </c>
      <c r="C3389" t="str">
        <f>"PIX"</f>
        <v>PIX</v>
      </c>
      <c r="D3389" t="str">
        <f>"35065"</f>
        <v>35065</v>
      </c>
      <c r="E3389" t="str">
        <f>"1"</f>
        <v>1</v>
      </c>
      <c r="F3389" t="str">
        <f t="shared" si="612"/>
        <v>COM</v>
      </c>
      <c r="G3389" t="str">
        <f>"RAFAEL PEDROSO DE CAMARA (975)"</f>
        <v>RAFAEL PEDROSO DE CAMARA (975)</v>
      </c>
      <c r="H3389" t="s">
        <v>898</v>
      </c>
      <c r="I3389" t="str">
        <f t="shared" si="614"/>
        <v>19/03/2026</v>
      </c>
      <c r="J3389" t="str">
        <f>("17/03/2026")</f>
        <v>17/03/2026</v>
      </c>
      <c r="K3389">
        <v>46100</v>
      </c>
      <c r="N3389">
        <v>109</v>
      </c>
      <c r="O3389" t="s">
        <v>27</v>
      </c>
      <c r="Q3389">
        <v>60</v>
      </c>
      <c r="R3389" t="str">
        <f>"PENSE FARMA 40 (10207)"</f>
        <v>PENSE FARMA 40 (10207)</v>
      </c>
      <c r="S3389" t="s">
        <v>22</v>
      </c>
      <c r="T3389">
        <v>31343</v>
      </c>
      <c r="U3389">
        <v>35699</v>
      </c>
      <c r="V3389" t="s">
        <v>22</v>
      </c>
    </row>
    <row r="3390" spans="1:22">
      <c r="A3390" t="str">
        <f t="shared" si="613"/>
        <v>19/03/2026</v>
      </c>
      <c r="B3390" t="str">
        <f>"ENTRADA"</f>
        <v>ENTRADA</v>
      </c>
      <c r="C3390" t="str">
        <f>"DINHEIRO"</f>
        <v>DINHEIRO</v>
      </c>
      <c r="D3390" t="str">
        <f>"19032026"</f>
        <v>19032026</v>
      </c>
      <c r="E3390" t="str">
        <f>""</f>
        <v/>
      </c>
      <c r="F3390" t="str">
        <f t="shared" si="612"/>
        <v>COM</v>
      </c>
      <c r="G3390" t="str">
        <f>"RAFAEL PEDROSO DE C??MARA (975)"</f>
        <v>RAFAEL PEDROSO DE C??MARA (975)</v>
      </c>
      <c r="H3390" t="str">
        <f>"REELMBOLSO CERTIFICADO DIGITAL 1/2"</f>
        <v>REELMBOLSO CERTIFICADO DIGITAL 1/2</v>
      </c>
      <c r="I3390" t="str">
        <f t="shared" si="614"/>
        <v>19/03/2026</v>
      </c>
      <c r="J3390" t="str">
        <f>("19/03/2026")</f>
        <v>19/03/2026</v>
      </c>
      <c r="K3390" t="str">
        <f>("19/03/2026")</f>
        <v>19/03/2026</v>
      </c>
      <c r="L3390">
        <v>60</v>
      </c>
      <c r="M3390">
        <v>60</v>
      </c>
      <c r="N3390">
        <v>108</v>
      </c>
      <c r="O3390" t="str">
        <f>"RECEITAS COM REEMBOLSOS"</f>
        <v>RECEITAS COM REEMBOLSOS</v>
      </c>
      <c r="P3390">
        <v>60</v>
      </c>
      <c r="S3390" t="str">
        <f>"RECEITAS COM REEMBOLSOS (108)"</f>
        <v>RECEITAS COM REEMBOLSOS (108)</v>
      </c>
      <c r="T3390">
        <v>31344</v>
      </c>
      <c r="U3390">
        <v>35697</v>
      </c>
      <c r="V3390" t="s">
        <v>22</v>
      </c>
    </row>
    <row r="3391" spans="1:22">
      <c r="A3391" t="str">
        <f t="shared" si="613"/>
        <v>19/03/2026</v>
      </c>
      <c r="B3391" t="str">
        <f>"ENTRADA"</f>
        <v>ENTRADA</v>
      </c>
      <c r="C3391" t="str">
        <f>"DINHEIRO"</f>
        <v>DINHEIRO</v>
      </c>
      <c r="D3391" t="str">
        <f>"19032026"</f>
        <v>19032026</v>
      </c>
      <c r="E3391" t="str">
        <f>""</f>
        <v/>
      </c>
      <c r="F3391" t="str">
        <f t="shared" si="612"/>
        <v>COM</v>
      </c>
      <c r="G3391" t="str">
        <f>"RAFAEL PEDROSO DE C??MARA (975)"</f>
        <v>RAFAEL PEDROSO DE C??MARA (975)</v>
      </c>
      <c r="H3391" t="s">
        <v>913</v>
      </c>
      <c r="I3391" t="str">
        <f t="shared" si="614"/>
        <v>19/03/2026</v>
      </c>
      <c r="J3391" t="str">
        <f>("19/03/2026")</f>
        <v>19/03/2026</v>
      </c>
      <c r="K3391">
        <v>46100</v>
      </c>
      <c r="N3391">
        <v>108</v>
      </c>
      <c r="O3391" t="s">
        <v>871</v>
      </c>
      <c r="Q3391">
        <v>60</v>
      </c>
      <c r="R3391" t="str">
        <f>"RAFAEL PEDROSO DE C??MARA (975)"</f>
        <v>RAFAEL PEDROSO DE C??MARA (975)</v>
      </c>
      <c r="S3391" t="s">
        <v>872</v>
      </c>
      <c r="T3391">
        <v>31344</v>
      </c>
      <c r="U3391">
        <v>35697</v>
      </c>
      <c r="V3391" t="s">
        <v>22</v>
      </c>
    </row>
    <row r="3392" spans="1:22">
      <c r="A3392" t="str">
        <f t="shared" si="613"/>
        <v>19/03/2026</v>
      </c>
      <c r="B3392" t="str">
        <f>"SAÍDA"</f>
        <v>SAÍDA</v>
      </c>
      <c r="C3392" t="str">
        <f>"PIX"</f>
        <v>PIX</v>
      </c>
      <c r="D3392" t="str">
        <f>"35081"</f>
        <v>35081</v>
      </c>
      <c r="E3392" t="str">
        <f>"1"</f>
        <v>1</v>
      </c>
      <c r="F3392" t="str">
        <f t="shared" si="612"/>
        <v>COM</v>
      </c>
      <c r="G3392" t="str">
        <f>"IGOR LOPES DA SILVA (991)"</f>
        <v>IGOR LOPES DA SILVA (991)</v>
      </c>
      <c r="H3392" t="str">
        <f>"Serv.Prest. 09/03/2026 a 15/03/2026 - PIX: CELULAR - CHAVE: (11) 95054-2206"</f>
        <v>Serv.Prest. 09/03/2026 a 15/03/2026 - PIX: CELULAR - CHAVE: (11) 95054-2206</v>
      </c>
      <c r="I3392" t="str">
        <f t="shared" si="614"/>
        <v>19/03/2026</v>
      </c>
      <c r="J3392" t="str">
        <f>("17/03/2026")</f>
        <v>17/03/2026</v>
      </c>
      <c r="K3392" t="str">
        <f>("19/03/2026")</f>
        <v>19/03/2026</v>
      </c>
      <c r="L3392">
        <v>60</v>
      </c>
      <c r="M3392">
        <v>60</v>
      </c>
      <c r="N3392">
        <v>109</v>
      </c>
      <c r="O3392" t="str">
        <f>"PAGAMENTO DE ENTREGADORES"</f>
        <v>PAGAMENTO DE ENTREGADORES</v>
      </c>
      <c r="P3392">
        <v>60</v>
      </c>
      <c r="S3392" t="str">
        <f>"CAIXA MOVIMENTAÇÃO OPERACIONAL (132)"</f>
        <v>CAIXA MOVIMENTAÇÃO OPERACIONAL (132)</v>
      </c>
      <c r="T3392">
        <v>31345</v>
      </c>
      <c r="U3392">
        <v>35702</v>
      </c>
      <c r="V3392" t="s">
        <v>22</v>
      </c>
    </row>
    <row r="3393" spans="1:22">
      <c r="A3393" t="str">
        <f t="shared" si="613"/>
        <v>19/03/2026</v>
      </c>
      <c r="B3393" t="str">
        <f>"SAÍDA"</f>
        <v>SAÍDA</v>
      </c>
      <c r="C3393" t="str">
        <f>"PIX"</f>
        <v>PIX</v>
      </c>
      <c r="D3393" t="str">
        <f>"35081"</f>
        <v>35081</v>
      </c>
      <c r="E3393" t="str">
        <f>"1"</f>
        <v>1</v>
      </c>
      <c r="F3393" t="str">
        <f t="shared" si="612"/>
        <v>COM</v>
      </c>
      <c r="G3393" t="str">
        <f>"IGOR LOPES DA SILVA (991)"</f>
        <v>IGOR LOPES DA SILVA (991)</v>
      </c>
      <c r="H3393" t="s">
        <v>827</v>
      </c>
      <c r="I3393" t="str">
        <f t="shared" si="614"/>
        <v>19/03/2026</v>
      </c>
      <c r="J3393" t="str">
        <f>("17/03/2026")</f>
        <v>17/03/2026</v>
      </c>
      <c r="K3393">
        <v>46100</v>
      </c>
      <c r="N3393">
        <v>109</v>
      </c>
      <c r="O3393" t="s">
        <v>27</v>
      </c>
      <c r="Q3393">
        <v>60</v>
      </c>
      <c r="R3393" t="str">
        <f>"PENSE FARMA 39 (10228)"</f>
        <v>PENSE FARMA 39 (10228)</v>
      </c>
      <c r="S3393" t="s">
        <v>22</v>
      </c>
      <c r="T3393">
        <v>31345</v>
      </c>
      <c r="U3393">
        <v>35702</v>
      </c>
      <c r="V3393" t="s">
        <v>22</v>
      </c>
    </row>
    <row r="3394" spans="1:22">
      <c r="A3394" t="str">
        <f t="shared" si="613"/>
        <v>19/03/2026</v>
      </c>
      <c r="B3394" t="str">
        <f>"ENTRADA"</f>
        <v>ENTRADA</v>
      </c>
      <c r="C3394" t="str">
        <f>"DINHEIRO"</f>
        <v>DINHEIRO</v>
      </c>
      <c r="D3394" t="str">
        <f>"19032026"</f>
        <v>19032026</v>
      </c>
      <c r="E3394" t="str">
        <f>""</f>
        <v/>
      </c>
      <c r="F3394" t="str">
        <f t="shared" ref="F3394:F3457" si="615">"COM"</f>
        <v>COM</v>
      </c>
      <c r="G3394" t="str">
        <f>"IGOR LOPES DA SILVA (991)"</f>
        <v>IGOR LOPES DA SILVA (991)</v>
      </c>
      <c r="H3394" t="str">
        <f>"REELMBOLSO CERTIFICADO DIGITAL 1/2"</f>
        <v>REELMBOLSO CERTIFICADO DIGITAL 1/2</v>
      </c>
      <c r="I3394" t="str">
        <f t="shared" si="614"/>
        <v>19/03/2026</v>
      </c>
      <c r="J3394" t="str">
        <f>("19/03/2026")</f>
        <v>19/03/2026</v>
      </c>
      <c r="K3394" t="str">
        <f>("19/03/2026")</f>
        <v>19/03/2026</v>
      </c>
      <c r="L3394">
        <v>60</v>
      </c>
      <c r="M3394">
        <v>60</v>
      </c>
      <c r="N3394">
        <v>108</v>
      </c>
      <c r="O3394" t="str">
        <f>"RECEITAS COM REEMBOLSOS"</f>
        <v>RECEITAS COM REEMBOLSOS</v>
      </c>
      <c r="P3394">
        <v>60</v>
      </c>
      <c r="S3394" t="str">
        <f>"RECEITAS COM REEMBOLSOS (108)"</f>
        <v>RECEITAS COM REEMBOLSOS (108)</v>
      </c>
      <c r="T3394">
        <v>31346</v>
      </c>
      <c r="U3394">
        <v>35700</v>
      </c>
      <c r="V3394" t="s">
        <v>22</v>
      </c>
    </row>
    <row r="3395" spans="1:22">
      <c r="A3395" t="str">
        <f t="shared" si="613"/>
        <v>19/03/2026</v>
      </c>
      <c r="B3395" t="str">
        <f>"ENTRADA"</f>
        <v>ENTRADA</v>
      </c>
      <c r="C3395" t="str">
        <f>"DINHEIRO"</f>
        <v>DINHEIRO</v>
      </c>
      <c r="D3395" t="str">
        <f>"19032026"</f>
        <v>19032026</v>
      </c>
      <c r="E3395" t="str">
        <f>""</f>
        <v/>
      </c>
      <c r="F3395" t="str">
        <f t="shared" si="615"/>
        <v>COM</v>
      </c>
      <c r="G3395" t="str">
        <f>"IGOR LOPES DA SILVA (991)"</f>
        <v>IGOR LOPES DA SILVA (991)</v>
      </c>
      <c r="H3395" t="s">
        <v>913</v>
      </c>
      <c r="I3395" t="str">
        <f t="shared" si="614"/>
        <v>19/03/2026</v>
      </c>
      <c r="J3395" t="str">
        <f>("19/03/2026")</f>
        <v>19/03/2026</v>
      </c>
      <c r="K3395">
        <v>46100</v>
      </c>
      <c r="N3395">
        <v>108</v>
      </c>
      <c r="O3395" t="s">
        <v>871</v>
      </c>
      <c r="Q3395">
        <v>60</v>
      </c>
      <c r="R3395" t="str">
        <f>"IGOR LOPES DA SILVA (991)"</f>
        <v>IGOR LOPES DA SILVA (991)</v>
      </c>
      <c r="S3395" t="s">
        <v>872</v>
      </c>
      <c r="T3395">
        <v>31346</v>
      </c>
      <c r="U3395">
        <v>35700</v>
      </c>
      <c r="V3395" t="s">
        <v>22</v>
      </c>
    </row>
    <row r="3396" spans="1:22">
      <c r="A3396" t="str">
        <f t="shared" si="613"/>
        <v>19/03/2026</v>
      </c>
      <c r="B3396" t="str">
        <f>"SAÍDA"</f>
        <v>SAÍDA</v>
      </c>
      <c r="C3396" t="str">
        <f>"PIX"</f>
        <v>PIX</v>
      </c>
      <c r="D3396" t="str">
        <f>"34609"</f>
        <v>34609</v>
      </c>
      <c r="E3396" t="str">
        <f>"1"</f>
        <v>1</v>
      </c>
      <c r="F3396" t="str">
        <f t="shared" si="615"/>
        <v>COM</v>
      </c>
      <c r="G3396" t="str">
        <f>"MARCOS RODRIGUES PENA (64)"</f>
        <v>MARCOS RODRIGUES PENA (64)</v>
      </c>
      <c r="H3396" t="str">
        <f>"Serv.Prest. 02/03/2026 a 08/03/2026 - PIX: CELULAR - CHAVE: (33) 99194-2339"</f>
        <v>Serv.Prest. 02/03/2026 a 08/03/2026 - PIX: CELULAR - CHAVE: (33) 99194-2339</v>
      </c>
      <c r="I3396" t="str">
        <f t="shared" si="614"/>
        <v>19/03/2026</v>
      </c>
      <c r="J3396" t="str">
        <f>("10/03/2026")</f>
        <v>10/03/2026</v>
      </c>
      <c r="K3396" t="str">
        <f>("19/03/2026")</f>
        <v>19/03/2026</v>
      </c>
      <c r="L3396">
        <v>60</v>
      </c>
      <c r="M3396">
        <v>60</v>
      </c>
      <c r="N3396">
        <v>109</v>
      </c>
      <c r="O3396" t="str">
        <f>"PAGAMENTO DE ENTREGADORES"</f>
        <v>PAGAMENTO DE ENTREGADORES</v>
      </c>
      <c r="P3396">
        <v>60</v>
      </c>
      <c r="S3396" t="str">
        <f>"CAIXA MOVIMENTAÇÃO OPERACIONAL (132)"</f>
        <v>CAIXA MOVIMENTAÇÃO OPERACIONAL (132)</v>
      </c>
      <c r="T3396">
        <v>31347</v>
      </c>
      <c r="U3396">
        <v>35705</v>
      </c>
      <c r="V3396" t="s">
        <v>22</v>
      </c>
    </row>
    <row r="3397" spans="1:22">
      <c r="A3397" t="str">
        <f t="shared" si="613"/>
        <v>19/03/2026</v>
      </c>
      <c r="B3397" t="str">
        <f>"SAÍDA"</f>
        <v>SAÍDA</v>
      </c>
      <c r="C3397" t="str">
        <f>"PIX"</f>
        <v>PIX</v>
      </c>
      <c r="D3397" t="str">
        <f>"34609"</f>
        <v>34609</v>
      </c>
      <c r="E3397" t="str">
        <f>"1"</f>
        <v>1</v>
      </c>
      <c r="F3397" t="str">
        <f t="shared" si="615"/>
        <v>COM</v>
      </c>
      <c r="G3397" t="str">
        <f>"MARCOS RODRIGUES PENA (64)"</f>
        <v>MARCOS RODRIGUES PENA (64)</v>
      </c>
      <c r="H3397" t="s">
        <v>893</v>
      </c>
      <c r="I3397" t="str">
        <f t="shared" si="614"/>
        <v>19/03/2026</v>
      </c>
      <c r="J3397" t="str">
        <f>("10/03/2026")</f>
        <v>10/03/2026</v>
      </c>
      <c r="K3397">
        <v>46100</v>
      </c>
      <c r="N3397">
        <v>109</v>
      </c>
      <c r="O3397" t="s">
        <v>27</v>
      </c>
      <c r="Q3397">
        <v>60</v>
      </c>
      <c r="R3397" t="str">
        <f>"FARMÁCIA INDIANA LJ 62 (10028)"</f>
        <v>FARMÁCIA INDIANA LJ 62 (10028)</v>
      </c>
      <c r="S3397" t="s">
        <v>22</v>
      </c>
      <c r="T3397">
        <v>31347</v>
      </c>
      <c r="U3397">
        <v>35705</v>
      </c>
      <c r="V3397" t="s">
        <v>22</v>
      </c>
    </row>
    <row r="3398" spans="1:22">
      <c r="A3398" t="str">
        <f t="shared" si="613"/>
        <v>19/03/2026</v>
      </c>
      <c r="B3398" t="str">
        <f>"ENTRADA"</f>
        <v>ENTRADA</v>
      </c>
      <c r="C3398" t="str">
        <f>"DINHEIRO"</f>
        <v>DINHEIRO</v>
      </c>
      <c r="D3398" t="str">
        <f>"19032026"</f>
        <v>19032026</v>
      </c>
      <c r="E3398" t="str">
        <f>""</f>
        <v/>
      </c>
      <c r="F3398" t="str">
        <f t="shared" si="615"/>
        <v>COM</v>
      </c>
      <c r="G3398" t="str">
        <f>"MARCOS RODRIGUES PENA (64)"</f>
        <v>MARCOS RODRIGUES PENA (64)</v>
      </c>
      <c r="H3398" t="str">
        <f>"REELMBOLSO CERTIFICADO DIGITAL 1/2"</f>
        <v>REELMBOLSO CERTIFICADO DIGITAL 1/2</v>
      </c>
      <c r="I3398" t="str">
        <f t="shared" si="614"/>
        <v>19/03/2026</v>
      </c>
      <c r="J3398" t="str">
        <f>("19/03/2026")</f>
        <v>19/03/2026</v>
      </c>
      <c r="K3398" t="str">
        <f>("19/03/2026")</f>
        <v>19/03/2026</v>
      </c>
      <c r="L3398">
        <v>60</v>
      </c>
      <c r="M3398">
        <v>60</v>
      </c>
      <c r="N3398">
        <v>108</v>
      </c>
      <c r="O3398" t="str">
        <f>"RECEITAS COM REEMBOLSOS"</f>
        <v>RECEITAS COM REEMBOLSOS</v>
      </c>
      <c r="P3398">
        <v>60</v>
      </c>
      <c r="S3398" t="str">
        <f>"RECEITAS COM REEMBOLSOS (108)"</f>
        <v>RECEITAS COM REEMBOLSOS (108)</v>
      </c>
      <c r="T3398">
        <v>31348</v>
      </c>
      <c r="U3398">
        <v>35703</v>
      </c>
      <c r="V3398" t="s">
        <v>22</v>
      </c>
    </row>
    <row r="3399" spans="1:22">
      <c r="A3399" t="str">
        <f t="shared" si="613"/>
        <v>19/03/2026</v>
      </c>
      <c r="B3399" t="str">
        <f>"ENTRADA"</f>
        <v>ENTRADA</v>
      </c>
      <c r="C3399" t="str">
        <f>"DINHEIRO"</f>
        <v>DINHEIRO</v>
      </c>
      <c r="D3399" t="str">
        <f>"19032026"</f>
        <v>19032026</v>
      </c>
      <c r="E3399" t="str">
        <f>""</f>
        <v/>
      </c>
      <c r="F3399" t="str">
        <f t="shared" si="615"/>
        <v>COM</v>
      </c>
      <c r="G3399" t="str">
        <f>"MARCOS RODRIGUES PENA (64)"</f>
        <v>MARCOS RODRIGUES PENA (64)</v>
      </c>
      <c r="H3399" t="s">
        <v>913</v>
      </c>
      <c r="I3399" t="str">
        <f t="shared" si="614"/>
        <v>19/03/2026</v>
      </c>
      <c r="J3399" t="str">
        <f>("19/03/2026")</f>
        <v>19/03/2026</v>
      </c>
      <c r="K3399">
        <v>46100</v>
      </c>
      <c r="N3399">
        <v>108</v>
      </c>
      <c r="O3399" t="s">
        <v>871</v>
      </c>
      <c r="Q3399">
        <v>60</v>
      </c>
      <c r="R3399" t="str">
        <f>"MARCOS RODRIGUES PENA (64)"</f>
        <v>MARCOS RODRIGUES PENA (64)</v>
      </c>
      <c r="S3399" t="s">
        <v>872</v>
      </c>
      <c r="T3399">
        <v>31348</v>
      </c>
      <c r="U3399">
        <v>35703</v>
      </c>
      <c r="V3399" t="s">
        <v>22</v>
      </c>
    </row>
    <row r="3400" spans="1:22">
      <c r="A3400" t="str">
        <f t="shared" si="613"/>
        <v>19/03/2026</v>
      </c>
      <c r="B3400" t="str">
        <f>"SAÍDA"</f>
        <v>SAÍDA</v>
      </c>
      <c r="C3400" t="str">
        <f>"PIX"</f>
        <v>PIX</v>
      </c>
      <c r="D3400" t="str">
        <f>"35135"</f>
        <v>35135</v>
      </c>
      <c r="E3400" t="str">
        <f>"1"</f>
        <v>1</v>
      </c>
      <c r="F3400" t="str">
        <f t="shared" si="615"/>
        <v>COM</v>
      </c>
      <c r="G3400" t="str">
        <f>"THAIS SILVA MAIA (1057)"</f>
        <v>THAIS SILVA MAIA (1057)</v>
      </c>
      <c r="H3400" t="str">
        <f>"Serv.Prest. 09/03/2026 a 15/03/2026 - PIX: CELULAR - CHAVE: (34) 99688-5705"</f>
        <v>Serv.Prest. 09/03/2026 a 15/03/2026 - PIX: CELULAR - CHAVE: (34) 99688-5705</v>
      </c>
      <c r="I3400" t="str">
        <f t="shared" si="614"/>
        <v>19/03/2026</v>
      </c>
      <c r="J3400" t="str">
        <f>("17/03/2026")</f>
        <v>17/03/2026</v>
      </c>
      <c r="K3400" t="str">
        <f>("19/03/2026")</f>
        <v>19/03/2026</v>
      </c>
      <c r="L3400">
        <v>60</v>
      </c>
      <c r="M3400">
        <v>60</v>
      </c>
      <c r="N3400">
        <v>109</v>
      </c>
      <c r="O3400" t="str">
        <f>"PAGAMENTO DE ENTREGADORES"</f>
        <v>PAGAMENTO DE ENTREGADORES</v>
      </c>
      <c r="P3400">
        <v>60</v>
      </c>
      <c r="S3400" t="str">
        <f>"CAIXA MOVIMENTAÇÃO OPERACIONAL (132)"</f>
        <v>CAIXA MOVIMENTAÇÃO OPERACIONAL (132)</v>
      </c>
      <c r="T3400">
        <v>31349</v>
      </c>
      <c r="U3400">
        <v>35708</v>
      </c>
      <c r="V3400" t="s">
        <v>22</v>
      </c>
    </row>
    <row r="3401" spans="1:22">
      <c r="A3401" t="str">
        <f t="shared" si="613"/>
        <v>19/03/2026</v>
      </c>
      <c r="B3401" t="str">
        <f>"SAÍDA"</f>
        <v>SAÍDA</v>
      </c>
      <c r="C3401" t="str">
        <f>"PIX"</f>
        <v>PIX</v>
      </c>
      <c r="D3401" t="str">
        <f>"35135"</f>
        <v>35135</v>
      </c>
      <c r="E3401" t="str">
        <f>"1"</f>
        <v>1</v>
      </c>
      <c r="F3401" t="str">
        <f t="shared" si="615"/>
        <v>COM</v>
      </c>
      <c r="G3401" t="str">
        <f>"THAIS SILVA MAIA (1057)"</f>
        <v>THAIS SILVA MAIA (1057)</v>
      </c>
      <c r="H3401" t="s">
        <v>984</v>
      </c>
      <c r="I3401" t="str">
        <f t="shared" si="614"/>
        <v>19/03/2026</v>
      </c>
      <c r="J3401" t="str">
        <f>("17/03/2026")</f>
        <v>17/03/2026</v>
      </c>
      <c r="K3401">
        <v>46100</v>
      </c>
      <c r="N3401">
        <v>109</v>
      </c>
      <c r="O3401" t="s">
        <v>27</v>
      </c>
      <c r="Q3401">
        <v>60</v>
      </c>
      <c r="R3401" t="str">
        <f>"PAGMENOS - LJ 768 (10266)"</f>
        <v>PAGMENOS - LJ 768 (10266)</v>
      </c>
      <c r="S3401" t="s">
        <v>22</v>
      </c>
      <c r="T3401">
        <v>31349</v>
      </c>
      <c r="U3401">
        <v>35708</v>
      </c>
      <c r="V3401" t="s">
        <v>22</v>
      </c>
    </row>
    <row r="3402" spans="1:22">
      <c r="A3402" t="str">
        <f t="shared" si="613"/>
        <v>19/03/2026</v>
      </c>
      <c r="B3402" t="str">
        <f>"ENTRADA"</f>
        <v>ENTRADA</v>
      </c>
      <c r="C3402" t="str">
        <f>"DINHEIRO"</f>
        <v>DINHEIRO</v>
      </c>
      <c r="D3402" t="str">
        <f>"19032026"</f>
        <v>19032026</v>
      </c>
      <c r="E3402" t="str">
        <f>""</f>
        <v/>
      </c>
      <c r="F3402" t="str">
        <f t="shared" si="615"/>
        <v>COM</v>
      </c>
      <c r="G3402" t="str">
        <f>"THAIS SILVA MAIA (1057)"</f>
        <v>THAIS SILVA MAIA (1057)</v>
      </c>
      <c r="H3402" t="str">
        <f>"REELMBOLSO CERTIFICADO DIGITAL 1/2"</f>
        <v>REELMBOLSO CERTIFICADO DIGITAL 1/2</v>
      </c>
      <c r="I3402" t="str">
        <f t="shared" si="614"/>
        <v>19/03/2026</v>
      </c>
      <c r="J3402" t="str">
        <f>("19/03/2026")</f>
        <v>19/03/2026</v>
      </c>
      <c r="K3402" t="str">
        <f>("19/03/2026")</f>
        <v>19/03/2026</v>
      </c>
      <c r="L3402">
        <v>60</v>
      </c>
      <c r="M3402">
        <v>60</v>
      </c>
      <c r="N3402">
        <v>108</v>
      </c>
      <c r="O3402" t="str">
        <f>"RECEITAS COM REEMBOLSOS"</f>
        <v>RECEITAS COM REEMBOLSOS</v>
      </c>
      <c r="P3402">
        <v>60</v>
      </c>
      <c r="S3402" t="str">
        <f>"RECEITAS COM REEMBOLSOS (108)"</f>
        <v>RECEITAS COM REEMBOLSOS (108)</v>
      </c>
      <c r="T3402">
        <v>31350</v>
      </c>
      <c r="U3402">
        <v>35706</v>
      </c>
      <c r="V3402" t="s">
        <v>22</v>
      </c>
    </row>
    <row r="3403" spans="1:22">
      <c r="A3403" t="str">
        <f t="shared" si="613"/>
        <v>19/03/2026</v>
      </c>
      <c r="B3403" t="str">
        <f>"ENTRADA"</f>
        <v>ENTRADA</v>
      </c>
      <c r="C3403" t="str">
        <f>"DINHEIRO"</f>
        <v>DINHEIRO</v>
      </c>
      <c r="D3403" t="str">
        <f>"19032026"</f>
        <v>19032026</v>
      </c>
      <c r="E3403" t="str">
        <f>""</f>
        <v/>
      </c>
      <c r="F3403" t="str">
        <f t="shared" si="615"/>
        <v>COM</v>
      </c>
      <c r="G3403" t="str">
        <f>"THAIS SILVA MAIA (1057)"</f>
        <v>THAIS SILVA MAIA (1057)</v>
      </c>
      <c r="H3403" t="s">
        <v>913</v>
      </c>
      <c r="I3403" t="str">
        <f t="shared" si="614"/>
        <v>19/03/2026</v>
      </c>
      <c r="J3403" t="str">
        <f>("19/03/2026")</f>
        <v>19/03/2026</v>
      </c>
      <c r="K3403">
        <v>46100</v>
      </c>
      <c r="N3403">
        <v>108</v>
      </c>
      <c r="O3403" t="s">
        <v>871</v>
      </c>
      <c r="Q3403">
        <v>60</v>
      </c>
      <c r="R3403" t="str">
        <f>"THAIS SILVA MAIA (1057)"</f>
        <v>THAIS SILVA MAIA (1057)</v>
      </c>
      <c r="S3403" t="s">
        <v>872</v>
      </c>
      <c r="T3403">
        <v>31350</v>
      </c>
      <c r="U3403">
        <v>35706</v>
      </c>
      <c r="V3403" t="s">
        <v>22</v>
      </c>
    </row>
    <row r="3404" spans="1:22">
      <c r="A3404" t="str">
        <f t="shared" si="613"/>
        <v>19/03/2026</v>
      </c>
      <c r="B3404" t="str">
        <f>"SAÍDA"</f>
        <v>SAÍDA</v>
      </c>
      <c r="C3404" t="str">
        <f>"PIX"</f>
        <v>PIX</v>
      </c>
      <c r="D3404" t="str">
        <f>"34896"</f>
        <v>34896</v>
      </c>
      <c r="E3404" t="str">
        <f>"1"</f>
        <v>1</v>
      </c>
      <c r="F3404" t="str">
        <f t="shared" si="615"/>
        <v>COM</v>
      </c>
      <c r="G3404" t="str">
        <f>"TIAGO VIEIRA (372)"</f>
        <v>TIAGO VIEIRA (372)</v>
      </c>
      <c r="H3404" t="str">
        <f>"Serv.Prest. 09/03/2026 a 15/03/2026 - PIX: CELULAR - CHAVE: (37) 98841-8571"</f>
        <v>Serv.Prest. 09/03/2026 a 15/03/2026 - PIX: CELULAR - CHAVE: (37) 98841-8571</v>
      </c>
      <c r="I3404" t="str">
        <f t="shared" si="614"/>
        <v>19/03/2026</v>
      </c>
      <c r="J3404" t="str">
        <f>("16/03/2026")</f>
        <v>16/03/2026</v>
      </c>
      <c r="K3404" t="str">
        <f>("19/03/2026")</f>
        <v>19/03/2026</v>
      </c>
      <c r="L3404">
        <v>60</v>
      </c>
      <c r="M3404">
        <v>60</v>
      </c>
      <c r="N3404">
        <v>109</v>
      </c>
      <c r="O3404" t="str">
        <f>"PAGAMENTO DE ENTREGADORES"</f>
        <v>PAGAMENTO DE ENTREGADORES</v>
      </c>
      <c r="P3404">
        <v>60</v>
      </c>
      <c r="S3404" t="str">
        <f>"CAIXA MOVIMENTAÇÃO OPERACIONAL (132)"</f>
        <v>CAIXA MOVIMENTAÇÃO OPERACIONAL (132)</v>
      </c>
      <c r="T3404">
        <v>31351</v>
      </c>
      <c r="U3404">
        <v>35711</v>
      </c>
      <c r="V3404" t="s">
        <v>22</v>
      </c>
    </row>
    <row r="3405" spans="1:22">
      <c r="A3405" t="str">
        <f t="shared" si="613"/>
        <v>19/03/2026</v>
      </c>
      <c r="B3405" t="str">
        <f>"SAÍDA"</f>
        <v>SAÍDA</v>
      </c>
      <c r="C3405" t="str">
        <f>"PIX"</f>
        <v>PIX</v>
      </c>
      <c r="D3405" t="str">
        <f>"34896"</f>
        <v>34896</v>
      </c>
      <c r="E3405" t="str">
        <f>"1"</f>
        <v>1</v>
      </c>
      <c r="F3405" t="str">
        <f t="shared" si="615"/>
        <v>COM</v>
      </c>
      <c r="G3405" t="str">
        <f>"TIAGO VIEIRA (372)"</f>
        <v>TIAGO VIEIRA (372)</v>
      </c>
      <c r="H3405" t="s">
        <v>863</v>
      </c>
      <c r="I3405" t="str">
        <f t="shared" si="614"/>
        <v>19/03/2026</v>
      </c>
      <c r="J3405" t="str">
        <f>("16/03/2026")</f>
        <v>16/03/2026</v>
      </c>
      <c r="K3405">
        <v>46100</v>
      </c>
      <c r="N3405">
        <v>109</v>
      </c>
      <c r="O3405" t="s">
        <v>27</v>
      </c>
      <c r="Q3405">
        <v>60</v>
      </c>
      <c r="R3405" t="str">
        <f>"DROGARIA POUPA MINAS (ULTRAMINAS) 1 (10181)"</f>
        <v>DROGARIA POUPA MINAS (ULTRAMINAS) 1 (10181)</v>
      </c>
      <c r="S3405" t="s">
        <v>22</v>
      </c>
      <c r="T3405">
        <v>31351</v>
      </c>
      <c r="U3405">
        <v>35711</v>
      </c>
      <c r="V3405" t="s">
        <v>22</v>
      </c>
    </row>
    <row r="3406" spans="1:22">
      <c r="A3406" t="str">
        <f t="shared" si="613"/>
        <v>19/03/2026</v>
      </c>
      <c r="B3406" t="str">
        <f>"ENTRADA"</f>
        <v>ENTRADA</v>
      </c>
      <c r="C3406" t="str">
        <f>"DINHEIRO"</f>
        <v>DINHEIRO</v>
      </c>
      <c r="D3406" t="str">
        <f>"19032026"</f>
        <v>19032026</v>
      </c>
      <c r="E3406" t="str">
        <f>""</f>
        <v/>
      </c>
      <c r="F3406" t="str">
        <f t="shared" si="615"/>
        <v>COM</v>
      </c>
      <c r="G3406" t="str">
        <f>"TIAGO VIEIRA (372)"</f>
        <v>TIAGO VIEIRA (372)</v>
      </c>
      <c r="H3406" t="str">
        <f>"REELMBOLSO CERTIFICADO DIGITAL 1/2"</f>
        <v>REELMBOLSO CERTIFICADO DIGITAL 1/2</v>
      </c>
      <c r="I3406" t="str">
        <f t="shared" si="614"/>
        <v>19/03/2026</v>
      </c>
      <c r="J3406" t="str">
        <f>("19/03/2026")</f>
        <v>19/03/2026</v>
      </c>
      <c r="K3406" t="str">
        <f>("19/03/2026")</f>
        <v>19/03/2026</v>
      </c>
      <c r="L3406">
        <v>60</v>
      </c>
      <c r="M3406">
        <v>60</v>
      </c>
      <c r="N3406">
        <v>108</v>
      </c>
      <c r="O3406" t="str">
        <f>"RECEITAS COM REEMBOLSOS"</f>
        <v>RECEITAS COM REEMBOLSOS</v>
      </c>
      <c r="P3406">
        <v>60</v>
      </c>
      <c r="S3406" t="str">
        <f>"RECEITAS COM REEMBOLSOS (108)"</f>
        <v>RECEITAS COM REEMBOLSOS (108)</v>
      </c>
      <c r="T3406">
        <v>31352</v>
      </c>
      <c r="U3406">
        <v>35709</v>
      </c>
      <c r="V3406" t="s">
        <v>22</v>
      </c>
    </row>
    <row r="3407" spans="1:22">
      <c r="A3407" t="str">
        <f t="shared" si="613"/>
        <v>19/03/2026</v>
      </c>
      <c r="B3407" t="str">
        <f>"ENTRADA"</f>
        <v>ENTRADA</v>
      </c>
      <c r="C3407" t="str">
        <f>"DINHEIRO"</f>
        <v>DINHEIRO</v>
      </c>
      <c r="D3407" t="str">
        <f>"19032026"</f>
        <v>19032026</v>
      </c>
      <c r="E3407" t="str">
        <f>""</f>
        <v/>
      </c>
      <c r="F3407" t="str">
        <f t="shared" si="615"/>
        <v>COM</v>
      </c>
      <c r="G3407" t="str">
        <f>"TIAGO VIEIRA (372)"</f>
        <v>TIAGO VIEIRA (372)</v>
      </c>
      <c r="H3407" t="s">
        <v>913</v>
      </c>
      <c r="I3407" t="str">
        <f t="shared" si="614"/>
        <v>19/03/2026</v>
      </c>
      <c r="J3407" t="str">
        <f>("19/03/2026")</f>
        <v>19/03/2026</v>
      </c>
      <c r="K3407">
        <v>46100</v>
      </c>
      <c r="N3407">
        <v>108</v>
      </c>
      <c r="O3407" t="s">
        <v>871</v>
      </c>
      <c r="Q3407">
        <v>60</v>
      </c>
      <c r="R3407" t="str">
        <f>"TIAGO VIEIRA (372)"</f>
        <v>TIAGO VIEIRA (372)</v>
      </c>
      <c r="S3407" t="s">
        <v>872</v>
      </c>
      <c r="T3407">
        <v>31352</v>
      </c>
      <c r="U3407">
        <v>35709</v>
      </c>
      <c r="V3407" t="s">
        <v>22</v>
      </c>
    </row>
    <row r="3408" spans="1:22">
      <c r="A3408" t="str">
        <f t="shared" si="613"/>
        <v>19/03/2026</v>
      </c>
      <c r="B3408" t="str">
        <f>"SAÍDA"</f>
        <v>SAÍDA</v>
      </c>
      <c r="C3408" t="str">
        <f>"PIX"</f>
        <v>PIX</v>
      </c>
      <c r="D3408" t="str">
        <f>"34587"</f>
        <v>34587</v>
      </c>
      <c r="E3408" t="str">
        <f>"1"</f>
        <v>1</v>
      </c>
      <c r="F3408" t="str">
        <f t="shared" si="615"/>
        <v>COM</v>
      </c>
      <c r="G3408" t="str">
        <f>"JHONANTAN LACERDA DE JESUS (142)"</f>
        <v>JHONANTAN LACERDA DE JESUS (142)</v>
      </c>
      <c r="H3408" t="str">
        <f>"Serv.Prest. 02/03/2026 a 08/03/2026 - PIX: E-MAIL - CHAVE: jhonantanlacerda@gmail.com"</f>
        <v>Serv.Prest. 02/03/2026 a 08/03/2026 - PIX: E-MAIL - CHAVE: jhonantanlacerda@gmail.com</v>
      </c>
      <c r="I3408" t="str">
        <f t="shared" si="614"/>
        <v>19/03/2026</v>
      </c>
      <c r="J3408" t="str">
        <f>("10/03/2026")</f>
        <v>10/03/2026</v>
      </c>
      <c r="K3408" t="str">
        <f>("19/03/2026")</f>
        <v>19/03/2026</v>
      </c>
      <c r="L3408">
        <v>60</v>
      </c>
      <c r="M3408">
        <v>60</v>
      </c>
      <c r="N3408">
        <v>109</v>
      </c>
      <c r="O3408" t="str">
        <f>"PAGAMENTO DE ENTREGADORES"</f>
        <v>PAGAMENTO DE ENTREGADORES</v>
      </c>
      <c r="P3408">
        <v>60</v>
      </c>
      <c r="S3408" t="str">
        <f>"CAIXA MOVIMENTAÇÃO OPERACIONAL (132)"</f>
        <v>CAIXA MOVIMENTAÇÃO OPERACIONAL (132)</v>
      </c>
      <c r="T3408">
        <v>31353</v>
      </c>
      <c r="U3408">
        <v>35714</v>
      </c>
      <c r="V3408" t="s">
        <v>22</v>
      </c>
    </row>
    <row r="3409" spans="1:22">
      <c r="A3409" t="str">
        <f t="shared" si="613"/>
        <v>19/03/2026</v>
      </c>
      <c r="B3409" t="str">
        <f>"SAÍDA"</f>
        <v>SAÍDA</v>
      </c>
      <c r="C3409" t="str">
        <f>"PIX"</f>
        <v>PIX</v>
      </c>
      <c r="D3409" t="str">
        <f>"34587"</f>
        <v>34587</v>
      </c>
      <c r="E3409" t="str">
        <f>"1"</f>
        <v>1</v>
      </c>
      <c r="F3409" t="str">
        <f t="shared" si="615"/>
        <v>COM</v>
      </c>
      <c r="G3409" t="str">
        <f>"JHONANTAN LACERDA DE JESUS (142)"</f>
        <v>JHONANTAN LACERDA DE JESUS (142)</v>
      </c>
      <c r="H3409" t="s">
        <v>985</v>
      </c>
      <c r="I3409" t="str">
        <f t="shared" si="614"/>
        <v>19/03/2026</v>
      </c>
      <c r="J3409" t="str">
        <f>("10/03/2026")</f>
        <v>10/03/2026</v>
      </c>
      <c r="K3409">
        <v>46100</v>
      </c>
      <c r="N3409">
        <v>109</v>
      </c>
      <c r="O3409" t="s">
        <v>27</v>
      </c>
      <c r="Q3409">
        <v>60</v>
      </c>
      <c r="R3409" t="str">
        <f>"FARMÁCIA INDIANA LJ 142 (10066)"</f>
        <v>FARMÁCIA INDIANA LJ 142 (10066)</v>
      </c>
      <c r="S3409" t="s">
        <v>22</v>
      </c>
      <c r="T3409">
        <v>31353</v>
      </c>
      <c r="U3409">
        <v>35714</v>
      </c>
      <c r="V3409" t="s">
        <v>22</v>
      </c>
    </row>
    <row r="3410" spans="1:22">
      <c r="A3410" t="str">
        <f t="shared" si="613"/>
        <v>19/03/2026</v>
      </c>
      <c r="B3410" t="str">
        <f>"ENTRADA"</f>
        <v>ENTRADA</v>
      </c>
      <c r="C3410" t="str">
        <f>"DINHEIRO"</f>
        <v>DINHEIRO</v>
      </c>
      <c r="D3410" t="str">
        <f>"19032026"</f>
        <v>19032026</v>
      </c>
      <c r="E3410" t="str">
        <f>""</f>
        <v/>
      </c>
      <c r="F3410" t="str">
        <f t="shared" si="615"/>
        <v>COM</v>
      </c>
      <c r="G3410" t="str">
        <f>"JHONANTAN LACERDA DE JESUS (142)"</f>
        <v>JHONANTAN LACERDA DE JESUS (142)</v>
      </c>
      <c r="H3410" t="str">
        <f>"REELMBOLSO CERTIFICADO DIGITAL 1/2"</f>
        <v>REELMBOLSO CERTIFICADO DIGITAL 1/2</v>
      </c>
      <c r="I3410" t="str">
        <f t="shared" si="614"/>
        <v>19/03/2026</v>
      </c>
      <c r="J3410" t="str">
        <f>("19/03/2026")</f>
        <v>19/03/2026</v>
      </c>
      <c r="K3410" t="str">
        <f>("19/03/2026")</f>
        <v>19/03/2026</v>
      </c>
      <c r="L3410">
        <v>60</v>
      </c>
      <c r="M3410">
        <v>60</v>
      </c>
      <c r="N3410">
        <v>108</v>
      </c>
      <c r="O3410" t="str">
        <f>"RECEITAS COM REEMBOLSOS"</f>
        <v>RECEITAS COM REEMBOLSOS</v>
      </c>
      <c r="P3410">
        <v>60</v>
      </c>
      <c r="S3410" t="str">
        <f>"RECEITAS COM REEMBOLSOS (108)"</f>
        <v>RECEITAS COM REEMBOLSOS (108)</v>
      </c>
      <c r="T3410">
        <v>31354</v>
      </c>
      <c r="U3410">
        <v>35712</v>
      </c>
      <c r="V3410" t="s">
        <v>22</v>
      </c>
    </row>
    <row r="3411" spans="1:22">
      <c r="A3411" t="str">
        <f t="shared" si="613"/>
        <v>19/03/2026</v>
      </c>
      <c r="B3411" t="str">
        <f>"ENTRADA"</f>
        <v>ENTRADA</v>
      </c>
      <c r="C3411" t="str">
        <f>"DINHEIRO"</f>
        <v>DINHEIRO</v>
      </c>
      <c r="D3411" t="str">
        <f>"19032026"</f>
        <v>19032026</v>
      </c>
      <c r="E3411" t="str">
        <f>""</f>
        <v/>
      </c>
      <c r="F3411" t="str">
        <f t="shared" si="615"/>
        <v>COM</v>
      </c>
      <c r="G3411" t="str">
        <f>"JHONANTAN LACERDA DE JESUS (142)"</f>
        <v>JHONANTAN LACERDA DE JESUS (142)</v>
      </c>
      <c r="H3411" t="s">
        <v>913</v>
      </c>
      <c r="I3411" t="str">
        <f t="shared" si="614"/>
        <v>19/03/2026</v>
      </c>
      <c r="J3411" t="str">
        <f>("19/03/2026")</f>
        <v>19/03/2026</v>
      </c>
      <c r="K3411">
        <v>46100</v>
      </c>
      <c r="N3411">
        <v>108</v>
      </c>
      <c r="O3411" t="s">
        <v>871</v>
      </c>
      <c r="Q3411">
        <v>60</v>
      </c>
      <c r="R3411" t="str">
        <f>"JHONANTAN LACERDA DE JESUS (142)"</f>
        <v>JHONANTAN LACERDA DE JESUS (142)</v>
      </c>
      <c r="S3411" t="s">
        <v>872</v>
      </c>
      <c r="T3411">
        <v>31354</v>
      </c>
      <c r="U3411">
        <v>35712</v>
      </c>
      <c r="V3411" t="s">
        <v>22</v>
      </c>
    </row>
    <row r="3412" spans="1:22">
      <c r="A3412" t="str">
        <f t="shared" si="613"/>
        <v>19/03/2026</v>
      </c>
      <c r="B3412" t="str">
        <f>"SAÍDA"</f>
        <v>SAÍDA</v>
      </c>
      <c r="C3412" t="str">
        <f>"PIX"</f>
        <v>PIX</v>
      </c>
      <c r="D3412" t="str">
        <f>"34583"</f>
        <v>34583</v>
      </c>
      <c r="E3412" t="str">
        <f>"1"</f>
        <v>1</v>
      </c>
      <c r="F3412" t="str">
        <f t="shared" si="615"/>
        <v>COM</v>
      </c>
      <c r="G3412" t="str">
        <f>"JEAN ARAÚJO SANTOS GERMANO (551)"</f>
        <v>JEAN ARAÚJO SANTOS GERMANO (551)</v>
      </c>
      <c r="H3412" t="str">
        <f>"Serv.Prest. 02/03/2026 a 08/03/2026 - PIX: CELULAR - CHAVE: (31) 99812-7173"</f>
        <v>Serv.Prest. 02/03/2026 a 08/03/2026 - PIX: CELULAR - CHAVE: (31) 99812-7173</v>
      </c>
      <c r="I3412" t="str">
        <f t="shared" si="614"/>
        <v>19/03/2026</v>
      </c>
      <c r="J3412" t="str">
        <f>("10/03/2026")</f>
        <v>10/03/2026</v>
      </c>
      <c r="K3412" t="str">
        <f>("19/03/2026")</f>
        <v>19/03/2026</v>
      </c>
      <c r="L3412">
        <v>60</v>
      </c>
      <c r="M3412">
        <v>60</v>
      </c>
      <c r="N3412">
        <v>109</v>
      </c>
      <c r="O3412" t="str">
        <f>"PAGAMENTO DE ENTREGADORES"</f>
        <v>PAGAMENTO DE ENTREGADORES</v>
      </c>
      <c r="P3412">
        <v>60</v>
      </c>
      <c r="S3412" t="str">
        <f>"CAIXA MOVIMENTAÇÃO OPERACIONAL (132)"</f>
        <v>CAIXA MOVIMENTAÇÃO OPERACIONAL (132)</v>
      </c>
      <c r="T3412">
        <v>31355</v>
      </c>
      <c r="U3412">
        <v>35717</v>
      </c>
      <c r="V3412" t="s">
        <v>22</v>
      </c>
    </row>
    <row r="3413" spans="1:22">
      <c r="A3413" t="str">
        <f t="shared" si="613"/>
        <v>19/03/2026</v>
      </c>
      <c r="B3413" t="str">
        <f>"SAÍDA"</f>
        <v>SAÍDA</v>
      </c>
      <c r="C3413" t="str">
        <f>"PIX"</f>
        <v>PIX</v>
      </c>
      <c r="D3413" t="str">
        <f>"34583"</f>
        <v>34583</v>
      </c>
      <c r="E3413" t="str">
        <f>"1"</f>
        <v>1</v>
      </c>
      <c r="F3413" t="str">
        <f t="shared" si="615"/>
        <v>COM</v>
      </c>
      <c r="G3413" t="str">
        <f>"JEAN ARAÚJO SANTOS GERMANO (551)"</f>
        <v>JEAN ARAÚJO SANTOS GERMANO (551)</v>
      </c>
      <c r="H3413" t="s">
        <v>855</v>
      </c>
      <c r="I3413" t="str">
        <f t="shared" si="614"/>
        <v>19/03/2026</v>
      </c>
      <c r="J3413" t="str">
        <f>("10/03/2026")</f>
        <v>10/03/2026</v>
      </c>
      <c r="K3413">
        <v>46100</v>
      </c>
      <c r="N3413">
        <v>109</v>
      </c>
      <c r="O3413" t="s">
        <v>27</v>
      </c>
      <c r="Q3413">
        <v>60</v>
      </c>
      <c r="R3413" t="str">
        <f>"FARMÁCIA INDIANA LJ 142 (10066)"</f>
        <v>FARMÁCIA INDIANA LJ 142 (10066)</v>
      </c>
      <c r="S3413" t="s">
        <v>22</v>
      </c>
      <c r="T3413">
        <v>31355</v>
      </c>
      <c r="U3413">
        <v>35717</v>
      </c>
      <c r="V3413" t="s">
        <v>22</v>
      </c>
    </row>
    <row r="3414" spans="1:22">
      <c r="A3414" t="str">
        <f t="shared" si="613"/>
        <v>19/03/2026</v>
      </c>
      <c r="B3414" t="str">
        <f>"ENTRADA"</f>
        <v>ENTRADA</v>
      </c>
      <c r="C3414" t="str">
        <f>"DINHEIRO"</f>
        <v>DINHEIRO</v>
      </c>
      <c r="D3414" t="str">
        <f>"19032026"</f>
        <v>19032026</v>
      </c>
      <c r="E3414" t="str">
        <f>""</f>
        <v/>
      </c>
      <c r="F3414" t="str">
        <f t="shared" si="615"/>
        <v>COM</v>
      </c>
      <c r="G3414" t="str">
        <f>"JEAN ARAÚJO SANTOS GERMANO (551)"</f>
        <v>JEAN ARAÚJO SANTOS GERMANO (551)</v>
      </c>
      <c r="H3414" t="str">
        <f>"REELMBOLSO CERTIFICADO DIGITAL 1/2"</f>
        <v>REELMBOLSO CERTIFICADO DIGITAL 1/2</v>
      </c>
      <c r="I3414" t="str">
        <f t="shared" si="614"/>
        <v>19/03/2026</v>
      </c>
      <c r="J3414" t="str">
        <f>("19/03/2026")</f>
        <v>19/03/2026</v>
      </c>
      <c r="K3414" t="str">
        <f>("19/03/2026")</f>
        <v>19/03/2026</v>
      </c>
      <c r="L3414">
        <v>60</v>
      </c>
      <c r="M3414">
        <v>60</v>
      </c>
      <c r="N3414">
        <v>108</v>
      </c>
      <c r="O3414" t="str">
        <f>"RECEITAS COM REEMBOLSOS"</f>
        <v>RECEITAS COM REEMBOLSOS</v>
      </c>
      <c r="P3414">
        <v>60</v>
      </c>
      <c r="S3414" t="str">
        <f>"RECEITAS COM REEMBOLSOS (108)"</f>
        <v>RECEITAS COM REEMBOLSOS (108)</v>
      </c>
      <c r="T3414">
        <v>31356</v>
      </c>
      <c r="U3414">
        <v>35715</v>
      </c>
      <c r="V3414" t="s">
        <v>22</v>
      </c>
    </row>
    <row r="3415" spans="1:22">
      <c r="A3415" t="str">
        <f t="shared" si="613"/>
        <v>19/03/2026</v>
      </c>
      <c r="B3415" t="str">
        <f>"ENTRADA"</f>
        <v>ENTRADA</v>
      </c>
      <c r="C3415" t="str">
        <f>"DINHEIRO"</f>
        <v>DINHEIRO</v>
      </c>
      <c r="D3415" t="str">
        <f>"19032026"</f>
        <v>19032026</v>
      </c>
      <c r="E3415" t="str">
        <f>""</f>
        <v/>
      </c>
      <c r="F3415" t="str">
        <f t="shared" si="615"/>
        <v>COM</v>
      </c>
      <c r="G3415" t="str">
        <f>"JEAN ARAÚJO SANTOS GERMANO (551)"</f>
        <v>JEAN ARAÚJO SANTOS GERMANO (551)</v>
      </c>
      <c r="H3415" t="s">
        <v>913</v>
      </c>
      <c r="I3415" t="str">
        <f t="shared" si="614"/>
        <v>19/03/2026</v>
      </c>
      <c r="J3415" t="str">
        <f>("19/03/2026")</f>
        <v>19/03/2026</v>
      </c>
      <c r="K3415">
        <v>46100</v>
      </c>
      <c r="N3415">
        <v>108</v>
      </c>
      <c r="O3415" t="s">
        <v>871</v>
      </c>
      <c r="Q3415">
        <v>60</v>
      </c>
      <c r="R3415" t="str">
        <f>"JEAN ARAÚJO SANTOS GERMANO (551)"</f>
        <v>JEAN ARAÚJO SANTOS GERMANO (551)</v>
      </c>
      <c r="S3415" t="s">
        <v>872</v>
      </c>
      <c r="T3415">
        <v>31356</v>
      </c>
      <c r="U3415">
        <v>35715</v>
      </c>
      <c r="V3415" t="s">
        <v>22</v>
      </c>
    </row>
    <row r="3416" spans="1:22">
      <c r="A3416" t="str">
        <f t="shared" si="613"/>
        <v>19/03/2026</v>
      </c>
      <c r="B3416" t="str">
        <f>"SAÍDA"</f>
        <v>SAÍDA</v>
      </c>
      <c r="C3416" t="str">
        <f>"PIX"</f>
        <v>PIX</v>
      </c>
      <c r="D3416" t="str">
        <f>"34649"</f>
        <v>34649</v>
      </c>
      <c r="E3416" t="str">
        <f>"1"</f>
        <v>1</v>
      </c>
      <c r="F3416" t="str">
        <f t="shared" si="615"/>
        <v>COM</v>
      </c>
      <c r="G3416" t="str">
        <f>"WELLINGTON DOS SANTOS ALVES (438)"</f>
        <v>WELLINGTON DOS SANTOS ALVES (438)</v>
      </c>
      <c r="H3416" t="str">
        <f>"Serv.Prest. 02/03/2026 a 08/03/2026 - PIX: CELULAR - CHAVE: (32) 99800-1691"</f>
        <v>Serv.Prest. 02/03/2026 a 08/03/2026 - PIX: CELULAR - CHAVE: (32) 99800-1691</v>
      </c>
      <c r="I3416" t="str">
        <f t="shared" si="614"/>
        <v>19/03/2026</v>
      </c>
      <c r="J3416" t="str">
        <f>("10/03/2026")</f>
        <v>10/03/2026</v>
      </c>
      <c r="K3416" t="str">
        <f>("19/03/2026")</f>
        <v>19/03/2026</v>
      </c>
      <c r="L3416">
        <v>60</v>
      </c>
      <c r="M3416">
        <v>60</v>
      </c>
      <c r="N3416">
        <v>109</v>
      </c>
      <c r="O3416" t="str">
        <f>"PAGAMENTO DE ENTREGADORES"</f>
        <v>PAGAMENTO DE ENTREGADORES</v>
      </c>
      <c r="P3416">
        <v>60</v>
      </c>
      <c r="S3416" t="str">
        <f>"CAIXA MOVIMENTAÇÃO OPERACIONAL (132)"</f>
        <v>CAIXA MOVIMENTAÇÃO OPERACIONAL (132)</v>
      </c>
      <c r="T3416">
        <v>31357</v>
      </c>
      <c r="U3416">
        <v>35720</v>
      </c>
      <c r="V3416" t="s">
        <v>22</v>
      </c>
    </row>
    <row r="3417" spans="1:22">
      <c r="A3417" t="str">
        <f t="shared" si="613"/>
        <v>19/03/2026</v>
      </c>
      <c r="B3417" t="str">
        <f>"SAÍDA"</f>
        <v>SAÍDA</v>
      </c>
      <c r="C3417" t="str">
        <f>"PIX"</f>
        <v>PIX</v>
      </c>
      <c r="D3417" t="str">
        <f>"34649"</f>
        <v>34649</v>
      </c>
      <c r="E3417" t="str">
        <f>"1"</f>
        <v>1</v>
      </c>
      <c r="F3417" t="str">
        <f t="shared" si="615"/>
        <v>COM</v>
      </c>
      <c r="G3417" t="str">
        <f>"WELLINGTON DOS SANTOS ALVES (438)"</f>
        <v>WELLINGTON DOS SANTOS ALVES (438)</v>
      </c>
      <c r="H3417" t="s">
        <v>865</v>
      </c>
      <c r="I3417" t="str">
        <f t="shared" si="614"/>
        <v>19/03/2026</v>
      </c>
      <c r="J3417" t="str">
        <f>("10/03/2026")</f>
        <v>10/03/2026</v>
      </c>
      <c r="K3417">
        <v>46100</v>
      </c>
      <c r="N3417">
        <v>109</v>
      </c>
      <c r="O3417" t="s">
        <v>27</v>
      </c>
      <c r="Q3417">
        <v>60</v>
      </c>
      <c r="R3417" t="str">
        <f>"FARMÁCIA INDIANA LJ 121 (10054)"</f>
        <v>FARMÁCIA INDIANA LJ 121 (10054)</v>
      </c>
      <c r="S3417" t="s">
        <v>22</v>
      </c>
      <c r="T3417">
        <v>31357</v>
      </c>
      <c r="U3417">
        <v>35720</v>
      </c>
      <c r="V3417" t="s">
        <v>22</v>
      </c>
    </row>
    <row r="3418" spans="1:22">
      <c r="A3418" t="str">
        <f t="shared" si="613"/>
        <v>19/03/2026</v>
      </c>
      <c r="B3418" t="str">
        <f>"ENTRADA"</f>
        <v>ENTRADA</v>
      </c>
      <c r="C3418" t="str">
        <f>"DINHEIRO"</f>
        <v>DINHEIRO</v>
      </c>
      <c r="D3418" t="str">
        <f>"19032026"</f>
        <v>19032026</v>
      </c>
      <c r="E3418" t="str">
        <f>""</f>
        <v/>
      </c>
      <c r="F3418" t="str">
        <f t="shared" si="615"/>
        <v>COM</v>
      </c>
      <c r="G3418" t="str">
        <f>"WELLINGTON DOS SANTOS ALVES (438)"</f>
        <v>WELLINGTON DOS SANTOS ALVES (438)</v>
      </c>
      <c r="H3418" t="str">
        <f>"REELMBOLSO CERTIFICADO DIGITAL 1/2"</f>
        <v>REELMBOLSO CERTIFICADO DIGITAL 1/2</v>
      </c>
      <c r="I3418" t="str">
        <f t="shared" si="614"/>
        <v>19/03/2026</v>
      </c>
      <c r="J3418" t="str">
        <f>("19/03/2026")</f>
        <v>19/03/2026</v>
      </c>
      <c r="K3418" t="str">
        <f>("19/03/2026")</f>
        <v>19/03/2026</v>
      </c>
      <c r="L3418">
        <v>60</v>
      </c>
      <c r="M3418">
        <v>60</v>
      </c>
      <c r="N3418">
        <v>108</v>
      </c>
      <c r="O3418" t="str">
        <f>"RECEITAS COM REEMBOLSOS"</f>
        <v>RECEITAS COM REEMBOLSOS</v>
      </c>
      <c r="P3418">
        <v>60</v>
      </c>
      <c r="S3418" t="str">
        <f>"RECEITAS COM REEMBOLSOS (108)"</f>
        <v>RECEITAS COM REEMBOLSOS (108)</v>
      </c>
      <c r="T3418">
        <v>31358</v>
      </c>
      <c r="U3418">
        <v>35718</v>
      </c>
      <c r="V3418" t="s">
        <v>22</v>
      </c>
    </row>
    <row r="3419" spans="1:22">
      <c r="A3419" t="str">
        <f t="shared" si="613"/>
        <v>19/03/2026</v>
      </c>
      <c r="B3419" t="str">
        <f>"ENTRADA"</f>
        <v>ENTRADA</v>
      </c>
      <c r="C3419" t="str">
        <f>"DINHEIRO"</f>
        <v>DINHEIRO</v>
      </c>
      <c r="D3419" t="str">
        <f>"19032026"</f>
        <v>19032026</v>
      </c>
      <c r="E3419" t="str">
        <f>""</f>
        <v/>
      </c>
      <c r="F3419" t="str">
        <f t="shared" si="615"/>
        <v>COM</v>
      </c>
      <c r="G3419" t="str">
        <f>"WELLINGTON DOS SANTOS ALVES (438)"</f>
        <v>WELLINGTON DOS SANTOS ALVES (438)</v>
      </c>
      <c r="H3419" t="s">
        <v>913</v>
      </c>
      <c r="I3419" t="str">
        <f t="shared" si="614"/>
        <v>19/03/2026</v>
      </c>
      <c r="J3419" t="str">
        <f>("19/03/2026")</f>
        <v>19/03/2026</v>
      </c>
      <c r="K3419">
        <v>46100</v>
      </c>
      <c r="N3419">
        <v>108</v>
      </c>
      <c r="O3419" t="s">
        <v>871</v>
      </c>
      <c r="Q3419">
        <v>60</v>
      </c>
      <c r="R3419" t="str">
        <f>"WELLINGTON DOS SANTOS ALVES (438)"</f>
        <v>WELLINGTON DOS SANTOS ALVES (438)</v>
      </c>
      <c r="S3419" t="s">
        <v>872</v>
      </c>
      <c r="T3419">
        <v>31358</v>
      </c>
      <c r="U3419">
        <v>35718</v>
      </c>
      <c r="V3419" t="s">
        <v>22</v>
      </c>
    </row>
    <row r="3420" spans="1:22">
      <c r="A3420" t="str">
        <f t="shared" si="613"/>
        <v>19/03/2026</v>
      </c>
      <c r="B3420" t="str">
        <f>"SAÍDA"</f>
        <v>SAÍDA</v>
      </c>
      <c r="C3420" t="str">
        <f>"PIX"</f>
        <v>PIX</v>
      </c>
      <c r="D3420" t="str">
        <f>"34925"</f>
        <v>34925</v>
      </c>
      <c r="E3420" t="str">
        <f>"1"</f>
        <v>1</v>
      </c>
      <c r="F3420" t="str">
        <f t="shared" si="615"/>
        <v>COM</v>
      </c>
      <c r="G3420" t="str">
        <f>"FLÁVIO VICTOR NUNES DA SILVA SANTOS (1142)"</f>
        <v>FLÁVIO VICTOR NUNES DA SILVA SANTOS (1142)</v>
      </c>
      <c r="H3420" t="str">
        <f>"Serv.Prest. 09/03/2026 a 15/03/2026 - PIX: E-MAIL - CHAVE: flaviovictorxiaomi@gmail.com"</f>
        <v>Serv.Prest. 09/03/2026 a 15/03/2026 - PIX: E-MAIL - CHAVE: flaviovictorxiaomi@gmail.com</v>
      </c>
      <c r="I3420" t="str">
        <f t="shared" si="614"/>
        <v>19/03/2026</v>
      </c>
      <c r="J3420" t="str">
        <f>("16/03/2026")</f>
        <v>16/03/2026</v>
      </c>
      <c r="K3420" t="str">
        <f>("19/03/2026")</f>
        <v>19/03/2026</v>
      </c>
      <c r="L3420">
        <v>60</v>
      </c>
      <c r="M3420">
        <v>60</v>
      </c>
      <c r="N3420">
        <v>109</v>
      </c>
      <c r="O3420" t="str">
        <f>"PAGAMENTO DE ENTREGADORES"</f>
        <v>PAGAMENTO DE ENTREGADORES</v>
      </c>
      <c r="P3420">
        <v>60</v>
      </c>
      <c r="S3420" t="str">
        <f>"CAIXA MOVIMENTAÇÃO OPERACIONAL (132)"</f>
        <v>CAIXA MOVIMENTAÇÃO OPERACIONAL (132)</v>
      </c>
      <c r="T3420">
        <v>31359</v>
      </c>
      <c r="U3420">
        <v>35723</v>
      </c>
      <c r="V3420" t="s">
        <v>22</v>
      </c>
    </row>
    <row r="3421" spans="1:22">
      <c r="A3421" t="str">
        <f t="shared" si="613"/>
        <v>19/03/2026</v>
      </c>
      <c r="B3421" t="str">
        <f>"SAÍDA"</f>
        <v>SAÍDA</v>
      </c>
      <c r="C3421" t="str">
        <f>"PIX"</f>
        <v>PIX</v>
      </c>
      <c r="D3421" t="str">
        <f>"34925"</f>
        <v>34925</v>
      </c>
      <c r="E3421" t="str">
        <f>"1"</f>
        <v>1</v>
      </c>
      <c r="F3421" t="str">
        <f t="shared" si="615"/>
        <v>COM</v>
      </c>
      <c r="G3421" t="str">
        <f>"FLÁVIO VICTOR NUNES DA SILVA SANTOS (1142)"</f>
        <v>FLÁVIO VICTOR NUNES DA SILVA SANTOS (1142)</v>
      </c>
      <c r="H3421" t="s">
        <v>986</v>
      </c>
      <c r="I3421" t="str">
        <f t="shared" si="614"/>
        <v>19/03/2026</v>
      </c>
      <c r="J3421" t="str">
        <f>("16/03/2026")</f>
        <v>16/03/2026</v>
      </c>
      <c r="K3421">
        <v>46100</v>
      </c>
      <c r="N3421">
        <v>109</v>
      </c>
      <c r="O3421" t="s">
        <v>27</v>
      </c>
      <c r="Q3421">
        <v>60</v>
      </c>
      <c r="R3421" t="str">
        <f>"DROGARIA VAZ (10179)"</f>
        <v>DROGARIA VAZ (10179)</v>
      </c>
      <c r="S3421" t="s">
        <v>22</v>
      </c>
      <c r="T3421">
        <v>31359</v>
      </c>
      <c r="U3421">
        <v>35723</v>
      </c>
      <c r="V3421" t="s">
        <v>22</v>
      </c>
    </row>
    <row r="3422" spans="1:22">
      <c r="A3422" t="str">
        <f t="shared" si="613"/>
        <v>19/03/2026</v>
      </c>
      <c r="B3422" t="str">
        <f>"ENTRADA"</f>
        <v>ENTRADA</v>
      </c>
      <c r="C3422" t="str">
        <f>"DINHEIRO"</f>
        <v>DINHEIRO</v>
      </c>
      <c r="D3422" t="str">
        <f>"19032026"</f>
        <v>19032026</v>
      </c>
      <c r="E3422" t="str">
        <f>""</f>
        <v/>
      </c>
      <c r="F3422" t="str">
        <f t="shared" si="615"/>
        <v>COM</v>
      </c>
      <c r="G3422" t="str">
        <f>"FLÁVIO VICTOR NUNES DA SILVA SANTOS (1142)"</f>
        <v>FLÁVIO VICTOR NUNES DA SILVA SANTOS (1142)</v>
      </c>
      <c r="H3422" t="str">
        <f>"REELMBOLSO CERTIFICADO DIGITAL 1/2"</f>
        <v>REELMBOLSO CERTIFICADO DIGITAL 1/2</v>
      </c>
      <c r="I3422" t="str">
        <f t="shared" si="614"/>
        <v>19/03/2026</v>
      </c>
      <c r="J3422" t="str">
        <f>("19/03/2026")</f>
        <v>19/03/2026</v>
      </c>
      <c r="K3422" t="str">
        <f>("19/03/2026")</f>
        <v>19/03/2026</v>
      </c>
      <c r="L3422">
        <v>60</v>
      </c>
      <c r="M3422">
        <v>60</v>
      </c>
      <c r="N3422">
        <v>108</v>
      </c>
      <c r="O3422" t="str">
        <f>"RECEITAS COM REEMBOLSOS"</f>
        <v>RECEITAS COM REEMBOLSOS</v>
      </c>
      <c r="P3422">
        <v>60</v>
      </c>
      <c r="S3422" t="str">
        <f>"RECEITAS COM REEMBOLSOS (108)"</f>
        <v>RECEITAS COM REEMBOLSOS (108)</v>
      </c>
      <c r="T3422">
        <v>31360</v>
      </c>
      <c r="U3422">
        <v>35721</v>
      </c>
      <c r="V3422" t="s">
        <v>22</v>
      </c>
    </row>
    <row r="3423" spans="1:22">
      <c r="A3423" t="str">
        <f t="shared" si="613"/>
        <v>19/03/2026</v>
      </c>
      <c r="B3423" t="str">
        <f>"ENTRADA"</f>
        <v>ENTRADA</v>
      </c>
      <c r="C3423" t="str">
        <f>"DINHEIRO"</f>
        <v>DINHEIRO</v>
      </c>
      <c r="D3423" t="str">
        <f>"19032026"</f>
        <v>19032026</v>
      </c>
      <c r="E3423" t="str">
        <f>""</f>
        <v/>
      </c>
      <c r="F3423" t="str">
        <f t="shared" si="615"/>
        <v>COM</v>
      </c>
      <c r="G3423" t="str">
        <f>"FLÁVIO VICTOR NUNES DA SILVA SANTOS (1142)"</f>
        <v>FLÁVIO VICTOR NUNES DA SILVA SANTOS (1142)</v>
      </c>
      <c r="H3423" t="s">
        <v>913</v>
      </c>
      <c r="I3423" t="str">
        <f t="shared" si="614"/>
        <v>19/03/2026</v>
      </c>
      <c r="J3423" t="str">
        <f>("19/03/2026")</f>
        <v>19/03/2026</v>
      </c>
      <c r="K3423">
        <v>46100</v>
      </c>
      <c r="N3423">
        <v>108</v>
      </c>
      <c r="O3423" t="s">
        <v>871</v>
      </c>
      <c r="Q3423">
        <v>60</v>
      </c>
      <c r="R3423" t="str">
        <f>"FLÁVIO VICTOR NUNES DA SILVA SANTOS (1142)"</f>
        <v>FLÁVIO VICTOR NUNES DA SILVA SANTOS (1142)</v>
      </c>
      <c r="S3423" t="s">
        <v>872</v>
      </c>
      <c r="T3423">
        <v>31360</v>
      </c>
      <c r="U3423">
        <v>35721</v>
      </c>
      <c r="V3423" t="s">
        <v>22</v>
      </c>
    </row>
    <row r="3424" spans="1:22">
      <c r="A3424" t="str">
        <f t="shared" si="613"/>
        <v>19/03/2026</v>
      </c>
      <c r="B3424" t="str">
        <f>"SAÍDA"</f>
        <v>SAÍDA</v>
      </c>
      <c r="C3424" t="str">
        <f>"PIX"</f>
        <v>PIX</v>
      </c>
      <c r="D3424" t="str">
        <f>"34946"</f>
        <v>34946</v>
      </c>
      <c r="E3424" t="str">
        <f>"1"</f>
        <v>1</v>
      </c>
      <c r="F3424" t="str">
        <f t="shared" si="615"/>
        <v>COM</v>
      </c>
      <c r="G3424" t="str">
        <f>"CLAUDIO DOS SANTOS (507)"</f>
        <v>CLAUDIO DOS SANTOS (507)</v>
      </c>
      <c r="H3424" t="str">
        <f>"Serv.Prest. 09/03/2026 a 15/03/2026 - PIX: E-MAIL - CHAVE: claudioverdinho2009@hotmail.com"</f>
        <v>Serv.Prest. 09/03/2026 a 15/03/2026 - PIX: E-MAIL - CHAVE: claudioverdinho2009@hotmail.com</v>
      </c>
      <c r="I3424" t="str">
        <f t="shared" si="614"/>
        <v>19/03/2026</v>
      </c>
      <c r="J3424" t="str">
        <f>("16/03/2026")</f>
        <v>16/03/2026</v>
      </c>
      <c r="K3424" t="str">
        <f>("19/03/2026")</f>
        <v>19/03/2026</v>
      </c>
      <c r="L3424">
        <v>60</v>
      </c>
      <c r="M3424">
        <v>60</v>
      </c>
      <c r="N3424">
        <v>109</v>
      </c>
      <c r="O3424" t="str">
        <f>"PAGAMENTO DE ENTREGADORES"</f>
        <v>PAGAMENTO DE ENTREGADORES</v>
      </c>
      <c r="P3424">
        <v>60</v>
      </c>
      <c r="S3424" t="str">
        <f>"CAIXA MOVIMENTAÇÃO OPERACIONAL (132)"</f>
        <v>CAIXA MOVIMENTAÇÃO OPERACIONAL (132)</v>
      </c>
      <c r="T3424">
        <v>31361</v>
      </c>
      <c r="U3424">
        <v>35726</v>
      </c>
      <c r="V3424" t="s">
        <v>22</v>
      </c>
    </row>
    <row r="3425" spans="1:22">
      <c r="A3425" t="str">
        <f t="shared" si="613"/>
        <v>19/03/2026</v>
      </c>
      <c r="B3425" t="str">
        <f>"SAÍDA"</f>
        <v>SAÍDA</v>
      </c>
      <c r="C3425" t="str">
        <f>"PIX"</f>
        <v>PIX</v>
      </c>
      <c r="D3425" t="str">
        <f>"34946"</f>
        <v>34946</v>
      </c>
      <c r="E3425" t="str">
        <f>"1"</f>
        <v>1</v>
      </c>
      <c r="F3425" t="str">
        <f t="shared" si="615"/>
        <v>COM</v>
      </c>
      <c r="G3425" t="str">
        <f>"CLAUDIO DOS SANTOS (507)"</f>
        <v>CLAUDIO DOS SANTOS (507)</v>
      </c>
      <c r="H3425" t="s">
        <v>844</v>
      </c>
      <c r="I3425" t="str">
        <f t="shared" si="614"/>
        <v>19/03/2026</v>
      </c>
      <c r="J3425" t="str">
        <f>("16/03/2026")</f>
        <v>16/03/2026</v>
      </c>
      <c r="K3425">
        <v>46100</v>
      </c>
      <c r="N3425">
        <v>109</v>
      </c>
      <c r="O3425" t="s">
        <v>27</v>
      </c>
      <c r="Q3425">
        <v>60</v>
      </c>
      <c r="R3425" t="str">
        <f>"JAL FARMACIA E DROGARIA LJ 1 (10137)"</f>
        <v>JAL FARMACIA E DROGARIA LJ 1 (10137)</v>
      </c>
      <c r="S3425" t="s">
        <v>22</v>
      </c>
      <c r="T3425">
        <v>31361</v>
      </c>
      <c r="U3425">
        <v>35726</v>
      </c>
      <c r="V3425" t="s">
        <v>22</v>
      </c>
    </row>
    <row r="3426" spans="1:22">
      <c r="A3426" t="str">
        <f t="shared" si="613"/>
        <v>19/03/2026</v>
      </c>
      <c r="B3426" t="str">
        <f>"ENTRADA"</f>
        <v>ENTRADA</v>
      </c>
      <c r="C3426" t="str">
        <f>"DINHEIRO"</f>
        <v>DINHEIRO</v>
      </c>
      <c r="D3426" t="str">
        <f>"19032026"</f>
        <v>19032026</v>
      </c>
      <c r="E3426" t="str">
        <f>""</f>
        <v/>
      </c>
      <c r="F3426" t="str">
        <f t="shared" si="615"/>
        <v>COM</v>
      </c>
      <c r="G3426" t="str">
        <f>"CLAUDIO DOS SANTOS (507)"</f>
        <v>CLAUDIO DOS SANTOS (507)</v>
      </c>
      <c r="H3426" t="str">
        <f>"REELMBOLSO CERTIFICADO DIGITAL 1/2"</f>
        <v>REELMBOLSO CERTIFICADO DIGITAL 1/2</v>
      </c>
      <c r="I3426" t="str">
        <f t="shared" si="614"/>
        <v>19/03/2026</v>
      </c>
      <c r="J3426" t="str">
        <f>("19/03/2026")</f>
        <v>19/03/2026</v>
      </c>
      <c r="K3426" t="str">
        <f>("19/03/2026")</f>
        <v>19/03/2026</v>
      </c>
      <c r="L3426">
        <v>60</v>
      </c>
      <c r="M3426">
        <v>60</v>
      </c>
      <c r="N3426">
        <v>108</v>
      </c>
      <c r="O3426" t="str">
        <f>"RECEITAS COM REEMBOLSOS"</f>
        <v>RECEITAS COM REEMBOLSOS</v>
      </c>
      <c r="P3426">
        <v>60</v>
      </c>
      <c r="S3426" t="str">
        <f>"RECEITAS COM REEMBOLSOS (108)"</f>
        <v>RECEITAS COM REEMBOLSOS (108)</v>
      </c>
      <c r="T3426">
        <v>31362</v>
      </c>
      <c r="U3426">
        <v>35724</v>
      </c>
      <c r="V3426" t="s">
        <v>22</v>
      </c>
    </row>
    <row r="3427" spans="1:22">
      <c r="A3427" t="str">
        <f t="shared" si="613"/>
        <v>19/03/2026</v>
      </c>
      <c r="B3427" t="str">
        <f>"ENTRADA"</f>
        <v>ENTRADA</v>
      </c>
      <c r="C3427" t="str">
        <f>"DINHEIRO"</f>
        <v>DINHEIRO</v>
      </c>
      <c r="D3427" t="str">
        <f>"19032026"</f>
        <v>19032026</v>
      </c>
      <c r="E3427" t="str">
        <f>""</f>
        <v/>
      </c>
      <c r="F3427" t="str">
        <f t="shared" si="615"/>
        <v>COM</v>
      </c>
      <c r="G3427" t="str">
        <f>"CLAUDIO DOS SANTOS (507)"</f>
        <v>CLAUDIO DOS SANTOS (507)</v>
      </c>
      <c r="H3427" t="s">
        <v>913</v>
      </c>
      <c r="I3427" t="str">
        <f t="shared" si="614"/>
        <v>19/03/2026</v>
      </c>
      <c r="J3427" t="str">
        <f>("19/03/2026")</f>
        <v>19/03/2026</v>
      </c>
      <c r="K3427">
        <v>46100</v>
      </c>
      <c r="N3427">
        <v>108</v>
      </c>
      <c r="O3427" t="s">
        <v>871</v>
      </c>
      <c r="Q3427">
        <v>60</v>
      </c>
      <c r="R3427" t="str">
        <f>"CLAUDIO DOS SANTOS (507)"</f>
        <v>CLAUDIO DOS SANTOS (507)</v>
      </c>
      <c r="S3427" t="s">
        <v>872</v>
      </c>
      <c r="T3427">
        <v>31362</v>
      </c>
      <c r="U3427">
        <v>35724</v>
      </c>
      <c r="V3427" t="s">
        <v>22</v>
      </c>
    </row>
    <row r="3428" spans="1:22">
      <c r="A3428" t="str">
        <f t="shared" si="613"/>
        <v>19/03/2026</v>
      </c>
      <c r="B3428" t="str">
        <f>"SAÍDA"</f>
        <v>SAÍDA</v>
      </c>
      <c r="C3428" t="str">
        <f>"PIX"</f>
        <v>PIX</v>
      </c>
      <c r="D3428" t="str">
        <f>"34499"</f>
        <v>34499</v>
      </c>
      <c r="E3428" t="str">
        <f>"1"</f>
        <v>1</v>
      </c>
      <c r="F3428" t="str">
        <f t="shared" si="615"/>
        <v>COM</v>
      </c>
      <c r="G3428" t="str">
        <f>"GILSON OLIVEIRA CAMPINHO JUNIOR (132)"</f>
        <v>GILSON OLIVEIRA CAMPINHO JUNIOR (132)</v>
      </c>
      <c r="H3428" t="str">
        <f>"Serv.Prest. 02/03/2026 a 08/03/2026 - PIX: CELULAR - CHAVE: (73) 988381077"</f>
        <v>Serv.Prest. 02/03/2026 a 08/03/2026 - PIX: CELULAR - CHAVE: (73) 988381077</v>
      </c>
      <c r="I3428" t="str">
        <f t="shared" si="614"/>
        <v>19/03/2026</v>
      </c>
      <c r="J3428" t="str">
        <f>("10/03/2026")</f>
        <v>10/03/2026</v>
      </c>
      <c r="K3428" t="str">
        <f>("19/03/2026")</f>
        <v>19/03/2026</v>
      </c>
      <c r="L3428">
        <v>60</v>
      </c>
      <c r="M3428">
        <v>60</v>
      </c>
      <c r="N3428">
        <v>109</v>
      </c>
      <c r="O3428" t="str">
        <f>"PAGAMENTO DE ENTREGADORES"</f>
        <v>PAGAMENTO DE ENTREGADORES</v>
      </c>
      <c r="P3428">
        <v>60</v>
      </c>
      <c r="S3428" t="str">
        <f>"CAIXA MOVIMENTAÇÃO OPERACIONAL (132)"</f>
        <v>CAIXA MOVIMENTAÇÃO OPERACIONAL (132)</v>
      </c>
      <c r="T3428">
        <v>31363</v>
      </c>
      <c r="U3428">
        <v>35729</v>
      </c>
      <c r="V3428" t="s">
        <v>22</v>
      </c>
    </row>
    <row r="3429" spans="1:22">
      <c r="A3429" t="str">
        <f t="shared" si="613"/>
        <v>19/03/2026</v>
      </c>
      <c r="B3429" t="str">
        <f>"SAÍDA"</f>
        <v>SAÍDA</v>
      </c>
      <c r="C3429" t="str">
        <f>"PIX"</f>
        <v>PIX</v>
      </c>
      <c r="D3429" t="str">
        <f>"34499"</f>
        <v>34499</v>
      </c>
      <c r="E3429" t="str">
        <f>"1"</f>
        <v>1</v>
      </c>
      <c r="F3429" t="str">
        <f t="shared" si="615"/>
        <v>COM</v>
      </c>
      <c r="G3429" t="str">
        <f>"GILSON OLIVEIRA CAMPINHO JUNIOR (132)"</f>
        <v>GILSON OLIVEIRA CAMPINHO JUNIOR (132)</v>
      </c>
      <c r="H3429" t="s">
        <v>905</v>
      </c>
      <c r="I3429" t="str">
        <f t="shared" si="614"/>
        <v>19/03/2026</v>
      </c>
      <c r="J3429" t="str">
        <f>("10/03/2026")</f>
        <v>10/03/2026</v>
      </c>
      <c r="K3429">
        <v>46100</v>
      </c>
      <c r="N3429">
        <v>109</v>
      </c>
      <c r="O3429" t="s">
        <v>27</v>
      </c>
      <c r="Q3429">
        <v>60</v>
      </c>
      <c r="R3429" t="str">
        <f>"FARMÁCIA INDIANA LJ 91 (10037)"</f>
        <v>FARMÁCIA INDIANA LJ 91 (10037)</v>
      </c>
      <c r="S3429" t="s">
        <v>22</v>
      </c>
      <c r="T3429">
        <v>31363</v>
      </c>
      <c r="U3429">
        <v>35729</v>
      </c>
      <c r="V3429" t="s">
        <v>22</v>
      </c>
    </row>
    <row r="3430" spans="1:22">
      <c r="A3430" t="str">
        <f t="shared" si="613"/>
        <v>19/03/2026</v>
      </c>
      <c r="B3430" t="str">
        <f>"ENTRADA"</f>
        <v>ENTRADA</v>
      </c>
      <c r="C3430" t="str">
        <f>"DINHEIRO"</f>
        <v>DINHEIRO</v>
      </c>
      <c r="D3430" t="str">
        <f>"19032026"</f>
        <v>19032026</v>
      </c>
      <c r="E3430" t="str">
        <f>""</f>
        <v/>
      </c>
      <c r="F3430" t="str">
        <f t="shared" si="615"/>
        <v>COM</v>
      </c>
      <c r="G3430" t="str">
        <f>"GILSON OLIVEIRA CAMPINHO JUNIOR (132)"</f>
        <v>GILSON OLIVEIRA CAMPINHO JUNIOR (132)</v>
      </c>
      <c r="H3430" t="str">
        <f>"REELMBOLSO CERTIFICADO DIGITAL 1/2"</f>
        <v>REELMBOLSO CERTIFICADO DIGITAL 1/2</v>
      </c>
      <c r="I3430" t="str">
        <f t="shared" si="614"/>
        <v>19/03/2026</v>
      </c>
      <c r="J3430" t="str">
        <f>("19/03/2026")</f>
        <v>19/03/2026</v>
      </c>
      <c r="K3430" t="str">
        <f>("19/03/2026")</f>
        <v>19/03/2026</v>
      </c>
      <c r="L3430">
        <v>60</v>
      </c>
      <c r="M3430">
        <v>60</v>
      </c>
      <c r="N3430">
        <v>108</v>
      </c>
      <c r="O3430" t="str">
        <f>"RECEITAS COM REEMBOLSOS"</f>
        <v>RECEITAS COM REEMBOLSOS</v>
      </c>
      <c r="P3430">
        <v>60</v>
      </c>
      <c r="S3430" t="str">
        <f>"RECEITAS COM REEMBOLSOS (108)"</f>
        <v>RECEITAS COM REEMBOLSOS (108)</v>
      </c>
      <c r="T3430">
        <v>31364</v>
      </c>
      <c r="U3430">
        <v>35727</v>
      </c>
      <c r="V3430" t="s">
        <v>22</v>
      </c>
    </row>
    <row r="3431" spans="1:22">
      <c r="A3431" t="str">
        <f t="shared" si="613"/>
        <v>19/03/2026</v>
      </c>
      <c r="B3431" t="str">
        <f>"ENTRADA"</f>
        <v>ENTRADA</v>
      </c>
      <c r="C3431" t="str">
        <f>"DINHEIRO"</f>
        <v>DINHEIRO</v>
      </c>
      <c r="D3431" t="str">
        <f>"19032026"</f>
        <v>19032026</v>
      </c>
      <c r="E3431" t="str">
        <f>""</f>
        <v/>
      </c>
      <c r="F3431" t="str">
        <f t="shared" si="615"/>
        <v>COM</v>
      </c>
      <c r="G3431" t="str">
        <f>"GILSON OLIVEIRA CAMPINHO JUNIOR (132)"</f>
        <v>GILSON OLIVEIRA CAMPINHO JUNIOR (132)</v>
      </c>
      <c r="H3431" t="s">
        <v>913</v>
      </c>
      <c r="I3431" t="str">
        <f t="shared" si="614"/>
        <v>19/03/2026</v>
      </c>
      <c r="J3431" t="str">
        <f>("19/03/2026")</f>
        <v>19/03/2026</v>
      </c>
      <c r="K3431">
        <v>46100</v>
      </c>
      <c r="N3431">
        <v>108</v>
      </c>
      <c r="O3431" t="s">
        <v>871</v>
      </c>
      <c r="Q3431">
        <v>60</v>
      </c>
      <c r="R3431" t="str">
        <f>"GILSON OLIVEIRA CAMPINHO JUNIOR (132)"</f>
        <v>GILSON OLIVEIRA CAMPINHO JUNIOR (132)</v>
      </c>
      <c r="S3431" t="s">
        <v>872</v>
      </c>
      <c r="T3431">
        <v>31364</v>
      </c>
      <c r="U3431">
        <v>35727</v>
      </c>
      <c r="V3431" t="s">
        <v>22</v>
      </c>
    </row>
    <row r="3432" spans="1:22">
      <c r="A3432" t="str">
        <f t="shared" si="613"/>
        <v>19/03/2026</v>
      </c>
      <c r="B3432" t="str">
        <f>"SAÍDA"</f>
        <v>SAÍDA</v>
      </c>
      <c r="C3432" t="str">
        <f>"PIX"</f>
        <v>PIX</v>
      </c>
      <c r="D3432" t="str">
        <f>"34511"</f>
        <v>34511</v>
      </c>
      <c r="E3432" t="str">
        <f>"1"</f>
        <v>1</v>
      </c>
      <c r="F3432" t="str">
        <f t="shared" si="615"/>
        <v>COM</v>
      </c>
      <c r="G3432" t="str">
        <f>"LUCAS MOREIRA PEREIRA (153)"</f>
        <v>LUCAS MOREIRA PEREIRA (153)</v>
      </c>
      <c r="H3432" t="str">
        <f>"Serv.Prest. 02/03/2026 a 08/03/2026 - PIX: CNPJ - CHAVE: 65.104.813/0001-77"</f>
        <v>Serv.Prest. 02/03/2026 a 08/03/2026 - PIX: CNPJ - CHAVE: 65.104.813/0001-77</v>
      </c>
      <c r="I3432" t="str">
        <f t="shared" si="614"/>
        <v>19/03/2026</v>
      </c>
      <c r="J3432" t="str">
        <f>("10/03/2026")</f>
        <v>10/03/2026</v>
      </c>
      <c r="K3432" t="str">
        <f>("19/03/2026")</f>
        <v>19/03/2026</v>
      </c>
      <c r="L3432">
        <v>60</v>
      </c>
      <c r="M3432">
        <v>60</v>
      </c>
      <c r="N3432">
        <v>109</v>
      </c>
      <c r="O3432" t="str">
        <f>"PAGAMENTO DE ENTREGADORES"</f>
        <v>PAGAMENTO DE ENTREGADORES</v>
      </c>
      <c r="P3432">
        <v>60</v>
      </c>
      <c r="S3432" t="str">
        <f>"CAIXA MOVIMENTAÇÃO OPERACIONAL (132)"</f>
        <v>CAIXA MOVIMENTAÇÃO OPERACIONAL (132)</v>
      </c>
      <c r="T3432">
        <v>31365</v>
      </c>
      <c r="U3432">
        <v>35732</v>
      </c>
      <c r="V3432" t="s">
        <v>22</v>
      </c>
    </row>
    <row r="3433" spans="1:22">
      <c r="A3433" t="str">
        <f t="shared" si="613"/>
        <v>19/03/2026</v>
      </c>
      <c r="B3433" t="str">
        <f>"SAÍDA"</f>
        <v>SAÍDA</v>
      </c>
      <c r="C3433" t="str">
        <f>"PIX"</f>
        <v>PIX</v>
      </c>
      <c r="D3433" t="str">
        <f>"34511"</f>
        <v>34511</v>
      </c>
      <c r="E3433" t="str">
        <f>"1"</f>
        <v>1</v>
      </c>
      <c r="F3433" t="str">
        <f t="shared" si="615"/>
        <v>COM</v>
      </c>
      <c r="G3433" t="str">
        <f>"LUCAS MOREIRA PEREIRA (153)"</f>
        <v>LUCAS MOREIRA PEREIRA (153)</v>
      </c>
      <c r="H3433" t="s">
        <v>987</v>
      </c>
      <c r="I3433" t="str">
        <f t="shared" si="614"/>
        <v>19/03/2026</v>
      </c>
      <c r="J3433" t="str">
        <f>("10/03/2026")</f>
        <v>10/03/2026</v>
      </c>
      <c r="K3433">
        <v>46100</v>
      </c>
      <c r="N3433">
        <v>109</v>
      </c>
      <c r="O3433" t="s">
        <v>27</v>
      </c>
      <c r="Q3433">
        <v>60</v>
      </c>
      <c r="R3433" t="str">
        <f>"FARMÁCIA INDIANA LJ 48 (10018)"</f>
        <v>FARMÁCIA INDIANA LJ 48 (10018)</v>
      </c>
      <c r="S3433" t="s">
        <v>22</v>
      </c>
      <c r="T3433">
        <v>31365</v>
      </c>
      <c r="U3433">
        <v>35732</v>
      </c>
      <c r="V3433" t="s">
        <v>22</v>
      </c>
    </row>
    <row r="3434" spans="1:22">
      <c r="A3434" t="str">
        <f t="shared" si="613"/>
        <v>19/03/2026</v>
      </c>
      <c r="B3434" t="str">
        <f>"ENTRADA"</f>
        <v>ENTRADA</v>
      </c>
      <c r="C3434" t="str">
        <f>"DINHEIRO"</f>
        <v>DINHEIRO</v>
      </c>
      <c r="D3434" t="str">
        <f>"19032026"</f>
        <v>19032026</v>
      </c>
      <c r="E3434" t="str">
        <f>""</f>
        <v/>
      </c>
      <c r="F3434" t="str">
        <f t="shared" si="615"/>
        <v>COM</v>
      </c>
      <c r="G3434" t="str">
        <f>"LUCAS MOREIRA PEREIRA (153)"</f>
        <v>LUCAS MOREIRA PEREIRA (153)</v>
      </c>
      <c r="H3434" t="str">
        <f>"REELMBOLSO CERTIFICADO DIGITAL 1/2"</f>
        <v>REELMBOLSO CERTIFICADO DIGITAL 1/2</v>
      </c>
      <c r="I3434" t="str">
        <f t="shared" si="614"/>
        <v>19/03/2026</v>
      </c>
      <c r="J3434" t="str">
        <f>("19/03/2026")</f>
        <v>19/03/2026</v>
      </c>
      <c r="K3434" t="str">
        <f>("19/03/2026")</f>
        <v>19/03/2026</v>
      </c>
      <c r="L3434">
        <v>60</v>
      </c>
      <c r="M3434">
        <v>60</v>
      </c>
      <c r="N3434">
        <v>108</v>
      </c>
      <c r="O3434" t="str">
        <f>"RECEITAS COM REEMBOLSOS"</f>
        <v>RECEITAS COM REEMBOLSOS</v>
      </c>
      <c r="P3434">
        <v>60</v>
      </c>
      <c r="S3434" t="str">
        <f>"RECEITAS COM REEMBOLSOS (108)"</f>
        <v>RECEITAS COM REEMBOLSOS (108)</v>
      </c>
      <c r="T3434">
        <v>31366</v>
      </c>
      <c r="U3434">
        <v>35730</v>
      </c>
      <c r="V3434" t="s">
        <v>22</v>
      </c>
    </row>
    <row r="3435" spans="1:22">
      <c r="A3435" t="str">
        <f t="shared" si="613"/>
        <v>19/03/2026</v>
      </c>
      <c r="B3435" t="str">
        <f>"ENTRADA"</f>
        <v>ENTRADA</v>
      </c>
      <c r="C3435" t="str">
        <f>"DINHEIRO"</f>
        <v>DINHEIRO</v>
      </c>
      <c r="D3435" t="str">
        <f>"19032026"</f>
        <v>19032026</v>
      </c>
      <c r="E3435" t="str">
        <f>""</f>
        <v/>
      </c>
      <c r="F3435" t="str">
        <f t="shared" si="615"/>
        <v>COM</v>
      </c>
      <c r="G3435" t="str">
        <f>"LUCAS MOREIRA PEREIRA (153)"</f>
        <v>LUCAS MOREIRA PEREIRA (153)</v>
      </c>
      <c r="H3435" t="s">
        <v>913</v>
      </c>
      <c r="I3435" t="str">
        <f t="shared" si="614"/>
        <v>19/03/2026</v>
      </c>
      <c r="J3435" t="str">
        <f>("19/03/2026")</f>
        <v>19/03/2026</v>
      </c>
      <c r="K3435">
        <v>46100</v>
      </c>
      <c r="N3435">
        <v>108</v>
      </c>
      <c r="O3435" t="s">
        <v>871</v>
      </c>
      <c r="Q3435">
        <v>60</v>
      </c>
      <c r="R3435" t="str">
        <f>"LUCAS MOREIRA PEREIRA (153)"</f>
        <v>LUCAS MOREIRA PEREIRA (153)</v>
      </c>
      <c r="S3435" t="s">
        <v>872</v>
      </c>
      <c r="T3435">
        <v>31366</v>
      </c>
      <c r="U3435">
        <v>35730</v>
      </c>
      <c r="V3435" t="s">
        <v>22</v>
      </c>
    </row>
    <row r="3436" spans="1:22">
      <c r="A3436" t="str">
        <f t="shared" si="613"/>
        <v>19/03/2026</v>
      </c>
      <c r="B3436" t="str">
        <f>"SAÍDA"</f>
        <v>SAÍDA</v>
      </c>
      <c r="C3436" t="str">
        <f>"PIX"</f>
        <v>PIX</v>
      </c>
      <c r="D3436" t="str">
        <f>"34947"</f>
        <v>34947</v>
      </c>
      <c r="E3436" t="str">
        <f>"1"</f>
        <v>1</v>
      </c>
      <c r="F3436" t="str">
        <f t="shared" si="615"/>
        <v>COM</v>
      </c>
      <c r="G3436" t="str">
        <f>"JESSICA BRAHOLKA (837)"</f>
        <v>JESSICA BRAHOLKA (837)</v>
      </c>
      <c r="H3436" t="str">
        <f>"Serv.Prest. 09/03/2026 a 15/03/2026 - PIX: CPF - CHAVE: 124.575.099-20"</f>
        <v>Serv.Prest. 09/03/2026 a 15/03/2026 - PIX: CPF - CHAVE: 124.575.099-20</v>
      </c>
      <c r="I3436" t="str">
        <f t="shared" si="614"/>
        <v>19/03/2026</v>
      </c>
      <c r="J3436" t="str">
        <f>("16/03/2026")</f>
        <v>16/03/2026</v>
      </c>
      <c r="K3436" t="str">
        <f>("19/03/2026")</f>
        <v>19/03/2026</v>
      </c>
      <c r="L3436">
        <v>60</v>
      </c>
      <c r="M3436">
        <v>60</v>
      </c>
      <c r="N3436">
        <v>109</v>
      </c>
      <c r="O3436" t="str">
        <f>"PAGAMENTO DE ENTREGADORES"</f>
        <v>PAGAMENTO DE ENTREGADORES</v>
      </c>
      <c r="P3436">
        <v>60</v>
      </c>
      <c r="S3436" t="str">
        <f>"CAIXA MOVIMENTAÇÃO OPERACIONAL (132)"</f>
        <v>CAIXA MOVIMENTAÇÃO OPERACIONAL (132)</v>
      </c>
      <c r="T3436">
        <v>31367</v>
      </c>
      <c r="U3436">
        <v>35735</v>
      </c>
      <c r="V3436" t="s">
        <v>22</v>
      </c>
    </row>
    <row r="3437" spans="1:22">
      <c r="A3437" t="str">
        <f t="shared" si="613"/>
        <v>19/03/2026</v>
      </c>
      <c r="B3437" t="str">
        <f>"SAÍDA"</f>
        <v>SAÍDA</v>
      </c>
      <c r="C3437" t="str">
        <f>"PIX"</f>
        <v>PIX</v>
      </c>
      <c r="D3437" t="str">
        <f>"34947"</f>
        <v>34947</v>
      </c>
      <c r="E3437" t="str">
        <f>"1"</f>
        <v>1</v>
      </c>
      <c r="F3437" t="str">
        <f t="shared" si="615"/>
        <v>COM</v>
      </c>
      <c r="G3437" t="str">
        <f>"JESSICA BRAHOLKA (837)"</f>
        <v>JESSICA BRAHOLKA (837)</v>
      </c>
      <c r="H3437" t="s">
        <v>988</v>
      </c>
      <c r="I3437" t="str">
        <f t="shared" si="614"/>
        <v>19/03/2026</v>
      </c>
      <c r="J3437" t="str">
        <f>("16/03/2026")</f>
        <v>16/03/2026</v>
      </c>
      <c r="K3437">
        <v>46100</v>
      </c>
      <c r="N3437">
        <v>109</v>
      </c>
      <c r="O3437" t="s">
        <v>27</v>
      </c>
      <c r="Q3437">
        <v>60</v>
      </c>
      <c r="R3437" t="str">
        <f>"JAL FARMACIA E DROGARIA LJ 1 (10137)"</f>
        <v>JAL FARMACIA E DROGARIA LJ 1 (10137)</v>
      </c>
      <c r="S3437" t="s">
        <v>22</v>
      </c>
      <c r="T3437">
        <v>31367</v>
      </c>
      <c r="U3437">
        <v>35735</v>
      </c>
      <c r="V3437" t="s">
        <v>22</v>
      </c>
    </row>
    <row r="3438" spans="1:22">
      <c r="A3438" t="str">
        <f t="shared" si="613"/>
        <v>19/03/2026</v>
      </c>
      <c r="B3438" t="str">
        <f>"ENTRADA"</f>
        <v>ENTRADA</v>
      </c>
      <c r="C3438" t="str">
        <f>"DINHEIRO"</f>
        <v>DINHEIRO</v>
      </c>
      <c r="D3438" t="str">
        <f>"19032026"</f>
        <v>19032026</v>
      </c>
      <c r="E3438" t="str">
        <f>""</f>
        <v/>
      </c>
      <c r="F3438" t="str">
        <f t="shared" si="615"/>
        <v>COM</v>
      </c>
      <c r="G3438" t="str">
        <f>"JESSICA BRAHOLKA (837)"</f>
        <v>JESSICA BRAHOLKA (837)</v>
      </c>
      <c r="H3438" t="str">
        <f>"REELMBOLSO CERTIFICADO DIGITAL 1/2"</f>
        <v>REELMBOLSO CERTIFICADO DIGITAL 1/2</v>
      </c>
      <c r="I3438" t="str">
        <f t="shared" si="614"/>
        <v>19/03/2026</v>
      </c>
      <c r="J3438" t="str">
        <f>("19/03/2026")</f>
        <v>19/03/2026</v>
      </c>
      <c r="K3438" t="str">
        <f>("19/03/2026")</f>
        <v>19/03/2026</v>
      </c>
      <c r="L3438">
        <v>60</v>
      </c>
      <c r="M3438">
        <v>60</v>
      </c>
      <c r="N3438">
        <v>108</v>
      </c>
      <c r="O3438" t="str">
        <f>"RECEITAS COM REEMBOLSOS"</f>
        <v>RECEITAS COM REEMBOLSOS</v>
      </c>
      <c r="P3438">
        <v>60</v>
      </c>
      <c r="S3438" t="str">
        <f>"RECEITAS COM REEMBOLSOS (108)"</f>
        <v>RECEITAS COM REEMBOLSOS (108)</v>
      </c>
      <c r="T3438">
        <v>31368</v>
      </c>
      <c r="U3438">
        <v>35733</v>
      </c>
      <c r="V3438" t="s">
        <v>22</v>
      </c>
    </row>
    <row r="3439" spans="1:22">
      <c r="A3439" t="str">
        <f t="shared" si="613"/>
        <v>19/03/2026</v>
      </c>
      <c r="B3439" t="str">
        <f>"ENTRADA"</f>
        <v>ENTRADA</v>
      </c>
      <c r="C3439" t="str">
        <f>"DINHEIRO"</f>
        <v>DINHEIRO</v>
      </c>
      <c r="D3439" t="str">
        <f>"19032026"</f>
        <v>19032026</v>
      </c>
      <c r="E3439" t="str">
        <f>""</f>
        <v/>
      </c>
      <c r="F3439" t="str">
        <f t="shared" si="615"/>
        <v>COM</v>
      </c>
      <c r="G3439" t="str">
        <f>"JESSICA BRAHOLKA (837)"</f>
        <v>JESSICA BRAHOLKA (837)</v>
      </c>
      <c r="H3439" t="s">
        <v>913</v>
      </c>
      <c r="I3439" t="str">
        <f t="shared" si="614"/>
        <v>19/03/2026</v>
      </c>
      <c r="J3439" t="str">
        <f>("19/03/2026")</f>
        <v>19/03/2026</v>
      </c>
      <c r="K3439">
        <v>46100</v>
      </c>
      <c r="N3439">
        <v>108</v>
      </c>
      <c r="O3439" t="s">
        <v>871</v>
      </c>
      <c r="Q3439">
        <v>60</v>
      </c>
      <c r="R3439" t="str">
        <f>"JESSICA BRAHOLKA (837)"</f>
        <v>JESSICA BRAHOLKA (837)</v>
      </c>
      <c r="S3439" t="s">
        <v>872</v>
      </c>
      <c r="T3439">
        <v>31368</v>
      </c>
      <c r="U3439">
        <v>35733</v>
      </c>
      <c r="V3439" t="s">
        <v>22</v>
      </c>
    </row>
    <row r="3440" spans="1:22">
      <c r="A3440" t="str">
        <f t="shared" ref="A3440:A3503" si="616">("19/03/2026")</f>
        <v>19/03/2026</v>
      </c>
      <c r="B3440" t="str">
        <f>"SAÍDA"</f>
        <v>SAÍDA</v>
      </c>
      <c r="C3440" t="str">
        <f>"PIX"</f>
        <v>PIX</v>
      </c>
      <c r="D3440" t="str">
        <f>"34617"</f>
        <v>34617</v>
      </c>
      <c r="E3440" t="str">
        <f>"1"</f>
        <v>1</v>
      </c>
      <c r="F3440" t="str">
        <f t="shared" si="615"/>
        <v>COM</v>
      </c>
      <c r="G3440" t="str">
        <f>"NELSON DOS SANTOS RODRIGUES (37)"</f>
        <v>NELSON DOS SANTOS RODRIGUES (37)</v>
      </c>
      <c r="H3440" t="str">
        <f>"Serv.Prest. 02/03/2026 a 08/03/2026 - PIX: CPF - CHAVE: 108.680.396-59"</f>
        <v>Serv.Prest. 02/03/2026 a 08/03/2026 - PIX: CPF - CHAVE: 108.680.396-59</v>
      </c>
      <c r="I3440" t="str">
        <f t="shared" ref="I3440:I3475" si="617">("19/03/2026")</f>
        <v>19/03/2026</v>
      </c>
      <c r="J3440" t="str">
        <f>("10/03/2026")</f>
        <v>10/03/2026</v>
      </c>
      <c r="K3440" t="str">
        <f>("19/03/2026")</f>
        <v>19/03/2026</v>
      </c>
      <c r="L3440">
        <v>60</v>
      </c>
      <c r="M3440">
        <v>60</v>
      </c>
      <c r="N3440">
        <v>109</v>
      </c>
      <c r="O3440" t="str">
        <f>"PAGAMENTO DE ENTREGADORES"</f>
        <v>PAGAMENTO DE ENTREGADORES</v>
      </c>
      <c r="P3440">
        <v>60</v>
      </c>
      <c r="S3440" t="str">
        <f>"CAIXA MOVIMENTAÇÃO OPERACIONAL (132)"</f>
        <v>CAIXA MOVIMENTAÇÃO OPERACIONAL (132)</v>
      </c>
      <c r="T3440">
        <v>31369</v>
      </c>
      <c r="U3440">
        <v>35738</v>
      </c>
      <c r="V3440" t="s">
        <v>22</v>
      </c>
    </row>
    <row r="3441" spans="1:22">
      <c r="A3441" t="str">
        <f t="shared" si="616"/>
        <v>19/03/2026</v>
      </c>
      <c r="B3441" t="str">
        <f>"SAÍDA"</f>
        <v>SAÍDA</v>
      </c>
      <c r="C3441" t="str">
        <f>"PIX"</f>
        <v>PIX</v>
      </c>
      <c r="D3441" t="str">
        <f>"34617"</f>
        <v>34617</v>
      </c>
      <c r="E3441" t="str">
        <f>"1"</f>
        <v>1</v>
      </c>
      <c r="F3441" t="str">
        <f t="shared" si="615"/>
        <v>COM</v>
      </c>
      <c r="G3441" t="str">
        <f>"NELSON DOS SANTOS RODRIGUES (37)"</f>
        <v>NELSON DOS SANTOS RODRIGUES (37)</v>
      </c>
      <c r="H3441" t="s">
        <v>989</v>
      </c>
      <c r="I3441" t="str">
        <f t="shared" si="617"/>
        <v>19/03/2026</v>
      </c>
      <c r="J3441" t="str">
        <f>("10/03/2026")</f>
        <v>10/03/2026</v>
      </c>
      <c r="K3441">
        <v>46100</v>
      </c>
      <c r="N3441">
        <v>109</v>
      </c>
      <c r="O3441" t="s">
        <v>27</v>
      </c>
      <c r="Q3441">
        <v>60</v>
      </c>
      <c r="R3441" t="str">
        <f>"FARMÁCIA INDIANA LJ 11 (10008)"</f>
        <v>FARMÁCIA INDIANA LJ 11 (10008)</v>
      </c>
      <c r="S3441" t="s">
        <v>22</v>
      </c>
      <c r="T3441">
        <v>31369</v>
      </c>
      <c r="U3441">
        <v>35738</v>
      </c>
      <c r="V3441" t="s">
        <v>22</v>
      </c>
    </row>
    <row r="3442" spans="1:22">
      <c r="A3442" t="str">
        <f t="shared" si="616"/>
        <v>19/03/2026</v>
      </c>
      <c r="B3442" t="str">
        <f>"ENTRADA"</f>
        <v>ENTRADA</v>
      </c>
      <c r="C3442" t="str">
        <f>"DINHEIRO"</f>
        <v>DINHEIRO</v>
      </c>
      <c r="D3442" t="str">
        <f>"19032026"</f>
        <v>19032026</v>
      </c>
      <c r="E3442" t="str">
        <f>""</f>
        <v/>
      </c>
      <c r="F3442" t="str">
        <f t="shared" si="615"/>
        <v>COM</v>
      </c>
      <c r="G3442" t="str">
        <f>"NELSON DOS SANTOS RODRIGUES (37)"</f>
        <v>NELSON DOS SANTOS RODRIGUES (37)</v>
      </c>
      <c r="H3442" t="str">
        <f>"REELMBOLSO CERTIFICADO DIGITAL 1/2"</f>
        <v>REELMBOLSO CERTIFICADO DIGITAL 1/2</v>
      </c>
      <c r="I3442" t="str">
        <f t="shared" si="617"/>
        <v>19/03/2026</v>
      </c>
      <c r="J3442" t="str">
        <f>("19/03/2026")</f>
        <v>19/03/2026</v>
      </c>
      <c r="K3442" t="str">
        <f>("19/03/2026")</f>
        <v>19/03/2026</v>
      </c>
      <c r="L3442">
        <v>60</v>
      </c>
      <c r="M3442">
        <v>60</v>
      </c>
      <c r="N3442">
        <v>108</v>
      </c>
      <c r="O3442" t="str">
        <f>"RECEITAS COM REEMBOLSOS"</f>
        <v>RECEITAS COM REEMBOLSOS</v>
      </c>
      <c r="P3442">
        <v>60</v>
      </c>
      <c r="S3442" t="str">
        <f>"RECEITAS COM REEMBOLSOS (108)"</f>
        <v>RECEITAS COM REEMBOLSOS (108)</v>
      </c>
      <c r="T3442">
        <v>31370</v>
      </c>
      <c r="U3442">
        <v>35736</v>
      </c>
      <c r="V3442" t="s">
        <v>22</v>
      </c>
    </row>
    <row r="3443" spans="1:22">
      <c r="A3443" t="str">
        <f t="shared" si="616"/>
        <v>19/03/2026</v>
      </c>
      <c r="B3443" t="str">
        <f>"ENTRADA"</f>
        <v>ENTRADA</v>
      </c>
      <c r="C3443" t="str">
        <f>"DINHEIRO"</f>
        <v>DINHEIRO</v>
      </c>
      <c r="D3443" t="str">
        <f>"19032026"</f>
        <v>19032026</v>
      </c>
      <c r="E3443" t="str">
        <f>""</f>
        <v/>
      </c>
      <c r="F3443" t="str">
        <f t="shared" si="615"/>
        <v>COM</v>
      </c>
      <c r="G3443" t="str">
        <f>"NELSON DOS SANTOS RODRIGUES (37)"</f>
        <v>NELSON DOS SANTOS RODRIGUES (37)</v>
      </c>
      <c r="H3443" t="s">
        <v>913</v>
      </c>
      <c r="I3443" t="str">
        <f t="shared" si="617"/>
        <v>19/03/2026</v>
      </c>
      <c r="J3443" t="str">
        <f>("19/03/2026")</f>
        <v>19/03/2026</v>
      </c>
      <c r="K3443">
        <v>46100</v>
      </c>
      <c r="N3443">
        <v>108</v>
      </c>
      <c r="O3443" t="s">
        <v>871</v>
      </c>
      <c r="Q3443">
        <v>60</v>
      </c>
      <c r="R3443" t="str">
        <f>"NELSON DOS SANTOS RODRIGUES (37)"</f>
        <v>NELSON DOS SANTOS RODRIGUES (37)</v>
      </c>
      <c r="S3443" t="s">
        <v>872</v>
      </c>
      <c r="T3443">
        <v>31370</v>
      </c>
      <c r="U3443">
        <v>35736</v>
      </c>
      <c r="V3443" t="s">
        <v>22</v>
      </c>
    </row>
    <row r="3444" spans="1:22">
      <c r="A3444" t="str">
        <f t="shared" si="616"/>
        <v>19/03/2026</v>
      </c>
      <c r="B3444" t="str">
        <f>"SAÍDA"</f>
        <v>SAÍDA</v>
      </c>
      <c r="C3444" t="str">
        <f>"PIX"</f>
        <v>PIX</v>
      </c>
      <c r="D3444" t="str">
        <f>"34604"</f>
        <v>34604</v>
      </c>
      <c r="E3444" t="str">
        <f>"1"</f>
        <v>1</v>
      </c>
      <c r="F3444" t="str">
        <f t="shared" si="615"/>
        <v>COM</v>
      </c>
      <c r="G3444" t="str">
        <f>"LUIZ ALVES MARTINS (40)"</f>
        <v>LUIZ ALVES MARTINS (40)</v>
      </c>
      <c r="H3444" t="str">
        <f>"Serv.Prest. 02/03/2026 a 08/03/2026 - PIX: CELULAR - CHAVE: (33) 99981-6650"</f>
        <v>Serv.Prest. 02/03/2026 a 08/03/2026 - PIX: CELULAR - CHAVE: (33) 99981-6650</v>
      </c>
      <c r="I3444" t="str">
        <f t="shared" si="617"/>
        <v>19/03/2026</v>
      </c>
      <c r="J3444" t="str">
        <f>("10/03/2026")</f>
        <v>10/03/2026</v>
      </c>
      <c r="K3444" t="str">
        <f>("19/03/2026")</f>
        <v>19/03/2026</v>
      </c>
      <c r="L3444">
        <v>60</v>
      </c>
      <c r="M3444">
        <v>60</v>
      </c>
      <c r="N3444">
        <v>109</v>
      </c>
      <c r="O3444" t="str">
        <f>"PAGAMENTO DE ENTREGADORES"</f>
        <v>PAGAMENTO DE ENTREGADORES</v>
      </c>
      <c r="P3444">
        <v>60</v>
      </c>
      <c r="S3444" t="str">
        <f>"CAIXA MOVIMENTAÇÃO OPERACIONAL (132)"</f>
        <v>CAIXA MOVIMENTAÇÃO OPERACIONAL (132)</v>
      </c>
      <c r="T3444">
        <v>31371</v>
      </c>
      <c r="U3444">
        <v>35741</v>
      </c>
      <c r="V3444" t="s">
        <v>22</v>
      </c>
    </row>
    <row r="3445" spans="1:22">
      <c r="A3445" t="str">
        <f t="shared" si="616"/>
        <v>19/03/2026</v>
      </c>
      <c r="B3445" t="str">
        <f>"SAÍDA"</f>
        <v>SAÍDA</v>
      </c>
      <c r="C3445" t="str">
        <f>"PIX"</f>
        <v>PIX</v>
      </c>
      <c r="D3445" t="str">
        <f>"34604"</f>
        <v>34604</v>
      </c>
      <c r="E3445" t="str">
        <f>"1"</f>
        <v>1</v>
      </c>
      <c r="F3445" t="str">
        <f t="shared" si="615"/>
        <v>COM</v>
      </c>
      <c r="G3445" t="str">
        <f>"LUIZ ALVES MARTINS (40)"</f>
        <v>LUIZ ALVES MARTINS (40)</v>
      </c>
      <c r="H3445" t="s">
        <v>990</v>
      </c>
      <c r="I3445" t="str">
        <f t="shared" si="617"/>
        <v>19/03/2026</v>
      </c>
      <c r="J3445" t="str">
        <f>("10/03/2026")</f>
        <v>10/03/2026</v>
      </c>
      <c r="K3445">
        <v>46100</v>
      </c>
      <c r="N3445">
        <v>109</v>
      </c>
      <c r="O3445" t="s">
        <v>27</v>
      </c>
      <c r="Q3445">
        <v>60</v>
      </c>
      <c r="R3445" t="str">
        <f>"FARMÁCIA INDIANA LJ 11 (10008)"</f>
        <v>FARMÁCIA INDIANA LJ 11 (10008)</v>
      </c>
      <c r="S3445" t="s">
        <v>22</v>
      </c>
      <c r="T3445">
        <v>31371</v>
      </c>
      <c r="U3445">
        <v>35741</v>
      </c>
      <c r="V3445" t="s">
        <v>22</v>
      </c>
    </row>
    <row r="3446" spans="1:22">
      <c r="A3446" t="str">
        <f t="shared" si="616"/>
        <v>19/03/2026</v>
      </c>
      <c r="B3446" t="str">
        <f>"ENTRADA"</f>
        <v>ENTRADA</v>
      </c>
      <c r="C3446" t="str">
        <f>"DINHEIRO"</f>
        <v>DINHEIRO</v>
      </c>
      <c r="D3446" t="str">
        <f>"19032026"</f>
        <v>19032026</v>
      </c>
      <c r="E3446" t="str">
        <f>""</f>
        <v/>
      </c>
      <c r="F3446" t="str">
        <f t="shared" si="615"/>
        <v>COM</v>
      </c>
      <c r="G3446" t="str">
        <f>"LUIZ ALVES MARTINS (40)"</f>
        <v>LUIZ ALVES MARTINS (40)</v>
      </c>
      <c r="H3446" t="str">
        <f>"REELMBOLSO CERTIFICADO DIGITAL 1/2"</f>
        <v>REELMBOLSO CERTIFICADO DIGITAL 1/2</v>
      </c>
      <c r="I3446" t="str">
        <f t="shared" si="617"/>
        <v>19/03/2026</v>
      </c>
      <c r="J3446" t="str">
        <f>("19/03/2026")</f>
        <v>19/03/2026</v>
      </c>
      <c r="K3446" t="str">
        <f>("19/03/2026")</f>
        <v>19/03/2026</v>
      </c>
      <c r="L3446">
        <v>60</v>
      </c>
      <c r="M3446">
        <v>60</v>
      </c>
      <c r="N3446">
        <v>108</v>
      </c>
      <c r="O3446" t="str">
        <f>"RECEITAS COM REEMBOLSOS"</f>
        <v>RECEITAS COM REEMBOLSOS</v>
      </c>
      <c r="P3446">
        <v>60</v>
      </c>
      <c r="S3446" t="str">
        <f>"RECEITAS COM REEMBOLSOS (108)"</f>
        <v>RECEITAS COM REEMBOLSOS (108)</v>
      </c>
      <c r="T3446">
        <v>31372</v>
      </c>
      <c r="U3446">
        <v>35739</v>
      </c>
      <c r="V3446" t="s">
        <v>22</v>
      </c>
    </row>
    <row r="3447" spans="1:22">
      <c r="A3447" t="str">
        <f t="shared" si="616"/>
        <v>19/03/2026</v>
      </c>
      <c r="B3447" t="str">
        <f>"ENTRADA"</f>
        <v>ENTRADA</v>
      </c>
      <c r="C3447" t="str">
        <f>"DINHEIRO"</f>
        <v>DINHEIRO</v>
      </c>
      <c r="D3447" t="str">
        <f>"19032026"</f>
        <v>19032026</v>
      </c>
      <c r="E3447" t="str">
        <f>""</f>
        <v/>
      </c>
      <c r="F3447" t="str">
        <f t="shared" si="615"/>
        <v>COM</v>
      </c>
      <c r="G3447" t="str">
        <f>"LUIZ ALVES MARTINS (40)"</f>
        <v>LUIZ ALVES MARTINS (40)</v>
      </c>
      <c r="H3447" t="s">
        <v>913</v>
      </c>
      <c r="I3447" t="str">
        <f t="shared" si="617"/>
        <v>19/03/2026</v>
      </c>
      <c r="J3447" t="str">
        <f>("19/03/2026")</f>
        <v>19/03/2026</v>
      </c>
      <c r="K3447">
        <v>46100</v>
      </c>
      <c r="N3447">
        <v>108</v>
      </c>
      <c r="O3447" t="s">
        <v>871</v>
      </c>
      <c r="Q3447">
        <v>60</v>
      </c>
      <c r="R3447" t="str">
        <f>"LUIZ ALVES MARTINS (40)"</f>
        <v>LUIZ ALVES MARTINS (40)</v>
      </c>
      <c r="S3447" t="s">
        <v>872</v>
      </c>
      <c r="T3447">
        <v>31372</v>
      </c>
      <c r="U3447">
        <v>35739</v>
      </c>
      <c r="V3447" t="s">
        <v>22</v>
      </c>
    </row>
    <row r="3448" spans="1:22">
      <c r="A3448" t="str">
        <f t="shared" si="616"/>
        <v>19/03/2026</v>
      </c>
      <c r="B3448" t="str">
        <f>"SAÍDA"</f>
        <v>SAÍDA</v>
      </c>
      <c r="C3448" t="str">
        <f>"PIX"</f>
        <v>PIX</v>
      </c>
      <c r="D3448" t="str">
        <f>"34921"</f>
        <v>34921</v>
      </c>
      <c r="E3448" t="str">
        <f>"1"</f>
        <v>1</v>
      </c>
      <c r="F3448" t="str">
        <f t="shared" si="615"/>
        <v>COM</v>
      </c>
      <c r="G3448" t="str">
        <f>"EDNUBIA RAMOS ALVES OLIVEIRA (899)"</f>
        <v>EDNUBIA RAMOS ALVES OLIVEIRA (899)</v>
      </c>
      <c r="H3448" t="str">
        <f>"Serv.Prest. 09/03/2026 a 15/03/2026 - PIX: CELULAR - CHAVE: (71) 99214-9256"</f>
        <v>Serv.Prest. 09/03/2026 a 15/03/2026 - PIX: CELULAR - CHAVE: (71) 99214-9256</v>
      </c>
      <c r="I3448" t="str">
        <f t="shared" si="617"/>
        <v>19/03/2026</v>
      </c>
      <c r="J3448" t="str">
        <f>("16/03/2026")</f>
        <v>16/03/2026</v>
      </c>
      <c r="K3448" t="str">
        <f>("19/03/2026")</f>
        <v>19/03/2026</v>
      </c>
      <c r="L3448">
        <v>60</v>
      </c>
      <c r="M3448">
        <v>60</v>
      </c>
      <c r="N3448">
        <v>109</v>
      </c>
      <c r="O3448" t="str">
        <f>"PAGAMENTO DE ENTREGADORES"</f>
        <v>PAGAMENTO DE ENTREGADORES</v>
      </c>
      <c r="P3448">
        <v>60</v>
      </c>
      <c r="S3448" t="str">
        <f>"CAIXA MOVIMENTAÇÃO OPERACIONAL (132)"</f>
        <v>CAIXA MOVIMENTAÇÃO OPERACIONAL (132)</v>
      </c>
      <c r="T3448">
        <v>31373</v>
      </c>
      <c r="U3448">
        <v>35744</v>
      </c>
      <c r="V3448" t="s">
        <v>22</v>
      </c>
    </row>
    <row r="3449" spans="1:22">
      <c r="A3449" t="str">
        <f t="shared" si="616"/>
        <v>19/03/2026</v>
      </c>
      <c r="B3449" t="str">
        <f>"SAÍDA"</f>
        <v>SAÍDA</v>
      </c>
      <c r="C3449" t="str">
        <f>"PIX"</f>
        <v>PIX</v>
      </c>
      <c r="D3449" t="str">
        <f>"34921"</f>
        <v>34921</v>
      </c>
      <c r="E3449" t="str">
        <f>"1"</f>
        <v>1</v>
      </c>
      <c r="F3449" t="str">
        <f t="shared" si="615"/>
        <v>COM</v>
      </c>
      <c r="G3449" t="str">
        <f>"EDNUBIA RAMOS ALVES OLIVEIRA (899)"</f>
        <v>EDNUBIA RAMOS ALVES OLIVEIRA (899)</v>
      </c>
      <c r="H3449" t="s">
        <v>881</v>
      </c>
      <c r="I3449" t="str">
        <f t="shared" si="617"/>
        <v>19/03/2026</v>
      </c>
      <c r="J3449" t="str">
        <f>("16/03/2026")</f>
        <v>16/03/2026</v>
      </c>
      <c r="K3449">
        <v>46100</v>
      </c>
      <c r="N3449">
        <v>109</v>
      </c>
      <c r="O3449" t="s">
        <v>27</v>
      </c>
      <c r="Q3449">
        <v>60</v>
      </c>
      <c r="R3449" t="str">
        <f>"DELTA LOJA 2 (10123)"</f>
        <v>DELTA LOJA 2 (10123)</v>
      </c>
      <c r="S3449" t="s">
        <v>22</v>
      </c>
      <c r="T3449">
        <v>31373</v>
      </c>
      <c r="U3449">
        <v>35744</v>
      </c>
      <c r="V3449" t="s">
        <v>22</v>
      </c>
    </row>
    <row r="3450" spans="1:22">
      <c r="A3450" t="str">
        <f t="shared" si="616"/>
        <v>19/03/2026</v>
      </c>
      <c r="B3450" t="str">
        <f>"ENTRADA"</f>
        <v>ENTRADA</v>
      </c>
      <c r="C3450" t="str">
        <f>"DINHEIRO"</f>
        <v>DINHEIRO</v>
      </c>
      <c r="D3450" t="str">
        <f>"19032026"</f>
        <v>19032026</v>
      </c>
      <c r="E3450" t="str">
        <f>""</f>
        <v/>
      </c>
      <c r="F3450" t="str">
        <f t="shared" si="615"/>
        <v>COM</v>
      </c>
      <c r="G3450" t="str">
        <f>"EDNUBIA RAMOS ALVES OLIVEIRA (899)"</f>
        <v>EDNUBIA RAMOS ALVES OLIVEIRA (899)</v>
      </c>
      <c r="H3450" t="str">
        <f>"REELMBOLSO CERTIFICADO DIGITAL 1/2"</f>
        <v>REELMBOLSO CERTIFICADO DIGITAL 1/2</v>
      </c>
      <c r="I3450" t="str">
        <f t="shared" si="617"/>
        <v>19/03/2026</v>
      </c>
      <c r="J3450" t="str">
        <f>("19/03/2026")</f>
        <v>19/03/2026</v>
      </c>
      <c r="K3450" t="str">
        <f>("19/03/2026")</f>
        <v>19/03/2026</v>
      </c>
      <c r="L3450">
        <v>60</v>
      </c>
      <c r="M3450">
        <v>60</v>
      </c>
      <c r="N3450">
        <v>108</v>
      </c>
      <c r="O3450" t="str">
        <f>"RECEITAS COM REEMBOLSOS"</f>
        <v>RECEITAS COM REEMBOLSOS</v>
      </c>
      <c r="P3450">
        <v>60</v>
      </c>
      <c r="S3450" t="str">
        <f>"RECEITAS COM REEMBOLSOS (108)"</f>
        <v>RECEITAS COM REEMBOLSOS (108)</v>
      </c>
      <c r="T3450">
        <v>31374</v>
      </c>
      <c r="U3450">
        <v>35742</v>
      </c>
      <c r="V3450" t="s">
        <v>22</v>
      </c>
    </row>
    <row r="3451" spans="1:22">
      <c r="A3451" t="str">
        <f t="shared" si="616"/>
        <v>19/03/2026</v>
      </c>
      <c r="B3451" t="str">
        <f>"ENTRADA"</f>
        <v>ENTRADA</v>
      </c>
      <c r="C3451" t="str">
        <f>"DINHEIRO"</f>
        <v>DINHEIRO</v>
      </c>
      <c r="D3451" t="str">
        <f>"19032026"</f>
        <v>19032026</v>
      </c>
      <c r="E3451" t="str">
        <f>""</f>
        <v/>
      </c>
      <c r="F3451" t="str">
        <f t="shared" si="615"/>
        <v>COM</v>
      </c>
      <c r="G3451" t="str">
        <f>"EDNUBIA RAMOS ALVES OLIVEIRA (899)"</f>
        <v>EDNUBIA RAMOS ALVES OLIVEIRA (899)</v>
      </c>
      <c r="H3451" t="s">
        <v>913</v>
      </c>
      <c r="I3451" t="str">
        <f t="shared" si="617"/>
        <v>19/03/2026</v>
      </c>
      <c r="J3451" t="str">
        <f>("19/03/2026")</f>
        <v>19/03/2026</v>
      </c>
      <c r="K3451">
        <v>46100</v>
      </c>
      <c r="N3451">
        <v>108</v>
      </c>
      <c r="O3451" t="s">
        <v>871</v>
      </c>
      <c r="Q3451">
        <v>60</v>
      </c>
      <c r="R3451" t="str">
        <f>"EDNUBIA RAMOS ALVES OLIVEIRA (899)"</f>
        <v>EDNUBIA RAMOS ALVES OLIVEIRA (899)</v>
      </c>
      <c r="S3451" t="s">
        <v>872</v>
      </c>
      <c r="T3451">
        <v>31374</v>
      </c>
      <c r="U3451">
        <v>35742</v>
      </c>
      <c r="V3451" t="s">
        <v>22</v>
      </c>
    </row>
    <row r="3452" spans="1:22">
      <c r="A3452" t="str">
        <f t="shared" si="616"/>
        <v>19/03/2026</v>
      </c>
      <c r="B3452" t="str">
        <f>"SAÍDA"</f>
        <v>SAÍDA</v>
      </c>
      <c r="C3452" t="str">
        <f>"PIX"</f>
        <v>PIX</v>
      </c>
      <c r="D3452" t="str">
        <f>"35255"</f>
        <v>35255</v>
      </c>
      <c r="E3452" t="str">
        <f>"2"</f>
        <v>2</v>
      </c>
      <c r="F3452" t="str">
        <f t="shared" si="615"/>
        <v>COM</v>
      </c>
      <c r="G3452" t="str">
        <f>"LUCAS BARBOSA RIBEIRO (1348)"</f>
        <v>LUCAS BARBOSA RIBEIRO (1348)</v>
      </c>
      <c r="H3452" t="str">
        <f>"Serv.Prest. 02/03/2026 a 08/03/2026 - PIX: CPF - CHAVE: 022.635.946-80"</f>
        <v>Serv.Prest. 02/03/2026 a 08/03/2026 - PIX: CPF - CHAVE: 022.635.946-80</v>
      </c>
      <c r="I3452" t="str">
        <f t="shared" si="617"/>
        <v>19/03/2026</v>
      </c>
      <c r="J3452" t="str">
        <f>("17/03/2026")</f>
        <v>17/03/2026</v>
      </c>
      <c r="K3452" t="str">
        <f>("19/03/2026")</f>
        <v>19/03/2026</v>
      </c>
      <c r="L3452">
        <v>60</v>
      </c>
      <c r="M3452">
        <v>60</v>
      </c>
      <c r="N3452">
        <v>109</v>
      </c>
      <c r="O3452" t="str">
        <f>"PAGAMENTO DE ENTREGADORES"</f>
        <v>PAGAMENTO DE ENTREGADORES</v>
      </c>
      <c r="P3452">
        <v>60</v>
      </c>
      <c r="S3452" t="str">
        <f>"CAIXA MOVIMENTAÇÃO OPERACIONAL (132)"</f>
        <v>CAIXA MOVIMENTAÇÃO OPERACIONAL (132)</v>
      </c>
      <c r="T3452">
        <v>31375</v>
      </c>
      <c r="U3452">
        <v>35747</v>
      </c>
      <c r="V3452" t="s">
        <v>22</v>
      </c>
    </row>
    <row r="3453" spans="1:22">
      <c r="A3453" t="str">
        <f t="shared" si="616"/>
        <v>19/03/2026</v>
      </c>
      <c r="B3453" t="str">
        <f>"SAÍDA"</f>
        <v>SAÍDA</v>
      </c>
      <c r="C3453" t="str">
        <f>"PIX"</f>
        <v>PIX</v>
      </c>
      <c r="D3453" t="str">
        <f>"35255"</f>
        <v>35255</v>
      </c>
      <c r="E3453" t="str">
        <f>"2"</f>
        <v>2</v>
      </c>
      <c r="F3453" t="str">
        <f t="shared" si="615"/>
        <v>COM</v>
      </c>
      <c r="G3453" t="str">
        <f>"LUCAS BARBOSA RIBEIRO (1348)"</f>
        <v>LUCAS BARBOSA RIBEIRO (1348)</v>
      </c>
      <c r="H3453" t="s">
        <v>991</v>
      </c>
      <c r="I3453" t="str">
        <f t="shared" si="617"/>
        <v>19/03/2026</v>
      </c>
      <c r="J3453" t="str">
        <f>("17/03/2026")</f>
        <v>17/03/2026</v>
      </c>
      <c r="K3453">
        <v>46100</v>
      </c>
      <c r="N3453">
        <v>109</v>
      </c>
      <c r="O3453" t="s">
        <v>27</v>
      </c>
      <c r="Q3453">
        <v>60</v>
      </c>
      <c r="R3453" t="str">
        <f>"FARMÁCIA INDIANA LJ 100 (10042)"</f>
        <v>FARMÁCIA INDIANA LJ 100 (10042)</v>
      </c>
      <c r="S3453" t="s">
        <v>22</v>
      </c>
      <c r="T3453">
        <v>31375</v>
      </c>
      <c r="U3453">
        <v>35747</v>
      </c>
      <c r="V3453" t="s">
        <v>22</v>
      </c>
    </row>
    <row r="3454" spans="1:22">
      <c r="A3454" t="str">
        <f t="shared" si="616"/>
        <v>19/03/2026</v>
      </c>
      <c r="B3454" t="str">
        <f>"ENTRADA"</f>
        <v>ENTRADA</v>
      </c>
      <c r="C3454" t="str">
        <f>"DINHEIRO"</f>
        <v>DINHEIRO</v>
      </c>
      <c r="D3454" t="str">
        <f>"19032026"</f>
        <v>19032026</v>
      </c>
      <c r="E3454" t="str">
        <f>""</f>
        <v/>
      </c>
      <c r="F3454" t="str">
        <f t="shared" si="615"/>
        <v>COM</v>
      </c>
      <c r="G3454" t="str">
        <f>"LUCAS BARBOSA RIBEIRO (1348)"</f>
        <v>LUCAS BARBOSA RIBEIRO (1348)</v>
      </c>
      <c r="H3454" t="str">
        <f>"REELMBOLSO CERTIFICADO DIGITAL 1/2"</f>
        <v>REELMBOLSO CERTIFICADO DIGITAL 1/2</v>
      </c>
      <c r="I3454" t="str">
        <f t="shared" si="617"/>
        <v>19/03/2026</v>
      </c>
      <c r="J3454" t="str">
        <f>("19/03/2026")</f>
        <v>19/03/2026</v>
      </c>
      <c r="K3454" t="str">
        <f>("19/03/2026")</f>
        <v>19/03/2026</v>
      </c>
      <c r="L3454">
        <v>60</v>
      </c>
      <c r="M3454">
        <v>60</v>
      </c>
      <c r="N3454">
        <v>108</v>
      </c>
      <c r="O3454" t="str">
        <f>"RECEITAS COM REEMBOLSOS"</f>
        <v>RECEITAS COM REEMBOLSOS</v>
      </c>
      <c r="P3454">
        <v>60</v>
      </c>
      <c r="S3454" t="str">
        <f>"RECEITAS COM REEMBOLSOS (108)"</f>
        <v>RECEITAS COM REEMBOLSOS (108)</v>
      </c>
      <c r="T3454">
        <v>31376</v>
      </c>
      <c r="U3454">
        <v>35745</v>
      </c>
      <c r="V3454" t="s">
        <v>22</v>
      </c>
    </row>
    <row r="3455" spans="1:22">
      <c r="A3455" t="str">
        <f t="shared" si="616"/>
        <v>19/03/2026</v>
      </c>
      <c r="B3455" t="str">
        <f>"ENTRADA"</f>
        <v>ENTRADA</v>
      </c>
      <c r="C3455" t="str">
        <f>"DINHEIRO"</f>
        <v>DINHEIRO</v>
      </c>
      <c r="D3455" t="str">
        <f>"19032026"</f>
        <v>19032026</v>
      </c>
      <c r="E3455" t="str">
        <f>""</f>
        <v/>
      </c>
      <c r="F3455" t="str">
        <f t="shared" si="615"/>
        <v>COM</v>
      </c>
      <c r="G3455" t="str">
        <f>"LUCAS BARBOSA RIBEIRO (1348)"</f>
        <v>LUCAS BARBOSA RIBEIRO (1348)</v>
      </c>
      <c r="H3455" t="s">
        <v>913</v>
      </c>
      <c r="I3455" t="str">
        <f t="shared" si="617"/>
        <v>19/03/2026</v>
      </c>
      <c r="J3455" t="str">
        <f>("19/03/2026")</f>
        <v>19/03/2026</v>
      </c>
      <c r="K3455">
        <v>46100</v>
      </c>
      <c r="N3455">
        <v>108</v>
      </c>
      <c r="O3455" t="s">
        <v>871</v>
      </c>
      <c r="Q3455">
        <v>60</v>
      </c>
      <c r="R3455" t="str">
        <f>"LUCAS BARBOSA RIBEIRO (1348)"</f>
        <v>LUCAS BARBOSA RIBEIRO (1348)</v>
      </c>
      <c r="S3455" t="s">
        <v>872</v>
      </c>
      <c r="T3455">
        <v>31376</v>
      </c>
      <c r="U3455">
        <v>35745</v>
      </c>
      <c r="V3455" t="s">
        <v>22</v>
      </c>
    </row>
    <row r="3456" spans="1:22">
      <c r="A3456" t="str">
        <f t="shared" si="616"/>
        <v>19/03/2026</v>
      </c>
      <c r="B3456" t="str">
        <f>"SAÍDA"</f>
        <v>SAÍDA</v>
      </c>
      <c r="C3456" t="str">
        <f>"PIX"</f>
        <v>PIX</v>
      </c>
      <c r="D3456" t="str">
        <f>"34557"</f>
        <v>34557</v>
      </c>
      <c r="E3456" t="str">
        <f>"1"</f>
        <v>1</v>
      </c>
      <c r="F3456" t="str">
        <f t="shared" si="615"/>
        <v>COM</v>
      </c>
      <c r="G3456" t="str">
        <f>"CRISTIANO XAVIER DA COSTA (269)"</f>
        <v>CRISTIANO XAVIER DA COSTA (269)</v>
      </c>
      <c r="H3456" t="str">
        <f>"Serv.Prest. 02/03/2026 a 08/03/2026 - PIX: CELULAR - CHAVE: (32) 99177-6167"</f>
        <v>Serv.Prest. 02/03/2026 a 08/03/2026 - PIX: CELULAR - CHAVE: (32) 99177-6167</v>
      </c>
      <c r="I3456" t="str">
        <f t="shared" si="617"/>
        <v>19/03/2026</v>
      </c>
      <c r="J3456" t="str">
        <f>("10/03/2026")</f>
        <v>10/03/2026</v>
      </c>
      <c r="K3456" t="str">
        <f>("19/03/2026")</f>
        <v>19/03/2026</v>
      </c>
      <c r="L3456">
        <v>60</v>
      </c>
      <c r="M3456">
        <v>60</v>
      </c>
      <c r="N3456">
        <v>109</v>
      </c>
      <c r="O3456" t="str">
        <f>"PAGAMENTO DE ENTREGADORES"</f>
        <v>PAGAMENTO DE ENTREGADORES</v>
      </c>
      <c r="P3456">
        <v>60</v>
      </c>
      <c r="S3456" t="str">
        <f>"CAIXA MOVIMENTAÇÃO OPERACIONAL (132)"</f>
        <v>CAIXA MOVIMENTAÇÃO OPERACIONAL (132)</v>
      </c>
      <c r="T3456">
        <v>31377</v>
      </c>
      <c r="U3456">
        <v>35750</v>
      </c>
      <c r="V3456" t="s">
        <v>22</v>
      </c>
    </row>
    <row r="3457" spans="1:22">
      <c r="A3457" t="str">
        <f t="shared" si="616"/>
        <v>19/03/2026</v>
      </c>
      <c r="B3457" t="str">
        <f>"SAÍDA"</f>
        <v>SAÍDA</v>
      </c>
      <c r="C3457" t="str">
        <f>"PIX"</f>
        <v>PIX</v>
      </c>
      <c r="D3457" t="str">
        <f>"34557"</f>
        <v>34557</v>
      </c>
      <c r="E3457" t="str">
        <f>"1"</f>
        <v>1</v>
      </c>
      <c r="F3457" t="str">
        <f t="shared" si="615"/>
        <v>COM</v>
      </c>
      <c r="G3457" t="str">
        <f>"CRISTIANO XAVIER DA COSTA (269)"</f>
        <v>CRISTIANO XAVIER DA COSTA (269)</v>
      </c>
      <c r="H3457" t="s">
        <v>845</v>
      </c>
      <c r="I3457" t="str">
        <f t="shared" si="617"/>
        <v>19/03/2026</v>
      </c>
      <c r="J3457" t="str">
        <f>("10/03/2026")</f>
        <v>10/03/2026</v>
      </c>
      <c r="K3457">
        <v>46100</v>
      </c>
      <c r="N3457">
        <v>109</v>
      </c>
      <c r="O3457" t="s">
        <v>27</v>
      </c>
      <c r="Q3457">
        <v>60</v>
      </c>
      <c r="R3457" t="str">
        <f>"FARMÁCIA INDIANA LJ 207 (10088)"</f>
        <v>FARMÁCIA INDIANA LJ 207 (10088)</v>
      </c>
      <c r="S3457" t="s">
        <v>22</v>
      </c>
      <c r="T3457">
        <v>31377</v>
      </c>
      <c r="U3457">
        <v>35750</v>
      </c>
      <c r="V3457" t="s">
        <v>22</v>
      </c>
    </row>
    <row r="3458" spans="1:22">
      <c r="A3458" t="str">
        <f t="shared" si="616"/>
        <v>19/03/2026</v>
      </c>
      <c r="B3458" t="str">
        <f>"ENTRADA"</f>
        <v>ENTRADA</v>
      </c>
      <c r="C3458" t="str">
        <f>"DINHEIRO"</f>
        <v>DINHEIRO</v>
      </c>
      <c r="D3458" t="str">
        <f>"19032026"</f>
        <v>19032026</v>
      </c>
      <c r="E3458" t="str">
        <f>""</f>
        <v/>
      </c>
      <c r="F3458" t="str">
        <f t="shared" ref="F3458:F3521" si="618">"COM"</f>
        <v>COM</v>
      </c>
      <c r="G3458" t="str">
        <f>"CRISTIANO XAVIER DA COSTA (269)"</f>
        <v>CRISTIANO XAVIER DA COSTA (269)</v>
      </c>
      <c r="H3458" t="str">
        <f>"REELMBOLSO CERTIFICADO DIGITAL 1/2"</f>
        <v>REELMBOLSO CERTIFICADO DIGITAL 1/2</v>
      </c>
      <c r="I3458" t="str">
        <f t="shared" si="617"/>
        <v>19/03/2026</v>
      </c>
      <c r="J3458" t="str">
        <f>("19/03/2026")</f>
        <v>19/03/2026</v>
      </c>
      <c r="K3458" t="str">
        <f>("19/03/2026")</f>
        <v>19/03/2026</v>
      </c>
      <c r="L3458">
        <v>60</v>
      </c>
      <c r="M3458">
        <v>60</v>
      </c>
      <c r="N3458">
        <v>108</v>
      </c>
      <c r="O3458" t="str">
        <f>"RECEITAS COM REEMBOLSOS"</f>
        <v>RECEITAS COM REEMBOLSOS</v>
      </c>
      <c r="P3458">
        <v>60</v>
      </c>
      <c r="S3458" t="str">
        <f>"RECEITAS COM REEMBOLSOS (108)"</f>
        <v>RECEITAS COM REEMBOLSOS (108)</v>
      </c>
      <c r="T3458">
        <v>31378</v>
      </c>
      <c r="U3458">
        <v>35748</v>
      </c>
      <c r="V3458" t="s">
        <v>22</v>
      </c>
    </row>
    <row r="3459" spans="1:22">
      <c r="A3459" t="str">
        <f t="shared" si="616"/>
        <v>19/03/2026</v>
      </c>
      <c r="B3459" t="str">
        <f>"ENTRADA"</f>
        <v>ENTRADA</v>
      </c>
      <c r="C3459" t="str">
        <f>"DINHEIRO"</f>
        <v>DINHEIRO</v>
      </c>
      <c r="D3459" t="str">
        <f>"19032026"</f>
        <v>19032026</v>
      </c>
      <c r="E3459" t="str">
        <f>""</f>
        <v/>
      </c>
      <c r="F3459" t="str">
        <f t="shared" si="618"/>
        <v>COM</v>
      </c>
      <c r="G3459" t="str">
        <f>"CRISTIANO XAVIER DA COSTA (269)"</f>
        <v>CRISTIANO XAVIER DA COSTA (269)</v>
      </c>
      <c r="H3459" t="s">
        <v>913</v>
      </c>
      <c r="I3459" t="str">
        <f t="shared" si="617"/>
        <v>19/03/2026</v>
      </c>
      <c r="J3459" t="str">
        <f>("19/03/2026")</f>
        <v>19/03/2026</v>
      </c>
      <c r="K3459">
        <v>46100</v>
      </c>
      <c r="N3459">
        <v>108</v>
      </c>
      <c r="O3459" t="s">
        <v>871</v>
      </c>
      <c r="Q3459">
        <v>60</v>
      </c>
      <c r="R3459" t="str">
        <f>"CRISTIANO XAVIER DA COSTA (269)"</f>
        <v>CRISTIANO XAVIER DA COSTA (269)</v>
      </c>
      <c r="S3459" t="s">
        <v>872</v>
      </c>
      <c r="T3459">
        <v>31378</v>
      </c>
      <c r="U3459">
        <v>35748</v>
      </c>
      <c r="V3459" t="s">
        <v>22</v>
      </c>
    </row>
    <row r="3460" spans="1:22">
      <c r="A3460" t="str">
        <f t="shared" si="616"/>
        <v>19/03/2026</v>
      </c>
      <c r="B3460" t="str">
        <f>"SAÍDA"</f>
        <v>SAÍDA</v>
      </c>
      <c r="C3460" t="str">
        <f>"PIX"</f>
        <v>PIX</v>
      </c>
      <c r="D3460" t="str">
        <f>"34486"</f>
        <v>34486</v>
      </c>
      <c r="E3460" t="str">
        <f>"1"</f>
        <v>1</v>
      </c>
      <c r="F3460" t="str">
        <f t="shared" si="618"/>
        <v>COM</v>
      </c>
      <c r="G3460" t="str">
        <f>"JAIR BRISON JUNIOR (964)"</f>
        <v>JAIR BRISON JUNIOR (964)</v>
      </c>
      <c r="H3460" t="str">
        <f>"Serv.Prest. 02/03/2026 a 08/03/2026 - PIX: CPF - CHAVE: 096.116.707-61"</f>
        <v>Serv.Prest. 02/03/2026 a 08/03/2026 - PIX: CPF - CHAVE: 096.116.707-61</v>
      </c>
      <c r="I3460" t="str">
        <f t="shared" si="617"/>
        <v>19/03/2026</v>
      </c>
      <c r="J3460" t="str">
        <f>("09/03/2026")</f>
        <v>09/03/2026</v>
      </c>
      <c r="K3460" t="str">
        <f>("19/03/2026")</f>
        <v>19/03/2026</v>
      </c>
      <c r="L3460">
        <v>60</v>
      </c>
      <c r="M3460">
        <v>60</v>
      </c>
      <c r="N3460">
        <v>109</v>
      </c>
      <c r="O3460" t="str">
        <f>"PAGAMENTO DE ENTREGADORES"</f>
        <v>PAGAMENTO DE ENTREGADORES</v>
      </c>
      <c r="P3460">
        <v>60</v>
      </c>
      <c r="S3460" t="str">
        <f>"CAIXA MOVIMENTAÇÃO OPERACIONAL (132)"</f>
        <v>CAIXA MOVIMENTAÇÃO OPERACIONAL (132)</v>
      </c>
      <c r="T3460">
        <v>31379</v>
      </c>
      <c r="U3460">
        <v>35753</v>
      </c>
      <c r="V3460" t="s">
        <v>22</v>
      </c>
    </row>
    <row r="3461" spans="1:22">
      <c r="A3461" t="str">
        <f t="shared" si="616"/>
        <v>19/03/2026</v>
      </c>
      <c r="B3461" t="str">
        <f>"SAÍDA"</f>
        <v>SAÍDA</v>
      </c>
      <c r="C3461" t="str">
        <f>"PIX"</f>
        <v>PIX</v>
      </c>
      <c r="D3461" t="str">
        <f>"34486"</f>
        <v>34486</v>
      </c>
      <c r="E3461" t="str">
        <f>"1"</f>
        <v>1</v>
      </c>
      <c r="F3461" t="str">
        <f t="shared" si="618"/>
        <v>COM</v>
      </c>
      <c r="G3461" t="str">
        <f>"JAIR BRISON JUNIOR (964)"</f>
        <v>JAIR BRISON JUNIOR (964)</v>
      </c>
      <c r="H3461" t="s">
        <v>992</v>
      </c>
      <c r="I3461" t="str">
        <f t="shared" si="617"/>
        <v>19/03/2026</v>
      </c>
      <c r="J3461" t="str">
        <f>("09/03/2026")</f>
        <v>09/03/2026</v>
      </c>
      <c r="K3461">
        <v>46100</v>
      </c>
      <c r="N3461">
        <v>109</v>
      </c>
      <c r="O3461" t="s">
        <v>27</v>
      </c>
      <c r="Q3461">
        <v>60</v>
      </c>
      <c r="R3461" t="str">
        <f>"FARMÁCIA INDIANA LJ 119 (10053)"</f>
        <v>FARMÁCIA INDIANA LJ 119 (10053)</v>
      </c>
      <c r="S3461" t="s">
        <v>22</v>
      </c>
      <c r="T3461">
        <v>31379</v>
      </c>
      <c r="U3461">
        <v>35753</v>
      </c>
      <c r="V3461" t="s">
        <v>22</v>
      </c>
    </row>
    <row r="3462" spans="1:22">
      <c r="A3462" t="str">
        <f t="shared" si="616"/>
        <v>19/03/2026</v>
      </c>
      <c r="B3462" t="str">
        <f>"ENTRADA"</f>
        <v>ENTRADA</v>
      </c>
      <c r="C3462" t="str">
        <f>"DINHEIRO"</f>
        <v>DINHEIRO</v>
      </c>
      <c r="D3462" t="str">
        <f>"19032026"</f>
        <v>19032026</v>
      </c>
      <c r="E3462" t="str">
        <f>""</f>
        <v/>
      </c>
      <c r="F3462" t="str">
        <f t="shared" si="618"/>
        <v>COM</v>
      </c>
      <c r="G3462" t="str">
        <f>"JAIR BRISON JUNIOR (964)"</f>
        <v>JAIR BRISON JUNIOR (964)</v>
      </c>
      <c r="H3462" t="str">
        <f>"REELMBOLSO CERTIFICADO DIGITAL 1/2"</f>
        <v>REELMBOLSO CERTIFICADO DIGITAL 1/2</v>
      </c>
      <c r="I3462" t="str">
        <f t="shared" si="617"/>
        <v>19/03/2026</v>
      </c>
      <c r="J3462" t="str">
        <f>("19/03/2026")</f>
        <v>19/03/2026</v>
      </c>
      <c r="K3462" t="str">
        <f>("19/03/2026")</f>
        <v>19/03/2026</v>
      </c>
      <c r="L3462">
        <v>60</v>
      </c>
      <c r="M3462">
        <v>60</v>
      </c>
      <c r="N3462">
        <v>108</v>
      </c>
      <c r="O3462" t="str">
        <f>"RECEITAS COM REEMBOLSOS"</f>
        <v>RECEITAS COM REEMBOLSOS</v>
      </c>
      <c r="P3462">
        <v>60</v>
      </c>
      <c r="S3462" t="str">
        <f>"RECEITAS COM REEMBOLSOS (108)"</f>
        <v>RECEITAS COM REEMBOLSOS (108)</v>
      </c>
      <c r="T3462">
        <v>31380</v>
      </c>
      <c r="U3462">
        <v>35751</v>
      </c>
      <c r="V3462" t="s">
        <v>22</v>
      </c>
    </row>
    <row r="3463" spans="1:22">
      <c r="A3463" t="str">
        <f t="shared" si="616"/>
        <v>19/03/2026</v>
      </c>
      <c r="B3463" t="str">
        <f>"ENTRADA"</f>
        <v>ENTRADA</v>
      </c>
      <c r="C3463" t="str">
        <f>"DINHEIRO"</f>
        <v>DINHEIRO</v>
      </c>
      <c r="D3463" t="str">
        <f>"19032026"</f>
        <v>19032026</v>
      </c>
      <c r="E3463" t="str">
        <f>""</f>
        <v/>
      </c>
      <c r="F3463" t="str">
        <f t="shared" si="618"/>
        <v>COM</v>
      </c>
      <c r="G3463" t="str">
        <f>"JAIR BRISON JUNIOR (964)"</f>
        <v>JAIR BRISON JUNIOR (964)</v>
      </c>
      <c r="H3463" t="s">
        <v>913</v>
      </c>
      <c r="I3463" t="str">
        <f t="shared" si="617"/>
        <v>19/03/2026</v>
      </c>
      <c r="J3463" t="str">
        <f>("19/03/2026")</f>
        <v>19/03/2026</v>
      </c>
      <c r="K3463">
        <v>46100</v>
      </c>
      <c r="N3463">
        <v>108</v>
      </c>
      <c r="O3463" t="s">
        <v>871</v>
      </c>
      <c r="Q3463">
        <v>60</v>
      </c>
      <c r="R3463" t="str">
        <f>"JAIR BRISON JUNIOR (964)"</f>
        <v>JAIR BRISON JUNIOR (964)</v>
      </c>
      <c r="S3463" t="s">
        <v>872</v>
      </c>
      <c r="T3463">
        <v>31380</v>
      </c>
      <c r="U3463">
        <v>35751</v>
      </c>
      <c r="V3463" t="s">
        <v>22</v>
      </c>
    </row>
    <row r="3464" spans="1:22">
      <c r="A3464" t="str">
        <f t="shared" si="616"/>
        <v>19/03/2026</v>
      </c>
      <c r="B3464" t="str">
        <f>"SAÍDA"</f>
        <v>SAÍDA</v>
      </c>
      <c r="C3464" t="str">
        <f>"PIX"</f>
        <v>PIX</v>
      </c>
      <c r="D3464" t="str">
        <f>"34563"</f>
        <v>34563</v>
      </c>
      <c r="E3464" t="str">
        <f>"1"</f>
        <v>1</v>
      </c>
      <c r="F3464" t="str">
        <f t="shared" si="618"/>
        <v>COM</v>
      </c>
      <c r="G3464" t="str">
        <f>"DIEGO DAYSON FERNANDES VIEIRA (893)"</f>
        <v>DIEGO DAYSON FERNANDES VIEIRA (893)</v>
      </c>
      <c r="H3464" t="str">
        <f>"Serv.Prest. 02/03/2026 a 08/03/2026 - PIX: E-MAIL - CHAVE: turano296801@gmail.com"</f>
        <v>Serv.Prest. 02/03/2026 a 08/03/2026 - PIX: E-MAIL - CHAVE: turano296801@gmail.com</v>
      </c>
      <c r="I3464" t="str">
        <f t="shared" si="617"/>
        <v>19/03/2026</v>
      </c>
      <c r="J3464" t="str">
        <f>("10/03/2026")</f>
        <v>10/03/2026</v>
      </c>
      <c r="K3464" t="str">
        <f>("19/03/2026")</f>
        <v>19/03/2026</v>
      </c>
      <c r="L3464">
        <v>60</v>
      </c>
      <c r="M3464">
        <v>60</v>
      </c>
      <c r="N3464">
        <v>109</v>
      </c>
      <c r="O3464" t="str">
        <f>"PAGAMENTO DE ENTREGADORES"</f>
        <v>PAGAMENTO DE ENTREGADORES</v>
      </c>
      <c r="P3464">
        <v>60</v>
      </c>
      <c r="S3464" t="str">
        <f>"CAIXA MOVIMENTAÇÃO OPERACIONAL (132)"</f>
        <v>CAIXA MOVIMENTAÇÃO OPERACIONAL (132)</v>
      </c>
      <c r="T3464">
        <v>31381</v>
      </c>
      <c r="U3464">
        <v>35756</v>
      </c>
      <c r="V3464" t="s">
        <v>22</v>
      </c>
    </row>
    <row r="3465" spans="1:22">
      <c r="A3465" t="str">
        <f t="shared" si="616"/>
        <v>19/03/2026</v>
      </c>
      <c r="B3465" t="str">
        <f>"SAÍDA"</f>
        <v>SAÍDA</v>
      </c>
      <c r="C3465" t="str">
        <f>"PIX"</f>
        <v>PIX</v>
      </c>
      <c r="D3465" t="str">
        <f>"34563"</f>
        <v>34563</v>
      </c>
      <c r="E3465" t="str">
        <f>"1"</f>
        <v>1</v>
      </c>
      <c r="F3465" t="str">
        <f t="shared" si="618"/>
        <v>COM</v>
      </c>
      <c r="G3465" t="str">
        <f>"DIEGO DAYSON FERNANDES VIEIRA (893)"</f>
        <v>DIEGO DAYSON FERNANDES VIEIRA (893)</v>
      </c>
      <c r="H3465" t="s">
        <v>993</v>
      </c>
      <c r="I3465" t="str">
        <f t="shared" si="617"/>
        <v>19/03/2026</v>
      </c>
      <c r="J3465" t="str">
        <f>("10/03/2026")</f>
        <v>10/03/2026</v>
      </c>
      <c r="K3465">
        <v>46100</v>
      </c>
      <c r="N3465">
        <v>109</v>
      </c>
      <c r="O3465" t="s">
        <v>27</v>
      </c>
      <c r="Q3465">
        <v>60</v>
      </c>
      <c r="R3465" t="str">
        <f>"FARMÁCIA INDIANA LJ 205 (10150)"</f>
        <v>FARMÁCIA INDIANA LJ 205 (10150)</v>
      </c>
      <c r="S3465" t="s">
        <v>22</v>
      </c>
      <c r="T3465">
        <v>31381</v>
      </c>
      <c r="U3465">
        <v>35756</v>
      </c>
      <c r="V3465" t="s">
        <v>22</v>
      </c>
    </row>
    <row r="3466" spans="1:22">
      <c r="A3466" t="str">
        <f t="shared" si="616"/>
        <v>19/03/2026</v>
      </c>
      <c r="B3466" t="str">
        <f>"ENTRADA"</f>
        <v>ENTRADA</v>
      </c>
      <c r="C3466" t="str">
        <f>"DINHEIRO"</f>
        <v>DINHEIRO</v>
      </c>
      <c r="D3466" t="str">
        <f>"19032026"</f>
        <v>19032026</v>
      </c>
      <c r="E3466" t="str">
        <f>""</f>
        <v/>
      </c>
      <c r="F3466" t="str">
        <f t="shared" si="618"/>
        <v>COM</v>
      </c>
      <c r="G3466" t="str">
        <f>"DIEGO DAYSON FERNANDES VIEIRA (893)"</f>
        <v>DIEGO DAYSON FERNANDES VIEIRA (893)</v>
      </c>
      <c r="H3466" t="str">
        <f>"REELMBOLSO CERTIFICADO DIGITAL 1/2"</f>
        <v>REELMBOLSO CERTIFICADO DIGITAL 1/2</v>
      </c>
      <c r="I3466" t="str">
        <f t="shared" si="617"/>
        <v>19/03/2026</v>
      </c>
      <c r="J3466" t="str">
        <f>("19/03/2026")</f>
        <v>19/03/2026</v>
      </c>
      <c r="K3466" t="str">
        <f>("19/03/2026")</f>
        <v>19/03/2026</v>
      </c>
      <c r="L3466">
        <v>60</v>
      </c>
      <c r="M3466">
        <v>60</v>
      </c>
      <c r="N3466">
        <v>108</v>
      </c>
      <c r="O3466" t="str">
        <f>"RECEITAS COM REEMBOLSOS"</f>
        <v>RECEITAS COM REEMBOLSOS</v>
      </c>
      <c r="P3466">
        <v>60</v>
      </c>
      <c r="S3466" t="str">
        <f>"RECEITAS COM REEMBOLSOS (108)"</f>
        <v>RECEITAS COM REEMBOLSOS (108)</v>
      </c>
      <c r="T3466">
        <v>31382</v>
      </c>
      <c r="U3466">
        <v>35754</v>
      </c>
      <c r="V3466" t="s">
        <v>22</v>
      </c>
    </row>
    <row r="3467" spans="1:22">
      <c r="A3467" t="str">
        <f t="shared" si="616"/>
        <v>19/03/2026</v>
      </c>
      <c r="B3467" t="str">
        <f>"ENTRADA"</f>
        <v>ENTRADA</v>
      </c>
      <c r="C3467" t="str">
        <f>"DINHEIRO"</f>
        <v>DINHEIRO</v>
      </c>
      <c r="D3467" t="str">
        <f>"19032026"</f>
        <v>19032026</v>
      </c>
      <c r="E3467" t="str">
        <f>""</f>
        <v/>
      </c>
      <c r="F3467" t="str">
        <f t="shared" si="618"/>
        <v>COM</v>
      </c>
      <c r="G3467" t="str">
        <f>"DIEGO DAYSON FERNANDES VIEIRA (893)"</f>
        <v>DIEGO DAYSON FERNANDES VIEIRA (893)</v>
      </c>
      <c r="H3467" t="s">
        <v>913</v>
      </c>
      <c r="I3467" t="str">
        <f t="shared" si="617"/>
        <v>19/03/2026</v>
      </c>
      <c r="J3467" t="str">
        <f>("19/03/2026")</f>
        <v>19/03/2026</v>
      </c>
      <c r="K3467">
        <v>46100</v>
      </c>
      <c r="N3467">
        <v>108</v>
      </c>
      <c r="O3467" t="s">
        <v>871</v>
      </c>
      <c r="Q3467">
        <v>60</v>
      </c>
      <c r="R3467" t="str">
        <f>"DIEGO DAYSON FERNANDES VIEIRA (893)"</f>
        <v>DIEGO DAYSON FERNANDES VIEIRA (893)</v>
      </c>
      <c r="S3467" t="s">
        <v>872</v>
      </c>
      <c r="T3467">
        <v>31382</v>
      </c>
      <c r="U3467">
        <v>35754</v>
      </c>
      <c r="V3467" t="s">
        <v>22</v>
      </c>
    </row>
    <row r="3468" spans="1:22">
      <c r="A3468" t="str">
        <f t="shared" si="616"/>
        <v>19/03/2026</v>
      </c>
      <c r="B3468" t="str">
        <f>"SAÍDA"</f>
        <v>SAÍDA</v>
      </c>
      <c r="C3468" t="str">
        <f>"PIX"</f>
        <v>PIX</v>
      </c>
      <c r="D3468" t="str">
        <f>"34652"</f>
        <v>34652</v>
      </c>
      <c r="E3468" t="str">
        <f>"1"</f>
        <v>1</v>
      </c>
      <c r="F3468" t="str">
        <f t="shared" si="618"/>
        <v>COM</v>
      </c>
      <c r="G3468" t="str">
        <f>"WEMERSON MOREIRA PESSOA (75)"</f>
        <v>WEMERSON MOREIRA PESSOA (75)</v>
      </c>
      <c r="H3468" t="str">
        <f>"Serv.Prest. 02/03/2026 a 08/03/2026 - PIX: CELULAR - CHAVE: (33) 99996-3668"</f>
        <v>Serv.Prest. 02/03/2026 a 08/03/2026 - PIX: CELULAR - CHAVE: (33) 99996-3668</v>
      </c>
      <c r="I3468" t="str">
        <f t="shared" si="617"/>
        <v>19/03/2026</v>
      </c>
      <c r="J3468" t="str">
        <f>("10/03/2026")</f>
        <v>10/03/2026</v>
      </c>
      <c r="K3468" t="str">
        <f>("19/03/2026")</f>
        <v>19/03/2026</v>
      </c>
      <c r="L3468">
        <v>60</v>
      </c>
      <c r="M3468">
        <v>60</v>
      </c>
      <c r="N3468">
        <v>109</v>
      </c>
      <c r="O3468" t="str">
        <f>"PAGAMENTO DE ENTREGADORES"</f>
        <v>PAGAMENTO DE ENTREGADORES</v>
      </c>
      <c r="P3468">
        <v>60</v>
      </c>
      <c r="S3468" t="str">
        <f>"CAIXA MOVIMENTAÇÃO OPERACIONAL (132)"</f>
        <v>CAIXA MOVIMENTAÇÃO OPERACIONAL (132)</v>
      </c>
      <c r="T3468">
        <v>31383</v>
      </c>
      <c r="U3468">
        <v>35759</v>
      </c>
      <c r="V3468" t="s">
        <v>22</v>
      </c>
    </row>
    <row r="3469" spans="1:22">
      <c r="A3469" t="str">
        <f t="shared" si="616"/>
        <v>19/03/2026</v>
      </c>
      <c r="B3469" t="str">
        <f>"SAÍDA"</f>
        <v>SAÍDA</v>
      </c>
      <c r="C3469" t="str">
        <f>"PIX"</f>
        <v>PIX</v>
      </c>
      <c r="D3469" t="str">
        <f>"34652"</f>
        <v>34652</v>
      </c>
      <c r="E3469" t="str">
        <f>"1"</f>
        <v>1</v>
      </c>
      <c r="F3469" t="str">
        <f t="shared" si="618"/>
        <v>COM</v>
      </c>
      <c r="G3469" t="str">
        <f>"WEMERSON MOREIRA PESSOA (75)"</f>
        <v>WEMERSON MOREIRA PESSOA (75)</v>
      </c>
      <c r="H3469" t="s">
        <v>994</v>
      </c>
      <c r="I3469" t="str">
        <f t="shared" si="617"/>
        <v>19/03/2026</v>
      </c>
      <c r="J3469" t="str">
        <f>("10/03/2026")</f>
        <v>10/03/2026</v>
      </c>
      <c r="K3469">
        <v>46100</v>
      </c>
      <c r="N3469">
        <v>109</v>
      </c>
      <c r="O3469" t="s">
        <v>27</v>
      </c>
      <c r="Q3469">
        <v>60</v>
      </c>
      <c r="R3469" t="str">
        <f>"FARMÁCIA INDIANA LJ 07 (10007)"</f>
        <v>FARMÁCIA INDIANA LJ 07 (10007)</v>
      </c>
      <c r="S3469" t="s">
        <v>22</v>
      </c>
      <c r="T3469">
        <v>31383</v>
      </c>
      <c r="U3469">
        <v>35759</v>
      </c>
      <c r="V3469" t="s">
        <v>22</v>
      </c>
    </row>
    <row r="3470" spans="1:22">
      <c r="A3470" t="str">
        <f t="shared" si="616"/>
        <v>19/03/2026</v>
      </c>
      <c r="B3470" t="str">
        <f>"ENTRADA"</f>
        <v>ENTRADA</v>
      </c>
      <c r="C3470" t="str">
        <f>"DINHEIRO"</f>
        <v>DINHEIRO</v>
      </c>
      <c r="D3470" t="str">
        <f>"19032026"</f>
        <v>19032026</v>
      </c>
      <c r="E3470" t="str">
        <f>""</f>
        <v/>
      </c>
      <c r="F3470" t="str">
        <f t="shared" si="618"/>
        <v>COM</v>
      </c>
      <c r="G3470" t="str">
        <f>"WEMERSON MOREIRA PESSOA (75)"</f>
        <v>WEMERSON MOREIRA PESSOA (75)</v>
      </c>
      <c r="H3470" t="str">
        <f>"REELMBOLSO CERTIFICADO DIGITAL 1/2"</f>
        <v>REELMBOLSO CERTIFICADO DIGITAL 1/2</v>
      </c>
      <c r="I3470" t="str">
        <f t="shared" si="617"/>
        <v>19/03/2026</v>
      </c>
      <c r="J3470" t="str">
        <f>("19/03/2026")</f>
        <v>19/03/2026</v>
      </c>
      <c r="K3470" t="str">
        <f>("19/03/2026")</f>
        <v>19/03/2026</v>
      </c>
      <c r="L3470">
        <v>60</v>
      </c>
      <c r="M3470">
        <v>60</v>
      </c>
      <c r="N3470">
        <v>108</v>
      </c>
      <c r="O3470" t="str">
        <f>"RECEITAS COM REEMBOLSOS"</f>
        <v>RECEITAS COM REEMBOLSOS</v>
      </c>
      <c r="P3470">
        <v>60</v>
      </c>
      <c r="S3470" t="str">
        <f>"RECEITAS COM REEMBOLSOS (108)"</f>
        <v>RECEITAS COM REEMBOLSOS (108)</v>
      </c>
      <c r="T3470">
        <v>31384</v>
      </c>
      <c r="U3470">
        <v>35757</v>
      </c>
      <c r="V3470" t="s">
        <v>22</v>
      </c>
    </row>
    <row r="3471" spans="1:22">
      <c r="A3471" t="str">
        <f t="shared" si="616"/>
        <v>19/03/2026</v>
      </c>
      <c r="B3471" t="str">
        <f>"ENTRADA"</f>
        <v>ENTRADA</v>
      </c>
      <c r="C3471" t="str">
        <f>"DINHEIRO"</f>
        <v>DINHEIRO</v>
      </c>
      <c r="D3471" t="str">
        <f>"19032026"</f>
        <v>19032026</v>
      </c>
      <c r="E3471" t="str">
        <f>""</f>
        <v/>
      </c>
      <c r="F3471" t="str">
        <f t="shared" si="618"/>
        <v>COM</v>
      </c>
      <c r="G3471" t="str">
        <f>"WEMERSON MOREIRA PESSOA (75)"</f>
        <v>WEMERSON MOREIRA PESSOA (75)</v>
      </c>
      <c r="H3471" t="s">
        <v>913</v>
      </c>
      <c r="I3471" t="str">
        <f t="shared" si="617"/>
        <v>19/03/2026</v>
      </c>
      <c r="J3471" t="str">
        <f>("19/03/2026")</f>
        <v>19/03/2026</v>
      </c>
      <c r="K3471">
        <v>46100</v>
      </c>
      <c r="N3471">
        <v>108</v>
      </c>
      <c r="O3471" t="s">
        <v>871</v>
      </c>
      <c r="Q3471">
        <v>60</v>
      </c>
      <c r="R3471" t="str">
        <f>"WEMERSON MOREIRA PESSOA (75)"</f>
        <v>WEMERSON MOREIRA PESSOA (75)</v>
      </c>
      <c r="S3471" t="s">
        <v>872</v>
      </c>
      <c r="T3471">
        <v>31384</v>
      </c>
      <c r="U3471">
        <v>35757</v>
      </c>
      <c r="V3471" t="s">
        <v>22</v>
      </c>
    </row>
    <row r="3472" spans="1:22">
      <c r="A3472" t="str">
        <f t="shared" si="616"/>
        <v>19/03/2026</v>
      </c>
      <c r="B3472" t="str">
        <f>"SAÍDA"</f>
        <v>SAÍDA</v>
      </c>
      <c r="C3472" t="str">
        <f>"PIX"</f>
        <v>PIX</v>
      </c>
      <c r="D3472" t="str">
        <f>"34568"</f>
        <v>34568</v>
      </c>
      <c r="E3472" t="str">
        <f>"1"</f>
        <v>1</v>
      </c>
      <c r="F3472" t="str">
        <f t="shared" si="618"/>
        <v>COM</v>
      </c>
      <c r="G3472" t="str">
        <f>"EMANUEL COSTA NASCIMENTO (1361)"</f>
        <v>EMANUEL COSTA NASCIMENTO (1361)</v>
      </c>
      <c r="H3472" t="str">
        <f>"Serv.Prest. 02/03/2026 a 08/03/2026 - PIX: CPF - CHAVE: 108.982.386-09"</f>
        <v>Serv.Prest. 02/03/2026 a 08/03/2026 - PIX: CPF - CHAVE: 108.982.386-09</v>
      </c>
      <c r="I3472" t="str">
        <f t="shared" si="617"/>
        <v>19/03/2026</v>
      </c>
      <c r="J3472" t="str">
        <f>("10/03/2026")</f>
        <v>10/03/2026</v>
      </c>
      <c r="K3472" t="str">
        <f>("19/03/2026")</f>
        <v>19/03/2026</v>
      </c>
      <c r="L3472">
        <v>60</v>
      </c>
      <c r="M3472">
        <v>60</v>
      </c>
      <c r="N3472">
        <v>109</v>
      </c>
      <c r="O3472" t="str">
        <f>"PAGAMENTO DE ENTREGADORES"</f>
        <v>PAGAMENTO DE ENTREGADORES</v>
      </c>
      <c r="P3472">
        <v>60</v>
      </c>
      <c r="S3472" t="str">
        <f>"CAIXA MOVIMENTAÇÃO OPERACIONAL (132)"</f>
        <v>CAIXA MOVIMENTAÇÃO OPERACIONAL (132)</v>
      </c>
      <c r="T3472">
        <v>31385</v>
      </c>
      <c r="U3472">
        <v>35762</v>
      </c>
      <c r="V3472" t="s">
        <v>22</v>
      </c>
    </row>
    <row r="3473" spans="1:22">
      <c r="A3473" t="str">
        <f t="shared" si="616"/>
        <v>19/03/2026</v>
      </c>
      <c r="B3473" t="str">
        <f>"SAÍDA"</f>
        <v>SAÍDA</v>
      </c>
      <c r="C3473" t="str">
        <f>"PIX"</f>
        <v>PIX</v>
      </c>
      <c r="D3473" t="str">
        <f>"34568"</f>
        <v>34568</v>
      </c>
      <c r="E3473" t="str">
        <f>"1"</f>
        <v>1</v>
      </c>
      <c r="F3473" t="str">
        <f t="shared" si="618"/>
        <v>COM</v>
      </c>
      <c r="G3473" t="str">
        <f>"EMANUEL COSTA NASCIMENTO (1361)"</f>
        <v>EMANUEL COSTA NASCIMENTO (1361)</v>
      </c>
      <c r="H3473" t="s">
        <v>995</v>
      </c>
      <c r="I3473" t="str">
        <f t="shared" si="617"/>
        <v>19/03/2026</v>
      </c>
      <c r="J3473" t="str">
        <f>("10/03/2026")</f>
        <v>10/03/2026</v>
      </c>
      <c r="K3473">
        <v>46100</v>
      </c>
      <c r="N3473">
        <v>109</v>
      </c>
      <c r="O3473" t="s">
        <v>27</v>
      </c>
      <c r="Q3473">
        <v>60</v>
      </c>
      <c r="R3473" t="str">
        <f>"FARMÁCIA INDIANA LJ 06 (10006)"</f>
        <v>FARMÁCIA INDIANA LJ 06 (10006)</v>
      </c>
      <c r="S3473" t="s">
        <v>22</v>
      </c>
      <c r="T3473">
        <v>31385</v>
      </c>
      <c r="U3473">
        <v>35762</v>
      </c>
      <c r="V3473" t="s">
        <v>22</v>
      </c>
    </row>
    <row r="3474" spans="1:22">
      <c r="A3474" t="str">
        <f t="shared" si="616"/>
        <v>19/03/2026</v>
      </c>
      <c r="B3474" t="str">
        <f t="shared" ref="B3474:B3496" si="619">"ENTRADA"</f>
        <v>ENTRADA</v>
      </c>
      <c r="C3474" t="str">
        <f>"DINHEIRO"</f>
        <v>DINHEIRO</v>
      </c>
      <c r="D3474" t="str">
        <f>"19032026"</f>
        <v>19032026</v>
      </c>
      <c r="E3474" t="str">
        <f>""</f>
        <v/>
      </c>
      <c r="F3474" t="str">
        <f t="shared" si="618"/>
        <v>COM</v>
      </c>
      <c r="G3474" t="str">
        <f>"EMANUEL COSTA NASCIMENTO (1361)"</f>
        <v>EMANUEL COSTA NASCIMENTO (1361)</v>
      </c>
      <c r="H3474" t="str">
        <f>"REELMBOLSO CERTIFICADO DIGITAL 1/2"</f>
        <v>REELMBOLSO CERTIFICADO DIGITAL 1/2</v>
      </c>
      <c r="I3474" t="str">
        <f t="shared" si="617"/>
        <v>19/03/2026</v>
      </c>
      <c r="J3474" t="str">
        <f>("19/03/2026")</f>
        <v>19/03/2026</v>
      </c>
      <c r="K3474" t="str">
        <f>("19/03/2026")</f>
        <v>19/03/2026</v>
      </c>
      <c r="L3474">
        <v>60</v>
      </c>
      <c r="M3474">
        <v>60</v>
      </c>
      <c r="N3474">
        <v>108</v>
      </c>
      <c r="O3474" t="str">
        <f>"RECEITAS COM REEMBOLSOS"</f>
        <v>RECEITAS COM REEMBOLSOS</v>
      </c>
      <c r="P3474">
        <v>60</v>
      </c>
      <c r="S3474" t="str">
        <f>"RECEITAS COM REEMBOLSOS (108)"</f>
        <v>RECEITAS COM REEMBOLSOS (108)</v>
      </c>
      <c r="T3474">
        <v>31386</v>
      </c>
      <c r="U3474">
        <v>35760</v>
      </c>
      <c r="V3474" t="s">
        <v>22</v>
      </c>
    </row>
    <row r="3475" spans="1:22">
      <c r="A3475" t="str">
        <f t="shared" si="616"/>
        <v>19/03/2026</v>
      </c>
      <c r="B3475" t="str">
        <f t="shared" si="619"/>
        <v>ENTRADA</v>
      </c>
      <c r="C3475" t="str">
        <f>"DINHEIRO"</f>
        <v>DINHEIRO</v>
      </c>
      <c r="D3475" t="str">
        <f>"19032026"</f>
        <v>19032026</v>
      </c>
      <c r="E3475" t="str">
        <f>""</f>
        <v/>
      </c>
      <c r="F3475" t="str">
        <f t="shared" si="618"/>
        <v>COM</v>
      </c>
      <c r="G3475" t="str">
        <f>"EMANUEL COSTA NASCIMENTO (1361)"</f>
        <v>EMANUEL COSTA NASCIMENTO (1361)</v>
      </c>
      <c r="H3475" t="s">
        <v>913</v>
      </c>
      <c r="I3475" t="str">
        <f t="shared" si="617"/>
        <v>19/03/2026</v>
      </c>
      <c r="J3475" t="str">
        <f>("19/03/2026")</f>
        <v>19/03/2026</v>
      </c>
      <c r="K3475">
        <v>46100</v>
      </c>
      <c r="N3475">
        <v>108</v>
      </c>
      <c r="O3475" t="s">
        <v>871</v>
      </c>
      <c r="Q3475">
        <v>60</v>
      </c>
      <c r="R3475" t="str">
        <f>"EMANUEL COSTA NASCIMENTO (1361)"</f>
        <v>EMANUEL COSTA NASCIMENTO (1361)</v>
      </c>
      <c r="S3475" t="s">
        <v>872</v>
      </c>
      <c r="T3475">
        <v>31386</v>
      </c>
      <c r="U3475">
        <v>35760</v>
      </c>
      <c r="V3475" t="s">
        <v>22</v>
      </c>
    </row>
    <row r="3476" spans="1:22">
      <c r="A3476" t="str">
        <f t="shared" si="616"/>
        <v>19/03/2026</v>
      </c>
      <c r="B3476" t="str">
        <f t="shared" si="619"/>
        <v>ENTRADA</v>
      </c>
      <c r="C3476" t="str">
        <f t="shared" ref="C3476:C3496" si="620">"NFSE"</f>
        <v>NFSE</v>
      </c>
      <c r="D3476" t="str">
        <f>"526"</f>
        <v>526</v>
      </c>
      <c r="E3476" t="str">
        <f t="shared" ref="E3476:E3496" si="621">"1"</f>
        <v>1</v>
      </c>
      <c r="F3476" t="str">
        <f t="shared" si="618"/>
        <v>COM</v>
      </c>
      <c r="G3476" t="str">
        <f>"FRAN FARMA (10124)"</f>
        <v>FRAN FARMA (10124)</v>
      </c>
      <c r="H3476" t="str">
        <f>"Serv.Prest. 09/03/2026 a 15/03/2026 - RPS: 2454 - NFSe: 526"</f>
        <v>Serv.Prest. 09/03/2026 a 15/03/2026 - RPS: 2454 - NFSe: 526</v>
      </c>
      <c r="I3476" t="str">
        <f t="shared" ref="I3476:I3496" si="622">("18/03/2026")</f>
        <v>18/03/2026</v>
      </c>
      <c r="J3476" t="str">
        <f t="shared" ref="J3476:J3481" si="623">("16/03/2026")</f>
        <v>16/03/2026</v>
      </c>
      <c r="K3476" t="str">
        <f>("19/03/2026")</f>
        <v>19/03/2026</v>
      </c>
      <c r="L3476">
        <v>1036.3800000000001</v>
      </c>
      <c r="M3476">
        <v>1036.3800000000001</v>
      </c>
      <c r="N3476">
        <v>303</v>
      </c>
      <c r="O3476" t="str">
        <f>"RECEITAS COM ENTREGAS"</f>
        <v>RECEITAS COM ENTREGAS</v>
      </c>
      <c r="P3476">
        <v>1036.3800000000001</v>
      </c>
      <c r="S3476" t="str">
        <f>"RECEITAS COM ENTREGAS (303)"</f>
        <v>RECEITAS COM ENTREGAS (303)</v>
      </c>
      <c r="T3476">
        <v>31410</v>
      </c>
      <c r="U3476">
        <v>34931</v>
      </c>
      <c r="V3476" t="s">
        <v>33</v>
      </c>
    </row>
    <row r="3477" spans="1:22">
      <c r="A3477" t="str">
        <f t="shared" si="616"/>
        <v>19/03/2026</v>
      </c>
      <c r="B3477" t="str">
        <f t="shared" si="619"/>
        <v>ENTRADA</v>
      </c>
      <c r="C3477" t="str">
        <f t="shared" si="620"/>
        <v>NFSE</v>
      </c>
      <c r="D3477" t="str">
        <f>"526"</f>
        <v>526</v>
      </c>
      <c r="E3477" t="str">
        <f t="shared" si="621"/>
        <v>1</v>
      </c>
      <c r="F3477" t="str">
        <f t="shared" si="618"/>
        <v>COM</v>
      </c>
      <c r="G3477" t="str">
        <f>"FRAN FARMA (10124)"</f>
        <v>FRAN FARMA (10124)</v>
      </c>
      <c r="H3477" t="s">
        <v>996</v>
      </c>
      <c r="I3477" t="str">
        <f t="shared" si="622"/>
        <v>18/03/2026</v>
      </c>
      <c r="J3477" t="str">
        <f t="shared" si="623"/>
        <v>16/03/2026</v>
      </c>
      <c r="K3477">
        <v>46100</v>
      </c>
      <c r="N3477">
        <v>303</v>
      </c>
      <c r="O3477" t="s">
        <v>102</v>
      </c>
      <c r="Q3477">
        <v>270.29000000000002</v>
      </c>
      <c r="R3477" t="str">
        <f>"FRAN FARMA (10124)"</f>
        <v>FRAN FARMA (10124)</v>
      </c>
      <c r="S3477" t="s">
        <v>103</v>
      </c>
      <c r="T3477">
        <v>31410</v>
      </c>
      <c r="U3477">
        <v>34931</v>
      </c>
      <c r="V3477" t="s">
        <v>33</v>
      </c>
    </row>
    <row r="3478" spans="1:22">
      <c r="A3478" t="str">
        <f t="shared" si="616"/>
        <v>19/03/2026</v>
      </c>
      <c r="B3478" t="str">
        <f t="shared" si="619"/>
        <v>ENTRADA</v>
      </c>
      <c r="C3478" t="str">
        <f t="shared" si="620"/>
        <v>NFSE</v>
      </c>
      <c r="D3478" t="str">
        <f>"526"</f>
        <v>526</v>
      </c>
      <c r="E3478" t="str">
        <f t="shared" si="621"/>
        <v>1</v>
      </c>
      <c r="F3478" t="str">
        <f t="shared" si="618"/>
        <v>COM</v>
      </c>
      <c r="G3478" t="str">
        <f>"FRAN FARMA (10124)"</f>
        <v>FRAN FARMA (10124)</v>
      </c>
      <c r="H3478" t="s">
        <v>996</v>
      </c>
      <c r="I3478" t="str">
        <f t="shared" si="622"/>
        <v>18/03/2026</v>
      </c>
      <c r="J3478" t="str">
        <f t="shared" si="623"/>
        <v>16/03/2026</v>
      </c>
      <c r="K3478">
        <v>46100</v>
      </c>
      <c r="N3478">
        <v>303</v>
      </c>
      <c r="O3478" t="s">
        <v>102</v>
      </c>
      <c r="Q3478">
        <v>660.28</v>
      </c>
      <c r="R3478" t="str">
        <f>"FRAN FARMA LJ 2 (10131)"</f>
        <v>FRAN FARMA LJ 2 (10131)</v>
      </c>
      <c r="S3478" t="s">
        <v>103</v>
      </c>
      <c r="T3478">
        <v>31410</v>
      </c>
      <c r="U3478">
        <v>34931</v>
      </c>
      <c r="V3478" t="s">
        <v>33</v>
      </c>
    </row>
    <row r="3479" spans="1:22">
      <c r="A3479" t="str">
        <f t="shared" si="616"/>
        <v>19/03/2026</v>
      </c>
      <c r="B3479" t="str">
        <f t="shared" si="619"/>
        <v>ENTRADA</v>
      </c>
      <c r="C3479" t="str">
        <f t="shared" si="620"/>
        <v>NFSE</v>
      </c>
      <c r="D3479" t="str">
        <f>"526"</f>
        <v>526</v>
      </c>
      <c r="E3479" t="str">
        <f t="shared" si="621"/>
        <v>1</v>
      </c>
      <c r="F3479" t="str">
        <f t="shared" si="618"/>
        <v>COM</v>
      </c>
      <c r="G3479" t="str">
        <f>"FRAN FARMA (10124)"</f>
        <v>FRAN FARMA (10124)</v>
      </c>
      <c r="H3479" t="s">
        <v>996</v>
      </c>
      <c r="I3479" t="str">
        <f t="shared" si="622"/>
        <v>18/03/2026</v>
      </c>
      <c r="J3479" t="str">
        <f t="shared" si="623"/>
        <v>16/03/2026</v>
      </c>
      <c r="K3479">
        <v>46100</v>
      </c>
      <c r="N3479">
        <v>303</v>
      </c>
      <c r="O3479" t="s">
        <v>102</v>
      </c>
      <c r="Q3479">
        <v>105.81</v>
      </c>
      <c r="R3479" t="str">
        <f>"FRAN FARMA LJ 3 (10132)"</f>
        <v>FRAN FARMA LJ 3 (10132)</v>
      </c>
      <c r="S3479" t="s">
        <v>103</v>
      </c>
      <c r="T3479">
        <v>31410</v>
      </c>
      <c r="U3479">
        <v>34931</v>
      </c>
      <c r="V3479" t="s">
        <v>33</v>
      </c>
    </row>
    <row r="3480" spans="1:22">
      <c r="A3480" t="str">
        <f t="shared" si="616"/>
        <v>19/03/2026</v>
      </c>
      <c r="B3480" t="str">
        <f t="shared" si="619"/>
        <v>ENTRADA</v>
      </c>
      <c r="C3480" t="str">
        <f t="shared" si="620"/>
        <v>NFSE</v>
      </c>
      <c r="D3480" t="str">
        <f>"534"</f>
        <v>534</v>
      </c>
      <c r="E3480" t="str">
        <f t="shared" si="621"/>
        <v>1</v>
      </c>
      <c r="F3480" t="str">
        <f t="shared" si="618"/>
        <v>COM</v>
      </c>
      <c r="G3480" t="str">
        <f>"DROGARIA ISABELLA (10276)"</f>
        <v>DROGARIA ISABELLA (10276)</v>
      </c>
      <c r="H3480" t="str">
        <f>"Serv.Prest. 09/03/2026 a 15/03/2026 - RPS: 2462 - NFSe: 534"</f>
        <v>Serv.Prest. 09/03/2026 a 15/03/2026 - RPS: 2462 - NFSe: 534</v>
      </c>
      <c r="I3480" t="str">
        <f t="shared" si="622"/>
        <v>18/03/2026</v>
      </c>
      <c r="J3480" t="str">
        <f t="shared" si="623"/>
        <v>16/03/2026</v>
      </c>
      <c r="K3480" t="str">
        <f>("19/03/2026")</f>
        <v>19/03/2026</v>
      </c>
      <c r="L3480">
        <v>2884.05</v>
      </c>
      <c r="M3480">
        <v>2884.05</v>
      </c>
      <c r="N3480">
        <v>303</v>
      </c>
      <c r="O3480" t="str">
        <f>"RECEITAS COM ENTREGAS"</f>
        <v>RECEITAS COM ENTREGAS</v>
      </c>
      <c r="P3480">
        <v>2884.05</v>
      </c>
      <c r="S3480" t="str">
        <f>"RECEITAS COM ENTREGAS (303)"</f>
        <v>RECEITAS COM ENTREGAS (303)</v>
      </c>
      <c r="T3480">
        <v>31411</v>
      </c>
      <c r="U3480">
        <v>34975</v>
      </c>
      <c r="V3480" t="s">
        <v>33</v>
      </c>
    </row>
    <row r="3481" spans="1:22">
      <c r="A3481" t="str">
        <f t="shared" si="616"/>
        <v>19/03/2026</v>
      </c>
      <c r="B3481" t="str">
        <f t="shared" si="619"/>
        <v>ENTRADA</v>
      </c>
      <c r="C3481" t="str">
        <f t="shared" si="620"/>
        <v>NFSE</v>
      </c>
      <c r="D3481" t="str">
        <f>"534"</f>
        <v>534</v>
      </c>
      <c r="E3481" t="str">
        <f t="shared" si="621"/>
        <v>1</v>
      </c>
      <c r="F3481" t="str">
        <f t="shared" si="618"/>
        <v>COM</v>
      </c>
      <c r="G3481" t="str">
        <f>"DROGARIA ISABELLA (10276)"</f>
        <v>DROGARIA ISABELLA (10276)</v>
      </c>
      <c r="H3481" t="s">
        <v>997</v>
      </c>
      <c r="I3481" t="str">
        <f t="shared" si="622"/>
        <v>18/03/2026</v>
      </c>
      <c r="J3481" t="str">
        <f t="shared" si="623"/>
        <v>16/03/2026</v>
      </c>
      <c r="K3481">
        <v>46100</v>
      </c>
      <c r="N3481">
        <v>303</v>
      </c>
      <c r="O3481" t="s">
        <v>102</v>
      </c>
      <c r="Q3481">
        <v>2884.05</v>
      </c>
      <c r="R3481" t="str">
        <f>"DROGARIA ISABELLA (10276)"</f>
        <v>DROGARIA ISABELLA (10276)</v>
      </c>
      <c r="S3481" t="s">
        <v>103</v>
      </c>
      <c r="T3481">
        <v>31411</v>
      </c>
      <c r="U3481">
        <v>34975</v>
      </c>
      <c r="V3481" t="s">
        <v>33</v>
      </c>
    </row>
    <row r="3482" spans="1:22">
      <c r="A3482" t="str">
        <f t="shared" si="616"/>
        <v>19/03/2026</v>
      </c>
      <c r="B3482" t="str">
        <f t="shared" si="619"/>
        <v>ENTRADA</v>
      </c>
      <c r="C3482" t="str">
        <f t="shared" si="620"/>
        <v>NFSE</v>
      </c>
      <c r="D3482" t="str">
        <f>"551"</f>
        <v>551</v>
      </c>
      <c r="E3482" t="str">
        <f t="shared" si="621"/>
        <v>1</v>
      </c>
      <c r="F3482" t="str">
        <f t="shared" si="618"/>
        <v>COM</v>
      </c>
      <c r="G3482" t="str">
        <f>"FARMACIA ROSAS (10288)"</f>
        <v>FARMACIA ROSAS (10288)</v>
      </c>
      <c r="H3482" t="str">
        <f>"Serv.Prest. 09/03/2026 a 15/03/2026 - RPS: 2479 - NFSe: 551"</f>
        <v>Serv.Prest. 09/03/2026 a 15/03/2026 - RPS: 2479 - NFSe: 551</v>
      </c>
      <c r="I3482" t="str">
        <f t="shared" si="622"/>
        <v>18/03/2026</v>
      </c>
      <c r="J3482" t="str">
        <f t="shared" ref="J3482:J3494" si="624">("17/03/2026")</f>
        <v>17/03/2026</v>
      </c>
      <c r="K3482" t="str">
        <f>("19/03/2026")</f>
        <v>19/03/2026</v>
      </c>
      <c r="L3482">
        <v>3400</v>
      </c>
      <c r="M3482">
        <v>3400</v>
      </c>
      <c r="N3482">
        <v>303</v>
      </c>
      <c r="O3482" t="str">
        <f>"RECEITAS COM ENTREGAS"</f>
        <v>RECEITAS COM ENTREGAS</v>
      </c>
      <c r="P3482">
        <v>3400</v>
      </c>
      <c r="S3482" t="str">
        <f>"RECEITAS COM ENTREGAS (303)"</f>
        <v>RECEITAS COM ENTREGAS (303)</v>
      </c>
      <c r="T3482">
        <v>31412</v>
      </c>
      <c r="U3482">
        <v>35095</v>
      </c>
      <c r="V3482" t="s">
        <v>33</v>
      </c>
    </row>
    <row r="3483" spans="1:22">
      <c r="A3483" t="str">
        <f t="shared" si="616"/>
        <v>19/03/2026</v>
      </c>
      <c r="B3483" t="str">
        <f t="shared" si="619"/>
        <v>ENTRADA</v>
      </c>
      <c r="C3483" t="str">
        <f t="shared" si="620"/>
        <v>NFSE</v>
      </c>
      <c r="D3483" t="str">
        <f>"551"</f>
        <v>551</v>
      </c>
      <c r="E3483" t="str">
        <f t="shared" si="621"/>
        <v>1</v>
      </c>
      <c r="F3483" t="str">
        <f t="shared" si="618"/>
        <v>COM</v>
      </c>
      <c r="G3483" t="str">
        <f>"FARMACIA ROSAS (10288)"</f>
        <v>FARMACIA ROSAS (10288)</v>
      </c>
      <c r="H3483" t="s">
        <v>998</v>
      </c>
      <c r="I3483" t="str">
        <f t="shared" si="622"/>
        <v>18/03/2026</v>
      </c>
      <c r="J3483" t="str">
        <f t="shared" si="624"/>
        <v>17/03/2026</v>
      </c>
      <c r="K3483">
        <v>46100</v>
      </c>
      <c r="N3483">
        <v>303</v>
      </c>
      <c r="O3483" t="s">
        <v>102</v>
      </c>
      <c r="Q3483">
        <v>3400</v>
      </c>
      <c r="R3483" t="str">
        <f>"FARMACIA ROSAS (10288)"</f>
        <v>FARMACIA ROSAS (10288)</v>
      </c>
      <c r="S3483" t="s">
        <v>103</v>
      </c>
      <c r="T3483">
        <v>31412</v>
      </c>
      <c r="U3483">
        <v>35095</v>
      </c>
      <c r="V3483" t="s">
        <v>33</v>
      </c>
    </row>
    <row r="3484" spans="1:22">
      <c r="A3484" t="str">
        <f t="shared" si="616"/>
        <v>19/03/2026</v>
      </c>
      <c r="B3484" t="str">
        <f t="shared" si="619"/>
        <v>ENTRADA</v>
      </c>
      <c r="C3484" t="str">
        <f t="shared" si="620"/>
        <v>NFSE</v>
      </c>
      <c r="D3484" t="str">
        <f>"553"</f>
        <v>553</v>
      </c>
      <c r="E3484" t="str">
        <f t="shared" si="621"/>
        <v>1</v>
      </c>
      <c r="F3484" t="str">
        <f t="shared" si="618"/>
        <v>COM</v>
      </c>
      <c r="G3484" t="str">
        <f>"DROGA ELIDA (10121)"</f>
        <v>DROGA ELIDA (10121)</v>
      </c>
      <c r="H3484" t="str">
        <f>"Serv.Prest. 09/03/2026 a 15/03/2026 - RPS: 2481 - NFSe: 553"</f>
        <v>Serv.Prest. 09/03/2026 a 15/03/2026 - RPS: 2481 - NFSe: 553</v>
      </c>
      <c r="I3484" t="str">
        <f t="shared" si="622"/>
        <v>18/03/2026</v>
      </c>
      <c r="J3484" t="str">
        <f t="shared" si="624"/>
        <v>17/03/2026</v>
      </c>
      <c r="K3484" t="str">
        <f>("19/03/2026")</f>
        <v>19/03/2026</v>
      </c>
      <c r="L3484">
        <v>1976.25</v>
      </c>
      <c r="M3484">
        <v>1976.25</v>
      </c>
      <c r="N3484">
        <v>303</v>
      </c>
      <c r="O3484" t="str">
        <f>"RECEITAS COM ENTREGAS"</f>
        <v>RECEITAS COM ENTREGAS</v>
      </c>
      <c r="P3484">
        <v>1976.25</v>
      </c>
      <c r="S3484" t="str">
        <f>"RECEITAS COM ENTREGAS (303)"</f>
        <v>RECEITAS COM ENTREGAS (303)</v>
      </c>
      <c r="T3484">
        <v>31416</v>
      </c>
      <c r="U3484">
        <v>35105</v>
      </c>
      <c r="V3484" t="s">
        <v>33</v>
      </c>
    </row>
    <row r="3485" spans="1:22">
      <c r="A3485" t="str">
        <f t="shared" si="616"/>
        <v>19/03/2026</v>
      </c>
      <c r="B3485" t="str">
        <f t="shared" si="619"/>
        <v>ENTRADA</v>
      </c>
      <c r="C3485" t="str">
        <f t="shared" si="620"/>
        <v>NFSE</v>
      </c>
      <c r="D3485" t="str">
        <f>"553"</f>
        <v>553</v>
      </c>
      <c r="E3485" t="str">
        <f t="shared" si="621"/>
        <v>1</v>
      </c>
      <c r="F3485" t="str">
        <f t="shared" si="618"/>
        <v>COM</v>
      </c>
      <c r="G3485" t="str">
        <f>"DROGA ELIDA (10121)"</f>
        <v>DROGA ELIDA (10121)</v>
      </c>
      <c r="H3485" t="s">
        <v>999</v>
      </c>
      <c r="I3485" t="str">
        <f t="shared" si="622"/>
        <v>18/03/2026</v>
      </c>
      <c r="J3485" t="str">
        <f t="shared" si="624"/>
        <v>17/03/2026</v>
      </c>
      <c r="K3485">
        <v>46100</v>
      </c>
      <c r="N3485">
        <v>303</v>
      </c>
      <c r="O3485" t="s">
        <v>102</v>
      </c>
      <c r="Q3485">
        <v>1976.25</v>
      </c>
      <c r="R3485" t="str">
        <f>"DROGA ELIDA (10121)"</f>
        <v>DROGA ELIDA (10121)</v>
      </c>
      <c r="S3485" t="s">
        <v>103</v>
      </c>
      <c r="T3485">
        <v>31416</v>
      </c>
      <c r="U3485">
        <v>35105</v>
      </c>
      <c r="V3485" t="s">
        <v>33</v>
      </c>
    </row>
    <row r="3486" spans="1:22">
      <c r="A3486" t="str">
        <f t="shared" si="616"/>
        <v>19/03/2026</v>
      </c>
      <c r="B3486" t="str">
        <f t="shared" si="619"/>
        <v>ENTRADA</v>
      </c>
      <c r="C3486" t="str">
        <f t="shared" si="620"/>
        <v>NFSE</v>
      </c>
      <c r="D3486" t="str">
        <f t="shared" ref="D3486:D3492" si="625">"545"</f>
        <v>545</v>
      </c>
      <c r="E3486" t="str">
        <f t="shared" si="621"/>
        <v>1</v>
      </c>
      <c r="F3486" t="str">
        <f t="shared" si="618"/>
        <v>COM</v>
      </c>
      <c r="G3486" t="str">
        <f t="shared" ref="G3486:G3492" si="626">"PENSE FARMA 36 (10206)"</f>
        <v>PENSE FARMA 36 (10206)</v>
      </c>
      <c r="H3486" t="str">
        <f>"Serv.Prest. 09/03/2026 a 15/03/2026 - RPS: 2473 - NFSe: 545"</f>
        <v>Serv.Prest. 09/03/2026 a 15/03/2026 - RPS: 2473 - NFSe: 545</v>
      </c>
      <c r="I3486" t="str">
        <f t="shared" si="622"/>
        <v>18/03/2026</v>
      </c>
      <c r="J3486" t="str">
        <f t="shared" si="624"/>
        <v>17/03/2026</v>
      </c>
      <c r="K3486" t="str">
        <f>("19/03/2026")</f>
        <v>19/03/2026</v>
      </c>
      <c r="L3486">
        <v>5068.12</v>
      </c>
      <c r="M3486">
        <v>5068.12</v>
      </c>
      <c r="N3486">
        <v>303</v>
      </c>
      <c r="O3486" t="str">
        <f>"RECEITAS COM ENTREGAS"</f>
        <v>RECEITAS COM ENTREGAS</v>
      </c>
      <c r="P3486">
        <v>5068.12</v>
      </c>
      <c r="S3486" t="str">
        <f>"RECEITAS COM ENTREGAS (303)"</f>
        <v>RECEITAS COM ENTREGAS (303)</v>
      </c>
      <c r="T3486">
        <v>31417</v>
      </c>
      <c r="U3486">
        <v>35048</v>
      </c>
      <c r="V3486" t="s">
        <v>33</v>
      </c>
    </row>
    <row r="3487" spans="1:22">
      <c r="A3487" t="str">
        <f t="shared" si="616"/>
        <v>19/03/2026</v>
      </c>
      <c r="B3487" t="str">
        <f t="shared" si="619"/>
        <v>ENTRADA</v>
      </c>
      <c r="C3487" t="str">
        <f t="shared" si="620"/>
        <v>NFSE</v>
      </c>
      <c r="D3487" t="str">
        <f t="shared" si="625"/>
        <v>545</v>
      </c>
      <c r="E3487" t="str">
        <f t="shared" si="621"/>
        <v>1</v>
      </c>
      <c r="F3487" t="str">
        <f t="shared" si="618"/>
        <v>COM</v>
      </c>
      <c r="G3487" t="str">
        <f t="shared" si="626"/>
        <v>PENSE FARMA 36 (10206)</v>
      </c>
      <c r="H3487" t="s">
        <v>1000</v>
      </c>
      <c r="I3487" t="str">
        <f t="shared" si="622"/>
        <v>18/03/2026</v>
      </c>
      <c r="J3487" t="str">
        <f t="shared" si="624"/>
        <v>17/03/2026</v>
      </c>
      <c r="K3487">
        <v>46100</v>
      </c>
      <c r="N3487">
        <v>303</v>
      </c>
      <c r="O3487" t="s">
        <v>102</v>
      </c>
      <c r="Q3487">
        <v>840.31</v>
      </c>
      <c r="R3487" t="str">
        <f>"PENSE FARMA 20 (10203)"</f>
        <v>PENSE FARMA 20 (10203)</v>
      </c>
      <c r="S3487" t="s">
        <v>103</v>
      </c>
      <c r="T3487">
        <v>31417</v>
      </c>
      <c r="U3487">
        <v>35048</v>
      </c>
      <c r="V3487" t="s">
        <v>33</v>
      </c>
    </row>
    <row r="3488" spans="1:22">
      <c r="A3488" t="str">
        <f t="shared" si="616"/>
        <v>19/03/2026</v>
      </c>
      <c r="B3488" t="str">
        <f t="shared" si="619"/>
        <v>ENTRADA</v>
      </c>
      <c r="C3488" t="str">
        <f t="shared" si="620"/>
        <v>NFSE</v>
      </c>
      <c r="D3488" t="str">
        <f t="shared" si="625"/>
        <v>545</v>
      </c>
      <c r="E3488" t="str">
        <f t="shared" si="621"/>
        <v>1</v>
      </c>
      <c r="F3488" t="str">
        <f t="shared" si="618"/>
        <v>COM</v>
      </c>
      <c r="G3488" t="str">
        <f t="shared" si="626"/>
        <v>PENSE FARMA 36 (10206)</v>
      </c>
      <c r="H3488" t="s">
        <v>1000</v>
      </c>
      <c r="I3488" t="str">
        <f t="shared" si="622"/>
        <v>18/03/2026</v>
      </c>
      <c r="J3488" t="str">
        <f t="shared" si="624"/>
        <v>17/03/2026</v>
      </c>
      <c r="K3488">
        <v>46100</v>
      </c>
      <c r="N3488">
        <v>303</v>
      </c>
      <c r="O3488" t="s">
        <v>102</v>
      </c>
      <c r="Q3488">
        <v>840.29</v>
      </c>
      <c r="R3488" t="str">
        <f>"PENSE FARMA 36 (10206)"</f>
        <v>PENSE FARMA 36 (10206)</v>
      </c>
      <c r="S3488" t="s">
        <v>103</v>
      </c>
      <c r="T3488">
        <v>31417</v>
      </c>
      <c r="U3488">
        <v>35048</v>
      </c>
      <c r="V3488" t="s">
        <v>33</v>
      </c>
    </row>
    <row r="3489" spans="1:22">
      <c r="A3489" t="str">
        <f t="shared" si="616"/>
        <v>19/03/2026</v>
      </c>
      <c r="B3489" t="str">
        <f t="shared" si="619"/>
        <v>ENTRADA</v>
      </c>
      <c r="C3489" t="str">
        <f t="shared" si="620"/>
        <v>NFSE</v>
      </c>
      <c r="D3489" t="str">
        <f t="shared" si="625"/>
        <v>545</v>
      </c>
      <c r="E3489" t="str">
        <f t="shared" si="621"/>
        <v>1</v>
      </c>
      <c r="F3489" t="str">
        <f t="shared" si="618"/>
        <v>COM</v>
      </c>
      <c r="G3489" t="str">
        <f t="shared" si="626"/>
        <v>PENSE FARMA 36 (10206)</v>
      </c>
      <c r="H3489" t="s">
        <v>1000</v>
      </c>
      <c r="I3489" t="str">
        <f t="shared" si="622"/>
        <v>18/03/2026</v>
      </c>
      <c r="J3489" t="str">
        <f t="shared" si="624"/>
        <v>17/03/2026</v>
      </c>
      <c r="K3489">
        <v>46100</v>
      </c>
      <c r="N3489">
        <v>303</v>
      </c>
      <c r="O3489" t="s">
        <v>102</v>
      </c>
      <c r="Q3489">
        <v>840.29</v>
      </c>
      <c r="R3489" t="str">
        <f>"PENSE FARMA 40 (10207)"</f>
        <v>PENSE FARMA 40 (10207)</v>
      </c>
      <c r="S3489" t="s">
        <v>103</v>
      </c>
      <c r="T3489">
        <v>31417</v>
      </c>
      <c r="U3489">
        <v>35048</v>
      </c>
      <c r="V3489" t="s">
        <v>33</v>
      </c>
    </row>
    <row r="3490" spans="1:22">
      <c r="A3490" t="str">
        <f t="shared" si="616"/>
        <v>19/03/2026</v>
      </c>
      <c r="B3490" t="str">
        <f t="shared" si="619"/>
        <v>ENTRADA</v>
      </c>
      <c r="C3490" t="str">
        <f t="shared" si="620"/>
        <v>NFSE</v>
      </c>
      <c r="D3490" t="str">
        <f t="shared" si="625"/>
        <v>545</v>
      </c>
      <c r="E3490" t="str">
        <f t="shared" si="621"/>
        <v>1</v>
      </c>
      <c r="F3490" t="str">
        <f t="shared" si="618"/>
        <v>COM</v>
      </c>
      <c r="G3490" t="str">
        <f t="shared" si="626"/>
        <v>PENSE FARMA 36 (10206)</v>
      </c>
      <c r="H3490" t="s">
        <v>1000</v>
      </c>
      <c r="I3490" t="str">
        <f t="shared" si="622"/>
        <v>18/03/2026</v>
      </c>
      <c r="J3490" t="str">
        <f t="shared" si="624"/>
        <v>17/03/2026</v>
      </c>
      <c r="K3490">
        <v>46100</v>
      </c>
      <c r="N3490">
        <v>303</v>
      </c>
      <c r="O3490" t="s">
        <v>102</v>
      </c>
      <c r="Q3490">
        <v>840.29</v>
      </c>
      <c r="R3490" t="str">
        <f>"PENSE FARMA 43 (10208)"</f>
        <v>PENSE FARMA 43 (10208)</v>
      </c>
      <c r="S3490" t="s">
        <v>103</v>
      </c>
      <c r="T3490">
        <v>31417</v>
      </c>
      <c r="U3490">
        <v>35048</v>
      </c>
      <c r="V3490" t="s">
        <v>33</v>
      </c>
    </row>
    <row r="3491" spans="1:22">
      <c r="A3491" t="str">
        <f t="shared" si="616"/>
        <v>19/03/2026</v>
      </c>
      <c r="B3491" t="str">
        <f t="shared" si="619"/>
        <v>ENTRADA</v>
      </c>
      <c r="C3491" t="str">
        <f t="shared" si="620"/>
        <v>NFSE</v>
      </c>
      <c r="D3491" t="str">
        <f t="shared" si="625"/>
        <v>545</v>
      </c>
      <c r="E3491" t="str">
        <f t="shared" si="621"/>
        <v>1</v>
      </c>
      <c r="F3491" t="str">
        <f t="shared" si="618"/>
        <v>COM</v>
      </c>
      <c r="G3491" t="str">
        <f t="shared" si="626"/>
        <v>PENSE FARMA 36 (10206)</v>
      </c>
      <c r="H3491" t="s">
        <v>1000</v>
      </c>
      <c r="I3491" t="str">
        <f t="shared" si="622"/>
        <v>18/03/2026</v>
      </c>
      <c r="J3491" t="str">
        <f t="shared" si="624"/>
        <v>17/03/2026</v>
      </c>
      <c r="K3491">
        <v>46100</v>
      </c>
      <c r="N3491">
        <v>303</v>
      </c>
      <c r="O3491" t="s">
        <v>102</v>
      </c>
      <c r="Q3491">
        <v>840.29</v>
      </c>
      <c r="R3491" t="str">
        <f>"PENSE FARMA 59 (10211)"</f>
        <v>PENSE FARMA 59 (10211)</v>
      </c>
      <c r="S3491" t="s">
        <v>103</v>
      </c>
      <c r="T3491">
        <v>31417</v>
      </c>
      <c r="U3491">
        <v>35048</v>
      </c>
      <c r="V3491" t="s">
        <v>33</v>
      </c>
    </row>
    <row r="3492" spans="1:22">
      <c r="A3492" t="str">
        <f t="shared" si="616"/>
        <v>19/03/2026</v>
      </c>
      <c r="B3492" t="str">
        <f t="shared" si="619"/>
        <v>ENTRADA</v>
      </c>
      <c r="C3492" t="str">
        <f t="shared" si="620"/>
        <v>NFSE</v>
      </c>
      <c r="D3492" t="str">
        <f t="shared" si="625"/>
        <v>545</v>
      </c>
      <c r="E3492" t="str">
        <f t="shared" si="621"/>
        <v>1</v>
      </c>
      <c r="F3492" t="str">
        <f t="shared" si="618"/>
        <v>COM</v>
      </c>
      <c r="G3492" t="str">
        <f t="shared" si="626"/>
        <v>PENSE FARMA 36 (10206)</v>
      </c>
      <c r="H3492" t="s">
        <v>1000</v>
      </c>
      <c r="I3492" t="str">
        <f t="shared" si="622"/>
        <v>18/03/2026</v>
      </c>
      <c r="J3492" t="str">
        <f t="shared" si="624"/>
        <v>17/03/2026</v>
      </c>
      <c r="K3492">
        <v>46100</v>
      </c>
      <c r="N3492">
        <v>303</v>
      </c>
      <c r="O3492" t="s">
        <v>102</v>
      </c>
      <c r="Q3492">
        <v>866.65</v>
      </c>
      <c r="R3492" t="str">
        <f>"PENSE FARMA DARK STORE 361 (10212)"</f>
        <v>PENSE FARMA DARK STORE 361 (10212)</v>
      </c>
      <c r="S3492" t="s">
        <v>103</v>
      </c>
      <c r="T3492">
        <v>31417</v>
      </c>
      <c r="U3492">
        <v>35048</v>
      </c>
      <c r="V3492" t="s">
        <v>33</v>
      </c>
    </row>
    <row r="3493" spans="1:22">
      <c r="A3493" t="str">
        <f t="shared" si="616"/>
        <v>19/03/2026</v>
      </c>
      <c r="B3493" t="str">
        <f t="shared" si="619"/>
        <v>ENTRADA</v>
      </c>
      <c r="C3493" t="str">
        <f t="shared" si="620"/>
        <v>NFSE</v>
      </c>
      <c r="D3493" t="str">
        <f>"550"</f>
        <v>550</v>
      </c>
      <c r="E3493" t="str">
        <f t="shared" si="621"/>
        <v>1</v>
      </c>
      <c r="F3493" t="str">
        <f t="shared" si="618"/>
        <v>COM</v>
      </c>
      <c r="G3493" t="str">
        <f>"PENSE FARMA 49 (10234)"</f>
        <v>PENSE FARMA 49 (10234)</v>
      </c>
      <c r="H3493" t="str">
        <f>"Serv.Prest. 09/03/2026 a 15/03/2026 - RPS: 2478 - NFSe: 550"</f>
        <v>Serv.Prest. 09/03/2026 a 15/03/2026 - RPS: 2478 - NFSe: 550</v>
      </c>
      <c r="I3493" t="str">
        <f t="shared" si="622"/>
        <v>18/03/2026</v>
      </c>
      <c r="J3493" t="str">
        <f t="shared" si="624"/>
        <v>17/03/2026</v>
      </c>
      <c r="K3493" t="str">
        <f>("19/03/2026")</f>
        <v>19/03/2026</v>
      </c>
      <c r="L3493">
        <v>1264.1199999999999</v>
      </c>
      <c r="M3493">
        <v>1264.1199999999999</v>
      </c>
      <c r="N3493">
        <v>303</v>
      </c>
      <c r="O3493" t="str">
        <f>"RECEITAS COM ENTREGAS"</f>
        <v>RECEITAS COM ENTREGAS</v>
      </c>
      <c r="P3493">
        <v>1264.1199999999999</v>
      </c>
      <c r="S3493" t="str">
        <f>"RECEITAS COM ENTREGAS (303)"</f>
        <v>RECEITAS COM ENTREGAS (303)</v>
      </c>
      <c r="T3493">
        <v>31418</v>
      </c>
      <c r="U3493">
        <v>35092</v>
      </c>
      <c r="V3493" t="s">
        <v>33</v>
      </c>
    </row>
    <row r="3494" spans="1:22">
      <c r="A3494" t="str">
        <f t="shared" si="616"/>
        <v>19/03/2026</v>
      </c>
      <c r="B3494" t="str">
        <f t="shared" si="619"/>
        <v>ENTRADA</v>
      </c>
      <c r="C3494" t="str">
        <f t="shared" si="620"/>
        <v>NFSE</v>
      </c>
      <c r="D3494" t="str">
        <f>"550"</f>
        <v>550</v>
      </c>
      <c r="E3494" t="str">
        <f t="shared" si="621"/>
        <v>1</v>
      </c>
      <c r="F3494" t="str">
        <f t="shared" si="618"/>
        <v>COM</v>
      </c>
      <c r="G3494" t="str">
        <f>"PENSE FARMA 49 (10234)"</f>
        <v>PENSE FARMA 49 (10234)</v>
      </c>
      <c r="H3494" t="s">
        <v>1001</v>
      </c>
      <c r="I3494" t="str">
        <f t="shared" si="622"/>
        <v>18/03/2026</v>
      </c>
      <c r="J3494" t="str">
        <f t="shared" si="624"/>
        <v>17/03/2026</v>
      </c>
      <c r="K3494">
        <v>46100</v>
      </c>
      <c r="N3494">
        <v>303</v>
      </c>
      <c r="O3494" t="s">
        <v>102</v>
      </c>
      <c r="Q3494">
        <v>1264.1199999999999</v>
      </c>
      <c r="R3494" t="str">
        <f>"PENSE FARMA 49 (10234)"</f>
        <v>PENSE FARMA 49 (10234)</v>
      </c>
      <c r="S3494" t="s">
        <v>103</v>
      </c>
      <c r="T3494">
        <v>31418</v>
      </c>
      <c r="U3494">
        <v>35092</v>
      </c>
      <c r="V3494" t="s">
        <v>33</v>
      </c>
    </row>
    <row r="3495" spans="1:22">
      <c r="A3495" t="str">
        <f t="shared" si="616"/>
        <v>19/03/2026</v>
      </c>
      <c r="B3495" t="str">
        <f t="shared" si="619"/>
        <v>ENTRADA</v>
      </c>
      <c r="C3495" t="str">
        <f t="shared" si="620"/>
        <v>NFSE</v>
      </c>
      <c r="D3495" t="str">
        <f>"520"</f>
        <v>520</v>
      </c>
      <c r="E3495" t="str">
        <f t="shared" si="621"/>
        <v>1</v>
      </c>
      <c r="F3495" t="str">
        <f t="shared" si="618"/>
        <v>COM</v>
      </c>
      <c r="G3495" t="str">
        <f>"DROGARIA NIQUINHO (10257)"</f>
        <v>DROGARIA NIQUINHO (10257)</v>
      </c>
      <c r="H3495" t="str">
        <f>"Serv.Prest. 09/03/2026 a 15/03/2026 - RPS: 2448 - NFSe: 520"</f>
        <v>Serv.Prest. 09/03/2026 a 15/03/2026 - RPS: 2448 - NFSe: 520</v>
      </c>
      <c r="I3495" t="str">
        <f t="shared" si="622"/>
        <v>18/03/2026</v>
      </c>
      <c r="J3495" t="str">
        <f>("16/03/2026")</f>
        <v>16/03/2026</v>
      </c>
      <c r="K3495" t="str">
        <f>("19/03/2026")</f>
        <v>19/03/2026</v>
      </c>
      <c r="L3495">
        <v>2747.94</v>
      </c>
      <c r="M3495">
        <v>2747.94</v>
      </c>
      <c r="N3495">
        <v>303</v>
      </c>
      <c r="O3495" t="str">
        <f>"RECEITAS COM ENTREGAS"</f>
        <v>RECEITAS COM ENTREGAS</v>
      </c>
      <c r="P3495">
        <v>2747.94</v>
      </c>
      <c r="S3495" t="str">
        <f>"RECEITAS COM ENTREGAS (303)"</f>
        <v>RECEITAS COM ENTREGAS (303)</v>
      </c>
      <c r="T3495">
        <v>31423</v>
      </c>
      <c r="U3495">
        <v>34910</v>
      </c>
      <c r="V3495" t="s">
        <v>33</v>
      </c>
    </row>
    <row r="3496" spans="1:22">
      <c r="A3496" t="str">
        <f t="shared" si="616"/>
        <v>19/03/2026</v>
      </c>
      <c r="B3496" t="str">
        <f t="shared" si="619"/>
        <v>ENTRADA</v>
      </c>
      <c r="C3496" t="str">
        <f t="shared" si="620"/>
        <v>NFSE</v>
      </c>
      <c r="D3496" t="str">
        <f>"520"</f>
        <v>520</v>
      </c>
      <c r="E3496" t="str">
        <f t="shared" si="621"/>
        <v>1</v>
      </c>
      <c r="F3496" t="str">
        <f t="shared" si="618"/>
        <v>COM</v>
      </c>
      <c r="G3496" t="str">
        <f>"DROGARIA NIQUINHO (10257)"</f>
        <v>DROGARIA NIQUINHO (10257)</v>
      </c>
      <c r="H3496" t="s">
        <v>1002</v>
      </c>
      <c r="I3496" t="str">
        <f t="shared" si="622"/>
        <v>18/03/2026</v>
      </c>
      <c r="J3496" t="str">
        <f>("16/03/2026")</f>
        <v>16/03/2026</v>
      </c>
      <c r="K3496">
        <v>46100</v>
      </c>
      <c r="N3496">
        <v>303</v>
      </c>
      <c r="O3496" t="s">
        <v>102</v>
      </c>
      <c r="Q3496">
        <v>2747.94</v>
      </c>
      <c r="R3496" t="str">
        <f>"DROGARIA NIQUINHO (10257)"</f>
        <v>DROGARIA NIQUINHO (10257)</v>
      </c>
      <c r="S3496" t="s">
        <v>103</v>
      </c>
      <c r="T3496">
        <v>31423</v>
      </c>
      <c r="U3496">
        <v>34910</v>
      </c>
      <c r="V3496" t="s">
        <v>33</v>
      </c>
    </row>
    <row r="3497" spans="1:22">
      <c r="A3497" t="str">
        <f t="shared" si="616"/>
        <v>19/03/2026</v>
      </c>
      <c r="B3497" t="str">
        <f t="shared" ref="B3497:B3560" si="627">"SAÍDA"</f>
        <v>SAÍDA</v>
      </c>
      <c r="C3497" t="str">
        <f t="shared" ref="C3497:C3560" si="628">"PIX"</f>
        <v>PIX</v>
      </c>
      <c r="D3497" t="str">
        <f>"08012026"</f>
        <v>08012026</v>
      </c>
      <c r="E3497" t="str">
        <f>"8"</f>
        <v>8</v>
      </c>
      <c r="F3497" t="str">
        <f t="shared" si="618"/>
        <v>COM</v>
      </c>
      <c r="G3497" t="str">
        <f>"51.114.831 TANIA CRISTINA JOAQUIM (20120)"</f>
        <v>51.114.831 TANIA CRISTINA JOAQUIM (20120)</v>
      </c>
      <c r="H3497" t="str">
        <f>"PAGAMENTO PRESTACAO DE SERVICOS - PIX CELULAR (11) 99181-5502"</f>
        <v>PAGAMENTO PRESTACAO DE SERVICOS - PIX CELULAR (11) 99181-5502</v>
      </c>
      <c r="I3497" t="str">
        <f t="shared" ref="I3497:I3560" si="629">("19/03/2026")</f>
        <v>19/03/2026</v>
      </c>
      <c r="J3497" t="str">
        <f>("05/01/2026")</f>
        <v>05/01/2026</v>
      </c>
      <c r="K3497" t="str">
        <f>("19/03/2026")</f>
        <v>19/03/2026</v>
      </c>
      <c r="L3497">
        <v>625</v>
      </c>
      <c r="M3497">
        <v>625</v>
      </c>
      <c r="N3497">
        <v>109</v>
      </c>
      <c r="O3497" t="str">
        <f>"PAGAMENTO DE ENTREGADORES"</f>
        <v>PAGAMENTO DE ENTREGADORES</v>
      </c>
      <c r="P3497">
        <v>625</v>
      </c>
      <c r="S3497" t="str">
        <f>"BANCO CORA (102)"</f>
        <v>BANCO CORA (102)</v>
      </c>
      <c r="T3497">
        <v>31424</v>
      </c>
      <c r="U3497">
        <v>30736</v>
      </c>
      <c r="V3497" t="s">
        <v>33</v>
      </c>
    </row>
    <row r="3498" spans="1:22">
      <c r="A3498" t="str">
        <f t="shared" si="616"/>
        <v>19/03/2026</v>
      </c>
      <c r="B3498" t="str">
        <f t="shared" si="627"/>
        <v>SAÍDA</v>
      </c>
      <c r="C3498" t="str">
        <f t="shared" si="628"/>
        <v>PIX</v>
      </c>
      <c r="D3498" t="str">
        <f>"08012026"</f>
        <v>08012026</v>
      </c>
      <c r="E3498" t="str">
        <f>"8"</f>
        <v>8</v>
      </c>
      <c r="F3498" t="str">
        <f t="shared" si="618"/>
        <v>COM</v>
      </c>
      <c r="G3498" t="str">
        <f>"51.114.831 TANIA CRISTINA JOAQUIM (20120)"</f>
        <v>51.114.831 TANIA CRISTINA JOAQUIM (20120)</v>
      </c>
      <c r="H3498" t="s">
        <v>160</v>
      </c>
      <c r="I3498" t="str">
        <f t="shared" si="629"/>
        <v>19/03/2026</v>
      </c>
      <c r="J3498" t="str">
        <f>("05/01/2026")</f>
        <v>05/01/2026</v>
      </c>
      <c r="K3498">
        <v>46100</v>
      </c>
      <c r="N3498">
        <v>109</v>
      </c>
      <c r="O3498" t="s">
        <v>27</v>
      </c>
      <c r="Q3498">
        <v>625</v>
      </c>
      <c r="R3498" t="str">
        <f>"51.114.831 TANIA CRISTINA JOAQUIM (20120)"</f>
        <v>51.114.831 TANIA CRISTINA JOAQUIM (20120)</v>
      </c>
      <c r="S3498" t="s">
        <v>33</v>
      </c>
      <c r="T3498">
        <v>31424</v>
      </c>
      <c r="U3498">
        <v>30736</v>
      </c>
      <c r="V3498" t="s">
        <v>33</v>
      </c>
    </row>
    <row r="3499" spans="1:22">
      <c r="A3499" t="str">
        <f t="shared" si="616"/>
        <v>19/03/2026</v>
      </c>
      <c r="B3499" t="str">
        <f t="shared" si="627"/>
        <v>SAÍDA</v>
      </c>
      <c r="C3499" t="str">
        <f t="shared" si="628"/>
        <v>PIX</v>
      </c>
      <c r="D3499" t="str">
        <f>"35091"</f>
        <v>35091</v>
      </c>
      <c r="E3499" t="str">
        <f t="shared" ref="E3499:E3508" si="630">"1"</f>
        <v>1</v>
      </c>
      <c r="F3499" t="str">
        <f t="shared" si="618"/>
        <v>COM</v>
      </c>
      <c r="G3499" t="str">
        <f>"MATEUS VIEIRA DE SOUZA (1019)"</f>
        <v>MATEUS VIEIRA DE SOUZA (1019)</v>
      </c>
      <c r="H3499" t="str">
        <f>"Serv.Prest. 09/03/2026 a 15/03/2026 - PIX: CELULAR - CHAVE: (11) 97702-1316"</f>
        <v>Serv.Prest. 09/03/2026 a 15/03/2026 - PIX: CELULAR - CHAVE: (11) 97702-1316</v>
      </c>
      <c r="I3499" t="str">
        <f t="shared" si="629"/>
        <v>19/03/2026</v>
      </c>
      <c r="J3499" t="str">
        <f t="shared" ref="J3499:J3506" si="631">("17/03/2026")</f>
        <v>17/03/2026</v>
      </c>
      <c r="K3499" t="str">
        <f>("19/03/2026")</f>
        <v>19/03/2026</v>
      </c>
      <c r="L3499">
        <v>1200</v>
      </c>
      <c r="M3499">
        <v>1200</v>
      </c>
      <c r="N3499">
        <v>109</v>
      </c>
      <c r="O3499" t="str">
        <f>"PAGAMENTO DE ENTREGADORES"</f>
        <v>PAGAMENTO DE ENTREGADORES</v>
      </c>
      <c r="P3499">
        <v>1200</v>
      </c>
      <c r="S3499" t="str">
        <f>"BANCO CORA (102)"</f>
        <v>BANCO CORA (102)</v>
      </c>
      <c r="T3499">
        <v>31425</v>
      </c>
      <c r="U3499">
        <v>35091</v>
      </c>
      <c r="V3499" t="s">
        <v>33</v>
      </c>
    </row>
    <row r="3500" spans="1:22">
      <c r="A3500" t="str">
        <f t="shared" si="616"/>
        <v>19/03/2026</v>
      </c>
      <c r="B3500" t="str">
        <f t="shared" si="627"/>
        <v>SAÍDA</v>
      </c>
      <c r="C3500" t="str">
        <f t="shared" si="628"/>
        <v>PIX</v>
      </c>
      <c r="D3500" t="str">
        <f>"35091"</f>
        <v>35091</v>
      </c>
      <c r="E3500" t="str">
        <f t="shared" si="630"/>
        <v>1</v>
      </c>
      <c r="F3500" t="str">
        <f t="shared" si="618"/>
        <v>COM</v>
      </c>
      <c r="G3500" t="str">
        <f>"MATEUS VIEIRA DE SOUZA (1019)"</f>
        <v>MATEUS VIEIRA DE SOUZA (1019)</v>
      </c>
      <c r="H3500" t="s">
        <v>895</v>
      </c>
      <c r="I3500" t="str">
        <f t="shared" si="629"/>
        <v>19/03/2026</v>
      </c>
      <c r="J3500" t="str">
        <f t="shared" si="631"/>
        <v>17/03/2026</v>
      </c>
      <c r="K3500">
        <v>46100</v>
      </c>
      <c r="N3500">
        <v>109</v>
      </c>
      <c r="O3500" t="s">
        <v>27</v>
      </c>
      <c r="Q3500">
        <v>1200</v>
      </c>
      <c r="R3500" t="str">
        <f>"PENSE FARMA 47 (10232)"</f>
        <v>PENSE FARMA 47 (10232)</v>
      </c>
      <c r="S3500" t="s">
        <v>33</v>
      </c>
      <c r="T3500">
        <v>31425</v>
      </c>
      <c r="U3500">
        <v>35091</v>
      </c>
      <c r="V3500" t="s">
        <v>33</v>
      </c>
    </row>
    <row r="3501" spans="1:22">
      <c r="A3501" t="str">
        <f t="shared" si="616"/>
        <v>19/03/2026</v>
      </c>
      <c r="B3501" t="str">
        <f t="shared" si="627"/>
        <v>SAÍDA</v>
      </c>
      <c r="C3501" t="str">
        <f t="shared" si="628"/>
        <v>PIX</v>
      </c>
      <c r="D3501" t="str">
        <f>"35117"</f>
        <v>35117</v>
      </c>
      <c r="E3501" t="str">
        <f t="shared" si="630"/>
        <v>1</v>
      </c>
      <c r="F3501" t="str">
        <f t="shared" si="618"/>
        <v>COM</v>
      </c>
      <c r="G3501" t="str">
        <f t="shared" ref="G3501:G3506" si="632">"EURIPEDES BARSANULFO DE ANDRADE  (25)"</f>
        <v>EURIPEDES BARSANULFO DE ANDRADE  (25)</v>
      </c>
      <c r="H3501" t="str">
        <f>"Serv.Prest. 09/03/2026 a 15/03/2026 - PIX: CPF - CHAVE: 866.153.356-20"</f>
        <v>Serv.Prest. 09/03/2026 a 15/03/2026 - PIX: CPF - CHAVE: 866.153.356-20</v>
      </c>
      <c r="I3501" t="str">
        <f t="shared" si="629"/>
        <v>19/03/2026</v>
      </c>
      <c r="J3501" t="str">
        <f t="shared" si="631"/>
        <v>17/03/2026</v>
      </c>
      <c r="K3501" t="str">
        <f>("19/03/2026")</f>
        <v>19/03/2026</v>
      </c>
      <c r="L3501">
        <v>192</v>
      </c>
      <c r="M3501">
        <v>126</v>
      </c>
      <c r="N3501">
        <v>109</v>
      </c>
      <c r="O3501" t="str">
        <f>"PAGAMENTO DE ENTREGADORES"</f>
        <v>PAGAMENTO DE ENTREGADORES</v>
      </c>
      <c r="P3501">
        <v>126</v>
      </c>
      <c r="S3501" t="str">
        <f>"CAIXA MOVIMENTAÇÃO OPERACIONAL (132)"</f>
        <v>CAIXA MOVIMENTAÇÃO OPERACIONAL (132)</v>
      </c>
      <c r="T3501">
        <v>31426</v>
      </c>
      <c r="U3501">
        <v>35117</v>
      </c>
      <c r="V3501" t="s">
        <v>22</v>
      </c>
    </row>
    <row r="3502" spans="1:22">
      <c r="A3502" t="str">
        <f t="shared" si="616"/>
        <v>19/03/2026</v>
      </c>
      <c r="B3502" t="str">
        <f t="shared" si="627"/>
        <v>SAÍDA</v>
      </c>
      <c r="C3502" t="str">
        <f t="shared" si="628"/>
        <v>PIX</v>
      </c>
      <c r="D3502" t="str">
        <f>"35117"</f>
        <v>35117</v>
      </c>
      <c r="E3502" t="str">
        <f t="shared" si="630"/>
        <v>1</v>
      </c>
      <c r="F3502" t="str">
        <f t="shared" si="618"/>
        <v>COM</v>
      </c>
      <c r="G3502" t="str">
        <f t="shared" si="632"/>
        <v>EURIPEDES BARSANULFO DE ANDRADE  (25)</v>
      </c>
      <c r="H3502" t="s">
        <v>1003</v>
      </c>
      <c r="I3502" t="str">
        <f t="shared" si="629"/>
        <v>19/03/2026</v>
      </c>
      <c r="J3502" t="str">
        <f t="shared" si="631"/>
        <v>17/03/2026</v>
      </c>
      <c r="K3502">
        <v>46100</v>
      </c>
      <c r="N3502">
        <v>109</v>
      </c>
      <c r="O3502" t="s">
        <v>27</v>
      </c>
      <c r="Q3502">
        <v>126</v>
      </c>
      <c r="R3502" t="str">
        <f>"PAGUE MENOS 1156 (10308)"</f>
        <v>PAGUE MENOS 1156 (10308)</v>
      </c>
      <c r="S3502" t="s">
        <v>22</v>
      </c>
      <c r="T3502">
        <v>31426</v>
      </c>
      <c r="U3502">
        <v>35117</v>
      </c>
      <c r="V3502" t="s">
        <v>22</v>
      </c>
    </row>
    <row r="3503" spans="1:22">
      <c r="A3503" t="str">
        <f t="shared" si="616"/>
        <v>19/03/2026</v>
      </c>
      <c r="B3503" t="str">
        <f t="shared" si="627"/>
        <v>SAÍDA</v>
      </c>
      <c r="C3503" t="str">
        <f t="shared" si="628"/>
        <v>PIX</v>
      </c>
      <c r="D3503" t="str">
        <f>"35118"</f>
        <v>35118</v>
      </c>
      <c r="E3503" t="str">
        <f t="shared" si="630"/>
        <v>1</v>
      </c>
      <c r="F3503" t="str">
        <f t="shared" si="618"/>
        <v>COM</v>
      </c>
      <c r="G3503" t="str">
        <f t="shared" si="632"/>
        <v>EURIPEDES BARSANULFO DE ANDRADE  (25)</v>
      </c>
      <c r="H3503" t="str">
        <f>"Serv.Prest. 09/03/2026 a 15/03/2026 - PIX: CPF - CHAVE: 866.153.356-20"</f>
        <v>Serv.Prest. 09/03/2026 a 15/03/2026 - PIX: CPF - CHAVE: 866.153.356-20</v>
      </c>
      <c r="I3503" t="str">
        <f t="shared" si="629"/>
        <v>19/03/2026</v>
      </c>
      <c r="J3503" t="str">
        <f t="shared" si="631"/>
        <v>17/03/2026</v>
      </c>
      <c r="K3503" t="str">
        <f>("19/03/2026")</f>
        <v>19/03/2026</v>
      </c>
      <c r="L3503">
        <v>234</v>
      </c>
      <c r="M3503">
        <v>234</v>
      </c>
      <c r="N3503">
        <v>109</v>
      </c>
      <c r="O3503" t="str">
        <f>"PAGAMENTO DE ENTREGADORES"</f>
        <v>PAGAMENTO DE ENTREGADORES</v>
      </c>
      <c r="P3503">
        <v>234</v>
      </c>
      <c r="S3503" t="str">
        <f>"BANCO CORA (102)"</f>
        <v>BANCO CORA (102)</v>
      </c>
      <c r="T3503">
        <v>31427</v>
      </c>
      <c r="U3503">
        <v>35118</v>
      </c>
      <c r="V3503" t="s">
        <v>33</v>
      </c>
    </row>
    <row r="3504" spans="1:22">
      <c r="A3504" t="str">
        <f t="shared" ref="A3504:A3567" si="633">("19/03/2026")</f>
        <v>19/03/2026</v>
      </c>
      <c r="B3504" t="str">
        <f t="shared" si="627"/>
        <v>SAÍDA</v>
      </c>
      <c r="C3504" t="str">
        <f t="shared" si="628"/>
        <v>PIX</v>
      </c>
      <c r="D3504" t="str">
        <f>"35118"</f>
        <v>35118</v>
      </c>
      <c r="E3504" t="str">
        <f t="shared" si="630"/>
        <v>1</v>
      </c>
      <c r="F3504" t="str">
        <f t="shared" si="618"/>
        <v>COM</v>
      </c>
      <c r="G3504" t="str">
        <f t="shared" si="632"/>
        <v>EURIPEDES BARSANULFO DE ANDRADE  (25)</v>
      </c>
      <c r="H3504" t="s">
        <v>1003</v>
      </c>
      <c r="I3504" t="str">
        <f t="shared" si="629"/>
        <v>19/03/2026</v>
      </c>
      <c r="J3504" t="str">
        <f t="shared" si="631"/>
        <v>17/03/2026</v>
      </c>
      <c r="K3504">
        <v>46100</v>
      </c>
      <c r="N3504">
        <v>109</v>
      </c>
      <c r="O3504" t="s">
        <v>27</v>
      </c>
      <c r="Q3504">
        <v>234</v>
      </c>
      <c r="R3504" t="str">
        <f>"PAGUE MENOS 1155 (10307)"</f>
        <v>PAGUE MENOS 1155 (10307)</v>
      </c>
      <c r="S3504" t="s">
        <v>33</v>
      </c>
      <c r="T3504">
        <v>31427</v>
      </c>
      <c r="U3504">
        <v>35118</v>
      </c>
      <c r="V3504" t="s">
        <v>33</v>
      </c>
    </row>
    <row r="3505" spans="1:22">
      <c r="A3505" t="str">
        <f t="shared" si="633"/>
        <v>19/03/2026</v>
      </c>
      <c r="B3505" t="str">
        <f t="shared" si="627"/>
        <v>SAÍDA</v>
      </c>
      <c r="C3505" t="str">
        <f t="shared" si="628"/>
        <v>PIX</v>
      </c>
      <c r="D3505" t="str">
        <f>"35119"</f>
        <v>35119</v>
      </c>
      <c r="E3505" t="str">
        <f t="shared" si="630"/>
        <v>1</v>
      </c>
      <c r="F3505" t="str">
        <f t="shared" si="618"/>
        <v>COM</v>
      </c>
      <c r="G3505" t="str">
        <f t="shared" si="632"/>
        <v>EURIPEDES BARSANULFO DE ANDRADE  (25)</v>
      </c>
      <c r="H3505" t="str">
        <f>"Serv.Prest. 09/03/2026 a 15/03/2026 - PIX: CPF - CHAVE: 866.153.356-20"</f>
        <v>Serv.Prest. 09/03/2026 a 15/03/2026 - PIX: CPF - CHAVE: 866.153.356-20</v>
      </c>
      <c r="I3505" t="str">
        <f t="shared" si="629"/>
        <v>19/03/2026</v>
      </c>
      <c r="J3505" t="str">
        <f t="shared" si="631"/>
        <v>17/03/2026</v>
      </c>
      <c r="K3505" t="str">
        <f>("19/03/2026")</f>
        <v>19/03/2026</v>
      </c>
      <c r="L3505">
        <v>540</v>
      </c>
      <c r="M3505">
        <v>540</v>
      </c>
      <c r="N3505">
        <v>109</v>
      </c>
      <c r="O3505" t="str">
        <f>"PAGAMENTO DE ENTREGADORES"</f>
        <v>PAGAMENTO DE ENTREGADORES</v>
      </c>
      <c r="P3505">
        <v>540</v>
      </c>
      <c r="S3505" t="str">
        <f>"BANCO CORA (102)"</f>
        <v>BANCO CORA (102)</v>
      </c>
      <c r="T3505">
        <v>31428</v>
      </c>
      <c r="U3505">
        <v>35119</v>
      </c>
      <c r="V3505" t="s">
        <v>33</v>
      </c>
    </row>
    <row r="3506" spans="1:22">
      <c r="A3506" t="str">
        <f t="shared" si="633"/>
        <v>19/03/2026</v>
      </c>
      <c r="B3506" t="str">
        <f t="shared" si="627"/>
        <v>SAÍDA</v>
      </c>
      <c r="C3506" t="str">
        <f t="shared" si="628"/>
        <v>PIX</v>
      </c>
      <c r="D3506" t="str">
        <f>"35119"</f>
        <v>35119</v>
      </c>
      <c r="E3506" t="str">
        <f t="shared" si="630"/>
        <v>1</v>
      </c>
      <c r="F3506" t="str">
        <f t="shared" si="618"/>
        <v>COM</v>
      </c>
      <c r="G3506" t="str">
        <f t="shared" si="632"/>
        <v>EURIPEDES BARSANULFO DE ANDRADE  (25)</v>
      </c>
      <c r="H3506" t="s">
        <v>1003</v>
      </c>
      <c r="I3506" t="str">
        <f t="shared" si="629"/>
        <v>19/03/2026</v>
      </c>
      <c r="J3506" t="str">
        <f t="shared" si="631"/>
        <v>17/03/2026</v>
      </c>
      <c r="K3506">
        <v>46100</v>
      </c>
      <c r="N3506">
        <v>109</v>
      </c>
      <c r="O3506" t="s">
        <v>27</v>
      </c>
      <c r="Q3506">
        <v>540</v>
      </c>
      <c r="R3506" t="str">
        <f>"PAGUE MENOS 944 (10306)"</f>
        <v>PAGUE MENOS 944 (10306)</v>
      </c>
      <c r="S3506" t="s">
        <v>33</v>
      </c>
      <c r="T3506">
        <v>31428</v>
      </c>
      <c r="U3506">
        <v>35119</v>
      </c>
      <c r="V3506" t="s">
        <v>33</v>
      </c>
    </row>
    <row r="3507" spans="1:22">
      <c r="A3507" t="str">
        <f t="shared" si="633"/>
        <v>19/03/2026</v>
      </c>
      <c r="B3507" t="str">
        <f t="shared" si="627"/>
        <v>SAÍDA</v>
      </c>
      <c r="C3507" t="str">
        <f t="shared" si="628"/>
        <v>PIX</v>
      </c>
      <c r="D3507" t="str">
        <f>"34490"</f>
        <v>34490</v>
      </c>
      <c r="E3507" t="str">
        <f t="shared" si="630"/>
        <v>1</v>
      </c>
      <c r="F3507" t="str">
        <f t="shared" si="618"/>
        <v>COM</v>
      </c>
      <c r="G3507" t="str">
        <f>"DANIELA SANTOS BIZERRA (1259)"</f>
        <v>DANIELA SANTOS BIZERRA (1259)</v>
      </c>
      <c r="H3507" t="str">
        <f>"Serv.Prest. 02/03/2026 a 08/03/2026 - PIX: CELULAR - CHAVE: (00) 00000-0000"</f>
        <v>Serv.Prest. 02/03/2026 a 08/03/2026 - PIX: CELULAR - CHAVE: (00) 00000-0000</v>
      </c>
      <c r="I3507" t="str">
        <f t="shared" si="629"/>
        <v>19/03/2026</v>
      </c>
      <c r="J3507" t="str">
        <f>("10/03/2026")</f>
        <v>10/03/2026</v>
      </c>
      <c r="K3507" t="str">
        <f>("19/03/2026")</f>
        <v>19/03/2026</v>
      </c>
      <c r="L3507">
        <v>648</v>
      </c>
      <c r="M3507">
        <v>648</v>
      </c>
      <c r="N3507">
        <v>109</v>
      </c>
      <c r="O3507" t="str">
        <f>"PAGAMENTO DE ENTREGADORES"</f>
        <v>PAGAMENTO DE ENTREGADORES</v>
      </c>
      <c r="P3507">
        <v>648</v>
      </c>
      <c r="S3507" t="str">
        <f>"BANCO CORA (102)"</f>
        <v>BANCO CORA (102)</v>
      </c>
      <c r="T3507">
        <v>31429</v>
      </c>
      <c r="U3507">
        <v>34490</v>
      </c>
      <c r="V3507" t="s">
        <v>33</v>
      </c>
    </row>
    <row r="3508" spans="1:22">
      <c r="A3508" t="str">
        <f t="shared" si="633"/>
        <v>19/03/2026</v>
      </c>
      <c r="B3508" t="str">
        <f t="shared" si="627"/>
        <v>SAÍDA</v>
      </c>
      <c r="C3508" t="str">
        <f t="shared" si="628"/>
        <v>PIX</v>
      </c>
      <c r="D3508" t="str">
        <f>"34490"</f>
        <v>34490</v>
      </c>
      <c r="E3508" t="str">
        <f t="shared" si="630"/>
        <v>1</v>
      </c>
      <c r="F3508" t="str">
        <f t="shared" si="618"/>
        <v>COM</v>
      </c>
      <c r="G3508" t="str">
        <f>"DANIELA SANTOS BIZERRA (1259)"</f>
        <v>DANIELA SANTOS BIZERRA (1259)</v>
      </c>
      <c r="H3508" t="s">
        <v>1004</v>
      </c>
      <c r="I3508" t="str">
        <f t="shared" si="629"/>
        <v>19/03/2026</v>
      </c>
      <c r="J3508" t="str">
        <f>("10/03/2026")</f>
        <v>10/03/2026</v>
      </c>
      <c r="K3508">
        <v>46100</v>
      </c>
      <c r="N3508">
        <v>109</v>
      </c>
      <c r="O3508" t="s">
        <v>27</v>
      </c>
      <c r="Q3508">
        <v>648</v>
      </c>
      <c r="R3508" t="str">
        <f>"FARMÁCIA INDIANA LJ 65 (10030)"</f>
        <v>FARMÁCIA INDIANA LJ 65 (10030)</v>
      </c>
      <c r="S3508" t="s">
        <v>33</v>
      </c>
      <c r="T3508">
        <v>31429</v>
      </c>
      <c r="U3508">
        <v>34490</v>
      </c>
      <c r="V3508" t="s">
        <v>33</v>
      </c>
    </row>
    <row r="3509" spans="1:22">
      <c r="A3509" t="str">
        <f t="shared" si="633"/>
        <v>19/03/2026</v>
      </c>
      <c r="B3509" t="str">
        <f t="shared" si="627"/>
        <v>SAÍDA</v>
      </c>
      <c r="C3509" t="str">
        <f t="shared" si="628"/>
        <v>PIX</v>
      </c>
      <c r="D3509" t="str">
        <f>"19032026"</f>
        <v>19032026</v>
      </c>
      <c r="E3509" t="str">
        <f>""</f>
        <v/>
      </c>
      <c r="F3509" t="str">
        <f t="shared" si="618"/>
        <v>COM</v>
      </c>
      <c r="G3509" t="str">
        <f>"MATEUS EDUARDO OLIVEIRA DOS SANORS (1373)"</f>
        <v>MATEUS EDUARDO OLIVEIRA DOS SANORS (1373)</v>
      </c>
      <c r="H3509" t="str">
        <f>"DIARIA 17/03/2026 PIX: 04346123163 "</f>
        <v xml:space="preserve">DIARIA 17/03/2026 PIX: 04346123163 </v>
      </c>
      <c r="I3509" t="str">
        <f t="shared" si="629"/>
        <v>19/03/2026</v>
      </c>
      <c r="J3509" t="str">
        <f>("18/03/2026")</f>
        <v>18/03/2026</v>
      </c>
      <c r="K3509" t="str">
        <f>("19/03/2026")</f>
        <v>19/03/2026</v>
      </c>
      <c r="L3509">
        <v>180</v>
      </c>
      <c r="M3509">
        <v>180</v>
      </c>
      <c r="N3509">
        <v>134</v>
      </c>
      <c r="O3509" t="str">
        <f>"DIARIA DE MOTOBOY"</f>
        <v>DIARIA DE MOTOBOY</v>
      </c>
      <c r="P3509">
        <v>180</v>
      </c>
      <c r="S3509" t="str">
        <f>"BANCO CORA (102)"</f>
        <v>BANCO CORA (102)</v>
      </c>
      <c r="T3509">
        <v>31430</v>
      </c>
      <c r="U3509">
        <v>35485</v>
      </c>
      <c r="V3509" t="s">
        <v>33</v>
      </c>
    </row>
    <row r="3510" spans="1:22">
      <c r="A3510" t="str">
        <f t="shared" si="633"/>
        <v>19/03/2026</v>
      </c>
      <c r="B3510" t="str">
        <f t="shared" si="627"/>
        <v>SAÍDA</v>
      </c>
      <c r="C3510" t="str">
        <f t="shared" si="628"/>
        <v>PIX</v>
      </c>
      <c r="D3510" t="str">
        <f>"19032026"</f>
        <v>19032026</v>
      </c>
      <c r="E3510" t="str">
        <f>""</f>
        <v/>
      </c>
      <c r="F3510" t="str">
        <f t="shared" si="618"/>
        <v>COM</v>
      </c>
      <c r="G3510" t="str">
        <f>"MATEUS EDUARDO OLIVEIRA DOS SANORS (1373)"</f>
        <v>MATEUS EDUARDO OLIVEIRA DOS SANORS (1373)</v>
      </c>
      <c r="H3510" t="s">
        <v>1005</v>
      </c>
      <c r="I3510" t="str">
        <f t="shared" si="629"/>
        <v>19/03/2026</v>
      </c>
      <c r="J3510" t="str">
        <f>("18/03/2026")</f>
        <v>18/03/2026</v>
      </c>
      <c r="K3510">
        <v>46100</v>
      </c>
      <c r="N3510">
        <v>134</v>
      </c>
      <c r="O3510" t="s">
        <v>30</v>
      </c>
      <c r="Q3510">
        <v>180</v>
      </c>
      <c r="R3510" t="str">
        <f>"BRASIL FARMA (10173)"</f>
        <v>BRASIL FARMA (10173)</v>
      </c>
      <c r="S3510" t="s">
        <v>33</v>
      </c>
      <c r="T3510">
        <v>31430</v>
      </c>
      <c r="U3510">
        <v>35485</v>
      </c>
      <c r="V3510" t="s">
        <v>33</v>
      </c>
    </row>
    <row r="3511" spans="1:22">
      <c r="A3511" t="str">
        <f t="shared" si="633"/>
        <v>19/03/2026</v>
      </c>
      <c r="B3511" t="str">
        <f t="shared" si="627"/>
        <v>SAÍDA</v>
      </c>
      <c r="C3511" t="str">
        <f t="shared" si="628"/>
        <v>PIX</v>
      </c>
      <c r="D3511" t="str">
        <f>"35111"</f>
        <v>35111</v>
      </c>
      <c r="E3511" t="str">
        <f t="shared" ref="E3511:E3574" si="634">"1"</f>
        <v>1</v>
      </c>
      <c r="F3511" t="str">
        <f t="shared" si="618"/>
        <v>COM</v>
      </c>
      <c r="G3511" t="str">
        <f t="shared" ref="G3511:G3520" si="635">"ALYSSON HENRIQUE SOARES DE ARA??JO (1336)"</f>
        <v>ALYSSON HENRIQUE SOARES DE ARA??JO (1336)</v>
      </c>
      <c r="H3511" t="str">
        <f>"Serv.Prest. 09/03/2026 a 15/03/2026 - PIX: CPF - CHAVE: 116.683.686-09"</f>
        <v>Serv.Prest. 09/03/2026 a 15/03/2026 - PIX: CPF - CHAVE: 116.683.686-09</v>
      </c>
      <c r="I3511" t="str">
        <f t="shared" si="629"/>
        <v>19/03/2026</v>
      </c>
      <c r="J3511" t="str">
        <f t="shared" ref="J3511:J3520" si="636">("17/03/2026")</f>
        <v>17/03/2026</v>
      </c>
      <c r="K3511" t="str">
        <f>("19/03/2026")</f>
        <v>19/03/2026</v>
      </c>
      <c r="L3511">
        <v>6</v>
      </c>
      <c r="M3511">
        <v>6</v>
      </c>
      <c r="N3511">
        <v>109</v>
      </c>
      <c r="O3511" t="str">
        <f>"PAGAMENTO DE ENTREGADORES"</f>
        <v>PAGAMENTO DE ENTREGADORES</v>
      </c>
      <c r="P3511">
        <v>6</v>
      </c>
      <c r="S3511" t="str">
        <f>"BANCO CORA (102)"</f>
        <v>BANCO CORA (102)</v>
      </c>
      <c r="T3511">
        <v>31431</v>
      </c>
      <c r="U3511">
        <v>35111</v>
      </c>
      <c r="V3511" t="s">
        <v>33</v>
      </c>
    </row>
    <row r="3512" spans="1:22">
      <c r="A3512" t="str">
        <f t="shared" si="633"/>
        <v>19/03/2026</v>
      </c>
      <c r="B3512" t="str">
        <f t="shared" si="627"/>
        <v>SAÍDA</v>
      </c>
      <c r="C3512" t="str">
        <f t="shared" si="628"/>
        <v>PIX</v>
      </c>
      <c r="D3512" t="str">
        <f>"35111"</f>
        <v>35111</v>
      </c>
      <c r="E3512" t="str">
        <f t="shared" si="634"/>
        <v>1</v>
      </c>
      <c r="F3512" t="str">
        <f t="shared" si="618"/>
        <v>COM</v>
      </c>
      <c r="G3512" t="str">
        <f t="shared" si="635"/>
        <v>ALYSSON HENRIQUE SOARES DE ARA??JO (1336)</v>
      </c>
      <c r="H3512" t="s">
        <v>1006</v>
      </c>
      <c r="I3512" t="str">
        <f t="shared" si="629"/>
        <v>19/03/2026</v>
      </c>
      <c r="J3512" t="str">
        <f t="shared" si="636"/>
        <v>17/03/2026</v>
      </c>
      <c r="K3512">
        <v>46100</v>
      </c>
      <c r="N3512">
        <v>109</v>
      </c>
      <c r="O3512" t="s">
        <v>27</v>
      </c>
      <c r="Q3512">
        <v>6</v>
      </c>
      <c r="R3512" t="str">
        <f>"PAGUE MENOS 1327 (10312)"</f>
        <v>PAGUE MENOS 1327 (10312)</v>
      </c>
      <c r="S3512" t="s">
        <v>33</v>
      </c>
      <c r="T3512">
        <v>31431</v>
      </c>
      <c r="U3512">
        <v>35111</v>
      </c>
      <c r="V3512" t="s">
        <v>33</v>
      </c>
    </row>
    <row r="3513" spans="1:22">
      <c r="A3513" t="str">
        <f t="shared" si="633"/>
        <v>19/03/2026</v>
      </c>
      <c r="B3513" t="str">
        <f t="shared" si="627"/>
        <v>SAÍDA</v>
      </c>
      <c r="C3513" t="str">
        <f t="shared" si="628"/>
        <v>PIX</v>
      </c>
      <c r="D3513" t="str">
        <f>"35113"</f>
        <v>35113</v>
      </c>
      <c r="E3513" t="str">
        <f t="shared" si="634"/>
        <v>1</v>
      </c>
      <c r="F3513" t="str">
        <f t="shared" si="618"/>
        <v>COM</v>
      </c>
      <c r="G3513" t="str">
        <f t="shared" si="635"/>
        <v>ALYSSON HENRIQUE SOARES DE ARA??JO (1336)</v>
      </c>
      <c r="H3513" t="str">
        <f>"Serv.Prest. 09/03/2026 a 15/03/2026 - PIX: CPF - CHAVE: 116.683.686-09"</f>
        <v>Serv.Prest. 09/03/2026 a 15/03/2026 - PIX: CPF - CHAVE: 116.683.686-09</v>
      </c>
      <c r="I3513" t="str">
        <f t="shared" si="629"/>
        <v>19/03/2026</v>
      </c>
      <c r="J3513" t="str">
        <f t="shared" si="636"/>
        <v>17/03/2026</v>
      </c>
      <c r="K3513" t="str">
        <f>("19/03/2026")</f>
        <v>19/03/2026</v>
      </c>
      <c r="L3513">
        <v>150</v>
      </c>
      <c r="M3513">
        <v>150</v>
      </c>
      <c r="N3513">
        <v>109</v>
      </c>
      <c r="O3513" t="str">
        <f>"PAGAMENTO DE ENTREGADORES"</f>
        <v>PAGAMENTO DE ENTREGADORES</v>
      </c>
      <c r="P3513">
        <v>150</v>
      </c>
      <c r="S3513" t="str">
        <f>"BANCO CORA (102)"</f>
        <v>BANCO CORA (102)</v>
      </c>
      <c r="T3513">
        <v>31432</v>
      </c>
      <c r="U3513">
        <v>35113</v>
      </c>
      <c r="V3513" t="s">
        <v>33</v>
      </c>
    </row>
    <row r="3514" spans="1:22">
      <c r="A3514" t="str">
        <f t="shared" si="633"/>
        <v>19/03/2026</v>
      </c>
      <c r="B3514" t="str">
        <f t="shared" si="627"/>
        <v>SAÍDA</v>
      </c>
      <c r="C3514" t="str">
        <f t="shared" si="628"/>
        <v>PIX</v>
      </c>
      <c r="D3514" t="str">
        <f>"35113"</f>
        <v>35113</v>
      </c>
      <c r="E3514" t="str">
        <f t="shared" si="634"/>
        <v>1</v>
      </c>
      <c r="F3514" t="str">
        <f t="shared" si="618"/>
        <v>COM</v>
      </c>
      <c r="G3514" t="str">
        <f t="shared" si="635"/>
        <v>ALYSSON HENRIQUE SOARES DE ARA??JO (1336)</v>
      </c>
      <c r="H3514" t="s">
        <v>1006</v>
      </c>
      <c r="I3514" t="str">
        <f t="shared" si="629"/>
        <v>19/03/2026</v>
      </c>
      <c r="J3514" t="str">
        <f t="shared" si="636"/>
        <v>17/03/2026</v>
      </c>
      <c r="K3514">
        <v>46100</v>
      </c>
      <c r="N3514">
        <v>109</v>
      </c>
      <c r="O3514" t="s">
        <v>27</v>
      </c>
      <c r="Q3514">
        <v>150</v>
      </c>
      <c r="R3514" t="str">
        <f>"PAGUE MENOS 377 (10300)"</f>
        <v>PAGUE MENOS 377 (10300)</v>
      </c>
      <c r="S3514" t="s">
        <v>33</v>
      </c>
      <c r="T3514">
        <v>31432</v>
      </c>
      <c r="U3514">
        <v>35113</v>
      </c>
      <c r="V3514" t="s">
        <v>33</v>
      </c>
    </row>
    <row r="3515" spans="1:22">
      <c r="A3515" t="str">
        <f t="shared" si="633"/>
        <v>19/03/2026</v>
      </c>
      <c r="B3515" t="str">
        <f t="shared" si="627"/>
        <v>SAÍDA</v>
      </c>
      <c r="C3515" t="str">
        <f t="shared" si="628"/>
        <v>PIX</v>
      </c>
      <c r="D3515" t="str">
        <f>"35115"</f>
        <v>35115</v>
      </c>
      <c r="E3515" t="str">
        <f t="shared" si="634"/>
        <v>1</v>
      </c>
      <c r="F3515" t="str">
        <f t="shared" si="618"/>
        <v>COM</v>
      </c>
      <c r="G3515" t="str">
        <f t="shared" si="635"/>
        <v>ALYSSON HENRIQUE SOARES DE ARA??JO (1336)</v>
      </c>
      <c r="H3515" t="str">
        <f>"Serv.Prest. 09/03/2026 a 15/03/2026 - PIX: CPF - CHAVE: 116.683.686-09"</f>
        <v>Serv.Prest. 09/03/2026 a 15/03/2026 - PIX: CPF - CHAVE: 116.683.686-09</v>
      </c>
      <c r="I3515" t="str">
        <f t="shared" si="629"/>
        <v>19/03/2026</v>
      </c>
      <c r="J3515" t="str">
        <f t="shared" si="636"/>
        <v>17/03/2026</v>
      </c>
      <c r="K3515" t="str">
        <f>("19/03/2026")</f>
        <v>19/03/2026</v>
      </c>
      <c r="L3515">
        <v>162</v>
      </c>
      <c r="M3515">
        <v>236</v>
      </c>
      <c r="N3515">
        <v>109</v>
      </c>
      <c r="O3515" t="str">
        <f>"PAGAMENTO DE ENTREGADORES"</f>
        <v>PAGAMENTO DE ENTREGADORES</v>
      </c>
      <c r="P3515">
        <v>236</v>
      </c>
      <c r="S3515" t="str">
        <f>"BANCO CORA (102)"</f>
        <v>BANCO CORA (102)</v>
      </c>
      <c r="T3515">
        <v>31433</v>
      </c>
      <c r="U3515">
        <v>35115</v>
      </c>
      <c r="V3515" t="s">
        <v>33</v>
      </c>
    </row>
    <row r="3516" spans="1:22">
      <c r="A3516" t="str">
        <f t="shared" si="633"/>
        <v>19/03/2026</v>
      </c>
      <c r="B3516" t="str">
        <f t="shared" si="627"/>
        <v>SAÍDA</v>
      </c>
      <c r="C3516" t="str">
        <f t="shared" si="628"/>
        <v>PIX</v>
      </c>
      <c r="D3516" t="str">
        <f>"35115"</f>
        <v>35115</v>
      </c>
      <c r="E3516" t="str">
        <f t="shared" si="634"/>
        <v>1</v>
      </c>
      <c r="F3516" t="str">
        <f t="shared" si="618"/>
        <v>COM</v>
      </c>
      <c r="G3516" t="str">
        <f t="shared" si="635"/>
        <v>ALYSSON HENRIQUE SOARES DE ARA??JO (1336)</v>
      </c>
      <c r="H3516" t="s">
        <v>1006</v>
      </c>
      <c r="I3516" t="str">
        <f t="shared" si="629"/>
        <v>19/03/2026</v>
      </c>
      <c r="J3516" t="str">
        <f t="shared" si="636"/>
        <v>17/03/2026</v>
      </c>
      <c r="K3516">
        <v>46100</v>
      </c>
      <c r="N3516">
        <v>109</v>
      </c>
      <c r="O3516" t="s">
        <v>27</v>
      </c>
      <c r="Q3516">
        <v>236</v>
      </c>
      <c r="R3516" t="str">
        <f>"PAGUE MENOS 1156 (10308)"</f>
        <v>PAGUE MENOS 1156 (10308)</v>
      </c>
      <c r="S3516" t="s">
        <v>33</v>
      </c>
      <c r="T3516">
        <v>31433</v>
      </c>
      <c r="U3516">
        <v>35115</v>
      </c>
      <c r="V3516" t="s">
        <v>33</v>
      </c>
    </row>
    <row r="3517" spans="1:22">
      <c r="A3517" t="str">
        <f t="shared" si="633"/>
        <v>19/03/2026</v>
      </c>
      <c r="B3517" t="str">
        <f t="shared" si="627"/>
        <v>SAÍDA</v>
      </c>
      <c r="C3517" t="str">
        <f t="shared" si="628"/>
        <v>PIX</v>
      </c>
      <c r="D3517" t="str">
        <f>"35114"</f>
        <v>35114</v>
      </c>
      <c r="E3517" t="str">
        <f t="shared" si="634"/>
        <v>1</v>
      </c>
      <c r="F3517" t="str">
        <f t="shared" si="618"/>
        <v>COM</v>
      </c>
      <c r="G3517" t="str">
        <f t="shared" si="635"/>
        <v>ALYSSON HENRIQUE SOARES DE ARA??JO (1336)</v>
      </c>
      <c r="H3517" t="str">
        <f>"Serv.Prest. 09/03/2026 a 15/03/2026 - PIX: CPF - CHAVE: 116.683.686-09"</f>
        <v>Serv.Prest. 09/03/2026 a 15/03/2026 - PIX: CPF - CHAVE: 116.683.686-09</v>
      </c>
      <c r="I3517" t="str">
        <f t="shared" si="629"/>
        <v>19/03/2026</v>
      </c>
      <c r="J3517" t="str">
        <f t="shared" si="636"/>
        <v>17/03/2026</v>
      </c>
      <c r="K3517" t="str">
        <f>("19/03/2026")</f>
        <v>19/03/2026</v>
      </c>
      <c r="L3517">
        <v>360</v>
      </c>
      <c r="M3517">
        <v>360</v>
      </c>
      <c r="N3517">
        <v>109</v>
      </c>
      <c r="O3517" t="str">
        <f>"PAGAMENTO DE ENTREGADORES"</f>
        <v>PAGAMENTO DE ENTREGADORES</v>
      </c>
      <c r="P3517">
        <v>360</v>
      </c>
      <c r="S3517" t="str">
        <f>"BANCO CORA (102)"</f>
        <v>BANCO CORA (102)</v>
      </c>
      <c r="T3517">
        <v>31434</v>
      </c>
      <c r="U3517">
        <v>35114</v>
      </c>
      <c r="V3517" t="s">
        <v>33</v>
      </c>
    </row>
    <row r="3518" spans="1:22">
      <c r="A3518" t="str">
        <f t="shared" si="633"/>
        <v>19/03/2026</v>
      </c>
      <c r="B3518" t="str">
        <f t="shared" si="627"/>
        <v>SAÍDA</v>
      </c>
      <c r="C3518" t="str">
        <f t="shared" si="628"/>
        <v>PIX</v>
      </c>
      <c r="D3518" t="str">
        <f>"35114"</f>
        <v>35114</v>
      </c>
      <c r="E3518" t="str">
        <f t="shared" si="634"/>
        <v>1</v>
      </c>
      <c r="F3518" t="str">
        <f t="shared" si="618"/>
        <v>COM</v>
      </c>
      <c r="G3518" t="str">
        <f t="shared" si="635"/>
        <v>ALYSSON HENRIQUE SOARES DE ARA??JO (1336)</v>
      </c>
      <c r="H3518" t="s">
        <v>1006</v>
      </c>
      <c r="I3518" t="str">
        <f t="shared" si="629"/>
        <v>19/03/2026</v>
      </c>
      <c r="J3518" t="str">
        <f t="shared" si="636"/>
        <v>17/03/2026</v>
      </c>
      <c r="K3518">
        <v>46100</v>
      </c>
      <c r="N3518">
        <v>109</v>
      </c>
      <c r="O3518" t="s">
        <v>27</v>
      </c>
      <c r="Q3518">
        <v>360</v>
      </c>
      <c r="R3518" t="str">
        <f>"PAGUE MENOS 1155 (10307)"</f>
        <v>PAGUE MENOS 1155 (10307)</v>
      </c>
      <c r="S3518" t="s">
        <v>33</v>
      </c>
      <c r="T3518">
        <v>31434</v>
      </c>
      <c r="U3518">
        <v>35114</v>
      </c>
      <c r="V3518" t="s">
        <v>33</v>
      </c>
    </row>
    <row r="3519" spans="1:22">
      <c r="A3519" t="str">
        <f t="shared" si="633"/>
        <v>19/03/2026</v>
      </c>
      <c r="B3519" t="str">
        <f t="shared" si="627"/>
        <v>SAÍDA</v>
      </c>
      <c r="C3519" t="str">
        <f t="shared" si="628"/>
        <v>PIX</v>
      </c>
      <c r="D3519" t="str">
        <f>"35112"</f>
        <v>35112</v>
      </c>
      <c r="E3519" t="str">
        <f t="shared" si="634"/>
        <v>1</v>
      </c>
      <c r="F3519" t="str">
        <f t="shared" si="618"/>
        <v>COM</v>
      </c>
      <c r="G3519" t="str">
        <f t="shared" si="635"/>
        <v>ALYSSON HENRIQUE SOARES DE ARA??JO (1336)</v>
      </c>
      <c r="H3519" t="str">
        <f>"Serv.Prest. 09/03/2026 a 15/03/2026 - PIX: CPF - CHAVE: 116.683.686-09"</f>
        <v>Serv.Prest. 09/03/2026 a 15/03/2026 - PIX: CPF - CHAVE: 116.683.686-09</v>
      </c>
      <c r="I3519" t="str">
        <f t="shared" si="629"/>
        <v>19/03/2026</v>
      </c>
      <c r="J3519" t="str">
        <f t="shared" si="636"/>
        <v>17/03/2026</v>
      </c>
      <c r="K3519" t="str">
        <f>("19/03/2026")</f>
        <v>19/03/2026</v>
      </c>
      <c r="L3519">
        <v>36</v>
      </c>
      <c r="M3519">
        <v>36</v>
      </c>
      <c r="N3519">
        <v>109</v>
      </c>
      <c r="O3519" t="str">
        <f>"PAGAMENTO DE ENTREGADORES"</f>
        <v>PAGAMENTO DE ENTREGADORES</v>
      </c>
      <c r="P3519">
        <v>36</v>
      </c>
      <c r="S3519" t="str">
        <f>"BANCO CORA (102)"</f>
        <v>BANCO CORA (102)</v>
      </c>
      <c r="T3519">
        <v>31435</v>
      </c>
      <c r="U3519">
        <v>35112</v>
      </c>
      <c r="V3519" t="s">
        <v>33</v>
      </c>
    </row>
    <row r="3520" spans="1:22">
      <c r="A3520" t="str">
        <f t="shared" si="633"/>
        <v>19/03/2026</v>
      </c>
      <c r="B3520" t="str">
        <f t="shared" si="627"/>
        <v>SAÍDA</v>
      </c>
      <c r="C3520" t="str">
        <f t="shared" si="628"/>
        <v>PIX</v>
      </c>
      <c r="D3520" t="str">
        <f>"35112"</f>
        <v>35112</v>
      </c>
      <c r="E3520" t="str">
        <f t="shared" si="634"/>
        <v>1</v>
      </c>
      <c r="F3520" t="str">
        <f t="shared" si="618"/>
        <v>COM</v>
      </c>
      <c r="G3520" t="str">
        <f t="shared" si="635"/>
        <v>ALYSSON HENRIQUE SOARES DE ARA??JO (1336)</v>
      </c>
      <c r="H3520" t="s">
        <v>1006</v>
      </c>
      <c r="I3520" t="str">
        <f t="shared" si="629"/>
        <v>19/03/2026</v>
      </c>
      <c r="J3520" t="str">
        <f t="shared" si="636"/>
        <v>17/03/2026</v>
      </c>
      <c r="K3520">
        <v>46100</v>
      </c>
      <c r="N3520">
        <v>109</v>
      </c>
      <c r="O3520" t="s">
        <v>27</v>
      </c>
      <c r="Q3520">
        <v>36</v>
      </c>
      <c r="R3520" t="str">
        <f>"PAGUE MENOS 306 (10298)"</f>
        <v>PAGUE MENOS 306 (10298)</v>
      </c>
      <c r="S3520" t="s">
        <v>33</v>
      </c>
      <c r="T3520">
        <v>31435</v>
      </c>
      <c r="U3520">
        <v>35112</v>
      </c>
      <c r="V3520" t="s">
        <v>33</v>
      </c>
    </row>
    <row r="3521" spans="1:22">
      <c r="A3521" t="str">
        <f t="shared" si="633"/>
        <v>19/03/2026</v>
      </c>
      <c r="B3521" t="str">
        <f t="shared" si="627"/>
        <v>SAÍDA</v>
      </c>
      <c r="C3521" t="str">
        <f t="shared" si="628"/>
        <v>PIX</v>
      </c>
      <c r="D3521" t="str">
        <f>"34914"</f>
        <v>34914</v>
      </c>
      <c r="E3521" t="str">
        <f t="shared" si="634"/>
        <v>1</v>
      </c>
      <c r="F3521" t="str">
        <f t="shared" si="618"/>
        <v>COM</v>
      </c>
      <c r="G3521" t="str">
        <f>"EDMAR GUIMARAES TEIXEIRA JUNIOR (1367)"</f>
        <v>EDMAR GUIMARAES TEIXEIRA JUNIOR (1367)</v>
      </c>
      <c r="H3521" t="str">
        <f>"Serv.Prest. 09/03/2026 a 15/03/2026 - PIX: CPF - CHAVE: 701.088.016-67"</f>
        <v>Serv.Prest. 09/03/2026 a 15/03/2026 - PIX: CPF - CHAVE: 701.088.016-67</v>
      </c>
      <c r="I3521" t="str">
        <f t="shared" si="629"/>
        <v>19/03/2026</v>
      </c>
      <c r="J3521" t="str">
        <f>("16/03/2026")</f>
        <v>16/03/2026</v>
      </c>
      <c r="K3521" t="str">
        <f>("19/03/2026")</f>
        <v>19/03/2026</v>
      </c>
      <c r="L3521">
        <v>700.44</v>
      </c>
      <c r="M3521">
        <v>700.44</v>
      </c>
      <c r="N3521">
        <v>109</v>
      </c>
      <c r="O3521" t="str">
        <f>"PAGAMENTO DE ENTREGADORES"</f>
        <v>PAGAMENTO DE ENTREGADORES</v>
      </c>
      <c r="P3521">
        <v>700.44</v>
      </c>
      <c r="S3521" t="str">
        <f>"BANCO C6 (149)"</f>
        <v>BANCO C6 (149)</v>
      </c>
      <c r="T3521">
        <v>31436</v>
      </c>
      <c r="U3521">
        <v>34914</v>
      </c>
      <c r="V3521" t="s">
        <v>37</v>
      </c>
    </row>
    <row r="3522" spans="1:22">
      <c r="A3522" t="str">
        <f t="shared" si="633"/>
        <v>19/03/2026</v>
      </c>
      <c r="B3522" t="str">
        <f t="shared" si="627"/>
        <v>SAÍDA</v>
      </c>
      <c r="C3522" t="str">
        <f t="shared" si="628"/>
        <v>PIX</v>
      </c>
      <c r="D3522" t="str">
        <f>"34914"</f>
        <v>34914</v>
      </c>
      <c r="E3522" t="str">
        <f t="shared" si="634"/>
        <v>1</v>
      </c>
      <c r="F3522" t="str">
        <f t="shared" ref="F3522:F3585" si="637">"COM"</f>
        <v>COM</v>
      </c>
      <c r="G3522" t="str">
        <f>"EDMAR GUIMARAES TEIXEIRA JUNIOR (1367)"</f>
        <v>EDMAR GUIMARAES TEIXEIRA JUNIOR (1367)</v>
      </c>
      <c r="H3522" t="s">
        <v>1007</v>
      </c>
      <c r="I3522" t="str">
        <f t="shared" si="629"/>
        <v>19/03/2026</v>
      </c>
      <c r="J3522" t="str">
        <f>("16/03/2026")</f>
        <v>16/03/2026</v>
      </c>
      <c r="K3522">
        <v>46100</v>
      </c>
      <c r="N3522">
        <v>109</v>
      </c>
      <c r="O3522" t="s">
        <v>27</v>
      </c>
      <c r="Q3522">
        <v>700.44</v>
      </c>
      <c r="R3522" t="str">
        <f>"DROGARIA ANA &amp; ANA TIRADENTES (10322)"</f>
        <v>DROGARIA ANA &amp; ANA TIRADENTES (10322)</v>
      </c>
      <c r="S3522" t="s">
        <v>37</v>
      </c>
      <c r="T3522">
        <v>31436</v>
      </c>
      <c r="U3522">
        <v>34914</v>
      </c>
      <c r="V3522" t="s">
        <v>37</v>
      </c>
    </row>
    <row r="3523" spans="1:22">
      <c r="A3523" t="str">
        <f t="shared" si="633"/>
        <v>19/03/2026</v>
      </c>
      <c r="B3523" t="str">
        <f t="shared" si="627"/>
        <v>SAÍDA</v>
      </c>
      <c r="C3523" t="str">
        <f t="shared" si="628"/>
        <v>PIX</v>
      </c>
      <c r="D3523" t="str">
        <f>"34232"</f>
        <v>34232</v>
      </c>
      <c r="E3523" t="str">
        <f t="shared" si="634"/>
        <v>1</v>
      </c>
      <c r="F3523" t="str">
        <f t="shared" si="637"/>
        <v>COM</v>
      </c>
      <c r="G3523" t="str">
        <f>"ALAN ACOSTA (897)"</f>
        <v>ALAN ACOSTA (897)</v>
      </c>
      <c r="H3523" t="str">
        <f>"Serv.Prest. 02/03/2026 a 08/03/2026 - PIX: CELULAR - CHAVE: (43) 99875-6490"</f>
        <v>Serv.Prest. 02/03/2026 a 08/03/2026 - PIX: CELULAR - CHAVE: (43) 99875-6490</v>
      </c>
      <c r="I3523" t="str">
        <f t="shared" si="629"/>
        <v>19/03/2026</v>
      </c>
      <c r="J3523" t="str">
        <f t="shared" ref="J3523:J3548" si="638">("09/03/2026")</f>
        <v>09/03/2026</v>
      </c>
      <c r="K3523" t="str">
        <f>("19/03/2026")</f>
        <v>19/03/2026</v>
      </c>
      <c r="L3523">
        <v>206.6</v>
      </c>
      <c r="M3523">
        <v>206.6</v>
      </c>
      <c r="N3523">
        <v>109</v>
      </c>
      <c r="O3523" t="str">
        <f>"PAGAMENTO DE ENTREGADORES"</f>
        <v>PAGAMENTO DE ENTREGADORES</v>
      </c>
      <c r="P3523">
        <v>206.6</v>
      </c>
      <c r="S3523" t="str">
        <f>"BANCO C6 (149)"</f>
        <v>BANCO C6 (149)</v>
      </c>
      <c r="T3523">
        <v>31437</v>
      </c>
      <c r="U3523">
        <v>34232</v>
      </c>
      <c r="V3523" t="s">
        <v>37</v>
      </c>
    </row>
    <row r="3524" spans="1:22">
      <c r="A3524" t="str">
        <f t="shared" si="633"/>
        <v>19/03/2026</v>
      </c>
      <c r="B3524" t="str">
        <f t="shared" si="627"/>
        <v>SAÍDA</v>
      </c>
      <c r="C3524" t="str">
        <f t="shared" si="628"/>
        <v>PIX</v>
      </c>
      <c r="D3524" t="str">
        <f>"34232"</f>
        <v>34232</v>
      </c>
      <c r="E3524" t="str">
        <f t="shared" si="634"/>
        <v>1</v>
      </c>
      <c r="F3524" t="str">
        <f t="shared" si="637"/>
        <v>COM</v>
      </c>
      <c r="G3524" t="str">
        <f>"ALAN ACOSTA (897)"</f>
        <v>ALAN ACOSTA (897)</v>
      </c>
      <c r="H3524" t="s">
        <v>501</v>
      </c>
      <c r="I3524" t="str">
        <f t="shared" si="629"/>
        <v>19/03/2026</v>
      </c>
      <c r="J3524" t="str">
        <f t="shared" si="638"/>
        <v>09/03/2026</v>
      </c>
      <c r="K3524">
        <v>46100</v>
      </c>
      <c r="N3524">
        <v>109</v>
      </c>
      <c r="O3524" t="s">
        <v>27</v>
      </c>
      <c r="Q3524">
        <v>206.6</v>
      </c>
      <c r="R3524" t="str">
        <f>"AC FARMA - CID.ALTA (10166)"</f>
        <v>AC FARMA - CID.ALTA (10166)</v>
      </c>
      <c r="S3524" t="s">
        <v>37</v>
      </c>
      <c r="T3524">
        <v>31437</v>
      </c>
      <c r="U3524">
        <v>34232</v>
      </c>
      <c r="V3524" t="s">
        <v>37</v>
      </c>
    </row>
    <row r="3525" spans="1:22">
      <c r="A3525" t="str">
        <f t="shared" si="633"/>
        <v>19/03/2026</v>
      </c>
      <c r="B3525" t="str">
        <f t="shared" si="627"/>
        <v>SAÍDA</v>
      </c>
      <c r="C3525" t="str">
        <f t="shared" si="628"/>
        <v>PIX</v>
      </c>
      <c r="D3525" t="str">
        <f>"34233"</f>
        <v>34233</v>
      </c>
      <c r="E3525" t="str">
        <f t="shared" si="634"/>
        <v>1</v>
      </c>
      <c r="F3525" t="str">
        <f t="shared" si="637"/>
        <v>COM</v>
      </c>
      <c r="G3525" t="str">
        <f>"CLAUDINEI RIBEIRO VALERIO (681)"</f>
        <v>CLAUDINEI RIBEIRO VALERIO (681)</v>
      </c>
      <c r="H3525" t="str">
        <f>"Serv.Prest. 02/03/2026 a 08/03/2026 - PIX: CELULAR - CHAVE: (43) 99630-7532"</f>
        <v>Serv.Prest. 02/03/2026 a 08/03/2026 - PIX: CELULAR - CHAVE: (43) 99630-7532</v>
      </c>
      <c r="I3525" t="str">
        <f t="shared" si="629"/>
        <v>19/03/2026</v>
      </c>
      <c r="J3525" t="str">
        <f t="shared" si="638"/>
        <v>09/03/2026</v>
      </c>
      <c r="K3525" t="str">
        <f>("19/03/2026")</f>
        <v>19/03/2026</v>
      </c>
      <c r="L3525">
        <v>782</v>
      </c>
      <c r="M3525">
        <v>782</v>
      </c>
      <c r="N3525">
        <v>109</v>
      </c>
      <c r="O3525" t="str">
        <f>"PAGAMENTO DE ENTREGADORES"</f>
        <v>PAGAMENTO DE ENTREGADORES</v>
      </c>
      <c r="P3525">
        <v>782</v>
      </c>
      <c r="S3525" t="str">
        <f>"BANCO C6 (149)"</f>
        <v>BANCO C6 (149)</v>
      </c>
      <c r="T3525">
        <v>31438</v>
      </c>
      <c r="U3525">
        <v>34233</v>
      </c>
      <c r="V3525" t="s">
        <v>37</v>
      </c>
    </row>
    <row r="3526" spans="1:22">
      <c r="A3526" t="str">
        <f t="shared" si="633"/>
        <v>19/03/2026</v>
      </c>
      <c r="B3526" t="str">
        <f t="shared" si="627"/>
        <v>SAÍDA</v>
      </c>
      <c r="C3526" t="str">
        <f t="shared" si="628"/>
        <v>PIX</v>
      </c>
      <c r="D3526" t="str">
        <f>"34233"</f>
        <v>34233</v>
      </c>
      <c r="E3526" t="str">
        <f t="shared" si="634"/>
        <v>1</v>
      </c>
      <c r="F3526" t="str">
        <f t="shared" si="637"/>
        <v>COM</v>
      </c>
      <c r="G3526" t="str">
        <f>"CLAUDINEI RIBEIRO VALERIO (681)"</f>
        <v>CLAUDINEI RIBEIRO VALERIO (681)</v>
      </c>
      <c r="H3526" t="s">
        <v>1008</v>
      </c>
      <c r="I3526" t="str">
        <f t="shared" si="629"/>
        <v>19/03/2026</v>
      </c>
      <c r="J3526" t="str">
        <f t="shared" si="638"/>
        <v>09/03/2026</v>
      </c>
      <c r="K3526">
        <v>46100</v>
      </c>
      <c r="N3526">
        <v>109</v>
      </c>
      <c r="O3526" t="s">
        <v>27</v>
      </c>
      <c r="Q3526">
        <v>782</v>
      </c>
      <c r="R3526" t="str">
        <f>"AC FARMA - CID.ALTA (10166)"</f>
        <v>AC FARMA - CID.ALTA (10166)</v>
      </c>
      <c r="S3526" t="s">
        <v>37</v>
      </c>
      <c r="T3526">
        <v>31438</v>
      </c>
      <c r="U3526">
        <v>34233</v>
      </c>
      <c r="V3526" t="s">
        <v>37</v>
      </c>
    </row>
    <row r="3527" spans="1:22">
      <c r="A3527" t="str">
        <f t="shared" si="633"/>
        <v>19/03/2026</v>
      </c>
      <c r="B3527" t="str">
        <f t="shared" si="627"/>
        <v>SAÍDA</v>
      </c>
      <c r="C3527" t="str">
        <f t="shared" si="628"/>
        <v>PIX</v>
      </c>
      <c r="D3527" t="str">
        <f>"34234"</f>
        <v>34234</v>
      </c>
      <c r="E3527" t="str">
        <f t="shared" si="634"/>
        <v>1</v>
      </c>
      <c r="F3527" t="str">
        <f t="shared" si="637"/>
        <v>COM</v>
      </c>
      <c r="G3527" t="str">
        <f>"FERNANDO MARTINS DA SILVA (701)"</f>
        <v>FERNANDO MARTINS DA SILVA (701)</v>
      </c>
      <c r="H3527" t="str">
        <f>"Serv.Prest. 02/03/2026 a 08/03/2026 - PIX: CPF - CHAVE: 004.682.359-06"</f>
        <v>Serv.Prest. 02/03/2026 a 08/03/2026 - PIX: CPF - CHAVE: 004.682.359-06</v>
      </c>
      <c r="I3527" t="str">
        <f t="shared" si="629"/>
        <v>19/03/2026</v>
      </c>
      <c r="J3527" t="str">
        <f t="shared" si="638"/>
        <v>09/03/2026</v>
      </c>
      <c r="K3527" t="str">
        <f>("19/03/2026")</f>
        <v>19/03/2026</v>
      </c>
      <c r="L3527">
        <v>1224</v>
      </c>
      <c r="M3527">
        <v>1224</v>
      </c>
      <c r="N3527">
        <v>109</v>
      </c>
      <c r="O3527" t="str">
        <f>"PAGAMENTO DE ENTREGADORES"</f>
        <v>PAGAMENTO DE ENTREGADORES</v>
      </c>
      <c r="P3527">
        <v>1224</v>
      </c>
      <c r="S3527" t="str">
        <f>"BANCO C6 (149)"</f>
        <v>BANCO C6 (149)</v>
      </c>
      <c r="T3527">
        <v>31439</v>
      </c>
      <c r="U3527">
        <v>34234</v>
      </c>
      <c r="V3527" t="s">
        <v>37</v>
      </c>
    </row>
    <row r="3528" spans="1:22">
      <c r="A3528" t="str">
        <f t="shared" si="633"/>
        <v>19/03/2026</v>
      </c>
      <c r="B3528" t="str">
        <f t="shared" si="627"/>
        <v>SAÍDA</v>
      </c>
      <c r="C3528" t="str">
        <f t="shared" si="628"/>
        <v>PIX</v>
      </c>
      <c r="D3528" t="str">
        <f>"34234"</f>
        <v>34234</v>
      </c>
      <c r="E3528" t="str">
        <f t="shared" si="634"/>
        <v>1</v>
      </c>
      <c r="F3528" t="str">
        <f t="shared" si="637"/>
        <v>COM</v>
      </c>
      <c r="G3528" t="str">
        <f>"FERNANDO MARTINS DA SILVA (701)"</f>
        <v>FERNANDO MARTINS DA SILVA (701)</v>
      </c>
      <c r="H3528" t="s">
        <v>1009</v>
      </c>
      <c r="I3528" t="str">
        <f t="shared" si="629"/>
        <v>19/03/2026</v>
      </c>
      <c r="J3528" t="str">
        <f t="shared" si="638"/>
        <v>09/03/2026</v>
      </c>
      <c r="K3528">
        <v>46100</v>
      </c>
      <c r="N3528">
        <v>109</v>
      </c>
      <c r="O3528" t="s">
        <v>27</v>
      </c>
      <c r="Q3528">
        <v>1224</v>
      </c>
      <c r="R3528" t="str">
        <f>"AC FARMA - CID.ALTA (10166)"</f>
        <v>AC FARMA - CID.ALTA (10166)</v>
      </c>
      <c r="S3528" t="s">
        <v>37</v>
      </c>
      <c r="T3528">
        <v>31439</v>
      </c>
      <c r="U3528">
        <v>34234</v>
      </c>
      <c r="V3528" t="s">
        <v>37</v>
      </c>
    </row>
    <row r="3529" spans="1:22">
      <c r="A3529" t="str">
        <f t="shared" si="633"/>
        <v>19/03/2026</v>
      </c>
      <c r="B3529" t="str">
        <f t="shared" si="627"/>
        <v>SAÍDA</v>
      </c>
      <c r="C3529" t="str">
        <f t="shared" si="628"/>
        <v>PIX</v>
      </c>
      <c r="D3529" t="str">
        <f>"34235"</f>
        <v>34235</v>
      </c>
      <c r="E3529" t="str">
        <f t="shared" si="634"/>
        <v>1</v>
      </c>
      <c r="F3529" t="str">
        <f t="shared" si="637"/>
        <v>COM</v>
      </c>
      <c r="G3529" t="str">
        <f>"GERALDO SEVERINO DE SANTANA (729)"</f>
        <v>GERALDO SEVERINO DE SANTANA (729)</v>
      </c>
      <c r="H3529" t="str">
        <f>"Serv.Prest. 02/03/2026 a 08/03/2026 - PIX: CELULAR - CHAVE: (43) 99934-1696"</f>
        <v>Serv.Prest. 02/03/2026 a 08/03/2026 - PIX: CELULAR - CHAVE: (43) 99934-1696</v>
      </c>
      <c r="I3529" t="str">
        <f t="shared" si="629"/>
        <v>19/03/2026</v>
      </c>
      <c r="J3529" t="str">
        <f t="shared" si="638"/>
        <v>09/03/2026</v>
      </c>
      <c r="K3529" t="str">
        <f>("19/03/2026")</f>
        <v>19/03/2026</v>
      </c>
      <c r="L3529">
        <v>884</v>
      </c>
      <c r="M3529">
        <v>884</v>
      </c>
      <c r="N3529">
        <v>109</v>
      </c>
      <c r="O3529" t="str">
        <f>"PAGAMENTO DE ENTREGADORES"</f>
        <v>PAGAMENTO DE ENTREGADORES</v>
      </c>
      <c r="P3529">
        <v>884</v>
      </c>
      <c r="S3529" t="str">
        <f>"BANCO C6 (149)"</f>
        <v>BANCO C6 (149)</v>
      </c>
      <c r="T3529">
        <v>31440</v>
      </c>
      <c r="U3529">
        <v>34235</v>
      </c>
      <c r="V3529" t="s">
        <v>37</v>
      </c>
    </row>
    <row r="3530" spans="1:22">
      <c r="A3530" t="str">
        <f t="shared" si="633"/>
        <v>19/03/2026</v>
      </c>
      <c r="B3530" t="str">
        <f t="shared" si="627"/>
        <v>SAÍDA</v>
      </c>
      <c r="C3530" t="str">
        <f t="shared" si="628"/>
        <v>PIX</v>
      </c>
      <c r="D3530" t="str">
        <f>"34235"</f>
        <v>34235</v>
      </c>
      <c r="E3530" t="str">
        <f t="shared" si="634"/>
        <v>1</v>
      </c>
      <c r="F3530" t="str">
        <f t="shared" si="637"/>
        <v>COM</v>
      </c>
      <c r="G3530" t="str">
        <f>"GERALDO SEVERINO DE SANTANA (729)"</f>
        <v>GERALDO SEVERINO DE SANTANA (729)</v>
      </c>
      <c r="H3530" t="s">
        <v>1010</v>
      </c>
      <c r="I3530" t="str">
        <f t="shared" si="629"/>
        <v>19/03/2026</v>
      </c>
      <c r="J3530" t="str">
        <f t="shared" si="638"/>
        <v>09/03/2026</v>
      </c>
      <c r="K3530">
        <v>46100</v>
      </c>
      <c r="N3530">
        <v>109</v>
      </c>
      <c r="O3530" t="s">
        <v>27</v>
      </c>
      <c r="Q3530">
        <v>884</v>
      </c>
      <c r="R3530" t="str">
        <f>"AC FARMA - CID.ALTA (10166)"</f>
        <v>AC FARMA - CID.ALTA (10166)</v>
      </c>
      <c r="S3530" t="s">
        <v>37</v>
      </c>
      <c r="T3530">
        <v>31440</v>
      </c>
      <c r="U3530">
        <v>34235</v>
      </c>
      <c r="V3530" t="s">
        <v>37</v>
      </c>
    </row>
    <row r="3531" spans="1:22">
      <c r="A3531" t="str">
        <f t="shared" si="633"/>
        <v>19/03/2026</v>
      </c>
      <c r="B3531" t="str">
        <f t="shared" si="627"/>
        <v>SAÍDA</v>
      </c>
      <c r="C3531" t="str">
        <f t="shared" si="628"/>
        <v>PIX</v>
      </c>
      <c r="D3531" t="str">
        <f>"34236"</f>
        <v>34236</v>
      </c>
      <c r="E3531" t="str">
        <f t="shared" si="634"/>
        <v>1</v>
      </c>
      <c r="F3531" t="str">
        <f t="shared" si="637"/>
        <v>COM</v>
      </c>
      <c r="G3531" t="str">
        <f>"HELITON DE OLIVEIRA RAMOS BARBOSA (724)"</f>
        <v>HELITON DE OLIVEIRA RAMOS BARBOSA (724)</v>
      </c>
      <c r="H3531" t="str">
        <f>"Serv.Prest. 02/03/2026 a 08/03/2026 - PIX: CPF - CHAVE: 074.604.219-10"</f>
        <v>Serv.Prest. 02/03/2026 a 08/03/2026 - PIX: CPF - CHAVE: 074.604.219-10</v>
      </c>
      <c r="I3531" t="str">
        <f t="shared" si="629"/>
        <v>19/03/2026</v>
      </c>
      <c r="J3531" t="str">
        <f t="shared" si="638"/>
        <v>09/03/2026</v>
      </c>
      <c r="K3531" t="str">
        <f>("19/03/2026")</f>
        <v>19/03/2026</v>
      </c>
      <c r="L3531">
        <v>877.2</v>
      </c>
      <c r="M3531">
        <v>877.2</v>
      </c>
      <c r="N3531">
        <v>109</v>
      </c>
      <c r="O3531" t="str">
        <f>"PAGAMENTO DE ENTREGADORES"</f>
        <v>PAGAMENTO DE ENTREGADORES</v>
      </c>
      <c r="P3531">
        <v>877.2</v>
      </c>
      <c r="S3531" t="str">
        <f>"BANCO C6 (149)"</f>
        <v>BANCO C6 (149)</v>
      </c>
      <c r="T3531">
        <v>31441</v>
      </c>
      <c r="U3531">
        <v>34236</v>
      </c>
      <c r="V3531" t="s">
        <v>37</v>
      </c>
    </row>
    <row r="3532" spans="1:22">
      <c r="A3532" t="str">
        <f t="shared" si="633"/>
        <v>19/03/2026</v>
      </c>
      <c r="B3532" t="str">
        <f t="shared" si="627"/>
        <v>SAÍDA</v>
      </c>
      <c r="C3532" t="str">
        <f t="shared" si="628"/>
        <v>PIX</v>
      </c>
      <c r="D3532" t="str">
        <f>"34236"</f>
        <v>34236</v>
      </c>
      <c r="E3532" t="str">
        <f t="shared" si="634"/>
        <v>1</v>
      </c>
      <c r="F3532" t="str">
        <f t="shared" si="637"/>
        <v>COM</v>
      </c>
      <c r="G3532" t="str">
        <f>"HELITON DE OLIVEIRA RAMOS BARBOSA (724)"</f>
        <v>HELITON DE OLIVEIRA RAMOS BARBOSA (724)</v>
      </c>
      <c r="H3532" t="s">
        <v>1011</v>
      </c>
      <c r="I3532" t="str">
        <f t="shared" si="629"/>
        <v>19/03/2026</v>
      </c>
      <c r="J3532" t="str">
        <f t="shared" si="638"/>
        <v>09/03/2026</v>
      </c>
      <c r="K3532">
        <v>46100</v>
      </c>
      <c r="N3532">
        <v>109</v>
      </c>
      <c r="O3532" t="s">
        <v>27</v>
      </c>
      <c r="Q3532">
        <v>877.2</v>
      </c>
      <c r="R3532" t="str">
        <f>"AC FARMA - CID.ALTA (10166)"</f>
        <v>AC FARMA - CID.ALTA (10166)</v>
      </c>
      <c r="S3532" t="s">
        <v>37</v>
      </c>
      <c r="T3532">
        <v>31441</v>
      </c>
      <c r="U3532">
        <v>34236</v>
      </c>
      <c r="V3532" t="s">
        <v>37</v>
      </c>
    </row>
    <row r="3533" spans="1:22">
      <c r="A3533" t="str">
        <f t="shared" si="633"/>
        <v>19/03/2026</v>
      </c>
      <c r="B3533" t="str">
        <f t="shared" si="627"/>
        <v>SAÍDA</v>
      </c>
      <c r="C3533" t="str">
        <f t="shared" si="628"/>
        <v>PIX</v>
      </c>
      <c r="D3533" t="str">
        <f>"34237"</f>
        <v>34237</v>
      </c>
      <c r="E3533" t="str">
        <f t="shared" si="634"/>
        <v>1</v>
      </c>
      <c r="F3533" t="str">
        <f t="shared" si="637"/>
        <v>COM</v>
      </c>
      <c r="G3533" t="str">
        <f>"KAINAN FABRÍCIO DOS SANTOS (1258)"</f>
        <v>KAINAN FABRÍCIO DOS SANTOS (1258)</v>
      </c>
      <c r="H3533" t="str">
        <f>"Serv.Prest. 02/03/2026 a 08/03/2026 - PIX: CELULAR - CHAVE: (43) 99830-8026"</f>
        <v>Serv.Prest. 02/03/2026 a 08/03/2026 - PIX: CELULAR - CHAVE: (43) 99830-8026</v>
      </c>
      <c r="I3533" t="str">
        <f t="shared" si="629"/>
        <v>19/03/2026</v>
      </c>
      <c r="J3533" t="str">
        <f t="shared" si="638"/>
        <v>09/03/2026</v>
      </c>
      <c r="K3533" t="str">
        <f>("19/03/2026")</f>
        <v>19/03/2026</v>
      </c>
      <c r="L3533">
        <v>224.4</v>
      </c>
      <c r="M3533">
        <v>224.4</v>
      </c>
      <c r="N3533">
        <v>109</v>
      </c>
      <c r="O3533" t="str">
        <f>"PAGAMENTO DE ENTREGADORES"</f>
        <v>PAGAMENTO DE ENTREGADORES</v>
      </c>
      <c r="P3533">
        <v>224.4</v>
      </c>
      <c r="S3533" t="str">
        <f>"BANCO C6 (149)"</f>
        <v>BANCO C6 (149)</v>
      </c>
      <c r="T3533">
        <v>31442</v>
      </c>
      <c r="U3533">
        <v>34237</v>
      </c>
      <c r="V3533" t="s">
        <v>37</v>
      </c>
    </row>
    <row r="3534" spans="1:22">
      <c r="A3534" t="str">
        <f t="shared" si="633"/>
        <v>19/03/2026</v>
      </c>
      <c r="B3534" t="str">
        <f t="shared" si="627"/>
        <v>SAÍDA</v>
      </c>
      <c r="C3534" t="str">
        <f t="shared" si="628"/>
        <v>PIX</v>
      </c>
      <c r="D3534" t="str">
        <f>"34237"</f>
        <v>34237</v>
      </c>
      <c r="E3534" t="str">
        <f t="shared" si="634"/>
        <v>1</v>
      </c>
      <c r="F3534" t="str">
        <f t="shared" si="637"/>
        <v>COM</v>
      </c>
      <c r="G3534" t="str">
        <f>"KAINAN FABRÍCIO DOS SANTOS (1258)"</f>
        <v>KAINAN FABRÍCIO DOS SANTOS (1258)</v>
      </c>
      <c r="H3534" t="s">
        <v>1012</v>
      </c>
      <c r="I3534" t="str">
        <f t="shared" si="629"/>
        <v>19/03/2026</v>
      </c>
      <c r="J3534" t="str">
        <f t="shared" si="638"/>
        <v>09/03/2026</v>
      </c>
      <c r="K3534">
        <v>46100</v>
      </c>
      <c r="N3534">
        <v>109</v>
      </c>
      <c r="O3534" t="s">
        <v>27</v>
      </c>
      <c r="Q3534">
        <v>224.4</v>
      </c>
      <c r="R3534" t="str">
        <f>"AC FARMA - CID.ALTA (10166)"</f>
        <v>AC FARMA - CID.ALTA (10166)</v>
      </c>
      <c r="S3534" t="s">
        <v>37</v>
      </c>
      <c r="T3534">
        <v>31442</v>
      </c>
      <c r="U3534">
        <v>34237</v>
      </c>
      <c r="V3534" t="s">
        <v>37</v>
      </c>
    </row>
    <row r="3535" spans="1:22">
      <c r="A3535" t="str">
        <f t="shared" si="633"/>
        <v>19/03/2026</v>
      </c>
      <c r="B3535" t="str">
        <f t="shared" si="627"/>
        <v>SAÍDA</v>
      </c>
      <c r="C3535" t="str">
        <f t="shared" si="628"/>
        <v>PIX</v>
      </c>
      <c r="D3535" t="str">
        <f>"34239"</f>
        <v>34239</v>
      </c>
      <c r="E3535" t="str">
        <f t="shared" si="634"/>
        <v>1</v>
      </c>
      <c r="F3535" t="str">
        <f t="shared" si="637"/>
        <v>COM</v>
      </c>
      <c r="G3535" t="str">
        <f>"ALAN ACOSTA (897)"</f>
        <v>ALAN ACOSTA (897)</v>
      </c>
      <c r="H3535" t="str">
        <f>"Serv.Prest. 02/03/2026 a 08/03/2026 - PIX: CELULAR - CHAVE: (43) 99875-6490"</f>
        <v>Serv.Prest. 02/03/2026 a 08/03/2026 - PIX: CELULAR - CHAVE: (43) 99875-6490</v>
      </c>
      <c r="I3535" t="str">
        <f t="shared" si="629"/>
        <v>19/03/2026</v>
      </c>
      <c r="J3535" t="str">
        <f t="shared" si="638"/>
        <v>09/03/2026</v>
      </c>
      <c r="K3535" t="str">
        <f>("19/03/2026")</f>
        <v>19/03/2026</v>
      </c>
      <c r="L3535">
        <v>129.19999999999999</v>
      </c>
      <c r="M3535">
        <v>129.19999999999999</v>
      </c>
      <c r="N3535">
        <v>109</v>
      </c>
      <c r="O3535" t="str">
        <f>"PAGAMENTO DE ENTREGADORES"</f>
        <v>PAGAMENTO DE ENTREGADORES</v>
      </c>
      <c r="P3535">
        <v>129.19999999999999</v>
      </c>
      <c r="S3535" t="str">
        <f>"BANCO C6 (149)"</f>
        <v>BANCO C6 (149)</v>
      </c>
      <c r="T3535">
        <v>31443</v>
      </c>
      <c r="U3535">
        <v>34239</v>
      </c>
      <c r="V3535" t="s">
        <v>37</v>
      </c>
    </row>
    <row r="3536" spans="1:22">
      <c r="A3536" t="str">
        <f t="shared" si="633"/>
        <v>19/03/2026</v>
      </c>
      <c r="B3536" t="str">
        <f t="shared" si="627"/>
        <v>SAÍDA</v>
      </c>
      <c r="C3536" t="str">
        <f t="shared" si="628"/>
        <v>PIX</v>
      </c>
      <c r="D3536" t="str">
        <f>"34239"</f>
        <v>34239</v>
      </c>
      <c r="E3536" t="str">
        <f t="shared" si="634"/>
        <v>1</v>
      </c>
      <c r="F3536" t="str">
        <f t="shared" si="637"/>
        <v>COM</v>
      </c>
      <c r="G3536" t="str">
        <f>"ALAN ACOSTA (897)"</f>
        <v>ALAN ACOSTA (897)</v>
      </c>
      <c r="H3536" t="s">
        <v>501</v>
      </c>
      <c r="I3536" t="str">
        <f t="shared" si="629"/>
        <v>19/03/2026</v>
      </c>
      <c r="J3536" t="str">
        <f t="shared" si="638"/>
        <v>09/03/2026</v>
      </c>
      <c r="K3536">
        <v>46100</v>
      </c>
      <c r="N3536">
        <v>109</v>
      </c>
      <c r="O3536" t="s">
        <v>27</v>
      </c>
      <c r="Q3536">
        <v>129.19999999999999</v>
      </c>
      <c r="R3536" t="str">
        <f>"AC FARMA -  FLEMINFARMA (10159)"</f>
        <v>AC FARMA -  FLEMINFARMA (10159)</v>
      </c>
      <c r="S3536" t="s">
        <v>37</v>
      </c>
      <c r="T3536">
        <v>31443</v>
      </c>
      <c r="U3536">
        <v>34239</v>
      </c>
      <c r="V3536" t="s">
        <v>37</v>
      </c>
    </row>
    <row r="3537" spans="1:22">
      <c r="A3537" t="str">
        <f t="shared" si="633"/>
        <v>19/03/2026</v>
      </c>
      <c r="B3537" t="str">
        <f t="shared" si="627"/>
        <v>SAÍDA</v>
      </c>
      <c r="C3537" t="str">
        <f t="shared" si="628"/>
        <v>PIX</v>
      </c>
      <c r="D3537" t="str">
        <f>"34240"</f>
        <v>34240</v>
      </c>
      <c r="E3537" t="str">
        <f t="shared" si="634"/>
        <v>1</v>
      </c>
      <c r="F3537" t="str">
        <f t="shared" si="637"/>
        <v>COM</v>
      </c>
      <c r="G3537" t="str">
        <f>"CLAUDINEI RIBEIRO VALERIO (681)"</f>
        <v>CLAUDINEI RIBEIRO VALERIO (681)</v>
      </c>
      <c r="H3537" t="str">
        <f>"Serv.Prest. 02/03/2026 a 08/03/2026 - PIX: CELULAR - CHAVE: (43) 99630-7532"</f>
        <v>Serv.Prest. 02/03/2026 a 08/03/2026 - PIX: CELULAR - CHAVE: (43) 99630-7532</v>
      </c>
      <c r="I3537" t="str">
        <f t="shared" si="629"/>
        <v>19/03/2026</v>
      </c>
      <c r="J3537" t="str">
        <f t="shared" si="638"/>
        <v>09/03/2026</v>
      </c>
      <c r="K3537" t="str">
        <f>("19/03/2026")</f>
        <v>19/03/2026</v>
      </c>
      <c r="L3537">
        <v>190.4</v>
      </c>
      <c r="M3537">
        <v>190.4</v>
      </c>
      <c r="N3537">
        <v>109</v>
      </c>
      <c r="O3537" t="str">
        <f>"PAGAMENTO DE ENTREGADORES"</f>
        <v>PAGAMENTO DE ENTREGADORES</v>
      </c>
      <c r="P3537">
        <v>190.4</v>
      </c>
      <c r="S3537" t="str">
        <f>"BANCO C6 (149)"</f>
        <v>BANCO C6 (149)</v>
      </c>
      <c r="T3537">
        <v>31444</v>
      </c>
      <c r="U3537">
        <v>34240</v>
      </c>
      <c r="V3537" t="s">
        <v>37</v>
      </c>
    </row>
    <row r="3538" spans="1:22">
      <c r="A3538" t="str">
        <f t="shared" si="633"/>
        <v>19/03/2026</v>
      </c>
      <c r="B3538" t="str">
        <f t="shared" si="627"/>
        <v>SAÍDA</v>
      </c>
      <c r="C3538" t="str">
        <f t="shared" si="628"/>
        <v>PIX</v>
      </c>
      <c r="D3538" t="str">
        <f>"34240"</f>
        <v>34240</v>
      </c>
      <c r="E3538" t="str">
        <f t="shared" si="634"/>
        <v>1</v>
      </c>
      <c r="F3538" t="str">
        <f t="shared" si="637"/>
        <v>COM</v>
      </c>
      <c r="G3538" t="str">
        <f>"CLAUDINEI RIBEIRO VALERIO (681)"</f>
        <v>CLAUDINEI RIBEIRO VALERIO (681)</v>
      </c>
      <c r="H3538" t="s">
        <v>1008</v>
      </c>
      <c r="I3538" t="str">
        <f t="shared" si="629"/>
        <v>19/03/2026</v>
      </c>
      <c r="J3538" t="str">
        <f t="shared" si="638"/>
        <v>09/03/2026</v>
      </c>
      <c r="K3538">
        <v>46100</v>
      </c>
      <c r="N3538">
        <v>109</v>
      </c>
      <c r="O3538" t="s">
        <v>27</v>
      </c>
      <c r="Q3538">
        <v>190.4</v>
      </c>
      <c r="R3538" t="str">
        <f>"AC FARMA -  FLEMINFARMA (10159)"</f>
        <v>AC FARMA -  FLEMINFARMA (10159)</v>
      </c>
      <c r="S3538" t="s">
        <v>37</v>
      </c>
      <c r="T3538">
        <v>31444</v>
      </c>
      <c r="U3538">
        <v>34240</v>
      </c>
      <c r="V3538" t="s">
        <v>37</v>
      </c>
    </row>
    <row r="3539" spans="1:22">
      <c r="A3539" t="str">
        <f t="shared" si="633"/>
        <v>19/03/2026</v>
      </c>
      <c r="B3539" t="str">
        <f t="shared" si="627"/>
        <v>SAÍDA</v>
      </c>
      <c r="C3539" t="str">
        <f t="shared" si="628"/>
        <v>PIX</v>
      </c>
      <c r="D3539" t="str">
        <f>"34241"</f>
        <v>34241</v>
      </c>
      <c r="E3539" t="str">
        <f t="shared" si="634"/>
        <v>1</v>
      </c>
      <c r="F3539" t="str">
        <f t="shared" si="637"/>
        <v>COM</v>
      </c>
      <c r="G3539" t="str">
        <f>"FERNANDO MARTINS DA SILVA (701)"</f>
        <v>FERNANDO MARTINS DA SILVA (701)</v>
      </c>
      <c r="H3539" t="str">
        <f>"Serv.Prest. 02/03/2026 a 08/03/2026 - PIX: CPF - CHAVE: 004.682.359-06"</f>
        <v>Serv.Prest. 02/03/2026 a 08/03/2026 - PIX: CPF - CHAVE: 004.682.359-06</v>
      </c>
      <c r="I3539" t="str">
        <f t="shared" si="629"/>
        <v>19/03/2026</v>
      </c>
      <c r="J3539" t="str">
        <f t="shared" si="638"/>
        <v>09/03/2026</v>
      </c>
      <c r="K3539" t="str">
        <f>("19/03/2026")</f>
        <v>19/03/2026</v>
      </c>
      <c r="L3539">
        <v>652.79999999999995</v>
      </c>
      <c r="M3539">
        <v>652.79999999999995</v>
      </c>
      <c r="N3539">
        <v>109</v>
      </c>
      <c r="O3539" t="str">
        <f>"PAGAMENTO DE ENTREGADORES"</f>
        <v>PAGAMENTO DE ENTREGADORES</v>
      </c>
      <c r="P3539">
        <v>652.79999999999995</v>
      </c>
      <c r="S3539" t="str">
        <f>"BANCO C6 (149)"</f>
        <v>BANCO C6 (149)</v>
      </c>
      <c r="T3539">
        <v>31445</v>
      </c>
      <c r="U3539">
        <v>34241</v>
      </c>
      <c r="V3539" t="s">
        <v>37</v>
      </c>
    </row>
    <row r="3540" spans="1:22">
      <c r="A3540" t="str">
        <f t="shared" si="633"/>
        <v>19/03/2026</v>
      </c>
      <c r="B3540" t="str">
        <f t="shared" si="627"/>
        <v>SAÍDA</v>
      </c>
      <c r="C3540" t="str">
        <f t="shared" si="628"/>
        <v>PIX</v>
      </c>
      <c r="D3540" t="str">
        <f>"34241"</f>
        <v>34241</v>
      </c>
      <c r="E3540" t="str">
        <f t="shared" si="634"/>
        <v>1</v>
      </c>
      <c r="F3540" t="str">
        <f t="shared" si="637"/>
        <v>COM</v>
      </c>
      <c r="G3540" t="str">
        <f>"FERNANDO MARTINS DA SILVA (701)"</f>
        <v>FERNANDO MARTINS DA SILVA (701)</v>
      </c>
      <c r="H3540" t="s">
        <v>1009</v>
      </c>
      <c r="I3540" t="str">
        <f t="shared" si="629"/>
        <v>19/03/2026</v>
      </c>
      <c r="J3540" t="str">
        <f t="shared" si="638"/>
        <v>09/03/2026</v>
      </c>
      <c r="K3540">
        <v>46100</v>
      </c>
      <c r="N3540">
        <v>109</v>
      </c>
      <c r="O3540" t="s">
        <v>27</v>
      </c>
      <c r="Q3540">
        <v>652.79999999999995</v>
      </c>
      <c r="R3540" t="str">
        <f>"AC FARMA -  FLEMINFARMA (10159)"</f>
        <v>AC FARMA -  FLEMINFARMA (10159)</v>
      </c>
      <c r="S3540" t="s">
        <v>37</v>
      </c>
      <c r="T3540">
        <v>31445</v>
      </c>
      <c r="U3540">
        <v>34241</v>
      </c>
      <c r="V3540" t="s">
        <v>37</v>
      </c>
    </row>
    <row r="3541" spans="1:22">
      <c r="A3541" t="str">
        <f t="shared" si="633"/>
        <v>19/03/2026</v>
      </c>
      <c r="B3541" t="str">
        <f t="shared" si="627"/>
        <v>SAÍDA</v>
      </c>
      <c r="C3541" t="str">
        <f t="shared" si="628"/>
        <v>PIX</v>
      </c>
      <c r="D3541" t="str">
        <f>"34242"</f>
        <v>34242</v>
      </c>
      <c r="E3541" t="str">
        <f t="shared" si="634"/>
        <v>1</v>
      </c>
      <c r="F3541" t="str">
        <f t="shared" si="637"/>
        <v>COM</v>
      </c>
      <c r="G3541" t="str">
        <f>"GERALDO SEVERINO DE SANTANA (729)"</f>
        <v>GERALDO SEVERINO DE SANTANA (729)</v>
      </c>
      <c r="H3541" t="str">
        <f>"Serv.Prest. 02/03/2026 a 08/03/2026 - PIX: CELULAR - CHAVE: (43) 99934-1696"</f>
        <v>Serv.Prest. 02/03/2026 a 08/03/2026 - PIX: CELULAR - CHAVE: (43) 99934-1696</v>
      </c>
      <c r="I3541" t="str">
        <f t="shared" si="629"/>
        <v>19/03/2026</v>
      </c>
      <c r="J3541" t="str">
        <f t="shared" si="638"/>
        <v>09/03/2026</v>
      </c>
      <c r="K3541" t="str">
        <f>("19/03/2026")</f>
        <v>19/03/2026</v>
      </c>
      <c r="L3541">
        <v>217.6</v>
      </c>
      <c r="M3541">
        <v>217.6</v>
      </c>
      <c r="N3541">
        <v>109</v>
      </c>
      <c r="O3541" t="str">
        <f>"PAGAMENTO DE ENTREGADORES"</f>
        <v>PAGAMENTO DE ENTREGADORES</v>
      </c>
      <c r="P3541">
        <v>217.6</v>
      </c>
      <c r="S3541" t="str">
        <f>"BANCO C6 (149)"</f>
        <v>BANCO C6 (149)</v>
      </c>
      <c r="T3541">
        <v>31446</v>
      </c>
      <c r="U3541">
        <v>34242</v>
      </c>
      <c r="V3541" t="s">
        <v>37</v>
      </c>
    </row>
    <row r="3542" spans="1:22">
      <c r="A3542" t="str">
        <f t="shared" si="633"/>
        <v>19/03/2026</v>
      </c>
      <c r="B3542" t="str">
        <f t="shared" si="627"/>
        <v>SAÍDA</v>
      </c>
      <c r="C3542" t="str">
        <f t="shared" si="628"/>
        <v>PIX</v>
      </c>
      <c r="D3542" t="str">
        <f>"34242"</f>
        <v>34242</v>
      </c>
      <c r="E3542" t="str">
        <f t="shared" si="634"/>
        <v>1</v>
      </c>
      <c r="F3542" t="str">
        <f t="shared" si="637"/>
        <v>COM</v>
      </c>
      <c r="G3542" t="str">
        <f>"GERALDO SEVERINO DE SANTANA (729)"</f>
        <v>GERALDO SEVERINO DE SANTANA (729)</v>
      </c>
      <c r="H3542" t="s">
        <v>1010</v>
      </c>
      <c r="I3542" t="str">
        <f t="shared" si="629"/>
        <v>19/03/2026</v>
      </c>
      <c r="J3542" t="str">
        <f t="shared" si="638"/>
        <v>09/03/2026</v>
      </c>
      <c r="K3542">
        <v>46100</v>
      </c>
      <c r="N3542">
        <v>109</v>
      </c>
      <c r="O3542" t="s">
        <v>27</v>
      </c>
      <c r="Q3542">
        <v>217.6</v>
      </c>
      <c r="R3542" t="str">
        <f>"AC FARMA -  FLEMINFARMA (10159)"</f>
        <v>AC FARMA -  FLEMINFARMA (10159)</v>
      </c>
      <c r="S3542" t="s">
        <v>37</v>
      </c>
      <c r="T3542">
        <v>31446</v>
      </c>
      <c r="U3542">
        <v>34242</v>
      </c>
      <c r="V3542" t="s">
        <v>37</v>
      </c>
    </row>
    <row r="3543" spans="1:22">
      <c r="A3543" t="str">
        <f t="shared" si="633"/>
        <v>19/03/2026</v>
      </c>
      <c r="B3543" t="str">
        <f t="shared" si="627"/>
        <v>SAÍDA</v>
      </c>
      <c r="C3543" t="str">
        <f t="shared" si="628"/>
        <v>PIX</v>
      </c>
      <c r="D3543" t="str">
        <f>"34243"</f>
        <v>34243</v>
      </c>
      <c r="E3543" t="str">
        <f t="shared" si="634"/>
        <v>1</v>
      </c>
      <c r="F3543" t="str">
        <f t="shared" si="637"/>
        <v>COM</v>
      </c>
      <c r="G3543" t="str">
        <f>"HELITON DE OLIVEIRA RAMOS BARBOSA (724)"</f>
        <v>HELITON DE OLIVEIRA RAMOS BARBOSA (724)</v>
      </c>
      <c r="H3543" t="str">
        <f>"Serv.Prest. 02/03/2026 a 08/03/2026 - PIX: CPF - CHAVE: 074.604.219-10"</f>
        <v>Serv.Prest. 02/03/2026 a 08/03/2026 - PIX: CPF - CHAVE: 074.604.219-10</v>
      </c>
      <c r="I3543" t="str">
        <f t="shared" si="629"/>
        <v>19/03/2026</v>
      </c>
      <c r="J3543" t="str">
        <f t="shared" si="638"/>
        <v>09/03/2026</v>
      </c>
      <c r="K3543" t="str">
        <f>("19/03/2026")</f>
        <v>19/03/2026</v>
      </c>
      <c r="L3543">
        <v>353.6</v>
      </c>
      <c r="M3543">
        <v>353.6</v>
      </c>
      <c r="N3543">
        <v>109</v>
      </c>
      <c r="O3543" t="str">
        <f>"PAGAMENTO DE ENTREGADORES"</f>
        <v>PAGAMENTO DE ENTREGADORES</v>
      </c>
      <c r="P3543">
        <v>353.6</v>
      </c>
      <c r="S3543" t="str">
        <f>"BANCO C6 (149)"</f>
        <v>BANCO C6 (149)</v>
      </c>
      <c r="T3543">
        <v>31447</v>
      </c>
      <c r="U3543">
        <v>34243</v>
      </c>
      <c r="V3543" t="s">
        <v>37</v>
      </c>
    </row>
    <row r="3544" spans="1:22">
      <c r="A3544" t="str">
        <f t="shared" si="633"/>
        <v>19/03/2026</v>
      </c>
      <c r="B3544" t="str">
        <f t="shared" si="627"/>
        <v>SAÍDA</v>
      </c>
      <c r="C3544" t="str">
        <f t="shared" si="628"/>
        <v>PIX</v>
      </c>
      <c r="D3544" t="str">
        <f>"34243"</f>
        <v>34243</v>
      </c>
      <c r="E3544" t="str">
        <f t="shared" si="634"/>
        <v>1</v>
      </c>
      <c r="F3544" t="str">
        <f t="shared" si="637"/>
        <v>COM</v>
      </c>
      <c r="G3544" t="str">
        <f>"HELITON DE OLIVEIRA RAMOS BARBOSA (724)"</f>
        <v>HELITON DE OLIVEIRA RAMOS BARBOSA (724)</v>
      </c>
      <c r="H3544" t="s">
        <v>1011</v>
      </c>
      <c r="I3544" t="str">
        <f t="shared" si="629"/>
        <v>19/03/2026</v>
      </c>
      <c r="J3544" t="str">
        <f t="shared" si="638"/>
        <v>09/03/2026</v>
      </c>
      <c r="K3544">
        <v>46100</v>
      </c>
      <c r="N3544">
        <v>109</v>
      </c>
      <c r="O3544" t="s">
        <v>27</v>
      </c>
      <c r="Q3544">
        <v>353.6</v>
      </c>
      <c r="R3544" t="str">
        <f>"AC FARMA -  FLEMINFARMA (10159)"</f>
        <v>AC FARMA -  FLEMINFARMA (10159)</v>
      </c>
      <c r="S3544" t="s">
        <v>37</v>
      </c>
      <c r="T3544">
        <v>31447</v>
      </c>
      <c r="U3544">
        <v>34243</v>
      </c>
      <c r="V3544" t="s">
        <v>37</v>
      </c>
    </row>
    <row r="3545" spans="1:22">
      <c r="A3545" t="str">
        <f t="shared" si="633"/>
        <v>19/03/2026</v>
      </c>
      <c r="B3545" t="str">
        <f t="shared" si="627"/>
        <v>SAÍDA</v>
      </c>
      <c r="C3545" t="str">
        <f t="shared" si="628"/>
        <v>PIX</v>
      </c>
      <c r="D3545" t="str">
        <f>"34479"</f>
        <v>34479</v>
      </c>
      <c r="E3545" t="str">
        <f t="shared" si="634"/>
        <v>1</v>
      </c>
      <c r="F3545" t="str">
        <f t="shared" si="637"/>
        <v>COM</v>
      </c>
      <c r="G3545" t="str">
        <f>"ANDERSON PEREIRA DOS SANTOS (746)"</f>
        <v>ANDERSON PEREIRA DOS SANTOS (746)</v>
      </c>
      <c r="H3545" t="str">
        <f>"Serv.Prest. 02/03/2026 a 08/03/2026 - PIX: CPF - CHAVE: 079.930.865-07"</f>
        <v>Serv.Prest. 02/03/2026 a 08/03/2026 - PIX: CPF - CHAVE: 079.930.865-07</v>
      </c>
      <c r="I3545" t="str">
        <f t="shared" si="629"/>
        <v>19/03/2026</v>
      </c>
      <c r="J3545" t="str">
        <f t="shared" si="638"/>
        <v>09/03/2026</v>
      </c>
      <c r="K3545" t="str">
        <f>("19/03/2026")</f>
        <v>19/03/2026</v>
      </c>
      <c r="L3545">
        <v>396</v>
      </c>
      <c r="M3545">
        <v>396</v>
      </c>
      <c r="N3545">
        <v>109</v>
      </c>
      <c r="O3545" t="str">
        <f>"PAGAMENTO DE ENTREGADORES"</f>
        <v>PAGAMENTO DE ENTREGADORES</v>
      </c>
      <c r="P3545">
        <v>396</v>
      </c>
      <c r="S3545" t="str">
        <f>"BANCO C6 (149)"</f>
        <v>BANCO C6 (149)</v>
      </c>
      <c r="T3545">
        <v>31448</v>
      </c>
      <c r="U3545">
        <v>34479</v>
      </c>
      <c r="V3545" t="s">
        <v>37</v>
      </c>
    </row>
    <row r="3546" spans="1:22">
      <c r="A3546" t="str">
        <f t="shared" si="633"/>
        <v>19/03/2026</v>
      </c>
      <c r="B3546" t="str">
        <f t="shared" si="627"/>
        <v>SAÍDA</v>
      </c>
      <c r="C3546" t="str">
        <f t="shared" si="628"/>
        <v>PIX</v>
      </c>
      <c r="D3546" t="str">
        <f>"34479"</f>
        <v>34479</v>
      </c>
      <c r="E3546" t="str">
        <f t="shared" si="634"/>
        <v>1</v>
      </c>
      <c r="F3546" t="str">
        <f t="shared" si="637"/>
        <v>COM</v>
      </c>
      <c r="G3546" t="str">
        <f>"ANDERSON PEREIRA DOS SANTOS (746)"</f>
        <v>ANDERSON PEREIRA DOS SANTOS (746)</v>
      </c>
      <c r="H3546" t="s">
        <v>1013</v>
      </c>
      <c r="I3546" t="str">
        <f t="shared" si="629"/>
        <v>19/03/2026</v>
      </c>
      <c r="J3546" t="str">
        <f t="shared" si="638"/>
        <v>09/03/2026</v>
      </c>
      <c r="K3546">
        <v>46100</v>
      </c>
      <c r="N3546">
        <v>109</v>
      </c>
      <c r="O3546" t="s">
        <v>27</v>
      </c>
      <c r="Q3546">
        <v>396</v>
      </c>
      <c r="R3546" t="str">
        <f>"FARMÁCIA INDIANA LJ 236 (10169)"</f>
        <v>FARMÁCIA INDIANA LJ 236 (10169)</v>
      </c>
      <c r="S3546" t="s">
        <v>37</v>
      </c>
      <c r="T3546">
        <v>31448</v>
      </c>
      <c r="U3546">
        <v>34479</v>
      </c>
      <c r="V3546" t="s">
        <v>37</v>
      </c>
    </row>
    <row r="3547" spans="1:22">
      <c r="A3547" t="str">
        <f t="shared" si="633"/>
        <v>19/03/2026</v>
      </c>
      <c r="B3547" t="str">
        <f t="shared" si="627"/>
        <v>SAÍDA</v>
      </c>
      <c r="C3547" t="str">
        <f t="shared" si="628"/>
        <v>PIX</v>
      </c>
      <c r="D3547" t="str">
        <f>"34363"</f>
        <v>34363</v>
      </c>
      <c r="E3547" t="str">
        <f t="shared" si="634"/>
        <v>1</v>
      </c>
      <c r="F3547" t="str">
        <f t="shared" si="637"/>
        <v>COM</v>
      </c>
      <c r="G3547" t="str">
        <f>"PEDRO HENRIQUE MARQUES DA SILVA (1316)"</f>
        <v>PEDRO HENRIQUE MARQUES DA SILVA (1316)</v>
      </c>
      <c r="H3547" t="str">
        <f>"Serv.Prest. 02/03/2026 a 08/03/2026 - PIX: CNPJ - CHAVE: 64.557.825/0001-94"</f>
        <v>Serv.Prest. 02/03/2026 a 08/03/2026 - PIX: CNPJ - CHAVE: 64.557.825/0001-94</v>
      </c>
      <c r="I3547" t="str">
        <f t="shared" si="629"/>
        <v>19/03/2026</v>
      </c>
      <c r="J3547" t="str">
        <f t="shared" si="638"/>
        <v>09/03/2026</v>
      </c>
      <c r="K3547" t="str">
        <f>("19/03/2026")</f>
        <v>19/03/2026</v>
      </c>
      <c r="L3547">
        <v>1820</v>
      </c>
      <c r="M3547">
        <v>2008</v>
      </c>
      <c r="N3547">
        <v>109</v>
      </c>
      <c r="O3547" t="str">
        <f>"PAGAMENTO DE ENTREGADORES"</f>
        <v>PAGAMENTO DE ENTREGADORES</v>
      </c>
      <c r="P3547">
        <v>2008</v>
      </c>
      <c r="S3547" t="str">
        <f>"BANCO C6 (149)"</f>
        <v>BANCO C6 (149)</v>
      </c>
      <c r="T3547">
        <v>31449</v>
      </c>
      <c r="U3547">
        <v>34363</v>
      </c>
      <c r="V3547" t="s">
        <v>37</v>
      </c>
    </row>
    <row r="3548" spans="1:22">
      <c r="A3548" t="str">
        <f t="shared" si="633"/>
        <v>19/03/2026</v>
      </c>
      <c r="B3548" t="str">
        <f t="shared" si="627"/>
        <v>SAÍDA</v>
      </c>
      <c r="C3548" t="str">
        <f t="shared" si="628"/>
        <v>PIX</v>
      </c>
      <c r="D3548" t="str">
        <f>"34363"</f>
        <v>34363</v>
      </c>
      <c r="E3548" t="str">
        <f t="shared" si="634"/>
        <v>1</v>
      </c>
      <c r="F3548" t="str">
        <f t="shared" si="637"/>
        <v>COM</v>
      </c>
      <c r="G3548" t="str">
        <f>"PEDRO HENRIQUE MARQUES DA SILVA (1316)"</f>
        <v>PEDRO HENRIQUE MARQUES DA SILVA (1316)</v>
      </c>
      <c r="H3548" t="s">
        <v>1014</v>
      </c>
      <c r="I3548" t="str">
        <f t="shared" si="629"/>
        <v>19/03/2026</v>
      </c>
      <c r="J3548" t="str">
        <f t="shared" si="638"/>
        <v>09/03/2026</v>
      </c>
      <c r="K3548">
        <v>46100</v>
      </c>
      <c r="N3548">
        <v>109</v>
      </c>
      <c r="O3548" t="s">
        <v>27</v>
      </c>
      <c r="Q3548">
        <v>2008</v>
      </c>
      <c r="R3548" t="str">
        <f>"PAGUE MENOS 321 (10295)"</f>
        <v>PAGUE MENOS 321 (10295)</v>
      </c>
      <c r="S3548" t="s">
        <v>37</v>
      </c>
      <c r="T3548">
        <v>31449</v>
      </c>
      <c r="U3548">
        <v>34363</v>
      </c>
      <c r="V3548" t="s">
        <v>37</v>
      </c>
    </row>
    <row r="3549" spans="1:22">
      <c r="A3549" t="str">
        <f t="shared" si="633"/>
        <v>19/03/2026</v>
      </c>
      <c r="B3549" t="str">
        <f t="shared" si="627"/>
        <v>SAÍDA</v>
      </c>
      <c r="C3549" t="str">
        <f t="shared" si="628"/>
        <v>PIX</v>
      </c>
      <c r="D3549" t="str">
        <f>"34491"</f>
        <v>34491</v>
      </c>
      <c r="E3549" t="str">
        <f t="shared" si="634"/>
        <v>1</v>
      </c>
      <c r="F3549" t="str">
        <f t="shared" si="637"/>
        <v>COM</v>
      </c>
      <c r="G3549" t="str">
        <f>"DANILO DE JESUS SANTOS (490)"</f>
        <v>DANILO DE JESUS SANTOS (490)</v>
      </c>
      <c r="H3549" t="str">
        <f>"Serv.Prest. 02/03/2026 a 08/03/2026 - PIX: CELULAR - CHAVE: (73) 98191-0061"</f>
        <v>Serv.Prest. 02/03/2026 a 08/03/2026 - PIX: CELULAR - CHAVE: (73) 98191-0061</v>
      </c>
      <c r="I3549" t="str">
        <f t="shared" si="629"/>
        <v>19/03/2026</v>
      </c>
      <c r="J3549" t="str">
        <f t="shared" ref="J3549:J3560" si="639">("10/03/2026")</f>
        <v>10/03/2026</v>
      </c>
      <c r="K3549" t="str">
        <f>("19/03/2026")</f>
        <v>19/03/2026</v>
      </c>
      <c r="L3549">
        <v>662</v>
      </c>
      <c r="M3549">
        <v>662</v>
      </c>
      <c r="N3549">
        <v>109</v>
      </c>
      <c r="O3549" t="str">
        <f>"PAGAMENTO DE ENTREGADORES"</f>
        <v>PAGAMENTO DE ENTREGADORES</v>
      </c>
      <c r="P3549">
        <v>662</v>
      </c>
      <c r="S3549" t="str">
        <f>"BANCO C6 (149)"</f>
        <v>BANCO C6 (149)</v>
      </c>
      <c r="T3549">
        <v>31450</v>
      </c>
      <c r="U3549">
        <v>34491</v>
      </c>
      <c r="V3549" t="s">
        <v>37</v>
      </c>
    </row>
    <row r="3550" spans="1:22">
      <c r="A3550" t="str">
        <f t="shared" si="633"/>
        <v>19/03/2026</v>
      </c>
      <c r="B3550" t="str">
        <f t="shared" si="627"/>
        <v>SAÍDA</v>
      </c>
      <c r="C3550" t="str">
        <f t="shared" si="628"/>
        <v>PIX</v>
      </c>
      <c r="D3550" t="str">
        <f>"34491"</f>
        <v>34491</v>
      </c>
      <c r="E3550" t="str">
        <f t="shared" si="634"/>
        <v>1</v>
      </c>
      <c r="F3550" t="str">
        <f t="shared" si="637"/>
        <v>COM</v>
      </c>
      <c r="G3550" t="str">
        <f>"DANILO DE JESUS SANTOS (490)"</f>
        <v>DANILO DE JESUS SANTOS (490)</v>
      </c>
      <c r="H3550" t="s">
        <v>846</v>
      </c>
      <c r="I3550" t="str">
        <f t="shared" si="629"/>
        <v>19/03/2026</v>
      </c>
      <c r="J3550" t="str">
        <f t="shared" si="639"/>
        <v>10/03/2026</v>
      </c>
      <c r="K3550">
        <v>46100</v>
      </c>
      <c r="N3550">
        <v>109</v>
      </c>
      <c r="O3550" t="s">
        <v>27</v>
      </c>
      <c r="Q3550">
        <v>662</v>
      </c>
      <c r="R3550" t="str">
        <f>"FARMÁCIA INDIANA LJ 145 (10068)"</f>
        <v>FARMÁCIA INDIANA LJ 145 (10068)</v>
      </c>
      <c r="S3550" t="s">
        <v>37</v>
      </c>
      <c r="T3550">
        <v>31450</v>
      </c>
      <c r="U3550">
        <v>34491</v>
      </c>
      <c r="V3550" t="s">
        <v>37</v>
      </c>
    </row>
    <row r="3551" spans="1:22">
      <c r="A3551" t="str">
        <f t="shared" si="633"/>
        <v>19/03/2026</v>
      </c>
      <c r="B3551" t="str">
        <f t="shared" si="627"/>
        <v>SAÍDA</v>
      </c>
      <c r="C3551" t="str">
        <f t="shared" si="628"/>
        <v>PIX</v>
      </c>
      <c r="D3551" t="str">
        <f>"34492"</f>
        <v>34492</v>
      </c>
      <c r="E3551" t="str">
        <f t="shared" si="634"/>
        <v>1</v>
      </c>
      <c r="F3551" t="str">
        <f t="shared" si="637"/>
        <v>COM</v>
      </c>
      <c r="G3551" t="str">
        <f>"DIOCLECIO SANDES JOTA (135)"</f>
        <v>DIOCLECIO SANDES JOTA (135)</v>
      </c>
      <c r="H3551" t="str">
        <f>"Serv.Prest. 02/03/2026 a 08/03/2026 - PIX: CELULAR - CHAVE: (73) 99966-7211"</f>
        <v>Serv.Prest. 02/03/2026 a 08/03/2026 - PIX: CELULAR - CHAVE: (73) 99966-7211</v>
      </c>
      <c r="I3551" t="str">
        <f t="shared" si="629"/>
        <v>19/03/2026</v>
      </c>
      <c r="J3551" t="str">
        <f t="shared" si="639"/>
        <v>10/03/2026</v>
      </c>
      <c r="K3551" t="str">
        <f>("19/03/2026")</f>
        <v>19/03/2026</v>
      </c>
      <c r="L3551">
        <v>1222</v>
      </c>
      <c r="M3551">
        <v>1222</v>
      </c>
      <c r="N3551">
        <v>109</v>
      </c>
      <c r="O3551" t="str">
        <f>"PAGAMENTO DE ENTREGADORES"</f>
        <v>PAGAMENTO DE ENTREGADORES</v>
      </c>
      <c r="P3551">
        <v>1222</v>
      </c>
      <c r="S3551" t="str">
        <f>"BANCO C6 (149)"</f>
        <v>BANCO C6 (149)</v>
      </c>
      <c r="T3551">
        <v>31451</v>
      </c>
      <c r="U3551">
        <v>34492</v>
      </c>
      <c r="V3551" t="s">
        <v>37</v>
      </c>
    </row>
    <row r="3552" spans="1:22">
      <c r="A3552" t="str">
        <f t="shared" si="633"/>
        <v>19/03/2026</v>
      </c>
      <c r="B3552" t="str">
        <f t="shared" si="627"/>
        <v>SAÍDA</v>
      </c>
      <c r="C3552" t="str">
        <f t="shared" si="628"/>
        <v>PIX</v>
      </c>
      <c r="D3552" t="str">
        <f>"34492"</f>
        <v>34492</v>
      </c>
      <c r="E3552" t="str">
        <f t="shared" si="634"/>
        <v>1</v>
      </c>
      <c r="F3552" t="str">
        <f t="shared" si="637"/>
        <v>COM</v>
      </c>
      <c r="G3552" t="str">
        <f>"DIOCLECIO SANDES JOTA (135)"</f>
        <v>DIOCLECIO SANDES JOTA (135)</v>
      </c>
      <c r="H3552" t="s">
        <v>879</v>
      </c>
      <c r="I3552" t="str">
        <f t="shared" si="629"/>
        <v>19/03/2026</v>
      </c>
      <c r="J3552" t="str">
        <f t="shared" si="639"/>
        <v>10/03/2026</v>
      </c>
      <c r="K3552">
        <v>46100</v>
      </c>
      <c r="N3552">
        <v>109</v>
      </c>
      <c r="O3552" t="s">
        <v>27</v>
      </c>
      <c r="Q3552">
        <v>1222</v>
      </c>
      <c r="R3552" t="str">
        <f>"FARMÁCIA INDIANA LJ 91 (10037)"</f>
        <v>FARMÁCIA INDIANA LJ 91 (10037)</v>
      </c>
      <c r="S3552" t="s">
        <v>37</v>
      </c>
      <c r="T3552">
        <v>31451</v>
      </c>
      <c r="U3552">
        <v>34492</v>
      </c>
      <c r="V3552" t="s">
        <v>37</v>
      </c>
    </row>
    <row r="3553" spans="1:22">
      <c r="A3553" t="str">
        <f t="shared" si="633"/>
        <v>19/03/2026</v>
      </c>
      <c r="B3553" t="str">
        <f t="shared" si="627"/>
        <v>SAÍDA</v>
      </c>
      <c r="C3553" t="str">
        <f t="shared" si="628"/>
        <v>PIX</v>
      </c>
      <c r="D3553" t="str">
        <f>"34536"</f>
        <v>34536</v>
      </c>
      <c r="E3553" t="str">
        <f t="shared" si="634"/>
        <v>1</v>
      </c>
      <c r="F3553" t="str">
        <f t="shared" si="637"/>
        <v>COM</v>
      </c>
      <c r="G3553" t="str">
        <f>"ANDRE LUCAS DA SILVA (1158)"</f>
        <v>ANDRE LUCAS DA SILVA (1158)</v>
      </c>
      <c r="H3553" t="str">
        <f>"Serv.Prest. 02/03/2026 a 08/03/2026 - PIX: CPF - CHAVE: 125.636.656-04"</f>
        <v>Serv.Prest. 02/03/2026 a 08/03/2026 - PIX: CPF - CHAVE: 125.636.656-04</v>
      </c>
      <c r="I3553" t="str">
        <f t="shared" si="629"/>
        <v>19/03/2026</v>
      </c>
      <c r="J3553" t="str">
        <f t="shared" si="639"/>
        <v>10/03/2026</v>
      </c>
      <c r="K3553" t="str">
        <f>("19/03/2026")</f>
        <v>19/03/2026</v>
      </c>
      <c r="L3553">
        <v>569</v>
      </c>
      <c r="M3553">
        <v>569</v>
      </c>
      <c r="N3553">
        <v>109</v>
      </c>
      <c r="O3553" t="str">
        <f>"PAGAMENTO DE ENTREGADORES"</f>
        <v>PAGAMENTO DE ENTREGADORES</v>
      </c>
      <c r="P3553">
        <v>569</v>
      </c>
      <c r="S3553" t="str">
        <f>"BANCO C6 (149)"</f>
        <v>BANCO C6 (149)</v>
      </c>
      <c r="T3553">
        <v>31452</v>
      </c>
      <c r="U3553">
        <v>34536</v>
      </c>
      <c r="V3553" t="s">
        <v>37</v>
      </c>
    </row>
    <row r="3554" spans="1:22">
      <c r="A3554" t="str">
        <f t="shared" si="633"/>
        <v>19/03/2026</v>
      </c>
      <c r="B3554" t="str">
        <f t="shared" si="627"/>
        <v>SAÍDA</v>
      </c>
      <c r="C3554" t="str">
        <f t="shared" si="628"/>
        <v>PIX</v>
      </c>
      <c r="D3554" t="str">
        <f>"34536"</f>
        <v>34536</v>
      </c>
      <c r="E3554" t="str">
        <f t="shared" si="634"/>
        <v>1</v>
      </c>
      <c r="F3554" t="str">
        <f t="shared" si="637"/>
        <v>COM</v>
      </c>
      <c r="G3554" t="str">
        <f>"ANDRE LUCAS DA SILVA (1158)"</f>
        <v>ANDRE LUCAS DA SILVA (1158)</v>
      </c>
      <c r="H3554" t="s">
        <v>911</v>
      </c>
      <c r="I3554" t="str">
        <f t="shared" si="629"/>
        <v>19/03/2026</v>
      </c>
      <c r="J3554" t="str">
        <f t="shared" si="639"/>
        <v>10/03/2026</v>
      </c>
      <c r="K3554">
        <v>46100</v>
      </c>
      <c r="N3554">
        <v>109</v>
      </c>
      <c r="O3554" t="s">
        <v>27</v>
      </c>
      <c r="Q3554">
        <v>569</v>
      </c>
      <c r="R3554" t="str">
        <f>"FARMÁCIA INDIANA LJ 175 (10076)"</f>
        <v>FARMÁCIA INDIANA LJ 175 (10076)</v>
      </c>
      <c r="S3554" t="s">
        <v>37</v>
      </c>
      <c r="T3554">
        <v>31452</v>
      </c>
      <c r="U3554">
        <v>34536</v>
      </c>
      <c r="V3554" t="s">
        <v>37</v>
      </c>
    </row>
    <row r="3555" spans="1:22">
      <c r="A3555" t="str">
        <f t="shared" si="633"/>
        <v>19/03/2026</v>
      </c>
      <c r="B3555" t="str">
        <f t="shared" si="627"/>
        <v>SAÍDA</v>
      </c>
      <c r="C3555" t="str">
        <f t="shared" si="628"/>
        <v>PIX</v>
      </c>
      <c r="D3555" t="str">
        <f>"34535"</f>
        <v>34535</v>
      </c>
      <c r="E3555" t="str">
        <f t="shared" si="634"/>
        <v>1</v>
      </c>
      <c r="F3555" t="str">
        <f t="shared" si="637"/>
        <v>COM</v>
      </c>
      <c r="G3555" t="str">
        <f>"AMANDA VERÍSSIMO FERREIRA (794)"</f>
        <v>AMANDA VERÍSSIMO FERREIRA (794)</v>
      </c>
      <c r="H3555" t="str">
        <f>"Serv.Prest. 02/03/2026 a 08/03/2026 - PIX: CPF - CHAVE: 099.626.666-60"</f>
        <v>Serv.Prest. 02/03/2026 a 08/03/2026 - PIX: CPF - CHAVE: 099.626.666-60</v>
      </c>
      <c r="I3555" t="str">
        <f t="shared" si="629"/>
        <v>19/03/2026</v>
      </c>
      <c r="J3555" t="str">
        <f t="shared" si="639"/>
        <v>10/03/2026</v>
      </c>
      <c r="K3555" t="str">
        <f>("19/03/2026")</f>
        <v>19/03/2026</v>
      </c>
      <c r="L3555">
        <v>378</v>
      </c>
      <c r="M3555">
        <v>378</v>
      </c>
      <c r="N3555">
        <v>109</v>
      </c>
      <c r="O3555" t="str">
        <f>"PAGAMENTO DE ENTREGADORES"</f>
        <v>PAGAMENTO DE ENTREGADORES</v>
      </c>
      <c r="P3555">
        <v>378</v>
      </c>
      <c r="S3555" t="str">
        <f>"BANCO C6 (149)"</f>
        <v>BANCO C6 (149)</v>
      </c>
      <c r="T3555">
        <v>31453</v>
      </c>
      <c r="U3555">
        <v>34535</v>
      </c>
      <c r="V3555" t="s">
        <v>37</v>
      </c>
    </row>
    <row r="3556" spans="1:22">
      <c r="A3556" t="str">
        <f t="shared" si="633"/>
        <v>19/03/2026</v>
      </c>
      <c r="B3556" t="str">
        <f t="shared" si="627"/>
        <v>SAÍDA</v>
      </c>
      <c r="C3556" t="str">
        <f t="shared" si="628"/>
        <v>PIX</v>
      </c>
      <c r="D3556" t="str">
        <f>"34535"</f>
        <v>34535</v>
      </c>
      <c r="E3556" t="str">
        <f t="shared" si="634"/>
        <v>1</v>
      </c>
      <c r="F3556" t="str">
        <f t="shared" si="637"/>
        <v>COM</v>
      </c>
      <c r="G3556" t="str">
        <f>"AMANDA VERÍSSIMO FERREIRA (794)"</f>
        <v>AMANDA VERÍSSIMO FERREIRA (794)</v>
      </c>
      <c r="H3556" t="s">
        <v>1015</v>
      </c>
      <c r="I3556" t="str">
        <f t="shared" si="629"/>
        <v>19/03/2026</v>
      </c>
      <c r="J3556" t="str">
        <f t="shared" si="639"/>
        <v>10/03/2026</v>
      </c>
      <c r="K3556">
        <v>46100</v>
      </c>
      <c r="N3556">
        <v>109</v>
      </c>
      <c r="O3556" t="s">
        <v>27</v>
      </c>
      <c r="Q3556">
        <v>378</v>
      </c>
      <c r="R3556" t="str">
        <f>"FARMÁCIA INDIANA LJ 111 (10049)"</f>
        <v>FARMÁCIA INDIANA LJ 111 (10049)</v>
      </c>
      <c r="S3556" t="s">
        <v>37</v>
      </c>
      <c r="T3556">
        <v>31453</v>
      </c>
      <c r="U3556">
        <v>34535</v>
      </c>
      <c r="V3556" t="s">
        <v>37</v>
      </c>
    </row>
    <row r="3557" spans="1:22">
      <c r="A3557" t="str">
        <f t="shared" si="633"/>
        <v>19/03/2026</v>
      </c>
      <c r="B3557" t="str">
        <f t="shared" si="627"/>
        <v>SAÍDA</v>
      </c>
      <c r="C3557" t="str">
        <f t="shared" si="628"/>
        <v>PIX</v>
      </c>
      <c r="D3557" t="str">
        <f>"34533"</f>
        <v>34533</v>
      </c>
      <c r="E3557" t="str">
        <f t="shared" si="634"/>
        <v>1</v>
      </c>
      <c r="F3557" t="str">
        <f t="shared" si="637"/>
        <v>COM</v>
      </c>
      <c r="G3557" t="str">
        <f>"ALEXSANDER MESSIAS TEIXEIRA (382)"</f>
        <v>ALEXSANDER MESSIAS TEIXEIRA (382)</v>
      </c>
      <c r="H3557" t="str">
        <f>"Serv.Prest. 02/03/2026 a 08/03/2026 - PIX: CPF - CHAVE: 108.723.916-80"</f>
        <v>Serv.Prest. 02/03/2026 a 08/03/2026 - PIX: CPF - CHAVE: 108.723.916-80</v>
      </c>
      <c r="I3557" t="str">
        <f t="shared" si="629"/>
        <v>19/03/2026</v>
      </c>
      <c r="J3557" t="str">
        <f t="shared" si="639"/>
        <v>10/03/2026</v>
      </c>
      <c r="K3557" t="str">
        <f>("19/03/2026")</f>
        <v>19/03/2026</v>
      </c>
      <c r="L3557">
        <v>606</v>
      </c>
      <c r="M3557">
        <v>606</v>
      </c>
      <c r="N3557">
        <v>109</v>
      </c>
      <c r="O3557" t="str">
        <f>"PAGAMENTO DE ENTREGADORES"</f>
        <v>PAGAMENTO DE ENTREGADORES</v>
      </c>
      <c r="P3557">
        <v>606</v>
      </c>
      <c r="S3557" t="str">
        <f>"BANCO C6 (149)"</f>
        <v>BANCO C6 (149)</v>
      </c>
      <c r="T3557">
        <v>31454</v>
      </c>
      <c r="U3557">
        <v>34533</v>
      </c>
      <c r="V3557" t="s">
        <v>37</v>
      </c>
    </row>
    <row r="3558" spans="1:22">
      <c r="A3558" t="str">
        <f t="shared" si="633"/>
        <v>19/03/2026</v>
      </c>
      <c r="B3558" t="str">
        <f t="shared" si="627"/>
        <v>SAÍDA</v>
      </c>
      <c r="C3558" t="str">
        <f t="shared" si="628"/>
        <v>PIX</v>
      </c>
      <c r="D3558" t="str">
        <f>"34533"</f>
        <v>34533</v>
      </c>
      <c r="E3558" t="str">
        <f t="shared" si="634"/>
        <v>1</v>
      </c>
      <c r="F3558" t="str">
        <f t="shared" si="637"/>
        <v>COM</v>
      </c>
      <c r="G3558" t="str">
        <f>"ALEXSANDER MESSIAS TEIXEIRA (382)"</f>
        <v>ALEXSANDER MESSIAS TEIXEIRA (382)</v>
      </c>
      <c r="H3558" t="s">
        <v>1016</v>
      </c>
      <c r="I3558" t="str">
        <f t="shared" si="629"/>
        <v>19/03/2026</v>
      </c>
      <c r="J3558" t="str">
        <f t="shared" si="639"/>
        <v>10/03/2026</v>
      </c>
      <c r="K3558">
        <v>46100</v>
      </c>
      <c r="N3558">
        <v>109</v>
      </c>
      <c r="O3558" t="s">
        <v>27</v>
      </c>
      <c r="Q3558">
        <v>606</v>
      </c>
      <c r="R3558" t="str">
        <f>"FARMÁCIA INDIANA LJ 110 (10048)"</f>
        <v>FARMÁCIA INDIANA LJ 110 (10048)</v>
      </c>
      <c r="S3558" t="s">
        <v>37</v>
      </c>
      <c r="T3558">
        <v>31454</v>
      </c>
      <c r="U3558">
        <v>34533</v>
      </c>
      <c r="V3558" t="s">
        <v>37</v>
      </c>
    </row>
    <row r="3559" spans="1:22">
      <c r="A3559" t="str">
        <f t="shared" si="633"/>
        <v>19/03/2026</v>
      </c>
      <c r="B3559" t="str">
        <f t="shared" si="627"/>
        <v>SAÍDA</v>
      </c>
      <c r="C3559" t="str">
        <f t="shared" si="628"/>
        <v>PIX</v>
      </c>
      <c r="D3559" t="str">
        <f>"34534"</f>
        <v>34534</v>
      </c>
      <c r="E3559" t="str">
        <f t="shared" si="634"/>
        <v>1</v>
      </c>
      <c r="F3559" t="str">
        <f t="shared" si="637"/>
        <v>COM</v>
      </c>
      <c r="G3559" t="str">
        <f>"AMANDA VERÍSSIMO FERREIRA (794)"</f>
        <v>AMANDA VERÍSSIMO FERREIRA (794)</v>
      </c>
      <c r="H3559" t="str">
        <f>"Serv.Prest. 02/03/2026 a 08/03/2026 - PIX: CPF - CHAVE: 099.626.666-60"</f>
        <v>Serv.Prest. 02/03/2026 a 08/03/2026 - PIX: CPF - CHAVE: 099.626.666-60</v>
      </c>
      <c r="I3559" t="str">
        <f t="shared" si="629"/>
        <v>19/03/2026</v>
      </c>
      <c r="J3559" t="str">
        <f t="shared" si="639"/>
        <v>10/03/2026</v>
      </c>
      <c r="K3559" t="str">
        <f>("19/03/2026")</f>
        <v>19/03/2026</v>
      </c>
      <c r="L3559">
        <v>372</v>
      </c>
      <c r="M3559">
        <v>372</v>
      </c>
      <c r="N3559">
        <v>109</v>
      </c>
      <c r="O3559" t="str">
        <f>"PAGAMENTO DE ENTREGADORES"</f>
        <v>PAGAMENTO DE ENTREGADORES</v>
      </c>
      <c r="P3559">
        <v>372</v>
      </c>
      <c r="S3559" t="str">
        <f>"BANCO C6 (149)"</f>
        <v>BANCO C6 (149)</v>
      </c>
      <c r="T3559">
        <v>31455</v>
      </c>
      <c r="U3559">
        <v>34534</v>
      </c>
      <c r="V3559" t="s">
        <v>37</v>
      </c>
    </row>
    <row r="3560" spans="1:22">
      <c r="A3560" t="str">
        <f t="shared" si="633"/>
        <v>19/03/2026</v>
      </c>
      <c r="B3560" t="str">
        <f t="shared" si="627"/>
        <v>SAÍDA</v>
      </c>
      <c r="C3560" t="str">
        <f t="shared" si="628"/>
        <v>PIX</v>
      </c>
      <c r="D3560" t="str">
        <f>"34534"</f>
        <v>34534</v>
      </c>
      <c r="E3560" t="str">
        <f t="shared" si="634"/>
        <v>1</v>
      </c>
      <c r="F3560" t="str">
        <f t="shared" si="637"/>
        <v>COM</v>
      </c>
      <c r="G3560" t="str">
        <f>"AMANDA VERÍSSIMO FERREIRA (794)"</f>
        <v>AMANDA VERÍSSIMO FERREIRA (794)</v>
      </c>
      <c r="H3560" t="s">
        <v>1015</v>
      </c>
      <c r="I3560" t="str">
        <f t="shared" si="629"/>
        <v>19/03/2026</v>
      </c>
      <c r="J3560" t="str">
        <f t="shared" si="639"/>
        <v>10/03/2026</v>
      </c>
      <c r="K3560">
        <v>46100</v>
      </c>
      <c r="N3560">
        <v>109</v>
      </c>
      <c r="O3560" t="s">
        <v>27</v>
      </c>
      <c r="Q3560">
        <v>372</v>
      </c>
      <c r="R3560" t="str">
        <f>"FARMÁCIA INDIANA LJ 143 (10067)"</f>
        <v>FARMÁCIA INDIANA LJ 143 (10067)</v>
      </c>
      <c r="S3560" t="s">
        <v>37</v>
      </c>
      <c r="T3560">
        <v>31455</v>
      </c>
      <c r="U3560">
        <v>34534</v>
      </c>
      <c r="V3560" t="s">
        <v>37</v>
      </c>
    </row>
    <row r="3561" spans="1:22">
      <c r="A3561" t="str">
        <f t="shared" si="633"/>
        <v>19/03/2026</v>
      </c>
      <c r="B3561" t="str">
        <f t="shared" ref="B3561:B3624" si="640">"SAÍDA"</f>
        <v>SAÍDA</v>
      </c>
      <c r="C3561" t="str">
        <f t="shared" ref="C3561:C3624" si="641">"PIX"</f>
        <v>PIX</v>
      </c>
      <c r="D3561" t="str">
        <f>"34478"</f>
        <v>34478</v>
      </c>
      <c r="E3561" t="str">
        <f t="shared" si="634"/>
        <v>1</v>
      </c>
      <c r="F3561" t="str">
        <f t="shared" si="637"/>
        <v>COM</v>
      </c>
      <c r="G3561" t="str">
        <f>"ANDERSON PEREIRA DOS SANTOS (746)"</f>
        <v>ANDERSON PEREIRA DOS SANTOS (746)</v>
      </c>
      <c r="H3561" t="str">
        <f>"Serv.Prest. 02/03/2026 a 08/03/2026 - PIX: CPF - CHAVE: 079.930.865-07"</f>
        <v>Serv.Prest. 02/03/2026 a 08/03/2026 - PIX: CPF - CHAVE: 079.930.865-07</v>
      </c>
      <c r="I3561" t="str">
        <f t="shared" ref="I3561:I3624" si="642">("19/03/2026")</f>
        <v>19/03/2026</v>
      </c>
      <c r="J3561" t="str">
        <f t="shared" ref="J3561:J3578" si="643">("09/03/2026")</f>
        <v>09/03/2026</v>
      </c>
      <c r="K3561" t="str">
        <f>("19/03/2026")</f>
        <v>19/03/2026</v>
      </c>
      <c r="L3561">
        <v>396</v>
      </c>
      <c r="M3561">
        <v>396</v>
      </c>
      <c r="N3561">
        <v>109</v>
      </c>
      <c r="O3561" t="str">
        <f>"PAGAMENTO DE ENTREGADORES"</f>
        <v>PAGAMENTO DE ENTREGADORES</v>
      </c>
      <c r="P3561">
        <v>396</v>
      </c>
      <c r="S3561" t="str">
        <f>"BANCO C6 (149)"</f>
        <v>BANCO C6 (149)</v>
      </c>
      <c r="T3561">
        <v>31456</v>
      </c>
      <c r="U3561">
        <v>34478</v>
      </c>
      <c r="V3561" t="s">
        <v>37</v>
      </c>
    </row>
    <row r="3562" spans="1:22">
      <c r="A3562" t="str">
        <f t="shared" si="633"/>
        <v>19/03/2026</v>
      </c>
      <c r="B3562" t="str">
        <f t="shared" si="640"/>
        <v>SAÍDA</v>
      </c>
      <c r="C3562" t="str">
        <f t="shared" si="641"/>
        <v>PIX</v>
      </c>
      <c r="D3562" t="str">
        <f>"34478"</f>
        <v>34478</v>
      </c>
      <c r="E3562" t="str">
        <f t="shared" si="634"/>
        <v>1</v>
      </c>
      <c r="F3562" t="str">
        <f t="shared" si="637"/>
        <v>COM</v>
      </c>
      <c r="G3562" t="str">
        <f>"ANDERSON PEREIRA DOS SANTOS (746)"</f>
        <v>ANDERSON PEREIRA DOS SANTOS (746)</v>
      </c>
      <c r="H3562" t="s">
        <v>1013</v>
      </c>
      <c r="I3562" t="str">
        <f t="shared" si="642"/>
        <v>19/03/2026</v>
      </c>
      <c r="J3562" t="str">
        <f t="shared" si="643"/>
        <v>09/03/2026</v>
      </c>
      <c r="K3562">
        <v>46100</v>
      </c>
      <c r="N3562">
        <v>109</v>
      </c>
      <c r="O3562" t="s">
        <v>27</v>
      </c>
      <c r="Q3562">
        <v>396</v>
      </c>
      <c r="R3562" t="str">
        <f>"FARMÁCIA INDIANA LJ 211 (10168)"</f>
        <v>FARMÁCIA INDIANA LJ 211 (10168)</v>
      </c>
      <c r="S3562" t="s">
        <v>37</v>
      </c>
      <c r="T3562">
        <v>31456</v>
      </c>
      <c r="U3562">
        <v>34478</v>
      </c>
      <c r="V3562" t="s">
        <v>37</v>
      </c>
    </row>
    <row r="3563" spans="1:22">
      <c r="A3563" t="str">
        <f t="shared" si="633"/>
        <v>19/03/2026</v>
      </c>
      <c r="B3563" t="str">
        <f t="shared" si="640"/>
        <v>SAÍDA</v>
      </c>
      <c r="C3563" t="str">
        <f t="shared" si="641"/>
        <v>PIX</v>
      </c>
      <c r="D3563" t="str">
        <f>"34480"</f>
        <v>34480</v>
      </c>
      <c r="E3563" t="str">
        <f t="shared" si="634"/>
        <v>1</v>
      </c>
      <c r="F3563" t="str">
        <f t="shared" si="637"/>
        <v>COM</v>
      </c>
      <c r="G3563" t="str">
        <f>"ANDERSON PEREIRA DOS SANTOS (746)"</f>
        <v>ANDERSON PEREIRA DOS SANTOS (746)</v>
      </c>
      <c r="H3563" t="str">
        <f>"Serv.Prest. 02/03/2026 a 08/03/2026 - PIX: CPF - CHAVE: 079.930.865-07"</f>
        <v>Serv.Prest. 02/03/2026 a 08/03/2026 - PIX: CPF - CHAVE: 079.930.865-07</v>
      </c>
      <c r="I3563" t="str">
        <f t="shared" si="642"/>
        <v>19/03/2026</v>
      </c>
      <c r="J3563" t="str">
        <f t="shared" si="643"/>
        <v>09/03/2026</v>
      </c>
      <c r="K3563" t="str">
        <f>("19/03/2026")</f>
        <v>19/03/2026</v>
      </c>
      <c r="L3563">
        <v>408</v>
      </c>
      <c r="M3563">
        <v>408</v>
      </c>
      <c r="N3563">
        <v>109</v>
      </c>
      <c r="O3563" t="str">
        <f>"PAGAMENTO DE ENTREGADORES"</f>
        <v>PAGAMENTO DE ENTREGADORES</v>
      </c>
      <c r="P3563">
        <v>408</v>
      </c>
      <c r="S3563" t="str">
        <f>"BANCO C6 (149)"</f>
        <v>BANCO C6 (149)</v>
      </c>
      <c r="T3563">
        <v>31457</v>
      </c>
      <c r="U3563">
        <v>34480</v>
      </c>
      <c r="V3563" t="s">
        <v>37</v>
      </c>
    </row>
    <row r="3564" spans="1:22">
      <c r="A3564" t="str">
        <f t="shared" si="633"/>
        <v>19/03/2026</v>
      </c>
      <c r="B3564" t="str">
        <f t="shared" si="640"/>
        <v>SAÍDA</v>
      </c>
      <c r="C3564" t="str">
        <f t="shared" si="641"/>
        <v>PIX</v>
      </c>
      <c r="D3564" t="str">
        <f>"34480"</f>
        <v>34480</v>
      </c>
      <c r="E3564" t="str">
        <f t="shared" si="634"/>
        <v>1</v>
      </c>
      <c r="F3564" t="str">
        <f t="shared" si="637"/>
        <v>COM</v>
      </c>
      <c r="G3564" t="str">
        <f>"ANDERSON PEREIRA DOS SANTOS (746)"</f>
        <v>ANDERSON PEREIRA DOS SANTOS (746)</v>
      </c>
      <c r="H3564" t="s">
        <v>1013</v>
      </c>
      <c r="I3564" t="str">
        <f t="shared" si="642"/>
        <v>19/03/2026</v>
      </c>
      <c r="J3564" t="str">
        <f t="shared" si="643"/>
        <v>09/03/2026</v>
      </c>
      <c r="K3564">
        <v>46100</v>
      </c>
      <c r="N3564">
        <v>109</v>
      </c>
      <c r="O3564" t="s">
        <v>27</v>
      </c>
      <c r="Q3564">
        <v>408</v>
      </c>
      <c r="R3564" t="str">
        <f>"FARMÁCIA INDIANA LJ 292 (10282)"</f>
        <v>FARMÁCIA INDIANA LJ 292 (10282)</v>
      </c>
      <c r="S3564" t="s">
        <v>37</v>
      </c>
      <c r="T3564">
        <v>31457</v>
      </c>
      <c r="U3564">
        <v>34480</v>
      </c>
      <c r="V3564" t="s">
        <v>37</v>
      </c>
    </row>
    <row r="3565" spans="1:22">
      <c r="A3565" t="str">
        <f t="shared" si="633"/>
        <v>19/03/2026</v>
      </c>
      <c r="B3565" t="str">
        <f t="shared" si="640"/>
        <v>SAÍDA</v>
      </c>
      <c r="C3565" t="str">
        <f t="shared" si="641"/>
        <v>PIX</v>
      </c>
      <c r="D3565" t="str">
        <f>"34481"</f>
        <v>34481</v>
      </c>
      <c r="E3565" t="str">
        <f t="shared" si="634"/>
        <v>1</v>
      </c>
      <c r="F3565" t="str">
        <f t="shared" si="637"/>
        <v>COM</v>
      </c>
      <c r="G3565" t="str">
        <f>"CLEIDIVAN SALOMÃO DOS SANTOS (982)"</f>
        <v>CLEIDIVAN SALOMÃO DOS SANTOS (982)</v>
      </c>
      <c r="H3565" t="str">
        <f>"Serv.Prest. 02/03/2026 a 08/03/2026 - PIX: CELULAR - CHAVE: (27) 99657-5904"</f>
        <v>Serv.Prest. 02/03/2026 a 08/03/2026 - PIX: CELULAR - CHAVE: (27) 99657-5904</v>
      </c>
      <c r="I3565" t="str">
        <f t="shared" si="642"/>
        <v>19/03/2026</v>
      </c>
      <c r="J3565" t="str">
        <f t="shared" si="643"/>
        <v>09/03/2026</v>
      </c>
      <c r="K3565" t="str">
        <f>("19/03/2026")</f>
        <v>19/03/2026</v>
      </c>
      <c r="L3565">
        <v>165</v>
      </c>
      <c r="M3565">
        <v>165</v>
      </c>
      <c r="N3565">
        <v>109</v>
      </c>
      <c r="O3565" t="str">
        <f>"PAGAMENTO DE ENTREGADORES"</f>
        <v>PAGAMENTO DE ENTREGADORES</v>
      </c>
      <c r="P3565">
        <v>165</v>
      </c>
      <c r="S3565" t="str">
        <f>"BANCO C6 (149)"</f>
        <v>BANCO C6 (149)</v>
      </c>
      <c r="T3565">
        <v>31458</v>
      </c>
      <c r="U3565">
        <v>34481</v>
      </c>
      <c r="V3565" t="s">
        <v>37</v>
      </c>
    </row>
    <row r="3566" spans="1:22">
      <c r="A3566" t="str">
        <f t="shared" si="633"/>
        <v>19/03/2026</v>
      </c>
      <c r="B3566" t="str">
        <f t="shared" si="640"/>
        <v>SAÍDA</v>
      </c>
      <c r="C3566" t="str">
        <f t="shared" si="641"/>
        <v>PIX</v>
      </c>
      <c r="D3566" t="str">
        <f>"34481"</f>
        <v>34481</v>
      </c>
      <c r="E3566" t="str">
        <f t="shared" si="634"/>
        <v>1</v>
      </c>
      <c r="F3566" t="str">
        <f t="shared" si="637"/>
        <v>COM</v>
      </c>
      <c r="G3566" t="str">
        <f>"CLEIDIVAN SALOMÃO DOS SANTOS (982)"</f>
        <v>CLEIDIVAN SALOMÃO DOS SANTOS (982)</v>
      </c>
      <c r="H3566" t="s">
        <v>1017</v>
      </c>
      <c r="I3566" t="str">
        <f t="shared" si="642"/>
        <v>19/03/2026</v>
      </c>
      <c r="J3566" t="str">
        <f t="shared" si="643"/>
        <v>09/03/2026</v>
      </c>
      <c r="K3566">
        <v>46100</v>
      </c>
      <c r="N3566">
        <v>109</v>
      </c>
      <c r="O3566" t="s">
        <v>27</v>
      </c>
      <c r="Q3566">
        <v>165</v>
      </c>
      <c r="R3566" t="str">
        <f>"FARMÁCIA INDIANA LJ 235 (10190)"</f>
        <v>FARMÁCIA INDIANA LJ 235 (10190)</v>
      </c>
      <c r="S3566" t="s">
        <v>37</v>
      </c>
      <c r="T3566">
        <v>31458</v>
      </c>
      <c r="U3566">
        <v>34481</v>
      </c>
      <c r="V3566" t="s">
        <v>37</v>
      </c>
    </row>
    <row r="3567" spans="1:22">
      <c r="A3567" t="str">
        <f t="shared" si="633"/>
        <v>19/03/2026</v>
      </c>
      <c r="B3567" t="str">
        <f t="shared" si="640"/>
        <v>SAÍDA</v>
      </c>
      <c r="C3567" t="str">
        <f t="shared" si="641"/>
        <v>PIX</v>
      </c>
      <c r="D3567" t="str">
        <f>"34482"</f>
        <v>34482</v>
      </c>
      <c r="E3567" t="str">
        <f t="shared" si="634"/>
        <v>1</v>
      </c>
      <c r="F3567" t="str">
        <f t="shared" si="637"/>
        <v>COM</v>
      </c>
      <c r="G3567" t="str">
        <f>"CLEIDIVAN SALOMÃO DOS SANTOS (982)"</f>
        <v>CLEIDIVAN SALOMÃO DOS SANTOS (982)</v>
      </c>
      <c r="H3567" t="str">
        <f>"Serv.Prest. 02/03/2026 a 08/03/2026 - PIX: CELULAR - CHAVE: (27) 99657-5904"</f>
        <v>Serv.Prest. 02/03/2026 a 08/03/2026 - PIX: CELULAR - CHAVE: (27) 99657-5904</v>
      </c>
      <c r="I3567" t="str">
        <f t="shared" si="642"/>
        <v>19/03/2026</v>
      </c>
      <c r="J3567" t="str">
        <f t="shared" si="643"/>
        <v>09/03/2026</v>
      </c>
      <c r="K3567" t="str">
        <f>("19/03/2026")</f>
        <v>19/03/2026</v>
      </c>
      <c r="L3567">
        <v>797.5</v>
      </c>
      <c r="M3567">
        <v>797.5</v>
      </c>
      <c r="N3567">
        <v>109</v>
      </c>
      <c r="O3567" t="str">
        <f>"PAGAMENTO DE ENTREGADORES"</f>
        <v>PAGAMENTO DE ENTREGADORES</v>
      </c>
      <c r="P3567">
        <v>797.5</v>
      </c>
      <c r="S3567" t="str">
        <f>"BANCO C6 (149)"</f>
        <v>BANCO C6 (149)</v>
      </c>
      <c r="T3567">
        <v>31459</v>
      </c>
      <c r="U3567">
        <v>34482</v>
      </c>
      <c r="V3567" t="s">
        <v>37</v>
      </c>
    </row>
    <row r="3568" spans="1:22">
      <c r="A3568" t="str">
        <f t="shared" ref="A3568:A3631" si="644">("19/03/2026")</f>
        <v>19/03/2026</v>
      </c>
      <c r="B3568" t="str">
        <f t="shared" si="640"/>
        <v>SAÍDA</v>
      </c>
      <c r="C3568" t="str">
        <f t="shared" si="641"/>
        <v>PIX</v>
      </c>
      <c r="D3568" t="str">
        <f>"34482"</f>
        <v>34482</v>
      </c>
      <c r="E3568" t="str">
        <f t="shared" si="634"/>
        <v>1</v>
      </c>
      <c r="F3568" t="str">
        <f t="shared" si="637"/>
        <v>COM</v>
      </c>
      <c r="G3568" t="str">
        <f>"CLEIDIVAN SALOMÃO DOS SANTOS (982)"</f>
        <v>CLEIDIVAN SALOMÃO DOS SANTOS (982)</v>
      </c>
      <c r="H3568" t="s">
        <v>1017</v>
      </c>
      <c r="I3568" t="str">
        <f t="shared" si="642"/>
        <v>19/03/2026</v>
      </c>
      <c r="J3568" t="str">
        <f t="shared" si="643"/>
        <v>09/03/2026</v>
      </c>
      <c r="K3568">
        <v>46100</v>
      </c>
      <c r="N3568">
        <v>109</v>
      </c>
      <c r="O3568" t="s">
        <v>27</v>
      </c>
      <c r="Q3568">
        <v>797.5</v>
      </c>
      <c r="R3568" t="str">
        <f>"FARMÁCIA INDIANA LJ 243 (10142)"</f>
        <v>FARMÁCIA INDIANA LJ 243 (10142)</v>
      </c>
      <c r="S3568" t="s">
        <v>37</v>
      </c>
      <c r="T3568">
        <v>31459</v>
      </c>
      <c r="U3568">
        <v>34482</v>
      </c>
      <c r="V3568" t="s">
        <v>37</v>
      </c>
    </row>
    <row r="3569" spans="1:22">
      <c r="A3569" t="str">
        <f t="shared" si="644"/>
        <v>19/03/2026</v>
      </c>
      <c r="B3569" t="str">
        <f t="shared" si="640"/>
        <v>SAÍDA</v>
      </c>
      <c r="C3569" t="str">
        <f t="shared" si="641"/>
        <v>PIX</v>
      </c>
      <c r="D3569" t="str">
        <f>"34483"</f>
        <v>34483</v>
      </c>
      <c r="E3569" t="str">
        <f t="shared" si="634"/>
        <v>1</v>
      </c>
      <c r="F3569" t="str">
        <f t="shared" si="637"/>
        <v>COM</v>
      </c>
      <c r="G3569" t="str">
        <f>"DANILO ROCHA SILVA (162)"</f>
        <v>DANILO ROCHA SILVA (162)</v>
      </c>
      <c r="H3569" t="str">
        <f>"Serv.Prest. 02/03/2026 a 08/03/2026 - PIX: CELULAR - CHAVE: (27) 99811-6850"</f>
        <v>Serv.Prest. 02/03/2026 a 08/03/2026 - PIX: CELULAR - CHAVE: (27) 99811-6850</v>
      </c>
      <c r="I3569" t="str">
        <f t="shared" si="642"/>
        <v>19/03/2026</v>
      </c>
      <c r="J3569" t="str">
        <f t="shared" si="643"/>
        <v>09/03/2026</v>
      </c>
      <c r="K3569" t="str">
        <f>("19/03/2026")</f>
        <v>19/03/2026</v>
      </c>
      <c r="L3569">
        <v>1003.5</v>
      </c>
      <c r="M3569">
        <v>1003.5</v>
      </c>
      <c r="N3569">
        <v>109</v>
      </c>
      <c r="O3569" t="str">
        <f>"PAGAMENTO DE ENTREGADORES"</f>
        <v>PAGAMENTO DE ENTREGADORES</v>
      </c>
      <c r="P3569">
        <v>1003.5</v>
      </c>
      <c r="S3569" t="str">
        <f>"BANCO C6 (149)"</f>
        <v>BANCO C6 (149)</v>
      </c>
      <c r="T3569">
        <v>31460</v>
      </c>
      <c r="U3569">
        <v>34483</v>
      </c>
      <c r="V3569" t="s">
        <v>37</v>
      </c>
    </row>
    <row r="3570" spans="1:22">
      <c r="A3570" t="str">
        <f t="shared" si="644"/>
        <v>19/03/2026</v>
      </c>
      <c r="B3570" t="str">
        <f t="shared" si="640"/>
        <v>SAÍDA</v>
      </c>
      <c r="C3570" t="str">
        <f t="shared" si="641"/>
        <v>PIX</v>
      </c>
      <c r="D3570" t="str">
        <f>"34483"</f>
        <v>34483</v>
      </c>
      <c r="E3570" t="str">
        <f t="shared" si="634"/>
        <v>1</v>
      </c>
      <c r="F3570" t="str">
        <f t="shared" si="637"/>
        <v>COM</v>
      </c>
      <c r="G3570" t="str">
        <f>"DANILO ROCHA SILVA (162)"</f>
        <v>DANILO ROCHA SILVA (162)</v>
      </c>
      <c r="H3570" t="s">
        <v>1018</v>
      </c>
      <c r="I3570" t="str">
        <f t="shared" si="642"/>
        <v>19/03/2026</v>
      </c>
      <c r="J3570" t="str">
        <f t="shared" si="643"/>
        <v>09/03/2026</v>
      </c>
      <c r="K3570">
        <v>46100</v>
      </c>
      <c r="N3570">
        <v>109</v>
      </c>
      <c r="O3570" t="s">
        <v>27</v>
      </c>
      <c r="Q3570">
        <v>1003.5</v>
      </c>
      <c r="R3570" t="str">
        <f>"FARMÁCIA INDIANA LJ 181 (10078)"</f>
        <v>FARMÁCIA INDIANA LJ 181 (10078)</v>
      </c>
      <c r="S3570" t="s">
        <v>37</v>
      </c>
      <c r="T3570">
        <v>31460</v>
      </c>
      <c r="U3570">
        <v>34483</v>
      </c>
      <c r="V3570" t="s">
        <v>37</v>
      </c>
    </row>
    <row r="3571" spans="1:22">
      <c r="A3571" t="str">
        <f t="shared" si="644"/>
        <v>19/03/2026</v>
      </c>
      <c r="B3571" t="str">
        <f t="shared" si="640"/>
        <v>SAÍDA</v>
      </c>
      <c r="C3571" t="str">
        <f t="shared" si="641"/>
        <v>PIX</v>
      </c>
      <c r="D3571" t="str">
        <f>"34484"</f>
        <v>34484</v>
      </c>
      <c r="E3571" t="str">
        <f t="shared" si="634"/>
        <v>1</v>
      </c>
      <c r="F3571" t="str">
        <f t="shared" si="637"/>
        <v>COM</v>
      </c>
      <c r="G3571" t="str">
        <f>"GABRIEL PRATES DE OLIVEIRA (511)"</f>
        <v>GABRIEL PRATES DE OLIVEIRA (511)</v>
      </c>
      <c r="H3571" t="str">
        <f>"Serv.Prest. 02/03/2026 a 08/03/2026 - PIX: CELULAR - CHAVE: (27) 99869-8144"</f>
        <v>Serv.Prest. 02/03/2026 a 08/03/2026 - PIX: CELULAR - CHAVE: (27) 99869-8144</v>
      </c>
      <c r="I3571" t="str">
        <f t="shared" si="642"/>
        <v>19/03/2026</v>
      </c>
      <c r="J3571" t="str">
        <f t="shared" si="643"/>
        <v>09/03/2026</v>
      </c>
      <c r="K3571" t="str">
        <f>("19/03/2026")</f>
        <v>19/03/2026</v>
      </c>
      <c r="L3571">
        <v>756</v>
      </c>
      <c r="M3571">
        <v>756</v>
      </c>
      <c r="N3571">
        <v>109</v>
      </c>
      <c r="O3571" t="str">
        <f>"PAGAMENTO DE ENTREGADORES"</f>
        <v>PAGAMENTO DE ENTREGADORES</v>
      </c>
      <c r="P3571">
        <v>756</v>
      </c>
      <c r="S3571" t="str">
        <f>"BANCO C6 (149)"</f>
        <v>BANCO C6 (149)</v>
      </c>
      <c r="T3571">
        <v>31461</v>
      </c>
      <c r="U3571">
        <v>34484</v>
      </c>
      <c r="V3571" t="s">
        <v>37</v>
      </c>
    </row>
    <row r="3572" spans="1:22">
      <c r="A3572" t="str">
        <f t="shared" si="644"/>
        <v>19/03/2026</v>
      </c>
      <c r="B3572" t="str">
        <f t="shared" si="640"/>
        <v>SAÍDA</v>
      </c>
      <c r="C3572" t="str">
        <f t="shared" si="641"/>
        <v>PIX</v>
      </c>
      <c r="D3572" t="str">
        <f>"34484"</f>
        <v>34484</v>
      </c>
      <c r="E3572" t="str">
        <f t="shared" si="634"/>
        <v>1</v>
      </c>
      <c r="F3572" t="str">
        <f t="shared" si="637"/>
        <v>COM</v>
      </c>
      <c r="G3572" t="str">
        <f>"GABRIEL PRATES DE OLIVEIRA (511)"</f>
        <v>GABRIEL PRATES DE OLIVEIRA (511)</v>
      </c>
      <c r="H3572" t="s">
        <v>928</v>
      </c>
      <c r="I3572" t="str">
        <f t="shared" si="642"/>
        <v>19/03/2026</v>
      </c>
      <c r="J3572" t="str">
        <f t="shared" si="643"/>
        <v>09/03/2026</v>
      </c>
      <c r="K3572">
        <v>46100</v>
      </c>
      <c r="N3572">
        <v>109</v>
      </c>
      <c r="O3572" t="s">
        <v>27</v>
      </c>
      <c r="Q3572">
        <v>756</v>
      </c>
      <c r="R3572" t="str">
        <f>"FARMÁCIA INDIANA LJ 163 (10072)"</f>
        <v>FARMÁCIA INDIANA LJ 163 (10072)</v>
      </c>
      <c r="S3572" t="s">
        <v>37</v>
      </c>
      <c r="T3572">
        <v>31461</v>
      </c>
      <c r="U3572">
        <v>34484</v>
      </c>
      <c r="V3572" t="s">
        <v>37</v>
      </c>
    </row>
    <row r="3573" spans="1:22">
      <c r="A3573" t="str">
        <f t="shared" si="644"/>
        <v>19/03/2026</v>
      </c>
      <c r="B3573" t="str">
        <f t="shared" si="640"/>
        <v>SAÍDA</v>
      </c>
      <c r="C3573" t="str">
        <f t="shared" si="641"/>
        <v>PIX</v>
      </c>
      <c r="D3573" t="str">
        <f>"34485"</f>
        <v>34485</v>
      </c>
      <c r="E3573" t="str">
        <f t="shared" si="634"/>
        <v>1</v>
      </c>
      <c r="F3573" t="str">
        <f t="shared" si="637"/>
        <v>COM</v>
      </c>
      <c r="G3573" t="str">
        <f>"JACQUES SEBIM SANTNA (918)"</f>
        <v>JACQUES SEBIM SANTNA (918)</v>
      </c>
      <c r="H3573" t="str">
        <f>"Serv.Prest. 02/03/2026 a 08/03/2026 - PIX: CNPJ - CHAVE: 40.359.224/0001-09"</f>
        <v>Serv.Prest. 02/03/2026 a 08/03/2026 - PIX: CNPJ - CHAVE: 40.359.224/0001-09</v>
      </c>
      <c r="I3573" t="str">
        <f t="shared" si="642"/>
        <v>19/03/2026</v>
      </c>
      <c r="J3573" t="str">
        <f t="shared" si="643"/>
        <v>09/03/2026</v>
      </c>
      <c r="K3573" t="str">
        <f>("19/03/2026")</f>
        <v>19/03/2026</v>
      </c>
      <c r="L3573">
        <v>804</v>
      </c>
      <c r="M3573">
        <v>804</v>
      </c>
      <c r="N3573">
        <v>109</v>
      </c>
      <c r="O3573" t="str">
        <f>"PAGAMENTO DE ENTREGADORES"</f>
        <v>PAGAMENTO DE ENTREGADORES</v>
      </c>
      <c r="P3573">
        <v>804</v>
      </c>
      <c r="S3573" t="str">
        <f>"BANCO C6 (149)"</f>
        <v>BANCO C6 (149)</v>
      </c>
      <c r="T3573">
        <v>31462</v>
      </c>
      <c r="U3573">
        <v>34485</v>
      </c>
      <c r="V3573" t="s">
        <v>37</v>
      </c>
    </row>
    <row r="3574" spans="1:22">
      <c r="A3574" t="str">
        <f t="shared" si="644"/>
        <v>19/03/2026</v>
      </c>
      <c r="B3574" t="str">
        <f t="shared" si="640"/>
        <v>SAÍDA</v>
      </c>
      <c r="C3574" t="str">
        <f t="shared" si="641"/>
        <v>PIX</v>
      </c>
      <c r="D3574" t="str">
        <f>"34485"</f>
        <v>34485</v>
      </c>
      <c r="E3574" t="str">
        <f t="shared" si="634"/>
        <v>1</v>
      </c>
      <c r="F3574" t="str">
        <f t="shared" si="637"/>
        <v>COM</v>
      </c>
      <c r="G3574" t="str">
        <f>"JACQUES SEBIM SANTNA (918)"</f>
        <v>JACQUES SEBIM SANTNA (918)</v>
      </c>
      <c r="H3574" t="s">
        <v>1019</v>
      </c>
      <c r="I3574" t="str">
        <f t="shared" si="642"/>
        <v>19/03/2026</v>
      </c>
      <c r="J3574" t="str">
        <f t="shared" si="643"/>
        <v>09/03/2026</v>
      </c>
      <c r="K3574">
        <v>46100</v>
      </c>
      <c r="N3574">
        <v>109</v>
      </c>
      <c r="O3574" t="s">
        <v>27</v>
      </c>
      <c r="Q3574">
        <v>804</v>
      </c>
      <c r="R3574" t="str">
        <f>"FARMÁCIA INDIANA LJ 188 (10176)"</f>
        <v>FARMÁCIA INDIANA LJ 188 (10176)</v>
      </c>
      <c r="S3574" t="s">
        <v>37</v>
      </c>
      <c r="T3574">
        <v>31462</v>
      </c>
      <c r="U3574">
        <v>34485</v>
      </c>
      <c r="V3574" t="s">
        <v>37</v>
      </c>
    </row>
    <row r="3575" spans="1:22">
      <c r="A3575" t="str">
        <f t="shared" si="644"/>
        <v>19/03/2026</v>
      </c>
      <c r="B3575" t="str">
        <f t="shared" si="640"/>
        <v>SAÍDA</v>
      </c>
      <c r="C3575" t="str">
        <f t="shared" si="641"/>
        <v>PIX</v>
      </c>
      <c r="D3575" t="str">
        <f>"34486"</f>
        <v>34486</v>
      </c>
      <c r="E3575" t="str">
        <f t="shared" ref="E3575:E3638" si="645">"1"</f>
        <v>1</v>
      </c>
      <c r="F3575" t="str">
        <f t="shared" si="637"/>
        <v>COM</v>
      </c>
      <c r="G3575" t="str">
        <f>"JAIR BRISON JUNIOR (964)"</f>
        <v>JAIR BRISON JUNIOR (964)</v>
      </c>
      <c r="H3575" t="str">
        <f>"Serv.Prest. 02/03/2026 a 08/03/2026 - PIX: CPF - CHAVE: 096.116.707-61"</f>
        <v>Serv.Prest. 02/03/2026 a 08/03/2026 - PIX: CPF - CHAVE: 096.116.707-61</v>
      </c>
      <c r="I3575" t="str">
        <f t="shared" si="642"/>
        <v>19/03/2026</v>
      </c>
      <c r="J3575" t="str">
        <f t="shared" si="643"/>
        <v>09/03/2026</v>
      </c>
      <c r="K3575" t="str">
        <f>("19/03/2026")</f>
        <v>19/03/2026</v>
      </c>
      <c r="L3575">
        <v>765</v>
      </c>
      <c r="M3575">
        <v>765</v>
      </c>
      <c r="N3575">
        <v>109</v>
      </c>
      <c r="O3575" t="str">
        <f>"PAGAMENTO DE ENTREGADORES"</f>
        <v>PAGAMENTO DE ENTREGADORES</v>
      </c>
      <c r="P3575">
        <v>765</v>
      </c>
      <c r="S3575" t="str">
        <f>"BANCO C6 (149)"</f>
        <v>BANCO C6 (149)</v>
      </c>
      <c r="T3575">
        <v>31463</v>
      </c>
      <c r="U3575">
        <v>34486</v>
      </c>
      <c r="V3575" t="s">
        <v>37</v>
      </c>
    </row>
    <row r="3576" spans="1:22">
      <c r="A3576" t="str">
        <f t="shared" si="644"/>
        <v>19/03/2026</v>
      </c>
      <c r="B3576" t="str">
        <f t="shared" si="640"/>
        <v>SAÍDA</v>
      </c>
      <c r="C3576" t="str">
        <f t="shared" si="641"/>
        <v>PIX</v>
      </c>
      <c r="D3576" t="str">
        <f>"34486"</f>
        <v>34486</v>
      </c>
      <c r="E3576" t="str">
        <f t="shared" si="645"/>
        <v>1</v>
      </c>
      <c r="F3576" t="str">
        <f t="shared" si="637"/>
        <v>COM</v>
      </c>
      <c r="G3576" t="str">
        <f>"JAIR BRISON JUNIOR (964)"</f>
        <v>JAIR BRISON JUNIOR (964)</v>
      </c>
      <c r="H3576" t="s">
        <v>992</v>
      </c>
      <c r="I3576" t="str">
        <f t="shared" si="642"/>
        <v>19/03/2026</v>
      </c>
      <c r="J3576" t="str">
        <f t="shared" si="643"/>
        <v>09/03/2026</v>
      </c>
      <c r="K3576">
        <v>46100</v>
      </c>
      <c r="N3576">
        <v>109</v>
      </c>
      <c r="O3576" t="s">
        <v>27</v>
      </c>
      <c r="Q3576">
        <v>765</v>
      </c>
      <c r="R3576" t="str">
        <f>"FARMÁCIA INDIANA LJ 119 (10053)"</f>
        <v>FARMÁCIA INDIANA LJ 119 (10053)</v>
      </c>
      <c r="S3576" t="s">
        <v>37</v>
      </c>
      <c r="T3576">
        <v>31463</v>
      </c>
      <c r="U3576">
        <v>34486</v>
      </c>
      <c r="V3576" t="s">
        <v>37</v>
      </c>
    </row>
    <row r="3577" spans="1:22">
      <c r="A3577" t="str">
        <f t="shared" si="644"/>
        <v>19/03/2026</v>
      </c>
      <c r="B3577" t="str">
        <f t="shared" si="640"/>
        <v>SAÍDA</v>
      </c>
      <c r="C3577" t="str">
        <f t="shared" si="641"/>
        <v>PIX</v>
      </c>
      <c r="D3577" t="str">
        <f>"34487"</f>
        <v>34487</v>
      </c>
      <c r="E3577" t="str">
        <f t="shared" si="645"/>
        <v>1</v>
      </c>
      <c r="F3577" t="str">
        <f t="shared" si="637"/>
        <v>COM</v>
      </c>
      <c r="G3577" t="str">
        <f>"VINÍCIUS NEVES PEREIRA (776)"</f>
        <v>VINÍCIUS NEVES PEREIRA (776)</v>
      </c>
      <c r="H3577" t="str">
        <f>"Serv.Prest. 02/03/2026 a 08/03/2026 - PIX: CPF - CHAVE: 121.963.507-37"</f>
        <v>Serv.Prest. 02/03/2026 a 08/03/2026 - PIX: CPF - CHAVE: 121.963.507-37</v>
      </c>
      <c r="I3577" t="str">
        <f t="shared" si="642"/>
        <v>19/03/2026</v>
      </c>
      <c r="J3577" t="str">
        <f t="shared" si="643"/>
        <v>09/03/2026</v>
      </c>
      <c r="K3577" t="str">
        <f>("19/03/2026")</f>
        <v>19/03/2026</v>
      </c>
      <c r="L3577">
        <v>750.75</v>
      </c>
      <c r="M3577">
        <v>750.75</v>
      </c>
      <c r="N3577">
        <v>109</v>
      </c>
      <c r="O3577" t="str">
        <f>"PAGAMENTO DE ENTREGADORES"</f>
        <v>PAGAMENTO DE ENTREGADORES</v>
      </c>
      <c r="P3577">
        <v>750.75</v>
      </c>
      <c r="S3577" t="str">
        <f>"BANCO C6 (149)"</f>
        <v>BANCO C6 (149)</v>
      </c>
      <c r="T3577">
        <v>31464</v>
      </c>
      <c r="U3577">
        <v>34487</v>
      </c>
      <c r="V3577" t="s">
        <v>37</v>
      </c>
    </row>
    <row r="3578" spans="1:22">
      <c r="A3578" t="str">
        <f t="shared" si="644"/>
        <v>19/03/2026</v>
      </c>
      <c r="B3578" t="str">
        <f t="shared" si="640"/>
        <v>SAÍDA</v>
      </c>
      <c r="C3578" t="str">
        <f t="shared" si="641"/>
        <v>PIX</v>
      </c>
      <c r="D3578" t="str">
        <f>"34487"</f>
        <v>34487</v>
      </c>
      <c r="E3578" t="str">
        <f t="shared" si="645"/>
        <v>1</v>
      </c>
      <c r="F3578" t="str">
        <f t="shared" si="637"/>
        <v>COM</v>
      </c>
      <c r="G3578" t="str">
        <f>"VINÍCIUS NEVES PEREIRA (776)"</f>
        <v>VINÍCIUS NEVES PEREIRA (776)</v>
      </c>
      <c r="H3578" t="s">
        <v>1020</v>
      </c>
      <c r="I3578" t="str">
        <f t="shared" si="642"/>
        <v>19/03/2026</v>
      </c>
      <c r="J3578" t="str">
        <f t="shared" si="643"/>
        <v>09/03/2026</v>
      </c>
      <c r="K3578">
        <v>46100</v>
      </c>
      <c r="N3578">
        <v>109</v>
      </c>
      <c r="O3578" t="s">
        <v>27</v>
      </c>
      <c r="Q3578">
        <v>750.75</v>
      </c>
      <c r="R3578" t="str">
        <f>"FARMÁCIA INDIANA LJ 221 (10093)"</f>
        <v>FARMÁCIA INDIANA LJ 221 (10093)</v>
      </c>
      <c r="S3578" t="s">
        <v>37</v>
      </c>
      <c r="T3578">
        <v>31464</v>
      </c>
      <c r="U3578">
        <v>34487</v>
      </c>
      <c r="V3578" t="s">
        <v>37</v>
      </c>
    </row>
    <row r="3579" spans="1:22">
      <c r="A3579" t="str">
        <f t="shared" si="644"/>
        <v>19/03/2026</v>
      </c>
      <c r="B3579" t="str">
        <f t="shared" si="640"/>
        <v>SAÍDA</v>
      </c>
      <c r="C3579" t="str">
        <f t="shared" si="641"/>
        <v>PIX</v>
      </c>
      <c r="D3579" t="str">
        <f>"34493"</f>
        <v>34493</v>
      </c>
      <c r="E3579" t="str">
        <f t="shared" si="645"/>
        <v>1</v>
      </c>
      <c r="F3579" t="str">
        <f t="shared" si="637"/>
        <v>COM</v>
      </c>
      <c r="G3579" t="str">
        <f>"EDNALDO ALMEIDA DE MELO NETO (1128)"</f>
        <v>EDNALDO ALMEIDA DE MELO NETO (1128)</v>
      </c>
      <c r="H3579" t="str">
        <f>"Serv.Prest. 02/03/2026 a 08/03/2026 - PIX: CELULAR - CHAVE: (73) 99192-1028"</f>
        <v>Serv.Prest. 02/03/2026 a 08/03/2026 - PIX: CELULAR - CHAVE: (73) 99192-1028</v>
      </c>
      <c r="I3579" t="str">
        <f t="shared" si="642"/>
        <v>19/03/2026</v>
      </c>
      <c r="J3579" t="str">
        <f t="shared" ref="J3579:J3642" si="646">("10/03/2026")</f>
        <v>10/03/2026</v>
      </c>
      <c r="K3579" t="str">
        <f>("19/03/2026")</f>
        <v>19/03/2026</v>
      </c>
      <c r="L3579">
        <v>804</v>
      </c>
      <c r="M3579">
        <v>804</v>
      </c>
      <c r="N3579">
        <v>109</v>
      </c>
      <c r="O3579" t="str">
        <f>"PAGAMENTO DE ENTREGADORES"</f>
        <v>PAGAMENTO DE ENTREGADORES</v>
      </c>
      <c r="P3579">
        <v>804</v>
      </c>
      <c r="S3579" t="str">
        <f>"BANCO C6 (149)"</f>
        <v>BANCO C6 (149)</v>
      </c>
      <c r="T3579">
        <v>31465</v>
      </c>
      <c r="U3579">
        <v>34493</v>
      </c>
      <c r="V3579" t="s">
        <v>37</v>
      </c>
    </row>
    <row r="3580" spans="1:22">
      <c r="A3580" t="str">
        <f t="shared" si="644"/>
        <v>19/03/2026</v>
      </c>
      <c r="B3580" t="str">
        <f t="shared" si="640"/>
        <v>SAÍDA</v>
      </c>
      <c r="C3580" t="str">
        <f t="shared" si="641"/>
        <v>PIX</v>
      </c>
      <c r="D3580" t="str">
        <f>"34493"</f>
        <v>34493</v>
      </c>
      <c r="E3580" t="str">
        <f t="shared" si="645"/>
        <v>1</v>
      </c>
      <c r="F3580" t="str">
        <f t="shared" si="637"/>
        <v>COM</v>
      </c>
      <c r="G3580" t="str">
        <f>"EDNALDO ALMEIDA DE MELO NETO (1128)"</f>
        <v>EDNALDO ALMEIDA DE MELO NETO (1128)</v>
      </c>
      <c r="H3580" t="s">
        <v>1021</v>
      </c>
      <c r="I3580" t="str">
        <f t="shared" si="642"/>
        <v>19/03/2026</v>
      </c>
      <c r="J3580" t="str">
        <f t="shared" si="646"/>
        <v>10/03/2026</v>
      </c>
      <c r="K3580">
        <v>46100</v>
      </c>
      <c r="N3580">
        <v>109</v>
      </c>
      <c r="O3580" t="s">
        <v>27</v>
      </c>
      <c r="Q3580">
        <v>804</v>
      </c>
      <c r="R3580" t="str">
        <f>"FARMÁCIA INDIANA LJ 158 (10275)"</f>
        <v>FARMÁCIA INDIANA LJ 158 (10275)</v>
      </c>
      <c r="S3580" t="s">
        <v>37</v>
      </c>
      <c r="T3580">
        <v>31465</v>
      </c>
      <c r="U3580">
        <v>34493</v>
      </c>
      <c r="V3580" t="s">
        <v>37</v>
      </c>
    </row>
    <row r="3581" spans="1:22">
      <c r="A3581" t="str">
        <f t="shared" si="644"/>
        <v>19/03/2026</v>
      </c>
      <c r="B3581" t="str">
        <f t="shared" si="640"/>
        <v>SAÍDA</v>
      </c>
      <c r="C3581" t="str">
        <f t="shared" si="641"/>
        <v>PIX</v>
      </c>
      <c r="D3581" t="str">
        <f>"34494"</f>
        <v>34494</v>
      </c>
      <c r="E3581" t="str">
        <f t="shared" si="645"/>
        <v>1</v>
      </c>
      <c r="F3581" t="str">
        <f t="shared" si="637"/>
        <v>COM</v>
      </c>
      <c r="G3581" t="str">
        <f>"ERIC DE RAMOS GOMES (606)"</f>
        <v>ERIC DE RAMOS GOMES (606)</v>
      </c>
      <c r="H3581" t="str">
        <f>"Serv.Prest. 02/03/2026 a 08/03/2026 - PIX: E-MAIL - CHAVE: ericgomes508@gmail.com"</f>
        <v>Serv.Prest. 02/03/2026 a 08/03/2026 - PIX: E-MAIL - CHAVE: ericgomes508@gmail.com</v>
      </c>
      <c r="I3581" t="str">
        <f t="shared" si="642"/>
        <v>19/03/2026</v>
      </c>
      <c r="J3581" t="str">
        <f t="shared" si="646"/>
        <v>10/03/2026</v>
      </c>
      <c r="K3581" t="str">
        <f>("19/03/2026")</f>
        <v>19/03/2026</v>
      </c>
      <c r="L3581">
        <v>976</v>
      </c>
      <c r="M3581">
        <v>976</v>
      </c>
      <c r="N3581">
        <v>109</v>
      </c>
      <c r="O3581" t="str">
        <f>"PAGAMENTO DE ENTREGADORES"</f>
        <v>PAGAMENTO DE ENTREGADORES</v>
      </c>
      <c r="P3581">
        <v>976</v>
      </c>
      <c r="S3581" t="str">
        <f>"BANCO C6 (149)"</f>
        <v>BANCO C6 (149)</v>
      </c>
      <c r="T3581">
        <v>31466</v>
      </c>
      <c r="U3581">
        <v>34494</v>
      </c>
      <c r="V3581" t="s">
        <v>37</v>
      </c>
    </row>
    <row r="3582" spans="1:22">
      <c r="A3582" t="str">
        <f t="shared" si="644"/>
        <v>19/03/2026</v>
      </c>
      <c r="B3582" t="str">
        <f t="shared" si="640"/>
        <v>SAÍDA</v>
      </c>
      <c r="C3582" t="str">
        <f t="shared" si="641"/>
        <v>PIX</v>
      </c>
      <c r="D3582" t="str">
        <f>"34494"</f>
        <v>34494</v>
      </c>
      <c r="E3582" t="str">
        <f t="shared" si="645"/>
        <v>1</v>
      </c>
      <c r="F3582" t="str">
        <f t="shared" si="637"/>
        <v>COM</v>
      </c>
      <c r="G3582" t="str">
        <f>"ERIC DE RAMOS GOMES (606)"</f>
        <v>ERIC DE RAMOS GOMES (606)</v>
      </c>
      <c r="H3582" t="s">
        <v>882</v>
      </c>
      <c r="I3582" t="str">
        <f t="shared" si="642"/>
        <v>19/03/2026</v>
      </c>
      <c r="J3582" t="str">
        <f t="shared" si="646"/>
        <v>10/03/2026</v>
      </c>
      <c r="K3582">
        <v>46100</v>
      </c>
      <c r="N3582">
        <v>109</v>
      </c>
      <c r="O3582" t="s">
        <v>27</v>
      </c>
      <c r="Q3582">
        <v>976</v>
      </c>
      <c r="R3582" t="str">
        <f>"FARMÁCIA INDIANA LJ 91 (10037)"</f>
        <v>FARMÁCIA INDIANA LJ 91 (10037)</v>
      </c>
      <c r="S3582" t="s">
        <v>37</v>
      </c>
      <c r="T3582">
        <v>31466</v>
      </c>
      <c r="U3582">
        <v>34494</v>
      </c>
      <c r="V3582" t="s">
        <v>37</v>
      </c>
    </row>
    <row r="3583" spans="1:22">
      <c r="A3583" t="str">
        <f t="shared" si="644"/>
        <v>19/03/2026</v>
      </c>
      <c r="B3583" t="str">
        <f t="shared" si="640"/>
        <v>SAÍDA</v>
      </c>
      <c r="C3583" t="str">
        <f t="shared" si="641"/>
        <v>PIX</v>
      </c>
      <c r="D3583" t="str">
        <f>"34496"</f>
        <v>34496</v>
      </c>
      <c r="E3583" t="str">
        <f t="shared" si="645"/>
        <v>1</v>
      </c>
      <c r="F3583" t="str">
        <f t="shared" si="637"/>
        <v>COM</v>
      </c>
      <c r="G3583" t="str">
        <f>"GEOVANI SILVA SANTOS (1340)"</f>
        <v>GEOVANI SILVA SANTOS (1340)</v>
      </c>
      <c r="H3583" t="str">
        <f>"Serv.Prest. 02/03/2026 a 08/03/2026 - PIX: E-MAIL - CHAVE: geovanisilvasantos311@gmail.com"</f>
        <v>Serv.Prest. 02/03/2026 a 08/03/2026 - PIX: E-MAIL - CHAVE: geovanisilvasantos311@gmail.com</v>
      </c>
      <c r="I3583" t="str">
        <f t="shared" si="642"/>
        <v>19/03/2026</v>
      </c>
      <c r="J3583" t="str">
        <f t="shared" si="646"/>
        <v>10/03/2026</v>
      </c>
      <c r="K3583" t="str">
        <f>("19/03/2026")</f>
        <v>19/03/2026</v>
      </c>
      <c r="L3583">
        <v>324</v>
      </c>
      <c r="M3583">
        <v>324</v>
      </c>
      <c r="N3583">
        <v>109</v>
      </c>
      <c r="O3583" t="str">
        <f>"PAGAMENTO DE ENTREGADORES"</f>
        <v>PAGAMENTO DE ENTREGADORES</v>
      </c>
      <c r="P3583">
        <v>324</v>
      </c>
      <c r="S3583" t="str">
        <f>"BANCO C6 (149)"</f>
        <v>BANCO C6 (149)</v>
      </c>
      <c r="T3583">
        <v>31467</v>
      </c>
      <c r="U3583">
        <v>34496</v>
      </c>
      <c r="V3583" t="s">
        <v>37</v>
      </c>
    </row>
    <row r="3584" spans="1:22">
      <c r="A3584" t="str">
        <f t="shared" si="644"/>
        <v>19/03/2026</v>
      </c>
      <c r="B3584" t="str">
        <f t="shared" si="640"/>
        <v>SAÍDA</v>
      </c>
      <c r="C3584" t="str">
        <f t="shared" si="641"/>
        <v>PIX</v>
      </c>
      <c r="D3584" t="str">
        <f>"34496"</f>
        <v>34496</v>
      </c>
      <c r="E3584" t="str">
        <f t="shared" si="645"/>
        <v>1</v>
      </c>
      <c r="F3584" t="str">
        <f t="shared" si="637"/>
        <v>COM</v>
      </c>
      <c r="G3584" t="str">
        <f>"GEOVANI SILVA SANTOS (1340)"</f>
        <v>GEOVANI SILVA SANTOS (1340)</v>
      </c>
      <c r="H3584" t="s">
        <v>1022</v>
      </c>
      <c r="I3584" t="str">
        <f t="shared" si="642"/>
        <v>19/03/2026</v>
      </c>
      <c r="J3584" t="str">
        <f t="shared" si="646"/>
        <v>10/03/2026</v>
      </c>
      <c r="K3584">
        <v>46100</v>
      </c>
      <c r="N3584">
        <v>109</v>
      </c>
      <c r="O3584" t="s">
        <v>27</v>
      </c>
      <c r="Q3584">
        <v>324</v>
      </c>
      <c r="R3584" t="str">
        <f>"FARMÁCIA INDIANA LJ 173 (10075)"</f>
        <v>FARMÁCIA INDIANA LJ 173 (10075)</v>
      </c>
      <c r="S3584" t="s">
        <v>37</v>
      </c>
      <c r="T3584">
        <v>31467</v>
      </c>
      <c r="U3584">
        <v>34496</v>
      </c>
      <c r="V3584" t="s">
        <v>37</v>
      </c>
    </row>
    <row r="3585" spans="1:22">
      <c r="A3585" t="str">
        <f t="shared" si="644"/>
        <v>19/03/2026</v>
      </c>
      <c r="B3585" t="str">
        <f t="shared" si="640"/>
        <v>SAÍDA</v>
      </c>
      <c r="C3585" t="str">
        <f t="shared" si="641"/>
        <v>PIX</v>
      </c>
      <c r="D3585" t="str">
        <f>"34497"</f>
        <v>34497</v>
      </c>
      <c r="E3585" t="str">
        <f t="shared" si="645"/>
        <v>1</v>
      </c>
      <c r="F3585" t="str">
        <f t="shared" si="637"/>
        <v>COM</v>
      </c>
      <c r="G3585" t="str">
        <f>"GEOVANI SILVA SANTOS (1340)"</f>
        <v>GEOVANI SILVA SANTOS (1340)</v>
      </c>
      <c r="H3585" t="str">
        <f>"Serv.Prest. 02/03/2026 a 08/03/2026 - PIX: E-MAIL - CHAVE: geovanisilvasantos311@gmail.com"</f>
        <v>Serv.Prest. 02/03/2026 a 08/03/2026 - PIX: E-MAIL - CHAVE: geovanisilvasantos311@gmail.com</v>
      </c>
      <c r="I3585" t="str">
        <f t="shared" si="642"/>
        <v>19/03/2026</v>
      </c>
      <c r="J3585" t="str">
        <f t="shared" si="646"/>
        <v>10/03/2026</v>
      </c>
      <c r="K3585" t="str">
        <f>("19/03/2026")</f>
        <v>19/03/2026</v>
      </c>
      <c r="L3585">
        <v>330</v>
      </c>
      <c r="M3585">
        <v>330</v>
      </c>
      <c r="N3585">
        <v>109</v>
      </c>
      <c r="O3585" t="str">
        <f>"PAGAMENTO DE ENTREGADORES"</f>
        <v>PAGAMENTO DE ENTREGADORES</v>
      </c>
      <c r="P3585">
        <v>330</v>
      </c>
      <c r="S3585" t="str">
        <f>"BANCO C6 (149)"</f>
        <v>BANCO C6 (149)</v>
      </c>
      <c r="T3585">
        <v>31468</v>
      </c>
      <c r="U3585">
        <v>34497</v>
      </c>
      <c r="V3585" t="s">
        <v>37</v>
      </c>
    </row>
    <row r="3586" spans="1:22">
      <c r="A3586" t="str">
        <f t="shared" si="644"/>
        <v>19/03/2026</v>
      </c>
      <c r="B3586" t="str">
        <f t="shared" si="640"/>
        <v>SAÍDA</v>
      </c>
      <c r="C3586" t="str">
        <f t="shared" si="641"/>
        <v>PIX</v>
      </c>
      <c r="D3586" t="str">
        <f>"34497"</f>
        <v>34497</v>
      </c>
      <c r="E3586" t="str">
        <f t="shared" si="645"/>
        <v>1</v>
      </c>
      <c r="F3586" t="str">
        <f t="shared" ref="F3586:F3649" si="647">"COM"</f>
        <v>COM</v>
      </c>
      <c r="G3586" t="str">
        <f>"GEOVANI SILVA SANTOS (1340)"</f>
        <v>GEOVANI SILVA SANTOS (1340)</v>
      </c>
      <c r="H3586" t="s">
        <v>1022</v>
      </c>
      <c r="I3586" t="str">
        <f t="shared" si="642"/>
        <v>19/03/2026</v>
      </c>
      <c r="J3586" t="str">
        <f t="shared" si="646"/>
        <v>10/03/2026</v>
      </c>
      <c r="K3586">
        <v>46100</v>
      </c>
      <c r="N3586">
        <v>109</v>
      </c>
      <c r="O3586" t="s">
        <v>27</v>
      </c>
      <c r="Q3586">
        <v>330</v>
      </c>
      <c r="R3586" t="str">
        <f>"FARMÁCIA INDIANA LJ 65 (10030)"</f>
        <v>FARMÁCIA INDIANA LJ 65 (10030)</v>
      </c>
      <c r="S3586" t="s">
        <v>37</v>
      </c>
      <c r="T3586">
        <v>31468</v>
      </c>
      <c r="U3586">
        <v>34497</v>
      </c>
      <c r="V3586" t="s">
        <v>37</v>
      </c>
    </row>
    <row r="3587" spans="1:22">
      <c r="A3587" t="str">
        <f t="shared" si="644"/>
        <v>19/03/2026</v>
      </c>
      <c r="B3587" t="str">
        <f t="shared" si="640"/>
        <v>SAÍDA</v>
      </c>
      <c r="C3587" t="str">
        <f t="shared" si="641"/>
        <v>PIX</v>
      </c>
      <c r="D3587" t="str">
        <f>"34498"</f>
        <v>34498</v>
      </c>
      <c r="E3587" t="str">
        <f t="shared" si="645"/>
        <v>1</v>
      </c>
      <c r="F3587" t="str">
        <f t="shared" si="647"/>
        <v>COM</v>
      </c>
      <c r="G3587" t="str">
        <f>"GILBERTO PINHEIRO DA ROCHA (155)"</f>
        <v>GILBERTO PINHEIRO DA ROCHA (155)</v>
      </c>
      <c r="H3587" t="str">
        <f>"Serv.Prest. 02/03/2026 a 08/03/2026 - PIX: CELULAR - CHAVE: (73) 99941-8352"</f>
        <v>Serv.Prest. 02/03/2026 a 08/03/2026 - PIX: CELULAR - CHAVE: (73) 99941-8352</v>
      </c>
      <c r="I3587" t="str">
        <f t="shared" si="642"/>
        <v>19/03/2026</v>
      </c>
      <c r="J3587" t="str">
        <f t="shared" si="646"/>
        <v>10/03/2026</v>
      </c>
      <c r="K3587" t="str">
        <f>("19/03/2026")</f>
        <v>19/03/2026</v>
      </c>
      <c r="L3587">
        <v>1117.75</v>
      </c>
      <c r="M3587">
        <v>1117.75</v>
      </c>
      <c r="N3587">
        <v>109</v>
      </c>
      <c r="O3587" t="str">
        <f>"PAGAMENTO DE ENTREGADORES"</f>
        <v>PAGAMENTO DE ENTREGADORES</v>
      </c>
      <c r="P3587">
        <v>1117.75</v>
      </c>
      <c r="S3587" t="str">
        <f>"BANCO C6 (149)"</f>
        <v>BANCO C6 (149)</v>
      </c>
      <c r="T3587">
        <v>31469</v>
      </c>
      <c r="U3587">
        <v>34498</v>
      </c>
      <c r="V3587" t="s">
        <v>37</v>
      </c>
    </row>
    <row r="3588" spans="1:22">
      <c r="A3588" t="str">
        <f t="shared" si="644"/>
        <v>19/03/2026</v>
      </c>
      <c r="B3588" t="str">
        <f t="shared" si="640"/>
        <v>SAÍDA</v>
      </c>
      <c r="C3588" t="str">
        <f t="shared" si="641"/>
        <v>PIX</v>
      </c>
      <c r="D3588" t="str">
        <f>"34498"</f>
        <v>34498</v>
      </c>
      <c r="E3588" t="str">
        <f t="shared" si="645"/>
        <v>1</v>
      </c>
      <c r="F3588" t="str">
        <f t="shared" si="647"/>
        <v>COM</v>
      </c>
      <c r="G3588" t="str">
        <f>"GILBERTO PINHEIRO DA ROCHA (155)"</f>
        <v>GILBERTO PINHEIRO DA ROCHA (155)</v>
      </c>
      <c r="H3588" t="s">
        <v>1023</v>
      </c>
      <c r="I3588" t="str">
        <f t="shared" si="642"/>
        <v>19/03/2026</v>
      </c>
      <c r="J3588" t="str">
        <f t="shared" si="646"/>
        <v>10/03/2026</v>
      </c>
      <c r="K3588">
        <v>46100</v>
      </c>
      <c r="N3588">
        <v>109</v>
      </c>
      <c r="O3588" t="s">
        <v>27</v>
      </c>
      <c r="Q3588">
        <v>1117.75</v>
      </c>
      <c r="R3588" t="str">
        <f>"FARMÁCIA INDIANA LJ 34 (10014)"</f>
        <v>FARMÁCIA INDIANA LJ 34 (10014)</v>
      </c>
      <c r="S3588" t="s">
        <v>37</v>
      </c>
      <c r="T3588">
        <v>31469</v>
      </c>
      <c r="U3588">
        <v>34498</v>
      </c>
      <c r="V3588" t="s">
        <v>37</v>
      </c>
    </row>
    <row r="3589" spans="1:22">
      <c r="A3589" t="str">
        <f t="shared" si="644"/>
        <v>19/03/2026</v>
      </c>
      <c r="B3589" t="str">
        <f t="shared" si="640"/>
        <v>SAÍDA</v>
      </c>
      <c r="C3589" t="str">
        <f t="shared" si="641"/>
        <v>PIX</v>
      </c>
      <c r="D3589" t="str">
        <f>"34499"</f>
        <v>34499</v>
      </c>
      <c r="E3589" t="str">
        <f t="shared" si="645"/>
        <v>1</v>
      </c>
      <c r="F3589" t="str">
        <f t="shared" si="647"/>
        <v>COM</v>
      </c>
      <c r="G3589" t="str">
        <f>"GILSON OLIVEIRA CAMPINHO JUNIOR (132)"</f>
        <v>GILSON OLIVEIRA CAMPINHO JUNIOR (132)</v>
      </c>
      <c r="H3589" t="str">
        <f>"Serv.Prest. 02/03/2026 a 08/03/2026 - PIX: CELULAR - CHAVE: (73) 988381077"</f>
        <v>Serv.Prest. 02/03/2026 a 08/03/2026 - PIX: CELULAR - CHAVE: (73) 988381077</v>
      </c>
      <c r="I3589" t="str">
        <f t="shared" si="642"/>
        <v>19/03/2026</v>
      </c>
      <c r="J3589" t="str">
        <f t="shared" si="646"/>
        <v>10/03/2026</v>
      </c>
      <c r="K3589" t="str">
        <f>("19/03/2026")</f>
        <v>19/03/2026</v>
      </c>
      <c r="L3589">
        <v>521</v>
      </c>
      <c r="M3589">
        <v>521</v>
      </c>
      <c r="N3589">
        <v>109</v>
      </c>
      <c r="O3589" t="str">
        <f>"PAGAMENTO DE ENTREGADORES"</f>
        <v>PAGAMENTO DE ENTREGADORES</v>
      </c>
      <c r="P3589">
        <v>521</v>
      </c>
      <c r="S3589" t="str">
        <f>"BANCO C6 (149)"</f>
        <v>BANCO C6 (149)</v>
      </c>
      <c r="T3589">
        <v>31470</v>
      </c>
      <c r="U3589">
        <v>34499</v>
      </c>
      <c r="V3589" t="s">
        <v>37</v>
      </c>
    </row>
    <row r="3590" spans="1:22">
      <c r="A3590" t="str">
        <f t="shared" si="644"/>
        <v>19/03/2026</v>
      </c>
      <c r="B3590" t="str">
        <f t="shared" si="640"/>
        <v>SAÍDA</v>
      </c>
      <c r="C3590" t="str">
        <f t="shared" si="641"/>
        <v>PIX</v>
      </c>
      <c r="D3590" t="str">
        <f>"34499"</f>
        <v>34499</v>
      </c>
      <c r="E3590" t="str">
        <f t="shared" si="645"/>
        <v>1</v>
      </c>
      <c r="F3590" t="str">
        <f t="shared" si="647"/>
        <v>COM</v>
      </c>
      <c r="G3590" t="str">
        <f>"GILSON OLIVEIRA CAMPINHO JUNIOR (132)"</f>
        <v>GILSON OLIVEIRA CAMPINHO JUNIOR (132)</v>
      </c>
      <c r="H3590" t="s">
        <v>905</v>
      </c>
      <c r="I3590" t="str">
        <f t="shared" si="642"/>
        <v>19/03/2026</v>
      </c>
      <c r="J3590" t="str">
        <f t="shared" si="646"/>
        <v>10/03/2026</v>
      </c>
      <c r="K3590">
        <v>46100</v>
      </c>
      <c r="N3590">
        <v>109</v>
      </c>
      <c r="O3590" t="s">
        <v>27</v>
      </c>
      <c r="Q3590">
        <v>521</v>
      </c>
      <c r="R3590" t="str">
        <f>"FARMÁCIA INDIANA LJ 91 (10037)"</f>
        <v>FARMÁCIA INDIANA LJ 91 (10037)</v>
      </c>
      <c r="S3590" t="s">
        <v>37</v>
      </c>
      <c r="T3590">
        <v>31470</v>
      </c>
      <c r="U3590">
        <v>34499</v>
      </c>
      <c r="V3590" t="s">
        <v>37</v>
      </c>
    </row>
    <row r="3591" spans="1:22">
      <c r="A3591" t="str">
        <f t="shared" si="644"/>
        <v>19/03/2026</v>
      </c>
      <c r="B3591" t="str">
        <f t="shared" si="640"/>
        <v>SAÍDA</v>
      </c>
      <c r="C3591" t="str">
        <f t="shared" si="641"/>
        <v>PIX</v>
      </c>
      <c r="D3591" t="str">
        <f>"34500"</f>
        <v>34500</v>
      </c>
      <c r="E3591" t="str">
        <f t="shared" si="645"/>
        <v>1</v>
      </c>
      <c r="F3591" t="str">
        <f t="shared" si="647"/>
        <v>COM</v>
      </c>
      <c r="G3591" t="str">
        <f>"HELITON MELGACO PIMENTEL JUNIOR (1079)"</f>
        <v>HELITON MELGACO PIMENTEL JUNIOR (1079)</v>
      </c>
      <c r="H3591" t="str">
        <f>"Serv.Prest. 02/03/2026 a 08/03/2026 - PIX: CPF - CHAVE: 768.859.176-72"</f>
        <v>Serv.Prest. 02/03/2026 a 08/03/2026 - PIX: CPF - CHAVE: 768.859.176-72</v>
      </c>
      <c r="I3591" t="str">
        <f t="shared" si="642"/>
        <v>19/03/2026</v>
      </c>
      <c r="J3591" t="str">
        <f t="shared" si="646"/>
        <v>10/03/2026</v>
      </c>
      <c r="K3591" t="str">
        <f>("19/03/2026")</f>
        <v>19/03/2026</v>
      </c>
      <c r="L3591">
        <v>852.5</v>
      </c>
      <c r="M3591">
        <v>852.5</v>
      </c>
      <c r="N3591">
        <v>109</v>
      </c>
      <c r="O3591" t="str">
        <f>"PAGAMENTO DE ENTREGADORES"</f>
        <v>PAGAMENTO DE ENTREGADORES</v>
      </c>
      <c r="P3591">
        <v>852.5</v>
      </c>
      <c r="S3591" t="str">
        <f>"BANCO C6 (149)"</f>
        <v>BANCO C6 (149)</v>
      </c>
      <c r="T3591">
        <v>31471</v>
      </c>
      <c r="U3591">
        <v>34500</v>
      </c>
      <c r="V3591" t="s">
        <v>37</v>
      </c>
    </row>
    <row r="3592" spans="1:22">
      <c r="A3592" t="str">
        <f t="shared" si="644"/>
        <v>19/03/2026</v>
      </c>
      <c r="B3592" t="str">
        <f t="shared" si="640"/>
        <v>SAÍDA</v>
      </c>
      <c r="C3592" t="str">
        <f t="shared" si="641"/>
        <v>PIX</v>
      </c>
      <c r="D3592" t="str">
        <f>"34500"</f>
        <v>34500</v>
      </c>
      <c r="E3592" t="str">
        <f t="shared" si="645"/>
        <v>1</v>
      </c>
      <c r="F3592" t="str">
        <f t="shared" si="647"/>
        <v>COM</v>
      </c>
      <c r="G3592" t="str">
        <f>"HELITON MELGACO PIMENTEL JUNIOR (1079)"</f>
        <v>HELITON MELGACO PIMENTEL JUNIOR (1079)</v>
      </c>
      <c r="H3592" t="s">
        <v>1024</v>
      </c>
      <c r="I3592" t="str">
        <f t="shared" si="642"/>
        <v>19/03/2026</v>
      </c>
      <c r="J3592" t="str">
        <f t="shared" si="646"/>
        <v>10/03/2026</v>
      </c>
      <c r="K3592">
        <v>46100</v>
      </c>
      <c r="N3592">
        <v>109</v>
      </c>
      <c r="O3592" t="s">
        <v>27</v>
      </c>
      <c r="Q3592">
        <v>852.5</v>
      </c>
      <c r="R3592" t="str">
        <f>"FARMÁCIA INDIANA LJ 283 (10268)"</f>
        <v>FARMÁCIA INDIANA LJ 283 (10268)</v>
      </c>
      <c r="S3592" t="s">
        <v>37</v>
      </c>
      <c r="T3592">
        <v>31471</v>
      </c>
      <c r="U3592">
        <v>34500</v>
      </c>
      <c r="V3592" t="s">
        <v>37</v>
      </c>
    </row>
    <row r="3593" spans="1:22">
      <c r="A3593" t="str">
        <f t="shared" si="644"/>
        <v>19/03/2026</v>
      </c>
      <c r="B3593" t="str">
        <f t="shared" si="640"/>
        <v>SAÍDA</v>
      </c>
      <c r="C3593" t="str">
        <f t="shared" si="641"/>
        <v>PIX</v>
      </c>
      <c r="D3593" t="str">
        <f>"34501"</f>
        <v>34501</v>
      </c>
      <c r="E3593" t="str">
        <f t="shared" si="645"/>
        <v>1</v>
      </c>
      <c r="F3593" t="str">
        <f t="shared" si="647"/>
        <v>COM</v>
      </c>
      <c r="G3593" t="str">
        <f>"IAN DAVI SANTOS DALMONECHE (1318)"</f>
        <v>IAN DAVI SANTOS DALMONECHE (1318)</v>
      </c>
      <c r="H3593" t="str">
        <f>"Serv.Prest. 02/03/2026 a 08/03/2026 - PIX: CELULAR - CHAVE: (73) 99816-5318"</f>
        <v>Serv.Prest. 02/03/2026 a 08/03/2026 - PIX: CELULAR - CHAVE: (73) 99816-5318</v>
      </c>
      <c r="I3593" t="str">
        <f t="shared" si="642"/>
        <v>19/03/2026</v>
      </c>
      <c r="J3593" t="str">
        <f t="shared" si="646"/>
        <v>10/03/2026</v>
      </c>
      <c r="K3593" t="str">
        <f>("19/03/2026")</f>
        <v>19/03/2026</v>
      </c>
      <c r="L3593">
        <v>637.5</v>
      </c>
      <c r="M3593">
        <v>637.5</v>
      </c>
      <c r="N3593">
        <v>109</v>
      </c>
      <c r="O3593" t="str">
        <f>"PAGAMENTO DE ENTREGADORES"</f>
        <v>PAGAMENTO DE ENTREGADORES</v>
      </c>
      <c r="P3593">
        <v>637.5</v>
      </c>
      <c r="S3593" t="str">
        <f>"BANCO C6 (149)"</f>
        <v>BANCO C6 (149)</v>
      </c>
      <c r="T3593">
        <v>31472</v>
      </c>
      <c r="U3593">
        <v>34501</v>
      </c>
      <c r="V3593" t="s">
        <v>37</v>
      </c>
    </row>
    <row r="3594" spans="1:22">
      <c r="A3594" t="str">
        <f t="shared" si="644"/>
        <v>19/03/2026</v>
      </c>
      <c r="B3594" t="str">
        <f t="shared" si="640"/>
        <v>SAÍDA</v>
      </c>
      <c r="C3594" t="str">
        <f t="shared" si="641"/>
        <v>PIX</v>
      </c>
      <c r="D3594" t="str">
        <f>"34501"</f>
        <v>34501</v>
      </c>
      <c r="E3594" t="str">
        <f t="shared" si="645"/>
        <v>1</v>
      </c>
      <c r="F3594" t="str">
        <f t="shared" si="647"/>
        <v>COM</v>
      </c>
      <c r="G3594" t="str">
        <f>"IAN DAVI SANTOS DALMONECHE (1318)"</f>
        <v>IAN DAVI SANTOS DALMONECHE (1318)</v>
      </c>
      <c r="H3594" t="s">
        <v>1025</v>
      </c>
      <c r="I3594" t="str">
        <f t="shared" si="642"/>
        <v>19/03/2026</v>
      </c>
      <c r="J3594" t="str">
        <f t="shared" si="646"/>
        <v>10/03/2026</v>
      </c>
      <c r="K3594">
        <v>46100</v>
      </c>
      <c r="N3594">
        <v>109</v>
      </c>
      <c r="O3594" t="s">
        <v>27</v>
      </c>
      <c r="Q3594">
        <v>637.5</v>
      </c>
      <c r="R3594" t="str">
        <f>"FARMÁCIA INDIANA LJ 95 (10039)"</f>
        <v>FARMÁCIA INDIANA LJ 95 (10039)</v>
      </c>
      <c r="S3594" t="s">
        <v>37</v>
      </c>
      <c r="T3594">
        <v>31472</v>
      </c>
      <c r="U3594">
        <v>34501</v>
      </c>
      <c r="V3594" t="s">
        <v>37</v>
      </c>
    </row>
    <row r="3595" spans="1:22">
      <c r="A3595" t="str">
        <f t="shared" si="644"/>
        <v>19/03/2026</v>
      </c>
      <c r="B3595" t="str">
        <f t="shared" si="640"/>
        <v>SAÍDA</v>
      </c>
      <c r="C3595" t="str">
        <f t="shared" si="641"/>
        <v>PIX</v>
      </c>
      <c r="D3595" t="str">
        <f>"34502"</f>
        <v>34502</v>
      </c>
      <c r="E3595" t="str">
        <f t="shared" si="645"/>
        <v>1</v>
      </c>
      <c r="F3595" t="str">
        <f t="shared" si="647"/>
        <v>COM</v>
      </c>
      <c r="G3595" t="str">
        <f>"JALDENIR MENDES DOS SANTOS (167)"</f>
        <v>JALDENIR MENDES DOS SANTOS (167)</v>
      </c>
      <c r="H3595" t="str">
        <f>"Serv.Prest. 02/03/2026 a 08/03/2026 - PIX: CPF - CHAVE: 439.169.103-53"</f>
        <v>Serv.Prest. 02/03/2026 a 08/03/2026 - PIX: CPF - CHAVE: 439.169.103-53</v>
      </c>
      <c r="I3595" t="str">
        <f t="shared" si="642"/>
        <v>19/03/2026</v>
      </c>
      <c r="J3595" t="str">
        <f t="shared" si="646"/>
        <v>10/03/2026</v>
      </c>
      <c r="K3595" t="str">
        <f>("19/03/2026")</f>
        <v>19/03/2026</v>
      </c>
      <c r="L3595">
        <v>868.25</v>
      </c>
      <c r="M3595">
        <v>868.25</v>
      </c>
      <c r="N3595">
        <v>109</v>
      </c>
      <c r="O3595" t="str">
        <f>"PAGAMENTO DE ENTREGADORES"</f>
        <v>PAGAMENTO DE ENTREGADORES</v>
      </c>
      <c r="P3595">
        <v>868.25</v>
      </c>
      <c r="S3595" t="str">
        <f>"BANCO C6 (149)"</f>
        <v>BANCO C6 (149)</v>
      </c>
      <c r="T3595">
        <v>31473</v>
      </c>
      <c r="U3595">
        <v>34502</v>
      </c>
      <c r="V3595" t="s">
        <v>37</v>
      </c>
    </row>
    <row r="3596" spans="1:22">
      <c r="A3596" t="str">
        <f t="shared" si="644"/>
        <v>19/03/2026</v>
      </c>
      <c r="B3596" t="str">
        <f t="shared" si="640"/>
        <v>SAÍDA</v>
      </c>
      <c r="C3596" t="str">
        <f t="shared" si="641"/>
        <v>PIX</v>
      </c>
      <c r="D3596" t="str">
        <f>"34502"</f>
        <v>34502</v>
      </c>
      <c r="E3596" t="str">
        <f t="shared" si="645"/>
        <v>1</v>
      </c>
      <c r="F3596" t="str">
        <f t="shared" si="647"/>
        <v>COM</v>
      </c>
      <c r="G3596" t="str">
        <f>"JALDENIR MENDES DOS SANTOS (167)"</f>
        <v>JALDENIR MENDES DOS SANTOS (167)</v>
      </c>
      <c r="H3596" t="s">
        <v>854</v>
      </c>
      <c r="I3596" t="str">
        <f t="shared" si="642"/>
        <v>19/03/2026</v>
      </c>
      <c r="J3596" t="str">
        <f t="shared" si="646"/>
        <v>10/03/2026</v>
      </c>
      <c r="K3596">
        <v>46100</v>
      </c>
      <c r="N3596">
        <v>109</v>
      </c>
      <c r="O3596" t="s">
        <v>27</v>
      </c>
      <c r="Q3596">
        <v>868.25</v>
      </c>
      <c r="R3596" t="str">
        <f>"FARMÁCIA INDIANA LJ 34 (10014)"</f>
        <v>FARMÁCIA INDIANA LJ 34 (10014)</v>
      </c>
      <c r="S3596" t="s">
        <v>37</v>
      </c>
      <c r="T3596">
        <v>31473</v>
      </c>
      <c r="U3596">
        <v>34502</v>
      </c>
      <c r="V3596" t="s">
        <v>37</v>
      </c>
    </row>
    <row r="3597" spans="1:22">
      <c r="A3597" t="str">
        <f t="shared" si="644"/>
        <v>19/03/2026</v>
      </c>
      <c r="B3597" t="str">
        <f t="shared" si="640"/>
        <v>SAÍDA</v>
      </c>
      <c r="C3597" t="str">
        <f t="shared" si="641"/>
        <v>PIX</v>
      </c>
      <c r="D3597" t="str">
        <f>"34503"</f>
        <v>34503</v>
      </c>
      <c r="E3597" t="str">
        <f t="shared" si="645"/>
        <v>1</v>
      </c>
      <c r="F3597" t="str">
        <f t="shared" si="647"/>
        <v>COM</v>
      </c>
      <c r="G3597" t="str">
        <f>"JARLES DE SOUZA PEREIRA (109)"</f>
        <v>JARLES DE SOUZA PEREIRA (109)</v>
      </c>
      <c r="H3597" t="str">
        <f>"Serv.Prest. 02/03/2026 a 08/03/2026 - PIX: CELULAR - CHAVE: (73) 99856-1756"</f>
        <v>Serv.Prest. 02/03/2026 a 08/03/2026 - PIX: CELULAR - CHAVE: (73) 99856-1756</v>
      </c>
      <c r="I3597" t="str">
        <f t="shared" si="642"/>
        <v>19/03/2026</v>
      </c>
      <c r="J3597" t="str">
        <f t="shared" si="646"/>
        <v>10/03/2026</v>
      </c>
      <c r="K3597" t="str">
        <f>("19/03/2026")</f>
        <v>19/03/2026</v>
      </c>
      <c r="L3597">
        <v>654</v>
      </c>
      <c r="M3597">
        <v>654</v>
      </c>
      <c r="N3597">
        <v>109</v>
      </c>
      <c r="O3597" t="str">
        <f>"PAGAMENTO DE ENTREGADORES"</f>
        <v>PAGAMENTO DE ENTREGADORES</v>
      </c>
      <c r="P3597">
        <v>654</v>
      </c>
      <c r="S3597" t="str">
        <f>"BANCO C6 (149)"</f>
        <v>BANCO C6 (149)</v>
      </c>
      <c r="T3597">
        <v>31474</v>
      </c>
      <c r="U3597">
        <v>34503</v>
      </c>
      <c r="V3597" t="s">
        <v>37</v>
      </c>
    </row>
    <row r="3598" spans="1:22">
      <c r="A3598" t="str">
        <f t="shared" si="644"/>
        <v>19/03/2026</v>
      </c>
      <c r="B3598" t="str">
        <f t="shared" si="640"/>
        <v>SAÍDA</v>
      </c>
      <c r="C3598" t="str">
        <f t="shared" si="641"/>
        <v>PIX</v>
      </c>
      <c r="D3598" t="str">
        <f>"34503"</f>
        <v>34503</v>
      </c>
      <c r="E3598" t="str">
        <f t="shared" si="645"/>
        <v>1</v>
      </c>
      <c r="F3598" t="str">
        <f t="shared" si="647"/>
        <v>COM</v>
      </c>
      <c r="G3598" t="str">
        <f>"JARLES DE SOUZA PEREIRA (109)"</f>
        <v>JARLES DE SOUZA PEREIRA (109)</v>
      </c>
      <c r="H3598" t="s">
        <v>1026</v>
      </c>
      <c r="I3598" t="str">
        <f t="shared" si="642"/>
        <v>19/03/2026</v>
      </c>
      <c r="J3598" t="str">
        <f t="shared" si="646"/>
        <v>10/03/2026</v>
      </c>
      <c r="K3598">
        <v>46100</v>
      </c>
      <c r="N3598">
        <v>109</v>
      </c>
      <c r="O3598" t="s">
        <v>27</v>
      </c>
      <c r="Q3598">
        <v>654</v>
      </c>
      <c r="R3598" t="str">
        <f>"FARMÁCIA INDIANA LJ 173 (10075)"</f>
        <v>FARMÁCIA INDIANA LJ 173 (10075)</v>
      </c>
      <c r="S3598" t="s">
        <v>37</v>
      </c>
      <c r="T3598">
        <v>31474</v>
      </c>
      <c r="U3598">
        <v>34503</v>
      </c>
      <c r="V3598" t="s">
        <v>37</v>
      </c>
    </row>
    <row r="3599" spans="1:22">
      <c r="A3599" t="str">
        <f t="shared" si="644"/>
        <v>19/03/2026</v>
      </c>
      <c r="B3599" t="str">
        <f t="shared" si="640"/>
        <v>SAÍDA</v>
      </c>
      <c r="C3599" t="str">
        <f t="shared" si="641"/>
        <v>PIX</v>
      </c>
      <c r="D3599" t="str">
        <f>"34504"</f>
        <v>34504</v>
      </c>
      <c r="E3599" t="str">
        <f t="shared" si="645"/>
        <v>1</v>
      </c>
      <c r="F3599" t="str">
        <f t="shared" si="647"/>
        <v>COM</v>
      </c>
      <c r="G3599" t="str">
        <f>"JOAO PEDRO BRITO DE SOUZA (876)"</f>
        <v>JOAO PEDRO BRITO DE SOUZA (876)</v>
      </c>
      <c r="H3599" t="str">
        <f>"Serv.Prest. 02/03/2026 a 08/03/2026 - PIX: CPF - CHAVE: 860.305.455-07"</f>
        <v>Serv.Prest. 02/03/2026 a 08/03/2026 - PIX: CPF - CHAVE: 860.305.455-07</v>
      </c>
      <c r="I3599" t="str">
        <f t="shared" si="642"/>
        <v>19/03/2026</v>
      </c>
      <c r="J3599" t="str">
        <f t="shared" si="646"/>
        <v>10/03/2026</v>
      </c>
      <c r="K3599" t="str">
        <f>("19/03/2026")</f>
        <v>19/03/2026</v>
      </c>
      <c r="L3599">
        <v>620</v>
      </c>
      <c r="M3599">
        <v>620</v>
      </c>
      <c r="N3599">
        <v>109</v>
      </c>
      <c r="O3599" t="str">
        <f>"PAGAMENTO DE ENTREGADORES"</f>
        <v>PAGAMENTO DE ENTREGADORES</v>
      </c>
      <c r="P3599">
        <v>620</v>
      </c>
      <c r="S3599" t="str">
        <f>"BANCO C6 (149)"</f>
        <v>BANCO C6 (149)</v>
      </c>
      <c r="T3599">
        <v>31475</v>
      </c>
      <c r="U3599">
        <v>34504</v>
      </c>
      <c r="V3599" t="s">
        <v>37</v>
      </c>
    </row>
    <row r="3600" spans="1:22">
      <c r="A3600" t="str">
        <f t="shared" si="644"/>
        <v>19/03/2026</v>
      </c>
      <c r="B3600" t="str">
        <f t="shared" si="640"/>
        <v>SAÍDA</v>
      </c>
      <c r="C3600" t="str">
        <f t="shared" si="641"/>
        <v>PIX</v>
      </c>
      <c r="D3600" t="str">
        <f>"34504"</f>
        <v>34504</v>
      </c>
      <c r="E3600" t="str">
        <f t="shared" si="645"/>
        <v>1</v>
      </c>
      <c r="F3600" t="str">
        <f t="shared" si="647"/>
        <v>COM</v>
      </c>
      <c r="G3600" t="str">
        <f>"JOAO PEDRO BRITO DE SOUZA (876)"</f>
        <v>JOAO PEDRO BRITO DE SOUZA (876)</v>
      </c>
      <c r="H3600" t="s">
        <v>968</v>
      </c>
      <c r="I3600" t="str">
        <f t="shared" si="642"/>
        <v>19/03/2026</v>
      </c>
      <c r="J3600" t="str">
        <f t="shared" si="646"/>
        <v>10/03/2026</v>
      </c>
      <c r="K3600">
        <v>46100</v>
      </c>
      <c r="N3600">
        <v>109</v>
      </c>
      <c r="O3600" t="s">
        <v>27</v>
      </c>
      <c r="Q3600">
        <v>620</v>
      </c>
      <c r="R3600" t="str">
        <f>"FARMÁCIA INDIANA LJ 169 (10073)"</f>
        <v>FARMÁCIA INDIANA LJ 169 (10073)</v>
      </c>
      <c r="S3600" t="s">
        <v>37</v>
      </c>
      <c r="T3600">
        <v>31475</v>
      </c>
      <c r="U3600">
        <v>34504</v>
      </c>
      <c r="V3600" t="s">
        <v>37</v>
      </c>
    </row>
    <row r="3601" spans="1:22">
      <c r="A3601" t="str">
        <f t="shared" si="644"/>
        <v>19/03/2026</v>
      </c>
      <c r="B3601" t="str">
        <f t="shared" si="640"/>
        <v>SAÍDA</v>
      </c>
      <c r="C3601" t="str">
        <f t="shared" si="641"/>
        <v>PIX</v>
      </c>
      <c r="D3601" t="str">
        <f>"34505"</f>
        <v>34505</v>
      </c>
      <c r="E3601" t="str">
        <f t="shared" si="645"/>
        <v>1</v>
      </c>
      <c r="F3601" t="str">
        <f t="shared" si="647"/>
        <v>COM</v>
      </c>
      <c r="G3601" t="str">
        <f>"JOAO PEDRO BRITO DE SOUZA (876)"</f>
        <v>JOAO PEDRO BRITO DE SOUZA (876)</v>
      </c>
      <c r="H3601" t="str">
        <f>"Serv.Prest. 02/03/2026 a 08/03/2026 - PIX: CPF - CHAVE: 860.305.455-07"</f>
        <v>Serv.Prest. 02/03/2026 a 08/03/2026 - PIX: CPF - CHAVE: 860.305.455-07</v>
      </c>
      <c r="I3601" t="str">
        <f t="shared" si="642"/>
        <v>19/03/2026</v>
      </c>
      <c r="J3601" t="str">
        <f t="shared" si="646"/>
        <v>10/03/2026</v>
      </c>
      <c r="K3601" t="str">
        <f>("19/03/2026")</f>
        <v>19/03/2026</v>
      </c>
      <c r="L3601">
        <v>680</v>
      </c>
      <c r="M3601">
        <v>680</v>
      </c>
      <c r="N3601">
        <v>109</v>
      </c>
      <c r="O3601" t="str">
        <f>"PAGAMENTO DE ENTREGADORES"</f>
        <v>PAGAMENTO DE ENTREGADORES</v>
      </c>
      <c r="P3601">
        <v>680</v>
      </c>
      <c r="S3601" t="str">
        <f>"BANCO C6 (149)"</f>
        <v>BANCO C6 (149)</v>
      </c>
      <c r="T3601">
        <v>31476</v>
      </c>
      <c r="U3601">
        <v>34505</v>
      </c>
      <c r="V3601" t="s">
        <v>37</v>
      </c>
    </row>
    <row r="3602" spans="1:22">
      <c r="A3602" t="str">
        <f t="shared" si="644"/>
        <v>19/03/2026</v>
      </c>
      <c r="B3602" t="str">
        <f t="shared" si="640"/>
        <v>SAÍDA</v>
      </c>
      <c r="C3602" t="str">
        <f t="shared" si="641"/>
        <v>PIX</v>
      </c>
      <c r="D3602" t="str">
        <f>"34505"</f>
        <v>34505</v>
      </c>
      <c r="E3602" t="str">
        <f t="shared" si="645"/>
        <v>1</v>
      </c>
      <c r="F3602" t="str">
        <f t="shared" si="647"/>
        <v>COM</v>
      </c>
      <c r="G3602" t="str">
        <f>"JOAO PEDRO BRITO DE SOUZA (876)"</f>
        <v>JOAO PEDRO BRITO DE SOUZA (876)</v>
      </c>
      <c r="H3602" t="s">
        <v>968</v>
      </c>
      <c r="I3602" t="str">
        <f t="shared" si="642"/>
        <v>19/03/2026</v>
      </c>
      <c r="J3602" t="str">
        <f t="shared" si="646"/>
        <v>10/03/2026</v>
      </c>
      <c r="K3602">
        <v>46100</v>
      </c>
      <c r="N3602">
        <v>109</v>
      </c>
      <c r="O3602" t="s">
        <v>27</v>
      </c>
      <c r="Q3602">
        <v>680</v>
      </c>
      <c r="R3602" t="str">
        <f>"FARMÁCIA INDIANA LJ 48 (10018)"</f>
        <v>FARMÁCIA INDIANA LJ 48 (10018)</v>
      </c>
      <c r="S3602" t="s">
        <v>37</v>
      </c>
      <c r="T3602">
        <v>31476</v>
      </c>
      <c r="U3602">
        <v>34505</v>
      </c>
      <c r="V3602" t="s">
        <v>37</v>
      </c>
    </row>
    <row r="3603" spans="1:22">
      <c r="A3603" t="str">
        <f t="shared" si="644"/>
        <v>19/03/2026</v>
      </c>
      <c r="B3603" t="str">
        <f t="shared" si="640"/>
        <v>SAÍDA</v>
      </c>
      <c r="C3603" t="str">
        <f t="shared" si="641"/>
        <v>PIX</v>
      </c>
      <c r="D3603" t="str">
        <f>"34506"</f>
        <v>34506</v>
      </c>
      <c r="E3603" t="str">
        <f t="shared" si="645"/>
        <v>1</v>
      </c>
      <c r="F3603" t="str">
        <f t="shared" si="647"/>
        <v>COM</v>
      </c>
      <c r="G3603" t="str">
        <f>"JOSE MARIO MENEZES DA CRUZ (941)"</f>
        <v>JOSE MARIO MENEZES DA CRUZ (941)</v>
      </c>
      <c r="H3603" t="str">
        <f>"Serv.Prest. 02/03/2026 a 08/03/2026 - PIX: CPF - CHAVE: 009.476.175-23"</f>
        <v>Serv.Prest. 02/03/2026 a 08/03/2026 - PIX: CPF - CHAVE: 009.476.175-23</v>
      </c>
      <c r="I3603" t="str">
        <f t="shared" si="642"/>
        <v>19/03/2026</v>
      </c>
      <c r="J3603" t="str">
        <f t="shared" si="646"/>
        <v>10/03/2026</v>
      </c>
      <c r="K3603" t="str">
        <f>("19/03/2026")</f>
        <v>19/03/2026</v>
      </c>
      <c r="L3603">
        <v>870</v>
      </c>
      <c r="M3603">
        <v>870</v>
      </c>
      <c r="N3603">
        <v>109</v>
      </c>
      <c r="O3603" t="str">
        <f>"PAGAMENTO DE ENTREGADORES"</f>
        <v>PAGAMENTO DE ENTREGADORES</v>
      </c>
      <c r="P3603">
        <v>870</v>
      </c>
      <c r="S3603" t="str">
        <f>"BANCO C6 (149)"</f>
        <v>BANCO C6 (149)</v>
      </c>
      <c r="T3603">
        <v>31477</v>
      </c>
      <c r="U3603">
        <v>34506</v>
      </c>
      <c r="V3603" t="s">
        <v>37</v>
      </c>
    </row>
    <row r="3604" spans="1:22">
      <c r="A3604" t="str">
        <f t="shared" si="644"/>
        <v>19/03/2026</v>
      </c>
      <c r="B3604" t="str">
        <f t="shared" si="640"/>
        <v>SAÍDA</v>
      </c>
      <c r="C3604" t="str">
        <f t="shared" si="641"/>
        <v>PIX</v>
      </c>
      <c r="D3604" t="str">
        <f>"34506"</f>
        <v>34506</v>
      </c>
      <c r="E3604" t="str">
        <f t="shared" si="645"/>
        <v>1</v>
      </c>
      <c r="F3604" t="str">
        <f t="shared" si="647"/>
        <v>COM</v>
      </c>
      <c r="G3604" t="str">
        <f>"JOSE MARIO MENEZES DA CRUZ (941)"</f>
        <v>JOSE MARIO MENEZES DA CRUZ (941)</v>
      </c>
      <c r="H3604" t="s">
        <v>1027</v>
      </c>
      <c r="I3604" t="str">
        <f t="shared" si="642"/>
        <v>19/03/2026</v>
      </c>
      <c r="J3604" t="str">
        <f t="shared" si="646"/>
        <v>10/03/2026</v>
      </c>
      <c r="K3604">
        <v>46100</v>
      </c>
      <c r="N3604">
        <v>109</v>
      </c>
      <c r="O3604" t="s">
        <v>27</v>
      </c>
      <c r="Q3604">
        <v>870</v>
      </c>
      <c r="R3604" t="str">
        <f>"FARMÁCIA INDIANA LJ 33 (10187)"</f>
        <v>FARMÁCIA INDIANA LJ 33 (10187)</v>
      </c>
      <c r="S3604" t="s">
        <v>37</v>
      </c>
      <c r="T3604">
        <v>31477</v>
      </c>
      <c r="U3604">
        <v>34506</v>
      </c>
      <c r="V3604" t="s">
        <v>37</v>
      </c>
    </row>
    <row r="3605" spans="1:22">
      <c r="A3605" t="str">
        <f t="shared" si="644"/>
        <v>19/03/2026</v>
      </c>
      <c r="B3605" t="str">
        <f t="shared" si="640"/>
        <v>SAÍDA</v>
      </c>
      <c r="C3605" t="str">
        <f t="shared" si="641"/>
        <v>PIX</v>
      </c>
      <c r="D3605" t="str">
        <f>"34507"</f>
        <v>34507</v>
      </c>
      <c r="E3605" t="str">
        <f t="shared" si="645"/>
        <v>1</v>
      </c>
      <c r="F3605" t="str">
        <f t="shared" si="647"/>
        <v>COM</v>
      </c>
      <c r="G3605" t="str">
        <f>"JUNIO SOUZA SILVA (610)"</f>
        <v>JUNIO SOUZA SILVA (610)</v>
      </c>
      <c r="H3605" t="str">
        <f>"Serv.Prest. 02/03/2026 a 08/03/2026 - PIX: CELULAR - CHAVE: (73) 98105-2187"</f>
        <v>Serv.Prest. 02/03/2026 a 08/03/2026 - PIX: CELULAR - CHAVE: (73) 98105-2187</v>
      </c>
      <c r="I3605" t="str">
        <f t="shared" si="642"/>
        <v>19/03/2026</v>
      </c>
      <c r="J3605" t="str">
        <f t="shared" si="646"/>
        <v>10/03/2026</v>
      </c>
      <c r="K3605" t="str">
        <f>("19/03/2026")</f>
        <v>19/03/2026</v>
      </c>
      <c r="L3605">
        <v>540</v>
      </c>
      <c r="M3605">
        <v>540</v>
      </c>
      <c r="N3605">
        <v>109</v>
      </c>
      <c r="O3605" t="str">
        <f>"PAGAMENTO DE ENTREGADORES"</f>
        <v>PAGAMENTO DE ENTREGADORES</v>
      </c>
      <c r="P3605">
        <v>540</v>
      </c>
      <c r="S3605" t="str">
        <f>"BANCO C6 (149)"</f>
        <v>BANCO C6 (149)</v>
      </c>
      <c r="T3605">
        <v>31478</v>
      </c>
      <c r="U3605">
        <v>34507</v>
      </c>
      <c r="V3605" t="s">
        <v>37</v>
      </c>
    </row>
    <row r="3606" spans="1:22">
      <c r="A3606" t="str">
        <f t="shared" si="644"/>
        <v>19/03/2026</v>
      </c>
      <c r="B3606" t="str">
        <f t="shared" si="640"/>
        <v>SAÍDA</v>
      </c>
      <c r="C3606" t="str">
        <f t="shared" si="641"/>
        <v>PIX</v>
      </c>
      <c r="D3606" t="str">
        <f>"34507"</f>
        <v>34507</v>
      </c>
      <c r="E3606" t="str">
        <f t="shared" si="645"/>
        <v>1</v>
      </c>
      <c r="F3606" t="str">
        <f t="shared" si="647"/>
        <v>COM</v>
      </c>
      <c r="G3606" t="str">
        <f>"JUNIO SOUZA SILVA (610)"</f>
        <v>JUNIO SOUZA SILVA (610)</v>
      </c>
      <c r="H3606" t="s">
        <v>931</v>
      </c>
      <c r="I3606" t="str">
        <f t="shared" si="642"/>
        <v>19/03/2026</v>
      </c>
      <c r="J3606" t="str">
        <f t="shared" si="646"/>
        <v>10/03/2026</v>
      </c>
      <c r="K3606">
        <v>46100</v>
      </c>
      <c r="N3606">
        <v>109</v>
      </c>
      <c r="O3606" t="s">
        <v>27</v>
      </c>
      <c r="Q3606">
        <v>540</v>
      </c>
      <c r="R3606" t="str">
        <f>"FARMÁCIA INDIANA LJ 77 (10034)"</f>
        <v>FARMÁCIA INDIANA LJ 77 (10034)</v>
      </c>
      <c r="S3606" t="s">
        <v>37</v>
      </c>
      <c r="T3606">
        <v>31478</v>
      </c>
      <c r="U3606">
        <v>34507</v>
      </c>
      <c r="V3606" t="s">
        <v>37</v>
      </c>
    </row>
    <row r="3607" spans="1:22">
      <c r="A3607" t="str">
        <f t="shared" si="644"/>
        <v>19/03/2026</v>
      </c>
      <c r="B3607" t="str">
        <f t="shared" si="640"/>
        <v>SAÍDA</v>
      </c>
      <c r="C3607" t="str">
        <f t="shared" si="641"/>
        <v>PIX</v>
      </c>
      <c r="D3607" t="str">
        <f>"34508"</f>
        <v>34508</v>
      </c>
      <c r="E3607" t="str">
        <f t="shared" si="645"/>
        <v>1</v>
      </c>
      <c r="F3607" t="str">
        <f t="shared" si="647"/>
        <v>COM</v>
      </c>
      <c r="G3607" t="str">
        <f>"KHENNEDY DAVY DOS SANTOS SILVA (692)"</f>
        <v>KHENNEDY DAVY DOS SANTOS SILVA (692)</v>
      </c>
      <c r="H3607" t="str">
        <f>"Serv.Prest. 02/03/2026 a 08/03/2026 - PIX: CPF - CHAVE: 094.700.685-05"</f>
        <v>Serv.Prest. 02/03/2026 a 08/03/2026 - PIX: CPF - CHAVE: 094.700.685-05</v>
      </c>
      <c r="I3607" t="str">
        <f t="shared" si="642"/>
        <v>19/03/2026</v>
      </c>
      <c r="J3607" t="str">
        <f t="shared" si="646"/>
        <v>10/03/2026</v>
      </c>
      <c r="K3607" t="str">
        <f>("19/03/2026")</f>
        <v>19/03/2026</v>
      </c>
      <c r="L3607">
        <v>654</v>
      </c>
      <c r="M3607">
        <v>654</v>
      </c>
      <c r="N3607">
        <v>109</v>
      </c>
      <c r="O3607" t="str">
        <f>"PAGAMENTO DE ENTREGADORES"</f>
        <v>PAGAMENTO DE ENTREGADORES</v>
      </c>
      <c r="P3607">
        <v>654</v>
      </c>
      <c r="S3607" t="str">
        <f>"BANCO C6 (149)"</f>
        <v>BANCO C6 (149)</v>
      </c>
      <c r="T3607">
        <v>31479</v>
      </c>
      <c r="U3607">
        <v>34508</v>
      </c>
      <c r="V3607" t="s">
        <v>37</v>
      </c>
    </row>
    <row r="3608" spans="1:22">
      <c r="A3608" t="str">
        <f t="shared" si="644"/>
        <v>19/03/2026</v>
      </c>
      <c r="B3608" t="str">
        <f t="shared" si="640"/>
        <v>SAÍDA</v>
      </c>
      <c r="C3608" t="str">
        <f t="shared" si="641"/>
        <v>PIX</v>
      </c>
      <c r="D3608" t="str">
        <f>"34508"</f>
        <v>34508</v>
      </c>
      <c r="E3608" t="str">
        <f t="shared" si="645"/>
        <v>1</v>
      </c>
      <c r="F3608" t="str">
        <f t="shared" si="647"/>
        <v>COM</v>
      </c>
      <c r="G3608" t="str">
        <f>"KHENNEDY DAVY DOS SANTOS SILVA (692)"</f>
        <v>KHENNEDY DAVY DOS SANTOS SILVA (692)</v>
      </c>
      <c r="H3608" t="s">
        <v>1028</v>
      </c>
      <c r="I3608" t="str">
        <f t="shared" si="642"/>
        <v>19/03/2026</v>
      </c>
      <c r="J3608" t="str">
        <f t="shared" si="646"/>
        <v>10/03/2026</v>
      </c>
      <c r="K3608">
        <v>46100</v>
      </c>
      <c r="N3608">
        <v>109</v>
      </c>
      <c r="O3608" t="s">
        <v>27</v>
      </c>
      <c r="Q3608">
        <v>654</v>
      </c>
      <c r="R3608" t="str">
        <f>"FARMÁCIA INDIANA LJ 65 (10030)"</f>
        <v>FARMÁCIA INDIANA LJ 65 (10030)</v>
      </c>
      <c r="S3608" t="s">
        <v>37</v>
      </c>
      <c r="T3608">
        <v>31479</v>
      </c>
      <c r="U3608">
        <v>34508</v>
      </c>
      <c r="V3608" t="s">
        <v>37</v>
      </c>
    </row>
    <row r="3609" spans="1:22">
      <c r="A3609" t="str">
        <f t="shared" si="644"/>
        <v>19/03/2026</v>
      </c>
      <c r="B3609" t="str">
        <f t="shared" si="640"/>
        <v>SAÍDA</v>
      </c>
      <c r="C3609" t="str">
        <f t="shared" si="641"/>
        <v>PIX</v>
      </c>
      <c r="D3609" t="str">
        <f>"34509"</f>
        <v>34509</v>
      </c>
      <c r="E3609" t="str">
        <f t="shared" si="645"/>
        <v>1</v>
      </c>
      <c r="F3609" t="str">
        <f t="shared" si="647"/>
        <v>COM</v>
      </c>
      <c r="G3609" t="str">
        <f>"LEONARDO MERCÊS CAJAZEIRAS (235)"</f>
        <v>LEONARDO MERCÊS CAJAZEIRAS (235)</v>
      </c>
      <c r="H3609" t="str">
        <f>"Serv.Prest. 02/03/2026 a 08/03/2026 - PIX: CELULAR - CHAVE: (73) 99803-0715"</f>
        <v>Serv.Prest. 02/03/2026 a 08/03/2026 - PIX: CELULAR - CHAVE: (73) 99803-0715</v>
      </c>
      <c r="I3609" t="str">
        <f t="shared" si="642"/>
        <v>19/03/2026</v>
      </c>
      <c r="J3609" t="str">
        <f t="shared" si="646"/>
        <v>10/03/2026</v>
      </c>
      <c r="K3609" t="str">
        <f>("19/03/2026")</f>
        <v>19/03/2026</v>
      </c>
      <c r="L3609">
        <v>580</v>
      </c>
      <c r="M3609">
        <v>580</v>
      </c>
      <c r="N3609">
        <v>109</v>
      </c>
      <c r="O3609" t="str">
        <f>"PAGAMENTO DE ENTREGADORES"</f>
        <v>PAGAMENTO DE ENTREGADORES</v>
      </c>
      <c r="P3609">
        <v>580</v>
      </c>
      <c r="S3609" t="str">
        <f>"BANCO C6 (149)"</f>
        <v>BANCO C6 (149)</v>
      </c>
      <c r="T3609">
        <v>31480</v>
      </c>
      <c r="U3609">
        <v>34509</v>
      </c>
      <c r="V3609" t="s">
        <v>37</v>
      </c>
    </row>
    <row r="3610" spans="1:22">
      <c r="A3610" t="str">
        <f t="shared" si="644"/>
        <v>19/03/2026</v>
      </c>
      <c r="B3610" t="str">
        <f t="shared" si="640"/>
        <v>SAÍDA</v>
      </c>
      <c r="C3610" t="str">
        <f t="shared" si="641"/>
        <v>PIX</v>
      </c>
      <c r="D3610" t="str">
        <f>"34509"</f>
        <v>34509</v>
      </c>
      <c r="E3610" t="str">
        <f t="shared" si="645"/>
        <v>1</v>
      </c>
      <c r="F3610" t="str">
        <f t="shared" si="647"/>
        <v>COM</v>
      </c>
      <c r="G3610" t="str">
        <f>"LEONARDO MERCÊS CAJAZEIRAS (235)"</f>
        <v>LEONARDO MERCÊS CAJAZEIRAS (235)</v>
      </c>
      <c r="H3610" t="s">
        <v>858</v>
      </c>
      <c r="I3610" t="str">
        <f t="shared" si="642"/>
        <v>19/03/2026</v>
      </c>
      <c r="J3610" t="str">
        <f t="shared" si="646"/>
        <v>10/03/2026</v>
      </c>
      <c r="K3610">
        <v>46100</v>
      </c>
      <c r="N3610">
        <v>109</v>
      </c>
      <c r="O3610" t="s">
        <v>27</v>
      </c>
      <c r="Q3610">
        <v>580</v>
      </c>
      <c r="R3610" t="str">
        <f>"FARMÁCIA INDIANA LJ 35 (10015)"</f>
        <v>FARMÁCIA INDIANA LJ 35 (10015)</v>
      </c>
      <c r="S3610" t="s">
        <v>37</v>
      </c>
      <c r="T3610">
        <v>31480</v>
      </c>
      <c r="U3610">
        <v>34509</v>
      </c>
      <c r="V3610" t="s">
        <v>37</v>
      </c>
    </row>
    <row r="3611" spans="1:22">
      <c r="A3611" t="str">
        <f t="shared" si="644"/>
        <v>19/03/2026</v>
      </c>
      <c r="B3611" t="str">
        <f t="shared" si="640"/>
        <v>SAÍDA</v>
      </c>
      <c r="C3611" t="str">
        <f t="shared" si="641"/>
        <v>PIX</v>
      </c>
      <c r="D3611" t="str">
        <f>"34510"</f>
        <v>34510</v>
      </c>
      <c r="E3611" t="str">
        <f t="shared" si="645"/>
        <v>1</v>
      </c>
      <c r="F3611" t="str">
        <f t="shared" si="647"/>
        <v>COM</v>
      </c>
      <c r="G3611" t="str">
        <f>"LEONARDO SANTOS BIANCHINI (1115)"</f>
        <v>LEONARDO SANTOS BIANCHINI (1115)</v>
      </c>
      <c r="H3611" t="str">
        <f>"Serv.Prest. 02/03/2026 a 08/03/2026 - PIX: CPF - CHAVE: 157.217.827-22"</f>
        <v>Serv.Prest. 02/03/2026 a 08/03/2026 - PIX: CPF - CHAVE: 157.217.827-22</v>
      </c>
      <c r="I3611" t="str">
        <f t="shared" si="642"/>
        <v>19/03/2026</v>
      </c>
      <c r="J3611" t="str">
        <f t="shared" si="646"/>
        <v>10/03/2026</v>
      </c>
      <c r="K3611" t="str">
        <f>("19/03/2026")</f>
        <v>19/03/2026</v>
      </c>
      <c r="L3611">
        <v>898</v>
      </c>
      <c r="M3611">
        <v>898</v>
      </c>
      <c r="N3611">
        <v>109</v>
      </c>
      <c r="O3611" t="str">
        <f>"PAGAMENTO DE ENTREGADORES"</f>
        <v>PAGAMENTO DE ENTREGADORES</v>
      </c>
      <c r="P3611">
        <v>898</v>
      </c>
      <c r="S3611" t="str">
        <f>"BANCO C6 (149)"</f>
        <v>BANCO C6 (149)</v>
      </c>
      <c r="T3611">
        <v>31481</v>
      </c>
      <c r="U3611">
        <v>34510</v>
      </c>
      <c r="V3611" t="s">
        <v>37</v>
      </c>
    </row>
    <row r="3612" spans="1:22">
      <c r="A3612" t="str">
        <f t="shared" si="644"/>
        <v>19/03/2026</v>
      </c>
      <c r="B3612" t="str">
        <f t="shared" si="640"/>
        <v>SAÍDA</v>
      </c>
      <c r="C3612" t="str">
        <f t="shared" si="641"/>
        <v>PIX</v>
      </c>
      <c r="D3612" t="str">
        <f>"34510"</f>
        <v>34510</v>
      </c>
      <c r="E3612" t="str">
        <f t="shared" si="645"/>
        <v>1</v>
      </c>
      <c r="F3612" t="str">
        <f t="shared" si="647"/>
        <v>COM</v>
      </c>
      <c r="G3612" t="str">
        <f>"LEONARDO SANTOS BIANCHINI (1115)"</f>
        <v>LEONARDO SANTOS BIANCHINI (1115)</v>
      </c>
      <c r="H3612" t="s">
        <v>886</v>
      </c>
      <c r="I3612" t="str">
        <f t="shared" si="642"/>
        <v>19/03/2026</v>
      </c>
      <c r="J3612" t="str">
        <f t="shared" si="646"/>
        <v>10/03/2026</v>
      </c>
      <c r="K3612">
        <v>46100</v>
      </c>
      <c r="N3612">
        <v>109</v>
      </c>
      <c r="O3612" t="s">
        <v>27</v>
      </c>
      <c r="Q3612">
        <v>898</v>
      </c>
      <c r="R3612" t="str">
        <f>"FARMÁCIA INDIANA LJ 92 (10281)"</f>
        <v>FARMÁCIA INDIANA LJ 92 (10281)</v>
      </c>
      <c r="S3612" t="s">
        <v>37</v>
      </c>
      <c r="T3612">
        <v>31481</v>
      </c>
      <c r="U3612">
        <v>34510</v>
      </c>
      <c r="V3612" t="s">
        <v>37</v>
      </c>
    </row>
    <row r="3613" spans="1:22">
      <c r="A3613" t="str">
        <f t="shared" si="644"/>
        <v>19/03/2026</v>
      </c>
      <c r="B3613" t="str">
        <f t="shared" si="640"/>
        <v>SAÍDA</v>
      </c>
      <c r="C3613" t="str">
        <f t="shared" si="641"/>
        <v>PIX</v>
      </c>
      <c r="D3613" t="str">
        <f>"34511"</f>
        <v>34511</v>
      </c>
      <c r="E3613" t="str">
        <f t="shared" si="645"/>
        <v>1</v>
      </c>
      <c r="F3613" t="str">
        <f t="shared" si="647"/>
        <v>COM</v>
      </c>
      <c r="G3613" t="str">
        <f>"LUCAS MOREIRA PEREIRA (153)"</f>
        <v>LUCAS MOREIRA PEREIRA (153)</v>
      </c>
      <c r="H3613" t="str">
        <f>"Serv.Prest. 02/03/2026 a 08/03/2026 - PIX: CNPJ - CHAVE: 65.104.813/0001-77"</f>
        <v>Serv.Prest. 02/03/2026 a 08/03/2026 - PIX: CNPJ - CHAVE: 65.104.813/0001-77</v>
      </c>
      <c r="I3613" t="str">
        <f t="shared" si="642"/>
        <v>19/03/2026</v>
      </c>
      <c r="J3613" t="str">
        <f t="shared" si="646"/>
        <v>10/03/2026</v>
      </c>
      <c r="K3613" t="str">
        <f>("19/03/2026")</f>
        <v>19/03/2026</v>
      </c>
      <c r="L3613">
        <v>1425</v>
      </c>
      <c r="M3613">
        <v>1425</v>
      </c>
      <c r="N3613">
        <v>109</v>
      </c>
      <c r="O3613" t="str">
        <f>"PAGAMENTO DE ENTREGADORES"</f>
        <v>PAGAMENTO DE ENTREGADORES</v>
      </c>
      <c r="P3613">
        <v>1425</v>
      </c>
      <c r="S3613" t="str">
        <f>"BANCO C6 (149)"</f>
        <v>BANCO C6 (149)</v>
      </c>
      <c r="T3613">
        <v>31482</v>
      </c>
      <c r="U3613">
        <v>34511</v>
      </c>
      <c r="V3613" t="s">
        <v>37</v>
      </c>
    </row>
    <row r="3614" spans="1:22">
      <c r="A3614" t="str">
        <f t="shared" si="644"/>
        <v>19/03/2026</v>
      </c>
      <c r="B3614" t="str">
        <f t="shared" si="640"/>
        <v>SAÍDA</v>
      </c>
      <c r="C3614" t="str">
        <f t="shared" si="641"/>
        <v>PIX</v>
      </c>
      <c r="D3614" t="str">
        <f>"34511"</f>
        <v>34511</v>
      </c>
      <c r="E3614" t="str">
        <f t="shared" si="645"/>
        <v>1</v>
      </c>
      <c r="F3614" t="str">
        <f t="shared" si="647"/>
        <v>COM</v>
      </c>
      <c r="G3614" t="str">
        <f>"LUCAS MOREIRA PEREIRA (153)"</f>
        <v>LUCAS MOREIRA PEREIRA (153)</v>
      </c>
      <c r="H3614" t="s">
        <v>987</v>
      </c>
      <c r="I3614" t="str">
        <f t="shared" si="642"/>
        <v>19/03/2026</v>
      </c>
      <c r="J3614" t="str">
        <f t="shared" si="646"/>
        <v>10/03/2026</v>
      </c>
      <c r="K3614">
        <v>46100</v>
      </c>
      <c r="N3614">
        <v>109</v>
      </c>
      <c r="O3614" t="s">
        <v>27</v>
      </c>
      <c r="Q3614">
        <v>1425</v>
      </c>
      <c r="R3614" t="str">
        <f>"FARMÁCIA INDIANA LJ 48 (10018)"</f>
        <v>FARMÁCIA INDIANA LJ 48 (10018)</v>
      </c>
      <c r="S3614" t="s">
        <v>37</v>
      </c>
      <c r="T3614">
        <v>31482</v>
      </c>
      <c r="U3614">
        <v>34511</v>
      </c>
      <c r="V3614" t="s">
        <v>37</v>
      </c>
    </row>
    <row r="3615" spans="1:22">
      <c r="A3615" t="str">
        <f t="shared" si="644"/>
        <v>19/03/2026</v>
      </c>
      <c r="B3615" t="str">
        <f t="shared" si="640"/>
        <v>SAÍDA</v>
      </c>
      <c r="C3615" t="str">
        <f t="shared" si="641"/>
        <v>PIX</v>
      </c>
      <c r="D3615" t="str">
        <f>"34512"</f>
        <v>34512</v>
      </c>
      <c r="E3615" t="str">
        <f t="shared" si="645"/>
        <v>1</v>
      </c>
      <c r="F3615" t="str">
        <f t="shared" si="647"/>
        <v>COM</v>
      </c>
      <c r="G3615" t="str">
        <f>"LUCAS MOREIRA PEREIRA (153)"</f>
        <v>LUCAS MOREIRA PEREIRA (153)</v>
      </c>
      <c r="H3615" t="str">
        <f>"Serv.Prest. 02/03/2026 a 08/03/2026 - PIX: CNPJ - CHAVE: 65.104.813/0001-77"</f>
        <v>Serv.Prest. 02/03/2026 a 08/03/2026 - PIX: CNPJ - CHAVE: 65.104.813/0001-77</v>
      </c>
      <c r="I3615" t="str">
        <f t="shared" si="642"/>
        <v>19/03/2026</v>
      </c>
      <c r="J3615" t="str">
        <f t="shared" si="646"/>
        <v>10/03/2026</v>
      </c>
      <c r="K3615" t="str">
        <f>("19/03/2026")</f>
        <v>19/03/2026</v>
      </c>
      <c r="L3615">
        <v>425</v>
      </c>
      <c r="M3615">
        <v>425</v>
      </c>
      <c r="N3615">
        <v>109</v>
      </c>
      <c r="O3615" t="str">
        <f>"PAGAMENTO DE ENTREGADORES"</f>
        <v>PAGAMENTO DE ENTREGADORES</v>
      </c>
      <c r="P3615">
        <v>425</v>
      </c>
      <c r="S3615" t="str">
        <f>"BANCO C6 (149)"</f>
        <v>BANCO C6 (149)</v>
      </c>
      <c r="T3615">
        <v>31483</v>
      </c>
      <c r="U3615">
        <v>34512</v>
      </c>
      <c r="V3615" t="s">
        <v>37</v>
      </c>
    </row>
    <row r="3616" spans="1:22">
      <c r="A3616" t="str">
        <f t="shared" si="644"/>
        <v>19/03/2026</v>
      </c>
      <c r="B3616" t="str">
        <f t="shared" si="640"/>
        <v>SAÍDA</v>
      </c>
      <c r="C3616" t="str">
        <f t="shared" si="641"/>
        <v>PIX</v>
      </c>
      <c r="D3616" t="str">
        <f>"34512"</f>
        <v>34512</v>
      </c>
      <c r="E3616" t="str">
        <f t="shared" si="645"/>
        <v>1</v>
      </c>
      <c r="F3616" t="str">
        <f t="shared" si="647"/>
        <v>COM</v>
      </c>
      <c r="G3616" t="str">
        <f>"LUCAS MOREIRA PEREIRA (153)"</f>
        <v>LUCAS MOREIRA PEREIRA (153)</v>
      </c>
      <c r="H3616" t="s">
        <v>987</v>
      </c>
      <c r="I3616" t="str">
        <f t="shared" si="642"/>
        <v>19/03/2026</v>
      </c>
      <c r="J3616" t="str">
        <f t="shared" si="646"/>
        <v>10/03/2026</v>
      </c>
      <c r="K3616">
        <v>46100</v>
      </c>
      <c r="N3616">
        <v>109</v>
      </c>
      <c r="O3616" t="s">
        <v>27</v>
      </c>
      <c r="Q3616">
        <v>425</v>
      </c>
      <c r="R3616" t="str">
        <f>"FARMÁCIA INDIANA LJ 169 (10073)"</f>
        <v>FARMÁCIA INDIANA LJ 169 (10073)</v>
      </c>
      <c r="S3616" t="s">
        <v>37</v>
      </c>
      <c r="T3616">
        <v>31483</v>
      </c>
      <c r="U3616">
        <v>34512</v>
      </c>
      <c r="V3616" t="s">
        <v>37</v>
      </c>
    </row>
    <row r="3617" spans="1:22">
      <c r="A3617" t="str">
        <f t="shared" si="644"/>
        <v>19/03/2026</v>
      </c>
      <c r="B3617" t="str">
        <f t="shared" si="640"/>
        <v>SAÍDA</v>
      </c>
      <c r="C3617" t="str">
        <f t="shared" si="641"/>
        <v>PIX</v>
      </c>
      <c r="D3617" t="str">
        <f>"34513"</f>
        <v>34513</v>
      </c>
      <c r="E3617" t="str">
        <f t="shared" si="645"/>
        <v>1</v>
      </c>
      <c r="F3617" t="str">
        <f t="shared" si="647"/>
        <v>COM</v>
      </c>
      <c r="G3617" t="str">
        <f>"MARCELO RODRIGUES DA SILVA (1194)"</f>
        <v>MARCELO RODRIGUES DA SILVA (1194)</v>
      </c>
      <c r="H3617" t="str">
        <f>"Serv.Prest. 02/03/2026 a 08/03/2026 - PIX: CELULAR - CHAVE: (73) 99178-4624"</f>
        <v>Serv.Prest. 02/03/2026 a 08/03/2026 - PIX: CELULAR - CHAVE: (73) 99178-4624</v>
      </c>
      <c r="I3617" t="str">
        <f t="shared" si="642"/>
        <v>19/03/2026</v>
      </c>
      <c r="J3617" t="str">
        <f t="shared" si="646"/>
        <v>10/03/2026</v>
      </c>
      <c r="K3617" t="str">
        <f>("19/03/2026")</f>
        <v>19/03/2026</v>
      </c>
      <c r="L3617">
        <v>622</v>
      </c>
      <c r="M3617">
        <v>622</v>
      </c>
      <c r="N3617">
        <v>109</v>
      </c>
      <c r="O3617" t="str">
        <f>"PAGAMENTO DE ENTREGADORES"</f>
        <v>PAGAMENTO DE ENTREGADORES</v>
      </c>
      <c r="P3617">
        <v>622</v>
      </c>
      <c r="S3617" t="str">
        <f>"BANCO C6 (149)"</f>
        <v>BANCO C6 (149)</v>
      </c>
      <c r="T3617">
        <v>31484</v>
      </c>
      <c r="U3617">
        <v>34513</v>
      </c>
      <c r="V3617" t="s">
        <v>37</v>
      </c>
    </row>
    <row r="3618" spans="1:22">
      <c r="A3618" t="str">
        <f t="shared" si="644"/>
        <v>19/03/2026</v>
      </c>
      <c r="B3618" t="str">
        <f t="shared" si="640"/>
        <v>SAÍDA</v>
      </c>
      <c r="C3618" t="str">
        <f t="shared" si="641"/>
        <v>PIX</v>
      </c>
      <c r="D3618" t="str">
        <f>"34513"</f>
        <v>34513</v>
      </c>
      <c r="E3618" t="str">
        <f t="shared" si="645"/>
        <v>1</v>
      </c>
      <c r="F3618" t="str">
        <f t="shared" si="647"/>
        <v>COM</v>
      </c>
      <c r="G3618" t="str">
        <f>"MARCELO RODRIGUES DA SILVA (1194)"</f>
        <v>MARCELO RODRIGUES DA SILVA (1194)</v>
      </c>
      <c r="H3618" t="s">
        <v>890</v>
      </c>
      <c r="I3618" t="str">
        <f t="shared" si="642"/>
        <v>19/03/2026</v>
      </c>
      <c r="J3618" t="str">
        <f t="shared" si="646"/>
        <v>10/03/2026</v>
      </c>
      <c r="K3618">
        <v>46100</v>
      </c>
      <c r="N3618">
        <v>109</v>
      </c>
      <c r="O3618" t="s">
        <v>27</v>
      </c>
      <c r="Q3618">
        <v>622</v>
      </c>
      <c r="R3618" t="str">
        <f>"FARMÁCIA INDIANA LJ 145 (10068)"</f>
        <v>FARMÁCIA INDIANA LJ 145 (10068)</v>
      </c>
      <c r="S3618" t="s">
        <v>37</v>
      </c>
      <c r="T3618">
        <v>31484</v>
      </c>
      <c r="U3618">
        <v>34513</v>
      </c>
      <c r="V3618" t="s">
        <v>37</v>
      </c>
    </row>
    <row r="3619" spans="1:22">
      <c r="A3619" t="str">
        <f t="shared" si="644"/>
        <v>19/03/2026</v>
      </c>
      <c r="B3619" t="str">
        <f t="shared" si="640"/>
        <v>SAÍDA</v>
      </c>
      <c r="C3619" t="str">
        <f t="shared" si="641"/>
        <v>PIX</v>
      </c>
      <c r="D3619" t="str">
        <f>"34514"</f>
        <v>34514</v>
      </c>
      <c r="E3619" t="str">
        <f t="shared" si="645"/>
        <v>1</v>
      </c>
      <c r="F3619" t="str">
        <f t="shared" si="647"/>
        <v>COM</v>
      </c>
      <c r="G3619" t="str">
        <f>"MARIA ILZA PEREIRA DOS SANTOS (618)"</f>
        <v>MARIA ILZA PEREIRA DOS SANTOS (618)</v>
      </c>
      <c r="H3619" t="str">
        <f>"Serv.Prest. 02/03/2026 a 08/03/2026 - PIX: CPF - CHAVE: 003.157.195-67"</f>
        <v>Serv.Prest. 02/03/2026 a 08/03/2026 - PIX: CPF - CHAVE: 003.157.195-67</v>
      </c>
      <c r="I3619" t="str">
        <f t="shared" si="642"/>
        <v>19/03/2026</v>
      </c>
      <c r="J3619" t="str">
        <f t="shared" si="646"/>
        <v>10/03/2026</v>
      </c>
      <c r="K3619" t="str">
        <f>("19/03/2026")</f>
        <v>19/03/2026</v>
      </c>
      <c r="L3619">
        <v>330</v>
      </c>
      <c r="M3619">
        <v>330</v>
      </c>
      <c r="N3619">
        <v>109</v>
      </c>
      <c r="O3619" t="str">
        <f>"PAGAMENTO DE ENTREGADORES"</f>
        <v>PAGAMENTO DE ENTREGADORES</v>
      </c>
      <c r="P3619">
        <v>330</v>
      </c>
      <c r="S3619" t="str">
        <f>"BANCO C6 (149)"</f>
        <v>BANCO C6 (149)</v>
      </c>
      <c r="T3619">
        <v>31485</v>
      </c>
      <c r="U3619">
        <v>34514</v>
      </c>
      <c r="V3619" t="s">
        <v>37</v>
      </c>
    </row>
    <row r="3620" spans="1:22">
      <c r="A3620" t="str">
        <f t="shared" si="644"/>
        <v>19/03/2026</v>
      </c>
      <c r="B3620" t="str">
        <f t="shared" si="640"/>
        <v>SAÍDA</v>
      </c>
      <c r="C3620" t="str">
        <f t="shared" si="641"/>
        <v>PIX</v>
      </c>
      <c r="D3620" t="str">
        <f>"34514"</f>
        <v>34514</v>
      </c>
      <c r="E3620" t="str">
        <f t="shared" si="645"/>
        <v>1</v>
      </c>
      <c r="F3620" t="str">
        <f t="shared" si="647"/>
        <v>COM</v>
      </c>
      <c r="G3620" t="str">
        <f>"MARIA ILZA PEREIRA DOS SANTOS (618)"</f>
        <v>MARIA ILZA PEREIRA DOS SANTOS (618)</v>
      </c>
      <c r="H3620" t="s">
        <v>1029</v>
      </c>
      <c r="I3620" t="str">
        <f t="shared" si="642"/>
        <v>19/03/2026</v>
      </c>
      <c r="J3620" t="str">
        <f t="shared" si="646"/>
        <v>10/03/2026</v>
      </c>
      <c r="K3620">
        <v>46100</v>
      </c>
      <c r="N3620">
        <v>109</v>
      </c>
      <c r="O3620" t="s">
        <v>27</v>
      </c>
      <c r="Q3620">
        <v>330</v>
      </c>
      <c r="R3620" t="str">
        <f>"FARMÁCIA INDIANA LJ 173 (10075)"</f>
        <v>FARMÁCIA INDIANA LJ 173 (10075)</v>
      </c>
      <c r="S3620" t="s">
        <v>37</v>
      </c>
      <c r="T3620">
        <v>31485</v>
      </c>
      <c r="U3620">
        <v>34514</v>
      </c>
      <c r="V3620" t="s">
        <v>37</v>
      </c>
    </row>
    <row r="3621" spans="1:22">
      <c r="A3621" t="str">
        <f t="shared" si="644"/>
        <v>19/03/2026</v>
      </c>
      <c r="B3621" t="str">
        <f t="shared" si="640"/>
        <v>SAÍDA</v>
      </c>
      <c r="C3621" t="str">
        <f t="shared" si="641"/>
        <v>PIX</v>
      </c>
      <c r="D3621" t="str">
        <f>"34515"</f>
        <v>34515</v>
      </c>
      <c r="E3621" t="str">
        <f t="shared" si="645"/>
        <v>1</v>
      </c>
      <c r="F3621" t="str">
        <f t="shared" si="647"/>
        <v>COM</v>
      </c>
      <c r="G3621" t="str">
        <f>"MARIA ILZA PEREIRA DOS SANTOS (618)"</f>
        <v>MARIA ILZA PEREIRA DOS SANTOS (618)</v>
      </c>
      <c r="H3621" t="str">
        <f>"Serv.Prest. 02/03/2026 a 08/03/2026 - PIX: CPF - CHAVE: 003.157.195-67"</f>
        <v>Serv.Prest. 02/03/2026 a 08/03/2026 - PIX: CPF - CHAVE: 003.157.195-67</v>
      </c>
      <c r="I3621" t="str">
        <f t="shared" si="642"/>
        <v>19/03/2026</v>
      </c>
      <c r="J3621" t="str">
        <f t="shared" si="646"/>
        <v>10/03/2026</v>
      </c>
      <c r="K3621" t="str">
        <f>("19/03/2026")</f>
        <v>19/03/2026</v>
      </c>
      <c r="L3621">
        <v>324</v>
      </c>
      <c r="M3621">
        <v>324</v>
      </c>
      <c r="N3621">
        <v>109</v>
      </c>
      <c r="O3621" t="str">
        <f>"PAGAMENTO DE ENTREGADORES"</f>
        <v>PAGAMENTO DE ENTREGADORES</v>
      </c>
      <c r="P3621">
        <v>324</v>
      </c>
      <c r="S3621" t="str">
        <f>"BANCO C6 (149)"</f>
        <v>BANCO C6 (149)</v>
      </c>
      <c r="T3621">
        <v>31486</v>
      </c>
      <c r="U3621">
        <v>34515</v>
      </c>
      <c r="V3621" t="s">
        <v>37</v>
      </c>
    </row>
    <row r="3622" spans="1:22">
      <c r="A3622" t="str">
        <f t="shared" si="644"/>
        <v>19/03/2026</v>
      </c>
      <c r="B3622" t="str">
        <f t="shared" si="640"/>
        <v>SAÍDA</v>
      </c>
      <c r="C3622" t="str">
        <f t="shared" si="641"/>
        <v>PIX</v>
      </c>
      <c r="D3622" t="str">
        <f>"34515"</f>
        <v>34515</v>
      </c>
      <c r="E3622" t="str">
        <f t="shared" si="645"/>
        <v>1</v>
      </c>
      <c r="F3622" t="str">
        <f t="shared" si="647"/>
        <v>COM</v>
      </c>
      <c r="G3622" t="str">
        <f>"MARIA ILZA PEREIRA DOS SANTOS (618)"</f>
        <v>MARIA ILZA PEREIRA DOS SANTOS (618)</v>
      </c>
      <c r="H3622" t="s">
        <v>1029</v>
      </c>
      <c r="I3622" t="str">
        <f t="shared" si="642"/>
        <v>19/03/2026</v>
      </c>
      <c r="J3622" t="str">
        <f t="shared" si="646"/>
        <v>10/03/2026</v>
      </c>
      <c r="K3622">
        <v>46100</v>
      </c>
      <c r="N3622">
        <v>109</v>
      </c>
      <c r="O3622" t="s">
        <v>27</v>
      </c>
      <c r="Q3622">
        <v>324</v>
      </c>
      <c r="R3622" t="str">
        <f>"FARMÁCIA INDIANA LJ 65 (10030)"</f>
        <v>FARMÁCIA INDIANA LJ 65 (10030)</v>
      </c>
      <c r="S3622" t="s">
        <v>37</v>
      </c>
      <c r="T3622">
        <v>31486</v>
      </c>
      <c r="U3622">
        <v>34515</v>
      </c>
      <c r="V3622" t="s">
        <v>37</v>
      </c>
    </row>
    <row r="3623" spans="1:22">
      <c r="A3623" t="str">
        <f t="shared" si="644"/>
        <v>19/03/2026</v>
      </c>
      <c r="B3623" t="str">
        <f t="shared" si="640"/>
        <v>SAÍDA</v>
      </c>
      <c r="C3623" t="str">
        <f t="shared" si="641"/>
        <v>PIX</v>
      </c>
      <c r="D3623" t="str">
        <f>"34516"</f>
        <v>34516</v>
      </c>
      <c r="E3623" t="str">
        <f t="shared" si="645"/>
        <v>1</v>
      </c>
      <c r="F3623" t="str">
        <f t="shared" si="647"/>
        <v>COM</v>
      </c>
      <c r="G3623" t="str">
        <f>"MOABIO AZEVEDO DOS SANTOS (131)"</f>
        <v>MOABIO AZEVEDO DOS SANTOS (131)</v>
      </c>
      <c r="H3623" t="str">
        <f>"Serv.Prest. 02/03/2026 a 08/03/2026 - PIX: CNPJ - CHAVE: 33.412.676/0001-41"</f>
        <v>Serv.Prest. 02/03/2026 a 08/03/2026 - PIX: CNPJ - CHAVE: 33.412.676/0001-41</v>
      </c>
      <c r="I3623" t="str">
        <f t="shared" si="642"/>
        <v>19/03/2026</v>
      </c>
      <c r="J3623" t="str">
        <f t="shared" si="646"/>
        <v>10/03/2026</v>
      </c>
      <c r="K3623" t="str">
        <f>("19/03/2026")</f>
        <v>19/03/2026</v>
      </c>
      <c r="L3623">
        <v>1122</v>
      </c>
      <c r="M3623">
        <v>1122</v>
      </c>
      <c r="N3623">
        <v>109</v>
      </c>
      <c r="O3623" t="str">
        <f>"PAGAMENTO DE ENTREGADORES"</f>
        <v>PAGAMENTO DE ENTREGADORES</v>
      </c>
      <c r="P3623">
        <v>1122</v>
      </c>
      <c r="S3623" t="str">
        <f>"BANCO C6 (149)"</f>
        <v>BANCO C6 (149)</v>
      </c>
      <c r="T3623">
        <v>31487</v>
      </c>
      <c r="U3623">
        <v>34516</v>
      </c>
      <c r="V3623" t="s">
        <v>37</v>
      </c>
    </row>
    <row r="3624" spans="1:22">
      <c r="A3624" t="str">
        <f t="shared" si="644"/>
        <v>19/03/2026</v>
      </c>
      <c r="B3624" t="str">
        <f t="shared" si="640"/>
        <v>SAÍDA</v>
      </c>
      <c r="C3624" t="str">
        <f t="shared" si="641"/>
        <v>PIX</v>
      </c>
      <c r="D3624" t="str">
        <f>"34516"</f>
        <v>34516</v>
      </c>
      <c r="E3624" t="str">
        <f t="shared" si="645"/>
        <v>1</v>
      </c>
      <c r="F3624" t="str">
        <f t="shared" si="647"/>
        <v>COM</v>
      </c>
      <c r="G3624" t="str">
        <f>"MOABIO AZEVEDO DOS SANTOS (131)"</f>
        <v>MOABIO AZEVEDO DOS SANTOS (131)</v>
      </c>
      <c r="H3624" t="s">
        <v>896</v>
      </c>
      <c r="I3624" t="str">
        <f t="shared" si="642"/>
        <v>19/03/2026</v>
      </c>
      <c r="J3624" t="str">
        <f t="shared" si="646"/>
        <v>10/03/2026</v>
      </c>
      <c r="K3624">
        <v>46100</v>
      </c>
      <c r="N3624">
        <v>109</v>
      </c>
      <c r="O3624" t="s">
        <v>27</v>
      </c>
      <c r="Q3624">
        <v>1122</v>
      </c>
      <c r="R3624" t="str">
        <f>"FARMÁCIA INDIANA LJ 91 (10037)"</f>
        <v>FARMÁCIA INDIANA LJ 91 (10037)</v>
      </c>
      <c r="S3624" t="s">
        <v>37</v>
      </c>
      <c r="T3624">
        <v>31487</v>
      </c>
      <c r="U3624">
        <v>34516</v>
      </c>
      <c r="V3624" t="s">
        <v>37</v>
      </c>
    </row>
    <row r="3625" spans="1:22">
      <c r="A3625" t="str">
        <f t="shared" si="644"/>
        <v>19/03/2026</v>
      </c>
      <c r="B3625" t="str">
        <f t="shared" ref="B3625:B3688" si="648">"SAÍDA"</f>
        <v>SAÍDA</v>
      </c>
      <c r="C3625" t="str">
        <f t="shared" ref="C3625:C3688" si="649">"PIX"</f>
        <v>PIX</v>
      </c>
      <c r="D3625" t="str">
        <f>"34517"</f>
        <v>34517</v>
      </c>
      <c r="E3625" t="str">
        <f t="shared" si="645"/>
        <v>1</v>
      </c>
      <c r="F3625" t="str">
        <f t="shared" si="647"/>
        <v>COM</v>
      </c>
      <c r="G3625" t="str">
        <f>"OSVALDO DOS SANTOS (163)"</f>
        <v>OSVALDO DOS SANTOS (163)</v>
      </c>
      <c r="H3625" t="str">
        <f>"Serv.Prest. 02/03/2026 a 08/03/2026 - PIX: CELULAR - CHAVE: (73) 99977-2721"</f>
        <v>Serv.Prest. 02/03/2026 a 08/03/2026 - PIX: CELULAR - CHAVE: (73) 99977-2721</v>
      </c>
      <c r="I3625" t="str">
        <f t="shared" ref="I3625:I3688" si="650">("19/03/2026")</f>
        <v>19/03/2026</v>
      </c>
      <c r="J3625" t="str">
        <f t="shared" si="646"/>
        <v>10/03/2026</v>
      </c>
      <c r="K3625" t="str">
        <f>("19/03/2026")</f>
        <v>19/03/2026</v>
      </c>
      <c r="L3625">
        <v>580</v>
      </c>
      <c r="M3625">
        <v>580</v>
      </c>
      <c r="N3625">
        <v>109</v>
      </c>
      <c r="O3625" t="str">
        <f>"PAGAMENTO DE ENTREGADORES"</f>
        <v>PAGAMENTO DE ENTREGADORES</v>
      </c>
      <c r="P3625">
        <v>580</v>
      </c>
      <c r="S3625" t="str">
        <f>"BANCO C6 (149)"</f>
        <v>BANCO C6 (149)</v>
      </c>
      <c r="T3625">
        <v>31488</v>
      </c>
      <c r="U3625">
        <v>34517</v>
      </c>
      <c r="V3625" t="s">
        <v>37</v>
      </c>
    </row>
    <row r="3626" spans="1:22">
      <c r="A3626" t="str">
        <f t="shared" si="644"/>
        <v>19/03/2026</v>
      </c>
      <c r="B3626" t="str">
        <f t="shared" si="648"/>
        <v>SAÍDA</v>
      </c>
      <c r="C3626" t="str">
        <f t="shared" si="649"/>
        <v>PIX</v>
      </c>
      <c r="D3626" t="str">
        <f>"34517"</f>
        <v>34517</v>
      </c>
      <c r="E3626" t="str">
        <f t="shared" si="645"/>
        <v>1</v>
      </c>
      <c r="F3626" t="str">
        <f t="shared" si="647"/>
        <v>COM</v>
      </c>
      <c r="G3626" t="str">
        <f>"OSVALDO DOS SANTOS (163)"</f>
        <v>OSVALDO DOS SANTOS (163)</v>
      </c>
      <c r="H3626" t="s">
        <v>862</v>
      </c>
      <c r="I3626" t="str">
        <f t="shared" si="650"/>
        <v>19/03/2026</v>
      </c>
      <c r="J3626" t="str">
        <f t="shared" si="646"/>
        <v>10/03/2026</v>
      </c>
      <c r="K3626">
        <v>46100</v>
      </c>
      <c r="N3626">
        <v>109</v>
      </c>
      <c r="O3626" t="s">
        <v>27</v>
      </c>
      <c r="Q3626">
        <v>580</v>
      </c>
      <c r="R3626" t="str">
        <f>"FARMÁCIA INDIANA LJ 35 (10015)"</f>
        <v>FARMÁCIA INDIANA LJ 35 (10015)</v>
      </c>
      <c r="S3626" t="s">
        <v>37</v>
      </c>
      <c r="T3626">
        <v>31488</v>
      </c>
      <c r="U3626">
        <v>34517</v>
      </c>
      <c r="V3626" t="s">
        <v>37</v>
      </c>
    </row>
    <row r="3627" spans="1:22">
      <c r="A3627" t="str">
        <f t="shared" si="644"/>
        <v>19/03/2026</v>
      </c>
      <c r="B3627" t="str">
        <f t="shared" si="648"/>
        <v>SAÍDA</v>
      </c>
      <c r="C3627" t="str">
        <f t="shared" si="649"/>
        <v>PIX</v>
      </c>
      <c r="D3627" t="str">
        <f>"34521"</f>
        <v>34521</v>
      </c>
      <c r="E3627" t="str">
        <f t="shared" si="645"/>
        <v>1</v>
      </c>
      <c r="F3627" t="str">
        <f t="shared" si="647"/>
        <v>COM</v>
      </c>
      <c r="G3627" t="str">
        <f>"TALLES SILVA GUIMARAES (1098)"</f>
        <v>TALLES SILVA GUIMARAES (1098)</v>
      </c>
      <c r="H3627" t="str">
        <f>"Serv.Prest. 02/03/2026 a 08/03/2026 - PIX: CPF - CHAVE: 072.209.985-11"</f>
        <v>Serv.Prest. 02/03/2026 a 08/03/2026 - PIX: CPF - CHAVE: 072.209.985-11</v>
      </c>
      <c r="I3627" t="str">
        <f t="shared" si="650"/>
        <v>19/03/2026</v>
      </c>
      <c r="J3627" t="str">
        <f t="shared" si="646"/>
        <v>10/03/2026</v>
      </c>
      <c r="K3627" t="str">
        <f>("19/03/2026")</f>
        <v>19/03/2026</v>
      </c>
      <c r="L3627">
        <v>600</v>
      </c>
      <c r="M3627">
        <v>600</v>
      </c>
      <c r="N3627">
        <v>109</v>
      </c>
      <c r="O3627" t="str">
        <f>"PAGAMENTO DE ENTREGADORES"</f>
        <v>PAGAMENTO DE ENTREGADORES</v>
      </c>
      <c r="P3627">
        <v>600</v>
      </c>
      <c r="S3627" t="str">
        <f>"BANCO C6 (149)"</f>
        <v>BANCO C6 (149)</v>
      </c>
      <c r="T3627">
        <v>31489</v>
      </c>
      <c r="U3627">
        <v>34521</v>
      </c>
      <c r="V3627" t="s">
        <v>37</v>
      </c>
    </row>
    <row r="3628" spans="1:22">
      <c r="A3628" t="str">
        <f t="shared" si="644"/>
        <v>19/03/2026</v>
      </c>
      <c r="B3628" t="str">
        <f t="shared" si="648"/>
        <v>SAÍDA</v>
      </c>
      <c r="C3628" t="str">
        <f t="shared" si="649"/>
        <v>PIX</v>
      </c>
      <c r="D3628" t="str">
        <f>"34521"</f>
        <v>34521</v>
      </c>
      <c r="E3628" t="str">
        <f t="shared" si="645"/>
        <v>1</v>
      </c>
      <c r="F3628" t="str">
        <f t="shared" si="647"/>
        <v>COM</v>
      </c>
      <c r="G3628" t="str">
        <f>"TALLES SILVA GUIMARAES (1098)"</f>
        <v>TALLES SILVA GUIMARAES (1098)</v>
      </c>
      <c r="H3628" t="s">
        <v>1030</v>
      </c>
      <c r="I3628" t="str">
        <f t="shared" si="650"/>
        <v>19/03/2026</v>
      </c>
      <c r="J3628" t="str">
        <f t="shared" si="646"/>
        <v>10/03/2026</v>
      </c>
      <c r="K3628">
        <v>46100</v>
      </c>
      <c r="N3628">
        <v>109</v>
      </c>
      <c r="O3628" t="s">
        <v>27</v>
      </c>
      <c r="Q3628">
        <v>600</v>
      </c>
      <c r="R3628" t="str">
        <f>"FARMÁCIA INDIANA LJ 213 (10090)"</f>
        <v>FARMÁCIA INDIANA LJ 213 (10090)</v>
      </c>
      <c r="S3628" t="s">
        <v>37</v>
      </c>
      <c r="T3628">
        <v>31489</v>
      </c>
      <c r="U3628">
        <v>34521</v>
      </c>
      <c r="V3628" t="s">
        <v>37</v>
      </c>
    </row>
    <row r="3629" spans="1:22">
      <c r="A3629" t="str">
        <f t="shared" si="644"/>
        <v>19/03/2026</v>
      </c>
      <c r="B3629" t="str">
        <f t="shared" si="648"/>
        <v>SAÍDA</v>
      </c>
      <c r="C3629" t="str">
        <f t="shared" si="649"/>
        <v>PIX</v>
      </c>
      <c r="D3629" t="str">
        <f>"34522"</f>
        <v>34522</v>
      </c>
      <c r="E3629" t="str">
        <f t="shared" si="645"/>
        <v>1</v>
      </c>
      <c r="F3629" t="str">
        <f t="shared" si="647"/>
        <v>COM</v>
      </c>
      <c r="G3629" t="str">
        <f>"VINICIUS SANTOS PEREIRA (633)"</f>
        <v>VINICIUS SANTOS PEREIRA (633)</v>
      </c>
      <c r="H3629" t="str">
        <f>"Serv.Prest. 02/03/2026 a 08/03/2026 - PIX: CELULAR - CHAVE: (73) 99818-9718"</f>
        <v>Serv.Prest. 02/03/2026 a 08/03/2026 - PIX: CELULAR - CHAVE: (73) 99818-9718</v>
      </c>
      <c r="I3629" t="str">
        <f t="shared" si="650"/>
        <v>19/03/2026</v>
      </c>
      <c r="J3629" t="str">
        <f t="shared" si="646"/>
        <v>10/03/2026</v>
      </c>
      <c r="K3629" t="str">
        <f>("19/03/2026")</f>
        <v>19/03/2026</v>
      </c>
      <c r="L3629">
        <v>1139</v>
      </c>
      <c r="M3629">
        <v>1139</v>
      </c>
      <c r="N3629">
        <v>109</v>
      </c>
      <c r="O3629" t="str">
        <f>"PAGAMENTO DE ENTREGADORES"</f>
        <v>PAGAMENTO DE ENTREGADORES</v>
      </c>
      <c r="P3629">
        <v>1139</v>
      </c>
      <c r="S3629" t="str">
        <f>"BANCO C6 (149)"</f>
        <v>BANCO C6 (149)</v>
      </c>
      <c r="T3629">
        <v>31490</v>
      </c>
      <c r="U3629">
        <v>34522</v>
      </c>
      <c r="V3629" t="s">
        <v>37</v>
      </c>
    </row>
    <row r="3630" spans="1:22">
      <c r="A3630" t="str">
        <f t="shared" si="644"/>
        <v>19/03/2026</v>
      </c>
      <c r="B3630" t="str">
        <f t="shared" si="648"/>
        <v>SAÍDA</v>
      </c>
      <c r="C3630" t="str">
        <f t="shared" si="649"/>
        <v>PIX</v>
      </c>
      <c r="D3630" t="str">
        <f>"34522"</f>
        <v>34522</v>
      </c>
      <c r="E3630" t="str">
        <f t="shared" si="645"/>
        <v>1</v>
      </c>
      <c r="F3630" t="str">
        <f t="shared" si="647"/>
        <v>COM</v>
      </c>
      <c r="G3630" t="str">
        <f>"VINICIUS SANTOS PEREIRA (633)"</f>
        <v>VINICIUS SANTOS PEREIRA (633)</v>
      </c>
      <c r="H3630" t="s">
        <v>1031</v>
      </c>
      <c r="I3630" t="str">
        <f t="shared" si="650"/>
        <v>19/03/2026</v>
      </c>
      <c r="J3630" t="str">
        <f t="shared" si="646"/>
        <v>10/03/2026</v>
      </c>
      <c r="K3630">
        <v>46100</v>
      </c>
      <c r="N3630">
        <v>109</v>
      </c>
      <c r="O3630" t="s">
        <v>27</v>
      </c>
      <c r="Q3630">
        <v>1139</v>
      </c>
      <c r="R3630" t="str">
        <f>"FARMÁCIA INDIANA LJ 95 (10039)"</f>
        <v>FARMÁCIA INDIANA LJ 95 (10039)</v>
      </c>
      <c r="S3630" t="s">
        <v>37</v>
      </c>
      <c r="T3630">
        <v>31490</v>
      </c>
      <c r="U3630">
        <v>34522</v>
      </c>
      <c r="V3630" t="s">
        <v>37</v>
      </c>
    </row>
    <row r="3631" spans="1:22">
      <c r="A3631" t="str">
        <f t="shared" si="644"/>
        <v>19/03/2026</v>
      </c>
      <c r="B3631" t="str">
        <f t="shared" si="648"/>
        <v>SAÍDA</v>
      </c>
      <c r="C3631" t="str">
        <f t="shared" si="649"/>
        <v>PIX</v>
      </c>
      <c r="D3631" t="str">
        <f>"34523"</f>
        <v>34523</v>
      </c>
      <c r="E3631" t="str">
        <f t="shared" si="645"/>
        <v>1</v>
      </c>
      <c r="F3631" t="str">
        <f t="shared" si="647"/>
        <v>COM</v>
      </c>
      <c r="G3631" t="str">
        <f>"WESLEI GONÇALVES SANTOS (154)"</f>
        <v>WESLEI GONÇALVES SANTOS (154)</v>
      </c>
      <c r="H3631" t="str">
        <f>"Serv.Prest. 02/03/2026 a 08/03/2026 - PIX: CPF - CHAVE: 079.068.045-97"</f>
        <v>Serv.Prest. 02/03/2026 a 08/03/2026 - PIX: CPF - CHAVE: 079.068.045-97</v>
      </c>
      <c r="I3631" t="str">
        <f t="shared" si="650"/>
        <v>19/03/2026</v>
      </c>
      <c r="J3631" t="str">
        <f t="shared" si="646"/>
        <v>10/03/2026</v>
      </c>
      <c r="K3631" t="str">
        <f>("19/03/2026")</f>
        <v>19/03/2026</v>
      </c>
      <c r="L3631">
        <v>600.66</v>
      </c>
      <c r="M3631">
        <v>600.66</v>
      </c>
      <c r="N3631">
        <v>109</v>
      </c>
      <c r="O3631" t="str">
        <f>"PAGAMENTO DE ENTREGADORES"</f>
        <v>PAGAMENTO DE ENTREGADORES</v>
      </c>
      <c r="P3631">
        <v>600.66</v>
      </c>
      <c r="S3631" t="str">
        <f>"BANCO C6 (149)"</f>
        <v>BANCO C6 (149)</v>
      </c>
      <c r="T3631">
        <v>31491</v>
      </c>
      <c r="U3631">
        <v>34523</v>
      </c>
      <c r="V3631" t="s">
        <v>37</v>
      </c>
    </row>
    <row r="3632" spans="1:22">
      <c r="A3632" t="str">
        <f t="shared" ref="A3632:A3695" si="651">("19/03/2026")</f>
        <v>19/03/2026</v>
      </c>
      <c r="B3632" t="str">
        <f t="shared" si="648"/>
        <v>SAÍDA</v>
      </c>
      <c r="C3632" t="str">
        <f t="shared" si="649"/>
        <v>PIX</v>
      </c>
      <c r="D3632" t="str">
        <f>"34523"</f>
        <v>34523</v>
      </c>
      <c r="E3632" t="str">
        <f t="shared" si="645"/>
        <v>1</v>
      </c>
      <c r="F3632" t="str">
        <f t="shared" si="647"/>
        <v>COM</v>
      </c>
      <c r="G3632" t="str">
        <f>"WESLEI GONÇALVES SANTOS (154)"</f>
        <v>WESLEI GONÇALVES SANTOS (154)</v>
      </c>
      <c r="H3632" t="s">
        <v>1032</v>
      </c>
      <c r="I3632" t="str">
        <f t="shared" si="650"/>
        <v>19/03/2026</v>
      </c>
      <c r="J3632" t="str">
        <f t="shared" si="646"/>
        <v>10/03/2026</v>
      </c>
      <c r="K3632">
        <v>46100</v>
      </c>
      <c r="N3632">
        <v>109</v>
      </c>
      <c r="O3632" t="s">
        <v>27</v>
      </c>
      <c r="Q3632">
        <v>600.66</v>
      </c>
      <c r="R3632" t="str">
        <f>"FARMÁCIA INDIANA LJ 34 (10014)"</f>
        <v>FARMÁCIA INDIANA LJ 34 (10014)</v>
      </c>
      <c r="S3632" t="s">
        <v>37</v>
      </c>
      <c r="T3632">
        <v>31491</v>
      </c>
      <c r="U3632">
        <v>34523</v>
      </c>
      <c r="V3632" t="s">
        <v>37</v>
      </c>
    </row>
    <row r="3633" spans="1:22">
      <c r="A3633" t="str">
        <f t="shared" si="651"/>
        <v>19/03/2026</v>
      </c>
      <c r="B3633" t="str">
        <f t="shared" si="648"/>
        <v>SAÍDA</v>
      </c>
      <c r="C3633" t="str">
        <f t="shared" si="649"/>
        <v>PIX</v>
      </c>
      <c r="D3633" t="str">
        <f>"34524"</f>
        <v>34524</v>
      </c>
      <c r="E3633" t="str">
        <f t="shared" si="645"/>
        <v>1</v>
      </c>
      <c r="F3633" t="str">
        <f t="shared" si="647"/>
        <v>COM</v>
      </c>
      <c r="G3633" t="str">
        <f>"YAN BRENDO CORREIA VIEIRA (861)"</f>
        <v>YAN BRENDO CORREIA VIEIRA (861)</v>
      </c>
      <c r="H3633" t="str">
        <f>"Serv.Prest. 02/03/2026 a 08/03/2026 - PIX: CPF - CHAVE: 096.891.935-97"</f>
        <v>Serv.Prest. 02/03/2026 a 08/03/2026 - PIX: CPF - CHAVE: 096.891.935-97</v>
      </c>
      <c r="I3633" t="str">
        <f t="shared" si="650"/>
        <v>19/03/2026</v>
      </c>
      <c r="J3633" t="str">
        <f t="shared" si="646"/>
        <v>10/03/2026</v>
      </c>
      <c r="K3633" t="str">
        <f>("19/03/2026")</f>
        <v>19/03/2026</v>
      </c>
      <c r="L3633">
        <v>800</v>
      </c>
      <c r="M3633">
        <v>800</v>
      </c>
      <c r="N3633">
        <v>109</v>
      </c>
      <c r="O3633" t="str">
        <f>"PAGAMENTO DE ENTREGADORES"</f>
        <v>PAGAMENTO DE ENTREGADORES</v>
      </c>
      <c r="P3633">
        <v>800</v>
      </c>
      <c r="S3633" t="str">
        <f>"BANCO C6 (149)"</f>
        <v>BANCO C6 (149)</v>
      </c>
      <c r="T3633">
        <v>31492</v>
      </c>
      <c r="U3633">
        <v>34524</v>
      </c>
      <c r="V3633" t="s">
        <v>37</v>
      </c>
    </row>
    <row r="3634" spans="1:22">
      <c r="A3634" t="str">
        <f t="shared" si="651"/>
        <v>19/03/2026</v>
      </c>
      <c r="B3634" t="str">
        <f t="shared" si="648"/>
        <v>SAÍDA</v>
      </c>
      <c r="C3634" t="str">
        <f t="shared" si="649"/>
        <v>PIX</v>
      </c>
      <c r="D3634" t="str">
        <f>"34524"</f>
        <v>34524</v>
      </c>
      <c r="E3634" t="str">
        <f t="shared" si="645"/>
        <v>1</v>
      </c>
      <c r="F3634" t="str">
        <f t="shared" si="647"/>
        <v>COM</v>
      </c>
      <c r="G3634" t="str">
        <f>"YAN BRENDO CORREIA VIEIRA (861)"</f>
        <v>YAN BRENDO CORREIA VIEIRA (861)</v>
      </c>
      <c r="H3634" t="s">
        <v>1033</v>
      </c>
      <c r="I3634" t="str">
        <f t="shared" si="650"/>
        <v>19/03/2026</v>
      </c>
      <c r="J3634" t="str">
        <f t="shared" si="646"/>
        <v>10/03/2026</v>
      </c>
      <c r="K3634">
        <v>46100</v>
      </c>
      <c r="N3634">
        <v>109</v>
      </c>
      <c r="O3634" t="s">
        <v>27</v>
      </c>
      <c r="Q3634">
        <v>800</v>
      </c>
      <c r="R3634" t="str">
        <f>"FARMÁCIA INDIANA LJ 200 (10155)"</f>
        <v>FARMÁCIA INDIANA LJ 200 (10155)</v>
      </c>
      <c r="S3634" t="s">
        <v>37</v>
      </c>
      <c r="T3634">
        <v>31492</v>
      </c>
      <c r="U3634">
        <v>34524</v>
      </c>
      <c r="V3634" t="s">
        <v>37</v>
      </c>
    </row>
    <row r="3635" spans="1:22">
      <c r="A3635" t="str">
        <f t="shared" si="651"/>
        <v>19/03/2026</v>
      </c>
      <c r="B3635" t="str">
        <f t="shared" si="648"/>
        <v>SAÍDA</v>
      </c>
      <c r="C3635" t="str">
        <f t="shared" si="649"/>
        <v>PIX</v>
      </c>
      <c r="D3635" t="str">
        <f>"34537"</f>
        <v>34537</v>
      </c>
      <c r="E3635" t="str">
        <f t="shared" si="645"/>
        <v>1</v>
      </c>
      <c r="F3635" t="str">
        <f t="shared" si="647"/>
        <v>COM</v>
      </c>
      <c r="G3635" t="str">
        <f>"ANISSO ANIDAL DE PAULA (161)"</f>
        <v>ANISSO ANIDAL DE PAULA (161)</v>
      </c>
      <c r="H3635" t="str">
        <f>"Serv.Prest. 02/03/2026 a 08/03/2026 - PIX: CELULAR - CHAVE: (31) 98556-3149"</f>
        <v>Serv.Prest. 02/03/2026 a 08/03/2026 - PIX: CELULAR - CHAVE: (31) 98556-3149</v>
      </c>
      <c r="I3635" t="str">
        <f t="shared" si="650"/>
        <v>19/03/2026</v>
      </c>
      <c r="J3635" t="str">
        <f t="shared" si="646"/>
        <v>10/03/2026</v>
      </c>
      <c r="K3635" t="str">
        <f>("19/03/2026")</f>
        <v>19/03/2026</v>
      </c>
      <c r="L3635">
        <v>1044</v>
      </c>
      <c r="M3635">
        <v>1044</v>
      </c>
      <c r="N3635">
        <v>109</v>
      </c>
      <c r="O3635" t="str">
        <f>"PAGAMENTO DE ENTREGADORES"</f>
        <v>PAGAMENTO DE ENTREGADORES</v>
      </c>
      <c r="P3635">
        <v>1044</v>
      </c>
      <c r="S3635" t="str">
        <f>"BANCO C6 (149)"</f>
        <v>BANCO C6 (149)</v>
      </c>
      <c r="T3635">
        <v>31493</v>
      </c>
      <c r="U3635">
        <v>34537</v>
      </c>
      <c r="V3635" t="s">
        <v>37</v>
      </c>
    </row>
    <row r="3636" spans="1:22">
      <c r="A3636" t="str">
        <f t="shared" si="651"/>
        <v>19/03/2026</v>
      </c>
      <c r="B3636" t="str">
        <f t="shared" si="648"/>
        <v>SAÍDA</v>
      </c>
      <c r="C3636" t="str">
        <f t="shared" si="649"/>
        <v>PIX</v>
      </c>
      <c r="D3636" t="str">
        <f>"34537"</f>
        <v>34537</v>
      </c>
      <c r="E3636" t="str">
        <f t="shared" si="645"/>
        <v>1</v>
      </c>
      <c r="F3636" t="str">
        <f t="shared" si="647"/>
        <v>COM</v>
      </c>
      <c r="G3636" t="str">
        <f>"ANISSO ANIDAL DE PAULA (161)"</f>
        <v>ANISSO ANIDAL DE PAULA (161)</v>
      </c>
      <c r="H3636" t="s">
        <v>920</v>
      </c>
      <c r="I3636" t="str">
        <f t="shared" si="650"/>
        <v>19/03/2026</v>
      </c>
      <c r="J3636" t="str">
        <f t="shared" si="646"/>
        <v>10/03/2026</v>
      </c>
      <c r="K3636">
        <v>46100</v>
      </c>
      <c r="N3636">
        <v>109</v>
      </c>
      <c r="O3636" t="s">
        <v>27</v>
      </c>
      <c r="Q3636">
        <v>1044</v>
      </c>
      <c r="R3636" t="str">
        <f>"FARMÁCIA INDIANA LJ 18 (10011)"</f>
        <v>FARMÁCIA INDIANA LJ 18 (10011)</v>
      </c>
      <c r="S3636" t="s">
        <v>37</v>
      </c>
      <c r="T3636">
        <v>31493</v>
      </c>
      <c r="U3636">
        <v>34537</v>
      </c>
      <c r="V3636" t="s">
        <v>37</v>
      </c>
    </row>
    <row r="3637" spans="1:22">
      <c r="A3637" t="str">
        <f t="shared" si="651"/>
        <v>19/03/2026</v>
      </c>
      <c r="B3637" t="str">
        <f t="shared" si="648"/>
        <v>SAÍDA</v>
      </c>
      <c r="C3637" t="str">
        <f t="shared" si="649"/>
        <v>PIX</v>
      </c>
      <c r="D3637" t="str">
        <f>"34538"</f>
        <v>34538</v>
      </c>
      <c r="E3637" t="str">
        <f t="shared" si="645"/>
        <v>1</v>
      </c>
      <c r="F3637" t="str">
        <f t="shared" si="647"/>
        <v>COM</v>
      </c>
      <c r="G3637" t="str">
        <f>"ANISSO ANIDAL DE PAULA (161)"</f>
        <v>ANISSO ANIDAL DE PAULA (161)</v>
      </c>
      <c r="H3637" t="str">
        <f>"Serv.Prest. 02/03/2026 a 08/03/2026 - PIX: CELULAR - CHAVE: (31) 98556-3149"</f>
        <v>Serv.Prest. 02/03/2026 a 08/03/2026 - PIX: CELULAR - CHAVE: (31) 98556-3149</v>
      </c>
      <c r="I3637" t="str">
        <f t="shared" si="650"/>
        <v>19/03/2026</v>
      </c>
      <c r="J3637" t="str">
        <f t="shared" si="646"/>
        <v>10/03/2026</v>
      </c>
      <c r="K3637" t="str">
        <f>("19/03/2026")</f>
        <v>19/03/2026</v>
      </c>
      <c r="L3637">
        <v>120</v>
      </c>
      <c r="M3637">
        <v>120</v>
      </c>
      <c r="N3637">
        <v>109</v>
      </c>
      <c r="O3637" t="str">
        <f>"PAGAMENTO DE ENTREGADORES"</f>
        <v>PAGAMENTO DE ENTREGADORES</v>
      </c>
      <c r="P3637">
        <v>120</v>
      </c>
      <c r="S3637" t="str">
        <f>"BANCO C6 (149)"</f>
        <v>BANCO C6 (149)</v>
      </c>
      <c r="T3637">
        <v>31494</v>
      </c>
      <c r="U3637">
        <v>34538</v>
      </c>
      <c r="V3637" t="s">
        <v>37</v>
      </c>
    </row>
    <row r="3638" spans="1:22">
      <c r="A3638" t="str">
        <f t="shared" si="651"/>
        <v>19/03/2026</v>
      </c>
      <c r="B3638" t="str">
        <f t="shared" si="648"/>
        <v>SAÍDA</v>
      </c>
      <c r="C3638" t="str">
        <f t="shared" si="649"/>
        <v>PIX</v>
      </c>
      <c r="D3638" t="str">
        <f>"34538"</f>
        <v>34538</v>
      </c>
      <c r="E3638" t="str">
        <f t="shared" si="645"/>
        <v>1</v>
      </c>
      <c r="F3638" t="str">
        <f t="shared" si="647"/>
        <v>COM</v>
      </c>
      <c r="G3638" t="str">
        <f>"ANISSO ANIDAL DE PAULA (161)"</f>
        <v>ANISSO ANIDAL DE PAULA (161)</v>
      </c>
      <c r="H3638" t="s">
        <v>920</v>
      </c>
      <c r="I3638" t="str">
        <f t="shared" si="650"/>
        <v>19/03/2026</v>
      </c>
      <c r="J3638" t="str">
        <f t="shared" si="646"/>
        <v>10/03/2026</v>
      </c>
      <c r="K3638">
        <v>46100</v>
      </c>
      <c r="N3638">
        <v>109</v>
      </c>
      <c r="O3638" t="s">
        <v>27</v>
      </c>
      <c r="Q3638">
        <v>120</v>
      </c>
      <c r="R3638" t="str">
        <f>"FARMÁCIA INDIANA LJ 19 (10012)"</f>
        <v>FARMÁCIA INDIANA LJ 19 (10012)</v>
      </c>
      <c r="S3638" t="s">
        <v>37</v>
      </c>
      <c r="T3638">
        <v>31494</v>
      </c>
      <c r="U3638">
        <v>34538</v>
      </c>
      <c r="V3638" t="s">
        <v>37</v>
      </c>
    </row>
    <row r="3639" spans="1:22">
      <c r="A3639" t="str">
        <f t="shared" si="651"/>
        <v>19/03/2026</v>
      </c>
      <c r="B3639" t="str">
        <f t="shared" si="648"/>
        <v>SAÍDA</v>
      </c>
      <c r="C3639" t="str">
        <f t="shared" si="649"/>
        <v>PIX</v>
      </c>
      <c r="D3639" t="str">
        <f>"34539"</f>
        <v>34539</v>
      </c>
      <c r="E3639" t="str">
        <f t="shared" ref="E3639:E3702" si="652">"1"</f>
        <v>1</v>
      </c>
      <c r="F3639" t="str">
        <f t="shared" si="647"/>
        <v>COM</v>
      </c>
      <c r="G3639" t="str">
        <f>"ANTONIO CARLOS GOMES DE SOUZA (1103)"</f>
        <v>ANTONIO CARLOS GOMES DE SOUZA (1103)</v>
      </c>
      <c r="H3639" t="str">
        <f>"Serv.Prest. 02/03/2026 a 08/03/2026 - PIX: CELULAR - CHAVE: (33) 99861-2274"</f>
        <v>Serv.Prest. 02/03/2026 a 08/03/2026 - PIX: CELULAR - CHAVE: (33) 99861-2274</v>
      </c>
      <c r="I3639" t="str">
        <f t="shared" si="650"/>
        <v>19/03/2026</v>
      </c>
      <c r="J3639" t="str">
        <f t="shared" si="646"/>
        <v>10/03/2026</v>
      </c>
      <c r="K3639" t="str">
        <f>("19/03/2026")</f>
        <v>19/03/2026</v>
      </c>
      <c r="L3639">
        <v>420</v>
      </c>
      <c r="M3639">
        <v>420</v>
      </c>
      <c r="N3639">
        <v>109</v>
      </c>
      <c r="O3639" t="str">
        <f>"PAGAMENTO DE ENTREGADORES"</f>
        <v>PAGAMENTO DE ENTREGADORES</v>
      </c>
      <c r="P3639">
        <v>420</v>
      </c>
      <c r="S3639" t="str">
        <f>"BANCO C6 (149)"</f>
        <v>BANCO C6 (149)</v>
      </c>
      <c r="T3639">
        <v>31495</v>
      </c>
      <c r="U3639">
        <v>34539</v>
      </c>
      <c r="V3639" t="s">
        <v>37</v>
      </c>
    </row>
    <row r="3640" spans="1:22">
      <c r="A3640" t="str">
        <f t="shared" si="651"/>
        <v>19/03/2026</v>
      </c>
      <c r="B3640" t="str">
        <f t="shared" si="648"/>
        <v>SAÍDA</v>
      </c>
      <c r="C3640" t="str">
        <f t="shared" si="649"/>
        <v>PIX</v>
      </c>
      <c r="D3640" t="str">
        <f>"34539"</f>
        <v>34539</v>
      </c>
      <c r="E3640" t="str">
        <f t="shared" si="652"/>
        <v>1</v>
      </c>
      <c r="F3640" t="str">
        <f t="shared" si="647"/>
        <v>COM</v>
      </c>
      <c r="G3640" t="str">
        <f>"ANTONIO CARLOS GOMES DE SOUZA (1103)"</f>
        <v>ANTONIO CARLOS GOMES DE SOUZA (1103)</v>
      </c>
      <c r="H3640" t="s">
        <v>1034</v>
      </c>
      <c r="I3640" t="str">
        <f t="shared" si="650"/>
        <v>19/03/2026</v>
      </c>
      <c r="J3640" t="str">
        <f t="shared" si="646"/>
        <v>10/03/2026</v>
      </c>
      <c r="K3640">
        <v>46100</v>
      </c>
      <c r="N3640">
        <v>109</v>
      </c>
      <c r="O3640" t="s">
        <v>27</v>
      </c>
      <c r="Q3640">
        <v>420</v>
      </c>
      <c r="R3640" t="str">
        <f>"FARMÁCIA INDIANA LJ 07 (10007)"</f>
        <v>FARMÁCIA INDIANA LJ 07 (10007)</v>
      </c>
      <c r="S3640" t="s">
        <v>37</v>
      </c>
      <c r="T3640">
        <v>31495</v>
      </c>
      <c r="U3640">
        <v>34539</v>
      </c>
      <c r="V3640" t="s">
        <v>37</v>
      </c>
    </row>
    <row r="3641" spans="1:22">
      <c r="A3641" t="str">
        <f t="shared" si="651"/>
        <v>19/03/2026</v>
      </c>
      <c r="B3641" t="str">
        <f t="shared" si="648"/>
        <v>SAÍDA</v>
      </c>
      <c r="C3641" t="str">
        <f t="shared" si="649"/>
        <v>PIX</v>
      </c>
      <c r="D3641" t="str">
        <f>"34540"</f>
        <v>34540</v>
      </c>
      <c r="E3641" t="str">
        <f t="shared" si="652"/>
        <v>1</v>
      </c>
      <c r="F3641" t="str">
        <f t="shared" si="647"/>
        <v>COM</v>
      </c>
      <c r="G3641" t="str">
        <f>"ARLINDO JOSE MARTINS (909)"</f>
        <v>ARLINDO JOSE MARTINS (909)</v>
      </c>
      <c r="H3641" t="str">
        <f>"Serv.Prest. 02/03/2026 a 08/03/2026 - PIX: CPF - CHAVE: 037.192.076-09"</f>
        <v>Serv.Prest. 02/03/2026 a 08/03/2026 - PIX: CPF - CHAVE: 037.192.076-09</v>
      </c>
      <c r="I3641" t="str">
        <f t="shared" si="650"/>
        <v>19/03/2026</v>
      </c>
      <c r="J3641" t="str">
        <f t="shared" si="646"/>
        <v>10/03/2026</v>
      </c>
      <c r="K3641" t="str">
        <f>("19/03/2026")</f>
        <v>19/03/2026</v>
      </c>
      <c r="L3641">
        <v>803</v>
      </c>
      <c r="M3641">
        <v>803</v>
      </c>
      <c r="N3641">
        <v>109</v>
      </c>
      <c r="O3641" t="str">
        <f>"PAGAMENTO DE ENTREGADORES"</f>
        <v>PAGAMENTO DE ENTREGADORES</v>
      </c>
      <c r="P3641">
        <v>803</v>
      </c>
      <c r="S3641" t="str">
        <f>"BANCO C6 (149)"</f>
        <v>BANCO C6 (149)</v>
      </c>
      <c r="T3641">
        <v>31496</v>
      </c>
      <c r="U3641">
        <v>34540</v>
      </c>
      <c r="V3641" t="s">
        <v>37</v>
      </c>
    </row>
    <row r="3642" spans="1:22">
      <c r="A3642" t="str">
        <f t="shared" si="651"/>
        <v>19/03/2026</v>
      </c>
      <c r="B3642" t="str">
        <f t="shared" si="648"/>
        <v>SAÍDA</v>
      </c>
      <c r="C3642" t="str">
        <f t="shared" si="649"/>
        <v>PIX</v>
      </c>
      <c r="D3642" t="str">
        <f>"34540"</f>
        <v>34540</v>
      </c>
      <c r="E3642" t="str">
        <f t="shared" si="652"/>
        <v>1</v>
      </c>
      <c r="F3642" t="str">
        <f t="shared" si="647"/>
        <v>COM</v>
      </c>
      <c r="G3642" t="str">
        <f>"ARLINDO JOSE MARTINS (909)"</f>
        <v>ARLINDO JOSE MARTINS (909)</v>
      </c>
      <c r="H3642" t="s">
        <v>1035</v>
      </c>
      <c r="I3642" t="str">
        <f t="shared" si="650"/>
        <v>19/03/2026</v>
      </c>
      <c r="J3642" t="str">
        <f t="shared" si="646"/>
        <v>10/03/2026</v>
      </c>
      <c r="K3642">
        <v>46100</v>
      </c>
      <c r="N3642">
        <v>109</v>
      </c>
      <c r="O3642" t="s">
        <v>27</v>
      </c>
      <c r="Q3642">
        <v>803</v>
      </c>
      <c r="R3642" t="str">
        <f>"FARMÁCIA INDIANA LJ 185 (10141)"</f>
        <v>FARMÁCIA INDIANA LJ 185 (10141)</v>
      </c>
      <c r="S3642" t="s">
        <v>37</v>
      </c>
      <c r="T3642">
        <v>31496</v>
      </c>
      <c r="U3642">
        <v>34540</v>
      </c>
      <c r="V3642" t="s">
        <v>37</v>
      </c>
    </row>
    <row r="3643" spans="1:22">
      <c r="A3643" t="str">
        <f t="shared" si="651"/>
        <v>19/03/2026</v>
      </c>
      <c r="B3643" t="str">
        <f t="shared" si="648"/>
        <v>SAÍDA</v>
      </c>
      <c r="C3643" t="str">
        <f t="shared" si="649"/>
        <v>PIX</v>
      </c>
      <c r="D3643" t="str">
        <f>"34541"</f>
        <v>34541</v>
      </c>
      <c r="E3643" t="str">
        <f t="shared" si="652"/>
        <v>1</v>
      </c>
      <c r="F3643" t="str">
        <f t="shared" si="647"/>
        <v>COM</v>
      </c>
      <c r="G3643" t="str">
        <f>"ARTHUR DANTAS PACHECO (928)"</f>
        <v>ARTHUR DANTAS PACHECO (928)</v>
      </c>
      <c r="H3643" t="str">
        <f>"Serv.Prest. 02/03/2026 a 08/03/2026 - PIX: CELULAR - CHAVE: (33) 99110-6940"</f>
        <v>Serv.Prest. 02/03/2026 a 08/03/2026 - PIX: CELULAR - CHAVE: (33) 99110-6940</v>
      </c>
      <c r="I3643" t="str">
        <f t="shared" si="650"/>
        <v>19/03/2026</v>
      </c>
      <c r="J3643" t="str">
        <f t="shared" ref="J3643:J3706" si="653">("10/03/2026")</f>
        <v>10/03/2026</v>
      </c>
      <c r="K3643" t="str">
        <f>("19/03/2026")</f>
        <v>19/03/2026</v>
      </c>
      <c r="L3643">
        <v>99</v>
      </c>
      <c r="M3643">
        <v>99</v>
      </c>
      <c r="N3643">
        <v>109</v>
      </c>
      <c r="O3643" t="str">
        <f>"PAGAMENTO DE ENTREGADORES"</f>
        <v>PAGAMENTO DE ENTREGADORES</v>
      </c>
      <c r="P3643">
        <v>99</v>
      </c>
      <c r="S3643" t="str">
        <f>"BANCO C6 (149)"</f>
        <v>BANCO C6 (149)</v>
      </c>
      <c r="T3643">
        <v>31497</v>
      </c>
      <c r="U3643">
        <v>34541</v>
      </c>
      <c r="V3643" t="s">
        <v>37</v>
      </c>
    </row>
    <row r="3644" spans="1:22">
      <c r="A3644" t="str">
        <f t="shared" si="651"/>
        <v>19/03/2026</v>
      </c>
      <c r="B3644" t="str">
        <f t="shared" si="648"/>
        <v>SAÍDA</v>
      </c>
      <c r="C3644" t="str">
        <f t="shared" si="649"/>
        <v>PIX</v>
      </c>
      <c r="D3644" t="str">
        <f>"34541"</f>
        <v>34541</v>
      </c>
      <c r="E3644" t="str">
        <f t="shared" si="652"/>
        <v>1</v>
      </c>
      <c r="F3644" t="str">
        <f t="shared" si="647"/>
        <v>COM</v>
      </c>
      <c r="G3644" t="str">
        <f>"ARTHUR DANTAS PACHECO (928)"</f>
        <v>ARTHUR DANTAS PACHECO (928)</v>
      </c>
      <c r="H3644" t="s">
        <v>429</v>
      </c>
      <c r="I3644" t="str">
        <f t="shared" si="650"/>
        <v>19/03/2026</v>
      </c>
      <c r="J3644" t="str">
        <f t="shared" si="653"/>
        <v>10/03/2026</v>
      </c>
      <c r="K3644">
        <v>46100</v>
      </c>
      <c r="N3644">
        <v>109</v>
      </c>
      <c r="O3644" t="s">
        <v>27</v>
      </c>
      <c r="Q3644">
        <v>99</v>
      </c>
      <c r="R3644" t="str">
        <f>"FARMÁCIA INDIANA LJ 61 (10027)"</f>
        <v>FARMÁCIA INDIANA LJ 61 (10027)</v>
      </c>
      <c r="S3644" t="s">
        <v>37</v>
      </c>
      <c r="T3644">
        <v>31497</v>
      </c>
      <c r="U3644">
        <v>34541</v>
      </c>
      <c r="V3644" t="s">
        <v>37</v>
      </c>
    </row>
    <row r="3645" spans="1:22">
      <c r="A3645" t="str">
        <f t="shared" si="651"/>
        <v>19/03/2026</v>
      </c>
      <c r="B3645" t="str">
        <f t="shared" si="648"/>
        <v>SAÍDA</v>
      </c>
      <c r="C3645" t="str">
        <f t="shared" si="649"/>
        <v>PIX</v>
      </c>
      <c r="D3645" t="str">
        <f>"34542"</f>
        <v>34542</v>
      </c>
      <c r="E3645" t="str">
        <f t="shared" si="652"/>
        <v>1</v>
      </c>
      <c r="F3645" t="str">
        <f t="shared" si="647"/>
        <v>COM</v>
      </c>
      <c r="G3645" t="str">
        <f>"ARTHUR DANTAS PACHECO (928)"</f>
        <v>ARTHUR DANTAS PACHECO (928)</v>
      </c>
      <c r="H3645" t="str">
        <f>"Serv.Prest. 02/03/2026 a 08/03/2026 - PIX: CELULAR - CHAVE: (33) 99110-6940"</f>
        <v>Serv.Prest. 02/03/2026 a 08/03/2026 - PIX: CELULAR - CHAVE: (33) 99110-6940</v>
      </c>
      <c r="I3645" t="str">
        <f t="shared" si="650"/>
        <v>19/03/2026</v>
      </c>
      <c r="J3645" t="str">
        <f t="shared" si="653"/>
        <v>10/03/2026</v>
      </c>
      <c r="K3645" t="str">
        <f>("19/03/2026")</f>
        <v>19/03/2026</v>
      </c>
      <c r="L3645">
        <v>873.5</v>
      </c>
      <c r="M3645">
        <v>873.5</v>
      </c>
      <c r="N3645">
        <v>109</v>
      </c>
      <c r="O3645" t="str">
        <f>"PAGAMENTO DE ENTREGADORES"</f>
        <v>PAGAMENTO DE ENTREGADORES</v>
      </c>
      <c r="P3645">
        <v>873.5</v>
      </c>
      <c r="S3645" t="str">
        <f>"BANCO C6 (149)"</f>
        <v>BANCO C6 (149)</v>
      </c>
      <c r="T3645">
        <v>31498</v>
      </c>
      <c r="U3645">
        <v>34542</v>
      </c>
      <c r="V3645" t="s">
        <v>37</v>
      </c>
    </row>
    <row r="3646" spans="1:22">
      <c r="A3646" t="str">
        <f t="shared" si="651"/>
        <v>19/03/2026</v>
      </c>
      <c r="B3646" t="str">
        <f t="shared" si="648"/>
        <v>SAÍDA</v>
      </c>
      <c r="C3646" t="str">
        <f t="shared" si="649"/>
        <v>PIX</v>
      </c>
      <c r="D3646" t="str">
        <f>"34542"</f>
        <v>34542</v>
      </c>
      <c r="E3646" t="str">
        <f t="shared" si="652"/>
        <v>1</v>
      </c>
      <c r="F3646" t="str">
        <f t="shared" si="647"/>
        <v>COM</v>
      </c>
      <c r="G3646" t="str">
        <f>"ARTHUR DANTAS PACHECO (928)"</f>
        <v>ARTHUR DANTAS PACHECO (928)</v>
      </c>
      <c r="H3646" t="s">
        <v>429</v>
      </c>
      <c r="I3646" t="str">
        <f t="shared" si="650"/>
        <v>19/03/2026</v>
      </c>
      <c r="J3646" t="str">
        <f t="shared" si="653"/>
        <v>10/03/2026</v>
      </c>
      <c r="K3646">
        <v>46100</v>
      </c>
      <c r="N3646">
        <v>109</v>
      </c>
      <c r="O3646" t="s">
        <v>27</v>
      </c>
      <c r="Q3646">
        <v>873.5</v>
      </c>
      <c r="R3646" t="str">
        <f>"FARMÁCIA INDIANA LJ 40 (10016)"</f>
        <v>FARMÁCIA INDIANA LJ 40 (10016)</v>
      </c>
      <c r="S3646" t="s">
        <v>37</v>
      </c>
      <c r="T3646">
        <v>31498</v>
      </c>
      <c r="U3646">
        <v>34542</v>
      </c>
      <c r="V3646" t="s">
        <v>37</v>
      </c>
    </row>
    <row r="3647" spans="1:22">
      <c r="A3647" t="str">
        <f t="shared" si="651"/>
        <v>19/03/2026</v>
      </c>
      <c r="B3647" t="str">
        <f t="shared" si="648"/>
        <v>SAÍDA</v>
      </c>
      <c r="C3647" t="str">
        <f t="shared" si="649"/>
        <v>PIX</v>
      </c>
      <c r="D3647" t="str">
        <f>"34543"</f>
        <v>34543</v>
      </c>
      <c r="E3647" t="str">
        <f t="shared" si="652"/>
        <v>1</v>
      </c>
      <c r="F3647" t="str">
        <f t="shared" si="647"/>
        <v>COM</v>
      </c>
      <c r="G3647" t="str">
        <f>"BRUNO BARBOSA DE MATOS (82)"</f>
        <v>BRUNO BARBOSA DE MATOS (82)</v>
      </c>
      <c r="H3647" t="str">
        <f>"Serv.Prest. 02/03/2026 a 08/03/2026 - PIX: CNPJ - CHAVE: 64.409.849/0001-04"</f>
        <v>Serv.Prest. 02/03/2026 a 08/03/2026 - PIX: CNPJ - CHAVE: 64.409.849/0001-04</v>
      </c>
      <c r="I3647" t="str">
        <f t="shared" si="650"/>
        <v>19/03/2026</v>
      </c>
      <c r="J3647" t="str">
        <f t="shared" si="653"/>
        <v>10/03/2026</v>
      </c>
      <c r="K3647" t="str">
        <f>("19/03/2026")</f>
        <v>19/03/2026</v>
      </c>
      <c r="L3647">
        <v>1218</v>
      </c>
      <c r="M3647">
        <v>1218</v>
      </c>
      <c r="N3647">
        <v>109</v>
      </c>
      <c r="O3647" t="str">
        <f>"PAGAMENTO DE ENTREGADORES"</f>
        <v>PAGAMENTO DE ENTREGADORES</v>
      </c>
      <c r="P3647">
        <v>1218</v>
      </c>
      <c r="S3647" t="str">
        <f>"BANCO C6 (149)"</f>
        <v>BANCO C6 (149)</v>
      </c>
      <c r="T3647">
        <v>31499</v>
      </c>
      <c r="U3647">
        <v>34543</v>
      </c>
      <c r="V3647" t="s">
        <v>37</v>
      </c>
    </row>
    <row r="3648" spans="1:22">
      <c r="A3648" t="str">
        <f t="shared" si="651"/>
        <v>19/03/2026</v>
      </c>
      <c r="B3648" t="str">
        <f t="shared" si="648"/>
        <v>SAÍDA</v>
      </c>
      <c r="C3648" t="str">
        <f t="shared" si="649"/>
        <v>PIX</v>
      </c>
      <c r="D3648" t="str">
        <f>"34543"</f>
        <v>34543</v>
      </c>
      <c r="E3648" t="str">
        <f t="shared" si="652"/>
        <v>1</v>
      </c>
      <c r="F3648" t="str">
        <f t="shared" si="647"/>
        <v>COM</v>
      </c>
      <c r="G3648" t="str">
        <f>"BRUNO BARBOSA DE MATOS (82)"</f>
        <v>BRUNO BARBOSA DE MATOS (82)</v>
      </c>
      <c r="H3648" t="s">
        <v>916</v>
      </c>
      <c r="I3648" t="str">
        <f t="shared" si="650"/>
        <v>19/03/2026</v>
      </c>
      <c r="J3648" t="str">
        <f t="shared" si="653"/>
        <v>10/03/2026</v>
      </c>
      <c r="K3648">
        <v>46100</v>
      </c>
      <c r="N3648">
        <v>109</v>
      </c>
      <c r="O3648" t="s">
        <v>27</v>
      </c>
      <c r="Q3648">
        <v>1218</v>
      </c>
      <c r="R3648" t="str">
        <f>"FARMÁCIA INDIANA LJ 152 (10069)"</f>
        <v>FARMÁCIA INDIANA LJ 152 (10069)</v>
      </c>
      <c r="S3648" t="s">
        <v>37</v>
      </c>
      <c r="T3648">
        <v>31499</v>
      </c>
      <c r="U3648">
        <v>34543</v>
      </c>
      <c r="V3648" t="s">
        <v>37</v>
      </c>
    </row>
    <row r="3649" spans="1:22">
      <c r="A3649" t="str">
        <f t="shared" si="651"/>
        <v>19/03/2026</v>
      </c>
      <c r="B3649" t="str">
        <f t="shared" si="648"/>
        <v>SAÍDA</v>
      </c>
      <c r="C3649" t="str">
        <f t="shared" si="649"/>
        <v>PIX</v>
      </c>
      <c r="D3649" t="str">
        <f>"34544"</f>
        <v>34544</v>
      </c>
      <c r="E3649" t="str">
        <f t="shared" si="652"/>
        <v>1</v>
      </c>
      <c r="F3649" t="str">
        <f t="shared" si="647"/>
        <v>COM</v>
      </c>
      <c r="G3649" t="str">
        <f>"BRUNO DOS SANTOS MACHADO (702)"</f>
        <v>BRUNO DOS SANTOS MACHADO (702)</v>
      </c>
      <c r="H3649" t="str">
        <f>"Serv.Prest. 02/03/2026 a 08/03/2026 - PIX: CPF - CHAVE: 155.328.666-94"</f>
        <v>Serv.Prest. 02/03/2026 a 08/03/2026 - PIX: CPF - CHAVE: 155.328.666-94</v>
      </c>
      <c r="I3649" t="str">
        <f t="shared" si="650"/>
        <v>19/03/2026</v>
      </c>
      <c r="J3649" t="str">
        <f t="shared" si="653"/>
        <v>10/03/2026</v>
      </c>
      <c r="K3649" t="str">
        <f>("19/03/2026")</f>
        <v>19/03/2026</v>
      </c>
      <c r="L3649">
        <v>1080</v>
      </c>
      <c r="M3649">
        <v>1080</v>
      </c>
      <c r="N3649">
        <v>109</v>
      </c>
      <c r="O3649" t="str">
        <f>"PAGAMENTO DE ENTREGADORES"</f>
        <v>PAGAMENTO DE ENTREGADORES</v>
      </c>
      <c r="P3649">
        <v>1080</v>
      </c>
      <c r="S3649" t="str">
        <f>"BANCO C6 (149)"</f>
        <v>BANCO C6 (149)</v>
      </c>
      <c r="T3649">
        <v>31500</v>
      </c>
      <c r="U3649">
        <v>34544</v>
      </c>
      <c r="V3649" t="s">
        <v>37</v>
      </c>
    </row>
    <row r="3650" spans="1:22">
      <c r="A3650" t="str">
        <f t="shared" si="651"/>
        <v>19/03/2026</v>
      </c>
      <c r="B3650" t="str">
        <f t="shared" si="648"/>
        <v>SAÍDA</v>
      </c>
      <c r="C3650" t="str">
        <f t="shared" si="649"/>
        <v>PIX</v>
      </c>
      <c r="D3650" t="str">
        <f>"34544"</f>
        <v>34544</v>
      </c>
      <c r="E3650" t="str">
        <f t="shared" si="652"/>
        <v>1</v>
      </c>
      <c r="F3650" t="str">
        <f t="shared" ref="F3650:F3713" si="654">"COM"</f>
        <v>COM</v>
      </c>
      <c r="G3650" t="str">
        <f>"BRUNO DOS SANTOS MACHADO (702)"</f>
        <v>BRUNO DOS SANTOS MACHADO (702)</v>
      </c>
      <c r="H3650" t="s">
        <v>967</v>
      </c>
      <c r="I3650" t="str">
        <f t="shared" si="650"/>
        <v>19/03/2026</v>
      </c>
      <c r="J3650" t="str">
        <f t="shared" si="653"/>
        <v>10/03/2026</v>
      </c>
      <c r="K3650">
        <v>46100</v>
      </c>
      <c r="N3650">
        <v>109</v>
      </c>
      <c r="O3650" t="s">
        <v>27</v>
      </c>
      <c r="Q3650">
        <v>1080</v>
      </c>
      <c r="R3650" t="str">
        <f>"FARMÁCIA INDIANA LJ 204 (10087)"</f>
        <v>FARMÁCIA INDIANA LJ 204 (10087)</v>
      </c>
      <c r="S3650" t="s">
        <v>37</v>
      </c>
      <c r="T3650">
        <v>31500</v>
      </c>
      <c r="U3650">
        <v>34544</v>
      </c>
      <c r="V3650" t="s">
        <v>37</v>
      </c>
    </row>
    <row r="3651" spans="1:22">
      <c r="A3651" t="str">
        <f t="shared" si="651"/>
        <v>19/03/2026</v>
      </c>
      <c r="B3651" t="str">
        <f t="shared" si="648"/>
        <v>SAÍDA</v>
      </c>
      <c r="C3651" t="str">
        <f t="shared" si="649"/>
        <v>PIX</v>
      </c>
      <c r="D3651" t="str">
        <f>"34545"</f>
        <v>34545</v>
      </c>
      <c r="E3651" t="str">
        <f t="shared" si="652"/>
        <v>1</v>
      </c>
      <c r="F3651" t="str">
        <f t="shared" si="654"/>
        <v>COM</v>
      </c>
      <c r="G3651" t="str">
        <f>"BRUNO DOS SANTOS MACHADO (702)"</f>
        <v>BRUNO DOS SANTOS MACHADO (702)</v>
      </c>
      <c r="H3651" t="str">
        <f>"Serv.Prest. 02/03/2026 a 08/03/2026 - PIX: CPF - CHAVE: 155.328.666-94"</f>
        <v>Serv.Prest. 02/03/2026 a 08/03/2026 - PIX: CPF - CHAVE: 155.328.666-94</v>
      </c>
      <c r="I3651" t="str">
        <f t="shared" si="650"/>
        <v>19/03/2026</v>
      </c>
      <c r="J3651" t="str">
        <f t="shared" si="653"/>
        <v>10/03/2026</v>
      </c>
      <c r="K3651" t="str">
        <f>("19/03/2026")</f>
        <v>19/03/2026</v>
      </c>
      <c r="L3651">
        <v>5</v>
      </c>
      <c r="M3651">
        <v>5</v>
      </c>
      <c r="N3651">
        <v>109</v>
      </c>
      <c r="O3651" t="str">
        <f>"PAGAMENTO DE ENTREGADORES"</f>
        <v>PAGAMENTO DE ENTREGADORES</v>
      </c>
      <c r="P3651">
        <v>5</v>
      </c>
      <c r="S3651" t="str">
        <f>"BANCO C6 (149)"</f>
        <v>BANCO C6 (149)</v>
      </c>
      <c r="T3651">
        <v>31501</v>
      </c>
      <c r="U3651">
        <v>34545</v>
      </c>
      <c r="V3651" t="s">
        <v>37</v>
      </c>
    </row>
    <row r="3652" spans="1:22">
      <c r="A3652" t="str">
        <f t="shared" si="651"/>
        <v>19/03/2026</v>
      </c>
      <c r="B3652" t="str">
        <f t="shared" si="648"/>
        <v>SAÍDA</v>
      </c>
      <c r="C3652" t="str">
        <f t="shared" si="649"/>
        <v>PIX</v>
      </c>
      <c r="D3652" t="str">
        <f>"34545"</f>
        <v>34545</v>
      </c>
      <c r="E3652" t="str">
        <f t="shared" si="652"/>
        <v>1</v>
      </c>
      <c r="F3652" t="str">
        <f t="shared" si="654"/>
        <v>COM</v>
      </c>
      <c r="G3652" t="str">
        <f>"BRUNO DOS SANTOS MACHADO (702)"</f>
        <v>BRUNO DOS SANTOS MACHADO (702)</v>
      </c>
      <c r="H3652" t="s">
        <v>967</v>
      </c>
      <c r="I3652" t="str">
        <f t="shared" si="650"/>
        <v>19/03/2026</v>
      </c>
      <c r="J3652" t="str">
        <f t="shared" si="653"/>
        <v>10/03/2026</v>
      </c>
      <c r="K3652">
        <v>46100</v>
      </c>
      <c r="N3652">
        <v>109</v>
      </c>
      <c r="O3652" t="s">
        <v>27</v>
      </c>
      <c r="Q3652">
        <v>5</v>
      </c>
      <c r="R3652" t="str">
        <f>"FARMÁCIA INDIANA LJ 266 (10186)"</f>
        <v>FARMÁCIA INDIANA LJ 266 (10186)</v>
      </c>
      <c r="S3652" t="s">
        <v>37</v>
      </c>
      <c r="T3652">
        <v>31501</v>
      </c>
      <c r="U3652">
        <v>34545</v>
      </c>
      <c r="V3652" t="s">
        <v>37</v>
      </c>
    </row>
    <row r="3653" spans="1:22">
      <c r="A3653" t="str">
        <f t="shared" si="651"/>
        <v>19/03/2026</v>
      </c>
      <c r="B3653" t="str">
        <f t="shared" si="648"/>
        <v>SAÍDA</v>
      </c>
      <c r="C3653" t="str">
        <f t="shared" si="649"/>
        <v>PIX</v>
      </c>
      <c r="D3653" t="str">
        <f>"34548"</f>
        <v>34548</v>
      </c>
      <c r="E3653" t="str">
        <f t="shared" si="652"/>
        <v>1</v>
      </c>
      <c r="F3653" t="str">
        <f t="shared" si="654"/>
        <v>COM</v>
      </c>
      <c r="G3653" t="str">
        <f>"CAMILO JEFERSON DA SILVA PACHECO (1242)"</f>
        <v>CAMILO JEFERSON DA SILVA PACHECO (1242)</v>
      </c>
      <c r="H3653" t="str">
        <f>"Serv.Prest. 02/03/2026 a 08/03/2026 - PIX: CELULAR - CHAVE: (33) 98899-5294"</f>
        <v>Serv.Prest. 02/03/2026 a 08/03/2026 - PIX: CELULAR - CHAVE: (33) 98899-5294</v>
      </c>
      <c r="I3653" t="str">
        <f t="shared" si="650"/>
        <v>19/03/2026</v>
      </c>
      <c r="J3653" t="str">
        <f t="shared" si="653"/>
        <v>10/03/2026</v>
      </c>
      <c r="K3653" t="str">
        <f>("19/03/2026")</f>
        <v>19/03/2026</v>
      </c>
      <c r="L3653">
        <v>888</v>
      </c>
      <c r="M3653">
        <v>888</v>
      </c>
      <c r="N3653">
        <v>109</v>
      </c>
      <c r="O3653" t="str">
        <f>"PAGAMENTO DE ENTREGADORES"</f>
        <v>PAGAMENTO DE ENTREGADORES</v>
      </c>
      <c r="P3653">
        <v>888</v>
      </c>
      <c r="S3653" t="str">
        <f>"BANCO C6 (149)"</f>
        <v>BANCO C6 (149)</v>
      </c>
      <c r="T3653">
        <v>31502</v>
      </c>
      <c r="U3653">
        <v>34548</v>
      </c>
      <c r="V3653" t="s">
        <v>37</v>
      </c>
    </row>
    <row r="3654" spans="1:22">
      <c r="A3654" t="str">
        <f t="shared" si="651"/>
        <v>19/03/2026</v>
      </c>
      <c r="B3654" t="str">
        <f t="shared" si="648"/>
        <v>SAÍDA</v>
      </c>
      <c r="C3654" t="str">
        <f t="shared" si="649"/>
        <v>PIX</v>
      </c>
      <c r="D3654" t="str">
        <f>"34548"</f>
        <v>34548</v>
      </c>
      <c r="E3654" t="str">
        <f t="shared" si="652"/>
        <v>1</v>
      </c>
      <c r="F3654" t="str">
        <f t="shared" si="654"/>
        <v>COM</v>
      </c>
      <c r="G3654" t="str">
        <f>"CAMILO JEFERSON DA SILVA PACHECO (1242)"</f>
        <v>CAMILO JEFERSON DA SILVA PACHECO (1242)</v>
      </c>
      <c r="H3654" t="s">
        <v>1036</v>
      </c>
      <c r="I3654" t="str">
        <f t="shared" si="650"/>
        <v>19/03/2026</v>
      </c>
      <c r="J3654" t="str">
        <f t="shared" si="653"/>
        <v>10/03/2026</v>
      </c>
      <c r="K3654">
        <v>46100</v>
      </c>
      <c r="N3654">
        <v>109</v>
      </c>
      <c r="O3654" t="s">
        <v>27</v>
      </c>
      <c r="Q3654">
        <v>888</v>
      </c>
      <c r="R3654" t="str">
        <f>"FARMÁCIA INDIANA LJ 07 (10007)"</f>
        <v>FARMÁCIA INDIANA LJ 07 (10007)</v>
      </c>
      <c r="S3654" t="s">
        <v>37</v>
      </c>
      <c r="T3654">
        <v>31502</v>
      </c>
      <c r="U3654">
        <v>34548</v>
      </c>
      <c r="V3654" t="s">
        <v>37</v>
      </c>
    </row>
    <row r="3655" spans="1:22">
      <c r="A3655" t="str">
        <f t="shared" si="651"/>
        <v>19/03/2026</v>
      </c>
      <c r="B3655" t="str">
        <f t="shared" si="648"/>
        <v>SAÍDA</v>
      </c>
      <c r="C3655" t="str">
        <f t="shared" si="649"/>
        <v>PIX</v>
      </c>
      <c r="D3655" t="str">
        <f>"34549"</f>
        <v>34549</v>
      </c>
      <c r="E3655" t="str">
        <f t="shared" si="652"/>
        <v>1</v>
      </c>
      <c r="F3655" t="str">
        <f t="shared" si="654"/>
        <v>COM</v>
      </c>
      <c r="G3655" t="str">
        <f>"CARLOS ALEXANDRE BADARO CORDEIRO (1137)"</f>
        <v>CARLOS ALEXANDRE BADARO CORDEIRO (1137)</v>
      </c>
      <c r="H3655" t="str">
        <f>"Serv.Prest. 02/03/2026 a 08/03/2026 - PIX: CELULAR - CHAVE: (32) 99928-9092"</f>
        <v>Serv.Prest. 02/03/2026 a 08/03/2026 - PIX: CELULAR - CHAVE: (32) 99928-9092</v>
      </c>
      <c r="I3655" t="str">
        <f t="shared" si="650"/>
        <v>19/03/2026</v>
      </c>
      <c r="J3655" t="str">
        <f t="shared" si="653"/>
        <v>10/03/2026</v>
      </c>
      <c r="K3655" t="str">
        <f>("19/03/2026")</f>
        <v>19/03/2026</v>
      </c>
      <c r="L3655">
        <v>360</v>
      </c>
      <c r="M3655">
        <v>360</v>
      </c>
      <c r="N3655">
        <v>109</v>
      </c>
      <c r="O3655" t="str">
        <f>"PAGAMENTO DE ENTREGADORES"</f>
        <v>PAGAMENTO DE ENTREGADORES</v>
      </c>
      <c r="P3655">
        <v>360</v>
      </c>
      <c r="S3655" t="str">
        <f>"BANCO C6 (149)"</f>
        <v>BANCO C6 (149)</v>
      </c>
      <c r="T3655">
        <v>31503</v>
      </c>
      <c r="U3655">
        <v>34549</v>
      </c>
      <c r="V3655" t="s">
        <v>37</v>
      </c>
    </row>
    <row r="3656" spans="1:22">
      <c r="A3656" t="str">
        <f t="shared" si="651"/>
        <v>19/03/2026</v>
      </c>
      <c r="B3656" t="str">
        <f t="shared" si="648"/>
        <v>SAÍDA</v>
      </c>
      <c r="C3656" t="str">
        <f t="shared" si="649"/>
        <v>PIX</v>
      </c>
      <c r="D3656" t="str">
        <f>"34549"</f>
        <v>34549</v>
      </c>
      <c r="E3656" t="str">
        <f t="shared" si="652"/>
        <v>1</v>
      </c>
      <c r="F3656" t="str">
        <f t="shared" si="654"/>
        <v>COM</v>
      </c>
      <c r="G3656" t="str">
        <f>"CARLOS ALEXANDRE BADARO CORDEIRO (1137)"</f>
        <v>CARLOS ALEXANDRE BADARO CORDEIRO (1137)</v>
      </c>
      <c r="H3656" t="s">
        <v>976</v>
      </c>
      <c r="I3656" t="str">
        <f t="shared" si="650"/>
        <v>19/03/2026</v>
      </c>
      <c r="J3656" t="str">
        <f t="shared" si="653"/>
        <v>10/03/2026</v>
      </c>
      <c r="K3656">
        <v>46100</v>
      </c>
      <c r="N3656">
        <v>109</v>
      </c>
      <c r="O3656" t="s">
        <v>27</v>
      </c>
      <c r="Q3656">
        <v>360</v>
      </c>
      <c r="R3656" t="str">
        <f>"FARMÁCIA INDIANA LJ 109 (10047)"</f>
        <v>FARMÁCIA INDIANA LJ 109 (10047)</v>
      </c>
      <c r="S3656" t="s">
        <v>37</v>
      </c>
      <c r="T3656">
        <v>31503</v>
      </c>
      <c r="U3656">
        <v>34549</v>
      </c>
      <c r="V3656" t="s">
        <v>37</v>
      </c>
    </row>
    <row r="3657" spans="1:22">
      <c r="A3657" t="str">
        <f t="shared" si="651"/>
        <v>19/03/2026</v>
      </c>
      <c r="B3657" t="str">
        <f t="shared" si="648"/>
        <v>SAÍDA</v>
      </c>
      <c r="C3657" t="str">
        <f t="shared" si="649"/>
        <v>PIX</v>
      </c>
      <c r="D3657" t="str">
        <f>"34550"</f>
        <v>34550</v>
      </c>
      <c r="E3657" t="str">
        <f t="shared" si="652"/>
        <v>1</v>
      </c>
      <c r="F3657" t="str">
        <f t="shared" si="654"/>
        <v>COM</v>
      </c>
      <c r="G3657" t="str">
        <f>"CARLOS ALEXANDRE BADARO CORDEIRO (1137)"</f>
        <v>CARLOS ALEXANDRE BADARO CORDEIRO (1137)</v>
      </c>
      <c r="H3657" t="str">
        <f>"Serv.Prest. 02/03/2026 a 08/03/2026 - PIX: CELULAR - CHAVE: (32) 99928-9092"</f>
        <v>Serv.Prest. 02/03/2026 a 08/03/2026 - PIX: CELULAR - CHAVE: (32) 99928-9092</v>
      </c>
      <c r="I3657" t="str">
        <f t="shared" si="650"/>
        <v>19/03/2026</v>
      </c>
      <c r="J3657" t="str">
        <f t="shared" si="653"/>
        <v>10/03/2026</v>
      </c>
      <c r="K3657" t="str">
        <f>("19/03/2026")</f>
        <v>19/03/2026</v>
      </c>
      <c r="L3657">
        <v>396</v>
      </c>
      <c r="M3657">
        <v>396</v>
      </c>
      <c r="N3657">
        <v>109</v>
      </c>
      <c r="O3657" t="str">
        <f>"PAGAMENTO DE ENTREGADORES"</f>
        <v>PAGAMENTO DE ENTREGADORES</v>
      </c>
      <c r="P3657">
        <v>396</v>
      </c>
      <c r="S3657" t="str">
        <f>"BANCO C6 (149)"</f>
        <v>BANCO C6 (149)</v>
      </c>
      <c r="T3657">
        <v>31504</v>
      </c>
      <c r="U3657">
        <v>34550</v>
      </c>
      <c r="V3657" t="s">
        <v>37</v>
      </c>
    </row>
    <row r="3658" spans="1:22">
      <c r="A3658" t="str">
        <f t="shared" si="651"/>
        <v>19/03/2026</v>
      </c>
      <c r="B3658" t="str">
        <f t="shared" si="648"/>
        <v>SAÍDA</v>
      </c>
      <c r="C3658" t="str">
        <f t="shared" si="649"/>
        <v>PIX</v>
      </c>
      <c r="D3658" t="str">
        <f>"34550"</f>
        <v>34550</v>
      </c>
      <c r="E3658" t="str">
        <f t="shared" si="652"/>
        <v>1</v>
      </c>
      <c r="F3658" t="str">
        <f t="shared" si="654"/>
        <v>COM</v>
      </c>
      <c r="G3658" t="str">
        <f>"CARLOS ALEXANDRE BADARO CORDEIRO (1137)"</f>
        <v>CARLOS ALEXANDRE BADARO CORDEIRO (1137)</v>
      </c>
      <c r="H3658" t="s">
        <v>976</v>
      </c>
      <c r="I3658" t="str">
        <f t="shared" si="650"/>
        <v>19/03/2026</v>
      </c>
      <c r="J3658" t="str">
        <f t="shared" si="653"/>
        <v>10/03/2026</v>
      </c>
      <c r="K3658">
        <v>46100</v>
      </c>
      <c r="N3658">
        <v>109</v>
      </c>
      <c r="O3658" t="s">
        <v>27</v>
      </c>
      <c r="Q3658">
        <v>396</v>
      </c>
      <c r="R3658" t="str">
        <f>"FARMÁCIA INDIANA LJ 284 (10280)"</f>
        <v>FARMÁCIA INDIANA LJ 284 (10280)</v>
      </c>
      <c r="S3658" t="s">
        <v>37</v>
      </c>
      <c r="T3658">
        <v>31504</v>
      </c>
      <c r="U3658">
        <v>34550</v>
      </c>
      <c r="V3658" t="s">
        <v>37</v>
      </c>
    </row>
    <row r="3659" spans="1:22">
      <c r="A3659" t="str">
        <f t="shared" si="651"/>
        <v>19/03/2026</v>
      </c>
      <c r="B3659" t="str">
        <f t="shared" si="648"/>
        <v>SAÍDA</v>
      </c>
      <c r="C3659" t="str">
        <f t="shared" si="649"/>
        <v>PIX</v>
      </c>
      <c r="D3659" t="str">
        <f>"34551"</f>
        <v>34551</v>
      </c>
      <c r="E3659" t="str">
        <f t="shared" si="652"/>
        <v>1</v>
      </c>
      <c r="F3659" t="str">
        <f t="shared" si="654"/>
        <v>COM</v>
      </c>
      <c r="G3659" t="str">
        <f>"CARLOS ROBERTO BADARÓ MACHADO (78)"</f>
        <v>CARLOS ROBERTO BADARÓ MACHADO (78)</v>
      </c>
      <c r="H3659" t="str">
        <f>"Serv.Prest. 02/03/2026 a 08/03/2026 - PIX: CELULAR - CHAVE: (32) 99166-8238"</f>
        <v>Serv.Prest. 02/03/2026 a 08/03/2026 - PIX: CELULAR - CHAVE: (32) 99166-8238</v>
      </c>
      <c r="I3659" t="str">
        <f t="shared" si="650"/>
        <v>19/03/2026</v>
      </c>
      <c r="J3659" t="str">
        <f t="shared" si="653"/>
        <v>10/03/2026</v>
      </c>
      <c r="K3659" t="str">
        <f>("19/03/2026")</f>
        <v>19/03/2026</v>
      </c>
      <c r="L3659">
        <v>402</v>
      </c>
      <c r="M3659">
        <v>402</v>
      </c>
      <c r="N3659">
        <v>109</v>
      </c>
      <c r="O3659" t="str">
        <f>"PAGAMENTO DE ENTREGADORES"</f>
        <v>PAGAMENTO DE ENTREGADORES</v>
      </c>
      <c r="P3659">
        <v>402</v>
      </c>
      <c r="S3659" t="str">
        <f>"BANCO C6 (149)"</f>
        <v>BANCO C6 (149)</v>
      </c>
      <c r="T3659">
        <v>31505</v>
      </c>
      <c r="U3659">
        <v>34551</v>
      </c>
      <c r="V3659" t="s">
        <v>37</v>
      </c>
    </row>
    <row r="3660" spans="1:22">
      <c r="A3660" t="str">
        <f t="shared" si="651"/>
        <v>19/03/2026</v>
      </c>
      <c r="B3660" t="str">
        <f t="shared" si="648"/>
        <v>SAÍDA</v>
      </c>
      <c r="C3660" t="str">
        <f t="shared" si="649"/>
        <v>PIX</v>
      </c>
      <c r="D3660" t="str">
        <f>"34551"</f>
        <v>34551</v>
      </c>
      <c r="E3660" t="str">
        <f t="shared" si="652"/>
        <v>1</v>
      </c>
      <c r="F3660" t="str">
        <f t="shared" si="654"/>
        <v>COM</v>
      </c>
      <c r="G3660" t="str">
        <f>"CARLOS ROBERTO BADARÓ MACHADO (78)"</f>
        <v>CARLOS ROBERTO BADARÓ MACHADO (78)</v>
      </c>
      <c r="H3660" t="s">
        <v>1037</v>
      </c>
      <c r="I3660" t="str">
        <f t="shared" si="650"/>
        <v>19/03/2026</v>
      </c>
      <c r="J3660" t="str">
        <f t="shared" si="653"/>
        <v>10/03/2026</v>
      </c>
      <c r="K3660">
        <v>46100</v>
      </c>
      <c r="N3660">
        <v>109</v>
      </c>
      <c r="O3660" t="s">
        <v>27</v>
      </c>
      <c r="Q3660">
        <v>402</v>
      </c>
      <c r="R3660" t="str">
        <f>"FARMÁCIA INDIANA LJ 284 (10280)"</f>
        <v>FARMÁCIA INDIANA LJ 284 (10280)</v>
      </c>
      <c r="S3660" t="s">
        <v>37</v>
      </c>
      <c r="T3660">
        <v>31505</v>
      </c>
      <c r="U3660">
        <v>34551</v>
      </c>
      <c r="V3660" t="s">
        <v>37</v>
      </c>
    </row>
    <row r="3661" spans="1:22">
      <c r="A3661" t="str">
        <f t="shared" si="651"/>
        <v>19/03/2026</v>
      </c>
      <c r="B3661" t="str">
        <f t="shared" si="648"/>
        <v>SAÍDA</v>
      </c>
      <c r="C3661" t="str">
        <f t="shared" si="649"/>
        <v>PIX</v>
      </c>
      <c r="D3661" t="str">
        <f>"34552"</f>
        <v>34552</v>
      </c>
      <c r="E3661" t="str">
        <f t="shared" si="652"/>
        <v>1</v>
      </c>
      <c r="F3661" t="str">
        <f t="shared" si="654"/>
        <v>COM</v>
      </c>
      <c r="G3661" t="str">
        <f>"CARLOS ROBERTO BADARÓ MACHADO (78)"</f>
        <v>CARLOS ROBERTO BADARÓ MACHADO (78)</v>
      </c>
      <c r="H3661" t="str">
        <f>"Serv.Prest. 02/03/2026 a 08/03/2026 - PIX: CELULAR - CHAVE: (32) 99166-8238"</f>
        <v>Serv.Prest. 02/03/2026 a 08/03/2026 - PIX: CELULAR - CHAVE: (32) 99166-8238</v>
      </c>
      <c r="I3661" t="str">
        <f t="shared" si="650"/>
        <v>19/03/2026</v>
      </c>
      <c r="J3661" t="str">
        <f t="shared" si="653"/>
        <v>10/03/2026</v>
      </c>
      <c r="K3661" t="str">
        <f>("19/03/2026")</f>
        <v>19/03/2026</v>
      </c>
      <c r="L3661">
        <v>1452</v>
      </c>
      <c r="M3661">
        <v>1452</v>
      </c>
      <c r="N3661">
        <v>109</v>
      </c>
      <c r="O3661" t="str">
        <f>"PAGAMENTO DE ENTREGADORES"</f>
        <v>PAGAMENTO DE ENTREGADORES</v>
      </c>
      <c r="P3661">
        <v>1452</v>
      </c>
      <c r="S3661" t="str">
        <f>"BANCO C6 (149)"</f>
        <v>BANCO C6 (149)</v>
      </c>
      <c r="T3661">
        <v>31506</v>
      </c>
      <c r="U3661">
        <v>34552</v>
      </c>
      <c r="V3661" t="s">
        <v>37</v>
      </c>
    </row>
    <row r="3662" spans="1:22">
      <c r="A3662" t="str">
        <f t="shared" si="651"/>
        <v>19/03/2026</v>
      </c>
      <c r="B3662" t="str">
        <f t="shared" si="648"/>
        <v>SAÍDA</v>
      </c>
      <c r="C3662" t="str">
        <f t="shared" si="649"/>
        <v>PIX</v>
      </c>
      <c r="D3662" t="str">
        <f>"34552"</f>
        <v>34552</v>
      </c>
      <c r="E3662" t="str">
        <f t="shared" si="652"/>
        <v>1</v>
      </c>
      <c r="F3662" t="str">
        <f t="shared" si="654"/>
        <v>COM</v>
      </c>
      <c r="G3662" t="str">
        <f>"CARLOS ROBERTO BADARÓ MACHADO (78)"</f>
        <v>CARLOS ROBERTO BADARÓ MACHADO (78)</v>
      </c>
      <c r="H3662" t="s">
        <v>1037</v>
      </c>
      <c r="I3662" t="str">
        <f t="shared" si="650"/>
        <v>19/03/2026</v>
      </c>
      <c r="J3662" t="str">
        <f t="shared" si="653"/>
        <v>10/03/2026</v>
      </c>
      <c r="K3662">
        <v>46100</v>
      </c>
      <c r="N3662">
        <v>109</v>
      </c>
      <c r="O3662" t="s">
        <v>27</v>
      </c>
      <c r="Q3662">
        <v>1452</v>
      </c>
      <c r="R3662" t="str">
        <f>"FARMÁCIA INDIANA LJ 109 (10047)"</f>
        <v>FARMÁCIA INDIANA LJ 109 (10047)</v>
      </c>
      <c r="S3662" t="s">
        <v>37</v>
      </c>
      <c r="T3662">
        <v>31506</v>
      </c>
      <c r="U3662">
        <v>34552</v>
      </c>
      <c r="V3662" t="s">
        <v>37</v>
      </c>
    </row>
    <row r="3663" spans="1:22">
      <c r="A3663" t="str">
        <f t="shared" si="651"/>
        <v>19/03/2026</v>
      </c>
      <c r="B3663" t="str">
        <f t="shared" si="648"/>
        <v>SAÍDA</v>
      </c>
      <c r="C3663" t="str">
        <f t="shared" si="649"/>
        <v>PIX</v>
      </c>
      <c r="D3663" t="str">
        <f>"34553"</f>
        <v>34553</v>
      </c>
      <c r="E3663" t="str">
        <f t="shared" si="652"/>
        <v>1</v>
      </c>
      <c r="F3663" t="str">
        <f t="shared" si="654"/>
        <v>COM</v>
      </c>
      <c r="G3663" t="str">
        <f>"CASSIO DIAS RIBEIRO (32)"</f>
        <v>CASSIO DIAS RIBEIRO (32)</v>
      </c>
      <c r="H3663" t="str">
        <f>"Serv.Prest. 02/03/2026 a 08/03/2026 - PIX: CNPJ - CHAVE: 35.986.676/0001-80"</f>
        <v>Serv.Prest. 02/03/2026 a 08/03/2026 - PIX: CNPJ - CHAVE: 35.986.676/0001-80</v>
      </c>
      <c r="I3663" t="str">
        <f t="shared" si="650"/>
        <v>19/03/2026</v>
      </c>
      <c r="J3663" t="str">
        <f t="shared" si="653"/>
        <v>10/03/2026</v>
      </c>
      <c r="K3663" t="str">
        <f>("19/03/2026")</f>
        <v>19/03/2026</v>
      </c>
      <c r="L3663">
        <v>986</v>
      </c>
      <c r="M3663">
        <v>986</v>
      </c>
      <c r="N3663">
        <v>109</v>
      </c>
      <c r="O3663" t="str">
        <f>"PAGAMENTO DE ENTREGADORES"</f>
        <v>PAGAMENTO DE ENTREGADORES</v>
      </c>
      <c r="P3663">
        <v>986</v>
      </c>
      <c r="S3663" t="str">
        <f>"BANCO C6 (149)"</f>
        <v>BANCO C6 (149)</v>
      </c>
      <c r="T3663">
        <v>31507</v>
      </c>
      <c r="U3663">
        <v>34553</v>
      </c>
      <c r="V3663" t="s">
        <v>37</v>
      </c>
    </row>
    <row r="3664" spans="1:22">
      <c r="A3664" t="str">
        <f t="shared" si="651"/>
        <v>19/03/2026</v>
      </c>
      <c r="B3664" t="str">
        <f t="shared" si="648"/>
        <v>SAÍDA</v>
      </c>
      <c r="C3664" t="str">
        <f t="shared" si="649"/>
        <v>PIX</v>
      </c>
      <c r="D3664" t="str">
        <f>"34553"</f>
        <v>34553</v>
      </c>
      <c r="E3664" t="str">
        <f t="shared" si="652"/>
        <v>1</v>
      </c>
      <c r="F3664" t="str">
        <f t="shared" si="654"/>
        <v>COM</v>
      </c>
      <c r="G3664" t="str">
        <f>"CASSIO DIAS RIBEIRO (32)"</f>
        <v>CASSIO DIAS RIBEIRO (32)</v>
      </c>
      <c r="H3664" t="s">
        <v>835</v>
      </c>
      <c r="I3664" t="str">
        <f t="shared" si="650"/>
        <v>19/03/2026</v>
      </c>
      <c r="J3664" t="str">
        <f t="shared" si="653"/>
        <v>10/03/2026</v>
      </c>
      <c r="K3664">
        <v>46100</v>
      </c>
      <c r="N3664">
        <v>109</v>
      </c>
      <c r="O3664" t="s">
        <v>27</v>
      </c>
      <c r="Q3664">
        <v>986</v>
      </c>
      <c r="R3664" t="str">
        <f>"FARMÁCIA INDIANA LJ 11 (10008)"</f>
        <v>FARMÁCIA INDIANA LJ 11 (10008)</v>
      </c>
      <c r="S3664" t="s">
        <v>37</v>
      </c>
      <c r="T3664">
        <v>31507</v>
      </c>
      <c r="U3664">
        <v>34553</v>
      </c>
      <c r="V3664" t="s">
        <v>37</v>
      </c>
    </row>
    <row r="3665" spans="1:22">
      <c r="A3665" t="str">
        <f t="shared" si="651"/>
        <v>19/03/2026</v>
      </c>
      <c r="B3665" t="str">
        <f t="shared" si="648"/>
        <v>SAÍDA</v>
      </c>
      <c r="C3665" t="str">
        <f t="shared" si="649"/>
        <v>PIX</v>
      </c>
      <c r="D3665" t="str">
        <f>"34554"</f>
        <v>34554</v>
      </c>
      <c r="E3665" t="str">
        <f t="shared" si="652"/>
        <v>1</v>
      </c>
      <c r="F3665" t="str">
        <f t="shared" si="654"/>
        <v>COM</v>
      </c>
      <c r="G3665" t="str">
        <f>"CELIO JOSÉ RIBEIRO (189)"</f>
        <v>CELIO JOSÉ RIBEIRO (189)</v>
      </c>
      <c r="H3665" t="str">
        <f>"Serv.Prest. 02/03/2026 a 08/03/2026 - PIX: CELULAR - CHAVE: (33) 98845-4528"</f>
        <v>Serv.Prest. 02/03/2026 a 08/03/2026 - PIX: CELULAR - CHAVE: (33) 98845-4528</v>
      </c>
      <c r="I3665" t="str">
        <f t="shared" si="650"/>
        <v>19/03/2026</v>
      </c>
      <c r="J3665" t="str">
        <f t="shared" si="653"/>
        <v>10/03/2026</v>
      </c>
      <c r="K3665" t="str">
        <f>("19/03/2026")</f>
        <v>19/03/2026</v>
      </c>
      <c r="L3665">
        <v>1020</v>
      </c>
      <c r="M3665">
        <v>1020</v>
      </c>
      <c r="N3665">
        <v>109</v>
      </c>
      <c r="O3665" t="str">
        <f>"PAGAMENTO DE ENTREGADORES"</f>
        <v>PAGAMENTO DE ENTREGADORES</v>
      </c>
      <c r="P3665">
        <v>1020</v>
      </c>
      <c r="S3665" t="str">
        <f>"BANCO C6 (149)"</f>
        <v>BANCO C6 (149)</v>
      </c>
      <c r="T3665">
        <v>31508</v>
      </c>
      <c r="U3665">
        <v>34554</v>
      </c>
      <c r="V3665" t="s">
        <v>37</v>
      </c>
    </row>
    <row r="3666" spans="1:22">
      <c r="A3666" t="str">
        <f t="shared" si="651"/>
        <v>19/03/2026</v>
      </c>
      <c r="B3666" t="str">
        <f t="shared" si="648"/>
        <v>SAÍDA</v>
      </c>
      <c r="C3666" t="str">
        <f t="shared" si="649"/>
        <v>PIX</v>
      </c>
      <c r="D3666" t="str">
        <f>"34554"</f>
        <v>34554</v>
      </c>
      <c r="E3666" t="str">
        <f t="shared" si="652"/>
        <v>1</v>
      </c>
      <c r="F3666" t="str">
        <f t="shared" si="654"/>
        <v>COM</v>
      </c>
      <c r="G3666" t="str">
        <f>"CELIO JOSÉ RIBEIRO (189)"</f>
        <v>CELIO JOSÉ RIBEIRO (189)</v>
      </c>
      <c r="H3666" t="s">
        <v>966</v>
      </c>
      <c r="I3666" t="str">
        <f t="shared" si="650"/>
        <v>19/03/2026</v>
      </c>
      <c r="J3666" t="str">
        <f t="shared" si="653"/>
        <v>10/03/2026</v>
      </c>
      <c r="K3666">
        <v>46100</v>
      </c>
      <c r="N3666">
        <v>109</v>
      </c>
      <c r="O3666" t="s">
        <v>27</v>
      </c>
      <c r="Q3666">
        <v>1020</v>
      </c>
      <c r="R3666" t="str">
        <f>"FARMÁCIA INDIANA LJ 06 (10006)"</f>
        <v>FARMÁCIA INDIANA LJ 06 (10006)</v>
      </c>
      <c r="S3666" t="s">
        <v>37</v>
      </c>
      <c r="T3666">
        <v>31508</v>
      </c>
      <c r="U3666">
        <v>34554</v>
      </c>
      <c r="V3666" t="s">
        <v>37</v>
      </c>
    </row>
    <row r="3667" spans="1:22">
      <c r="A3667" t="str">
        <f t="shared" si="651"/>
        <v>19/03/2026</v>
      </c>
      <c r="B3667" t="str">
        <f t="shared" si="648"/>
        <v>SAÍDA</v>
      </c>
      <c r="C3667" t="str">
        <f t="shared" si="649"/>
        <v>PIX</v>
      </c>
      <c r="D3667" t="str">
        <f>"34555"</f>
        <v>34555</v>
      </c>
      <c r="E3667" t="str">
        <f t="shared" si="652"/>
        <v>1</v>
      </c>
      <c r="F3667" t="str">
        <f t="shared" si="654"/>
        <v>COM</v>
      </c>
      <c r="G3667" t="str">
        <f>"CLEIDIOMAR RIBEIRO FERREIRA (34)"</f>
        <v>CLEIDIOMAR RIBEIRO FERREIRA (34)</v>
      </c>
      <c r="H3667" t="str">
        <f>"Serv.Prest. 02/03/2026 a 08/03/2026 - PIX: CELULAR - CHAVE: (31) 98511-2851"</f>
        <v>Serv.Prest. 02/03/2026 a 08/03/2026 - PIX: CELULAR - CHAVE: (31) 98511-2851</v>
      </c>
      <c r="I3667" t="str">
        <f t="shared" si="650"/>
        <v>19/03/2026</v>
      </c>
      <c r="J3667" t="str">
        <f t="shared" si="653"/>
        <v>10/03/2026</v>
      </c>
      <c r="K3667" t="str">
        <f>("19/03/2026")</f>
        <v>19/03/2026</v>
      </c>
      <c r="L3667">
        <v>1128</v>
      </c>
      <c r="M3667">
        <v>1128</v>
      </c>
      <c r="N3667">
        <v>109</v>
      </c>
      <c r="O3667" t="str">
        <f>"PAGAMENTO DE ENTREGADORES"</f>
        <v>PAGAMENTO DE ENTREGADORES</v>
      </c>
      <c r="P3667">
        <v>1128</v>
      </c>
      <c r="S3667" t="str">
        <f>"BANCO C6 (149)"</f>
        <v>BANCO C6 (149)</v>
      </c>
      <c r="T3667">
        <v>31509</v>
      </c>
      <c r="U3667">
        <v>34555</v>
      </c>
      <c r="V3667" t="s">
        <v>37</v>
      </c>
    </row>
    <row r="3668" spans="1:22">
      <c r="A3668" t="str">
        <f t="shared" si="651"/>
        <v>19/03/2026</v>
      </c>
      <c r="B3668" t="str">
        <f t="shared" si="648"/>
        <v>SAÍDA</v>
      </c>
      <c r="C3668" t="str">
        <f t="shared" si="649"/>
        <v>PIX</v>
      </c>
      <c r="D3668" t="str">
        <f>"34555"</f>
        <v>34555</v>
      </c>
      <c r="E3668" t="str">
        <f t="shared" si="652"/>
        <v>1</v>
      </c>
      <c r="F3668" t="str">
        <f t="shared" si="654"/>
        <v>COM</v>
      </c>
      <c r="G3668" t="str">
        <f>"CLEIDIOMAR RIBEIRO FERREIRA (34)"</f>
        <v>CLEIDIOMAR RIBEIRO FERREIRA (34)</v>
      </c>
      <c r="H3668" t="s">
        <v>964</v>
      </c>
      <c r="I3668" t="str">
        <f t="shared" si="650"/>
        <v>19/03/2026</v>
      </c>
      <c r="J3668" t="str">
        <f t="shared" si="653"/>
        <v>10/03/2026</v>
      </c>
      <c r="K3668">
        <v>46100</v>
      </c>
      <c r="N3668">
        <v>109</v>
      </c>
      <c r="O3668" t="s">
        <v>27</v>
      </c>
      <c r="Q3668">
        <v>1128</v>
      </c>
      <c r="R3668" t="str">
        <f>"FARMÁCIA INDIANA LJ 11 (10008)"</f>
        <v>FARMÁCIA INDIANA LJ 11 (10008)</v>
      </c>
      <c r="S3668" t="s">
        <v>37</v>
      </c>
      <c r="T3668">
        <v>31509</v>
      </c>
      <c r="U3668">
        <v>34555</v>
      </c>
      <c r="V3668" t="s">
        <v>37</v>
      </c>
    </row>
    <row r="3669" spans="1:22">
      <c r="A3669" t="str">
        <f t="shared" si="651"/>
        <v>19/03/2026</v>
      </c>
      <c r="B3669" t="str">
        <f t="shared" si="648"/>
        <v>SAÍDA</v>
      </c>
      <c r="C3669" t="str">
        <f t="shared" si="649"/>
        <v>PIX</v>
      </c>
      <c r="D3669" t="str">
        <f>"34556"</f>
        <v>34556</v>
      </c>
      <c r="E3669" t="str">
        <f t="shared" si="652"/>
        <v>1</v>
      </c>
      <c r="F3669" t="str">
        <f t="shared" si="654"/>
        <v>COM</v>
      </c>
      <c r="G3669" t="str">
        <f>"CRISTIANO XAVIER DA COSTA (269)"</f>
        <v>CRISTIANO XAVIER DA COSTA (269)</v>
      </c>
      <c r="H3669" t="str">
        <f>"Serv.Prest. 02/03/2026 a 08/03/2026 - PIX: CELULAR - CHAVE: (32) 99177-6167"</f>
        <v>Serv.Prest. 02/03/2026 a 08/03/2026 - PIX: CELULAR - CHAVE: (32) 99177-6167</v>
      </c>
      <c r="I3669" t="str">
        <f t="shared" si="650"/>
        <v>19/03/2026</v>
      </c>
      <c r="J3669" t="str">
        <f t="shared" si="653"/>
        <v>10/03/2026</v>
      </c>
      <c r="K3669" t="str">
        <f>("19/03/2026")</f>
        <v>19/03/2026</v>
      </c>
      <c r="L3669">
        <v>1000</v>
      </c>
      <c r="M3669">
        <v>1000</v>
      </c>
      <c r="N3669">
        <v>109</v>
      </c>
      <c r="O3669" t="str">
        <f>"PAGAMENTO DE ENTREGADORES"</f>
        <v>PAGAMENTO DE ENTREGADORES</v>
      </c>
      <c r="P3669">
        <v>1000</v>
      </c>
      <c r="S3669" t="str">
        <f>"BANCO C6 (149)"</f>
        <v>BANCO C6 (149)</v>
      </c>
      <c r="T3669">
        <v>31510</v>
      </c>
      <c r="U3669">
        <v>34556</v>
      </c>
      <c r="V3669" t="s">
        <v>37</v>
      </c>
    </row>
    <row r="3670" spans="1:22">
      <c r="A3670" t="str">
        <f t="shared" si="651"/>
        <v>19/03/2026</v>
      </c>
      <c r="B3670" t="str">
        <f t="shared" si="648"/>
        <v>SAÍDA</v>
      </c>
      <c r="C3670" t="str">
        <f t="shared" si="649"/>
        <v>PIX</v>
      </c>
      <c r="D3670" t="str">
        <f>"34556"</f>
        <v>34556</v>
      </c>
      <c r="E3670" t="str">
        <f t="shared" si="652"/>
        <v>1</v>
      </c>
      <c r="F3670" t="str">
        <f t="shared" si="654"/>
        <v>COM</v>
      </c>
      <c r="G3670" t="str">
        <f>"CRISTIANO XAVIER DA COSTA (269)"</f>
        <v>CRISTIANO XAVIER DA COSTA (269)</v>
      </c>
      <c r="H3670" t="s">
        <v>845</v>
      </c>
      <c r="I3670" t="str">
        <f t="shared" si="650"/>
        <v>19/03/2026</v>
      </c>
      <c r="J3670" t="str">
        <f t="shared" si="653"/>
        <v>10/03/2026</v>
      </c>
      <c r="K3670">
        <v>46100</v>
      </c>
      <c r="N3670">
        <v>109</v>
      </c>
      <c r="O3670" t="s">
        <v>27</v>
      </c>
      <c r="Q3670">
        <v>1000</v>
      </c>
      <c r="R3670" t="str">
        <f>"FARMÁCIA INDIANA LJ 209 (10089)"</f>
        <v>FARMÁCIA INDIANA LJ 209 (10089)</v>
      </c>
      <c r="S3670" t="s">
        <v>37</v>
      </c>
      <c r="T3670">
        <v>31510</v>
      </c>
      <c r="U3670">
        <v>34556</v>
      </c>
      <c r="V3670" t="s">
        <v>37</v>
      </c>
    </row>
    <row r="3671" spans="1:22">
      <c r="A3671" t="str">
        <f t="shared" si="651"/>
        <v>19/03/2026</v>
      </c>
      <c r="B3671" t="str">
        <f t="shared" si="648"/>
        <v>SAÍDA</v>
      </c>
      <c r="C3671" t="str">
        <f t="shared" si="649"/>
        <v>PIX</v>
      </c>
      <c r="D3671" t="str">
        <f>"34557"</f>
        <v>34557</v>
      </c>
      <c r="E3671" t="str">
        <f t="shared" si="652"/>
        <v>1</v>
      </c>
      <c r="F3671" t="str">
        <f t="shared" si="654"/>
        <v>COM</v>
      </c>
      <c r="G3671" t="str">
        <f>"CRISTIANO XAVIER DA COSTA (269)"</f>
        <v>CRISTIANO XAVIER DA COSTA (269)</v>
      </c>
      <c r="H3671" t="str">
        <f>"Serv.Prest. 02/03/2026 a 08/03/2026 - PIX: CELULAR - CHAVE: (32) 99177-6167"</f>
        <v>Serv.Prest. 02/03/2026 a 08/03/2026 - PIX: CELULAR - CHAVE: (32) 99177-6167</v>
      </c>
      <c r="I3671" t="str">
        <f t="shared" si="650"/>
        <v>19/03/2026</v>
      </c>
      <c r="J3671" t="str">
        <f t="shared" si="653"/>
        <v>10/03/2026</v>
      </c>
      <c r="K3671" t="str">
        <f>("19/03/2026")</f>
        <v>19/03/2026</v>
      </c>
      <c r="L3671">
        <v>960</v>
      </c>
      <c r="M3671">
        <v>960</v>
      </c>
      <c r="N3671">
        <v>109</v>
      </c>
      <c r="O3671" t="str">
        <f>"PAGAMENTO DE ENTREGADORES"</f>
        <v>PAGAMENTO DE ENTREGADORES</v>
      </c>
      <c r="P3671">
        <v>960</v>
      </c>
      <c r="S3671" t="str">
        <f>"BANCO C6 (149)"</f>
        <v>BANCO C6 (149)</v>
      </c>
      <c r="T3671">
        <v>31511</v>
      </c>
      <c r="U3671">
        <v>34557</v>
      </c>
      <c r="V3671" t="s">
        <v>37</v>
      </c>
    </row>
    <row r="3672" spans="1:22">
      <c r="A3672" t="str">
        <f t="shared" si="651"/>
        <v>19/03/2026</v>
      </c>
      <c r="B3672" t="str">
        <f t="shared" si="648"/>
        <v>SAÍDA</v>
      </c>
      <c r="C3672" t="str">
        <f t="shared" si="649"/>
        <v>PIX</v>
      </c>
      <c r="D3672" t="str">
        <f>"34557"</f>
        <v>34557</v>
      </c>
      <c r="E3672" t="str">
        <f t="shared" si="652"/>
        <v>1</v>
      </c>
      <c r="F3672" t="str">
        <f t="shared" si="654"/>
        <v>COM</v>
      </c>
      <c r="G3672" t="str">
        <f>"CRISTIANO XAVIER DA COSTA (269)"</f>
        <v>CRISTIANO XAVIER DA COSTA (269)</v>
      </c>
      <c r="H3672" t="s">
        <v>845</v>
      </c>
      <c r="I3672" t="str">
        <f t="shared" si="650"/>
        <v>19/03/2026</v>
      </c>
      <c r="J3672" t="str">
        <f t="shared" si="653"/>
        <v>10/03/2026</v>
      </c>
      <c r="K3672">
        <v>46100</v>
      </c>
      <c r="N3672">
        <v>109</v>
      </c>
      <c r="O3672" t="s">
        <v>27</v>
      </c>
      <c r="Q3672">
        <v>960</v>
      </c>
      <c r="R3672" t="str">
        <f>"FARMÁCIA INDIANA LJ 207 (10088)"</f>
        <v>FARMÁCIA INDIANA LJ 207 (10088)</v>
      </c>
      <c r="S3672" t="s">
        <v>37</v>
      </c>
      <c r="T3672">
        <v>31511</v>
      </c>
      <c r="U3672">
        <v>34557</v>
      </c>
      <c r="V3672" t="s">
        <v>37</v>
      </c>
    </row>
    <row r="3673" spans="1:22">
      <c r="A3673" t="str">
        <f t="shared" si="651"/>
        <v>19/03/2026</v>
      </c>
      <c r="B3673" t="str">
        <f t="shared" si="648"/>
        <v>SAÍDA</v>
      </c>
      <c r="C3673" t="str">
        <f t="shared" si="649"/>
        <v>PIX</v>
      </c>
      <c r="D3673" t="str">
        <f>"34558"</f>
        <v>34558</v>
      </c>
      <c r="E3673" t="str">
        <f t="shared" si="652"/>
        <v>1</v>
      </c>
      <c r="F3673" t="str">
        <f t="shared" si="654"/>
        <v>COM</v>
      </c>
      <c r="G3673" t="str">
        <f>"DAMÁSIO JOSÉ DO NASCIMENTO NETO (147)"</f>
        <v>DAMÁSIO JOSÉ DO NASCIMENTO NETO (147)</v>
      </c>
      <c r="H3673" t="str">
        <f>"Serv.Prest. 02/03/2026 a 08/03/2026 - PIX: CPF - CHAVE: 110.483.296-82"</f>
        <v>Serv.Prest. 02/03/2026 a 08/03/2026 - PIX: CPF - CHAVE: 110.483.296-82</v>
      </c>
      <c r="I3673" t="str">
        <f t="shared" si="650"/>
        <v>19/03/2026</v>
      </c>
      <c r="J3673" t="str">
        <f t="shared" si="653"/>
        <v>10/03/2026</v>
      </c>
      <c r="K3673" t="str">
        <f>("19/03/2026")</f>
        <v>19/03/2026</v>
      </c>
      <c r="L3673">
        <v>866</v>
      </c>
      <c r="M3673">
        <v>866</v>
      </c>
      <c r="N3673">
        <v>109</v>
      </c>
      <c r="O3673" t="str">
        <f>"PAGAMENTO DE ENTREGADORES"</f>
        <v>PAGAMENTO DE ENTREGADORES</v>
      </c>
      <c r="P3673">
        <v>866</v>
      </c>
      <c r="S3673" t="str">
        <f>"BANCO C6 (149)"</f>
        <v>BANCO C6 (149)</v>
      </c>
      <c r="T3673">
        <v>31512</v>
      </c>
      <c r="U3673">
        <v>34558</v>
      </c>
      <c r="V3673" t="s">
        <v>37</v>
      </c>
    </row>
    <row r="3674" spans="1:22">
      <c r="A3674" t="str">
        <f t="shared" si="651"/>
        <v>19/03/2026</v>
      </c>
      <c r="B3674" t="str">
        <f t="shared" si="648"/>
        <v>SAÍDA</v>
      </c>
      <c r="C3674" t="str">
        <f t="shared" si="649"/>
        <v>PIX</v>
      </c>
      <c r="D3674" t="str">
        <f>"34558"</f>
        <v>34558</v>
      </c>
      <c r="E3674" t="str">
        <f t="shared" si="652"/>
        <v>1</v>
      </c>
      <c r="F3674" t="str">
        <f t="shared" si="654"/>
        <v>COM</v>
      </c>
      <c r="G3674" t="str">
        <f>"DAMÁSIO JOSÉ DO NASCIMENTO NETO (147)"</f>
        <v>DAMÁSIO JOSÉ DO NASCIMENTO NETO (147)</v>
      </c>
      <c r="H3674" t="s">
        <v>878</v>
      </c>
      <c r="I3674" t="str">
        <f t="shared" si="650"/>
        <v>19/03/2026</v>
      </c>
      <c r="J3674" t="str">
        <f t="shared" si="653"/>
        <v>10/03/2026</v>
      </c>
      <c r="K3674">
        <v>46100</v>
      </c>
      <c r="N3674">
        <v>109</v>
      </c>
      <c r="O3674" t="s">
        <v>27</v>
      </c>
      <c r="Q3674">
        <v>866</v>
      </c>
      <c r="R3674" t="str">
        <f>"FARMÁCIA INDIANA LJ 142 (10066)"</f>
        <v>FARMÁCIA INDIANA LJ 142 (10066)</v>
      </c>
      <c r="S3674" t="s">
        <v>37</v>
      </c>
      <c r="T3674">
        <v>31512</v>
      </c>
      <c r="U3674">
        <v>34558</v>
      </c>
      <c r="V3674" t="s">
        <v>37</v>
      </c>
    </row>
    <row r="3675" spans="1:22">
      <c r="A3675" t="str">
        <f t="shared" si="651"/>
        <v>19/03/2026</v>
      </c>
      <c r="B3675" t="str">
        <f t="shared" si="648"/>
        <v>SAÍDA</v>
      </c>
      <c r="C3675" t="str">
        <f t="shared" si="649"/>
        <v>PIX</v>
      </c>
      <c r="D3675" t="str">
        <f>"34559"</f>
        <v>34559</v>
      </c>
      <c r="E3675" t="str">
        <f t="shared" si="652"/>
        <v>1</v>
      </c>
      <c r="F3675" t="str">
        <f t="shared" si="654"/>
        <v>COM</v>
      </c>
      <c r="G3675" t="str">
        <f>"DANILO VIEIRA DOS REIS (1129)"</f>
        <v>DANILO VIEIRA DOS REIS (1129)</v>
      </c>
      <c r="H3675" t="str">
        <f>"Serv.Prest. 02/03/2026 a 08/03/2026 - PIX: CPF - CHAVE: 162.540.206-61"</f>
        <v>Serv.Prest. 02/03/2026 a 08/03/2026 - PIX: CPF - CHAVE: 162.540.206-61</v>
      </c>
      <c r="I3675" t="str">
        <f t="shared" si="650"/>
        <v>19/03/2026</v>
      </c>
      <c r="J3675" t="str">
        <f t="shared" si="653"/>
        <v>10/03/2026</v>
      </c>
      <c r="K3675" t="str">
        <f>("19/03/2026")</f>
        <v>19/03/2026</v>
      </c>
      <c r="L3675">
        <v>600</v>
      </c>
      <c r="M3675">
        <v>600</v>
      </c>
      <c r="N3675">
        <v>109</v>
      </c>
      <c r="O3675" t="str">
        <f>"PAGAMENTO DE ENTREGADORES"</f>
        <v>PAGAMENTO DE ENTREGADORES</v>
      </c>
      <c r="P3675">
        <v>600</v>
      </c>
      <c r="S3675" t="str">
        <f>"BANCO C6 (149)"</f>
        <v>BANCO C6 (149)</v>
      </c>
      <c r="T3675">
        <v>31513</v>
      </c>
      <c r="U3675">
        <v>34559</v>
      </c>
      <c r="V3675" t="s">
        <v>37</v>
      </c>
    </row>
    <row r="3676" spans="1:22">
      <c r="A3676" t="str">
        <f t="shared" si="651"/>
        <v>19/03/2026</v>
      </c>
      <c r="B3676" t="str">
        <f t="shared" si="648"/>
        <v>SAÍDA</v>
      </c>
      <c r="C3676" t="str">
        <f t="shared" si="649"/>
        <v>PIX</v>
      </c>
      <c r="D3676" t="str">
        <f>"34559"</f>
        <v>34559</v>
      </c>
      <c r="E3676" t="str">
        <f t="shared" si="652"/>
        <v>1</v>
      </c>
      <c r="F3676" t="str">
        <f t="shared" si="654"/>
        <v>COM</v>
      </c>
      <c r="G3676" t="str">
        <f>"DANILO VIEIRA DOS REIS (1129)"</f>
        <v>DANILO VIEIRA DOS REIS (1129)</v>
      </c>
      <c r="H3676" t="s">
        <v>1038</v>
      </c>
      <c r="I3676" t="str">
        <f t="shared" si="650"/>
        <v>19/03/2026</v>
      </c>
      <c r="J3676" t="str">
        <f t="shared" si="653"/>
        <v>10/03/2026</v>
      </c>
      <c r="K3676">
        <v>46100</v>
      </c>
      <c r="N3676">
        <v>109</v>
      </c>
      <c r="O3676" t="s">
        <v>27</v>
      </c>
      <c r="Q3676">
        <v>600</v>
      </c>
      <c r="R3676" t="str">
        <f>"FARMÁCIA INDIANA LJ 110 (10048)"</f>
        <v>FARMÁCIA INDIANA LJ 110 (10048)</v>
      </c>
      <c r="S3676" t="s">
        <v>37</v>
      </c>
      <c r="T3676">
        <v>31513</v>
      </c>
      <c r="U3676">
        <v>34559</v>
      </c>
      <c r="V3676" t="s">
        <v>37</v>
      </c>
    </row>
    <row r="3677" spans="1:22">
      <c r="A3677" t="str">
        <f t="shared" si="651"/>
        <v>19/03/2026</v>
      </c>
      <c r="B3677" t="str">
        <f t="shared" si="648"/>
        <v>SAÍDA</v>
      </c>
      <c r="C3677" t="str">
        <f t="shared" si="649"/>
        <v>PIX</v>
      </c>
      <c r="D3677" t="str">
        <f>"34560"</f>
        <v>34560</v>
      </c>
      <c r="E3677" t="str">
        <f t="shared" si="652"/>
        <v>1</v>
      </c>
      <c r="F3677" t="str">
        <f t="shared" si="654"/>
        <v>COM</v>
      </c>
      <c r="G3677" t="str">
        <f>"DANILO WASHINGTON DOS SANTOS (770)"</f>
        <v>DANILO WASHINGTON DOS SANTOS (770)</v>
      </c>
      <c r="H3677" t="str">
        <f>"Serv.Prest. 02/03/2026 a 08/03/2026 - PIX: CELULAR - CHAVE: (33) 98749-5105"</f>
        <v>Serv.Prest. 02/03/2026 a 08/03/2026 - PIX: CELULAR - CHAVE: (33) 98749-5105</v>
      </c>
      <c r="I3677" t="str">
        <f t="shared" si="650"/>
        <v>19/03/2026</v>
      </c>
      <c r="J3677" t="str">
        <f t="shared" si="653"/>
        <v>10/03/2026</v>
      </c>
      <c r="K3677" t="str">
        <f>("19/03/2026")</f>
        <v>19/03/2026</v>
      </c>
      <c r="L3677">
        <v>558</v>
      </c>
      <c r="M3677">
        <v>558</v>
      </c>
      <c r="N3677">
        <v>109</v>
      </c>
      <c r="O3677" t="str">
        <f>"PAGAMENTO DE ENTREGADORES"</f>
        <v>PAGAMENTO DE ENTREGADORES</v>
      </c>
      <c r="P3677">
        <v>558</v>
      </c>
      <c r="S3677" t="str">
        <f>"BANCO C6 (149)"</f>
        <v>BANCO C6 (149)</v>
      </c>
      <c r="T3677">
        <v>31514</v>
      </c>
      <c r="U3677">
        <v>34560</v>
      </c>
      <c r="V3677" t="s">
        <v>37</v>
      </c>
    </row>
    <row r="3678" spans="1:22">
      <c r="A3678" t="str">
        <f t="shared" si="651"/>
        <v>19/03/2026</v>
      </c>
      <c r="B3678" t="str">
        <f t="shared" si="648"/>
        <v>SAÍDA</v>
      </c>
      <c r="C3678" t="str">
        <f t="shared" si="649"/>
        <v>PIX</v>
      </c>
      <c r="D3678" t="str">
        <f>"34560"</f>
        <v>34560</v>
      </c>
      <c r="E3678" t="str">
        <f t="shared" si="652"/>
        <v>1</v>
      </c>
      <c r="F3678" t="str">
        <f t="shared" si="654"/>
        <v>COM</v>
      </c>
      <c r="G3678" t="str">
        <f>"DANILO WASHINGTON DOS SANTOS (770)"</f>
        <v>DANILO WASHINGTON DOS SANTOS (770)</v>
      </c>
      <c r="H3678" t="s">
        <v>1039</v>
      </c>
      <c r="I3678" t="str">
        <f t="shared" si="650"/>
        <v>19/03/2026</v>
      </c>
      <c r="J3678" t="str">
        <f t="shared" si="653"/>
        <v>10/03/2026</v>
      </c>
      <c r="K3678">
        <v>46100</v>
      </c>
      <c r="N3678">
        <v>109</v>
      </c>
      <c r="O3678" t="s">
        <v>27</v>
      </c>
      <c r="Q3678">
        <v>558</v>
      </c>
      <c r="R3678" t="str">
        <f>"FARMÁCIA INDIANA LJ 07 (10007)"</f>
        <v>FARMÁCIA INDIANA LJ 07 (10007)</v>
      </c>
      <c r="S3678" t="s">
        <v>37</v>
      </c>
      <c r="T3678">
        <v>31514</v>
      </c>
      <c r="U3678">
        <v>34560</v>
      </c>
      <c r="V3678" t="s">
        <v>37</v>
      </c>
    </row>
    <row r="3679" spans="1:22">
      <c r="A3679" t="str">
        <f t="shared" si="651"/>
        <v>19/03/2026</v>
      </c>
      <c r="B3679" t="str">
        <f t="shared" si="648"/>
        <v>SAÍDA</v>
      </c>
      <c r="C3679" t="str">
        <f t="shared" si="649"/>
        <v>PIX</v>
      </c>
      <c r="D3679" t="str">
        <f>"34561"</f>
        <v>34561</v>
      </c>
      <c r="E3679" t="str">
        <f t="shared" si="652"/>
        <v>1</v>
      </c>
      <c r="F3679" t="str">
        <f t="shared" si="654"/>
        <v>COM</v>
      </c>
      <c r="G3679" t="str">
        <f>"DANTE SOARES DA SILVA (416)"</f>
        <v>DANTE SOARES DA SILVA (416)</v>
      </c>
      <c r="H3679" t="str">
        <f>"Serv.Prest. 02/03/2026 a 08/03/2026 - PIX: CELULAR - CHAVE: (33) 99802-1883"</f>
        <v>Serv.Prest. 02/03/2026 a 08/03/2026 - PIX: CELULAR - CHAVE: (33) 99802-1883</v>
      </c>
      <c r="I3679" t="str">
        <f t="shared" si="650"/>
        <v>19/03/2026</v>
      </c>
      <c r="J3679" t="str">
        <f t="shared" si="653"/>
        <v>10/03/2026</v>
      </c>
      <c r="K3679" t="str">
        <f>("19/03/2026")</f>
        <v>19/03/2026</v>
      </c>
      <c r="L3679">
        <v>729.7</v>
      </c>
      <c r="M3679">
        <v>729.7</v>
      </c>
      <c r="N3679">
        <v>109</v>
      </c>
      <c r="O3679" t="str">
        <f>"PAGAMENTO DE ENTREGADORES"</f>
        <v>PAGAMENTO DE ENTREGADORES</v>
      </c>
      <c r="P3679">
        <v>729.7</v>
      </c>
      <c r="S3679" t="str">
        <f>"BANCO C6 (149)"</f>
        <v>BANCO C6 (149)</v>
      </c>
      <c r="T3679">
        <v>31515</v>
      </c>
      <c r="U3679">
        <v>34561</v>
      </c>
      <c r="V3679" t="s">
        <v>37</v>
      </c>
    </row>
    <row r="3680" spans="1:22">
      <c r="A3680" t="str">
        <f t="shared" si="651"/>
        <v>19/03/2026</v>
      </c>
      <c r="B3680" t="str">
        <f t="shared" si="648"/>
        <v>SAÍDA</v>
      </c>
      <c r="C3680" t="str">
        <f t="shared" si="649"/>
        <v>PIX</v>
      </c>
      <c r="D3680" t="str">
        <f>"34561"</f>
        <v>34561</v>
      </c>
      <c r="E3680" t="str">
        <f t="shared" si="652"/>
        <v>1</v>
      </c>
      <c r="F3680" t="str">
        <f t="shared" si="654"/>
        <v>COM</v>
      </c>
      <c r="G3680" t="str">
        <f>"DANTE SOARES DA SILVA (416)"</f>
        <v>DANTE SOARES DA SILVA (416)</v>
      </c>
      <c r="H3680" t="s">
        <v>847</v>
      </c>
      <c r="I3680" t="str">
        <f t="shared" si="650"/>
        <v>19/03/2026</v>
      </c>
      <c r="J3680" t="str">
        <f t="shared" si="653"/>
        <v>10/03/2026</v>
      </c>
      <c r="K3680">
        <v>46100</v>
      </c>
      <c r="N3680">
        <v>109</v>
      </c>
      <c r="O3680" t="s">
        <v>27</v>
      </c>
      <c r="Q3680">
        <v>729.7</v>
      </c>
      <c r="R3680" t="str">
        <f>"FARMÁCIA INDIANA LJ 59 (10026)"</f>
        <v>FARMÁCIA INDIANA LJ 59 (10026)</v>
      </c>
      <c r="S3680" t="s">
        <v>37</v>
      </c>
      <c r="T3680">
        <v>31515</v>
      </c>
      <c r="U3680">
        <v>34561</v>
      </c>
      <c r="V3680" t="s">
        <v>37</v>
      </c>
    </row>
    <row r="3681" spans="1:22">
      <c r="A3681" t="str">
        <f t="shared" si="651"/>
        <v>19/03/2026</v>
      </c>
      <c r="B3681" t="str">
        <f t="shared" si="648"/>
        <v>SAÍDA</v>
      </c>
      <c r="C3681" t="str">
        <f t="shared" si="649"/>
        <v>PIX</v>
      </c>
      <c r="D3681" t="str">
        <f>"34562"</f>
        <v>34562</v>
      </c>
      <c r="E3681" t="str">
        <f t="shared" si="652"/>
        <v>1</v>
      </c>
      <c r="F3681" t="str">
        <f t="shared" si="654"/>
        <v>COM</v>
      </c>
      <c r="G3681" t="str">
        <f>"DEVANILDO PONTES CASAGRANDE (179)"</f>
        <v>DEVANILDO PONTES CASAGRANDE (179)</v>
      </c>
      <c r="H3681" t="str">
        <f>"Serv.Prest. 02/03/2026 a 08/03/2026 - PIX: CELULAR - CHAVE: (31) 99610-7049"</f>
        <v>Serv.Prest. 02/03/2026 a 08/03/2026 - PIX: CELULAR - CHAVE: (31) 99610-7049</v>
      </c>
      <c r="I3681" t="str">
        <f t="shared" si="650"/>
        <v>19/03/2026</v>
      </c>
      <c r="J3681" t="str">
        <f t="shared" si="653"/>
        <v>10/03/2026</v>
      </c>
      <c r="K3681" t="str">
        <f>("19/03/2026")</f>
        <v>19/03/2026</v>
      </c>
      <c r="L3681">
        <v>748</v>
      </c>
      <c r="M3681">
        <v>748</v>
      </c>
      <c r="N3681">
        <v>109</v>
      </c>
      <c r="O3681" t="str">
        <f>"PAGAMENTO DE ENTREGADORES"</f>
        <v>PAGAMENTO DE ENTREGADORES</v>
      </c>
      <c r="P3681">
        <v>748</v>
      </c>
      <c r="S3681" t="str">
        <f>"BANCO C6 (149)"</f>
        <v>BANCO C6 (149)</v>
      </c>
      <c r="T3681">
        <v>31516</v>
      </c>
      <c r="U3681">
        <v>34562</v>
      </c>
      <c r="V3681" t="s">
        <v>37</v>
      </c>
    </row>
    <row r="3682" spans="1:22">
      <c r="A3682" t="str">
        <f t="shared" si="651"/>
        <v>19/03/2026</v>
      </c>
      <c r="B3682" t="str">
        <f t="shared" si="648"/>
        <v>SAÍDA</v>
      </c>
      <c r="C3682" t="str">
        <f t="shared" si="649"/>
        <v>PIX</v>
      </c>
      <c r="D3682" t="str">
        <f>"34562"</f>
        <v>34562</v>
      </c>
      <c r="E3682" t="str">
        <f t="shared" si="652"/>
        <v>1</v>
      </c>
      <c r="F3682" t="str">
        <f t="shared" si="654"/>
        <v>COM</v>
      </c>
      <c r="G3682" t="str">
        <f>"DEVANILDO PONTES CASAGRANDE (179)"</f>
        <v>DEVANILDO PONTES CASAGRANDE (179)</v>
      </c>
      <c r="H3682" t="s">
        <v>848</v>
      </c>
      <c r="I3682" t="str">
        <f t="shared" si="650"/>
        <v>19/03/2026</v>
      </c>
      <c r="J3682" t="str">
        <f t="shared" si="653"/>
        <v>10/03/2026</v>
      </c>
      <c r="K3682">
        <v>46100</v>
      </c>
      <c r="N3682">
        <v>109</v>
      </c>
      <c r="O3682" t="s">
        <v>27</v>
      </c>
      <c r="Q3682">
        <v>748</v>
      </c>
      <c r="R3682" t="str">
        <f>"FARMÁCIA INDIANA LJ 142 (10066)"</f>
        <v>FARMÁCIA INDIANA LJ 142 (10066)</v>
      </c>
      <c r="S3682" t="s">
        <v>37</v>
      </c>
      <c r="T3682">
        <v>31516</v>
      </c>
      <c r="U3682">
        <v>34562</v>
      </c>
      <c r="V3682" t="s">
        <v>37</v>
      </c>
    </row>
    <row r="3683" spans="1:22">
      <c r="A3683" t="str">
        <f t="shared" si="651"/>
        <v>19/03/2026</v>
      </c>
      <c r="B3683" t="str">
        <f t="shared" si="648"/>
        <v>SAÍDA</v>
      </c>
      <c r="C3683" t="str">
        <f t="shared" si="649"/>
        <v>PIX</v>
      </c>
      <c r="D3683" t="str">
        <f>"34563"</f>
        <v>34563</v>
      </c>
      <c r="E3683" t="str">
        <f t="shared" si="652"/>
        <v>1</v>
      </c>
      <c r="F3683" t="str">
        <f t="shared" si="654"/>
        <v>COM</v>
      </c>
      <c r="G3683" t="str">
        <f>"DIEGO DAYSON FERNANDES VIEIRA (893)"</f>
        <v>DIEGO DAYSON FERNANDES VIEIRA (893)</v>
      </c>
      <c r="H3683" t="str">
        <f>"Serv.Prest. 02/03/2026 a 08/03/2026 - PIX: E-MAIL - CHAVE: turano296801@gmail.com"</f>
        <v>Serv.Prest. 02/03/2026 a 08/03/2026 - PIX: E-MAIL - CHAVE: turano296801@gmail.com</v>
      </c>
      <c r="I3683" t="str">
        <f t="shared" si="650"/>
        <v>19/03/2026</v>
      </c>
      <c r="J3683" t="str">
        <f t="shared" si="653"/>
        <v>10/03/2026</v>
      </c>
      <c r="K3683" t="str">
        <f>("19/03/2026")</f>
        <v>19/03/2026</v>
      </c>
      <c r="L3683">
        <v>740</v>
      </c>
      <c r="M3683">
        <v>740</v>
      </c>
      <c r="N3683">
        <v>109</v>
      </c>
      <c r="O3683" t="str">
        <f>"PAGAMENTO DE ENTREGADORES"</f>
        <v>PAGAMENTO DE ENTREGADORES</v>
      </c>
      <c r="P3683">
        <v>740</v>
      </c>
      <c r="S3683" t="str">
        <f>"BANCO C6 (149)"</f>
        <v>BANCO C6 (149)</v>
      </c>
      <c r="T3683">
        <v>31517</v>
      </c>
      <c r="U3683">
        <v>34563</v>
      </c>
      <c r="V3683" t="s">
        <v>37</v>
      </c>
    </row>
    <row r="3684" spans="1:22">
      <c r="A3684" t="str">
        <f t="shared" si="651"/>
        <v>19/03/2026</v>
      </c>
      <c r="B3684" t="str">
        <f t="shared" si="648"/>
        <v>SAÍDA</v>
      </c>
      <c r="C3684" t="str">
        <f t="shared" si="649"/>
        <v>PIX</v>
      </c>
      <c r="D3684" t="str">
        <f>"34563"</f>
        <v>34563</v>
      </c>
      <c r="E3684" t="str">
        <f t="shared" si="652"/>
        <v>1</v>
      </c>
      <c r="F3684" t="str">
        <f t="shared" si="654"/>
        <v>COM</v>
      </c>
      <c r="G3684" t="str">
        <f>"DIEGO DAYSON FERNANDES VIEIRA (893)"</f>
        <v>DIEGO DAYSON FERNANDES VIEIRA (893)</v>
      </c>
      <c r="H3684" t="s">
        <v>993</v>
      </c>
      <c r="I3684" t="str">
        <f t="shared" si="650"/>
        <v>19/03/2026</v>
      </c>
      <c r="J3684" t="str">
        <f t="shared" si="653"/>
        <v>10/03/2026</v>
      </c>
      <c r="K3684">
        <v>46100</v>
      </c>
      <c r="N3684">
        <v>109</v>
      </c>
      <c r="O3684" t="s">
        <v>27</v>
      </c>
      <c r="Q3684">
        <v>740</v>
      </c>
      <c r="R3684" t="str">
        <f>"FARMÁCIA INDIANA LJ 205 (10150)"</f>
        <v>FARMÁCIA INDIANA LJ 205 (10150)</v>
      </c>
      <c r="S3684" t="s">
        <v>37</v>
      </c>
      <c r="T3684">
        <v>31517</v>
      </c>
      <c r="U3684">
        <v>34563</v>
      </c>
      <c r="V3684" t="s">
        <v>37</v>
      </c>
    </row>
    <row r="3685" spans="1:22">
      <c r="A3685" t="str">
        <f t="shared" si="651"/>
        <v>19/03/2026</v>
      </c>
      <c r="B3685" t="str">
        <f t="shared" si="648"/>
        <v>SAÍDA</v>
      </c>
      <c r="C3685" t="str">
        <f t="shared" si="649"/>
        <v>PIX</v>
      </c>
      <c r="D3685" t="str">
        <f>"34564"</f>
        <v>34564</v>
      </c>
      <c r="E3685" t="str">
        <f t="shared" si="652"/>
        <v>1</v>
      </c>
      <c r="F3685" t="str">
        <f t="shared" si="654"/>
        <v>COM</v>
      </c>
      <c r="G3685" t="str">
        <f>"DIEGO DIRLEY RIBEIRO (38)"</f>
        <v>DIEGO DIRLEY RIBEIRO (38)</v>
      </c>
      <c r="H3685" t="str">
        <f>"Serv.Prest. 02/03/2026 a 08/03/2026 - PIX: CHAVE ALEATÓRIA - CHAVE: fa1cc12c-4f59-4ff9-b237-7274b08cf38e"</f>
        <v>Serv.Prest. 02/03/2026 a 08/03/2026 - PIX: CHAVE ALEATÓRIA - CHAVE: fa1cc12c-4f59-4ff9-b237-7274b08cf38e</v>
      </c>
      <c r="I3685" t="str">
        <f t="shared" si="650"/>
        <v>19/03/2026</v>
      </c>
      <c r="J3685" t="str">
        <f t="shared" si="653"/>
        <v>10/03/2026</v>
      </c>
      <c r="K3685" t="str">
        <f>("19/03/2026")</f>
        <v>19/03/2026</v>
      </c>
      <c r="L3685">
        <v>1782</v>
      </c>
      <c r="M3685">
        <v>1782</v>
      </c>
      <c r="N3685">
        <v>109</v>
      </c>
      <c r="O3685" t="str">
        <f>"PAGAMENTO DE ENTREGADORES"</f>
        <v>PAGAMENTO DE ENTREGADORES</v>
      </c>
      <c r="P3685">
        <v>1782</v>
      </c>
      <c r="S3685" t="str">
        <f>"BANCO C6 (149)"</f>
        <v>BANCO C6 (149)</v>
      </c>
      <c r="T3685">
        <v>31518</v>
      </c>
      <c r="U3685">
        <v>34564</v>
      </c>
      <c r="V3685" t="s">
        <v>37</v>
      </c>
    </row>
    <row r="3686" spans="1:22">
      <c r="A3686" t="str">
        <f t="shared" si="651"/>
        <v>19/03/2026</v>
      </c>
      <c r="B3686" t="str">
        <f t="shared" si="648"/>
        <v>SAÍDA</v>
      </c>
      <c r="C3686" t="str">
        <f t="shared" si="649"/>
        <v>PIX</v>
      </c>
      <c r="D3686" t="str">
        <f>"34564"</f>
        <v>34564</v>
      </c>
      <c r="E3686" t="str">
        <f t="shared" si="652"/>
        <v>1</v>
      </c>
      <c r="F3686" t="str">
        <f t="shared" si="654"/>
        <v>COM</v>
      </c>
      <c r="G3686" t="str">
        <f>"DIEGO DIRLEY RIBEIRO (38)"</f>
        <v>DIEGO DIRLEY RIBEIRO (38)</v>
      </c>
      <c r="H3686" t="s">
        <v>924</v>
      </c>
      <c r="I3686" t="str">
        <f t="shared" si="650"/>
        <v>19/03/2026</v>
      </c>
      <c r="J3686" t="str">
        <f t="shared" si="653"/>
        <v>10/03/2026</v>
      </c>
      <c r="K3686">
        <v>46100</v>
      </c>
      <c r="N3686">
        <v>109</v>
      </c>
      <c r="O3686" t="s">
        <v>27</v>
      </c>
      <c r="Q3686">
        <v>1782</v>
      </c>
      <c r="R3686" t="str">
        <f>"FARMÁCIA INDIANA LJ 172 (10161)"</f>
        <v>FARMÁCIA INDIANA LJ 172 (10161)</v>
      </c>
      <c r="S3686" t="s">
        <v>37</v>
      </c>
      <c r="T3686">
        <v>31518</v>
      </c>
      <c r="U3686">
        <v>34564</v>
      </c>
      <c r="V3686" t="s">
        <v>37</v>
      </c>
    </row>
    <row r="3687" spans="1:22">
      <c r="A3687" t="str">
        <f t="shared" si="651"/>
        <v>19/03/2026</v>
      </c>
      <c r="B3687" t="str">
        <f t="shared" si="648"/>
        <v>SAÍDA</v>
      </c>
      <c r="C3687" t="str">
        <f t="shared" si="649"/>
        <v>PIX</v>
      </c>
      <c r="D3687" t="str">
        <f>"34565"</f>
        <v>34565</v>
      </c>
      <c r="E3687" t="str">
        <f t="shared" si="652"/>
        <v>1</v>
      </c>
      <c r="F3687" t="str">
        <f t="shared" si="654"/>
        <v>COM</v>
      </c>
      <c r="G3687" t="str">
        <f>"DIEGO FAUSTINO DA SILVA (1076)"</f>
        <v>DIEGO FAUSTINO DA SILVA (1076)</v>
      </c>
      <c r="H3687" t="str">
        <f>"Serv.Prest. 02/03/2026 a 08/03/2026 - PIX: CELULAR - CHAVE: (33) 99874-0376"</f>
        <v>Serv.Prest. 02/03/2026 a 08/03/2026 - PIX: CELULAR - CHAVE: (33) 99874-0376</v>
      </c>
      <c r="I3687" t="str">
        <f t="shared" si="650"/>
        <v>19/03/2026</v>
      </c>
      <c r="J3687" t="str">
        <f t="shared" si="653"/>
        <v>10/03/2026</v>
      </c>
      <c r="K3687" t="str">
        <f>("19/03/2026")</f>
        <v>19/03/2026</v>
      </c>
      <c r="L3687">
        <v>1028</v>
      </c>
      <c r="M3687">
        <v>1028</v>
      </c>
      <c r="N3687">
        <v>109</v>
      </c>
      <c r="O3687" t="str">
        <f>"PAGAMENTO DE ENTREGADORES"</f>
        <v>PAGAMENTO DE ENTREGADORES</v>
      </c>
      <c r="P3687">
        <v>1028</v>
      </c>
      <c r="S3687" t="str">
        <f>"BANCO C6 (149)"</f>
        <v>BANCO C6 (149)</v>
      </c>
      <c r="T3687">
        <v>31519</v>
      </c>
      <c r="U3687">
        <v>34565</v>
      </c>
      <c r="V3687" t="s">
        <v>37</v>
      </c>
    </row>
    <row r="3688" spans="1:22">
      <c r="A3688" t="str">
        <f t="shared" si="651"/>
        <v>19/03/2026</v>
      </c>
      <c r="B3688" t="str">
        <f t="shared" si="648"/>
        <v>SAÍDA</v>
      </c>
      <c r="C3688" t="str">
        <f t="shared" si="649"/>
        <v>PIX</v>
      </c>
      <c r="D3688" t="str">
        <f>"34565"</f>
        <v>34565</v>
      </c>
      <c r="E3688" t="str">
        <f t="shared" si="652"/>
        <v>1</v>
      </c>
      <c r="F3688" t="str">
        <f t="shared" si="654"/>
        <v>COM</v>
      </c>
      <c r="G3688" t="str">
        <f>"DIEGO FAUSTINO DA SILVA (1076)"</f>
        <v>DIEGO FAUSTINO DA SILVA (1076)</v>
      </c>
      <c r="H3688" t="s">
        <v>903</v>
      </c>
      <c r="I3688" t="str">
        <f t="shared" si="650"/>
        <v>19/03/2026</v>
      </c>
      <c r="J3688" t="str">
        <f t="shared" si="653"/>
        <v>10/03/2026</v>
      </c>
      <c r="K3688">
        <v>46100</v>
      </c>
      <c r="N3688">
        <v>109</v>
      </c>
      <c r="O3688" t="s">
        <v>27</v>
      </c>
      <c r="Q3688">
        <v>1028</v>
      </c>
      <c r="R3688" t="str">
        <f>"FARMÁCIA INDIANA LJ 152 (10069)"</f>
        <v>FARMÁCIA INDIANA LJ 152 (10069)</v>
      </c>
      <c r="S3688" t="s">
        <v>37</v>
      </c>
      <c r="T3688">
        <v>31519</v>
      </c>
      <c r="U3688">
        <v>34565</v>
      </c>
      <c r="V3688" t="s">
        <v>37</v>
      </c>
    </row>
    <row r="3689" spans="1:22">
      <c r="A3689" t="str">
        <f t="shared" si="651"/>
        <v>19/03/2026</v>
      </c>
      <c r="B3689" t="str">
        <f t="shared" ref="B3689:B3752" si="655">"SAÍDA"</f>
        <v>SAÍDA</v>
      </c>
      <c r="C3689" t="str">
        <f t="shared" ref="C3689:C3752" si="656">"PIX"</f>
        <v>PIX</v>
      </c>
      <c r="D3689" t="str">
        <f>"34566"</f>
        <v>34566</v>
      </c>
      <c r="E3689" t="str">
        <f t="shared" si="652"/>
        <v>1</v>
      </c>
      <c r="F3689" t="str">
        <f t="shared" si="654"/>
        <v>COM</v>
      </c>
      <c r="G3689" t="str">
        <f>"EDIONIO CARVALHO DA SILVA (920)"</f>
        <v>EDIONIO CARVALHO DA SILVA (920)</v>
      </c>
      <c r="H3689" t="str">
        <f>"Serv.Prest. 02/03/2026 a 08/03/2026 - PIX: CNPJ - CHAVE: 64.839.868/0001-62"</f>
        <v>Serv.Prest. 02/03/2026 a 08/03/2026 - PIX: CNPJ - CHAVE: 64.839.868/0001-62</v>
      </c>
      <c r="I3689" t="str">
        <f t="shared" ref="I3689:I3752" si="657">("19/03/2026")</f>
        <v>19/03/2026</v>
      </c>
      <c r="J3689" t="str">
        <f t="shared" si="653"/>
        <v>10/03/2026</v>
      </c>
      <c r="K3689" t="str">
        <f>("19/03/2026")</f>
        <v>19/03/2026</v>
      </c>
      <c r="L3689">
        <v>765</v>
      </c>
      <c r="M3689">
        <v>765</v>
      </c>
      <c r="N3689">
        <v>109</v>
      </c>
      <c r="O3689" t="str">
        <f>"PAGAMENTO DE ENTREGADORES"</f>
        <v>PAGAMENTO DE ENTREGADORES</v>
      </c>
      <c r="P3689">
        <v>765</v>
      </c>
      <c r="S3689" t="str">
        <f>"BANCO C6 (149)"</f>
        <v>BANCO C6 (149)</v>
      </c>
      <c r="T3689">
        <v>31520</v>
      </c>
      <c r="U3689">
        <v>34566</v>
      </c>
      <c r="V3689" t="s">
        <v>37</v>
      </c>
    </row>
    <row r="3690" spans="1:22">
      <c r="A3690" t="str">
        <f t="shared" si="651"/>
        <v>19/03/2026</v>
      </c>
      <c r="B3690" t="str">
        <f t="shared" si="655"/>
        <v>SAÍDA</v>
      </c>
      <c r="C3690" t="str">
        <f t="shared" si="656"/>
        <v>PIX</v>
      </c>
      <c r="D3690" t="str">
        <f>"34566"</f>
        <v>34566</v>
      </c>
      <c r="E3690" t="str">
        <f t="shared" si="652"/>
        <v>1</v>
      </c>
      <c r="F3690" t="str">
        <f t="shared" si="654"/>
        <v>COM</v>
      </c>
      <c r="G3690" t="str">
        <f>"EDIONIO CARVALHO DA SILVA (920)"</f>
        <v>EDIONIO CARVALHO DA SILVA (920)</v>
      </c>
      <c r="H3690" t="s">
        <v>1040</v>
      </c>
      <c r="I3690" t="str">
        <f t="shared" si="657"/>
        <v>19/03/2026</v>
      </c>
      <c r="J3690" t="str">
        <f t="shared" si="653"/>
        <v>10/03/2026</v>
      </c>
      <c r="K3690">
        <v>46100</v>
      </c>
      <c r="N3690">
        <v>109</v>
      </c>
      <c r="O3690" t="s">
        <v>27</v>
      </c>
      <c r="Q3690">
        <v>765</v>
      </c>
      <c r="R3690" t="str">
        <f>"FARMÁCIA INDIANA LJ 171 (10074)"</f>
        <v>FARMÁCIA INDIANA LJ 171 (10074)</v>
      </c>
      <c r="S3690" t="s">
        <v>37</v>
      </c>
      <c r="T3690">
        <v>31520</v>
      </c>
      <c r="U3690">
        <v>34566</v>
      </c>
      <c r="V3690" t="s">
        <v>37</v>
      </c>
    </row>
    <row r="3691" spans="1:22">
      <c r="A3691" t="str">
        <f t="shared" si="651"/>
        <v>19/03/2026</v>
      </c>
      <c r="B3691" t="str">
        <f t="shared" si="655"/>
        <v>SAÍDA</v>
      </c>
      <c r="C3691" t="str">
        <f t="shared" si="656"/>
        <v>PIX</v>
      </c>
      <c r="D3691" t="str">
        <f>"34567"</f>
        <v>34567</v>
      </c>
      <c r="E3691" t="str">
        <f t="shared" si="652"/>
        <v>1</v>
      </c>
      <c r="F3691" t="str">
        <f t="shared" si="654"/>
        <v>COM</v>
      </c>
      <c r="G3691" t="str">
        <f>"EDSON JUNIOR FERREIRA DA SILVA (99)"</f>
        <v>EDSON JUNIOR FERREIRA DA SILVA (99)</v>
      </c>
      <c r="H3691" t="str">
        <f>"Serv.Prest. 02/03/2026 a 08/03/2026 - PIX: CPF - CHAVE: 141.134.256-98"</f>
        <v>Serv.Prest. 02/03/2026 a 08/03/2026 - PIX: CPF - CHAVE: 141.134.256-98</v>
      </c>
      <c r="I3691" t="str">
        <f t="shared" si="657"/>
        <v>19/03/2026</v>
      </c>
      <c r="J3691" t="str">
        <f t="shared" si="653"/>
        <v>10/03/2026</v>
      </c>
      <c r="K3691" t="str">
        <f>("19/03/2026")</f>
        <v>19/03/2026</v>
      </c>
      <c r="L3691">
        <v>620.70000000000005</v>
      </c>
      <c r="M3691">
        <v>620.70000000000005</v>
      </c>
      <c r="N3691">
        <v>109</v>
      </c>
      <c r="O3691" t="str">
        <f>"PAGAMENTO DE ENTREGADORES"</f>
        <v>PAGAMENTO DE ENTREGADORES</v>
      </c>
      <c r="P3691">
        <v>620.70000000000005</v>
      </c>
      <c r="S3691" t="str">
        <f>"BANCO C6 (149)"</f>
        <v>BANCO C6 (149)</v>
      </c>
      <c r="T3691">
        <v>31521</v>
      </c>
      <c r="U3691">
        <v>34567</v>
      </c>
      <c r="V3691" t="s">
        <v>37</v>
      </c>
    </row>
    <row r="3692" spans="1:22">
      <c r="A3692" t="str">
        <f t="shared" si="651"/>
        <v>19/03/2026</v>
      </c>
      <c r="B3692" t="str">
        <f t="shared" si="655"/>
        <v>SAÍDA</v>
      </c>
      <c r="C3692" t="str">
        <f t="shared" si="656"/>
        <v>PIX</v>
      </c>
      <c r="D3692" t="str">
        <f>"34567"</f>
        <v>34567</v>
      </c>
      <c r="E3692" t="str">
        <f t="shared" si="652"/>
        <v>1</v>
      </c>
      <c r="F3692" t="str">
        <f t="shared" si="654"/>
        <v>COM</v>
      </c>
      <c r="G3692" t="str">
        <f>"EDSON JUNIOR FERREIRA DA SILVA (99)"</f>
        <v>EDSON JUNIOR FERREIRA DA SILVA (99)</v>
      </c>
      <c r="H3692" t="s">
        <v>849</v>
      </c>
      <c r="I3692" t="str">
        <f t="shared" si="657"/>
        <v>19/03/2026</v>
      </c>
      <c r="J3692" t="str">
        <f t="shared" si="653"/>
        <v>10/03/2026</v>
      </c>
      <c r="K3692">
        <v>46100</v>
      </c>
      <c r="N3692">
        <v>109</v>
      </c>
      <c r="O3692" t="s">
        <v>27</v>
      </c>
      <c r="Q3692">
        <v>620.70000000000005</v>
      </c>
      <c r="R3692" t="str">
        <f>"FARMÁCIA INDIANA LJ 100 (10042)"</f>
        <v>FARMÁCIA INDIANA LJ 100 (10042)</v>
      </c>
      <c r="S3692" t="s">
        <v>37</v>
      </c>
      <c r="T3692">
        <v>31521</v>
      </c>
      <c r="U3692">
        <v>34567</v>
      </c>
      <c r="V3692" t="s">
        <v>37</v>
      </c>
    </row>
    <row r="3693" spans="1:22">
      <c r="A3693" t="str">
        <f t="shared" si="651"/>
        <v>19/03/2026</v>
      </c>
      <c r="B3693" t="str">
        <f t="shared" si="655"/>
        <v>SAÍDA</v>
      </c>
      <c r="C3693" t="str">
        <f t="shared" si="656"/>
        <v>PIX</v>
      </c>
      <c r="D3693" t="str">
        <f>"34568"</f>
        <v>34568</v>
      </c>
      <c r="E3693" t="str">
        <f t="shared" si="652"/>
        <v>1</v>
      </c>
      <c r="F3693" t="str">
        <f t="shared" si="654"/>
        <v>COM</v>
      </c>
      <c r="G3693" t="str">
        <f>"EMANUEL COSTA NASCIMENTO (1361)"</f>
        <v>EMANUEL COSTA NASCIMENTO (1361)</v>
      </c>
      <c r="H3693" t="str">
        <f>"Serv.Prest. 02/03/2026 a 08/03/2026 - PIX: CPF - CHAVE: 108.982.386-09"</f>
        <v>Serv.Prest. 02/03/2026 a 08/03/2026 - PIX: CPF - CHAVE: 108.982.386-09</v>
      </c>
      <c r="I3693" t="str">
        <f t="shared" si="657"/>
        <v>19/03/2026</v>
      </c>
      <c r="J3693" t="str">
        <f t="shared" si="653"/>
        <v>10/03/2026</v>
      </c>
      <c r="K3693" t="str">
        <f>("19/03/2026")</f>
        <v>19/03/2026</v>
      </c>
      <c r="L3693">
        <v>1020</v>
      </c>
      <c r="M3693">
        <v>1020</v>
      </c>
      <c r="N3693">
        <v>109</v>
      </c>
      <c r="O3693" t="str">
        <f>"PAGAMENTO DE ENTREGADORES"</f>
        <v>PAGAMENTO DE ENTREGADORES</v>
      </c>
      <c r="P3693">
        <v>1020</v>
      </c>
      <c r="S3693" t="str">
        <f>"BANCO C6 (149)"</f>
        <v>BANCO C6 (149)</v>
      </c>
      <c r="T3693">
        <v>31522</v>
      </c>
      <c r="U3693">
        <v>34568</v>
      </c>
      <c r="V3693" t="s">
        <v>37</v>
      </c>
    </row>
    <row r="3694" spans="1:22">
      <c r="A3694" t="str">
        <f t="shared" si="651"/>
        <v>19/03/2026</v>
      </c>
      <c r="B3694" t="str">
        <f t="shared" si="655"/>
        <v>SAÍDA</v>
      </c>
      <c r="C3694" t="str">
        <f t="shared" si="656"/>
        <v>PIX</v>
      </c>
      <c r="D3694" t="str">
        <f>"34568"</f>
        <v>34568</v>
      </c>
      <c r="E3694" t="str">
        <f t="shared" si="652"/>
        <v>1</v>
      </c>
      <c r="F3694" t="str">
        <f t="shared" si="654"/>
        <v>COM</v>
      </c>
      <c r="G3694" t="str">
        <f>"EMANUEL COSTA NASCIMENTO (1361)"</f>
        <v>EMANUEL COSTA NASCIMENTO (1361)</v>
      </c>
      <c r="H3694" t="s">
        <v>995</v>
      </c>
      <c r="I3694" t="str">
        <f t="shared" si="657"/>
        <v>19/03/2026</v>
      </c>
      <c r="J3694" t="str">
        <f t="shared" si="653"/>
        <v>10/03/2026</v>
      </c>
      <c r="K3694">
        <v>46100</v>
      </c>
      <c r="N3694">
        <v>109</v>
      </c>
      <c r="O3694" t="s">
        <v>27</v>
      </c>
      <c r="Q3694">
        <v>1020</v>
      </c>
      <c r="R3694" t="str">
        <f>"FARMÁCIA INDIANA LJ 06 (10006)"</f>
        <v>FARMÁCIA INDIANA LJ 06 (10006)</v>
      </c>
      <c r="S3694" t="s">
        <v>37</v>
      </c>
      <c r="T3694">
        <v>31522</v>
      </c>
      <c r="U3694">
        <v>34568</v>
      </c>
      <c r="V3694" t="s">
        <v>37</v>
      </c>
    </row>
    <row r="3695" spans="1:22">
      <c r="A3695" t="str">
        <f t="shared" si="651"/>
        <v>19/03/2026</v>
      </c>
      <c r="B3695" t="str">
        <f t="shared" si="655"/>
        <v>SAÍDA</v>
      </c>
      <c r="C3695" t="str">
        <f t="shared" si="656"/>
        <v>PIX</v>
      </c>
      <c r="D3695" t="str">
        <f>"34569"</f>
        <v>34569</v>
      </c>
      <c r="E3695" t="str">
        <f t="shared" si="652"/>
        <v>1</v>
      </c>
      <c r="F3695" t="str">
        <f t="shared" si="654"/>
        <v>COM</v>
      </c>
      <c r="G3695" t="str">
        <f>"EUDES PIMENTA (368)"</f>
        <v>EUDES PIMENTA (368)</v>
      </c>
      <c r="H3695" t="str">
        <f>"Serv.Prest. 02/03/2026 a 08/03/2026 - PIX: CPF - CHAVE: 070.073.316-70"</f>
        <v>Serv.Prest. 02/03/2026 a 08/03/2026 - PIX: CPF - CHAVE: 070.073.316-70</v>
      </c>
      <c r="I3695" t="str">
        <f t="shared" si="657"/>
        <v>19/03/2026</v>
      </c>
      <c r="J3695" t="str">
        <f t="shared" si="653"/>
        <v>10/03/2026</v>
      </c>
      <c r="K3695" t="str">
        <f>("19/03/2026")</f>
        <v>19/03/2026</v>
      </c>
      <c r="L3695">
        <v>1000</v>
      </c>
      <c r="M3695">
        <v>1000</v>
      </c>
      <c r="N3695">
        <v>109</v>
      </c>
      <c r="O3695" t="str">
        <f>"PAGAMENTO DE ENTREGADORES"</f>
        <v>PAGAMENTO DE ENTREGADORES</v>
      </c>
      <c r="P3695">
        <v>1000</v>
      </c>
      <c r="S3695" t="str">
        <f>"BANCO C6 (149)"</f>
        <v>BANCO C6 (149)</v>
      </c>
      <c r="T3695">
        <v>31523</v>
      </c>
      <c r="U3695">
        <v>34569</v>
      </c>
      <c r="V3695" t="s">
        <v>37</v>
      </c>
    </row>
    <row r="3696" spans="1:22">
      <c r="A3696" t="str">
        <f t="shared" ref="A3696:A3759" si="658">("19/03/2026")</f>
        <v>19/03/2026</v>
      </c>
      <c r="B3696" t="str">
        <f t="shared" si="655"/>
        <v>SAÍDA</v>
      </c>
      <c r="C3696" t="str">
        <f t="shared" si="656"/>
        <v>PIX</v>
      </c>
      <c r="D3696" t="str">
        <f>"34569"</f>
        <v>34569</v>
      </c>
      <c r="E3696" t="str">
        <f t="shared" si="652"/>
        <v>1</v>
      </c>
      <c r="F3696" t="str">
        <f t="shared" si="654"/>
        <v>COM</v>
      </c>
      <c r="G3696" t="str">
        <f>"EUDES PIMENTA (368)"</f>
        <v>EUDES PIMENTA (368)</v>
      </c>
      <c r="H3696" t="s">
        <v>851</v>
      </c>
      <c r="I3696" t="str">
        <f t="shared" si="657"/>
        <v>19/03/2026</v>
      </c>
      <c r="J3696" t="str">
        <f t="shared" si="653"/>
        <v>10/03/2026</v>
      </c>
      <c r="K3696">
        <v>46100</v>
      </c>
      <c r="N3696">
        <v>109</v>
      </c>
      <c r="O3696" t="s">
        <v>27</v>
      </c>
      <c r="Q3696">
        <v>1000</v>
      </c>
      <c r="R3696" t="str">
        <f>"FARMÁCIA INDIANA LJ 06 (10006)"</f>
        <v>FARMÁCIA INDIANA LJ 06 (10006)</v>
      </c>
      <c r="S3696" t="s">
        <v>37</v>
      </c>
      <c r="T3696">
        <v>31523</v>
      </c>
      <c r="U3696">
        <v>34569</v>
      </c>
      <c r="V3696" t="s">
        <v>37</v>
      </c>
    </row>
    <row r="3697" spans="1:22">
      <c r="A3697" t="str">
        <f t="shared" si="658"/>
        <v>19/03/2026</v>
      </c>
      <c r="B3697" t="str">
        <f t="shared" si="655"/>
        <v>SAÍDA</v>
      </c>
      <c r="C3697" t="str">
        <f t="shared" si="656"/>
        <v>PIX</v>
      </c>
      <c r="D3697" t="str">
        <f>"34570"</f>
        <v>34570</v>
      </c>
      <c r="E3697" t="str">
        <f t="shared" si="652"/>
        <v>1</v>
      </c>
      <c r="F3697" t="str">
        <f t="shared" si="654"/>
        <v>COM</v>
      </c>
      <c r="G3697" t="str">
        <f>"EZEQUIEL CORREA DA SILVA (1093)"</f>
        <v>EZEQUIEL CORREA DA SILVA (1093)</v>
      </c>
      <c r="H3697" t="str">
        <f>"Serv.Prest. 02/03/2026 a 08/03/2026 - PIX: E-MAIL - CHAVE: ezequielcorrea123@gmail.com"</f>
        <v>Serv.Prest. 02/03/2026 a 08/03/2026 - PIX: E-MAIL - CHAVE: ezequielcorrea123@gmail.com</v>
      </c>
      <c r="I3697" t="str">
        <f t="shared" si="657"/>
        <v>19/03/2026</v>
      </c>
      <c r="J3697" t="str">
        <f t="shared" si="653"/>
        <v>10/03/2026</v>
      </c>
      <c r="K3697" t="str">
        <f>("19/03/2026")</f>
        <v>19/03/2026</v>
      </c>
      <c r="L3697">
        <v>600</v>
      </c>
      <c r="M3697">
        <v>600</v>
      </c>
      <c r="N3697">
        <v>109</v>
      </c>
      <c r="O3697" t="str">
        <f>"PAGAMENTO DE ENTREGADORES"</f>
        <v>PAGAMENTO DE ENTREGADORES</v>
      </c>
      <c r="P3697">
        <v>600</v>
      </c>
      <c r="S3697" t="str">
        <f>"BANCO C6 (149)"</f>
        <v>BANCO C6 (149)</v>
      </c>
      <c r="T3697">
        <v>31524</v>
      </c>
      <c r="U3697">
        <v>34570</v>
      </c>
      <c r="V3697" t="s">
        <v>37</v>
      </c>
    </row>
    <row r="3698" spans="1:22">
      <c r="A3698" t="str">
        <f t="shared" si="658"/>
        <v>19/03/2026</v>
      </c>
      <c r="B3698" t="str">
        <f t="shared" si="655"/>
        <v>SAÍDA</v>
      </c>
      <c r="C3698" t="str">
        <f t="shared" si="656"/>
        <v>PIX</v>
      </c>
      <c r="D3698" t="str">
        <f>"34570"</f>
        <v>34570</v>
      </c>
      <c r="E3698" t="str">
        <f t="shared" si="652"/>
        <v>1</v>
      </c>
      <c r="F3698" t="str">
        <f t="shared" si="654"/>
        <v>COM</v>
      </c>
      <c r="G3698" t="str">
        <f>"EZEQUIEL CORREA DA SILVA (1093)"</f>
        <v>EZEQUIEL CORREA DA SILVA (1093)</v>
      </c>
      <c r="H3698" t="s">
        <v>1041</v>
      </c>
      <c r="I3698" t="str">
        <f t="shared" si="657"/>
        <v>19/03/2026</v>
      </c>
      <c r="J3698" t="str">
        <f t="shared" si="653"/>
        <v>10/03/2026</v>
      </c>
      <c r="K3698">
        <v>46100</v>
      </c>
      <c r="N3698">
        <v>109</v>
      </c>
      <c r="O3698" t="s">
        <v>27</v>
      </c>
      <c r="Q3698">
        <v>600</v>
      </c>
      <c r="R3698" t="str">
        <f>"FARMÁCIA INDIANA LJ 64 (10029)"</f>
        <v>FARMÁCIA INDIANA LJ 64 (10029)</v>
      </c>
      <c r="S3698" t="s">
        <v>37</v>
      </c>
      <c r="T3698">
        <v>31524</v>
      </c>
      <c r="U3698">
        <v>34570</v>
      </c>
      <c r="V3698" t="s">
        <v>37</v>
      </c>
    </row>
    <row r="3699" spans="1:22">
      <c r="A3699" t="str">
        <f t="shared" si="658"/>
        <v>19/03/2026</v>
      </c>
      <c r="B3699" t="str">
        <f t="shared" si="655"/>
        <v>SAÍDA</v>
      </c>
      <c r="C3699" t="str">
        <f t="shared" si="656"/>
        <v>PIX</v>
      </c>
      <c r="D3699" t="str">
        <f>"34571"</f>
        <v>34571</v>
      </c>
      <c r="E3699" t="str">
        <f t="shared" si="652"/>
        <v>1</v>
      </c>
      <c r="F3699" t="str">
        <f t="shared" si="654"/>
        <v>COM</v>
      </c>
      <c r="G3699" t="str">
        <f>"FABRICIO RAMON SOARES SANTOS (645)"</f>
        <v>FABRICIO RAMON SOARES SANTOS (645)</v>
      </c>
      <c r="H3699" t="str">
        <f>"Serv.Prest. 02/03/2026 a 08/03/2026 - PIX: CELULAR - CHAVE: (31) 98483-3242"</f>
        <v>Serv.Prest. 02/03/2026 a 08/03/2026 - PIX: CELULAR - CHAVE: (31) 98483-3242</v>
      </c>
      <c r="I3699" t="str">
        <f t="shared" si="657"/>
        <v>19/03/2026</v>
      </c>
      <c r="J3699" t="str">
        <f t="shared" si="653"/>
        <v>10/03/2026</v>
      </c>
      <c r="K3699" t="str">
        <f>("19/03/2026")</f>
        <v>19/03/2026</v>
      </c>
      <c r="L3699">
        <v>1870</v>
      </c>
      <c r="M3699">
        <v>1870</v>
      </c>
      <c r="N3699">
        <v>109</v>
      </c>
      <c r="O3699" t="str">
        <f>"PAGAMENTO DE ENTREGADORES"</f>
        <v>PAGAMENTO DE ENTREGADORES</v>
      </c>
      <c r="P3699">
        <v>1870</v>
      </c>
      <c r="S3699" t="str">
        <f>"BANCO C6 (149)"</f>
        <v>BANCO C6 (149)</v>
      </c>
      <c r="T3699">
        <v>31525</v>
      </c>
      <c r="U3699">
        <v>34571</v>
      </c>
      <c r="V3699" t="s">
        <v>37</v>
      </c>
    </row>
    <row r="3700" spans="1:22">
      <c r="A3700" t="str">
        <f t="shared" si="658"/>
        <v>19/03/2026</v>
      </c>
      <c r="B3700" t="str">
        <f t="shared" si="655"/>
        <v>SAÍDA</v>
      </c>
      <c r="C3700" t="str">
        <f t="shared" si="656"/>
        <v>PIX</v>
      </c>
      <c r="D3700" t="str">
        <f>"34571"</f>
        <v>34571</v>
      </c>
      <c r="E3700" t="str">
        <f t="shared" si="652"/>
        <v>1</v>
      </c>
      <c r="F3700" t="str">
        <f t="shared" si="654"/>
        <v>COM</v>
      </c>
      <c r="G3700" t="str">
        <f>"FABRICIO RAMON SOARES SANTOS (645)"</f>
        <v>FABRICIO RAMON SOARES SANTOS (645)</v>
      </c>
      <c r="H3700" t="s">
        <v>840</v>
      </c>
      <c r="I3700" t="str">
        <f t="shared" si="657"/>
        <v>19/03/2026</v>
      </c>
      <c r="J3700" t="str">
        <f t="shared" si="653"/>
        <v>10/03/2026</v>
      </c>
      <c r="K3700">
        <v>46100</v>
      </c>
      <c r="N3700">
        <v>109</v>
      </c>
      <c r="O3700" t="s">
        <v>27</v>
      </c>
      <c r="Q3700">
        <v>1870</v>
      </c>
      <c r="R3700" t="str">
        <f>"FARMÁCIA INDIANA LJ 101 (10043)"</f>
        <v>FARMÁCIA INDIANA LJ 101 (10043)</v>
      </c>
      <c r="S3700" t="s">
        <v>37</v>
      </c>
      <c r="T3700">
        <v>31525</v>
      </c>
      <c r="U3700">
        <v>34571</v>
      </c>
      <c r="V3700" t="s">
        <v>37</v>
      </c>
    </row>
    <row r="3701" spans="1:22">
      <c r="A3701" t="str">
        <f t="shared" si="658"/>
        <v>19/03/2026</v>
      </c>
      <c r="B3701" t="str">
        <f t="shared" si="655"/>
        <v>SAÍDA</v>
      </c>
      <c r="C3701" t="str">
        <f t="shared" si="656"/>
        <v>PIX</v>
      </c>
      <c r="D3701" t="str">
        <f>"34572"</f>
        <v>34572</v>
      </c>
      <c r="E3701" t="str">
        <f t="shared" si="652"/>
        <v>1</v>
      </c>
      <c r="F3701" t="str">
        <f t="shared" si="654"/>
        <v>COM</v>
      </c>
      <c r="G3701" t="str">
        <f>"GABRIEL MARINI CAMPOS DE SOUZA (1140)"</f>
        <v>GABRIEL MARINI CAMPOS DE SOUZA (1140)</v>
      </c>
      <c r="H3701" t="str">
        <f>"Serv.Prest. 02/03/2026 a 08/03/2026 - PIX: CPF - CHAVE: 163.440.926-45"</f>
        <v>Serv.Prest. 02/03/2026 a 08/03/2026 - PIX: CPF - CHAVE: 163.440.926-45</v>
      </c>
      <c r="I3701" t="str">
        <f t="shared" si="657"/>
        <v>19/03/2026</v>
      </c>
      <c r="J3701" t="str">
        <f t="shared" si="653"/>
        <v>10/03/2026</v>
      </c>
      <c r="K3701" t="str">
        <f>("19/03/2026")</f>
        <v>19/03/2026</v>
      </c>
      <c r="L3701">
        <v>642</v>
      </c>
      <c r="M3701">
        <v>642</v>
      </c>
      <c r="N3701">
        <v>109</v>
      </c>
      <c r="O3701" t="str">
        <f>"PAGAMENTO DE ENTREGADORES"</f>
        <v>PAGAMENTO DE ENTREGADORES</v>
      </c>
      <c r="P3701">
        <v>642</v>
      </c>
      <c r="S3701" t="str">
        <f>"BANCO C6 (149)"</f>
        <v>BANCO C6 (149)</v>
      </c>
      <c r="T3701">
        <v>31526</v>
      </c>
      <c r="U3701">
        <v>34572</v>
      </c>
      <c r="V3701" t="s">
        <v>37</v>
      </c>
    </row>
    <row r="3702" spans="1:22">
      <c r="A3702" t="str">
        <f t="shared" si="658"/>
        <v>19/03/2026</v>
      </c>
      <c r="B3702" t="str">
        <f t="shared" si="655"/>
        <v>SAÍDA</v>
      </c>
      <c r="C3702" t="str">
        <f t="shared" si="656"/>
        <v>PIX</v>
      </c>
      <c r="D3702" t="str">
        <f>"34572"</f>
        <v>34572</v>
      </c>
      <c r="E3702" t="str">
        <f t="shared" si="652"/>
        <v>1</v>
      </c>
      <c r="F3702" t="str">
        <f t="shared" si="654"/>
        <v>COM</v>
      </c>
      <c r="G3702" t="str">
        <f>"GABRIEL MARINI CAMPOS DE SOUZA (1140)"</f>
        <v>GABRIEL MARINI CAMPOS DE SOUZA (1140)</v>
      </c>
      <c r="H3702" t="s">
        <v>975</v>
      </c>
      <c r="I3702" t="str">
        <f t="shared" si="657"/>
        <v>19/03/2026</v>
      </c>
      <c r="J3702" t="str">
        <f t="shared" si="653"/>
        <v>10/03/2026</v>
      </c>
      <c r="K3702">
        <v>46100</v>
      </c>
      <c r="N3702">
        <v>109</v>
      </c>
      <c r="O3702" t="s">
        <v>27</v>
      </c>
      <c r="Q3702">
        <v>642</v>
      </c>
      <c r="R3702" t="str">
        <f>"FARMÁCIA INDIANA LJ 134 (10271)"</f>
        <v>FARMÁCIA INDIANA LJ 134 (10271)</v>
      </c>
      <c r="S3702" t="s">
        <v>37</v>
      </c>
      <c r="T3702">
        <v>31526</v>
      </c>
      <c r="U3702">
        <v>34572</v>
      </c>
      <c r="V3702" t="s">
        <v>37</v>
      </c>
    </row>
    <row r="3703" spans="1:22">
      <c r="A3703" t="str">
        <f t="shared" si="658"/>
        <v>19/03/2026</v>
      </c>
      <c r="B3703" t="str">
        <f t="shared" si="655"/>
        <v>SAÍDA</v>
      </c>
      <c r="C3703" t="str">
        <f t="shared" si="656"/>
        <v>PIX</v>
      </c>
      <c r="D3703" t="str">
        <f>"34573"</f>
        <v>34573</v>
      </c>
      <c r="E3703" t="str">
        <f t="shared" ref="E3703:E3766" si="659">"1"</f>
        <v>1</v>
      </c>
      <c r="F3703" t="str">
        <f t="shared" si="654"/>
        <v>COM</v>
      </c>
      <c r="G3703" t="str">
        <f>"GABRIEL SOARES VIEIRA (18)"</f>
        <v>GABRIEL SOARES VIEIRA (18)</v>
      </c>
      <c r="H3703" t="str">
        <f>"Serv.Prest. 02/03/2026 a 08/03/2026 - PIX: CPF - CHAVE: 179.800.027-09"</f>
        <v>Serv.Prest. 02/03/2026 a 08/03/2026 - PIX: CPF - CHAVE: 179.800.027-09</v>
      </c>
      <c r="I3703" t="str">
        <f t="shared" si="657"/>
        <v>19/03/2026</v>
      </c>
      <c r="J3703" t="str">
        <f t="shared" si="653"/>
        <v>10/03/2026</v>
      </c>
      <c r="K3703" t="str">
        <f>("19/03/2026")</f>
        <v>19/03/2026</v>
      </c>
      <c r="L3703">
        <v>1034.5</v>
      </c>
      <c r="M3703">
        <v>1034.5</v>
      </c>
      <c r="N3703">
        <v>109</v>
      </c>
      <c r="O3703" t="str">
        <f>"PAGAMENTO DE ENTREGADORES"</f>
        <v>PAGAMENTO DE ENTREGADORES</v>
      </c>
      <c r="P3703">
        <v>1034.5</v>
      </c>
      <c r="S3703" t="str">
        <f>"BANCO C6 (149)"</f>
        <v>BANCO C6 (149)</v>
      </c>
      <c r="T3703">
        <v>31527</v>
      </c>
      <c r="U3703">
        <v>34573</v>
      </c>
      <c r="V3703" t="s">
        <v>37</v>
      </c>
    </row>
    <row r="3704" spans="1:22">
      <c r="A3704" t="str">
        <f t="shared" si="658"/>
        <v>19/03/2026</v>
      </c>
      <c r="B3704" t="str">
        <f t="shared" si="655"/>
        <v>SAÍDA</v>
      </c>
      <c r="C3704" t="str">
        <f t="shared" si="656"/>
        <v>PIX</v>
      </c>
      <c r="D3704" t="str">
        <f>"34573"</f>
        <v>34573</v>
      </c>
      <c r="E3704" t="str">
        <f t="shared" si="659"/>
        <v>1</v>
      </c>
      <c r="F3704" t="str">
        <f t="shared" si="654"/>
        <v>COM</v>
      </c>
      <c r="G3704" t="str">
        <f>"GABRIEL SOARES VIEIRA (18)"</f>
        <v>GABRIEL SOARES VIEIRA (18)</v>
      </c>
      <c r="H3704" t="s">
        <v>927</v>
      </c>
      <c r="I3704" t="str">
        <f t="shared" si="657"/>
        <v>19/03/2026</v>
      </c>
      <c r="J3704" t="str">
        <f t="shared" si="653"/>
        <v>10/03/2026</v>
      </c>
      <c r="K3704">
        <v>46100</v>
      </c>
      <c r="N3704">
        <v>109</v>
      </c>
      <c r="O3704" t="s">
        <v>27</v>
      </c>
      <c r="Q3704">
        <v>1034.5</v>
      </c>
      <c r="R3704" t="str">
        <f>"FARMÁCIA INDIANA LJ 40 (10016)"</f>
        <v>FARMÁCIA INDIANA LJ 40 (10016)</v>
      </c>
      <c r="S3704" t="s">
        <v>37</v>
      </c>
      <c r="T3704">
        <v>31527</v>
      </c>
      <c r="U3704">
        <v>34573</v>
      </c>
      <c r="V3704" t="s">
        <v>37</v>
      </c>
    </row>
    <row r="3705" spans="1:22">
      <c r="A3705" t="str">
        <f t="shared" si="658"/>
        <v>19/03/2026</v>
      </c>
      <c r="B3705" t="str">
        <f t="shared" si="655"/>
        <v>SAÍDA</v>
      </c>
      <c r="C3705" t="str">
        <f t="shared" si="656"/>
        <v>PIX</v>
      </c>
      <c r="D3705" t="str">
        <f>"34574"</f>
        <v>34574</v>
      </c>
      <c r="E3705" t="str">
        <f t="shared" si="659"/>
        <v>1</v>
      </c>
      <c r="F3705" t="str">
        <f t="shared" si="654"/>
        <v>COM</v>
      </c>
      <c r="G3705" t="str">
        <f>"GABRIEL VIANA PEREIRA (1097)"</f>
        <v>GABRIEL VIANA PEREIRA (1097)</v>
      </c>
      <c r="H3705" t="str">
        <f>"Serv.Prest. 02/03/2026 a 08/03/2026 - PIX: CELULAR - CHAVE: (33) 98408-4618"</f>
        <v>Serv.Prest. 02/03/2026 a 08/03/2026 - PIX: CELULAR - CHAVE: (33) 98408-4618</v>
      </c>
      <c r="I3705" t="str">
        <f t="shared" si="657"/>
        <v>19/03/2026</v>
      </c>
      <c r="J3705" t="str">
        <f t="shared" si="653"/>
        <v>10/03/2026</v>
      </c>
      <c r="K3705" t="str">
        <f>("19/03/2026")</f>
        <v>19/03/2026</v>
      </c>
      <c r="L3705">
        <v>498</v>
      </c>
      <c r="M3705">
        <v>498</v>
      </c>
      <c r="N3705">
        <v>109</v>
      </c>
      <c r="O3705" t="str">
        <f>"PAGAMENTO DE ENTREGADORES"</f>
        <v>PAGAMENTO DE ENTREGADORES</v>
      </c>
      <c r="P3705">
        <v>498</v>
      </c>
      <c r="S3705" t="str">
        <f>"BANCO C6 (149)"</f>
        <v>BANCO C6 (149)</v>
      </c>
      <c r="T3705">
        <v>31528</v>
      </c>
      <c r="U3705">
        <v>34574</v>
      </c>
      <c r="V3705" t="s">
        <v>37</v>
      </c>
    </row>
    <row r="3706" spans="1:22">
      <c r="A3706" t="str">
        <f t="shared" si="658"/>
        <v>19/03/2026</v>
      </c>
      <c r="B3706" t="str">
        <f t="shared" si="655"/>
        <v>SAÍDA</v>
      </c>
      <c r="C3706" t="str">
        <f t="shared" si="656"/>
        <v>PIX</v>
      </c>
      <c r="D3706" t="str">
        <f>"34574"</f>
        <v>34574</v>
      </c>
      <c r="E3706" t="str">
        <f t="shared" si="659"/>
        <v>1</v>
      </c>
      <c r="F3706" t="str">
        <f t="shared" si="654"/>
        <v>COM</v>
      </c>
      <c r="G3706" t="str">
        <f>"GABRIEL VIANA PEREIRA (1097)"</f>
        <v>GABRIEL VIANA PEREIRA (1097)</v>
      </c>
      <c r="H3706" t="s">
        <v>1042</v>
      </c>
      <c r="I3706" t="str">
        <f t="shared" si="657"/>
        <v>19/03/2026</v>
      </c>
      <c r="J3706" t="str">
        <f t="shared" si="653"/>
        <v>10/03/2026</v>
      </c>
      <c r="K3706">
        <v>46100</v>
      </c>
      <c r="N3706">
        <v>109</v>
      </c>
      <c r="O3706" t="s">
        <v>27</v>
      </c>
      <c r="Q3706">
        <v>498</v>
      </c>
      <c r="R3706" t="str">
        <f>"FARMÁCIA INDIANA LJ 07 (10007)"</f>
        <v>FARMÁCIA INDIANA LJ 07 (10007)</v>
      </c>
      <c r="S3706" t="s">
        <v>37</v>
      </c>
      <c r="T3706">
        <v>31528</v>
      </c>
      <c r="U3706">
        <v>34574</v>
      </c>
      <c r="V3706" t="s">
        <v>37</v>
      </c>
    </row>
    <row r="3707" spans="1:22">
      <c r="A3707" t="str">
        <f t="shared" si="658"/>
        <v>19/03/2026</v>
      </c>
      <c r="B3707" t="str">
        <f t="shared" si="655"/>
        <v>SAÍDA</v>
      </c>
      <c r="C3707" t="str">
        <f t="shared" si="656"/>
        <v>PIX</v>
      </c>
      <c r="D3707" t="str">
        <f>"34575"</f>
        <v>34575</v>
      </c>
      <c r="E3707" t="str">
        <f t="shared" si="659"/>
        <v>1</v>
      </c>
      <c r="F3707" t="str">
        <f t="shared" si="654"/>
        <v>COM</v>
      </c>
      <c r="G3707" t="str">
        <f>"GILDASIO DOMINGOS DOS SANTOS (54)"</f>
        <v>GILDASIO DOMINGOS DOS SANTOS (54)</v>
      </c>
      <c r="H3707" t="str">
        <f>"Serv.Prest. 02/03/2026 a 08/03/2026 - PIX: CNPJ - CHAVE: 41.602.926/0001-34"</f>
        <v>Serv.Prest. 02/03/2026 a 08/03/2026 - PIX: CNPJ - CHAVE: 41.602.926/0001-34</v>
      </c>
      <c r="I3707" t="str">
        <f t="shared" si="657"/>
        <v>19/03/2026</v>
      </c>
      <c r="J3707" t="str">
        <f t="shared" ref="J3707:J3770" si="660">("10/03/2026")</f>
        <v>10/03/2026</v>
      </c>
      <c r="K3707" t="str">
        <f>("19/03/2026")</f>
        <v>19/03/2026</v>
      </c>
      <c r="L3707">
        <v>1194</v>
      </c>
      <c r="M3707">
        <v>1194</v>
      </c>
      <c r="N3707">
        <v>109</v>
      </c>
      <c r="O3707" t="str">
        <f>"PAGAMENTO DE ENTREGADORES"</f>
        <v>PAGAMENTO DE ENTREGADORES</v>
      </c>
      <c r="P3707">
        <v>1194</v>
      </c>
      <c r="S3707" t="str">
        <f>"BANCO C6 (149)"</f>
        <v>BANCO C6 (149)</v>
      </c>
      <c r="T3707">
        <v>31529</v>
      </c>
      <c r="U3707">
        <v>34575</v>
      </c>
      <c r="V3707" t="s">
        <v>37</v>
      </c>
    </row>
    <row r="3708" spans="1:22">
      <c r="A3708" t="str">
        <f t="shared" si="658"/>
        <v>19/03/2026</v>
      </c>
      <c r="B3708" t="str">
        <f t="shared" si="655"/>
        <v>SAÍDA</v>
      </c>
      <c r="C3708" t="str">
        <f t="shared" si="656"/>
        <v>PIX</v>
      </c>
      <c r="D3708" t="str">
        <f>"34575"</f>
        <v>34575</v>
      </c>
      <c r="E3708" t="str">
        <f t="shared" si="659"/>
        <v>1</v>
      </c>
      <c r="F3708" t="str">
        <f t="shared" si="654"/>
        <v>COM</v>
      </c>
      <c r="G3708" t="str">
        <f>"GILDASIO DOMINGOS DOS SANTOS (54)"</f>
        <v>GILDASIO DOMINGOS DOS SANTOS (54)</v>
      </c>
      <c r="H3708" t="s">
        <v>1043</v>
      </c>
      <c r="I3708" t="str">
        <f t="shared" si="657"/>
        <v>19/03/2026</v>
      </c>
      <c r="J3708" t="str">
        <f t="shared" si="660"/>
        <v>10/03/2026</v>
      </c>
      <c r="K3708">
        <v>46100</v>
      </c>
      <c r="N3708">
        <v>109</v>
      </c>
      <c r="O3708" t="s">
        <v>27</v>
      </c>
      <c r="Q3708">
        <v>1194</v>
      </c>
      <c r="R3708" t="str">
        <f>"FARMÁCIA INDIANA LJ 07 (10007)"</f>
        <v>FARMÁCIA INDIANA LJ 07 (10007)</v>
      </c>
      <c r="S3708" t="s">
        <v>37</v>
      </c>
      <c r="T3708">
        <v>31529</v>
      </c>
      <c r="U3708">
        <v>34575</v>
      </c>
      <c r="V3708" t="s">
        <v>37</v>
      </c>
    </row>
    <row r="3709" spans="1:22">
      <c r="A3709" t="str">
        <f t="shared" si="658"/>
        <v>19/03/2026</v>
      </c>
      <c r="B3709" t="str">
        <f t="shared" si="655"/>
        <v>SAÍDA</v>
      </c>
      <c r="C3709" t="str">
        <f t="shared" si="656"/>
        <v>PIX</v>
      </c>
      <c r="D3709" t="str">
        <f>"34576"</f>
        <v>34576</v>
      </c>
      <c r="E3709" t="str">
        <f t="shared" si="659"/>
        <v>1</v>
      </c>
      <c r="F3709" t="str">
        <f t="shared" si="654"/>
        <v>COM</v>
      </c>
      <c r="G3709" t="str">
        <f>"GILNEI MENDES COELHO (195)"</f>
        <v>GILNEI MENDES COELHO (195)</v>
      </c>
      <c r="H3709" t="str">
        <f>"Serv.Prest. 02/03/2026 a 08/03/2026 - PIX: CPF - CHAVE: 386.313.426-53"</f>
        <v>Serv.Prest. 02/03/2026 a 08/03/2026 - PIX: CPF - CHAVE: 386.313.426-53</v>
      </c>
      <c r="I3709" t="str">
        <f t="shared" si="657"/>
        <v>19/03/2026</v>
      </c>
      <c r="J3709" t="str">
        <f t="shared" si="660"/>
        <v>10/03/2026</v>
      </c>
      <c r="K3709" t="str">
        <f>("19/03/2026")</f>
        <v>19/03/2026</v>
      </c>
      <c r="L3709">
        <v>1080</v>
      </c>
      <c r="M3709">
        <v>1080</v>
      </c>
      <c r="N3709">
        <v>109</v>
      </c>
      <c r="O3709" t="str">
        <f>"PAGAMENTO DE ENTREGADORES"</f>
        <v>PAGAMENTO DE ENTREGADORES</v>
      </c>
      <c r="P3709">
        <v>1080</v>
      </c>
      <c r="S3709" t="str">
        <f>"BANCO C6 (149)"</f>
        <v>BANCO C6 (149)</v>
      </c>
      <c r="T3709">
        <v>31530</v>
      </c>
      <c r="U3709">
        <v>34576</v>
      </c>
      <c r="V3709" t="s">
        <v>37</v>
      </c>
    </row>
    <row r="3710" spans="1:22">
      <c r="A3710" t="str">
        <f t="shared" si="658"/>
        <v>19/03/2026</v>
      </c>
      <c r="B3710" t="str">
        <f t="shared" si="655"/>
        <v>SAÍDA</v>
      </c>
      <c r="C3710" t="str">
        <f t="shared" si="656"/>
        <v>PIX</v>
      </c>
      <c r="D3710" t="str">
        <f>"34576"</f>
        <v>34576</v>
      </c>
      <c r="E3710" t="str">
        <f t="shared" si="659"/>
        <v>1</v>
      </c>
      <c r="F3710" t="str">
        <f t="shared" si="654"/>
        <v>COM</v>
      </c>
      <c r="G3710" t="str">
        <f>"GILNEI MENDES COELHO (195)"</f>
        <v>GILNEI MENDES COELHO (195)</v>
      </c>
      <c r="H3710" t="s">
        <v>1044</v>
      </c>
      <c r="I3710" t="str">
        <f t="shared" si="657"/>
        <v>19/03/2026</v>
      </c>
      <c r="J3710" t="str">
        <f t="shared" si="660"/>
        <v>10/03/2026</v>
      </c>
      <c r="K3710">
        <v>46100</v>
      </c>
      <c r="N3710">
        <v>109</v>
      </c>
      <c r="O3710" t="s">
        <v>27</v>
      </c>
      <c r="Q3710">
        <v>1080</v>
      </c>
      <c r="R3710" t="str">
        <f>"FARMÁCIA INDIANA LJ 06 (10006)"</f>
        <v>FARMÁCIA INDIANA LJ 06 (10006)</v>
      </c>
      <c r="S3710" t="s">
        <v>37</v>
      </c>
      <c r="T3710">
        <v>31530</v>
      </c>
      <c r="U3710">
        <v>34576</v>
      </c>
      <c r="V3710" t="s">
        <v>37</v>
      </c>
    </row>
    <row r="3711" spans="1:22">
      <c r="A3711" t="str">
        <f t="shared" si="658"/>
        <v>19/03/2026</v>
      </c>
      <c r="B3711" t="str">
        <f t="shared" si="655"/>
        <v>SAÍDA</v>
      </c>
      <c r="C3711" t="str">
        <f t="shared" si="656"/>
        <v>PIX</v>
      </c>
      <c r="D3711" t="str">
        <f>"34579"</f>
        <v>34579</v>
      </c>
      <c r="E3711" t="str">
        <f t="shared" si="659"/>
        <v>1</v>
      </c>
      <c r="F3711" t="str">
        <f t="shared" si="654"/>
        <v>COM</v>
      </c>
      <c r="G3711" t="str">
        <f>"GUILHERME QUINTINO DA ROCHA (199)"</f>
        <v>GUILHERME QUINTINO DA ROCHA (199)</v>
      </c>
      <c r="H3711" t="str">
        <f>"Serv.Prest. 02/03/2026 a 08/03/2026 - PIX: CELULAR - CHAVE: (33) 99706-4860"</f>
        <v>Serv.Prest. 02/03/2026 a 08/03/2026 - PIX: CELULAR - CHAVE: (33) 99706-4860</v>
      </c>
      <c r="I3711" t="str">
        <f t="shared" si="657"/>
        <v>19/03/2026</v>
      </c>
      <c r="J3711" t="str">
        <f t="shared" si="660"/>
        <v>10/03/2026</v>
      </c>
      <c r="K3711" t="str">
        <f>("19/03/2026")</f>
        <v>19/03/2026</v>
      </c>
      <c r="L3711">
        <v>1000</v>
      </c>
      <c r="M3711">
        <v>1000</v>
      </c>
      <c r="N3711">
        <v>109</v>
      </c>
      <c r="O3711" t="str">
        <f>"PAGAMENTO DE ENTREGADORES"</f>
        <v>PAGAMENTO DE ENTREGADORES</v>
      </c>
      <c r="P3711">
        <v>1000</v>
      </c>
      <c r="S3711" t="str">
        <f>"BANCO C6 (149)"</f>
        <v>BANCO C6 (149)</v>
      </c>
      <c r="T3711">
        <v>31531</v>
      </c>
      <c r="U3711">
        <v>34579</v>
      </c>
      <c r="V3711" t="s">
        <v>37</v>
      </c>
    </row>
    <row r="3712" spans="1:22">
      <c r="A3712" t="str">
        <f t="shared" si="658"/>
        <v>19/03/2026</v>
      </c>
      <c r="B3712" t="str">
        <f t="shared" si="655"/>
        <v>SAÍDA</v>
      </c>
      <c r="C3712" t="str">
        <f t="shared" si="656"/>
        <v>PIX</v>
      </c>
      <c r="D3712" t="str">
        <f>"34579"</f>
        <v>34579</v>
      </c>
      <c r="E3712" t="str">
        <f t="shared" si="659"/>
        <v>1</v>
      </c>
      <c r="F3712" t="str">
        <f t="shared" si="654"/>
        <v>COM</v>
      </c>
      <c r="G3712" t="str">
        <f>"GUILHERME QUINTINO DA ROCHA (199)"</f>
        <v>GUILHERME QUINTINO DA ROCHA (199)</v>
      </c>
      <c r="H3712" t="s">
        <v>852</v>
      </c>
      <c r="I3712" t="str">
        <f t="shared" si="657"/>
        <v>19/03/2026</v>
      </c>
      <c r="J3712" t="str">
        <f t="shared" si="660"/>
        <v>10/03/2026</v>
      </c>
      <c r="K3712">
        <v>46100</v>
      </c>
      <c r="N3712">
        <v>109</v>
      </c>
      <c r="O3712" t="s">
        <v>27</v>
      </c>
      <c r="Q3712">
        <v>1000</v>
      </c>
      <c r="R3712" t="str">
        <f>"FARMÁCIA INDIANA LJ 06 (10006)"</f>
        <v>FARMÁCIA INDIANA LJ 06 (10006)</v>
      </c>
      <c r="S3712" t="s">
        <v>37</v>
      </c>
      <c r="T3712">
        <v>31531</v>
      </c>
      <c r="U3712">
        <v>34579</v>
      </c>
      <c r="V3712" t="s">
        <v>37</v>
      </c>
    </row>
    <row r="3713" spans="1:22">
      <c r="A3713" t="str">
        <f t="shared" si="658"/>
        <v>19/03/2026</v>
      </c>
      <c r="B3713" t="str">
        <f t="shared" si="655"/>
        <v>SAÍDA</v>
      </c>
      <c r="C3713" t="str">
        <f t="shared" si="656"/>
        <v>PIX</v>
      </c>
      <c r="D3713" t="str">
        <f>"34580"</f>
        <v>34580</v>
      </c>
      <c r="E3713" t="str">
        <f t="shared" si="659"/>
        <v>1</v>
      </c>
      <c r="F3713" t="str">
        <f t="shared" si="654"/>
        <v>COM</v>
      </c>
      <c r="G3713" t="str">
        <f>"GUSTAVO HENRIQUE OLIVEIRA (661)"</f>
        <v>GUSTAVO HENRIQUE OLIVEIRA (661)</v>
      </c>
      <c r="H3713" t="str">
        <f>"Serv.Prest. 02/03/2026 a 08/03/2026 - PIX: CPF - CHAVE: 113.084.266-58"</f>
        <v>Serv.Prest. 02/03/2026 a 08/03/2026 - PIX: CPF - CHAVE: 113.084.266-58</v>
      </c>
      <c r="I3713" t="str">
        <f t="shared" si="657"/>
        <v>19/03/2026</v>
      </c>
      <c r="J3713" t="str">
        <f t="shared" si="660"/>
        <v>10/03/2026</v>
      </c>
      <c r="K3713" t="str">
        <f>("19/03/2026")</f>
        <v>19/03/2026</v>
      </c>
      <c r="L3713">
        <v>682</v>
      </c>
      <c r="M3713">
        <v>682</v>
      </c>
      <c r="N3713">
        <v>109</v>
      </c>
      <c r="O3713" t="str">
        <f>"PAGAMENTO DE ENTREGADORES"</f>
        <v>PAGAMENTO DE ENTREGADORES</v>
      </c>
      <c r="P3713">
        <v>682</v>
      </c>
      <c r="S3713" t="str">
        <f>"BANCO C6 (149)"</f>
        <v>BANCO C6 (149)</v>
      </c>
      <c r="T3713">
        <v>31532</v>
      </c>
      <c r="U3713">
        <v>34580</v>
      </c>
      <c r="V3713" t="s">
        <v>37</v>
      </c>
    </row>
    <row r="3714" spans="1:22">
      <c r="A3714" t="str">
        <f t="shared" si="658"/>
        <v>19/03/2026</v>
      </c>
      <c r="B3714" t="str">
        <f t="shared" si="655"/>
        <v>SAÍDA</v>
      </c>
      <c r="C3714" t="str">
        <f t="shared" si="656"/>
        <v>PIX</v>
      </c>
      <c r="D3714" t="str">
        <f>"34580"</f>
        <v>34580</v>
      </c>
      <c r="E3714" t="str">
        <f t="shared" si="659"/>
        <v>1</v>
      </c>
      <c r="F3714" t="str">
        <f t="shared" ref="F3714:F3777" si="661">"COM"</f>
        <v>COM</v>
      </c>
      <c r="G3714" t="str">
        <f>"GUSTAVO HENRIQUE OLIVEIRA (661)"</f>
        <v>GUSTAVO HENRIQUE OLIVEIRA (661)</v>
      </c>
      <c r="H3714" t="s">
        <v>841</v>
      </c>
      <c r="I3714" t="str">
        <f t="shared" si="657"/>
        <v>19/03/2026</v>
      </c>
      <c r="J3714" t="str">
        <f t="shared" si="660"/>
        <v>10/03/2026</v>
      </c>
      <c r="K3714">
        <v>46100</v>
      </c>
      <c r="N3714">
        <v>109</v>
      </c>
      <c r="O3714" t="s">
        <v>27</v>
      </c>
      <c r="Q3714">
        <v>682</v>
      </c>
      <c r="R3714" t="str">
        <f>"FARMÁCIA INDIANA LJ 110 (10048)"</f>
        <v>FARMÁCIA INDIANA LJ 110 (10048)</v>
      </c>
      <c r="S3714" t="s">
        <v>37</v>
      </c>
      <c r="T3714">
        <v>31532</v>
      </c>
      <c r="U3714">
        <v>34580</v>
      </c>
      <c r="V3714" t="s">
        <v>37</v>
      </c>
    </row>
    <row r="3715" spans="1:22">
      <c r="A3715" t="str">
        <f t="shared" si="658"/>
        <v>19/03/2026</v>
      </c>
      <c r="B3715" t="str">
        <f t="shared" si="655"/>
        <v>SAÍDA</v>
      </c>
      <c r="C3715" t="str">
        <f t="shared" si="656"/>
        <v>PIX</v>
      </c>
      <c r="D3715" t="str">
        <f>"34581"</f>
        <v>34581</v>
      </c>
      <c r="E3715" t="str">
        <f t="shared" si="659"/>
        <v>1</v>
      </c>
      <c r="F3715" t="str">
        <f t="shared" si="661"/>
        <v>COM</v>
      </c>
      <c r="G3715" t="str">
        <f>"IVAN SOUZA SANTOS (101)"</f>
        <v>IVAN SOUZA SANTOS (101)</v>
      </c>
      <c r="H3715" t="str">
        <f>"Serv.Prest. 02/03/2026 a 08/03/2026 - PIX: CELULAR - CHAVE: (33) 98429-0263"</f>
        <v>Serv.Prest. 02/03/2026 a 08/03/2026 - PIX: CELULAR - CHAVE: (33) 98429-0263</v>
      </c>
      <c r="I3715" t="str">
        <f t="shared" si="657"/>
        <v>19/03/2026</v>
      </c>
      <c r="J3715" t="str">
        <f t="shared" si="660"/>
        <v>10/03/2026</v>
      </c>
      <c r="K3715" t="str">
        <f>("19/03/2026")</f>
        <v>19/03/2026</v>
      </c>
      <c r="L3715">
        <v>1214.8</v>
      </c>
      <c r="M3715">
        <v>1214.8</v>
      </c>
      <c r="N3715">
        <v>109</v>
      </c>
      <c r="O3715" t="str">
        <f>"PAGAMENTO DE ENTREGADORES"</f>
        <v>PAGAMENTO DE ENTREGADORES</v>
      </c>
      <c r="P3715">
        <v>1214.8</v>
      </c>
      <c r="S3715" t="str">
        <f>"BANCO C6 (149)"</f>
        <v>BANCO C6 (149)</v>
      </c>
      <c r="T3715">
        <v>31533</v>
      </c>
      <c r="U3715">
        <v>34581</v>
      </c>
      <c r="V3715" t="s">
        <v>37</v>
      </c>
    </row>
    <row r="3716" spans="1:22">
      <c r="A3716" t="str">
        <f t="shared" si="658"/>
        <v>19/03/2026</v>
      </c>
      <c r="B3716" t="str">
        <f t="shared" si="655"/>
        <v>SAÍDA</v>
      </c>
      <c r="C3716" t="str">
        <f t="shared" si="656"/>
        <v>PIX</v>
      </c>
      <c r="D3716" t="str">
        <f>"34581"</f>
        <v>34581</v>
      </c>
      <c r="E3716" t="str">
        <f t="shared" si="659"/>
        <v>1</v>
      </c>
      <c r="F3716" t="str">
        <f t="shared" si="661"/>
        <v>COM</v>
      </c>
      <c r="G3716" t="str">
        <f>"IVAN SOUZA SANTOS (101)"</f>
        <v>IVAN SOUZA SANTOS (101)</v>
      </c>
      <c r="H3716" t="s">
        <v>853</v>
      </c>
      <c r="I3716" t="str">
        <f t="shared" si="657"/>
        <v>19/03/2026</v>
      </c>
      <c r="J3716" t="str">
        <f t="shared" si="660"/>
        <v>10/03/2026</v>
      </c>
      <c r="K3716">
        <v>46100</v>
      </c>
      <c r="N3716">
        <v>109</v>
      </c>
      <c r="O3716" t="s">
        <v>27</v>
      </c>
      <c r="Q3716">
        <v>1214.8</v>
      </c>
      <c r="R3716" t="str">
        <f>"FARMÁCIA INDIANA LJ 59 (10026)"</f>
        <v>FARMÁCIA INDIANA LJ 59 (10026)</v>
      </c>
      <c r="S3716" t="s">
        <v>37</v>
      </c>
      <c r="T3716">
        <v>31533</v>
      </c>
      <c r="U3716">
        <v>34581</v>
      </c>
      <c r="V3716" t="s">
        <v>37</v>
      </c>
    </row>
    <row r="3717" spans="1:22">
      <c r="A3717" t="str">
        <f t="shared" si="658"/>
        <v>19/03/2026</v>
      </c>
      <c r="B3717" t="str">
        <f t="shared" si="655"/>
        <v>SAÍDA</v>
      </c>
      <c r="C3717" t="str">
        <f t="shared" si="656"/>
        <v>PIX</v>
      </c>
      <c r="D3717" t="str">
        <f>"34582"</f>
        <v>34582</v>
      </c>
      <c r="E3717" t="str">
        <f t="shared" si="659"/>
        <v>1</v>
      </c>
      <c r="F3717" t="str">
        <f t="shared" si="661"/>
        <v>COM</v>
      </c>
      <c r="G3717" t="str">
        <f>"JANDERSON SOUZA ARCANJO (28)"</f>
        <v>JANDERSON SOUZA ARCANJO (28)</v>
      </c>
      <c r="H3717" t="str">
        <f>"Serv.Prest. 02/03/2026 a 08/03/2026 - PIX: CPF - CHAVE: 121.297.376-33"</f>
        <v>Serv.Prest. 02/03/2026 a 08/03/2026 - PIX: CPF - CHAVE: 121.297.376-33</v>
      </c>
      <c r="I3717" t="str">
        <f t="shared" si="657"/>
        <v>19/03/2026</v>
      </c>
      <c r="J3717" t="str">
        <f t="shared" si="660"/>
        <v>10/03/2026</v>
      </c>
      <c r="K3717" t="str">
        <f>("19/03/2026")</f>
        <v>19/03/2026</v>
      </c>
      <c r="L3717">
        <v>842</v>
      </c>
      <c r="M3717">
        <v>842</v>
      </c>
      <c r="N3717">
        <v>109</v>
      </c>
      <c r="O3717" t="str">
        <f>"PAGAMENTO DE ENTREGADORES"</f>
        <v>PAGAMENTO DE ENTREGADORES</v>
      </c>
      <c r="P3717">
        <v>842</v>
      </c>
      <c r="S3717" t="str">
        <f>"BANCO C6 (149)"</f>
        <v>BANCO C6 (149)</v>
      </c>
      <c r="T3717">
        <v>31534</v>
      </c>
      <c r="U3717">
        <v>34582</v>
      </c>
      <c r="V3717" t="s">
        <v>37</v>
      </c>
    </row>
    <row r="3718" spans="1:22">
      <c r="A3718" t="str">
        <f t="shared" si="658"/>
        <v>19/03/2026</v>
      </c>
      <c r="B3718" t="str">
        <f t="shared" si="655"/>
        <v>SAÍDA</v>
      </c>
      <c r="C3718" t="str">
        <f t="shared" si="656"/>
        <v>PIX</v>
      </c>
      <c r="D3718" t="str">
        <f>"34582"</f>
        <v>34582</v>
      </c>
      <c r="E3718" t="str">
        <f t="shared" si="659"/>
        <v>1</v>
      </c>
      <c r="F3718" t="str">
        <f t="shared" si="661"/>
        <v>COM</v>
      </c>
      <c r="G3718" t="str">
        <f>"JANDERSON SOUZA ARCANJO (28)"</f>
        <v>JANDERSON SOUZA ARCANJO (28)</v>
      </c>
      <c r="H3718" t="s">
        <v>926</v>
      </c>
      <c r="I3718" t="str">
        <f t="shared" si="657"/>
        <v>19/03/2026</v>
      </c>
      <c r="J3718" t="str">
        <f t="shared" si="660"/>
        <v>10/03/2026</v>
      </c>
      <c r="K3718">
        <v>46100</v>
      </c>
      <c r="N3718">
        <v>109</v>
      </c>
      <c r="O3718" t="s">
        <v>27</v>
      </c>
      <c r="Q3718">
        <v>842</v>
      </c>
      <c r="R3718" t="str">
        <f>"FARMÁCIA INDIANA LJ 40 (10016)"</f>
        <v>FARMÁCIA INDIANA LJ 40 (10016)</v>
      </c>
      <c r="S3718" t="s">
        <v>37</v>
      </c>
      <c r="T3718">
        <v>31534</v>
      </c>
      <c r="U3718">
        <v>34582</v>
      </c>
      <c r="V3718" t="s">
        <v>37</v>
      </c>
    </row>
    <row r="3719" spans="1:22">
      <c r="A3719" t="str">
        <f t="shared" si="658"/>
        <v>19/03/2026</v>
      </c>
      <c r="B3719" t="str">
        <f t="shared" si="655"/>
        <v>SAÍDA</v>
      </c>
      <c r="C3719" t="str">
        <f t="shared" si="656"/>
        <v>PIX</v>
      </c>
      <c r="D3719" t="str">
        <f>"34583"</f>
        <v>34583</v>
      </c>
      <c r="E3719" t="str">
        <f t="shared" si="659"/>
        <v>1</v>
      </c>
      <c r="F3719" t="str">
        <f t="shared" si="661"/>
        <v>COM</v>
      </c>
      <c r="G3719" t="str">
        <f>"JEAN ARAÚJO SANTOS GERMANO (551)"</f>
        <v>JEAN ARAÚJO SANTOS GERMANO (551)</v>
      </c>
      <c r="H3719" t="str">
        <f>"Serv.Prest. 02/03/2026 a 08/03/2026 - PIX: CELULAR - CHAVE: (31) 99812-7173"</f>
        <v>Serv.Prest. 02/03/2026 a 08/03/2026 - PIX: CELULAR - CHAVE: (31) 99812-7173</v>
      </c>
      <c r="I3719" t="str">
        <f t="shared" si="657"/>
        <v>19/03/2026</v>
      </c>
      <c r="J3719" t="str">
        <f t="shared" si="660"/>
        <v>10/03/2026</v>
      </c>
      <c r="K3719" t="str">
        <f>("19/03/2026")</f>
        <v>19/03/2026</v>
      </c>
      <c r="L3719">
        <v>760</v>
      </c>
      <c r="M3719">
        <v>760</v>
      </c>
      <c r="N3719">
        <v>109</v>
      </c>
      <c r="O3719" t="str">
        <f>"PAGAMENTO DE ENTREGADORES"</f>
        <v>PAGAMENTO DE ENTREGADORES</v>
      </c>
      <c r="P3719">
        <v>760</v>
      </c>
      <c r="S3719" t="str">
        <f>"BANCO C6 (149)"</f>
        <v>BANCO C6 (149)</v>
      </c>
      <c r="T3719">
        <v>31535</v>
      </c>
      <c r="U3719">
        <v>34583</v>
      </c>
      <c r="V3719" t="s">
        <v>37</v>
      </c>
    </row>
    <row r="3720" spans="1:22">
      <c r="A3720" t="str">
        <f t="shared" si="658"/>
        <v>19/03/2026</v>
      </c>
      <c r="B3720" t="str">
        <f t="shared" si="655"/>
        <v>SAÍDA</v>
      </c>
      <c r="C3720" t="str">
        <f t="shared" si="656"/>
        <v>PIX</v>
      </c>
      <c r="D3720" t="str">
        <f>"34583"</f>
        <v>34583</v>
      </c>
      <c r="E3720" t="str">
        <f t="shared" si="659"/>
        <v>1</v>
      </c>
      <c r="F3720" t="str">
        <f t="shared" si="661"/>
        <v>COM</v>
      </c>
      <c r="G3720" t="str">
        <f>"JEAN ARAÚJO SANTOS GERMANO (551)"</f>
        <v>JEAN ARAÚJO SANTOS GERMANO (551)</v>
      </c>
      <c r="H3720" t="s">
        <v>855</v>
      </c>
      <c r="I3720" t="str">
        <f t="shared" si="657"/>
        <v>19/03/2026</v>
      </c>
      <c r="J3720" t="str">
        <f t="shared" si="660"/>
        <v>10/03/2026</v>
      </c>
      <c r="K3720">
        <v>46100</v>
      </c>
      <c r="N3720">
        <v>109</v>
      </c>
      <c r="O3720" t="s">
        <v>27</v>
      </c>
      <c r="Q3720">
        <v>760</v>
      </c>
      <c r="R3720" t="str">
        <f>"FARMÁCIA INDIANA LJ 142 (10066)"</f>
        <v>FARMÁCIA INDIANA LJ 142 (10066)</v>
      </c>
      <c r="S3720" t="s">
        <v>37</v>
      </c>
      <c r="T3720">
        <v>31535</v>
      </c>
      <c r="U3720">
        <v>34583</v>
      </c>
      <c r="V3720" t="s">
        <v>37</v>
      </c>
    </row>
    <row r="3721" spans="1:22">
      <c r="A3721" t="str">
        <f t="shared" si="658"/>
        <v>19/03/2026</v>
      </c>
      <c r="B3721" t="str">
        <f t="shared" si="655"/>
        <v>SAÍDA</v>
      </c>
      <c r="C3721" t="str">
        <f t="shared" si="656"/>
        <v>PIX</v>
      </c>
      <c r="D3721" t="str">
        <f>"34584"</f>
        <v>34584</v>
      </c>
      <c r="E3721" t="str">
        <f t="shared" si="659"/>
        <v>1</v>
      </c>
      <c r="F3721" t="str">
        <f t="shared" si="661"/>
        <v>COM</v>
      </c>
      <c r="G3721" t="str">
        <f>"JEFERSON ANDRADE FERREIRA (165)"</f>
        <v>JEFERSON ANDRADE FERREIRA (165)</v>
      </c>
      <c r="H3721" t="str">
        <f>"Serv.Prest. 02/03/2026 a 08/03/2026 - PIX: CPF - CHAVE: 126.873.296-65"</f>
        <v>Serv.Prest. 02/03/2026 a 08/03/2026 - PIX: CPF - CHAVE: 126.873.296-65</v>
      </c>
      <c r="I3721" t="str">
        <f t="shared" si="657"/>
        <v>19/03/2026</v>
      </c>
      <c r="J3721" t="str">
        <f t="shared" si="660"/>
        <v>10/03/2026</v>
      </c>
      <c r="K3721" t="str">
        <f>("19/03/2026")</f>
        <v>19/03/2026</v>
      </c>
      <c r="L3721">
        <v>844</v>
      </c>
      <c r="M3721">
        <v>844</v>
      </c>
      <c r="N3721">
        <v>109</v>
      </c>
      <c r="O3721" t="str">
        <f>"PAGAMENTO DE ENTREGADORES"</f>
        <v>PAGAMENTO DE ENTREGADORES</v>
      </c>
      <c r="P3721">
        <v>844</v>
      </c>
      <c r="S3721" t="str">
        <f>"BANCO C6 (149)"</f>
        <v>BANCO C6 (149)</v>
      </c>
      <c r="T3721">
        <v>31536</v>
      </c>
      <c r="U3721">
        <v>34584</v>
      </c>
      <c r="V3721" t="s">
        <v>37</v>
      </c>
    </row>
    <row r="3722" spans="1:22">
      <c r="A3722" t="str">
        <f t="shared" si="658"/>
        <v>19/03/2026</v>
      </c>
      <c r="B3722" t="str">
        <f t="shared" si="655"/>
        <v>SAÍDA</v>
      </c>
      <c r="C3722" t="str">
        <f t="shared" si="656"/>
        <v>PIX</v>
      </c>
      <c r="D3722" t="str">
        <f>"34584"</f>
        <v>34584</v>
      </c>
      <c r="E3722" t="str">
        <f t="shared" si="659"/>
        <v>1</v>
      </c>
      <c r="F3722" t="str">
        <f t="shared" si="661"/>
        <v>COM</v>
      </c>
      <c r="G3722" t="str">
        <f>"JEFERSON ANDRADE FERREIRA (165)"</f>
        <v>JEFERSON ANDRADE FERREIRA (165)</v>
      </c>
      <c r="H3722" t="s">
        <v>856</v>
      </c>
      <c r="I3722" t="str">
        <f t="shared" si="657"/>
        <v>19/03/2026</v>
      </c>
      <c r="J3722" t="str">
        <f t="shared" si="660"/>
        <v>10/03/2026</v>
      </c>
      <c r="K3722">
        <v>46100</v>
      </c>
      <c r="N3722">
        <v>109</v>
      </c>
      <c r="O3722" t="s">
        <v>27</v>
      </c>
      <c r="Q3722">
        <v>844</v>
      </c>
      <c r="R3722" t="str">
        <f>"FARMÁCIA INDIANA LJ 220 (10092)"</f>
        <v>FARMÁCIA INDIANA LJ 220 (10092)</v>
      </c>
      <c r="S3722" t="s">
        <v>37</v>
      </c>
      <c r="T3722">
        <v>31536</v>
      </c>
      <c r="U3722">
        <v>34584</v>
      </c>
      <c r="V3722" t="s">
        <v>37</v>
      </c>
    </row>
    <row r="3723" spans="1:22">
      <c r="A3723" t="str">
        <f t="shared" si="658"/>
        <v>19/03/2026</v>
      </c>
      <c r="B3723" t="str">
        <f t="shared" si="655"/>
        <v>SAÍDA</v>
      </c>
      <c r="C3723" t="str">
        <f t="shared" si="656"/>
        <v>PIX</v>
      </c>
      <c r="D3723" t="str">
        <f>"34585"</f>
        <v>34585</v>
      </c>
      <c r="E3723" t="str">
        <f t="shared" si="659"/>
        <v>1</v>
      </c>
      <c r="F3723" t="str">
        <f t="shared" si="661"/>
        <v>COM</v>
      </c>
      <c r="G3723" t="str">
        <f>"JEFERSON ANDRADE FERREIRA (165)"</f>
        <v>JEFERSON ANDRADE FERREIRA (165)</v>
      </c>
      <c r="H3723" t="str">
        <f>"Serv.Prest. 02/03/2026 a 08/03/2026 - PIX: CPF - CHAVE: 126.873.296-65"</f>
        <v>Serv.Prest. 02/03/2026 a 08/03/2026 - PIX: CPF - CHAVE: 126.873.296-65</v>
      </c>
      <c r="I3723" t="str">
        <f t="shared" si="657"/>
        <v>19/03/2026</v>
      </c>
      <c r="J3723" t="str">
        <f t="shared" si="660"/>
        <v>10/03/2026</v>
      </c>
      <c r="K3723" t="str">
        <f>("19/03/2026")</f>
        <v>19/03/2026</v>
      </c>
      <c r="L3723">
        <v>1758</v>
      </c>
      <c r="M3723">
        <v>1758</v>
      </c>
      <c r="N3723">
        <v>109</v>
      </c>
      <c r="O3723" t="str">
        <f>"PAGAMENTO DE ENTREGADORES"</f>
        <v>PAGAMENTO DE ENTREGADORES</v>
      </c>
      <c r="P3723">
        <v>1758</v>
      </c>
      <c r="S3723" t="str">
        <f>"BANCO C6 (149)"</f>
        <v>BANCO C6 (149)</v>
      </c>
      <c r="T3723">
        <v>31537</v>
      </c>
      <c r="U3723">
        <v>34585</v>
      </c>
      <c r="V3723" t="s">
        <v>37</v>
      </c>
    </row>
    <row r="3724" spans="1:22">
      <c r="A3724" t="str">
        <f t="shared" si="658"/>
        <v>19/03/2026</v>
      </c>
      <c r="B3724" t="str">
        <f t="shared" si="655"/>
        <v>SAÍDA</v>
      </c>
      <c r="C3724" t="str">
        <f t="shared" si="656"/>
        <v>PIX</v>
      </c>
      <c r="D3724" t="str">
        <f>"34585"</f>
        <v>34585</v>
      </c>
      <c r="E3724" t="str">
        <f t="shared" si="659"/>
        <v>1</v>
      </c>
      <c r="F3724" t="str">
        <f t="shared" si="661"/>
        <v>COM</v>
      </c>
      <c r="G3724" t="str">
        <f>"JEFERSON ANDRADE FERREIRA (165)"</f>
        <v>JEFERSON ANDRADE FERREIRA (165)</v>
      </c>
      <c r="H3724" t="s">
        <v>856</v>
      </c>
      <c r="I3724" t="str">
        <f t="shared" si="657"/>
        <v>19/03/2026</v>
      </c>
      <c r="J3724" t="str">
        <f t="shared" si="660"/>
        <v>10/03/2026</v>
      </c>
      <c r="K3724">
        <v>46100</v>
      </c>
      <c r="N3724">
        <v>109</v>
      </c>
      <c r="O3724" t="s">
        <v>27</v>
      </c>
      <c r="Q3724">
        <v>1758</v>
      </c>
      <c r="R3724" t="str">
        <f>"FARMÁCIA INDIANA LJ 101 (10043)"</f>
        <v>FARMÁCIA INDIANA LJ 101 (10043)</v>
      </c>
      <c r="S3724" t="s">
        <v>37</v>
      </c>
      <c r="T3724">
        <v>31537</v>
      </c>
      <c r="U3724">
        <v>34585</v>
      </c>
      <c r="V3724" t="s">
        <v>37</v>
      </c>
    </row>
    <row r="3725" spans="1:22">
      <c r="A3725" t="str">
        <f t="shared" si="658"/>
        <v>19/03/2026</v>
      </c>
      <c r="B3725" t="str">
        <f t="shared" si="655"/>
        <v>SAÍDA</v>
      </c>
      <c r="C3725" t="str">
        <f t="shared" si="656"/>
        <v>PIX</v>
      </c>
      <c r="D3725" t="str">
        <f>"34586"</f>
        <v>34586</v>
      </c>
      <c r="E3725" t="str">
        <f t="shared" si="659"/>
        <v>1</v>
      </c>
      <c r="F3725" t="str">
        <f t="shared" si="661"/>
        <v>COM</v>
      </c>
      <c r="G3725" t="str">
        <f>"JEFERSON DE JESUS SANTOS (910)"</f>
        <v>JEFERSON DE JESUS SANTOS (910)</v>
      </c>
      <c r="H3725" t="str">
        <f>"Serv.Prest. 02/03/2026 a 08/03/2026 - PIX: CELULAR - CHAVE: (33) 98836-6015"</f>
        <v>Serv.Prest. 02/03/2026 a 08/03/2026 - PIX: CELULAR - CHAVE: (33) 98836-6015</v>
      </c>
      <c r="I3725" t="str">
        <f t="shared" si="657"/>
        <v>19/03/2026</v>
      </c>
      <c r="J3725" t="str">
        <f t="shared" si="660"/>
        <v>10/03/2026</v>
      </c>
      <c r="K3725" t="str">
        <f>("19/03/2026")</f>
        <v>19/03/2026</v>
      </c>
      <c r="L3725">
        <v>912</v>
      </c>
      <c r="M3725">
        <v>912</v>
      </c>
      <c r="N3725">
        <v>109</v>
      </c>
      <c r="O3725" t="str">
        <f>"PAGAMENTO DE ENTREGADORES"</f>
        <v>PAGAMENTO DE ENTREGADORES</v>
      </c>
      <c r="P3725">
        <v>912</v>
      </c>
      <c r="S3725" t="str">
        <f>"BANCO C6 (149)"</f>
        <v>BANCO C6 (149)</v>
      </c>
      <c r="T3725">
        <v>31538</v>
      </c>
      <c r="U3725">
        <v>34586</v>
      </c>
      <c r="V3725" t="s">
        <v>37</v>
      </c>
    </row>
    <row r="3726" spans="1:22">
      <c r="A3726" t="str">
        <f t="shared" si="658"/>
        <v>19/03/2026</v>
      </c>
      <c r="B3726" t="str">
        <f t="shared" si="655"/>
        <v>SAÍDA</v>
      </c>
      <c r="C3726" t="str">
        <f t="shared" si="656"/>
        <v>PIX</v>
      </c>
      <c r="D3726" t="str">
        <f>"34586"</f>
        <v>34586</v>
      </c>
      <c r="E3726" t="str">
        <f t="shared" si="659"/>
        <v>1</v>
      </c>
      <c r="F3726" t="str">
        <f t="shared" si="661"/>
        <v>COM</v>
      </c>
      <c r="G3726" t="str">
        <f>"JEFERSON DE JESUS SANTOS (910)"</f>
        <v>JEFERSON DE JESUS SANTOS (910)</v>
      </c>
      <c r="H3726" t="s">
        <v>1045</v>
      </c>
      <c r="I3726" t="str">
        <f t="shared" si="657"/>
        <v>19/03/2026</v>
      </c>
      <c r="J3726" t="str">
        <f t="shared" si="660"/>
        <v>10/03/2026</v>
      </c>
      <c r="K3726">
        <v>46100</v>
      </c>
      <c r="N3726">
        <v>109</v>
      </c>
      <c r="O3726" t="s">
        <v>27</v>
      </c>
      <c r="Q3726">
        <v>912</v>
      </c>
      <c r="R3726" t="str">
        <f>"FARMÁCIA INDIANA LJ 07 (10007)"</f>
        <v>FARMÁCIA INDIANA LJ 07 (10007)</v>
      </c>
      <c r="S3726" t="s">
        <v>37</v>
      </c>
      <c r="T3726">
        <v>31538</v>
      </c>
      <c r="U3726">
        <v>34586</v>
      </c>
      <c r="V3726" t="s">
        <v>37</v>
      </c>
    </row>
    <row r="3727" spans="1:22">
      <c r="A3727" t="str">
        <f t="shared" si="658"/>
        <v>19/03/2026</v>
      </c>
      <c r="B3727" t="str">
        <f t="shared" si="655"/>
        <v>SAÍDA</v>
      </c>
      <c r="C3727" t="str">
        <f t="shared" si="656"/>
        <v>PIX</v>
      </c>
      <c r="D3727" t="str">
        <f>"34587"</f>
        <v>34587</v>
      </c>
      <c r="E3727" t="str">
        <f t="shared" si="659"/>
        <v>1</v>
      </c>
      <c r="F3727" t="str">
        <f t="shared" si="661"/>
        <v>COM</v>
      </c>
      <c r="G3727" t="str">
        <f>"JHONANTAN LACERDA DE JESUS (142)"</f>
        <v>JHONANTAN LACERDA DE JESUS (142)</v>
      </c>
      <c r="H3727" t="str">
        <f>"Serv.Prest. 02/03/2026 a 08/03/2026 - PIX: E-MAIL - CHAVE: jhonantanlacerda@gmail.com"</f>
        <v>Serv.Prest. 02/03/2026 a 08/03/2026 - PIX: E-MAIL - CHAVE: jhonantanlacerda@gmail.com</v>
      </c>
      <c r="I3727" t="str">
        <f t="shared" si="657"/>
        <v>19/03/2026</v>
      </c>
      <c r="J3727" t="str">
        <f t="shared" si="660"/>
        <v>10/03/2026</v>
      </c>
      <c r="K3727" t="str">
        <f>("19/03/2026")</f>
        <v>19/03/2026</v>
      </c>
      <c r="L3727">
        <v>1080</v>
      </c>
      <c r="M3727">
        <v>1080</v>
      </c>
      <c r="N3727">
        <v>109</v>
      </c>
      <c r="O3727" t="str">
        <f>"PAGAMENTO DE ENTREGADORES"</f>
        <v>PAGAMENTO DE ENTREGADORES</v>
      </c>
      <c r="P3727">
        <v>1080</v>
      </c>
      <c r="S3727" t="str">
        <f>"BANCO C6 (149)"</f>
        <v>BANCO C6 (149)</v>
      </c>
      <c r="T3727">
        <v>31539</v>
      </c>
      <c r="U3727">
        <v>34587</v>
      </c>
      <c r="V3727" t="s">
        <v>37</v>
      </c>
    </row>
    <row r="3728" spans="1:22">
      <c r="A3728" t="str">
        <f t="shared" si="658"/>
        <v>19/03/2026</v>
      </c>
      <c r="B3728" t="str">
        <f t="shared" si="655"/>
        <v>SAÍDA</v>
      </c>
      <c r="C3728" t="str">
        <f t="shared" si="656"/>
        <v>PIX</v>
      </c>
      <c r="D3728" t="str">
        <f>"34587"</f>
        <v>34587</v>
      </c>
      <c r="E3728" t="str">
        <f t="shared" si="659"/>
        <v>1</v>
      </c>
      <c r="F3728" t="str">
        <f t="shared" si="661"/>
        <v>COM</v>
      </c>
      <c r="G3728" t="str">
        <f>"JHONANTAN LACERDA DE JESUS (142)"</f>
        <v>JHONANTAN LACERDA DE JESUS (142)</v>
      </c>
      <c r="H3728" t="s">
        <v>985</v>
      </c>
      <c r="I3728" t="str">
        <f t="shared" si="657"/>
        <v>19/03/2026</v>
      </c>
      <c r="J3728" t="str">
        <f t="shared" si="660"/>
        <v>10/03/2026</v>
      </c>
      <c r="K3728">
        <v>46100</v>
      </c>
      <c r="N3728">
        <v>109</v>
      </c>
      <c r="O3728" t="s">
        <v>27</v>
      </c>
      <c r="Q3728">
        <v>1080</v>
      </c>
      <c r="R3728" t="str">
        <f>"FARMÁCIA INDIANA LJ 142 (10066)"</f>
        <v>FARMÁCIA INDIANA LJ 142 (10066)</v>
      </c>
      <c r="S3728" t="s">
        <v>37</v>
      </c>
      <c r="T3728">
        <v>31539</v>
      </c>
      <c r="U3728">
        <v>34587</v>
      </c>
      <c r="V3728" t="s">
        <v>37</v>
      </c>
    </row>
    <row r="3729" spans="1:22">
      <c r="A3729" t="str">
        <f t="shared" si="658"/>
        <v>19/03/2026</v>
      </c>
      <c r="B3729" t="str">
        <f t="shared" si="655"/>
        <v>SAÍDA</v>
      </c>
      <c r="C3729" t="str">
        <f t="shared" si="656"/>
        <v>PIX</v>
      </c>
      <c r="D3729" t="str">
        <f>"34588"</f>
        <v>34588</v>
      </c>
      <c r="E3729" t="str">
        <f t="shared" si="659"/>
        <v>1</v>
      </c>
      <c r="F3729" t="str">
        <f t="shared" si="661"/>
        <v>COM</v>
      </c>
      <c r="G3729" t="str">
        <f>"JOCIMAR VAZ FERREIRA (197)"</f>
        <v>JOCIMAR VAZ FERREIRA (197)</v>
      </c>
      <c r="H3729" t="str">
        <f>"Serv.Prest. 02/03/2026 a 08/03/2026 - PIX: CELULAR - CHAVE: (33) 99924-7557"</f>
        <v>Serv.Prest. 02/03/2026 a 08/03/2026 - PIX: CELULAR - CHAVE: (33) 99924-7557</v>
      </c>
      <c r="I3729" t="str">
        <f t="shared" si="657"/>
        <v>19/03/2026</v>
      </c>
      <c r="J3729" t="str">
        <f t="shared" si="660"/>
        <v>10/03/2026</v>
      </c>
      <c r="K3729" t="str">
        <f>("19/03/2026")</f>
        <v>19/03/2026</v>
      </c>
      <c r="L3729">
        <v>1140</v>
      </c>
      <c r="M3729">
        <v>1140</v>
      </c>
      <c r="N3729">
        <v>109</v>
      </c>
      <c r="O3729" t="str">
        <f>"PAGAMENTO DE ENTREGADORES"</f>
        <v>PAGAMENTO DE ENTREGADORES</v>
      </c>
      <c r="P3729">
        <v>1140</v>
      </c>
      <c r="S3729" t="str">
        <f>"BANCO C6 (149)"</f>
        <v>BANCO C6 (149)</v>
      </c>
      <c r="T3729">
        <v>31540</v>
      </c>
      <c r="U3729">
        <v>34588</v>
      </c>
      <c r="V3729" t="s">
        <v>37</v>
      </c>
    </row>
    <row r="3730" spans="1:22">
      <c r="A3730" t="str">
        <f t="shared" si="658"/>
        <v>19/03/2026</v>
      </c>
      <c r="B3730" t="str">
        <f t="shared" si="655"/>
        <v>SAÍDA</v>
      </c>
      <c r="C3730" t="str">
        <f t="shared" si="656"/>
        <v>PIX</v>
      </c>
      <c r="D3730" t="str">
        <f>"34588"</f>
        <v>34588</v>
      </c>
      <c r="E3730" t="str">
        <f t="shared" si="659"/>
        <v>1</v>
      </c>
      <c r="F3730" t="str">
        <f t="shared" si="661"/>
        <v>COM</v>
      </c>
      <c r="G3730" t="str">
        <f>"JOCIMAR VAZ FERREIRA (197)"</f>
        <v>JOCIMAR VAZ FERREIRA (197)</v>
      </c>
      <c r="H3730" t="s">
        <v>982</v>
      </c>
      <c r="I3730" t="str">
        <f t="shared" si="657"/>
        <v>19/03/2026</v>
      </c>
      <c r="J3730" t="str">
        <f t="shared" si="660"/>
        <v>10/03/2026</v>
      </c>
      <c r="K3730">
        <v>46100</v>
      </c>
      <c r="N3730">
        <v>109</v>
      </c>
      <c r="O3730" t="s">
        <v>27</v>
      </c>
      <c r="Q3730">
        <v>1140</v>
      </c>
      <c r="R3730" t="str">
        <f>"FARMÁCIA INDIANA LJ 14 (10009)"</f>
        <v>FARMÁCIA INDIANA LJ 14 (10009)</v>
      </c>
      <c r="S3730" t="s">
        <v>37</v>
      </c>
      <c r="T3730">
        <v>31540</v>
      </c>
      <c r="U3730">
        <v>34588</v>
      </c>
      <c r="V3730" t="s">
        <v>37</v>
      </c>
    </row>
    <row r="3731" spans="1:22">
      <c r="A3731" t="str">
        <f t="shared" si="658"/>
        <v>19/03/2026</v>
      </c>
      <c r="B3731" t="str">
        <f t="shared" si="655"/>
        <v>SAÍDA</v>
      </c>
      <c r="C3731" t="str">
        <f t="shared" si="656"/>
        <v>PIX</v>
      </c>
      <c r="D3731" t="str">
        <f>"34589"</f>
        <v>34589</v>
      </c>
      <c r="E3731" t="str">
        <f t="shared" si="659"/>
        <v>1</v>
      </c>
      <c r="F3731" t="str">
        <f t="shared" si="661"/>
        <v>COM</v>
      </c>
      <c r="G3731" t="str">
        <f>"JOMAR GONÇALVES DIAS (16)"</f>
        <v>JOMAR GONÇALVES DIAS (16)</v>
      </c>
      <c r="H3731" t="str">
        <f>"Serv.Prest. 02/03/2026 a 08/03/2026 - PIX: CPF - CHAVE: 602.838.315-53"</f>
        <v>Serv.Prest. 02/03/2026 a 08/03/2026 - PIX: CPF - CHAVE: 602.838.315-53</v>
      </c>
      <c r="I3731" t="str">
        <f t="shared" si="657"/>
        <v>19/03/2026</v>
      </c>
      <c r="J3731" t="str">
        <f t="shared" si="660"/>
        <v>10/03/2026</v>
      </c>
      <c r="K3731" t="str">
        <f>("19/03/2026")</f>
        <v>19/03/2026</v>
      </c>
      <c r="L3731">
        <v>1006.5</v>
      </c>
      <c r="M3731">
        <v>1006.5</v>
      </c>
      <c r="N3731">
        <v>109</v>
      </c>
      <c r="O3731" t="str">
        <f>"PAGAMENTO DE ENTREGADORES"</f>
        <v>PAGAMENTO DE ENTREGADORES</v>
      </c>
      <c r="P3731">
        <v>1006.5</v>
      </c>
      <c r="S3731" t="str">
        <f>"BANCO C6 (149)"</f>
        <v>BANCO C6 (149)</v>
      </c>
      <c r="T3731">
        <v>31541</v>
      </c>
      <c r="U3731">
        <v>34589</v>
      </c>
      <c r="V3731" t="s">
        <v>37</v>
      </c>
    </row>
    <row r="3732" spans="1:22">
      <c r="A3732" t="str">
        <f t="shared" si="658"/>
        <v>19/03/2026</v>
      </c>
      <c r="B3732" t="str">
        <f t="shared" si="655"/>
        <v>SAÍDA</v>
      </c>
      <c r="C3732" t="str">
        <f t="shared" si="656"/>
        <v>PIX</v>
      </c>
      <c r="D3732" t="str">
        <f>"34589"</f>
        <v>34589</v>
      </c>
      <c r="E3732" t="str">
        <f t="shared" si="659"/>
        <v>1</v>
      </c>
      <c r="F3732" t="str">
        <f t="shared" si="661"/>
        <v>COM</v>
      </c>
      <c r="G3732" t="str">
        <f>"JOMAR GONÇALVES DIAS (16)"</f>
        <v>JOMAR GONÇALVES DIAS (16)</v>
      </c>
      <c r="H3732" t="s">
        <v>1046</v>
      </c>
      <c r="I3732" t="str">
        <f t="shared" si="657"/>
        <v>19/03/2026</v>
      </c>
      <c r="J3732" t="str">
        <f t="shared" si="660"/>
        <v>10/03/2026</v>
      </c>
      <c r="K3732">
        <v>46100</v>
      </c>
      <c r="N3732">
        <v>109</v>
      </c>
      <c r="O3732" t="s">
        <v>27</v>
      </c>
      <c r="Q3732">
        <v>1006.5</v>
      </c>
      <c r="R3732" t="str">
        <f>"FARMÁCIA INDIANA LJ 61 (10027)"</f>
        <v>FARMÁCIA INDIANA LJ 61 (10027)</v>
      </c>
      <c r="S3732" t="s">
        <v>37</v>
      </c>
      <c r="T3732">
        <v>31541</v>
      </c>
      <c r="U3732">
        <v>34589</v>
      </c>
      <c r="V3732" t="s">
        <v>37</v>
      </c>
    </row>
    <row r="3733" spans="1:22">
      <c r="A3733" t="str">
        <f t="shared" si="658"/>
        <v>19/03/2026</v>
      </c>
      <c r="B3733" t="str">
        <f t="shared" si="655"/>
        <v>SAÍDA</v>
      </c>
      <c r="C3733" t="str">
        <f t="shared" si="656"/>
        <v>PIX</v>
      </c>
      <c r="D3733" t="str">
        <f>"34590"</f>
        <v>34590</v>
      </c>
      <c r="E3733" t="str">
        <f t="shared" si="659"/>
        <v>1</v>
      </c>
      <c r="F3733" t="str">
        <f t="shared" si="661"/>
        <v>COM</v>
      </c>
      <c r="G3733" t="str">
        <f>"JOSÉ CARLOS DA COSTA (83)"</f>
        <v>JOSÉ CARLOS DA COSTA (83)</v>
      </c>
      <c r="H3733" t="str">
        <f>"Serv.Prest. 02/03/2026 a 08/03/2026 - PIX: E-MAIL - CHAVE: jcarlosctga36@hotmail.com"</f>
        <v>Serv.Prest. 02/03/2026 a 08/03/2026 - PIX: E-MAIL - CHAVE: jcarlosctga36@hotmail.com</v>
      </c>
      <c r="I3733" t="str">
        <f t="shared" si="657"/>
        <v>19/03/2026</v>
      </c>
      <c r="J3733" t="str">
        <f t="shared" si="660"/>
        <v>10/03/2026</v>
      </c>
      <c r="K3733" t="str">
        <f>("19/03/2026")</f>
        <v>19/03/2026</v>
      </c>
      <c r="L3733">
        <v>600</v>
      </c>
      <c r="M3733">
        <v>600</v>
      </c>
      <c r="N3733">
        <v>109</v>
      </c>
      <c r="O3733" t="str">
        <f>"PAGAMENTO DE ENTREGADORES"</f>
        <v>PAGAMENTO DE ENTREGADORES</v>
      </c>
      <c r="P3733">
        <v>600</v>
      </c>
      <c r="S3733" t="str">
        <f>"BANCO C6 (149)"</f>
        <v>BANCO C6 (149)</v>
      </c>
      <c r="T3733">
        <v>31542</v>
      </c>
      <c r="U3733">
        <v>34590</v>
      </c>
      <c r="V3733" t="s">
        <v>37</v>
      </c>
    </row>
    <row r="3734" spans="1:22">
      <c r="A3734" t="str">
        <f t="shared" si="658"/>
        <v>19/03/2026</v>
      </c>
      <c r="B3734" t="str">
        <f t="shared" si="655"/>
        <v>SAÍDA</v>
      </c>
      <c r="C3734" t="str">
        <f t="shared" si="656"/>
        <v>PIX</v>
      </c>
      <c r="D3734" t="str">
        <f>"34590"</f>
        <v>34590</v>
      </c>
      <c r="E3734" t="str">
        <f t="shared" si="659"/>
        <v>1</v>
      </c>
      <c r="F3734" t="str">
        <f t="shared" si="661"/>
        <v>COM</v>
      </c>
      <c r="G3734" t="str">
        <f>"JOSÉ CARLOS DA COSTA (83)"</f>
        <v>JOSÉ CARLOS DA COSTA (83)</v>
      </c>
      <c r="H3734" t="s">
        <v>1047</v>
      </c>
      <c r="I3734" t="str">
        <f t="shared" si="657"/>
        <v>19/03/2026</v>
      </c>
      <c r="J3734" t="str">
        <f t="shared" si="660"/>
        <v>10/03/2026</v>
      </c>
      <c r="K3734">
        <v>46100</v>
      </c>
      <c r="N3734">
        <v>109</v>
      </c>
      <c r="O3734" t="s">
        <v>27</v>
      </c>
      <c r="Q3734">
        <v>600</v>
      </c>
      <c r="R3734" t="str">
        <f>"FARMÁCIA INDIANA LJ 152 (10069)"</f>
        <v>FARMÁCIA INDIANA LJ 152 (10069)</v>
      </c>
      <c r="S3734" t="s">
        <v>37</v>
      </c>
      <c r="T3734">
        <v>31542</v>
      </c>
      <c r="U3734">
        <v>34590</v>
      </c>
      <c r="V3734" t="s">
        <v>37</v>
      </c>
    </row>
    <row r="3735" spans="1:22">
      <c r="A3735" t="str">
        <f t="shared" si="658"/>
        <v>19/03/2026</v>
      </c>
      <c r="B3735" t="str">
        <f t="shared" si="655"/>
        <v>SAÍDA</v>
      </c>
      <c r="C3735" t="str">
        <f t="shared" si="656"/>
        <v>PIX</v>
      </c>
      <c r="D3735" t="str">
        <f>"34592"</f>
        <v>34592</v>
      </c>
      <c r="E3735" t="str">
        <f t="shared" si="659"/>
        <v>1</v>
      </c>
      <c r="F3735" t="str">
        <f t="shared" si="661"/>
        <v>COM</v>
      </c>
      <c r="G3735" t="str">
        <f>"JUBER FERREIRA SILVA BASTOS (192)"</f>
        <v>JUBER FERREIRA SILVA BASTOS (192)</v>
      </c>
      <c r="H3735" t="str">
        <f>"Serv.Prest. 02/03/2026 a 08/03/2026 - PIX: CPF - CHAVE: 012.459.366-62"</f>
        <v>Serv.Prest. 02/03/2026 a 08/03/2026 - PIX: CPF - CHAVE: 012.459.366-62</v>
      </c>
      <c r="I3735" t="str">
        <f t="shared" si="657"/>
        <v>19/03/2026</v>
      </c>
      <c r="J3735" t="str">
        <f t="shared" si="660"/>
        <v>10/03/2026</v>
      </c>
      <c r="K3735" t="str">
        <f>("19/03/2026")</f>
        <v>19/03/2026</v>
      </c>
      <c r="L3735">
        <v>990</v>
      </c>
      <c r="M3735">
        <v>990</v>
      </c>
      <c r="N3735">
        <v>109</v>
      </c>
      <c r="O3735" t="str">
        <f>"PAGAMENTO DE ENTREGADORES"</f>
        <v>PAGAMENTO DE ENTREGADORES</v>
      </c>
      <c r="P3735">
        <v>990</v>
      </c>
      <c r="S3735" t="str">
        <f>"BANCO C6 (149)"</f>
        <v>BANCO C6 (149)</v>
      </c>
      <c r="T3735">
        <v>31543</v>
      </c>
      <c r="U3735">
        <v>34592</v>
      </c>
      <c r="V3735" t="s">
        <v>37</v>
      </c>
    </row>
    <row r="3736" spans="1:22">
      <c r="A3736" t="str">
        <f t="shared" si="658"/>
        <v>19/03/2026</v>
      </c>
      <c r="B3736" t="str">
        <f t="shared" si="655"/>
        <v>SAÍDA</v>
      </c>
      <c r="C3736" t="str">
        <f t="shared" si="656"/>
        <v>PIX</v>
      </c>
      <c r="D3736" t="str">
        <f>"34592"</f>
        <v>34592</v>
      </c>
      <c r="E3736" t="str">
        <f t="shared" si="659"/>
        <v>1</v>
      </c>
      <c r="F3736" t="str">
        <f t="shared" si="661"/>
        <v>COM</v>
      </c>
      <c r="G3736" t="str">
        <f>"JUBER FERREIRA SILVA BASTOS (192)"</f>
        <v>JUBER FERREIRA SILVA BASTOS (192)</v>
      </c>
      <c r="H3736" t="s">
        <v>974</v>
      </c>
      <c r="I3736" t="str">
        <f t="shared" si="657"/>
        <v>19/03/2026</v>
      </c>
      <c r="J3736" t="str">
        <f t="shared" si="660"/>
        <v>10/03/2026</v>
      </c>
      <c r="K3736">
        <v>46100</v>
      </c>
      <c r="N3736">
        <v>109</v>
      </c>
      <c r="O3736" t="s">
        <v>27</v>
      </c>
      <c r="Q3736">
        <v>990</v>
      </c>
      <c r="R3736" t="str">
        <f>"FARMÁCIA INDIANA LJ 14 (10009)"</f>
        <v>FARMÁCIA INDIANA LJ 14 (10009)</v>
      </c>
      <c r="S3736" t="s">
        <v>37</v>
      </c>
      <c r="T3736">
        <v>31543</v>
      </c>
      <c r="U3736">
        <v>34592</v>
      </c>
      <c r="V3736" t="s">
        <v>37</v>
      </c>
    </row>
    <row r="3737" spans="1:22">
      <c r="A3737" t="str">
        <f t="shared" si="658"/>
        <v>19/03/2026</v>
      </c>
      <c r="B3737" t="str">
        <f t="shared" si="655"/>
        <v>SAÍDA</v>
      </c>
      <c r="C3737" t="str">
        <f t="shared" si="656"/>
        <v>PIX</v>
      </c>
      <c r="D3737" t="str">
        <f>"34593"</f>
        <v>34593</v>
      </c>
      <c r="E3737" t="str">
        <f t="shared" si="659"/>
        <v>1</v>
      </c>
      <c r="F3737" t="str">
        <f t="shared" si="661"/>
        <v>COM</v>
      </c>
      <c r="G3737" t="str">
        <f>"JUNIO DE ANDRADE ARRUDA (145)"</f>
        <v>JUNIO DE ANDRADE ARRUDA (145)</v>
      </c>
      <c r="H3737" t="str">
        <f>"Serv.Prest. 02/03/2026 a 08/03/2026 - PIX: CELULAR - CHAVE: (31) 98674-8323"</f>
        <v>Serv.Prest. 02/03/2026 a 08/03/2026 - PIX: CELULAR - CHAVE: (31) 98674-8323</v>
      </c>
      <c r="I3737" t="str">
        <f t="shared" si="657"/>
        <v>19/03/2026</v>
      </c>
      <c r="J3737" t="str">
        <f t="shared" si="660"/>
        <v>10/03/2026</v>
      </c>
      <c r="K3737" t="str">
        <f>("19/03/2026")</f>
        <v>19/03/2026</v>
      </c>
      <c r="L3737">
        <v>1092</v>
      </c>
      <c r="M3737">
        <v>1092</v>
      </c>
      <c r="N3737">
        <v>109</v>
      </c>
      <c r="O3737" t="str">
        <f>"PAGAMENTO DE ENTREGADORES"</f>
        <v>PAGAMENTO DE ENTREGADORES</v>
      </c>
      <c r="P3737">
        <v>1092</v>
      </c>
      <c r="S3737" t="str">
        <f>"BANCO C6 (149)"</f>
        <v>BANCO C6 (149)</v>
      </c>
      <c r="T3737">
        <v>31544</v>
      </c>
      <c r="U3737">
        <v>34593</v>
      </c>
      <c r="V3737" t="s">
        <v>37</v>
      </c>
    </row>
    <row r="3738" spans="1:22">
      <c r="A3738" t="str">
        <f t="shared" si="658"/>
        <v>19/03/2026</v>
      </c>
      <c r="B3738" t="str">
        <f t="shared" si="655"/>
        <v>SAÍDA</v>
      </c>
      <c r="C3738" t="str">
        <f t="shared" si="656"/>
        <v>PIX</v>
      </c>
      <c r="D3738" t="str">
        <f>"34593"</f>
        <v>34593</v>
      </c>
      <c r="E3738" t="str">
        <f t="shared" si="659"/>
        <v>1</v>
      </c>
      <c r="F3738" t="str">
        <f t="shared" si="661"/>
        <v>COM</v>
      </c>
      <c r="G3738" t="str">
        <f>"JUNIO DE ANDRADE ARRUDA (145)"</f>
        <v>JUNIO DE ANDRADE ARRUDA (145)</v>
      </c>
      <c r="H3738" t="s">
        <v>973</v>
      </c>
      <c r="I3738" t="str">
        <f t="shared" si="657"/>
        <v>19/03/2026</v>
      </c>
      <c r="J3738" t="str">
        <f t="shared" si="660"/>
        <v>10/03/2026</v>
      </c>
      <c r="K3738">
        <v>46100</v>
      </c>
      <c r="N3738">
        <v>109</v>
      </c>
      <c r="O3738" t="s">
        <v>27</v>
      </c>
      <c r="Q3738">
        <v>1092</v>
      </c>
      <c r="R3738" t="str">
        <f>"FARMÁCIA INDIANA LJ 19 (10012)"</f>
        <v>FARMÁCIA INDIANA LJ 19 (10012)</v>
      </c>
      <c r="S3738" t="s">
        <v>37</v>
      </c>
      <c r="T3738">
        <v>31544</v>
      </c>
      <c r="U3738">
        <v>34593</v>
      </c>
      <c r="V3738" t="s">
        <v>37</v>
      </c>
    </row>
    <row r="3739" spans="1:22">
      <c r="A3739" t="str">
        <f t="shared" si="658"/>
        <v>19/03/2026</v>
      </c>
      <c r="B3739" t="str">
        <f t="shared" si="655"/>
        <v>SAÍDA</v>
      </c>
      <c r="C3739" t="str">
        <f t="shared" si="656"/>
        <v>PIX</v>
      </c>
      <c r="D3739" t="str">
        <f>"34595"</f>
        <v>34595</v>
      </c>
      <c r="E3739" t="str">
        <f t="shared" si="659"/>
        <v>1</v>
      </c>
      <c r="F3739" t="str">
        <f t="shared" si="661"/>
        <v>COM</v>
      </c>
      <c r="G3739" t="str">
        <f>"JUNIOR DOS SANTOS MACHADO (240)"</f>
        <v>JUNIOR DOS SANTOS MACHADO (240)</v>
      </c>
      <c r="H3739" t="str">
        <f>"Serv.Prest. 02/03/2026 a 08/03/2026 - PIX: E-MAIL - CHAVE: juninhomachado789@gmail.com"</f>
        <v>Serv.Prest. 02/03/2026 a 08/03/2026 - PIX: E-MAIL - CHAVE: juninhomachado789@gmail.com</v>
      </c>
      <c r="I3739" t="str">
        <f t="shared" si="657"/>
        <v>19/03/2026</v>
      </c>
      <c r="J3739" t="str">
        <f t="shared" si="660"/>
        <v>10/03/2026</v>
      </c>
      <c r="K3739" t="str">
        <f>("19/03/2026")</f>
        <v>19/03/2026</v>
      </c>
      <c r="L3739">
        <v>517</v>
      </c>
      <c r="M3739">
        <v>517</v>
      </c>
      <c r="N3739">
        <v>109</v>
      </c>
      <c r="O3739" t="str">
        <f>"PAGAMENTO DE ENTREGADORES"</f>
        <v>PAGAMENTO DE ENTREGADORES</v>
      </c>
      <c r="P3739">
        <v>517</v>
      </c>
      <c r="S3739" t="str">
        <f>"BANCO C6 (149)"</f>
        <v>BANCO C6 (149)</v>
      </c>
      <c r="T3739">
        <v>31545</v>
      </c>
      <c r="U3739">
        <v>34595</v>
      </c>
      <c r="V3739" t="s">
        <v>37</v>
      </c>
    </row>
    <row r="3740" spans="1:22">
      <c r="A3740" t="str">
        <f t="shared" si="658"/>
        <v>19/03/2026</v>
      </c>
      <c r="B3740" t="str">
        <f t="shared" si="655"/>
        <v>SAÍDA</v>
      </c>
      <c r="C3740" t="str">
        <f t="shared" si="656"/>
        <v>PIX</v>
      </c>
      <c r="D3740" t="str">
        <f>"34595"</f>
        <v>34595</v>
      </c>
      <c r="E3740" t="str">
        <f t="shared" si="659"/>
        <v>1</v>
      </c>
      <c r="F3740" t="str">
        <f t="shared" si="661"/>
        <v>COM</v>
      </c>
      <c r="G3740" t="str">
        <f>"JUNIOR DOS SANTOS MACHADO (240)"</f>
        <v>JUNIOR DOS SANTOS MACHADO (240)</v>
      </c>
      <c r="H3740" t="s">
        <v>857</v>
      </c>
      <c r="I3740" t="str">
        <f t="shared" si="657"/>
        <v>19/03/2026</v>
      </c>
      <c r="J3740" t="str">
        <f t="shared" si="660"/>
        <v>10/03/2026</v>
      </c>
      <c r="K3740">
        <v>46100</v>
      </c>
      <c r="N3740">
        <v>109</v>
      </c>
      <c r="O3740" t="s">
        <v>27</v>
      </c>
      <c r="Q3740">
        <v>517</v>
      </c>
      <c r="R3740" t="str">
        <f>"FARMÁCIA INDIANA LJ 62 (10028)"</f>
        <v>FARMÁCIA INDIANA LJ 62 (10028)</v>
      </c>
      <c r="S3740" t="s">
        <v>37</v>
      </c>
      <c r="T3740">
        <v>31545</v>
      </c>
      <c r="U3740">
        <v>34595</v>
      </c>
      <c r="V3740" t="s">
        <v>37</v>
      </c>
    </row>
    <row r="3741" spans="1:22">
      <c r="A3741" t="str">
        <f t="shared" si="658"/>
        <v>19/03/2026</v>
      </c>
      <c r="B3741" t="str">
        <f t="shared" si="655"/>
        <v>SAÍDA</v>
      </c>
      <c r="C3741" t="str">
        <f t="shared" si="656"/>
        <v>PIX</v>
      </c>
      <c r="D3741" t="str">
        <f>"34597"</f>
        <v>34597</v>
      </c>
      <c r="E3741" t="str">
        <f t="shared" si="659"/>
        <v>1</v>
      </c>
      <c r="F3741" t="str">
        <f t="shared" si="661"/>
        <v>COM</v>
      </c>
      <c r="G3741" t="str">
        <f>"KALESSON BARROSO DIAS (216)"</f>
        <v>KALESSON BARROSO DIAS (216)</v>
      </c>
      <c r="H3741" t="str">
        <f>"Serv.Prest. 02/03/2026 a 08/03/2026 - PIX: CELULAR - CHAVE: (33) 99106-9330"</f>
        <v>Serv.Prest. 02/03/2026 a 08/03/2026 - PIX: CELULAR - CHAVE: (33) 99106-9330</v>
      </c>
      <c r="I3741" t="str">
        <f t="shared" si="657"/>
        <v>19/03/2026</v>
      </c>
      <c r="J3741" t="str">
        <f t="shared" si="660"/>
        <v>10/03/2026</v>
      </c>
      <c r="K3741" t="str">
        <f>("19/03/2026")</f>
        <v>19/03/2026</v>
      </c>
      <c r="L3741">
        <v>1020</v>
      </c>
      <c r="M3741">
        <v>1020</v>
      </c>
      <c r="N3741">
        <v>109</v>
      </c>
      <c r="O3741" t="str">
        <f>"PAGAMENTO DE ENTREGADORES"</f>
        <v>PAGAMENTO DE ENTREGADORES</v>
      </c>
      <c r="P3741">
        <v>1020</v>
      </c>
      <c r="S3741" t="str">
        <f>"BANCO C6 (149)"</f>
        <v>BANCO C6 (149)</v>
      </c>
      <c r="T3741">
        <v>31546</v>
      </c>
      <c r="U3741">
        <v>34597</v>
      </c>
      <c r="V3741" t="s">
        <v>37</v>
      </c>
    </row>
    <row r="3742" spans="1:22">
      <c r="A3742" t="str">
        <f t="shared" si="658"/>
        <v>19/03/2026</v>
      </c>
      <c r="B3742" t="str">
        <f t="shared" si="655"/>
        <v>SAÍDA</v>
      </c>
      <c r="C3742" t="str">
        <f t="shared" si="656"/>
        <v>PIX</v>
      </c>
      <c r="D3742" t="str">
        <f>"34597"</f>
        <v>34597</v>
      </c>
      <c r="E3742" t="str">
        <f t="shared" si="659"/>
        <v>1</v>
      </c>
      <c r="F3742" t="str">
        <f t="shared" si="661"/>
        <v>COM</v>
      </c>
      <c r="G3742" t="str">
        <f>"KALESSON BARROSO DIAS (216)"</f>
        <v>KALESSON BARROSO DIAS (216)</v>
      </c>
      <c r="H3742" t="s">
        <v>925</v>
      </c>
      <c r="I3742" t="str">
        <f t="shared" si="657"/>
        <v>19/03/2026</v>
      </c>
      <c r="J3742" t="str">
        <f t="shared" si="660"/>
        <v>10/03/2026</v>
      </c>
      <c r="K3742">
        <v>46100</v>
      </c>
      <c r="N3742">
        <v>109</v>
      </c>
      <c r="O3742" t="s">
        <v>27</v>
      </c>
      <c r="Q3742">
        <v>1020</v>
      </c>
      <c r="R3742" t="str">
        <f>"FARMÁCIA INDIANA LJ 06 (10006)"</f>
        <v>FARMÁCIA INDIANA LJ 06 (10006)</v>
      </c>
      <c r="S3742" t="s">
        <v>37</v>
      </c>
      <c r="T3742">
        <v>31546</v>
      </c>
      <c r="U3742">
        <v>34597</v>
      </c>
      <c r="V3742" t="s">
        <v>37</v>
      </c>
    </row>
    <row r="3743" spans="1:22">
      <c r="A3743" t="str">
        <f t="shared" si="658"/>
        <v>19/03/2026</v>
      </c>
      <c r="B3743" t="str">
        <f t="shared" si="655"/>
        <v>SAÍDA</v>
      </c>
      <c r="C3743" t="str">
        <f t="shared" si="656"/>
        <v>PIX</v>
      </c>
      <c r="D3743" t="str">
        <f>"34598"</f>
        <v>34598</v>
      </c>
      <c r="E3743" t="str">
        <f t="shared" si="659"/>
        <v>1</v>
      </c>
      <c r="F3743" t="str">
        <f t="shared" si="661"/>
        <v>COM</v>
      </c>
      <c r="G3743" t="str">
        <f>"LAMARK FERREIRA DE AMORIM (625)"</f>
        <v>LAMARK FERREIRA DE AMORIM (625)</v>
      </c>
      <c r="H3743" t="str">
        <f>"Serv.Prest. 02/03/2026 a 08/03/2026 - PIX: CPF - CHAVE: 057.893.536-81"</f>
        <v>Serv.Prest. 02/03/2026 a 08/03/2026 - PIX: CPF - CHAVE: 057.893.536-81</v>
      </c>
      <c r="I3743" t="str">
        <f t="shared" si="657"/>
        <v>19/03/2026</v>
      </c>
      <c r="J3743" t="str">
        <f t="shared" si="660"/>
        <v>10/03/2026</v>
      </c>
      <c r="K3743" t="str">
        <f>("19/03/2026")</f>
        <v>19/03/2026</v>
      </c>
      <c r="L3743">
        <v>906</v>
      </c>
      <c r="M3743">
        <v>906</v>
      </c>
      <c r="N3743">
        <v>109</v>
      </c>
      <c r="O3743" t="str">
        <f>"PAGAMENTO DE ENTREGADORES"</f>
        <v>PAGAMENTO DE ENTREGADORES</v>
      </c>
      <c r="P3743">
        <v>906</v>
      </c>
      <c r="S3743" t="str">
        <f>"BANCO C6 (149)"</f>
        <v>BANCO C6 (149)</v>
      </c>
      <c r="T3743">
        <v>31547</v>
      </c>
      <c r="U3743">
        <v>34598</v>
      </c>
      <c r="V3743" t="s">
        <v>37</v>
      </c>
    </row>
    <row r="3744" spans="1:22">
      <c r="A3744" t="str">
        <f t="shared" si="658"/>
        <v>19/03/2026</v>
      </c>
      <c r="B3744" t="str">
        <f t="shared" si="655"/>
        <v>SAÍDA</v>
      </c>
      <c r="C3744" t="str">
        <f t="shared" si="656"/>
        <v>PIX</v>
      </c>
      <c r="D3744" t="str">
        <f>"34598"</f>
        <v>34598</v>
      </c>
      <c r="E3744" t="str">
        <f t="shared" si="659"/>
        <v>1</v>
      </c>
      <c r="F3744" t="str">
        <f t="shared" si="661"/>
        <v>COM</v>
      </c>
      <c r="G3744" t="str">
        <f>"LAMARK FERREIRA DE AMORIM (625)"</f>
        <v>LAMARK FERREIRA DE AMORIM (625)</v>
      </c>
      <c r="H3744" t="s">
        <v>1048</v>
      </c>
      <c r="I3744" t="str">
        <f t="shared" si="657"/>
        <v>19/03/2026</v>
      </c>
      <c r="J3744" t="str">
        <f t="shared" si="660"/>
        <v>10/03/2026</v>
      </c>
      <c r="K3744">
        <v>46100</v>
      </c>
      <c r="N3744">
        <v>109</v>
      </c>
      <c r="O3744" t="s">
        <v>27</v>
      </c>
      <c r="Q3744">
        <v>906</v>
      </c>
      <c r="R3744" t="str">
        <f>"FARMÁCIA INDIANA LJ 07 (10007)"</f>
        <v>FARMÁCIA INDIANA LJ 07 (10007)</v>
      </c>
      <c r="S3744" t="s">
        <v>37</v>
      </c>
      <c r="T3744">
        <v>31547</v>
      </c>
      <c r="U3744">
        <v>34598</v>
      </c>
      <c r="V3744" t="s">
        <v>37</v>
      </c>
    </row>
    <row r="3745" spans="1:22">
      <c r="A3745" t="str">
        <f t="shared" si="658"/>
        <v>19/03/2026</v>
      </c>
      <c r="B3745" t="str">
        <f t="shared" si="655"/>
        <v>SAÍDA</v>
      </c>
      <c r="C3745" t="str">
        <f t="shared" si="656"/>
        <v>PIX</v>
      </c>
      <c r="D3745" t="str">
        <f>"34599"</f>
        <v>34599</v>
      </c>
      <c r="E3745" t="str">
        <f t="shared" si="659"/>
        <v>1</v>
      </c>
      <c r="F3745" t="str">
        <f t="shared" si="661"/>
        <v>COM</v>
      </c>
      <c r="G3745" t="str">
        <f>"LEANDRO BARBOSA RIBEIRO (742)"</f>
        <v>LEANDRO BARBOSA RIBEIRO (742)</v>
      </c>
      <c r="H3745" t="str">
        <f>"Serv.Prest. 02/03/2026 a 08/03/2026 - PIX: CELULAR - CHAVE: (31) 97145-0796"</f>
        <v>Serv.Prest. 02/03/2026 a 08/03/2026 - PIX: CELULAR - CHAVE: (31) 97145-0796</v>
      </c>
      <c r="I3745" t="str">
        <f t="shared" si="657"/>
        <v>19/03/2026</v>
      </c>
      <c r="J3745" t="str">
        <f t="shared" si="660"/>
        <v>10/03/2026</v>
      </c>
      <c r="K3745" t="str">
        <f>("19/03/2026")</f>
        <v>19/03/2026</v>
      </c>
      <c r="L3745">
        <v>1158</v>
      </c>
      <c r="M3745">
        <v>1158</v>
      </c>
      <c r="N3745">
        <v>109</v>
      </c>
      <c r="O3745" t="str">
        <f>"PAGAMENTO DE ENTREGADORES"</f>
        <v>PAGAMENTO DE ENTREGADORES</v>
      </c>
      <c r="P3745">
        <v>1158</v>
      </c>
      <c r="S3745" t="str">
        <f>"BANCO C6 (149)"</f>
        <v>BANCO C6 (149)</v>
      </c>
      <c r="T3745">
        <v>31548</v>
      </c>
      <c r="U3745">
        <v>34599</v>
      </c>
      <c r="V3745" t="s">
        <v>37</v>
      </c>
    </row>
    <row r="3746" spans="1:22">
      <c r="A3746" t="str">
        <f t="shared" si="658"/>
        <v>19/03/2026</v>
      </c>
      <c r="B3746" t="str">
        <f t="shared" si="655"/>
        <v>SAÍDA</v>
      </c>
      <c r="C3746" t="str">
        <f t="shared" si="656"/>
        <v>PIX</v>
      </c>
      <c r="D3746" t="str">
        <f>"34599"</f>
        <v>34599</v>
      </c>
      <c r="E3746" t="str">
        <f t="shared" si="659"/>
        <v>1</v>
      </c>
      <c r="F3746" t="str">
        <f t="shared" si="661"/>
        <v>COM</v>
      </c>
      <c r="G3746" t="str">
        <f>"LEANDRO BARBOSA RIBEIRO (742)"</f>
        <v>LEANDRO BARBOSA RIBEIRO (742)</v>
      </c>
      <c r="H3746" t="s">
        <v>969</v>
      </c>
      <c r="I3746" t="str">
        <f t="shared" si="657"/>
        <v>19/03/2026</v>
      </c>
      <c r="J3746" t="str">
        <f t="shared" si="660"/>
        <v>10/03/2026</v>
      </c>
      <c r="K3746">
        <v>46100</v>
      </c>
      <c r="N3746">
        <v>109</v>
      </c>
      <c r="O3746" t="s">
        <v>27</v>
      </c>
      <c r="Q3746">
        <v>1158</v>
      </c>
      <c r="R3746" t="str">
        <f>"FARMÁCIA INDIANA LJ 172 (10161)"</f>
        <v>FARMÁCIA INDIANA LJ 172 (10161)</v>
      </c>
      <c r="S3746" t="s">
        <v>37</v>
      </c>
      <c r="T3746">
        <v>31548</v>
      </c>
      <c r="U3746">
        <v>34599</v>
      </c>
      <c r="V3746" t="s">
        <v>37</v>
      </c>
    </row>
    <row r="3747" spans="1:22">
      <c r="A3747" t="str">
        <f t="shared" si="658"/>
        <v>19/03/2026</v>
      </c>
      <c r="B3747" t="str">
        <f t="shared" si="655"/>
        <v>SAÍDA</v>
      </c>
      <c r="C3747" t="str">
        <f t="shared" si="656"/>
        <v>PIX</v>
      </c>
      <c r="D3747" t="str">
        <f>"34600"</f>
        <v>34600</v>
      </c>
      <c r="E3747" t="str">
        <f t="shared" si="659"/>
        <v>1</v>
      </c>
      <c r="F3747" t="str">
        <f t="shared" si="661"/>
        <v>COM</v>
      </c>
      <c r="G3747" t="str">
        <f>"LUAN DOS SANTOS NUNES (719)"</f>
        <v>LUAN DOS SANTOS NUNES (719)</v>
      </c>
      <c r="H3747" t="str">
        <f>"Serv.Prest. 02/03/2026 a 08/03/2026 - PIX: CELULAR - CHAVE: (33) 98749-4693"</f>
        <v>Serv.Prest. 02/03/2026 a 08/03/2026 - PIX: CELULAR - CHAVE: (33) 98749-4693</v>
      </c>
      <c r="I3747" t="str">
        <f t="shared" si="657"/>
        <v>19/03/2026</v>
      </c>
      <c r="J3747" t="str">
        <f t="shared" si="660"/>
        <v>10/03/2026</v>
      </c>
      <c r="K3747" t="str">
        <f>("19/03/2026")</f>
        <v>19/03/2026</v>
      </c>
      <c r="L3747">
        <v>1476.5</v>
      </c>
      <c r="M3747">
        <v>1476.5</v>
      </c>
      <c r="N3747">
        <v>109</v>
      </c>
      <c r="O3747" t="str">
        <f>"PAGAMENTO DE ENTREGADORES"</f>
        <v>PAGAMENTO DE ENTREGADORES</v>
      </c>
      <c r="P3747">
        <v>1476.5</v>
      </c>
      <c r="S3747" t="str">
        <f>"BANCO C6 (149)"</f>
        <v>BANCO C6 (149)</v>
      </c>
      <c r="T3747">
        <v>31549</v>
      </c>
      <c r="U3747">
        <v>34600</v>
      </c>
      <c r="V3747" t="s">
        <v>37</v>
      </c>
    </row>
    <row r="3748" spans="1:22">
      <c r="A3748" t="str">
        <f t="shared" si="658"/>
        <v>19/03/2026</v>
      </c>
      <c r="B3748" t="str">
        <f t="shared" si="655"/>
        <v>SAÍDA</v>
      </c>
      <c r="C3748" t="str">
        <f t="shared" si="656"/>
        <v>PIX</v>
      </c>
      <c r="D3748" t="str">
        <f>"34600"</f>
        <v>34600</v>
      </c>
      <c r="E3748" t="str">
        <f t="shared" si="659"/>
        <v>1</v>
      </c>
      <c r="F3748" t="str">
        <f t="shared" si="661"/>
        <v>COM</v>
      </c>
      <c r="G3748" t="str">
        <f>"LUAN DOS SANTOS NUNES (719)"</f>
        <v>LUAN DOS SANTOS NUNES (719)</v>
      </c>
      <c r="H3748" t="s">
        <v>909</v>
      </c>
      <c r="I3748" t="str">
        <f t="shared" si="657"/>
        <v>19/03/2026</v>
      </c>
      <c r="J3748" t="str">
        <f t="shared" si="660"/>
        <v>10/03/2026</v>
      </c>
      <c r="K3748">
        <v>46100</v>
      </c>
      <c r="N3748">
        <v>109</v>
      </c>
      <c r="O3748" t="s">
        <v>27</v>
      </c>
      <c r="Q3748">
        <v>1476.5</v>
      </c>
      <c r="R3748" t="str">
        <f>"FARMÁCIA INDIANA LJ 61 (10027)"</f>
        <v>FARMÁCIA INDIANA LJ 61 (10027)</v>
      </c>
      <c r="S3748" t="s">
        <v>37</v>
      </c>
      <c r="T3748">
        <v>31549</v>
      </c>
      <c r="U3748">
        <v>34600</v>
      </c>
      <c r="V3748" t="s">
        <v>37</v>
      </c>
    </row>
    <row r="3749" spans="1:22">
      <c r="A3749" t="str">
        <f t="shared" si="658"/>
        <v>19/03/2026</v>
      </c>
      <c r="B3749" t="str">
        <f t="shared" si="655"/>
        <v>SAÍDA</v>
      </c>
      <c r="C3749" t="str">
        <f t="shared" si="656"/>
        <v>PIX</v>
      </c>
      <c r="D3749" t="str">
        <f>"34601"</f>
        <v>34601</v>
      </c>
      <c r="E3749" t="str">
        <f t="shared" si="659"/>
        <v>1</v>
      </c>
      <c r="F3749" t="str">
        <f t="shared" si="661"/>
        <v>COM</v>
      </c>
      <c r="G3749" t="str">
        <f>"LUAN VICTOR SERQUEIRA DA SILVA (577)"</f>
        <v>LUAN VICTOR SERQUEIRA DA SILVA (577)</v>
      </c>
      <c r="H3749" t="str">
        <f>"Serv.Prest. 02/03/2026 a 08/03/2026 - PIX: CPF - CHAVE: 161.508.516-56"</f>
        <v>Serv.Prest. 02/03/2026 a 08/03/2026 - PIX: CPF - CHAVE: 161.508.516-56</v>
      </c>
      <c r="I3749" t="str">
        <f t="shared" si="657"/>
        <v>19/03/2026</v>
      </c>
      <c r="J3749" t="str">
        <f t="shared" si="660"/>
        <v>10/03/2026</v>
      </c>
      <c r="K3749" t="str">
        <f>("19/03/2026")</f>
        <v>19/03/2026</v>
      </c>
      <c r="L3749">
        <v>698.5</v>
      </c>
      <c r="M3749">
        <v>698.5</v>
      </c>
      <c r="N3749">
        <v>109</v>
      </c>
      <c r="O3749" t="str">
        <f>"PAGAMENTO DE ENTREGADORES"</f>
        <v>PAGAMENTO DE ENTREGADORES</v>
      </c>
      <c r="P3749">
        <v>698.5</v>
      </c>
      <c r="S3749" t="str">
        <f>"BANCO C6 (149)"</f>
        <v>BANCO C6 (149)</v>
      </c>
      <c r="T3749">
        <v>31550</v>
      </c>
      <c r="U3749">
        <v>34601</v>
      </c>
      <c r="V3749" t="s">
        <v>37</v>
      </c>
    </row>
    <row r="3750" spans="1:22">
      <c r="A3750" t="str">
        <f t="shared" si="658"/>
        <v>19/03/2026</v>
      </c>
      <c r="B3750" t="str">
        <f t="shared" si="655"/>
        <v>SAÍDA</v>
      </c>
      <c r="C3750" t="str">
        <f t="shared" si="656"/>
        <v>PIX</v>
      </c>
      <c r="D3750" t="str">
        <f>"34601"</f>
        <v>34601</v>
      </c>
      <c r="E3750" t="str">
        <f t="shared" si="659"/>
        <v>1</v>
      </c>
      <c r="F3750" t="str">
        <f t="shared" si="661"/>
        <v>COM</v>
      </c>
      <c r="G3750" t="str">
        <f>"LUAN VICTOR SERQUEIRA DA SILVA (577)"</f>
        <v>LUAN VICTOR SERQUEIRA DA SILVA (577)</v>
      </c>
      <c r="H3750" t="s">
        <v>1049</v>
      </c>
      <c r="I3750" t="str">
        <f t="shared" si="657"/>
        <v>19/03/2026</v>
      </c>
      <c r="J3750" t="str">
        <f t="shared" si="660"/>
        <v>10/03/2026</v>
      </c>
      <c r="K3750">
        <v>46100</v>
      </c>
      <c r="N3750">
        <v>109</v>
      </c>
      <c r="O3750" t="s">
        <v>27</v>
      </c>
      <c r="Q3750">
        <v>698.5</v>
      </c>
      <c r="R3750" t="str">
        <f>"FARMÁCIA INDIANA LJ 202 (10085)"</f>
        <v>FARMÁCIA INDIANA LJ 202 (10085)</v>
      </c>
      <c r="S3750" t="s">
        <v>37</v>
      </c>
      <c r="T3750">
        <v>31550</v>
      </c>
      <c r="U3750">
        <v>34601</v>
      </c>
      <c r="V3750" t="s">
        <v>37</v>
      </c>
    </row>
    <row r="3751" spans="1:22">
      <c r="A3751" t="str">
        <f t="shared" si="658"/>
        <v>19/03/2026</v>
      </c>
      <c r="B3751" t="str">
        <f t="shared" si="655"/>
        <v>SAÍDA</v>
      </c>
      <c r="C3751" t="str">
        <f t="shared" si="656"/>
        <v>PIX</v>
      </c>
      <c r="D3751" t="str">
        <f>"34602"</f>
        <v>34602</v>
      </c>
      <c r="E3751" t="str">
        <f t="shared" si="659"/>
        <v>1</v>
      </c>
      <c r="F3751" t="str">
        <f t="shared" si="661"/>
        <v>COM</v>
      </c>
      <c r="G3751" t="str">
        <f>"LUCAS FERREIRA DOS SANTOS (868)"</f>
        <v>LUCAS FERREIRA DOS SANTOS (868)</v>
      </c>
      <c r="H3751" t="str">
        <f>"Serv.Prest. 02/03/2026 a 08/03/2026 - PIX: CELULAR - CHAVE: (33) 99172-0627"</f>
        <v>Serv.Prest. 02/03/2026 a 08/03/2026 - PIX: CELULAR - CHAVE: (33) 99172-0627</v>
      </c>
      <c r="I3751" t="str">
        <f t="shared" si="657"/>
        <v>19/03/2026</v>
      </c>
      <c r="J3751" t="str">
        <f t="shared" si="660"/>
        <v>10/03/2026</v>
      </c>
      <c r="K3751" t="str">
        <f>("19/03/2026")</f>
        <v>19/03/2026</v>
      </c>
      <c r="L3751">
        <v>1080</v>
      </c>
      <c r="M3751">
        <v>1080</v>
      </c>
      <c r="N3751">
        <v>109</v>
      </c>
      <c r="O3751" t="str">
        <f>"PAGAMENTO DE ENTREGADORES"</f>
        <v>PAGAMENTO DE ENTREGADORES</v>
      </c>
      <c r="P3751">
        <v>1080</v>
      </c>
      <c r="S3751" t="str">
        <f>"BANCO C6 (149)"</f>
        <v>BANCO C6 (149)</v>
      </c>
      <c r="T3751">
        <v>31551</v>
      </c>
      <c r="U3751">
        <v>34602</v>
      </c>
      <c r="V3751" t="s">
        <v>37</v>
      </c>
    </row>
    <row r="3752" spans="1:22">
      <c r="A3752" t="str">
        <f t="shared" si="658"/>
        <v>19/03/2026</v>
      </c>
      <c r="B3752" t="str">
        <f t="shared" si="655"/>
        <v>SAÍDA</v>
      </c>
      <c r="C3752" t="str">
        <f t="shared" si="656"/>
        <v>PIX</v>
      </c>
      <c r="D3752" t="str">
        <f>"34602"</f>
        <v>34602</v>
      </c>
      <c r="E3752" t="str">
        <f t="shared" si="659"/>
        <v>1</v>
      </c>
      <c r="F3752" t="str">
        <f t="shared" si="661"/>
        <v>COM</v>
      </c>
      <c r="G3752" t="str">
        <f>"LUCAS FERREIRA DOS SANTOS (868)"</f>
        <v>LUCAS FERREIRA DOS SANTOS (868)</v>
      </c>
      <c r="H3752" t="s">
        <v>1050</v>
      </c>
      <c r="I3752" t="str">
        <f t="shared" si="657"/>
        <v>19/03/2026</v>
      </c>
      <c r="J3752" t="str">
        <f t="shared" si="660"/>
        <v>10/03/2026</v>
      </c>
      <c r="K3752">
        <v>46100</v>
      </c>
      <c r="N3752">
        <v>109</v>
      </c>
      <c r="O3752" t="s">
        <v>27</v>
      </c>
      <c r="Q3752">
        <v>1080</v>
      </c>
      <c r="R3752" t="str">
        <f>"FARMÁCIA INDIANA LJ 06 (10006)"</f>
        <v>FARMÁCIA INDIANA LJ 06 (10006)</v>
      </c>
      <c r="S3752" t="s">
        <v>37</v>
      </c>
      <c r="T3752">
        <v>31551</v>
      </c>
      <c r="U3752">
        <v>34602</v>
      </c>
      <c r="V3752" t="s">
        <v>37</v>
      </c>
    </row>
    <row r="3753" spans="1:22">
      <c r="A3753" t="str">
        <f t="shared" si="658"/>
        <v>19/03/2026</v>
      </c>
      <c r="B3753" t="str">
        <f t="shared" ref="B3753:B3816" si="662">"SAÍDA"</f>
        <v>SAÍDA</v>
      </c>
      <c r="C3753" t="str">
        <f t="shared" ref="C3753:C3816" si="663">"PIX"</f>
        <v>PIX</v>
      </c>
      <c r="D3753" t="str">
        <f>"34604"</f>
        <v>34604</v>
      </c>
      <c r="E3753" t="str">
        <f t="shared" si="659"/>
        <v>1</v>
      </c>
      <c r="F3753" t="str">
        <f t="shared" si="661"/>
        <v>COM</v>
      </c>
      <c r="G3753" t="str">
        <f>"LUIZ ALVES MARTINS (40)"</f>
        <v>LUIZ ALVES MARTINS (40)</v>
      </c>
      <c r="H3753" t="str">
        <f>"Serv.Prest. 02/03/2026 a 08/03/2026 - PIX: CELULAR - CHAVE: (33) 99981-6650"</f>
        <v>Serv.Prest. 02/03/2026 a 08/03/2026 - PIX: CELULAR - CHAVE: (33) 99981-6650</v>
      </c>
      <c r="I3753" t="str">
        <f t="shared" ref="I3753:I3816" si="664">("19/03/2026")</f>
        <v>19/03/2026</v>
      </c>
      <c r="J3753" t="str">
        <f t="shared" si="660"/>
        <v>10/03/2026</v>
      </c>
      <c r="K3753" t="str">
        <f>("19/03/2026")</f>
        <v>19/03/2026</v>
      </c>
      <c r="L3753">
        <v>906</v>
      </c>
      <c r="M3753">
        <v>906</v>
      </c>
      <c r="N3753">
        <v>109</v>
      </c>
      <c r="O3753" t="str">
        <f>"PAGAMENTO DE ENTREGADORES"</f>
        <v>PAGAMENTO DE ENTREGADORES</v>
      </c>
      <c r="P3753">
        <v>906</v>
      </c>
      <c r="S3753" t="str">
        <f>"BANCO C6 (149)"</f>
        <v>BANCO C6 (149)</v>
      </c>
      <c r="T3753">
        <v>31552</v>
      </c>
      <c r="U3753">
        <v>34604</v>
      </c>
      <c r="V3753" t="s">
        <v>37</v>
      </c>
    </row>
    <row r="3754" spans="1:22">
      <c r="A3754" t="str">
        <f t="shared" si="658"/>
        <v>19/03/2026</v>
      </c>
      <c r="B3754" t="str">
        <f t="shared" si="662"/>
        <v>SAÍDA</v>
      </c>
      <c r="C3754" t="str">
        <f t="shared" si="663"/>
        <v>PIX</v>
      </c>
      <c r="D3754" t="str">
        <f>"34604"</f>
        <v>34604</v>
      </c>
      <c r="E3754" t="str">
        <f t="shared" si="659"/>
        <v>1</v>
      </c>
      <c r="F3754" t="str">
        <f t="shared" si="661"/>
        <v>COM</v>
      </c>
      <c r="G3754" t="str">
        <f>"LUIZ ALVES MARTINS (40)"</f>
        <v>LUIZ ALVES MARTINS (40)</v>
      </c>
      <c r="H3754" t="s">
        <v>990</v>
      </c>
      <c r="I3754" t="str">
        <f t="shared" si="664"/>
        <v>19/03/2026</v>
      </c>
      <c r="J3754" t="str">
        <f t="shared" si="660"/>
        <v>10/03/2026</v>
      </c>
      <c r="K3754">
        <v>46100</v>
      </c>
      <c r="N3754">
        <v>109</v>
      </c>
      <c r="O3754" t="s">
        <v>27</v>
      </c>
      <c r="Q3754">
        <v>906</v>
      </c>
      <c r="R3754" t="str">
        <f>"FARMÁCIA INDIANA LJ 11 (10008)"</f>
        <v>FARMÁCIA INDIANA LJ 11 (10008)</v>
      </c>
      <c r="S3754" t="s">
        <v>37</v>
      </c>
      <c r="T3754">
        <v>31552</v>
      </c>
      <c r="U3754">
        <v>34604</v>
      </c>
      <c r="V3754" t="s">
        <v>37</v>
      </c>
    </row>
    <row r="3755" spans="1:22">
      <c r="A3755" t="str">
        <f t="shared" si="658"/>
        <v>19/03/2026</v>
      </c>
      <c r="B3755" t="str">
        <f t="shared" si="662"/>
        <v>SAÍDA</v>
      </c>
      <c r="C3755" t="str">
        <f t="shared" si="663"/>
        <v>PIX</v>
      </c>
      <c r="D3755" t="str">
        <f>"34605"</f>
        <v>34605</v>
      </c>
      <c r="E3755" t="str">
        <f t="shared" si="659"/>
        <v>1</v>
      </c>
      <c r="F3755" t="str">
        <f t="shared" si="661"/>
        <v>COM</v>
      </c>
      <c r="G3755" t="str">
        <f>"LUIZ EDUARDO VIANA BRITO (878)"</f>
        <v>LUIZ EDUARDO VIANA BRITO (878)</v>
      </c>
      <c r="H3755" t="str">
        <f>"Serv.Prest. 02/03/2026 a 08/03/2026 - PIX: CPF - CHAVE: 101.220.976-88"</f>
        <v>Serv.Prest. 02/03/2026 a 08/03/2026 - PIX: CPF - CHAVE: 101.220.976-88</v>
      </c>
      <c r="I3755" t="str">
        <f t="shared" si="664"/>
        <v>19/03/2026</v>
      </c>
      <c r="J3755" t="str">
        <f t="shared" si="660"/>
        <v>10/03/2026</v>
      </c>
      <c r="K3755" t="str">
        <f>("19/03/2026")</f>
        <v>19/03/2026</v>
      </c>
      <c r="L3755">
        <v>1432.5</v>
      </c>
      <c r="M3755">
        <v>1432.5</v>
      </c>
      <c r="N3755">
        <v>109</v>
      </c>
      <c r="O3755" t="str">
        <f>"PAGAMENTO DE ENTREGADORES"</f>
        <v>PAGAMENTO DE ENTREGADORES</v>
      </c>
      <c r="P3755">
        <v>1432.5</v>
      </c>
      <c r="S3755" t="str">
        <f>"BANCO C6 (149)"</f>
        <v>BANCO C6 (149)</v>
      </c>
      <c r="T3755">
        <v>31553</v>
      </c>
      <c r="U3755">
        <v>34605</v>
      </c>
      <c r="V3755" t="s">
        <v>37</v>
      </c>
    </row>
    <row r="3756" spans="1:22">
      <c r="A3756" t="str">
        <f t="shared" si="658"/>
        <v>19/03/2026</v>
      </c>
      <c r="B3756" t="str">
        <f t="shared" si="662"/>
        <v>SAÍDA</v>
      </c>
      <c r="C3756" t="str">
        <f t="shared" si="663"/>
        <v>PIX</v>
      </c>
      <c r="D3756" t="str">
        <f>"34605"</f>
        <v>34605</v>
      </c>
      <c r="E3756" t="str">
        <f t="shared" si="659"/>
        <v>1</v>
      </c>
      <c r="F3756" t="str">
        <f t="shared" si="661"/>
        <v>COM</v>
      </c>
      <c r="G3756" t="str">
        <f>"LUIZ EDUARDO VIANA BRITO (878)"</f>
        <v>LUIZ EDUARDO VIANA BRITO (878)</v>
      </c>
      <c r="H3756" t="s">
        <v>907</v>
      </c>
      <c r="I3756" t="str">
        <f t="shared" si="664"/>
        <v>19/03/2026</v>
      </c>
      <c r="J3756" t="str">
        <f t="shared" si="660"/>
        <v>10/03/2026</v>
      </c>
      <c r="K3756">
        <v>46100</v>
      </c>
      <c r="N3756">
        <v>109</v>
      </c>
      <c r="O3756" t="s">
        <v>27</v>
      </c>
      <c r="Q3756">
        <v>1432.5</v>
      </c>
      <c r="R3756" t="str">
        <f>"FARMÁCIA INDIANA LJ 40 (10016)"</f>
        <v>FARMÁCIA INDIANA LJ 40 (10016)</v>
      </c>
      <c r="S3756" t="s">
        <v>37</v>
      </c>
      <c r="T3756">
        <v>31553</v>
      </c>
      <c r="U3756">
        <v>34605</v>
      </c>
      <c r="V3756" t="s">
        <v>37</v>
      </c>
    </row>
    <row r="3757" spans="1:22">
      <c r="A3757" t="str">
        <f t="shared" si="658"/>
        <v>19/03/2026</v>
      </c>
      <c r="B3757" t="str">
        <f t="shared" si="662"/>
        <v>SAÍDA</v>
      </c>
      <c r="C3757" t="str">
        <f t="shared" si="663"/>
        <v>PIX</v>
      </c>
      <c r="D3757" t="str">
        <f>"34607"</f>
        <v>34607</v>
      </c>
      <c r="E3757" t="str">
        <f t="shared" si="659"/>
        <v>1</v>
      </c>
      <c r="F3757" t="str">
        <f t="shared" si="661"/>
        <v>COM</v>
      </c>
      <c r="G3757" t="str">
        <f>"MARCIO CLAUDIO DE ARAUJO (204)"</f>
        <v>MARCIO CLAUDIO DE ARAUJO (204)</v>
      </c>
      <c r="H3757" t="str">
        <f>"Serv.Prest. 02/03/2026 a 08/03/2026 - PIX: CELULAR - CHAVE: (33) 98427-3872"</f>
        <v>Serv.Prest. 02/03/2026 a 08/03/2026 - PIX: CELULAR - CHAVE: (33) 98427-3872</v>
      </c>
      <c r="I3757" t="str">
        <f t="shared" si="664"/>
        <v>19/03/2026</v>
      </c>
      <c r="J3757" t="str">
        <f t="shared" si="660"/>
        <v>10/03/2026</v>
      </c>
      <c r="K3757" t="str">
        <f>("19/03/2026")</f>
        <v>19/03/2026</v>
      </c>
      <c r="L3757">
        <v>1020</v>
      </c>
      <c r="M3757">
        <v>1020</v>
      </c>
      <c r="N3757">
        <v>109</v>
      </c>
      <c r="O3757" t="str">
        <f>"PAGAMENTO DE ENTREGADORES"</f>
        <v>PAGAMENTO DE ENTREGADORES</v>
      </c>
      <c r="P3757">
        <v>1020</v>
      </c>
      <c r="S3757" t="str">
        <f>"BANCO C6 (149)"</f>
        <v>BANCO C6 (149)</v>
      </c>
      <c r="T3757">
        <v>31554</v>
      </c>
      <c r="U3757">
        <v>34607</v>
      </c>
      <c r="V3757" t="s">
        <v>37</v>
      </c>
    </row>
    <row r="3758" spans="1:22">
      <c r="A3758" t="str">
        <f t="shared" si="658"/>
        <v>19/03/2026</v>
      </c>
      <c r="B3758" t="str">
        <f t="shared" si="662"/>
        <v>SAÍDA</v>
      </c>
      <c r="C3758" t="str">
        <f t="shared" si="663"/>
        <v>PIX</v>
      </c>
      <c r="D3758" t="str">
        <f>"34607"</f>
        <v>34607</v>
      </c>
      <c r="E3758" t="str">
        <f t="shared" si="659"/>
        <v>1</v>
      </c>
      <c r="F3758" t="str">
        <f t="shared" si="661"/>
        <v>COM</v>
      </c>
      <c r="G3758" t="str">
        <f>"MARCIO CLAUDIO DE ARAUJO (204)"</f>
        <v>MARCIO CLAUDIO DE ARAUJO (204)</v>
      </c>
      <c r="H3758" t="s">
        <v>929</v>
      </c>
      <c r="I3758" t="str">
        <f t="shared" si="664"/>
        <v>19/03/2026</v>
      </c>
      <c r="J3758" t="str">
        <f t="shared" si="660"/>
        <v>10/03/2026</v>
      </c>
      <c r="K3758">
        <v>46100</v>
      </c>
      <c r="N3758">
        <v>109</v>
      </c>
      <c r="O3758" t="s">
        <v>27</v>
      </c>
      <c r="Q3758">
        <v>1020</v>
      </c>
      <c r="R3758" t="str">
        <f>"FARMÁCIA INDIANA LJ 06 (10006)"</f>
        <v>FARMÁCIA INDIANA LJ 06 (10006)</v>
      </c>
      <c r="S3758" t="s">
        <v>37</v>
      </c>
      <c r="T3758">
        <v>31554</v>
      </c>
      <c r="U3758">
        <v>34607</v>
      </c>
      <c r="V3758" t="s">
        <v>37</v>
      </c>
    </row>
    <row r="3759" spans="1:22">
      <c r="A3759" t="str">
        <f t="shared" si="658"/>
        <v>19/03/2026</v>
      </c>
      <c r="B3759" t="str">
        <f t="shared" si="662"/>
        <v>SAÍDA</v>
      </c>
      <c r="C3759" t="str">
        <f t="shared" si="663"/>
        <v>PIX</v>
      </c>
      <c r="D3759" t="str">
        <f>"34608"</f>
        <v>34608</v>
      </c>
      <c r="E3759" t="str">
        <f t="shared" si="659"/>
        <v>1</v>
      </c>
      <c r="F3759" t="str">
        <f t="shared" si="661"/>
        <v>COM</v>
      </c>
      <c r="G3759" t="str">
        <f>"MARCOS DIONI RODRIGUES GASPAR (506)"</f>
        <v>MARCOS DIONI RODRIGUES GASPAR (506)</v>
      </c>
      <c r="H3759" t="str">
        <f>"Serv.Prest. 02/03/2026 a 08/03/2026 - PIX: E-MAIL - CHAVE: dih.mdr@gmail.com"</f>
        <v>Serv.Prest. 02/03/2026 a 08/03/2026 - PIX: E-MAIL - CHAVE: dih.mdr@gmail.com</v>
      </c>
      <c r="I3759" t="str">
        <f t="shared" si="664"/>
        <v>19/03/2026</v>
      </c>
      <c r="J3759" t="str">
        <f t="shared" si="660"/>
        <v>10/03/2026</v>
      </c>
      <c r="K3759" t="str">
        <f>("19/03/2026")</f>
        <v>19/03/2026</v>
      </c>
      <c r="L3759">
        <v>1000</v>
      </c>
      <c r="M3759">
        <v>1000</v>
      </c>
      <c r="N3759">
        <v>109</v>
      </c>
      <c r="O3759" t="str">
        <f>"PAGAMENTO DE ENTREGADORES"</f>
        <v>PAGAMENTO DE ENTREGADORES</v>
      </c>
      <c r="P3759">
        <v>1000</v>
      </c>
      <c r="S3759" t="str">
        <f>"BANCO C6 (149)"</f>
        <v>BANCO C6 (149)</v>
      </c>
      <c r="T3759">
        <v>31555</v>
      </c>
      <c r="U3759">
        <v>34608</v>
      </c>
      <c r="V3759" t="s">
        <v>37</v>
      </c>
    </row>
    <row r="3760" spans="1:22">
      <c r="A3760" t="str">
        <f t="shared" ref="A3760:A3823" si="665">("19/03/2026")</f>
        <v>19/03/2026</v>
      </c>
      <c r="B3760" t="str">
        <f t="shared" si="662"/>
        <v>SAÍDA</v>
      </c>
      <c r="C3760" t="str">
        <f t="shared" si="663"/>
        <v>PIX</v>
      </c>
      <c r="D3760" t="str">
        <f>"34608"</f>
        <v>34608</v>
      </c>
      <c r="E3760" t="str">
        <f t="shared" si="659"/>
        <v>1</v>
      </c>
      <c r="F3760" t="str">
        <f t="shared" si="661"/>
        <v>COM</v>
      </c>
      <c r="G3760" t="str">
        <f>"MARCOS DIONI RODRIGUES GASPAR (506)"</f>
        <v>MARCOS DIONI RODRIGUES GASPAR (506)</v>
      </c>
      <c r="H3760" t="s">
        <v>860</v>
      </c>
      <c r="I3760" t="str">
        <f t="shared" si="664"/>
        <v>19/03/2026</v>
      </c>
      <c r="J3760" t="str">
        <f t="shared" si="660"/>
        <v>10/03/2026</v>
      </c>
      <c r="K3760">
        <v>46100</v>
      </c>
      <c r="N3760">
        <v>109</v>
      </c>
      <c r="O3760" t="s">
        <v>27</v>
      </c>
      <c r="Q3760">
        <v>1000</v>
      </c>
      <c r="R3760" t="str">
        <f>"FARMÁCIA INDIANA LJ 06 (10006)"</f>
        <v>FARMÁCIA INDIANA LJ 06 (10006)</v>
      </c>
      <c r="S3760" t="s">
        <v>37</v>
      </c>
      <c r="T3760">
        <v>31555</v>
      </c>
      <c r="U3760">
        <v>34608</v>
      </c>
      <c r="V3760" t="s">
        <v>37</v>
      </c>
    </row>
    <row r="3761" spans="1:22">
      <c r="A3761" t="str">
        <f t="shared" si="665"/>
        <v>19/03/2026</v>
      </c>
      <c r="B3761" t="str">
        <f t="shared" si="662"/>
        <v>SAÍDA</v>
      </c>
      <c r="C3761" t="str">
        <f t="shared" si="663"/>
        <v>PIX</v>
      </c>
      <c r="D3761" t="str">
        <f>"34609"</f>
        <v>34609</v>
      </c>
      <c r="E3761" t="str">
        <f t="shared" si="659"/>
        <v>1</v>
      </c>
      <c r="F3761" t="str">
        <f t="shared" si="661"/>
        <v>COM</v>
      </c>
      <c r="G3761" t="str">
        <f>"MARCOS RODRIGUES PENA (64)"</f>
        <v>MARCOS RODRIGUES PENA (64)</v>
      </c>
      <c r="H3761" t="str">
        <f>"Serv.Prest. 02/03/2026 a 08/03/2026 - PIX: CELULAR - CHAVE: (33) 99194-2339"</f>
        <v>Serv.Prest. 02/03/2026 a 08/03/2026 - PIX: CELULAR - CHAVE: (33) 99194-2339</v>
      </c>
      <c r="I3761" t="str">
        <f t="shared" si="664"/>
        <v>19/03/2026</v>
      </c>
      <c r="J3761" t="str">
        <f t="shared" si="660"/>
        <v>10/03/2026</v>
      </c>
      <c r="K3761" t="str">
        <f>("19/03/2026")</f>
        <v>19/03/2026</v>
      </c>
      <c r="L3761">
        <v>505</v>
      </c>
      <c r="M3761">
        <v>505</v>
      </c>
      <c r="N3761">
        <v>109</v>
      </c>
      <c r="O3761" t="str">
        <f>"PAGAMENTO DE ENTREGADORES"</f>
        <v>PAGAMENTO DE ENTREGADORES</v>
      </c>
      <c r="P3761">
        <v>505</v>
      </c>
      <c r="S3761" t="str">
        <f>"BANCO C6 (149)"</f>
        <v>BANCO C6 (149)</v>
      </c>
      <c r="T3761">
        <v>31556</v>
      </c>
      <c r="U3761">
        <v>34609</v>
      </c>
      <c r="V3761" t="s">
        <v>37</v>
      </c>
    </row>
    <row r="3762" spans="1:22">
      <c r="A3762" t="str">
        <f t="shared" si="665"/>
        <v>19/03/2026</v>
      </c>
      <c r="B3762" t="str">
        <f t="shared" si="662"/>
        <v>SAÍDA</v>
      </c>
      <c r="C3762" t="str">
        <f t="shared" si="663"/>
        <v>PIX</v>
      </c>
      <c r="D3762" t="str">
        <f>"34609"</f>
        <v>34609</v>
      </c>
      <c r="E3762" t="str">
        <f t="shared" si="659"/>
        <v>1</v>
      </c>
      <c r="F3762" t="str">
        <f t="shared" si="661"/>
        <v>COM</v>
      </c>
      <c r="G3762" t="str">
        <f>"MARCOS RODRIGUES PENA (64)"</f>
        <v>MARCOS RODRIGUES PENA (64)</v>
      </c>
      <c r="H3762" t="s">
        <v>893</v>
      </c>
      <c r="I3762" t="str">
        <f t="shared" si="664"/>
        <v>19/03/2026</v>
      </c>
      <c r="J3762" t="str">
        <f t="shared" si="660"/>
        <v>10/03/2026</v>
      </c>
      <c r="K3762">
        <v>46100</v>
      </c>
      <c r="N3762">
        <v>109</v>
      </c>
      <c r="O3762" t="s">
        <v>27</v>
      </c>
      <c r="Q3762">
        <v>505</v>
      </c>
      <c r="R3762" t="str">
        <f>"FARMÁCIA INDIANA LJ 62 (10028)"</f>
        <v>FARMÁCIA INDIANA LJ 62 (10028)</v>
      </c>
      <c r="S3762" t="s">
        <v>37</v>
      </c>
      <c r="T3762">
        <v>31556</v>
      </c>
      <c r="U3762">
        <v>34609</v>
      </c>
      <c r="V3762" t="s">
        <v>37</v>
      </c>
    </row>
    <row r="3763" spans="1:22">
      <c r="A3763" t="str">
        <f t="shared" si="665"/>
        <v>19/03/2026</v>
      </c>
      <c r="B3763" t="str">
        <f t="shared" si="662"/>
        <v>SAÍDA</v>
      </c>
      <c r="C3763" t="str">
        <f t="shared" si="663"/>
        <v>PIX</v>
      </c>
      <c r="D3763" t="str">
        <f>"34610"</f>
        <v>34610</v>
      </c>
      <c r="E3763" t="str">
        <f t="shared" si="659"/>
        <v>1</v>
      </c>
      <c r="F3763" t="str">
        <f t="shared" si="661"/>
        <v>COM</v>
      </c>
      <c r="G3763" t="str">
        <f>"MATHEUS VIEIRA DA SILVA (886)"</f>
        <v>MATHEUS VIEIRA DA SILVA (886)</v>
      </c>
      <c r="H3763" t="str">
        <f>"Serv.Prest. 02/03/2026 a 08/03/2026 - PIX: CPF - CHAVE: 142.716.106-23"</f>
        <v>Serv.Prest. 02/03/2026 a 08/03/2026 - PIX: CPF - CHAVE: 142.716.106-23</v>
      </c>
      <c r="I3763" t="str">
        <f t="shared" si="664"/>
        <v>19/03/2026</v>
      </c>
      <c r="J3763" t="str">
        <f t="shared" si="660"/>
        <v>10/03/2026</v>
      </c>
      <c r="K3763" t="str">
        <f>("19/03/2026")</f>
        <v>19/03/2026</v>
      </c>
      <c r="L3763">
        <v>744</v>
      </c>
      <c r="M3763">
        <v>744</v>
      </c>
      <c r="N3763">
        <v>109</v>
      </c>
      <c r="O3763" t="str">
        <f>"PAGAMENTO DE ENTREGADORES"</f>
        <v>PAGAMENTO DE ENTREGADORES</v>
      </c>
      <c r="P3763">
        <v>744</v>
      </c>
      <c r="S3763" t="str">
        <f>"BANCO C6 (149)"</f>
        <v>BANCO C6 (149)</v>
      </c>
      <c r="T3763">
        <v>31557</v>
      </c>
      <c r="U3763">
        <v>34610</v>
      </c>
      <c r="V3763" t="s">
        <v>37</v>
      </c>
    </row>
    <row r="3764" spans="1:22">
      <c r="A3764" t="str">
        <f t="shared" si="665"/>
        <v>19/03/2026</v>
      </c>
      <c r="B3764" t="str">
        <f t="shared" si="662"/>
        <v>SAÍDA</v>
      </c>
      <c r="C3764" t="str">
        <f t="shared" si="663"/>
        <v>PIX</v>
      </c>
      <c r="D3764" t="str">
        <f>"34610"</f>
        <v>34610</v>
      </c>
      <c r="E3764" t="str">
        <f t="shared" si="659"/>
        <v>1</v>
      </c>
      <c r="F3764" t="str">
        <f t="shared" si="661"/>
        <v>COM</v>
      </c>
      <c r="G3764" t="str">
        <f>"MATHEUS VIEIRA DA SILVA (886)"</f>
        <v>MATHEUS VIEIRA DA SILVA (886)</v>
      </c>
      <c r="H3764" t="s">
        <v>981</v>
      </c>
      <c r="I3764" t="str">
        <f t="shared" si="664"/>
        <v>19/03/2026</v>
      </c>
      <c r="J3764" t="str">
        <f t="shared" si="660"/>
        <v>10/03/2026</v>
      </c>
      <c r="K3764">
        <v>46100</v>
      </c>
      <c r="N3764">
        <v>109</v>
      </c>
      <c r="O3764" t="s">
        <v>27</v>
      </c>
      <c r="Q3764">
        <v>744</v>
      </c>
      <c r="R3764" t="str">
        <f>"FARMÁCIA INDIANA LJ 07 (10007)"</f>
        <v>FARMÁCIA INDIANA LJ 07 (10007)</v>
      </c>
      <c r="S3764" t="s">
        <v>37</v>
      </c>
      <c r="T3764">
        <v>31557</v>
      </c>
      <c r="U3764">
        <v>34610</v>
      </c>
      <c r="V3764" t="s">
        <v>37</v>
      </c>
    </row>
    <row r="3765" spans="1:22">
      <c r="A3765" t="str">
        <f t="shared" si="665"/>
        <v>19/03/2026</v>
      </c>
      <c r="B3765" t="str">
        <f t="shared" si="662"/>
        <v>SAÍDA</v>
      </c>
      <c r="C3765" t="str">
        <f t="shared" si="663"/>
        <v>PIX</v>
      </c>
      <c r="D3765" t="str">
        <f>"34611"</f>
        <v>34611</v>
      </c>
      <c r="E3765" t="str">
        <f t="shared" si="659"/>
        <v>1</v>
      </c>
      <c r="F3765" t="str">
        <f t="shared" si="661"/>
        <v>COM</v>
      </c>
      <c r="G3765" t="str">
        <f>"MAURO AUGUSTO MACHADO DE ASSIS (767)"</f>
        <v>MAURO AUGUSTO MACHADO DE ASSIS (767)</v>
      </c>
      <c r="H3765" t="str">
        <f>"Serv.Prest. 02/03/2026 a 08/03/2026 - PIX: CNPJ - CHAVE: 64.142.681/0001-05"</f>
        <v>Serv.Prest. 02/03/2026 a 08/03/2026 - PIX: CNPJ - CHAVE: 64.142.681/0001-05</v>
      </c>
      <c r="I3765" t="str">
        <f t="shared" si="664"/>
        <v>19/03/2026</v>
      </c>
      <c r="J3765" t="str">
        <f t="shared" si="660"/>
        <v>10/03/2026</v>
      </c>
      <c r="K3765" t="str">
        <f>("19/03/2026")</f>
        <v>19/03/2026</v>
      </c>
      <c r="L3765">
        <v>810</v>
      </c>
      <c r="M3765">
        <v>810</v>
      </c>
      <c r="N3765">
        <v>109</v>
      </c>
      <c r="O3765" t="str">
        <f>"PAGAMENTO DE ENTREGADORES"</f>
        <v>PAGAMENTO DE ENTREGADORES</v>
      </c>
      <c r="P3765">
        <v>810</v>
      </c>
      <c r="S3765" t="str">
        <f>"BANCO C6 (149)"</f>
        <v>BANCO C6 (149)</v>
      </c>
      <c r="T3765">
        <v>31558</v>
      </c>
      <c r="U3765">
        <v>34611</v>
      </c>
      <c r="V3765" t="s">
        <v>37</v>
      </c>
    </row>
    <row r="3766" spans="1:22">
      <c r="A3766" t="str">
        <f t="shared" si="665"/>
        <v>19/03/2026</v>
      </c>
      <c r="B3766" t="str">
        <f t="shared" si="662"/>
        <v>SAÍDA</v>
      </c>
      <c r="C3766" t="str">
        <f t="shared" si="663"/>
        <v>PIX</v>
      </c>
      <c r="D3766" t="str">
        <f>"34611"</f>
        <v>34611</v>
      </c>
      <c r="E3766" t="str">
        <f t="shared" si="659"/>
        <v>1</v>
      </c>
      <c r="F3766" t="str">
        <f t="shared" si="661"/>
        <v>COM</v>
      </c>
      <c r="G3766" t="str">
        <f>"MAURO AUGUSTO MACHADO DE ASSIS (767)"</f>
        <v>MAURO AUGUSTO MACHADO DE ASSIS (767)</v>
      </c>
      <c r="H3766" t="s">
        <v>983</v>
      </c>
      <c r="I3766" t="str">
        <f t="shared" si="664"/>
        <v>19/03/2026</v>
      </c>
      <c r="J3766" t="str">
        <f t="shared" si="660"/>
        <v>10/03/2026</v>
      </c>
      <c r="K3766">
        <v>46100</v>
      </c>
      <c r="N3766">
        <v>109</v>
      </c>
      <c r="O3766" t="s">
        <v>27</v>
      </c>
      <c r="Q3766">
        <v>810</v>
      </c>
      <c r="R3766" t="str">
        <f>"FARMÁCIA INDIANA LJ 11 (10008)"</f>
        <v>FARMÁCIA INDIANA LJ 11 (10008)</v>
      </c>
      <c r="S3766" t="s">
        <v>37</v>
      </c>
      <c r="T3766">
        <v>31558</v>
      </c>
      <c r="U3766">
        <v>34611</v>
      </c>
      <c r="V3766" t="s">
        <v>37</v>
      </c>
    </row>
    <row r="3767" spans="1:22">
      <c r="A3767" t="str">
        <f t="shared" si="665"/>
        <v>19/03/2026</v>
      </c>
      <c r="B3767" t="str">
        <f t="shared" si="662"/>
        <v>SAÍDA</v>
      </c>
      <c r="C3767" t="str">
        <f t="shared" si="663"/>
        <v>PIX</v>
      </c>
      <c r="D3767" t="str">
        <f>"34612"</f>
        <v>34612</v>
      </c>
      <c r="E3767" t="str">
        <f t="shared" ref="E3767:E3830" si="666">"1"</f>
        <v>1</v>
      </c>
      <c r="F3767" t="str">
        <f t="shared" si="661"/>
        <v>COM</v>
      </c>
      <c r="G3767" t="str">
        <f>"MAURO AUGUSTO MACHADO DE ASSIS (767)"</f>
        <v>MAURO AUGUSTO MACHADO DE ASSIS (767)</v>
      </c>
      <c r="H3767" t="str">
        <f>"Serv.Prest. 02/03/2026 a 08/03/2026 - PIX: CNPJ - CHAVE: 64.142.681/0001-05"</f>
        <v>Serv.Prest. 02/03/2026 a 08/03/2026 - PIX: CNPJ - CHAVE: 64.142.681/0001-05</v>
      </c>
      <c r="I3767" t="str">
        <f t="shared" si="664"/>
        <v>19/03/2026</v>
      </c>
      <c r="J3767" t="str">
        <f t="shared" si="660"/>
        <v>10/03/2026</v>
      </c>
      <c r="K3767" t="str">
        <f>("19/03/2026")</f>
        <v>19/03/2026</v>
      </c>
      <c r="L3767">
        <v>180</v>
      </c>
      <c r="M3767">
        <v>180</v>
      </c>
      <c r="N3767">
        <v>109</v>
      </c>
      <c r="O3767" t="str">
        <f>"PAGAMENTO DE ENTREGADORES"</f>
        <v>PAGAMENTO DE ENTREGADORES</v>
      </c>
      <c r="P3767">
        <v>180</v>
      </c>
      <c r="S3767" t="str">
        <f>"BANCO C6 (149)"</f>
        <v>BANCO C6 (149)</v>
      </c>
      <c r="T3767">
        <v>31559</v>
      </c>
      <c r="U3767">
        <v>34612</v>
      </c>
      <c r="V3767" t="s">
        <v>37</v>
      </c>
    </row>
    <row r="3768" spans="1:22">
      <c r="A3768" t="str">
        <f t="shared" si="665"/>
        <v>19/03/2026</v>
      </c>
      <c r="B3768" t="str">
        <f t="shared" si="662"/>
        <v>SAÍDA</v>
      </c>
      <c r="C3768" t="str">
        <f t="shared" si="663"/>
        <v>PIX</v>
      </c>
      <c r="D3768" t="str">
        <f>"34612"</f>
        <v>34612</v>
      </c>
      <c r="E3768" t="str">
        <f t="shared" si="666"/>
        <v>1</v>
      </c>
      <c r="F3768" t="str">
        <f t="shared" si="661"/>
        <v>COM</v>
      </c>
      <c r="G3768" t="str">
        <f>"MAURO AUGUSTO MACHADO DE ASSIS (767)"</f>
        <v>MAURO AUGUSTO MACHADO DE ASSIS (767)</v>
      </c>
      <c r="H3768" t="s">
        <v>983</v>
      </c>
      <c r="I3768" t="str">
        <f t="shared" si="664"/>
        <v>19/03/2026</v>
      </c>
      <c r="J3768" t="str">
        <f t="shared" si="660"/>
        <v>10/03/2026</v>
      </c>
      <c r="K3768">
        <v>46100</v>
      </c>
      <c r="N3768">
        <v>109</v>
      </c>
      <c r="O3768" t="s">
        <v>27</v>
      </c>
      <c r="Q3768">
        <v>180</v>
      </c>
      <c r="R3768" t="str">
        <f>"FARMÁCIA INDIANA LJ 172 (10161)"</f>
        <v>FARMÁCIA INDIANA LJ 172 (10161)</v>
      </c>
      <c r="S3768" t="s">
        <v>37</v>
      </c>
      <c r="T3768">
        <v>31559</v>
      </c>
      <c r="U3768">
        <v>34612</v>
      </c>
      <c r="V3768" t="s">
        <v>37</v>
      </c>
    </row>
    <row r="3769" spans="1:22">
      <c r="A3769" t="str">
        <f t="shared" si="665"/>
        <v>19/03/2026</v>
      </c>
      <c r="B3769" t="str">
        <f t="shared" si="662"/>
        <v>SAÍDA</v>
      </c>
      <c r="C3769" t="str">
        <f t="shared" si="663"/>
        <v>PIX</v>
      </c>
      <c r="D3769" t="str">
        <f>"34613"</f>
        <v>34613</v>
      </c>
      <c r="E3769" t="str">
        <f t="shared" si="666"/>
        <v>1</v>
      </c>
      <c r="F3769" t="str">
        <f t="shared" si="661"/>
        <v>COM</v>
      </c>
      <c r="G3769" t="str">
        <f>"MAYCON GUILHERME DUARTE (541)"</f>
        <v>MAYCON GUILHERME DUARTE (541)</v>
      </c>
      <c r="H3769" t="str">
        <f>"Serv.Prest. 02/03/2026 a 08/03/2026 - PIX: CELULAR - CHAVE: (31) 99076-6539"</f>
        <v>Serv.Prest. 02/03/2026 a 08/03/2026 - PIX: CELULAR - CHAVE: (31) 99076-6539</v>
      </c>
      <c r="I3769" t="str">
        <f t="shared" si="664"/>
        <v>19/03/2026</v>
      </c>
      <c r="J3769" t="str">
        <f t="shared" si="660"/>
        <v>10/03/2026</v>
      </c>
      <c r="K3769" t="str">
        <f>("19/03/2026")</f>
        <v>19/03/2026</v>
      </c>
      <c r="L3769">
        <v>1468</v>
      </c>
      <c r="M3769">
        <v>1468</v>
      </c>
      <c r="N3769">
        <v>109</v>
      </c>
      <c r="O3769" t="str">
        <f>"PAGAMENTO DE ENTREGADORES"</f>
        <v>PAGAMENTO DE ENTREGADORES</v>
      </c>
      <c r="P3769">
        <v>1468</v>
      </c>
      <c r="S3769" t="str">
        <f>"BANCO C6 (149)"</f>
        <v>BANCO C6 (149)</v>
      </c>
      <c r="T3769">
        <v>31560</v>
      </c>
      <c r="U3769">
        <v>34613</v>
      </c>
      <c r="V3769" t="s">
        <v>37</v>
      </c>
    </row>
    <row r="3770" spans="1:22">
      <c r="A3770" t="str">
        <f t="shared" si="665"/>
        <v>19/03/2026</v>
      </c>
      <c r="B3770" t="str">
        <f t="shared" si="662"/>
        <v>SAÍDA</v>
      </c>
      <c r="C3770" t="str">
        <f t="shared" si="663"/>
        <v>PIX</v>
      </c>
      <c r="D3770" t="str">
        <f>"34613"</f>
        <v>34613</v>
      </c>
      <c r="E3770" t="str">
        <f t="shared" si="666"/>
        <v>1</v>
      </c>
      <c r="F3770" t="str">
        <f t="shared" si="661"/>
        <v>COM</v>
      </c>
      <c r="G3770" t="str">
        <f>"MAYCON GUILHERME DUARTE (541)"</f>
        <v>MAYCON GUILHERME DUARTE (541)</v>
      </c>
      <c r="H3770" t="s">
        <v>922</v>
      </c>
      <c r="I3770" t="str">
        <f t="shared" si="664"/>
        <v>19/03/2026</v>
      </c>
      <c r="J3770" t="str">
        <f t="shared" si="660"/>
        <v>10/03/2026</v>
      </c>
      <c r="K3770">
        <v>46100</v>
      </c>
      <c r="N3770">
        <v>109</v>
      </c>
      <c r="O3770" t="s">
        <v>27</v>
      </c>
      <c r="Q3770">
        <v>1468</v>
      </c>
      <c r="R3770" t="str">
        <f>"FARMÁCIA INDIANA LJ 220 (10092)"</f>
        <v>FARMÁCIA INDIANA LJ 220 (10092)</v>
      </c>
      <c r="S3770" t="s">
        <v>37</v>
      </c>
      <c r="T3770">
        <v>31560</v>
      </c>
      <c r="U3770">
        <v>34613</v>
      </c>
      <c r="V3770" t="s">
        <v>37</v>
      </c>
    </row>
    <row r="3771" spans="1:22">
      <c r="A3771" t="str">
        <f t="shared" si="665"/>
        <v>19/03/2026</v>
      </c>
      <c r="B3771" t="str">
        <f t="shared" si="662"/>
        <v>SAÍDA</v>
      </c>
      <c r="C3771" t="str">
        <f t="shared" si="663"/>
        <v>PIX</v>
      </c>
      <c r="D3771" t="str">
        <f>"34614"</f>
        <v>34614</v>
      </c>
      <c r="E3771" t="str">
        <f t="shared" si="666"/>
        <v>1</v>
      </c>
      <c r="F3771" t="str">
        <f t="shared" si="661"/>
        <v>COM</v>
      </c>
      <c r="G3771" t="str">
        <f>"MIGUEL PESSOA RAMOS (68)"</f>
        <v>MIGUEL PESSOA RAMOS (68)</v>
      </c>
      <c r="H3771" t="str">
        <f>"Serv.Prest. 02/03/2026 a 08/03/2026 - PIX: CELULAR - CHAVE: (33) 99845-0493"</f>
        <v>Serv.Prest. 02/03/2026 a 08/03/2026 - PIX: CELULAR - CHAVE: (33) 99845-0493</v>
      </c>
      <c r="I3771" t="str">
        <f t="shared" si="664"/>
        <v>19/03/2026</v>
      </c>
      <c r="J3771" t="str">
        <f t="shared" ref="J3771:J3834" si="667">("10/03/2026")</f>
        <v>10/03/2026</v>
      </c>
      <c r="K3771" t="str">
        <f>("19/03/2026")</f>
        <v>19/03/2026</v>
      </c>
      <c r="L3771">
        <v>882</v>
      </c>
      <c r="M3771">
        <v>882</v>
      </c>
      <c r="N3771">
        <v>109</v>
      </c>
      <c r="O3771" t="str">
        <f>"PAGAMENTO DE ENTREGADORES"</f>
        <v>PAGAMENTO DE ENTREGADORES</v>
      </c>
      <c r="P3771">
        <v>882</v>
      </c>
      <c r="S3771" t="str">
        <f>"BANCO C6 (149)"</f>
        <v>BANCO C6 (149)</v>
      </c>
      <c r="T3771">
        <v>31561</v>
      </c>
      <c r="U3771">
        <v>34614</v>
      </c>
      <c r="V3771" t="s">
        <v>37</v>
      </c>
    </row>
    <row r="3772" spans="1:22">
      <c r="A3772" t="str">
        <f t="shared" si="665"/>
        <v>19/03/2026</v>
      </c>
      <c r="B3772" t="str">
        <f t="shared" si="662"/>
        <v>SAÍDA</v>
      </c>
      <c r="C3772" t="str">
        <f t="shared" si="663"/>
        <v>PIX</v>
      </c>
      <c r="D3772" t="str">
        <f>"34614"</f>
        <v>34614</v>
      </c>
      <c r="E3772" t="str">
        <f t="shared" si="666"/>
        <v>1</v>
      </c>
      <c r="F3772" t="str">
        <f t="shared" si="661"/>
        <v>COM</v>
      </c>
      <c r="G3772" t="str">
        <f>"MIGUEL PESSOA RAMOS (68)"</f>
        <v>MIGUEL PESSOA RAMOS (68)</v>
      </c>
      <c r="H3772" t="s">
        <v>1051</v>
      </c>
      <c r="I3772" t="str">
        <f t="shared" si="664"/>
        <v>19/03/2026</v>
      </c>
      <c r="J3772" t="str">
        <f t="shared" si="667"/>
        <v>10/03/2026</v>
      </c>
      <c r="K3772">
        <v>46100</v>
      </c>
      <c r="N3772">
        <v>109</v>
      </c>
      <c r="O3772" t="s">
        <v>27</v>
      </c>
      <c r="Q3772">
        <v>882</v>
      </c>
      <c r="R3772" t="str">
        <f>"FARMÁCIA INDIANA LJ 07 (10007)"</f>
        <v>FARMÁCIA INDIANA LJ 07 (10007)</v>
      </c>
      <c r="S3772" t="s">
        <v>37</v>
      </c>
      <c r="T3772">
        <v>31561</v>
      </c>
      <c r="U3772">
        <v>34614</v>
      </c>
      <c r="V3772" t="s">
        <v>37</v>
      </c>
    </row>
    <row r="3773" spans="1:22">
      <c r="A3773" t="str">
        <f t="shared" si="665"/>
        <v>19/03/2026</v>
      </c>
      <c r="B3773" t="str">
        <f t="shared" si="662"/>
        <v>SAÍDA</v>
      </c>
      <c r="C3773" t="str">
        <f t="shared" si="663"/>
        <v>PIX</v>
      </c>
      <c r="D3773" t="str">
        <f>"34615"</f>
        <v>34615</v>
      </c>
      <c r="E3773" t="str">
        <f t="shared" si="666"/>
        <v>1</v>
      </c>
      <c r="F3773" t="str">
        <f t="shared" si="661"/>
        <v>COM</v>
      </c>
      <c r="G3773" t="str">
        <f>"MURILO BARRETO AFONSO (30)"</f>
        <v>MURILO BARRETO AFONSO (30)</v>
      </c>
      <c r="H3773" t="str">
        <f>"Serv.Prest. 02/03/2026 a 08/03/2026 - PIX: CPF - CHAVE: 123.020.026-60"</f>
        <v>Serv.Prest. 02/03/2026 a 08/03/2026 - PIX: CPF - CHAVE: 123.020.026-60</v>
      </c>
      <c r="I3773" t="str">
        <f t="shared" si="664"/>
        <v>19/03/2026</v>
      </c>
      <c r="J3773" t="str">
        <f t="shared" si="667"/>
        <v>10/03/2026</v>
      </c>
      <c r="K3773" t="str">
        <f>("19/03/2026")</f>
        <v>19/03/2026</v>
      </c>
      <c r="L3773">
        <v>580</v>
      </c>
      <c r="M3773">
        <v>580</v>
      </c>
      <c r="N3773">
        <v>109</v>
      </c>
      <c r="O3773" t="str">
        <f>"PAGAMENTO DE ENTREGADORES"</f>
        <v>PAGAMENTO DE ENTREGADORES</v>
      </c>
      <c r="P3773">
        <v>580</v>
      </c>
      <c r="S3773" t="str">
        <f>"BANCO C6 (149)"</f>
        <v>BANCO C6 (149)</v>
      </c>
      <c r="T3773">
        <v>31562</v>
      </c>
      <c r="U3773">
        <v>34615</v>
      </c>
      <c r="V3773" t="s">
        <v>37</v>
      </c>
    </row>
    <row r="3774" spans="1:22">
      <c r="A3774" t="str">
        <f t="shared" si="665"/>
        <v>19/03/2026</v>
      </c>
      <c r="B3774" t="str">
        <f t="shared" si="662"/>
        <v>SAÍDA</v>
      </c>
      <c r="C3774" t="str">
        <f t="shared" si="663"/>
        <v>PIX</v>
      </c>
      <c r="D3774" t="str">
        <f>"34615"</f>
        <v>34615</v>
      </c>
      <c r="E3774" t="str">
        <f t="shared" si="666"/>
        <v>1</v>
      </c>
      <c r="F3774" t="str">
        <f t="shared" si="661"/>
        <v>COM</v>
      </c>
      <c r="G3774" t="str">
        <f>"MURILO BARRETO AFONSO (30)"</f>
        <v>MURILO BARRETO AFONSO (30)</v>
      </c>
      <c r="H3774" t="s">
        <v>861</v>
      </c>
      <c r="I3774" t="str">
        <f t="shared" si="664"/>
        <v>19/03/2026</v>
      </c>
      <c r="J3774" t="str">
        <f t="shared" si="667"/>
        <v>10/03/2026</v>
      </c>
      <c r="K3774">
        <v>46100</v>
      </c>
      <c r="N3774">
        <v>109</v>
      </c>
      <c r="O3774" t="s">
        <v>27</v>
      </c>
      <c r="Q3774">
        <v>580</v>
      </c>
      <c r="R3774" t="str">
        <f>"FARMÁCIA INDIANA LJ 192 (10082)"</f>
        <v>FARMÁCIA INDIANA LJ 192 (10082)</v>
      </c>
      <c r="S3774" t="s">
        <v>37</v>
      </c>
      <c r="T3774">
        <v>31562</v>
      </c>
      <c r="U3774">
        <v>34615</v>
      </c>
      <c r="V3774" t="s">
        <v>37</v>
      </c>
    </row>
    <row r="3775" spans="1:22">
      <c r="A3775" t="str">
        <f t="shared" si="665"/>
        <v>19/03/2026</v>
      </c>
      <c r="B3775" t="str">
        <f t="shared" si="662"/>
        <v>SAÍDA</v>
      </c>
      <c r="C3775" t="str">
        <f t="shared" si="663"/>
        <v>PIX</v>
      </c>
      <c r="D3775" t="str">
        <f>"34616"</f>
        <v>34616</v>
      </c>
      <c r="E3775" t="str">
        <f t="shared" si="666"/>
        <v>1</v>
      </c>
      <c r="F3775" t="str">
        <f t="shared" si="661"/>
        <v>COM</v>
      </c>
      <c r="G3775" t="str">
        <f>"MURILO BARRETO AFONSO (30)"</f>
        <v>MURILO BARRETO AFONSO (30)</v>
      </c>
      <c r="H3775" t="str">
        <f>"Serv.Prest. 02/03/2026 a 08/03/2026 - PIX: CPF - CHAVE: 123.020.026-60"</f>
        <v>Serv.Prest. 02/03/2026 a 08/03/2026 - PIX: CPF - CHAVE: 123.020.026-60</v>
      </c>
      <c r="I3775" t="str">
        <f t="shared" si="664"/>
        <v>19/03/2026</v>
      </c>
      <c r="J3775" t="str">
        <f t="shared" si="667"/>
        <v>10/03/2026</v>
      </c>
      <c r="K3775" t="str">
        <f>("19/03/2026")</f>
        <v>19/03/2026</v>
      </c>
      <c r="L3775">
        <v>624</v>
      </c>
      <c r="M3775">
        <v>624</v>
      </c>
      <c r="N3775">
        <v>109</v>
      </c>
      <c r="O3775" t="str">
        <f>"PAGAMENTO DE ENTREGADORES"</f>
        <v>PAGAMENTO DE ENTREGADORES</v>
      </c>
      <c r="P3775">
        <v>624</v>
      </c>
      <c r="S3775" t="str">
        <f>"BANCO C6 (149)"</f>
        <v>BANCO C6 (149)</v>
      </c>
      <c r="T3775">
        <v>31563</v>
      </c>
      <c r="U3775">
        <v>34616</v>
      </c>
      <c r="V3775" t="s">
        <v>37</v>
      </c>
    </row>
    <row r="3776" spans="1:22">
      <c r="A3776" t="str">
        <f t="shared" si="665"/>
        <v>19/03/2026</v>
      </c>
      <c r="B3776" t="str">
        <f t="shared" si="662"/>
        <v>SAÍDA</v>
      </c>
      <c r="C3776" t="str">
        <f t="shared" si="663"/>
        <v>PIX</v>
      </c>
      <c r="D3776" t="str">
        <f>"34616"</f>
        <v>34616</v>
      </c>
      <c r="E3776" t="str">
        <f t="shared" si="666"/>
        <v>1</v>
      </c>
      <c r="F3776" t="str">
        <f t="shared" si="661"/>
        <v>COM</v>
      </c>
      <c r="G3776" t="str">
        <f>"MURILO BARRETO AFONSO (30)"</f>
        <v>MURILO BARRETO AFONSO (30)</v>
      </c>
      <c r="H3776" t="s">
        <v>861</v>
      </c>
      <c r="I3776" t="str">
        <f t="shared" si="664"/>
        <v>19/03/2026</v>
      </c>
      <c r="J3776" t="str">
        <f t="shared" si="667"/>
        <v>10/03/2026</v>
      </c>
      <c r="K3776">
        <v>46100</v>
      </c>
      <c r="N3776">
        <v>109</v>
      </c>
      <c r="O3776" t="s">
        <v>27</v>
      </c>
      <c r="Q3776">
        <v>624</v>
      </c>
      <c r="R3776" t="str">
        <f>"FARMÁCIA INDIANA LJ 118 (10052)"</f>
        <v>FARMÁCIA INDIANA LJ 118 (10052)</v>
      </c>
      <c r="S3776" t="s">
        <v>37</v>
      </c>
      <c r="T3776">
        <v>31563</v>
      </c>
      <c r="U3776">
        <v>34616</v>
      </c>
      <c r="V3776" t="s">
        <v>37</v>
      </c>
    </row>
    <row r="3777" spans="1:22">
      <c r="A3777" t="str">
        <f t="shared" si="665"/>
        <v>19/03/2026</v>
      </c>
      <c r="B3777" t="str">
        <f t="shared" si="662"/>
        <v>SAÍDA</v>
      </c>
      <c r="C3777" t="str">
        <f t="shared" si="663"/>
        <v>PIX</v>
      </c>
      <c r="D3777" t="str">
        <f>"34617"</f>
        <v>34617</v>
      </c>
      <c r="E3777" t="str">
        <f t="shared" si="666"/>
        <v>1</v>
      </c>
      <c r="F3777" t="str">
        <f t="shared" si="661"/>
        <v>COM</v>
      </c>
      <c r="G3777" t="str">
        <f>"NELSON DOS SANTOS RODRIGUES (37)"</f>
        <v>NELSON DOS SANTOS RODRIGUES (37)</v>
      </c>
      <c r="H3777" t="str">
        <f>"Serv.Prest. 02/03/2026 a 08/03/2026 - PIX: CPF - CHAVE: 108.680.396-59"</f>
        <v>Serv.Prest. 02/03/2026 a 08/03/2026 - PIX: CPF - CHAVE: 108.680.396-59</v>
      </c>
      <c r="I3777" t="str">
        <f t="shared" si="664"/>
        <v>19/03/2026</v>
      </c>
      <c r="J3777" t="str">
        <f t="shared" si="667"/>
        <v>10/03/2026</v>
      </c>
      <c r="K3777" t="str">
        <f>("19/03/2026")</f>
        <v>19/03/2026</v>
      </c>
      <c r="L3777">
        <v>918</v>
      </c>
      <c r="M3777">
        <v>918</v>
      </c>
      <c r="N3777">
        <v>109</v>
      </c>
      <c r="O3777" t="str">
        <f>"PAGAMENTO DE ENTREGADORES"</f>
        <v>PAGAMENTO DE ENTREGADORES</v>
      </c>
      <c r="P3777">
        <v>918</v>
      </c>
      <c r="S3777" t="str">
        <f>"BANCO C6 (149)"</f>
        <v>BANCO C6 (149)</v>
      </c>
      <c r="T3777">
        <v>31564</v>
      </c>
      <c r="U3777">
        <v>34617</v>
      </c>
      <c r="V3777" t="s">
        <v>37</v>
      </c>
    </row>
    <row r="3778" spans="1:22">
      <c r="A3778" t="str">
        <f t="shared" si="665"/>
        <v>19/03/2026</v>
      </c>
      <c r="B3778" t="str">
        <f t="shared" si="662"/>
        <v>SAÍDA</v>
      </c>
      <c r="C3778" t="str">
        <f t="shared" si="663"/>
        <v>PIX</v>
      </c>
      <c r="D3778" t="str">
        <f>"34617"</f>
        <v>34617</v>
      </c>
      <c r="E3778" t="str">
        <f t="shared" si="666"/>
        <v>1</v>
      </c>
      <c r="F3778" t="str">
        <f t="shared" ref="F3778:F3841" si="668">"COM"</f>
        <v>COM</v>
      </c>
      <c r="G3778" t="str">
        <f>"NELSON DOS SANTOS RODRIGUES (37)"</f>
        <v>NELSON DOS SANTOS RODRIGUES (37)</v>
      </c>
      <c r="H3778" t="s">
        <v>989</v>
      </c>
      <c r="I3778" t="str">
        <f t="shared" si="664"/>
        <v>19/03/2026</v>
      </c>
      <c r="J3778" t="str">
        <f t="shared" si="667"/>
        <v>10/03/2026</v>
      </c>
      <c r="K3778">
        <v>46100</v>
      </c>
      <c r="N3778">
        <v>109</v>
      </c>
      <c r="O3778" t="s">
        <v>27</v>
      </c>
      <c r="Q3778">
        <v>918</v>
      </c>
      <c r="R3778" t="str">
        <f>"FARMÁCIA INDIANA LJ 11 (10008)"</f>
        <v>FARMÁCIA INDIANA LJ 11 (10008)</v>
      </c>
      <c r="S3778" t="s">
        <v>37</v>
      </c>
      <c r="T3778">
        <v>31564</v>
      </c>
      <c r="U3778">
        <v>34617</v>
      </c>
      <c r="V3778" t="s">
        <v>37</v>
      </c>
    </row>
    <row r="3779" spans="1:22">
      <c r="A3779" t="str">
        <f t="shared" si="665"/>
        <v>19/03/2026</v>
      </c>
      <c r="B3779" t="str">
        <f t="shared" si="662"/>
        <v>SAÍDA</v>
      </c>
      <c r="C3779" t="str">
        <f t="shared" si="663"/>
        <v>PIX</v>
      </c>
      <c r="D3779" t="str">
        <f>"34618"</f>
        <v>34618</v>
      </c>
      <c r="E3779" t="str">
        <f t="shared" si="666"/>
        <v>1</v>
      </c>
      <c r="F3779" t="str">
        <f t="shared" si="668"/>
        <v>COM</v>
      </c>
      <c r="G3779" t="str">
        <f>"NILTON RODRIGUES DE SOUZA (136)"</f>
        <v>NILTON RODRIGUES DE SOUZA (136)</v>
      </c>
      <c r="H3779" t="str">
        <f>"Serv.Prest. 02/03/2026 a 08/03/2026 - PIX: CPF - CHAVE: 037.974.316-78"</f>
        <v>Serv.Prest. 02/03/2026 a 08/03/2026 - PIX: CPF - CHAVE: 037.974.316-78</v>
      </c>
      <c r="I3779" t="str">
        <f t="shared" si="664"/>
        <v>19/03/2026</v>
      </c>
      <c r="J3779" t="str">
        <f t="shared" si="667"/>
        <v>10/03/2026</v>
      </c>
      <c r="K3779" t="str">
        <f>("19/03/2026")</f>
        <v>19/03/2026</v>
      </c>
      <c r="L3779">
        <v>186</v>
      </c>
      <c r="M3779">
        <v>186</v>
      </c>
      <c r="N3779">
        <v>109</v>
      </c>
      <c r="O3779" t="str">
        <f>"PAGAMENTO DE ENTREGADORES"</f>
        <v>PAGAMENTO DE ENTREGADORES</v>
      </c>
      <c r="P3779">
        <v>186</v>
      </c>
      <c r="S3779" t="str">
        <f>"BANCO C6 (149)"</f>
        <v>BANCO C6 (149)</v>
      </c>
      <c r="T3779">
        <v>31565</v>
      </c>
      <c r="U3779">
        <v>34618</v>
      </c>
      <c r="V3779" t="s">
        <v>37</v>
      </c>
    </row>
    <row r="3780" spans="1:22">
      <c r="A3780" t="str">
        <f t="shared" si="665"/>
        <v>19/03/2026</v>
      </c>
      <c r="B3780" t="str">
        <f t="shared" si="662"/>
        <v>SAÍDA</v>
      </c>
      <c r="C3780" t="str">
        <f t="shared" si="663"/>
        <v>PIX</v>
      </c>
      <c r="D3780" t="str">
        <f>"34618"</f>
        <v>34618</v>
      </c>
      <c r="E3780" t="str">
        <f t="shared" si="666"/>
        <v>1</v>
      </c>
      <c r="F3780" t="str">
        <f t="shared" si="668"/>
        <v>COM</v>
      </c>
      <c r="G3780" t="str">
        <f>"NILTON RODRIGUES DE SOUZA (136)"</f>
        <v>NILTON RODRIGUES DE SOUZA (136)</v>
      </c>
      <c r="H3780" t="s">
        <v>919</v>
      </c>
      <c r="I3780" t="str">
        <f t="shared" si="664"/>
        <v>19/03/2026</v>
      </c>
      <c r="J3780" t="str">
        <f t="shared" si="667"/>
        <v>10/03/2026</v>
      </c>
      <c r="K3780">
        <v>46100</v>
      </c>
      <c r="N3780">
        <v>109</v>
      </c>
      <c r="O3780" t="s">
        <v>27</v>
      </c>
      <c r="Q3780">
        <v>186</v>
      </c>
      <c r="R3780" t="str">
        <f>"FARMÁCIA INDIANA LJ 19 (10012)"</f>
        <v>FARMÁCIA INDIANA LJ 19 (10012)</v>
      </c>
      <c r="S3780" t="s">
        <v>37</v>
      </c>
      <c r="T3780">
        <v>31565</v>
      </c>
      <c r="U3780">
        <v>34618</v>
      </c>
      <c r="V3780" t="s">
        <v>37</v>
      </c>
    </row>
    <row r="3781" spans="1:22">
      <c r="A3781" t="str">
        <f t="shared" si="665"/>
        <v>19/03/2026</v>
      </c>
      <c r="B3781" t="str">
        <f t="shared" si="662"/>
        <v>SAÍDA</v>
      </c>
      <c r="C3781" t="str">
        <f t="shared" si="663"/>
        <v>PIX</v>
      </c>
      <c r="D3781" t="str">
        <f>"34619"</f>
        <v>34619</v>
      </c>
      <c r="E3781" t="str">
        <f t="shared" si="666"/>
        <v>1</v>
      </c>
      <c r="F3781" t="str">
        <f t="shared" si="668"/>
        <v>COM</v>
      </c>
      <c r="G3781" t="str">
        <f>"NILTON RODRIGUES DE SOUZA (136)"</f>
        <v>NILTON RODRIGUES DE SOUZA (136)</v>
      </c>
      <c r="H3781" t="str">
        <f>"Serv.Prest. 02/03/2026 a 08/03/2026 - PIX: CPF - CHAVE: 037.974.316-78"</f>
        <v>Serv.Prest. 02/03/2026 a 08/03/2026 - PIX: CPF - CHAVE: 037.974.316-78</v>
      </c>
      <c r="I3781" t="str">
        <f t="shared" si="664"/>
        <v>19/03/2026</v>
      </c>
      <c r="J3781" t="str">
        <f t="shared" si="667"/>
        <v>10/03/2026</v>
      </c>
      <c r="K3781" t="str">
        <f>("19/03/2026")</f>
        <v>19/03/2026</v>
      </c>
      <c r="L3781">
        <v>912</v>
      </c>
      <c r="M3781">
        <v>912</v>
      </c>
      <c r="N3781">
        <v>109</v>
      </c>
      <c r="O3781" t="str">
        <f>"PAGAMENTO DE ENTREGADORES"</f>
        <v>PAGAMENTO DE ENTREGADORES</v>
      </c>
      <c r="P3781">
        <v>912</v>
      </c>
      <c r="S3781" t="str">
        <f>"BANCO C6 (149)"</f>
        <v>BANCO C6 (149)</v>
      </c>
      <c r="T3781">
        <v>31566</v>
      </c>
      <c r="U3781">
        <v>34619</v>
      </c>
      <c r="V3781" t="s">
        <v>37</v>
      </c>
    </row>
    <row r="3782" spans="1:22">
      <c r="A3782" t="str">
        <f t="shared" si="665"/>
        <v>19/03/2026</v>
      </c>
      <c r="B3782" t="str">
        <f t="shared" si="662"/>
        <v>SAÍDA</v>
      </c>
      <c r="C3782" t="str">
        <f t="shared" si="663"/>
        <v>PIX</v>
      </c>
      <c r="D3782" t="str">
        <f>"34619"</f>
        <v>34619</v>
      </c>
      <c r="E3782" t="str">
        <f t="shared" si="666"/>
        <v>1</v>
      </c>
      <c r="F3782" t="str">
        <f t="shared" si="668"/>
        <v>COM</v>
      </c>
      <c r="G3782" t="str">
        <f>"NILTON RODRIGUES DE SOUZA (136)"</f>
        <v>NILTON RODRIGUES DE SOUZA (136)</v>
      </c>
      <c r="H3782" t="s">
        <v>919</v>
      </c>
      <c r="I3782" t="str">
        <f t="shared" si="664"/>
        <v>19/03/2026</v>
      </c>
      <c r="J3782" t="str">
        <f t="shared" si="667"/>
        <v>10/03/2026</v>
      </c>
      <c r="K3782">
        <v>46100</v>
      </c>
      <c r="N3782">
        <v>109</v>
      </c>
      <c r="O3782" t="s">
        <v>27</v>
      </c>
      <c r="Q3782">
        <v>912</v>
      </c>
      <c r="R3782" t="str">
        <f>"FARMÁCIA INDIANA LJ 18 (10011)"</f>
        <v>FARMÁCIA INDIANA LJ 18 (10011)</v>
      </c>
      <c r="S3782" t="s">
        <v>37</v>
      </c>
      <c r="T3782">
        <v>31566</v>
      </c>
      <c r="U3782">
        <v>34619</v>
      </c>
      <c r="V3782" t="s">
        <v>37</v>
      </c>
    </row>
    <row r="3783" spans="1:22">
      <c r="A3783" t="str">
        <f t="shared" si="665"/>
        <v>19/03/2026</v>
      </c>
      <c r="B3783" t="str">
        <f t="shared" si="662"/>
        <v>SAÍDA</v>
      </c>
      <c r="C3783" t="str">
        <f t="shared" si="663"/>
        <v>PIX</v>
      </c>
      <c r="D3783" t="str">
        <f>"34620"</f>
        <v>34620</v>
      </c>
      <c r="E3783" t="str">
        <f t="shared" si="666"/>
        <v>1</v>
      </c>
      <c r="F3783" t="str">
        <f t="shared" si="668"/>
        <v>COM</v>
      </c>
      <c r="G3783" t="str">
        <f>"PATRICK DE SOUZA CORREA (92)"</f>
        <v>PATRICK DE SOUZA CORREA (92)</v>
      </c>
      <c r="H3783" t="str">
        <f>"Serv.Prest. 02/03/2026 a 08/03/2026 - PIX: CELULAR - CHAVE: (31) 99216-8711"</f>
        <v>Serv.Prest. 02/03/2026 a 08/03/2026 - PIX: CELULAR - CHAVE: (31) 99216-8711</v>
      </c>
      <c r="I3783" t="str">
        <f t="shared" si="664"/>
        <v>19/03/2026</v>
      </c>
      <c r="J3783" t="str">
        <f t="shared" si="667"/>
        <v>10/03/2026</v>
      </c>
      <c r="K3783" t="str">
        <f>("19/03/2026")</f>
        <v>19/03/2026</v>
      </c>
      <c r="L3783">
        <v>78</v>
      </c>
      <c r="M3783">
        <v>78</v>
      </c>
      <c r="N3783">
        <v>109</v>
      </c>
      <c r="O3783" t="str">
        <f>"PAGAMENTO DE ENTREGADORES"</f>
        <v>PAGAMENTO DE ENTREGADORES</v>
      </c>
      <c r="P3783">
        <v>78</v>
      </c>
      <c r="S3783" t="str">
        <f>"BANCO C6 (149)"</f>
        <v>BANCO C6 (149)</v>
      </c>
      <c r="T3783">
        <v>31567</v>
      </c>
      <c r="U3783">
        <v>34620</v>
      </c>
      <c r="V3783" t="s">
        <v>37</v>
      </c>
    </row>
    <row r="3784" spans="1:22">
      <c r="A3784" t="str">
        <f t="shared" si="665"/>
        <v>19/03/2026</v>
      </c>
      <c r="B3784" t="str">
        <f t="shared" si="662"/>
        <v>SAÍDA</v>
      </c>
      <c r="C3784" t="str">
        <f t="shared" si="663"/>
        <v>PIX</v>
      </c>
      <c r="D3784" t="str">
        <f>"34620"</f>
        <v>34620</v>
      </c>
      <c r="E3784" t="str">
        <f t="shared" si="666"/>
        <v>1</v>
      </c>
      <c r="F3784" t="str">
        <f t="shared" si="668"/>
        <v>COM</v>
      </c>
      <c r="G3784" t="str">
        <f>"PATRICK DE SOUZA CORREA (92)"</f>
        <v>PATRICK DE SOUZA CORREA (92)</v>
      </c>
      <c r="H3784" t="s">
        <v>972</v>
      </c>
      <c r="I3784" t="str">
        <f t="shared" si="664"/>
        <v>19/03/2026</v>
      </c>
      <c r="J3784" t="str">
        <f t="shared" si="667"/>
        <v>10/03/2026</v>
      </c>
      <c r="K3784">
        <v>46100</v>
      </c>
      <c r="N3784">
        <v>109</v>
      </c>
      <c r="O3784" t="s">
        <v>27</v>
      </c>
      <c r="Q3784">
        <v>78</v>
      </c>
      <c r="R3784" t="str">
        <f>"FARMÁCIA INDIANA LJ 184 (10080)"</f>
        <v>FARMÁCIA INDIANA LJ 184 (10080)</v>
      </c>
      <c r="S3784" t="s">
        <v>37</v>
      </c>
      <c r="T3784">
        <v>31567</v>
      </c>
      <c r="U3784">
        <v>34620</v>
      </c>
      <c r="V3784" t="s">
        <v>37</v>
      </c>
    </row>
    <row r="3785" spans="1:22">
      <c r="A3785" t="str">
        <f t="shared" si="665"/>
        <v>19/03/2026</v>
      </c>
      <c r="B3785" t="str">
        <f t="shared" si="662"/>
        <v>SAÍDA</v>
      </c>
      <c r="C3785" t="str">
        <f t="shared" si="663"/>
        <v>PIX</v>
      </c>
      <c r="D3785" t="str">
        <f>"34621"</f>
        <v>34621</v>
      </c>
      <c r="E3785" t="str">
        <f t="shared" si="666"/>
        <v>1</v>
      </c>
      <c r="F3785" t="str">
        <f t="shared" si="668"/>
        <v>COM</v>
      </c>
      <c r="G3785" t="str">
        <f>"PATRICK DE SOUZA CORREA (92)"</f>
        <v>PATRICK DE SOUZA CORREA (92)</v>
      </c>
      <c r="H3785" t="str">
        <f>"Serv.Prest. 02/03/2026 a 08/03/2026 - PIX: CELULAR - CHAVE: (31) 99216-8711"</f>
        <v>Serv.Prest. 02/03/2026 a 08/03/2026 - PIX: CELULAR - CHAVE: (31) 99216-8711</v>
      </c>
      <c r="I3785" t="str">
        <f t="shared" si="664"/>
        <v>19/03/2026</v>
      </c>
      <c r="J3785" t="str">
        <f t="shared" si="667"/>
        <v>10/03/2026</v>
      </c>
      <c r="K3785" t="str">
        <f>("19/03/2026")</f>
        <v>19/03/2026</v>
      </c>
      <c r="L3785">
        <v>6</v>
      </c>
      <c r="M3785">
        <v>6</v>
      </c>
      <c r="N3785">
        <v>109</v>
      </c>
      <c r="O3785" t="str">
        <f>"PAGAMENTO DE ENTREGADORES"</f>
        <v>PAGAMENTO DE ENTREGADORES</v>
      </c>
      <c r="P3785">
        <v>6</v>
      </c>
      <c r="S3785" t="str">
        <f>"BANCO C6 (149)"</f>
        <v>BANCO C6 (149)</v>
      </c>
      <c r="T3785">
        <v>31568</v>
      </c>
      <c r="U3785">
        <v>34621</v>
      </c>
      <c r="V3785" t="s">
        <v>37</v>
      </c>
    </row>
    <row r="3786" spans="1:22">
      <c r="A3786" t="str">
        <f t="shared" si="665"/>
        <v>19/03/2026</v>
      </c>
      <c r="B3786" t="str">
        <f t="shared" si="662"/>
        <v>SAÍDA</v>
      </c>
      <c r="C3786" t="str">
        <f t="shared" si="663"/>
        <v>PIX</v>
      </c>
      <c r="D3786" t="str">
        <f>"34621"</f>
        <v>34621</v>
      </c>
      <c r="E3786" t="str">
        <f t="shared" si="666"/>
        <v>1</v>
      </c>
      <c r="F3786" t="str">
        <f t="shared" si="668"/>
        <v>COM</v>
      </c>
      <c r="G3786" t="str">
        <f>"PATRICK DE SOUZA CORREA (92)"</f>
        <v>PATRICK DE SOUZA CORREA (92)</v>
      </c>
      <c r="H3786" t="s">
        <v>972</v>
      </c>
      <c r="I3786" t="str">
        <f t="shared" si="664"/>
        <v>19/03/2026</v>
      </c>
      <c r="J3786" t="str">
        <f t="shared" si="667"/>
        <v>10/03/2026</v>
      </c>
      <c r="K3786">
        <v>46100</v>
      </c>
      <c r="N3786">
        <v>109</v>
      </c>
      <c r="O3786" t="s">
        <v>27</v>
      </c>
      <c r="Q3786">
        <v>6</v>
      </c>
      <c r="R3786" t="str">
        <f>"FARMÁCIA INDIANA LJ 195 (10083)"</f>
        <v>FARMÁCIA INDIANA LJ 195 (10083)</v>
      </c>
      <c r="S3786" t="s">
        <v>37</v>
      </c>
      <c r="T3786">
        <v>31568</v>
      </c>
      <c r="U3786">
        <v>34621</v>
      </c>
      <c r="V3786" t="s">
        <v>37</v>
      </c>
    </row>
    <row r="3787" spans="1:22">
      <c r="A3787" t="str">
        <f t="shared" si="665"/>
        <v>19/03/2026</v>
      </c>
      <c r="B3787" t="str">
        <f t="shared" si="662"/>
        <v>SAÍDA</v>
      </c>
      <c r="C3787" t="str">
        <f t="shared" si="663"/>
        <v>PIX</v>
      </c>
      <c r="D3787" t="str">
        <f>"34622"</f>
        <v>34622</v>
      </c>
      <c r="E3787" t="str">
        <f t="shared" si="666"/>
        <v>1</v>
      </c>
      <c r="F3787" t="str">
        <f t="shared" si="668"/>
        <v>COM</v>
      </c>
      <c r="G3787" t="str">
        <f>"PAULO HENRIQUE OLIVEIRA SILVA (39)"</f>
        <v>PAULO HENRIQUE OLIVEIRA SILVA (39)</v>
      </c>
      <c r="H3787" t="str">
        <f>"Serv.Prest. 02/03/2026 a 08/03/2026 - PIX: CELULAR - CHAVE: (31) 97339-3761"</f>
        <v>Serv.Prest. 02/03/2026 a 08/03/2026 - PIX: CELULAR - CHAVE: (31) 97339-3761</v>
      </c>
      <c r="I3787" t="str">
        <f t="shared" si="664"/>
        <v>19/03/2026</v>
      </c>
      <c r="J3787" t="str">
        <f t="shared" si="667"/>
        <v>10/03/2026</v>
      </c>
      <c r="K3787" t="str">
        <f>("19/03/2026")</f>
        <v>19/03/2026</v>
      </c>
      <c r="L3787">
        <v>1344</v>
      </c>
      <c r="M3787">
        <v>1344</v>
      </c>
      <c r="N3787">
        <v>109</v>
      </c>
      <c r="O3787" t="str">
        <f>"PAGAMENTO DE ENTREGADORES"</f>
        <v>PAGAMENTO DE ENTREGADORES</v>
      </c>
      <c r="P3787">
        <v>1344</v>
      </c>
      <c r="S3787" t="str">
        <f>"BANCO C6 (149)"</f>
        <v>BANCO C6 (149)</v>
      </c>
      <c r="T3787">
        <v>31569</v>
      </c>
      <c r="U3787">
        <v>34622</v>
      </c>
      <c r="V3787" t="s">
        <v>37</v>
      </c>
    </row>
    <row r="3788" spans="1:22">
      <c r="A3788" t="str">
        <f t="shared" si="665"/>
        <v>19/03/2026</v>
      </c>
      <c r="B3788" t="str">
        <f t="shared" si="662"/>
        <v>SAÍDA</v>
      </c>
      <c r="C3788" t="str">
        <f t="shared" si="663"/>
        <v>PIX</v>
      </c>
      <c r="D3788" t="str">
        <f>"34622"</f>
        <v>34622</v>
      </c>
      <c r="E3788" t="str">
        <f t="shared" si="666"/>
        <v>1</v>
      </c>
      <c r="F3788" t="str">
        <f t="shared" si="668"/>
        <v>COM</v>
      </c>
      <c r="G3788" t="str">
        <f>"PAULO HENRIQUE OLIVEIRA SILVA (39)"</f>
        <v>PAULO HENRIQUE OLIVEIRA SILVA (39)</v>
      </c>
      <c r="H3788" t="s">
        <v>979</v>
      </c>
      <c r="I3788" t="str">
        <f t="shared" si="664"/>
        <v>19/03/2026</v>
      </c>
      <c r="J3788" t="str">
        <f t="shared" si="667"/>
        <v>10/03/2026</v>
      </c>
      <c r="K3788">
        <v>46100</v>
      </c>
      <c r="N3788">
        <v>109</v>
      </c>
      <c r="O3788" t="s">
        <v>27</v>
      </c>
      <c r="Q3788">
        <v>1344</v>
      </c>
      <c r="R3788" t="str">
        <f>"FARMÁCIA INDIANA LJ 11 (10008)"</f>
        <v>FARMÁCIA INDIANA LJ 11 (10008)</v>
      </c>
      <c r="S3788" t="s">
        <v>37</v>
      </c>
      <c r="T3788">
        <v>31569</v>
      </c>
      <c r="U3788">
        <v>34622</v>
      </c>
      <c r="V3788" t="s">
        <v>37</v>
      </c>
    </row>
    <row r="3789" spans="1:22">
      <c r="A3789" t="str">
        <f t="shared" si="665"/>
        <v>19/03/2026</v>
      </c>
      <c r="B3789" t="str">
        <f t="shared" si="662"/>
        <v>SAÍDA</v>
      </c>
      <c r="C3789" t="str">
        <f t="shared" si="663"/>
        <v>PIX</v>
      </c>
      <c r="D3789" t="str">
        <f>"34623"</f>
        <v>34623</v>
      </c>
      <c r="E3789" t="str">
        <f t="shared" si="666"/>
        <v>1</v>
      </c>
      <c r="F3789" t="str">
        <f t="shared" si="668"/>
        <v>COM</v>
      </c>
      <c r="G3789" t="str">
        <f>"PHABLO HEINRICK VALADARES FERREIRA (989)"</f>
        <v>PHABLO HEINRICK VALADARES FERREIRA (989)</v>
      </c>
      <c r="H3789" t="str">
        <f>"Serv.Prest. 02/03/2026 a 08/03/2026 - PIX: CPF - CHAVE: 135.640.066-30"</f>
        <v>Serv.Prest. 02/03/2026 a 08/03/2026 - PIX: CPF - CHAVE: 135.640.066-30</v>
      </c>
      <c r="I3789" t="str">
        <f t="shared" si="664"/>
        <v>19/03/2026</v>
      </c>
      <c r="J3789" t="str">
        <f t="shared" si="667"/>
        <v>10/03/2026</v>
      </c>
      <c r="K3789" t="str">
        <f>("19/03/2026")</f>
        <v>19/03/2026</v>
      </c>
      <c r="L3789">
        <v>1416</v>
      </c>
      <c r="M3789">
        <v>1416</v>
      </c>
      <c r="N3789">
        <v>109</v>
      </c>
      <c r="O3789" t="str">
        <f>"PAGAMENTO DE ENTREGADORES"</f>
        <v>PAGAMENTO DE ENTREGADORES</v>
      </c>
      <c r="P3789">
        <v>1416</v>
      </c>
      <c r="S3789" t="str">
        <f>"BANCO C6 (149)"</f>
        <v>BANCO C6 (149)</v>
      </c>
      <c r="T3789">
        <v>31570</v>
      </c>
      <c r="U3789">
        <v>34623</v>
      </c>
      <c r="V3789" t="s">
        <v>37</v>
      </c>
    </row>
    <row r="3790" spans="1:22">
      <c r="A3790" t="str">
        <f t="shared" si="665"/>
        <v>19/03/2026</v>
      </c>
      <c r="B3790" t="str">
        <f t="shared" si="662"/>
        <v>SAÍDA</v>
      </c>
      <c r="C3790" t="str">
        <f t="shared" si="663"/>
        <v>PIX</v>
      </c>
      <c r="D3790" t="str">
        <f>"34623"</f>
        <v>34623</v>
      </c>
      <c r="E3790" t="str">
        <f t="shared" si="666"/>
        <v>1</v>
      </c>
      <c r="F3790" t="str">
        <f t="shared" si="668"/>
        <v>COM</v>
      </c>
      <c r="G3790" t="str">
        <f>"PHABLO HEINRICK VALADARES FERREIRA (989)"</f>
        <v>PHABLO HEINRICK VALADARES FERREIRA (989)</v>
      </c>
      <c r="H3790" t="s">
        <v>917</v>
      </c>
      <c r="I3790" t="str">
        <f t="shared" si="664"/>
        <v>19/03/2026</v>
      </c>
      <c r="J3790" t="str">
        <f t="shared" si="667"/>
        <v>10/03/2026</v>
      </c>
      <c r="K3790">
        <v>46100</v>
      </c>
      <c r="N3790">
        <v>109</v>
      </c>
      <c r="O3790" t="s">
        <v>27</v>
      </c>
      <c r="Q3790">
        <v>1416</v>
      </c>
      <c r="R3790" t="str">
        <f>"FARMÁCIA INDIANA LJ 101 (10043)"</f>
        <v>FARMÁCIA INDIANA LJ 101 (10043)</v>
      </c>
      <c r="S3790" t="s">
        <v>37</v>
      </c>
      <c r="T3790">
        <v>31570</v>
      </c>
      <c r="U3790">
        <v>34623</v>
      </c>
      <c r="V3790" t="s">
        <v>37</v>
      </c>
    </row>
    <row r="3791" spans="1:22">
      <c r="A3791" t="str">
        <f t="shared" si="665"/>
        <v>19/03/2026</v>
      </c>
      <c r="B3791" t="str">
        <f t="shared" si="662"/>
        <v>SAÍDA</v>
      </c>
      <c r="C3791" t="str">
        <f t="shared" si="663"/>
        <v>PIX</v>
      </c>
      <c r="D3791" t="str">
        <f>"34624"</f>
        <v>34624</v>
      </c>
      <c r="E3791" t="str">
        <f t="shared" si="666"/>
        <v>1</v>
      </c>
      <c r="F3791" t="str">
        <f t="shared" si="668"/>
        <v>COM</v>
      </c>
      <c r="G3791" t="str">
        <f>"RAFAEL MONTEIRO DE CASTRO VITRAL (1038)"</f>
        <v>RAFAEL MONTEIRO DE CASTRO VITRAL (1038)</v>
      </c>
      <c r="H3791" t="str">
        <f>"Serv.Prest. 02/03/2026 a 08/03/2026 - PIX: CELULAR - CHAVE: (24) 99846-2202"</f>
        <v>Serv.Prest. 02/03/2026 a 08/03/2026 - PIX: CELULAR - CHAVE: (24) 99846-2202</v>
      </c>
      <c r="I3791" t="str">
        <f t="shared" si="664"/>
        <v>19/03/2026</v>
      </c>
      <c r="J3791" t="str">
        <f t="shared" si="667"/>
        <v>10/03/2026</v>
      </c>
      <c r="K3791" t="str">
        <f>("19/03/2026")</f>
        <v>19/03/2026</v>
      </c>
      <c r="L3791">
        <v>640</v>
      </c>
      <c r="M3791">
        <v>640</v>
      </c>
      <c r="N3791">
        <v>109</v>
      </c>
      <c r="O3791" t="str">
        <f>"PAGAMENTO DE ENTREGADORES"</f>
        <v>PAGAMENTO DE ENTREGADORES</v>
      </c>
      <c r="P3791">
        <v>640</v>
      </c>
      <c r="S3791" t="str">
        <f>"BANCO C6 (149)"</f>
        <v>BANCO C6 (149)</v>
      </c>
      <c r="T3791">
        <v>31571</v>
      </c>
      <c r="U3791">
        <v>34624</v>
      </c>
      <c r="V3791" t="s">
        <v>37</v>
      </c>
    </row>
    <row r="3792" spans="1:22">
      <c r="A3792" t="str">
        <f t="shared" si="665"/>
        <v>19/03/2026</v>
      </c>
      <c r="B3792" t="str">
        <f t="shared" si="662"/>
        <v>SAÍDA</v>
      </c>
      <c r="C3792" t="str">
        <f t="shared" si="663"/>
        <v>PIX</v>
      </c>
      <c r="D3792" t="str">
        <f>"34624"</f>
        <v>34624</v>
      </c>
      <c r="E3792" t="str">
        <f t="shared" si="666"/>
        <v>1</v>
      </c>
      <c r="F3792" t="str">
        <f t="shared" si="668"/>
        <v>COM</v>
      </c>
      <c r="G3792" t="str">
        <f>"RAFAEL MONTEIRO DE CASTRO VITRAL (1038)"</f>
        <v>RAFAEL MONTEIRO DE CASTRO VITRAL (1038)</v>
      </c>
      <c r="H3792" t="s">
        <v>962</v>
      </c>
      <c r="I3792" t="str">
        <f t="shared" si="664"/>
        <v>19/03/2026</v>
      </c>
      <c r="J3792" t="str">
        <f t="shared" si="667"/>
        <v>10/03/2026</v>
      </c>
      <c r="K3792">
        <v>46100</v>
      </c>
      <c r="N3792">
        <v>109</v>
      </c>
      <c r="O3792" t="s">
        <v>27</v>
      </c>
      <c r="Q3792">
        <v>640</v>
      </c>
      <c r="R3792" t="str">
        <f>"FARMÁCIA INDIANA LJ 219 (10091)"</f>
        <v>FARMÁCIA INDIANA LJ 219 (10091)</v>
      </c>
      <c r="S3792" t="s">
        <v>37</v>
      </c>
      <c r="T3792">
        <v>31571</v>
      </c>
      <c r="U3792">
        <v>34624</v>
      </c>
      <c r="V3792" t="s">
        <v>37</v>
      </c>
    </row>
    <row r="3793" spans="1:22">
      <c r="A3793" t="str">
        <f t="shared" si="665"/>
        <v>19/03/2026</v>
      </c>
      <c r="B3793" t="str">
        <f t="shared" si="662"/>
        <v>SAÍDA</v>
      </c>
      <c r="C3793" t="str">
        <f t="shared" si="663"/>
        <v>PIX</v>
      </c>
      <c r="D3793" t="str">
        <f>"34626"</f>
        <v>34626</v>
      </c>
      <c r="E3793" t="str">
        <f t="shared" si="666"/>
        <v>1</v>
      </c>
      <c r="F3793" t="str">
        <f t="shared" si="668"/>
        <v>COM</v>
      </c>
      <c r="G3793" t="str">
        <f>"REGINALDO PIRES PORTES (1009)"</f>
        <v>REGINALDO PIRES PORTES (1009)</v>
      </c>
      <c r="H3793" t="str">
        <f>"Serv.Prest. 02/03/2026 a 08/03/2026 - PIX: CPF - CHAVE: 072.968.086-08"</f>
        <v>Serv.Prest. 02/03/2026 a 08/03/2026 - PIX: CPF - CHAVE: 072.968.086-08</v>
      </c>
      <c r="I3793" t="str">
        <f t="shared" si="664"/>
        <v>19/03/2026</v>
      </c>
      <c r="J3793" t="str">
        <f t="shared" si="667"/>
        <v>10/03/2026</v>
      </c>
      <c r="K3793" t="str">
        <f>("19/03/2026")</f>
        <v>19/03/2026</v>
      </c>
      <c r="L3793">
        <v>1110</v>
      </c>
      <c r="M3793">
        <v>1110</v>
      </c>
      <c r="N3793">
        <v>109</v>
      </c>
      <c r="O3793" t="str">
        <f>"PAGAMENTO DE ENTREGADORES"</f>
        <v>PAGAMENTO DE ENTREGADORES</v>
      </c>
      <c r="P3793">
        <v>1110</v>
      </c>
      <c r="S3793" t="str">
        <f>"BANCO C6 (149)"</f>
        <v>BANCO C6 (149)</v>
      </c>
      <c r="T3793">
        <v>31572</v>
      </c>
      <c r="U3793">
        <v>34626</v>
      </c>
      <c r="V3793" t="s">
        <v>37</v>
      </c>
    </row>
    <row r="3794" spans="1:22">
      <c r="A3794" t="str">
        <f t="shared" si="665"/>
        <v>19/03/2026</v>
      </c>
      <c r="B3794" t="str">
        <f t="shared" si="662"/>
        <v>SAÍDA</v>
      </c>
      <c r="C3794" t="str">
        <f t="shared" si="663"/>
        <v>PIX</v>
      </c>
      <c r="D3794" t="str">
        <f>"34626"</f>
        <v>34626</v>
      </c>
      <c r="E3794" t="str">
        <f t="shared" si="666"/>
        <v>1</v>
      </c>
      <c r="F3794" t="str">
        <f t="shared" si="668"/>
        <v>COM</v>
      </c>
      <c r="G3794" t="str">
        <f>"REGINALDO PIRES PORTES (1009)"</f>
        <v>REGINALDO PIRES PORTES (1009)</v>
      </c>
      <c r="H3794" t="s">
        <v>971</v>
      </c>
      <c r="I3794" t="str">
        <f t="shared" si="664"/>
        <v>19/03/2026</v>
      </c>
      <c r="J3794" t="str">
        <f t="shared" si="667"/>
        <v>10/03/2026</v>
      </c>
      <c r="K3794">
        <v>46100</v>
      </c>
      <c r="N3794">
        <v>109</v>
      </c>
      <c r="O3794" t="s">
        <v>27</v>
      </c>
      <c r="Q3794">
        <v>1110</v>
      </c>
      <c r="R3794" t="str">
        <f>"FARMÁCIA INDIANA LJ 19 (10012)"</f>
        <v>FARMÁCIA INDIANA LJ 19 (10012)</v>
      </c>
      <c r="S3794" t="s">
        <v>37</v>
      </c>
      <c r="T3794">
        <v>31572</v>
      </c>
      <c r="U3794">
        <v>34626</v>
      </c>
      <c r="V3794" t="s">
        <v>37</v>
      </c>
    </row>
    <row r="3795" spans="1:22">
      <c r="A3795" t="str">
        <f t="shared" si="665"/>
        <v>19/03/2026</v>
      </c>
      <c r="B3795" t="str">
        <f t="shared" si="662"/>
        <v>SAÍDA</v>
      </c>
      <c r="C3795" t="str">
        <f t="shared" si="663"/>
        <v>PIX</v>
      </c>
      <c r="D3795" t="str">
        <f>"34629"</f>
        <v>34629</v>
      </c>
      <c r="E3795" t="str">
        <f t="shared" si="666"/>
        <v>1</v>
      </c>
      <c r="F3795" t="str">
        <f t="shared" si="668"/>
        <v>COM</v>
      </c>
      <c r="G3795" t="str">
        <f>"RENATO GEORGE GONÇALVES (191)"</f>
        <v>RENATO GEORGE GONÇALVES (191)</v>
      </c>
      <c r="H3795" t="str">
        <f>"Serv.Prest. 02/03/2026 a 08/03/2026 - PIX: CPF - CHAVE: 012.783.036-77"</f>
        <v>Serv.Prest. 02/03/2026 a 08/03/2026 - PIX: CPF - CHAVE: 012.783.036-77</v>
      </c>
      <c r="I3795" t="str">
        <f t="shared" si="664"/>
        <v>19/03/2026</v>
      </c>
      <c r="J3795" t="str">
        <f t="shared" si="667"/>
        <v>10/03/2026</v>
      </c>
      <c r="K3795" t="str">
        <f>("19/03/2026")</f>
        <v>19/03/2026</v>
      </c>
      <c r="L3795">
        <v>1020</v>
      </c>
      <c r="M3795">
        <v>1020</v>
      </c>
      <c r="N3795">
        <v>109</v>
      </c>
      <c r="O3795" t="str">
        <f>"PAGAMENTO DE ENTREGADORES"</f>
        <v>PAGAMENTO DE ENTREGADORES</v>
      </c>
      <c r="P3795">
        <v>1020</v>
      </c>
      <c r="S3795" t="str">
        <f>"BANCO C6 (149)"</f>
        <v>BANCO C6 (149)</v>
      </c>
      <c r="T3795">
        <v>31573</v>
      </c>
      <c r="U3795">
        <v>34629</v>
      </c>
      <c r="V3795" t="s">
        <v>37</v>
      </c>
    </row>
    <row r="3796" spans="1:22">
      <c r="A3796" t="str">
        <f t="shared" si="665"/>
        <v>19/03/2026</v>
      </c>
      <c r="B3796" t="str">
        <f t="shared" si="662"/>
        <v>SAÍDA</v>
      </c>
      <c r="C3796" t="str">
        <f t="shared" si="663"/>
        <v>PIX</v>
      </c>
      <c r="D3796" t="str">
        <f>"34629"</f>
        <v>34629</v>
      </c>
      <c r="E3796" t="str">
        <f t="shared" si="666"/>
        <v>1</v>
      </c>
      <c r="F3796" t="str">
        <f t="shared" si="668"/>
        <v>COM</v>
      </c>
      <c r="G3796" t="str">
        <f>"RENATO GEORGE GONÇALVES (191)"</f>
        <v>RENATO GEORGE GONÇALVES (191)</v>
      </c>
      <c r="H3796" t="s">
        <v>965</v>
      </c>
      <c r="I3796" t="str">
        <f t="shared" si="664"/>
        <v>19/03/2026</v>
      </c>
      <c r="J3796" t="str">
        <f t="shared" si="667"/>
        <v>10/03/2026</v>
      </c>
      <c r="K3796">
        <v>46100</v>
      </c>
      <c r="N3796">
        <v>109</v>
      </c>
      <c r="O3796" t="s">
        <v>27</v>
      </c>
      <c r="Q3796">
        <v>1020</v>
      </c>
      <c r="R3796" t="str">
        <f>"FARMÁCIA INDIANA LJ 06 (10006)"</f>
        <v>FARMÁCIA INDIANA LJ 06 (10006)</v>
      </c>
      <c r="S3796" t="s">
        <v>37</v>
      </c>
      <c r="T3796">
        <v>31573</v>
      </c>
      <c r="U3796">
        <v>34629</v>
      </c>
      <c r="V3796" t="s">
        <v>37</v>
      </c>
    </row>
    <row r="3797" spans="1:22">
      <c r="A3797" t="str">
        <f t="shared" si="665"/>
        <v>19/03/2026</v>
      </c>
      <c r="B3797" t="str">
        <f t="shared" si="662"/>
        <v>SAÍDA</v>
      </c>
      <c r="C3797" t="str">
        <f t="shared" si="663"/>
        <v>PIX</v>
      </c>
      <c r="D3797" t="str">
        <f>"34630"</f>
        <v>34630</v>
      </c>
      <c r="E3797" t="str">
        <f t="shared" si="666"/>
        <v>1</v>
      </c>
      <c r="F3797" t="str">
        <f t="shared" si="668"/>
        <v>COM</v>
      </c>
      <c r="G3797" t="str">
        <f>"ROGÉRIO LAURINDO BORGES (176)"</f>
        <v>ROGÉRIO LAURINDO BORGES (176)</v>
      </c>
      <c r="H3797" t="str">
        <f>"Serv.Prest. 02/03/2026 a 08/03/2026 - PIX: E-MAIL - CHAVE: roger.l.borges04@gmail.com"</f>
        <v>Serv.Prest. 02/03/2026 a 08/03/2026 - PIX: E-MAIL - CHAVE: roger.l.borges04@gmail.com</v>
      </c>
      <c r="I3797" t="str">
        <f t="shared" si="664"/>
        <v>19/03/2026</v>
      </c>
      <c r="J3797" t="str">
        <f t="shared" si="667"/>
        <v>10/03/2026</v>
      </c>
      <c r="K3797" t="str">
        <f>("19/03/2026")</f>
        <v>19/03/2026</v>
      </c>
      <c r="L3797">
        <v>864</v>
      </c>
      <c r="M3797">
        <v>864</v>
      </c>
      <c r="N3797">
        <v>109</v>
      </c>
      <c r="O3797" t="str">
        <f>"PAGAMENTO DE ENTREGADORES"</f>
        <v>PAGAMENTO DE ENTREGADORES</v>
      </c>
      <c r="P3797">
        <v>864</v>
      </c>
      <c r="S3797" t="str">
        <f>"BANCO C6 (149)"</f>
        <v>BANCO C6 (149)</v>
      </c>
      <c r="T3797">
        <v>31574</v>
      </c>
      <c r="U3797">
        <v>34630</v>
      </c>
      <c r="V3797" t="s">
        <v>37</v>
      </c>
    </row>
    <row r="3798" spans="1:22">
      <c r="A3798" t="str">
        <f t="shared" si="665"/>
        <v>19/03/2026</v>
      </c>
      <c r="B3798" t="str">
        <f t="shared" si="662"/>
        <v>SAÍDA</v>
      </c>
      <c r="C3798" t="str">
        <f t="shared" si="663"/>
        <v>PIX</v>
      </c>
      <c r="D3798" t="str">
        <f>"34630"</f>
        <v>34630</v>
      </c>
      <c r="E3798" t="str">
        <f t="shared" si="666"/>
        <v>1</v>
      </c>
      <c r="F3798" t="str">
        <f t="shared" si="668"/>
        <v>COM</v>
      </c>
      <c r="G3798" t="str">
        <f>"ROGÉRIO LAURINDO BORGES (176)"</f>
        <v>ROGÉRIO LAURINDO BORGES (176)</v>
      </c>
      <c r="H3798" t="s">
        <v>978</v>
      </c>
      <c r="I3798" t="str">
        <f t="shared" si="664"/>
        <v>19/03/2026</v>
      </c>
      <c r="J3798" t="str">
        <f t="shared" si="667"/>
        <v>10/03/2026</v>
      </c>
      <c r="K3798">
        <v>46100</v>
      </c>
      <c r="N3798">
        <v>109</v>
      </c>
      <c r="O3798" t="s">
        <v>27</v>
      </c>
      <c r="Q3798">
        <v>864</v>
      </c>
      <c r="R3798" t="str">
        <f>"FARMÁCIA INDIANA LJ 142 (10066)"</f>
        <v>FARMÁCIA INDIANA LJ 142 (10066)</v>
      </c>
      <c r="S3798" t="s">
        <v>37</v>
      </c>
      <c r="T3798">
        <v>31574</v>
      </c>
      <c r="U3798">
        <v>34630</v>
      </c>
      <c r="V3798" t="s">
        <v>37</v>
      </c>
    </row>
    <row r="3799" spans="1:22">
      <c r="A3799" t="str">
        <f t="shared" si="665"/>
        <v>19/03/2026</v>
      </c>
      <c r="B3799" t="str">
        <f t="shared" si="662"/>
        <v>SAÍDA</v>
      </c>
      <c r="C3799" t="str">
        <f t="shared" si="663"/>
        <v>PIX</v>
      </c>
      <c r="D3799" t="str">
        <f>"34631"</f>
        <v>34631</v>
      </c>
      <c r="E3799" t="str">
        <f t="shared" si="666"/>
        <v>1</v>
      </c>
      <c r="F3799" t="str">
        <f t="shared" si="668"/>
        <v>COM</v>
      </c>
      <c r="G3799" t="str">
        <f t="shared" ref="G3799:G3806" si="669">"RONY RODRIGUES SOARES (1105)"</f>
        <v>RONY RODRIGUES SOARES (1105)</v>
      </c>
      <c r="H3799" t="str">
        <f>"Serv.Prest. 02/03/2026 a 08/03/2026 - PIX: CPF - CHAVE: 700.147.856-33"</f>
        <v>Serv.Prest. 02/03/2026 a 08/03/2026 - PIX: CPF - CHAVE: 700.147.856-33</v>
      </c>
      <c r="I3799" t="str">
        <f t="shared" si="664"/>
        <v>19/03/2026</v>
      </c>
      <c r="J3799" t="str">
        <f t="shared" si="667"/>
        <v>10/03/2026</v>
      </c>
      <c r="K3799" t="str">
        <f>("19/03/2026")</f>
        <v>19/03/2026</v>
      </c>
      <c r="L3799">
        <v>265</v>
      </c>
      <c r="M3799">
        <v>265</v>
      </c>
      <c r="N3799">
        <v>109</v>
      </c>
      <c r="O3799" t="str">
        <f>"PAGAMENTO DE ENTREGADORES"</f>
        <v>PAGAMENTO DE ENTREGADORES</v>
      </c>
      <c r="P3799">
        <v>265</v>
      </c>
      <c r="S3799" t="str">
        <f>"BANCO C6 (149)"</f>
        <v>BANCO C6 (149)</v>
      </c>
      <c r="T3799">
        <v>31575</v>
      </c>
      <c r="U3799">
        <v>34631</v>
      </c>
      <c r="V3799" t="s">
        <v>37</v>
      </c>
    </row>
    <row r="3800" spans="1:22">
      <c r="A3800" t="str">
        <f t="shared" si="665"/>
        <v>19/03/2026</v>
      </c>
      <c r="B3800" t="str">
        <f t="shared" si="662"/>
        <v>SAÍDA</v>
      </c>
      <c r="C3800" t="str">
        <f t="shared" si="663"/>
        <v>PIX</v>
      </c>
      <c r="D3800" t="str">
        <f>"34631"</f>
        <v>34631</v>
      </c>
      <c r="E3800" t="str">
        <f t="shared" si="666"/>
        <v>1</v>
      </c>
      <c r="F3800" t="str">
        <f t="shared" si="668"/>
        <v>COM</v>
      </c>
      <c r="G3800" t="str">
        <f t="shared" si="669"/>
        <v>RONY RODRIGUES SOARES (1105)</v>
      </c>
      <c r="H3800" t="s">
        <v>1052</v>
      </c>
      <c r="I3800" t="str">
        <f t="shared" si="664"/>
        <v>19/03/2026</v>
      </c>
      <c r="J3800" t="str">
        <f t="shared" si="667"/>
        <v>10/03/2026</v>
      </c>
      <c r="K3800">
        <v>46100</v>
      </c>
      <c r="N3800">
        <v>109</v>
      </c>
      <c r="O3800" t="s">
        <v>27</v>
      </c>
      <c r="Q3800">
        <v>265</v>
      </c>
      <c r="R3800" t="str">
        <f>"FARMÁCIA INDIANA LJ 128 (10057)"</f>
        <v>FARMÁCIA INDIANA LJ 128 (10057)</v>
      </c>
      <c r="S3800" t="s">
        <v>37</v>
      </c>
      <c r="T3800">
        <v>31575</v>
      </c>
      <c r="U3800">
        <v>34631</v>
      </c>
      <c r="V3800" t="s">
        <v>37</v>
      </c>
    </row>
    <row r="3801" spans="1:22">
      <c r="A3801" t="str">
        <f t="shared" si="665"/>
        <v>19/03/2026</v>
      </c>
      <c r="B3801" t="str">
        <f t="shared" si="662"/>
        <v>SAÍDA</v>
      </c>
      <c r="C3801" t="str">
        <f t="shared" si="663"/>
        <v>PIX</v>
      </c>
      <c r="D3801" t="str">
        <f>"34632"</f>
        <v>34632</v>
      </c>
      <c r="E3801" t="str">
        <f t="shared" si="666"/>
        <v>1</v>
      </c>
      <c r="F3801" t="str">
        <f t="shared" si="668"/>
        <v>COM</v>
      </c>
      <c r="G3801" t="str">
        <f t="shared" si="669"/>
        <v>RONY RODRIGUES SOARES (1105)</v>
      </c>
      <c r="H3801" t="str">
        <f>"Serv.Prest. 02/03/2026 a 08/03/2026 - PIX: CPF - CHAVE: 700.147.856-33"</f>
        <v>Serv.Prest. 02/03/2026 a 08/03/2026 - PIX: CPF - CHAVE: 700.147.856-33</v>
      </c>
      <c r="I3801" t="str">
        <f t="shared" si="664"/>
        <v>19/03/2026</v>
      </c>
      <c r="J3801" t="str">
        <f t="shared" si="667"/>
        <v>10/03/2026</v>
      </c>
      <c r="K3801" t="str">
        <f>("19/03/2026")</f>
        <v>19/03/2026</v>
      </c>
      <c r="L3801">
        <v>145</v>
      </c>
      <c r="M3801">
        <v>145</v>
      </c>
      <c r="N3801">
        <v>109</v>
      </c>
      <c r="O3801" t="str">
        <f>"PAGAMENTO DE ENTREGADORES"</f>
        <v>PAGAMENTO DE ENTREGADORES</v>
      </c>
      <c r="P3801">
        <v>145</v>
      </c>
      <c r="S3801" t="str">
        <f>"BANCO C6 (149)"</f>
        <v>BANCO C6 (149)</v>
      </c>
      <c r="T3801">
        <v>31576</v>
      </c>
      <c r="U3801">
        <v>34632</v>
      </c>
      <c r="V3801" t="s">
        <v>37</v>
      </c>
    </row>
    <row r="3802" spans="1:22">
      <c r="A3802" t="str">
        <f t="shared" si="665"/>
        <v>19/03/2026</v>
      </c>
      <c r="B3802" t="str">
        <f t="shared" si="662"/>
        <v>SAÍDA</v>
      </c>
      <c r="C3802" t="str">
        <f t="shared" si="663"/>
        <v>PIX</v>
      </c>
      <c r="D3802" t="str">
        <f>"34632"</f>
        <v>34632</v>
      </c>
      <c r="E3802" t="str">
        <f t="shared" si="666"/>
        <v>1</v>
      </c>
      <c r="F3802" t="str">
        <f t="shared" si="668"/>
        <v>COM</v>
      </c>
      <c r="G3802" t="str">
        <f t="shared" si="669"/>
        <v>RONY RODRIGUES SOARES (1105)</v>
      </c>
      <c r="H3802" t="s">
        <v>1052</v>
      </c>
      <c r="I3802" t="str">
        <f t="shared" si="664"/>
        <v>19/03/2026</v>
      </c>
      <c r="J3802" t="str">
        <f t="shared" si="667"/>
        <v>10/03/2026</v>
      </c>
      <c r="K3802">
        <v>46100</v>
      </c>
      <c r="N3802">
        <v>109</v>
      </c>
      <c r="O3802" t="s">
        <v>27</v>
      </c>
      <c r="Q3802">
        <v>145</v>
      </c>
      <c r="R3802" t="str">
        <f>"FARMÁCIA INDIANA LJ 121 (10054)"</f>
        <v>FARMÁCIA INDIANA LJ 121 (10054)</v>
      </c>
      <c r="S3802" t="s">
        <v>37</v>
      </c>
      <c r="T3802">
        <v>31576</v>
      </c>
      <c r="U3802">
        <v>34632</v>
      </c>
      <c r="V3802" t="s">
        <v>37</v>
      </c>
    </row>
    <row r="3803" spans="1:22">
      <c r="A3803" t="str">
        <f t="shared" si="665"/>
        <v>19/03/2026</v>
      </c>
      <c r="B3803" t="str">
        <f t="shared" si="662"/>
        <v>SAÍDA</v>
      </c>
      <c r="C3803" t="str">
        <f t="shared" si="663"/>
        <v>PIX</v>
      </c>
      <c r="D3803" t="str">
        <f>"34633"</f>
        <v>34633</v>
      </c>
      <c r="E3803" t="str">
        <f t="shared" si="666"/>
        <v>1</v>
      </c>
      <c r="F3803" t="str">
        <f t="shared" si="668"/>
        <v>COM</v>
      </c>
      <c r="G3803" t="str">
        <f t="shared" si="669"/>
        <v>RONY RODRIGUES SOARES (1105)</v>
      </c>
      <c r="H3803" t="str">
        <f>"Serv.Prest. 02/03/2026 a 08/03/2026 - PIX: CPF - CHAVE: 700.147.856-33"</f>
        <v>Serv.Prest. 02/03/2026 a 08/03/2026 - PIX: CPF - CHAVE: 700.147.856-33</v>
      </c>
      <c r="I3803" t="str">
        <f t="shared" si="664"/>
        <v>19/03/2026</v>
      </c>
      <c r="J3803" t="str">
        <f t="shared" si="667"/>
        <v>10/03/2026</v>
      </c>
      <c r="K3803" t="str">
        <f>("19/03/2026")</f>
        <v>19/03/2026</v>
      </c>
      <c r="L3803">
        <v>295</v>
      </c>
      <c r="M3803">
        <v>295</v>
      </c>
      <c r="N3803">
        <v>109</v>
      </c>
      <c r="O3803" t="str">
        <f>"PAGAMENTO DE ENTREGADORES"</f>
        <v>PAGAMENTO DE ENTREGADORES</v>
      </c>
      <c r="P3803">
        <v>295</v>
      </c>
      <c r="S3803" t="str">
        <f>"BANCO C6 (149)"</f>
        <v>BANCO C6 (149)</v>
      </c>
      <c r="T3803">
        <v>31577</v>
      </c>
      <c r="U3803">
        <v>34633</v>
      </c>
      <c r="V3803" t="s">
        <v>37</v>
      </c>
    </row>
    <row r="3804" spans="1:22">
      <c r="A3804" t="str">
        <f t="shared" si="665"/>
        <v>19/03/2026</v>
      </c>
      <c r="B3804" t="str">
        <f t="shared" si="662"/>
        <v>SAÍDA</v>
      </c>
      <c r="C3804" t="str">
        <f t="shared" si="663"/>
        <v>PIX</v>
      </c>
      <c r="D3804" t="str">
        <f>"34633"</f>
        <v>34633</v>
      </c>
      <c r="E3804" t="str">
        <f t="shared" si="666"/>
        <v>1</v>
      </c>
      <c r="F3804" t="str">
        <f t="shared" si="668"/>
        <v>COM</v>
      </c>
      <c r="G3804" t="str">
        <f t="shared" si="669"/>
        <v>RONY RODRIGUES SOARES (1105)</v>
      </c>
      <c r="H3804" t="s">
        <v>1052</v>
      </c>
      <c r="I3804" t="str">
        <f t="shared" si="664"/>
        <v>19/03/2026</v>
      </c>
      <c r="J3804" t="str">
        <f t="shared" si="667"/>
        <v>10/03/2026</v>
      </c>
      <c r="K3804">
        <v>46100</v>
      </c>
      <c r="N3804">
        <v>109</v>
      </c>
      <c r="O3804" t="s">
        <v>27</v>
      </c>
      <c r="Q3804">
        <v>295</v>
      </c>
      <c r="R3804" t="str">
        <f>"FARMÁCIA INDIANA LJ 116 (10051)"</f>
        <v>FARMÁCIA INDIANA LJ 116 (10051)</v>
      </c>
      <c r="S3804" t="s">
        <v>37</v>
      </c>
      <c r="T3804">
        <v>31577</v>
      </c>
      <c r="U3804">
        <v>34633</v>
      </c>
      <c r="V3804" t="s">
        <v>37</v>
      </c>
    </row>
    <row r="3805" spans="1:22">
      <c r="A3805" t="str">
        <f t="shared" si="665"/>
        <v>19/03/2026</v>
      </c>
      <c r="B3805" t="str">
        <f t="shared" si="662"/>
        <v>SAÍDA</v>
      </c>
      <c r="C3805" t="str">
        <f t="shared" si="663"/>
        <v>PIX</v>
      </c>
      <c r="D3805" t="str">
        <f>"34634"</f>
        <v>34634</v>
      </c>
      <c r="E3805" t="str">
        <f t="shared" si="666"/>
        <v>1</v>
      </c>
      <c r="F3805" t="str">
        <f t="shared" si="668"/>
        <v>COM</v>
      </c>
      <c r="G3805" t="str">
        <f t="shared" si="669"/>
        <v>RONY RODRIGUES SOARES (1105)</v>
      </c>
      <c r="H3805" t="str">
        <f>"Serv.Prest. 02/03/2026 a 08/03/2026 - PIX: CPF - CHAVE: 700.147.856-33"</f>
        <v>Serv.Prest. 02/03/2026 a 08/03/2026 - PIX: CPF - CHAVE: 700.147.856-33</v>
      </c>
      <c r="I3805" t="str">
        <f t="shared" si="664"/>
        <v>19/03/2026</v>
      </c>
      <c r="J3805" t="str">
        <f t="shared" si="667"/>
        <v>10/03/2026</v>
      </c>
      <c r="K3805" t="str">
        <f>("19/03/2026")</f>
        <v>19/03/2026</v>
      </c>
      <c r="L3805">
        <v>320</v>
      </c>
      <c r="M3805">
        <v>320</v>
      </c>
      <c r="N3805">
        <v>109</v>
      </c>
      <c r="O3805" t="str">
        <f>"PAGAMENTO DE ENTREGADORES"</f>
        <v>PAGAMENTO DE ENTREGADORES</v>
      </c>
      <c r="P3805">
        <v>320</v>
      </c>
      <c r="S3805" t="str">
        <f>"BANCO C6 (149)"</f>
        <v>BANCO C6 (149)</v>
      </c>
      <c r="T3805">
        <v>31578</v>
      </c>
      <c r="U3805">
        <v>34634</v>
      </c>
      <c r="V3805" t="s">
        <v>37</v>
      </c>
    </row>
    <row r="3806" spans="1:22">
      <c r="A3806" t="str">
        <f t="shared" si="665"/>
        <v>19/03/2026</v>
      </c>
      <c r="B3806" t="str">
        <f t="shared" si="662"/>
        <v>SAÍDA</v>
      </c>
      <c r="C3806" t="str">
        <f t="shared" si="663"/>
        <v>PIX</v>
      </c>
      <c r="D3806" t="str">
        <f>"34634"</f>
        <v>34634</v>
      </c>
      <c r="E3806" t="str">
        <f t="shared" si="666"/>
        <v>1</v>
      </c>
      <c r="F3806" t="str">
        <f t="shared" si="668"/>
        <v>COM</v>
      </c>
      <c r="G3806" t="str">
        <f t="shared" si="669"/>
        <v>RONY RODRIGUES SOARES (1105)</v>
      </c>
      <c r="H3806" t="s">
        <v>1052</v>
      </c>
      <c r="I3806" t="str">
        <f t="shared" si="664"/>
        <v>19/03/2026</v>
      </c>
      <c r="J3806" t="str">
        <f t="shared" si="667"/>
        <v>10/03/2026</v>
      </c>
      <c r="K3806">
        <v>46100</v>
      </c>
      <c r="N3806">
        <v>109</v>
      </c>
      <c r="O3806" t="s">
        <v>27</v>
      </c>
      <c r="Q3806">
        <v>320</v>
      </c>
      <c r="R3806" t="str">
        <f>"FARMÁCIA INDIANA LJ 112 (10050)"</f>
        <v>FARMÁCIA INDIANA LJ 112 (10050)</v>
      </c>
      <c r="S3806" t="s">
        <v>37</v>
      </c>
      <c r="T3806">
        <v>31578</v>
      </c>
      <c r="U3806">
        <v>34634</v>
      </c>
      <c r="V3806" t="s">
        <v>37</v>
      </c>
    </row>
    <row r="3807" spans="1:22">
      <c r="A3807" t="str">
        <f t="shared" si="665"/>
        <v>19/03/2026</v>
      </c>
      <c r="B3807" t="str">
        <f t="shared" si="662"/>
        <v>SAÍDA</v>
      </c>
      <c r="C3807" t="str">
        <f t="shared" si="663"/>
        <v>PIX</v>
      </c>
      <c r="D3807" t="str">
        <f>"34635"</f>
        <v>34635</v>
      </c>
      <c r="E3807" t="str">
        <f t="shared" si="666"/>
        <v>1</v>
      </c>
      <c r="F3807" t="str">
        <f t="shared" si="668"/>
        <v>COM</v>
      </c>
      <c r="G3807" t="str">
        <f>"SAMUEL JADSON SANTANA RIBEIRO (55)"</f>
        <v>SAMUEL JADSON SANTANA RIBEIRO (55)</v>
      </c>
      <c r="H3807" t="str">
        <f>"Serv.Prest. 02/03/2026 a 08/03/2026 - PIX: CNPJ - CHAVE: 64.690.606/0001-89"</f>
        <v>Serv.Prest. 02/03/2026 a 08/03/2026 - PIX: CNPJ - CHAVE: 64.690.606/0001-89</v>
      </c>
      <c r="I3807" t="str">
        <f t="shared" si="664"/>
        <v>19/03/2026</v>
      </c>
      <c r="J3807" t="str">
        <f t="shared" si="667"/>
        <v>10/03/2026</v>
      </c>
      <c r="K3807" t="str">
        <f>("19/03/2026")</f>
        <v>19/03/2026</v>
      </c>
      <c r="L3807">
        <v>756</v>
      </c>
      <c r="M3807">
        <v>756</v>
      </c>
      <c r="N3807">
        <v>109</v>
      </c>
      <c r="O3807" t="str">
        <f>"PAGAMENTO DE ENTREGADORES"</f>
        <v>PAGAMENTO DE ENTREGADORES</v>
      </c>
      <c r="P3807">
        <v>756</v>
      </c>
      <c r="S3807" t="str">
        <f>"BANCO C6 (149)"</f>
        <v>BANCO C6 (149)</v>
      </c>
      <c r="T3807">
        <v>31579</v>
      </c>
      <c r="U3807">
        <v>34635</v>
      </c>
      <c r="V3807" t="s">
        <v>37</v>
      </c>
    </row>
    <row r="3808" spans="1:22">
      <c r="A3808" t="str">
        <f t="shared" si="665"/>
        <v>19/03/2026</v>
      </c>
      <c r="B3808" t="str">
        <f t="shared" si="662"/>
        <v>SAÍDA</v>
      </c>
      <c r="C3808" t="str">
        <f t="shared" si="663"/>
        <v>PIX</v>
      </c>
      <c r="D3808" t="str">
        <f>"34635"</f>
        <v>34635</v>
      </c>
      <c r="E3808" t="str">
        <f t="shared" si="666"/>
        <v>1</v>
      </c>
      <c r="F3808" t="str">
        <f t="shared" si="668"/>
        <v>COM</v>
      </c>
      <c r="G3808" t="str">
        <f>"SAMUEL JADSON SANTANA RIBEIRO (55)"</f>
        <v>SAMUEL JADSON SANTANA RIBEIRO (55)</v>
      </c>
      <c r="H3808" t="s">
        <v>1053</v>
      </c>
      <c r="I3808" t="str">
        <f t="shared" si="664"/>
        <v>19/03/2026</v>
      </c>
      <c r="J3808" t="str">
        <f t="shared" si="667"/>
        <v>10/03/2026</v>
      </c>
      <c r="K3808">
        <v>46100</v>
      </c>
      <c r="N3808">
        <v>109</v>
      </c>
      <c r="O3808" t="s">
        <v>27</v>
      </c>
      <c r="Q3808">
        <v>756</v>
      </c>
      <c r="R3808" t="str">
        <f>"FARMÁCIA INDIANA LJ 07 (10007)"</f>
        <v>FARMÁCIA INDIANA LJ 07 (10007)</v>
      </c>
      <c r="S3808" t="s">
        <v>37</v>
      </c>
      <c r="T3808">
        <v>31579</v>
      </c>
      <c r="U3808">
        <v>34635</v>
      </c>
      <c r="V3808" t="s">
        <v>37</v>
      </c>
    </row>
    <row r="3809" spans="1:22">
      <c r="A3809" t="str">
        <f t="shared" si="665"/>
        <v>19/03/2026</v>
      </c>
      <c r="B3809" t="str">
        <f t="shared" si="662"/>
        <v>SAÍDA</v>
      </c>
      <c r="C3809" t="str">
        <f t="shared" si="663"/>
        <v>PIX</v>
      </c>
      <c r="D3809" t="str">
        <f>"34636"</f>
        <v>34636</v>
      </c>
      <c r="E3809" t="str">
        <f t="shared" si="666"/>
        <v>1</v>
      </c>
      <c r="F3809" t="str">
        <f t="shared" si="668"/>
        <v>COM</v>
      </c>
      <c r="G3809" t="str">
        <f t="shared" ref="G3809:G3814" si="670">"SEDNEY GOMES SOARES (87)"</f>
        <v>SEDNEY GOMES SOARES (87)</v>
      </c>
      <c r="H3809" t="str">
        <f>"Serv.Prest. 02/03/2026 a 08/03/2026 - PIX: CPF - CHAVE: 048.151.276-46"</f>
        <v>Serv.Prest. 02/03/2026 a 08/03/2026 - PIX: CPF - CHAVE: 048.151.276-46</v>
      </c>
      <c r="I3809" t="str">
        <f t="shared" si="664"/>
        <v>19/03/2026</v>
      </c>
      <c r="J3809" t="str">
        <f t="shared" si="667"/>
        <v>10/03/2026</v>
      </c>
      <c r="K3809" t="str">
        <f>("19/03/2026")</f>
        <v>19/03/2026</v>
      </c>
      <c r="L3809">
        <v>246</v>
      </c>
      <c r="M3809">
        <v>246</v>
      </c>
      <c r="N3809">
        <v>109</v>
      </c>
      <c r="O3809" t="str">
        <f>"PAGAMENTO DE ENTREGADORES"</f>
        <v>PAGAMENTO DE ENTREGADORES</v>
      </c>
      <c r="P3809">
        <v>246</v>
      </c>
      <c r="S3809" t="str">
        <f>"BANCO C6 (149)"</f>
        <v>BANCO C6 (149)</v>
      </c>
      <c r="T3809">
        <v>31580</v>
      </c>
      <c r="U3809">
        <v>34636</v>
      </c>
      <c r="V3809" t="s">
        <v>37</v>
      </c>
    </row>
    <row r="3810" spans="1:22">
      <c r="A3810" t="str">
        <f t="shared" si="665"/>
        <v>19/03/2026</v>
      </c>
      <c r="B3810" t="str">
        <f t="shared" si="662"/>
        <v>SAÍDA</v>
      </c>
      <c r="C3810" t="str">
        <f t="shared" si="663"/>
        <v>PIX</v>
      </c>
      <c r="D3810" t="str">
        <f>"34636"</f>
        <v>34636</v>
      </c>
      <c r="E3810" t="str">
        <f t="shared" si="666"/>
        <v>1</v>
      </c>
      <c r="F3810" t="str">
        <f t="shared" si="668"/>
        <v>COM</v>
      </c>
      <c r="G3810" t="str">
        <f t="shared" si="670"/>
        <v>SEDNEY GOMES SOARES (87)</v>
      </c>
      <c r="H3810" t="s">
        <v>1054</v>
      </c>
      <c r="I3810" t="str">
        <f t="shared" si="664"/>
        <v>19/03/2026</v>
      </c>
      <c r="J3810" t="str">
        <f t="shared" si="667"/>
        <v>10/03/2026</v>
      </c>
      <c r="K3810">
        <v>46100</v>
      </c>
      <c r="N3810">
        <v>109</v>
      </c>
      <c r="O3810" t="s">
        <v>27</v>
      </c>
      <c r="Q3810">
        <v>246</v>
      </c>
      <c r="R3810" t="str">
        <f>"FARMÁCIA INDIANA LJ 143 (10067)"</f>
        <v>FARMÁCIA INDIANA LJ 143 (10067)</v>
      </c>
      <c r="S3810" t="s">
        <v>37</v>
      </c>
      <c r="T3810">
        <v>31580</v>
      </c>
      <c r="U3810">
        <v>34636</v>
      </c>
      <c r="V3810" t="s">
        <v>37</v>
      </c>
    </row>
    <row r="3811" spans="1:22">
      <c r="A3811" t="str">
        <f t="shared" si="665"/>
        <v>19/03/2026</v>
      </c>
      <c r="B3811" t="str">
        <f t="shared" si="662"/>
        <v>SAÍDA</v>
      </c>
      <c r="C3811" t="str">
        <f t="shared" si="663"/>
        <v>PIX</v>
      </c>
      <c r="D3811" t="str">
        <f>"34637"</f>
        <v>34637</v>
      </c>
      <c r="E3811" t="str">
        <f t="shared" si="666"/>
        <v>1</v>
      </c>
      <c r="F3811" t="str">
        <f t="shared" si="668"/>
        <v>COM</v>
      </c>
      <c r="G3811" t="str">
        <f t="shared" si="670"/>
        <v>SEDNEY GOMES SOARES (87)</v>
      </c>
      <c r="H3811" t="str">
        <f>"Serv.Prest. 02/03/2026 a 08/03/2026 - PIX: CPF - CHAVE: 048.151.276-46"</f>
        <v>Serv.Prest. 02/03/2026 a 08/03/2026 - PIX: CPF - CHAVE: 048.151.276-46</v>
      </c>
      <c r="I3811" t="str">
        <f t="shared" si="664"/>
        <v>19/03/2026</v>
      </c>
      <c r="J3811" t="str">
        <f t="shared" si="667"/>
        <v>10/03/2026</v>
      </c>
      <c r="K3811" t="str">
        <f>("19/03/2026")</f>
        <v>19/03/2026</v>
      </c>
      <c r="L3811">
        <v>246</v>
      </c>
      <c r="M3811">
        <v>246</v>
      </c>
      <c r="N3811">
        <v>109</v>
      </c>
      <c r="O3811" t="str">
        <f>"PAGAMENTO DE ENTREGADORES"</f>
        <v>PAGAMENTO DE ENTREGADORES</v>
      </c>
      <c r="P3811">
        <v>246</v>
      </c>
      <c r="S3811" t="str">
        <f>"BANCO C6 (149)"</f>
        <v>BANCO C6 (149)</v>
      </c>
      <c r="T3811">
        <v>31581</v>
      </c>
      <c r="U3811">
        <v>34637</v>
      </c>
      <c r="V3811" t="s">
        <v>37</v>
      </c>
    </row>
    <row r="3812" spans="1:22">
      <c r="A3812" t="str">
        <f t="shared" si="665"/>
        <v>19/03/2026</v>
      </c>
      <c r="B3812" t="str">
        <f t="shared" si="662"/>
        <v>SAÍDA</v>
      </c>
      <c r="C3812" t="str">
        <f t="shared" si="663"/>
        <v>PIX</v>
      </c>
      <c r="D3812" t="str">
        <f>"34637"</f>
        <v>34637</v>
      </c>
      <c r="E3812" t="str">
        <f t="shared" si="666"/>
        <v>1</v>
      </c>
      <c r="F3812" t="str">
        <f t="shared" si="668"/>
        <v>COM</v>
      </c>
      <c r="G3812" t="str">
        <f t="shared" si="670"/>
        <v>SEDNEY GOMES SOARES (87)</v>
      </c>
      <c r="H3812" t="s">
        <v>1054</v>
      </c>
      <c r="I3812" t="str">
        <f t="shared" si="664"/>
        <v>19/03/2026</v>
      </c>
      <c r="J3812" t="str">
        <f t="shared" si="667"/>
        <v>10/03/2026</v>
      </c>
      <c r="K3812">
        <v>46100</v>
      </c>
      <c r="N3812">
        <v>109</v>
      </c>
      <c r="O3812" t="s">
        <v>27</v>
      </c>
      <c r="Q3812">
        <v>246</v>
      </c>
      <c r="R3812" t="str">
        <f>"FARMÁCIA INDIANA LJ 111 (10049)"</f>
        <v>FARMÁCIA INDIANA LJ 111 (10049)</v>
      </c>
      <c r="S3812" t="s">
        <v>37</v>
      </c>
      <c r="T3812">
        <v>31581</v>
      </c>
      <c r="U3812">
        <v>34637</v>
      </c>
      <c r="V3812" t="s">
        <v>37</v>
      </c>
    </row>
    <row r="3813" spans="1:22">
      <c r="A3813" t="str">
        <f t="shared" si="665"/>
        <v>19/03/2026</v>
      </c>
      <c r="B3813" t="str">
        <f t="shared" si="662"/>
        <v>SAÍDA</v>
      </c>
      <c r="C3813" t="str">
        <f t="shared" si="663"/>
        <v>PIX</v>
      </c>
      <c r="D3813" t="str">
        <f>"34638"</f>
        <v>34638</v>
      </c>
      <c r="E3813" t="str">
        <f t="shared" si="666"/>
        <v>1</v>
      </c>
      <c r="F3813" t="str">
        <f t="shared" si="668"/>
        <v>COM</v>
      </c>
      <c r="G3813" t="str">
        <f t="shared" si="670"/>
        <v>SEDNEY GOMES SOARES (87)</v>
      </c>
      <c r="H3813" t="str">
        <f>"Serv.Prest. 02/03/2026 a 08/03/2026 - PIX: CPF - CHAVE: 048.151.276-46"</f>
        <v>Serv.Prest. 02/03/2026 a 08/03/2026 - PIX: CPF - CHAVE: 048.151.276-46</v>
      </c>
      <c r="I3813" t="str">
        <f t="shared" si="664"/>
        <v>19/03/2026</v>
      </c>
      <c r="J3813" t="str">
        <f t="shared" si="667"/>
        <v>10/03/2026</v>
      </c>
      <c r="K3813" t="str">
        <f>("19/03/2026")</f>
        <v>19/03/2026</v>
      </c>
      <c r="L3813">
        <v>258</v>
      </c>
      <c r="M3813">
        <v>258</v>
      </c>
      <c r="N3813">
        <v>109</v>
      </c>
      <c r="O3813" t="str">
        <f>"PAGAMENTO DE ENTREGADORES"</f>
        <v>PAGAMENTO DE ENTREGADORES</v>
      </c>
      <c r="P3813">
        <v>258</v>
      </c>
      <c r="S3813" t="str">
        <f>"BANCO C6 (149)"</f>
        <v>BANCO C6 (149)</v>
      </c>
      <c r="T3813">
        <v>31582</v>
      </c>
      <c r="U3813">
        <v>34638</v>
      </c>
      <c r="V3813" t="s">
        <v>37</v>
      </c>
    </row>
    <row r="3814" spans="1:22">
      <c r="A3814" t="str">
        <f t="shared" si="665"/>
        <v>19/03/2026</v>
      </c>
      <c r="B3814" t="str">
        <f t="shared" si="662"/>
        <v>SAÍDA</v>
      </c>
      <c r="C3814" t="str">
        <f t="shared" si="663"/>
        <v>PIX</v>
      </c>
      <c r="D3814" t="str">
        <f>"34638"</f>
        <v>34638</v>
      </c>
      <c r="E3814" t="str">
        <f t="shared" si="666"/>
        <v>1</v>
      </c>
      <c r="F3814" t="str">
        <f t="shared" si="668"/>
        <v>COM</v>
      </c>
      <c r="G3814" t="str">
        <f t="shared" si="670"/>
        <v>SEDNEY GOMES SOARES (87)</v>
      </c>
      <c r="H3814" t="s">
        <v>1054</v>
      </c>
      <c r="I3814" t="str">
        <f t="shared" si="664"/>
        <v>19/03/2026</v>
      </c>
      <c r="J3814" t="str">
        <f t="shared" si="667"/>
        <v>10/03/2026</v>
      </c>
      <c r="K3814">
        <v>46100</v>
      </c>
      <c r="N3814">
        <v>109</v>
      </c>
      <c r="O3814" t="s">
        <v>27</v>
      </c>
      <c r="Q3814">
        <v>258</v>
      </c>
      <c r="R3814" t="str">
        <f>"FARMÁCIA INDIANA LJ 97 (10040)"</f>
        <v>FARMÁCIA INDIANA LJ 97 (10040)</v>
      </c>
      <c r="S3814" t="s">
        <v>37</v>
      </c>
      <c r="T3814">
        <v>31582</v>
      </c>
      <c r="U3814">
        <v>34638</v>
      </c>
      <c r="V3814" t="s">
        <v>37</v>
      </c>
    </row>
    <row r="3815" spans="1:22">
      <c r="A3815" t="str">
        <f t="shared" si="665"/>
        <v>19/03/2026</v>
      </c>
      <c r="B3815" t="str">
        <f t="shared" si="662"/>
        <v>SAÍDA</v>
      </c>
      <c r="C3815" t="str">
        <f t="shared" si="663"/>
        <v>PIX</v>
      </c>
      <c r="D3815" t="str">
        <f>"34639"</f>
        <v>34639</v>
      </c>
      <c r="E3815" t="str">
        <f t="shared" si="666"/>
        <v>1</v>
      </c>
      <c r="F3815" t="str">
        <f t="shared" si="668"/>
        <v>COM</v>
      </c>
      <c r="G3815" t="str">
        <f>"SILAS ALVES DE FREITAS (35)"</f>
        <v>SILAS ALVES DE FREITAS (35)</v>
      </c>
      <c r="H3815" t="str">
        <f>"Serv.Prest. 02/03/2026 a 08/03/2026 - PIX: CPF - CHAVE: 097.855.786-74"</f>
        <v>Serv.Prest. 02/03/2026 a 08/03/2026 - PIX: CPF - CHAVE: 097.855.786-74</v>
      </c>
      <c r="I3815" t="str">
        <f t="shared" si="664"/>
        <v>19/03/2026</v>
      </c>
      <c r="J3815" t="str">
        <f t="shared" si="667"/>
        <v>10/03/2026</v>
      </c>
      <c r="K3815" t="str">
        <f>("19/03/2026")</f>
        <v>19/03/2026</v>
      </c>
      <c r="L3815">
        <v>1530</v>
      </c>
      <c r="M3815">
        <v>1530</v>
      </c>
      <c r="N3815">
        <v>109</v>
      </c>
      <c r="O3815" t="str">
        <f>"PAGAMENTO DE ENTREGADORES"</f>
        <v>PAGAMENTO DE ENTREGADORES</v>
      </c>
      <c r="P3815">
        <v>1530</v>
      </c>
      <c r="S3815" t="str">
        <f>"BANCO C6 (149)"</f>
        <v>BANCO C6 (149)</v>
      </c>
      <c r="T3815">
        <v>31583</v>
      </c>
      <c r="U3815">
        <v>34639</v>
      </c>
      <c r="V3815" t="s">
        <v>37</v>
      </c>
    </row>
    <row r="3816" spans="1:22">
      <c r="A3816" t="str">
        <f t="shared" si="665"/>
        <v>19/03/2026</v>
      </c>
      <c r="B3816" t="str">
        <f t="shared" si="662"/>
        <v>SAÍDA</v>
      </c>
      <c r="C3816" t="str">
        <f t="shared" si="663"/>
        <v>PIX</v>
      </c>
      <c r="D3816" t="str">
        <f>"34639"</f>
        <v>34639</v>
      </c>
      <c r="E3816" t="str">
        <f t="shared" si="666"/>
        <v>1</v>
      </c>
      <c r="F3816" t="str">
        <f t="shared" si="668"/>
        <v>COM</v>
      </c>
      <c r="G3816" t="str">
        <f>"SILAS ALVES DE FREITAS (35)"</f>
        <v>SILAS ALVES DE FREITAS (35)</v>
      </c>
      <c r="H3816" t="s">
        <v>915</v>
      </c>
      <c r="I3816" t="str">
        <f t="shared" si="664"/>
        <v>19/03/2026</v>
      </c>
      <c r="J3816" t="str">
        <f t="shared" si="667"/>
        <v>10/03/2026</v>
      </c>
      <c r="K3816">
        <v>46100</v>
      </c>
      <c r="N3816">
        <v>109</v>
      </c>
      <c r="O3816" t="s">
        <v>27</v>
      </c>
      <c r="Q3816">
        <v>1530</v>
      </c>
      <c r="R3816" t="str">
        <f>"FARMÁCIA INDIANA LJ 172 (10161)"</f>
        <v>FARMÁCIA INDIANA LJ 172 (10161)</v>
      </c>
      <c r="S3816" t="s">
        <v>37</v>
      </c>
      <c r="T3816">
        <v>31583</v>
      </c>
      <c r="U3816">
        <v>34639</v>
      </c>
      <c r="V3816" t="s">
        <v>37</v>
      </c>
    </row>
    <row r="3817" spans="1:22">
      <c r="A3817" t="str">
        <f t="shared" si="665"/>
        <v>19/03/2026</v>
      </c>
      <c r="B3817" t="str">
        <f t="shared" ref="B3817:B3880" si="671">"SAÍDA"</f>
        <v>SAÍDA</v>
      </c>
      <c r="C3817" t="str">
        <f t="shared" ref="C3817:C3880" si="672">"PIX"</f>
        <v>PIX</v>
      </c>
      <c r="D3817" t="str">
        <f>"34640"</f>
        <v>34640</v>
      </c>
      <c r="E3817" t="str">
        <f t="shared" si="666"/>
        <v>1</v>
      </c>
      <c r="F3817" t="str">
        <f t="shared" si="668"/>
        <v>COM</v>
      </c>
      <c r="G3817" t="str">
        <f>"THALES VIANA DOS SANTOS (63)"</f>
        <v>THALES VIANA DOS SANTOS (63)</v>
      </c>
      <c r="H3817" t="str">
        <f>"Serv.Prest. 02/03/2026 a 08/03/2026 - PIX: CELULAR - CHAVE: (33) 99880-7941"</f>
        <v>Serv.Prest. 02/03/2026 a 08/03/2026 - PIX: CELULAR - CHAVE: (33) 99880-7941</v>
      </c>
      <c r="I3817" t="str">
        <f t="shared" ref="I3817:I3880" si="673">("19/03/2026")</f>
        <v>19/03/2026</v>
      </c>
      <c r="J3817" t="str">
        <f t="shared" si="667"/>
        <v>10/03/2026</v>
      </c>
      <c r="K3817" t="str">
        <f>("19/03/2026")</f>
        <v>19/03/2026</v>
      </c>
      <c r="L3817">
        <v>348</v>
      </c>
      <c r="M3817">
        <v>348</v>
      </c>
      <c r="N3817">
        <v>109</v>
      </c>
      <c r="O3817" t="str">
        <f>"PAGAMENTO DE ENTREGADORES"</f>
        <v>PAGAMENTO DE ENTREGADORES</v>
      </c>
      <c r="P3817">
        <v>348</v>
      </c>
      <c r="S3817" t="str">
        <f>"BANCO C6 (149)"</f>
        <v>BANCO C6 (149)</v>
      </c>
      <c r="T3817">
        <v>31584</v>
      </c>
      <c r="U3817">
        <v>34640</v>
      </c>
      <c r="V3817" t="s">
        <v>37</v>
      </c>
    </row>
    <row r="3818" spans="1:22">
      <c r="A3818" t="str">
        <f t="shared" si="665"/>
        <v>19/03/2026</v>
      </c>
      <c r="B3818" t="str">
        <f t="shared" si="671"/>
        <v>SAÍDA</v>
      </c>
      <c r="C3818" t="str">
        <f t="shared" si="672"/>
        <v>PIX</v>
      </c>
      <c r="D3818" t="str">
        <f>"34640"</f>
        <v>34640</v>
      </c>
      <c r="E3818" t="str">
        <f t="shared" si="666"/>
        <v>1</v>
      </c>
      <c r="F3818" t="str">
        <f t="shared" si="668"/>
        <v>COM</v>
      </c>
      <c r="G3818" t="str">
        <f>"THALES VIANA DOS SANTOS (63)"</f>
        <v>THALES VIANA DOS SANTOS (63)</v>
      </c>
      <c r="H3818" t="s">
        <v>1055</v>
      </c>
      <c r="I3818" t="str">
        <f t="shared" si="673"/>
        <v>19/03/2026</v>
      </c>
      <c r="J3818" t="str">
        <f t="shared" si="667"/>
        <v>10/03/2026</v>
      </c>
      <c r="K3818">
        <v>46100</v>
      </c>
      <c r="N3818">
        <v>109</v>
      </c>
      <c r="O3818" t="s">
        <v>27</v>
      </c>
      <c r="Q3818">
        <v>348</v>
      </c>
      <c r="R3818" t="str">
        <f>"FARMÁCIA INDIANA LJ 07 (10007)"</f>
        <v>FARMÁCIA INDIANA LJ 07 (10007)</v>
      </c>
      <c r="S3818" t="s">
        <v>37</v>
      </c>
      <c r="T3818">
        <v>31584</v>
      </c>
      <c r="U3818">
        <v>34640</v>
      </c>
      <c r="V3818" t="s">
        <v>37</v>
      </c>
    </row>
    <row r="3819" spans="1:22">
      <c r="A3819" t="str">
        <f t="shared" si="665"/>
        <v>19/03/2026</v>
      </c>
      <c r="B3819" t="str">
        <f t="shared" si="671"/>
        <v>SAÍDA</v>
      </c>
      <c r="C3819" t="str">
        <f t="shared" si="672"/>
        <v>PIX</v>
      </c>
      <c r="D3819" t="str">
        <f>"34641"</f>
        <v>34641</v>
      </c>
      <c r="E3819" t="str">
        <f t="shared" si="666"/>
        <v>1</v>
      </c>
      <c r="F3819" t="str">
        <f t="shared" si="668"/>
        <v>COM</v>
      </c>
      <c r="G3819" t="str">
        <f>"VICTOR RILLEY CRUZ MESQUITA (1005)"</f>
        <v>VICTOR RILLEY CRUZ MESQUITA (1005)</v>
      </c>
      <c r="H3819" t="str">
        <f>"Serv.Prest. 02/03/2026 a 08/03/2026 - PIX: CELULAR - CHAVE: (33) 99973-4407"</f>
        <v>Serv.Prest. 02/03/2026 a 08/03/2026 - PIX: CELULAR - CHAVE: (33) 99973-4407</v>
      </c>
      <c r="I3819" t="str">
        <f t="shared" si="673"/>
        <v>19/03/2026</v>
      </c>
      <c r="J3819" t="str">
        <f t="shared" si="667"/>
        <v>10/03/2026</v>
      </c>
      <c r="K3819" t="str">
        <f>("19/03/2026")</f>
        <v>19/03/2026</v>
      </c>
      <c r="L3819">
        <v>492</v>
      </c>
      <c r="M3819">
        <v>492</v>
      </c>
      <c r="N3819">
        <v>109</v>
      </c>
      <c r="O3819" t="str">
        <f>"PAGAMENTO DE ENTREGADORES"</f>
        <v>PAGAMENTO DE ENTREGADORES</v>
      </c>
      <c r="P3819">
        <v>492</v>
      </c>
      <c r="S3819" t="str">
        <f>"BANCO C6 (149)"</f>
        <v>BANCO C6 (149)</v>
      </c>
      <c r="T3819">
        <v>31585</v>
      </c>
      <c r="U3819">
        <v>34641</v>
      </c>
      <c r="V3819" t="s">
        <v>37</v>
      </c>
    </row>
    <row r="3820" spans="1:22">
      <c r="A3820" t="str">
        <f t="shared" si="665"/>
        <v>19/03/2026</v>
      </c>
      <c r="B3820" t="str">
        <f t="shared" si="671"/>
        <v>SAÍDA</v>
      </c>
      <c r="C3820" t="str">
        <f t="shared" si="672"/>
        <v>PIX</v>
      </c>
      <c r="D3820" t="str">
        <f>"34641"</f>
        <v>34641</v>
      </c>
      <c r="E3820" t="str">
        <f t="shared" si="666"/>
        <v>1</v>
      </c>
      <c r="F3820" t="str">
        <f t="shared" si="668"/>
        <v>COM</v>
      </c>
      <c r="G3820" t="str">
        <f>"VICTOR RILLEY CRUZ MESQUITA (1005)"</f>
        <v>VICTOR RILLEY CRUZ MESQUITA (1005)</v>
      </c>
      <c r="H3820" t="s">
        <v>977</v>
      </c>
      <c r="I3820" t="str">
        <f t="shared" si="673"/>
        <v>19/03/2026</v>
      </c>
      <c r="J3820" t="str">
        <f t="shared" si="667"/>
        <v>10/03/2026</v>
      </c>
      <c r="K3820">
        <v>46100</v>
      </c>
      <c r="N3820">
        <v>109</v>
      </c>
      <c r="O3820" t="s">
        <v>27</v>
      </c>
      <c r="Q3820">
        <v>492</v>
      </c>
      <c r="R3820" t="str">
        <f>"FARMÁCIA INDIANA LJ 07 (10007)"</f>
        <v>FARMÁCIA INDIANA LJ 07 (10007)</v>
      </c>
      <c r="S3820" t="s">
        <v>37</v>
      </c>
      <c r="T3820">
        <v>31585</v>
      </c>
      <c r="U3820">
        <v>34641</v>
      </c>
      <c r="V3820" t="s">
        <v>37</v>
      </c>
    </row>
    <row r="3821" spans="1:22">
      <c r="A3821" t="str">
        <f t="shared" si="665"/>
        <v>19/03/2026</v>
      </c>
      <c r="B3821" t="str">
        <f t="shared" si="671"/>
        <v>SAÍDA</v>
      </c>
      <c r="C3821" t="str">
        <f t="shared" si="672"/>
        <v>PIX</v>
      </c>
      <c r="D3821" t="str">
        <f>"34642"</f>
        <v>34642</v>
      </c>
      <c r="E3821" t="str">
        <f t="shared" si="666"/>
        <v>1</v>
      </c>
      <c r="F3821" t="str">
        <f t="shared" si="668"/>
        <v>COM</v>
      </c>
      <c r="G3821" t="str">
        <f>"VINICIUS DE SOUZA ISABEL (658)"</f>
        <v>VINICIUS DE SOUZA ISABEL (658)</v>
      </c>
      <c r="H3821" t="str">
        <f>"Serv.Prest. 02/03/2026 a 08/03/2026 - PIX: CPF - CHAVE: 092.566.416-23"</f>
        <v>Serv.Prest. 02/03/2026 a 08/03/2026 - PIX: CPF - CHAVE: 092.566.416-23</v>
      </c>
      <c r="I3821" t="str">
        <f t="shared" si="673"/>
        <v>19/03/2026</v>
      </c>
      <c r="J3821" t="str">
        <f t="shared" si="667"/>
        <v>10/03/2026</v>
      </c>
      <c r="K3821" t="str">
        <f>("19/03/2026")</f>
        <v>19/03/2026</v>
      </c>
      <c r="L3821">
        <v>700</v>
      </c>
      <c r="M3821">
        <v>700</v>
      </c>
      <c r="N3821">
        <v>109</v>
      </c>
      <c r="O3821" t="str">
        <f>"PAGAMENTO DE ENTREGADORES"</f>
        <v>PAGAMENTO DE ENTREGADORES</v>
      </c>
      <c r="P3821">
        <v>700</v>
      </c>
      <c r="S3821" t="str">
        <f>"BANCO C6 (149)"</f>
        <v>BANCO C6 (149)</v>
      </c>
      <c r="T3821">
        <v>31586</v>
      </c>
      <c r="U3821">
        <v>34642</v>
      </c>
      <c r="V3821" t="s">
        <v>37</v>
      </c>
    </row>
    <row r="3822" spans="1:22">
      <c r="A3822" t="str">
        <f t="shared" si="665"/>
        <v>19/03/2026</v>
      </c>
      <c r="B3822" t="str">
        <f t="shared" si="671"/>
        <v>SAÍDA</v>
      </c>
      <c r="C3822" t="str">
        <f t="shared" si="672"/>
        <v>PIX</v>
      </c>
      <c r="D3822" t="str">
        <f>"34642"</f>
        <v>34642</v>
      </c>
      <c r="E3822" t="str">
        <f t="shared" si="666"/>
        <v>1</v>
      </c>
      <c r="F3822" t="str">
        <f t="shared" si="668"/>
        <v>COM</v>
      </c>
      <c r="G3822" t="str">
        <f>"VINICIUS DE SOUZA ISABEL (658)"</f>
        <v>VINICIUS DE SOUZA ISABEL (658)</v>
      </c>
      <c r="H3822" t="s">
        <v>1056</v>
      </c>
      <c r="I3822" t="str">
        <f t="shared" si="673"/>
        <v>19/03/2026</v>
      </c>
      <c r="J3822" t="str">
        <f t="shared" si="667"/>
        <v>10/03/2026</v>
      </c>
      <c r="K3822">
        <v>46100</v>
      </c>
      <c r="N3822">
        <v>109</v>
      </c>
      <c r="O3822" t="s">
        <v>27</v>
      </c>
      <c r="Q3822">
        <v>700</v>
      </c>
      <c r="R3822" t="str">
        <f>"FARMÁCIA INDIANA LJ 219 (10091)"</f>
        <v>FARMÁCIA INDIANA LJ 219 (10091)</v>
      </c>
      <c r="S3822" t="s">
        <v>37</v>
      </c>
      <c r="T3822">
        <v>31586</v>
      </c>
      <c r="U3822">
        <v>34642</v>
      </c>
      <c r="V3822" t="s">
        <v>37</v>
      </c>
    </row>
    <row r="3823" spans="1:22">
      <c r="A3823" t="str">
        <f t="shared" si="665"/>
        <v>19/03/2026</v>
      </c>
      <c r="B3823" t="str">
        <f t="shared" si="671"/>
        <v>SAÍDA</v>
      </c>
      <c r="C3823" t="str">
        <f t="shared" si="672"/>
        <v>PIX</v>
      </c>
      <c r="D3823" t="str">
        <f>"34643"</f>
        <v>34643</v>
      </c>
      <c r="E3823" t="str">
        <f t="shared" si="666"/>
        <v>1</v>
      </c>
      <c r="F3823" t="str">
        <f t="shared" si="668"/>
        <v>COM</v>
      </c>
      <c r="G3823" t="str">
        <f t="shared" ref="G3823:G3830" si="674">"VITOR DE SOUZA SILVA (360)"</f>
        <v>VITOR DE SOUZA SILVA (360)</v>
      </c>
      <c r="H3823" t="str">
        <f>"Serv.Prest. 02/03/2026 a 08/03/2026 - PIX: CPF - CHAVE: 130.194.566-81"</f>
        <v>Serv.Prest. 02/03/2026 a 08/03/2026 - PIX: CPF - CHAVE: 130.194.566-81</v>
      </c>
      <c r="I3823" t="str">
        <f t="shared" si="673"/>
        <v>19/03/2026</v>
      </c>
      <c r="J3823" t="str">
        <f t="shared" si="667"/>
        <v>10/03/2026</v>
      </c>
      <c r="K3823" t="str">
        <f>("19/03/2026")</f>
        <v>19/03/2026</v>
      </c>
      <c r="L3823">
        <v>230</v>
      </c>
      <c r="M3823">
        <v>230</v>
      </c>
      <c r="N3823">
        <v>109</v>
      </c>
      <c r="O3823" t="str">
        <f>"PAGAMENTO DE ENTREGADORES"</f>
        <v>PAGAMENTO DE ENTREGADORES</v>
      </c>
      <c r="P3823">
        <v>230</v>
      </c>
      <c r="S3823" t="str">
        <f>"BANCO C6 (149)"</f>
        <v>BANCO C6 (149)</v>
      </c>
      <c r="T3823">
        <v>31587</v>
      </c>
      <c r="U3823">
        <v>34643</v>
      </c>
      <c r="V3823" t="s">
        <v>37</v>
      </c>
    </row>
    <row r="3824" spans="1:22">
      <c r="A3824" t="str">
        <f t="shared" ref="A3824:A3887" si="675">("19/03/2026")</f>
        <v>19/03/2026</v>
      </c>
      <c r="B3824" t="str">
        <f t="shared" si="671"/>
        <v>SAÍDA</v>
      </c>
      <c r="C3824" t="str">
        <f t="shared" si="672"/>
        <v>PIX</v>
      </c>
      <c r="D3824" t="str">
        <f>"34643"</f>
        <v>34643</v>
      </c>
      <c r="E3824" t="str">
        <f t="shared" si="666"/>
        <v>1</v>
      </c>
      <c r="F3824" t="str">
        <f t="shared" si="668"/>
        <v>COM</v>
      </c>
      <c r="G3824" t="str">
        <f t="shared" si="674"/>
        <v>VITOR DE SOUZA SILVA (360)</v>
      </c>
      <c r="H3824" t="s">
        <v>864</v>
      </c>
      <c r="I3824" t="str">
        <f t="shared" si="673"/>
        <v>19/03/2026</v>
      </c>
      <c r="J3824" t="str">
        <f t="shared" si="667"/>
        <v>10/03/2026</v>
      </c>
      <c r="K3824">
        <v>46100</v>
      </c>
      <c r="N3824">
        <v>109</v>
      </c>
      <c r="O3824" t="s">
        <v>27</v>
      </c>
      <c r="Q3824">
        <v>230</v>
      </c>
      <c r="R3824" t="str">
        <f>"FARMÁCIA INDIANA LJ 112 (10050)"</f>
        <v>FARMÁCIA INDIANA LJ 112 (10050)</v>
      </c>
      <c r="S3824" t="s">
        <v>37</v>
      </c>
      <c r="T3824">
        <v>31587</v>
      </c>
      <c r="U3824">
        <v>34643</v>
      </c>
      <c r="V3824" t="s">
        <v>37</v>
      </c>
    </row>
    <row r="3825" spans="1:22">
      <c r="A3825" t="str">
        <f t="shared" si="675"/>
        <v>19/03/2026</v>
      </c>
      <c r="B3825" t="str">
        <f t="shared" si="671"/>
        <v>SAÍDA</v>
      </c>
      <c r="C3825" t="str">
        <f t="shared" si="672"/>
        <v>PIX</v>
      </c>
      <c r="D3825" t="str">
        <f>"34644"</f>
        <v>34644</v>
      </c>
      <c r="E3825" t="str">
        <f t="shared" si="666"/>
        <v>1</v>
      </c>
      <c r="F3825" t="str">
        <f t="shared" si="668"/>
        <v>COM</v>
      </c>
      <c r="G3825" t="str">
        <f t="shared" si="674"/>
        <v>VITOR DE SOUZA SILVA (360)</v>
      </c>
      <c r="H3825" t="str">
        <f>"Serv.Prest. 02/03/2026 a 08/03/2026 - PIX: CPF - CHAVE: 130.194.566-81"</f>
        <v>Serv.Prest. 02/03/2026 a 08/03/2026 - PIX: CPF - CHAVE: 130.194.566-81</v>
      </c>
      <c r="I3825" t="str">
        <f t="shared" si="673"/>
        <v>19/03/2026</v>
      </c>
      <c r="J3825" t="str">
        <f t="shared" si="667"/>
        <v>10/03/2026</v>
      </c>
      <c r="K3825" t="str">
        <f>("19/03/2026")</f>
        <v>19/03/2026</v>
      </c>
      <c r="L3825">
        <v>345</v>
      </c>
      <c r="M3825">
        <v>345</v>
      </c>
      <c r="N3825">
        <v>109</v>
      </c>
      <c r="O3825" t="str">
        <f>"PAGAMENTO DE ENTREGADORES"</f>
        <v>PAGAMENTO DE ENTREGADORES</v>
      </c>
      <c r="P3825">
        <v>345</v>
      </c>
      <c r="S3825" t="str">
        <f>"BANCO C6 (149)"</f>
        <v>BANCO C6 (149)</v>
      </c>
      <c r="T3825">
        <v>31588</v>
      </c>
      <c r="U3825">
        <v>34644</v>
      </c>
      <c r="V3825" t="s">
        <v>37</v>
      </c>
    </row>
    <row r="3826" spans="1:22">
      <c r="A3826" t="str">
        <f t="shared" si="675"/>
        <v>19/03/2026</v>
      </c>
      <c r="B3826" t="str">
        <f t="shared" si="671"/>
        <v>SAÍDA</v>
      </c>
      <c r="C3826" t="str">
        <f t="shared" si="672"/>
        <v>PIX</v>
      </c>
      <c r="D3826" t="str">
        <f>"34644"</f>
        <v>34644</v>
      </c>
      <c r="E3826" t="str">
        <f t="shared" si="666"/>
        <v>1</v>
      </c>
      <c r="F3826" t="str">
        <f t="shared" si="668"/>
        <v>COM</v>
      </c>
      <c r="G3826" t="str">
        <f t="shared" si="674"/>
        <v>VITOR DE SOUZA SILVA (360)</v>
      </c>
      <c r="H3826" t="s">
        <v>864</v>
      </c>
      <c r="I3826" t="str">
        <f t="shared" si="673"/>
        <v>19/03/2026</v>
      </c>
      <c r="J3826" t="str">
        <f t="shared" si="667"/>
        <v>10/03/2026</v>
      </c>
      <c r="K3826">
        <v>46100</v>
      </c>
      <c r="N3826">
        <v>109</v>
      </c>
      <c r="O3826" t="s">
        <v>27</v>
      </c>
      <c r="Q3826">
        <v>345</v>
      </c>
      <c r="R3826" t="str">
        <f>"FARMÁCIA INDIANA LJ 116 (10051)"</f>
        <v>FARMÁCIA INDIANA LJ 116 (10051)</v>
      </c>
      <c r="S3826" t="s">
        <v>37</v>
      </c>
      <c r="T3826">
        <v>31588</v>
      </c>
      <c r="U3826">
        <v>34644</v>
      </c>
      <c r="V3826" t="s">
        <v>37</v>
      </c>
    </row>
    <row r="3827" spans="1:22">
      <c r="A3827" t="str">
        <f t="shared" si="675"/>
        <v>19/03/2026</v>
      </c>
      <c r="B3827" t="str">
        <f t="shared" si="671"/>
        <v>SAÍDA</v>
      </c>
      <c r="C3827" t="str">
        <f t="shared" si="672"/>
        <v>PIX</v>
      </c>
      <c r="D3827" t="str">
        <f>"34645"</f>
        <v>34645</v>
      </c>
      <c r="E3827" t="str">
        <f t="shared" si="666"/>
        <v>1</v>
      </c>
      <c r="F3827" t="str">
        <f t="shared" si="668"/>
        <v>COM</v>
      </c>
      <c r="G3827" t="str">
        <f t="shared" si="674"/>
        <v>VITOR DE SOUZA SILVA (360)</v>
      </c>
      <c r="H3827" t="str">
        <f>"Serv.Prest. 02/03/2026 a 08/03/2026 - PIX: CPF - CHAVE: 130.194.566-81"</f>
        <v>Serv.Prest. 02/03/2026 a 08/03/2026 - PIX: CPF - CHAVE: 130.194.566-81</v>
      </c>
      <c r="I3827" t="str">
        <f t="shared" si="673"/>
        <v>19/03/2026</v>
      </c>
      <c r="J3827" t="str">
        <f t="shared" si="667"/>
        <v>10/03/2026</v>
      </c>
      <c r="K3827" t="str">
        <f>("19/03/2026")</f>
        <v>19/03/2026</v>
      </c>
      <c r="L3827">
        <v>80</v>
      </c>
      <c r="M3827">
        <v>80</v>
      </c>
      <c r="N3827">
        <v>109</v>
      </c>
      <c r="O3827" t="str">
        <f>"PAGAMENTO DE ENTREGADORES"</f>
        <v>PAGAMENTO DE ENTREGADORES</v>
      </c>
      <c r="P3827">
        <v>80</v>
      </c>
      <c r="S3827" t="str">
        <f>"BANCO C6 (149)"</f>
        <v>BANCO C6 (149)</v>
      </c>
      <c r="T3827">
        <v>31589</v>
      </c>
      <c r="U3827">
        <v>34645</v>
      </c>
      <c r="V3827" t="s">
        <v>37</v>
      </c>
    </row>
    <row r="3828" spans="1:22">
      <c r="A3828" t="str">
        <f t="shared" si="675"/>
        <v>19/03/2026</v>
      </c>
      <c r="B3828" t="str">
        <f t="shared" si="671"/>
        <v>SAÍDA</v>
      </c>
      <c r="C3828" t="str">
        <f t="shared" si="672"/>
        <v>PIX</v>
      </c>
      <c r="D3828" t="str">
        <f>"34645"</f>
        <v>34645</v>
      </c>
      <c r="E3828" t="str">
        <f t="shared" si="666"/>
        <v>1</v>
      </c>
      <c r="F3828" t="str">
        <f t="shared" si="668"/>
        <v>COM</v>
      </c>
      <c r="G3828" t="str">
        <f t="shared" si="674"/>
        <v>VITOR DE SOUZA SILVA (360)</v>
      </c>
      <c r="H3828" t="s">
        <v>864</v>
      </c>
      <c r="I3828" t="str">
        <f t="shared" si="673"/>
        <v>19/03/2026</v>
      </c>
      <c r="J3828" t="str">
        <f t="shared" si="667"/>
        <v>10/03/2026</v>
      </c>
      <c r="K3828">
        <v>46100</v>
      </c>
      <c r="N3828">
        <v>109</v>
      </c>
      <c r="O3828" t="s">
        <v>27</v>
      </c>
      <c r="Q3828">
        <v>80</v>
      </c>
      <c r="R3828" t="str">
        <f>"FARMÁCIA INDIANA LJ 121 (10054)"</f>
        <v>FARMÁCIA INDIANA LJ 121 (10054)</v>
      </c>
      <c r="S3828" t="s">
        <v>37</v>
      </c>
      <c r="T3828">
        <v>31589</v>
      </c>
      <c r="U3828">
        <v>34645</v>
      </c>
      <c r="V3828" t="s">
        <v>37</v>
      </c>
    </row>
    <row r="3829" spans="1:22">
      <c r="A3829" t="str">
        <f t="shared" si="675"/>
        <v>19/03/2026</v>
      </c>
      <c r="B3829" t="str">
        <f t="shared" si="671"/>
        <v>SAÍDA</v>
      </c>
      <c r="C3829" t="str">
        <f t="shared" si="672"/>
        <v>PIX</v>
      </c>
      <c r="D3829" t="str">
        <f>"34646"</f>
        <v>34646</v>
      </c>
      <c r="E3829" t="str">
        <f t="shared" si="666"/>
        <v>1</v>
      </c>
      <c r="F3829" t="str">
        <f t="shared" si="668"/>
        <v>COM</v>
      </c>
      <c r="G3829" t="str">
        <f t="shared" si="674"/>
        <v>VITOR DE SOUZA SILVA (360)</v>
      </c>
      <c r="H3829" t="str">
        <f>"Serv.Prest. 02/03/2026 a 08/03/2026 - PIX: CPF - CHAVE: 130.194.566-81"</f>
        <v>Serv.Prest. 02/03/2026 a 08/03/2026 - PIX: CPF - CHAVE: 130.194.566-81</v>
      </c>
      <c r="I3829" t="str">
        <f t="shared" si="673"/>
        <v>19/03/2026</v>
      </c>
      <c r="J3829" t="str">
        <f t="shared" si="667"/>
        <v>10/03/2026</v>
      </c>
      <c r="K3829" t="str">
        <f>("19/03/2026")</f>
        <v>19/03/2026</v>
      </c>
      <c r="L3829">
        <v>160</v>
      </c>
      <c r="M3829">
        <v>160</v>
      </c>
      <c r="N3829">
        <v>109</v>
      </c>
      <c r="O3829" t="str">
        <f>"PAGAMENTO DE ENTREGADORES"</f>
        <v>PAGAMENTO DE ENTREGADORES</v>
      </c>
      <c r="P3829">
        <v>160</v>
      </c>
      <c r="S3829" t="str">
        <f>"BANCO C6 (149)"</f>
        <v>BANCO C6 (149)</v>
      </c>
      <c r="T3829">
        <v>31590</v>
      </c>
      <c r="U3829">
        <v>34646</v>
      </c>
      <c r="V3829" t="s">
        <v>37</v>
      </c>
    </row>
    <row r="3830" spans="1:22">
      <c r="A3830" t="str">
        <f t="shared" si="675"/>
        <v>19/03/2026</v>
      </c>
      <c r="B3830" t="str">
        <f t="shared" si="671"/>
        <v>SAÍDA</v>
      </c>
      <c r="C3830" t="str">
        <f t="shared" si="672"/>
        <v>PIX</v>
      </c>
      <c r="D3830" t="str">
        <f>"34646"</f>
        <v>34646</v>
      </c>
      <c r="E3830" t="str">
        <f t="shared" si="666"/>
        <v>1</v>
      </c>
      <c r="F3830" t="str">
        <f t="shared" si="668"/>
        <v>COM</v>
      </c>
      <c r="G3830" t="str">
        <f t="shared" si="674"/>
        <v>VITOR DE SOUZA SILVA (360)</v>
      </c>
      <c r="H3830" t="s">
        <v>864</v>
      </c>
      <c r="I3830" t="str">
        <f t="shared" si="673"/>
        <v>19/03/2026</v>
      </c>
      <c r="J3830" t="str">
        <f t="shared" si="667"/>
        <v>10/03/2026</v>
      </c>
      <c r="K3830">
        <v>46100</v>
      </c>
      <c r="N3830">
        <v>109</v>
      </c>
      <c r="O3830" t="s">
        <v>27</v>
      </c>
      <c r="Q3830">
        <v>160</v>
      </c>
      <c r="R3830" t="str">
        <f>"FARMÁCIA INDIANA LJ 128 (10057)"</f>
        <v>FARMÁCIA INDIANA LJ 128 (10057)</v>
      </c>
      <c r="S3830" t="s">
        <v>37</v>
      </c>
      <c r="T3830">
        <v>31590</v>
      </c>
      <c r="U3830">
        <v>34646</v>
      </c>
      <c r="V3830" t="s">
        <v>37</v>
      </c>
    </row>
    <row r="3831" spans="1:22">
      <c r="A3831" t="str">
        <f t="shared" si="675"/>
        <v>19/03/2026</v>
      </c>
      <c r="B3831" t="str">
        <f t="shared" si="671"/>
        <v>SAÍDA</v>
      </c>
      <c r="C3831" t="str">
        <f t="shared" si="672"/>
        <v>PIX</v>
      </c>
      <c r="D3831" t="str">
        <f>"34647"</f>
        <v>34647</v>
      </c>
      <c r="E3831" t="str">
        <f t="shared" ref="E3831:E3894" si="676">"1"</f>
        <v>1</v>
      </c>
      <c r="F3831" t="str">
        <f t="shared" si="668"/>
        <v>COM</v>
      </c>
      <c r="G3831" t="str">
        <f>"WAGNER DOS SANTOS LIMA (31)"</f>
        <v>WAGNER DOS SANTOS LIMA (31)</v>
      </c>
      <c r="H3831" t="str">
        <f>"Serv.Prest. 02/03/2026 a 08/03/2026 - PIX: CELULAR - CHAVE: (33) 99118-9032"</f>
        <v>Serv.Prest. 02/03/2026 a 08/03/2026 - PIX: CELULAR - CHAVE: (33) 99118-9032</v>
      </c>
      <c r="I3831" t="str">
        <f t="shared" si="673"/>
        <v>19/03/2026</v>
      </c>
      <c r="J3831" t="str">
        <f t="shared" si="667"/>
        <v>10/03/2026</v>
      </c>
      <c r="K3831" t="str">
        <f>("19/03/2026")</f>
        <v>19/03/2026</v>
      </c>
      <c r="L3831">
        <v>1040</v>
      </c>
      <c r="M3831">
        <v>1040</v>
      </c>
      <c r="N3831">
        <v>109</v>
      </c>
      <c r="O3831" t="str">
        <f>"PAGAMENTO DE ENTREGADORES"</f>
        <v>PAGAMENTO DE ENTREGADORES</v>
      </c>
      <c r="P3831">
        <v>1040</v>
      </c>
      <c r="S3831" t="str">
        <f>"BANCO C6 (149)"</f>
        <v>BANCO C6 (149)</v>
      </c>
      <c r="T3831">
        <v>31591</v>
      </c>
      <c r="U3831">
        <v>34647</v>
      </c>
      <c r="V3831" t="s">
        <v>37</v>
      </c>
    </row>
    <row r="3832" spans="1:22">
      <c r="A3832" t="str">
        <f t="shared" si="675"/>
        <v>19/03/2026</v>
      </c>
      <c r="B3832" t="str">
        <f t="shared" si="671"/>
        <v>SAÍDA</v>
      </c>
      <c r="C3832" t="str">
        <f t="shared" si="672"/>
        <v>PIX</v>
      </c>
      <c r="D3832" t="str">
        <f>"34647"</f>
        <v>34647</v>
      </c>
      <c r="E3832" t="str">
        <f t="shared" si="676"/>
        <v>1</v>
      </c>
      <c r="F3832" t="str">
        <f t="shared" si="668"/>
        <v>COM</v>
      </c>
      <c r="G3832" t="str">
        <f>"WAGNER DOS SANTOS LIMA (31)"</f>
        <v>WAGNER DOS SANTOS LIMA (31)</v>
      </c>
      <c r="H3832" t="s">
        <v>970</v>
      </c>
      <c r="I3832" t="str">
        <f t="shared" si="673"/>
        <v>19/03/2026</v>
      </c>
      <c r="J3832" t="str">
        <f t="shared" si="667"/>
        <v>10/03/2026</v>
      </c>
      <c r="K3832">
        <v>46100</v>
      </c>
      <c r="N3832">
        <v>109</v>
      </c>
      <c r="O3832" t="s">
        <v>27</v>
      </c>
      <c r="Q3832">
        <v>1040</v>
      </c>
      <c r="R3832" t="str">
        <f>"FARMÁCIA INDIANA LJ 61 (10027)"</f>
        <v>FARMÁCIA INDIANA LJ 61 (10027)</v>
      </c>
      <c r="S3832" t="s">
        <v>37</v>
      </c>
      <c r="T3832">
        <v>31591</v>
      </c>
      <c r="U3832">
        <v>34647</v>
      </c>
      <c r="V3832" t="s">
        <v>37</v>
      </c>
    </row>
    <row r="3833" spans="1:22">
      <c r="A3833" t="str">
        <f t="shared" si="675"/>
        <v>19/03/2026</v>
      </c>
      <c r="B3833" t="str">
        <f t="shared" si="671"/>
        <v>SAÍDA</v>
      </c>
      <c r="C3833" t="str">
        <f t="shared" si="672"/>
        <v>PIX</v>
      </c>
      <c r="D3833" t="str">
        <f>"34648"</f>
        <v>34648</v>
      </c>
      <c r="E3833" t="str">
        <f t="shared" si="676"/>
        <v>1</v>
      </c>
      <c r="F3833" t="str">
        <f t="shared" si="668"/>
        <v>COM</v>
      </c>
      <c r="G3833" t="str">
        <f>"WEIGNE SENA CARDOSO (53)"</f>
        <v>WEIGNE SENA CARDOSO (53)</v>
      </c>
      <c r="H3833" t="str">
        <f>"Serv.Prest. 02/03/2026 a 08/03/2026 - PIX: CPF - CHAVE: 097.245.586-81"</f>
        <v>Serv.Prest. 02/03/2026 a 08/03/2026 - PIX: CPF - CHAVE: 097.245.586-81</v>
      </c>
      <c r="I3833" t="str">
        <f t="shared" si="673"/>
        <v>19/03/2026</v>
      </c>
      <c r="J3833" t="str">
        <f t="shared" si="667"/>
        <v>10/03/2026</v>
      </c>
      <c r="K3833" t="str">
        <f>("19/03/2026")</f>
        <v>19/03/2026</v>
      </c>
      <c r="L3833">
        <v>61</v>
      </c>
      <c r="M3833">
        <v>61</v>
      </c>
      <c r="N3833">
        <v>109</v>
      </c>
      <c r="O3833" t="str">
        <f>"PAGAMENTO DE ENTREGADORES"</f>
        <v>PAGAMENTO DE ENTREGADORES</v>
      </c>
      <c r="P3833">
        <v>61</v>
      </c>
      <c r="S3833" t="str">
        <f>"BANCO C6 (149)"</f>
        <v>BANCO C6 (149)</v>
      </c>
      <c r="T3833">
        <v>31592</v>
      </c>
      <c r="U3833">
        <v>34648</v>
      </c>
      <c r="V3833" t="s">
        <v>37</v>
      </c>
    </row>
    <row r="3834" spans="1:22">
      <c r="A3834" t="str">
        <f t="shared" si="675"/>
        <v>19/03/2026</v>
      </c>
      <c r="B3834" t="str">
        <f t="shared" si="671"/>
        <v>SAÍDA</v>
      </c>
      <c r="C3834" t="str">
        <f t="shared" si="672"/>
        <v>PIX</v>
      </c>
      <c r="D3834" t="str">
        <f>"34648"</f>
        <v>34648</v>
      </c>
      <c r="E3834" t="str">
        <f t="shared" si="676"/>
        <v>1</v>
      </c>
      <c r="F3834" t="str">
        <f t="shared" si="668"/>
        <v>COM</v>
      </c>
      <c r="G3834" t="str">
        <f>"WEIGNE SENA CARDOSO (53)"</f>
        <v>WEIGNE SENA CARDOSO (53)</v>
      </c>
      <c r="H3834" t="s">
        <v>837</v>
      </c>
      <c r="I3834" t="str">
        <f t="shared" si="673"/>
        <v>19/03/2026</v>
      </c>
      <c r="J3834" t="str">
        <f t="shared" si="667"/>
        <v>10/03/2026</v>
      </c>
      <c r="K3834">
        <v>46100</v>
      </c>
      <c r="N3834">
        <v>109</v>
      </c>
      <c r="O3834" t="s">
        <v>27</v>
      </c>
      <c r="Q3834">
        <v>61</v>
      </c>
      <c r="R3834" t="str">
        <f>"FARMÁCIA INDIANA LJ 07 (10007)"</f>
        <v>FARMÁCIA INDIANA LJ 07 (10007)</v>
      </c>
      <c r="S3834" t="s">
        <v>37</v>
      </c>
      <c r="T3834">
        <v>31592</v>
      </c>
      <c r="U3834">
        <v>34648</v>
      </c>
      <c r="V3834" t="s">
        <v>37</v>
      </c>
    </row>
    <row r="3835" spans="1:22">
      <c r="A3835" t="str">
        <f t="shared" si="675"/>
        <v>19/03/2026</v>
      </c>
      <c r="B3835" t="str">
        <f t="shared" si="671"/>
        <v>SAÍDA</v>
      </c>
      <c r="C3835" t="str">
        <f t="shared" si="672"/>
        <v>PIX</v>
      </c>
      <c r="D3835" t="str">
        <f>"34649"</f>
        <v>34649</v>
      </c>
      <c r="E3835" t="str">
        <f t="shared" si="676"/>
        <v>1</v>
      </c>
      <c r="F3835" t="str">
        <f t="shared" si="668"/>
        <v>COM</v>
      </c>
      <c r="G3835" t="str">
        <f>"WELLINGTON DOS SANTOS ALVES (438)"</f>
        <v>WELLINGTON DOS SANTOS ALVES (438)</v>
      </c>
      <c r="H3835" t="str">
        <f>"Serv.Prest. 02/03/2026 a 08/03/2026 - PIX: CELULAR - CHAVE: (32) 99800-1691"</f>
        <v>Serv.Prest. 02/03/2026 a 08/03/2026 - PIX: CELULAR - CHAVE: (32) 99800-1691</v>
      </c>
      <c r="I3835" t="str">
        <f t="shared" si="673"/>
        <v>19/03/2026</v>
      </c>
      <c r="J3835" t="str">
        <f t="shared" ref="J3835:J3852" si="677">("10/03/2026")</f>
        <v>10/03/2026</v>
      </c>
      <c r="K3835" t="str">
        <f>("19/03/2026")</f>
        <v>19/03/2026</v>
      </c>
      <c r="L3835">
        <v>620.79999999999995</v>
      </c>
      <c r="M3835">
        <v>620.79999999999995</v>
      </c>
      <c r="N3835">
        <v>109</v>
      </c>
      <c r="O3835" t="str">
        <f>"PAGAMENTO DE ENTREGADORES"</f>
        <v>PAGAMENTO DE ENTREGADORES</v>
      </c>
      <c r="P3835">
        <v>620.79999999999995</v>
      </c>
      <c r="S3835" t="str">
        <f>"BANCO C6 (149)"</f>
        <v>BANCO C6 (149)</v>
      </c>
      <c r="T3835">
        <v>31593</v>
      </c>
      <c r="U3835">
        <v>34649</v>
      </c>
      <c r="V3835" t="s">
        <v>37</v>
      </c>
    </row>
    <row r="3836" spans="1:22">
      <c r="A3836" t="str">
        <f t="shared" si="675"/>
        <v>19/03/2026</v>
      </c>
      <c r="B3836" t="str">
        <f t="shared" si="671"/>
        <v>SAÍDA</v>
      </c>
      <c r="C3836" t="str">
        <f t="shared" si="672"/>
        <v>PIX</v>
      </c>
      <c r="D3836" t="str">
        <f>"34649"</f>
        <v>34649</v>
      </c>
      <c r="E3836" t="str">
        <f t="shared" si="676"/>
        <v>1</v>
      </c>
      <c r="F3836" t="str">
        <f t="shared" si="668"/>
        <v>COM</v>
      </c>
      <c r="G3836" t="str">
        <f>"WELLINGTON DOS SANTOS ALVES (438)"</f>
        <v>WELLINGTON DOS SANTOS ALVES (438)</v>
      </c>
      <c r="H3836" t="s">
        <v>865</v>
      </c>
      <c r="I3836" t="str">
        <f t="shared" si="673"/>
        <v>19/03/2026</v>
      </c>
      <c r="J3836" t="str">
        <f t="shared" si="677"/>
        <v>10/03/2026</v>
      </c>
      <c r="K3836">
        <v>46100</v>
      </c>
      <c r="N3836">
        <v>109</v>
      </c>
      <c r="O3836" t="s">
        <v>27</v>
      </c>
      <c r="Q3836">
        <v>620.79999999999995</v>
      </c>
      <c r="R3836" t="str">
        <f>"FARMÁCIA INDIANA LJ 121 (10054)"</f>
        <v>FARMÁCIA INDIANA LJ 121 (10054)</v>
      </c>
      <c r="S3836" t="s">
        <v>37</v>
      </c>
      <c r="T3836">
        <v>31593</v>
      </c>
      <c r="U3836">
        <v>34649</v>
      </c>
      <c r="V3836" t="s">
        <v>37</v>
      </c>
    </row>
    <row r="3837" spans="1:22">
      <c r="A3837" t="str">
        <f t="shared" si="675"/>
        <v>19/03/2026</v>
      </c>
      <c r="B3837" t="str">
        <f t="shared" si="671"/>
        <v>SAÍDA</v>
      </c>
      <c r="C3837" t="str">
        <f t="shared" si="672"/>
        <v>PIX</v>
      </c>
      <c r="D3837" t="str">
        <f>"34650"</f>
        <v>34650</v>
      </c>
      <c r="E3837" t="str">
        <f t="shared" si="676"/>
        <v>1</v>
      </c>
      <c r="F3837" t="str">
        <f t="shared" si="668"/>
        <v>COM</v>
      </c>
      <c r="G3837" t="str">
        <f>"WELVES DA SILVA RAMOS (194)"</f>
        <v>WELVES DA SILVA RAMOS (194)</v>
      </c>
      <c r="H3837" t="str">
        <f>"Serv.Prest. 02/03/2026 a 08/03/2026 - PIX: CPF - CHAVE: 700.454.836-80"</f>
        <v>Serv.Prest. 02/03/2026 a 08/03/2026 - PIX: CPF - CHAVE: 700.454.836-80</v>
      </c>
      <c r="I3837" t="str">
        <f t="shared" si="673"/>
        <v>19/03/2026</v>
      </c>
      <c r="J3837" t="str">
        <f t="shared" si="677"/>
        <v>10/03/2026</v>
      </c>
      <c r="K3837" t="str">
        <f>("19/03/2026")</f>
        <v>19/03/2026</v>
      </c>
      <c r="L3837">
        <v>1080</v>
      </c>
      <c r="M3837">
        <v>1080</v>
      </c>
      <c r="N3837">
        <v>109</v>
      </c>
      <c r="O3837" t="str">
        <f>"PAGAMENTO DE ENTREGADORES"</f>
        <v>PAGAMENTO DE ENTREGADORES</v>
      </c>
      <c r="P3837">
        <v>1080</v>
      </c>
      <c r="S3837" t="str">
        <f>"BANCO C6 (149)"</f>
        <v>BANCO C6 (149)</v>
      </c>
      <c r="T3837">
        <v>31594</v>
      </c>
      <c r="U3837">
        <v>34650</v>
      </c>
      <c r="V3837" t="s">
        <v>37</v>
      </c>
    </row>
    <row r="3838" spans="1:22">
      <c r="A3838" t="str">
        <f t="shared" si="675"/>
        <v>19/03/2026</v>
      </c>
      <c r="B3838" t="str">
        <f t="shared" si="671"/>
        <v>SAÍDA</v>
      </c>
      <c r="C3838" t="str">
        <f t="shared" si="672"/>
        <v>PIX</v>
      </c>
      <c r="D3838" t="str">
        <f>"34650"</f>
        <v>34650</v>
      </c>
      <c r="E3838" t="str">
        <f t="shared" si="676"/>
        <v>1</v>
      </c>
      <c r="F3838" t="str">
        <f t="shared" si="668"/>
        <v>COM</v>
      </c>
      <c r="G3838" t="str">
        <f>"WELVES DA SILVA RAMOS (194)"</f>
        <v>WELVES DA SILVA RAMOS (194)</v>
      </c>
      <c r="H3838" t="s">
        <v>1057</v>
      </c>
      <c r="I3838" t="str">
        <f t="shared" si="673"/>
        <v>19/03/2026</v>
      </c>
      <c r="J3838" t="str">
        <f t="shared" si="677"/>
        <v>10/03/2026</v>
      </c>
      <c r="K3838">
        <v>46100</v>
      </c>
      <c r="N3838">
        <v>109</v>
      </c>
      <c r="O3838" t="s">
        <v>27</v>
      </c>
      <c r="Q3838">
        <v>1080</v>
      </c>
      <c r="R3838" t="str">
        <f>"FARMÁCIA INDIANA LJ 06 (10006)"</f>
        <v>FARMÁCIA INDIANA LJ 06 (10006)</v>
      </c>
      <c r="S3838" t="s">
        <v>37</v>
      </c>
      <c r="T3838">
        <v>31594</v>
      </c>
      <c r="U3838">
        <v>34650</v>
      </c>
      <c r="V3838" t="s">
        <v>37</v>
      </c>
    </row>
    <row r="3839" spans="1:22">
      <c r="A3839" t="str">
        <f t="shared" si="675"/>
        <v>19/03/2026</v>
      </c>
      <c r="B3839" t="str">
        <f t="shared" si="671"/>
        <v>SAÍDA</v>
      </c>
      <c r="C3839" t="str">
        <f t="shared" si="672"/>
        <v>PIX</v>
      </c>
      <c r="D3839" t="str">
        <f>"34651"</f>
        <v>34651</v>
      </c>
      <c r="E3839" t="str">
        <f t="shared" si="676"/>
        <v>1</v>
      </c>
      <c r="F3839" t="str">
        <f t="shared" si="668"/>
        <v>COM</v>
      </c>
      <c r="G3839" t="str">
        <f>"WEMERSON FELIPE LOPES (187)"</f>
        <v>WEMERSON FELIPE LOPES (187)</v>
      </c>
      <c r="H3839" t="str">
        <f>"Serv.Prest. 02/03/2026 a 08/03/2026 - PIX: CELULAR - CHAVE: (33) 98806-5772"</f>
        <v>Serv.Prest. 02/03/2026 a 08/03/2026 - PIX: CELULAR - CHAVE: (33) 98806-5772</v>
      </c>
      <c r="I3839" t="str">
        <f t="shared" si="673"/>
        <v>19/03/2026</v>
      </c>
      <c r="J3839" t="str">
        <f t="shared" si="677"/>
        <v>10/03/2026</v>
      </c>
      <c r="K3839" t="str">
        <f>("19/03/2026")</f>
        <v>19/03/2026</v>
      </c>
      <c r="L3839">
        <v>1000</v>
      </c>
      <c r="M3839">
        <v>1000</v>
      </c>
      <c r="N3839">
        <v>109</v>
      </c>
      <c r="O3839" t="str">
        <f>"PAGAMENTO DE ENTREGADORES"</f>
        <v>PAGAMENTO DE ENTREGADORES</v>
      </c>
      <c r="P3839">
        <v>1000</v>
      </c>
      <c r="S3839" t="str">
        <f>"BANCO C6 (149)"</f>
        <v>BANCO C6 (149)</v>
      </c>
      <c r="T3839">
        <v>31595</v>
      </c>
      <c r="U3839">
        <v>34651</v>
      </c>
      <c r="V3839" t="s">
        <v>37</v>
      </c>
    </row>
    <row r="3840" spans="1:22">
      <c r="A3840" t="str">
        <f t="shared" si="675"/>
        <v>19/03/2026</v>
      </c>
      <c r="B3840" t="str">
        <f t="shared" si="671"/>
        <v>SAÍDA</v>
      </c>
      <c r="C3840" t="str">
        <f t="shared" si="672"/>
        <v>PIX</v>
      </c>
      <c r="D3840" t="str">
        <f>"34651"</f>
        <v>34651</v>
      </c>
      <c r="E3840" t="str">
        <f t="shared" si="676"/>
        <v>1</v>
      </c>
      <c r="F3840" t="str">
        <f t="shared" si="668"/>
        <v>COM</v>
      </c>
      <c r="G3840" t="str">
        <f>"WEMERSON FELIPE LOPES (187)"</f>
        <v>WEMERSON FELIPE LOPES (187)</v>
      </c>
      <c r="H3840" t="s">
        <v>866</v>
      </c>
      <c r="I3840" t="str">
        <f t="shared" si="673"/>
        <v>19/03/2026</v>
      </c>
      <c r="J3840" t="str">
        <f t="shared" si="677"/>
        <v>10/03/2026</v>
      </c>
      <c r="K3840">
        <v>46100</v>
      </c>
      <c r="N3840">
        <v>109</v>
      </c>
      <c r="O3840" t="s">
        <v>27</v>
      </c>
      <c r="Q3840">
        <v>1000</v>
      </c>
      <c r="R3840" t="str">
        <f>"FARMÁCIA INDIANA LJ 06 (10006)"</f>
        <v>FARMÁCIA INDIANA LJ 06 (10006)</v>
      </c>
      <c r="S3840" t="s">
        <v>37</v>
      </c>
      <c r="T3840">
        <v>31595</v>
      </c>
      <c r="U3840">
        <v>34651</v>
      </c>
      <c r="V3840" t="s">
        <v>37</v>
      </c>
    </row>
    <row r="3841" spans="1:22">
      <c r="A3841" t="str">
        <f t="shared" si="675"/>
        <v>19/03/2026</v>
      </c>
      <c r="B3841" t="str">
        <f t="shared" si="671"/>
        <v>SAÍDA</v>
      </c>
      <c r="C3841" t="str">
        <f t="shared" si="672"/>
        <v>PIX</v>
      </c>
      <c r="D3841" t="str">
        <f>"34652"</f>
        <v>34652</v>
      </c>
      <c r="E3841" t="str">
        <f t="shared" si="676"/>
        <v>1</v>
      </c>
      <c r="F3841" t="str">
        <f t="shared" si="668"/>
        <v>COM</v>
      </c>
      <c r="G3841" t="str">
        <f>"WEMERSON MOREIRA PESSOA (75)"</f>
        <v>WEMERSON MOREIRA PESSOA (75)</v>
      </c>
      <c r="H3841" t="str">
        <f>"Serv.Prest. 02/03/2026 a 08/03/2026 - PIX: CELULAR - CHAVE: (33) 99996-3668"</f>
        <v>Serv.Prest. 02/03/2026 a 08/03/2026 - PIX: CELULAR - CHAVE: (33) 99996-3668</v>
      </c>
      <c r="I3841" t="str">
        <f t="shared" si="673"/>
        <v>19/03/2026</v>
      </c>
      <c r="J3841" t="str">
        <f t="shared" si="677"/>
        <v>10/03/2026</v>
      </c>
      <c r="K3841" t="str">
        <f>("19/03/2026")</f>
        <v>19/03/2026</v>
      </c>
      <c r="L3841">
        <v>366</v>
      </c>
      <c r="M3841">
        <v>366</v>
      </c>
      <c r="N3841">
        <v>109</v>
      </c>
      <c r="O3841" t="str">
        <f>"PAGAMENTO DE ENTREGADORES"</f>
        <v>PAGAMENTO DE ENTREGADORES</v>
      </c>
      <c r="P3841">
        <v>366</v>
      </c>
      <c r="S3841" t="str">
        <f>"BANCO C6 (149)"</f>
        <v>BANCO C6 (149)</v>
      </c>
      <c r="T3841">
        <v>31596</v>
      </c>
      <c r="U3841">
        <v>34652</v>
      </c>
      <c r="V3841" t="s">
        <v>37</v>
      </c>
    </row>
    <row r="3842" spans="1:22">
      <c r="A3842" t="str">
        <f t="shared" si="675"/>
        <v>19/03/2026</v>
      </c>
      <c r="B3842" t="str">
        <f t="shared" si="671"/>
        <v>SAÍDA</v>
      </c>
      <c r="C3842" t="str">
        <f t="shared" si="672"/>
        <v>PIX</v>
      </c>
      <c r="D3842" t="str">
        <f>"34652"</f>
        <v>34652</v>
      </c>
      <c r="E3842" t="str">
        <f t="shared" si="676"/>
        <v>1</v>
      </c>
      <c r="F3842" t="str">
        <f t="shared" ref="F3842:F3905" si="678">"COM"</f>
        <v>COM</v>
      </c>
      <c r="G3842" t="str">
        <f>"WEMERSON MOREIRA PESSOA (75)"</f>
        <v>WEMERSON MOREIRA PESSOA (75)</v>
      </c>
      <c r="H3842" t="s">
        <v>994</v>
      </c>
      <c r="I3842" t="str">
        <f t="shared" si="673"/>
        <v>19/03/2026</v>
      </c>
      <c r="J3842" t="str">
        <f t="shared" si="677"/>
        <v>10/03/2026</v>
      </c>
      <c r="K3842">
        <v>46100</v>
      </c>
      <c r="N3842">
        <v>109</v>
      </c>
      <c r="O3842" t="s">
        <v>27</v>
      </c>
      <c r="Q3842">
        <v>366</v>
      </c>
      <c r="R3842" t="str">
        <f>"FARMÁCIA INDIANA LJ 07 (10007)"</f>
        <v>FARMÁCIA INDIANA LJ 07 (10007)</v>
      </c>
      <c r="S3842" t="s">
        <v>37</v>
      </c>
      <c r="T3842">
        <v>31596</v>
      </c>
      <c r="U3842">
        <v>34652</v>
      </c>
      <c r="V3842" t="s">
        <v>37</v>
      </c>
    </row>
    <row r="3843" spans="1:22">
      <c r="A3843" t="str">
        <f t="shared" si="675"/>
        <v>19/03/2026</v>
      </c>
      <c r="B3843" t="str">
        <f t="shared" si="671"/>
        <v>SAÍDA</v>
      </c>
      <c r="C3843" t="str">
        <f t="shared" si="672"/>
        <v>PIX</v>
      </c>
      <c r="D3843" t="str">
        <f>"34653"</f>
        <v>34653</v>
      </c>
      <c r="E3843" t="str">
        <f t="shared" si="676"/>
        <v>1</v>
      </c>
      <c r="F3843" t="str">
        <f t="shared" si="678"/>
        <v>COM</v>
      </c>
      <c r="G3843" t="str">
        <f>"WENDEL LIMA DE SOUZA (112)"</f>
        <v>WENDEL LIMA DE SOUZA (112)</v>
      </c>
      <c r="H3843" t="str">
        <f>"Serv.Prest. 02/03/2026 a 08/03/2026 - PIX: CELULAR - CHAVE: (31) 99506-2265"</f>
        <v>Serv.Prest. 02/03/2026 a 08/03/2026 - PIX: CELULAR - CHAVE: (31) 99506-2265</v>
      </c>
      <c r="I3843" t="str">
        <f t="shared" si="673"/>
        <v>19/03/2026</v>
      </c>
      <c r="J3843" t="str">
        <f t="shared" si="677"/>
        <v>10/03/2026</v>
      </c>
      <c r="K3843" t="str">
        <f>("19/03/2026")</f>
        <v>19/03/2026</v>
      </c>
      <c r="L3843">
        <v>1234</v>
      </c>
      <c r="M3843">
        <v>1234</v>
      </c>
      <c r="N3843">
        <v>109</v>
      </c>
      <c r="O3843" t="str">
        <f>"PAGAMENTO DE ENTREGADORES"</f>
        <v>PAGAMENTO DE ENTREGADORES</v>
      </c>
      <c r="P3843">
        <v>1234</v>
      </c>
      <c r="S3843" t="str">
        <f>"BANCO C6 (149)"</f>
        <v>BANCO C6 (149)</v>
      </c>
      <c r="T3843">
        <v>31597</v>
      </c>
      <c r="U3843">
        <v>34653</v>
      </c>
      <c r="V3843" t="s">
        <v>37</v>
      </c>
    </row>
    <row r="3844" spans="1:22">
      <c r="A3844" t="str">
        <f t="shared" si="675"/>
        <v>19/03/2026</v>
      </c>
      <c r="B3844" t="str">
        <f t="shared" si="671"/>
        <v>SAÍDA</v>
      </c>
      <c r="C3844" t="str">
        <f t="shared" si="672"/>
        <v>PIX</v>
      </c>
      <c r="D3844" t="str">
        <f>"34653"</f>
        <v>34653</v>
      </c>
      <c r="E3844" t="str">
        <f t="shared" si="676"/>
        <v>1</v>
      </c>
      <c r="F3844" t="str">
        <f t="shared" si="678"/>
        <v>COM</v>
      </c>
      <c r="G3844" t="str">
        <f>"WENDEL LIMA DE SOUZA (112)"</f>
        <v>WENDEL LIMA DE SOUZA (112)</v>
      </c>
      <c r="H3844" t="s">
        <v>867</v>
      </c>
      <c r="I3844" t="str">
        <f t="shared" si="673"/>
        <v>19/03/2026</v>
      </c>
      <c r="J3844" t="str">
        <f t="shared" si="677"/>
        <v>10/03/2026</v>
      </c>
      <c r="K3844">
        <v>46100</v>
      </c>
      <c r="N3844">
        <v>109</v>
      </c>
      <c r="O3844" t="s">
        <v>27</v>
      </c>
      <c r="Q3844">
        <v>1234</v>
      </c>
      <c r="R3844" t="str">
        <f>"FARMÁCIA INDIANA LJ 11 (10008)"</f>
        <v>FARMÁCIA INDIANA LJ 11 (10008)</v>
      </c>
      <c r="S3844" t="s">
        <v>37</v>
      </c>
      <c r="T3844">
        <v>31597</v>
      </c>
      <c r="U3844">
        <v>34653</v>
      </c>
      <c r="V3844" t="s">
        <v>37</v>
      </c>
    </row>
    <row r="3845" spans="1:22">
      <c r="A3845" t="str">
        <f t="shared" si="675"/>
        <v>19/03/2026</v>
      </c>
      <c r="B3845" t="str">
        <f t="shared" si="671"/>
        <v>SAÍDA</v>
      </c>
      <c r="C3845" t="str">
        <f t="shared" si="672"/>
        <v>PIX</v>
      </c>
      <c r="D3845" t="str">
        <f>"34655"</f>
        <v>34655</v>
      </c>
      <c r="E3845" t="str">
        <f t="shared" si="676"/>
        <v>1</v>
      </c>
      <c r="F3845" t="str">
        <f t="shared" si="678"/>
        <v>COM</v>
      </c>
      <c r="G3845" t="str">
        <f t="shared" ref="G3845:G3850" si="679">"WILIAN ROSA VIEIRA (488)"</f>
        <v>WILIAN ROSA VIEIRA (488)</v>
      </c>
      <c r="H3845" t="str">
        <f>"Serv.Prest. 02/03/2026 a 08/03/2026 - PIX: E-MAIL - CHAVE: wilianvieirawrv3578@gmail.com"</f>
        <v>Serv.Prest. 02/03/2026 a 08/03/2026 - PIX: E-MAIL - CHAVE: wilianvieirawrv3578@gmail.com</v>
      </c>
      <c r="I3845" t="str">
        <f t="shared" si="673"/>
        <v>19/03/2026</v>
      </c>
      <c r="J3845" t="str">
        <f t="shared" si="677"/>
        <v>10/03/2026</v>
      </c>
      <c r="K3845" t="str">
        <f>("19/03/2026")</f>
        <v>19/03/2026</v>
      </c>
      <c r="L3845">
        <v>234</v>
      </c>
      <c r="M3845">
        <v>234</v>
      </c>
      <c r="N3845">
        <v>109</v>
      </c>
      <c r="O3845" t="str">
        <f>"PAGAMENTO DE ENTREGADORES"</f>
        <v>PAGAMENTO DE ENTREGADORES</v>
      </c>
      <c r="P3845">
        <v>234</v>
      </c>
      <c r="S3845" t="str">
        <f>"BANCO C6 (149)"</f>
        <v>BANCO C6 (149)</v>
      </c>
      <c r="T3845">
        <v>31598</v>
      </c>
      <c r="U3845">
        <v>34655</v>
      </c>
      <c r="V3845" t="s">
        <v>37</v>
      </c>
    </row>
    <row r="3846" spans="1:22">
      <c r="A3846" t="str">
        <f t="shared" si="675"/>
        <v>19/03/2026</v>
      </c>
      <c r="B3846" t="str">
        <f t="shared" si="671"/>
        <v>SAÍDA</v>
      </c>
      <c r="C3846" t="str">
        <f t="shared" si="672"/>
        <v>PIX</v>
      </c>
      <c r="D3846" t="str">
        <f>"34655"</f>
        <v>34655</v>
      </c>
      <c r="E3846" t="str">
        <f t="shared" si="676"/>
        <v>1</v>
      </c>
      <c r="F3846" t="str">
        <f t="shared" si="678"/>
        <v>COM</v>
      </c>
      <c r="G3846" t="str">
        <f t="shared" si="679"/>
        <v>WILIAN ROSA VIEIRA (488)</v>
      </c>
      <c r="H3846" t="s">
        <v>868</v>
      </c>
      <c r="I3846" t="str">
        <f t="shared" si="673"/>
        <v>19/03/2026</v>
      </c>
      <c r="J3846" t="str">
        <f t="shared" si="677"/>
        <v>10/03/2026</v>
      </c>
      <c r="K3846">
        <v>46100</v>
      </c>
      <c r="N3846">
        <v>109</v>
      </c>
      <c r="O3846" t="s">
        <v>27</v>
      </c>
      <c r="Q3846">
        <v>234</v>
      </c>
      <c r="R3846" t="str">
        <f>"FARMÁCIA INDIANA LJ 141 (10065)"</f>
        <v>FARMÁCIA INDIANA LJ 141 (10065)</v>
      </c>
      <c r="S3846" t="s">
        <v>37</v>
      </c>
      <c r="T3846">
        <v>31598</v>
      </c>
      <c r="U3846">
        <v>34655</v>
      </c>
      <c r="V3846" t="s">
        <v>37</v>
      </c>
    </row>
    <row r="3847" spans="1:22">
      <c r="A3847" t="str">
        <f t="shared" si="675"/>
        <v>19/03/2026</v>
      </c>
      <c r="B3847" t="str">
        <f t="shared" si="671"/>
        <v>SAÍDA</v>
      </c>
      <c r="C3847" t="str">
        <f t="shared" si="672"/>
        <v>PIX</v>
      </c>
      <c r="D3847" t="str">
        <f>"34656"</f>
        <v>34656</v>
      </c>
      <c r="E3847" t="str">
        <f t="shared" si="676"/>
        <v>1</v>
      </c>
      <c r="F3847" t="str">
        <f t="shared" si="678"/>
        <v>COM</v>
      </c>
      <c r="G3847" t="str">
        <f t="shared" si="679"/>
        <v>WILIAN ROSA VIEIRA (488)</v>
      </c>
      <c r="H3847" t="str">
        <f>"Serv.Prest. 02/03/2026 a 08/03/2026 - PIX: E-MAIL - CHAVE: wilianvieirawrv3578@gmail.com"</f>
        <v>Serv.Prest. 02/03/2026 a 08/03/2026 - PIX: E-MAIL - CHAVE: wilianvieirawrv3578@gmail.com</v>
      </c>
      <c r="I3847" t="str">
        <f t="shared" si="673"/>
        <v>19/03/2026</v>
      </c>
      <c r="J3847" t="str">
        <f t="shared" si="677"/>
        <v>10/03/2026</v>
      </c>
      <c r="K3847" t="str">
        <f>("19/03/2026")</f>
        <v>19/03/2026</v>
      </c>
      <c r="L3847">
        <v>276</v>
      </c>
      <c r="M3847">
        <v>276</v>
      </c>
      <c r="N3847">
        <v>109</v>
      </c>
      <c r="O3847" t="str">
        <f>"PAGAMENTO DE ENTREGADORES"</f>
        <v>PAGAMENTO DE ENTREGADORES</v>
      </c>
      <c r="P3847">
        <v>276</v>
      </c>
      <c r="S3847" t="str">
        <f>"BANCO C6 (149)"</f>
        <v>BANCO C6 (149)</v>
      </c>
      <c r="T3847">
        <v>31599</v>
      </c>
      <c r="U3847">
        <v>34656</v>
      </c>
      <c r="V3847" t="s">
        <v>37</v>
      </c>
    </row>
    <row r="3848" spans="1:22">
      <c r="A3848" t="str">
        <f t="shared" si="675"/>
        <v>19/03/2026</v>
      </c>
      <c r="B3848" t="str">
        <f t="shared" si="671"/>
        <v>SAÍDA</v>
      </c>
      <c r="C3848" t="str">
        <f t="shared" si="672"/>
        <v>PIX</v>
      </c>
      <c r="D3848" t="str">
        <f>"34656"</f>
        <v>34656</v>
      </c>
      <c r="E3848" t="str">
        <f t="shared" si="676"/>
        <v>1</v>
      </c>
      <c r="F3848" t="str">
        <f t="shared" si="678"/>
        <v>COM</v>
      </c>
      <c r="G3848" t="str">
        <f t="shared" si="679"/>
        <v>WILIAN ROSA VIEIRA (488)</v>
      </c>
      <c r="H3848" t="s">
        <v>868</v>
      </c>
      <c r="I3848" t="str">
        <f t="shared" si="673"/>
        <v>19/03/2026</v>
      </c>
      <c r="J3848" t="str">
        <f t="shared" si="677"/>
        <v>10/03/2026</v>
      </c>
      <c r="K3848">
        <v>46100</v>
      </c>
      <c r="N3848">
        <v>109</v>
      </c>
      <c r="O3848" t="s">
        <v>27</v>
      </c>
      <c r="Q3848">
        <v>276</v>
      </c>
      <c r="R3848" t="str">
        <f>"FARMÁCIA INDIANA LJ 154 (10070)"</f>
        <v>FARMÁCIA INDIANA LJ 154 (10070)</v>
      </c>
      <c r="S3848" t="s">
        <v>37</v>
      </c>
      <c r="T3848">
        <v>31599</v>
      </c>
      <c r="U3848">
        <v>34656</v>
      </c>
      <c r="V3848" t="s">
        <v>37</v>
      </c>
    </row>
    <row r="3849" spans="1:22">
      <c r="A3849" t="str">
        <f t="shared" si="675"/>
        <v>19/03/2026</v>
      </c>
      <c r="B3849" t="str">
        <f t="shared" si="671"/>
        <v>SAÍDA</v>
      </c>
      <c r="C3849" t="str">
        <f t="shared" si="672"/>
        <v>PIX</v>
      </c>
      <c r="D3849" t="str">
        <f>"34657"</f>
        <v>34657</v>
      </c>
      <c r="E3849" t="str">
        <f t="shared" si="676"/>
        <v>1</v>
      </c>
      <c r="F3849" t="str">
        <f t="shared" si="678"/>
        <v>COM</v>
      </c>
      <c r="G3849" t="str">
        <f t="shared" si="679"/>
        <v>WILIAN ROSA VIEIRA (488)</v>
      </c>
      <c r="H3849" t="str">
        <f>"Serv.Prest. 02/03/2026 a 08/03/2026 - PIX: E-MAIL - CHAVE: wilianvieirawrv3578@gmail.com"</f>
        <v>Serv.Prest. 02/03/2026 a 08/03/2026 - PIX: E-MAIL - CHAVE: wilianvieirawrv3578@gmail.com</v>
      </c>
      <c r="I3849" t="str">
        <f t="shared" si="673"/>
        <v>19/03/2026</v>
      </c>
      <c r="J3849" t="str">
        <f t="shared" si="677"/>
        <v>10/03/2026</v>
      </c>
      <c r="K3849" t="str">
        <f>("19/03/2026")</f>
        <v>19/03/2026</v>
      </c>
      <c r="L3849">
        <v>234</v>
      </c>
      <c r="M3849">
        <v>234</v>
      </c>
      <c r="N3849">
        <v>109</v>
      </c>
      <c r="O3849" t="str">
        <f>"PAGAMENTO DE ENTREGADORES"</f>
        <v>PAGAMENTO DE ENTREGADORES</v>
      </c>
      <c r="P3849">
        <v>234</v>
      </c>
      <c r="S3849" t="str">
        <f>"BANCO C6 (149)"</f>
        <v>BANCO C6 (149)</v>
      </c>
      <c r="T3849">
        <v>31600</v>
      </c>
      <c r="U3849">
        <v>34657</v>
      </c>
      <c r="V3849" t="s">
        <v>37</v>
      </c>
    </row>
    <row r="3850" spans="1:22">
      <c r="A3850" t="str">
        <f t="shared" si="675"/>
        <v>19/03/2026</v>
      </c>
      <c r="B3850" t="str">
        <f t="shared" si="671"/>
        <v>SAÍDA</v>
      </c>
      <c r="C3850" t="str">
        <f t="shared" si="672"/>
        <v>PIX</v>
      </c>
      <c r="D3850" t="str">
        <f>"34657"</f>
        <v>34657</v>
      </c>
      <c r="E3850" t="str">
        <f t="shared" si="676"/>
        <v>1</v>
      </c>
      <c r="F3850" t="str">
        <f t="shared" si="678"/>
        <v>COM</v>
      </c>
      <c r="G3850" t="str">
        <f t="shared" si="679"/>
        <v>WILIAN ROSA VIEIRA (488)</v>
      </c>
      <c r="H3850" t="s">
        <v>868</v>
      </c>
      <c r="I3850" t="str">
        <f t="shared" si="673"/>
        <v>19/03/2026</v>
      </c>
      <c r="J3850" t="str">
        <f t="shared" si="677"/>
        <v>10/03/2026</v>
      </c>
      <c r="K3850">
        <v>46100</v>
      </c>
      <c r="N3850">
        <v>109</v>
      </c>
      <c r="O3850" t="s">
        <v>27</v>
      </c>
      <c r="Q3850">
        <v>234</v>
      </c>
      <c r="R3850" t="str">
        <f>"FARMÁCIA INDIANA LJ 140 (10064)"</f>
        <v>FARMÁCIA INDIANA LJ 140 (10064)</v>
      </c>
      <c r="S3850" t="s">
        <v>37</v>
      </c>
      <c r="T3850">
        <v>31600</v>
      </c>
      <c r="U3850">
        <v>34657</v>
      </c>
      <c r="V3850" t="s">
        <v>37</v>
      </c>
    </row>
    <row r="3851" spans="1:22">
      <c r="A3851" t="str">
        <f t="shared" si="675"/>
        <v>19/03/2026</v>
      </c>
      <c r="B3851" t="str">
        <f t="shared" si="671"/>
        <v>SAÍDA</v>
      </c>
      <c r="C3851" t="str">
        <f t="shared" si="672"/>
        <v>PIX</v>
      </c>
      <c r="D3851" t="str">
        <f>"34661"</f>
        <v>34661</v>
      </c>
      <c r="E3851" t="str">
        <f t="shared" si="676"/>
        <v>1</v>
      </c>
      <c r="F3851" t="str">
        <f t="shared" si="678"/>
        <v>COM</v>
      </c>
      <c r="G3851" t="str">
        <f>"YAN EVERTON RODRIGUES DE LIMA (875)"</f>
        <v>YAN EVERTON RODRIGUES DE LIMA (875)</v>
      </c>
      <c r="H3851" t="str">
        <f>"Serv.Prest. 02/03/2026 a 08/03/2026 - PIX: CELULAR - CHAVE: (33) 99859-8751"</f>
        <v>Serv.Prest. 02/03/2026 a 08/03/2026 - PIX: CELULAR - CHAVE: (33) 99859-8751</v>
      </c>
      <c r="I3851" t="str">
        <f t="shared" si="673"/>
        <v>19/03/2026</v>
      </c>
      <c r="J3851" t="str">
        <f t="shared" si="677"/>
        <v>10/03/2026</v>
      </c>
      <c r="K3851" t="str">
        <f>("19/03/2026")</f>
        <v>19/03/2026</v>
      </c>
      <c r="L3851">
        <v>1020</v>
      </c>
      <c r="M3851">
        <v>1020</v>
      </c>
      <c r="N3851">
        <v>109</v>
      </c>
      <c r="O3851" t="str">
        <f>"PAGAMENTO DE ENTREGADORES"</f>
        <v>PAGAMENTO DE ENTREGADORES</v>
      </c>
      <c r="P3851">
        <v>1020</v>
      </c>
      <c r="S3851" t="str">
        <f>"BANCO C6 (149)"</f>
        <v>BANCO C6 (149)</v>
      </c>
      <c r="T3851">
        <v>31601</v>
      </c>
      <c r="U3851">
        <v>34661</v>
      </c>
      <c r="V3851" t="s">
        <v>37</v>
      </c>
    </row>
    <row r="3852" spans="1:22">
      <c r="A3852" t="str">
        <f t="shared" si="675"/>
        <v>19/03/2026</v>
      </c>
      <c r="B3852" t="str">
        <f t="shared" si="671"/>
        <v>SAÍDA</v>
      </c>
      <c r="C3852" t="str">
        <f t="shared" si="672"/>
        <v>PIX</v>
      </c>
      <c r="D3852" t="str">
        <f>"34661"</f>
        <v>34661</v>
      </c>
      <c r="E3852" t="str">
        <f t="shared" si="676"/>
        <v>1</v>
      </c>
      <c r="F3852" t="str">
        <f t="shared" si="678"/>
        <v>COM</v>
      </c>
      <c r="G3852" t="str">
        <f>"YAN EVERTON RODRIGUES DE LIMA (875)"</f>
        <v>YAN EVERTON RODRIGUES DE LIMA (875)</v>
      </c>
      <c r="H3852" t="s">
        <v>914</v>
      </c>
      <c r="I3852" t="str">
        <f t="shared" si="673"/>
        <v>19/03/2026</v>
      </c>
      <c r="J3852" t="str">
        <f t="shared" si="677"/>
        <v>10/03/2026</v>
      </c>
      <c r="K3852">
        <v>46100</v>
      </c>
      <c r="N3852">
        <v>109</v>
      </c>
      <c r="O3852" t="s">
        <v>27</v>
      </c>
      <c r="Q3852">
        <v>1020</v>
      </c>
      <c r="R3852" t="str">
        <f>"FARMÁCIA INDIANA LJ 06 (10006)"</f>
        <v>FARMÁCIA INDIANA LJ 06 (10006)</v>
      </c>
      <c r="S3852" t="s">
        <v>37</v>
      </c>
      <c r="T3852">
        <v>31601</v>
      </c>
      <c r="U3852">
        <v>34661</v>
      </c>
      <c r="V3852" t="s">
        <v>37</v>
      </c>
    </row>
    <row r="3853" spans="1:22">
      <c r="A3853" t="str">
        <f t="shared" si="675"/>
        <v>19/03/2026</v>
      </c>
      <c r="B3853" t="str">
        <f t="shared" si="671"/>
        <v>SAÍDA</v>
      </c>
      <c r="C3853" t="str">
        <f t="shared" si="672"/>
        <v>PIX</v>
      </c>
      <c r="D3853" t="str">
        <f>"34729"</f>
        <v>34729</v>
      </c>
      <c r="E3853" t="str">
        <f t="shared" si="676"/>
        <v>1</v>
      </c>
      <c r="F3853" t="str">
        <f t="shared" si="678"/>
        <v>COM</v>
      </c>
      <c r="G3853" t="str">
        <f t="shared" ref="G3853:G3860" si="680">"EZEQUIEL PAULINO DE MARIA FILHO (1355)"</f>
        <v>EZEQUIEL PAULINO DE MARIA FILHO (1355)</v>
      </c>
      <c r="H3853" t="str">
        <f>"Serv.Prest. 02/03/2026 a 08/03/2026 - PIX: CELULAR - CHAVE: (34) 99314-4680"</f>
        <v>Serv.Prest. 02/03/2026 a 08/03/2026 - PIX: CELULAR - CHAVE: (34) 99314-4680</v>
      </c>
      <c r="I3853" t="str">
        <f t="shared" si="673"/>
        <v>19/03/2026</v>
      </c>
      <c r="J3853" t="str">
        <f t="shared" ref="J3853:J3870" si="681">("11/03/2026")</f>
        <v>11/03/2026</v>
      </c>
      <c r="K3853" t="str">
        <f>("19/03/2026")</f>
        <v>19/03/2026</v>
      </c>
      <c r="L3853">
        <v>228</v>
      </c>
      <c r="M3853">
        <v>228</v>
      </c>
      <c r="N3853">
        <v>109</v>
      </c>
      <c r="O3853" t="str">
        <f>"PAGAMENTO DE ENTREGADORES"</f>
        <v>PAGAMENTO DE ENTREGADORES</v>
      </c>
      <c r="P3853">
        <v>228</v>
      </c>
      <c r="S3853" t="str">
        <f>"BANCO C6 (149)"</f>
        <v>BANCO C6 (149)</v>
      </c>
      <c r="T3853">
        <v>31602</v>
      </c>
      <c r="U3853">
        <v>34729</v>
      </c>
      <c r="V3853" t="s">
        <v>37</v>
      </c>
    </row>
    <row r="3854" spans="1:22">
      <c r="A3854" t="str">
        <f t="shared" si="675"/>
        <v>19/03/2026</v>
      </c>
      <c r="B3854" t="str">
        <f t="shared" si="671"/>
        <v>SAÍDA</v>
      </c>
      <c r="C3854" t="str">
        <f t="shared" si="672"/>
        <v>PIX</v>
      </c>
      <c r="D3854" t="str">
        <f>"34729"</f>
        <v>34729</v>
      </c>
      <c r="E3854" t="str">
        <f t="shared" si="676"/>
        <v>1</v>
      </c>
      <c r="F3854" t="str">
        <f t="shared" si="678"/>
        <v>COM</v>
      </c>
      <c r="G3854" t="str">
        <f t="shared" si="680"/>
        <v>EZEQUIEL PAULINO DE MARIA FILHO (1355)</v>
      </c>
      <c r="H3854" t="s">
        <v>1058</v>
      </c>
      <c r="I3854" t="str">
        <f t="shared" si="673"/>
        <v>19/03/2026</v>
      </c>
      <c r="J3854" t="str">
        <f t="shared" si="681"/>
        <v>11/03/2026</v>
      </c>
      <c r="K3854">
        <v>46100</v>
      </c>
      <c r="N3854">
        <v>109</v>
      </c>
      <c r="O3854" t="s">
        <v>27</v>
      </c>
      <c r="Q3854">
        <v>228</v>
      </c>
      <c r="R3854" t="str">
        <f>"PAGUE MENOS 377 (10300)"</f>
        <v>PAGUE MENOS 377 (10300)</v>
      </c>
      <c r="S3854" t="s">
        <v>37</v>
      </c>
      <c r="T3854">
        <v>31602</v>
      </c>
      <c r="U3854">
        <v>34729</v>
      </c>
      <c r="V3854" t="s">
        <v>37</v>
      </c>
    </row>
    <row r="3855" spans="1:22">
      <c r="A3855" t="str">
        <f t="shared" si="675"/>
        <v>19/03/2026</v>
      </c>
      <c r="B3855" t="str">
        <f t="shared" si="671"/>
        <v>SAÍDA</v>
      </c>
      <c r="C3855" t="str">
        <f t="shared" si="672"/>
        <v>PIX</v>
      </c>
      <c r="D3855" t="str">
        <f>"34730"</f>
        <v>34730</v>
      </c>
      <c r="E3855" t="str">
        <f t="shared" si="676"/>
        <v>1</v>
      </c>
      <c r="F3855" t="str">
        <f t="shared" si="678"/>
        <v>COM</v>
      </c>
      <c r="G3855" t="str">
        <f t="shared" si="680"/>
        <v>EZEQUIEL PAULINO DE MARIA FILHO (1355)</v>
      </c>
      <c r="H3855" t="str">
        <f>"Serv.Prest. 02/03/2026 a 08/03/2026 - PIX: CELULAR - CHAVE: (34) 99314-4680"</f>
        <v>Serv.Prest. 02/03/2026 a 08/03/2026 - PIX: CELULAR - CHAVE: (34) 99314-4680</v>
      </c>
      <c r="I3855" t="str">
        <f t="shared" si="673"/>
        <v>19/03/2026</v>
      </c>
      <c r="J3855" t="str">
        <f t="shared" si="681"/>
        <v>11/03/2026</v>
      </c>
      <c r="K3855" t="str">
        <f>("19/03/2026")</f>
        <v>19/03/2026</v>
      </c>
      <c r="L3855">
        <v>408</v>
      </c>
      <c r="M3855">
        <v>408</v>
      </c>
      <c r="N3855">
        <v>109</v>
      </c>
      <c r="O3855" t="str">
        <f>"PAGAMENTO DE ENTREGADORES"</f>
        <v>PAGAMENTO DE ENTREGADORES</v>
      </c>
      <c r="P3855">
        <v>408</v>
      </c>
      <c r="S3855" t="str">
        <f>"BANCO C6 (149)"</f>
        <v>BANCO C6 (149)</v>
      </c>
      <c r="T3855">
        <v>31603</v>
      </c>
      <c r="U3855">
        <v>34730</v>
      </c>
      <c r="V3855" t="s">
        <v>37</v>
      </c>
    </row>
    <row r="3856" spans="1:22">
      <c r="A3856" t="str">
        <f t="shared" si="675"/>
        <v>19/03/2026</v>
      </c>
      <c r="B3856" t="str">
        <f t="shared" si="671"/>
        <v>SAÍDA</v>
      </c>
      <c r="C3856" t="str">
        <f t="shared" si="672"/>
        <v>PIX</v>
      </c>
      <c r="D3856" t="str">
        <f>"34730"</f>
        <v>34730</v>
      </c>
      <c r="E3856" t="str">
        <f t="shared" si="676"/>
        <v>1</v>
      </c>
      <c r="F3856" t="str">
        <f t="shared" si="678"/>
        <v>COM</v>
      </c>
      <c r="G3856" t="str">
        <f t="shared" si="680"/>
        <v>EZEQUIEL PAULINO DE MARIA FILHO (1355)</v>
      </c>
      <c r="H3856" t="s">
        <v>1058</v>
      </c>
      <c r="I3856" t="str">
        <f t="shared" si="673"/>
        <v>19/03/2026</v>
      </c>
      <c r="J3856" t="str">
        <f t="shared" si="681"/>
        <v>11/03/2026</v>
      </c>
      <c r="K3856">
        <v>46100</v>
      </c>
      <c r="N3856">
        <v>109</v>
      </c>
      <c r="O3856" t="s">
        <v>27</v>
      </c>
      <c r="Q3856">
        <v>408</v>
      </c>
      <c r="R3856" t="str">
        <f>"PAGUE MENOS 1155 (10307)"</f>
        <v>PAGUE MENOS 1155 (10307)</v>
      </c>
      <c r="S3856" t="s">
        <v>37</v>
      </c>
      <c r="T3856">
        <v>31603</v>
      </c>
      <c r="U3856">
        <v>34730</v>
      </c>
      <c r="V3856" t="s">
        <v>37</v>
      </c>
    </row>
    <row r="3857" spans="1:22">
      <c r="A3857" t="str">
        <f t="shared" si="675"/>
        <v>19/03/2026</v>
      </c>
      <c r="B3857" t="str">
        <f t="shared" si="671"/>
        <v>SAÍDA</v>
      </c>
      <c r="C3857" t="str">
        <f t="shared" si="672"/>
        <v>PIX</v>
      </c>
      <c r="D3857" t="str">
        <f>"34731"</f>
        <v>34731</v>
      </c>
      <c r="E3857" t="str">
        <f t="shared" si="676"/>
        <v>1</v>
      </c>
      <c r="F3857" t="str">
        <f t="shared" si="678"/>
        <v>COM</v>
      </c>
      <c r="G3857" t="str">
        <f t="shared" si="680"/>
        <v>EZEQUIEL PAULINO DE MARIA FILHO (1355)</v>
      </c>
      <c r="H3857" t="str">
        <f>"Serv.Prest. 02/03/2026 a 08/03/2026 - PIX: CELULAR - CHAVE: (34) 99314-4680"</f>
        <v>Serv.Prest. 02/03/2026 a 08/03/2026 - PIX: CELULAR - CHAVE: (34) 99314-4680</v>
      </c>
      <c r="I3857" t="str">
        <f t="shared" si="673"/>
        <v>19/03/2026</v>
      </c>
      <c r="J3857" t="str">
        <f t="shared" si="681"/>
        <v>11/03/2026</v>
      </c>
      <c r="K3857" t="str">
        <f>("19/03/2026")</f>
        <v>19/03/2026</v>
      </c>
      <c r="L3857">
        <v>12</v>
      </c>
      <c r="M3857">
        <v>12</v>
      </c>
      <c r="N3857">
        <v>109</v>
      </c>
      <c r="O3857" t="str">
        <f>"PAGAMENTO DE ENTREGADORES"</f>
        <v>PAGAMENTO DE ENTREGADORES</v>
      </c>
      <c r="P3857">
        <v>12</v>
      </c>
      <c r="S3857" t="str">
        <f>"BANCO C6 (149)"</f>
        <v>BANCO C6 (149)</v>
      </c>
      <c r="T3857">
        <v>31604</v>
      </c>
      <c r="U3857">
        <v>34731</v>
      </c>
      <c r="V3857" t="s">
        <v>37</v>
      </c>
    </row>
    <row r="3858" spans="1:22">
      <c r="A3858" t="str">
        <f t="shared" si="675"/>
        <v>19/03/2026</v>
      </c>
      <c r="B3858" t="str">
        <f t="shared" si="671"/>
        <v>SAÍDA</v>
      </c>
      <c r="C3858" t="str">
        <f t="shared" si="672"/>
        <v>PIX</v>
      </c>
      <c r="D3858" t="str">
        <f>"34731"</f>
        <v>34731</v>
      </c>
      <c r="E3858" t="str">
        <f t="shared" si="676"/>
        <v>1</v>
      </c>
      <c r="F3858" t="str">
        <f t="shared" si="678"/>
        <v>COM</v>
      </c>
      <c r="G3858" t="str">
        <f t="shared" si="680"/>
        <v>EZEQUIEL PAULINO DE MARIA FILHO (1355)</v>
      </c>
      <c r="H3858" t="s">
        <v>1058</v>
      </c>
      <c r="I3858" t="str">
        <f t="shared" si="673"/>
        <v>19/03/2026</v>
      </c>
      <c r="J3858" t="str">
        <f t="shared" si="681"/>
        <v>11/03/2026</v>
      </c>
      <c r="K3858">
        <v>46100</v>
      </c>
      <c r="N3858">
        <v>109</v>
      </c>
      <c r="O3858" t="s">
        <v>27</v>
      </c>
      <c r="Q3858">
        <v>12</v>
      </c>
      <c r="R3858" t="str">
        <f>"PAGUE MENOS 306 (10298)"</f>
        <v>PAGUE MENOS 306 (10298)</v>
      </c>
      <c r="S3858" t="s">
        <v>37</v>
      </c>
      <c r="T3858">
        <v>31604</v>
      </c>
      <c r="U3858">
        <v>34731</v>
      </c>
      <c r="V3858" t="s">
        <v>37</v>
      </c>
    </row>
    <row r="3859" spans="1:22">
      <c r="A3859" t="str">
        <f t="shared" si="675"/>
        <v>19/03/2026</v>
      </c>
      <c r="B3859" t="str">
        <f t="shared" si="671"/>
        <v>SAÍDA</v>
      </c>
      <c r="C3859" t="str">
        <f t="shared" si="672"/>
        <v>PIX</v>
      </c>
      <c r="D3859" t="str">
        <f>"34732"</f>
        <v>34732</v>
      </c>
      <c r="E3859" t="str">
        <f t="shared" si="676"/>
        <v>1</v>
      </c>
      <c r="F3859" t="str">
        <f t="shared" si="678"/>
        <v>COM</v>
      </c>
      <c r="G3859" t="str">
        <f t="shared" si="680"/>
        <v>EZEQUIEL PAULINO DE MARIA FILHO (1355)</v>
      </c>
      <c r="H3859" t="str">
        <f>"Serv.Prest. 02/03/2026 a 08/03/2026 - PIX: CELULAR - CHAVE: (34) 99314-4680"</f>
        <v>Serv.Prest. 02/03/2026 a 08/03/2026 - PIX: CELULAR - CHAVE: (34) 99314-4680</v>
      </c>
      <c r="I3859" t="str">
        <f t="shared" si="673"/>
        <v>19/03/2026</v>
      </c>
      <c r="J3859" t="str">
        <f t="shared" si="681"/>
        <v>11/03/2026</v>
      </c>
      <c r="K3859" t="str">
        <f>("19/03/2026")</f>
        <v>19/03/2026</v>
      </c>
      <c r="L3859">
        <v>270</v>
      </c>
      <c r="M3859">
        <v>205</v>
      </c>
      <c r="N3859">
        <v>109</v>
      </c>
      <c r="O3859" t="str">
        <f>"PAGAMENTO DE ENTREGADORES"</f>
        <v>PAGAMENTO DE ENTREGADORES</v>
      </c>
      <c r="P3859">
        <v>205</v>
      </c>
      <c r="S3859" t="str">
        <f>"BANCO C6 (149)"</f>
        <v>BANCO C6 (149)</v>
      </c>
      <c r="T3859">
        <v>31605</v>
      </c>
      <c r="U3859">
        <v>34732</v>
      </c>
      <c r="V3859" t="s">
        <v>37</v>
      </c>
    </row>
    <row r="3860" spans="1:22">
      <c r="A3860" t="str">
        <f t="shared" si="675"/>
        <v>19/03/2026</v>
      </c>
      <c r="B3860" t="str">
        <f t="shared" si="671"/>
        <v>SAÍDA</v>
      </c>
      <c r="C3860" t="str">
        <f t="shared" si="672"/>
        <v>PIX</v>
      </c>
      <c r="D3860" t="str">
        <f>"34732"</f>
        <v>34732</v>
      </c>
      <c r="E3860" t="str">
        <f t="shared" si="676"/>
        <v>1</v>
      </c>
      <c r="F3860" t="str">
        <f t="shared" si="678"/>
        <v>COM</v>
      </c>
      <c r="G3860" t="str">
        <f t="shared" si="680"/>
        <v>EZEQUIEL PAULINO DE MARIA FILHO (1355)</v>
      </c>
      <c r="H3860" t="s">
        <v>1058</v>
      </c>
      <c r="I3860" t="str">
        <f t="shared" si="673"/>
        <v>19/03/2026</v>
      </c>
      <c r="J3860" t="str">
        <f t="shared" si="681"/>
        <v>11/03/2026</v>
      </c>
      <c r="K3860">
        <v>46100</v>
      </c>
      <c r="N3860">
        <v>109</v>
      </c>
      <c r="O3860" t="s">
        <v>27</v>
      </c>
      <c r="Q3860">
        <v>205</v>
      </c>
      <c r="R3860" t="str">
        <f>"PAGUE MENOS 1156 (10308)"</f>
        <v>PAGUE MENOS 1156 (10308)</v>
      </c>
      <c r="S3860" t="s">
        <v>37</v>
      </c>
      <c r="T3860">
        <v>31605</v>
      </c>
      <c r="U3860">
        <v>34732</v>
      </c>
      <c r="V3860" t="s">
        <v>37</v>
      </c>
    </row>
    <row r="3861" spans="1:22">
      <c r="A3861" t="str">
        <f t="shared" si="675"/>
        <v>19/03/2026</v>
      </c>
      <c r="B3861" t="str">
        <f t="shared" si="671"/>
        <v>SAÍDA</v>
      </c>
      <c r="C3861" t="str">
        <f t="shared" si="672"/>
        <v>PIX</v>
      </c>
      <c r="D3861" t="str">
        <f>"34733"</f>
        <v>34733</v>
      </c>
      <c r="E3861" t="str">
        <f t="shared" si="676"/>
        <v>1</v>
      </c>
      <c r="F3861" t="str">
        <f t="shared" si="678"/>
        <v>COM</v>
      </c>
      <c r="G3861" t="str">
        <f>"HIAGGO JULIO CONSTANTINO DE SOUZA (1219)"</f>
        <v>HIAGGO JULIO CONSTANTINO DE SOUZA (1219)</v>
      </c>
      <c r="H3861" t="str">
        <f>"Serv.Prest. 02/03/2026 a 08/03/2026 - PIX: CELULAR - CHAVE: (34) 99832-8427"</f>
        <v>Serv.Prest. 02/03/2026 a 08/03/2026 - PIX: CELULAR - CHAVE: (34) 99832-8427</v>
      </c>
      <c r="I3861" t="str">
        <f t="shared" si="673"/>
        <v>19/03/2026</v>
      </c>
      <c r="J3861" t="str">
        <f t="shared" si="681"/>
        <v>11/03/2026</v>
      </c>
      <c r="K3861" t="str">
        <f>("19/03/2026")</f>
        <v>19/03/2026</v>
      </c>
      <c r="L3861">
        <v>695.5</v>
      </c>
      <c r="M3861">
        <v>695.5</v>
      </c>
      <c r="N3861">
        <v>109</v>
      </c>
      <c r="O3861" t="str">
        <f>"PAGAMENTO DE ENTREGADORES"</f>
        <v>PAGAMENTO DE ENTREGADORES</v>
      </c>
      <c r="P3861">
        <v>695.5</v>
      </c>
      <c r="S3861" t="str">
        <f>"BANCO C6 (149)"</f>
        <v>BANCO C6 (149)</v>
      </c>
      <c r="T3861">
        <v>31606</v>
      </c>
      <c r="U3861">
        <v>34733</v>
      </c>
      <c r="V3861" t="s">
        <v>37</v>
      </c>
    </row>
    <row r="3862" spans="1:22">
      <c r="A3862" t="str">
        <f t="shared" si="675"/>
        <v>19/03/2026</v>
      </c>
      <c r="B3862" t="str">
        <f t="shared" si="671"/>
        <v>SAÍDA</v>
      </c>
      <c r="C3862" t="str">
        <f t="shared" si="672"/>
        <v>PIX</v>
      </c>
      <c r="D3862" t="str">
        <f>"34733"</f>
        <v>34733</v>
      </c>
      <c r="E3862" t="str">
        <f t="shared" si="676"/>
        <v>1</v>
      </c>
      <c r="F3862" t="str">
        <f t="shared" si="678"/>
        <v>COM</v>
      </c>
      <c r="G3862" t="str">
        <f>"HIAGGO JULIO CONSTANTINO DE SOUZA (1219)"</f>
        <v>HIAGGO JULIO CONSTANTINO DE SOUZA (1219)</v>
      </c>
      <c r="H3862" t="s">
        <v>1059</v>
      </c>
      <c r="I3862" t="str">
        <f t="shared" si="673"/>
        <v>19/03/2026</v>
      </c>
      <c r="J3862" t="str">
        <f t="shared" si="681"/>
        <v>11/03/2026</v>
      </c>
      <c r="K3862">
        <v>46100</v>
      </c>
      <c r="N3862">
        <v>109</v>
      </c>
      <c r="O3862" t="s">
        <v>27</v>
      </c>
      <c r="Q3862">
        <v>695.5</v>
      </c>
      <c r="R3862" t="str">
        <f>"PAGUE MENOS 426 (10292)"</f>
        <v>PAGUE MENOS 426 (10292)</v>
      </c>
      <c r="S3862" t="s">
        <v>37</v>
      </c>
      <c r="T3862">
        <v>31606</v>
      </c>
      <c r="U3862">
        <v>34733</v>
      </c>
      <c r="V3862" t="s">
        <v>37</v>
      </c>
    </row>
    <row r="3863" spans="1:22">
      <c r="A3863" t="str">
        <f t="shared" si="675"/>
        <v>19/03/2026</v>
      </c>
      <c r="B3863" t="str">
        <f t="shared" si="671"/>
        <v>SAÍDA</v>
      </c>
      <c r="C3863" t="str">
        <f t="shared" si="672"/>
        <v>PIX</v>
      </c>
      <c r="D3863" t="str">
        <f>"34734"</f>
        <v>34734</v>
      </c>
      <c r="E3863" t="str">
        <f t="shared" si="676"/>
        <v>1</v>
      </c>
      <c r="F3863" t="str">
        <f t="shared" si="678"/>
        <v>COM</v>
      </c>
      <c r="G3863" t="str">
        <f>"JAISON DE SOUZA KOHL (1244)"</f>
        <v>JAISON DE SOUZA KOHL (1244)</v>
      </c>
      <c r="H3863" t="str">
        <f>"Serv.Prest. 02/03/2026 a 08/03/2026 - PIX: CPF - CHAVE: 096.774.686-85"</f>
        <v>Serv.Prest. 02/03/2026 a 08/03/2026 - PIX: CPF - CHAVE: 096.774.686-85</v>
      </c>
      <c r="I3863" t="str">
        <f t="shared" si="673"/>
        <v>19/03/2026</v>
      </c>
      <c r="J3863" t="str">
        <f t="shared" si="681"/>
        <v>11/03/2026</v>
      </c>
      <c r="K3863" t="str">
        <f>("19/03/2026")</f>
        <v>19/03/2026</v>
      </c>
      <c r="L3863">
        <v>903.5</v>
      </c>
      <c r="M3863">
        <v>903.5</v>
      </c>
      <c r="N3863">
        <v>109</v>
      </c>
      <c r="O3863" t="str">
        <f>"PAGAMENTO DE ENTREGADORES"</f>
        <v>PAGAMENTO DE ENTREGADORES</v>
      </c>
      <c r="P3863">
        <v>903.5</v>
      </c>
      <c r="S3863" t="str">
        <f>"BANCO C6 (149)"</f>
        <v>BANCO C6 (149)</v>
      </c>
      <c r="T3863">
        <v>31607</v>
      </c>
      <c r="U3863">
        <v>34734</v>
      </c>
      <c r="V3863" t="s">
        <v>37</v>
      </c>
    </row>
    <row r="3864" spans="1:22">
      <c r="A3864" t="str">
        <f t="shared" si="675"/>
        <v>19/03/2026</v>
      </c>
      <c r="B3864" t="str">
        <f t="shared" si="671"/>
        <v>SAÍDA</v>
      </c>
      <c r="C3864" t="str">
        <f t="shared" si="672"/>
        <v>PIX</v>
      </c>
      <c r="D3864" t="str">
        <f>"34734"</f>
        <v>34734</v>
      </c>
      <c r="E3864" t="str">
        <f t="shared" si="676"/>
        <v>1</v>
      </c>
      <c r="F3864" t="str">
        <f t="shared" si="678"/>
        <v>COM</v>
      </c>
      <c r="G3864" t="str">
        <f>"JAISON DE SOUZA KOHL (1244)"</f>
        <v>JAISON DE SOUZA KOHL (1244)</v>
      </c>
      <c r="H3864" t="s">
        <v>1060</v>
      </c>
      <c r="I3864" t="str">
        <f t="shared" si="673"/>
        <v>19/03/2026</v>
      </c>
      <c r="J3864" t="str">
        <f t="shared" si="681"/>
        <v>11/03/2026</v>
      </c>
      <c r="K3864">
        <v>46100</v>
      </c>
      <c r="N3864">
        <v>109</v>
      </c>
      <c r="O3864" t="s">
        <v>27</v>
      </c>
      <c r="Q3864">
        <v>903.5</v>
      </c>
      <c r="R3864" t="str">
        <f>"PAGUE MENOS 426 (10292)"</f>
        <v>PAGUE MENOS 426 (10292)</v>
      </c>
      <c r="S3864" t="s">
        <v>37</v>
      </c>
      <c r="T3864">
        <v>31607</v>
      </c>
      <c r="U3864">
        <v>34734</v>
      </c>
      <c r="V3864" t="s">
        <v>37</v>
      </c>
    </row>
    <row r="3865" spans="1:22">
      <c r="A3865" t="str">
        <f t="shared" si="675"/>
        <v>19/03/2026</v>
      </c>
      <c r="B3865" t="str">
        <f t="shared" si="671"/>
        <v>SAÍDA</v>
      </c>
      <c r="C3865" t="str">
        <f t="shared" si="672"/>
        <v>PIX</v>
      </c>
      <c r="D3865" t="str">
        <f>"34736"</f>
        <v>34736</v>
      </c>
      <c r="E3865" t="str">
        <f t="shared" si="676"/>
        <v>1</v>
      </c>
      <c r="F3865" t="str">
        <f t="shared" si="678"/>
        <v>COM</v>
      </c>
      <c r="G3865" t="str">
        <f>"LUIZ PAULO DE OLIVEIRA (712)"</f>
        <v>LUIZ PAULO DE OLIVEIRA (712)</v>
      </c>
      <c r="H3865" t="str">
        <f>"Serv.Prest. 02/03/2026 a 08/03/2026 - PIX: E-MAIL - CHAVE: karinasilvaaparecida1286@gmail.com"</f>
        <v>Serv.Prest. 02/03/2026 a 08/03/2026 - PIX: E-MAIL - CHAVE: karinasilvaaparecida1286@gmail.com</v>
      </c>
      <c r="I3865" t="str">
        <f t="shared" si="673"/>
        <v>19/03/2026</v>
      </c>
      <c r="J3865" t="str">
        <f t="shared" si="681"/>
        <v>11/03/2026</v>
      </c>
      <c r="K3865" t="str">
        <f>("19/03/2026")</f>
        <v>19/03/2026</v>
      </c>
      <c r="L3865">
        <v>65</v>
      </c>
      <c r="M3865">
        <v>65</v>
      </c>
      <c r="N3865">
        <v>109</v>
      </c>
      <c r="O3865" t="str">
        <f>"PAGAMENTO DE ENTREGADORES"</f>
        <v>PAGAMENTO DE ENTREGADORES</v>
      </c>
      <c r="P3865">
        <v>65</v>
      </c>
      <c r="S3865" t="str">
        <f>"BANCO C6 (149)"</f>
        <v>BANCO C6 (149)</v>
      </c>
      <c r="T3865">
        <v>31608</v>
      </c>
      <c r="U3865">
        <v>34736</v>
      </c>
      <c r="V3865" t="s">
        <v>37</v>
      </c>
    </row>
    <row r="3866" spans="1:22">
      <c r="A3866" t="str">
        <f t="shared" si="675"/>
        <v>19/03/2026</v>
      </c>
      <c r="B3866" t="str">
        <f t="shared" si="671"/>
        <v>SAÍDA</v>
      </c>
      <c r="C3866" t="str">
        <f t="shared" si="672"/>
        <v>PIX</v>
      </c>
      <c r="D3866" t="str">
        <f>"34736"</f>
        <v>34736</v>
      </c>
      <c r="E3866" t="str">
        <f t="shared" si="676"/>
        <v>1</v>
      </c>
      <c r="F3866" t="str">
        <f t="shared" si="678"/>
        <v>COM</v>
      </c>
      <c r="G3866" t="str">
        <f>"LUIZ PAULO DE OLIVEIRA (712)"</f>
        <v>LUIZ PAULO DE OLIVEIRA (712)</v>
      </c>
      <c r="H3866" t="s">
        <v>632</v>
      </c>
      <c r="I3866" t="str">
        <f t="shared" si="673"/>
        <v>19/03/2026</v>
      </c>
      <c r="J3866" t="str">
        <f t="shared" si="681"/>
        <v>11/03/2026</v>
      </c>
      <c r="K3866">
        <v>46100</v>
      </c>
      <c r="N3866">
        <v>109</v>
      </c>
      <c r="O3866" t="s">
        <v>27</v>
      </c>
      <c r="Q3866">
        <v>65</v>
      </c>
      <c r="R3866" t="str">
        <f>"PAGUE MENOS 356 (10291)"</f>
        <v>PAGUE MENOS 356 (10291)</v>
      </c>
      <c r="S3866" t="s">
        <v>37</v>
      </c>
      <c r="T3866">
        <v>31608</v>
      </c>
      <c r="U3866">
        <v>34736</v>
      </c>
      <c r="V3866" t="s">
        <v>37</v>
      </c>
    </row>
    <row r="3867" spans="1:22">
      <c r="A3867" t="str">
        <f t="shared" si="675"/>
        <v>19/03/2026</v>
      </c>
      <c r="B3867" t="str">
        <f t="shared" si="671"/>
        <v>SAÍDA</v>
      </c>
      <c r="C3867" t="str">
        <f t="shared" si="672"/>
        <v>PIX</v>
      </c>
      <c r="D3867" t="str">
        <f>"34737"</f>
        <v>34737</v>
      </c>
      <c r="E3867" t="str">
        <f t="shared" si="676"/>
        <v>1</v>
      </c>
      <c r="F3867" t="str">
        <f t="shared" si="678"/>
        <v>COM</v>
      </c>
      <c r="G3867" t="str">
        <f>"MAICON VIANA ROCHA (1243)"</f>
        <v>MAICON VIANA ROCHA (1243)</v>
      </c>
      <c r="H3867" t="str">
        <f>"Serv.Prest. 02/03/2026 a 08/03/2026 - PIX: CNPJ - CHAVE: 24.309.889/0001-51"</f>
        <v>Serv.Prest. 02/03/2026 a 08/03/2026 - PIX: CNPJ - CHAVE: 24.309.889/0001-51</v>
      </c>
      <c r="I3867" t="str">
        <f t="shared" si="673"/>
        <v>19/03/2026</v>
      </c>
      <c r="J3867" t="str">
        <f t="shared" si="681"/>
        <v>11/03/2026</v>
      </c>
      <c r="K3867" t="str">
        <f>("19/03/2026")</f>
        <v>19/03/2026</v>
      </c>
      <c r="L3867">
        <v>578.5</v>
      </c>
      <c r="M3867">
        <v>578.5</v>
      </c>
      <c r="N3867">
        <v>109</v>
      </c>
      <c r="O3867" t="str">
        <f>"PAGAMENTO DE ENTREGADORES"</f>
        <v>PAGAMENTO DE ENTREGADORES</v>
      </c>
      <c r="P3867">
        <v>578.5</v>
      </c>
      <c r="S3867" t="str">
        <f>"BANCO C6 (149)"</f>
        <v>BANCO C6 (149)</v>
      </c>
      <c r="T3867">
        <v>31609</v>
      </c>
      <c r="U3867">
        <v>34737</v>
      </c>
      <c r="V3867" t="s">
        <v>37</v>
      </c>
    </row>
    <row r="3868" spans="1:22">
      <c r="A3868" t="str">
        <f t="shared" si="675"/>
        <v>19/03/2026</v>
      </c>
      <c r="B3868" t="str">
        <f t="shared" si="671"/>
        <v>SAÍDA</v>
      </c>
      <c r="C3868" t="str">
        <f t="shared" si="672"/>
        <v>PIX</v>
      </c>
      <c r="D3868" t="str">
        <f>"34737"</f>
        <v>34737</v>
      </c>
      <c r="E3868" t="str">
        <f t="shared" si="676"/>
        <v>1</v>
      </c>
      <c r="F3868" t="str">
        <f t="shared" si="678"/>
        <v>COM</v>
      </c>
      <c r="G3868" t="str">
        <f>"MAICON VIANA ROCHA (1243)"</f>
        <v>MAICON VIANA ROCHA (1243)</v>
      </c>
      <c r="H3868" t="s">
        <v>1061</v>
      </c>
      <c r="I3868" t="str">
        <f t="shared" si="673"/>
        <v>19/03/2026</v>
      </c>
      <c r="J3868" t="str">
        <f t="shared" si="681"/>
        <v>11/03/2026</v>
      </c>
      <c r="K3868">
        <v>46100</v>
      </c>
      <c r="N3868">
        <v>109</v>
      </c>
      <c r="O3868" t="s">
        <v>27</v>
      </c>
      <c r="Q3868">
        <v>578.5</v>
      </c>
      <c r="R3868" t="str">
        <f>"PAGUE MENOS 426 (10292)"</f>
        <v>PAGUE MENOS 426 (10292)</v>
      </c>
      <c r="S3868" t="s">
        <v>37</v>
      </c>
      <c r="T3868">
        <v>31609</v>
      </c>
      <c r="U3868">
        <v>34737</v>
      </c>
      <c r="V3868" t="s">
        <v>37</v>
      </c>
    </row>
    <row r="3869" spans="1:22">
      <c r="A3869" t="str">
        <f t="shared" si="675"/>
        <v>19/03/2026</v>
      </c>
      <c r="B3869" t="str">
        <f t="shared" si="671"/>
        <v>SAÍDA</v>
      </c>
      <c r="C3869" t="str">
        <f t="shared" si="672"/>
        <v>PIX</v>
      </c>
      <c r="D3869" t="str">
        <f>"34742"</f>
        <v>34742</v>
      </c>
      <c r="E3869" t="str">
        <f t="shared" si="676"/>
        <v>1</v>
      </c>
      <c r="F3869" t="str">
        <f t="shared" si="678"/>
        <v>COM</v>
      </c>
      <c r="G3869" t="str">
        <f>"RICHARD HENRIQUE DA SILVA (244)"</f>
        <v>RICHARD HENRIQUE DA SILVA (244)</v>
      </c>
      <c r="H3869" t="str">
        <f>"Serv.Prest. 02/03/2026 a 08/03/2026 - PIX: CELULAR - CHAVE: (37) 99197-6834"</f>
        <v>Serv.Prest. 02/03/2026 a 08/03/2026 - PIX: CELULAR - CHAVE: (37) 99197-6834</v>
      </c>
      <c r="I3869" t="str">
        <f t="shared" si="673"/>
        <v>19/03/2026</v>
      </c>
      <c r="J3869" t="str">
        <f t="shared" si="681"/>
        <v>11/03/2026</v>
      </c>
      <c r="K3869" t="str">
        <f>("19/03/2026")</f>
        <v>19/03/2026</v>
      </c>
      <c r="L3869">
        <v>700</v>
      </c>
      <c r="M3869">
        <v>700</v>
      </c>
      <c r="N3869">
        <v>109</v>
      </c>
      <c r="O3869" t="str">
        <f>"PAGAMENTO DE ENTREGADORES"</f>
        <v>PAGAMENTO DE ENTREGADORES</v>
      </c>
      <c r="P3869">
        <v>700</v>
      </c>
      <c r="S3869" t="str">
        <f>"BANCO C6 (149)"</f>
        <v>BANCO C6 (149)</v>
      </c>
      <c r="T3869">
        <v>31610</v>
      </c>
      <c r="U3869">
        <v>34742</v>
      </c>
      <c r="V3869" t="s">
        <v>37</v>
      </c>
    </row>
    <row r="3870" spans="1:22">
      <c r="A3870" t="str">
        <f t="shared" si="675"/>
        <v>19/03/2026</v>
      </c>
      <c r="B3870" t="str">
        <f t="shared" si="671"/>
        <v>SAÍDA</v>
      </c>
      <c r="C3870" t="str">
        <f t="shared" si="672"/>
        <v>PIX</v>
      </c>
      <c r="D3870" t="str">
        <f>"34742"</f>
        <v>34742</v>
      </c>
      <c r="E3870" t="str">
        <f t="shared" si="676"/>
        <v>1</v>
      </c>
      <c r="F3870" t="str">
        <f t="shared" si="678"/>
        <v>COM</v>
      </c>
      <c r="G3870" t="str">
        <f>"RICHARD HENRIQUE DA SILVA (244)"</f>
        <v>RICHARD HENRIQUE DA SILVA (244)</v>
      </c>
      <c r="H3870" t="s">
        <v>633</v>
      </c>
      <c r="I3870" t="str">
        <f t="shared" si="673"/>
        <v>19/03/2026</v>
      </c>
      <c r="J3870" t="str">
        <f t="shared" si="681"/>
        <v>11/03/2026</v>
      </c>
      <c r="K3870">
        <v>46100</v>
      </c>
      <c r="N3870">
        <v>109</v>
      </c>
      <c r="O3870" t="s">
        <v>27</v>
      </c>
      <c r="Q3870">
        <v>700</v>
      </c>
      <c r="R3870" t="str">
        <f>"PAGUE MENOS 356 (10291)"</f>
        <v>PAGUE MENOS 356 (10291)</v>
      </c>
      <c r="S3870" t="s">
        <v>37</v>
      </c>
      <c r="T3870">
        <v>31610</v>
      </c>
      <c r="U3870">
        <v>34742</v>
      </c>
      <c r="V3870" t="s">
        <v>37</v>
      </c>
    </row>
    <row r="3871" spans="1:22">
      <c r="A3871" t="str">
        <f t="shared" si="675"/>
        <v>19/03/2026</v>
      </c>
      <c r="B3871" t="str">
        <f t="shared" si="671"/>
        <v>SAÍDA</v>
      </c>
      <c r="C3871" t="str">
        <f t="shared" si="672"/>
        <v>PIX</v>
      </c>
      <c r="D3871" t="str">
        <f>"34858"</f>
        <v>34858</v>
      </c>
      <c r="E3871" t="str">
        <f t="shared" si="676"/>
        <v>1</v>
      </c>
      <c r="F3871" t="str">
        <f t="shared" si="678"/>
        <v>COM</v>
      </c>
      <c r="G3871" t="str">
        <f>"ALEXANDRE PEREIRA DE SOUZA (1252)"</f>
        <v>ALEXANDRE PEREIRA DE SOUZA (1252)</v>
      </c>
      <c r="H3871" t="str">
        <f>"Serv.Prest. 09/03/2026 a 15/03/2026 - PIX: CPF - CHAVE: 497.247.788-19"</f>
        <v>Serv.Prest. 09/03/2026 a 15/03/2026 - PIX: CPF - CHAVE: 497.247.788-19</v>
      </c>
      <c r="I3871" t="str">
        <f t="shared" si="673"/>
        <v>19/03/2026</v>
      </c>
      <c r="J3871" t="str">
        <f t="shared" ref="J3871:J3902" si="682">("16/03/2026")</f>
        <v>16/03/2026</v>
      </c>
      <c r="K3871" t="str">
        <f>("19/03/2026")</f>
        <v>19/03/2026</v>
      </c>
      <c r="L3871">
        <v>973</v>
      </c>
      <c r="M3871">
        <v>973</v>
      </c>
      <c r="N3871">
        <v>109</v>
      </c>
      <c r="O3871" t="str">
        <f>"PAGAMENTO DE ENTREGADORES"</f>
        <v>PAGAMENTO DE ENTREGADORES</v>
      </c>
      <c r="P3871">
        <v>973</v>
      </c>
      <c r="S3871" t="str">
        <f>"BANCO C6 (149)"</f>
        <v>BANCO C6 (149)</v>
      </c>
      <c r="T3871">
        <v>31611</v>
      </c>
      <c r="U3871">
        <v>34858</v>
      </c>
      <c r="V3871" t="s">
        <v>37</v>
      </c>
    </row>
    <row r="3872" spans="1:22">
      <c r="A3872" t="str">
        <f t="shared" si="675"/>
        <v>19/03/2026</v>
      </c>
      <c r="B3872" t="str">
        <f t="shared" si="671"/>
        <v>SAÍDA</v>
      </c>
      <c r="C3872" t="str">
        <f t="shared" si="672"/>
        <v>PIX</v>
      </c>
      <c r="D3872" t="str">
        <f>"34858"</f>
        <v>34858</v>
      </c>
      <c r="E3872" t="str">
        <f t="shared" si="676"/>
        <v>1</v>
      </c>
      <c r="F3872" t="str">
        <f t="shared" si="678"/>
        <v>COM</v>
      </c>
      <c r="G3872" t="str">
        <f>"ALEXANDRE PEREIRA DE SOUZA (1252)"</f>
        <v>ALEXANDRE PEREIRA DE SOUZA (1252)</v>
      </c>
      <c r="H3872" t="s">
        <v>1062</v>
      </c>
      <c r="I3872" t="str">
        <f t="shared" si="673"/>
        <v>19/03/2026</v>
      </c>
      <c r="J3872" t="str">
        <f t="shared" si="682"/>
        <v>16/03/2026</v>
      </c>
      <c r="K3872">
        <v>46100</v>
      </c>
      <c r="N3872">
        <v>109</v>
      </c>
      <c r="O3872" t="s">
        <v>27</v>
      </c>
      <c r="Q3872">
        <v>973</v>
      </c>
      <c r="R3872" t="str">
        <f>"BEM TE FAZ LOJA 3 (10287)"</f>
        <v>BEM TE FAZ LOJA 3 (10287)</v>
      </c>
      <c r="S3872" t="s">
        <v>37</v>
      </c>
      <c r="T3872">
        <v>31611</v>
      </c>
      <c r="U3872">
        <v>34858</v>
      </c>
      <c r="V3872" t="s">
        <v>37</v>
      </c>
    </row>
    <row r="3873" spans="1:22">
      <c r="A3873" t="str">
        <f t="shared" si="675"/>
        <v>19/03/2026</v>
      </c>
      <c r="B3873" t="str">
        <f t="shared" si="671"/>
        <v>SAÍDA</v>
      </c>
      <c r="C3873" t="str">
        <f t="shared" si="672"/>
        <v>PIX</v>
      </c>
      <c r="D3873" t="str">
        <f>"34859"</f>
        <v>34859</v>
      </c>
      <c r="E3873" t="str">
        <f t="shared" si="676"/>
        <v>1</v>
      </c>
      <c r="F3873" t="str">
        <f t="shared" si="678"/>
        <v>COM</v>
      </c>
      <c r="G3873" t="str">
        <f>"ANNIELLE CRISTIANE SILVA BARBOSA GOMES (1228)"</f>
        <v>ANNIELLE CRISTIANE SILVA BARBOSA GOMES (1228)</v>
      </c>
      <c r="H3873" t="str">
        <f>"Serv.Prest. 09/03/2026 a 15/03/2026 - PIX: CPF - CHAVE: 034.458.495-01"</f>
        <v>Serv.Prest. 09/03/2026 a 15/03/2026 - PIX: CPF - CHAVE: 034.458.495-01</v>
      </c>
      <c r="I3873" t="str">
        <f t="shared" si="673"/>
        <v>19/03/2026</v>
      </c>
      <c r="J3873" t="str">
        <f t="shared" si="682"/>
        <v>16/03/2026</v>
      </c>
      <c r="K3873" t="str">
        <f>("19/03/2026")</f>
        <v>19/03/2026</v>
      </c>
      <c r="L3873">
        <v>451</v>
      </c>
      <c r="M3873">
        <v>451</v>
      </c>
      <c r="N3873">
        <v>109</v>
      </c>
      <c r="O3873" t="str">
        <f>"PAGAMENTO DE ENTREGADORES"</f>
        <v>PAGAMENTO DE ENTREGADORES</v>
      </c>
      <c r="P3873">
        <v>451</v>
      </c>
      <c r="S3873" t="str">
        <f>"BANCO C6 (149)"</f>
        <v>BANCO C6 (149)</v>
      </c>
      <c r="T3873">
        <v>31612</v>
      </c>
      <c r="U3873">
        <v>34859</v>
      </c>
      <c r="V3873" t="s">
        <v>37</v>
      </c>
    </row>
    <row r="3874" spans="1:22">
      <c r="A3874" t="str">
        <f t="shared" si="675"/>
        <v>19/03/2026</v>
      </c>
      <c r="B3874" t="str">
        <f t="shared" si="671"/>
        <v>SAÍDA</v>
      </c>
      <c r="C3874" t="str">
        <f t="shared" si="672"/>
        <v>PIX</v>
      </c>
      <c r="D3874" t="str">
        <f>"34859"</f>
        <v>34859</v>
      </c>
      <c r="E3874" t="str">
        <f t="shared" si="676"/>
        <v>1</v>
      </c>
      <c r="F3874" t="str">
        <f t="shared" si="678"/>
        <v>COM</v>
      </c>
      <c r="G3874" t="str">
        <f>"ANNIELLE CRISTIANE SILVA BARBOSA GOMES (1228)"</f>
        <v>ANNIELLE CRISTIANE SILVA BARBOSA GOMES (1228)</v>
      </c>
      <c r="H3874" t="s">
        <v>961</v>
      </c>
      <c r="I3874" t="str">
        <f t="shared" si="673"/>
        <v>19/03/2026</v>
      </c>
      <c r="J3874" t="str">
        <f t="shared" si="682"/>
        <v>16/03/2026</v>
      </c>
      <c r="K3874">
        <v>46100</v>
      </c>
      <c r="N3874">
        <v>109</v>
      </c>
      <c r="O3874" t="s">
        <v>27</v>
      </c>
      <c r="Q3874">
        <v>451</v>
      </c>
      <c r="R3874" t="str">
        <f>"BEM TE FAZ LOJA 7 (10285)"</f>
        <v>BEM TE FAZ LOJA 7 (10285)</v>
      </c>
      <c r="S3874" t="s">
        <v>37</v>
      </c>
      <c r="T3874">
        <v>31612</v>
      </c>
      <c r="U3874">
        <v>34859</v>
      </c>
      <c r="V3874" t="s">
        <v>37</v>
      </c>
    </row>
    <row r="3875" spans="1:22">
      <c r="A3875" t="str">
        <f t="shared" si="675"/>
        <v>19/03/2026</v>
      </c>
      <c r="B3875" t="str">
        <f t="shared" si="671"/>
        <v>SAÍDA</v>
      </c>
      <c r="C3875" t="str">
        <f t="shared" si="672"/>
        <v>PIX</v>
      </c>
      <c r="D3875" t="str">
        <f>"34860"</f>
        <v>34860</v>
      </c>
      <c r="E3875" t="str">
        <f t="shared" si="676"/>
        <v>1</v>
      </c>
      <c r="F3875" t="str">
        <f t="shared" si="678"/>
        <v>COM</v>
      </c>
      <c r="G3875" t="str">
        <f>"ANNIELLE CRISTIANE SILVA BARBOSA GOMES (1228)"</f>
        <v>ANNIELLE CRISTIANE SILVA BARBOSA GOMES (1228)</v>
      </c>
      <c r="H3875" t="str">
        <f>"Serv.Prest. 09/03/2026 a 15/03/2026 - PIX: CPF - CHAVE: 034.458.495-01"</f>
        <v>Serv.Prest. 09/03/2026 a 15/03/2026 - PIX: CPF - CHAVE: 034.458.495-01</v>
      </c>
      <c r="I3875" t="str">
        <f t="shared" si="673"/>
        <v>19/03/2026</v>
      </c>
      <c r="J3875" t="str">
        <f t="shared" si="682"/>
        <v>16/03/2026</v>
      </c>
      <c r="K3875" t="str">
        <f>("19/03/2026")</f>
        <v>19/03/2026</v>
      </c>
      <c r="L3875">
        <v>7</v>
      </c>
      <c r="M3875">
        <v>7</v>
      </c>
      <c r="N3875">
        <v>109</v>
      </c>
      <c r="O3875" t="str">
        <f>"PAGAMENTO DE ENTREGADORES"</f>
        <v>PAGAMENTO DE ENTREGADORES</v>
      </c>
      <c r="P3875">
        <v>7</v>
      </c>
      <c r="S3875" t="str">
        <f>"BANCO C6 (149)"</f>
        <v>BANCO C6 (149)</v>
      </c>
      <c r="T3875">
        <v>31613</v>
      </c>
      <c r="U3875">
        <v>34860</v>
      </c>
      <c r="V3875" t="s">
        <v>37</v>
      </c>
    </row>
    <row r="3876" spans="1:22">
      <c r="A3876" t="str">
        <f t="shared" si="675"/>
        <v>19/03/2026</v>
      </c>
      <c r="B3876" t="str">
        <f t="shared" si="671"/>
        <v>SAÍDA</v>
      </c>
      <c r="C3876" t="str">
        <f t="shared" si="672"/>
        <v>PIX</v>
      </c>
      <c r="D3876" t="str">
        <f>"34860"</f>
        <v>34860</v>
      </c>
      <c r="E3876" t="str">
        <f t="shared" si="676"/>
        <v>1</v>
      </c>
      <c r="F3876" t="str">
        <f t="shared" si="678"/>
        <v>COM</v>
      </c>
      <c r="G3876" t="str">
        <f>"ANNIELLE CRISTIANE SILVA BARBOSA GOMES (1228)"</f>
        <v>ANNIELLE CRISTIANE SILVA BARBOSA GOMES (1228)</v>
      </c>
      <c r="H3876" t="s">
        <v>961</v>
      </c>
      <c r="I3876" t="str">
        <f t="shared" si="673"/>
        <v>19/03/2026</v>
      </c>
      <c r="J3876" t="str">
        <f t="shared" si="682"/>
        <v>16/03/2026</v>
      </c>
      <c r="K3876">
        <v>46100</v>
      </c>
      <c r="N3876">
        <v>109</v>
      </c>
      <c r="O3876" t="s">
        <v>27</v>
      </c>
      <c r="Q3876">
        <v>7</v>
      </c>
      <c r="R3876" t="str">
        <f>"BEM TE FAZ LOJA 6 (10284)"</f>
        <v>BEM TE FAZ LOJA 6 (10284)</v>
      </c>
      <c r="S3876" t="s">
        <v>37</v>
      </c>
      <c r="T3876">
        <v>31613</v>
      </c>
      <c r="U3876">
        <v>34860</v>
      </c>
      <c r="V3876" t="s">
        <v>37</v>
      </c>
    </row>
    <row r="3877" spans="1:22">
      <c r="A3877" t="str">
        <f t="shared" si="675"/>
        <v>19/03/2026</v>
      </c>
      <c r="B3877" t="str">
        <f t="shared" si="671"/>
        <v>SAÍDA</v>
      </c>
      <c r="C3877" t="str">
        <f t="shared" si="672"/>
        <v>PIX</v>
      </c>
      <c r="D3877" t="str">
        <f>"34861"</f>
        <v>34861</v>
      </c>
      <c r="E3877" t="str">
        <f t="shared" si="676"/>
        <v>1</v>
      </c>
      <c r="F3877" t="str">
        <f t="shared" si="678"/>
        <v>COM</v>
      </c>
      <c r="G3877" t="str">
        <f>"CARLOS ALBERTO FELIX JUNIOR (1312)"</f>
        <v>CARLOS ALBERTO FELIX JUNIOR (1312)</v>
      </c>
      <c r="H3877" t="str">
        <f>"Serv.Prest. 09/03/2026 a 15/03/2026 - PIX: CELULAR - CHAVE: (19) 98985-7796"</f>
        <v>Serv.Prest. 09/03/2026 a 15/03/2026 - PIX: CELULAR - CHAVE: (19) 98985-7796</v>
      </c>
      <c r="I3877" t="str">
        <f t="shared" si="673"/>
        <v>19/03/2026</v>
      </c>
      <c r="J3877" t="str">
        <f t="shared" si="682"/>
        <v>16/03/2026</v>
      </c>
      <c r="K3877" t="str">
        <f>("19/03/2026")</f>
        <v>19/03/2026</v>
      </c>
      <c r="L3877">
        <v>1365</v>
      </c>
      <c r="M3877">
        <v>1365</v>
      </c>
      <c r="N3877">
        <v>109</v>
      </c>
      <c r="O3877" t="str">
        <f>"PAGAMENTO DE ENTREGADORES"</f>
        <v>PAGAMENTO DE ENTREGADORES</v>
      </c>
      <c r="P3877">
        <v>1365</v>
      </c>
      <c r="S3877" t="str">
        <f>"BANCO C6 (149)"</f>
        <v>BANCO C6 (149)</v>
      </c>
      <c r="T3877">
        <v>31614</v>
      </c>
      <c r="U3877">
        <v>34861</v>
      </c>
      <c r="V3877" t="s">
        <v>37</v>
      </c>
    </row>
    <row r="3878" spans="1:22">
      <c r="A3878" t="str">
        <f t="shared" si="675"/>
        <v>19/03/2026</v>
      </c>
      <c r="B3878" t="str">
        <f t="shared" si="671"/>
        <v>SAÍDA</v>
      </c>
      <c r="C3878" t="str">
        <f t="shared" si="672"/>
        <v>PIX</v>
      </c>
      <c r="D3878" t="str">
        <f>"34861"</f>
        <v>34861</v>
      </c>
      <c r="E3878" t="str">
        <f t="shared" si="676"/>
        <v>1</v>
      </c>
      <c r="F3878" t="str">
        <f t="shared" si="678"/>
        <v>COM</v>
      </c>
      <c r="G3878" t="str">
        <f>"CARLOS ALBERTO FELIX JUNIOR (1312)"</f>
        <v>CARLOS ALBERTO FELIX JUNIOR (1312)</v>
      </c>
      <c r="H3878" t="s">
        <v>1063</v>
      </c>
      <c r="I3878" t="str">
        <f t="shared" si="673"/>
        <v>19/03/2026</v>
      </c>
      <c r="J3878" t="str">
        <f t="shared" si="682"/>
        <v>16/03/2026</v>
      </c>
      <c r="K3878">
        <v>46100</v>
      </c>
      <c r="N3878">
        <v>109</v>
      </c>
      <c r="O3878" t="s">
        <v>27</v>
      </c>
      <c r="Q3878">
        <v>1365</v>
      </c>
      <c r="R3878" t="str">
        <f>"BEM TE FAZ LOJA 3 (10287)"</f>
        <v>BEM TE FAZ LOJA 3 (10287)</v>
      </c>
      <c r="S3878" t="s">
        <v>37</v>
      </c>
      <c r="T3878">
        <v>31614</v>
      </c>
      <c r="U3878">
        <v>34861</v>
      </c>
      <c r="V3878" t="s">
        <v>37</v>
      </c>
    </row>
    <row r="3879" spans="1:22">
      <c r="A3879" t="str">
        <f t="shared" si="675"/>
        <v>19/03/2026</v>
      </c>
      <c r="B3879" t="str">
        <f t="shared" si="671"/>
        <v>SAÍDA</v>
      </c>
      <c r="C3879" t="str">
        <f t="shared" si="672"/>
        <v>PIX</v>
      </c>
      <c r="D3879" t="str">
        <f>"34862"</f>
        <v>34862</v>
      </c>
      <c r="E3879" t="str">
        <f t="shared" si="676"/>
        <v>1</v>
      </c>
      <c r="F3879" t="str">
        <f t="shared" si="678"/>
        <v>COM</v>
      </c>
      <c r="G3879" t="str">
        <f>"FELIPE CHARLES SANTANA DEGASPARE (1246)"</f>
        <v>FELIPE CHARLES SANTANA DEGASPARE (1246)</v>
      </c>
      <c r="H3879" t="str">
        <f>"Serv.Prest. 09/03/2026 a 15/03/2026 - PIX: CPF - CHAVE: 373.103.168-00"</f>
        <v>Serv.Prest. 09/03/2026 a 15/03/2026 - PIX: CPF - CHAVE: 373.103.168-00</v>
      </c>
      <c r="I3879" t="str">
        <f t="shared" si="673"/>
        <v>19/03/2026</v>
      </c>
      <c r="J3879" t="str">
        <f t="shared" si="682"/>
        <v>16/03/2026</v>
      </c>
      <c r="K3879" t="str">
        <f>("19/03/2026")</f>
        <v>19/03/2026</v>
      </c>
      <c r="L3879">
        <v>987</v>
      </c>
      <c r="M3879">
        <v>987</v>
      </c>
      <c r="N3879">
        <v>109</v>
      </c>
      <c r="O3879" t="str">
        <f>"PAGAMENTO DE ENTREGADORES"</f>
        <v>PAGAMENTO DE ENTREGADORES</v>
      </c>
      <c r="P3879">
        <v>987</v>
      </c>
      <c r="S3879" t="str">
        <f>"BANCO C6 (149)"</f>
        <v>BANCO C6 (149)</v>
      </c>
      <c r="T3879">
        <v>31615</v>
      </c>
      <c r="U3879">
        <v>34862</v>
      </c>
      <c r="V3879" t="s">
        <v>37</v>
      </c>
    </row>
    <row r="3880" spans="1:22">
      <c r="A3880" t="str">
        <f t="shared" si="675"/>
        <v>19/03/2026</v>
      </c>
      <c r="B3880" t="str">
        <f t="shared" si="671"/>
        <v>SAÍDA</v>
      </c>
      <c r="C3880" t="str">
        <f t="shared" si="672"/>
        <v>PIX</v>
      </c>
      <c r="D3880" t="str">
        <f>"34862"</f>
        <v>34862</v>
      </c>
      <c r="E3880" t="str">
        <f t="shared" si="676"/>
        <v>1</v>
      </c>
      <c r="F3880" t="str">
        <f t="shared" si="678"/>
        <v>COM</v>
      </c>
      <c r="G3880" t="str">
        <f>"FELIPE CHARLES SANTANA DEGASPARE (1246)"</f>
        <v>FELIPE CHARLES SANTANA DEGASPARE (1246)</v>
      </c>
      <c r="H3880" t="s">
        <v>1064</v>
      </c>
      <c r="I3880" t="str">
        <f t="shared" si="673"/>
        <v>19/03/2026</v>
      </c>
      <c r="J3880" t="str">
        <f t="shared" si="682"/>
        <v>16/03/2026</v>
      </c>
      <c r="K3880">
        <v>46100</v>
      </c>
      <c r="N3880">
        <v>109</v>
      </c>
      <c r="O3880" t="s">
        <v>27</v>
      </c>
      <c r="Q3880">
        <v>987</v>
      </c>
      <c r="R3880" t="str">
        <f>"BEM TE FAZ LOJA 3 (10287)"</f>
        <v>BEM TE FAZ LOJA 3 (10287)</v>
      </c>
      <c r="S3880" t="s">
        <v>37</v>
      </c>
      <c r="T3880">
        <v>31615</v>
      </c>
      <c r="U3880">
        <v>34862</v>
      </c>
      <c r="V3880" t="s">
        <v>37</v>
      </c>
    </row>
    <row r="3881" spans="1:22">
      <c r="A3881" t="str">
        <f t="shared" si="675"/>
        <v>19/03/2026</v>
      </c>
      <c r="B3881" t="str">
        <f t="shared" ref="B3881:B3944" si="683">"SAÍDA"</f>
        <v>SAÍDA</v>
      </c>
      <c r="C3881" t="str">
        <f t="shared" ref="C3881:C3944" si="684">"PIX"</f>
        <v>PIX</v>
      </c>
      <c r="D3881" t="str">
        <f>"34863"</f>
        <v>34863</v>
      </c>
      <c r="E3881" t="str">
        <f t="shared" si="676"/>
        <v>1</v>
      </c>
      <c r="F3881" t="str">
        <f t="shared" si="678"/>
        <v>COM</v>
      </c>
      <c r="G3881" t="str">
        <f t="shared" ref="G3881:G3886" si="685">"HIGOR DE SOUZA MACEDO (1273)"</f>
        <v>HIGOR DE SOUZA MACEDO (1273)</v>
      </c>
      <c r="H3881" t="str">
        <f>"Serv.Prest. 09/03/2026 a 15/03/2026 - PIX: CELULAR - CHAVE: (19) 99893-1311"</f>
        <v>Serv.Prest. 09/03/2026 a 15/03/2026 - PIX: CELULAR - CHAVE: (19) 99893-1311</v>
      </c>
      <c r="I3881" t="str">
        <f t="shared" ref="I3881:I3944" si="686">("19/03/2026")</f>
        <v>19/03/2026</v>
      </c>
      <c r="J3881" t="str">
        <f t="shared" si="682"/>
        <v>16/03/2026</v>
      </c>
      <c r="K3881" t="str">
        <f>("19/03/2026")</f>
        <v>19/03/2026</v>
      </c>
      <c r="L3881">
        <v>511</v>
      </c>
      <c r="M3881">
        <v>511</v>
      </c>
      <c r="N3881">
        <v>109</v>
      </c>
      <c r="O3881" t="str">
        <f>"PAGAMENTO DE ENTREGADORES"</f>
        <v>PAGAMENTO DE ENTREGADORES</v>
      </c>
      <c r="P3881">
        <v>511</v>
      </c>
      <c r="S3881" t="str">
        <f>"BANCO C6 (149)"</f>
        <v>BANCO C6 (149)</v>
      </c>
      <c r="T3881">
        <v>31616</v>
      </c>
      <c r="U3881">
        <v>34863</v>
      </c>
      <c r="V3881" t="s">
        <v>37</v>
      </c>
    </row>
    <row r="3882" spans="1:22">
      <c r="A3882" t="str">
        <f t="shared" si="675"/>
        <v>19/03/2026</v>
      </c>
      <c r="B3882" t="str">
        <f t="shared" si="683"/>
        <v>SAÍDA</v>
      </c>
      <c r="C3882" t="str">
        <f t="shared" si="684"/>
        <v>PIX</v>
      </c>
      <c r="D3882" t="str">
        <f>"34863"</f>
        <v>34863</v>
      </c>
      <c r="E3882" t="str">
        <f t="shared" si="676"/>
        <v>1</v>
      </c>
      <c r="F3882" t="str">
        <f t="shared" si="678"/>
        <v>COM</v>
      </c>
      <c r="G3882" t="str">
        <f t="shared" si="685"/>
        <v>HIGOR DE SOUZA MACEDO (1273)</v>
      </c>
      <c r="H3882" t="s">
        <v>1065</v>
      </c>
      <c r="I3882" t="str">
        <f t="shared" si="686"/>
        <v>19/03/2026</v>
      </c>
      <c r="J3882" t="str">
        <f t="shared" si="682"/>
        <v>16/03/2026</v>
      </c>
      <c r="K3882">
        <v>46100</v>
      </c>
      <c r="N3882">
        <v>109</v>
      </c>
      <c r="O3882" t="s">
        <v>27</v>
      </c>
      <c r="Q3882">
        <v>511</v>
      </c>
      <c r="R3882" t="str">
        <f>"BEM TE FAZ LOJA 7 (10285)"</f>
        <v>BEM TE FAZ LOJA 7 (10285)</v>
      </c>
      <c r="S3882" t="s">
        <v>37</v>
      </c>
      <c r="T3882">
        <v>31616</v>
      </c>
      <c r="U3882">
        <v>34863</v>
      </c>
      <c r="V3882" t="s">
        <v>37</v>
      </c>
    </row>
    <row r="3883" spans="1:22">
      <c r="A3883" t="str">
        <f t="shared" si="675"/>
        <v>19/03/2026</v>
      </c>
      <c r="B3883" t="str">
        <f t="shared" si="683"/>
        <v>SAÍDA</v>
      </c>
      <c r="C3883" t="str">
        <f t="shared" si="684"/>
        <v>PIX</v>
      </c>
      <c r="D3883" t="str">
        <f>"34864"</f>
        <v>34864</v>
      </c>
      <c r="E3883" t="str">
        <f t="shared" si="676"/>
        <v>1</v>
      </c>
      <c r="F3883" t="str">
        <f t="shared" si="678"/>
        <v>COM</v>
      </c>
      <c r="G3883" t="str">
        <f t="shared" si="685"/>
        <v>HIGOR DE SOUZA MACEDO (1273)</v>
      </c>
      <c r="H3883" t="str">
        <f>"Serv.Prest. 09/03/2026 a 15/03/2026 - PIX: CELULAR - CHAVE: (19) 99893-1311"</f>
        <v>Serv.Prest. 09/03/2026 a 15/03/2026 - PIX: CELULAR - CHAVE: (19) 99893-1311</v>
      </c>
      <c r="I3883" t="str">
        <f t="shared" si="686"/>
        <v>19/03/2026</v>
      </c>
      <c r="J3883" t="str">
        <f t="shared" si="682"/>
        <v>16/03/2026</v>
      </c>
      <c r="K3883" t="str">
        <f>("19/03/2026")</f>
        <v>19/03/2026</v>
      </c>
      <c r="L3883">
        <v>112</v>
      </c>
      <c r="M3883">
        <v>112</v>
      </c>
      <c r="N3883">
        <v>109</v>
      </c>
      <c r="O3883" t="str">
        <f>"PAGAMENTO DE ENTREGADORES"</f>
        <v>PAGAMENTO DE ENTREGADORES</v>
      </c>
      <c r="P3883">
        <v>112</v>
      </c>
      <c r="S3883" t="str">
        <f>"BANCO C6 (149)"</f>
        <v>BANCO C6 (149)</v>
      </c>
      <c r="T3883">
        <v>31617</v>
      </c>
      <c r="U3883">
        <v>34864</v>
      </c>
      <c r="V3883" t="s">
        <v>37</v>
      </c>
    </row>
    <row r="3884" spans="1:22">
      <c r="A3884" t="str">
        <f t="shared" si="675"/>
        <v>19/03/2026</v>
      </c>
      <c r="B3884" t="str">
        <f t="shared" si="683"/>
        <v>SAÍDA</v>
      </c>
      <c r="C3884" t="str">
        <f t="shared" si="684"/>
        <v>PIX</v>
      </c>
      <c r="D3884" t="str">
        <f>"34864"</f>
        <v>34864</v>
      </c>
      <c r="E3884" t="str">
        <f t="shared" si="676"/>
        <v>1</v>
      </c>
      <c r="F3884" t="str">
        <f t="shared" si="678"/>
        <v>COM</v>
      </c>
      <c r="G3884" t="str">
        <f t="shared" si="685"/>
        <v>HIGOR DE SOUZA MACEDO (1273)</v>
      </c>
      <c r="H3884" t="s">
        <v>1065</v>
      </c>
      <c r="I3884" t="str">
        <f t="shared" si="686"/>
        <v>19/03/2026</v>
      </c>
      <c r="J3884" t="str">
        <f t="shared" si="682"/>
        <v>16/03/2026</v>
      </c>
      <c r="K3884">
        <v>46100</v>
      </c>
      <c r="N3884">
        <v>109</v>
      </c>
      <c r="O3884" t="s">
        <v>27</v>
      </c>
      <c r="Q3884">
        <v>112</v>
      </c>
      <c r="R3884" t="str">
        <f>"BEM TE FAZ LOJA 9 (10286)"</f>
        <v>BEM TE FAZ LOJA 9 (10286)</v>
      </c>
      <c r="S3884" t="s">
        <v>37</v>
      </c>
      <c r="T3884">
        <v>31617</v>
      </c>
      <c r="U3884">
        <v>34864</v>
      </c>
      <c r="V3884" t="s">
        <v>37</v>
      </c>
    </row>
    <row r="3885" spans="1:22">
      <c r="A3885" t="str">
        <f t="shared" si="675"/>
        <v>19/03/2026</v>
      </c>
      <c r="B3885" t="str">
        <f t="shared" si="683"/>
        <v>SAÍDA</v>
      </c>
      <c r="C3885" t="str">
        <f t="shared" si="684"/>
        <v>PIX</v>
      </c>
      <c r="D3885" t="str">
        <f>"34865"</f>
        <v>34865</v>
      </c>
      <c r="E3885" t="str">
        <f t="shared" si="676"/>
        <v>1</v>
      </c>
      <c r="F3885" t="str">
        <f t="shared" si="678"/>
        <v>COM</v>
      </c>
      <c r="G3885" t="str">
        <f t="shared" si="685"/>
        <v>HIGOR DE SOUZA MACEDO (1273)</v>
      </c>
      <c r="H3885" t="str">
        <f>"Serv.Prest. 09/03/2026 a 15/03/2026 - PIX: CELULAR - CHAVE: (19) 99893-1311"</f>
        <v>Serv.Prest. 09/03/2026 a 15/03/2026 - PIX: CELULAR - CHAVE: (19) 99893-1311</v>
      </c>
      <c r="I3885" t="str">
        <f t="shared" si="686"/>
        <v>19/03/2026</v>
      </c>
      <c r="J3885" t="str">
        <f t="shared" si="682"/>
        <v>16/03/2026</v>
      </c>
      <c r="K3885" t="str">
        <f>("19/03/2026")</f>
        <v>19/03/2026</v>
      </c>
      <c r="L3885">
        <v>805</v>
      </c>
      <c r="M3885">
        <v>805</v>
      </c>
      <c r="N3885">
        <v>109</v>
      </c>
      <c r="O3885" t="str">
        <f>"PAGAMENTO DE ENTREGADORES"</f>
        <v>PAGAMENTO DE ENTREGADORES</v>
      </c>
      <c r="P3885">
        <v>805</v>
      </c>
      <c r="S3885" t="str">
        <f>"BANCO C6 (149)"</f>
        <v>BANCO C6 (149)</v>
      </c>
      <c r="T3885">
        <v>31618</v>
      </c>
      <c r="U3885">
        <v>34865</v>
      </c>
      <c r="V3885" t="s">
        <v>37</v>
      </c>
    </row>
    <row r="3886" spans="1:22">
      <c r="A3886" t="str">
        <f t="shared" si="675"/>
        <v>19/03/2026</v>
      </c>
      <c r="B3886" t="str">
        <f t="shared" si="683"/>
        <v>SAÍDA</v>
      </c>
      <c r="C3886" t="str">
        <f t="shared" si="684"/>
        <v>PIX</v>
      </c>
      <c r="D3886" t="str">
        <f>"34865"</f>
        <v>34865</v>
      </c>
      <c r="E3886" t="str">
        <f t="shared" si="676"/>
        <v>1</v>
      </c>
      <c r="F3886" t="str">
        <f t="shared" si="678"/>
        <v>COM</v>
      </c>
      <c r="G3886" t="str">
        <f t="shared" si="685"/>
        <v>HIGOR DE SOUZA MACEDO (1273)</v>
      </c>
      <c r="H3886" t="s">
        <v>1065</v>
      </c>
      <c r="I3886" t="str">
        <f t="shared" si="686"/>
        <v>19/03/2026</v>
      </c>
      <c r="J3886" t="str">
        <f t="shared" si="682"/>
        <v>16/03/2026</v>
      </c>
      <c r="K3886">
        <v>46100</v>
      </c>
      <c r="N3886">
        <v>109</v>
      </c>
      <c r="O3886" t="s">
        <v>27</v>
      </c>
      <c r="Q3886">
        <v>805</v>
      </c>
      <c r="R3886" t="str">
        <f>"BEM TE FAZ LOJA 6 (10284)"</f>
        <v>BEM TE FAZ LOJA 6 (10284)</v>
      </c>
      <c r="S3886" t="s">
        <v>37</v>
      </c>
      <c r="T3886">
        <v>31618</v>
      </c>
      <c r="U3886">
        <v>34865</v>
      </c>
      <c r="V3886" t="s">
        <v>37</v>
      </c>
    </row>
    <row r="3887" spans="1:22">
      <c r="A3887" t="str">
        <f t="shared" si="675"/>
        <v>19/03/2026</v>
      </c>
      <c r="B3887" t="str">
        <f t="shared" si="683"/>
        <v>SAÍDA</v>
      </c>
      <c r="C3887" t="str">
        <f t="shared" si="684"/>
        <v>PIX</v>
      </c>
      <c r="D3887" t="str">
        <f>"34866"</f>
        <v>34866</v>
      </c>
      <c r="E3887" t="str">
        <f t="shared" si="676"/>
        <v>1</v>
      </c>
      <c r="F3887" t="str">
        <f t="shared" si="678"/>
        <v>COM</v>
      </c>
      <c r="G3887" t="str">
        <f>"IVANILDO RODRIGUES CUSTODIO (1198)"</f>
        <v>IVANILDO RODRIGUES CUSTODIO (1198)</v>
      </c>
      <c r="H3887" t="str">
        <f>"Serv.Prest. 09/03/2026 a 15/03/2026 - PIX: CPF - CHAVE: 085.309.406-36"</f>
        <v>Serv.Prest. 09/03/2026 a 15/03/2026 - PIX: CPF - CHAVE: 085.309.406-36</v>
      </c>
      <c r="I3887" t="str">
        <f t="shared" si="686"/>
        <v>19/03/2026</v>
      </c>
      <c r="J3887" t="str">
        <f t="shared" si="682"/>
        <v>16/03/2026</v>
      </c>
      <c r="K3887" t="str">
        <f>("19/03/2026")</f>
        <v>19/03/2026</v>
      </c>
      <c r="L3887">
        <v>854</v>
      </c>
      <c r="M3887">
        <v>854</v>
      </c>
      <c r="N3887">
        <v>109</v>
      </c>
      <c r="O3887" t="str">
        <f>"PAGAMENTO DE ENTREGADORES"</f>
        <v>PAGAMENTO DE ENTREGADORES</v>
      </c>
      <c r="P3887">
        <v>854</v>
      </c>
      <c r="S3887" t="str">
        <f>"BANCO C6 (149)"</f>
        <v>BANCO C6 (149)</v>
      </c>
      <c r="T3887">
        <v>31619</v>
      </c>
      <c r="U3887">
        <v>34866</v>
      </c>
      <c r="V3887" t="s">
        <v>37</v>
      </c>
    </row>
    <row r="3888" spans="1:22">
      <c r="A3888" t="str">
        <f t="shared" ref="A3888:A3951" si="687">("19/03/2026")</f>
        <v>19/03/2026</v>
      </c>
      <c r="B3888" t="str">
        <f t="shared" si="683"/>
        <v>SAÍDA</v>
      </c>
      <c r="C3888" t="str">
        <f t="shared" si="684"/>
        <v>PIX</v>
      </c>
      <c r="D3888" t="str">
        <f>"34866"</f>
        <v>34866</v>
      </c>
      <c r="E3888" t="str">
        <f t="shared" si="676"/>
        <v>1</v>
      </c>
      <c r="F3888" t="str">
        <f t="shared" si="678"/>
        <v>COM</v>
      </c>
      <c r="G3888" t="str">
        <f>"IVANILDO RODRIGUES CUSTODIO (1198)"</f>
        <v>IVANILDO RODRIGUES CUSTODIO (1198)</v>
      </c>
      <c r="H3888" t="s">
        <v>1066</v>
      </c>
      <c r="I3888" t="str">
        <f t="shared" si="686"/>
        <v>19/03/2026</v>
      </c>
      <c r="J3888" t="str">
        <f t="shared" si="682"/>
        <v>16/03/2026</v>
      </c>
      <c r="K3888">
        <v>46100</v>
      </c>
      <c r="N3888">
        <v>109</v>
      </c>
      <c r="O3888" t="s">
        <v>27</v>
      </c>
      <c r="Q3888">
        <v>854</v>
      </c>
      <c r="R3888" t="str">
        <f>"BEM TE FAZ LOJA 6 (10284)"</f>
        <v>BEM TE FAZ LOJA 6 (10284)</v>
      </c>
      <c r="S3888" t="s">
        <v>37</v>
      </c>
      <c r="T3888">
        <v>31619</v>
      </c>
      <c r="U3888">
        <v>34866</v>
      </c>
      <c r="V3888" t="s">
        <v>37</v>
      </c>
    </row>
    <row r="3889" spans="1:22">
      <c r="A3889" t="str">
        <f t="shared" si="687"/>
        <v>19/03/2026</v>
      </c>
      <c r="B3889" t="str">
        <f t="shared" si="683"/>
        <v>SAÍDA</v>
      </c>
      <c r="C3889" t="str">
        <f t="shared" si="684"/>
        <v>PIX</v>
      </c>
      <c r="D3889" t="str">
        <f>"34867"</f>
        <v>34867</v>
      </c>
      <c r="E3889" t="str">
        <f t="shared" si="676"/>
        <v>1</v>
      </c>
      <c r="F3889" t="str">
        <f t="shared" si="678"/>
        <v>COM</v>
      </c>
      <c r="G3889" t="str">
        <f>"IVANILDO RODRIGUES CUSTODIO (1198)"</f>
        <v>IVANILDO RODRIGUES CUSTODIO (1198)</v>
      </c>
      <c r="H3889" t="str">
        <f>"Serv.Prest. 09/03/2026 a 15/03/2026 - PIX: CPF - CHAVE: 085.309.406-36"</f>
        <v>Serv.Prest. 09/03/2026 a 15/03/2026 - PIX: CPF - CHAVE: 085.309.406-36</v>
      </c>
      <c r="I3889" t="str">
        <f t="shared" si="686"/>
        <v>19/03/2026</v>
      </c>
      <c r="J3889" t="str">
        <f t="shared" si="682"/>
        <v>16/03/2026</v>
      </c>
      <c r="K3889" t="str">
        <f>("19/03/2026")</f>
        <v>19/03/2026</v>
      </c>
      <c r="L3889">
        <v>14</v>
      </c>
      <c r="M3889">
        <v>14</v>
      </c>
      <c r="N3889">
        <v>109</v>
      </c>
      <c r="O3889" t="str">
        <f>"PAGAMENTO DE ENTREGADORES"</f>
        <v>PAGAMENTO DE ENTREGADORES</v>
      </c>
      <c r="P3889">
        <v>14</v>
      </c>
      <c r="S3889" t="str">
        <f>"BANCO C6 (149)"</f>
        <v>BANCO C6 (149)</v>
      </c>
      <c r="T3889">
        <v>31620</v>
      </c>
      <c r="U3889">
        <v>34867</v>
      </c>
      <c r="V3889" t="s">
        <v>37</v>
      </c>
    </row>
    <row r="3890" spans="1:22">
      <c r="A3890" t="str">
        <f t="shared" si="687"/>
        <v>19/03/2026</v>
      </c>
      <c r="B3890" t="str">
        <f t="shared" si="683"/>
        <v>SAÍDA</v>
      </c>
      <c r="C3890" t="str">
        <f t="shared" si="684"/>
        <v>PIX</v>
      </c>
      <c r="D3890" t="str">
        <f>"34867"</f>
        <v>34867</v>
      </c>
      <c r="E3890" t="str">
        <f t="shared" si="676"/>
        <v>1</v>
      </c>
      <c r="F3890" t="str">
        <f t="shared" si="678"/>
        <v>COM</v>
      </c>
      <c r="G3890" t="str">
        <f>"IVANILDO RODRIGUES CUSTODIO (1198)"</f>
        <v>IVANILDO RODRIGUES CUSTODIO (1198)</v>
      </c>
      <c r="H3890" t="s">
        <v>1066</v>
      </c>
      <c r="I3890" t="str">
        <f t="shared" si="686"/>
        <v>19/03/2026</v>
      </c>
      <c r="J3890" t="str">
        <f t="shared" si="682"/>
        <v>16/03/2026</v>
      </c>
      <c r="K3890">
        <v>46100</v>
      </c>
      <c r="N3890">
        <v>109</v>
      </c>
      <c r="O3890" t="s">
        <v>27</v>
      </c>
      <c r="Q3890">
        <v>14</v>
      </c>
      <c r="R3890" t="str">
        <f>"BEM TE FAZ 05 (10294)"</f>
        <v>BEM TE FAZ 05 (10294)</v>
      </c>
      <c r="S3890" t="s">
        <v>37</v>
      </c>
      <c r="T3890">
        <v>31620</v>
      </c>
      <c r="U3890">
        <v>34867</v>
      </c>
      <c r="V3890" t="s">
        <v>37</v>
      </c>
    </row>
    <row r="3891" spans="1:22">
      <c r="A3891" t="str">
        <f t="shared" si="687"/>
        <v>19/03/2026</v>
      </c>
      <c r="B3891" t="str">
        <f t="shared" si="683"/>
        <v>SAÍDA</v>
      </c>
      <c r="C3891" t="str">
        <f t="shared" si="684"/>
        <v>PIX</v>
      </c>
      <c r="D3891" t="str">
        <f>"34868"</f>
        <v>34868</v>
      </c>
      <c r="E3891" t="str">
        <f t="shared" si="676"/>
        <v>1</v>
      </c>
      <c r="F3891" t="str">
        <f t="shared" si="678"/>
        <v>COM</v>
      </c>
      <c r="G3891" t="str">
        <f>"JHONATHAN RODRIGUES MOREIRA (1280)"</f>
        <v>JHONATHAN RODRIGUES MOREIRA (1280)</v>
      </c>
      <c r="H3891" t="str">
        <f>"Serv.Prest. 09/03/2026 a 15/03/2026 - PIX: CPF - CHAVE: 397.101.368-60"</f>
        <v>Serv.Prest. 09/03/2026 a 15/03/2026 - PIX: CPF - CHAVE: 397.101.368-60</v>
      </c>
      <c r="I3891" t="str">
        <f t="shared" si="686"/>
        <v>19/03/2026</v>
      </c>
      <c r="J3891" t="str">
        <f t="shared" si="682"/>
        <v>16/03/2026</v>
      </c>
      <c r="K3891" t="str">
        <f>("19/03/2026")</f>
        <v>19/03/2026</v>
      </c>
      <c r="L3891">
        <v>1141</v>
      </c>
      <c r="M3891">
        <v>1141</v>
      </c>
      <c r="N3891">
        <v>109</v>
      </c>
      <c r="O3891" t="str">
        <f>"PAGAMENTO DE ENTREGADORES"</f>
        <v>PAGAMENTO DE ENTREGADORES</v>
      </c>
      <c r="P3891">
        <v>1141</v>
      </c>
      <c r="S3891" t="str">
        <f>"BANCO C6 (149)"</f>
        <v>BANCO C6 (149)</v>
      </c>
      <c r="T3891">
        <v>31621</v>
      </c>
      <c r="U3891">
        <v>34868</v>
      </c>
      <c r="V3891" t="s">
        <v>37</v>
      </c>
    </row>
    <row r="3892" spans="1:22">
      <c r="A3892" t="str">
        <f t="shared" si="687"/>
        <v>19/03/2026</v>
      </c>
      <c r="B3892" t="str">
        <f t="shared" si="683"/>
        <v>SAÍDA</v>
      </c>
      <c r="C3892" t="str">
        <f t="shared" si="684"/>
        <v>PIX</v>
      </c>
      <c r="D3892" t="str">
        <f>"34868"</f>
        <v>34868</v>
      </c>
      <c r="E3892" t="str">
        <f t="shared" si="676"/>
        <v>1</v>
      </c>
      <c r="F3892" t="str">
        <f t="shared" si="678"/>
        <v>COM</v>
      </c>
      <c r="G3892" t="str">
        <f>"JHONATHAN RODRIGUES MOREIRA (1280)"</f>
        <v>JHONATHAN RODRIGUES MOREIRA (1280)</v>
      </c>
      <c r="H3892" t="s">
        <v>1067</v>
      </c>
      <c r="I3892" t="str">
        <f t="shared" si="686"/>
        <v>19/03/2026</v>
      </c>
      <c r="J3892" t="str">
        <f t="shared" si="682"/>
        <v>16/03/2026</v>
      </c>
      <c r="K3892">
        <v>46100</v>
      </c>
      <c r="N3892">
        <v>109</v>
      </c>
      <c r="O3892" t="s">
        <v>27</v>
      </c>
      <c r="Q3892">
        <v>1141</v>
      </c>
      <c r="R3892" t="str">
        <f>"BEM TE FAZ LOJA 3 (10287)"</f>
        <v>BEM TE FAZ LOJA 3 (10287)</v>
      </c>
      <c r="S3892" t="s">
        <v>37</v>
      </c>
      <c r="T3892">
        <v>31621</v>
      </c>
      <c r="U3892">
        <v>34868</v>
      </c>
      <c r="V3892" t="s">
        <v>37</v>
      </c>
    </row>
    <row r="3893" spans="1:22">
      <c r="A3893" t="str">
        <f t="shared" si="687"/>
        <v>19/03/2026</v>
      </c>
      <c r="B3893" t="str">
        <f t="shared" si="683"/>
        <v>SAÍDA</v>
      </c>
      <c r="C3893" t="str">
        <f t="shared" si="684"/>
        <v>PIX</v>
      </c>
      <c r="D3893" t="str">
        <f>"34869"</f>
        <v>34869</v>
      </c>
      <c r="E3893" t="str">
        <f t="shared" si="676"/>
        <v>1</v>
      </c>
      <c r="F3893" t="str">
        <f t="shared" si="678"/>
        <v>COM</v>
      </c>
      <c r="G3893" t="str">
        <f>"JOAO VITOR DA SILVA (1232)"</f>
        <v>JOAO VITOR DA SILVA (1232)</v>
      </c>
      <c r="H3893" t="str">
        <f>"Serv.Prest. 09/03/2026 a 15/03/2026 - PIX: CPF - CHAVE: 438.843.248-29"</f>
        <v>Serv.Prest. 09/03/2026 a 15/03/2026 - PIX: CPF - CHAVE: 438.843.248-29</v>
      </c>
      <c r="I3893" t="str">
        <f t="shared" si="686"/>
        <v>19/03/2026</v>
      </c>
      <c r="J3893" t="str">
        <f t="shared" si="682"/>
        <v>16/03/2026</v>
      </c>
      <c r="K3893" t="str">
        <f>("19/03/2026")</f>
        <v>19/03/2026</v>
      </c>
      <c r="L3893">
        <v>1218</v>
      </c>
      <c r="M3893">
        <v>1218</v>
      </c>
      <c r="N3893">
        <v>109</v>
      </c>
      <c r="O3893" t="str">
        <f>"PAGAMENTO DE ENTREGADORES"</f>
        <v>PAGAMENTO DE ENTREGADORES</v>
      </c>
      <c r="P3893">
        <v>1218</v>
      </c>
      <c r="S3893" t="str">
        <f>"BANCO C6 (149)"</f>
        <v>BANCO C6 (149)</v>
      </c>
      <c r="T3893">
        <v>31622</v>
      </c>
      <c r="U3893">
        <v>34869</v>
      </c>
      <c r="V3893" t="s">
        <v>37</v>
      </c>
    </row>
    <row r="3894" spans="1:22">
      <c r="A3894" t="str">
        <f t="shared" si="687"/>
        <v>19/03/2026</v>
      </c>
      <c r="B3894" t="str">
        <f t="shared" si="683"/>
        <v>SAÍDA</v>
      </c>
      <c r="C3894" t="str">
        <f t="shared" si="684"/>
        <v>PIX</v>
      </c>
      <c r="D3894" t="str">
        <f>"34869"</f>
        <v>34869</v>
      </c>
      <c r="E3894" t="str">
        <f t="shared" si="676"/>
        <v>1</v>
      </c>
      <c r="F3894" t="str">
        <f t="shared" si="678"/>
        <v>COM</v>
      </c>
      <c r="G3894" t="str">
        <f>"JOAO VITOR DA SILVA (1232)"</f>
        <v>JOAO VITOR DA SILVA (1232)</v>
      </c>
      <c r="H3894" t="s">
        <v>1068</v>
      </c>
      <c r="I3894" t="str">
        <f t="shared" si="686"/>
        <v>19/03/2026</v>
      </c>
      <c r="J3894" t="str">
        <f t="shared" si="682"/>
        <v>16/03/2026</v>
      </c>
      <c r="K3894">
        <v>46100</v>
      </c>
      <c r="N3894">
        <v>109</v>
      </c>
      <c r="O3894" t="s">
        <v>27</v>
      </c>
      <c r="Q3894">
        <v>1218</v>
      </c>
      <c r="R3894" t="str">
        <f>"BEM TE FAZ LOJA 3 (10287)"</f>
        <v>BEM TE FAZ LOJA 3 (10287)</v>
      </c>
      <c r="S3894" t="s">
        <v>37</v>
      </c>
      <c r="T3894">
        <v>31622</v>
      </c>
      <c r="U3894">
        <v>34869</v>
      </c>
      <c r="V3894" t="s">
        <v>37</v>
      </c>
    </row>
    <row r="3895" spans="1:22">
      <c r="A3895" t="str">
        <f t="shared" si="687"/>
        <v>19/03/2026</v>
      </c>
      <c r="B3895" t="str">
        <f t="shared" si="683"/>
        <v>SAÍDA</v>
      </c>
      <c r="C3895" t="str">
        <f t="shared" si="684"/>
        <v>PIX</v>
      </c>
      <c r="D3895" t="str">
        <f>"34870"</f>
        <v>34870</v>
      </c>
      <c r="E3895" t="str">
        <f t="shared" ref="E3895:E3958" si="688">"1"</f>
        <v>1</v>
      </c>
      <c r="F3895" t="str">
        <f t="shared" si="678"/>
        <v>COM</v>
      </c>
      <c r="G3895" t="str">
        <f t="shared" ref="G3895:G3900" si="689">"JORGE HENRIQUE DA SILVA BRASIL (1203)"</f>
        <v>JORGE HENRIQUE DA SILVA BRASIL (1203)</v>
      </c>
      <c r="H3895" t="str">
        <f>"Serv.Prest. 09/03/2026 a 15/03/2026 - PIX: CELULAR - CHAVE: (19) 99674-2835"</f>
        <v>Serv.Prest. 09/03/2026 a 15/03/2026 - PIX: CELULAR - CHAVE: (19) 99674-2835</v>
      </c>
      <c r="I3895" t="str">
        <f t="shared" si="686"/>
        <v>19/03/2026</v>
      </c>
      <c r="J3895" t="str">
        <f t="shared" si="682"/>
        <v>16/03/2026</v>
      </c>
      <c r="K3895" t="str">
        <f>("19/03/2026")</f>
        <v>19/03/2026</v>
      </c>
      <c r="L3895">
        <v>21</v>
      </c>
      <c r="M3895">
        <v>21</v>
      </c>
      <c r="N3895">
        <v>109</v>
      </c>
      <c r="O3895" t="str">
        <f>"PAGAMENTO DE ENTREGADORES"</f>
        <v>PAGAMENTO DE ENTREGADORES</v>
      </c>
      <c r="P3895">
        <v>21</v>
      </c>
      <c r="S3895" t="str">
        <f>"BANCO C6 (149)"</f>
        <v>BANCO C6 (149)</v>
      </c>
      <c r="T3895">
        <v>31623</v>
      </c>
      <c r="U3895">
        <v>34870</v>
      </c>
      <c r="V3895" t="s">
        <v>37</v>
      </c>
    </row>
    <row r="3896" spans="1:22">
      <c r="A3896" t="str">
        <f t="shared" si="687"/>
        <v>19/03/2026</v>
      </c>
      <c r="B3896" t="str">
        <f t="shared" si="683"/>
        <v>SAÍDA</v>
      </c>
      <c r="C3896" t="str">
        <f t="shared" si="684"/>
        <v>PIX</v>
      </c>
      <c r="D3896" t="str">
        <f>"34870"</f>
        <v>34870</v>
      </c>
      <c r="E3896" t="str">
        <f t="shared" si="688"/>
        <v>1</v>
      </c>
      <c r="F3896" t="str">
        <f t="shared" si="678"/>
        <v>COM</v>
      </c>
      <c r="G3896" t="str">
        <f t="shared" si="689"/>
        <v>JORGE HENRIQUE DA SILVA BRASIL (1203)</v>
      </c>
      <c r="H3896" t="s">
        <v>1069</v>
      </c>
      <c r="I3896" t="str">
        <f t="shared" si="686"/>
        <v>19/03/2026</v>
      </c>
      <c r="J3896" t="str">
        <f t="shared" si="682"/>
        <v>16/03/2026</v>
      </c>
      <c r="K3896">
        <v>46100</v>
      </c>
      <c r="N3896">
        <v>109</v>
      </c>
      <c r="O3896" t="s">
        <v>27</v>
      </c>
      <c r="Q3896">
        <v>21</v>
      </c>
      <c r="R3896" t="str">
        <f>"BEM TE FAZ 05 (10294)"</f>
        <v>BEM TE FAZ 05 (10294)</v>
      </c>
      <c r="S3896" t="s">
        <v>37</v>
      </c>
      <c r="T3896">
        <v>31623</v>
      </c>
      <c r="U3896">
        <v>34870</v>
      </c>
      <c r="V3896" t="s">
        <v>37</v>
      </c>
    </row>
    <row r="3897" spans="1:22">
      <c r="A3897" t="str">
        <f t="shared" si="687"/>
        <v>19/03/2026</v>
      </c>
      <c r="B3897" t="str">
        <f t="shared" si="683"/>
        <v>SAÍDA</v>
      </c>
      <c r="C3897" t="str">
        <f t="shared" si="684"/>
        <v>PIX</v>
      </c>
      <c r="D3897" t="str">
        <f>"34871"</f>
        <v>34871</v>
      </c>
      <c r="E3897" t="str">
        <f t="shared" si="688"/>
        <v>1</v>
      </c>
      <c r="F3897" t="str">
        <f t="shared" si="678"/>
        <v>COM</v>
      </c>
      <c r="G3897" t="str">
        <f t="shared" si="689"/>
        <v>JORGE HENRIQUE DA SILVA BRASIL (1203)</v>
      </c>
      <c r="H3897" t="str">
        <f>"Serv.Prest. 09/03/2026 a 15/03/2026 - PIX: CELULAR - CHAVE: (19) 99674-2835"</f>
        <v>Serv.Prest. 09/03/2026 a 15/03/2026 - PIX: CELULAR - CHAVE: (19) 99674-2835</v>
      </c>
      <c r="I3897" t="str">
        <f t="shared" si="686"/>
        <v>19/03/2026</v>
      </c>
      <c r="J3897" t="str">
        <f t="shared" si="682"/>
        <v>16/03/2026</v>
      </c>
      <c r="K3897" t="str">
        <f>("19/03/2026")</f>
        <v>19/03/2026</v>
      </c>
      <c r="L3897">
        <v>105</v>
      </c>
      <c r="M3897">
        <v>105</v>
      </c>
      <c r="N3897">
        <v>109</v>
      </c>
      <c r="O3897" t="str">
        <f>"PAGAMENTO DE ENTREGADORES"</f>
        <v>PAGAMENTO DE ENTREGADORES</v>
      </c>
      <c r="P3897">
        <v>105</v>
      </c>
      <c r="S3897" t="str">
        <f>"BANCO C6 (149)"</f>
        <v>BANCO C6 (149)</v>
      </c>
      <c r="T3897">
        <v>31624</v>
      </c>
      <c r="U3897">
        <v>34871</v>
      </c>
      <c r="V3897" t="s">
        <v>37</v>
      </c>
    </row>
    <row r="3898" spans="1:22">
      <c r="A3898" t="str">
        <f t="shared" si="687"/>
        <v>19/03/2026</v>
      </c>
      <c r="B3898" t="str">
        <f t="shared" si="683"/>
        <v>SAÍDA</v>
      </c>
      <c r="C3898" t="str">
        <f t="shared" si="684"/>
        <v>PIX</v>
      </c>
      <c r="D3898" t="str">
        <f>"34871"</f>
        <v>34871</v>
      </c>
      <c r="E3898" t="str">
        <f t="shared" si="688"/>
        <v>1</v>
      </c>
      <c r="F3898" t="str">
        <f t="shared" si="678"/>
        <v>COM</v>
      </c>
      <c r="G3898" t="str">
        <f t="shared" si="689"/>
        <v>JORGE HENRIQUE DA SILVA BRASIL (1203)</v>
      </c>
      <c r="H3898" t="s">
        <v>1069</v>
      </c>
      <c r="I3898" t="str">
        <f t="shared" si="686"/>
        <v>19/03/2026</v>
      </c>
      <c r="J3898" t="str">
        <f t="shared" si="682"/>
        <v>16/03/2026</v>
      </c>
      <c r="K3898">
        <v>46100</v>
      </c>
      <c r="N3898">
        <v>109</v>
      </c>
      <c r="O3898" t="s">
        <v>27</v>
      </c>
      <c r="Q3898">
        <v>105</v>
      </c>
      <c r="R3898" t="str">
        <f>"BEM TE FAZ LOJA 7 (10285)"</f>
        <v>BEM TE FAZ LOJA 7 (10285)</v>
      </c>
      <c r="S3898" t="s">
        <v>37</v>
      </c>
      <c r="T3898">
        <v>31624</v>
      </c>
      <c r="U3898">
        <v>34871</v>
      </c>
      <c r="V3898" t="s">
        <v>37</v>
      </c>
    </row>
    <row r="3899" spans="1:22">
      <c r="A3899" t="str">
        <f t="shared" si="687"/>
        <v>19/03/2026</v>
      </c>
      <c r="B3899" t="str">
        <f t="shared" si="683"/>
        <v>SAÍDA</v>
      </c>
      <c r="C3899" t="str">
        <f t="shared" si="684"/>
        <v>PIX</v>
      </c>
      <c r="D3899" t="str">
        <f>"34872"</f>
        <v>34872</v>
      </c>
      <c r="E3899" t="str">
        <f t="shared" si="688"/>
        <v>1</v>
      </c>
      <c r="F3899" t="str">
        <f t="shared" si="678"/>
        <v>COM</v>
      </c>
      <c r="G3899" t="str">
        <f t="shared" si="689"/>
        <v>JORGE HENRIQUE DA SILVA BRASIL (1203)</v>
      </c>
      <c r="H3899" t="str">
        <f>"Serv.Prest. 09/03/2026 a 15/03/2026 - PIX: CELULAR - CHAVE: (19) 99674-2835"</f>
        <v>Serv.Prest. 09/03/2026 a 15/03/2026 - PIX: CELULAR - CHAVE: (19) 99674-2835</v>
      </c>
      <c r="I3899" t="str">
        <f t="shared" si="686"/>
        <v>19/03/2026</v>
      </c>
      <c r="J3899" t="str">
        <f t="shared" si="682"/>
        <v>16/03/2026</v>
      </c>
      <c r="K3899" t="str">
        <f>("19/03/2026")</f>
        <v>19/03/2026</v>
      </c>
      <c r="L3899">
        <v>812</v>
      </c>
      <c r="M3899">
        <v>812</v>
      </c>
      <c r="N3899">
        <v>109</v>
      </c>
      <c r="O3899" t="str">
        <f>"PAGAMENTO DE ENTREGADORES"</f>
        <v>PAGAMENTO DE ENTREGADORES</v>
      </c>
      <c r="P3899">
        <v>812</v>
      </c>
      <c r="S3899" t="str">
        <f>"BANCO C6 (149)"</f>
        <v>BANCO C6 (149)</v>
      </c>
      <c r="T3899">
        <v>31625</v>
      </c>
      <c r="U3899">
        <v>34872</v>
      </c>
      <c r="V3899" t="s">
        <v>37</v>
      </c>
    </row>
    <row r="3900" spans="1:22">
      <c r="A3900" t="str">
        <f t="shared" si="687"/>
        <v>19/03/2026</v>
      </c>
      <c r="B3900" t="str">
        <f t="shared" si="683"/>
        <v>SAÍDA</v>
      </c>
      <c r="C3900" t="str">
        <f t="shared" si="684"/>
        <v>PIX</v>
      </c>
      <c r="D3900" t="str">
        <f>"34872"</f>
        <v>34872</v>
      </c>
      <c r="E3900" t="str">
        <f t="shared" si="688"/>
        <v>1</v>
      </c>
      <c r="F3900" t="str">
        <f t="shared" si="678"/>
        <v>COM</v>
      </c>
      <c r="G3900" t="str">
        <f t="shared" si="689"/>
        <v>JORGE HENRIQUE DA SILVA BRASIL (1203)</v>
      </c>
      <c r="H3900" t="s">
        <v>1069</v>
      </c>
      <c r="I3900" t="str">
        <f t="shared" si="686"/>
        <v>19/03/2026</v>
      </c>
      <c r="J3900" t="str">
        <f t="shared" si="682"/>
        <v>16/03/2026</v>
      </c>
      <c r="K3900">
        <v>46100</v>
      </c>
      <c r="N3900">
        <v>109</v>
      </c>
      <c r="O3900" t="s">
        <v>27</v>
      </c>
      <c r="Q3900">
        <v>812</v>
      </c>
      <c r="R3900" t="str">
        <f>"BEM TE FAZ LOJA 6 (10284)"</f>
        <v>BEM TE FAZ LOJA 6 (10284)</v>
      </c>
      <c r="S3900" t="s">
        <v>37</v>
      </c>
      <c r="T3900">
        <v>31625</v>
      </c>
      <c r="U3900">
        <v>34872</v>
      </c>
      <c r="V3900" t="s">
        <v>37</v>
      </c>
    </row>
    <row r="3901" spans="1:22">
      <c r="A3901" t="str">
        <f t="shared" si="687"/>
        <v>19/03/2026</v>
      </c>
      <c r="B3901" t="str">
        <f t="shared" si="683"/>
        <v>SAÍDA</v>
      </c>
      <c r="C3901" t="str">
        <f t="shared" si="684"/>
        <v>PIX</v>
      </c>
      <c r="D3901" t="str">
        <f>"34873"</f>
        <v>34873</v>
      </c>
      <c r="E3901" t="str">
        <f t="shared" si="688"/>
        <v>1</v>
      </c>
      <c r="F3901" t="str">
        <f t="shared" si="678"/>
        <v>COM</v>
      </c>
      <c r="G3901" t="str">
        <f>"LUCAS PAIVA DE OLIVEIRA SOUSA (1226)"</f>
        <v>LUCAS PAIVA DE OLIVEIRA SOUSA (1226)</v>
      </c>
      <c r="H3901" t="str">
        <f>"Serv.Prest. 09/03/2026 a 15/03/2026 - PIX: CELULAR - CHAVE: (19) 98258-0687"</f>
        <v>Serv.Prest. 09/03/2026 a 15/03/2026 - PIX: CELULAR - CHAVE: (19) 98258-0687</v>
      </c>
      <c r="I3901" t="str">
        <f t="shared" si="686"/>
        <v>19/03/2026</v>
      </c>
      <c r="J3901" t="str">
        <f t="shared" si="682"/>
        <v>16/03/2026</v>
      </c>
      <c r="K3901" t="str">
        <f>("19/03/2026")</f>
        <v>19/03/2026</v>
      </c>
      <c r="L3901">
        <v>1715</v>
      </c>
      <c r="M3901">
        <v>1715</v>
      </c>
      <c r="N3901">
        <v>109</v>
      </c>
      <c r="O3901" t="str">
        <f>"PAGAMENTO DE ENTREGADORES"</f>
        <v>PAGAMENTO DE ENTREGADORES</v>
      </c>
      <c r="P3901">
        <v>1715</v>
      </c>
      <c r="S3901" t="str">
        <f>"BANCO C6 (149)"</f>
        <v>BANCO C6 (149)</v>
      </c>
      <c r="T3901">
        <v>31626</v>
      </c>
      <c r="U3901">
        <v>34873</v>
      </c>
      <c r="V3901" t="s">
        <v>37</v>
      </c>
    </row>
    <row r="3902" spans="1:22">
      <c r="A3902" t="str">
        <f t="shared" si="687"/>
        <v>19/03/2026</v>
      </c>
      <c r="B3902" t="str">
        <f t="shared" si="683"/>
        <v>SAÍDA</v>
      </c>
      <c r="C3902" t="str">
        <f t="shared" si="684"/>
        <v>PIX</v>
      </c>
      <c r="D3902" t="str">
        <f>"34873"</f>
        <v>34873</v>
      </c>
      <c r="E3902" t="str">
        <f t="shared" si="688"/>
        <v>1</v>
      </c>
      <c r="F3902" t="str">
        <f t="shared" si="678"/>
        <v>COM</v>
      </c>
      <c r="G3902" t="str">
        <f>"LUCAS PAIVA DE OLIVEIRA SOUSA (1226)"</f>
        <v>LUCAS PAIVA DE OLIVEIRA SOUSA (1226)</v>
      </c>
      <c r="H3902" t="s">
        <v>1070</v>
      </c>
      <c r="I3902" t="str">
        <f t="shared" si="686"/>
        <v>19/03/2026</v>
      </c>
      <c r="J3902" t="str">
        <f t="shared" si="682"/>
        <v>16/03/2026</v>
      </c>
      <c r="K3902">
        <v>46100</v>
      </c>
      <c r="N3902">
        <v>109</v>
      </c>
      <c r="O3902" t="s">
        <v>27</v>
      </c>
      <c r="Q3902">
        <v>1715</v>
      </c>
      <c r="R3902" t="str">
        <f>"BEM TE FAZ LOJA 3 (10287)"</f>
        <v>BEM TE FAZ LOJA 3 (10287)</v>
      </c>
      <c r="S3902" t="s">
        <v>37</v>
      </c>
      <c r="T3902">
        <v>31626</v>
      </c>
      <c r="U3902">
        <v>34873</v>
      </c>
      <c r="V3902" t="s">
        <v>37</v>
      </c>
    </row>
    <row r="3903" spans="1:22">
      <c r="A3903" t="str">
        <f t="shared" si="687"/>
        <v>19/03/2026</v>
      </c>
      <c r="B3903" t="str">
        <f t="shared" si="683"/>
        <v>SAÍDA</v>
      </c>
      <c r="C3903" t="str">
        <f t="shared" si="684"/>
        <v>PIX</v>
      </c>
      <c r="D3903" t="str">
        <f>"34874"</f>
        <v>34874</v>
      </c>
      <c r="E3903" t="str">
        <f t="shared" si="688"/>
        <v>1</v>
      </c>
      <c r="F3903" t="str">
        <f t="shared" si="678"/>
        <v>COM</v>
      </c>
      <c r="G3903" t="str">
        <f t="shared" ref="G3903:G3910" si="690">"MAICON ALVES DA SILVA (1205)"</f>
        <v>MAICON ALVES DA SILVA (1205)</v>
      </c>
      <c r="H3903" t="str">
        <f>"Serv.Prest. 09/03/2026 a 15/03/2026 - PIX: CNPJ - CHAVE: 48.182.907/0001-45"</f>
        <v>Serv.Prest. 09/03/2026 a 15/03/2026 - PIX: CNPJ - CHAVE: 48.182.907/0001-45</v>
      </c>
      <c r="I3903" t="str">
        <f t="shared" si="686"/>
        <v>19/03/2026</v>
      </c>
      <c r="J3903" t="str">
        <f t="shared" ref="J3903:J3934" si="691">("16/03/2026")</f>
        <v>16/03/2026</v>
      </c>
      <c r="K3903" t="str">
        <f>("19/03/2026")</f>
        <v>19/03/2026</v>
      </c>
      <c r="L3903">
        <v>7</v>
      </c>
      <c r="M3903">
        <v>7</v>
      </c>
      <c r="N3903">
        <v>109</v>
      </c>
      <c r="O3903" t="str">
        <f>"PAGAMENTO DE ENTREGADORES"</f>
        <v>PAGAMENTO DE ENTREGADORES</v>
      </c>
      <c r="P3903">
        <v>7</v>
      </c>
      <c r="S3903" t="str">
        <f>"BANCO C6 (149)"</f>
        <v>BANCO C6 (149)</v>
      </c>
      <c r="T3903">
        <v>31627</v>
      </c>
      <c r="U3903">
        <v>34874</v>
      </c>
      <c r="V3903" t="s">
        <v>37</v>
      </c>
    </row>
    <row r="3904" spans="1:22">
      <c r="A3904" t="str">
        <f t="shared" si="687"/>
        <v>19/03/2026</v>
      </c>
      <c r="B3904" t="str">
        <f t="shared" si="683"/>
        <v>SAÍDA</v>
      </c>
      <c r="C3904" t="str">
        <f t="shared" si="684"/>
        <v>PIX</v>
      </c>
      <c r="D3904" t="str">
        <f>"34874"</f>
        <v>34874</v>
      </c>
      <c r="E3904" t="str">
        <f t="shared" si="688"/>
        <v>1</v>
      </c>
      <c r="F3904" t="str">
        <f t="shared" si="678"/>
        <v>COM</v>
      </c>
      <c r="G3904" t="str">
        <f t="shared" si="690"/>
        <v>MAICON ALVES DA SILVA (1205)</v>
      </c>
      <c r="H3904" t="s">
        <v>906</v>
      </c>
      <c r="I3904" t="str">
        <f t="shared" si="686"/>
        <v>19/03/2026</v>
      </c>
      <c r="J3904" t="str">
        <f t="shared" si="691"/>
        <v>16/03/2026</v>
      </c>
      <c r="K3904">
        <v>46100</v>
      </c>
      <c r="N3904">
        <v>109</v>
      </c>
      <c r="O3904" t="s">
        <v>27</v>
      </c>
      <c r="Q3904">
        <v>7</v>
      </c>
      <c r="R3904" t="str">
        <f>"BEM TE FAZ 05 (10294)"</f>
        <v>BEM TE FAZ 05 (10294)</v>
      </c>
      <c r="S3904" t="s">
        <v>37</v>
      </c>
      <c r="T3904">
        <v>31627</v>
      </c>
      <c r="U3904">
        <v>34874</v>
      </c>
      <c r="V3904" t="s">
        <v>37</v>
      </c>
    </row>
    <row r="3905" spans="1:22">
      <c r="A3905" t="str">
        <f t="shared" si="687"/>
        <v>19/03/2026</v>
      </c>
      <c r="B3905" t="str">
        <f t="shared" si="683"/>
        <v>SAÍDA</v>
      </c>
      <c r="C3905" t="str">
        <f t="shared" si="684"/>
        <v>PIX</v>
      </c>
      <c r="D3905" t="str">
        <f>"34875"</f>
        <v>34875</v>
      </c>
      <c r="E3905" t="str">
        <f t="shared" si="688"/>
        <v>1</v>
      </c>
      <c r="F3905" t="str">
        <f t="shared" si="678"/>
        <v>COM</v>
      </c>
      <c r="G3905" t="str">
        <f t="shared" si="690"/>
        <v>MAICON ALVES DA SILVA (1205)</v>
      </c>
      <c r="H3905" t="str">
        <f>"Serv.Prest. 09/03/2026 a 15/03/2026 - PIX: CNPJ - CHAVE: 48.182.907/0001-45"</f>
        <v>Serv.Prest. 09/03/2026 a 15/03/2026 - PIX: CNPJ - CHAVE: 48.182.907/0001-45</v>
      </c>
      <c r="I3905" t="str">
        <f t="shared" si="686"/>
        <v>19/03/2026</v>
      </c>
      <c r="J3905" t="str">
        <f t="shared" si="691"/>
        <v>16/03/2026</v>
      </c>
      <c r="K3905" t="str">
        <f>("19/03/2026")</f>
        <v>19/03/2026</v>
      </c>
      <c r="L3905">
        <v>21</v>
      </c>
      <c r="M3905">
        <v>21</v>
      </c>
      <c r="N3905">
        <v>109</v>
      </c>
      <c r="O3905" t="str">
        <f>"PAGAMENTO DE ENTREGADORES"</f>
        <v>PAGAMENTO DE ENTREGADORES</v>
      </c>
      <c r="P3905">
        <v>21</v>
      </c>
      <c r="S3905" t="str">
        <f>"BANCO C6 (149)"</f>
        <v>BANCO C6 (149)</v>
      </c>
      <c r="T3905">
        <v>31628</v>
      </c>
      <c r="U3905">
        <v>34875</v>
      </c>
      <c r="V3905" t="s">
        <v>37</v>
      </c>
    </row>
    <row r="3906" spans="1:22">
      <c r="A3906" t="str">
        <f t="shared" si="687"/>
        <v>19/03/2026</v>
      </c>
      <c r="B3906" t="str">
        <f t="shared" si="683"/>
        <v>SAÍDA</v>
      </c>
      <c r="C3906" t="str">
        <f t="shared" si="684"/>
        <v>PIX</v>
      </c>
      <c r="D3906" t="str">
        <f>"34875"</f>
        <v>34875</v>
      </c>
      <c r="E3906" t="str">
        <f t="shared" si="688"/>
        <v>1</v>
      </c>
      <c r="F3906" t="str">
        <f t="shared" ref="F3906:F3969" si="692">"COM"</f>
        <v>COM</v>
      </c>
      <c r="G3906" t="str">
        <f t="shared" si="690"/>
        <v>MAICON ALVES DA SILVA (1205)</v>
      </c>
      <c r="H3906" t="s">
        <v>906</v>
      </c>
      <c r="I3906" t="str">
        <f t="shared" si="686"/>
        <v>19/03/2026</v>
      </c>
      <c r="J3906" t="str">
        <f t="shared" si="691"/>
        <v>16/03/2026</v>
      </c>
      <c r="K3906">
        <v>46100</v>
      </c>
      <c r="N3906">
        <v>109</v>
      </c>
      <c r="O3906" t="s">
        <v>27</v>
      </c>
      <c r="Q3906">
        <v>21</v>
      </c>
      <c r="R3906" t="str">
        <f>"BEM TE FAZ LOJA 7 (10285)"</f>
        <v>BEM TE FAZ LOJA 7 (10285)</v>
      </c>
      <c r="S3906" t="s">
        <v>37</v>
      </c>
      <c r="T3906">
        <v>31628</v>
      </c>
      <c r="U3906">
        <v>34875</v>
      </c>
      <c r="V3906" t="s">
        <v>37</v>
      </c>
    </row>
    <row r="3907" spans="1:22">
      <c r="A3907" t="str">
        <f t="shared" si="687"/>
        <v>19/03/2026</v>
      </c>
      <c r="B3907" t="str">
        <f t="shared" si="683"/>
        <v>SAÍDA</v>
      </c>
      <c r="C3907" t="str">
        <f t="shared" si="684"/>
        <v>PIX</v>
      </c>
      <c r="D3907" t="str">
        <f>"34876"</f>
        <v>34876</v>
      </c>
      <c r="E3907" t="str">
        <f t="shared" si="688"/>
        <v>1</v>
      </c>
      <c r="F3907" t="str">
        <f t="shared" si="692"/>
        <v>COM</v>
      </c>
      <c r="G3907" t="str">
        <f t="shared" si="690"/>
        <v>MAICON ALVES DA SILVA (1205)</v>
      </c>
      <c r="H3907" t="str">
        <f>"Serv.Prest. 09/03/2026 a 15/03/2026 - PIX: CNPJ - CHAVE: 48.182.907/0001-45"</f>
        <v>Serv.Prest. 09/03/2026 a 15/03/2026 - PIX: CNPJ - CHAVE: 48.182.907/0001-45</v>
      </c>
      <c r="I3907" t="str">
        <f t="shared" si="686"/>
        <v>19/03/2026</v>
      </c>
      <c r="J3907" t="str">
        <f t="shared" si="691"/>
        <v>16/03/2026</v>
      </c>
      <c r="K3907" t="str">
        <f>("19/03/2026")</f>
        <v>19/03/2026</v>
      </c>
      <c r="L3907">
        <v>28</v>
      </c>
      <c r="M3907">
        <v>28</v>
      </c>
      <c r="N3907">
        <v>109</v>
      </c>
      <c r="O3907" t="str">
        <f>"PAGAMENTO DE ENTREGADORES"</f>
        <v>PAGAMENTO DE ENTREGADORES</v>
      </c>
      <c r="P3907">
        <v>28</v>
      </c>
      <c r="S3907" t="str">
        <f>"BANCO C6 (149)"</f>
        <v>BANCO C6 (149)</v>
      </c>
      <c r="T3907">
        <v>31629</v>
      </c>
      <c r="U3907">
        <v>34876</v>
      </c>
      <c r="V3907" t="s">
        <v>37</v>
      </c>
    </row>
    <row r="3908" spans="1:22">
      <c r="A3908" t="str">
        <f t="shared" si="687"/>
        <v>19/03/2026</v>
      </c>
      <c r="B3908" t="str">
        <f t="shared" si="683"/>
        <v>SAÍDA</v>
      </c>
      <c r="C3908" t="str">
        <f t="shared" si="684"/>
        <v>PIX</v>
      </c>
      <c r="D3908" t="str">
        <f>"34876"</f>
        <v>34876</v>
      </c>
      <c r="E3908" t="str">
        <f t="shared" si="688"/>
        <v>1</v>
      </c>
      <c r="F3908" t="str">
        <f t="shared" si="692"/>
        <v>COM</v>
      </c>
      <c r="G3908" t="str">
        <f t="shared" si="690"/>
        <v>MAICON ALVES DA SILVA (1205)</v>
      </c>
      <c r="H3908" t="s">
        <v>906</v>
      </c>
      <c r="I3908" t="str">
        <f t="shared" si="686"/>
        <v>19/03/2026</v>
      </c>
      <c r="J3908" t="str">
        <f t="shared" si="691"/>
        <v>16/03/2026</v>
      </c>
      <c r="K3908">
        <v>46100</v>
      </c>
      <c r="N3908">
        <v>109</v>
      </c>
      <c r="O3908" t="s">
        <v>27</v>
      </c>
      <c r="Q3908">
        <v>28</v>
      </c>
      <c r="R3908" t="str">
        <f>"BEM TE FAZ LOJA 6 (10284)"</f>
        <v>BEM TE FAZ LOJA 6 (10284)</v>
      </c>
      <c r="S3908" t="s">
        <v>37</v>
      </c>
      <c r="T3908">
        <v>31629</v>
      </c>
      <c r="U3908">
        <v>34876</v>
      </c>
      <c r="V3908" t="s">
        <v>37</v>
      </c>
    </row>
    <row r="3909" spans="1:22">
      <c r="A3909" t="str">
        <f t="shared" si="687"/>
        <v>19/03/2026</v>
      </c>
      <c r="B3909" t="str">
        <f t="shared" si="683"/>
        <v>SAÍDA</v>
      </c>
      <c r="C3909" t="str">
        <f t="shared" si="684"/>
        <v>PIX</v>
      </c>
      <c r="D3909" t="str">
        <f>"34877"</f>
        <v>34877</v>
      </c>
      <c r="E3909" t="str">
        <f t="shared" si="688"/>
        <v>1</v>
      </c>
      <c r="F3909" t="str">
        <f t="shared" si="692"/>
        <v>COM</v>
      </c>
      <c r="G3909" t="str">
        <f t="shared" si="690"/>
        <v>MAICON ALVES DA SILVA (1205)</v>
      </c>
      <c r="H3909" t="str">
        <f>"Serv.Prest. 09/03/2026 a 15/03/2026 - PIX: CNPJ - CHAVE: 48.182.907/0001-45"</f>
        <v>Serv.Prest. 09/03/2026 a 15/03/2026 - PIX: CNPJ - CHAVE: 48.182.907/0001-45</v>
      </c>
      <c r="I3909" t="str">
        <f t="shared" si="686"/>
        <v>19/03/2026</v>
      </c>
      <c r="J3909" t="str">
        <f t="shared" si="691"/>
        <v>16/03/2026</v>
      </c>
      <c r="K3909" t="str">
        <f>("19/03/2026")</f>
        <v>19/03/2026</v>
      </c>
      <c r="L3909">
        <v>963</v>
      </c>
      <c r="M3909">
        <v>963</v>
      </c>
      <c r="N3909">
        <v>109</v>
      </c>
      <c r="O3909" t="str">
        <f>"PAGAMENTO DE ENTREGADORES"</f>
        <v>PAGAMENTO DE ENTREGADORES</v>
      </c>
      <c r="P3909">
        <v>963</v>
      </c>
      <c r="S3909" t="str">
        <f>"BANCO C6 (149)"</f>
        <v>BANCO C6 (149)</v>
      </c>
      <c r="T3909">
        <v>31630</v>
      </c>
      <c r="U3909">
        <v>34877</v>
      </c>
      <c r="V3909" t="s">
        <v>37</v>
      </c>
    </row>
    <row r="3910" spans="1:22">
      <c r="A3910" t="str">
        <f t="shared" si="687"/>
        <v>19/03/2026</v>
      </c>
      <c r="B3910" t="str">
        <f t="shared" si="683"/>
        <v>SAÍDA</v>
      </c>
      <c r="C3910" t="str">
        <f t="shared" si="684"/>
        <v>PIX</v>
      </c>
      <c r="D3910" t="str">
        <f>"34877"</f>
        <v>34877</v>
      </c>
      <c r="E3910" t="str">
        <f t="shared" si="688"/>
        <v>1</v>
      </c>
      <c r="F3910" t="str">
        <f t="shared" si="692"/>
        <v>COM</v>
      </c>
      <c r="G3910" t="str">
        <f t="shared" si="690"/>
        <v>MAICON ALVES DA SILVA (1205)</v>
      </c>
      <c r="H3910" t="s">
        <v>906</v>
      </c>
      <c r="I3910" t="str">
        <f t="shared" si="686"/>
        <v>19/03/2026</v>
      </c>
      <c r="J3910" t="str">
        <f t="shared" si="691"/>
        <v>16/03/2026</v>
      </c>
      <c r="K3910">
        <v>46100</v>
      </c>
      <c r="N3910">
        <v>109</v>
      </c>
      <c r="O3910" t="s">
        <v>27</v>
      </c>
      <c r="Q3910">
        <v>963</v>
      </c>
      <c r="R3910" t="str">
        <f>"BEM TE FAZ LOJA 9 (10286)"</f>
        <v>BEM TE FAZ LOJA 9 (10286)</v>
      </c>
      <c r="S3910" t="s">
        <v>37</v>
      </c>
      <c r="T3910">
        <v>31630</v>
      </c>
      <c r="U3910">
        <v>34877</v>
      </c>
      <c r="V3910" t="s">
        <v>37</v>
      </c>
    </row>
    <row r="3911" spans="1:22">
      <c r="A3911" t="str">
        <f t="shared" si="687"/>
        <v>19/03/2026</v>
      </c>
      <c r="B3911" t="str">
        <f t="shared" si="683"/>
        <v>SAÍDA</v>
      </c>
      <c r="C3911" t="str">
        <f t="shared" si="684"/>
        <v>PIX</v>
      </c>
      <c r="D3911" t="str">
        <f>"34878"</f>
        <v>34878</v>
      </c>
      <c r="E3911" t="str">
        <f t="shared" si="688"/>
        <v>1</v>
      </c>
      <c r="F3911" t="str">
        <f t="shared" si="692"/>
        <v>COM</v>
      </c>
      <c r="G3911" t="str">
        <f t="shared" ref="G3911:G3916" si="693">"MICHEL AFONSO BRITO CORREIA (1167)"</f>
        <v>MICHEL AFONSO BRITO CORREIA (1167)</v>
      </c>
      <c r="H3911" t="str">
        <f>"Serv.Prest. 09/03/2026 a 15/03/2026 - PIX: CELULAR - CHAVE: (19) 97145-1624"</f>
        <v>Serv.Prest. 09/03/2026 a 15/03/2026 - PIX: CELULAR - CHAVE: (19) 97145-1624</v>
      </c>
      <c r="I3911" t="str">
        <f t="shared" si="686"/>
        <v>19/03/2026</v>
      </c>
      <c r="J3911" t="str">
        <f t="shared" si="691"/>
        <v>16/03/2026</v>
      </c>
      <c r="K3911" t="str">
        <f>("19/03/2026")</f>
        <v>19/03/2026</v>
      </c>
      <c r="L3911">
        <v>28</v>
      </c>
      <c r="M3911">
        <v>28</v>
      </c>
      <c r="N3911">
        <v>109</v>
      </c>
      <c r="O3911" t="str">
        <f>"PAGAMENTO DE ENTREGADORES"</f>
        <v>PAGAMENTO DE ENTREGADORES</v>
      </c>
      <c r="P3911">
        <v>28</v>
      </c>
      <c r="S3911" t="str">
        <f>"BANCO C6 (149)"</f>
        <v>BANCO C6 (149)</v>
      </c>
      <c r="T3911">
        <v>31631</v>
      </c>
      <c r="U3911">
        <v>34878</v>
      </c>
      <c r="V3911" t="s">
        <v>37</v>
      </c>
    </row>
    <row r="3912" spans="1:22">
      <c r="A3912" t="str">
        <f t="shared" si="687"/>
        <v>19/03/2026</v>
      </c>
      <c r="B3912" t="str">
        <f t="shared" si="683"/>
        <v>SAÍDA</v>
      </c>
      <c r="C3912" t="str">
        <f t="shared" si="684"/>
        <v>PIX</v>
      </c>
      <c r="D3912" t="str">
        <f>"34878"</f>
        <v>34878</v>
      </c>
      <c r="E3912" t="str">
        <f t="shared" si="688"/>
        <v>1</v>
      </c>
      <c r="F3912" t="str">
        <f t="shared" si="692"/>
        <v>COM</v>
      </c>
      <c r="G3912" t="str">
        <f t="shared" si="693"/>
        <v>MICHEL AFONSO BRITO CORREIA (1167)</v>
      </c>
      <c r="H3912" t="s">
        <v>1071</v>
      </c>
      <c r="I3912" t="str">
        <f t="shared" si="686"/>
        <v>19/03/2026</v>
      </c>
      <c r="J3912" t="str">
        <f t="shared" si="691"/>
        <v>16/03/2026</v>
      </c>
      <c r="K3912">
        <v>46100</v>
      </c>
      <c r="N3912">
        <v>109</v>
      </c>
      <c r="O3912" t="s">
        <v>27</v>
      </c>
      <c r="Q3912">
        <v>28</v>
      </c>
      <c r="R3912" t="str">
        <f>"BEM TE FAZ LOJA 8 (10297)"</f>
        <v>BEM TE FAZ LOJA 8 (10297)</v>
      </c>
      <c r="S3912" t="s">
        <v>37</v>
      </c>
      <c r="T3912">
        <v>31631</v>
      </c>
      <c r="U3912">
        <v>34878</v>
      </c>
      <c r="V3912" t="s">
        <v>37</v>
      </c>
    </row>
    <row r="3913" spans="1:22">
      <c r="A3913" t="str">
        <f t="shared" si="687"/>
        <v>19/03/2026</v>
      </c>
      <c r="B3913" t="str">
        <f t="shared" si="683"/>
        <v>SAÍDA</v>
      </c>
      <c r="C3913" t="str">
        <f t="shared" si="684"/>
        <v>PIX</v>
      </c>
      <c r="D3913" t="str">
        <f>"34879"</f>
        <v>34879</v>
      </c>
      <c r="E3913" t="str">
        <f t="shared" si="688"/>
        <v>1</v>
      </c>
      <c r="F3913" t="str">
        <f t="shared" si="692"/>
        <v>COM</v>
      </c>
      <c r="G3913" t="str">
        <f t="shared" si="693"/>
        <v>MICHEL AFONSO BRITO CORREIA (1167)</v>
      </c>
      <c r="H3913" t="str">
        <f>"Serv.Prest. 09/03/2026 a 15/03/2026 - PIX: CELULAR - CHAVE: (19) 97145-1624"</f>
        <v>Serv.Prest. 09/03/2026 a 15/03/2026 - PIX: CELULAR - CHAVE: (19) 97145-1624</v>
      </c>
      <c r="I3913" t="str">
        <f t="shared" si="686"/>
        <v>19/03/2026</v>
      </c>
      <c r="J3913" t="str">
        <f t="shared" si="691"/>
        <v>16/03/2026</v>
      </c>
      <c r="K3913" t="str">
        <f>("19/03/2026")</f>
        <v>19/03/2026</v>
      </c>
      <c r="L3913">
        <v>14</v>
      </c>
      <c r="M3913">
        <v>14</v>
      </c>
      <c r="N3913">
        <v>109</v>
      </c>
      <c r="O3913" t="str">
        <f>"PAGAMENTO DE ENTREGADORES"</f>
        <v>PAGAMENTO DE ENTREGADORES</v>
      </c>
      <c r="P3913">
        <v>14</v>
      </c>
      <c r="S3913" t="str">
        <f>"BANCO C6 (149)"</f>
        <v>BANCO C6 (149)</v>
      </c>
      <c r="T3913">
        <v>31632</v>
      </c>
      <c r="U3913">
        <v>34879</v>
      </c>
      <c r="V3913" t="s">
        <v>37</v>
      </c>
    </row>
    <row r="3914" spans="1:22">
      <c r="A3914" t="str">
        <f t="shared" si="687"/>
        <v>19/03/2026</v>
      </c>
      <c r="B3914" t="str">
        <f t="shared" si="683"/>
        <v>SAÍDA</v>
      </c>
      <c r="C3914" t="str">
        <f t="shared" si="684"/>
        <v>PIX</v>
      </c>
      <c r="D3914" t="str">
        <f>"34879"</f>
        <v>34879</v>
      </c>
      <c r="E3914" t="str">
        <f t="shared" si="688"/>
        <v>1</v>
      </c>
      <c r="F3914" t="str">
        <f t="shared" si="692"/>
        <v>COM</v>
      </c>
      <c r="G3914" t="str">
        <f t="shared" si="693"/>
        <v>MICHEL AFONSO BRITO CORREIA (1167)</v>
      </c>
      <c r="H3914" t="s">
        <v>1071</v>
      </c>
      <c r="I3914" t="str">
        <f t="shared" si="686"/>
        <v>19/03/2026</v>
      </c>
      <c r="J3914" t="str">
        <f t="shared" si="691"/>
        <v>16/03/2026</v>
      </c>
      <c r="K3914">
        <v>46100</v>
      </c>
      <c r="N3914">
        <v>109</v>
      </c>
      <c r="O3914" t="s">
        <v>27</v>
      </c>
      <c r="Q3914">
        <v>14</v>
      </c>
      <c r="R3914" t="str">
        <f>"BEM TE FAZ LOJA 9 (10286)"</f>
        <v>BEM TE FAZ LOJA 9 (10286)</v>
      </c>
      <c r="S3914" t="s">
        <v>37</v>
      </c>
      <c r="T3914">
        <v>31632</v>
      </c>
      <c r="U3914">
        <v>34879</v>
      </c>
      <c r="V3914" t="s">
        <v>37</v>
      </c>
    </row>
    <row r="3915" spans="1:22">
      <c r="A3915" t="str">
        <f t="shared" si="687"/>
        <v>19/03/2026</v>
      </c>
      <c r="B3915" t="str">
        <f t="shared" si="683"/>
        <v>SAÍDA</v>
      </c>
      <c r="C3915" t="str">
        <f t="shared" si="684"/>
        <v>PIX</v>
      </c>
      <c r="D3915" t="str">
        <f>"34880"</f>
        <v>34880</v>
      </c>
      <c r="E3915" t="str">
        <f t="shared" si="688"/>
        <v>1</v>
      </c>
      <c r="F3915" t="str">
        <f t="shared" si="692"/>
        <v>COM</v>
      </c>
      <c r="G3915" t="str">
        <f t="shared" si="693"/>
        <v>MICHEL AFONSO BRITO CORREIA (1167)</v>
      </c>
      <c r="H3915" t="str">
        <f>"Serv.Prest. 09/03/2026 a 15/03/2026 - PIX: CELULAR - CHAVE: (19) 97145-1624"</f>
        <v>Serv.Prest. 09/03/2026 a 15/03/2026 - PIX: CELULAR - CHAVE: (19) 97145-1624</v>
      </c>
      <c r="I3915" t="str">
        <f t="shared" si="686"/>
        <v>19/03/2026</v>
      </c>
      <c r="J3915" t="str">
        <f t="shared" si="691"/>
        <v>16/03/2026</v>
      </c>
      <c r="K3915" t="str">
        <f>("19/03/2026")</f>
        <v>19/03/2026</v>
      </c>
      <c r="L3915">
        <v>1113</v>
      </c>
      <c r="M3915">
        <v>1113</v>
      </c>
      <c r="N3915">
        <v>109</v>
      </c>
      <c r="O3915" t="str">
        <f>"PAGAMENTO DE ENTREGADORES"</f>
        <v>PAGAMENTO DE ENTREGADORES</v>
      </c>
      <c r="P3915">
        <v>1113</v>
      </c>
      <c r="S3915" t="str">
        <f>"BANCO C6 (149)"</f>
        <v>BANCO C6 (149)</v>
      </c>
      <c r="T3915">
        <v>31633</v>
      </c>
      <c r="U3915">
        <v>34880</v>
      </c>
      <c r="V3915" t="s">
        <v>37</v>
      </c>
    </row>
    <row r="3916" spans="1:22">
      <c r="A3916" t="str">
        <f t="shared" si="687"/>
        <v>19/03/2026</v>
      </c>
      <c r="B3916" t="str">
        <f t="shared" si="683"/>
        <v>SAÍDA</v>
      </c>
      <c r="C3916" t="str">
        <f t="shared" si="684"/>
        <v>PIX</v>
      </c>
      <c r="D3916" t="str">
        <f>"34880"</f>
        <v>34880</v>
      </c>
      <c r="E3916" t="str">
        <f t="shared" si="688"/>
        <v>1</v>
      </c>
      <c r="F3916" t="str">
        <f t="shared" si="692"/>
        <v>COM</v>
      </c>
      <c r="G3916" t="str">
        <f t="shared" si="693"/>
        <v>MICHEL AFONSO BRITO CORREIA (1167)</v>
      </c>
      <c r="H3916" t="s">
        <v>1071</v>
      </c>
      <c r="I3916" t="str">
        <f t="shared" si="686"/>
        <v>19/03/2026</v>
      </c>
      <c r="J3916" t="str">
        <f t="shared" si="691"/>
        <v>16/03/2026</v>
      </c>
      <c r="K3916">
        <v>46100</v>
      </c>
      <c r="N3916">
        <v>109</v>
      </c>
      <c r="O3916" t="s">
        <v>27</v>
      </c>
      <c r="Q3916">
        <v>1113</v>
      </c>
      <c r="R3916" t="str">
        <f>"BEM TE FAZ LOJA 7 (10285)"</f>
        <v>BEM TE FAZ LOJA 7 (10285)</v>
      </c>
      <c r="S3916" t="s">
        <v>37</v>
      </c>
      <c r="T3916">
        <v>31633</v>
      </c>
      <c r="U3916">
        <v>34880</v>
      </c>
      <c r="V3916" t="s">
        <v>37</v>
      </c>
    </row>
    <row r="3917" spans="1:22">
      <c r="A3917" t="str">
        <f t="shared" si="687"/>
        <v>19/03/2026</v>
      </c>
      <c r="B3917" t="str">
        <f t="shared" si="683"/>
        <v>SAÍDA</v>
      </c>
      <c r="C3917" t="str">
        <f t="shared" si="684"/>
        <v>PIX</v>
      </c>
      <c r="D3917" t="str">
        <f>"34881"</f>
        <v>34881</v>
      </c>
      <c r="E3917" t="str">
        <f t="shared" si="688"/>
        <v>1</v>
      </c>
      <c r="F3917" t="str">
        <f t="shared" si="692"/>
        <v>COM</v>
      </c>
      <c r="G3917" t="str">
        <f>"MIRIAN DE PAULO OLIVEIRA (1237)"</f>
        <v>MIRIAN DE PAULO OLIVEIRA (1237)</v>
      </c>
      <c r="H3917" t="str">
        <f>"Serv.Prest. 09/03/2026 a 15/03/2026 - PIX: CELULAR - CHAVE: (19) 99994-0858"</f>
        <v>Serv.Prest. 09/03/2026 a 15/03/2026 - PIX: CELULAR - CHAVE: (19) 99994-0858</v>
      </c>
      <c r="I3917" t="str">
        <f t="shared" si="686"/>
        <v>19/03/2026</v>
      </c>
      <c r="J3917" t="str">
        <f t="shared" si="691"/>
        <v>16/03/2026</v>
      </c>
      <c r="K3917" t="str">
        <f>("19/03/2026")</f>
        <v>19/03/2026</v>
      </c>
      <c r="L3917">
        <v>1316</v>
      </c>
      <c r="M3917">
        <v>1316</v>
      </c>
      <c r="N3917">
        <v>109</v>
      </c>
      <c r="O3917" t="str">
        <f>"PAGAMENTO DE ENTREGADORES"</f>
        <v>PAGAMENTO DE ENTREGADORES</v>
      </c>
      <c r="P3917">
        <v>1316</v>
      </c>
      <c r="S3917" t="str">
        <f>"BANCO C6 (149)"</f>
        <v>BANCO C6 (149)</v>
      </c>
      <c r="T3917">
        <v>31634</v>
      </c>
      <c r="U3917">
        <v>34881</v>
      </c>
      <c r="V3917" t="s">
        <v>37</v>
      </c>
    </row>
    <row r="3918" spans="1:22">
      <c r="A3918" t="str">
        <f t="shared" si="687"/>
        <v>19/03/2026</v>
      </c>
      <c r="B3918" t="str">
        <f t="shared" si="683"/>
        <v>SAÍDA</v>
      </c>
      <c r="C3918" t="str">
        <f t="shared" si="684"/>
        <v>PIX</v>
      </c>
      <c r="D3918" t="str">
        <f>"34881"</f>
        <v>34881</v>
      </c>
      <c r="E3918" t="str">
        <f t="shared" si="688"/>
        <v>1</v>
      </c>
      <c r="F3918" t="str">
        <f t="shared" si="692"/>
        <v>COM</v>
      </c>
      <c r="G3918" t="str">
        <f>"MIRIAN DE PAULO OLIVEIRA (1237)"</f>
        <v>MIRIAN DE PAULO OLIVEIRA (1237)</v>
      </c>
      <c r="H3918" t="s">
        <v>1072</v>
      </c>
      <c r="I3918" t="str">
        <f t="shared" si="686"/>
        <v>19/03/2026</v>
      </c>
      <c r="J3918" t="str">
        <f t="shared" si="691"/>
        <v>16/03/2026</v>
      </c>
      <c r="K3918">
        <v>46100</v>
      </c>
      <c r="N3918">
        <v>109</v>
      </c>
      <c r="O3918" t="s">
        <v>27</v>
      </c>
      <c r="Q3918">
        <v>1316</v>
      </c>
      <c r="R3918" t="str">
        <f>"BEM TE FAZ LOJA 3 (10287)"</f>
        <v>BEM TE FAZ LOJA 3 (10287)</v>
      </c>
      <c r="S3918" t="s">
        <v>37</v>
      </c>
      <c r="T3918">
        <v>31634</v>
      </c>
      <c r="U3918">
        <v>34881</v>
      </c>
      <c r="V3918" t="s">
        <v>37</v>
      </c>
    </row>
    <row r="3919" spans="1:22">
      <c r="A3919" t="str">
        <f t="shared" si="687"/>
        <v>19/03/2026</v>
      </c>
      <c r="B3919" t="str">
        <f t="shared" si="683"/>
        <v>SAÍDA</v>
      </c>
      <c r="C3919" t="str">
        <f t="shared" si="684"/>
        <v>PIX</v>
      </c>
      <c r="D3919" t="str">
        <f>"34883"</f>
        <v>34883</v>
      </c>
      <c r="E3919" t="str">
        <f t="shared" si="688"/>
        <v>1</v>
      </c>
      <c r="F3919" t="str">
        <f t="shared" si="692"/>
        <v>COM</v>
      </c>
      <c r="G3919" t="str">
        <f>"RAFAEL LUCIO ASSIS BERNARDES (1269)"</f>
        <v>RAFAEL LUCIO ASSIS BERNARDES (1269)</v>
      </c>
      <c r="H3919" t="str">
        <f>"Serv.Prest. 09/03/2026 a 15/03/2026 - PIX: CELULAR - CHAVE: (19) 97822-4918"</f>
        <v>Serv.Prest. 09/03/2026 a 15/03/2026 - PIX: CELULAR - CHAVE: (19) 97822-4918</v>
      </c>
      <c r="I3919" t="str">
        <f t="shared" si="686"/>
        <v>19/03/2026</v>
      </c>
      <c r="J3919" t="str">
        <f t="shared" si="691"/>
        <v>16/03/2026</v>
      </c>
      <c r="K3919" t="str">
        <f>("19/03/2026")</f>
        <v>19/03/2026</v>
      </c>
      <c r="L3919">
        <v>630</v>
      </c>
      <c r="M3919">
        <v>630</v>
      </c>
      <c r="N3919">
        <v>109</v>
      </c>
      <c r="O3919" t="str">
        <f>"PAGAMENTO DE ENTREGADORES"</f>
        <v>PAGAMENTO DE ENTREGADORES</v>
      </c>
      <c r="P3919">
        <v>630</v>
      </c>
      <c r="S3919" t="str">
        <f>"BANCO C6 (149)"</f>
        <v>BANCO C6 (149)</v>
      </c>
      <c r="T3919">
        <v>31635</v>
      </c>
      <c r="U3919">
        <v>34883</v>
      </c>
      <c r="V3919" t="s">
        <v>37</v>
      </c>
    </row>
    <row r="3920" spans="1:22">
      <c r="A3920" t="str">
        <f t="shared" si="687"/>
        <v>19/03/2026</v>
      </c>
      <c r="B3920" t="str">
        <f t="shared" si="683"/>
        <v>SAÍDA</v>
      </c>
      <c r="C3920" t="str">
        <f t="shared" si="684"/>
        <v>PIX</v>
      </c>
      <c r="D3920" t="str">
        <f>"34883"</f>
        <v>34883</v>
      </c>
      <c r="E3920" t="str">
        <f t="shared" si="688"/>
        <v>1</v>
      </c>
      <c r="F3920" t="str">
        <f t="shared" si="692"/>
        <v>COM</v>
      </c>
      <c r="G3920" t="str">
        <f>"RAFAEL LUCIO ASSIS BERNARDES (1269)"</f>
        <v>RAFAEL LUCIO ASSIS BERNARDES (1269)</v>
      </c>
      <c r="H3920" t="s">
        <v>1073</v>
      </c>
      <c r="I3920" t="str">
        <f t="shared" si="686"/>
        <v>19/03/2026</v>
      </c>
      <c r="J3920" t="str">
        <f t="shared" si="691"/>
        <v>16/03/2026</v>
      </c>
      <c r="K3920">
        <v>46100</v>
      </c>
      <c r="N3920">
        <v>109</v>
      </c>
      <c r="O3920" t="s">
        <v>27</v>
      </c>
      <c r="Q3920">
        <v>630</v>
      </c>
      <c r="R3920" t="str">
        <f>"BEM TE FAZ LOJA 6 (10284)"</f>
        <v>BEM TE FAZ LOJA 6 (10284)</v>
      </c>
      <c r="S3920" t="s">
        <v>37</v>
      </c>
      <c r="T3920">
        <v>31635</v>
      </c>
      <c r="U3920">
        <v>34883</v>
      </c>
      <c r="V3920" t="s">
        <v>37</v>
      </c>
    </row>
    <row r="3921" spans="1:22">
      <c r="A3921" t="str">
        <f t="shared" si="687"/>
        <v>19/03/2026</v>
      </c>
      <c r="B3921" t="str">
        <f t="shared" si="683"/>
        <v>SAÍDA</v>
      </c>
      <c r="C3921" t="str">
        <f t="shared" si="684"/>
        <v>PIX</v>
      </c>
      <c r="D3921" t="str">
        <f>"34884"</f>
        <v>34884</v>
      </c>
      <c r="E3921" t="str">
        <f t="shared" si="688"/>
        <v>1</v>
      </c>
      <c r="F3921" t="str">
        <f t="shared" si="692"/>
        <v>COM</v>
      </c>
      <c r="G3921" t="str">
        <f>"RAFAEL LUCIO ASSIS BERNARDES (1269)"</f>
        <v>RAFAEL LUCIO ASSIS BERNARDES (1269)</v>
      </c>
      <c r="H3921" t="str">
        <f>"Serv.Prest. 09/03/2026 a 15/03/2026 - PIX: CELULAR - CHAVE: (19) 97822-4918"</f>
        <v>Serv.Prest. 09/03/2026 a 15/03/2026 - PIX: CELULAR - CHAVE: (19) 97822-4918</v>
      </c>
      <c r="I3921" t="str">
        <f t="shared" si="686"/>
        <v>19/03/2026</v>
      </c>
      <c r="J3921" t="str">
        <f t="shared" si="691"/>
        <v>16/03/2026</v>
      </c>
      <c r="K3921" t="str">
        <f>("19/03/2026")</f>
        <v>19/03/2026</v>
      </c>
      <c r="L3921">
        <v>168</v>
      </c>
      <c r="M3921">
        <v>168</v>
      </c>
      <c r="N3921">
        <v>109</v>
      </c>
      <c r="O3921" t="str">
        <f>"PAGAMENTO DE ENTREGADORES"</f>
        <v>PAGAMENTO DE ENTREGADORES</v>
      </c>
      <c r="P3921">
        <v>168</v>
      </c>
      <c r="S3921" t="str">
        <f>"BANCO C6 (149)"</f>
        <v>BANCO C6 (149)</v>
      </c>
      <c r="T3921">
        <v>31636</v>
      </c>
      <c r="U3921">
        <v>34884</v>
      </c>
      <c r="V3921" t="s">
        <v>37</v>
      </c>
    </row>
    <row r="3922" spans="1:22">
      <c r="A3922" t="str">
        <f t="shared" si="687"/>
        <v>19/03/2026</v>
      </c>
      <c r="B3922" t="str">
        <f t="shared" si="683"/>
        <v>SAÍDA</v>
      </c>
      <c r="C3922" t="str">
        <f t="shared" si="684"/>
        <v>PIX</v>
      </c>
      <c r="D3922" t="str">
        <f>"34884"</f>
        <v>34884</v>
      </c>
      <c r="E3922" t="str">
        <f t="shared" si="688"/>
        <v>1</v>
      </c>
      <c r="F3922" t="str">
        <f t="shared" si="692"/>
        <v>COM</v>
      </c>
      <c r="G3922" t="str">
        <f>"RAFAEL LUCIO ASSIS BERNARDES (1269)"</f>
        <v>RAFAEL LUCIO ASSIS BERNARDES (1269)</v>
      </c>
      <c r="H3922" t="s">
        <v>1073</v>
      </c>
      <c r="I3922" t="str">
        <f t="shared" si="686"/>
        <v>19/03/2026</v>
      </c>
      <c r="J3922" t="str">
        <f t="shared" si="691"/>
        <v>16/03/2026</v>
      </c>
      <c r="K3922">
        <v>46100</v>
      </c>
      <c r="N3922">
        <v>109</v>
      </c>
      <c r="O3922" t="s">
        <v>27</v>
      </c>
      <c r="Q3922">
        <v>168</v>
      </c>
      <c r="R3922" t="str">
        <f>"BEM TE FAZ LOJA 9 (10286)"</f>
        <v>BEM TE FAZ LOJA 9 (10286)</v>
      </c>
      <c r="S3922" t="s">
        <v>37</v>
      </c>
      <c r="T3922">
        <v>31636</v>
      </c>
      <c r="U3922">
        <v>34884</v>
      </c>
      <c r="V3922" t="s">
        <v>37</v>
      </c>
    </row>
    <row r="3923" spans="1:22">
      <c r="A3923" t="str">
        <f t="shared" si="687"/>
        <v>19/03/2026</v>
      </c>
      <c r="B3923" t="str">
        <f t="shared" si="683"/>
        <v>SAÍDA</v>
      </c>
      <c r="C3923" t="str">
        <f t="shared" si="684"/>
        <v>PIX</v>
      </c>
      <c r="D3923" t="str">
        <f>"34885"</f>
        <v>34885</v>
      </c>
      <c r="E3923" t="str">
        <f t="shared" si="688"/>
        <v>1</v>
      </c>
      <c r="F3923" t="str">
        <f t="shared" si="692"/>
        <v>COM</v>
      </c>
      <c r="G3923" t="str">
        <f>"RICARDO PERIN DE SOUZA (1272)"</f>
        <v>RICARDO PERIN DE SOUZA (1272)</v>
      </c>
      <c r="H3923" t="str">
        <f>"Serv.Prest. 09/03/2026 a 15/03/2026 - PIX: CPF - CHAVE: 472.998.978-30"</f>
        <v>Serv.Prest. 09/03/2026 a 15/03/2026 - PIX: CPF - CHAVE: 472.998.978-30</v>
      </c>
      <c r="I3923" t="str">
        <f t="shared" si="686"/>
        <v>19/03/2026</v>
      </c>
      <c r="J3923" t="str">
        <f t="shared" si="691"/>
        <v>16/03/2026</v>
      </c>
      <c r="K3923" t="str">
        <f>("19/03/2026")</f>
        <v>19/03/2026</v>
      </c>
      <c r="L3923">
        <v>1050</v>
      </c>
      <c r="M3923">
        <v>1050</v>
      </c>
      <c r="N3923">
        <v>109</v>
      </c>
      <c r="O3923" t="str">
        <f>"PAGAMENTO DE ENTREGADORES"</f>
        <v>PAGAMENTO DE ENTREGADORES</v>
      </c>
      <c r="P3923">
        <v>1050</v>
      </c>
      <c r="S3923" t="str">
        <f>"BANCO C6 (149)"</f>
        <v>BANCO C6 (149)</v>
      </c>
      <c r="T3923">
        <v>31637</v>
      </c>
      <c r="U3923">
        <v>34885</v>
      </c>
      <c r="V3923" t="s">
        <v>37</v>
      </c>
    </row>
    <row r="3924" spans="1:22">
      <c r="A3924" t="str">
        <f t="shared" si="687"/>
        <v>19/03/2026</v>
      </c>
      <c r="B3924" t="str">
        <f t="shared" si="683"/>
        <v>SAÍDA</v>
      </c>
      <c r="C3924" t="str">
        <f t="shared" si="684"/>
        <v>PIX</v>
      </c>
      <c r="D3924" t="str">
        <f>"34885"</f>
        <v>34885</v>
      </c>
      <c r="E3924" t="str">
        <f t="shared" si="688"/>
        <v>1</v>
      </c>
      <c r="F3924" t="str">
        <f t="shared" si="692"/>
        <v>COM</v>
      </c>
      <c r="G3924" t="str">
        <f>"RICARDO PERIN DE SOUZA (1272)"</f>
        <v>RICARDO PERIN DE SOUZA (1272)</v>
      </c>
      <c r="H3924" t="s">
        <v>1074</v>
      </c>
      <c r="I3924" t="str">
        <f t="shared" si="686"/>
        <v>19/03/2026</v>
      </c>
      <c r="J3924" t="str">
        <f t="shared" si="691"/>
        <v>16/03/2026</v>
      </c>
      <c r="K3924">
        <v>46100</v>
      </c>
      <c r="N3924">
        <v>109</v>
      </c>
      <c r="O3924" t="s">
        <v>27</v>
      </c>
      <c r="Q3924">
        <v>1050</v>
      </c>
      <c r="R3924" t="str">
        <f>"BEM TE FAZ LOJA 3 (10287)"</f>
        <v>BEM TE FAZ LOJA 3 (10287)</v>
      </c>
      <c r="S3924" t="s">
        <v>37</v>
      </c>
      <c r="T3924">
        <v>31637</v>
      </c>
      <c r="U3924">
        <v>34885</v>
      </c>
      <c r="V3924" t="s">
        <v>37</v>
      </c>
    </row>
    <row r="3925" spans="1:22">
      <c r="A3925" t="str">
        <f t="shared" si="687"/>
        <v>19/03/2026</v>
      </c>
      <c r="B3925" t="str">
        <f t="shared" si="683"/>
        <v>SAÍDA</v>
      </c>
      <c r="C3925" t="str">
        <f t="shared" si="684"/>
        <v>PIX</v>
      </c>
      <c r="D3925" t="str">
        <f>"34886"</f>
        <v>34886</v>
      </c>
      <c r="E3925" t="str">
        <f t="shared" si="688"/>
        <v>1</v>
      </c>
      <c r="F3925" t="str">
        <f t="shared" si="692"/>
        <v>COM</v>
      </c>
      <c r="G3925" t="str">
        <f t="shared" ref="G3925:G3930" si="694">"SAMUEL HENRIQUE DE SOUSA (1335)"</f>
        <v>SAMUEL HENRIQUE DE SOUSA (1335)</v>
      </c>
      <c r="H3925" t="str">
        <f>"Serv.Prest. 09/03/2026 a 15/03/2026 - PIX: CPF - CHAVE: 533.495.008-70"</f>
        <v>Serv.Prest. 09/03/2026 a 15/03/2026 - PIX: CPF - CHAVE: 533.495.008-70</v>
      </c>
      <c r="I3925" t="str">
        <f t="shared" si="686"/>
        <v>19/03/2026</v>
      </c>
      <c r="J3925" t="str">
        <f t="shared" si="691"/>
        <v>16/03/2026</v>
      </c>
      <c r="K3925" t="str">
        <f>("19/03/2026")</f>
        <v>19/03/2026</v>
      </c>
      <c r="L3925">
        <v>490</v>
      </c>
      <c r="M3925">
        <v>490</v>
      </c>
      <c r="N3925">
        <v>109</v>
      </c>
      <c r="O3925" t="str">
        <f>"PAGAMENTO DE ENTREGADORES"</f>
        <v>PAGAMENTO DE ENTREGADORES</v>
      </c>
      <c r="P3925">
        <v>490</v>
      </c>
      <c r="S3925" t="str">
        <f>"BANCO C6 (149)"</f>
        <v>BANCO C6 (149)</v>
      </c>
      <c r="T3925">
        <v>31638</v>
      </c>
      <c r="U3925">
        <v>34886</v>
      </c>
      <c r="V3925" t="s">
        <v>37</v>
      </c>
    </row>
    <row r="3926" spans="1:22">
      <c r="A3926" t="str">
        <f t="shared" si="687"/>
        <v>19/03/2026</v>
      </c>
      <c r="B3926" t="str">
        <f t="shared" si="683"/>
        <v>SAÍDA</v>
      </c>
      <c r="C3926" t="str">
        <f t="shared" si="684"/>
        <v>PIX</v>
      </c>
      <c r="D3926" t="str">
        <f>"34886"</f>
        <v>34886</v>
      </c>
      <c r="E3926" t="str">
        <f t="shared" si="688"/>
        <v>1</v>
      </c>
      <c r="F3926" t="str">
        <f t="shared" si="692"/>
        <v>COM</v>
      </c>
      <c r="G3926" t="str">
        <f t="shared" si="694"/>
        <v>SAMUEL HENRIQUE DE SOUSA (1335)</v>
      </c>
      <c r="H3926" t="s">
        <v>1075</v>
      </c>
      <c r="I3926" t="str">
        <f t="shared" si="686"/>
        <v>19/03/2026</v>
      </c>
      <c r="J3926" t="str">
        <f t="shared" si="691"/>
        <v>16/03/2026</v>
      </c>
      <c r="K3926">
        <v>46100</v>
      </c>
      <c r="N3926">
        <v>109</v>
      </c>
      <c r="O3926" t="s">
        <v>27</v>
      </c>
      <c r="Q3926">
        <v>490</v>
      </c>
      <c r="R3926" t="str">
        <f>"BEM TE FAZ LOJA 6 (10284)"</f>
        <v>BEM TE FAZ LOJA 6 (10284)</v>
      </c>
      <c r="S3926" t="s">
        <v>37</v>
      </c>
      <c r="T3926">
        <v>31638</v>
      </c>
      <c r="U3926">
        <v>34886</v>
      </c>
      <c r="V3926" t="s">
        <v>37</v>
      </c>
    </row>
    <row r="3927" spans="1:22">
      <c r="A3927" t="str">
        <f t="shared" si="687"/>
        <v>19/03/2026</v>
      </c>
      <c r="B3927" t="str">
        <f t="shared" si="683"/>
        <v>SAÍDA</v>
      </c>
      <c r="C3927" t="str">
        <f t="shared" si="684"/>
        <v>PIX</v>
      </c>
      <c r="D3927" t="str">
        <f>"34887"</f>
        <v>34887</v>
      </c>
      <c r="E3927" t="str">
        <f t="shared" si="688"/>
        <v>1</v>
      </c>
      <c r="F3927" t="str">
        <f t="shared" si="692"/>
        <v>COM</v>
      </c>
      <c r="G3927" t="str">
        <f t="shared" si="694"/>
        <v>SAMUEL HENRIQUE DE SOUSA (1335)</v>
      </c>
      <c r="H3927" t="str">
        <f>"Serv.Prest. 09/03/2026 a 15/03/2026 - PIX: CPF - CHAVE: 533.495.008-70"</f>
        <v>Serv.Prest. 09/03/2026 a 15/03/2026 - PIX: CPF - CHAVE: 533.495.008-70</v>
      </c>
      <c r="I3927" t="str">
        <f t="shared" si="686"/>
        <v>19/03/2026</v>
      </c>
      <c r="J3927" t="str">
        <f t="shared" si="691"/>
        <v>16/03/2026</v>
      </c>
      <c r="K3927" t="str">
        <f>("19/03/2026")</f>
        <v>19/03/2026</v>
      </c>
      <c r="L3927">
        <v>245</v>
      </c>
      <c r="M3927">
        <v>245</v>
      </c>
      <c r="N3927">
        <v>109</v>
      </c>
      <c r="O3927" t="str">
        <f>"PAGAMENTO DE ENTREGADORES"</f>
        <v>PAGAMENTO DE ENTREGADORES</v>
      </c>
      <c r="P3927">
        <v>245</v>
      </c>
      <c r="S3927" t="str">
        <f>"BANCO C6 (149)"</f>
        <v>BANCO C6 (149)</v>
      </c>
      <c r="T3927">
        <v>31639</v>
      </c>
      <c r="U3927">
        <v>34887</v>
      </c>
      <c r="V3927" t="s">
        <v>37</v>
      </c>
    </row>
    <row r="3928" spans="1:22">
      <c r="A3928" t="str">
        <f t="shared" si="687"/>
        <v>19/03/2026</v>
      </c>
      <c r="B3928" t="str">
        <f t="shared" si="683"/>
        <v>SAÍDA</v>
      </c>
      <c r="C3928" t="str">
        <f t="shared" si="684"/>
        <v>PIX</v>
      </c>
      <c r="D3928" t="str">
        <f>"34887"</f>
        <v>34887</v>
      </c>
      <c r="E3928" t="str">
        <f t="shared" si="688"/>
        <v>1</v>
      </c>
      <c r="F3928" t="str">
        <f t="shared" si="692"/>
        <v>COM</v>
      </c>
      <c r="G3928" t="str">
        <f t="shared" si="694"/>
        <v>SAMUEL HENRIQUE DE SOUSA (1335)</v>
      </c>
      <c r="H3928" t="s">
        <v>1075</v>
      </c>
      <c r="I3928" t="str">
        <f t="shared" si="686"/>
        <v>19/03/2026</v>
      </c>
      <c r="J3928" t="str">
        <f t="shared" si="691"/>
        <v>16/03/2026</v>
      </c>
      <c r="K3928">
        <v>46100</v>
      </c>
      <c r="N3928">
        <v>109</v>
      </c>
      <c r="O3928" t="s">
        <v>27</v>
      </c>
      <c r="Q3928">
        <v>245</v>
      </c>
      <c r="R3928" t="str">
        <f>"BEM TE FAZ LOJA 7 (10285)"</f>
        <v>BEM TE FAZ LOJA 7 (10285)</v>
      </c>
      <c r="S3928" t="s">
        <v>37</v>
      </c>
      <c r="T3928">
        <v>31639</v>
      </c>
      <c r="U3928">
        <v>34887</v>
      </c>
      <c r="V3928" t="s">
        <v>37</v>
      </c>
    </row>
    <row r="3929" spans="1:22">
      <c r="A3929" t="str">
        <f t="shared" si="687"/>
        <v>19/03/2026</v>
      </c>
      <c r="B3929" t="str">
        <f t="shared" si="683"/>
        <v>SAÍDA</v>
      </c>
      <c r="C3929" t="str">
        <f t="shared" si="684"/>
        <v>PIX</v>
      </c>
      <c r="D3929" t="str">
        <f>"34888"</f>
        <v>34888</v>
      </c>
      <c r="E3929" t="str">
        <f t="shared" si="688"/>
        <v>1</v>
      </c>
      <c r="F3929" t="str">
        <f t="shared" si="692"/>
        <v>COM</v>
      </c>
      <c r="G3929" t="str">
        <f t="shared" si="694"/>
        <v>SAMUEL HENRIQUE DE SOUSA (1335)</v>
      </c>
      <c r="H3929" t="str">
        <f>"Serv.Prest. 09/03/2026 a 15/03/2026 - PIX: CPF - CHAVE: 533.495.008-70"</f>
        <v>Serv.Prest. 09/03/2026 a 15/03/2026 - PIX: CPF - CHAVE: 533.495.008-70</v>
      </c>
      <c r="I3929" t="str">
        <f t="shared" si="686"/>
        <v>19/03/2026</v>
      </c>
      <c r="J3929" t="str">
        <f t="shared" si="691"/>
        <v>16/03/2026</v>
      </c>
      <c r="K3929" t="str">
        <f>("19/03/2026")</f>
        <v>19/03/2026</v>
      </c>
      <c r="L3929">
        <v>336</v>
      </c>
      <c r="M3929">
        <v>336</v>
      </c>
      <c r="N3929">
        <v>109</v>
      </c>
      <c r="O3929" t="str">
        <f>"PAGAMENTO DE ENTREGADORES"</f>
        <v>PAGAMENTO DE ENTREGADORES</v>
      </c>
      <c r="P3929">
        <v>336</v>
      </c>
      <c r="S3929" t="str">
        <f>"BANCO C6 (149)"</f>
        <v>BANCO C6 (149)</v>
      </c>
      <c r="T3929">
        <v>31640</v>
      </c>
      <c r="U3929">
        <v>34888</v>
      </c>
      <c r="V3929" t="s">
        <v>37</v>
      </c>
    </row>
    <row r="3930" spans="1:22">
      <c r="A3930" t="str">
        <f t="shared" si="687"/>
        <v>19/03/2026</v>
      </c>
      <c r="B3930" t="str">
        <f t="shared" si="683"/>
        <v>SAÍDA</v>
      </c>
      <c r="C3930" t="str">
        <f t="shared" si="684"/>
        <v>PIX</v>
      </c>
      <c r="D3930" t="str">
        <f>"34888"</f>
        <v>34888</v>
      </c>
      <c r="E3930" t="str">
        <f t="shared" si="688"/>
        <v>1</v>
      </c>
      <c r="F3930" t="str">
        <f t="shared" si="692"/>
        <v>COM</v>
      </c>
      <c r="G3930" t="str">
        <f t="shared" si="694"/>
        <v>SAMUEL HENRIQUE DE SOUSA (1335)</v>
      </c>
      <c r="H3930" t="s">
        <v>1075</v>
      </c>
      <c r="I3930" t="str">
        <f t="shared" si="686"/>
        <v>19/03/2026</v>
      </c>
      <c r="J3930" t="str">
        <f t="shared" si="691"/>
        <v>16/03/2026</v>
      </c>
      <c r="K3930">
        <v>46100</v>
      </c>
      <c r="N3930">
        <v>109</v>
      </c>
      <c r="O3930" t="s">
        <v>27</v>
      </c>
      <c r="Q3930">
        <v>336</v>
      </c>
      <c r="R3930" t="str">
        <f>"BEM TE FAZ LOJA 9 (10286)"</f>
        <v>BEM TE FAZ LOJA 9 (10286)</v>
      </c>
      <c r="S3930" t="s">
        <v>37</v>
      </c>
      <c r="T3930">
        <v>31640</v>
      </c>
      <c r="U3930">
        <v>34888</v>
      </c>
      <c r="V3930" t="s">
        <v>37</v>
      </c>
    </row>
    <row r="3931" spans="1:22">
      <c r="A3931" t="str">
        <f t="shared" si="687"/>
        <v>19/03/2026</v>
      </c>
      <c r="B3931" t="str">
        <f t="shared" si="683"/>
        <v>SAÍDA</v>
      </c>
      <c r="C3931" t="str">
        <f t="shared" si="684"/>
        <v>PIX</v>
      </c>
      <c r="D3931" t="str">
        <f>"34890"</f>
        <v>34890</v>
      </c>
      <c r="E3931" t="str">
        <f t="shared" si="688"/>
        <v>1</v>
      </c>
      <c r="F3931" t="str">
        <f t="shared" si="692"/>
        <v>COM</v>
      </c>
      <c r="G3931" t="str">
        <f>"BRENO HENRIQUE DE SOUSA (596)"</f>
        <v>BRENO HENRIQUE DE SOUSA (596)</v>
      </c>
      <c r="H3931" t="str">
        <f>"Serv.Prest. 09/03/2026 a 15/03/2026 - PIX: CELULAR - CHAVE: (37) 99146-2630"</f>
        <v>Serv.Prest. 09/03/2026 a 15/03/2026 - PIX: CELULAR - CHAVE: (37) 99146-2630</v>
      </c>
      <c r="I3931" t="str">
        <f t="shared" si="686"/>
        <v>19/03/2026</v>
      </c>
      <c r="J3931" t="str">
        <f t="shared" si="691"/>
        <v>16/03/2026</v>
      </c>
      <c r="K3931" t="str">
        <f>("19/03/2026")</f>
        <v>19/03/2026</v>
      </c>
      <c r="L3931">
        <v>1200</v>
      </c>
      <c r="M3931">
        <v>1200</v>
      </c>
      <c r="N3931">
        <v>109</v>
      </c>
      <c r="O3931" t="str">
        <f>"PAGAMENTO DE ENTREGADORES"</f>
        <v>PAGAMENTO DE ENTREGADORES</v>
      </c>
      <c r="P3931">
        <v>1200</v>
      </c>
      <c r="S3931" t="str">
        <f>"BANCO C6 (149)"</f>
        <v>BANCO C6 (149)</v>
      </c>
      <c r="T3931">
        <v>31641</v>
      </c>
      <c r="U3931">
        <v>34890</v>
      </c>
      <c r="V3931" t="s">
        <v>37</v>
      </c>
    </row>
    <row r="3932" spans="1:22">
      <c r="A3932" t="str">
        <f t="shared" si="687"/>
        <v>19/03/2026</v>
      </c>
      <c r="B3932" t="str">
        <f t="shared" si="683"/>
        <v>SAÍDA</v>
      </c>
      <c r="C3932" t="str">
        <f t="shared" si="684"/>
        <v>PIX</v>
      </c>
      <c r="D3932" t="str">
        <f>"34890"</f>
        <v>34890</v>
      </c>
      <c r="E3932" t="str">
        <f t="shared" si="688"/>
        <v>1</v>
      </c>
      <c r="F3932" t="str">
        <f t="shared" si="692"/>
        <v>COM</v>
      </c>
      <c r="G3932" t="str">
        <f>"BRENO HENRIQUE DE SOUSA (596)"</f>
        <v>BRENO HENRIQUE DE SOUSA (596)</v>
      </c>
      <c r="H3932" t="s">
        <v>1076</v>
      </c>
      <c r="I3932" t="str">
        <f t="shared" si="686"/>
        <v>19/03/2026</v>
      </c>
      <c r="J3932" t="str">
        <f t="shared" si="691"/>
        <v>16/03/2026</v>
      </c>
      <c r="K3932">
        <v>46100</v>
      </c>
      <c r="N3932">
        <v>109</v>
      </c>
      <c r="O3932" t="s">
        <v>27</v>
      </c>
      <c r="Q3932">
        <v>1200</v>
      </c>
      <c r="R3932" t="str">
        <f>"DROGARIA POUPA MINAS (ULTRAMINAS) 1 (10181)"</f>
        <v>DROGARIA POUPA MINAS (ULTRAMINAS) 1 (10181)</v>
      </c>
      <c r="S3932" t="s">
        <v>37</v>
      </c>
      <c r="T3932">
        <v>31641</v>
      </c>
      <c r="U3932">
        <v>34890</v>
      </c>
      <c r="V3932" t="s">
        <v>37</v>
      </c>
    </row>
    <row r="3933" spans="1:22">
      <c r="A3933" t="str">
        <f t="shared" si="687"/>
        <v>19/03/2026</v>
      </c>
      <c r="B3933" t="str">
        <f t="shared" si="683"/>
        <v>SAÍDA</v>
      </c>
      <c r="C3933" t="str">
        <f t="shared" si="684"/>
        <v>PIX</v>
      </c>
      <c r="D3933" t="str">
        <f>"34892"</f>
        <v>34892</v>
      </c>
      <c r="E3933" t="str">
        <f t="shared" si="688"/>
        <v>1</v>
      </c>
      <c r="F3933" t="str">
        <f t="shared" si="692"/>
        <v>COM</v>
      </c>
      <c r="G3933" t="str">
        <f>"JHONATA SOUSA UCHOA (464)"</f>
        <v>JHONATA SOUSA UCHOA (464)</v>
      </c>
      <c r="H3933" t="str">
        <f>"Serv.Prest. 09/03/2026 a 15/03/2026 - PIX: CPF - CHAVE: 020.590.606-05"</f>
        <v>Serv.Prest. 09/03/2026 a 15/03/2026 - PIX: CPF - CHAVE: 020.590.606-05</v>
      </c>
      <c r="I3933" t="str">
        <f t="shared" si="686"/>
        <v>19/03/2026</v>
      </c>
      <c r="J3933" t="str">
        <f t="shared" si="691"/>
        <v>16/03/2026</v>
      </c>
      <c r="K3933" t="str">
        <f>("19/03/2026")</f>
        <v>19/03/2026</v>
      </c>
      <c r="L3933">
        <v>1020</v>
      </c>
      <c r="M3933">
        <v>1020</v>
      </c>
      <c r="N3933">
        <v>109</v>
      </c>
      <c r="O3933" t="str">
        <f>"PAGAMENTO DE ENTREGADORES"</f>
        <v>PAGAMENTO DE ENTREGADORES</v>
      </c>
      <c r="P3933">
        <v>1020</v>
      </c>
      <c r="S3933" t="str">
        <f>"BANCO C6 (149)"</f>
        <v>BANCO C6 (149)</v>
      </c>
      <c r="T3933">
        <v>31642</v>
      </c>
      <c r="U3933">
        <v>34892</v>
      </c>
      <c r="V3933" t="s">
        <v>37</v>
      </c>
    </row>
    <row r="3934" spans="1:22">
      <c r="A3934" t="str">
        <f t="shared" si="687"/>
        <v>19/03/2026</v>
      </c>
      <c r="B3934" t="str">
        <f t="shared" si="683"/>
        <v>SAÍDA</v>
      </c>
      <c r="C3934" t="str">
        <f t="shared" si="684"/>
        <v>PIX</v>
      </c>
      <c r="D3934" t="str">
        <f>"34892"</f>
        <v>34892</v>
      </c>
      <c r="E3934" t="str">
        <f t="shared" si="688"/>
        <v>1</v>
      </c>
      <c r="F3934" t="str">
        <f t="shared" si="692"/>
        <v>COM</v>
      </c>
      <c r="G3934" t="str">
        <f>"JHONATA SOUSA UCHOA (464)"</f>
        <v>JHONATA SOUSA UCHOA (464)</v>
      </c>
      <c r="H3934" t="s">
        <v>1077</v>
      </c>
      <c r="I3934" t="str">
        <f t="shared" si="686"/>
        <v>19/03/2026</v>
      </c>
      <c r="J3934" t="str">
        <f t="shared" si="691"/>
        <v>16/03/2026</v>
      </c>
      <c r="K3934">
        <v>46100</v>
      </c>
      <c r="N3934">
        <v>109</v>
      </c>
      <c r="O3934" t="s">
        <v>27</v>
      </c>
      <c r="Q3934">
        <v>1020</v>
      </c>
      <c r="R3934" t="str">
        <f>"DROGARIA POUPA MINAS (ULTRAMINAS) 1 (10181)"</f>
        <v>DROGARIA POUPA MINAS (ULTRAMINAS) 1 (10181)</v>
      </c>
      <c r="S3934" t="s">
        <v>37</v>
      </c>
      <c r="T3934">
        <v>31642</v>
      </c>
      <c r="U3934">
        <v>34892</v>
      </c>
      <c r="V3934" t="s">
        <v>37</v>
      </c>
    </row>
    <row r="3935" spans="1:22">
      <c r="A3935" t="str">
        <f t="shared" si="687"/>
        <v>19/03/2026</v>
      </c>
      <c r="B3935" t="str">
        <f t="shared" si="683"/>
        <v>SAÍDA</v>
      </c>
      <c r="C3935" t="str">
        <f t="shared" si="684"/>
        <v>PIX</v>
      </c>
      <c r="D3935" t="str">
        <f>"34893"</f>
        <v>34893</v>
      </c>
      <c r="E3935" t="str">
        <f t="shared" si="688"/>
        <v>1</v>
      </c>
      <c r="F3935" t="str">
        <f t="shared" si="692"/>
        <v>COM</v>
      </c>
      <c r="G3935" t="str">
        <f>"LUIZ PAULO DE OLIVEIRA (712)"</f>
        <v>LUIZ PAULO DE OLIVEIRA (712)</v>
      </c>
      <c r="H3935" t="str">
        <f>"Serv.Prest. 09/03/2026 a 15/03/2026 - PIX: E-MAIL - CHAVE: karinasilvaaparecida1286@gmail.com"</f>
        <v>Serv.Prest. 09/03/2026 a 15/03/2026 - PIX: E-MAIL - CHAVE: karinasilvaaparecida1286@gmail.com</v>
      </c>
      <c r="I3935" t="str">
        <f t="shared" si="686"/>
        <v>19/03/2026</v>
      </c>
      <c r="J3935" t="str">
        <f t="shared" ref="J3935:J3966" si="695">("16/03/2026")</f>
        <v>16/03/2026</v>
      </c>
      <c r="K3935" t="str">
        <f>("19/03/2026")</f>
        <v>19/03/2026</v>
      </c>
      <c r="L3935">
        <v>1380</v>
      </c>
      <c r="M3935">
        <v>1380</v>
      </c>
      <c r="N3935">
        <v>109</v>
      </c>
      <c r="O3935" t="str">
        <f>"PAGAMENTO DE ENTREGADORES"</f>
        <v>PAGAMENTO DE ENTREGADORES</v>
      </c>
      <c r="P3935">
        <v>1380</v>
      </c>
      <c r="S3935" t="str">
        <f>"BANCO C6 (149)"</f>
        <v>BANCO C6 (149)</v>
      </c>
      <c r="T3935">
        <v>31643</v>
      </c>
      <c r="U3935">
        <v>34893</v>
      </c>
      <c r="V3935" t="s">
        <v>37</v>
      </c>
    </row>
    <row r="3936" spans="1:22">
      <c r="A3936" t="str">
        <f t="shared" si="687"/>
        <v>19/03/2026</v>
      </c>
      <c r="B3936" t="str">
        <f t="shared" si="683"/>
        <v>SAÍDA</v>
      </c>
      <c r="C3936" t="str">
        <f t="shared" si="684"/>
        <v>PIX</v>
      </c>
      <c r="D3936" t="str">
        <f>"34893"</f>
        <v>34893</v>
      </c>
      <c r="E3936" t="str">
        <f t="shared" si="688"/>
        <v>1</v>
      </c>
      <c r="F3936" t="str">
        <f t="shared" si="692"/>
        <v>COM</v>
      </c>
      <c r="G3936" t="str">
        <f>"LUIZ PAULO DE OLIVEIRA (712)"</f>
        <v>LUIZ PAULO DE OLIVEIRA (712)</v>
      </c>
      <c r="H3936" t="s">
        <v>1078</v>
      </c>
      <c r="I3936" t="str">
        <f t="shared" si="686"/>
        <v>19/03/2026</v>
      </c>
      <c r="J3936" t="str">
        <f t="shared" si="695"/>
        <v>16/03/2026</v>
      </c>
      <c r="K3936">
        <v>46100</v>
      </c>
      <c r="N3936">
        <v>109</v>
      </c>
      <c r="O3936" t="s">
        <v>27</v>
      </c>
      <c r="Q3936">
        <v>1380</v>
      </c>
      <c r="R3936" t="str">
        <f>"DROGARIA POUPA MINAS (ULTRAMINAS) 1 (10181)"</f>
        <v>DROGARIA POUPA MINAS (ULTRAMINAS) 1 (10181)</v>
      </c>
      <c r="S3936" t="s">
        <v>37</v>
      </c>
      <c r="T3936">
        <v>31643</v>
      </c>
      <c r="U3936">
        <v>34893</v>
      </c>
      <c r="V3936" t="s">
        <v>37</v>
      </c>
    </row>
    <row r="3937" spans="1:22">
      <c r="A3937" t="str">
        <f t="shared" si="687"/>
        <v>19/03/2026</v>
      </c>
      <c r="B3937" t="str">
        <f t="shared" si="683"/>
        <v>SAÍDA</v>
      </c>
      <c r="C3937" t="str">
        <f t="shared" si="684"/>
        <v>PIX</v>
      </c>
      <c r="D3937" t="str">
        <f>"34894"</f>
        <v>34894</v>
      </c>
      <c r="E3937" t="str">
        <f t="shared" si="688"/>
        <v>1</v>
      </c>
      <c r="F3937" t="str">
        <f t="shared" si="692"/>
        <v>COM</v>
      </c>
      <c r="G3937" t="str">
        <f>"RICHARD HENRIQUE DA SILVA (244)"</f>
        <v>RICHARD HENRIQUE DA SILVA (244)</v>
      </c>
      <c r="H3937" t="str">
        <f>"Serv.Prest. 09/03/2026 a 15/03/2026 - PIX: CELULAR - CHAVE: (37) 99197-6834"</f>
        <v>Serv.Prest. 09/03/2026 a 15/03/2026 - PIX: CELULAR - CHAVE: (37) 99197-6834</v>
      </c>
      <c r="I3937" t="str">
        <f t="shared" si="686"/>
        <v>19/03/2026</v>
      </c>
      <c r="J3937" t="str">
        <f t="shared" si="695"/>
        <v>16/03/2026</v>
      </c>
      <c r="K3937" t="str">
        <f>("19/03/2026")</f>
        <v>19/03/2026</v>
      </c>
      <c r="L3937">
        <v>1260</v>
      </c>
      <c r="M3937">
        <v>1260</v>
      </c>
      <c r="N3937">
        <v>109</v>
      </c>
      <c r="O3937" t="str">
        <f>"PAGAMENTO DE ENTREGADORES"</f>
        <v>PAGAMENTO DE ENTREGADORES</v>
      </c>
      <c r="P3937">
        <v>1260</v>
      </c>
      <c r="S3937" t="str">
        <f>"BANCO C6 (149)"</f>
        <v>BANCO C6 (149)</v>
      </c>
      <c r="T3937">
        <v>31644</v>
      </c>
      <c r="U3937">
        <v>34894</v>
      </c>
      <c r="V3937" t="s">
        <v>37</v>
      </c>
    </row>
    <row r="3938" spans="1:22">
      <c r="A3938" t="str">
        <f t="shared" si="687"/>
        <v>19/03/2026</v>
      </c>
      <c r="B3938" t="str">
        <f t="shared" si="683"/>
        <v>SAÍDA</v>
      </c>
      <c r="C3938" t="str">
        <f t="shared" si="684"/>
        <v>PIX</v>
      </c>
      <c r="D3938" t="str">
        <f>"34894"</f>
        <v>34894</v>
      </c>
      <c r="E3938" t="str">
        <f t="shared" si="688"/>
        <v>1</v>
      </c>
      <c r="F3938" t="str">
        <f t="shared" si="692"/>
        <v>COM</v>
      </c>
      <c r="G3938" t="str">
        <f>"RICHARD HENRIQUE DA SILVA (244)"</f>
        <v>RICHARD HENRIQUE DA SILVA (244)</v>
      </c>
      <c r="H3938" t="s">
        <v>963</v>
      </c>
      <c r="I3938" t="str">
        <f t="shared" si="686"/>
        <v>19/03/2026</v>
      </c>
      <c r="J3938" t="str">
        <f t="shared" si="695"/>
        <v>16/03/2026</v>
      </c>
      <c r="K3938">
        <v>46100</v>
      </c>
      <c r="N3938">
        <v>109</v>
      </c>
      <c r="O3938" t="s">
        <v>27</v>
      </c>
      <c r="Q3938">
        <v>1260</v>
      </c>
      <c r="R3938" t="str">
        <f>"DROGARIA POUPA MINAS (ULTRAMINAS) 1 (10181)"</f>
        <v>DROGARIA POUPA MINAS (ULTRAMINAS) 1 (10181)</v>
      </c>
      <c r="S3938" t="s">
        <v>37</v>
      </c>
      <c r="T3938">
        <v>31644</v>
      </c>
      <c r="U3938">
        <v>34894</v>
      </c>
      <c r="V3938" t="s">
        <v>37</v>
      </c>
    </row>
    <row r="3939" spans="1:22">
      <c r="A3939" t="str">
        <f t="shared" si="687"/>
        <v>19/03/2026</v>
      </c>
      <c r="B3939" t="str">
        <f t="shared" si="683"/>
        <v>SAÍDA</v>
      </c>
      <c r="C3939" t="str">
        <f t="shared" si="684"/>
        <v>PIX</v>
      </c>
      <c r="D3939" t="str">
        <f>"34895"</f>
        <v>34895</v>
      </c>
      <c r="E3939" t="str">
        <f t="shared" si="688"/>
        <v>1</v>
      </c>
      <c r="F3939" t="str">
        <f t="shared" si="692"/>
        <v>COM</v>
      </c>
      <c r="G3939" t="str">
        <f>"THALES VINÍCIUS RODRIGUES DE OLIVEIRA (704)"</f>
        <v>THALES VINÍCIUS RODRIGUES DE OLIVEIRA (704)</v>
      </c>
      <c r="H3939" t="str">
        <f>"Serv.Prest. 09/03/2026 a 15/03/2026 - PIX: CELULAR - CHAVE: (37) 99138-1777"</f>
        <v>Serv.Prest. 09/03/2026 a 15/03/2026 - PIX: CELULAR - CHAVE: (37) 99138-1777</v>
      </c>
      <c r="I3939" t="str">
        <f t="shared" si="686"/>
        <v>19/03/2026</v>
      </c>
      <c r="J3939" t="str">
        <f t="shared" si="695"/>
        <v>16/03/2026</v>
      </c>
      <c r="K3939" t="str">
        <f>("19/03/2026")</f>
        <v>19/03/2026</v>
      </c>
      <c r="L3939">
        <v>1080</v>
      </c>
      <c r="M3939">
        <v>1080</v>
      </c>
      <c r="N3939">
        <v>109</v>
      </c>
      <c r="O3939" t="str">
        <f>"PAGAMENTO DE ENTREGADORES"</f>
        <v>PAGAMENTO DE ENTREGADORES</v>
      </c>
      <c r="P3939">
        <v>1080</v>
      </c>
      <c r="S3939" t="str">
        <f>"BANCO C6 (149)"</f>
        <v>BANCO C6 (149)</v>
      </c>
      <c r="T3939">
        <v>31645</v>
      </c>
      <c r="U3939">
        <v>34895</v>
      </c>
      <c r="V3939" t="s">
        <v>37</v>
      </c>
    </row>
    <row r="3940" spans="1:22">
      <c r="A3940" t="str">
        <f t="shared" si="687"/>
        <v>19/03/2026</v>
      </c>
      <c r="B3940" t="str">
        <f t="shared" si="683"/>
        <v>SAÍDA</v>
      </c>
      <c r="C3940" t="str">
        <f t="shared" si="684"/>
        <v>PIX</v>
      </c>
      <c r="D3940" t="str">
        <f>"34895"</f>
        <v>34895</v>
      </c>
      <c r="E3940" t="str">
        <f t="shared" si="688"/>
        <v>1</v>
      </c>
      <c r="F3940" t="str">
        <f t="shared" si="692"/>
        <v>COM</v>
      </c>
      <c r="G3940" t="str">
        <f>"THALES VINÍCIUS RODRIGUES DE OLIVEIRA (704)"</f>
        <v>THALES VINÍCIUS RODRIGUES DE OLIVEIRA (704)</v>
      </c>
      <c r="H3940" t="s">
        <v>1079</v>
      </c>
      <c r="I3940" t="str">
        <f t="shared" si="686"/>
        <v>19/03/2026</v>
      </c>
      <c r="J3940" t="str">
        <f t="shared" si="695"/>
        <v>16/03/2026</v>
      </c>
      <c r="K3940">
        <v>46100</v>
      </c>
      <c r="N3940">
        <v>109</v>
      </c>
      <c r="O3940" t="s">
        <v>27</v>
      </c>
      <c r="Q3940">
        <v>1080</v>
      </c>
      <c r="R3940" t="str">
        <f>"DROGARIA POUPA MINAS (ULTRAMINAS) 1 (10181)"</f>
        <v>DROGARIA POUPA MINAS (ULTRAMINAS) 1 (10181)</v>
      </c>
      <c r="S3940" t="s">
        <v>37</v>
      </c>
      <c r="T3940">
        <v>31645</v>
      </c>
      <c r="U3940">
        <v>34895</v>
      </c>
      <c r="V3940" t="s">
        <v>37</v>
      </c>
    </row>
    <row r="3941" spans="1:22">
      <c r="A3941" t="str">
        <f t="shared" si="687"/>
        <v>19/03/2026</v>
      </c>
      <c r="B3941" t="str">
        <f t="shared" si="683"/>
        <v>SAÍDA</v>
      </c>
      <c r="C3941" t="str">
        <f t="shared" si="684"/>
        <v>PIX</v>
      </c>
      <c r="D3941" t="str">
        <f>"34896"</f>
        <v>34896</v>
      </c>
      <c r="E3941" t="str">
        <f t="shared" si="688"/>
        <v>1</v>
      </c>
      <c r="F3941" t="str">
        <f t="shared" si="692"/>
        <v>COM</v>
      </c>
      <c r="G3941" t="str">
        <f>"TIAGO VIEIRA (372)"</f>
        <v>TIAGO VIEIRA (372)</v>
      </c>
      <c r="H3941" t="str">
        <f>"Serv.Prest. 09/03/2026 a 15/03/2026 - PIX: CELULAR - CHAVE: (37) 98841-8571"</f>
        <v>Serv.Prest. 09/03/2026 a 15/03/2026 - PIX: CELULAR - CHAVE: (37) 98841-8571</v>
      </c>
      <c r="I3941" t="str">
        <f t="shared" si="686"/>
        <v>19/03/2026</v>
      </c>
      <c r="J3941" t="str">
        <f t="shared" si="695"/>
        <v>16/03/2026</v>
      </c>
      <c r="K3941" t="str">
        <f>("19/03/2026")</f>
        <v>19/03/2026</v>
      </c>
      <c r="L3941">
        <v>370</v>
      </c>
      <c r="M3941">
        <v>370</v>
      </c>
      <c r="N3941">
        <v>109</v>
      </c>
      <c r="O3941" t="str">
        <f>"PAGAMENTO DE ENTREGADORES"</f>
        <v>PAGAMENTO DE ENTREGADORES</v>
      </c>
      <c r="P3941">
        <v>370</v>
      </c>
      <c r="S3941" t="str">
        <f>"BANCO C6 (149)"</f>
        <v>BANCO C6 (149)</v>
      </c>
      <c r="T3941">
        <v>31646</v>
      </c>
      <c r="U3941">
        <v>34896</v>
      </c>
      <c r="V3941" t="s">
        <v>37</v>
      </c>
    </row>
    <row r="3942" spans="1:22">
      <c r="A3942" t="str">
        <f t="shared" si="687"/>
        <v>19/03/2026</v>
      </c>
      <c r="B3942" t="str">
        <f t="shared" si="683"/>
        <v>SAÍDA</v>
      </c>
      <c r="C3942" t="str">
        <f t="shared" si="684"/>
        <v>PIX</v>
      </c>
      <c r="D3942" t="str">
        <f>"34896"</f>
        <v>34896</v>
      </c>
      <c r="E3942" t="str">
        <f t="shared" si="688"/>
        <v>1</v>
      </c>
      <c r="F3942" t="str">
        <f t="shared" si="692"/>
        <v>COM</v>
      </c>
      <c r="G3942" t="str">
        <f>"TIAGO VIEIRA (372)"</f>
        <v>TIAGO VIEIRA (372)</v>
      </c>
      <c r="H3942" t="s">
        <v>863</v>
      </c>
      <c r="I3942" t="str">
        <f t="shared" si="686"/>
        <v>19/03/2026</v>
      </c>
      <c r="J3942" t="str">
        <f t="shared" si="695"/>
        <v>16/03/2026</v>
      </c>
      <c r="K3942">
        <v>46100</v>
      </c>
      <c r="N3942">
        <v>109</v>
      </c>
      <c r="O3942" t="s">
        <v>27</v>
      </c>
      <c r="Q3942">
        <v>370</v>
      </c>
      <c r="R3942" t="str">
        <f>"DROGARIA POUPA MINAS (ULTRAMINAS) 1 (10181)"</f>
        <v>DROGARIA POUPA MINAS (ULTRAMINAS) 1 (10181)</v>
      </c>
      <c r="S3942" t="s">
        <v>37</v>
      </c>
      <c r="T3942">
        <v>31646</v>
      </c>
      <c r="U3942">
        <v>34896</v>
      </c>
      <c r="V3942" t="s">
        <v>37</v>
      </c>
    </row>
    <row r="3943" spans="1:22">
      <c r="A3943" t="str">
        <f t="shared" si="687"/>
        <v>19/03/2026</v>
      </c>
      <c r="B3943" t="str">
        <f t="shared" si="683"/>
        <v>SAÍDA</v>
      </c>
      <c r="C3943" t="str">
        <f t="shared" si="684"/>
        <v>PIX</v>
      </c>
      <c r="D3943" t="str">
        <f>"34898"</f>
        <v>34898</v>
      </c>
      <c r="E3943" t="str">
        <f t="shared" si="688"/>
        <v>1</v>
      </c>
      <c r="F3943" t="str">
        <f t="shared" si="692"/>
        <v>COM</v>
      </c>
      <c r="G3943" t="str">
        <f>"EDUARDO COSTA DA SILVA (721)"</f>
        <v>EDUARDO COSTA DA SILVA (721)</v>
      </c>
      <c r="H3943" t="str">
        <f>"Serv.Prest. 09/03/2026 a 15/03/2026 - PIX: CELULAR - CHAVE: (11) 95552-9905"</f>
        <v>Serv.Prest. 09/03/2026 a 15/03/2026 - PIX: CELULAR - CHAVE: (11) 95552-9905</v>
      </c>
      <c r="I3943" t="str">
        <f t="shared" si="686"/>
        <v>19/03/2026</v>
      </c>
      <c r="J3943" t="str">
        <f t="shared" si="695"/>
        <v>16/03/2026</v>
      </c>
      <c r="K3943" t="str">
        <f>("19/03/2026")</f>
        <v>19/03/2026</v>
      </c>
      <c r="L3943">
        <v>1071</v>
      </c>
      <c r="M3943">
        <v>1071</v>
      </c>
      <c r="N3943">
        <v>109</v>
      </c>
      <c r="O3943" t="str">
        <f>"PAGAMENTO DE ENTREGADORES"</f>
        <v>PAGAMENTO DE ENTREGADORES</v>
      </c>
      <c r="P3943">
        <v>1071</v>
      </c>
      <c r="S3943" t="str">
        <f>"BANCO C6 (149)"</f>
        <v>BANCO C6 (149)</v>
      </c>
      <c r="T3943">
        <v>31647</v>
      </c>
      <c r="U3943">
        <v>34898</v>
      </c>
      <c r="V3943" t="s">
        <v>37</v>
      </c>
    </row>
    <row r="3944" spans="1:22">
      <c r="A3944" t="str">
        <f t="shared" si="687"/>
        <v>19/03/2026</v>
      </c>
      <c r="B3944" t="str">
        <f t="shared" si="683"/>
        <v>SAÍDA</v>
      </c>
      <c r="C3944" t="str">
        <f t="shared" si="684"/>
        <v>PIX</v>
      </c>
      <c r="D3944" t="str">
        <f>"34898"</f>
        <v>34898</v>
      </c>
      <c r="E3944" t="str">
        <f t="shared" si="688"/>
        <v>1</v>
      </c>
      <c r="F3944" t="str">
        <f t="shared" si="692"/>
        <v>COM</v>
      </c>
      <c r="G3944" t="str">
        <f>"EDUARDO COSTA DA SILVA (721)"</f>
        <v>EDUARDO COSTA DA SILVA (721)</v>
      </c>
      <c r="H3944" t="s">
        <v>1080</v>
      </c>
      <c r="I3944" t="str">
        <f t="shared" si="686"/>
        <v>19/03/2026</v>
      </c>
      <c r="J3944" t="str">
        <f t="shared" si="695"/>
        <v>16/03/2026</v>
      </c>
      <c r="K3944">
        <v>46100</v>
      </c>
      <c r="N3944">
        <v>109</v>
      </c>
      <c r="O3944" t="s">
        <v>27</v>
      </c>
      <c r="Q3944">
        <v>1071</v>
      </c>
      <c r="R3944" t="str">
        <f>"DROGARIA AGAPEAMA (10167)"</f>
        <v>DROGARIA AGAPEAMA (10167)</v>
      </c>
      <c r="S3944" t="s">
        <v>37</v>
      </c>
      <c r="T3944">
        <v>31647</v>
      </c>
      <c r="U3944">
        <v>34898</v>
      </c>
      <c r="V3944" t="s">
        <v>37</v>
      </c>
    </row>
    <row r="3945" spans="1:22">
      <c r="A3945" t="str">
        <f t="shared" si="687"/>
        <v>19/03/2026</v>
      </c>
      <c r="B3945" t="str">
        <f t="shared" ref="B3945:B4008" si="696">"SAÍDA"</f>
        <v>SAÍDA</v>
      </c>
      <c r="C3945" t="str">
        <f t="shared" ref="C3945:C4008" si="697">"PIX"</f>
        <v>PIX</v>
      </c>
      <c r="D3945" t="str">
        <f>"34899"</f>
        <v>34899</v>
      </c>
      <c r="E3945" t="str">
        <f t="shared" si="688"/>
        <v>1</v>
      </c>
      <c r="F3945" t="str">
        <f t="shared" si="692"/>
        <v>COM</v>
      </c>
      <c r="G3945" t="str">
        <f>"GUILHERME DA SILVA GOMES (901)"</f>
        <v>GUILHERME DA SILVA GOMES (901)</v>
      </c>
      <c r="H3945" t="str">
        <f>"Serv.Prest. 09/03/2026 a 15/03/2026 - PIX: CPF - CHAVE: 505.341.528-56"</f>
        <v>Serv.Prest. 09/03/2026 a 15/03/2026 - PIX: CPF - CHAVE: 505.341.528-56</v>
      </c>
      <c r="I3945" t="str">
        <f t="shared" ref="I3945:I4008" si="698">("19/03/2026")</f>
        <v>19/03/2026</v>
      </c>
      <c r="J3945" t="str">
        <f t="shared" si="695"/>
        <v>16/03/2026</v>
      </c>
      <c r="K3945" t="str">
        <f>("19/03/2026")</f>
        <v>19/03/2026</v>
      </c>
      <c r="L3945">
        <v>970.2</v>
      </c>
      <c r="M3945">
        <v>970.2</v>
      </c>
      <c r="N3945">
        <v>109</v>
      </c>
      <c r="O3945" t="str">
        <f>"PAGAMENTO DE ENTREGADORES"</f>
        <v>PAGAMENTO DE ENTREGADORES</v>
      </c>
      <c r="P3945">
        <v>970.2</v>
      </c>
      <c r="S3945" t="str">
        <f>"BANCO C6 (149)"</f>
        <v>BANCO C6 (149)</v>
      </c>
      <c r="T3945">
        <v>31648</v>
      </c>
      <c r="U3945">
        <v>34899</v>
      </c>
      <c r="V3945" t="s">
        <v>37</v>
      </c>
    </row>
    <row r="3946" spans="1:22">
      <c r="A3946" t="str">
        <f t="shared" si="687"/>
        <v>19/03/2026</v>
      </c>
      <c r="B3946" t="str">
        <f t="shared" si="696"/>
        <v>SAÍDA</v>
      </c>
      <c r="C3946" t="str">
        <f t="shared" si="697"/>
        <v>PIX</v>
      </c>
      <c r="D3946" t="str">
        <f>"34899"</f>
        <v>34899</v>
      </c>
      <c r="E3946" t="str">
        <f t="shared" si="688"/>
        <v>1</v>
      </c>
      <c r="F3946" t="str">
        <f t="shared" si="692"/>
        <v>COM</v>
      </c>
      <c r="G3946" t="str">
        <f>"GUILHERME DA SILVA GOMES (901)"</f>
        <v>GUILHERME DA SILVA GOMES (901)</v>
      </c>
      <c r="H3946" t="s">
        <v>1081</v>
      </c>
      <c r="I3946" t="str">
        <f t="shared" si="698"/>
        <v>19/03/2026</v>
      </c>
      <c r="J3946" t="str">
        <f t="shared" si="695"/>
        <v>16/03/2026</v>
      </c>
      <c r="K3946">
        <v>46100</v>
      </c>
      <c r="N3946">
        <v>109</v>
      </c>
      <c r="O3946" t="s">
        <v>27</v>
      </c>
      <c r="Q3946">
        <v>970.2</v>
      </c>
      <c r="R3946" t="str">
        <f>"DROGARIA AGAPEAMA (10167)"</f>
        <v>DROGARIA AGAPEAMA (10167)</v>
      </c>
      <c r="S3946" t="s">
        <v>37</v>
      </c>
      <c r="T3946">
        <v>31648</v>
      </c>
      <c r="U3946">
        <v>34899</v>
      </c>
      <c r="V3946" t="s">
        <v>37</v>
      </c>
    </row>
    <row r="3947" spans="1:22">
      <c r="A3947" t="str">
        <f t="shared" si="687"/>
        <v>19/03/2026</v>
      </c>
      <c r="B3947" t="str">
        <f t="shared" si="696"/>
        <v>SAÍDA</v>
      </c>
      <c r="C3947" t="str">
        <f t="shared" si="697"/>
        <v>PIX</v>
      </c>
      <c r="D3947" t="str">
        <f>"34900"</f>
        <v>34900</v>
      </c>
      <c r="E3947" t="str">
        <f t="shared" si="688"/>
        <v>1</v>
      </c>
      <c r="F3947" t="str">
        <f t="shared" si="692"/>
        <v>COM</v>
      </c>
      <c r="G3947" t="str">
        <f>"WESLEY RICARDO DE OLIVEIRA (722)"</f>
        <v>WESLEY RICARDO DE OLIVEIRA (722)</v>
      </c>
      <c r="H3947" t="str">
        <f>"Serv.Prest. 09/03/2026 a 15/03/2026 - PIX: CELULAR - CHAVE: (11) 91214-6176"</f>
        <v>Serv.Prest. 09/03/2026 a 15/03/2026 - PIX: CELULAR - CHAVE: (11) 91214-6176</v>
      </c>
      <c r="I3947" t="str">
        <f t="shared" si="698"/>
        <v>19/03/2026</v>
      </c>
      <c r="J3947" t="str">
        <f t="shared" si="695"/>
        <v>16/03/2026</v>
      </c>
      <c r="K3947" t="str">
        <f>("19/03/2026")</f>
        <v>19/03/2026</v>
      </c>
      <c r="L3947">
        <v>1064.7</v>
      </c>
      <c r="M3947">
        <v>1064.7</v>
      </c>
      <c r="N3947">
        <v>109</v>
      </c>
      <c r="O3947" t="str">
        <f>"PAGAMENTO DE ENTREGADORES"</f>
        <v>PAGAMENTO DE ENTREGADORES</v>
      </c>
      <c r="P3947">
        <v>1064.7</v>
      </c>
      <c r="S3947" t="str">
        <f>"BANCO C6 (149)"</f>
        <v>BANCO C6 (149)</v>
      </c>
      <c r="T3947">
        <v>31649</v>
      </c>
      <c r="U3947">
        <v>34900</v>
      </c>
      <c r="V3947" t="s">
        <v>37</v>
      </c>
    </row>
    <row r="3948" spans="1:22">
      <c r="A3948" t="str">
        <f t="shared" si="687"/>
        <v>19/03/2026</v>
      </c>
      <c r="B3948" t="str">
        <f t="shared" si="696"/>
        <v>SAÍDA</v>
      </c>
      <c r="C3948" t="str">
        <f t="shared" si="697"/>
        <v>PIX</v>
      </c>
      <c r="D3948" t="str">
        <f>"34900"</f>
        <v>34900</v>
      </c>
      <c r="E3948" t="str">
        <f t="shared" si="688"/>
        <v>1</v>
      </c>
      <c r="F3948" t="str">
        <f t="shared" si="692"/>
        <v>COM</v>
      </c>
      <c r="G3948" t="str">
        <f>"WESLEY RICARDO DE OLIVEIRA (722)"</f>
        <v>WESLEY RICARDO DE OLIVEIRA (722)</v>
      </c>
      <c r="H3948" t="s">
        <v>1082</v>
      </c>
      <c r="I3948" t="str">
        <f t="shared" si="698"/>
        <v>19/03/2026</v>
      </c>
      <c r="J3948" t="str">
        <f t="shared" si="695"/>
        <v>16/03/2026</v>
      </c>
      <c r="K3948">
        <v>46100</v>
      </c>
      <c r="N3948">
        <v>109</v>
      </c>
      <c r="O3948" t="s">
        <v>27</v>
      </c>
      <c r="Q3948">
        <v>1064.7</v>
      </c>
      <c r="R3948" t="str">
        <f>"DROGARIA AGAPEAMA (10167)"</f>
        <v>DROGARIA AGAPEAMA (10167)</v>
      </c>
      <c r="S3948" t="s">
        <v>37</v>
      </c>
      <c r="T3948">
        <v>31649</v>
      </c>
      <c r="U3948">
        <v>34900</v>
      </c>
      <c r="V3948" t="s">
        <v>37</v>
      </c>
    </row>
    <row r="3949" spans="1:22">
      <c r="A3949" t="str">
        <f t="shared" si="687"/>
        <v>19/03/2026</v>
      </c>
      <c r="B3949" t="str">
        <f t="shared" si="696"/>
        <v>SAÍDA</v>
      </c>
      <c r="C3949" t="str">
        <f t="shared" si="697"/>
        <v>PIX</v>
      </c>
      <c r="D3949" t="str">
        <f>"34902"</f>
        <v>34902</v>
      </c>
      <c r="E3949" t="str">
        <f t="shared" si="688"/>
        <v>1</v>
      </c>
      <c r="F3949" t="str">
        <f t="shared" si="692"/>
        <v>COM</v>
      </c>
      <c r="G3949" t="str">
        <f>"ALEXSANDRO HENRIQUE FERREIRA (808)"</f>
        <v>ALEXSANDRO HENRIQUE FERREIRA (808)</v>
      </c>
      <c r="H3949" t="str">
        <f>"Serv.Prest. 09/03/2026 a 15/03/2026 - PIX: CPF - CHAVE: 157.591.436-03"</f>
        <v>Serv.Prest. 09/03/2026 a 15/03/2026 - PIX: CPF - CHAVE: 157.591.436-03</v>
      </c>
      <c r="I3949" t="str">
        <f t="shared" si="698"/>
        <v>19/03/2026</v>
      </c>
      <c r="J3949" t="str">
        <f t="shared" si="695"/>
        <v>16/03/2026</v>
      </c>
      <c r="K3949" t="str">
        <f>("19/03/2026")</f>
        <v>19/03/2026</v>
      </c>
      <c r="L3949">
        <v>904.05</v>
      </c>
      <c r="M3949">
        <v>904.05</v>
      </c>
      <c r="N3949">
        <v>109</v>
      </c>
      <c r="O3949" t="str">
        <f>"PAGAMENTO DE ENTREGADORES"</f>
        <v>PAGAMENTO DE ENTREGADORES</v>
      </c>
      <c r="P3949">
        <v>904.05</v>
      </c>
      <c r="S3949" t="str">
        <f>"BANCO C6 (149)"</f>
        <v>BANCO C6 (149)</v>
      </c>
      <c r="T3949">
        <v>31650</v>
      </c>
      <c r="U3949">
        <v>34902</v>
      </c>
      <c r="V3949" t="s">
        <v>37</v>
      </c>
    </row>
    <row r="3950" spans="1:22">
      <c r="A3950" t="str">
        <f t="shared" si="687"/>
        <v>19/03/2026</v>
      </c>
      <c r="B3950" t="str">
        <f t="shared" si="696"/>
        <v>SAÍDA</v>
      </c>
      <c r="C3950" t="str">
        <f t="shared" si="697"/>
        <v>PIX</v>
      </c>
      <c r="D3950" t="str">
        <f>"34902"</f>
        <v>34902</v>
      </c>
      <c r="E3950" t="str">
        <f t="shared" si="688"/>
        <v>1</v>
      </c>
      <c r="F3950" t="str">
        <f t="shared" si="692"/>
        <v>COM</v>
      </c>
      <c r="G3950" t="str">
        <f>"ALEXSANDRO HENRIQUE FERREIRA (808)"</f>
        <v>ALEXSANDRO HENRIQUE FERREIRA (808)</v>
      </c>
      <c r="H3950" t="s">
        <v>1083</v>
      </c>
      <c r="I3950" t="str">
        <f t="shared" si="698"/>
        <v>19/03/2026</v>
      </c>
      <c r="J3950" t="str">
        <f t="shared" si="695"/>
        <v>16/03/2026</v>
      </c>
      <c r="K3950">
        <v>46100</v>
      </c>
      <c r="N3950">
        <v>109</v>
      </c>
      <c r="O3950" t="s">
        <v>27</v>
      </c>
      <c r="Q3950">
        <v>904.05</v>
      </c>
      <c r="R3950" t="str">
        <f>"DROGARIA ANA VISCONDE DO RIO BRANCO (10182)"</f>
        <v>DROGARIA ANA VISCONDE DO RIO BRANCO (10182)</v>
      </c>
      <c r="S3950" t="s">
        <v>37</v>
      </c>
      <c r="T3950">
        <v>31650</v>
      </c>
      <c r="U3950">
        <v>34902</v>
      </c>
      <c r="V3950" t="s">
        <v>37</v>
      </c>
    </row>
    <row r="3951" spans="1:22">
      <c r="A3951" t="str">
        <f t="shared" si="687"/>
        <v>19/03/2026</v>
      </c>
      <c r="B3951" t="str">
        <f t="shared" si="696"/>
        <v>SAÍDA</v>
      </c>
      <c r="C3951" t="str">
        <f t="shared" si="697"/>
        <v>PIX</v>
      </c>
      <c r="D3951" t="str">
        <f>"34903"</f>
        <v>34903</v>
      </c>
      <c r="E3951" t="str">
        <f t="shared" si="688"/>
        <v>1</v>
      </c>
      <c r="F3951" t="str">
        <f t="shared" si="692"/>
        <v>COM</v>
      </c>
      <c r="G3951" t="str">
        <f>"ANDERSON LUIZ SOARES (807)"</f>
        <v>ANDERSON LUIZ SOARES (807)</v>
      </c>
      <c r="H3951" t="str">
        <f>"Serv.Prest. 09/03/2026 a 15/03/2026 - PIX: CELULAR - CHAVE: (32) 99920-0416"</f>
        <v>Serv.Prest. 09/03/2026 a 15/03/2026 - PIX: CELULAR - CHAVE: (32) 99920-0416</v>
      </c>
      <c r="I3951" t="str">
        <f t="shared" si="698"/>
        <v>19/03/2026</v>
      </c>
      <c r="J3951" t="str">
        <f t="shared" si="695"/>
        <v>16/03/2026</v>
      </c>
      <c r="K3951" t="str">
        <f>("19/03/2026")</f>
        <v>19/03/2026</v>
      </c>
      <c r="L3951">
        <v>642.45000000000005</v>
      </c>
      <c r="M3951">
        <v>642.45000000000005</v>
      </c>
      <c r="N3951">
        <v>109</v>
      </c>
      <c r="O3951" t="str">
        <f>"PAGAMENTO DE ENTREGADORES"</f>
        <v>PAGAMENTO DE ENTREGADORES</v>
      </c>
      <c r="P3951">
        <v>642.45000000000005</v>
      </c>
      <c r="S3951" t="str">
        <f>"BANCO C6 (149)"</f>
        <v>BANCO C6 (149)</v>
      </c>
      <c r="T3951">
        <v>31651</v>
      </c>
      <c r="U3951">
        <v>34903</v>
      </c>
      <c r="V3951" t="s">
        <v>37</v>
      </c>
    </row>
    <row r="3952" spans="1:22">
      <c r="A3952" t="str">
        <f t="shared" ref="A3952:A4015" si="699">("19/03/2026")</f>
        <v>19/03/2026</v>
      </c>
      <c r="B3952" t="str">
        <f t="shared" si="696"/>
        <v>SAÍDA</v>
      </c>
      <c r="C3952" t="str">
        <f t="shared" si="697"/>
        <v>PIX</v>
      </c>
      <c r="D3952" t="str">
        <f>"34903"</f>
        <v>34903</v>
      </c>
      <c r="E3952" t="str">
        <f t="shared" si="688"/>
        <v>1</v>
      </c>
      <c r="F3952" t="str">
        <f t="shared" si="692"/>
        <v>COM</v>
      </c>
      <c r="G3952" t="str">
        <f>"ANDERSON LUIZ SOARES (807)"</f>
        <v>ANDERSON LUIZ SOARES (807)</v>
      </c>
      <c r="H3952" t="s">
        <v>930</v>
      </c>
      <c r="I3952" t="str">
        <f t="shared" si="698"/>
        <v>19/03/2026</v>
      </c>
      <c r="J3952" t="str">
        <f t="shared" si="695"/>
        <v>16/03/2026</v>
      </c>
      <c r="K3952">
        <v>46100</v>
      </c>
      <c r="N3952">
        <v>109</v>
      </c>
      <c r="O3952" t="s">
        <v>27</v>
      </c>
      <c r="Q3952">
        <v>642.45000000000005</v>
      </c>
      <c r="R3952" t="str">
        <f>"DROGARIA ANA VISCONDE DO RIO BRANCO (10182)"</f>
        <v>DROGARIA ANA VISCONDE DO RIO BRANCO (10182)</v>
      </c>
      <c r="S3952" t="s">
        <v>37</v>
      </c>
      <c r="T3952">
        <v>31651</v>
      </c>
      <c r="U3952">
        <v>34903</v>
      </c>
      <c r="V3952" t="s">
        <v>37</v>
      </c>
    </row>
    <row r="3953" spans="1:22">
      <c r="A3953" t="str">
        <f t="shared" si="699"/>
        <v>19/03/2026</v>
      </c>
      <c r="B3953" t="str">
        <f t="shared" si="696"/>
        <v>SAÍDA</v>
      </c>
      <c r="C3953" t="str">
        <f t="shared" si="697"/>
        <v>PIX</v>
      </c>
      <c r="D3953" t="str">
        <f>"34904"</f>
        <v>34904</v>
      </c>
      <c r="E3953" t="str">
        <f t="shared" si="688"/>
        <v>1</v>
      </c>
      <c r="F3953" t="str">
        <f t="shared" si="692"/>
        <v>COM</v>
      </c>
      <c r="G3953" t="str">
        <f>"BRENO VIANA MONTEIRO RODRIGUES (811)"</f>
        <v>BRENO VIANA MONTEIRO RODRIGUES (811)</v>
      </c>
      <c r="H3953" t="str">
        <f>"Serv.Prest. 09/03/2026 a 15/03/2026 - PIX: CNPJ - CHAVE: 51.676.704/0001-10"</f>
        <v>Serv.Prest. 09/03/2026 a 15/03/2026 - PIX: CNPJ - CHAVE: 51.676.704/0001-10</v>
      </c>
      <c r="I3953" t="str">
        <f t="shared" si="698"/>
        <v>19/03/2026</v>
      </c>
      <c r="J3953" t="str">
        <f t="shared" si="695"/>
        <v>16/03/2026</v>
      </c>
      <c r="K3953" t="str">
        <f>("19/03/2026")</f>
        <v>19/03/2026</v>
      </c>
      <c r="L3953">
        <v>702.45</v>
      </c>
      <c r="M3953">
        <v>702.45</v>
      </c>
      <c r="N3953">
        <v>109</v>
      </c>
      <c r="O3953" t="str">
        <f>"PAGAMENTO DE ENTREGADORES"</f>
        <v>PAGAMENTO DE ENTREGADORES</v>
      </c>
      <c r="P3953">
        <v>702.45</v>
      </c>
      <c r="S3953" t="str">
        <f>"BANCO C6 (149)"</f>
        <v>BANCO C6 (149)</v>
      </c>
      <c r="T3953">
        <v>31652</v>
      </c>
      <c r="U3953">
        <v>34904</v>
      </c>
      <c r="V3953" t="s">
        <v>37</v>
      </c>
    </row>
    <row r="3954" spans="1:22">
      <c r="A3954" t="str">
        <f t="shared" si="699"/>
        <v>19/03/2026</v>
      </c>
      <c r="B3954" t="str">
        <f t="shared" si="696"/>
        <v>SAÍDA</v>
      </c>
      <c r="C3954" t="str">
        <f t="shared" si="697"/>
        <v>PIX</v>
      </c>
      <c r="D3954" t="str">
        <f>"34904"</f>
        <v>34904</v>
      </c>
      <c r="E3954" t="str">
        <f t="shared" si="688"/>
        <v>1</v>
      </c>
      <c r="F3954" t="str">
        <f t="shared" si="692"/>
        <v>COM</v>
      </c>
      <c r="G3954" t="str">
        <f>"BRENO VIANA MONTEIRO RODRIGUES (811)"</f>
        <v>BRENO VIANA MONTEIRO RODRIGUES (811)</v>
      </c>
      <c r="H3954" t="s">
        <v>1084</v>
      </c>
      <c r="I3954" t="str">
        <f t="shared" si="698"/>
        <v>19/03/2026</v>
      </c>
      <c r="J3954" t="str">
        <f t="shared" si="695"/>
        <v>16/03/2026</v>
      </c>
      <c r="K3954">
        <v>46100</v>
      </c>
      <c r="N3954">
        <v>109</v>
      </c>
      <c r="O3954" t="s">
        <v>27</v>
      </c>
      <c r="Q3954">
        <v>702.45</v>
      </c>
      <c r="R3954" t="str">
        <f>"DROGARIA ANA VISCONDE DO RIO BRANCO (10182)"</f>
        <v>DROGARIA ANA VISCONDE DO RIO BRANCO (10182)</v>
      </c>
      <c r="S3954" t="s">
        <v>37</v>
      </c>
      <c r="T3954">
        <v>31652</v>
      </c>
      <c r="U3954">
        <v>34904</v>
      </c>
      <c r="V3954" t="s">
        <v>37</v>
      </c>
    </row>
    <row r="3955" spans="1:22">
      <c r="A3955" t="str">
        <f t="shared" si="699"/>
        <v>19/03/2026</v>
      </c>
      <c r="B3955" t="str">
        <f t="shared" si="696"/>
        <v>SAÍDA</v>
      </c>
      <c r="C3955" t="str">
        <f t="shared" si="697"/>
        <v>PIX</v>
      </c>
      <c r="D3955" t="str">
        <f>"34905"</f>
        <v>34905</v>
      </c>
      <c r="E3955" t="str">
        <f t="shared" si="688"/>
        <v>1</v>
      </c>
      <c r="F3955" t="str">
        <f t="shared" si="692"/>
        <v>COM</v>
      </c>
      <c r="G3955" t="str">
        <f>"GABRIEL PACHECO DE QUEIROZ NARCISO (812)"</f>
        <v>GABRIEL PACHECO DE QUEIROZ NARCISO (812)</v>
      </c>
      <c r="H3955" t="str">
        <f>"Serv.Prest. 09/03/2026 a 15/03/2026 - PIX: CPF - CHAVE: 140.108.466-40"</f>
        <v>Serv.Prest. 09/03/2026 a 15/03/2026 - PIX: CPF - CHAVE: 140.108.466-40</v>
      </c>
      <c r="I3955" t="str">
        <f t="shared" si="698"/>
        <v>19/03/2026</v>
      </c>
      <c r="J3955" t="str">
        <f t="shared" si="695"/>
        <v>16/03/2026</v>
      </c>
      <c r="K3955" t="str">
        <f>("19/03/2026")</f>
        <v>19/03/2026</v>
      </c>
      <c r="L3955">
        <v>702.45</v>
      </c>
      <c r="M3955">
        <v>702.45</v>
      </c>
      <c r="N3955">
        <v>109</v>
      </c>
      <c r="O3955" t="str">
        <f>"PAGAMENTO DE ENTREGADORES"</f>
        <v>PAGAMENTO DE ENTREGADORES</v>
      </c>
      <c r="P3955">
        <v>702.45</v>
      </c>
      <c r="S3955" t="str">
        <f>"BANCO C6 (149)"</f>
        <v>BANCO C6 (149)</v>
      </c>
      <c r="T3955">
        <v>31653</v>
      </c>
      <c r="U3955">
        <v>34905</v>
      </c>
      <c r="V3955" t="s">
        <v>37</v>
      </c>
    </row>
    <row r="3956" spans="1:22">
      <c r="A3956" t="str">
        <f t="shared" si="699"/>
        <v>19/03/2026</v>
      </c>
      <c r="B3956" t="str">
        <f t="shared" si="696"/>
        <v>SAÍDA</v>
      </c>
      <c r="C3956" t="str">
        <f t="shared" si="697"/>
        <v>PIX</v>
      </c>
      <c r="D3956" t="str">
        <f>"34905"</f>
        <v>34905</v>
      </c>
      <c r="E3956" t="str">
        <f t="shared" si="688"/>
        <v>1</v>
      </c>
      <c r="F3956" t="str">
        <f t="shared" si="692"/>
        <v>COM</v>
      </c>
      <c r="G3956" t="str">
        <f>"GABRIEL PACHECO DE QUEIROZ NARCISO (812)"</f>
        <v>GABRIEL PACHECO DE QUEIROZ NARCISO (812)</v>
      </c>
      <c r="H3956" t="s">
        <v>1085</v>
      </c>
      <c r="I3956" t="str">
        <f t="shared" si="698"/>
        <v>19/03/2026</v>
      </c>
      <c r="J3956" t="str">
        <f t="shared" si="695"/>
        <v>16/03/2026</v>
      </c>
      <c r="K3956">
        <v>46100</v>
      </c>
      <c r="N3956">
        <v>109</v>
      </c>
      <c r="O3956" t="s">
        <v>27</v>
      </c>
      <c r="Q3956">
        <v>702.45</v>
      </c>
      <c r="R3956" t="str">
        <f>"DROGARIA ANA VISCONDE DO RIO BRANCO (10182)"</f>
        <v>DROGARIA ANA VISCONDE DO RIO BRANCO (10182)</v>
      </c>
      <c r="S3956" t="s">
        <v>37</v>
      </c>
      <c r="T3956">
        <v>31653</v>
      </c>
      <c r="U3956">
        <v>34905</v>
      </c>
      <c r="V3956" t="s">
        <v>37</v>
      </c>
    </row>
    <row r="3957" spans="1:22">
      <c r="A3957" t="str">
        <f t="shared" si="699"/>
        <v>19/03/2026</v>
      </c>
      <c r="B3957" t="str">
        <f t="shared" si="696"/>
        <v>SAÍDA</v>
      </c>
      <c r="C3957" t="str">
        <f t="shared" si="697"/>
        <v>PIX</v>
      </c>
      <c r="D3957" t="str">
        <f>"34906"</f>
        <v>34906</v>
      </c>
      <c r="E3957" t="str">
        <f t="shared" si="688"/>
        <v>1</v>
      </c>
      <c r="F3957" t="str">
        <f t="shared" si="692"/>
        <v>COM</v>
      </c>
      <c r="G3957" t="str">
        <f>"LUAN APARECIDO JANUARIO (1341)"</f>
        <v>LUAN APARECIDO JANUARIO (1341)</v>
      </c>
      <c r="H3957" t="str">
        <f>"Serv.Prest. 09/03/2026 a 15/03/2026 - PIX: CELULAR - CHAVE: (32) 98452-8837"</f>
        <v>Serv.Prest. 09/03/2026 a 15/03/2026 - PIX: CELULAR - CHAVE: (32) 98452-8837</v>
      </c>
      <c r="I3957" t="str">
        <f t="shared" si="698"/>
        <v>19/03/2026</v>
      </c>
      <c r="J3957" t="str">
        <f t="shared" si="695"/>
        <v>16/03/2026</v>
      </c>
      <c r="K3957" t="str">
        <f>("19/03/2026")</f>
        <v>19/03/2026</v>
      </c>
      <c r="L3957">
        <v>702.45</v>
      </c>
      <c r="M3957">
        <v>702.45</v>
      </c>
      <c r="N3957">
        <v>109</v>
      </c>
      <c r="O3957" t="str">
        <f>"PAGAMENTO DE ENTREGADORES"</f>
        <v>PAGAMENTO DE ENTREGADORES</v>
      </c>
      <c r="P3957">
        <v>702.45</v>
      </c>
      <c r="S3957" t="str">
        <f>"BANCO C6 (149)"</f>
        <v>BANCO C6 (149)</v>
      </c>
      <c r="T3957">
        <v>31654</v>
      </c>
      <c r="U3957">
        <v>34906</v>
      </c>
      <c r="V3957" t="s">
        <v>37</v>
      </c>
    </row>
    <row r="3958" spans="1:22">
      <c r="A3958" t="str">
        <f t="shared" si="699"/>
        <v>19/03/2026</v>
      </c>
      <c r="B3958" t="str">
        <f t="shared" si="696"/>
        <v>SAÍDA</v>
      </c>
      <c r="C3958" t="str">
        <f t="shared" si="697"/>
        <v>PIX</v>
      </c>
      <c r="D3958" t="str">
        <f>"34906"</f>
        <v>34906</v>
      </c>
      <c r="E3958" t="str">
        <f t="shared" si="688"/>
        <v>1</v>
      </c>
      <c r="F3958" t="str">
        <f t="shared" si="692"/>
        <v>COM</v>
      </c>
      <c r="G3958" t="str">
        <f>"LUAN APARECIDO JANUARIO (1341)"</f>
        <v>LUAN APARECIDO JANUARIO (1341)</v>
      </c>
      <c r="H3958" t="s">
        <v>1086</v>
      </c>
      <c r="I3958" t="str">
        <f t="shared" si="698"/>
        <v>19/03/2026</v>
      </c>
      <c r="J3958" t="str">
        <f t="shared" si="695"/>
        <v>16/03/2026</v>
      </c>
      <c r="K3958">
        <v>46100</v>
      </c>
      <c r="N3958">
        <v>109</v>
      </c>
      <c r="O3958" t="s">
        <v>27</v>
      </c>
      <c r="Q3958">
        <v>702.45</v>
      </c>
      <c r="R3958" t="str">
        <f>"DROGARIA ANA VISCONDE DO RIO BRANCO (10182)"</f>
        <v>DROGARIA ANA VISCONDE DO RIO BRANCO (10182)</v>
      </c>
      <c r="S3958" t="s">
        <v>37</v>
      </c>
      <c r="T3958">
        <v>31654</v>
      </c>
      <c r="U3958">
        <v>34906</v>
      </c>
      <c r="V3958" t="s">
        <v>37</v>
      </c>
    </row>
    <row r="3959" spans="1:22">
      <c r="A3959" t="str">
        <f t="shared" si="699"/>
        <v>19/03/2026</v>
      </c>
      <c r="B3959" t="str">
        <f t="shared" si="696"/>
        <v>SAÍDA</v>
      </c>
      <c r="C3959" t="str">
        <f t="shared" si="697"/>
        <v>PIX</v>
      </c>
      <c r="D3959" t="str">
        <f>"34908"</f>
        <v>34908</v>
      </c>
      <c r="E3959" t="str">
        <f t="shared" ref="E3959:E4022" si="700">"1"</f>
        <v>1</v>
      </c>
      <c r="F3959" t="str">
        <f t="shared" si="692"/>
        <v>COM</v>
      </c>
      <c r="G3959" t="str">
        <f>"DEIVID FERNANDES COSTA (828)"</f>
        <v>DEIVID FERNANDES COSTA (828)</v>
      </c>
      <c r="H3959" t="str">
        <f>"Serv.Prest. 09/03/2026 a 15/03/2026 - PIX: CELULAR - CHAVE: (62) 99550-3226"</f>
        <v>Serv.Prest. 09/03/2026 a 15/03/2026 - PIX: CELULAR - CHAVE: (62) 99550-3226</v>
      </c>
      <c r="I3959" t="str">
        <f t="shared" si="698"/>
        <v>19/03/2026</v>
      </c>
      <c r="J3959" t="str">
        <f t="shared" si="695"/>
        <v>16/03/2026</v>
      </c>
      <c r="K3959" t="str">
        <f>("19/03/2026")</f>
        <v>19/03/2026</v>
      </c>
      <c r="L3959">
        <v>966</v>
      </c>
      <c r="M3959">
        <v>966</v>
      </c>
      <c r="N3959">
        <v>109</v>
      </c>
      <c r="O3959" t="str">
        <f>"PAGAMENTO DE ENTREGADORES"</f>
        <v>PAGAMENTO DE ENTREGADORES</v>
      </c>
      <c r="P3959">
        <v>966</v>
      </c>
      <c r="S3959" t="str">
        <f>"BANCO C6 (149)"</f>
        <v>BANCO C6 (149)</v>
      </c>
      <c r="T3959">
        <v>31655</v>
      </c>
      <c r="U3959">
        <v>34908</v>
      </c>
      <c r="V3959" t="s">
        <v>37</v>
      </c>
    </row>
    <row r="3960" spans="1:22">
      <c r="A3960" t="str">
        <f t="shared" si="699"/>
        <v>19/03/2026</v>
      </c>
      <c r="B3960" t="str">
        <f t="shared" si="696"/>
        <v>SAÍDA</v>
      </c>
      <c r="C3960" t="str">
        <f t="shared" si="697"/>
        <v>PIX</v>
      </c>
      <c r="D3960" t="str">
        <f>"34908"</f>
        <v>34908</v>
      </c>
      <c r="E3960" t="str">
        <f t="shared" si="700"/>
        <v>1</v>
      </c>
      <c r="F3960" t="str">
        <f t="shared" si="692"/>
        <v>COM</v>
      </c>
      <c r="G3960" t="str">
        <f>"DEIVID FERNANDES COSTA (828)"</f>
        <v>DEIVID FERNANDES COSTA (828)</v>
      </c>
      <c r="H3960" t="s">
        <v>1087</v>
      </c>
      <c r="I3960" t="str">
        <f t="shared" si="698"/>
        <v>19/03/2026</v>
      </c>
      <c r="J3960" t="str">
        <f t="shared" si="695"/>
        <v>16/03/2026</v>
      </c>
      <c r="K3960">
        <v>46100</v>
      </c>
      <c r="N3960">
        <v>109</v>
      </c>
      <c r="O3960" t="s">
        <v>27</v>
      </c>
      <c r="Q3960">
        <v>966</v>
      </c>
      <c r="R3960" t="str">
        <f>"DROGARIA BEM ESTAR (10193)"</f>
        <v>DROGARIA BEM ESTAR (10193)</v>
      </c>
      <c r="S3960" t="s">
        <v>37</v>
      </c>
      <c r="T3960">
        <v>31655</v>
      </c>
      <c r="U3960">
        <v>34908</v>
      </c>
      <c r="V3960" t="s">
        <v>37</v>
      </c>
    </row>
    <row r="3961" spans="1:22">
      <c r="A3961" t="str">
        <f t="shared" si="699"/>
        <v>19/03/2026</v>
      </c>
      <c r="B3961" t="str">
        <f t="shared" si="696"/>
        <v>SAÍDA</v>
      </c>
      <c r="C3961" t="str">
        <f t="shared" si="697"/>
        <v>PIX</v>
      </c>
      <c r="D3961" t="str">
        <f>"34909"</f>
        <v>34909</v>
      </c>
      <c r="E3961" t="str">
        <f t="shared" si="700"/>
        <v>1</v>
      </c>
      <c r="F3961" t="str">
        <f t="shared" si="692"/>
        <v>COM</v>
      </c>
      <c r="G3961" t="str">
        <f>"MARCELO FERNANDES DA SILVA (1041)"</f>
        <v>MARCELO FERNANDES DA SILVA (1041)</v>
      </c>
      <c r="H3961" t="str">
        <f>"Serv.Prest. 09/03/2026 a 15/03/2026 - PIX: E-MAIL - CHAVE: taison10032@hotmail.com"</f>
        <v>Serv.Prest. 09/03/2026 a 15/03/2026 - PIX: E-MAIL - CHAVE: taison10032@hotmail.com</v>
      </c>
      <c r="I3961" t="str">
        <f t="shared" si="698"/>
        <v>19/03/2026</v>
      </c>
      <c r="J3961" t="str">
        <f t="shared" si="695"/>
        <v>16/03/2026</v>
      </c>
      <c r="K3961" t="str">
        <f>("19/03/2026")</f>
        <v>19/03/2026</v>
      </c>
      <c r="L3961">
        <v>600</v>
      </c>
      <c r="M3961">
        <v>600</v>
      </c>
      <c r="N3961">
        <v>109</v>
      </c>
      <c r="O3961" t="str">
        <f>"PAGAMENTO DE ENTREGADORES"</f>
        <v>PAGAMENTO DE ENTREGADORES</v>
      </c>
      <c r="P3961">
        <v>600</v>
      </c>
      <c r="S3961" t="str">
        <f>"BANCO C6 (149)"</f>
        <v>BANCO C6 (149)</v>
      </c>
      <c r="T3961">
        <v>31656</v>
      </c>
      <c r="U3961">
        <v>34909</v>
      </c>
      <c r="V3961" t="s">
        <v>37</v>
      </c>
    </row>
    <row r="3962" spans="1:22">
      <c r="A3962" t="str">
        <f t="shared" si="699"/>
        <v>19/03/2026</v>
      </c>
      <c r="B3962" t="str">
        <f t="shared" si="696"/>
        <v>SAÍDA</v>
      </c>
      <c r="C3962" t="str">
        <f t="shared" si="697"/>
        <v>PIX</v>
      </c>
      <c r="D3962" t="str">
        <f>"34909"</f>
        <v>34909</v>
      </c>
      <c r="E3962" t="str">
        <f t="shared" si="700"/>
        <v>1</v>
      </c>
      <c r="F3962" t="str">
        <f t="shared" si="692"/>
        <v>COM</v>
      </c>
      <c r="G3962" t="str">
        <f>"MARCELO FERNANDES DA SILVA (1041)"</f>
        <v>MARCELO FERNANDES DA SILVA (1041)</v>
      </c>
      <c r="H3962" t="s">
        <v>1088</v>
      </c>
      <c r="I3962" t="str">
        <f t="shared" si="698"/>
        <v>19/03/2026</v>
      </c>
      <c r="J3962" t="str">
        <f t="shared" si="695"/>
        <v>16/03/2026</v>
      </c>
      <c r="K3962">
        <v>46100</v>
      </c>
      <c r="N3962">
        <v>109</v>
      </c>
      <c r="O3962" t="s">
        <v>27</v>
      </c>
      <c r="Q3962">
        <v>600</v>
      </c>
      <c r="R3962" t="str">
        <f>"DROGARIA BEM ESTAR (10193)"</f>
        <v>DROGARIA BEM ESTAR (10193)</v>
      </c>
      <c r="S3962" t="s">
        <v>37</v>
      </c>
      <c r="T3962">
        <v>31656</v>
      </c>
      <c r="U3962">
        <v>34909</v>
      </c>
      <c r="V3962" t="s">
        <v>37</v>
      </c>
    </row>
    <row r="3963" spans="1:22">
      <c r="A3963" t="str">
        <f t="shared" si="699"/>
        <v>19/03/2026</v>
      </c>
      <c r="B3963" t="str">
        <f t="shared" si="696"/>
        <v>SAÍDA</v>
      </c>
      <c r="C3963" t="str">
        <f t="shared" si="697"/>
        <v>PIX</v>
      </c>
      <c r="D3963" t="str">
        <f>"34911"</f>
        <v>34911</v>
      </c>
      <c r="E3963" t="str">
        <f t="shared" si="700"/>
        <v>1</v>
      </c>
      <c r="F3963" t="str">
        <f t="shared" si="692"/>
        <v>COM</v>
      </c>
      <c r="G3963" t="str">
        <f>"MARCOS VINICIUS PEREIRA DANTAS (1363)"</f>
        <v>MARCOS VINICIUS PEREIRA DANTAS (1363)</v>
      </c>
      <c r="H3963" t="str">
        <f>"Serv.Prest. 09/03/2026 a 15/03/2026 - PIX: CPF - CHAVE: 702.454.186-52"</f>
        <v>Serv.Prest. 09/03/2026 a 15/03/2026 - PIX: CPF - CHAVE: 702.454.186-52</v>
      </c>
      <c r="I3963" t="str">
        <f t="shared" si="698"/>
        <v>19/03/2026</v>
      </c>
      <c r="J3963" t="str">
        <f t="shared" si="695"/>
        <v>16/03/2026</v>
      </c>
      <c r="K3963" t="str">
        <f>("19/03/2026")</f>
        <v>19/03/2026</v>
      </c>
      <c r="L3963">
        <v>1032</v>
      </c>
      <c r="M3963">
        <v>1032</v>
      </c>
      <c r="N3963">
        <v>109</v>
      </c>
      <c r="O3963" t="str">
        <f>"PAGAMENTO DE ENTREGADORES"</f>
        <v>PAGAMENTO DE ENTREGADORES</v>
      </c>
      <c r="P3963">
        <v>1032</v>
      </c>
      <c r="S3963" t="str">
        <f>"BANCO C6 (149)"</f>
        <v>BANCO C6 (149)</v>
      </c>
      <c r="T3963">
        <v>31657</v>
      </c>
      <c r="U3963">
        <v>34911</v>
      </c>
      <c r="V3963" t="s">
        <v>37</v>
      </c>
    </row>
    <row r="3964" spans="1:22">
      <c r="A3964" t="str">
        <f t="shared" si="699"/>
        <v>19/03/2026</v>
      </c>
      <c r="B3964" t="str">
        <f t="shared" si="696"/>
        <v>SAÍDA</v>
      </c>
      <c r="C3964" t="str">
        <f t="shared" si="697"/>
        <v>PIX</v>
      </c>
      <c r="D3964" t="str">
        <f>"34911"</f>
        <v>34911</v>
      </c>
      <c r="E3964" t="str">
        <f t="shared" si="700"/>
        <v>1</v>
      </c>
      <c r="F3964" t="str">
        <f t="shared" si="692"/>
        <v>COM</v>
      </c>
      <c r="G3964" t="str">
        <f>"MARCOS VINICIUS PEREIRA DANTAS (1363)"</f>
        <v>MARCOS VINICIUS PEREIRA DANTAS (1363)</v>
      </c>
      <c r="H3964" t="s">
        <v>1089</v>
      </c>
      <c r="I3964" t="str">
        <f t="shared" si="698"/>
        <v>19/03/2026</v>
      </c>
      <c r="J3964" t="str">
        <f t="shared" si="695"/>
        <v>16/03/2026</v>
      </c>
      <c r="K3964">
        <v>46100</v>
      </c>
      <c r="N3964">
        <v>109</v>
      </c>
      <c r="O3964" t="s">
        <v>27</v>
      </c>
      <c r="Q3964">
        <v>1032</v>
      </c>
      <c r="R3964" t="str">
        <f>"DROGARIA NIQUINHO (10257)"</f>
        <v>DROGARIA NIQUINHO (10257)</v>
      </c>
      <c r="S3964" t="s">
        <v>37</v>
      </c>
      <c r="T3964">
        <v>31657</v>
      </c>
      <c r="U3964">
        <v>34911</v>
      </c>
      <c r="V3964" t="s">
        <v>37</v>
      </c>
    </row>
    <row r="3965" spans="1:22">
      <c r="A3965" t="str">
        <f t="shared" si="699"/>
        <v>19/03/2026</v>
      </c>
      <c r="B3965" t="str">
        <f t="shared" si="696"/>
        <v>SAÍDA</v>
      </c>
      <c r="C3965" t="str">
        <f t="shared" si="697"/>
        <v>PIX</v>
      </c>
      <c r="D3965" t="str">
        <f>"34912"</f>
        <v>34912</v>
      </c>
      <c r="E3965" t="str">
        <f t="shared" si="700"/>
        <v>1</v>
      </c>
      <c r="F3965" t="str">
        <f t="shared" si="692"/>
        <v>COM</v>
      </c>
      <c r="G3965" t="str">
        <f>"ROBERTO RUELA DE OLIVEIRA (1082)"</f>
        <v>ROBERTO RUELA DE OLIVEIRA (1082)</v>
      </c>
      <c r="H3965" t="str">
        <f>"Serv.Prest. 09/03/2026 a 15/03/2026 - PIX: CPF - CHAVE: 568.250.486-00"</f>
        <v>Serv.Prest. 09/03/2026 a 15/03/2026 - PIX: CPF - CHAVE: 568.250.486-00</v>
      </c>
      <c r="I3965" t="str">
        <f t="shared" si="698"/>
        <v>19/03/2026</v>
      </c>
      <c r="J3965" t="str">
        <f t="shared" si="695"/>
        <v>16/03/2026</v>
      </c>
      <c r="K3965" t="str">
        <f>("19/03/2026")</f>
        <v>19/03/2026</v>
      </c>
      <c r="L3965">
        <v>1242</v>
      </c>
      <c r="M3965">
        <v>1242</v>
      </c>
      <c r="N3965">
        <v>109</v>
      </c>
      <c r="O3965" t="str">
        <f>"PAGAMENTO DE ENTREGADORES"</f>
        <v>PAGAMENTO DE ENTREGADORES</v>
      </c>
      <c r="P3965">
        <v>1242</v>
      </c>
      <c r="S3965" t="str">
        <f>"BANCO C6 (149)"</f>
        <v>BANCO C6 (149)</v>
      </c>
      <c r="T3965">
        <v>31658</v>
      </c>
      <c r="U3965">
        <v>34912</v>
      </c>
      <c r="V3965" t="s">
        <v>37</v>
      </c>
    </row>
    <row r="3966" spans="1:22">
      <c r="A3966" t="str">
        <f t="shared" si="699"/>
        <v>19/03/2026</v>
      </c>
      <c r="B3966" t="str">
        <f t="shared" si="696"/>
        <v>SAÍDA</v>
      </c>
      <c r="C3966" t="str">
        <f t="shared" si="697"/>
        <v>PIX</v>
      </c>
      <c r="D3966" t="str">
        <f>"34912"</f>
        <v>34912</v>
      </c>
      <c r="E3966" t="str">
        <f t="shared" si="700"/>
        <v>1</v>
      </c>
      <c r="F3966" t="str">
        <f t="shared" si="692"/>
        <v>COM</v>
      </c>
      <c r="G3966" t="str">
        <f>"ROBERTO RUELA DE OLIVEIRA (1082)"</f>
        <v>ROBERTO RUELA DE OLIVEIRA (1082)</v>
      </c>
      <c r="H3966" t="s">
        <v>1090</v>
      </c>
      <c r="I3966" t="str">
        <f t="shared" si="698"/>
        <v>19/03/2026</v>
      </c>
      <c r="J3966" t="str">
        <f t="shared" si="695"/>
        <v>16/03/2026</v>
      </c>
      <c r="K3966">
        <v>46100</v>
      </c>
      <c r="N3966">
        <v>109</v>
      </c>
      <c r="O3966" t="s">
        <v>27</v>
      </c>
      <c r="Q3966">
        <v>1242</v>
      </c>
      <c r="R3966" t="str">
        <f>"DROGARIA NIQUINHO (10257)"</f>
        <v>DROGARIA NIQUINHO (10257)</v>
      </c>
      <c r="S3966" t="s">
        <v>37</v>
      </c>
      <c r="T3966">
        <v>31658</v>
      </c>
      <c r="U3966">
        <v>34912</v>
      </c>
      <c r="V3966" t="s">
        <v>37</v>
      </c>
    </row>
    <row r="3967" spans="1:22">
      <c r="A3967" t="str">
        <f t="shared" si="699"/>
        <v>19/03/2026</v>
      </c>
      <c r="B3967" t="str">
        <f t="shared" si="696"/>
        <v>SAÍDA</v>
      </c>
      <c r="C3967" t="str">
        <f t="shared" si="697"/>
        <v>PIX</v>
      </c>
      <c r="D3967" t="str">
        <f>"34916"</f>
        <v>34916</v>
      </c>
      <c r="E3967" t="str">
        <f t="shared" si="700"/>
        <v>1</v>
      </c>
      <c r="F3967" t="str">
        <f t="shared" si="692"/>
        <v>COM</v>
      </c>
      <c r="G3967" t="str">
        <f>"DOUGLAS RODRIGUES DE FREITAS (1161)"</f>
        <v>DOUGLAS RODRIGUES DE FREITAS (1161)</v>
      </c>
      <c r="H3967" t="str">
        <f>"Serv.Prest. 09/03/2026 a 15/03/2026 - PIX: E-MAIL - CHAVE: doug6866@gmail.com"</f>
        <v>Serv.Prest. 09/03/2026 a 15/03/2026 - PIX: E-MAIL - CHAVE: doug6866@gmail.com</v>
      </c>
      <c r="I3967" t="str">
        <f t="shared" si="698"/>
        <v>19/03/2026</v>
      </c>
      <c r="J3967" t="str">
        <f t="shared" ref="J3967:J3998" si="701">("16/03/2026")</f>
        <v>16/03/2026</v>
      </c>
      <c r="K3967" t="str">
        <f>("19/03/2026")</f>
        <v>19/03/2026</v>
      </c>
      <c r="L3967">
        <v>990</v>
      </c>
      <c r="M3967">
        <v>990</v>
      </c>
      <c r="N3967">
        <v>109</v>
      </c>
      <c r="O3967" t="str">
        <f>"PAGAMENTO DE ENTREGADORES"</f>
        <v>PAGAMENTO DE ENTREGADORES</v>
      </c>
      <c r="P3967">
        <v>990</v>
      </c>
      <c r="S3967" t="str">
        <f>"BANCO C6 (149)"</f>
        <v>BANCO C6 (149)</v>
      </c>
      <c r="T3967">
        <v>31659</v>
      </c>
      <c r="U3967">
        <v>34916</v>
      </c>
      <c r="V3967" t="s">
        <v>37</v>
      </c>
    </row>
    <row r="3968" spans="1:22">
      <c r="A3968" t="str">
        <f t="shared" si="699"/>
        <v>19/03/2026</v>
      </c>
      <c r="B3968" t="str">
        <f t="shared" si="696"/>
        <v>SAÍDA</v>
      </c>
      <c r="C3968" t="str">
        <f t="shared" si="697"/>
        <v>PIX</v>
      </c>
      <c r="D3968" t="str">
        <f>"34916"</f>
        <v>34916</v>
      </c>
      <c r="E3968" t="str">
        <f t="shared" si="700"/>
        <v>1</v>
      </c>
      <c r="F3968" t="str">
        <f t="shared" si="692"/>
        <v>COM</v>
      </c>
      <c r="G3968" t="str">
        <f>"DOUGLAS RODRIGUES DE FREITAS (1161)"</f>
        <v>DOUGLAS RODRIGUES DE FREITAS (1161)</v>
      </c>
      <c r="H3968" t="s">
        <v>800</v>
      </c>
      <c r="I3968" t="str">
        <f t="shared" si="698"/>
        <v>19/03/2026</v>
      </c>
      <c r="J3968" t="str">
        <f t="shared" si="701"/>
        <v>16/03/2026</v>
      </c>
      <c r="K3968">
        <v>46100</v>
      </c>
      <c r="N3968">
        <v>109</v>
      </c>
      <c r="O3968" t="s">
        <v>27</v>
      </c>
      <c r="Q3968">
        <v>990</v>
      </c>
      <c r="R3968" t="str">
        <f>"DROGARIA MEDIC CENTER LTDA (10172)"</f>
        <v>DROGARIA MEDIC CENTER LTDA (10172)</v>
      </c>
      <c r="S3968" t="s">
        <v>37</v>
      </c>
      <c r="T3968">
        <v>31659</v>
      </c>
      <c r="U3968">
        <v>34916</v>
      </c>
      <c r="V3968" t="s">
        <v>37</v>
      </c>
    </row>
    <row r="3969" spans="1:22">
      <c r="A3969" t="str">
        <f t="shared" si="699"/>
        <v>19/03/2026</v>
      </c>
      <c r="B3969" t="str">
        <f t="shared" si="696"/>
        <v>SAÍDA</v>
      </c>
      <c r="C3969" t="str">
        <f t="shared" si="697"/>
        <v>PIX</v>
      </c>
      <c r="D3969" t="str">
        <f>"34920"</f>
        <v>34920</v>
      </c>
      <c r="E3969" t="str">
        <f t="shared" si="700"/>
        <v>1</v>
      </c>
      <c r="F3969" t="str">
        <f t="shared" si="692"/>
        <v>COM</v>
      </c>
      <c r="G3969" t="str">
        <f>"ALBERTO FARIAS DOS SANTOS JUNIOR (800)"</f>
        <v>ALBERTO FARIAS DOS SANTOS JUNIOR (800)</v>
      </c>
      <c r="H3969" t="str">
        <f>"Serv.Prest. 09/03/2026 a 15/03/2026 - PIX: CELULAR - CHAVE: (71) 99696-7530"</f>
        <v>Serv.Prest. 09/03/2026 a 15/03/2026 - PIX: CELULAR - CHAVE: (71) 99696-7530</v>
      </c>
      <c r="I3969" t="str">
        <f t="shared" si="698"/>
        <v>19/03/2026</v>
      </c>
      <c r="J3969" t="str">
        <f t="shared" si="701"/>
        <v>16/03/2026</v>
      </c>
      <c r="K3969" t="str">
        <f>("19/03/2026")</f>
        <v>19/03/2026</v>
      </c>
      <c r="L3969">
        <v>700</v>
      </c>
      <c r="M3969">
        <v>700</v>
      </c>
      <c r="N3969">
        <v>109</v>
      </c>
      <c r="O3969" t="str">
        <f>"PAGAMENTO DE ENTREGADORES"</f>
        <v>PAGAMENTO DE ENTREGADORES</v>
      </c>
      <c r="P3969">
        <v>700</v>
      </c>
      <c r="S3969" t="str">
        <f>"BANCO C6 (149)"</f>
        <v>BANCO C6 (149)</v>
      </c>
      <c r="T3969">
        <v>31660</v>
      </c>
      <c r="U3969">
        <v>34920</v>
      </c>
      <c r="V3969" t="s">
        <v>37</v>
      </c>
    </row>
    <row r="3970" spans="1:22">
      <c r="A3970" t="str">
        <f t="shared" si="699"/>
        <v>19/03/2026</v>
      </c>
      <c r="B3970" t="str">
        <f t="shared" si="696"/>
        <v>SAÍDA</v>
      </c>
      <c r="C3970" t="str">
        <f t="shared" si="697"/>
        <v>PIX</v>
      </c>
      <c r="D3970" t="str">
        <f>"34920"</f>
        <v>34920</v>
      </c>
      <c r="E3970" t="str">
        <f t="shared" si="700"/>
        <v>1</v>
      </c>
      <c r="F3970" t="str">
        <f t="shared" ref="F3970:F4033" si="702">"COM"</f>
        <v>COM</v>
      </c>
      <c r="G3970" t="str">
        <f>"ALBERTO FARIAS DOS SANTOS JUNIOR (800)"</f>
        <v>ALBERTO FARIAS DOS SANTOS JUNIOR (800)</v>
      </c>
      <c r="H3970" t="s">
        <v>873</v>
      </c>
      <c r="I3970" t="str">
        <f t="shared" si="698"/>
        <v>19/03/2026</v>
      </c>
      <c r="J3970" t="str">
        <f t="shared" si="701"/>
        <v>16/03/2026</v>
      </c>
      <c r="K3970">
        <v>46100</v>
      </c>
      <c r="N3970">
        <v>109</v>
      </c>
      <c r="O3970" t="s">
        <v>27</v>
      </c>
      <c r="Q3970">
        <v>700</v>
      </c>
      <c r="R3970" t="str">
        <f>"DELTA LOJA 2 (10123)"</f>
        <v>DELTA LOJA 2 (10123)</v>
      </c>
      <c r="S3970" t="s">
        <v>37</v>
      </c>
      <c r="T3970">
        <v>31660</v>
      </c>
      <c r="U3970">
        <v>34920</v>
      </c>
      <c r="V3970" t="s">
        <v>37</v>
      </c>
    </row>
    <row r="3971" spans="1:22">
      <c r="A3971" t="str">
        <f t="shared" si="699"/>
        <v>19/03/2026</v>
      </c>
      <c r="B3971" t="str">
        <f t="shared" si="696"/>
        <v>SAÍDA</v>
      </c>
      <c r="C3971" t="str">
        <f t="shared" si="697"/>
        <v>PIX</v>
      </c>
      <c r="D3971" t="str">
        <f>"34921"</f>
        <v>34921</v>
      </c>
      <c r="E3971" t="str">
        <f t="shared" si="700"/>
        <v>1</v>
      </c>
      <c r="F3971" t="str">
        <f t="shared" si="702"/>
        <v>COM</v>
      </c>
      <c r="G3971" t="str">
        <f>"EDNUBIA RAMOS ALVES OLIVEIRA (899)"</f>
        <v>EDNUBIA RAMOS ALVES OLIVEIRA (899)</v>
      </c>
      <c r="H3971" t="str">
        <f>"Serv.Prest. 09/03/2026 a 15/03/2026 - PIX: CELULAR - CHAVE: (71) 99214-9256"</f>
        <v>Serv.Prest. 09/03/2026 a 15/03/2026 - PIX: CELULAR - CHAVE: (71) 99214-9256</v>
      </c>
      <c r="I3971" t="str">
        <f t="shared" si="698"/>
        <v>19/03/2026</v>
      </c>
      <c r="J3971" t="str">
        <f t="shared" si="701"/>
        <v>16/03/2026</v>
      </c>
      <c r="K3971" t="str">
        <f>("19/03/2026")</f>
        <v>19/03/2026</v>
      </c>
      <c r="L3971">
        <v>700</v>
      </c>
      <c r="M3971">
        <v>700</v>
      </c>
      <c r="N3971">
        <v>109</v>
      </c>
      <c r="O3971" t="str">
        <f>"PAGAMENTO DE ENTREGADORES"</f>
        <v>PAGAMENTO DE ENTREGADORES</v>
      </c>
      <c r="P3971">
        <v>700</v>
      </c>
      <c r="S3971" t="str">
        <f>"BANCO C6 (149)"</f>
        <v>BANCO C6 (149)</v>
      </c>
      <c r="T3971">
        <v>31661</v>
      </c>
      <c r="U3971">
        <v>34921</v>
      </c>
      <c r="V3971" t="s">
        <v>37</v>
      </c>
    </row>
    <row r="3972" spans="1:22">
      <c r="A3972" t="str">
        <f t="shared" si="699"/>
        <v>19/03/2026</v>
      </c>
      <c r="B3972" t="str">
        <f t="shared" si="696"/>
        <v>SAÍDA</v>
      </c>
      <c r="C3972" t="str">
        <f t="shared" si="697"/>
        <v>PIX</v>
      </c>
      <c r="D3972" t="str">
        <f>"34921"</f>
        <v>34921</v>
      </c>
      <c r="E3972" t="str">
        <f t="shared" si="700"/>
        <v>1</v>
      </c>
      <c r="F3972" t="str">
        <f t="shared" si="702"/>
        <v>COM</v>
      </c>
      <c r="G3972" t="str">
        <f>"EDNUBIA RAMOS ALVES OLIVEIRA (899)"</f>
        <v>EDNUBIA RAMOS ALVES OLIVEIRA (899)</v>
      </c>
      <c r="H3972" t="s">
        <v>881</v>
      </c>
      <c r="I3972" t="str">
        <f t="shared" si="698"/>
        <v>19/03/2026</v>
      </c>
      <c r="J3972" t="str">
        <f t="shared" si="701"/>
        <v>16/03/2026</v>
      </c>
      <c r="K3972">
        <v>46100</v>
      </c>
      <c r="N3972">
        <v>109</v>
      </c>
      <c r="O3972" t="s">
        <v>27</v>
      </c>
      <c r="Q3972">
        <v>700</v>
      </c>
      <c r="R3972" t="str">
        <f>"DELTA LOJA 2 (10123)"</f>
        <v>DELTA LOJA 2 (10123)</v>
      </c>
      <c r="S3972" t="s">
        <v>37</v>
      </c>
      <c r="T3972">
        <v>31661</v>
      </c>
      <c r="U3972">
        <v>34921</v>
      </c>
      <c r="V3972" t="s">
        <v>37</v>
      </c>
    </row>
    <row r="3973" spans="1:22">
      <c r="A3973" t="str">
        <f t="shared" si="699"/>
        <v>19/03/2026</v>
      </c>
      <c r="B3973" t="str">
        <f t="shared" si="696"/>
        <v>SAÍDA</v>
      </c>
      <c r="C3973" t="str">
        <f t="shared" si="697"/>
        <v>PIX</v>
      </c>
      <c r="D3973" t="str">
        <f>"34922"</f>
        <v>34922</v>
      </c>
      <c r="E3973" t="str">
        <f t="shared" si="700"/>
        <v>1</v>
      </c>
      <c r="F3973" t="str">
        <f t="shared" si="702"/>
        <v>COM</v>
      </c>
      <c r="G3973" t="str">
        <f>"EDVAN DA SILVA ALVES (934)"</f>
        <v>EDVAN DA SILVA ALVES (934)</v>
      </c>
      <c r="H3973" t="str">
        <f>"Serv.Prest. 09/03/2026 a 15/03/2026 - PIX: E-MAIL - CHAVE: edvam18.alves@gmail.com"</f>
        <v>Serv.Prest. 09/03/2026 a 15/03/2026 - PIX: E-MAIL - CHAVE: edvam18.alves@gmail.com</v>
      </c>
      <c r="I3973" t="str">
        <f t="shared" si="698"/>
        <v>19/03/2026</v>
      </c>
      <c r="J3973" t="str">
        <f t="shared" si="701"/>
        <v>16/03/2026</v>
      </c>
      <c r="K3973" t="str">
        <f>("19/03/2026")</f>
        <v>19/03/2026</v>
      </c>
      <c r="L3973">
        <v>680</v>
      </c>
      <c r="M3973">
        <v>680</v>
      </c>
      <c r="N3973">
        <v>109</v>
      </c>
      <c r="O3973" t="str">
        <f>"PAGAMENTO DE ENTREGADORES"</f>
        <v>PAGAMENTO DE ENTREGADORES</v>
      </c>
      <c r="P3973">
        <v>680</v>
      </c>
      <c r="S3973" t="str">
        <f>"BANCO C6 (149)"</f>
        <v>BANCO C6 (149)</v>
      </c>
      <c r="T3973">
        <v>31662</v>
      </c>
      <c r="U3973">
        <v>34922</v>
      </c>
      <c r="V3973" t="s">
        <v>37</v>
      </c>
    </row>
    <row r="3974" spans="1:22">
      <c r="A3974" t="str">
        <f t="shared" si="699"/>
        <v>19/03/2026</v>
      </c>
      <c r="B3974" t="str">
        <f t="shared" si="696"/>
        <v>SAÍDA</v>
      </c>
      <c r="C3974" t="str">
        <f t="shared" si="697"/>
        <v>PIX</v>
      </c>
      <c r="D3974" t="str">
        <f>"34922"</f>
        <v>34922</v>
      </c>
      <c r="E3974" t="str">
        <f t="shared" si="700"/>
        <v>1</v>
      </c>
      <c r="F3974" t="str">
        <f t="shared" si="702"/>
        <v>COM</v>
      </c>
      <c r="G3974" t="str">
        <f>"EDVAN DA SILVA ALVES (934)"</f>
        <v>EDVAN DA SILVA ALVES (934)</v>
      </c>
      <c r="H3974" t="s">
        <v>980</v>
      </c>
      <c r="I3974" t="str">
        <f t="shared" si="698"/>
        <v>19/03/2026</v>
      </c>
      <c r="J3974" t="str">
        <f t="shared" si="701"/>
        <v>16/03/2026</v>
      </c>
      <c r="K3974">
        <v>46100</v>
      </c>
      <c r="N3974">
        <v>109</v>
      </c>
      <c r="O3974" t="s">
        <v>27</v>
      </c>
      <c r="Q3974">
        <v>680</v>
      </c>
      <c r="R3974" t="str">
        <f>"DELTA LOJA 2 (10123)"</f>
        <v>DELTA LOJA 2 (10123)</v>
      </c>
      <c r="S3974" t="s">
        <v>37</v>
      </c>
      <c r="T3974">
        <v>31662</v>
      </c>
      <c r="U3974">
        <v>34922</v>
      </c>
      <c r="V3974" t="s">
        <v>37</v>
      </c>
    </row>
    <row r="3975" spans="1:22">
      <c r="A3975" t="str">
        <f t="shared" si="699"/>
        <v>19/03/2026</v>
      </c>
      <c r="B3975" t="str">
        <f t="shared" si="696"/>
        <v>SAÍDA</v>
      </c>
      <c r="C3975" t="str">
        <f t="shared" si="697"/>
        <v>PIX</v>
      </c>
      <c r="D3975" t="str">
        <f>"34923"</f>
        <v>34923</v>
      </c>
      <c r="E3975" t="str">
        <f t="shared" si="700"/>
        <v>1</v>
      </c>
      <c r="F3975" t="str">
        <f t="shared" si="702"/>
        <v>COM</v>
      </c>
      <c r="G3975" t="str">
        <f>"ELIENAI ROSA DO NASCIMENTO (343)"</f>
        <v>ELIENAI ROSA DO NASCIMENTO (343)</v>
      </c>
      <c r="H3975" t="str">
        <f>"Serv.Prest. 09/03/2026 a 15/03/2026 - PIX: CPF - CHAVE: 048.672.645-20"</f>
        <v>Serv.Prest. 09/03/2026 a 15/03/2026 - PIX: CPF - CHAVE: 048.672.645-20</v>
      </c>
      <c r="I3975" t="str">
        <f t="shared" si="698"/>
        <v>19/03/2026</v>
      </c>
      <c r="J3975" t="str">
        <f t="shared" si="701"/>
        <v>16/03/2026</v>
      </c>
      <c r="K3975" t="str">
        <f>("19/03/2026")</f>
        <v>19/03/2026</v>
      </c>
      <c r="L3975">
        <v>700</v>
      </c>
      <c r="M3975">
        <v>700</v>
      </c>
      <c r="N3975">
        <v>109</v>
      </c>
      <c r="O3975" t="str">
        <f>"PAGAMENTO DE ENTREGADORES"</f>
        <v>PAGAMENTO DE ENTREGADORES</v>
      </c>
      <c r="P3975">
        <v>700</v>
      </c>
      <c r="S3975" t="str">
        <f>"BANCO C6 (149)"</f>
        <v>BANCO C6 (149)</v>
      </c>
      <c r="T3975">
        <v>31663</v>
      </c>
      <c r="U3975">
        <v>34923</v>
      </c>
      <c r="V3975" t="s">
        <v>37</v>
      </c>
    </row>
    <row r="3976" spans="1:22">
      <c r="A3976" t="str">
        <f t="shared" si="699"/>
        <v>19/03/2026</v>
      </c>
      <c r="B3976" t="str">
        <f t="shared" si="696"/>
        <v>SAÍDA</v>
      </c>
      <c r="C3976" t="str">
        <f t="shared" si="697"/>
        <v>PIX</v>
      </c>
      <c r="D3976" t="str">
        <f>"34923"</f>
        <v>34923</v>
      </c>
      <c r="E3976" t="str">
        <f t="shared" si="700"/>
        <v>1</v>
      </c>
      <c r="F3976" t="str">
        <f t="shared" si="702"/>
        <v>COM</v>
      </c>
      <c r="G3976" t="str">
        <f>"ELIENAI ROSA DO NASCIMENTO (343)"</f>
        <v>ELIENAI ROSA DO NASCIMENTO (343)</v>
      </c>
      <c r="H3976" t="s">
        <v>850</v>
      </c>
      <c r="I3976" t="str">
        <f t="shared" si="698"/>
        <v>19/03/2026</v>
      </c>
      <c r="J3976" t="str">
        <f t="shared" si="701"/>
        <v>16/03/2026</v>
      </c>
      <c r="K3976">
        <v>46100</v>
      </c>
      <c r="N3976">
        <v>109</v>
      </c>
      <c r="O3976" t="s">
        <v>27</v>
      </c>
      <c r="Q3976">
        <v>700</v>
      </c>
      <c r="R3976" t="str">
        <f>"DELTA LOJA 2 (10123)"</f>
        <v>DELTA LOJA 2 (10123)</v>
      </c>
      <c r="S3976" t="s">
        <v>37</v>
      </c>
      <c r="T3976">
        <v>31663</v>
      </c>
      <c r="U3976">
        <v>34923</v>
      </c>
      <c r="V3976" t="s">
        <v>37</v>
      </c>
    </row>
    <row r="3977" spans="1:22">
      <c r="A3977" t="str">
        <f t="shared" si="699"/>
        <v>19/03/2026</v>
      </c>
      <c r="B3977" t="str">
        <f t="shared" si="696"/>
        <v>SAÍDA</v>
      </c>
      <c r="C3977" t="str">
        <f t="shared" si="697"/>
        <v>PIX</v>
      </c>
      <c r="D3977" t="str">
        <f>"34925"</f>
        <v>34925</v>
      </c>
      <c r="E3977" t="str">
        <f t="shared" si="700"/>
        <v>1</v>
      </c>
      <c r="F3977" t="str">
        <f t="shared" si="702"/>
        <v>COM</v>
      </c>
      <c r="G3977" t="str">
        <f>"FLÁVIO VICTOR NUNES DA SILVA SANTOS (1142)"</f>
        <v>FLÁVIO VICTOR NUNES DA SILVA SANTOS (1142)</v>
      </c>
      <c r="H3977" t="str">
        <f>"Serv.Prest. 09/03/2026 a 15/03/2026 - PIX: E-MAIL - CHAVE: flaviovictorxiaomi@gmail.com"</f>
        <v>Serv.Prest. 09/03/2026 a 15/03/2026 - PIX: E-MAIL - CHAVE: flaviovictorxiaomi@gmail.com</v>
      </c>
      <c r="I3977" t="str">
        <f t="shared" si="698"/>
        <v>19/03/2026</v>
      </c>
      <c r="J3977" t="str">
        <f t="shared" si="701"/>
        <v>16/03/2026</v>
      </c>
      <c r="K3977" t="str">
        <f>("19/03/2026")</f>
        <v>19/03/2026</v>
      </c>
      <c r="L3977">
        <v>1824</v>
      </c>
      <c r="M3977">
        <v>1824</v>
      </c>
      <c r="N3977">
        <v>109</v>
      </c>
      <c r="O3977" t="str">
        <f>"PAGAMENTO DE ENTREGADORES"</f>
        <v>PAGAMENTO DE ENTREGADORES</v>
      </c>
      <c r="P3977">
        <v>1824</v>
      </c>
      <c r="S3977" t="str">
        <f>"BANCO C6 (149)"</f>
        <v>BANCO C6 (149)</v>
      </c>
      <c r="T3977">
        <v>31664</v>
      </c>
      <c r="U3977">
        <v>34925</v>
      </c>
      <c r="V3977" t="s">
        <v>37</v>
      </c>
    </row>
    <row r="3978" spans="1:22">
      <c r="A3978" t="str">
        <f t="shared" si="699"/>
        <v>19/03/2026</v>
      </c>
      <c r="B3978" t="str">
        <f t="shared" si="696"/>
        <v>SAÍDA</v>
      </c>
      <c r="C3978" t="str">
        <f t="shared" si="697"/>
        <v>PIX</v>
      </c>
      <c r="D3978" t="str">
        <f>"34925"</f>
        <v>34925</v>
      </c>
      <c r="E3978" t="str">
        <f t="shared" si="700"/>
        <v>1</v>
      </c>
      <c r="F3978" t="str">
        <f t="shared" si="702"/>
        <v>COM</v>
      </c>
      <c r="G3978" t="str">
        <f>"FLÁVIO VICTOR NUNES DA SILVA SANTOS (1142)"</f>
        <v>FLÁVIO VICTOR NUNES DA SILVA SANTOS (1142)</v>
      </c>
      <c r="H3978" t="s">
        <v>986</v>
      </c>
      <c r="I3978" t="str">
        <f t="shared" si="698"/>
        <v>19/03/2026</v>
      </c>
      <c r="J3978" t="str">
        <f t="shared" si="701"/>
        <v>16/03/2026</v>
      </c>
      <c r="K3978">
        <v>46100</v>
      </c>
      <c r="N3978">
        <v>109</v>
      </c>
      <c r="O3978" t="s">
        <v>27</v>
      </c>
      <c r="Q3978">
        <v>1824</v>
      </c>
      <c r="R3978" t="str">
        <f>"DROGARIA VAZ (10179)"</f>
        <v>DROGARIA VAZ (10179)</v>
      </c>
      <c r="S3978" t="s">
        <v>37</v>
      </c>
      <c r="T3978">
        <v>31664</v>
      </c>
      <c r="U3978">
        <v>34925</v>
      </c>
      <c r="V3978" t="s">
        <v>37</v>
      </c>
    </row>
    <row r="3979" spans="1:22">
      <c r="A3979" t="str">
        <f t="shared" si="699"/>
        <v>19/03/2026</v>
      </c>
      <c r="B3979" t="str">
        <f t="shared" si="696"/>
        <v>SAÍDA</v>
      </c>
      <c r="C3979" t="str">
        <f t="shared" si="697"/>
        <v>PIX</v>
      </c>
      <c r="D3979" t="str">
        <f>"34927"</f>
        <v>34927</v>
      </c>
      <c r="E3979" t="str">
        <f t="shared" si="700"/>
        <v>1</v>
      </c>
      <c r="F3979" t="str">
        <f t="shared" si="702"/>
        <v>COM</v>
      </c>
      <c r="G3979" t="str">
        <f>"ARLINDO COSTA FELIX (754)"</f>
        <v>ARLINDO COSTA FELIX (754)</v>
      </c>
      <c r="H3979" t="str">
        <f>"Serv.Prest. 09/03/2026 a 15/03/2026 - PIX: CPF - CHAVE: 103.983.366-79"</f>
        <v>Serv.Prest. 09/03/2026 a 15/03/2026 - PIX: CPF - CHAVE: 103.983.366-79</v>
      </c>
      <c r="I3979" t="str">
        <f t="shared" si="698"/>
        <v>19/03/2026</v>
      </c>
      <c r="J3979" t="str">
        <f t="shared" si="701"/>
        <v>16/03/2026</v>
      </c>
      <c r="K3979" t="str">
        <f>("19/03/2026")</f>
        <v>19/03/2026</v>
      </c>
      <c r="L3979">
        <v>1068</v>
      </c>
      <c r="M3979">
        <v>1068</v>
      </c>
      <c r="N3979">
        <v>109</v>
      </c>
      <c r="O3979" t="str">
        <f>"PAGAMENTO DE ENTREGADORES"</f>
        <v>PAGAMENTO DE ENTREGADORES</v>
      </c>
      <c r="P3979">
        <v>1068</v>
      </c>
      <c r="S3979" t="str">
        <f>"BANCO C6 (149)"</f>
        <v>BANCO C6 (149)</v>
      </c>
      <c r="T3979">
        <v>31665</v>
      </c>
      <c r="U3979">
        <v>34927</v>
      </c>
      <c r="V3979" t="s">
        <v>37</v>
      </c>
    </row>
    <row r="3980" spans="1:22">
      <c r="A3980" t="str">
        <f t="shared" si="699"/>
        <v>19/03/2026</v>
      </c>
      <c r="B3980" t="str">
        <f t="shared" si="696"/>
        <v>SAÍDA</v>
      </c>
      <c r="C3980" t="str">
        <f t="shared" si="697"/>
        <v>PIX</v>
      </c>
      <c r="D3980" t="str">
        <f>"34927"</f>
        <v>34927</v>
      </c>
      <c r="E3980" t="str">
        <f t="shared" si="700"/>
        <v>1</v>
      </c>
      <c r="F3980" t="str">
        <f t="shared" si="702"/>
        <v>COM</v>
      </c>
      <c r="G3980" t="str">
        <f>"ARLINDO COSTA FELIX (754)"</f>
        <v>ARLINDO COSTA FELIX (754)</v>
      </c>
      <c r="H3980" t="s">
        <v>1091</v>
      </c>
      <c r="I3980" t="str">
        <f t="shared" si="698"/>
        <v>19/03/2026</v>
      </c>
      <c r="J3980" t="str">
        <f t="shared" si="701"/>
        <v>16/03/2026</v>
      </c>
      <c r="K3980">
        <v>46100</v>
      </c>
      <c r="N3980">
        <v>109</v>
      </c>
      <c r="O3980" t="s">
        <v>27</v>
      </c>
      <c r="Q3980">
        <v>1068</v>
      </c>
      <c r="R3980" t="str">
        <f>"ENTREFARMA (10164)"</f>
        <v>ENTREFARMA (10164)</v>
      </c>
      <c r="S3980" t="s">
        <v>37</v>
      </c>
      <c r="T3980">
        <v>31665</v>
      </c>
      <c r="U3980">
        <v>34927</v>
      </c>
      <c r="V3980" t="s">
        <v>37</v>
      </c>
    </row>
    <row r="3981" spans="1:22">
      <c r="A3981" t="str">
        <f t="shared" si="699"/>
        <v>19/03/2026</v>
      </c>
      <c r="B3981" t="str">
        <f t="shared" si="696"/>
        <v>SAÍDA</v>
      </c>
      <c r="C3981" t="str">
        <f t="shared" si="697"/>
        <v>PIX</v>
      </c>
      <c r="D3981" t="str">
        <f>"34928"</f>
        <v>34928</v>
      </c>
      <c r="E3981" t="str">
        <f t="shared" si="700"/>
        <v>1</v>
      </c>
      <c r="F3981" t="str">
        <f t="shared" si="702"/>
        <v>COM</v>
      </c>
      <c r="G3981" t="str">
        <f>"BRENO IAGO ALVES SILVA (706)"</f>
        <v>BRENO IAGO ALVES SILVA (706)</v>
      </c>
      <c r="H3981" t="str">
        <f>"Serv.Prest. 09/03/2026 a 15/03/2026 - PIX: CELULAR - CHAVE: (31) 99181-6538"</f>
        <v>Serv.Prest. 09/03/2026 a 15/03/2026 - PIX: CELULAR - CHAVE: (31) 99181-6538</v>
      </c>
      <c r="I3981" t="str">
        <f t="shared" si="698"/>
        <v>19/03/2026</v>
      </c>
      <c r="J3981" t="str">
        <f t="shared" si="701"/>
        <v>16/03/2026</v>
      </c>
      <c r="K3981" t="str">
        <f>("19/03/2026")</f>
        <v>19/03/2026</v>
      </c>
      <c r="L3981">
        <v>1338</v>
      </c>
      <c r="M3981">
        <v>1338</v>
      </c>
      <c r="N3981">
        <v>109</v>
      </c>
      <c r="O3981" t="str">
        <f>"PAGAMENTO DE ENTREGADORES"</f>
        <v>PAGAMENTO DE ENTREGADORES</v>
      </c>
      <c r="P3981">
        <v>1338</v>
      </c>
      <c r="S3981" t="str">
        <f>"BANCO C6 (149)"</f>
        <v>BANCO C6 (149)</v>
      </c>
      <c r="T3981">
        <v>31666</v>
      </c>
      <c r="U3981">
        <v>34928</v>
      </c>
      <c r="V3981" t="s">
        <v>37</v>
      </c>
    </row>
    <row r="3982" spans="1:22">
      <c r="A3982" t="str">
        <f t="shared" si="699"/>
        <v>19/03/2026</v>
      </c>
      <c r="B3982" t="str">
        <f t="shared" si="696"/>
        <v>SAÍDA</v>
      </c>
      <c r="C3982" t="str">
        <f t="shared" si="697"/>
        <v>PIX</v>
      </c>
      <c r="D3982" t="str">
        <f>"34928"</f>
        <v>34928</v>
      </c>
      <c r="E3982" t="str">
        <f t="shared" si="700"/>
        <v>1</v>
      </c>
      <c r="F3982" t="str">
        <f t="shared" si="702"/>
        <v>COM</v>
      </c>
      <c r="G3982" t="str">
        <f>"BRENO IAGO ALVES SILVA (706)"</f>
        <v>BRENO IAGO ALVES SILVA (706)</v>
      </c>
      <c r="H3982" t="s">
        <v>1092</v>
      </c>
      <c r="I3982" t="str">
        <f t="shared" si="698"/>
        <v>19/03/2026</v>
      </c>
      <c r="J3982" t="str">
        <f t="shared" si="701"/>
        <v>16/03/2026</v>
      </c>
      <c r="K3982">
        <v>46100</v>
      </c>
      <c r="N3982">
        <v>109</v>
      </c>
      <c r="O3982" t="s">
        <v>27</v>
      </c>
      <c r="Q3982">
        <v>1338</v>
      </c>
      <c r="R3982" t="str">
        <f>"ENTREFARMA (10164)"</f>
        <v>ENTREFARMA (10164)</v>
      </c>
      <c r="S3982" t="s">
        <v>37</v>
      </c>
      <c r="T3982">
        <v>31666</v>
      </c>
      <c r="U3982">
        <v>34928</v>
      </c>
      <c r="V3982" t="s">
        <v>37</v>
      </c>
    </row>
    <row r="3983" spans="1:22">
      <c r="A3983" t="str">
        <f t="shared" si="699"/>
        <v>19/03/2026</v>
      </c>
      <c r="B3983" t="str">
        <f t="shared" si="696"/>
        <v>SAÍDA</v>
      </c>
      <c r="C3983" t="str">
        <f t="shared" si="697"/>
        <v>PIX</v>
      </c>
      <c r="D3983" t="str">
        <f>"34929"</f>
        <v>34929</v>
      </c>
      <c r="E3983" t="str">
        <f t="shared" si="700"/>
        <v>1</v>
      </c>
      <c r="F3983" t="str">
        <f t="shared" si="702"/>
        <v>COM</v>
      </c>
      <c r="G3983" t="str">
        <f>"LEONICIO CORREA DA SILVA (716)"</f>
        <v>LEONICIO CORREA DA SILVA (716)</v>
      </c>
      <c r="H3983" t="str">
        <f>"Serv.Prest. 09/03/2026 a 15/03/2026 - PIX: CPF - CHAVE: 138.263.636-98"</f>
        <v>Serv.Prest. 09/03/2026 a 15/03/2026 - PIX: CPF - CHAVE: 138.263.636-98</v>
      </c>
      <c r="I3983" t="str">
        <f t="shared" si="698"/>
        <v>19/03/2026</v>
      </c>
      <c r="J3983" t="str">
        <f t="shared" si="701"/>
        <v>16/03/2026</v>
      </c>
      <c r="K3983" t="str">
        <f>("19/03/2026")</f>
        <v>19/03/2026</v>
      </c>
      <c r="L3983">
        <v>2334</v>
      </c>
      <c r="M3983">
        <v>2334</v>
      </c>
      <c r="N3983">
        <v>109</v>
      </c>
      <c r="O3983" t="str">
        <f>"PAGAMENTO DE ENTREGADORES"</f>
        <v>PAGAMENTO DE ENTREGADORES</v>
      </c>
      <c r="P3983">
        <v>2334</v>
      </c>
      <c r="S3983" t="str">
        <f>"BANCO C6 (149)"</f>
        <v>BANCO C6 (149)</v>
      </c>
      <c r="T3983">
        <v>31667</v>
      </c>
      <c r="U3983">
        <v>34929</v>
      </c>
      <c r="V3983" t="s">
        <v>37</v>
      </c>
    </row>
    <row r="3984" spans="1:22">
      <c r="A3984" t="str">
        <f t="shared" si="699"/>
        <v>19/03/2026</v>
      </c>
      <c r="B3984" t="str">
        <f t="shared" si="696"/>
        <v>SAÍDA</v>
      </c>
      <c r="C3984" t="str">
        <f t="shared" si="697"/>
        <v>PIX</v>
      </c>
      <c r="D3984" t="str">
        <f>"34929"</f>
        <v>34929</v>
      </c>
      <c r="E3984" t="str">
        <f t="shared" si="700"/>
        <v>1</v>
      </c>
      <c r="F3984" t="str">
        <f t="shared" si="702"/>
        <v>COM</v>
      </c>
      <c r="G3984" t="str">
        <f>"LEONICIO CORREA DA SILVA (716)"</f>
        <v>LEONICIO CORREA DA SILVA (716)</v>
      </c>
      <c r="H3984" t="s">
        <v>1093</v>
      </c>
      <c r="I3984" t="str">
        <f t="shared" si="698"/>
        <v>19/03/2026</v>
      </c>
      <c r="J3984" t="str">
        <f t="shared" si="701"/>
        <v>16/03/2026</v>
      </c>
      <c r="K3984">
        <v>46100</v>
      </c>
      <c r="N3984">
        <v>109</v>
      </c>
      <c r="O3984" t="s">
        <v>27</v>
      </c>
      <c r="Q3984">
        <v>2334</v>
      </c>
      <c r="R3984" t="str">
        <f>"ENTREFARMA (10164)"</f>
        <v>ENTREFARMA (10164)</v>
      </c>
      <c r="S3984" t="s">
        <v>37</v>
      </c>
      <c r="T3984">
        <v>31667</v>
      </c>
      <c r="U3984">
        <v>34929</v>
      </c>
      <c r="V3984" t="s">
        <v>37</v>
      </c>
    </row>
    <row r="3985" spans="1:22">
      <c r="A3985" t="str">
        <f t="shared" si="699"/>
        <v>19/03/2026</v>
      </c>
      <c r="B3985" t="str">
        <f t="shared" si="696"/>
        <v>SAÍDA</v>
      </c>
      <c r="C3985" t="str">
        <f t="shared" si="697"/>
        <v>PIX</v>
      </c>
      <c r="D3985" t="str">
        <f>"34930"</f>
        <v>34930</v>
      </c>
      <c r="E3985" t="str">
        <f t="shared" si="700"/>
        <v>1</v>
      </c>
      <c r="F3985" t="str">
        <f t="shared" si="702"/>
        <v>COM</v>
      </c>
      <c r="G3985" t="str">
        <f>"SADRAK ENOKES BORGES (725)"</f>
        <v>SADRAK ENOKES BORGES (725)</v>
      </c>
      <c r="H3985" t="str">
        <f>"Serv.Prest. 09/03/2026 a 15/03/2026 - PIX: CPF - CHAVE: 128.367.756-37"</f>
        <v>Serv.Prest. 09/03/2026 a 15/03/2026 - PIX: CPF - CHAVE: 128.367.756-37</v>
      </c>
      <c r="I3985" t="str">
        <f t="shared" si="698"/>
        <v>19/03/2026</v>
      </c>
      <c r="J3985" t="str">
        <f t="shared" si="701"/>
        <v>16/03/2026</v>
      </c>
      <c r="K3985" t="str">
        <f>("19/03/2026")</f>
        <v>19/03/2026</v>
      </c>
      <c r="L3985">
        <v>840</v>
      </c>
      <c r="M3985">
        <v>840</v>
      </c>
      <c r="N3985">
        <v>109</v>
      </c>
      <c r="O3985" t="str">
        <f>"PAGAMENTO DE ENTREGADORES"</f>
        <v>PAGAMENTO DE ENTREGADORES</v>
      </c>
      <c r="P3985">
        <v>840</v>
      </c>
      <c r="S3985" t="str">
        <f>"BANCO C6 (149)"</f>
        <v>BANCO C6 (149)</v>
      </c>
      <c r="T3985">
        <v>31668</v>
      </c>
      <c r="U3985">
        <v>34930</v>
      </c>
      <c r="V3985" t="s">
        <v>37</v>
      </c>
    </row>
    <row r="3986" spans="1:22">
      <c r="A3986" t="str">
        <f t="shared" si="699"/>
        <v>19/03/2026</v>
      </c>
      <c r="B3986" t="str">
        <f t="shared" si="696"/>
        <v>SAÍDA</v>
      </c>
      <c r="C3986" t="str">
        <f t="shared" si="697"/>
        <v>PIX</v>
      </c>
      <c r="D3986" t="str">
        <f>"34930"</f>
        <v>34930</v>
      </c>
      <c r="E3986" t="str">
        <f t="shared" si="700"/>
        <v>1</v>
      </c>
      <c r="F3986" t="str">
        <f t="shared" si="702"/>
        <v>COM</v>
      </c>
      <c r="G3986" t="str">
        <f>"SADRAK ENOKES BORGES (725)"</f>
        <v>SADRAK ENOKES BORGES (725)</v>
      </c>
      <c r="H3986" t="s">
        <v>1094</v>
      </c>
      <c r="I3986" t="str">
        <f t="shared" si="698"/>
        <v>19/03/2026</v>
      </c>
      <c r="J3986" t="str">
        <f t="shared" si="701"/>
        <v>16/03/2026</v>
      </c>
      <c r="K3986">
        <v>46100</v>
      </c>
      <c r="N3986">
        <v>109</v>
      </c>
      <c r="O3986" t="s">
        <v>27</v>
      </c>
      <c r="Q3986">
        <v>840</v>
      </c>
      <c r="R3986" t="str">
        <f>"ENTREFARMA (10164)"</f>
        <v>ENTREFARMA (10164)</v>
      </c>
      <c r="S3986" t="s">
        <v>37</v>
      </c>
      <c r="T3986">
        <v>31668</v>
      </c>
      <c r="U3986">
        <v>34930</v>
      </c>
      <c r="V3986" t="s">
        <v>37</v>
      </c>
    </row>
    <row r="3987" spans="1:22">
      <c r="A3987" t="str">
        <f t="shared" si="699"/>
        <v>19/03/2026</v>
      </c>
      <c r="B3987" t="str">
        <f t="shared" si="696"/>
        <v>SAÍDA</v>
      </c>
      <c r="C3987" t="str">
        <f t="shared" si="697"/>
        <v>PIX</v>
      </c>
      <c r="D3987" t="str">
        <f>"34932"</f>
        <v>34932</v>
      </c>
      <c r="E3987" t="str">
        <f t="shared" si="700"/>
        <v>1</v>
      </c>
      <c r="F3987" t="str">
        <f t="shared" si="702"/>
        <v>COM</v>
      </c>
      <c r="G3987" t="str">
        <f t="shared" ref="G3987:G3992" si="703">"FABRICIO QUEIROZ DE OLIVEIRA (788)"</f>
        <v>FABRICIO QUEIROZ DE OLIVEIRA (788)</v>
      </c>
      <c r="H3987" t="str">
        <f>"Serv.Prest. 09/03/2026 a 15/03/2026 - PIX: CPF - CHAVE: 138.798.486-10"</f>
        <v>Serv.Prest. 09/03/2026 a 15/03/2026 - PIX: CPF - CHAVE: 138.798.486-10</v>
      </c>
      <c r="I3987" t="str">
        <f t="shared" si="698"/>
        <v>19/03/2026</v>
      </c>
      <c r="J3987" t="str">
        <f t="shared" si="701"/>
        <v>16/03/2026</v>
      </c>
      <c r="K3987" t="str">
        <f>("19/03/2026")</f>
        <v>19/03/2026</v>
      </c>
      <c r="L3987">
        <v>238.5</v>
      </c>
      <c r="M3987">
        <v>238.5</v>
      </c>
      <c r="N3987">
        <v>109</v>
      </c>
      <c r="O3987" t="str">
        <f>"PAGAMENTO DE ENTREGADORES"</f>
        <v>PAGAMENTO DE ENTREGADORES</v>
      </c>
      <c r="P3987">
        <v>238.5</v>
      </c>
      <c r="S3987" t="str">
        <f>"BANCO C6 (149)"</f>
        <v>BANCO C6 (149)</v>
      </c>
      <c r="T3987">
        <v>31669</v>
      </c>
      <c r="U3987">
        <v>34932</v>
      </c>
      <c r="V3987" t="s">
        <v>37</v>
      </c>
    </row>
    <row r="3988" spans="1:22">
      <c r="A3988" t="str">
        <f t="shared" si="699"/>
        <v>19/03/2026</v>
      </c>
      <c r="B3988" t="str">
        <f t="shared" si="696"/>
        <v>SAÍDA</v>
      </c>
      <c r="C3988" t="str">
        <f t="shared" si="697"/>
        <v>PIX</v>
      </c>
      <c r="D3988" t="str">
        <f>"34932"</f>
        <v>34932</v>
      </c>
      <c r="E3988" t="str">
        <f t="shared" si="700"/>
        <v>1</v>
      </c>
      <c r="F3988" t="str">
        <f t="shared" si="702"/>
        <v>COM</v>
      </c>
      <c r="G3988" t="str">
        <f t="shared" si="703"/>
        <v>FABRICIO QUEIROZ DE OLIVEIRA (788)</v>
      </c>
      <c r="H3988" t="s">
        <v>1095</v>
      </c>
      <c r="I3988" t="str">
        <f t="shared" si="698"/>
        <v>19/03/2026</v>
      </c>
      <c r="J3988" t="str">
        <f t="shared" si="701"/>
        <v>16/03/2026</v>
      </c>
      <c r="K3988">
        <v>46100</v>
      </c>
      <c r="N3988">
        <v>109</v>
      </c>
      <c r="O3988" t="s">
        <v>27</v>
      </c>
      <c r="Q3988">
        <v>238.5</v>
      </c>
      <c r="R3988" t="str">
        <f>"FRAN FARMA (10124)"</f>
        <v>FRAN FARMA (10124)</v>
      </c>
      <c r="S3988" t="s">
        <v>37</v>
      </c>
      <c r="T3988">
        <v>31669</v>
      </c>
      <c r="U3988">
        <v>34932</v>
      </c>
      <c r="V3988" t="s">
        <v>37</v>
      </c>
    </row>
    <row r="3989" spans="1:22">
      <c r="A3989" t="str">
        <f t="shared" si="699"/>
        <v>19/03/2026</v>
      </c>
      <c r="B3989" t="str">
        <f t="shared" si="696"/>
        <v>SAÍDA</v>
      </c>
      <c r="C3989" t="str">
        <f t="shared" si="697"/>
        <v>PIX</v>
      </c>
      <c r="D3989" t="str">
        <f>"34933"</f>
        <v>34933</v>
      </c>
      <c r="E3989" t="str">
        <f t="shared" si="700"/>
        <v>1</v>
      </c>
      <c r="F3989" t="str">
        <f t="shared" si="702"/>
        <v>COM</v>
      </c>
      <c r="G3989" t="str">
        <f t="shared" si="703"/>
        <v>FABRICIO QUEIROZ DE OLIVEIRA (788)</v>
      </c>
      <c r="H3989" t="str">
        <f>"Serv.Prest. 09/03/2026 a 15/03/2026 - PIX: CPF - CHAVE: 138.798.486-10"</f>
        <v>Serv.Prest. 09/03/2026 a 15/03/2026 - PIX: CPF - CHAVE: 138.798.486-10</v>
      </c>
      <c r="I3989" t="str">
        <f t="shared" si="698"/>
        <v>19/03/2026</v>
      </c>
      <c r="J3989" t="str">
        <f t="shared" si="701"/>
        <v>16/03/2026</v>
      </c>
      <c r="K3989" t="str">
        <f>("19/03/2026")</f>
        <v>19/03/2026</v>
      </c>
      <c r="L3989">
        <v>589.5</v>
      </c>
      <c r="M3989">
        <v>589.5</v>
      </c>
      <c r="N3989">
        <v>109</v>
      </c>
      <c r="O3989" t="str">
        <f>"PAGAMENTO DE ENTREGADORES"</f>
        <v>PAGAMENTO DE ENTREGADORES</v>
      </c>
      <c r="P3989">
        <v>589.5</v>
      </c>
      <c r="S3989" t="str">
        <f>"BANCO C6 (149)"</f>
        <v>BANCO C6 (149)</v>
      </c>
      <c r="T3989">
        <v>31670</v>
      </c>
      <c r="U3989">
        <v>34933</v>
      </c>
      <c r="V3989" t="s">
        <v>37</v>
      </c>
    </row>
    <row r="3990" spans="1:22">
      <c r="A3990" t="str">
        <f t="shared" si="699"/>
        <v>19/03/2026</v>
      </c>
      <c r="B3990" t="str">
        <f t="shared" si="696"/>
        <v>SAÍDA</v>
      </c>
      <c r="C3990" t="str">
        <f t="shared" si="697"/>
        <v>PIX</v>
      </c>
      <c r="D3990" t="str">
        <f>"34933"</f>
        <v>34933</v>
      </c>
      <c r="E3990" t="str">
        <f t="shared" si="700"/>
        <v>1</v>
      </c>
      <c r="F3990" t="str">
        <f t="shared" si="702"/>
        <v>COM</v>
      </c>
      <c r="G3990" t="str">
        <f t="shared" si="703"/>
        <v>FABRICIO QUEIROZ DE OLIVEIRA (788)</v>
      </c>
      <c r="H3990" t="s">
        <v>1095</v>
      </c>
      <c r="I3990" t="str">
        <f t="shared" si="698"/>
        <v>19/03/2026</v>
      </c>
      <c r="J3990" t="str">
        <f t="shared" si="701"/>
        <v>16/03/2026</v>
      </c>
      <c r="K3990">
        <v>46100</v>
      </c>
      <c r="N3990">
        <v>109</v>
      </c>
      <c r="O3990" t="s">
        <v>27</v>
      </c>
      <c r="Q3990">
        <v>589.5</v>
      </c>
      <c r="R3990" t="str">
        <f>"FRAN FARMA LJ 2 (10131)"</f>
        <v>FRAN FARMA LJ 2 (10131)</v>
      </c>
      <c r="S3990" t="s">
        <v>37</v>
      </c>
      <c r="T3990">
        <v>31670</v>
      </c>
      <c r="U3990">
        <v>34933</v>
      </c>
      <c r="V3990" t="s">
        <v>37</v>
      </c>
    </row>
    <row r="3991" spans="1:22">
      <c r="A3991" t="str">
        <f t="shared" si="699"/>
        <v>19/03/2026</v>
      </c>
      <c r="B3991" t="str">
        <f t="shared" si="696"/>
        <v>SAÍDA</v>
      </c>
      <c r="C3991" t="str">
        <f t="shared" si="697"/>
        <v>PIX</v>
      </c>
      <c r="D3991" t="str">
        <f>"34934"</f>
        <v>34934</v>
      </c>
      <c r="E3991" t="str">
        <f t="shared" si="700"/>
        <v>1</v>
      </c>
      <c r="F3991" t="str">
        <f t="shared" si="702"/>
        <v>COM</v>
      </c>
      <c r="G3991" t="str">
        <f t="shared" si="703"/>
        <v>FABRICIO QUEIROZ DE OLIVEIRA (788)</v>
      </c>
      <c r="H3991" t="str">
        <f>"Serv.Prest. 09/03/2026 a 15/03/2026 - PIX: CPF - CHAVE: 138.798.486-10"</f>
        <v>Serv.Prest. 09/03/2026 a 15/03/2026 - PIX: CPF - CHAVE: 138.798.486-10</v>
      </c>
      <c r="I3991" t="str">
        <f t="shared" si="698"/>
        <v>19/03/2026</v>
      </c>
      <c r="J3991" t="str">
        <f t="shared" si="701"/>
        <v>16/03/2026</v>
      </c>
      <c r="K3991" t="str">
        <f>("19/03/2026")</f>
        <v>19/03/2026</v>
      </c>
      <c r="L3991">
        <v>94.5</v>
      </c>
      <c r="M3991">
        <v>94.5</v>
      </c>
      <c r="N3991">
        <v>109</v>
      </c>
      <c r="O3991" t="str">
        <f>"PAGAMENTO DE ENTREGADORES"</f>
        <v>PAGAMENTO DE ENTREGADORES</v>
      </c>
      <c r="P3991">
        <v>94.5</v>
      </c>
      <c r="S3991" t="str">
        <f>"BANCO C6 (149)"</f>
        <v>BANCO C6 (149)</v>
      </c>
      <c r="T3991">
        <v>31671</v>
      </c>
      <c r="U3991">
        <v>34934</v>
      </c>
      <c r="V3991" t="s">
        <v>37</v>
      </c>
    </row>
    <row r="3992" spans="1:22">
      <c r="A3992" t="str">
        <f t="shared" si="699"/>
        <v>19/03/2026</v>
      </c>
      <c r="B3992" t="str">
        <f t="shared" si="696"/>
        <v>SAÍDA</v>
      </c>
      <c r="C3992" t="str">
        <f t="shared" si="697"/>
        <v>PIX</v>
      </c>
      <c r="D3992" t="str">
        <f>"34934"</f>
        <v>34934</v>
      </c>
      <c r="E3992" t="str">
        <f t="shared" si="700"/>
        <v>1</v>
      </c>
      <c r="F3992" t="str">
        <f t="shared" si="702"/>
        <v>COM</v>
      </c>
      <c r="G3992" t="str">
        <f t="shared" si="703"/>
        <v>FABRICIO QUEIROZ DE OLIVEIRA (788)</v>
      </c>
      <c r="H3992" t="s">
        <v>1095</v>
      </c>
      <c r="I3992" t="str">
        <f t="shared" si="698"/>
        <v>19/03/2026</v>
      </c>
      <c r="J3992" t="str">
        <f t="shared" si="701"/>
        <v>16/03/2026</v>
      </c>
      <c r="K3992">
        <v>46100</v>
      </c>
      <c r="N3992">
        <v>109</v>
      </c>
      <c r="O3992" t="s">
        <v>27</v>
      </c>
      <c r="Q3992">
        <v>94.5</v>
      </c>
      <c r="R3992" t="str">
        <f>"FRAN FARMA LJ 3 (10132)"</f>
        <v>FRAN FARMA LJ 3 (10132)</v>
      </c>
      <c r="S3992" t="s">
        <v>37</v>
      </c>
      <c r="T3992">
        <v>31671</v>
      </c>
      <c r="U3992">
        <v>34934</v>
      </c>
      <c r="V3992" t="s">
        <v>37</v>
      </c>
    </row>
    <row r="3993" spans="1:22">
      <c r="A3993" t="str">
        <f t="shared" si="699"/>
        <v>19/03/2026</v>
      </c>
      <c r="B3993" t="str">
        <f t="shared" si="696"/>
        <v>SAÍDA</v>
      </c>
      <c r="C3993" t="str">
        <f t="shared" si="697"/>
        <v>PIX</v>
      </c>
      <c r="D3993" t="str">
        <f>"34936"</f>
        <v>34936</v>
      </c>
      <c r="E3993" t="str">
        <f t="shared" si="700"/>
        <v>1</v>
      </c>
      <c r="F3993" t="str">
        <f t="shared" si="702"/>
        <v>COM</v>
      </c>
      <c r="G3993" t="str">
        <f>"AGATTA DE LOURDES SILVA (1266)"</f>
        <v>AGATTA DE LOURDES SILVA (1266)</v>
      </c>
      <c r="H3993" t="str">
        <f>"Serv.Prest. 09/03/2026 a 15/03/2026 - PIX: CELULAR - CHAVE: (32) 98492-7371"</f>
        <v>Serv.Prest. 09/03/2026 a 15/03/2026 - PIX: CELULAR - CHAVE: (32) 98492-7371</v>
      </c>
      <c r="I3993" t="str">
        <f t="shared" si="698"/>
        <v>19/03/2026</v>
      </c>
      <c r="J3993" t="str">
        <f t="shared" si="701"/>
        <v>16/03/2026</v>
      </c>
      <c r="K3993" t="str">
        <f>("19/03/2026")</f>
        <v>19/03/2026</v>
      </c>
      <c r="L3993">
        <v>900</v>
      </c>
      <c r="M3993">
        <v>900</v>
      </c>
      <c r="N3993">
        <v>109</v>
      </c>
      <c r="O3993" t="str">
        <f>"PAGAMENTO DE ENTREGADORES"</f>
        <v>PAGAMENTO DE ENTREGADORES</v>
      </c>
      <c r="P3993">
        <v>900</v>
      </c>
      <c r="S3993" t="str">
        <f>"BANCO C6 (149)"</f>
        <v>BANCO C6 (149)</v>
      </c>
      <c r="T3993">
        <v>31672</v>
      </c>
      <c r="U3993">
        <v>34936</v>
      </c>
      <c r="V3993" t="s">
        <v>37</v>
      </c>
    </row>
    <row r="3994" spans="1:22">
      <c r="A3994" t="str">
        <f t="shared" si="699"/>
        <v>19/03/2026</v>
      </c>
      <c r="B3994" t="str">
        <f t="shared" si="696"/>
        <v>SAÍDA</v>
      </c>
      <c r="C3994" t="str">
        <f t="shared" si="697"/>
        <v>PIX</v>
      </c>
      <c r="D3994" t="str">
        <f>"34936"</f>
        <v>34936</v>
      </c>
      <c r="E3994" t="str">
        <f t="shared" si="700"/>
        <v>1</v>
      </c>
      <c r="F3994" t="str">
        <f t="shared" si="702"/>
        <v>COM</v>
      </c>
      <c r="G3994" t="str">
        <f>"AGATTA DE LOURDES SILVA (1266)"</f>
        <v>AGATTA DE LOURDES SILVA (1266)</v>
      </c>
      <c r="H3994" t="s">
        <v>1096</v>
      </c>
      <c r="I3994" t="str">
        <f t="shared" si="698"/>
        <v>19/03/2026</v>
      </c>
      <c r="J3994" t="str">
        <f t="shared" si="701"/>
        <v>16/03/2026</v>
      </c>
      <c r="K3994">
        <v>46100</v>
      </c>
      <c r="N3994">
        <v>109</v>
      </c>
      <c r="O3994" t="s">
        <v>27</v>
      </c>
      <c r="Q3994">
        <v>900</v>
      </c>
      <c r="R3994" t="str">
        <f>"FARMA &amp; FORMA (10296)"</f>
        <v>FARMA &amp; FORMA (10296)</v>
      </c>
      <c r="S3994" t="s">
        <v>37</v>
      </c>
      <c r="T3994">
        <v>31672</v>
      </c>
      <c r="U3994">
        <v>34936</v>
      </c>
      <c r="V3994" t="s">
        <v>37</v>
      </c>
    </row>
    <row r="3995" spans="1:22">
      <c r="A3995" t="str">
        <f t="shared" si="699"/>
        <v>19/03/2026</v>
      </c>
      <c r="B3995" t="str">
        <f t="shared" si="696"/>
        <v>SAÍDA</v>
      </c>
      <c r="C3995" t="str">
        <f t="shared" si="697"/>
        <v>PIX</v>
      </c>
      <c r="D3995" t="str">
        <f>"34937"</f>
        <v>34937</v>
      </c>
      <c r="E3995" t="str">
        <f t="shared" si="700"/>
        <v>1</v>
      </c>
      <c r="F3995" t="str">
        <f t="shared" si="702"/>
        <v>COM</v>
      </c>
      <c r="G3995" t="str">
        <f>"WILIANA RODRIGUES E RODRIGUES (398)"</f>
        <v>WILIANA RODRIGUES E RODRIGUES (398)</v>
      </c>
      <c r="H3995" t="str">
        <f>"Serv.Prest. 09/03/2026 a 15/03/2026 - PIX: CPF - CHAVE: 016.203.336-27"</f>
        <v>Serv.Prest. 09/03/2026 a 15/03/2026 - PIX: CPF - CHAVE: 016.203.336-27</v>
      </c>
      <c r="I3995" t="str">
        <f t="shared" si="698"/>
        <v>19/03/2026</v>
      </c>
      <c r="J3995" t="str">
        <f t="shared" si="701"/>
        <v>16/03/2026</v>
      </c>
      <c r="K3995" t="str">
        <f>("19/03/2026")</f>
        <v>19/03/2026</v>
      </c>
      <c r="L3995">
        <v>696</v>
      </c>
      <c r="M3995">
        <v>696</v>
      </c>
      <c r="N3995">
        <v>109</v>
      </c>
      <c r="O3995" t="str">
        <f>"PAGAMENTO DE ENTREGADORES"</f>
        <v>PAGAMENTO DE ENTREGADORES</v>
      </c>
      <c r="P3995">
        <v>696</v>
      </c>
      <c r="S3995" t="str">
        <f>"BANCO C6 (149)"</f>
        <v>BANCO C6 (149)</v>
      </c>
      <c r="T3995">
        <v>31673</v>
      </c>
      <c r="U3995">
        <v>34937</v>
      </c>
      <c r="V3995" t="s">
        <v>37</v>
      </c>
    </row>
    <row r="3996" spans="1:22">
      <c r="A3996" t="str">
        <f t="shared" si="699"/>
        <v>19/03/2026</v>
      </c>
      <c r="B3996" t="str">
        <f t="shared" si="696"/>
        <v>SAÍDA</v>
      </c>
      <c r="C3996" t="str">
        <f t="shared" si="697"/>
        <v>PIX</v>
      </c>
      <c r="D3996" t="str">
        <f>"34937"</f>
        <v>34937</v>
      </c>
      <c r="E3996" t="str">
        <f t="shared" si="700"/>
        <v>1</v>
      </c>
      <c r="F3996" t="str">
        <f t="shared" si="702"/>
        <v>COM</v>
      </c>
      <c r="G3996" t="str">
        <f>"WILIANA RODRIGUES E RODRIGUES (398)"</f>
        <v>WILIANA RODRIGUES E RODRIGUES (398)</v>
      </c>
      <c r="H3996" t="s">
        <v>1097</v>
      </c>
      <c r="I3996" t="str">
        <f t="shared" si="698"/>
        <v>19/03/2026</v>
      </c>
      <c r="J3996" t="str">
        <f t="shared" si="701"/>
        <v>16/03/2026</v>
      </c>
      <c r="K3996">
        <v>46100</v>
      </c>
      <c r="N3996">
        <v>109</v>
      </c>
      <c r="O3996" t="s">
        <v>27</v>
      </c>
      <c r="Q3996">
        <v>696</v>
      </c>
      <c r="R3996" t="str">
        <f>"FARMA &amp; FORMA (10296)"</f>
        <v>FARMA &amp; FORMA (10296)</v>
      </c>
      <c r="S3996" t="s">
        <v>37</v>
      </c>
      <c r="T3996">
        <v>31673</v>
      </c>
      <c r="U3996">
        <v>34937</v>
      </c>
      <c r="V3996" t="s">
        <v>37</v>
      </c>
    </row>
    <row r="3997" spans="1:22">
      <c r="A3997" t="str">
        <f t="shared" si="699"/>
        <v>19/03/2026</v>
      </c>
      <c r="B3997" t="str">
        <f t="shared" si="696"/>
        <v>SAÍDA</v>
      </c>
      <c r="C3997" t="str">
        <f t="shared" si="697"/>
        <v>PIX</v>
      </c>
      <c r="D3997" t="str">
        <f>"34939"</f>
        <v>34939</v>
      </c>
      <c r="E3997" t="str">
        <f t="shared" si="700"/>
        <v>1</v>
      </c>
      <c r="F3997" t="str">
        <f t="shared" si="702"/>
        <v>COM</v>
      </c>
      <c r="G3997" t="str">
        <f>"LUCAS EXPEDITO COUTO RODRIGUES (1365)"</f>
        <v>LUCAS EXPEDITO COUTO RODRIGUES (1365)</v>
      </c>
      <c r="H3997" t="str">
        <f>"Serv.Prest. 09/03/2026 a 15/03/2026 - PIX: CELULAR - CHAVE: (32) 99950-0526"</f>
        <v>Serv.Prest. 09/03/2026 a 15/03/2026 - PIX: CELULAR - CHAVE: (32) 99950-0526</v>
      </c>
      <c r="I3997" t="str">
        <f t="shared" si="698"/>
        <v>19/03/2026</v>
      </c>
      <c r="J3997" t="str">
        <f t="shared" si="701"/>
        <v>16/03/2026</v>
      </c>
      <c r="K3997" t="str">
        <f>("19/03/2026")</f>
        <v>19/03/2026</v>
      </c>
      <c r="L3997">
        <v>342</v>
      </c>
      <c r="M3997">
        <v>342</v>
      </c>
      <c r="N3997">
        <v>109</v>
      </c>
      <c r="O3997" t="str">
        <f>"PAGAMENTO DE ENTREGADORES"</f>
        <v>PAGAMENTO DE ENTREGADORES</v>
      </c>
      <c r="P3997">
        <v>342</v>
      </c>
      <c r="S3997" t="str">
        <f>"BANCO C6 (149)"</f>
        <v>BANCO C6 (149)</v>
      </c>
      <c r="T3997">
        <v>31674</v>
      </c>
      <c r="U3997">
        <v>34939</v>
      </c>
      <c r="V3997" t="s">
        <v>37</v>
      </c>
    </row>
    <row r="3998" spans="1:22">
      <c r="A3998" t="str">
        <f t="shared" si="699"/>
        <v>19/03/2026</v>
      </c>
      <c r="B3998" t="str">
        <f t="shared" si="696"/>
        <v>SAÍDA</v>
      </c>
      <c r="C3998" t="str">
        <f t="shared" si="697"/>
        <v>PIX</v>
      </c>
      <c r="D3998" t="str">
        <f>"34939"</f>
        <v>34939</v>
      </c>
      <c r="E3998" t="str">
        <f t="shared" si="700"/>
        <v>1</v>
      </c>
      <c r="F3998" t="str">
        <f t="shared" si="702"/>
        <v>COM</v>
      </c>
      <c r="G3998" t="str">
        <f>"LUCAS EXPEDITO COUTO RODRIGUES (1365)"</f>
        <v>LUCAS EXPEDITO COUTO RODRIGUES (1365)</v>
      </c>
      <c r="H3998" t="s">
        <v>1098</v>
      </c>
      <c r="I3998" t="str">
        <f t="shared" si="698"/>
        <v>19/03/2026</v>
      </c>
      <c r="J3998" t="str">
        <f t="shared" si="701"/>
        <v>16/03/2026</v>
      </c>
      <c r="K3998">
        <v>46100</v>
      </c>
      <c r="N3998">
        <v>109</v>
      </c>
      <c r="O3998" t="s">
        <v>27</v>
      </c>
      <c r="Q3998">
        <v>342</v>
      </c>
      <c r="R3998" t="str">
        <f>"ULTRA POPULAR  UBA 2 (10214)"</f>
        <v>ULTRA POPULAR  UBA 2 (10214)</v>
      </c>
      <c r="S3998" t="s">
        <v>37</v>
      </c>
      <c r="T3998">
        <v>31674</v>
      </c>
      <c r="U3998">
        <v>34939</v>
      </c>
      <c r="V3998" t="s">
        <v>37</v>
      </c>
    </row>
    <row r="3999" spans="1:22">
      <c r="A3999" t="str">
        <f t="shared" si="699"/>
        <v>19/03/2026</v>
      </c>
      <c r="B3999" t="str">
        <f t="shared" si="696"/>
        <v>SAÍDA</v>
      </c>
      <c r="C3999" t="str">
        <f t="shared" si="697"/>
        <v>PIX</v>
      </c>
      <c r="D3999" t="str">
        <f>"34940"</f>
        <v>34940</v>
      </c>
      <c r="E3999" t="str">
        <f t="shared" si="700"/>
        <v>1</v>
      </c>
      <c r="F3999" t="str">
        <f t="shared" si="702"/>
        <v>COM</v>
      </c>
      <c r="G3999" t="str">
        <f>"TALES SILVA MARIANO (431)"</f>
        <v>TALES SILVA MARIANO (431)</v>
      </c>
      <c r="H3999" t="str">
        <f>"Serv.Prest. 09/03/2026 a 15/03/2026 - PIX: CNPJ - CHAVE: 64.735.042/0001-53"</f>
        <v>Serv.Prest. 09/03/2026 a 15/03/2026 - PIX: CNPJ - CHAVE: 64.735.042/0001-53</v>
      </c>
      <c r="I3999" t="str">
        <f t="shared" si="698"/>
        <v>19/03/2026</v>
      </c>
      <c r="J3999" t="str">
        <f t="shared" ref="J3999:J4028" si="704">("16/03/2026")</f>
        <v>16/03/2026</v>
      </c>
      <c r="K3999" t="str">
        <f>("19/03/2026")</f>
        <v>19/03/2026</v>
      </c>
      <c r="L3999">
        <v>324</v>
      </c>
      <c r="M3999">
        <v>324</v>
      </c>
      <c r="N3999">
        <v>109</v>
      </c>
      <c r="O3999" t="str">
        <f>"PAGAMENTO DE ENTREGADORES"</f>
        <v>PAGAMENTO DE ENTREGADORES</v>
      </c>
      <c r="P3999">
        <v>324</v>
      </c>
      <c r="S3999" t="str">
        <f>"BANCO C6 (149)"</f>
        <v>BANCO C6 (149)</v>
      </c>
      <c r="T3999">
        <v>31675</v>
      </c>
      <c r="U3999">
        <v>34940</v>
      </c>
      <c r="V3999" t="s">
        <v>37</v>
      </c>
    </row>
    <row r="4000" spans="1:22">
      <c r="A4000" t="str">
        <f t="shared" si="699"/>
        <v>19/03/2026</v>
      </c>
      <c r="B4000" t="str">
        <f t="shared" si="696"/>
        <v>SAÍDA</v>
      </c>
      <c r="C4000" t="str">
        <f t="shared" si="697"/>
        <v>PIX</v>
      </c>
      <c r="D4000" t="str">
        <f>"34940"</f>
        <v>34940</v>
      </c>
      <c r="E4000" t="str">
        <f t="shared" si="700"/>
        <v>1</v>
      </c>
      <c r="F4000" t="str">
        <f t="shared" si="702"/>
        <v>COM</v>
      </c>
      <c r="G4000" t="str">
        <f>"TALES SILVA MARIANO (431)"</f>
        <v>TALES SILVA MARIANO (431)</v>
      </c>
      <c r="H4000" t="s">
        <v>1099</v>
      </c>
      <c r="I4000" t="str">
        <f t="shared" si="698"/>
        <v>19/03/2026</v>
      </c>
      <c r="J4000" t="str">
        <f t="shared" si="704"/>
        <v>16/03/2026</v>
      </c>
      <c r="K4000">
        <v>46100</v>
      </c>
      <c r="N4000">
        <v>109</v>
      </c>
      <c r="O4000" t="s">
        <v>27</v>
      </c>
      <c r="Q4000">
        <v>324</v>
      </c>
      <c r="R4000" t="str">
        <f>"ULTRA POPULAR  UBA 2 (10214)"</f>
        <v>ULTRA POPULAR  UBA 2 (10214)</v>
      </c>
      <c r="S4000" t="s">
        <v>37</v>
      </c>
      <c r="T4000">
        <v>31675</v>
      </c>
      <c r="U4000">
        <v>34940</v>
      </c>
      <c r="V4000" t="s">
        <v>37</v>
      </c>
    </row>
    <row r="4001" spans="1:22">
      <c r="A4001" t="str">
        <f t="shared" si="699"/>
        <v>19/03/2026</v>
      </c>
      <c r="B4001" t="str">
        <f t="shared" si="696"/>
        <v>SAÍDA</v>
      </c>
      <c r="C4001" t="str">
        <f t="shared" si="697"/>
        <v>PIX</v>
      </c>
      <c r="D4001" t="str">
        <f>"34942"</f>
        <v>34942</v>
      </c>
      <c r="E4001" t="str">
        <f t="shared" si="700"/>
        <v>1</v>
      </c>
      <c r="F4001" t="str">
        <f t="shared" si="702"/>
        <v>COM</v>
      </c>
      <c r="G4001" t="str">
        <f>"CLAUDIO DOS SANTOS (507)"</f>
        <v>CLAUDIO DOS SANTOS (507)</v>
      </c>
      <c r="H4001" t="str">
        <f>"Serv.Prest. 09/03/2026 a 15/03/2026 - PIX: E-MAIL - CHAVE: claudioverdinho2009@hotmail.com"</f>
        <v>Serv.Prest. 09/03/2026 a 15/03/2026 - PIX: E-MAIL - CHAVE: claudioverdinho2009@hotmail.com</v>
      </c>
      <c r="I4001" t="str">
        <f t="shared" si="698"/>
        <v>19/03/2026</v>
      </c>
      <c r="J4001" t="str">
        <f t="shared" si="704"/>
        <v>16/03/2026</v>
      </c>
      <c r="K4001" t="str">
        <f>("19/03/2026")</f>
        <v>19/03/2026</v>
      </c>
      <c r="L4001">
        <v>134</v>
      </c>
      <c r="M4001">
        <v>134</v>
      </c>
      <c r="N4001">
        <v>109</v>
      </c>
      <c r="O4001" t="str">
        <f>"PAGAMENTO DE ENTREGADORES"</f>
        <v>PAGAMENTO DE ENTREGADORES</v>
      </c>
      <c r="P4001">
        <v>134</v>
      </c>
      <c r="S4001" t="str">
        <f>"BANCO C6 (149)"</f>
        <v>BANCO C6 (149)</v>
      </c>
      <c r="T4001">
        <v>31676</v>
      </c>
      <c r="U4001">
        <v>34942</v>
      </c>
      <c r="V4001" t="s">
        <v>37</v>
      </c>
    </row>
    <row r="4002" spans="1:22">
      <c r="A4002" t="str">
        <f t="shared" si="699"/>
        <v>19/03/2026</v>
      </c>
      <c r="B4002" t="str">
        <f t="shared" si="696"/>
        <v>SAÍDA</v>
      </c>
      <c r="C4002" t="str">
        <f t="shared" si="697"/>
        <v>PIX</v>
      </c>
      <c r="D4002" t="str">
        <f>"34942"</f>
        <v>34942</v>
      </c>
      <c r="E4002" t="str">
        <f t="shared" si="700"/>
        <v>1</v>
      </c>
      <c r="F4002" t="str">
        <f t="shared" si="702"/>
        <v>COM</v>
      </c>
      <c r="G4002" t="str">
        <f>"CLAUDIO DOS SANTOS (507)"</f>
        <v>CLAUDIO DOS SANTOS (507)</v>
      </c>
      <c r="H4002" t="s">
        <v>844</v>
      </c>
      <c r="I4002" t="str">
        <f t="shared" si="698"/>
        <v>19/03/2026</v>
      </c>
      <c r="J4002" t="str">
        <f t="shared" si="704"/>
        <v>16/03/2026</v>
      </c>
      <c r="K4002">
        <v>46100</v>
      </c>
      <c r="N4002">
        <v>109</v>
      </c>
      <c r="O4002" t="s">
        <v>27</v>
      </c>
      <c r="Q4002">
        <v>134</v>
      </c>
      <c r="R4002" t="str">
        <f>"JAL FARMACIA E DROGARIA LJ 2 (10138)"</f>
        <v>JAL FARMACIA E DROGARIA LJ 2 (10138)</v>
      </c>
      <c r="S4002" t="s">
        <v>37</v>
      </c>
      <c r="T4002">
        <v>31676</v>
      </c>
      <c r="U4002">
        <v>34942</v>
      </c>
      <c r="V4002" t="s">
        <v>37</v>
      </c>
    </row>
    <row r="4003" spans="1:22">
      <c r="A4003" t="str">
        <f t="shared" si="699"/>
        <v>19/03/2026</v>
      </c>
      <c r="B4003" t="str">
        <f t="shared" si="696"/>
        <v>SAÍDA</v>
      </c>
      <c r="C4003" t="str">
        <f t="shared" si="697"/>
        <v>PIX</v>
      </c>
      <c r="D4003" t="str">
        <f>"34943"</f>
        <v>34943</v>
      </c>
      <c r="E4003" t="str">
        <f t="shared" si="700"/>
        <v>1</v>
      </c>
      <c r="F4003" t="str">
        <f t="shared" si="702"/>
        <v>COM</v>
      </c>
      <c r="G4003" t="str">
        <f>"JESSICA BRAHOLKA (837)"</f>
        <v>JESSICA BRAHOLKA (837)</v>
      </c>
      <c r="H4003" t="str">
        <f>"Serv.Prest. 09/03/2026 a 15/03/2026 - PIX: CPF - CHAVE: 124.575.099-20"</f>
        <v>Serv.Prest. 09/03/2026 a 15/03/2026 - PIX: CPF - CHAVE: 124.575.099-20</v>
      </c>
      <c r="I4003" t="str">
        <f t="shared" si="698"/>
        <v>19/03/2026</v>
      </c>
      <c r="J4003" t="str">
        <f t="shared" si="704"/>
        <v>16/03/2026</v>
      </c>
      <c r="K4003" t="str">
        <f>("19/03/2026")</f>
        <v>19/03/2026</v>
      </c>
      <c r="L4003">
        <v>658</v>
      </c>
      <c r="M4003">
        <v>658</v>
      </c>
      <c r="N4003">
        <v>109</v>
      </c>
      <c r="O4003" t="str">
        <f>"PAGAMENTO DE ENTREGADORES"</f>
        <v>PAGAMENTO DE ENTREGADORES</v>
      </c>
      <c r="P4003">
        <v>658</v>
      </c>
      <c r="S4003" t="str">
        <f>"BANCO C6 (149)"</f>
        <v>BANCO C6 (149)</v>
      </c>
      <c r="T4003">
        <v>31677</v>
      </c>
      <c r="U4003">
        <v>34943</v>
      </c>
      <c r="V4003" t="s">
        <v>37</v>
      </c>
    </row>
    <row r="4004" spans="1:22">
      <c r="A4004" t="str">
        <f t="shared" si="699"/>
        <v>19/03/2026</v>
      </c>
      <c r="B4004" t="str">
        <f t="shared" si="696"/>
        <v>SAÍDA</v>
      </c>
      <c r="C4004" t="str">
        <f t="shared" si="697"/>
        <v>PIX</v>
      </c>
      <c r="D4004" t="str">
        <f>"34943"</f>
        <v>34943</v>
      </c>
      <c r="E4004" t="str">
        <f t="shared" si="700"/>
        <v>1</v>
      </c>
      <c r="F4004" t="str">
        <f t="shared" si="702"/>
        <v>COM</v>
      </c>
      <c r="G4004" t="str">
        <f>"JESSICA BRAHOLKA (837)"</f>
        <v>JESSICA BRAHOLKA (837)</v>
      </c>
      <c r="H4004" t="s">
        <v>988</v>
      </c>
      <c r="I4004" t="str">
        <f t="shared" si="698"/>
        <v>19/03/2026</v>
      </c>
      <c r="J4004" t="str">
        <f t="shared" si="704"/>
        <v>16/03/2026</v>
      </c>
      <c r="K4004">
        <v>46100</v>
      </c>
      <c r="N4004">
        <v>109</v>
      </c>
      <c r="O4004" t="s">
        <v>27</v>
      </c>
      <c r="Q4004">
        <v>658</v>
      </c>
      <c r="R4004" t="str">
        <f>"JAL FARMACIA E DROGARIA LJ 2 (10138)"</f>
        <v>JAL FARMACIA E DROGARIA LJ 2 (10138)</v>
      </c>
      <c r="S4004" t="s">
        <v>37</v>
      </c>
      <c r="T4004">
        <v>31677</v>
      </c>
      <c r="U4004">
        <v>34943</v>
      </c>
      <c r="V4004" t="s">
        <v>37</v>
      </c>
    </row>
    <row r="4005" spans="1:22">
      <c r="A4005" t="str">
        <f t="shared" si="699"/>
        <v>19/03/2026</v>
      </c>
      <c r="B4005" t="str">
        <f t="shared" si="696"/>
        <v>SAÍDA</v>
      </c>
      <c r="C4005" t="str">
        <f t="shared" si="697"/>
        <v>PIX</v>
      </c>
      <c r="D4005" t="str">
        <f>"34944"</f>
        <v>34944</v>
      </c>
      <c r="E4005" t="str">
        <f t="shared" si="700"/>
        <v>1</v>
      </c>
      <c r="F4005" t="str">
        <f t="shared" si="702"/>
        <v>COM</v>
      </c>
      <c r="G4005" t="str">
        <f>"WADSON PABLO PEREIRA GALDINO DA SILVA (1339)"</f>
        <v>WADSON PABLO PEREIRA GALDINO DA SILVA (1339)</v>
      </c>
      <c r="H4005" t="str">
        <f>"Serv.Prest. 09/03/2026 a 15/03/2026 - PIX: CPF - CHAVE: 114.806.766-32"</f>
        <v>Serv.Prest. 09/03/2026 a 15/03/2026 - PIX: CPF - CHAVE: 114.806.766-32</v>
      </c>
      <c r="I4005" t="str">
        <f t="shared" si="698"/>
        <v>19/03/2026</v>
      </c>
      <c r="J4005" t="str">
        <f t="shared" si="704"/>
        <v>16/03/2026</v>
      </c>
      <c r="K4005" t="str">
        <f>("19/03/2026")</f>
        <v>19/03/2026</v>
      </c>
      <c r="L4005">
        <v>525</v>
      </c>
      <c r="M4005">
        <v>525</v>
      </c>
      <c r="N4005">
        <v>109</v>
      </c>
      <c r="O4005" t="str">
        <f>"PAGAMENTO DE ENTREGADORES"</f>
        <v>PAGAMENTO DE ENTREGADORES</v>
      </c>
      <c r="P4005">
        <v>525</v>
      </c>
      <c r="S4005" t="str">
        <f>"BANCO C6 (149)"</f>
        <v>BANCO C6 (149)</v>
      </c>
      <c r="T4005">
        <v>31678</v>
      </c>
      <c r="U4005">
        <v>34944</v>
      </c>
      <c r="V4005" t="s">
        <v>37</v>
      </c>
    </row>
    <row r="4006" spans="1:22">
      <c r="A4006" t="str">
        <f t="shared" si="699"/>
        <v>19/03/2026</v>
      </c>
      <c r="B4006" t="str">
        <f t="shared" si="696"/>
        <v>SAÍDA</v>
      </c>
      <c r="C4006" t="str">
        <f t="shared" si="697"/>
        <v>PIX</v>
      </c>
      <c r="D4006" t="str">
        <f>"34944"</f>
        <v>34944</v>
      </c>
      <c r="E4006" t="str">
        <f t="shared" si="700"/>
        <v>1</v>
      </c>
      <c r="F4006" t="str">
        <f t="shared" si="702"/>
        <v>COM</v>
      </c>
      <c r="G4006" t="str">
        <f>"WADSON PABLO PEREIRA GALDINO DA SILVA (1339)"</f>
        <v>WADSON PABLO PEREIRA GALDINO DA SILVA (1339)</v>
      </c>
      <c r="H4006" t="s">
        <v>1100</v>
      </c>
      <c r="I4006" t="str">
        <f t="shared" si="698"/>
        <v>19/03/2026</v>
      </c>
      <c r="J4006" t="str">
        <f t="shared" si="704"/>
        <v>16/03/2026</v>
      </c>
      <c r="K4006">
        <v>46100</v>
      </c>
      <c r="N4006">
        <v>109</v>
      </c>
      <c r="O4006" t="s">
        <v>27</v>
      </c>
      <c r="Q4006">
        <v>525</v>
      </c>
      <c r="R4006" t="str">
        <f>"JAL FARMACIA E DROGARIA LJ 2 (10138)"</f>
        <v>JAL FARMACIA E DROGARIA LJ 2 (10138)</v>
      </c>
      <c r="S4006" t="s">
        <v>37</v>
      </c>
      <c r="T4006">
        <v>31678</v>
      </c>
      <c r="U4006">
        <v>34944</v>
      </c>
      <c r="V4006" t="s">
        <v>37</v>
      </c>
    </row>
    <row r="4007" spans="1:22">
      <c r="A4007" t="str">
        <f t="shared" si="699"/>
        <v>19/03/2026</v>
      </c>
      <c r="B4007" t="str">
        <f t="shared" si="696"/>
        <v>SAÍDA</v>
      </c>
      <c r="C4007" t="str">
        <f t="shared" si="697"/>
        <v>PIX</v>
      </c>
      <c r="D4007" t="str">
        <f>"34946"</f>
        <v>34946</v>
      </c>
      <c r="E4007" t="str">
        <f t="shared" si="700"/>
        <v>1</v>
      </c>
      <c r="F4007" t="str">
        <f t="shared" si="702"/>
        <v>COM</v>
      </c>
      <c r="G4007" t="str">
        <f>"CLAUDIO DOS SANTOS (507)"</f>
        <v>CLAUDIO DOS SANTOS (507)</v>
      </c>
      <c r="H4007" t="str">
        <f>"Serv.Prest. 09/03/2026 a 15/03/2026 - PIX: E-MAIL - CHAVE: claudioverdinho2009@hotmail.com"</f>
        <v>Serv.Prest. 09/03/2026 a 15/03/2026 - PIX: E-MAIL - CHAVE: claudioverdinho2009@hotmail.com</v>
      </c>
      <c r="I4007" t="str">
        <f t="shared" si="698"/>
        <v>19/03/2026</v>
      </c>
      <c r="J4007" t="str">
        <f t="shared" si="704"/>
        <v>16/03/2026</v>
      </c>
      <c r="K4007" t="str">
        <f>("19/03/2026")</f>
        <v>19/03/2026</v>
      </c>
      <c r="L4007">
        <v>1202</v>
      </c>
      <c r="M4007">
        <v>1202</v>
      </c>
      <c r="N4007">
        <v>109</v>
      </c>
      <c r="O4007" t="str">
        <f>"PAGAMENTO DE ENTREGADORES"</f>
        <v>PAGAMENTO DE ENTREGADORES</v>
      </c>
      <c r="P4007">
        <v>1202</v>
      </c>
      <c r="S4007" t="str">
        <f>"BANCO C6 (149)"</f>
        <v>BANCO C6 (149)</v>
      </c>
      <c r="T4007">
        <v>31679</v>
      </c>
      <c r="U4007">
        <v>34946</v>
      </c>
      <c r="V4007" t="s">
        <v>37</v>
      </c>
    </row>
    <row r="4008" spans="1:22">
      <c r="A4008" t="str">
        <f t="shared" si="699"/>
        <v>19/03/2026</v>
      </c>
      <c r="B4008" t="str">
        <f t="shared" si="696"/>
        <v>SAÍDA</v>
      </c>
      <c r="C4008" t="str">
        <f t="shared" si="697"/>
        <v>PIX</v>
      </c>
      <c r="D4008" t="str">
        <f>"34946"</f>
        <v>34946</v>
      </c>
      <c r="E4008" t="str">
        <f t="shared" si="700"/>
        <v>1</v>
      </c>
      <c r="F4008" t="str">
        <f t="shared" si="702"/>
        <v>COM</v>
      </c>
      <c r="G4008" t="str">
        <f>"CLAUDIO DOS SANTOS (507)"</f>
        <v>CLAUDIO DOS SANTOS (507)</v>
      </c>
      <c r="H4008" t="s">
        <v>844</v>
      </c>
      <c r="I4008" t="str">
        <f t="shared" si="698"/>
        <v>19/03/2026</v>
      </c>
      <c r="J4008" t="str">
        <f t="shared" si="704"/>
        <v>16/03/2026</v>
      </c>
      <c r="K4008">
        <v>46100</v>
      </c>
      <c r="N4008">
        <v>109</v>
      </c>
      <c r="O4008" t="s">
        <v>27</v>
      </c>
      <c r="Q4008">
        <v>1202</v>
      </c>
      <c r="R4008" t="str">
        <f>"JAL FARMACIA E DROGARIA LJ 1 (10137)"</f>
        <v>JAL FARMACIA E DROGARIA LJ 1 (10137)</v>
      </c>
      <c r="S4008" t="s">
        <v>37</v>
      </c>
      <c r="T4008">
        <v>31679</v>
      </c>
      <c r="U4008">
        <v>34946</v>
      </c>
      <c r="V4008" t="s">
        <v>37</v>
      </c>
    </row>
    <row r="4009" spans="1:22">
      <c r="A4009" t="str">
        <f t="shared" si="699"/>
        <v>19/03/2026</v>
      </c>
      <c r="B4009" t="str">
        <f t="shared" ref="B4009:B4072" si="705">"SAÍDA"</f>
        <v>SAÍDA</v>
      </c>
      <c r="C4009" t="str">
        <f t="shared" ref="C4009:C4072" si="706">"PIX"</f>
        <v>PIX</v>
      </c>
      <c r="D4009" t="str">
        <f>"34947"</f>
        <v>34947</v>
      </c>
      <c r="E4009" t="str">
        <f t="shared" si="700"/>
        <v>1</v>
      </c>
      <c r="F4009" t="str">
        <f t="shared" si="702"/>
        <v>COM</v>
      </c>
      <c r="G4009" t="str">
        <f>"JESSICA BRAHOLKA (837)"</f>
        <v>JESSICA BRAHOLKA (837)</v>
      </c>
      <c r="H4009" t="str">
        <f>"Serv.Prest. 09/03/2026 a 15/03/2026 - PIX: CPF - CHAVE: 124.575.099-20"</f>
        <v>Serv.Prest. 09/03/2026 a 15/03/2026 - PIX: CPF - CHAVE: 124.575.099-20</v>
      </c>
      <c r="I4009" t="str">
        <f t="shared" ref="I4009:I4072" si="707">("19/03/2026")</f>
        <v>19/03/2026</v>
      </c>
      <c r="J4009" t="str">
        <f t="shared" si="704"/>
        <v>16/03/2026</v>
      </c>
      <c r="K4009" t="str">
        <f>("19/03/2026")</f>
        <v>19/03/2026</v>
      </c>
      <c r="L4009">
        <v>481</v>
      </c>
      <c r="M4009">
        <v>481</v>
      </c>
      <c r="N4009">
        <v>109</v>
      </c>
      <c r="O4009" t="str">
        <f>"PAGAMENTO DE ENTREGADORES"</f>
        <v>PAGAMENTO DE ENTREGADORES</v>
      </c>
      <c r="P4009">
        <v>481</v>
      </c>
      <c r="S4009" t="str">
        <f>"BANCO C6 (149)"</f>
        <v>BANCO C6 (149)</v>
      </c>
      <c r="T4009">
        <v>31680</v>
      </c>
      <c r="U4009">
        <v>34947</v>
      </c>
      <c r="V4009" t="s">
        <v>37</v>
      </c>
    </row>
    <row r="4010" spans="1:22">
      <c r="A4010" t="str">
        <f t="shared" si="699"/>
        <v>19/03/2026</v>
      </c>
      <c r="B4010" t="str">
        <f t="shared" si="705"/>
        <v>SAÍDA</v>
      </c>
      <c r="C4010" t="str">
        <f t="shared" si="706"/>
        <v>PIX</v>
      </c>
      <c r="D4010" t="str">
        <f>"34947"</f>
        <v>34947</v>
      </c>
      <c r="E4010" t="str">
        <f t="shared" si="700"/>
        <v>1</v>
      </c>
      <c r="F4010" t="str">
        <f t="shared" si="702"/>
        <v>COM</v>
      </c>
      <c r="G4010" t="str">
        <f>"JESSICA BRAHOLKA (837)"</f>
        <v>JESSICA BRAHOLKA (837)</v>
      </c>
      <c r="H4010" t="s">
        <v>988</v>
      </c>
      <c r="I4010" t="str">
        <f t="shared" si="707"/>
        <v>19/03/2026</v>
      </c>
      <c r="J4010" t="str">
        <f t="shared" si="704"/>
        <v>16/03/2026</v>
      </c>
      <c r="K4010">
        <v>46100</v>
      </c>
      <c r="N4010">
        <v>109</v>
      </c>
      <c r="O4010" t="s">
        <v>27</v>
      </c>
      <c r="Q4010">
        <v>481</v>
      </c>
      <c r="R4010" t="str">
        <f>"JAL FARMACIA E DROGARIA LJ 1 (10137)"</f>
        <v>JAL FARMACIA E DROGARIA LJ 1 (10137)</v>
      </c>
      <c r="S4010" t="s">
        <v>37</v>
      </c>
      <c r="T4010">
        <v>31680</v>
      </c>
      <c r="U4010">
        <v>34947</v>
      </c>
      <c r="V4010" t="s">
        <v>37</v>
      </c>
    </row>
    <row r="4011" spans="1:22">
      <c r="A4011" t="str">
        <f t="shared" si="699"/>
        <v>19/03/2026</v>
      </c>
      <c r="B4011" t="str">
        <f t="shared" si="705"/>
        <v>SAÍDA</v>
      </c>
      <c r="C4011" t="str">
        <f t="shared" si="706"/>
        <v>PIX</v>
      </c>
      <c r="D4011" t="str">
        <f>"34948"</f>
        <v>34948</v>
      </c>
      <c r="E4011" t="str">
        <f t="shared" si="700"/>
        <v>1</v>
      </c>
      <c r="F4011" t="str">
        <f t="shared" si="702"/>
        <v>COM</v>
      </c>
      <c r="G4011" t="str">
        <f>"WADSON PABLO PEREIRA GALDINO DA SILVA (1339)"</f>
        <v>WADSON PABLO PEREIRA GALDINO DA SILVA (1339)</v>
      </c>
      <c r="H4011" t="str">
        <f>"Serv.Prest. 09/03/2026 a 15/03/2026 - PIX: CPF - CHAVE: 114.806.766-32"</f>
        <v>Serv.Prest. 09/03/2026 a 15/03/2026 - PIX: CPF - CHAVE: 114.806.766-32</v>
      </c>
      <c r="I4011" t="str">
        <f t="shared" si="707"/>
        <v>19/03/2026</v>
      </c>
      <c r="J4011" t="str">
        <f t="shared" si="704"/>
        <v>16/03/2026</v>
      </c>
      <c r="K4011" t="str">
        <f>("19/03/2026")</f>
        <v>19/03/2026</v>
      </c>
      <c r="L4011">
        <v>275</v>
      </c>
      <c r="M4011">
        <v>275</v>
      </c>
      <c r="N4011">
        <v>109</v>
      </c>
      <c r="O4011" t="str">
        <f>"PAGAMENTO DE ENTREGADORES"</f>
        <v>PAGAMENTO DE ENTREGADORES</v>
      </c>
      <c r="P4011">
        <v>275</v>
      </c>
      <c r="S4011" t="str">
        <f>"BANCO C6 (149)"</f>
        <v>BANCO C6 (149)</v>
      </c>
      <c r="T4011">
        <v>31681</v>
      </c>
      <c r="U4011">
        <v>34948</v>
      </c>
      <c r="V4011" t="s">
        <v>37</v>
      </c>
    </row>
    <row r="4012" spans="1:22">
      <c r="A4012" t="str">
        <f t="shared" si="699"/>
        <v>19/03/2026</v>
      </c>
      <c r="B4012" t="str">
        <f t="shared" si="705"/>
        <v>SAÍDA</v>
      </c>
      <c r="C4012" t="str">
        <f t="shared" si="706"/>
        <v>PIX</v>
      </c>
      <c r="D4012" t="str">
        <f>"34948"</f>
        <v>34948</v>
      </c>
      <c r="E4012" t="str">
        <f t="shared" si="700"/>
        <v>1</v>
      </c>
      <c r="F4012" t="str">
        <f t="shared" si="702"/>
        <v>COM</v>
      </c>
      <c r="G4012" t="str">
        <f>"WADSON PABLO PEREIRA GALDINO DA SILVA (1339)"</f>
        <v>WADSON PABLO PEREIRA GALDINO DA SILVA (1339)</v>
      </c>
      <c r="H4012" t="s">
        <v>1100</v>
      </c>
      <c r="I4012" t="str">
        <f t="shared" si="707"/>
        <v>19/03/2026</v>
      </c>
      <c r="J4012" t="str">
        <f t="shared" si="704"/>
        <v>16/03/2026</v>
      </c>
      <c r="K4012">
        <v>46100</v>
      </c>
      <c r="N4012">
        <v>109</v>
      </c>
      <c r="O4012" t="s">
        <v>27</v>
      </c>
      <c r="Q4012">
        <v>275</v>
      </c>
      <c r="R4012" t="str">
        <f>"JAL FARMACIA E DROGARIA LJ 1 (10137)"</f>
        <v>JAL FARMACIA E DROGARIA LJ 1 (10137)</v>
      </c>
      <c r="S4012" t="s">
        <v>37</v>
      </c>
      <c r="T4012">
        <v>31681</v>
      </c>
      <c r="U4012">
        <v>34948</v>
      </c>
      <c r="V4012" t="s">
        <v>37</v>
      </c>
    </row>
    <row r="4013" spans="1:22">
      <c r="A4013" t="str">
        <f t="shared" si="699"/>
        <v>19/03/2026</v>
      </c>
      <c r="B4013" t="str">
        <f t="shared" si="705"/>
        <v>SAÍDA</v>
      </c>
      <c r="C4013" t="str">
        <f t="shared" si="706"/>
        <v>PIX</v>
      </c>
      <c r="D4013" t="str">
        <f>"34969"</f>
        <v>34969</v>
      </c>
      <c r="E4013" t="str">
        <f t="shared" si="700"/>
        <v>1</v>
      </c>
      <c r="F4013" t="str">
        <f t="shared" si="702"/>
        <v>COM</v>
      </c>
      <c r="G4013" t="str">
        <f>"JOSE CARLOS ALEXANDRE (1315)"</f>
        <v>JOSE CARLOS ALEXANDRE (1315)</v>
      </c>
      <c r="H4013" t="str">
        <f>"Serv.Prest. 09/03/2026 a 15/03/2026 - PIX: CPF - CHAVE: 026.311.016-85"</f>
        <v>Serv.Prest. 09/03/2026 a 15/03/2026 - PIX: CPF - CHAVE: 026.311.016-85</v>
      </c>
      <c r="I4013" t="str">
        <f t="shared" si="707"/>
        <v>19/03/2026</v>
      </c>
      <c r="J4013" t="str">
        <f t="shared" si="704"/>
        <v>16/03/2026</v>
      </c>
      <c r="K4013" t="str">
        <f>("19/03/2026")</f>
        <v>19/03/2026</v>
      </c>
      <c r="L4013">
        <v>392</v>
      </c>
      <c r="M4013">
        <v>392</v>
      </c>
      <c r="N4013">
        <v>109</v>
      </c>
      <c r="O4013" t="str">
        <f>"PAGAMENTO DE ENTREGADORES"</f>
        <v>PAGAMENTO DE ENTREGADORES</v>
      </c>
      <c r="P4013">
        <v>392</v>
      </c>
      <c r="S4013" t="str">
        <f>"BANCO C6 (149)"</f>
        <v>BANCO C6 (149)</v>
      </c>
      <c r="T4013">
        <v>31682</v>
      </c>
      <c r="U4013">
        <v>34969</v>
      </c>
      <c r="V4013" t="s">
        <v>37</v>
      </c>
    </row>
    <row r="4014" spans="1:22">
      <c r="A4014" t="str">
        <f t="shared" si="699"/>
        <v>19/03/2026</v>
      </c>
      <c r="B4014" t="str">
        <f t="shared" si="705"/>
        <v>SAÍDA</v>
      </c>
      <c r="C4014" t="str">
        <f t="shared" si="706"/>
        <v>PIX</v>
      </c>
      <c r="D4014" t="str">
        <f>"34969"</f>
        <v>34969</v>
      </c>
      <c r="E4014" t="str">
        <f t="shared" si="700"/>
        <v>1</v>
      </c>
      <c r="F4014" t="str">
        <f t="shared" si="702"/>
        <v>COM</v>
      </c>
      <c r="G4014" t="str">
        <f>"JOSE CARLOS ALEXANDRE (1315)"</f>
        <v>JOSE CARLOS ALEXANDRE (1315)</v>
      </c>
      <c r="H4014" t="s">
        <v>902</v>
      </c>
      <c r="I4014" t="str">
        <f t="shared" si="707"/>
        <v>19/03/2026</v>
      </c>
      <c r="J4014" t="str">
        <f t="shared" si="704"/>
        <v>16/03/2026</v>
      </c>
      <c r="K4014">
        <v>46100</v>
      </c>
      <c r="N4014">
        <v>109</v>
      </c>
      <c r="O4014" t="s">
        <v>27</v>
      </c>
      <c r="Q4014">
        <v>392</v>
      </c>
      <c r="R4014" t="str">
        <f>"LBL FARMACIA LTDA (10189)"</f>
        <v>LBL FARMACIA LTDA (10189)</v>
      </c>
      <c r="S4014" t="s">
        <v>37</v>
      </c>
      <c r="T4014">
        <v>31682</v>
      </c>
      <c r="U4014">
        <v>34969</v>
      </c>
      <c r="V4014" t="s">
        <v>37</v>
      </c>
    </row>
    <row r="4015" spans="1:22">
      <c r="A4015" t="str">
        <f t="shared" si="699"/>
        <v>19/03/2026</v>
      </c>
      <c r="B4015" t="str">
        <f t="shared" si="705"/>
        <v>SAÍDA</v>
      </c>
      <c r="C4015" t="str">
        <f t="shared" si="706"/>
        <v>PIX</v>
      </c>
      <c r="D4015" t="str">
        <f>"34971"</f>
        <v>34971</v>
      </c>
      <c r="E4015" t="str">
        <f t="shared" si="700"/>
        <v>1</v>
      </c>
      <c r="F4015" t="str">
        <f t="shared" si="702"/>
        <v>COM</v>
      </c>
      <c r="G4015" t="str">
        <f>"AMANDA LUCIO FERNANDES (1138)"</f>
        <v>AMANDA LUCIO FERNANDES (1138)</v>
      </c>
      <c r="H4015" t="str">
        <f>"Serv.Prest. 09/03/2026 a 15/03/2026 - PIX: CELULAR - CHAVE: (28) 99904-4082"</f>
        <v>Serv.Prest. 09/03/2026 a 15/03/2026 - PIX: CELULAR - CHAVE: (28) 99904-4082</v>
      </c>
      <c r="I4015" t="str">
        <f t="shared" si="707"/>
        <v>19/03/2026</v>
      </c>
      <c r="J4015" t="str">
        <f t="shared" si="704"/>
        <v>16/03/2026</v>
      </c>
      <c r="K4015" t="str">
        <f>("19/03/2026")</f>
        <v>19/03/2026</v>
      </c>
      <c r="L4015">
        <v>795</v>
      </c>
      <c r="M4015">
        <v>795</v>
      </c>
      <c r="N4015">
        <v>109</v>
      </c>
      <c r="O4015" t="str">
        <f>"PAGAMENTO DE ENTREGADORES"</f>
        <v>PAGAMENTO DE ENTREGADORES</v>
      </c>
      <c r="P4015">
        <v>795</v>
      </c>
      <c r="S4015" t="str">
        <f>"BANCO C6 (149)"</f>
        <v>BANCO C6 (149)</v>
      </c>
      <c r="T4015">
        <v>31683</v>
      </c>
      <c r="U4015">
        <v>34971</v>
      </c>
      <c r="V4015" t="s">
        <v>37</v>
      </c>
    </row>
    <row r="4016" spans="1:22">
      <c r="A4016" t="str">
        <f t="shared" ref="A4016:A4079" si="708">("19/03/2026")</f>
        <v>19/03/2026</v>
      </c>
      <c r="B4016" t="str">
        <f t="shared" si="705"/>
        <v>SAÍDA</v>
      </c>
      <c r="C4016" t="str">
        <f t="shared" si="706"/>
        <v>PIX</v>
      </c>
      <c r="D4016" t="str">
        <f>"34971"</f>
        <v>34971</v>
      </c>
      <c r="E4016" t="str">
        <f t="shared" si="700"/>
        <v>1</v>
      </c>
      <c r="F4016" t="str">
        <f t="shared" si="702"/>
        <v>COM</v>
      </c>
      <c r="G4016" t="str">
        <f>"AMANDA LUCIO FERNANDES (1138)"</f>
        <v>AMANDA LUCIO FERNANDES (1138)</v>
      </c>
      <c r="H4016" t="s">
        <v>923</v>
      </c>
      <c r="I4016" t="str">
        <f t="shared" si="707"/>
        <v>19/03/2026</v>
      </c>
      <c r="J4016" t="str">
        <f t="shared" si="704"/>
        <v>16/03/2026</v>
      </c>
      <c r="K4016">
        <v>46100</v>
      </c>
      <c r="N4016">
        <v>109</v>
      </c>
      <c r="O4016" t="s">
        <v>27</v>
      </c>
      <c r="Q4016">
        <v>795</v>
      </c>
      <c r="R4016" t="str">
        <f>"LBL FARMACIA LTDA FILIAL (10192)"</f>
        <v>LBL FARMACIA LTDA FILIAL (10192)</v>
      </c>
      <c r="S4016" t="s">
        <v>37</v>
      </c>
      <c r="T4016">
        <v>31683</v>
      </c>
      <c r="U4016">
        <v>34971</v>
      </c>
      <c r="V4016" t="s">
        <v>37</v>
      </c>
    </row>
    <row r="4017" spans="1:22">
      <c r="A4017" t="str">
        <f t="shared" si="708"/>
        <v>19/03/2026</v>
      </c>
      <c r="B4017" t="str">
        <f t="shared" si="705"/>
        <v>SAÍDA</v>
      </c>
      <c r="C4017" t="str">
        <f t="shared" si="706"/>
        <v>PIX</v>
      </c>
      <c r="D4017" t="str">
        <f>"34972"</f>
        <v>34972</v>
      </c>
      <c r="E4017" t="str">
        <f t="shared" si="700"/>
        <v>1</v>
      </c>
      <c r="F4017" t="str">
        <f t="shared" si="702"/>
        <v>COM</v>
      </c>
      <c r="G4017" t="str">
        <f>"YAN FILIPUTI CORA (926)"</f>
        <v>YAN FILIPUTI CORA (926)</v>
      </c>
      <c r="H4017" t="str">
        <f>"Serv.Prest. 09/03/2026 a 15/03/2026 - PIX: CELULAR - CHAVE: (28) 98816-4170"</f>
        <v>Serv.Prest. 09/03/2026 a 15/03/2026 - PIX: CELULAR - CHAVE: (28) 98816-4170</v>
      </c>
      <c r="I4017" t="str">
        <f t="shared" si="707"/>
        <v>19/03/2026</v>
      </c>
      <c r="J4017" t="str">
        <f t="shared" si="704"/>
        <v>16/03/2026</v>
      </c>
      <c r="K4017" t="str">
        <f>("19/03/2026")</f>
        <v>19/03/2026</v>
      </c>
      <c r="L4017">
        <v>1000</v>
      </c>
      <c r="M4017">
        <v>800</v>
      </c>
      <c r="N4017">
        <v>109</v>
      </c>
      <c r="O4017" t="str">
        <f>"PAGAMENTO DE ENTREGADORES"</f>
        <v>PAGAMENTO DE ENTREGADORES</v>
      </c>
      <c r="P4017">
        <v>800</v>
      </c>
      <c r="S4017" t="str">
        <f>"BANCO C6 (149)"</f>
        <v>BANCO C6 (149)</v>
      </c>
      <c r="T4017">
        <v>31684</v>
      </c>
      <c r="U4017">
        <v>34972</v>
      </c>
      <c r="V4017" t="s">
        <v>37</v>
      </c>
    </row>
    <row r="4018" spans="1:22">
      <c r="A4018" t="str">
        <f t="shared" si="708"/>
        <v>19/03/2026</v>
      </c>
      <c r="B4018" t="str">
        <f t="shared" si="705"/>
        <v>SAÍDA</v>
      </c>
      <c r="C4018" t="str">
        <f t="shared" si="706"/>
        <v>PIX</v>
      </c>
      <c r="D4018" t="str">
        <f>"34972"</f>
        <v>34972</v>
      </c>
      <c r="E4018" t="str">
        <f t="shared" si="700"/>
        <v>1</v>
      </c>
      <c r="F4018" t="str">
        <f t="shared" si="702"/>
        <v>COM</v>
      </c>
      <c r="G4018" t="str">
        <f>"YAN FILIPUTI CORA (926)"</f>
        <v>YAN FILIPUTI CORA (926)</v>
      </c>
      <c r="H4018" t="s">
        <v>1101</v>
      </c>
      <c r="I4018" t="str">
        <f t="shared" si="707"/>
        <v>19/03/2026</v>
      </c>
      <c r="J4018" t="str">
        <f t="shared" si="704"/>
        <v>16/03/2026</v>
      </c>
      <c r="K4018">
        <v>46100</v>
      </c>
      <c r="N4018">
        <v>109</v>
      </c>
      <c r="O4018" t="s">
        <v>27</v>
      </c>
      <c r="Q4018">
        <v>800</v>
      </c>
      <c r="R4018" t="str">
        <f>"LBL FARMACIA LTDA FILIAL (10192)"</f>
        <v>LBL FARMACIA LTDA FILIAL (10192)</v>
      </c>
      <c r="S4018" t="s">
        <v>37</v>
      </c>
      <c r="T4018">
        <v>31684</v>
      </c>
      <c r="U4018">
        <v>34972</v>
      </c>
      <c r="V4018" t="s">
        <v>37</v>
      </c>
    </row>
    <row r="4019" spans="1:22">
      <c r="A4019" t="str">
        <f t="shared" si="708"/>
        <v>19/03/2026</v>
      </c>
      <c r="B4019" t="str">
        <f t="shared" si="705"/>
        <v>SAÍDA</v>
      </c>
      <c r="C4019" t="str">
        <f t="shared" si="706"/>
        <v>PIX</v>
      </c>
      <c r="D4019" t="str">
        <f>"34974"</f>
        <v>34974</v>
      </c>
      <c r="E4019" t="str">
        <f t="shared" si="700"/>
        <v>1</v>
      </c>
      <c r="F4019" t="str">
        <f t="shared" si="702"/>
        <v>COM</v>
      </c>
      <c r="G4019" t="str">
        <f>"ISAEL SANTOS ROSA (642)"</f>
        <v>ISAEL SANTOS ROSA (642)</v>
      </c>
      <c r="H4019" t="str">
        <f>"Serv.Prest. 09/03/2026 a 15/03/2026 - PIX: CELULAR - CHAVE: (31) 99376-7989"</f>
        <v>Serv.Prest. 09/03/2026 a 15/03/2026 - PIX: CELULAR - CHAVE: (31) 99376-7989</v>
      </c>
      <c r="I4019" t="str">
        <f t="shared" si="707"/>
        <v>19/03/2026</v>
      </c>
      <c r="J4019" t="str">
        <f t="shared" si="704"/>
        <v>16/03/2026</v>
      </c>
      <c r="K4019" t="str">
        <f>("19/03/2026")</f>
        <v>19/03/2026</v>
      </c>
      <c r="L4019">
        <v>1400</v>
      </c>
      <c r="M4019">
        <v>1400</v>
      </c>
      <c r="N4019">
        <v>109</v>
      </c>
      <c r="O4019" t="str">
        <f>"PAGAMENTO DE ENTREGADORES"</f>
        <v>PAGAMENTO DE ENTREGADORES</v>
      </c>
      <c r="P4019">
        <v>1400</v>
      </c>
      <c r="S4019" t="str">
        <f>"BANCO C6 (149)"</f>
        <v>BANCO C6 (149)</v>
      </c>
      <c r="T4019">
        <v>31685</v>
      </c>
      <c r="U4019">
        <v>34974</v>
      </c>
      <c r="V4019" t="s">
        <v>37</v>
      </c>
    </row>
    <row r="4020" spans="1:22">
      <c r="A4020" t="str">
        <f t="shared" si="708"/>
        <v>19/03/2026</v>
      </c>
      <c r="B4020" t="str">
        <f t="shared" si="705"/>
        <v>SAÍDA</v>
      </c>
      <c r="C4020" t="str">
        <f t="shared" si="706"/>
        <v>PIX</v>
      </c>
      <c r="D4020" t="str">
        <f>"34974"</f>
        <v>34974</v>
      </c>
      <c r="E4020" t="str">
        <f t="shared" si="700"/>
        <v>1</v>
      </c>
      <c r="F4020" t="str">
        <f t="shared" si="702"/>
        <v>COM</v>
      </c>
      <c r="G4020" t="str">
        <f>"ISAEL SANTOS ROSA (642)"</f>
        <v>ISAEL SANTOS ROSA (642)</v>
      </c>
      <c r="H4020" t="s">
        <v>1102</v>
      </c>
      <c r="I4020" t="str">
        <f t="shared" si="707"/>
        <v>19/03/2026</v>
      </c>
      <c r="J4020" t="str">
        <f t="shared" si="704"/>
        <v>16/03/2026</v>
      </c>
      <c r="K4020">
        <v>46100</v>
      </c>
      <c r="N4020">
        <v>109</v>
      </c>
      <c r="O4020" t="s">
        <v>27</v>
      </c>
      <c r="Q4020">
        <v>1400</v>
      </c>
      <c r="R4020" t="str">
        <f>"DROGARIA POUPA MINAS (ULTRAMINAS) 3 (10129)"</f>
        <v>DROGARIA POUPA MINAS (ULTRAMINAS) 3 (10129)</v>
      </c>
      <c r="S4020" t="s">
        <v>37</v>
      </c>
      <c r="T4020">
        <v>31685</v>
      </c>
      <c r="U4020">
        <v>34974</v>
      </c>
      <c r="V4020" t="s">
        <v>37</v>
      </c>
    </row>
    <row r="4021" spans="1:22">
      <c r="A4021" t="str">
        <f t="shared" si="708"/>
        <v>19/03/2026</v>
      </c>
      <c r="B4021" t="str">
        <f t="shared" si="705"/>
        <v>SAÍDA</v>
      </c>
      <c r="C4021" t="str">
        <f t="shared" si="706"/>
        <v>PIX</v>
      </c>
      <c r="D4021" t="str">
        <f>"34976"</f>
        <v>34976</v>
      </c>
      <c r="E4021" t="str">
        <f t="shared" si="700"/>
        <v>1</v>
      </c>
      <c r="F4021" t="str">
        <f t="shared" si="702"/>
        <v>COM</v>
      </c>
      <c r="G4021" t="str">
        <f>"JO??O BARBOSA SANTANA (1235)"</f>
        <v>JO??O BARBOSA SANTANA (1235)</v>
      </c>
      <c r="H4021" t="str">
        <f>"Serv.Prest. 09/03/2026 a 15/03/2026 - PIX: CPF - CHAVE: 121.158.778-96"</f>
        <v>Serv.Prest. 09/03/2026 a 15/03/2026 - PIX: CPF - CHAVE: 121.158.778-96</v>
      </c>
      <c r="I4021" t="str">
        <f t="shared" si="707"/>
        <v>19/03/2026</v>
      </c>
      <c r="J4021" t="str">
        <f t="shared" si="704"/>
        <v>16/03/2026</v>
      </c>
      <c r="K4021" t="str">
        <f>("19/03/2026")</f>
        <v>19/03/2026</v>
      </c>
      <c r="L4021">
        <v>868</v>
      </c>
      <c r="M4021">
        <v>868</v>
      </c>
      <c r="N4021">
        <v>109</v>
      </c>
      <c r="O4021" t="str">
        <f>"PAGAMENTO DE ENTREGADORES"</f>
        <v>PAGAMENTO DE ENTREGADORES</v>
      </c>
      <c r="P4021">
        <v>868</v>
      </c>
      <c r="S4021" t="str">
        <f>"BANCO C6 (149)"</f>
        <v>BANCO C6 (149)</v>
      </c>
      <c r="T4021">
        <v>31686</v>
      </c>
      <c r="U4021">
        <v>34976</v>
      </c>
      <c r="V4021" t="s">
        <v>37</v>
      </c>
    </row>
    <row r="4022" spans="1:22">
      <c r="A4022" t="str">
        <f t="shared" si="708"/>
        <v>19/03/2026</v>
      </c>
      <c r="B4022" t="str">
        <f t="shared" si="705"/>
        <v>SAÍDA</v>
      </c>
      <c r="C4022" t="str">
        <f t="shared" si="706"/>
        <v>PIX</v>
      </c>
      <c r="D4022" t="str">
        <f>"34976"</f>
        <v>34976</v>
      </c>
      <c r="E4022" t="str">
        <f t="shared" si="700"/>
        <v>1</v>
      </c>
      <c r="F4022" t="str">
        <f t="shared" si="702"/>
        <v>COM</v>
      </c>
      <c r="G4022" t="str">
        <f>"JO??O BARBOSA SANTANA (1235)"</f>
        <v>JO??O BARBOSA SANTANA (1235)</v>
      </c>
      <c r="H4022" t="s">
        <v>1103</v>
      </c>
      <c r="I4022" t="str">
        <f t="shared" si="707"/>
        <v>19/03/2026</v>
      </c>
      <c r="J4022" t="str">
        <f t="shared" si="704"/>
        <v>16/03/2026</v>
      </c>
      <c r="K4022">
        <v>46100</v>
      </c>
      <c r="N4022">
        <v>109</v>
      </c>
      <c r="O4022" t="s">
        <v>27</v>
      </c>
      <c r="Q4022">
        <v>868</v>
      </c>
      <c r="R4022" t="str">
        <f>"DROGARIA ISABELLA (10276)"</f>
        <v>DROGARIA ISABELLA (10276)</v>
      </c>
      <c r="S4022" t="s">
        <v>37</v>
      </c>
      <c r="T4022">
        <v>31686</v>
      </c>
      <c r="U4022">
        <v>34976</v>
      </c>
      <c r="V4022" t="s">
        <v>37</v>
      </c>
    </row>
    <row r="4023" spans="1:22">
      <c r="A4023" t="str">
        <f t="shared" si="708"/>
        <v>19/03/2026</v>
      </c>
      <c r="B4023" t="str">
        <f t="shared" si="705"/>
        <v>SAÍDA</v>
      </c>
      <c r="C4023" t="str">
        <f t="shared" si="706"/>
        <v>PIX</v>
      </c>
      <c r="D4023" t="str">
        <f>"34977"</f>
        <v>34977</v>
      </c>
      <c r="E4023" t="str">
        <f t="shared" ref="E4023:E4086" si="709">"1"</f>
        <v>1</v>
      </c>
      <c r="F4023" t="str">
        <f t="shared" si="702"/>
        <v>COM</v>
      </c>
      <c r="G4023" t="str">
        <f>"LUCAS FERREIRA DA SILVA (1245)"</f>
        <v>LUCAS FERREIRA DA SILVA (1245)</v>
      </c>
      <c r="H4023" t="str">
        <f>"Serv.Prest. 09/03/2026 a 15/03/2026 - PIX: CELULAR - CHAVE: (11) 99593-3129"</f>
        <v>Serv.Prest. 09/03/2026 a 15/03/2026 - PIX: CELULAR - CHAVE: (11) 99593-3129</v>
      </c>
      <c r="I4023" t="str">
        <f t="shared" si="707"/>
        <v>19/03/2026</v>
      </c>
      <c r="J4023" t="str">
        <f t="shared" si="704"/>
        <v>16/03/2026</v>
      </c>
      <c r="K4023" t="str">
        <f>("19/03/2026")</f>
        <v>19/03/2026</v>
      </c>
      <c r="L4023">
        <v>70</v>
      </c>
      <c r="M4023">
        <v>70</v>
      </c>
      <c r="N4023">
        <v>109</v>
      </c>
      <c r="O4023" t="str">
        <f>"PAGAMENTO DE ENTREGADORES"</f>
        <v>PAGAMENTO DE ENTREGADORES</v>
      </c>
      <c r="P4023">
        <v>70</v>
      </c>
      <c r="S4023" t="str">
        <f>"BANCO C6 (149)"</f>
        <v>BANCO C6 (149)</v>
      </c>
      <c r="T4023">
        <v>31687</v>
      </c>
      <c r="U4023">
        <v>34977</v>
      </c>
      <c r="V4023" t="s">
        <v>37</v>
      </c>
    </row>
    <row r="4024" spans="1:22">
      <c r="A4024" t="str">
        <f t="shared" si="708"/>
        <v>19/03/2026</v>
      </c>
      <c r="B4024" t="str">
        <f t="shared" si="705"/>
        <v>SAÍDA</v>
      </c>
      <c r="C4024" t="str">
        <f t="shared" si="706"/>
        <v>PIX</v>
      </c>
      <c r="D4024" t="str">
        <f>"34977"</f>
        <v>34977</v>
      </c>
      <c r="E4024" t="str">
        <f t="shared" si="709"/>
        <v>1</v>
      </c>
      <c r="F4024" t="str">
        <f t="shared" si="702"/>
        <v>COM</v>
      </c>
      <c r="G4024" t="str">
        <f>"LUCAS FERREIRA DA SILVA (1245)"</f>
        <v>LUCAS FERREIRA DA SILVA (1245)</v>
      </c>
      <c r="H4024" t="s">
        <v>1104</v>
      </c>
      <c r="I4024" t="str">
        <f t="shared" si="707"/>
        <v>19/03/2026</v>
      </c>
      <c r="J4024" t="str">
        <f t="shared" si="704"/>
        <v>16/03/2026</v>
      </c>
      <c r="K4024">
        <v>46100</v>
      </c>
      <c r="N4024">
        <v>109</v>
      </c>
      <c r="O4024" t="s">
        <v>27</v>
      </c>
      <c r="Q4024">
        <v>70</v>
      </c>
      <c r="R4024" t="str">
        <f>"DROGARIA ISABELLA (10276)"</f>
        <v>DROGARIA ISABELLA (10276)</v>
      </c>
      <c r="S4024" t="s">
        <v>37</v>
      </c>
      <c r="T4024">
        <v>31687</v>
      </c>
      <c r="U4024">
        <v>34977</v>
      </c>
      <c r="V4024" t="s">
        <v>37</v>
      </c>
    </row>
    <row r="4025" spans="1:22">
      <c r="A4025" t="str">
        <f t="shared" si="708"/>
        <v>19/03/2026</v>
      </c>
      <c r="B4025" t="str">
        <f t="shared" si="705"/>
        <v>SAÍDA</v>
      </c>
      <c r="C4025" t="str">
        <f t="shared" si="706"/>
        <v>PIX</v>
      </c>
      <c r="D4025" t="str">
        <f>"34978"</f>
        <v>34978</v>
      </c>
      <c r="E4025" t="str">
        <f t="shared" si="709"/>
        <v>1</v>
      </c>
      <c r="F4025" t="str">
        <f t="shared" si="702"/>
        <v>COM</v>
      </c>
      <c r="G4025" t="str">
        <f>"MARCELO DA CRUZ BEZERRA (1317)"</f>
        <v>MARCELO DA CRUZ BEZERRA (1317)</v>
      </c>
      <c r="H4025" t="str">
        <f>"Serv.Prest. 09/03/2026 a 15/03/2026 - PIX: CPF - CHAVE: 355.445.218-16"</f>
        <v>Serv.Prest. 09/03/2026 a 15/03/2026 - PIX: CPF - CHAVE: 355.445.218-16</v>
      </c>
      <c r="I4025" t="str">
        <f t="shared" si="707"/>
        <v>19/03/2026</v>
      </c>
      <c r="J4025" t="str">
        <f t="shared" si="704"/>
        <v>16/03/2026</v>
      </c>
      <c r="K4025" t="str">
        <f>("19/03/2026")</f>
        <v>19/03/2026</v>
      </c>
      <c r="L4025">
        <v>896</v>
      </c>
      <c r="M4025">
        <v>896</v>
      </c>
      <c r="N4025">
        <v>109</v>
      </c>
      <c r="O4025" t="str">
        <f>"PAGAMENTO DE ENTREGADORES"</f>
        <v>PAGAMENTO DE ENTREGADORES</v>
      </c>
      <c r="P4025">
        <v>896</v>
      </c>
      <c r="S4025" t="str">
        <f>"BANCO C6 (149)"</f>
        <v>BANCO C6 (149)</v>
      </c>
      <c r="T4025">
        <v>31688</v>
      </c>
      <c r="U4025">
        <v>34978</v>
      </c>
      <c r="V4025" t="s">
        <v>37</v>
      </c>
    </row>
    <row r="4026" spans="1:22">
      <c r="A4026" t="str">
        <f t="shared" si="708"/>
        <v>19/03/2026</v>
      </c>
      <c r="B4026" t="str">
        <f t="shared" si="705"/>
        <v>SAÍDA</v>
      </c>
      <c r="C4026" t="str">
        <f t="shared" si="706"/>
        <v>PIX</v>
      </c>
      <c r="D4026" t="str">
        <f>"34978"</f>
        <v>34978</v>
      </c>
      <c r="E4026" t="str">
        <f t="shared" si="709"/>
        <v>1</v>
      </c>
      <c r="F4026" t="str">
        <f t="shared" si="702"/>
        <v>COM</v>
      </c>
      <c r="G4026" t="str">
        <f>"MARCELO DA CRUZ BEZERRA (1317)"</f>
        <v>MARCELO DA CRUZ BEZERRA (1317)</v>
      </c>
      <c r="H4026" t="s">
        <v>1105</v>
      </c>
      <c r="I4026" t="str">
        <f t="shared" si="707"/>
        <v>19/03/2026</v>
      </c>
      <c r="J4026" t="str">
        <f t="shared" si="704"/>
        <v>16/03/2026</v>
      </c>
      <c r="K4026">
        <v>46100</v>
      </c>
      <c r="N4026">
        <v>109</v>
      </c>
      <c r="O4026" t="s">
        <v>27</v>
      </c>
      <c r="Q4026">
        <v>896</v>
      </c>
      <c r="R4026" t="str">
        <f>"DROGARIA ISABELLA (10276)"</f>
        <v>DROGARIA ISABELLA (10276)</v>
      </c>
      <c r="S4026" t="s">
        <v>37</v>
      </c>
      <c r="T4026">
        <v>31688</v>
      </c>
      <c r="U4026">
        <v>34978</v>
      </c>
      <c r="V4026" t="s">
        <v>37</v>
      </c>
    </row>
    <row r="4027" spans="1:22">
      <c r="A4027" t="str">
        <f t="shared" si="708"/>
        <v>19/03/2026</v>
      </c>
      <c r="B4027" t="str">
        <f t="shared" si="705"/>
        <v>SAÍDA</v>
      </c>
      <c r="C4027" t="str">
        <f t="shared" si="706"/>
        <v>PIX</v>
      </c>
      <c r="D4027" t="str">
        <f>"34979"</f>
        <v>34979</v>
      </c>
      <c r="E4027" t="str">
        <f t="shared" si="709"/>
        <v>1</v>
      </c>
      <c r="F4027" t="str">
        <f t="shared" si="702"/>
        <v>COM</v>
      </c>
      <c r="G4027" t="str">
        <f>"MURILO TURRINI (1126)"</f>
        <v>MURILO TURRINI (1126)</v>
      </c>
      <c r="H4027" t="str">
        <f>"Serv.Prest. 09/03/2026 a 15/03/2026 - PIX: CPF - CHAVE: 480.727.928-90"</f>
        <v>Serv.Prest. 09/03/2026 a 15/03/2026 - PIX: CPF - CHAVE: 480.727.928-90</v>
      </c>
      <c r="I4027" t="str">
        <f t="shared" si="707"/>
        <v>19/03/2026</v>
      </c>
      <c r="J4027" t="str">
        <f t="shared" si="704"/>
        <v>16/03/2026</v>
      </c>
      <c r="K4027" t="str">
        <f>("19/03/2026")</f>
        <v>19/03/2026</v>
      </c>
      <c r="L4027">
        <v>805</v>
      </c>
      <c r="M4027">
        <v>805</v>
      </c>
      <c r="N4027">
        <v>109</v>
      </c>
      <c r="O4027" t="str">
        <f>"PAGAMENTO DE ENTREGADORES"</f>
        <v>PAGAMENTO DE ENTREGADORES</v>
      </c>
      <c r="P4027">
        <v>805</v>
      </c>
      <c r="S4027" t="str">
        <f>"BANCO C6 (149)"</f>
        <v>BANCO C6 (149)</v>
      </c>
      <c r="T4027">
        <v>31689</v>
      </c>
      <c r="U4027">
        <v>34979</v>
      </c>
      <c r="V4027" t="s">
        <v>37</v>
      </c>
    </row>
    <row r="4028" spans="1:22">
      <c r="A4028" t="str">
        <f t="shared" si="708"/>
        <v>19/03/2026</v>
      </c>
      <c r="B4028" t="str">
        <f t="shared" si="705"/>
        <v>SAÍDA</v>
      </c>
      <c r="C4028" t="str">
        <f t="shared" si="706"/>
        <v>PIX</v>
      </c>
      <c r="D4028" t="str">
        <f>"34979"</f>
        <v>34979</v>
      </c>
      <c r="E4028" t="str">
        <f t="shared" si="709"/>
        <v>1</v>
      </c>
      <c r="F4028" t="str">
        <f t="shared" si="702"/>
        <v>COM</v>
      </c>
      <c r="G4028" t="str">
        <f>"MURILO TURRINI (1126)"</f>
        <v>MURILO TURRINI (1126)</v>
      </c>
      <c r="H4028" t="s">
        <v>1106</v>
      </c>
      <c r="I4028" t="str">
        <f t="shared" si="707"/>
        <v>19/03/2026</v>
      </c>
      <c r="J4028" t="str">
        <f t="shared" si="704"/>
        <v>16/03/2026</v>
      </c>
      <c r="K4028">
        <v>46100</v>
      </c>
      <c r="N4028">
        <v>109</v>
      </c>
      <c r="O4028" t="s">
        <v>27</v>
      </c>
      <c r="Q4028">
        <v>805</v>
      </c>
      <c r="R4028" t="str">
        <f>"DROGARIA ISABELLA (10276)"</f>
        <v>DROGARIA ISABELLA (10276)</v>
      </c>
      <c r="S4028" t="s">
        <v>37</v>
      </c>
      <c r="T4028">
        <v>31689</v>
      </c>
      <c r="U4028">
        <v>34979</v>
      </c>
      <c r="V4028" t="s">
        <v>37</v>
      </c>
    </row>
    <row r="4029" spans="1:22">
      <c r="A4029" t="str">
        <f t="shared" si="708"/>
        <v>19/03/2026</v>
      </c>
      <c r="B4029" t="str">
        <f t="shared" si="705"/>
        <v>SAÍDA</v>
      </c>
      <c r="C4029" t="str">
        <f t="shared" si="706"/>
        <v>PIX</v>
      </c>
      <c r="D4029" t="str">
        <f>"34981"</f>
        <v>34981</v>
      </c>
      <c r="E4029" t="str">
        <f t="shared" si="709"/>
        <v>1</v>
      </c>
      <c r="F4029" t="str">
        <f t="shared" si="702"/>
        <v>COM</v>
      </c>
      <c r="G4029" t="str">
        <f>"ERIC RODRIGUES TEIXEIRA (939)"</f>
        <v>ERIC RODRIGUES TEIXEIRA (939)</v>
      </c>
      <c r="H4029" t="str">
        <f>"Serv.Prest. 09/03/2026 a 15/03/2026 - PIX: CELULAR - CHAVE: (11) 95038-0621"</f>
        <v>Serv.Prest. 09/03/2026 a 15/03/2026 - PIX: CELULAR - CHAVE: (11) 95038-0621</v>
      </c>
      <c r="I4029" t="str">
        <f t="shared" si="707"/>
        <v>19/03/2026</v>
      </c>
      <c r="J4029" t="str">
        <f t="shared" ref="J4029:J4092" si="710">("17/03/2026")</f>
        <v>17/03/2026</v>
      </c>
      <c r="K4029" t="str">
        <f>("19/03/2026")</f>
        <v>19/03/2026</v>
      </c>
      <c r="L4029">
        <v>500</v>
      </c>
      <c r="M4029">
        <v>500</v>
      </c>
      <c r="N4029">
        <v>109</v>
      </c>
      <c r="O4029" t="str">
        <f>"PAGAMENTO DE ENTREGADORES"</f>
        <v>PAGAMENTO DE ENTREGADORES</v>
      </c>
      <c r="P4029">
        <v>500</v>
      </c>
      <c r="S4029" t="str">
        <f>"BANCO C6 (149)"</f>
        <v>BANCO C6 (149)</v>
      </c>
      <c r="T4029">
        <v>31690</v>
      </c>
      <c r="U4029">
        <v>34981</v>
      </c>
      <c r="V4029" t="s">
        <v>37</v>
      </c>
    </row>
    <row r="4030" spans="1:22">
      <c r="A4030" t="str">
        <f t="shared" si="708"/>
        <v>19/03/2026</v>
      </c>
      <c r="B4030" t="str">
        <f t="shared" si="705"/>
        <v>SAÍDA</v>
      </c>
      <c r="C4030" t="str">
        <f t="shared" si="706"/>
        <v>PIX</v>
      </c>
      <c r="D4030" t="str">
        <f>"34981"</f>
        <v>34981</v>
      </c>
      <c r="E4030" t="str">
        <f t="shared" si="709"/>
        <v>1</v>
      </c>
      <c r="F4030" t="str">
        <f t="shared" si="702"/>
        <v>COM</v>
      </c>
      <c r="G4030" t="str">
        <f>"ERIC RODRIGUES TEIXEIRA (939)"</f>
        <v>ERIC RODRIGUES TEIXEIRA (939)</v>
      </c>
      <c r="H4030" t="s">
        <v>1107</v>
      </c>
      <c r="I4030" t="str">
        <f t="shared" si="707"/>
        <v>19/03/2026</v>
      </c>
      <c r="J4030" t="str">
        <f t="shared" si="710"/>
        <v>17/03/2026</v>
      </c>
      <c r="K4030">
        <v>46100</v>
      </c>
      <c r="N4030">
        <v>109</v>
      </c>
      <c r="O4030" t="s">
        <v>27</v>
      </c>
      <c r="Q4030">
        <v>500</v>
      </c>
      <c r="R4030" t="str">
        <f>"PENSE FARMA 07 (10201)"</f>
        <v>PENSE FARMA 07 (10201)</v>
      </c>
      <c r="S4030" t="s">
        <v>37</v>
      </c>
      <c r="T4030">
        <v>31690</v>
      </c>
      <c r="U4030">
        <v>34981</v>
      </c>
      <c r="V4030" t="s">
        <v>37</v>
      </c>
    </row>
    <row r="4031" spans="1:22">
      <c r="A4031" t="str">
        <f t="shared" si="708"/>
        <v>19/03/2026</v>
      </c>
      <c r="B4031" t="str">
        <f t="shared" si="705"/>
        <v>SAÍDA</v>
      </c>
      <c r="C4031" t="str">
        <f t="shared" si="706"/>
        <v>PIX</v>
      </c>
      <c r="D4031" t="str">
        <f>"34982"</f>
        <v>34982</v>
      </c>
      <c r="E4031" t="str">
        <f t="shared" si="709"/>
        <v>1</v>
      </c>
      <c r="F4031" t="str">
        <f t="shared" si="702"/>
        <v>COM</v>
      </c>
      <c r="G4031" t="str">
        <f>"ERIC RODRIGUES TEIXEIRA (939)"</f>
        <v>ERIC RODRIGUES TEIXEIRA (939)</v>
      </c>
      <c r="H4031" t="str">
        <f>"Serv.Prest. 09/03/2026 a 15/03/2026 - PIX: CELULAR - CHAVE: (11) 95038-0621"</f>
        <v>Serv.Prest. 09/03/2026 a 15/03/2026 - PIX: CELULAR - CHAVE: (11) 95038-0621</v>
      </c>
      <c r="I4031" t="str">
        <f t="shared" si="707"/>
        <v>19/03/2026</v>
      </c>
      <c r="J4031" t="str">
        <f t="shared" si="710"/>
        <v>17/03/2026</v>
      </c>
      <c r="K4031" t="str">
        <f>("19/03/2026")</f>
        <v>19/03/2026</v>
      </c>
      <c r="L4031">
        <v>500</v>
      </c>
      <c r="M4031">
        <v>500</v>
      </c>
      <c r="N4031">
        <v>109</v>
      </c>
      <c r="O4031" t="str">
        <f>"PAGAMENTO DE ENTREGADORES"</f>
        <v>PAGAMENTO DE ENTREGADORES</v>
      </c>
      <c r="P4031">
        <v>500</v>
      </c>
      <c r="S4031" t="str">
        <f>"BANCO C6 (149)"</f>
        <v>BANCO C6 (149)</v>
      </c>
      <c r="T4031">
        <v>31691</v>
      </c>
      <c r="U4031">
        <v>34982</v>
      </c>
      <c r="V4031" t="s">
        <v>37</v>
      </c>
    </row>
    <row r="4032" spans="1:22">
      <c r="A4032" t="str">
        <f t="shared" si="708"/>
        <v>19/03/2026</v>
      </c>
      <c r="B4032" t="str">
        <f t="shared" si="705"/>
        <v>SAÍDA</v>
      </c>
      <c r="C4032" t="str">
        <f t="shared" si="706"/>
        <v>PIX</v>
      </c>
      <c r="D4032" t="str">
        <f>"34982"</f>
        <v>34982</v>
      </c>
      <c r="E4032" t="str">
        <f t="shared" si="709"/>
        <v>1</v>
      </c>
      <c r="F4032" t="str">
        <f t="shared" si="702"/>
        <v>COM</v>
      </c>
      <c r="G4032" t="str">
        <f>"ERIC RODRIGUES TEIXEIRA (939)"</f>
        <v>ERIC RODRIGUES TEIXEIRA (939)</v>
      </c>
      <c r="H4032" t="s">
        <v>1107</v>
      </c>
      <c r="I4032" t="str">
        <f t="shared" si="707"/>
        <v>19/03/2026</v>
      </c>
      <c r="J4032" t="str">
        <f t="shared" si="710"/>
        <v>17/03/2026</v>
      </c>
      <c r="K4032">
        <v>46100</v>
      </c>
      <c r="N4032">
        <v>109</v>
      </c>
      <c r="O4032" t="s">
        <v>27</v>
      </c>
      <c r="Q4032">
        <v>500</v>
      </c>
      <c r="R4032" t="str">
        <f>"PENSE FARMA 45 (10209)"</f>
        <v>PENSE FARMA 45 (10209)</v>
      </c>
      <c r="S4032" t="s">
        <v>37</v>
      </c>
      <c r="T4032">
        <v>31691</v>
      </c>
      <c r="U4032">
        <v>34982</v>
      </c>
      <c r="V4032" t="s">
        <v>37</v>
      </c>
    </row>
    <row r="4033" spans="1:22">
      <c r="A4033" t="str">
        <f t="shared" si="708"/>
        <v>19/03/2026</v>
      </c>
      <c r="B4033" t="str">
        <f t="shared" si="705"/>
        <v>SAÍDA</v>
      </c>
      <c r="C4033" t="str">
        <f t="shared" si="706"/>
        <v>PIX</v>
      </c>
      <c r="D4033" t="str">
        <f>"34985"</f>
        <v>34985</v>
      </c>
      <c r="E4033" t="str">
        <f t="shared" si="709"/>
        <v>1</v>
      </c>
      <c r="F4033" t="str">
        <f t="shared" si="702"/>
        <v>COM</v>
      </c>
      <c r="G4033" t="str">
        <f t="shared" ref="G4033:G4042" si="711">"EDUARDO RODRIGUES ALVES STEPHANO (999)"</f>
        <v>EDUARDO RODRIGUES ALVES STEPHANO (999)</v>
      </c>
      <c r="H4033" t="str">
        <f>"Serv.Prest. 09/03/2026 a 15/03/2026 - PIX: CPF - CHAVE: 370.849.948-40"</f>
        <v>Serv.Prest. 09/03/2026 a 15/03/2026 - PIX: CPF - CHAVE: 370.849.948-40</v>
      </c>
      <c r="I4033" t="str">
        <f t="shared" si="707"/>
        <v>19/03/2026</v>
      </c>
      <c r="J4033" t="str">
        <f t="shared" si="710"/>
        <v>17/03/2026</v>
      </c>
      <c r="K4033" t="str">
        <f>("19/03/2026")</f>
        <v>19/03/2026</v>
      </c>
      <c r="L4033">
        <v>270</v>
      </c>
      <c r="M4033">
        <v>270</v>
      </c>
      <c r="N4033">
        <v>109</v>
      </c>
      <c r="O4033" t="str">
        <f>"PAGAMENTO DE ENTREGADORES"</f>
        <v>PAGAMENTO DE ENTREGADORES</v>
      </c>
      <c r="P4033">
        <v>270</v>
      </c>
      <c r="S4033" t="str">
        <f>"BANCO C6 (149)"</f>
        <v>BANCO C6 (149)</v>
      </c>
      <c r="T4033">
        <v>31692</v>
      </c>
      <c r="U4033">
        <v>34985</v>
      </c>
      <c r="V4033" t="s">
        <v>37</v>
      </c>
    </row>
    <row r="4034" spans="1:22">
      <c r="A4034" t="str">
        <f t="shared" si="708"/>
        <v>19/03/2026</v>
      </c>
      <c r="B4034" t="str">
        <f t="shared" si="705"/>
        <v>SAÍDA</v>
      </c>
      <c r="C4034" t="str">
        <f t="shared" si="706"/>
        <v>PIX</v>
      </c>
      <c r="D4034" t="str">
        <f>"34985"</f>
        <v>34985</v>
      </c>
      <c r="E4034" t="str">
        <f t="shared" si="709"/>
        <v>1</v>
      </c>
      <c r="F4034" t="str">
        <f t="shared" ref="F4034:F4097" si="712">"COM"</f>
        <v>COM</v>
      </c>
      <c r="G4034" t="str">
        <f t="shared" si="711"/>
        <v>EDUARDO RODRIGUES ALVES STEPHANO (999)</v>
      </c>
      <c r="H4034" t="s">
        <v>1108</v>
      </c>
      <c r="I4034" t="str">
        <f t="shared" si="707"/>
        <v>19/03/2026</v>
      </c>
      <c r="J4034" t="str">
        <f t="shared" si="710"/>
        <v>17/03/2026</v>
      </c>
      <c r="K4034">
        <v>46100</v>
      </c>
      <c r="N4034">
        <v>109</v>
      </c>
      <c r="O4034" t="s">
        <v>27</v>
      </c>
      <c r="Q4034">
        <v>270</v>
      </c>
      <c r="R4034" t="str">
        <f>"PENSE FARMA 08 (10217)"</f>
        <v>PENSE FARMA 08 (10217)</v>
      </c>
      <c r="S4034" t="s">
        <v>37</v>
      </c>
      <c r="T4034">
        <v>31692</v>
      </c>
      <c r="U4034">
        <v>34985</v>
      </c>
      <c r="V4034" t="s">
        <v>37</v>
      </c>
    </row>
    <row r="4035" spans="1:22">
      <c r="A4035" t="str">
        <f t="shared" si="708"/>
        <v>19/03/2026</v>
      </c>
      <c r="B4035" t="str">
        <f t="shared" si="705"/>
        <v>SAÍDA</v>
      </c>
      <c r="C4035" t="str">
        <f t="shared" si="706"/>
        <v>PIX</v>
      </c>
      <c r="D4035" t="str">
        <f>"34986"</f>
        <v>34986</v>
      </c>
      <c r="E4035" t="str">
        <f t="shared" si="709"/>
        <v>1</v>
      </c>
      <c r="F4035" t="str">
        <f t="shared" si="712"/>
        <v>COM</v>
      </c>
      <c r="G4035" t="str">
        <f t="shared" si="711"/>
        <v>EDUARDO RODRIGUES ALVES STEPHANO (999)</v>
      </c>
      <c r="H4035" t="str">
        <f>"Serv.Prest. 09/03/2026 a 15/03/2026 - PIX: CPF - CHAVE: 370.849.948-40"</f>
        <v>Serv.Prest. 09/03/2026 a 15/03/2026 - PIX: CPF - CHAVE: 370.849.948-40</v>
      </c>
      <c r="I4035" t="str">
        <f t="shared" si="707"/>
        <v>19/03/2026</v>
      </c>
      <c r="J4035" t="str">
        <f t="shared" si="710"/>
        <v>17/03/2026</v>
      </c>
      <c r="K4035" t="str">
        <f>("19/03/2026")</f>
        <v>19/03/2026</v>
      </c>
      <c r="L4035">
        <v>270</v>
      </c>
      <c r="M4035">
        <v>270</v>
      </c>
      <c r="N4035">
        <v>109</v>
      </c>
      <c r="O4035" t="str">
        <f>"PAGAMENTO DE ENTREGADORES"</f>
        <v>PAGAMENTO DE ENTREGADORES</v>
      </c>
      <c r="P4035">
        <v>270</v>
      </c>
      <c r="S4035" t="str">
        <f>"BANCO C6 (149)"</f>
        <v>BANCO C6 (149)</v>
      </c>
      <c r="T4035">
        <v>31693</v>
      </c>
      <c r="U4035">
        <v>34986</v>
      </c>
      <c r="V4035" t="s">
        <v>37</v>
      </c>
    </row>
    <row r="4036" spans="1:22">
      <c r="A4036" t="str">
        <f t="shared" si="708"/>
        <v>19/03/2026</v>
      </c>
      <c r="B4036" t="str">
        <f t="shared" si="705"/>
        <v>SAÍDA</v>
      </c>
      <c r="C4036" t="str">
        <f t="shared" si="706"/>
        <v>PIX</v>
      </c>
      <c r="D4036" t="str">
        <f>"34986"</f>
        <v>34986</v>
      </c>
      <c r="E4036" t="str">
        <f t="shared" si="709"/>
        <v>1</v>
      </c>
      <c r="F4036" t="str">
        <f t="shared" si="712"/>
        <v>COM</v>
      </c>
      <c r="G4036" t="str">
        <f t="shared" si="711"/>
        <v>EDUARDO RODRIGUES ALVES STEPHANO (999)</v>
      </c>
      <c r="H4036" t="s">
        <v>1108</v>
      </c>
      <c r="I4036" t="str">
        <f t="shared" si="707"/>
        <v>19/03/2026</v>
      </c>
      <c r="J4036" t="str">
        <f t="shared" si="710"/>
        <v>17/03/2026</v>
      </c>
      <c r="K4036">
        <v>46100</v>
      </c>
      <c r="N4036">
        <v>109</v>
      </c>
      <c r="O4036" t="s">
        <v>27</v>
      </c>
      <c r="Q4036">
        <v>270</v>
      </c>
      <c r="R4036" t="str">
        <f>"PENSE FARMA 11 (10220)"</f>
        <v>PENSE FARMA 11 (10220)</v>
      </c>
      <c r="S4036" t="s">
        <v>37</v>
      </c>
      <c r="T4036">
        <v>31693</v>
      </c>
      <c r="U4036">
        <v>34986</v>
      </c>
      <c r="V4036" t="s">
        <v>37</v>
      </c>
    </row>
    <row r="4037" spans="1:22">
      <c r="A4037" t="str">
        <f t="shared" si="708"/>
        <v>19/03/2026</v>
      </c>
      <c r="B4037" t="str">
        <f t="shared" si="705"/>
        <v>SAÍDA</v>
      </c>
      <c r="C4037" t="str">
        <f t="shared" si="706"/>
        <v>PIX</v>
      </c>
      <c r="D4037" t="str">
        <f>"34987"</f>
        <v>34987</v>
      </c>
      <c r="E4037" t="str">
        <f t="shared" si="709"/>
        <v>1</v>
      </c>
      <c r="F4037" t="str">
        <f t="shared" si="712"/>
        <v>COM</v>
      </c>
      <c r="G4037" t="str">
        <f t="shared" si="711"/>
        <v>EDUARDO RODRIGUES ALVES STEPHANO (999)</v>
      </c>
      <c r="H4037" t="str">
        <f>"Serv.Prest. 09/03/2026 a 15/03/2026 - PIX: CPF - CHAVE: 370.849.948-40"</f>
        <v>Serv.Prest. 09/03/2026 a 15/03/2026 - PIX: CPF - CHAVE: 370.849.948-40</v>
      </c>
      <c r="I4037" t="str">
        <f t="shared" si="707"/>
        <v>19/03/2026</v>
      </c>
      <c r="J4037" t="str">
        <f t="shared" si="710"/>
        <v>17/03/2026</v>
      </c>
      <c r="K4037" t="str">
        <f>("19/03/2026")</f>
        <v>19/03/2026</v>
      </c>
      <c r="L4037">
        <v>270</v>
      </c>
      <c r="M4037">
        <v>270</v>
      </c>
      <c r="N4037">
        <v>109</v>
      </c>
      <c r="O4037" t="str">
        <f>"PAGAMENTO DE ENTREGADORES"</f>
        <v>PAGAMENTO DE ENTREGADORES</v>
      </c>
      <c r="P4037">
        <v>270</v>
      </c>
      <c r="S4037" t="str">
        <f>"BANCO C6 (149)"</f>
        <v>BANCO C6 (149)</v>
      </c>
      <c r="T4037">
        <v>31694</v>
      </c>
      <c r="U4037">
        <v>34987</v>
      </c>
      <c r="V4037" t="s">
        <v>37</v>
      </c>
    </row>
    <row r="4038" spans="1:22">
      <c r="A4038" t="str">
        <f t="shared" si="708"/>
        <v>19/03/2026</v>
      </c>
      <c r="B4038" t="str">
        <f t="shared" si="705"/>
        <v>SAÍDA</v>
      </c>
      <c r="C4038" t="str">
        <f t="shared" si="706"/>
        <v>PIX</v>
      </c>
      <c r="D4038" t="str">
        <f>"34987"</f>
        <v>34987</v>
      </c>
      <c r="E4038" t="str">
        <f t="shared" si="709"/>
        <v>1</v>
      </c>
      <c r="F4038" t="str">
        <f t="shared" si="712"/>
        <v>COM</v>
      </c>
      <c r="G4038" t="str">
        <f t="shared" si="711"/>
        <v>EDUARDO RODRIGUES ALVES STEPHANO (999)</v>
      </c>
      <c r="H4038" t="s">
        <v>1108</v>
      </c>
      <c r="I4038" t="str">
        <f t="shared" si="707"/>
        <v>19/03/2026</v>
      </c>
      <c r="J4038" t="str">
        <f t="shared" si="710"/>
        <v>17/03/2026</v>
      </c>
      <c r="K4038">
        <v>46100</v>
      </c>
      <c r="N4038">
        <v>109</v>
      </c>
      <c r="O4038" t="s">
        <v>27</v>
      </c>
      <c r="Q4038">
        <v>270</v>
      </c>
      <c r="R4038" t="str">
        <f>"PENSE FARMA 41 (10229)"</f>
        <v>PENSE FARMA 41 (10229)</v>
      </c>
      <c r="S4038" t="s">
        <v>37</v>
      </c>
      <c r="T4038">
        <v>31694</v>
      </c>
      <c r="U4038">
        <v>34987</v>
      </c>
      <c r="V4038" t="s">
        <v>37</v>
      </c>
    </row>
    <row r="4039" spans="1:22">
      <c r="A4039" t="str">
        <f t="shared" si="708"/>
        <v>19/03/2026</v>
      </c>
      <c r="B4039" t="str">
        <f t="shared" si="705"/>
        <v>SAÍDA</v>
      </c>
      <c r="C4039" t="str">
        <f t="shared" si="706"/>
        <v>PIX</v>
      </c>
      <c r="D4039" t="str">
        <f>"34988"</f>
        <v>34988</v>
      </c>
      <c r="E4039" t="str">
        <f t="shared" si="709"/>
        <v>1</v>
      </c>
      <c r="F4039" t="str">
        <f t="shared" si="712"/>
        <v>COM</v>
      </c>
      <c r="G4039" t="str">
        <f t="shared" si="711"/>
        <v>EDUARDO RODRIGUES ALVES STEPHANO (999)</v>
      </c>
      <c r="H4039" t="str">
        <f>"Serv.Prest. 09/03/2026 a 15/03/2026 - PIX: CPF - CHAVE: 370.849.948-40"</f>
        <v>Serv.Prest. 09/03/2026 a 15/03/2026 - PIX: CPF - CHAVE: 370.849.948-40</v>
      </c>
      <c r="I4039" t="str">
        <f t="shared" si="707"/>
        <v>19/03/2026</v>
      </c>
      <c r="J4039" t="str">
        <f t="shared" si="710"/>
        <v>17/03/2026</v>
      </c>
      <c r="K4039" t="str">
        <f>("19/03/2026")</f>
        <v>19/03/2026</v>
      </c>
      <c r="L4039">
        <v>270</v>
      </c>
      <c r="M4039">
        <v>270</v>
      </c>
      <c r="N4039">
        <v>109</v>
      </c>
      <c r="O4039" t="str">
        <f>"PAGAMENTO DE ENTREGADORES"</f>
        <v>PAGAMENTO DE ENTREGADORES</v>
      </c>
      <c r="P4039">
        <v>270</v>
      </c>
      <c r="S4039" t="str">
        <f>"BANCO C6 (149)"</f>
        <v>BANCO C6 (149)</v>
      </c>
      <c r="T4039">
        <v>31695</v>
      </c>
      <c r="U4039">
        <v>34988</v>
      </c>
      <c r="V4039" t="s">
        <v>37</v>
      </c>
    </row>
    <row r="4040" spans="1:22">
      <c r="A4040" t="str">
        <f t="shared" si="708"/>
        <v>19/03/2026</v>
      </c>
      <c r="B4040" t="str">
        <f t="shared" si="705"/>
        <v>SAÍDA</v>
      </c>
      <c r="C4040" t="str">
        <f t="shared" si="706"/>
        <v>PIX</v>
      </c>
      <c r="D4040" t="str">
        <f>"34988"</f>
        <v>34988</v>
      </c>
      <c r="E4040" t="str">
        <f t="shared" si="709"/>
        <v>1</v>
      </c>
      <c r="F4040" t="str">
        <f t="shared" si="712"/>
        <v>COM</v>
      </c>
      <c r="G4040" t="str">
        <f t="shared" si="711"/>
        <v>EDUARDO RODRIGUES ALVES STEPHANO (999)</v>
      </c>
      <c r="H4040" t="s">
        <v>1108</v>
      </c>
      <c r="I4040" t="str">
        <f t="shared" si="707"/>
        <v>19/03/2026</v>
      </c>
      <c r="J4040" t="str">
        <f t="shared" si="710"/>
        <v>17/03/2026</v>
      </c>
      <c r="K4040">
        <v>46100</v>
      </c>
      <c r="N4040">
        <v>109</v>
      </c>
      <c r="O4040" t="s">
        <v>27</v>
      </c>
      <c r="Q4040">
        <v>270</v>
      </c>
      <c r="R4040" t="str">
        <f>"PENSE FARMA 42 (10230)"</f>
        <v>PENSE FARMA 42 (10230)</v>
      </c>
      <c r="S4040" t="s">
        <v>37</v>
      </c>
      <c r="T4040">
        <v>31695</v>
      </c>
      <c r="U4040">
        <v>34988</v>
      </c>
      <c r="V4040" t="s">
        <v>37</v>
      </c>
    </row>
    <row r="4041" spans="1:22">
      <c r="A4041" t="str">
        <f t="shared" si="708"/>
        <v>19/03/2026</v>
      </c>
      <c r="B4041" t="str">
        <f t="shared" si="705"/>
        <v>SAÍDA</v>
      </c>
      <c r="C4041" t="str">
        <f t="shared" si="706"/>
        <v>PIX</v>
      </c>
      <c r="D4041" t="str">
        <f>"34989"</f>
        <v>34989</v>
      </c>
      <c r="E4041" t="str">
        <f t="shared" si="709"/>
        <v>1</v>
      </c>
      <c r="F4041" t="str">
        <f t="shared" si="712"/>
        <v>COM</v>
      </c>
      <c r="G4041" t="str">
        <f t="shared" si="711"/>
        <v>EDUARDO RODRIGUES ALVES STEPHANO (999)</v>
      </c>
      <c r="H4041" t="str">
        <f>"Serv.Prest. 09/03/2026 a 15/03/2026 - PIX: CPF - CHAVE: 370.849.948-40"</f>
        <v>Serv.Prest. 09/03/2026 a 15/03/2026 - PIX: CPF - CHAVE: 370.849.948-40</v>
      </c>
      <c r="I4041" t="str">
        <f t="shared" si="707"/>
        <v>19/03/2026</v>
      </c>
      <c r="J4041" t="str">
        <f t="shared" si="710"/>
        <v>17/03/2026</v>
      </c>
      <c r="K4041" t="str">
        <f>("19/03/2026")</f>
        <v>19/03/2026</v>
      </c>
      <c r="L4041">
        <v>290</v>
      </c>
      <c r="M4041">
        <v>290</v>
      </c>
      <c r="N4041">
        <v>109</v>
      </c>
      <c r="O4041" t="str">
        <f>"PAGAMENTO DE ENTREGADORES"</f>
        <v>PAGAMENTO DE ENTREGADORES</v>
      </c>
      <c r="P4041">
        <v>290</v>
      </c>
      <c r="S4041" t="str">
        <f>"BANCO C6 (149)"</f>
        <v>BANCO C6 (149)</v>
      </c>
      <c r="T4041">
        <v>31696</v>
      </c>
      <c r="U4041">
        <v>34989</v>
      </c>
      <c r="V4041" t="s">
        <v>37</v>
      </c>
    </row>
    <row r="4042" spans="1:22">
      <c r="A4042" t="str">
        <f t="shared" si="708"/>
        <v>19/03/2026</v>
      </c>
      <c r="B4042" t="str">
        <f t="shared" si="705"/>
        <v>SAÍDA</v>
      </c>
      <c r="C4042" t="str">
        <f t="shared" si="706"/>
        <v>PIX</v>
      </c>
      <c r="D4042" t="str">
        <f>"34989"</f>
        <v>34989</v>
      </c>
      <c r="E4042" t="str">
        <f t="shared" si="709"/>
        <v>1</v>
      </c>
      <c r="F4042" t="str">
        <f t="shared" si="712"/>
        <v>COM</v>
      </c>
      <c r="G4042" t="str">
        <f t="shared" si="711"/>
        <v>EDUARDO RODRIGUES ALVES STEPHANO (999)</v>
      </c>
      <c r="H4042" t="s">
        <v>1108</v>
      </c>
      <c r="I4042" t="str">
        <f t="shared" si="707"/>
        <v>19/03/2026</v>
      </c>
      <c r="J4042" t="str">
        <f t="shared" si="710"/>
        <v>17/03/2026</v>
      </c>
      <c r="K4042">
        <v>46100</v>
      </c>
      <c r="N4042">
        <v>109</v>
      </c>
      <c r="O4042" t="s">
        <v>27</v>
      </c>
      <c r="Q4042">
        <v>290</v>
      </c>
      <c r="R4042" t="str">
        <f>"PENSE FARMA 52 (10236)"</f>
        <v>PENSE FARMA 52 (10236)</v>
      </c>
      <c r="S4042" t="s">
        <v>37</v>
      </c>
      <c r="T4042">
        <v>31696</v>
      </c>
      <c r="U4042">
        <v>34989</v>
      </c>
      <c r="V4042" t="s">
        <v>37</v>
      </c>
    </row>
    <row r="4043" spans="1:22">
      <c r="A4043" t="str">
        <f t="shared" si="708"/>
        <v>19/03/2026</v>
      </c>
      <c r="B4043" t="str">
        <f t="shared" si="705"/>
        <v>SAÍDA</v>
      </c>
      <c r="C4043" t="str">
        <f t="shared" si="706"/>
        <v>PIX</v>
      </c>
      <c r="D4043" t="str">
        <f>"34990"</f>
        <v>34990</v>
      </c>
      <c r="E4043" t="str">
        <f t="shared" si="709"/>
        <v>1</v>
      </c>
      <c r="F4043" t="str">
        <f t="shared" si="712"/>
        <v>COM</v>
      </c>
      <c r="G4043" t="str">
        <f t="shared" ref="G4043:G4052" si="713">"JONATHAN CARVALHO DE ABREU (1358)"</f>
        <v>JONATHAN CARVALHO DE ABREU (1358)</v>
      </c>
      <c r="H4043" t="str">
        <f>"Serv.Prest. 09/03/2026 a 15/03/2026 - PIX: CPF - CHAVE: 528.279.248-62"</f>
        <v>Serv.Prest. 09/03/2026 a 15/03/2026 - PIX: CPF - CHAVE: 528.279.248-62</v>
      </c>
      <c r="I4043" t="str">
        <f t="shared" si="707"/>
        <v>19/03/2026</v>
      </c>
      <c r="J4043" t="str">
        <f t="shared" si="710"/>
        <v>17/03/2026</v>
      </c>
      <c r="K4043" t="str">
        <f>("19/03/2026")</f>
        <v>19/03/2026</v>
      </c>
      <c r="L4043">
        <v>140</v>
      </c>
      <c r="M4043">
        <v>140</v>
      </c>
      <c r="N4043">
        <v>109</v>
      </c>
      <c r="O4043" t="str">
        <f>"PAGAMENTO DE ENTREGADORES"</f>
        <v>PAGAMENTO DE ENTREGADORES</v>
      </c>
      <c r="P4043">
        <v>140</v>
      </c>
      <c r="S4043" t="str">
        <f>"BANCO C6 (149)"</f>
        <v>BANCO C6 (149)</v>
      </c>
      <c r="T4043">
        <v>31697</v>
      </c>
      <c r="U4043">
        <v>34990</v>
      </c>
      <c r="V4043" t="s">
        <v>37</v>
      </c>
    </row>
    <row r="4044" spans="1:22">
      <c r="A4044" t="str">
        <f t="shared" si="708"/>
        <v>19/03/2026</v>
      </c>
      <c r="B4044" t="str">
        <f t="shared" si="705"/>
        <v>SAÍDA</v>
      </c>
      <c r="C4044" t="str">
        <f t="shared" si="706"/>
        <v>PIX</v>
      </c>
      <c r="D4044" t="str">
        <f>"34990"</f>
        <v>34990</v>
      </c>
      <c r="E4044" t="str">
        <f t="shared" si="709"/>
        <v>1</v>
      </c>
      <c r="F4044" t="str">
        <f t="shared" si="712"/>
        <v>COM</v>
      </c>
      <c r="G4044" t="str">
        <f t="shared" si="713"/>
        <v>JONATHAN CARVALHO DE ABREU (1358)</v>
      </c>
      <c r="H4044" t="s">
        <v>1109</v>
      </c>
      <c r="I4044" t="str">
        <f t="shared" si="707"/>
        <v>19/03/2026</v>
      </c>
      <c r="J4044" t="str">
        <f t="shared" si="710"/>
        <v>17/03/2026</v>
      </c>
      <c r="K4044">
        <v>46100</v>
      </c>
      <c r="N4044">
        <v>109</v>
      </c>
      <c r="O4044" t="s">
        <v>27</v>
      </c>
      <c r="Q4044">
        <v>140</v>
      </c>
      <c r="R4044" t="str">
        <f>"PENSE FARMA 52 (10236)"</f>
        <v>PENSE FARMA 52 (10236)</v>
      </c>
      <c r="S4044" t="s">
        <v>37</v>
      </c>
      <c r="T4044">
        <v>31697</v>
      </c>
      <c r="U4044">
        <v>34990</v>
      </c>
      <c r="V4044" t="s">
        <v>37</v>
      </c>
    </row>
    <row r="4045" spans="1:22">
      <c r="A4045" t="str">
        <f t="shared" si="708"/>
        <v>19/03/2026</v>
      </c>
      <c r="B4045" t="str">
        <f t="shared" si="705"/>
        <v>SAÍDA</v>
      </c>
      <c r="C4045" t="str">
        <f t="shared" si="706"/>
        <v>PIX</v>
      </c>
      <c r="D4045" t="str">
        <f>"34991"</f>
        <v>34991</v>
      </c>
      <c r="E4045" t="str">
        <f t="shared" si="709"/>
        <v>1</v>
      </c>
      <c r="F4045" t="str">
        <f t="shared" si="712"/>
        <v>COM</v>
      </c>
      <c r="G4045" t="str">
        <f t="shared" si="713"/>
        <v>JONATHAN CARVALHO DE ABREU (1358)</v>
      </c>
      <c r="H4045" t="str">
        <f>"Serv.Prest. 09/03/2026 a 15/03/2026 - PIX: CPF - CHAVE: 528.279.248-62"</f>
        <v>Serv.Prest. 09/03/2026 a 15/03/2026 - PIX: CPF - CHAVE: 528.279.248-62</v>
      </c>
      <c r="I4045" t="str">
        <f t="shared" si="707"/>
        <v>19/03/2026</v>
      </c>
      <c r="J4045" t="str">
        <f t="shared" si="710"/>
        <v>17/03/2026</v>
      </c>
      <c r="K4045" t="str">
        <f>("19/03/2026")</f>
        <v>19/03/2026</v>
      </c>
      <c r="L4045">
        <v>140</v>
      </c>
      <c r="M4045">
        <v>140</v>
      </c>
      <c r="N4045">
        <v>109</v>
      </c>
      <c r="O4045" t="str">
        <f>"PAGAMENTO DE ENTREGADORES"</f>
        <v>PAGAMENTO DE ENTREGADORES</v>
      </c>
      <c r="P4045">
        <v>140</v>
      </c>
      <c r="S4045" t="str">
        <f>"BANCO C6 (149)"</f>
        <v>BANCO C6 (149)</v>
      </c>
      <c r="T4045">
        <v>31698</v>
      </c>
      <c r="U4045">
        <v>34991</v>
      </c>
      <c r="V4045" t="s">
        <v>37</v>
      </c>
    </row>
    <row r="4046" spans="1:22">
      <c r="A4046" t="str">
        <f t="shared" si="708"/>
        <v>19/03/2026</v>
      </c>
      <c r="B4046" t="str">
        <f t="shared" si="705"/>
        <v>SAÍDA</v>
      </c>
      <c r="C4046" t="str">
        <f t="shared" si="706"/>
        <v>PIX</v>
      </c>
      <c r="D4046" t="str">
        <f>"34991"</f>
        <v>34991</v>
      </c>
      <c r="E4046" t="str">
        <f t="shared" si="709"/>
        <v>1</v>
      </c>
      <c r="F4046" t="str">
        <f t="shared" si="712"/>
        <v>COM</v>
      </c>
      <c r="G4046" t="str">
        <f t="shared" si="713"/>
        <v>JONATHAN CARVALHO DE ABREU (1358)</v>
      </c>
      <c r="H4046" t="s">
        <v>1109</v>
      </c>
      <c r="I4046" t="str">
        <f t="shared" si="707"/>
        <v>19/03/2026</v>
      </c>
      <c r="J4046" t="str">
        <f t="shared" si="710"/>
        <v>17/03/2026</v>
      </c>
      <c r="K4046">
        <v>46100</v>
      </c>
      <c r="N4046">
        <v>109</v>
      </c>
      <c r="O4046" t="s">
        <v>27</v>
      </c>
      <c r="Q4046">
        <v>140</v>
      </c>
      <c r="R4046" t="str">
        <f>"PENSE FARMA 42 (10230)"</f>
        <v>PENSE FARMA 42 (10230)</v>
      </c>
      <c r="S4046" t="s">
        <v>37</v>
      </c>
      <c r="T4046">
        <v>31698</v>
      </c>
      <c r="U4046">
        <v>34991</v>
      </c>
      <c r="V4046" t="s">
        <v>37</v>
      </c>
    </row>
    <row r="4047" spans="1:22">
      <c r="A4047" t="str">
        <f t="shared" si="708"/>
        <v>19/03/2026</v>
      </c>
      <c r="B4047" t="str">
        <f t="shared" si="705"/>
        <v>SAÍDA</v>
      </c>
      <c r="C4047" t="str">
        <f t="shared" si="706"/>
        <v>PIX</v>
      </c>
      <c r="D4047" t="str">
        <f>"34992"</f>
        <v>34992</v>
      </c>
      <c r="E4047" t="str">
        <f t="shared" si="709"/>
        <v>1</v>
      </c>
      <c r="F4047" t="str">
        <f t="shared" si="712"/>
        <v>COM</v>
      </c>
      <c r="G4047" t="str">
        <f t="shared" si="713"/>
        <v>JONATHAN CARVALHO DE ABREU (1358)</v>
      </c>
      <c r="H4047" t="str">
        <f>"Serv.Prest. 09/03/2026 a 15/03/2026 - PIX: CPF - CHAVE: 528.279.248-62"</f>
        <v>Serv.Prest. 09/03/2026 a 15/03/2026 - PIX: CPF - CHAVE: 528.279.248-62</v>
      </c>
      <c r="I4047" t="str">
        <f t="shared" si="707"/>
        <v>19/03/2026</v>
      </c>
      <c r="J4047" t="str">
        <f t="shared" si="710"/>
        <v>17/03/2026</v>
      </c>
      <c r="K4047" t="str">
        <f>("19/03/2026")</f>
        <v>19/03/2026</v>
      </c>
      <c r="L4047">
        <v>140</v>
      </c>
      <c r="M4047">
        <v>140</v>
      </c>
      <c r="N4047">
        <v>109</v>
      </c>
      <c r="O4047" t="str">
        <f>"PAGAMENTO DE ENTREGADORES"</f>
        <v>PAGAMENTO DE ENTREGADORES</v>
      </c>
      <c r="P4047">
        <v>140</v>
      </c>
      <c r="S4047" t="str">
        <f>"BANCO C6 (149)"</f>
        <v>BANCO C6 (149)</v>
      </c>
      <c r="T4047">
        <v>31699</v>
      </c>
      <c r="U4047">
        <v>34992</v>
      </c>
      <c r="V4047" t="s">
        <v>37</v>
      </c>
    </row>
    <row r="4048" spans="1:22">
      <c r="A4048" t="str">
        <f t="shared" si="708"/>
        <v>19/03/2026</v>
      </c>
      <c r="B4048" t="str">
        <f t="shared" si="705"/>
        <v>SAÍDA</v>
      </c>
      <c r="C4048" t="str">
        <f t="shared" si="706"/>
        <v>PIX</v>
      </c>
      <c r="D4048" t="str">
        <f>"34992"</f>
        <v>34992</v>
      </c>
      <c r="E4048" t="str">
        <f t="shared" si="709"/>
        <v>1</v>
      </c>
      <c r="F4048" t="str">
        <f t="shared" si="712"/>
        <v>COM</v>
      </c>
      <c r="G4048" t="str">
        <f t="shared" si="713"/>
        <v>JONATHAN CARVALHO DE ABREU (1358)</v>
      </c>
      <c r="H4048" t="s">
        <v>1109</v>
      </c>
      <c r="I4048" t="str">
        <f t="shared" si="707"/>
        <v>19/03/2026</v>
      </c>
      <c r="J4048" t="str">
        <f t="shared" si="710"/>
        <v>17/03/2026</v>
      </c>
      <c r="K4048">
        <v>46100</v>
      </c>
      <c r="N4048">
        <v>109</v>
      </c>
      <c r="O4048" t="s">
        <v>27</v>
      </c>
      <c r="Q4048">
        <v>140</v>
      </c>
      <c r="R4048" t="str">
        <f>"PENSE FARMA 41 (10229)"</f>
        <v>PENSE FARMA 41 (10229)</v>
      </c>
      <c r="S4048" t="s">
        <v>37</v>
      </c>
      <c r="T4048">
        <v>31699</v>
      </c>
      <c r="U4048">
        <v>34992</v>
      </c>
      <c r="V4048" t="s">
        <v>37</v>
      </c>
    </row>
    <row r="4049" spans="1:22">
      <c r="A4049" t="str">
        <f t="shared" si="708"/>
        <v>19/03/2026</v>
      </c>
      <c r="B4049" t="str">
        <f t="shared" si="705"/>
        <v>SAÍDA</v>
      </c>
      <c r="C4049" t="str">
        <f t="shared" si="706"/>
        <v>PIX</v>
      </c>
      <c r="D4049" t="str">
        <f>"34993"</f>
        <v>34993</v>
      </c>
      <c r="E4049" t="str">
        <f t="shared" si="709"/>
        <v>1</v>
      </c>
      <c r="F4049" t="str">
        <f t="shared" si="712"/>
        <v>COM</v>
      </c>
      <c r="G4049" t="str">
        <f t="shared" si="713"/>
        <v>JONATHAN CARVALHO DE ABREU (1358)</v>
      </c>
      <c r="H4049" t="str">
        <f>"Serv.Prest. 09/03/2026 a 15/03/2026 - PIX: CPF - CHAVE: 528.279.248-62"</f>
        <v>Serv.Prest. 09/03/2026 a 15/03/2026 - PIX: CPF - CHAVE: 528.279.248-62</v>
      </c>
      <c r="I4049" t="str">
        <f t="shared" si="707"/>
        <v>19/03/2026</v>
      </c>
      <c r="J4049" t="str">
        <f t="shared" si="710"/>
        <v>17/03/2026</v>
      </c>
      <c r="K4049" t="str">
        <f>("19/03/2026")</f>
        <v>19/03/2026</v>
      </c>
      <c r="L4049">
        <v>140</v>
      </c>
      <c r="M4049">
        <v>140</v>
      </c>
      <c r="N4049">
        <v>109</v>
      </c>
      <c r="O4049" t="str">
        <f>"PAGAMENTO DE ENTREGADORES"</f>
        <v>PAGAMENTO DE ENTREGADORES</v>
      </c>
      <c r="P4049">
        <v>140</v>
      </c>
      <c r="S4049" t="str">
        <f>"BANCO C6 (149)"</f>
        <v>BANCO C6 (149)</v>
      </c>
      <c r="T4049">
        <v>31700</v>
      </c>
      <c r="U4049">
        <v>34993</v>
      </c>
      <c r="V4049" t="s">
        <v>37</v>
      </c>
    </row>
    <row r="4050" spans="1:22">
      <c r="A4050" t="str">
        <f t="shared" si="708"/>
        <v>19/03/2026</v>
      </c>
      <c r="B4050" t="str">
        <f t="shared" si="705"/>
        <v>SAÍDA</v>
      </c>
      <c r="C4050" t="str">
        <f t="shared" si="706"/>
        <v>PIX</v>
      </c>
      <c r="D4050" t="str">
        <f>"34993"</f>
        <v>34993</v>
      </c>
      <c r="E4050" t="str">
        <f t="shared" si="709"/>
        <v>1</v>
      </c>
      <c r="F4050" t="str">
        <f t="shared" si="712"/>
        <v>COM</v>
      </c>
      <c r="G4050" t="str">
        <f t="shared" si="713"/>
        <v>JONATHAN CARVALHO DE ABREU (1358)</v>
      </c>
      <c r="H4050" t="s">
        <v>1109</v>
      </c>
      <c r="I4050" t="str">
        <f t="shared" si="707"/>
        <v>19/03/2026</v>
      </c>
      <c r="J4050" t="str">
        <f t="shared" si="710"/>
        <v>17/03/2026</v>
      </c>
      <c r="K4050">
        <v>46100</v>
      </c>
      <c r="N4050">
        <v>109</v>
      </c>
      <c r="O4050" t="s">
        <v>27</v>
      </c>
      <c r="Q4050">
        <v>140</v>
      </c>
      <c r="R4050" t="str">
        <f>"PENSE FARMA 11 (10220)"</f>
        <v>PENSE FARMA 11 (10220)</v>
      </c>
      <c r="S4050" t="s">
        <v>37</v>
      </c>
      <c r="T4050">
        <v>31700</v>
      </c>
      <c r="U4050">
        <v>34993</v>
      </c>
      <c r="V4050" t="s">
        <v>37</v>
      </c>
    </row>
    <row r="4051" spans="1:22">
      <c r="A4051" t="str">
        <f t="shared" si="708"/>
        <v>19/03/2026</v>
      </c>
      <c r="B4051" t="str">
        <f t="shared" si="705"/>
        <v>SAÍDA</v>
      </c>
      <c r="C4051" t="str">
        <f t="shared" si="706"/>
        <v>PIX</v>
      </c>
      <c r="D4051" t="str">
        <f>"34994"</f>
        <v>34994</v>
      </c>
      <c r="E4051" t="str">
        <f t="shared" si="709"/>
        <v>1</v>
      </c>
      <c r="F4051" t="str">
        <f t="shared" si="712"/>
        <v>COM</v>
      </c>
      <c r="G4051" t="str">
        <f t="shared" si="713"/>
        <v>JONATHAN CARVALHO DE ABREU (1358)</v>
      </c>
      <c r="H4051" t="str">
        <f>"Serv.Prest. 09/03/2026 a 15/03/2026 - PIX: CPF - CHAVE: 528.279.248-62"</f>
        <v>Serv.Prest. 09/03/2026 a 15/03/2026 - PIX: CPF - CHAVE: 528.279.248-62</v>
      </c>
      <c r="I4051" t="str">
        <f t="shared" si="707"/>
        <v>19/03/2026</v>
      </c>
      <c r="J4051" t="str">
        <f t="shared" si="710"/>
        <v>17/03/2026</v>
      </c>
      <c r="K4051" t="str">
        <f>("19/03/2026")</f>
        <v>19/03/2026</v>
      </c>
      <c r="L4051">
        <v>140</v>
      </c>
      <c r="M4051">
        <v>140</v>
      </c>
      <c r="N4051">
        <v>109</v>
      </c>
      <c r="O4051" t="str">
        <f>"PAGAMENTO DE ENTREGADORES"</f>
        <v>PAGAMENTO DE ENTREGADORES</v>
      </c>
      <c r="P4051">
        <v>140</v>
      </c>
      <c r="S4051" t="str">
        <f>"BANCO C6 (149)"</f>
        <v>BANCO C6 (149)</v>
      </c>
      <c r="T4051">
        <v>31701</v>
      </c>
      <c r="U4051">
        <v>34994</v>
      </c>
      <c r="V4051" t="s">
        <v>37</v>
      </c>
    </row>
    <row r="4052" spans="1:22">
      <c r="A4052" t="str">
        <f t="shared" si="708"/>
        <v>19/03/2026</v>
      </c>
      <c r="B4052" t="str">
        <f t="shared" si="705"/>
        <v>SAÍDA</v>
      </c>
      <c r="C4052" t="str">
        <f t="shared" si="706"/>
        <v>PIX</v>
      </c>
      <c r="D4052" t="str">
        <f>"34994"</f>
        <v>34994</v>
      </c>
      <c r="E4052" t="str">
        <f t="shared" si="709"/>
        <v>1</v>
      </c>
      <c r="F4052" t="str">
        <f t="shared" si="712"/>
        <v>COM</v>
      </c>
      <c r="G4052" t="str">
        <f t="shared" si="713"/>
        <v>JONATHAN CARVALHO DE ABREU (1358)</v>
      </c>
      <c r="H4052" t="s">
        <v>1109</v>
      </c>
      <c r="I4052" t="str">
        <f t="shared" si="707"/>
        <v>19/03/2026</v>
      </c>
      <c r="J4052" t="str">
        <f t="shared" si="710"/>
        <v>17/03/2026</v>
      </c>
      <c r="K4052">
        <v>46100</v>
      </c>
      <c r="N4052">
        <v>109</v>
      </c>
      <c r="O4052" t="s">
        <v>27</v>
      </c>
      <c r="Q4052">
        <v>140</v>
      </c>
      <c r="R4052" t="str">
        <f>"PENSE FARMA 08 (10217)"</f>
        <v>PENSE FARMA 08 (10217)</v>
      </c>
      <c r="S4052" t="s">
        <v>37</v>
      </c>
      <c r="T4052">
        <v>31701</v>
      </c>
      <c r="U4052">
        <v>34994</v>
      </c>
      <c r="V4052" t="s">
        <v>37</v>
      </c>
    </row>
    <row r="4053" spans="1:22">
      <c r="A4053" t="str">
        <f t="shared" si="708"/>
        <v>19/03/2026</v>
      </c>
      <c r="B4053" t="str">
        <f t="shared" si="705"/>
        <v>SAÍDA</v>
      </c>
      <c r="C4053" t="str">
        <f t="shared" si="706"/>
        <v>PIX</v>
      </c>
      <c r="D4053" t="str">
        <f>"34995"</f>
        <v>34995</v>
      </c>
      <c r="E4053" t="str">
        <f t="shared" si="709"/>
        <v>1</v>
      </c>
      <c r="F4053" t="str">
        <f t="shared" si="712"/>
        <v>COM</v>
      </c>
      <c r="G4053" t="str">
        <f t="shared" ref="G4053:G4062" si="714">"VITOR RODRIGUES (1366)"</f>
        <v>VITOR RODRIGUES (1366)</v>
      </c>
      <c r="H4053" t="str">
        <f>"Serv.Prest. 09/03/2026 a 15/03/2026 - PIX: E-MAIL - CHAVE: costavitoor77@gmail.com"</f>
        <v>Serv.Prest. 09/03/2026 a 15/03/2026 - PIX: E-MAIL - CHAVE: costavitoor77@gmail.com</v>
      </c>
      <c r="I4053" t="str">
        <f t="shared" si="707"/>
        <v>19/03/2026</v>
      </c>
      <c r="J4053" t="str">
        <f t="shared" si="710"/>
        <v>17/03/2026</v>
      </c>
      <c r="K4053" t="str">
        <f>("19/03/2026")</f>
        <v>19/03/2026</v>
      </c>
      <c r="L4053">
        <v>140</v>
      </c>
      <c r="M4053">
        <v>140</v>
      </c>
      <c r="N4053">
        <v>109</v>
      </c>
      <c r="O4053" t="str">
        <f>"PAGAMENTO DE ENTREGADORES"</f>
        <v>PAGAMENTO DE ENTREGADORES</v>
      </c>
      <c r="P4053">
        <v>140</v>
      </c>
      <c r="S4053" t="str">
        <f>"BANCO C6 (149)"</f>
        <v>BANCO C6 (149)</v>
      </c>
      <c r="T4053">
        <v>31702</v>
      </c>
      <c r="U4053">
        <v>34995</v>
      </c>
      <c r="V4053" t="s">
        <v>37</v>
      </c>
    </row>
    <row r="4054" spans="1:22">
      <c r="A4054" t="str">
        <f t="shared" si="708"/>
        <v>19/03/2026</v>
      </c>
      <c r="B4054" t="str">
        <f t="shared" si="705"/>
        <v>SAÍDA</v>
      </c>
      <c r="C4054" t="str">
        <f t="shared" si="706"/>
        <v>PIX</v>
      </c>
      <c r="D4054" t="str">
        <f>"34995"</f>
        <v>34995</v>
      </c>
      <c r="E4054" t="str">
        <f t="shared" si="709"/>
        <v>1</v>
      </c>
      <c r="F4054" t="str">
        <f t="shared" si="712"/>
        <v>COM</v>
      </c>
      <c r="G4054" t="str">
        <f t="shared" si="714"/>
        <v>VITOR RODRIGUES (1366)</v>
      </c>
      <c r="H4054" t="s">
        <v>1110</v>
      </c>
      <c r="I4054" t="str">
        <f t="shared" si="707"/>
        <v>19/03/2026</v>
      </c>
      <c r="J4054" t="str">
        <f t="shared" si="710"/>
        <v>17/03/2026</v>
      </c>
      <c r="K4054">
        <v>46100</v>
      </c>
      <c r="N4054">
        <v>109</v>
      </c>
      <c r="O4054" t="s">
        <v>27</v>
      </c>
      <c r="Q4054">
        <v>140</v>
      </c>
      <c r="R4054" t="str">
        <f>"PENSE FARMA 08 (10217)"</f>
        <v>PENSE FARMA 08 (10217)</v>
      </c>
      <c r="S4054" t="s">
        <v>37</v>
      </c>
      <c r="T4054">
        <v>31702</v>
      </c>
      <c r="U4054">
        <v>34995</v>
      </c>
      <c r="V4054" t="s">
        <v>37</v>
      </c>
    </row>
    <row r="4055" spans="1:22">
      <c r="A4055" t="str">
        <f t="shared" si="708"/>
        <v>19/03/2026</v>
      </c>
      <c r="B4055" t="str">
        <f t="shared" si="705"/>
        <v>SAÍDA</v>
      </c>
      <c r="C4055" t="str">
        <f t="shared" si="706"/>
        <v>PIX</v>
      </c>
      <c r="D4055" t="str">
        <f>"34996"</f>
        <v>34996</v>
      </c>
      <c r="E4055" t="str">
        <f t="shared" si="709"/>
        <v>1</v>
      </c>
      <c r="F4055" t="str">
        <f t="shared" si="712"/>
        <v>COM</v>
      </c>
      <c r="G4055" t="str">
        <f t="shared" si="714"/>
        <v>VITOR RODRIGUES (1366)</v>
      </c>
      <c r="H4055" t="str">
        <f>"Serv.Prest. 09/03/2026 a 15/03/2026 - PIX: E-MAIL - CHAVE: costavitoor77@gmail.com"</f>
        <v>Serv.Prest. 09/03/2026 a 15/03/2026 - PIX: E-MAIL - CHAVE: costavitoor77@gmail.com</v>
      </c>
      <c r="I4055" t="str">
        <f t="shared" si="707"/>
        <v>19/03/2026</v>
      </c>
      <c r="J4055" t="str">
        <f t="shared" si="710"/>
        <v>17/03/2026</v>
      </c>
      <c r="K4055" t="str">
        <f>("19/03/2026")</f>
        <v>19/03/2026</v>
      </c>
      <c r="L4055">
        <v>140</v>
      </c>
      <c r="M4055">
        <v>140</v>
      </c>
      <c r="N4055">
        <v>109</v>
      </c>
      <c r="O4055" t="str">
        <f>"PAGAMENTO DE ENTREGADORES"</f>
        <v>PAGAMENTO DE ENTREGADORES</v>
      </c>
      <c r="P4055">
        <v>140</v>
      </c>
      <c r="S4055" t="str">
        <f>"BANCO C6 (149)"</f>
        <v>BANCO C6 (149)</v>
      </c>
      <c r="T4055">
        <v>31703</v>
      </c>
      <c r="U4055">
        <v>34996</v>
      </c>
      <c r="V4055" t="s">
        <v>37</v>
      </c>
    </row>
    <row r="4056" spans="1:22">
      <c r="A4056" t="str">
        <f t="shared" si="708"/>
        <v>19/03/2026</v>
      </c>
      <c r="B4056" t="str">
        <f t="shared" si="705"/>
        <v>SAÍDA</v>
      </c>
      <c r="C4056" t="str">
        <f t="shared" si="706"/>
        <v>PIX</v>
      </c>
      <c r="D4056" t="str">
        <f>"34996"</f>
        <v>34996</v>
      </c>
      <c r="E4056" t="str">
        <f t="shared" si="709"/>
        <v>1</v>
      </c>
      <c r="F4056" t="str">
        <f t="shared" si="712"/>
        <v>COM</v>
      </c>
      <c r="G4056" t="str">
        <f t="shared" si="714"/>
        <v>VITOR RODRIGUES (1366)</v>
      </c>
      <c r="H4056" t="s">
        <v>1110</v>
      </c>
      <c r="I4056" t="str">
        <f t="shared" si="707"/>
        <v>19/03/2026</v>
      </c>
      <c r="J4056" t="str">
        <f t="shared" si="710"/>
        <v>17/03/2026</v>
      </c>
      <c r="K4056">
        <v>46100</v>
      </c>
      <c r="N4056">
        <v>109</v>
      </c>
      <c r="O4056" t="s">
        <v>27</v>
      </c>
      <c r="Q4056">
        <v>140</v>
      </c>
      <c r="R4056" t="str">
        <f>"PENSE FARMA 11 (10220)"</f>
        <v>PENSE FARMA 11 (10220)</v>
      </c>
      <c r="S4056" t="s">
        <v>37</v>
      </c>
      <c r="T4056">
        <v>31703</v>
      </c>
      <c r="U4056">
        <v>34996</v>
      </c>
      <c r="V4056" t="s">
        <v>37</v>
      </c>
    </row>
    <row r="4057" spans="1:22">
      <c r="A4057" t="str">
        <f t="shared" si="708"/>
        <v>19/03/2026</v>
      </c>
      <c r="B4057" t="str">
        <f t="shared" si="705"/>
        <v>SAÍDA</v>
      </c>
      <c r="C4057" t="str">
        <f t="shared" si="706"/>
        <v>PIX</v>
      </c>
      <c r="D4057" t="str">
        <f>"34997"</f>
        <v>34997</v>
      </c>
      <c r="E4057" t="str">
        <f t="shared" si="709"/>
        <v>1</v>
      </c>
      <c r="F4057" t="str">
        <f t="shared" si="712"/>
        <v>COM</v>
      </c>
      <c r="G4057" t="str">
        <f t="shared" si="714"/>
        <v>VITOR RODRIGUES (1366)</v>
      </c>
      <c r="H4057" t="str">
        <f>"Serv.Prest. 09/03/2026 a 15/03/2026 - PIX: E-MAIL - CHAVE: costavitoor77@gmail.com"</f>
        <v>Serv.Prest. 09/03/2026 a 15/03/2026 - PIX: E-MAIL - CHAVE: costavitoor77@gmail.com</v>
      </c>
      <c r="I4057" t="str">
        <f t="shared" si="707"/>
        <v>19/03/2026</v>
      </c>
      <c r="J4057" t="str">
        <f t="shared" si="710"/>
        <v>17/03/2026</v>
      </c>
      <c r="K4057" t="str">
        <f>("19/03/2026")</f>
        <v>19/03/2026</v>
      </c>
      <c r="L4057">
        <v>140</v>
      </c>
      <c r="M4057">
        <v>140</v>
      </c>
      <c r="N4057">
        <v>109</v>
      </c>
      <c r="O4057" t="str">
        <f>"PAGAMENTO DE ENTREGADORES"</f>
        <v>PAGAMENTO DE ENTREGADORES</v>
      </c>
      <c r="P4057">
        <v>140</v>
      </c>
      <c r="S4057" t="str">
        <f>"BANCO C6 (149)"</f>
        <v>BANCO C6 (149)</v>
      </c>
      <c r="T4057">
        <v>31704</v>
      </c>
      <c r="U4057">
        <v>34997</v>
      </c>
      <c r="V4057" t="s">
        <v>37</v>
      </c>
    </row>
    <row r="4058" spans="1:22">
      <c r="A4058" t="str">
        <f t="shared" si="708"/>
        <v>19/03/2026</v>
      </c>
      <c r="B4058" t="str">
        <f t="shared" si="705"/>
        <v>SAÍDA</v>
      </c>
      <c r="C4058" t="str">
        <f t="shared" si="706"/>
        <v>PIX</v>
      </c>
      <c r="D4058" t="str">
        <f>"34997"</f>
        <v>34997</v>
      </c>
      <c r="E4058" t="str">
        <f t="shared" si="709"/>
        <v>1</v>
      </c>
      <c r="F4058" t="str">
        <f t="shared" si="712"/>
        <v>COM</v>
      </c>
      <c r="G4058" t="str">
        <f t="shared" si="714"/>
        <v>VITOR RODRIGUES (1366)</v>
      </c>
      <c r="H4058" t="s">
        <v>1110</v>
      </c>
      <c r="I4058" t="str">
        <f t="shared" si="707"/>
        <v>19/03/2026</v>
      </c>
      <c r="J4058" t="str">
        <f t="shared" si="710"/>
        <v>17/03/2026</v>
      </c>
      <c r="K4058">
        <v>46100</v>
      </c>
      <c r="N4058">
        <v>109</v>
      </c>
      <c r="O4058" t="s">
        <v>27</v>
      </c>
      <c r="Q4058">
        <v>140</v>
      </c>
      <c r="R4058" t="str">
        <f>"PENSE FARMA 41 (10229)"</f>
        <v>PENSE FARMA 41 (10229)</v>
      </c>
      <c r="S4058" t="s">
        <v>37</v>
      </c>
      <c r="T4058">
        <v>31704</v>
      </c>
      <c r="U4058">
        <v>34997</v>
      </c>
      <c r="V4058" t="s">
        <v>37</v>
      </c>
    </row>
    <row r="4059" spans="1:22">
      <c r="A4059" t="str">
        <f t="shared" si="708"/>
        <v>19/03/2026</v>
      </c>
      <c r="B4059" t="str">
        <f t="shared" si="705"/>
        <v>SAÍDA</v>
      </c>
      <c r="C4059" t="str">
        <f t="shared" si="706"/>
        <v>PIX</v>
      </c>
      <c r="D4059" t="str">
        <f>"34998"</f>
        <v>34998</v>
      </c>
      <c r="E4059" t="str">
        <f t="shared" si="709"/>
        <v>1</v>
      </c>
      <c r="F4059" t="str">
        <f t="shared" si="712"/>
        <v>COM</v>
      </c>
      <c r="G4059" t="str">
        <f t="shared" si="714"/>
        <v>VITOR RODRIGUES (1366)</v>
      </c>
      <c r="H4059" t="str">
        <f>"Serv.Prest. 09/03/2026 a 15/03/2026 - PIX: E-MAIL - CHAVE: costavitoor77@gmail.com"</f>
        <v>Serv.Prest. 09/03/2026 a 15/03/2026 - PIX: E-MAIL - CHAVE: costavitoor77@gmail.com</v>
      </c>
      <c r="I4059" t="str">
        <f t="shared" si="707"/>
        <v>19/03/2026</v>
      </c>
      <c r="J4059" t="str">
        <f t="shared" si="710"/>
        <v>17/03/2026</v>
      </c>
      <c r="K4059" t="str">
        <f>("19/03/2026")</f>
        <v>19/03/2026</v>
      </c>
      <c r="L4059">
        <v>140</v>
      </c>
      <c r="M4059">
        <v>140</v>
      </c>
      <c r="N4059">
        <v>109</v>
      </c>
      <c r="O4059" t="str">
        <f>"PAGAMENTO DE ENTREGADORES"</f>
        <v>PAGAMENTO DE ENTREGADORES</v>
      </c>
      <c r="P4059">
        <v>140</v>
      </c>
      <c r="S4059" t="str">
        <f>"BANCO C6 (149)"</f>
        <v>BANCO C6 (149)</v>
      </c>
      <c r="T4059">
        <v>31705</v>
      </c>
      <c r="U4059">
        <v>34998</v>
      </c>
      <c r="V4059" t="s">
        <v>37</v>
      </c>
    </row>
    <row r="4060" spans="1:22">
      <c r="A4060" t="str">
        <f t="shared" si="708"/>
        <v>19/03/2026</v>
      </c>
      <c r="B4060" t="str">
        <f t="shared" si="705"/>
        <v>SAÍDA</v>
      </c>
      <c r="C4060" t="str">
        <f t="shared" si="706"/>
        <v>PIX</v>
      </c>
      <c r="D4060" t="str">
        <f>"34998"</f>
        <v>34998</v>
      </c>
      <c r="E4060" t="str">
        <f t="shared" si="709"/>
        <v>1</v>
      </c>
      <c r="F4060" t="str">
        <f t="shared" si="712"/>
        <v>COM</v>
      </c>
      <c r="G4060" t="str">
        <f t="shared" si="714"/>
        <v>VITOR RODRIGUES (1366)</v>
      </c>
      <c r="H4060" t="s">
        <v>1110</v>
      </c>
      <c r="I4060" t="str">
        <f t="shared" si="707"/>
        <v>19/03/2026</v>
      </c>
      <c r="J4060" t="str">
        <f t="shared" si="710"/>
        <v>17/03/2026</v>
      </c>
      <c r="K4060">
        <v>46100</v>
      </c>
      <c r="N4060">
        <v>109</v>
      </c>
      <c r="O4060" t="s">
        <v>27</v>
      </c>
      <c r="Q4060">
        <v>140</v>
      </c>
      <c r="R4060" t="str">
        <f>"PENSE FARMA 42 (10230)"</f>
        <v>PENSE FARMA 42 (10230)</v>
      </c>
      <c r="S4060" t="s">
        <v>37</v>
      </c>
      <c r="T4060">
        <v>31705</v>
      </c>
      <c r="U4060">
        <v>34998</v>
      </c>
      <c r="V4060" t="s">
        <v>37</v>
      </c>
    </row>
    <row r="4061" spans="1:22">
      <c r="A4061" t="str">
        <f t="shared" si="708"/>
        <v>19/03/2026</v>
      </c>
      <c r="B4061" t="str">
        <f t="shared" si="705"/>
        <v>SAÍDA</v>
      </c>
      <c r="C4061" t="str">
        <f t="shared" si="706"/>
        <v>PIX</v>
      </c>
      <c r="D4061" t="str">
        <f>"34999"</f>
        <v>34999</v>
      </c>
      <c r="E4061" t="str">
        <f t="shared" si="709"/>
        <v>1</v>
      </c>
      <c r="F4061" t="str">
        <f t="shared" si="712"/>
        <v>COM</v>
      </c>
      <c r="G4061" t="str">
        <f t="shared" si="714"/>
        <v>VITOR RODRIGUES (1366)</v>
      </c>
      <c r="H4061" t="str">
        <f>"Serv.Prest. 09/03/2026 a 15/03/2026 - PIX: E-MAIL - CHAVE: costavitoor77@gmail.com"</f>
        <v>Serv.Prest. 09/03/2026 a 15/03/2026 - PIX: E-MAIL - CHAVE: costavitoor77@gmail.com</v>
      </c>
      <c r="I4061" t="str">
        <f t="shared" si="707"/>
        <v>19/03/2026</v>
      </c>
      <c r="J4061" t="str">
        <f t="shared" si="710"/>
        <v>17/03/2026</v>
      </c>
      <c r="K4061" t="str">
        <f>("19/03/2026")</f>
        <v>19/03/2026</v>
      </c>
      <c r="L4061">
        <v>140</v>
      </c>
      <c r="M4061">
        <v>140</v>
      </c>
      <c r="N4061">
        <v>109</v>
      </c>
      <c r="O4061" t="str">
        <f>"PAGAMENTO DE ENTREGADORES"</f>
        <v>PAGAMENTO DE ENTREGADORES</v>
      </c>
      <c r="P4061">
        <v>140</v>
      </c>
      <c r="S4061" t="str">
        <f>"BANCO C6 (149)"</f>
        <v>BANCO C6 (149)</v>
      </c>
      <c r="T4061">
        <v>31706</v>
      </c>
      <c r="U4061">
        <v>34999</v>
      </c>
      <c r="V4061" t="s">
        <v>37</v>
      </c>
    </row>
    <row r="4062" spans="1:22">
      <c r="A4062" t="str">
        <f t="shared" si="708"/>
        <v>19/03/2026</v>
      </c>
      <c r="B4062" t="str">
        <f t="shared" si="705"/>
        <v>SAÍDA</v>
      </c>
      <c r="C4062" t="str">
        <f t="shared" si="706"/>
        <v>PIX</v>
      </c>
      <c r="D4062" t="str">
        <f>"34999"</f>
        <v>34999</v>
      </c>
      <c r="E4062" t="str">
        <f t="shared" si="709"/>
        <v>1</v>
      </c>
      <c r="F4062" t="str">
        <f t="shared" si="712"/>
        <v>COM</v>
      </c>
      <c r="G4062" t="str">
        <f t="shared" si="714"/>
        <v>VITOR RODRIGUES (1366)</v>
      </c>
      <c r="H4062" t="s">
        <v>1110</v>
      </c>
      <c r="I4062" t="str">
        <f t="shared" si="707"/>
        <v>19/03/2026</v>
      </c>
      <c r="J4062" t="str">
        <f t="shared" si="710"/>
        <v>17/03/2026</v>
      </c>
      <c r="K4062">
        <v>46100</v>
      </c>
      <c r="N4062">
        <v>109</v>
      </c>
      <c r="O4062" t="s">
        <v>27</v>
      </c>
      <c r="Q4062">
        <v>140</v>
      </c>
      <c r="R4062" t="str">
        <f>"PENSE FARMA 52 (10236)"</f>
        <v>PENSE FARMA 52 (10236)</v>
      </c>
      <c r="S4062" t="s">
        <v>37</v>
      </c>
      <c r="T4062">
        <v>31706</v>
      </c>
      <c r="U4062">
        <v>34999</v>
      </c>
      <c r="V4062" t="s">
        <v>37</v>
      </c>
    </row>
    <row r="4063" spans="1:22">
      <c r="A4063" t="str">
        <f t="shared" si="708"/>
        <v>19/03/2026</v>
      </c>
      <c r="B4063" t="str">
        <f t="shared" si="705"/>
        <v>SAÍDA</v>
      </c>
      <c r="C4063" t="str">
        <f t="shared" si="706"/>
        <v>PIX</v>
      </c>
      <c r="D4063" t="str">
        <f>"35001"</f>
        <v>35001</v>
      </c>
      <c r="E4063" t="str">
        <f t="shared" si="709"/>
        <v>1</v>
      </c>
      <c r="F4063" t="str">
        <f t="shared" si="712"/>
        <v>COM</v>
      </c>
      <c r="G4063" t="str">
        <f>"MARCOS DUARTE CARVALHO (998)"</f>
        <v>MARCOS DUARTE CARVALHO (998)</v>
      </c>
      <c r="H4063" t="str">
        <f>"Serv.Prest. 09/03/2026 a 15/03/2026 - PIX: CPF - CHAVE: 396.877.618-65"</f>
        <v>Serv.Prest. 09/03/2026 a 15/03/2026 - PIX: CPF - CHAVE: 396.877.618-65</v>
      </c>
      <c r="I4063" t="str">
        <f t="shared" si="707"/>
        <v>19/03/2026</v>
      </c>
      <c r="J4063" t="str">
        <f t="shared" si="710"/>
        <v>17/03/2026</v>
      </c>
      <c r="K4063" t="str">
        <f>("19/03/2026")</f>
        <v>19/03/2026</v>
      </c>
      <c r="L4063">
        <v>520</v>
      </c>
      <c r="M4063">
        <v>520</v>
      </c>
      <c r="N4063">
        <v>109</v>
      </c>
      <c r="O4063" t="str">
        <f>"PAGAMENTO DE ENTREGADORES"</f>
        <v>PAGAMENTO DE ENTREGADORES</v>
      </c>
      <c r="P4063">
        <v>520</v>
      </c>
      <c r="S4063" t="str">
        <f>"BANCO C6 (149)"</f>
        <v>BANCO C6 (149)</v>
      </c>
      <c r="T4063">
        <v>31707</v>
      </c>
      <c r="U4063">
        <v>35001</v>
      </c>
      <c r="V4063" t="s">
        <v>37</v>
      </c>
    </row>
    <row r="4064" spans="1:22">
      <c r="A4064" t="str">
        <f t="shared" si="708"/>
        <v>19/03/2026</v>
      </c>
      <c r="B4064" t="str">
        <f t="shared" si="705"/>
        <v>SAÍDA</v>
      </c>
      <c r="C4064" t="str">
        <f t="shared" si="706"/>
        <v>PIX</v>
      </c>
      <c r="D4064" t="str">
        <f>"35001"</f>
        <v>35001</v>
      </c>
      <c r="E4064" t="str">
        <f t="shared" si="709"/>
        <v>1</v>
      </c>
      <c r="F4064" t="str">
        <f t="shared" si="712"/>
        <v>COM</v>
      </c>
      <c r="G4064" t="str">
        <f>"MARCOS DUARTE CARVALHO (998)"</f>
        <v>MARCOS DUARTE CARVALHO (998)</v>
      </c>
      <c r="H4064" t="s">
        <v>892</v>
      </c>
      <c r="I4064" t="str">
        <f t="shared" si="707"/>
        <v>19/03/2026</v>
      </c>
      <c r="J4064" t="str">
        <f t="shared" si="710"/>
        <v>17/03/2026</v>
      </c>
      <c r="K4064">
        <v>46100</v>
      </c>
      <c r="N4064">
        <v>109</v>
      </c>
      <c r="O4064" t="s">
        <v>27</v>
      </c>
      <c r="Q4064">
        <v>520</v>
      </c>
      <c r="R4064" t="str">
        <f>"PENSE FARMA 09 (10218)"</f>
        <v>PENSE FARMA 09 (10218)</v>
      </c>
      <c r="S4064" t="s">
        <v>37</v>
      </c>
      <c r="T4064">
        <v>31707</v>
      </c>
      <c r="U4064">
        <v>35001</v>
      </c>
      <c r="V4064" t="s">
        <v>37</v>
      </c>
    </row>
    <row r="4065" spans="1:22">
      <c r="A4065" t="str">
        <f t="shared" si="708"/>
        <v>19/03/2026</v>
      </c>
      <c r="B4065" t="str">
        <f t="shared" si="705"/>
        <v>SAÍDA</v>
      </c>
      <c r="C4065" t="str">
        <f t="shared" si="706"/>
        <v>PIX</v>
      </c>
      <c r="D4065" t="str">
        <f>"35002"</f>
        <v>35002</v>
      </c>
      <c r="E4065" t="str">
        <f t="shared" si="709"/>
        <v>1</v>
      </c>
      <c r="F4065" t="str">
        <f t="shared" si="712"/>
        <v>COM</v>
      </c>
      <c r="G4065" t="str">
        <f>"MARCOS DUARTE CARVALHO (998)"</f>
        <v>MARCOS DUARTE CARVALHO (998)</v>
      </c>
      <c r="H4065" t="str">
        <f>"Serv.Prest. 09/03/2026 a 15/03/2026 - PIX: CPF - CHAVE: 396.877.618-65"</f>
        <v>Serv.Prest. 09/03/2026 a 15/03/2026 - PIX: CPF - CHAVE: 396.877.618-65</v>
      </c>
      <c r="I4065" t="str">
        <f t="shared" si="707"/>
        <v>19/03/2026</v>
      </c>
      <c r="J4065" t="str">
        <f t="shared" si="710"/>
        <v>17/03/2026</v>
      </c>
      <c r="K4065" t="str">
        <f>("19/03/2026")</f>
        <v>19/03/2026</v>
      </c>
      <c r="L4065">
        <v>755</v>
      </c>
      <c r="M4065">
        <v>755</v>
      </c>
      <c r="N4065">
        <v>109</v>
      </c>
      <c r="O4065" t="str">
        <f>"PAGAMENTO DE ENTREGADORES"</f>
        <v>PAGAMENTO DE ENTREGADORES</v>
      </c>
      <c r="P4065">
        <v>755</v>
      </c>
      <c r="S4065" t="str">
        <f>"BANCO C6 (149)"</f>
        <v>BANCO C6 (149)</v>
      </c>
      <c r="T4065">
        <v>31708</v>
      </c>
      <c r="U4065">
        <v>35002</v>
      </c>
      <c r="V4065" t="s">
        <v>37</v>
      </c>
    </row>
    <row r="4066" spans="1:22">
      <c r="A4066" t="str">
        <f t="shared" si="708"/>
        <v>19/03/2026</v>
      </c>
      <c r="B4066" t="str">
        <f t="shared" si="705"/>
        <v>SAÍDA</v>
      </c>
      <c r="C4066" t="str">
        <f t="shared" si="706"/>
        <v>PIX</v>
      </c>
      <c r="D4066" t="str">
        <f>"35002"</f>
        <v>35002</v>
      </c>
      <c r="E4066" t="str">
        <f t="shared" si="709"/>
        <v>1</v>
      </c>
      <c r="F4066" t="str">
        <f t="shared" si="712"/>
        <v>COM</v>
      </c>
      <c r="G4066" t="str">
        <f>"MARCOS DUARTE CARVALHO (998)"</f>
        <v>MARCOS DUARTE CARVALHO (998)</v>
      </c>
      <c r="H4066" t="s">
        <v>892</v>
      </c>
      <c r="I4066" t="str">
        <f t="shared" si="707"/>
        <v>19/03/2026</v>
      </c>
      <c r="J4066" t="str">
        <f t="shared" si="710"/>
        <v>17/03/2026</v>
      </c>
      <c r="K4066">
        <v>46100</v>
      </c>
      <c r="N4066">
        <v>109</v>
      </c>
      <c r="O4066" t="s">
        <v>27</v>
      </c>
      <c r="Q4066">
        <v>755</v>
      </c>
      <c r="R4066" t="str">
        <f>"PENSE FARMA 10 (10219)"</f>
        <v>PENSE FARMA 10 (10219)</v>
      </c>
      <c r="S4066" t="s">
        <v>37</v>
      </c>
      <c r="T4066">
        <v>31708</v>
      </c>
      <c r="U4066">
        <v>35002</v>
      </c>
      <c r="V4066" t="s">
        <v>37</v>
      </c>
    </row>
    <row r="4067" spans="1:22">
      <c r="A4067" t="str">
        <f t="shared" si="708"/>
        <v>19/03/2026</v>
      </c>
      <c r="B4067" t="str">
        <f t="shared" si="705"/>
        <v>SAÍDA</v>
      </c>
      <c r="C4067" t="str">
        <f t="shared" si="706"/>
        <v>PIX</v>
      </c>
      <c r="D4067" t="str">
        <f>"35004"</f>
        <v>35004</v>
      </c>
      <c r="E4067" t="str">
        <f t="shared" si="709"/>
        <v>1</v>
      </c>
      <c r="F4067" t="str">
        <f t="shared" si="712"/>
        <v>COM</v>
      </c>
      <c r="G4067" t="str">
        <f t="shared" ref="G4067:G4074" si="715">"HENDRYL SOUZA DA SILVA (1026)"</f>
        <v>HENDRYL SOUZA DA SILVA (1026)</v>
      </c>
      <c r="H4067" t="str">
        <f>"Serv.Prest. 09/03/2026 a 15/03/2026 - PIX: CPF - CHAVE: 499.814.888-52"</f>
        <v>Serv.Prest. 09/03/2026 a 15/03/2026 - PIX: CPF - CHAVE: 499.814.888-52</v>
      </c>
      <c r="I4067" t="str">
        <f t="shared" si="707"/>
        <v>19/03/2026</v>
      </c>
      <c r="J4067" t="str">
        <f t="shared" si="710"/>
        <v>17/03/2026</v>
      </c>
      <c r="K4067" t="str">
        <f>("19/03/2026")</f>
        <v>19/03/2026</v>
      </c>
      <c r="L4067">
        <v>170</v>
      </c>
      <c r="M4067">
        <v>170</v>
      </c>
      <c r="N4067">
        <v>109</v>
      </c>
      <c r="O4067" t="str">
        <f>"PAGAMENTO DE ENTREGADORES"</f>
        <v>PAGAMENTO DE ENTREGADORES</v>
      </c>
      <c r="P4067">
        <v>170</v>
      </c>
      <c r="S4067" t="str">
        <f>"BANCO C6 (149)"</f>
        <v>BANCO C6 (149)</v>
      </c>
      <c r="T4067">
        <v>31709</v>
      </c>
      <c r="U4067">
        <v>35004</v>
      </c>
      <c r="V4067" t="s">
        <v>37</v>
      </c>
    </row>
    <row r="4068" spans="1:22">
      <c r="A4068" t="str">
        <f t="shared" si="708"/>
        <v>19/03/2026</v>
      </c>
      <c r="B4068" t="str">
        <f t="shared" si="705"/>
        <v>SAÍDA</v>
      </c>
      <c r="C4068" t="str">
        <f t="shared" si="706"/>
        <v>PIX</v>
      </c>
      <c r="D4068" t="str">
        <f>"35004"</f>
        <v>35004</v>
      </c>
      <c r="E4068" t="str">
        <f t="shared" si="709"/>
        <v>1</v>
      </c>
      <c r="F4068" t="str">
        <f t="shared" si="712"/>
        <v>COM</v>
      </c>
      <c r="G4068" t="str">
        <f t="shared" si="715"/>
        <v>HENDRYL SOUZA DA SILVA (1026)</v>
      </c>
      <c r="H4068" t="s">
        <v>1111</v>
      </c>
      <c r="I4068" t="str">
        <f t="shared" si="707"/>
        <v>19/03/2026</v>
      </c>
      <c r="J4068" t="str">
        <f t="shared" si="710"/>
        <v>17/03/2026</v>
      </c>
      <c r="K4068">
        <v>46100</v>
      </c>
      <c r="N4068">
        <v>109</v>
      </c>
      <c r="O4068" t="s">
        <v>27</v>
      </c>
      <c r="Q4068">
        <v>170</v>
      </c>
      <c r="R4068" t="str">
        <f>"PENSE FARMA 61 (10243)"</f>
        <v>PENSE FARMA 61 (10243)</v>
      </c>
      <c r="S4068" t="s">
        <v>37</v>
      </c>
      <c r="T4068">
        <v>31709</v>
      </c>
      <c r="U4068">
        <v>35004</v>
      </c>
      <c r="V4068" t="s">
        <v>37</v>
      </c>
    </row>
    <row r="4069" spans="1:22">
      <c r="A4069" t="str">
        <f t="shared" si="708"/>
        <v>19/03/2026</v>
      </c>
      <c r="B4069" t="str">
        <f t="shared" si="705"/>
        <v>SAÍDA</v>
      </c>
      <c r="C4069" t="str">
        <f t="shared" si="706"/>
        <v>PIX</v>
      </c>
      <c r="D4069" t="str">
        <f>"35005"</f>
        <v>35005</v>
      </c>
      <c r="E4069" t="str">
        <f t="shared" si="709"/>
        <v>1</v>
      </c>
      <c r="F4069" t="str">
        <f t="shared" si="712"/>
        <v>COM</v>
      </c>
      <c r="G4069" t="str">
        <f t="shared" si="715"/>
        <v>HENDRYL SOUZA DA SILVA (1026)</v>
      </c>
      <c r="H4069" t="str">
        <f>"Serv.Prest. 09/03/2026 a 15/03/2026 - PIX: CPF - CHAVE: 499.814.888-52"</f>
        <v>Serv.Prest. 09/03/2026 a 15/03/2026 - PIX: CPF - CHAVE: 499.814.888-52</v>
      </c>
      <c r="I4069" t="str">
        <f t="shared" si="707"/>
        <v>19/03/2026</v>
      </c>
      <c r="J4069" t="str">
        <f t="shared" si="710"/>
        <v>17/03/2026</v>
      </c>
      <c r="K4069" t="str">
        <f>("19/03/2026")</f>
        <v>19/03/2026</v>
      </c>
      <c r="L4069">
        <v>155</v>
      </c>
      <c r="M4069">
        <v>155</v>
      </c>
      <c r="N4069">
        <v>109</v>
      </c>
      <c r="O4069" t="str">
        <f>"PAGAMENTO DE ENTREGADORES"</f>
        <v>PAGAMENTO DE ENTREGADORES</v>
      </c>
      <c r="P4069">
        <v>155</v>
      </c>
      <c r="S4069" t="str">
        <f>"BANCO C6 (149)"</f>
        <v>BANCO C6 (149)</v>
      </c>
      <c r="T4069">
        <v>31710</v>
      </c>
      <c r="U4069">
        <v>35005</v>
      </c>
      <c r="V4069" t="s">
        <v>37</v>
      </c>
    </row>
    <row r="4070" spans="1:22">
      <c r="A4070" t="str">
        <f t="shared" si="708"/>
        <v>19/03/2026</v>
      </c>
      <c r="B4070" t="str">
        <f t="shared" si="705"/>
        <v>SAÍDA</v>
      </c>
      <c r="C4070" t="str">
        <f t="shared" si="706"/>
        <v>PIX</v>
      </c>
      <c r="D4070" t="str">
        <f>"35005"</f>
        <v>35005</v>
      </c>
      <c r="E4070" t="str">
        <f t="shared" si="709"/>
        <v>1</v>
      </c>
      <c r="F4070" t="str">
        <f t="shared" si="712"/>
        <v>COM</v>
      </c>
      <c r="G4070" t="str">
        <f t="shared" si="715"/>
        <v>HENDRYL SOUZA DA SILVA (1026)</v>
      </c>
      <c r="H4070" t="s">
        <v>1111</v>
      </c>
      <c r="I4070" t="str">
        <f t="shared" si="707"/>
        <v>19/03/2026</v>
      </c>
      <c r="J4070" t="str">
        <f t="shared" si="710"/>
        <v>17/03/2026</v>
      </c>
      <c r="K4070">
        <v>46100</v>
      </c>
      <c r="N4070">
        <v>109</v>
      </c>
      <c r="O4070" t="s">
        <v>27</v>
      </c>
      <c r="Q4070">
        <v>155</v>
      </c>
      <c r="R4070" t="str">
        <f>"PENSE FARMA 60 (10197)"</f>
        <v>PENSE FARMA 60 (10197)</v>
      </c>
      <c r="S4070" t="s">
        <v>37</v>
      </c>
      <c r="T4070">
        <v>31710</v>
      </c>
      <c r="U4070">
        <v>35005</v>
      </c>
      <c r="V4070" t="s">
        <v>37</v>
      </c>
    </row>
    <row r="4071" spans="1:22">
      <c r="A4071" t="str">
        <f t="shared" si="708"/>
        <v>19/03/2026</v>
      </c>
      <c r="B4071" t="str">
        <f t="shared" si="705"/>
        <v>SAÍDA</v>
      </c>
      <c r="C4071" t="str">
        <f t="shared" si="706"/>
        <v>PIX</v>
      </c>
      <c r="D4071" t="str">
        <f>"35006"</f>
        <v>35006</v>
      </c>
      <c r="E4071" t="str">
        <f t="shared" si="709"/>
        <v>1</v>
      </c>
      <c r="F4071" t="str">
        <f t="shared" si="712"/>
        <v>COM</v>
      </c>
      <c r="G4071" t="str">
        <f t="shared" si="715"/>
        <v>HENDRYL SOUZA DA SILVA (1026)</v>
      </c>
      <c r="H4071" t="str">
        <f>"Serv.Prest. 09/03/2026 a 15/03/2026 - PIX: CPF - CHAVE: 499.814.888-52"</f>
        <v>Serv.Prest. 09/03/2026 a 15/03/2026 - PIX: CPF - CHAVE: 499.814.888-52</v>
      </c>
      <c r="I4071" t="str">
        <f t="shared" si="707"/>
        <v>19/03/2026</v>
      </c>
      <c r="J4071" t="str">
        <f t="shared" si="710"/>
        <v>17/03/2026</v>
      </c>
      <c r="K4071" t="str">
        <f>("19/03/2026")</f>
        <v>19/03/2026</v>
      </c>
      <c r="L4071">
        <v>155</v>
      </c>
      <c r="M4071">
        <v>155</v>
      </c>
      <c r="N4071">
        <v>109</v>
      </c>
      <c r="O4071" t="str">
        <f>"PAGAMENTO DE ENTREGADORES"</f>
        <v>PAGAMENTO DE ENTREGADORES</v>
      </c>
      <c r="P4071">
        <v>155</v>
      </c>
      <c r="S4071" t="str">
        <f>"BANCO C6 (149)"</f>
        <v>BANCO C6 (149)</v>
      </c>
      <c r="T4071">
        <v>31711</v>
      </c>
      <c r="U4071">
        <v>35006</v>
      </c>
      <c r="V4071" t="s">
        <v>37</v>
      </c>
    </row>
    <row r="4072" spans="1:22">
      <c r="A4072" t="str">
        <f t="shared" si="708"/>
        <v>19/03/2026</v>
      </c>
      <c r="B4072" t="str">
        <f t="shared" si="705"/>
        <v>SAÍDA</v>
      </c>
      <c r="C4072" t="str">
        <f t="shared" si="706"/>
        <v>PIX</v>
      </c>
      <c r="D4072" t="str">
        <f>"35006"</f>
        <v>35006</v>
      </c>
      <c r="E4072" t="str">
        <f t="shared" si="709"/>
        <v>1</v>
      </c>
      <c r="F4072" t="str">
        <f t="shared" si="712"/>
        <v>COM</v>
      </c>
      <c r="G4072" t="str">
        <f t="shared" si="715"/>
        <v>HENDRYL SOUZA DA SILVA (1026)</v>
      </c>
      <c r="H4072" t="s">
        <v>1111</v>
      </c>
      <c r="I4072" t="str">
        <f t="shared" si="707"/>
        <v>19/03/2026</v>
      </c>
      <c r="J4072" t="str">
        <f t="shared" si="710"/>
        <v>17/03/2026</v>
      </c>
      <c r="K4072">
        <v>46100</v>
      </c>
      <c r="N4072">
        <v>109</v>
      </c>
      <c r="O4072" t="s">
        <v>27</v>
      </c>
      <c r="Q4072">
        <v>155</v>
      </c>
      <c r="R4072" t="str">
        <f>"PENSE FARMA 26 (10196)"</f>
        <v>PENSE FARMA 26 (10196)</v>
      </c>
      <c r="S4072" t="s">
        <v>37</v>
      </c>
      <c r="T4072">
        <v>31711</v>
      </c>
      <c r="U4072">
        <v>35006</v>
      </c>
      <c r="V4072" t="s">
        <v>37</v>
      </c>
    </row>
    <row r="4073" spans="1:22">
      <c r="A4073" t="str">
        <f t="shared" si="708"/>
        <v>19/03/2026</v>
      </c>
      <c r="B4073" t="str">
        <f t="shared" ref="B4073:B4136" si="716">"SAÍDA"</f>
        <v>SAÍDA</v>
      </c>
      <c r="C4073" t="str">
        <f t="shared" ref="C4073:C4136" si="717">"PIX"</f>
        <v>PIX</v>
      </c>
      <c r="D4073" t="str">
        <f>"35007"</f>
        <v>35007</v>
      </c>
      <c r="E4073" t="str">
        <f t="shared" si="709"/>
        <v>1</v>
      </c>
      <c r="F4073" t="str">
        <f t="shared" si="712"/>
        <v>COM</v>
      </c>
      <c r="G4073" t="str">
        <f t="shared" si="715"/>
        <v>HENDRYL SOUZA DA SILVA (1026)</v>
      </c>
      <c r="H4073" t="str">
        <f>"Serv.Prest. 09/03/2026 a 15/03/2026 - PIX: CPF - CHAVE: 499.814.888-52"</f>
        <v>Serv.Prest. 09/03/2026 a 15/03/2026 - PIX: CPF - CHAVE: 499.814.888-52</v>
      </c>
      <c r="I4073" t="str">
        <f t="shared" ref="I4073:I4136" si="718">("19/03/2026")</f>
        <v>19/03/2026</v>
      </c>
      <c r="J4073" t="str">
        <f t="shared" si="710"/>
        <v>17/03/2026</v>
      </c>
      <c r="K4073" t="str">
        <f>("19/03/2026")</f>
        <v>19/03/2026</v>
      </c>
      <c r="L4073">
        <v>155</v>
      </c>
      <c r="M4073">
        <v>155</v>
      </c>
      <c r="N4073">
        <v>109</v>
      </c>
      <c r="O4073" t="str">
        <f>"PAGAMENTO DE ENTREGADORES"</f>
        <v>PAGAMENTO DE ENTREGADORES</v>
      </c>
      <c r="P4073">
        <v>155</v>
      </c>
      <c r="S4073" t="str">
        <f>"BANCO C6 (149)"</f>
        <v>BANCO C6 (149)</v>
      </c>
      <c r="T4073">
        <v>31712</v>
      </c>
      <c r="U4073">
        <v>35007</v>
      </c>
      <c r="V4073" t="s">
        <v>37</v>
      </c>
    </row>
    <row r="4074" spans="1:22">
      <c r="A4074" t="str">
        <f t="shared" si="708"/>
        <v>19/03/2026</v>
      </c>
      <c r="B4074" t="str">
        <f t="shared" si="716"/>
        <v>SAÍDA</v>
      </c>
      <c r="C4074" t="str">
        <f t="shared" si="717"/>
        <v>PIX</v>
      </c>
      <c r="D4074" t="str">
        <f>"35007"</f>
        <v>35007</v>
      </c>
      <c r="E4074" t="str">
        <f t="shared" si="709"/>
        <v>1</v>
      </c>
      <c r="F4074" t="str">
        <f t="shared" si="712"/>
        <v>COM</v>
      </c>
      <c r="G4074" t="str">
        <f t="shared" si="715"/>
        <v>HENDRYL SOUZA DA SILVA (1026)</v>
      </c>
      <c r="H4074" t="s">
        <v>1111</v>
      </c>
      <c r="I4074" t="str">
        <f t="shared" si="718"/>
        <v>19/03/2026</v>
      </c>
      <c r="J4074" t="str">
        <f t="shared" si="710"/>
        <v>17/03/2026</v>
      </c>
      <c r="K4074">
        <v>46100</v>
      </c>
      <c r="N4074">
        <v>109</v>
      </c>
      <c r="O4074" t="s">
        <v>27</v>
      </c>
      <c r="Q4074">
        <v>155</v>
      </c>
      <c r="R4074" t="str">
        <f>"PENSE FARMA 15 (10195)"</f>
        <v>PENSE FARMA 15 (10195)</v>
      </c>
      <c r="S4074" t="s">
        <v>37</v>
      </c>
      <c r="T4074">
        <v>31712</v>
      </c>
      <c r="U4074">
        <v>35007</v>
      </c>
      <c r="V4074" t="s">
        <v>37</v>
      </c>
    </row>
    <row r="4075" spans="1:22">
      <c r="A4075" t="str">
        <f t="shared" si="708"/>
        <v>19/03/2026</v>
      </c>
      <c r="B4075" t="str">
        <f t="shared" si="716"/>
        <v>SAÍDA</v>
      </c>
      <c r="C4075" t="str">
        <f t="shared" si="717"/>
        <v>PIX</v>
      </c>
      <c r="D4075" t="str">
        <f>"35012"</f>
        <v>35012</v>
      </c>
      <c r="E4075" t="str">
        <f t="shared" si="709"/>
        <v>1</v>
      </c>
      <c r="F4075" t="str">
        <f t="shared" si="712"/>
        <v>COM</v>
      </c>
      <c r="G4075" t="str">
        <f t="shared" ref="G4075:G4082" si="719">"JEFFERSON AMORIM DA SILVA (940)"</f>
        <v>JEFFERSON AMORIM DA SILVA (940)</v>
      </c>
      <c r="H4075" t="str">
        <f>"Serv.Prest. 09/03/2026 a 15/03/2026 - PIX: CPF - CHAVE: 423.685.688-32"</f>
        <v>Serv.Prest. 09/03/2026 a 15/03/2026 - PIX: CPF - CHAVE: 423.685.688-32</v>
      </c>
      <c r="I4075" t="str">
        <f t="shared" si="718"/>
        <v>19/03/2026</v>
      </c>
      <c r="J4075" t="str">
        <f t="shared" si="710"/>
        <v>17/03/2026</v>
      </c>
      <c r="K4075" t="str">
        <f>("19/03/2026")</f>
        <v>19/03/2026</v>
      </c>
      <c r="L4075">
        <v>350</v>
      </c>
      <c r="M4075">
        <v>387.5</v>
      </c>
      <c r="N4075">
        <v>109</v>
      </c>
      <c r="O4075" t="str">
        <f>"PAGAMENTO DE ENTREGADORES"</f>
        <v>PAGAMENTO DE ENTREGADORES</v>
      </c>
      <c r="P4075">
        <v>387.5</v>
      </c>
      <c r="S4075" t="str">
        <f>"BANCO C6 (149)"</f>
        <v>BANCO C6 (149)</v>
      </c>
      <c r="T4075">
        <v>31713</v>
      </c>
      <c r="U4075">
        <v>35012</v>
      </c>
      <c r="V4075" t="s">
        <v>37</v>
      </c>
    </row>
    <row r="4076" spans="1:22">
      <c r="A4076" t="str">
        <f t="shared" si="708"/>
        <v>19/03/2026</v>
      </c>
      <c r="B4076" t="str">
        <f t="shared" si="716"/>
        <v>SAÍDA</v>
      </c>
      <c r="C4076" t="str">
        <f t="shared" si="717"/>
        <v>PIX</v>
      </c>
      <c r="D4076" t="str">
        <f>"35012"</f>
        <v>35012</v>
      </c>
      <c r="E4076" t="str">
        <f t="shared" si="709"/>
        <v>1</v>
      </c>
      <c r="F4076" t="str">
        <f t="shared" si="712"/>
        <v>COM</v>
      </c>
      <c r="G4076" t="str">
        <f t="shared" si="719"/>
        <v>JEFFERSON AMORIM DA SILVA (940)</v>
      </c>
      <c r="H4076" t="s">
        <v>1112</v>
      </c>
      <c r="I4076" t="str">
        <f t="shared" si="718"/>
        <v>19/03/2026</v>
      </c>
      <c r="J4076" t="str">
        <f t="shared" si="710"/>
        <v>17/03/2026</v>
      </c>
      <c r="K4076">
        <v>46100</v>
      </c>
      <c r="N4076">
        <v>109</v>
      </c>
      <c r="O4076" t="s">
        <v>27</v>
      </c>
      <c r="Q4076">
        <v>387.5</v>
      </c>
      <c r="R4076" t="str">
        <f>"PENSE FARMA 61 (10243)"</f>
        <v>PENSE FARMA 61 (10243)</v>
      </c>
      <c r="S4076" t="s">
        <v>37</v>
      </c>
      <c r="T4076">
        <v>31713</v>
      </c>
      <c r="U4076">
        <v>35012</v>
      </c>
      <c r="V4076" t="s">
        <v>37</v>
      </c>
    </row>
    <row r="4077" spans="1:22">
      <c r="A4077" t="str">
        <f t="shared" si="708"/>
        <v>19/03/2026</v>
      </c>
      <c r="B4077" t="str">
        <f t="shared" si="716"/>
        <v>SAÍDA</v>
      </c>
      <c r="C4077" t="str">
        <f t="shared" si="717"/>
        <v>PIX</v>
      </c>
      <c r="D4077" t="str">
        <f>"35013"</f>
        <v>35013</v>
      </c>
      <c r="E4077" t="str">
        <f t="shared" si="709"/>
        <v>1</v>
      </c>
      <c r="F4077" t="str">
        <f t="shared" si="712"/>
        <v>COM</v>
      </c>
      <c r="G4077" t="str">
        <f t="shared" si="719"/>
        <v>JEFFERSON AMORIM DA SILVA (940)</v>
      </c>
      <c r="H4077" t="str">
        <f>"Serv.Prest. 09/03/2026 a 15/03/2026 - PIX: CPF - CHAVE: 423.685.688-32"</f>
        <v>Serv.Prest. 09/03/2026 a 15/03/2026 - PIX: CPF - CHAVE: 423.685.688-32</v>
      </c>
      <c r="I4077" t="str">
        <f t="shared" si="718"/>
        <v>19/03/2026</v>
      </c>
      <c r="J4077" t="str">
        <f t="shared" si="710"/>
        <v>17/03/2026</v>
      </c>
      <c r="K4077" t="str">
        <f>("19/03/2026")</f>
        <v>19/03/2026</v>
      </c>
      <c r="L4077">
        <v>350</v>
      </c>
      <c r="M4077">
        <v>387.5</v>
      </c>
      <c r="N4077">
        <v>109</v>
      </c>
      <c r="O4077" t="str">
        <f>"PAGAMENTO DE ENTREGADORES"</f>
        <v>PAGAMENTO DE ENTREGADORES</v>
      </c>
      <c r="P4077">
        <v>387.5</v>
      </c>
      <c r="S4077" t="str">
        <f>"BANCO C6 (149)"</f>
        <v>BANCO C6 (149)</v>
      </c>
      <c r="T4077">
        <v>31714</v>
      </c>
      <c r="U4077">
        <v>35013</v>
      </c>
      <c r="V4077" t="s">
        <v>37</v>
      </c>
    </row>
    <row r="4078" spans="1:22">
      <c r="A4078" t="str">
        <f t="shared" si="708"/>
        <v>19/03/2026</v>
      </c>
      <c r="B4078" t="str">
        <f t="shared" si="716"/>
        <v>SAÍDA</v>
      </c>
      <c r="C4078" t="str">
        <f t="shared" si="717"/>
        <v>PIX</v>
      </c>
      <c r="D4078" t="str">
        <f>"35013"</f>
        <v>35013</v>
      </c>
      <c r="E4078" t="str">
        <f t="shared" si="709"/>
        <v>1</v>
      </c>
      <c r="F4078" t="str">
        <f t="shared" si="712"/>
        <v>COM</v>
      </c>
      <c r="G4078" t="str">
        <f t="shared" si="719"/>
        <v>JEFFERSON AMORIM DA SILVA (940)</v>
      </c>
      <c r="H4078" t="s">
        <v>1112</v>
      </c>
      <c r="I4078" t="str">
        <f t="shared" si="718"/>
        <v>19/03/2026</v>
      </c>
      <c r="J4078" t="str">
        <f t="shared" si="710"/>
        <v>17/03/2026</v>
      </c>
      <c r="K4078">
        <v>46100</v>
      </c>
      <c r="N4078">
        <v>109</v>
      </c>
      <c r="O4078" t="s">
        <v>27</v>
      </c>
      <c r="Q4078">
        <v>387.5</v>
      </c>
      <c r="R4078" t="str">
        <f>"PENSE FARMA 60 (10197)"</f>
        <v>PENSE FARMA 60 (10197)</v>
      </c>
      <c r="S4078" t="s">
        <v>37</v>
      </c>
      <c r="T4078">
        <v>31714</v>
      </c>
      <c r="U4078">
        <v>35013</v>
      </c>
      <c r="V4078" t="s">
        <v>37</v>
      </c>
    </row>
    <row r="4079" spans="1:22">
      <c r="A4079" t="str">
        <f t="shared" si="708"/>
        <v>19/03/2026</v>
      </c>
      <c r="B4079" t="str">
        <f t="shared" si="716"/>
        <v>SAÍDA</v>
      </c>
      <c r="C4079" t="str">
        <f t="shared" si="717"/>
        <v>PIX</v>
      </c>
      <c r="D4079" t="str">
        <f>"35014"</f>
        <v>35014</v>
      </c>
      <c r="E4079" t="str">
        <f t="shared" si="709"/>
        <v>1</v>
      </c>
      <c r="F4079" t="str">
        <f t="shared" si="712"/>
        <v>COM</v>
      </c>
      <c r="G4079" t="str">
        <f t="shared" si="719"/>
        <v>JEFFERSON AMORIM DA SILVA (940)</v>
      </c>
      <c r="H4079" t="str">
        <f>"Serv.Prest. 09/03/2026 a 15/03/2026 - PIX: CPF - CHAVE: 423.685.688-32"</f>
        <v>Serv.Prest. 09/03/2026 a 15/03/2026 - PIX: CPF - CHAVE: 423.685.688-32</v>
      </c>
      <c r="I4079" t="str">
        <f t="shared" si="718"/>
        <v>19/03/2026</v>
      </c>
      <c r="J4079" t="str">
        <f t="shared" si="710"/>
        <v>17/03/2026</v>
      </c>
      <c r="K4079" t="str">
        <f>("19/03/2026")</f>
        <v>19/03/2026</v>
      </c>
      <c r="L4079">
        <v>350</v>
      </c>
      <c r="M4079">
        <v>387.5</v>
      </c>
      <c r="N4079">
        <v>109</v>
      </c>
      <c r="O4079" t="str">
        <f>"PAGAMENTO DE ENTREGADORES"</f>
        <v>PAGAMENTO DE ENTREGADORES</v>
      </c>
      <c r="P4079">
        <v>387.5</v>
      </c>
      <c r="S4079" t="str">
        <f>"BANCO C6 (149)"</f>
        <v>BANCO C6 (149)</v>
      </c>
      <c r="T4079">
        <v>31715</v>
      </c>
      <c r="U4079">
        <v>35014</v>
      </c>
      <c r="V4079" t="s">
        <v>37</v>
      </c>
    </row>
    <row r="4080" spans="1:22">
      <c r="A4080" t="str">
        <f t="shared" ref="A4080:A4143" si="720">("19/03/2026")</f>
        <v>19/03/2026</v>
      </c>
      <c r="B4080" t="str">
        <f t="shared" si="716"/>
        <v>SAÍDA</v>
      </c>
      <c r="C4080" t="str">
        <f t="shared" si="717"/>
        <v>PIX</v>
      </c>
      <c r="D4080" t="str">
        <f>"35014"</f>
        <v>35014</v>
      </c>
      <c r="E4080" t="str">
        <f t="shared" si="709"/>
        <v>1</v>
      </c>
      <c r="F4080" t="str">
        <f t="shared" si="712"/>
        <v>COM</v>
      </c>
      <c r="G4080" t="str">
        <f t="shared" si="719"/>
        <v>JEFFERSON AMORIM DA SILVA (940)</v>
      </c>
      <c r="H4080" t="s">
        <v>1112</v>
      </c>
      <c r="I4080" t="str">
        <f t="shared" si="718"/>
        <v>19/03/2026</v>
      </c>
      <c r="J4080" t="str">
        <f t="shared" si="710"/>
        <v>17/03/2026</v>
      </c>
      <c r="K4080">
        <v>46100</v>
      </c>
      <c r="N4080">
        <v>109</v>
      </c>
      <c r="O4080" t="s">
        <v>27</v>
      </c>
      <c r="Q4080">
        <v>387.5</v>
      </c>
      <c r="R4080" t="str">
        <f>"PENSE FARMA 26 (10196)"</f>
        <v>PENSE FARMA 26 (10196)</v>
      </c>
      <c r="S4080" t="s">
        <v>37</v>
      </c>
      <c r="T4080">
        <v>31715</v>
      </c>
      <c r="U4080">
        <v>35014</v>
      </c>
      <c r="V4080" t="s">
        <v>37</v>
      </c>
    </row>
    <row r="4081" spans="1:22">
      <c r="A4081" t="str">
        <f t="shared" si="720"/>
        <v>19/03/2026</v>
      </c>
      <c r="B4081" t="str">
        <f t="shared" si="716"/>
        <v>SAÍDA</v>
      </c>
      <c r="C4081" t="str">
        <f t="shared" si="717"/>
        <v>PIX</v>
      </c>
      <c r="D4081" t="str">
        <f>"35015"</f>
        <v>35015</v>
      </c>
      <c r="E4081" t="str">
        <f t="shared" si="709"/>
        <v>1</v>
      </c>
      <c r="F4081" t="str">
        <f t="shared" si="712"/>
        <v>COM</v>
      </c>
      <c r="G4081" t="str">
        <f t="shared" si="719"/>
        <v>JEFFERSON AMORIM DA SILVA (940)</v>
      </c>
      <c r="H4081" t="str">
        <f>"Serv.Prest. 09/03/2026 a 15/03/2026 - PIX: CPF - CHAVE: 423.685.688-32"</f>
        <v>Serv.Prest. 09/03/2026 a 15/03/2026 - PIX: CPF - CHAVE: 423.685.688-32</v>
      </c>
      <c r="I4081" t="str">
        <f t="shared" si="718"/>
        <v>19/03/2026</v>
      </c>
      <c r="J4081" t="str">
        <f t="shared" si="710"/>
        <v>17/03/2026</v>
      </c>
      <c r="K4081" t="str">
        <f>("19/03/2026")</f>
        <v>19/03/2026</v>
      </c>
      <c r="L4081">
        <v>350</v>
      </c>
      <c r="M4081">
        <v>387.5</v>
      </c>
      <c r="N4081">
        <v>109</v>
      </c>
      <c r="O4081" t="str">
        <f>"PAGAMENTO DE ENTREGADORES"</f>
        <v>PAGAMENTO DE ENTREGADORES</v>
      </c>
      <c r="P4081">
        <v>387.5</v>
      </c>
      <c r="S4081" t="str">
        <f>"BANCO C6 (149)"</f>
        <v>BANCO C6 (149)</v>
      </c>
      <c r="T4081">
        <v>31716</v>
      </c>
      <c r="U4081">
        <v>35015</v>
      </c>
      <c r="V4081" t="s">
        <v>37</v>
      </c>
    </row>
    <row r="4082" spans="1:22">
      <c r="A4082" t="str">
        <f t="shared" si="720"/>
        <v>19/03/2026</v>
      </c>
      <c r="B4082" t="str">
        <f t="shared" si="716"/>
        <v>SAÍDA</v>
      </c>
      <c r="C4082" t="str">
        <f t="shared" si="717"/>
        <v>PIX</v>
      </c>
      <c r="D4082" t="str">
        <f>"35015"</f>
        <v>35015</v>
      </c>
      <c r="E4082" t="str">
        <f t="shared" si="709"/>
        <v>1</v>
      </c>
      <c r="F4082" t="str">
        <f t="shared" si="712"/>
        <v>COM</v>
      </c>
      <c r="G4082" t="str">
        <f t="shared" si="719"/>
        <v>JEFFERSON AMORIM DA SILVA (940)</v>
      </c>
      <c r="H4082" t="s">
        <v>1112</v>
      </c>
      <c r="I4082" t="str">
        <f t="shared" si="718"/>
        <v>19/03/2026</v>
      </c>
      <c r="J4082" t="str">
        <f t="shared" si="710"/>
        <v>17/03/2026</v>
      </c>
      <c r="K4082">
        <v>46100</v>
      </c>
      <c r="N4082">
        <v>109</v>
      </c>
      <c r="O4082" t="s">
        <v>27</v>
      </c>
      <c r="Q4082">
        <v>387.5</v>
      </c>
      <c r="R4082" t="str">
        <f>"PENSE FARMA 15 (10195)"</f>
        <v>PENSE FARMA 15 (10195)</v>
      </c>
      <c r="S4082" t="s">
        <v>37</v>
      </c>
      <c r="T4082">
        <v>31716</v>
      </c>
      <c r="U4082">
        <v>35015</v>
      </c>
      <c r="V4082" t="s">
        <v>37</v>
      </c>
    </row>
    <row r="4083" spans="1:22">
      <c r="A4083" t="str">
        <f t="shared" si="720"/>
        <v>19/03/2026</v>
      </c>
      <c r="B4083" t="str">
        <f t="shared" si="716"/>
        <v>SAÍDA</v>
      </c>
      <c r="C4083" t="str">
        <f t="shared" si="717"/>
        <v>PIX</v>
      </c>
      <c r="D4083" t="str">
        <f>"35017"</f>
        <v>35017</v>
      </c>
      <c r="E4083" t="str">
        <f t="shared" si="709"/>
        <v>1</v>
      </c>
      <c r="F4083" t="str">
        <f t="shared" si="712"/>
        <v>COM</v>
      </c>
      <c r="G4083" t="str">
        <f>"ALAN COSTA SILVA (994)"</f>
        <v>ALAN COSTA SILVA (994)</v>
      </c>
      <c r="H4083" t="str">
        <f>"Serv.Prest. 09/03/2026 a 15/03/2026 - PIX: CELULAR - CHAVE: (11) 98484-6837"</f>
        <v>Serv.Prest. 09/03/2026 a 15/03/2026 - PIX: CELULAR - CHAVE: (11) 98484-6837</v>
      </c>
      <c r="I4083" t="str">
        <f t="shared" si="718"/>
        <v>19/03/2026</v>
      </c>
      <c r="J4083" t="str">
        <f t="shared" si="710"/>
        <v>17/03/2026</v>
      </c>
      <c r="K4083" t="str">
        <f>("19/03/2026")</f>
        <v>19/03/2026</v>
      </c>
      <c r="L4083">
        <v>1006</v>
      </c>
      <c r="M4083">
        <v>1006</v>
      </c>
      <c r="N4083">
        <v>109</v>
      </c>
      <c r="O4083" t="str">
        <f>"PAGAMENTO DE ENTREGADORES"</f>
        <v>PAGAMENTO DE ENTREGADORES</v>
      </c>
      <c r="P4083">
        <v>1006</v>
      </c>
      <c r="S4083" t="str">
        <f>"BANCO C6 (149)"</f>
        <v>BANCO C6 (149)</v>
      </c>
      <c r="T4083">
        <v>31717</v>
      </c>
      <c r="U4083">
        <v>35017</v>
      </c>
      <c r="V4083" t="s">
        <v>37</v>
      </c>
    </row>
    <row r="4084" spans="1:22">
      <c r="A4084" t="str">
        <f t="shared" si="720"/>
        <v>19/03/2026</v>
      </c>
      <c r="B4084" t="str">
        <f t="shared" si="716"/>
        <v>SAÍDA</v>
      </c>
      <c r="C4084" t="str">
        <f t="shared" si="717"/>
        <v>PIX</v>
      </c>
      <c r="D4084" t="str">
        <f>"35017"</f>
        <v>35017</v>
      </c>
      <c r="E4084" t="str">
        <f t="shared" si="709"/>
        <v>1</v>
      </c>
      <c r="F4084" t="str">
        <f t="shared" si="712"/>
        <v>COM</v>
      </c>
      <c r="G4084" t="str">
        <f>"ALAN COSTA SILVA (994)"</f>
        <v>ALAN COSTA SILVA (994)</v>
      </c>
      <c r="H4084" t="s">
        <v>826</v>
      </c>
      <c r="I4084" t="str">
        <f t="shared" si="718"/>
        <v>19/03/2026</v>
      </c>
      <c r="J4084" t="str">
        <f t="shared" si="710"/>
        <v>17/03/2026</v>
      </c>
      <c r="K4084">
        <v>46100</v>
      </c>
      <c r="N4084">
        <v>109</v>
      </c>
      <c r="O4084" t="s">
        <v>27</v>
      </c>
      <c r="Q4084">
        <v>1006</v>
      </c>
      <c r="R4084" t="str">
        <f>"PENSE FARMA 19 (10223)"</f>
        <v>PENSE FARMA 19 (10223)</v>
      </c>
      <c r="S4084" t="s">
        <v>37</v>
      </c>
      <c r="T4084">
        <v>31717</v>
      </c>
      <c r="U4084">
        <v>35017</v>
      </c>
      <c r="V4084" t="s">
        <v>37</v>
      </c>
    </row>
    <row r="4085" spans="1:22">
      <c r="A4085" t="str">
        <f t="shared" si="720"/>
        <v>19/03/2026</v>
      </c>
      <c r="B4085" t="str">
        <f t="shared" si="716"/>
        <v>SAÍDA</v>
      </c>
      <c r="C4085" t="str">
        <f t="shared" si="717"/>
        <v>PIX</v>
      </c>
      <c r="D4085" t="str">
        <f>"35018"</f>
        <v>35018</v>
      </c>
      <c r="E4085" t="str">
        <f t="shared" si="709"/>
        <v>1</v>
      </c>
      <c r="F4085" t="str">
        <f t="shared" si="712"/>
        <v>COM</v>
      </c>
      <c r="G4085" t="str">
        <f>"ANDREA VOLPONI (1004)"</f>
        <v>ANDREA VOLPONI (1004)</v>
      </c>
      <c r="H4085" t="str">
        <f>"Serv.Prest. 09/03/2026 a 15/03/2026 - PIX: CPF - CHAVE: 361.750.258-06"</f>
        <v>Serv.Prest. 09/03/2026 a 15/03/2026 - PIX: CPF - CHAVE: 361.750.258-06</v>
      </c>
      <c r="I4085" t="str">
        <f t="shared" si="718"/>
        <v>19/03/2026</v>
      </c>
      <c r="J4085" t="str">
        <f t="shared" si="710"/>
        <v>17/03/2026</v>
      </c>
      <c r="K4085" t="str">
        <f>("19/03/2026")</f>
        <v>19/03/2026</v>
      </c>
      <c r="L4085">
        <v>770</v>
      </c>
      <c r="M4085">
        <v>770</v>
      </c>
      <c r="N4085">
        <v>109</v>
      </c>
      <c r="O4085" t="str">
        <f>"PAGAMENTO DE ENTREGADORES"</f>
        <v>PAGAMENTO DE ENTREGADORES</v>
      </c>
      <c r="P4085">
        <v>770</v>
      </c>
      <c r="S4085" t="str">
        <f>"BANCO C6 (149)"</f>
        <v>BANCO C6 (149)</v>
      </c>
      <c r="T4085">
        <v>31718</v>
      </c>
      <c r="U4085">
        <v>35018</v>
      </c>
      <c r="V4085" t="s">
        <v>37</v>
      </c>
    </row>
    <row r="4086" spans="1:22">
      <c r="A4086" t="str">
        <f t="shared" si="720"/>
        <v>19/03/2026</v>
      </c>
      <c r="B4086" t="str">
        <f t="shared" si="716"/>
        <v>SAÍDA</v>
      </c>
      <c r="C4086" t="str">
        <f t="shared" si="717"/>
        <v>PIX</v>
      </c>
      <c r="D4086" t="str">
        <f>"35018"</f>
        <v>35018</v>
      </c>
      <c r="E4086" t="str">
        <f t="shared" si="709"/>
        <v>1</v>
      </c>
      <c r="F4086" t="str">
        <f t="shared" si="712"/>
        <v>COM</v>
      </c>
      <c r="G4086" t="str">
        <f>"ANDREA VOLPONI (1004)"</f>
        <v>ANDREA VOLPONI (1004)</v>
      </c>
      <c r="H4086" t="s">
        <v>877</v>
      </c>
      <c r="I4086" t="str">
        <f t="shared" si="718"/>
        <v>19/03/2026</v>
      </c>
      <c r="J4086" t="str">
        <f t="shared" si="710"/>
        <v>17/03/2026</v>
      </c>
      <c r="K4086">
        <v>46100</v>
      </c>
      <c r="N4086">
        <v>109</v>
      </c>
      <c r="O4086" t="s">
        <v>27</v>
      </c>
      <c r="Q4086">
        <v>770</v>
      </c>
      <c r="R4086" t="str">
        <f>"PENSE FARMA 19 (10223)"</f>
        <v>PENSE FARMA 19 (10223)</v>
      </c>
      <c r="S4086" t="s">
        <v>37</v>
      </c>
      <c r="T4086">
        <v>31718</v>
      </c>
      <c r="U4086">
        <v>35018</v>
      </c>
      <c r="V4086" t="s">
        <v>37</v>
      </c>
    </row>
    <row r="4087" spans="1:22">
      <c r="A4087" t="str">
        <f t="shared" si="720"/>
        <v>19/03/2026</v>
      </c>
      <c r="B4087" t="str">
        <f t="shared" si="716"/>
        <v>SAÍDA</v>
      </c>
      <c r="C4087" t="str">
        <f t="shared" si="717"/>
        <v>PIX</v>
      </c>
      <c r="D4087" t="str">
        <f>"35020"</f>
        <v>35020</v>
      </c>
      <c r="E4087" t="str">
        <f t="shared" ref="E4087:E4150" si="721">"1"</f>
        <v>1</v>
      </c>
      <c r="F4087" t="str">
        <f t="shared" si="712"/>
        <v>COM</v>
      </c>
      <c r="G4087" t="str">
        <f>"GUILHERME AMARAL PEREIRA (1368)"</f>
        <v>GUILHERME AMARAL PEREIRA (1368)</v>
      </c>
      <c r="H4087" t="str">
        <f>"Serv.Prest. 09/03/2026 a 15/03/2026 - PIX: CPF - CHAVE: 442.268.128-16"</f>
        <v>Serv.Prest. 09/03/2026 a 15/03/2026 - PIX: CPF - CHAVE: 442.268.128-16</v>
      </c>
      <c r="I4087" t="str">
        <f t="shared" si="718"/>
        <v>19/03/2026</v>
      </c>
      <c r="J4087" t="str">
        <f t="shared" si="710"/>
        <v>17/03/2026</v>
      </c>
      <c r="K4087" t="str">
        <f>("19/03/2026")</f>
        <v>19/03/2026</v>
      </c>
      <c r="L4087">
        <v>750</v>
      </c>
      <c r="M4087">
        <v>750</v>
      </c>
      <c r="N4087">
        <v>109</v>
      </c>
      <c r="O4087" t="str">
        <f>"PAGAMENTO DE ENTREGADORES"</f>
        <v>PAGAMENTO DE ENTREGADORES</v>
      </c>
      <c r="P4087">
        <v>750</v>
      </c>
      <c r="S4087" t="str">
        <f>"BANCO C6 (149)"</f>
        <v>BANCO C6 (149)</v>
      </c>
      <c r="T4087">
        <v>31719</v>
      </c>
      <c r="U4087">
        <v>35020</v>
      </c>
      <c r="V4087" t="s">
        <v>37</v>
      </c>
    </row>
    <row r="4088" spans="1:22">
      <c r="A4088" t="str">
        <f t="shared" si="720"/>
        <v>19/03/2026</v>
      </c>
      <c r="B4088" t="str">
        <f t="shared" si="716"/>
        <v>SAÍDA</v>
      </c>
      <c r="C4088" t="str">
        <f t="shared" si="717"/>
        <v>PIX</v>
      </c>
      <c r="D4088" t="str">
        <f>"35020"</f>
        <v>35020</v>
      </c>
      <c r="E4088" t="str">
        <f t="shared" si="721"/>
        <v>1</v>
      </c>
      <c r="F4088" t="str">
        <f t="shared" si="712"/>
        <v>COM</v>
      </c>
      <c r="G4088" t="str">
        <f>"GUILHERME AMARAL PEREIRA (1368)"</f>
        <v>GUILHERME AMARAL PEREIRA (1368)</v>
      </c>
      <c r="H4088" t="s">
        <v>1113</v>
      </c>
      <c r="I4088" t="str">
        <f t="shared" si="718"/>
        <v>19/03/2026</v>
      </c>
      <c r="J4088" t="str">
        <f t="shared" si="710"/>
        <v>17/03/2026</v>
      </c>
      <c r="K4088">
        <v>46100</v>
      </c>
      <c r="N4088">
        <v>109</v>
      </c>
      <c r="O4088" t="s">
        <v>27</v>
      </c>
      <c r="Q4088">
        <v>750</v>
      </c>
      <c r="R4088" t="str">
        <f>"PENSE FARMA 22 (10198)"</f>
        <v>PENSE FARMA 22 (10198)</v>
      </c>
      <c r="S4088" t="s">
        <v>37</v>
      </c>
      <c r="T4088">
        <v>31719</v>
      </c>
      <c r="U4088">
        <v>35020</v>
      </c>
      <c r="V4088" t="s">
        <v>37</v>
      </c>
    </row>
    <row r="4089" spans="1:22">
      <c r="A4089" t="str">
        <f t="shared" si="720"/>
        <v>19/03/2026</v>
      </c>
      <c r="B4089" t="str">
        <f t="shared" si="716"/>
        <v>SAÍDA</v>
      </c>
      <c r="C4089" t="str">
        <f t="shared" si="717"/>
        <v>PIX</v>
      </c>
      <c r="D4089" t="str">
        <f>"35021"</f>
        <v>35021</v>
      </c>
      <c r="E4089" t="str">
        <f t="shared" si="721"/>
        <v>1</v>
      </c>
      <c r="F4089" t="str">
        <f t="shared" si="712"/>
        <v>COM</v>
      </c>
      <c r="G4089" t="str">
        <f>"LUCAS DA VISITACAO DOS (1332)"</f>
        <v>LUCAS DA VISITACAO DOS (1332)</v>
      </c>
      <c r="H4089" t="str">
        <f>"Serv.Prest. 09/03/2026 a 15/03/2026 - PIX: CELULAR - CHAVE: (11) 94139-4820"</f>
        <v>Serv.Prest. 09/03/2026 a 15/03/2026 - PIX: CELULAR - CHAVE: (11) 94139-4820</v>
      </c>
      <c r="I4089" t="str">
        <f t="shared" si="718"/>
        <v>19/03/2026</v>
      </c>
      <c r="J4089" t="str">
        <f t="shared" si="710"/>
        <v>17/03/2026</v>
      </c>
      <c r="K4089" t="str">
        <f>("19/03/2026")</f>
        <v>19/03/2026</v>
      </c>
      <c r="L4089">
        <v>900</v>
      </c>
      <c r="M4089">
        <v>900</v>
      </c>
      <c r="N4089">
        <v>109</v>
      </c>
      <c r="O4089" t="str">
        <f>"PAGAMENTO DE ENTREGADORES"</f>
        <v>PAGAMENTO DE ENTREGADORES</v>
      </c>
      <c r="P4089">
        <v>900</v>
      </c>
      <c r="S4089" t="str">
        <f>"BANCO C6 (149)"</f>
        <v>BANCO C6 (149)</v>
      </c>
      <c r="T4089">
        <v>31720</v>
      </c>
      <c r="U4089">
        <v>35021</v>
      </c>
      <c r="V4089" t="s">
        <v>37</v>
      </c>
    </row>
    <row r="4090" spans="1:22">
      <c r="A4090" t="str">
        <f t="shared" si="720"/>
        <v>19/03/2026</v>
      </c>
      <c r="B4090" t="str">
        <f t="shared" si="716"/>
        <v>SAÍDA</v>
      </c>
      <c r="C4090" t="str">
        <f t="shared" si="717"/>
        <v>PIX</v>
      </c>
      <c r="D4090" t="str">
        <f>"35021"</f>
        <v>35021</v>
      </c>
      <c r="E4090" t="str">
        <f t="shared" si="721"/>
        <v>1</v>
      </c>
      <c r="F4090" t="str">
        <f t="shared" si="712"/>
        <v>COM</v>
      </c>
      <c r="G4090" t="str">
        <f>"LUCAS DA VISITACAO DOS (1332)"</f>
        <v>LUCAS DA VISITACAO DOS (1332)</v>
      </c>
      <c r="H4090" t="s">
        <v>1114</v>
      </c>
      <c r="I4090" t="str">
        <f t="shared" si="718"/>
        <v>19/03/2026</v>
      </c>
      <c r="J4090" t="str">
        <f t="shared" si="710"/>
        <v>17/03/2026</v>
      </c>
      <c r="K4090">
        <v>46100</v>
      </c>
      <c r="N4090">
        <v>109</v>
      </c>
      <c r="O4090" t="s">
        <v>27</v>
      </c>
      <c r="Q4090">
        <v>900</v>
      </c>
      <c r="R4090" t="str">
        <f>"PENSE FARMA 22 (10198)"</f>
        <v>PENSE FARMA 22 (10198)</v>
      </c>
      <c r="S4090" t="s">
        <v>37</v>
      </c>
      <c r="T4090">
        <v>31720</v>
      </c>
      <c r="U4090">
        <v>35021</v>
      </c>
      <c r="V4090" t="s">
        <v>37</v>
      </c>
    </row>
    <row r="4091" spans="1:22">
      <c r="A4091" t="str">
        <f t="shared" si="720"/>
        <v>19/03/2026</v>
      </c>
      <c r="B4091" t="str">
        <f t="shared" si="716"/>
        <v>SAÍDA</v>
      </c>
      <c r="C4091" t="str">
        <f t="shared" si="717"/>
        <v>PIX</v>
      </c>
      <c r="D4091" t="str">
        <f>"35022"</f>
        <v>35022</v>
      </c>
      <c r="E4091" t="str">
        <f t="shared" si="721"/>
        <v>1</v>
      </c>
      <c r="F4091" t="str">
        <f t="shared" si="712"/>
        <v>COM</v>
      </c>
      <c r="G4091" t="str">
        <f>"PEDRO HENRIQUE ALVES DA SILVA (1133)"</f>
        <v>PEDRO HENRIQUE ALVES DA SILVA (1133)</v>
      </c>
      <c r="H4091" t="str">
        <f>"Serv.Prest. 09/03/2026 a 15/03/2026 - PIX: CELULAR - CHAVE: (11) 98776-2232"</f>
        <v>Serv.Prest. 09/03/2026 a 15/03/2026 - PIX: CELULAR - CHAVE: (11) 98776-2232</v>
      </c>
      <c r="I4091" t="str">
        <f t="shared" si="718"/>
        <v>19/03/2026</v>
      </c>
      <c r="J4091" t="str">
        <f t="shared" si="710"/>
        <v>17/03/2026</v>
      </c>
      <c r="K4091" t="str">
        <f>("19/03/2026")</f>
        <v>19/03/2026</v>
      </c>
      <c r="L4091">
        <v>1300</v>
      </c>
      <c r="M4091">
        <v>1300</v>
      </c>
      <c r="N4091">
        <v>109</v>
      </c>
      <c r="O4091" t="str">
        <f>"PAGAMENTO DE ENTREGADORES"</f>
        <v>PAGAMENTO DE ENTREGADORES</v>
      </c>
      <c r="P4091">
        <v>1300</v>
      </c>
      <c r="S4091" t="str">
        <f>"BANCO C6 (149)"</f>
        <v>BANCO C6 (149)</v>
      </c>
      <c r="T4091">
        <v>31721</v>
      </c>
      <c r="U4091">
        <v>35022</v>
      </c>
      <c r="V4091" t="s">
        <v>37</v>
      </c>
    </row>
    <row r="4092" spans="1:22">
      <c r="A4092" t="str">
        <f t="shared" si="720"/>
        <v>19/03/2026</v>
      </c>
      <c r="B4092" t="str">
        <f t="shared" si="716"/>
        <v>SAÍDA</v>
      </c>
      <c r="C4092" t="str">
        <f t="shared" si="717"/>
        <v>PIX</v>
      </c>
      <c r="D4092" t="str">
        <f>"35022"</f>
        <v>35022</v>
      </c>
      <c r="E4092" t="str">
        <f t="shared" si="721"/>
        <v>1</v>
      </c>
      <c r="F4092" t="str">
        <f t="shared" si="712"/>
        <v>COM</v>
      </c>
      <c r="G4092" t="str">
        <f>"PEDRO HENRIQUE ALVES DA SILVA (1133)"</f>
        <v>PEDRO HENRIQUE ALVES DA SILVA (1133)</v>
      </c>
      <c r="H4092" t="s">
        <v>828</v>
      </c>
      <c r="I4092" t="str">
        <f t="shared" si="718"/>
        <v>19/03/2026</v>
      </c>
      <c r="J4092" t="str">
        <f t="shared" si="710"/>
        <v>17/03/2026</v>
      </c>
      <c r="K4092">
        <v>46100</v>
      </c>
      <c r="N4092">
        <v>109</v>
      </c>
      <c r="O4092" t="s">
        <v>27</v>
      </c>
      <c r="Q4092">
        <v>1300</v>
      </c>
      <c r="R4092" t="str">
        <f>"PENSE FARMA 22 (10198)"</f>
        <v>PENSE FARMA 22 (10198)</v>
      </c>
      <c r="S4092" t="s">
        <v>37</v>
      </c>
      <c r="T4092">
        <v>31721</v>
      </c>
      <c r="U4092">
        <v>35022</v>
      </c>
      <c r="V4092" t="s">
        <v>37</v>
      </c>
    </row>
    <row r="4093" spans="1:22">
      <c r="A4093" t="str">
        <f t="shared" si="720"/>
        <v>19/03/2026</v>
      </c>
      <c r="B4093" t="str">
        <f t="shared" si="716"/>
        <v>SAÍDA</v>
      </c>
      <c r="C4093" t="str">
        <f t="shared" si="717"/>
        <v>PIX</v>
      </c>
      <c r="D4093" t="str">
        <f>"35025"</f>
        <v>35025</v>
      </c>
      <c r="E4093" t="str">
        <f t="shared" si="721"/>
        <v>1</v>
      </c>
      <c r="F4093" t="str">
        <f t="shared" si="712"/>
        <v>COM</v>
      </c>
      <c r="G4093" t="str">
        <f>"VAGNER DIEGO DE OLIVEIRA MELO (990)"</f>
        <v>VAGNER DIEGO DE OLIVEIRA MELO (990)</v>
      </c>
      <c r="H4093" t="str">
        <f>"Serv.Prest. 09/03/2026 a 15/03/2026 - PIX: CPF - CHAVE: 419.678.508-52"</f>
        <v>Serv.Prest. 09/03/2026 a 15/03/2026 - PIX: CPF - CHAVE: 419.678.508-52</v>
      </c>
      <c r="I4093" t="str">
        <f t="shared" si="718"/>
        <v>19/03/2026</v>
      </c>
      <c r="J4093" t="str">
        <f t="shared" ref="J4093:J4156" si="722">("17/03/2026")</f>
        <v>17/03/2026</v>
      </c>
      <c r="K4093" t="str">
        <f>("19/03/2026")</f>
        <v>19/03/2026</v>
      </c>
      <c r="L4093">
        <v>1300</v>
      </c>
      <c r="M4093">
        <v>1300</v>
      </c>
      <c r="N4093">
        <v>109</v>
      </c>
      <c r="O4093" t="str">
        <f>"PAGAMENTO DE ENTREGADORES"</f>
        <v>PAGAMENTO DE ENTREGADORES</v>
      </c>
      <c r="P4093">
        <v>1300</v>
      </c>
      <c r="S4093" t="str">
        <f>"BANCO C6 (149)"</f>
        <v>BANCO C6 (149)</v>
      </c>
      <c r="T4093">
        <v>31722</v>
      </c>
      <c r="U4093">
        <v>35025</v>
      </c>
      <c r="V4093" t="s">
        <v>37</v>
      </c>
    </row>
    <row r="4094" spans="1:22">
      <c r="A4094" t="str">
        <f t="shared" si="720"/>
        <v>19/03/2026</v>
      </c>
      <c r="B4094" t="str">
        <f t="shared" si="716"/>
        <v>SAÍDA</v>
      </c>
      <c r="C4094" t="str">
        <f t="shared" si="717"/>
        <v>PIX</v>
      </c>
      <c r="D4094" t="str">
        <f>"35025"</f>
        <v>35025</v>
      </c>
      <c r="E4094" t="str">
        <f t="shared" si="721"/>
        <v>1</v>
      </c>
      <c r="F4094" t="str">
        <f t="shared" si="712"/>
        <v>COM</v>
      </c>
      <c r="G4094" t="str">
        <f>"VAGNER DIEGO DE OLIVEIRA MELO (990)"</f>
        <v>VAGNER DIEGO DE OLIVEIRA MELO (990)</v>
      </c>
      <c r="H4094" t="s">
        <v>1115</v>
      </c>
      <c r="I4094" t="str">
        <f t="shared" si="718"/>
        <v>19/03/2026</v>
      </c>
      <c r="J4094" t="str">
        <f t="shared" si="722"/>
        <v>17/03/2026</v>
      </c>
      <c r="K4094">
        <v>46100</v>
      </c>
      <c r="N4094">
        <v>109</v>
      </c>
      <c r="O4094" t="s">
        <v>27</v>
      </c>
      <c r="Q4094">
        <v>1300</v>
      </c>
      <c r="R4094" t="str">
        <f>"PENSE FARMA 25 (10224)"</f>
        <v>PENSE FARMA 25 (10224)</v>
      </c>
      <c r="S4094" t="s">
        <v>37</v>
      </c>
      <c r="T4094">
        <v>31722</v>
      </c>
      <c r="U4094">
        <v>35025</v>
      </c>
      <c r="V4094" t="s">
        <v>37</v>
      </c>
    </row>
    <row r="4095" spans="1:22">
      <c r="A4095" t="str">
        <f t="shared" si="720"/>
        <v>19/03/2026</v>
      </c>
      <c r="B4095" t="str">
        <f t="shared" si="716"/>
        <v>SAÍDA</v>
      </c>
      <c r="C4095" t="str">
        <f t="shared" si="717"/>
        <v>PIX</v>
      </c>
      <c r="D4095" t="str">
        <f>"35027"</f>
        <v>35027</v>
      </c>
      <c r="E4095" t="str">
        <f t="shared" si="721"/>
        <v>1</v>
      </c>
      <c r="F4095" t="str">
        <f t="shared" si="712"/>
        <v>COM</v>
      </c>
      <c r="G4095" t="str">
        <f t="shared" ref="G4095:G4100" si="723">"LUAN DOS REIS SILVA (954)"</f>
        <v>LUAN DOS REIS SILVA (954)</v>
      </c>
      <c r="H4095" t="str">
        <f>"Serv.Prest. 09/03/2026 a 15/03/2026 - PIX: CELULAR - CHAVE: (11) 95906-5439"</f>
        <v>Serv.Prest. 09/03/2026 a 15/03/2026 - PIX: CELULAR - CHAVE: (11) 95906-5439</v>
      </c>
      <c r="I4095" t="str">
        <f t="shared" si="718"/>
        <v>19/03/2026</v>
      </c>
      <c r="J4095" t="str">
        <f t="shared" si="722"/>
        <v>17/03/2026</v>
      </c>
      <c r="K4095" t="str">
        <f>("19/03/2026")</f>
        <v>19/03/2026</v>
      </c>
      <c r="L4095">
        <v>415</v>
      </c>
      <c r="M4095">
        <v>415</v>
      </c>
      <c r="N4095">
        <v>109</v>
      </c>
      <c r="O4095" t="str">
        <f>"PAGAMENTO DE ENTREGADORES"</f>
        <v>PAGAMENTO DE ENTREGADORES</v>
      </c>
      <c r="P4095">
        <v>415</v>
      </c>
      <c r="S4095" t="str">
        <f>"BANCO C6 (149)"</f>
        <v>BANCO C6 (149)</v>
      </c>
      <c r="T4095">
        <v>31723</v>
      </c>
      <c r="U4095">
        <v>35027</v>
      </c>
      <c r="V4095" t="s">
        <v>37</v>
      </c>
    </row>
    <row r="4096" spans="1:22">
      <c r="A4096" t="str">
        <f t="shared" si="720"/>
        <v>19/03/2026</v>
      </c>
      <c r="B4096" t="str">
        <f t="shared" si="716"/>
        <v>SAÍDA</v>
      </c>
      <c r="C4096" t="str">
        <f t="shared" si="717"/>
        <v>PIX</v>
      </c>
      <c r="D4096" t="str">
        <f>"35027"</f>
        <v>35027</v>
      </c>
      <c r="E4096" t="str">
        <f t="shared" si="721"/>
        <v>1</v>
      </c>
      <c r="F4096" t="str">
        <f t="shared" si="712"/>
        <v>COM</v>
      </c>
      <c r="G4096" t="str">
        <f t="shared" si="723"/>
        <v>LUAN DOS REIS SILVA (954)</v>
      </c>
      <c r="H4096" t="s">
        <v>888</v>
      </c>
      <c r="I4096" t="str">
        <f t="shared" si="718"/>
        <v>19/03/2026</v>
      </c>
      <c r="J4096" t="str">
        <f t="shared" si="722"/>
        <v>17/03/2026</v>
      </c>
      <c r="K4096">
        <v>46100</v>
      </c>
      <c r="N4096">
        <v>109</v>
      </c>
      <c r="O4096" t="s">
        <v>27</v>
      </c>
      <c r="Q4096">
        <v>415</v>
      </c>
      <c r="R4096" t="str">
        <f>"PENSE FARMA 05 (10200)"</f>
        <v>PENSE FARMA 05 (10200)</v>
      </c>
      <c r="S4096" t="s">
        <v>37</v>
      </c>
      <c r="T4096">
        <v>31723</v>
      </c>
      <c r="U4096">
        <v>35027</v>
      </c>
      <c r="V4096" t="s">
        <v>37</v>
      </c>
    </row>
    <row r="4097" spans="1:22">
      <c r="A4097" t="str">
        <f t="shared" si="720"/>
        <v>19/03/2026</v>
      </c>
      <c r="B4097" t="str">
        <f t="shared" si="716"/>
        <v>SAÍDA</v>
      </c>
      <c r="C4097" t="str">
        <f t="shared" si="717"/>
        <v>PIX</v>
      </c>
      <c r="D4097" t="str">
        <f>"35028"</f>
        <v>35028</v>
      </c>
      <c r="E4097" t="str">
        <f t="shared" si="721"/>
        <v>1</v>
      </c>
      <c r="F4097" t="str">
        <f t="shared" si="712"/>
        <v>COM</v>
      </c>
      <c r="G4097" t="str">
        <f t="shared" si="723"/>
        <v>LUAN DOS REIS SILVA (954)</v>
      </c>
      <c r="H4097" t="str">
        <f>"Serv.Prest. 09/03/2026 a 15/03/2026 - PIX: CELULAR - CHAVE: (11) 95906-5439"</f>
        <v>Serv.Prest. 09/03/2026 a 15/03/2026 - PIX: CELULAR - CHAVE: (11) 95906-5439</v>
      </c>
      <c r="I4097" t="str">
        <f t="shared" si="718"/>
        <v>19/03/2026</v>
      </c>
      <c r="J4097" t="str">
        <f t="shared" si="722"/>
        <v>17/03/2026</v>
      </c>
      <c r="K4097" t="str">
        <f>("19/03/2026")</f>
        <v>19/03/2026</v>
      </c>
      <c r="L4097">
        <v>415</v>
      </c>
      <c r="M4097">
        <v>415</v>
      </c>
      <c r="N4097">
        <v>109</v>
      </c>
      <c r="O4097" t="str">
        <f>"PAGAMENTO DE ENTREGADORES"</f>
        <v>PAGAMENTO DE ENTREGADORES</v>
      </c>
      <c r="P4097">
        <v>415</v>
      </c>
      <c r="S4097" t="str">
        <f>"BANCO C6 (149)"</f>
        <v>BANCO C6 (149)</v>
      </c>
      <c r="T4097">
        <v>31724</v>
      </c>
      <c r="U4097">
        <v>35028</v>
      </c>
      <c r="V4097" t="s">
        <v>37</v>
      </c>
    </row>
    <row r="4098" spans="1:22">
      <c r="A4098" t="str">
        <f t="shared" si="720"/>
        <v>19/03/2026</v>
      </c>
      <c r="B4098" t="str">
        <f t="shared" si="716"/>
        <v>SAÍDA</v>
      </c>
      <c r="C4098" t="str">
        <f t="shared" si="717"/>
        <v>PIX</v>
      </c>
      <c r="D4098" t="str">
        <f>"35028"</f>
        <v>35028</v>
      </c>
      <c r="E4098" t="str">
        <f t="shared" si="721"/>
        <v>1</v>
      </c>
      <c r="F4098" t="str">
        <f t="shared" ref="F4098:F4161" si="724">"COM"</f>
        <v>COM</v>
      </c>
      <c r="G4098" t="str">
        <f t="shared" si="723"/>
        <v>LUAN DOS REIS SILVA (954)</v>
      </c>
      <c r="H4098" t="s">
        <v>888</v>
      </c>
      <c r="I4098" t="str">
        <f t="shared" si="718"/>
        <v>19/03/2026</v>
      </c>
      <c r="J4098" t="str">
        <f t="shared" si="722"/>
        <v>17/03/2026</v>
      </c>
      <c r="K4098">
        <v>46100</v>
      </c>
      <c r="N4098">
        <v>109</v>
      </c>
      <c r="O4098" t="s">
        <v>27</v>
      </c>
      <c r="Q4098">
        <v>415</v>
      </c>
      <c r="R4098" t="str">
        <f>"PENSE FARMA 13 (10202)"</f>
        <v>PENSE FARMA 13 (10202)</v>
      </c>
      <c r="S4098" t="s">
        <v>37</v>
      </c>
      <c r="T4098">
        <v>31724</v>
      </c>
      <c r="U4098">
        <v>35028</v>
      </c>
      <c r="V4098" t="s">
        <v>37</v>
      </c>
    </row>
    <row r="4099" spans="1:22">
      <c r="A4099" t="str">
        <f t="shared" si="720"/>
        <v>19/03/2026</v>
      </c>
      <c r="B4099" t="str">
        <f t="shared" si="716"/>
        <v>SAÍDA</v>
      </c>
      <c r="C4099" t="str">
        <f t="shared" si="717"/>
        <v>PIX</v>
      </c>
      <c r="D4099" t="str">
        <f>"35029"</f>
        <v>35029</v>
      </c>
      <c r="E4099" t="str">
        <f t="shared" si="721"/>
        <v>1</v>
      </c>
      <c r="F4099" t="str">
        <f t="shared" si="724"/>
        <v>COM</v>
      </c>
      <c r="G4099" t="str">
        <f t="shared" si="723"/>
        <v>LUAN DOS REIS SILVA (954)</v>
      </c>
      <c r="H4099" t="str">
        <f>"Serv.Prest. 09/03/2026 a 15/03/2026 - PIX: CELULAR - CHAVE: (11) 95906-5439"</f>
        <v>Serv.Prest. 09/03/2026 a 15/03/2026 - PIX: CELULAR - CHAVE: (11) 95906-5439</v>
      </c>
      <c r="I4099" t="str">
        <f t="shared" si="718"/>
        <v>19/03/2026</v>
      </c>
      <c r="J4099" t="str">
        <f t="shared" si="722"/>
        <v>17/03/2026</v>
      </c>
      <c r="K4099" t="str">
        <f>("19/03/2026")</f>
        <v>19/03/2026</v>
      </c>
      <c r="L4099">
        <v>340</v>
      </c>
      <c r="M4099">
        <v>340</v>
      </c>
      <c r="N4099">
        <v>109</v>
      </c>
      <c r="O4099" t="str">
        <f>"PAGAMENTO DE ENTREGADORES"</f>
        <v>PAGAMENTO DE ENTREGADORES</v>
      </c>
      <c r="P4099">
        <v>340</v>
      </c>
      <c r="S4099" t="str">
        <f>"BANCO C6 (149)"</f>
        <v>BANCO C6 (149)</v>
      </c>
      <c r="T4099">
        <v>31725</v>
      </c>
      <c r="U4099">
        <v>35029</v>
      </c>
      <c r="V4099" t="s">
        <v>37</v>
      </c>
    </row>
    <row r="4100" spans="1:22">
      <c r="A4100" t="str">
        <f t="shared" si="720"/>
        <v>19/03/2026</v>
      </c>
      <c r="B4100" t="str">
        <f t="shared" si="716"/>
        <v>SAÍDA</v>
      </c>
      <c r="C4100" t="str">
        <f t="shared" si="717"/>
        <v>PIX</v>
      </c>
      <c r="D4100" t="str">
        <f>"35029"</f>
        <v>35029</v>
      </c>
      <c r="E4100" t="str">
        <f t="shared" si="721"/>
        <v>1</v>
      </c>
      <c r="F4100" t="str">
        <f t="shared" si="724"/>
        <v>COM</v>
      </c>
      <c r="G4100" t="str">
        <f t="shared" si="723"/>
        <v>LUAN DOS REIS SILVA (954)</v>
      </c>
      <c r="H4100" t="s">
        <v>888</v>
      </c>
      <c r="I4100" t="str">
        <f t="shared" si="718"/>
        <v>19/03/2026</v>
      </c>
      <c r="J4100" t="str">
        <f t="shared" si="722"/>
        <v>17/03/2026</v>
      </c>
      <c r="K4100">
        <v>46100</v>
      </c>
      <c r="N4100">
        <v>109</v>
      </c>
      <c r="O4100" t="s">
        <v>27</v>
      </c>
      <c r="Q4100">
        <v>340</v>
      </c>
      <c r="R4100" t="str">
        <f>"PENSE FARMA 27 (10204)"</f>
        <v>PENSE FARMA 27 (10204)</v>
      </c>
      <c r="S4100" t="s">
        <v>37</v>
      </c>
      <c r="T4100">
        <v>31725</v>
      </c>
      <c r="U4100">
        <v>35029</v>
      </c>
      <c r="V4100" t="s">
        <v>37</v>
      </c>
    </row>
    <row r="4101" spans="1:22">
      <c r="A4101" t="str">
        <f t="shared" si="720"/>
        <v>19/03/2026</v>
      </c>
      <c r="B4101" t="str">
        <f t="shared" si="716"/>
        <v>SAÍDA</v>
      </c>
      <c r="C4101" t="str">
        <f t="shared" si="717"/>
        <v>PIX</v>
      </c>
      <c r="D4101" t="str">
        <f>"35030"</f>
        <v>35030</v>
      </c>
      <c r="E4101" t="str">
        <f t="shared" si="721"/>
        <v>1</v>
      </c>
      <c r="F4101" t="str">
        <f t="shared" si="724"/>
        <v>COM</v>
      </c>
      <c r="G4101" t="str">
        <f t="shared" ref="G4101:G4106" si="725">"MANOEL DE JESUS ALMEIDA (1017)"</f>
        <v>MANOEL DE JESUS ALMEIDA (1017)</v>
      </c>
      <c r="H4101" t="str">
        <f>"Serv.Prest. 09/03/2026 a 15/03/2026 - PIX: CPF - CHAVE: 026.422.254-70"</f>
        <v>Serv.Prest. 09/03/2026 a 15/03/2026 - PIX: CPF - CHAVE: 026.422.254-70</v>
      </c>
      <c r="I4101" t="str">
        <f t="shared" si="718"/>
        <v>19/03/2026</v>
      </c>
      <c r="J4101" t="str">
        <f t="shared" si="722"/>
        <v>17/03/2026</v>
      </c>
      <c r="K4101" t="str">
        <f>("19/03/2026")</f>
        <v>19/03/2026</v>
      </c>
      <c r="L4101">
        <v>415</v>
      </c>
      <c r="M4101">
        <v>415</v>
      </c>
      <c r="N4101">
        <v>109</v>
      </c>
      <c r="O4101" t="str">
        <f>"PAGAMENTO DE ENTREGADORES"</f>
        <v>PAGAMENTO DE ENTREGADORES</v>
      </c>
      <c r="P4101">
        <v>415</v>
      </c>
      <c r="S4101" t="str">
        <f>"BANCO C6 (149)"</f>
        <v>BANCO C6 (149)</v>
      </c>
      <c r="T4101">
        <v>31726</v>
      </c>
      <c r="U4101">
        <v>35030</v>
      </c>
      <c r="V4101" t="s">
        <v>37</v>
      </c>
    </row>
    <row r="4102" spans="1:22">
      <c r="A4102" t="str">
        <f t="shared" si="720"/>
        <v>19/03/2026</v>
      </c>
      <c r="B4102" t="str">
        <f t="shared" si="716"/>
        <v>SAÍDA</v>
      </c>
      <c r="C4102" t="str">
        <f t="shared" si="717"/>
        <v>PIX</v>
      </c>
      <c r="D4102" t="str">
        <f>"35030"</f>
        <v>35030</v>
      </c>
      <c r="E4102" t="str">
        <f t="shared" si="721"/>
        <v>1</v>
      </c>
      <c r="F4102" t="str">
        <f t="shared" si="724"/>
        <v>COM</v>
      </c>
      <c r="G4102" t="str">
        <f t="shared" si="725"/>
        <v>MANOEL DE JESUS ALMEIDA (1017)</v>
      </c>
      <c r="H4102" t="s">
        <v>889</v>
      </c>
      <c r="I4102" t="str">
        <f t="shared" si="718"/>
        <v>19/03/2026</v>
      </c>
      <c r="J4102" t="str">
        <f t="shared" si="722"/>
        <v>17/03/2026</v>
      </c>
      <c r="K4102">
        <v>46100</v>
      </c>
      <c r="N4102">
        <v>109</v>
      </c>
      <c r="O4102" t="s">
        <v>27</v>
      </c>
      <c r="Q4102">
        <v>415</v>
      </c>
      <c r="R4102" t="str">
        <f>"PENSE FARMA 05 (10200)"</f>
        <v>PENSE FARMA 05 (10200)</v>
      </c>
      <c r="S4102" t="s">
        <v>37</v>
      </c>
      <c r="T4102">
        <v>31726</v>
      </c>
      <c r="U4102">
        <v>35030</v>
      </c>
      <c r="V4102" t="s">
        <v>37</v>
      </c>
    </row>
    <row r="4103" spans="1:22">
      <c r="A4103" t="str">
        <f t="shared" si="720"/>
        <v>19/03/2026</v>
      </c>
      <c r="B4103" t="str">
        <f t="shared" si="716"/>
        <v>SAÍDA</v>
      </c>
      <c r="C4103" t="str">
        <f t="shared" si="717"/>
        <v>PIX</v>
      </c>
      <c r="D4103" t="str">
        <f>"35031"</f>
        <v>35031</v>
      </c>
      <c r="E4103" t="str">
        <f t="shared" si="721"/>
        <v>1</v>
      </c>
      <c r="F4103" t="str">
        <f t="shared" si="724"/>
        <v>COM</v>
      </c>
      <c r="G4103" t="str">
        <f t="shared" si="725"/>
        <v>MANOEL DE JESUS ALMEIDA (1017)</v>
      </c>
      <c r="H4103" t="str">
        <f>"Serv.Prest. 09/03/2026 a 15/03/2026 - PIX: CPF - CHAVE: 026.422.254-70"</f>
        <v>Serv.Prest. 09/03/2026 a 15/03/2026 - PIX: CPF - CHAVE: 026.422.254-70</v>
      </c>
      <c r="I4103" t="str">
        <f t="shared" si="718"/>
        <v>19/03/2026</v>
      </c>
      <c r="J4103" t="str">
        <f t="shared" si="722"/>
        <v>17/03/2026</v>
      </c>
      <c r="K4103" t="str">
        <f>("19/03/2026")</f>
        <v>19/03/2026</v>
      </c>
      <c r="L4103">
        <v>415</v>
      </c>
      <c r="M4103">
        <v>415</v>
      </c>
      <c r="N4103">
        <v>109</v>
      </c>
      <c r="O4103" t="str">
        <f>"PAGAMENTO DE ENTREGADORES"</f>
        <v>PAGAMENTO DE ENTREGADORES</v>
      </c>
      <c r="P4103">
        <v>415</v>
      </c>
      <c r="S4103" t="str">
        <f>"BANCO C6 (149)"</f>
        <v>BANCO C6 (149)</v>
      </c>
      <c r="T4103">
        <v>31727</v>
      </c>
      <c r="U4103">
        <v>35031</v>
      </c>
      <c r="V4103" t="s">
        <v>37</v>
      </c>
    </row>
    <row r="4104" spans="1:22">
      <c r="A4104" t="str">
        <f t="shared" si="720"/>
        <v>19/03/2026</v>
      </c>
      <c r="B4104" t="str">
        <f t="shared" si="716"/>
        <v>SAÍDA</v>
      </c>
      <c r="C4104" t="str">
        <f t="shared" si="717"/>
        <v>PIX</v>
      </c>
      <c r="D4104" t="str">
        <f>"35031"</f>
        <v>35031</v>
      </c>
      <c r="E4104" t="str">
        <f t="shared" si="721"/>
        <v>1</v>
      </c>
      <c r="F4104" t="str">
        <f t="shared" si="724"/>
        <v>COM</v>
      </c>
      <c r="G4104" t="str">
        <f t="shared" si="725"/>
        <v>MANOEL DE JESUS ALMEIDA (1017)</v>
      </c>
      <c r="H4104" t="s">
        <v>889</v>
      </c>
      <c r="I4104" t="str">
        <f t="shared" si="718"/>
        <v>19/03/2026</v>
      </c>
      <c r="J4104" t="str">
        <f t="shared" si="722"/>
        <v>17/03/2026</v>
      </c>
      <c r="K4104">
        <v>46100</v>
      </c>
      <c r="N4104">
        <v>109</v>
      </c>
      <c r="O4104" t="s">
        <v>27</v>
      </c>
      <c r="Q4104">
        <v>415</v>
      </c>
      <c r="R4104" t="str">
        <f>"PENSE FARMA 13 (10202)"</f>
        <v>PENSE FARMA 13 (10202)</v>
      </c>
      <c r="S4104" t="s">
        <v>37</v>
      </c>
      <c r="T4104">
        <v>31727</v>
      </c>
      <c r="U4104">
        <v>35031</v>
      </c>
      <c r="V4104" t="s">
        <v>37</v>
      </c>
    </row>
    <row r="4105" spans="1:22">
      <c r="A4105" t="str">
        <f t="shared" si="720"/>
        <v>19/03/2026</v>
      </c>
      <c r="B4105" t="str">
        <f t="shared" si="716"/>
        <v>SAÍDA</v>
      </c>
      <c r="C4105" t="str">
        <f t="shared" si="717"/>
        <v>PIX</v>
      </c>
      <c r="D4105" t="str">
        <f>"35032"</f>
        <v>35032</v>
      </c>
      <c r="E4105" t="str">
        <f t="shared" si="721"/>
        <v>1</v>
      </c>
      <c r="F4105" t="str">
        <f t="shared" si="724"/>
        <v>COM</v>
      </c>
      <c r="G4105" t="str">
        <f t="shared" si="725"/>
        <v>MANOEL DE JESUS ALMEIDA (1017)</v>
      </c>
      <c r="H4105" t="str">
        <f>"Serv.Prest. 09/03/2026 a 15/03/2026 - PIX: CPF - CHAVE: 026.422.254-70"</f>
        <v>Serv.Prest. 09/03/2026 a 15/03/2026 - PIX: CPF - CHAVE: 026.422.254-70</v>
      </c>
      <c r="I4105" t="str">
        <f t="shared" si="718"/>
        <v>19/03/2026</v>
      </c>
      <c r="J4105" t="str">
        <f t="shared" si="722"/>
        <v>17/03/2026</v>
      </c>
      <c r="K4105" t="str">
        <f>("19/03/2026")</f>
        <v>19/03/2026</v>
      </c>
      <c r="L4105">
        <v>340</v>
      </c>
      <c r="M4105">
        <v>340</v>
      </c>
      <c r="N4105">
        <v>109</v>
      </c>
      <c r="O4105" t="str">
        <f>"PAGAMENTO DE ENTREGADORES"</f>
        <v>PAGAMENTO DE ENTREGADORES</v>
      </c>
      <c r="P4105">
        <v>340</v>
      </c>
      <c r="S4105" t="str">
        <f>"BANCO C6 (149)"</f>
        <v>BANCO C6 (149)</v>
      </c>
      <c r="T4105">
        <v>31728</v>
      </c>
      <c r="U4105">
        <v>35032</v>
      </c>
      <c r="V4105" t="s">
        <v>37</v>
      </c>
    </row>
    <row r="4106" spans="1:22">
      <c r="A4106" t="str">
        <f t="shared" si="720"/>
        <v>19/03/2026</v>
      </c>
      <c r="B4106" t="str">
        <f t="shared" si="716"/>
        <v>SAÍDA</v>
      </c>
      <c r="C4106" t="str">
        <f t="shared" si="717"/>
        <v>PIX</v>
      </c>
      <c r="D4106" t="str">
        <f>"35032"</f>
        <v>35032</v>
      </c>
      <c r="E4106" t="str">
        <f t="shared" si="721"/>
        <v>1</v>
      </c>
      <c r="F4106" t="str">
        <f t="shared" si="724"/>
        <v>COM</v>
      </c>
      <c r="G4106" t="str">
        <f t="shared" si="725"/>
        <v>MANOEL DE JESUS ALMEIDA (1017)</v>
      </c>
      <c r="H4106" t="s">
        <v>889</v>
      </c>
      <c r="I4106" t="str">
        <f t="shared" si="718"/>
        <v>19/03/2026</v>
      </c>
      <c r="J4106" t="str">
        <f t="shared" si="722"/>
        <v>17/03/2026</v>
      </c>
      <c r="K4106">
        <v>46100</v>
      </c>
      <c r="N4106">
        <v>109</v>
      </c>
      <c r="O4106" t="s">
        <v>27</v>
      </c>
      <c r="Q4106">
        <v>340</v>
      </c>
      <c r="R4106" t="str">
        <f>"PENSE FARMA 27 (10204)"</f>
        <v>PENSE FARMA 27 (10204)</v>
      </c>
      <c r="S4106" t="s">
        <v>37</v>
      </c>
      <c r="T4106">
        <v>31728</v>
      </c>
      <c r="U4106">
        <v>35032</v>
      </c>
      <c r="V4106" t="s">
        <v>37</v>
      </c>
    </row>
    <row r="4107" spans="1:22">
      <c r="A4107" t="str">
        <f t="shared" si="720"/>
        <v>19/03/2026</v>
      </c>
      <c r="B4107" t="str">
        <f t="shared" si="716"/>
        <v>SAÍDA</v>
      </c>
      <c r="C4107" t="str">
        <f t="shared" si="717"/>
        <v>PIX</v>
      </c>
      <c r="D4107" t="str">
        <f>"35034"</f>
        <v>35034</v>
      </c>
      <c r="E4107" t="str">
        <f t="shared" si="721"/>
        <v>1</v>
      </c>
      <c r="F4107" t="str">
        <f t="shared" si="724"/>
        <v>COM</v>
      </c>
      <c r="G4107" t="str">
        <f t="shared" ref="G4107:G4114" si="726">"ALINE ALVES DA SILVA (1081)"</f>
        <v>ALINE ALVES DA SILVA (1081)</v>
      </c>
      <c r="H4107" t="str">
        <f>"Serv.Prest. 09/03/2026 a 15/03/2026 - PIX: CELULAR - CHAVE: (11) 98439-2238"</f>
        <v>Serv.Prest. 09/03/2026 a 15/03/2026 - PIX: CELULAR - CHAVE: (11) 98439-2238</v>
      </c>
      <c r="I4107" t="str">
        <f t="shared" si="718"/>
        <v>19/03/2026</v>
      </c>
      <c r="J4107" t="str">
        <f t="shared" si="722"/>
        <v>17/03/2026</v>
      </c>
      <c r="K4107" t="str">
        <f>("19/03/2026")</f>
        <v>19/03/2026</v>
      </c>
      <c r="L4107">
        <v>250</v>
      </c>
      <c r="M4107">
        <v>250</v>
      </c>
      <c r="N4107">
        <v>109</v>
      </c>
      <c r="O4107" t="str">
        <f>"PAGAMENTO DE ENTREGADORES"</f>
        <v>PAGAMENTO DE ENTREGADORES</v>
      </c>
      <c r="P4107">
        <v>250</v>
      </c>
      <c r="S4107" t="str">
        <f>"BANCO C6 (149)"</f>
        <v>BANCO C6 (149)</v>
      </c>
      <c r="T4107">
        <v>31729</v>
      </c>
      <c r="U4107">
        <v>35034</v>
      </c>
      <c r="V4107" t="s">
        <v>37</v>
      </c>
    </row>
    <row r="4108" spans="1:22">
      <c r="A4108" t="str">
        <f t="shared" si="720"/>
        <v>19/03/2026</v>
      </c>
      <c r="B4108" t="str">
        <f t="shared" si="716"/>
        <v>SAÍDA</v>
      </c>
      <c r="C4108" t="str">
        <f t="shared" si="717"/>
        <v>PIX</v>
      </c>
      <c r="D4108" t="str">
        <f>"35034"</f>
        <v>35034</v>
      </c>
      <c r="E4108" t="str">
        <f t="shared" si="721"/>
        <v>1</v>
      </c>
      <c r="F4108" t="str">
        <f t="shared" si="724"/>
        <v>COM</v>
      </c>
      <c r="G4108" t="str">
        <f t="shared" si="726"/>
        <v>ALINE ALVES DA SILVA (1081)</v>
      </c>
      <c r="H4108" t="s">
        <v>1116</v>
      </c>
      <c r="I4108" t="str">
        <f t="shared" si="718"/>
        <v>19/03/2026</v>
      </c>
      <c r="J4108" t="str">
        <f t="shared" si="722"/>
        <v>17/03/2026</v>
      </c>
      <c r="K4108">
        <v>46100</v>
      </c>
      <c r="N4108">
        <v>109</v>
      </c>
      <c r="O4108" t="s">
        <v>27</v>
      </c>
      <c r="Q4108">
        <v>250</v>
      </c>
      <c r="R4108" t="str">
        <f>"PENSE FARMA 31 (10205)"</f>
        <v>PENSE FARMA 31 (10205)</v>
      </c>
      <c r="S4108" t="s">
        <v>37</v>
      </c>
      <c r="T4108">
        <v>31729</v>
      </c>
      <c r="U4108">
        <v>35034</v>
      </c>
      <c r="V4108" t="s">
        <v>37</v>
      </c>
    </row>
    <row r="4109" spans="1:22">
      <c r="A4109" t="str">
        <f t="shared" si="720"/>
        <v>19/03/2026</v>
      </c>
      <c r="B4109" t="str">
        <f t="shared" si="716"/>
        <v>SAÍDA</v>
      </c>
      <c r="C4109" t="str">
        <f t="shared" si="717"/>
        <v>PIX</v>
      </c>
      <c r="D4109" t="str">
        <f>"35035"</f>
        <v>35035</v>
      </c>
      <c r="E4109" t="str">
        <f t="shared" si="721"/>
        <v>1</v>
      </c>
      <c r="F4109" t="str">
        <f t="shared" si="724"/>
        <v>COM</v>
      </c>
      <c r="G4109" t="str">
        <f t="shared" si="726"/>
        <v>ALINE ALVES DA SILVA (1081)</v>
      </c>
      <c r="H4109" t="str">
        <f>"Serv.Prest. 09/03/2026 a 15/03/2026 - PIX: CELULAR - CHAVE: (11) 98439-2238"</f>
        <v>Serv.Prest. 09/03/2026 a 15/03/2026 - PIX: CELULAR - CHAVE: (11) 98439-2238</v>
      </c>
      <c r="I4109" t="str">
        <f t="shared" si="718"/>
        <v>19/03/2026</v>
      </c>
      <c r="J4109" t="str">
        <f t="shared" si="722"/>
        <v>17/03/2026</v>
      </c>
      <c r="K4109" t="str">
        <f>("19/03/2026")</f>
        <v>19/03/2026</v>
      </c>
      <c r="L4109">
        <v>250</v>
      </c>
      <c r="M4109">
        <v>250</v>
      </c>
      <c r="N4109">
        <v>109</v>
      </c>
      <c r="O4109" t="str">
        <f>"PAGAMENTO DE ENTREGADORES"</f>
        <v>PAGAMENTO DE ENTREGADORES</v>
      </c>
      <c r="P4109">
        <v>250</v>
      </c>
      <c r="S4109" t="str">
        <f>"BANCO C6 (149)"</f>
        <v>BANCO C6 (149)</v>
      </c>
      <c r="T4109">
        <v>31730</v>
      </c>
      <c r="U4109">
        <v>35035</v>
      </c>
      <c r="V4109" t="s">
        <v>37</v>
      </c>
    </row>
    <row r="4110" spans="1:22">
      <c r="A4110" t="str">
        <f t="shared" si="720"/>
        <v>19/03/2026</v>
      </c>
      <c r="B4110" t="str">
        <f t="shared" si="716"/>
        <v>SAÍDA</v>
      </c>
      <c r="C4110" t="str">
        <f t="shared" si="717"/>
        <v>PIX</v>
      </c>
      <c r="D4110" t="str">
        <f>"35035"</f>
        <v>35035</v>
      </c>
      <c r="E4110" t="str">
        <f t="shared" si="721"/>
        <v>1</v>
      </c>
      <c r="F4110" t="str">
        <f t="shared" si="724"/>
        <v>COM</v>
      </c>
      <c r="G4110" t="str">
        <f t="shared" si="726"/>
        <v>ALINE ALVES DA SILVA (1081)</v>
      </c>
      <c r="H4110" t="s">
        <v>1116</v>
      </c>
      <c r="I4110" t="str">
        <f t="shared" si="718"/>
        <v>19/03/2026</v>
      </c>
      <c r="J4110" t="str">
        <f t="shared" si="722"/>
        <v>17/03/2026</v>
      </c>
      <c r="K4110">
        <v>46100</v>
      </c>
      <c r="N4110">
        <v>109</v>
      </c>
      <c r="O4110" t="s">
        <v>27</v>
      </c>
      <c r="Q4110">
        <v>250</v>
      </c>
      <c r="R4110" t="str">
        <f>"PENSE FARMA 16 (10221)"</f>
        <v>PENSE FARMA 16 (10221)</v>
      </c>
      <c r="S4110" t="s">
        <v>37</v>
      </c>
      <c r="T4110">
        <v>31730</v>
      </c>
      <c r="U4110">
        <v>35035</v>
      </c>
      <c r="V4110" t="s">
        <v>37</v>
      </c>
    </row>
    <row r="4111" spans="1:22">
      <c r="A4111" t="str">
        <f t="shared" si="720"/>
        <v>19/03/2026</v>
      </c>
      <c r="B4111" t="str">
        <f t="shared" si="716"/>
        <v>SAÍDA</v>
      </c>
      <c r="C4111" t="str">
        <f t="shared" si="717"/>
        <v>PIX</v>
      </c>
      <c r="D4111" t="str">
        <f>"35036"</f>
        <v>35036</v>
      </c>
      <c r="E4111" t="str">
        <f t="shared" si="721"/>
        <v>1</v>
      </c>
      <c r="F4111" t="str">
        <f t="shared" si="724"/>
        <v>COM</v>
      </c>
      <c r="G4111" t="str">
        <f t="shared" si="726"/>
        <v>ALINE ALVES DA SILVA (1081)</v>
      </c>
      <c r="H4111" t="str">
        <f>"Serv.Prest. 09/03/2026 a 15/03/2026 - PIX: CELULAR - CHAVE: (11) 98439-2238"</f>
        <v>Serv.Prest. 09/03/2026 a 15/03/2026 - PIX: CELULAR - CHAVE: (11) 98439-2238</v>
      </c>
      <c r="I4111" t="str">
        <f t="shared" si="718"/>
        <v>19/03/2026</v>
      </c>
      <c r="J4111" t="str">
        <f t="shared" si="722"/>
        <v>17/03/2026</v>
      </c>
      <c r="K4111" t="str">
        <f>("19/03/2026")</f>
        <v>19/03/2026</v>
      </c>
      <c r="L4111">
        <v>250</v>
      </c>
      <c r="M4111">
        <v>250</v>
      </c>
      <c r="N4111">
        <v>109</v>
      </c>
      <c r="O4111" t="str">
        <f>"PAGAMENTO DE ENTREGADORES"</f>
        <v>PAGAMENTO DE ENTREGADORES</v>
      </c>
      <c r="P4111">
        <v>250</v>
      </c>
      <c r="S4111" t="str">
        <f>"BANCO C6 (149)"</f>
        <v>BANCO C6 (149)</v>
      </c>
      <c r="T4111">
        <v>31731</v>
      </c>
      <c r="U4111">
        <v>35036</v>
      </c>
      <c r="V4111" t="s">
        <v>37</v>
      </c>
    </row>
    <row r="4112" spans="1:22">
      <c r="A4112" t="str">
        <f t="shared" si="720"/>
        <v>19/03/2026</v>
      </c>
      <c r="B4112" t="str">
        <f t="shared" si="716"/>
        <v>SAÍDA</v>
      </c>
      <c r="C4112" t="str">
        <f t="shared" si="717"/>
        <v>PIX</v>
      </c>
      <c r="D4112" t="str">
        <f>"35036"</f>
        <v>35036</v>
      </c>
      <c r="E4112" t="str">
        <f t="shared" si="721"/>
        <v>1</v>
      </c>
      <c r="F4112" t="str">
        <f t="shared" si="724"/>
        <v>COM</v>
      </c>
      <c r="G4112" t="str">
        <f t="shared" si="726"/>
        <v>ALINE ALVES DA SILVA (1081)</v>
      </c>
      <c r="H4112" t="s">
        <v>1116</v>
      </c>
      <c r="I4112" t="str">
        <f t="shared" si="718"/>
        <v>19/03/2026</v>
      </c>
      <c r="J4112" t="str">
        <f t="shared" si="722"/>
        <v>17/03/2026</v>
      </c>
      <c r="K4112">
        <v>46100</v>
      </c>
      <c r="N4112">
        <v>109</v>
      </c>
      <c r="O4112" t="s">
        <v>27</v>
      </c>
      <c r="Q4112">
        <v>250</v>
      </c>
      <c r="R4112" t="str">
        <f>"PENSE FARMA 17 (10222)"</f>
        <v>PENSE FARMA 17 (10222)</v>
      </c>
      <c r="S4112" t="s">
        <v>37</v>
      </c>
      <c r="T4112">
        <v>31731</v>
      </c>
      <c r="U4112">
        <v>35036</v>
      </c>
      <c r="V4112" t="s">
        <v>37</v>
      </c>
    </row>
    <row r="4113" spans="1:22">
      <c r="A4113" t="str">
        <f t="shared" si="720"/>
        <v>19/03/2026</v>
      </c>
      <c r="B4113" t="str">
        <f t="shared" si="716"/>
        <v>SAÍDA</v>
      </c>
      <c r="C4113" t="str">
        <f t="shared" si="717"/>
        <v>PIX</v>
      </c>
      <c r="D4113" t="str">
        <f>"35037"</f>
        <v>35037</v>
      </c>
      <c r="E4113" t="str">
        <f t="shared" si="721"/>
        <v>1</v>
      </c>
      <c r="F4113" t="str">
        <f t="shared" si="724"/>
        <v>COM</v>
      </c>
      <c r="G4113" t="str">
        <f t="shared" si="726"/>
        <v>ALINE ALVES DA SILVA (1081)</v>
      </c>
      <c r="H4113" t="str">
        <f>"Serv.Prest. 09/03/2026 a 15/03/2026 - PIX: CELULAR - CHAVE: (11) 98439-2238"</f>
        <v>Serv.Prest. 09/03/2026 a 15/03/2026 - PIX: CELULAR - CHAVE: (11) 98439-2238</v>
      </c>
      <c r="I4113" t="str">
        <f t="shared" si="718"/>
        <v>19/03/2026</v>
      </c>
      <c r="J4113" t="str">
        <f t="shared" si="722"/>
        <v>17/03/2026</v>
      </c>
      <c r="K4113" t="str">
        <f>("19/03/2026")</f>
        <v>19/03/2026</v>
      </c>
      <c r="L4113">
        <v>250</v>
      </c>
      <c r="M4113">
        <v>250</v>
      </c>
      <c r="N4113">
        <v>109</v>
      </c>
      <c r="O4113" t="str">
        <f>"PAGAMENTO DE ENTREGADORES"</f>
        <v>PAGAMENTO DE ENTREGADORES</v>
      </c>
      <c r="P4113">
        <v>250</v>
      </c>
      <c r="S4113" t="str">
        <f>"BANCO C6 (149)"</f>
        <v>BANCO C6 (149)</v>
      </c>
      <c r="T4113">
        <v>31732</v>
      </c>
      <c r="U4113">
        <v>35037</v>
      </c>
      <c r="V4113" t="s">
        <v>37</v>
      </c>
    </row>
    <row r="4114" spans="1:22">
      <c r="A4114" t="str">
        <f t="shared" si="720"/>
        <v>19/03/2026</v>
      </c>
      <c r="B4114" t="str">
        <f t="shared" si="716"/>
        <v>SAÍDA</v>
      </c>
      <c r="C4114" t="str">
        <f t="shared" si="717"/>
        <v>PIX</v>
      </c>
      <c r="D4114" t="str">
        <f>"35037"</f>
        <v>35037</v>
      </c>
      <c r="E4114" t="str">
        <f t="shared" si="721"/>
        <v>1</v>
      </c>
      <c r="F4114" t="str">
        <f t="shared" si="724"/>
        <v>COM</v>
      </c>
      <c r="G4114" t="str">
        <f t="shared" si="726"/>
        <v>ALINE ALVES DA SILVA (1081)</v>
      </c>
      <c r="H4114" t="s">
        <v>1116</v>
      </c>
      <c r="I4114" t="str">
        <f t="shared" si="718"/>
        <v>19/03/2026</v>
      </c>
      <c r="J4114" t="str">
        <f t="shared" si="722"/>
        <v>17/03/2026</v>
      </c>
      <c r="K4114">
        <v>46100</v>
      </c>
      <c r="N4114">
        <v>109</v>
      </c>
      <c r="O4114" t="s">
        <v>27</v>
      </c>
      <c r="Q4114">
        <v>250</v>
      </c>
      <c r="R4114" t="str">
        <f>"PENSE FARMA 62 (10274)"</f>
        <v>PENSE FARMA 62 (10274)</v>
      </c>
      <c r="S4114" t="s">
        <v>37</v>
      </c>
      <c r="T4114">
        <v>31732</v>
      </c>
      <c r="U4114">
        <v>35037</v>
      </c>
      <c r="V4114" t="s">
        <v>37</v>
      </c>
    </row>
    <row r="4115" spans="1:22">
      <c r="A4115" t="str">
        <f t="shared" si="720"/>
        <v>19/03/2026</v>
      </c>
      <c r="B4115" t="str">
        <f t="shared" si="716"/>
        <v>SAÍDA</v>
      </c>
      <c r="C4115" t="str">
        <f t="shared" si="717"/>
        <v>PIX</v>
      </c>
      <c r="D4115" t="str">
        <f>"35038"</f>
        <v>35038</v>
      </c>
      <c r="E4115" t="str">
        <f t="shared" si="721"/>
        <v>1</v>
      </c>
      <c r="F4115" t="str">
        <f t="shared" si="724"/>
        <v>COM</v>
      </c>
      <c r="G4115" t="str">
        <f t="shared" ref="G4115:G4122" si="727">"KENNEDY MALVEIRA POLUCENO (1330)"</f>
        <v>KENNEDY MALVEIRA POLUCENO (1330)</v>
      </c>
      <c r="H4115" t="str">
        <f>"Serv.Prest. 09/03/2026 a 15/03/2026 - PIX: CELULAR - CHAVE: (11) 91097-0937"</f>
        <v>Serv.Prest. 09/03/2026 a 15/03/2026 - PIX: CELULAR - CHAVE: (11) 91097-0937</v>
      </c>
      <c r="I4115" t="str">
        <f t="shared" si="718"/>
        <v>19/03/2026</v>
      </c>
      <c r="J4115" t="str">
        <f t="shared" si="722"/>
        <v>17/03/2026</v>
      </c>
      <c r="K4115" t="str">
        <f>("19/03/2026")</f>
        <v>19/03/2026</v>
      </c>
      <c r="L4115">
        <v>335</v>
      </c>
      <c r="M4115">
        <v>335</v>
      </c>
      <c r="N4115">
        <v>109</v>
      </c>
      <c r="O4115" t="str">
        <f>"PAGAMENTO DE ENTREGADORES"</f>
        <v>PAGAMENTO DE ENTREGADORES</v>
      </c>
      <c r="P4115">
        <v>335</v>
      </c>
      <c r="S4115" t="str">
        <f>"BANCO C6 (149)"</f>
        <v>BANCO C6 (149)</v>
      </c>
      <c r="T4115">
        <v>31733</v>
      </c>
      <c r="U4115">
        <v>35038</v>
      </c>
      <c r="V4115" t="s">
        <v>37</v>
      </c>
    </row>
    <row r="4116" spans="1:22">
      <c r="A4116" t="str">
        <f t="shared" si="720"/>
        <v>19/03/2026</v>
      </c>
      <c r="B4116" t="str">
        <f t="shared" si="716"/>
        <v>SAÍDA</v>
      </c>
      <c r="C4116" t="str">
        <f t="shared" si="717"/>
        <v>PIX</v>
      </c>
      <c r="D4116" t="str">
        <f>"35038"</f>
        <v>35038</v>
      </c>
      <c r="E4116" t="str">
        <f t="shared" si="721"/>
        <v>1</v>
      </c>
      <c r="F4116" t="str">
        <f t="shared" si="724"/>
        <v>COM</v>
      </c>
      <c r="G4116" t="str">
        <f t="shared" si="727"/>
        <v>KENNEDY MALVEIRA POLUCENO (1330)</v>
      </c>
      <c r="H4116" t="s">
        <v>1117</v>
      </c>
      <c r="I4116" t="str">
        <f t="shared" si="718"/>
        <v>19/03/2026</v>
      </c>
      <c r="J4116" t="str">
        <f t="shared" si="722"/>
        <v>17/03/2026</v>
      </c>
      <c r="K4116">
        <v>46100</v>
      </c>
      <c r="N4116">
        <v>109</v>
      </c>
      <c r="O4116" t="s">
        <v>27</v>
      </c>
      <c r="Q4116">
        <v>335</v>
      </c>
      <c r="R4116" t="str">
        <f>"PENSE FARMA 62 (10274)"</f>
        <v>PENSE FARMA 62 (10274)</v>
      </c>
      <c r="S4116" t="s">
        <v>37</v>
      </c>
      <c r="T4116">
        <v>31733</v>
      </c>
      <c r="U4116">
        <v>35038</v>
      </c>
      <c r="V4116" t="s">
        <v>37</v>
      </c>
    </row>
    <row r="4117" spans="1:22">
      <c r="A4117" t="str">
        <f t="shared" si="720"/>
        <v>19/03/2026</v>
      </c>
      <c r="B4117" t="str">
        <f t="shared" si="716"/>
        <v>SAÍDA</v>
      </c>
      <c r="C4117" t="str">
        <f t="shared" si="717"/>
        <v>PIX</v>
      </c>
      <c r="D4117" t="str">
        <f>"35039"</f>
        <v>35039</v>
      </c>
      <c r="E4117" t="str">
        <f t="shared" si="721"/>
        <v>1</v>
      </c>
      <c r="F4117" t="str">
        <f t="shared" si="724"/>
        <v>COM</v>
      </c>
      <c r="G4117" t="str">
        <f t="shared" si="727"/>
        <v>KENNEDY MALVEIRA POLUCENO (1330)</v>
      </c>
      <c r="H4117" t="str">
        <f>"Serv.Prest. 09/03/2026 a 15/03/2026 - PIX: CELULAR - CHAVE: (11) 91097-0937"</f>
        <v>Serv.Prest. 09/03/2026 a 15/03/2026 - PIX: CELULAR - CHAVE: (11) 91097-0937</v>
      </c>
      <c r="I4117" t="str">
        <f t="shared" si="718"/>
        <v>19/03/2026</v>
      </c>
      <c r="J4117" t="str">
        <f t="shared" si="722"/>
        <v>17/03/2026</v>
      </c>
      <c r="K4117" t="str">
        <f>("19/03/2026")</f>
        <v>19/03/2026</v>
      </c>
      <c r="L4117">
        <v>330</v>
      </c>
      <c r="M4117">
        <v>330</v>
      </c>
      <c r="N4117">
        <v>109</v>
      </c>
      <c r="O4117" t="str">
        <f>"PAGAMENTO DE ENTREGADORES"</f>
        <v>PAGAMENTO DE ENTREGADORES</v>
      </c>
      <c r="P4117">
        <v>330</v>
      </c>
      <c r="S4117" t="str">
        <f>"BANCO C6 (149)"</f>
        <v>BANCO C6 (149)</v>
      </c>
      <c r="T4117">
        <v>31734</v>
      </c>
      <c r="U4117">
        <v>35039</v>
      </c>
      <c r="V4117" t="s">
        <v>37</v>
      </c>
    </row>
    <row r="4118" spans="1:22">
      <c r="A4118" t="str">
        <f t="shared" si="720"/>
        <v>19/03/2026</v>
      </c>
      <c r="B4118" t="str">
        <f t="shared" si="716"/>
        <v>SAÍDA</v>
      </c>
      <c r="C4118" t="str">
        <f t="shared" si="717"/>
        <v>PIX</v>
      </c>
      <c r="D4118" t="str">
        <f>"35039"</f>
        <v>35039</v>
      </c>
      <c r="E4118" t="str">
        <f t="shared" si="721"/>
        <v>1</v>
      </c>
      <c r="F4118" t="str">
        <f t="shared" si="724"/>
        <v>COM</v>
      </c>
      <c r="G4118" t="str">
        <f t="shared" si="727"/>
        <v>KENNEDY MALVEIRA POLUCENO (1330)</v>
      </c>
      <c r="H4118" t="s">
        <v>1117</v>
      </c>
      <c r="I4118" t="str">
        <f t="shared" si="718"/>
        <v>19/03/2026</v>
      </c>
      <c r="J4118" t="str">
        <f t="shared" si="722"/>
        <v>17/03/2026</v>
      </c>
      <c r="K4118">
        <v>46100</v>
      </c>
      <c r="N4118">
        <v>109</v>
      </c>
      <c r="O4118" t="s">
        <v>27</v>
      </c>
      <c r="Q4118">
        <v>330</v>
      </c>
      <c r="R4118" t="str">
        <f>"PENSE FARMA 17 (10222)"</f>
        <v>PENSE FARMA 17 (10222)</v>
      </c>
      <c r="S4118" t="s">
        <v>37</v>
      </c>
      <c r="T4118">
        <v>31734</v>
      </c>
      <c r="U4118">
        <v>35039</v>
      </c>
      <c r="V4118" t="s">
        <v>37</v>
      </c>
    </row>
    <row r="4119" spans="1:22">
      <c r="A4119" t="str">
        <f t="shared" si="720"/>
        <v>19/03/2026</v>
      </c>
      <c r="B4119" t="str">
        <f t="shared" si="716"/>
        <v>SAÍDA</v>
      </c>
      <c r="C4119" t="str">
        <f t="shared" si="717"/>
        <v>PIX</v>
      </c>
      <c r="D4119" t="str">
        <f>"35040"</f>
        <v>35040</v>
      </c>
      <c r="E4119" t="str">
        <f t="shared" si="721"/>
        <v>1</v>
      </c>
      <c r="F4119" t="str">
        <f t="shared" si="724"/>
        <v>COM</v>
      </c>
      <c r="G4119" t="str">
        <f t="shared" si="727"/>
        <v>KENNEDY MALVEIRA POLUCENO (1330)</v>
      </c>
      <c r="H4119" t="str">
        <f>"Serv.Prest. 09/03/2026 a 15/03/2026 - PIX: CELULAR - CHAVE: (11) 91097-0937"</f>
        <v>Serv.Prest. 09/03/2026 a 15/03/2026 - PIX: CELULAR - CHAVE: (11) 91097-0937</v>
      </c>
      <c r="I4119" t="str">
        <f t="shared" si="718"/>
        <v>19/03/2026</v>
      </c>
      <c r="J4119" t="str">
        <f t="shared" si="722"/>
        <v>17/03/2026</v>
      </c>
      <c r="K4119" t="str">
        <f>("19/03/2026")</f>
        <v>19/03/2026</v>
      </c>
      <c r="L4119">
        <v>330</v>
      </c>
      <c r="M4119">
        <v>330</v>
      </c>
      <c r="N4119">
        <v>109</v>
      </c>
      <c r="O4119" t="str">
        <f>"PAGAMENTO DE ENTREGADORES"</f>
        <v>PAGAMENTO DE ENTREGADORES</v>
      </c>
      <c r="P4119">
        <v>330</v>
      </c>
      <c r="S4119" t="str">
        <f>"BANCO C6 (149)"</f>
        <v>BANCO C6 (149)</v>
      </c>
      <c r="T4119">
        <v>31735</v>
      </c>
      <c r="U4119">
        <v>35040</v>
      </c>
      <c r="V4119" t="s">
        <v>37</v>
      </c>
    </row>
    <row r="4120" spans="1:22">
      <c r="A4120" t="str">
        <f t="shared" si="720"/>
        <v>19/03/2026</v>
      </c>
      <c r="B4120" t="str">
        <f t="shared" si="716"/>
        <v>SAÍDA</v>
      </c>
      <c r="C4120" t="str">
        <f t="shared" si="717"/>
        <v>PIX</v>
      </c>
      <c r="D4120" t="str">
        <f>"35040"</f>
        <v>35040</v>
      </c>
      <c r="E4120" t="str">
        <f t="shared" si="721"/>
        <v>1</v>
      </c>
      <c r="F4120" t="str">
        <f t="shared" si="724"/>
        <v>COM</v>
      </c>
      <c r="G4120" t="str">
        <f t="shared" si="727"/>
        <v>KENNEDY MALVEIRA POLUCENO (1330)</v>
      </c>
      <c r="H4120" t="s">
        <v>1117</v>
      </c>
      <c r="I4120" t="str">
        <f t="shared" si="718"/>
        <v>19/03/2026</v>
      </c>
      <c r="J4120" t="str">
        <f t="shared" si="722"/>
        <v>17/03/2026</v>
      </c>
      <c r="K4120">
        <v>46100</v>
      </c>
      <c r="N4120">
        <v>109</v>
      </c>
      <c r="O4120" t="s">
        <v>27</v>
      </c>
      <c r="Q4120">
        <v>330</v>
      </c>
      <c r="R4120" t="str">
        <f>"PENSE FARMA 16 (10221)"</f>
        <v>PENSE FARMA 16 (10221)</v>
      </c>
      <c r="S4120" t="s">
        <v>37</v>
      </c>
      <c r="T4120">
        <v>31735</v>
      </c>
      <c r="U4120">
        <v>35040</v>
      </c>
      <c r="V4120" t="s">
        <v>37</v>
      </c>
    </row>
    <row r="4121" spans="1:22">
      <c r="A4121" t="str">
        <f t="shared" si="720"/>
        <v>19/03/2026</v>
      </c>
      <c r="B4121" t="str">
        <f t="shared" si="716"/>
        <v>SAÍDA</v>
      </c>
      <c r="C4121" t="str">
        <f t="shared" si="717"/>
        <v>PIX</v>
      </c>
      <c r="D4121" t="str">
        <f>"35041"</f>
        <v>35041</v>
      </c>
      <c r="E4121" t="str">
        <f t="shared" si="721"/>
        <v>1</v>
      </c>
      <c r="F4121" t="str">
        <f t="shared" si="724"/>
        <v>COM</v>
      </c>
      <c r="G4121" t="str">
        <f t="shared" si="727"/>
        <v>KENNEDY MALVEIRA POLUCENO (1330)</v>
      </c>
      <c r="H4121" t="str">
        <f>"Serv.Prest. 09/03/2026 a 15/03/2026 - PIX: CELULAR - CHAVE: (11) 91097-0937"</f>
        <v>Serv.Prest. 09/03/2026 a 15/03/2026 - PIX: CELULAR - CHAVE: (11) 91097-0937</v>
      </c>
      <c r="I4121" t="str">
        <f t="shared" si="718"/>
        <v>19/03/2026</v>
      </c>
      <c r="J4121" t="str">
        <f t="shared" si="722"/>
        <v>17/03/2026</v>
      </c>
      <c r="K4121" t="str">
        <f>("19/03/2026")</f>
        <v>19/03/2026</v>
      </c>
      <c r="L4121">
        <v>330</v>
      </c>
      <c r="M4121">
        <v>330</v>
      </c>
      <c r="N4121">
        <v>109</v>
      </c>
      <c r="O4121" t="str">
        <f>"PAGAMENTO DE ENTREGADORES"</f>
        <v>PAGAMENTO DE ENTREGADORES</v>
      </c>
      <c r="P4121">
        <v>330</v>
      </c>
      <c r="S4121" t="str">
        <f>"BANCO C6 (149)"</f>
        <v>BANCO C6 (149)</v>
      </c>
      <c r="T4121">
        <v>31736</v>
      </c>
      <c r="U4121">
        <v>35041</v>
      </c>
      <c r="V4121" t="s">
        <v>37</v>
      </c>
    </row>
    <row r="4122" spans="1:22">
      <c r="A4122" t="str">
        <f t="shared" si="720"/>
        <v>19/03/2026</v>
      </c>
      <c r="B4122" t="str">
        <f t="shared" si="716"/>
        <v>SAÍDA</v>
      </c>
      <c r="C4122" t="str">
        <f t="shared" si="717"/>
        <v>PIX</v>
      </c>
      <c r="D4122" t="str">
        <f>"35041"</f>
        <v>35041</v>
      </c>
      <c r="E4122" t="str">
        <f t="shared" si="721"/>
        <v>1</v>
      </c>
      <c r="F4122" t="str">
        <f t="shared" si="724"/>
        <v>COM</v>
      </c>
      <c r="G4122" t="str">
        <f t="shared" si="727"/>
        <v>KENNEDY MALVEIRA POLUCENO (1330)</v>
      </c>
      <c r="H4122" t="s">
        <v>1117</v>
      </c>
      <c r="I4122" t="str">
        <f t="shared" si="718"/>
        <v>19/03/2026</v>
      </c>
      <c r="J4122" t="str">
        <f t="shared" si="722"/>
        <v>17/03/2026</v>
      </c>
      <c r="K4122">
        <v>46100</v>
      </c>
      <c r="N4122">
        <v>109</v>
      </c>
      <c r="O4122" t="s">
        <v>27</v>
      </c>
      <c r="Q4122">
        <v>330</v>
      </c>
      <c r="R4122" t="str">
        <f>"PENSE FARMA 31 (10205)"</f>
        <v>PENSE FARMA 31 (10205)</v>
      </c>
      <c r="S4122" t="s">
        <v>37</v>
      </c>
      <c r="T4122">
        <v>31736</v>
      </c>
      <c r="U4122">
        <v>35041</v>
      </c>
      <c r="V4122" t="s">
        <v>37</v>
      </c>
    </row>
    <row r="4123" spans="1:22">
      <c r="A4123" t="str">
        <f t="shared" si="720"/>
        <v>19/03/2026</v>
      </c>
      <c r="B4123" t="str">
        <f t="shared" si="716"/>
        <v>SAÍDA</v>
      </c>
      <c r="C4123" t="str">
        <f t="shared" si="717"/>
        <v>PIX</v>
      </c>
      <c r="D4123" t="str">
        <f>"35047"</f>
        <v>35047</v>
      </c>
      <c r="E4123" t="str">
        <f t="shared" si="721"/>
        <v>1</v>
      </c>
      <c r="F4123" t="str">
        <f t="shared" si="724"/>
        <v>COM</v>
      </c>
      <c r="G4123" t="str">
        <f>"PEDRO HENRIQUE XAVIER DOS SANTOS (993)"</f>
        <v>PEDRO HENRIQUE XAVIER DOS SANTOS (993)</v>
      </c>
      <c r="H4123" t="str">
        <f>"Serv.Prest. 09/03/2026 a 15/03/2026 - PIX: CPF - CHAVE: 489.237.478-40"</f>
        <v>Serv.Prest. 09/03/2026 a 15/03/2026 - PIX: CPF - CHAVE: 489.237.478-40</v>
      </c>
      <c r="I4123" t="str">
        <f t="shared" si="718"/>
        <v>19/03/2026</v>
      </c>
      <c r="J4123" t="str">
        <f t="shared" si="722"/>
        <v>17/03/2026</v>
      </c>
      <c r="K4123" t="str">
        <f>("19/03/2026")</f>
        <v>19/03/2026</v>
      </c>
      <c r="L4123">
        <v>800</v>
      </c>
      <c r="M4123">
        <v>800</v>
      </c>
      <c r="N4123">
        <v>109</v>
      </c>
      <c r="O4123" t="str">
        <f>"PAGAMENTO DE ENTREGADORES"</f>
        <v>PAGAMENTO DE ENTREGADORES</v>
      </c>
      <c r="P4123">
        <v>800</v>
      </c>
      <c r="S4123" t="str">
        <f>"BANCO C6 (149)"</f>
        <v>BANCO C6 (149)</v>
      </c>
      <c r="T4123">
        <v>31737</v>
      </c>
      <c r="U4123">
        <v>35047</v>
      </c>
      <c r="V4123" t="s">
        <v>37</v>
      </c>
    </row>
    <row r="4124" spans="1:22">
      <c r="A4124" t="str">
        <f t="shared" si="720"/>
        <v>19/03/2026</v>
      </c>
      <c r="B4124" t="str">
        <f t="shared" si="716"/>
        <v>SAÍDA</v>
      </c>
      <c r="C4124" t="str">
        <f t="shared" si="717"/>
        <v>PIX</v>
      </c>
      <c r="D4124" t="str">
        <f>"35047"</f>
        <v>35047</v>
      </c>
      <c r="E4124" t="str">
        <f t="shared" si="721"/>
        <v>1</v>
      </c>
      <c r="F4124" t="str">
        <f t="shared" si="724"/>
        <v>COM</v>
      </c>
      <c r="G4124" t="str">
        <f>"PEDRO HENRIQUE XAVIER DOS SANTOS (993)"</f>
        <v>PEDRO HENRIQUE XAVIER DOS SANTOS (993)</v>
      </c>
      <c r="H4124" t="s">
        <v>1118</v>
      </c>
      <c r="I4124" t="str">
        <f t="shared" si="718"/>
        <v>19/03/2026</v>
      </c>
      <c r="J4124" t="str">
        <f t="shared" si="722"/>
        <v>17/03/2026</v>
      </c>
      <c r="K4124">
        <v>46100</v>
      </c>
      <c r="N4124">
        <v>109</v>
      </c>
      <c r="O4124" t="s">
        <v>27</v>
      </c>
      <c r="Q4124">
        <v>800</v>
      </c>
      <c r="R4124" t="str">
        <f>"PENSE FARMA 35 (10227)"</f>
        <v>PENSE FARMA 35 (10227)</v>
      </c>
      <c r="S4124" t="s">
        <v>37</v>
      </c>
      <c r="T4124">
        <v>31737</v>
      </c>
      <c r="U4124">
        <v>35047</v>
      </c>
      <c r="V4124" t="s">
        <v>37</v>
      </c>
    </row>
    <row r="4125" spans="1:22">
      <c r="A4125" t="str">
        <f t="shared" si="720"/>
        <v>19/03/2026</v>
      </c>
      <c r="B4125" t="str">
        <f t="shared" si="716"/>
        <v>SAÍDA</v>
      </c>
      <c r="C4125" t="str">
        <f t="shared" si="717"/>
        <v>PIX</v>
      </c>
      <c r="D4125" t="str">
        <f>"35049"</f>
        <v>35049</v>
      </c>
      <c r="E4125" t="str">
        <f t="shared" si="721"/>
        <v>1</v>
      </c>
      <c r="F4125" t="str">
        <f t="shared" si="724"/>
        <v>COM</v>
      </c>
      <c r="G4125" t="str">
        <f t="shared" ref="G4125:G4136" si="728">"FELIPE ALEXANDRE CAMA (976)"</f>
        <v>FELIPE ALEXANDRE CAMA (976)</v>
      </c>
      <c r="H4125" t="str">
        <f>"Serv.Prest. 09/03/2026 a 15/03/2026 - PIX: CPF - CHAVE: 471.142.438-55"</f>
        <v>Serv.Prest. 09/03/2026 a 15/03/2026 - PIX: CPF - CHAVE: 471.142.438-55</v>
      </c>
      <c r="I4125" t="str">
        <f t="shared" si="718"/>
        <v>19/03/2026</v>
      </c>
      <c r="J4125" t="str">
        <f t="shared" si="722"/>
        <v>17/03/2026</v>
      </c>
      <c r="K4125" t="str">
        <f>("19/03/2026")</f>
        <v>19/03/2026</v>
      </c>
      <c r="L4125">
        <v>225</v>
      </c>
      <c r="M4125">
        <v>225</v>
      </c>
      <c r="N4125">
        <v>109</v>
      </c>
      <c r="O4125" t="str">
        <f>"PAGAMENTO DE ENTREGADORES"</f>
        <v>PAGAMENTO DE ENTREGADORES</v>
      </c>
      <c r="P4125">
        <v>225</v>
      </c>
      <c r="S4125" t="str">
        <f>"BANCO C6 (149)"</f>
        <v>BANCO C6 (149)</v>
      </c>
      <c r="T4125">
        <v>31738</v>
      </c>
      <c r="U4125">
        <v>35049</v>
      </c>
      <c r="V4125" t="s">
        <v>37</v>
      </c>
    </row>
    <row r="4126" spans="1:22">
      <c r="A4126" t="str">
        <f t="shared" si="720"/>
        <v>19/03/2026</v>
      </c>
      <c r="B4126" t="str">
        <f t="shared" si="716"/>
        <v>SAÍDA</v>
      </c>
      <c r="C4126" t="str">
        <f t="shared" si="717"/>
        <v>PIX</v>
      </c>
      <c r="D4126" t="str">
        <f>"35049"</f>
        <v>35049</v>
      </c>
      <c r="E4126" t="str">
        <f t="shared" si="721"/>
        <v>1</v>
      </c>
      <c r="F4126" t="str">
        <f t="shared" si="724"/>
        <v>COM</v>
      </c>
      <c r="G4126" t="str">
        <f t="shared" si="728"/>
        <v>FELIPE ALEXANDRE CAMA (976)</v>
      </c>
      <c r="H4126" t="s">
        <v>884</v>
      </c>
      <c r="I4126" t="str">
        <f t="shared" si="718"/>
        <v>19/03/2026</v>
      </c>
      <c r="J4126" t="str">
        <f t="shared" si="722"/>
        <v>17/03/2026</v>
      </c>
      <c r="K4126">
        <v>46100</v>
      </c>
      <c r="N4126">
        <v>109</v>
      </c>
      <c r="O4126" t="s">
        <v>27</v>
      </c>
      <c r="Q4126">
        <v>225</v>
      </c>
      <c r="R4126" t="str">
        <f>"PENSE FARMA DARK STORE 361 (10212)"</f>
        <v>PENSE FARMA DARK STORE 361 (10212)</v>
      </c>
      <c r="S4126" t="s">
        <v>37</v>
      </c>
      <c r="T4126">
        <v>31738</v>
      </c>
      <c r="U4126">
        <v>35049</v>
      </c>
      <c r="V4126" t="s">
        <v>37</v>
      </c>
    </row>
    <row r="4127" spans="1:22">
      <c r="A4127" t="str">
        <f t="shared" si="720"/>
        <v>19/03/2026</v>
      </c>
      <c r="B4127" t="str">
        <f t="shared" si="716"/>
        <v>SAÍDA</v>
      </c>
      <c r="C4127" t="str">
        <f t="shared" si="717"/>
        <v>PIX</v>
      </c>
      <c r="D4127" t="str">
        <f>"35050"</f>
        <v>35050</v>
      </c>
      <c r="E4127" t="str">
        <f t="shared" si="721"/>
        <v>1</v>
      </c>
      <c r="F4127" t="str">
        <f t="shared" si="724"/>
        <v>COM</v>
      </c>
      <c r="G4127" t="str">
        <f t="shared" si="728"/>
        <v>FELIPE ALEXANDRE CAMA (976)</v>
      </c>
      <c r="H4127" t="str">
        <f>"Serv.Prest. 09/03/2026 a 15/03/2026 - PIX: CPF - CHAVE: 471.142.438-55"</f>
        <v>Serv.Prest. 09/03/2026 a 15/03/2026 - PIX: CPF - CHAVE: 471.142.438-55</v>
      </c>
      <c r="I4127" t="str">
        <f t="shared" si="718"/>
        <v>19/03/2026</v>
      </c>
      <c r="J4127" t="str">
        <f t="shared" si="722"/>
        <v>17/03/2026</v>
      </c>
      <c r="K4127" t="str">
        <f>("19/03/2026")</f>
        <v>19/03/2026</v>
      </c>
      <c r="L4127">
        <v>220</v>
      </c>
      <c r="M4127">
        <v>220</v>
      </c>
      <c r="N4127">
        <v>109</v>
      </c>
      <c r="O4127" t="str">
        <f>"PAGAMENTO DE ENTREGADORES"</f>
        <v>PAGAMENTO DE ENTREGADORES</v>
      </c>
      <c r="P4127">
        <v>220</v>
      </c>
      <c r="S4127" t="str">
        <f>"BANCO C6 (149)"</f>
        <v>BANCO C6 (149)</v>
      </c>
      <c r="T4127">
        <v>31739</v>
      </c>
      <c r="U4127">
        <v>35050</v>
      </c>
      <c r="V4127" t="s">
        <v>37</v>
      </c>
    </row>
    <row r="4128" spans="1:22">
      <c r="A4128" t="str">
        <f t="shared" si="720"/>
        <v>19/03/2026</v>
      </c>
      <c r="B4128" t="str">
        <f t="shared" si="716"/>
        <v>SAÍDA</v>
      </c>
      <c r="C4128" t="str">
        <f t="shared" si="717"/>
        <v>PIX</v>
      </c>
      <c r="D4128" t="str">
        <f>"35050"</f>
        <v>35050</v>
      </c>
      <c r="E4128" t="str">
        <f t="shared" si="721"/>
        <v>1</v>
      </c>
      <c r="F4128" t="str">
        <f t="shared" si="724"/>
        <v>COM</v>
      </c>
      <c r="G4128" t="str">
        <f t="shared" si="728"/>
        <v>FELIPE ALEXANDRE CAMA (976)</v>
      </c>
      <c r="H4128" t="s">
        <v>884</v>
      </c>
      <c r="I4128" t="str">
        <f t="shared" si="718"/>
        <v>19/03/2026</v>
      </c>
      <c r="J4128" t="str">
        <f t="shared" si="722"/>
        <v>17/03/2026</v>
      </c>
      <c r="K4128">
        <v>46100</v>
      </c>
      <c r="N4128">
        <v>109</v>
      </c>
      <c r="O4128" t="s">
        <v>27</v>
      </c>
      <c r="Q4128">
        <v>220</v>
      </c>
      <c r="R4128" t="str">
        <f>"PENSE FARMA 59 (10211)"</f>
        <v>PENSE FARMA 59 (10211)</v>
      </c>
      <c r="S4128" t="s">
        <v>37</v>
      </c>
      <c r="T4128">
        <v>31739</v>
      </c>
      <c r="U4128">
        <v>35050</v>
      </c>
      <c r="V4128" t="s">
        <v>37</v>
      </c>
    </row>
    <row r="4129" spans="1:22">
      <c r="A4129" t="str">
        <f t="shared" si="720"/>
        <v>19/03/2026</v>
      </c>
      <c r="B4129" t="str">
        <f t="shared" si="716"/>
        <v>SAÍDA</v>
      </c>
      <c r="C4129" t="str">
        <f t="shared" si="717"/>
        <v>PIX</v>
      </c>
      <c r="D4129" t="str">
        <f>"35051"</f>
        <v>35051</v>
      </c>
      <c r="E4129" t="str">
        <f t="shared" si="721"/>
        <v>1</v>
      </c>
      <c r="F4129" t="str">
        <f t="shared" si="724"/>
        <v>COM</v>
      </c>
      <c r="G4129" t="str">
        <f t="shared" si="728"/>
        <v>FELIPE ALEXANDRE CAMA (976)</v>
      </c>
      <c r="H4129" t="str">
        <f>"Serv.Prest. 09/03/2026 a 15/03/2026 - PIX: CPF - CHAVE: 471.142.438-55"</f>
        <v>Serv.Prest. 09/03/2026 a 15/03/2026 - PIX: CPF - CHAVE: 471.142.438-55</v>
      </c>
      <c r="I4129" t="str">
        <f t="shared" si="718"/>
        <v>19/03/2026</v>
      </c>
      <c r="J4129" t="str">
        <f t="shared" si="722"/>
        <v>17/03/2026</v>
      </c>
      <c r="K4129" t="str">
        <f>("19/03/2026")</f>
        <v>19/03/2026</v>
      </c>
      <c r="L4129">
        <v>220</v>
      </c>
      <c r="M4129">
        <v>220</v>
      </c>
      <c r="N4129">
        <v>109</v>
      </c>
      <c r="O4129" t="str">
        <f>"PAGAMENTO DE ENTREGADORES"</f>
        <v>PAGAMENTO DE ENTREGADORES</v>
      </c>
      <c r="P4129">
        <v>220</v>
      </c>
      <c r="S4129" t="str">
        <f>"BANCO C6 (149)"</f>
        <v>BANCO C6 (149)</v>
      </c>
      <c r="T4129">
        <v>31740</v>
      </c>
      <c r="U4129">
        <v>35051</v>
      </c>
      <c r="V4129" t="s">
        <v>37</v>
      </c>
    </row>
    <row r="4130" spans="1:22">
      <c r="A4130" t="str">
        <f t="shared" si="720"/>
        <v>19/03/2026</v>
      </c>
      <c r="B4130" t="str">
        <f t="shared" si="716"/>
        <v>SAÍDA</v>
      </c>
      <c r="C4130" t="str">
        <f t="shared" si="717"/>
        <v>PIX</v>
      </c>
      <c r="D4130" t="str">
        <f>"35051"</f>
        <v>35051</v>
      </c>
      <c r="E4130" t="str">
        <f t="shared" si="721"/>
        <v>1</v>
      </c>
      <c r="F4130" t="str">
        <f t="shared" si="724"/>
        <v>COM</v>
      </c>
      <c r="G4130" t="str">
        <f t="shared" si="728"/>
        <v>FELIPE ALEXANDRE CAMA (976)</v>
      </c>
      <c r="H4130" t="s">
        <v>884</v>
      </c>
      <c r="I4130" t="str">
        <f t="shared" si="718"/>
        <v>19/03/2026</v>
      </c>
      <c r="J4130" t="str">
        <f t="shared" si="722"/>
        <v>17/03/2026</v>
      </c>
      <c r="K4130">
        <v>46100</v>
      </c>
      <c r="N4130">
        <v>109</v>
      </c>
      <c r="O4130" t="s">
        <v>27</v>
      </c>
      <c r="Q4130">
        <v>220</v>
      </c>
      <c r="R4130" t="str">
        <f>"PENSE FARMA 43 (10208)"</f>
        <v>PENSE FARMA 43 (10208)</v>
      </c>
      <c r="S4130" t="s">
        <v>37</v>
      </c>
      <c r="T4130">
        <v>31740</v>
      </c>
      <c r="U4130">
        <v>35051</v>
      </c>
      <c r="V4130" t="s">
        <v>37</v>
      </c>
    </row>
    <row r="4131" spans="1:22">
      <c r="A4131" t="str">
        <f t="shared" si="720"/>
        <v>19/03/2026</v>
      </c>
      <c r="B4131" t="str">
        <f t="shared" si="716"/>
        <v>SAÍDA</v>
      </c>
      <c r="C4131" t="str">
        <f t="shared" si="717"/>
        <v>PIX</v>
      </c>
      <c r="D4131" t="str">
        <f>"35052"</f>
        <v>35052</v>
      </c>
      <c r="E4131" t="str">
        <f t="shared" si="721"/>
        <v>1</v>
      </c>
      <c r="F4131" t="str">
        <f t="shared" si="724"/>
        <v>COM</v>
      </c>
      <c r="G4131" t="str">
        <f t="shared" si="728"/>
        <v>FELIPE ALEXANDRE CAMA (976)</v>
      </c>
      <c r="H4131" t="str">
        <f>"Serv.Prest. 09/03/2026 a 15/03/2026 - PIX: CPF - CHAVE: 471.142.438-55"</f>
        <v>Serv.Prest. 09/03/2026 a 15/03/2026 - PIX: CPF - CHAVE: 471.142.438-55</v>
      </c>
      <c r="I4131" t="str">
        <f t="shared" si="718"/>
        <v>19/03/2026</v>
      </c>
      <c r="J4131" t="str">
        <f t="shared" si="722"/>
        <v>17/03/2026</v>
      </c>
      <c r="K4131" t="str">
        <f>("19/03/2026")</f>
        <v>19/03/2026</v>
      </c>
      <c r="L4131">
        <v>160</v>
      </c>
      <c r="M4131">
        <v>160</v>
      </c>
      <c r="N4131">
        <v>109</v>
      </c>
      <c r="O4131" t="str">
        <f>"PAGAMENTO DE ENTREGADORES"</f>
        <v>PAGAMENTO DE ENTREGADORES</v>
      </c>
      <c r="P4131">
        <v>160</v>
      </c>
      <c r="S4131" t="str">
        <f>"BANCO C6 (149)"</f>
        <v>BANCO C6 (149)</v>
      </c>
      <c r="T4131">
        <v>31741</v>
      </c>
      <c r="U4131">
        <v>35052</v>
      </c>
      <c r="V4131" t="s">
        <v>37</v>
      </c>
    </row>
    <row r="4132" spans="1:22">
      <c r="A4132" t="str">
        <f t="shared" si="720"/>
        <v>19/03/2026</v>
      </c>
      <c r="B4132" t="str">
        <f t="shared" si="716"/>
        <v>SAÍDA</v>
      </c>
      <c r="C4132" t="str">
        <f t="shared" si="717"/>
        <v>PIX</v>
      </c>
      <c r="D4132" t="str">
        <f>"35052"</f>
        <v>35052</v>
      </c>
      <c r="E4132" t="str">
        <f t="shared" si="721"/>
        <v>1</v>
      </c>
      <c r="F4132" t="str">
        <f t="shared" si="724"/>
        <v>COM</v>
      </c>
      <c r="G4132" t="str">
        <f t="shared" si="728"/>
        <v>FELIPE ALEXANDRE CAMA (976)</v>
      </c>
      <c r="H4132" t="s">
        <v>884</v>
      </c>
      <c r="I4132" t="str">
        <f t="shared" si="718"/>
        <v>19/03/2026</v>
      </c>
      <c r="J4132" t="str">
        <f t="shared" si="722"/>
        <v>17/03/2026</v>
      </c>
      <c r="K4132">
        <v>46100</v>
      </c>
      <c r="N4132">
        <v>109</v>
      </c>
      <c r="O4132" t="s">
        <v>27</v>
      </c>
      <c r="Q4132">
        <v>160</v>
      </c>
      <c r="R4132" t="str">
        <f>"PENSE FARMA 40 (10207)"</f>
        <v>PENSE FARMA 40 (10207)</v>
      </c>
      <c r="S4132" t="s">
        <v>37</v>
      </c>
      <c r="T4132">
        <v>31741</v>
      </c>
      <c r="U4132">
        <v>35052</v>
      </c>
      <c r="V4132" t="s">
        <v>37</v>
      </c>
    </row>
    <row r="4133" spans="1:22">
      <c r="A4133" t="str">
        <f t="shared" si="720"/>
        <v>19/03/2026</v>
      </c>
      <c r="B4133" t="str">
        <f t="shared" si="716"/>
        <v>SAÍDA</v>
      </c>
      <c r="C4133" t="str">
        <f t="shared" si="717"/>
        <v>PIX</v>
      </c>
      <c r="D4133" t="str">
        <f>"35053"</f>
        <v>35053</v>
      </c>
      <c r="E4133" t="str">
        <f t="shared" si="721"/>
        <v>1</v>
      </c>
      <c r="F4133" t="str">
        <f t="shared" si="724"/>
        <v>COM</v>
      </c>
      <c r="G4133" t="str">
        <f t="shared" si="728"/>
        <v>FELIPE ALEXANDRE CAMA (976)</v>
      </c>
      <c r="H4133" t="str">
        <f>"Serv.Prest. 09/03/2026 a 15/03/2026 - PIX: CPF - CHAVE: 471.142.438-55"</f>
        <v>Serv.Prest. 09/03/2026 a 15/03/2026 - PIX: CPF - CHAVE: 471.142.438-55</v>
      </c>
      <c r="I4133" t="str">
        <f t="shared" si="718"/>
        <v>19/03/2026</v>
      </c>
      <c r="J4133" t="str">
        <f t="shared" si="722"/>
        <v>17/03/2026</v>
      </c>
      <c r="K4133" t="str">
        <f>("19/03/2026")</f>
        <v>19/03/2026</v>
      </c>
      <c r="L4133">
        <v>220</v>
      </c>
      <c r="M4133">
        <v>220</v>
      </c>
      <c r="N4133">
        <v>109</v>
      </c>
      <c r="O4133" t="str">
        <f>"PAGAMENTO DE ENTREGADORES"</f>
        <v>PAGAMENTO DE ENTREGADORES</v>
      </c>
      <c r="P4133">
        <v>220</v>
      </c>
      <c r="S4133" t="str">
        <f>"BANCO C6 (149)"</f>
        <v>BANCO C6 (149)</v>
      </c>
      <c r="T4133">
        <v>31742</v>
      </c>
      <c r="U4133">
        <v>35053</v>
      </c>
      <c r="V4133" t="s">
        <v>37</v>
      </c>
    </row>
    <row r="4134" spans="1:22">
      <c r="A4134" t="str">
        <f t="shared" si="720"/>
        <v>19/03/2026</v>
      </c>
      <c r="B4134" t="str">
        <f t="shared" si="716"/>
        <v>SAÍDA</v>
      </c>
      <c r="C4134" t="str">
        <f t="shared" si="717"/>
        <v>PIX</v>
      </c>
      <c r="D4134" t="str">
        <f>"35053"</f>
        <v>35053</v>
      </c>
      <c r="E4134" t="str">
        <f t="shared" si="721"/>
        <v>1</v>
      </c>
      <c r="F4134" t="str">
        <f t="shared" si="724"/>
        <v>COM</v>
      </c>
      <c r="G4134" t="str">
        <f t="shared" si="728"/>
        <v>FELIPE ALEXANDRE CAMA (976)</v>
      </c>
      <c r="H4134" t="s">
        <v>884</v>
      </c>
      <c r="I4134" t="str">
        <f t="shared" si="718"/>
        <v>19/03/2026</v>
      </c>
      <c r="J4134" t="str">
        <f t="shared" si="722"/>
        <v>17/03/2026</v>
      </c>
      <c r="K4134">
        <v>46100</v>
      </c>
      <c r="N4134">
        <v>109</v>
      </c>
      <c r="O4134" t="s">
        <v>27</v>
      </c>
      <c r="Q4134">
        <v>220</v>
      </c>
      <c r="R4134" t="str">
        <f>"PENSE FARMA 36 (10206)"</f>
        <v>PENSE FARMA 36 (10206)</v>
      </c>
      <c r="S4134" t="s">
        <v>37</v>
      </c>
      <c r="T4134">
        <v>31742</v>
      </c>
      <c r="U4134">
        <v>35053</v>
      </c>
      <c r="V4134" t="s">
        <v>37</v>
      </c>
    </row>
    <row r="4135" spans="1:22">
      <c r="A4135" t="str">
        <f t="shared" si="720"/>
        <v>19/03/2026</v>
      </c>
      <c r="B4135" t="str">
        <f t="shared" si="716"/>
        <v>SAÍDA</v>
      </c>
      <c r="C4135" t="str">
        <f t="shared" si="717"/>
        <v>PIX</v>
      </c>
      <c r="D4135" t="str">
        <f>"35054"</f>
        <v>35054</v>
      </c>
      <c r="E4135" t="str">
        <f t="shared" si="721"/>
        <v>1</v>
      </c>
      <c r="F4135" t="str">
        <f t="shared" si="724"/>
        <v>COM</v>
      </c>
      <c r="G4135" t="str">
        <f t="shared" si="728"/>
        <v>FELIPE ALEXANDRE CAMA (976)</v>
      </c>
      <c r="H4135" t="str">
        <f>"Serv.Prest. 09/03/2026 a 15/03/2026 - PIX: CPF - CHAVE: 471.142.438-55"</f>
        <v>Serv.Prest. 09/03/2026 a 15/03/2026 - PIX: CPF - CHAVE: 471.142.438-55</v>
      </c>
      <c r="I4135" t="str">
        <f t="shared" si="718"/>
        <v>19/03/2026</v>
      </c>
      <c r="J4135" t="str">
        <f t="shared" si="722"/>
        <v>17/03/2026</v>
      </c>
      <c r="K4135" t="str">
        <f>("19/03/2026")</f>
        <v>19/03/2026</v>
      </c>
      <c r="L4135">
        <v>200</v>
      </c>
      <c r="M4135">
        <v>200</v>
      </c>
      <c r="N4135">
        <v>109</v>
      </c>
      <c r="O4135" t="str">
        <f>"PAGAMENTO DE ENTREGADORES"</f>
        <v>PAGAMENTO DE ENTREGADORES</v>
      </c>
      <c r="P4135">
        <v>200</v>
      </c>
      <c r="S4135" t="str">
        <f>"BANCO C6 (149)"</f>
        <v>BANCO C6 (149)</v>
      </c>
      <c r="T4135">
        <v>31743</v>
      </c>
      <c r="U4135">
        <v>35054</v>
      </c>
      <c r="V4135" t="s">
        <v>37</v>
      </c>
    </row>
    <row r="4136" spans="1:22">
      <c r="A4136" t="str">
        <f t="shared" si="720"/>
        <v>19/03/2026</v>
      </c>
      <c r="B4136" t="str">
        <f t="shared" si="716"/>
        <v>SAÍDA</v>
      </c>
      <c r="C4136" t="str">
        <f t="shared" si="717"/>
        <v>PIX</v>
      </c>
      <c r="D4136" t="str">
        <f>"35054"</f>
        <v>35054</v>
      </c>
      <c r="E4136" t="str">
        <f t="shared" si="721"/>
        <v>1</v>
      </c>
      <c r="F4136" t="str">
        <f t="shared" si="724"/>
        <v>COM</v>
      </c>
      <c r="G4136" t="str">
        <f t="shared" si="728"/>
        <v>FELIPE ALEXANDRE CAMA (976)</v>
      </c>
      <c r="H4136" t="s">
        <v>884</v>
      </c>
      <c r="I4136" t="str">
        <f t="shared" si="718"/>
        <v>19/03/2026</v>
      </c>
      <c r="J4136" t="str">
        <f t="shared" si="722"/>
        <v>17/03/2026</v>
      </c>
      <c r="K4136">
        <v>46100</v>
      </c>
      <c r="N4136">
        <v>109</v>
      </c>
      <c r="O4136" t="s">
        <v>27</v>
      </c>
      <c r="Q4136">
        <v>200</v>
      </c>
      <c r="R4136" t="str">
        <f>"PENSE FARMA 20 (10203)"</f>
        <v>PENSE FARMA 20 (10203)</v>
      </c>
      <c r="S4136" t="s">
        <v>37</v>
      </c>
      <c r="T4136">
        <v>31743</v>
      </c>
      <c r="U4136">
        <v>35054</v>
      </c>
      <c r="V4136" t="s">
        <v>37</v>
      </c>
    </row>
    <row r="4137" spans="1:22">
      <c r="A4137" t="str">
        <f t="shared" si="720"/>
        <v>19/03/2026</v>
      </c>
      <c r="B4137" t="str">
        <f t="shared" ref="B4137:B4200" si="729">"SAÍDA"</f>
        <v>SAÍDA</v>
      </c>
      <c r="C4137" t="str">
        <f t="shared" ref="C4137:C4200" si="730">"PIX"</f>
        <v>PIX</v>
      </c>
      <c r="D4137" t="str">
        <f>"35055"</f>
        <v>35055</v>
      </c>
      <c r="E4137" t="str">
        <f t="shared" si="721"/>
        <v>1</v>
      </c>
      <c r="F4137" t="str">
        <f t="shared" si="724"/>
        <v>COM</v>
      </c>
      <c r="G4137" t="str">
        <f t="shared" ref="G4137:G4148" si="731">"JULIO GUIMARAES DOS SANTOS (977)"</f>
        <v>JULIO GUIMARAES DOS SANTOS (977)</v>
      </c>
      <c r="H4137" t="str">
        <f>"Serv.Prest. 09/03/2026 a 15/03/2026 - PIX: CELULAR - CHAVE: (11) 94195-2534"</f>
        <v>Serv.Prest. 09/03/2026 a 15/03/2026 - PIX: CELULAR - CHAVE: (11) 94195-2534</v>
      </c>
      <c r="I4137" t="str">
        <f t="shared" ref="I4137:I4200" si="732">("19/03/2026")</f>
        <v>19/03/2026</v>
      </c>
      <c r="J4137" t="str">
        <f t="shared" si="722"/>
        <v>17/03/2026</v>
      </c>
      <c r="K4137" t="str">
        <f>("19/03/2026")</f>
        <v>19/03/2026</v>
      </c>
      <c r="L4137">
        <v>160</v>
      </c>
      <c r="M4137">
        <v>160</v>
      </c>
      <c r="N4137">
        <v>109</v>
      </c>
      <c r="O4137" t="str">
        <f>"PAGAMENTO DE ENTREGADORES"</f>
        <v>PAGAMENTO DE ENTREGADORES</v>
      </c>
      <c r="P4137">
        <v>160</v>
      </c>
      <c r="S4137" t="str">
        <f>"BANCO C6 (149)"</f>
        <v>BANCO C6 (149)</v>
      </c>
      <c r="T4137">
        <v>31744</v>
      </c>
      <c r="U4137">
        <v>35055</v>
      </c>
      <c r="V4137" t="s">
        <v>37</v>
      </c>
    </row>
    <row r="4138" spans="1:22">
      <c r="A4138" t="str">
        <f t="shared" si="720"/>
        <v>19/03/2026</v>
      </c>
      <c r="B4138" t="str">
        <f t="shared" si="729"/>
        <v>SAÍDA</v>
      </c>
      <c r="C4138" t="str">
        <f t="shared" si="730"/>
        <v>PIX</v>
      </c>
      <c r="D4138" t="str">
        <f>"35055"</f>
        <v>35055</v>
      </c>
      <c r="E4138" t="str">
        <f t="shared" si="721"/>
        <v>1</v>
      </c>
      <c r="F4138" t="str">
        <f t="shared" si="724"/>
        <v>COM</v>
      </c>
      <c r="G4138" t="str">
        <f t="shared" si="731"/>
        <v>JULIO GUIMARAES DOS SANTOS (977)</v>
      </c>
      <c r="H4138" t="s">
        <v>885</v>
      </c>
      <c r="I4138" t="str">
        <f t="shared" si="732"/>
        <v>19/03/2026</v>
      </c>
      <c r="J4138" t="str">
        <f t="shared" si="722"/>
        <v>17/03/2026</v>
      </c>
      <c r="K4138">
        <v>46100</v>
      </c>
      <c r="N4138">
        <v>109</v>
      </c>
      <c r="O4138" t="s">
        <v>27</v>
      </c>
      <c r="Q4138">
        <v>160</v>
      </c>
      <c r="R4138" t="str">
        <f>"PENSE FARMA 36 (10206)"</f>
        <v>PENSE FARMA 36 (10206)</v>
      </c>
      <c r="S4138" t="s">
        <v>37</v>
      </c>
      <c r="T4138">
        <v>31744</v>
      </c>
      <c r="U4138">
        <v>35055</v>
      </c>
      <c r="V4138" t="s">
        <v>37</v>
      </c>
    </row>
    <row r="4139" spans="1:22">
      <c r="A4139" t="str">
        <f t="shared" si="720"/>
        <v>19/03/2026</v>
      </c>
      <c r="B4139" t="str">
        <f t="shared" si="729"/>
        <v>SAÍDA</v>
      </c>
      <c r="C4139" t="str">
        <f t="shared" si="730"/>
        <v>PIX</v>
      </c>
      <c r="D4139" t="str">
        <f>"35056"</f>
        <v>35056</v>
      </c>
      <c r="E4139" t="str">
        <f t="shared" si="721"/>
        <v>1</v>
      </c>
      <c r="F4139" t="str">
        <f t="shared" si="724"/>
        <v>COM</v>
      </c>
      <c r="G4139" t="str">
        <f t="shared" si="731"/>
        <v>JULIO GUIMARAES DOS SANTOS (977)</v>
      </c>
      <c r="H4139" t="str">
        <f>"Serv.Prest. 09/03/2026 a 15/03/2026 - PIX: CELULAR - CHAVE: (11) 94195-2534"</f>
        <v>Serv.Prest. 09/03/2026 a 15/03/2026 - PIX: CELULAR - CHAVE: (11) 94195-2534</v>
      </c>
      <c r="I4139" t="str">
        <f t="shared" si="732"/>
        <v>19/03/2026</v>
      </c>
      <c r="J4139" t="str">
        <f t="shared" si="722"/>
        <v>17/03/2026</v>
      </c>
      <c r="K4139" t="str">
        <f>("19/03/2026")</f>
        <v>19/03/2026</v>
      </c>
      <c r="L4139">
        <v>220</v>
      </c>
      <c r="M4139">
        <v>220</v>
      </c>
      <c r="N4139">
        <v>109</v>
      </c>
      <c r="O4139" t="str">
        <f>"PAGAMENTO DE ENTREGADORES"</f>
        <v>PAGAMENTO DE ENTREGADORES</v>
      </c>
      <c r="P4139">
        <v>220</v>
      </c>
      <c r="S4139" t="str">
        <f>"BANCO C6 (149)"</f>
        <v>BANCO C6 (149)</v>
      </c>
      <c r="T4139">
        <v>31745</v>
      </c>
      <c r="U4139">
        <v>35056</v>
      </c>
      <c r="V4139" t="s">
        <v>37</v>
      </c>
    </row>
    <row r="4140" spans="1:22">
      <c r="A4140" t="str">
        <f t="shared" si="720"/>
        <v>19/03/2026</v>
      </c>
      <c r="B4140" t="str">
        <f t="shared" si="729"/>
        <v>SAÍDA</v>
      </c>
      <c r="C4140" t="str">
        <f t="shared" si="730"/>
        <v>PIX</v>
      </c>
      <c r="D4140" t="str">
        <f>"35056"</f>
        <v>35056</v>
      </c>
      <c r="E4140" t="str">
        <f t="shared" si="721"/>
        <v>1</v>
      </c>
      <c r="F4140" t="str">
        <f t="shared" si="724"/>
        <v>COM</v>
      </c>
      <c r="G4140" t="str">
        <f t="shared" si="731"/>
        <v>JULIO GUIMARAES DOS SANTOS (977)</v>
      </c>
      <c r="H4140" t="s">
        <v>885</v>
      </c>
      <c r="I4140" t="str">
        <f t="shared" si="732"/>
        <v>19/03/2026</v>
      </c>
      <c r="J4140" t="str">
        <f t="shared" si="722"/>
        <v>17/03/2026</v>
      </c>
      <c r="K4140">
        <v>46100</v>
      </c>
      <c r="N4140">
        <v>109</v>
      </c>
      <c r="O4140" t="s">
        <v>27</v>
      </c>
      <c r="Q4140">
        <v>220</v>
      </c>
      <c r="R4140" t="str">
        <f>"PENSE FARMA 40 (10207)"</f>
        <v>PENSE FARMA 40 (10207)</v>
      </c>
      <c r="S4140" t="s">
        <v>37</v>
      </c>
      <c r="T4140">
        <v>31745</v>
      </c>
      <c r="U4140">
        <v>35056</v>
      </c>
      <c r="V4140" t="s">
        <v>37</v>
      </c>
    </row>
    <row r="4141" spans="1:22">
      <c r="A4141" t="str">
        <f t="shared" si="720"/>
        <v>19/03/2026</v>
      </c>
      <c r="B4141" t="str">
        <f t="shared" si="729"/>
        <v>SAÍDA</v>
      </c>
      <c r="C4141" t="str">
        <f t="shared" si="730"/>
        <v>PIX</v>
      </c>
      <c r="D4141" t="str">
        <f>"35057"</f>
        <v>35057</v>
      </c>
      <c r="E4141" t="str">
        <f t="shared" si="721"/>
        <v>1</v>
      </c>
      <c r="F4141" t="str">
        <f t="shared" si="724"/>
        <v>COM</v>
      </c>
      <c r="G4141" t="str">
        <f t="shared" si="731"/>
        <v>JULIO GUIMARAES DOS SANTOS (977)</v>
      </c>
      <c r="H4141" t="str">
        <f>"Serv.Prest. 09/03/2026 a 15/03/2026 - PIX: CELULAR - CHAVE: (11) 94195-2534"</f>
        <v>Serv.Prest. 09/03/2026 a 15/03/2026 - PIX: CELULAR - CHAVE: (11) 94195-2534</v>
      </c>
      <c r="I4141" t="str">
        <f t="shared" si="732"/>
        <v>19/03/2026</v>
      </c>
      <c r="J4141" t="str">
        <f t="shared" si="722"/>
        <v>17/03/2026</v>
      </c>
      <c r="K4141" t="str">
        <f>("19/03/2026")</f>
        <v>19/03/2026</v>
      </c>
      <c r="L4141">
        <v>220</v>
      </c>
      <c r="M4141">
        <v>220</v>
      </c>
      <c r="N4141">
        <v>109</v>
      </c>
      <c r="O4141" t="str">
        <f>"PAGAMENTO DE ENTREGADORES"</f>
        <v>PAGAMENTO DE ENTREGADORES</v>
      </c>
      <c r="P4141">
        <v>220</v>
      </c>
      <c r="S4141" t="str">
        <f>"BANCO C6 (149)"</f>
        <v>BANCO C6 (149)</v>
      </c>
      <c r="T4141">
        <v>31746</v>
      </c>
      <c r="U4141">
        <v>35057</v>
      </c>
      <c r="V4141" t="s">
        <v>37</v>
      </c>
    </row>
    <row r="4142" spans="1:22">
      <c r="A4142" t="str">
        <f t="shared" si="720"/>
        <v>19/03/2026</v>
      </c>
      <c r="B4142" t="str">
        <f t="shared" si="729"/>
        <v>SAÍDA</v>
      </c>
      <c r="C4142" t="str">
        <f t="shared" si="730"/>
        <v>PIX</v>
      </c>
      <c r="D4142" t="str">
        <f>"35057"</f>
        <v>35057</v>
      </c>
      <c r="E4142" t="str">
        <f t="shared" si="721"/>
        <v>1</v>
      </c>
      <c r="F4142" t="str">
        <f t="shared" si="724"/>
        <v>COM</v>
      </c>
      <c r="G4142" t="str">
        <f t="shared" si="731"/>
        <v>JULIO GUIMARAES DOS SANTOS (977)</v>
      </c>
      <c r="H4142" t="s">
        <v>885</v>
      </c>
      <c r="I4142" t="str">
        <f t="shared" si="732"/>
        <v>19/03/2026</v>
      </c>
      <c r="J4142" t="str">
        <f t="shared" si="722"/>
        <v>17/03/2026</v>
      </c>
      <c r="K4142">
        <v>46100</v>
      </c>
      <c r="N4142">
        <v>109</v>
      </c>
      <c r="O4142" t="s">
        <v>27</v>
      </c>
      <c r="Q4142">
        <v>220</v>
      </c>
      <c r="R4142" t="str">
        <f>"PENSE FARMA 43 (10208)"</f>
        <v>PENSE FARMA 43 (10208)</v>
      </c>
      <c r="S4142" t="s">
        <v>37</v>
      </c>
      <c r="T4142">
        <v>31746</v>
      </c>
      <c r="U4142">
        <v>35057</v>
      </c>
      <c r="V4142" t="s">
        <v>37</v>
      </c>
    </row>
    <row r="4143" spans="1:22">
      <c r="A4143" t="str">
        <f t="shared" si="720"/>
        <v>19/03/2026</v>
      </c>
      <c r="B4143" t="str">
        <f t="shared" si="729"/>
        <v>SAÍDA</v>
      </c>
      <c r="C4143" t="str">
        <f t="shared" si="730"/>
        <v>PIX</v>
      </c>
      <c r="D4143" t="str">
        <f>"35058"</f>
        <v>35058</v>
      </c>
      <c r="E4143" t="str">
        <f t="shared" si="721"/>
        <v>1</v>
      </c>
      <c r="F4143" t="str">
        <f t="shared" si="724"/>
        <v>COM</v>
      </c>
      <c r="G4143" t="str">
        <f t="shared" si="731"/>
        <v>JULIO GUIMARAES DOS SANTOS (977)</v>
      </c>
      <c r="H4143" t="str">
        <f>"Serv.Prest. 09/03/2026 a 15/03/2026 - PIX: CELULAR - CHAVE: (11) 94195-2534"</f>
        <v>Serv.Prest. 09/03/2026 a 15/03/2026 - PIX: CELULAR - CHAVE: (11) 94195-2534</v>
      </c>
      <c r="I4143" t="str">
        <f t="shared" si="732"/>
        <v>19/03/2026</v>
      </c>
      <c r="J4143" t="str">
        <f t="shared" si="722"/>
        <v>17/03/2026</v>
      </c>
      <c r="K4143" t="str">
        <f>("19/03/2026")</f>
        <v>19/03/2026</v>
      </c>
      <c r="L4143">
        <v>220</v>
      </c>
      <c r="M4143">
        <v>220</v>
      </c>
      <c r="N4143">
        <v>109</v>
      </c>
      <c r="O4143" t="str">
        <f>"PAGAMENTO DE ENTREGADORES"</f>
        <v>PAGAMENTO DE ENTREGADORES</v>
      </c>
      <c r="P4143">
        <v>220</v>
      </c>
      <c r="S4143" t="str">
        <f>"BANCO C6 (149)"</f>
        <v>BANCO C6 (149)</v>
      </c>
      <c r="T4143">
        <v>31747</v>
      </c>
      <c r="U4143">
        <v>35058</v>
      </c>
      <c r="V4143" t="s">
        <v>37</v>
      </c>
    </row>
    <row r="4144" spans="1:22">
      <c r="A4144" t="str">
        <f t="shared" ref="A4144:A4207" si="733">("19/03/2026")</f>
        <v>19/03/2026</v>
      </c>
      <c r="B4144" t="str">
        <f t="shared" si="729"/>
        <v>SAÍDA</v>
      </c>
      <c r="C4144" t="str">
        <f t="shared" si="730"/>
        <v>PIX</v>
      </c>
      <c r="D4144" t="str">
        <f>"35058"</f>
        <v>35058</v>
      </c>
      <c r="E4144" t="str">
        <f t="shared" si="721"/>
        <v>1</v>
      </c>
      <c r="F4144" t="str">
        <f t="shared" si="724"/>
        <v>COM</v>
      </c>
      <c r="G4144" t="str">
        <f t="shared" si="731"/>
        <v>JULIO GUIMARAES DOS SANTOS (977)</v>
      </c>
      <c r="H4144" t="s">
        <v>885</v>
      </c>
      <c r="I4144" t="str">
        <f t="shared" si="732"/>
        <v>19/03/2026</v>
      </c>
      <c r="J4144" t="str">
        <f t="shared" si="722"/>
        <v>17/03/2026</v>
      </c>
      <c r="K4144">
        <v>46100</v>
      </c>
      <c r="N4144">
        <v>109</v>
      </c>
      <c r="O4144" t="s">
        <v>27</v>
      </c>
      <c r="Q4144">
        <v>220</v>
      </c>
      <c r="R4144" t="str">
        <f>"PENSE FARMA 59 (10211)"</f>
        <v>PENSE FARMA 59 (10211)</v>
      </c>
      <c r="S4144" t="s">
        <v>37</v>
      </c>
      <c r="T4144">
        <v>31747</v>
      </c>
      <c r="U4144">
        <v>35058</v>
      </c>
      <c r="V4144" t="s">
        <v>37</v>
      </c>
    </row>
    <row r="4145" spans="1:22">
      <c r="A4145" t="str">
        <f t="shared" si="733"/>
        <v>19/03/2026</v>
      </c>
      <c r="B4145" t="str">
        <f t="shared" si="729"/>
        <v>SAÍDA</v>
      </c>
      <c r="C4145" t="str">
        <f t="shared" si="730"/>
        <v>PIX</v>
      </c>
      <c r="D4145" t="str">
        <f>"35059"</f>
        <v>35059</v>
      </c>
      <c r="E4145" t="str">
        <f t="shared" si="721"/>
        <v>1</v>
      </c>
      <c r="F4145" t="str">
        <f t="shared" si="724"/>
        <v>COM</v>
      </c>
      <c r="G4145" t="str">
        <f t="shared" si="731"/>
        <v>JULIO GUIMARAES DOS SANTOS (977)</v>
      </c>
      <c r="H4145" t="str">
        <f>"Serv.Prest. 09/03/2026 a 15/03/2026 - PIX: CELULAR - CHAVE: (11) 94195-2534"</f>
        <v>Serv.Prest. 09/03/2026 a 15/03/2026 - PIX: CELULAR - CHAVE: (11) 94195-2534</v>
      </c>
      <c r="I4145" t="str">
        <f t="shared" si="732"/>
        <v>19/03/2026</v>
      </c>
      <c r="J4145" t="str">
        <f t="shared" si="722"/>
        <v>17/03/2026</v>
      </c>
      <c r="K4145" t="str">
        <f>("19/03/2026")</f>
        <v>19/03/2026</v>
      </c>
      <c r="L4145">
        <v>197</v>
      </c>
      <c r="M4145">
        <v>197</v>
      </c>
      <c r="N4145">
        <v>109</v>
      </c>
      <c r="O4145" t="str">
        <f>"PAGAMENTO DE ENTREGADORES"</f>
        <v>PAGAMENTO DE ENTREGADORES</v>
      </c>
      <c r="P4145">
        <v>197</v>
      </c>
      <c r="S4145" t="str">
        <f>"BANCO C6 (149)"</f>
        <v>BANCO C6 (149)</v>
      </c>
      <c r="T4145">
        <v>31748</v>
      </c>
      <c r="U4145">
        <v>35059</v>
      </c>
      <c r="V4145" t="s">
        <v>37</v>
      </c>
    </row>
    <row r="4146" spans="1:22">
      <c r="A4146" t="str">
        <f t="shared" si="733"/>
        <v>19/03/2026</v>
      </c>
      <c r="B4146" t="str">
        <f t="shared" si="729"/>
        <v>SAÍDA</v>
      </c>
      <c r="C4146" t="str">
        <f t="shared" si="730"/>
        <v>PIX</v>
      </c>
      <c r="D4146" t="str">
        <f>"35059"</f>
        <v>35059</v>
      </c>
      <c r="E4146" t="str">
        <f t="shared" si="721"/>
        <v>1</v>
      </c>
      <c r="F4146" t="str">
        <f t="shared" si="724"/>
        <v>COM</v>
      </c>
      <c r="G4146" t="str">
        <f t="shared" si="731"/>
        <v>JULIO GUIMARAES DOS SANTOS (977)</v>
      </c>
      <c r="H4146" t="s">
        <v>885</v>
      </c>
      <c r="I4146" t="str">
        <f t="shared" si="732"/>
        <v>19/03/2026</v>
      </c>
      <c r="J4146" t="str">
        <f t="shared" si="722"/>
        <v>17/03/2026</v>
      </c>
      <c r="K4146">
        <v>46100</v>
      </c>
      <c r="N4146">
        <v>109</v>
      </c>
      <c r="O4146" t="s">
        <v>27</v>
      </c>
      <c r="Q4146">
        <v>197</v>
      </c>
      <c r="R4146" t="str">
        <f>"PENSE FARMA DARK STORE 361 (10212)"</f>
        <v>PENSE FARMA DARK STORE 361 (10212)</v>
      </c>
      <c r="S4146" t="s">
        <v>37</v>
      </c>
      <c r="T4146">
        <v>31748</v>
      </c>
      <c r="U4146">
        <v>35059</v>
      </c>
      <c r="V4146" t="s">
        <v>37</v>
      </c>
    </row>
    <row r="4147" spans="1:22">
      <c r="A4147" t="str">
        <f t="shared" si="733"/>
        <v>19/03/2026</v>
      </c>
      <c r="B4147" t="str">
        <f t="shared" si="729"/>
        <v>SAÍDA</v>
      </c>
      <c r="C4147" t="str">
        <f t="shared" si="730"/>
        <v>PIX</v>
      </c>
      <c r="D4147" t="str">
        <f>"35060"</f>
        <v>35060</v>
      </c>
      <c r="E4147" t="str">
        <f t="shared" si="721"/>
        <v>1</v>
      </c>
      <c r="F4147" t="str">
        <f t="shared" si="724"/>
        <v>COM</v>
      </c>
      <c r="G4147" t="str">
        <f t="shared" si="731"/>
        <v>JULIO GUIMARAES DOS SANTOS (977)</v>
      </c>
      <c r="H4147" t="str">
        <f>"Serv.Prest. 09/03/2026 a 15/03/2026 - PIX: CELULAR - CHAVE: (11) 94195-2534"</f>
        <v>Serv.Prest. 09/03/2026 a 15/03/2026 - PIX: CELULAR - CHAVE: (11) 94195-2534</v>
      </c>
      <c r="I4147" t="str">
        <f t="shared" si="732"/>
        <v>19/03/2026</v>
      </c>
      <c r="J4147" t="str">
        <f t="shared" si="722"/>
        <v>17/03/2026</v>
      </c>
      <c r="K4147" t="str">
        <f>("19/03/2026")</f>
        <v>19/03/2026</v>
      </c>
      <c r="L4147">
        <v>220</v>
      </c>
      <c r="M4147">
        <v>220</v>
      </c>
      <c r="N4147">
        <v>109</v>
      </c>
      <c r="O4147" t="str">
        <f>"PAGAMENTO DE ENTREGADORES"</f>
        <v>PAGAMENTO DE ENTREGADORES</v>
      </c>
      <c r="P4147">
        <v>220</v>
      </c>
      <c r="S4147" t="str">
        <f>"BANCO C6 (149)"</f>
        <v>BANCO C6 (149)</v>
      </c>
      <c r="T4147">
        <v>31749</v>
      </c>
      <c r="U4147">
        <v>35060</v>
      </c>
      <c r="V4147" t="s">
        <v>37</v>
      </c>
    </row>
    <row r="4148" spans="1:22">
      <c r="A4148" t="str">
        <f t="shared" si="733"/>
        <v>19/03/2026</v>
      </c>
      <c r="B4148" t="str">
        <f t="shared" si="729"/>
        <v>SAÍDA</v>
      </c>
      <c r="C4148" t="str">
        <f t="shared" si="730"/>
        <v>PIX</v>
      </c>
      <c r="D4148" t="str">
        <f>"35060"</f>
        <v>35060</v>
      </c>
      <c r="E4148" t="str">
        <f t="shared" si="721"/>
        <v>1</v>
      </c>
      <c r="F4148" t="str">
        <f t="shared" si="724"/>
        <v>COM</v>
      </c>
      <c r="G4148" t="str">
        <f t="shared" si="731"/>
        <v>JULIO GUIMARAES DOS SANTOS (977)</v>
      </c>
      <c r="H4148" t="s">
        <v>885</v>
      </c>
      <c r="I4148" t="str">
        <f t="shared" si="732"/>
        <v>19/03/2026</v>
      </c>
      <c r="J4148" t="str">
        <f t="shared" si="722"/>
        <v>17/03/2026</v>
      </c>
      <c r="K4148">
        <v>46100</v>
      </c>
      <c r="N4148">
        <v>109</v>
      </c>
      <c r="O4148" t="s">
        <v>27</v>
      </c>
      <c r="Q4148">
        <v>220</v>
      </c>
      <c r="R4148" t="str">
        <f>"PENSE FARMA 20 (10203)"</f>
        <v>PENSE FARMA 20 (10203)</v>
      </c>
      <c r="S4148" t="s">
        <v>37</v>
      </c>
      <c r="T4148">
        <v>31749</v>
      </c>
      <c r="U4148">
        <v>35060</v>
      </c>
      <c r="V4148" t="s">
        <v>37</v>
      </c>
    </row>
    <row r="4149" spans="1:22">
      <c r="A4149" t="str">
        <f t="shared" si="733"/>
        <v>19/03/2026</v>
      </c>
      <c r="B4149" t="str">
        <f t="shared" si="729"/>
        <v>SAÍDA</v>
      </c>
      <c r="C4149" t="str">
        <f t="shared" si="730"/>
        <v>PIX</v>
      </c>
      <c r="D4149" t="str">
        <f>"35061"</f>
        <v>35061</v>
      </c>
      <c r="E4149" t="str">
        <f t="shared" si="721"/>
        <v>1</v>
      </c>
      <c r="F4149" t="str">
        <f t="shared" si="724"/>
        <v>COM</v>
      </c>
      <c r="G4149" t="str">
        <f t="shared" ref="G4149:G4160" si="734">"RAFAEL PEDROSO DE CAMARA (975)"</f>
        <v>RAFAEL PEDROSO DE CAMARA (975)</v>
      </c>
      <c r="H4149" t="str">
        <f>"Serv.Prest. 09/03/2026 a 15/03/2026 - PIX: CELULAR - CHAVE: (11) 99270-3082"</f>
        <v>Serv.Prest. 09/03/2026 a 15/03/2026 - PIX: CELULAR - CHAVE: (11) 99270-3082</v>
      </c>
      <c r="I4149" t="str">
        <f t="shared" si="732"/>
        <v>19/03/2026</v>
      </c>
      <c r="J4149" t="str">
        <f t="shared" si="722"/>
        <v>17/03/2026</v>
      </c>
      <c r="K4149" t="str">
        <f>("19/03/2026")</f>
        <v>19/03/2026</v>
      </c>
      <c r="L4149">
        <v>225</v>
      </c>
      <c r="M4149">
        <v>225</v>
      </c>
      <c r="N4149">
        <v>109</v>
      </c>
      <c r="O4149" t="str">
        <f>"PAGAMENTO DE ENTREGADORES"</f>
        <v>PAGAMENTO DE ENTREGADORES</v>
      </c>
      <c r="P4149">
        <v>225</v>
      </c>
      <c r="S4149" t="str">
        <f>"BANCO C6 (149)"</f>
        <v>BANCO C6 (149)</v>
      </c>
      <c r="T4149">
        <v>31750</v>
      </c>
      <c r="U4149">
        <v>35061</v>
      </c>
      <c r="V4149" t="s">
        <v>37</v>
      </c>
    </row>
    <row r="4150" spans="1:22">
      <c r="A4150" t="str">
        <f t="shared" si="733"/>
        <v>19/03/2026</v>
      </c>
      <c r="B4150" t="str">
        <f t="shared" si="729"/>
        <v>SAÍDA</v>
      </c>
      <c r="C4150" t="str">
        <f t="shared" si="730"/>
        <v>PIX</v>
      </c>
      <c r="D4150" t="str">
        <f>"35061"</f>
        <v>35061</v>
      </c>
      <c r="E4150" t="str">
        <f t="shared" si="721"/>
        <v>1</v>
      </c>
      <c r="F4150" t="str">
        <f t="shared" si="724"/>
        <v>COM</v>
      </c>
      <c r="G4150" t="str">
        <f t="shared" si="734"/>
        <v>RAFAEL PEDROSO DE CAMARA (975)</v>
      </c>
      <c r="H4150" t="s">
        <v>898</v>
      </c>
      <c r="I4150" t="str">
        <f t="shared" si="732"/>
        <v>19/03/2026</v>
      </c>
      <c r="J4150" t="str">
        <f t="shared" si="722"/>
        <v>17/03/2026</v>
      </c>
      <c r="K4150">
        <v>46100</v>
      </c>
      <c r="N4150">
        <v>109</v>
      </c>
      <c r="O4150" t="s">
        <v>27</v>
      </c>
      <c r="Q4150">
        <v>225</v>
      </c>
      <c r="R4150" t="str">
        <f>"PENSE FARMA 20 (10203)"</f>
        <v>PENSE FARMA 20 (10203)</v>
      </c>
      <c r="S4150" t="s">
        <v>37</v>
      </c>
      <c r="T4150">
        <v>31750</v>
      </c>
      <c r="U4150">
        <v>35061</v>
      </c>
      <c r="V4150" t="s">
        <v>37</v>
      </c>
    </row>
    <row r="4151" spans="1:22">
      <c r="A4151" t="str">
        <f t="shared" si="733"/>
        <v>19/03/2026</v>
      </c>
      <c r="B4151" t="str">
        <f t="shared" si="729"/>
        <v>SAÍDA</v>
      </c>
      <c r="C4151" t="str">
        <f t="shared" si="730"/>
        <v>PIX</v>
      </c>
      <c r="D4151" t="str">
        <f>"35062"</f>
        <v>35062</v>
      </c>
      <c r="E4151" t="str">
        <f t="shared" ref="E4151:E4214" si="735">"1"</f>
        <v>1</v>
      </c>
      <c r="F4151" t="str">
        <f t="shared" si="724"/>
        <v>COM</v>
      </c>
      <c r="G4151" t="str">
        <f t="shared" si="734"/>
        <v>RAFAEL PEDROSO DE CAMARA (975)</v>
      </c>
      <c r="H4151" t="str">
        <f>"Serv.Prest. 09/03/2026 a 15/03/2026 - PIX: CELULAR - CHAVE: (11) 99270-3082"</f>
        <v>Serv.Prest. 09/03/2026 a 15/03/2026 - PIX: CELULAR - CHAVE: (11) 99270-3082</v>
      </c>
      <c r="I4151" t="str">
        <f t="shared" si="732"/>
        <v>19/03/2026</v>
      </c>
      <c r="J4151" t="str">
        <f t="shared" si="722"/>
        <v>17/03/2026</v>
      </c>
      <c r="K4151" t="str">
        <f>("19/03/2026")</f>
        <v>19/03/2026</v>
      </c>
      <c r="L4151">
        <v>250</v>
      </c>
      <c r="M4151">
        <v>250</v>
      </c>
      <c r="N4151">
        <v>109</v>
      </c>
      <c r="O4151" t="str">
        <f>"PAGAMENTO DE ENTREGADORES"</f>
        <v>PAGAMENTO DE ENTREGADORES</v>
      </c>
      <c r="P4151">
        <v>250</v>
      </c>
      <c r="S4151" t="str">
        <f>"BANCO C6 (149)"</f>
        <v>BANCO C6 (149)</v>
      </c>
      <c r="T4151">
        <v>31751</v>
      </c>
      <c r="U4151">
        <v>35062</v>
      </c>
      <c r="V4151" t="s">
        <v>37</v>
      </c>
    </row>
    <row r="4152" spans="1:22">
      <c r="A4152" t="str">
        <f t="shared" si="733"/>
        <v>19/03/2026</v>
      </c>
      <c r="B4152" t="str">
        <f t="shared" si="729"/>
        <v>SAÍDA</v>
      </c>
      <c r="C4152" t="str">
        <f t="shared" si="730"/>
        <v>PIX</v>
      </c>
      <c r="D4152" t="str">
        <f>"35062"</f>
        <v>35062</v>
      </c>
      <c r="E4152" t="str">
        <f t="shared" si="735"/>
        <v>1</v>
      </c>
      <c r="F4152" t="str">
        <f t="shared" si="724"/>
        <v>COM</v>
      </c>
      <c r="G4152" t="str">
        <f t="shared" si="734"/>
        <v>RAFAEL PEDROSO DE CAMARA (975)</v>
      </c>
      <c r="H4152" t="s">
        <v>898</v>
      </c>
      <c r="I4152" t="str">
        <f t="shared" si="732"/>
        <v>19/03/2026</v>
      </c>
      <c r="J4152" t="str">
        <f t="shared" si="722"/>
        <v>17/03/2026</v>
      </c>
      <c r="K4152">
        <v>46100</v>
      </c>
      <c r="N4152">
        <v>109</v>
      </c>
      <c r="O4152" t="s">
        <v>27</v>
      </c>
      <c r="Q4152">
        <v>250</v>
      </c>
      <c r="R4152" t="str">
        <f>"PENSE FARMA DARK STORE 361 (10212)"</f>
        <v>PENSE FARMA DARK STORE 361 (10212)</v>
      </c>
      <c r="S4152" t="s">
        <v>37</v>
      </c>
      <c r="T4152">
        <v>31751</v>
      </c>
      <c r="U4152">
        <v>35062</v>
      </c>
      <c r="V4152" t="s">
        <v>37</v>
      </c>
    </row>
    <row r="4153" spans="1:22">
      <c r="A4153" t="str">
        <f t="shared" si="733"/>
        <v>19/03/2026</v>
      </c>
      <c r="B4153" t="str">
        <f t="shared" si="729"/>
        <v>SAÍDA</v>
      </c>
      <c r="C4153" t="str">
        <f t="shared" si="730"/>
        <v>PIX</v>
      </c>
      <c r="D4153" t="str">
        <f>"35063"</f>
        <v>35063</v>
      </c>
      <c r="E4153" t="str">
        <f t="shared" si="735"/>
        <v>1</v>
      </c>
      <c r="F4153" t="str">
        <f t="shared" si="724"/>
        <v>COM</v>
      </c>
      <c r="G4153" t="str">
        <f t="shared" si="734"/>
        <v>RAFAEL PEDROSO DE CAMARA (975)</v>
      </c>
      <c r="H4153" t="str">
        <f>"Serv.Prest. 09/03/2026 a 15/03/2026 - PIX: CELULAR - CHAVE: (11) 99270-3082"</f>
        <v>Serv.Prest. 09/03/2026 a 15/03/2026 - PIX: CELULAR - CHAVE: (11) 99270-3082</v>
      </c>
      <c r="I4153" t="str">
        <f t="shared" si="732"/>
        <v>19/03/2026</v>
      </c>
      <c r="J4153" t="str">
        <f t="shared" si="722"/>
        <v>17/03/2026</v>
      </c>
      <c r="K4153" t="str">
        <f>("19/03/2026")</f>
        <v>19/03/2026</v>
      </c>
      <c r="L4153">
        <v>225</v>
      </c>
      <c r="M4153">
        <v>225</v>
      </c>
      <c r="N4153">
        <v>109</v>
      </c>
      <c r="O4153" t="str">
        <f>"PAGAMENTO DE ENTREGADORES"</f>
        <v>PAGAMENTO DE ENTREGADORES</v>
      </c>
      <c r="P4153">
        <v>225</v>
      </c>
      <c r="S4153" t="str">
        <f>"BANCO C6 (149)"</f>
        <v>BANCO C6 (149)</v>
      </c>
      <c r="T4153">
        <v>31752</v>
      </c>
      <c r="U4153">
        <v>35063</v>
      </c>
      <c r="V4153" t="s">
        <v>37</v>
      </c>
    </row>
    <row r="4154" spans="1:22">
      <c r="A4154" t="str">
        <f t="shared" si="733"/>
        <v>19/03/2026</v>
      </c>
      <c r="B4154" t="str">
        <f t="shared" si="729"/>
        <v>SAÍDA</v>
      </c>
      <c r="C4154" t="str">
        <f t="shared" si="730"/>
        <v>PIX</v>
      </c>
      <c r="D4154" t="str">
        <f>"35063"</f>
        <v>35063</v>
      </c>
      <c r="E4154" t="str">
        <f t="shared" si="735"/>
        <v>1</v>
      </c>
      <c r="F4154" t="str">
        <f t="shared" si="724"/>
        <v>COM</v>
      </c>
      <c r="G4154" t="str">
        <f t="shared" si="734"/>
        <v>RAFAEL PEDROSO DE CAMARA (975)</v>
      </c>
      <c r="H4154" t="s">
        <v>898</v>
      </c>
      <c r="I4154" t="str">
        <f t="shared" si="732"/>
        <v>19/03/2026</v>
      </c>
      <c r="J4154" t="str">
        <f t="shared" si="722"/>
        <v>17/03/2026</v>
      </c>
      <c r="K4154">
        <v>46100</v>
      </c>
      <c r="N4154">
        <v>109</v>
      </c>
      <c r="O4154" t="s">
        <v>27</v>
      </c>
      <c r="Q4154">
        <v>225</v>
      </c>
      <c r="R4154" t="str">
        <f>"PENSE FARMA 59 (10211)"</f>
        <v>PENSE FARMA 59 (10211)</v>
      </c>
      <c r="S4154" t="s">
        <v>37</v>
      </c>
      <c r="T4154">
        <v>31752</v>
      </c>
      <c r="U4154">
        <v>35063</v>
      </c>
      <c r="V4154" t="s">
        <v>37</v>
      </c>
    </row>
    <row r="4155" spans="1:22">
      <c r="A4155" t="str">
        <f t="shared" si="733"/>
        <v>19/03/2026</v>
      </c>
      <c r="B4155" t="str">
        <f t="shared" si="729"/>
        <v>SAÍDA</v>
      </c>
      <c r="C4155" t="str">
        <f t="shared" si="730"/>
        <v>PIX</v>
      </c>
      <c r="D4155" t="str">
        <f>"35064"</f>
        <v>35064</v>
      </c>
      <c r="E4155" t="str">
        <f t="shared" si="735"/>
        <v>1</v>
      </c>
      <c r="F4155" t="str">
        <f t="shared" si="724"/>
        <v>COM</v>
      </c>
      <c r="G4155" t="str">
        <f t="shared" si="734"/>
        <v>RAFAEL PEDROSO DE CAMARA (975)</v>
      </c>
      <c r="H4155" t="str">
        <f>"Serv.Prest. 09/03/2026 a 15/03/2026 - PIX: CELULAR - CHAVE: (11) 99270-3082"</f>
        <v>Serv.Prest. 09/03/2026 a 15/03/2026 - PIX: CELULAR - CHAVE: (11) 99270-3082</v>
      </c>
      <c r="I4155" t="str">
        <f t="shared" si="732"/>
        <v>19/03/2026</v>
      </c>
      <c r="J4155" t="str">
        <f t="shared" si="722"/>
        <v>17/03/2026</v>
      </c>
      <c r="K4155" t="str">
        <f>("19/03/2026")</f>
        <v>19/03/2026</v>
      </c>
      <c r="L4155">
        <v>225</v>
      </c>
      <c r="M4155">
        <v>225</v>
      </c>
      <c r="N4155">
        <v>109</v>
      </c>
      <c r="O4155" t="str">
        <f>"PAGAMENTO DE ENTREGADORES"</f>
        <v>PAGAMENTO DE ENTREGADORES</v>
      </c>
      <c r="P4155">
        <v>225</v>
      </c>
      <c r="S4155" t="str">
        <f>"BANCO C6 (149)"</f>
        <v>BANCO C6 (149)</v>
      </c>
      <c r="T4155">
        <v>31753</v>
      </c>
      <c r="U4155">
        <v>35064</v>
      </c>
      <c r="V4155" t="s">
        <v>37</v>
      </c>
    </row>
    <row r="4156" spans="1:22">
      <c r="A4156" t="str">
        <f t="shared" si="733"/>
        <v>19/03/2026</v>
      </c>
      <c r="B4156" t="str">
        <f t="shared" si="729"/>
        <v>SAÍDA</v>
      </c>
      <c r="C4156" t="str">
        <f t="shared" si="730"/>
        <v>PIX</v>
      </c>
      <c r="D4156" t="str">
        <f>"35064"</f>
        <v>35064</v>
      </c>
      <c r="E4156" t="str">
        <f t="shared" si="735"/>
        <v>1</v>
      </c>
      <c r="F4156" t="str">
        <f t="shared" si="724"/>
        <v>COM</v>
      </c>
      <c r="G4156" t="str">
        <f t="shared" si="734"/>
        <v>RAFAEL PEDROSO DE CAMARA (975)</v>
      </c>
      <c r="H4156" t="s">
        <v>898</v>
      </c>
      <c r="I4156" t="str">
        <f t="shared" si="732"/>
        <v>19/03/2026</v>
      </c>
      <c r="J4156" t="str">
        <f t="shared" si="722"/>
        <v>17/03/2026</v>
      </c>
      <c r="K4156">
        <v>46100</v>
      </c>
      <c r="N4156">
        <v>109</v>
      </c>
      <c r="O4156" t="s">
        <v>27</v>
      </c>
      <c r="Q4156">
        <v>225</v>
      </c>
      <c r="R4156" t="str">
        <f>"PENSE FARMA 43 (10208)"</f>
        <v>PENSE FARMA 43 (10208)</v>
      </c>
      <c r="S4156" t="s">
        <v>37</v>
      </c>
      <c r="T4156">
        <v>31753</v>
      </c>
      <c r="U4156">
        <v>35064</v>
      </c>
      <c r="V4156" t="s">
        <v>37</v>
      </c>
    </row>
    <row r="4157" spans="1:22">
      <c r="A4157" t="str">
        <f t="shared" si="733"/>
        <v>19/03/2026</v>
      </c>
      <c r="B4157" t="str">
        <f t="shared" si="729"/>
        <v>SAÍDA</v>
      </c>
      <c r="C4157" t="str">
        <f t="shared" si="730"/>
        <v>PIX</v>
      </c>
      <c r="D4157" t="str">
        <f>"35065"</f>
        <v>35065</v>
      </c>
      <c r="E4157" t="str">
        <f t="shared" si="735"/>
        <v>1</v>
      </c>
      <c r="F4157" t="str">
        <f t="shared" si="724"/>
        <v>COM</v>
      </c>
      <c r="G4157" t="str">
        <f t="shared" si="734"/>
        <v>RAFAEL PEDROSO DE CAMARA (975)</v>
      </c>
      <c r="H4157" t="str">
        <f>"Serv.Prest. 09/03/2026 a 15/03/2026 - PIX: CELULAR - CHAVE: (11) 99270-3082"</f>
        <v>Serv.Prest. 09/03/2026 a 15/03/2026 - PIX: CELULAR - CHAVE: (11) 99270-3082</v>
      </c>
      <c r="I4157" t="str">
        <f t="shared" si="732"/>
        <v>19/03/2026</v>
      </c>
      <c r="J4157" t="str">
        <f t="shared" ref="J4157:J4220" si="736">("17/03/2026")</f>
        <v>17/03/2026</v>
      </c>
      <c r="K4157" t="str">
        <f>("19/03/2026")</f>
        <v>19/03/2026</v>
      </c>
      <c r="L4157">
        <v>165</v>
      </c>
      <c r="M4157">
        <v>165</v>
      </c>
      <c r="N4157">
        <v>109</v>
      </c>
      <c r="O4157" t="str">
        <f>"PAGAMENTO DE ENTREGADORES"</f>
        <v>PAGAMENTO DE ENTREGADORES</v>
      </c>
      <c r="P4157">
        <v>165</v>
      </c>
      <c r="S4157" t="str">
        <f>"BANCO C6 (149)"</f>
        <v>BANCO C6 (149)</v>
      </c>
      <c r="T4157">
        <v>31754</v>
      </c>
      <c r="U4157">
        <v>35065</v>
      </c>
      <c r="V4157" t="s">
        <v>37</v>
      </c>
    </row>
    <row r="4158" spans="1:22">
      <c r="A4158" t="str">
        <f t="shared" si="733"/>
        <v>19/03/2026</v>
      </c>
      <c r="B4158" t="str">
        <f t="shared" si="729"/>
        <v>SAÍDA</v>
      </c>
      <c r="C4158" t="str">
        <f t="shared" si="730"/>
        <v>PIX</v>
      </c>
      <c r="D4158" t="str">
        <f>"35065"</f>
        <v>35065</v>
      </c>
      <c r="E4158" t="str">
        <f t="shared" si="735"/>
        <v>1</v>
      </c>
      <c r="F4158" t="str">
        <f t="shared" si="724"/>
        <v>COM</v>
      </c>
      <c r="G4158" t="str">
        <f t="shared" si="734"/>
        <v>RAFAEL PEDROSO DE CAMARA (975)</v>
      </c>
      <c r="H4158" t="s">
        <v>898</v>
      </c>
      <c r="I4158" t="str">
        <f t="shared" si="732"/>
        <v>19/03/2026</v>
      </c>
      <c r="J4158" t="str">
        <f t="shared" si="736"/>
        <v>17/03/2026</v>
      </c>
      <c r="K4158">
        <v>46100</v>
      </c>
      <c r="N4158">
        <v>109</v>
      </c>
      <c r="O4158" t="s">
        <v>27</v>
      </c>
      <c r="Q4158">
        <v>165</v>
      </c>
      <c r="R4158" t="str">
        <f>"PENSE FARMA 40 (10207)"</f>
        <v>PENSE FARMA 40 (10207)</v>
      </c>
      <c r="S4158" t="s">
        <v>37</v>
      </c>
      <c r="T4158">
        <v>31754</v>
      </c>
      <c r="U4158">
        <v>35065</v>
      </c>
      <c r="V4158" t="s">
        <v>37</v>
      </c>
    </row>
    <row r="4159" spans="1:22">
      <c r="A4159" t="str">
        <f t="shared" si="733"/>
        <v>19/03/2026</v>
      </c>
      <c r="B4159" t="str">
        <f t="shared" si="729"/>
        <v>SAÍDA</v>
      </c>
      <c r="C4159" t="str">
        <f t="shared" si="730"/>
        <v>PIX</v>
      </c>
      <c r="D4159" t="str">
        <f>"35066"</f>
        <v>35066</v>
      </c>
      <c r="E4159" t="str">
        <f t="shared" si="735"/>
        <v>1</v>
      </c>
      <c r="F4159" t="str">
        <f t="shared" si="724"/>
        <v>COM</v>
      </c>
      <c r="G4159" t="str">
        <f t="shared" si="734"/>
        <v>RAFAEL PEDROSO DE CAMARA (975)</v>
      </c>
      <c r="H4159" t="str">
        <f>"Serv.Prest. 09/03/2026 a 15/03/2026 - PIX: CELULAR - CHAVE: (11) 99270-3082"</f>
        <v>Serv.Prest. 09/03/2026 a 15/03/2026 - PIX: CELULAR - CHAVE: (11) 99270-3082</v>
      </c>
      <c r="I4159" t="str">
        <f t="shared" si="732"/>
        <v>19/03/2026</v>
      </c>
      <c r="J4159" t="str">
        <f t="shared" si="736"/>
        <v>17/03/2026</v>
      </c>
      <c r="K4159" t="str">
        <f>("19/03/2026")</f>
        <v>19/03/2026</v>
      </c>
      <c r="L4159">
        <v>205</v>
      </c>
      <c r="M4159">
        <v>205</v>
      </c>
      <c r="N4159">
        <v>109</v>
      </c>
      <c r="O4159" t="str">
        <f>"PAGAMENTO DE ENTREGADORES"</f>
        <v>PAGAMENTO DE ENTREGADORES</v>
      </c>
      <c r="P4159">
        <v>205</v>
      </c>
      <c r="S4159" t="str">
        <f>"BANCO C6 (149)"</f>
        <v>BANCO C6 (149)</v>
      </c>
      <c r="T4159">
        <v>31755</v>
      </c>
      <c r="U4159">
        <v>35066</v>
      </c>
      <c r="V4159" t="s">
        <v>37</v>
      </c>
    </row>
    <row r="4160" spans="1:22">
      <c r="A4160" t="str">
        <f t="shared" si="733"/>
        <v>19/03/2026</v>
      </c>
      <c r="B4160" t="str">
        <f t="shared" si="729"/>
        <v>SAÍDA</v>
      </c>
      <c r="C4160" t="str">
        <f t="shared" si="730"/>
        <v>PIX</v>
      </c>
      <c r="D4160" t="str">
        <f>"35066"</f>
        <v>35066</v>
      </c>
      <c r="E4160" t="str">
        <f t="shared" si="735"/>
        <v>1</v>
      </c>
      <c r="F4160" t="str">
        <f t="shared" si="724"/>
        <v>COM</v>
      </c>
      <c r="G4160" t="str">
        <f t="shared" si="734"/>
        <v>RAFAEL PEDROSO DE CAMARA (975)</v>
      </c>
      <c r="H4160" t="s">
        <v>898</v>
      </c>
      <c r="I4160" t="str">
        <f t="shared" si="732"/>
        <v>19/03/2026</v>
      </c>
      <c r="J4160" t="str">
        <f t="shared" si="736"/>
        <v>17/03/2026</v>
      </c>
      <c r="K4160">
        <v>46100</v>
      </c>
      <c r="N4160">
        <v>109</v>
      </c>
      <c r="O4160" t="s">
        <v>27</v>
      </c>
      <c r="Q4160">
        <v>205</v>
      </c>
      <c r="R4160" t="str">
        <f>"PENSE FARMA 36 (10206)"</f>
        <v>PENSE FARMA 36 (10206)</v>
      </c>
      <c r="S4160" t="s">
        <v>37</v>
      </c>
      <c r="T4160">
        <v>31755</v>
      </c>
      <c r="U4160">
        <v>35066</v>
      </c>
      <c r="V4160" t="s">
        <v>37</v>
      </c>
    </row>
    <row r="4161" spans="1:22">
      <c r="A4161" t="str">
        <f t="shared" si="733"/>
        <v>19/03/2026</v>
      </c>
      <c r="B4161" t="str">
        <f t="shared" si="729"/>
        <v>SAÍDA</v>
      </c>
      <c r="C4161" t="str">
        <f t="shared" si="730"/>
        <v>PIX</v>
      </c>
      <c r="D4161" t="str">
        <f>"35067"</f>
        <v>35067</v>
      </c>
      <c r="E4161" t="str">
        <f t="shared" si="735"/>
        <v>1</v>
      </c>
      <c r="F4161" t="str">
        <f t="shared" si="724"/>
        <v>COM</v>
      </c>
      <c r="G4161" t="str">
        <f t="shared" ref="G4161:G4172" si="737">"RODOLFO RAFAEL BALSI LIMA (1077)"</f>
        <v>RODOLFO RAFAEL BALSI LIMA (1077)</v>
      </c>
      <c r="H4161" t="str">
        <f>"Serv.Prest. 09/03/2026 a 15/03/2026 - PIX: CELULAR - CHAVE: (11) 99239-3232"</f>
        <v>Serv.Prest. 09/03/2026 a 15/03/2026 - PIX: CELULAR - CHAVE: (11) 99239-3232</v>
      </c>
      <c r="I4161" t="str">
        <f t="shared" si="732"/>
        <v>19/03/2026</v>
      </c>
      <c r="J4161" t="str">
        <f t="shared" si="736"/>
        <v>17/03/2026</v>
      </c>
      <c r="K4161" t="str">
        <f>("19/03/2026")</f>
        <v>19/03/2026</v>
      </c>
      <c r="L4161">
        <v>45</v>
      </c>
      <c r="M4161">
        <v>45</v>
      </c>
      <c r="N4161">
        <v>134</v>
      </c>
      <c r="O4161" t="str">
        <f>"DIARIA DE MOTOBOY"</f>
        <v>DIARIA DE MOTOBOY</v>
      </c>
      <c r="P4161">
        <v>45</v>
      </c>
      <c r="S4161" t="str">
        <f>"BANCO C6 (149)"</f>
        <v>BANCO C6 (149)</v>
      </c>
      <c r="T4161">
        <v>31756</v>
      </c>
      <c r="U4161">
        <v>35067</v>
      </c>
      <c r="V4161" t="s">
        <v>37</v>
      </c>
    </row>
    <row r="4162" spans="1:22">
      <c r="A4162" t="str">
        <f t="shared" si="733"/>
        <v>19/03/2026</v>
      </c>
      <c r="B4162" t="str">
        <f t="shared" si="729"/>
        <v>SAÍDA</v>
      </c>
      <c r="C4162" t="str">
        <f t="shared" si="730"/>
        <v>PIX</v>
      </c>
      <c r="D4162" t="str">
        <f>"35067"</f>
        <v>35067</v>
      </c>
      <c r="E4162" t="str">
        <f t="shared" si="735"/>
        <v>1</v>
      </c>
      <c r="F4162" t="str">
        <f t="shared" ref="F4162:F4225" si="738">"COM"</f>
        <v>COM</v>
      </c>
      <c r="G4162" t="str">
        <f t="shared" si="737"/>
        <v>RODOLFO RAFAEL BALSI LIMA (1077)</v>
      </c>
      <c r="H4162" t="s">
        <v>1119</v>
      </c>
      <c r="I4162" t="str">
        <f t="shared" si="732"/>
        <v>19/03/2026</v>
      </c>
      <c r="J4162" t="str">
        <f t="shared" si="736"/>
        <v>17/03/2026</v>
      </c>
      <c r="K4162">
        <v>46100</v>
      </c>
      <c r="N4162">
        <v>134</v>
      </c>
      <c r="O4162" t="s">
        <v>30</v>
      </c>
      <c r="Q4162">
        <v>45</v>
      </c>
      <c r="R4162" t="str">
        <f>"PENSE FARMA 59 (10211)"</f>
        <v>PENSE FARMA 59 (10211)</v>
      </c>
      <c r="S4162" t="s">
        <v>37</v>
      </c>
      <c r="T4162">
        <v>31756</v>
      </c>
      <c r="U4162">
        <v>35067</v>
      </c>
      <c r="V4162" t="s">
        <v>37</v>
      </c>
    </row>
    <row r="4163" spans="1:22">
      <c r="A4163" t="str">
        <f t="shared" si="733"/>
        <v>19/03/2026</v>
      </c>
      <c r="B4163" t="str">
        <f t="shared" si="729"/>
        <v>SAÍDA</v>
      </c>
      <c r="C4163" t="str">
        <f t="shared" si="730"/>
        <v>PIX</v>
      </c>
      <c r="D4163" t="str">
        <f>"35068"</f>
        <v>35068</v>
      </c>
      <c r="E4163" t="str">
        <f t="shared" si="735"/>
        <v>1</v>
      </c>
      <c r="F4163" t="str">
        <f t="shared" si="738"/>
        <v>COM</v>
      </c>
      <c r="G4163" t="str">
        <f t="shared" si="737"/>
        <v>RODOLFO RAFAEL BALSI LIMA (1077)</v>
      </c>
      <c r="H4163" t="str">
        <f>"Serv.Prest. 09/03/2026 a 15/03/2026 - PIX: CELULAR - CHAVE: (11) 99239-3232"</f>
        <v>Serv.Prest. 09/03/2026 a 15/03/2026 - PIX: CELULAR - CHAVE: (11) 99239-3232</v>
      </c>
      <c r="I4163" t="str">
        <f t="shared" si="732"/>
        <v>19/03/2026</v>
      </c>
      <c r="J4163" t="str">
        <f t="shared" si="736"/>
        <v>17/03/2026</v>
      </c>
      <c r="K4163" t="str">
        <f>("19/03/2026")</f>
        <v>19/03/2026</v>
      </c>
      <c r="L4163">
        <v>50</v>
      </c>
      <c r="M4163">
        <v>50</v>
      </c>
      <c r="N4163">
        <v>134</v>
      </c>
      <c r="O4163" t="str">
        <f>"DIARIA DE MOTOBOY"</f>
        <v>DIARIA DE MOTOBOY</v>
      </c>
      <c r="P4163">
        <v>50</v>
      </c>
      <c r="S4163" t="str">
        <f>"BANCO C6 (149)"</f>
        <v>BANCO C6 (149)</v>
      </c>
      <c r="T4163">
        <v>31757</v>
      </c>
      <c r="U4163">
        <v>35068</v>
      </c>
      <c r="V4163" t="s">
        <v>37</v>
      </c>
    </row>
    <row r="4164" spans="1:22">
      <c r="A4164" t="str">
        <f t="shared" si="733"/>
        <v>19/03/2026</v>
      </c>
      <c r="B4164" t="str">
        <f t="shared" si="729"/>
        <v>SAÍDA</v>
      </c>
      <c r="C4164" t="str">
        <f t="shared" si="730"/>
        <v>PIX</v>
      </c>
      <c r="D4164" t="str">
        <f>"35068"</f>
        <v>35068</v>
      </c>
      <c r="E4164" t="str">
        <f t="shared" si="735"/>
        <v>1</v>
      </c>
      <c r="F4164" t="str">
        <f t="shared" si="738"/>
        <v>COM</v>
      </c>
      <c r="G4164" t="str">
        <f t="shared" si="737"/>
        <v>RODOLFO RAFAEL BALSI LIMA (1077)</v>
      </c>
      <c r="H4164" t="s">
        <v>1119</v>
      </c>
      <c r="I4164" t="str">
        <f t="shared" si="732"/>
        <v>19/03/2026</v>
      </c>
      <c r="J4164" t="str">
        <f t="shared" si="736"/>
        <v>17/03/2026</v>
      </c>
      <c r="K4164">
        <v>46100</v>
      </c>
      <c r="N4164">
        <v>134</v>
      </c>
      <c r="O4164" t="s">
        <v>30</v>
      </c>
      <c r="Q4164">
        <v>50</v>
      </c>
      <c r="R4164" t="str">
        <f>"PENSE FARMA 43 (10208)"</f>
        <v>PENSE FARMA 43 (10208)</v>
      </c>
      <c r="S4164" t="s">
        <v>37</v>
      </c>
      <c r="T4164">
        <v>31757</v>
      </c>
      <c r="U4164">
        <v>35068</v>
      </c>
      <c r="V4164" t="s">
        <v>37</v>
      </c>
    </row>
    <row r="4165" spans="1:22">
      <c r="A4165" t="str">
        <f t="shared" si="733"/>
        <v>19/03/2026</v>
      </c>
      <c r="B4165" t="str">
        <f t="shared" si="729"/>
        <v>SAÍDA</v>
      </c>
      <c r="C4165" t="str">
        <f t="shared" si="730"/>
        <v>PIX</v>
      </c>
      <c r="D4165" t="str">
        <f>"35069"</f>
        <v>35069</v>
      </c>
      <c r="E4165" t="str">
        <f t="shared" si="735"/>
        <v>1</v>
      </c>
      <c r="F4165" t="str">
        <f t="shared" si="738"/>
        <v>COM</v>
      </c>
      <c r="G4165" t="str">
        <f t="shared" si="737"/>
        <v>RODOLFO RAFAEL BALSI LIMA (1077)</v>
      </c>
      <c r="H4165" t="str">
        <f>"Serv.Prest. 09/03/2026 a 15/03/2026 - PIX: CELULAR - CHAVE: (11) 99239-3232"</f>
        <v>Serv.Prest. 09/03/2026 a 15/03/2026 - PIX: CELULAR - CHAVE: (11) 99239-3232</v>
      </c>
      <c r="I4165" t="str">
        <f t="shared" si="732"/>
        <v>19/03/2026</v>
      </c>
      <c r="J4165" t="str">
        <f t="shared" si="736"/>
        <v>17/03/2026</v>
      </c>
      <c r="K4165" t="str">
        <f>("19/03/2026")</f>
        <v>19/03/2026</v>
      </c>
      <c r="L4165">
        <v>50</v>
      </c>
      <c r="M4165">
        <v>50</v>
      </c>
      <c r="N4165">
        <v>134</v>
      </c>
      <c r="O4165" t="str">
        <f>"DIARIA DE MOTOBOY"</f>
        <v>DIARIA DE MOTOBOY</v>
      </c>
      <c r="P4165">
        <v>50</v>
      </c>
      <c r="S4165" t="str">
        <f>"BANCO C6 (149)"</f>
        <v>BANCO C6 (149)</v>
      </c>
      <c r="T4165">
        <v>31758</v>
      </c>
      <c r="U4165">
        <v>35069</v>
      </c>
      <c r="V4165" t="s">
        <v>37</v>
      </c>
    </row>
    <row r="4166" spans="1:22">
      <c r="A4166" t="str">
        <f t="shared" si="733"/>
        <v>19/03/2026</v>
      </c>
      <c r="B4166" t="str">
        <f t="shared" si="729"/>
        <v>SAÍDA</v>
      </c>
      <c r="C4166" t="str">
        <f t="shared" si="730"/>
        <v>PIX</v>
      </c>
      <c r="D4166" t="str">
        <f>"35069"</f>
        <v>35069</v>
      </c>
      <c r="E4166" t="str">
        <f t="shared" si="735"/>
        <v>1</v>
      </c>
      <c r="F4166" t="str">
        <f t="shared" si="738"/>
        <v>COM</v>
      </c>
      <c r="G4166" t="str">
        <f t="shared" si="737"/>
        <v>RODOLFO RAFAEL BALSI LIMA (1077)</v>
      </c>
      <c r="H4166" t="s">
        <v>1119</v>
      </c>
      <c r="I4166" t="str">
        <f t="shared" si="732"/>
        <v>19/03/2026</v>
      </c>
      <c r="J4166" t="str">
        <f t="shared" si="736"/>
        <v>17/03/2026</v>
      </c>
      <c r="K4166">
        <v>46100</v>
      </c>
      <c r="N4166">
        <v>134</v>
      </c>
      <c r="O4166" t="s">
        <v>30</v>
      </c>
      <c r="Q4166">
        <v>50</v>
      </c>
      <c r="R4166" t="str">
        <f>"PENSE FARMA 40 (10207)"</f>
        <v>PENSE FARMA 40 (10207)</v>
      </c>
      <c r="S4166" t="s">
        <v>37</v>
      </c>
      <c r="T4166">
        <v>31758</v>
      </c>
      <c r="U4166">
        <v>35069</v>
      </c>
      <c r="V4166" t="s">
        <v>37</v>
      </c>
    </row>
    <row r="4167" spans="1:22">
      <c r="A4167" t="str">
        <f t="shared" si="733"/>
        <v>19/03/2026</v>
      </c>
      <c r="B4167" t="str">
        <f t="shared" si="729"/>
        <v>SAÍDA</v>
      </c>
      <c r="C4167" t="str">
        <f t="shared" si="730"/>
        <v>PIX</v>
      </c>
      <c r="D4167" t="str">
        <f>"35070"</f>
        <v>35070</v>
      </c>
      <c r="E4167" t="str">
        <f t="shared" si="735"/>
        <v>1</v>
      </c>
      <c r="F4167" t="str">
        <f t="shared" si="738"/>
        <v>COM</v>
      </c>
      <c r="G4167" t="str">
        <f t="shared" si="737"/>
        <v>RODOLFO RAFAEL BALSI LIMA (1077)</v>
      </c>
      <c r="H4167" t="str">
        <f>"Serv.Prest. 09/03/2026 a 15/03/2026 - PIX: CELULAR - CHAVE: (11) 99239-3232"</f>
        <v>Serv.Prest. 09/03/2026 a 15/03/2026 - PIX: CELULAR - CHAVE: (11) 99239-3232</v>
      </c>
      <c r="I4167" t="str">
        <f t="shared" si="732"/>
        <v>19/03/2026</v>
      </c>
      <c r="J4167" t="str">
        <f t="shared" si="736"/>
        <v>17/03/2026</v>
      </c>
      <c r="K4167" t="str">
        <f>("19/03/2026")</f>
        <v>19/03/2026</v>
      </c>
      <c r="L4167">
        <v>50</v>
      </c>
      <c r="M4167">
        <v>50</v>
      </c>
      <c r="N4167">
        <v>134</v>
      </c>
      <c r="O4167" t="str">
        <f>"DIARIA DE MOTOBOY"</f>
        <v>DIARIA DE MOTOBOY</v>
      </c>
      <c r="P4167">
        <v>50</v>
      </c>
      <c r="S4167" t="str">
        <f>"BANCO C6 (149)"</f>
        <v>BANCO C6 (149)</v>
      </c>
      <c r="T4167">
        <v>31759</v>
      </c>
      <c r="U4167">
        <v>35070</v>
      </c>
      <c r="V4167" t="s">
        <v>37</v>
      </c>
    </row>
    <row r="4168" spans="1:22">
      <c r="A4168" t="str">
        <f t="shared" si="733"/>
        <v>19/03/2026</v>
      </c>
      <c r="B4168" t="str">
        <f t="shared" si="729"/>
        <v>SAÍDA</v>
      </c>
      <c r="C4168" t="str">
        <f t="shared" si="730"/>
        <v>PIX</v>
      </c>
      <c r="D4168" t="str">
        <f>"35070"</f>
        <v>35070</v>
      </c>
      <c r="E4168" t="str">
        <f t="shared" si="735"/>
        <v>1</v>
      </c>
      <c r="F4168" t="str">
        <f t="shared" si="738"/>
        <v>COM</v>
      </c>
      <c r="G4168" t="str">
        <f t="shared" si="737"/>
        <v>RODOLFO RAFAEL BALSI LIMA (1077)</v>
      </c>
      <c r="H4168" t="s">
        <v>1119</v>
      </c>
      <c r="I4168" t="str">
        <f t="shared" si="732"/>
        <v>19/03/2026</v>
      </c>
      <c r="J4168" t="str">
        <f t="shared" si="736"/>
        <v>17/03/2026</v>
      </c>
      <c r="K4168">
        <v>46100</v>
      </c>
      <c r="N4168">
        <v>134</v>
      </c>
      <c r="O4168" t="s">
        <v>30</v>
      </c>
      <c r="Q4168">
        <v>50</v>
      </c>
      <c r="R4168" t="str">
        <f>"PENSE FARMA 36 (10206)"</f>
        <v>PENSE FARMA 36 (10206)</v>
      </c>
      <c r="S4168" t="s">
        <v>37</v>
      </c>
      <c r="T4168">
        <v>31759</v>
      </c>
      <c r="U4168">
        <v>35070</v>
      </c>
      <c r="V4168" t="s">
        <v>37</v>
      </c>
    </row>
    <row r="4169" spans="1:22">
      <c r="A4169" t="str">
        <f t="shared" si="733"/>
        <v>19/03/2026</v>
      </c>
      <c r="B4169" t="str">
        <f t="shared" si="729"/>
        <v>SAÍDA</v>
      </c>
      <c r="C4169" t="str">
        <f t="shared" si="730"/>
        <v>PIX</v>
      </c>
      <c r="D4169" t="str">
        <f>"35071"</f>
        <v>35071</v>
      </c>
      <c r="E4169" t="str">
        <f t="shared" si="735"/>
        <v>1</v>
      </c>
      <c r="F4169" t="str">
        <f t="shared" si="738"/>
        <v>COM</v>
      </c>
      <c r="G4169" t="str">
        <f t="shared" si="737"/>
        <v>RODOLFO RAFAEL BALSI LIMA (1077)</v>
      </c>
      <c r="H4169" t="str">
        <f>"Serv.Prest. 09/03/2026 a 15/03/2026 - PIX: CELULAR - CHAVE: (11) 99239-3232"</f>
        <v>Serv.Prest. 09/03/2026 a 15/03/2026 - PIX: CELULAR - CHAVE: (11) 99239-3232</v>
      </c>
      <c r="I4169" t="str">
        <f t="shared" si="732"/>
        <v>19/03/2026</v>
      </c>
      <c r="J4169" t="str">
        <f t="shared" si="736"/>
        <v>17/03/2026</v>
      </c>
      <c r="K4169" t="str">
        <f>("19/03/2026")</f>
        <v>19/03/2026</v>
      </c>
      <c r="L4169">
        <v>50</v>
      </c>
      <c r="M4169">
        <v>50</v>
      </c>
      <c r="N4169">
        <v>134</v>
      </c>
      <c r="O4169" t="str">
        <f>"DIARIA DE MOTOBOY"</f>
        <v>DIARIA DE MOTOBOY</v>
      </c>
      <c r="P4169">
        <v>50</v>
      </c>
      <c r="S4169" t="str">
        <f>"BANCO C6 (149)"</f>
        <v>BANCO C6 (149)</v>
      </c>
      <c r="T4169">
        <v>31760</v>
      </c>
      <c r="U4169">
        <v>35071</v>
      </c>
      <c r="V4169" t="s">
        <v>37</v>
      </c>
    </row>
    <row r="4170" spans="1:22">
      <c r="A4170" t="str">
        <f t="shared" si="733"/>
        <v>19/03/2026</v>
      </c>
      <c r="B4170" t="str">
        <f t="shared" si="729"/>
        <v>SAÍDA</v>
      </c>
      <c r="C4170" t="str">
        <f t="shared" si="730"/>
        <v>PIX</v>
      </c>
      <c r="D4170" t="str">
        <f>"35071"</f>
        <v>35071</v>
      </c>
      <c r="E4170" t="str">
        <f t="shared" si="735"/>
        <v>1</v>
      </c>
      <c r="F4170" t="str">
        <f t="shared" si="738"/>
        <v>COM</v>
      </c>
      <c r="G4170" t="str">
        <f t="shared" si="737"/>
        <v>RODOLFO RAFAEL BALSI LIMA (1077)</v>
      </c>
      <c r="H4170" t="s">
        <v>1119</v>
      </c>
      <c r="I4170" t="str">
        <f t="shared" si="732"/>
        <v>19/03/2026</v>
      </c>
      <c r="J4170" t="str">
        <f t="shared" si="736"/>
        <v>17/03/2026</v>
      </c>
      <c r="K4170">
        <v>46100</v>
      </c>
      <c r="N4170">
        <v>134</v>
      </c>
      <c r="O4170" t="s">
        <v>30</v>
      </c>
      <c r="Q4170">
        <v>50</v>
      </c>
      <c r="R4170" t="str">
        <f>"PENSE FARMA 20 (10203)"</f>
        <v>PENSE FARMA 20 (10203)</v>
      </c>
      <c r="S4170" t="s">
        <v>37</v>
      </c>
      <c r="T4170">
        <v>31760</v>
      </c>
      <c r="U4170">
        <v>35071</v>
      </c>
      <c r="V4170" t="s">
        <v>37</v>
      </c>
    </row>
    <row r="4171" spans="1:22">
      <c r="A4171" t="str">
        <f t="shared" si="733"/>
        <v>19/03/2026</v>
      </c>
      <c r="B4171" t="str">
        <f t="shared" si="729"/>
        <v>SAÍDA</v>
      </c>
      <c r="C4171" t="str">
        <f t="shared" si="730"/>
        <v>PIX</v>
      </c>
      <c r="D4171" t="str">
        <f>"35072"</f>
        <v>35072</v>
      </c>
      <c r="E4171" t="str">
        <f t="shared" si="735"/>
        <v>1</v>
      </c>
      <c r="F4171" t="str">
        <f t="shared" si="738"/>
        <v>COM</v>
      </c>
      <c r="G4171" t="str">
        <f t="shared" si="737"/>
        <v>RODOLFO RAFAEL BALSI LIMA (1077)</v>
      </c>
      <c r="H4171" t="str">
        <f>"Serv.Prest. 09/03/2026 a 15/03/2026 - PIX: CELULAR - CHAVE: (11) 99239-3232"</f>
        <v>Serv.Prest. 09/03/2026 a 15/03/2026 - PIX: CELULAR - CHAVE: (11) 99239-3232</v>
      </c>
      <c r="I4171" t="str">
        <f t="shared" si="732"/>
        <v>19/03/2026</v>
      </c>
      <c r="J4171" t="str">
        <f t="shared" si="736"/>
        <v>17/03/2026</v>
      </c>
      <c r="K4171" t="str">
        <f>("19/03/2026")</f>
        <v>19/03/2026</v>
      </c>
      <c r="L4171">
        <v>5</v>
      </c>
      <c r="M4171">
        <v>5</v>
      </c>
      <c r="N4171">
        <v>134</v>
      </c>
      <c r="O4171" t="str">
        <f>"DIARIA DE MOTOBOY"</f>
        <v>DIARIA DE MOTOBOY</v>
      </c>
      <c r="P4171">
        <v>5</v>
      </c>
      <c r="S4171" t="str">
        <f>"BANCO C6 (149)"</f>
        <v>BANCO C6 (149)</v>
      </c>
      <c r="T4171">
        <v>31761</v>
      </c>
      <c r="U4171">
        <v>35072</v>
      </c>
      <c r="V4171" t="s">
        <v>37</v>
      </c>
    </row>
    <row r="4172" spans="1:22">
      <c r="A4172" t="str">
        <f t="shared" si="733"/>
        <v>19/03/2026</v>
      </c>
      <c r="B4172" t="str">
        <f t="shared" si="729"/>
        <v>SAÍDA</v>
      </c>
      <c r="C4172" t="str">
        <f t="shared" si="730"/>
        <v>PIX</v>
      </c>
      <c r="D4172" t="str">
        <f>"35072"</f>
        <v>35072</v>
      </c>
      <c r="E4172" t="str">
        <f t="shared" si="735"/>
        <v>1</v>
      </c>
      <c r="F4172" t="str">
        <f t="shared" si="738"/>
        <v>COM</v>
      </c>
      <c r="G4172" t="str">
        <f t="shared" si="737"/>
        <v>RODOLFO RAFAEL BALSI LIMA (1077)</v>
      </c>
      <c r="H4172" t="s">
        <v>1119</v>
      </c>
      <c r="I4172" t="str">
        <f t="shared" si="732"/>
        <v>19/03/2026</v>
      </c>
      <c r="J4172" t="str">
        <f t="shared" si="736"/>
        <v>17/03/2026</v>
      </c>
      <c r="K4172">
        <v>46100</v>
      </c>
      <c r="N4172">
        <v>134</v>
      </c>
      <c r="O4172" t="s">
        <v>30</v>
      </c>
      <c r="Q4172">
        <v>5</v>
      </c>
      <c r="R4172" t="str">
        <f>"PENSE FARMA DARK STORE 361 (10212)"</f>
        <v>PENSE FARMA DARK STORE 361 (10212)</v>
      </c>
      <c r="S4172" t="s">
        <v>37</v>
      </c>
      <c r="T4172">
        <v>31761</v>
      </c>
      <c r="U4172">
        <v>35072</v>
      </c>
      <c r="V4172" t="s">
        <v>37</v>
      </c>
    </row>
    <row r="4173" spans="1:22">
      <c r="A4173" t="str">
        <f t="shared" si="733"/>
        <v>19/03/2026</v>
      </c>
      <c r="B4173" t="str">
        <f t="shared" si="729"/>
        <v>SAÍDA</v>
      </c>
      <c r="C4173" t="str">
        <f t="shared" si="730"/>
        <v>PIX</v>
      </c>
      <c r="D4173" t="str">
        <f>"35074"</f>
        <v>35074</v>
      </c>
      <c r="E4173" t="str">
        <f t="shared" si="735"/>
        <v>1</v>
      </c>
      <c r="F4173" t="str">
        <f t="shared" si="738"/>
        <v>COM</v>
      </c>
      <c r="G4173" t="str">
        <f t="shared" ref="G4173:G4180" si="739">"ALEX GLAUBER PEREIRA (1329)"</f>
        <v>ALEX GLAUBER PEREIRA (1329)</v>
      </c>
      <c r="H4173" t="str">
        <f>"Serv.Prest. 09/03/2026 a 15/03/2026 - PIX: CELULAR - CHAVE: (11) 91487-0314"</f>
        <v>Serv.Prest. 09/03/2026 a 15/03/2026 - PIX: CELULAR - CHAVE: (11) 91487-0314</v>
      </c>
      <c r="I4173" t="str">
        <f t="shared" si="732"/>
        <v>19/03/2026</v>
      </c>
      <c r="J4173" t="str">
        <f t="shared" si="736"/>
        <v>17/03/2026</v>
      </c>
      <c r="K4173" t="str">
        <f>("19/03/2026")</f>
        <v>19/03/2026</v>
      </c>
      <c r="L4173">
        <v>325</v>
      </c>
      <c r="M4173">
        <v>325</v>
      </c>
      <c r="N4173">
        <v>109</v>
      </c>
      <c r="O4173" t="str">
        <f>"PAGAMENTO DE ENTREGADORES"</f>
        <v>PAGAMENTO DE ENTREGADORES</v>
      </c>
      <c r="P4173">
        <v>325</v>
      </c>
      <c r="S4173" t="str">
        <f>"BANCO C6 (149)"</f>
        <v>BANCO C6 (149)</v>
      </c>
      <c r="T4173">
        <v>31762</v>
      </c>
      <c r="U4173">
        <v>35074</v>
      </c>
      <c r="V4173" t="s">
        <v>37</v>
      </c>
    </row>
    <row r="4174" spans="1:22">
      <c r="A4174" t="str">
        <f t="shared" si="733"/>
        <v>19/03/2026</v>
      </c>
      <c r="B4174" t="str">
        <f t="shared" si="729"/>
        <v>SAÍDA</v>
      </c>
      <c r="C4174" t="str">
        <f t="shared" si="730"/>
        <v>PIX</v>
      </c>
      <c r="D4174" t="str">
        <f>"35074"</f>
        <v>35074</v>
      </c>
      <c r="E4174" t="str">
        <f t="shared" si="735"/>
        <v>1</v>
      </c>
      <c r="F4174" t="str">
        <f t="shared" si="738"/>
        <v>COM</v>
      </c>
      <c r="G4174" t="str">
        <f t="shared" si="739"/>
        <v>ALEX GLAUBER PEREIRA (1329)</v>
      </c>
      <c r="H4174" t="s">
        <v>1120</v>
      </c>
      <c r="I4174" t="str">
        <f t="shared" si="732"/>
        <v>19/03/2026</v>
      </c>
      <c r="J4174" t="str">
        <f t="shared" si="736"/>
        <v>17/03/2026</v>
      </c>
      <c r="K4174">
        <v>46100</v>
      </c>
      <c r="N4174">
        <v>109</v>
      </c>
      <c r="O4174" t="s">
        <v>27</v>
      </c>
      <c r="Q4174">
        <v>325</v>
      </c>
      <c r="R4174" t="str">
        <f>"PENSE FARMA 02 (10199)"</f>
        <v>PENSE FARMA 02 (10199)</v>
      </c>
      <c r="S4174" t="s">
        <v>37</v>
      </c>
      <c r="T4174">
        <v>31762</v>
      </c>
      <c r="U4174">
        <v>35074</v>
      </c>
      <c r="V4174" t="s">
        <v>37</v>
      </c>
    </row>
    <row r="4175" spans="1:22">
      <c r="A4175" t="str">
        <f t="shared" si="733"/>
        <v>19/03/2026</v>
      </c>
      <c r="B4175" t="str">
        <f t="shared" si="729"/>
        <v>SAÍDA</v>
      </c>
      <c r="C4175" t="str">
        <f t="shared" si="730"/>
        <v>PIX</v>
      </c>
      <c r="D4175" t="str">
        <f>"35075"</f>
        <v>35075</v>
      </c>
      <c r="E4175" t="str">
        <f t="shared" si="735"/>
        <v>1</v>
      </c>
      <c r="F4175" t="str">
        <f t="shared" si="738"/>
        <v>COM</v>
      </c>
      <c r="G4175" t="str">
        <f t="shared" si="739"/>
        <v>ALEX GLAUBER PEREIRA (1329)</v>
      </c>
      <c r="H4175" t="str">
        <f>"Serv.Prest. 09/03/2026 a 15/03/2026 - PIX: CELULAR - CHAVE: (11) 91487-0314"</f>
        <v>Serv.Prest. 09/03/2026 a 15/03/2026 - PIX: CELULAR - CHAVE: (11) 91487-0314</v>
      </c>
      <c r="I4175" t="str">
        <f t="shared" si="732"/>
        <v>19/03/2026</v>
      </c>
      <c r="J4175" t="str">
        <f t="shared" si="736"/>
        <v>17/03/2026</v>
      </c>
      <c r="K4175" t="str">
        <f>("19/03/2026")</f>
        <v>19/03/2026</v>
      </c>
      <c r="L4175">
        <v>325</v>
      </c>
      <c r="M4175">
        <v>325</v>
      </c>
      <c r="N4175">
        <v>109</v>
      </c>
      <c r="O4175" t="str">
        <f>"PAGAMENTO DE ENTREGADORES"</f>
        <v>PAGAMENTO DE ENTREGADORES</v>
      </c>
      <c r="P4175">
        <v>325</v>
      </c>
      <c r="S4175" t="str">
        <f>"BANCO C6 (149)"</f>
        <v>BANCO C6 (149)</v>
      </c>
      <c r="T4175">
        <v>31763</v>
      </c>
      <c r="U4175">
        <v>35075</v>
      </c>
      <c r="V4175" t="s">
        <v>37</v>
      </c>
    </row>
    <row r="4176" spans="1:22">
      <c r="A4176" t="str">
        <f t="shared" si="733"/>
        <v>19/03/2026</v>
      </c>
      <c r="B4176" t="str">
        <f t="shared" si="729"/>
        <v>SAÍDA</v>
      </c>
      <c r="C4176" t="str">
        <f t="shared" si="730"/>
        <v>PIX</v>
      </c>
      <c r="D4176" t="str">
        <f>"35075"</f>
        <v>35075</v>
      </c>
      <c r="E4176" t="str">
        <f t="shared" si="735"/>
        <v>1</v>
      </c>
      <c r="F4176" t="str">
        <f t="shared" si="738"/>
        <v>COM</v>
      </c>
      <c r="G4176" t="str">
        <f t="shared" si="739"/>
        <v>ALEX GLAUBER PEREIRA (1329)</v>
      </c>
      <c r="H4176" t="s">
        <v>1120</v>
      </c>
      <c r="I4176" t="str">
        <f t="shared" si="732"/>
        <v>19/03/2026</v>
      </c>
      <c r="J4176" t="str">
        <f t="shared" si="736"/>
        <v>17/03/2026</v>
      </c>
      <c r="K4176">
        <v>46100</v>
      </c>
      <c r="N4176">
        <v>109</v>
      </c>
      <c r="O4176" t="s">
        <v>27</v>
      </c>
      <c r="Q4176">
        <v>325</v>
      </c>
      <c r="R4176" t="str">
        <f>"PENSE FARMA 01 (10215)"</f>
        <v>PENSE FARMA 01 (10215)</v>
      </c>
      <c r="S4176" t="s">
        <v>37</v>
      </c>
      <c r="T4176">
        <v>31763</v>
      </c>
      <c r="U4176">
        <v>35075</v>
      </c>
      <c r="V4176" t="s">
        <v>37</v>
      </c>
    </row>
    <row r="4177" spans="1:22">
      <c r="A4177" t="str">
        <f t="shared" si="733"/>
        <v>19/03/2026</v>
      </c>
      <c r="B4177" t="str">
        <f t="shared" si="729"/>
        <v>SAÍDA</v>
      </c>
      <c r="C4177" t="str">
        <f t="shared" si="730"/>
        <v>PIX</v>
      </c>
      <c r="D4177" t="str">
        <f>"35076"</f>
        <v>35076</v>
      </c>
      <c r="E4177" t="str">
        <f t="shared" si="735"/>
        <v>1</v>
      </c>
      <c r="F4177" t="str">
        <f t="shared" si="738"/>
        <v>COM</v>
      </c>
      <c r="G4177" t="str">
        <f t="shared" si="739"/>
        <v>ALEX GLAUBER PEREIRA (1329)</v>
      </c>
      <c r="H4177" t="str">
        <f>"Serv.Prest. 09/03/2026 a 15/03/2026 - PIX: CELULAR - CHAVE: (11) 91487-0314"</f>
        <v>Serv.Prest. 09/03/2026 a 15/03/2026 - PIX: CELULAR - CHAVE: (11) 91487-0314</v>
      </c>
      <c r="I4177" t="str">
        <f t="shared" si="732"/>
        <v>19/03/2026</v>
      </c>
      <c r="J4177" t="str">
        <f t="shared" si="736"/>
        <v>17/03/2026</v>
      </c>
      <c r="K4177" t="str">
        <f>("19/03/2026")</f>
        <v>19/03/2026</v>
      </c>
      <c r="L4177">
        <v>325</v>
      </c>
      <c r="M4177">
        <v>325</v>
      </c>
      <c r="N4177">
        <v>109</v>
      </c>
      <c r="O4177" t="str">
        <f>"PAGAMENTO DE ENTREGADORES"</f>
        <v>PAGAMENTO DE ENTREGADORES</v>
      </c>
      <c r="P4177">
        <v>325</v>
      </c>
      <c r="S4177" t="str">
        <f>"BANCO C6 (149)"</f>
        <v>BANCO C6 (149)</v>
      </c>
      <c r="T4177">
        <v>31764</v>
      </c>
      <c r="U4177">
        <v>35076</v>
      </c>
      <c r="V4177" t="s">
        <v>37</v>
      </c>
    </row>
    <row r="4178" spans="1:22">
      <c r="A4178" t="str">
        <f t="shared" si="733"/>
        <v>19/03/2026</v>
      </c>
      <c r="B4178" t="str">
        <f t="shared" si="729"/>
        <v>SAÍDA</v>
      </c>
      <c r="C4178" t="str">
        <f t="shared" si="730"/>
        <v>PIX</v>
      </c>
      <c r="D4178" t="str">
        <f>"35076"</f>
        <v>35076</v>
      </c>
      <c r="E4178" t="str">
        <f t="shared" si="735"/>
        <v>1</v>
      </c>
      <c r="F4178" t="str">
        <f t="shared" si="738"/>
        <v>COM</v>
      </c>
      <c r="G4178" t="str">
        <f t="shared" si="739"/>
        <v>ALEX GLAUBER PEREIRA (1329)</v>
      </c>
      <c r="H4178" t="s">
        <v>1120</v>
      </c>
      <c r="I4178" t="str">
        <f t="shared" si="732"/>
        <v>19/03/2026</v>
      </c>
      <c r="J4178" t="str">
        <f t="shared" si="736"/>
        <v>17/03/2026</v>
      </c>
      <c r="K4178">
        <v>46100</v>
      </c>
      <c r="N4178">
        <v>109</v>
      </c>
      <c r="O4178" t="s">
        <v>27</v>
      </c>
      <c r="Q4178">
        <v>325</v>
      </c>
      <c r="R4178" t="str">
        <f>"PENSE FARMA 03 (10216)"</f>
        <v>PENSE FARMA 03 (10216)</v>
      </c>
      <c r="S4178" t="s">
        <v>37</v>
      </c>
      <c r="T4178">
        <v>31764</v>
      </c>
      <c r="U4178">
        <v>35076</v>
      </c>
      <c r="V4178" t="s">
        <v>37</v>
      </c>
    </row>
    <row r="4179" spans="1:22">
      <c r="A4179" t="str">
        <f t="shared" si="733"/>
        <v>19/03/2026</v>
      </c>
      <c r="B4179" t="str">
        <f t="shared" si="729"/>
        <v>SAÍDA</v>
      </c>
      <c r="C4179" t="str">
        <f t="shared" si="730"/>
        <v>PIX</v>
      </c>
      <c r="D4179" t="str">
        <f>"35077"</f>
        <v>35077</v>
      </c>
      <c r="E4179" t="str">
        <f t="shared" si="735"/>
        <v>1</v>
      </c>
      <c r="F4179" t="str">
        <f t="shared" si="738"/>
        <v>COM</v>
      </c>
      <c r="G4179" t="str">
        <f t="shared" si="739"/>
        <v>ALEX GLAUBER PEREIRA (1329)</v>
      </c>
      <c r="H4179" t="str">
        <f>"Serv.Prest. 09/03/2026 a 15/03/2026 - PIX: CELULAR - CHAVE: (11) 91487-0314"</f>
        <v>Serv.Prest. 09/03/2026 a 15/03/2026 - PIX: CELULAR - CHAVE: (11) 91487-0314</v>
      </c>
      <c r="I4179" t="str">
        <f t="shared" si="732"/>
        <v>19/03/2026</v>
      </c>
      <c r="J4179" t="str">
        <f t="shared" si="736"/>
        <v>17/03/2026</v>
      </c>
      <c r="K4179" t="str">
        <f>("19/03/2026")</f>
        <v>19/03/2026</v>
      </c>
      <c r="L4179">
        <v>325</v>
      </c>
      <c r="M4179">
        <v>325</v>
      </c>
      <c r="N4179">
        <v>109</v>
      </c>
      <c r="O4179" t="str">
        <f>"PAGAMENTO DE ENTREGADORES"</f>
        <v>PAGAMENTO DE ENTREGADORES</v>
      </c>
      <c r="P4179">
        <v>325</v>
      </c>
      <c r="S4179" t="str">
        <f>"BANCO C6 (149)"</f>
        <v>BANCO C6 (149)</v>
      </c>
      <c r="T4179">
        <v>31765</v>
      </c>
      <c r="U4179">
        <v>35077</v>
      </c>
      <c r="V4179" t="s">
        <v>37</v>
      </c>
    </row>
    <row r="4180" spans="1:22">
      <c r="A4180" t="str">
        <f t="shared" si="733"/>
        <v>19/03/2026</v>
      </c>
      <c r="B4180" t="str">
        <f t="shared" si="729"/>
        <v>SAÍDA</v>
      </c>
      <c r="C4180" t="str">
        <f t="shared" si="730"/>
        <v>PIX</v>
      </c>
      <c r="D4180" t="str">
        <f>"35077"</f>
        <v>35077</v>
      </c>
      <c r="E4180" t="str">
        <f t="shared" si="735"/>
        <v>1</v>
      </c>
      <c r="F4180" t="str">
        <f t="shared" si="738"/>
        <v>COM</v>
      </c>
      <c r="G4180" t="str">
        <f t="shared" si="739"/>
        <v>ALEX GLAUBER PEREIRA (1329)</v>
      </c>
      <c r="H4180" t="s">
        <v>1120</v>
      </c>
      <c r="I4180" t="str">
        <f t="shared" si="732"/>
        <v>19/03/2026</v>
      </c>
      <c r="J4180" t="str">
        <f t="shared" si="736"/>
        <v>17/03/2026</v>
      </c>
      <c r="K4180">
        <v>46100</v>
      </c>
      <c r="N4180">
        <v>109</v>
      </c>
      <c r="O4180" t="s">
        <v>27</v>
      </c>
      <c r="Q4180">
        <v>325</v>
      </c>
      <c r="R4180" t="str">
        <f>"PENSE FARMA 39 (10228)"</f>
        <v>PENSE FARMA 39 (10228)</v>
      </c>
      <c r="S4180" t="s">
        <v>37</v>
      </c>
      <c r="T4180">
        <v>31765</v>
      </c>
      <c r="U4180">
        <v>35077</v>
      </c>
      <c r="V4180" t="s">
        <v>37</v>
      </c>
    </row>
    <row r="4181" spans="1:22">
      <c r="A4181" t="str">
        <f t="shared" si="733"/>
        <v>19/03/2026</v>
      </c>
      <c r="B4181" t="str">
        <f t="shared" si="729"/>
        <v>SAÍDA</v>
      </c>
      <c r="C4181" t="str">
        <f t="shared" si="730"/>
        <v>PIX</v>
      </c>
      <c r="D4181" t="str">
        <f>"35078"</f>
        <v>35078</v>
      </c>
      <c r="E4181" t="str">
        <f t="shared" si="735"/>
        <v>1</v>
      </c>
      <c r="F4181" t="str">
        <f t="shared" si="738"/>
        <v>COM</v>
      </c>
      <c r="G4181" t="str">
        <f t="shared" ref="G4181:G4188" si="740">"IGOR LOPES DA SILVA (991)"</f>
        <v>IGOR LOPES DA SILVA (991)</v>
      </c>
      <c r="H4181" t="str">
        <f>"Serv.Prest. 09/03/2026 a 15/03/2026 - PIX: CELULAR - CHAVE: (11) 95054-2206"</f>
        <v>Serv.Prest. 09/03/2026 a 15/03/2026 - PIX: CELULAR - CHAVE: (11) 95054-2206</v>
      </c>
      <c r="I4181" t="str">
        <f t="shared" si="732"/>
        <v>19/03/2026</v>
      </c>
      <c r="J4181" t="str">
        <f t="shared" si="736"/>
        <v>17/03/2026</v>
      </c>
      <c r="K4181" t="str">
        <f>("19/03/2026")</f>
        <v>19/03/2026</v>
      </c>
      <c r="L4181">
        <v>385</v>
      </c>
      <c r="M4181">
        <v>385</v>
      </c>
      <c r="N4181">
        <v>109</v>
      </c>
      <c r="O4181" t="str">
        <f>"PAGAMENTO DE ENTREGADORES"</f>
        <v>PAGAMENTO DE ENTREGADORES</v>
      </c>
      <c r="P4181">
        <v>385</v>
      </c>
      <c r="S4181" t="str">
        <f>"BANCO C6 (149)"</f>
        <v>BANCO C6 (149)</v>
      </c>
      <c r="T4181">
        <v>31766</v>
      </c>
      <c r="U4181">
        <v>35078</v>
      </c>
      <c r="V4181" t="s">
        <v>37</v>
      </c>
    </row>
    <row r="4182" spans="1:22">
      <c r="A4182" t="str">
        <f t="shared" si="733"/>
        <v>19/03/2026</v>
      </c>
      <c r="B4182" t="str">
        <f t="shared" si="729"/>
        <v>SAÍDA</v>
      </c>
      <c r="C4182" t="str">
        <f t="shared" si="730"/>
        <v>PIX</v>
      </c>
      <c r="D4182" t="str">
        <f>"35078"</f>
        <v>35078</v>
      </c>
      <c r="E4182" t="str">
        <f t="shared" si="735"/>
        <v>1</v>
      </c>
      <c r="F4182" t="str">
        <f t="shared" si="738"/>
        <v>COM</v>
      </c>
      <c r="G4182" t="str">
        <f t="shared" si="740"/>
        <v>IGOR LOPES DA SILVA (991)</v>
      </c>
      <c r="H4182" t="s">
        <v>827</v>
      </c>
      <c r="I4182" t="str">
        <f t="shared" si="732"/>
        <v>19/03/2026</v>
      </c>
      <c r="J4182" t="str">
        <f t="shared" si="736"/>
        <v>17/03/2026</v>
      </c>
      <c r="K4182">
        <v>46100</v>
      </c>
      <c r="N4182">
        <v>109</v>
      </c>
      <c r="O4182" t="s">
        <v>27</v>
      </c>
      <c r="Q4182">
        <v>385</v>
      </c>
      <c r="R4182" t="str">
        <f>"PENSE FARMA 02 (10199)"</f>
        <v>PENSE FARMA 02 (10199)</v>
      </c>
      <c r="S4182" t="s">
        <v>37</v>
      </c>
      <c r="T4182">
        <v>31766</v>
      </c>
      <c r="U4182">
        <v>35078</v>
      </c>
      <c r="V4182" t="s">
        <v>37</v>
      </c>
    </row>
    <row r="4183" spans="1:22">
      <c r="A4183" t="str">
        <f t="shared" si="733"/>
        <v>19/03/2026</v>
      </c>
      <c r="B4183" t="str">
        <f t="shared" si="729"/>
        <v>SAÍDA</v>
      </c>
      <c r="C4183" t="str">
        <f t="shared" si="730"/>
        <v>PIX</v>
      </c>
      <c r="D4183" t="str">
        <f>"35079"</f>
        <v>35079</v>
      </c>
      <c r="E4183" t="str">
        <f t="shared" si="735"/>
        <v>1</v>
      </c>
      <c r="F4183" t="str">
        <f t="shared" si="738"/>
        <v>COM</v>
      </c>
      <c r="G4183" t="str">
        <f t="shared" si="740"/>
        <v>IGOR LOPES DA SILVA (991)</v>
      </c>
      <c r="H4183" t="str">
        <f>"Serv.Prest. 09/03/2026 a 15/03/2026 - PIX: CELULAR - CHAVE: (11) 95054-2206"</f>
        <v>Serv.Prest. 09/03/2026 a 15/03/2026 - PIX: CELULAR - CHAVE: (11) 95054-2206</v>
      </c>
      <c r="I4183" t="str">
        <f t="shared" si="732"/>
        <v>19/03/2026</v>
      </c>
      <c r="J4183" t="str">
        <f t="shared" si="736"/>
        <v>17/03/2026</v>
      </c>
      <c r="K4183" t="str">
        <f>("19/03/2026")</f>
        <v>19/03/2026</v>
      </c>
      <c r="L4183">
        <v>385</v>
      </c>
      <c r="M4183">
        <v>385</v>
      </c>
      <c r="N4183">
        <v>109</v>
      </c>
      <c r="O4183" t="str">
        <f>"PAGAMENTO DE ENTREGADORES"</f>
        <v>PAGAMENTO DE ENTREGADORES</v>
      </c>
      <c r="P4183">
        <v>385</v>
      </c>
      <c r="S4183" t="str">
        <f>"BANCO C6 (149)"</f>
        <v>BANCO C6 (149)</v>
      </c>
      <c r="T4183">
        <v>31767</v>
      </c>
      <c r="U4183">
        <v>35079</v>
      </c>
      <c r="V4183" t="s">
        <v>37</v>
      </c>
    </row>
    <row r="4184" spans="1:22">
      <c r="A4184" t="str">
        <f t="shared" si="733"/>
        <v>19/03/2026</v>
      </c>
      <c r="B4184" t="str">
        <f t="shared" si="729"/>
        <v>SAÍDA</v>
      </c>
      <c r="C4184" t="str">
        <f t="shared" si="730"/>
        <v>PIX</v>
      </c>
      <c r="D4184" t="str">
        <f>"35079"</f>
        <v>35079</v>
      </c>
      <c r="E4184" t="str">
        <f t="shared" si="735"/>
        <v>1</v>
      </c>
      <c r="F4184" t="str">
        <f t="shared" si="738"/>
        <v>COM</v>
      </c>
      <c r="G4184" t="str">
        <f t="shared" si="740"/>
        <v>IGOR LOPES DA SILVA (991)</v>
      </c>
      <c r="H4184" t="s">
        <v>827</v>
      </c>
      <c r="I4184" t="str">
        <f t="shared" si="732"/>
        <v>19/03/2026</v>
      </c>
      <c r="J4184" t="str">
        <f t="shared" si="736"/>
        <v>17/03/2026</v>
      </c>
      <c r="K4184">
        <v>46100</v>
      </c>
      <c r="N4184">
        <v>109</v>
      </c>
      <c r="O4184" t="s">
        <v>27</v>
      </c>
      <c r="Q4184">
        <v>385</v>
      </c>
      <c r="R4184" t="str">
        <f>"PENSE FARMA 01 (10215)"</f>
        <v>PENSE FARMA 01 (10215)</v>
      </c>
      <c r="S4184" t="s">
        <v>37</v>
      </c>
      <c r="T4184">
        <v>31767</v>
      </c>
      <c r="U4184">
        <v>35079</v>
      </c>
      <c r="V4184" t="s">
        <v>37</v>
      </c>
    </row>
    <row r="4185" spans="1:22">
      <c r="A4185" t="str">
        <f t="shared" si="733"/>
        <v>19/03/2026</v>
      </c>
      <c r="B4185" t="str">
        <f t="shared" si="729"/>
        <v>SAÍDA</v>
      </c>
      <c r="C4185" t="str">
        <f t="shared" si="730"/>
        <v>PIX</v>
      </c>
      <c r="D4185" t="str">
        <f>"35080"</f>
        <v>35080</v>
      </c>
      <c r="E4185" t="str">
        <f t="shared" si="735"/>
        <v>1</v>
      </c>
      <c r="F4185" t="str">
        <f t="shared" si="738"/>
        <v>COM</v>
      </c>
      <c r="G4185" t="str">
        <f t="shared" si="740"/>
        <v>IGOR LOPES DA SILVA (991)</v>
      </c>
      <c r="H4185" t="str">
        <f>"Serv.Prest. 09/03/2026 a 15/03/2026 - PIX: CELULAR - CHAVE: (11) 95054-2206"</f>
        <v>Serv.Prest. 09/03/2026 a 15/03/2026 - PIX: CELULAR - CHAVE: (11) 95054-2206</v>
      </c>
      <c r="I4185" t="str">
        <f t="shared" si="732"/>
        <v>19/03/2026</v>
      </c>
      <c r="J4185" t="str">
        <f t="shared" si="736"/>
        <v>17/03/2026</v>
      </c>
      <c r="K4185" t="str">
        <f>("19/03/2026")</f>
        <v>19/03/2026</v>
      </c>
      <c r="L4185">
        <v>385</v>
      </c>
      <c r="M4185">
        <v>385</v>
      </c>
      <c r="N4185">
        <v>109</v>
      </c>
      <c r="O4185" t="str">
        <f>"PAGAMENTO DE ENTREGADORES"</f>
        <v>PAGAMENTO DE ENTREGADORES</v>
      </c>
      <c r="P4185">
        <v>385</v>
      </c>
      <c r="S4185" t="str">
        <f>"BANCO C6 (149)"</f>
        <v>BANCO C6 (149)</v>
      </c>
      <c r="T4185">
        <v>31768</v>
      </c>
      <c r="U4185">
        <v>35080</v>
      </c>
      <c r="V4185" t="s">
        <v>37</v>
      </c>
    </row>
    <row r="4186" spans="1:22">
      <c r="A4186" t="str">
        <f t="shared" si="733"/>
        <v>19/03/2026</v>
      </c>
      <c r="B4186" t="str">
        <f t="shared" si="729"/>
        <v>SAÍDA</v>
      </c>
      <c r="C4186" t="str">
        <f t="shared" si="730"/>
        <v>PIX</v>
      </c>
      <c r="D4186" t="str">
        <f>"35080"</f>
        <v>35080</v>
      </c>
      <c r="E4186" t="str">
        <f t="shared" si="735"/>
        <v>1</v>
      </c>
      <c r="F4186" t="str">
        <f t="shared" si="738"/>
        <v>COM</v>
      </c>
      <c r="G4186" t="str">
        <f t="shared" si="740"/>
        <v>IGOR LOPES DA SILVA (991)</v>
      </c>
      <c r="H4186" t="s">
        <v>827</v>
      </c>
      <c r="I4186" t="str">
        <f t="shared" si="732"/>
        <v>19/03/2026</v>
      </c>
      <c r="J4186" t="str">
        <f t="shared" si="736"/>
        <v>17/03/2026</v>
      </c>
      <c r="K4186">
        <v>46100</v>
      </c>
      <c r="N4186">
        <v>109</v>
      </c>
      <c r="O4186" t="s">
        <v>27</v>
      </c>
      <c r="Q4186">
        <v>385</v>
      </c>
      <c r="R4186" t="str">
        <f>"PENSE FARMA 03 (10216)"</f>
        <v>PENSE FARMA 03 (10216)</v>
      </c>
      <c r="S4186" t="s">
        <v>37</v>
      </c>
      <c r="T4186">
        <v>31768</v>
      </c>
      <c r="U4186">
        <v>35080</v>
      </c>
      <c r="V4186" t="s">
        <v>37</v>
      </c>
    </row>
    <row r="4187" spans="1:22">
      <c r="A4187" t="str">
        <f t="shared" si="733"/>
        <v>19/03/2026</v>
      </c>
      <c r="B4187" t="str">
        <f t="shared" si="729"/>
        <v>SAÍDA</v>
      </c>
      <c r="C4187" t="str">
        <f t="shared" si="730"/>
        <v>PIX</v>
      </c>
      <c r="D4187" t="str">
        <f>"35081"</f>
        <v>35081</v>
      </c>
      <c r="E4187" t="str">
        <f t="shared" si="735"/>
        <v>1</v>
      </c>
      <c r="F4187" t="str">
        <f t="shared" si="738"/>
        <v>COM</v>
      </c>
      <c r="G4187" t="str">
        <f t="shared" si="740"/>
        <v>IGOR LOPES DA SILVA (991)</v>
      </c>
      <c r="H4187" t="str">
        <f>"Serv.Prest. 09/03/2026 a 15/03/2026 - PIX: CELULAR - CHAVE: (11) 95054-2206"</f>
        <v>Serv.Prest. 09/03/2026 a 15/03/2026 - PIX: CELULAR - CHAVE: (11) 95054-2206</v>
      </c>
      <c r="I4187" t="str">
        <f t="shared" si="732"/>
        <v>19/03/2026</v>
      </c>
      <c r="J4187" t="str">
        <f t="shared" si="736"/>
        <v>17/03/2026</v>
      </c>
      <c r="K4187" t="str">
        <f>("19/03/2026")</f>
        <v>19/03/2026</v>
      </c>
      <c r="L4187">
        <v>85</v>
      </c>
      <c r="M4187">
        <v>85</v>
      </c>
      <c r="N4187">
        <v>109</v>
      </c>
      <c r="O4187" t="str">
        <f>"PAGAMENTO DE ENTREGADORES"</f>
        <v>PAGAMENTO DE ENTREGADORES</v>
      </c>
      <c r="P4187">
        <v>85</v>
      </c>
      <c r="S4187" t="str">
        <f>"BANCO C6 (149)"</f>
        <v>BANCO C6 (149)</v>
      </c>
      <c r="T4187">
        <v>31769</v>
      </c>
      <c r="U4187">
        <v>35081</v>
      </c>
      <c r="V4187" t="s">
        <v>37</v>
      </c>
    </row>
    <row r="4188" spans="1:22">
      <c r="A4188" t="str">
        <f t="shared" si="733"/>
        <v>19/03/2026</v>
      </c>
      <c r="B4188" t="str">
        <f t="shared" si="729"/>
        <v>SAÍDA</v>
      </c>
      <c r="C4188" t="str">
        <f t="shared" si="730"/>
        <v>PIX</v>
      </c>
      <c r="D4188" t="str">
        <f>"35081"</f>
        <v>35081</v>
      </c>
      <c r="E4188" t="str">
        <f t="shared" si="735"/>
        <v>1</v>
      </c>
      <c r="F4188" t="str">
        <f t="shared" si="738"/>
        <v>COM</v>
      </c>
      <c r="G4188" t="str">
        <f t="shared" si="740"/>
        <v>IGOR LOPES DA SILVA (991)</v>
      </c>
      <c r="H4188" t="s">
        <v>827</v>
      </c>
      <c r="I4188" t="str">
        <f t="shared" si="732"/>
        <v>19/03/2026</v>
      </c>
      <c r="J4188" t="str">
        <f t="shared" si="736"/>
        <v>17/03/2026</v>
      </c>
      <c r="K4188">
        <v>46100</v>
      </c>
      <c r="N4188">
        <v>109</v>
      </c>
      <c r="O4188" t="s">
        <v>27</v>
      </c>
      <c r="Q4188">
        <v>85</v>
      </c>
      <c r="R4188" t="str">
        <f>"PENSE FARMA 39 (10228)"</f>
        <v>PENSE FARMA 39 (10228)</v>
      </c>
      <c r="S4188" t="s">
        <v>37</v>
      </c>
      <c r="T4188">
        <v>31769</v>
      </c>
      <c r="U4188">
        <v>35081</v>
      </c>
      <c r="V4188" t="s">
        <v>37</v>
      </c>
    </row>
    <row r="4189" spans="1:22">
      <c r="A4189" t="str">
        <f t="shared" si="733"/>
        <v>19/03/2026</v>
      </c>
      <c r="B4189" t="str">
        <f t="shared" si="729"/>
        <v>SAÍDA</v>
      </c>
      <c r="C4189" t="str">
        <f t="shared" si="730"/>
        <v>PIX</v>
      </c>
      <c r="D4189" t="str">
        <f>"35083"</f>
        <v>35083</v>
      </c>
      <c r="E4189" t="str">
        <f t="shared" si="735"/>
        <v>1</v>
      </c>
      <c r="F4189" t="str">
        <f t="shared" si="738"/>
        <v>COM</v>
      </c>
      <c r="G4189" t="str">
        <f>"MARCOS VINICIUS CORREIA JULI??O (1001)"</f>
        <v>MARCOS VINICIUS CORREIA JULI??O (1001)</v>
      </c>
      <c r="H4189" t="str">
        <f>"Serv.Prest. 09/03/2026 a 15/03/2026 - PIX: CELULAR - CHAVE: (11) 98144-5840"</f>
        <v>Serv.Prest. 09/03/2026 a 15/03/2026 - PIX: CELULAR - CHAVE: (11) 98144-5840</v>
      </c>
      <c r="I4189" t="str">
        <f t="shared" si="732"/>
        <v>19/03/2026</v>
      </c>
      <c r="J4189" t="str">
        <f t="shared" si="736"/>
        <v>17/03/2026</v>
      </c>
      <c r="K4189" t="str">
        <f>("19/03/2026")</f>
        <v>19/03/2026</v>
      </c>
      <c r="L4189">
        <v>685</v>
      </c>
      <c r="M4189">
        <v>685</v>
      </c>
      <c r="N4189">
        <v>109</v>
      </c>
      <c r="O4189" t="str">
        <f>"PAGAMENTO DE ENTREGADORES"</f>
        <v>PAGAMENTO DE ENTREGADORES</v>
      </c>
      <c r="P4189">
        <v>685</v>
      </c>
      <c r="S4189" t="str">
        <f>"BANCO C6 (149)"</f>
        <v>BANCO C6 (149)</v>
      </c>
      <c r="T4189">
        <v>31770</v>
      </c>
      <c r="U4189">
        <v>35083</v>
      </c>
      <c r="V4189" t="s">
        <v>37</v>
      </c>
    </row>
    <row r="4190" spans="1:22">
      <c r="A4190" t="str">
        <f t="shared" si="733"/>
        <v>19/03/2026</v>
      </c>
      <c r="B4190" t="str">
        <f t="shared" si="729"/>
        <v>SAÍDA</v>
      </c>
      <c r="C4190" t="str">
        <f t="shared" si="730"/>
        <v>PIX</v>
      </c>
      <c r="D4190" t="str">
        <f>"35083"</f>
        <v>35083</v>
      </c>
      <c r="E4190" t="str">
        <f t="shared" si="735"/>
        <v>1</v>
      </c>
      <c r="F4190" t="str">
        <f t="shared" si="738"/>
        <v>COM</v>
      </c>
      <c r="G4190" t="str">
        <f>"MARCOS VINICIUS CORREIA JULI??O (1001)"</f>
        <v>MARCOS VINICIUS CORREIA JULI??O (1001)</v>
      </c>
      <c r="H4190" t="s">
        <v>894</v>
      </c>
      <c r="I4190" t="str">
        <f t="shared" si="732"/>
        <v>19/03/2026</v>
      </c>
      <c r="J4190" t="str">
        <f t="shared" si="736"/>
        <v>17/03/2026</v>
      </c>
      <c r="K4190">
        <v>46100</v>
      </c>
      <c r="N4190">
        <v>109</v>
      </c>
      <c r="O4190" t="s">
        <v>27</v>
      </c>
      <c r="Q4190">
        <v>685</v>
      </c>
      <c r="R4190" t="str">
        <f>"PENSE FARMA 44 (10231)"</f>
        <v>PENSE FARMA 44 (10231)</v>
      </c>
      <c r="S4190" t="s">
        <v>37</v>
      </c>
      <c r="T4190">
        <v>31770</v>
      </c>
      <c r="U4190">
        <v>35083</v>
      </c>
      <c r="V4190" t="s">
        <v>37</v>
      </c>
    </row>
    <row r="4191" spans="1:22">
      <c r="A4191" t="str">
        <f t="shared" si="733"/>
        <v>19/03/2026</v>
      </c>
      <c r="B4191" t="str">
        <f t="shared" si="729"/>
        <v>SAÍDA</v>
      </c>
      <c r="C4191" t="str">
        <f t="shared" si="730"/>
        <v>PIX</v>
      </c>
      <c r="D4191" t="str">
        <f>"35084"</f>
        <v>35084</v>
      </c>
      <c r="E4191" t="str">
        <f t="shared" si="735"/>
        <v>1</v>
      </c>
      <c r="F4191" t="str">
        <f t="shared" si="738"/>
        <v>COM</v>
      </c>
      <c r="G4191" t="str">
        <f>"MARCOS VINICIUS CORREIA JULI??O (1001)"</f>
        <v>MARCOS VINICIUS CORREIA JULI??O (1001)</v>
      </c>
      <c r="H4191" t="str">
        <f>"Serv.Prest. 09/03/2026 a 15/03/2026 - PIX: CELULAR - CHAVE: (11) 98144-5840"</f>
        <v>Serv.Prest. 09/03/2026 a 15/03/2026 - PIX: CELULAR - CHAVE: (11) 98144-5840</v>
      </c>
      <c r="I4191" t="str">
        <f t="shared" si="732"/>
        <v>19/03/2026</v>
      </c>
      <c r="J4191" t="str">
        <f t="shared" si="736"/>
        <v>17/03/2026</v>
      </c>
      <c r="K4191" t="str">
        <f>("19/03/2026")</f>
        <v>19/03/2026</v>
      </c>
      <c r="L4191">
        <v>610</v>
      </c>
      <c r="M4191">
        <v>610</v>
      </c>
      <c r="N4191">
        <v>109</v>
      </c>
      <c r="O4191" t="str">
        <f>"PAGAMENTO DE ENTREGADORES"</f>
        <v>PAGAMENTO DE ENTREGADORES</v>
      </c>
      <c r="P4191">
        <v>610</v>
      </c>
      <c r="S4191" t="str">
        <f>"BANCO C6 (149)"</f>
        <v>BANCO C6 (149)</v>
      </c>
      <c r="T4191">
        <v>31771</v>
      </c>
      <c r="U4191">
        <v>35084</v>
      </c>
      <c r="V4191" t="s">
        <v>37</v>
      </c>
    </row>
    <row r="4192" spans="1:22">
      <c r="A4192" t="str">
        <f t="shared" si="733"/>
        <v>19/03/2026</v>
      </c>
      <c r="B4192" t="str">
        <f t="shared" si="729"/>
        <v>SAÍDA</v>
      </c>
      <c r="C4192" t="str">
        <f t="shared" si="730"/>
        <v>PIX</v>
      </c>
      <c r="D4192" t="str">
        <f>"35084"</f>
        <v>35084</v>
      </c>
      <c r="E4192" t="str">
        <f t="shared" si="735"/>
        <v>1</v>
      </c>
      <c r="F4192" t="str">
        <f t="shared" si="738"/>
        <v>COM</v>
      </c>
      <c r="G4192" t="str">
        <f>"MARCOS VINICIUS CORREIA JULI??O (1001)"</f>
        <v>MARCOS VINICIUS CORREIA JULI??O (1001)</v>
      </c>
      <c r="H4192" t="s">
        <v>894</v>
      </c>
      <c r="I4192" t="str">
        <f t="shared" si="732"/>
        <v>19/03/2026</v>
      </c>
      <c r="J4192" t="str">
        <f t="shared" si="736"/>
        <v>17/03/2026</v>
      </c>
      <c r="K4192">
        <v>46100</v>
      </c>
      <c r="N4192">
        <v>109</v>
      </c>
      <c r="O4192" t="s">
        <v>27</v>
      </c>
      <c r="Q4192">
        <v>610</v>
      </c>
      <c r="R4192" t="str">
        <f>"PENSE FARMA 48 (10233)"</f>
        <v>PENSE FARMA 48 (10233)</v>
      </c>
      <c r="S4192" t="s">
        <v>37</v>
      </c>
      <c r="T4192">
        <v>31771</v>
      </c>
      <c r="U4192">
        <v>35084</v>
      </c>
      <c r="V4192" t="s">
        <v>37</v>
      </c>
    </row>
    <row r="4193" spans="1:22">
      <c r="A4193" t="str">
        <f t="shared" si="733"/>
        <v>19/03/2026</v>
      </c>
      <c r="B4193" t="str">
        <f t="shared" si="729"/>
        <v>SAÍDA</v>
      </c>
      <c r="C4193" t="str">
        <f t="shared" si="730"/>
        <v>PIX</v>
      </c>
      <c r="D4193" t="str">
        <f>"35085"</f>
        <v>35085</v>
      </c>
      <c r="E4193" t="str">
        <f t="shared" si="735"/>
        <v>1</v>
      </c>
      <c r="F4193" t="str">
        <f t="shared" si="738"/>
        <v>COM</v>
      </c>
      <c r="G4193" t="str">
        <f>"VICTOR HUGO SOARES DE PAULA (1021)"</f>
        <v>VICTOR HUGO SOARES DE PAULA (1021)</v>
      </c>
      <c r="H4193" t="str">
        <f>"Serv.Prest. 09/03/2026 a 15/03/2026 - PIX: CELULAR - CHAVE: (11) 98281-4526"</f>
        <v>Serv.Prest. 09/03/2026 a 15/03/2026 - PIX: CELULAR - CHAVE: (11) 98281-4526</v>
      </c>
      <c r="I4193" t="str">
        <f t="shared" si="732"/>
        <v>19/03/2026</v>
      </c>
      <c r="J4193" t="str">
        <f t="shared" si="736"/>
        <v>17/03/2026</v>
      </c>
      <c r="K4193" t="str">
        <f>("19/03/2026")</f>
        <v>19/03/2026</v>
      </c>
      <c r="L4193">
        <v>560</v>
      </c>
      <c r="M4193">
        <v>560</v>
      </c>
      <c r="N4193">
        <v>109</v>
      </c>
      <c r="O4193" t="str">
        <f>"PAGAMENTO DE ENTREGADORES"</f>
        <v>PAGAMENTO DE ENTREGADORES</v>
      </c>
      <c r="P4193">
        <v>560</v>
      </c>
      <c r="S4193" t="str">
        <f>"BANCO C6 (149)"</f>
        <v>BANCO C6 (149)</v>
      </c>
      <c r="T4193">
        <v>31772</v>
      </c>
      <c r="U4193">
        <v>35085</v>
      </c>
      <c r="V4193" t="s">
        <v>37</v>
      </c>
    </row>
    <row r="4194" spans="1:22">
      <c r="A4194" t="str">
        <f t="shared" si="733"/>
        <v>19/03/2026</v>
      </c>
      <c r="B4194" t="str">
        <f t="shared" si="729"/>
        <v>SAÍDA</v>
      </c>
      <c r="C4194" t="str">
        <f t="shared" si="730"/>
        <v>PIX</v>
      </c>
      <c r="D4194" t="str">
        <f>"35085"</f>
        <v>35085</v>
      </c>
      <c r="E4194" t="str">
        <f t="shared" si="735"/>
        <v>1</v>
      </c>
      <c r="F4194" t="str">
        <f t="shared" si="738"/>
        <v>COM</v>
      </c>
      <c r="G4194" t="str">
        <f>"VICTOR HUGO SOARES DE PAULA (1021)"</f>
        <v>VICTOR HUGO SOARES DE PAULA (1021)</v>
      </c>
      <c r="H4194" t="s">
        <v>921</v>
      </c>
      <c r="I4194" t="str">
        <f t="shared" si="732"/>
        <v>19/03/2026</v>
      </c>
      <c r="J4194" t="str">
        <f t="shared" si="736"/>
        <v>17/03/2026</v>
      </c>
      <c r="K4194">
        <v>46100</v>
      </c>
      <c r="N4194">
        <v>109</v>
      </c>
      <c r="O4194" t="s">
        <v>27</v>
      </c>
      <c r="Q4194">
        <v>560</v>
      </c>
      <c r="R4194" t="str">
        <f>"PENSE FARMA 44 (10231)"</f>
        <v>PENSE FARMA 44 (10231)</v>
      </c>
      <c r="S4194" t="s">
        <v>37</v>
      </c>
      <c r="T4194">
        <v>31772</v>
      </c>
      <c r="U4194">
        <v>35085</v>
      </c>
      <c r="V4194" t="s">
        <v>37</v>
      </c>
    </row>
    <row r="4195" spans="1:22">
      <c r="A4195" t="str">
        <f t="shared" si="733"/>
        <v>19/03/2026</v>
      </c>
      <c r="B4195" t="str">
        <f t="shared" si="729"/>
        <v>SAÍDA</v>
      </c>
      <c r="C4195" t="str">
        <f t="shared" si="730"/>
        <v>PIX</v>
      </c>
      <c r="D4195" t="str">
        <f>"35086"</f>
        <v>35086</v>
      </c>
      <c r="E4195" t="str">
        <f t="shared" si="735"/>
        <v>1</v>
      </c>
      <c r="F4195" t="str">
        <f t="shared" si="738"/>
        <v>COM</v>
      </c>
      <c r="G4195" t="str">
        <f>"VICTOR HUGO SOARES DE PAULA (1021)"</f>
        <v>VICTOR HUGO SOARES DE PAULA (1021)</v>
      </c>
      <c r="H4195" t="str">
        <f>"Serv.Prest. 09/03/2026 a 15/03/2026 - PIX: CELULAR - CHAVE: (11) 98281-4526"</f>
        <v>Serv.Prest. 09/03/2026 a 15/03/2026 - PIX: CELULAR - CHAVE: (11) 98281-4526</v>
      </c>
      <c r="I4195" t="str">
        <f t="shared" si="732"/>
        <v>19/03/2026</v>
      </c>
      <c r="J4195" t="str">
        <f t="shared" si="736"/>
        <v>17/03/2026</v>
      </c>
      <c r="K4195" t="str">
        <f>("19/03/2026")</f>
        <v>19/03/2026</v>
      </c>
      <c r="L4195">
        <v>755</v>
      </c>
      <c r="M4195">
        <v>755</v>
      </c>
      <c r="N4195">
        <v>109</v>
      </c>
      <c r="O4195" t="str">
        <f>"PAGAMENTO DE ENTREGADORES"</f>
        <v>PAGAMENTO DE ENTREGADORES</v>
      </c>
      <c r="P4195">
        <v>755</v>
      </c>
      <c r="S4195" t="str">
        <f>"BANCO C6 (149)"</f>
        <v>BANCO C6 (149)</v>
      </c>
      <c r="T4195">
        <v>31773</v>
      </c>
      <c r="U4195">
        <v>35086</v>
      </c>
      <c r="V4195" t="s">
        <v>37</v>
      </c>
    </row>
    <row r="4196" spans="1:22">
      <c r="A4196" t="str">
        <f t="shared" si="733"/>
        <v>19/03/2026</v>
      </c>
      <c r="B4196" t="str">
        <f t="shared" si="729"/>
        <v>SAÍDA</v>
      </c>
      <c r="C4196" t="str">
        <f t="shared" si="730"/>
        <v>PIX</v>
      </c>
      <c r="D4196" t="str">
        <f>"35086"</f>
        <v>35086</v>
      </c>
      <c r="E4196" t="str">
        <f t="shared" si="735"/>
        <v>1</v>
      </c>
      <c r="F4196" t="str">
        <f t="shared" si="738"/>
        <v>COM</v>
      </c>
      <c r="G4196" t="str">
        <f>"VICTOR HUGO SOARES DE PAULA (1021)"</f>
        <v>VICTOR HUGO SOARES DE PAULA (1021)</v>
      </c>
      <c r="H4196" t="s">
        <v>921</v>
      </c>
      <c r="I4196" t="str">
        <f t="shared" si="732"/>
        <v>19/03/2026</v>
      </c>
      <c r="J4196" t="str">
        <f t="shared" si="736"/>
        <v>17/03/2026</v>
      </c>
      <c r="K4196">
        <v>46100</v>
      </c>
      <c r="N4196">
        <v>109</v>
      </c>
      <c r="O4196" t="s">
        <v>27</v>
      </c>
      <c r="Q4196">
        <v>755</v>
      </c>
      <c r="R4196" t="str">
        <f>"PENSE FARMA 48 (10233)"</f>
        <v>PENSE FARMA 48 (10233)</v>
      </c>
      <c r="S4196" t="s">
        <v>37</v>
      </c>
      <c r="T4196">
        <v>31773</v>
      </c>
      <c r="U4196">
        <v>35086</v>
      </c>
      <c r="V4196" t="s">
        <v>37</v>
      </c>
    </row>
    <row r="4197" spans="1:22">
      <c r="A4197" t="str">
        <f t="shared" si="733"/>
        <v>19/03/2026</v>
      </c>
      <c r="B4197" t="str">
        <f t="shared" si="729"/>
        <v>SAÍDA</v>
      </c>
      <c r="C4197" t="str">
        <f t="shared" si="730"/>
        <v>PIX</v>
      </c>
      <c r="D4197" t="str">
        <f>"35089"</f>
        <v>35089</v>
      </c>
      <c r="E4197" t="str">
        <f t="shared" si="735"/>
        <v>1</v>
      </c>
      <c r="F4197" t="str">
        <f t="shared" si="738"/>
        <v>COM</v>
      </c>
      <c r="G4197" t="str">
        <f>"RODRIGO TEIXEIRA ROCHA (1007)"</f>
        <v>RODRIGO TEIXEIRA ROCHA (1007)</v>
      </c>
      <c r="H4197" t="str">
        <f>"Serv.Prest. 09/03/2026 a 15/03/2026 - PIX: CPF - CHAVE: 506.934.998-85"</f>
        <v>Serv.Prest. 09/03/2026 a 15/03/2026 - PIX: CPF - CHAVE: 506.934.998-85</v>
      </c>
      <c r="I4197" t="str">
        <f t="shared" si="732"/>
        <v>19/03/2026</v>
      </c>
      <c r="J4197" t="str">
        <f t="shared" si="736"/>
        <v>17/03/2026</v>
      </c>
      <c r="K4197" t="str">
        <f>("19/03/2026")</f>
        <v>19/03/2026</v>
      </c>
      <c r="L4197">
        <v>1340</v>
      </c>
      <c r="M4197">
        <v>1340</v>
      </c>
      <c r="N4197">
        <v>109</v>
      </c>
      <c r="O4197" t="str">
        <f>"PAGAMENTO DE ENTREGADORES"</f>
        <v>PAGAMENTO DE ENTREGADORES</v>
      </c>
      <c r="P4197">
        <v>1340</v>
      </c>
      <c r="S4197" t="str">
        <f>"BANCO C6 (149)"</f>
        <v>BANCO C6 (149)</v>
      </c>
      <c r="T4197">
        <v>31774</v>
      </c>
      <c r="U4197">
        <v>35089</v>
      </c>
      <c r="V4197" t="s">
        <v>37</v>
      </c>
    </row>
    <row r="4198" spans="1:22">
      <c r="A4198" t="str">
        <f t="shared" si="733"/>
        <v>19/03/2026</v>
      </c>
      <c r="B4198" t="str">
        <f t="shared" si="729"/>
        <v>SAÍDA</v>
      </c>
      <c r="C4198" t="str">
        <f t="shared" si="730"/>
        <v>PIX</v>
      </c>
      <c r="D4198" t="str">
        <f>"35089"</f>
        <v>35089</v>
      </c>
      <c r="E4198" t="str">
        <f t="shared" si="735"/>
        <v>1</v>
      </c>
      <c r="F4198" t="str">
        <f t="shared" si="738"/>
        <v>COM</v>
      </c>
      <c r="G4198" t="str">
        <f>"RODRIGO TEIXEIRA ROCHA (1007)"</f>
        <v>RODRIGO TEIXEIRA ROCHA (1007)</v>
      </c>
      <c r="H4198" t="s">
        <v>900</v>
      </c>
      <c r="I4198" t="str">
        <f t="shared" si="732"/>
        <v>19/03/2026</v>
      </c>
      <c r="J4198" t="str">
        <f t="shared" si="736"/>
        <v>17/03/2026</v>
      </c>
      <c r="K4198">
        <v>46100</v>
      </c>
      <c r="N4198">
        <v>109</v>
      </c>
      <c r="O4198" t="s">
        <v>27</v>
      </c>
      <c r="Q4198">
        <v>1340</v>
      </c>
      <c r="R4198" t="str">
        <f>"PENSE FARMA 46 (10194)"</f>
        <v>PENSE FARMA 46 (10194)</v>
      </c>
      <c r="S4198" t="s">
        <v>37</v>
      </c>
      <c r="T4198">
        <v>31774</v>
      </c>
      <c r="U4198">
        <v>35089</v>
      </c>
      <c r="V4198" t="s">
        <v>37</v>
      </c>
    </row>
    <row r="4199" spans="1:22">
      <c r="A4199" t="str">
        <f t="shared" si="733"/>
        <v>19/03/2026</v>
      </c>
      <c r="B4199" t="str">
        <f t="shared" si="729"/>
        <v>SAÍDA</v>
      </c>
      <c r="C4199" t="str">
        <f t="shared" si="730"/>
        <v>PIX</v>
      </c>
      <c r="D4199" t="str">
        <f>"35094"</f>
        <v>35094</v>
      </c>
      <c r="E4199" t="str">
        <f t="shared" si="735"/>
        <v>1</v>
      </c>
      <c r="F4199" t="str">
        <f t="shared" si="738"/>
        <v>COM</v>
      </c>
      <c r="G4199" t="str">
        <f>"GABRIEL SIQUEIRA DA SILVA (997)"</f>
        <v>GABRIEL SIQUEIRA DA SILVA (997)</v>
      </c>
      <c r="H4199" t="str">
        <f>"Serv.Prest. 09/03/2026 a 15/03/2026 - PIX: CPF - CHAVE: 500.480.978-02"</f>
        <v>Serv.Prest. 09/03/2026 a 15/03/2026 - PIX: CPF - CHAVE: 500.480.978-02</v>
      </c>
      <c r="I4199" t="str">
        <f t="shared" si="732"/>
        <v>19/03/2026</v>
      </c>
      <c r="J4199" t="str">
        <f t="shared" si="736"/>
        <v>17/03/2026</v>
      </c>
      <c r="K4199" t="str">
        <f>("19/03/2026")</f>
        <v>19/03/2026</v>
      </c>
      <c r="L4199">
        <v>575</v>
      </c>
      <c r="M4199">
        <v>575</v>
      </c>
      <c r="N4199">
        <v>109</v>
      </c>
      <c r="O4199" t="str">
        <f>"PAGAMENTO DE ENTREGADORES"</f>
        <v>PAGAMENTO DE ENTREGADORES</v>
      </c>
      <c r="P4199">
        <v>575</v>
      </c>
      <c r="S4199" t="str">
        <f>"BANCO C6 (149)"</f>
        <v>BANCO C6 (149)</v>
      </c>
      <c r="T4199">
        <v>31775</v>
      </c>
      <c r="U4199">
        <v>35094</v>
      </c>
      <c r="V4199" t="s">
        <v>37</v>
      </c>
    </row>
    <row r="4200" spans="1:22">
      <c r="A4200" t="str">
        <f t="shared" si="733"/>
        <v>19/03/2026</v>
      </c>
      <c r="B4200" t="str">
        <f t="shared" si="729"/>
        <v>SAÍDA</v>
      </c>
      <c r="C4200" t="str">
        <f t="shared" si="730"/>
        <v>PIX</v>
      </c>
      <c r="D4200" t="str">
        <f>"35094"</f>
        <v>35094</v>
      </c>
      <c r="E4200" t="str">
        <f t="shared" si="735"/>
        <v>1</v>
      </c>
      <c r="F4200" t="str">
        <f t="shared" si="738"/>
        <v>COM</v>
      </c>
      <c r="G4200" t="str">
        <f>"GABRIEL SIQUEIRA DA SILVA (997)"</f>
        <v>GABRIEL SIQUEIRA DA SILVA (997)</v>
      </c>
      <c r="H4200" t="s">
        <v>1121</v>
      </c>
      <c r="I4200" t="str">
        <f t="shared" si="732"/>
        <v>19/03/2026</v>
      </c>
      <c r="J4200" t="str">
        <f t="shared" si="736"/>
        <v>17/03/2026</v>
      </c>
      <c r="K4200">
        <v>46100</v>
      </c>
      <c r="N4200">
        <v>109</v>
      </c>
      <c r="O4200" t="s">
        <v>27</v>
      </c>
      <c r="Q4200">
        <v>575</v>
      </c>
      <c r="R4200" t="str">
        <f>"PENSE FARMA 49 (10234)"</f>
        <v>PENSE FARMA 49 (10234)</v>
      </c>
      <c r="S4200" t="s">
        <v>37</v>
      </c>
      <c r="T4200">
        <v>31775</v>
      </c>
      <c r="U4200">
        <v>35094</v>
      </c>
      <c r="V4200" t="s">
        <v>37</v>
      </c>
    </row>
    <row r="4201" spans="1:22">
      <c r="A4201" t="str">
        <f t="shared" si="733"/>
        <v>19/03/2026</v>
      </c>
      <c r="B4201" t="str">
        <f t="shared" ref="B4201:B4268" si="741">"SAÍDA"</f>
        <v>SAÍDA</v>
      </c>
      <c r="C4201" t="str">
        <f t="shared" ref="C4201:C4268" si="742">"PIX"</f>
        <v>PIX</v>
      </c>
      <c r="D4201" t="str">
        <f>"35097"</f>
        <v>35097</v>
      </c>
      <c r="E4201" t="str">
        <f t="shared" si="735"/>
        <v>1</v>
      </c>
      <c r="F4201" t="str">
        <f t="shared" si="738"/>
        <v>COM</v>
      </c>
      <c r="G4201" t="str">
        <f>"JO??O OTÁVIO GRANZIOL (1309)"</f>
        <v>JO??O OTÁVIO GRANZIOL (1309)</v>
      </c>
      <c r="H4201" t="str">
        <f>"Serv.Prest. 09/03/2026 a 15/03/2026 - PIX: CPF - CHAVE: 491.327.628-01"</f>
        <v>Serv.Prest. 09/03/2026 a 15/03/2026 - PIX: CPF - CHAVE: 491.327.628-01</v>
      </c>
      <c r="I4201" t="str">
        <f t="shared" ref="I4201:I4264" si="743">("19/03/2026")</f>
        <v>19/03/2026</v>
      </c>
      <c r="J4201" t="str">
        <f t="shared" si="736"/>
        <v>17/03/2026</v>
      </c>
      <c r="K4201" t="str">
        <f>("19/03/2026")</f>
        <v>19/03/2026</v>
      </c>
      <c r="L4201">
        <v>1400</v>
      </c>
      <c r="M4201">
        <v>1400</v>
      </c>
      <c r="N4201">
        <v>109</v>
      </c>
      <c r="O4201" t="str">
        <f>"PAGAMENTO DE ENTREGADORES"</f>
        <v>PAGAMENTO DE ENTREGADORES</v>
      </c>
      <c r="P4201">
        <v>1400</v>
      </c>
      <c r="S4201" t="str">
        <f>"BANCO C6 (149)"</f>
        <v>BANCO C6 (149)</v>
      </c>
      <c r="T4201">
        <v>31776</v>
      </c>
      <c r="U4201">
        <v>35097</v>
      </c>
      <c r="V4201" t="s">
        <v>37</v>
      </c>
    </row>
    <row r="4202" spans="1:22">
      <c r="A4202" t="str">
        <f t="shared" si="733"/>
        <v>19/03/2026</v>
      </c>
      <c r="B4202" t="str">
        <f t="shared" si="741"/>
        <v>SAÍDA</v>
      </c>
      <c r="C4202" t="str">
        <f t="shared" si="742"/>
        <v>PIX</v>
      </c>
      <c r="D4202" t="str">
        <f>"35097"</f>
        <v>35097</v>
      </c>
      <c r="E4202" t="str">
        <f t="shared" si="735"/>
        <v>1</v>
      </c>
      <c r="F4202" t="str">
        <f t="shared" si="738"/>
        <v>COM</v>
      </c>
      <c r="G4202" t="str">
        <f>"JO??O OTÁVIO GRANZIOL (1309)"</f>
        <v>JO??O OTÁVIO GRANZIOL (1309)</v>
      </c>
      <c r="H4202" t="s">
        <v>1122</v>
      </c>
      <c r="I4202" t="str">
        <f t="shared" si="743"/>
        <v>19/03/2026</v>
      </c>
      <c r="J4202" t="str">
        <f t="shared" si="736"/>
        <v>17/03/2026</v>
      </c>
      <c r="K4202">
        <v>46100</v>
      </c>
      <c r="N4202">
        <v>109</v>
      </c>
      <c r="O4202" t="s">
        <v>27</v>
      </c>
      <c r="Q4202">
        <v>1400</v>
      </c>
      <c r="R4202" t="str">
        <f>"FARMACIA ROSAS (10288)"</f>
        <v>FARMACIA ROSAS (10288)</v>
      </c>
      <c r="S4202" t="s">
        <v>37</v>
      </c>
      <c r="T4202">
        <v>31776</v>
      </c>
      <c r="U4202">
        <v>35097</v>
      </c>
      <c r="V4202" t="s">
        <v>37</v>
      </c>
    </row>
    <row r="4203" spans="1:22">
      <c r="A4203" t="str">
        <f t="shared" si="733"/>
        <v>19/03/2026</v>
      </c>
      <c r="B4203" t="str">
        <f t="shared" si="741"/>
        <v>SAÍDA</v>
      </c>
      <c r="C4203" t="str">
        <f t="shared" si="742"/>
        <v>PIX</v>
      </c>
      <c r="D4203" t="str">
        <f>"35098"</f>
        <v>35098</v>
      </c>
      <c r="E4203" t="str">
        <f t="shared" si="735"/>
        <v>1</v>
      </c>
      <c r="F4203" t="str">
        <f t="shared" si="738"/>
        <v>COM</v>
      </c>
      <c r="G4203" t="str">
        <f>"UBIRATAN FERREIRA GONCALVES DOS SANTOS (1319)"</f>
        <v>UBIRATAN FERREIRA GONCALVES DOS SANTOS (1319)</v>
      </c>
      <c r="H4203" t="str">
        <f>"Serv.Prest. 09/03/2026 a 15/03/2026 - PIX: CPF - CHAVE: 388.052.378-92"</f>
        <v>Serv.Prest. 09/03/2026 a 15/03/2026 - PIX: CPF - CHAVE: 388.052.378-92</v>
      </c>
      <c r="I4203" t="str">
        <f t="shared" si="743"/>
        <v>19/03/2026</v>
      </c>
      <c r="J4203" t="str">
        <f t="shared" si="736"/>
        <v>17/03/2026</v>
      </c>
      <c r="K4203" t="str">
        <f>("19/03/2026")</f>
        <v>19/03/2026</v>
      </c>
      <c r="L4203">
        <v>602</v>
      </c>
      <c r="M4203">
        <v>602</v>
      </c>
      <c r="N4203">
        <v>109</v>
      </c>
      <c r="O4203" t="str">
        <f>"PAGAMENTO DE ENTREGADORES"</f>
        <v>PAGAMENTO DE ENTREGADORES</v>
      </c>
      <c r="P4203">
        <v>602</v>
      </c>
      <c r="S4203" t="str">
        <f>"BANCO C6 (149)"</f>
        <v>BANCO C6 (149)</v>
      </c>
      <c r="T4203">
        <v>31777</v>
      </c>
      <c r="U4203">
        <v>35098</v>
      </c>
      <c r="V4203" t="s">
        <v>37</v>
      </c>
    </row>
    <row r="4204" spans="1:22">
      <c r="A4204" t="str">
        <f t="shared" si="733"/>
        <v>19/03/2026</v>
      </c>
      <c r="B4204" t="str">
        <f t="shared" si="741"/>
        <v>SAÍDA</v>
      </c>
      <c r="C4204" t="str">
        <f t="shared" si="742"/>
        <v>PIX</v>
      </c>
      <c r="D4204" t="str">
        <f>"35098"</f>
        <v>35098</v>
      </c>
      <c r="E4204" t="str">
        <f t="shared" si="735"/>
        <v>1</v>
      </c>
      <c r="F4204" t="str">
        <f t="shared" si="738"/>
        <v>COM</v>
      </c>
      <c r="G4204" t="str">
        <f>"UBIRATAN FERREIRA GONCALVES DOS SANTOS (1319)"</f>
        <v>UBIRATAN FERREIRA GONCALVES DOS SANTOS (1319)</v>
      </c>
      <c r="H4204" t="s">
        <v>1123</v>
      </c>
      <c r="I4204" t="str">
        <f t="shared" si="743"/>
        <v>19/03/2026</v>
      </c>
      <c r="J4204" t="str">
        <f t="shared" si="736"/>
        <v>17/03/2026</v>
      </c>
      <c r="K4204">
        <v>46100</v>
      </c>
      <c r="N4204">
        <v>109</v>
      </c>
      <c r="O4204" t="s">
        <v>27</v>
      </c>
      <c r="Q4204">
        <v>602</v>
      </c>
      <c r="R4204" t="str">
        <f>"FARMACIA ROSAS (10288)"</f>
        <v>FARMACIA ROSAS (10288)</v>
      </c>
      <c r="S4204" t="s">
        <v>37</v>
      </c>
      <c r="T4204">
        <v>31777</v>
      </c>
      <c r="U4204">
        <v>35098</v>
      </c>
      <c r="V4204" t="s">
        <v>37</v>
      </c>
    </row>
    <row r="4205" spans="1:22">
      <c r="A4205" t="str">
        <f t="shared" si="733"/>
        <v>19/03/2026</v>
      </c>
      <c r="B4205" t="str">
        <f t="shared" si="741"/>
        <v>SAÍDA</v>
      </c>
      <c r="C4205" t="str">
        <f t="shared" si="742"/>
        <v>PIX</v>
      </c>
      <c r="D4205" t="str">
        <f>"35099"</f>
        <v>35099</v>
      </c>
      <c r="E4205" t="str">
        <f t="shared" si="735"/>
        <v>1</v>
      </c>
      <c r="F4205" t="str">
        <f t="shared" si="738"/>
        <v>COM</v>
      </c>
      <c r="G4205" t="str">
        <f>"VICTOR HENRIQUE GOUVEA (1360)"</f>
        <v>VICTOR HENRIQUE GOUVEA (1360)</v>
      </c>
      <c r="H4205" t="str">
        <f>"Serv.Prest. 09/03/2026 a 15/03/2026 - PIX: E-MAIL - CHAVE: gouveavictor4@gmail.com"</f>
        <v>Serv.Prest. 09/03/2026 a 15/03/2026 - PIX: E-MAIL - CHAVE: gouveavictor4@gmail.com</v>
      </c>
      <c r="I4205" t="str">
        <f t="shared" si="743"/>
        <v>19/03/2026</v>
      </c>
      <c r="J4205" t="str">
        <f t="shared" si="736"/>
        <v>17/03/2026</v>
      </c>
      <c r="K4205" t="str">
        <f>("19/03/2026")</f>
        <v>19/03/2026</v>
      </c>
      <c r="L4205">
        <v>140</v>
      </c>
      <c r="M4205">
        <v>140</v>
      </c>
      <c r="N4205">
        <v>109</v>
      </c>
      <c r="O4205" t="str">
        <f>"PAGAMENTO DE ENTREGADORES"</f>
        <v>PAGAMENTO DE ENTREGADORES</v>
      </c>
      <c r="P4205">
        <v>140</v>
      </c>
      <c r="S4205" t="str">
        <f>"BANCO C6 (149)"</f>
        <v>BANCO C6 (149)</v>
      </c>
      <c r="T4205">
        <v>31778</v>
      </c>
      <c r="U4205">
        <v>35099</v>
      </c>
      <c r="V4205" t="s">
        <v>37</v>
      </c>
    </row>
    <row r="4206" spans="1:22">
      <c r="A4206" t="str">
        <f t="shared" si="733"/>
        <v>19/03/2026</v>
      </c>
      <c r="B4206" t="str">
        <f t="shared" si="741"/>
        <v>SAÍDA</v>
      </c>
      <c r="C4206" t="str">
        <f t="shared" si="742"/>
        <v>PIX</v>
      </c>
      <c r="D4206" t="str">
        <f>"35099"</f>
        <v>35099</v>
      </c>
      <c r="E4206" t="str">
        <f t="shared" si="735"/>
        <v>1</v>
      </c>
      <c r="F4206" t="str">
        <f t="shared" si="738"/>
        <v>COM</v>
      </c>
      <c r="G4206" t="str">
        <f>"VICTOR HENRIQUE GOUVEA (1360)"</f>
        <v>VICTOR HENRIQUE GOUVEA (1360)</v>
      </c>
      <c r="H4206" t="s">
        <v>1124</v>
      </c>
      <c r="I4206" t="str">
        <f t="shared" si="743"/>
        <v>19/03/2026</v>
      </c>
      <c r="J4206" t="str">
        <f t="shared" si="736"/>
        <v>17/03/2026</v>
      </c>
      <c r="K4206">
        <v>46100</v>
      </c>
      <c r="N4206">
        <v>109</v>
      </c>
      <c r="O4206" t="s">
        <v>27</v>
      </c>
      <c r="Q4206">
        <v>140</v>
      </c>
      <c r="R4206" t="str">
        <f>"FARMACIA ROSAS (10288)"</f>
        <v>FARMACIA ROSAS (10288)</v>
      </c>
      <c r="S4206" t="s">
        <v>37</v>
      </c>
      <c r="T4206">
        <v>31778</v>
      </c>
      <c r="U4206">
        <v>35099</v>
      </c>
      <c r="V4206" t="s">
        <v>37</v>
      </c>
    </row>
    <row r="4207" spans="1:22">
      <c r="A4207" t="str">
        <f t="shared" si="733"/>
        <v>19/03/2026</v>
      </c>
      <c r="B4207" t="str">
        <f t="shared" si="741"/>
        <v>SAÍDA</v>
      </c>
      <c r="C4207" t="str">
        <f t="shared" si="742"/>
        <v>PIX</v>
      </c>
      <c r="D4207" t="str">
        <f>"35107"</f>
        <v>35107</v>
      </c>
      <c r="E4207" t="str">
        <f t="shared" si="735"/>
        <v>1</v>
      </c>
      <c r="F4207" t="str">
        <f t="shared" si="738"/>
        <v>COM</v>
      </c>
      <c r="G4207" t="str">
        <f>"SAMUEL SOARES DA SILVA (867)"</f>
        <v>SAMUEL SOARES DA SILVA (867)</v>
      </c>
      <c r="H4207" t="str">
        <f>"Serv.Prest. 09/03/2026 a 15/03/2026 - PIX: CPF - CHAVE: 396.124.108-28"</f>
        <v>Serv.Prest. 09/03/2026 a 15/03/2026 - PIX: CPF - CHAVE: 396.124.108-28</v>
      </c>
      <c r="I4207" t="str">
        <f t="shared" si="743"/>
        <v>19/03/2026</v>
      </c>
      <c r="J4207" t="str">
        <f t="shared" si="736"/>
        <v>17/03/2026</v>
      </c>
      <c r="K4207" t="str">
        <f>("19/03/2026")</f>
        <v>19/03/2026</v>
      </c>
      <c r="L4207">
        <v>1400</v>
      </c>
      <c r="M4207">
        <v>1400</v>
      </c>
      <c r="N4207">
        <v>109</v>
      </c>
      <c r="O4207" t="str">
        <f>"PAGAMENTO DE ENTREGADORES"</f>
        <v>PAGAMENTO DE ENTREGADORES</v>
      </c>
      <c r="P4207">
        <v>1400</v>
      </c>
      <c r="S4207" t="str">
        <f>"BANCO C6 (149)"</f>
        <v>BANCO C6 (149)</v>
      </c>
      <c r="T4207">
        <v>31779</v>
      </c>
      <c r="U4207">
        <v>35107</v>
      </c>
      <c r="V4207" t="s">
        <v>37</v>
      </c>
    </row>
    <row r="4208" spans="1:22">
      <c r="A4208" t="str">
        <f t="shared" ref="A4208:A4272" si="744">("19/03/2026")</f>
        <v>19/03/2026</v>
      </c>
      <c r="B4208" t="str">
        <f t="shared" si="741"/>
        <v>SAÍDA</v>
      </c>
      <c r="C4208" t="str">
        <f t="shared" si="742"/>
        <v>PIX</v>
      </c>
      <c r="D4208" t="str">
        <f>"35107"</f>
        <v>35107</v>
      </c>
      <c r="E4208" t="str">
        <f t="shared" si="735"/>
        <v>1</v>
      </c>
      <c r="F4208" t="str">
        <f t="shared" si="738"/>
        <v>COM</v>
      </c>
      <c r="G4208" t="str">
        <f>"SAMUEL SOARES DA SILVA (867)"</f>
        <v>SAMUEL SOARES DA SILVA (867)</v>
      </c>
      <c r="H4208" t="s">
        <v>1125</v>
      </c>
      <c r="I4208" t="str">
        <f t="shared" si="743"/>
        <v>19/03/2026</v>
      </c>
      <c r="J4208" t="str">
        <f t="shared" si="736"/>
        <v>17/03/2026</v>
      </c>
      <c r="K4208">
        <v>46100</v>
      </c>
      <c r="N4208">
        <v>109</v>
      </c>
      <c r="O4208" t="s">
        <v>27</v>
      </c>
      <c r="Q4208">
        <v>1400</v>
      </c>
      <c r="R4208" t="str">
        <f>"DROGA ELIDA (10121)"</f>
        <v>DROGA ELIDA (10121)</v>
      </c>
      <c r="S4208" t="s">
        <v>37</v>
      </c>
      <c r="T4208">
        <v>31779</v>
      </c>
      <c r="U4208">
        <v>35107</v>
      </c>
      <c r="V4208" t="s">
        <v>37</v>
      </c>
    </row>
    <row r="4209" spans="1:22">
      <c r="A4209" t="str">
        <f t="shared" si="744"/>
        <v>19/03/2026</v>
      </c>
      <c r="B4209" t="str">
        <f t="shared" si="741"/>
        <v>SAÍDA</v>
      </c>
      <c r="C4209" t="str">
        <f t="shared" si="742"/>
        <v>PIX</v>
      </c>
      <c r="D4209" t="str">
        <f>"35128"</f>
        <v>35128</v>
      </c>
      <c r="E4209" t="str">
        <f t="shared" si="735"/>
        <v>1</v>
      </c>
      <c r="F4209" t="str">
        <f t="shared" si="738"/>
        <v>COM</v>
      </c>
      <c r="G4209" t="str">
        <f>"JOSÉ HENRIQUE RODRIGUES (430)"</f>
        <v>JOSÉ HENRIQUE RODRIGUES (430)</v>
      </c>
      <c r="H4209" t="str">
        <f>"Serv.Prest. 09/03/2026 a 15/03/2026 - PIX: CPF - CHAVE: 100.826.516-04"</f>
        <v>Serv.Prest. 09/03/2026 a 15/03/2026 - PIX: CPF - CHAVE: 100.826.516-04</v>
      </c>
      <c r="I4209" t="str">
        <f t="shared" si="743"/>
        <v>19/03/2026</v>
      </c>
      <c r="J4209" t="str">
        <f t="shared" si="736"/>
        <v>17/03/2026</v>
      </c>
      <c r="K4209" t="str">
        <f>("19/03/2026")</f>
        <v>19/03/2026</v>
      </c>
      <c r="L4209">
        <v>126</v>
      </c>
      <c r="M4209">
        <v>126</v>
      </c>
      <c r="N4209">
        <v>109</v>
      </c>
      <c r="O4209" t="str">
        <f>"PAGAMENTO DE ENTREGADORES"</f>
        <v>PAGAMENTO DE ENTREGADORES</v>
      </c>
      <c r="P4209">
        <v>126</v>
      </c>
      <c r="S4209" t="str">
        <f>"BANCO C6 (149)"</f>
        <v>BANCO C6 (149)</v>
      </c>
      <c r="T4209">
        <v>31780</v>
      </c>
      <c r="U4209">
        <v>35128</v>
      </c>
      <c r="V4209" t="s">
        <v>37</v>
      </c>
    </row>
    <row r="4210" spans="1:22">
      <c r="A4210" t="str">
        <f t="shared" si="744"/>
        <v>19/03/2026</v>
      </c>
      <c r="B4210" t="str">
        <f t="shared" si="741"/>
        <v>SAÍDA</v>
      </c>
      <c r="C4210" t="str">
        <f t="shared" si="742"/>
        <v>PIX</v>
      </c>
      <c r="D4210" t="str">
        <f>"35128"</f>
        <v>35128</v>
      </c>
      <c r="E4210" t="str">
        <f t="shared" si="735"/>
        <v>1</v>
      </c>
      <c r="F4210" t="str">
        <f t="shared" si="738"/>
        <v>COM</v>
      </c>
      <c r="G4210" t="str">
        <f>"JOSÉ HENRIQUE RODRIGUES (430)"</f>
        <v>JOSÉ HENRIQUE RODRIGUES (430)</v>
      </c>
      <c r="H4210" t="s">
        <v>1126</v>
      </c>
      <c r="I4210" t="str">
        <f t="shared" si="743"/>
        <v>19/03/2026</v>
      </c>
      <c r="J4210" t="str">
        <f t="shared" si="736"/>
        <v>17/03/2026</v>
      </c>
      <c r="K4210">
        <v>46100</v>
      </c>
      <c r="N4210">
        <v>109</v>
      </c>
      <c r="O4210" t="s">
        <v>27</v>
      </c>
      <c r="Q4210">
        <v>126</v>
      </c>
      <c r="R4210" t="str">
        <f>"PAGMENOS - LJ 608 (10135)"</f>
        <v>PAGMENOS - LJ 608 (10135)</v>
      </c>
      <c r="S4210" t="s">
        <v>37</v>
      </c>
      <c r="T4210">
        <v>31780</v>
      </c>
      <c r="U4210">
        <v>35128</v>
      </c>
      <c r="V4210" t="s">
        <v>37</v>
      </c>
    </row>
    <row r="4211" spans="1:22">
      <c r="A4211" t="str">
        <f t="shared" si="744"/>
        <v>19/03/2026</v>
      </c>
      <c r="B4211" t="str">
        <f t="shared" si="741"/>
        <v>SAÍDA</v>
      </c>
      <c r="C4211" t="str">
        <f t="shared" si="742"/>
        <v>PIX</v>
      </c>
      <c r="D4211" t="str">
        <f>"35129"</f>
        <v>35129</v>
      </c>
      <c r="E4211" t="str">
        <f t="shared" si="735"/>
        <v>1</v>
      </c>
      <c r="F4211" t="str">
        <f t="shared" si="738"/>
        <v>COM</v>
      </c>
      <c r="G4211" t="str">
        <f>"LUCAS EXPEDITO COUTO RODRIGUES (1365)"</f>
        <v>LUCAS EXPEDITO COUTO RODRIGUES (1365)</v>
      </c>
      <c r="H4211" t="str">
        <f>"Serv.Prest. 09/03/2026 a 15/03/2026 - PIX: CELULAR - CHAVE: (32) 99950-0526"</f>
        <v>Serv.Prest. 09/03/2026 a 15/03/2026 - PIX: CELULAR - CHAVE: (32) 99950-0526</v>
      </c>
      <c r="I4211" t="str">
        <f t="shared" si="743"/>
        <v>19/03/2026</v>
      </c>
      <c r="J4211" t="str">
        <f t="shared" si="736"/>
        <v>17/03/2026</v>
      </c>
      <c r="K4211" t="str">
        <f>("19/03/2026")</f>
        <v>19/03/2026</v>
      </c>
      <c r="L4211">
        <v>768</v>
      </c>
      <c r="M4211">
        <v>768</v>
      </c>
      <c r="N4211">
        <v>109</v>
      </c>
      <c r="O4211" t="str">
        <f>"PAGAMENTO DE ENTREGADORES"</f>
        <v>PAGAMENTO DE ENTREGADORES</v>
      </c>
      <c r="P4211">
        <v>768</v>
      </c>
      <c r="S4211" t="str">
        <f>"BANCO C6 (149)"</f>
        <v>BANCO C6 (149)</v>
      </c>
      <c r="T4211">
        <v>31781</v>
      </c>
      <c r="U4211">
        <v>35129</v>
      </c>
      <c r="V4211" t="s">
        <v>37</v>
      </c>
    </row>
    <row r="4212" spans="1:22">
      <c r="A4212" t="str">
        <f t="shared" si="744"/>
        <v>19/03/2026</v>
      </c>
      <c r="B4212" t="str">
        <f t="shared" si="741"/>
        <v>SAÍDA</v>
      </c>
      <c r="C4212" t="str">
        <f t="shared" si="742"/>
        <v>PIX</v>
      </c>
      <c r="D4212" t="str">
        <f>"35129"</f>
        <v>35129</v>
      </c>
      <c r="E4212" t="str">
        <f t="shared" si="735"/>
        <v>1</v>
      </c>
      <c r="F4212" t="str">
        <f t="shared" si="738"/>
        <v>COM</v>
      </c>
      <c r="G4212" t="str">
        <f>"LUCAS EXPEDITO COUTO RODRIGUES (1365)"</f>
        <v>LUCAS EXPEDITO COUTO RODRIGUES (1365)</v>
      </c>
      <c r="H4212" t="s">
        <v>1098</v>
      </c>
      <c r="I4212" t="str">
        <f t="shared" si="743"/>
        <v>19/03/2026</v>
      </c>
      <c r="J4212" t="str">
        <f t="shared" si="736"/>
        <v>17/03/2026</v>
      </c>
      <c r="K4212">
        <v>46100</v>
      </c>
      <c r="N4212">
        <v>109</v>
      </c>
      <c r="O4212" t="s">
        <v>27</v>
      </c>
      <c r="Q4212">
        <v>768</v>
      </c>
      <c r="R4212" t="str">
        <f>"PAGMENOS - LJ 608 (10135)"</f>
        <v>PAGMENOS - LJ 608 (10135)</v>
      </c>
      <c r="S4212" t="s">
        <v>37</v>
      </c>
      <c r="T4212">
        <v>31781</v>
      </c>
      <c r="U4212">
        <v>35129</v>
      </c>
      <c r="V4212" t="s">
        <v>37</v>
      </c>
    </row>
    <row r="4213" spans="1:22">
      <c r="A4213" t="str">
        <f t="shared" si="744"/>
        <v>19/03/2026</v>
      </c>
      <c r="B4213" t="str">
        <f t="shared" si="741"/>
        <v>SAÍDA</v>
      </c>
      <c r="C4213" t="str">
        <f t="shared" si="742"/>
        <v>PIX</v>
      </c>
      <c r="D4213" t="str">
        <f>"35133"</f>
        <v>35133</v>
      </c>
      <c r="E4213" t="str">
        <f t="shared" si="735"/>
        <v>1</v>
      </c>
      <c r="F4213" t="str">
        <f t="shared" si="738"/>
        <v>COM</v>
      </c>
      <c r="G4213" t="str">
        <f>"TALES SILVA MARIANO (431)"</f>
        <v>TALES SILVA MARIANO (431)</v>
      </c>
      <c r="H4213" t="str">
        <f>"Serv.Prest. 09/03/2026 a 15/03/2026 - PIX: CNPJ - CHAVE: 64.735.042/0001-53"</f>
        <v>Serv.Prest. 09/03/2026 a 15/03/2026 - PIX: CNPJ - CHAVE: 64.735.042/0001-53</v>
      </c>
      <c r="I4213" t="str">
        <f t="shared" si="743"/>
        <v>19/03/2026</v>
      </c>
      <c r="J4213" t="str">
        <f t="shared" si="736"/>
        <v>17/03/2026</v>
      </c>
      <c r="K4213" t="str">
        <f>("19/03/2026")</f>
        <v>19/03/2026</v>
      </c>
      <c r="L4213">
        <v>900</v>
      </c>
      <c r="M4213">
        <v>900</v>
      </c>
      <c r="N4213">
        <v>109</v>
      </c>
      <c r="O4213" t="str">
        <f>"PAGAMENTO DE ENTREGADORES"</f>
        <v>PAGAMENTO DE ENTREGADORES</v>
      </c>
      <c r="P4213">
        <v>900</v>
      </c>
      <c r="S4213" t="str">
        <f>"BANCO C6 (149)"</f>
        <v>BANCO C6 (149)</v>
      </c>
      <c r="T4213">
        <v>31782</v>
      </c>
      <c r="U4213">
        <v>35133</v>
      </c>
      <c r="V4213" t="s">
        <v>37</v>
      </c>
    </row>
    <row r="4214" spans="1:22">
      <c r="A4214" t="str">
        <f t="shared" si="744"/>
        <v>19/03/2026</v>
      </c>
      <c r="B4214" t="str">
        <f t="shared" si="741"/>
        <v>SAÍDA</v>
      </c>
      <c r="C4214" t="str">
        <f t="shared" si="742"/>
        <v>PIX</v>
      </c>
      <c r="D4214" t="str">
        <f>"35133"</f>
        <v>35133</v>
      </c>
      <c r="E4214" t="str">
        <f t="shared" si="735"/>
        <v>1</v>
      </c>
      <c r="F4214" t="str">
        <f t="shared" si="738"/>
        <v>COM</v>
      </c>
      <c r="G4214" t="str">
        <f>"TALES SILVA MARIANO (431)"</f>
        <v>TALES SILVA MARIANO (431)</v>
      </c>
      <c r="H4214" t="s">
        <v>1099</v>
      </c>
      <c r="I4214" t="str">
        <f t="shared" si="743"/>
        <v>19/03/2026</v>
      </c>
      <c r="J4214" t="str">
        <f t="shared" si="736"/>
        <v>17/03/2026</v>
      </c>
      <c r="K4214">
        <v>46100</v>
      </c>
      <c r="N4214">
        <v>109</v>
      </c>
      <c r="O4214" t="s">
        <v>27</v>
      </c>
      <c r="Q4214">
        <v>900</v>
      </c>
      <c r="R4214" t="str">
        <f>"PAGMENOS - LJ 608 (10135)"</f>
        <v>PAGMENOS - LJ 608 (10135)</v>
      </c>
      <c r="S4214" t="s">
        <v>37</v>
      </c>
      <c r="T4214">
        <v>31782</v>
      </c>
      <c r="U4214">
        <v>35133</v>
      </c>
      <c r="V4214" t="s">
        <v>37</v>
      </c>
    </row>
    <row r="4215" spans="1:22">
      <c r="A4215" t="str">
        <f t="shared" si="744"/>
        <v>19/03/2026</v>
      </c>
      <c r="B4215" t="str">
        <f t="shared" si="741"/>
        <v>SAÍDA</v>
      </c>
      <c r="C4215" t="str">
        <f t="shared" si="742"/>
        <v>PIX</v>
      </c>
      <c r="D4215" t="str">
        <f>"35134"</f>
        <v>35134</v>
      </c>
      <c r="E4215" t="str">
        <f t="shared" ref="E4215:E4250" si="745">"1"</f>
        <v>1</v>
      </c>
      <c r="F4215" t="str">
        <f t="shared" si="738"/>
        <v>COM</v>
      </c>
      <c r="G4215" t="str">
        <f>"THAIS SILVA MAIA (1057)"</f>
        <v>THAIS SILVA MAIA (1057)</v>
      </c>
      <c r="H4215" t="str">
        <f>"Serv.Prest. 09/03/2026 a 15/03/2026 - PIX: CELULAR - CHAVE: (34) 99688-5705"</f>
        <v>Serv.Prest. 09/03/2026 a 15/03/2026 - PIX: CELULAR - CHAVE: (34) 99688-5705</v>
      </c>
      <c r="I4215" t="str">
        <f t="shared" si="743"/>
        <v>19/03/2026</v>
      </c>
      <c r="J4215" t="str">
        <f t="shared" si="736"/>
        <v>17/03/2026</v>
      </c>
      <c r="K4215" t="str">
        <f>("19/03/2026")</f>
        <v>19/03/2026</v>
      </c>
      <c r="L4215">
        <v>702</v>
      </c>
      <c r="M4215">
        <v>702</v>
      </c>
      <c r="N4215">
        <v>109</v>
      </c>
      <c r="O4215" t="str">
        <f>"PAGAMENTO DE ENTREGADORES"</f>
        <v>PAGAMENTO DE ENTREGADORES</v>
      </c>
      <c r="P4215">
        <v>702</v>
      </c>
      <c r="S4215" t="str">
        <f>"BANCO C6 (149)"</f>
        <v>BANCO C6 (149)</v>
      </c>
      <c r="T4215">
        <v>31783</v>
      </c>
      <c r="U4215">
        <v>35134</v>
      </c>
      <c r="V4215" t="s">
        <v>37</v>
      </c>
    </row>
    <row r="4216" spans="1:22">
      <c r="A4216" t="str">
        <f t="shared" si="744"/>
        <v>19/03/2026</v>
      </c>
      <c r="B4216" t="str">
        <f t="shared" si="741"/>
        <v>SAÍDA</v>
      </c>
      <c r="C4216" t="str">
        <f t="shared" si="742"/>
        <v>PIX</v>
      </c>
      <c r="D4216" t="str">
        <f>"35134"</f>
        <v>35134</v>
      </c>
      <c r="E4216" t="str">
        <f t="shared" si="745"/>
        <v>1</v>
      </c>
      <c r="F4216" t="str">
        <f t="shared" si="738"/>
        <v>COM</v>
      </c>
      <c r="G4216" t="str">
        <f>"THAIS SILVA MAIA (1057)"</f>
        <v>THAIS SILVA MAIA (1057)</v>
      </c>
      <c r="H4216" t="s">
        <v>984</v>
      </c>
      <c r="I4216" t="str">
        <f t="shared" si="743"/>
        <v>19/03/2026</v>
      </c>
      <c r="J4216" t="str">
        <f t="shared" si="736"/>
        <v>17/03/2026</v>
      </c>
      <c r="K4216">
        <v>46100</v>
      </c>
      <c r="N4216">
        <v>109</v>
      </c>
      <c r="O4216" t="s">
        <v>27</v>
      </c>
      <c r="Q4216">
        <v>702</v>
      </c>
      <c r="R4216" t="str">
        <f>"PAGMENOS - LJ 431 (10265)"</f>
        <v>PAGMENOS - LJ 431 (10265)</v>
      </c>
      <c r="S4216" t="s">
        <v>37</v>
      </c>
      <c r="T4216">
        <v>31783</v>
      </c>
      <c r="U4216">
        <v>35134</v>
      </c>
      <c r="V4216" t="s">
        <v>37</v>
      </c>
    </row>
    <row r="4217" spans="1:22">
      <c r="A4217" t="str">
        <f t="shared" si="744"/>
        <v>19/03/2026</v>
      </c>
      <c r="B4217" t="str">
        <f t="shared" si="741"/>
        <v>SAÍDA</v>
      </c>
      <c r="C4217" t="str">
        <f t="shared" si="742"/>
        <v>PIX</v>
      </c>
      <c r="D4217" t="str">
        <f>"35135"</f>
        <v>35135</v>
      </c>
      <c r="E4217" t="str">
        <f t="shared" si="745"/>
        <v>1</v>
      </c>
      <c r="F4217" t="str">
        <f t="shared" si="738"/>
        <v>COM</v>
      </c>
      <c r="G4217" t="str">
        <f>"THAIS SILVA MAIA (1057)"</f>
        <v>THAIS SILVA MAIA (1057)</v>
      </c>
      <c r="H4217" t="str">
        <f>"Serv.Prest. 09/03/2026 a 15/03/2026 - PIX: CELULAR - CHAVE: (34) 99688-5705"</f>
        <v>Serv.Prest. 09/03/2026 a 15/03/2026 - PIX: CELULAR - CHAVE: (34) 99688-5705</v>
      </c>
      <c r="I4217" t="str">
        <f t="shared" si="743"/>
        <v>19/03/2026</v>
      </c>
      <c r="J4217" t="str">
        <f t="shared" si="736"/>
        <v>17/03/2026</v>
      </c>
      <c r="K4217" t="str">
        <f>("19/03/2026")</f>
        <v>19/03/2026</v>
      </c>
      <c r="L4217">
        <v>642</v>
      </c>
      <c r="M4217">
        <v>642</v>
      </c>
      <c r="N4217">
        <v>109</v>
      </c>
      <c r="O4217" t="str">
        <f>"PAGAMENTO DE ENTREGADORES"</f>
        <v>PAGAMENTO DE ENTREGADORES</v>
      </c>
      <c r="P4217">
        <v>642</v>
      </c>
      <c r="S4217" t="str">
        <f>"BANCO C6 (149)"</f>
        <v>BANCO C6 (149)</v>
      </c>
      <c r="T4217">
        <v>31784</v>
      </c>
      <c r="U4217">
        <v>35135</v>
      </c>
      <c r="V4217" t="s">
        <v>37</v>
      </c>
    </row>
    <row r="4218" spans="1:22">
      <c r="A4218" t="str">
        <f t="shared" si="744"/>
        <v>19/03/2026</v>
      </c>
      <c r="B4218" t="str">
        <f t="shared" si="741"/>
        <v>SAÍDA</v>
      </c>
      <c r="C4218" t="str">
        <f t="shared" si="742"/>
        <v>PIX</v>
      </c>
      <c r="D4218" t="str">
        <f>"35135"</f>
        <v>35135</v>
      </c>
      <c r="E4218" t="str">
        <f t="shared" si="745"/>
        <v>1</v>
      </c>
      <c r="F4218" t="str">
        <f t="shared" si="738"/>
        <v>COM</v>
      </c>
      <c r="G4218" t="str">
        <f>"THAIS SILVA MAIA (1057)"</f>
        <v>THAIS SILVA MAIA (1057)</v>
      </c>
      <c r="H4218" t="s">
        <v>984</v>
      </c>
      <c r="I4218" t="str">
        <f t="shared" si="743"/>
        <v>19/03/2026</v>
      </c>
      <c r="J4218" t="str">
        <f t="shared" si="736"/>
        <v>17/03/2026</v>
      </c>
      <c r="K4218">
        <v>46100</v>
      </c>
      <c r="N4218">
        <v>109</v>
      </c>
      <c r="O4218" t="s">
        <v>27</v>
      </c>
      <c r="Q4218">
        <v>642</v>
      </c>
      <c r="R4218" t="str">
        <f>"PAGMENOS - LJ 768 (10266)"</f>
        <v>PAGMENOS - LJ 768 (10266)</v>
      </c>
      <c r="S4218" t="s">
        <v>37</v>
      </c>
      <c r="T4218">
        <v>31784</v>
      </c>
      <c r="U4218">
        <v>35135</v>
      </c>
      <c r="V4218" t="s">
        <v>37</v>
      </c>
    </row>
    <row r="4219" spans="1:22">
      <c r="A4219" t="str">
        <f t="shared" si="744"/>
        <v>19/03/2026</v>
      </c>
      <c r="B4219" t="str">
        <f t="shared" si="741"/>
        <v>SAÍDA</v>
      </c>
      <c r="C4219" t="str">
        <f t="shared" si="742"/>
        <v>PIX</v>
      </c>
      <c r="D4219" t="str">
        <f>"35136"</f>
        <v>35136</v>
      </c>
      <c r="E4219" t="str">
        <f t="shared" si="745"/>
        <v>1</v>
      </c>
      <c r="F4219" t="str">
        <f t="shared" si="738"/>
        <v>COM</v>
      </c>
      <c r="G4219" t="str">
        <f>"THALISSON NUNES (1046)"</f>
        <v>THALISSON NUNES (1046)</v>
      </c>
      <c r="H4219" t="str">
        <f>"Serv.Prest. 09/03/2026 a 15/03/2026 - PIX: CELULAR - CHAVE: (34) 99694-0926"</f>
        <v>Serv.Prest. 09/03/2026 a 15/03/2026 - PIX: CELULAR - CHAVE: (34) 99694-0926</v>
      </c>
      <c r="I4219" t="str">
        <f t="shared" si="743"/>
        <v>19/03/2026</v>
      </c>
      <c r="J4219" t="str">
        <f t="shared" si="736"/>
        <v>17/03/2026</v>
      </c>
      <c r="K4219" t="str">
        <f>("19/03/2026")</f>
        <v>19/03/2026</v>
      </c>
      <c r="L4219">
        <v>315</v>
      </c>
      <c r="M4219">
        <v>315</v>
      </c>
      <c r="N4219">
        <v>109</v>
      </c>
      <c r="O4219" t="str">
        <f>"PAGAMENTO DE ENTREGADORES"</f>
        <v>PAGAMENTO DE ENTREGADORES</v>
      </c>
      <c r="P4219">
        <v>315</v>
      </c>
      <c r="S4219" t="str">
        <f>"BANCO C6 (149)"</f>
        <v>BANCO C6 (149)</v>
      </c>
      <c r="T4219">
        <v>31785</v>
      </c>
      <c r="U4219">
        <v>35136</v>
      </c>
      <c r="V4219" t="s">
        <v>37</v>
      </c>
    </row>
    <row r="4220" spans="1:22">
      <c r="A4220" t="str">
        <f t="shared" si="744"/>
        <v>19/03/2026</v>
      </c>
      <c r="B4220" t="str">
        <f t="shared" si="741"/>
        <v>SAÍDA</v>
      </c>
      <c r="C4220" t="str">
        <f t="shared" si="742"/>
        <v>PIX</v>
      </c>
      <c r="D4220" t="str">
        <f>"35136"</f>
        <v>35136</v>
      </c>
      <c r="E4220" t="str">
        <f t="shared" si="745"/>
        <v>1</v>
      </c>
      <c r="F4220" t="str">
        <f t="shared" si="738"/>
        <v>COM</v>
      </c>
      <c r="G4220" t="str">
        <f>"THALISSON NUNES (1046)"</f>
        <v>THALISSON NUNES (1046)</v>
      </c>
      <c r="H4220" t="s">
        <v>1127</v>
      </c>
      <c r="I4220" t="str">
        <f t="shared" si="743"/>
        <v>19/03/2026</v>
      </c>
      <c r="J4220" t="str">
        <f t="shared" si="736"/>
        <v>17/03/2026</v>
      </c>
      <c r="K4220">
        <v>46100</v>
      </c>
      <c r="N4220">
        <v>109</v>
      </c>
      <c r="O4220" t="s">
        <v>27</v>
      </c>
      <c r="Q4220">
        <v>315</v>
      </c>
      <c r="R4220" t="str">
        <f>"PAGMENOS - LJ 326 (10264)"</f>
        <v>PAGMENOS - LJ 326 (10264)</v>
      </c>
      <c r="S4220" t="s">
        <v>37</v>
      </c>
      <c r="T4220">
        <v>31785</v>
      </c>
      <c r="U4220">
        <v>35136</v>
      </c>
      <c r="V4220" t="s">
        <v>37</v>
      </c>
    </row>
    <row r="4221" spans="1:22">
      <c r="A4221" t="str">
        <f t="shared" si="744"/>
        <v>19/03/2026</v>
      </c>
      <c r="B4221" t="str">
        <f t="shared" si="741"/>
        <v>SAÍDA</v>
      </c>
      <c r="C4221" t="str">
        <f t="shared" si="742"/>
        <v>PIX</v>
      </c>
      <c r="D4221" t="str">
        <f>"35137"</f>
        <v>35137</v>
      </c>
      <c r="E4221" t="str">
        <f t="shared" si="745"/>
        <v>1</v>
      </c>
      <c r="F4221" t="str">
        <f t="shared" si="738"/>
        <v>COM</v>
      </c>
      <c r="G4221" t="str">
        <f>"WELDER LINHARES ALVES (1306)"</f>
        <v>WELDER LINHARES ALVES (1306)</v>
      </c>
      <c r="H4221" t="str">
        <f>"Serv.Prest. 09/03/2026 a 15/03/2026 - PIX: CHAVE ALEATÓRIA - CHAVE: b7127766-e2b6-47e0-bdc0-95f13babb6f4"</f>
        <v>Serv.Prest. 09/03/2026 a 15/03/2026 - PIX: CHAVE ALEATÓRIA - CHAVE: b7127766-e2b6-47e0-bdc0-95f13babb6f4</v>
      </c>
      <c r="I4221" t="str">
        <f t="shared" si="743"/>
        <v>19/03/2026</v>
      </c>
      <c r="J4221" t="str">
        <f t="shared" ref="J4221:J4236" si="746">("17/03/2026")</f>
        <v>17/03/2026</v>
      </c>
      <c r="K4221" t="str">
        <f>("19/03/2026")</f>
        <v>19/03/2026</v>
      </c>
      <c r="L4221">
        <v>348</v>
      </c>
      <c r="M4221">
        <v>348</v>
      </c>
      <c r="N4221">
        <v>109</v>
      </c>
      <c r="O4221" t="str">
        <f>"PAGAMENTO DE ENTREGADORES"</f>
        <v>PAGAMENTO DE ENTREGADORES</v>
      </c>
      <c r="P4221">
        <v>348</v>
      </c>
      <c r="S4221" t="str">
        <f>"BANCO C6 (149)"</f>
        <v>BANCO C6 (149)</v>
      </c>
      <c r="T4221">
        <v>31786</v>
      </c>
      <c r="U4221">
        <v>35137</v>
      </c>
      <c r="V4221" t="s">
        <v>37</v>
      </c>
    </row>
    <row r="4222" spans="1:22">
      <c r="A4222" t="str">
        <f t="shared" si="744"/>
        <v>19/03/2026</v>
      </c>
      <c r="B4222" t="str">
        <f t="shared" si="741"/>
        <v>SAÍDA</v>
      </c>
      <c r="C4222" t="str">
        <f t="shared" si="742"/>
        <v>PIX</v>
      </c>
      <c r="D4222" t="str">
        <f>"35137"</f>
        <v>35137</v>
      </c>
      <c r="E4222" t="str">
        <f t="shared" si="745"/>
        <v>1</v>
      </c>
      <c r="F4222" t="str">
        <f t="shared" si="738"/>
        <v>COM</v>
      </c>
      <c r="G4222" t="str">
        <f>"WELDER LINHARES ALVES (1306)"</f>
        <v>WELDER LINHARES ALVES (1306)</v>
      </c>
      <c r="H4222" t="s">
        <v>1128</v>
      </c>
      <c r="I4222" t="str">
        <f t="shared" si="743"/>
        <v>19/03/2026</v>
      </c>
      <c r="J4222" t="str">
        <f t="shared" si="746"/>
        <v>17/03/2026</v>
      </c>
      <c r="K4222">
        <v>46100</v>
      </c>
      <c r="N4222">
        <v>109</v>
      </c>
      <c r="O4222" t="s">
        <v>27</v>
      </c>
      <c r="Q4222">
        <v>348</v>
      </c>
      <c r="R4222" t="str">
        <f>"PAGMENOS - LJ 768 (10266)"</f>
        <v>PAGMENOS - LJ 768 (10266)</v>
      </c>
      <c r="S4222" t="s">
        <v>37</v>
      </c>
      <c r="T4222">
        <v>31786</v>
      </c>
      <c r="U4222">
        <v>35137</v>
      </c>
      <c r="V4222" t="s">
        <v>37</v>
      </c>
    </row>
    <row r="4223" spans="1:22">
      <c r="A4223" t="str">
        <f t="shared" si="744"/>
        <v>19/03/2026</v>
      </c>
      <c r="B4223" t="str">
        <f t="shared" si="741"/>
        <v>SAÍDA</v>
      </c>
      <c r="C4223" t="str">
        <f t="shared" si="742"/>
        <v>PIX</v>
      </c>
      <c r="D4223" t="str">
        <f>"35138"</f>
        <v>35138</v>
      </c>
      <c r="E4223" t="str">
        <f t="shared" si="745"/>
        <v>1</v>
      </c>
      <c r="F4223" t="str">
        <f t="shared" si="738"/>
        <v>COM</v>
      </c>
      <c r="G4223" t="str">
        <f>"WELDER LINHARES ALVES (1306)"</f>
        <v>WELDER LINHARES ALVES (1306)</v>
      </c>
      <c r="H4223" t="str">
        <f>"Serv.Prest. 09/03/2026 a 15/03/2026 - PIX: CHAVE ALEATÓRIA - CHAVE: b7127766-e2b6-47e0-bdc0-95f13babb6f4"</f>
        <v>Serv.Prest. 09/03/2026 a 15/03/2026 - PIX: CHAVE ALEATÓRIA - CHAVE: b7127766-e2b6-47e0-bdc0-95f13babb6f4</v>
      </c>
      <c r="I4223" t="str">
        <f t="shared" si="743"/>
        <v>19/03/2026</v>
      </c>
      <c r="J4223" t="str">
        <f t="shared" si="746"/>
        <v>17/03/2026</v>
      </c>
      <c r="K4223" t="str">
        <f>("19/03/2026")</f>
        <v>19/03/2026</v>
      </c>
      <c r="L4223">
        <v>348</v>
      </c>
      <c r="M4223">
        <v>348</v>
      </c>
      <c r="N4223">
        <v>109</v>
      </c>
      <c r="O4223" t="str">
        <f>"PAGAMENTO DE ENTREGADORES"</f>
        <v>PAGAMENTO DE ENTREGADORES</v>
      </c>
      <c r="P4223">
        <v>348</v>
      </c>
      <c r="S4223" t="str">
        <f>"BANCO C6 (149)"</f>
        <v>BANCO C6 (149)</v>
      </c>
      <c r="T4223">
        <v>31787</v>
      </c>
      <c r="U4223">
        <v>35138</v>
      </c>
      <c r="V4223" t="s">
        <v>37</v>
      </c>
    </row>
    <row r="4224" spans="1:22">
      <c r="A4224" t="str">
        <f t="shared" si="744"/>
        <v>19/03/2026</v>
      </c>
      <c r="B4224" t="str">
        <f t="shared" si="741"/>
        <v>SAÍDA</v>
      </c>
      <c r="C4224" t="str">
        <f t="shared" si="742"/>
        <v>PIX</v>
      </c>
      <c r="D4224" t="str">
        <f>"35138"</f>
        <v>35138</v>
      </c>
      <c r="E4224" t="str">
        <f t="shared" si="745"/>
        <v>1</v>
      </c>
      <c r="F4224" t="str">
        <f t="shared" si="738"/>
        <v>COM</v>
      </c>
      <c r="G4224" t="str">
        <f>"WELDER LINHARES ALVES (1306)"</f>
        <v>WELDER LINHARES ALVES (1306)</v>
      </c>
      <c r="H4224" t="s">
        <v>1128</v>
      </c>
      <c r="I4224" t="str">
        <f t="shared" si="743"/>
        <v>19/03/2026</v>
      </c>
      <c r="J4224" t="str">
        <f t="shared" si="746"/>
        <v>17/03/2026</v>
      </c>
      <c r="K4224">
        <v>46100</v>
      </c>
      <c r="N4224">
        <v>109</v>
      </c>
      <c r="O4224" t="s">
        <v>27</v>
      </c>
      <c r="Q4224">
        <v>348</v>
      </c>
      <c r="R4224" t="str">
        <f>"PAGMENOS - LJ 431 (10265)"</f>
        <v>PAGMENOS - LJ 431 (10265)</v>
      </c>
      <c r="S4224" t="s">
        <v>37</v>
      </c>
      <c r="T4224">
        <v>31787</v>
      </c>
      <c r="U4224">
        <v>35138</v>
      </c>
      <c r="V4224" t="s">
        <v>37</v>
      </c>
    </row>
    <row r="4225" spans="1:22">
      <c r="A4225" t="str">
        <f t="shared" si="744"/>
        <v>19/03/2026</v>
      </c>
      <c r="B4225" t="str">
        <f t="shared" si="741"/>
        <v>SAÍDA</v>
      </c>
      <c r="C4225" t="str">
        <f t="shared" si="742"/>
        <v>PIX</v>
      </c>
      <c r="D4225" t="str">
        <f>"35139"</f>
        <v>35139</v>
      </c>
      <c r="E4225" t="str">
        <f t="shared" si="745"/>
        <v>1</v>
      </c>
      <c r="F4225" t="str">
        <f t="shared" si="738"/>
        <v>COM</v>
      </c>
      <c r="G4225" t="str">
        <f>"WENDERSON SILVA MAIA (1238)"</f>
        <v>WENDERSON SILVA MAIA (1238)</v>
      </c>
      <c r="H4225" t="str">
        <f>"Serv.Prest. 09/03/2026 a 15/03/2026 - PIX: E-MAIL - CHAVE: wender.56@hotmail.com"</f>
        <v>Serv.Prest. 09/03/2026 a 15/03/2026 - PIX: E-MAIL - CHAVE: wender.56@hotmail.com</v>
      </c>
      <c r="I4225" t="str">
        <f t="shared" si="743"/>
        <v>19/03/2026</v>
      </c>
      <c r="J4225" t="str">
        <f t="shared" si="746"/>
        <v>17/03/2026</v>
      </c>
      <c r="K4225" t="str">
        <f>("19/03/2026")</f>
        <v>19/03/2026</v>
      </c>
      <c r="L4225">
        <v>360</v>
      </c>
      <c r="M4225">
        <v>360</v>
      </c>
      <c r="N4225">
        <v>109</v>
      </c>
      <c r="O4225" t="str">
        <f>"PAGAMENTO DE ENTREGADORES"</f>
        <v>PAGAMENTO DE ENTREGADORES</v>
      </c>
      <c r="P4225">
        <v>360</v>
      </c>
      <c r="S4225" t="str">
        <f>"BANCO C6 (149)"</f>
        <v>BANCO C6 (149)</v>
      </c>
      <c r="T4225">
        <v>31788</v>
      </c>
      <c r="U4225">
        <v>35139</v>
      </c>
      <c r="V4225" t="s">
        <v>37</v>
      </c>
    </row>
    <row r="4226" spans="1:22">
      <c r="A4226" t="str">
        <f t="shared" si="744"/>
        <v>19/03/2026</v>
      </c>
      <c r="B4226" t="str">
        <f t="shared" si="741"/>
        <v>SAÍDA</v>
      </c>
      <c r="C4226" t="str">
        <f t="shared" si="742"/>
        <v>PIX</v>
      </c>
      <c r="D4226" t="str">
        <f>"35139"</f>
        <v>35139</v>
      </c>
      <c r="E4226" t="str">
        <f t="shared" si="745"/>
        <v>1</v>
      </c>
      <c r="F4226" t="str">
        <f t="shared" ref="F4226:F4289" si="747">"COM"</f>
        <v>COM</v>
      </c>
      <c r="G4226" t="str">
        <f>"WENDERSON SILVA MAIA (1238)"</f>
        <v>WENDERSON SILVA MAIA (1238)</v>
      </c>
      <c r="H4226" t="s">
        <v>1129</v>
      </c>
      <c r="I4226" t="str">
        <f t="shared" si="743"/>
        <v>19/03/2026</v>
      </c>
      <c r="J4226" t="str">
        <f t="shared" si="746"/>
        <v>17/03/2026</v>
      </c>
      <c r="K4226">
        <v>46100</v>
      </c>
      <c r="N4226">
        <v>109</v>
      </c>
      <c r="O4226" t="s">
        <v>27</v>
      </c>
      <c r="Q4226">
        <v>360</v>
      </c>
      <c r="R4226" t="str">
        <f>"PAGMENOS - LJ 768 (10266)"</f>
        <v>PAGMENOS - LJ 768 (10266)</v>
      </c>
      <c r="S4226" t="s">
        <v>37</v>
      </c>
      <c r="T4226">
        <v>31788</v>
      </c>
      <c r="U4226">
        <v>35139</v>
      </c>
      <c r="V4226" t="s">
        <v>37</v>
      </c>
    </row>
    <row r="4227" spans="1:22">
      <c r="A4227" t="str">
        <f t="shared" si="744"/>
        <v>19/03/2026</v>
      </c>
      <c r="B4227" t="str">
        <f t="shared" si="741"/>
        <v>SAÍDA</v>
      </c>
      <c r="C4227" t="str">
        <f t="shared" si="742"/>
        <v>PIX</v>
      </c>
      <c r="D4227" t="str">
        <f>"35140"</f>
        <v>35140</v>
      </c>
      <c r="E4227" t="str">
        <f t="shared" si="745"/>
        <v>1</v>
      </c>
      <c r="F4227" t="str">
        <f t="shared" si="747"/>
        <v>COM</v>
      </c>
      <c r="G4227" t="str">
        <f>"WENDERSON SILVA MAIA (1238)"</f>
        <v>WENDERSON SILVA MAIA (1238)</v>
      </c>
      <c r="H4227" t="str">
        <f>"Serv.Prest. 09/03/2026 a 15/03/2026 - PIX: E-MAIL - CHAVE: wender.56@hotmail.com"</f>
        <v>Serv.Prest. 09/03/2026 a 15/03/2026 - PIX: E-MAIL - CHAVE: wender.56@hotmail.com</v>
      </c>
      <c r="I4227" t="str">
        <f t="shared" si="743"/>
        <v>19/03/2026</v>
      </c>
      <c r="J4227" t="str">
        <f t="shared" si="746"/>
        <v>17/03/2026</v>
      </c>
      <c r="K4227" t="str">
        <f>("19/03/2026")</f>
        <v>19/03/2026</v>
      </c>
      <c r="L4227">
        <v>348</v>
      </c>
      <c r="M4227">
        <v>348</v>
      </c>
      <c r="N4227">
        <v>109</v>
      </c>
      <c r="O4227" t="str">
        <f>"PAGAMENTO DE ENTREGADORES"</f>
        <v>PAGAMENTO DE ENTREGADORES</v>
      </c>
      <c r="P4227">
        <v>348</v>
      </c>
      <c r="S4227" t="str">
        <f>"BANCO C6 (149)"</f>
        <v>BANCO C6 (149)</v>
      </c>
      <c r="T4227">
        <v>31789</v>
      </c>
      <c r="U4227">
        <v>35140</v>
      </c>
      <c r="V4227" t="s">
        <v>37</v>
      </c>
    </row>
    <row r="4228" spans="1:22">
      <c r="A4228" t="str">
        <f t="shared" si="744"/>
        <v>19/03/2026</v>
      </c>
      <c r="B4228" t="str">
        <f t="shared" si="741"/>
        <v>SAÍDA</v>
      </c>
      <c r="C4228" t="str">
        <f t="shared" si="742"/>
        <v>PIX</v>
      </c>
      <c r="D4228" t="str">
        <f>"35140"</f>
        <v>35140</v>
      </c>
      <c r="E4228" t="str">
        <f t="shared" si="745"/>
        <v>1</v>
      </c>
      <c r="F4228" t="str">
        <f t="shared" si="747"/>
        <v>COM</v>
      </c>
      <c r="G4228" t="str">
        <f>"WENDERSON SILVA MAIA (1238)"</f>
        <v>WENDERSON SILVA MAIA (1238)</v>
      </c>
      <c r="H4228" t="s">
        <v>1129</v>
      </c>
      <c r="I4228" t="str">
        <f t="shared" si="743"/>
        <v>19/03/2026</v>
      </c>
      <c r="J4228" t="str">
        <f t="shared" si="746"/>
        <v>17/03/2026</v>
      </c>
      <c r="K4228">
        <v>46100</v>
      </c>
      <c r="N4228">
        <v>109</v>
      </c>
      <c r="O4228" t="s">
        <v>27</v>
      </c>
      <c r="Q4228">
        <v>348</v>
      </c>
      <c r="R4228" t="str">
        <f>"PAGMENOS - LJ 431 (10265)"</f>
        <v>PAGMENOS - LJ 431 (10265)</v>
      </c>
      <c r="S4228" t="s">
        <v>37</v>
      </c>
      <c r="T4228">
        <v>31789</v>
      </c>
      <c r="U4228">
        <v>35140</v>
      </c>
      <c r="V4228" t="s">
        <v>37</v>
      </c>
    </row>
    <row r="4229" spans="1:22">
      <c r="A4229" t="str">
        <f t="shared" si="744"/>
        <v>19/03/2026</v>
      </c>
      <c r="B4229" t="str">
        <f t="shared" si="741"/>
        <v>SAÍDA</v>
      </c>
      <c r="C4229" t="str">
        <f t="shared" si="742"/>
        <v>PIX</v>
      </c>
      <c r="D4229" t="str">
        <f>"34983"</f>
        <v>34983</v>
      </c>
      <c r="E4229" t="str">
        <f t="shared" si="745"/>
        <v>1</v>
      </c>
      <c r="F4229" t="str">
        <f t="shared" si="747"/>
        <v>COM</v>
      </c>
      <c r="G4229" t="str">
        <f>"ERIC RODRIGUES TEIXEIRA (939)"</f>
        <v>ERIC RODRIGUES TEIXEIRA (939)</v>
      </c>
      <c r="H4229" t="str">
        <f>"Serv.Prest. 09/03/2026 a 15/03/2026 - PIX: CELULAR - CHAVE: (11) 95038-0621"</f>
        <v>Serv.Prest. 09/03/2026 a 15/03/2026 - PIX: CELULAR - CHAVE: (11) 95038-0621</v>
      </c>
      <c r="I4229" t="str">
        <f t="shared" si="743"/>
        <v>19/03/2026</v>
      </c>
      <c r="J4229" t="str">
        <f t="shared" si="746"/>
        <v>17/03/2026</v>
      </c>
      <c r="K4229" t="str">
        <f>("19/03/2026")</f>
        <v>19/03/2026</v>
      </c>
      <c r="L4229">
        <v>250</v>
      </c>
      <c r="M4229">
        <v>250</v>
      </c>
      <c r="N4229">
        <v>109</v>
      </c>
      <c r="O4229" t="str">
        <f>"PAGAMENTO DE ENTREGADORES"</f>
        <v>PAGAMENTO DE ENTREGADORES</v>
      </c>
      <c r="P4229">
        <v>250</v>
      </c>
      <c r="S4229" t="str">
        <f>"BANCO C6 (149)"</f>
        <v>BANCO C6 (149)</v>
      </c>
      <c r="T4229">
        <v>31790</v>
      </c>
      <c r="U4229">
        <v>35144</v>
      </c>
      <c r="V4229" t="s">
        <v>37</v>
      </c>
    </row>
    <row r="4230" spans="1:22">
      <c r="A4230" t="str">
        <f t="shared" si="744"/>
        <v>19/03/2026</v>
      </c>
      <c r="B4230" t="str">
        <f t="shared" si="741"/>
        <v>SAÍDA</v>
      </c>
      <c r="C4230" t="str">
        <f t="shared" si="742"/>
        <v>PIX</v>
      </c>
      <c r="D4230" t="str">
        <f>"34983"</f>
        <v>34983</v>
      </c>
      <c r="E4230" t="str">
        <f t="shared" si="745"/>
        <v>1</v>
      </c>
      <c r="F4230" t="str">
        <f t="shared" si="747"/>
        <v>COM</v>
      </c>
      <c r="G4230" t="str">
        <f>"ERIC RODRIGUES TEIXEIRA (939)"</f>
        <v>ERIC RODRIGUES TEIXEIRA (939)</v>
      </c>
      <c r="H4230" t="s">
        <v>1107</v>
      </c>
      <c r="I4230" t="str">
        <f t="shared" si="743"/>
        <v>19/03/2026</v>
      </c>
      <c r="J4230" t="str">
        <f t="shared" si="746"/>
        <v>17/03/2026</v>
      </c>
      <c r="K4230">
        <v>46100</v>
      </c>
      <c r="N4230">
        <v>109</v>
      </c>
      <c r="O4230" t="s">
        <v>27</v>
      </c>
      <c r="Q4230">
        <v>250</v>
      </c>
      <c r="R4230" t="str">
        <f>"PENSE FARMA 50 (10210)"</f>
        <v>PENSE FARMA 50 (10210)</v>
      </c>
      <c r="S4230" t="s">
        <v>37</v>
      </c>
      <c r="T4230">
        <v>31790</v>
      </c>
      <c r="U4230">
        <v>35144</v>
      </c>
      <c r="V4230" t="s">
        <v>37</v>
      </c>
    </row>
    <row r="4231" spans="1:22">
      <c r="A4231" t="str">
        <f t="shared" si="744"/>
        <v>19/03/2026</v>
      </c>
      <c r="B4231" t="str">
        <f t="shared" si="741"/>
        <v>SAÍDA</v>
      </c>
      <c r="C4231" t="str">
        <f t="shared" si="742"/>
        <v>PIX</v>
      </c>
      <c r="D4231" t="str">
        <f>"35173"</f>
        <v>35173</v>
      </c>
      <c r="E4231" t="str">
        <f t="shared" si="745"/>
        <v>1</v>
      </c>
      <c r="F4231" t="str">
        <f t="shared" si="747"/>
        <v>COM</v>
      </c>
      <c r="G4231" t="str">
        <f>"ROBSON OLIVEIRA DE JESUS (623)"</f>
        <v>ROBSON OLIVEIRA DE JESUS (623)</v>
      </c>
      <c r="H4231" t="str">
        <f>"Serv.Prest. 09/03/2026 a 15/03/2026 - PIX: CELULAR - CHAVE: (73) 98166-3325"</f>
        <v>Serv.Prest. 09/03/2026 a 15/03/2026 - PIX: CELULAR - CHAVE: (73) 98166-3325</v>
      </c>
      <c r="I4231" t="str">
        <f t="shared" si="743"/>
        <v>19/03/2026</v>
      </c>
      <c r="J4231" t="str">
        <f t="shared" si="746"/>
        <v>17/03/2026</v>
      </c>
      <c r="K4231" t="str">
        <f>("19/03/2026")</f>
        <v>19/03/2026</v>
      </c>
      <c r="L4231">
        <v>6</v>
      </c>
      <c r="M4231">
        <v>6</v>
      </c>
      <c r="N4231">
        <v>109</v>
      </c>
      <c r="O4231" t="str">
        <f>"PAGAMENTO DE ENTREGADORES"</f>
        <v>PAGAMENTO DE ENTREGADORES</v>
      </c>
      <c r="P4231">
        <v>6</v>
      </c>
      <c r="S4231" t="str">
        <f>"BANCO C6 (149)"</f>
        <v>BANCO C6 (149)</v>
      </c>
      <c r="T4231">
        <v>31791</v>
      </c>
      <c r="U4231">
        <v>35173</v>
      </c>
      <c r="V4231" t="s">
        <v>37</v>
      </c>
    </row>
    <row r="4232" spans="1:22">
      <c r="A4232" t="str">
        <f t="shared" si="744"/>
        <v>19/03/2026</v>
      </c>
      <c r="B4232" t="str">
        <f t="shared" si="741"/>
        <v>SAÍDA</v>
      </c>
      <c r="C4232" t="str">
        <f t="shared" si="742"/>
        <v>PIX</v>
      </c>
      <c r="D4232" t="str">
        <f>"35173"</f>
        <v>35173</v>
      </c>
      <c r="E4232" t="str">
        <f t="shared" si="745"/>
        <v>1</v>
      </c>
      <c r="F4232" t="str">
        <f t="shared" si="747"/>
        <v>COM</v>
      </c>
      <c r="G4232" t="str">
        <f>"ROBSON OLIVEIRA DE JESUS (623)"</f>
        <v>ROBSON OLIVEIRA DE JESUS (623)</v>
      </c>
      <c r="H4232" t="s">
        <v>899</v>
      </c>
      <c r="I4232" t="str">
        <f t="shared" si="743"/>
        <v>19/03/2026</v>
      </c>
      <c r="J4232" t="str">
        <f t="shared" si="746"/>
        <v>17/03/2026</v>
      </c>
      <c r="K4232">
        <v>46100</v>
      </c>
      <c r="N4232">
        <v>109</v>
      </c>
      <c r="O4232" t="s">
        <v>27</v>
      </c>
      <c r="Q4232">
        <v>6</v>
      </c>
      <c r="R4232" t="str">
        <f>"FARMÁCIA INDIANA LJ 155 (10273)"</f>
        <v>FARMÁCIA INDIANA LJ 155 (10273)</v>
      </c>
      <c r="S4232" t="s">
        <v>37</v>
      </c>
      <c r="T4232">
        <v>31791</v>
      </c>
      <c r="U4232">
        <v>35173</v>
      </c>
      <c r="V4232" t="s">
        <v>37</v>
      </c>
    </row>
    <row r="4233" spans="1:22">
      <c r="A4233" t="str">
        <f t="shared" si="744"/>
        <v>19/03/2026</v>
      </c>
      <c r="B4233" t="str">
        <f t="shared" si="741"/>
        <v>SAÍDA</v>
      </c>
      <c r="C4233" t="str">
        <f t="shared" si="742"/>
        <v>PIX</v>
      </c>
      <c r="D4233" t="str">
        <f>"35174"</f>
        <v>35174</v>
      </c>
      <c r="E4233" t="str">
        <f t="shared" si="745"/>
        <v>1</v>
      </c>
      <c r="F4233" t="str">
        <f t="shared" si="747"/>
        <v>COM</v>
      </c>
      <c r="G4233" t="str">
        <f>"ROBSON OLIVEIRA DE JESUS (623)"</f>
        <v>ROBSON OLIVEIRA DE JESUS (623)</v>
      </c>
      <c r="H4233" t="str">
        <f>"Serv.Prest. 09/03/2026 a 15/03/2026 - PIX: CELULAR - CHAVE: (73) 98166-3325"</f>
        <v>Serv.Prest. 09/03/2026 a 15/03/2026 - PIX: CELULAR - CHAVE: (73) 98166-3325</v>
      </c>
      <c r="I4233" t="str">
        <f t="shared" si="743"/>
        <v>19/03/2026</v>
      </c>
      <c r="J4233" t="str">
        <f t="shared" si="746"/>
        <v>17/03/2026</v>
      </c>
      <c r="K4233" t="str">
        <f>("19/03/2026")</f>
        <v>19/03/2026</v>
      </c>
      <c r="L4233">
        <v>682</v>
      </c>
      <c r="M4233">
        <v>682</v>
      </c>
      <c r="N4233">
        <v>109</v>
      </c>
      <c r="O4233" t="str">
        <f>"PAGAMENTO DE ENTREGADORES"</f>
        <v>PAGAMENTO DE ENTREGADORES</v>
      </c>
      <c r="P4233">
        <v>682</v>
      </c>
      <c r="S4233" t="str">
        <f>"BANCO C6 (149)"</f>
        <v>BANCO C6 (149)</v>
      </c>
      <c r="T4233">
        <v>31792</v>
      </c>
      <c r="U4233">
        <v>35174</v>
      </c>
      <c r="V4233" t="s">
        <v>37</v>
      </c>
    </row>
    <row r="4234" spans="1:22">
      <c r="A4234" t="str">
        <f t="shared" si="744"/>
        <v>19/03/2026</v>
      </c>
      <c r="B4234" t="str">
        <f t="shared" si="741"/>
        <v>SAÍDA</v>
      </c>
      <c r="C4234" t="str">
        <f t="shared" si="742"/>
        <v>PIX</v>
      </c>
      <c r="D4234" t="str">
        <f>"35174"</f>
        <v>35174</v>
      </c>
      <c r="E4234" t="str">
        <f t="shared" si="745"/>
        <v>1</v>
      </c>
      <c r="F4234" t="str">
        <f t="shared" si="747"/>
        <v>COM</v>
      </c>
      <c r="G4234" t="str">
        <f>"ROBSON OLIVEIRA DE JESUS (623)"</f>
        <v>ROBSON OLIVEIRA DE JESUS (623)</v>
      </c>
      <c r="H4234" t="s">
        <v>899</v>
      </c>
      <c r="I4234" t="str">
        <f t="shared" si="743"/>
        <v>19/03/2026</v>
      </c>
      <c r="J4234" t="str">
        <f t="shared" si="746"/>
        <v>17/03/2026</v>
      </c>
      <c r="K4234">
        <v>46100</v>
      </c>
      <c r="N4234">
        <v>109</v>
      </c>
      <c r="O4234" t="s">
        <v>27</v>
      </c>
      <c r="Q4234">
        <v>682</v>
      </c>
      <c r="R4234" t="str">
        <f>"FARMÁCIA INDIANA LJ 145 (10068)"</f>
        <v>FARMÁCIA INDIANA LJ 145 (10068)</v>
      </c>
      <c r="S4234" t="s">
        <v>37</v>
      </c>
      <c r="T4234">
        <v>31792</v>
      </c>
      <c r="U4234">
        <v>35174</v>
      </c>
      <c r="V4234" t="s">
        <v>37</v>
      </c>
    </row>
    <row r="4235" spans="1:22">
      <c r="A4235" t="str">
        <f t="shared" si="744"/>
        <v>19/03/2026</v>
      </c>
      <c r="B4235" t="str">
        <f t="shared" si="741"/>
        <v>SAÍDA</v>
      </c>
      <c r="C4235" t="str">
        <f t="shared" si="742"/>
        <v>PIX</v>
      </c>
      <c r="D4235" t="str">
        <f>"35175"</f>
        <v>35175</v>
      </c>
      <c r="E4235" t="str">
        <f t="shared" si="745"/>
        <v>1</v>
      </c>
      <c r="F4235" t="str">
        <f t="shared" si="747"/>
        <v>COM</v>
      </c>
      <c r="G4235" t="str">
        <f>"TALES DE JESUS OLIVEIRA (318)"</f>
        <v>TALES DE JESUS OLIVEIRA (318)</v>
      </c>
      <c r="H4235" t="str">
        <f>"Serv.Prest. 09/03/2026 a 15/03/2026 - PIX: CPF - CHAVE: 378.223.888-51"</f>
        <v>Serv.Prest. 09/03/2026 a 15/03/2026 - PIX: CPF - CHAVE: 378.223.888-51</v>
      </c>
      <c r="I4235" t="str">
        <f t="shared" si="743"/>
        <v>19/03/2026</v>
      </c>
      <c r="J4235" t="str">
        <f t="shared" si="746"/>
        <v>17/03/2026</v>
      </c>
      <c r="K4235" t="str">
        <f>("19/03/2026")</f>
        <v>19/03/2026</v>
      </c>
      <c r="L4235">
        <v>354</v>
      </c>
      <c r="M4235">
        <v>700</v>
      </c>
      <c r="N4235">
        <v>109</v>
      </c>
      <c r="O4235" t="str">
        <f>"PAGAMENTO DE ENTREGADORES"</f>
        <v>PAGAMENTO DE ENTREGADORES</v>
      </c>
      <c r="P4235">
        <v>700</v>
      </c>
      <c r="S4235" t="str">
        <f>"BANCO C6 (149)"</f>
        <v>BANCO C6 (149)</v>
      </c>
      <c r="T4235">
        <v>31793</v>
      </c>
      <c r="U4235">
        <v>35175</v>
      </c>
      <c r="V4235" t="s">
        <v>37</v>
      </c>
    </row>
    <row r="4236" spans="1:22">
      <c r="A4236" t="str">
        <f t="shared" si="744"/>
        <v>19/03/2026</v>
      </c>
      <c r="B4236" t="str">
        <f t="shared" si="741"/>
        <v>SAÍDA</v>
      </c>
      <c r="C4236" t="str">
        <f t="shared" si="742"/>
        <v>PIX</v>
      </c>
      <c r="D4236" t="str">
        <f>"35175"</f>
        <v>35175</v>
      </c>
      <c r="E4236" t="str">
        <f t="shared" si="745"/>
        <v>1</v>
      </c>
      <c r="F4236" t="str">
        <f t="shared" si="747"/>
        <v>COM</v>
      </c>
      <c r="G4236" t="str">
        <f>"TALES DE JESUS OLIVEIRA (318)"</f>
        <v>TALES DE JESUS OLIVEIRA (318)</v>
      </c>
      <c r="H4236" t="s">
        <v>1130</v>
      </c>
      <c r="I4236" t="str">
        <f t="shared" si="743"/>
        <v>19/03/2026</v>
      </c>
      <c r="J4236" t="str">
        <f t="shared" si="746"/>
        <v>17/03/2026</v>
      </c>
      <c r="K4236">
        <v>46100</v>
      </c>
      <c r="N4236">
        <v>109</v>
      </c>
      <c r="O4236" t="s">
        <v>27</v>
      </c>
      <c r="Q4236">
        <v>700</v>
      </c>
      <c r="R4236" t="str">
        <f>"FARMÁCIA INDIANA LJ 145 (10068)"</f>
        <v>FARMÁCIA INDIANA LJ 145 (10068)</v>
      </c>
      <c r="S4236" t="s">
        <v>37</v>
      </c>
      <c r="T4236">
        <v>31793</v>
      </c>
      <c r="U4236">
        <v>35175</v>
      </c>
      <c r="V4236" t="s">
        <v>37</v>
      </c>
    </row>
    <row r="4237" spans="1:22">
      <c r="A4237" t="str">
        <f t="shared" si="744"/>
        <v>19/03/2026</v>
      </c>
      <c r="B4237" t="str">
        <f t="shared" si="741"/>
        <v>SAÍDA</v>
      </c>
      <c r="C4237" t="str">
        <f t="shared" si="742"/>
        <v>PIX</v>
      </c>
      <c r="D4237" t="str">
        <f>"35365"</f>
        <v>35365</v>
      </c>
      <c r="E4237" t="str">
        <f t="shared" si="745"/>
        <v>1</v>
      </c>
      <c r="F4237" t="str">
        <f t="shared" si="747"/>
        <v>COM</v>
      </c>
      <c r="G4237" t="str">
        <f>"MATHEUS HENRIQUE GOMES DE ALMEIDA (1362)"</f>
        <v>MATHEUS HENRIQUE GOMES DE ALMEIDA (1362)</v>
      </c>
      <c r="H4237" t="str">
        <f>"Serv.Prest. 09/03/2026 a 15/03/2026 - PIX: CPF - CHAVE: 054.700.811-25"</f>
        <v>Serv.Prest. 09/03/2026 a 15/03/2026 - PIX: CPF - CHAVE: 054.700.811-25</v>
      </c>
      <c r="I4237" t="str">
        <f t="shared" si="743"/>
        <v>19/03/2026</v>
      </c>
      <c r="J4237" t="str">
        <f t="shared" ref="J4237:J4256" si="748">("18/03/2026")</f>
        <v>18/03/2026</v>
      </c>
      <c r="K4237" t="str">
        <f>("19/03/2026")</f>
        <v>19/03/2026</v>
      </c>
      <c r="L4237">
        <v>820</v>
      </c>
      <c r="M4237">
        <v>820</v>
      </c>
      <c r="N4237">
        <v>109</v>
      </c>
      <c r="O4237" t="str">
        <f>"PAGAMENTO DE ENTREGADORES"</f>
        <v>PAGAMENTO DE ENTREGADORES</v>
      </c>
      <c r="P4237">
        <v>820</v>
      </c>
      <c r="S4237" t="str">
        <f>"BANCO C6 (149)"</f>
        <v>BANCO C6 (149)</v>
      </c>
      <c r="T4237">
        <v>31794</v>
      </c>
      <c r="U4237">
        <v>35365</v>
      </c>
      <c r="V4237" t="s">
        <v>37</v>
      </c>
    </row>
    <row r="4238" spans="1:22">
      <c r="A4238" t="str">
        <f t="shared" si="744"/>
        <v>19/03/2026</v>
      </c>
      <c r="B4238" t="str">
        <f t="shared" si="741"/>
        <v>SAÍDA</v>
      </c>
      <c r="C4238" t="str">
        <f t="shared" si="742"/>
        <v>PIX</v>
      </c>
      <c r="D4238" t="str">
        <f>"35365"</f>
        <v>35365</v>
      </c>
      <c r="E4238" t="str">
        <f t="shared" si="745"/>
        <v>1</v>
      </c>
      <c r="F4238" t="str">
        <f t="shared" si="747"/>
        <v>COM</v>
      </c>
      <c r="G4238" t="str">
        <f>"MATHEUS HENRIQUE GOMES DE ALMEIDA (1362)"</f>
        <v>MATHEUS HENRIQUE GOMES DE ALMEIDA (1362)</v>
      </c>
      <c r="H4238" t="s">
        <v>834</v>
      </c>
      <c r="I4238" t="str">
        <f t="shared" si="743"/>
        <v>19/03/2026</v>
      </c>
      <c r="J4238" t="str">
        <f t="shared" si="748"/>
        <v>18/03/2026</v>
      </c>
      <c r="K4238">
        <v>46100</v>
      </c>
      <c r="N4238">
        <v>109</v>
      </c>
      <c r="O4238" t="s">
        <v>27</v>
      </c>
      <c r="Q4238">
        <v>820</v>
      </c>
      <c r="R4238" t="str">
        <f>"BRASIL FARMA (10173)"</f>
        <v>BRASIL FARMA (10173)</v>
      </c>
      <c r="S4238" t="s">
        <v>37</v>
      </c>
      <c r="T4238">
        <v>31794</v>
      </c>
      <c r="U4238">
        <v>35365</v>
      </c>
      <c r="V4238" t="s">
        <v>37</v>
      </c>
    </row>
    <row r="4239" spans="1:22">
      <c r="A4239" t="str">
        <f t="shared" si="744"/>
        <v>19/03/2026</v>
      </c>
      <c r="B4239" t="str">
        <f t="shared" si="741"/>
        <v>SAÍDA</v>
      </c>
      <c r="C4239" t="str">
        <f t="shared" si="742"/>
        <v>PIX</v>
      </c>
      <c r="D4239" t="str">
        <f>"35367"</f>
        <v>35367</v>
      </c>
      <c r="E4239" t="str">
        <f t="shared" si="745"/>
        <v>1</v>
      </c>
      <c r="F4239" t="str">
        <f t="shared" si="747"/>
        <v>COM</v>
      </c>
      <c r="G4239" t="str">
        <f>"ALLAN SILVA DAMACENA (790)"</f>
        <v>ALLAN SILVA DAMACENA (790)</v>
      </c>
      <c r="H4239" t="str">
        <f>"Serv.Prest. 09/03/2026 a 15/03/2026 - PIX: CELULAR - CHAVE: (19) 98944-4977"</f>
        <v>Serv.Prest. 09/03/2026 a 15/03/2026 - PIX: CELULAR - CHAVE: (19) 98944-4977</v>
      </c>
      <c r="I4239" t="str">
        <f t="shared" si="743"/>
        <v>19/03/2026</v>
      </c>
      <c r="J4239" t="str">
        <f t="shared" si="748"/>
        <v>18/03/2026</v>
      </c>
      <c r="K4239" t="str">
        <f>("19/03/2026")</f>
        <v>19/03/2026</v>
      </c>
      <c r="L4239">
        <v>632</v>
      </c>
      <c r="M4239">
        <v>632</v>
      </c>
      <c r="N4239">
        <v>109</v>
      </c>
      <c r="O4239" t="str">
        <f>"PAGAMENTO DE ENTREGADORES"</f>
        <v>PAGAMENTO DE ENTREGADORES</v>
      </c>
      <c r="P4239">
        <v>632</v>
      </c>
      <c r="S4239" t="str">
        <f>"BANCO C6 (149)"</f>
        <v>BANCO C6 (149)</v>
      </c>
      <c r="T4239">
        <v>31795</v>
      </c>
      <c r="U4239">
        <v>35367</v>
      </c>
      <c r="V4239" t="s">
        <v>37</v>
      </c>
    </row>
    <row r="4240" spans="1:22">
      <c r="A4240" t="str">
        <f t="shared" si="744"/>
        <v>19/03/2026</v>
      </c>
      <c r="B4240" t="str">
        <f t="shared" si="741"/>
        <v>SAÍDA</v>
      </c>
      <c r="C4240" t="str">
        <f t="shared" si="742"/>
        <v>PIX</v>
      </c>
      <c r="D4240" t="str">
        <f>"35367"</f>
        <v>35367</v>
      </c>
      <c r="E4240" t="str">
        <f t="shared" si="745"/>
        <v>1</v>
      </c>
      <c r="F4240" t="str">
        <f t="shared" si="747"/>
        <v>COM</v>
      </c>
      <c r="G4240" t="str">
        <f>"ALLAN SILVA DAMACENA (790)"</f>
        <v>ALLAN SILVA DAMACENA (790)</v>
      </c>
      <c r="H4240" t="s">
        <v>875</v>
      </c>
      <c r="I4240" t="str">
        <f t="shared" si="743"/>
        <v>19/03/2026</v>
      </c>
      <c r="J4240" t="str">
        <f t="shared" si="748"/>
        <v>18/03/2026</v>
      </c>
      <c r="K4240">
        <v>46100</v>
      </c>
      <c r="N4240">
        <v>109</v>
      </c>
      <c r="O4240" t="s">
        <v>27</v>
      </c>
      <c r="Q4240">
        <v>632</v>
      </c>
      <c r="R4240" t="str">
        <f>"DROGARIA MORENO LTDA (10171)"</f>
        <v>DROGARIA MORENO LTDA (10171)</v>
      </c>
      <c r="S4240" t="s">
        <v>37</v>
      </c>
      <c r="T4240">
        <v>31795</v>
      </c>
      <c r="U4240">
        <v>35367</v>
      </c>
      <c r="V4240" t="s">
        <v>37</v>
      </c>
    </row>
    <row r="4241" spans="1:22">
      <c r="A4241" t="str">
        <f t="shared" si="744"/>
        <v>19/03/2026</v>
      </c>
      <c r="B4241" t="str">
        <f t="shared" si="741"/>
        <v>SAÍDA</v>
      </c>
      <c r="C4241" t="str">
        <f t="shared" si="742"/>
        <v>PIX</v>
      </c>
      <c r="D4241" t="str">
        <f>"35368"</f>
        <v>35368</v>
      </c>
      <c r="E4241" t="str">
        <f t="shared" si="745"/>
        <v>1</v>
      </c>
      <c r="F4241" t="str">
        <f t="shared" si="747"/>
        <v>COM</v>
      </c>
      <c r="G4241" t="str">
        <f>"EDUARDO MARQUES DOS SANTOS (787)"</f>
        <v>EDUARDO MARQUES DOS SANTOS (787)</v>
      </c>
      <c r="H4241" t="str">
        <f>"Serv.Prest. 09/03/2026 a 15/03/2026 - PIX: CELULAR - CHAVE: (11) 97402-1586"</f>
        <v>Serv.Prest. 09/03/2026 a 15/03/2026 - PIX: CELULAR - CHAVE: (11) 97402-1586</v>
      </c>
      <c r="I4241" t="str">
        <f t="shared" si="743"/>
        <v>19/03/2026</v>
      </c>
      <c r="J4241" t="str">
        <f t="shared" si="748"/>
        <v>18/03/2026</v>
      </c>
      <c r="K4241" t="str">
        <f>("19/03/2026")</f>
        <v>19/03/2026</v>
      </c>
      <c r="L4241">
        <v>931</v>
      </c>
      <c r="M4241">
        <v>931</v>
      </c>
      <c r="N4241">
        <v>109</v>
      </c>
      <c r="O4241" t="str">
        <f>"PAGAMENTO DE ENTREGADORES"</f>
        <v>PAGAMENTO DE ENTREGADORES</v>
      </c>
      <c r="P4241">
        <v>931</v>
      </c>
      <c r="S4241" t="str">
        <f>"BANCO C6 (149)"</f>
        <v>BANCO C6 (149)</v>
      </c>
      <c r="T4241">
        <v>31796</v>
      </c>
      <c r="U4241">
        <v>35368</v>
      </c>
      <c r="V4241" t="s">
        <v>37</v>
      </c>
    </row>
    <row r="4242" spans="1:22">
      <c r="A4242" t="str">
        <f t="shared" si="744"/>
        <v>19/03/2026</v>
      </c>
      <c r="B4242" t="str">
        <f t="shared" si="741"/>
        <v>SAÍDA</v>
      </c>
      <c r="C4242" t="str">
        <f t="shared" si="742"/>
        <v>PIX</v>
      </c>
      <c r="D4242" t="str">
        <f>"35368"</f>
        <v>35368</v>
      </c>
      <c r="E4242" t="str">
        <f t="shared" si="745"/>
        <v>1</v>
      </c>
      <c r="F4242" t="str">
        <f t="shared" si="747"/>
        <v>COM</v>
      </c>
      <c r="G4242" t="str">
        <f>"EDUARDO MARQUES DOS SANTOS (787)"</f>
        <v>EDUARDO MARQUES DOS SANTOS (787)</v>
      </c>
      <c r="H4242" t="s">
        <v>1131</v>
      </c>
      <c r="I4242" t="str">
        <f t="shared" si="743"/>
        <v>19/03/2026</v>
      </c>
      <c r="J4242" t="str">
        <f t="shared" si="748"/>
        <v>18/03/2026</v>
      </c>
      <c r="K4242">
        <v>46100</v>
      </c>
      <c r="N4242">
        <v>109</v>
      </c>
      <c r="O4242" t="s">
        <v>27</v>
      </c>
      <c r="Q4242">
        <v>931</v>
      </c>
      <c r="R4242" t="str">
        <f>"DROGARIA MORENO LTDA (10171)"</f>
        <v>DROGARIA MORENO LTDA (10171)</v>
      </c>
      <c r="S4242" t="s">
        <v>37</v>
      </c>
      <c r="T4242">
        <v>31796</v>
      </c>
      <c r="U4242">
        <v>35368</v>
      </c>
      <c r="V4242" t="s">
        <v>37</v>
      </c>
    </row>
    <row r="4243" spans="1:22">
      <c r="A4243" t="str">
        <f t="shared" si="744"/>
        <v>19/03/2026</v>
      </c>
      <c r="B4243" t="str">
        <f t="shared" si="741"/>
        <v>SAÍDA</v>
      </c>
      <c r="C4243" t="str">
        <f t="shared" si="742"/>
        <v>PIX</v>
      </c>
      <c r="D4243" t="str">
        <f>"35369"</f>
        <v>35369</v>
      </c>
      <c r="E4243" t="str">
        <f t="shared" si="745"/>
        <v>1</v>
      </c>
      <c r="F4243" t="str">
        <f t="shared" si="747"/>
        <v>COM</v>
      </c>
      <c r="G4243" t="str">
        <f>"JOEL ARAGAO SALES (864)"</f>
        <v>JOEL ARAGAO SALES (864)</v>
      </c>
      <c r="H4243" t="str">
        <f>"Serv.Prest. 09/03/2026 a 15/03/2026 - PIX: CPF - CHAVE: 052.353.883-99"</f>
        <v>Serv.Prest. 09/03/2026 a 15/03/2026 - PIX: CPF - CHAVE: 052.353.883-99</v>
      </c>
      <c r="I4243" t="str">
        <f t="shared" si="743"/>
        <v>19/03/2026</v>
      </c>
      <c r="J4243" t="str">
        <f t="shared" si="748"/>
        <v>18/03/2026</v>
      </c>
      <c r="K4243" t="str">
        <f>("19/03/2026")</f>
        <v>19/03/2026</v>
      </c>
      <c r="L4243">
        <v>133</v>
      </c>
      <c r="M4243">
        <v>133</v>
      </c>
      <c r="N4243">
        <v>109</v>
      </c>
      <c r="O4243" t="str">
        <f>"PAGAMENTO DE ENTREGADORES"</f>
        <v>PAGAMENTO DE ENTREGADORES</v>
      </c>
      <c r="P4243">
        <v>133</v>
      </c>
      <c r="S4243" t="str">
        <f>"BANCO C6 (149)"</f>
        <v>BANCO C6 (149)</v>
      </c>
      <c r="T4243">
        <v>31797</v>
      </c>
      <c r="U4243">
        <v>35369</v>
      </c>
      <c r="V4243" t="s">
        <v>37</v>
      </c>
    </row>
    <row r="4244" spans="1:22">
      <c r="A4244" t="str">
        <f t="shared" si="744"/>
        <v>19/03/2026</v>
      </c>
      <c r="B4244" t="str">
        <f t="shared" si="741"/>
        <v>SAÍDA</v>
      </c>
      <c r="C4244" t="str">
        <f t="shared" si="742"/>
        <v>PIX</v>
      </c>
      <c r="D4244" t="str">
        <f>"35369"</f>
        <v>35369</v>
      </c>
      <c r="E4244" t="str">
        <f t="shared" si="745"/>
        <v>1</v>
      </c>
      <c r="F4244" t="str">
        <f t="shared" si="747"/>
        <v>COM</v>
      </c>
      <c r="G4244" t="str">
        <f>"JOEL ARAGAO SALES (864)"</f>
        <v>JOEL ARAGAO SALES (864)</v>
      </c>
      <c r="H4244" t="s">
        <v>1132</v>
      </c>
      <c r="I4244" t="str">
        <f t="shared" si="743"/>
        <v>19/03/2026</v>
      </c>
      <c r="J4244" t="str">
        <f t="shared" si="748"/>
        <v>18/03/2026</v>
      </c>
      <c r="K4244">
        <v>46100</v>
      </c>
      <c r="N4244">
        <v>109</v>
      </c>
      <c r="O4244" t="s">
        <v>27</v>
      </c>
      <c r="Q4244">
        <v>133</v>
      </c>
      <c r="R4244" t="str">
        <f>"DROGARIA MORENO LTDA (10171)"</f>
        <v>DROGARIA MORENO LTDA (10171)</v>
      </c>
      <c r="S4244" t="s">
        <v>37</v>
      </c>
      <c r="T4244">
        <v>31797</v>
      </c>
      <c r="U4244">
        <v>35369</v>
      </c>
      <c r="V4244" t="s">
        <v>37</v>
      </c>
    </row>
    <row r="4245" spans="1:22">
      <c r="A4245" t="str">
        <f t="shared" si="744"/>
        <v>19/03/2026</v>
      </c>
      <c r="B4245" t="str">
        <f t="shared" si="741"/>
        <v>SAÍDA</v>
      </c>
      <c r="C4245" t="str">
        <f t="shared" si="742"/>
        <v>PIX</v>
      </c>
      <c r="D4245" t="str">
        <f>"35370"</f>
        <v>35370</v>
      </c>
      <c r="E4245" t="str">
        <f t="shared" si="745"/>
        <v>1</v>
      </c>
      <c r="F4245" t="str">
        <f t="shared" si="747"/>
        <v>COM</v>
      </c>
      <c r="G4245" t="str">
        <f>"JOSE ADILSON DA SILVA (1168)"</f>
        <v>JOSE ADILSON DA SILVA (1168)</v>
      </c>
      <c r="H4245" t="str">
        <f>"Serv.Prest. 09/03/2026 a 15/03/2026 - PIX: CPF - CHAVE: 142.473.524-66"</f>
        <v>Serv.Prest. 09/03/2026 a 15/03/2026 - PIX: CPF - CHAVE: 142.473.524-66</v>
      </c>
      <c r="I4245" t="str">
        <f t="shared" si="743"/>
        <v>19/03/2026</v>
      </c>
      <c r="J4245" t="str">
        <f t="shared" si="748"/>
        <v>18/03/2026</v>
      </c>
      <c r="K4245" t="str">
        <f>("19/03/2026")</f>
        <v>19/03/2026</v>
      </c>
      <c r="L4245">
        <v>105</v>
      </c>
      <c r="M4245">
        <v>105</v>
      </c>
      <c r="N4245">
        <v>109</v>
      </c>
      <c r="O4245" t="str">
        <f>"PAGAMENTO DE ENTREGADORES"</f>
        <v>PAGAMENTO DE ENTREGADORES</v>
      </c>
      <c r="P4245">
        <v>105</v>
      </c>
      <c r="S4245" t="str">
        <f>"BANCO C6 (149)"</f>
        <v>BANCO C6 (149)</v>
      </c>
      <c r="T4245">
        <v>31798</v>
      </c>
      <c r="U4245">
        <v>35370</v>
      </c>
      <c r="V4245" t="s">
        <v>37</v>
      </c>
    </row>
    <row r="4246" spans="1:22">
      <c r="A4246" t="str">
        <f t="shared" si="744"/>
        <v>19/03/2026</v>
      </c>
      <c r="B4246" t="str">
        <f t="shared" si="741"/>
        <v>SAÍDA</v>
      </c>
      <c r="C4246" t="str">
        <f t="shared" si="742"/>
        <v>PIX</v>
      </c>
      <c r="D4246" t="str">
        <f>"35370"</f>
        <v>35370</v>
      </c>
      <c r="E4246" t="str">
        <f t="shared" si="745"/>
        <v>1</v>
      </c>
      <c r="F4246" t="str">
        <f t="shared" si="747"/>
        <v>COM</v>
      </c>
      <c r="G4246" t="str">
        <f>"JOSE ADILSON DA SILVA (1168)"</f>
        <v>JOSE ADILSON DA SILVA (1168)</v>
      </c>
      <c r="H4246" t="s">
        <v>1133</v>
      </c>
      <c r="I4246" t="str">
        <f t="shared" si="743"/>
        <v>19/03/2026</v>
      </c>
      <c r="J4246" t="str">
        <f t="shared" si="748"/>
        <v>18/03/2026</v>
      </c>
      <c r="K4246">
        <v>46100</v>
      </c>
      <c r="N4246">
        <v>109</v>
      </c>
      <c r="O4246" t="s">
        <v>27</v>
      </c>
      <c r="Q4246">
        <v>105</v>
      </c>
      <c r="R4246" t="str">
        <f>"DROGARIA MORENO LTDA (10171)"</f>
        <v>DROGARIA MORENO LTDA (10171)</v>
      </c>
      <c r="S4246" t="s">
        <v>37</v>
      </c>
      <c r="T4246">
        <v>31798</v>
      </c>
      <c r="U4246">
        <v>35370</v>
      </c>
      <c r="V4246" t="s">
        <v>37</v>
      </c>
    </row>
    <row r="4247" spans="1:22">
      <c r="A4247" t="str">
        <f t="shared" si="744"/>
        <v>19/03/2026</v>
      </c>
      <c r="B4247" t="str">
        <f t="shared" si="741"/>
        <v>SAÍDA</v>
      </c>
      <c r="C4247" t="str">
        <f t="shared" si="742"/>
        <v>PIX</v>
      </c>
      <c r="D4247" t="str">
        <f>"35371"</f>
        <v>35371</v>
      </c>
      <c r="E4247" t="str">
        <f t="shared" si="745"/>
        <v>1</v>
      </c>
      <c r="F4247" t="str">
        <f t="shared" si="747"/>
        <v>COM</v>
      </c>
      <c r="G4247" t="str">
        <f>"PAULO CESAR DE FARIA (865)"</f>
        <v>PAULO CESAR DE FARIA (865)</v>
      </c>
      <c r="H4247" t="str">
        <f>"Serv.Prest. 09/03/2026 a 15/03/2026 - PIX: CELULAR - CHAVE: (11) 99992-0816"</f>
        <v>Serv.Prest. 09/03/2026 a 15/03/2026 - PIX: CELULAR - CHAVE: (11) 99992-0816</v>
      </c>
      <c r="I4247" t="str">
        <f t="shared" si="743"/>
        <v>19/03/2026</v>
      </c>
      <c r="J4247" t="str">
        <f t="shared" si="748"/>
        <v>18/03/2026</v>
      </c>
      <c r="K4247" t="str">
        <f>("19/03/2026")</f>
        <v>19/03/2026</v>
      </c>
      <c r="L4247">
        <v>1106</v>
      </c>
      <c r="M4247">
        <v>1106</v>
      </c>
      <c r="N4247">
        <v>109</v>
      </c>
      <c r="O4247" t="str">
        <f>"PAGAMENTO DE ENTREGADORES"</f>
        <v>PAGAMENTO DE ENTREGADORES</v>
      </c>
      <c r="P4247">
        <v>1106</v>
      </c>
      <c r="S4247" t="str">
        <f>"BANCO C6 (149)"</f>
        <v>BANCO C6 (149)</v>
      </c>
      <c r="T4247">
        <v>31799</v>
      </c>
      <c r="U4247">
        <v>35371</v>
      </c>
      <c r="V4247" t="s">
        <v>37</v>
      </c>
    </row>
    <row r="4248" spans="1:22">
      <c r="A4248" t="str">
        <f t="shared" si="744"/>
        <v>19/03/2026</v>
      </c>
      <c r="B4248" t="str">
        <f t="shared" si="741"/>
        <v>SAÍDA</v>
      </c>
      <c r="C4248" t="str">
        <f t="shared" si="742"/>
        <v>PIX</v>
      </c>
      <c r="D4248" t="str">
        <f>"35371"</f>
        <v>35371</v>
      </c>
      <c r="E4248" t="str">
        <f t="shared" si="745"/>
        <v>1</v>
      </c>
      <c r="F4248" t="str">
        <f t="shared" si="747"/>
        <v>COM</v>
      </c>
      <c r="G4248" t="str">
        <f>"PAULO CESAR DE FARIA (865)"</f>
        <v>PAULO CESAR DE FARIA (865)</v>
      </c>
      <c r="H4248" t="s">
        <v>1134</v>
      </c>
      <c r="I4248" t="str">
        <f t="shared" si="743"/>
        <v>19/03/2026</v>
      </c>
      <c r="J4248" t="str">
        <f t="shared" si="748"/>
        <v>18/03/2026</v>
      </c>
      <c r="K4248">
        <v>46100</v>
      </c>
      <c r="N4248">
        <v>109</v>
      </c>
      <c r="O4248" t="s">
        <v>27</v>
      </c>
      <c r="Q4248">
        <v>1106</v>
      </c>
      <c r="R4248" t="str">
        <f>"DROGARIA MORENO LTDA (10171)"</f>
        <v>DROGARIA MORENO LTDA (10171)</v>
      </c>
      <c r="S4248" t="s">
        <v>37</v>
      </c>
      <c r="T4248">
        <v>31799</v>
      </c>
      <c r="U4248">
        <v>35371</v>
      </c>
      <c r="V4248" t="s">
        <v>37</v>
      </c>
    </row>
    <row r="4249" spans="1:22">
      <c r="A4249" t="str">
        <f t="shared" si="744"/>
        <v>19/03/2026</v>
      </c>
      <c r="B4249" t="str">
        <f t="shared" si="741"/>
        <v>SAÍDA</v>
      </c>
      <c r="C4249" t="str">
        <f t="shared" si="742"/>
        <v>PIX</v>
      </c>
      <c r="D4249" t="str">
        <f>"35372"</f>
        <v>35372</v>
      </c>
      <c r="E4249" t="str">
        <f t="shared" si="745"/>
        <v>1</v>
      </c>
      <c r="F4249" t="str">
        <f t="shared" si="747"/>
        <v>COM</v>
      </c>
      <c r="G4249" t="str">
        <f>"VALDIR PEREIRA PINHEIRO (1146)"</f>
        <v>VALDIR PEREIRA PINHEIRO (1146)</v>
      </c>
      <c r="H4249" t="str">
        <f>"Serv.Prest. 09/03/2026 a 15/03/2026 - PIX: CELULAR - CHAVE: (11) 96180-2717"</f>
        <v>Serv.Prest. 09/03/2026 a 15/03/2026 - PIX: CELULAR - CHAVE: (11) 96180-2717</v>
      </c>
      <c r="I4249" t="str">
        <f t="shared" si="743"/>
        <v>19/03/2026</v>
      </c>
      <c r="J4249" t="str">
        <f t="shared" si="748"/>
        <v>18/03/2026</v>
      </c>
      <c r="K4249" t="str">
        <f>("19/03/2026")</f>
        <v>19/03/2026</v>
      </c>
      <c r="L4249">
        <v>147</v>
      </c>
      <c r="M4249">
        <v>147</v>
      </c>
      <c r="N4249">
        <v>109</v>
      </c>
      <c r="O4249" t="str">
        <f>"PAGAMENTO DE ENTREGADORES"</f>
        <v>PAGAMENTO DE ENTREGADORES</v>
      </c>
      <c r="P4249">
        <v>147</v>
      </c>
      <c r="S4249" t="str">
        <f>"BANCO C6 (149)"</f>
        <v>BANCO C6 (149)</v>
      </c>
      <c r="T4249">
        <v>31800</v>
      </c>
      <c r="U4249">
        <v>35372</v>
      </c>
      <c r="V4249" t="s">
        <v>37</v>
      </c>
    </row>
    <row r="4250" spans="1:22">
      <c r="A4250" t="str">
        <f t="shared" si="744"/>
        <v>19/03/2026</v>
      </c>
      <c r="B4250" t="str">
        <f t="shared" si="741"/>
        <v>SAÍDA</v>
      </c>
      <c r="C4250" t="str">
        <f t="shared" si="742"/>
        <v>PIX</v>
      </c>
      <c r="D4250" t="str">
        <f>"35372"</f>
        <v>35372</v>
      </c>
      <c r="E4250" t="str">
        <f t="shared" si="745"/>
        <v>1</v>
      </c>
      <c r="F4250" t="str">
        <f t="shared" si="747"/>
        <v>COM</v>
      </c>
      <c r="G4250" t="str">
        <f>"VALDIR PEREIRA PINHEIRO (1146)"</f>
        <v>VALDIR PEREIRA PINHEIRO (1146)</v>
      </c>
      <c r="H4250" t="s">
        <v>1135</v>
      </c>
      <c r="I4250" t="str">
        <f t="shared" si="743"/>
        <v>19/03/2026</v>
      </c>
      <c r="J4250" t="str">
        <f t="shared" si="748"/>
        <v>18/03/2026</v>
      </c>
      <c r="K4250">
        <v>46100</v>
      </c>
      <c r="N4250">
        <v>109</v>
      </c>
      <c r="O4250" t="s">
        <v>27</v>
      </c>
      <c r="Q4250">
        <v>147</v>
      </c>
      <c r="R4250" t="str">
        <f>"DROGARIA MORENO LTDA (10171)"</f>
        <v>DROGARIA MORENO LTDA (10171)</v>
      </c>
      <c r="S4250" t="s">
        <v>37</v>
      </c>
      <c r="T4250">
        <v>31800</v>
      </c>
      <c r="U4250">
        <v>35372</v>
      </c>
      <c r="V4250" t="s">
        <v>37</v>
      </c>
    </row>
    <row r="4251" spans="1:22">
      <c r="A4251" t="str">
        <f t="shared" si="744"/>
        <v>19/03/2026</v>
      </c>
      <c r="B4251" t="str">
        <f t="shared" si="741"/>
        <v>SAÍDA</v>
      </c>
      <c r="C4251" t="str">
        <f t="shared" si="742"/>
        <v>PIX</v>
      </c>
      <c r="D4251" t="str">
        <f t="shared" ref="D4251:D4256" si="749">"19032026"</f>
        <v>19032026</v>
      </c>
      <c r="E4251" t="str">
        <f>""</f>
        <v/>
      </c>
      <c r="F4251" t="str">
        <f t="shared" si="747"/>
        <v>COM</v>
      </c>
      <c r="G4251" t="str">
        <f>"HECTOR LUIS YANEZ QUEZADA (718)"</f>
        <v>HECTOR LUIS YANEZ QUEZADA (718)</v>
      </c>
      <c r="H4251" t="str">
        <f>"DEVOLUÇÃO DE 11 COTAS "</f>
        <v xml:space="preserve">DEVOLUÇÃO DE 11 COTAS </v>
      </c>
      <c r="I4251" t="str">
        <f t="shared" si="743"/>
        <v>19/03/2026</v>
      </c>
      <c r="J4251" t="str">
        <f t="shared" si="748"/>
        <v>18/03/2026</v>
      </c>
      <c r="K4251" t="str">
        <f>("19/03/2026")</f>
        <v>19/03/2026</v>
      </c>
      <c r="L4251">
        <v>220</v>
      </c>
      <c r="M4251">
        <v>220</v>
      </c>
      <c r="N4251">
        <v>130</v>
      </c>
      <c r="O4251" t="str">
        <f>"DEVOLUÇÃO COTA COOPERATIVA"</f>
        <v>DEVOLUÇÃO COTA COOPERATIVA</v>
      </c>
      <c r="P4251">
        <v>220</v>
      </c>
      <c r="S4251" t="str">
        <f>"BANCO C6 (149)"</f>
        <v>BANCO C6 (149)</v>
      </c>
      <c r="T4251">
        <v>31801</v>
      </c>
      <c r="U4251">
        <v>35375</v>
      </c>
      <c r="V4251" t="s">
        <v>37</v>
      </c>
    </row>
    <row r="4252" spans="1:22">
      <c r="A4252" t="str">
        <f t="shared" si="744"/>
        <v>19/03/2026</v>
      </c>
      <c r="B4252" t="str">
        <f t="shared" si="741"/>
        <v>SAÍDA</v>
      </c>
      <c r="C4252" t="str">
        <f t="shared" si="742"/>
        <v>PIX</v>
      </c>
      <c r="D4252" t="str">
        <f t="shared" si="749"/>
        <v>19032026</v>
      </c>
      <c r="E4252" t="str">
        <f>""</f>
        <v/>
      </c>
      <c r="F4252" t="str">
        <f t="shared" si="747"/>
        <v>COM</v>
      </c>
      <c r="G4252" t="str">
        <f>"HECTOR LUIS YANEZ QUEZADA (718)"</f>
        <v>HECTOR LUIS YANEZ QUEZADA (718)</v>
      </c>
      <c r="H4252" t="s">
        <v>1136</v>
      </c>
      <c r="I4252" t="str">
        <f t="shared" si="743"/>
        <v>19/03/2026</v>
      </c>
      <c r="J4252" t="str">
        <f t="shared" si="748"/>
        <v>18/03/2026</v>
      </c>
      <c r="K4252">
        <v>46100</v>
      </c>
      <c r="N4252">
        <v>130</v>
      </c>
      <c r="O4252" t="s">
        <v>416</v>
      </c>
      <c r="Q4252">
        <v>220</v>
      </c>
      <c r="R4252" t="str">
        <f>"HECTOR LUIS YANEZ QUEZADA (718)"</f>
        <v>HECTOR LUIS YANEZ QUEZADA (718)</v>
      </c>
      <c r="S4252" t="s">
        <v>37</v>
      </c>
      <c r="T4252">
        <v>31801</v>
      </c>
      <c r="U4252">
        <v>35375</v>
      </c>
      <c r="V4252" t="s">
        <v>37</v>
      </c>
    </row>
    <row r="4253" spans="1:22">
      <c r="A4253" t="str">
        <f t="shared" si="744"/>
        <v>19/03/2026</v>
      </c>
      <c r="B4253" t="str">
        <f t="shared" si="741"/>
        <v>SAÍDA</v>
      </c>
      <c r="C4253" t="str">
        <f t="shared" si="742"/>
        <v>PIX</v>
      </c>
      <c r="D4253" t="str">
        <f t="shared" si="749"/>
        <v>19032026</v>
      </c>
      <c r="E4253" t="str">
        <f>""</f>
        <v/>
      </c>
      <c r="F4253" t="str">
        <f t="shared" si="747"/>
        <v>COM</v>
      </c>
      <c r="G4253" t="str">
        <f>"JHON CARLOS DOS SANTOS LIMA (995)"</f>
        <v>JHON CARLOS DOS SANTOS LIMA (995)</v>
      </c>
      <c r="H4253" t="str">
        <f>"DEVOLUÇÃO INTEGRAL DAS 4 COTAS PAGAS"</f>
        <v>DEVOLUÇÃO INTEGRAL DAS 4 COTAS PAGAS</v>
      </c>
      <c r="I4253" t="str">
        <f t="shared" si="743"/>
        <v>19/03/2026</v>
      </c>
      <c r="J4253" t="str">
        <f t="shared" si="748"/>
        <v>18/03/2026</v>
      </c>
      <c r="K4253" t="str">
        <f>("19/03/2026")</f>
        <v>19/03/2026</v>
      </c>
      <c r="L4253">
        <v>80</v>
      </c>
      <c r="M4253">
        <v>80</v>
      </c>
      <c r="N4253">
        <v>130</v>
      </c>
      <c r="O4253" t="str">
        <f>"DEVOLUÇÃO COTA COOPERATIVA"</f>
        <v>DEVOLUÇÃO COTA COOPERATIVA</v>
      </c>
      <c r="P4253">
        <v>80</v>
      </c>
      <c r="S4253" t="str">
        <f>"BANCO C6 (149)"</f>
        <v>BANCO C6 (149)</v>
      </c>
      <c r="T4253">
        <v>31802</v>
      </c>
      <c r="U4253">
        <v>35376</v>
      </c>
      <c r="V4253" t="s">
        <v>37</v>
      </c>
    </row>
    <row r="4254" spans="1:22">
      <c r="A4254" t="str">
        <f t="shared" si="744"/>
        <v>19/03/2026</v>
      </c>
      <c r="B4254" t="str">
        <f t="shared" si="741"/>
        <v>SAÍDA</v>
      </c>
      <c r="C4254" t="str">
        <f t="shared" si="742"/>
        <v>PIX</v>
      </c>
      <c r="D4254" t="str">
        <f t="shared" si="749"/>
        <v>19032026</v>
      </c>
      <c r="E4254" t="str">
        <f>""</f>
        <v/>
      </c>
      <c r="F4254" t="str">
        <f t="shared" si="747"/>
        <v>COM</v>
      </c>
      <c r="G4254" t="str">
        <f>"JHON CARLOS DOS SANTOS LIMA (995)"</f>
        <v>JHON CARLOS DOS SANTOS LIMA (995)</v>
      </c>
      <c r="H4254" t="s">
        <v>1137</v>
      </c>
      <c r="I4254" t="str">
        <f t="shared" si="743"/>
        <v>19/03/2026</v>
      </c>
      <c r="J4254" t="str">
        <f t="shared" si="748"/>
        <v>18/03/2026</v>
      </c>
      <c r="K4254">
        <v>46100</v>
      </c>
      <c r="N4254">
        <v>130</v>
      </c>
      <c r="O4254" t="s">
        <v>416</v>
      </c>
      <c r="Q4254">
        <v>80</v>
      </c>
      <c r="R4254" t="str">
        <f>"JHON CARLOS DOS SANTOS LIMA (995)"</f>
        <v>JHON CARLOS DOS SANTOS LIMA (995)</v>
      </c>
      <c r="S4254" t="s">
        <v>37</v>
      </c>
      <c r="T4254">
        <v>31802</v>
      </c>
      <c r="U4254">
        <v>35376</v>
      </c>
      <c r="V4254" t="s">
        <v>37</v>
      </c>
    </row>
    <row r="4255" spans="1:22">
      <c r="A4255" t="str">
        <f t="shared" si="744"/>
        <v>19/03/2026</v>
      </c>
      <c r="B4255" t="str">
        <f t="shared" si="741"/>
        <v>SAÍDA</v>
      </c>
      <c r="C4255" t="str">
        <f t="shared" si="742"/>
        <v>PIX</v>
      </c>
      <c r="D4255" t="str">
        <f t="shared" si="749"/>
        <v>19032026</v>
      </c>
      <c r="E4255" t="str">
        <f>""</f>
        <v/>
      </c>
      <c r="F4255" t="str">
        <f t="shared" si="747"/>
        <v>COM</v>
      </c>
      <c r="G4255" t="str">
        <f>"WILIANA RODRIGUES E RODRIGUES (398)"</f>
        <v>WILIANA RODRIGUES E RODRIGUES (398)</v>
      </c>
      <c r="H4255" t="str">
        <f>"Serv.Prest. 09/03/2026 a 15/03/2026 - PIX: CPF - CHAVE: 016.203.336-27"</f>
        <v>Serv.Prest. 09/03/2026 a 15/03/2026 - PIX: CPF - CHAVE: 016.203.336-27</v>
      </c>
      <c r="I4255" t="str">
        <f t="shared" si="743"/>
        <v>19/03/2026</v>
      </c>
      <c r="J4255" t="str">
        <f t="shared" si="748"/>
        <v>18/03/2026</v>
      </c>
      <c r="K4255" t="str">
        <f>("19/03/2026")</f>
        <v>19/03/2026</v>
      </c>
      <c r="L4255">
        <v>1200</v>
      </c>
      <c r="M4255">
        <v>1200</v>
      </c>
      <c r="N4255">
        <v>109</v>
      </c>
      <c r="O4255" t="str">
        <f>"PAGAMENTO DE ENTREGADORES"</f>
        <v>PAGAMENTO DE ENTREGADORES</v>
      </c>
      <c r="P4255">
        <v>1200</v>
      </c>
      <c r="S4255" t="str">
        <f>"BANCO C6 (149)"</f>
        <v>BANCO C6 (149)</v>
      </c>
      <c r="T4255">
        <v>31803</v>
      </c>
      <c r="U4255">
        <v>35487</v>
      </c>
      <c r="V4255" t="s">
        <v>37</v>
      </c>
    </row>
    <row r="4256" spans="1:22">
      <c r="A4256" t="str">
        <f t="shared" si="744"/>
        <v>19/03/2026</v>
      </c>
      <c r="B4256" t="str">
        <f t="shared" si="741"/>
        <v>SAÍDA</v>
      </c>
      <c r="C4256" t="str">
        <f t="shared" si="742"/>
        <v>PIX</v>
      </c>
      <c r="D4256" t="str">
        <f t="shared" si="749"/>
        <v>19032026</v>
      </c>
      <c r="E4256" t="str">
        <f>""</f>
        <v/>
      </c>
      <c r="F4256" t="str">
        <f t="shared" si="747"/>
        <v>COM</v>
      </c>
      <c r="G4256" t="str">
        <f>"WILIANA RODRIGUES E RODRIGUES (398)"</f>
        <v>WILIANA RODRIGUES E RODRIGUES (398)</v>
      </c>
      <c r="H4256" t="s">
        <v>1097</v>
      </c>
      <c r="I4256" t="str">
        <f t="shared" si="743"/>
        <v>19/03/2026</v>
      </c>
      <c r="J4256" t="str">
        <f t="shared" si="748"/>
        <v>18/03/2026</v>
      </c>
      <c r="K4256">
        <v>46100</v>
      </c>
      <c r="N4256">
        <v>109</v>
      </c>
      <c r="O4256" t="s">
        <v>27</v>
      </c>
      <c r="Q4256">
        <v>1200</v>
      </c>
      <c r="R4256" t="str">
        <f>"PAGMENOS - LJ 657 (10136)"</f>
        <v>PAGMENOS - LJ 657 (10136)</v>
      </c>
      <c r="S4256" t="s">
        <v>37</v>
      </c>
      <c r="T4256">
        <v>31803</v>
      </c>
      <c r="U4256">
        <v>35487</v>
      </c>
      <c r="V4256" t="s">
        <v>37</v>
      </c>
    </row>
    <row r="4257" spans="1:22">
      <c r="A4257" t="str">
        <f t="shared" si="744"/>
        <v>19/03/2026</v>
      </c>
      <c r="B4257" t="str">
        <f t="shared" si="741"/>
        <v>SAÍDA</v>
      </c>
      <c r="C4257" t="str">
        <f t="shared" si="742"/>
        <v>PIX</v>
      </c>
      <c r="D4257" t="str">
        <f>"35255"</f>
        <v>35255</v>
      </c>
      <c r="E4257" t="str">
        <f>"2"</f>
        <v>2</v>
      </c>
      <c r="F4257" t="str">
        <f t="shared" si="747"/>
        <v>COM</v>
      </c>
      <c r="G4257" t="str">
        <f>"LUCAS BARBOSA RIBEIRO (1348)"</f>
        <v>LUCAS BARBOSA RIBEIRO (1348)</v>
      </c>
      <c r="H4257" t="str">
        <f>"Serv.Prest. 02/03/2026 a 08/03/2026 - PIX: CPF - CHAVE: 022.635.946-80"</f>
        <v>Serv.Prest. 02/03/2026 a 08/03/2026 - PIX: CPF - CHAVE: 022.635.946-80</v>
      </c>
      <c r="I4257" t="str">
        <f t="shared" si="743"/>
        <v>19/03/2026</v>
      </c>
      <c r="J4257" t="str">
        <f>("17/03/2026")</f>
        <v>17/03/2026</v>
      </c>
      <c r="K4257" t="str">
        <f>("19/03/2026")</f>
        <v>19/03/2026</v>
      </c>
      <c r="L4257">
        <v>640.70000000000005</v>
      </c>
      <c r="M4257">
        <v>640.70000000000005</v>
      </c>
      <c r="N4257">
        <v>109</v>
      </c>
      <c r="O4257" t="str">
        <f>"PAGAMENTO DE ENTREGADORES"</f>
        <v>PAGAMENTO DE ENTREGADORES</v>
      </c>
      <c r="P4257">
        <v>640.70000000000005</v>
      </c>
      <c r="S4257" t="str">
        <f>"BANCO C6 (149)"</f>
        <v>BANCO C6 (149)</v>
      </c>
      <c r="T4257">
        <v>31804</v>
      </c>
      <c r="U4257">
        <v>35488</v>
      </c>
      <c r="V4257" t="s">
        <v>37</v>
      </c>
    </row>
    <row r="4258" spans="1:22">
      <c r="A4258" t="str">
        <f t="shared" si="744"/>
        <v>19/03/2026</v>
      </c>
      <c r="B4258" t="str">
        <f t="shared" si="741"/>
        <v>SAÍDA</v>
      </c>
      <c r="C4258" t="str">
        <f t="shared" si="742"/>
        <v>PIX</v>
      </c>
      <c r="D4258" t="str">
        <f>"35255"</f>
        <v>35255</v>
      </c>
      <c r="E4258" t="str">
        <f>"2"</f>
        <v>2</v>
      </c>
      <c r="F4258" t="str">
        <f t="shared" si="747"/>
        <v>COM</v>
      </c>
      <c r="G4258" t="str">
        <f>"LUCAS BARBOSA RIBEIRO (1348)"</f>
        <v>LUCAS BARBOSA RIBEIRO (1348)</v>
      </c>
      <c r="H4258" t="s">
        <v>991</v>
      </c>
      <c r="I4258" t="str">
        <f t="shared" si="743"/>
        <v>19/03/2026</v>
      </c>
      <c r="J4258" t="str">
        <f>("17/03/2026")</f>
        <v>17/03/2026</v>
      </c>
      <c r="K4258">
        <v>46100</v>
      </c>
      <c r="N4258">
        <v>109</v>
      </c>
      <c r="O4258" t="s">
        <v>27</v>
      </c>
      <c r="Q4258">
        <v>640.70000000000005</v>
      </c>
      <c r="R4258" t="str">
        <f>"FARMÁCIA INDIANA LJ 100 (10042)"</f>
        <v>FARMÁCIA INDIANA LJ 100 (10042)</v>
      </c>
      <c r="S4258" t="s">
        <v>37</v>
      </c>
      <c r="T4258">
        <v>31804</v>
      </c>
      <c r="U4258">
        <v>35488</v>
      </c>
      <c r="V4258" t="s">
        <v>37</v>
      </c>
    </row>
    <row r="4259" spans="1:22">
      <c r="A4259" t="str">
        <f t="shared" si="744"/>
        <v>19/03/2026</v>
      </c>
      <c r="B4259" t="str">
        <f t="shared" si="741"/>
        <v>SAÍDA</v>
      </c>
      <c r="C4259" t="str">
        <f t="shared" si="742"/>
        <v>PIX</v>
      </c>
      <c r="D4259" t="str">
        <f>"35255"</f>
        <v>35255</v>
      </c>
      <c r="E4259" t="str">
        <f>"3"</f>
        <v>3</v>
      </c>
      <c r="F4259" t="str">
        <f t="shared" si="747"/>
        <v>COM</v>
      </c>
      <c r="G4259" t="str">
        <f>"LUCAS BARBOSA RIBEIRO (1348)"</f>
        <v>LUCAS BARBOSA RIBEIRO (1348)</v>
      </c>
      <c r="H4259" t="str">
        <f>"Serv.Prest. 24/02/2026 a 01/03/2026 - PIX: CPF - CHAVE: 022.635.946-80"</f>
        <v>Serv.Prest. 24/02/2026 a 01/03/2026 - PIX: CPF - CHAVE: 022.635.946-80</v>
      </c>
      <c r="I4259" t="str">
        <f t="shared" si="743"/>
        <v>19/03/2026</v>
      </c>
      <c r="J4259" t="str">
        <f>("17/03/2026")</f>
        <v>17/03/2026</v>
      </c>
      <c r="K4259" t="str">
        <f>("19/03/2026")</f>
        <v>19/03/2026</v>
      </c>
      <c r="L4259">
        <v>600</v>
      </c>
      <c r="M4259">
        <v>600</v>
      </c>
      <c r="N4259">
        <v>109</v>
      </c>
      <c r="O4259" t="str">
        <f>"PAGAMENTO DE ENTREGADORES"</f>
        <v>PAGAMENTO DE ENTREGADORES</v>
      </c>
      <c r="P4259">
        <v>600</v>
      </c>
      <c r="S4259" t="str">
        <f>"BANCO C6 (149)"</f>
        <v>BANCO C6 (149)</v>
      </c>
      <c r="T4259">
        <v>31805</v>
      </c>
      <c r="U4259">
        <v>35489</v>
      </c>
      <c r="V4259" t="s">
        <v>37</v>
      </c>
    </row>
    <row r="4260" spans="1:22">
      <c r="A4260" t="str">
        <f t="shared" si="744"/>
        <v>19/03/2026</v>
      </c>
      <c r="B4260" t="str">
        <f t="shared" si="741"/>
        <v>SAÍDA</v>
      </c>
      <c r="C4260" t="str">
        <f t="shared" si="742"/>
        <v>PIX</v>
      </c>
      <c r="D4260" t="str">
        <f>"35255"</f>
        <v>35255</v>
      </c>
      <c r="E4260" t="str">
        <f>"3"</f>
        <v>3</v>
      </c>
      <c r="F4260" t="str">
        <f t="shared" si="747"/>
        <v>COM</v>
      </c>
      <c r="G4260" t="str">
        <f>"LUCAS BARBOSA RIBEIRO (1348)"</f>
        <v>LUCAS BARBOSA RIBEIRO (1348)</v>
      </c>
      <c r="H4260" t="s">
        <v>1138</v>
      </c>
      <c r="I4260" t="str">
        <f t="shared" si="743"/>
        <v>19/03/2026</v>
      </c>
      <c r="J4260" t="str">
        <f>("17/03/2026")</f>
        <v>17/03/2026</v>
      </c>
      <c r="K4260">
        <v>46100</v>
      </c>
      <c r="N4260">
        <v>109</v>
      </c>
      <c r="O4260" t="s">
        <v>27</v>
      </c>
      <c r="Q4260">
        <v>600</v>
      </c>
      <c r="R4260" t="str">
        <f>"FARMÁCIA INDIANA LJ 100 (10042)"</f>
        <v>FARMÁCIA INDIANA LJ 100 (10042)</v>
      </c>
      <c r="S4260" t="s">
        <v>37</v>
      </c>
      <c r="T4260">
        <v>31805</v>
      </c>
      <c r="U4260">
        <v>35489</v>
      </c>
      <c r="V4260" t="s">
        <v>37</v>
      </c>
    </row>
    <row r="4261" spans="1:22">
      <c r="A4261" t="str">
        <f t="shared" si="744"/>
        <v>19/03/2026</v>
      </c>
      <c r="B4261" t="str">
        <f t="shared" si="741"/>
        <v>SAÍDA</v>
      </c>
      <c r="C4261" t="str">
        <f t="shared" si="742"/>
        <v>PIX</v>
      </c>
      <c r="D4261" t="str">
        <f>"34559"</f>
        <v>34559</v>
      </c>
      <c r="E4261" t="str">
        <f>"2"</f>
        <v>2</v>
      </c>
      <c r="F4261" t="str">
        <f t="shared" si="747"/>
        <v>COM</v>
      </c>
      <c r="G4261" t="str">
        <f>"DANILO VIEIRA DOS REIS (1129)"</f>
        <v>DANILO VIEIRA DOS REIS (1129)</v>
      </c>
      <c r="H4261" t="str">
        <f>"Serv.Prest. 23/02/2026 a 01/03/2026 - PIX: CPF - CHAVE: 162.540.206-61"</f>
        <v>Serv.Prest. 23/02/2026 a 01/03/2026 - PIX: CPF - CHAVE: 162.540.206-61</v>
      </c>
      <c r="I4261" t="str">
        <f t="shared" si="743"/>
        <v>19/03/2026</v>
      </c>
      <c r="J4261" t="str">
        <f>("10/03/2026")</f>
        <v>10/03/2026</v>
      </c>
      <c r="K4261" t="str">
        <f>("19/03/2026")</f>
        <v>19/03/2026</v>
      </c>
      <c r="L4261">
        <v>600</v>
      </c>
      <c r="M4261">
        <v>600</v>
      </c>
      <c r="N4261">
        <v>109</v>
      </c>
      <c r="O4261" t="str">
        <f>"PAGAMENTO DE ENTREGADORES"</f>
        <v>PAGAMENTO DE ENTREGADORES</v>
      </c>
      <c r="P4261">
        <v>600</v>
      </c>
      <c r="S4261" t="str">
        <f>"BANCO C6 (149)"</f>
        <v>BANCO C6 (149)</v>
      </c>
      <c r="T4261">
        <v>31806</v>
      </c>
      <c r="U4261">
        <v>35490</v>
      </c>
      <c r="V4261" t="s">
        <v>37</v>
      </c>
    </row>
    <row r="4262" spans="1:22">
      <c r="A4262" t="str">
        <f t="shared" si="744"/>
        <v>19/03/2026</v>
      </c>
      <c r="B4262" t="str">
        <f t="shared" si="741"/>
        <v>SAÍDA</v>
      </c>
      <c r="C4262" t="str">
        <f t="shared" si="742"/>
        <v>PIX</v>
      </c>
      <c r="D4262" t="str">
        <f>"34559"</f>
        <v>34559</v>
      </c>
      <c r="E4262" t="str">
        <f>"2"</f>
        <v>2</v>
      </c>
      <c r="F4262" t="str">
        <f t="shared" si="747"/>
        <v>COM</v>
      </c>
      <c r="G4262" t="str">
        <f>"DANILO VIEIRA DOS REIS (1129)"</f>
        <v>DANILO VIEIRA DOS REIS (1129)</v>
      </c>
      <c r="H4262" t="s">
        <v>1139</v>
      </c>
      <c r="I4262" t="str">
        <f t="shared" si="743"/>
        <v>19/03/2026</v>
      </c>
      <c r="J4262" t="str">
        <f>("10/03/2026")</f>
        <v>10/03/2026</v>
      </c>
      <c r="K4262">
        <v>46100</v>
      </c>
      <c r="N4262">
        <v>109</v>
      </c>
      <c r="O4262" t="s">
        <v>27</v>
      </c>
      <c r="Q4262">
        <v>600</v>
      </c>
      <c r="R4262" t="str">
        <f>"FARMÁCIA INDIANA LJ 110 (10048)"</f>
        <v>FARMÁCIA INDIANA LJ 110 (10048)</v>
      </c>
      <c r="S4262" t="s">
        <v>37</v>
      </c>
      <c r="T4262">
        <v>31806</v>
      </c>
      <c r="U4262">
        <v>35490</v>
      </c>
      <c r="V4262" t="s">
        <v>37</v>
      </c>
    </row>
    <row r="4263" spans="1:22">
      <c r="A4263" t="str">
        <f t="shared" si="744"/>
        <v>19/03/2026</v>
      </c>
      <c r="B4263" t="str">
        <f t="shared" si="741"/>
        <v>SAÍDA</v>
      </c>
      <c r="C4263" t="str">
        <f t="shared" si="742"/>
        <v>PIX</v>
      </c>
      <c r="D4263" t="str">
        <f>"19032026"</f>
        <v>19032026</v>
      </c>
      <c r="E4263" t="str">
        <f>""</f>
        <v/>
      </c>
      <c r="F4263" t="str">
        <f t="shared" si="747"/>
        <v>COM</v>
      </c>
      <c r="G4263" t="str">
        <f>"ELIANGELA GOMES DA SILVEIRA (300)"</f>
        <v>ELIANGELA GOMES DA SILVEIRA (300)</v>
      </c>
      <c r="H4263" t="str">
        <f>"Serv.Prest. 02/03/2026 a 08/03/2026 - PIX: CPF - CHAVE: 188.964.706-33"</f>
        <v>Serv.Prest. 02/03/2026 a 08/03/2026 - PIX: CPF - CHAVE: 188.964.706-33</v>
      </c>
      <c r="I4263" t="str">
        <f t="shared" si="743"/>
        <v>19/03/2026</v>
      </c>
      <c r="J4263" t="str">
        <f>("19/03/2026")</f>
        <v>19/03/2026</v>
      </c>
      <c r="K4263" t="str">
        <f>("19/03/2026")</f>
        <v>19/03/2026</v>
      </c>
      <c r="L4263">
        <v>700</v>
      </c>
      <c r="M4263">
        <v>700</v>
      </c>
      <c r="N4263">
        <v>109</v>
      </c>
      <c r="O4263" t="str">
        <f>"PAGAMENTO DE ENTREGADORES"</f>
        <v>PAGAMENTO DE ENTREGADORES</v>
      </c>
      <c r="P4263">
        <v>700</v>
      </c>
      <c r="S4263" t="str">
        <f>"BANCO C6 (149)"</f>
        <v>BANCO C6 (149)</v>
      </c>
      <c r="T4263">
        <v>31807</v>
      </c>
      <c r="U4263">
        <v>35775</v>
      </c>
      <c r="V4263" t="s">
        <v>37</v>
      </c>
    </row>
    <row r="4264" spans="1:22">
      <c r="A4264" t="str">
        <f t="shared" si="744"/>
        <v>19/03/2026</v>
      </c>
      <c r="B4264" t="str">
        <f t="shared" si="741"/>
        <v>SAÍDA</v>
      </c>
      <c r="C4264" t="str">
        <f t="shared" si="742"/>
        <v>PIX</v>
      </c>
      <c r="D4264" t="str">
        <f>"19032026"</f>
        <v>19032026</v>
      </c>
      <c r="E4264" t="str">
        <f>""</f>
        <v/>
      </c>
      <c r="F4264" t="str">
        <f t="shared" si="747"/>
        <v>COM</v>
      </c>
      <c r="G4264" t="str">
        <f>"ELIANGELA GOMES DA SILVEIRA (300)"</f>
        <v>ELIANGELA GOMES DA SILVEIRA (300)</v>
      </c>
      <c r="H4264" t="s">
        <v>1140</v>
      </c>
      <c r="I4264" t="str">
        <f t="shared" si="743"/>
        <v>19/03/2026</v>
      </c>
      <c r="J4264" t="str">
        <f>("19/03/2026")</f>
        <v>19/03/2026</v>
      </c>
      <c r="K4264">
        <v>46100</v>
      </c>
      <c r="N4264">
        <v>109</v>
      </c>
      <c r="O4264" t="s">
        <v>27</v>
      </c>
      <c r="Q4264">
        <v>700</v>
      </c>
      <c r="R4264" t="str">
        <f>"ELIANGELA GOMES DA SILVEIRA (300)"</f>
        <v>ELIANGELA GOMES DA SILVEIRA (300)</v>
      </c>
      <c r="S4264" t="s">
        <v>37</v>
      </c>
      <c r="T4264">
        <v>31807</v>
      </c>
      <c r="U4264">
        <v>35775</v>
      </c>
      <c r="V4264" t="s">
        <v>37</v>
      </c>
    </row>
    <row r="4265" spans="1:22">
      <c r="A4265" t="str">
        <f t="shared" si="744"/>
        <v>19/03/2026</v>
      </c>
      <c r="B4265" t="str">
        <f t="shared" si="741"/>
        <v>SAÍDA</v>
      </c>
      <c r="C4265" t="str">
        <f t="shared" si="742"/>
        <v>PIX</v>
      </c>
      <c r="D4265" t="str">
        <f>"26032026"</f>
        <v>26032026</v>
      </c>
      <c r="E4265" t="str">
        <f>""</f>
        <v/>
      </c>
      <c r="F4265" t="str">
        <f t="shared" si="747"/>
        <v>COM</v>
      </c>
      <c r="G4265" t="str">
        <f>"JO??O VENAN??O DA SILVA J??NIOR (1376)"</f>
        <v>JO??O VENAN??O DA SILVA J??NIOR (1376)</v>
      </c>
      <c r="H4265" t="str">
        <f>"DIARIA 19032026"</f>
        <v>DIARIA 19032026</v>
      </c>
      <c r="I4265" t="str">
        <f>("26/03/2026")</f>
        <v>26/03/2026</v>
      </c>
      <c r="J4265" t="str">
        <f>("19/03/2026")</f>
        <v>19/03/2026</v>
      </c>
      <c r="K4265" t="str">
        <f>("19/03/2026")</f>
        <v>19/03/2026</v>
      </c>
      <c r="L4265">
        <v>140</v>
      </c>
      <c r="M4265">
        <v>140</v>
      </c>
      <c r="N4265">
        <v>134</v>
      </c>
      <c r="O4265" t="str">
        <f>"DIARIA DE MOTOBOY"</f>
        <v>DIARIA DE MOTOBOY</v>
      </c>
      <c r="P4265">
        <v>140</v>
      </c>
      <c r="S4265" t="str">
        <f>"BANCO C6 (149)"</f>
        <v>BANCO C6 (149)</v>
      </c>
      <c r="T4265">
        <v>31892</v>
      </c>
      <c r="U4265">
        <v>36310</v>
      </c>
      <c r="V4265" t="s">
        <v>37</v>
      </c>
    </row>
    <row r="4266" spans="1:22">
      <c r="A4266" t="str">
        <f t="shared" si="744"/>
        <v>19/03/2026</v>
      </c>
      <c r="B4266" t="str">
        <f t="shared" si="741"/>
        <v>SAÍDA</v>
      </c>
      <c r="C4266" t="str">
        <f t="shared" si="742"/>
        <v>PIX</v>
      </c>
      <c r="D4266" t="str">
        <f>"26032026"</f>
        <v>26032026</v>
      </c>
      <c r="E4266" t="str">
        <f>""</f>
        <v/>
      </c>
      <c r="F4266" t="str">
        <f t="shared" si="747"/>
        <v>COM</v>
      </c>
      <c r="G4266" t="str">
        <f>"JO??O VENAN??O DA SILVA J??NIOR (1376)"</f>
        <v>JO??O VENAN??O DA SILVA J??NIOR (1376)</v>
      </c>
      <c r="H4266" t="s">
        <v>1141</v>
      </c>
      <c r="I4266" t="str">
        <f>("26/03/2026")</f>
        <v>26/03/2026</v>
      </c>
      <c r="J4266" t="str">
        <f>("19/03/2026")</f>
        <v>19/03/2026</v>
      </c>
      <c r="K4266">
        <v>46100</v>
      </c>
      <c r="N4266">
        <v>134</v>
      </c>
      <c r="O4266" t="s">
        <v>30</v>
      </c>
      <c r="Q4266">
        <v>140</v>
      </c>
      <c r="R4266" t="str">
        <f>"BRASIL FARMA (10173)"</f>
        <v>BRASIL FARMA (10173)</v>
      </c>
      <c r="S4266" t="s">
        <v>37</v>
      </c>
      <c r="T4266">
        <v>31892</v>
      </c>
      <c r="U4266">
        <v>36310</v>
      </c>
      <c r="V4266" t="s">
        <v>37</v>
      </c>
    </row>
    <row r="4267" spans="1:22">
      <c r="A4267" t="str">
        <f t="shared" si="744"/>
        <v>19/03/2026</v>
      </c>
      <c r="B4267" t="str">
        <f t="shared" si="741"/>
        <v>SAÍDA</v>
      </c>
      <c r="C4267" t="str">
        <f t="shared" si="742"/>
        <v>PIX</v>
      </c>
      <c r="D4267" t="str">
        <f>"19032026"</f>
        <v>19032026</v>
      </c>
      <c r="E4267" t="str">
        <f>""</f>
        <v/>
      </c>
      <c r="F4267" t="str">
        <f t="shared" si="747"/>
        <v>COM</v>
      </c>
      <c r="G4267" t="str">
        <f>"MATEUS EDUARDO OLIVEIRA DOS SANORS (1373)"</f>
        <v>MATEUS EDUARDO OLIVEIRA DOS SANORS (1373)</v>
      </c>
      <c r="H4267" t="str">
        <f>"DIARIA 19/03/2026 PIX: 04346123163 "</f>
        <v xml:space="preserve">DIARIA 19/03/2026 PIX: 04346123163 </v>
      </c>
      <c r="I4267" t="str">
        <f>("19/03/2026")</f>
        <v>19/03/2026</v>
      </c>
      <c r="J4267" t="str">
        <f>("19/03/2026")</f>
        <v>19/03/2026</v>
      </c>
      <c r="K4267" t="str">
        <f>("19/03/2026")</f>
        <v>19/03/2026</v>
      </c>
      <c r="L4267">
        <v>140</v>
      </c>
      <c r="M4267">
        <v>140</v>
      </c>
      <c r="N4267">
        <v>134</v>
      </c>
      <c r="O4267" t="str">
        <f>"DIARIA DE MOTOBOY"</f>
        <v>DIARIA DE MOTOBOY</v>
      </c>
      <c r="P4267">
        <v>140</v>
      </c>
      <c r="S4267" t="str">
        <f>"BANCO C6 (149)"</f>
        <v>BANCO C6 (149)</v>
      </c>
      <c r="T4267">
        <v>31893</v>
      </c>
      <c r="U4267">
        <v>35779</v>
      </c>
      <c r="V4267" t="s">
        <v>37</v>
      </c>
    </row>
    <row r="4268" spans="1:22">
      <c r="A4268" t="str">
        <f t="shared" si="744"/>
        <v>19/03/2026</v>
      </c>
      <c r="B4268" t="str">
        <f t="shared" si="741"/>
        <v>SAÍDA</v>
      </c>
      <c r="C4268" t="str">
        <f t="shared" si="742"/>
        <v>PIX</v>
      </c>
      <c r="D4268" t="str">
        <f>"19032026"</f>
        <v>19032026</v>
      </c>
      <c r="E4268" t="str">
        <f>""</f>
        <v/>
      </c>
      <c r="F4268" t="str">
        <f t="shared" si="747"/>
        <v>COM</v>
      </c>
      <c r="G4268" t="str">
        <f>"MATEUS EDUARDO OLIVEIRA DOS SANORS (1373)"</f>
        <v>MATEUS EDUARDO OLIVEIRA DOS SANORS (1373)</v>
      </c>
      <c r="H4268" t="s">
        <v>1142</v>
      </c>
      <c r="I4268" t="str">
        <f>("19/03/2026")</f>
        <v>19/03/2026</v>
      </c>
      <c r="J4268" t="str">
        <f>("19/03/2026")</f>
        <v>19/03/2026</v>
      </c>
      <c r="K4268">
        <v>46100</v>
      </c>
      <c r="N4268">
        <v>134</v>
      </c>
      <c r="O4268" t="s">
        <v>30</v>
      </c>
      <c r="Q4268">
        <v>140</v>
      </c>
      <c r="R4268" t="str">
        <f>"BRASIL FARMA (10173)"</f>
        <v>BRASIL FARMA (10173)</v>
      </c>
      <c r="S4268" t="s">
        <v>37</v>
      </c>
      <c r="T4268">
        <v>31893</v>
      </c>
      <c r="U4268">
        <v>35779</v>
      </c>
      <c r="V4268" t="s">
        <v>37</v>
      </c>
    </row>
    <row r="4269" spans="1:22">
      <c r="A4269" t="str">
        <f t="shared" si="744"/>
        <v>19/03/2026</v>
      </c>
      <c r="B4269" t="str">
        <f>"ENTRADA"</f>
        <v>ENTRADA</v>
      </c>
      <c r="C4269" t="str">
        <f>"NFSE"</f>
        <v>NFSE</v>
      </c>
      <c r="D4269" t="str">
        <f>"533"</f>
        <v>533</v>
      </c>
      <c r="E4269" t="str">
        <f t="shared" ref="E4269:E4274" si="750">"1"</f>
        <v>1</v>
      </c>
      <c r="F4269" t="str">
        <f t="shared" si="747"/>
        <v>COM</v>
      </c>
      <c r="G4269" t="str">
        <f>"DROGARIA POUPA MINAS (ULTRAMINAS) 3 (10129)"</f>
        <v>DROGARIA POUPA MINAS (ULTRAMINAS) 3 (10129)</v>
      </c>
      <c r="H4269" t="str">
        <f>"Serv.Prest. 09/03/2026 a 15/03/2026 - RPS: 2461 - NFSe: 533"</f>
        <v>Serv.Prest. 09/03/2026 a 15/03/2026 - RPS: 2461 - NFSe: 533</v>
      </c>
      <c r="I4269" t="str">
        <f>("19/03/2026")</f>
        <v>19/03/2026</v>
      </c>
      <c r="J4269" t="str">
        <f>("16/03/2026")</f>
        <v>16/03/2026</v>
      </c>
      <c r="K4269" t="str">
        <f>("19/03/2026")</f>
        <v>19/03/2026</v>
      </c>
      <c r="L4269">
        <v>1544.4</v>
      </c>
      <c r="M4269">
        <v>1544.4</v>
      </c>
      <c r="N4269">
        <v>303</v>
      </c>
      <c r="O4269" t="str">
        <f>"RECEITAS COM ENTREGAS"</f>
        <v>RECEITAS COM ENTREGAS</v>
      </c>
      <c r="P4269">
        <v>1544.4</v>
      </c>
      <c r="S4269" t="str">
        <f>"RECEITAS COM ENTREGAS (303)"</f>
        <v>RECEITAS COM ENTREGAS (303)</v>
      </c>
      <c r="T4269">
        <v>31900</v>
      </c>
      <c r="U4269">
        <v>34973</v>
      </c>
      <c r="V4269" t="s">
        <v>33</v>
      </c>
    </row>
    <row r="4270" spans="1:22">
      <c r="A4270" t="str">
        <f t="shared" si="744"/>
        <v>19/03/2026</v>
      </c>
      <c r="B4270" t="str">
        <f>"ENTRADA"</f>
        <v>ENTRADA</v>
      </c>
      <c r="C4270" t="str">
        <f>"NFSE"</f>
        <v>NFSE</v>
      </c>
      <c r="D4270" t="str">
        <f>"533"</f>
        <v>533</v>
      </c>
      <c r="E4270" t="str">
        <f t="shared" si="750"/>
        <v>1</v>
      </c>
      <c r="F4270" t="str">
        <f t="shared" si="747"/>
        <v>COM</v>
      </c>
      <c r="G4270" t="str">
        <f>"DROGARIA POUPA MINAS (ULTRAMINAS) 3 (10129)"</f>
        <v>DROGARIA POUPA MINAS (ULTRAMINAS) 3 (10129)</v>
      </c>
      <c r="H4270" t="s">
        <v>1143</v>
      </c>
      <c r="I4270" t="str">
        <f>("19/03/2026")</f>
        <v>19/03/2026</v>
      </c>
      <c r="J4270" t="str">
        <f>("16/03/2026")</f>
        <v>16/03/2026</v>
      </c>
      <c r="K4270">
        <v>46100</v>
      </c>
      <c r="N4270">
        <v>303</v>
      </c>
      <c r="O4270" t="s">
        <v>102</v>
      </c>
      <c r="Q4270">
        <v>1544.4</v>
      </c>
      <c r="R4270" t="str">
        <f>"DROGARIA POUPA MINAS (ULTRAMINAS) 3 (10129)"</f>
        <v>DROGARIA POUPA MINAS (ULTRAMINAS) 3 (10129)</v>
      </c>
      <c r="S4270" t="s">
        <v>103</v>
      </c>
      <c r="T4270">
        <v>31900</v>
      </c>
      <c r="U4270">
        <v>34973</v>
      </c>
      <c r="V4270" t="s">
        <v>33</v>
      </c>
    </row>
    <row r="4271" spans="1:22">
      <c r="A4271" t="str">
        <f t="shared" si="744"/>
        <v>19/03/2026</v>
      </c>
      <c r="B4271" t="str">
        <f>"ENTRADA"</f>
        <v>ENTRADA</v>
      </c>
      <c r="C4271" t="str">
        <f>"NFSE"</f>
        <v>NFSE</v>
      </c>
      <c r="D4271" t="str">
        <f>"552"</f>
        <v>552</v>
      </c>
      <c r="E4271" t="str">
        <f t="shared" si="750"/>
        <v>1</v>
      </c>
      <c r="F4271" t="str">
        <f t="shared" si="747"/>
        <v>COM</v>
      </c>
      <c r="G4271" t="str">
        <f>"DROGARIA TOTAL JUNDIAI (10177)"</f>
        <v>DROGARIA TOTAL JUNDIAI (10177)</v>
      </c>
      <c r="H4271" t="str">
        <f>"Serv.Prest. 09/03/2026 a 15/03/2026 - RPS: 2480 - NFSe: 552"</f>
        <v>Serv.Prest. 09/03/2026 a 15/03/2026 - RPS: 2480 - NFSe: 552</v>
      </c>
      <c r="I4271" t="str">
        <f>("18/03/2026")</f>
        <v>18/03/2026</v>
      </c>
      <c r="J4271" t="str">
        <f>("17/03/2026")</f>
        <v>17/03/2026</v>
      </c>
      <c r="K4271" t="str">
        <f>("19/03/2026")</f>
        <v>19/03/2026</v>
      </c>
      <c r="L4271">
        <v>1282.07</v>
      </c>
      <c r="M4271">
        <v>902.42</v>
      </c>
      <c r="N4271">
        <v>303</v>
      </c>
      <c r="O4271" t="str">
        <f>"RECEITAS COM ENTREGAS"</f>
        <v>RECEITAS COM ENTREGAS</v>
      </c>
      <c r="P4271">
        <v>902.42</v>
      </c>
      <c r="S4271" t="str">
        <f>"RECEITAS COM ENTREGAS (303)"</f>
        <v>RECEITAS COM ENTREGAS (303)</v>
      </c>
      <c r="T4271">
        <v>31956</v>
      </c>
      <c r="U4271">
        <v>35100</v>
      </c>
      <c r="V4271" t="s">
        <v>33</v>
      </c>
    </row>
    <row r="4272" spans="1:22">
      <c r="A4272" t="str">
        <f t="shared" si="744"/>
        <v>19/03/2026</v>
      </c>
      <c r="B4272" t="str">
        <f>"ENTRADA"</f>
        <v>ENTRADA</v>
      </c>
      <c r="C4272" t="str">
        <f>"NFSE"</f>
        <v>NFSE</v>
      </c>
      <c r="D4272" t="str">
        <f>"552"</f>
        <v>552</v>
      </c>
      <c r="E4272" t="str">
        <f t="shared" si="750"/>
        <v>1</v>
      </c>
      <c r="F4272" t="str">
        <f t="shared" si="747"/>
        <v>COM</v>
      </c>
      <c r="G4272" t="str">
        <f>"DROGARIA TOTAL JUNDIAI (10177)"</f>
        <v>DROGARIA TOTAL JUNDIAI (10177)</v>
      </c>
      <c r="H4272" t="s">
        <v>1144</v>
      </c>
      <c r="I4272" t="str">
        <f>("18/03/2026")</f>
        <v>18/03/2026</v>
      </c>
      <c r="J4272" t="str">
        <f>("17/03/2026")</f>
        <v>17/03/2026</v>
      </c>
      <c r="K4272">
        <v>46100</v>
      </c>
      <c r="N4272">
        <v>303</v>
      </c>
      <c r="O4272" t="s">
        <v>102</v>
      </c>
      <c r="Q4272">
        <v>902.42</v>
      </c>
      <c r="R4272" t="str">
        <f>"DROGARIA TOTAL JUNDIAI (10177)"</f>
        <v>DROGARIA TOTAL JUNDIAI (10177)</v>
      </c>
      <c r="S4272" t="s">
        <v>103</v>
      </c>
      <c r="T4272">
        <v>31956</v>
      </c>
      <c r="U4272">
        <v>35100</v>
      </c>
      <c r="V4272" t="s">
        <v>33</v>
      </c>
    </row>
    <row r="4273" spans="1:22">
      <c r="A4273" t="str">
        <f t="shared" ref="A4273:A4296" si="751">("20/03/2026")</f>
        <v>20/03/2026</v>
      </c>
      <c r="B4273" t="str">
        <f t="shared" ref="B4273:B4294" si="752">"SAÍDA"</f>
        <v>SAÍDA</v>
      </c>
      <c r="C4273" t="str">
        <f t="shared" ref="C4273:C4286" si="753">"PIX"</f>
        <v>PIX</v>
      </c>
      <c r="D4273" t="str">
        <f>"35124"</f>
        <v>35124</v>
      </c>
      <c r="E4273" t="str">
        <f t="shared" si="750"/>
        <v>1</v>
      </c>
      <c r="F4273" t="str">
        <f t="shared" si="747"/>
        <v>COM</v>
      </c>
      <c r="G4273" t="str">
        <f>"FELIPE CHAVES FRANCO (1325)"</f>
        <v>FELIPE CHAVES FRANCO (1325)</v>
      </c>
      <c r="H4273" t="str">
        <f>"Serv.Prest. DIARIA 15/03/2026 - PIX: CPF - CHAVE: 135.653.486-40"</f>
        <v>Serv.Prest. DIARIA 15/03/2026 - PIX: CPF - CHAVE: 135.653.486-40</v>
      </c>
      <c r="I4273" t="str">
        <f t="shared" ref="I4273:I4294" si="754">("20/03/2026")</f>
        <v>20/03/2026</v>
      </c>
      <c r="J4273" t="str">
        <f>("17/03/2026")</f>
        <v>17/03/2026</v>
      </c>
      <c r="K4273" t="str">
        <f>("20/03/2026")</f>
        <v>20/03/2026</v>
      </c>
      <c r="L4273">
        <v>126</v>
      </c>
      <c r="M4273">
        <v>126</v>
      </c>
      <c r="N4273">
        <v>134</v>
      </c>
      <c r="O4273" t="str">
        <f>"DIARIA DE MOTOBOY"</f>
        <v>DIARIA DE MOTOBOY</v>
      </c>
      <c r="P4273">
        <v>126</v>
      </c>
      <c r="S4273" t="str">
        <f>"BANCO C6 (149)"</f>
        <v>BANCO C6 (149)</v>
      </c>
      <c r="T4273">
        <v>31810</v>
      </c>
      <c r="U4273">
        <v>35124</v>
      </c>
      <c r="V4273" t="s">
        <v>37</v>
      </c>
    </row>
    <row r="4274" spans="1:22">
      <c r="A4274" t="str">
        <f t="shared" si="751"/>
        <v>20/03/2026</v>
      </c>
      <c r="B4274" t="str">
        <f t="shared" si="752"/>
        <v>SAÍDA</v>
      </c>
      <c r="C4274" t="str">
        <f t="shared" si="753"/>
        <v>PIX</v>
      </c>
      <c r="D4274" t="str">
        <f>"35124"</f>
        <v>35124</v>
      </c>
      <c r="E4274" t="str">
        <f t="shared" si="750"/>
        <v>1</v>
      </c>
      <c r="F4274" t="str">
        <f t="shared" si="747"/>
        <v>COM</v>
      </c>
      <c r="G4274" t="str">
        <f>"FELIPE CHAVES FRANCO (1325)"</f>
        <v>FELIPE CHAVES FRANCO (1325)</v>
      </c>
      <c r="H4274" t="s">
        <v>815</v>
      </c>
      <c r="I4274" t="str">
        <f t="shared" si="754"/>
        <v>20/03/2026</v>
      </c>
      <c r="J4274" t="str">
        <f>("17/03/2026")</f>
        <v>17/03/2026</v>
      </c>
      <c r="K4274">
        <v>46101</v>
      </c>
      <c r="N4274">
        <v>134</v>
      </c>
      <c r="O4274" t="s">
        <v>30</v>
      </c>
      <c r="Q4274">
        <v>126</v>
      </c>
      <c r="R4274" t="str">
        <f>"PAGMENOS - LJ 431 (10265)"</f>
        <v>PAGMENOS - LJ 431 (10265)</v>
      </c>
      <c r="S4274" t="s">
        <v>37</v>
      </c>
      <c r="T4274">
        <v>31810</v>
      </c>
      <c r="U4274">
        <v>35124</v>
      </c>
      <c r="V4274" t="s">
        <v>37</v>
      </c>
    </row>
    <row r="4275" spans="1:22">
      <c r="A4275" t="str">
        <f t="shared" si="751"/>
        <v>20/03/2026</v>
      </c>
      <c r="B4275" t="str">
        <f t="shared" si="752"/>
        <v>SAÍDA</v>
      </c>
      <c r="C4275" t="str">
        <f t="shared" si="753"/>
        <v>PIX</v>
      </c>
      <c r="D4275" t="str">
        <f t="shared" ref="D4275:D4284" si="755">"20032026"</f>
        <v>20032026</v>
      </c>
      <c r="E4275" t="str">
        <f>"2"</f>
        <v>2</v>
      </c>
      <c r="F4275" t="str">
        <f t="shared" si="747"/>
        <v>COM</v>
      </c>
      <c r="G4275" t="str">
        <f>"LUCAS FERREIRA DA SILVA (1245)"</f>
        <v>LUCAS FERREIRA DA SILVA (1245)</v>
      </c>
      <c r="H4275" t="str">
        <f>"Serv.Prest.DIARIA 17/03/2026 - PIX: CELULAR - CHAVE: (11) 99593-3129"</f>
        <v>Serv.Prest.DIARIA 17/03/2026 - PIX: CELULAR - CHAVE: (11) 99593-3129</v>
      </c>
      <c r="I4275" t="str">
        <f t="shared" si="754"/>
        <v>20/03/2026</v>
      </c>
      <c r="J4275" t="str">
        <f>("20/03/2026")</f>
        <v>20/03/2026</v>
      </c>
      <c r="K4275" t="str">
        <f>("20/03/2026")</f>
        <v>20/03/2026</v>
      </c>
      <c r="L4275">
        <v>112</v>
      </c>
      <c r="M4275">
        <v>112</v>
      </c>
      <c r="N4275">
        <v>134</v>
      </c>
      <c r="O4275" t="str">
        <f>"DIARIA DE MOTOBOY"</f>
        <v>DIARIA DE MOTOBOY</v>
      </c>
      <c r="P4275">
        <v>112</v>
      </c>
      <c r="S4275" t="str">
        <f>"BANCO C6 (149)"</f>
        <v>BANCO C6 (149)</v>
      </c>
      <c r="T4275">
        <v>31811</v>
      </c>
      <c r="U4275">
        <v>35781</v>
      </c>
      <c r="V4275" t="s">
        <v>37</v>
      </c>
    </row>
    <row r="4276" spans="1:22">
      <c r="A4276" t="str">
        <f t="shared" si="751"/>
        <v>20/03/2026</v>
      </c>
      <c r="B4276" t="str">
        <f t="shared" si="752"/>
        <v>SAÍDA</v>
      </c>
      <c r="C4276" t="str">
        <f t="shared" si="753"/>
        <v>PIX</v>
      </c>
      <c r="D4276" t="str">
        <f t="shared" si="755"/>
        <v>20032026</v>
      </c>
      <c r="E4276" t="str">
        <f>"2"</f>
        <v>2</v>
      </c>
      <c r="F4276" t="str">
        <f t="shared" si="747"/>
        <v>COM</v>
      </c>
      <c r="G4276" t="str">
        <f>"LUCAS FERREIRA DA SILVA (1245)"</f>
        <v>LUCAS FERREIRA DA SILVA (1245)</v>
      </c>
      <c r="H4276" t="s">
        <v>1145</v>
      </c>
      <c r="I4276" t="str">
        <f t="shared" si="754"/>
        <v>20/03/2026</v>
      </c>
      <c r="J4276" t="str">
        <f t="shared" ref="J4276:J4284" si="756">("20/03/2026")</f>
        <v>20/03/2026</v>
      </c>
      <c r="K4276">
        <v>46101</v>
      </c>
      <c r="N4276">
        <v>134</v>
      </c>
      <c r="O4276" t="s">
        <v>30</v>
      </c>
      <c r="Q4276">
        <v>112</v>
      </c>
      <c r="R4276" t="str">
        <f>"DROGARIA ISABELLA (10276)"</f>
        <v>DROGARIA ISABELLA (10276)</v>
      </c>
      <c r="S4276" t="s">
        <v>37</v>
      </c>
      <c r="T4276">
        <v>31811</v>
      </c>
      <c r="U4276">
        <v>35781</v>
      </c>
      <c r="V4276" t="s">
        <v>37</v>
      </c>
    </row>
    <row r="4277" spans="1:22">
      <c r="A4277" t="str">
        <f t="shared" si="751"/>
        <v>20/03/2026</v>
      </c>
      <c r="B4277" t="str">
        <f t="shared" si="752"/>
        <v>SAÍDA</v>
      </c>
      <c r="C4277" t="str">
        <f t="shared" si="753"/>
        <v>PIX</v>
      </c>
      <c r="D4277" t="str">
        <f t="shared" si="755"/>
        <v>20032026</v>
      </c>
      <c r="E4277" t="str">
        <f>""</f>
        <v/>
      </c>
      <c r="F4277" t="str">
        <f t="shared" si="747"/>
        <v>COM</v>
      </c>
      <c r="G4277" t="str">
        <f>"LUCAS FERREIRA DA SILVA (1245)"</f>
        <v>LUCAS FERREIRA DA SILVA (1245)</v>
      </c>
      <c r="H4277" t="str">
        <f>"Serv.Prest.DIARIA 18/03/2026 - PIX: CELULAR - CHAVE: (11) 99593-3129"</f>
        <v>Serv.Prest.DIARIA 18/03/2026 - PIX: CELULAR - CHAVE: (11) 99593-3129</v>
      </c>
      <c r="I4277" t="str">
        <f t="shared" si="754"/>
        <v>20/03/2026</v>
      </c>
      <c r="J4277" t="str">
        <f t="shared" si="756"/>
        <v>20/03/2026</v>
      </c>
      <c r="K4277" t="str">
        <f>("20/03/2026")</f>
        <v>20/03/2026</v>
      </c>
      <c r="L4277">
        <v>112</v>
      </c>
      <c r="M4277">
        <v>112</v>
      </c>
      <c r="N4277">
        <v>134</v>
      </c>
      <c r="O4277" t="str">
        <f>"DIARIA DE MOTOBOY"</f>
        <v>DIARIA DE MOTOBOY</v>
      </c>
      <c r="P4277">
        <v>112</v>
      </c>
      <c r="S4277" t="str">
        <f>"BANCO C6 (149)"</f>
        <v>BANCO C6 (149)</v>
      </c>
      <c r="T4277">
        <v>31812</v>
      </c>
      <c r="U4277">
        <v>35780</v>
      </c>
      <c r="V4277" t="s">
        <v>37</v>
      </c>
    </row>
    <row r="4278" spans="1:22">
      <c r="A4278" t="str">
        <f t="shared" si="751"/>
        <v>20/03/2026</v>
      </c>
      <c r="B4278" t="str">
        <f t="shared" si="752"/>
        <v>SAÍDA</v>
      </c>
      <c r="C4278" t="str">
        <f t="shared" si="753"/>
        <v>PIX</v>
      </c>
      <c r="D4278" t="str">
        <f t="shared" si="755"/>
        <v>20032026</v>
      </c>
      <c r="E4278" t="str">
        <f>""</f>
        <v/>
      </c>
      <c r="F4278" t="str">
        <f t="shared" si="747"/>
        <v>COM</v>
      </c>
      <c r="G4278" t="str">
        <f>"LUCAS FERREIRA DA SILVA (1245)"</f>
        <v>LUCAS FERREIRA DA SILVA (1245)</v>
      </c>
      <c r="H4278" t="s">
        <v>1146</v>
      </c>
      <c r="I4278" t="str">
        <f t="shared" si="754"/>
        <v>20/03/2026</v>
      </c>
      <c r="J4278" t="str">
        <f t="shared" si="756"/>
        <v>20/03/2026</v>
      </c>
      <c r="K4278">
        <v>46101</v>
      </c>
      <c r="N4278">
        <v>134</v>
      </c>
      <c r="O4278" t="s">
        <v>30</v>
      </c>
      <c r="Q4278">
        <v>112</v>
      </c>
      <c r="R4278" t="str">
        <f>"DROGARIA ISABELLA (10276)"</f>
        <v>DROGARIA ISABELLA (10276)</v>
      </c>
      <c r="S4278" t="s">
        <v>37</v>
      </c>
      <c r="T4278">
        <v>31812</v>
      </c>
      <c r="U4278">
        <v>35780</v>
      </c>
      <c r="V4278" t="s">
        <v>37</v>
      </c>
    </row>
    <row r="4279" spans="1:22">
      <c r="A4279" t="str">
        <f t="shared" si="751"/>
        <v>20/03/2026</v>
      </c>
      <c r="B4279" t="str">
        <f t="shared" si="752"/>
        <v>SAÍDA</v>
      </c>
      <c r="C4279" t="str">
        <f t="shared" si="753"/>
        <v>PIX</v>
      </c>
      <c r="D4279" t="str">
        <f t="shared" si="755"/>
        <v>20032026</v>
      </c>
      <c r="E4279" t="str">
        <f>""</f>
        <v/>
      </c>
      <c r="F4279" t="str">
        <f t="shared" si="747"/>
        <v>COM</v>
      </c>
      <c r="G4279" t="str">
        <f>"RICHARD HENRIQUE DA SILVA (244)"</f>
        <v>RICHARD HENRIQUE DA SILVA (244)</v>
      </c>
      <c r="H4279" t="str">
        <f>"Serv.Prest.Complemento 02/03/2026 a 08/03/2026 - PIX: CELULAR - CHAVE: (37) 99197-6834"</f>
        <v>Serv.Prest.Complemento 02/03/2026 a 08/03/2026 - PIX: CELULAR - CHAVE: (37) 99197-6834</v>
      </c>
      <c r="I4279" t="str">
        <f t="shared" si="754"/>
        <v>20/03/2026</v>
      </c>
      <c r="J4279" t="str">
        <f t="shared" si="756"/>
        <v>20/03/2026</v>
      </c>
      <c r="K4279" t="str">
        <f>("20/03/2026")</f>
        <v>20/03/2026</v>
      </c>
      <c r="L4279">
        <v>360</v>
      </c>
      <c r="M4279">
        <v>360</v>
      </c>
      <c r="N4279">
        <v>109</v>
      </c>
      <c r="O4279" t="str">
        <f>"PAGAMENTO DE ENTREGADORES"</f>
        <v>PAGAMENTO DE ENTREGADORES</v>
      </c>
      <c r="P4279">
        <v>360</v>
      </c>
      <c r="S4279" t="str">
        <f>"BANCO C6 (149)"</f>
        <v>BANCO C6 (149)</v>
      </c>
      <c r="T4279">
        <v>31813</v>
      </c>
      <c r="U4279">
        <v>35777</v>
      </c>
      <c r="V4279" t="s">
        <v>37</v>
      </c>
    </row>
    <row r="4280" spans="1:22">
      <c r="A4280" t="str">
        <f t="shared" si="751"/>
        <v>20/03/2026</v>
      </c>
      <c r="B4280" t="str">
        <f t="shared" si="752"/>
        <v>SAÍDA</v>
      </c>
      <c r="C4280" t="str">
        <f t="shared" si="753"/>
        <v>PIX</v>
      </c>
      <c r="D4280" t="str">
        <f t="shared" si="755"/>
        <v>20032026</v>
      </c>
      <c r="E4280" t="str">
        <f>""</f>
        <v/>
      </c>
      <c r="F4280" t="str">
        <f t="shared" si="747"/>
        <v>COM</v>
      </c>
      <c r="G4280" t="str">
        <f>"RICHARD HENRIQUE DA SILVA (244)"</f>
        <v>RICHARD HENRIQUE DA SILVA (244)</v>
      </c>
      <c r="H4280" t="s">
        <v>1147</v>
      </c>
      <c r="I4280" t="str">
        <f t="shared" si="754"/>
        <v>20/03/2026</v>
      </c>
      <c r="J4280" t="str">
        <f t="shared" si="756"/>
        <v>20/03/2026</v>
      </c>
      <c r="K4280">
        <v>46101</v>
      </c>
      <c r="N4280">
        <v>109</v>
      </c>
      <c r="O4280" t="s">
        <v>27</v>
      </c>
      <c r="Q4280">
        <v>360</v>
      </c>
      <c r="R4280" t="str">
        <f>"PAGUE MENOS 356 (10291)"</f>
        <v>PAGUE MENOS 356 (10291)</v>
      </c>
      <c r="S4280" t="s">
        <v>37</v>
      </c>
      <c r="T4280">
        <v>31813</v>
      </c>
      <c r="U4280">
        <v>35777</v>
      </c>
      <c r="V4280" t="s">
        <v>37</v>
      </c>
    </row>
    <row r="4281" spans="1:22">
      <c r="A4281" t="str">
        <f t="shared" si="751"/>
        <v>20/03/2026</v>
      </c>
      <c r="B4281" t="str">
        <f t="shared" si="752"/>
        <v>SAÍDA</v>
      </c>
      <c r="C4281" t="str">
        <f t="shared" si="753"/>
        <v>PIX</v>
      </c>
      <c r="D4281" t="str">
        <f t="shared" si="755"/>
        <v>20032026</v>
      </c>
      <c r="E4281" t="str">
        <f>""</f>
        <v/>
      </c>
      <c r="F4281" t="str">
        <f t="shared" si="747"/>
        <v>COM</v>
      </c>
      <c r="G4281" t="str">
        <f>"LUIZ FERNANDO CARVALHO ALVES (198)"</f>
        <v>LUIZ FERNANDO CARVALHO ALVES (198)</v>
      </c>
      <c r="H4281" t="str">
        <f>"Serv.Prest.Complemento 09/03/2026 a 15/03/2026 - PIX: CPF - CHAVE: 705.097.186-39"</f>
        <v>Serv.Prest.Complemento 09/03/2026 a 15/03/2026 - PIX: CPF - CHAVE: 705.097.186-39</v>
      </c>
      <c r="I4281" t="str">
        <f t="shared" si="754"/>
        <v>20/03/2026</v>
      </c>
      <c r="J4281" t="str">
        <f t="shared" si="756"/>
        <v>20/03/2026</v>
      </c>
      <c r="K4281" t="str">
        <f>("20/03/2026")</f>
        <v>20/03/2026</v>
      </c>
      <c r="L4281">
        <v>740</v>
      </c>
      <c r="M4281">
        <v>740</v>
      </c>
      <c r="N4281">
        <v>109</v>
      </c>
      <c r="O4281" t="str">
        <f>"PAGAMENTO DE ENTREGADORES"</f>
        <v>PAGAMENTO DE ENTREGADORES</v>
      </c>
      <c r="P4281">
        <v>740</v>
      </c>
      <c r="S4281" t="str">
        <f>"BANCO C6 (149)"</f>
        <v>BANCO C6 (149)</v>
      </c>
      <c r="T4281">
        <v>31814</v>
      </c>
      <c r="U4281">
        <v>35778</v>
      </c>
      <c r="V4281" t="s">
        <v>37</v>
      </c>
    </row>
    <row r="4282" spans="1:22">
      <c r="A4282" t="str">
        <f t="shared" si="751"/>
        <v>20/03/2026</v>
      </c>
      <c r="B4282" t="str">
        <f t="shared" si="752"/>
        <v>SAÍDA</v>
      </c>
      <c r="C4282" t="str">
        <f t="shared" si="753"/>
        <v>PIX</v>
      </c>
      <c r="D4282" t="str">
        <f t="shared" si="755"/>
        <v>20032026</v>
      </c>
      <c r="E4282" t="str">
        <f>""</f>
        <v/>
      </c>
      <c r="F4282" t="str">
        <f t="shared" si="747"/>
        <v>COM</v>
      </c>
      <c r="G4282" t="str">
        <f>"LUIZ FERNANDO CARVALHO ALVES (198)"</f>
        <v>LUIZ FERNANDO CARVALHO ALVES (198)</v>
      </c>
      <c r="H4282" t="s">
        <v>1148</v>
      </c>
      <c r="I4282" t="str">
        <f t="shared" si="754"/>
        <v>20/03/2026</v>
      </c>
      <c r="J4282" t="str">
        <f t="shared" si="756"/>
        <v>20/03/2026</v>
      </c>
      <c r="K4282">
        <v>46101</v>
      </c>
      <c r="N4282">
        <v>109</v>
      </c>
      <c r="O4282" t="s">
        <v>27</v>
      </c>
      <c r="Q4282">
        <v>740</v>
      </c>
      <c r="R4282" t="str">
        <f>"FARMÁCIA INDIANA LJ 171 (10074)"</f>
        <v>FARMÁCIA INDIANA LJ 171 (10074)</v>
      </c>
      <c r="S4282" t="s">
        <v>37</v>
      </c>
      <c r="T4282">
        <v>31814</v>
      </c>
      <c r="U4282">
        <v>35778</v>
      </c>
      <c r="V4282" t="s">
        <v>37</v>
      </c>
    </row>
    <row r="4283" spans="1:22">
      <c r="A4283" t="str">
        <f t="shared" si="751"/>
        <v>20/03/2026</v>
      </c>
      <c r="B4283" t="str">
        <f t="shared" si="752"/>
        <v>SAÍDA</v>
      </c>
      <c r="C4283" t="str">
        <f t="shared" si="753"/>
        <v>PIX</v>
      </c>
      <c r="D4283" t="str">
        <f t="shared" si="755"/>
        <v>20032026</v>
      </c>
      <c r="E4283" t="str">
        <f>""</f>
        <v/>
      </c>
      <c r="F4283" t="str">
        <f t="shared" si="747"/>
        <v>COM</v>
      </c>
      <c r="G4283" t="str">
        <f>"VICTOR RAFAEL MARCULINO DE SOUZA (1250)"</f>
        <v>VICTOR RAFAEL MARCULINO DE SOUZA (1250)</v>
      </c>
      <c r="H4283" t="str">
        <f>"Serv.Prest.DIARIA 16/03/2026 - PIX: CPF - CHAVE: 241.948.348-01"</f>
        <v>Serv.Prest.DIARIA 16/03/2026 - PIX: CPF - CHAVE: 241.948.348-01</v>
      </c>
      <c r="I4283" t="str">
        <f t="shared" si="754"/>
        <v>20/03/2026</v>
      </c>
      <c r="J4283" t="str">
        <f t="shared" si="756"/>
        <v>20/03/2026</v>
      </c>
      <c r="K4283" t="str">
        <f>("20/03/2026")</f>
        <v>20/03/2026</v>
      </c>
      <c r="L4283">
        <v>217</v>
      </c>
      <c r="M4283">
        <v>217</v>
      </c>
      <c r="N4283">
        <v>134</v>
      </c>
      <c r="O4283" t="str">
        <f>"DIARIA DE MOTOBOY"</f>
        <v>DIARIA DE MOTOBOY</v>
      </c>
      <c r="P4283">
        <v>217</v>
      </c>
      <c r="S4283" t="str">
        <f>"BANCO C6 (149)"</f>
        <v>BANCO C6 (149)</v>
      </c>
      <c r="T4283">
        <v>31815</v>
      </c>
      <c r="U4283">
        <v>35782</v>
      </c>
      <c r="V4283" t="s">
        <v>37</v>
      </c>
    </row>
    <row r="4284" spans="1:22">
      <c r="A4284" t="str">
        <f t="shared" si="751"/>
        <v>20/03/2026</v>
      </c>
      <c r="B4284" t="str">
        <f t="shared" si="752"/>
        <v>SAÍDA</v>
      </c>
      <c r="C4284" t="str">
        <f t="shared" si="753"/>
        <v>PIX</v>
      </c>
      <c r="D4284" t="str">
        <f t="shared" si="755"/>
        <v>20032026</v>
      </c>
      <c r="E4284" t="str">
        <f>""</f>
        <v/>
      </c>
      <c r="F4284" t="str">
        <f t="shared" si="747"/>
        <v>COM</v>
      </c>
      <c r="G4284" t="str">
        <f>"VICTOR RAFAEL MARCULINO DE SOUZA (1250)"</f>
        <v>VICTOR RAFAEL MARCULINO DE SOUZA (1250)</v>
      </c>
      <c r="H4284" t="s">
        <v>1149</v>
      </c>
      <c r="I4284" t="str">
        <f t="shared" si="754"/>
        <v>20/03/2026</v>
      </c>
      <c r="J4284" t="str">
        <f t="shared" si="756"/>
        <v>20/03/2026</v>
      </c>
      <c r="K4284">
        <v>46101</v>
      </c>
      <c r="N4284">
        <v>134</v>
      </c>
      <c r="O4284" t="s">
        <v>30</v>
      </c>
      <c r="Q4284">
        <v>217</v>
      </c>
      <c r="R4284" t="str">
        <f>"BEM TE FAZ 01 (10283)"</f>
        <v>BEM TE FAZ 01 (10283)</v>
      </c>
      <c r="S4284" t="s">
        <v>37</v>
      </c>
      <c r="T4284">
        <v>31815</v>
      </c>
      <c r="U4284">
        <v>35782</v>
      </c>
      <c r="V4284" t="s">
        <v>37</v>
      </c>
    </row>
    <row r="4285" spans="1:22">
      <c r="A4285" t="str">
        <f t="shared" si="751"/>
        <v>20/03/2026</v>
      </c>
      <c r="B4285" t="str">
        <f t="shared" si="752"/>
        <v>SAÍDA</v>
      </c>
      <c r="C4285" t="str">
        <f t="shared" si="753"/>
        <v>PIX</v>
      </c>
      <c r="D4285" t="str">
        <f>"35236"</f>
        <v>35236</v>
      </c>
      <c r="E4285" t="str">
        <f>"2"</f>
        <v>2</v>
      </c>
      <c r="F4285" t="str">
        <f t="shared" si="747"/>
        <v>COM</v>
      </c>
      <c r="G4285" t="str">
        <f>"JEFERSON ANDRADE FERREIRA (165)"</f>
        <v>JEFERSON ANDRADE FERREIRA (165)</v>
      </c>
      <c r="H4285" t="str">
        <f>"Serv.Prest.DIARIA 17/03/2026 - PIX: CPF - CHAVE: 126.873.296-65"</f>
        <v>Serv.Prest.DIARIA 17/03/2026 - PIX: CPF - CHAVE: 126.873.296-65</v>
      </c>
      <c r="I4285" t="str">
        <f t="shared" si="754"/>
        <v>20/03/2026</v>
      </c>
      <c r="J4285" t="str">
        <f>("17/03/2026")</f>
        <v>17/03/2026</v>
      </c>
      <c r="K4285" t="str">
        <f>("20/03/2026")</f>
        <v>20/03/2026</v>
      </c>
      <c r="L4285">
        <v>150</v>
      </c>
      <c r="M4285">
        <v>150</v>
      </c>
      <c r="N4285">
        <v>134</v>
      </c>
      <c r="O4285" t="str">
        <f>"DIARIA DE MOTOBOY"</f>
        <v>DIARIA DE MOTOBOY</v>
      </c>
      <c r="P4285">
        <v>150</v>
      </c>
      <c r="S4285" t="str">
        <f>"BANCO C6 (149)"</f>
        <v>BANCO C6 (149)</v>
      </c>
      <c r="T4285">
        <v>31816</v>
      </c>
      <c r="U4285">
        <v>35784</v>
      </c>
      <c r="V4285" t="s">
        <v>37</v>
      </c>
    </row>
    <row r="4286" spans="1:22">
      <c r="A4286" t="str">
        <f t="shared" si="751"/>
        <v>20/03/2026</v>
      </c>
      <c r="B4286" t="str">
        <f t="shared" si="752"/>
        <v>SAÍDA</v>
      </c>
      <c r="C4286" t="str">
        <f t="shared" si="753"/>
        <v>PIX</v>
      </c>
      <c r="D4286" t="str">
        <f>"35236"</f>
        <v>35236</v>
      </c>
      <c r="E4286" t="str">
        <f>"2"</f>
        <v>2</v>
      </c>
      <c r="F4286" t="str">
        <f t="shared" si="747"/>
        <v>COM</v>
      </c>
      <c r="G4286" t="str">
        <f>"JEFERSON ANDRADE FERREIRA (165)"</f>
        <v>JEFERSON ANDRADE FERREIRA (165)</v>
      </c>
      <c r="H4286" t="s">
        <v>1150</v>
      </c>
      <c r="I4286" t="str">
        <f t="shared" si="754"/>
        <v>20/03/2026</v>
      </c>
      <c r="J4286" t="str">
        <f>("17/03/2026")</f>
        <v>17/03/2026</v>
      </c>
      <c r="K4286">
        <v>46101</v>
      </c>
      <c r="N4286">
        <v>134</v>
      </c>
      <c r="O4286" t="s">
        <v>30</v>
      </c>
      <c r="Q4286">
        <v>150</v>
      </c>
      <c r="R4286" t="str">
        <f>"FARMÁCIA INDIANA LJ 220 (10092)"</f>
        <v>FARMÁCIA INDIANA LJ 220 (10092)</v>
      </c>
      <c r="S4286" t="s">
        <v>37</v>
      </c>
      <c r="T4286">
        <v>31816</v>
      </c>
      <c r="U4286">
        <v>35784</v>
      </c>
      <c r="V4286" t="s">
        <v>37</v>
      </c>
    </row>
    <row r="4287" spans="1:22">
      <c r="A4287" t="str">
        <f t="shared" si="751"/>
        <v>20/03/2026</v>
      </c>
      <c r="B4287" t="str">
        <f t="shared" si="752"/>
        <v>SAÍDA</v>
      </c>
      <c r="C4287" t="str">
        <f>"BOLETO"</f>
        <v>BOLETO</v>
      </c>
      <c r="D4287" t="str">
        <f>"500000045592172"</f>
        <v>500000045592172</v>
      </c>
      <c r="E4287" t="str">
        <f>"5"</f>
        <v>5</v>
      </c>
      <c r="F4287" t="str">
        <f t="shared" si="747"/>
        <v>COM</v>
      </c>
      <c r="G4287" t="str">
        <f>"MINISTERIO DA FAZENDA (20009)"</f>
        <v>MINISTERIO DA FAZENDA (20009)</v>
      </c>
      <c r="H4287" t="str">
        <f>"INSS PRESTADORES MES 02/2026"</f>
        <v>INSS PRESTADORES MES 02/2026</v>
      </c>
      <c r="I4287" t="str">
        <f t="shared" si="754"/>
        <v>20/03/2026</v>
      </c>
      <c r="J4287" t="str">
        <f t="shared" ref="J4287:J4292" si="757">("16/03/2026")</f>
        <v>16/03/2026</v>
      </c>
      <c r="K4287" t="str">
        <f>("20/03/2026")</f>
        <v>20/03/2026</v>
      </c>
      <c r="L4287">
        <v>21684.34</v>
      </c>
      <c r="M4287">
        <v>21684.34</v>
      </c>
      <c r="N4287">
        <v>112</v>
      </c>
      <c r="O4287" t="str">
        <f>"INSS"</f>
        <v>INSS</v>
      </c>
      <c r="P4287">
        <v>21684.34</v>
      </c>
      <c r="S4287" t="str">
        <f>"BANCO CORA (102)"</f>
        <v>BANCO CORA (102)</v>
      </c>
      <c r="T4287">
        <v>31817</v>
      </c>
      <c r="U4287">
        <v>28644</v>
      </c>
      <c r="V4287" t="s">
        <v>33</v>
      </c>
    </row>
    <row r="4288" spans="1:22">
      <c r="A4288" t="str">
        <f t="shared" si="751"/>
        <v>20/03/2026</v>
      </c>
      <c r="B4288" t="str">
        <f t="shared" si="752"/>
        <v>SAÍDA</v>
      </c>
      <c r="C4288" t="str">
        <f>"BOLETO"</f>
        <v>BOLETO</v>
      </c>
      <c r="D4288" t="str">
        <f>"500000045592172"</f>
        <v>500000045592172</v>
      </c>
      <c r="E4288" t="str">
        <f>"5"</f>
        <v>5</v>
      </c>
      <c r="F4288" t="str">
        <f t="shared" si="747"/>
        <v>COM</v>
      </c>
      <c r="G4288" t="str">
        <f>"MINISTERIO DA FAZENDA (20009)"</f>
        <v>MINISTERIO DA FAZENDA (20009)</v>
      </c>
      <c r="H4288" t="s">
        <v>1151</v>
      </c>
      <c r="I4288" t="str">
        <f t="shared" si="754"/>
        <v>20/03/2026</v>
      </c>
      <c r="J4288" t="str">
        <f t="shared" si="757"/>
        <v>16/03/2026</v>
      </c>
      <c r="K4288">
        <v>46101</v>
      </c>
      <c r="N4288">
        <v>112</v>
      </c>
      <c r="O4288" t="s">
        <v>1152</v>
      </c>
      <c r="Q4288">
        <v>21684.34</v>
      </c>
      <c r="R4288" t="str">
        <f>"MINISTERIO DA FAZENDA (20009)"</f>
        <v>MINISTERIO DA FAZENDA (20009)</v>
      </c>
      <c r="S4288" t="s">
        <v>33</v>
      </c>
      <c r="T4288">
        <v>31817</v>
      </c>
      <c r="U4288">
        <v>28644</v>
      </c>
      <c r="V4288" t="s">
        <v>33</v>
      </c>
    </row>
    <row r="4289" spans="1:22">
      <c r="A4289" t="str">
        <f t="shared" si="751"/>
        <v>20/03/2026</v>
      </c>
      <c r="B4289" t="str">
        <f t="shared" si="752"/>
        <v>SAÍDA</v>
      </c>
      <c r="C4289" t="str">
        <f>"PIX"</f>
        <v>PIX</v>
      </c>
      <c r="D4289" t="str">
        <f>"476"</f>
        <v>476</v>
      </c>
      <c r="E4289" t="str">
        <f>"2"</f>
        <v>2</v>
      </c>
      <c r="F4289" t="str">
        <f t="shared" si="747"/>
        <v>COM</v>
      </c>
      <c r="G4289" t="str">
        <f>"SYSTEM DESIGN INFORMATICA LTDA (20039)"</f>
        <v>SYSTEM DESIGN INFORMATICA LTDA (20039)</v>
      </c>
      <c r="H4289" t="str">
        <f>"MANUTENÇÃO SERVIDOR SD "</f>
        <v xml:space="preserve">MANUTENÇÃO SERVIDOR SD </v>
      </c>
      <c r="I4289" t="str">
        <f t="shared" si="754"/>
        <v>20/03/2026</v>
      </c>
      <c r="J4289" t="str">
        <f t="shared" si="757"/>
        <v>16/03/2026</v>
      </c>
      <c r="K4289" t="str">
        <f>("20/03/2026")</f>
        <v>20/03/2026</v>
      </c>
      <c r="L4289">
        <v>921</v>
      </c>
      <c r="M4289">
        <v>921</v>
      </c>
      <c r="N4289">
        <v>104</v>
      </c>
      <c r="O4289" t="str">
        <f>"SOFTWARE / LICENÇAS"</f>
        <v>SOFTWARE / LICENÇAS</v>
      </c>
      <c r="P4289">
        <v>921</v>
      </c>
      <c r="S4289" t="str">
        <f>"BANCO CORA (102)"</f>
        <v>BANCO CORA (102)</v>
      </c>
      <c r="T4289">
        <v>31818</v>
      </c>
      <c r="U4289">
        <v>35763</v>
      </c>
      <c r="V4289" t="s">
        <v>33</v>
      </c>
    </row>
    <row r="4290" spans="1:22">
      <c r="A4290" t="str">
        <f t="shared" si="751"/>
        <v>20/03/2026</v>
      </c>
      <c r="B4290" t="str">
        <f t="shared" si="752"/>
        <v>SAÍDA</v>
      </c>
      <c r="C4290" t="str">
        <f>"PIX"</f>
        <v>PIX</v>
      </c>
      <c r="D4290" t="str">
        <f>"476"</f>
        <v>476</v>
      </c>
      <c r="E4290" t="str">
        <f>"2"</f>
        <v>2</v>
      </c>
      <c r="F4290" t="str">
        <f t="shared" ref="F4290:F4353" si="758">"COM"</f>
        <v>COM</v>
      </c>
      <c r="G4290" t="str">
        <f>"SYSTEM DESIGN INFORMATICA LTDA (20039)"</f>
        <v>SYSTEM DESIGN INFORMATICA LTDA (20039)</v>
      </c>
      <c r="H4290" t="s">
        <v>1153</v>
      </c>
      <c r="I4290" t="str">
        <f t="shared" si="754"/>
        <v>20/03/2026</v>
      </c>
      <c r="J4290" t="str">
        <f t="shared" si="757"/>
        <v>16/03/2026</v>
      </c>
      <c r="K4290">
        <v>46101</v>
      </c>
      <c r="N4290">
        <v>104</v>
      </c>
      <c r="O4290" t="s">
        <v>39</v>
      </c>
      <c r="Q4290">
        <v>921</v>
      </c>
      <c r="R4290" t="str">
        <f>"SYSTEM DESIGN INFORMATICA LTDA (20039)"</f>
        <v>SYSTEM DESIGN INFORMATICA LTDA (20039)</v>
      </c>
      <c r="S4290" t="s">
        <v>33</v>
      </c>
      <c r="T4290">
        <v>31818</v>
      </c>
      <c r="U4290">
        <v>35763</v>
      </c>
      <c r="V4290" t="s">
        <v>33</v>
      </c>
    </row>
    <row r="4291" spans="1:22">
      <c r="A4291" t="str">
        <f t="shared" si="751"/>
        <v>20/03/2026</v>
      </c>
      <c r="B4291" t="str">
        <f t="shared" si="752"/>
        <v>SAÍDA</v>
      </c>
      <c r="C4291" t="str">
        <f>"PIX"</f>
        <v>PIX</v>
      </c>
      <c r="D4291" t="str">
        <f>"476"</f>
        <v>476</v>
      </c>
      <c r="E4291" t="str">
        <f>"3"</f>
        <v>3</v>
      </c>
      <c r="F4291" t="str">
        <f t="shared" si="758"/>
        <v>COM</v>
      </c>
      <c r="G4291" t="str">
        <f>"SYSTEM DESIGN INFORMATICA LTDA (20039)"</f>
        <v>SYSTEM DESIGN INFORMATICA LTDA (20039)</v>
      </c>
      <c r="H4291" t="str">
        <f>"MANUTENÇÃO SERVIDOR SD "</f>
        <v xml:space="preserve">MANUTENÇÃO SERVIDOR SD </v>
      </c>
      <c r="I4291" t="str">
        <f t="shared" si="754"/>
        <v>20/03/2026</v>
      </c>
      <c r="J4291" t="str">
        <f t="shared" si="757"/>
        <v>16/03/2026</v>
      </c>
      <c r="K4291" t="str">
        <f>("20/03/2026")</f>
        <v>20/03/2026</v>
      </c>
      <c r="L4291">
        <v>921</v>
      </c>
      <c r="M4291">
        <v>921</v>
      </c>
      <c r="N4291">
        <v>104</v>
      </c>
      <c r="O4291" t="str">
        <f>"SOFTWARE / LICENÇAS"</f>
        <v>SOFTWARE / LICENÇAS</v>
      </c>
      <c r="P4291">
        <v>921</v>
      </c>
      <c r="S4291" t="str">
        <f>"BANCO CORA (102)"</f>
        <v>BANCO CORA (102)</v>
      </c>
      <c r="T4291">
        <v>31819</v>
      </c>
      <c r="U4291">
        <v>35764</v>
      </c>
      <c r="V4291" t="s">
        <v>33</v>
      </c>
    </row>
    <row r="4292" spans="1:22">
      <c r="A4292" t="str">
        <f t="shared" si="751"/>
        <v>20/03/2026</v>
      </c>
      <c r="B4292" t="str">
        <f t="shared" si="752"/>
        <v>SAÍDA</v>
      </c>
      <c r="C4292" t="str">
        <f>"PIX"</f>
        <v>PIX</v>
      </c>
      <c r="D4292" t="str">
        <f>"476"</f>
        <v>476</v>
      </c>
      <c r="E4292" t="str">
        <f>"3"</f>
        <v>3</v>
      </c>
      <c r="F4292" t="str">
        <f t="shared" si="758"/>
        <v>COM</v>
      </c>
      <c r="G4292" t="str">
        <f>"SYSTEM DESIGN INFORMATICA LTDA (20039)"</f>
        <v>SYSTEM DESIGN INFORMATICA LTDA (20039)</v>
      </c>
      <c r="H4292" t="s">
        <v>1153</v>
      </c>
      <c r="I4292" t="str">
        <f t="shared" si="754"/>
        <v>20/03/2026</v>
      </c>
      <c r="J4292" t="str">
        <f t="shared" si="757"/>
        <v>16/03/2026</v>
      </c>
      <c r="K4292">
        <v>46101</v>
      </c>
      <c r="N4292">
        <v>104</v>
      </c>
      <c r="O4292" t="s">
        <v>39</v>
      </c>
      <c r="Q4292">
        <v>921</v>
      </c>
      <c r="R4292" t="str">
        <f>"SYSTEM DESIGN INFORMATICA LTDA (20039)"</f>
        <v>SYSTEM DESIGN INFORMATICA LTDA (20039)</v>
      </c>
      <c r="S4292" t="s">
        <v>33</v>
      </c>
      <c r="T4292">
        <v>31819</v>
      </c>
      <c r="U4292">
        <v>35764</v>
      </c>
      <c r="V4292" t="s">
        <v>33</v>
      </c>
    </row>
    <row r="4293" spans="1:22">
      <c r="A4293" t="str">
        <f t="shared" si="751"/>
        <v>20/03/2026</v>
      </c>
      <c r="B4293" t="str">
        <f t="shared" si="752"/>
        <v>SAÍDA</v>
      </c>
      <c r="C4293" t="str">
        <f>"BOLETO"</f>
        <v>BOLETO</v>
      </c>
      <c r="D4293" t="str">
        <f>"420398651"</f>
        <v>420398651</v>
      </c>
      <c r="E4293" t="str">
        <f>"20"</f>
        <v>20</v>
      </c>
      <c r="F4293" t="str">
        <f t="shared" si="758"/>
        <v>COM</v>
      </c>
      <c r="G4293" t="str">
        <f>"GESTAO SOLUCAO EMPRESARIAL LTDA (20008)"</f>
        <v>GESTAO SOLUCAO EMPRESARIAL LTDA (20008)</v>
      </c>
      <c r="H4293" t="str">
        <f>"CONTABILIDADE 07/2025"</f>
        <v>CONTABILIDADE 07/2025</v>
      </c>
      <c r="I4293" t="str">
        <f t="shared" si="754"/>
        <v>20/03/2026</v>
      </c>
      <c r="J4293" t="str">
        <f>("01/07/2025")</f>
        <v>01/07/2025</v>
      </c>
      <c r="K4293" t="str">
        <f>("20/03/2026")</f>
        <v>20/03/2026</v>
      </c>
      <c r="L4293">
        <v>1186.57</v>
      </c>
      <c r="M4293">
        <v>1267.1400000000001</v>
      </c>
      <c r="N4293">
        <v>115</v>
      </c>
      <c r="O4293" t="str">
        <f>"CONTABILIDADE"</f>
        <v>CONTABILIDADE</v>
      </c>
      <c r="P4293">
        <v>1267.1400000000001</v>
      </c>
      <c r="S4293" t="str">
        <f>"BANCO CORA (102)"</f>
        <v>BANCO CORA (102)</v>
      </c>
      <c r="T4293">
        <v>31820</v>
      </c>
      <c r="U4293">
        <v>26352</v>
      </c>
      <c r="V4293" t="s">
        <v>33</v>
      </c>
    </row>
    <row r="4294" spans="1:22">
      <c r="A4294" t="str">
        <f t="shared" si="751"/>
        <v>20/03/2026</v>
      </c>
      <c r="B4294" t="str">
        <f t="shared" si="752"/>
        <v>SAÍDA</v>
      </c>
      <c r="C4294" t="str">
        <f>"BOLETO"</f>
        <v>BOLETO</v>
      </c>
      <c r="D4294" t="str">
        <f>"420398651"</f>
        <v>420398651</v>
      </c>
      <c r="E4294" t="str">
        <f>"20"</f>
        <v>20</v>
      </c>
      <c r="F4294" t="str">
        <f t="shared" si="758"/>
        <v>COM</v>
      </c>
      <c r="G4294" t="str">
        <f>"GESTAO SOLUCAO EMPRESARIAL LTDA (20008)"</f>
        <v>GESTAO SOLUCAO EMPRESARIAL LTDA (20008)</v>
      </c>
      <c r="H4294" t="s">
        <v>1154</v>
      </c>
      <c r="I4294" t="str">
        <f t="shared" si="754"/>
        <v>20/03/2026</v>
      </c>
      <c r="J4294" t="str">
        <f>("01/07/2025")</f>
        <v>01/07/2025</v>
      </c>
      <c r="K4294">
        <v>46101</v>
      </c>
      <c r="N4294">
        <v>115</v>
      </c>
      <c r="O4294" t="s">
        <v>1155</v>
      </c>
      <c r="Q4294">
        <v>1267.1400000000001</v>
      </c>
      <c r="R4294" t="str">
        <f>"GESTAO SOLUCAO EMPRESARIAL LTDA (20008)"</f>
        <v>GESTAO SOLUCAO EMPRESARIAL LTDA (20008)</v>
      </c>
      <c r="S4294" t="s">
        <v>33</v>
      </c>
      <c r="T4294">
        <v>31820</v>
      </c>
      <c r="U4294">
        <v>26352</v>
      </c>
      <c r="V4294" t="s">
        <v>33</v>
      </c>
    </row>
    <row r="4295" spans="1:22">
      <c r="A4295" t="str">
        <f t="shared" si="751"/>
        <v>20/03/2026</v>
      </c>
      <c r="B4295" t="str">
        <f>"ENTRADA"</f>
        <v>ENTRADA</v>
      </c>
      <c r="C4295" t="str">
        <f>"NFSE"</f>
        <v>NFSE</v>
      </c>
      <c r="D4295" t="str">
        <f>"516"</f>
        <v>516</v>
      </c>
      <c r="E4295" t="str">
        <f t="shared" ref="E4295:E4302" si="759">"1"</f>
        <v>1</v>
      </c>
      <c r="F4295" t="str">
        <f t="shared" si="758"/>
        <v>COM</v>
      </c>
      <c r="G4295" t="str">
        <f>"DROGARIA POUPA MINAS (DOIS AMIGOS) 5 (10140)"</f>
        <v>DROGARIA POUPA MINAS (DOIS AMIGOS) 5 (10140)</v>
      </c>
      <c r="H4295" t="str">
        <f>"Serv.Prest. 09/03/2026 a 15/03/2026 - RPS: 2444 - NFSe: 516"</f>
        <v>Serv.Prest. 09/03/2026 a 15/03/2026 - RPS: 2444 - NFSe: 516</v>
      </c>
      <c r="I4295" t="str">
        <f>("19/03/2026")</f>
        <v>19/03/2026</v>
      </c>
      <c r="J4295" t="str">
        <f>("16/03/2026")</f>
        <v>16/03/2026</v>
      </c>
      <c r="K4295" t="str">
        <f>("20/03/2026")</f>
        <v>20/03/2026</v>
      </c>
      <c r="L4295">
        <v>7614.81</v>
      </c>
      <c r="M4295">
        <v>7614.81</v>
      </c>
      <c r="N4295">
        <v>303</v>
      </c>
      <c r="O4295" t="str">
        <f>"RECEITAS COM ENTREGAS"</f>
        <v>RECEITAS COM ENTREGAS</v>
      </c>
      <c r="P4295">
        <v>7614.81</v>
      </c>
      <c r="S4295" t="str">
        <f>"RECEITAS COM ENTREGAS (303)"</f>
        <v>RECEITAS COM ENTREGAS (303)</v>
      </c>
      <c r="T4295">
        <v>31901</v>
      </c>
      <c r="U4295">
        <v>34889</v>
      </c>
      <c r="V4295" t="s">
        <v>33</v>
      </c>
    </row>
    <row r="4296" spans="1:22">
      <c r="A4296" t="str">
        <f t="shared" si="751"/>
        <v>20/03/2026</v>
      </c>
      <c r="B4296" t="str">
        <f>"ENTRADA"</f>
        <v>ENTRADA</v>
      </c>
      <c r="C4296" t="str">
        <f>"NFSE"</f>
        <v>NFSE</v>
      </c>
      <c r="D4296" t="str">
        <f>"516"</f>
        <v>516</v>
      </c>
      <c r="E4296" t="str">
        <f t="shared" si="759"/>
        <v>1</v>
      </c>
      <c r="F4296" t="str">
        <f t="shared" si="758"/>
        <v>COM</v>
      </c>
      <c r="G4296" t="str">
        <f>"DROGARIA POUPA MINAS (DOIS AMIGOS) 5 (10140)"</f>
        <v>DROGARIA POUPA MINAS (DOIS AMIGOS) 5 (10140)</v>
      </c>
      <c r="H4296" t="s">
        <v>1156</v>
      </c>
      <c r="I4296" t="str">
        <f>("19/03/2026")</f>
        <v>19/03/2026</v>
      </c>
      <c r="J4296" t="str">
        <f>("16/03/2026")</f>
        <v>16/03/2026</v>
      </c>
      <c r="K4296">
        <v>46101</v>
      </c>
      <c r="N4296">
        <v>303</v>
      </c>
      <c r="O4296" t="s">
        <v>102</v>
      </c>
      <c r="Q4296">
        <v>7614.81</v>
      </c>
      <c r="R4296" t="str">
        <f>"DROGARIA POUPA MINAS (ULTRAMINAS) 1 (10181)"</f>
        <v>DROGARIA POUPA MINAS (ULTRAMINAS) 1 (10181)</v>
      </c>
      <c r="S4296" t="s">
        <v>103</v>
      </c>
      <c r="T4296">
        <v>31901</v>
      </c>
      <c r="U4296">
        <v>34889</v>
      </c>
      <c r="V4296" t="s">
        <v>33</v>
      </c>
    </row>
    <row r="4297" spans="1:22">
      <c r="A4297" t="str">
        <f t="shared" ref="A4297:A4302" si="760">("22/03/2026")</f>
        <v>22/03/2026</v>
      </c>
      <c r="B4297" t="str">
        <f t="shared" ref="B4297:B4328" si="761">"SAÍDA"</f>
        <v>SAÍDA</v>
      </c>
      <c r="C4297" t="str">
        <f t="shared" ref="C4297:C4328" si="762">"PIX"</f>
        <v>PIX</v>
      </c>
      <c r="D4297" t="str">
        <f>"36307"</f>
        <v>36307</v>
      </c>
      <c r="E4297" t="str">
        <f t="shared" si="759"/>
        <v>1</v>
      </c>
      <c r="F4297" t="str">
        <f t="shared" si="758"/>
        <v>COM</v>
      </c>
      <c r="G4297" t="str">
        <f>"SIMAO DOS SANTOS MEIRA (896)"</f>
        <v>SIMAO DOS SANTOS MEIRA (896)</v>
      </c>
      <c r="H4297" t="str">
        <f>"Serv.Prest. 16/03/2026 a 22/03/2026 - PIX: CNPJ - CHAVE: 49.607.413/0001-28"</f>
        <v>Serv.Prest. 16/03/2026 a 22/03/2026 - PIX: CNPJ - CHAVE: 49.607.413/0001-28</v>
      </c>
      <c r="I4297" t="str">
        <f t="shared" ref="I4297:I4302" si="763">("26/03/2026")</f>
        <v>26/03/2026</v>
      </c>
      <c r="J4297" t="str">
        <f t="shared" ref="J4297:J4302" si="764">("25/03/2026")</f>
        <v>25/03/2026</v>
      </c>
      <c r="K4297" t="str">
        <f>("22/03/2026")</f>
        <v>22/03/2026</v>
      </c>
      <c r="L4297">
        <v>168</v>
      </c>
      <c r="M4297">
        <v>170</v>
      </c>
      <c r="N4297">
        <v>134</v>
      </c>
      <c r="O4297" t="str">
        <f>"DIARIA DE MOTOBOY"</f>
        <v>DIARIA DE MOTOBOY</v>
      </c>
      <c r="P4297">
        <v>170</v>
      </c>
      <c r="S4297" t="str">
        <f>"BANCO C6 (149)"</f>
        <v>BANCO C6 (149)</v>
      </c>
      <c r="T4297">
        <v>31889</v>
      </c>
      <c r="U4297">
        <v>36307</v>
      </c>
      <c r="V4297" t="s">
        <v>37</v>
      </c>
    </row>
    <row r="4298" spans="1:22">
      <c r="A4298" t="str">
        <f t="shared" si="760"/>
        <v>22/03/2026</v>
      </c>
      <c r="B4298" t="str">
        <f t="shared" si="761"/>
        <v>SAÍDA</v>
      </c>
      <c r="C4298" t="str">
        <f t="shared" si="762"/>
        <v>PIX</v>
      </c>
      <c r="D4298" t="str">
        <f>"36307"</f>
        <v>36307</v>
      </c>
      <c r="E4298" t="str">
        <f t="shared" si="759"/>
        <v>1</v>
      </c>
      <c r="F4298" t="str">
        <f t="shared" si="758"/>
        <v>COM</v>
      </c>
      <c r="G4298" t="str">
        <f>"SIMAO DOS SANTOS MEIRA (896)"</f>
        <v>SIMAO DOS SANTOS MEIRA (896)</v>
      </c>
      <c r="H4298" t="s">
        <v>1157</v>
      </c>
      <c r="I4298" t="str">
        <f t="shared" si="763"/>
        <v>26/03/2026</v>
      </c>
      <c r="J4298" t="str">
        <f t="shared" si="764"/>
        <v>25/03/2026</v>
      </c>
      <c r="K4298">
        <v>46103</v>
      </c>
      <c r="N4298">
        <v>134</v>
      </c>
      <c r="O4298" t="s">
        <v>30</v>
      </c>
      <c r="Q4298">
        <v>170</v>
      </c>
      <c r="R4298" t="str">
        <f>"BRASIL FARMA (10173)"</f>
        <v>BRASIL FARMA (10173)</v>
      </c>
      <c r="S4298" t="s">
        <v>37</v>
      </c>
      <c r="T4298">
        <v>31889</v>
      </c>
      <c r="U4298">
        <v>36307</v>
      </c>
      <c r="V4298" t="s">
        <v>37</v>
      </c>
    </row>
    <row r="4299" spans="1:22">
      <c r="A4299" t="str">
        <f t="shared" si="760"/>
        <v>22/03/2026</v>
      </c>
      <c r="B4299" t="str">
        <f t="shared" si="761"/>
        <v>SAÍDA</v>
      </c>
      <c r="C4299" t="str">
        <f t="shared" si="762"/>
        <v>PIX</v>
      </c>
      <c r="D4299" t="str">
        <f>"36306"</f>
        <v>36306</v>
      </c>
      <c r="E4299" t="str">
        <f t="shared" si="759"/>
        <v>1</v>
      </c>
      <c r="F4299" t="str">
        <f t="shared" si="758"/>
        <v>COM</v>
      </c>
      <c r="G4299" t="str">
        <f>"JOAO VICTOR MARTINS NUNES (832)"</f>
        <v>JOAO VICTOR MARTINS NUNES (832)</v>
      </c>
      <c r="H4299" t="str">
        <f>"Serv.Prest. 16/03/2026 a 22/03/2026 - PIX: CELULAR - CHAVE: (62) 98459-3826"</f>
        <v>Serv.Prest. 16/03/2026 a 22/03/2026 - PIX: CELULAR - CHAVE: (62) 98459-3826</v>
      </c>
      <c r="I4299" t="str">
        <f t="shared" si="763"/>
        <v>26/03/2026</v>
      </c>
      <c r="J4299" t="str">
        <f t="shared" si="764"/>
        <v>25/03/2026</v>
      </c>
      <c r="K4299" t="str">
        <f>("22/03/2026")</f>
        <v>22/03/2026</v>
      </c>
      <c r="L4299">
        <v>110</v>
      </c>
      <c r="M4299">
        <v>110</v>
      </c>
      <c r="N4299">
        <v>109</v>
      </c>
      <c r="O4299" t="str">
        <f>"PAGAMENTO DE ENTREGADORES"</f>
        <v>PAGAMENTO DE ENTREGADORES</v>
      </c>
      <c r="P4299">
        <v>110</v>
      </c>
      <c r="S4299" t="str">
        <f>"BANCO C6 (149)"</f>
        <v>BANCO C6 (149)</v>
      </c>
      <c r="T4299">
        <v>31890</v>
      </c>
      <c r="U4299">
        <v>36306</v>
      </c>
      <c r="V4299" t="s">
        <v>37</v>
      </c>
    </row>
    <row r="4300" spans="1:22">
      <c r="A4300" t="str">
        <f t="shared" si="760"/>
        <v>22/03/2026</v>
      </c>
      <c r="B4300" t="str">
        <f t="shared" si="761"/>
        <v>SAÍDA</v>
      </c>
      <c r="C4300" t="str">
        <f t="shared" si="762"/>
        <v>PIX</v>
      </c>
      <c r="D4300" t="str">
        <f>"36306"</f>
        <v>36306</v>
      </c>
      <c r="E4300" t="str">
        <f t="shared" si="759"/>
        <v>1</v>
      </c>
      <c r="F4300" t="str">
        <f t="shared" si="758"/>
        <v>COM</v>
      </c>
      <c r="G4300" t="str">
        <f>"JOAO VICTOR MARTINS NUNES (832)"</f>
        <v>JOAO VICTOR MARTINS NUNES (832)</v>
      </c>
      <c r="H4300" t="s">
        <v>1158</v>
      </c>
      <c r="I4300" t="str">
        <f t="shared" si="763"/>
        <v>26/03/2026</v>
      </c>
      <c r="J4300" t="str">
        <f t="shared" si="764"/>
        <v>25/03/2026</v>
      </c>
      <c r="K4300">
        <v>46103</v>
      </c>
      <c r="N4300">
        <v>109</v>
      </c>
      <c r="O4300" t="s">
        <v>27</v>
      </c>
      <c r="Q4300">
        <v>110</v>
      </c>
      <c r="R4300" t="str">
        <f>"BRASIL FARMA (10173)"</f>
        <v>BRASIL FARMA (10173)</v>
      </c>
      <c r="S4300" t="s">
        <v>37</v>
      </c>
      <c r="T4300">
        <v>31890</v>
      </c>
      <c r="U4300">
        <v>36306</v>
      </c>
      <c r="V4300" t="s">
        <v>37</v>
      </c>
    </row>
    <row r="4301" spans="1:22">
      <c r="A4301" t="str">
        <f t="shared" si="760"/>
        <v>22/03/2026</v>
      </c>
      <c r="B4301" t="str">
        <f t="shared" si="761"/>
        <v>SAÍDA</v>
      </c>
      <c r="C4301" t="str">
        <f t="shared" si="762"/>
        <v>PIX</v>
      </c>
      <c r="D4301" t="str">
        <f>"36306"</f>
        <v>36306</v>
      </c>
      <c r="E4301" t="str">
        <f t="shared" si="759"/>
        <v>1</v>
      </c>
      <c r="F4301" t="str">
        <f t="shared" si="758"/>
        <v>COM</v>
      </c>
      <c r="G4301" t="str">
        <f>"JOAO VICTOR MARTINS NUNES (832)"</f>
        <v>JOAO VICTOR MARTINS NUNES (832)</v>
      </c>
      <c r="H4301" t="str">
        <f>"Serv.Prest. 16/03/2026 a 22/03/2026 - PIX: CELULAR - CHAVE: (62) 98459-3826"</f>
        <v>Serv.Prest. 16/03/2026 a 22/03/2026 - PIX: CELULAR - CHAVE: (62) 98459-3826</v>
      </c>
      <c r="I4301" t="str">
        <f t="shared" si="763"/>
        <v>26/03/2026</v>
      </c>
      <c r="J4301" t="str">
        <f t="shared" si="764"/>
        <v>25/03/2026</v>
      </c>
      <c r="K4301" t="str">
        <f>("22/03/2026")</f>
        <v>22/03/2026</v>
      </c>
      <c r="L4301">
        <v>60</v>
      </c>
      <c r="M4301">
        <v>60</v>
      </c>
      <c r="N4301">
        <v>109</v>
      </c>
      <c r="O4301" t="str">
        <f>"PAGAMENTO DE ENTREGADORES"</f>
        <v>PAGAMENTO DE ENTREGADORES</v>
      </c>
      <c r="P4301">
        <v>60</v>
      </c>
      <c r="S4301" t="str">
        <f>"BANCO C6 (149)"</f>
        <v>BANCO C6 (149)</v>
      </c>
      <c r="T4301">
        <v>31891</v>
      </c>
      <c r="U4301">
        <v>36309</v>
      </c>
      <c r="V4301" t="s">
        <v>37</v>
      </c>
    </row>
    <row r="4302" spans="1:22">
      <c r="A4302" t="str">
        <f t="shared" si="760"/>
        <v>22/03/2026</v>
      </c>
      <c r="B4302" t="str">
        <f t="shared" si="761"/>
        <v>SAÍDA</v>
      </c>
      <c r="C4302" t="str">
        <f t="shared" si="762"/>
        <v>PIX</v>
      </c>
      <c r="D4302" t="str">
        <f>"36306"</f>
        <v>36306</v>
      </c>
      <c r="E4302" t="str">
        <f t="shared" si="759"/>
        <v>1</v>
      </c>
      <c r="F4302" t="str">
        <f t="shared" si="758"/>
        <v>COM</v>
      </c>
      <c r="G4302" t="str">
        <f>"JOAO VICTOR MARTINS NUNES (832)"</f>
        <v>JOAO VICTOR MARTINS NUNES (832)</v>
      </c>
      <c r="H4302" t="s">
        <v>1158</v>
      </c>
      <c r="I4302" t="str">
        <f t="shared" si="763"/>
        <v>26/03/2026</v>
      </c>
      <c r="J4302" t="str">
        <f t="shared" si="764"/>
        <v>25/03/2026</v>
      </c>
      <c r="K4302">
        <v>46103</v>
      </c>
      <c r="N4302">
        <v>109</v>
      </c>
      <c r="O4302" t="s">
        <v>27</v>
      </c>
      <c r="Q4302">
        <v>60</v>
      </c>
      <c r="R4302" t="str">
        <f>"BRASIL FARMA (10173)"</f>
        <v>BRASIL FARMA (10173)</v>
      </c>
      <c r="S4302" t="s">
        <v>37</v>
      </c>
      <c r="T4302">
        <v>31891</v>
      </c>
      <c r="U4302">
        <v>36309</v>
      </c>
      <c r="V4302" t="s">
        <v>37</v>
      </c>
    </row>
    <row r="4303" spans="1:22">
      <c r="A4303" t="str">
        <f t="shared" ref="A4303:A4312" si="765">("23/03/2026")</f>
        <v>23/03/2026</v>
      </c>
      <c r="B4303" t="str">
        <f t="shared" si="761"/>
        <v>SAÍDA</v>
      </c>
      <c r="C4303" t="str">
        <f t="shared" si="762"/>
        <v>PIX</v>
      </c>
      <c r="D4303" t="str">
        <f>"35200"</f>
        <v>35200</v>
      </c>
      <c r="E4303" t="str">
        <f t="shared" ref="E4303:E4308" si="766">"2"</f>
        <v>2</v>
      </c>
      <c r="F4303" t="str">
        <f t="shared" si="758"/>
        <v>COM</v>
      </c>
      <c r="G4303" t="str">
        <f>"BRUNO WAGNER DE CARVALHO OLIVEIRA (84)"</f>
        <v>BRUNO WAGNER DE CARVALHO OLIVEIRA (84)</v>
      </c>
      <c r="H4303" t="str">
        <f>"Serv.Prest. 02/03/2026 a 08/03/2026 - PIX: CELULAR - CHAVE: (32) 98896-0708"</f>
        <v>Serv.Prest. 02/03/2026 a 08/03/2026 - PIX: CELULAR - CHAVE: (32) 98896-0708</v>
      </c>
      <c r="I4303" t="str">
        <f t="shared" ref="I4303:I4312" si="767">("23/03/2026")</f>
        <v>23/03/2026</v>
      </c>
      <c r="J4303" t="str">
        <f t="shared" ref="J4303:J4308" si="768">("17/03/2026")</f>
        <v>17/03/2026</v>
      </c>
      <c r="K4303" t="str">
        <f>("23/03/2026")</f>
        <v>23/03/2026</v>
      </c>
      <c r="L4303">
        <v>700</v>
      </c>
      <c r="M4303">
        <v>700</v>
      </c>
      <c r="N4303">
        <v>109</v>
      </c>
      <c r="O4303" t="str">
        <f>"PAGAMENTO DE ENTREGADORES"</f>
        <v>PAGAMENTO DE ENTREGADORES</v>
      </c>
      <c r="P4303">
        <v>700</v>
      </c>
      <c r="S4303" t="str">
        <f>"BANCO C6 (149)"</f>
        <v>BANCO C6 (149)</v>
      </c>
      <c r="T4303">
        <v>31824</v>
      </c>
      <c r="U4303">
        <v>35794</v>
      </c>
      <c r="V4303" t="s">
        <v>37</v>
      </c>
    </row>
    <row r="4304" spans="1:22">
      <c r="A4304" t="str">
        <f t="shared" si="765"/>
        <v>23/03/2026</v>
      </c>
      <c r="B4304" t="str">
        <f t="shared" si="761"/>
        <v>SAÍDA</v>
      </c>
      <c r="C4304" t="str">
        <f t="shared" si="762"/>
        <v>PIX</v>
      </c>
      <c r="D4304" t="str">
        <f>"35200"</f>
        <v>35200</v>
      </c>
      <c r="E4304" t="str">
        <f t="shared" si="766"/>
        <v>2</v>
      </c>
      <c r="F4304" t="str">
        <f t="shared" si="758"/>
        <v>COM</v>
      </c>
      <c r="G4304" t="str">
        <f>"BRUNO WAGNER DE CARVALHO OLIVEIRA (84)"</f>
        <v>BRUNO WAGNER DE CARVALHO OLIVEIRA (84)</v>
      </c>
      <c r="H4304" t="s">
        <v>842</v>
      </c>
      <c r="I4304" t="str">
        <f t="shared" si="767"/>
        <v>23/03/2026</v>
      </c>
      <c r="J4304" t="str">
        <f t="shared" si="768"/>
        <v>17/03/2026</v>
      </c>
      <c r="K4304">
        <v>46104</v>
      </c>
      <c r="N4304">
        <v>109</v>
      </c>
      <c r="O4304" t="s">
        <v>27</v>
      </c>
      <c r="Q4304">
        <v>700</v>
      </c>
      <c r="R4304" t="str">
        <f>"FARMÁCIA INDIANA LJ 186 (10081)"</f>
        <v>FARMÁCIA INDIANA LJ 186 (10081)</v>
      </c>
      <c r="S4304" t="s">
        <v>37</v>
      </c>
      <c r="T4304">
        <v>31824</v>
      </c>
      <c r="U4304">
        <v>35794</v>
      </c>
      <c r="V4304" t="s">
        <v>37</v>
      </c>
    </row>
    <row r="4305" spans="1:22">
      <c r="A4305" t="str">
        <f t="shared" si="765"/>
        <v>23/03/2026</v>
      </c>
      <c r="B4305" t="str">
        <f t="shared" si="761"/>
        <v>SAÍDA</v>
      </c>
      <c r="C4305" t="str">
        <f t="shared" si="762"/>
        <v>PIX</v>
      </c>
      <c r="D4305" t="str">
        <f>"35280"</f>
        <v>35280</v>
      </c>
      <c r="E4305" t="str">
        <f t="shared" si="766"/>
        <v>2</v>
      </c>
      <c r="F4305" t="str">
        <f t="shared" si="758"/>
        <v>COM</v>
      </c>
      <c r="G4305" t="str">
        <f>"RAISSON VITOR MENDES DE ABREU (705)"</f>
        <v>RAISSON VITOR MENDES DE ABREU (705)</v>
      </c>
      <c r="H4305" t="str">
        <f>"Serv.Prest. 02/03/2026 a 08/03/2026 - PIX: CELULAR - CHAVE: (31) 99959-5414"</f>
        <v>Serv.Prest. 02/03/2026 a 08/03/2026 - PIX: CELULAR - CHAVE: (31) 99959-5414</v>
      </c>
      <c r="I4305" t="str">
        <f t="shared" si="767"/>
        <v>23/03/2026</v>
      </c>
      <c r="J4305" t="str">
        <f t="shared" si="768"/>
        <v>17/03/2026</v>
      </c>
      <c r="K4305" t="str">
        <f>("23/03/2026")</f>
        <v>23/03/2026</v>
      </c>
      <c r="L4305">
        <v>960</v>
      </c>
      <c r="M4305">
        <v>960</v>
      </c>
      <c r="N4305">
        <v>109</v>
      </c>
      <c r="O4305" t="str">
        <f>"PAGAMENTO DE ENTREGADORES"</f>
        <v>PAGAMENTO DE ENTREGADORES</v>
      </c>
      <c r="P4305">
        <v>960</v>
      </c>
      <c r="S4305" t="str">
        <f>"BANCO C6 (149)"</f>
        <v>BANCO C6 (149)</v>
      </c>
      <c r="T4305">
        <v>31825</v>
      </c>
      <c r="U4305">
        <v>35795</v>
      </c>
      <c r="V4305" t="s">
        <v>37</v>
      </c>
    </row>
    <row r="4306" spans="1:22">
      <c r="A4306" t="str">
        <f t="shared" si="765"/>
        <v>23/03/2026</v>
      </c>
      <c r="B4306" t="str">
        <f t="shared" si="761"/>
        <v>SAÍDA</v>
      </c>
      <c r="C4306" t="str">
        <f t="shared" si="762"/>
        <v>PIX</v>
      </c>
      <c r="D4306" t="str">
        <f>"35280"</f>
        <v>35280</v>
      </c>
      <c r="E4306" t="str">
        <f t="shared" si="766"/>
        <v>2</v>
      </c>
      <c r="F4306" t="str">
        <f t="shared" si="758"/>
        <v>COM</v>
      </c>
      <c r="G4306" t="str">
        <f>"RAISSON VITOR MENDES DE ABREU (705)"</f>
        <v>RAISSON VITOR MENDES DE ABREU (705)</v>
      </c>
      <c r="H4306" t="s">
        <v>1159</v>
      </c>
      <c r="I4306" t="str">
        <f t="shared" si="767"/>
        <v>23/03/2026</v>
      </c>
      <c r="J4306" t="str">
        <f t="shared" si="768"/>
        <v>17/03/2026</v>
      </c>
      <c r="K4306">
        <v>46104</v>
      </c>
      <c r="N4306">
        <v>109</v>
      </c>
      <c r="O4306" t="s">
        <v>27</v>
      </c>
      <c r="Q4306">
        <v>960</v>
      </c>
      <c r="R4306" t="str">
        <f>"FARMÁCIA INDIANA LJ 178 (10077)"</f>
        <v>FARMÁCIA INDIANA LJ 178 (10077)</v>
      </c>
      <c r="S4306" t="s">
        <v>37</v>
      </c>
      <c r="T4306">
        <v>31825</v>
      </c>
      <c r="U4306">
        <v>35795</v>
      </c>
      <c r="V4306" t="s">
        <v>37</v>
      </c>
    </row>
    <row r="4307" spans="1:22">
      <c r="A4307" t="str">
        <f t="shared" si="765"/>
        <v>23/03/2026</v>
      </c>
      <c r="B4307" t="str">
        <f t="shared" si="761"/>
        <v>SAÍDA</v>
      </c>
      <c r="C4307" t="str">
        <f t="shared" si="762"/>
        <v>PIX</v>
      </c>
      <c r="D4307" t="str">
        <f>"35280"</f>
        <v>35280</v>
      </c>
      <c r="E4307" t="str">
        <f t="shared" si="766"/>
        <v>2</v>
      </c>
      <c r="F4307" t="str">
        <f t="shared" si="758"/>
        <v>COM</v>
      </c>
      <c r="G4307" t="str">
        <f>"RAISSON VITOR MENDES DE ABREU (705)"</f>
        <v>RAISSON VITOR MENDES DE ABREU (705)</v>
      </c>
      <c r="H4307" t="str">
        <f>"Serv.Prest.DIARIA 15/03/2026 - PIX: CELULAR - CHAVE: (31) 99959-5414"</f>
        <v>Serv.Prest.DIARIA 15/03/2026 - PIX: CELULAR - CHAVE: (31) 99959-5414</v>
      </c>
      <c r="I4307" t="str">
        <f t="shared" si="767"/>
        <v>23/03/2026</v>
      </c>
      <c r="J4307" t="str">
        <f t="shared" si="768"/>
        <v>17/03/2026</v>
      </c>
      <c r="K4307" t="str">
        <f>("23/03/2026")</f>
        <v>23/03/2026</v>
      </c>
      <c r="L4307">
        <v>150</v>
      </c>
      <c r="M4307">
        <v>150</v>
      </c>
      <c r="N4307">
        <v>134</v>
      </c>
      <c r="O4307" t="str">
        <f>"DIARIA DE MOTOBOY"</f>
        <v>DIARIA DE MOTOBOY</v>
      </c>
      <c r="P4307">
        <v>150</v>
      </c>
      <c r="S4307" t="str">
        <f>"BANCO C6 (149)"</f>
        <v>BANCO C6 (149)</v>
      </c>
      <c r="T4307">
        <v>31826</v>
      </c>
      <c r="U4307">
        <v>35796</v>
      </c>
      <c r="V4307" t="s">
        <v>37</v>
      </c>
    </row>
    <row r="4308" spans="1:22">
      <c r="A4308" t="str">
        <f t="shared" si="765"/>
        <v>23/03/2026</v>
      </c>
      <c r="B4308" t="str">
        <f t="shared" si="761"/>
        <v>SAÍDA</v>
      </c>
      <c r="C4308" t="str">
        <f t="shared" si="762"/>
        <v>PIX</v>
      </c>
      <c r="D4308" t="str">
        <f>"35280"</f>
        <v>35280</v>
      </c>
      <c r="E4308" t="str">
        <f t="shared" si="766"/>
        <v>2</v>
      </c>
      <c r="F4308" t="str">
        <f t="shared" si="758"/>
        <v>COM</v>
      </c>
      <c r="G4308" t="str">
        <f>"RAISSON VITOR MENDES DE ABREU (705)"</f>
        <v>RAISSON VITOR MENDES DE ABREU (705)</v>
      </c>
      <c r="H4308" t="s">
        <v>1160</v>
      </c>
      <c r="I4308" t="str">
        <f t="shared" si="767"/>
        <v>23/03/2026</v>
      </c>
      <c r="J4308" t="str">
        <f t="shared" si="768"/>
        <v>17/03/2026</v>
      </c>
      <c r="K4308">
        <v>46104</v>
      </c>
      <c r="N4308">
        <v>134</v>
      </c>
      <c r="O4308" t="s">
        <v>30</v>
      </c>
      <c r="Q4308">
        <v>150</v>
      </c>
      <c r="R4308" t="str">
        <f>"FARMÁCIA INDIANA LJ 178 (10077)"</f>
        <v>FARMÁCIA INDIANA LJ 178 (10077)</v>
      </c>
      <c r="S4308" t="s">
        <v>37</v>
      </c>
      <c r="T4308">
        <v>31826</v>
      </c>
      <c r="U4308">
        <v>35796</v>
      </c>
      <c r="V4308" t="s">
        <v>37</v>
      </c>
    </row>
    <row r="4309" spans="1:22">
      <c r="A4309" t="str">
        <f t="shared" si="765"/>
        <v>23/03/2026</v>
      </c>
      <c r="B4309" t="str">
        <f t="shared" si="761"/>
        <v>SAÍDA</v>
      </c>
      <c r="C4309" t="str">
        <f t="shared" si="762"/>
        <v>PIX</v>
      </c>
      <c r="D4309" t="str">
        <f>"23032026"</f>
        <v>23032026</v>
      </c>
      <c r="E4309" t="str">
        <f>""</f>
        <v/>
      </c>
      <c r="F4309" t="str">
        <f t="shared" si="758"/>
        <v>COM</v>
      </c>
      <c r="G4309" t="str">
        <f>"THALISSON NUNES (1046)"</f>
        <v>THALISSON NUNES (1046)</v>
      </c>
      <c r="H4309" t="str">
        <f>"Serv.Prest.COMPLEMENTO 09/03/2026 a 15/03/2026 - PIX: CELULAR - CHAVE: (34) 99694-0926"</f>
        <v>Serv.Prest.COMPLEMENTO 09/03/2026 a 15/03/2026 - PIX: CELULAR - CHAVE: (34) 99694-0926</v>
      </c>
      <c r="I4309" t="str">
        <f t="shared" si="767"/>
        <v>23/03/2026</v>
      </c>
      <c r="J4309" t="str">
        <f>("23/03/2026")</f>
        <v>23/03/2026</v>
      </c>
      <c r="K4309" t="str">
        <f>("23/03/2026")</f>
        <v>23/03/2026</v>
      </c>
      <c r="L4309">
        <v>485</v>
      </c>
      <c r="M4309">
        <v>485</v>
      </c>
      <c r="N4309">
        <v>109</v>
      </c>
      <c r="O4309" t="str">
        <f>"PAGAMENTO DE ENTREGADORES"</f>
        <v>PAGAMENTO DE ENTREGADORES</v>
      </c>
      <c r="P4309">
        <v>485</v>
      </c>
      <c r="S4309" t="str">
        <f>"BANCO C6 (149)"</f>
        <v>BANCO C6 (149)</v>
      </c>
      <c r="T4309">
        <v>31827</v>
      </c>
      <c r="U4309">
        <v>35797</v>
      </c>
      <c r="V4309" t="s">
        <v>37</v>
      </c>
    </row>
    <row r="4310" spans="1:22">
      <c r="A4310" t="str">
        <f t="shared" si="765"/>
        <v>23/03/2026</v>
      </c>
      <c r="B4310" t="str">
        <f t="shared" si="761"/>
        <v>SAÍDA</v>
      </c>
      <c r="C4310" t="str">
        <f t="shared" si="762"/>
        <v>PIX</v>
      </c>
      <c r="D4310" t="str">
        <f>"23032026"</f>
        <v>23032026</v>
      </c>
      <c r="E4310" t="str">
        <f>""</f>
        <v/>
      </c>
      <c r="F4310" t="str">
        <f t="shared" si="758"/>
        <v>COM</v>
      </c>
      <c r="G4310" t="str">
        <f>"THALISSON NUNES (1046)"</f>
        <v>THALISSON NUNES (1046)</v>
      </c>
      <c r="H4310" t="s">
        <v>1161</v>
      </c>
      <c r="I4310" t="str">
        <f t="shared" si="767"/>
        <v>23/03/2026</v>
      </c>
      <c r="J4310" t="str">
        <f>("23/03/2026")</f>
        <v>23/03/2026</v>
      </c>
      <c r="K4310">
        <v>46104</v>
      </c>
      <c r="N4310">
        <v>109</v>
      </c>
      <c r="O4310" t="s">
        <v>27</v>
      </c>
      <c r="Q4310">
        <v>485</v>
      </c>
      <c r="R4310" t="str">
        <f>"THALISSON NUNES (1046)"</f>
        <v>THALISSON NUNES (1046)</v>
      </c>
      <c r="S4310" t="s">
        <v>37</v>
      </c>
      <c r="T4310">
        <v>31827</v>
      </c>
      <c r="U4310">
        <v>35797</v>
      </c>
      <c r="V4310" t="s">
        <v>37</v>
      </c>
    </row>
    <row r="4311" spans="1:22">
      <c r="A4311" t="str">
        <f t="shared" si="765"/>
        <v>23/03/2026</v>
      </c>
      <c r="B4311" t="str">
        <f t="shared" si="761"/>
        <v>SAÍDA</v>
      </c>
      <c r="C4311" t="str">
        <f t="shared" si="762"/>
        <v>PIX</v>
      </c>
      <c r="D4311" t="str">
        <f>"23032026"</f>
        <v>23032026</v>
      </c>
      <c r="E4311" t="str">
        <f>""</f>
        <v/>
      </c>
      <c r="F4311" t="str">
        <f t="shared" si="758"/>
        <v>COM</v>
      </c>
      <c r="G4311" t="str">
        <f>"LUIZ FERNANDO CAIXETA FRANCO (20142)"</f>
        <v>LUIZ FERNANDO CAIXETA FRANCO (20142)</v>
      </c>
      <c r="H4311" t="str">
        <f>"VALE TRANSPORTE (12 DIAS)"</f>
        <v>VALE TRANSPORTE (12 DIAS)</v>
      </c>
      <c r="I4311" t="str">
        <f t="shared" si="767"/>
        <v>23/03/2026</v>
      </c>
      <c r="J4311" t="str">
        <f>("23/03/2026")</f>
        <v>23/03/2026</v>
      </c>
      <c r="K4311" t="str">
        <f>("23/03/2026")</f>
        <v>23/03/2026</v>
      </c>
      <c r="L4311">
        <v>136.80000000000001</v>
      </c>
      <c r="M4311">
        <v>136.80000000000001</v>
      </c>
      <c r="N4311">
        <v>107</v>
      </c>
      <c r="O4311" t="str">
        <f>"VALE TRANSPORTE"</f>
        <v>VALE TRANSPORTE</v>
      </c>
      <c r="P4311">
        <v>136.80000000000001</v>
      </c>
      <c r="S4311" t="str">
        <f>"BANCO C6 (149)"</f>
        <v>BANCO C6 (149)</v>
      </c>
      <c r="T4311">
        <v>31828</v>
      </c>
      <c r="U4311">
        <v>35798</v>
      </c>
      <c r="V4311" t="s">
        <v>37</v>
      </c>
    </row>
    <row r="4312" spans="1:22">
      <c r="A4312" t="str">
        <f t="shared" si="765"/>
        <v>23/03/2026</v>
      </c>
      <c r="B4312" t="str">
        <f t="shared" si="761"/>
        <v>SAÍDA</v>
      </c>
      <c r="C4312" t="str">
        <f t="shared" si="762"/>
        <v>PIX</v>
      </c>
      <c r="D4312" t="str">
        <f>"23032026"</f>
        <v>23032026</v>
      </c>
      <c r="E4312" t="str">
        <f>""</f>
        <v/>
      </c>
      <c r="F4312" t="str">
        <f t="shared" si="758"/>
        <v>COM</v>
      </c>
      <c r="G4312" t="str">
        <f>"LUIZ FERNANDO CAIXETA FRANCO (20142)"</f>
        <v>LUIZ FERNANDO CAIXETA FRANCO (20142)</v>
      </c>
      <c r="H4312" t="s">
        <v>1162</v>
      </c>
      <c r="I4312" t="str">
        <f t="shared" si="767"/>
        <v>23/03/2026</v>
      </c>
      <c r="J4312" t="str">
        <f>("23/03/2026")</f>
        <v>23/03/2026</v>
      </c>
      <c r="K4312">
        <v>46104</v>
      </c>
      <c r="N4312">
        <v>107</v>
      </c>
      <c r="O4312" t="s">
        <v>78</v>
      </c>
      <c r="Q4312">
        <v>136.80000000000001</v>
      </c>
      <c r="R4312" t="str">
        <f>"LUIZ FERNANDO CAIXETA FRANCO (20142)"</f>
        <v>LUIZ FERNANDO CAIXETA FRANCO (20142)</v>
      </c>
      <c r="S4312" t="s">
        <v>37</v>
      </c>
      <c r="T4312">
        <v>31828</v>
      </c>
      <c r="U4312">
        <v>35798</v>
      </c>
      <c r="V4312" t="s">
        <v>37</v>
      </c>
    </row>
    <row r="4313" spans="1:22">
      <c r="A4313" t="str">
        <f t="shared" ref="A4313:A4344" si="769">("24/03/2026")</f>
        <v>24/03/2026</v>
      </c>
      <c r="B4313" t="str">
        <f t="shared" si="761"/>
        <v>SAÍDA</v>
      </c>
      <c r="C4313" t="str">
        <f t="shared" si="762"/>
        <v>PIX</v>
      </c>
      <c r="D4313" t="str">
        <f>"35959"</f>
        <v>35959</v>
      </c>
      <c r="E4313" t="str">
        <f t="shared" ref="E4313:E4350" si="770">"1"</f>
        <v>1</v>
      </c>
      <c r="F4313" t="str">
        <f t="shared" si="758"/>
        <v>COM</v>
      </c>
      <c r="G4313" t="str">
        <f>"MATEUS VIEIRA DE SOUZA (1019)"</f>
        <v>MATEUS VIEIRA DE SOUZA (1019)</v>
      </c>
      <c r="H4313" t="str">
        <f>"Serv.Prest. 16/03/2026 a 22/03/2026 - PIX: CELULAR - CHAVE: (11) 97702-1316"</f>
        <v>Serv.Prest. 16/03/2026 a 22/03/2026 - PIX: CELULAR - CHAVE: (11) 97702-1316</v>
      </c>
      <c r="I4313" t="str">
        <f t="shared" ref="I4313:I4344" si="771">("24/03/2026")</f>
        <v>24/03/2026</v>
      </c>
      <c r="J4313" t="str">
        <f>("23/03/2026")</f>
        <v>23/03/2026</v>
      </c>
      <c r="K4313" t="str">
        <f>("24/03/2026")</f>
        <v>24/03/2026</v>
      </c>
      <c r="L4313">
        <v>250</v>
      </c>
      <c r="M4313">
        <v>250</v>
      </c>
      <c r="N4313">
        <v>134</v>
      </c>
      <c r="O4313" t="str">
        <f>"DIARIA DE MOTOBOY"</f>
        <v>DIARIA DE MOTOBOY</v>
      </c>
      <c r="P4313">
        <v>250</v>
      </c>
      <c r="S4313" t="str">
        <f>"BANCO CORA (102)"</f>
        <v>BANCO CORA (102)</v>
      </c>
      <c r="T4313">
        <v>31829</v>
      </c>
      <c r="U4313">
        <v>35960</v>
      </c>
      <c r="V4313" t="s">
        <v>33</v>
      </c>
    </row>
    <row r="4314" spans="1:22">
      <c r="A4314" t="str">
        <f t="shared" si="769"/>
        <v>24/03/2026</v>
      </c>
      <c r="B4314" t="str">
        <f t="shared" si="761"/>
        <v>SAÍDA</v>
      </c>
      <c r="C4314" t="str">
        <f t="shared" si="762"/>
        <v>PIX</v>
      </c>
      <c r="D4314" t="str">
        <f>"35959"</f>
        <v>35959</v>
      </c>
      <c r="E4314" t="str">
        <f t="shared" si="770"/>
        <v>1</v>
      </c>
      <c r="F4314" t="str">
        <f t="shared" si="758"/>
        <v>COM</v>
      </c>
      <c r="G4314" t="str">
        <f>"MATEUS VIEIRA DE SOUZA (1019)"</f>
        <v>MATEUS VIEIRA DE SOUZA (1019)</v>
      </c>
      <c r="H4314" t="s">
        <v>1163</v>
      </c>
      <c r="I4314" t="str">
        <f t="shared" si="771"/>
        <v>24/03/2026</v>
      </c>
      <c r="J4314" t="str">
        <f>("23/03/2026")</f>
        <v>23/03/2026</v>
      </c>
      <c r="K4314">
        <v>46105</v>
      </c>
      <c r="N4314">
        <v>134</v>
      </c>
      <c r="O4314" t="s">
        <v>30</v>
      </c>
      <c r="Q4314">
        <v>250</v>
      </c>
      <c r="R4314" t="str">
        <f>"PENSE FARMA 47 (10232)"</f>
        <v>PENSE FARMA 47 (10232)</v>
      </c>
      <c r="S4314" t="s">
        <v>33</v>
      </c>
      <c r="T4314">
        <v>31829</v>
      </c>
      <c r="U4314">
        <v>35960</v>
      </c>
      <c r="V4314" t="s">
        <v>33</v>
      </c>
    </row>
    <row r="4315" spans="1:22">
      <c r="A4315" t="str">
        <f t="shared" si="769"/>
        <v>24/03/2026</v>
      </c>
      <c r="B4315" t="str">
        <f t="shared" si="761"/>
        <v>SAÍDA</v>
      </c>
      <c r="C4315" t="str">
        <f t="shared" si="762"/>
        <v>PIX</v>
      </c>
      <c r="D4315" t="str">
        <f>"35230"</f>
        <v>35230</v>
      </c>
      <c r="E4315" t="str">
        <f t="shared" si="770"/>
        <v>1</v>
      </c>
      <c r="F4315" t="str">
        <f t="shared" si="758"/>
        <v>COM</v>
      </c>
      <c r="G4315" t="str">
        <f>"GUILHERME DO CARMO CAZARIM (1268)"</f>
        <v>GUILHERME DO CARMO CAZARIM (1268)</v>
      </c>
      <c r="H4315" t="str">
        <f>"Serv.Prest. 09/03/2026 a 15/03/2026 - PIX: CELULAR - CHAVE: (32) 99841-7315"</f>
        <v>Serv.Prest. 09/03/2026 a 15/03/2026 - PIX: CELULAR - CHAVE: (32) 99841-7315</v>
      </c>
      <c r="I4315" t="str">
        <f t="shared" si="771"/>
        <v>24/03/2026</v>
      </c>
      <c r="J4315" t="str">
        <f>("17/03/2026")</f>
        <v>17/03/2026</v>
      </c>
      <c r="K4315" t="str">
        <f>("24/03/2026")</f>
        <v>24/03/2026</v>
      </c>
      <c r="L4315">
        <v>150</v>
      </c>
      <c r="M4315">
        <v>150</v>
      </c>
      <c r="N4315">
        <v>134</v>
      </c>
      <c r="O4315" t="str">
        <f>"DIARIA DE MOTOBOY"</f>
        <v>DIARIA DE MOTOBOY</v>
      </c>
      <c r="P4315">
        <v>150</v>
      </c>
      <c r="S4315" t="str">
        <f>"BANCO C6 (149)"</f>
        <v>BANCO C6 (149)</v>
      </c>
      <c r="T4315">
        <v>31830</v>
      </c>
      <c r="U4315">
        <v>35230</v>
      </c>
      <c r="V4315" t="s">
        <v>37</v>
      </c>
    </row>
    <row r="4316" spans="1:22">
      <c r="A4316" t="str">
        <f t="shared" si="769"/>
        <v>24/03/2026</v>
      </c>
      <c r="B4316" t="str">
        <f t="shared" si="761"/>
        <v>SAÍDA</v>
      </c>
      <c r="C4316" t="str">
        <f t="shared" si="762"/>
        <v>PIX</v>
      </c>
      <c r="D4316" t="str">
        <f>"35230"</f>
        <v>35230</v>
      </c>
      <c r="E4316" t="str">
        <f t="shared" si="770"/>
        <v>1</v>
      </c>
      <c r="F4316" t="str">
        <f t="shared" si="758"/>
        <v>COM</v>
      </c>
      <c r="G4316" t="str">
        <f>"GUILHERME DO CARMO CAZARIM (1268)"</f>
        <v>GUILHERME DO CARMO CAZARIM (1268)</v>
      </c>
      <c r="H4316" t="s">
        <v>1164</v>
      </c>
      <c r="I4316" t="str">
        <f t="shared" si="771"/>
        <v>24/03/2026</v>
      </c>
      <c r="J4316" t="str">
        <f>("17/03/2026")</f>
        <v>17/03/2026</v>
      </c>
      <c r="K4316">
        <v>46105</v>
      </c>
      <c r="N4316">
        <v>134</v>
      </c>
      <c r="O4316" t="s">
        <v>30</v>
      </c>
      <c r="Q4316">
        <v>150</v>
      </c>
      <c r="R4316" t="str">
        <f>"FARMÁCIA INDIANA LJ 112 (10050)"</f>
        <v>FARMÁCIA INDIANA LJ 112 (10050)</v>
      </c>
      <c r="S4316" t="s">
        <v>37</v>
      </c>
      <c r="T4316">
        <v>31830</v>
      </c>
      <c r="U4316">
        <v>35230</v>
      </c>
      <c r="V4316" t="s">
        <v>37</v>
      </c>
    </row>
    <row r="4317" spans="1:22">
      <c r="A4317" t="str">
        <f t="shared" si="769"/>
        <v>24/03/2026</v>
      </c>
      <c r="B4317" t="str">
        <f t="shared" si="761"/>
        <v>SAÍDA</v>
      </c>
      <c r="C4317" t="str">
        <f t="shared" si="762"/>
        <v>PIX</v>
      </c>
      <c r="D4317" t="str">
        <f>"35847"</f>
        <v>35847</v>
      </c>
      <c r="E4317" t="str">
        <f t="shared" si="770"/>
        <v>1</v>
      </c>
      <c r="F4317" t="str">
        <f t="shared" si="758"/>
        <v>COM</v>
      </c>
      <c r="G4317" t="str">
        <f>"ERIC RODRIGUES TEIXEIRA (939)"</f>
        <v>ERIC RODRIGUES TEIXEIRA (939)</v>
      </c>
      <c r="H4317" t="str">
        <f>"Serv.Prest. 16/03/2026 a 22/03/2026 - PIX: CELULAR - CHAVE: (11) 95038-0621"</f>
        <v>Serv.Prest. 16/03/2026 a 22/03/2026 - PIX: CELULAR - CHAVE: (11) 95038-0621</v>
      </c>
      <c r="I4317" t="str">
        <f t="shared" si="771"/>
        <v>24/03/2026</v>
      </c>
      <c r="J4317" t="str">
        <f t="shared" ref="J4317:J4348" si="772">("23/03/2026")</f>
        <v>23/03/2026</v>
      </c>
      <c r="K4317" t="str">
        <f>("24/03/2026")</f>
        <v>24/03/2026</v>
      </c>
      <c r="L4317">
        <v>250</v>
      </c>
      <c r="M4317">
        <v>250</v>
      </c>
      <c r="N4317">
        <v>134</v>
      </c>
      <c r="O4317" t="str">
        <f>"DIARIA DE MOTOBOY"</f>
        <v>DIARIA DE MOTOBOY</v>
      </c>
      <c r="P4317">
        <v>250</v>
      </c>
      <c r="S4317" t="str">
        <f>"BANCO C6 (149)"</f>
        <v>BANCO C6 (149)</v>
      </c>
      <c r="T4317">
        <v>31831</v>
      </c>
      <c r="U4317">
        <v>35848</v>
      </c>
      <c r="V4317" t="s">
        <v>37</v>
      </c>
    </row>
    <row r="4318" spans="1:22">
      <c r="A4318" t="str">
        <f t="shared" si="769"/>
        <v>24/03/2026</v>
      </c>
      <c r="B4318" t="str">
        <f t="shared" si="761"/>
        <v>SAÍDA</v>
      </c>
      <c r="C4318" t="str">
        <f t="shared" si="762"/>
        <v>PIX</v>
      </c>
      <c r="D4318" t="str">
        <f>"35847"</f>
        <v>35847</v>
      </c>
      <c r="E4318" t="str">
        <f t="shared" si="770"/>
        <v>1</v>
      </c>
      <c r="F4318" t="str">
        <f t="shared" si="758"/>
        <v>COM</v>
      </c>
      <c r="G4318" t="str">
        <f>"ERIC RODRIGUES TEIXEIRA (939)"</f>
        <v>ERIC RODRIGUES TEIXEIRA (939)</v>
      </c>
      <c r="H4318" t="s">
        <v>1165</v>
      </c>
      <c r="I4318" t="str">
        <f t="shared" si="771"/>
        <v>24/03/2026</v>
      </c>
      <c r="J4318" t="str">
        <f t="shared" si="772"/>
        <v>23/03/2026</v>
      </c>
      <c r="K4318">
        <v>46105</v>
      </c>
      <c r="N4318">
        <v>134</v>
      </c>
      <c r="O4318" t="s">
        <v>30</v>
      </c>
      <c r="Q4318">
        <v>250</v>
      </c>
      <c r="R4318" t="str">
        <f>"PENSE FARMA 50 (10210)"</f>
        <v>PENSE FARMA 50 (10210)</v>
      </c>
      <c r="S4318" t="s">
        <v>37</v>
      </c>
      <c r="T4318">
        <v>31831</v>
      </c>
      <c r="U4318">
        <v>35848</v>
      </c>
      <c r="V4318" t="s">
        <v>37</v>
      </c>
    </row>
    <row r="4319" spans="1:22">
      <c r="A4319" t="str">
        <f t="shared" si="769"/>
        <v>24/03/2026</v>
      </c>
      <c r="B4319" t="str">
        <f t="shared" si="761"/>
        <v>SAÍDA</v>
      </c>
      <c r="C4319" t="str">
        <f t="shared" si="762"/>
        <v>PIX</v>
      </c>
      <c r="D4319" t="str">
        <f>"35801"</f>
        <v>35801</v>
      </c>
      <c r="E4319" t="str">
        <f t="shared" si="770"/>
        <v>1</v>
      </c>
      <c r="F4319" t="str">
        <f t="shared" si="758"/>
        <v>COM</v>
      </c>
      <c r="G4319" t="str">
        <f>"ALEXANDRE PEREIRA DE SOUZA (1252)"</f>
        <v>ALEXANDRE PEREIRA DE SOUZA (1252)</v>
      </c>
      <c r="H4319" t="str">
        <f>"Serv.Prest. 16/03/2026 a 22/03/2026 - PIX: CPF - CHAVE: 497.247.788-19"</f>
        <v>Serv.Prest. 16/03/2026 a 22/03/2026 - PIX: CPF - CHAVE: 497.247.788-19</v>
      </c>
      <c r="I4319" t="str">
        <f t="shared" si="771"/>
        <v>24/03/2026</v>
      </c>
      <c r="J4319" t="str">
        <f t="shared" si="772"/>
        <v>23/03/2026</v>
      </c>
      <c r="K4319" t="str">
        <f>("24/03/2026")</f>
        <v>24/03/2026</v>
      </c>
      <c r="L4319">
        <v>1015</v>
      </c>
      <c r="M4319">
        <v>462</v>
      </c>
      <c r="N4319">
        <v>134</v>
      </c>
      <c r="O4319" t="str">
        <f>"DIARIA DE MOTOBOY"</f>
        <v>DIARIA DE MOTOBOY</v>
      </c>
      <c r="P4319">
        <v>462</v>
      </c>
      <c r="S4319" t="str">
        <f>"BANCO C6 (149)"</f>
        <v>BANCO C6 (149)</v>
      </c>
      <c r="T4319">
        <v>31832</v>
      </c>
      <c r="U4319">
        <v>35801</v>
      </c>
      <c r="V4319" t="s">
        <v>37</v>
      </c>
    </row>
    <row r="4320" spans="1:22">
      <c r="A4320" t="str">
        <f t="shared" si="769"/>
        <v>24/03/2026</v>
      </c>
      <c r="B4320" t="str">
        <f t="shared" si="761"/>
        <v>SAÍDA</v>
      </c>
      <c r="C4320" t="str">
        <f t="shared" si="762"/>
        <v>PIX</v>
      </c>
      <c r="D4320" t="str">
        <f>"35801"</f>
        <v>35801</v>
      </c>
      <c r="E4320" t="str">
        <f t="shared" si="770"/>
        <v>1</v>
      </c>
      <c r="F4320" t="str">
        <f t="shared" si="758"/>
        <v>COM</v>
      </c>
      <c r="G4320" t="str">
        <f>"ALEXANDRE PEREIRA DE SOUZA (1252)"</f>
        <v>ALEXANDRE PEREIRA DE SOUZA (1252)</v>
      </c>
      <c r="H4320" t="s">
        <v>1166</v>
      </c>
      <c r="I4320" t="str">
        <f t="shared" si="771"/>
        <v>24/03/2026</v>
      </c>
      <c r="J4320" t="str">
        <f t="shared" si="772"/>
        <v>23/03/2026</v>
      </c>
      <c r="K4320">
        <v>46105</v>
      </c>
      <c r="N4320">
        <v>134</v>
      </c>
      <c r="O4320" t="s">
        <v>30</v>
      </c>
      <c r="Q4320">
        <v>462</v>
      </c>
      <c r="R4320" t="str">
        <f>"BEM TE FAZ LOJA 3 (10287)"</f>
        <v>BEM TE FAZ LOJA 3 (10287)</v>
      </c>
      <c r="S4320" t="s">
        <v>37</v>
      </c>
      <c r="T4320">
        <v>31832</v>
      </c>
      <c r="U4320">
        <v>35801</v>
      </c>
      <c r="V4320" t="s">
        <v>37</v>
      </c>
    </row>
    <row r="4321" spans="1:22">
      <c r="A4321" t="str">
        <f t="shared" si="769"/>
        <v>24/03/2026</v>
      </c>
      <c r="B4321" t="str">
        <f t="shared" si="761"/>
        <v>SAÍDA</v>
      </c>
      <c r="C4321" t="str">
        <f t="shared" si="762"/>
        <v>PIX</v>
      </c>
      <c r="D4321" t="str">
        <f>"35816"</f>
        <v>35816</v>
      </c>
      <c r="E4321" t="str">
        <f t="shared" si="770"/>
        <v>1</v>
      </c>
      <c r="F4321" t="str">
        <f t="shared" si="758"/>
        <v>COM</v>
      </c>
      <c r="G4321" t="str">
        <f>"LUIZ ALBERTO DA SILVA ROMANI (1378)"</f>
        <v>LUIZ ALBERTO DA SILVA ROMANI (1378)</v>
      </c>
      <c r="H4321" t="str">
        <f>"Serv.Prest. 16/03/2026 a 22/03/2026 - PIX: CPF - CHAVE: 360.975.508-39"</f>
        <v>Serv.Prest. 16/03/2026 a 22/03/2026 - PIX: CPF - CHAVE: 360.975.508-39</v>
      </c>
      <c r="I4321" t="str">
        <f t="shared" si="771"/>
        <v>24/03/2026</v>
      </c>
      <c r="J4321" t="str">
        <f t="shared" si="772"/>
        <v>23/03/2026</v>
      </c>
      <c r="K4321" t="str">
        <f>("24/03/2026")</f>
        <v>24/03/2026</v>
      </c>
      <c r="L4321">
        <v>483</v>
      </c>
      <c r="M4321">
        <v>483</v>
      </c>
      <c r="N4321">
        <v>134</v>
      </c>
      <c r="O4321" t="str">
        <f>"DIARIA DE MOTOBOY"</f>
        <v>DIARIA DE MOTOBOY</v>
      </c>
      <c r="P4321">
        <v>483</v>
      </c>
      <c r="S4321" t="str">
        <f>"BANCO C6 (149)"</f>
        <v>BANCO C6 (149)</v>
      </c>
      <c r="T4321">
        <v>31833</v>
      </c>
      <c r="U4321">
        <v>35816</v>
      </c>
      <c r="V4321" t="s">
        <v>37</v>
      </c>
    </row>
    <row r="4322" spans="1:22">
      <c r="A4322" t="str">
        <f t="shared" si="769"/>
        <v>24/03/2026</v>
      </c>
      <c r="B4322" t="str">
        <f t="shared" si="761"/>
        <v>SAÍDA</v>
      </c>
      <c r="C4322" t="str">
        <f t="shared" si="762"/>
        <v>PIX</v>
      </c>
      <c r="D4322" t="str">
        <f>"35816"</f>
        <v>35816</v>
      </c>
      <c r="E4322" t="str">
        <f t="shared" si="770"/>
        <v>1</v>
      </c>
      <c r="F4322" t="str">
        <f t="shared" si="758"/>
        <v>COM</v>
      </c>
      <c r="G4322" t="str">
        <f>"LUIZ ALBERTO DA SILVA ROMANI (1378)"</f>
        <v>LUIZ ALBERTO DA SILVA ROMANI (1378)</v>
      </c>
      <c r="H4322" t="s">
        <v>1167</v>
      </c>
      <c r="I4322" t="str">
        <f t="shared" si="771"/>
        <v>24/03/2026</v>
      </c>
      <c r="J4322" t="str">
        <f t="shared" si="772"/>
        <v>23/03/2026</v>
      </c>
      <c r="K4322">
        <v>46105</v>
      </c>
      <c r="N4322">
        <v>134</v>
      </c>
      <c r="O4322" t="s">
        <v>30</v>
      </c>
      <c r="Q4322">
        <v>483</v>
      </c>
      <c r="R4322" t="str">
        <f>"BEM TE FAZ LOJA 3 (10287)"</f>
        <v>BEM TE FAZ LOJA 3 (10287)</v>
      </c>
      <c r="S4322" t="s">
        <v>37</v>
      </c>
      <c r="T4322">
        <v>31833</v>
      </c>
      <c r="U4322">
        <v>35816</v>
      </c>
      <c r="V4322" t="s">
        <v>37</v>
      </c>
    </row>
    <row r="4323" spans="1:22">
      <c r="A4323" t="str">
        <f t="shared" si="769"/>
        <v>24/03/2026</v>
      </c>
      <c r="B4323" t="str">
        <f t="shared" si="761"/>
        <v>SAÍDA</v>
      </c>
      <c r="C4323" t="str">
        <f t="shared" si="762"/>
        <v>PIX</v>
      </c>
      <c r="D4323" t="str">
        <f>"35832"</f>
        <v>35832</v>
      </c>
      <c r="E4323" t="str">
        <f t="shared" si="770"/>
        <v>1</v>
      </c>
      <c r="F4323" t="str">
        <f t="shared" si="758"/>
        <v>COM</v>
      </c>
      <c r="G4323" t="str">
        <f>"HENRIQUE VALENTIM FERREIRA (1083)"</f>
        <v>HENRIQUE VALENTIM FERREIRA (1083)</v>
      </c>
      <c r="H4323" t="str">
        <f>"Serv.Prest. 16/03/2026 a 22/03/2026 - PIX: CELULAR - CHAVE: (11) 99293-5521"</f>
        <v>Serv.Prest. 16/03/2026 a 22/03/2026 - PIX: CELULAR - CHAVE: (11) 99293-5521</v>
      </c>
      <c r="I4323" t="str">
        <f t="shared" si="771"/>
        <v>24/03/2026</v>
      </c>
      <c r="J4323" t="str">
        <f t="shared" si="772"/>
        <v>23/03/2026</v>
      </c>
      <c r="K4323" t="str">
        <f>("24/03/2026")</f>
        <v>24/03/2026</v>
      </c>
      <c r="L4323">
        <v>300</v>
      </c>
      <c r="M4323">
        <v>300</v>
      </c>
      <c r="N4323">
        <v>134</v>
      </c>
      <c r="O4323" t="str">
        <f>"DIARIA DE MOTOBOY"</f>
        <v>DIARIA DE MOTOBOY</v>
      </c>
      <c r="P4323">
        <v>300</v>
      </c>
      <c r="S4323" t="str">
        <f>"BANCO C6 (149)"</f>
        <v>BANCO C6 (149)</v>
      </c>
      <c r="T4323">
        <v>31834</v>
      </c>
      <c r="U4323">
        <v>35832</v>
      </c>
      <c r="V4323" t="s">
        <v>37</v>
      </c>
    </row>
    <row r="4324" spans="1:22">
      <c r="A4324" t="str">
        <f t="shared" si="769"/>
        <v>24/03/2026</v>
      </c>
      <c r="B4324" t="str">
        <f t="shared" si="761"/>
        <v>SAÍDA</v>
      </c>
      <c r="C4324" t="str">
        <f t="shared" si="762"/>
        <v>PIX</v>
      </c>
      <c r="D4324" t="str">
        <f>"35832"</f>
        <v>35832</v>
      </c>
      <c r="E4324" t="str">
        <f t="shared" si="770"/>
        <v>1</v>
      </c>
      <c r="F4324" t="str">
        <f t="shared" si="758"/>
        <v>COM</v>
      </c>
      <c r="G4324" t="str">
        <f>"HENRIQUE VALENTIM FERREIRA (1083)"</f>
        <v>HENRIQUE VALENTIM FERREIRA (1083)</v>
      </c>
      <c r="H4324" t="s">
        <v>1168</v>
      </c>
      <c r="I4324" t="str">
        <f t="shared" si="771"/>
        <v>24/03/2026</v>
      </c>
      <c r="J4324" t="str">
        <f t="shared" si="772"/>
        <v>23/03/2026</v>
      </c>
      <c r="K4324">
        <v>46105</v>
      </c>
      <c r="N4324">
        <v>134</v>
      </c>
      <c r="O4324" t="s">
        <v>30</v>
      </c>
      <c r="Q4324">
        <v>300</v>
      </c>
      <c r="R4324" t="str">
        <f>"PENSE FARMA 46 (10194)"</f>
        <v>PENSE FARMA 46 (10194)</v>
      </c>
      <c r="S4324" t="s">
        <v>37</v>
      </c>
      <c r="T4324">
        <v>31834</v>
      </c>
      <c r="U4324">
        <v>35832</v>
      </c>
      <c r="V4324" t="s">
        <v>37</v>
      </c>
    </row>
    <row r="4325" spans="1:22">
      <c r="A4325" t="str">
        <f t="shared" si="769"/>
        <v>24/03/2026</v>
      </c>
      <c r="B4325" t="str">
        <f t="shared" si="761"/>
        <v>SAÍDA</v>
      </c>
      <c r="C4325" t="str">
        <f t="shared" si="762"/>
        <v>PIX</v>
      </c>
      <c r="D4325" t="str">
        <f>"35833"</f>
        <v>35833</v>
      </c>
      <c r="E4325" t="str">
        <f t="shared" si="770"/>
        <v>1</v>
      </c>
      <c r="F4325" t="str">
        <f t="shared" si="758"/>
        <v>COM</v>
      </c>
      <c r="G4325" t="str">
        <f>"ITALO GONÇALVES (974)"</f>
        <v>ITALO GONÇALVES (974)</v>
      </c>
      <c r="H4325" t="str">
        <f>"Serv.Prest. 16/03/2026 a 22/03/2026 - PIX: CELULAR - CHAVE: (11) 99220-4018"</f>
        <v>Serv.Prest. 16/03/2026 a 22/03/2026 - PIX: CELULAR - CHAVE: (11) 99220-4018</v>
      </c>
      <c r="I4325" t="str">
        <f t="shared" si="771"/>
        <v>24/03/2026</v>
      </c>
      <c r="J4325" t="str">
        <f t="shared" si="772"/>
        <v>23/03/2026</v>
      </c>
      <c r="K4325" t="str">
        <f>("24/03/2026")</f>
        <v>24/03/2026</v>
      </c>
      <c r="L4325">
        <v>215</v>
      </c>
      <c r="M4325">
        <v>215</v>
      </c>
      <c r="N4325">
        <v>134</v>
      </c>
      <c r="O4325" t="str">
        <f>"DIARIA DE MOTOBOY"</f>
        <v>DIARIA DE MOTOBOY</v>
      </c>
      <c r="P4325">
        <v>215</v>
      </c>
      <c r="S4325" t="str">
        <f>"BANCO C6 (149)"</f>
        <v>BANCO C6 (149)</v>
      </c>
      <c r="T4325">
        <v>31835</v>
      </c>
      <c r="U4325">
        <v>35833</v>
      </c>
      <c r="V4325" t="s">
        <v>37</v>
      </c>
    </row>
    <row r="4326" spans="1:22">
      <c r="A4326" t="str">
        <f t="shared" si="769"/>
        <v>24/03/2026</v>
      </c>
      <c r="B4326" t="str">
        <f t="shared" si="761"/>
        <v>SAÍDA</v>
      </c>
      <c r="C4326" t="str">
        <f t="shared" si="762"/>
        <v>PIX</v>
      </c>
      <c r="D4326" t="str">
        <f>"35833"</f>
        <v>35833</v>
      </c>
      <c r="E4326" t="str">
        <f t="shared" si="770"/>
        <v>1</v>
      </c>
      <c r="F4326" t="str">
        <f t="shared" si="758"/>
        <v>COM</v>
      </c>
      <c r="G4326" t="str">
        <f>"ITALO GONÇALVES (974)"</f>
        <v>ITALO GONÇALVES (974)</v>
      </c>
      <c r="H4326" t="s">
        <v>1169</v>
      </c>
      <c r="I4326" t="str">
        <f t="shared" si="771"/>
        <v>24/03/2026</v>
      </c>
      <c r="J4326" t="str">
        <f t="shared" si="772"/>
        <v>23/03/2026</v>
      </c>
      <c r="K4326">
        <v>46105</v>
      </c>
      <c r="N4326">
        <v>134</v>
      </c>
      <c r="O4326" t="s">
        <v>30</v>
      </c>
      <c r="Q4326">
        <v>215</v>
      </c>
      <c r="R4326" t="str">
        <f>"PENSE FARMA 46 (10194)"</f>
        <v>PENSE FARMA 46 (10194)</v>
      </c>
      <c r="S4326" t="s">
        <v>37</v>
      </c>
      <c r="T4326">
        <v>31835</v>
      </c>
      <c r="U4326">
        <v>35833</v>
      </c>
      <c r="V4326" t="s">
        <v>37</v>
      </c>
    </row>
    <row r="4327" spans="1:22">
      <c r="A4327" t="str">
        <f t="shared" si="769"/>
        <v>24/03/2026</v>
      </c>
      <c r="B4327" t="str">
        <f t="shared" si="761"/>
        <v>SAÍDA</v>
      </c>
      <c r="C4327" t="str">
        <f t="shared" si="762"/>
        <v>PIX</v>
      </c>
      <c r="D4327" t="str">
        <f>"35834"</f>
        <v>35834</v>
      </c>
      <c r="E4327" t="str">
        <f t="shared" si="770"/>
        <v>1</v>
      </c>
      <c r="F4327" t="str">
        <f t="shared" si="758"/>
        <v>COM</v>
      </c>
      <c r="G4327" t="str">
        <f>"OTAVIO MENDES DOS SANTOS FILHO (1356)"</f>
        <v>OTAVIO MENDES DOS SANTOS FILHO (1356)</v>
      </c>
      <c r="H4327" t="str">
        <f>"Serv.Prest. 16/03/2026 a 22/03/2026 - PIX: CELULAR - CHAVE: (11) 97040-4497"</f>
        <v>Serv.Prest. 16/03/2026 a 22/03/2026 - PIX: CELULAR - CHAVE: (11) 97040-4497</v>
      </c>
      <c r="I4327" t="str">
        <f t="shared" si="771"/>
        <v>24/03/2026</v>
      </c>
      <c r="J4327" t="str">
        <f t="shared" si="772"/>
        <v>23/03/2026</v>
      </c>
      <c r="K4327" t="str">
        <f>("24/03/2026")</f>
        <v>24/03/2026</v>
      </c>
      <c r="L4327">
        <v>550</v>
      </c>
      <c r="M4327">
        <v>550</v>
      </c>
      <c r="N4327">
        <v>134</v>
      </c>
      <c r="O4327" t="str">
        <f>"DIARIA DE MOTOBOY"</f>
        <v>DIARIA DE MOTOBOY</v>
      </c>
      <c r="P4327">
        <v>550</v>
      </c>
      <c r="S4327" t="str">
        <f>"BANCO C6 (149)"</f>
        <v>BANCO C6 (149)</v>
      </c>
      <c r="T4327">
        <v>31836</v>
      </c>
      <c r="U4327">
        <v>35835</v>
      </c>
      <c r="V4327" t="s">
        <v>37</v>
      </c>
    </row>
    <row r="4328" spans="1:22">
      <c r="A4328" t="str">
        <f t="shared" si="769"/>
        <v>24/03/2026</v>
      </c>
      <c r="B4328" t="str">
        <f t="shared" si="761"/>
        <v>SAÍDA</v>
      </c>
      <c r="C4328" t="str">
        <f t="shared" si="762"/>
        <v>PIX</v>
      </c>
      <c r="D4328" t="str">
        <f>"35834"</f>
        <v>35834</v>
      </c>
      <c r="E4328" t="str">
        <f t="shared" si="770"/>
        <v>1</v>
      </c>
      <c r="F4328" t="str">
        <f t="shared" si="758"/>
        <v>COM</v>
      </c>
      <c r="G4328" t="str">
        <f>"OTAVIO MENDES DOS SANTOS FILHO (1356)"</f>
        <v>OTAVIO MENDES DOS SANTOS FILHO (1356)</v>
      </c>
      <c r="H4328" t="s">
        <v>1170</v>
      </c>
      <c r="I4328" t="str">
        <f t="shared" si="771"/>
        <v>24/03/2026</v>
      </c>
      <c r="J4328" t="str">
        <f t="shared" si="772"/>
        <v>23/03/2026</v>
      </c>
      <c r="K4328">
        <v>46105</v>
      </c>
      <c r="N4328">
        <v>134</v>
      </c>
      <c r="O4328" t="s">
        <v>30</v>
      </c>
      <c r="Q4328">
        <v>550</v>
      </c>
      <c r="R4328" t="str">
        <f>"PENSE FARMA 46 (10194)"</f>
        <v>PENSE FARMA 46 (10194)</v>
      </c>
      <c r="S4328" t="s">
        <v>37</v>
      </c>
      <c r="T4328">
        <v>31836</v>
      </c>
      <c r="U4328">
        <v>35835</v>
      </c>
      <c r="V4328" t="s">
        <v>37</v>
      </c>
    </row>
    <row r="4329" spans="1:22">
      <c r="A4329" t="str">
        <f t="shared" si="769"/>
        <v>24/03/2026</v>
      </c>
      <c r="B4329" t="str">
        <f t="shared" ref="B4329:B4360" si="773">"SAÍDA"</f>
        <v>SAÍDA</v>
      </c>
      <c r="C4329" t="str">
        <f t="shared" ref="C4329:C4360" si="774">"PIX"</f>
        <v>PIX</v>
      </c>
      <c r="D4329" t="str">
        <f>"35839"</f>
        <v>35839</v>
      </c>
      <c r="E4329" t="str">
        <f t="shared" si="770"/>
        <v>1</v>
      </c>
      <c r="F4329" t="str">
        <f t="shared" si="758"/>
        <v>COM</v>
      </c>
      <c r="G4329" t="str">
        <f>"PEDRO HENRIQUE ALVES DA SILVA (1133)"</f>
        <v>PEDRO HENRIQUE ALVES DA SILVA (1133)</v>
      </c>
      <c r="H4329" t="str">
        <f>"Serv.Prest. 16/03/2026 a 22/03/2026 - PIX: CELULAR - CHAVE: (11) 98776-2232"</f>
        <v>Serv.Prest. 16/03/2026 a 22/03/2026 - PIX: CELULAR - CHAVE: (11) 98776-2232</v>
      </c>
      <c r="I4329" t="str">
        <f t="shared" si="771"/>
        <v>24/03/2026</v>
      </c>
      <c r="J4329" t="str">
        <f t="shared" si="772"/>
        <v>23/03/2026</v>
      </c>
      <c r="K4329" t="str">
        <f>("24/03/2026")</f>
        <v>24/03/2026</v>
      </c>
      <c r="L4329">
        <v>730</v>
      </c>
      <c r="M4329">
        <v>730</v>
      </c>
      <c r="N4329">
        <v>134</v>
      </c>
      <c r="O4329" t="str">
        <f>"DIARIA DE MOTOBOY"</f>
        <v>DIARIA DE MOTOBOY</v>
      </c>
      <c r="P4329">
        <v>730</v>
      </c>
      <c r="S4329" t="str">
        <f>"BANCO C6 (149)"</f>
        <v>BANCO C6 (149)</v>
      </c>
      <c r="T4329">
        <v>31837</v>
      </c>
      <c r="U4329">
        <v>35840</v>
      </c>
      <c r="V4329" t="s">
        <v>37</v>
      </c>
    </row>
    <row r="4330" spans="1:22">
      <c r="A4330" t="str">
        <f t="shared" si="769"/>
        <v>24/03/2026</v>
      </c>
      <c r="B4330" t="str">
        <f t="shared" si="773"/>
        <v>SAÍDA</v>
      </c>
      <c r="C4330" t="str">
        <f t="shared" si="774"/>
        <v>PIX</v>
      </c>
      <c r="D4330" t="str">
        <f>"35839"</f>
        <v>35839</v>
      </c>
      <c r="E4330" t="str">
        <f t="shared" si="770"/>
        <v>1</v>
      </c>
      <c r="F4330" t="str">
        <f t="shared" si="758"/>
        <v>COM</v>
      </c>
      <c r="G4330" t="str">
        <f>"PEDRO HENRIQUE ALVES DA SILVA (1133)"</f>
        <v>PEDRO HENRIQUE ALVES DA SILVA (1133)</v>
      </c>
      <c r="H4330" t="s">
        <v>1171</v>
      </c>
      <c r="I4330" t="str">
        <f t="shared" si="771"/>
        <v>24/03/2026</v>
      </c>
      <c r="J4330" t="str">
        <f t="shared" si="772"/>
        <v>23/03/2026</v>
      </c>
      <c r="K4330">
        <v>46105</v>
      </c>
      <c r="N4330">
        <v>134</v>
      </c>
      <c r="O4330" t="s">
        <v>30</v>
      </c>
      <c r="Q4330">
        <v>730</v>
      </c>
      <c r="R4330" t="str">
        <f>"PENSE FARMA 22 (10198)"</f>
        <v>PENSE FARMA 22 (10198)</v>
      </c>
      <c r="S4330" t="s">
        <v>37</v>
      </c>
      <c r="T4330">
        <v>31837</v>
      </c>
      <c r="U4330">
        <v>35840</v>
      </c>
      <c r="V4330" t="s">
        <v>37</v>
      </c>
    </row>
    <row r="4331" spans="1:22">
      <c r="A4331" t="str">
        <f t="shared" si="769"/>
        <v>24/03/2026</v>
      </c>
      <c r="B4331" t="str">
        <f t="shared" si="773"/>
        <v>SAÍDA</v>
      </c>
      <c r="C4331" t="str">
        <f t="shared" si="774"/>
        <v>PIX</v>
      </c>
      <c r="D4331" t="str">
        <f>"35854"</f>
        <v>35854</v>
      </c>
      <c r="E4331" t="str">
        <f t="shared" si="770"/>
        <v>1</v>
      </c>
      <c r="F4331" t="str">
        <f t="shared" si="758"/>
        <v>COM</v>
      </c>
      <c r="G4331" t="str">
        <f t="shared" ref="G4331:G4338" si="775">"ITALO GONÇALVES (974)"</f>
        <v>ITALO GONÇALVES (974)</v>
      </c>
      <c r="H4331" t="str">
        <f>"Serv.Prest. 16/03/2026 a 22/03/2026 - PIX: CELULAR - CHAVE: (11) 99220-4018"</f>
        <v>Serv.Prest. 16/03/2026 a 22/03/2026 - PIX: CELULAR - CHAVE: (11) 99220-4018</v>
      </c>
      <c r="I4331" t="str">
        <f t="shared" si="771"/>
        <v>24/03/2026</v>
      </c>
      <c r="J4331" t="str">
        <f t="shared" si="772"/>
        <v>23/03/2026</v>
      </c>
      <c r="K4331" t="str">
        <f>("24/03/2026")</f>
        <v>24/03/2026</v>
      </c>
      <c r="L4331">
        <v>70</v>
      </c>
      <c r="M4331">
        <v>70</v>
      </c>
      <c r="N4331">
        <v>134</v>
      </c>
      <c r="O4331" t="str">
        <f>"DIARIA DE MOTOBOY"</f>
        <v>DIARIA DE MOTOBOY</v>
      </c>
      <c r="P4331">
        <v>70</v>
      </c>
      <c r="S4331" t="str">
        <f>"BANCO C6 (149)"</f>
        <v>BANCO C6 (149)</v>
      </c>
      <c r="T4331">
        <v>31838</v>
      </c>
      <c r="U4331">
        <v>35854</v>
      </c>
      <c r="V4331" t="s">
        <v>37</v>
      </c>
    </row>
    <row r="4332" spans="1:22">
      <c r="A4332" t="str">
        <f t="shared" si="769"/>
        <v>24/03/2026</v>
      </c>
      <c r="B4332" t="str">
        <f t="shared" si="773"/>
        <v>SAÍDA</v>
      </c>
      <c r="C4332" t="str">
        <f t="shared" si="774"/>
        <v>PIX</v>
      </c>
      <c r="D4332" t="str">
        <f>"35854"</f>
        <v>35854</v>
      </c>
      <c r="E4332" t="str">
        <f t="shared" si="770"/>
        <v>1</v>
      </c>
      <c r="F4332" t="str">
        <f t="shared" si="758"/>
        <v>COM</v>
      </c>
      <c r="G4332" t="str">
        <f t="shared" si="775"/>
        <v>ITALO GONÇALVES (974)</v>
      </c>
      <c r="H4332" t="s">
        <v>1169</v>
      </c>
      <c r="I4332" t="str">
        <f t="shared" si="771"/>
        <v>24/03/2026</v>
      </c>
      <c r="J4332" t="str">
        <f t="shared" si="772"/>
        <v>23/03/2026</v>
      </c>
      <c r="K4332">
        <v>46105</v>
      </c>
      <c r="N4332">
        <v>134</v>
      </c>
      <c r="O4332" t="s">
        <v>30</v>
      </c>
      <c r="Q4332">
        <v>70</v>
      </c>
      <c r="R4332" t="str">
        <f>"PENSE FARMA 61 (10243)"</f>
        <v>PENSE FARMA 61 (10243)</v>
      </c>
      <c r="S4332" t="s">
        <v>37</v>
      </c>
      <c r="T4332">
        <v>31838</v>
      </c>
      <c r="U4332">
        <v>35854</v>
      </c>
      <c r="V4332" t="s">
        <v>37</v>
      </c>
    </row>
    <row r="4333" spans="1:22">
      <c r="A4333" t="str">
        <f t="shared" si="769"/>
        <v>24/03/2026</v>
      </c>
      <c r="B4333" t="str">
        <f t="shared" si="773"/>
        <v>SAÍDA</v>
      </c>
      <c r="C4333" t="str">
        <f t="shared" si="774"/>
        <v>PIX</v>
      </c>
      <c r="D4333" t="str">
        <f>"35855"</f>
        <v>35855</v>
      </c>
      <c r="E4333" t="str">
        <f t="shared" si="770"/>
        <v>1</v>
      </c>
      <c r="F4333" t="str">
        <f t="shared" si="758"/>
        <v>COM</v>
      </c>
      <c r="G4333" t="str">
        <f t="shared" si="775"/>
        <v>ITALO GONÇALVES (974)</v>
      </c>
      <c r="H4333" t="str">
        <f>"Serv.Prest. 16/03/2026 a 22/03/2026 - PIX: CELULAR - CHAVE: (11) 99220-4018"</f>
        <v>Serv.Prest. 16/03/2026 a 22/03/2026 - PIX: CELULAR - CHAVE: (11) 99220-4018</v>
      </c>
      <c r="I4333" t="str">
        <f t="shared" si="771"/>
        <v>24/03/2026</v>
      </c>
      <c r="J4333" t="str">
        <f t="shared" si="772"/>
        <v>23/03/2026</v>
      </c>
      <c r="K4333" t="str">
        <f>("24/03/2026")</f>
        <v>24/03/2026</v>
      </c>
      <c r="L4333">
        <v>60</v>
      </c>
      <c r="M4333">
        <v>60</v>
      </c>
      <c r="N4333">
        <v>134</v>
      </c>
      <c r="O4333" t="str">
        <f>"DIARIA DE MOTOBOY"</f>
        <v>DIARIA DE MOTOBOY</v>
      </c>
      <c r="P4333">
        <v>60</v>
      </c>
      <c r="S4333" t="str">
        <f>"BANCO C6 (149)"</f>
        <v>BANCO C6 (149)</v>
      </c>
      <c r="T4333">
        <v>31839</v>
      </c>
      <c r="U4333">
        <v>35855</v>
      </c>
      <c r="V4333" t="s">
        <v>37</v>
      </c>
    </row>
    <row r="4334" spans="1:22">
      <c r="A4334" t="str">
        <f t="shared" si="769"/>
        <v>24/03/2026</v>
      </c>
      <c r="B4334" t="str">
        <f t="shared" si="773"/>
        <v>SAÍDA</v>
      </c>
      <c r="C4334" t="str">
        <f t="shared" si="774"/>
        <v>PIX</v>
      </c>
      <c r="D4334" t="str">
        <f>"35855"</f>
        <v>35855</v>
      </c>
      <c r="E4334" t="str">
        <f t="shared" si="770"/>
        <v>1</v>
      </c>
      <c r="F4334" t="str">
        <f t="shared" si="758"/>
        <v>COM</v>
      </c>
      <c r="G4334" t="str">
        <f t="shared" si="775"/>
        <v>ITALO GONÇALVES (974)</v>
      </c>
      <c r="H4334" t="s">
        <v>1169</v>
      </c>
      <c r="I4334" t="str">
        <f t="shared" si="771"/>
        <v>24/03/2026</v>
      </c>
      <c r="J4334" t="str">
        <f t="shared" si="772"/>
        <v>23/03/2026</v>
      </c>
      <c r="K4334">
        <v>46105</v>
      </c>
      <c r="N4334">
        <v>134</v>
      </c>
      <c r="O4334" t="s">
        <v>30</v>
      </c>
      <c r="Q4334">
        <v>60</v>
      </c>
      <c r="R4334" t="str">
        <f>"PENSE FARMA 60 (10197)"</f>
        <v>PENSE FARMA 60 (10197)</v>
      </c>
      <c r="S4334" t="s">
        <v>37</v>
      </c>
      <c r="T4334">
        <v>31839</v>
      </c>
      <c r="U4334">
        <v>35855</v>
      </c>
      <c r="V4334" t="s">
        <v>37</v>
      </c>
    </row>
    <row r="4335" spans="1:22">
      <c r="A4335" t="str">
        <f t="shared" si="769"/>
        <v>24/03/2026</v>
      </c>
      <c r="B4335" t="str">
        <f t="shared" si="773"/>
        <v>SAÍDA</v>
      </c>
      <c r="C4335" t="str">
        <f t="shared" si="774"/>
        <v>PIX</v>
      </c>
      <c r="D4335" t="str">
        <f>"35856"</f>
        <v>35856</v>
      </c>
      <c r="E4335" t="str">
        <f t="shared" si="770"/>
        <v>1</v>
      </c>
      <c r="F4335" t="str">
        <f t="shared" si="758"/>
        <v>COM</v>
      </c>
      <c r="G4335" t="str">
        <f t="shared" si="775"/>
        <v>ITALO GONÇALVES (974)</v>
      </c>
      <c r="H4335" t="str">
        <f>"Serv.Prest. 16/03/2026 a 22/03/2026 - PIX: CELULAR - CHAVE: (11) 99220-4018"</f>
        <v>Serv.Prest. 16/03/2026 a 22/03/2026 - PIX: CELULAR - CHAVE: (11) 99220-4018</v>
      </c>
      <c r="I4335" t="str">
        <f t="shared" si="771"/>
        <v>24/03/2026</v>
      </c>
      <c r="J4335" t="str">
        <f t="shared" si="772"/>
        <v>23/03/2026</v>
      </c>
      <c r="K4335" t="str">
        <f>("24/03/2026")</f>
        <v>24/03/2026</v>
      </c>
      <c r="L4335">
        <v>60</v>
      </c>
      <c r="M4335">
        <v>60</v>
      </c>
      <c r="N4335">
        <v>134</v>
      </c>
      <c r="O4335" t="str">
        <f>"DIARIA DE MOTOBOY"</f>
        <v>DIARIA DE MOTOBOY</v>
      </c>
      <c r="P4335">
        <v>60</v>
      </c>
      <c r="S4335" t="str">
        <f>"BANCO C6 (149)"</f>
        <v>BANCO C6 (149)</v>
      </c>
      <c r="T4335">
        <v>31840</v>
      </c>
      <c r="U4335">
        <v>35856</v>
      </c>
      <c r="V4335" t="s">
        <v>37</v>
      </c>
    </row>
    <row r="4336" spans="1:22">
      <c r="A4336" t="str">
        <f t="shared" si="769"/>
        <v>24/03/2026</v>
      </c>
      <c r="B4336" t="str">
        <f t="shared" si="773"/>
        <v>SAÍDA</v>
      </c>
      <c r="C4336" t="str">
        <f t="shared" si="774"/>
        <v>PIX</v>
      </c>
      <c r="D4336" t="str">
        <f>"35856"</f>
        <v>35856</v>
      </c>
      <c r="E4336" t="str">
        <f t="shared" si="770"/>
        <v>1</v>
      </c>
      <c r="F4336" t="str">
        <f t="shared" si="758"/>
        <v>COM</v>
      </c>
      <c r="G4336" t="str">
        <f t="shared" si="775"/>
        <v>ITALO GONÇALVES (974)</v>
      </c>
      <c r="H4336" t="s">
        <v>1169</v>
      </c>
      <c r="I4336" t="str">
        <f t="shared" si="771"/>
        <v>24/03/2026</v>
      </c>
      <c r="J4336" t="str">
        <f t="shared" si="772"/>
        <v>23/03/2026</v>
      </c>
      <c r="K4336">
        <v>46105</v>
      </c>
      <c r="N4336">
        <v>134</v>
      </c>
      <c r="O4336" t="s">
        <v>30</v>
      </c>
      <c r="Q4336">
        <v>60</v>
      </c>
      <c r="R4336" t="str">
        <f>"PENSE FARMA 26 (10196)"</f>
        <v>PENSE FARMA 26 (10196)</v>
      </c>
      <c r="S4336" t="s">
        <v>37</v>
      </c>
      <c r="T4336">
        <v>31840</v>
      </c>
      <c r="U4336">
        <v>35856</v>
      </c>
      <c r="V4336" t="s">
        <v>37</v>
      </c>
    </row>
    <row r="4337" spans="1:22">
      <c r="A4337" t="str">
        <f t="shared" si="769"/>
        <v>24/03/2026</v>
      </c>
      <c r="B4337" t="str">
        <f t="shared" si="773"/>
        <v>SAÍDA</v>
      </c>
      <c r="C4337" t="str">
        <f t="shared" si="774"/>
        <v>PIX</v>
      </c>
      <c r="D4337" t="str">
        <f>"35857"</f>
        <v>35857</v>
      </c>
      <c r="E4337" t="str">
        <f t="shared" si="770"/>
        <v>1</v>
      </c>
      <c r="F4337" t="str">
        <f t="shared" si="758"/>
        <v>COM</v>
      </c>
      <c r="G4337" t="str">
        <f t="shared" si="775"/>
        <v>ITALO GONÇALVES (974)</v>
      </c>
      <c r="H4337" t="str">
        <f>"Serv.Prest. 16/03/2026 a 22/03/2026 - PIX: CELULAR - CHAVE: (11) 99220-4018"</f>
        <v>Serv.Prest. 16/03/2026 a 22/03/2026 - PIX: CELULAR - CHAVE: (11) 99220-4018</v>
      </c>
      <c r="I4337" t="str">
        <f t="shared" si="771"/>
        <v>24/03/2026</v>
      </c>
      <c r="J4337" t="str">
        <f t="shared" si="772"/>
        <v>23/03/2026</v>
      </c>
      <c r="K4337" t="str">
        <f>("24/03/2026")</f>
        <v>24/03/2026</v>
      </c>
      <c r="L4337">
        <v>60</v>
      </c>
      <c r="M4337">
        <v>60</v>
      </c>
      <c r="N4337">
        <v>134</v>
      </c>
      <c r="O4337" t="str">
        <f>"DIARIA DE MOTOBOY"</f>
        <v>DIARIA DE MOTOBOY</v>
      </c>
      <c r="P4337">
        <v>60</v>
      </c>
      <c r="S4337" t="str">
        <f>"BANCO C6 (149)"</f>
        <v>BANCO C6 (149)</v>
      </c>
      <c r="T4337">
        <v>31841</v>
      </c>
      <c r="U4337">
        <v>35857</v>
      </c>
      <c r="V4337" t="s">
        <v>37</v>
      </c>
    </row>
    <row r="4338" spans="1:22">
      <c r="A4338" t="str">
        <f t="shared" si="769"/>
        <v>24/03/2026</v>
      </c>
      <c r="B4338" t="str">
        <f t="shared" si="773"/>
        <v>SAÍDA</v>
      </c>
      <c r="C4338" t="str">
        <f t="shared" si="774"/>
        <v>PIX</v>
      </c>
      <c r="D4338" t="str">
        <f>"35857"</f>
        <v>35857</v>
      </c>
      <c r="E4338" t="str">
        <f t="shared" si="770"/>
        <v>1</v>
      </c>
      <c r="F4338" t="str">
        <f t="shared" si="758"/>
        <v>COM</v>
      </c>
      <c r="G4338" t="str">
        <f t="shared" si="775"/>
        <v>ITALO GONÇALVES (974)</v>
      </c>
      <c r="H4338" t="s">
        <v>1169</v>
      </c>
      <c r="I4338" t="str">
        <f t="shared" si="771"/>
        <v>24/03/2026</v>
      </c>
      <c r="J4338" t="str">
        <f t="shared" si="772"/>
        <v>23/03/2026</v>
      </c>
      <c r="K4338">
        <v>46105</v>
      </c>
      <c r="N4338">
        <v>134</v>
      </c>
      <c r="O4338" t="s">
        <v>30</v>
      </c>
      <c r="Q4338">
        <v>60</v>
      </c>
      <c r="R4338" t="str">
        <f>"PENSE FARMA 15 (10195)"</f>
        <v>PENSE FARMA 15 (10195)</v>
      </c>
      <c r="S4338" t="s">
        <v>37</v>
      </c>
      <c r="T4338">
        <v>31841</v>
      </c>
      <c r="U4338">
        <v>35857</v>
      </c>
      <c r="V4338" t="s">
        <v>37</v>
      </c>
    </row>
    <row r="4339" spans="1:22">
      <c r="A4339" t="str">
        <f t="shared" si="769"/>
        <v>24/03/2026</v>
      </c>
      <c r="B4339" t="str">
        <f t="shared" si="773"/>
        <v>SAÍDA</v>
      </c>
      <c r="C4339" t="str">
        <f t="shared" si="774"/>
        <v>PIX</v>
      </c>
      <c r="D4339" t="str">
        <f>"35868"</f>
        <v>35868</v>
      </c>
      <c r="E4339" t="str">
        <f t="shared" si="770"/>
        <v>1</v>
      </c>
      <c r="F4339" t="str">
        <f t="shared" si="758"/>
        <v>COM</v>
      </c>
      <c r="G4339" t="str">
        <f t="shared" ref="G4339:G4348" si="776">"GABRIEL RAMALHO LOPES (1343)"</f>
        <v>GABRIEL RAMALHO LOPES (1343)</v>
      </c>
      <c r="H4339" t="str">
        <f>"Serv.Prest. 16/03/2026 a 22/03/2026 - PIX: E-MAIL - CHAVE: ramalhogabriel155@gmail.com"</f>
        <v>Serv.Prest. 16/03/2026 a 22/03/2026 - PIX: E-MAIL - CHAVE: ramalhogabriel155@gmail.com</v>
      </c>
      <c r="I4339" t="str">
        <f t="shared" si="771"/>
        <v>24/03/2026</v>
      </c>
      <c r="J4339" t="str">
        <f t="shared" si="772"/>
        <v>23/03/2026</v>
      </c>
      <c r="K4339" t="str">
        <f>("24/03/2026")</f>
        <v>24/03/2026</v>
      </c>
      <c r="L4339">
        <v>230</v>
      </c>
      <c r="M4339">
        <v>230</v>
      </c>
      <c r="N4339">
        <v>134</v>
      </c>
      <c r="O4339" t="str">
        <f>"DIARIA DE MOTOBOY"</f>
        <v>DIARIA DE MOTOBOY</v>
      </c>
      <c r="P4339">
        <v>230</v>
      </c>
      <c r="S4339" t="str">
        <f>"BANCO C6 (149)"</f>
        <v>BANCO C6 (149)</v>
      </c>
      <c r="T4339">
        <v>31842</v>
      </c>
      <c r="U4339">
        <v>35868</v>
      </c>
      <c r="V4339" t="s">
        <v>37</v>
      </c>
    </row>
    <row r="4340" spans="1:22">
      <c r="A4340" t="str">
        <f t="shared" si="769"/>
        <v>24/03/2026</v>
      </c>
      <c r="B4340" t="str">
        <f t="shared" si="773"/>
        <v>SAÍDA</v>
      </c>
      <c r="C4340" t="str">
        <f t="shared" si="774"/>
        <v>PIX</v>
      </c>
      <c r="D4340" t="str">
        <f>"35868"</f>
        <v>35868</v>
      </c>
      <c r="E4340" t="str">
        <f t="shared" si="770"/>
        <v>1</v>
      </c>
      <c r="F4340" t="str">
        <f t="shared" si="758"/>
        <v>COM</v>
      </c>
      <c r="G4340" t="str">
        <f t="shared" si="776"/>
        <v>GABRIEL RAMALHO LOPES (1343)</v>
      </c>
      <c r="H4340" t="s">
        <v>1172</v>
      </c>
      <c r="I4340" t="str">
        <f t="shared" si="771"/>
        <v>24/03/2026</v>
      </c>
      <c r="J4340" t="str">
        <f t="shared" si="772"/>
        <v>23/03/2026</v>
      </c>
      <c r="K4340">
        <v>46105</v>
      </c>
      <c r="N4340">
        <v>134</v>
      </c>
      <c r="O4340" t="s">
        <v>30</v>
      </c>
      <c r="Q4340">
        <v>230</v>
      </c>
      <c r="R4340" t="str">
        <f>"PENSE FARMA 52 (10236)"</f>
        <v>PENSE FARMA 52 (10236)</v>
      </c>
      <c r="S4340" t="s">
        <v>37</v>
      </c>
      <c r="T4340">
        <v>31842</v>
      </c>
      <c r="U4340">
        <v>35868</v>
      </c>
      <c r="V4340" t="s">
        <v>37</v>
      </c>
    </row>
    <row r="4341" spans="1:22">
      <c r="A4341" t="str">
        <f t="shared" si="769"/>
        <v>24/03/2026</v>
      </c>
      <c r="B4341" t="str">
        <f t="shared" si="773"/>
        <v>SAÍDA</v>
      </c>
      <c r="C4341" t="str">
        <f t="shared" si="774"/>
        <v>PIX</v>
      </c>
      <c r="D4341" t="str">
        <f>"35869"</f>
        <v>35869</v>
      </c>
      <c r="E4341" t="str">
        <f t="shared" si="770"/>
        <v>1</v>
      </c>
      <c r="F4341" t="str">
        <f t="shared" si="758"/>
        <v>COM</v>
      </c>
      <c r="G4341" t="str">
        <f t="shared" si="776"/>
        <v>GABRIEL RAMALHO LOPES (1343)</v>
      </c>
      <c r="H4341" t="str">
        <f>"Serv.Prest. 16/03/2026 a 22/03/2026 - PIX: E-MAIL - CHAVE: ramalhogabriel155@gmail.com"</f>
        <v>Serv.Prest. 16/03/2026 a 22/03/2026 - PIX: E-MAIL - CHAVE: ramalhogabriel155@gmail.com</v>
      </c>
      <c r="I4341" t="str">
        <f t="shared" si="771"/>
        <v>24/03/2026</v>
      </c>
      <c r="J4341" t="str">
        <f t="shared" si="772"/>
        <v>23/03/2026</v>
      </c>
      <c r="K4341" t="str">
        <f>("24/03/2026")</f>
        <v>24/03/2026</v>
      </c>
      <c r="L4341">
        <v>5</v>
      </c>
      <c r="M4341">
        <v>5</v>
      </c>
      <c r="N4341">
        <v>134</v>
      </c>
      <c r="O4341" t="str">
        <f>"DIARIA DE MOTOBOY"</f>
        <v>DIARIA DE MOTOBOY</v>
      </c>
      <c r="P4341">
        <v>5</v>
      </c>
      <c r="S4341" t="str">
        <f>"BANCO C6 (149)"</f>
        <v>BANCO C6 (149)</v>
      </c>
      <c r="T4341">
        <v>31843</v>
      </c>
      <c r="U4341">
        <v>35869</v>
      </c>
      <c r="V4341" t="s">
        <v>37</v>
      </c>
    </row>
    <row r="4342" spans="1:22">
      <c r="A4342" t="str">
        <f t="shared" si="769"/>
        <v>24/03/2026</v>
      </c>
      <c r="B4342" t="str">
        <f t="shared" si="773"/>
        <v>SAÍDA</v>
      </c>
      <c r="C4342" t="str">
        <f t="shared" si="774"/>
        <v>PIX</v>
      </c>
      <c r="D4342" t="str">
        <f>"35869"</f>
        <v>35869</v>
      </c>
      <c r="E4342" t="str">
        <f t="shared" si="770"/>
        <v>1</v>
      </c>
      <c r="F4342" t="str">
        <f t="shared" si="758"/>
        <v>COM</v>
      </c>
      <c r="G4342" t="str">
        <f t="shared" si="776"/>
        <v>GABRIEL RAMALHO LOPES (1343)</v>
      </c>
      <c r="H4342" t="s">
        <v>1172</v>
      </c>
      <c r="I4342" t="str">
        <f t="shared" si="771"/>
        <v>24/03/2026</v>
      </c>
      <c r="J4342" t="str">
        <f t="shared" si="772"/>
        <v>23/03/2026</v>
      </c>
      <c r="K4342">
        <v>46105</v>
      </c>
      <c r="N4342">
        <v>134</v>
      </c>
      <c r="O4342" t="s">
        <v>30</v>
      </c>
      <c r="Q4342">
        <v>5</v>
      </c>
      <c r="R4342" t="str">
        <f>"PENSE FARMA 42 (10230)"</f>
        <v>PENSE FARMA 42 (10230)</v>
      </c>
      <c r="S4342" t="s">
        <v>37</v>
      </c>
      <c r="T4342">
        <v>31843</v>
      </c>
      <c r="U4342">
        <v>35869</v>
      </c>
      <c r="V4342" t="s">
        <v>37</v>
      </c>
    </row>
    <row r="4343" spans="1:22">
      <c r="A4343" t="str">
        <f t="shared" si="769"/>
        <v>24/03/2026</v>
      </c>
      <c r="B4343" t="str">
        <f t="shared" si="773"/>
        <v>SAÍDA</v>
      </c>
      <c r="C4343" t="str">
        <f t="shared" si="774"/>
        <v>PIX</v>
      </c>
      <c r="D4343" t="str">
        <f>"35870"</f>
        <v>35870</v>
      </c>
      <c r="E4343" t="str">
        <f t="shared" si="770"/>
        <v>1</v>
      </c>
      <c r="F4343" t="str">
        <f t="shared" si="758"/>
        <v>COM</v>
      </c>
      <c r="G4343" t="str">
        <f t="shared" si="776"/>
        <v>GABRIEL RAMALHO LOPES (1343)</v>
      </c>
      <c r="H4343" t="str">
        <f>"Serv.Prest. 16/03/2026 a 22/03/2026 - PIX: E-MAIL - CHAVE: ramalhogabriel155@gmail.com"</f>
        <v>Serv.Prest. 16/03/2026 a 22/03/2026 - PIX: E-MAIL - CHAVE: ramalhogabriel155@gmail.com</v>
      </c>
      <c r="I4343" t="str">
        <f t="shared" si="771"/>
        <v>24/03/2026</v>
      </c>
      <c r="J4343" t="str">
        <f t="shared" si="772"/>
        <v>23/03/2026</v>
      </c>
      <c r="K4343" t="str">
        <f>("24/03/2026")</f>
        <v>24/03/2026</v>
      </c>
      <c r="L4343">
        <v>5</v>
      </c>
      <c r="M4343">
        <v>5</v>
      </c>
      <c r="N4343">
        <v>134</v>
      </c>
      <c r="O4343" t="str">
        <f>"DIARIA DE MOTOBOY"</f>
        <v>DIARIA DE MOTOBOY</v>
      </c>
      <c r="P4343">
        <v>5</v>
      </c>
      <c r="S4343" t="str">
        <f>"BANCO C6 (149)"</f>
        <v>BANCO C6 (149)</v>
      </c>
      <c r="T4343">
        <v>31844</v>
      </c>
      <c r="U4343">
        <v>35870</v>
      </c>
      <c r="V4343" t="s">
        <v>37</v>
      </c>
    </row>
    <row r="4344" spans="1:22">
      <c r="A4344" t="str">
        <f t="shared" si="769"/>
        <v>24/03/2026</v>
      </c>
      <c r="B4344" t="str">
        <f t="shared" si="773"/>
        <v>SAÍDA</v>
      </c>
      <c r="C4344" t="str">
        <f t="shared" si="774"/>
        <v>PIX</v>
      </c>
      <c r="D4344" t="str">
        <f>"35870"</f>
        <v>35870</v>
      </c>
      <c r="E4344" t="str">
        <f t="shared" si="770"/>
        <v>1</v>
      </c>
      <c r="F4344" t="str">
        <f t="shared" si="758"/>
        <v>COM</v>
      </c>
      <c r="G4344" t="str">
        <f t="shared" si="776"/>
        <v>GABRIEL RAMALHO LOPES (1343)</v>
      </c>
      <c r="H4344" t="s">
        <v>1172</v>
      </c>
      <c r="I4344" t="str">
        <f t="shared" si="771"/>
        <v>24/03/2026</v>
      </c>
      <c r="J4344" t="str">
        <f t="shared" si="772"/>
        <v>23/03/2026</v>
      </c>
      <c r="K4344">
        <v>46105</v>
      </c>
      <c r="N4344">
        <v>134</v>
      </c>
      <c r="O4344" t="s">
        <v>30</v>
      </c>
      <c r="Q4344">
        <v>5</v>
      </c>
      <c r="R4344" t="str">
        <f>"PENSE FARMA 41 (10229)"</f>
        <v>PENSE FARMA 41 (10229)</v>
      </c>
      <c r="S4344" t="s">
        <v>37</v>
      </c>
      <c r="T4344">
        <v>31844</v>
      </c>
      <c r="U4344">
        <v>35870</v>
      </c>
      <c r="V4344" t="s">
        <v>37</v>
      </c>
    </row>
    <row r="4345" spans="1:22">
      <c r="A4345" t="str">
        <f t="shared" ref="A4345:A4376" si="777">("24/03/2026")</f>
        <v>24/03/2026</v>
      </c>
      <c r="B4345" t="str">
        <f t="shared" si="773"/>
        <v>SAÍDA</v>
      </c>
      <c r="C4345" t="str">
        <f t="shared" si="774"/>
        <v>PIX</v>
      </c>
      <c r="D4345" t="str">
        <f>"35871"</f>
        <v>35871</v>
      </c>
      <c r="E4345" t="str">
        <f t="shared" si="770"/>
        <v>1</v>
      </c>
      <c r="F4345" t="str">
        <f t="shared" si="758"/>
        <v>COM</v>
      </c>
      <c r="G4345" t="str">
        <f t="shared" si="776"/>
        <v>GABRIEL RAMALHO LOPES (1343)</v>
      </c>
      <c r="H4345" t="str">
        <f>"Serv.Prest. 16/03/2026 a 22/03/2026 - PIX: E-MAIL - CHAVE: ramalhogabriel155@gmail.com"</f>
        <v>Serv.Prest. 16/03/2026 a 22/03/2026 - PIX: E-MAIL - CHAVE: ramalhogabriel155@gmail.com</v>
      </c>
      <c r="I4345" t="str">
        <f t="shared" ref="I4345:I4376" si="778">("24/03/2026")</f>
        <v>24/03/2026</v>
      </c>
      <c r="J4345" t="str">
        <f t="shared" si="772"/>
        <v>23/03/2026</v>
      </c>
      <c r="K4345" t="str">
        <f>("24/03/2026")</f>
        <v>24/03/2026</v>
      </c>
      <c r="L4345">
        <v>5</v>
      </c>
      <c r="M4345">
        <v>5</v>
      </c>
      <c r="N4345">
        <v>134</v>
      </c>
      <c r="O4345" t="str">
        <f>"DIARIA DE MOTOBOY"</f>
        <v>DIARIA DE MOTOBOY</v>
      </c>
      <c r="P4345">
        <v>5</v>
      </c>
      <c r="S4345" t="str">
        <f>"BANCO C6 (149)"</f>
        <v>BANCO C6 (149)</v>
      </c>
      <c r="T4345">
        <v>31845</v>
      </c>
      <c r="U4345">
        <v>35871</v>
      </c>
      <c r="V4345" t="s">
        <v>37</v>
      </c>
    </row>
    <row r="4346" spans="1:22">
      <c r="A4346" t="str">
        <f t="shared" si="777"/>
        <v>24/03/2026</v>
      </c>
      <c r="B4346" t="str">
        <f t="shared" si="773"/>
        <v>SAÍDA</v>
      </c>
      <c r="C4346" t="str">
        <f t="shared" si="774"/>
        <v>PIX</v>
      </c>
      <c r="D4346" t="str">
        <f>"35871"</f>
        <v>35871</v>
      </c>
      <c r="E4346" t="str">
        <f t="shared" si="770"/>
        <v>1</v>
      </c>
      <c r="F4346" t="str">
        <f t="shared" si="758"/>
        <v>COM</v>
      </c>
      <c r="G4346" t="str">
        <f t="shared" si="776"/>
        <v>GABRIEL RAMALHO LOPES (1343)</v>
      </c>
      <c r="H4346" t="s">
        <v>1172</v>
      </c>
      <c r="I4346" t="str">
        <f t="shared" si="778"/>
        <v>24/03/2026</v>
      </c>
      <c r="J4346" t="str">
        <f t="shared" si="772"/>
        <v>23/03/2026</v>
      </c>
      <c r="K4346">
        <v>46105</v>
      </c>
      <c r="N4346">
        <v>134</v>
      </c>
      <c r="O4346" t="s">
        <v>30</v>
      </c>
      <c r="Q4346">
        <v>5</v>
      </c>
      <c r="R4346" t="str">
        <f>"PENSE FARMA 11 (10220)"</f>
        <v>PENSE FARMA 11 (10220)</v>
      </c>
      <c r="S4346" t="s">
        <v>37</v>
      </c>
      <c r="T4346">
        <v>31845</v>
      </c>
      <c r="U4346">
        <v>35871</v>
      </c>
      <c r="V4346" t="s">
        <v>37</v>
      </c>
    </row>
    <row r="4347" spans="1:22">
      <c r="A4347" t="str">
        <f t="shared" si="777"/>
        <v>24/03/2026</v>
      </c>
      <c r="B4347" t="str">
        <f t="shared" si="773"/>
        <v>SAÍDA</v>
      </c>
      <c r="C4347" t="str">
        <f t="shared" si="774"/>
        <v>PIX</v>
      </c>
      <c r="D4347" t="str">
        <f>"35872"</f>
        <v>35872</v>
      </c>
      <c r="E4347" t="str">
        <f t="shared" si="770"/>
        <v>1</v>
      </c>
      <c r="F4347" t="str">
        <f t="shared" si="758"/>
        <v>COM</v>
      </c>
      <c r="G4347" t="str">
        <f t="shared" si="776"/>
        <v>GABRIEL RAMALHO LOPES (1343)</v>
      </c>
      <c r="H4347" t="str">
        <f>"Serv.Prest. 16/03/2026 a 22/03/2026 - PIX: E-MAIL - CHAVE: ramalhogabriel155@gmail.com"</f>
        <v>Serv.Prest. 16/03/2026 a 22/03/2026 - PIX: E-MAIL - CHAVE: ramalhogabriel155@gmail.com</v>
      </c>
      <c r="I4347" t="str">
        <f t="shared" si="778"/>
        <v>24/03/2026</v>
      </c>
      <c r="J4347" t="str">
        <f t="shared" si="772"/>
        <v>23/03/2026</v>
      </c>
      <c r="K4347" t="str">
        <f>("24/03/2026")</f>
        <v>24/03/2026</v>
      </c>
      <c r="L4347">
        <v>5</v>
      </c>
      <c r="M4347">
        <v>5</v>
      </c>
      <c r="N4347">
        <v>134</v>
      </c>
      <c r="O4347" t="str">
        <f>"DIARIA DE MOTOBOY"</f>
        <v>DIARIA DE MOTOBOY</v>
      </c>
      <c r="P4347">
        <v>5</v>
      </c>
      <c r="S4347" t="str">
        <f>"BANCO C6 (149)"</f>
        <v>BANCO C6 (149)</v>
      </c>
      <c r="T4347">
        <v>31846</v>
      </c>
      <c r="U4347">
        <v>35872</v>
      </c>
      <c r="V4347" t="s">
        <v>37</v>
      </c>
    </row>
    <row r="4348" spans="1:22">
      <c r="A4348" t="str">
        <f t="shared" si="777"/>
        <v>24/03/2026</v>
      </c>
      <c r="B4348" t="str">
        <f t="shared" si="773"/>
        <v>SAÍDA</v>
      </c>
      <c r="C4348" t="str">
        <f t="shared" si="774"/>
        <v>PIX</v>
      </c>
      <c r="D4348" t="str">
        <f>"35872"</f>
        <v>35872</v>
      </c>
      <c r="E4348" t="str">
        <f t="shared" si="770"/>
        <v>1</v>
      </c>
      <c r="F4348" t="str">
        <f t="shared" si="758"/>
        <v>COM</v>
      </c>
      <c r="G4348" t="str">
        <f t="shared" si="776"/>
        <v>GABRIEL RAMALHO LOPES (1343)</v>
      </c>
      <c r="H4348" t="s">
        <v>1172</v>
      </c>
      <c r="I4348" t="str">
        <f t="shared" si="778"/>
        <v>24/03/2026</v>
      </c>
      <c r="J4348" t="str">
        <f t="shared" si="772"/>
        <v>23/03/2026</v>
      </c>
      <c r="K4348">
        <v>46105</v>
      </c>
      <c r="N4348">
        <v>134</v>
      </c>
      <c r="O4348" t="s">
        <v>30</v>
      </c>
      <c r="Q4348">
        <v>5</v>
      </c>
      <c r="R4348" t="str">
        <f>"PENSE FARMA 08 (10217)"</f>
        <v>PENSE FARMA 08 (10217)</v>
      </c>
      <c r="S4348" t="s">
        <v>37</v>
      </c>
      <c r="T4348">
        <v>31846</v>
      </c>
      <c r="U4348">
        <v>35872</v>
      </c>
      <c r="V4348" t="s">
        <v>37</v>
      </c>
    </row>
    <row r="4349" spans="1:22">
      <c r="A4349" t="str">
        <f t="shared" si="777"/>
        <v>24/03/2026</v>
      </c>
      <c r="B4349" t="str">
        <f t="shared" si="773"/>
        <v>SAÍDA</v>
      </c>
      <c r="C4349" t="str">
        <f t="shared" si="774"/>
        <v>PIX</v>
      </c>
      <c r="D4349" t="str">
        <f>"35884"</f>
        <v>35884</v>
      </c>
      <c r="E4349" t="str">
        <f t="shared" si="770"/>
        <v>1</v>
      </c>
      <c r="F4349" t="str">
        <f t="shared" si="758"/>
        <v>COM</v>
      </c>
      <c r="G4349" t="str">
        <f>"MARCOS DUARTE CARVALHO (998)"</f>
        <v>MARCOS DUARTE CARVALHO (998)</v>
      </c>
      <c r="H4349" t="str">
        <f>"Serv.Prest. 16/03/2026 a 22/03/2026 - PIX: CPF - CHAVE: 396.877.618-65"</f>
        <v>Serv.Prest. 16/03/2026 a 22/03/2026 - PIX: CPF - CHAVE: 396.877.618-65</v>
      </c>
      <c r="I4349" t="str">
        <f t="shared" si="778"/>
        <v>24/03/2026</v>
      </c>
      <c r="J4349" t="str">
        <f t="shared" ref="J4349:J4380" si="779">("23/03/2026")</f>
        <v>23/03/2026</v>
      </c>
      <c r="K4349" t="str">
        <f>("24/03/2026")</f>
        <v>24/03/2026</v>
      </c>
      <c r="L4349">
        <v>250</v>
      </c>
      <c r="M4349">
        <v>250</v>
      </c>
      <c r="N4349">
        <v>134</v>
      </c>
      <c r="O4349" t="str">
        <f>"DIARIA DE MOTOBOY"</f>
        <v>DIARIA DE MOTOBOY</v>
      </c>
      <c r="P4349">
        <v>250</v>
      </c>
      <c r="S4349" t="str">
        <f>"BANCO C6 (149)"</f>
        <v>BANCO C6 (149)</v>
      </c>
      <c r="T4349">
        <v>31847</v>
      </c>
      <c r="U4349">
        <v>35886</v>
      </c>
      <c r="V4349" t="s">
        <v>37</v>
      </c>
    </row>
    <row r="4350" spans="1:22">
      <c r="A4350" t="str">
        <f t="shared" si="777"/>
        <v>24/03/2026</v>
      </c>
      <c r="B4350" t="str">
        <f t="shared" si="773"/>
        <v>SAÍDA</v>
      </c>
      <c r="C4350" t="str">
        <f t="shared" si="774"/>
        <v>PIX</v>
      </c>
      <c r="D4350" t="str">
        <f>"35884"</f>
        <v>35884</v>
      </c>
      <c r="E4350" t="str">
        <f t="shared" si="770"/>
        <v>1</v>
      </c>
      <c r="F4350" t="str">
        <f t="shared" si="758"/>
        <v>COM</v>
      </c>
      <c r="G4350" t="str">
        <f>"MARCOS DUARTE CARVALHO (998)"</f>
        <v>MARCOS DUARTE CARVALHO (998)</v>
      </c>
      <c r="H4350" t="s">
        <v>1173</v>
      </c>
      <c r="I4350" t="str">
        <f t="shared" si="778"/>
        <v>24/03/2026</v>
      </c>
      <c r="J4350" t="str">
        <f t="shared" si="779"/>
        <v>23/03/2026</v>
      </c>
      <c r="K4350">
        <v>46105</v>
      </c>
      <c r="N4350">
        <v>134</v>
      </c>
      <c r="O4350" t="s">
        <v>30</v>
      </c>
      <c r="Q4350">
        <v>250</v>
      </c>
      <c r="R4350" t="str">
        <f>"PENSE FARMA 09 (10218)"</f>
        <v>PENSE FARMA 09 (10218)</v>
      </c>
      <c r="S4350" t="s">
        <v>37</v>
      </c>
      <c r="T4350">
        <v>31847</v>
      </c>
      <c r="U4350">
        <v>35886</v>
      </c>
      <c r="V4350" t="s">
        <v>37</v>
      </c>
    </row>
    <row r="4351" spans="1:22">
      <c r="A4351" t="str">
        <f t="shared" si="777"/>
        <v>24/03/2026</v>
      </c>
      <c r="B4351" t="str">
        <f t="shared" si="773"/>
        <v>SAÍDA</v>
      </c>
      <c r="C4351" t="str">
        <f t="shared" si="774"/>
        <v>PIX</v>
      </c>
      <c r="D4351" t="str">
        <f>"24032026"</f>
        <v>24032026</v>
      </c>
      <c r="E4351" t="str">
        <f>""</f>
        <v/>
      </c>
      <c r="F4351" t="str">
        <f t="shared" si="758"/>
        <v>COM</v>
      </c>
      <c r="G4351" t="str">
        <f>"JEFFERSON AMORIM DA SILVA (940)"</f>
        <v>JEFFERSON AMORIM DA SILVA (940)</v>
      </c>
      <c r="H4351" t="str">
        <f>"Serv.Prest. 16/03/2026 a 22/03/2026 - PIX: CPF - CHAVE: 423.685.688-32"</f>
        <v>Serv.Prest. 16/03/2026 a 22/03/2026 - PIX: CPF - CHAVE: 423.685.688-32</v>
      </c>
      <c r="I4351" t="str">
        <f t="shared" si="778"/>
        <v>24/03/2026</v>
      </c>
      <c r="J4351" t="str">
        <f t="shared" si="779"/>
        <v>23/03/2026</v>
      </c>
      <c r="K4351" t="str">
        <f>("24/03/2026")</f>
        <v>24/03/2026</v>
      </c>
      <c r="L4351">
        <v>250</v>
      </c>
      <c r="M4351">
        <v>250</v>
      </c>
      <c r="N4351">
        <v>134</v>
      </c>
      <c r="O4351" t="str">
        <f>"DIARIA DE MOTOBOY"</f>
        <v>DIARIA DE MOTOBOY</v>
      </c>
      <c r="P4351">
        <v>250</v>
      </c>
      <c r="S4351" t="str">
        <f>"BANCO C6 (149)"</f>
        <v>BANCO C6 (149)</v>
      </c>
      <c r="T4351">
        <v>31848</v>
      </c>
      <c r="U4351">
        <v>35892</v>
      </c>
      <c r="V4351" t="s">
        <v>37</v>
      </c>
    </row>
    <row r="4352" spans="1:22">
      <c r="A4352" t="str">
        <f t="shared" si="777"/>
        <v>24/03/2026</v>
      </c>
      <c r="B4352" t="str">
        <f t="shared" si="773"/>
        <v>SAÍDA</v>
      </c>
      <c r="C4352" t="str">
        <f t="shared" si="774"/>
        <v>PIX</v>
      </c>
      <c r="D4352" t="str">
        <f>"24032026"</f>
        <v>24032026</v>
      </c>
      <c r="E4352" t="str">
        <f>""</f>
        <v/>
      </c>
      <c r="F4352" t="str">
        <f t="shared" si="758"/>
        <v>COM</v>
      </c>
      <c r="G4352" t="str">
        <f>"JEFFERSON AMORIM DA SILVA (940)"</f>
        <v>JEFFERSON AMORIM DA SILVA (940)</v>
      </c>
      <c r="H4352" t="s">
        <v>1174</v>
      </c>
      <c r="I4352" t="str">
        <f t="shared" si="778"/>
        <v>24/03/2026</v>
      </c>
      <c r="J4352" t="str">
        <f t="shared" si="779"/>
        <v>23/03/2026</v>
      </c>
      <c r="K4352">
        <v>46105</v>
      </c>
      <c r="N4352">
        <v>134</v>
      </c>
      <c r="O4352" t="s">
        <v>30</v>
      </c>
      <c r="Q4352">
        <v>250</v>
      </c>
      <c r="R4352" t="str">
        <f>"PENSE FARMA 25 (10224)"</f>
        <v>PENSE FARMA 25 (10224)</v>
      </c>
      <c r="S4352" t="s">
        <v>37</v>
      </c>
      <c r="T4352">
        <v>31848</v>
      </c>
      <c r="U4352">
        <v>35892</v>
      </c>
      <c r="V4352" t="s">
        <v>37</v>
      </c>
    </row>
    <row r="4353" spans="1:22">
      <c r="A4353" t="str">
        <f t="shared" si="777"/>
        <v>24/03/2026</v>
      </c>
      <c r="B4353" t="str">
        <f t="shared" si="773"/>
        <v>SAÍDA</v>
      </c>
      <c r="C4353" t="str">
        <f t="shared" si="774"/>
        <v>PIX</v>
      </c>
      <c r="D4353" t="str">
        <f>"35894"</f>
        <v>35894</v>
      </c>
      <c r="E4353" t="str">
        <f t="shared" ref="E4353:E4382" si="780">"1"</f>
        <v>1</v>
      </c>
      <c r="F4353" t="str">
        <f t="shared" si="758"/>
        <v>COM</v>
      </c>
      <c r="G4353" t="str">
        <f t="shared" ref="G4353:G4358" si="781">"ENTREGADOR DIARISTA (5)"</f>
        <v>ENTREGADOR DIARISTA (5)</v>
      </c>
      <c r="H4353" t="str">
        <f>"Serv.Prest. 16/03/2026 a 22/03/2026 - ANTONIO MARQUES PIX: CPF - CHAVE: 001.327.392-24"</f>
        <v>Serv.Prest. 16/03/2026 a 22/03/2026 - ANTONIO MARQUES PIX: CPF - CHAVE: 001.327.392-24</v>
      </c>
      <c r="I4353" t="str">
        <f t="shared" si="778"/>
        <v>24/03/2026</v>
      </c>
      <c r="J4353" t="str">
        <f t="shared" si="779"/>
        <v>23/03/2026</v>
      </c>
      <c r="K4353" t="str">
        <f>("24/03/2026")</f>
        <v>24/03/2026</v>
      </c>
      <c r="L4353">
        <v>80</v>
      </c>
      <c r="M4353">
        <v>80</v>
      </c>
      <c r="N4353">
        <v>134</v>
      </c>
      <c r="O4353" t="str">
        <f>"DIARIA DE MOTOBOY"</f>
        <v>DIARIA DE MOTOBOY</v>
      </c>
      <c r="P4353">
        <v>80</v>
      </c>
      <c r="S4353" t="str">
        <f>"BANCO C6 (149)"</f>
        <v>BANCO C6 (149)</v>
      </c>
      <c r="T4353">
        <v>31849</v>
      </c>
      <c r="U4353">
        <v>35894</v>
      </c>
      <c r="V4353" t="s">
        <v>37</v>
      </c>
    </row>
    <row r="4354" spans="1:22">
      <c r="A4354" t="str">
        <f t="shared" si="777"/>
        <v>24/03/2026</v>
      </c>
      <c r="B4354" t="str">
        <f t="shared" si="773"/>
        <v>SAÍDA</v>
      </c>
      <c r="C4354" t="str">
        <f t="shared" si="774"/>
        <v>PIX</v>
      </c>
      <c r="D4354" t="str">
        <f>"35894"</f>
        <v>35894</v>
      </c>
      <c r="E4354" t="str">
        <f t="shared" si="780"/>
        <v>1</v>
      </c>
      <c r="F4354" t="str">
        <f t="shared" ref="F4354:F4417" si="782">"COM"</f>
        <v>COM</v>
      </c>
      <c r="G4354" t="str">
        <f t="shared" si="781"/>
        <v>ENTREGADOR DIARISTA (5)</v>
      </c>
      <c r="H4354" t="s">
        <v>1175</v>
      </c>
      <c r="I4354" t="str">
        <f t="shared" si="778"/>
        <v>24/03/2026</v>
      </c>
      <c r="J4354" t="str">
        <f t="shared" si="779"/>
        <v>23/03/2026</v>
      </c>
      <c r="K4354">
        <v>46105</v>
      </c>
      <c r="N4354">
        <v>134</v>
      </c>
      <c r="O4354" t="s">
        <v>30</v>
      </c>
      <c r="Q4354">
        <v>80</v>
      </c>
      <c r="R4354" t="str">
        <f>"PENSE FARMA 05 (10200)"</f>
        <v>PENSE FARMA 05 (10200)</v>
      </c>
      <c r="S4354" t="s">
        <v>37</v>
      </c>
      <c r="T4354">
        <v>31849</v>
      </c>
      <c r="U4354">
        <v>35894</v>
      </c>
      <c r="V4354" t="s">
        <v>37</v>
      </c>
    </row>
    <row r="4355" spans="1:22">
      <c r="A4355" t="str">
        <f t="shared" si="777"/>
        <v>24/03/2026</v>
      </c>
      <c r="B4355" t="str">
        <f t="shared" si="773"/>
        <v>SAÍDA</v>
      </c>
      <c r="C4355" t="str">
        <f t="shared" si="774"/>
        <v>PIX</v>
      </c>
      <c r="D4355" t="str">
        <f>"35895"</f>
        <v>35895</v>
      </c>
      <c r="E4355" t="str">
        <f t="shared" si="780"/>
        <v>1</v>
      </c>
      <c r="F4355" t="str">
        <f t="shared" si="782"/>
        <v>COM</v>
      </c>
      <c r="G4355" t="str">
        <f t="shared" si="781"/>
        <v>ENTREGADOR DIARISTA (5)</v>
      </c>
      <c r="H4355" t="str">
        <f>"Serv.Prest. 16/03/2026 a 22/03/2026 - ANTONIO MARQUES PIX: CPF - CHAVE: 001.327.392-24"</f>
        <v>Serv.Prest. 16/03/2026 a 22/03/2026 - ANTONIO MARQUES PIX: CPF - CHAVE: 001.327.392-24</v>
      </c>
      <c r="I4355" t="str">
        <f t="shared" si="778"/>
        <v>24/03/2026</v>
      </c>
      <c r="J4355" t="str">
        <f t="shared" si="779"/>
        <v>23/03/2026</v>
      </c>
      <c r="K4355" t="str">
        <f>("24/03/2026")</f>
        <v>24/03/2026</v>
      </c>
      <c r="L4355">
        <v>85</v>
      </c>
      <c r="M4355">
        <v>85</v>
      </c>
      <c r="N4355">
        <v>134</v>
      </c>
      <c r="O4355" t="str">
        <f>"DIARIA DE MOTOBOY"</f>
        <v>DIARIA DE MOTOBOY</v>
      </c>
      <c r="P4355">
        <v>85</v>
      </c>
      <c r="S4355" t="str">
        <f>"BANCO C6 (149)"</f>
        <v>BANCO C6 (149)</v>
      </c>
      <c r="T4355">
        <v>31850</v>
      </c>
      <c r="U4355">
        <v>35895</v>
      </c>
      <c r="V4355" t="s">
        <v>37</v>
      </c>
    </row>
    <row r="4356" spans="1:22">
      <c r="A4356" t="str">
        <f t="shared" si="777"/>
        <v>24/03/2026</v>
      </c>
      <c r="B4356" t="str">
        <f t="shared" si="773"/>
        <v>SAÍDA</v>
      </c>
      <c r="C4356" t="str">
        <f t="shared" si="774"/>
        <v>PIX</v>
      </c>
      <c r="D4356" t="str">
        <f>"35895"</f>
        <v>35895</v>
      </c>
      <c r="E4356" t="str">
        <f t="shared" si="780"/>
        <v>1</v>
      </c>
      <c r="F4356" t="str">
        <f t="shared" si="782"/>
        <v>COM</v>
      </c>
      <c r="G4356" t="str">
        <f t="shared" si="781"/>
        <v>ENTREGADOR DIARISTA (5)</v>
      </c>
      <c r="H4356" t="s">
        <v>1175</v>
      </c>
      <c r="I4356" t="str">
        <f t="shared" si="778"/>
        <v>24/03/2026</v>
      </c>
      <c r="J4356" t="str">
        <f t="shared" si="779"/>
        <v>23/03/2026</v>
      </c>
      <c r="K4356">
        <v>46105</v>
      </c>
      <c r="N4356">
        <v>134</v>
      </c>
      <c r="O4356" t="s">
        <v>30</v>
      </c>
      <c r="Q4356">
        <v>85</v>
      </c>
      <c r="R4356" t="str">
        <f>"PENSE FARMA 13 (10202)"</f>
        <v>PENSE FARMA 13 (10202)</v>
      </c>
      <c r="S4356" t="s">
        <v>37</v>
      </c>
      <c r="T4356">
        <v>31850</v>
      </c>
      <c r="U4356">
        <v>35895</v>
      </c>
      <c r="V4356" t="s">
        <v>37</v>
      </c>
    </row>
    <row r="4357" spans="1:22">
      <c r="A4357" t="str">
        <f t="shared" si="777"/>
        <v>24/03/2026</v>
      </c>
      <c r="B4357" t="str">
        <f t="shared" si="773"/>
        <v>SAÍDA</v>
      </c>
      <c r="C4357" t="str">
        <f t="shared" si="774"/>
        <v>PIX</v>
      </c>
      <c r="D4357" t="str">
        <f>"35896"</f>
        <v>35896</v>
      </c>
      <c r="E4357" t="str">
        <f t="shared" si="780"/>
        <v>1</v>
      </c>
      <c r="F4357" t="str">
        <f t="shared" si="782"/>
        <v>COM</v>
      </c>
      <c r="G4357" t="str">
        <f t="shared" si="781"/>
        <v>ENTREGADOR DIARISTA (5)</v>
      </c>
      <c r="H4357" t="str">
        <f>"Serv.Prest. 16/03/2026 a 22/03/2026 - ANTONIO MARQUES PIX: CPF - CHAVE: 001.327.392-24"</f>
        <v>Serv.Prest. 16/03/2026 a 22/03/2026 - ANTONIO MARQUES PIX: CPF - CHAVE: 001.327.392-24</v>
      </c>
      <c r="I4357" t="str">
        <f t="shared" si="778"/>
        <v>24/03/2026</v>
      </c>
      <c r="J4357" t="str">
        <f t="shared" si="779"/>
        <v>23/03/2026</v>
      </c>
      <c r="K4357" t="str">
        <f>("24/03/2026")</f>
        <v>24/03/2026</v>
      </c>
      <c r="L4357">
        <v>85</v>
      </c>
      <c r="M4357">
        <v>85</v>
      </c>
      <c r="N4357">
        <v>134</v>
      </c>
      <c r="O4357" t="str">
        <f>"DIARIA DE MOTOBOY"</f>
        <v>DIARIA DE MOTOBOY</v>
      </c>
      <c r="P4357">
        <v>85</v>
      </c>
      <c r="S4357" t="str">
        <f>"BANCO C6 (149)"</f>
        <v>BANCO C6 (149)</v>
      </c>
      <c r="T4357">
        <v>31851</v>
      </c>
      <c r="U4357">
        <v>35896</v>
      </c>
      <c r="V4357" t="s">
        <v>37</v>
      </c>
    </row>
    <row r="4358" spans="1:22">
      <c r="A4358" t="str">
        <f t="shared" si="777"/>
        <v>24/03/2026</v>
      </c>
      <c r="B4358" t="str">
        <f t="shared" si="773"/>
        <v>SAÍDA</v>
      </c>
      <c r="C4358" t="str">
        <f t="shared" si="774"/>
        <v>PIX</v>
      </c>
      <c r="D4358" t="str">
        <f>"35896"</f>
        <v>35896</v>
      </c>
      <c r="E4358" t="str">
        <f t="shared" si="780"/>
        <v>1</v>
      </c>
      <c r="F4358" t="str">
        <f t="shared" si="782"/>
        <v>COM</v>
      </c>
      <c r="G4358" t="str">
        <f t="shared" si="781"/>
        <v>ENTREGADOR DIARISTA (5)</v>
      </c>
      <c r="H4358" t="s">
        <v>1175</v>
      </c>
      <c r="I4358" t="str">
        <f t="shared" si="778"/>
        <v>24/03/2026</v>
      </c>
      <c r="J4358" t="str">
        <f t="shared" si="779"/>
        <v>23/03/2026</v>
      </c>
      <c r="K4358">
        <v>46105</v>
      </c>
      <c r="N4358">
        <v>134</v>
      </c>
      <c r="O4358" t="s">
        <v>30</v>
      </c>
      <c r="Q4358">
        <v>85</v>
      </c>
      <c r="R4358" t="str">
        <f>"PENSE FARMA 27 (10204)"</f>
        <v>PENSE FARMA 27 (10204)</v>
      </c>
      <c r="S4358" t="s">
        <v>37</v>
      </c>
      <c r="T4358">
        <v>31851</v>
      </c>
      <c r="U4358">
        <v>35896</v>
      </c>
      <c r="V4358" t="s">
        <v>37</v>
      </c>
    </row>
    <row r="4359" spans="1:22">
      <c r="A4359" t="str">
        <f t="shared" si="777"/>
        <v>24/03/2026</v>
      </c>
      <c r="B4359" t="str">
        <f t="shared" si="773"/>
        <v>SAÍDA</v>
      </c>
      <c r="C4359" t="str">
        <f t="shared" si="774"/>
        <v>PIX</v>
      </c>
      <c r="D4359" t="str">
        <f>"35912"</f>
        <v>35912</v>
      </c>
      <c r="E4359" t="str">
        <f t="shared" si="780"/>
        <v>1</v>
      </c>
      <c r="F4359" t="str">
        <f t="shared" si="782"/>
        <v>COM</v>
      </c>
      <c r="G4359" t="str">
        <f t="shared" ref="G4359:G4366" si="783">"MILENA MARTINELI BRANCO DA SILVA (1344)"</f>
        <v>MILENA MARTINELI BRANCO DA SILVA (1344)</v>
      </c>
      <c r="H4359" t="str">
        <f>"Serv.Prest. 16/03/2026 a 22/03/2026 - PIX: CPF - CHAVE: 499.340.868-40"</f>
        <v>Serv.Prest. 16/03/2026 a 22/03/2026 - PIX: CPF - CHAVE: 499.340.868-40</v>
      </c>
      <c r="I4359" t="str">
        <f t="shared" si="778"/>
        <v>24/03/2026</v>
      </c>
      <c r="J4359" t="str">
        <f t="shared" si="779"/>
        <v>23/03/2026</v>
      </c>
      <c r="K4359" t="str">
        <f>("24/03/2026")</f>
        <v>24/03/2026</v>
      </c>
      <c r="L4359">
        <v>60</v>
      </c>
      <c r="M4359">
        <v>60</v>
      </c>
      <c r="N4359">
        <v>134</v>
      </c>
      <c r="O4359" t="str">
        <f>"DIARIA DE MOTOBOY"</f>
        <v>DIARIA DE MOTOBOY</v>
      </c>
      <c r="P4359">
        <v>60</v>
      </c>
      <c r="S4359" t="str">
        <f>"BANCO C6 (149)"</f>
        <v>BANCO C6 (149)</v>
      </c>
      <c r="T4359">
        <v>31852</v>
      </c>
      <c r="U4359">
        <v>35912</v>
      </c>
      <c r="V4359" t="s">
        <v>37</v>
      </c>
    </row>
    <row r="4360" spans="1:22">
      <c r="A4360" t="str">
        <f t="shared" si="777"/>
        <v>24/03/2026</v>
      </c>
      <c r="B4360" t="str">
        <f t="shared" si="773"/>
        <v>SAÍDA</v>
      </c>
      <c r="C4360" t="str">
        <f t="shared" si="774"/>
        <v>PIX</v>
      </c>
      <c r="D4360" t="str">
        <f>"35912"</f>
        <v>35912</v>
      </c>
      <c r="E4360" t="str">
        <f t="shared" si="780"/>
        <v>1</v>
      </c>
      <c r="F4360" t="str">
        <f t="shared" si="782"/>
        <v>COM</v>
      </c>
      <c r="G4360" t="str">
        <f t="shared" si="783"/>
        <v>MILENA MARTINELI BRANCO DA SILVA (1344)</v>
      </c>
      <c r="H4360" t="s">
        <v>1176</v>
      </c>
      <c r="I4360" t="str">
        <f t="shared" si="778"/>
        <v>24/03/2026</v>
      </c>
      <c r="J4360" t="str">
        <f t="shared" si="779"/>
        <v>23/03/2026</v>
      </c>
      <c r="K4360">
        <v>46105</v>
      </c>
      <c r="N4360">
        <v>134</v>
      </c>
      <c r="O4360" t="s">
        <v>30</v>
      </c>
      <c r="Q4360">
        <v>60</v>
      </c>
      <c r="R4360" t="str">
        <f>"PENSE FARMA 31 (10205)"</f>
        <v>PENSE FARMA 31 (10205)</v>
      </c>
      <c r="S4360" t="s">
        <v>37</v>
      </c>
      <c r="T4360">
        <v>31852</v>
      </c>
      <c r="U4360">
        <v>35912</v>
      </c>
      <c r="V4360" t="s">
        <v>37</v>
      </c>
    </row>
    <row r="4361" spans="1:22">
      <c r="A4361" t="str">
        <f t="shared" si="777"/>
        <v>24/03/2026</v>
      </c>
      <c r="B4361" t="str">
        <f t="shared" ref="B4361:B4392" si="784">"SAÍDA"</f>
        <v>SAÍDA</v>
      </c>
      <c r="C4361" t="str">
        <f t="shared" ref="C4361:C4392" si="785">"PIX"</f>
        <v>PIX</v>
      </c>
      <c r="D4361" t="str">
        <f>"35913"</f>
        <v>35913</v>
      </c>
      <c r="E4361" t="str">
        <f t="shared" si="780"/>
        <v>1</v>
      </c>
      <c r="F4361" t="str">
        <f t="shared" si="782"/>
        <v>COM</v>
      </c>
      <c r="G4361" t="str">
        <f t="shared" si="783"/>
        <v>MILENA MARTINELI BRANCO DA SILVA (1344)</v>
      </c>
      <c r="H4361" t="str">
        <f>"Serv.Prest. 16/03/2026 a 22/03/2026 - PIX: CPF - CHAVE: 499.340.868-40"</f>
        <v>Serv.Prest. 16/03/2026 a 22/03/2026 - PIX: CPF - CHAVE: 499.340.868-40</v>
      </c>
      <c r="I4361" t="str">
        <f t="shared" si="778"/>
        <v>24/03/2026</v>
      </c>
      <c r="J4361" t="str">
        <f t="shared" si="779"/>
        <v>23/03/2026</v>
      </c>
      <c r="K4361" t="str">
        <f>("24/03/2026")</f>
        <v>24/03/2026</v>
      </c>
      <c r="L4361">
        <v>60</v>
      </c>
      <c r="M4361">
        <v>60</v>
      </c>
      <c r="N4361">
        <v>134</v>
      </c>
      <c r="O4361" t="str">
        <f>"DIARIA DE MOTOBOY"</f>
        <v>DIARIA DE MOTOBOY</v>
      </c>
      <c r="P4361">
        <v>60</v>
      </c>
      <c r="S4361" t="str">
        <f>"BANCO C6 (149)"</f>
        <v>BANCO C6 (149)</v>
      </c>
      <c r="T4361">
        <v>31853</v>
      </c>
      <c r="U4361">
        <v>35913</v>
      </c>
      <c r="V4361" t="s">
        <v>37</v>
      </c>
    </row>
    <row r="4362" spans="1:22">
      <c r="A4362" t="str">
        <f t="shared" si="777"/>
        <v>24/03/2026</v>
      </c>
      <c r="B4362" t="str">
        <f t="shared" si="784"/>
        <v>SAÍDA</v>
      </c>
      <c r="C4362" t="str">
        <f t="shared" si="785"/>
        <v>PIX</v>
      </c>
      <c r="D4362" t="str">
        <f>"35913"</f>
        <v>35913</v>
      </c>
      <c r="E4362" t="str">
        <f t="shared" si="780"/>
        <v>1</v>
      </c>
      <c r="F4362" t="str">
        <f t="shared" si="782"/>
        <v>COM</v>
      </c>
      <c r="G4362" t="str">
        <f t="shared" si="783"/>
        <v>MILENA MARTINELI BRANCO DA SILVA (1344)</v>
      </c>
      <c r="H4362" t="s">
        <v>1176</v>
      </c>
      <c r="I4362" t="str">
        <f t="shared" si="778"/>
        <v>24/03/2026</v>
      </c>
      <c r="J4362" t="str">
        <f t="shared" si="779"/>
        <v>23/03/2026</v>
      </c>
      <c r="K4362">
        <v>46105</v>
      </c>
      <c r="N4362">
        <v>134</v>
      </c>
      <c r="O4362" t="s">
        <v>30</v>
      </c>
      <c r="Q4362">
        <v>60</v>
      </c>
      <c r="R4362" t="str">
        <f>"PENSE FARMA 16 (10221)"</f>
        <v>PENSE FARMA 16 (10221)</v>
      </c>
      <c r="S4362" t="s">
        <v>37</v>
      </c>
      <c r="T4362">
        <v>31853</v>
      </c>
      <c r="U4362">
        <v>35913</v>
      </c>
      <c r="V4362" t="s">
        <v>37</v>
      </c>
    </row>
    <row r="4363" spans="1:22">
      <c r="A4363" t="str">
        <f t="shared" si="777"/>
        <v>24/03/2026</v>
      </c>
      <c r="B4363" t="str">
        <f t="shared" si="784"/>
        <v>SAÍDA</v>
      </c>
      <c r="C4363" t="str">
        <f t="shared" si="785"/>
        <v>PIX</v>
      </c>
      <c r="D4363" t="str">
        <f>"35914"</f>
        <v>35914</v>
      </c>
      <c r="E4363" t="str">
        <f t="shared" si="780"/>
        <v>1</v>
      </c>
      <c r="F4363" t="str">
        <f t="shared" si="782"/>
        <v>COM</v>
      </c>
      <c r="G4363" t="str">
        <f t="shared" si="783"/>
        <v>MILENA MARTINELI BRANCO DA SILVA (1344)</v>
      </c>
      <c r="H4363" t="str">
        <f>"Serv.Prest. 16/03/2026 a 22/03/2026 - PIX: CPF - CHAVE: 499.340.868-40"</f>
        <v>Serv.Prest. 16/03/2026 a 22/03/2026 - PIX: CPF - CHAVE: 499.340.868-40</v>
      </c>
      <c r="I4363" t="str">
        <f t="shared" si="778"/>
        <v>24/03/2026</v>
      </c>
      <c r="J4363" t="str">
        <f t="shared" si="779"/>
        <v>23/03/2026</v>
      </c>
      <c r="K4363" t="str">
        <f>("24/03/2026")</f>
        <v>24/03/2026</v>
      </c>
      <c r="L4363">
        <v>60</v>
      </c>
      <c r="M4363">
        <v>60</v>
      </c>
      <c r="N4363">
        <v>134</v>
      </c>
      <c r="O4363" t="str">
        <f>"DIARIA DE MOTOBOY"</f>
        <v>DIARIA DE MOTOBOY</v>
      </c>
      <c r="P4363">
        <v>60</v>
      </c>
      <c r="S4363" t="str">
        <f>"BANCO C6 (149)"</f>
        <v>BANCO C6 (149)</v>
      </c>
      <c r="T4363">
        <v>31854</v>
      </c>
      <c r="U4363">
        <v>35914</v>
      </c>
      <c r="V4363" t="s">
        <v>37</v>
      </c>
    </row>
    <row r="4364" spans="1:22">
      <c r="A4364" t="str">
        <f t="shared" si="777"/>
        <v>24/03/2026</v>
      </c>
      <c r="B4364" t="str">
        <f t="shared" si="784"/>
        <v>SAÍDA</v>
      </c>
      <c r="C4364" t="str">
        <f t="shared" si="785"/>
        <v>PIX</v>
      </c>
      <c r="D4364" t="str">
        <f>"35914"</f>
        <v>35914</v>
      </c>
      <c r="E4364" t="str">
        <f t="shared" si="780"/>
        <v>1</v>
      </c>
      <c r="F4364" t="str">
        <f t="shared" si="782"/>
        <v>COM</v>
      </c>
      <c r="G4364" t="str">
        <f t="shared" si="783"/>
        <v>MILENA MARTINELI BRANCO DA SILVA (1344)</v>
      </c>
      <c r="H4364" t="s">
        <v>1176</v>
      </c>
      <c r="I4364" t="str">
        <f t="shared" si="778"/>
        <v>24/03/2026</v>
      </c>
      <c r="J4364" t="str">
        <f t="shared" si="779"/>
        <v>23/03/2026</v>
      </c>
      <c r="K4364">
        <v>46105</v>
      </c>
      <c r="N4364">
        <v>134</v>
      </c>
      <c r="O4364" t="s">
        <v>30</v>
      </c>
      <c r="Q4364">
        <v>60</v>
      </c>
      <c r="R4364" t="str">
        <f>"PENSE FARMA 17 (10222)"</f>
        <v>PENSE FARMA 17 (10222)</v>
      </c>
      <c r="S4364" t="s">
        <v>37</v>
      </c>
      <c r="T4364">
        <v>31854</v>
      </c>
      <c r="U4364">
        <v>35914</v>
      </c>
      <c r="V4364" t="s">
        <v>37</v>
      </c>
    </row>
    <row r="4365" spans="1:22">
      <c r="A4365" t="str">
        <f t="shared" si="777"/>
        <v>24/03/2026</v>
      </c>
      <c r="B4365" t="str">
        <f t="shared" si="784"/>
        <v>SAÍDA</v>
      </c>
      <c r="C4365" t="str">
        <f t="shared" si="785"/>
        <v>PIX</v>
      </c>
      <c r="D4365" t="str">
        <f>"35915"</f>
        <v>35915</v>
      </c>
      <c r="E4365" t="str">
        <f t="shared" si="780"/>
        <v>1</v>
      </c>
      <c r="F4365" t="str">
        <f t="shared" si="782"/>
        <v>COM</v>
      </c>
      <c r="G4365" t="str">
        <f t="shared" si="783"/>
        <v>MILENA MARTINELI BRANCO DA SILVA (1344)</v>
      </c>
      <c r="H4365" t="str">
        <f>"Serv.Prest. 16/03/2026 a 22/03/2026 - PIX: CPF - CHAVE: 499.340.868-40"</f>
        <v>Serv.Prest. 16/03/2026 a 22/03/2026 - PIX: CPF - CHAVE: 499.340.868-40</v>
      </c>
      <c r="I4365" t="str">
        <f t="shared" si="778"/>
        <v>24/03/2026</v>
      </c>
      <c r="J4365" t="str">
        <f t="shared" si="779"/>
        <v>23/03/2026</v>
      </c>
      <c r="K4365" t="str">
        <f>("24/03/2026")</f>
        <v>24/03/2026</v>
      </c>
      <c r="L4365">
        <v>70</v>
      </c>
      <c r="M4365">
        <v>70</v>
      </c>
      <c r="N4365">
        <v>134</v>
      </c>
      <c r="O4365" t="str">
        <f>"DIARIA DE MOTOBOY"</f>
        <v>DIARIA DE MOTOBOY</v>
      </c>
      <c r="P4365">
        <v>70</v>
      </c>
      <c r="S4365" t="str">
        <f>"BANCO C6 (149)"</f>
        <v>BANCO C6 (149)</v>
      </c>
      <c r="T4365">
        <v>31855</v>
      </c>
      <c r="U4365">
        <v>35915</v>
      </c>
      <c r="V4365" t="s">
        <v>37</v>
      </c>
    </row>
    <row r="4366" spans="1:22">
      <c r="A4366" t="str">
        <f t="shared" si="777"/>
        <v>24/03/2026</v>
      </c>
      <c r="B4366" t="str">
        <f t="shared" si="784"/>
        <v>SAÍDA</v>
      </c>
      <c r="C4366" t="str">
        <f t="shared" si="785"/>
        <v>PIX</v>
      </c>
      <c r="D4366" t="str">
        <f>"35915"</f>
        <v>35915</v>
      </c>
      <c r="E4366" t="str">
        <f t="shared" si="780"/>
        <v>1</v>
      </c>
      <c r="F4366" t="str">
        <f t="shared" si="782"/>
        <v>COM</v>
      </c>
      <c r="G4366" t="str">
        <f t="shared" si="783"/>
        <v>MILENA MARTINELI BRANCO DA SILVA (1344)</v>
      </c>
      <c r="H4366" t="s">
        <v>1176</v>
      </c>
      <c r="I4366" t="str">
        <f t="shared" si="778"/>
        <v>24/03/2026</v>
      </c>
      <c r="J4366" t="str">
        <f t="shared" si="779"/>
        <v>23/03/2026</v>
      </c>
      <c r="K4366">
        <v>46105</v>
      </c>
      <c r="N4366">
        <v>134</v>
      </c>
      <c r="O4366" t="s">
        <v>30</v>
      </c>
      <c r="Q4366">
        <v>70</v>
      </c>
      <c r="R4366" t="str">
        <f>"PENSE FARMA 62 (10274)"</f>
        <v>PENSE FARMA 62 (10274)</v>
      </c>
      <c r="S4366" t="s">
        <v>37</v>
      </c>
      <c r="T4366">
        <v>31855</v>
      </c>
      <c r="U4366">
        <v>35915</v>
      </c>
      <c r="V4366" t="s">
        <v>37</v>
      </c>
    </row>
    <row r="4367" spans="1:22">
      <c r="A4367" t="str">
        <f t="shared" si="777"/>
        <v>24/03/2026</v>
      </c>
      <c r="B4367" t="str">
        <f t="shared" si="784"/>
        <v>SAÍDA</v>
      </c>
      <c r="C4367" t="str">
        <f t="shared" si="785"/>
        <v>PIX</v>
      </c>
      <c r="D4367" t="str">
        <f>"35937"</f>
        <v>35937</v>
      </c>
      <c r="E4367" t="str">
        <f t="shared" si="780"/>
        <v>1</v>
      </c>
      <c r="F4367" t="str">
        <f t="shared" si="782"/>
        <v>COM</v>
      </c>
      <c r="G4367" t="str">
        <f t="shared" ref="G4367:G4376" si="786">"RODOLFO RAFAEL BALSI LIMA (1077)"</f>
        <v>RODOLFO RAFAEL BALSI LIMA (1077)</v>
      </c>
      <c r="H4367" t="str">
        <f>"Serv.Prest. 16/03/2026 a 22/03/2026 - PIX: CELULAR - CHAVE: (11) 99239-3232"</f>
        <v>Serv.Prest. 16/03/2026 a 22/03/2026 - PIX: CELULAR - CHAVE: (11) 99239-3232</v>
      </c>
      <c r="I4367" t="str">
        <f t="shared" si="778"/>
        <v>24/03/2026</v>
      </c>
      <c r="J4367" t="str">
        <f t="shared" si="779"/>
        <v>23/03/2026</v>
      </c>
      <c r="K4367" t="str">
        <f>("24/03/2026")</f>
        <v>24/03/2026</v>
      </c>
      <c r="L4367">
        <v>50</v>
      </c>
      <c r="M4367">
        <v>50</v>
      </c>
      <c r="N4367">
        <v>134</v>
      </c>
      <c r="O4367" t="str">
        <f>"DIARIA DE MOTOBOY"</f>
        <v>DIARIA DE MOTOBOY</v>
      </c>
      <c r="P4367">
        <v>50</v>
      </c>
      <c r="S4367" t="str">
        <f>"BANCO C6 (149)"</f>
        <v>BANCO C6 (149)</v>
      </c>
      <c r="T4367">
        <v>31856</v>
      </c>
      <c r="U4367">
        <v>35937</v>
      </c>
      <c r="V4367" t="s">
        <v>37</v>
      </c>
    </row>
    <row r="4368" spans="1:22">
      <c r="A4368" t="str">
        <f t="shared" si="777"/>
        <v>24/03/2026</v>
      </c>
      <c r="B4368" t="str">
        <f t="shared" si="784"/>
        <v>SAÍDA</v>
      </c>
      <c r="C4368" t="str">
        <f t="shared" si="785"/>
        <v>PIX</v>
      </c>
      <c r="D4368" t="str">
        <f>"35937"</f>
        <v>35937</v>
      </c>
      <c r="E4368" t="str">
        <f t="shared" si="780"/>
        <v>1</v>
      </c>
      <c r="F4368" t="str">
        <f t="shared" si="782"/>
        <v>COM</v>
      </c>
      <c r="G4368" t="str">
        <f t="shared" si="786"/>
        <v>RODOLFO RAFAEL BALSI LIMA (1077)</v>
      </c>
      <c r="H4368" t="s">
        <v>1177</v>
      </c>
      <c r="I4368" t="str">
        <f t="shared" si="778"/>
        <v>24/03/2026</v>
      </c>
      <c r="J4368" t="str">
        <f t="shared" si="779"/>
        <v>23/03/2026</v>
      </c>
      <c r="K4368">
        <v>46105</v>
      </c>
      <c r="N4368">
        <v>134</v>
      </c>
      <c r="O4368" t="s">
        <v>30</v>
      </c>
      <c r="Q4368">
        <v>50</v>
      </c>
      <c r="R4368" t="str">
        <f>"PENSE FARMA 20 (10203)"</f>
        <v>PENSE FARMA 20 (10203)</v>
      </c>
      <c r="S4368" t="s">
        <v>37</v>
      </c>
      <c r="T4368">
        <v>31856</v>
      </c>
      <c r="U4368">
        <v>35937</v>
      </c>
      <c r="V4368" t="s">
        <v>37</v>
      </c>
    </row>
    <row r="4369" spans="1:22">
      <c r="A4369" t="str">
        <f t="shared" si="777"/>
        <v>24/03/2026</v>
      </c>
      <c r="B4369" t="str">
        <f t="shared" si="784"/>
        <v>SAÍDA</v>
      </c>
      <c r="C4369" t="str">
        <f t="shared" si="785"/>
        <v>PIX</v>
      </c>
      <c r="D4369" t="str">
        <f>"35938"</f>
        <v>35938</v>
      </c>
      <c r="E4369" t="str">
        <f t="shared" si="780"/>
        <v>1</v>
      </c>
      <c r="F4369" t="str">
        <f t="shared" si="782"/>
        <v>COM</v>
      </c>
      <c r="G4369" t="str">
        <f t="shared" si="786"/>
        <v>RODOLFO RAFAEL BALSI LIMA (1077)</v>
      </c>
      <c r="H4369" t="str">
        <f>"Serv.Prest. 16/03/2026 a 22/03/2026 - PIX: CELULAR - CHAVE: (11) 99239-3232"</f>
        <v>Serv.Prest. 16/03/2026 a 22/03/2026 - PIX: CELULAR - CHAVE: (11) 99239-3232</v>
      </c>
      <c r="I4369" t="str">
        <f t="shared" si="778"/>
        <v>24/03/2026</v>
      </c>
      <c r="J4369" t="str">
        <f t="shared" si="779"/>
        <v>23/03/2026</v>
      </c>
      <c r="K4369" t="str">
        <f>("24/03/2026")</f>
        <v>24/03/2026</v>
      </c>
      <c r="L4369">
        <v>50</v>
      </c>
      <c r="M4369">
        <v>50</v>
      </c>
      <c r="N4369">
        <v>134</v>
      </c>
      <c r="O4369" t="str">
        <f>"DIARIA DE MOTOBOY"</f>
        <v>DIARIA DE MOTOBOY</v>
      </c>
      <c r="P4369">
        <v>50</v>
      </c>
      <c r="S4369" t="str">
        <f>"BANCO C6 (149)"</f>
        <v>BANCO C6 (149)</v>
      </c>
      <c r="T4369">
        <v>31857</v>
      </c>
      <c r="U4369">
        <v>35938</v>
      </c>
      <c r="V4369" t="s">
        <v>37</v>
      </c>
    </row>
    <row r="4370" spans="1:22">
      <c r="A4370" t="str">
        <f t="shared" si="777"/>
        <v>24/03/2026</v>
      </c>
      <c r="B4370" t="str">
        <f t="shared" si="784"/>
        <v>SAÍDA</v>
      </c>
      <c r="C4370" t="str">
        <f t="shared" si="785"/>
        <v>PIX</v>
      </c>
      <c r="D4370" t="str">
        <f>"35938"</f>
        <v>35938</v>
      </c>
      <c r="E4370" t="str">
        <f t="shared" si="780"/>
        <v>1</v>
      </c>
      <c r="F4370" t="str">
        <f t="shared" si="782"/>
        <v>COM</v>
      </c>
      <c r="G4370" t="str">
        <f t="shared" si="786"/>
        <v>RODOLFO RAFAEL BALSI LIMA (1077)</v>
      </c>
      <c r="H4370" t="s">
        <v>1177</v>
      </c>
      <c r="I4370" t="str">
        <f t="shared" si="778"/>
        <v>24/03/2026</v>
      </c>
      <c r="J4370" t="str">
        <f t="shared" si="779"/>
        <v>23/03/2026</v>
      </c>
      <c r="K4370">
        <v>46105</v>
      </c>
      <c r="N4370">
        <v>134</v>
      </c>
      <c r="O4370" t="s">
        <v>30</v>
      </c>
      <c r="Q4370">
        <v>50</v>
      </c>
      <c r="R4370" t="str">
        <f>"PENSE FARMA 36 (10206)"</f>
        <v>PENSE FARMA 36 (10206)</v>
      </c>
      <c r="S4370" t="s">
        <v>37</v>
      </c>
      <c r="T4370">
        <v>31857</v>
      </c>
      <c r="U4370">
        <v>35938</v>
      </c>
      <c r="V4370" t="s">
        <v>37</v>
      </c>
    </row>
    <row r="4371" spans="1:22">
      <c r="A4371" t="str">
        <f t="shared" si="777"/>
        <v>24/03/2026</v>
      </c>
      <c r="B4371" t="str">
        <f t="shared" si="784"/>
        <v>SAÍDA</v>
      </c>
      <c r="C4371" t="str">
        <f t="shared" si="785"/>
        <v>PIX</v>
      </c>
      <c r="D4371" t="str">
        <f>"35939"</f>
        <v>35939</v>
      </c>
      <c r="E4371" t="str">
        <f t="shared" si="780"/>
        <v>1</v>
      </c>
      <c r="F4371" t="str">
        <f t="shared" si="782"/>
        <v>COM</v>
      </c>
      <c r="G4371" t="str">
        <f t="shared" si="786"/>
        <v>RODOLFO RAFAEL BALSI LIMA (1077)</v>
      </c>
      <c r="H4371" t="str">
        <f>"Serv.Prest. 16/03/2026 a 22/03/2026 - PIX: CELULAR - CHAVE: (11) 99239-3232"</f>
        <v>Serv.Prest. 16/03/2026 a 22/03/2026 - PIX: CELULAR - CHAVE: (11) 99239-3232</v>
      </c>
      <c r="I4371" t="str">
        <f t="shared" si="778"/>
        <v>24/03/2026</v>
      </c>
      <c r="J4371" t="str">
        <f t="shared" si="779"/>
        <v>23/03/2026</v>
      </c>
      <c r="K4371" t="str">
        <f>("24/03/2026")</f>
        <v>24/03/2026</v>
      </c>
      <c r="L4371">
        <v>50</v>
      </c>
      <c r="M4371">
        <v>50</v>
      </c>
      <c r="N4371">
        <v>134</v>
      </c>
      <c r="O4371" t="str">
        <f>"DIARIA DE MOTOBOY"</f>
        <v>DIARIA DE MOTOBOY</v>
      </c>
      <c r="P4371">
        <v>50</v>
      </c>
      <c r="S4371" t="str">
        <f>"BANCO C6 (149)"</f>
        <v>BANCO C6 (149)</v>
      </c>
      <c r="T4371">
        <v>31858</v>
      </c>
      <c r="U4371">
        <v>35939</v>
      </c>
      <c r="V4371" t="s">
        <v>37</v>
      </c>
    </row>
    <row r="4372" spans="1:22">
      <c r="A4372" t="str">
        <f t="shared" si="777"/>
        <v>24/03/2026</v>
      </c>
      <c r="B4372" t="str">
        <f t="shared" si="784"/>
        <v>SAÍDA</v>
      </c>
      <c r="C4372" t="str">
        <f t="shared" si="785"/>
        <v>PIX</v>
      </c>
      <c r="D4372" t="str">
        <f>"35939"</f>
        <v>35939</v>
      </c>
      <c r="E4372" t="str">
        <f t="shared" si="780"/>
        <v>1</v>
      </c>
      <c r="F4372" t="str">
        <f t="shared" si="782"/>
        <v>COM</v>
      </c>
      <c r="G4372" t="str">
        <f t="shared" si="786"/>
        <v>RODOLFO RAFAEL BALSI LIMA (1077)</v>
      </c>
      <c r="H4372" t="s">
        <v>1177</v>
      </c>
      <c r="I4372" t="str">
        <f t="shared" si="778"/>
        <v>24/03/2026</v>
      </c>
      <c r="J4372" t="str">
        <f t="shared" si="779"/>
        <v>23/03/2026</v>
      </c>
      <c r="K4372">
        <v>46105</v>
      </c>
      <c r="N4372">
        <v>134</v>
      </c>
      <c r="O4372" t="s">
        <v>30</v>
      </c>
      <c r="Q4372">
        <v>50</v>
      </c>
      <c r="R4372" t="str">
        <f>"PENSE FARMA 40 (10207)"</f>
        <v>PENSE FARMA 40 (10207)</v>
      </c>
      <c r="S4372" t="s">
        <v>37</v>
      </c>
      <c r="T4372">
        <v>31858</v>
      </c>
      <c r="U4372">
        <v>35939</v>
      </c>
      <c r="V4372" t="s">
        <v>37</v>
      </c>
    </row>
    <row r="4373" spans="1:22">
      <c r="A4373" t="str">
        <f t="shared" si="777"/>
        <v>24/03/2026</v>
      </c>
      <c r="B4373" t="str">
        <f t="shared" si="784"/>
        <v>SAÍDA</v>
      </c>
      <c r="C4373" t="str">
        <f t="shared" si="785"/>
        <v>PIX</v>
      </c>
      <c r="D4373" t="str">
        <f>"35940"</f>
        <v>35940</v>
      </c>
      <c r="E4373" t="str">
        <f t="shared" si="780"/>
        <v>1</v>
      </c>
      <c r="F4373" t="str">
        <f t="shared" si="782"/>
        <v>COM</v>
      </c>
      <c r="G4373" t="str">
        <f t="shared" si="786"/>
        <v>RODOLFO RAFAEL BALSI LIMA (1077)</v>
      </c>
      <c r="H4373" t="str">
        <f>"Serv.Prest. 16/03/2026 a 22/03/2026 - PIX: CELULAR - CHAVE: (11) 99239-3232"</f>
        <v>Serv.Prest. 16/03/2026 a 22/03/2026 - PIX: CELULAR - CHAVE: (11) 99239-3232</v>
      </c>
      <c r="I4373" t="str">
        <f t="shared" si="778"/>
        <v>24/03/2026</v>
      </c>
      <c r="J4373" t="str">
        <f t="shared" si="779"/>
        <v>23/03/2026</v>
      </c>
      <c r="K4373" t="str">
        <f>("24/03/2026")</f>
        <v>24/03/2026</v>
      </c>
      <c r="L4373">
        <v>50</v>
      </c>
      <c r="M4373">
        <v>50</v>
      </c>
      <c r="N4373">
        <v>134</v>
      </c>
      <c r="O4373" t="str">
        <f>"DIARIA DE MOTOBOY"</f>
        <v>DIARIA DE MOTOBOY</v>
      </c>
      <c r="P4373">
        <v>50</v>
      </c>
      <c r="S4373" t="str">
        <f>"BANCO C6 (149)"</f>
        <v>BANCO C6 (149)</v>
      </c>
      <c r="T4373">
        <v>31859</v>
      </c>
      <c r="U4373">
        <v>35940</v>
      </c>
      <c r="V4373" t="s">
        <v>37</v>
      </c>
    </row>
    <row r="4374" spans="1:22">
      <c r="A4374" t="str">
        <f t="shared" si="777"/>
        <v>24/03/2026</v>
      </c>
      <c r="B4374" t="str">
        <f t="shared" si="784"/>
        <v>SAÍDA</v>
      </c>
      <c r="C4374" t="str">
        <f t="shared" si="785"/>
        <v>PIX</v>
      </c>
      <c r="D4374" t="str">
        <f>"35940"</f>
        <v>35940</v>
      </c>
      <c r="E4374" t="str">
        <f t="shared" si="780"/>
        <v>1</v>
      </c>
      <c r="F4374" t="str">
        <f t="shared" si="782"/>
        <v>COM</v>
      </c>
      <c r="G4374" t="str">
        <f t="shared" si="786"/>
        <v>RODOLFO RAFAEL BALSI LIMA (1077)</v>
      </c>
      <c r="H4374" t="s">
        <v>1177</v>
      </c>
      <c r="I4374" t="str">
        <f t="shared" si="778"/>
        <v>24/03/2026</v>
      </c>
      <c r="J4374" t="str">
        <f t="shared" si="779"/>
        <v>23/03/2026</v>
      </c>
      <c r="K4374">
        <v>46105</v>
      </c>
      <c r="N4374">
        <v>134</v>
      </c>
      <c r="O4374" t="s">
        <v>30</v>
      </c>
      <c r="Q4374">
        <v>50</v>
      </c>
      <c r="R4374" t="str">
        <f>"PENSE FARMA 43 (10208)"</f>
        <v>PENSE FARMA 43 (10208)</v>
      </c>
      <c r="S4374" t="s">
        <v>37</v>
      </c>
      <c r="T4374">
        <v>31859</v>
      </c>
      <c r="U4374">
        <v>35940</v>
      </c>
      <c r="V4374" t="s">
        <v>37</v>
      </c>
    </row>
    <row r="4375" spans="1:22">
      <c r="A4375" t="str">
        <f t="shared" si="777"/>
        <v>24/03/2026</v>
      </c>
      <c r="B4375" t="str">
        <f t="shared" si="784"/>
        <v>SAÍDA</v>
      </c>
      <c r="C4375" t="str">
        <f t="shared" si="785"/>
        <v>PIX</v>
      </c>
      <c r="D4375" t="str">
        <f>"35941"</f>
        <v>35941</v>
      </c>
      <c r="E4375" t="str">
        <f t="shared" si="780"/>
        <v>1</v>
      </c>
      <c r="F4375" t="str">
        <f t="shared" si="782"/>
        <v>COM</v>
      </c>
      <c r="G4375" t="str">
        <f t="shared" si="786"/>
        <v>RODOLFO RAFAEL BALSI LIMA (1077)</v>
      </c>
      <c r="H4375" t="str">
        <f>"Serv.Prest. 16/03/2026 a 22/03/2026 - PIX: CELULAR - CHAVE: (11) 99239-3232"</f>
        <v>Serv.Prest. 16/03/2026 a 22/03/2026 - PIX: CELULAR - CHAVE: (11) 99239-3232</v>
      </c>
      <c r="I4375" t="str">
        <f t="shared" si="778"/>
        <v>24/03/2026</v>
      </c>
      <c r="J4375" t="str">
        <f t="shared" si="779"/>
        <v>23/03/2026</v>
      </c>
      <c r="K4375" t="str">
        <f>("24/03/2026")</f>
        <v>24/03/2026</v>
      </c>
      <c r="L4375">
        <v>50</v>
      </c>
      <c r="M4375">
        <v>50</v>
      </c>
      <c r="N4375">
        <v>134</v>
      </c>
      <c r="O4375" t="str">
        <f>"DIARIA DE MOTOBOY"</f>
        <v>DIARIA DE MOTOBOY</v>
      </c>
      <c r="P4375">
        <v>50</v>
      </c>
      <c r="S4375" t="str">
        <f>"BANCO C6 (149)"</f>
        <v>BANCO C6 (149)</v>
      </c>
      <c r="T4375">
        <v>31860</v>
      </c>
      <c r="U4375">
        <v>35941</v>
      </c>
      <c r="V4375" t="s">
        <v>37</v>
      </c>
    </row>
    <row r="4376" spans="1:22">
      <c r="A4376" t="str">
        <f t="shared" si="777"/>
        <v>24/03/2026</v>
      </c>
      <c r="B4376" t="str">
        <f t="shared" si="784"/>
        <v>SAÍDA</v>
      </c>
      <c r="C4376" t="str">
        <f t="shared" si="785"/>
        <v>PIX</v>
      </c>
      <c r="D4376" t="str">
        <f>"35941"</f>
        <v>35941</v>
      </c>
      <c r="E4376" t="str">
        <f t="shared" si="780"/>
        <v>1</v>
      </c>
      <c r="F4376" t="str">
        <f t="shared" si="782"/>
        <v>COM</v>
      </c>
      <c r="G4376" t="str">
        <f t="shared" si="786"/>
        <v>RODOLFO RAFAEL BALSI LIMA (1077)</v>
      </c>
      <c r="H4376" t="s">
        <v>1177</v>
      </c>
      <c r="I4376" t="str">
        <f t="shared" si="778"/>
        <v>24/03/2026</v>
      </c>
      <c r="J4376" t="str">
        <f t="shared" si="779"/>
        <v>23/03/2026</v>
      </c>
      <c r="K4376">
        <v>46105</v>
      </c>
      <c r="N4376">
        <v>134</v>
      </c>
      <c r="O4376" t="s">
        <v>30</v>
      </c>
      <c r="Q4376">
        <v>50</v>
      </c>
      <c r="R4376" t="str">
        <f>"PENSE FARMA 59 (10211)"</f>
        <v>PENSE FARMA 59 (10211)</v>
      </c>
      <c r="S4376" t="s">
        <v>37</v>
      </c>
      <c r="T4376">
        <v>31860</v>
      </c>
      <c r="U4376">
        <v>35941</v>
      </c>
      <c r="V4376" t="s">
        <v>37</v>
      </c>
    </row>
    <row r="4377" spans="1:22">
      <c r="A4377" t="str">
        <f t="shared" ref="A4377:A4408" si="787">("24/03/2026")</f>
        <v>24/03/2026</v>
      </c>
      <c r="B4377" t="str">
        <f t="shared" si="784"/>
        <v>SAÍDA</v>
      </c>
      <c r="C4377" t="str">
        <f t="shared" si="785"/>
        <v>PIX</v>
      </c>
      <c r="D4377" t="str">
        <f>"35949"</f>
        <v>35949</v>
      </c>
      <c r="E4377" t="str">
        <f t="shared" si="780"/>
        <v>1</v>
      </c>
      <c r="F4377" t="str">
        <f t="shared" si="782"/>
        <v>COM</v>
      </c>
      <c r="G4377" t="str">
        <f>"IGOR LOPES DA SILVA (991)"</f>
        <v>IGOR LOPES DA SILVA (991)</v>
      </c>
      <c r="H4377" t="str">
        <f>"Serv.Prest. 16/03/2026 a 22/03/2026 - PIX: CELULAR - CHAVE: (11) 95054-2206"</f>
        <v>Serv.Prest. 16/03/2026 a 22/03/2026 - PIX: CELULAR - CHAVE: (11) 95054-2206</v>
      </c>
      <c r="I4377" t="str">
        <f t="shared" ref="I4377:I4408" si="788">("24/03/2026")</f>
        <v>24/03/2026</v>
      </c>
      <c r="J4377" t="str">
        <f t="shared" si="779"/>
        <v>23/03/2026</v>
      </c>
      <c r="K4377" t="str">
        <f>("24/03/2026")</f>
        <v>24/03/2026</v>
      </c>
      <c r="L4377">
        <v>250</v>
      </c>
      <c r="M4377">
        <v>250</v>
      </c>
      <c r="N4377">
        <v>134</v>
      </c>
      <c r="O4377" t="str">
        <f>"DIARIA DE MOTOBOY"</f>
        <v>DIARIA DE MOTOBOY</v>
      </c>
      <c r="P4377">
        <v>250</v>
      </c>
      <c r="S4377" t="str">
        <f>"BANCO C6 (149)"</f>
        <v>BANCO C6 (149)</v>
      </c>
      <c r="T4377">
        <v>31861</v>
      </c>
      <c r="U4377">
        <v>35951</v>
      </c>
      <c r="V4377" t="s">
        <v>37</v>
      </c>
    </row>
    <row r="4378" spans="1:22">
      <c r="A4378" t="str">
        <f t="shared" si="787"/>
        <v>24/03/2026</v>
      </c>
      <c r="B4378" t="str">
        <f t="shared" si="784"/>
        <v>SAÍDA</v>
      </c>
      <c r="C4378" t="str">
        <f t="shared" si="785"/>
        <v>PIX</v>
      </c>
      <c r="D4378" t="str">
        <f>"35949"</f>
        <v>35949</v>
      </c>
      <c r="E4378" t="str">
        <f t="shared" si="780"/>
        <v>1</v>
      </c>
      <c r="F4378" t="str">
        <f t="shared" si="782"/>
        <v>COM</v>
      </c>
      <c r="G4378" t="str">
        <f>"IGOR LOPES DA SILVA (991)"</f>
        <v>IGOR LOPES DA SILVA (991)</v>
      </c>
      <c r="H4378" t="s">
        <v>1178</v>
      </c>
      <c r="I4378" t="str">
        <f t="shared" si="788"/>
        <v>24/03/2026</v>
      </c>
      <c r="J4378" t="str">
        <f t="shared" si="779"/>
        <v>23/03/2026</v>
      </c>
      <c r="K4378">
        <v>46105</v>
      </c>
      <c r="N4378">
        <v>134</v>
      </c>
      <c r="O4378" t="s">
        <v>30</v>
      </c>
      <c r="Q4378">
        <v>250</v>
      </c>
      <c r="R4378" t="str">
        <f>"PENSE FARMA 03 (10216)"</f>
        <v>PENSE FARMA 03 (10216)</v>
      </c>
      <c r="S4378" t="s">
        <v>37</v>
      </c>
      <c r="T4378">
        <v>31861</v>
      </c>
      <c r="U4378">
        <v>35951</v>
      </c>
      <c r="V4378" t="s">
        <v>37</v>
      </c>
    </row>
    <row r="4379" spans="1:22">
      <c r="A4379" t="str">
        <f t="shared" si="787"/>
        <v>24/03/2026</v>
      </c>
      <c r="B4379" t="str">
        <f t="shared" si="784"/>
        <v>SAÍDA</v>
      </c>
      <c r="C4379" t="str">
        <f t="shared" si="785"/>
        <v>PIX</v>
      </c>
      <c r="D4379" t="str">
        <f>"35955"</f>
        <v>35955</v>
      </c>
      <c r="E4379" t="str">
        <f t="shared" si="780"/>
        <v>1</v>
      </c>
      <c r="F4379" t="str">
        <f t="shared" si="782"/>
        <v>COM</v>
      </c>
      <c r="G4379" t="str">
        <f>"VICTOR HUGO SOARES DE PAULA (1021)"</f>
        <v>VICTOR HUGO SOARES DE PAULA (1021)</v>
      </c>
      <c r="H4379" t="str">
        <f>"Serv.Prest. 16/03/2026 a 22/03/2026 - PIX: CELULAR - CHAVE: (11) 98281-4526"</f>
        <v>Serv.Prest. 16/03/2026 a 22/03/2026 - PIX: CELULAR - CHAVE: (11) 98281-4526</v>
      </c>
      <c r="I4379" t="str">
        <f t="shared" si="788"/>
        <v>24/03/2026</v>
      </c>
      <c r="J4379" t="str">
        <f t="shared" si="779"/>
        <v>23/03/2026</v>
      </c>
      <c r="K4379" t="str">
        <f>("24/03/2026")</f>
        <v>24/03/2026</v>
      </c>
      <c r="L4379">
        <v>250</v>
      </c>
      <c r="M4379">
        <v>250</v>
      </c>
      <c r="N4379">
        <v>134</v>
      </c>
      <c r="O4379" t="str">
        <f>"DIARIA DE MOTOBOY"</f>
        <v>DIARIA DE MOTOBOY</v>
      </c>
      <c r="P4379">
        <v>250</v>
      </c>
      <c r="S4379" t="str">
        <f>"BANCO C6 (149)"</f>
        <v>BANCO C6 (149)</v>
      </c>
      <c r="T4379">
        <v>31862</v>
      </c>
      <c r="U4379">
        <v>35957</v>
      </c>
      <c r="V4379" t="s">
        <v>37</v>
      </c>
    </row>
    <row r="4380" spans="1:22">
      <c r="A4380" t="str">
        <f t="shared" si="787"/>
        <v>24/03/2026</v>
      </c>
      <c r="B4380" t="str">
        <f t="shared" si="784"/>
        <v>SAÍDA</v>
      </c>
      <c r="C4380" t="str">
        <f t="shared" si="785"/>
        <v>PIX</v>
      </c>
      <c r="D4380" t="str">
        <f>"35955"</f>
        <v>35955</v>
      </c>
      <c r="E4380" t="str">
        <f t="shared" si="780"/>
        <v>1</v>
      </c>
      <c r="F4380" t="str">
        <f t="shared" si="782"/>
        <v>COM</v>
      </c>
      <c r="G4380" t="str">
        <f>"VICTOR HUGO SOARES DE PAULA (1021)"</f>
        <v>VICTOR HUGO SOARES DE PAULA (1021)</v>
      </c>
      <c r="H4380" t="s">
        <v>1179</v>
      </c>
      <c r="I4380" t="str">
        <f t="shared" si="788"/>
        <v>24/03/2026</v>
      </c>
      <c r="J4380" t="str">
        <f t="shared" si="779"/>
        <v>23/03/2026</v>
      </c>
      <c r="K4380">
        <v>46105</v>
      </c>
      <c r="N4380">
        <v>134</v>
      </c>
      <c r="O4380" t="s">
        <v>30</v>
      </c>
      <c r="Q4380">
        <v>250</v>
      </c>
      <c r="R4380" t="str">
        <f>"PENSE FARMA 44 (10231)"</f>
        <v>PENSE FARMA 44 (10231)</v>
      </c>
      <c r="S4380" t="s">
        <v>37</v>
      </c>
      <c r="T4380">
        <v>31862</v>
      </c>
      <c r="U4380">
        <v>35957</v>
      </c>
      <c r="V4380" t="s">
        <v>37</v>
      </c>
    </row>
    <row r="4381" spans="1:22">
      <c r="A4381" t="str">
        <f t="shared" si="787"/>
        <v>24/03/2026</v>
      </c>
      <c r="B4381" t="str">
        <f t="shared" si="784"/>
        <v>SAÍDA</v>
      </c>
      <c r="C4381" t="str">
        <f t="shared" si="785"/>
        <v>PIX</v>
      </c>
      <c r="D4381" t="str">
        <f>"35962"</f>
        <v>35962</v>
      </c>
      <c r="E4381" t="str">
        <f t="shared" si="780"/>
        <v>1</v>
      </c>
      <c r="F4381" t="str">
        <f t="shared" si="782"/>
        <v>COM</v>
      </c>
      <c r="G4381" t="str">
        <f>"DANIELE MARIA DE LIMA THEODORO SANTOS (1108)"</f>
        <v>DANIELE MARIA DE LIMA THEODORO SANTOS (1108)</v>
      </c>
      <c r="H4381" t="str">
        <f>"Serv.Prest. 16/03/2026 a 22/03/2026 - PIX: CPF - CHAVE: 530.612.488-70"</f>
        <v>Serv.Prest. 16/03/2026 a 22/03/2026 - PIX: CPF - CHAVE: 530.612.488-70</v>
      </c>
      <c r="I4381" t="str">
        <f t="shared" si="788"/>
        <v>24/03/2026</v>
      </c>
      <c r="J4381" t="str">
        <f t="shared" ref="J4381:J4404" si="789">("23/03/2026")</f>
        <v>23/03/2026</v>
      </c>
      <c r="K4381" t="str">
        <f>("24/03/2026")</f>
        <v>24/03/2026</v>
      </c>
      <c r="L4381">
        <v>250</v>
      </c>
      <c r="M4381">
        <v>250</v>
      </c>
      <c r="N4381">
        <v>134</v>
      </c>
      <c r="O4381" t="str">
        <f>"DIARIA DE MOTOBOY"</f>
        <v>DIARIA DE MOTOBOY</v>
      </c>
      <c r="P4381">
        <v>250</v>
      </c>
      <c r="S4381" t="str">
        <f>"BANCO C6 (149)"</f>
        <v>BANCO C6 (149)</v>
      </c>
      <c r="T4381">
        <v>31863</v>
      </c>
      <c r="U4381">
        <v>35962</v>
      </c>
      <c r="V4381" t="s">
        <v>37</v>
      </c>
    </row>
    <row r="4382" spans="1:22">
      <c r="A4382" t="str">
        <f t="shared" si="787"/>
        <v>24/03/2026</v>
      </c>
      <c r="B4382" t="str">
        <f t="shared" si="784"/>
        <v>SAÍDA</v>
      </c>
      <c r="C4382" t="str">
        <f t="shared" si="785"/>
        <v>PIX</v>
      </c>
      <c r="D4382" t="str">
        <f>"35962"</f>
        <v>35962</v>
      </c>
      <c r="E4382" t="str">
        <f t="shared" si="780"/>
        <v>1</v>
      </c>
      <c r="F4382" t="str">
        <f t="shared" si="782"/>
        <v>COM</v>
      </c>
      <c r="G4382" t="str">
        <f>"DANIELE MARIA DE LIMA THEODORO SANTOS (1108)"</f>
        <v>DANIELE MARIA DE LIMA THEODORO SANTOS (1108)</v>
      </c>
      <c r="H4382" t="s">
        <v>1180</v>
      </c>
      <c r="I4382" t="str">
        <f t="shared" si="788"/>
        <v>24/03/2026</v>
      </c>
      <c r="J4382" t="str">
        <f t="shared" si="789"/>
        <v>23/03/2026</v>
      </c>
      <c r="K4382">
        <v>46105</v>
      </c>
      <c r="N4382">
        <v>134</v>
      </c>
      <c r="O4382" t="s">
        <v>30</v>
      </c>
      <c r="Q4382">
        <v>250</v>
      </c>
      <c r="R4382" t="str">
        <f>"PENSE FARMA 49 (10234)"</f>
        <v>PENSE FARMA 49 (10234)</v>
      </c>
      <c r="S4382" t="s">
        <v>37</v>
      </c>
      <c r="T4382">
        <v>31863</v>
      </c>
      <c r="U4382">
        <v>35962</v>
      </c>
      <c r="V4382" t="s">
        <v>37</v>
      </c>
    </row>
    <row r="4383" spans="1:22">
      <c r="A4383" t="str">
        <f t="shared" si="787"/>
        <v>24/03/2026</v>
      </c>
      <c r="B4383" t="str">
        <f t="shared" si="784"/>
        <v>SAÍDA</v>
      </c>
      <c r="C4383" t="str">
        <f t="shared" si="785"/>
        <v>PIX</v>
      </c>
      <c r="D4383" t="str">
        <f>"24032026"</f>
        <v>24032026</v>
      </c>
      <c r="E4383" t="str">
        <f>""</f>
        <v/>
      </c>
      <c r="F4383" t="str">
        <f t="shared" si="782"/>
        <v>COM</v>
      </c>
      <c r="G4383" t="str">
        <f>"ENTREGADOR 100 (5)"</f>
        <v>ENTREGADOR 100 (5)</v>
      </c>
      <c r="H4383" t="str">
        <f>"Serv.Prest.DIARIA 23/03/2026 - ANTONIO MARQUES PIX: CPF - CHAVE: 001.327.392-24"</f>
        <v>Serv.Prest.DIARIA 23/03/2026 - ANTONIO MARQUES PIX: CPF - CHAVE: 001.327.392-24</v>
      </c>
      <c r="I4383" t="str">
        <f t="shared" si="788"/>
        <v>24/03/2026</v>
      </c>
      <c r="J4383" t="str">
        <f t="shared" si="789"/>
        <v>23/03/2026</v>
      </c>
      <c r="K4383" t="str">
        <f>("24/03/2026")</f>
        <v>24/03/2026</v>
      </c>
      <c r="L4383">
        <v>200</v>
      </c>
      <c r="M4383">
        <v>200</v>
      </c>
      <c r="N4383">
        <v>134</v>
      </c>
      <c r="O4383" t="str">
        <f>"DIARIA DE MOTOBOY"</f>
        <v>DIARIA DE MOTOBOY</v>
      </c>
      <c r="P4383">
        <v>200</v>
      </c>
      <c r="S4383" t="str">
        <f>"BANCO C6 (149)"</f>
        <v>BANCO C6 (149)</v>
      </c>
      <c r="T4383">
        <v>31864</v>
      </c>
      <c r="U4383">
        <v>35964</v>
      </c>
      <c r="V4383" t="s">
        <v>37</v>
      </c>
    </row>
    <row r="4384" spans="1:22">
      <c r="A4384" t="str">
        <f t="shared" si="787"/>
        <v>24/03/2026</v>
      </c>
      <c r="B4384" t="str">
        <f t="shared" si="784"/>
        <v>SAÍDA</v>
      </c>
      <c r="C4384" t="str">
        <f t="shared" si="785"/>
        <v>PIX</v>
      </c>
      <c r="D4384" t="str">
        <f>"24032026"</f>
        <v>24032026</v>
      </c>
      <c r="E4384" t="str">
        <f>""</f>
        <v/>
      </c>
      <c r="F4384" t="str">
        <f t="shared" si="782"/>
        <v>COM</v>
      </c>
      <c r="G4384" t="str">
        <f>"ENTREGADOR 100 (5)"</f>
        <v>ENTREGADOR 100 (5)</v>
      </c>
      <c r="H4384" t="s">
        <v>1181</v>
      </c>
      <c r="I4384" t="str">
        <f t="shared" si="788"/>
        <v>24/03/2026</v>
      </c>
      <c r="J4384" t="str">
        <f t="shared" si="789"/>
        <v>23/03/2026</v>
      </c>
      <c r="K4384">
        <v>46105</v>
      </c>
      <c r="N4384">
        <v>134</v>
      </c>
      <c r="O4384" t="s">
        <v>30</v>
      </c>
      <c r="Q4384">
        <v>200</v>
      </c>
      <c r="R4384" t="str">
        <f>"ENTREGADOR 100 (5)"</f>
        <v>ENTREGADOR 100 (5)</v>
      </c>
      <c r="S4384" t="s">
        <v>37</v>
      </c>
      <c r="T4384">
        <v>31864</v>
      </c>
      <c r="U4384">
        <v>35964</v>
      </c>
      <c r="V4384" t="s">
        <v>37</v>
      </c>
    </row>
    <row r="4385" spans="1:22">
      <c r="A4385" t="str">
        <f t="shared" si="787"/>
        <v>24/03/2026</v>
      </c>
      <c r="B4385" t="str">
        <f t="shared" si="784"/>
        <v>SAÍDA</v>
      </c>
      <c r="C4385" t="str">
        <f t="shared" si="785"/>
        <v>PIX</v>
      </c>
      <c r="D4385" t="str">
        <f>"35975"</f>
        <v>35975</v>
      </c>
      <c r="E4385" t="str">
        <f t="shared" ref="E4385:E4430" si="790">"1"</f>
        <v>1</v>
      </c>
      <c r="F4385" t="str">
        <f t="shared" si="782"/>
        <v>COM</v>
      </c>
      <c r="G4385" t="str">
        <f>"FELIPE CHAVES FRANCO (1325)"</f>
        <v>FELIPE CHAVES FRANCO (1325)</v>
      </c>
      <c r="H4385" t="str">
        <f>"Serv.Prest. 16/03/2026 a 22/03/2026 - PIX: CPF - CHAVE: 135.653.486-40"</f>
        <v>Serv.Prest. 16/03/2026 a 22/03/2026 - PIX: CPF - CHAVE: 135.653.486-40</v>
      </c>
      <c r="I4385" t="str">
        <f t="shared" si="788"/>
        <v>24/03/2026</v>
      </c>
      <c r="J4385" t="str">
        <f t="shared" si="789"/>
        <v>23/03/2026</v>
      </c>
      <c r="K4385" t="str">
        <f>("24/03/2026")</f>
        <v>24/03/2026</v>
      </c>
      <c r="L4385">
        <v>66</v>
      </c>
      <c r="M4385">
        <v>66</v>
      </c>
      <c r="N4385">
        <v>134</v>
      </c>
      <c r="O4385" t="str">
        <f>"DIARIA DE MOTOBOY"</f>
        <v>DIARIA DE MOTOBOY</v>
      </c>
      <c r="P4385">
        <v>66</v>
      </c>
      <c r="S4385" t="str">
        <f>"BANCO C6 (149)"</f>
        <v>BANCO C6 (149)</v>
      </c>
      <c r="T4385">
        <v>31865</v>
      </c>
      <c r="U4385">
        <v>35975</v>
      </c>
      <c r="V4385" t="s">
        <v>37</v>
      </c>
    </row>
    <row r="4386" spans="1:22">
      <c r="A4386" t="str">
        <f t="shared" si="787"/>
        <v>24/03/2026</v>
      </c>
      <c r="B4386" t="str">
        <f t="shared" si="784"/>
        <v>SAÍDA</v>
      </c>
      <c r="C4386" t="str">
        <f t="shared" si="785"/>
        <v>PIX</v>
      </c>
      <c r="D4386" t="str">
        <f>"35975"</f>
        <v>35975</v>
      </c>
      <c r="E4386" t="str">
        <f t="shared" si="790"/>
        <v>1</v>
      </c>
      <c r="F4386" t="str">
        <f t="shared" si="782"/>
        <v>COM</v>
      </c>
      <c r="G4386" t="str">
        <f>"FELIPE CHAVES FRANCO (1325)"</f>
        <v>FELIPE CHAVES FRANCO (1325)</v>
      </c>
      <c r="H4386" t="s">
        <v>1182</v>
      </c>
      <c r="I4386" t="str">
        <f t="shared" si="788"/>
        <v>24/03/2026</v>
      </c>
      <c r="J4386" t="str">
        <f t="shared" si="789"/>
        <v>23/03/2026</v>
      </c>
      <c r="K4386">
        <v>46105</v>
      </c>
      <c r="N4386">
        <v>134</v>
      </c>
      <c r="O4386" t="s">
        <v>30</v>
      </c>
      <c r="Q4386">
        <v>66</v>
      </c>
      <c r="R4386" t="str">
        <f>"PAGMENOS - LJ 768 (10266)"</f>
        <v>PAGMENOS - LJ 768 (10266)</v>
      </c>
      <c r="S4386" t="s">
        <v>37</v>
      </c>
      <c r="T4386">
        <v>31865</v>
      </c>
      <c r="U4386">
        <v>35975</v>
      </c>
      <c r="V4386" t="s">
        <v>37</v>
      </c>
    </row>
    <row r="4387" spans="1:22">
      <c r="A4387" t="str">
        <f t="shared" si="787"/>
        <v>24/03/2026</v>
      </c>
      <c r="B4387" t="str">
        <f t="shared" si="784"/>
        <v>SAÍDA</v>
      </c>
      <c r="C4387" t="str">
        <f t="shared" si="785"/>
        <v>PIX</v>
      </c>
      <c r="D4387" t="str">
        <f>"36009"</f>
        <v>36009</v>
      </c>
      <c r="E4387" t="str">
        <f t="shared" si="790"/>
        <v>1</v>
      </c>
      <c r="F4387" t="str">
        <f t="shared" si="782"/>
        <v>COM</v>
      </c>
      <c r="G4387" t="str">
        <f>"FELIPE CHAVES FRANCO (1325)"</f>
        <v>FELIPE CHAVES FRANCO (1325)</v>
      </c>
      <c r="H4387" t="str">
        <f>"Serv.Prest. 16/03/2026 a 22/03/2026 - PIX: CPF - CHAVE: 135.653.486-40"</f>
        <v>Serv.Prest. 16/03/2026 a 22/03/2026 - PIX: CPF - CHAVE: 135.653.486-40</v>
      </c>
      <c r="I4387" t="str">
        <f t="shared" si="788"/>
        <v>24/03/2026</v>
      </c>
      <c r="J4387" t="str">
        <f t="shared" si="789"/>
        <v>23/03/2026</v>
      </c>
      <c r="K4387" t="str">
        <f>("24/03/2026")</f>
        <v>24/03/2026</v>
      </c>
      <c r="L4387">
        <v>54</v>
      </c>
      <c r="M4387">
        <v>54</v>
      </c>
      <c r="N4387">
        <v>134</v>
      </c>
      <c r="O4387" t="str">
        <f>"DIARIA DE MOTOBOY"</f>
        <v>DIARIA DE MOTOBOY</v>
      </c>
      <c r="P4387">
        <v>54</v>
      </c>
      <c r="S4387" t="str">
        <f>"BANCO C6 (149)"</f>
        <v>BANCO C6 (149)</v>
      </c>
      <c r="T4387">
        <v>31866</v>
      </c>
      <c r="U4387">
        <v>36009</v>
      </c>
      <c r="V4387" t="s">
        <v>37</v>
      </c>
    </row>
    <row r="4388" spans="1:22">
      <c r="A4388" t="str">
        <f t="shared" si="787"/>
        <v>24/03/2026</v>
      </c>
      <c r="B4388" t="str">
        <f t="shared" si="784"/>
        <v>SAÍDA</v>
      </c>
      <c r="C4388" t="str">
        <f t="shared" si="785"/>
        <v>PIX</v>
      </c>
      <c r="D4388" t="str">
        <f>"36009"</f>
        <v>36009</v>
      </c>
      <c r="E4388" t="str">
        <f t="shared" si="790"/>
        <v>1</v>
      </c>
      <c r="F4388" t="str">
        <f t="shared" si="782"/>
        <v>COM</v>
      </c>
      <c r="G4388" t="str">
        <f>"FELIPE CHAVES FRANCO (1325)"</f>
        <v>FELIPE CHAVES FRANCO (1325)</v>
      </c>
      <c r="H4388" t="s">
        <v>1182</v>
      </c>
      <c r="I4388" t="str">
        <f t="shared" si="788"/>
        <v>24/03/2026</v>
      </c>
      <c r="J4388" t="str">
        <f t="shared" si="789"/>
        <v>23/03/2026</v>
      </c>
      <c r="K4388">
        <v>46105</v>
      </c>
      <c r="N4388">
        <v>134</v>
      </c>
      <c r="O4388" t="s">
        <v>30</v>
      </c>
      <c r="Q4388">
        <v>54</v>
      </c>
      <c r="R4388" t="str">
        <f>"PAGMENOS - LJ 431 (10265)"</f>
        <v>PAGMENOS - LJ 431 (10265)</v>
      </c>
      <c r="S4388" t="s">
        <v>37</v>
      </c>
      <c r="T4388">
        <v>31866</v>
      </c>
      <c r="U4388">
        <v>36009</v>
      </c>
      <c r="V4388" t="s">
        <v>37</v>
      </c>
    </row>
    <row r="4389" spans="1:22">
      <c r="A4389" t="str">
        <f t="shared" si="787"/>
        <v>24/03/2026</v>
      </c>
      <c r="B4389" t="str">
        <f t="shared" si="784"/>
        <v>SAÍDA</v>
      </c>
      <c r="C4389" t="str">
        <f t="shared" si="785"/>
        <v>PIX</v>
      </c>
      <c r="D4389" t="str">
        <f>"36025"</f>
        <v>36025</v>
      </c>
      <c r="E4389" t="str">
        <f t="shared" si="790"/>
        <v>1</v>
      </c>
      <c r="F4389" t="str">
        <f t="shared" si="782"/>
        <v>COM</v>
      </c>
      <c r="G4389" t="str">
        <f>"WILLIAM FERREIRA DE OLIVEIRA (900)"</f>
        <v>WILLIAM FERREIRA DE OLIVEIRA (900)</v>
      </c>
      <c r="H4389" t="str">
        <f>"Serv.Prest. 16/03/2026 a 22/03/2026 - PIX: CPF - CHAVE: 106.393.056-10"</f>
        <v>Serv.Prest. 16/03/2026 a 22/03/2026 - PIX: CPF - CHAVE: 106.393.056-10</v>
      </c>
      <c r="I4389" t="str">
        <f t="shared" si="788"/>
        <v>24/03/2026</v>
      </c>
      <c r="J4389" t="str">
        <f t="shared" si="789"/>
        <v>23/03/2026</v>
      </c>
      <c r="K4389" t="str">
        <f>("24/03/2026")</f>
        <v>24/03/2026</v>
      </c>
      <c r="L4389">
        <v>138</v>
      </c>
      <c r="M4389">
        <v>140</v>
      </c>
      <c r="N4389">
        <v>134</v>
      </c>
      <c r="O4389" t="str">
        <f>"DIARIA DE MOTOBOY"</f>
        <v>DIARIA DE MOTOBOY</v>
      </c>
      <c r="P4389">
        <v>140</v>
      </c>
      <c r="S4389" t="str">
        <f>"BANCO C6 (149)"</f>
        <v>BANCO C6 (149)</v>
      </c>
      <c r="T4389">
        <v>31867</v>
      </c>
      <c r="U4389">
        <v>36025</v>
      </c>
      <c r="V4389" t="s">
        <v>37</v>
      </c>
    </row>
    <row r="4390" spans="1:22">
      <c r="A4390" t="str">
        <f t="shared" si="787"/>
        <v>24/03/2026</v>
      </c>
      <c r="B4390" t="str">
        <f t="shared" si="784"/>
        <v>SAÍDA</v>
      </c>
      <c r="C4390" t="str">
        <f t="shared" si="785"/>
        <v>PIX</v>
      </c>
      <c r="D4390" t="str">
        <f>"36025"</f>
        <v>36025</v>
      </c>
      <c r="E4390" t="str">
        <f t="shared" si="790"/>
        <v>1</v>
      </c>
      <c r="F4390" t="str">
        <f t="shared" si="782"/>
        <v>COM</v>
      </c>
      <c r="G4390" t="str">
        <f>"WILLIAM FERREIRA DE OLIVEIRA (900)"</f>
        <v>WILLIAM FERREIRA DE OLIVEIRA (900)</v>
      </c>
      <c r="H4390" t="s">
        <v>1183</v>
      </c>
      <c r="I4390" t="str">
        <f t="shared" si="788"/>
        <v>24/03/2026</v>
      </c>
      <c r="J4390" t="str">
        <f t="shared" si="789"/>
        <v>23/03/2026</v>
      </c>
      <c r="K4390">
        <v>46105</v>
      </c>
      <c r="N4390">
        <v>134</v>
      </c>
      <c r="O4390" t="s">
        <v>30</v>
      </c>
      <c r="Q4390">
        <v>140</v>
      </c>
      <c r="R4390" t="str">
        <f>"PAGMENOS - LJ 657 (10136)"</f>
        <v>PAGMENOS - LJ 657 (10136)</v>
      </c>
      <c r="S4390" t="s">
        <v>37</v>
      </c>
      <c r="T4390">
        <v>31867</v>
      </c>
      <c r="U4390">
        <v>36025</v>
      </c>
      <c r="V4390" t="s">
        <v>37</v>
      </c>
    </row>
    <row r="4391" spans="1:22">
      <c r="A4391" t="str">
        <f t="shared" si="787"/>
        <v>24/03/2026</v>
      </c>
      <c r="B4391" t="str">
        <f t="shared" si="784"/>
        <v>SAÍDA</v>
      </c>
      <c r="C4391" t="str">
        <f t="shared" si="785"/>
        <v>PIX</v>
      </c>
      <c r="D4391" t="str">
        <f>"36017"</f>
        <v>36017</v>
      </c>
      <c r="E4391" t="str">
        <f t="shared" si="790"/>
        <v>1</v>
      </c>
      <c r="F4391" t="str">
        <f t="shared" si="782"/>
        <v>COM</v>
      </c>
      <c r="G4391" t="str">
        <f>"THAIS SILVA MAIA (1057)"</f>
        <v>THAIS SILVA MAIA (1057)</v>
      </c>
      <c r="H4391" t="str">
        <f>"Serv.Prest. 16/03/2026 a 22/03/2026 - PIX: CELULAR - CHAVE: (34) 99688-5705"</f>
        <v>Serv.Prest. 16/03/2026 a 22/03/2026 - PIX: CELULAR - CHAVE: (34) 99688-5705</v>
      </c>
      <c r="I4391" t="str">
        <f t="shared" si="788"/>
        <v>24/03/2026</v>
      </c>
      <c r="J4391" t="str">
        <f t="shared" si="789"/>
        <v>23/03/2026</v>
      </c>
      <c r="K4391" t="str">
        <f>("24/03/2026")</f>
        <v>24/03/2026</v>
      </c>
      <c r="L4391">
        <v>120</v>
      </c>
      <c r="M4391">
        <v>120</v>
      </c>
      <c r="N4391">
        <v>134</v>
      </c>
      <c r="O4391" t="str">
        <f>"DIARIA DE MOTOBOY"</f>
        <v>DIARIA DE MOTOBOY</v>
      </c>
      <c r="P4391">
        <v>120</v>
      </c>
      <c r="S4391" t="str">
        <f>"BANCO C6 (149)"</f>
        <v>BANCO C6 (149)</v>
      </c>
      <c r="T4391">
        <v>31868</v>
      </c>
      <c r="U4391">
        <v>36026</v>
      </c>
      <c r="V4391" t="s">
        <v>37</v>
      </c>
    </row>
    <row r="4392" spans="1:22">
      <c r="A4392" t="str">
        <f t="shared" si="787"/>
        <v>24/03/2026</v>
      </c>
      <c r="B4392" t="str">
        <f t="shared" si="784"/>
        <v>SAÍDA</v>
      </c>
      <c r="C4392" t="str">
        <f t="shared" si="785"/>
        <v>PIX</v>
      </c>
      <c r="D4392" t="str">
        <f>"36017"</f>
        <v>36017</v>
      </c>
      <c r="E4392" t="str">
        <f t="shared" si="790"/>
        <v>1</v>
      </c>
      <c r="F4392" t="str">
        <f t="shared" si="782"/>
        <v>COM</v>
      </c>
      <c r="G4392" t="str">
        <f>"THAIS SILVA MAIA (1057)"</f>
        <v>THAIS SILVA MAIA (1057)</v>
      </c>
      <c r="H4392" t="s">
        <v>1184</v>
      </c>
      <c r="I4392" t="str">
        <f t="shared" si="788"/>
        <v>24/03/2026</v>
      </c>
      <c r="J4392" t="str">
        <f t="shared" si="789"/>
        <v>23/03/2026</v>
      </c>
      <c r="K4392">
        <v>46105</v>
      </c>
      <c r="N4392">
        <v>134</v>
      </c>
      <c r="O4392" t="s">
        <v>30</v>
      </c>
      <c r="Q4392">
        <v>120</v>
      </c>
      <c r="R4392" t="str">
        <f>"PAGMENOS - LJ 431 (10265)"</f>
        <v>PAGMENOS - LJ 431 (10265)</v>
      </c>
      <c r="S4392" t="s">
        <v>37</v>
      </c>
      <c r="T4392">
        <v>31868</v>
      </c>
      <c r="U4392">
        <v>36026</v>
      </c>
      <c r="V4392" t="s">
        <v>37</v>
      </c>
    </row>
    <row r="4393" spans="1:22">
      <c r="A4393" t="str">
        <f t="shared" si="787"/>
        <v>24/03/2026</v>
      </c>
      <c r="B4393" t="str">
        <f t="shared" ref="B4393:B4424" si="791">"SAÍDA"</f>
        <v>SAÍDA</v>
      </c>
      <c r="C4393" t="str">
        <f t="shared" ref="C4393:C4424" si="792">"PIX"</f>
        <v>PIX</v>
      </c>
      <c r="D4393" t="str">
        <f>"36069"</f>
        <v>36069</v>
      </c>
      <c r="E4393" t="str">
        <f t="shared" si="790"/>
        <v>1</v>
      </c>
      <c r="F4393" t="str">
        <f t="shared" si="782"/>
        <v>COM</v>
      </c>
      <c r="G4393" t="str">
        <f>"FRANCISCO LUCIANO DE LIMA (1062)"</f>
        <v>FRANCISCO LUCIANO DE LIMA (1062)</v>
      </c>
      <c r="H4393" t="str">
        <f>"Serv.Prest. 16/03/2026 a 22/03/2026 - PIX: CELULAR - CHAVE: (11) 94910-8689"</f>
        <v>Serv.Prest. 16/03/2026 a 22/03/2026 - PIX: CELULAR - CHAVE: (11) 94910-8689</v>
      </c>
      <c r="I4393" t="str">
        <f t="shared" si="788"/>
        <v>24/03/2026</v>
      </c>
      <c r="J4393" t="str">
        <f t="shared" si="789"/>
        <v>23/03/2026</v>
      </c>
      <c r="K4393" t="str">
        <f>("24/03/2026")</f>
        <v>24/03/2026</v>
      </c>
      <c r="L4393">
        <v>140</v>
      </c>
      <c r="M4393">
        <v>140</v>
      </c>
      <c r="N4393">
        <v>134</v>
      </c>
      <c r="O4393" t="str">
        <f>"DIARIA DE MOTOBOY"</f>
        <v>DIARIA DE MOTOBOY</v>
      </c>
      <c r="P4393">
        <v>140</v>
      </c>
      <c r="S4393" t="str">
        <f>"BANCO C6 (149)"</f>
        <v>BANCO C6 (149)</v>
      </c>
      <c r="T4393">
        <v>31869</v>
      </c>
      <c r="U4393">
        <v>36069</v>
      </c>
      <c r="V4393" t="s">
        <v>37</v>
      </c>
    </row>
    <row r="4394" spans="1:22">
      <c r="A4394" t="str">
        <f t="shared" si="787"/>
        <v>24/03/2026</v>
      </c>
      <c r="B4394" t="str">
        <f t="shared" si="791"/>
        <v>SAÍDA</v>
      </c>
      <c r="C4394" t="str">
        <f t="shared" si="792"/>
        <v>PIX</v>
      </c>
      <c r="D4394" t="str">
        <f>"36069"</f>
        <v>36069</v>
      </c>
      <c r="E4394" t="str">
        <f t="shared" si="790"/>
        <v>1</v>
      </c>
      <c r="F4394" t="str">
        <f t="shared" si="782"/>
        <v>COM</v>
      </c>
      <c r="G4394" t="str">
        <f>"FRANCISCO LUCIANO DE LIMA (1062)"</f>
        <v>FRANCISCO LUCIANO DE LIMA (1062)</v>
      </c>
      <c r="H4394" t="s">
        <v>1185</v>
      </c>
      <c r="I4394" t="str">
        <f t="shared" si="788"/>
        <v>24/03/2026</v>
      </c>
      <c r="J4394" t="str">
        <f t="shared" si="789"/>
        <v>23/03/2026</v>
      </c>
      <c r="K4394">
        <v>46105</v>
      </c>
      <c r="N4394">
        <v>134</v>
      </c>
      <c r="O4394" t="s">
        <v>30</v>
      </c>
      <c r="Q4394">
        <v>140</v>
      </c>
      <c r="R4394" t="str">
        <f>"DROGA ELIDA (10121)"</f>
        <v>DROGA ELIDA (10121)</v>
      </c>
      <c r="S4394" t="s">
        <v>37</v>
      </c>
      <c r="T4394">
        <v>31869</v>
      </c>
      <c r="U4394">
        <v>36069</v>
      </c>
      <c r="V4394" t="s">
        <v>37</v>
      </c>
    </row>
    <row r="4395" spans="1:22">
      <c r="A4395" t="str">
        <f t="shared" si="787"/>
        <v>24/03/2026</v>
      </c>
      <c r="B4395" t="str">
        <f t="shared" si="791"/>
        <v>SAÍDA</v>
      </c>
      <c r="C4395" t="str">
        <f t="shared" si="792"/>
        <v>PIX</v>
      </c>
      <c r="D4395" t="str">
        <f>"36087"</f>
        <v>36087</v>
      </c>
      <c r="E4395" t="str">
        <f t="shared" si="790"/>
        <v>1</v>
      </c>
      <c r="F4395" t="str">
        <f t="shared" si="782"/>
        <v>COM</v>
      </c>
      <c r="G4395" t="str">
        <f>"REINALDO APERECIDO GOMES (1375)"</f>
        <v>REINALDO APERECIDO GOMES (1375)</v>
      </c>
      <c r="H4395" t="str">
        <f>"Serv.Prest. 16/03/2026 a 22/03/2026 - PIX: CPF - CHAVE: 143.810.496-08"</f>
        <v>Serv.Prest. 16/03/2026 a 22/03/2026 - PIX: CPF - CHAVE: 143.810.496-08</v>
      </c>
      <c r="I4395" t="str">
        <f t="shared" si="788"/>
        <v>24/03/2026</v>
      </c>
      <c r="J4395" t="str">
        <f t="shared" si="789"/>
        <v>23/03/2026</v>
      </c>
      <c r="K4395" t="str">
        <f>("24/03/2026")</f>
        <v>24/03/2026</v>
      </c>
      <c r="L4395">
        <v>469</v>
      </c>
      <c r="M4395">
        <v>469</v>
      </c>
      <c r="N4395">
        <v>134</v>
      </c>
      <c r="O4395" t="str">
        <f>"DIARIA DE MOTOBOY"</f>
        <v>DIARIA DE MOTOBOY</v>
      </c>
      <c r="P4395">
        <v>469</v>
      </c>
      <c r="S4395" t="str">
        <f>"BANCO C6 (149)"</f>
        <v>BANCO C6 (149)</v>
      </c>
      <c r="T4395">
        <v>31870</v>
      </c>
      <c r="U4395">
        <v>36087</v>
      </c>
      <c r="V4395" t="s">
        <v>37</v>
      </c>
    </row>
    <row r="4396" spans="1:22">
      <c r="A4396" t="str">
        <f t="shared" si="787"/>
        <v>24/03/2026</v>
      </c>
      <c r="B4396" t="str">
        <f t="shared" si="791"/>
        <v>SAÍDA</v>
      </c>
      <c r="C4396" t="str">
        <f t="shared" si="792"/>
        <v>PIX</v>
      </c>
      <c r="D4396" t="str">
        <f>"36087"</f>
        <v>36087</v>
      </c>
      <c r="E4396" t="str">
        <f t="shared" si="790"/>
        <v>1</v>
      </c>
      <c r="F4396" t="str">
        <f t="shared" si="782"/>
        <v>COM</v>
      </c>
      <c r="G4396" t="str">
        <f>"REINALDO APERECIDO GOMES (1375)"</f>
        <v>REINALDO APERECIDO GOMES (1375)</v>
      </c>
      <c r="H4396" t="s">
        <v>1186</v>
      </c>
      <c r="I4396" t="str">
        <f t="shared" si="788"/>
        <v>24/03/2026</v>
      </c>
      <c r="J4396" t="str">
        <f t="shared" si="789"/>
        <v>23/03/2026</v>
      </c>
      <c r="K4396">
        <v>46105</v>
      </c>
      <c r="N4396">
        <v>134</v>
      </c>
      <c r="O4396" t="s">
        <v>30</v>
      </c>
      <c r="Q4396">
        <v>469</v>
      </c>
      <c r="R4396" t="str">
        <f>"DROGARIA ISABELLA (10276)"</f>
        <v>DROGARIA ISABELLA (10276)</v>
      </c>
      <c r="S4396" t="s">
        <v>37</v>
      </c>
      <c r="T4396">
        <v>31870</v>
      </c>
      <c r="U4396">
        <v>36087</v>
      </c>
      <c r="V4396" t="s">
        <v>37</v>
      </c>
    </row>
    <row r="4397" spans="1:22">
      <c r="A4397" t="str">
        <f t="shared" si="787"/>
        <v>24/03/2026</v>
      </c>
      <c r="B4397" t="str">
        <f t="shared" si="791"/>
        <v>SAÍDA</v>
      </c>
      <c r="C4397" t="str">
        <f t="shared" si="792"/>
        <v>PIX</v>
      </c>
      <c r="D4397" t="str">
        <f>"36089"</f>
        <v>36089</v>
      </c>
      <c r="E4397" t="str">
        <f t="shared" si="790"/>
        <v>1</v>
      </c>
      <c r="F4397" t="str">
        <f t="shared" si="782"/>
        <v>COM</v>
      </c>
      <c r="G4397" t="str">
        <f>"DOUGLAS RODRIGUES DE FREITAS (1161)"</f>
        <v>DOUGLAS RODRIGUES DE FREITAS (1161)</v>
      </c>
      <c r="H4397" t="str">
        <f>"Serv.Prest. 16/03/2026 a 22/03/2026 - PIX: E-MAIL - CHAVE: doug6866@gmail.com"</f>
        <v>Serv.Prest. 16/03/2026 a 22/03/2026 - PIX: E-MAIL - CHAVE: doug6866@gmail.com</v>
      </c>
      <c r="I4397" t="str">
        <f t="shared" si="788"/>
        <v>24/03/2026</v>
      </c>
      <c r="J4397" t="str">
        <f t="shared" si="789"/>
        <v>23/03/2026</v>
      </c>
      <c r="K4397" t="str">
        <f>("24/03/2026")</f>
        <v>24/03/2026</v>
      </c>
      <c r="L4397">
        <v>130</v>
      </c>
      <c r="M4397">
        <v>130</v>
      </c>
      <c r="N4397">
        <v>134</v>
      </c>
      <c r="O4397" t="str">
        <f>"DIARIA DE MOTOBOY"</f>
        <v>DIARIA DE MOTOBOY</v>
      </c>
      <c r="P4397">
        <v>130</v>
      </c>
      <c r="S4397" t="str">
        <f>"BANCO C6 (149)"</f>
        <v>BANCO C6 (149)</v>
      </c>
      <c r="T4397">
        <v>31871</v>
      </c>
      <c r="U4397">
        <v>36090</v>
      </c>
      <c r="V4397" t="s">
        <v>37</v>
      </c>
    </row>
    <row r="4398" spans="1:22">
      <c r="A4398" t="str">
        <f t="shared" si="787"/>
        <v>24/03/2026</v>
      </c>
      <c r="B4398" t="str">
        <f t="shared" si="791"/>
        <v>SAÍDA</v>
      </c>
      <c r="C4398" t="str">
        <f t="shared" si="792"/>
        <v>PIX</v>
      </c>
      <c r="D4398" t="str">
        <f>"36089"</f>
        <v>36089</v>
      </c>
      <c r="E4398" t="str">
        <f t="shared" si="790"/>
        <v>1</v>
      </c>
      <c r="F4398" t="str">
        <f t="shared" si="782"/>
        <v>COM</v>
      </c>
      <c r="G4398" t="str">
        <f>"DOUGLAS RODRIGUES DE FREITAS (1161)"</f>
        <v>DOUGLAS RODRIGUES DE FREITAS (1161)</v>
      </c>
      <c r="H4398" t="s">
        <v>1187</v>
      </c>
      <c r="I4398" t="str">
        <f t="shared" si="788"/>
        <v>24/03/2026</v>
      </c>
      <c r="J4398" t="str">
        <f t="shared" si="789"/>
        <v>23/03/2026</v>
      </c>
      <c r="K4398">
        <v>46105</v>
      </c>
      <c r="N4398">
        <v>134</v>
      </c>
      <c r="O4398" t="s">
        <v>30</v>
      </c>
      <c r="Q4398">
        <v>130</v>
      </c>
      <c r="R4398" t="str">
        <f>"DROGARIA MEDIC CENTER LTDA (10172)"</f>
        <v>DROGARIA MEDIC CENTER LTDA (10172)</v>
      </c>
      <c r="S4398" t="s">
        <v>37</v>
      </c>
      <c r="T4398">
        <v>31871</v>
      </c>
      <c r="U4398">
        <v>36090</v>
      </c>
      <c r="V4398" t="s">
        <v>37</v>
      </c>
    </row>
    <row r="4399" spans="1:22">
      <c r="A4399" t="str">
        <f t="shared" si="787"/>
        <v>24/03/2026</v>
      </c>
      <c r="B4399" t="str">
        <f t="shared" si="791"/>
        <v>SAÍDA</v>
      </c>
      <c r="C4399" t="str">
        <f t="shared" si="792"/>
        <v>PIX</v>
      </c>
      <c r="D4399" t="str">
        <f>"36094"</f>
        <v>36094</v>
      </c>
      <c r="E4399" t="str">
        <f t="shared" si="790"/>
        <v>1</v>
      </c>
      <c r="F4399" t="str">
        <f t="shared" si="782"/>
        <v>COM</v>
      </c>
      <c r="G4399" t="str">
        <f>"JOSE ADILSON DA SILVA (1168)"</f>
        <v>JOSE ADILSON DA SILVA (1168)</v>
      </c>
      <c r="H4399" t="str">
        <f>"Serv.Prest. 16/03/2026 a 22/03/2026 - PIX: CPF - CHAVE: 142.473.524-66"</f>
        <v>Serv.Prest. 16/03/2026 a 22/03/2026 - PIX: CPF - CHAVE: 142.473.524-66</v>
      </c>
      <c r="I4399" t="str">
        <f t="shared" si="788"/>
        <v>24/03/2026</v>
      </c>
      <c r="J4399" t="str">
        <f t="shared" si="789"/>
        <v>23/03/2026</v>
      </c>
      <c r="K4399" t="str">
        <f>("24/03/2026")</f>
        <v>24/03/2026</v>
      </c>
      <c r="L4399">
        <v>182</v>
      </c>
      <c r="M4399">
        <v>150</v>
      </c>
      <c r="N4399">
        <v>134</v>
      </c>
      <c r="O4399" t="str">
        <f>"DIARIA DE MOTOBOY"</f>
        <v>DIARIA DE MOTOBOY</v>
      </c>
      <c r="P4399">
        <v>150</v>
      </c>
      <c r="S4399" t="str">
        <f>"BANCO C6 (149)"</f>
        <v>BANCO C6 (149)</v>
      </c>
      <c r="T4399">
        <v>31872</v>
      </c>
      <c r="U4399">
        <v>36094</v>
      </c>
      <c r="V4399" t="s">
        <v>37</v>
      </c>
    </row>
    <row r="4400" spans="1:22">
      <c r="A4400" t="str">
        <f t="shared" si="787"/>
        <v>24/03/2026</v>
      </c>
      <c r="B4400" t="str">
        <f t="shared" si="791"/>
        <v>SAÍDA</v>
      </c>
      <c r="C4400" t="str">
        <f t="shared" si="792"/>
        <v>PIX</v>
      </c>
      <c r="D4400" t="str">
        <f>"36094"</f>
        <v>36094</v>
      </c>
      <c r="E4400" t="str">
        <f t="shared" si="790"/>
        <v>1</v>
      </c>
      <c r="F4400" t="str">
        <f t="shared" si="782"/>
        <v>COM</v>
      </c>
      <c r="G4400" t="str">
        <f>"JOSE ADILSON DA SILVA (1168)"</f>
        <v>JOSE ADILSON DA SILVA (1168)</v>
      </c>
      <c r="H4400" t="s">
        <v>1188</v>
      </c>
      <c r="I4400" t="str">
        <f t="shared" si="788"/>
        <v>24/03/2026</v>
      </c>
      <c r="J4400" t="str">
        <f t="shared" si="789"/>
        <v>23/03/2026</v>
      </c>
      <c r="K4400">
        <v>46105</v>
      </c>
      <c r="N4400">
        <v>134</v>
      </c>
      <c r="O4400" t="s">
        <v>30</v>
      </c>
      <c r="Q4400">
        <v>150</v>
      </c>
      <c r="R4400" t="str">
        <f>"DROGARIA MORENO LTDA (10171)"</f>
        <v>DROGARIA MORENO LTDA (10171)</v>
      </c>
      <c r="S4400" t="s">
        <v>37</v>
      </c>
      <c r="T4400">
        <v>31872</v>
      </c>
      <c r="U4400">
        <v>36094</v>
      </c>
      <c r="V4400" t="s">
        <v>37</v>
      </c>
    </row>
    <row r="4401" spans="1:22">
      <c r="A4401" t="str">
        <f t="shared" si="787"/>
        <v>24/03/2026</v>
      </c>
      <c r="B4401" t="str">
        <f t="shared" si="791"/>
        <v>SAÍDA</v>
      </c>
      <c r="C4401" t="str">
        <f t="shared" si="792"/>
        <v>PIX</v>
      </c>
      <c r="D4401" t="str">
        <f>"36102"</f>
        <v>36102</v>
      </c>
      <c r="E4401" t="str">
        <f t="shared" si="790"/>
        <v>1</v>
      </c>
      <c r="F4401" t="str">
        <f t="shared" si="782"/>
        <v>COM</v>
      </c>
      <c r="G4401" t="str">
        <f>"ELIEL PEREIRA BARBOZA DE LIMA (1321)"</f>
        <v>ELIEL PEREIRA BARBOZA DE LIMA (1321)</v>
      </c>
      <c r="H4401" t="str">
        <f>"Serv.Prest. 16/03/2026 a 22/03/2026 - PIX: CPF - CHAVE: 276.110.698-96"</f>
        <v>Serv.Prest. 16/03/2026 a 22/03/2026 - PIX: CPF - CHAVE: 276.110.698-96</v>
      </c>
      <c r="I4401" t="str">
        <f t="shared" si="788"/>
        <v>24/03/2026</v>
      </c>
      <c r="J4401" t="str">
        <f t="shared" si="789"/>
        <v>23/03/2026</v>
      </c>
      <c r="K4401" t="str">
        <f>("24/03/2026")</f>
        <v>24/03/2026</v>
      </c>
      <c r="L4401">
        <v>651</v>
      </c>
      <c r="M4401">
        <v>650</v>
      </c>
      <c r="N4401">
        <v>134</v>
      </c>
      <c r="O4401" t="str">
        <f>"DIARIA DE MOTOBOY"</f>
        <v>DIARIA DE MOTOBOY</v>
      </c>
      <c r="P4401">
        <v>650</v>
      </c>
      <c r="S4401" t="str">
        <f>"BANCO C6 (149)"</f>
        <v>BANCO C6 (149)</v>
      </c>
      <c r="T4401">
        <v>31873</v>
      </c>
      <c r="U4401">
        <v>36102</v>
      </c>
      <c r="V4401" t="s">
        <v>37</v>
      </c>
    </row>
    <row r="4402" spans="1:22">
      <c r="A4402" t="str">
        <f t="shared" si="787"/>
        <v>24/03/2026</v>
      </c>
      <c r="B4402" t="str">
        <f t="shared" si="791"/>
        <v>SAÍDA</v>
      </c>
      <c r="C4402" t="str">
        <f t="shared" si="792"/>
        <v>PIX</v>
      </c>
      <c r="D4402" t="str">
        <f>"36102"</f>
        <v>36102</v>
      </c>
      <c r="E4402" t="str">
        <f t="shared" si="790"/>
        <v>1</v>
      </c>
      <c r="F4402" t="str">
        <f t="shared" si="782"/>
        <v>COM</v>
      </c>
      <c r="G4402" t="str">
        <f>"ELIEL PEREIRA BARBOZA DE LIMA (1321)"</f>
        <v>ELIEL PEREIRA BARBOZA DE LIMA (1321)</v>
      </c>
      <c r="H4402" t="s">
        <v>1189</v>
      </c>
      <c r="I4402" t="str">
        <f t="shared" si="788"/>
        <v>24/03/2026</v>
      </c>
      <c r="J4402" t="str">
        <f t="shared" si="789"/>
        <v>23/03/2026</v>
      </c>
      <c r="K4402">
        <v>46105</v>
      </c>
      <c r="N4402">
        <v>134</v>
      </c>
      <c r="O4402" t="s">
        <v>30</v>
      </c>
      <c r="Q4402">
        <v>650</v>
      </c>
      <c r="R4402" t="str">
        <f>"FARMACIA ROSAS (10288)"</f>
        <v>FARMACIA ROSAS (10288)</v>
      </c>
      <c r="S4402" t="s">
        <v>37</v>
      </c>
      <c r="T4402">
        <v>31873</v>
      </c>
      <c r="U4402">
        <v>36102</v>
      </c>
      <c r="V4402" t="s">
        <v>37</v>
      </c>
    </row>
    <row r="4403" spans="1:22">
      <c r="A4403" t="str">
        <f t="shared" si="787"/>
        <v>24/03/2026</v>
      </c>
      <c r="B4403" t="str">
        <f t="shared" si="791"/>
        <v>SAÍDA</v>
      </c>
      <c r="C4403" t="str">
        <f t="shared" si="792"/>
        <v>PIX</v>
      </c>
      <c r="D4403" t="str">
        <f>"36105"</f>
        <v>36105</v>
      </c>
      <c r="E4403" t="str">
        <f t="shared" si="790"/>
        <v>1</v>
      </c>
      <c r="F4403" t="str">
        <f t="shared" si="782"/>
        <v>COM</v>
      </c>
      <c r="G4403" t="str">
        <f>"VICTOR HENRIQUE GOUVEA (1360)"</f>
        <v>VICTOR HENRIQUE GOUVEA (1360)</v>
      </c>
      <c r="H4403" t="str">
        <f>"Serv.Prest. 16/03/2026 a 22/03/2026 - PIX: E-MAIL - CHAVE: gouveavictor4@gmail.com"</f>
        <v>Serv.Prest. 16/03/2026 a 22/03/2026 - PIX: E-MAIL - CHAVE: gouveavictor4@gmail.com</v>
      </c>
      <c r="I4403" t="str">
        <f t="shared" si="788"/>
        <v>24/03/2026</v>
      </c>
      <c r="J4403" t="str">
        <f t="shared" si="789"/>
        <v>23/03/2026</v>
      </c>
      <c r="K4403" t="str">
        <f>("24/03/2026")</f>
        <v>24/03/2026</v>
      </c>
      <c r="L4403">
        <v>637</v>
      </c>
      <c r="M4403">
        <v>403</v>
      </c>
      <c r="N4403">
        <v>134</v>
      </c>
      <c r="O4403" t="str">
        <f>"DIARIA DE MOTOBOY"</f>
        <v>DIARIA DE MOTOBOY</v>
      </c>
      <c r="P4403">
        <v>403</v>
      </c>
      <c r="S4403" t="str">
        <f>"BANCO C6 (149)"</f>
        <v>BANCO C6 (149)</v>
      </c>
      <c r="T4403">
        <v>31874</v>
      </c>
      <c r="U4403">
        <v>36105</v>
      </c>
      <c r="V4403" t="s">
        <v>37</v>
      </c>
    </row>
    <row r="4404" spans="1:22">
      <c r="A4404" t="str">
        <f t="shared" si="787"/>
        <v>24/03/2026</v>
      </c>
      <c r="B4404" t="str">
        <f t="shared" si="791"/>
        <v>SAÍDA</v>
      </c>
      <c r="C4404" t="str">
        <f t="shared" si="792"/>
        <v>PIX</v>
      </c>
      <c r="D4404" t="str">
        <f>"36105"</f>
        <v>36105</v>
      </c>
      <c r="E4404" t="str">
        <f t="shared" si="790"/>
        <v>1</v>
      </c>
      <c r="F4404" t="str">
        <f t="shared" si="782"/>
        <v>COM</v>
      </c>
      <c r="G4404" t="str">
        <f>"VICTOR HENRIQUE GOUVEA (1360)"</f>
        <v>VICTOR HENRIQUE GOUVEA (1360)</v>
      </c>
      <c r="H4404" t="s">
        <v>1190</v>
      </c>
      <c r="I4404" t="str">
        <f t="shared" si="788"/>
        <v>24/03/2026</v>
      </c>
      <c r="J4404" t="str">
        <f t="shared" si="789"/>
        <v>23/03/2026</v>
      </c>
      <c r="K4404">
        <v>46105</v>
      </c>
      <c r="N4404">
        <v>134</v>
      </c>
      <c r="O4404" t="s">
        <v>30</v>
      </c>
      <c r="Q4404">
        <v>403</v>
      </c>
      <c r="R4404" t="str">
        <f>"FARMACIA ROSAS (10288)"</f>
        <v>FARMACIA ROSAS (10288)</v>
      </c>
      <c r="S4404" t="s">
        <v>37</v>
      </c>
      <c r="T4404">
        <v>31874</v>
      </c>
      <c r="U4404">
        <v>36105</v>
      </c>
      <c r="V4404" t="s">
        <v>37</v>
      </c>
    </row>
    <row r="4405" spans="1:22">
      <c r="A4405" t="str">
        <f t="shared" si="787"/>
        <v>24/03/2026</v>
      </c>
      <c r="B4405" t="str">
        <f t="shared" si="791"/>
        <v>SAÍDA</v>
      </c>
      <c r="C4405" t="str">
        <f t="shared" si="792"/>
        <v>PIX</v>
      </c>
      <c r="D4405" t="str">
        <f>"36119"</f>
        <v>36119</v>
      </c>
      <c r="E4405" t="str">
        <f t="shared" si="790"/>
        <v>1</v>
      </c>
      <c r="F4405" t="str">
        <f t="shared" si="782"/>
        <v>COM</v>
      </c>
      <c r="G4405" t="str">
        <f>"EVERTON DA SILVEIRA SANTOS (834)"</f>
        <v>EVERTON DA SILVEIRA SANTOS (834)</v>
      </c>
      <c r="H4405" t="str">
        <f>"Serv.Prest. DIÁRIA 22/03/2026 - PIX: CELULAR - CHAVE: (73) 99982-9939"</f>
        <v>Serv.Prest. DIÁRIA 22/03/2026 - PIX: CELULAR - CHAVE: (73) 99982-9939</v>
      </c>
      <c r="I4405" t="str">
        <f t="shared" si="788"/>
        <v>24/03/2026</v>
      </c>
      <c r="J4405" t="str">
        <f>("24/03/2026")</f>
        <v>24/03/2026</v>
      </c>
      <c r="K4405" t="str">
        <f>("24/03/2026")</f>
        <v>24/03/2026</v>
      </c>
      <c r="L4405">
        <v>150</v>
      </c>
      <c r="M4405">
        <v>150</v>
      </c>
      <c r="N4405">
        <v>134</v>
      </c>
      <c r="O4405" t="str">
        <f>"DIARIA DE MOTOBOY"</f>
        <v>DIARIA DE MOTOBOY</v>
      </c>
      <c r="P4405">
        <v>150</v>
      </c>
      <c r="S4405" t="str">
        <f>"BANCO C6 (149)"</f>
        <v>BANCO C6 (149)</v>
      </c>
      <c r="T4405">
        <v>31875</v>
      </c>
      <c r="U4405">
        <v>36119</v>
      </c>
      <c r="V4405" t="s">
        <v>37</v>
      </c>
    </row>
    <row r="4406" spans="1:22">
      <c r="A4406" t="str">
        <f t="shared" si="787"/>
        <v>24/03/2026</v>
      </c>
      <c r="B4406" t="str">
        <f t="shared" si="791"/>
        <v>SAÍDA</v>
      </c>
      <c r="C4406" t="str">
        <f t="shared" si="792"/>
        <v>PIX</v>
      </c>
      <c r="D4406" t="str">
        <f>"36119"</f>
        <v>36119</v>
      </c>
      <c r="E4406" t="str">
        <f t="shared" si="790"/>
        <v>1</v>
      </c>
      <c r="F4406" t="str">
        <f t="shared" si="782"/>
        <v>COM</v>
      </c>
      <c r="G4406" t="str">
        <f>"EVERTON DA SILVEIRA SANTOS (834)"</f>
        <v>EVERTON DA SILVEIRA SANTOS (834)</v>
      </c>
      <c r="H4406" t="s">
        <v>1191</v>
      </c>
      <c r="I4406" t="str">
        <f t="shared" si="788"/>
        <v>24/03/2026</v>
      </c>
      <c r="J4406" t="str">
        <f t="shared" ref="J4406:J4426" si="793">("24/03/2026")</f>
        <v>24/03/2026</v>
      </c>
      <c r="K4406">
        <v>46105</v>
      </c>
      <c r="N4406">
        <v>134</v>
      </c>
      <c r="O4406" t="s">
        <v>30</v>
      </c>
      <c r="Q4406">
        <v>150</v>
      </c>
      <c r="R4406" t="str">
        <f>"FARMACIA INDIANA LJ 201 (10323)"</f>
        <v>FARMACIA INDIANA LJ 201 (10323)</v>
      </c>
      <c r="S4406" t="s">
        <v>37</v>
      </c>
      <c r="T4406">
        <v>31875</v>
      </c>
      <c r="U4406">
        <v>36119</v>
      </c>
      <c r="V4406" t="s">
        <v>37</v>
      </c>
    </row>
    <row r="4407" spans="1:22">
      <c r="A4407" t="str">
        <f t="shared" si="787"/>
        <v>24/03/2026</v>
      </c>
      <c r="B4407" t="str">
        <f t="shared" si="791"/>
        <v>SAÍDA</v>
      </c>
      <c r="C4407" t="str">
        <f t="shared" si="792"/>
        <v>PIX</v>
      </c>
      <c r="D4407" t="str">
        <f>"36147"</f>
        <v>36147</v>
      </c>
      <c r="E4407" t="str">
        <f t="shared" si="790"/>
        <v>1</v>
      </c>
      <c r="F4407" t="str">
        <f t="shared" si="782"/>
        <v>COM</v>
      </c>
      <c r="G4407" t="str">
        <f>"TIAGO CRUZ DOS SANTOS (1359)"</f>
        <v>TIAGO CRUZ DOS SANTOS (1359)</v>
      </c>
      <c r="H4407" t="str">
        <f>"Serv.Prest. DIÁRIA 22/03/2026 - PIX: CELULAR - CHAVE: (73) 99949-0087"</f>
        <v>Serv.Prest. DIÁRIA 22/03/2026 - PIX: CELULAR - CHAVE: (73) 99949-0087</v>
      </c>
      <c r="I4407" t="str">
        <f t="shared" si="788"/>
        <v>24/03/2026</v>
      </c>
      <c r="J4407" t="str">
        <f t="shared" si="793"/>
        <v>24/03/2026</v>
      </c>
      <c r="K4407" t="str">
        <f>("24/03/2026")</f>
        <v>24/03/2026</v>
      </c>
      <c r="L4407">
        <v>150</v>
      </c>
      <c r="M4407">
        <v>150</v>
      </c>
      <c r="N4407">
        <v>134</v>
      </c>
      <c r="O4407" t="str">
        <f>"DIARIA DE MOTOBOY"</f>
        <v>DIARIA DE MOTOBOY</v>
      </c>
      <c r="P4407">
        <v>150</v>
      </c>
      <c r="S4407" t="str">
        <f>"BANCO C6 (149)"</f>
        <v>BANCO C6 (149)</v>
      </c>
      <c r="T4407">
        <v>31876</v>
      </c>
      <c r="U4407">
        <v>36147</v>
      </c>
      <c r="V4407" t="s">
        <v>37</v>
      </c>
    </row>
    <row r="4408" spans="1:22">
      <c r="A4408" t="str">
        <f t="shared" si="787"/>
        <v>24/03/2026</v>
      </c>
      <c r="B4408" t="str">
        <f t="shared" si="791"/>
        <v>SAÍDA</v>
      </c>
      <c r="C4408" t="str">
        <f t="shared" si="792"/>
        <v>PIX</v>
      </c>
      <c r="D4408" t="str">
        <f>"36147"</f>
        <v>36147</v>
      </c>
      <c r="E4408" t="str">
        <f t="shared" si="790"/>
        <v>1</v>
      </c>
      <c r="F4408" t="str">
        <f t="shared" si="782"/>
        <v>COM</v>
      </c>
      <c r="G4408" t="str">
        <f>"TIAGO CRUZ DOS SANTOS (1359)"</f>
        <v>TIAGO CRUZ DOS SANTOS (1359)</v>
      </c>
      <c r="H4408" t="s">
        <v>1192</v>
      </c>
      <c r="I4408" t="str">
        <f t="shared" si="788"/>
        <v>24/03/2026</v>
      </c>
      <c r="J4408" t="str">
        <f t="shared" si="793"/>
        <v>24/03/2026</v>
      </c>
      <c r="K4408">
        <v>46105</v>
      </c>
      <c r="N4408">
        <v>134</v>
      </c>
      <c r="O4408" t="s">
        <v>30</v>
      </c>
      <c r="Q4408">
        <v>150</v>
      </c>
      <c r="R4408" t="str">
        <f>"FARMÁCIA INDIANA LJ 91 (10037)"</f>
        <v>FARMÁCIA INDIANA LJ 91 (10037)</v>
      </c>
      <c r="S4408" t="s">
        <v>37</v>
      </c>
      <c r="T4408">
        <v>31876</v>
      </c>
      <c r="U4408">
        <v>36147</v>
      </c>
      <c r="V4408" t="s">
        <v>37</v>
      </c>
    </row>
    <row r="4409" spans="1:22">
      <c r="A4409" t="str">
        <f t="shared" ref="A4409:A4434" si="794">("24/03/2026")</f>
        <v>24/03/2026</v>
      </c>
      <c r="B4409" t="str">
        <f t="shared" si="791"/>
        <v>SAÍDA</v>
      </c>
      <c r="C4409" t="str">
        <f t="shared" si="792"/>
        <v>PIX</v>
      </c>
      <c r="D4409" t="str">
        <f>"36175"</f>
        <v>36175</v>
      </c>
      <c r="E4409" t="str">
        <f t="shared" si="790"/>
        <v>1</v>
      </c>
      <c r="F4409" t="str">
        <f t="shared" si="782"/>
        <v>COM</v>
      </c>
      <c r="G4409" t="str">
        <f>"CHRISTINEY NOLASCO (1385)"</f>
        <v>CHRISTINEY NOLASCO (1385)</v>
      </c>
      <c r="H4409" t="str">
        <f>"Serv.Prest. 16/03/2026 a 22/03/2026 - PIX: CELULAR - CHAVE: (32) 99910-8064"</f>
        <v>Serv.Prest. 16/03/2026 a 22/03/2026 - PIX: CELULAR - CHAVE: (32) 99910-8064</v>
      </c>
      <c r="I4409" t="str">
        <f t="shared" ref="I4409:I4432" si="795">("24/03/2026")</f>
        <v>24/03/2026</v>
      </c>
      <c r="J4409" t="str">
        <f t="shared" si="793"/>
        <v>24/03/2026</v>
      </c>
      <c r="K4409" t="str">
        <f>("24/03/2026")</f>
        <v>24/03/2026</v>
      </c>
      <c r="L4409">
        <v>120</v>
      </c>
      <c r="M4409">
        <v>120</v>
      </c>
      <c r="N4409">
        <v>134</v>
      </c>
      <c r="O4409" t="str">
        <f>"DIARIA DE MOTOBOY"</f>
        <v>DIARIA DE MOTOBOY</v>
      </c>
      <c r="P4409">
        <v>120</v>
      </c>
      <c r="S4409" t="str">
        <f>"BANCO C6 (149)"</f>
        <v>BANCO C6 (149)</v>
      </c>
      <c r="T4409">
        <v>31877</v>
      </c>
      <c r="U4409">
        <v>36175</v>
      </c>
      <c r="V4409" t="s">
        <v>37</v>
      </c>
    </row>
    <row r="4410" spans="1:22">
      <c r="A4410" t="str">
        <f t="shared" si="794"/>
        <v>24/03/2026</v>
      </c>
      <c r="B4410" t="str">
        <f t="shared" si="791"/>
        <v>SAÍDA</v>
      </c>
      <c r="C4410" t="str">
        <f t="shared" si="792"/>
        <v>PIX</v>
      </c>
      <c r="D4410" t="str">
        <f>"36175"</f>
        <v>36175</v>
      </c>
      <c r="E4410" t="str">
        <f t="shared" si="790"/>
        <v>1</v>
      </c>
      <c r="F4410" t="str">
        <f t="shared" si="782"/>
        <v>COM</v>
      </c>
      <c r="G4410" t="str">
        <f>"CHRISTINEY NOLASCO (1385)"</f>
        <v>CHRISTINEY NOLASCO (1385)</v>
      </c>
      <c r="H4410" t="s">
        <v>1193</v>
      </c>
      <c r="I4410" t="str">
        <f t="shared" si="795"/>
        <v>24/03/2026</v>
      </c>
      <c r="J4410" t="str">
        <f t="shared" si="793"/>
        <v>24/03/2026</v>
      </c>
      <c r="K4410">
        <v>46105</v>
      </c>
      <c r="N4410">
        <v>134</v>
      </c>
      <c r="O4410" t="s">
        <v>30</v>
      </c>
      <c r="Q4410">
        <v>120</v>
      </c>
      <c r="R4410" t="str">
        <f>"FARMÁCIA INDIANA LJ 284 (10280)"</f>
        <v>FARMÁCIA INDIANA LJ 284 (10280)</v>
      </c>
      <c r="S4410" t="s">
        <v>37</v>
      </c>
      <c r="T4410">
        <v>31877</v>
      </c>
      <c r="U4410">
        <v>36175</v>
      </c>
      <c r="V4410" t="s">
        <v>37</v>
      </c>
    </row>
    <row r="4411" spans="1:22">
      <c r="A4411" t="str">
        <f t="shared" si="794"/>
        <v>24/03/2026</v>
      </c>
      <c r="B4411" t="str">
        <f t="shared" si="791"/>
        <v>SAÍDA</v>
      </c>
      <c r="C4411" t="str">
        <f t="shared" si="792"/>
        <v>PIX</v>
      </c>
      <c r="D4411" t="str">
        <f>"36199"</f>
        <v>36199</v>
      </c>
      <c r="E4411" t="str">
        <f t="shared" si="790"/>
        <v>1</v>
      </c>
      <c r="F4411" t="str">
        <f t="shared" si="782"/>
        <v>COM</v>
      </c>
      <c r="G4411" t="str">
        <f>"GUILHERME DO CARMO CAZARIM (1268)"</f>
        <v>GUILHERME DO CARMO CAZARIM (1268)</v>
      </c>
      <c r="H4411" t="str">
        <f>"Serv.Prest. 16/03/2026 a 22/03/2026 - PIX: CELULAR - CHAVE: (32) 99841-7315"</f>
        <v>Serv.Prest. 16/03/2026 a 22/03/2026 - PIX: CELULAR - CHAVE: (32) 99841-7315</v>
      </c>
      <c r="I4411" t="str">
        <f t="shared" si="795"/>
        <v>24/03/2026</v>
      </c>
      <c r="J4411" t="str">
        <f t="shared" si="793"/>
        <v>24/03/2026</v>
      </c>
      <c r="K4411" t="str">
        <f>("24/03/2026")</f>
        <v>24/03/2026</v>
      </c>
      <c r="L4411">
        <v>150</v>
      </c>
      <c r="M4411">
        <v>150</v>
      </c>
      <c r="N4411">
        <v>134</v>
      </c>
      <c r="O4411" t="str">
        <f>"DIARIA DE MOTOBOY"</f>
        <v>DIARIA DE MOTOBOY</v>
      </c>
      <c r="P4411">
        <v>150</v>
      </c>
      <c r="S4411" t="str">
        <f>"BANCO C6 (149)"</f>
        <v>BANCO C6 (149)</v>
      </c>
      <c r="T4411">
        <v>31878</v>
      </c>
      <c r="U4411">
        <v>36199</v>
      </c>
      <c r="V4411" t="s">
        <v>37</v>
      </c>
    </row>
    <row r="4412" spans="1:22">
      <c r="A4412" t="str">
        <f t="shared" si="794"/>
        <v>24/03/2026</v>
      </c>
      <c r="B4412" t="str">
        <f t="shared" si="791"/>
        <v>SAÍDA</v>
      </c>
      <c r="C4412" t="str">
        <f t="shared" si="792"/>
        <v>PIX</v>
      </c>
      <c r="D4412" t="str">
        <f>"36199"</f>
        <v>36199</v>
      </c>
      <c r="E4412" t="str">
        <f t="shared" si="790"/>
        <v>1</v>
      </c>
      <c r="F4412" t="str">
        <f t="shared" si="782"/>
        <v>COM</v>
      </c>
      <c r="G4412" t="str">
        <f>"GUILHERME DO CARMO CAZARIM (1268)"</f>
        <v>GUILHERME DO CARMO CAZARIM (1268)</v>
      </c>
      <c r="H4412" t="s">
        <v>1194</v>
      </c>
      <c r="I4412" t="str">
        <f t="shared" si="795"/>
        <v>24/03/2026</v>
      </c>
      <c r="J4412" t="str">
        <f t="shared" si="793"/>
        <v>24/03/2026</v>
      </c>
      <c r="K4412">
        <v>46105</v>
      </c>
      <c r="N4412">
        <v>134</v>
      </c>
      <c r="O4412" t="s">
        <v>30</v>
      </c>
      <c r="Q4412">
        <v>150</v>
      </c>
      <c r="R4412" t="str">
        <f>"FARMÁCIA INDIANA LJ 121 (10054)"</f>
        <v>FARMÁCIA INDIANA LJ 121 (10054)</v>
      </c>
      <c r="S4412" t="s">
        <v>37</v>
      </c>
      <c r="T4412">
        <v>31878</v>
      </c>
      <c r="U4412">
        <v>36199</v>
      </c>
      <c r="V4412" t="s">
        <v>37</v>
      </c>
    </row>
    <row r="4413" spans="1:22">
      <c r="A4413" t="str">
        <f t="shared" si="794"/>
        <v>24/03/2026</v>
      </c>
      <c r="B4413" t="str">
        <f t="shared" si="791"/>
        <v>SAÍDA</v>
      </c>
      <c r="C4413" t="str">
        <f t="shared" si="792"/>
        <v>PIX</v>
      </c>
      <c r="D4413" t="str">
        <f>"36215"</f>
        <v>36215</v>
      </c>
      <c r="E4413" t="str">
        <f t="shared" si="790"/>
        <v>1</v>
      </c>
      <c r="F4413" t="str">
        <f t="shared" si="782"/>
        <v>COM</v>
      </c>
      <c r="G4413" t="str">
        <f>"JOSE ERIC SILVA MACENA (854)"</f>
        <v>JOSE ERIC SILVA MACENA (854)</v>
      </c>
      <c r="H4413" t="str">
        <f>"Serv.Prest. 16/03/2026 a 22/03/2026 - PIX: E-MAIL - CHAVE: ericsilva8marcena@gmail.com"</f>
        <v>Serv.Prest. 16/03/2026 a 22/03/2026 - PIX: E-MAIL - CHAVE: ericsilva8marcena@gmail.com</v>
      </c>
      <c r="I4413" t="str">
        <f t="shared" si="795"/>
        <v>24/03/2026</v>
      </c>
      <c r="J4413" t="str">
        <f t="shared" si="793"/>
        <v>24/03/2026</v>
      </c>
      <c r="K4413" t="str">
        <f>("24/03/2026")</f>
        <v>24/03/2026</v>
      </c>
      <c r="L4413">
        <v>180</v>
      </c>
      <c r="M4413">
        <v>180</v>
      </c>
      <c r="N4413">
        <v>134</v>
      </c>
      <c r="O4413" t="str">
        <f>"DIARIA DE MOTOBOY"</f>
        <v>DIARIA DE MOTOBOY</v>
      </c>
      <c r="P4413">
        <v>180</v>
      </c>
      <c r="S4413" t="str">
        <f>"BANCO C6 (149)"</f>
        <v>BANCO C6 (149)</v>
      </c>
      <c r="T4413">
        <v>31879</v>
      </c>
      <c r="U4413">
        <v>36215</v>
      </c>
      <c r="V4413" t="s">
        <v>37</v>
      </c>
    </row>
    <row r="4414" spans="1:22">
      <c r="A4414" t="str">
        <f t="shared" si="794"/>
        <v>24/03/2026</v>
      </c>
      <c r="B4414" t="str">
        <f t="shared" si="791"/>
        <v>SAÍDA</v>
      </c>
      <c r="C4414" t="str">
        <f t="shared" si="792"/>
        <v>PIX</v>
      </c>
      <c r="D4414" t="str">
        <f>"36215"</f>
        <v>36215</v>
      </c>
      <c r="E4414" t="str">
        <f t="shared" si="790"/>
        <v>1</v>
      </c>
      <c r="F4414" t="str">
        <f t="shared" si="782"/>
        <v>COM</v>
      </c>
      <c r="G4414" t="str">
        <f>"JOSE ERIC SILVA MACENA (854)"</f>
        <v>JOSE ERIC SILVA MACENA (854)</v>
      </c>
      <c r="H4414" t="s">
        <v>1195</v>
      </c>
      <c r="I4414" t="str">
        <f t="shared" si="795"/>
        <v>24/03/2026</v>
      </c>
      <c r="J4414" t="str">
        <f t="shared" si="793"/>
        <v>24/03/2026</v>
      </c>
      <c r="K4414">
        <v>46105</v>
      </c>
      <c r="N4414">
        <v>134</v>
      </c>
      <c r="O4414" t="s">
        <v>30</v>
      </c>
      <c r="Q4414">
        <v>180</v>
      </c>
      <c r="R4414" t="str">
        <f>"FARMÁCIA INDIANA LJ 101 (10043)"</f>
        <v>FARMÁCIA INDIANA LJ 101 (10043)</v>
      </c>
      <c r="S4414" t="s">
        <v>37</v>
      </c>
      <c r="T4414">
        <v>31879</v>
      </c>
      <c r="U4414">
        <v>36215</v>
      </c>
      <c r="V4414" t="s">
        <v>37</v>
      </c>
    </row>
    <row r="4415" spans="1:22">
      <c r="A4415" t="str">
        <f t="shared" si="794"/>
        <v>24/03/2026</v>
      </c>
      <c r="B4415" t="str">
        <f t="shared" si="791"/>
        <v>SAÍDA</v>
      </c>
      <c r="C4415" t="str">
        <f t="shared" si="792"/>
        <v>PIX</v>
      </c>
      <c r="D4415" t="str">
        <f>"36221"</f>
        <v>36221</v>
      </c>
      <c r="E4415" t="str">
        <f t="shared" si="790"/>
        <v>1</v>
      </c>
      <c r="F4415" t="str">
        <f t="shared" si="782"/>
        <v>COM</v>
      </c>
      <c r="G4415" t="str">
        <f>"JUSSARA CRISTINA FARIA (783)"</f>
        <v>JUSSARA CRISTINA FARIA (783)</v>
      </c>
      <c r="H4415" t="str">
        <f>"Serv.Prest. 16/03/2026 a 22/03/2026 - PIX: CELULAR - CHAVE: (31) 99373-5678"</f>
        <v>Serv.Prest. 16/03/2026 a 22/03/2026 - PIX: CELULAR - CHAVE: (31) 99373-5678</v>
      </c>
      <c r="I4415" t="str">
        <f t="shared" si="795"/>
        <v>24/03/2026</v>
      </c>
      <c r="J4415" t="str">
        <f t="shared" si="793"/>
        <v>24/03/2026</v>
      </c>
      <c r="K4415" t="str">
        <f>("24/03/2026")</f>
        <v>24/03/2026</v>
      </c>
      <c r="L4415">
        <v>750</v>
      </c>
      <c r="M4415">
        <v>750</v>
      </c>
      <c r="N4415">
        <v>134</v>
      </c>
      <c r="O4415" t="str">
        <f>"DIARIA DE MOTOBOY"</f>
        <v>DIARIA DE MOTOBOY</v>
      </c>
      <c r="P4415">
        <v>750</v>
      </c>
      <c r="S4415" t="str">
        <f>"BANCO C6 (149)"</f>
        <v>BANCO C6 (149)</v>
      </c>
      <c r="T4415">
        <v>31880</v>
      </c>
      <c r="U4415">
        <v>36221</v>
      </c>
      <c r="V4415" t="s">
        <v>37</v>
      </c>
    </row>
    <row r="4416" spans="1:22">
      <c r="A4416" t="str">
        <f t="shared" si="794"/>
        <v>24/03/2026</v>
      </c>
      <c r="B4416" t="str">
        <f t="shared" si="791"/>
        <v>SAÍDA</v>
      </c>
      <c r="C4416" t="str">
        <f t="shared" si="792"/>
        <v>PIX</v>
      </c>
      <c r="D4416" t="str">
        <f>"36221"</f>
        <v>36221</v>
      </c>
      <c r="E4416" t="str">
        <f t="shared" si="790"/>
        <v>1</v>
      </c>
      <c r="F4416" t="str">
        <f t="shared" si="782"/>
        <v>COM</v>
      </c>
      <c r="G4416" t="str">
        <f>"JUSSARA CRISTINA FARIA (783)"</f>
        <v>JUSSARA CRISTINA FARIA (783)</v>
      </c>
      <c r="H4416" t="s">
        <v>1196</v>
      </c>
      <c r="I4416" t="str">
        <f t="shared" si="795"/>
        <v>24/03/2026</v>
      </c>
      <c r="J4416" t="str">
        <f t="shared" si="793"/>
        <v>24/03/2026</v>
      </c>
      <c r="K4416">
        <v>46105</v>
      </c>
      <c r="N4416">
        <v>134</v>
      </c>
      <c r="O4416" t="s">
        <v>30</v>
      </c>
      <c r="Q4416">
        <v>750</v>
      </c>
      <c r="R4416" t="str">
        <f>"FARMÁCIA INDIANA LJ 110 (10048)"</f>
        <v>FARMÁCIA INDIANA LJ 110 (10048)</v>
      </c>
      <c r="S4416" t="s">
        <v>37</v>
      </c>
      <c r="T4416">
        <v>31880</v>
      </c>
      <c r="U4416">
        <v>36221</v>
      </c>
      <c r="V4416" t="s">
        <v>37</v>
      </c>
    </row>
    <row r="4417" spans="1:22">
      <c r="A4417" t="str">
        <f t="shared" si="794"/>
        <v>24/03/2026</v>
      </c>
      <c r="B4417" t="str">
        <f t="shared" si="791"/>
        <v>SAÍDA</v>
      </c>
      <c r="C4417" t="str">
        <f t="shared" si="792"/>
        <v>PIX</v>
      </c>
      <c r="D4417" t="str">
        <f>"36229"</f>
        <v>36229</v>
      </c>
      <c r="E4417" t="str">
        <f t="shared" si="790"/>
        <v>1</v>
      </c>
      <c r="F4417" t="str">
        <f t="shared" si="782"/>
        <v>COM</v>
      </c>
      <c r="G4417" t="str">
        <f>"LUCAS RODRIGO LAGE ARRUDA (1052)"</f>
        <v>LUCAS RODRIGO LAGE ARRUDA (1052)</v>
      </c>
      <c r="H4417" t="str">
        <f>"Serv.Prest. 16/03/2026 a 22/03/2026 - PIX: CELULAR - CHAVE: (31) 99607-6585"</f>
        <v>Serv.Prest. 16/03/2026 a 22/03/2026 - PIX: CELULAR - CHAVE: (31) 99607-6585</v>
      </c>
      <c r="I4417" t="str">
        <f t="shared" si="795"/>
        <v>24/03/2026</v>
      </c>
      <c r="J4417" t="str">
        <f t="shared" si="793"/>
        <v>24/03/2026</v>
      </c>
      <c r="K4417" t="str">
        <f>("24/03/2026")</f>
        <v>24/03/2026</v>
      </c>
      <c r="L4417">
        <v>360</v>
      </c>
      <c r="M4417">
        <v>360</v>
      </c>
      <c r="N4417">
        <v>134</v>
      </c>
      <c r="O4417" t="str">
        <f>"DIARIA DE MOTOBOY"</f>
        <v>DIARIA DE MOTOBOY</v>
      </c>
      <c r="P4417">
        <v>360</v>
      </c>
      <c r="S4417" t="str">
        <f>"BANCO C6 (149)"</f>
        <v>BANCO C6 (149)</v>
      </c>
      <c r="T4417">
        <v>31881</v>
      </c>
      <c r="U4417">
        <v>36229</v>
      </c>
      <c r="V4417" t="s">
        <v>37</v>
      </c>
    </row>
    <row r="4418" spans="1:22">
      <c r="A4418" t="str">
        <f t="shared" si="794"/>
        <v>24/03/2026</v>
      </c>
      <c r="B4418" t="str">
        <f t="shared" si="791"/>
        <v>SAÍDA</v>
      </c>
      <c r="C4418" t="str">
        <f t="shared" si="792"/>
        <v>PIX</v>
      </c>
      <c r="D4418" t="str">
        <f>"36229"</f>
        <v>36229</v>
      </c>
      <c r="E4418" t="str">
        <f t="shared" si="790"/>
        <v>1</v>
      </c>
      <c r="F4418" t="str">
        <f t="shared" ref="F4418:F4481" si="796">"COM"</f>
        <v>COM</v>
      </c>
      <c r="G4418" t="str">
        <f>"LUCAS RODRIGO LAGE ARRUDA (1052)"</f>
        <v>LUCAS RODRIGO LAGE ARRUDA (1052)</v>
      </c>
      <c r="H4418" t="s">
        <v>1197</v>
      </c>
      <c r="I4418" t="str">
        <f t="shared" si="795"/>
        <v>24/03/2026</v>
      </c>
      <c r="J4418" t="str">
        <f t="shared" si="793"/>
        <v>24/03/2026</v>
      </c>
      <c r="K4418">
        <v>46105</v>
      </c>
      <c r="N4418">
        <v>134</v>
      </c>
      <c r="O4418" t="s">
        <v>30</v>
      </c>
      <c r="Q4418">
        <v>360</v>
      </c>
      <c r="R4418" t="str">
        <f>"FARMÁCIA INDIANA LJ 101 (10043)"</f>
        <v>FARMÁCIA INDIANA LJ 101 (10043)</v>
      </c>
      <c r="S4418" t="s">
        <v>37</v>
      </c>
      <c r="T4418">
        <v>31881</v>
      </c>
      <c r="U4418">
        <v>36229</v>
      </c>
      <c r="V4418" t="s">
        <v>37</v>
      </c>
    </row>
    <row r="4419" spans="1:22">
      <c r="A4419" t="str">
        <f t="shared" si="794"/>
        <v>24/03/2026</v>
      </c>
      <c r="B4419" t="str">
        <f t="shared" si="791"/>
        <v>SAÍDA</v>
      </c>
      <c r="C4419" t="str">
        <f t="shared" si="792"/>
        <v>PIX</v>
      </c>
      <c r="D4419" t="str">
        <f>"36232"</f>
        <v>36232</v>
      </c>
      <c r="E4419" t="str">
        <f t="shared" si="790"/>
        <v>1</v>
      </c>
      <c r="F4419" t="str">
        <f t="shared" si="796"/>
        <v>COM</v>
      </c>
      <c r="G4419" t="str">
        <f>"LUIZ FERNANDO SILVA VICENTE (1166)"</f>
        <v>LUIZ FERNANDO SILVA VICENTE (1166)</v>
      </c>
      <c r="H4419" t="str">
        <f>"Serv.Prest. 16/03/2026 a 22/03/2026 - PIX: CPF - CHAVE: 105.020.076-48"</f>
        <v>Serv.Prest. 16/03/2026 a 22/03/2026 - PIX: CPF - CHAVE: 105.020.076-48</v>
      </c>
      <c r="I4419" t="str">
        <f t="shared" si="795"/>
        <v>24/03/2026</v>
      </c>
      <c r="J4419" t="str">
        <f t="shared" si="793"/>
        <v>24/03/2026</v>
      </c>
      <c r="K4419" t="str">
        <f>("24/03/2026")</f>
        <v>24/03/2026</v>
      </c>
      <c r="L4419">
        <v>150</v>
      </c>
      <c r="M4419">
        <v>150</v>
      </c>
      <c r="N4419">
        <v>134</v>
      </c>
      <c r="O4419" t="str">
        <f>"DIARIA DE MOTOBOY"</f>
        <v>DIARIA DE MOTOBOY</v>
      </c>
      <c r="P4419">
        <v>150</v>
      </c>
      <c r="S4419" t="str">
        <f>"BANCO C6 (149)"</f>
        <v>BANCO C6 (149)</v>
      </c>
      <c r="T4419">
        <v>31882</v>
      </c>
      <c r="U4419">
        <v>36232</v>
      </c>
      <c r="V4419" t="s">
        <v>37</v>
      </c>
    </row>
    <row r="4420" spans="1:22">
      <c r="A4420" t="str">
        <f t="shared" si="794"/>
        <v>24/03/2026</v>
      </c>
      <c r="B4420" t="str">
        <f t="shared" si="791"/>
        <v>SAÍDA</v>
      </c>
      <c r="C4420" t="str">
        <f t="shared" si="792"/>
        <v>PIX</v>
      </c>
      <c r="D4420" t="str">
        <f>"36232"</f>
        <v>36232</v>
      </c>
      <c r="E4420" t="str">
        <f t="shared" si="790"/>
        <v>1</v>
      </c>
      <c r="F4420" t="str">
        <f t="shared" si="796"/>
        <v>COM</v>
      </c>
      <c r="G4420" t="str">
        <f>"LUIZ FERNANDO SILVA VICENTE (1166)"</f>
        <v>LUIZ FERNANDO SILVA VICENTE (1166)</v>
      </c>
      <c r="H4420" t="s">
        <v>1198</v>
      </c>
      <c r="I4420" t="str">
        <f t="shared" si="795"/>
        <v>24/03/2026</v>
      </c>
      <c r="J4420" t="str">
        <f t="shared" si="793"/>
        <v>24/03/2026</v>
      </c>
      <c r="K4420">
        <v>46105</v>
      </c>
      <c r="N4420">
        <v>134</v>
      </c>
      <c r="O4420" t="s">
        <v>30</v>
      </c>
      <c r="Q4420">
        <v>150</v>
      </c>
      <c r="R4420" t="str">
        <f>"FARMÁCIA INDIANA LJ 134 (10271)"</f>
        <v>FARMÁCIA INDIANA LJ 134 (10271)</v>
      </c>
      <c r="S4420" t="s">
        <v>37</v>
      </c>
      <c r="T4420">
        <v>31882</v>
      </c>
      <c r="U4420">
        <v>36232</v>
      </c>
      <c r="V4420" t="s">
        <v>37</v>
      </c>
    </row>
    <row r="4421" spans="1:22">
      <c r="A4421" t="str">
        <f t="shared" si="794"/>
        <v>24/03/2026</v>
      </c>
      <c r="B4421" t="str">
        <f t="shared" si="791"/>
        <v>SAÍDA</v>
      </c>
      <c r="C4421" t="str">
        <f t="shared" si="792"/>
        <v>PIX</v>
      </c>
      <c r="D4421" t="str">
        <f>"36252"</f>
        <v>36252</v>
      </c>
      <c r="E4421" t="str">
        <f t="shared" si="790"/>
        <v>1</v>
      </c>
      <c r="F4421" t="str">
        <f t="shared" si="796"/>
        <v>COM</v>
      </c>
      <c r="G4421" t="str">
        <f>"RENAN PABLO PEREIRA FERNANDES (1119)"</f>
        <v>RENAN PABLO PEREIRA FERNANDES (1119)</v>
      </c>
      <c r="H4421" t="str">
        <f>"Serv.Prest. 16/03/2026 a 22/03/2026 - PIX: CPF - CHAVE: 152.577.816-11"</f>
        <v>Serv.Prest. 16/03/2026 a 22/03/2026 - PIX: CPF - CHAVE: 152.577.816-11</v>
      </c>
      <c r="I4421" t="str">
        <f t="shared" si="795"/>
        <v>24/03/2026</v>
      </c>
      <c r="J4421" t="str">
        <f t="shared" si="793"/>
        <v>24/03/2026</v>
      </c>
      <c r="K4421" t="str">
        <f>("24/03/2026")</f>
        <v>24/03/2026</v>
      </c>
      <c r="L4421">
        <v>168</v>
      </c>
      <c r="M4421">
        <v>170</v>
      </c>
      <c r="N4421">
        <v>134</v>
      </c>
      <c r="O4421" t="str">
        <f>"DIARIA DE MOTOBOY"</f>
        <v>DIARIA DE MOTOBOY</v>
      </c>
      <c r="P4421">
        <v>170</v>
      </c>
      <c r="S4421" t="str">
        <f>"BANCO C6 (149)"</f>
        <v>BANCO C6 (149)</v>
      </c>
      <c r="T4421">
        <v>31883</v>
      </c>
      <c r="U4421">
        <v>36252</v>
      </c>
      <c r="V4421" t="s">
        <v>37</v>
      </c>
    </row>
    <row r="4422" spans="1:22">
      <c r="A4422" t="str">
        <f t="shared" si="794"/>
        <v>24/03/2026</v>
      </c>
      <c r="B4422" t="str">
        <f t="shared" si="791"/>
        <v>SAÍDA</v>
      </c>
      <c r="C4422" t="str">
        <f t="shared" si="792"/>
        <v>PIX</v>
      </c>
      <c r="D4422" t="str">
        <f>"36252"</f>
        <v>36252</v>
      </c>
      <c r="E4422" t="str">
        <f t="shared" si="790"/>
        <v>1</v>
      </c>
      <c r="F4422" t="str">
        <f t="shared" si="796"/>
        <v>COM</v>
      </c>
      <c r="G4422" t="str">
        <f>"RENAN PABLO PEREIRA FERNANDES (1119)"</f>
        <v>RENAN PABLO PEREIRA FERNANDES (1119)</v>
      </c>
      <c r="H4422" t="s">
        <v>1199</v>
      </c>
      <c r="I4422" t="str">
        <f t="shared" si="795"/>
        <v>24/03/2026</v>
      </c>
      <c r="J4422" t="str">
        <f t="shared" si="793"/>
        <v>24/03/2026</v>
      </c>
      <c r="K4422">
        <v>46105</v>
      </c>
      <c r="N4422">
        <v>134</v>
      </c>
      <c r="O4422" t="s">
        <v>30</v>
      </c>
      <c r="Q4422">
        <v>170</v>
      </c>
      <c r="R4422" t="str">
        <f>"FARMÁCIA INDIANA LJ 192 (10082)"</f>
        <v>FARMÁCIA INDIANA LJ 192 (10082)</v>
      </c>
      <c r="S4422" t="s">
        <v>37</v>
      </c>
      <c r="T4422">
        <v>31883</v>
      </c>
      <c r="U4422">
        <v>36252</v>
      </c>
      <c r="V4422" t="s">
        <v>37</v>
      </c>
    </row>
    <row r="4423" spans="1:22">
      <c r="A4423" t="str">
        <f t="shared" si="794"/>
        <v>24/03/2026</v>
      </c>
      <c r="B4423" t="str">
        <f t="shared" si="791"/>
        <v>SAÍDA</v>
      </c>
      <c r="C4423" t="str">
        <f t="shared" si="792"/>
        <v>PIX</v>
      </c>
      <c r="D4423" t="str">
        <f>"36253"</f>
        <v>36253</v>
      </c>
      <c r="E4423" t="str">
        <f t="shared" si="790"/>
        <v>1</v>
      </c>
      <c r="F4423" t="str">
        <f t="shared" si="796"/>
        <v>COM</v>
      </c>
      <c r="G4423" t="str">
        <f>"RENATO DE SOUZA HADDAD (1059)"</f>
        <v>RENATO DE SOUZA HADDAD (1059)</v>
      </c>
      <c r="H4423" t="str">
        <f>"Serv.Prest. 16/03/2026 a 22/03/2026 - PIX: CELULAR - CHAVE: (32) 98703-8039"</f>
        <v>Serv.Prest. 16/03/2026 a 22/03/2026 - PIX: CELULAR - CHAVE: (32) 98703-8039</v>
      </c>
      <c r="I4423" t="str">
        <f t="shared" si="795"/>
        <v>24/03/2026</v>
      </c>
      <c r="J4423" t="str">
        <f t="shared" si="793"/>
        <v>24/03/2026</v>
      </c>
      <c r="K4423" t="str">
        <f>("24/03/2026")</f>
        <v>24/03/2026</v>
      </c>
      <c r="L4423">
        <v>119</v>
      </c>
      <c r="M4423">
        <v>120</v>
      </c>
      <c r="N4423">
        <v>134</v>
      </c>
      <c r="O4423" t="str">
        <f>"DIARIA DE MOTOBOY"</f>
        <v>DIARIA DE MOTOBOY</v>
      </c>
      <c r="P4423">
        <v>120</v>
      </c>
      <c r="S4423" t="str">
        <f>"BANCO C6 (149)"</f>
        <v>BANCO C6 (149)</v>
      </c>
      <c r="T4423">
        <v>31884</v>
      </c>
      <c r="U4423">
        <v>36253</v>
      </c>
      <c r="V4423" t="s">
        <v>37</v>
      </c>
    </row>
    <row r="4424" spans="1:22">
      <c r="A4424" t="str">
        <f t="shared" si="794"/>
        <v>24/03/2026</v>
      </c>
      <c r="B4424" t="str">
        <f t="shared" si="791"/>
        <v>SAÍDA</v>
      </c>
      <c r="C4424" t="str">
        <f t="shared" si="792"/>
        <v>PIX</v>
      </c>
      <c r="D4424" t="str">
        <f>"36253"</f>
        <v>36253</v>
      </c>
      <c r="E4424" t="str">
        <f t="shared" si="790"/>
        <v>1</v>
      </c>
      <c r="F4424" t="str">
        <f t="shared" si="796"/>
        <v>COM</v>
      </c>
      <c r="G4424" t="str">
        <f>"RENATO DE SOUZA HADDAD (1059)"</f>
        <v>RENATO DE SOUZA HADDAD (1059)</v>
      </c>
      <c r="H4424" t="s">
        <v>1200</v>
      </c>
      <c r="I4424" t="str">
        <f t="shared" si="795"/>
        <v>24/03/2026</v>
      </c>
      <c r="J4424" t="str">
        <f t="shared" si="793"/>
        <v>24/03/2026</v>
      </c>
      <c r="K4424">
        <v>46105</v>
      </c>
      <c r="N4424">
        <v>134</v>
      </c>
      <c r="O4424" t="s">
        <v>30</v>
      </c>
      <c r="Q4424">
        <v>120</v>
      </c>
      <c r="R4424" t="str">
        <f>"FARMÁCIA INDIANA LJ 219 (10091)"</f>
        <v>FARMÁCIA INDIANA LJ 219 (10091)</v>
      </c>
      <c r="S4424" t="s">
        <v>37</v>
      </c>
      <c r="T4424">
        <v>31884</v>
      </c>
      <c r="U4424">
        <v>36253</v>
      </c>
      <c r="V4424" t="s">
        <v>37</v>
      </c>
    </row>
    <row r="4425" spans="1:22">
      <c r="A4425" t="str">
        <f t="shared" si="794"/>
        <v>24/03/2026</v>
      </c>
      <c r="B4425" t="str">
        <f t="shared" ref="B4425:B4434" si="797">"SAÍDA"</f>
        <v>SAÍDA</v>
      </c>
      <c r="C4425" t="str">
        <f t="shared" ref="C4425:C4434" si="798">"PIX"</f>
        <v>PIX</v>
      </c>
      <c r="D4425" t="str">
        <f>"36284"</f>
        <v>36284</v>
      </c>
      <c r="E4425" t="str">
        <f t="shared" si="790"/>
        <v>1</v>
      </c>
      <c r="F4425" t="str">
        <f t="shared" si="796"/>
        <v>COM</v>
      </c>
      <c r="G4425" t="str">
        <f>"WILLIAN VAZ DA SILVA (96)"</f>
        <v>WILLIAN VAZ DA SILVA (96)</v>
      </c>
      <c r="H4425" t="str">
        <f>"Serv.Prest. 16/03/2026 a 22/03/2026 - PIX: CELULAR - CHAVE: (32) 98889-7793"</f>
        <v>Serv.Prest. 16/03/2026 a 22/03/2026 - PIX: CELULAR - CHAVE: (32) 98889-7793</v>
      </c>
      <c r="I4425" t="str">
        <f t="shared" si="795"/>
        <v>24/03/2026</v>
      </c>
      <c r="J4425" t="str">
        <f t="shared" si="793"/>
        <v>24/03/2026</v>
      </c>
      <c r="K4425" t="str">
        <f>("24/03/2026")</f>
        <v>24/03/2026</v>
      </c>
      <c r="L4425">
        <v>108</v>
      </c>
      <c r="M4425">
        <v>120</v>
      </c>
      <c r="N4425">
        <v>134</v>
      </c>
      <c r="O4425" t="str">
        <f>"DIARIA DE MOTOBOY"</f>
        <v>DIARIA DE MOTOBOY</v>
      </c>
      <c r="P4425">
        <v>120</v>
      </c>
      <c r="S4425" t="str">
        <f>"BANCO C6 (149)"</f>
        <v>BANCO C6 (149)</v>
      </c>
      <c r="T4425">
        <v>31885</v>
      </c>
      <c r="U4425">
        <v>36284</v>
      </c>
      <c r="V4425" t="s">
        <v>37</v>
      </c>
    </row>
    <row r="4426" spans="1:22">
      <c r="A4426" t="str">
        <f t="shared" si="794"/>
        <v>24/03/2026</v>
      </c>
      <c r="B4426" t="str">
        <f t="shared" si="797"/>
        <v>SAÍDA</v>
      </c>
      <c r="C4426" t="str">
        <f t="shared" si="798"/>
        <v>PIX</v>
      </c>
      <c r="D4426" t="str">
        <f>"36284"</f>
        <v>36284</v>
      </c>
      <c r="E4426" t="str">
        <f t="shared" si="790"/>
        <v>1</v>
      </c>
      <c r="F4426" t="str">
        <f t="shared" si="796"/>
        <v>COM</v>
      </c>
      <c r="G4426" t="str">
        <f>"WILLIAN VAZ DA SILVA (96)"</f>
        <v>WILLIAN VAZ DA SILVA (96)</v>
      </c>
      <c r="H4426" t="s">
        <v>1201</v>
      </c>
      <c r="I4426" t="str">
        <f t="shared" si="795"/>
        <v>24/03/2026</v>
      </c>
      <c r="J4426" t="str">
        <f t="shared" si="793"/>
        <v>24/03/2026</v>
      </c>
      <c r="K4426">
        <v>46105</v>
      </c>
      <c r="N4426">
        <v>134</v>
      </c>
      <c r="O4426" t="s">
        <v>30</v>
      </c>
      <c r="Q4426">
        <v>120</v>
      </c>
      <c r="R4426" t="str">
        <f>"FARMÁCIA INDIANA LJ 109 (10047)"</f>
        <v>FARMÁCIA INDIANA LJ 109 (10047)</v>
      </c>
      <c r="S4426" t="s">
        <v>37</v>
      </c>
      <c r="T4426">
        <v>31885</v>
      </c>
      <c r="U4426">
        <v>36284</v>
      </c>
      <c r="V4426" t="s">
        <v>37</v>
      </c>
    </row>
    <row r="4427" spans="1:22">
      <c r="A4427" t="str">
        <f t="shared" si="794"/>
        <v>24/03/2026</v>
      </c>
      <c r="B4427" t="str">
        <f t="shared" si="797"/>
        <v>SAÍDA</v>
      </c>
      <c r="C4427" t="str">
        <f t="shared" si="798"/>
        <v>PIX</v>
      </c>
      <c r="D4427" t="str">
        <f>"35247"</f>
        <v>35247</v>
      </c>
      <c r="E4427" t="str">
        <f t="shared" si="790"/>
        <v>1</v>
      </c>
      <c r="F4427" t="str">
        <f t="shared" si="796"/>
        <v>COM</v>
      </c>
      <c r="G4427" t="str">
        <f>"JUNIOR DOS SANTOS MACHADO (240)"</f>
        <v>JUNIOR DOS SANTOS MACHADO (240)</v>
      </c>
      <c r="H4427" t="str">
        <f>"Serv.Prest. 09/03/2026 a 15/03/2026 - PIX: E-MAIL - CHAVE: juninhomachado789@gmail.com"</f>
        <v>Serv.Prest. 09/03/2026 a 15/03/2026 - PIX: E-MAIL - CHAVE: juninhomachado789@gmail.com</v>
      </c>
      <c r="I4427" t="str">
        <f t="shared" si="795"/>
        <v>24/03/2026</v>
      </c>
      <c r="J4427" t="str">
        <f>("17/03/2026")</f>
        <v>17/03/2026</v>
      </c>
      <c r="K4427" t="str">
        <f>("24/03/2026")</f>
        <v>24/03/2026</v>
      </c>
      <c r="L4427">
        <v>140</v>
      </c>
      <c r="M4427">
        <v>140</v>
      </c>
      <c r="N4427">
        <v>134</v>
      </c>
      <c r="O4427" t="str">
        <f>"DIARIA DE MOTOBOY"</f>
        <v>DIARIA DE MOTOBOY</v>
      </c>
      <c r="P4427">
        <v>140</v>
      </c>
      <c r="S4427" t="str">
        <f>"BANCO C6 (149)"</f>
        <v>BANCO C6 (149)</v>
      </c>
      <c r="T4427">
        <v>31886</v>
      </c>
      <c r="U4427">
        <v>36287</v>
      </c>
      <c r="V4427" t="s">
        <v>37</v>
      </c>
    </row>
    <row r="4428" spans="1:22">
      <c r="A4428" t="str">
        <f t="shared" si="794"/>
        <v>24/03/2026</v>
      </c>
      <c r="B4428" t="str">
        <f t="shared" si="797"/>
        <v>SAÍDA</v>
      </c>
      <c r="C4428" t="str">
        <f t="shared" si="798"/>
        <v>PIX</v>
      </c>
      <c r="D4428" t="str">
        <f>"35247"</f>
        <v>35247</v>
      </c>
      <c r="E4428" t="str">
        <f t="shared" si="790"/>
        <v>1</v>
      </c>
      <c r="F4428" t="str">
        <f t="shared" si="796"/>
        <v>COM</v>
      </c>
      <c r="G4428" t="str">
        <f>"JUNIOR DOS SANTOS MACHADO (240)"</f>
        <v>JUNIOR DOS SANTOS MACHADO (240)</v>
      </c>
      <c r="H4428" t="s">
        <v>1202</v>
      </c>
      <c r="I4428" t="str">
        <f t="shared" si="795"/>
        <v>24/03/2026</v>
      </c>
      <c r="J4428" t="str">
        <f>("17/03/2026")</f>
        <v>17/03/2026</v>
      </c>
      <c r="K4428">
        <v>46105</v>
      </c>
      <c r="N4428">
        <v>134</v>
      </c>
      <c r="O4428" t="s">
        <v>30</v>
      </c>
      <c r="Q4428">
        <v>140</v>
      </c>
      <c r="R4428" t="str">
        <f>"FARMÁCIA INDIANA LJ 62 (10028)"</f>
        <v>FARMÁCIA INDIANA LJ 62 (10028)</v>
      </c>
      <c r="S4428" t="s">
        <v>37</v>
      </c>
      <c r="T4428">
        <v>31886</v>
      </c>
      <c r="U4428">
        <v>36287</v>
      </c>
      <c r="V4428" t="s">
        <v>37</v>
      </c>
    </row>
    <row r="4429" spans="1:22">
      <c r="A4429" t="str">
        <f t="shared" si="794"/>
        <v>24/03/2026</v>
      </c>
      <c r="B4429" t="str">
        <f t="shared" si="797"/>
        <v>SAÍDA</v>
      </c>
      <c r="C4429" t="str">
        <f t="shared" si="798"/>
        <v>PIX</v>
      </c>
      <c r="D4429" t="str">
        <f>"36124"</f>
        <v>36124</v>
      </c>
      <c r="E4429" t="str">
        <f t="shared" si="790"/>
        <v>1</v>
      </c>
      <c r="F4429" t="str">
        <f t="shared" si="796"/>
        <v>COM</v>
      </c>
      <c r="G4429" t="str">
        <f>"HELITON MELGACO PIMENTEL JUNIOR (1079)"</f>
        <v>HELITON MELGACO PIMENTEL JUNIOR (1079)</v>
      </c>
      <c r="H4429" t="str">
        <f>"Serv.Prest. 16/03/2026 a 22/03/2026 - PIX: CPF - CHAVE: 768.859.176-72"</f>
        <v>Serv.Prest. 16/03/2026 a 22/03/2026 - PIX: CPF - CHAVE: 768.859.176-72</v>
      </c>
      <c r="I4429" t="str">
        <f t="shared" si="795"/>
        <v>24/03/2026</v>
      </c>
      <c r="J4429" t="str">
        <f>("24/03/2026")</f>
        <v>24/03/2026</v>
      </c>
      <c r="K4429" t="str">
        <f>("24/03/2026")</f>
        <v>24/03/2026</v>
      </c>
      <c r="L4429">
        <v>150</v>
      </c>
      <c r="M4429">
        <v>150</v>
      </c>
      <c r="N4429">
        <v>134</v>
      </c>
      <c r="O4429" t="str">
        <f>"DIARIA DE MOTOBOY"</f>
        <v>DIARIA DE MOTOBOY</v>
      </c>
      <c r="P4429">
        <v>150</v>
      </c>
      <c r="S4429" t="str">
        <f>"BANCO C6 (149)"</f>
        <v>BANCO C6 (149)</v>
      </c>
      <c r="T4429">
        <v>31887</v>
      </c>
      <c r="U4429">
        <v>36288</v>
      </c>
      <c r="V4429" t="s">
        <v>37</v>
      </c>
    </row>
    <row r="4430" spans="1:22">
      <c r="A4430" t="str">
        <f t="shared" si="794"/>
        <v>24/03/2026</v>
      </c>
      <c r="B4430" t="str">
        <f t="shared" si="797"/>
        <v>SAÍDA</v>
      </c>
      <c r="C4430" t="str">
        <f t="shared" si="798"/>
        <v>PIX</v>
      </c>
      <c r="D4430" t="str">
        <f>"36124"</f>
        <v>36124</v>
      </c>
      <c r="E4430" t="str">
        <f t="shared" si="790"/>
        <v>1</v>
      </c>
      <c r="F4430" t="str">
        <f t="shared" si="796"/>
        <v>COM</v>
      </c>
      <c r="G4430" t="str">
        <f>"HELITON MELGACO PIMENTEL JUNIOR (1079)"</f>
        <v>HELITON MELGACO PIMENTEL JUNIOR (1079)</v>
      </c>
      <c r="H4430" t="s">
        <v>1203</v>
      </c>
      <c r="I4430" t="str">
        <f t="shared" si="795"/>
        <v>24/03/2026</v>
      </c>
      <c r="J4430" t="str">
        <f>("24/03/2026")</f>
        <v>24/03/2026</v>
      </c>
      <c r="K4430">
        <v>46105</v>
      </c>
      <c r="N4430">
        <v>134</v>
      </c>
      <c r="O4430" t="s">
        <v>30</v>
      </c>
      <c r="Q4430">
        <v>150</v>
      </c>
      <c r="R4430" t="str">
        <f>"FARMÁCIA INDIANA LJ 283 (10268)"</f>
        <v>FARMÁCIA INDIANA LJ 283 (10268)</v>
      </c>
      <c r="S4430" t="s">
        <v>37</v>
      </c>
      <c r="T4430">
        <v>31887</v>
      </c>
      <c r="U4430">
        <v>36288</v>
      </c>
      <c r="V4430" t="s">
        <v>37</v>
      </c>
    </row>
    <row r="4431" spans="1:22">
      <c r="A4431" t="str">
        <f t="shared" si="794"/>
        <v>24/03/2026</v>
      </c>
      <c r="B4431" t="str">
        <f t="shared" si="797"/>
        <v>SAÍDA</v>
      </c>
      <c r="C4431" t="str">
        <f t="shared" si="798"/>
        <v>PIX</v>
      </c>
      <c r="D4431" t="str">
        <f>"23012026"</f>
        <v>23012026</v>
      </c>
      <c r="E4431" t="str">
        <f>"3"</f>
        <v>3</v>
      </c>
      <c r="F4431" t="str">
        <f t="shared" si="796"/>
        <v>COM</v>
      </c>
      <c r="G4431" t="str">
        <f>"AUTENTIQUE LTDA (20040)"</f>
        <v>AUTENTIQUE LTDA (20040)</v>
      </c>
      <c r="H4431" t="str">
        <f>"PLATAFORMA DE ASSINATUARS DIGITAIS"</f>
        <v>PLATAFORMA DE ASSINATUARS DIGITAIS</v>
      </c>
      <c r="I4431" t="str">
        <f t="shared" si="795"/>
        <v>24/03/2026</v>
      </c>
      <c r="J4431" t="str">
        <f>("23/01/2026")</f>
        <v>23/01/2026</v>
      </c>
      <c r="K4431" t="str">
        <f>("24/03/2026")</f>
        <v>24/03/2026</v>
      </c>
      <c r="L4431">
        <v>99.9</v>
      </c>
      <c r="M4431">
        <v>99.9</v>
      </c>
      <c r="N4431">
        <v>104</v>
      </c>
      <c r="O4431" t="str">
        <f>"SOFTWARE / LICENÇAS"</f>
        <v>SOFTWARE / LICENÇAS</v>
      </c>
      <c r="P4431">
        <v>99.9</v>
      </c>
      <c r="S4431" t="str">
        <f>"BANCO CORA (102)"</f>
        <v>BANCO CORA (102)</v>
      </c>
      <c r="T4431">
        <v>31888</v>
      </c>
      <c r="U4431">
        <v>31224</v>
      </c>
      <c r="V4431" t="s">
        <v>33</v>
      </c>
    </row>
    <row r="4432" spans="1:22">
      <c r="A4432" t="str">
        <f t="shared" si="794"/>
        <v>24/03/2026</v>
      </c>
      <c r="B4432" t="str">
        <f t="shared" si="797"/>
        <v>SAÍDA</v>
      </c>
      <c r="C4432" t="str">
        <f t="shared" si="798"/>
        <v>PIX</v>
      </c>
      <c r="D4432" t="str">
        <f>"23012026"</f>
        <v>23012026</v>
      </c>
      <c r="E4432" t="str">
        <f>"3"</f>
        <v>3</v>
      </c>
      <c r="F4432" t="str">
        <f t="shared" si="796"/>
        <v>COM</v>
      </c>
      <c r="G4432" t="str">
        <f>"AUTENTIQUE LTDA (20040)"</f>
        <v>AUTENTIQUE LTDA (20040)</v>
      </c>
      <c r="H4432" t="s">
        <v>1204</v>
      </c>
      <c r="I4432" t="str">
        <f t="shared" si="795"/>
        <v>24/03/2026</v>
      </c>
      <c r="J4432" t="str">
        <f>("23/01/2026")</f>
        <v>23/01/2026</v>
      </c>
      <c r="K4432">
        <v>46105</v>
      </c>
      <c r="N4432">
        <v>104</v>
      </c>
      <c r="O4432" t="s">
        <v>39</v>
      </c>
      <c r="Q4432">
        <v>99.9</v>
      </c>
      <c r="R4432" t="str">
        <f>"AUTENTIQUE LTDA (20040)"</f>
        <v>AUTENTIQUE LTDA (20040)</v>
      </c>
      <c r="S4432" t="s">
        <v>33</v>
      </c>
      <c r="T4432">
        <v>31888</v>
      </c>
      <c r="U4432">
        <v>31224</v>
      </c>
      <c r="V4432" t="s">
        <v>33</v>
      </c>
    </row>
    <row r="4433" spans="1:22">
      <c r="A4433" t="str">
        <f t="shared" si="794"/>
        <v>24/03/2026</v>
      </c>
      <c r="B4433" t="str">
        <f t="shared" si="797"/>
        <v>SAÍDA</v>
      </c>
      <c r="C4433" t="str">
        <f t="shared" si="798"/>
        <v>PIX</v>
      </c>
      <c r="D4433" t="str">
        <f>"35972"</f>
        <v>35972</v>
      </c>
      <c r="E4433" t="str">
        <f t="shared" ref="E4433:E4464" si="799">"1"</f>
        <v>1</v>
      </c>
      <c r="F4433" t="str">
        <f t="shared" si="796"/>
        <v>COM</v>
      </c>
      <c r="G4433" t="str">
        <f>"EURIPEDES BARSANULFO DE ANDRADE  (25)"</f>
        <v>EURIPEDES BARSANULFO DE ANDRADE  (25)</v>
      </c>
      <c r="H4433" t="str">
        <f>"Serv.Prest. 16/03/2026 a 22/03/2026 - PIX: CPF - CHAVE: 866.153.356-20"</f>
        <v>Serv.Prest. 16/03/2026 a 22/03/2026 - PIX: CPF - CHAVE: 866.153.356-20</v>
      </c>
      <c r="I4433" t="str">
        <f>("02/04/2026")</f>
        <v>02/04/2026</v>
      </c>
      <c r="J4433" t="str">
        <f>("23/03/2026")</f>
        <v>23/03/2026</v>
      </c>
      <c r="K4433" t="str">
        <f>("24/03/2026")</f>
        <v>24/03/2026</v>
      </c>
      <c r="L4433">
        <v>150</v>
      </c>
      <c r="M4433">
        <v>150</v>
      </c>
      <c r="N4433">
        <v>109</v>
      </c>
      <c r="O4433" t="str">
        <f>"PAGAMENTO DE ENTREGADORES"</f>
        <v>PAGAMENTO DE ENTREGADORES</v>
      </c>
      <c r="P4433">
        <v>150</v>
      </c>
      <c r="S4433" t="str">
        <f>"BANCO C6 (149)"</f>
        <v>BANCO C6 (149)</v>
      </c>
      <c r="T4433">
        <v>31894</v>
      </c>
      <c r="U4433">
        <v>35972</v>
      </c>
      <c r="V4433" t="s">
        <v>37</v>
      </c>
    </row>
    <row r="4434" spans="1:22">
      <c r="A4434" t="str">
        <f t="shared" si="794"/>
        <v>24/03/2026</v>
      </c>
      <c r="B4434" t="str">
        <f t="shared" si="797"/>
        <v>SAÍDA</v>
      </c>
      <c r="C4434" t="str">
        <f t="shared" si="798"/>
        <v>PIX</v>
      </c>
      <c r="D4434" t="str">
        <f>"35972"</f>
        <v>35972</v>
      </c>
      <c r="E4434" t="str">
        <f t="shared" si="799"/>
        <v>1</v>
      </c>
      <c r="F4434" t="str">
        <f t="shared" si="796"/>
        <v>COM</v>
      </c>
      <c r="G4434" t="str">
        <f>"EURIPEDES BARSANULFO DE ANDRADE  (25)"</f>
        <v>EURIPEDES BARSANULFO DE ANDRADE  (25)</v>
      </c>
      <c r="H4434" t="s">
        <v>1205</v>
      </c>
      <c r="I4434" t="str">
        <f>("02/04/2026")</f>
        <v>02/04/2026</v>
      </c>
      <c r="J4434" t="str">
        <f>("23/03/2026")</f>
        <v>23/03/2026</v>
      </c>
      <c r="K4434">
        <v>46105</v>
      </c>
      <c r="N4434">
        <v>109</v>
      </c>
      <c r="O4434" t="s">
        <v>27</v>
      </c>
      <c r="Q4434">
        <v>150</v>
      </c>
      <c r="R4434" t="str">
        <f>"PAGUE MENOS 1155 (10307)"</f>
        <v>PAGUE MENOS 1155 (10307)</v>
      </c>
      <c r="S4434" t="s">
        <v>37</v>
      </c>
      <c r="T4434">
        <v>31894</v>
      </c>
      <c r="U4434">
        <v>35972</v>
      </c>
      <c r="V4434" t="s">
        <v>37</v>
      </c>
    </row>
    <row r="4435" spans="1:22">
      <c r="A4435" t="str">
        <f t="shared" ref="A4435:A4466" si="800">("25/03/2026")</f>
        <v>25/03/2026</v>
      </c>
      <c r="B4435" t="str">
        <f t="shared" ref="B4435:B4466" si="801">"ENTRADA"</f>
        <v>ENTRADA</v>
      </c>
      <c r="C4435" t="str">
        <f t="shared" ref="C4435:C4466" si="802">"NFSE"</f>
        <v>NFSE</v>
      </c>
      <c r="D4435" t="str">
        <f t="shared" ref="D4435:D4466" si="803">"558"</f>
        <v>558</v>
      </c>
      <c r="E4435" t="str">
        <f t="shared" si="799"/>
        <v>1</v>
      </c>
      <c r="F4435" t="str">
        <f t="shared" si="796"/>
        <v>COM</v>
      </c>
      <c r="G4435" t="str">
        <f t="shared" ref="G4435:G4466" si="804">"FARMÁCIA INDIANA LJ 1 (10126)"</f>
        <v>FARMÁCIA INDIANA LJ 1 (10126)</v>
      </c>
      <c r="H4435" t="str">
        <f>"Serv.Prest. 09/03/2026 a 15/03/2026 - RPS: 2486 - NFSe: 558"</f>
        <v>Serv.Prest. 09/03/2026 a 15/03/2026 - RPS: 2486 - NFSe: 558</v>
      </c>
      <c r="I4435" t="str">
        <f t="shared" ref="I4435:I4466" si="805">("25/03/2026")</f>
        <v>25/03/2026</v>
      </c>
      <c r="J4435" t="str">
        <f t="shared" ref="J4435:J4466" si="806">("17/03/2026")</f>
        <v>17/03/2026</v>
      </c>
      <c r="K4435" t="str">
        <f>("25/03/2026")</f>
        <v>25/03/2026</v>
      </c>
      <c r="L4435">
        <v>119235.86</v>
      </c>
      <c r="M4435">
        <v>119235.86</v>
      </c>
      <c r="N4435">
        <v>303</v>
      </c>
      <c r="O4435" t="str">
        <f>"RECEITAS COM ENTREGAS"</f>
        <v>RECEITAS COM ENTREGAS</v>
      </c>
      <c r="P4435">
        <v>119235.86</v>
      </c>
      <c r="S4435" t="str">
        <f>"RECEITAS COM ENTREGAS (303)"</f>
        <v>RECEITAS COM ENTREGAS (303)</v>
      </c>
      <c r="T4435">
        <v>31895</v>
      </c>
      <c r="U4435">
        <v>35185</v>
      </c>
      <c r="V4435" t="s">
        <v>37</v>
      </c>
    </row>
    <row r="4436" spans="1:22">
      <c r="A4436" t="str">
        <f t="shared" si="800"/>
        <v>25/03/2026</v>
      </c>
      <c r="B4436" t="str">
        <f t="shared" si="801"/>
        <v>ENTRADA</v>
      </c>
      <c r="C4436" t="str">
        <f t="shared" si="802"/>
        <v>NFSE</v>
      </c>
      <c r="D4436" t="str">
        <f t="shared" si="803"/>
        <v>558</v>
      </c>
      <c r="E4436" t="str">
        <f t="shared" si="799"/>
        <v>1</v>
      </c>
      <c r="F4436" t="str">
        <f t="shared" si="796"/>
        <v>COM</v>
      </c>
      <c r="G4436" t="str">
        <f t="shared" si="804"/>
        <v>FARMÁCIA INDIANA LJ 1 (10126)</v>
      </c>
      <c r="H4436" t="s">
        <v>1206</v>
      </c>
      <c r="I4436" t="str">
        <f t="shared" si="805"/>
        <v>25/03/2026</v>
      </c>
      <c r="J4436" t="str">
        <f t="shared" si="806"/>
        <v>17/03/2026</v>
      </c>
      <c r="K4436">
        <v>46106</v>
      </c>
      <c r="N4436">
        <v>303</v>
      </c>
      <c r="O4436" t="s">
        <v>102</v>
      </c>
      <c r="Q4436">
        <v>16597.62</v>
      </c>
      <c r="R4436" t="str">
        <f>"FARMÁCIA INDIANA LJ 06 (10006)"</f>
        <v>FARMÁCIA INDIANA LJ 06 (10006)</v>
      </c>
      <c r="S4436" t="s">
        <v>103</v>
      </c>
      <c r="T4436">
        <v>31895</v>
      </c>
      <c r="U4436">
        <v>35185</v>
      </c>
      <c r="V4436" t="s">
        <v>37</v>
      </c>
    </row>
    <row r="4437" spans="1:22">
      <c r="A4437" t="str">
        <f t="shared" si="800"/>
        <v>25/03/2026</v>
      </c>
      <c r="B4437" t="str">
        <f t="shared" si="801"/>
        <v>ENTRADA</v>
      </c>
      <c r="C4437" t="str">
        <f t="shared" si="802"/>
        <v>NFSE</v>
      </c>
      <c r="D4437" t="str">
        <f t="shared" si="803"/>
        <v>558</v>
      </c>
      <c r="E4437" t="str">
        <f t="shared" si="799"/>
        <v>1</v>
      </c>
      <c r="F4437" t="str">
        <f t="shared" si="796"/>
        <v>COM</v>
      </c>
      <c r="G4437" t="str">
        <f t="shared" si="804"/>
        <v>FARMÁCIA INDIANA LJ 1 (10126)</v>
      </c>
      <c r="H4437" t="s">
        <v>1206</v>
      </c>
      <c r="I4437" t="str">
        <f t="shared" si="805"/>
        <v>25/03/2026</v>
      </c>
      <c r="J4437" t="str">
        <f t="shared" si="806"/>
        <v>17/03/2026</v>
      </c>
      <c r="K4437">
        <v>46106</v>
      </c>
      <c r="N4437">
        <v>303</v>
      </c>
      <c r="O4437" t="s">
        <v>102</v>
      </c>
      <c r="Q4437">
        <v>12007.05</v>
      </c>
      <c r="R4437" t="str">
        <f>"FARMÁCIA INDIANA LJ 07 (10007)"</f>
        <v>FARMÁCIA INDIANA LJ 07 (10007)</v>
      </c>
      <c r="S4437" t="s">
        <v>103</v>
      </c>
      <c r="T4437">
        <v>31895</v>
      </c>
      <c r="U4437">
        <v>35185</v>
      </c>
      <c r="V4437" t="s">
        <v>37</v>
      </c>
    </row>
    <row r="4438" spans="1:22">
      <c r="A4438" t="str">
        <f t="shared" si="800"/>
        <v>25/03/2026</v>
      </c>
      <c r="B4438" t="str">
        <f t="shared" si="801"/>
        <v>ENTRADA</v>
      </c>
      <c r="C4438" t="str">
        <f t="shared" si="802"/>
        <v>NFSE</v>
      </c>
      <c r="D4438" t="str">
        <f t="shared" si="803"/>
        <v>558</v>
      </c>
      <c r="E4438" t="str">
        <f t="shared" si="799"/>
        <v>1</v>
      </c>
      <c r="F4438" t="str">
        <f t="shared" si="796"/>
        <v>COM</v>
      </c>
      <c r="G4438" t="str">
        <f t="shared" si="804"/>
        <v>FARMÁCIA INDIANA LJ 1 (10126)</v>
      </c>
      <c r="H4438" t="s">
        <v>1206</v>
      </c>
      <c r="I4438" t="str">
        <f t="shared" si="805"/>
        <v>25/03/2026</v>
      </c>
      <c r="J4438" t="str">
        <f t="shared" si="806"/>
        <v>17/03/2026</v>
      </c>
      <c r="K4438">
        <v>46106</v>
      </c>
      <c r="N4438">
        <v>303</v>
      </c>
      <c r="O4438" t="s">
        <v>102</v>
      </c>
      <c r="Q4438">
        <v>10254.280000000001</v>
      </c>
      <c r="R4438" t="str">
        <f>"FARMÁCIA INDIANA LJ 11 (10008)"</f>
        <v>FARMÁCIA INDIANA LJ 11 (10008)</v>
      </c>
      <c r="S4438" t="s">
        <v>103</v>
      </c>
      <c r="T4438">
        <v>31895</v>
      </c>
      <c r="U4438">
        <v>35185</v>
      </c>
      <c r="V4438" t="s">
        <v>37</v>
      </c>
    </row>
    <row r="4439" spans="1:22">
      <c r="A4439" t="str">
        <f t="shared" si="800"/>
        <v>25/03/2026</v>
      </c>
      <c r="B4439" t="str">
        <f t="shared" si="801"/>
        <v>ENTRADA</v>
      </c>
      <c r="C4439" t="str">
        <f t="shared" si="802"/>
        <v>NFSE</v>
      </c>
      <c r="D4439" t="str">
        <f t="shared" si="803"/>
        <v>558</v>
      </c>
      <c r="E4439" t="str">
        <f t="shared" si="799"/>
        <v>1</v>
      </c>
      <c r="F4439" t="str">
        <f t="shared" si="796"/>
        <v>COM</v>
      </c>
      <c r="G4439" t="str">
        <f t="shared" si="804"/>
        <v>FARMÁCIA INDIANA LJ 1 (10126)</v>
      </c>
      <c r="H4439" t="s">
        <v>1206</v>
      </c>
      <c r="I4439" t="str">
        <f t="shared" si="805"/>
        <v>25/03/2026</v>
      </c>
      <c r="J4439" t="str">
        <f t="shared" si="806"/>
        <v>17/03/2026</v>
      </c>
      <c r="K4439">
        <v>46106</v>
      </c>
      <c r="N4439">
        <v>303</v>
      </c>
      <c r="O4439" t="s">
        <v>102</v>
      </c>
      <c r="Q4439">
        <v>2182.02</v>
      </c>
      <c r="R4439" t="str">
        <f>"FARMÁCIA INDIANA LJ 14 (10009)"</f>
        <v>FARMÁCIA INDIANA LJ 14 (10009)</v>
      </c>
      <c r="S4439" t="s">
        <v>103</v>
      </c>
      <c r="T4439">
        <v>31895</v>
      </c>
      <c r="U4439">
        <v>35185</v>
      </c>
      <c r="V4439" t="s">
        <v>37</v>
      </c>
    </row>
    <row r="4440" spans="1:22">
      <c r="A4440" t="str">
        <f t="shared" si="800"/>
        <v>25/03/2026</v>
      </c>
      <c r="B4440" t="str">
        <f t="shared" si="801"/>
        <v>ENTRADA</v>
      </c>
      <c r="C4440" t="str">
        <f t="shared" si="802"/>
        <v>NFSE</v>
      </c>
      <c r="D4440" t="str">
        <f t="shared" si="803"/>
        <v>558</v>
      </c>
      <c r="E4440" t="str">
        <f t="shared" si="799"/>
        <v>1</v>
      </c>
      <c r="F4440" t="str">
        <f t="shared" si="796"/>
        <v>COM</v>
      </c>
      <c r="G4440" t="str">
        <f t="shared" si="804"/>
        <v>FARMÁCIA INDIANA LJ 1 (10126)</v>
      </c>
      <c r="H4440" t="s">
        <v>1206</v>
      </c>
      <c r="I4440" t="str">
        <f t="shared" si="805"/>
        <v>25/03/2026</v>
      </c>
      <c r="J4440" t="str">
        <f t="shared" si="806"/>
        <v>17/03/2026</v>
      </c>
      <c r="K4440">
        <v>46106</v>
      </c>
      <c r="N4440">
        <v>303</v>
      </c>
      <c r="O4440" t="s">
        <v>102</v>
      </c>
      <c r="Q4440">
        <v>2408.56</v>
      </c>
      <c r="R4440" t="str">
        <f>"FARMÁCIA INDIANA LJ 18 (10011)"</f>
        <v>FARMÁCIA INDIANA LJ 18 (10011)</v>
      </c>
      <c r="S4440" t="s">
        <v>103</v>
      </c>
      <c r="T4440">
        <v>31895</v>
      </c>
      <c r="U4440">
        <v>35185</v>
      </c>
      <c r="V4440" t="s">
        <v>37</v>
      </c>
    </row>
    <row r="4441" spans="1:22">
      <c r="A4441" t="str">
        <f t="shared" si="800"/>
        <v>25/03/2026</v>
      </c>
      <c r="B4441" t="str">
        <f t="shared" si="801"/>
        <v>ENTRADA</v>
      </c>
      <c r="C4441" t="str">
        <f t="shared" si="802"/>
        <v>NFSE</v>
      </c>
      <c r="D4441" t="str">
        <f t="shared" si="803"/>
        <v>558</v>
      </c>
      <c r="E4441" t="str">
        <f t="shared" si="799"/>
        <v>1</v>
      </c>
      <c r="F4441" t="str">
        <f t="shared" si="796"/>
        <v>COM</v>
      </c>
      <c r="G4441" t="str">
        <f t="shared" si="804"/>
        <v>FARMÁCIA INDIANA LJ 1 (10126)</v>
      </c>
      <c r="H4441" t="s">
        <v>1206</v>
      </c>
      <c r="I4441" t="str">
        <f t="shared" si="805"/>
        <v>25/03/2026</v>
      </c>
      <c r="J4441" t="str">
        <f t="shared" si="806"/>
        <v>17/03/2026</v>
      </c>
      <c r="K4441">
        <v>46106</v>
      </c>
      <c r="N4441">
        <v>303</v>
      </c>
      <c r="O4441" t="s">
        <v>102</v>
      </c>
      <c r="Q4441">
        <v>2873.58</v>
      </c>
      <c r="R4441" t="str">
        <f>"FARMÁCIA INDIANA LJ 19 (10012)"</f>
        <v>FARMÁCIA INDIANA LJ 19 (10012)</v>
      </c>
      <c r="S4441" t="s">
        <v>103</v>
      </c>
      <c r="T4441">
        <v>31895</v>
      </c>
      <c r="U4441">
        <v>35185</v>
      </c>
      <c r="V4441" t="s">
        <v>37</v>
      </c>
    </row>
    <row r="4442" spans="1:22">
      <c r="A4442" t="str">
        <f t="shared" si="800"/>
        <v>25/03/2026</v>
      </c>
      <c r="B4442" t="str">
        <f t="shared" si="801"/>
        <v>ENTRADA</v>
      </c>
      <c r="C4442" t="str">
        <f t="shared" si="802"/>
        <v>NFSE</v>
      </c>
      <c r="D4442" t="str">
        <f t="shared" si="803"/>
        <v>558</v>
      </c>
      <c r="E4442" t="str">
        <f t="shared" si="799"/>
        <v>1</v>
      </c>
      <c r="F4442" t="str">
        <f t="shared" si="796"/>
        <v>COM</v>
      </c>
      <c r="G4442" t="str">
        <f t="shared" si="804"/>
        <v>FARMÁCIA INDIANA LJ 1 (10126)</v>
      </c>
      <c r="H4442" t="s">
        <v>1206</v>
      </c>
      <c r="I4442" t="str">
        <f t="shared" si="805"/>
        <v>25/03/2026</v>
      </c>
      <c r="J4442" t="str">
        <f t="shared" si="806"/>
        <v>17/03/2026</v>
      </c>
      <c r="K4442">
        <v>46106</v>
      </c>
      <c r="N4442">
        <v>303</v>
      </c>
      <c r="O4442" t="s">
        <v>102</v>
      </c>
      <c r="Q4442">
        <v>6259.88</v>
      </c>
      <c r="R4442" t="str">
        <f>"FARMÁCIA INDIANA LJ 40 (10016)"</f>
        <v>FARMÁCIA INDIANA LJ 40 (10016)</v>
      </c>
      <c r="S4442" t="s">
        <v>103</v>
      </c>
      <c r="T4442">
        <v>31895</v>
      </c>
      <c r="U4442">
        <v>35185</v>
      </c>
      <c r="V4442" t="s">
        <v>37</v>
      </c>
    </row>
    <row r="4443" spans="1:22">
      <c r="A4443" t="str">
        <f t="shared" si="800"/>
        <v>25/03/2026</v>
      </c>
      <c r="B4443" t="str">
        <f t="shared" si="801"/>
        <v>ENTRADA</v>
      </c>
      <c r="C4443" t="str">
        <f t="shared" si="802"/>
        <v>NFSE</v>
      </c>
      <c r="D4443" t="str">
        <f t="shared" si="803"/>
        <v>558</v>
      </c>
      <c r="E4443" t="str">
        <f t="shared" si="799"/>
        <v>1</v>
      </c>
      <c r="F4443" t="str">
        <f t="shared" si="796"/>
        <v>COM</v>
      </c>
      <c r="G4443" t="str">
        <f t="shared" si="804"/>
        <v>FARMÁCIA INDIANA LJ 1 (10126)</v>
      </c>
      <c r="H4443" t="s">
        <v>1206</v>
      </c>
      <c r="I4443" t="str">
        <f t="shared" si="805"/>
        <v>25/03/2026</v>
      </c>
      <c r="J4443" t="str">
        <f t="shared" si="806"/>
        <v>17/03/2026</v>
      </c>
      <c r="K4443">
        <v>46106</v>
      </c>
      <c r="N4443">
        <v>303</v>
      </c>
      <c r="O4443" t="s">
        <v>102</v>
      </c>
      <c r="Q4443">
        <v>2062.7800000000002</v>
      </c>
      <c r="R4443" t="str">
        <f>"FARMÁCIA INDIANA LJ 59 (10026)"</f>
        <v>FARMÁCIA INDIANA LJ 59 (10026)</v>
      </c>
      <c r="S4443" t="s">
        <v>103</v>
      </c>
      <c r="T4443">
        <v>31895</v>
      </c>
      <c r="U4443">
        <v>35185</v>
      </c>
      <c r="V4443" t="s">
        <v>37</v>
      </c>
    </row>
    <row r="4444" spans="1:22">
      <c r="A4444" t="str">
        <f t="shared" si="800"/>
        <v>25/03/2026</v>
      </c>
      <c r="B4444" t="str">
        <f t="shared" si="801"/>
        <v>ENTRADA</v>
      </c>
      <c r="C4444" t="str">
        <f t="shared" si="802"/>
        <v>NFSE</v>
      </c>
      <c r="D4444" t="str">
        <f t="shared" si="803"/>
        <v>558</v>
      </c>
      <c r="E4444" t="str">
        <f t="shared" si="799"/>
        <v>1</v>
      </c>
      <c r="F4444" t="str">
        <f t="shared" si="796"/>
        <v>COM</v>
      </c>
      <c r="G4444" t="str">
        <f t="shared" si="804"/>
        <v>FARMÁCIA INDIANA LJ 1 (10126)</v>
      </c>
      <c r="H4444" t="s">
        <v>1206</v>
      </c>
      <c r="I4444" t="str">
        <f t="shared" si="805"/>
        <v>25/03/2026</v>
      </c>
      <c r="J4444" t="str">
        <f t="shared" si="806"/>
        <v>17/03/2026</v>
      </c>
      <c r="K4444">
        <v>46106</v>
      </c>
      <c r="N4444">
        <v>303</v>
      </c>
      <c r="O4444" t="s">
        <v>102</v>
      </c>
      <c r="Q4444">
        <v>4220.95</v>
      </c>
      <c r="R4444" t="str">
        <f>"FARMÁCIA INDIANA LJ 61 (10027)"</f>
        <v>FARMÁCIA INDIANA LJ 61 (10027)</v>
      </c>
      <c r="S4444" t="s">
        <v>103</v>
      </c>
      <c r="T4444">
        <v>31895</v>
      </c>
      <c r="U4444">
        <v>35185</v>
      </c>
      <c r="V4444" t="s">
        <v>37</v>
      </c>
    </row>
    <row r="4445" spans="1:22">
      <c r="A4445" t="str">
        <f t="shared" si="800"/>
        <v>25/03/2026</v>
      </c>
      <c r="B4445" t="str">
        <f t="shared" si="801"/>
        <v>ENTRADA</v>
      </c>
      <c r="C4445" t="str">
        <f t="shared" si="802"/>
        <v>NFSE</v>
      </c>
      <c r="D4445" t="str">
        <f t="shared" si="803"/>
        <v>558</v>
      </c>
      <c r="E4445" t="str">
        <f t="shared" si="799"/>
        <v>1</v>
      </c>
      <c r="F4445" t="str">
        <f t="shared" si="796"/>
        <v>COM</v>
      </c>
      <c r="G4445" t="str">
        <f t="shared" si="804"/>
        <v>FARMÁCIA INDIANA LJ 1 (10126)</v>
      </c>
      <c r="H4445" t="s">
        <v>1206</v>
      </c>
      <c r="I4445" t="str">
        <f t="shared" si="805"/>
        <v>25/03/2026</v>
      </c>
      <c r="J4445" t="str">
        <f t="shared" si="806"/>
        <v>17/03/2026</v>
      </c>
      <c r="K4445">
        <v>46106</v>
      </c>
      <c r="N4445">
        <v>303</v>
      </c>
      <c r="O4445" t="s">
        <v>102</v>
      </c>
      <c r="Q4445">
        <v>2050.86</v>
      </c>
      <c r="R4445" t="str">
        <f>"FARMÁCIA INDIANA LJ 62 (10028)"</f>
        <v>FARMÁCIA INDIANA LJ 62 (10028)</v>
      </c>
      <c r="S4445" t="s">
        <v>103</v>
      </c>
      <c r="T4445">
        <v>31895</v>
      </c>
      <c r="U4445">
        <v>35185</v>
      </c>
      <c r="V4445" t="s">
        <v>37</v>
      </c>
    </row>
    <row r="4446" spans="1:22">
      <c r="A4446" t="str">
        <f t="shared" si="800"/>
        <v>25/03/2026</v>
      </c>
      <c r="B4446" t="str">
        <f t="shared" si="801"/>
        <v>ENTRADA</v>
      </c>
      <c r="C4446" t="str">
        <f t="shared" si="802"/>
        <v>NFSE</v>
      </c>
      <c r="D4446" t="str">
        <f t="shared" si="803"/>
        <v>558</v>
      </c>
      <c r="E4446" t="str">
        <f t="shared" si="799"/>
        <v>1</v>
      </c>
      <c r="F4446" t="str">
        <f t="shared" si="796"/>
        <v>COM</v>
      </c>
      <c r="G4446" t="str">
        <f t="shared" si="804"/>
        <v>FARMÁCIA INDIANA LJ 1 (10126)</v>
      </c>
      <c r="H4446" t="s">
        <v>1206</v>
      </c>
      <c r="I4446" t="str">
        <f t="shared" si="805"/>
        <v>25/03/2026</v>
      </c>
      <c r="J4446" t="str">
        <f t="shared" si="806"/>
        <v>17/03/2026</v>
      </c>
      <c r="K4446">
        <v>46106</v>
      </c>
      <c r="N4446">
        <v>303</v>
      </c>
      <c r="O4446" t="s">
        <v>102</v>
      </c>
      <c r="Q4446">
        <v>775.03</v>
      </c>
      <c r="R4446" t="str">
        <f>"FARMÁCIA INDIANA LJ 64 (10029)"</f>
        <v>FARMÁCIA INDIANA LJ 64 (10029)</v>
      </c>
      <c r="S4446" t="s">
        <v>103</v>
      </c>
      <c r="T4446">
        <v>31895</v>
      </c>
      <c r="U4446">
        <v>35185</v>
      </c>
      <c r="V4446" t="s">
        <v>37</v>
      </c>
    </row>
    <row r="4447" spans="1:22">
      <c r="A4447" t="str">
        <f t="shared" si="800"/>
        <v>25/03/2026</v>
      </c>
      <c r="B4447" t="str">
        <f t="shared" si="801"/>
        <v>ENTRADA</v>
      </c>
      <c r="C4447" t="str">
        <f t="shared" si="802"/>
        <v>NFSE</v>
      </c>
      <c r="D4447" t="str">
        <f t="shared" si="803"/>
        <v>558</v>
      </c>
      <c r="E4447" t="str">
        <f t="shared" si="799"/>
        <v>1</v>
      </c>
      <c r="F4447" t="str">
        <f t="shared" si="796"/>
        <v>COM</v>
      </c>
      <c r="G4447" t="str">
        <f t="shared" si="804"/>
        <v>FARMÁCIA INDIANA LJ 1 (10126)</v>
      </c>
      <c r="H4447" t="s">
        <v>1206</v>
      </c>
      <c r="I4447" t="str">
        <f t="shared" si="805"/>
        <v>25/03/2026</v>
      </c>
      <c r="J4447" t="str">
        <f t="shared" si="806"/>
        <v>17/03/2026</v>
      </c>
      <c r="K4447">
        <v>46106</v>
      </c>
      <c r="N4447">
        <v>303</v>
      </c>
      <c r="O4447" t="s">
        <v>102</v>
      </c>
      <c r="Q4447">
        <v>608.1</v>
      </c>
      <c r="R4447" t="str">
        <f>"FARMÁCIA INDIANA LJ 97 (10040)"</f>
        <v>FARMÁCIA INDIANA LJ 97 (10040)</v>
      </c>
      <c r="S4447" t="s">
        <v>103</v>
      </c>
      <c r="T4447">
        <v>31895</v>
      </c>
      <c r="U4447">
        <v>35185</v>
      </c>
      <c r="V4447" t="s">
        <v>37</v>
      </c>
    </row>
    <row r="4448" spans="1:22">
      <c r="A4448" t="str">
        <f t="shared" si="800"/>
        <v>25/03/2026</v>
      </c>
      <c r="B4448" t="str">
        <f t="shared" si="801"/>
        <v>ENTRADA</v>
      </c>
      <c r="C4448" t="str">
        <f t="shared" si="802"/>
        <v>NFSE</v>
      </c>
      <c r="D4448" t="str">
        <f t="shared" si="803"/>
        <v>558</v>
      </c>
      <c r="E4448" t="str">
        <f t="shared" si="799"/>
        <v>1</v>
      </c>
      <c r="F4448" t="str">
        <f t="shared" si="796"/>
        <v>COM</v>
      </c>
      <c r="G4448" t="str">
        <f t="shared" si="804"/>
        <v>FARMÁCIA INDIANA LJ 1 (10126)</v>
      </c>
      <c r="H4448" t="s">
        <v>1206</v>
      </c>
      <c r="I4448" t="str">
        <f t="shared" si="805"/>
        <v>25/03/2026</v>
      </c>
      <c r="J4448" t="str">
        <f t="shared" si="806"/>
        <v>17/03/2026</v>
      </c>
      <c r="K4448">
        <v>46106</v>
      </c>
      <c r="N4448">
        <v>303</v>
      </c>
      <c r="O4448" t="s">
        <v>102</v>
      </c>
      <c r="Q4448">
        <v>1800.46</v>
      </c>
      <c r="R4448" t="str">
        <f>"FARMÁCIA INDIANA LJ 100 (10042)"</f>
        <v>FARMÁCIA INDIANA LJ 100 (10042)</v>
      </c>
      <c r="S4448" t="s">
        <v>103</v>
      </c>
      <c r="T4448">
        <v>31895</v>
      </c>
      <c r="U4448">
        <v>35185</v>
      </c>
      <c r="V4448" t="s">
        <v>37</v>
      </c>
    </row>
    <row r="4449" spans="1:22">
      <c r="A4449" t="str">
        <f t="shared" si="800"/>
        <v>25/03/2026</v>
      </c>
      <c r="B4449" t="str">
        <f t="shared" si="801"/>
        <v>ENTRADA</v>
      </c>
      <c r="C4449" t="str">
        <f t="shared" si="802"/>
        <v>NFSE</v>
      </c>
      <c r="D4449" t="str">
        <f t="shared" si="803"/>
        <v>558</v>
      </c>
      <c r="E4449" t="str">
        <f t="shared" si="799"/>
        <v>1</v>
      </c>
      <c r="F4449" t="str">
        <f t="shared" si="796"/>
        <v>COM</v>
      </c>
      <c r="G4449" t="str">
        <f t="shared" si="804"/>
        <v>FARMÁCIA INDIANA LJ 1 (10126)</v>
      </c>
      <c r="H4449" t="s">
        <v>1206</v>
      </c>
      <c r="I4449" t="str">
        <f t="shared" si="805"/>
        <v>25/03/2026</v>
      </c>
      <c r="J4449" t="str">
        <f t="shared" si="806"/>
        <v>17/03/2026</v>
      </c>
      <c r="K4449">
        <v>46106</v>
      </c>
      <c r="N4449">
        <v>303</v>
      </c>
      <c r="O4449" t="s">
        <v>102</v>
      </c>
      <c r="Q4449">
        <v>6820.29</v>
      </c>
      <c r="R4449" t="str">
        <f>"FARMÁCIA INDIANA LJ 101 (10043)"</f>
        <v>FARMÁCIA INDIANA LJ 101 (10043)</v>
      </c>
      <c r="S4449" t="s">
        <v>103</v>
      </c>
      <c r="T4449">
        <v>31895</v>
      </c>
      <c r="U4449">
        <v>35185</v>
      </c>
      <c r="V4449" t="s">
        <v>37</v>
      </c>
    </row>
    <row r="4450" spans="1:22">
      <c r="A4450" t="str">
        <f t="shared" si="800"/>
        <v>25/03/2026</v>
      </c>
      <c r="B4450" t="str">
        <f t="shared" si="801"/>
        <v>ENTRADA</v>
      </c>
      <c r="C4450" t="str">
        <f t="shared" si="802"/>
        <v>NFSE</v>
      </c>
      <c r="D4450" t="str">
        <f t="shared" si="803"/>
        <v>558</v>
      </c>
      <c r="E4450" t="str">
        <f t="shared" si="799"/>
        <v>1</v>
      </c>
      <c r="F4450" t="str">
        <f t="shared" si="796"/>
        <v>COM</v>
      </c>
      <c r="G4450" t="str">
        <f t="shared" si="804"/>
        <v>FARMÁCIA INDIANA LJ 1 (10126)</v>
      </c>
      <c r="H4450" t="s">
        <v>1206</v>
      </c>
      <c r="I4450" t="str">
        <f t="shared" si="805"/>
        <v>25/03/2026</v>
      </c>
      <c r="J4450" t="str">
        <f t="shared" si="806"/>
        <v>17/03/2026</v>
      </c>
      <c r="K4450">
        <v>46106</v>
      </c>
      <c r="N4450">
        <v>303</v>
      </c>
      <c r="O4450" t="s">
        <v>102</v>
      </c>
      <c r="Q4450">
        <v>405.4</v>
      </c>
      <c r="R4450" t="str">
        <f>"FARMÁCIA INDIANA LJ 103 (10044)"</f>
        <v>FARMÁCIA INDIANA LJ 103 (10044)</v>
      </c>
      <c r="S4450" t="s">
        <v>103</v>
      </c>
      <c r="T4450">
        <v>31895</v>
      </c>
      <c r="U4450">
        <v>35185</v>
      </c>
      <c r="V4450" t="s">
        <v>37</v>
      </c>
    </row>
    <row r="4451" spans="1:22">
      <c r="A4451" t="str">
        <f t="shared" si="800"/>
        <v>25/03/2026</v>
      </c>
      <c r="B4451" t="str">
        <f t="shared" si="801"/>
        <v>ENTRADA</v>
      </c>
      <c r="C4451" t="str">
        <f t="shared" si="802"/>
        <v>NFSE</v>
      </c>
      <c r="D4451" t="str">
        <f t="shared" si="803"/>
        <v>558</v>
      </c>
      <c r="E4451" t="str">
        <f t="shared" si="799"/>
        <v>1</v>
      </c>
      <c r="F4451" t="str">
        <f t="shared" si="796"/>
        <v>COM</v>
      </c>
      <c r="G4451" t="str">
        <f t="shared" si="804"/>
        <v>FARMÁCIA INDIANA LJ 1 (10126)</v>
      </c>
      <c r="H4451" t="s">
        <v>1206</v>
      </c>
      <c r="I4451" t="str">
        <f t="shared" si="805"/>
        <v>25/03/2026</v>
      </c>
      <c r="J4451" t="str">
        <f t="shared" si="806"/>
        <v>17/03/2026</v>
      </c>
      <c r="K4451">
        <v>46106</v>
      </c>
      <c r="N4451">
        <v>303</v>
      </c>
      <c r="O4451" t="s">
        <v>102</v>
      </c>
      <c r="Q4451">
        <v>1967.39</v>
      </c>
      <c r="R4451" t="str">
        <f>"FARMÁCIA INDIANA LJ 109 (10047)"</f>
        <v>FARMÁCIA INDIANA LJ 109 (10047)</v>
      </c>
      <c r="S4451" t="s">
        <v>103</v>
      </c>
      <c r="T4451">
        <v>31895</v>
      </c>
      <c r="U4451">
        <v>35185</v>
      </c>
      <c r="V4451" t="s">
        <v>37</v>
      </c>
    </row>
    <row r="4452" spans="1:22">
      <c r="A4452" t="str">
        <f t="shared" si="800"/>
        <v>25/03/2026</v>
      </c>
      <c r="B4452" t="str">
        <f t="shared" si="801"/>
        <v>ENTRADA</v>
      </c>
      <c r="C4452" t="str">
        <f t="shared" si="802"/>
        <v>NFSE</v>
      </c>
      <c r="D4452" t="str">
        <f t="shared" si="803"/>
        <v>558</v>
      </c>
      <c r="E4452" t="str">
        <f t="shared" si="799"/>
        <v>1</v>
      </c>
      <c r="F4452" t="str">
        <f t="shared" si="796"/>
        <v>COM</v>
      </c>
      <c r="G4452" t="str">
        <f t="shared" si="804"/>
        <v>FARMÁCIA INDIANA LJ 1 (10126)</v>
      </c>
      <c r="H4452" t="s">
        <v>1206</v>
      </c>
      <c r="I4452" t="str">
        <f t="shared" si="805"/>
        <v>25/03/2026</v>
      </c>
      <c r="J4452" t="str">
        <f t="shared" si="806"/>
        <v>17/03/2026</v>
      </c>
      <c r="K4452">
        <v>46106</v>
      </c>
      <c r="N4452">
        <v>303</v>
      </c>
      <c r="O4452" t="s">
        <v>102</v>
      </c>
      <c r="Q4452">
        <v>3278.99</v>
      </c>
      <c r="R4452" t="str">
        <f>"FARMÁCIA INDIANA LJ 110 (10048)"</f>
        <v>FARMÁCIA INDIANA LJ 110 (10048)</v>
      </c>
      <c r="S4452" t="s">
        <v>103</v>
      </c>
      <c r="T4452">
        <v>31895</v>
      </c>
      <c r="U4452">
        <v>35185</v>
      </c>
      <c r="V4452" t="s">
        <v>37</v>
      </c>
    </row>
    <row r="4453" spans="1:22">
      <c r="A4453" t="str">
        <f t="shared" si="800"/>
        <v>25/03/2026</v>
      </c>
      <c r="B4453" t="str">
        <f t="shared" si="801"/>
        <v>ENTRADA</v>
      </c>
      <c r="C4453" t="str">
        <f t="shared" si="802"/>
        <v>NFSE</v>
      </c>
      <c r="D4453" t="str">
        <f t="shared" si="803"/>
        <v>558</v>
      </c>
      <c r="E4453" t="str">
        <f t="shared" si="799"/>
        <v>1</v>
      </c>
      <c r="F4453" t="str">
        <f t="shared" si="796"/>
        <v>COM</v>
      </c>
      <c r="G4453" t="str">
        <f t="shared" si="804"/>
        <v>FARMÁCIA INDIANA LJ 1 (10126)</v>
      </c>
      <c r="H4453" t="s">
        <v>1206</v>
      </c>
      <c r="I4453" t="str">
        <f t="shared" si="805"/>
        <v>25/03/2026</v>
      </c>
      <c r="J4453" t="str">
        <f t="shared" si="806"/>
        <v>17/03/2026</v>
      </c>
      <c r="K4453">
        <v>46106</v>
      </c>
      <c r="N4453">
        <v>303</v>
      </c>
      <c r="O4453" t="s">
        <v>102</v>
      </c>
      <c r="Q4453">
        <v>596.17999999999995</v>
      </c>
      <c r="R4453" t="str">
        <f>"FARMÁCIA INDIANA LJ 111 (10049)"</f>
        <v>FARMÁCIA INDIANA LJ 111 (10049)</v>
      </c>
      <c r="S4453" t="s">
        <v>103</v>
      </c>
      <c r="T4453">
        <v>31895</v>
      </c>
      <c r="U4453">
        <v>35185</v>
      </c>
      <c r="V4453" t="s">
        <v>37</v>
      </c>
    </row>
    <row r="4454" spans="1:22">
      <c r="A4454" t="str">
        <f t="shared" si="800"/>
        <v>25/03/2026</v>
      </c>
      <c r="B4454" t="str">
        <f t="shared" si="801"/>
        <v>ENTRADA</v>
      </c>
      <c r="C4454" t="str">
        <f t="shared" si="802"/>
        <v>NFSE</v>
      </c>
      <c r="D4454" t="str">
        <f t="shared" si="803"/>
        <v>558</v>
      </c>
      <c r="E4454" t="str">
        <f t="shared" si="799"/>
        <v>1</v>
      </c>
      <c r="F4454" t="str">
        <f t="shared" si="796"/>
        <v>COM</v>
      </c>
      <c r="G4454" t="str">
        <f t="shared" si="804"/>
        <v>FARMÁCIA INDIANA LJ 1 (10126)</v>
      </c>
      <c r="H4454" t="s">
        <v>1206</v>
      </c>
      <c r="I4454" t="str">
        <f t="shared" si="805"/>
        <v>25/03/2026</v>
      </c>
      <c r="J4454" t="str">
        <f t="shared" si="806"/>
        <v>17/03/2026</v>
      </c>
      <c r="K4454">
        <v>46106</v>
      </c>
      <c r="N4454">
        <v>303</v>
      </c>
      <c r="O4454" t="s">
        <v>102</v>
      </c>
      <c r="Q4454">
        <v>894.27</v>
      </c>
      <c r="R4454" t="str">
        <f>"FARMÁCIA INDIANA LJ 112 (10050)"</f>
        <v>FARMÁCIA INDIANA LJ 112 (10050)</v>
      </c>
      <c r="S4454" t="s">
        <v>103</v>
      </c>
      <c r="T4454">
        <v>31895</v>
      </c>
      <c r="U4454">
        <v>35185</v>
      </c>
      <c r="V4454" t="s">
        <v>37</v>
      </c>
    </row>
    <row r="4455" spans="1:22">
      <c r="A4455" t="str">
        <f t="shared" si="800"/>
        <v>25/03/2026</v>
      </c>
      <c r="B4455" t="str">
        <f t="shared" si="801"/>
        <v>ENTRADA</v>
      </c>
      <c r="C4455" t="str">
        <f t="shared" si="802"/>
        <v>NFSE</v>
      </c>
      <c r="D4455" t="str">
        <f t="shared" si="803"/>
        <v>558</v>
      </c>
      <c r="E4455" t="str">
        <f t="shared" si="799"/>
        <v>1</v>
      </c>
      <c r="F4455" t="str">
        <f t="shared" si="796"/>
        <v>COM</v>
      </c>
      <c r="G4455" t="str">
        <f t="shared" si="804"/>
        <v>FARMÁCIA INDIANA LJ 1 (10126)</v>
      </c>
      <c r="H4455" t="s">
        <v>1206</v>
      </c>
      <c r="I4455" t="str">
        <f t="shared" si="805"/>
        <v>25/03/2026</v>
      </c>
      <c r="J4455" t="str">
        <f t="shared" si="806"/>
        <v>17/03/2026</v>
      </c>
      <c r="K4455">
        <v>46106</v>
      </c>
      <c r="N4455">
        <v>303</v>
      </c>
      <c r="O4455" t="s">
        <v>102</v>
      </c>
      <c r="Q4455">
        <v>1860.08</v>
      </c>
      <c r="R4455" t="str">
        <f>"FARMÁCIA INDIANA LJ 116 (10051)"</f>
        <v>FARMÁCIA INDIANA LJ 116 (10051)</v>
      </c>
      <c r="S4455" t="s">
        <v>103</v>
      </c>
      <c r="T4455">
        <v>31895</v>
      </c>
      <c r="U4455">
        <v>35185</v>
      </c>
      <c r="V4455" t="s">
        <v>37</v>
      </c>
    </row>
    <row r="4456" spans="1:22">
      <c r="A4456" t="str">
        <f t="shared" si="800"/>
        <v>25/03/2026</v>
      </c>
      <c r="B4456" t="str">
        <f t="shared" si="801"/>
        <v>ENTRADA</v>
      </c>
      <c r="C4456" t="str">
        <f t="shared" si="802"/>
        <v>NFSE</v>
      </c>
      <c r="D4456" t="str">
        <f t="shared" si="803"/>
        <v>558</v>
      </c>
      <c r="E4456" t="str">
        <f t="shared" si="799"/>
        <v>1</v>
      </c>
      <c r="F4456" t="str">
        <f t="shared" si="796"/>
        <v>COM</v>
      </c>
      <c r="G4456" t="str">
        <f t="shared" si="804"/>
        <v>FARMÁCIA INDIANA LJ 1 (10126)</v>
      </c>
      <c r="H4456" t="s">
        <v>1206</v>
      </c>
      <c r="I4456" t="str">
        <f t="shared" si="805"/>
        <v>25/03/2026</v>
      </c>
      <c r="J4456" t="str">
        <f t="shared" si="806"/>
        <v>17/03/2026</v>
      </c>
      <c r="K4456">
        <v>46106</v>
      </c>
      <c r="N4456">
        <v>303</v>
      </c>
      <c r="O4456" t="s">
        <v>102</v>
      </c>
      <c r="Q4456">
        <v>810.8</v>
      </c>
      <c r="R4456" t="str">
        <f>"FARMÁCIA INDIANA LJ 118 (10052)"</f>
        <v>FARMÁCIA INDIANA LJ 118 (10052)</v>
      </c>
      <c r="S4456" t="s">
        <v>103</v>
      </c>
      <c r="T4456">
        <v>31895</v>
      </c>
      <c r="U4456">
        <v>35185</v>
      </c>
      <c r="V4456" t="s">
        <v>37</v>
      </c>
    </row>
    <row r="4457" spans="1:22">
      <c r="A4457" t="str">
        <f t="shared" si="800"/>
        <v>25/03/2026</v>
      </c>
      <c r="B4457" t="str">
        <f t="shared" si="801"/>
        <v>ENTRADA</v>
      </c>
      <c r="C4457" t="str">
        <f t="shared" si="802"/>
        <v>NFSE</v>
      </c>
      <c r="D4457" t="str">
        <f t="shared" si="803"/>
        <v>558</v>
      </c>
      <c r="E4457" t="str">
        <f t="shared" si="799"/>
        <v>1</v>
      </c>
      <c r="F4457" t="str">
        <f t="shared" si="796"/>
        <v>COM</v>
      </c>
      <c r="G4457" t="str">
        <f t="shared" si="804"/>
        <v>FARMÁCIA INDIANA LJ 1 (10126)</v>
      </c>
      <c r="H4457" t="s">
        <v>1206</v>
      </c>
      <c r="I4457" t="str">
        <f t="shared" si="805"/>
        <v>25/03/2026</v>
      </c>
      <c r="J4457" t="str">
        <f t="shared" si="806"/>
        <v>17/03/2026</v>
      </c>
      <c r="K4457">
        <v>46106</v>
      </c>
      <c r="N4457">
        <v>303</v>
      </c>
      <c r="O4457" t="s">
        <v>102</v>
      </c>
      <c r="Q4457">
        <v>894.27</v>
      </c>
      <c r="R4457" t="str">
        <f>"FARMÁCIA INDIANA LJ 121 (10054)"</f>
        <v>FARMÁCIA INDIANA LJ 121 (10054)</v>
      </c>
      <c r="S4457" t="s">
        <v>103</v>
      </c>
      <c r="T4457">
        <v>31895</v>
      </c>
      <c r="U4457">
        <v>35185</v>
      </c>
      <c r="V4457" t="s">
        <v>37</v>
      </c>
    </row>
    <row r="4458" spans="1:22">
      <c r="A4458" t="str">
        <f t="shared" si="800"/>
        <v>25/03/2026</v>
      </c>
      <c r="B4458" t="str">
        <f t="shared" si="801"/>
        <v>ENTRADA</v>
      </c>
      <c r="C4458" t="str">
        <f t="shared" si="802"/>
        <v>NFSE</v>
      </c>
      <c r="D4458" t="str">
        <f t="shared" si="803"/>
        <v>558</v>
      </c>
      <c r="E4458" t="str">
        <f t="shared" si="799"/>
        <v>1</v>
      </c>
      <c r="F4458" t="str">
        <f t="shared" si="796"/>
        <v>COM</v>
      </c>
      <c r="G4458" t="str">
        <f t="shared" si="804"/>
        <v>FARMÁCIA INDIANA LJ 1 (10126)</v>
      </c>
      <c r="H4458" t="s">
        <v>1206</v>
      </c>
      <c r="I4458" t="str">
        <f t="shared" si="805"/>
        <v>25/03/2026</v>
      </c>
      <c r="J4458" t="str">
        <f t="shared" si="806"/>
        <v>17/03/2026</v>
      </c>
      <c r="K4458">
        <v>46106</v>
      </c>
      <c r="N4458">
        <v>303</v>
      </c>
      <c r="O4458" t="s">
        <v>102</v>
      </c>
      <c r="Q4458">
        <v>894.27</v>
      </c>
      <c r="R4458" t="str">
        <f>"FARMÁCIA INDIANA LJ 128 (10057)"</f>
        <v>FARMÁCIA INDIANA LJ 128 (10057)</v>
      </c>
      <c r="S4458" t="s">
        <v>103</v>
      </c>
      <c r="T4458">
        <v>31895</v>
      </c>
      <c r="U4458">
        <v>35185</v>
      </c>
      <c r="V4458" t="s">
        <v>37</v>
      </c>
    </row>
    <row r="4459" spans="1:22">
      <c r="A4459" t="str">
        <f t="shared" si="800"/>
        <v>25/03/2026</v>
      </c>
      <c r="B4459" t="str">
        <f t="shared" si="801"/>
        <v>ENTRADA</v>
      </c>
      <c r="C4459" t="str">
        <f t="shared" si="802"/>
        <v>NFSE</v>
      </c>
      <c r="D4459" t="str">
        <f t="shared" si="803"/>
        <v>558</v>
      </c>
      <c r="E4459" t="str">
        <f t="shared" si="799"/>
        <v>1</v>
      </c>
      <c r="F4459" t="str">
        <f t="shared" si="796"/>
        <v>COM</v>
      </c>
      <c r="G4459" t="str">
        <f t="shared" si="804"/>
        <v>FARMÁCIA INDIANA LJ 1 (10126)</v>
      </c>
      <c r="H4459" t="s">
        <v>1206</v>
      </c>
      <c r="I4459" t="str">
        <f t="shared" si="805"/>
        <v>25/03/2026</v>
      </c>
      <c r="J4459" t="str">
        <f t="shared" si="806"/>
        <v>17/03/2026</v>
      </c>
      <c r="K4459">
        <v>46106</v>
      </c>
      <c r="N4459">
        <v>303</v>
      </c>
      <c r="O4459" t="s">
        <v>102</v>
      </c>
      <c r="Q4459">
        <v>166.93</v>
      </c>
      <c r="R4459" t="str">
        <f>"FARMÁCIA INDIANA LJ 140 (10064)"</f>
        <v>FARMÁCIA INDIANA LJ 140 (10064)</v>
      </c>
      <c r="S4459" t="s">
        <v>103</v>
      </c>
      <c r="T4459">
        <v>31895</v>
      </c>
      <c r="U4459">
        <v>35185</v>
      </c>
      <c r="V4459" t="s">
        <v>37</v>
      </c>
    </row>
    <row r="4460" spans="1:22">
      <c r="A4460" t="str">
        <f t="shared" si="800"/>
        <v>25/03/2026</v>
      </c>
      <c r="B4460" t="str">
        <f t="shared" si="801"/>
        <v>ENTRADA</v>
      </c>
      <c r="C4460" t="str">
        <f t="shared" si="802"/>
        <v>NFSE</v>
      </c>
      <c r="D4460" t="str">
        <f t="shared" si="803"/>
        <v>558</v>
      </c>
      <c r="E4460" t="str">
        <f t="shared" si="799"/>
        <v>1</v>
      </c>
      <c r="F4460" t="str">
        <f t="shared" si="796"/>
        <v>COM</v>
      </c>
      <c r="G4460" t="str">
        <f t="shared" si="804"/>
        <v>FARMÁCIA INDIANA LJ 1 (10126)</v>
      </c>
      <c r="H4460" t="s">
        <v>1206</v>
      </c>
      <c r="I4460" t="str">
        <f t="shared" si="805"/>
        <v>25/03/2026</v>
      </c>
      <c r="J4460" t="str">
        <f t="shared" si="806"/>
        <v>17/03/2026</v>
      </c>
      <c r="K4460">
        <v>46106</v>
      </c>
      <c r="N4460">
        <v>303</v>
      </c>
      <c r="O4460" t="s">
        <v>102</v>
      </c>
      <c r="Q4460">
        <v>119.24</v>
      </c>
      <c r="R4460" t="str">
        <f>"FARMÁCIA INDIANA LJ 141 (10065)"</f>
        <v>FARMÁCIA INDIANA LJ 141 (10065)</v>
      </c>
      <c r="S4460" t="s">
        <v>103</v>
      </c>
      <c r="T4460">
        <v>31895</v>
      </c>
      <c r="U4460">
        <v>35185</v>
      </c>
      <c r="V4460" t="s">
        <v>37</v>
      </c>
    </row>
    <row r="4461" spans="1:22">
      <c r="A4461" t="str">
        <f t="shared" si="800"/>
        <v>25/03/2026</v>
      </c>
      <c r="B4461" t="str">
        <f t="shared" si="801"/>
        <v>ENTRADA</v>
      </c>
      <c r="C4461" t="str">
        <f t="shared" si="802"/>
        <v>NFSE</v>
      </c>
      <c r="D4461" t="str">
        <f t="shared" si="803"/>
        <v>558</v>
      </c>
      <c r="E4461" t="str">
        <f t="shared" si="799"/>
        <v>1</v>
      </c>
      <c r="F4461" t="str">
        <f t="shared" si="796"/>
        <v>COM</v>
      </c>
      <c r="G4461" t="str">
        <f t="shared" si="804"/>
        <v>FARMÁCIA INDIANA LJ 1 (10126)</v>
      </c>
      <c r="H4461" t="s">
        <v>1206</v>
      </c>
      <c r="I4461" t="str">
        <f t="shared" si="805"/>
        <v>25/03/2026</v>
      </c>
      <c r="J4461" t="str">
        <f t="shared" si="806"/>
        <v>17/03/2026</v>
      </c>
      <c r="K4461">
        <v>46106</v>
      </c>
      <c r="N4461">
        <v>303</v>
      </c>
      <c r="O4461" t="s">
        <v>102</v>
      </c>
      <c r="Q4461">
        <v>5866.4</v>
      </c>
      <c r="R4461" t="str">
        <f>"FARMÁCIA INDIANA LJ 142 (10066)"</f>
        <v>FARMÁCIA INDIANA LJ 142 (10066)</v>
      </c>
      <c r="S4461" t="s">
        <v>103</v>
      </c>
      <c r="T4461">
        <v>31895</v>
      </c>
      <c r="U4461">
        <v>35185</v>
      </c>
      <c r="V4461" t="s">
        <v>37</v>
      </c>
    </row>
    <row r="4462" spans="1:22">
      <c r="A4462" t="str">
        <f t="shared" si="800"/>
        <v>25/03/2026</v>
      </c>
      <c r="B4462" t="str">
        <f t="shared" si="801"/>
        <v>ENTRADA</v>
      </c>
      <c r="C4462" t="str">
        <f t="shared" si="802"/>
        <v>NFSE</v>
      </c>
      <c r="D4462" t="str">
        <f t="shared" si="803"/>
        <v>558</v>
      </c>
      <c r="E4462" t="str">
        <f t="shared" si="799"/>
        <v>1</v>
      </c>
      <c r="F4462" t="str">
        <f t="shared" si="796"/>
        <v>COM</v>
      </c>
      <c r="G4462" t="str">
        <f t="shared" si="804"/>
        <v>FARMÁCIA INDIANA LJ 1 (10126)</v>
      </c>
      <c r="H4462" t="s">
        <v>1206</v>
      </c>
      <c r="I4462" t="str">
        <f t="shared" si="805"/>
        <v>25/03/2026</v>
      </c>
      <c r="J4462" t="str">
        <f t="shared" si="806"/>
        <v>17/03/2026</v>
      </c>
      <c r="K4462">
        <v>46106</v>
      </c>
      <c r="N4462">
        <v>303</v>
      </c>
      <c r="O4462" t="s">
        <v>102</v>
      </c>
      <c r="Q4462">
        <v>608.1</v>
      </c>
      <c r="R4462" t="str">
        <f>"FARMÁCIA INDIANA LJ 143 (10067)"</f>
        <v>FARMÁCIA INDIANA LJ 143 (10067)</v>
      </c>
      <c r="S4462" t="s">
        <v>103</v>
      </c>
      <c r="T4462">
        <v>31895</v>
      </c>
      <c r="U4462">
        <v>35185</v>
      </c>
      <c r="V4462" t="s">
        <v>37</v>
      </c>
    </row>
    <row r="4463" spans="1:22">
      <c r="A4463" t="str">
        <f t="shared" si="800"/>
        <v>25/03/2026</v>
      </c>
      <c r="B4463" t="str">
        <f t="shared" si="801"/>
        <v>ENTRADA</v>
      </c>
      <c r="C4463" t="str">
        <f t="shared" si="802"/>
        <v>NFSE</v>
      </c>
      <c r="D4463" t="str">
        <f t="shared" si="803"/>
        <v>558</v>
      </c>
      <c r="E4463" t="str">
        <f t="shared" si="799"/>
        <v>1</v>
      </c>
      <c r="F4463" t="str">
        <f t="shared" si="796"/>
        <v>COM</v>
      </c>
      <c r="G4463" t="str">
        <f t="shared" si="804"/>
        <v>FARMÁCIA INDIANA LJ 1 (10126)</v>
      </c>
      <c r="H4463" t="s">
        <v>1206</v>
      </c>
      <c r="I4463" t="str">
        <f t="shared" si="805"/>
        <v>25/03/2026</v>
      </c>
      <c r="J4463" t="str">
        <f t="shared" si="806"/>
        <v>17/03/2026</v>
      </c>
      <c r="K4463">
        <v>46106</v>
      </c>
      <c r="N4463">
        <v>303</v>
      </c>
      <c r="O4463" t="s">
        <v>102</v>
      </c>
      <c r="Q4463">
        <v>3481.69</v>
      </c>
      <c r="R4463" t="str">
        <f>"FARMÁCIA INDIANA LJ 152 (10069)"</f>
        <v>FARMÁCIA INDIANA LJ 152 (10069)</v>
      </c>
      <c r="S4463" t="s">
        <v>103</v>
      </c>
      <c r="T4463">
        <v>31895</v>
      </c>
      <c r="U4463">
        <v>35185</v>
      </c>
      <c r="V4463" t="s">
        <v>37</v>
      </c>
    </row>
    <row r="4464" spans="1:22">
      <c r="A4464" t="str">
        <f t="shared" si="800"/>
        <v>25/03/2026</v>
      </c>
      <c r="B4464" t="str">
        <f t="shared" si="801"/>
        <v>ENTRADA</v>
      </c>
      <c r="C4464" t="str">
        <f t="shared" si="802"/>
        <v>NFSE</v>
      </c>
      <c r="D4464" t="str">
        <f t="shared" si="803"/>
        <v>558</v>
      </c>
      <c r="E4464" t="str">
        <f t="shared" si="799"/>
        <v>1</v>
      </c>
      <c r="F4464" t="str">
        <f t="shared" si="796"/>
        <v>COM</v>
      </c>
      <c r="G4464" t="str">
        <f t="shared" si="804"/>
        <v>FARMÁCIA INDIANA LJ 1 (10126)</v>
      </c>
      <c r="H4464" t="s">
        <v>1206</v>
      </c>
      <c r="I4464" t="str">
        <f t="shared" si="805"/>
        <v>25/03/2026</v>
      </c>
      <c r="J4464" t="str">
        <f t="shared" si="806"/>
        <v>17/03/2026</v>
      </c>
      <c r="K4464">
        <v>46106</v>
      </c>
      <c r="N4464">
        <v>303</v>
      </c>
      <c r="O4464" t="s">
        <v>102</v>
      </c>
      <c r="Q4464">
        <v>226.55</v>
      </c>
      <c r="R4464" t="str">
        <f>"FARMÁCIA INDIANA LJ 154 (10070)"</f>
        <v>FARMÁCIA INDIANA LJ 154 (10070)</v>
      </c>
      <c r="S4464" t="s">
        <v>103</v>
      </c>
      <c r="T4464">
        <v>31895</v>
      </c>
      <c r="U4464">
        <v>35185</v>
      </c>
      <c r="V4464" t="s">
        <v>37</v>
      </c>
    </row>
    <row r="4465" spans="1:22">
      <c r="A4465" t="str">
        <f t="shared" si="800"/>
        <v>25/03/2026</v>
      </c>
      <c r="B4465" t="str">
        <f t="shared" si="801"/>
        <v>ENTRADA</v>
      </c>
      <c r="C4465" t="str">
        <f t="shared" si="802"/>
        <v>NFSE</v>
      </c>
      <c r="D4465" t="str">
        <f t="shared" si="803"/>
        <v>558</v>
      </c>
      <c r="E4465" t="str">
        <f t="shared" ref="E4465:E4496" si="807">"1"</f>
        <v>1</v>
      </c>
      <c r="F4465" t="str">
        <f t="shared" si="796"/>
        <v>COM</v>
      </c>
      <c r="G4465" t="str">
        <f t="shared" si="804"/>
        <v>FARMÁCIA INDIANA LJ 1 (10126)</v>
      </c>
      <c r="H4465" t="s">
        <v>1206</v>
      </c>
      <c r="I4465" t="str">
        <f t="shared" si="805"/>
        <v>25/03/2026</v>
      </c>
      <c r="J4465" t="str">
        <f t="shared" si="806"/>
        <v>17/03/2026</v>
      </c>
      <c r="K4465">
        <v>46106</v>
      </c>
      <c r="N4465">
        <v>303</v>
      </c>
      <c r="O4465" t="s">
        <v>102</v>
      </c>
      <c r="Q4465">
        <v>1931.62</v>
      </c>
      <c r="R4465" t="str">
        <f>"FARMÁCIA INDIANA LJ 171 (10074)"</f>
        <v>FARMÁCIA INDIANA LJ 171 (10074)</v>
      </c>
      <c r="S4465" t="s">
        <v>103</v>
      </c>
      <c r="T4465">
        <v>31895</v>
      </c>
      <c r="U4465">
        <v>35185</v>
      </c>
      <c r="V4465" t="s">
        <v>37</v>
      </c>
    </row>
    <row r="4466" spans="1:22">
      <c r="A4466" t="str">
        <f t="shared" si="800"/>
        <v>25/03/2026</v>
      </c>
      <c r="B4466" t="str">
        <f t="shared" si="801"/>
        <v>ENTRADA</v>
      </c>
      <c r="C4466" t="str">
        <f t="shared" si="802"/>
        <v>NFSE</v>
      </c>
      <c r="D4466" t="str">
        <f t="shared" si="803"/>
        <v>558</v>
      </c>
      <c r="E4466" t="str">
        <f t="shared" si="807"/>
        <v>1</v>
      </c>
      <c r="F4466" t="str">
        <f t="shared" si="796"/>
        <v>COM</v>
      </c>
      <c r="G4466" t="str">
        <f t="shared" si="804"/>
        <v>FARMÁCIA INDIANA LJ 1 (10126)</v>
      </c>
      <c r="H4466" t="s">
        <v>1206</v>
      </c>
      <c r="I4466" t="str">
        <f t="shared" si="805"/>
        <v>25/03/2026</v>
      </c>
      <c r="J4466" t="str">
        <f t="shared" si="806"/>
        <v>17/03/2026</v>
      </c>
      <c r="K4466">
        <v>46106</v>
      </c>
      <c r="N4466">
        <v>303</v>
      </c>
      <c r="O4466" t="s">
        <v>102</v>
      </c>
      <c r="Q4466">
        <v>739.26</v>
      </c>
      <c r="R4466" t="str">
        <f>"FARMÁCIA INDIANA LJ 175 (10076)"</f>
        <v>FARMÁCIA INDIANA LJ 175 (10076)</v>
      </c>
      <c r="S4466" t="s">
        <v>103</v>
      </c>
      <c r="T4466">
        <v>31895</v>
      </c>
      <c r="U4466">
        <v>35185</v>
      </c>
      <c r="V4466" t="s">
        <v>37</v>
      </c>
    </row>
    <row r="4467" spans="1:22">
      <c r="A4467" t="str">
        <f t="shared" ref="A4467:A4498" si="808">("25/03/2026")</f>
        <v>25/03/2026</v>
      </c>
      <c r="B4467" t="str">
        <f t="shared" ref="B4467:B4498" si="809">"ENTRADA"</f>
        <v>ENTRADA</v>
      </c>
      <c r="C4467" t="str">
        <f t="shared" ref="C4467:C4498" si="810">"NFSE"</f>
        <v>NFSE</v>
      </c>
      <c r="D4467" t="str">
        <f t="shared" ref="D4467:D4485" si="811">"558"</f>
        <v>558</v>
      </c>
      <c r="E4467" t="str">
        <f t="shared" si="807"/>
        <v>1</v>
      </c>
      <c r="F4467" t="str">
        <f t="shared" si="796"/>
        <v>COM</v>
      </c>
      <c r="G4467" t="str">
        <f t="shared" ref="G4467:G4485" si="812">"FARMÁCIA INDIANA LJ 1 (10126)"</f>
        <v>FARMÁCIA INDIANA LJ 1 (10126)</v>
      </c>
      <c r="H4467" t="s">
        <v>1206</v>
      </c>
      <c r="I4467" t="str">
        <f t="shared" ref="I4467:I4498" si="813">("25/03/2026")</f>
        <v>25/03/2026</v>
      </c>
      <c r="J4467" t="str">
        <f t="shared" ref="J4467:J4498" si="814">("17/03/2026")</f>
        <v>17/03/2026</v>
      </c>
      <c r="K4467">
        <v>46106</v>
      </c>
      <c r="N4467">
        <v>303</v>
      </c>
      <c r="O4467" t="s">
        <v>102</v>
      </c>
      <c r="Q4467">
        <v>1156.5899999999999</v>
      </c>
      <c r="R4467" t="str">
        <f>"FARMÁCIA INDIANA LJ 178 (10077)"</f>
        <v>FARMÁCIA INDIANA LJ 178 (10077)</v>
      </c>
      <c r="S4467" t="s">
        <v>103</v>
      </c>
      <c r="T4467">
        <v>31895</v>
      </c>
      <c r="U4467">
        <v>35185</v>
      </c>
      <c r="V4467" t="s">
        <v>37</v>
      </c>
    </row>
    <row r="4468" spans="1:22">
      <c r="A4468" t="str">
        <f t="shared" si="808"/>
        <v>25/03/2026</v>
      </c>
      <c r="B4468" t="str">
        <f t="shared" si="809"/>
        <v>ENTRADA</v>
      </c>
      <c r="C4468" t="str">
        <f t="shared" si="810"/>
        <v>NFSE</v>
      </c>
      <c r="D4468" t="str">
        <f t="shared" si="811"/>
        <v>558</v>
      </c>
      <c r="E4468" t="str">
        <f t="shared" si="807"/>
        <v>1</v>
      </c>
      <c r="F4468" t="str">
        <f t="shared" si="796"/>
        <v>COM</v>
      </c>
      <c r="G4468" t="str">
        <f t="shared" si="812"/>
        <v>FARMÁCIA INDIANA LJ 1 (10126)</v>
      </c>
      <c r="H4468" t="s">
        <v>1206</v>
      </c>
      <c r="I4468" t="str">
        <f t="shared" si="813"/>
        <v>25/03/2026</v>
      </c>
      <c r="J4468" t="str">
        <f t="shared" si="814"/>
        <v>17/03/2026</v>
      </c>
      <c r="K4468">
        <v>46106</v>
      </c>
      <c r="N4468">
        <v>303</v>
      </c>
      <c r="O4468" t="s">
        <v>102</v>
      </c>
      <c r="Q4468">
        <v>453.1</v>
      </c>
      <c r="R4468" t="str">
        <f>"FARMÁCIA INDIANA LJ 182 (10079)"</f>
        <v>FARMÁCIA INDIANA LJ 182 (10079)</v>
      </c>
      <c r="S4468" t="s">
        <v>103</v>
      </c>
      <c r="T4468">
        <v>31895</v>
      </c>
      <c r="U4468">
        <v>35185</v>
      </c>
      <c r="V4468" t="s">
        <v>37</v>
      </c>
    </row>
    <row r="4469" spans="1:22">
      <c r="A4469" t="str">
        <f t="shared" si="808"/>
        <v>25/03/2026</v>
      </c>
      <c r="B4469" t="str">
        <f t="shared" si="809"/>
        <v>ENTRADA</v>
      </c>
      <c r="C4469" t="str">
        <f t="shared" si="810"/>
        <v>NFSE</v>
      </c>
      <c r="D4469" t="str">
        <f t="shared" si="811"/>
        <v>558</v>
      </c>
      <c r="E4469" t="str">
        <f t="shared" si="807"/>
        <v>1</v>
      </c>
      <c r="F4469" t="str">
        <f t="shared" si="796"/>
        <v>COM</v>
      </c>
      <c r="G4469" t="str">
        <f t="shared" si="812"/>
        <v>FARMÁCIA INDIANA LJ 1 (10126)</v>
      </c>
      <c r="H4469" t="s">
        <v>1206</v>
      </c>
      <c r="I4469" t="str">
        <f t="shared" si="813"/>
        <v>25/03/2026</v>
      </c>
      <c r="J4469" t="str">
        <f t="shared" si="814"/>
        <v>17/03/2026</v>
      </c>
      <c r="K4469">
        <v>46106</v>
      </c>
      <c r="N4469">
        <v>303</v>
      </c>
      <c r="O4469" t="s">
        <v>102</v>
      </c>
      <c r="Q4469">
        <v>357.71</v>
      </c>
      <c r="R4469" t="str">
        <f>"FARMÁCIA INDIANA LJ 184 (10080)"</f>
        <v>FARMÁCIA INDIANA LJ 184 (10080)</v>
      </c>
      <c r="S4469" t="s">
        <v>103</v>
      </c>
      <c r="T4469">
        <v>31895</v>
      </c>
      <c r="U4469">
        <v>35185</v>
      </c>
      <c r="V4469" t="s">
        <v>37</v>
      </c>
    </row>
    <row r="4470" spans="1:22">
      <c r="A4470" t="str">
        <f t="shared" si="808"/>
        <v>25/03/2026</v>
      </c>
      <c r="B4470" t="str">
        <f t="shared" si="809"/>
        <v>ENTRADA</v>
      </c>
      <c r="C4470" t="str">
        <f t="shared" si="810"/>
        <v>NFSE</v>
      </c>
      <c r="D4470" t="str">
        <f t="shared" si="811"/>
        <v>558</v>
      </c>
      <c r="E4470" t="str">
        <f t="shared" si="807"/>
        <v>1</v>
      </c>
      <c r="F4470" t="str">
        <f t="shared" si="796"/>
        <v>COM</v>
      </c>
      <c r="G4470" t="str">
        <f t="shared" si="812"/>
        <v>FARMÁCIA INDIANA LJ 1 (10126)</v>
      </c>
      <c r="H4470" t="s">
        <v>1206</v>
      </c>
      <c r="I4470" t="str">
        <f t="shared" si="813"/>
        <v>25/03/2026</v>
      </c>
      <c r="J4470" t="str">
        <f t="shared" si="814"/>
        <v>17/03/2026</v>
      </c>
      <c r="K4470">
        <v>46106</v>
      </c>
      <c r="N4470">
        <v>303</v>
      </c>
      <c r="O4470" t="s">
        <v>102</v>
      </c>
      <c r="Q4470">
        <v>453.1</v>
      </c>
      <c r="R4470" t="str">
        <f>"FARMÁCIA INDIANA LJ 186 (10081)"</f>
        <v>FARMÁCIA INDIANA LJ 186 (10081)</v>
      </c>
      <c r="S4470" t="s">
        <v>103</v>
      </c>
      <c r="T4470">
        <v>31895</v>
      </c>
      <c r="U4470">
        <v>35185</v>
      </c>
      <c r="V4470" t="s">
        <v>37</v>
      </c>
    </row>
    <row r="4471" spans="1:22">
      <c r="A4471" t="str">
        <f t="shared" si="808"/>
        <v>25/03/2026</v>
      </c>
      <c r="B4471" t="str">
        <f t="shared" si="809"/>
        <v>ENTRADA</v>
      </c>
      <c r="C4471" t="str">
        <f t="shared" si="810"/>
        <v>NFSE</v>
      </c>
      <c r="D4471" t="str">
        <f t="shared" si="811"/>
        <v>558</v>
      </c>
      <c r="E4471" t="str">
        <f t="shared" si="807"/>
        <v>1</v>
      </c>
      <c r="F4471" t="str">
        <f t="shared" si="796"/>
        <v>COM</v>
      </c>
      <c r="G4471" t="str">
        <f t="shared" si="812"/>
        <v>FARMÁCIA INDIANA LJ 1 (10126)</v>
      </c>
      <c r="H4471" t="s">
        <v>1206</v>
      </c>
      <c r="I4471" t="str">
        <f t="shared" si="813"/>
        <v>25/03/2026</v>
      </c>
      <c r="J4471" t="str">
        <f t="shared" si="814"/>
        <v>17/03/2026</v>
      </c>
      <c r="K4471">
        <v>46106</v>
      </c>
      <c r="N4471">
        <v>303</v>
      </c>
      <c r="O4471" t="s">
        <v>102</v>
      </c>
      <c r="Q4471">
        <v>810.8</v>
      </c>
      <c r="R4471" t="str">
        <f>"FARMÁCIA INDIANA LJ 192 (10082)"</f>
        <v>FARMÁCIA INDIANA LJ 192 (10082)</v>
      </c>
      <c r="S4471" t="s">
        <v>103</v>
      </c>
      <c r="T4471">
        <v>31895</v>
      </c>
      <c r="U4471">
        <v>35185</v>
      </c>
      <c r="V4471" t="s">
        <v>37</v>
      </c>
    </row>
    <row r="4472" spans="1:22">
      <c r="A4472" t="str">
        <f t="shared" si="808"/>
        <v>25/03/2026</v>
      </c>
      <c r="B4472" t="str">
        <f t="shared" si="809"/>
        <v>ENTRADA</v>
      </c>
      <c r="C4472" t="str">
        <f t="shared" si="810"/>
        <v>NFSE</v>
      </c>
      <c r="D4472" t="str">
        <f t="shared" si="811"/>
        <v>558</v>
      </c>
      <c r="E4472" t="str">
        <f t="shared" si="807"/>
        <v>1</v>
      </c>
      <c r="F4472" t="str">
        <f t="shared" si="796"/>
        <v>COM</v>
      </c>
      <c r="G4472" t="str">
        <f t="shared" si="812"/>
        <v>FARMÁCIA INDIANA LJ 1 (10126)</v>
      </c>
      <c r="H4472" t="s">
        <v>1206</v>
      </c>
      <c r="I4472" t="str">
        <f t="shared" si="813"/>
        <v>25/03/2026</v>
      </c>
      <c r="J4472" t="str">
        <f t="shared" si="814"/>
        <v>17/03/2026</v>
      </c>
      <c r="K4472">
        <v>46106</v>
      </c>
      <c r="N4472">
        <v>303</v>
      </c>
      <c r="O4472" t="s">
        <v>102</v>
      </c>
      <c r="Q4472">
        <v>357.71</v>
      </c>
      <c r="R4472" t="str">
        <f>"FARMÁCIA INDIANA LJ 195 (10083)"</f>
        <v>FARMÁCIA INDIANA LJ 195 (10083)</v>
      </c>
      <c r="S4472" t="s">
        <v>103</v>
      </c>
      <c r="T4472">
        <v>31895</v>
      </c>
      <c r="U4472">
        <v>35185</v>
      </c>
      <c r="V4472" t="s">
        <v>37</v>
      </c>
    </row>
    <row r="4473" spans="1:22">
      <c r="A4473" t="str">
        <f t="shared" si="808"/>
        <v>25/03/2026</v>
      </c>
      <c r="B4473" t="str">
        <f t="shared" si="809"/>
        <v>ENTRADA</v>
      </c>
      <c r="C4473" t="str">
        <f t="shared" si="810"/>
        <v>NFSE</v>
      </c>
      <c r="D4473" t="str">
        <f t="shared" si="811"/>
        <v>558</v>
      </c>
      <c r="E4473" t="str">
        <f t="shared" si="807"/>
        <v>1</v>
      </c>
      <c r="F4473" t="str">
        <f t="shared" si="796"/>
        <v>COM</v>
      </c>
      <c r="G4473" t="str">
        <f t="shared" si="812"/>
        <v>FARMÁCIA INDIANA LJ 1 (10126)</v>
      </c>
      <c r="H4473" t="s">
        <v>1206</v>
      </c>
      <c r="I4473" t="str">
        <f t="shared" si="813"/>
        <v>25/03/2026</v>
      </c>
      <c r="J4473" t="str">
        <f t="shared" si="814"/>
        <v>17/03/2026</v>
      </c>
      <c r="K4473">
        <v>46106</v>
      </c>
      <c r="N4473">
        <v>303</v>
      </c>
      <c r="O4473" t="s">
        <v>102</v>
      </c>
      <c r="Q4473">
        <v>894.27</v>
      </c>
      <c r="R4473" t="str">
        <f>"FARMÁCIA INDIANA LJ 202 (10085)"</f>
        <v>FARMÁCIA INDIANA LJ 202 (10085)</v>
      </c>
      <c r="S4473" t="s">
        <v>103</v>
      </c>
      <c r="T4473">
        <v>31895</v>
      </c>
      <c r="U4473">
        <v>35185</v>
      </c>
      <c r="V4473" t="s">
        <v>37</v>
      </c>
    </row>
    <row r="4474" spans="1:22">
      <c r="A4474" t="str">
        <f t="shared" si="808"/>
        <v>25/03/2026</v>
      </c>
      <c r="B4474" t="str">
        <f t="shared" si="809"/>
        <v>ENTRADA</v>
      </c>
      <c r="C4474" t="str">
        <f t="shared" si="810"/>
        <v>NFSE</v>
      </c>
      <c r="D4474" t="str">
        <f t="shared" si="811"/>
        <v>558</v>
      </c>
      <c r="E4474" t="str">
        <f t="shared" si="807"/>
        <v>1</v>
      </c>
      <c r="F4474" t="str">
        <f t="shared" si="796"/>
        <v>COM</v>
      </c>
      <c r="G4474" t="str">
        <f t="shared" si="812"/>
        <v>FARMÁCIA INDIANA LJ 1 (10126)</v>
      </c>
      <c r="H4474" t="s">
        <v>1206</v>
      </c>
      <c r="I4474" t="str">
        <f t="shared" si="813"/>
        <v>25/03/2026</v>
      </c>
      <c r="J4474" t="str">
        <f t="shared" si="814"/>
        <v>17/03/2026</v>
      </c>
      <c r="K4474">
        <v>46106</v>
      </c>
      <c r="N4474">
        <v>303</v>
      </c>
      <c r="O4474" t="s">
        <v>102</v>
      </c>
      <c r="Q4474">
        <v>715.42</v>
      </c>
      <c r="R4474" t="str">
        <f>"FARMÁCIA INDIANA LJ 204 (10087)"</f>
        <v>FARMÁCIA INDIANA LJ 204 (10087)</v>
      </c>
      <c r="S4474" t="s">
        <v>103</v>
      </c>
      <c r="T4474">
        <v>31895</v>
      </c>
      <c r="U4474">
        <v>35185</v>
      </c>
      <c r="V4474" t="s">
        <v>37</v>
      </c>
    </row>
    <row r="4475" spans="1:22">
      <c r="A4475" t="str">
        <f t="shared" si="808"/>
        <v>25/03/2026</v>
      </c>
      <c r="B4475" t="str">
        <f t="shared" si="809"/>
        <v>ENTRADA</v>
      </c>
      <c r="C4475" t="str">
        <f t="shared" si="810"/>
        <v>NFSE</v>
      </c>
      <c r="D4475" t="str">
        <f t="shared" si="811"/>
        <v>558</v>
      </c>
      <c r="E4475" t="str">
        <f t="shared" si="807"/>
        <v>1</v>
      </c>
      <c r="F4475" t="str">
        <f t="shared" si="796"/>
        <v>COM</v>
      </c>
      <c r="G4475" t="str">
        <f t="shared" si="812"/>
        <v>FARMÁCIA INDIANA LJ 1 (10126)</v>
      </c>
      <c r="H4475" t="s">
        <v>1206</v>
      </c>
      <c r="I4475" t="str">
        <f t="shared" si="813"/>
        <v>25/03/2026</v>
      </c>
      <c r="J4475" t="str">
        <f t="shared" si="814"/>
        <v>17/03/2026</v>
      </c>
      <c r="K4475">
        <v>46106</v>
      </c>
      <c r="N4475">
        <v>303</v>
      </c>
      <c r="O4475" t="s">
        <v>102</v>
      </c>
      <c r="Q4475">
        <v>1323.52</v>
      </c>
      <c r="R4475" t="str">
        <f>"FARMÁCIA INDIANA LJ 207 (10088)"</f>
        <v>FARMÁCIA INDIANA LJ 207 (10088)</v>
      </c>
      <c r="S4475" t="s">
        <v>103</v>
      </c>
      <c r="T4475">
        <v>31895</v>
      </c>
      <c r="U4475">
        <v>35185</v>
      </c>
      <c r="V4475" t="s">
        <v>37</v>
      </c>
    </row>
    <row r="4476" spans="1:22">
      <c r="A4476" t="str">
        <f t="shared" si="808"/>
        <v>25/03/2026</v>
      </c>
      <c r="B4476" t="str">
        <f t="shared" si="809"/>
        <v>ENTRADA</v>
      </c>
      <c r="C4476" t="str">
        <f t="shared" si="810"/>
        <v>NFSE</v>
      </c>
      <c r="D4476" t="str">
        <f t="shared" si="811"/>
        <v>558</v>
      </c>
      <c r="E4476" t="str">
        <f t="shared" si="807"/>
        <v>1</v>
      </c>
      <c r="F4476" t="str">
        <f t="shared" si="796"/>
        <v>COM</v>
      </c>
      <c r="G4476" t="str">
        <f t="shared" si="812"/>
        <v>FARMÁCIA INDIANA LJ 1 (10126)</v>
      </c>
      <c r="H4476" t="s">
        <v>1206</v>
      </c>
      <c r="I4476" t="str">
        <f t="shared" si="813"/>
        <v>25/03/2026</v>
      </c>
      <c r="J4476" t="str">
        <f t="shared" si="814"/>
        <v>17/03/2026</v>
      </c>
      <c r="K4476">
        <v>46106</v>
      </c>
      <c r="N4476">
        <v>303</v>
      </c>
      <c r="O4476" t="s">
        <v>102</v>
      </c>
      <c r="Q4476">
        <v>1132.74</v>
      </c>
      <c r="R4476" t="str">
        <f>"FARMÁCIA INDIANA LJ 209 (10089)"</f>
        <v>FARMÁCIA INDIANA LJ 209 (10089)</v>
      </c>
      <c r="S4476" t="s">
        <v>103</v>
      </c>
      <c r="T4476">
        <v>31895</v>
      </c>
      <c r="U4476">
        <v>35185</v>
      </c>
      <c r="V4476" t="s">
        <v>37</v>
      </c>
    </row>
    <row r="4477" spans="1:22">
      <c r="A4477" t="str">
        <f t="shared" si="808"/>
        <v>25/03/2026</v>
      </c>
      <c r="B4477" t="str">
        <f t="shared" si="809"/>
        <v>ENTRADA</v>
      </c>
      <c r="C4477" t="str">
        <f t="shared" si="810"/>
        <v>NFSE</v>
      </c>
      <c r="D4477" t="str">
        <f t="shared" si="811"/>
        <v>558</v>
      </c>
      <c r="E4477" t="str">
        <f t="shared" si="807"/>
        <v>1</v>
      </c>
      <c r="F4477" t="str">
        <f t="shared" si="796"/>
        <v>COM</v>
      </c>
      <c r="G4477" t="str">
        <f t="shared" si="812"/>
        <v>FARMÁCIA INDIANA LJ 1 (10126)</v>
      </c>
      <c r="H4477" t="s">
        <v>1206</v>
      </c>
      <c r="I4477" t="str">
        <f t="shared" si="813"/>
        <v>25/03/2026</v>
      </c>
      <c r="J4477" t="str">
        <f t="shared" si="814"/>
        <v>17/03/2026</v>
      </c>
      <c r="K4477">
        <v>46106</v>
      </c>
      <c r="N4477">
        <v>303</v>
      </c>
      <c r="O4477" t="s">
        <v>102</v>
      </c>
      <c r="Q4477">
        <v>2015.09</v>
      </c>
      <c r="R4477" t="str">
        <f>"FARMÁCIA INDIANA LJ 219 (10091)"</f>
        <v>FARMÁCIA INDIANA LJ 219 (10091)</v>
      </c>
      <c r="S4477" t="s">
        <v>103</v>
      </c>
      <c r="T4477">
        <v>31895</v>
      </c>
      <c r="U4477">
        <v>35185</v>
      </c>
      <c r="V4477" t="s">
        <v>37</v>
      </c>
    </row>
    <row r="4478" spans="1:22">
      <c r="A4478" t="str">
        <f t="shared" si="808"/>
        <v>25/03/2026</v>
      </c>
      <c r="B4478" t="str">
        <f t="shared" si="809"/>
        <v>ENTRADA</v>
      </c>
      <c r="C4478" t="str">
        <f t="shared" si="810"/>
        <v>NFSE</v>
      </c>
      <c r="D4478" t="str">
        <f t="shared" si="811"/>
        <v>558</v>
      </c>
      <c r="E4478" t="str">
        <f t="shared" si="807"/>
        <v>1</v>
      </c>
      <c r="F4478" t="str">
        <f t="shared" si="796"/>
        <v>COM</v>
      </c>
      <c r="G4478" t="str">
        <f t="shared" si="812"/>
        <v>FARMÁCIA INDIANA LJ 1 (10126)</v>
      </c>
      <c r="H4478" t="s">
        <v>1206</v>
      </c>
      <c r="I4478" t="str">
        <f t="shared" si="813"/>
        <v>25/03/2026</v>
      </c>
      <c r="J4478" t="str">
        <f t="shared" si="814"/>
        <v>17/03/2026</v>
      </c>
      <c r="K4478">
        <v>46106</v>
      </c>
      <c r="N4478">
        <v>303</v>
      </c>
      <c r="O4478" t="s">
        <v>102</v>
      </c>
      <c r="Q4478">
        <v>3290.91</v>
      </c>
      <c r="R4478" t="str">
        <f>"FARMÁCIA INDIANA LJ 220 (10092)"</f>
        <v>FARMÁCIA INDIANA LJ 220 (10092)</v>
      </c>
      <c r="S4478" t="s">
        <v>103</v>
      </c>
      <c r="T4478">
        <v>31895</v>
      </c>
      <c r="U4478">
        <v>35185</v>
      </c>
      <c r="V4478" t="s">
        <v>37</v>
      </c>
    </row>
    <row r="4479" spans="1:22">
      <c r="A4479" t="str">
        <f t="shared" si="808"/>
        <v>25/03/2026</v>
      </c>
      <c r="B4479" t="str">
        <f t="shared" si="809"/>
        <v>ENTRADA</v>
      </c>
      <c r="C4479" t="str">
        <f t="shared" si="810"/>
        <v>NFSE</v>
      </c>
      <c r="D4479" t="str">
        <f t="shared" si="811"/>
        <v>558</v>
      </c>
      <c r="E4479" t="str">
        <f t="shared" si="807"/>
        <v>1</v>
      </c>
      <c r="F4479" t="str">
        <f t="shared" si="796"/>
        <v>COM</v>
      </c>
      <c r="G4479" t="str">
        <f t="shared" si="812"/>
        <v>FARMÁCIA INDIANA LJ 1 (10126)</v>
      </c>
      <c r="H4479" t="s">
        <v>1206</v>
      </c>
      <c r="I4479" t="str">
        <f t="shared" si="813"/>
        <v>25/03/2026</v>
      </c>
      <c r="J4479" t="str">
        <f t="shared" si="814"/>
        <v>17/03/2026</v>
      </c>
      <c r="K4479">
        <v>46106</v>
      </c>
      <c r="N4479">
        <v>303</v>
      </c>
      <c r="O4479" t="s">
        <v>102</v>
      </c>
      <c r="Q4479">
        <v>1037.3499999999999</v>
      </c>
      <c r="R4479" t="str">
        <f>"FARMÁCIA INDIANA LJ 185 (10141)"</f>
        <v>FARMÁCIA INDIANA LJ 185 (10141)</v>
      </c>
      <c r="S4479" t="s">
        <v>103</v>
      </c>
      <c r="T4479">
        <v>31895</v>
      </c>
      <c r="U4479">
        <v>35185</v>
      </c>
      <c r="V4479" t="s">
        <v>37</v>
      </c>
    </row>
    <row r="4480" spans="1:22">
      <c r="A4480" t="str">
        <f t="shared" si="808"/>
        <v>25/03/2026</v>
      </c>
      <c r="B4480" t="str">
        <f t="shared" si="809"/>
        <v>ENTRADA</v>
      </c>
      <c r="C4480" t="str">
        <f t="shared" si="810"/>
        <v>NFSE</v>
      </c>
      <c r="D4480" t="str">
        <f t="shared" si="811"/>
        <v>558</v>
      </c>
      <c r="E4480" t="str">
        <f t="shared" si="807"/>
        <v>1</v>
      </c>
      <c r="F4480" t="str">
        <f t="shared" si="796"/>
        <v>COM</v>
      </c>
      <c r="G4480" t="str">
        <f t="shared" si="812"/>
        <v>FARMÁCIA INDIANA LJ 1 (10126)</v>
      </c>
      <c r="H4480" t="s">
        <v>1206</v>
      </c>
      <c r="I4480" t="str">
        <f t="shared" si="813"/>
        <v>25/03/2026</v>
      </c>
      <c r="J4480" t="str">
        <f t="shared" si="814"/>
        <v>17/03/2026</v>
      </c>
      <c r="K4480">
        <v>46106</v>
      </c>
      <c r="N4480">
        <v>303</v>
      </c>
      <c r="O4480" t="s">
        <v>102</v>
      </c>
      <c r="Q4480">
        <v>965.81</v>
      </c>
      <c r="R4480" t="str">
        <f>"FARMÁCIA INDIANA LJ 205 (10150)"</f>
        <v>FARMÁCIA INDIANA LJ 205 (10150)</v>
      </c>
      <c r="S4480" t="s">
        <v>103</v>
      </c>
      <c r="T4480">
        <v>31895</v>
      </c>
      <c r="U4480">
        <v>35185</v>
      </c>
      <c r="V4480" t="s">
        <v>37</v>
      </c>
    </row>
    <row r="4481" spans="1:22">
      <c r="A4481" t="str">
        <f t="shared" si="808"/>
        <v>25/03/2026</v>
      </c>
      <c r="B4481" t="str">
        <f t="shared" si="809"/>
        <v>ENTRADA</v>
      </c>
      <c r="C4481" t="str">
        <f t="shared" si="810"/>
        <v>NFSE</v>
      </c>
      <c r="D4481" t="str">
        <f t="shared" si="811"/>
        <v>558</v>
      </c>
      <c r="E4481" t="str">
        <f t="shared" si="807"/>
        <v>1</v>
      </c>
      <c r="F4481" t="str">
        <f t="shared" si="796"/>
        <v>COM</v>
      </c>
      <c r="G4481" t="str">
        <f t="shared" si="812"/>
        <v>FARMÁCIA INDIANA LJ 1 (10126)</v>
      </c>
      <c r="H4481" t="s">
        <v>1206</v>
      </c>
      <c r="I4481" t="str">
        <f t="shared" si="813"/>
        <v>25/03/2026</v>
      </c>
      <c r="J4481" t="str">
        <f t="shared" si="814"/>
        <v>17/03/2026</v>
      </c>
      <c r="K4481">
        <v>46106</v>
      </c>
      <c r="N4481">
        <v>303</v>
      </c>
      <c r="O4481" t="s">
        <v>102</v>
      </c>
      <c r="Q4481">
        <v>6009.49</v>
      </c>
      <c r="R4481" t="str">
        <f>"FARMÁCIA INDIANA LJ 172 (10161)"</f>
        <v>FARMÁCIA INDIANA LJ 172 (10161)</v>
      </c>
      <c r="S4481" t="s">
        <v>103</v>
      </c>
      <c r="T4481">
        <v>31895</v>
      </c>
      <c r="U4481">
        <v>35185</v>
      </c>
      <c r="V4481" t="s">
        <v>37</v>
      </c>
    </row>
    <row r="4482" spans="1:22">
      <c r="A4482" t="str">
        <f t="shared" si="808"/>
        <v>25/03/2026</v>
      </c>
      <c r="B4482" t="str">
        <f t="shared" si="809"/>
        <v>ENTRADA</v>
      </c>
      <c r="C4482" t="str">
        <f t="shared" si="810"/>
        <v>NFSE</v>
      </c>
      <c r="D4482" t="str">
        <f t="shared" si="811"/>
        <v>558</v>
      </c>
      <c r="E4482" t="str">
        <f t="shared" si="807"/>
        <v>1</v>
      </c>
      <c r="F4482" t="str">
        <f t="shared" ref="F4482:F4545" si="815">"COM"</f>
        <v>COM</v>
      </c>
      <c r="G4482" t="str">
        <f t="shared" si="812"/>
        <v>FARMÁCIA INDIANA LJ 1 (10126)</v>
      </c>
      <c r="H4482" t="s">
        <v>1206</v>
      </c>
      <c r="I4482" t="str">
        <f t="shared" si="813"/>
        <v>25/03/2026</v>
      </c>
      <c r="J4482" t="str">
        <f t="shared" si="814"/>
        <v>17/03/2026</v>
      </c>
      <c r="K4482">
        <v>46106</v>
      </c>
      <c r="N4482">
        <v>303</v>
      </c>
      <c r="O4482" t="s">
        <v>102</v>
      </c>
      <c r="Q4482">
        <v>715.42</v>
      </c>
      <c r="R4482" t="str">
        <f>"FARMÁCIA INDIANA LJ 266 (10186)"</f>
        <v>FARMÁCIA INDIANA LJ 266 (10186)</v>
      </c>
      <c r="S4482" t="s">
        <v>103</v>
      </c>
      <c r="T4482">
        <v>31895</v>
      </c>
      <c r="U4482">
        <v>35185</v>
      </c>
      <c r="V4482" t="s">
        <v>37</v>
      </c>
    </row>
    <row r="4483" spans="1:22">
      <c r="A4483" t="str">
        <f t="shared" si="808"/>
        <v>25/03/2026</v>
      </c>
      <c r="B4483" t="str">
        <f t="shared" si="809"/>
        <v>ENTRADA</v>
      </c>
      <c r="C4483" t="str">
        <f t="shared" si="810"/>
        <v>NFSE</v>
      </c>
      <c r="D4483" t="str">
        <f t="shared" si="811"/>
        <v>558</v>
      </c>
      <c r="E4483" t="str">
        <f t="shared" si="807"/>
        <v>1</v>
      </c>
      <c r="F4483" t="str">
        <f t="shared" si="815"/>
        <v>COM</v>
      </c>
      <c r="G4483" t="str">
        <f t="shared" si="812"/>
        <v>FARMÁCIA INDIANA LJ 1 (10126)</v>
      </c>
      <c r="H4483" t="s">
        <v>1206</v>
      </c>
      <c r="I4483" t="str">
        <f t="shared" si="813"/>
        <v>25/03/2026</v>
      </c>
      <c r="J4483" t="str">
        <f t="shared" si="814"/>
        <v>17/03/2026</v>
      </c>
      <c r="K4483">
        <v>46106</v>
      </c>
      <c r="N4483">
        <v>303</v>
      </c>
      <c r="O4483" t="s">
        <v>102</v>
      </c>
      <c r="Q4483">
        <v>47.69</v>
      </c>
      <c r="R4483" t="str">
        <f>"FARMÁCIA INDIANA LJ 257 (10267)"</f>
        <v>FARMÁCIA INDIANA LJ 257 (10267)</v>
      </c>
      <c r="S4483" t="s">
        <v>103</v>
      </c>
      <c r="T4483">
        <v>31895</v>
      </c>
      <c r="U4483">
        <v>35185</v>
      </c>
      <c r="V4483" t="s">
        <v>37</v>
      </c>
    </row>
    <row r="4484" spans="1:22">
      <c r="A4484" t="str">
        <f t="shared" si="808"/>
        <v>25/03/2026</v>
      </c>
      <c r="B4484" t="str">
        <f t="shared" si="809"/>
        <v>ENTRADA</v>
      </c>
      <c r="C4484" t="str">
        <f t="shared" si="810"/>
        <v>NFSE</v>
      </c>
      <c r="D4484" t="str">
        <f t="shared" si="811"/>
        <v>558</v>
      </c>
      <c r="E4484" t="str">
        <f t="shared" si="807"/>
        <v>1</v>
      </c>
      <c r="F4484" t="str">
        <f t="shared" si="815"/>
        <v>COM</v>
      </c>
      <c r="G4484" t="str">
        <f t="shared" si="812"/>
        <v>FARMÁCIA INDIANA LJ 1 (10126)</v>
      </c>
      <c r="H4484" t="s">
        <v>1206</v>
      </c>
      <c r="I4484" t="str">
        <f t="shared" si="813"/>
        <v>25/03/2026</v>
      </c>
      <c r="J4484" t="str">
        <f t="shared" si="814"/>
        <v>17/03/2026</v>
      </c>
      <c r="K4484">
        <v>46106</v>
      </c>
      <c r="N4484">
        <v>303</v>
      </c>
      <c r="O4484" t="s">
        <v>102</v>
      </c>
      <c r="Q4484">
        <v>1085.05</v>
      </c>
      <c r="R4484" t="str">
        <f>"FARMÁCIA INDIANA LJ 134 (10271)"</f>
        <v>FARMÁCIA INDIANA LJ 134 (10271)</v>
      </c>
      <c r="S4484" t="s">
        <v>103</v>
      </c>
      <c r="T4484">
        <v>31895</v>
      </c>
      <c r="U4484">
        <v>35185</v>
      </c>
      <c r="V4484" t="s">
        <v>37</v>
      </c>
    </row>
    <row r="4485" spans="1:22">
      <c r="A4485" t="str">
        <f t="shared" si="808"/>
        <v>25/03/2026</v>
      </c>
      <c r="B4485" t="str">
        <f t="shared" si="809"/>
        <v>ENTRADA</v>
      </c>
      <c r="C4485" t="str">
        <f t="shared" si="810"/>
        <v>NFSE</v>
      </c>
      <c r="D4485" t="str">
        <f t="shared" si="811"/>
        <v>558</v>
      </c>
      <c r="E4485" t="str">
        <f t="shared" si="807"/>
        <v>1</v>
      </c>
      <c r="F4485" t="str">
        <f t="shared" si="815"/>
        <v>COM</v>
      </c>
      <c r="G4485" t="str">
        <f t="shared" si="812"/>
        <v>FARMÁCIA INDIANA LJ 1 (10126)</v>
      </c>
      <c r="H4485" t="s">
        <v>1206</v>
      </c>
      <c r="I4485" t="str">
        <f t="shared" si="813"/>
        <v>25/03/2026</v>
      </c>
      <c r="J4485" t="str">
        <f t="shared" si="814"/>
        <v>17/03/2026</v>
      </c>
      <c r="K4485">
        <v>46106</v>
      </c>
      <c r="N4485">
        <v>303</v>
      </c>
      <c r="O4485" t="s">
        <v>102</v>
      </c>
      <c r="Q4485">
        <v>751.19</v>
      </c>
      <c r="R4485" t="str">
        <f>"FARMÁCIA INDIANA LJ 284 (10280)"</f>
        <v>FARMÁCIA INDIANA LJ 284 (10280)</v>
      </c>
      <c r="S4485" t="s">
        <v>103</v>
      </c>
      <c r="T4485">
        <v>31895</v>
      </c>
      <c r="U4485">
        <v>35185</v>
      </c>
      <c r="V4485" t="s">
        <v>37</v>
      </c>
    </row>
    <row r="4486" spans="1:22">
      <c r="A4486" t="str">
        <f t="shared" si="808"/>
        <v>25/03/2026</v>
      </c>
      <c r="B4486" t="str">
        <f t="shared" si="809"/>
        <v>ENTRADA</v>
      </c>
      <c r="C4486" t="str">
        <f t="shared" si="810"/>
        <v>NFSE</v>
      </c>
      <c r="D4486" t="str">
        <f t="shared" ref="D4486:D4503" si="816">"556"</f>
        <v>556</v>
      </c>
      <c r="E4486" t="str">
        <f t="shared" si="807"/>
        <v>1</v>
      </c>
      <c r="F4486" t="str">
        <f t="shared" si="815"/>
        <v>COM</v>
      </c>
      <c r="G4486" t="str">
        <f t="shared" ref="G4486:G4503" si="817">"FARMÁCIA INDIANA LJ 30 (10127)"</f>
        <v>FARMÁCIA INDIANA LJ 30 (10127)</v>
      </c>
      <c r="H4486" t="str">
        <f>"Serv.Prest. 09/03/2026 a 15/03/2026 - RPS: 2484 - NFSe: 556"</f>
        <v>Serv.Prest. 09/03/2026 a 15/03/2026 - RPS: 2484 - NFSe: 556</v>
      </c>
      <c r="I4486" t="str">
        <f t="shared" si="813"/>
        <v>25/03/2026</v>
      </c>
      <c r="J4486" t="str">
        <f t="shared" si="814"/>
        <v>17/03/2026</v>
      </c>
      <c r="K4486" t="str">
        <f>("25/03/2026")</f>
        <v>25/03/2026</v>
      </c>
      <c r="L4486">
        <v>29682.78</v>
      </c>
      <c r="M4486">
        <v>29682.78</v>
      </c>
      <c r="N4486">
        <v>303</v>
      </c>
      <c r="O4486" t="str">
        <f>"RECEITAS COM ENTREGAS"</f>
        <v>RECEITAS COM ENTREGAS</v>
      </c>
      <c r="P4486">
        <v>29682.78</v>
      </c>
      <c r="S4486" t="str">
        <f>"RECEITAS COM ENTREGAS (303)"</f>
        <v>RECEITAS COM ENTREGAS (303)</v>
      </c>
      <c r="T4486">
        <v>31896</v>
      </c>
      <c r="U4486">
        <v>35145</v>
      </c>
      <c r="V4486" t="s">
        <v>37</v>
      </c>
    </row>
    <row r="4487" spans="1:22">
      <c r="A4487" t="str">
        <f t="shared" si="808"/>
        <v>25/03/2026</v>
      </c>
      <c r="B4487" t="str">
        <f t="shared" si="809"/>
        <v>ENTRADA</v>
      </c>
      <c r="C4487" t="str">
        <f t="shared" si="810"/>
        <v>NFSE</v>
      </c>
      <c r="D4487" t="str">
        <f t="shared" si="816"/>
        <v>556</v>
      </c>
      <c r="E4487" t="str">
        <f t="shared" si="807"/>
        <v>1</v>
      </c>
      <c r="F4487" t="str">
        <f t="shared" si="815"/>
        <v>COM</v>
      </c>
      <c r="G4487" t="str">
        <f t="shared" si="817"/>
        <v>FARMÁCIA INDIANA LJ 30 (10127)</v>
      </c>
      <c r="H4487" t="s">
        <v>1207</v>
      </c>
      <c r="I4487" t="str">
        <f t="shared" si="813"/>
        <v>25/03/2026</v>
      </c>
      <c r="J4487" t="str">
        <f t="shared" si="814"/>
        <v>17/03/2026</v>
      </c>
      <c r="K4487">
        <v>46106</v>
      </c>
      <c r="N4487">
        <v>303</v>
      </c>
      <c r="O4487" t="s">
        <v>102</v>
      </c>
      <c r="Q4487">
        <v>3092.94</v>
      </c>
      <c r="R4487" t="str">
        <f>"FARMÁCIA INDIANA LJ 34 (10014)"</f>
        <v>FARMÁCIA INDIANA LJ 34 (10014)</v>
      </c>
      <c r="S4487" t="s">
        <v>103</v>
      </c>
      <c r="T4487">
        <v>31896</v>
      </c>
      <c r="U4487">
        <v>35145</v>
      </c>
      <c r="V4487" t="s">
        <v>37</v>
      </c>
    </row>
    <row r="4488" spans="1:22">
      <c r="A4488" t="str">
        <f t="shared" si="808"/>
        <v>25/03/2026</v>
      </c>
      <c r="B4488" t="str">
        <f t="shared" si="809"/>
        <v>ENTRADA</v>
      </c>
      <c r="C4488" t="str">
        <f t="shared" si="810"/>
        <v>NFSE</v>
      </c>
      <c r="D4488" t="str">
        <f t="shared" si="816"/>
        <v>556</v>
      </c>
      <c r="E4488" t="str">
        <f t="shared" si="807"/>
        <v>1</v>
      </c>
      <c r="F4488" t="str">
        <f t="shared" si="815"/>
        <v>COM</v>
      </c>
      <c r="G4488" t="str">
        <f t="shared" si="817"/>
        <v>FARMÁCIA INDIANA LJ 30 (10127)</v>
      </c>
      <c r="H4488" t="s">
        <v>1207</v>
      </c>
      <c r="I4488" t="str">
        <f t="shared" si="813"/>
        <v>25/03/2026</v>
      </c>
      <c r="J4488" t="str">
        <f t="shared" si="814"/>
        <v>17/03/2026</v>
      </c>
      <c r="K4488">
        <v>46106</v>
      </c>
      <c r="N4488">
        <v>303</v>
      </c>
      <c r="O4488" t="s">
        <v>102</v>
      </c>
      <c r="Q4488">
        <v>1510.85</v>
      </c>
      <c r="R4488" t="str">
        <f>"FARMÁCIA INDIANA LJ 35 (10015)"</f>
        <v>FARMÁCIA INDIANA LJ 35 (10015)</v>
      </c>
      <c r="S4488" t="s">
        <v>103</v>
      </c>
      <c r="T4488">
        <v>31896</v>
      </c>
      <c r="U4488">
        <v>35145</v>
      </c>
      <c r="V4488" t="s">
        <v>37</v>
      </c>
    </row>
    <row r="4489" spans="1:22">
      <c r="A4489" t="str">
        <f t="shared" si="808"/>
        <v>25/03/2026</v>
      </c>
      <c r="B4489" t="str">
        <f t="shared" si="809"/>
        <v>ENTRADA</v>
      </c>
      <c r="C4489" t="str">
        <f t="shared" si="810"/>
        <v>NFSE</v>
      </c>
      <c r="D4489" t="str">
        <f t="shared" si="816"/>
        <v>556</v>
      </c>
      <c r="E4489" t="str">
        <f t="shared" si="807"/>
        <v>1</v>
      </c>
      <c r="F4489" t="str">
        <f t="shared" si="815"/>
        <v>COM</v>
      </c>
      <c r="G4489" t="str">
        <f t="shared" si="817"/>
        <v>FARMÁCIA INDIANA LJ 30 (10127)</v>
      </c>
      <c r="H4489" t="s">
        <v>1207</v>
      </c>
      <c r="I4489" t="str">
        <f t="shared" si="813"/>
        <v>25/03/2026</v>
      </c>
      <c r="J4489" t="str">
        <f t="shared" si="814"/>
        <v>17/03/2026</v>
      </c>
      <c r="K4489">
        <v>46106</v>
      </c>
      <c r="N4489">
        <v>303</v>
      </c>
      <c r="O4489" t="s">
        <v>102</v>
      </c>
      <c r="Q4489">
        <v>2623.96</v>
      </c>
      <c r="R4489" t="str">
        <f>"FARMÁCIA INDIANA LJ 48 (10018)"</f>
        <v>FARMÁCIA INDIANA LJ 48 (10018)</v>
      </c>
      <c r="S4489" t="s">
        <v>103</v>
      </c>
      <c r="T4489">
        <v>31896</v>
      </c>
      <c r="U4489">
        <v>35145</v>
      </c>
      <c r="V4489" t="s">
        <v>37</v>
      </c>
    </row>
    <row r="4490" spans="1:22">
      <c r="A4490" t="str">
        <f t="shared" si="808"/>
        <v>25/03/2026</v>
      </c>
      <c r="B4490" t="str">
        <f t="shared" si="809"/>
        <v>ENTRADA</v>
      </c>
      <c r="C4490" t="str">
        <f t="shared" si="810"/>
        <v>NFSE</v>
      </c>
      <c r="D4490" t="str">
        <f t="shared" si="816"/>
        <v>556</v>
      </c>
      <c r="E4490" t="str">
        <f t="shared" si="807"/>
        <v>1</v>
      </c>
      <c r="F4490" t="str">
        <f t="shared" si="815"/>
        <v>COM</v>
      </c>
      <c r="G4490" t="str">
        <f t="shared" si="817"/>
        <v>FARMÁCIA INDIANA LJ 30 (10127)</v>
      </c>
      <c r="H4490" t="s">
        <v>1207</v>
      </c>
      <c r="I4490" t="str">
        <f t="shared" si="813"/>
        <v>25/03/2026</v>
      </c>
      <c r="J4490" t="str">
        <f t="shared" si="814"/>
        <v>17/03/2026</v>
      </c>
      <c r="K4490">
        <v>46106</v>
      </c>
      <c r="N4490">
        <v>303</v>
      </c>
      <c r="O4490" t="s">
        <v>102</v>
      </c>
      <c r="Q4490">
        <v>3140.44</v>
      </c>
      <c r="R4490" t="str">
        <f>"FARMÁCIA INDIANA LJ 65 (10030)"</f>
        <v>FARMÁCIA INDIANA LJ 65 (10030)</v>
      </c>
      <c r="S4490" t="s">
        <v>103</v>
      </c>
      <c r="T4490">
        <v>31896</v>
      </c>
      <c r="U4490">
        <v>35145</v>
      </c>
      <c r="V4490" t="s">
        <v>37</v>
      </c>
    </row>
    <row r="4491" spans="1:22">
      <c r="A4491" t="str">
        <f t="shared" si="808"/>
        <v>25/03/2026</v>
      </c>
      <c r="B4491" t="str">
        <f t="shared" si="809"/>
        <v>ENTRADA</v>
      </c>
      <c r="C4491" t="str">
        <f t="shared" si="810"/>
        <v>NFSE</v>
      </c>
      <c r="D4491" t="str">
        <f t="shared" si="816"/>
        <v>556</v>
      </c>
      <c r="E4491" t="str">
        <f t="shared" si="807"/>
        <v>1</v>
      </c>
      <c r="F4491" t="str">
        <f t="shared" si="815"/>
        <v>COM</v>
      </c>
      <c r="G4491" t="str">
        <f t="shared" si="817"/>
        <v>FARMÁCIA INDIANA LJ 30 (10127)</v>
      </c>
      <c r="H4491" t="s">
        <v>1207</v>
      </c>
      <c r="I4491" t="str">
        <f t="shared" si="813"/>
        <v>25/03/2026</v>
      </c>
      <c r="J4491" t="str">
        <f t="shared" si="814"/>
        <v>17/03/2026</v>
      </c>
      <c r="K4491">
        <v>46106</v>
      </c>
      <c r="N4491">
        <v>303</v>
      </c>
      <c r="O4491" t="s">
        <v>102</v>
      </c>
      <c r="Q4491">
        <v>771.75</v>
      </c>
      <c r="R4491" t="str">
        <f>"FARMÁCIA INDIANA LJ 77 (10034)"</f>
        <v>FARMÁCIA INDIANA LJ 77 (10034)</v>
      </c>
      <c r="S4491" t="s">
        <v>103</v>
      </c>
      <c r="T4491">
        <v>31896</v>
      </c>
      <c r="U4491">
        <v>35145</v>
      </c>
      <c r="V4491" t="s">
        <v>37</v>
      </c>
    </row>
    <row r="4492" spans="1:22">
      <c r="A4492" t="str">
        <f t="shared" si="808"/>
        <v>25/03/2026</v>
      </c>
      <c r="B4492" t="str">
        <f t="shared" si="809"/>
        <v>ENTRADA</v>
      </c>
      <c r="C4492" t="str">
        <f t="shared" si="810"/>
        <v>NFSE</v>
      </c>
      <c r="D4492" t="str">
        <f t="shared" si="816"/>
        <v>556</v>
      </c>
      <c r="E4492" t="str">
        <f t="shared" si="807"/>
        <v>1</v>
      </c>
      <c r="F4492" t="str">
        <f t="shared" si="815"/>
        <v>COM</v>
      </c>
      <c r="G4492" t="str">
        <f t="shared" si="817"/>
        <v>FARMÁCIA INDIANA LJ 30 (10127)</v>
      </c>
      <c r="H4492" t="s">
        <v>1207</v>
      </c>
      <c r="I4492" t="str">
        <f t="shared" si="813"/>
        <v>25/03/2026</v>
      </c>
      <c r="J4492" t="str">
        <f t="shared" si="814"/>
        <v>17/03/2026</v>
      </c>
      <c r="K4492">
        <v>46106</v>
      </c>
      <c r="N4492">
        <v>303</v>
      </c>
      <c r="O4492" t="s">
        <v>102</v>
      </c>
      <c r="Q4492">
        <v>5105.4399999999996</v>
      </c>
      <c r="R4492" t="str">
        <f>"FARMÁCIA INDIANA LJ 91 (10037)"</f>
        <v>FARMÁCIA INDIANA LJ 91 (10037)</v>
      </c>
      <c r="S4492" t="s">
        <v>103</v>
      </c>
      <c r="T4492">
        <v>31896</v>
      </c>
      <c r="U4492">
        <v>35145</v>
      </c>
      <c r="V4492" t="s">
        <v>37</v>
      </c>
    </row>
    <row r="4493" spans="1:22">
      <c r="A4493" t="str">
        <f t="shared" si="808"/>
        <v>25/03/2026</v>
      </c>
      <c r="B4493" t="str">
        <f t="shared" si="809"/>
        <v>ENTRADA</v>
      </c>
      <c r="C4493" t="str">
        <f t="shared" si="810"/>
        <v>NFSE</v>
      </c>
      <c r="D4493" t="str">
        <f t="shared" si="816"/>
        <v>556</v>
      </c>
      <c r="E4493" t="str">
        <f t="shared" si="807"/>
        <v>1</v>
      </c>
      <c r="F4493" t="str">
        <f t="shared" si="815"/>
        <v>COM</v>
      </c>
      <c r="G4493" t="str">
        <f t="shared" si="817"/>
        <v>FARMÁCIA INDIANA LJ 30 (10127)</v>
      </c>
      <c r="H4493" t="s">
        <v>1207</v>
      </c>
      <c r="I4493" t="str">
        <f t="shared" si="813"/>
        <v>25/03/2026</v>
      </c>
      <c r="J4493" t="str">
        <f t="shared" si="814"/>
        <v>17/03/2026</v>
      </c>
      <c r="K4493">
        <v>46106</v>
      </c>
      <c r="N4493">
        <v>303</v>
      </c>
      <c r="O4493" t="s">
        <v>102</v>
      </c>
      <c r="Q4493">
        <v>2523.04</v>
      </c>
      <c r="R4493" t="str">
        <f>"FARMÁCIA INDIANA LJ 95 (10039)"</f>
        <v>FARMÁCIA INDIANA LJ 95 (10039)</v>
      </c>
      <c r="S4493" t="s">
        <v>103</v>
      </c>
      <c r="T4493">
        <v>31896</v>
      </c>
      <c r="U4493">
        <v>35145</v>
      </c>
      <c r="V4493" t="s">
        <v>37</v>
      </c>
    </row>
    <row r="4494" spans="1:22">
      <c r="A4494" t="str">
        <f t="shared" si="808"/>
        <v>25/03/2026</v>
      </c>
      <c r="B4494" t="str">
        <f t="shared" si="809"/>
        <v>ENTRADA</v>
      </c>
      <c r="C4494" t="str">
        <f t="shared" si="810"/>
        <v>NFSE</v>
      </c>
      <c r="D4494" t="str">
        <f t="shared" si="816"/>
        <v>556</v>
      </c>
      <c r="E4494" t="str">
        <f t="shared" si="807"/>
        <v>1</v>
      </c>
      <c r="F4494" t="str">
        <f t="shared" si="815"/>
        <v>COM</v>
      </c>
      <c r="G4494" t="str">
        <f t="shared" si="817"/>
        <v>FARMÁCIA INDIANA LJ 30 (10127)</v>
      </c>
      <c r="H4494" t="s">
        <v>1207</v>
      </c>
      <c r="I4494" t="str">
        <f t="shared" si="813"/>
        <v>25/03/2026</v>
      </c>
      <c r="J4494" t="str">
        <f t="shared" si="814"/>
        <v>17/03/2026</v>
      </c>
      <c r="K4494">
        <v>46106</v>
      </c>
      <c r="N4494">
        <v>303</v>
      </c>
      <c r="O4494" t="s">
        <v>102</v>
      </c>
      <c r="Q4494">
        <v>1273.3900000000001</v>
      </c>
      <c r="R4494" t="str">
        <f>"FARMÁCIA INDIANA LJ 145 (10068)"</f>
        <v>FARMÁCIA INDIANA LJ 145 (10068)</v>
      </c>
      <c r="S4494" t="s">
        <v>103</v>
      </c>
      <c r="T4494">
        <v>31896</v>
      </c>
      <c r="U4494">
        <v>35145</v>
      </c>
      <c r="V4494" t="s">
        <v>37</v>
      </c>
    </row>
    <row r="4495" spans="1:22">
      <c r="A4495" t="str">
        <f t="shared" si="808"/>
        <v>25/03/2026</v>
      </c>
      <c r="B4495" t="str">
        <f t="shared" si="809"/>
        <v>ENTRADA</v>
      </c>
      <c r="C4495" t="str">
        <f t="shared" si="810"/>
        <v>NFSE</v>
      </c>
      <c r="D4495" t="str">
        <f t="shared" si="816"/>
        <v>556</v>
      </c>
      <c r="E4495" t="str">
        <f t="shared" si="807"/>
        <v>1</v>
      </c>
      <c r="F4495" t="str">
        <f t="shared" si="815"/>
        <v>COM</v>
      </c>
      <c r="G4495" t="str">
        <f t="shared" si="817"/>
        <v>FARMÁCIA INDIANA LJ 30 (10127)</v>
      </c>
      <c r="H4495" t="s">
        <v>1207</v>
      </c>
      <c r="I4495" t="str">
        <f t="shared" si="813"/>
        <v>25/03/2026</v>
      </c>
      <c r="J4495" t="str">
        <f t="shared" si="814"/>
        <v>17/03/2026</v>
      </c>
      <c r="K4495">
        <v>46106</v>
      </c>
      <c r="N4495">
        <v>303</v>
      </c>
      <c r="O4495" t="s">
        <v>102</v>
      </c>
      <c r="Q4495">
        <v>1311.98</v>
      </c>
      <c r="R4495" t="str">
        <f>"FARMÁCIA INDIANA LJ 169 (10073)"</f>
        <v>FARMÁCIA INDIANA LJ 169 (10073)</v>
      </c>
      <c r="S4495" t="s">
        <v>103</v>
      </c>
      <c r="T4495">
        <v>31896</v>
      </c>
      <c r="U4495">
        <v>35145</v>
      </c>
      <c r="V4495" t="s">
        <v>37</v>
      </c>
    </row>
    <row r="4496" spans="1:22">
      <c r="A4496" t="str">
        <f t="shared" si="808"/>
        <v>25/03/2026</v>
      </c>
      <c r="B4496" t="str">
        <f t="shared" si="809"/>
        <v>ENTRADA</v>
      </c>
      <c r="C4496" t="str">
        <f t="shared" si="810"/>
        <v>NFSE</v>
      </c>
      <c r="D4496" t="str">
        <f t="shared" si="816"/>
        <v>556</v>
      </c>
      <c r="E4496" t="str">
        <f t="shared" si="807"/>
        <v>1</v>
      </c>
      <c r="F4496" t="str">
        <f t="shared" si="815"/>
        <v>COM</v>
      </c>
      <c r="G4496" t="str">
        <f t="shared" si="817"/>
        <v>FARMÁCIA INDIANA LJ 30 (10127)</v>
      </c>
      <c r="H4496" t="s">
        <v>1207</v>
      </c>
      <c r="I4496" t="str">
        <f t="shared" si="813"/>
        <v>25/03/2026</v>
      </c>
      <c r="J4496" t="str">
        <f t="shared" si="814"/>
        <v>17/03/2026</v>
      </c>
      <c r="K4496">
        <v>46106</v>
      </c>
      <c r="N4496">
        <v>303</v>
      </c>
      <c r="O4496" t="s">
        <v>102</v>
      </c>
      <c r="Q4496">
        <v>1570.22</v>
      </c>
      <c r="R4496" t="str">
        <f>"FARMÁCIA INDIANA LJ 173 (10075)"</f>
        <v>FARMÁCIA INDIANA LJ 173 (10075)</v>
      </c>
      <c r="S4496" t="s">
        <v>103</v>
      </c>
      <c r="T4496">
        <v>31896</v>
      </c>
      <c r="U4496">
        <v>35145</v>
      </c>
      <c r="V4496" t="s">
        <v>37</v>
      </c>
    </row>
    <row r="4497" spans="1:22">
      <c r="A4497" t="str">
        <f t="shared" si="808"/>
        <v>25/03/2026</v>
      </c>
      <c r="B4497" t="str">
        <f t="shared" si="809"/>
        <v>ENTRADA</v>
      </c>
      <c r="C4497" t="str">
        <f t="shared" si="810"/>
        <v>NFSE</v>
      </c>
      <c r="D4497" t="str">
        <f t="shared" si="816"/>
        <v>556</v>
      </c>
      <c r="E4497" t="str">
        <f t="shared" ref="E4497:E4514" si="818">"1"</f>
        <v>1</v>
      </c>
      <c r="F4497" t="str">
        <f t="shared" si="815"/>
        <v>COM</v>
      </c>
      <c r="G4497" t="str">
        <f t="shared" si="817"/>
        <v>FARMÁCIA INDIANA LJ 30 (10127)</v>
      </c>
      <c r="H4497" t="s">
        <v>1207</v>
      </c>
      <c r="I4497" t="str">
        <f t="shared" si="813"/>
        <v>25/03/2026</v>
      </c>
      <c r="J4497" t="str">
        <f t="shared" si="814"/>
        <v>17/03/2026</v>
      </c>
      <c r="K4497">
        <v>46106</v>
      </c>
      <c r="N4497">
        <v>303</v>
      </c>
      <c r="O4497" t="s">
        <v>102</v>
      </c>
      <c r="Q4497">
        <v>899.39</v>
      </c>
      <c r="R4497" t="str">
        <f>"FARMÁCIA INDIANA LJ 213 (10090)"</f>
        <v>FARMÁCIA INDIANA LJ 213 (10090)</v>
      </c>
      <c r="S4497" t="s">
        <v>103</v>
      </c>
      <c r="T4497">
        <v>31896</v>
      </c>
      <c r="U4497">
        <v>35145</v>
      </c>
      <c r="V4497" t="s">
        <v>37</v>
      </c>
    </row>
    <row r="4498" spans="1:22">
      <c r="A4498" t="str">
        <f t="shared" si="808"/>
        <v>25/03/2026</v>
      </c>
      <c r="B4498" t="str">
        <f t="shared" si="809"/>
        <v>ENTRADA</v>
      </c>
      <c r="C4498" t="str">
        <f t="shared" si="810"/>
        <v>NFSE</v>
      </c>
      <c r="D4498" t="str">
        <f t="shared" si="816"/>
        <v>556</v>
      </c>
      <c r="E4498" t="str">
        <f t="shared" si="818"/>
        <v>1</v>
      </c>
      <c r="F4498" t="str">
        <f t="shared" si="815"/>
        <v>COM</v>
      </c>
      <c r="G4498" t="str">
        <f t="shared" si="817"/>
        <v>FARMÁCIA INDIANA LJ 30 (10127)</v>
      </c>
      <c r="H4498" t="s">
        <v>1207</v>
      </c>
      <c r="I4498" t="str">
        <f t="shared" si="813"/>
        <v>25/03/2026</v>
      </c>
      <c r="J4498" t="str">
        <f t="shared" si="814"/>
        <v>17/03/2026</v>
      </c>
      <c r="K4498">
        <v>46106</v>
      </c>
      <c r="N4498">
        <v>303</v>
      </c>
      <c r="O4498" t="s">
        <v>102</v>
      </c>
      <c r="Q4498">
        <v>1222.93</v>
      </c>
      <c r="R4498" t="str">
        <f>"FARMÁCIA INDIANA LJ 200 (10155)"</f>
        <v>FARMÁCIA INDIANA LJ 200 (10155)</v>
      </c>
      <c r="S4498" t="s">
        <v>103</v>
      </c>
      <c r="T4498">
        <v>31896</v>
      </c>
      <c r="U4498">
        <v>35145</v>
      </c>
      <c r="V4498" t="s">
        <v>37</v>
      </c>
    </row>
    <row r="4499" spans="1:22">
      <c r="A4499" t="str">
        <f t="shared" ref="A4499:A4530" si="819">("25/03/2026")</f>
        <v>25/03/2026</v>
      </c>
      <c r="B4499" t="str">
        <f t="shared" ref="B4499:B4512" si="820">"ENTRADA"</f>
        <v>ENTRADA</v>
      </c>
      <c r="C4499" t="str">
        <f t="shared" ref="C4499:C4512" si="821">"NFSE"</f>
        <v>NFSE</v>
      </c>
      <c r="D4499" t="str">
        <f t="shared" si="816"/>
        <v>556</v>
      </c>
      <c r="E4499" t="str">
        <f t="shared" si="818"/>
        <v>1</v>
      </c>
      <c r="F4499" t="str">
        <f t="shared" si="815"/>
        <v>COM</v>
      </c>
      <c r="G4499" t="str">
        <f t="shared" si="817"/>
        <v>FARMÁCIA INDIANA LJ 30 (10127)</v>
      </c>
      <c r="H4499" t="s">
        <v>1207</v>
      </c>
      <c r="I4499" t="str">
        <f t="shared" ref="I4499:I4512" si="822">("25/03/2026")</f>
        <v>25/03/2026</v>
      </c>
      <c r="J4499" t="str">
        <f t="shared" ref="J4499:J4508" si="823">("17/03/2026")</f>
        <v>17/03/2026</v>
      </c>
      <c r="K4499">
        <v>46106</v>
      </c>
      <c r="N4499">
        <v>303</v>
      </c>
      <c r="O4499" t="s">
        <v>102</v>
      </c>
      <c r="Q4499">
        <v>1113.0999999999999</v>
      </c>
      <c r="R4499" t="str">
        <f>"FARMÁCIA INDIANA LJ 33 (10187)"</f>
        <v>FARMÁCIA INDIANA LJ 33 (10187)</v>
      </c>
      <c r="S4499" t="s">
        <v>103</v>
      </c>
      <c r="T4499">
        <v>31896</v>
      </c>
      <c r="U4499">
        <v>35145</v>
      </c>
      <c r="V4499" t="s">
        <v>37</v>
      </c>
    </row>
    <row r="4500" spans="1:22">
      <c r="A4500" t="str">
        <f t="shared" si="819"/>
        <v>25/03/2026</v>
      </c>
      <c r="B4500" t="str">
        <f t="shared" si="820"/>
        <v>ENTRADA</v>
      </c>
      <c r="C4500" t="str">
        <f t="shared" si="821"/>
        <v>NFSE</v>
      </c>
      <c r="D4500" t="str">
        <f t="shared" si="816"/>
        <v>556</v>
      </c>
      <c r="E4500" t="str">
        <f t="shared" si="818"/>
        <v>1</v>
      </c>
      <c r="F4500" t="str">
        <f t="shared" si="815"/>
        <v>COM</v>
      </c>
      <c r="G4500" t="str">
        <f t="shared" si="817"/>
        <v>FARMÁCIA INDIANA LJ 30 (10127)</v>
      </c>
      <c r="H4500" t="s">
        <v>1207</v>
      </c>
      <c r="I4500" t="str">
        <f t="shared" si="822"/>
        <v>25/03/2026</v>
      </c>
      <c r="J4500" t="str">
        <f t="shared" si="823"/>
        <v>17/03/2026</v>
      </c>
      <c r="K4500">
        <v>46106</v>
      </c>
      <c r="N4500">
        <v>303</v>
      </c>
      <c r="O4500" t="s">
        <v>102</v>
      </c>
      <c r="Q4500">
        <v>899.39</v>
      </c>
      <c r="R4500" t="str">
        <f>"FARMÁCIA INDIANA LJ 283 (10268)"</f>
        <v>FARMÁCIA INDIANA LJ 283 (10268)</v>
      </c>
      <c r="S4500" t="s">
        <v>103</v>
      </c>
      <c r="T4500">
        <v>31896</v>
      </c>
      <c r="U4500">
        <v>35145</v>
      </c>
      <c r="V4500" t="s">
        <v>37</v>
      </c>
    </row>
    <row r="4501" spans="1:22">
      <c r="A4501" t="str">
        <f t="shared" si="819"/>
        <v>25/03/2026</v>
      </c>
      <c r="B4501" t="str">
        <f t="shared" si="820"/>
        <v>ENTRADA</v>
      </c>
      <c r="C4501" t="str">
        <f t="shared" si="821"/>
        <v>NFSE</v>
      </c>
      <c r="D4501" t="str">
        <f t="shared" si="816"/>
        <v>556</v>
      </c>
      <c r="E4501" t="str">
        <f t="shared" si="818"/>
        <v>1</v>
      </c>
      <c r="F4501" t="str">
        <f t="shared" si="815"/>
        <v>COM</v>
      </c>
      <c r="G4501" t="str">
        <f t="shared" si="817"/>
        <v>FARMÁCIA INDIANA LJ 30 (10127)</v>
      </c>
      <c r="H4501" t="s">
        <v>1207</v>
      </c>
      <c r="I4501" t="str">
        <f t="shared" si="822"/>
        <v>25/03/2026</v>
      </c>
      <c r="J4501" t="str">
        <f t="shared" si="823"/>
        <v>17/03/2026</v>
      </c>
      <c r="K4501">
        <v>46106</v>
      </c>
      <c r="N4501">
        <v>303</v>
      </c>
      <c r="O4501" t="s">
        <v>102</v>
      </c>
      <c r="Q4501">
        <v>424.46</v>
      </c>
      <c r="R4501" t="str">
        <f>"FARMÁCIA INDIANA LJ 155 (10273)"</f>
        <v>FARMÁCIA INDIANA LJ 155 (10273)</v>
      </c>
      <c r="S4501" t="s">
        <v>103</v>
      </c>
      <c r="T4501">
        <v>31896</v>
      </c>
      <c r="U4501">
        <v>35145</v>
      </c>
      <c r="V4501" t="s">
        <v>37</v>
      </c>
    </row>
    <row r="4502" spans="1:22">
      <c r="A4502" t="str">
        <f t="shared" si="819"/>
        <v>25/03/2026</v>
      </c>
      <c r="B4502" t="str">
        <f t="shared" si="820"/>
        <v>ENTRADA</v>
      </c>
      <c r="C4502" t="str">
        <f t="shared" si="821"/>
        <v>NFSE</v>
      </c>
      <c r="D4502" t="str">
        <f t="shared" si="816"/>
        <v>556</v>
      </c>
      <c r="E4502" t="str">
        <f t="shared" si="818"/>
        <v>1</v>
      </c>
      <c r="F4502" t="str">
        <f t="shared" si="815"/>
        <v>COM</v>
      </c>
      <c r="G4502" t="str">
        <f t="shared" si="817"/>
        <v>FARMÁCIA INDIANA LJ 30 (10127)</v>
      </c>
      <c r="H4502" t="s">
        <v>1207</v>
      </c>
      <c r="I4502" t="str">
        <f t="shared" si="822"/>
        <v>25/03/2026</v>
      </c>
      <c r="J4502" t="str">
        <f t="shared" si="823"/>
        <v>17/03/2026</v>
      </c>
      <c r="K4502">
        <v>46106</v>
      </c>
      <c r="N4502">
        <v>303</v>
      </c>
      <c r="O4502" t="s">
        <v>102</v>
      </c>
      <c r="Q4502">
        <v>1024.06</v>
      </c>
      <c r="R4502" t="str">
        <f>"FARMÁCIA INDIANA LJ 158 (10275)"</f>
        <v>FARMÁCIA INDIANA LJ 158 (10275)</v>
      </c>
      <c r="S4502" t="s">
        <v>103</v>
      </c>
      <c r="T4502">
        <v>31896</v>
      </c>
      <c r="U4502">
        <v>35145</v>
      </c>
      <c r="V4502" t="s">
        <v>37</v>
      </c>
    </row>
    <row r="4503" spans="1:22">
      <c r="A4503" t="str">
        <f t="shared" si="819"/>
        <v>25/03/2026</v>
      </c>
      <c r="B4503" t="str">
        <f t="shared" si="820"/>
        <v>ENTRADA</v>
      </c>
      <c r="C4503" t="str">
        <f t="shared" si="821"/>
        <v>NFSE</v>
      </c>
      <c r="D4503" t="str">
        <f t="shared" si="816"/>
        <v>556</v>
      </c>
      <c r="E4503" t="str">
        <f t="shared" si="818"/>
        <v>1</v>
      </c>
      <c r="F4503" t="str">
        <f t="shared" si="815"/>
        <v>COM</v>
      </c>
      <c r="G4503" t="str">
        <f t="shared" si="817"/>
        <v>FARMÁCIA INDIANA LJ 30 (10127)</v>
      </c>
      <c r="H4503" t="s">
        <v>1207</v>
      </c>
      <c r="I4503" t="str">
        <f t="shared" si="822"/>
        <v>25/03/2026</v>
      </c>
      <c r="J4503" t="str">
        <f t="shared" si="823"/>
        <v>17/03/2026</v>
      </c>
      <c r="K4503">
        <v>46106</v>
      </c>
      <c r="N4503">
        <v>303</v>
      </c>
      <c r="O4503" t="s">
        <v>102</v>
      </c>
      <c r="Q4503">
        <v>1175.44</v>
      </c>
      <c r="R4503" t="str">
        <f>"FARMÁCIA INDIANA LJ 92 (10281)"</f>
        <v>FARMÁCIA INDIANA LJ 92 (10281)</v>
      </c>
      <c r="S4503" t="s">
        <v>103</v>
      </c>
      <c r="T4503">
        <v>31896</v>
      </c>
      <c r="U4503">
        <v>35145</v>
      </c>
      <c r="V4503" t="s">
        <v>37</v>
      </c>
    </row>
    <row r="4504" spans="1:22">
      <c r="A4504" t="str">
        <f t="shared" si="819"/>
        <v>25/03/2026</v>
      </c>
      <c r="B4504" t="str">
        <f t="shared" si="820"/>
        <v>ENTRADA</v>
      </c>
      <c r="C4504" t="str">
        <f t="shared" si="821"/>
        <v>NFSE</v>
      </c>
      <c r="D4504" t="str">
        <f>"557"</f>
        <v>557</v>
      </c>
      <c r="E4504" t="str">
        <f t="shared" si="818"/>
        <v>1</v>
      </c>
      <c r="F4504" t="str">
        <f t="shared" si="815"/>
        <v>COM</v>
      </c>
      <c r="G4504" t="str">
        <f>"FARMÁCIA INDIANA LJ 85 (10128)"</f>
        <v>FARMÁCIA INDIANA LJ 85 (10128)</v>
      </c>
      <c r="H4504" t="str">
        <f>"Serv.Prest. 09/03/2026 a 15/03/2026 - RPS: 2485 - NFSe: 557"</f>
        <v>Serv.Prest. 09/03/2026 a 15/03/2026 - RPS: 2485 - NFSe: 557</v>
      </c>
      <c r="I4504" t="str">
        <f t="shared" si="822"/>
        <v>25/03/2026</v>
      </c>
      <c r="J4504" t="str">
        <f t="shared" si="823"/>
        <v>17/03/2026</v>
      </c>
      <c r="K4504" t="str">
        <f>("25/03/2026")</f>
        <v>25/03/2026</v>
      </c>
      <c r="L4504">
        <v>4370.74</v>
      </c>
      <c r="M4504">
        <v>4370.74</v>
      </c>
      <c r="N4504">
        <v>303</v>
      </c>
      <c r="O4504" t="str">
        <f>"RECEITAS COM ENTREGAS"</f>
        <v>RECEITAS COM ENTREGAS</v>
      </c>
      <c r="P4504">
        <v>4370.74</v>
      </c>
      <c r="S4504" t="str">
        <f>"RECEITAS COM ENTREGAS (303)"</f>
        <v>RECEITAS COM ENTREGAS (303)</v>
      </c>
      <c r="T4504">
        <v>31897</v>
      </c>
      <c r="U4504">
        <v>35180</v>
      </c>
      <c r="V4504" t="s">
        <v>37</v>
      </c>
    </row>
    <row r="4505" spans="1:22">
      <c r="A4505" t="str">
        <f t="shared" si="819"/>
        <v>25/03/2026</v>
      </c>
      <c r="B4505" t="str">
        <f t="shared" si="820"/>
        <v>ENTRADA</v>
      </c>
      <c r="C4505" t="str">
        <f t="shared" si="821"/>
        <v>NFSE</v>
      </c>
      <c r="D4505" t="str">
        <f>"557"</f>
        <v>557</v>
      </c>
      <c r="E4505" t="str">
        <f t="shared" si="818"/>
        <v>1</v>
      </c>
      <c r="F4505" t="str">
        <f t="shared" si="815"/>
        <v>COM</v>
      </c>
      <c r="G4505" t="str">
        <f>"FARMÁCIA INDIANA LJ 85 (10128)"</f>
        <v>FARMÁCIA INDIANA LJ 85 (10128)</v>
      </c>
      <c r="H4505" t="s">
        <v>1208</v>
      </c>
      <c r="I4505" t="str">
        <f t="shared" si="822"/>
        <v>25/03/2026</v>
      </c>
      <c r="J4505" t="str">
        <f t="shared" si="823"/>
        <v>17/03/2026</v>
      </c>
      <c r="K4505">
        <v>46106</v>
      </c>
      <c r="N4505">
        <v>303</v>
      </c>
      <c r="O4505" t="s">
        <v>102</v>
      </c>
      <c r="Q4505">
        <v>972.05</v>
      </c>
      <c r="R4505" t="str">
        <f>"FARMÁCIA INDIANA LJ 119 (10053)"</f>
        <v>FARMÁCIA INDIANA LJ 119 (10053)</v>
      </c>
      <c r="S4505" t="s">
        <v>103</v>
      </c>
      <c r="T4505">
        <v>31897</v>
      </c>
      <c r="U4505">
        <v>35180</v>
      </c>
      <c r="V4505" t="s">
        <v>37</v>
      </c>
    </row>
    <row r="4506" spans="1:22">
      <c r="A4506" t="str">
        <f t="shared" si="819"/>
        <v>25/03/2026</v>
      </c>
      <c r="B4506" t="str">
        <f t="shared" si="820"/>
        <v>ENTRADA</v>
      </c>
      <c r="C4506" t="str">
        <f t="shared" si="821"/>
        <v>NFSE</v>
      </c>
      <c r="D4506" t="str">
        <f>"557"</f>
        <v>557</v>
      </c>
      <c r="E4506" t="str">
        <f t="shared" si="818"/>
        <v>1</v>
      </c>
      <c r="F4506" t="str">
        <f t="shared" si="815"/>
        <v>COM</v>
      </c>
      <c r="G4506" t="str">
        <f>"FARMÁCIA INDIANA LJ 85 (10128)"</f>
        <v>FARMÁCIA INDIANA LJ 85 (10128)</v>
      </c>
      <c r="H4506" t="s">
        <v>1208</v>
      </c>
      <c r="I4506" t="str">
        <f t="shared" si="822"/>
        <v>25/03/2026</v>
      </c>
      <c r="J4506" t="str">
        <f t="shared" si="823"/>
        <v>17/03/2026</v>
      </c>
      <c r="K4506">
        <v>46106</v>
      </c>
      <c r="N4506">
        <v>303</v>
      </c>
      <c r="O4506" t="s">
        <v>102</v>
      </c>
      <c r="Q4506">
        <v>907.37</v>
      </c>
      <c r="R4506" t="str">
        <f>"FARMÁCIA INDIANA LJ 163 (10072)"</f>
        <v>FARMÁCIA INDIANA LJ 163 (10072)</v>
      </c>
      <c r="S4506" t="s">
        <v>103</v>
      </c>
      <c r="T4506">
        <v>31897</v>
      </c>
      <c r="U4506">
        <v>35180</v>
      </c>
      <c r="V4506" t="s">
        <v>37</v>
      </c>
    </row>
    <row r="4507" spans="1:22">
      <c r="A4507" t="str">
        <f t="shared" si="819"/>
        <v>25/03/2026</v>
      </c>
      <c r="B4507" t="str">
        <f t="shared" si="820"/>
        <v>ENTRADA</v>
      </c>
      <c r="C4507" t="str">
        <f t="shared" si="821"/>
        <v>NFSE</v>
      </c>
      <c r="D4507" t="str">
        <f>"557"</f>
        <v>557</v>
      </c>
      <c r="E4507" t="str">
        <f t="shared" si="818"/>
        <v>1</v>
      </c>
      <c r="F4507" t="str">
        <f t="shared" si="815"/>
        <v>COM</v>
      </c>
      <c r="G4507" t="str">
        <f>"FARMÁCIA INDIANA LJ 85 (10128)"</f>
        <v>FARMÁCIA INDIANA LJ 85 (10128)</v>
      </c>
      <c r="H4507" t="s">
        <v>1208</v>
      </c>
      <c r="I4507" t="str">
        <f t="shared" si="822"/>
        <v>25/03/2026</v>
      </c>
      <c r="J4507" t="str">
        <f t="shared" si="823"/>
        <v>17/03/2026</v>
      </c>
      <c r="K4507">
        <v>46106</v>
      </c>
      <c r="N4507">
        <v>303</v>
      </c>
      <c r="O4507" t="s">
        <v>102</v>
      </c>
      <c r="Q4507">
        <v>1458.08</v>
      </c>
      <c r="R4507" t="str">
        <f>"FARMÁCIA INDIANA LJ 181 (10078)"</f>
        <v>FARMÁCIA INDIANA LJ 181 (10078)</v>
      </c>
      <c r="S4507" t="s">
        <v>103</v>
      </c>
      <c r="T4507">
        <v>31897</v>
      </c>
      <c r="U4507">
        <v>35180</v>
      </c>
      <c r="V4507" t="s">
        <v>37</v>
      </c>
    </row>
    <row r="4508" spans="1:22">
      <c r="A4508" t="str">
        <f t="shared" si="819"/>
        <v>25/03/2026</v>
      </c>
      <c r="B4508" t="str">
        <f t="shared" si="820"/>
        <v>ENTRADA</v>
      </c>
      <c r="C4508" t="str">
        <f t="shared" si="821"/>
        <v>NFSE</v>
      </c>
      <c r="D4508" t="str">
        <f>"557"</f>
        <v>557</v>
      </c>
      <c r="E4508" t="str">
        <f t="shared" si="818"/>
        <v>1</v>
      </c>
      <c r="F4508" t="str">
        <f t="shared" si="815"/>
        <v>COM</v>
      </c>
      <c r="G4508" t="str">
        <f>"FARMÁCIA INDIANA LJ 85 (10128)"</f>
        <v>FARMÁCIA INDIANA LJ 85 (10128)</v>
      </c>
      <c r="H4508" t="s">
        <v>1208</v>
      </c>
      <c r="I4508" t="str">
        <f t="shared" si="822"/>
        <v>25/03/2026</v>
      </c>
      <c r="J4508" t="str">
        <f t="shared" si="823"/>
        <v>17/03/2026</v>
      </c>
      <c r="K4508">
        <v>46106</v>
      </c>
      <c r="N4508">
        <v>303</v>
      </c>
      <c r="O4508" t="s">
        <v>102</v>
      </c>
      <c r="Q4508">
        <v>1033.24</v>
      </c>
      <c r="R4508" t="str">
        <f>"FARMÁCIA INDIANA LJ 188 (10176)"</f>
        <v>FARMÁCIA INDIANA LJ 188 (10176)</v>
      </c>
      <c r="S4508" t="s">
        <v>103</v>
      </c>
      <c r="T4508">
        <v>31897</v>
      </c>
      <c r="U4508">
        <v>35180</v>
      </c>
      <c r="V4508" t="s">
        <v>37</v>
      </c>
    </row>
    <row r="4509" spans="1:22">
      <c r="A4509" t="str">
        <f t="shared" si="819"/>
        <v>25/03/2026</v>
      </c>
      <c r="B4509" t="str">
        <f t="shared" si="820"/>
        <v>ENTRADA</v>
      </c>
      <c r="C4509" t="str">
        <f t="shared" si="821"/>
        <v>NFSE</v>
      </c>
      <c r="D4509" t="str">
        <f>"599"</f>
        <v>599</v>
      </c>
      <c r="E4509" t="str">
        <f t="shared" si="818"/>
        <v>1</v>
      </c>
      <c r="F4509" t="str">
        <f t="shared" si="815"/>
        <v>COM</v>
      </c>
      <c r="G4509" t="str">
        <f>"DROGARIA MORENO LTDA (10171)"</f>
        <v>DROGARIA MORENO LTDA (10171)</v>
      </c>
      <c r="H4509" t="str">
        <f>"Serv.Prest. 16/03/2026 a 22/03/2026 - RPS: 2527 - NFSe: 599"</f>
        <v>Serv.Prest. 16/03/2026 a 22/03/2026 - RPS: 2527 - NFSe: 599</v>
      </c>
      <c r="I4509" t="str">
        <f t="shared" si="822"/>
        <v>25/03/2026</v>
      </c>
      <c r="J4509" t="str">
        <f t="shared" ref="J4509:J4514" si="824">("23/03/2026")</f>
        <v>23/03/2026</v>
      </c>
      <c r="K4509" t="str">
        <f>("25/03/2026")</f>
        <v>25/03/2026</v>
      </c>
      <c r="L4509">
        <v>3474.9</v>
      </c>
      <c r="M4509">
        <v>3474.9</v>
      </c>
      <c r="N4509">
        <v>303</v>
      </c>
      <c r="O4509" t="str">
        <f>"RECEITAS COM ENTREGAS"</f>
        <v>RECEITAS COM ENTREGAS</v>
      </c>
      <c r="P4509">
        <v>3474.9</v>
      </c>
      <c r="S4509" t="str">
        <f>"RECEITAS COM ENTREGAS (303)"</f>
        <v>RECEITAS COM ENTREGAS (303)</v>
      </c>
      <c r="T4509">
        <v>31898</v>
      </c>
      <c r="U4509">
        <v>36091</v>
      </c>
      <c r="V4509" t="s">
        <v>33</v>
      </c>
    </row>
    <row r="4510" spans="1:22">
      <c r="A4510" t="str">
        <f t="shared" si="819"/>
        <v>25/03/2026</v>
      </c>
      <c r="B4510" t="str">
        <f t="shared" si="820"/>
        <v>ENTRADA</v>
      </c>
      <c r="C4510" t="str">
        <f t="shared" si="821"/>
        <v>NFSE</v>
      </c>
      <c r="D4510" t="str">
        <f>"599"</f>
        <v>599</v>
      </c>
      <c r="E4510" t="str">
        <f t="shared" si="818"/>
        <v>1</v>
      </c>
      <c r="F4510" t="str">
        <f t="shared" si="815"/>
        <v>COM</v>
      </c>
      <c r="G4510" t="str">
        <f>"DROGARIA MORENO LTDA (10171)"</f>
        <v>DROGARIA MORENO LTDA (10171)</v>
      </c>
      <c r="H4510" t="s">
        <v>1209</v>
      </c>
      <c r="I4510" t="str">
        <f t="shared" si="822"/>
        <v>25/03/2026</v>
      </c>
      <c r="J4510" t="str">
        <f t="shared" si="824"/>
        <v>23/03/2026</v>
      </c>
      <c r="K4510">
        <v>46106</v>
      </c>
      <c r="N4510">
        <v>303</v>
      </c>
      <c r="O4510" t="s">
        <v>102</v>
      </c>
      <c r="Q4510">
        <v>3474.9</v>
      </c>
      <c r="R4510" t="str">
        <f>"DROGARIA MORENO LTDA (10171)"</f>
        <v>DROGARIA MORENO LTDA (10171)</v>
      </c>
      <c r="S4510" t="s">
        <v>103</v>
      </c>
      <c r="T4510">
        <v>31898</v>
      </c>
      <c r="U4510">
        <v>36091</v>
      </c>
      <c r="V4510" t="s">
        <v>33</v>
      </c>
    </row>
    <row r="4511" spans="1:22">
      <c r="A4511" t="str">
        <f t="shared" si="819"/>
        <v>25/03/2026</v>
      </c>
      <c r="B4511" t="str">
        <f t="shared" si="820"/>
        <v>ENTRADA</v>
      </c>
      <c r="C4511" t="str">
        <f t="shared" si="821"/>
        <v>NFSE</v>
      </c>
      <c r="D4511" t="str">
        <f>"597"</f>
        <v>597</v>
      </c>
      <c r="E4511" t="str">
        <f t="shared" si="818"/>
        <v>1</v>
      </c>
      <c r="F4511" t="str">
        <f t="shared" si="815"/>
        <v>COM</v>
      </c>
      <c r="G4511" t="str">
        <f>"DROGARIA ISABELLA (10276)"</f>
        <v>DROGARIA ISABELLA (10276)</v>
      </c>
      <c r="H4511" t="str">
        <f>"Serv.Prest. 16/03/2026 a 22/03/2026 - RPS: 2525 - NFSe: 597"</f>
        <v>Serv.Prest. 16/03/2026 a 22/03/2026 - RPS: 2525 - NFSe: 597</v>
      </c>
      <c r="I4511" t="str">
        <f t="shared" si="822"/>
        <v>25/03/2026</v>
      </c>
      <c r="J4511" t="str">
        <f t="shared" si="824"/>
        <v>23/03/2026</v>
      </c>
      <c r="K4511" t="str">
        <f>("25/03/2026")</f>
        <v>25/03/2026</v>
      </c>
      <c r="L4511">
        <v>3082.95</v>
      </c>
      <c r="M4511">
        <v>3082.95</v>
      </c>
      <c r="N4511">
        <v>303</v>
      </c>
      <c r="O4511" t="str">
        <f>"RECEITAS COM ENTREGAS"</f>
        <v>RECEITAS COM ENTREGAS</v>
      </c>
      <c r="P4511">
        <v>3082.95</v>
      </c>
      <c r="S4511" t="str">
        <f>"RECEITAS COM ENTREGAS (303)"</f>
        <v>RECEITAS COM ENTREGAS (303)</v>
      </c>
      <c r="T4511">
        <v>31899</v>
      </c>
      <c r="U4511">
        <v>36082</v>
      </c>
      <c r="V4511" t="s">
        <v>33</v>
      </c>
    </row>
    <row r="4512" spans="1:22">
      <c r="A4512" t="str">
        <f t="shared" si="819"/>
        <v>25/03/2026</v>
      </c>
      <c r="B4512" t="str">
        <f t="shared" si="820"/>
        <v>ENTRADA</v>
      </c>
      <c r="C4512" t="str">
        <f t="shared" si="821"/>
        <v>NFSE</v>
      </c>
      <c r="D4512" t="str">
        <f>"597"</f>
        <v>597</v>
      </c>
      <c r="E4512" t="str">
        <f t="shared" si="818"/>
        <v>1</v>
      </c>
      <c r="F4512" t="str">
        <f t="shared" si="815"/>
        <v>COM</v>
      </c>
      <c r="G4512" t="str">
        <f>"DROGARIA ISABELLA (10276)"</f>
        <v>DROGARIA ISABELLA (10276)</v>
      </c>
      <c r="H4512" t="s">
        <v>1210</v>
      </c>
      <c r="I4512" t="str">
        <f t="shared" si="822"/>
        <v>25/03/2026</v>
      </c>
      <c r="J4512" t="str">
        <f t="shared" si="824"/>
        <v>23/03/2026</v>
      </c>
      <c r="K4512">
        <v>46106</v>
      </c>
      <c r="N4512">
        <v>303</v>
      </c>
      <c r="O4512" t="s">
        <v>102</v>
      </c>
      <c r="Q4512">
        <v>3082.95</v>
      </c>
      <c r="R4512" t="str">
        <f>"DROGARIA ISABELLA (10276)"</f>
        <v>DROGARIA ISABELLA (10276)</v>
      </c>
      <c r="S4512" t="s">
        <v>103</v>
      </c>
      <c r="T4512">
        <v>31899</v>
      </c>
      <c r="U4512">
        <v>36082</v>
      </c>
      <c r="V4512" t="s">
        <v>33</v>
      </c>
    </row>
    <row r="4513" spans="1:22">
      <c r="A4513" t="str">
        <f t="shared" si="819"/>
        <v>25/03/2026</v>
      </c>
      <c r="B4513" t="str">
        <f>"SAÍDA"</f>
        <v>SAÍDA</v>
      </c>
      <c r="C4513" t="str">
        <f>"PIX"</f>
        <v>PIX</v>
      </c>
      <c r="D4513" t="str">
        <f>"35888"</f>
        <v>35888</v>
      </c>
      <c r="E4513" t="str">
        <f t="shared" si="818"/>
        <v>1</v>
      </c>
      <c r="F4513" t="str">
        <f t="shared" si="815"/>
        <v>COM</v>
      </c>
      <c r="G4513" t="str">
        <f>"ALAN COSTA SILVA (994)"</f>
        <v>ALAN COSTA SILVA (994)</v>
      </c>
      <c r="H4513" t="str">
        <f>"Serv.Prest. 16/03/2026 a 22/03/2026 - PIX: CELULAR - CHAVE: (11) 98484-6837"</f>
        <v>Serv.Prest. 16/03/2026 a 22/03/2026 - PIX: CELULAR - CHAVE: (11) 98484-6837</v>
      </c>
      <c r="I4513" t="str">
        <f t="shared" ref="I4513:I4544" si="825">("26/03/2026")</f>
        <v>26/03/2026</v>
      </c>
      <c r="J4513" t="str">
        <f t="shared" si="824"/>
        <v>23/03/2026</v>
      </c>
      <c r="K4513" t="str">
        <f>("25/03/2026")</f>
        <v>25/03/2026</v>
      </c>
      <c r="L4513">
        <v>34</v>
      </c>
      <c r="M4513">
        <v>34</v>
      </c>
      <c r="N4513">
        <v>109</v>
      </c>
      <c r="O4513" t="str">
        <f>"PAGAMENTO DE ENTREGADORES"</f>
        <v>PAGAMENTO DE ENTREGADORES</v>
      </c>
      <c r="P4513">
        <v>34</v>
      </c>
      <c r="S4513" t="str">
        <f>"CAIXA MOVIMENTAÇÃO OPERACIONAL (132)"</f>
        <v>CAIXA MOVIMENTAÇÃO OPERACIONAL (132)</v>
      </c>
      <c r="T4513">
        <v>31902</v>
      </c>
      <c r="U4513">
        <v>36313</v>
      </c>
      <c r="V4513" t="s">
        <v>22</v>
      </c>
    </row>
    <row r="4514" spans="1:22">
      <c r="A4514" t="str">
        <f t="shared" si="819"/>
        <v>25/03/2026</v>
      </c>
      <c r="B4514" t="str">
        <f>"SAÍDA"</f>
        <v>SAÍDA</v>
      </c>
      <c r="C4514" t="str">
        <f>"PIX"</f>
        <v>PIX</v>
      </c>
      <c r="D4514" t="str">
        <f>"35888"</f>
        <v>35888</v>
      </c>
      <c r="E4514" t="str">
        <f t="shared" si="818"/>
        <v>1</v>
      </c>
      <c r="F4514" t="str">
        <f t="shared" si="815"/>
        <v>COM</v>
      </c>
      <c r="G4514" t="str">
        <f>"ALAN COSTA SILVA (994)"</f>
        <v>ALAN COSTA SILVA (994)</v>
      </c>
      <c r="H4514" t="s">
        <v>1211</v>
      </c>
      <c r="I4514" t="str">
        <f t="shared" si="825"/>
        <v>26/03/2026</v>
      </c>
      <c r="J4514" t="str">
        <f t="shared" si="824"/>
        <v>23/03/2026</v>
      </c>
      <c r="K4514">
        <v>46106</v>
      </c>
      <c r="N4514">
        <v>109</v>
      </c>
      <c r="O4514" t="s">
        <v>27</v>
      </c>
      <c r="Q4514">
        <v>34</v>
      </c>
      <c r="R4514" t="str">
        <f>"PENSE FARMA 19 (10223)"</f>
        <v>PENSE FARMA 19 (10223)</v>
      </c>
      <c r="S4514" t="s">
        <v>22</v>
      </c>
      <c r="T4514">
        <v>31902</v>
      </c>
      <c r="U4514">
        <v>36313</v>
      </c>
      <c r="V4514" t="s">
        <v>22</v>
      </c>
    </row>
    <row r="4515" spans="1:22">
      <c r="A4515" t="str">
        <f t="shared" si="819"/>
        <v>25/03/2026</v>
      </c>
      <c r="B4515" t="str">
        <f>"ENTRADA"</f>
        <v>ENTRADA</v>
      </c>
      <c r="C4515" t="str">
        <f>"DINHEIRO"</f>
        <v>DINHEIRO</v>
      </c>
      <c r="D4515" t="str">
        <f>"19032026"</f>
        <v>19032026</v>
      </c>
      <c r="E4515" t="str">
        <f>"2"</f>
        <v>2</v>
      </c>
      <c r="F4515" t="str">
        <f t="shared" si="815"/>
        <v>COM</v>
      </c>
      <c r="G4515" t="str">
        <f>"ALAN COSTA SILVA (994)"</f>
        <v>ALAN COSTA SILVA (994)</v>
      </c>
      <c r="H4515" t="str">
        <f>"REEMBOLSO UNIFORMES "</f>
        <v xml:space="preserve">REEMBOLSO UNIFORMES </v>
      </c>
      <c r="I4515" t="str">
        <f t="shared" si="825"/>
        <v>26/03/2026</v>
      </c>
      <c r="J4515" t="str">
        <f>("18/03/2026")</f>
        <v>18/03/2026</v>
      </c>
      <c r="K4515" t="str">
        <f>("25/03/2026")</f>
        <v>25/03/2026</v>
      </c>
      <c r="L4515">
        <v>34</v>
      </c>
      <c r="M4515">
        <v>34</v>
      </c>
      <c r="N4515">
        <v>108</v>
      </c>
      <c r="O4515" t="str">
        <f>"RECEITAS COM REEMBOLSOS"</f>
        <v>RECEITAS COM REEMBOLSOS</v>
      </c>
      <c r="P4515">
        <v>34</v>
      </c>
      <c r="S4515" t="str">
        <f>"RECEITAS COM REEMBOLSOS (108)"</f>
        <v>RECEITAS COM REEMBOLSOS (108)</v>
      </c>
      <c r="T4515">
        <v>31903</v>
      </c>
      <c r="U4515">
        <v>35379</v>
      </c>
      <c r="V4515" t="s">
        <v>22</v>
      </c>
    </row>
    <row r="4516" spans="1:22">
      <c r="A4516" t="str">
        <f t="shared" si="819"/>
        <v>25/03/2026</v>
      </c>
      <c r="B4516" t="str">
        <f>"ENTRADA"</f>
        <v>ENTRADA</v>
      </c>
      <c r="C4516" t="str">
        <f>"DINHEIRO"</f>
        <v>DINHEIRO</v>
      </c>
      <c r="D4516" t="str">
        <f>"19032026"</f>
        <v>19032026</v>
      </c>
      <c r="E4516" t="str">
        <f>"2"</f>
        <v>2</v>
      </c>
      <c r="F4516" t="str">
        <f t="shared" si="815"/>
        <v>COM</v>
      </c>
      <c r="G4516" t="str">
        <f>"ALAN COSTA SILVA (994)"</f>
        <v>ALAN COSTA SILVA (994)</v>
      </c>
      <c r="H4516" t="s">
        <v>870</v>
      </c>
      <c r="I4516" t="str">
        <f t="shared" si="825"/>
        <v>26/03/2026</v>
      </c>
      <c r="J4516" t="str">
        <f>("18/03/2026")</f>
        <v>18/03/2026</v>
      </c>
      <c r="K4516">
        <v>46106</v>
      </c>
      <c r="N4516">
        <v>108</v>
      </c>
      <c r="O4516" t="s">
        <v>871</v>
      </c>
      <c r="Q4516">
        <v>34</v>
      </c>
      <c r="R4516" t="str">
        <f>"ALAN COSTA SILVA (994)"</f>
        <v>ALAN COSTA SILVA (994)</v>
      </c>
      <c r="S4516" t="s">
        <v>872</v>
      </c>
      <c r="T4516">
        <v>31903</v>
      </c>
      <c r="U4516">
        <v>35379</v>
      </c>
      <c r="V4516" t="s">
        <v>22</v>
      </c>
    </row>
    <row r="4517" spans="1:22">
      <c r="A4517" t="str">
        <f t="shared" si="819"/>
        <v>25/03/2026</v>
      </c>
      <c r="B4517" t="str">
        <f>"SAÍDA"</f>
        <v>SAÍDA</v>
      </c>
      <c r="C4517" t="str">
        <f>"PIX"</f>
        <v>PIX</v>
      </c>
      <c r="D4517" t="str">
        <f>"36302"</f>
        <v>36302</v>
      </c>
      <c r="E4517" t="str">
        <f>"1"</f>
        <v>1</v>
      </c>
      <c r="F4517" t="str">
        <f t="shared" si="815"/>
        <v>COM</v>
      </c>
      <c r="G4517" t="str">
        <f>"EDNUBIA RAMOS ALVES OLIVEIRA (899)"</f>
        <v>EDNUBIA RAMOS ALVES OLIVEIRA (899)</v>
      </c>
      <c r="H4517" t="str">
        <f>"Serv.Prest. 16/03/2026 a 22/03/2026 - PIX: CELULAR - CHAVE: (71) 99214-9256"</f>
        <v>Serv.Prest. 16/03/2026 a 22/03/2026 - PIX: CELULAR - CHAVE: (71) 99214-9256</v>
      </c>
      <c r="I4517" t="str">
        <f t="shared" si="825"/>
        <v>26/03/2026</v>
      </c>
      <c r="J4517" t="str">
        <f>("25/03/2026")</f>
        <v>25/03/2026</v>
      </c>
      <c r="K4517" t="str">
        <f>("25/03/2026")</f>
        <v>25/03/2026</v>
      </c>
      <c r="L4517">
        <v>20</v>
      </c>
      <c r="M4517">
        <v>20</v>
      </c>
      <c r="N4517">
        <v>109</v>
      </c>
      <c r="O4517" t="str">
        <f>"PAGAMENTO DE ENTREGADORES"</f>
        <v>PAGAMENTO DE ENTREGADORES</v>
      </c>
      <c r="P4517">
        <v>20</v>
      </c>
      <c r="S4517" t="str">
        <f>"CAIXA MOVIMENTAÇÃO OPERACIONAL (132)"</f>
        <v>CAIXA MOVIMENTAÇÃO OPERACIONAL (132)</v>
      </c>
      <c r="T4517">
        <v>31904</v>
      </c>
      <c r="U4517">
        <v>36314</v>
      </c>
      <c r="V4517" t="s">
        <v>22</v>
      </c>
    </row>
    <row r="4518" spans="1:22">
      <c r="A4518" t="str">
        <f t="shared" si="819"/>
        <v>25/03/2026</v>
      </c>
      <c r="B4518" t="str">
        <f>"SAÍDA"</f>
        <v>SAÍDA</v>
      </c>
      <c r="C4518" t="str">
        <f>"PIX"</f>
        <v>PIX</v>
      </c>
      <c r="D4518" t="str">
        <f>"36302"</f>
        <v>36302</v>
      </c>
      <c r="E4518" t="str">
        <f>"1"</f>
        <v>1</v>
      </c>
      <c r="F4518" t="str">
        <f t="shared" si="815"/>
        <v>COM</v>
      </c>
      <c r="G4518" t="str">
        <f>"EDNUBIA RAMOS ALVES OLIVEIRA (899)"</f>
        <v>EDNUBIA RAMOS ALVES OLIVEIRA (899)</v>
      </c>
      <c r="H4518" t="s">
        <v>1212</v>
      </c>
      <c r="I4518" t="str">
        <f t="shared" si="825"/>
        <v>26/03/2026</v>
      </c>
      <c r="J4518" t="str">
        <f>("25/03/2026")</f>
        <v>25/03/2026</v>
      </c>
      <c r="K4518">
        <v>46106</v>
      </c>
      <c r="N4518">
        <v>109</v>
      </c>
      <c r="O4518" t="s">
        <v>27</v>
      </c>
      <c r="Q4518">
        <v>20</v>
      </c>
      <c r="R4518" t="str">
        <f>"DELTA LOJA 2 (10123)"</f>
        <v>DELTA LOJA 2 (10123)</v>
      </c>
      <c r="S4518" t="s">
        <v>22</v>
      </c>
      <c r="T4518">
        <v>31904</v>
      </c>
      <c r="U4518">
        <v>36314</v>
      </c>
      <c r="V4518" t="s">
        <v>22</v>
      </c>
    </row>
    <row r="4519" spans="1:22">
      <c r="A4519" t="str">
        <f t="shared" si="819"/>
        <v>25/03/2026</v>
      </c>
      <c r="B4519" t="str">
        <f>"ENTRADA"</f>
        <v>ENTRADA</v>
      </c>
      <c r="C4519" t="str">
        <f>"DINHEIRO"</f>
        <v>DINHEIRO</v>
      </c>
      <c r="D4519" t="str">
        <f>"19032026"</f>
        <v>19032026</v>
      </c>
      <c r="E4519" t="str">
        <f>"2"</f>
        <v>2</v>
      </c>
      <c r="F4519" t="str">
        <f t="shared" si="815"/>
        <v>COM</v>
      </c>
      <c r="G4519" t="str">
        <f>"EDNUBIA RAMOS ALVES OLIVEIRA (899)"</f>
        <v>EDNUBIA RAMOS ALVES OLIVEIRA (899)</v>
      </c>
      <c r="H4519" t="str">
        <f>"REEMBOLSO UNIFORMES"</f>
        <v>REEMBOLSO UNIFORMES</v>
      </c>
      <c r="I4519" t="str">
        <f t="shared" si="825"/>
        <v>26/03/2026</v>
      </c>
      <c r="J4519" t="str">
        <f>("18/03/2026")</f>
        <v>18/03/2026</v>
      </c>
      <c r="K4519" t="str">
        <f>("25/03/2026")</f>
        <v>25/03/2026</v>
      </c>
      <c r="L4519">
        <v>20</v>
      </c>
      <c r="M4519">
        <v>20</v>
      </c>
      <c r="N4519">
        <v>108</v>
      </c>
      <c r="O4519" t="str">
        <f>"RECEITAS COM REEMBOLSOS"</f>
        <v>RECEITAS COM REEMBOLSOS</v>
      </c>
      <c r="P4519">
        <v>20</v>
      </c>
      <c r="S4519" t="str">
        <f>"RECEITAS COM REEMBOLSOS (108)"</f>
        <v>RECEITAS COM REEMBOLSOS (108)</v>
      </c>
      <c r="T4519">
        <v>31905</v>
      </c>
      <c r="U4519">
        <v>35396</v>
      </c>
      <c r="V4519" t="s">
        <v>22</v>
      </c>
    </row>
    <row r="4520" spans="1:22">
      <c r="A4520" t="str">
        <f t="shared" si="819"/>
        <v>25/03/2026</v>
      </c>
      <c r="B4520" t="str">
        <f>"ENTRADA"</f>
        <v>ENTRADA</v>
      </c>
      <c r="C4520" t="str">
        <f>"DINHEIRO"</f>
        <v>DINHEIRO</v>
      </c>
      <c r="D4520" t="str">
        <f>"19032026"</f>
        <v>19032026</v>
      </c>
      <c r="E4520" t="str">
        <f>"2"</f>
        <v>2</v>
      </c>
      <c r="F4520" t="str">
        <f t="shared" si="815"/>
        <v>COM</v>
      </c>
      <c r="G4520" t="str">
        <f>"EDNUBIA RAMOS ALVES OLIVEIRA (899)"</f>
        <v>EDNUBIA RAMOS ALVES OLIVEIRA (899)</v>
      </c>
      <c r="H4520" t="s">
        <v>876</v>
      </c>
      <c r="I4520" t="str">
        <f t="shared" si="825"/>
        <v>26/03/2026</v>
      </c>
      <c r="J4520" t="str">
        <f>("18/03/2026")</f>
        <v>18/03/2026</v>
      </c>
      <c r="K4520">
        <v>46106</v>
      </c>
      <c r="N4520">
        <v>108</v>
      </c>
      <c r="O4520" t="s">
        <v>871</v>
      </c>
      <c r="Q4520">
        <v>20</v>
      </c>
      <c r="R4520" t="str">
        <f>"DELTA LOJA 2 (10123)"</f>
        <v>DELTA LOJA 2 (10123)</v>
      </c>
      <c r="S4520" t="s">
        <v>872</v>
      </c>
      <c r="T4520">
        <v>31905</v>
      </c>
      <c r="U4520">
        <v>35396</v>
      </c>
      <c r="V4520" t="s">
        <v>22</v>
      </c>
    </row>
    <row r="4521" spans="1:22">
      <c r="A4521" t="str">
        <f t="shared" si="819"/>
        <v>25/03/2026</v>
      </c>
      <c r="B4521" t="str">
        <f>"SAÍDA"</f>
        <v>SAÍDA</v>
      </c>
      <c r="C4521" t="str">
        <f>"PIX"</f>
        <v>PIX</v>
      </c>
      <c r="D4521" t="str">
        <f>"35919"</f>
        <v>35919</v>
      </c>
      <c r="E4521" t="str">
        <f>"1"</f>
        <v>1</v>
      </c>
      <c r="F4521" t="str">
        <f t="shared" si="815"/>
        <v>COM</v>
      </c>
      <c r="G4521" t="str">
        <f>"FELIPE ALEXANDRE CAMA (976)"</f>
        <v>FELIPE ALEXANDRE CAMA (976)</v>
      </c>
      <c r="H4521" t="str">
        <f>"Serv.Prest. 16/03/2026 a 22/03/2026 - PIX: CPF - CHAVE: 471.142.438-55"</f>
        <v>Serv.Prest. 16/03/2026 a 22/03/2026 - PIX: CPF - CHAVE: 471.142.438-55</v>
      </c>
      <c r="I4521" t="str">
        <f t="shared" si="825"/>
        <v>26/03/2026</v>
      </c>
      <c r="J4521" t="str">
        <f>("23/03/2026")</f>
        <v>23/03/2026</v>
      </c>
      <c r="K4521" t="str">
        <f>("25/03/2026")</f>
        <v>25/03/2026</v>
      </c>
      <c r="L4521">
        <v>20</v>
      </c>
      <c r="M4521">
        <v>20</v>
      </c>
      <c r="N4521">
        <v>109</v>
      </c>
      <c r="O4521" t="str">
        <f>"PAGAMENTO DE ENTREGADORES"</f>
        <v>PAGAMENTO DE ENTREGADORES</v>
      </c>
      <c r="P4521">
        <v>20</v>
      </c>
      <c r="S4521" t="str">
        <f>"CAIXA MOVIMENTAÇÃO OPERACIONAL (132)"</f>
        <v>CAIXA MOVIMENTAÇÃO OPERACIONAL (132)</v>
      </c>
      <c r="T4521">
        <v>31906</v>
      </c>
      <c r="U4521">
        <v>36315</v>
      </c>
      <c r="V4521" t="s">
        <v>22</v>
      </c>
    </row>
    <row r="4522" spans="1:22">
      <c r="A4522" t="str">
        <f t="shared" si="819"/>
        <v>25/03/2026</v>
      </c>
      <c r="B4522" t="str">
        <f>"SAÍDA"</f>
        <v>SAÍDA</v>
      </c>
      <c r="C4522" t="str">
        <f>"PIX"</f>
        <v>PIX</v>
      </c>
      <c r="D4522" t="str">
        <f>"35919"</f>
        <v>35919</v>
      </c>
      <c r="E4522" t="str">
        <f>"1"</f>
        <v>1</v>
      </c>
      <c r="F4522" t="str">
        <f t="shared" si="815"/>
        <v>COM</v>
      </c>
      <c r="G4522" t="str">
        <f>"FELIPE ALEXANDRE CAMA (976)"</f>
        <v>FELIPE ALEXANDRE CAMA (976)</v>
      </c>
      <c r="H4522" t="s">
        <v>1213</v>
      </c>
      <c r="I4522" t="str">
        <f t="shared" si="825"/>
        <v>26/03/2026</v>
      </c>
      <c r="J4522" t="str">
        <f>("23/03/2026")</f>
        <v>23/03/2026</v>
      </c>
      <c r="K4522">
        <v>46106</v>
      </c>
      <c r="N4522">
        <v>109</v>
      </c>
      <c r="O4522" t="s">
        <v>27</v>
      </c>
      <c r="Q4522">
        <v>20</v>
      </c>
      <c r="R4522" t="str">
        <f>"PENSE FARMA DARK STORE 361 (10212)"</f>
        <v>PENSE FARMA DARK STORE 361 (10212)</v>
      </c>
      <c r="S4522" t="s">
        <v>22</v>
      </c>
      <c r="T4522">
        <v>31906</v>
      </c>
      <c r="U4522">
        <v>36315</v>
      </c>
      <c r="V4522" t="s">
        <v>22</v>
      </c>
    </row>
    <row r="4523" spans="1:22">
      <c r="A4523" t="str">
        <f t="shared" si="819"/>
        <v>25/03/2026</v>
      </c>
      <c r="B4523" t="str">
        <f>"ENTRADA"</f>
        <v>ENTRADA</v>
      </c>
      <c r="C4523" t="str">
        <f>"DINHEIRO"</f>
        <v>DINHEIRO</v>
      </c>
      <c r="D4523" t="str">
        <f>"19032026"</f>
        <v>19032026</v>
      </c>
      <c r="E4523" t="str">
        <f>"2"</f>
        <v>2</v>
      </c>
      <c r="F4523" t="str">
        <f t="shared" si="815"/>
        <v>COM</v>
      </c>
      <c r="G4523" t="str">
        <f>"FELIPE ALEXANDRE CAMA (976)"</f>
        <v>FELIPE ALEXANDRE CAMA (976)</v>
      </c>
      <c r="H4523" t="str">
        <f>"REEMBOLSO UNIFORMES"</f>
        <v>REEMBOLSO UNIFORMES</v>
      </c>
      <c r="I4523" t="str">
        <f t="shared" si="825"/>
        <v>26/03/2026</v>
      </c>
      <c r="J4523" t="str">
        <f>("18/03/2026")</f>
        <v>18/03/2026</v>
      </c>
      <c r="K4523" t="str">
        <f>("25/03/2026")</f>
        <v>25/03/2026</v>
      </c>
      <c r="L4523">
        <v>20</v>
      </c>
      <c r="M4523">
        <v>20</v>
      </c>
      <c r="N4523">
        <v>108</v>
      </c>
      <c r="O4523" t="str">
        <f>"RECEITAS COM REEMBOLSOS"</f>
        <v>RECEITAS COM REEMBOLSOS</v>
      </c>
      <c r="P4523">
        <v>20</v>
      </c>
      <c r="S4523" t="str">
        <f>"RECEITAS COM REEMBOLSOS (108)"</f>
        <v>RECEITAS COM REEMBOLSOS (108)</v>
      </c>
      <c r="T4523">
        <v>31907</v>
      </c>
      <c r="U4523">
        <v>35401</v>
      </c>
      <c r="V4523" t="s">
        <v>22</v>
      </c>
    </row>
    <row r="4524" spans="1:22">
      <c r="A4524" t="str">
        <f t="shared" si="819"/>
        <v>25/03/2026</v>
      </c>
      <c r="B4524" t="str">
        <f>"ENTRADA"</f>
        <v>ENTRADA</v>
      </c>
      <c r="C4524" t="str">
        <f>"DINHEIRO"</f>
        <v>DINHEIRO</v>
      </c>
      <c r="D4524" t="str">
        <f>"19032026"</f>
        <v>19032026</v>
      </c>
      <c r="E4524" t="str">
        <f>"2"</f>
        <v>2</v>
      </c>
      <c r="F4524" t="str">
        <f t="shared" si="815"/>
        <v>COM</v>
      </c>
      <c r="G4524" t="str">
        <f>"FELIPE ALEXANDRE CAMA (976)"</f>
        <v>FELIPE ALEXANDRE CAMA (976)</v>
      </c>
      <c r="H4524" t="s">
        <v>876</v>
      </c>
      <c r="I4524" t="str">
        <f t="shared" si="825"/>
        <v>26/03/2026</v>
      </c>
      <c r="J4524" t="str">
        <f>("18/03/2026")</f>
        <v>18/03/2026</v>
      </c>
      <c r="K4524">
        <v>46106</v>
      </c>
      <c r="N4524">
        <v>108</v>
      </c>
      <c r="O4524" t="s">
        <v>871</v>
      </c>
      <c r="Q4524">
        <v>20</v>
      </c>
      <c r="R4524" t="str">
        <f>"PENSE FARMA 20 (10203)"</f>
        <v>PENSE FARMA 20 (10203)</v>
      </c>
      <c r="S4524" t="s">
        <v>872</v>
      </c>
      <c r="T4524">
        <v>31907</v>
      </c>
      <c r="U4524">
        <v>35401</v>
      </c>
      <c r="V4524" t="s">
        <v>22</v>
      </c>
    </row>
    <row r="4525" spans="1:22">
      <c r="A4525" t="str">
        <f t="shared" si="819"/>
        <v>25/03/2026</v>
      </c>
      <c r="B4525" t="str">
        <f>"SAÍDA"</f>
        <v>SAÍDA</v>
      </c>
      <c r="C4525" t="str">
        <f>"PIX"</f>
        <v>PIX</v>
      </c>
      <c r="D4525" t="str">
        <f>"35925"</f>
        <v>35925</v>
      </c>
      <c r="E4525" t="str">
        <f>"1"</f>
        <v>1</v>
      </c>
      <c r="F4525" t="str">
        <f t="shared" si="815"/>
        <v>COM</v>
      </c>
      <c r="G4525" t="str">
        <f>"JULIO GUIMARAES DOS SANTOS (977)"</f>
        <v>JULIO GUIMARAES DOS SANTOS (977)</v>
      </c>
      <c r="H4525" t="str">
        <f>"Serv.Prest. 16/03/2026 a 22/03/2026 - PIX: CELULAR - CHAVE: (11) 94195-2534"</f>
        <v>Serv.Prest. 16/03/2026 a 22/03/2026 - PIX: CELULAR - CHAVE: (11) 94195-2534</v>
      </c>
      <c r="I4525" t="str">
        <f t="shared" si="825"/>
        <v>26/03/2026</v>
      </c>
      <c r="J4525" t="str">
        <f>("23/03/2026")</f>
        <v>23/03/2026</v>
      </c>
      <c r="K4525" t="str">
        <f>("25/03/2026")</f>
        <v>25/03/2026</v>
      </c>
      <c r="L4525">
        <v>26</v>
      </c>
      <c r="M4525">
        <v>26</v>
      </c>
      <c r="N4525">
        <v>109</v>
      </c>
      <c r="O4525" t="str">
        <f>"PAGAMENTO DE ENTREGADORES"</f>
        <v>PAGAMENTO DE ENTREGADORES</v>
      </c>
      <c r="P4525">
        <v>26</v>
      </c>
      <c r="S4525" t="str">
        <f>"CAIXA MOVIMENTAÇÃO OPERACIONAL (132)"</f>
        <v>CAIXA MOVIMENTAÇÃO OPERACIONAL (132)</v>
      </c>
      <c r="T4525">
        <v>31908</v>
      </c>
      <c r="U4525">
        <v>36316</v>
      </c>
      <c r="V4525" t="s">
        <v>22</v>
      </c>
    </row>
    <row r="4526" spans="1:22">
      <c r="A4526" t="str">
        <f t="shared" si="819"/>
        <v>25/03/2026</v>
      </c>
      <c r="B4526" t="str">
        <f>"SAÍDA"</f>
        <v>SAÍDA</v>
      </c>
      <c r="C4526" t="str">
        <f>"PIX"</f>
        <v>PIX</v>
      </c>
      <c r="D4526" t="str">
        <f>"35925"</f>
        <v>35925</v>
      </c>
      <c r="E4526" t="str">
        <f>"1"</f>
        <v>1</v>
      </c>
      <c r="F4526" t="str">
        <f t="shared" si="815"/>
        <v>COM</v>
      </c>
      <c r="G4526" t="str">
        <f>"JULIO GUIMARAES DOS SANTOS (977)"</f>
        <v>JULIO GUIMARAES DOS SANTOS (977)</v>
      </c>
      <c r="H4526" t="s">
        <v>1214</v>
      </c>
      <c r="I4526" t="str">
        <f t="shared" si="825"/>
        <v>26/03/2026</v>
      </c>
      <c r="J4526" t="str">
        <f>("23/03/2026")</f>
        <v>23/03/2026</v>
      </c>
      <c r="K4526">
        <v>46106</v>
      </c>
      <c r="N4526">
        <v>109</v>
      </c>
      <c r="O4526" t="s">
        <v>27</v>
      </c>
      <c r="Q4526">
        <v>26</v>
      </c>
      <c r="R4526" t="str">
        <f>"PENSE FARMA 36 (10206)"</f>
        <v>PENSE FARMA 36 (10206)</v>
      </c>
      <c r="S4526" t="s">
        <v>22</v>
      </c>
      <c r="T4526">
        <v>31908</v>
      </c>
      <c r="U4526">
        <v>36316</v>
      </c>
      <c r="V4526" t="s">
        <v>22</v>
      </c>
    </row>
    <row r="4527" spans="1:22">
      <c r="A4527" t="str">
        <f t="shared" si="819"/>
        <v>25/03/2026</v>
      </c>
      <c r="B4527" t="str">
        <f>"ENTRADA"</f>
        <v>ENTRADA</v>
      </c>
      <c r="C4527" t="str">
        <f>"DINHEIRO"</f>
        <v>DINHEIRO</v>
      </c>
      <c r="D4527" t="str">
        <f>"19032026"</f>
        <v>19032026</v>
      </c>
      <c r="E4527" t="str">
        <f>"2"</f>
        <v>2</v>
      </c>
      <c r="F4527" t="str">
        <f t="shared" si="815"/>
        <v>COM</v>
      </c>
      <c r="G4527" t="str">
        <f>"J??LIO GUIMAR??ES DOS SANTOS (977)"</f>
        <v>J??LIO GUIMAR??ES DOS SANTOS (977)</v>
      </c>
      <c r="H4527" t="str">
        <f>"REEMBOLSO UNIFORME"</f>
        <v>REEMBOLSO UNIFORME</v>
      </c>
      <c r="I4527" t="str">
        <f t="shared" si="825"/>
        <v>26/03/2026</v>
      </c>
      <c r="J4527" t="str">
        <f>("18/03/2026")</f>
        <v>18/03/2026</v>
      </c>
      <c r="K4527" t="str">
        <f>("25/03/2026")</f>
        <v>25/03/2026</v>
      </c>
      <c r="L4527">
        <v>26</v>
      </c>
      <c r="M4527">
        <v>26</v>
      </c>
      <c r="N4527">
        <v>108</v>
      </c>
      <c r="O4527" t="str">
        <f>"RECEITAS COM REEMBOLSOS"</f>
        <v>RECEITAS COM REEMBOLSOS</v>
      </c>
      <c r="P4527">
        <v>26</v>
      </c>
      <c r="S4527" t="str">
        <f>"RECEITAS COM REEMBOLSOS (108)"</f>
        <v>RECEITAS COM REEMBOLSOS (108)</v>
      </c>
      <c r="T4527">
        <v>31909</v>
      </c>
      <c r="U4527">
        <v>35404</v>
      </c>
      <c r="V4527" t="s">
        <v>22</v>
      </c>
    </row>
    <row r="4528" spans="1:22">
      <c r="A4528" t="str">
        <f t="shared" si="819"/>
        <v>25/03/2026</v>
      </c>
      <c r="B4528" t="str">
        <f>"ENTRADA"</f>
        <v>ENTRADA</v>
      </c>
      <c r="C4528" t="str">
        <f>"DINHEIRO"</f>
        <v>DINHEIRO</v>
      </c>
      <c r="D4528" t="str">
        <f>"19032026"</f>
        <v>19032026</v>
      </c>
      <c r="E4528" t="str">
        <f>"2"</f>
        <v>2</v>
      </c>
      <c r="F4528" t="str">
        <f t="shared" si="815"/>
        <v>COM</v>
      </c>
      <c r="G4528" t="str">
        <f>"J??LIO GUIMAR??ES DOS SANTOS (977)"</f>
        <v>J??LIO GUIMAR??ES DOS SANTOS (977)</v>
      </c>
      <c r="H4528" t="s">
        <v>883</v>
      </c>
      <c r="I4528" t="str">
        <f t="shared" si="825"/>
        <v>26/03/2026</v>
      </c>
      <c r="J4528" t="str">
        <f>("18/03/2026")</f>
        <v>18/03/2026</v>
      </c>
      <c r="K4528">
        <v>46106</v>
      </c>
      <c r="N4528">
        <v>108</v>
      </c>
      <c r="O4528" t="s">
        <v>871</v>
      </c>
      <c r="Q4528">
        <v>26</v>
      </c>
      <c r="R4528" t="str">
        <f>"PENSE FARMA 43 (10208)"</f>
        <v>PENSE FARMA 43 (10208)</v>
      </c>
      <c r="S4528" t="s">
        <v>872</v>
      </c>
      <c r="T4528">
        <v>31909</v>
      </c>
      <c r="U4528">
        <v>35404</v>
      </c>
      <c r="V4528" t="s">
        <v>22</v>
      </c>
    </row>
    <row r="4529" spans="1:22">
      <c r="A4529" t="str">
        <f t="shared" si="819"/>
        <v>25/03/2026</v>
      </c>
      <c r="B4529" t="str">
        <f>"SAÍDA"</f>
        <v>SAÍDA</v>
      </c>
      <c r="C4529" t="str">
        <f t="shared" ref="C4529:C4534" si="826">"PIX"</f>
        <v>PIX</v>
      </c>
      <c r="D4529" t="str">
        <f>"36097"</f>
        <v>36097</v>
      </c>
      <c r="E4529" t="str">
        <f>"1"</f>
        <v>1</v>
      </c>
      <c r="F4529" t="str">
        <f t="shared" si="815"/>
        <v>COM</v>
      </c>
      <c r="G4529" t="str">
        <f>"JOSE CARLOS ALEXANDRE (1315)"</f>
        <v>JOSE CARLOS ALEXANDRE (1315)</v>
      </c>
      <c r="H4529" t="str">
        <f>"Serv.Prest. 16/03/2026 a 22/03/2026 - PIX: CPF - CHAVE: 026.311.016-85"</f>
        <v>Serv.Prest. 16/03/2026 a 22/03/2026 - PIX: CPF - CHAVE: 026.311.016-85</v>
      </c>
      <c r="I4529" t="str">
        <f t="shared" si="825"/>
        <v>26/03/2026</v>
      </c>
      <c r="J4529" t="str">
        <f>("23/03/2026")</f>
        <v>23/03/2026</v>
      </c>
      <c r="K4529" t="str">
        <f>("25/03/2026")</f>
        <v>25/03/2026</v>
      </c>
      <c r="L4529">
        <v>57</v>
      </c>
      <c r="M4529">
        <v>57</v>
      </c>
      <c r="N4529">
        <v>109</v>
      </c>
      <c r="O4529" t="str">
        <f>"PAGAMENTO DE ENTREGADORES"</f>
        <v>PAGAMENTO DE ENTREGADORES</v>
      </c>
      <c r="P4529">
        <v>57</v>
      </c>
      <c r="S4529" t="str">
        <f>"CAIXA MOVIMENTAÇÃO OPERACIONAL (132)"</f>
        <v>CAIXA MOVIMENTAÇÃO OPERACIONAL (132)</v>
      </c>
      <c r="T4529">
        <v>31910</v>
      </c>
      <c r="U4529">
        <v>36317</v>
      </c>
      <c r="V4529" t="s">
        <v>22</v>
      </c>
    </row>
    <row r="4530" spans="1:22">
      <c r="A4530" t="str">
        <f t="shared" si="819"/>
        <v>25/03/2026</v>
      </c>
      <c r="B4530" t="str">
        <f>"SAÍDA"</f>
        <v>SAÍDA</v>
      </c>
      <c r="C4530" t="str">
        <f t="shared" si="826"/>
        <v>PIX</v>
      </c>
      <c r="D4530" t="str">
        <f>"36097"</f>
        <v>36097</v>
      </c>
      <c r="E4530" t="str">
        <f>"1"</f>
        <v>1</v>
      </c>
      <c r="F4530" t="str">
        <f t="shared" si="815"/>
        <v>COM</v>
      </c>
      <c r="G4530" t="str">
        <f>"JOSE CARLOS ALEXANDRE (1315)"</f>
        <v>JOSE CARLOS ALEXANDRE (1315)</v>
      </c>
      <c r="H4530" t="s">
        <v>1215</v>
      </c>
      <c r="I4530" t="str">
        <f t="shared" si="825"/>
        <v>26/03/2026</v>
      </c>
      <c r="J4530" t="str">
        <f>("23/03/2026")</f>
        <v>23/03/2026</v>
      </c>
      <c r="K4530">
        <v>46106</v>
      </c>
      <c r="N4530">
        <v>109</v>
      </c>
      <c r="O4530" t="s">
        <v>27</v>
      </c>
      <c r="Q4530">
        <v>57</v>
      </c>
      <c r="R4530" t="str">
        <f>"LBL FARMACIA LTDA (10189)"</f>
        <v>LBL FARMACIA LTDA (10189)</v>
      </c>
      <c r="S4530" t="s">
        <v>22</v>
      </c>
      <c r="T4530">
        <v>31910</v>
      </c>
      <c r="U4530">
        <v>36317</v>
      </c>
      <c r="V4530" t="s">
        <v>22</v>
      </c>
    </row>
    <row r="4531" spans="1:22">
      <c r="A4531" t="str">
        <f t="shared" ref="A4531:A4562" si="827">("25/03/2026")</f>
        <v>25/03/2026</v>
      </c>
      <c r="B4531" t="str">
        <f>"ENTRADA"</f>
        <v>ENTRADA</v>
      </c>
      <c r="C4531" t="str">
        <f t="shared" si="826"/>
        <v>PIX</v>
      </c>
      <c r="D4531" t="str">
        <f>"19032026"</f>
        <v>19032026</v>
      </c>
      <c r="E4531" t="str">
        <f>""</f>
        <v/>
      </c>
      <c r="F4531" t="str">
        <f t="shared" si="815"/>
        <v>COM</v>
      </c>
      <c r="G4531" t="str">
        <f>"JOSE CARLOS ALEXANDRE (1315)"</f>
        <v>JOSE CARLOS ALEXANDRE (1315)</v>
      </c>
      <c r="H4531" t="str">
        <f>"REEMBOLSO BAG"</f>
        <v>REEMBOLSO BAG</v>
      </c>
      <c r="I4531" t="str">
        <f t="shared" si="825"/>
        <v>26/03/2026</v>
      </c>
      <c r="J4531" t="str">
        <f>("18/03/2026")</f>
        <v>18/03/2026</v>
      </c>
      <c r="K4531" t="str">
        <f>("25/03/2026")</f>
        <v>25/03/2026</v>
      </c>
      <c r="L4531">
        <v>57</v>
      </c>
      <c r="M4531">
        <v>57</v>
      </c>
      <c r="N4531">
        <v>108</v>
      </c>
      <c r="O4531" t="str">
        <f>"RECEITAS COM REEMBOLSOS"</f>
        <v>RECEITAS COM REEMBOLSOS</v>
      </c>
      <c r="P4531">
        <v>57</v>
      </c>
      <c r="S4531" t="str">
        <f>"RECEITAS COM REEMBOLSOS (108)"</f>
        <v>RECEITAS COM REEMBOLSOS (108)</v>
      </c>
      <c r="T4531">
        <v>31911</v>
      </c>
      <c r="U4531">
        <v>35443</v>
      </c>
      <c r="V4531" t="s">
        <v>22</v>
      </c>
    </row>
    <row r="4532" spans="1:22">
      <c r="A4532" t="str">
        <f t="shared" si="827"/>
        <v>25/03/2026</v>
      </c>
      <c r="B4532" t="str">
        <f>"ENTRADA"</f>
        <v>ENTRADA</v>
      </c>
      <c r="C4532" t="str">
        <f t="shared" si="826"/>
        <v>PIX</v>
      </c>
      <c r="D4532" t="str">
        <f>"19032026"</f>
        <v>19032026</v>
      </c>
      <c r="E4532" t="str">
        <f>""</f>
        <v/>
      </c>
      <c r="F4532" t="str">
        <f t="shared" si="815"/>
        <v>COM</v>
      </c>
      <c r="G4532" t="str">
        <f>"JOSE CARLOS ALEXANDRE (1315)"</f>
        <v>JOSE CARLOS ALEXANDRE (1315)</v>
      </c>
      <c r="H4532" t="s">
        <v>901</v>
      </c>
      <c r="I4532" t="str">
        <f t="shared" si="825"/>
        <v>26/03/2026</v>
      </c>
      <c r="J4532" t="str">
        <f>("18/03/2026")</f>
        <v>18/03/2026</v>
      </c>
      <c r="K4532">
        <v>46106</v>
      </c>
      <c r="N4532">
        <v>108</v>
      </c>
      <c r="O4532" t="s">
        <v>871</v>
      </c>
      <c r="Q4532">
        <v>57</v>
      </c>
      <c r="R4532" t="str">
        <f>"LBL FARMACIA LTDA (10189)"</f>
        <v>LBL FARMACIA LTDA (10189)</v>
      </c>
      <c r="S4532" t="s">
        <v>872</v>
      </c>
      <c r="T4532">
        <v>31911</v>
      </c>
      <c r="U4532">
        <v>35443</v>
      </c>
      <c r="V4532" t="s">
        <v>22</v>
      </c>
    </row>
    <row r="4533" spans="1:22">
      <c r="A4533" t="str">
        <f t="shared" si="827"/>
        <v>25/03/2026</v>
      </c>
      <c r="B4533" t="str">
        <f>"SAÍDA"</f>
        <v>SAÍDA</v>
      </c>
      <c r="C4533" t="str">
        <f t="shared" si="826"/>
        <v>PIX</v>
      </c>
      <c r="D4533" t="str">
        <f>"35899"</f>
        <v>35899</v>
      </c>
      <c r="E4533" t="str">
        <f>"1"</f>
        <v>1</v>
      </c>
      <c r="F4533" t="str">
        <f t="shared" si="815"/>
        <v>COM</v>
      </c>
      <c r="G4533" t="str">
        <f>"LUAN DOS REIS SILVA (954)"</f>
        <v>LUAN DOS REIS SILVA (954)</v>
      </c>
      <c r="H4533" t="str">
        <f>"Serv.Prest. 16/03/2026 a 22/03/2026 - PIX: CELULAR - CHAVE: (11) 95906-5439"</f>
        <v>Serv.Prest. 16/03/2026 a 22/03/2026 - PIX: CELULAR - CHAVE: (11) 95906-5439</v>
      </c>
      <c r="I4533" t="str">
        <f t="shared" si="825"/>
        <v>26/03/2026</v>
      </c>
      <c r="J4533" t="str">
        <f>("23/03/2026")</f>
        <v>23/03/2026</v>
      </c>
      <c r="K4533" t="str">
        <f>("25/03/2026")</f>
        <v>25/03/2026</v>
      </c>
      <c r="L4533">
        <v>20</v>
      </c>
      <c r="M4533">
        <v>20</v>
      </c>
      <c r="N4533">
        <v>109</v>
      </c>
      <c r="O4533" t="str">
        <f>"PAGAMENTO DE ENTREGADORES"</f>
        <v>PAGAMENTO DE ENTREGADORES</v>
      </c>
      <c r="P4533">
        <v>20</v>
      </c>
      <c r="S4533" t="str">
        <f>"CAIXA MOVIMENTAÇÃO OPERACIONAL (132)"</f>
        <v>CAIXA MOVIMENTAÇÃO OPERACIONAL (132)</v>
      </c>
      <c r="T4533">
        <v>31912</v>
      </c>
      <c r="U4533">
        <v>36318</v>
      </c>
      <c r="V4533" t="s">
        <v>22</v>
      </c>
    </row>
    <row r="4534" spans="1:22">
      <c r="A4534" t="str">
        <f t="shared" si="827"/>
        <v>25/03/2026</v>
      </c>
      <c r="B4534" t="str">
        <f>"SAÍDA"</f>
        <v>SAÍDA</v>
      </c>
      <c r="C4534" t="str">
        <f t="shared" si="826"/>
        <v>PIX</v>
      </c>
      <c r="D4534" t="str">
        <f>"35899"</f>
        <v>35899</v>
      </c>
      <c r="E4534" t="str">
        <f>"1"</f>
        <v>1</v>
      </c>
      <c r="F4534" t="str">
        <f t="shared" si="815"/>
        <v>COM</v>
      </c>
      <c r="G4534" t="str">
        <f>"LUAN DOS REIS SILVA (954)"</f>
        <v>LUAN DOS REIS SILVA (954)</v>
      </c>
      <c r="H4534" t="s">
        <v>1216</v>
      </c>
      <c r="I4534" t="str">
        <f t="shared" si="825"/>
        <v>26/03/2026</v>
      </c>
      <c r="J4534" t="str">
        <f>("23/03/2026")</f>
        <v>23/03/2026</v>
      </c>
      <c r="K4534">
        <v>46106</v>
      </c>
      <c r="N4534">
        <v>109</v>
      </c>
      <c r="O4534" t="s">
        <v>27</v>
      </c>
      <c r="Q4534">
        <v>20</v>
      </c>
      <c r="R4534" t="str">
        <f>"PENSE FARMA 27 (10204)"</f>
        <v>PENSE FARMA 27 (10204)</v>
      </c>
      <c r="S4534" t="s">
        <v>22</v>
      </c>
      <c r="T4534">
        <v>31912</v>
      </c>
      <c r="U4534">
        <v>36318</v>
      </c>
      <c r="V4534" t="s">
        <v>22</v>
      </c>
    </row>
    <row r="4535" spans="1:22">
      <c r="A4535" t="str">
        <f t="shared" si="827"/>
        <v>25/03/2026</v>
      </c>
      <c r="B4535" t="str">
        <f>"ENTRADA"</f>
        <v>ENTRADA</v>
      </c>
      <c r="C4535" t="str">
        <f>"DINHEIRO"</f>
        <v>DINHEIRO</v>
      </c>
      <c r="D4535" t="str">
        <f>"19032026"</f>
        <v>19032026</v>
      </c>
      <c r="E4535" t="str">
        <f>"2"</f>
        <v>2</v>
      </c>
      <c r="F4535" t="str">
        <f t="shared" si="815"/>
        <v>COM</v>
      </c>
      <c r="G4535" t="str">
        <f>"LUAN DOS REIS SILV A (954)"</f>
        <v>LUAN DOS REIS SILV A (954)</v>
      </c>
      <c r="H4535" t="str">
        <f>"REEMBOLSO UNIFORMES"</f>
        <v>REEMBOLSO UNIFORMES</v>
      </c>
      <c r="I4535" t="str">
        <f t="shared" si="825"/>
        <v>26/03/2026</v>
      </c>
      <c r="J4535" t="str">
        <f>("18/03/2026")</f>
        <v>18/03/2026</v>
      </c>
      <c r="K4535" t="str">
        <f>("25/03/2026")</f>
        <v>25/03/2026</v>
      </c>
      <c r="L4535">
        <v>20</v>
      </c>
      <c r="M4535">
        <v>20</v>
      </c>
      <c r="N4535">
        <v>108</v>
      </c>
      <c r="O4535" t="str">
        <f>"RECEITAS COM REEMBOLSOS"</f>
        <v>RECEITAS COM REEMBOLSOS</v>
      </c>
      <c r="P4535">
        <v>20</v>
      </c>
      <c r="S4535" t="str">
        <f>"RECEITAS COM REEMBOLSOS (108)"</f>
        <v>RECEITAS COM REEMBOLSOS (108)</v>
      </c>
      <c r="T4535">
        <v>31913</v>
      </c>
      <c r="U4535">
        <v>35414</v>
      </c>
      <c r="V4535" t="s">
        <v>22</v>
      </c>
    </row>
    <row r="4536" spans="1:22">
      <c r="A4536" t="str">
        <f t="shared" si="827"/>
        <v>25/03/2026</v>
      </c>
      <c r="B4536" t="str">
        <f>"ENTRADA"</f>
        <v>ENTRADA</v>
      </c>
      <c r="C4536" t="str">
        <f>"DINHEIRO"</f>
        <v>DINHEIRO</v>
      </c>
      <c r="D4536" t="str">
        <f>"19032026"</f>
        <v>19032026</v>
      </c>
      <c r="E4536" t="str">
        <f>"2"</f>
        <v>2</v>
      </c>
      <c r="F4536" t="str">
        <f t="shared" si="815"/>
        <v>COM</v>
      </c>
      <c r="G4536" t="str">
        <f>"LUAN DOS REIS SILV A (954)"</f>
        <v>LUAN DOS REIS SILV A (954)</v>
      </c>
      <c r="H4536" t="s">
        <v>876</v>
      </c>
      <c r="I4536" t="str">
        <f t="shared" si="825"/>
        <v>26/03/2026</v>
      </c>
      <c r="J4536" t="str">
        <f>("18/03/2026")</f>
        <v>18/03/2026</v>
      </c>
      <c r="K4536">
        <v>46106</v>
      </c>
      <c r="N4536">
        <v>108</v>
      </c>
      <c r="O4536" t="s">
        <v>871</v>
      </c>
      <c r="Q4536">
        <v>20</v>
      </c>
      <c r="R4536" t="str">
        <f>"PENSE FARMA 13 (10202)"</f>
        <v>PENSE FARMA 13 (10202)</v>
      </c>
      <c r="S4536" t="s">
        <v>872</v>
      </c>
      <c r="T4536">
        <v>31913</v>
      </c>
      <c r="U4536">
        <v>35414</v>
      </c>
      <c r="V4536" t="s">
        <v>22</v>
      </c>
    </row>
    <row r="4537" spans="1:22">
      <c r="A4537" t="str">
        <f t="shared" si="827"/>
        <v>25/03/2026</v>
      </c>
      <c r="B4537" t="str">
        <f>"SAÍDA"</f>
        <v>SAÍDA</v>
      </c>
      <c r="C4537" t="str">
        <f>"PIX"</f>
        <v>PIX</v>
      </c>
      <c r="D4537" t="str">
        <f>"35817"</f>
        <v>35817</v>
      </c>
      <c r="E4537" t="str">
        <f>"1"</f>
        <v>1</v>
      </c>
      <c r="F4537" t="str">
        <f t="shared" si="815"/>
        <v>COM</v>
      </c>
      <c r="G4537" t="str">
        <f>"MAICON ALVES DA SILVA (1205)"</f>
        <v>MAICON ALVES DA SILVA (1205)</v>
      </c>
      <c r="H4537" t="str">
        <f>"Serv.Prest. 16/03/2026 a 22/03/2026 - PIX: CNPJ - CHAVE: 48.182.907/0001-45"</f>
        <v>Serv.Prest. 16/03/2026 a 22/03/2026 - PIX: CNPJ - CHAVE: 48.182.907/0001-45</v>
      </c>
      <c r="I4537" t="str">
        <f t="shared" si="825"/>
        <v>26/03/2026</v>
      </c>
      <c r="J4537" t="str">
        <f>("23/03/2026")</f>
        <v>23/03/2026</v>
      </c>
      <c r="K4537" t="str">
        <f>("25/03/2026")</f>
        <v>25/03/2026</v>
      </c>
      <c r="L4537">
        <v>28</v>
      </c>
      <c r="M4537">
        <v>28</v>
      </c>
      <c r="N4537">
        <v>109</v>
      </c>
      <c r="O4537" t="str">
        <f>"PAGAMENTO DE ENTREGADORES"</f>
        <v>PAGAMENTO DE ENTREGADORES</v>
      </c>
      <c r="P4537">
        <v>28</v>
      </c>
      <c r="S4537" t="str">
        <f>"CAIXA MOVIMENTAÇÃO OPERACIONAL (132)"</f>
        <v>CAIXA MOVIMENTAÇÃO OPERACIONAL (132)</v>
      </c>
      <c r="T4537">
        <v>31914</v>
      </c>
      <c r="U4537">
        <v>36319</v>
      </c>
      <c r="V4537" t="s">
        <v>22</v>
      </c>
    </row>
    <row r="4538" spans="1:22">
      <c r="A4538" t="str">
        <f t="shared" si="827"/>
        <v>25/03/2026</v>
      </c>
      <c r="B4538" t="str">
        <f>"SAÍDA"</f>
        <v>SAÍDA</v>
      </c>
      <c r="C4538" t="str">
        <f>"PIX"</f>
        <v>PIX</v>
      </c>
      <c r="D4538" t="str">
        <f>"35817"</f>
        <v>35817</v>
      </c>
      <c r="E4538" t="str">
        <f>"1"</f>
        <v>1</v>
      </c>
      <c r="F4538" t="str">
        <f t="shared" si="815"/>
        <v>COM</v>
      </c>
      <c r="G4538" t="str">
        <f>"MAICON ALVES DA SILVA (1205)"</f>
        <v>MAICON ALVES DA SILVA (1205)</v>
      </c>
      <c r="H4538" t="s">
        <v>1217</v>
      </c>
      <c r="I4538" t="str">
        <f t="shared" si="825"/>
        <v>26/03/2026</v>
      </c>
      <c r="J4538" t="str">
        <f>("23/03/2026")</f>
        <v>23/03/2026</v>
      </c>
      <c r="K4538">
        <v>46106</v>
      </c>
      <c r="N4538">
        <v>109</v>
      </c>
      <c r="O4538" t="s">
        <v>27</v>
      </c>
      <c r="Q4538">
        <v>28</v>
      </c>
      <c r="R4538" t="str">
        <f>"BEM TE FAZ LOJA 9 (10286)"</f>
        <v>BEM TE FAZ LOJA 9 (10286)</v>
      </c>
      <c r="S4538" t="s">
        <v>22</v>
      </c>
      <c r="T4538">
        <v>31914</v>
      </c>
      <c r="U4538">
        <v>36319</v>
      </c>
      <c r="V4538" t="s">
        <v>22</v>
      </c>
    </row>
    <row r="4539" spans="1:22">
      <c r="A4539" t="str">
        <f t="shared" si="827"/>
        <v>25/03/2026</v>
      </c>
      <c r="B4539" t="str">
        <f>"ENTRADA"</f>
        <v>ENTRADA</v>
      </c>
      <c r="C4539" t="str">
        <f>"DINHEIRO"</f>
        <v>DINHEIRO</v>
      </c>
      <c r="D4539" t="str">
        <f>"19032026"</f>
        <v>19032026</v>
      </c>
      <c r="E4539" t="str">
        <f>"2"</f>
        <v>2</v>
      </c>
      <c r="F4539" t="str">
        <f t="shared" si="815"/>
        <v>COM</v>
      </c>
      <c r="G4539" t="str">
        <f>"MAICON ALVES DA SILVA (1205)"</f>
        <v>MAICON ALVES DA SILVA (1205)</v>
      </c>
      <c r="H4539" t="str">
        <f>"REEMBOLSO BAG"</f>
        <v>REEMBOLSO BAG</v>
      </c>
      <c r="I4539" t="str">
        <f t="shared" si="825"/>
        <v>26/03/2026</v>
      </c>
      <c r="J4539" t="str">
        <f>("18/03/2026")</f>
        <v>18/03/2026</v>
      </c>
      <c r="K4539" t="str">
        <f>("25/03/2026")</f>
        <v>25/03/2026</v>
      </c>
      <c r="L4539">
        <v>28</v>
      </c>
      <c r="M4539">
        <v>28</v>
      </c>
      <c r="N4539">
        <v>108</v>
      </c>
      <c r="O4539" t="str">
        <f>"RECEITAS COM REEMBOLSOS"</f>
        <v>RECEITAS COM REEMBOLSOS</v>
      </c>
      <c r="P4539">
        <v>28</v>
      </c>
      <c r="S4539" t="str">
        <f>"RECEITAS COM REEMBOLSOS (108)"</f>
        <v>RECEITAS COM REEMBOLSOS (108)</v>
      </c>
      <c r="T4539">
        <v>31915</v>
      </c>
      <c r="U4539">
        <v>35459</v>
      </c>
      <c r="V4539" t="s">
        <v>22</v>
      </c>
    </row>
    <row r="4540" spans="1:22">
      <c r="A4540" t="str">
        <f t="shared" si="827"/>
        <v>25/03/2026</v>
      </c>
      <c r="B4540" t="str">
        <f>"ENTRADA"</f>
        <v>ENTRADA</v>
      </c>
      <c r="C4540" t="str">
        <f>"DINHEIRO"</f>
        <v>DINHEIRO</v>
      </c>
      <c r="D4540" t="str">
        <f>"19032026"</f>
        <v>19032026</v>
      </c>
      <c r="E4540" t="str">
        <f>"2"</f>
        <v>2</v>
      </c>
      <c r="F4540" t="str">
        <f t="shared" si="815"/>
        <v>COM</v>
      </c>
      <c r="G4540" t="str">
        <f>"MAICON ALVES DA SILVA (1205)"</f>
        <v>MAICON ALVES DA SILVA (1205)</v>
      </c>
      <c r="H4540" t="s">
        <v>901</v>
      </c>
      <c r="I4540" t="str">
        <f t="shared" si="825"/>
        <v>26/03/2026</v>
      </c>
      <c r="J4540" t="str">
        <f>("18/03/2026")</f>
        <v>18/03/2026</v>
      </c>
      <c r="K4540">
        <v>46106</v>
      </c>
      <c r="N4540">
        <v>108</v>
      </c>
      <c r="O4540" t="s">
        <v>871</v>
      </c>
      <c r="Q4540">
        <v>28</v>
      </c>
      <c r="R4540" t="str">
        <f>"BEM TE FAZ LOJA 9 (10286)"</f>
        <v>BEM TE FAZ LOJA 9 (10286)</v>
      </c>
      <c r="S4540" t="s">
        <v>872</v>
      </c>
      <c r="T4540">
        <v>31915</v>
      </c>
      <c r="U4540">
        <v>35459</v>
      </c>
      <c r="V4540" t="s">
        <v>22</v>
      </c>
    </row>
    <row r="4541" spans="1:22">
      <c r="A4541" t="str">
        <f t="shared" si="827"/>
        <v>25/03/2026</v>
      </c>
      <c r="B4541" t="str">
        <f>"SAÍDA"</f>
        <v>SAÍDA</v>
      </c>
      <c r="C4541" t="str">
        <f>"PIX"</f>
        <v>PIX</v>
      </c>
      <c r="D4541" t="str">
        <f>"36144"</f>
        <v>36144</v>
      </c>
      <c r="E4541" t="str">
        <f>"1"</f>
        <v>1</v>
      </c>
      <c r="F4541" t="str">
        <f t="shared" si="815"/>
        <v>COM</v>
      </c>
      <c r="G4541" t="str">
        <f>"ROBSON OLIVEIRA DE JESUS (623)"</f>
        <v>ROBSON OLIVEIRA DE JESUS (623)</v>
      </c>
      <c r="H4541" t="str">
        <f>"Serv.Prest. 16/03/2026 a 22/03/2026 - PIX: CELULAR - CHAVE: (73) 98166-3325"</f>
        <v>Serv.Prest. 16/03/2026 a 22/03/2026 - PIX: CELULAR - CHAVE: (73) 98166-3325</v>
      </c>
      <c r="I4541" t="str">
        <f t="shared" si="825"/>
        <v>26/03/2026</v>
      </c>
      <c r="J4541" t="str">
        <f>("24/03/2026")</f>
        <v>24/03/2026</v>
      </c>
      <c r="K4541" t="str">
        <f>("25/03/2026")</f>
        <v>25/03/2026</v>
      </c>
      <c r="L4541">
        <v>20</v>
      </c>
      <c r="M4541">
        <v>20</v>
      </c>
      <c r="N4541">
        <v>109</v>
      </c>
      <c r="O4541" t="str">
        <f>"PAGAMENTO DE ENTREGADORES"</f>
        <v>PAGAMENTO DE ENTREGADORES</v>
      </c>
      <c r="P4541">
        <v>20</v>
      </c>
      <c r="S4541" t="str">
        <f>"CAIXA MOVIMENTAÇÃO OPERACIONAL (132)"</f>
        <v>CAIXA MOVIMENTAÇÃO OPERACIONAL (132)</v>
      </c>
      <c r="T4541">
        <v>31916</v>
      </c>
      <c r="U4541">
        <v>36320</v>
      </c>
      <c r="V4541" t="s">
        <v>22</v>
      </c>
    </row>
    <row r="4542" spans="1:22">
      <c r="A4542" t="str">
        <f t="shared" si="827"/>
        <v>25/03/2026</v>
      </c>
      <c r="B4542" t="str">
        <f>"SAÍDA"</f>
        <v>SAÍDA</v>
      </c>
      <c r="C4542" t="str">
        <f>"PIX"</f>
        <v>PIX</v>
      </c>
      <c r="D4542" t="str">
        <f>"36144"</f>
        <v>36144</v>
      </c>
      <c r="E4542" t="str">
        <f>"1"</f>
        <v>1</v>
      </c>
      <c r="F4542" t="str">
        <f t="shared" si="815"/>
        <v>COM</v>
      </c>
      <c r="G4542" t="str">
        <f>"ROBSON OLIVEIRA DE JESUS (623)"</f>
        <v>ROBSON OLIVEIRA DE JESUS (623)</v>
      </c>
      <c r="H4542" t="s">
        <v>1218</v>
      </c>
      <c r="I4542" t="str">
        <f t="shared" si="825"/>
        <v>26/03/2026</v>
      </c>
      <c r="J4542" t="str">
        <f>("24/03/2026")</f>
        <v>24/03/2026</v>
      </c>
      <c r="K4542">
        <v>46106</v>
      </c>
      <c r="N4542">
        <v>109</v>
      </c>
      <c r="O4542" t="s">
        <v>27</v>
      </c>
      <c r="Q4542">
        <v>20</v>
      </c>
      <c r="R4542" t="str">
        <f>"FARMÁCIA INDIANA LJ 145 (10068)"</f>
        <v>FARMÁCIA INDIANA LJ 145 (10068)</v>
      </c>
      <c r="S4542" t="s">
        <v>22</v>
      </c>
      <c r="T4542">
        <v>31916</v>
      </c>
      <c r="U4542">
        <v>36320</v>
      </c>
      <c r="V4542" t="s">
        <v>22</v>
      </c>
    </row>
    <row r="4543" spans="1:22">
      <c r="A4543" t="str">
        <f t="shared" si="827"/>
        <v>25/03/2026</v>
      </c>
      <c r="B4543" t="str">
        <f>"ENTRADA"</f>
        <v>ENTRADA</v>
      </c>
      <c r="C4543" t="str">
        <f>"DINHEIRO"</f>
        <v>DINHEIRO</v>
      </c>
      <c r="D4543" t="str">
        <f>"19032026"</f>
        <v>19032026</v>
      </c>
      <c r="E4543" t="str">
        <f>""</f>
        <v/>
      </c>
      <c r="F4543" t="str">
        <f t="shared" si="815"/>
        <v>COM</v>
      </c>
      <c r="G4543" t="str">
        <f>"ROBSON OLIVEIRA DE JESUS (623)"</f>
        <v>ROBSON OLIVEIRA DE JESUS (623)</v>
      </c>
      <c r="H4543" t="str">
        <f>"REEMBOLSO UNIFORME"</f>
        <v>REEMBOLSO UNIFORME</v>
      </c>
      <c r="I4543" t="str">
        <f t="shared" si="825"/>
        <v>26/03/2026</v>
      </c>
      <c r="J4543" t="str">
        <f>("18/03/2026")</f>
        <v>18/03/2026</v>
      </c>
      <c r="K4543" t="str">
        <f>("25/03/2026")</f>
        <v>25/03/2026</v>
      </c>
      <c r="L4543">
        <v>20</v>
      </c>
      <c r="M4543">
        <v>20</v>
      </c>
      <c r="N4543">
        <v>108</v>
      </c>
      <c r="O4543" t="str">
        <f>"RECEITAS COM REEMBOLSOS"</f>
        <v>RECEITAS COM REEMBOLSOS</v>
      </c>
      <c r="P4543">
        <v>20</v>
      </c>
      <c r="S4543" t="str">
        <f>"RECEITAS COM REEMBOLSOS (108)"</f>
        <v>RECEITAS COM REEMBOLSOS (108)</v>
      </c>
      <c r="T4543">
        <v>31917</v>
      </c>
      <c r="U4543">
        <v>35440</v>
      </c>
      <c r="V4543" t="s">
        <v>22</v>
      </c>
    </row>
    <row r="4544" spans="1:22">
      <c r="A4544" t="str">
        <f t="shared" si="827"/>
        <v>25/03/2026</v>
      </c>
      <c r="B4544" t="str">
        <f>"ENTRADA"</f>
        <v>ENTRADA</v>
      </c>
      <c r="C4544" t="str">
        <f>"DINHEIRO"</f>
        <v>DINHEIRO</v>
      </c>
      <c r="D4544" t="str">
        <f>"19032026"</f>
        <v>19032026</v>
      </c>
      <c r="E4544" t="str">
        <f>""</f>
        <v/>
      </c>
      <c r="F4544" t="str">
        <f t="shared" si="815"/>
        <v>COM</v>
      </c>
      <c r="G4544" t="str">
        <f>"ROBSON OLIVEIRA DE JESUS (623)"</f>
        <v>ROBSON OLIVEIRA DE JESUS (623)</v>
      </c>
      <c r="H4544" t="s">
        <v>883</v>
      </c>
      <c r="I4544" t="str">
        <f t="shared" si="825"/>
        <v>26/03/2026</v>
      </c>
      <c r="J4544" t="str">
        <f>("18/03/2026")</f>
        <v>18/03/2026</v>
      </c>
      <c r="K4544">
        <v>46106</v>
      </c>
      <c r="N4544">
        <v>108</v>
      </c>
      <c r="O4544" t="s">
        <v>871</v>
      </c>
      <c r="Q4544">
        <v>20</v>
      </c>
      <c r="R4544" t="str">
        <f>"FARMÁCIA INDIANA LJ 145 (10068)"</f>
        <v>FARMÁCIA INDIANA LJ 145 (10068)</v>
      </c>
      <c r="S4544" t="s">
        <v>872</v>
      </c>
      <c r="T4544">
        <v>31917</v>
      </c>
      <c r="U4544">
        <v>35440</v>
      </c>
      <c r="V4544" t="s">
        <v>22</v>
      </c>
    </row>
    <row r="4545" spans="1:22">
      <c r="A4545" t="str">
        <f t="shared" si="827"/>
        <v>25/03/2026</v>
      </c>
      <c r="B4545" t="str">
        <f t="shared" ref="B4545:B4552" si="828">"SAÍDA"</f>
        <v>SAÍDA</v>
      </c>
      <c r="C4545" t="str">
        <f>"BOLETO"</f>
        <v>BOLETO</v>
      </c>
      <c r="D4545" t="str">
        <f>"2605"</f>
        <v>2605</v>
      </c>
      <c r="E4545" t="str">
        <f>"35"</f>
        <v>35</v>
      </c>
      <c r="F4545" t="str">
        <f t="shared" si="815"/>
        <v>COM</v>
      </c>
      <c r="G4545" t="str">
        <f>"FLUX TELEMEDICINA (20076)"</f>
        <v>FLUX TELEMEDICINA (20076)</v>
      </c>
      <c r="H4545" t="str">
        <f>"PLANO TELEMEDICINA COOPERADOS"</f>
        <v>PLANO TELEMEDICINA COOPERADOS</v>
      </c>
      <c r="I4545" t="str">
        <f t="shared" ref="I4545:I4576" si="829">("25/03/2026")</f>
        <v>25/03/2026</v>
      </c>
      <c r="J4545" t="str">
        <f>("01/05/2025")</f>
        <v>01/05/2025</v>
      </c>
      <c r="K4545" t="str">
        <f>("25/03/2026")</f>
        <v>25/03/2026</v>
      </c>
      <c r="L4545">
        <v>2005.26</v>
      </c>
      <c r="M4545">
        <v>2005.26</v>
      </c>
      <c r="N4545">
        <v>192</v>
      </c>
      <c r="O4545" t="str">
        <f>"PLANOS E SEGUROS"</f>
        <v>PLANOS E SEGUROS</v>
      </c>
      <c r="P4545">
        <v>2005.26</v>
      </c>
      <c r="S4545" t="str">
        <f>"BANCO CORA (102)"</f>
        <v>BANCO CORA (102)</v>
      </c>
      <c r="T4545">
        <v>31918</v>
      </c>
      <c r="U4545">
        <v>15470</v>
      </c>
      <c r="V4545" t="s">
        <v>33</v>
      </c>
    </row>
    <row r="4546" spans="1:22">
      <c r="A4546" t="str">
        <f t="shared" si="827"/>
        <v>25/03/2026</v>
      </c>
      <c r="B4546" t="str">
        <f t="shared" si="828"/>
        <v>SAÍDA</v>
      </c>
      <c r="C4546" t="str">
        <f>"BOLETO"</f>
        <v>BOLETO</v>
      </c>
      <c r="D4546" t="str">
        <f>"2605"</f>
        <v>2605</v>
      </c>
      <c r="E4546" t="str">
        <f>"35"</f>
        <v>35</v>
      </c>
      <c r="F4546" t="str">
        <f t="shared" ref="F4546:F4609" si="830">"COM"</f>
        <v>COM</v>
      </c>
      <c r="G4546" t="str">
        <f>"FLUX TELEMEDICINA (20076)"</f>
        <v>FLUX TELEMEDICINA (20076)</v>
      </c>
      <c r="H4546" t="s">
        <v>1219</v>
      </c>
      <c r="I4546" t="str">
        <f t="shared" si="829"/>
        <v>25/03/2026</v>
      </c>
      <c r="J4546" t="str">
        <f>("01/05/2025")</f>
        <v>01/05/2025</v>
      </c>
      <c r="K4546">
        <v>46106</v>
      </c>
      <c r="N4546">
        <v>192</v>
      </c>
      <c r="O4546" t="s">
        <v>35</v>
      </c>
      <c r="Q4546">
        <v>2005.26</v>
      </c>
      <c r="R4546" t="str">
        <f>"FLUX TELEMEDICINA (20076)"</f>
        <v>FLUX TELEMEDICINA (20076)</v>
      </c>
      <c r="S4546" t="s">
        <v>33</v>
      </c>
      <c r="T4546">
        <v>31918</v>
      </c>
      <c r="U4546">
        <v>15470</v>
      </c>
      <c r="V4546" t="s">
        <v>33</v>
      </c>
    </row>
    <row r="4547" spans="1:22">
      <c r="A4547" t="str">
        <f t="shared" si="827"/>
        <v>25/03/2026</v>
      </c>
      <c r="B4547" t="str">
        <f t="shared" si="828"/>
        <v>SAÍDA</v>
      </c>
      <c r="C4547" t="str">
        <f t="shared" ref="C4547:C4552" si="831">"PIX"</f>
        <v>PIX</v>
      </c>
      <c r="D4547" t="str">
        <f>"35995"</f>
        <v>35995</v>
      </c>
      <c r="E4547" t="str">
        <f t="shared" ref="E4547:E4578" si="832">"1"</f>
        <v>1</v>
      </c>
      <c r="F4547" t="str">
        <f t="shared" si="830"/>
        <v>COM</v>
      </c>
      <c r="G4547" t="str">
        <f>"ALAN ACOSTA (897)"</f>
        <v>ALAN ACOSTA (897)</v>
      </c>
      <c r="H4547" t="str">
        <f>"Serv.Prest. 16/03/2026 a 22/03/2026 - PIX: CELULAR - CHAVE: (43) 99875-6490"</f>
        <v>Serv.Prest. 16/03/2026 a 22/03/2026 - PIX: CELULAR - CHAVE: (43) 99875-6490</v>
      </c>
      <c r="I4547" t="str">
        <f t="shared" si="829"/>
        <v>25/03/2026</v>
      </c>
      <c r="J4547" t="str">
        <f t="shared" ref="J4547:J4578" si="833">("23/03/2026")</f>
        <v>23/03/2026</v>
      </c>
      <c r="K4547" t="str">
        <f>("25/03/2026")</f>
        <v>25/03/2026</v>
      </c>
      <c r="L4547">
        <v>95.2</v>
      </c>
      <c r="M4547">
        <v>156</v>
      </c>
      <c r="N4547">
        <v>134</v>
      </c>
      <c r="O4547" t="str">
        <f>"DIARIA DE MOTOBOY"</f>
        <v>DIARIA DE MOTOBOY</v>
      </c>
      <c r="P4547">
        <v>156</v>
      </c>
      <c r="S4547" t="str">
        <f>"BANCO CORA (102)"</f>
        <v>BANCO CORA (102)</v>
      </c>
      <c r="T4547">
        <v>31919</v>
      </c>
      <c r="U4547">
        <v>35995</v>
      </c>
      <c r="V4547" t="s">
        <v>33</v>
      </c>
    </row>
    <row r="4548" spans="1:22">
      <c r="A4548" t="str">
        <f t="shared" si="827"/>
        <v>25/03/2026</v>
      </c>
      <c r="B4548" t="str">
        <f t="shared" si="828"/>
        <v>SAÍDA</v>
      </c>
      <c r="C4548" t="str">
        <f t="shared" si="831"/>
        <v>PIX</v>
      </c>
      <c r="D4548" t="str">
        <f>"35995"</f>
        <v>35995</v>
      </c>
      <c r="E4548" t="str">
        <f t="shared" si="832"/>
        <v>1</v>
      </c>
      <c r="F4548" t="str">
        <f t="shared" si="830"/>
        <v>COM</v>
      </c>
      <c r="G4548" t="str">
        <f>"ALAN ACOSTA (897)"</f>
        <v>ALAN ACOSTA (897)</v>
      </c>
      <c r="H4548" t="s">
        <v>1220</v>
      </c>
      <c r="I4548" t="str">
        <f t="shared" si="829"/>
        <v>25/03/2026</v>
      </c>
      <c r="J4548" t="str">
        <f t="shared" si="833"/>
        <v>23/03/2026</v>
      </c>
      <c r="K4548">
        <v>46106</v>
      </c>
      <c r="N4548">
        <v>134</v>
      </c>
      <c r="O4548" t="s">
        <v>30</v>
      </c>
      <c r="Q4548">
        <v>156</v>
      </c>
      <c r="R4548" t="str">
        <f>"PAGUE MENOS 321 (10295)"</f>
        <v>PAGUE MENOS 321 (10295)</v>
      </c>
      <c r="S4548" t="s">
        <v>33</v>
      </c>
      <c r="T4548">
        <v>31919</v>
      </c>
      <c r="U4548">
        <v>35995</v>
      </c>
      <c r="V4548" t="s">
        <v>33</v>
      </c>
    </row>
    <row r="4549" spans="1:22">
      <c r="A4549" t="str">
        <f t="shared" si="827"/>
        <v>25/03/2026</v>
      </c>
      <c r="B4549" t="str">
        <f t="shared" si="828"/>
        <v>SAÍDA</v>
      </c>
      <c r="C4549" t="str">
        <f t="shared" si="831"/>
        <v>PIX</v>
      </c>
      <c r="D4549" t="str">
        <f>"35888"</f>
        <v>35888</v>
      </c>
      <c r="E4549" t="str">
        <f t="shared" si="832"/>
        <v>1</v>
      </c>
      <c r="F4549" t="str">
        <f t="shared" si="830"/>
        <v>COM</v>
      </c>
      <c r="G4549" t="str">
        <f>"ALAN COSTA SILVA (994)"</f>
        <v>ALAN COSTA SILVA (994)</v>
      </c>
      <c r="H4549" t="str">
        <f>"Serv.Prest. 16/03/2026 a 22/03/2026 - PIX: CELULAR - CHAVE: (11) 98484-6837"</f>
        <v>Serv.Prest. 16/03/2026 a 22/03/2026 - PIX: CELULAR - CHAVE: (11) 98484-6837</v>
      </c>
      <c r="I4549" t="str">
        <f t="shared" si="829"/>
        <v>25/03/2026</v>
      </c>
      <c r="J4549" t="str">
        <f t="shared" si="833"/>
        <v>23/03/2026</v>
      </c>
      <c r="K4549" t="str">
        <f>("25/03/2026")</f>
        <v>25/03/2026</v>
      </c>
      <c r="L4549">
        <v>250</v>
      </c>
      <c r="M4549">
        <v>250</v>
      </c>
      <c r="N4549">
        <v>134</v>
      </c>
      <c r="O4549" t="str">
        <f>"DIARIA DE MOTOBOY"</f>
        <v>DIARIA DE MOTOBOY</v>
      </c>
      <c r="P4549">
        <v>250</v>
      </c>
      <c r="S4549" t="str">
        <f>"BANCO CORA (102)"</f>
        <v>BANCO CORA (102)</v>
      </c>
      <c r="T4549">
        <v>31920</v>
      </c>
      <c r="U4549">
        <v>36311</v>
      </c>
      <c r="V4549" t="s">
        <v>33</v>
      </c>
    </row>
    <row r="4550" spans="1:22">
      <c r="A4550" t="str">
        <f t="shared" si="827"/>
        <v>25/03/2026</v>
      </c>
      <c r="B4550" t="str">
        <f t="shared" si="828"/>
        <v>SAÍDA</v>
      </c>
      <c r="C4550" t="str">
        <f t="shared" si="831"/>
        <v>PIX</v>
      </c>
      <c r="D4550" t="str">
        <f>"35888"</f>
        <v>35888</v>
      </c>
      <c r="E4550" t="str">
        <f t="shared" si="832"/>
        <v>1</v>
      </c>
      <c r="F4550" t="str">
        <f t="shared" si="830"/>
        <v>COM</v>
      </c>
      <c r="G4550" t="str">
        <f>"ALAN COSTA SILVA (994)"</f>
        <v>ALAN COSTA SILVA (994)</v>
      </c>
      <c r="H4550" t="s">
        <v>1211</v>
      </c>
      <c r="I4550" t="str">
        <f t="shared" si="829"/>
        <v>25/03/2026</v>
      </c>
      <c r="J4550" t="str">
        <f t="shared" si="833"/>
        <v>23/03/2026</v>
      </c>
      <c r="K4550">
        <v>46106</v>
      </c>
      <c r="N4550">
        <v>134</v>
      </c>
      <c r="O4550" t="s">
        <v>30</v>
      </c>
      <c r="Q4550">
        <v>250</v>
      </c>
      <c r="R4550" t="str">
        <f>"PENSE FARMA 19 (10223)"</f>
        <v>PENSE FARMA 19 (10223)</v>
      </c>
      <c r="S4550" t="s">
        <v>33</v>
      </c>
      <c r="T4550">
        <v>31920</v>
      </c>
      <c r="U4550">
        <v>36311</v>
      </c>
      <c r="V4550" t="s">
        <v>33</v>
      </c>
    </row>
    <row r="4551" spans="1:22">
      <c r="A4551" t="str">
        <f t="shared" si="827"/>
        <v>25/03/2026</v>
      </c>
      <c r="B4551" t="str">
        <f t="shared" si="828"/>
        <v>SAÍDA</v>
      </c>
      <c r="C4551" t="str">
        <f t="shared" si="831"/>
        <v>PIX</v>
      </c>
      <c r="D4551" t="str">
        <f>"35861"</f>
        <v>35861</v>
      </c>
      <c r="E4551" t="str">
        <f t="shared" si="832"/>
        <v>1</v>
      </c>
      <c r="F4551" t="str">
        <f t="shared" si="830"/>
        <v>COM</v>
      </c>
      <c r="G4551" t="str">
        <f>"JEFFERSON AMORIM DA SILVA (940)"</f>
        <v>JEFFERSON AMORIM DA SILVA (940)</v>
      </c>
      <c r="H4551" t="str">
        <f>"Serv.Prest. 16/03/2026 a 22/03/2026 - PIX: CPF - CHAVE: 423.685.688-32"</f>
        <v>Serv.Prest. 16/03/2026 a 22/03/2026 - PIX: CPF - CHAVE: 423.685.688-32</v>
      </c>
      <c r="I4551" t="str">
        <f t="shared" si="829"/>
        <v>25/03/2026</v>
      </c>
      <c r="J4551" t="str">
        <f t="shared" si="833"/>
        <v>23/03/2026</v>
      </c>
      <c r="K4551" t="str">
        <f>("25/03/2026")</f>
        <v>25/03/2026</v>
      </c>
      <c r="L4551">
        <v>250</v>
      </c>
      <c r="M4551">
        <v>250</v>
      </c>
      <c r="N4551">
        <v>134</v>
      </c>
      <c r="O4551" t="str">
        <f>"DIARIA DE MOTOBOY"</f>
        <v>DIARIA DE MOTOBOY</v>
      </c>
      <c r="P4551">
        <v>250</v>
      </c>
      <c r="S4551" t="str">
        <f>"BANCO CORA (102)"</f>
        <v>BANCO CORA (102)</v>
      </c>
      <c r="T4551">
        <v>31921</v>
      </c>
      <c r="U4551">
        <v>36312</v>
      </c>
      <c r="V4551" t="s">
        <v>33</v>
      </c>
    </row>
    <row r="4552" spans="1:22">
      <c r="A4552" t="str">
        <f t="shared" si="827"/>
        <v>25/03/2026</v>
      </c>
      <c r="B4552" t="str">
        <f t="shared" si="828"/>
        <v>SAÍDA</v>
      </c>
      <c r="C4552" t="str">
        <f t="shared" si="831"/>
        <v>PIX</v>
      </c>
      <c r="D4552" t="str">
        <f>"35861"</f>
        <v>35861</v>
      </c>
      <c r="E4552" t="str">
        <f t="shared" si="832"/>
        <v>1</v>
      </c>
      <c r="F4552" t="str">
        <f t="shared" si="830"/>
        <v>COM</v>
      </c>
      <c r="G4552" t="str">
        <f>"JEFFERSON AMORIM DA SILVA (940)"</f>
        <v>JEFFERSON AMORIM DA SILVA (940)</v>
      </c>
      <c r="H4552" t="s">
        <v>1174</v>
      </c>
      <c r="I4552" t="str">
        <f t="shared" si="829"/>
        <v>25/03/2026</v>
      </c>
      <c r="J4552" t="str">
        <f t="shared" si="833"/>
        <v>23/03/2026</v>
      </c>
      <c r="K4552">
        <v>46106</v>
      </c>
      <c r="N4552">
        <v>134</v>
      </c>
      <c r="O4552" t="s">
        <v>30</v>
      </c>
      <c r="Q4552">
        <v>250</v>
      </c>
      <c r="R4552" t="str">
        <f>"PENSE FARMA 15 (10195)"</f>
        <v>PENSE FARMA 15 (10195)</v>
      </c>
      <c r="S4552" t="s">
        <v>33</v>
      </c>
      <c r="T4552">
        <v>31921</v>
      </c>
      <c r="U4552">
        <v>36312</v>
      </c>
      <c r="V4552" t="s">
        <v>33</v>
      </c>
    </row>
    <row r="4553" spans="1:22">
      <c r="A4553" t="str">
        <f t="shared" si="827"/>
        <v>25/03/2026</v>
      </c>
      <c r="B4553" t="str">
        <f t="shared" ref="B4553:B4584" si="834">"ENTRADA"</f>
        <v>ENTRADA</v>
      </c>
      <c r="C4553" t="str">
        <f t="shared" ref="C4553:C4584" si="835">"NFSE"</f>
        <v>NFSE</v>
      </c>
      <c r="D4553" t="str">
        <f>"563"</f>
        <v>563</v>
      </c>
      <c r="E4553" t="str">
        <f t="shared" si="832"/>
        <v>1</v>
      </c>
      <c r="F4553" t="str">
        <f t="shared" si="830"/>
        <v>COM</v>
      </c>
      <c r="G4553" t="str">
        <f>"PENSE FARMA 46 (10194)"</f>
        <v>PENSE FARMA 46 (10194)</v>
      </c>
      <c r="H4553" t="str">
        <f>"Serv.Prest. 16/03/2026 a 22/03/2026 - RPS: 2491 - NFSe: 563"</f>
        <v>Serv.Prest. 16/03/2026 a 22/03/2026 - RPS: 2491 - NFSe: 563</v>
      </c>
      <c r="I4553" t="str">
        <f t="shared" si="829"/>
        <v>25/03/2026</v>
      </c>
      <c r="J4553" t="str">
        <f t="shared" si="833"/>
        <v>23/03/2026</v>
      </c>
      <c r="K4553" t="str">
        <f>("25/03/2026")</f>
        <v>25/03/2026</v>
      </c>
      <c r="L4553">
        <v>2380</v>
      </c>
      <c r="M4553">
        <v>2380</v>
      </c>
      <c r="N4553">
        <v>303</v>
      </c>
      <c r="O4553" t="str">
        <f>"RECEITAS COM ENTREGAS"</f>
        <v>RECEITAS COM ENTREGAS</v>
      </c>
      <c r="P4553">
        <v>2380</v>
      </c>
      <c r="S4553" t="str">
        <f>"RECEITAS COM ENTREGAS (303)"</f>
        <v>RECEITAS COM ENTREGAS (303)</v>
      </c>
      <c r="T4553">
        <v>31931</v>
      </c>
      <c r="U4553">
        <v>35831</v>
      </c>
      <c r="V4553" t="s">
        <v>33</v>
      </c>
    </row>
    <row r="4554" spans="1:22">
      <c r="A4554" t="str">
        <f t="shared" si="827"/>
        <v>25/03/2026</v>
      </c>
      <c r="B4554" t="str">
        <f t="shared" si="834"/>
        <v>ENTRADA</v>
      </c>
      <c r="C4554" t="str">
        <f t="shared" si="835"/>
        <v>NFSE</v>
      </c>
      <c r="D4554" t="str">
        <f>"563"</f>
        <v>563</v>
      </c>
      <c r="E4554" t="str">
        <f t="shared" si="832"/>
        <v>1</v>
      </c>
      <c r="F4554" t="str">
        <f t="shared" si="830"/>
        <v>COM</v>
      </c>
      <c r="G4554" t="str">
        <f>"PENSE FARMA 46 (10194)"</f>
        <v>PENSE FARMA 46 (10194)</v>
      </c>
      <c r="H4554" t="s">
        <v>1221</v>
      </c>
      <c r="I4554" t="str">
        <f t="shared" si="829"/>
        <v>25/03/2026</v>
      </c>
      <c r="J4554" t="str">
        <f t="shared" si="833"/>
        <v>23/03/2026</v>
      </c>
      <c r="K4554">
        <v>46106</v>
      </c>
      <c r="N4554">
        <v>303</v>
      </c>
      <c r="O4554" t="s">
        <v>102</v>
      </c>
      <c r="Q4554">
        <v>2380</v>
      </c>
      <c r="R4554" t="str">
        <f>"PENSE FARMA 46 (10194)"</f>
        <v>PENSE FARMA 46 (10194)</v>
      </c>
      <c r="S4554" t="s">
        <v>103</v>
      </c>
      <c r="T4554">
        <v>31931</v>
      </c>
      <c r="U4554">
        <v>35831</v>
      </c>
      <c r="V4554" t="s">
        <v>33</v>
      </c>
    </row>
    <row r="4555" spans="1:22">
      <c r="A4555" t="str">
        <f t="shared" si="827"/>
        <v>25/03/2026</v>
      </c>
      <c r="B4555" t="str">
        <f t="shared" si="834"/>
        <v>ENTRADA</v>
      </c>
      <c r="C4555" t="str">
        <f t="shared" si="835"/>
        <v>NFSE</v>
      </c>
      <c r="D4555" t="str">
        <f>"564"</f>
        <v>564</v>
      </c>
      <c r="E4555" t="str">
        <f t="shared" si="832"/>
        <v>1</v>
      </c>
      <c r="F4555" t="str">
        <f t="shared" si="830"/>
        <v>COM</v>
      </c>
      <c r="G4555" t="str">
        <f>"PENSE FARMA 22 (10198)"</f>
        <v>PENSE FARMA 22 (10198)</v>
      </c>
      <c r="H4555" t="str">
        <f>"Serv.Prest. 16/03/2026 a 22/03/2026 - RPS: 2492 - NFSe: 564"</f>
        <v>Serv.Prest. 16/03/2026 a 22/03/2026 - RPS: 2492 - NFSe: 564</v>
      </c>
      <c r="I4555" t="str">
        <f t="shared" si="829"/>
        <v>25/03/2026</v>
      </c>
      <c r="J4555" t="str">
        <f t="shared" si="833"/>
        <v>23/03/2026</v>
      </c>
      <c r="K4555" t="str">
        <f>("25/03/2026")</f>
        <v>25/03/2026</v>
      </c>
      <c r="L4555">
        <v>4954.05</v>
      </c>
      <c r="M4555">
        <v>4954.05</v>
      </c>
      <c r="N4555">
        <v>303</v>
      </c>
      <c r="O4555" t="str">
        <f>"RECEITAS COM ENTREGAS"</f>
        <v>RECEITAS COM ENTREGAS</v>
      </c>
      <c r="P4555">
        <v>4954.05</v>
      </c>
      <c r="S4555" t="str">
        <f>"RECEITAS COM ENTREGAS (303)"</f>
        <v>RECEITAS COM ENTREGAS (303)</v>
      </c>
      <c r="T4555">
        <v>31932</v>
      </c>
      <c r="U4555">
        <v>35836</v>
      </c>
      <c r="V4555" t="s">
        <v>33</v>
      </c>
    </row>
    <row r="4556" spans="1:22">
      <c r="A4556" t="str">
        <f t="shared" si="827"/>
        <v>25/03/2026</v>
      </c>
      <c r="B4556" t="str">
        <f t="shared" si="834"/>
        <v>ENTRADA</v>
      </c>
      <c r="C4556" t="str">
        <f t="shared" si="835"/>
        <v>NFSE</v>
      </c>
      <c r="D4556" t="str">
        <f>"564"</f>
        <v>564</v>
      </c>
      <c r="E4556" t="str">
        <f t="shared" si="832"/>
        <v>1</v>
      </c>
      <c r="F4556" t="str">
        <f t="shared" si="830"/>
        <v>COM</v>
      </c>
      <c r="G4556" t="str">
        <f>"PENSE FARMA 22 (10198)"</f>
        <v>PENSE FARMA 22 (10198)</v>
      </c>
      <c r="H4556" t="s">
        <v>1222</v>
      </c>
      <c r="I4556" t="str">
        <f t="shared" si="829"/>
        <v>25/03/2026</v>
      </c>
      <c r="J4556" t="str">
        <f t="shared" si="833"/>
        <v>23/03/2026</v>
      </c>
      <c r="K4556">
        <v>46106</v>
      </c>
      <c r="N4556">
        <v>303</v>
      </c>
      <c r="O4556" t="s">
        <v>102</v>
      </c>
      <c r="Q4556">
        <v>4954.05</v>
      </c>
      <c r="R4556" t="str">
        <f>"PENSE FARMA 22 (10198)"</f>
        <v>PENSE FARMA 22 (10198)</v>
      </c>
      <c r="S4556" t="s">
        <v>103</v>
      </c>
      <c r="T4556">
        <v>31932</v>
      </c>
      <c r="U4556">
        <v>35836</v>
      </c>
      <c r="V4556" t="s">
        <v>33</v>
      </c>
    </row>
    <row r="4557" spans="1:22">
      <c r="A4557" t="str">
        <f t="shared" si="827"/>
        <v>25/03/2026</v>
      </c>
      <c r="B4557" t="str">
        <f t="shared" si="834"/>
        <v>ENTRADA</v>
      </c>
      <c r="C4557" t="str">
        <f t="shared" si="835"/>
        <v>NFSE</v>
      </c>
      <c r="D4557" t="str">
        <f>"565"</f>
        <v>565</v>
      </c>
      <c r="E4557" t="str">
        <f t="shared" si="832"/>
        <v>1</v>
      </c>
      <c r="F4557" t="str">
        <f t="shared" si="830"/>
        <v>COM</v>
      </c>
      <c r="G4557" t="str">
        <f>"PENSE FARMA 07 (10201)"</f>
        <v>PENSE FARMA 07 (10201)</v>
      </c>
      <c r="H4557" t="str">
        <f>"Serv.Prest. 16/03/2026 a 22/03/2026 - RPS: 2493 - NFSe: 565"</f>
        <v>Serv.Prest. 16/03/2026 a 22/03/2026 - RPS: 2493 - NFSe: 565</v>
      </c>
      <c r="I4557" t="str">
        <f t="shared" si="829"/>
        <v>25/03/2026</v>
      </c>
      <c r="J4557" t="str">
        <f t="shared" si="833"/>
        <v>23/03/2026</v>
      </c>
      <c r="K4557" t="str">
        <f>("25/03/2026")</f>
        <v>25/03/2026</v>
      </c>
      <c r="L4557">
        <v>1755.25</v>
      </c>
      <c r="M4557">
        <v>1755.25</v>
      </c>
      <c r="N4557">
        <v>303</v>
      </c>
      <c r="O4557" t="str">
        <f>"RECEITAS COM ENTREGAS"</f>
        <v>RECEITAS COM ENTREGAS</v>
      </c>
      <c r="P4557">
        <v>1755.25</v>
      </c>
      <c r="S4557" t="str">
        <f>"RECEITAS COM ENTREGAS (303)"</f>
        <v>RECEITAS COM ENTREGAS (303)</v>
      </c>
      <c r="T4557">
        <v>31933</v>
      </c>
      <c r="U4557">
        <v>35841</v>
      </c>
      <c r="V4557" t="s">
        <v>33</v>
      </c>
    </row>
    <row r="4558" spans="1:22">
      <c r="A4558" t="str">
        <f t="shared" si="827"/>
        <v>25/03/2026</v>
      </c>
      <c r="B4558" t="str">
        <f t="shared" si="834"/>
        <v>ENTRADA</v>
      </c>
      <c r="C4558" t="str">
        <f t="shared" si="835"/>
        <v>NFSE</v>
      </c>
      <c r="D4558" t="str">
        <f>"565"</f>
        <v>565</v>
      </c>
      <c r="E4558" t="str">
        <f t="shared" si="832"/>
        <v>1</v>
      </c>
      <c r="F4558" t="str">
        <f t="shared" si="830"/>
        <v>COM</v>
      </c>
      <c r="G4558" t="str">
        <f>"PENSE FARMA 07 (10201)"</f>
        <v>PENSE FARMA 07 (10201)</v>
      </c>
      <c r="H4558" t="s">
        <v>1223</v>
      </c>
      <c r="I4558" t="str">
        <f t="shared" si="829"/>
        <v>25/03/2026</v>
      </c>
      <c r="J4558" t="str">
        <f t="shared" si="833"/>
        <v>23/03/2026</v>
      </c>
      <c r="K4558">
        <v>46106</v>
      </c>
      <c r="N4558">
        <v>303</v>
      </c>
      <c r="O4558" t="s">
        <v>102</v>
      </c>
      <c r="Q4558">
        <v>583.1</v>
      </c>
      <c r="R4558" t="str">
        <f>"PENSE FARMA 07 (10201)"</f>
        <v>PENSE FARMA 07 (10201)</v>
      </c>
      <c r="S4558" t="s">
        <v>103</v>
      </c>
      <c r="T4558">
        <v>31933</v>
      </c>
      <c r="U4558">
        <v>35841</v>
      </c>
      <c r="V4558" t="s">
        <v>33</v>
      </c>
    </row>
    <row r="4559" spans="1:22">
      <c r="A4559" t="str">
        <f t="shared" si="827"/>
        <v>25/03/2026</v>
      </c>
      <c r="B4559" t="str">
        <f t="shared" si="834"/>
        <v>ENTRADA</v>
      </c>
      <c r="C4559" t="str">
        <f t="shared" si="835"/>
        <v>NFSE</v>
      </c>
      <c r="D4559" t="str">
        <f>"565"</f>
        <v>565</v>
      </c>
      <c r="E4559" t="str">
        <f t="shared" si="832"/>
        <v>1</v>
      </c>
      <c r="F4559" t="str">
        <f t="shared" si="830"/>
        <v>COM</v>
      </c>
      <c r="G4559" t="str">
        <f>"PENSE FARMA 07 (10201)"</f>
        <v>PENSE FARMA 07 (10201)</v>
      </c>
      <c r="H4559" t="s">
        <v>1223</v>
      </c>
      <c r="I4559" t="str">
        <f t="shared" si="829"/>
        <v>25/03/2026</v>
      </c>
      <c r="J4559" t="str">
        <f t="shared" si="833"/>
        <v>23/03/2026</v>
      </c>
      <c r="K4559">
        <v>46106</v>
      </c>
      <c r="N4559">
        <v>303</v>
      </c>
      <c r="O4559" t="s">
        <v>102</v>
      </c>
      <c r="Q4559">
        <v>583.09</v>
      </c>
      <c r="R4559" t="str">
        <f>"PENSE FARMA 45 (10209)"</f>
        <v>PENSE FARMA 45 (10209)</v>
      </c>
      <c r="S4559" t="s">
        <v>103</v>
      </c>
      <c r="T4559">
        <v>31933</v>
      </c>
      <c r="U4559">
        <v>35841</v>
      </c>
      <c r="V4559" t="s">
        <v>33</v>
      </c>
    </row>
    <row r="4560" spans="1:22">
      <c r="A4560" t="str">
        <f t="shared" si="827"/>
        <v>25/03/2026</v>
      </c>
      <c r="B4560" t="str">
        <f t="shared" si="834"/>
        <v>ENTRADA</v>
      </c>
      <c r="C4560" t="str">
        <f t="shared" si="835"/>
        <v>NFSE</v>
      </c>
      <c r="D4560" t="str">
        <f>"565"</f>
        <v>565</v>
      </c>
      <c r="E4560" t="str">
        <f t="shared" si="832"/>
        <v>1</v>
      </c>
      <c r="F4560" t="str">
        <f t="shared" si="830"/>
        <v>COM</v>
      </c>
      <c r="G4560" t="str">
        <f>"PENSE FARMA 07 (10201)"</f>
        <v>PENSE FARMA 07 (10201)</v>
      </c>
      <c r="H4560" t="s">
        <v>1223</v>
      </c>
      <c r="I4560" t="str">
        <f t="shared" si="829"/>
        <v>25/03/2026</v>
      </c>
      <c r="J4560" t="str">
        <f t="shared" si="833"/>
        <v>23/03/2026</v>
      </c>
      <c r="K4560">
        <v>46106</v>
      </c>
      <c r="N4560">
        <v>303</v>
      </c>
      <c r="O4560" t="s">
        <v>102</v>
      </c>
      <c r="Q4560">
        <v>589.05999999999995</v>
      </c>
      <c r="R4560" t="str">
        <f>"PENSE FARMA 50 (10210)"</f>
        <v>PENSE FARMA 50 (10210)</v>
      </c>
      <c r="S4560" t="s">
        <v>103</v>
      </c>
      <c r="T4560">
        <v>31933</v>
      </c>
      <c r="U4560">
        <v>35841</v>
      </c>
      <c r="V4560" t="s">
        <v>33</v>
      </c>
    </row>
    <row r="4561" spans="1:22">
      <c r="A4561" t="str">
        <f t="shared" si="827"/>
        <v>25/03/2026</v>
      </c>
      <c r="B4561" t="str">
        <f t="shared" si="834"/>
        <v>ENTRADA</v>
      </c>
      <c r="C4561" t="str">
        <f t="shared" si="835"/>
        <v>NFSE</v>
      </c>
      <c r="D4561" t="str">
        <f t="shared" ref="D4561:D4566" si="836">"567"</f>
        <v>567</v>
      </c>
      <c r="E4561" t="str">
        <f t="shared" si="832"/>
        <v>1</v>
      </c>
      <c r="F4561" t="str">
        <f t="shared" si="830"/>
        <v>COM</v>
      </c>
      <c r="G4561" t="str">
        <f t="shared" ref="G4561:G4566" si="837">"PENSE FARMA 08 (10217)"</f>
        <v>PENSE FARMA 08 (10217)</v>
      </c>
      <c r="H4561" t="str">
        <f>"Serv.Prest. 16/03/2026 a 22/03/2026 - RPS: 2495 - NFSe: 567"</f>
        <v>Serv.Prest. 16/03/2026 a 22/03/2026 - RPS: 2495 - NFSe: 567</v>
      </c>
      <c r="I4561" t="str">
        <f t="shared" si="829"/>
        <v>25/03/2026</v>
      </c>
      <c r="J4561" t="str">
        <f t="shared" si="833"/>
        <v>23/03/2026</v>
      </c>
      <c r="K4561" t="str">
        <f>("25/03/2026")</f>
        <v>25/03/2026</v>
      </c>
      <c r="L4561">
        <v>3513.9</v>
      </c>
      <c r="M4561">
        <v>3513.9</v>
      </c>
      <c r="N4561">
        <v>303</v>
      </c>
      <c r="O4561" t="str">
        <f>"RECEITAS COM ENTREGAS"</f>
        <v>RECEITAS COM ENTREGAS</v>
      </c>
      <c r="P4561">
        <v>3513.9</v>
      </c>
      <c r="S4561" t="str">
        <f>"RECEITAS COM ENTREGAS (303)"</f>
        <v>RECEITAS COM ENTREGAS (303)</v>
      </c>
      <c r="T4561">
        <v>31934</v>
      </c>
      <c r="U4561">
        <v>35862</v>
      </c>
      <c r="V4561" t="s">
        <v>33</v>
      </c>
    </row>
    <row r="4562" spans="1:22">
      <c r="A4562" t="str">
        <f t="shared" si="827"/>
        <v>25/03/2026</v>
      </c>
      <c r="B4562" t="str">
        <f t="shared" si="834"/>
        <v>ENTRADA</v>
      </c>
      <c r="C4562" t="str">
        <f t="shared" si="835"/>
        <v>NFSE</v>
      </c>
      <c r="D4562" t="str">
        <f t="shared" si="836"/>
        <v>567</v>
      </c>
      <c r="E4562" t="str">
        <f t="shared" si="832"/>
        <v>1</v>
      </c>
      <c r="F4562" t="str">
        <f t="shared" si="830"/>
        <v>COM</v>
      </c>
      <c r="G4562" t="str">
        <f t="shared" si="837"/>
        <v>PENSE FARMA 08 (10217)</v>
      </c>
      <c r="H4562" t="s">
        <v>1224</v>
      </c>
      <c r="I4562" t="str">
        <f t="shared" si="829"/>
        <v>25/03/2026</v>
      </c>
      <c r="J4562" t="str">
        <f t="shared" si="833"/>
        <v>23/03/2026</v>
      </c>
      <c r="K4562">
        <v>46106</v>
      </c>
      <c r="N4562">
        <v>303</v>
      </c>
      <c r="O4562" t="s">
        <v>102</v>
      </c>
      <c r="Q4562">
        <v>683.46</v>
      </c>
      <c r="R4562" t="str">
        <f>"PENSE FARMA 08 (10217)"</f>
        <v>PENSE FARMA 08 (10217)</v>
      </c>
      <c r="S4562" t="s">
        <v>103</v>
      </c>
      <c r="T4562">
        <v>31934</v>
      </c>
      <c r="U4562">
        <v>35862</v>
      </c>
      <c r="V4562" t="s">
        <v>33</v>
      </c>
    </row>
    <row r="4563" spans="1:22">
      <c r="A4563" t="str">
        <f t="shared" ref="A4563:A4594" si="838">("25/03/2026")</f>
        <v>25/03/2026</v>
      </c>
      <c r="B4563" t="str">
        <f t="shared" si="834"/>
        <v>ENTRADA</v>
      </c>
      <c r="C4563" t="str">
        <f t="shared" si="835"/>
        <v>NFSE</v>
      </c>
      <c r="D4563" t="str">
        <f t="shared" si="836"/>
        <v>567</v>
      </c>
      <c r="E4563" t="str">
        <f t="shared" si="832"/>
        <v>1</v>
      </c>
      <c r="F4563" t="str">
        <f t="shared" si="830"/>
        <v>COM</v>
      </c>
      <c r="G4563" t="str">
        <f t="shared" si="837"/>
        <v>PENSE FARMA 08 (10217)</v>
      </c>
      <c r="H4563" t="s">
        <v>1224</v>
      </c>
      <c r="I4563" t="str">
        <f t="shared" si="829"/>
        <v>25/03/2026</v>
      </c>
      <c r="J4563" t="str">
        <f t="shared" si="833"/>
        <v>23/03/2026</v>
      </c>
      <c r="K4563">
        <v>46106</v>
      </c>
      <c r="N4563">
        <v>303</v>
      </c>
      <c r="O4563" t="s">
        <v>102</v>
      </c>
      <c r="Q4563">
        <v>770.25</v>
      </c>
      <c r="R4563" t="str">
        <f>"PENSE FARMA 11 (10220)"</f>
        <v>PENSE FARMA 11 (10220)</v>
      </c>
      <c r="S4563" t="s">
        <v>103</v>
      </c>
      <c r="T4563">
        <v>31934</v>
      </c>
      <c r="U4563">
        <v>35862</v>
      </c>
      <c r="V4563" t="s">
        <v>33</v>
      </c>
    </row>
    <row r="4564" spans="1:22">
      <c r="A4564" t="str">
        <f t="shared" si="838"/>
        <v>25/03/2026</v>
      </c>
      <c r="B4564" t="str">
        <f t="shared" si="834"/>
        <v>ENTRADA</v>
      </c>
      <c r="C4564" t="str">
        <f t="shared" si="835"/>
        <v>NFSE</v>
      </c>
      <c r="D4564" t="str">
        <f t="shared" si="836"/>
        <v>567</v>
      </c>
      <c r="E4564" t="str">
        <f t="shared" si="832"/>
        <v>1</v>
      </c>
      <c r="F4564" t="str">
        <f t="shared" si="830"/>
        <v>COM</v>
      </c>
      <c r="G4564" t="str">
        <f t="shared" si="837"/>
        <v>PENSE FARMA 08 (10217)</v>
      </c>
      <c r="H4564" t="s">
        <v>1224</v>
      </c>
      <c r="I4564" t="str">
        <f t="shared" si="829"/>
        <v>25/03/2026</v>
      </c>
      <c r="J4564" t="str">
        <f t="shared" si="833"/>
        <v>23/03/2026</v>
      </c>
      <c r="K4564">
        <v>46106</v>
      </c>
      <c r="N4564">
        <v>303</v>
      </c>
      <c r="O4564" t="s">
        <v>102</v>
      </c>
      <c r="Q4564">
        <v>683.45</v>
      </c>
      <c r="R4564" t="str">
        <f>"PENSE FARMA 41 (10229)"</f>
        <v>PENSE FARMA 41 (10229)</v>
      </c>
      <c r="S4564" t="s">
        <v>103</v>
      </c>
      <c r="T4564">
        <v>31934</v>
      </c>
      <c r="U4564">
        <v>35862</v>
      </c>
      <c r="V4564" t="s">
        <v>33</v>
      </c>
    </row>
    <row r="4565" spans="1:22">
      <c r="A4565" t="str">
        <f t="shared" si="838"/>
        <v>25/03/2026</v>
      </c>
      <c r="B4565" t="str">
        <f t="shared" si="834"/>
        <v>ENTRADA</v>
      </c>
      <c r="C4565" t="str">
        <f t="shared" si="835"/>
        <v>NFSE</v>
      </c>
      <c r="D4565" t="str">
        <f t="shared" si="836"/>
        <v>567</v>
      </c>
      <c r="E4565" t="str">
        <f t="shared" si="832"/>
        <v>1</v>
      </c>
      <c r="F4565" t="str">
        <f t="shared" si="830"/>
        <v>COM</v>
      </c>
      <c r="G4565" t="str">
        <f t="shared" si="837"/>
        <v>PENSE FARMA 08 (10217)</v>
      </c>
      <c r="H4565" t="s">
        <v>1224</v>
      </c>
      <c r="I4565" t="str">
        <f t="shared" si="829"/>
        <v>25/03/2026</v>
      </c>
      <c r="J4565" t="str">
        <f t="shared" si="833"/>
        <v>23/03/2026</v>
      </c>
      <c r="K4565">
        <v>46106</v>
      </c>
      <c r="N4565">
        <v>303</v>
      </c>
      <c r="O4565" t="s">
        <v>102</v>
      </c>
      <c r="Q4565">
        <v>708.75</v>
      </c>
      <c r="R4565" t="str">
        <f>"PENSE FARMA 42 (10230)"</f>
        <v>PENSE FARMA 42 (10230)</v>
      </c>
      <c r="S4565" t="s">
        <v>103</v>
      </c>
      <c r="T4565">
        <v>31934</v>
      </c>
      <c r="U4565">
        <v>35862</v>
      </c>
      <c r="V4565" t="s">
        <v>33</v>
      </c>
    </row>
    <row r="4566" spans="1:22">
      <c r="A4566" t="str">
        <f t="shared" si="838"/>
        <v>25/03/2026</v>
      </c>
      <c r="B4566" t="str">
        <f t="shared" si="834"/>
        <v>ENTRADA</v>
      </c>
      <c r="C4566" t="str">
        <f t="shared" si="835"/>
        <v>NFSE</v>
      </c>
      <c r="D4566" t="str">
        <f t="shared" si="836"/>
        <v>567</v>
      </c>
      <c r="E4566" t="str">
        <f t="shared" si="832"/>
        <v>1</v>
      </c>
      <c r="F4566" t="str">
        <f t="shared" si="830"/>
        <v>COM</v>
      </c>
      <c r="G4566" t="str">
        <f t="shared" si="837"/>
        <v>PENSE FARMA 08 (10217)</v>
      </c>
      <c r="H4566" t="s">
        <v>1224</v>
      </c>
      <c r="I4566" t="str">
        <f t="shared" si="829"/>
        <v>25/03/2026</v>
      </c>
      <c r="J4566" t="str">
        <f t="shared" si="833"/>
        <v>23/03/2026</v>
      </c>
      <c r="K4566">
        <v>46106</v>
      </c>
      <c r="N4566">
        <v>303</v>
      </c>
      <c r="O4566" t="s">
        <v>102</v>
      </c>
      <c r="Q4566">
        <v>667.99</v>
      </c>
      <c r="R4566" t="str">
        <f>"PENSE FARMA 52 (10236)"</f>
        <v>PENSE FARMA 52 (10236)</v>
      </c>
      <c r="S4566" t="s">
        <v>103</v>
      </c>
      <c r="T4566">
        <v>31934</v>
      </c>
      <c r="U4566">
        <v>35862</v>
      </c>
      <c r="V4566" t="s">
        <v>33</v>
      </c>
    </row>
    <row r="4567" spans="1:22">
      <c r="A4567" t="str">
        <f t="shared" si="838"/>
        <v>25/03/2026</v>
      </c>
      <c r="B4567" t="str">
        <f t="shared" si="834"/>
        <v>ENTRADA</v>
      </c>
      <c r="C4567" t="str">
        <f t="shared" si="835"/>
        <v>NFSE</v>
      </c>
      <c r="D4567" t="str">
        <f>"568"</f>
        <v>568</v>
      </c>
      <c r="E4567" t="str">
        <f t="shared" si="832"/>
        <v>1</v>
      </c>
      <c r="F4567" t="str">
        <f t="shared" si="830"/>
        <v>COM</v>
      </c>
      <c r="G4567" t="str">
        <f>"PENSE FARMA 09 (10218)"</f>
        <v>PENSE FARMA 09 (10218)</v>
      </c>
      <c r="H4567" t="str">
        <f>"Serv.Prest. 16/03/2026 a 22/03/2026 - RPS: 2496 - NFSe: 568"</f>
        <v>Serv.Prest. 16/03/2026 a 22/03/2026 - RPS: 2496 - NFSe: 568</v>
      </c>
      <c r="I4567" t="str">
        <f t="shared" si="829"/>
        <v>25/03/2026</v>
      </c>
      <c r="J4567" t="str">
        <f t="shared" si="833"/>
        <v>23/03/2026</v>
      </c>
      <c r="K4567" t="str">
        <f>("25/03/2026")</f>
        <v>25/03/2026</v>
      </c>
      <c r="L4567">
        <v>1907.06</v>
      </c>
      <c r="M4567">
        <v>1907.06</v>
      </c>
      <c r="N4567">
        <v>303</v>
      </c>
      <c r="O4567" t="str">
        <f>"RECEITAS COM ENTREGAS"</f>
        <v>RECEITAS COM ENTREGAS</v>
      </c>
      <c r="P4567">
        <v>1907.06</v>
      </c>
      <c r="S4567" t="str">
        <f>"RECEITAS COM ENTREGAS (303)"</f>
        <v>RECEITAS COM ENTREGAS (303)</v>
      </c>
      <c r="T4567">
        <v>31935</v>
      </c>
      <c r="U4567">
        <v>35883</v>
      </c>
      <c r="V4567" t="s">
        <v>33</v>
      </c>
    </row>
    <row r="4568" spans="1:22">
      <c r="A4568" t="str">
        <f t="shared" si="838"/>
        <v>25/03/2026</v>
      </c>
      <c r="B4568" t="str">
        <f t="shared" si="834"/>
        <v>ENTRADA</v>
      </c>
      <c r="C4568" t="str">
        <f t="shared" si="835"/>
        <v>NFSE</v>
      </c>
      <c r="D4568" t="str">
        <f>"568"</f>
        <v>568</v>
      </c>
      <c r="E4568" t="str">
        <f t="shared" si="832"/>
        <v>1</v>
      </c>
      <c r="F4568" t="str">
        <f t="shared" si="830"/>
        <v>COM</v>
      </c>
      <c r="G4568" t="str">
        <f>"PENSE FARMA 09 (10218)"</f>
        <v>PENSE FARMA 09 (10218)</v>
      </c>
      <c r="H4568" t="s">
        <v>1225</v>
      </c>
      <c r="I4568" t="str">
        <f t="shared" si="829"/>
        <v>25/03/2026</v>
      </c>
      <c r="J4568" t="str">
        <f t="shared" si="833"/>
        <v>23/03/2026</v>
      </c>
      <c r="K4568">
        <v>46106</v>
      </c>
      <c r="N4568">
        <v>303</v>
      </c>
      <c r="O4568" t="s">
        <v>102</v>
      </c>
      <c r="Q4568">
        <v>953.53</v>
      </c>
      <c r="R4568" t="str">
        <f>"PENSE FARMA 09 (10218)"</f>
        <v>PENSE FARMA 09 (10218)</v>
      </c>
      <c r="S4568" t="s">
        <v>103</v>
      </c>
      <c r="T4568">
        <v>31935</v>
      </c>
      <c r="U4568">
        <v>35883</v>
      </c>
      <c r="V4568" t="s">
        <v>33</v>
      </c>
    </row>
    <row r="4569" spans="1:22">
      <c r="A4569" t="str">
        <f t="shared" si="838"/>
        <v>25/03/2026</v>
      </c>
      <c r="B4569" t="str">
        <f t="shared" si="834"/>
        <v>ENTRADA</v>
      </c>
      <c r="C4569" t="str">
        <f t="shared" si="835"/>
        <v>NFSE</v>
      </c>
      <c r="D4569" t="str">
        <f>"568"</f>
        <v>568</v>
      </c>
      <c r="E4569" t="str">
        <f t="shared" si="832"/>
        <v>1</v>
      </c>
      <c r="F4569" t="str">
        <f t="shared" si="830"/>
        <v>COM</v>
      </c>
      <c r="G4569" t="str">
        <f>"PENSE FARMA 09 (10218)"</f>
        <v>PENSE FARMA 09 (10218)</v>
      </c>
      <c r="H4569" t="s">
        <v>1225</v>
      </c>
      <c r="I4569" t="str">
        <f t="shared" si="829"/>
        <v>25/03/2026</v>
      </c>
      <c r="J4569" t="str">
        <f t="shared" si="833"/>
        <v>23/03/2026</v>
      </c>
      <c r="K4569">
        <v>46106</v>
      </c>
      <c r="N4569">
        <v>303</v>
      </c>
      <c r="O4569" t="s">
        <v>102</v>
      </c>
      <c r="Q4569">
        <v>953.53</v>
      </c>
      <c r="R4569" t="str">
        <f>"PENSE FARMA 10 (10219)"</f>
        <v>PENSE FARMA 10 (10219)</v>
      </c>
      <c r="S4569" t="s">
        <v>103</v>
      </c>
      <c r="T4569">
        <v>31935</v>
      </c>
      <c r="U4569">
        <v>35883</v>
      </c>
      <c r="V4569" t="s">
        <v>33</v>
      </c>
    </row>
    <row r="4570" spans="1:22">
      <c r="A4570" t="str">
        <f t="shared" si="838"/>
        <v>25/03/2026</v>
      </c>
      <c r="B4570" t="str">
        <f t="shared" si="834"/>
        <v>ENTRADA</v>
      </c>
      <c r="C4570" t="str">
        <f t="shared" si="835"/>
        <v>NFSE</v>
      </c>
      <c r="D4570" t="str">
        <f>"569"</f>
        <v>569</v>
      </c>
      <c r="E4570" t="str">
        <f t="shared" si="832"/>
        <v>1</v>
      </c>
      <c r="F4570" t="str">
        <f t="shared" si="830"/>
        <v>COM</v>
      </c>
      <c r="G4570" t="str">
        <f>"PENSE FARMA 19 (10223)"</f>
        <v>PENSE FARMA 19 (10223)</v>
      </c>
      <c r="H4570" t="str">
        <f>"Serv.Prest. 16/03/2026 a 22/03/2026 - RPS: 2497 - NFSe: 569"</f>
        <v>Serv.Prest. 16/03/2026 a 22/03/2026 - RPS: 2497 - NFSe: 569</v>
      </c>
      <c r="I4570" t="str">
        <f t="shared" si="829"/>
        <v>25/03/2026</v>
      </c>
      <c r="J4570" t="str">
        <f t="shared" si="833"/>
        <v>23/03/2026</v>
      </c>
      <c r="K4570" t="str">
        <f>("25/03/2026")</f>
        <v>25/03/2026</v>
      </c>
      <c r="L4570">
        <v>2544.0500000000002</v>
      </c>
      <c r="M4570">
        <v>2544.0500000000002</v>
      </c>
      <c r="N4570">
        <v>303</v>
      </c>
      <c r="O4570" t="str">
        <f>"RECEITAS COM ENTREGAS"</f>
        <v>RECEITAS COM ENTREGAS</v>
      </c>
      <c r="P4570">
        <v>2544.0500000000002</v>
      </c>
      <c r="S4570" t="str">
        <f>"RECEITAS COM ENTREGAS (303)"</f>
        <v>RECEITAS COM ENTREGAS (303)</v>
      </c>
      <c r="T4570">
        <v>31936</v>
      </c>
      <c r="U4570">
        <v>35887</v>
      </c>
      <c r="V4570" t="s">
        <v>33</v>
      </c>
    </row>
    <row r="4571" spans="1:22">
      <c r="A4571" t="str">
        <f t="shared" si="838"/>
        <v>25/03/2026</v>
      </c>
      <c r="B4571" t="str">
        <f t="shared" si="834"/>
        <v>ENTRADA</v>
      </c>
      <c r="C4571" t="str">
        <f t="shared" si="835"/>
        <v>NFSE</v>
      </c>
      <c r="D4571" t="str">
        <f>"569"</f>
        <v>569</v>
      </c>
      <c r="E4571" t="str">
        <f t="shared" si="832"/>
        <v>1</v>
      </c>
      <c r="F4571" t="str">
        <f t="shared" si="830"/>
        <v>COM</v>
      </c>
      <c r="G4571" t="str">
        <f>"PENSE FARMA 19 (10223)"</f>
        <v>PENSE FARMA 19 (10223)</v>
      </c>
      <c r="H4571" t="s">
        <v>1226</v>
      </c>
      <c r="I4571" t="str">
        <f t="shared" si="829"/>
        <v>25/03/2026</v>
      </c>
      <c r="J4571" t="str">
        <f t="shared" si="833"/>
        <v>23/03/2026</v>
      </c>
      <c r="K4571">
        <v>46106</v>
      </c>
      <c r="N4571">
        <v>303</v>
      </c>
      <c r="O4571" t="s">
        <v>102</v>
      </c>
      <c r="Q4571">
        <v>2544.0500000000002</v>
      </c>
      <c r="R4571" t="str">
        <f>"PENSE FARMA 19 (10223)"</f>
        <v>PENSE FARMA 19 (10223)</v>
      </c>
      <c r="S4571" t="s">
        <v>103</v>
      </c>
      <c r="T4571">
        <v>31936</v>
      </c>
      <c r="U4571">
        <v>35887</v>
      </c>
      <c r="V4571" t="s">
        <v>33</v>
      </c>
    </row>
    <row r="4572" spans="1:22">
      <c r="A4572" t="str">
        <f t="shared" si="838"/>
        <v>25/03/2026</v>
      </c>
      <c r="B4572" t="str">
        <f t="shared" si="834"/>
        <v>ENTRADA</v>
      </c>
      <c r="C4572" t="str">
        <f t="shared" si="835"/>
        <v>NFSE</v>
      </c>
      <c r="D4572" t="str">
        <f>"570"</f>
        <v>570</v>
      </c>
      <c r="E4572" t="str">
        <f t="shared" si="832"/>
        <v>1</v>
      </c>
      <c r="F4572" t="str">
        <f t="shared" si="830"/>
        <v>COM</v>
      </c>
      <c r="G4572" t="str">
        <f>"PENSE FARMA 25 (10224)"</f>
        <v>PENSE FARMA 25 (10224)</v>
      </c>
      <c r="H4572" t="str">
        <f>"Serv.Prest. 16/03/2026 a 22/03/2026 - RPS: 2498 - NFSe: 570"</f>
        <v>Serv.Prest. 16/03/2026 a 22/03/2026 - RPS: 2498 - NFSe: 570</v>
      </c>
      <c r="I4572" t="str">
        <f t="shared" si="829"/>
        <v>25/03/2026</v>
      </c>
      <c r="J4572" t="str">
        <f t="shared" si="833"/>
        <v>23/03/2026</v>
      </c>
      <c r="K4572" t="str">
        <f>("25/03/2026")</f>
        <v>25/03/2026</v>
      </c>
      <c r="L4572">
        <v>1816.16</v>
      </c>
      <c r="M4572">
        <v>1816.16</v>
      </c>
      <c r="N4572">
        <v>303</v>
      </c>
      <c r="O4572" t="str">
        <f>"RECEITAS COM ENTREGAS"</f>
        <v>RECEITAS COM ENTREGAS</v>
      </c>
      <c r="P4572">
        <v>1816.16</v>
      </c>
      <c r="S4572" t="str">
        <f>"RECEITAS COM ENTREGAS (303)"</f>
        <v>RECEITAS COM ENTREGAS (303)</v>
      </c>
      <c r="T4572">
        <v>31937</v>
      </c>
      <c r="U4572">
        <v>35890</v>
      </c>
      <c r="V4572" t="s">
        <v>33</v>
      </c>
    </row>
    <row r="4573" spans="1:22">
      <c r="A4573" t="str">
        <f t="shared" si="838"/>
        <v>25/03/2026</v>
      </c>
      <c r="B4573" t="str">
        <f t="shared" si="834"/>
        <v>ENTRADA</v>
      </c>
      <c r="C4573" t="str">
        <f t="shared" si="835"/>
        <v>NFSE</v>
      </c>
      <c r="D4573" t="str">
        <f>"570"</f>
        <v>570</v>
      </c>
      <c r="E4573" t="str">
        <f t="shared" si="832"/>
        <v>1</v>
      </c>
      <c r="F4573" t="str">
        <f t="shared" si="830"/>
        <v>COM</v>
      </c>
      <c r="G4573" t="str">
        <f>"PENSE FARMA 25 (10224)"</f>
        <v>PENSE FARMA 25 (10224)</v>
      </c>
      <c r="H4573" t="s">
        <v>1227</v>
      </c>
      <c r="I4573" t="str">
        <f t="shared" si="829"/>
        <v>25/03/2026</v>
      </c>
      <c r="J4573" t="str">
        <f t="shared" si="833"/>
        <v>23/03/2026</v>
      </c>
      <c r="K4573">
        <v>46106</v>
      </c>
      <c r="N4573">
        <v>303</v>
      </c>
      <c r="O4573" t="s">
        <v>102</v>
      </c>
      <c r="Q4573">
        <v>1816.16</v>
      </c>
      <c r="R4573" t="str">
        <f>"PENSE FARMA 25 (10224)"</f>
        <v>PENSE FARMA 25 (10224)</v>
      </c>
      <c r="S4573" t="s">
        <v>103</v>
      </c>
      <c r="T4573">
        <v>31937</v>
      </c>
      <c r="U4573">
        <v>35890</v>
      </c>
      <c r="V4573" t="s">
        <v>33</v>
      </c>
    </row>
    <row r="4574" spans="1:22">
      <c r="A4574" t="str">
        <f t="shared" si="838"/>
        <v>25/03/2026</v>
      </c>
      <c r="B4574" t="str">
        <f t="shared" si="834"/>
        <v>ENTRADA</v>
      </c>
      <c r="C4574" t="str">
        <f t="shared" si="835"/>
        <v>NFSE</v>
      </c>
      <c r="D4574" t="str">
        <f>"571"</f>
        <v>571</v>
      </c>
      <c r="E4574" t="str">
        <f t="shared" si="832"/>
        <v>1</v>
      </c>
      <c r="F4574" t="str">
        <f t="shared" si="830"/>
        <v>COM</v>
      </c>
      <c r="G4574" t="str">
        <f>"PENSE FARMA 27 (10204)"</f>
        <v>PENSE FARMA 27 (10204)</v>
      </c>
      <c r="H4574" t="str">
        <f>"Serv.Prest. 16/03/2026 a 22/03/2026 - RPS: 2499 - NFSe: 571"</f>
        <v>Serv.Prest. 16/03/2026 a 22/03/2026 - RPS: 2499 - NFSe: 571</v>
      </c>
      <c r="I4574" t="str">
        <f t="shared" si="829"/>
        <v>25/03/2026</v>
      </c>
      <c r="J4574" t="str">
        <f t="shared" si="833"/>
        <v>23/03/2026</v>
      </c>
      <c r="K4574" t="str">
        <f>("25/03/2026")</f>
        <v>25/03/2026</v>
      </c>
      <c r="L4574">
        <v>3272.5</v>
      </c>
      <c r="M4574">
        <v>3272.5</v>
      </c>
      <c r="N4574">
        <v>303</v>
      </c>
      <c r="O4574" t="str">
        <f>"RECEITAS COM ENTREGAS"</f>
        <v>RECEITAS COM ENTREGAS</v>
      </c>
      <c r="P4574">
        <v>3272.5</v>
      </c>
      <c r="S4574" t="str">
        <f>"RECEITAS COM ENTREGAS (303)"</f>
        <v>RECEITAS COM ENTREGAS (303)</v>
      </c>
      <c r="T4574">
        <v>31938</v>
      </c>
      <c r="U4574">
        <v>35893</v>
      </c>
      <c r="V4574" t="s">
        <v>33</v>
      </c>
    </row>
    <row r="4575" spans="1:22">
      <c r="A4575" t="str">
        <f t="shared" si="838"/>
        <v>25/03/2026</v>
      </c>
      <c r="B4575" t="str">
        <f t="shared" si="834"/>
        <v>ENTRADA</v>
      </c>
      <c r="C4575" t="str">
        <f t="shared" si="835"/>
        <v>NFSE</v>
      </c>
      <c r="D4575" t="str">
        <f>"571"</f>
        <v>571</v>
      </c>
      <c r="E4575" t="str">
        <f t="shared" si="832"/>
        <v>1</v>
      </c>
      <c r="F4575" t="str">
        <f t="shared" si="830"/>
        <v>COM</v>
      </c>
      <c r="G4575" t="str">
        <f>"PENSE FARMA 27 (10204)"</f>
        <v>PENSE FARMA 27 (10204)</v>
      </c>
      <c r="H4575" t="s">
        <v>1228</v>
      </c>
      <c r="I4575" t="str">
        <f t="shared" si="829"/>
        <v>25/03/2026</v>
      </c>
      <c r="J4575" t="str">
        <f t="shared" si="833"/>
        <v>23/03/2026</v>
      </c>
      <c r="K4575">
        <v>46106</v>
      </c>
      <c r="N4575">
        <v>303</v>
      </c>
      <c r="O4575" t="s">
        <v>102</v>
      </c>
      <c r="Q4575">
        <v>1088.76</v>
      </c>
      <c r="R4575" t="str">
        <f>"PENSE FARMA 05 (10200)"</f>
        <v>PENSE FARMA 05 (10200)</v>
      </c>
      <c r="S4575" t="s">
        <v>103</v>
      </c>
      <c r="T4575">
        <v>31938</v>
      </c>
      <c r="U4575">
        <v>35893</v>
      </c>
      <c r="V4575" t="s">
        <v>33</v>
      </c>
    </row>
    <row r="4576" spans="1:22">
      <c r="A4576" t="str">
        <f t="shared" si="838"/>
        <v>25/03/2026</v>
      </c>
      <c r="B4576" t="str">
        <f t="shared" si="834"/>
        <v>ENTRADA</v>
      </c>
      <c r="C4576" t="str">
        <f t="shared" si="835"/>
        <v>NFSE</v>
      </c>
      <c r="D4576" t="str">
        <f>"571"</f>
        <v>571</v>
      </c>
      <c r="E4576" t="str">
        <f t="shared" si="832"/>
        <v>1</v>
      </c>
      <c r="F4576" t="str">
        <f t="shared" si="830"/>
        <v>COM</v>
      </c>
      <c r="G4576" t="str">
        <f>"PENSE FARMA 27 (10204)"</f>
        <v>PENSE FARMA 27 (10204)</v>
      </c>
      <c r="H4576" t="s">
        <v>1228</v>
      </c>
      <c r="I4576" t="str">
        <f t="shared" si="829"/>
        <v>25/03/2026</v>
      </c>
      <c r="J4576" t="str">
        <f t="shared" si="833"/>
        <v>23/03/2026</v>
      </c>
      <c r="K4576">
        <v>46106</v>
      </c>
      <c r="N4576">
        <v>303</v>
      </c>
      <c r="O4576" t="s">
        <v>102</v>
      </c>
      <c r="Q4576">
        <v>1088.76</v>
      </c>
      <c r="R4576" t="str">
        <f>"PENSE FARMA 13 (10202)"</f>
        <v>PENSE FARMA 13 (10202)</v>
      </c>
      <c r="S4576" t="s">
        <v>103</v>
      </c>
      <c r="T4576">
        <v>31938</v>
      </c>
      <c r="U4576">
        <v>35893</v>
      </c>
      <c r="V4576" t="s">
        <v>33</v>
      </c>
    </row>
    <row r="4577" spans="1:22">
      <c r="A4577" t="str">
        <f t="shared" si="838"/>
        <v>25/03/2026</v>
      </c>
      <c r="B4577" t="str">
        <f t="shared" si="834"/>
        <v>ENTRADA</v>
      </c>
      <c r="C4577" t="str">
        <f t="shared" si="835"/>
        <v>NFSE</v>
      </c>
      <c r="D4577" t="str">
        <f>"571"</f>
        <v>571</v>
      </c>
      <c r="E4577" t="str">
        <f t="shared" si="832"/>
        <v>1</v>
      </c>
      <c r="F4577" t="str">
        <f t="shared" si="830"/>
        <v>COM</v>
      </c>
      <c r="G4577" t="str">
        <f>"PENSE FARMA 27 (10204)"</f>
        <v>PENSE FARMA 27 (10204)</v>
      </c>
      <c r="H4577" t="s">
        <v>1228</v>
      </c>
      <c r="I4577" t="str">
        <f t="shared" ref="I4577:I4608" si="839">("25/03/2026")</f>
        <v>25/03/2026</v>
      </c>
      <c r="J4577" t="str">
        <f t="shared" si="833"/>
        <v>23/03/2026</v>
      </c>
      <c r="K4577">
        <v>46106</v>
      </c>
      <c r="N4577">
        <v>303</v>
      </c>
      <c r="O4577" t="s">
        <v>102</v>
      </c>
      <c r="Q4577">
        <v>1094.98</v>
      </c>
      <c r="R4577" t="str">
        <f>"PENSE FARMA 27 (10204)"</f>
        <v>PENSE FARMA 27 (10204)</v>
      </c>
      <c r="S4577" t="s">
        <v>103</v>
      </c>
      <c r="T4577">
        <v>31938</v>
      </c>
      <c r="U4577">
        <v>35893</v>
      </c>
      <c r="V4577" t="s">
        <v>33</v>
      </c>
    </row>
    <row r="4578" spans="1:22">
      <c r="A4578" t="str">
        <f t="shared" si="838"/>
        <v>25/03/2026</v>
      </c>
      <c r="B4578" t="str">
        <f t="shared" si="834"/>
        <v>ENTRADA</v>
      </c>
      <c r="C4578" t="str">
        <f t="shared" si="835"/>
        <v>NFSE</v>
      </c>
      <c r="D4578" t="str">
        <f>"573"</f>
        <v>573</v>
      </c>
      <c r="E4578" t="str">
        <f t="shared" si="832"/>
        <v>1</v>
      </c>
      <c r="F4578" t="str">
        <f t="shared" si="830"/>
        <v>COM</v>
      </c>
      <c r="G4578" t="str">
        <f>"PENSE FARMA 35 (10227)"</f>
        <v>PENSE FARMA 35 (10227)</v>
      </c>
      <c r="H4578" t="str">
        <f>"Serv.Prest. 16/03/2026 a 22/03/2026 - RPS: 2501 - NFSe: 573"</f>
        <v>Serv.Prest. 16/03/2026 a 22/03/2026 - RPS: 2501 - NFSe: 573</v>
      </c>
      <c r="I4578" t="str">
        <f t="shared" si="839"/>
        <v>25/03/2026</v>
      </c>
      <c r="J4578" t="str">
        <f t="shared" si="833"/>
        <v>23/03/2026</v>
      </c>
      <c r="K4578" t="str">
        <f>("25/03/2026")</f>
        <v>25/03/2026</v>
      </c>
      <c r="L4578">
        <v>971.55</v>
      </c>
      <c r="M4578">
        <v>971.55</v>
      </c>
      <c r="N4578">
        <v>303</v>
      </c>
      <c r="O4578" t="str">
        <f>"RECEITAS COM ENTREGAS"</f>
        <v>RECEITAS COM ENTREGAS</v>
      </c>
      <c r="P4578">
        <v>971.55</v>
      </c>
      <c r="S4578" t="str">
        <f>"RECEITAS COM ENTREGAS (303)"</f>
        <v>RECEITAS COM ENTREGAS (303)</v>
      </c>
      <c r="T4578">
        <v>31939</v>
      </c>
      <c r="U4578">
        <v>35916</v>
      </c>
      <c r="V4578" t="s">
        <v>33</v>
      </c>
    </row>
    <row r="4579" spans="1:22">
      <c r="A4579" t="str">
        <f t="shared" si="838"/>
        <v>25/03/2026</v>
      </c>
      <c r="B4579" t="str">
        <f t="shared" si="834"/>
        <v>ENTRADA</v>
      </c>
      <c r="C4579" t="str">
        <f t="shared" si="835"/>
        <v>NFSE</v>
      </c>
      <c r="D4579" t="str">
        <f>"573"</f>
        <v>573</v>
      </c>
      <c r="E4579" t="str">
        <f t="shared" ref="E4579:E4610" si="840">"1"</f>
        <v>1</v>
      </c>
      <c r="F4579" t="str">
        <f t="shared" si="830"/>
        <v>COM</v>
      </c>
      <c r="G4579" t="str">
        <f>"PENSE FARMA 35 (10227)"</f>
        <v>PENSE FARMA 35 (10227)</v>
      </c>
      <c r="H4579" t="s">
        <v>1229</v>
      </c>
      <c r="I4579" t="str">
        <f t="shared" si="839"/>
        <v>25/03/2026</v>
      </c>
      <c r="J4579" t="str">
        <f t="shared" ref="J4579:J4610" si="841">("23/03/2026")</f>
        <v>23/03/2026</v>
      </c>
      <c r="K4579">
        <v>46106</v>
      </c>
      <c r="N4579">
        <v>303</v>
      </c>
      <c r="O4579" t="s">
        <v>102</v>
      </c>
      <c r="Q4579">
        <v>971.55</v>
      </c>
      <c r="R4579" t="str">
        <f>"PENSE FARMA 35 (10227)"</f>
        <v>PENSE FARMA 35 (10227)</v>
      </c>
      <c r="S4579" t="s">
        <v>103</v>
      </c>
      <c r="T4579">
        <v>31939</v>
      </c>
      <c r="U4579">
        <v>35916</v>
      </c>
      <c r="V4579" t="s">
        <v>33</v>
      </c>
    </row>
    <row r="4580" spans="1:22">
      <c r="A4580" t="str">
        <f t="shared" si="838"/>
        <v>25/03/2026</v>
      </c>
      <c r="B4580" t="str">
        <f t="shared" si="834"/>
        <v>ENTRADA</v>
      </c>
      <c r="C4580" t="str">
        <f t="shared" si="835"/>
        <v>NFSE</v>
      </c>
      <c r="D4580" t="str">
        <f t="shared" ref="D4580:D4586" si="842">"574"</f>
        <v>574</v>
      </c>
      <c r="E4580" t="str">
        <f t="shared" si="840"/>
        <v>1</v>
      </c>
      <c r="F4580" t="str">
        <f t="shared" si="830"/>
        <v>COM</v>
      </c>
      <c r="G4580" t="str">
        <f t="shared" ref="G4580:G4586" si="843">"PENSE FARMA 36 (10206)"</f>
        <v>PENSE FARMA 36 (10206)</v>
      </c>
      <c r="H4580" t="str">
        <f>"Serv.Prest. 16/03/2026 a 22/03/2026 - RPS: 2502 - NFSe: 574"</f>
        <v>Serv.Prest. 16/03/2026 a 22/03/2026 - RPS: 2502 - NFSe: 574</v>
      </c>
      <c r="I4580" t="str">
        <f t="shared" si="839"/>
        <v>25/03/2026</v>
      </c>
      <c r="J4580" t="str">
        <f t="shared" si="841"/>
        <v>23/03/2026</v>
      </c>
      <c r="K4580" t="str">
        <f>("25/03/2026")</f>
        <v>25/03/2026</v>
      </c>
      <c r="L4580">
        <v>5068.12</v>
      </c>
      <c r="M4580">
        <v>5068.12</v>
      </c>
      <c r="N4580">
        <v>303</v>
      </c>
      <c r="O4580" t="str">
        <f>"RECEITAS COM ENTREGAS"</f>
        <v>RECEITAS COM ENTREGAS</v>
      </c>
      <c r="P4580">
        <v>5068.12</v>
      </c>
      <c r="S4580" t="str">
        <f>"RECEITAS COM ENTREGAS (303)"</f>
        <v>RECEITAS COM ENTREGAS (303)</v>
      </c>
      <c r="T4580">
        <v>31940</v>
      </c>
      <c r="U4580">
        <v>35918</v>
      </c>
      <c r="V4580" t="s">
        <v>33</v>
      </c>
    </row>
    <row r="4581" spans="1:22">
      <c r="A4581" t="str">
        <f t="shared" si="838"/>
        <v>25/03/2026</v>
      </c>
      <c r="B4581" t="str">
        <f t="shared" si="834"/>
        <v>ENTRADA</v>
      </c>
      <c r="C4581" t="str">
        <f t="shared" si="835"/>
        <v>NFSE</v>
      </c>
      <c r="D4581" t="str">
        <f t="shared" si="842"/>
        <v>574</v>
      </c>
      <c r="E4581" t="str">
        <f t="shared" si="840"/>
        <v>1</v>
      </c>
      <c r="F4581" t="str">
        <f t="shared" si="830"/>
        <v>COM</v>
      </c>
      <c r="G4581" t="str">
        <f t="shared" si="843"/>
        <v>PENSE FARMA 36 (10206)</v>
      </c>
      <c r="H4581" t="s">
        <v>1230</v>
      </c>
      <c r="I4581" t="str">
        <f t="shared" si="839"/>
        <v>25/03/2026</v>
      </c>
      <c r="J4581" t="str">
        <f t="shared" si="841"/>
        <v>23/03/2026</v>
      </c>
      <c r="K4581">
        <v>46106</v>
      </c>
      <c r="N4581">
        <v>303</v>
      </c>
      <c r="O4581" t="s">
        <v>102</v>
      </c>
      <c r="Q4581">
        <v>840.31</v>
      </c>
      <c r="R4581" t="str">
        <f>"PENSE FARMA 20 (10203)"</f>
        <v>PENSE FARMA 20 (10203)</v>
      </c>
      <c r="S4581" t="s">
        <v>103</v>
      </c>
      <c r="T4581">
        <v>31940</v>
      </c>
      <c r="U4581">
        <v>35918</v>
      </c>
      <c r="V4581" t="s">
        <v>33</v>
      </c>
    </row>
    <row r="4582" spans="1:22">
      <c r="A4582" t="str">
        <f t="shared" si="838"/>
        <v>25/03/2026</v>
      </c>
      <c r="B4582" t="str">
        <f t="shared" si="834"/>
        <v>ENTRADA</v>
      </c>
      <c r="C4582" t="str">
        <f t="shared" si="835"/>
        <v>NFSE</v>
      </c>
      <c r="D4582" t="str">
        <f t="shared" si="842"/>
        <v>574</v>
      </c>
      <c r="E4582" t="str">
        <f t="shared" si="840"/>
        <v>1</v>
      </c>
      <c r="F4582" t="str">
        <f t="shared" si="830"/>
        <v>COM</v>
      </c>
      <c r="G4582" t="str">
        <f t="shared" si="843"/>
        <v>PENSE FARMA 36 (10206)</v>
      </c>
      <c r="H4582" t="s">
        <v>1230</v>
      </c>
      <c r="I4582" t="str">
        <f t="shared" si="839"/>
        <v>25/03/2026</v>
      </c>
      <c r="J4582" t="str">
        <f t="shared" si="841"/>
        <v>23/03/2026</v>
      </c>
      <c r="K4582">
        <v>46106</v>
      </c>
      <c r="N4582">
        <v>303</v>
      </c>
      <c r="O4582" t="s">
        <v>102</v>
      </c>
      <c r="Q4582">
        <v>840.29</v>
      </c>
      <c r="R4582" t="str">
        <f>"PENSE FARMA 36 (10206)"</f>
        <v>PENSE FARMA 36 (10206)</v>
      </c>
      <c r="S4582" t="s">
        <v>103</v>
      </c>
      <c r="T4582">
        <v>31940</v>
      </c>
      <c r="U4582">
        <v>35918</v>
      </c>
      <c r="V4582" t="s">
        <v>33</v>
      </c>
    </row>
    <row r="4583" spans="1:22">
      <c r="A4583" t="str">
        <f t="shared" si="838"/>
        <v>25/03/2026</v>
      </c>
      <c r="B4583" t="str">
        <f t="shared" si="834"/>
        <v>ENTRADA</v>
      </c>
      <c r="C4583" t="str">
        <f t="shared" si="835"/>
        <v>NFSE</v>
      </c>
      <c r="D4583" t="str">
        <f t="shared" si="842"/>
        <v>574</v>
      </c>
      <c r="E4583" t="str">
        <f t="shared" si="840"/>
        <v>1</v>
      </c>
      <c r="F4583" t="str">
        <f t="shared" si="830"/>
        <v>COM</v>
      </c>
      <c r="G4583" t="str">
        <f t="shared" si="843"/>
        <v>PENSE FARMA 36 (10206)</v>
      </c>
      <c r="H4583" t="s">
        <v>1230</v>
      </c>
      <c r="I4583" t="str">
        <f t="shared" si="839"/>
        <v>25/03/2026</v>
      </c>
      <c r="J4583" t="str">
        <f t="shared" si="841"/>
        <v>23/03/2026</v>
      </c>
      <c r="K4583">
        <v>46106</v>
      </c>
      <c r="N4583">
        <v>303</v>
      </c>
      <c r="O4583" t="s">
        <v>102</v>
      </c>
      <c r="Q4583">
        <v>840.29</v>
      </c>
      <c r="R4583" t="str">
        <f>"PENSE FARMA 40 (10207)"</f>
        <v>PENSE FARMA 40 (10207)</v>
      </c>
      <c r="S4583" t="s">
        <v>103</v>
      </c>
      <c r="T4583">
        <v>31940</v>
      </c>
      <c r="U4583">
        <v>35918</v>
      </c>
      <c r="V4583" t="s">
        <v>33</v>
      </c>
    </row>
    <row r="4584" spans="1:22">
      <c r="A4584" t="str">
        <f t="shared" si="838"/>
        <v>25/03/2026</v>
      </c>
      <c r="B4584" t="str">
        <f t="shared" si="834"/>
        <v>ENTRADA</v>
      </c>
      <c r="C4584" t="str">
        <f t="shared" si="835"/>
        <v>NFSE</v>
      </c>
      <c r="D4584" t="str">
        <f t="shared" si="842"/>
        <v>574</v>
      </c>
      <c r="E4584" t="str">
        <f t="shared" si="840"/>
        <v>1</v>
      </c>
      <c r="F4584" t="str">
        <f t="shared" si="830"/>
        <v>COM</v>
      </c>
      <c r="G4584" t="str">
        <f t="shared" si="843"/>
        <v>PENSE FARMA 36 (10206)</v>
      </c>
      <c r="H4584" t="s">
        <v>1230</v>
      </c>
      <c r="I4584" t="str">
        <f t="shared" si="839"/>
        <v>25/03/2026</v>
      </c>
      <c r="J4584" t="str">
        <f t="shared" si="841"/>
        <v>23/03/2026</v>
      </c>
      <c r="K4584">
        <v>46106</v>
      </c>
      <c r="N4584">
        <v>303</v>
      </c>
      <c r="O4584" t="s">
        <v>102</v>
      </c>
      <c r="Q4584">
        <v>840.29</v>
      </c>
      <c r="R4584" t="str">
        <f>"PENSE FARMA 43 (10208)"</f>
        <v>PENSE FARMA 43 (10208)</v>
      </c>
      <c r="S4584" t="s">
        <v>103</v>
      </c>
      <c r="T4584">
        <v>31940</v>
      </c>
      <c r="U4584">
        <v>35918</v>
      </c>
      <c r="V4584" t="s">
        <v>33</v>
      </c>
    </row>
    <row r="4585" spans="1:22">
      <c r="A4585" t="str">
        <f t="shared" si="838"/>
        <v>25/03/2026</v>
      </c>
      <c r="B4585" t="str">
        <f t="shared" ref="B4585:B4616" si="844">"ENTRADA"</f>
        <v>ENTRADA</v>
      </c>
      <c r="C4585" t="str">
        <f t="shared" ref="C4585:C4616" si="845">"NFSE"</f>
        <v>NFSE</v>
      </c>
      <c r="D4585" t="str">
        <f t="shared" si="842"/>
        <v>574</v>
      </c>
      <c r="E4585" t="str">
        <f t="shared" si="840"/>
        <v>1</v>
      </c>
      <c r="F4585" t="str">
        <f t="shared" si="830"/>
        <v>COM</v>
      </c>
      <c r="G4585" t="str">
        <f t="shared" si="843"/>
        <v>PENSE FARMA 36 (10206)</v>
      </c>
      <c r="H4585" t="s">
        <v>1230</v>
      </c>
      <c r="I4585" t="str">
        <f t="shared" si="839"/>
        <v>25/03/2026</v>
      </c>
      <c r="J4585" t="str">
        <f t="shared" si="841"/>
        <v>23/03/2026</v>
      </c>
      <c r="K4585">
        <v>46106</v>
      </c>
      <c r="N4585">
        <v>303</v>
      </c>
      <c r="O4585" t="s">
        <v>102</v>
      </c>
      <c r="Q4585">
        <v>840.29</v>
      </c>
      <c r="R4585" t="str">
        <f>"PENSE FARMA 59 (10211)"</f>
        <v>PENSE FARMA 59 (10211)</v>
      </c>
      <c r="S4585" t="s">
        <v>103</v>
      </c>
      <c r="T4585">
        <v>31940</v>
      </c>
      <c r="U4585">
        <v>35918</v>
      </c>
      <c r="V4585" t="s">
        <v>33</v>
      </c>
    </row>
    <row r="4586" spans="1:22">
      <c r="A4586" t="str">
        <f t="shared" si="838"/>
        <v>25/03/2026</v>
      </c>
      <c r="B4586" t="str">
        <f t="shared" si="844"/>
        <v>ENTRADA</v>
      </c>
      <c r="C4586" t="str">
        <f t="shared" si="845"/>
        <v>NFSE</v>
      </c>
      <c r="D4586" t="str">
        <f t="shared" si="842"/>
        <v>574</v>
      </c>
      <c r="E4586" t="str">
        <f t="shared" si="840"/>
        <v>1</v>
      </c>
      <c r="F4586" t="str">
        <f t="shared" si="830"/>
        <v>COM</v>
      </c>
      <c r="G4586" t="str">
        <f t="shared" si="843"/>
        <v>PENSE FARMA 36 (10206)</v>
      </c>
      <c r="H4586" t="s">
        <v>1230</v>
      </c>
      <c r="I4586" t="str">
        <f t="shared" si="839"/>
        <v>25/03/2026</v>
      </c>
      <c r="J4586" t="str">
        <f t="shared" si="841"/>
        <v>23/03/2026</v>
      </c>
      <c r="K4586">
        <v>46106</v>
      </c>
      <c r="N4586">
        <v>303</v>
      </c>
      <c r="O4586" t="s">
        <v>102</v>
      </c>
      <c r="Q4586">
        <v>866.65</v>
      </c>
      <c r="R4586" t="str">
        <f>"PENSE FARMA DARK STORE 361 (10212)"</f>
        <v>PENSE FARMA DARK STORE 361 (10212)</v>
      </c>
      <c r="S4586" t="s">
        <v>103</v>
      </c>
      <c r="T4586">
        <v>31940</v>
      </c>
      <c r="U4586">
        <v>35918</v>
      </c>
      <c r="V4586" t="s">
        <v>33</v>
      </c>
    </row>
    <row r="4587" spans="1:22">
      <c r="A4587" t="str">
        <f t="shared" si="838"/>
        <v>25/03/2026</v>
      </c>
      <c r="B4587" t="str">
        <f t="shared" si="844"/>
        <v>ENTRADA</v>
      </c>
      <c r="C4587" t="str">
        <f t="shared" si="845"/>
        <v>NFSE</v>
      </c>
      <c r="D4587" t="str">
        <f>"575"</f>
        <v>575</v>
      </c>
      <c r="E4587" t="str">
        <f t="shared" si="840"/>
        <v>1</v>
      </c>
      <c r="F4587" t="str">
        <f t="shared" si="830"/>
        <v>COM</v>
      </c>
      <c r="G4587" t="str">
        <f>"PENSE FARMA 39 (10228)"</f>
        <v>PENSE FARMA 39 (10228)</v>
      </c>
      <c r="H4587" t="str">
        <f>"Serv.Prest. 16/03/2026 a 22/03/2026 - RPS: 2503 - NFSe: 575"</f>
        <v>Serv.Prest. 16/03/2026 a 22/03/2026 - RPS: 2503 - NFSe: 575</v>
      </c>
      <c r="I4587" t="str">
        <f t="shared" si="839"/>
        <v>25/03/2026</v>
      </c>
      <c r="J4587" t="str">
        <f t="shared" si="841"/>
        <v>23/03/2026</v>
      </c>
      <c r="K4587" t="str">
        <f>("25/03/2026")</f>
        <v>25/03/2026</v>
      </c>
      <c r="L4587">
        <v>3399.85</v>
      </c>
      <c r="M4587">
        <v>3399.85</v>
      </c>
      <c r="N4587">
        <v>303</v>
      </c>
      <c r="O4587" t="str">
        <f>"RECEITAS COM ENTREGAS"</f>
        <v>RECEITAS COM ENTREGAS</v>
      </c>
      <c r="P4587">
        <v>3399.85</v>
      </c>
      <c r="S4587" t="str">
        <f>"RECEITAS COM ENTREGAS (303)"</f>
        <v>RECEITAS COM ENTREGAS (303)</v>
      </c>
      <c r="T4587">
        <v>31941</v>
      </c>
      <c r="U4587">
        <v>35942</v>
      </c>
      <c r="V4587" t="s">
        <v>33</v>
      </c>
    </row>
    <row r="4588" spans="1:22">
      <c r="A4588" t="str">
        <f t="shared" si="838"/>
        <v>25/03/2026</v>
      </c>
      <c r="B4588" t="str">
        <f t="shared" si="844"/>
        <v>ENTRADA</v>
      </c>
      <c r="C4588" t="str">
        <f t="shared" si="845"/>
        <v>NFSE</v>
      </c>
      <c r="D4588" t="str">
        <f>"575"</f>
        <v>575</v>
      </c>
      <c r="E4588" t="str">
        <f t="shared" si="840"/>
        <v>1</v>
      </c>
      <c r="F4588" t="str">
        <f t="shared" si="830"/>
        <v>COM</v>
      </c>
      <c r="G4588" t="str">
        <f>"PENSE FARMA 39 (10228)"</f>
        <v>PENSE FARMA 39 (10228)</v>
      </c>
      <c r="H4588" t="s">
        <v>1231</v>
      </c>
      <c r="I4588" t="str">
        <f t="shared" si="839"/>
        <v>25/03/2026</v>
      </c>
      <c r="J4588" t="str">
        <f t="shared" si="841"/>
        <v>23/03/2026</v>
      </c>
      <c r="K4588">
        <v>46106</v>
      </c>
      <c r="N4588">
        <v>303</v>
      </c>
      <c r="O4588" t="s">
        <v>102</v>
      </c>
      <c r="Q4588">
        <v>843.51</v>
      </c>
      <c r="R4588" t="str">
        <f>"PENSE FARMA 02 (10199)"</f>
        <v>PENSE FARMA 02 (10199)</v>
      </c>
      <c r="S4588" t="s">
        <v>103</v>
      </c>
      <c r="T4588">
        <v>31941</v>
      </c>
      <c r="U4588">
        <v>35942</v>
      </c>
      <c r="V4588" t="s">
        <v>33</v>
      </c>
    </row>
    <row r="4589" spans="1:22">
      <c r="A4589" t="str">
        <f t="shared" si="838"/>
        <v>25/03/2026</v>
      </c>
      <c r="B4589" t="str">
        <f t="shared" si="844"/>
        <v>ENTRADA</v>
      </c>
      <c r="C4589" t="str">
        <f t="shared" si="845"/>
        <v>NFSE</v>
      </c>
      <c r="D4589" t="str">
        <f>"575"</f>
        <v>575</v>
      </c>
      <c r="E4589" t="str">
        <f t="shared" si="840"/>
        <v>1</v>
      </c>
      <c r="F4589" t="str">
        <f t="shared" si="830"/>
        <v>COM</v>
      </c>
      <c r="G4589" t="str">
        <f>"PENSE FARMA 39 (10228)"</f>
        <v>PENSE FARMA 39 (10228)</v>
      </c>
      <c r="H4589" t="s">
        <v>1231</v>
      </c>
      <c r="I4589" t="str">
        <f t="shared" si="839"/>
        <v>25/03/2026</v>
      </c>
      <c r="J4589" t="str">
        <f t="shared" si="841"/>
        <v>23/03/2026</v>
      </c>
      <c r="K4589">
        <v>46106</v>
      </c>
      <c r="N4589">
        <v>303</v>
      </c>
      <c r="O4589" t="s">
        <v>102</v>
      </c>
      <c r="Q4589">
        <v>843.5</v>
      </c>
      <c r="R4589" t="str">
        <f>"PENSE FARMA 01 (10215)"</f>
        <v>PENSE FARMA 01 (10215)</v>
      </c>
      <c r="S4589" t="s">
        <v>103</v>
      </c>
      <c r="T4589">
        <v>31941</v>
      </c>
      <c r="U4589">
        <v>35942</v>
      </c>
      <c r="V4589" t="s">
        <v>33</v>
      </c>
    </row>
    <row r="4590" spans="1:22">
      <c r="A4590" t="str">
        <f t="shared" si="838"/>
        <v>25/03/2026</v>
      </c>
      <c r="B4590" t="str">
        <f t="shared" si="844"/>
        <v>ENTRADA</v>
      </c>
      <c r="C4590" t="str">
        <f t="shared" si="845"/>
        <v>NFSE</v>
      </c>
      <c r="D4590" t="str">
        <f>"575"</f>
        <v>575</v>
      </c>
      <c r="E4590" t="str">
        <f t="shared" si="840"/>
        <v>1</v>
      </c>
      <c r="F4590" t="str">
        <f t="shared" si="830"/>
        <v>COM</v>
      </c>
      <c r="G4590" t="str">
        <f>"PENSE FARMA 39 (10228)"</f>
        <v>PENSE FARMA 39 (10228)</v>
      </c>
      <c r="H4590" t="s">
        <v>1231</v>
      </c>
      <c r="I4590" t="str">
        <f t="shared" si="839"/>
        <v>25/03/2026</v>
      </c>
      <c r="J4590" t="str">
        <f t="shared" si="841"/>
        <v>23/03/2026</v>
      </c>
      <c r="K4590">
        <v>46106</v>
      </c>
      <c r="N4590">
        <v>303</v>
      </c>
      <c r="O4590" t="s">
        <v>102</v>
      </c>
      <c r="Q4590">
        <v>843.5</v>
      </c>
      <c r="R4590" t="str">
        <f>"PENSE FARMA 03 (10216)"</f>
        <v>PENSE FARMA 03 (10216)</v>
      </c>
      <c r="S4590" t="s">
        <v>103</v>
      </c>
      <c r="T4590">
        <v>31941</v>
      </c>
      <c r="U4590">
        <v>35942</v>
      </c>
      <c r="V4590" t="s">
        <v>33</v>
      </c>
    </row>
    <row r="4591" spans="1:22">
      <c r="A4591" t="str">
        <f t="shared" si="838"/>
        <v>25/03/2026</v>
      </c>
      <c r="B4591" t="str">
        <f t="shared" si="844"/>
        <v>ENTRADA</v>
      </c>
      <c r="C4591" t="str">
        <f t="shared" si="845"/>
        <v>NFSE</v>
      </c>
      <c r="D4591" t="str">
        <f>"575"</f>
        <v>575</v>
      </c>
      <c r="E4591" t="str">
        <f t="shared" si="840"/>
        <v>1</v>
      </c>
      <c r="F4591" t="str">
        <f t="shared" si="830"/>
        <v>COM</v>
      </c>
      <c r="G4591" t="str">
        <f>"PENSE FARMA 39 (10228)"</f>
        <v>PENSE FARMA 39 (10228)</v>
      </c>
      <c r="H4591" t="s">
        <v>1231</v>
      </c>
      <c r="I4591" t="str">
        <f t="shared" si="839"/>
        <v>25/03/2026</v>
      </c>
      <c r="J4591" t="str">
        <f t="shared" si="841"/>
        <v>23/03/2026</v>
      </c>
      <c r="K4591">
        <v>46106</v>
      </c>
      <c r="N4591">
        <v>303</v>
      </c>
      <c r="O4591" t="s">
        <v>102</v>
      </c>
      <c r="Q4591">
        <v>869.34</v>
      </c>
      <c r="R4591" t="str">
        <f>"PENSE FARMA 39 (10228)"</f>
        <v>PENSE FARMA 39 (10228)</v>
      </c>
      <c r="S4591" t="s">
        <v>103</v>
      </c>
      <c r="T4591">
        <v>31941</v>
      </c>
      <c r="U4591">
        <v>35942</v>
      </c>
      <c r="V4591" t="s">
        <v>33</v>
      </c>
    </row>
    <row r="4592" spans="1:22">
      <c r="A4592" t="str">
        <f t="shared" si="838"/>
        <v>25/03/2026</v>
      </c>
      <c r="B4592" t="str">
        <f t="shared" si="844"/>
        <v>ENTRADA</v>
      </c>
      <c r="C4592" t="str">
        <f t="shared" si="845"/>
        <v>NFSE</v>
      </c>
      <c r="D4592" t="str">
        <f>"577"</f>
        <v>577</v>
      </c>
      <c r="E4592" t="str">
        <f t="shared" si="840"/>
        <v>1</v>
      </c>
      <c r="F4592" t="str">
        <f t="shared" si="830"/>
        <v>COM</v>
      </c>
      <c r="G4592" t="str">
        <f>"PENSE FARMA 47 (10232)"</f>
        <v>PENSE FARMA 47 (10232)</v>
      </c>
      <c r="H4592" t="str">
        <f>"Serv.Prest. 16/03/2026 a 22/03/2026 - RPS: 2505 - NFSe: 577"</f>
        <v>Serv.Prest. 16/03/2026 a 22/03/2026 - RPS: 2505 - NFSe: 577</v>
      </c>
      <c r="I4592" t="str">
        <f t="shared" si="839"/>
        <v>25/03/2026</v>
      </c>
      <c r="J4592" t="str">
        <f t="shared" si="841"/>
        <v>23/03/2026</v>
      </c>
      <c r="K4592" t="str">
        <f>("25/03/2026")</f>
        <v>25/03/2026</v>
      </c>
      <c r="L4592">
        <v>1820.7</v>
      </c>
      <c r="M4592">
        <v>1820.7</v>
      </c>
      <c r="N4592">
        <v>303</v>
      </c>
      <c r="O4592" t="str">
        <f>"RECEITAS COM ENTREGAS"</f>
        <v>RECEITAS COM ENTREGAS</v>
      </c>
      <c r="P4592">
        <v>1820.7</v>
      </c>
      <c r="S4592" t="str">
        <f>"RECEITAS COM ENTREGAS (303)"</f>
        <v>RECEITAS COM ENTREGAS (303)</v>
      </c>
      <c r="T4592">
        <v>31942</v>
      </c>
      <c r="U4592">
        <v>35958</v>
      </c>
      <c r="V4592" t="s">
        <v>33</v>
      </c>
    </row>
    <row r="4593" spans="1:22">
      <c r="A4593" t="str">
        <f t="shared" si="838"/>
        <v>25/03/2026</v>
      </c>
      <c r="B4593" t="str">
        <f t="shared" si="844"/>
        <v>ENTRADA</v>
      </c>
      <c r="C4593" t="str">
        <f t="shared" si="845"/>
        <v>NFSE</v>
      </c>
      <c r="D4593" t="str">
        <f>"577"</f>
        <v>577</v>
      </c>
      <c r="E4593" t="str">
        <f t="shared" si="840"/>
        <v>1</v>
      </c>
      <c r="F4593" t="str">
        <f t="shared" si="830"/>
        <v>COM</v>
      </c>
      <c r="G4593" t="str">
        <f>"PENSE FARMA 47 (10232)"</f>
        <v>PENSE FARMA 47 (10232)</v>
      </c>
      <c r="H4593" t="s">
        <v>1232</v>
      </c>
      <c r="I4593" t="str">
        <f t="shared" si="839"/>
        <v>25/03/2026</v>
      </c>
      <c r="J4593" t="str">
        <f t="shared" si="841"/>
        <v>23/03/2026</v>
      </c>
      <c r="K4593">
        <v>46106</v>
      </c>
      <c r="N4593">
        <v>303</v>
      </c>
      <c r="O4593" t="s">
        <v>102</v>
      </c>
      <c r="Q4593">
        <v>1820.7</v>
      </c>
      <c r="R4593" t="str">
        <f>"PENSE FARMA 47 (10232)"</f>
        <v>PENSE FARMA 47 (10232)</v>
      </c>
      <c r="S4593" t="s">
        <v>103</v>
      </c>
      <c r="T4593">
        <v>31942</v>
      </c>
      <c r="U4593">
        <v>35958</v>
      </c>
      <c r="V4593" t="s">
        <v>33</v>
      </c>
    </row>
    <row r="4594" spans="1:22">
      <c r="A4594" t="str">
        <f t="shared" si="838"/>
        <v>25/03/2026</v>
      </c>
      <c r="B4594" t="str">
        <f t="shared" si="844"/>
        <v>ENTRADA</v>
      </c>
      <c r="C4594" t="str">
        <f t="shared" si="845"/>
        <v>NFSE</v>
      </c>
      <c r="D4594" t="str">
        <f>"584"</f>
        <v>584</v>
      </c>
      <c r="E4594" t="str">
        <f t="shared" si="840"/>
        <v>1</v>
      </c>
      <c r="F4594" t="str">
        <f t="shared" si="830"/>
        <v>COM</v>
      </c>
      <c r="G4594" t="str">
        <f>"DROGARIA AGAPEAMA (10167)"</f>
        <v>DROGARIA AGAPEAMA (10167)</v>
      </c>
      <c r="H4594" t="str">
        <f>"Serv.Prest. 16/03/2026 a 22/03/2026 - RPS: 2512 - NFSe: 584"</f>
        <v>Serv.Prest. 16/03/2026 a 22/03/2026 - RPS: 2512 - NFSe: 584</v>
      </c>
      <c r="I4594" t="str">
        <f t="shared" si="839"/>
        <v>25/03/2026</v>
      </c>
      <c r="J4594" t="str">
        <f t="shared" si="841"/>
        <v>23/03/2026</v>
      </c>
      <c r="K4594" t="str">
        <f>("25/03/2026")</f>
        <v>25/03/2026</v>
      </c>
      <c r="L4594">
        <v>3355.2</v>
      </c>
      <c r="M4594">
        <v>3355.2</v>
      </c>
      <c r="N4594">
        <v>303</v>
      </c>
      <c r="O4594" t="str">
        <f>"RECEITAS COM ENTREGAS"</f>
        <v>RECEITAS COM ENTREGAS</v>
      </c>
      <c r="P4594">
        <v>3355.2</v>
      </c>
      <c r="S4594" t="str">
        <f>"RECEITAS COM ENTREGAS (303)"</f>
        <v>RECEITAS COM ENTREGAS (303)</v>
      </c>
      <c r="T4594">
        <v>31943</v>
      </c>
      <c r="U4594">
        <v>36039</v>
      </c>
      <c r="V4594" t="s">
        <v>33</v>
      </c>
    </row>
    <row r="4595" spans="1:22">
      <c r="A4595" t="str">
        <f t="shared" ref="A4595:A4631" si="846">("25/03/2026")</f>
        <v>25/03/2026</v>
      </c>
      <c r="B4595" t="str">
        <f t="shared" si="844"/>
        <v>ENTRADA</v>
      </c>
      <c r="C4595" t="str">
        <f t="shared" si="845"/>
        <v>NFSE</v>
      </c>
      <c r="D4595" t="str">
        <f>"584"</f>
        <v>584</v>
      </c>
      <c r="E4595" t="str">
        <f t="shared" si="840"/>
        <v>1</v>
      </c>
      <c r="F4595" t="str">
        <f t="shared" si="830"/>
        <v>COM</v>
      </c>
      <c r="G4595" t="str">
        <f>"DROGARIA AGAPEAMA (10167)"</f>
        <v>DROGARIA AGAPEAMA (10167)</v>
      </c>
      <c r="H4595" t="s">
        <v>1233</v>
      </c>
      <c r="I4595" t="str">
        <f t="shared" si="839"/>
        <v>25/03/2026</v>
      </c>
      <c r="J4595" t="str">
        <f t="shared" si="841"/>
        <v>23/03/2026</v>
      </c>
      <c r="K4595">
        <v>46106</v>
      </c>
      <c r="N4595">
        <v>303</v>
      </c>
      <c r="O4595" t="s">
        <v>102</v>
      </c>
      <c r="Q4595">
        <v>3355.2</v>
      </c>
      <c r="R4595" t="str">
        <f>"DROGARIA AGAPEAMA (10167)"</f>
        <v>DROGARIA AGAPEAMA (10167)</v>
      </c>
      <c r="S4595" t="s">
        <v>103</v>
      </c>
      <c r="T4595">
        <v>31943</v>
      </c>
      <c r="U4595">
        <v>36039</v>
      </c>
      <c r="V4595" t="s">
        <v>33</v>
      </c>
    </row>
    <row r="4596" spans="1:22">
      <c r="A4596" t="str">
        <f t="shared" si="846"/>
        <v>25/03/2026</v>
      </c>
      <c r="B4596" t="str">
        <f t="shared" si="844"/>
        <v>ENTRADA</v>
      </c>
      <c r="C4596" t="str">
        <f t="shared" si="845"/>
        <v>NFSE</v>
      </c>
      <c r="D4596" t="str">
        <f>"591"</f>
        <v>591</v>
      </c>
      <c r="E4596" t="str">
        <f t="shared" si="840"/>
        <v>1</v>
      </c>
      <c r="F4596" t="str">
        <f t="shared" si="830"/>
        <v>COM</v>
      </c>
      <c r="G4596" t="str">
        <f>"ULTRA POPULAR  UBA 2 (10214)"</f>
        <v>ULTRA POPULAR  UBA 2 (10214)</v>
      </c>
      <c r="H4596" t="str">
        <f>"Serv.Prest. 16/03/2026 a 22/03/2026 - RPS: 2519 - NFSe: 591"</f>
        <v>Serv.Prest. 16/03/2026 a 22/03/2026 - RPS: 2519 - NFSe: 591</v>
      </c>
      <c r="I4596" t="str">
        <f t="shared" si="839"/>
        <v>25/03/2026</v>
      </c>
      <c r="J4596" t="str">
        <f t="shared" si="841"/>
        <v>23/03/2026</v>
      </c>
      <c r="K4596" t="str">
        <f>("25/03/2026")</f>
        <v>25/03/2026</v>
      </c>
      <c r="L4596">
        <v>862.81</v>
      </c>
      <c r="M4596">
        <v>862.81</v>
      </c>
      <c r="N4596">
        <v>303</v>
      </c>
      <c r="O4596" t="str">
        <f>"RECEITAS COM ENTREGAS"</f>
        <v>RECEITAS COM ENTREGAS</v>
      </c>
      <c r="P4596">
        <v>862.81</v>
      </c>
      <c r="S4596" t="str">
        <f>"RECEITAS COM ENTREGAS (303)"</f>
        <v>RECEITAS COM ENTREGAS (303)</v>
      </c>
      <c r="T4596">
        <v>31944</v>
      </c>
      <c r="U4596">
        <v>36065</v>
      </c>
      <c r="V4596" t="s">
        <v>33</v>
      </c>
    </row>
    <row r="4597" spans="1:22">
      <c r="A4597" t="str">
        <f t="shared" si="846"/>
        <v>25/03/2026</v>
      </c>
      <c r="B4597" t="str">
        <f t="shared" si="844"/>
        <v>ENTRADA</v>
      </c>
      <c r="C4597" t="str">
        <f t="shared" si="845"/>
        <v>NFSE</v>
      </c>
      <c r="D4597" t="str">
        <f>"591"</f>
        <v>591</v>
      </c>
      <c r="E4597" t="str">
        <f t="shared" si="840"/>
        <v>1</v>
      </c>
      <c r="F4597" t="str">
        <f t="shared" si="830"/>
        <v>COM</v>
      </c>
      <c r="G4597" t="str">
        <f>"ULTRA POPULAR  UBA 2 (10214)"</f>
        <v>ULTRA POPULAR  UBA 2 (10214)</v>
      </c>
      <c r="H4597" t="s">
        <v>1234</v>
      </c>
      <c r="I4597" t="str">
        <f t="shared" si="839"/>
        <v>25/03/2026</v>
      </c>
      <c r="J4597" t="str">
        <f t="shared" si="841"/>
        <v>23/03/2026</v>
      </c>
      <c r="K4597">
        <v>46106</v>
      </c>
      <c r="N4597">
        <v>303</v>
      </c>
      <c r="O4597" t="s">
        <v>102</v>
      </c>
      <c r="Q4597">
        <v>862.81</v>
      </c>
      <c r="R4597" t="str">
        <f>"ULTRA POPULAR  UBA 2 (10214)"</f>
        <v>ULTRA POPULAR  UBA 2 (10214)</v>
      </c>
      <c r="S4597" t="s">
        <v>103</v>
      </c>
      <c r="T4597">
        <v>31944</v>
      </c>
      <c r="U4597">
        <v>36065</v>
      </c>
      <c r="V4597" t="s">
        <v>33</v>
      </c>
    </row>
    <row r="4598" spans="1:22">
      <c r="A4598" t="str">
        <f t="shared" si="846"/>
        <v>25/03/2026</v>
      </c>
      <c r="B4598" t="str">
        <f t="shared" si="844"/>
        <v>ENTRADA</v>
      </c>
      <c r="C4598" t="str">
        <f t="shared" si="845"/>
        <v>NFSE</v>
      </c>
      <c r="D4598" t="str">
        <f>"594"</f>
        <v>594</v>
      </c>
      <c r="E4598" t="str">
        <f t="shared" si="840"/>
        <v>1</v>
      </c>
      <c r="F4598" t="str">
        <f t="shared" si="830"/>
        <v>COM</v>
      </c>
      <c r="G4598" t="str">
        <f>"DROGARIA NIQUINHO (10257)"</f>
        <v>DROGARIA NIQUINHO (10257)</v>
      </c>
      <c r="H4598" t="str">
        <f>"Serv.Prest. 16/03/2026 a 22/03/2026 - RPS: 2522 - NFSe: 594"</f>
        <v>Serv.Prest. 16/03/2026 a 22/03/2026 - RPS: 2522 - NFSe: 594</v>
      </c>
      <c r="I4598" t="str">
        <f t="shared" si="839"/>
        <v>25/03/2026</v>
      </c>
      <c r="J4598" t="str">
        <f t="shared" si="841"/>
        <v>23/03/2026</v>
      </c>
      <c r="K4598" t="str">
        <f>("25/03/2026")</f>
        <v>25/03/2026</v>
      </c>
      <c r="L4598">
        <v>2965.45</v>
      </c>
      <c r="M4598">
        <v>2965.45</v>
      </c>
      <c r="N4598">
        <v>303</v>
      </c>
      <c r="O4598" t="str">
        <f>"RECEITAS COM ENTREGAS"</f>
        <v>RECEITAS COM ENTREGAS</v>
      </c>
      <c r="P4598">
        <v>2965.45</v>
      </c>
      <c r="S4598" t="str">
        <f>"RECEITAS COM ENTREGAS (303)"</f>
        <v>RECEITAS COM ENTREGAS (303)</v>
      </c>
      <c r="T4598">
        <v>31945</v>
      </c>
      <c r="U4598">
        <v>36074</v>
      </c>
      <c r="V4598" t="s">
        <v>33</v>
      </c>
    </row>
    <row r="4599" spans="1:22">
      <c r="A4599" t="str">
        <f t="shared" si="846"/>
        <v>25/03/2026</v>
      </c>
      <c r="B4599" t="str">
        <f t="shared" si="844"/>
        <v>ENTRADA</v>
      </c>
      <c r="C4599" t="str">
        <f t="shared" si="845"/>
        <v>NFSE</v>
      </c>
      <c r="D4599" t="str">
        <f>"594"</f>
        <v>594</v>
      </c>
      <c r="E4599" t="str">
        <f t="shared" si="840"/>
        <v>1</v>
      </c>
      <c r="F4599" t="str">
        <f t="shared" si="830"/>
        <v>COM</v>
      </c>
      <c r="G4599" t="str">
        <f>"DROGARIA NIQUINHO (10257)"</f>
        <v>DROGARIA NIQUINHO (10257)</v>
      </c>
      <c r="H4599" t="s">
        <v>1235</v>
      </c>
      <c r="I4599" t="str">
        <f t="shared" si="839"/>
        <v>25/03/2026</v>
      </c>
      <c r="J4599" t="str">
        <f t="shared" si="841"/>
        <v>23/03/2026</v>
      </c>
      <c r="K4599">
        <v>46106</v>
      </c>
      <c r="N4599">
        <v>303</v>
      </c>
      <c r="O4599" t="s">
        <v>102</v>
      </c>
      <c r="Q4599">
        <v>2965.45</v>
      </c>
      <c r="R4599" t="str">
        <f>"DROGARIA NIQUINHO (10257)"</f>
        <v>DROGARIA NIQUINHO (10257)</v>
      </c>
      <c r="S4599" t="s">
        <v>103</v>
      </c>
      <c r="T4599">
        <v>31945</v>
      </c>
      <c r="U4599">
        <v>36074</v>
      </c>
      <c r="V4599" t="s">
        <v>33</v>
      </c>
    </row>
    <row r="4600" spans="1:22">
      <c r="A4600" t="str">
        <f t="shared" si="846"/>
        <v>25/03/2026</v>
      </c>
      <c r="B4600" t="str">
        <f t="shared" si="844"/>
        <v>ENTRADA</v>
      </c>
      <c r="C4600" t="str">
        <f t="shared" si="845"/>
        <v>NFSE</v>
      </c>
      <c r="D4600" t="str">
        <f>"596"</f>
        <v>596</v>
      </c>
      <c r="E4600" t="str">
        <f t="shared" si="840"/>
        <v>1</v>
      </c>
      <c r="F4600" t="str">
        <f t="shared" si="830"/>
        <v>COM</v>
      </c>
      <c r="G4600" t="str">
        <f>"FARMA &amp; FORMA (10296)"</f>
        <v>FARMA &amp; FORMA (10296)</v>
      </c>
      <c r="H4600" t="str">
        <f>"Serv.Prest. 16/03/2026 a 22/03/2026 - RPS: 2524 - NFSe: 596"</f>
        <v>Serv.Prest. 16/03/2026 a 22/03/2026 - RPS: 2524 - NFSe: 596</v>
      </c>
      <c r="I4600" t="str">
        <f t="shared" si="839"/>
        <v>25/03/2026</v>
      </c>
      <c r="J4600" t="str">
        <f t="shared" si="841"/>
        <v>23/03/2026</v>
      </c>
      <c r="K4600" t="str">
        <f>("25/03/2026")</f>
        <v>25/03/2026</v>
      </c>
      <c r="L4600">
        <v>1704.57</v>
      </c>
      <c r="M4600">
        <v>1704.57</v>
      </c>
      <c r="N4600">
        <v>303</v>
      </c>
      <c r="O4600" t="str">
        <f>"RECEITAS COM ENTREGAS"</f>
        <v>RECEITAS COM ENTREGAS</v>
      </c>
      <c r="P4600">
        <v>1704.57</v>
      </c>
      <c r="S4600" t="str">
        <f>"RECEITAS COM ENTREGAS (303)"</f>
        <v>RECEITAS COM ENTREGAS (303)</v>
      </c>
      <c r="T4600">
        <v>31946</v>
      </c>
      <c r="U4600">
        <v>36079</v>
      </c>
      <c r="V4600" t="s">
        <v>33</v>
      </c>
    </row>
    <row r="4601" spans="1:22">
      <c r="A4601" t="str">
        <f t="shared" si="846"/>
        <v>25/03/2026</v>
      </c>
      <c r="B4601" t="str">
        <f t="shared" si="844"/>
        <v>ENTRADA</v>
      </c>
      <c r="C4601" t="str">
        <f t="shared" si="845"/>
        <v>NFSE</v>
      </c>
      <c r="D4601" t="str">
        <f>"596"</f>
        <v>596</v>
      </c>
      <c r="E4601" t="str">
        <f t="shared" si="840"/>
        <v>1</v>
      </c>
      <c r="F4601" t="str">
        <f t="shared" si="830"/>
        <v>COM</v>
      </c>
      <c r="G4601" t="str">
        <f>"FARMA &amp; FORMA (10296)"</f>
        <v>FARMA &amp; FORMA (10296)</v>
      </c>
      <c r="H4601" t="s">
        <v>1236</v>
      </c>
      <c r="I4601" t="str">
        <f t="shared" si="839"/>
        <v>25/03/2026</v>
      </c>
      <c r="J4601" t="str">
        <f t="shared" si="841"/>
        <v>23/03/2026</v>
      </c>
      <c r="K4601">
        <v>46106</v>
      </c>
      <c r="N4601">
        <v>303</v>
      </c>
      <c r="O4601" t="s">
        <v>102</v>
      </c>
      <c r="Q4601">
        <v>1704.57</v>
      </c>
      <c r="R4601" t="str">
        <f>"FARMA &amp; FORMA (10296)"</f>
        <v>FARMA &amp; FORMA (10296)</v>
      </c>
      <c r="S4601" t="s">
        <v>103</v>
      </c>
      <c r="T4601">
        <v>31946</v>
      </c>
      <c r="U4601">
        <v>36079</v>
      </c>
      <c r="V4601" t="s">
        <v>33</v>
      </c>
    </row>
    <row r="4602" spans="1:22">
      <c r="A4602" t="str">
        <f t="shared" si="846"/>
        <v>25/03/2026</v>
      </c>
      <c r="B4602" t="str">
        <f t="shared" si="844"/>
        <v>ENTRADA</v>
      </c>
      <c r="C4602" t="str">
        <f t="shared" si="845"/>
        <v>NFSE</v>
      </c>
      <c r="D4602" t="str">
        <f>"601"</f>
        <v>601</v>
      </c>
      <c r="E4602" t="str">
        <f t="shared" si="840"/>
        <v>1</v>
      </c>
      <c r="F4602" t="str">
        <f t="shared" si="830"/>
        <v>COM</v>
      </c>
      <c r="G4602" t="str">
        <f>"LBL FARMACIA LTDA FILIAL (10192)"</f>
        <v>LBL FARMACIA LTDA FILIAL (10192)</v>
      </c>
      <c r="H4602" t="str">
        <f>"Serv.Prest. 16/03/2026 a 22/03/2026 - RPS: 2529 - NFSe: 601"</f>
        <v>Serv.Prest. 16/03/2026 a 22/03/2026 - RPS: 2529 - NFSe: 601</v>
      </c>
      <c r="I4602" t="str">
        <f t="shared" si="839"/>
        <v>25/03/2026</v>
      </c>
      <c r="J4602" t="str">
        <f t="shared" si="841"/>
        <v>23/03/2026</v>
      </c>
      <c r="K4602" t="str">
        <f>("25/03/2026")</f>
        <v>25/03/2026</v>
      </c>
      <c r="L4602">
        <v>1701.7</v>
      </c>
      <c r="M4602">
        <v>1701.7</v>
      </c>
      <c r="N4602">
        <v>303</v>
      </c>
      <c r="O4602" t="str">
        <f>"RECEITAS COM ENTREGAS"</f>
        <v>RECEITAS COM ENTREGAS</v>
      </c>
      <c r="P4602">
        <v>1701.7</v>
      </c>
      <c r="S4602" t="str">
        <f>"RECEITAS COM ENTREGAS (303)"</f>
        <v>RECEITAS COM ENTREGAS (303)</v>
      </c>
      <c r="T4602">
        <v>31947</v>
      </c>
      <c r="U4602">
        <v>36098</v>
      </c>
      <c r="V4602" t="s">
        <v>33</v>
      </c>
    </row>
    <row r="4603" spans="1:22">
      <c r="A4603" t="str">
        <f t="shared" si="846"/>
        <v>25/03/2026</v>
      </c>
      <c r="B4603" t="str">
        <f t="shared" si="844"/>
        <v>ENTRADA</v>
      </c>
      <c r="C4603" t="str">
        <f t="shared" si="845"/>
        <v>NFSE</v>
      </c>
      <c r="D4603" t="str">
        <f>"601"</f>
        <v>601</v>
      </c>
      <c r="E4603" t="str">
        <f t="shared" si="840"/>
        <v>1</v>
      </c>
      <c r="F4603" t="str">
        <f t="shared" si="830"/>
        <v>COM</v>
      </c>
      <c r="G4603" t="str">
        <f>"LBL FARMACIA LTDA FILIAL (10192)"</f>
        <v>LBL FARMACIA LTDA FILIAL (10192)</v>
      </c>
      <c r="H4603" t="s">
        <v>1237</v>
      </c>
      <c r="I4603" t="str">
        <f t="shared" si="839"/>
        <v>25/03/2026</v>
      </c>
      <c r="J4603" t="str">
        <f t="shared" si="841"/>
        <v>23/03/2026</v>
      </c>
      <c r="K4603">
        <v>46106</v>
      </c>
      <c r="N4603">
        <v>303</v>
      </c>
      <c r="O4603" t="s">
        <v>102</v>
      </c>
      <c r="Q4603">
        <v>1701.7</v>
      </c>
      <c r="R4603" t="str">
        <f>"LBL FARMACIA LTDA FILIAL (10192)"</f>
        <v>LBL FARMACIA LTDA FILIAL (10192)</v>
      </c>
      <c r="S4603" t="s">
        <v>103</v>
      </c>
      <c r="T4603">
        <v>31947</v>
      </c>
      <c r="U4603">
        <v>36098</v>
      </c>
      <c r="V4603" t="s">
        <v>33</v>
      </c>
    </row>
    <row r="4604" spans="1:22">
      <c r="A4604" t="str">
        <f t="shared" si="846"/>
        <v>25/03/2026</v>
      </c>
      <c r="B4604" t="str">
        <f t="shared" si="844"/>
        <v>ENTRADA</v>
      </c>
      <c r="C4604" t="str">
        <f t="shared" si="845"/>
        <v>NFSE</v>
      </c>
      <c r="D4604" t="str">
        <f>"602"</f>
        <v>602</v>
      </c>
      <c r="E4604" t="str">
        <f t="shared" si="840"/>
        <v>1</v>
      </c>
      <c r="F4604" t="str">
        <f t="shared" si="830"/>
        <v>COM</v>
      </c>
      <c r="G4604" t="str">
        <f>"FARMACIA ROSAS (10288)"</f>
        <v>FARMACIA ROSAS (10288)</v>
      </c>
      <c r="H4604" t="str">
        <f>"Serv.Prest. 16/03/2026 a 22/03/2026 - RPS: 2530 - NFSe: 602"</f>
        <v>Serv.Prest. 16/03/2026 a 22/03/2026 - RPS: 2530 - NFSe: 602</v>
      </c>
      <c r="I4604" t="str">
        <f t="shared" si="839"/>
        <v>25/03/2026</v>
      </c>
      <c r="J4604" t="str">
        <f t="shared" si="841"/>
        <v>23/03/2026</v>
      </c>
      <c r="K4604" t="str">
        <f>("25/03/2026")</f>
        <v>25/03/2026</v>
      </c>
      <c r="L4604">
        <v>2932.5</v>
      </c>
      <c r="M4604">
        <v>2932.5</v>
      </c>
      <c r="N4604">
        <v>303</v>
      </c>
      <c r="O4604" t="str">
        <f>"RECEITAS COM ENTREGAS"</f>
        <v>RECEITAS COM ENTREGAS</v>
      </c>
      <c r="P4604">
        <v>2932.5</v>
      </c>
      <c r="S4604" t="str">
        <f>"RECEITAS COM ENTREGAS (303)"</f>
        <v>RECEITAS COM ENTREGAS (303)</v>
      </c>
      <c r="T4604">
        <v>31948</v>
      </c>
      <c r="U4604">
        <v>36101</v>
      </c>
      <c r="V4604" t="s">
        <v>33</v>
      </c>
    </row>
    <row r="4605" spans="1:22">
      <c r="A4605" t="str">
        <f t="shared" si="846"/>
        <v>25/03/2026</v>
      </c>
      <c r="B4605" t="str">
        <f t="shared" si="844"/>
        <v>ENTRADA</v>
      </c>
      <c r="C4605" t="str">
        <f t="shared" si="845"/>
        <v>NFSE</v>
      </c>
      <c r="D4605" t="str">
        <f>"602"</f>
        <v>602</v>
      </c>
      <c r="E4605" t="str">
        <f t="shared" si="840"/>
        <v>1</v>
      </c>
      <c r="F4605" t="str">
        <f t="shared" si="830"/>
        <v>COM</v>
      </c>
      <c r="G4605" t="str">
        <f>"FARMACIA ROSAS (10288)"</f>
        <v>FARMACIA ROSAS (10288)</v>
      </c>
      <c r="H4605" t="s">
        <v>1238</v>
      </c>
      <c r="I4605" t="str">
        <f t="shared" si="839"/>
        <v>25/03/2026</v>
      </c>
      <c r="J4605" t="str">
        <f t="shared" si="841"/>
        <v>23/03/2026</v>
      </c>
      <c r="K4605">
        <v>46106</v>
      </c>
      <c r="N4605">
        <v>303</v>
      </c>
      <c r="O4605" t="s">
        <v>102</v>
      </c>
      <c r="Q4605">
        <v>2932.5</v>
      </c>
      <c r="R4605" t="str">
        <f>"FARMACIA ROSAS (10288)"</f>
        <v>FARMACIA ROSAS (10288)</v>
      </c>
      <c r="S4605" t="s">
        <v>103</v>
      </c>
      <c r="T4605">
        <v>31948</v>
      </c>
      <c r="U4605">
        <v>36101</v>
      </c>
      <c r="V4605" t="s">
        <v>33</v>
      </c>
    </row>
    <row r="4606" spans="1:22">
      <c r="A4606" t="str">
        <f t="shared" si="846"/>
        <v>25/03/2026</v>
      </c>
      <c r="B4606" t="str">
        <f t="shared" si="844"/>
        <v>ENTRADA</v>
      </c>
      <c r="C4606" t="str">
        <f t="shared" si="845"/>
        <v>NFSE</v>
      </c>
      <c r="D4606" t="str">
        <f>"566"</f>
        <v>566</v>
      </c>
      <c r="E4606" t="str">
        <f t="shared" si="840"/>
        <v>1</v>
      </c>
      <c r="F4606" t="str">
        <f t="shared" si="830"/>
        <v>COM</v>
      </c>
      <c r="G4606" t="str">
        <f>"PENSE FARMA 15 (10195)"</f>
        <v>PENSE FARMA 15 (10195)</v>
      </c>
      <c r="H4606" t="str">
        <f>"Serv.Prest. 16/03/2026 a 22/03/2026 - RPS: 2494 - NFSe: 566"</f>
        <v>Serv.Prest. 16/03/2026 a 22/03/2026 - RPS: 2494 - NFSe: 566</v>
      </c>
      <c r="I4606" t="str">
        <f t="shared" si="839"/>
        <v>25/03/2026</v>
      </c>
      <c r="J4606" t="str">
        <f t="shared" si="841"/>
        <v>23/03/2026</v>
      </c>
      <c r="K4606" t="str">
        <f>("25/03/2026")</f>
        <v>25/03/2026</v>
      </c>
      <c r="L4606">
        <v>3816.5</v>
      </c>
      <c r="M4606">
        <v>3816.5</v>
      </c>
      <c r="N4606">
        <v>303</v>
      </c>
      <c r="O4606" t="str">
        <f>"RECEITAS COM ENTREGAS"</f>
        <v>RECEITAS COM ENTREGAS</v>
      </c>
      <c r="P4606">
        <v>3816.5</v>
      </c>
      <c r="S4606" t="str">
        <f>"RECEITAS COM ENTREGAS (303)"</f>
        <v>RECEITAS COM ENTREGAS (303)</v>
      </c>
      <c r="T4606">
        <v>31949</v>
      </c>
      <c r="U4606">
        <v>35849</v>
      </c>
      <c r="V4606" t="s">
        <v>33</v>
      </c>
    </row>
    <row r="4607" spans="1:22">
      <c r="A4607" t="str">
        <f t="shared" si="846"/>
        <v>25/03/2026</v>
      </c>
      <c r="B4607" t="str">
        <f t="shared" si="844"/>
        <v>ENTRADA</v>
      </c>
      <c r="C4607" t="str">
        <f t="shared" si="845"/>
        <v>NFSE</v>
      </c>
      <c r="D4607" t="str">
        <f>"566"</f>
        <v>566</v>
      </c>
      <c r="E4607" t="str">
        <f t="shared" si="840"/>
        <v>1</v>
      </c>
      <c r="F4607" t="str">
        <f t="shared" si="830"/>
        <v>COM</v>
      </c>
      <c r="G4607" t="str">
        <f>"PENSE FARMA 15 (10195)"</f>
        <v>PENSE FARMA 15 (10195)</v>
      </c>
      <c r="H4607" t="s">
        <v>1239</v>
      </c>
      <c r="I4607" t="str">
        <f t="shared" si="839"/>
        <v>25/03/2026</v>
      </c>
      <c r="J4607" t="str">
        <f t="shared" si="841"/>
        <v>23/03/2026</v>
      </c>
      <c r="K4607">
        <v>46106</v>
      </c>
      <c r="N4607">
        <v>303</v>
      </c>
      <c r="O4607" t="s">
        <v>102</v>
      </c>
      <c r="Q4607">
        <v>951.83</v>
      </c>
      <c r="R4607" t="str">
        <f>"PENSE FARMA 15 (10195)"</f>
        <v>PENSE FARMA 15 (10195)</v>
      </c>
      <c r="S4607" t="s">
        <v>103</v>
      </c>
      <c r="T4607">
        <v>31949</v>
      </c>
      <c r="U4607">
        <v>35849</v>
      </c>
      <c r="V4607" t="s">
        <v>33</v>
      </c>
    </row>
    <row r="4608" spans="1:22">
      <c r="A4608" t="str">
        <f t="shared" si="846"/>
        <v>25/03/2026</v>
      </c>
      <c r="B4608" t="str">
        <f t="shared" si="844"/>
        <v>ENTRADA</v>
      </c>
      <c r="C4608" t="str">
        <f t="shared" si="845"/>
        <v>NFSE</v>
      </c>
      <c r="D4608" t="str">
        <f>"566"</f>
        <v>566</v>
      </c>
      <c r="E4608" t="str">
        <f t="shared" si="840"/>
        <v>1</v>
      </c>
      <c r="F4608" t="str">
        <f t="shared" si="830"/>
        <v>COM</v>
      </c>
      <c r="G4608" t="str">
        <f>"PENSE FARMA 15 (10195)"</f>
        <v>PENSE FARMA 15 (10195)</v>
      </c>
      <c r="H4608" t="s">
        <v>1239</v>
      </c>
      <c r="I4608" t="str">
        <f t="shared" si="839"/>
        <v>25/03/2026</v>
      </c>
      <c r="J4608" t="str">
        <f t="shared" si="841"/>
        <v>23/03/2026</v>
      </c>
      <c r="K4608">
        <v>46106</v>
      </c>
      <c r="N4608">
        <v>303</v>
      </c>
      <c r="O4608" t="s">
        <v>102</v>
      </c>
      <c r="Q4608">
        <v>960.61</v>
      </c>
      <c r="R4608" t="str">
        <f>"PENSE FARMA 26 (10196)"</f>
        <v>PENSE FARMA 26 (10196)</v>
      </c>
      <c r="S4608" t="s">
        <v>103</v>
      </c>
      <c r="T4608">
        <v>31949</v>
      </c>
      <c r="U4608">
        <v>35849</v>
      </c>
      <c r="V4608" t="s">
        <v>33</v>
      </c>
    </row>
    <row r="4609" spans="1:22">
      <c r="A4609" t="str">
        <f t="shared" si="846"/>
        <v>25/03/2026</v>
      </c>
      <c r="B4609" t="str">
        <f t="shared" si="844"/>
        <v>ENTRADA</v>
      </c>
      <c r="C4609" t="str">
        <f t="shared" si="845"/>
        <v>NFSE</v>
      </c>
      <c r="D4609" t="str">
        <f>"566"</f>
        <v>566</v>
      </c>
      <c r="E4609" t="str">
        <f t="shared" si="840"/>
        <v>1</v>
      </c>
      <c r="F4609" t="str">
        <f t="shared" si="830"/>
        <v>COM</v>
      </c>
      <c r="G4609" t="str">
        <f>"PENSE FARMA 15 (10195)"</f>
        <v>PENSE FARMA 15 (10195)</v>
      </c>
      <c r="H4609" t="s">
        <v>1239</v>
      </c>
      <c r="I4609" t="str">
        <f t="shared" ref="I4609:I4622" si="847">("25/03/2026")</f>
        <v>25/03/2026</v>
      </c>
      <c r="J4609" t="str">
        <f t="shared" si="841"/>
        <v>23/03/2026</v>
      </c>
      <c r="K4609">
        <v>46106</v>
      </c>
      <c r="N4609">
        <v>303</v>
      </c>
      <c r="O4609" t="s">
        <v>102</v>
      </c>
      <c r="Q4609">
        <v>951.84</v>
      </c>
      <c r="R4609" t="str">
        <f>"PENSE FARMA 60 (10197)"</f>
        <v>PENSE FARMA 60 (10197)</v>
      </c>
      <c r="S4609" t="s">
        <v>103</v>
      </c>
      <c r="T4609">
        <v>31949</v>
      </c>
      <c r="U4609">
        <v>35849</v>
      </c>
      <c r="V4609" t="s">
        <v>33</v>
      </c>
    </row>
    <row r="4610" spans="1:22">
      <c r="A4610" t="str">
        <f t="shared" si="846"/>
        <v>25/03/2026</v>
      </c>
      <c r="B4610" t="str">
        <f t="shared" si="844"/>
        <v>ENTRADA</v>
      </c>
      <c r="C4610" t="str">
        <f t="shared" si="845"/>
        <v>NFSE</v>
      </c>
      <c r="D4610" t="str">
        <f>"566"</f>
        <v>566</v>
      </c>
      <c r="E4610" t="str">
        <f t="shared" si="840"/>
        <v>1</v>
      </c>
      <c r="F4610" t="str">
        <f t="shared" ref="F4610:F4673" si="848">"COM"</f>
        <v>COM</v>
      </c>
      <c r="G4610" t="str">
        <f>"PENSE FARMA 15 (10195)"</f>
        <v>PENSE FARMA 15 (10195)</v>
      </c>
      <c r="H4610" t="s">
        <v>1239</v>
      </c>
      <c r="I4610" t="str">
        <f t="shared" si="847"/>
        <v>25/03/2026</v>
      </c>
      <c r="J4610" t="str">
        <f t="shared" si="841"/>
        <v>23/03/2026</v>
      </c>
      <c r="K4610">
        <v>46106</v>
      </c>
      <c r="N4610">
        <v>303</v>
      </c>
      <c r="O4610" t="s">
        <v>102</v>
      </c>
      <c r="Q4610">
        <v>952.22</v>
      </c>
      <c r="R4610" t="str">
        <f>"PENSE FARMA 61 (10243)"</f>
        <v>PENSE FARMA 61 (10243)</v>
      </c>
      <c r="S4610" t="s">
        <v>103</v>
      </c>
      <c r="T4610">
        <v>31949</v>
      </c>
      <c r="U4610">
        <v>35849</v>
      </c>
      <c r="V4610" t="s">
        <v>33</v>
      </c>
    </row>
    <row r="4611" spans="1:22">
      <c r="A4611" t="str">
        <f t="shared" si="846"/>
        <v>25/03/2026</v>
      </c>
      <c r="B4611" t="str">
        <f t="shared" si="844"/>
        <v>ENTRADA</v>
      </c>
      <c r="C4611" t="str">
        <f t="shared" si="845"/>
        <v>NFSE</v>
      </c>
      <c r="D4611" t="str">
        <f>"572"</f>
        <v>572</v>
      </c>
      <c r="E4611" t="str">
        <f t="shared" ref="E4611:E4629" si="849">"1"</f>
        <v>1</v>
      </c>
      <c r="F4611" t="str">
        <f t="shared" si="848"/>
        <v>COM</v>
      </c>
      <c r="G4611" t="str">
        <f>"PENSE FARMA 31 (10205)"</f>
        <v>PENSE FARMA 31 (10205)</v>
      </c>
      <c r="H4611" t="str">
        <f>"Serv.Prest. 16/03/2026 a 22/03/2026 - RPS: 2500 - NFSe: 572"</f>
        <v>Serv.Prest. 16/03/2026 a 22/03/2026 - RPS: 2500 - NFSe: 572</v>
      </c>
      <c r="I4611" t="str">
        <f t="shared" si="847"/>
        <v>25/03/2026</v>
      </c>
      <c r="J4611" t="str">
        <f t="shared" ref="J4611:J4622" si="850">("23/03/2026")</f>
        <v>23/03/2026</v>
      </c>
      <c r="K4611" t="str">
        <f>("25/03/2026")</f>
        <v>25/03/2026</v>
      </c>
      <c r="L4611">
        <v>3060.91</v>
      </c>
      <c r="M4611">
        <v>3060.91</v>
      </c>
      <c r="N4611">
        <v>303</v>
      </c>
      <c r="O4611" t="str">
        <f>"RECEITAS COM ENTREGAS"</f>
        <v>RECEITAS COM ENTREGAS</v>
      </c>
      <c r="P4611">
        <v>3060.91</v>
      </c>
      <c r="S4611" t="str">
        <f>"RECEITAS COM ENTREGAS (303)"</f>
        <v>RECEITAS COM ENTREGAS (303)</v>
      </c>
      <c r="T4611">
        <v>31950</v>
      </c>
      <c r="U4611">
        <v>35903</v>
      </c>
      <c r="V4611" t="s">
        <v>33</v>
      </c>
    </row>
    <row r="4612" spans="1:22">
      <c r="A4612" t="str">
        <f t="shared" si="846"/>
        <v>25/03/2026</v>
      </c>
      <c r="B4612" t="str">
        <f t="shared" si="844"/>
        <v>ENTRADA</v>
      </c>
      <c r="C4612" t="str">
        <f t="shared" si="845"/>
        <v>NFSE</v>
      </c>
      <c r="D4612" t="str">
        <f>"572"</f>
        <v>572</v>
      </c>
      <c r="E4612" t="str">
        <f t="shared" si="849"/>
        <v>1</v>
      </c>
      <c r="F4612" t="str">
        <f t="shared" si="848"/>
        <v>COM</v>
      </c>
      <c r="G4612" t="str">
        <f>"PENSE FARMA 31 (10205)"</f>
        <v>PENSE FARMA 31 (10205)</v>
      </c>
      <c r="H4612" t="s">
        <v>1240</v>
      </c>
      <c r="I4612" t="str">
        <f t="shared" si="847"/>
        <v>25/03/2026</v>
      </c>
      <c r="J4612" t="str">
        <f t="shared" si="850"/>
        <v>23/03/2026</v>
      </c>
      <c r="K4612">
        <v>46106</v>
      </c>
      <c r="N4612">
        <v>303</v>
      </c>
      <c r="O4612" t="s">
        <v>102</v>
      </c>
      <c r="Q4612">
        <v>764.61</v>
      </c>
      <c r="R4612" t="str">
        <f>"PENSE FARMA 31 (10205)"</f>
        <v>PENSE FARMA 31 (10205)</v>
      </c>
      <c r="S4612" t="s">
        <v>103</v>
      </c>
      <c r="T4612">
        <v>31950</v>
      </c>
      <c r="U4612">
        <v>35903</v>
      </c>
      <c r="V4612" t="s">
        <v>33</v>
      </c>
    </row>
    <row r="4613" spans="1:22">
      <c r="A4613" t="str">
        <f t="shared" si="846"/>
        <v>25/03/2026</v>
      </c>
      <c r="B4613" t="str">
        <f t="shared" si="844"/>
        <v>ENTRADA</v>
      </c>
      <c r="C4613" t="str">
        <f t="shared" si="845"/>
        <v>NFSE</v>
      </c>
      <c r="D4613" t="str">
        <f>"572"</f>
        <v>572</v>
      </c>
      <c r="E4613" t="str">
        <f t="shared" si="849"/>
        <v>1</v>
      </c>
      <c r="F4613" t="str">
        <f t="shared" si="848"/>
        <v>COM</v>
      </c>
      <c r="G4613" t="str">
        <f>"PENSE FARMA 31 (10205)"</f>
        <v>PENSE FARMA 31 (10205)</v>
      </c>
      <c r="H4613" t="s">
        <v>1240</v>
      </c>
      <c r="I4613" t="str">
        <f t="shared" si="847"/>
        <v>25/03/2026</v>
      </c>
      <c r="J4613" t="str">
        <f t="shared" si="850"/>
        <v>23/03/2026</v>
      </c>
      <c r="K4613">
        <v>46106</v>
      </c>
      <c r="N4613">
        <v>303</v>
      </c>
      <c r="O4613" t="s">
        <v>102</v>
      </c>
      <c r="Q4613">
        <v>764.62</v>
      </c>
      <c r="R4613" t="str">
        <f>"PENSE FARMA 16 (10221)"</f>
        <v>PENSE FARMA 16 (10221)</v>
      </c>
      <c r="S4613" t="s">
        <v>103</v>
      </c>
      <c r="T4613">
        <v>31950</v>
      </c>
      <c r="U4613">
        <v>35903</v>
      </c>
      <c r="V4613" t="s">
        <v>33</v>
      </c>
    </row>
    <row r="4614" spans="1:22">
      <c r="A4614" t="str">
        <f t="shared" si="846"/>
        <v>25/03/2026</v>
      </c>
      <c r="B4614" t="str">
        <f t="shared" si="844"/>
        <v>ENTRADA</v>
      </c>
      <c r="C4614" t="str">
        <f t="shared" si="845"/>
        <v>NFSE</v>
      </c>
      <c r="D4614" t="str">
        <f>"572"</f>
        <v>572</v>
      </c>
      <c r="E4614" t="str">
        <f t="shared" si="849"/>
        <v>1</v>
      </c>
      <c r="F4614" t="str">
        <f t="shared" si="848"/>
        <v>COM</v>
      </c>
      <c r="G4614" t="str">
        <f>"PENSE FARMA 31 (10205)"</f>
        <v>PENSE FARMA 31 (10205)</v>
      </c>
      <c r="H4614" t="s">
        <v>1240</v>
      </c>
      <c r="I4614" t="str">
        <f t="shared" si="847"/>
        <v>25/03/2026</v>
      </c>
      <c r="J4614" t="str">
        <f t="shared" si="850"/>
        <v>23/03/2026</v>
      </c>
      <c r="K4614">
        <v>46106</v>
      </c>
      <c r="N4614">
        <v>303</v>
      </c>
      <c r="O4614" t="s">
        <v>102</v>
      </c>
      <c r="Q4614">
        <v>764.62</v>
      </c>
      <c r="R4614" t="str">
        <f>"PENSE FARMA 17 (10222)"</f>
        <v>PENSE FARMA 17 (10222)</v>
      </c>
      <c r="S4614" t="s">
        <v>103</v>
      </c>
      <c r="T4614">
        <v>31950</v>
      </c>
      <c r="U4614">
        <v>35903</v>
      </c>
      <c r="V4614" t="s">
        <v>33</v>
      </c>
    </row>
    <row r="4615" spans="1:22">
      <c r="A4615" t="str">
        <f t="shared" si="846"/>
        <v>25/03/2026</v>
      </c>
      <c r="B4615" t="str">
        <f t="shared" si="844"/>
        <v>ENTRADA</v>
      </c>
      <c r="C4615" t="str">
        <f t="shared" si="845"/>
        <v>NFSE</v>
      </c>
      <c r="D4615" t="str">
        <f>"572"</f>
        <v>572</v>
      </c>
      <c r="E4615" t="str">
        <f t="shared" si="849"/>
        <v>1</v>
      </c>
      <c r="F4615" t="str">
        <f t="shared" si="848"/>
        <v>COM</v>
      </c>
      <c r="G4615" t="str">
        <f>"PENSE FARMA 31 (10205)"</f>
        <v>PENSE FARMA 31 (10205)</v>
      </c>
      <c r="H4615" t="s">
        <v>1240</v>
      </c>
      <c r="I4615" t="str">
        <f t="shared" si="847"/>
        <v>25/03/2026</v>
      </c>
      <c r="J4615" t="str">
        <f t="shared" si="850"/>
        <v>23/03/2026</v>
      </c>
      <c r="K4615">
        <v>46106</v>
      </c>
      <c r="N4615">
        <v>303</v>
      </c>
      <c r="O4615" t="s">
        <v>102</v>
      </c>
      <c r="Q4615">
        <v>767.06</v>
      </c>
      <c r="R4615" t="str">
        <f>"PENSE FARMA 62 (10274)"</f>
        <v>PENSE FARMA 62 (10274)</v>
      </c>
      <c r="S4615" t="s">
        <v>103</v>
      </c>
      <c r="T4615">
        <v>31950</v>
      </c>
      <c r="U4615">
        <v>35903</v>
      </c>
      <c r="V4615" t="s">
        <v>33</v>
      </c>
    </row>
    <row r="4616" spans="1:22">
      <c r="A4616" t="str">
        <f t="shared" si="846"/>
        <v>25/03/2026</v>
      </c>
      <c r="B4616" t="str">
        <f t="shared" si="844"/>
        <v>ENTRADA</v>
      </c>
      <c r="C4616" t="str">
        <f t="shared" si="845"/>
        <v>NFSE</v>
      </c>
      <c r="D4616" t="str">
        <f>"576"</f>
        <v>576</v>
      </c>
      <c r="E4616" t="str">
        <f t="shared" si="849"/>
        <v>1</v>
      </c>
      <c r="F4616" t="str">
        <f t="shared" si="848"/>
        <v>COM</v>
      </c>
      <c r="G4616" t="str">
        <f>"PENSE FARMA 44 (10231)"</f>
        <v>PENSE FARMA 44 (10231)</v>
      </c>
      <c r="H4616" t="str">
        <f>"Serv.Prest. 16/03/2026 a 22/03/2026 - RPS: 2504 - NFSe: 576"</f>
        <v>Serv.Prest. 16/03/2026 a 22/03/2026 - RPS: 2504 - NFSe: 576</v>
      </c>
      <c r="I4616" t="str">
        <f t="shared" si="847"/>
        <v>25/03/2026</v>
      </c>
      <c r="J4616" t="str">
        <f t="shared" si="850"/>
        <v>23/03/2026</v>
      </c>
      <c r="K4616" t="str">
        <f>("25/03/2026")</f>
        <v>25/03/2026</v>
      </c>
      <c r="L4616">
        <v>3574.65</v>
      </c>
      <c r="M4616">
        <v>3574.65</v>
      </c>
      <c r="N4616">
        <v>303</v>
      </c>
      <c r="O4616" t="str">
        <f>"RECEITAS COM ENTREGAS"</f>
        <v>RECEITAS COM ENTREGAS</v>
      </c>
      <c r="P4616">
        <v>3574.65</v>
      </c>
      <c r="S4616" t="str">
        <f>"RECEITAS COM ENTREGAS (303)"</f>
        <v>RECEITAS COM ENTREGAS (303)</v>
      </c>
      <c r="T4616">
        <v>31951</v>
      </c>
      <c r="U4616">
        <v>35952</v>
      </c>
      <c r="V4616" t="s">
        <v>33</v>
      </c>
    </row>
    <row r="4617" spans="1:22">
      <c r="A4617" t="str">
        <f t="shared" si="846"/>
        <v>25/03/2026</v>
      </c>
      <c r="B4617" t="str">
        <f t="shared" ref="B4617:B4629" si="851">"ENTRADA"</f>
        <v>ENTRADA</v>
      </c>
      <c r="C4617" t="str">
        <f t="shared" ref="C4617:C4629" si="852">"NFSE"</f>
        <v>NFSE</v>
      </c>
      <c r="D4617" t="str">
        <f>"576"</f>
        <v>576</v>
      </c>
      <c r="E4617" t="str">
        <f t="shared" si="849"/>
        <v>1</v>
      </c>
      <c r="F4617" t="str">
        <f t="shared" si="848"/>
        <v>COM</v>
      </c>
      <c r="G4617" t="str">
        <f>"PENSE FARMA 44 (10231)"</f>
        <v>PENSE FARMA 44 (10231)</v>
      </c>
      <c r="H4617" t="s">
        <v>1241</v>
      </c>
      <c r="I4617" t="str">
        <f t="shared" si="847"/>
        <v>25/03/2026</v>
      </c>
      <c r="J4617" t="str">
        <f t="shared" si="850"/>
        <v>23/03/2026</v>
      </c>
      <c r="K4617">
        <v>46106</v>
      </c>
      <c r="N4617">
        <v>303</v>
      </c>
      <c r="O4617" t="s">
        <v>102</v>
      </c>
      <c r="Q4617">
        <v>1784.47</v>
      </c>
      <c r="R4617" t="str">
        <f>"PENSE FARMA 44 (10231)"</f>
        <v>PENSE FARMA 44 (10231)</v>
      </c>
      <c r="S4617" t="s">
        <v>103</v>
      </c>
      <c r="T4617">
        <v>31951</v>
      </c>
      <c r="U4617">
        <v>35952</v>
      </c>
      <c r="V4617" t="s">
        <v>33</v>
      </c>
    </row>
    <row r="4618" spans="1:22">
      <c r="A4618" t="str">
        <f t="shared" si="846"/>
        <v>25/03/2026</v>
      </c>
      <c r="B4618" t="str">
        <f t="shared" si="851"/>
        <v>ENTRADA</v>
      </c>
      <c r="C4618" t="str">
        <f t="shared" si="852"/>
        <v>NFSE</v>
      </c>
      <c r="D4618" t="str">
        <f>"576"</f>
        <v>576</v>
      </c>
      <c r="E4618" t="str">
        <f t="shared" si="849"/>
        <v>1</v>
      </c>
      <c r="F4618" t="str">
        <f t="shared" si="848"/>
        <v>COM</v>
      </c>
      <c r="G4618" t="str">
        <f>"PENSE FARMA 44 (10231)"</f>
        <v>PENSE FARMA 44 (10231)</v>
      </c>
      <c r="H4618" t="s">
        <v>1241</v>
      </c>
      <c r="I4618" t="str">
        <f t="shared" si="847"/>
        <v>25/03/2026</v>
      </c>
      <c r="J4618" t="str">
        <f t="shared" si="850"/>
        <v>23/03/2026</v>
      </c>
      <c r="K4618">
        <v>46106</v>
      </c>
      <c r="N4618">
        <v>303</v>
      </c>
      <c r="O4618" t="s">
        <v>102</v>
      </c>
      <c r="Q4618">
        <v>1790.18</v>
      </c>
      <c r="R4618" t="str">
        <f>"PENSE FARMA 48 (10233)"</f>
        <v>PENSE FARMA 48 (10233)</v>
      </c>
      <c r="S4618" t="s">
        <v>103</v>
      </c>
      <c r="T4618">
        <v>31951</v>
      </c>
      <c r="U4618">
        <v>35952</v>
      </c>
      <c r="V4618" t="s">
        <v>33</v>
      </c>
    </row>
    <row r="4619" spans="1:22">
      <c r="A4619" t="str">
        <f t="shared" si="846"/>
        <v>25/03/2026</v>
      </c>
      <c r="B4619" t="str">
        <f t="shared" si="851"/>
        <v>ENTRADA</v>
      </c>
      <c r="C4619" t="str">
        <f t="shared" si="852"/>
        <v>NFSE</v>
      </c>
      <c r="D4619" t="str">
        <f>"578"</f>
        <v>578</v>
      </c>
      <c r="E4619" t="str">
        <f t="shared" si="849"/>
        <v>1</v>
      </c>
      <c r="F4619" t="str">
        <f t="shared" si="848"/>
        <v>COM</v>
      </c>
      <c r="G4619" t="str">
        <f>"PENSE FARMA 49 (10234)"</f>
        <v>PENSE FARMA 49 (10234)</v>
      </c>
      <c r="H4619" t="str">
        <f>"Serv.Prest. 16/03/2026 a 22/03/2026 - RPS: 2506 - NFSe: 578"</f>
        <v>Serv.Prest. 16/03/2026 a 22/03/2026 - RPS: 2506 - NFSe: 578</v>
      </c>
      <c r="I4619" t="str">
        <f t="shared" si="847"/>
        <v>25/03/2026</v>
      </c>
      <c r="J4619" t="str">
        <f t="shared" si="850"/>
        <v>23/03/2026</v>
      </c>
      <c r="K4619" t="str">
        <f>("25/03/2026")</f>
        <v>25/03/2026</v>
      </c>
      <c r="L4619">
        <v>1264.1199999999999</v>
      </c>
      <c r="M4619">
        <v>1264.1199999999999</v>
      </c>
      <c r="N4619">
        <v>303</v>
      </c>
      <c r="O4619" t="str">
        <f>"RECEITAS COM ENTREGAS"</f>
        <v>RECEITAS COM ENTREGAS</v>
      </c>
      <c r="P4619">
        <v>1264.1199999999999</v>
      </c>
      <c r="S4619" t="str">
        <f>"RECEITAS COM ENTREGAS (303)"</f>
        <v>RECEITAS COM ENTREGAS (303)</v>
      </c>
      <c r="T4619">
        <v>31952</v>
      </c>
      <c r="U4619">
        <v>35961</v>
      </c>
      <c r="V4619" t="s">
        <v>33</v>
      </c>
    </row>
    <row r="4620" spans="1:22">
      <c r="A4620" t="str">
        <f t="shared" si="846"/>
        <v>25/03/2026</v>
      </c>
      <c r="B4620" t="str">
        <f t="shared" si="851"/>
        <v>ENTRADA</v>
      </c>
      <c r="C4620" t="str">
        <f t="shared" si="852"/>
        <v>NFSE</v>
      </c>
      <c r="D4620" t="str">
        <f>"578"</f>
        <v>578</v>
      </c>
      <c r="E4620" t="str">
        <f t="shared" si="849"/>
        <v>1</v>
      </c>
      <c r="F4620" t="str">
        <f t="shared" si="848"/>
        <v>COM</v>
      </c>
      <c r="G4620" t="str">
        <f>"PENSE FARMA 49 (10234)"</f>
        <v>PENSE FARMA 49 (10234)</v>
      </c>
      <c r="H4620" t="s">
        <v>1242</v>
      </c>
      <c r="I4620" t="str">
        <f t="shared" si="847"/>
        <v>25/03/2026</v>
      </c>
      <c r="J4620" t="str">
        <f t="shared" si="850"/>
        <v>23/03/2026</v>
      </c>
      <c r="K4620">
        <v>46106</v>
      </c>
      <c r="N4620">
        <v>303</v>
      </c>
      <c r="O4620" t="s">
        <v>102</v>
      </c>
      <c r="Q4620">
        <v>1264.1199999999999</v>
      </c>
      <c r="R4620" t="str">
        <f>"PENSE FARMA 49 (10234)"</f>
        <v>PENSE FARMA 49 (10234)</v>
      </c>
      <c r="S4620" t="s">
        <v>103</v>
      </c>
      <c r="T4620">
        <v>31952</v>
      </c>
      <c r="U4620">
        <v>35961</v>
      </c>
      <c r="V4620" t="s">
        <v>33</v>
      </c>
    </row>
    <row r="4621" spans="1:22">
      <c r="A4621" t="str">
        <f t="shared" si="846"/>
        <v>25/03/2026</v>
      </c>
      <c r="B4621" t="str">
        <f t="shared" si="851"/>
        <v>ENTRADA</v>
      </c>
      <c r="C4621" t="str">
        <f t="shared" si="852"/>
        <v>NFSE</v>
      </c>
      <c r="D4621" t="str">
        <f>"588"</f>
        <v>588</v>
      </c>
      <c r="E4621" t="str">
        <f t="shared" si="849"/>
        <v>1</v>
      </c>
      <c r="F4621" t="str">
        <f t="shared" si="848"/>
        <v>COM</v>
      </c>
      <c r="G4621" t="str">
        <f>"JAL FARMACIA E DROGARIA LJ 2 (10138)"</f>
        <v>JAL FARMACIA E DROGARIA LJ 2 (10138)</v>
      </c>
      <c r="H4621" t="str">
        <f>"Serv.Prest. 16/03/2026 a 22/03/2026 - RPS: 2516 - NFSe: 588"</f>
        <v>Serv.Prest. 16/03/2026 a 22/03/2026 - RPS: 2516 - NFSe: 588</v>
      </c>
      <c r="I4621" t="str">
        <f t="shared" si="847"/>
        <v>25/03/2026</v>
      </c>
      <c r="J4621" t="str">
        <f t="shared" si="850"/>
        <v>23/03/2026</v>
      </c>
      <c r="K4621" t="str">
        <f>("25/03/2026")</f>
        <v>25/03/2026</v>
      </c>
      <c r="L4621">
        <v>1632</v>
      </c>
      <c r="M4621">
        <v>1632</v>
      </c>
      <c r="N4621">
        <v>303</v>
      </c>
      <c r="O4621" t="str">
        <f>"RECEITAS COM ENTREGAS"</f>
        <v>RECEITAS COM ENTREGAS</v>
      </c>
      <c r="P4621">
        <v>1632</v>
      </c>
      <c r="S4621" t="str">
        <f>"RECEITAS COM ENTREGAS (303)"</f>
        <v>RECEITAS COM ENTREGAS (303)</v>
      </c>
      <c r="T4621">
        <v>31953</v>
      </c>
      <c r="U4621">
        <v>36055</v>
      </c>
      <c r="V4621" t="s">
        <v>33</v>
      </c>
    </row>
    <row r="4622" spans="1:22">
      <c r="A4622" t="str">
        <f t="shared" si="846"/>
        <v>25/03/2026</v>
      </c>
      <c r="B4622" t="str">
        <f t="shared" si="851"/>
        <v>ENTRADA</v>
      </c>
      <c r="C4622" t="str">
        <f t="shared" si="852"/>
        <v>NFSE</v>
      </c>
      <c r="D4622" t="str">
        <f>"588"</f>
        <v>588</v>
      </c>
      <c r="E4622" t="str">
        <f t="shared" si="849"/>
        <v>1</v>
      </c>
      <c r="F4622" t="str">
        <f t="shared" si="848"/>
        <v>COM</v>
      </c>
      <c r="G4622" t="str">
        <f>"JAL FARMACIA E DROGARIA LJ 2 (10138)"</f>
        <v>JAL FARMACIA E DROGARIA LJ 2 (10138)</v>
      </c>
      <c r="H4622" t="s">
        <v>1243</v>
      </c>
      <c r="I4622" t="str">
        <f t="shared" si="847"/>
        <v>25/03/2026</v>
      </c>
      <c r="J4622" t="str">
        <f t="shared" si="850"/>
        <v>23/03/2026</v>
      </c>
      <c r="K4622">
        <v>46106</v>
      </c>
      <c r="N4622">
        <v>303</v>
      </c>
      <c r="O4622" t="s">
        <v>102</v>
      </c>
      <c r="Q4622">
        <v>1632</v>
      </c>
      <c r="R4622" t="str">
        <f>"JAL FARMACIA E DROGARIA LJ 2 (10138)"</f>
        <v>JAL FARMACIA E DROGARIA LJ 2 (10138)</v>
      </c>
      <c r="S4622" t="s">
        <v>103</v>
      </c>
      <c r="T4622">
        <v>31953</v>
      </c>
      <c r="U4622">
        <v>36055</v>
      </c>
      <c r="V4622" t="s">
        <v>33</v>
      </c>
    </row>
    <row r="4623" spans="1:22">
      <c r="A4623" t="str">
        <f t="shared" si="846"/>
        <v>25/03/2026</v>
      </c>
      <c r="B4623" t="str">
        <f t="shared" si="851"/>
        <v>ENTRADA</v>
      </c>
      <c r="C4623" t="str">
        <f t="shared" si="852"/>
        <v>NFSE</v>
      </c>
      <c r="D4623" t="str">
        <f t="shared" ref="D4623:D4629" si="853">"515"</f>
        <v>515</v>
      </c>
      <c r="E4623" t="str">
        <f t="shared" si="849"/>
        <v>1</v>
      </c>
      <c r="F4623" t="str">
        <f t="shared" si="848"/>
        <v>COM</v>
      </c>
      <c r="G4623" t="str">
        <f t="shared" ref="G4623:G4629" si="854">"BEM TE FAZ 01 (10283)"</f>
        <v>BEM TE FAZ 01 (10283)</v>
      </c>
      <c r="H4623" t="str">
        <f>"Serv.Prest. 09/03/2026 a 15/03/2026 - RPS: 2443 - NFSe: 515"</f>
        <v>Serv.Prest. 09/03/2026 a 15/03/2026 - RPS: 2443 - NFSe: 515</v>
      </c>
      <c r="I4623" t="str">
        <f t="shared" ref="I4623:I4629" si="855">("18/03/2026")</f>
        <v>18/03/2026</v>
      </c>
      <c r="J4623" t="str">
        <f t="shared" ref="J4623:J4629" si="856">("16/03/2026")</f>
        <v>16/03/2026</v>
      </c>
      <c r="K4623" t="str">
        <f>("25/03/2026")</f>
        <v>25/03/2026</v>
      </c>
      <c r="L4623">
        <v>21938.5</v>
      </c>
      <c r="M4623">
        <v>21938.5</v>
      </c>
      <c r="N4623">
        <v>303</v>
      </c>
      <c r="O4623" t="str">
        <f>"RECEITAS COM ENTREGAS"</f>
        <v>RECEITAS COM ENTREGAS</v>
      </c>
      <c r="P4623">
        <v>21938.5</v>
      </c>
      <c r="S4623" t="str">
        <f>"RECEITAS COM ENTREGAS (303)"</f>
        <v>RECEITAS COM ENTREGAS (303)</v>
      </c>
      <c r="T4623">
        <v>31954</v>
      </c>
      <c r="U4623">
        <v>34857</v>
      </c>
      <c r="V4623" t="s">
        <v>33</v>
      </c>
    </row>
    <row r="4624" spans="1:22">
      <c r="A4624" t="str">
        <f t="shared" si="846"/>
        <v>25/03/2026</v>
      </c>
      <c r="B4624" t="str">
        <f t="shared" si="851"/>
        <v>ENTRADA</v>
      </c>
      <c r="C4624" t="str">
        <f t="shared" si="852"/>
        <v>NFSE</v>
      </c>
      <c r="D4624" t="str">
        <f t="shared" si="853"/>
        <v>515</v>
      </c>
      <c r="E4624" t="str">
        <f t="shared" si="849"/>
        <v>1</v>
      </c>
      <c r="F4624" t="str">
        <f t="shared" si="848"/>
        <v>COM</v>
      </c>
      <c r="G4624" t="str">
        <f t="shared" si="854"/>
        <v>BEM TE FAZ 01 (10283)</v>
      </c>
      <c r="H4624" t="s">
        <v>1244</v>
      </c>
      <c r="I4624" t="str">
        <f t="shared" si="855"/>
        <v>18/03/2026</v>
      </c>
      <c r="J4624" t="str">
        <f t="shared" si="856"/>
        <v>16/03/2026</v>
      </c>
      <c r="K4624">
        <v>46106</v>
      </c>
      <c r="N4624">
        <v>303</v>
      </c>
      <c r="O4624" t="s">
        <v>102</v>
      </c>
      <c r="Q4624">
        <v>4589.54</v>
      </c>
      <c r="R4624" t="str">
        <f>"BEM TE FAZ LOJA 6 (10284)"</f>
        <v>BEM TE FAZ LOJA 6 (10284)</v>
      </c>
      <c r="S4624" t="s">
        <v>103</v>
      </c>
      <c r="T4624">
        <v>31954</v>
      </c>
      <c r="U4624">
        <v>34857</v>
      </c>
      <c r="V4624" t="s">
        <v>33</v>
      </c>
    </row>
    <row r="4625" spans="1:22">
      <c r="A4625" t="str">
        <f t="shared" si="846"/>
        <v>25/03/2026</v>
      </c>
      <c r="B4625" t="str">
        <f t="shared" si="851"/>
        <v>ENTRADA</v>
      </c>
      <c r="C4625" t="str">
        <f t="shared" si="852"/>
        <v>NFSE</v>
      </c>
      <c r="D4625" t="str">
        <f t="shared" si="853"/>
        <v>515</v>
      </c>
      <c r="E4625" t="str">
        <f t="shared" si="849"/>
        <v>1</v>
      </c>
      <c r="F4625" t="str">
        <f t="shared" si="848"/>
        <v>COM</v>
      </c>
      <c r="G4625" t="str">
        <f t="shared" si="854"/>
        <v>BEM TE FAZ 01 (10283)</v>
      </c>
      <c r="H4625" t="s">
        <v>1244</v>
      </c>
      <c r="I4625" t="str">
        <f t="shared" si="855"/>
        <v>18/03/2026</v>
      </c>
      <c r="J4625" t="str">
        <f t="shared" si="856"/>
        <v>16/03/2026</v>
      </c>
      <c r="K4625">
        <v>46106</v>
      </c>
      <c r="N4625">
        <v>303</v>
      </c>
      <c r="O4625" t="s">
        <v>102</v>
      </c>
      <c r="Q4625">
        <v>3637.4</v>
      </c>
      <c r="R4625" t="str">
        <f>"BEM TE FAZ LOJA 7 (10285)"</f>
        <v>BEM TE FAZ LOJA 7 (10285)</v>
      </c>
      <c r="S4625" t="s">
        <v>103</v>
      </c>
      <c r="T4625">
        <v>31954</v>
      </c>
      <c r="U4625">
        <v>34857</v>
      </c>
      <c r="V4625" t="s">
        <v>33</v>
      </c>
    </row>
    <row r="4626" spans="1:22">
      <c r="A4626" t="str">
        <f t="shared" si="846"/>
        <v>25/03/2026</v>
      </c>
      <c r="B4626" t="str">
        <f t="shared" si="851"/>
        <v>ENTRADA</v>
      </c>
      <c r="C4626" t="str">
        <f t="shared" si="852"/>
        <v>NFSE</v>
      </c>
      <c r="D4626" t="str">
        <f t="shared" si="853"/>
        <v>515</v>
      </c>
      <c r="E4626" t="str">
        <f t="shared" si="849"/>
        <v>1</v>
      </c>
      <c r="F4626" t="str">
        <f t="shared" si="848"/>
        <v>COM</v>
      </c>
      <c r="G4626" t="str">
        <f t="shared" si="854"/>
        <v>BEM TE FAZ 01 (10283)</v>
      </c>
      <c r="H4626" t="s">
        <v>1244</v>
      </c>
      <c r="I4626" t="str">
        <f t="shared" si="855"/>
        <v>18/03/2026</v>
      </c>
      <c r="J4626" t="str">
        <f t="shared" si="856"/>
        <v>16/03/2026</v>
      </c>
      <c r="K4626">
        <v>46106</v>
      </c>
      <c r="N4626">
        <v>303</v>
      </c>
      <c r="O4626" t="s">
        <v>102</v>
      </c>
      <c r="Q4626">
        <v>1801.15</v>
      </c>
      <c r="R4626" t="str">
        <f>"BEM TE FAZ LOJA 9 (10286)"</f>
        <v>BEM TE FAZ LOJA 9 (10286)</v>
      </c>
      <c r="S4626" t="s">
        <v>103</v>
      </c>
      <c r="T4626">
        <v>31954</v>
      </c>
      <c r="U4626">
        <v>34857</v>
      </c>
      <c r="V4626" t="s">
        <v>33</v>
      </c>
    </row>
    <row r="4627" spans="1:22">
      <c r="A4627" t="str">
        <f t="shared" si="846"/>
        <v>25/03/2026</v>
      </c>
      <c r="B4627" t="str">
        <f t="shared" si="851"/>
        <v>ENTRADA</v>
      </c>
      <c r="C4627" t="str">
        <f t="shared" si="852"/>
        <v>NFSE</v>
      </c>
      <c r="D4627" t="str">
        <f t="shared" si="853"/>
        <v>515</v>
      </c>
      <c r="E4627" t="str">
        <f t="shared" si="849"/>
        <v>1</v>
      </c>
      <c r="F4627" t="str">
        <f t="shared" si="848"/>
        <v>COM</v>
      </c>
      <c r="G4627" t="str">
        <f t="shared" si="854"/>
        <v>BEM TE FAZ 01 (10283)</v>
      </c>
      <c r="H4627" t="s">
        <v>1244</v>
      </c>
      <c r="I4627" t="str">
        <f t="shared" si="855"/>
        <v>18/03/2026</v>
      </c>
      <c r="J4627" t="str">
        <f t="shared" si="856"/>
        <v>16/03/2026</v>
      </c>
      <c r="K4627">
        <v>46106</v>
      </c>
      <c r="N4627">
        <v>303</v>
      </c>
      <c r="O4627" t="s">
        <v>102</v>
      </c>
      <c r="Q4627">
        <v>11857.76</v>
      </c>
      <c r="R4627" t="str">
        <f>"BEM TE FAZ LOJA 3 (10287)"</f>
        <v>BEM TE FAZ LOJA 3 (10287)</v>
      </c>
      <c r="S4627" t="s">
        <v>103</v>
      </c>
      <c r="T4627">
        <v>31954</v>
      </c>
      <c r="U4627">
        <v>34857</v>
      </c>
      <c r="V4627" t="s">
        <v>33</v>
      </c>
    </row>
    <row r="4628" spans="1:22">
      <c r="A4628" t="str">
        <f t="shared" si="846"/>
        <v>25/03/2026</v>
      </c>
      <c r="B4628" t="str">
        <f t="shared" si="851"/>
        <v>ENTRADA</v>
      </c>
      <c r="C4628" t="str">
        <f t="shared" si="852"/>
        <v>NFSE</v>
      </c>
      <c r="D4628" t="str">
        <f t="shared" si="853"/>
        <v>515</v>
      </c>
      <c r="E4628" t="str">
        <f t="shared" si="849"/>
        <v>1</v>
      </c>
      <c r="F4628" t="str">
        <f t="shared" si="848"/>
        <v>COM</v>
      </c>
      <c r="G4628" t="str">
        <f t="shared" si="854"/>
        <v>BEM TE FAZ 01 (10283)</v>
      </c>
      <c r="H4628" t="s">
        <v>1244</v>
      </c>
      <c r="I4628" t="str">
        <f t="shared" si="855"/>
        <v>18/03/2026</v>
      </c>
      <c r="J4628" t="str">
        <f t="shared" si="856"/>
        <v>16/03/2026</v>
      </c>
      <c r="K4628">
        <v>46106</v>
      </c>
      <c r="N4628">
        <v>303</v>
      </c>
      <c r="O4628" t="s">
        <v>102</v>
      </c>
      <c r="Q4628">
        <v>50.46</v>
      </c>
      <c r="R4628" t="str">
        <f>"BEM TE FAZ 05 (10294)"</f>
        <v>BEM TE FAZ 05 (10294)</v>
      </c>
      <c r="S4628" t="s">
        <v>103</v>
      </c>
      <c r="T4628">
        <v>31954</v>
      </c>
      <c r="U4628">
        <v>34857</v>
      </c>
      <c r="V4628" t="s">
        <v>33</v>
      </c>
    </row>
    <row r="4629" spans="1:22">
      <c r="A4629" t="str">
        <f t="shared" si="846"/>
        <v>25/03/2026</v>
      </c>
      <c r="B4629" t="str">
        <f t="shared" si="851"/>
        <v>ENTRADA</v>
      </c>
      <c r="C4629" t="str">
        <f t="shared" si="852"/>
        <v>NFSE</v>
      </c>
      <c r="D4629" t="str">
        <f t="shared" si="853"/>
        <v>515</v>
      </c>
      <c r="E4629" t="str">
        <f t="shared" si="849"/>
        <v>1</v>
      </c>
      <c r="F4629" t="str">
        <f t="shared" si="848"/>
        <v>COM</v>
      </c>
      <c r="G4629" t="str">
        <f t="shared" si="854"/>
        <v>BEM TE FAZ 01 (10283)</v>
      </c>
      <c r="H4629" t="s">
        <v>1244</v>
      </c>
      <c r="I4629" t="str">
        <f t="shared" si="855"/>
        <v>18/03/2026</v>
      </c>
      <c r="J4629" t="str">
        <f t="shared" si="856"/>
        <v>16/03/2026</v>
      </c>
      <c r="K4629">
        <v>46106</v>
      </c>
      <c r="N4629">
        <v>303</v>
      </c>
      <c r="O4629" t="s">
        <v>102</v>
      </c>
      <c r="Q4629">
        <v>2.19</v>
      </c>
      <c r="R4629" t="str">
        <f>"BEM TE FAZ LOJA 8 (10297)"</f>
        <v>BEM TE FAZ LOJA 8 (10297)</v>
      </c>
      <c r="S4629" t="s">
        <v>103</v>
      </c>
      <c r="T4629">
        <v>31954</v>
      </c>
      <c r="U4629">
        <v>34857</v>
      </c>
      <c r="V4629" t="s">
        <v>33</v>
      </c>
    </row>
    <row r="4630" spans="1:22">
      <c r="A4630" t="str">
        <f t="shared" si="846"/>
        <v>25/03/2026</v>
      </c>
      <c r="B4630" t="str">
        <f>"SAÍDA"</f>
        <v>SAÍDA</v>
      </c>
      <c r="C4630" t="str">
        <f>"PIX"</f>
        <v>PIX</v>
      </c>
      <c r="D4630" t="str">
        <f>"25032026"</f>
        <v>25032026</v>
      </c>
      <c r="E4630" t="str">
        <f>""</f>
        <v/>
      </c>
      <c r="F4630" t="str">
        <f t="shared" si="848"/>
        <v>COM</v>
      </c>
      <c r="G4630" t="str">
        <f>"MATEUS EDUARDO OLIVEIRA DOS SANORS (1373)"</f>
        <v>MATEUS EDUARDO OLIVEIRA DOS SANORS (1373)</v>
      </c>
      <c r="H4630" t="str">
        <f>"Prest.Serv.Diaria 23/03, 24/03 e 25/03/2026 "</f>
        <v xml:space="preserve">Prest.Serv.Diaria 23/03, 24/03 e 25/03/2026 </v>
      </c>
      <c r="I4630" t="str">
        <f>("25/03/2026")</f>
        <v>25/03/2026</v>
      </c>
      <c r="J4630" t="str">
        <f>("25/03/2026")</f>
        <v>25/03/2026</v>
      </c>
      <c r="K4630" t="str">
        <f>("25/03/2026")</f>
        <v>25/03/2026</v>
      </c>
      <c r="L4630">
        <v>430</v>
      </c>
      <c r="M4630">
        <v>430</v>
      </c>
      <c r="N4630">
        <v>134</v>
      </c>
      <c r="O4630" t="str">
        <f>"DIARIA DE MOTOBOY"</f>
        <v>DIARIA DE MOTOBOY</v>
      </c>
      <c r="P4630">
        <v>430</v>
      </c>
      <c r="S4630" t="str">
        <f>"BANCO CORA (102)"</f>
        <v>BANCO CORA (102)</v>
      </c>
      <c r="T4630">
        <v>31955</v>
      </c>
      <c r="U4630">
        <v>36330</v>
      </c>
      <c r="V4630" t="s">
        <v>33</v>
      </c>
    </row>
    <row r="4631" spans="1:22">
      <c r="A4631" t="str">
        <f t="shared" si="846"/>
        <v>25/03/2026</v>
      </c>
      <c r="B4631" t="str">
        <f>"SAÍDA"</f>
        <v>SAÍDA</v>
      </c>
      <c r="C4631" t="str">
        <f>"PIX"</f>
        <v>PIX</v>
      </c>
      <c r="D4631" t="str">
        <f>"25032026"</f>
        <v>25032026</v>
      </c>
      <c r="E4631" t="str">
        <f>""</f>
        <v/>
      </c>
      <c r="F4631" t="str">
        <f t="shared" si="848"/>
        <v>COM</v>
      </c>
      <c r="G4631" t="str">
        <f>"MATEUS EDUARDO OLIVEIRA DOS SANORS (1373)"</f>
        <v>MATEUS EDUARDO OLIVEIRA DOS SANORS (1373)</v>
      </c>
      <c r="H4631" t="s">
        <v>1245</v>
      </c>
      <c r="I4631" t="str">
        <f>("25/03/2026")</f>
        <v>25/03/2026</v>
      </c>
      <c r="J4631" t="str">
        <f>("25/03/2026")</f>
        <v>25/03/2026</v>
      </c>
      <c r="K4631">
        <v>46106</v>
      </c>
      <c r="N4631">
        <v>134</v>
      </c>
      <c r="O4631" t="s">
        <v>30</v>
      </c>
      <c r="Q4631">
        <v>430</v>
      </c>
      <c r="R4631" t="str">
        <f>"BRASIL FARMA (10173)"</f>
        <v>BRASIL FARMA (10173)</v>
      </c>
      <c r="S4631" t="s">
        <v>33</v>
      </c>
      <c r="T4631">
        <v>31955</v>
      </c>
      <c r="U4631">
        <v>36330</v>
      </c>
      <c r="V4631" t="s">
        <v>33</v>
      </c>
    </row>
    <row r="4632" spans="1:22">
      <c r="A4632" t="str">
        <f t="shared" ref="A4632:A4695" si="857">("26/03/2026")</f>
        <v>26/03/2026</v>
      </c>
      <c r="B4632" t="str">
        <f t="shared" ref="B4632:B4655" si="858">"ENTRADA"</f>
        <v>ENTRADA</v>
      </c>
      <c r="C4632" t="str">
        <f t="shared" ref="C4632:C4655" si="859">"NFSE"</f>
        <v>NFSE</v>
      </c>
      <c r="D4632" t="str">
        <f>"513"</f>
        <v>513</v>
      </c>
      <c r="E4632" t="str">
        <f t="shared" ref="E4632:E4657" si="860">"1"</f>
        <v>1</v>
      </c>
      <c r="F4632" t="str">
        <f t="shared" si="848"/>
        <v>COM</v>
      </c>
      <c r="G4632" t="str">
        <f>"AC FARMA - CID.ALTA (10166)"</f>
        <v>AC FARMA - CID.ALTA (10166)</v>
      </c>
      <c r="H4632" t="str">
        <f>"Serv.Prest. 09/03/2026 a 15/03/2026 - RPS: 2441 - NFSe: 513"</f>
        <v>Serv.Prest. 09/03/2026 a 15/03/2026 - RPS: 2441 - NFSe: 513</v>
      </c>
      <c r="I4632" t="str">
        <f t="shared" ref="I4632:I4655" si="861">("25/03/2026")</f>
        <v>25/03/2026</v>
      </c>
      <c r="J4632" t="str">
        <f>("16/03/2026")</f>
        <v>16/03/2026</v>
      </c>
      <c r="K4632" t="str">
        <f>("26/03/2026")</f>
        <v>26/03/2026</v>
      </c>
      <c r="L4632">
        <v>5054.1899999999996</v>
      </c>
      <c r="M4632">
        <v>5054.1899999999996</v>
      </c>
      <c r="N4632">
        <v>303</v>
      </c>
      <c r="O4632" t="str">
        <f>"RECEITAS COM ENTREGAS"</f>
        <v>RECEITAS COM ENTREGAS</v>
      </c>
      <c r="P4632">
        <v>5054.1899999999996</v>
      </c>
      <c r="S4632" t="str">
        <f>"RECEITAS COM ENTREGAS (303)"</f>
        <v>RECEITAS COM ENTREGAS (303)</v>
      </c>
      <c r="T4632">
        <v>31922</v>
      </c>
      <c r="U4632">
        <v>34845</v>
      </c>
      <c r="V4632" t="s">
        <v>33</v>
      </c>
    </row>
    <row r="4633" spans="1:22">
      <c r="A4633" t="str">
        <f t="shared" si="857"/>
        <v>26/03/2026</v>
      </c>
      <c r="B4633" t="str">
        <f t="shared" si="858"/>
        <v>ENTRADA</v>
      </c>
      <c r="C4633" t="str">
        <f t="shared" si="859"/>
        <v>NFSE</v>
      </c>
      <c r="D4633" t="str">
        <f>"513"</f>
        <v>513</v>
      </c>
      <c r="E4633" t="str">
        <f t="shared" si="860"/>
        <v>1</v>
      </c>
      <c r="F4633" t="str">
        <f t="shared" si="848"/>
        <v>COM</v>
      </c>
      <c r="G4633" t="str">
        <f>"AC FARMA - CID.ALTA (10166)"</f>
        <v>AC FARMA - CID.ALTA (10166)</v>
      </c>
      <c r="H4633" t="s">
        <v>1246</v>
      </c>
      <c r="I4633" t="str">
        <f t="shared" si="861"/>
        <v>25/03/2026</v>
      </c>
      <c r="J4633" t="str">
        <f>("16/03/2026")</f>
        <v>16/03/2026</v>
      </c>
      <c r="K4633">
        <v>46107</v>
      </c>
      <c r="N4633">
        <v>303</v>
      </c>
      <c r="O4633" t="s">
        <v>102</v>
      </c>
      <c r="Q4633">
        <v>5054.1899999999996</v>
      </c>
      <c r="R4633" t="str">
        <f>"AC FARMA - CID.ALTA (10166)"</f>
        <v>AC FARMA - CID.ALTA (10166)</v>
      </c>
      <c r="S4633" t="s">
        <v>103</v>
      </c>
      <c r="T4633">
        <v>31922</v>
      </c>
      <c r="U4633">
        <v>34845</v>
      </c>
      <c r="V4633" t="s">
        <v>33</v>
      </c>
    </row>
    <row r="4634" spans="1:22">
      <c r="A4634" t="str">
        <f t="shared" si="857"/>
        <v>26/03/2026</v>
      </c>
      <c r="B4634" t="str">
        <f t="shared" si="858"/>
        <v>ENTRADA</v>
      </c>
      <c r="C4634" t="str">
        <f t="shared" si="859"/>
        <v>NFSE</v>
      </c>
      <c r="D4634" t="str">
        <f>"514"</f>
        <v>514</v>
      </c>
      <c r="E4634" t="str">
        <f t="shared" si="860"/>
        <v>1</v>
      </c>
      <c r="F4634" t="str">
        <f t="shared" si="848"/>
        <v>COM</v>
      </c>
      <c r="G4634" t="str">
        <f>"AC FARMA - FLEMINFARMA (10160)"</f>
        <v>AC FARMA - FLEMINFARMA (10160)</v>
      </c>
      <c r="H4634" t="str">
        <f>"Serv.Prest. 09/03/2026 a 15/03/2026 - RPS: 2442 - NFSe: 514"</f>
        <v>Serv.Prest. 09/03/2026 a 15/03/2026 - RPS: 2442 - NFSe: 514</v>
      </c>
      <c r="I4634" t="str">
        <f t="shared" si="861"/>
        <v>25/03/2026</v>
      </c>
      <c r="J4634" t="str">
        <f>("16/03/2026")</f>
        <v>16/03/2026</v>
      </c>
      <c r="K4634" t="str">
        <f>("26/03/2026")</f>
        <v>26/03/2026</v>
      </c>
      <c r="L4634">
        <v>2069.4899999999998</v>
      </c>
      <c r="M4634">
        <v>2069.4899999999998</v>
      </c>
      <c r="N4634">
        <v>303</v>
      </c>
      <c r="O4634" t="str">
        <f>"RECEITAS COM ENTREGAS"</f>
        <v>RECEITAS COM ENTREGAS</v>
      </c>
      <c r="P4634">
        <v>2069.4899999999998</v>
      </c>
      <c r="S4634" t="str">
        <f>"RECEITAS COM ENTREGAS (303)"</f>
        <v>RECEITAS COM ENTREGAS (303)</v>
      </c>
      <c r="T4634">
        <v>31923</v>
      </c>
      <c r="U4634">
        <v>34851</v>
      </c>
      <c r="V4634" t="s">
        <v>33</v>
      </c>
    </row>
    <row r="4635" spans="1:22">
      <c r="A4635" t="str">
        <f t="shared" si="857"/>
        <v>26/03/2026</v>
      </c>
      <c r="B4635" t="str">
        <f t="shared" si="858"/>
        <v>ENTRADA</v>
      </c>
      <c r="C4635" t="str">
        <f t="shared" si="859"/>
        <v>NFSE</v>
      </c>
      <c r="D4635" t="str">
        <f>"514"</f>
        <v>514</v>
      </c>
      <c r="E4635" t="str">
        <f t="shared" si="860"/>
        <v>1</v>
      </c>
      <c r="F4635" t="str">
        <f t="shared" si="848"/>
        <v>COM</v>
      </c>
      <c r="G4635" t="str">
        <f>"AC FARMA - FLEMINFARMA (10160)"</f>
        <v>AC FARMA - FLEMINFARMA (10160)</v>
      </c>
      <c r="H4635" t="s">
        <v>1247</v>
      </c>
      <c r="I4635" t="str">
        <f t="shared" si="861"/>
        <v>25/03/2026</v>
      </c>
      <c r="J4635" t="str">
        <f>("16/03/2026")</f>
        <v>16/03/2026</v>
      </c>
      <c r="K4635">
        <v>46107</v>
      </c>
      <c r="N4635">
        <v>303</v>
      </c>
      <c r="O4635" t="s">
        <v>102</v>
      </c>
      <c r="Q4635">
        <v>2069.4899999999998</v>
      </c>
      <c r="R4635" t="str">
        <f>"AC FARMA -  FLEMINFARMA (10159)"</f>
        <v>AC FARMA -  FLEMINFARMA (10159)</v>
      </c>
      <c r="S4635" t="s">
        <v>103</v>
      </c>
      <c r="T4635">
        <v>31923</v>
      </c>
      <c r="U4635">
        <v>34851</v>
      </c>
      <c r="V4635" t="s">
        <v>33</v>
      </c>
    </row>
    <row r="4636" spans="1:22">
      <c r="A4636" t="str">
        <f t="shared" si="857"/>
        <v>26/03/2026</v>
      </c>
      <c r="B4636" t="str">
        <f t="shared" si="858"/>
        <v>ENTRADA</v>
      </c>
      <c r="C4636" t="str">
        <f t="shared" si="859"/>
        <v>NFSE</v>
      </c>
      <c r="D4636" t="str">
        <f>"583"</f>
        <v>583</v>
      </c>
      <c r="E4636" t="str">
        <f t="shared" si="860"/>
        <v>1</v>
      </c>
      <c r="F4636" t="str">
        <f t="shared" si="848"/>
        <v>COM</v>
      </c>
      <c r="G4636" t="str">
        <f>"ENTREFARMA (10164)"</f>
        <v>ENTREFARMA (10164)</v>
      </c>
      <c r="H4636" t="str">
        <f>"Serv.Prest. 16/03/2026 a 22/03/2026 - RPS: 2511 - NFSe: 583"</f>
        <v>Serv.Prest. 16/03/2026 a 22/03/2026 - RPS: 2511 - NFSe: 583</v>
      </c>
      <c r="I4636" t="str">
        <f t="shared" si="861"/>
        <v>25/03/2026</v>
      </c>
      <c r="J4636" t="str">
        <f t="shared" ref="J4636:J4651" si="862">("23/03/2026")</f>
        <v>23/03/2026</v>
      </c>
      <c r="K4636" t="str">
        <f>("26/03/2026")</f>
        <v>26/03/2026</v>
      </c>
      <c r="L4636">
        <v>6451.93</v>
      </c>
      <c r="M4636">
        <v>6451.93</v>
      </c>
      <c r="N4636">
        <v>303</v>
      </c>
      <c r="O4636" t="str">
        <f>"RECEITAS COM ENTREGAS"</f>
        <v>RECEITAS COM ENTREGAS</v>
      </c>
      <c r="P4636">
        <v>6451.93</v>
      </c>
      <c r="S4636" t="str">
        <f>"RECEITAS COM ENTREGAS (303)"</f>
        <v>RECEITAS COM ENTREGAS (303)</v>
      </c>
      <c r="T4636">
        <v>31924</v>
      </c>
      <c r="U4636">
        <v>36034</v>
      </c>
      <c r="V4636" t="s">
        <v>33</v>
      </c>
    </row>
    <row r="4637" spans="1:22">
      <c r="A4637" t="str">
        <f t="shared" si="857"/>
        <v>26/03/2026</v>
      </c>
      <c r="B4637" t="str">
        <f t="shared" si="858"/>
        <v>ENTRADA</v>
      </c>
      <c r="C4637" t="str">
        <f t="shared" si="859"/>
        <v>NFSE</v>
      </c>
      <c r="D4637" t="str">
        <f>"583"</f>
        <v>583</v>
      </c>
      <c r="E4637" t="str">
        <f t="shared" si="860"/>
        <v>1</v>
      </c>
      <c r="F4637" t="str">
        <f t="shared" si="848"/>
        <v>COM</v>
      </c>
      <c r="G4637" t="str">
        <f>"ENTREFARMA (10164)"</f>
        <v>ENTREFARMA (10164)</v>
      </c>
      <c r="H4637" t="s">
        <v>1248</v>
      </c>
      <c r="I4637" t="str">
        <f t="shared" si="861"/>
        <v>25/03/2026</v>
      </c>
      <c r="J4637" t="str">
        <f t="shared" si="862"/>
        <v>23/03/2026</v>
      </c>
      <c r="K4637">
        <v>46107</v>
      </c>
      <c r="N4637">
        <v>303</v>
      </c>
      <c r="O4637" t="s">
        <v>102</v>
      </c>
      <c r="Q4637">
        <v>6451.93</v>
      </c>
      <c r="R4637" t="str">
        <f>"ENTREFARMA (10164)"</f>
        <v>ENTREFARMA (10164)</v>
      </c>
      <c r="S4637" t="s">
        <v>103</v>
      </c>
      <c r="T4637">
        <v>31924</v>
      </c>
      <c r="U4637">
        <v>36034</v>
      </c>
      <c r="V4637" t="s">
        <v>33</v>
      </c>
    </row>
    <row r="4638" spans="1:22">
      <c r="A4638" t="str">
        <f t="shared" si="857"/>
        <v>26/03/2026</v>
      </c>
      <c r="B4638" t="str">
        <f t="shared" si="858"/>
        <v>ENTRADA</v>
      </c>
      <c r="C4638" t="str">
        <f t="shared" si="859"/>
        <v>NFSE</v>
      </c>
      <c r="D4638" t="str">
        <f>"587"</f>
        <v>587</v>
      </c>
      <c r="E4638" t="str">
        <f t="shared" si="860"/>
        <v>1</v>
      </c>
      <c r="F4638" t="str">
        <f t="shared" si="848"/>
        <v>COM</v>
      </c>
      <c r="G4638" t="str">
        <f>"JAL FARMACIA E DROGARIA LJ 1 (10137)"</f>
        <v>JAL FARMACIA E DROGARIA LJ 1 (10137)</v>
      </c>
      <c r="H4638" t="str">
        <f>"Serv.Prest. 16/03/2026 a 22/03/2026 - RPS: 2515 - NFSe: 587"</f>
        <v>Serv.Prest. 16/03/2026 a 22/03/2026 - RPS: 2515 - NFSe: 587</v>
      </c>
      <c r="I4638" t="str">
        <f t="shared" si="861"/>
        <v>25/03/2026</v>
      </c>
      <c r="J4638" t="str">
        <f t="shared" si="862"/>
        <v>23/03/2026</v>
      </c>
      <c r="K4638" t="str">
        <f>("26/03/2026")</f>
        <v>26/03/2026</v>
      </c>
      <c r="L4638">
        <v>2482</v>
      </c>
      <c r="M4638">
        <v>2482</v>
      </c>
      <c r="N4638">
        <v>303</v>
      </c>
      <c r="O4638" t="str">
        <f>"RECEITAS COM ENTREGAS"</f>
        <v>RECEITAS COM ENTREGAS</v>
      </c>
      <c r="P4638">
        <v>2482</v>
      </c>
      <c r="S4638" t="str">
        <f>"RECEITAS COM ENTREGAS (303)"</f>
        <v>RECEITAS COM ENTREGAS (303)</v>
      </c>
      <c r="T4638">
        <v>31925</v>
      </c>
      <c r="U4638">
        <v>36051</v>
      </c>
      <c r="V4638" t="s">
        <v>33</v>
      </c>
    </row>
    <row r="4639" spans="1:22">
      <c r="A4639" t="str">
        <f t="shared" si="857"/>
        <v>26/03/2026</v>
      </c>
      <c r="B4639" t="str">
        <f t="shared" si="858"/>
        <v>ENTRADA</v>
      </c>
      <c r="C4639" t="str">
        <f t="shared" si="859"/>
        <v>NFSE</v>
      </c>
      <c r="D4639" t="str">
        <f>"587"</f>
        <v>587</v>
      </c>
      <c r="E4639" t="str">
        <f t="shared" si="860"/>
        <v>1</v>
      </c>
      <c r="F4639" t="str">
        <f t="shared" si="848"/>
        <v>COM</v>
      </c>
      <c r="G4639" t="str">
        <f>"JAL FARMACIA E DROGARIA LJ 1 (10137)"</f>
        <v>JAL FARMACIA E DROGARIA LJ 1 (10137)</v>
      </c>
      <c r="H4639" t="s">
        <v>1249</v>
      </c>
      <c r="I4639" t="str">
        <f t="shared" si="861"/>
        <v>25/03/2026</v>
      </c>
      <c r="J4639" t="str">
        <f t="shared" si="862"/>
        <v>23/03/2026</v>
      </c>
      <c r="K4639">
        <v>46107</v>
      </c>
      <c r="N4639">
        <v>303</v>
      </c>
      <c r="O4639" t="s">
        <v>102</v>
      </c>
      <c r="Q4639">
        <v>2482</v>
      </c>
      <c r="R4639" t="str">
        <f>"JAL FARMACIA E DROGARIA LJ 1 (10137)"</f>
        <v>JAL FARMACIA E DROGARIA LJ 1 (10137)</v>
      </c>
      <c r="S4639" t="s">
        <v>103</v>
      </c>
      <c r="T4639">
        <v>31925</v>
      </c>
      <c r="U4639">
        <v>36051</v>
      </c>
      <c r="V4639" t="s">
        <v>33</v>
      </c>
    </row>
    <row r="4640" spans="1:22">
      <c r="A4640" t="str">
        <f t="shared" si="857"/>
        <v>26/03/2026</v>
      </c>
      <c r="B4640" t="str">
        <f t="shared" si="858"/>
        <v>ENTRADA</v>
      </c>
      <c r="C4640" t="str">
        <f t="shared" si="859"/>
        <v>NFSE</v>
      </c>
      <c r="D4640" t="str">
        <f>"590"</f>
        <v>590</v>
      </c>
      <c r="E4640" t="str">
        <f t="shared" si="860"/>
        <v>1</v>
      </c>
      <c r="F4640" t="str">
        <f t="shared" si="848"/>
        <v>COM</v>
      </c>
      <c r="G4640" t="str">
        <f>"FRAN FARMA (10124)"</f>
        <v>FRAN FARMA (10124)</v>
      </c>
      <c r="H4640" t="str">
        <f>"Serv.Prest. 16/03/2026 a 22/03/2026 - RPS: 2518 - NFSe: 590"</f>
        <v>Serv.Prest. 16/03/2026 a 22/03/2026 - RPS: 2518 - NFSe: 590</v>
      </c>
      <c r="I4640" t="str">
        <f t="shared" si="861"/>
        <v>25/03/2026</v>
      </c>
      <c r="J4640" t="str">
        <f t="shared" si="862"/>
        <v>23/03/2026</v>
      </c>
      <c r="K4640" t="str">
        <f>("26/03/2026")</f>
        <v>26/03/2026</v>
      </c>
      <c r="L4640">
        <v>1087.02</v>
      </c>
      <c r="M4640">
        <v>1087.02</v>
      </c>
      <c r="N4640">
        <v>303</v>
      </c>
      <c r="O4640" t="str">
        <f>"RECEITAS COM ENTREGAS"</f>
        <v>RECEITAS COM ENTREGAS</v>
      </c>
      <c r="P4640">
        <v>1087.02</v>
      </c>
      <c r="S4640" t="str">
        <f>"RECEITAS COM ENTREGAS (303)"</f>
        <v>RECEITAS COM ENTREGAS (303)</v>
      </c>
      <c r="T4640">
        <v>31926</v>
      </c>
      <c r="U4640">
        <v>36061</v>
      </c>
      <c r="V4640" t="s">
        <v>33</v>
      </c>
    </row>
    <row r="4641" spans="1:22">
      <c r="A4641" t="str">
        <f t="shared" si="857"/>
        <v>26/03/2026</v>
      </c>
      <c r="B4641" t="str">
        <f t="shared" si="858"/>
        <v>ENTRADA</v>
      </c>
      <c r="C4641" t="str">
        <f t="shared" si="859"/>
        <v>NFSE</v>
      </c>
      <c r="D4641" t="str">
        <f>"590"</f>
        <v>590</v>
      </c>
      <c r="E4641" t="str">
        <f t="shared" si="860"/>
        <v>1</v>
      </c>
      <c r="F4641" t="str">
        <f t="shared" si="848"/>
        <v>COM</v>
      </c>
      <c r="G4641" t="str">
        <f>"FRAN FARMA (10124)"</f>
        <v>FRAN FARMA (10124)</v>
      </c>
      <c r="H4641" t="s">
        <v>1250</v>
      </c>
      <c r="I4641" t="str">
        <f t="shared" si="861"/>
        <v>25/03/2026</v>
      </c>
      <c r="J4641" t="str">
        <f t="shared" si="862"/>
        <v>23/03/2026</v>
      </c>
      <c r="K4641">
        <v>46107</v>
      </c>
      <c r="N4641">
        <v>303</v>
      </c>
      <c r="O4641" t="s">
        <v>102</v>
      </c>
      <c r="Q4641">
        <v>290.67</v>
      </c>
      <c r="R4641" t="str">
        <f>"FRAN FARMA (10124)"</f>
        <v>FRAN FARMA (10124)</v>
      </c>
      <c r="S4641" t="s">
        <v>103</v>
      </c>
      <c r="T4641">
        <v>31926</v>
      </c>
      <c r="U4641">
        <v>36061</v>
      </c>
      <c r="V4641" t="s">
        <v>33</v>
      </c>
    </row>
    <row r="4642" spans="1:22">
      <c r="A4642" t="str">
        <f t="shared" si="857"/>
        <v>26/03/2026</v>
      </c>
      <c r="B4642" t="str">
        <f t="shared" si="858"/>
        <v>ENTRADA</v>
      </c>
      <c r="C4642" t="str">
        <f t="shared" si="859"/>
        <v>NFSE</v>
      </c>
      <c r="D4642" t="str">
        <f>"590"</f>
        <v>590</v>
      </c>
      <c r="E4642" t="str">
        <f t="shared" si="860"/>
        <v>1</v>
      </c>
      <c r="F4642" t="str">
        <f t="shared" si="848"/>
        <v>COM</v>
      </c>
      <c r="G4642" t="str">
        <f>"FRAN FARMA (10124)"</f>
        <v>FRAN FARMA (10124)</v>
      </c>
      <c r="H4642" t="s">
        <v>1250</v>
      </c>
      <c r="I4642" t="str">
        <f t="shared" si="861"/>
        <v>25/03/2026</v>
      </c>
      <c r="J4642" t="str">
        <f t="shared" si="862"/>
        <v>23/03/2026</v>
      </c>
      <c r="K4642">
        <v>46107</v>
      </c>
      <c r="N4642">
        <v>303</v>
      </c>
      <c r="O4642" t="s">
        <v>102</v>
      </c>
      <c r="Q4642">
        <v>594.71</v>
      </c>
      <c r="R4642" t="str">
        <f>"FRAN FARMA LJ 2 (10131)"</f>
        <v>FRAN FARMA LJ 2 (10131)</v>
      </c>
      <c r="S4642" t="s">
        <v>103</v>
      </c>
      <c r="T4642">
        <v>31926</v>
      </c>
      <c r="U4642">
        <v>36061</v>
      </c>
      <c r="V4642" t="s">
        <v>33</v>
      </c>
    </row>
    <row r="4643" spans="1:22">
      <c r="A4643" t="str">
        <f t="shared" si="857"/>
        <v>26/03/2026</v>
      </c>
      <c r="B4643" t="str">
        <f t="shared" si="858"/>
        <v>ENTRADA</v>
      </c>
      <c r="C4643" t="str">
        <f t="shared" si="859"/>
        <v>NFSE</v>
      </c>
      <c r="D4643" t="str">
        <f>"590"</f>
        <v>590</v>
      </c>
      <c r="E4643" t="str">
        <f t="shared" si="860"/>
        <v>1</v>
      </c>
      <c r="F4643" t="str">
        <f t="shared" si="848"/>
        <v>COM</v>
      </c>
      <c r="G4643" t="str">
        <f>"FRAN FARMA (10124)"</f>
        <v>FRAN FARMA (10124)</v>
      </c>
      <c r="H4643" t="s">
        <v>1250</v>
      </c>
      <c r="I4643" t="str">
        <f t="shared" si="861"/>
        <v>25/03/2026</v>
      </c>
      <c r="J4643" t="str">
        <f t="shared" si="862"/>
        <v>23/03/2026</v>
      </c>
      <c r="K4643">
        <v>46107</v>
      </c>
      <c r="N4643">
        <v>303</v>
      </c>
      <c r="O4643" t="s">
        <v>102</v>
      </c>
      <c r="Q4643">
        <v>201.64</v>
      </c>
      <c r="R4643" t="str">
        <f>"FRAN FARMA LJ 3 (10132)"</f>
        <v>FRAN FARMA LJ 3 (10132)</v>
      </c>
      <c r="S4643" t="s">
        <v>103</v>
      </c>
      <c r="T4643">
        <v>31926</v>
      </c>
      <c r="U4643">
        <v>36061</v>
      </c>
      <c r="V4643" t="s">
        <v>33</v>
      </c>
    </row>
    <row r="4644" spans="1:22">
      <c r="A4644" t="str">
        <f t="shared" si="857"/>
        <v>26/03/2026</v>
      </c>
      <c r="B4644" t="str">
        <f t="shared" si="858"/>
        <v>ENTRADA</v>
      </c>
      <c r="C4644" t="str">
        <f t="shared" si="859"/>
        <v>NFSE</v>
      </c>
      <c r="D4644" t="str">
        <f>"592"</f>
        <v>592</v>
      </c>
      <c r="E4644" t="str">
        <f t="shared" si="860"/>
        <v>1</v>
      </c>
      <c r="F4644" t="str">
        <f t="shared" si="848"/>
        <v>COM</v>
      </c>
      <c r="G4644" t="str">
        <f>"DROGA ELIDA (10121)"</f>
        <v>DROGA ELIDA (10121)</v>
      </c>
      <c r="H4644" t="str">
        <f>"Serv.Prest. 16/03/2026 a 22/03/2026 - RPS: 2520 - NFSe: 592"</f>
        <v>Serv.Prest. 16/03/2026 a 22/03/2026 - RPS: 2520 - NFSe: 592</v>
      </c>
      <c r="I4644" t="str">
        <f t="shared" si="861"/>
        <v>25/03/2026</v>
      </c>
      <c r="J4644" t="str">
        <f t="shared" si="862"/>
        <v>23/03/2026</v>
      </c>
      <c r="K4644" t="str">
        <f>("26/03/2026")</f>
        <v>26/03/2026</v>
      </c>
      <c r="L4644">
        <v>1976.25</v>
      </c>
      <c r="M4644">
        <v>1976.25</v>
      </c>
      <c r="N4644">
        <v>303</v>
      </c>
      <c r="O4644" t="str">
        <f>"RECEITAS COM ENTREGAS"</f>
        <v>RECEITAS COM ENTREGAS</v>
      </c>
      <c r="P4644">
        <v>1976.25</v>
      </c>
      <c r="S4644" t="str">
        <f>"RECEITAS COM ENTREGAS (303)"</f>
        <v>RECEITAS COM ENTREGAS (303)</v>
      </c>
      <c r="T4644">
        <v>31927</v>
      </c>
      <c r="U4644">
        <v>36068</v>
      </c>
      <c r="V4644" t="s">
        <v>33</v>
      </c>
    </row>
    <row r="4645" spans="1:22">
      <c r="A4645" t="str">
        <f t="shared" si="857"/>
        <v>26/03/2026</v>
      </c>
      <c r="B4645" t="str">
        <f t="shared" si="858"/>
        <v>ENTRADA</v>
      </c>
      <c r="C4645" t="str">
        <f t="shared" si="859"/>
        <v>NFSE</v>
      </c>
      <c r="D4645" t="str">
        <f>"592"</f>
        <v>592</v>
      </c>
      <c r="E4645" t="str">
        <f t="shared" si="860"/>
        <v>1</v>
      </c>
      <c r="F4645" t="str">
        <f t="shared" si="848"/>
        <v>COM</v>
      </c>
      <c r="G4645" t="str">
        <f>"DROGA ELIDA (10121)"</f>
        <v>DROGA ELIDA (10121)</v>
      </c>
      <c r="H4645" t="s">
        <v>1251</v>
      </c>
      <c r="I4645" t="str">
        <f t="shared" si="861"/>
        <v>25/03/2026</v>
      </c>
      <c r="J4645" t="str">
        <f t="shared" si="862"/>
        <v>23/03/2026</v>
      </c>
      <c r="K4645">
        <v>46107</v>
      </c>
      <c r="N4645">
        <v>303</v>
      </c>
      <c r="O4645" t="s">
        <v>102</v>
      </c>
      <c r="Q4645">
        <v>1976.25</v>
      </c>
      <c r="R4645" t="str">
        <f>"DROGA ELIDA (10121)"</f>
        <v>DROGA ELIDA (10121)</v>
      </c>
      <c r="S4645" t="s">
        <v>103</v>
      </c>
      <c r="T4645">
        <v>31927</v>
      </c>
      <c r="U4645">
        <v>36068</v>
      </c>
      <c r="V4645" t="s">
        <v>33</v>
      </c>
    </row>
    <row r="4646" spans="1:22">
      <c r="A4646" t="str">
        <f t="shared" si="857"/>
        <v>26/03/2026</v>
      </c>
      <c r="B4646" t="str">
        <f t="shared" si="858"/>
        <v>ENTRADA</v>
      </c>
      <c r="C4646" t="str">
        <f t="shared" si="859"/>
        <v>NFSE</v>
      </c>
      <c r="D4646" t="str">
        <f>"593"</f>
        <v>593</v>
      </c>
      <c r="E4646" t="str">
        <f t="shared" si="860"/>
        <v>1</v>
      </c>
      <c r="F4646" t="str">
        <f t="shared" si="848"/>
        <v>COM</v>
      </c>
      <c r="G4646" t="str">
        <f>"DROGARIA BEM ESTAR (10193)"</f>
        <v>DROGARIA BEM ESTAR (10193)</v>
      </c>
      <c r="H4646" t="str">
        <f>"Serv.Prest. 16/03/2026 a 22/03/2026 - RPS: 2521 - NFSe: 593"</f>
        <v>Serv.Prest. 16/03/2026 a 22/03/2026 - RPS: 2521 - NFSe: 593</v>
      </c>
      <c r="I4646" t="str">
        <f t="shared" si="861"/>
        <v>25/03/2026</v>
      </c>
      <c r="J4646" t="str">
        <f t="shared" si="862"/>
        <v>23/03/2026</v>
      </c>
      <c r="K4646" t="str">
        <f>("26/03/2026")</f>
        <v>26/03/2026</v>
      </c>
      <c r="L4646">
        <v>1777.35</v>
      </c>
      <c r="M4646">
        <v>1777.35</v>
      </c>
      <c r="N4646">
        <v>303</v>
      </c>
      <c r="O4646" t="str">
        <f>"RECEITAS COM ENTREGAS"</f>
        <v>RECEITAS COM ENTREGAS</v>
      </c>
      <c r="P4646">
        <v>1777.35</v>
      </c>
      <c r="S4646" t="str">
        <f>"RECEITAS COM ENTREGAS (303)"</f>
        <v>RECEITAS COM ENTREGAS (303)</v>
      </c>
      <c r="T4646">
        <v>31928</v>
      </c>
      <c r="U4646">
        <v>36071</v>
      </c>
      <c r="V4646" t="s">
        <v>33</v>
      </c>
    </row>
    <row r="4647" spans="1:22">
      <c r="A4647" t="str">
        <f t="shared" si="857"/>
        <v>26/03/2026</v>
      </c>
      <c r="B4647" t="str">
        <f t="shared" si="858"/>
        <v>ENTRADA</v>
      </c>
      <c r="C4647" t="str">
        <f t="shared" si="859"/>
        <v>NFSE</v>
      </c>
      <c r="D4647" t="str">
        <f>"593"</f>
        <v>593</v>
      </c>
      <c r="E4647" t="str">
        <f t="shared" si="860"/>
        <v>1</v>
      </c>
      <c r="F4647" t="str">
        <f t="shared" si="848"/>
        <v>COM</v>
      </c>
      <c r="G4647" t="str">
        <f>"DROGARIA BEM ESTAR (10193)"</f>
        <v>DROGARIA BEM ESTAR (10193)</v>
      </c>
      <c r="H4647" t="s">
        <v>1252</v>
      </c>
      <c r="I4647" t="str">
        <f t="shared" si="861"/>
        <v>25/03/2026</v>
      </c>
      <c r="J4647" t="str">
        <f t="shared" si="862"/>
        <v>23/03/2026</v>
      </c>
      <c r="K4647">
        <v>46107</v>
      </c>
      <c r="N4647">
        <v>303</v>
      </c>
      <c r="O4647" t="s">
        <v>102</v>
      </c>
      <c r="Q4647">
        <v>1777.35</v>
      </c>
      <c r="R4647" t="str">
        <f>"DROGARIA BEM ESTAR (10193)"</f>
        <v>DROGARIA BEM ESTAR (10193)</v>
      </c>
      <c r="S4647" t="s">
        <v>103</v>
      </c>
      <c r="T4647">
        <v>31928</v>
      </c>
      <c r="U4647">
        <v>36071</v>
      </c>
      <c r="V4647" t="s">
        <v>33</v>
      </c>
    </row>
    <row r="4648" spans="1:22">
      <c r="A4648" t="str">
        <f t="shared" si="857"/>
        <v>26/03/2026</v>
      </c>
      <c r="B4648" t="str">
        <f t="shared" si="858"/>
        <v>ENTRADA</v>
      </c>
      <c r="C4648" t="str">
        <f t="shared" si="859"/>
        <v>NFSE</v>
      </c>
      <c r="D4648" t="str">
        <f>"598"</f>
        <v>598</v>
      </c>
      <c r="E4648" t="str">
        <f t="shared" si="860"/>
        <v>1</v>
      </c>
      <c r="F4648" t="str">
        <f t="shared" si="848"/>
        <v>COM</v>
      </c>
      <c r="G4648" t="str">
        <f>"DROGARIA MEDIC CENTER LTDA (10172)"</f>
        <v>DROGARIA MEDIC CENTER LTDA (10172)</v>
      </c>
      <c r="H4648" t="str">
        <f>"Serv.Prest. 16/03/2026 a 22/03/2026 - RPS: 2526 - NFSe: 598"</f>
        <v>Serv.Prest. 16/03/2026 a 22/03/2026 - RPS: 2526 - NFSe: 598</v>
      </c>
      <c r="I4648" t="str">
        <f t="shared" si="861"/>
        <v>25/03/2026</v>
      </c>
      <c r="J4648" t="str">
        <f t="shared" si="862"/>
        <v>23/03/2026</v>
      </c>
      <c r="K4648" t="str">
        <f>("26/03/2026")</f>
        <v>26/03/2026</v>
      </c>
      <c r="L4648">
        <v>1782</v>
      </c>
      <c r="M4648">
        <v>1782</v>
      </c>
      <c r="N4648">
        <v>303</v>
      </c>
      <c r="O4648" t="str">
        <f>"RECEITAS COM ENTREGAS"</f>
        <v>RECEITAS COM ENTREGAS</v>
      </c>
      <c r="P4648">
        <v>1782</v>
      </c>
      <c r="S4648" t="str">
        <f>"RECEITAS COM ENTREGAS (303)"</f>
        <v>RECEITAS COM ENTREGAS (303)</v>
      </c>
      <c r="T4648">
        <v>31929</v>
      </c>
      <c r="U4648">
        <v>36088</v>
      </c>
      <c r="V4648" t="s">
        <v>33</v>
      </c>
    </row>
    <row r="4649" spans="1:22">
      <c r="A4649" t="str">
        <f t="shared" si="857"/>
        <v>26/03/2026</v>
      </c>
      <c r="B4649" t="str">
        <f t="shared" si="858"/>
        <v>ENTRADA</v>
      </c>
      <c r="C4649" t="str">
        <f t="shared" si="859"/>
        <v>NFSE</v>
      </c>
      <c r="D4649" t="str">
        <f>"598"</f>
        <v>598</v>
      </c>
      <c r="E4649" t="str">
        <f t="shared" si="860"/>
        <v>1</v>
      </c>
      <c r="F4649" t="str">
        <f t="shared" si="848"/>
        <v>COM</v>
      </c>
      <c r="G4649" t="str">
        <f>"DROGARIA MEDIC CENTER LTDA (10172)"</f>
        <v>DROGARIA MEDIC CENTER LTDA (10172)</v>
      </c>
      <c r="H4649" t="s">
        <v>1253</v>
      </c>
      <c r="I4649" t="str">
        <f t="shared" si="861"/>
        <v>25/03/2026</v>
      </c>
      <c r="J4649" t="str">
        <f t="shared" si="862"/>
        <v>23/03/2026</v>
      </c>
      <c r="K4649">
        <v>46107</v>
      </c>
      <c r="N4649">
        <v>303</v>
      </c>
      <c r="O4649" t="s">
        <v>102</v>
      </c>
      <c r="Q4649">
        <v>1782</v>
      </c>
      <c r="R4649" t="str">
        <f>"DROGARIA MEDIC CENTER LTDA (10172)"</f>
        <v>DROGARIA MEDIC CENTER LTDA (10172)</v>
      </c>
      <c r="S4649" t="s">
        <v>103</v>
      </c>
      <c r="T4649">
        <v>31929</v>
      </c>
      <c r="U4649">
        <v>36088</v>
      </c>
      <c r="V4649" t="s">
        <v>33</v>
      </c>
    </row>
    <row r="4650" spans="1:22">
      <c r="A4650" t="str">
        <f t="shared" si="857"/>
        <v>26/03/2026</v>
      </c>
      <c r="B4650" t="str">
        <f t="shared" si="858"/>
        <v>ENTRADA</v>
      </c>
      <c r="C4650" t="str">
        <f t="shared" si="859"/>
        <v>NFSE</v>
      </c>
      <c r="D4650" t="str">
        <f>"600"</f>
        <v>600</v>
      </c>
      <c r="E4650" t="str">
        <f t="shared" si="860"/>
        <v>1</v>
      </c>
      <c r="F4650" t="str">
        <f t="shared" si="848"/>
        <v>COM</v>
      </c>
      <c r="G4650" t="str">
        <f>"LBL FARMACIA LTDA (10189)"</f>
        <v>LBL FARMACIA LTDA (10189)</v>
      </c>
      <c r="H4650" t="str">
        <f>"Serv.Prest. 16/03/2026 a 22/03/2026 - RPS: 2528 - NFSe: 600"</f>
        <v>Serv.Prest. 16/03/2026 a 22/03/2026 - RPS: 2528 - NFSe: 600</v>
      </c>
      <c r="I4650" t="str">
        <f t="shared" si="861"/>
        <v>25/03/2026</v>
      </c>
      <c r="J4650" t="str">
        <f t="shared" si="862"/>
        <v>23/03/2026</v>
      </c>
      <c r="K4650" t="str">
        <f>("26/03/2026")</f>
        <v>26/03/2026</v>
      </c>
      <c r="L4650">
        <v>833</v>
      </c>
      <c r="M4650">
        <v>833</v>
      </c>
      <c r="N4650">
        <v>303</v>
      </c>
      <c r="O4650" t="str">
        <f>"RECEITAS COM ENTREGAS"</f>
        <v>RECEITAS COM ENTREGAS</v>
      </c>
      <c r="P4650">
        <v>833</v>
      </c>
      <c r="S4650" t="str">
        <f>"RECEITAS COM ENTREGAS (303)"</f>
        <v>RECEITAS COM ENTREGAS (303)</v>
      </c>
      <c r="T4650">
        <v>31930</v>
      </c>
      <c r="U4650">
        <v>36096</v>
      </c>
      <c r="V4650" t="s">
        <v>33</v>
      </c>
    </row>
    <row r="4651" spans="1:22">
      <c r="A4651" t="str">
        <f t="shared" si="857"/>
        <v>26/03/2026</v>
      </c>
      <c r="B4651" t="str">
        <f t="shared" si="858"/>
        <v>ENTRADA</v>
      </c>
      <c r="C4651" t="str">
        <f t="shared" si="859"/>
        <v>NFSE</v>
      </c>
      <c r="D4651" t="str">
        <f>"600"</f>
        <v>600</v>
      </c>
      <c r="E4651" t="str">
        <f t="shared" si="860"/>
        <v>1</v>
      </c>
      <c r="F4651" t="str">
        <f t="shared" si="848"/>
        <v>COM</v>
      </c>
      <c r="G4651" t="str">
        <f>"LBL FARMACIA LTDA (10189)"</f>
        <v>LBL FARMACIA LTDA (10189)</v>
      </c>
      <c r="H4651" t="s">
        <v>1254</v>
      </c>
      <c r="I4651" t="str">
        <f t="shared" si="861"/>
        <v>25/03/2026</v>
      </c>
      <c r="J4651" t="str">
        <f t="shared" si="862"/>
        <v>23/03/2026</v>
      </c>
      <c r="K4651">
        <v>46107</v>
      </c>
      <c r="N4651">
        <v>303</v>
      </c>
      <c r="O4651" t="s">
        <v>102</v>
      </c>
      <c r="Q4651">
        <v>833</v>
      </c>
      <c r="R4651" t="str">
        <f>"LBL FARMACIA LTDA (10189)"</f>
        <v>LBL FARMACIA LTDA (10189)</v>
      </c>
      <c r="S4651" t="s">
        <v>103</v>
      </c>
      <c r="T4651">
        <v>31930</v>
      </c>
      <c r="U4651">
        <v>36096</v>
      </c>
      <c r="V4651" t="s">
        <v>33</v>
      </c>
    </row>
    <row r="4652" spans="1:22">
      <c r="A4652" t="str">
        <f t="shared" si="857"/>
        <v>26/03/2026</v>
      </c>
      <c r="B4652" t="str">
        <f t="shared" si="858"/>
        <v>ENTRADA</v>
      </c>
      <c r="C4652" t="str">
        <f t="shared" si="859"/>
        <v>NFSE</v>
      </c>
      <c r="D4652" t="str">
        <f>"606"</f>
        <v>606</v>
      </c>
      <c r="E4652" t="str">
        <f t="shared" si="860"/>
        <v>1</v>
      </c>
      <c r="F4652" t="str">
        <f t="shared" si="848"/>
        <v>COM</v>
      </c>
      <c r="G4652" t="str">
        <f>"DROGARIA TOTAL JUNDIAI (10177)"</f>
        <v>DROGARIA TOTAL JUNDIAI (10177)</v>
      </c>
      <c r="H4652" t="str">
        <f>"Serv.Prest. 16/03/2026 a 22/03/2026 - RPS: 2534 - NFSe: 606"</f>
        <v>Serv.Prest. 16/03/2026 a 22/03/2026 - RPS: 2534 - NFSe: 606</v>
      </c>
      <c r="I4652" t="str">
        <f t="shared" si="861"/>
        <v>25/03/2026</v>
      </c>
      <c r="J4652" t="str">
        <f>("24/03/2026")</f>
        <v>24/03/2026</v>
      </c>
      <c r="K4652" t="str">
        <f>("26/03/2026")</f>
        <v>26/03/2026</v>
      </c>
      <c r="L4652">
        <v>1019.83</v>
      </c>
      <c r="M4652">
        <v>902.42</v>
      </c>
      <c r="N4652">
        <v>303</v>
      </c>
      <c r="O4652" t="str">
        <f>"RECEITAS COM ENTREGAS"</f>
        <v>RECEITAS COM ENTREGAS</v>
      </c>
      <c r="P4652">
        <v>902.42</v>
      </c>
      <c r="S4652" t="str">
        <f>"RECEITAS COM ENTREGAS (303)"</f>
        <v>RECEITAS COM ENTREGAS (303)</v>
      </c>
      <c r="T4652">
        <v>31957</v>
      </c>
      <c r="U4652">
        <v>36289</v>
      </c>
      <c r="V4652" t="s">
        <v>33</v>
      </c>
    </row>
    <row r="4653" spans="1:22">
      <c r="A4653" t="str">
        <f t="shared" si="857"/>
        <v>26/03/2026</v>
      </c>
      <c r="B4653" t="str">
        <f t="shared" si="858"/>
        <v>ENTRADA</v>
      </c>
      <c r="C4653" t="str">
        <f t="shared" si="859"/>
        <v>NFSE</v>
      </c>
      <c r="D4653" t="str">
        <f>"606"</f>
        <v>606</v>
      </c>
      <c r="E4653" t="str">
        <f t="shared" si="860"/>
        <v>1</v>
      </c>
      <c r="F4653" t="str">
        <f t="shared" si="848"/>
        <v>COM</v>
      </c>
      <c r="G4653" t="str">
        <f>"DROGARIA TOTAL JUNDIAI (10177)"</f>
        <v>DROGARIA TOTAL JUNDIAI (10177)</v>
      </c>
      <c r="H4653" t="s">
        <v>1255</v>
      </c>
      <c r="I4653" t="str">
        <f t="shared" si="861"/>
        <v>25/03/2026</v>
      </c>
      <c r="J4653" t="str">
        <f>("24/03/2026")</f>
        <v>24/03/2026</v>
      </c>
      <c r="K4653">
        <v>46107</v>
      </c>
      <c r="N4653">
        <v>303</v>
      </c>
      <c r="O4653" t="s">
        <v>102</v>
      </c>
      <c r="Q4653">
        <v>902.42</v>
      </c>
      <c r="R4653" t="str">
        <f>"DROGARIA TOTAL JUNDIAI (10177)"</f>
        <v>DROGARIA TOTAL JUNDIAI (10177)</v>
      </c>
      <c r="S4653" t="s">
        <v>103</v>
      </c>
      <c r="T4653">
        <v>31957</v>
      </c>
      <c r="U4653">
        <v>36289</v>
      </c>
      <c r="V4653" t="s">
        <v>33</v>
      </c>
    </row>
    <row r="4654" spans="1:22">
      <c r="A4654" t="str">
        <f t="shared" si="857"/>
        <v>26/03/2026</v>
      </c>
      <c r="B4654" t="str">
        <f t="shared" si="858"/>
        <v>ENTRADA</v>
      </c>
      <c r="C4654" t="str">
        <f t="shared" si="859"/>
        <v>NFSE</v>
      </c>
      <c r="D4654" t="str">
        <f>"585"</f>
        <v>585</v>
      </c>
      <c r="E4654" t="str">
        <f t="shared" si="860"/>
        <v>1</v>
      </c>
      <c r="F4654" t="str">
        <f t="shared" si="848"/>
        <v>COM</v>
      </c>
      <c r="G4654" t="str">
        <f>"DROGARIA ANA VISCONDE DO RIO BRANCO (10182)"</f>
        <v>DROGARIA ANA VISCONDE DO RIO BRANCO (10182)</v>
      </c>
      <c r="H4654" t="str">
        <f>"Serv.Prest. 16/03/2026 a 22/03/2026 - RPS: 2513 - NFSe: 585"</f>
        <v>Serv.Prest. 16/03/2026 a 22/03/2026 - RPS: 2513 - NFSe: 585</v>
      </c>
      <c r="I4654" t="str">
        <f t="shared" si="861"/>
        <v>25/03/2026</v>
      </c>
      <c r="J4654" t="str">
        <f>("23/03/2026")</f>
        <v>23/03/2026</v>
      </c>
      <c r="K4654" t="str">
        <f>("26/03/2026")</f>
        <v>26/03/2026</v>
      </c>
      <c r="L4654">
        <v>4509.68</v>
      </c>
      <c r="M4654">
        <v>4509.68</v>
      </c>
      <c r="N4654">
        <v>303</v>
      </c>
      <c r="O4654" t="str">
        <f>"RECEITAS COM ENTREGAS"</f>
        <v>RECEITAS COM ENTREGAS</v>
      </c>
      <c r="P4654">
        <v>4509.68</v>
      </c>
      <c r="S4654" t="str">
        <f>"RECEITAS COM ENTREGAS (303)"</f>
        <v>RECEITAS COM ENTREGAS (303)</v>
      </c>
      <c r="T4654">
        <v>31958</v>
      </c>
      <c r="U4654">
        <v>36043</v>
      </c>
      <c r="V4654" t="s">
        <v>33</v>
      </c>
    </row>
    <row r="4655" spans="1:22">
      <c r="A4655" t="str">
        <f t="shared" si="857"/>
        <v>26/03/2026</v>
      </c>
      <c r="B4655" t="str">
        <f t="shared" si="858"/>
        <v>ENTRADA</v>
      </c>
      <c r="C4655" t="str">
        <f t="shared" si="859"/>
        <v>NFSE</v>
      </c>
      <c r="D4655" t="str">
        <f>"585"</f>
        <v>585</v>
      </c>
      <c r="E4655" t="str">
        <f t="shared" si="860"/>
        <v>1</v>
      </c>
      <c r="F4655" t="str">
        <f t="shared" si="848"/>
        <v>COM</v>
      </c>
      <c r="G4655" t="str">
        <f>"DROGARIA ANA VISCONDE DO RIO BRANCO (10182)"</f>
        <v>DROGARIA ANA VISCONDE DO RIO BRANCO (10182)</v>
      </c>
      <c r="H4655" t="s">
        <v>1256</v>
      </c>
      <c r="I4655" t="str">
        <f t="shared" si="861"/>
        <v>25/03/2026</v>
      </c>
      <c r="J4655" t="str">
        <f>("23/03/2026")</f>
        <v>23/03/2026</v>
      </c>
      <c r="K4655">
        <v>46107</v>
      </c>
      <c r="N4655">
        <v>303</v>
      </c>
      <c r="O4655" t="s">
        <v>102</v>
      </c>
      <c r="Q4655">
        <v>4509.68</v>
      </c>
      <c r="R4655" t="str">
        <f>"DROGARIA ANA VISCONDE DO RIO BRANCO (10182)"</f>
        <v>DROGARIA ANA VISCONDE DO RIO BRANCO (10182)</v>
      </c>
      <c r="S4655" t="s">
        <v>103</v>
      </c>
      <c r="T4655">
        <v>31958</v>
      </c>
      <c r="U4655">
        <v>36043</v>
      </c>
      <c r="V4655" t="s">
        <v>33</v>
      </c>
    </row>
    <row r="4656" spans="1:22">
      <c r="A4656" t="str">
        <f t="shared" si="857"/>
        <v>26/03/2026</v>
      </c>
      <c r="B4656" t="str">
        <f t="shared" ref="B4656:B4719" si="863">"SAÍDA"</f>
        <v>SAÍDA</v>
      </c>
      <c r="C4656" t="str">
        <f>"PIX"</f>
        <v>PIX</v>
      </c>
      <c r="D4656" t="str">
        <f>"35959"</f>
        <v>35959</v>
      </c>
      <c r="E4656" t="str">
        <f t="shared" si="860"/>
        <v>1</v>
      </c>
      <c r="F4656" t="str">
        <f t="shared" si="848"/>
        <v>COM</v>
      </c>
      <c r="G4656" t="str">
        <f>"MATEUS VIEIRA DE SOUZA (1019)"</f>
        <v>MATEUS VIEIRA DE SOUZA (1019)</v>
      </c>
      <c r="H4656" t="str">
        <f>"Serv.Prest. 16/03/2026 a 22/03/2026 - PIX: CELULAR - CHAVE: (11) 97702-1316"</f>
        <v>Serv.Prest. 16/03/2026 a 22/03/2026 - PIX: CELULAR - CHAVE: (11) 97702-1316</v>
      </c>
      <c r="I4656" t="str">
        <f t="shared" ref="I4656:I4719" si="864">("26/03/2026")</f>
        <v>26/03/2026</v>
      </c>
      <c r="J4656" t="str">
        <f>("23/03/2026")</f>
        <v>23/03/2026</v>
      </c>
      <c r="K4656" t="str">
        <f>("26/03/2026")</f>
        <v>26/03/2026</v>
      </c>
      <c r="L4656">
        <v>1300</v>
      </c>
      <c r="M4656">
        <v>1300</v>
      </c>
      <c r="N4656">
        <v>109</v>
      </c>
      <c r="O4656" t="str">
        <f>"PAGAMENTO DE ENTREGADORES"</f>
        <v>PAGAMENTO DE ENTREGADORES</v>
      </c>
      <c r="P4656">
        <v>1300</v>
      </c>
      <c r="S4656" t="str">
        <f>"BANCO CORA (102)"</f>
        <v>BANCO CORA (102)</v>
      </c>
      <c r="T4656">
        <v>31959</v>
      </c>
      <c r="U4656">
        <v>35959</v>
      </c>
      <c r="V4656" t="s">
        <v>33</v>
      </c>
    </row>
    <row r="4657" spans="1:22">
      <c r="A4657" t="str">
        <f t="shared" si="857"/>
        <v>26/03/2026</v>
      </c>
      <c r="B4657" t="str">
        <f t="shared" si="863"/>
        <v>SAÍDA</v>
      </c>
      <c r="C4657" t="str">
        <f>"PIX"</f>
        <v>PIX</v>
      </c>
      <c r="D4657" t="str">
        <f>"35959"</f>
        <v>35959</v>
      </c>
      <c r="E4657" t="str">
        <f t="shared" si="860"/>
        <v>1</v>
      </c>
      <c r="F4657" t="str">
        <f t="shared" si="848"/>
        <v>COM</v>
      </c>
      <c r="G4657" t="str">
        <f>"MATEUS VIEIRA DE SOUZA (1019)"</f>
        <v>MATEUS VIEIRA DE SOUZA (1019)</v>
      </c>
      <c r="H4657" t="s">
        <v>1163</v>
      </c>
      <c r="I4657" t="str">
        <f t="shared" si="864"/>
        <v>26/03/2026</v>
      </c>
      <c r="J4657" t="str">
        <f>("23/03/2026")</f>
        <v>23/03/2026</v>
      </c>
      <c r="K4657">
        <v>46107</v>
      </c>
      <c r="N4657">
        <v>109</v>
      </c>
      <c r="O4657" t="s">
        <v>27</v>
      </c>
      <c r="Q4657">
        <v>1300</v>
      </c>
      <c r="R4657" t="str">
        <f>"PENSE FARMA 47 (10232)"</f>
        <v>PENSE FARMA 47 (10232)</v>
      </c>
      <c r="S4657" t="s">
        <v>33</v>
      </c>
      <c r="T4657">
        <v>31959</v>
      </c>
      <c r="U4657">
        <v>35959</v>
      </c>
      <c r="V4657" t="s">
        <v>33</v>
      </c>
    </row>
    <row r="4658" spans="1:22">
      <c r="A4658" t="str">
        <f t="shared" si="857"/>
        <v>26/03/2026</v>
      </c>
      <c r="B4658" t="str">
        <f t="shared" si="863"/>
        <v>SAÍDA</v>
      </c>
      <c r="C4658" t="str">
        <f>"PIX"</f>
        <v>PIX</v>
      </c>
      <c r="D4658" t="str">
        <f>"22022026"</f>
        <v>22022026</v>
      </c>
      <c r="E4658" t="str">
        <f>"2"</f>
        <v>2</v>
      </c>
      <c r="F4658" t="str">
        <f t="shared" si="848"/>
        <v>COM</v>
      </c>
      <c r="G4658" t="str">
        <f>"SARAH RODRIGUES DE JESUS CAETANO (20043)"</f>
        <v>SARAH RODRIGUES DE JESUS CAETANO (20043)</v>
      </c>
      <c r="H4658" t="str">
        <f>"ASSESSORIA JURIDICA"</f>
        <v>ASSESSORIA JURIDICA</v>
      </c>
      <c r="I4658" t="str">
        <f t="shared" si="864"/>
        <v>26/03/2026</v>
      </c>
      <c r="J4658" t="str">
        <f>("30/01/2026")</f>
        <v>30/01/2026</v>
      </c>
      <c r="K4658" t="str">
        <f>("26/03/2026")</f>
        <v>26/03/2026</v>
      </c>
      <c r="L4658">
        <v>4000</v>
      </c>
      <c r="M4658">
        <v>4000</v>
      </c>
      <c r="N4658">
        <v>122</v>
      </c>
      <c r="O4658" t="str">
        <f>"HONORARIOS ADVOCATICIOS"</f>
        <v>HONORARIOS ADVOCATICIOS</v>
      </c>
      <c r="P4658">
        <v>4000</v>
      </c>
      <c r="S4658" t="str">
        <f>"BANCO CORA (102)"</f>
        <v>BANCO CORA (102)</v>
      </c>
      <c r="T4658">
        <v>31960</v>
      </c>
      <c r="U4658">
        <v>31735</v>
      </c>
      <c r="V4658" t="s">
        <v>33</v>
      </c>
    </row>
    <row r="4659" spans="1:22">
      <c r="A4659" t="str">
        <f t="shared" si="857"/>
        <v>26/03/2026</v>
      </c>
      <c r="B4659" t="str">
        <f t="shared" si="863"/>
        <v>SAÍDA</v>
      </c>
      <c r="C4659" t="str">
        <f>"PIX"</f>
        <v>PIX</v>
      </c>
      <c r="D4659" t="str">
        <f>"22022026"</f>
        <v>22022026</v>
      </c>
      <c r="E4659" t="str">
        <f>"2"</f>
        <v>2</v>
      </c>
      <c r="F4659" t="str">
        <f t="shared" si="848"/>
        <v>COM</v>
      </c>
      <c r="G4659" t="str">
        <f>"SARAH RODRIGUES DE JESUS CAETANO (20043)"</f>
        <v>SARAH RODRIGUES DE JESUS CAETANO (20043)</v>
      </c>
      <c r="H4659" t="s">
        <v>1257</v>
      </c>
      <c r="I4659" t="str">
        <f t="shared" si="864"/>
        <v>26/03/2026</v>
      </c>
      <c r="J4659" t="str">
        <f>("30/01/2026")</f>
        <v>30/01/2026</v>
      </c>
      <c r="K4659">
        <v>46107</v>
      </c>
      <c r="N4659">
        <v>122</v>
      </c>
      <c r="O4659" t="s">
        <v>1258</v>
      </c>
      <c r="Q4659">
        <v>4000</v>
      </c>
      <c r="R4659" t="str">
        <f>"SARAH RODRIGUES DE JESUS CAETANO (20043)"</f>
        <v>SARAH RODRIGUES DE JESUS CAETANO (20043)</v>
      </c>
      <c r="S4659" t="s">
        <v>33</v>
      </c>
      <c r="T4659">
        <v>31960</v>
      </c>
      <c r="U4659">
        <v>31735</v>
      </c>
      <c r="V4659" t="s">
        <v>33</v>
      </c>
    </row>
    <row r="4660" spans="1:22">
      <c r="A4660" t="str">
        <f t="shared" si="857"/>
        <v>26/03/2026</v>
      </c>
      <c r="B4660" t="str">
        <f t="shared" si="863"/>
        <v>SAÍDA</v>
      </c>
      <c r="C4660" t="str">
        <f>"BOLETO"</f>
        <v>BOLETO</v>
      </c>
      <c r="D4660" t="str">
        <f>"0082025"</f>
        <v>0082025</v>
      </c>
      <c r="E4660" t="str">
        <f>"3"</f>
        <v>3</v>
      </c>
      <c r="F4660" t="str">
        <f t="shared" si="848"/>
        <v>COM</v>
      </c>
      <c r="G4660" t="str">
        <f>"AR RDMT CERTIFICACAO DIGITAL E SERVICOS LTDA (20136)"</f>
        <v>AR RDMT CERTIFICACAO DIGITAL E SERVICOS LTDA (20136)</v>
      </c>
      <c r="H4660" t="str">
        <f>"PACOTE DE CERTIFICADO DIGITAL (1/4) "</f>
        <v xml:space="preserve">PACOTE DE CERTIFICADO DIGITAL (1/4) </v>
      </c>
      <c r="I4660" t="str">
        <f t="shared" si="864"/>
        <v>26/03/2026</v>
      </c>
      <c r="J4660" t="str">
        <f>("29/01/2026")</f>
        <v>29/01/2026</v>
      </c>
      <c r="K4660" t="str">
        <f>("26/03/2026")</f>
        <v>26/03/2026</v>
      </c>
      <c r="L4660">
        <v>4500</v>
      </c>
      <c r="M4660">
        <v>4500</v>
      </c>
      <c r="N4660">
        <v>104</v>
      </c>
      <c r="O4660" t="str">
        <f>"SOFTWARE / LICENÇAS"</f>
        <v>SOFTWARE / LICENÇAS</v>
      </c>
      <c r="P4660">
        <v>4500</v>
      </c>
      <c r="S4660" t="str">
        <f>"BANCO CORA (102)"</f>
        <v>BANCO CORA (102)</v>
      </c>
      <c r="T4660">
        <v>31961</v>
      </c>
      <c r="U4660">
        <v>31720</v>
      </c>
      <c r="V4660" t="s">
        <v>33</v>
      </c>
    </row>
    <row r="4661" spans="1:22">
      <c r="A4661" t="str">
        <f t="shared" si="857"/>
        <v>26/03/2026</v>
      </c>
      <c r="B4661" t="str">
        <f t="shared" si="863"/>
        <v>SAÍDA</v>
      </c>
      <c r="C4661" t="str">
        <f>"BOLETO"</f>
        <v>BOLETO</v>
      </c>
      <c r="D4661" t="str">
        <f>"0082025"</f>
        <v>0082025</v>
      </c>
      <c r="E4661" t="str">
        <f>"3"</f>
        <v>3</v>
      </c>
      <c r="F4661" t="str">
        <f t="shared" si="848"/>
        <v>COM</v>
      </c>
      <c r="G4661" t="str">
        <f>"AR RDMT CERTIFICACAO DIGITAL E SERVICOS LTDA (20136)"</f>
        <v>AR RDMT CERTIFICACAO DIGITAL E SERVICOS LTDA (20136)</v>
      </c>
      <c r="H4661" t="s">
        <v>1259</v>
      </c>
      <c r="I4661" t="str">
        <f t="shared" si="864"/>
        <v>26/03/2026</v>
      </c>
      <c r="J4661" t="str">
        <f>("29/01/2026")</f>
        <v>29/01/2026</v>
      </c>
      <c r="K4661">
        <v>46107</v>
      </c>
      <c r="N4661">
        <v>104</v>
      </c>
      <c r="O4661" t="s">
        <v>39</v>
      </c>
      <c r="Q4661">
        <v>4500</v>
      </c>
      <c r="R4661" t="str">
        <f>"AR RDMT CERTIFICACAO DIGITAL E SERVICOS LTDA (20136)"</f>
        <v>AR RDMT CERTIFICACAO DIGITAL E SERVICOS LTDA (20136)</v>
      </c>
      <c r="S4661" t="s">
        <v>33</v>
      </c>
      <c r="T4661">
        <v>31961</v>
      </c>
      <c r="U4661">
        <v>31720</v>
      </c>
      <c r="V4661" t="s">
        <v>33</v>
      </c>
    </row>
    <row r="4662" spans="1:22">
      <c r="A4662" t="str">
        <f t="shared" si="857"/>
        <v>26/03/2026</v>
      </c>
      <c r="B4662" t="str">
        <f t="shared" si="863"/>
        <v>SAÍDA</v>
      </c>
      <c r="C4662" t="str">
        <f t="shared" ref="C4662:C4725" si="865">"PIX"</f>
        <v>PIX</v>
      </c>
      <c r="D4662" t="str">
        <f>"08012026"</f>
        <v>08012026</v>
      </c>
      <c r="E4662" t="str">
        <f>"9"</f>
        <v>9</v>
      </c>
      <c r="F4662" t="str">
        <f t="shared" si="848"/>
        <v>COM</v>
      </c>
      <c r="G4662" t="str">
        <f>"51.114.831 TANIA CRISTINA JOAQUIM (20120)"</f>
        <v>51.114.831 TANIA CRISTINA JOAQUIM (20120)</v>
      </c>
      <c r="H4662" t="str">
        <f>"PAGAMENTO PRESTACAO DE SERVICOS - PIX CELULAR (11) 99181-5502"</f>
        <v>PAGAMENTO PRESTACAO DE SERVICOS - PIX CELULAR (11) 99181-5502</v>
      </c>
      <c r="I4662" t="str">
        <f t="shared" si="864"/>
        <v>26/03/2026</v>
      </c>
      <c r="J4662" t="str">
        <f>("05/01/2026")</f>
        <v>05/01/2026</v>
      </c>
      <c r="K4662" t="str">
        <f>("26/03/2026")</f>
        <v>26/03/2026</v>
      </c>
      <c r="L4662">
        <v>625</v>
      </c>
      <c r="M4662">
        <v>625</v>
      </c>
      <c r="N4662">
        <v>109</v>
      </c>
      <c r="O4662" t="str">
        <f>"PAGAMENTO DE ENTREGADORES"</f>
        <v>PAGAMENTO DE ENTREGADORES</v>
      </c>
      <c r="P4662">
        <v>625</v>
      </c>
      <c r="S4662" t="str">
        <f>"BANCO CORA (102)"</f>
        <v>BANCO CORA (102)</v>
      </c>
      <c r="T4662">
        <v>31962</v>
      </c>
      <c r="U4662">
        <v>30737</v>
      </c>
      <c r="V4662" t="s">
        <v>33</v>
      </c>
    </row>
    <row r="4663" spans="1:22">
      <c r="A4663" t="str">
        <f t="shared" si="857"/>
        <v>26/03/2026</v>
      </c>
      <c r="B4663" t="str">
        <f t="shared" si="863"/>
        <v>SAÍDA</v>
      </c>
      <c r="C4663" t="str">
        <f t="shared" si="865"/>
        <v>PIX</v>
      </c>
      <c r="D4663" t="str">
        <f>"08012026"</f>
        <v>08012026</v>
      </c>
      <c r="E4663" t="str">
        <f>"9"</f>
        <v>9</v>
      </c>
      <c r="F4663" t="str">
        <f t="shared" si="848"/>
        <v>COM</v>
      </c>
      <c r="G4663" t="str">
        <f>"51.114.831 TANIA CRISTINA JOAQUIM (20120)"</f>
        <v>51.114.831 TANIA CRISTINA JOAQUIM (20120)</v>
      </c>
      <c r="H4663" t="s">
        <v>160</v>
      </c>
      <c r="I4663" t="str">
        <f t="shared" si="864"/>
        <v>26/03/2026</v>
      </c>
      <c r="J4663" t="str">
        <f>("05/01/2026")</f>
        <v>05/01/2026</v>
      </c>
      <c r="K4663">
        <v>46107</v>
      </c>
      <c r="N4663">
        <v>109</v>
      </c>
      <c r="O4663" t="s">
        <v>27</v>
      </c>
      <c r="Q4663">
        <v>625</v>
      </c>
      <c r="R4663" t="str">
        <f>"51.114.831 TANIA CRISTINA JOAQUIM (20120)"</f>
        <v>51.114.831 TANIA CRISTINA JOAQUIM (20120)</v>
      </c>
      <c r="S4663" t="s">
        <v>33</v>
      </c>
      <c r="T4663">
        <v>31962</v>
      </c>
      <c r="U4663">
        <v>30737</v>
      </c>
      <c r="V4663" t="s">
        <v>33</v>
      </c>
    </row>
    <row r="4664" spans="1:22">
      <c r="A4664" t="str">
        <f t="shared" si="857"/>
        <v>26/03/2026</v>
      </c>
      <c r="B4664" t="str">
        <f t="shared" si="863"/>
        <v>SAÍDA</v>
      </c>
      <c r="C4664" t="str">
        <f t="shared" si="865"/>
        <v>PIX</v>
      </c>
      <c r="D4664" t="str">
        <f>"35163"</f>
        <v>35163</v>
      </c>
      <c r="E4664" t="str">
        <f t="shared" ref="E4664:E4727" si="866">"1"</f>
        <v>1</v>
      </c>
      <c r="F4664" t="str">
        <f t="shared" si="848"/>
        <v>COM</v>
      </c>
      <c r="G4664" t="str">
        <f>"KHENNEDY DAVY DOS SANTOS SILVA (692)"</f>
        <v>KHENNEDY DAVY DOS SANTOS SILVA (692)</v>
      </c>
      <c r="H4664" t="str">
        <f>"Serv.Prest. 09/03/2026 a 15/03/2026 - PIX: CPF - CHAVE: 094.700.685-05"</f>
        <v>Serv.Prest. 09/03/2026 a 15/03/2026 - PIX: CPF - CHAVE: 094.700.685-05</v>
      </c>
      <c r="I4664" t="str">
        <f t="shared" si="864"/>
        <v>26/03/2026</v>
      </c>
      <c r="J4664" t="str">
        <f>("17/03/2026")</f>
        <v>17/03/2026</v>
      </c>
      <c r="K4664" t="str">
        <f>("26/03/2026")</f>
        <v>26/03/2026</v>
      </c>
      <c r="L4664">
        <v>654</v>
      </c>
      <c r="M4664">
        <v>654</v>
      </c>
      <c r="N4664">
        <v>109</v>
      </c>
      <c r="O4664" t="str">
        <f>"PAGAMENTO DE ENTREGADORES"</f>
        <v>PAGAMENTO DE ENTREGADORES</v>
      </c>
      <c r="P4664">
        <v>654</v>
      </c>
      <c r="S4664" t="str">
        <f>"BANCO CORA (102)"</f>
        <v>BANCO CORA (102)</v>
      </c>
      <c r="T4664">
        <v>31963</v>
      </c>
      <c r="U4664">
        <v>35163</v>
      </c>
      <c r="V4664" t="s">
        <v>33</v>
      </c>
    </row>
    <row r="4665" spans="1:22">
      <c r="A4665" t="str">
        <f t="shared" si="857"/>
        <v>26/03/2026</v>
      </c>
      <c r="B4665" t="str">
        <f t="shared" si="863"/>
        <v>SAÍDA</v>
      </c>
      <c r="C4665" t="str">
        <f t="shared" si="865"/>
        <v>PIX</v>
      </c>
      <c r="D4665" t="str">
        <f>"35163"</f>
        <v>35163</v>
      </c>
      <c r="E4665" t="str">
        <f t="shared" si="866"/>
        <v>1</v>
      </c>
      <c r="F4665" t="str">
        <f t="shared" si="848"/>
        <v>COM</v>
      </c>
      <c r="G4665" t="str">
        <f>"KHENNEDY DAVY DOS SANTOS SILVA (692)"</f>
        <v>KHENNEDY DAVY DOS SANTOS SILVA (692)</v>
      </c>
      <c r="H4665" t="s">
        <v>1260</v>
      </c>
      <c r="I4665" t="str">
        <f t="shared" si="864"/>
        <v>26/03/2026</v>
      </c>
      <c r="J4665" t="str">
        <f>("17/03/2026")</f>
        <v>17/03/2026</v>
      </c>
      <c r="K4665">
        <v>46107</v>
      </c>
      <c r="N4665">
        <v>109</v>
      </c>
      <c r="O4665" t="s">
        <v>27</v>
      </c>
      <c r="Q4665">
        <v>654</v>
      </c>
      <c r="R4665" t="str">
        <f>"FARMÁCIA INDIANA LJ 65 (10030)"</f>
        <v>FARMÁCIA INDIANA LJ 65 (10030)</v>
      </c>
      <c r="S4665" t="s">
        <v>33</v>
      </c>
      <c r="T4665">
        <v>31963</v>
      </c>
      <c r="U4665">
        <v>35163</v>
      </c>
      <c r="V4665" t="s">
        <v>33</v>
      </c>
    </row>
    <row r="4666" spans="1:22">
      <c r="A4666" t="str">
        <f t="shared" si="857"/>
        <v>26/03/2026</v>
      </c>
      <c r="B4666" t="str">
        <f t="shared" si="863"/>
        <v>SAÍDA</v>
      </c>
      <c r="C4666" t="str">
        <f t="shared" si="865"/>
        <v>PIX</v>
      </c>
      <c r="D4666" t="str">
        <f>"34846"</f>
        <v>34846</v>
      </c>
      <c r="E4666" t="str">
        <f t="shared" si="866"/>
        <v>1</v>
      </c>
      <c r="F4666" t="str">
        <f t="shared" si="848"/>
        <v>COM</v>
      </c>
      <c r="G4666" t="str">
        <f>"ALAN ACOSTA (897)"</f>
        <v>ALAN ACOSTA (897)</v>
      </c>
      <c r="H4666" t="str">
        <f>"Serv.Prest. 09/03/2026 a 15/03/2026 - PIX: CELULAR - CHAVE: (43) 99875-6490"</f>
        <v>Serv.Prest. 09/03/2026 a 15/03/2026 - PIX: CELULAR - CHAVE: (43) 99875-6490</v>
      </c>
      <c r="I4666" t="str">
        <f t="shared" si="864"/>
        <v>26/03/2026</v>
      </c>
      <c r="J4666" t="str">
        <f t="shared" ref="J4666:J4685" si="867">("16/03/2026")</f>
        <v>16/03/2026</v>
      </c>
      <c r="K4666" t="str">
        <f>("26/03/2026")</f>
        <v>26/03/2026</v>
      </c>
      <c r="L4666">
        <v>1190</v>
      </c>
      <c r="M4666">
        <v>1190</v>
      </c>
      <c r="N4666">
        <v>109</v>
      </c>
      <c r="O4666" t="str">
        <f>"PAGAMENTO DE ENTREGADORES"</f>
        <v>PAGAMENTO DE ENTREGADORES</v>
      </c>
      <c r="P4666">
        <v>1190</v>
      </c>
      <c r="S4666" t="str">
        <f>"BANCO C6 (149)"</f>
        <v>BANCO C6 (149)</v>
      </c>
      <c r="T4666">
        <v>31964</v>
      </c>
      <c r="U4666">
        <v>34846</v>
      </c>
      <c r="V4666" t="s">
        <v>37</v>
      </c>
    </row>
    <row r="4667" spans="1:22">
      <c r="A4667" t="str">
        <f t="shared" si="857"/>
        <v>26/03/2026</v>
      </c>
      <c r="B4667" t="str">
        <f t="shared" si="863"/>
        <v>SAÍDA</v>
      </c>
      <c r="C4667" t="str">
        <f t="shared" si="865"/>
        <v>PIX</v>
      </c>
      <c r="D4667" t="str">
        <f>"34846"</f>
        <v>34846</v>
      </c>
      <c r="E4667" t="str">
        <f t="shared" si="866"/>
        <v>1</v>
      </c>
      <c r="F4667" t="str">
        <f t="shared" si="848"/>
        <v>COM</v>
      </c>
      <c r="G4667" t="str">
        <f>"ALAN ACOSTA (897)"</f>
        <v>ALAN ACOSTA (897)</v>
      </c>
      <c r="H4667" t="s">
        <v>1261</v>
      </c>
      <c r="I4667" t="str">
        <f t="shared" si="864"/>
        <v>26/03/2026</v>
      </c>
      <c r="J4667" t="str">
        <f t="shared" si="867"/>
        <v>16/03/2026</v>
      </c>
      <c r="K4667">
        <v>46107</v>
      </c>
      <c r="N4667">
        <v>109</v>
      </c>
      <c r="O4667" t="s">
        <v>27</v>
      </c>
      <c r="Q4667">
        <v>1190</v>
      </c>
      <c r="R4667" t="str">
        <f>"AC FARMA - CID.ALTA (10166)"</f>
        <v>AC FARMA - CID.ALTA (10166)</v>
      </c>
      <c r="S4667" t="s">
        <v>37</v>
      </c>
      <c r="T4667">
        <v>31964</v>
      </c>
      <c r="U4667">
        <v>34846</v>
      </c>
      <c r="V4667" t="s">
        <v>37</v>
      </c>
    </row>
    <row r="4668" spans="1:22">
      <c r="A4668" t="str">
        <f t="shared" si="857"/>
        <v>26/03/2026</v>
      </c>
      <c r="B4668" t="str">
        <f t="shared" si="863"/>
        <v>SAÍDA</v>
      </c>
      <c r="C4668" t="str">
        <f t="shared" si="865"/>
        <v>PIX</v>
      </c>
      <c r="D4668" t="str">
        <f>"34847"</f>
        <v>34847</v>
      </c>
      <c r="E4668" t="str">
        <f t="shared" si="866"/>
        <v>1</v>
      </c>
      <c r="F4668" t="str">
        <f t="shared" si="848"/>
        <v>COM</v>
      </c>
      <c r="G4668" t="str">
        <f>"FERNANDO MARTINS DA SILVA (701)"</f>
        <v>FERNANDO MARTINS DA SILVA (701)</v>
      </c>
      <c r="H4668" t="str">
        <f>"Serv.Prest. 09/03/2026 a 15/03/2026 - PIX: CPF - CHAVE: 004.682.359-06"</f>
        <v>Serv.Prest. 09/03/2026 a 15/03/2026 - PIX: CPF - CHAVE: 004.682.359-06</v>
      </c>
      <c r="I4668" t="str">
        <f t="shared" si="864"/>
        <v>26/03/2026</v>
      </c>
      <c r="J4668" t="str">
        <f t="shared" si="867"/>
        <v>16/03/2026</v>
      </c>
      <c r="K4668" t="str">
        <f>("26/03/2026")</f>
        <v>26/03/2026</v>
      </c>
      <c r="L4668">
        <v>924.8</v>
      </c>
      <c r="M4668">
        <v>924.8</v>
      </c>
      <c r="N4668">
        <v>109</v>
      </c>
      <c r="O4668" t="str">
        <f>"PAGAMENTO DE ENTREGADORES"</f>
        <v>PAGAMENTO DE ENTREGADORES</v>
      </c>
      <c r="P4668">
        <v>924.8</v>
      </c>
      <c r="S4668" t="str">
        <f>"BANCO C6 (149)"</f>
        <v>BANCO C6 (149)</v>
      </c>
      <c r="T4668">
        <v>31965</v>
      </c>
      <c r="U4668">
        <v>34847</v>
      </c>
      <c r="V4668" t="s">
        <v>37</v>
      </c>
    </row>
    <row r="4669" spans="1:22">
      <c r="A4669" t="str">
        <f t="shared" si="857"/>
        <v>26/03/2026</v>
      </c>
      <c r="B4669" t="str">
        <f t="shared" si="863"/>
        <v>SAÍDA</v>
      </c>
      <c r="C4669" t="str">
        <f t="shared" si="865"/>
        <v>PIX</v>
      </c>
      <c r="D4669" t="str">
        <f>"34847"</f>
        <v>34847</v>
      </c>
      <c r="E4669" t="str">
        <f t="shared" si="866"/>
        <v>1</v>
      </c>
      <c r="F4669" t="str">
        <f t="shared" si="848"/>
        <v>COM</v>
      </c>
      <c r="G4669" t="str">
        <f>"FERNANDO MARTINS DA SILVA (701)"</f>
        <v>FERNANDO MARTINS DA SILVA (701)</v>
      </c>
      <c r="H4669" t="s">
        <v>1262</v>
      </c>
      <c r="I4669" t="str">
        <f t="shared" si="864"/>
        <v>26/03/2026</v>
      </c>
      <c r="J4669" t="str">
        <f t="shared" si="867"/>
        <v>16/03/2026</v>
      </c>
      <c r="K4669">
        <v>46107</v>
      </c>
      <c r="N4669">
        <v>109</v>
      </c>
      <c r="O4669" t="s">
        <v>27</v>
      </c>
      <c r="Q4669">
        <v>924.8</v>
      </c>
      <c r="R4669" t="str">
        <f>"AC FARMA - CID.ALTA (10166)"</f>
        <v>AC FARMA - CID.ALTA (10166)</v>
      </c>
      <c r="S4669" t="s">
        <v>37</v>
      </c>
      <c r="T4669">
        <v>31965</v>
      </c>
      <c r="U4669">
        <v>34847</v>
      </c>
      <c r="V4669" t="s">
        <v>37</v>
      </c>
    </row>
    <row r="4670" spans="1:22">
      <c r="A4670" t="str">
        <f t="shared" si="857"/>
        <v>26/03/2026</v>
      </c>
      <c r="B4670" t="str">
        <f t="shared" si="863"/>
        <v>SAÍDA</v>
      </c>
      <c r="C4670" t="str">
        <f t="shared" si="865"/>
        <v>PIX</v>
      </c>
      <c r="D4670" t="str">
        <f>"34848"</f>
        <v>34848</v>
      </c>
      <c r="E4670" t="str">
        <f t="shared" si="866"/>
        <v>1</v>
      </c>
      <c r="F4670" t="str">
        <f t="shared" si="848"/>
        <v>COM</v>
      </c>
      <c r="G4670" t="str">
        <f>"GERALDO SEVERINO DE SANTANA (729)"</f>
        <v>GERALDO SEVERINO DE SANTANA (729)</v>
      </c>
      <c r="H4670" t="str">
        <f>"Serv.Prest. 09/03/2026 a 15/03/2026 - PIX: CELULAR - CHAVE: (43) 99934-1696"</f>
        <v>Serv.Prest. 09/03/2026 a 15/03/2026 - PIX: CELULAR - CHAVE: (43) 99934-1696</v>
      </c>
      <c r="I4670" t="str">
        <f t="shared" si="864"/>
        <v>26/03/2026</v>
      </c>
      <c r="J4670" t="str">
        <f t="shared" si="867"/>
        <v>16/03/2026</v>
      </c>
      <c r="K4670" t="str">
        <f>("26/03/2026")</f>
        <v>26/03/2026</v>
      </c>
      <c r="L4670">
        <v>754.8</v>
      </c>
      <c r="M4670">
        <v>754.8</v>
      </c>
      <c r="N4670">
        <v>109</v>
      </c>
      <c r="O4670" t="str">
        <f>"PAGAMENTO DE ENTREGADORES"</f>
        <v>PAGAMENTO DE ENTREGADORES</v>
      </c>
      <c r="P4670">
        <v>754.8</v>
      </c>
      <c r="S4670" t="str">
        <f>"BANCO C6 (149)"</f>
        <v>BANCO C6 (149)</v>
      </c>
      <c r="T4670">
        <v>31966</v>
      </c>
      <c r="U4670">
        <v>34848</v>
      </c>
      <c r="V4670" t="s">
        <v>37</v>
      </c>
    </row>
    <row r="4671" spans="1:22">
      <c r="A4671" t="str">
        <f t="shared" si="857"/>
        <v>26/03/2026</v>
      </c>
      <c r="B4671" t="str">
        <f t="shared" si="863"/>
        <v>SAÍDA</v>
      </c>
      <c r="C4671" t="str">
        <f t="shared" si="865"/>
        <v>PIX</v>
      </c>
      <c r="D4671" t="str">
        <f>"34848"</f>
        <v>34848</v>
      </c>
      <c r="E4671" t="str">
        <f t="shared" si="866"/>
        <v>1</v>
      </c>
      <c r="F4671" t="str">
        <f t="shared" si="848"/>
        <v>COM</v>
      </c>
      <c r="G4671" t="str">
        <f>"GERALDO SEVERINO DE SANTANA (729)"</f>
        <v>GERALDO SEVERINO DE SANTANA (729)</v>
      </c>
      <c r="H4671" t="s">
        <v>1263</v>
      </c>
      <c r="I4671" t="str">
        <f t="shared" si="864"/>
        <v>26/03/2026</v>
      </c>
      <c r="J4671" t="str">
        <f t="shared" si="867"/>
        <v>16/03/2026</v>
      </c>
      <c r="K4671">
        <v>46107</v>
      </c>
      <c r="N4671">
        <v>109</v>
      </c>
      <c r="O4671" t="s">
        <v>27</v>
      </c>
      <c r="Q4671">
        <v>754.8</v>
      </c>
      <c r="R4671" t="str">
        <f>"AC FARMA - CID.ALTA (10166)"</f>
        <v>AC FARMA - CID.ALTA (10166)</v>
      </c>
      <c r="S4671" t="s">
        <v>37</v>
      </c>
      <c r="T4671">
        <v>31966</v>
      </c>
      <c r="U4671">
        <v>34848</v>
      </c>
      <c r="V4671" t="s">
        <v>37</v>
      </c>
    </row>
    <row r="4672" spans="1:22">
      <c r="A4672" t="str">
        <f t="shared" si="857"/>
        <v>26/03/2026</v>
      </c>
      <c r="B4672" t="str">
        <f t="shared" si="863"/>
        <v>SAÍDA</v>
      </c>
      <c r="C4672" t="str">
        <f t="shared" si="865"/>
        <v>PIX</v>
      </c>
      <c r="D4672" t="str">
        <f>"34849"</f>
        <v>34849</v>
      </c>
      <c r="E4672" t="str">
        <f t="shared" si="866"/>
        <v>1</v>
      </c>
      <c r="F4672" t="str">
        <f t="shared" si="848"/>
        <v>COM</v>
      </c>
      <c r="G4672" t="str">
        <f>"HELITON DE OLIVEIRA RAMOS BARBOSA (724)"</f>
        <v>HELITON DE OLIVEIRA RAMOS BARBOSA (724)</v>
      </c>
      <c r="H4672" t="str">
        <f>"Serv.Prest. 09/03/2026 a 15/03/2026 - PIX: CPF - CHAVE: 074.604.219-10"</f>
        <v>Serv.Prest. 09/03/2026 a 15/03/2026 - PIX: CPF - CHAVE: 074.604.219-10</v>
      </c>
      <c r="I4672" t="str">
        <f t="shared" si="864"/>
        <v>26/03/2026</v>
      </c>
      <c r="J4672" t="str">
        <f t="shared" si="867"/>
        <v>16/03/2026</v>
      </c>
      <c r="K4672" t="str">
        <f>("26/03/2026")</f>
        <v>26/03/2026</v>
      </c>
      <c r="L4672">
        <v>564.4</v>
      </c>
      <c r="M4672">
        <v>564.4</v>
      </c>
      <c r="N4672">
        <v>109</v>
      </c>
      <c r="O4672" t="str">
        <f>"PAGAMENTO DE ENTREGADORES"</f>
        <v>PAGAMENTO DE ENTREGADORES</v>
      </c>
      <c r="P4672">
        <v>564.4</v>
      </c>
      <c r="S4672" t="str">
        <f>"BANCO C6 (149)"</f>
        <v>BANCO C6 (149)</v>
      </c>
      <c r="T4672">
        <v>31967</v>
      </c>
      <c r="U4672">
        <v>34849</v>
      </c>
      <c r="V4672" t="s">
        <v>37</v>
      </c>
    </row>
    <row r="4673" spans="1:22">
      <c r="A4673" t="str">
        <f t="shared" si="857"/>
        <v>26/03/2026</v>
      </c>
      <c r="B4673" t="str">
        <f t="shared" si="863"/>
        <v>SAÍDA</v>
      </c>
      <c r="C4673" t="str">
        <f t="shared" si="865"/>
        <v>PIX</v>
      </c>
      <c r="D4673" t="str">
        <f>"34849"</f>
        <v>34849</v>
      </c>
      <c r="E4673" t="str">
        <f t="shared" si="866"/>
        <v>1</v>
      </c>
      <c r="F4673" t="str">
        <f t="shared" si="848"/>
        <v>COM</v>
      </c>
      <c r="G4673" t="str">
        <f>"HELITON DE OLIVEIRA RAMOS BARBOSA (724)"</f>
        <v>HELITON DE OLIVEIRA RAMOS BARBOSA (724)</v>
      </c>
      <c r="H4673" t="s">
        <v>1264</v>
      </c>
      <c r="I4673" t="str">
        <f t="shared" si="864"/>
        <v>26/03/2026</v>
      </c>
      <c r="J4673" t="str">
        <f t="shared" si="867"/>
        <v>16/03/2026</v>
      </c>
      <c r="K4673">
        <v>46107</v>
      </c>
      <c r="N4673">
        <v>109</v>
      </c>
      <c r="O4673" t="s">
        <v>27</v>
      </c>
      <c r="Q4673">
        <v>564.4</v>
      </c>
      <c r="R4673" t="str">
        <f>"AC FARMA - CID.ALTA (10166)"</f>
        <v>AC FARMA - CID.ALTA (10166)</v>
      </c>
      <c r="S4673" t="s">
        <v>37</v>
      </c>
      <c r="T4673">
        <v>31967</v>
      </c>
      <c r="U4673">
        <v>34849</v>
      </c>
      <c r="V4673" t="s">
        <v>37</v>
      </c>
    </row>
    <row r="4674" spans="1:22">
      <c r="A4674" t="str">
        <f t="shared" si="857"/>
        <v>26/03/2026</v>
      </c>
      <c r="B4674" t="str">
        <f t="shared" si="863"/>
        <v>SAÍDA</v>
      </c>
      <c r="C4674" t="str">
        <f t="shared" si="865"/>
        <v>PIX</v>
      </c>
      <c r="D4674" t="str">
        <f>"34850"</f>
        <v>34850</v>
      </c>
      <c r="E4674" t="str">
        <f t="shared" si="866"/>
        <v>1</v>
      </c>
      <c r="F4674" t="str">
        <f t="shared" ref="F4674:F4737" si="868">"COM"</f>
        <v>COM</v>
      </c>
      <c r="G4674" t="str">
        <f>"KAINAN FABRÍCIO DOS SANTOS (1258)"</f>
        <v>KAINAN FABRÍCIO DOS SANTOS (1258)</v>
      </c>
      <c r="H4674" t="str">
        <f>"Serv.Prest. 09/03/2026 a 15/03/2026 - PIX: CELULAR - CHAVE: (43) 99830-8026"</f>
        <v>Serv.Prest. 09/03/2026 a 15/03/2026 - PIX: CELULAR - CHAVE: (43) 99830-8026</v>
      </c>
      <c r="I4674" t="str">
        <f t="shared" si="864"/>
        <v>26/03/2026</v>
      </c>
      <c r="J4674" t="str">
        <f t="shared" si="867"/>
        <v>16/03/2026</v>
      </c>
      <c r="K4674" t="str">
        <f>("26/03/2026")</f>
        <v>26/03/2026</v>
      </c>
      <c r="L4674">
        <v>734.4</v>
      </c>
      <c r="M4674">
        <v>734.4</v>
      </c>
      <c r="N4674">
        <v>109</v>
      </c>
      <c r="O4674" t="str">
        <f>"PAGAMENTO DE ENTREGADORES"</f>
        <v>PAGAMENTO DE ENTREGADORES</v>
      </c>
      <c r="P4674">
        <v>734.4</v>
      </c>
      <c r="S4674" t="str">
        <f>"BANCO C6 (149)"</f>
        <v>BANCO C6 (149)</v>
      </c>
      <c r="T4674">
        <v>31968</v>
      </c>
      <c r="U4674">
        <v>34850</v>
      </c>
      <c r="V4674" t="s">
        <v>37</v>
      </c>
    </row>
    <row r="4675" spans="1:22">
      <c r="A4675" t="str">
        <f t="shared" si="857"/>
        <v>26/03/2026</v>
      </c>
      <c r="B4675" t="str">
        <f t="shared" si="863"/>
        <v>SAÍDA</v>
      </c>
      <c r="C4675" t="str">
        <f t="shared" si="865"/>
        <v>PIX</v>
      </c>
      <c r="D4675" t="str">
        <f>"34850"</f>
        <v>34850</v>
      </c>
      <c r="E4675" t="str">
        <f t="shared" si="866"/>
        <v>1</v>
      </c>
      <c r="F4675" t="str">
        <f t="shared" si="868"/>
        <v>COM</v>
      </c>
      <c r="G4675" t="str">
        <f>"KAINAN FABRÍCIO DOS SANTOS (1258)"</f>
        <v>KAINAN FABRÍCIO DOS SANTOS (1258)</v>
      </c>
      <c r="H4675" t="s">
        <v>1265</v>
      </c>
      <c r="I4675" t="str">
        <f t="shared" si="864"/>
        <v>26/03/2026</v>
      </c>
      <c r="J4675" t="str">
        <f t="shared" si="867"/>
        <v>16/03/2026</v>
      </c>
      <c r="K4675">
        <v>46107</v>
      </c>
      <c r="N4675">
        <v>109</v>
      </c>
      <c r="O4675" t="s">
        <v>27</v>
      </c>
      <c r="Q4675">
        <v>734.4</v>
      </c>
      <c r="R4675" t="str">
        <f>"AC FARMA - CID.ALTA (10166)"</f>
        <v>AC FARMA - CID.ALTA (10166)</v>
      </c>
      <c r="S4675" t="s">
        <v>37</v>
      </c>
      <c r="T4675">
        <v>31968</v>
      </c>
      <c r="U4675">
        <v>34850</v>
      </c>
      <c r="V4675" t="s">
        <v>37</v>
      </c>
    </row>
    <row r="4676" spans="1:22">
      <c r="A4676" t="str">
        <f t="shared" si="857"/>
        <v>26/03/2026</v>
      </c>
      <c r="B4676" t="str">
        <f t="shared" si="863"/>
        <v>SAÍDA</v>
      </c>
      <c r="C4676" t="str">
        <f t="shared" si="865"/>
        <v>PIX</v>
      </c>
      <c r="D4676" t="str">
        <f>"34852"</f>
        <v>34852</v>
      </c>
      <c r="E4676" t="str">
        <f t="shared" si="866"/>
        <v>1</v>
      </c>
      <c r="F4676" t="str">
        <f t="shared" si="868"/>
        <v>COM</v>
      </c>
      <c r="G4676" t="str">
        <f>"ALAN ACOSTA (897)"</f>
        <v>ALAN ACOSTA (897)</v>
      </c>
      <c r="H4676" t="str">
        <f>"Serv.Prest. 09/03/2026 a 15/03/2026 - PIX: CELULAR - CHAVE: (43) 99875-6490"</f>
        <v>Serv.Prest. 09/03/2026 a 15/03/2026 - PIX: CELULAR - CHAVE: (43) 99875-6490</v>
      </c>
      <c r="I4676" t="str">
        <f t="shared" si="864"/>
        <v>26/03/2026</v>
      </c>
      <c r="J4676" t="str">
        <f t="shared" si="867"/>
        <v>16/03/2026</v>
      </c>
      <c r="K4676" t="str">
        <f>("26/03/2026")</f>
        <v>26/03/2026</v>
      </c>
      <c r="L4676">
        <v>251.6</v>
      </c>
      <c r="M4676">
        <v>251.6</v>
      </c>
      <c r="N4676">
        <v>109</v>
      </c>
      <c r="O4676" t="str">
        <f>"PAGAMENTO DE ENTREGADORES"</f>
        <v>PAGAMENTO DE ENTREGADORES</v>
      </c>
      <c r="P4676">
        <v>251.6</v>
      </c>
      <c r="S4676" t="str">
        <f>"BANCO C6 (149)"</f>
        <v>BANCO C6 (149)</v>
      </c>
      <c r="T4676">
        <v>31969</v>
      </c>
      <c r="U4676">
        <v>34852</v>
      </c>
      <c r="V4676" t="s">
        <v>37</v>
      </c>
    </row>
    <row r="4677" spans="1:22">
      <c r="A4677" t="str">
        <f t="shared" si="857"/>
        <v>26/03/2026</v>
      </c>
      <c r="B4677" t="str">
        <f t="shared" si="863"/>
        <v>SAÍDA</v>
      </c>
      <c r="C4677" t="str">
        <f t="shared" si="865"/>
        <v>PIX</v>
      </c>
      <c r="D4677" t="str">
        <f>"34852"</f>
        <v>34852</v>
      </c>
      <c r="E4677" t="str">
        <f t="shared" si="866"/>
        <v>1</v>
      </c>
      <c r="F4677" t="str">
        <f t="shared" si="868"/>
        <v>COM</v>
      </c>
      <c r="G4677" t="str">
        <f>"ALAN ACOSTA (897)"</f>
        <v>ALAN ACOSTA (897)</v>
      </c>
      <c r="H4677" t="s">
        <v>1261</v>
      </c>
      <c r="I4677" t="str">
        <f t="shared" si="864"/>
        <v>26/03/2026</v>
      </c>
      <c r="J4677" t="str">
        <f t="shared" si="867"/>
        <v>16/03/2026</v>
      </c>
      <c r="K4677">
        <v>46107</v>
      </c>
      <c r="N4677">
        <v>109</v>
      </c>
      <c r="O4677" t="s">
        <v>27</v>
      </c>
      <c r="Q4677">
        <v>251.6</v>
      </c>
      <c r="R4677" t="str">
        <f>"AC FARMA -  FLEMINFARMA (10159)"</f>
        <v>AC FARMA -  FLEMINFARMA (10159)</v>
      </c>
      <c r="S4677" t="s">
        <v>37</v>
      </c>
      <c r="T4677">
        <v>31969</v>
      </c>
      <c r="U4677">
        <v>34852</v>
      </c>
      <c r="V4677" t="s">
        <v>37</v>
      </c>
    </row>
    <row r="4678" spans="1:22">
      <c r="A4678" t="str">
        <f t="shared" si="857"/>
        <v>26/03/2026</v>
      </c>
      <c r="B4678" t="str">
        <f t="shared" si="863"/>
        <v>SAÍDA</v>
      </c>
      <c r="C4678" t="str">
        <f t="shared" si="865"/>
        <v>PIX</v>
      </c>
      <c r="D4678" t="str">
        <f>"34853"</f>
        <v>34853</v>
      </c>
      <c r="E4678" t="str">
        <f t="shared" si="866"/>
        <v>1</v>
      </c>
      <c r="F4678" t="str">
        <f t="shared" si="868"/>
        <v>COM</v>
      </c>
      <c r="G4678" t="str">
        <f>"FERNANDO MARTINS DA SILVA (701)"</f>
        <v>FERNANDO MARTINS DA SILVA (701)</v>
      </c>
      <c r="H4678" t="str">
        <f>"Serv.Prest. 09/03/2026 a 15/03/2026 - PIX: CPF - CHAVE: 004.682.359-06"</f>
        <v>Serv.Prest. 09/03/2026 a 15/03/2026 - PIX: CPF - CHAVE: 004.682.359-06</v>
      </c>
      <c r="I4678" t="str">
        <f t="shared" si="864"/>
        <v>26/03/2026</v>
      </c>
      <c r="J4678" t="str">
        <f t="shared" si="867"/>
        <v>16/03/2026</v>
      </c>
      <c r="K4678" t="str">
        <f>("26/03/2026")</f>
        <v>26/03/2026</v>
      </c>
      <c r="L4678">
        <v>625.6</v>
      </c>
      <c r="M4678">
        <v>625.6</v>
      </c>
      <c r="N4678">
        <v>109</v>
      </c>
      <c r="O4678" t="str">
        <f>"PAGAMENTO DE ENTREGADORES"</f>
        <v>PAGAMENTO DE ENTREGADORES</v>
      </c>
      <c r="P4678">
        <v>625.6</v>
      </c>
      <c r="S4678" t="str">
        <f>"BANCO C6 (149)"</f>
        <v>BANCO C6 (149)</v>
      </c>
      <c r="T4678">
        <v>31970</v>
      </c>
      <c r="U4678">
        <v>34853</v>
      </c>
      <c r="V4678" t="s">
        <v>37</v>
      </c>
    </row>
    <row r="4679" spans="1:22">
      <c r="A4679" t="str">
        <f t="shared" si="857"/>
        <v>26/03/2026</v>
      </c>
      <c r="B4679" t="str">
        <f t="shared" si="863"/>
        <v>SAÍDA</v>
      </c>
      <c r="C4679" t="str">
        <f t="shared" si="865"/>
        <v>PIX</v>
      </c>
      <c r="D4679" t="str">
        <f>"34853"</f>
        <v>34853</v>
      </c>
      <c r="E4679" t="str">
        <f t="shared" si="866"/>
        <v>1</v>
      </c>
      <c r="F4679" t="str">
        <f t="shared" si="868"/>
        <v>COM</v>
      </c>
      <c r="G4679" t="str">
        <f>"FERNANDO MARTINS DA SILVA (701)"</f>
        <v>FERNANDO MARTINS DA SILVA (701)</v>
      </c>
      <c r="H4679" t="s">
        <v>1262</v>
      </c>
      <c r="I4679" t="str">
        <f t="shared" si="864"/>
        <v>26/03/2026</v>
      </c>
      <c r="J4679" t="str">
        <f t="shared" si="867"/>
        <v>16/03/2026</v>
      </c>
      <c r="K4679">
        <v>46107</v>
      </c>
      <c r="N4679">
        <v>109</v>
      </c>
      <c r="O4679" t="s">
        <v>27</v>
      </c>
      <c r="Q4679">
        <v>625.6</v>
      </c>
      <c r="R4679" t="str">
        <f>"AC FARMA -  FLEMINFARMA (10159)"</f>
        <v>AC FARMA -  FLEMINFARMA (10159)</v>
      </c>
      <c r="S4679" t="s">
        <v>37</v>
      </c>
      <c r="T4679">
        <v>31970</v>
      </c>
      <c r="U4679">
        <v>34853</v>
      </c>
      <c r="V4679" t="s">
        <v>37</v>
      </c>
    </row>
    <row r="4680" spans="1:22">
      <c r="A4680" t="str">
        <f t="shared" si="857"/>
        <v>26/03/2026</v>
      </c>
      <c r="B4680" t="str">
        <f t="shared" si="863"/>
        <v>SAÍDA</v>
      </c>
      <c r="C4680" t="str">
        <f t="shared" si="865"/>
        <v>PIX</v>
      </c>
      <c r="D4680" t="str">
        <f>"34854"</f>
        <v>34854</v>
      </c>
      <c r="E4680" t="str">
        <f t="shared" si="866"/>
        <v>1</v>
      </c>
      <c r="F4680" t="str">
        <f t="shared" si="868"/>
        <v>COM</v>
      </c>
      <c r="G4680" t="str">
        <f>"GERALDO SEVERINO DE SANTANA (729)"</f>
        <v>GERALDO SEVERINO DE SANTANA (729)</v>
      </c>
      <c r="H4680" t="str">
        <f>"Serv.Prest. 09/03/2026 a 15/03/2026 - PIX: CELULAR - CHAVE: (43) 99934-1696"</f>
        <v>Serv.Prest. 09/03/2026 a 15/03/2026 - PIX: CELULAR - CHAVE: (43) 99934-1696</v>
      </c>
      <c r="I4680" t="str">
        <f t="shared" si="864"/>
        <v>26/03/2026</v>
      </c>
      <c r="J4680" t="str">
        <f t="shared" si="867"/>
        <v>16/03/2026</v>
      </c>
      <c r="K4680" t="str">
        <f>("26/03/2026")</f>
        <v>26/03/2026</v>
      </c>
      <c r="L4680">
        <v>292.39999999999998</v>
      </c>
      <c r="M4680">
        <v>292.39999999999998</v>
      </c>
      <c r="N4680">
        <v>109</v>
      </c>
      <c r="O4680" t="str">
        <f>"PAGAMENTO DE ENTREGADORES"</f>
        <v>PAGAMENTO DE ENTREGADORES</v>
      </c>
      <c r="P4680">
        <v>292.39999999999998</v>
      </c>
      <c r="S4680" t="str">
        <f>"BANCO C6 (149)"</f>
        <v>BANCO C6 (149)</v>
      </c>
      <c r="T4680">
        <v>31971</v>
      </c>
      <c r="U4680">
        <v>34854</v>
      </c>
      <c r="V4680" t="s">
        <v>37</v>
      </c>
    </row>
    <row r="4681" spans="1:22">
      <c r="A4681" t="str">
        <f t="shared" si="857"/>
        <v>26/03/2026</v>
      </c>
      <c r="B4681" t="str">
        <f t="shared" si="863"/>
        <v>SAÍDA</v>
      </c>
      <c r="C4681" t="str">
        <f t="shared" si="865"/>
        <v>PIX</v>
      </c>
      <c r="D4681" t="str">
        <f>"34854"</f>
        <v>34854</v>
      </c>
      <c r="E4681" t="str">
        <f t="shared" si="866"/>
        <v>1</v>
      </c>
      <c r="F4681" t="str">
        <f t="shared" si="868"/>
        <v>COM</v>
      </c>
      <c r="G4681" t="str">
        <f>"GERALDO SEVERINO DE SANTANA (729)"</f>
        <v>GERALDO SEVERINO DE SANTANA (729)</v>
      </c>
      <c r="H4681" t="s">
        <v>1263</v>
      </c>
      <c r="I4681" t="str">
        <f t="shared" si="864"/>
        <v>26/03/2026</v>
      </c>
      <c r="J4681" t="str">
        <f t="shared" si="867"/>
        <v>16/03/2026</v>
      </c>
      <c r="K4681">
        <v>46107</v>
      </c>
      <c r="N4681">
        <v>109</v>
      </c>
      <c r="O4681" t="s">
        <v>27</v>
      </c>
      <c r="Q4681">
        <v>292.39999999999998</v>
      </c>
      <c r="R4681" t="str">
        <f>"AC FARMA -  FLEMINFARMA (10159)"</f>
        <v>AC FARMA -  FLEMINFARMA (10159)</v>
      </c>
      <c r="S4681" t="s">
        <v>37</v>
      </c>
      <c r="T4681">
        <v>31971</v>
      </c>
      <c r="U4681">
        <v>34854</v>
      </c>
      <c r="V4681" t="s">
        <v>37</v>
      </c>
    </row>
    <row r="4682" spans="1:22">
      <c r="A4682" t="str">
        <f t="shared" si="857"/>
        <v>26/03/2026</v>
      </c>
      <c r="B4682" t="str">
        <f t="shared" si="863"/>
        <v>SAÍDA</v>
      </c>
      <c r="C4682" t="str">
        <f t="shared" si="865"/>
        <v>PIX</v>
      </c>
      <c r="D4682" t="str">
        <f>"34855"</f>
        <v>34855</v>
      </c>
      <c r="E4682" t="str">
        <f t="shared" si="866"/>
        <v>1</v>
      </c>
      <c r="F4682" t="str">
        <f t="shared" si="868"/>
        <v>COM</v>
      </c>
      <c r="G4682" t="str">
        <f>"HELITON DE OLIVEIRA RAMOS BARBOSA (724)"</f>
        <v>HELITON DE OLIVEIRA RAMOS BARBOSA (724)</v>
      </c>
      <c r="H4682" t="str">
        <f>"Serv.Prest. 09/03/2026 a 15/03/2026 - PIX: CPF - CHAVE: 074.604.219-10"</f>
        <v>Serv.Prest. 09/03/2026 a 15/03/2026 - PIX: CPF - CHAVE: 074.604.219-10</v>
      </c>
      <c r="I4682" t="str">
        <f t="shared" si="864"/>
        <v>26/03/2026</v>
      </c>
      <c r="J4682" t="str">
        <f t="shared" si="867"/>
        <v>16/03/2026</v>
      </c>
      <c r="K4682" t="str">
        <f>("26/03/2026")</f>
        <v>26/03/2026</v>
      </c>
      <c r="L4682">
        <v>442</v>
      </c>
      <c r="M4682">
        <v>442</v>
      </c>
      <c r="N4682">
        <v>109</v>
      </c>
      <c r="O4682" t="str">
        <f>"PAGAMENTO DE ENTREGADORES"</f>
        <v>PAGAMENTO DE ENTREGADORES</v>
      </c>
      <c r="P4682">
        <v>442</v>
      </c>
      <c r="S4682" t="str">
        <f>"BANCO C6 (149)"</f>
        <v>BANCO C6 (149)</v>
      </c>
      <c r="T4682">
        <v>31972</v>
      </c>
      <c r="U4682">
        <v>34855</v>
      </c>
      <c r="V4682" t="s">
        <v>37</v>
      </c>
    </row>
    <row r="4683" spans="1:22">
      <c r="A4683" t="str">
        <f t="shared" si="857"/>
        <v>26/03/2026</v>
      </c>
      <c r="B4683" t="str">
        <f t="shared" si="863"/>
        <v>SAÍDA</v>
      </c>
      <c r="C4683" t="str">
        <f t="shared" si="865"/>
        <v>PIX</v>
      </c>
      <c r="D4683" t="str">
        <f>"34855"</f>
        <v>34855</v>
      </c>
      <c r="E4683" t="str">
        <f t="shared" si="866"/>
        <v>1</v>
      </c>
      <c r="F4683" t="str">
        <f t="shared" si="868"/>
        <v>COM</v>
      </c>
      <c r="G4683" t="str">
        <f>"HELITON DE OLIVEIRA RAMOS BARBOSA (724)"</f>
        <v>HELITON DE OLIVEIRA RAMOS BARBOSA (724)</v>
      </c>
      <c r="H4683" t="s">
        <v>1264</v>
      </c>
      <c r="I4683" t="str">
        <f t="shared" si="864"/>
        <v>26/03/2026</v>
      </c>
      <c r="J4683" t="str">
        <f t="shared" si="867"/>
        <v>16/03/2026</v>
      </c>
      <c r="K4683">
        <v>46107</v>
      </c>
      <c r="N4683">
        <v>109</v>
      </c>
      <c r="O4683" t="s">
        <v>27</v>
      </c>
      <c r="Q4683">
        <v>442</v>
      </c>
      <c r="R4683" t="str">
        <f>"AC FARMA -  FLEMINFARMA (10159)"</f>
        <v>AC FARMA -  FLEMINFARMA (10159)</v>
      </c>
      <c r="S4683" t="s">
        <v>37</v>
      </c>
      <c r="T4683">
        <v>31972</v>
      </c>
      <c r="U4683">
        <v>34855</v>
      </c>
      <c r="V4683" t="s">
        <v>37</v>
      </c>
    </row>
    <row r="4684" spans="1:22">
      <c r="A4684" t="str">
        <f t="shared" si="857"/>
        <v>26/03/2026</v>
      </c>
      <c r="B4684" t="str">
        <f t="shared" si="863"/>
        <v>SAÍDA</v>
      </c>
      <c r="C4684" t="str">
        <f t="shared" si="865"/>
        <v>PIX</v>
      </c>
      <c r="D4684" t="str">
        <f>"34856"</f>
        <v>34856</v>
      </c>
      <c r="E4684" t="str">
        <f t="shared" si="866"/>
        <v>1</v>
      </c>
      <c r="F4684" t="str">
        <f t="shared" si="868"/>
        <v>COM</v>
      </c>
      <c r="G4684" t="str">
        <f>"KAINAN FABRÍCIO DOS SANTOS (1258)"</f>
        <v>KAINAN FABRÍCIO DOS SANTOS (1258)</v>
      </c>
      <c r="H4684" t="str">
        <f>"Serv.Prest. 09/03/2026 a 15/03/2026 - PIX: CELULAR - CHAVE: (43) 99830-8026"</f>
        <v>Serv.Prest. 09/03/2026 a 15/03/2026 - PIX: CELULAR - CHAVE: (43) 99830-8026</v>
      </c>
      <c r="I4684" t="str">
        <f t="shared" si="864"/>
        <v>26/03/2026</v>
      </c>
      <c r="J4684" t="str">
        <f t="shared" si="867"/>
        <v>16/03/2026</v>
      </c>
      <c r="K4684" t="str">
        <f>("26/03/2026")</f>
        <v>26/03/2026</v>
      </c>
      <c r="L4684">
        <v>95.2</v>
      </c>
      <c r="M4684">
        <v>95.2</v>
      </c>
      <c r="N4684">
        <v>109</v>
      </c>
      <c r="O4684" t="str">
        <f>"PAGAMENTO DE ENTREGADORES"</f>
        <v>PAGAMENTO DE ENTREGADORES</v>
      </c>
      <c r="P4684">
        <v>95.2</v>
      </c>
      <c r="S4684" t="str">
        <f>"BANCO C6 (149)"</f>
        <v>BANCO C6 (149)</v>
      </c>
      <c r="T4684">
        <v>31973</v>
      </c>
      <c r="U4684">
        <v>34856</v>
      </c>
      <c r="V4684" t="s">
        <v>37</v>
      </c>
    </row>
    <row r="4685" spans="1:22">
      <c r="A4685" t="str">
        <f t="shared" si="857"/>
        <v>26/03/2026</v>
      </c>
      <c r="B4685" t="str">
        <f t="shared" si="863"/>
        <v>SAÍDA</v>
      </c>
      <c r="C4685" t="str">
        <f t="shared" si="865"/>
        <v>PIX</v>
      </c>
      <c r="D4685" t="str">
        <f>"34856"</f>
        <v>34856</v>
      </c>
      <c r="E4685" t="str">
        <f t="shared" si="866"/>
        <v>1</v>
      </c>
      <c r="F4685" t="str">
        <f t="shared" si="868"/>
        <v>COM</v>
      </c>
      <c r="G4685" t="str">
        <f>"KAINAN FABRÍCIO DOS SANTOS (1258)"</f>
        <v>KAINAN FABRÍCIO DOS SANTOS (1258)</v>
      </c>
      <c r="H4685" t="s">
        <v>1265</v>
      </c>
      <c r="I4685" t="str">
        <f t="shared" si="864"/>
        <v>26/03/2026</v>
      </c>
      <c r="J4685" t="str">
        <f t="shared" si="867"/>
        <v>16/03/2026</v>
      </c>
      <c r="K4685">
        <v>46107</v>
      </c>
      <c r="N4685">
        <v>109</v>
      </c>
      <c r="O4685" t="s">
        <v>27</v>
      </c>
      <c r="Q4685">
        <v>95.2</v>
      </c>
      <c r="R4685" t="str">
        <f>"AC FARMA -  FLEMINFARMA (10159)"</f>
        <v>AC FARMA -  FLEMINFARMA (10159)</v>
      </c>
      <c r="S4685" t="s">
        <v>37</v>
      </c>
      <c r="T4685">
        <v>31973</v>
      </c>
      <c r="U4685">
        <v>34856</v>
      </c>
      <c r="V4685" t="s">
        <v>37</v>
      </c>
    </row>
    <row r="4686" spans="1:22">
      <c r="A4686" t="str">
        <f t="shared" si="857"/>
        <v>26/03/2026</v>
      </c>
      <c r="B4686" t="str">
        <f t="shared" si="863"/>
        <v>SAÍDA</v>
      </c>
      <c r="C4686" t="str">
        <f t="shared" si="865"/>
        <v>PIX</v>
      </c>
      <c r="D4686" t="str">
        <f>"35109"</f>
        <v>35109</v>
      </c>
      <c r="E4686" t="str">
        <f t="shared" si="866"/>
        <v>1</v>
      </c>
      <c r="F4686" t="str">
        <f t="shared" si="868"/>
        <v>COM</v>
      </c>
      <c r="G4686" t="str">
        <f>"PEDRO HENRIQUE MARQUES DA SILVA (1316)"</f>
        <v>PEDRO HENRIQUE MARQUES DA SILVA (1316)</v>
      </c>
      <c r="H4686" t="str">
        <f>"Serv.Prest. 09/03/2026 a 15/03/2026 - PIX: CNPJ - CHAVE: 64.557.825/0001-94"</f>
        <v>Serv.Prest. 09/03/2026 a 15/03/2026 - PIX: CNPJ - CHAVE: 64.557.825/0001-94</v>
      </c>
      <c r="I4686" t="str">
        <f t="shared" si="864"/>
        <v>26/03/2026</v>
      </c>
      <c r="J4686" t="str">
        <f t="shared" ref="J4686:J4749" si="869">("17/03/2026")</f>
        <v>17/03/2026</v>
      </c>
      <c r="K4686" t="str">
        <f>("26/03/2026")</f>
        <v>26/03/2026</v>
      </c>
      <c r="L4686">
        <v>1709.5</v>
      </c>
      <c r="M4686">
        <v>1709.5</v>
      </c>
      <c r="N4686">
        <v>109</v>
      </c>
      <c r="O4686" t="str">
        <f>"PAGAMENTO DE ENTREGADORES"</f>
        <v>PAGAMENTO DE ENTREGADORES</v>
      </c>
      <c r="P4686">
        <v>1709.5</v>
      </c>
      <c r="S4686" t="str">
        <f>"BANCO C6 (149)"</f>
        <v>BANCO C6 (149)</v>
      </c>
      <c r="T4686">
        <v>31974</v>
      </c>
      <c r="U4686">
        <v>35109</v>
      </c>
      <c r="V4686" t="s">
        <v>37</v>
      </c>
    </row>
    <row r="4687" spans="1:22">
      <c r="A4687" t="str">
        <f t="shared" si="857"/>
        <v>26/03/2026</v>
      </c>
      <c r="B4687" t="str">
        <f t="shared" si="863"/>
        <v>SAÍDA</v>
      </c>
      <c r="C4687" t="str">
        <f t="shared" si="865"/>
        <v>PIX</v>
      </c>
      <c r="D4687" t="str">
        <f>"35109"</f>
        <v>35109</v>
      </c>
      <c r="E4687" t="str">
        <f t="shared" si="866"/>
        <v>1</v>
      </c>
      <c r="F4687" t="str">
        <f t="shared" si="868"/>
        <v>COM</v>
      </c>
      <c r="G4687" t="str">
        <f>"PEDRO HENRIQUE MARQUES DA SILVA (1316)"</f>
        <v>PEDRO HENRIQUE MARQUES DA SILVA (1316)</v>
      </c>
      <c r="H4687" t="s">
        <v>1266</v>
      </c>
      <c r="I4687" t="str">
        <f t="shared" si="864"/>
        <v>26/03/2026</v>
      </c>
      <c r="J4687" t="str">
        <f t="shared" si="869"/>
        <v>17/03/2026</v>
      </c>
      <c r="K4687">
        <v>46107</v>
      </c>
      <c r="N4687">
        <v>109</v>
      </c>
      <c r="O4687" t="s">
        <v>27</v>
      </c>
      <c r="Q4687">
        <v>1709.5</v>
      </c>
      <c r="R4687" t="str">
        <f>"PAGUE MENOS 321 (10295)"</f>
        <v>PAGUE MENOS 321 (10295)</v>
      </c>
      <c r="S4687" t="s">
        <v>37</v>
      </c>
      <c r="T4687">
        <v>31974</v>
      </c>
      <c r="U4687">
        <v>35109</v>
      </c>
      <c r="V4687" t="s">
        <v>37</v>
      </c>
    </row>
    <row r="4688" spans="1:22">
      <c r="A4688" t="str">
        <f t="shared" si="857"/>
        <v>26/03/2026</v>
      </c>
      <c r="B4688" t="str">
        <f t="shared" si="863"/>
        <v>SAÍDA</v>
      </c>
      <c r="C4688" t="str">
        <f t="shared" si="865"/>
        <v>PIX</v>
      </c>
      <c r="D4688" t="str">
        <f>"35116"</f>
        <v>35116</v>
      </c>
      <c r="E4688" t="str">
        <f t="shared" si="866"/>
        <v>1</v>
      </c>
      <c r="F4688" t="str">
        <f t="shared" si="868"/>
        <v>COM</v>
      </c>
      <c r="G4688" t="str">
        <f>"ENTREGADOR 1 (1)"</f>
        <v>ENTREGADOR 1 (1)</v>
      </c>
      <c r="H4688" t="str">
        <f>"Serv.Prest. 09/03/2026 a 15/03/2026 - PIX: NÃO CADASTRADO - CHAVE: -"</f>
        <v>Serv.Prest. 09/03/2026 a 15/03/2026 - PIX: NÃO CADASTRADO - CHAVE: -</v>
      </c>
      <c r="I4688" t="str">
        <f t="shared" si="864"/>
        <v>26/03/2026</v>
      </c>
      <c r="J4688" t="str">
        <f t="shared" si="869"/>
        <v>17/03/2026</v>
      </c>
      <c r="K4688" t="str">
        <f>("26/03/2026")</f>
        <v>26/03/2026</v>
      </c>
      <c r="L4688">
        <v>695</v>
      </c>
      <c r="M4688">
        <v>695</v>
      </c>
      <c r="N4688">
        <v>109</v>
      </c>
      <c r="O4688" t="str">
        <f>"PAGAMENTO DE ENTREGADORES"</f>
        <v>PAGAMENTO DE ENTREGADORES</v>
      </c>
      <c r="P4688">
        <v>695</v>
      </c>
      <c r="S4688" t="str">
        <f>"BANCO C6 (149)"</f>
        <v>BANCO C6 (149)</v>
      </c>
      <c r="T4688">
        <v>31975</v>
      </c>
      <c r="U4688">
        <v>35116</v>
      </c>
      <c r="V4688" t="s">
        <v>37</v>
      </c>
    </row>
    <row r="4689" spans="1:22">
      <c r="A4689" t="str">
        <f t="shared" si="857"/>
        <v>26/03/2026</v>
      </c>
      <c r="B4689" t="str">
        <f t="shared" si="863"/>
        <v>SAÍDA</v>
      </c>
      <c r="C4689" t="str">
        <f t="shared" si="865"/>
        <v>PIX</v>
      </c>
      <c r="D4689" t="str">
        <f>"35116"</f>
        <v>35116</v>
      </c>
      <c r="E4689" t="str">
        <f t="shared" si="866"/>
        <v>1</v>
      </c>
      <c r="F4689" t="str">
        <f t="shared" si="868"/>
        <v>COM</v>
      </c>
      <c r="G4689" t="str">
        <f>"ENTREGADOR 1 (1)"</f>
        <v>ENTREGADOR 1 (1)</v>
      </c>
      <c r="H4689" t="s">
        <v>1267</v>
      </c>
      <c r="I4689" t="str">
        <f t="shared" si="864"/>
        <v>26/03/2026</v>
      </c>
      <c r="J4689" t="str">
        <f t="shared" si="869"/>
        <v>17/03/2026</v>
      </c>
      <c r="K4689">
        <v>46107</v>
      </c>
      <c r="N4689">
        <v>109</v>
      </c>
      <c r="O4689" t="s">
        <v>27</v>
      </c>
      <c r="Q4689">
        <v>695</v>
      </c>
      <c r="R4689" t="str">
        <f>"PAGUE MENOS 751 (10304)"</f>
        <v>PAGUE MENOS 751 (10304)</v>
      </c>
      <c r="S4689" t="s">
        <v>37</v>
      </c>
      <c r="T4689">
        <v>31975</v>
      </c>
      <c r="U4689">
        <v>35116</v>
      </c>
      <c r="V4689" t="s">
        <v>37</v>
      </c>
    </row>
    <row r="4690" spans="1:22">
      <c r="A4690" t="str">
        <f t="shared" si="857"/>
        <v>26/03/2026</v>
      </c>
      <c r="B4690" t="str">
        <f t="shared" si="863"/>
        <v>SAÍDA</v>
      </c>
      <c r="C4690" t="str">
        <f t="shared" si="865"/>
        <v>PIX</v>
      </c>
      <c r="D4690" t="str">
        <f>"35125"</f>
        <v>35125</v>
      </c>
      <c r="E4690" t="str">
        <f t="shared" si="866"/>
        <v>1</v>
      </c>
      <c r="F4690" t="str">
        <f t="shared" si="868"/>
        <v>COM</v>
      </c>
      <c r="G4690" t="str">
        <f>"HIAGGO JULIO CONSTANTINO DE SOUZA (1219)"</f>
        <v>HIAGGO JULIO CONSTANTINO DE SOUZA (1219)</v>
      </c>
      <c r="H4690" t="str">
        <f>"Serv.Prest. 09/03/2026 a 15/03/2026 - PIX: CELULAR - CHAVE: (34) 99832-8427"</f>
        <v>Serv.Prest. 09/03/2026 a 15/03/2026 - PIX: CELULAR - CHAVE: (34) 99832-8427</v>
      </c>
      <c r="I4690" t="str">
        <f t="shared" si="864"/>
        <v>26/03/2026</v>
      </c>
      <c r="J4690" t="str">
        <f t="shared" si="869"/>
        <v>17/03/2026</v>
      </c>
      <c r="K4690" t="str">
        <f>("26/03/2026")</f>
        <v>26/03/2026</v>
      </c>
      <c r="L4690">
        <v>702</v>
      </c>
      <c r="M4690">
        <v>702</v>
      </c>
      <c r="N4690">
        <v>109</v>
      </c>
      <c r="O4690" t="str">
        <f>"PAGAMENTO DE ENTREGADORES"</f>
        <v>PAGAMENTO DE ENTREGADORES</v>
      </c>
      <c r="P4690">
        <v>702</v>
      </c>
      <c r="S4690" t="str">
        <f>"BANCO C6 (149)"</f>
        <v>BANCO C6 (149)</v>
      </c>
      <c r="T4690">
        <v>31976</v>
      </c>
      <c r="U4690">
        <v>35125</v>
      </c>
      <c r="V4690" t="s">
        <v>37</v>
      </c>
    </row>
    <row r="4691" spans="1:22">
      <c r="A4691" t="str">
        <f t="shared" si="857"/>
        <v>26/03/2026</v>
      </c>
      <c r="B4691" t="str">
        <f t="shared" si="863"/>
        <v>SAÍDA</v>
      </c>
      <c r="C4691" t="str">
        <f t="shared" si="865"/>
        <v>PIX</v>
      </c>
      <c r="D4691" t="str">
        <f>"35125"</f>
        <v>35125</v>
      </c>
      <c r="E4691" t="str">
        <f t="shared" si="866"/>
        <v>1</v>
      </c>
      <c r="F4691" t="str">
        <f t="shared" si="868"/>
        <v>COM</v>
      </c>
      <c r="G4691" t="str">
        <f>"HIAGGO JULIO CONSTANTINO DE SOUZA (1219)"</f>
        <v>HIAGGO JULIO CONSTANTINO DE SOUZA (1219)</v>
      </c>
      <c r="H4691" t="s">
        <v>1268</v>
      </c>
      <c r="I4691" t="str">
        <f t="shared" si="864"/>
        <v>26/03/2026</v>
      </c>
      <c r="J4691" t="str">
        <f t="shared" si="869"/>
        <v>17/03/2026</v>
      </c>
      <c r="K4691">
        <v>46107</v>
      </c>
      <c r="N4691">
        <v>109</v>
      </c>
      <c r="O4691" t="s">
        <v>27</v>
      </c>
      <c r="Q4691">
        <v>702</v>
      </c>
      <c r="R4691" t="str">
        <f>"PAGUE MENOS 426 (10292)"</f>
        <v>PAGUE MENOS 426 (10292)</v>
      </c>
      <c r="S4691" t="s">
        <v>37</v>
      </c>
      <c r="T4691">
        <v>31976</v>
      </c>
      <c r="U4691">
        <v>35125</v>
      </c>
      <c r="V4691" t="s">
        <v>37</v>
      </c>
    </row>
    <row r="4692" spans="1:22">
      <c r="A4692" t="str">
        <f t="shared" si="857"/>
        <v>26/03/2026</v>
      </c>
      <c r="B4692" t="str">
        <f t="shared" si="863"/>
        <v>SAÍDA</v>
      </c>
      <c r="C4692" t="str">
        <f t="shared" si="865"/>
        <v>PIX</v>
      </c>
      <c r="D4692" t="str">
        <f>"35126"</f>
        <v>35126</v>
      </c>
      <c r="E4692" t="str">
        <f t="shared" si="866"/>
        <v>1</v>
      </c>
      <c r="F4692" t="str">
        <f t="shared" si="868"/>
        <v>COM</v>
      </c>
      <c r="G4692" t="str">
        <f>"JAISON DE SOUZA KOHL (1244)"</f>
        <v>JAISON DE SOUZA KOHL (1244)</v>
      </c>
      <c r="H4692" t="str">
        <f>"Serv.Prest. 09/03/2026 a 15/03/2026 - PIX: CPF - CHAVE: 096.774.686-85"</f>
        <v>Serv.Prest. 09/03/2026 a 15/03/2026 - PIX: CPF - CHAVE: 096.774.686-85</v>
      </c>
      <c r="I4692" t="str">
        <f t="shared" si="864"/>
        <v>26/03/2026</v>
      </c>
      <c r="J4692" t="str">
        <f t="shared" si="869"/>
        <v>17/03/2026</v>
      </c>
      <c r="K4692" t="str">
        <f>("26/03/2026")</f>
        <v>26/03/2026</v>
      </c>
      <c r="L4692">
        <v>1092</v>
      </c>
      <c r="M4692">
        <v>1092</v>
      </c>
      <c r="N4692">
        <v>109</v>
      </c>
      <c r="O4692" t="str">
        <f>"PAGAMENTO DE ENTREGADORES"</f>
        <v>PAGAMENTO DE ENTREGADORES</v>
      </c>
      <c r="P4692">
        <v>1092</v>
      </c>
      <c r="S4692" t="str">
        <f>"BANCO C6 (149)"</f>
        <v>BANCO C6 (149)</v>
      </c>
      <c r="T4692">
        <v>31977</v>
      </c>
      <c r="U4692">
        <v>35126</v>
      </c>
      <c r="V4692" t="s">
        <v>37</v>
      </c>
    </row>
    <row r="4693" spans="1:22">
      <c r="A4693" t="str">
        <f t="shared" si="857"/>
        <v>26/03/2026</v>
      </c>
      <c r="B4693" t="str">
        <f t="shared" si="863"/>
        <v>SAÍDA</v>
      </c>
      <c r="C4693" t="str">
        <f t="shared" si="865"/>
        <v>PIX</v>
      </c>
      <c r="D4693" t="str">
        <f>"35126"</f>
        <v>35126</v>
      </c>
      <c r="E4693" t="str">
        <f t="shared" si="866"/>
        <v>1</v>
      </c>
      <c r="F4693" t="str">
        <f t="shared" si="868"/>
        <v>COM</v>
      </c>
      <c r="G4693" t="str">
        <f>"JAISON DE SOUZA KOHL (1244)"</f>
        <v>JAISON DE SOUZA KOHL (1244)</v>
      </c>
      <c r="H4693" t="s">
        <v>1269</v>
      </c>
      <c r="I4693" t="str">
        <f t="shared" si="864"/>
        <v>26/03/2026</v>
      </c>
      <c r="J4693" t="str">
        <f t="shared" si="869"/>
        <v>17/03/2026</v>
      </c>
      <c r="K4693">
        <v>46107</v>
      </c>
      <c r="N4693">
        <v>109</v>
      </c>
      <c r="O4693" t="s">
        <v>27</v>
      </c>
      <c r="Q4693">
        <v>1092</v>
      </c>
      <c r="R4693" t="str">
        <f>"PAGUE MENOS 426 (10292)"</f>
        <v>PAGUE MENOS 426 (10292)</v>
      </c>
      <c r="S4693" t="s">
        <v>37</v>
      </c>
      <c r="T4693">
        <v>31977</v>
      </c>
      <c r="U4693">
        <v>35126</v>
      </c>
      <c r="V4693" t="s">
        <v>37</v>
      </c>
    </row>
    <row r="4694" spans="1:22">
      <c r="A4694" t="str">
        <f t="shared" si="857"/>
        <v>26/03/2026</v>
      </c>
      <c r="B4694" t="str">
        <f t="shared" si="863"/>
        <v>SAÍDA</v>
      </c>
      <c r="C4694" t="str">
        <f t="shared" si="865"/>
        <v>PIX</v>
      </c>
      <c r="D4694" t="str">
        <f>"35127"</f>
        <v>35127</v>
      </c>
      <c r="E4694" t="str">
        <f t="shared" si="866"/>
        <v>1</v>
      </c>
      <c r="F4694" t="str">
        <f t="shared" si="868"/>
        <v>COM</v>
      </c>
      <c r="G4694" t="str">
        <f>"JHONATA SOUSA UCHOA (464)"</f>
        <v>JHONATA SOUSA UCHOA (464)</v>
      </c>
      <c r="H4694" t="str">
        <f>"Serv.Prest. 09/03/2026 a 15/03/2026 - PIX: CPF - CHAVE: 020.590.606-05"</f>
        <v>Serv.Prest. 09/03/2026 a 15/03/2026 - PIX: CPF - CHAVE: 020.590.606-05</v>
      </c>
      <c r="I4694" t="str">
        <f t="shared" si="864"/>
        <v>26/03/2026</v>
      </c>
      <c r="J4694" t="str">
        <f t="shared" si="869"/>
        <v>17/03/2026</v>
      </c>
      <c r="K4694" t="str">
        <f>("26/03/2026")</f>
        <v>26/03/2026</v>
      </c>
      <c r="L4694">
        <v>60</v>
      </c>
      <c r="M4694">
        <v>60</v>
      </c>
      <c r="N4694">
        <v>109</v>
      </c>
      <c r="O4694" t="str">
        <f>"PAGAMENTO DE ENTREGADORES"</f>
        <v>PAGAMENTO DE ENTREGADORES</v>
      </c>
      <c r="P4694">
        <v>60</v>
      </c>
      <c r="S4694" t="str">
        <f>"BANCO C6 (149)"</f>
        <v>BANCO C6 (149)</v>
      </c>
      <c r="T4694">
        <v>31978</v>
      </c>
      <c r="U4694">
        <v>35127</v>
      </c>
      <c r="V4694" t="s">
        <v>37</v>
      </c>
    </row>
    <row r="4695" spans="1:22">
      <c r="A4695" t="str">
        <f t="shared" si="857"/>
        <v>26/03/2026</v>
      </c>
      <c r="B4695" t="str">
        <f t="shared" si="863"/>
        <v>SAÍDA</v>
      </c>
      <c r="C4695" t="str">
        <f t="shared" si="865"/>
        <v>PIX</v>
      </c>
      <c r="D4695" t="str">
        <f>"35127"</f>
        <v>35127</v>
      </c>
      <c r="E4695" t="str">
        <f t="shared" si="866"/>
        <v>1</v>
      </c>
      <c r="F4695" t="str">
        <f t="shared" si="868"/>
        <v>COM</v>
      </c>
      <c r="G4695" t="str">
        <f>"JHONATA SOUSA UCHOA (464)"</f>
        <v>JHONATA SOUSA UCHOA (464)</v>
      </c>
      <c r="H4695" t="s">
        <v>1077</v>
      </c>
      <c r="I4695" t="str">
        <f t="shared" si="864"/>
        <v>26/03/2026</v>
      </c>
      <c r="J4695" t="str">
        <f t="shared" si="869"/>
        <v>17/03/2026</v>
      </c>
      <c r="K4695">
        <v>46107</v>
      </c>
      <c r="N4695">
        <v>109</v>
      </c>
      <c r="O4695" t="s">
        <v>27</v>
      </c>
      <c r="Q4695">
        <v>60</v>
      </c>
      <c r="R4695" t="str">
        <f>"PAGUE MENOS 356 (10291)"</f>
        <v>PAGUE MENOS 356 (10291)</v>
      </c>
      <c r="S4695" t="s">
        <v>37</v>
      </c>
      <c r="T4695">
        <v>31978</v>
      </c>
      <c r="U4695">
        <v>35127</v>
      </c>
      <c r="V4695" t="s">
        <v>37</v>
      </c>
    </row>
    <row r="4696" spans="1:22">
      <c r="A4696" t="str">
        <f t="shared" ref="A4696:A4759" si="870">("26/03/2026")</f>
        <v>26/03/2026</v>
      </c>
      <c r="B4696" t="str">
        <f t="shared" si="863"/>
        <v>SAÍDA</v>
      </c>
      <c r="C4696" t="str">
        <f t="shared" si="865"/>
        <v>PIX</v>
      </c>
      <c r="D4696" t="str">
        <f>"35130"</f>
        <v>35130</v>
      </c>
      <c r="E4696" t="str">
        <f t="shared" si="866"/>
        <v>1</v>
      </c>
      <c r="F4696" t="str">
        <f t="shared" si="868"/>
        <v>COM</v>
      </c>
      <c r="G4696" t="str">
        <f>"LUIZ PAULO DE OLIVEIRA (712)"</f>
        <v>LUIZ PAULO DE OLIVEIRA (712)</v>
      </c>
      <c r="H4696" t="str">
        <f>"Serv.Prest. 09/03/2026 a 15/03/2026 - PIX: E-MAIL - CHAVE: karinasilvaaparecida1286@gmail.com"</f>
        <v>Serv.Prest. 09/03/2026 a 15/03/2026 - PIX: E-MAIL - CHAVE: karinasilvaaparecida1286@gmail.com</v>
      </c>
      <c r="I4696" t="str">
        <f t="shared" si="864"/>
        <v>26/03/2026</v>
      </c>
      <c r="J4696" t="str">
        <f t="shared" si="869"/>
        <v>17/03/2026</v>
      </c>
      <c r="K4696" t="str">
        <f>("26/03/2026")</f>
        <v>26/03/2026</v>
      </c>
      <c r="L4696">
        <v>15</v>
      </c>
      <c r="M4696">
        <v>15</v>
      </c>
      <c r="N4696">
        <v>109</v>
      </c>
      <c r="O4696" t="str">
        <f>"PAGAMENTO DE ENTREGADORES"</f>
        <v>PAGAMENTO DE ENTREGADORES</v>
      </c>
      <c r="P4696">
        <v>15</v>
      </c>
      <c r="S4696" t="str">
        <f>"BANCO C6 (149)"</f>
        <v>BANCO C6 (149)</v>
      </c>
      <c r="T4696">
        <v>31979</v>
      </c>
      <c r="U4696">
        <v>35130</v>
      </c>
      <c r="V4696" t="s">
        <v>37</v>
      </c>
    </row>
    <row r="4697" spans="1:22">
      <c r="A4697" t="str">
        <f t="shared" si="870"/>
        <v>26/03/2026</v>
      </c>
      <c r="B4697" t="str">
        <f t="shared" si="863"/>
        <v>SAÍDA</v>
      </c>
      <c r="C4697" t="str">
        <f t="shared" si="865"/>
        <v>PIX</v>
      </c>
      <c r="D4697" t="str">
        <f>"35130"</f>
        <v>35130</v>
      </c>
      <c r="E4697" t="str">
        <f t="shared" si="866"/>
        <v>1</v>
      </c>
      <c r="F4697" t="str">
        <f t="shared" si="868"/>
        <v>COM</v>
      </c>
      <c r="G4697" t="str">
        <f>"LUIZ PAULO DE OLIVEIRA (712)"</f>
        <v>LUIZ PAULO DE OLIVEIRA (712)</v>
      </c>
      <c r="H4697" t="s">
        <v>1078</v>
      </c>
      <c r="I4697" t="str">
        <f t="shared" si="864"/>
        <v>26/03/2026</v>
      </c>
      <c r="J4697" t="str">
        <f t="shared" si="869"/>
        <v>17/03/2026</v>
      </c>
      <c r="K4697">
        <v>46107</v>
      </c>
      <c r="N4697">
        <v>109</v>
      </c>
      <c r="O4697" t="s">
        <v>27</v>
      </c>
      <c r="Q4697">
        <v>15</v>
      </c>
      <c r="R4697" t="str">
        <f>"PAGUE MENOS 356 (10291)"</f>
        <v>PAGUE MENOS 356 (10291)</v>
      </c>
      <c r="S4697" t="s">
        <v>37</v>
      </c>
      <c r="T4697">
        <v>31979</v>
      </c>
      <c r="U4697">
        <v>35130</v>
      </c>
      <c r="V4697" t="s">
        <v>37</v>
      </c>
    </row>
    <row r="4698" spans="1:22">
      <c r="A4698" t="str">
        <f t="shared" si="870"/>
        <v>26/03/2026</v>
      </c>
      <c r="B4698" t="str">
        <f t="shared" si="863"/>
        <v>SAÍDA</v>
      </c>
      <c r="C4698" t="str">
        <f t="shared" si="865"/>
        <v>PIX</v>
      </c>
      <c r="D4698" t="str">
        <f>"35131"</f>
        <v>35131</v>
      </c>
      <c r="E4698" t="str">
        <f t="shared" si="866"/>
        <v>1</v>
      </c>
      <c r="F4698" t="str">
        <f t="shared" si="868"/>
        <v>COM</v>
      </c>
      <c r="G4698" t="str">
        <f>"MAICON VIANA ROCHA (1243)"</f>
        <v>MAICON VIANA ROCHA (1243)</v>
      </c>
      <c r="H4698" t="str">
        <f>"Serv.Prest. 09/03/2026 a 15/03/2026 - PIX: CNPJ - CHAVE: 24.309.889/0001-51"</f>
        <v>Serv.Prest. 09/03/2026 a 15/03/2026 - PIX: CNPJ - CHAVE: 24.309.889/0001-51</v>
      </c>
      <c r="I4698" t="str">
        <f t="shared" si="864"/>
        <v>26/03/2026</v>
      </c>
      <c r="J4698" t="str">
        <f t="shared" si="869"/>
        <v>17/03/2026</v>
      </c>
      <c r="K4698" t="str">
        <f>("26/03/2026")</f>
        <v>26/03/2026</v>
      </c>
      <c r="L4698">
        <v>500.5</v>
      </c>
      <c r="M4698">
        <v>500.5</v>
      </c>
      <c r="N4698">
        <v>109</v>
      </c>
      <c r="O4698" t="str">
        <f>"PAGAMENTO DE ENTREGADORES"</f>
        <v>PAGAMENTO DE ENTREGADORES</v>
      </c>
      <c r="P4698">
        <v>500.5</v>
      </c>
      <c r="S4698" t="str">
        <f>"BANCO C6 (149)"</f>
        <v>BANCO C6 (149)</v>
      </c>
      <c r="T4698">
        <v>31980</v>
      </c>
      <c r="U4698">
        <v>35131</v>
      </c>
      <c r="V4698" t="s">
        <v>37</v>
      </c>
    </row>
    <row r="4699" spans="1:22">
      <c r="A4699" t="str">
        <f t="shared" si="870"/>
        <v>26/03/2026</v>
      </c>
      <c r="B4699" t="str">
        <f t="shared" si="863"/>
        <v>SAÍDA</v>
      </c>
      <c r="C4699" t="str">
        <f t="shared" si="865"/>
        <v>PIX</v>
      </c>
      <c r="D4699" t="str">
        <f>"35131"</f>
        <v>35131</v>
      </c>
      <c r="E4699" t="str">
        <f t="shared" si="866"/>
        <v>1</v>
      </c>
      <c r="F4699" t="str">
        <f t="shared" si="868"/>
        <v>COM</v>
      </c>
      <c r="G4699" t="str">
        <f>"MAICON VIANA ROCHA (1243)"</f>
        <v>MAICON VIANA ROCHA (1243)</v>
      </c>
      <c r="H4699" t="s">
        <v>1270</v>
      </c>
      <c r="I4699" t="str">
        <f t="shared" si="864"/>
        <v>26/03/2026</v>
      </c>
      <c r="J4699" t="str">
        <f t="shared" si="869"/>
        <v>17/03/2026</v>
      </c>
      <c r="K4699">
        <v>46107</v>
      </c>
      <c r="N4699">
        <v>109</v>
      </c>
      <c r="O4699" t="s">
        <v>27</v>
      </c>
      <c r="Q4699">
        <v>500.5</v>
      </c>
      <c r="R4699" t="str">
        <f>"PAGUE MENOS 426 (10292)"</f>
        <v>PAGUE MENOS 426 (10292)</v>
      </c>
      <c r="S4699" t="s">
        <v>37</v>
      </c>
      <c r="T4699">
        <v>31980</v>
      </c>
      <c r="U4699">
        <v>35131</v>
      </c>
      <c r="V4699" t="s">
        <v>37</v>
      </c>
    </row>
    <row r="4700" spans="1:22">
      <c r="A4700" t="str">
        <f t="shared" si="870"/>
        <v>26/03/2026</v>
      </c>
      <c r="B4700" t="str">
        <f t="shared" si="863"/>
        <v>SAÍDA</v>
      </c>
      <c r="C4700" t="str">
        <f t="shared" si="865"/>
        <v>PIX</v>
      </c>
      <c r="D4700" t="str">
        <f>"35132"</f>
        <v>35132</v>
      </c>
      <c r="E4700" t="str">
        <f t="shared" si="866"/>
        <v>1</v>
      </c>
      <c r="F4700" t="str">
        <f t="shared" si="868"/>
        <v>COM</v>
      </c>
      <c r="G4700" t="str">
        <f>"RICHARD HENRIQUE DA SILVA (244)"</f>
        <v>RICHARD HENRIQUE DA SILVA (244)</v>
      </c>
      <c r="H4700" t="str">
        <f>"Serv.Prest. 09/03/2026 a 15/03/2026 - PIX: CELULAR - CHAVE: (37) 99197-6834"</f>
        <v>Serv.Prest. 09/03/2026 a 15/03/2026 - PIX: CELULAR - CHAVE: (37) 99197-6834</v>
      </c>
      <c r="I4700" t="str">
        <f t="shared" si="864"/>
        <v>26/03/2026</v>
      </c>
      <c r="J4700" t="str">
        <f t="shared" si="869"/>
        <v>17/03/2026</v>
      </c>
      <c r="K4700" t="str">
        <f>("26/03/2026")</f>
        <v>26/03/2026</v>
      </c>
      <c r="L4700">
        <v>650</v>
      </c>
      <c r="M4700">
        <v>650</v>
      </c>
      <c r="N4700">
        <v>109</v>
      </c>
      <c r="O4700" t="str">
        <f>"PAGAMENTO DE ENTREGADORES"</f>
        <v>PAGAMENTO DE ENTREGADORES</v>
      </c>
      <c r="P4700">
        <v>650</v>
      </c>
      <c r="S4700" t="str">
        <f>"BANCO C6 (149)"</f>
        <v>BANCO C6 (149)</v>
      </c>
      <c r="T4700">
        <v>31981</v>
      </c>
      <c r="U4700">
        <v>35132</v>
      </c>
      <c r="V4700" t="s">
        <v>37</v>
      </c>
    </row>
    <row r="4701" spans="1:22">
      <c r="A4701" t="str">
        <f t="shared" si="870"/>
        <v>26/03/2026</v>
      </c>
      <c r="B4701" t="str">
        <f t="shared" si="863"/>
        <v>SAÍDA</v>
      </c>
      <c r="C4701" t="str">
        <f t="shared" si="865"/>
        <v>PIX</v>
      </c>
      <c r="D4701" t="str">
        <f>"35132"</f>
        <v>35132</v>
      </c>
      <c r="E4701" t="str">
        <f t="shared" si="866"/>
        <v>1</v>
      </c>
      <c r="F4701" t="str">
        <f t="shared" si="868"/>
        <v>COM</v>
      </c>
      <c r="G4701" t="str">
        <f>"RICHARD HENRIQUE DA SILVA (244)"</f>
        <v>RICHARD HENRIQUE DA SILVA (244)</v>
      </c>
      <c r="H4701" t="s">
        <v>963</v>
      </c>
      <c r="I4701" t="str">
        <f t="shared" si="864"/>
        <v>26/03/2026</v>
      </c>
      <c r="J4701" t="str">
        <f t="shared" si="869"/>
        <v>17/03/2026</v>
      </c>
      <c r="K4701">
        <v>46107</v>
      </c>
      <c r="N4701">
        <v>109</v>
      </c>
      <c r="O4701" t="s">
        <v>27</v>
      </c>
      <c r="Q4701">
        <v>650</v>
      </c>
      <c r="R4701" t="str">
        <f>"PAGUE MENOS 356 (10291)"</f>
        <v>PAGUE MENOS 356 (10291)</v>
      </c>
      <c r="S4701" t="s">
        <v>37</v>
      </c>
      <c r="T4701">
        <v>31981</v>
      </c>
      <c r="U4701">
        <v>35132</v>
      </c>
      <c r="V4701" t="s">
        <v>37</v>
      </c>
    </row>
    <row r="4702" spans="1:22">
      <c r="A4702" t="str">
        <f t="shared" si="870"/>
        <v>26/03/2026</v>
      </c>
      <c r="B4702" t="str">
        <f t="shared" si="863"/>
        <v>SAÍDA</v>
      </c>
      <c r="C4702" t="str">
        <f t="shared" si="865"/>
        <v>PIX</v>
      </c>
      <c r="D4702" t="str">
        <f>"35146"</f>
        <v>35146</v>
      </c>
      <c r="E4702" t="str">
        <f t="shared" si="866"/>
        <v>1</v>
      </c>
      <c r="F4702" t="str">
        <f t="shared" si="868"/>
        <v>COM</v>
      </c>
      <c r="G4702" t="str">
        <f>"DANIELA SANTOS BIZERRA (1259)"</f>
        <v>DANIELA SANTOS BIZERRA (1259)</v>
      </c>
      <c r="H4702" t="str">
        <f>"Serv.Prest. 09/03/2026 a 15/03/2026 - PIX: CPF - CHAVE: 056.550.335-93"</f>
        <v>Serv.Prest. 09/03/2026 a 15/03/2026 - PIX: CPF - CHAVE: 056.550.335-93</v>
      </c>
      <c r="I4702" t="str">
        <f t="shared" si="864"/>
        <v>26/03/2026</v>
      </c>
      <c r="J4702" t="str">
        <f t="shared" si="869"/>
        <v>17/03/2026</v>
      </c>
      <c r="K4702" t="str">
        <f>("26/03/2026")</f>
        <v>26/03/2026</v>
      </c>
      <c r="L4702">
        <v>648</v>
      </c>
      <c r="M4702">
        <v>648</v>
      </c>
      <c r="N4702">
        <v>109</v>
      </c>
      <c r="O4702" t="str">
        <f>"PAGAMENTO DE ENTREGADORES"</f>
        <v>PAGAMENTO DE ENTREGADORES</v>
      </c>
      <c r="P4702">
        <v>648</v>
      </c>
      <c r="S4702" t="str">
        <f>"BANCO C6 (149)"</f>
        <v>BANCO C6 (149)</v>
      </c>
      <c r="T4702">
        <v>31982</v>
      </c>
      <c r="U4702">
        <v>35146</v>
      </c>
      <c r="V4702" t="s">
        <v>37</v>
      </c>
    </row>
    <row r="4703" spans="1:22">
      <c r="A4703" t="str">
        <f t="shared" si="870"/>
        <v>26/03/2026</v>
      </c>
      <c r="B4703" t="str">
        <f t="shared" si="863"/>
        <v>SAÍDA</v>
      </c>
      <c r="C4703" t="str">
        <f t="shared" si="865"/>
        <v>PIX</v>
      </c>
      <c r="D4703" t="str">
        <f>"35146"</f>
        <v>35146</v>
      </c>
      <c r="E4703" t="str">
        <f t="shared" si="866"/>
        <v>1</v>
      </c>
      <c r="F4703" t="str">
        <f t="shared" si="868"/>
        <v>COM</v>
      </c>
      <c r="G4703" t="str">
        <f>"DANIELA SANTOS BIZERRA (1259)"</f>
        <v>DANIELA SANTOS BIZERRA (1259)</v>
      </c>
      <c r="H4703" t="s">
        <v>1271</v>
      </c>
      <c r="I4703" t="str">
        <f t="shared" si="864"/>
        <v>26/03/2026</v>
      </c>
      <c r="J4703" t="str">
        <f t="shared" si="869"/>
        <v>17/03/2026</v>
      </c>
      <c r="K4703">
        <v>46107</v>
      </c>
      <c r="N4703">
        <v>109</v>
      </c>
      <c r="O4703" t="s">
        <v>27</v>
      </c>
      <c r="Q4703">
        <v>648</v>
      </c>
      <c r="R4703" t="str">
        <f>"FARMÁCIA INDIANA LJ 65 (10030)"</f>
        <v>FARMÁCIA INDIANA LJ 65 (10030)</v>
      </c>
      <c r="S4703" t="s">
        <v>37</v>
      </c>
      <c r="T4703">
        <v>31982</v>
      </c>
      <c r="U4703">
        <v>35146</v>
      </c>
      <c r="V4703" t="s">
        <v>37</v>
      </c>
    </row>
    <row r="4704" spans="1:22">
      <c r="A4704" t="str">
        <f t="shared" si="870"/>
        <v>26/03/2026</v>
      </c>
      <c r="B4704" t="str">
        <f t="shared" si="863"/>
        <v>SAÍDA</v>
      </c>
      <c r="C4704" t="str">
        <f t="shared" si="865"/>
        <v>PIX</v>
      </c>
      <c r="D4704" t="str">
        <f>"35147"</f>
        <v>35147</v>
      </c>
      <c r="E4704" t="str">
        <f t="shared" si="866"/>
        <v>1</v>
      </c>
      <c r="F4704" t="str">
        <f t="shared" si="868"/>
        <v>COM</v>
      </c>
      <c r="G4704" t="str">
        <f>"DIOCLECIO SANDES JOTA (135)"</f>
        <v>DIOCLECIO SANDES JOTA (135)</v>
      </c>
      <c r="H4704" t="str">
        <f>"Serv.Prest. 09/03/2026 a 15/03/2026 - PIX: CELULAR - CHAVE: (73) 99966-7211"</f>
        <v>Serv.Prest. 09/03/2026 a 15/03/2026 - PIX: CELULAR - CHAVE: (73) 99966-7211</v>
      </c>
      <c r="I4704" t="str">
        <f t="shared" si="864"/>
        <v>26/03/2026</v>
      </c>
      <c r="J4704" t="str">
        <f t="shared" si="869"/>
        <v>17/03/2026</v>
      </c>
      <c r="K4704" t="str">
        <f>("26/03/2026")</f>
        <v>26/03/2026</v>
      </c>
      <c r="L4704">
        <v>946</v>
      </c>
      <c r="M4704">
        <v>946</v>
      </c>
      <c r="N4704">
        <v>109</v>
      </c>
      <c r="O4704" t="str">
        <f>"PAGAMENTO DE ENTREGADORES"</f>
        <v>PAGAMENTO DE ENTREGADORES</v>
      </c>
      <c r="P4704">
        <v>946</v>
      </c>
      <c r="S4704" t="str">
        <f>"BANCO C6 (149)"</f>
        <v>BANCO C6 (149)</v>
      </c>
      <c r="T4704">
        <v>31983</v>
      </c>
      <c r="U4704">
        <v>35147</v>
      </c>
      <c r="V4704" t="s">
        <v>37</v>
      </c>
    </row>
    <row r="4705" spans="1:22">
      <c r="A4705" t="str">
        <f t="shared" si="870"/>
        <v>26/03/2026</v>
      </c>
      <c r="B4705" t="str">
        <f t="shared" si="863"/>
        <v>SAÍDA</v>
      </c>
      <c r="C4705" t="str">
        <f t="shared" si="865"/>
        <v>PIX</v>
      </c>
      <c r="D4705" t="str">
        <f>"35147"</f>
        <v>35147</v>
      </c>
      <c r="E4705" t="str">
        <f t="shared" si="866"/>
        <v>1</v>
      </c>
      <c r="F4705" t="str">
        <f t="shared" si="868"/>
        <v>COM</v>
      </c>
      <c r="G4705" t="str">
        <f>"DIOCLECIO SANDES JOTA (135)"</f>
        <v>DIOCLECIO SANDES JOTA (135)</v>
      </c>
      <c r="H4705" t="s">
        <v>880</v>
      </c>
      <c r="I4705" t="str">
        <f t="shared" si="864"/>
        <v>26/03/2026</v>
      </c>
      <c r="J4705" t="str">
        <f t="shared" si="869"/>
        <v>17/03/2026</v>
      </c>
      <c r="K4705">
        <v>46107</v>
      </c>
      <c r="N4705">
        <v>109</v>
      </c>
      <c r="O4705" t="s">
        <v>27</v>
      </c>
      <c r="Q4705">
        <v>946</v>
      </c>
      <c r="R4705" t="str">
        <f>"FARMÁCIA INDIANA LJ 91 (10037)"</f>
        <v>FARMÁCIA INDIANA LJ 91 (10037)</v>
      </c>
      <c r="S4705" t="s">
        <v>37</v>
      </c>
      <c r="T4705">
        <v>31983</v>
      </c>
      <c r="U4705">
        <v>35147</v>
      </c>
      <c r="V4705" t="s">
        <v>37</v>
      </c>
    </row>
    <row r="4706" spans="1:22">
      <c r="A4706" t="str">
        <f t="shared" si="870"/>
        <v>26/03/2026</v>
      </c>
      <c r="B4706" t="str">
        <f t="shared" si="863"/>
        <v>SAÍDA</v>
      </c>
      <c r="C4706" t="str">
        <f t="shared" si="865"/>
        <v>PIX</v>
      </c>
      <c r="D4706" t="str">
        <f>"35148"</f>
        <v>35148</v>
      </c>
      <c r="E4706" t="str">
        <f t="shared" si="866"/>
        <v>1</v>
      </c>
      <c r="F4706" t="str">
        <f t="shared" si="868"/>
        <v>COM</v>
      </c>
      <c r="G4706" t="str">
        <f>"EDNALDO ALMEIDA DE MELO NETO (1128)"</f>
        <v>EDNALDO ALMEIDA DE MELO NETO (1128)</v>
      </c>
      <c r="H4706" t="str">
        <f>"Serv.Prest. 09/03/2026 a 15/03/2026 - PIX: CELULAR - CHAVE: (73) 99192-1028"</f>
        <v>Serv.Prest. 09/03/2026 a 15/03/2026 - PIX: CELULAR - CHAVE: (73) 99192-1028</v>
      </c>
      <c r="I4706" t="str">
        <f t="shared" si="864"/>
        <v>26/03/2026</v>
      </c>
      <c r="J4706" t="str">
        <f t="shared" si="869"/>
        <v>17/03/2026</v>
      </c>
      <c r="K4706" t="str">
        <f>("26/03/2026")</f>
        <v>26/03/2026</v>
      </c>
      <c r="L4706">
        <v>402</v>
      </c>
      <c r="M4706">
        <v>402</v>
      </c>
      <c r="N4706">
        <v>109</v>
      </c>
      <c r="O4706" t="str">
        <f>"PAGAMENTO DE ENTREGADORES"</f>
        <v>PAGAMENTO DE ENTREGADORES</v>
      </c>
      <c r="P4706">
        <v>402</v>
      </c>
      <c r="S4706" t="str">
        <f>"BANCO C6 (149)"</f>
        <v>BANCO C6 (149)</v>
      </c>
      <c r="T4706">
        <v>31984</v>
      </c>
      <c r="U4706">
        <v>35148</v>
      </c>
      <c r="V4706" t="s">
        <v>37</v>
      </c>
    </row>
    <row r="4707" spans="1:22">
      <c r="A4707" t="str">
        <f t="shared" si="870"/>
        <v>26/03/2026</v>
      </c>
      <c r="B4707" t="str">
        <f t="shared" si="863"/>
        <v>SAÍDA</v>
      </c>
      <c r="C4707" t="str">
        <f t="shared" si="865"/>
        <v>PIX</v>
      </c>
      <c r="D4707" t="str">
        <f>"35148"</f>
        <v>35148</v>
      </c>
      <c r="E4707" t="str">
        <f t="shared" si="866"/>
        <v>1</v>
      </c>
      <c r="F4707" t="str">
        <f t="shared" si="868"/>
        <v>COM</v>
      </c>
      <c r="G4707" t="str">
        <f>"EDNALDO ALMEIDA DE MELO NETO (1128)"</f>
        <v>EDNALDO ALMEIDA DE MELO NETO (1128)</v>
      </c>
      <c r="H4707" t="s">
        <v>1272</v>
      </c>
      <c r="I4707" t="str">
        <f t="shared" si="864"/>
        <v>26/03/2026</v>
      </c>
      <c r="J4707" t="str">
        <f t="shared" si="869"/>
        <v>17/03/2026</v>
      </c>
      <c r="K4707">
        <v>46107</v>
      </c>
      <c r="N4707">
        <v>109</v>
      </c>
      <c r="O4707" t="s">
        <v>27</v>
      </c>
      <c r="Q4707">
        <v>402</v>
      </c>
      <c r="R4707" t="str">
        <f>"FARMÁCIA INDIANA LJ 33 (10187)"</f>
        <v>FARMÁCIA INDIANA LJ 33 (10187)</v>
      </c>
      <c r="S4707" t="s">
        <v>37</v>
      </c>
      <c r="T4707">
        <v>31984</v>
      </c>
      <c r="U4707">
        <v>35148</v>
      </c>
      <c r="V4707" t="s">
        <v>37</v>
      </c>
    </row>
    <row r="4708" spans="1:22">
      <c r="A4708" t="str">
        <f t="shared" si="870"/>
        <v>26/03/2026</v>
      </c>
      <c r="B4708" t="str">
        <f t="shared" si="863"/>
        <v>SAÍDA</v>
      </c>
      <c r="C4708" t="str">
        <f t="shared" si="865"/>
        <v>PIX</v>
      </c>
      <c r="D4708" t="str">
        <f>"35149"</f>
        <v>35149</v>
      </c>
      <c r="E4708" t="str">
        <f t="shared" si="866"/>
        <v>1</v>
      </c>
      <c r="F4708" t="str">
        <f t="shared" si="868"/>
        <v>COM</v>
      </c>
      <c r="G4708" t="str">
        <f>"EDNALDO ALMEIDA DE MELO NETO (1128)"</f>
        <v>EDNALDO ALMEIDA DE MELO NETO (1128)</v>
      </c>
      <c r="H4708" t="str">
        <f>"Serv.Prest. 09/03/2026 a 15/03/2026 - PIX: CELULAR - CHAVE: (73) 99192-1028"</f>
        <v>Serv.Prest. 09/03/2026 a 15/03/2026 - PIX: CELULAR - CHAVE: (73) 99192-1028</v>
      </c>
      <c r="I4708" t="str">
        <f t="shared" si="864"/>
        <v>26/03/2026</v>
      </c>
      <c r="J4708" t="str">
        <f t="shared" si="869"/>
        <v>17/03/2026</v>
      </c>
      <c r="K4708" t="str">
        <f>("26/03/2026")</f>
        <v>26/03/2026</v>
      </c>
      <c r="L4708">
        <v>402</v>
      </c>
      <c r="M4708">
        <v>402</v>
      </c>
      <c r="N4708">
        <v>109</v>
      </c>
      <c r="O4708" t="str">
        <f>"PAGAMENTO DE ENTREGADORES"</f>
        <v>PAGAMENTO DE ENTREGADORES</v>
      </c>
      <c r="P4708">
        <v>402</v>
      </c>
      <c r="S4708" t="str">
        <f>"BANCO C6 (149)"</f>
        <v>BANCO C6 (149)</v>
      </c>
      <c r="T4708">
        <v>31985</v>
      </c>
      <c r="U4708">
        <v>35149</v>
      </c>
      <c r="V4708" t="s">
        <v>37</v>
      </c>
    </row>
    <row r="4709" spans="1:22">
      <c r="A4709" t="str">
        <f t="shared" si="870"/>
        <v>26/03/2026</v>
      </c>
      <c r="B4709" t="str">
        <f t="shared" si="863"/>
        <v>SAÍDA</v>
      </c>
      <c r="C4709" t="str">
        <f t="shared" si="865"/>
        <v>PIX</v>
      </c>
      <c r="D4709" t="str">
        <f>"35149"</f>
        <v>35149</v>
      </c>
      <c r="E4709" t="str">
        <f t="shared" si="866"/>
        <v>1</v>
      </c>
      <c r="F4709" t="str">
        <f t="shared" si="868"/>
        <v>COM</v>
      </c>
      <c r="G4709" t="str">
        <f>"EDNALDO ALMEIDA DE MELO NETO (1128)"</f>
        <v>EDNALDO ALMEIDA DE MELO NETO (1128)</v>
      </c>
      <c r="H4709" t="s">
        <v>1272</v>
      </c>
      <c r="I4709" t="str">
        <f t="shared" si="864"/>
        <v>26/03/2026</v>
      </c>
      <c r="J4709" t="str">
        <f t="shared" si="869"/>
        <v>17/03/2026</v>
      </c>
      <c r="K4709">
        <v>46107</v>
      </c>
      <c r="N4709">
        <v>109</v>
      </c>
      <c r="O4709" t="s">
        <v>27</v>
      </c>
      <c r="Q4709">
        <v>402</v>
      </c>
      <c r="R4709" t="str">
        <f>"FARMÁCIA INDIANA LJ 158 (10275)"</f>
        <v>FARMÁCIA INDIANA LJ 158 (10275)</v>
      </c>
      <c r="S4709" t="s">
        <v>37</v>
      </c>
      <c r="T4709">
        <v>31985</v>
      </c>
      <c r="U4709">
        <v>35149</v>
      </c>
      <c r="V4709" t="s">
        <v>37</v>
      </c>
    </row>
    <row r="4710" spans="1:22">
      <c r="A4710" t="str">
        <f t="shared" si="870"/>
        <v>26/03/2026</v>
      </c>
      <c r="B4710" t="str">
        <f t="shared" si="863"/>
        <v>SAÍDA</v>
      </c>
      <c r="C4710" t="str">
        <f t="shared" si="865"/>
        <v>PIX</v>
      </c>
      <c r="D4710" t="str">
        <f>"35150"</f>
        <v>35150</v>
      </c>
      <c r="E4710" t="str">
        <f t="shared" si="866"/>
        <v>1</v>
      </c>
      <c r="F4710" t="str">
        <f t="shared" si="868"/>
        <v>COM</v>
      </c>
      <c r="G4710" t="str">
        <f>"ERIC DE RAMOS GOMES (606)"</f>
        <v>ERIC DE RAMOS GOMES (606)</v>
      </c>
      <c r="H4710" t="str">
        <f>"Serv.Prest. 09/03/2026 a 15/03/2026 - PIX: E-MAIL - CHAVE: ericgomes508@gmail.com"</f>
        <v>Serv.Prest. 09/03/2026 a 15/03/2026 - PIX: E-MAIL - CHAVE: ericgomes508@gmail.com</v>
      </c>
      <c r="I4710" t="str">
        <f t="shared" si="864"/>
        <v>26/03/2026</v>
      </c>
      <c r="J4710" t="str">
        <f t="shared" si="869"/>
        <v>17/03/2026</v>
      </c>
      <c r="K4710" t="str">
        <f>("26/03/2026")</f>
        <v>26/03/2026</v>
      </c>
      <c r="L4710">
        <v>930</v>
      </c>
      <c r="M4710">
        <v>930</v>
      </c>
      <c r="N4710">
        <v>109</v>
      </c>
      <c r="O4710" t="str">
        <f>"PAGAMENTO DE ENTREGADORES"</f>
        <v>PAGAMENTO DE ENTREGADORES</v>
      </c>
      <c r="P4710">
        <v>930</v>
      </c>
      <c r="S4710" t="str">
        <f>"BANCO C6 (149)"</f>
        <v>BANCO C6 (149)</v>
      </c>
      <c r="T4710">
        <v>31986</v>
      </c>
      <c r="U4710">
        <v>35150</v>
      </c>
      <c r="V4710" t="s">
        <v>37</v>
      </c>
    </row>
    <row r="4711" spans="1:22">
      <c r="A4711" t="str">
        <f t="shared" si="870"/>
        <v>26/03/2026</v>
      </c>
      <c r="B4711" t="str">
        <f t="shared" si="863"/>
        <v>SAÍDA</v>
      </c>
      <c r="C4711" t="str">
        <f t="shared" si="865"/>
        <v>PIX</v>
      </c>
      <c r="D4711" t="str">
        <f>"35150"</f>
        <v>35150</v>
      </c>
      <c r="E4711" t="str">
        <f t="shared" si="866"/>
        <v>1</v>
      </c>
      <c r="F4711" t="str">
        <f t="shared" si="868"/>
        <v>COM</v>
      </c>
      <c r="G4711" t="str">
        <f>"ERIC DE RAMOS GOMES (606)"</f>
        <v>ERIC DE RAMOS GOMES (606)</v>
      </c>
      <c r="H4711" t="s">
        <v>1273</v>
      </c>
      <c r="I4711" t="str">
        <f t="shared" si="864"/>
        <v>26/03/2026</v>
      </c>
      <c r="J4711" t="str">
        <f t="shared" si="869"/>
        <v>17/03/2026</v>
      </c>
      <c r="K4711">
        <v>46107</v>
      </c>
      <c r="N4711">
        <v>109</v>
      </c>
      <c r="O4711" t="s">
        <v>27</v>
      </c>
      <c r="Q4711">
        <v>930</v>
      </c>
      <c r="R4711" t="str">
        <f>"FARMÁCIA INDIANA LJ 91 (10037)"</f>
        <v>FARMÁCIA INDIANA LJ 91 (10037)</v>
      </c>
      <c r="S4711" t="s">
        <v>37</v>
      </c>
      <c r="T4711">
        <v>31986</v>
      </c>
      <c r="U4711">
        <v>35150</v>
      </c>
      <c r="V4711" t="s">
        <v>37</v>
      </c>
    </row>
    <row r="4712" spans="1:22">
      <c r="A4712" t="str">
        <f t="shared" si="870"/>
        <v>26/03/2026</v>
      </c>
      <c r="B4712" t="str">
        <f t="shared" si="863"/>
        <v>SAÍDA</v>
      </c>
      <c r="C4712" t="str">
        <f t="shared" si="865"/>
        <v>PIX</v>
      </c>
      <c r="D4712" t="str">
        <f>"35153"</f>
        <v>35153</v>
      </c>
      <c r="E4712" t="str">
        <f t="shared" si="866"/>
        <v>1</v>
      </c>
      <c r="F4712" t="str">
        <f t="shared" si="868"/>
        <v>COM</v>
      </c>
      <c r="G4712" t="str">
        <f>"GILBERTO PINHEIRO DA ROCHA (155)"</f>
        <v>GILBERTO PINHEIRO DA ROCHA (155)</v>
      </c>
      <c r="H4712" t="str">
        <f>"Serv.Prest. 09/03/2026 a 15/03/2026 - PIX: CELULAR - CHAVE: (73) 99941-8352"</f>
        <v>Serv.Prest. 09/03/2026 a 15/03/2026 - PIX: CELULAR - CHAVE: (73) 99941-8352</v>
      </c>
      <c r="I4712" t="str">
        <f t="shared" si="864"/>
        <v>26/03/2026</v>
      </c>
      <c r="J4712" t="str">
        <f t="shared" si="869"/>
        <v>17/03/2026</v>
      </c>
      <c r="K4712" t="str">
        <f>("26/03/2026")</f>
        <v>26/03/2026</v>
      </c>
      <c r="L4712">
        <v>1130.5</v>
      </c>
      <c r="M4712">
        <v>1130.5</v>
      </c>
      <c r="N4712">
        <v>109</v>
      </c>
      <c r="O4712" t="str">
        <f>"PAGAMENTO DE ENTREGADORES"</f>
        <v>PAGAMENTO DE ENTREGADORES</v>
      </c>
      <c r="P4712">
        <v>1130.5</v>
      </c>
      <c r="S4712" t="str">
        <f>"BANCO C6 (149)"</f>
        <v>BANCO C6 (149)</v>
      </c>
      <c r="T4712">
        <v>31987</v>
      </c>
      <c r="U4712">
        <v>35153</v>
      </c>
      <c r="V4712" t="s">
        <v>37</v>
      </c>
    </row>
    <row r="4713" spans="1:22">
      <c r="A4713" t="str">
        <f t="shared" si="870"/>
        <v>26/03/2026</v>
      </c>
      <c r="B4713" t="str">
        <f t="shared" si="863"/>
        <v>SAÍDA</v>
      </c>
      <c r="C4713" t="str">
        <f t="shared" si="865"/>
        <v>PIX</v>
      </c>
      <c r="D4713" t="str">
        <f>"35153"</f>
        <v>35153</v>
      </c>
      <c r="E4713" t="str">
        <f t="shared" si="866"/>
        <v>1</v>
      </c>
      <c r="F4713" t="str">
        <f t="shared" si="868"/>
        <v>COM</v>
      </c>
      <c r="G4713" t="str">
        <f>"GILBERTO PINHEIRO DA ROCHA (155)"</f>
        <v>GILBERTO PINHEIRO DA ROCHA (155)</v>
      </c>
      <c r="H4713" t="s">
        <v>1274</v>
      </c>
      <c r="I4713" t="str">
        <f t="shared" si="864"/>
        <v>26/03/2026</v>
      </c>
      <c r="J4713" t="str">
        <f t="shared" si="869"/>
        <v>17/03/2026</v>
      </c>
      <c r="K4713">
        <v>46107</v>
      </c>
      <c r="N4713">
        <v>109</v>
      </c>
      <c r="O4713" t="s">
        <v>27</v>
      </c>
      <c r="Q4713">
        <v>1130.5</v>
      </c>
      <c r="R4713" t="str">
        <f>"FARMÁCIA INDIANA LJ 34 (10014)"</f>
        <v>FARMÁCIA INDIANA LJ 34 (10014)</v>
      </c>
      <c r="S4713" t="s">
        <v>37</v>
      </c>
      <c r="T4713">
        <v>31987</v>
      </c>
      <c r="U4713">
        <v>35153</v>
      </c>
      <c r="V4713" t="s">
        <v>37</v>
      </c>
    </row>
    <row r="4714" spans="1:22">
      <c r="A4714" t="str">
        <f t="shared" si="870"/>
        <v>26/03/2026</v>
      </c>
      <c r="B4714" t="str">
        <f t="shared" si="863"/>
        <v>SAÍDA</v>
      </c>
      <c r="C4714" t="str">
        <f t="shared" si="865"/>
        <v>PIX</v>
      </c>
      <c r="D4714" t="str">
        <f>"35154"</f>
        <v>35154</v>
      </c>
      <c r="E4714" t="str">
        <f t="shared" si="866"/>
        <v>1</v>
      </c>
      <c r="F4714" t="str">
        <f t="shared" si="868"/>
        <v>COM</v>
      </c>
      <c r="G4714" t="str">
        <f>"GILSON OLIVEIRA CAMPINHO JUNIOR (132)"</f>
        <v>GILSON OLIVEIRA CAMPINHO JUNIOR (132)</v>
      </c>
      <c r="H4714" t="str">
        <f>"Serv.Prest. 09/03/2026 a 15/03/2026 - PIX: CELULAR - CHAVE: (73) 988381077"</f>
        <v>Serv.Prest. 09/03/2026 a 15/03/2026 - PIX: CELULAR - CHAVE: (73) 988381077</v>
      </c>
      <c r="I4714" t="str">
        <f t="shared" si="864"/>
        <v>26/03/2026</v>
      </c>
      <c r="J4714" t="str">
        <f t="shared" si="869"/>
        <v>17/03/2026</v>
      </c>
      <c r="K4714" t="str">
        <f>("26/03/2026")</f>
        <v>26/03/2026</v>
      </c>
      <c r="L4714">
        <v>57.12</v>
      </c>
      <c r="M4714">
        <v>57.12</v>
      </c>
      <c r="N4714">
        <v>109</v>
      </c>
      <c r="O4714" t="str">
        <f>"PAGAMENTO DE ENTREGADORES"</f>
        <v>PAGAMENTO DE ENTREGADORES</v>
      </c>
      <c r="P4714">
        <v>57.12</v>
      </c>
      <c r="S4714" t="str">
        <f>"BANCO C6 (149)"</f>
        <v>BANCO C6 (149)</v>
      </c>
      <c r="T4714">
        <v>31988</v>
      </c>
      <c r="U4714">
        <v>35154</v>
      </c>
      <c r="V4714" t="s">
        <v>37</v>
      </c>
    </row>
    <row r="4715" spans="1:22">
      <c r="A4715" t="str">
        <f t="shared" si="870"/>
        <v>26/03/2026</v>
      </c>
      <c r="B4715" t="str">
        <f t="shared" si="863"/>
        <v>SAÍDA</v>
      </c>
      <c r="C4715" t="str">
        <f t="shared" si="865"/>
        <v>PIX</v>
      </c>
      <c r="D4715" t="str">
        <f>"35154"</f>
        <v>35154</v>
      </c>
      <c r="E4715" t="str">
        <f t="shared" si="866"/>
        <v>1</v>
      </c>
      <c r="F4715" t="str">
        <f t="shared" si="868"/>
        <v>COM</v>
      </c>
      <c r="G4715" t="str">
        <f>"GILSON OLIVEIRA CAMPINHO JUNIOR (132)"</f>
        <v>GILSON OLIVEIRA CAMPINHO JUNIOR (132)</v>
      </c>
      <c r="H4715" t="s">
        <v>838</v>
      </c>
      <c r="I4715" t="str">
        <f t="shared" si="864"/>
        <v>26/03/2026</v>
      </c>
      <c r="J4715" t="str">
        <f t="shared" si="869"/>
        <v>17/03/2026</v>
      </c>
      <c r="K4715">
        <v>46107</v>
      </c>
      <c r="N4715">
        <v>109</v>
      </c>
      <c r="O4715" t="s">
        <v>27</v>
      </c>
      <c r="Q4715">
        <v>57.12</v>
      </c>
      <c r="R4715" t="str">
        <f>"FARMÁCIA INDIANA LJ 91 (10037)"</f>
        <v>FARMÁCIA INDIANA LJ 91 (10037)</v>
      </c>
      <c r="S4715" t="s">
        <v>37</v>
      </c>
      <c r="T4715">
        <v>31988</v>
      </c>
      <c r="U4715">
        <v>35154</v>
      </c>
      <c r="V4715" t="s">
        <v>37</v>
      </c>
    </row>
    <row r="4716" spans="1:22">
      <c r="A4716" t="str">
        <f t="shared" si="870"/>
        <v>26/03/2026</v>
      </c>
      <c r="B4716" t="str">
        <f t="shared" si="863"/>
        <v>SAÍDA</v>
      </c>
      <c r="C4716" t="str">
        <f t="shared" si="865"/>
        <v>PIX</v>
      </c>
      <c r="D4716" t="str">
        <f>"35155"</f>
        <v>35155</v>
      </c>
      <c r="E4716" t="str">
        <f t="shared" si="866"/>
        <v>1</v>
      </c>
      <c r="F4716" t="str">
        <f t="shared" si="868"/>
        <v>COM</v>
      </c>
      <c r="G4716" t="str">
        <f>"HELITON MELGACO PIMENTEL JUNIOR (1079)"</f>
        <v>HELITON MELGACO PIMENTEL JUNIOR (1079)</v>
      </c>
      <c r="H4716" t="str">
        <f>"Serv.Prest. DIÁRIA 22/03/2026 - PIX: CPF - CHAVE: 768.859.176-72"</f>
        <v>Serv.Prest. DIÁRIA 22/03/2026 - PIX: CPF - CHAVE: 768.859.176-72</v>
      </c>
      <c r="I4716" t="str">
        <f t="shared" si="864"/>
        <v>26/03/2026</v>
      </c>
      <c r="J4716" t="str">
        <f t="shared" si="869"/>
        <v>17/03/2026</v>
      </c>
      <c r="K4716" t="str">
        <f>("26/03/2026")</f>
        <v>26/03/2026</v>
      </c>
      <c r="L4716">
        <v>702.5</v>
      </c>
      <c r="M4716">
        <v>702.5</v>
      </c>
      <c r="N4716">
        <v>109</v>
      </c>
      <c r="O4716" t="str">
        <f>"PAGAMENTO DE ENTREGADORES"</f>
        <v>PAGAMENTO DE ENTREGADORES</v>
      </c>
      <c r="P4716">
        <v>702.5</v>
      </c>
      <c r="S4716" t="str">
        <f>"BANCO C6 (149)"</f>
        <v>BANCO C6 (149)</v>
      </c>
      <c r="T4716">
        <v>31989</v>
      </c>
      <c r="U4716">
        <v>35155</v>
      </c>
      <c r="V4716" t="s">
        <v>37</v>
      </c>
    </row>
    <row r="4717" spans="1:22">
      <c r="A4717" t="str">
        <f t="shared" si="870"/>
        <v>26/03/2026</v>
      </c>
      <c r="B4717" t="str">
        <f t="shared" si="863"/>
        <v>SAÍDA</v>
      </c>
      <c r="C4717" t="str">
        <f t="shared" si="865"/>
        <v>PIX</v>
      </c>
      <c r="D4717" t="str">
        <f>"35155"</f>
        <v>35155</v>
      </c>
      <c r="E4717" t="str">
        <f t="shared" si="866"/>
        <v>1</v>
      </c>
      <c r="F4717" t="str">
        <f t="shared" si="868"/>
        <v>COM</v>
      </c>
      <c r="G4717" t="str">
        <f>"HELITON MELGACO PIMENTEL JUNIOR (1079)"</f>
        <v>HELITON MELGACO PIMENTEL JUNIOR (1079)</v>
      </c>
      <c r="H4717" t="s">
        <v>1275</v>
      </c>
      <c r="I4717" t="str">
        <f t="shared" si="864"/>
        <v>26/03/2026</v>
      </c>
      <c r="J4717" t="str">
        <f t="shared" si="869"/>
        <v>17/03/2026</v>
      </c>
      <c r="K4717">
        <v>46107</v>
      </c>
      <c r="N4717">
        <v>109</v>
      </c>
      <c r="O4717" t="s">
        <v>27</v>
      </c>
      <c r="Q4717">
        <v>702.5</v>
      </c>
      <c r="R4717" t="str">
        <f>"FARMÁCIA INDIANA LJ 283 (10268)"</f>
        <v>FARMÁCIA INDIANA LJ 283 (10268)</v>
      </c>
      <c r="S4717" t="s">
        <v>37</v>
      </c>
      <c r="T4717">
        <v>31989</v>
      </c>
      <c r="U4717">
        <v>35155</v>
      </c>
      <c r="V4717" t="s">
        <v>37</v>
      </c>
    </row>
    <row r="4718" spans="1:22">
      <c r="A4718" t="str">
        <f t="shared" si="870"/>
        <v>26/03/2026</v>
      </c>
      <c r="B4718" t="str">
        <f t="shared" si="863"/>
        <v>SAÍDA</v>
      </c>
      <c r="C4718" t="str">
        <f t="shared" si="865"/>
        <v>PIX</v>
      </c>
      <c r="D4718" t="str">
        <f>"35156"</f>
        <v>35156</v>
      </c>
      <c r="E4718" t="str">
        <f t="shared" si="866"/>
        <v>1</v>
      </c>
      <c r="F4718" t="str">
        <f t="shared" si="868"/>
        <v>COM</v>
      </c>
      <c r="G4718" t="str">
        <f>"IAN DAVI SANTOS DALMONECHE (1318)"</f>
        <v>IAN DAVI SANTOS DALMONECHE (1318)</v>
      </c>
      <c r="H4718" t="str">
        <f>"Serv.Prest. 09/03/2026 a 15/03/2026 - PIX: CELULAR - CHAVE: (73) 99816-5318"</f>
        <v>Serv.Prest. 09/03/2026 a 15/03/2026 - PIX: CELULAR - CHAVE: (73) 99816-5318</v>
      </c>
      <c r="I4718" t="str">
        <f t="shared" si="864"/>
        <v>26/03/2026</v>
      </c>
      <c r="J4718" t="str">
        <f t="shared" si="869"/>
        <v>17/03/2026</v>
      </c>
      <c r="K4718" t="str">
        <f>("26/03/2026")</f>
        <v>26/03/2026</v>
      </c>
      <c r="L4718">
        <v>1168.75</v>
      </c>
      <c r="M4718">
        <v>1168.75</v>
      </c>
      <c r="N4718">
        <v>109</v>
      </c>
      <c r="O4718" t="str">
        <f>"PAGAMENTO DE ENTREGADORES"</f>
        <v>PAGAMENTO DE ENTREGADORES</v>
      </c>
      <c r="P4718">
        <v>1168.75</v>
      </c>
      <c r="S4718" t="str">
        <f>"BANCO C6 (149)"</f>
        <v>BANCO C6 (149)</v>
      </c>
      <c r="T4718">
        <v>31990</v>
      </c>
      <c r="U4718">
        <v>35156</v>
      </c>
      <c r="V4718" t="s">
        <v>37</v>
      </c>
    </row>
    <row r="4719" spans="1:22">
      <c r="A4719" t="str">
        <f t="shared" si="870"/>
        <v>26/03/2026</v>
      </c>
      <c r="B4719" t="str">
        <f t="shared" si="863"/>
        <v>SAÍDA</v>
      </c>
      <c r="C4719" t="str">
        <f t="shared" si="865"/>
        <v>PIX</v>
      </c>
      <c r="D4719" t="str">
        <f>"35156"</f>
        <v>35156</v>
      </c>
      <c r="E4719" t="str">
        <f t="shared" si="866"/>
        <v>1</v>
      </c>
      <c r="F4719" t="str">
        <f t="shared" si="868"/>
        <v>COM</v>
      </c>
      <c r="G4719" t="str">
        <f>"IAN DAVI SANTOS DALMONECHE (1318)"</f>
        <v>IAN DAVI SANTOS DALMONECHE (1318)</v>
      </c>
      <c r="H4719" t="s">
        <v>1276</v>
      </c>
      <c r="I4719" t="str">
        <f t="shared" si="864"/>
        <v>26/03/2026</v>
      </c>
      <c r="J4719" t="str">
        <f t="shared" si="869"/>
        <v>17/03/2026</v>
      </c>
      <c r="K4719">
        <v>46107</v>
      </c>
      <c r="N4719">
        <v>109</v>
      </c>
      <c r="O4719" t="s">
        <v>27</v>
      </c>
      <c r="Q4719">
        <v>1168.75</v>
      </c>
      <c r="R4719" t="str">
        <f>"FARMÁCIA INDIANA LJ 95 (10039)"</f>
        <v>FARMÁCIA INDIANA LJ 95 (10039)</v>
      </c>
      <c r="S4719" t="s">
        <v>37</v>
      </c>
      <c r="T4719">
        <v>31990</v>
      </c>
      <c r="U4719">
        <v>35156</v>
      </c>
      <c r="V4719" t="s">
        <v>37</v>
      </c>
    </row>
    <row r="4720" spans="1:22">
      <c r="A4720" t="str">
        <f t="shared" si="870"/>
        <v>26/03/2026</v>
      </c>
      <c r="B4720" t="str">
        <f t="shared" ref="B4720:B4783" si="871">"SAÍDA"</f>
        <v>SAÍDA</v>
      </c>
      <c r="C4720" t="str">
        <f t="shared" si="865"/>
        <v>PIX</v>
      </c>
      <c r="D4720" t="str">
        <f>"35157"</f>
        <v>35157</v>
      </c>
      <c r="E4720" t="str">
        <f t="shared" si="866"/>
        <v>1</v>
      </c>
      <c r="F4720" t="str">
        <f t="shared" si="868"/>
        <v>COM</v>
      </c>
      <c r="G4720" t="str">
        <f>"JALDENIR MENDES DOS SANTOS (167)"</f>
        <v>JALDENIR MENDES DOS SANTOS (167)</v>
      </c>
      <c r="H4720" t="str">
        <f>"Serv.Prest. 09/03/2026 a 15/03/2026 - PIX: CPF - CHAVE: 439.169.103-53"</f>
        <v>Serv.Prest. 09/03/2026 a 15/03/2026 - PIX: CPF - CHAVE: 439.169.103-53</v>
      </c>
      <c r="I4720" t="str">
        <f t="shared" ref="I4720:I4783" si="872">("26/03/2026")</f>
        <v>26/03/2026</v>
      </c>
      <c r="J4720" t="str">
        <f t="shared" si="869"/>
        <v>17/03/2026</v>
      </c>
      <c r="K4720" t="str">
        <f>("26/03/2026")</f>
        <v>26/03/2026</v>
      </c>
      <c r="L4720">
        <v>845.75</v>
      </c>
      <c r="M4720">
        <v>845.75</v>
      </c>
      <c r="N4720">
        <v>109</v>
      </c>
      <c r="O4720" t="str">
        <f>"PAGAMENTO DE ENTREGADORES"</f>
        <v>PAGAMENTO DE ENTREGADORES</v>
      </c>
      <c r="P4720">
        <v>845.75</v>
      </c>
      <c r="S4720" t="str">
        <f>"BANCO C6 (149)"</f>
        <v>BANCO C6 (149)</v>
      </c>
      <c r="T4720">
        <v>31991</v>
      </c>
      <c r="U4720">
        <v>35157</v>
      </c>
      <c r="V4720" t="s">
        <v>37</v>
      </c>
    </row>
    <row r="4721" spans="1:22">
      <c r="A4721" t="str">
        <f t="shared" si="870"/>
        <v>26/03/2026</v>
      </c>
      <c r="B4721" t="str">
        <f t="shared" si="871"/>
        <v>SAÍDA</v>
      </c>
      <c r="C4721" t="str">
        <f t="shared" si="865"/>
        <v>PIX</v>
      </c>
      <c r="D4721" t="str">
        <f>"35157"</f>
        <v>35157</v>
      </c>
      <c r="E4721" t="str">
        <f t="shared" si="866"/>
        <v>1</v>
      </c>
      <c r="F4721" t="str">
        <f t="shared" si="868"/>
        <v>COM</v>
      </c>
      <c r="G4721" t="str">
        <f>"JALDENIR MENDES DOS SANTOS (167)"</f>
        <v>JALDENIR MENDES DOS SANTOS (167)</v>
      </c>
      <c r="H4721" t="s">
        <v>1277</v>
      </c>
      <c r="I4721" t="str">
        <f t="shared" si="872"/>
        <v>26/03/2026</v>
      </c>
      <c r="J4721" t="str">
        <f t="shared" si="869"/>
        <v>17/03/2026</v>
      </c>
      <c r="K4721">
        <v>46107</v>
      </c>
      <c r="N4721">
        <v>109</v>
      </c>
      <c r="O4721" t="s">
        <v>27</v>
      </c>
      <c r="Q4721">
        <v>845.75</v>
      </c>
      <c r="R4721" t="str">
        <f>"FARMÁCIA INDIANA LJ 34 (10014)"</f>
        <v>FARMÁCIA INDIANA LJ 34 (10014)</v>
      </c>
      <c r="S4721" t="s">
        <v>37</v>
      </c>
      <c r="T4721">
        <v>31991</v>
      </c>
      <c r="U4721">
        <v>35157</v>
      </c>
      <c r="V4721" t="s">
        <v>37</v>
      </c>
    </row>
    <row r="4722" spans="1:22">
      <c r="A4722" t="str">
        <f t="shared" si="870"/>
        <v>26/03/2026</v>
      </c>
      <c r="B4722" t="str">
        <f t="shared" si="871"/>
        <v>SAÍDA</v>
      </c>
      <c r="C4722" t="str">
        <f t="shared" si="865"/>
        <v>PIX</v>
      </c>
      <c r="D4722" t="str">
        <f>"35158"</f>
        <v>35158</v>
      </c>
      <c r="E4722" t="str">
        <f t="shared" si="866"/>
        <v>1</v>
      </c>
      <c r="F4722" t="str">
        <f t="shared" si="868"/>
        <v>COM</v>
      </c>
      <c r="G4722" t="str">
        <f>"JARLES DE SOUZA PEREIRA (109)"</f>
        <v>JARLES DE SOUZA PEREIRA (109)</v>
      </c>
      <c r="H4722" t="str">
        <f>"Serv.Prest. 09/03/2026 a 15/03/2026 - PIX: CELULAR - CHAVE: (73) 99856-1756"</f>
        <v>Serv.Prest. 09/03/2026 a 15/03/2026 - PIX: CELULAR - CHAVE: (73) 99856-1756</v>
      </c>
      <c r="I4722" t="str">
        <f t="shared" si="872"/>
        <v>26/03/2026</v>
      </c>
      <c r="J4722" t="str">
        <f t="shared" si="869"/>
        <v>17/03/2026</v>
      </c>
      <c r="K4722" t="str">
        <f>("26/03/2026")</f>
        <v>26/03/2026</v>
      </c>
      <c r="L4722">
        <v>654</v>
      </c>
      <c r="M4722">
        <v>654</v>
      </c>
      <c r="N4722">
        <v>109</v>
      </c>
      <c r="O4722" t="str">
        <f>"PAGAMENTO DE ENTREGADORES"</f>
        <v>PAGAMENTO DE ENTREGADORES</v>
      </c>
      <c r="P4722">
        <v>654</v>
      </c>
      <c r="S4722" t="str">
        <f>"BANCO C6 (149)"</f>
        <v>BANCO C6 (149)</v>
      </c>
      <c r="T4722">
        <v>31992</v>
      </c>
      <c r="U4722">
        <v>35158</v>
      </c>
      <c r="V4722" t="s">
        <v>37</v>
      </c>
    </row>
    <row r="4723" spans="1:22">
      <c r="A4723" t="str">
        <f t="shared" si="870"/>
        <v>26/03/2026</v>
      </c>
      <c r="B4723" t="str">
        <f t="shared" si="871"/>
        <v>SAÍDA</v>
      </c>
      <c r="C4723" t="str">
        <f t="shared" si="865"/>
        <v>PIX</v>
      </c>
      <c r="D4723" t="str">
        <f>"35158"</f>
        <v>35158</v>
      </c>
      <c r="E4723" t="str">
        <f t="shared" si="866"/>
        <v>1</v>
      </c>
      <c r="F4723" t="str">
        <f t="shared" si="868"/>
        <v>COM</v>
      </c>
      <c r="G4723" t="str">
        <f>"JARLES DE SOUZA PEREIRA (109)"</f>
        <v>JARLES DE SOUZA PEREIRA (109)</v>
      </c>
      <c r="H4723" t="s">
        <v>1278</v>
      </c>
      <c r="I4723" t="str">
        <f t="shared" si="872"/>
        <v>26/03/2026</v>
      </c>
      <c r="J4723" t="str">
        <f t="shared" si="869"/>
        <v>17/03/2026</v>
      </c>
      <c r="K4723">
        <v>46107</v>
      </c>
      <c r="N4723">
        <v>109</v>
      </c>
      <c r="O4723" t="s">
        <v>27</v>
      </c>
      <c r="Q4723">
        <v>654</v>
      </c>
      <c r="R4723" t="str">
        <f>"FARMÁCIA INDIANA LJ 173 (10075)"</f>
        <v>FARMÁCIA INDIANA LJ 173 (10075)</v>
      </c>
      <c r="S4723" t="s">
        <v>37</v>
      </c>
      <c r="T4723">
        <v>31992</v>
      </c>
      <c r="U4723">
        <v>35158</v>
      </c>
      <c r="V4723" t="s">
        <v>37</v>
      </c>
    </row>
    <row r="4724" spans="1:22">
      <c r="A4724" t="str">
        <f t="shared" si="870"/>
        <v>26/03/2026</v>
      </c>
      <c r="B4724" t="str">
        <f t="shared" si="871"/>
        <v>SAÍDA</v>
      </c>
      <c r="C4724" t="str">
        <f t="shared" si="865"/>
        <v>PIX</v>
      </c>
      <c r="D4724" t="str">
        <f>"35159"</f>
        <v>35159</v>
      </c>
      <c r="E4724" t="str">
        <f t="shared" si="866"/>
        <v>1</v>
      </c>
      <c r="F4724" t="str">
        <f t="shared" si="868"/>
        <v>COM</v>
      </c>
      <c r="G4724" t="str">
        <f>"JOAO PEDRO BRITO DE SOUZA (876)"</f>
        <v>JOAO PEDRO BRITO DE SOUZA (876)</v>
      </c>
      <c r="H4724" t="str">
        <f>"Serv.Prest. 09/03/2026 a 15/03/2026 - PIX: CPF - CHAVE: 860.305.455-07"</f>
        <v>Serv.Prest. 09/03/2026 a 15/03/2026 - PIX: CPF - CHAVE: 860.305.455-07</v>
      </c>
      <c r="I4724" t="str">
        <f t="shared" si="872"/>
        <v>26/03/2026</v>
      </c>
      <c r="J4724" t="str">
        <f t="shared" si="869"/>
        <v>17/03/2026</v>
      </c>
      <c r="K4724" t="str">
        <f>("26/03/2026")</f>
        <v>26/03/2026</v>
      </c>
      <c r="L4724">
        <v>520</v>
      </c>
      <c r="M4724">
        <v>520</v>
      </c>
      <c r="N4724">
        <v>109</v>
      </c>
      <c r="O4724" t="str">
        <f>"PAGAMENTO DE ENTREGADORES"</f>
        <v>PAGAMENTO DE ENTREGADORES</v>
      </c>
      <c r="P4724">
        <v>520</v>
      </c>
      <c r="S4724" t="str">
        <f>"BANCO C6 (149)"</f>
        <v>BANCO C6 (149)</v>
      </c>
      <c r="T4724">
        <v>31993</v>
      </c>
      <c r="U4724">
        <v>35159</v>
      </c>
      <c r="V4724" t="s">
        <v>37</v>
      </c>
    </row>
    <row r="4725" spans="1:22">
      <c r="A4725" t="str">
        <f t="shared" si="870"/>
        <v>26/03/2026</v>
      </c>
      <c r="B4725" t="str">
        <f t="shared" si="871"/>
        <v>SAÍDA</v>
      </c>
      <c r="C4725" t="str">
        <f t="shared" si="865"/>
        <v>PIX</v>
      </c>
      <c r="D4725" t="str">
        <f>"35159"</f>
        <v>35159</v>
      </c>
      <c r="E4725" t="str">
        <f t="shared" si="866"/>
        <v>1</v>
      </c>
      <c r="F4725" t="str">
        <f t="shared" si="868"/>
        <v>COM</v>
      </c>
      <c r="G4725" t="str">
        <f>"JOAO PEDRO BRITO DE SOUZA (876)"</f>
        <v>JOAO PEDRO BRITO DE SOUZA (876)</v>
      </c>
      <c r="H4725" t="s">
        <v>1279</v>
      </c>
      <c r="I4725" t="str">
        <f t="shared" si="872"/>
        <v>26/03/2026</v>
      </c>
      <c r="J4725" t="str">
        <f t="shared" si="869"/>
        <v>17/03/2026</v>
      </c>
      <c r="K4725">
        <v>46107</v>
      </c>
      <c r="N4725">
        <v>109</v>
      </c>
      <c r="O4725" t="s">
        <v>27</v>
      </c>
      <c r="Q4725">
        <v>520</v>
      </c>
      <c r="R4725" t="str">
        <f>"FARMÁCIA INDIANA LJ 169 (10073)"</f>
        <v>FARMÁCIA INDIANA LJ 169 (10073)</v>
      </c>
      <c r="S4725" t="s">
        <v>37</v>
      </c>
      <c r="T4725">
        <v>31993</v>
      </c>
      <c r="U4725">
        <v>35159</v>
      </c>
      <c r="V4725" t="s">
        <v>37</v>
      </c>
    </row>
    <row r="4726" spans="1:22">
      <c r="A4726" t="str">
        <f t="shared" si="870"/>
        <v>26/03/2026</v>
      </c>
      <c r="B4726" t="str">
        <f t="shared" si="871"/>
        <v>SAÍDA</v>
      </c>
      <c r="C4726" t="str">
        <f t="shared" ref="C4726:C4789" si="873">"PIX"</f>
        <v>PIX</v>
      </c>
      <c r="D4726" t="str">
        <f>"35160"</f>
        <v>35160</v>
      </c>
      <c r="E4726" t="str">
        <f t="shared" si="866"/>
        <v>1</v>
      </c>
      <c r="F4726" t="str">
        <f t="shared" si="868"/>
        <v>COM</v>
      </c>
      <c r="G4726" t="str">
        <f>"JOAO PEDRO BRITO DE SOUZA (876)"</f>
        <v>JOAO PEDRO BRITO DE SOUZA (876)</v>
      </c>
      <c r="H4726" t="str">
        <f>"Serv.Prest. 09/03/2026 a 15/03/2026 - PIX: CPF - CHAVE: 860.305.455-07"</f>
        <v>Serv.Prest. 09/03/2026 a 15/03/2026 - PIX: CPF - CHAVE: 860.305.455-07</v>
      </c>
      <c r="I4726" t="str">
        <f t="shared" si="872"/>
        <v>26/03/2026</v>
      </c>
      <c r="J4726" t="str">
        <f t="shared" si="869"/>
        <v>17/03/2026</v>
      </c>
      <c r="K4726" t="str">
        <f>("26/03/2026")</f>
        <v>26/03/2026</v>
      </c>
      <c r="L4726">
        <v>1135</v>
      </c>
      <c r="M4726">
        <v>1135</v>
      </c>
      <c r="N4726">
        <v>109</v>
      </c>
      <c r="O4726" t="str">
        <f>"PAGAMENTO DE ENTREGADORES"</f>
        <v>PAGAMENTO DE ENTREGADORES</v>
      </c>
      <c r="P4726">
        <v>1135</v>
      </c>
      <c r="S4726" t="str">
        <f>"BANCO C6 (149)"</f>
        <v>BANCO C6 (149)</v>
      </c>
      <c r="T4726">
        <v>31994</v>
      </c>
      <c r="U4726">
        <v>35160</v>
      </c>
      <c r="V4726" t="s">
        <v>37</v>
      </c>
    </row>
    <row r="4727" spans="1:22">
      <c r="A4727" t="str">
        <f t="shared" si="870"/>
        <v>26/03/2026</v>
      </c>
      <c r="B4727" t="str">
        <f t="shared" si="871"/>
        <v>SAÍDA</v>
      </c>
      <c r="C4727" t="str">
        <f t="shared" si="873"/>
        <v>PIX</v>
      </c>
      <c r="D4727" t="str">
        <f>"35160"</f>
        <v>35160</v>
      </c>
      <c r="E4727" t="str">
        <f t="shared" si="866"/>
        <v>1</v>
      </c>
      <c r="F4727" t="str">
        <f t="shared" si="868"/>
        <v>COM</v>
      </c>
      <c r="G4727" t="str">
        <f>"JOAO PEDRO BRITO DE SOUZA (876)"</f>
        <v>JOAO PEDRO BRITO DE SOUZA (876)</v>
      </c>
      <c r="H4727" t="s">
        <v>1279</v>
      </c>
      <c r="I4727" t="str">
        <f t="shared" si="872"/>
        <v>26/03/2026</v>
      </c>
      <c r="J4727" t="str">
        <f t="shared" si="869"/>
        <v>17/03/2026</v>
      </c>
      <c r="K4727">
        <v>46107</v>
      </c>
      <c r="N4727">
        <v>109</v>
      </c>
      <c r="O4727" t="s">
        <v>27</v>
      </c>
      <c r="Q4727">
        <v>1135</v>
      </c>
      <c r="R4727" t="str">
        <f>"FARMÁCIA INDIANA LJ 48 (10018)"</f>
        <v>FARMÁCIA INDIANA LJ 48 (10018)</v>
      </c>
      <c r="S4727" t="s">
        <v>37</v>
      </c>
      <c r="T4727">
        <v>31994</v>
      </c>
      <c r="U4727">
        <v>35160</v>
      </c>
      <c r="V4727" t="s">
        <v>37</v>
      </c>
    </row>
    <row r="4728" spans="1:22">
      <c r="A4728" t="str">
        <f t="shared" si="870"/>
        <v>26/03/2026</v>
      </c>
      <c r="B4728" t="str">
        <f t="shared" si="871"/>
        <v>SAÍDA</v>
      </c>
      <c r="C4728" t="str">
        <f t="shared" si="873"/>
        <v>PIX</v>
      </c>
      <c r="D4728" t="str">
        <f>"35161"</f>
        <v>35161</v>
      </c>
      <c r="E4728" t="str">
        <f t="shared" ref="E4728:E4791" si="874">"1"</f>
        <v>1</v>
      </c>
      <c r="F4728" t="str">
        <f t="shared" si="868"/>
        <v>COM</v>
      </c>
      <c r="G4728" t="str">
        <f>"JOSE MARIO MENEZES DA CRUZ (941)"</f>
        <v>JOSE MARIO MENEZES DA CRUZ (941)</v>
      </c>
      <c r="H4728" t="str">
        <f>"Serv.Prest. 09/03/2026 a 15/03/2026 - PIX: CPF - CHAVE: 009.476.175-23"</f>
        <v>Serv.Prest. 09/03/2026 a 15/03/2026 - PIX: CPF - CHAVE: 009.476.175-23</v>
      </c>
      <c r="I4728" t="str">
        <f t="shared" si="872"/>
        <v>26/03/2026</v>
      </c>
      <c r="J4728" t="str">
        <f t="shared" si="869"/>
        <v>17/03/2026</v>
      </c>
      <c r="K4728" t="str">
        <f>("26/03/2026")</f>
        <v>26/03/2026</v>
      </c>
      <c r="L4728">
        <v>870</v>
      </c>
      <c r="M4728">
        <v>870</v>
      </c>
      <c r="N4728">
        <v>109</v>
      </c>
      <c r="O4728" t="str">
        <f>"PAGAMENTO DE ENTREGADORES"</f>
        <v>PAGAMENTO DE ENTREGADORES</v>
      </c>
      <c r="P4728">
        <v>870</v>
      </c>
      <c r="S4728" t="str">
        <f>"BANCO C6 (149)"</f>
        <v>BANCO C6 (149)</v>
      </c>
      <c r="T4728">
        <v>31995</v>
      </c>
      <c r="U4728">
        <v>35161</v>
      </c>
      <c r="V4728" t="s">
        <v>37</v>
      </c>
    </row>
    <row r="4729" spans="1:22">
      <c r="A4729" t="str">
        <f t="shared" si="870"/>
        <v>26/03/2026</v>
      </c>
      <c r="B4729" t="str">
        <f t="shared" si="871"/>
        <v>SAÍDA</v>
      </c>
      <c r="C4729" t="str">
        <f t="shared" si="873"/>
        <v>PIX</v>
      </c>
      <c r="D4729" t="str">
        <f>"35161"</f>
        <v>35161</v>
      </c>
      <c r="E4729" t="str">
        <f t="shared" si="874"/>
        <v>1</v>
      </c>
      <c r="F4729" t="str">
        <f t="shared" si="868"/>
        <v>COM</v>
      </c>
      <c r="G4729" t="str">
        <f>"JOSE MARIO MENEZES DA CRUZ (941)"</f>
        <v>JOSE MARIO MENEZES DA CRUZ (941)</v>
      </c>
      <c r="H4729" t="s">
        <v>1280</v>
      </c>
      <c r="I4729" t="str">
        <f t="shared" si="872"/>
        <v>26/03/2026</v>
      </c>
      <c r="J4729" t="str">
        <f t="shared" si="869"/>
        <v>17/03/2026</v>
      </c>
      <c r="K4729">
        <v>46107</v>
      </c>
      <c r="N4729">
        <v>109</v>
      </c>
      <c r="O4729" t="s">
        <v>27</v>
      </c>
      <c r="Q4729">
        <v>870</v>
      </c>
      <c r="R4729" t="str">
        <f>"FARMÁCIA INDIANA LJ 33 (10187)"</f>
        <v>FARMÁCIA INDIANA LJ 33 (10187)</v>
      </c>
      <c r="S4729" t="s">
        <v>37</v>
      </c>
      <c r="T4729">
        <v>31995</v>
      </c>
      <c r="U4729">
        <v>35161</v>
      </c>
      <c r="V4729" t="s">
        <v>37</v>
      </c>
    </row>
    <row r="4730" spans="1:22">
      <c r="A4730" t="str">
        <f t="shared" si="870"/>
        <v>26/03/2026</v>
      </c>
      <c r="B4730" t="str">
        <f t="shared" si="871"/>
        <v>SAÍDA</v>
      </c>
      <c r="C4730" t="str">
        <f t="shared" si="873"/>
        <v>PIX</v>
      </c>
      <c r="D4730" t="str">
        <f>"35162"</f>
        <v>35162</v>
      </c>
      <c r="E4730" t="str">
        <f t="shared" si="874"/>
        <v>1</v>
      </c>
      <c r="F4730" t="str">
        <f t="shared" si="868"/>
        <v>COM</v>
      </c>
      <c r="G4730" t="str">
        <f>"JUNIO SOUZA SILVA (610)"</f>
        <v>JUNIO SOUZA SILVA (610)</v>
      </c>
      <c r="H4730" t="str">
        <f>"Serv.Prest. 09/03/2026 a 15/03/2026 - PIX: CELULAR - CHAVE: (73) 98105-2187"</f>
        <v>Serv.Prest. 09/03/2026 a 15/03/2026 - PIX: CELULAR - CHAVE: (73) 98105-2187</v>
      </c>
      <c r="I4730" t="str">
        <f t="shared" si="872"/>
        <v>26/03/2026</v>
      </c>
      <c r="J4730" t="str">
        <f t="shared" si="869"/>
        <v>17/03/2026</v>
      </c>
      <c r="K4730" t="str">
        <f>("26/03/2026")</f>
        <v>26/03/2026</v>
      </c>
      <c r="L4730">
        <v>600</v>
      </c>
      <c r="M4730">
        <v>600</v>
      </c>
      <c r="N4730">
        <v>109</v>
      </c>
      <c r="O4730" t="str">
        <f>"PAGAMENTO DE ENTREGADORES"</f>
        <v>PAGAMENTO DE ENTREGADORES</v>
      </c>
      <c r="P4730">
        <v>600</v>
      </c>
      <c r="S4730" t="str">
        <f>"BANCO C6 (149)"</f>
        <v>BANCO C6 (149)</v>
      </c>
      <c r="T4730">
        <v>31996</v>
      </c>
      <c r="U4730">
        <v>35162</v>
      </c>
      <c r="V4730" t="s">
        <v>37</v>
      </c>
    </row>
    <row r="4731" spans="1:22">
      <c r="A4731" t="str">
        <f t="shared" si="870"/>
        <v>26/03/2026</v>
      </c>
      <c r="B4731" t="str">
        <f t="shared" si="871"/>
        <v>SAÍDA</v>
      </c>
      <c r="C4731" t="str">
        <f t="shared" si="873"/>
        <v>PIX</v>
      </c>
      <c r="D4731" t="str">
        <f>"35162"</f>
        <v>35162</v>
      </c>
      <c r="E4731" t="str">
        <f t="shared" si="874"/>
        <v>1</v>
      </c>
      <c r="F4731" t="str">
        <f t="shared" si="868"/>
        <v>COM</v>
      </c>
      <c r="G4731" t="str">
        <f>"JUNIO SOUZA SILVA (610)"</f>
        <v>JUNIO SOUZA SILVA (610)</v>
      </c>
      <c r="H4731" t="s">
        <v>1281</v>
      </c>
      <c r="I4731" t="str">
        <f t="shared" si="872"/>
        <v>26/03/2026</v>
      </c>
      <c r="J4731" t="str">
        <f t="shared" si="869"/>
        <v>17/03/2026</v>
      </c>
      <c r="K4731">
        <v>46107</v>
      </c>
      <c r="N4731">
        <v>109</v>
      </c>
      <c r="O4731" t="s">
        <v>27</v>
      </c>
      <c r="Q4731">
        <v>600</v>
      </c>
      <c r="R4731" t="str">
        <f>"FARMÁCIA INDIANA LJ 77 (10034)"</f>
        <v>FARMÁCIA INDIANA LJ 77 (10034)</v>
      </c>
      <c r="S4731" t="s">
        <v>37</v>
      </c>
      <c r="T4731">
        <v>31996</v>
      </c>
      <c r="U4731">
        <v>35162</v>
      </c>
      <c r="V4731" t="s">
        <v>37</v>
      </c>
    </row>
    <row r="4732" spans="1:22">
      <c r="A4732" t="str">
        <f t="shared" si="870"/>
        <v>26/03/2026</v>
      </c>
      <c r="B4732" t="str">
        <f t="shared" si="871"/>
        <v>SAÍDA</v>
      </c>
      <c r="C4732" t="str">
        <f t="shared" si="873"/>
        <v>PIX</v>
      </c>
      <c r="D4732" t="str">
        <f>"35164"</f>
        <v>35164</v>
      </c>
      <c r="E4732" t="str">
        <f t="shared" si="874"/>
        <v>1</v>
      </c>
      <c r="F4732" t="str">
        <f t="shared" si="868"/>
        <v>COM</v>
      </c>
      <c r="G4732" t="str">
        <f>"LEONARDO MERCÊS CAJAZEIRAS (235)"</f>
        <v>LEONARDO MERCÊS CAJAZEIRAS (235)</v>
      </c>
      <c r="H4732" t="str">
        <f>"Serv.Prest. 09/03/2026 a 15/03/2026 - PIX: CELULAR - CHAVE: (73) 99803-0715"</f>
        <v>Serv.Prest. 09/03/2026 a 15/03/2026 - PIX: CELULAR - CHAVE: (73) 99803-0715</v>
      </c>
      <c r="I4732" t="str">
        <f t="shared" si="872"/>
        <v>26/03/2026</v>
      </c>
      <c r="J4732" t="str">
        <f t="shared" si="869"/>
        <v>17/03/2026</v>
      </c>
      <c r="K4732" t="str">
        <f>("26/03/2026")</f>
        <v>26/03/2026</v>
      </c>
      <c r="L4732">
        <v>600</v>
      </c>
      <c r="M4732">
        <v>600</v>
      </c>
      <c r="N4732">
        <v>109</v>
      </c>
      <c r="O4732" t="str">
        <f>"PAGAMENTO DE ENTREGADORES"</f>
        <v>PAGAMENTO DE ENTREGADORES</v>
      </c>
      <c r="P4732">
        <v>600</v>
      </c>
      <c r="S4732" t="str">
        <f>"BANCO C6 (149)"</f>
        <v>BANCO C6 (149)</v>
      </c>
      <c r="T4732">
        <v>31997</v>
      </c>
      <c r="U4732">
        <v>35164</v>
      </c>
      <c r="V4732" t="s">
        <v>37</v>
      </c>
    </row>
    <row r="4733" spans="1:22">
      <c r="A4733" t="str">
        <f t="shared" si="870"/>
        <v>26/03/2026</v>
      </c>
      <c r="B4733" t="str">
        <f t="shared" si="871"/>
        <v>SAÍDA</v>
      </c>
      <c r="C4733" t="str">
        <f t="shared" si="873"/>
        <v>PIX</v>
      </c>
      <c r="D4733" t="str">
        <f>"35164"</f>
        <v>35164</v>
      </c>
      <c r="E4733" t="str">
        <f t="shared" si="874"/>
        <v>1</v>
      </c>
      <c r="F4733" t="str">
        <f t="shared" si="868"/>
        <v>COM</v>
      </c>
      <c r="G4733" t="str">
        <f>"LEONARDO MERCÊS CAJAZEIRAS (235)"</f>
        <v>LEONARDO MERCÊS CAJAZEIRAS (235)</v>
      </c>
      <c r="H4733" t="s">
        <v>1282</v>
      </c>
      <c r="I4733" t="str">
        <f t="shared" si="872"/>
        <v>26/03/2026</v>
      </c>
      <c r="J4733" t="str">
        <f t="shared" si="869"/>
        <v>17/03/2026</v>
      </c>
      <c r="K4733">
        <v>46107</v>
      </c>
      <c r="N4733">
        <v>109</v>
      </c>
      <c r="O4733" t="s">
        <v>27</v>
      </c>
      <c r="Q4733">
        <v>600</v>
      </c>
      <c r="R4733" t="str">
        <f>"FARMÁCIA INDIANA LJ 35 (10015)"</f>
        <v>FARMÁCIA INDIANA LJ 35 (10015)</v>
      </c>
      <c r="S4733" t="s">
        <v>37</v>
      </c>
      <c r="T4733">
        <v>31997</v>
      </c>
      <c r="U4733">
        <v>35164</v>
      </c>
      <c r="V4733" t="s">
        <v>37</v>
      </c>
    </row>
    <row r="4734" spans="1:22">
      <c r="A4734" t="str">
        <f t="shared" si="870"/>
        <v>26/03/2026</v>
      </c>
      <c r="B4734" t="str">
        <f t="shared" si="871"/>
        <v>SAÍDA</v>
      </c>
      <c r="C4734" t="str">
        <f t="shared" si="873"/>
        <v>PIX</v>
      </c>
      <c r="D4734" t="str">
        <f>"35165"</f>
        <v>35165</v>
      </c>
      <c r="E4734" t="str">
        <f t="shared" si="874"/>
        <v>1</v>
      </c>
      <c r="F4734" t="str">
        <f t="shared" si="868"/>
        <v>COM</v>
      </c>
      <c r="G4734" t="str">
        <f>"LEONARDO SANTOS BIANCHINI (1115)"</f>
        <v>LEONARDO SANTOS BIANCHINI (1115)</v>
      </c>
      <c r="H4734" t="str">
        <f>"Serv.Prest. 09/03/2026 a 15/03/2026 - PIX: CPF - CHAVE: 157.217.827-22"</f>
        <v>Serv.Prest. 09/03/2026 a 15/03/2026 - PIX: CPF - CHAVE: 157.217.827-22</v>
      </c>
      <c r="I4734" t="str">
        <f t="shared" si="872"/>
        <v>26/03/2026</v>
      </c>
      <c r="J4734" t="str">
        <f t="shared" si="869"/>
        <v>17/03/2026</v>
      </c>
      <c r="K4734" t="str">
        <f>("26/03/2026")</f>
        <v>26/03/2026</v>
      </c>
      <c r="L4734">
        <v>898</v>
      </c>
      <c r="M4734">
        <v>898</v>
      </c>
      <c r="N4734">
        <v>109</v>
      </c>
      <c r="O4734" t="str">
        <f>"PAGAMENTO DE ENTREGADORES"</f>
        <v>PAGAMENTO DE ENTREGADORES</v>
      </c>
      <c r="P4734">
        <v>898</v>
      </c>
      <c r="S4734" t="str">
        <f>"BANCO C6 (149)"</f>
        <v>BANCO C6 (149)</v>
      </c>
      <c r="T4734">
        <v>31998</v>
      </c>
      <c r="U4734">
        <v>35165</v>
      </c>
      <c r="V4734" t="s">
        <v>37</v>
      </c>
    </row>
    <row r="4735" spans="1:22">
      <c r="A4735" t="str">
        <f t="shared" si="870"/>
        <v>26/03/2026</v>
      </c>
      <c r="B4735" t="str">
        <f t="shared" si="871"/>
        <v>SAÍDA</v>
      </c>
      <c r="C4735" t="str">
        <f t="shared" si="873"/>
        <v>PIX</v>
      </c>
      <c r="D4735" t="str">
        <f>"35165"</f>
        <v>35165</v>
      </c>
      <c r="E4735" t="str">
        <f t="shared" si="874"/>
        <v>1</v>
      </c>
      <c r="F4735" t="str">
        <f t="shared" si="868"/>
        <v>COM</v>
      </c>
      <c r="G4735" t="str">
        <f>"LEONARDO SANTOS BIANCHINI (1115)"</f>
        <v>LEONARDO SANTOS BIANCHINI (1115)</v>
      </c>
      <c r="H4735" t="s">
        <v>887</v>
      </c>
      <c r="I4735" t="str">
        <f t="shared" si="872"/>
        <v>26/03/2026</v>
      </c>
      <c r="J4735" t="str">
        <f t="shared" si="869"/>
        <v>17/03/2026</v>
      </c>
      <c r="K4735">
        <v>46107</v>
      </c>
      <c r="N4735">
        <v>109</v>
      </c>
      <c r="O4735" t="s">
        <v>27</v>
      </c>
      <c r="Q4735">
        <v>898</v>
      </c>
      <c r="R4735" t="str">
        <f>"FARMÁCIA INDIANA LJ 92 (10281)"</f>
        <v>FARMÁCIA INDIANA LJ 92 (10281)</v>
      </c>
      <c r="S4735" t="s">
        <v>37</v>
      </c>
      <c r="T4735">
        <v>31998</v>
      </c>
      <c r="U4735">
        <v>35165</v>
      </c>
      <c r="V4735" t="s">
        <v>37</v>
      </c>
    </row>
    <row r="4736" spans="1:22">
      <c r="A4736" t="str">
        <f t="shared" si="870"/>
        <v>26/03/2026</v>
      </c>
      <c r="B4736" t="str">
        <f t="shared" si="871"/>
        <v>SAÍDA</v>
      </c>
      <c r="C4736" t="str">
        <f t="shared" si="873"/>
        <v>PIX</v>
      </c>
      <c r="D4736" t="str">
        <f>"35166"</f>
        <v>35166</v>
      </c>
      <c r="E4736" t="str">
        <f t="shared" si="874"/>
        <v>1</v>
      </c>
      <c r="F4736" t="str">
        <f t="shared" si="868"/>
        <v>COM</v>
      </c>
      <c r="G4736" t="str">
        <f>"LUCAS MOREIRA PEREIRA (153)"</f>
        <v>LUCAS MOREIRA PEREIRA (153)</v>
      </c>
      <c r="H4736" t="str">
        <f>"Serv.Prest. 09/03/2026 a 15/03/2026 - PIX: CNPJ - CHAVE: 65.104.813/0001-77"</f>
        <v>Serv.Prest. 09/03/2026 a 15/03/2026 - PIX: CNPJ - CHAVE: 65.104.813/0001-77</v>
      </c>
      <c r="I4736" t="str">
        <f t="shared" si="872"/>
        <v>26/03/2026</v>
      </c>
      <c r="J4736" t="str">
        <f t="shared" si="869"/>
        <v>17/03/2026</v>
      </c>
      <c r="K4736" t="str">
        <f>("26/03/2026")</f>
        <v>26/03/2026</v>
      </c>
      <c r="L4736">
        <v>560</v>
      </c>
      <c r="M4736">
        <v>560</v>
      </c>
      <c r="N4736">
        <v>109</v>
      </c>
      <c r="O4736" t="str">
        <f>"PAGAMENTO DE ENTREGADORES"</f>
        <v>PAGAMENTO DE ENTREGADORES</v>
      </c>
      <c r="P4736">
        <v>560</v>
      </c>
      <c r="S4736" t="str">
        <f>"BANCO C6 (149)"</f>
        <v>BANCO C6 (149)</v>
      </c>
      <c r="T4736">
        <v>31999</v>
      </c>
      <c r="U4736">
        <v>35166</v>
      </c>
      <c r="V4736" t="s">
        <v>37</v>
      </c>
    </row>
    <row r="4737" spans="1:22">
      <c r="A4737" t="str">
        <f t="shared" si="870"/>
        <v>26/03/2026</v>
      </c>
      <c r="B4737" t="str">
        <f t="shared" si="871"/>
        <v>SAÍDA</v>
      </c>
      <c r="C4737" t="str">
        <f t="shared" si="873"/>
        <v>PIX</v>
      </c>
      <c r="D4737" t="str">
        <f>"35166"</f>
        <v>35166</v>
      </c>
      <c r="E4737" t="str">
        <f t="shared" si="874"/>
        <v>1</v>
      </c>
      <c r="F4737" t="str">
        <f t="shared" si="868"/>
        <v>COM</v>
      </c>
      <c r="G4737" t="str">
        <f>"LUCAS MOREIRA PEREIRA (153)"</f>
        <v>LUCAS MOREIRA PEREIRA (153)</v>
      </c>
      <c r="H4737" t="s">
        <v>1283</v>
      </c>
      <c r="I4737" t="str">
        <f t="shared" si="872"/>
        <v>26/03/2026</v>
      </c>
      <c r="J4737" t="str">
        <f t="shared" si="869"/>
        <v>17/03/2026</v>
      </c>
      <c r="K4737">
        <v>46107</v>
      </c>
      <c r="N4737">
        <v>109</v>
      </c>
      <c r="O4737" t="s">
        <v>27</v>
      </c>
      <c r="Q4737">
        <v>560</v>
      </c>
      <c r="R4737" t="str">
        <f>"FARMÁCIA INDIANA LJ 169 (10073)"</f>
        <v>FARMÁCIA INDIANA LJ 169 (10073)</v>
      </c>
      <c r="S4737" t="s">
        <v>37</v>
      </c>
      <c r="T4737">
        <v>31999</v>
      </c>
      <c r="U4737">
        <v>35166</v>
      </c>
      <c r="V4737" t="s">
        <v>37</v>
      </c>
    </row>
    <row r="4738" spans="1:22">
      <c r="A4738" t="str">
        <f t="shared" si="870"/>
        <v>26/03/2026</v>
      </c>
      <c r="B4738" t="str">
        <f t="shared" si="871"/>
        <v>SAÍDA</v>
      </c>
      <c r="C4738" t="str">
        <f t="shared" si="873"/>
        <v>PIX</v>
      </c>
      <c r="D4738" t="str">
        <f>"35167"</f>
        <v>35167</v>
      </c>
      <c r="E4738" t="str">
        <f t="shared" si="874"/>
        <v>1</v>
      </c>
      <c r="F4738" t="str">
        <f t="shared" ref="F4738:F4801" si="875">"COM"</f>
        <v>COM</v>
      </c>
      <c r="G4738" t="str">
        <f>"LUCAS MOREIRA PEREIRA (153)"</f>
        <v>LUCAS MOREIRA PEREIRA (153)</v>
      </c>
      <c r="H4738" t="str">
        <f>"Serv.Prest. 09/03/2026 a 15/03/2026 - PIX: CNPJ - CHAVE: 65.104.813/0001-77"</f>
        <v>Serv.Prest. 09/03/2026 a 15/03/2026 - PIX: CNPJ - CHAVE: 65.104.813/0001-77</v>
      </c>
      <c r="I4738" t="str">
        <f t="shared" si="872"/>
        <v>26/03/2026</v>
      </c>
      <c r="J4738" t="str">
        <f t="shared" si="869"/>
        <v>17/03/2026</v>
      </c>
      <c r="K4738" t="str">
        <f>("26/03/2026")</f>
        <v>26/03/2026</v>
      </c>
      <c r="L4738">
        <v>1025</v>
      </c>
      <c r="M4738">
        <v>1025</v>
      </c>
      <c r="N4738">
        <v>109</v>
      </c>
      <c r="O4738" t="str">
        <f>"PAGAMENTO DE ENTREGADORES"</f>
        <v>PAGAMENTO DE ENTREGADORES</v>
      </c>
      <c r="P4738">
        <v>1025</v>
      </c>
      <c r="S4738" t="str">
        <f>"BANCO C6 (149)"</f>
        <v>BANCO C6 (149)</v>
      </c>
      <c r="T4738">
        <v>32000</v>
      </c>
      <c r="U4738">
        <v>35167</v>
      </c>
      <c r="V4738" t="s">
        <v>37</v>
      </c>
    </row>
    <row r="4739" spans="1:22">
      <c r="A4739" t="str">
        <f t="shared" si="870"/>
        <v>26/03/2026</v>
      </c>
      <c r="B4739" t="str">
        <f t="shared" si="871"/>
        <v>SAÍDA</v>
      </c>
      <c r="C4739" t="str">
        <f t="shared" si="873"/>
        <v>PIX</v>
      </c>
      <c r="D4739" t="str">
        <f>"35167"</f>
        <v>35167</v>
      </c>
      <c r="E4739" t="str">
        <f t="shared" si="874"/>
        <v>1</v>
      </c>
      <c r="F4739" t="str">
        <f t="shared" si="875"/>
        <v>COM</v>
      </c>
      <c r="G4739" t="str">
        <f>"LUCAS MOREIRA PEREIRA (153)"</f>
        <v>LUCAS MOREIRA PEREIRA (153)</v>
      </c>
      <c r="H4739" t="s">
        <v>1283</v>
      </c>
      <c r="I4739" t="str">
        <f t="shared" si="872"/>
        <v>26/03/2026</v>
      </c>
      <c r="J4739" t="str">
        <f t="shared" si="869"/>
        <v>17/03/2026</v>
      </c>
      <c r="K4739">
        <v>46107</v>
      </c>
      <c r="N4739">
        <v>109</v>
      </c>
      <c r="O4739" t="s">
        <v>27</v>
      </c>
      <c r="Q4739">
        <v>1025</v>
      </c>
      <c r="R4739" t="str">
        <f>"FARMÁCIA INDIANA LJ 48 (10018)"</f>
        <v>FARMÁCIA INDIANA LJ 48 (10018)</v>
      </c>
      <c r="S4739" t="s">
        <v>37</v>
      </c>
      <c r="T4739">
        <v>32000</v>
      </c>
      <c r="U4739">
        <v>35167</v>
      </c>
      <c r="V4739" t="s">
        <v>37</v>
      </c>
    </row>
    <row r="4740" spans="1:22">
      <c r="A4740" t="str">
        <f t="shared" si="870"/>
        <v>26/03/2026</v>
      </c>
      <c r="B4740" t="str">
        <f t="shared" si="871"/>
        <v>SAÍDA</v>
      </c>
      <c r="C4740" t="str">
        <f t="shared" si="873"/>
        <v>PIX</v>
      </c>
      <c r="D4740" t="str">
        <f>"35168"</f>
        <v>35168</v>
      </c>
      <c r="E4740" t="str">
        <f t="shared" si="874"/>
        <v>1</v>
      </c>
      <c r="F4740" t="str">
        <f t="shared" si="875"/>
        <v>COM</v>
      </c>
      <c r="G4740" t="str">
        <f>"MARCELO RODRIGUES DA SILVA (1194)"</f>
        <v>MARCELO RODRIGUES DA SILVA (1194)</v>
      </c>
      <c r="H4740" t="str">
        <f>"Serv.Prest. 09/03/2026 a 15/03/2026 - PIX: CELULAR - CHAVE: (73) 99178-4624"</f>
        <v>Serv.Prest. 09/03/2026 a 15/03/2026 - PIX: CELULAR - CHAVE: (73) 99178-4624</v>
      </c>
      <c r="I4740" t="str">
        <f t="shared" si="872"/>
        <v>26/03/2026</v>
      </c>
      <c r="J4740" t="str">
        <f t="shared" si="869"/>
        <v>17/03/2026</v>
      </c>
      <c r="K4740" t="str">
        <f>("26/03/2026")</f>
        <v>26/03/2026</v>
      </c>
      <c r="L4740">
        <v>682</v>
      </c>
      <c r="M4740">
        <v>682</v>
      </c>
      <c r="N4740">
        <v>109</v>
      </c>
      <c r="O4740" t="str">
        <f>"PAGAMENTO DE ENTREGADORES"</f>
        <v>PAGAMENTO DE ENTREGADORES</v>
      </c>
      <c r="P4740">
        <v>682</v>
      </c>
      <c r="S4740" t="str">
        <f>"BANCO C6 (149)"</f>
        <v>BANCO C6 (149)</v>
      </c>
      <c r="T4740">
        <v>32001</v>
      </c>
      <c r="U4740">
        <v>35168</v>
      </c>
      <c r="V4740" t="s">
        <v>37</v>
      </c>
    </row>
    <row r="4741" spans="1:22">
      <c r="A4741" t="str">
        <f t="shared" si="870"/>
        <v>26/03/2026</v>
      </c>
      <c r="B4741" t="str">
        <f t="shared" si="871"/>
        <v>SAÍDA</v>
      </c>
      <c r="C4741" t="str">
        <f t="shared" si="873"/>
        <v>PIX</v>
      </c>
      <c r="D4741" t="str">
        <f>"35168"</f>
        <v>35168</v>
      </c>
      <c r="E4741" t="str">
        <f t="shared" si="874"/>
        <v>1</v>
      </c>
      <c r="F4741" t="str">
        <f t="shared" si="875"/>
        <v>COM</v>
      </c>
      <c r="G4741" t="str">
        <f>"MARCELO RODRIGUES DA SILVA (1194)"</f>
        <v>MARCELO RODRIGUES DA SILVA (1194)</v>
      </c>
      <c r="H4741" t="s">
        <v>891</v>
      </c>
      <c r="I4741" t="str">
        <f t="shared" si="872"/>
        <v>26/03/2026</v>
      </c>
      <c r="J4741" t="str">
        <f t="shared" si="869"/>
        <v>17/03/2026</v>
      </c>
      <c r="K4741">
        <v>46107</v>
      </c>
      <c r="N4741">
        <v>109</v>
      </c>
      <c r="O4741" t="s">
        <v>27</v>
      </c>
      <c r="Q4741">
        <v>682</v>
      </c>
      <c r="R4741" t="str">
        <f>"FARMÁCIA INDIANA LJ 145 (10068)"</f>
        <v>FARMÁCIA INDIANA LJ 145 (10068)</v>
      </c>
      <c r="S4741" t="s">
        <v>37</v>
      </c>
      <c r="T4741">
        <v>32001</v>
      </c>
      <c r="U4741">
        <v>35168</v>
      </c>
      <c r="V4741" t="s">
        <v>37</v>
      </c>
    </row>
    <row r="4742" spans="1:22">
      <c r="A4742" t="str">
        <f t="shared" si="870"/>
        <v>26/03/2026</v>
      </c>
      <c r="B4742" t="str">
        <f t="shared" si="871"/>
        <v>SAÍDA</v>
      </c>
      <c r="C4742" t="str">
        <f t="shared" si="873"/>
        <v>PIX</v>
      </c>
      <c r="D4742" t="str">
        <f>"35169"</f>
        <v>35169</v>
      </c>
      <c r="E4742" t="str">
        <f t="shared" si="874"/>
        <v>1</v>
      </c>
      <c r="F4742" t="str">
        <f t="shared" si="875"/>
        <v>COM</v>
      </c>
      <c r="G4742" t="str">
        <f>"MARIA ILZA PEREIRA DOS SANTOS (618)"</f>
        <v>MARIA ILZA PEREIRA DOS SANTOS (618)</v>
      </c>
      <c r="H4742" t="str">
        <f>"Serv.Prest. 09/03/2026 a 15/03/2026 - PIX: CPF - CHAVE: 003.157.195-67"</f>
        <v>Serv.Prest. 09/03/2026 a 15/03/2026 - PIX: CPF - CHAVE: 003.157.195-67</v>
      </c>
      <c r="I4742" t="str">
        <f t="shared" si="872"/>
        <v>26/03/2026</v>
      </c>
      <c r="J4742" t="str">
        <f t="shared" si="869"/>
        <v>17/03/2026</v>
      </c>
      <c r="K4742" t="str">
        <f>("26/03/2026")</f>
        <v>26/03/2026</v>
      </c>
      <c r="L4742">
        <v>330</v>
      </c>
      <c r="M4742">
        <v>330</v>
      </c>
      <c r="N4742">
        <v>109</v>
      </c>
      <c r="O4742" t="str">
        <f>"PAGAMENTO DE ENTREGADORES"</f>
        <v>PAGAMENTO DE ENTREGADORES</v>
      </c>
      <c r="P4742">
        <v>330</v>
      </c>
      <c r="S4742" t="str">
        <f>"BANCO C6 (149)"</f>
        <v>BANCO C6 (149)</v>
      </c>
      <c r="T4742">
        <v>32002</v>
      </c>
      <c r="U4742">
        <v>35169</v>
      </c>
      <c r="V4742" t="s">
        <v>37</v>
      </c>
    </row>
    <row r="4743" spans="1:22">
      <c r="A4743" t="str">
        <f t="shared" si="870"/>
        <v>26/03/2026</v>
      </c>
      <c r="B4743" t="str">
        <f t="shared" si="871"/>
        <v>SAÍDA</v>
      </c>
      <c r="C4743" t="str">
        <f t="shared" si="873"/>
        <v>PIX</v>
      </c>
      <c r="D4743" t="str">
        <f>"35169"</f>
        <v>35169</v>
      </c>
      <c r="E4743" t="str">
        <f t="shared" si="874"/>
        <v>1</v>
      </c>
      <c r="F4743" t="str">
        <f t="shared" si="875"/>
        <v>COM</v>
      </c>
      <c r="G4743" t="str">
        <f>"MARIA ILZA PEREIRA DOS SANTOS (618)"</f>
        <v>MARIA ILZA PEREIRA DOS SANTOS (618)</v>
      </c>
      <c r="H4743" t="s">
        <v>1284</v>
      </c>
      <c r="I4743" t="str">
        <f t="shared" si="872"/>
        <v>26/03/2026</v>
      </c>
      <c r="J4743" t="str">
        <f t="shared" si="869"/>
        <v>17/03/2026</v>
      </c>
      <c r="K4743">
        <v>46107</v>
      </c>
      <c r="N4743">
        <v>109</v>
      </c>
      <c r="O4743" t="s">
        <v>27</v>
      </c>
      <c r="Q4743">
        <v>330</v>
      </c>
      <c r="R4743" t="str">
        <f>"FARMÁCIA INDIANA LJ 173 (10075)"</f>
        <v>FARMÁCIA INDIANA LJ 173 (10075)</v>
      </c>
      <c r="S4743" t="s">
        <v>37</v>
      </c>
      <c r="T4743">
        <v>32002</v>
      </c>
      <c r="U4743">
        <v>35169</v>
      </c>
      <c r="V4743" t="s">
        <v>37</v>
      </c>
    </row>
    <row r="4744" spans="1:22">
      <c r="A4744" t="str">
        <f t="shared" si="870"/>
        <v>26/03/2026</v>
      </c>
      <c r="B4744" t="str">
        <f t="shared" si="871"/>
        <v>SAÍDA</v>
      </c>
      <c r="C4744" t="str">
        <f t="shared" si="873"/>
        <v>PIX</v>
      </c>
      <c r="D4744" t="str">
        <f>"35170"</f>
        <v>35170</v>
      </c>
      <c r="E4744" t="str">
        <f t="shared" si="874"/>
        <v>1</v>
      </c>
      <c r="F4744" t="str">
        <f t="shared" si="875"/>
        <v>COM</v>
      </c>
      <c r="G4744" t="str">
        <f>"MARIA ILZA PEREIRA DOS SANTOS (618)"</f>
        <v>MARIA ILZA PEREIRA DOS SANTOS (618)</v>
      </c>
      <c r="H4744" t="str">
        <f>"Serv.Prest. 09/03/2026 a 15/03/2026 - PIX: CPF - CHAVE: 003.157.195-67"</f>
        <v>Serv.Prest. 09/03/2026 a 15/03/2026 - PIX: CPF - CHAVE: 003.157.195-67</v>
      </c>
      <c r="I4744" t="str">
        <f t="shared" si="872"/>
        <v>26/03/2026</v>
      </c>
      <c r="J4744" t="str">
        <f t="shared" si="869"/>
        <v>17/03/2026</v>
      </c>
      <c r="K4744" t="str">
        <f>("26/03/2026")</f>
        <v>26/03/2026</v>
      </c>
      <c r="L4744">
        <v>324</v>
      </c>
      <c r="M4744">
        <v>324</v>
      </c>
      <c r="N4744">
        <v>109</v>
      </c>
      <c r="O4744" t="str">
        <f>"PAGAMENTO DE ENTREGADORES"</f>
        <v>PAGAMENTO DE ENTREGADORES</v>
      </c>
      <c r="P4744">
        <v>324</v>
      </c>
      <c r="S4744" t="str">
        <f>"BANCO C6 (149)"</f>
        <v>BANCO C6 (149)</v>
      </c>
      <c r="T4744">
        <v>32003</v>
      </c>
      <c r="U4744">
        <v>35170</v>
      </c>
      <c r="V4744" t="s">
        <v>37</v>
      </c>
    </row>
    <row r="4745" spans="1:22">
      <c r="A4745" t="str">
        <f t="shared" si="870"/>
        <v>26/03/2026</v>
      </c>
      <c r="B4745" t="str">
        <f t="shared" si="871"/>
        <v>SAÍDA</v>
      </c>
      <c r="C4745" t="str">
        <f t="shared" si="873"/>
        <v>PIX</v>
      </c>
      <c r="D4745" t="str">
        <f>"35170"</f>
        <v>35170</v>
      </c>
      <c r="E4745" t="str">
        <f t="shared" si="874"/>
        <v>1</v>
      </c>
      <c r="F4745" t="str">
        <f t="shared" si="875"/>
        <v>COM</v>
      </c>
      <c r="G4745" t="str">
        <f>"MARIA ILZA PEREIRA DOS SANTOS (618)"</f>
        <v>MARIA ILZA PEREIRA DOS SANTOS (618)</v>
      </c>
      <c r="H4745" t="s">
        <v>1284</v>
      </c>
      <c r="I4745" t="str">
        <f t="shared" si="872"/>
        <v>26/03/2026</v>
      </c>
      <c r="J4745" t="str">
        <f t="shared" si="869"/>
        <v>17/03/2026</v>
      </c>
      <c r="K4745">
        <v>46107</v>
      </c>
      <c r="N4745">
        <v>109</v>
      </c>
      <c r="O4745" t="s">
        <v>27</v>
      </c>
      <c r="Q4745">
        <v>324</v>
      </c>
      <c r="R4745" t="str">
        <f>"FARMÁCIA INDIANA LJ 65 (10030)"</f>
        <v>FARMÁCIA INDIANA LJ 65 (10030)</v>
      </c>
      <c r="S4745" t="s">
        <v>37</v>
      </c>
      <c r="T4745">
        <v>32003</v>
      </c>
      <c r="U4745">
        <v>35170</v>
      </c>
      <c r="V4745" t="s">
        <v>37</v>
      </c>
    </row>
    <row r="4746" spans="1:22">
      <c r="A4746" t="str">
        <f t="shared" si="870"/>
        <v>26/03/2026</v>
      </c>
      <c r="B4746" t="str">
        <f t="shared" si="871"/>
        <v>SAÍDA</v>
      </c>
      <c r="C4746" t="str">
        <f t="shared" si="873"/>
        <v>PIX</v>
      </c>
      <c r="D4746" t="str">
        <f>"35171"</f>
        <v>35171</v>
      </c>
      <c r="E4746" t="str">
        <f t="shared" si="874"/>
        <v>1</v>
      </c>
      <c r="F4746" t="str">
        <f t="shared" si="875"/>
        <v>COM</v>
      </c>
      <c r="G4746" t="str">
        <f>"MOABIO AZEVEDO DOS SANTOS (131)"</f>
        <v>MOABIO AZEVEDO DOS SANTOS (131)</v>
      </c>
      <c r="H4746" t="str">
        <f>"Serv.Prest. 09/03/2026 a 15/03/2026 - PIX: CNPJ - CHAVE: 33.412.676/0001-41"</f>
        <v>Serv.Prest. 09/03/2026 a 15/03/2026 - PIX: CNPJ - CHAVE: 33.412.676/0001-41</v>
      </c>
      <c r="I4746" t="str">
        <f t="shared" si="872"/>
        <v>26/03/2026</v>
      </c>
      <c r="J4746" t="str">
        <f t="shared" si="869"/>
        <v>17/03/2026</v>
      </c>
      <c r="K4746" t="str">
        <f>("26/03/2026")</f>
        <v>26/03/2026</v>
      </c>
      <c r="L4746">
        <v>1441</v>
      </c>
      <c r="M4746">
        <v>1441</v>
      </c>
      <c r="N4746">
        <v>109</v>
      </c>
      <c r="O4746" t="str">
        <f>"PAGAMENTO DE ENTREGADORES"</f>
        <v>PAGAMENTO DE ENTREGADORES</v>
      </c>
      <c r="P4746">
        <v>1441</v>
      </c>
      <c r="S4746" t="str">
        <f>"BANCO C6 (149)"</f>
        <v>BANCO C6 (149)</v>
      </c>
      <c r="T4746">
        <v>32004</v>
      </c>
      <c r="U4746">
        <v>35171</v>
      </c>
      <c r="V4746" t="s">
        <v>37</v>
      </c>
    </row>
    <row r="4747" spans="1:22">
      <c r="A4747" t="str">
        <f t="shared" si="870"/>
        <v>26/03/2026</v>
      </c>
      <c r="B4747" t="str">
        <f t="shared" si="871"/>
        <v>SAÍDA</v>
      </c>
      <c r="C4747" t="str">
        <f t="shared" si="873"/>
        <v>PIX</v>
      </c>
      <c r="D4747" t="str">
        <f>"35171"</f>
        <v>35171</v>
      </c>
      <c r="E4747" t="str">
        <f t="shared" si="874"/>
        <v>1</v>
      </c>
      <c r="F4747" t="str">
        <f t="shared" si="875"/>
        <v>COM</v>
      </c>
      <c r="G4747" t="str">
        <f>"MOABIO AZEVEDO DOS SANTOS (131)"</f>
        <v>MOABIO AZEVEDO DOS SANTOS (131)</v>
      </c>
      <c r="H4747" t="s">
        <v>897</v>
      </c>
      <c r="I4747" t="str">
        <f t="shared" si="872"/>
        <v>26/03/2026</v>
      </c>
      <c r="J4747" t="str">
        <f t="shared" si="869"/>
        <v>17/03/2026</v>
      </c>
      <c r="K4747">
        <v>46107</v>
      </c>
      <c r="N4747">
        <v>109</v>
      </c>
      <c r="O4747" t="s">
        <v>27</v>
      </c>
      <c r="Q4747">
        <v>1441</v>
      </c>
      <c r="R4747" t="str">
        <f>"FARMÁCIA INDIANA LJ 91 (10037)"</f>
        <v>FARMÁCIA INDIANA LJ 91 (10037)</v>
      </c>
      <c r="S4747" t="s">
        <v>37</v>
      </c>
      <c r="T4747">
        <v>32004</v>
      </c>
      <c r="U4747">
        <v>35171</v>
      </c>
      <c r="V4747" t="s">
        <v>37</v>
      </c>
    </row>
    <row r="4748" spans="1:22">
      <c r="A4748" t="str">
        <f t="shared" si="870"/>
        <v>26/03/2026</v>
      </c>
      <c r="B4748" t="str">
        <f t="shared" si="871"/>
        <v>SAÍDA</v>
      </c>
      <c r="C4748" t="str">
        <f t="shared" si="873"/>
        <v>PIX</v>
      </c>
      <c r="D4748" t="str">
        <f>"35172"</f>
        <v>35172</v>
      </c>
      <c r="E4748" t="str">
        <f t="shared" si="874"/>
        <v>1</v>
      </c>
      <c r="F4748" t="str">
        <f t="shared" si="875"/>
        <v>COM</v>
      </c>
      <c r="G4748" t="str">
        <f>"OSVALDO DOS SANTOS (163)"</f>
        <v>OSVALDO DOS SANTOS (163)</v>
      </c>
      <c r="H4748" t="str">
        <f>"Serv.Prest. 09/03/2026 a 15/03/2026 - PIX: CELULAR - CHAVE: (73) 99977-2721"</f>
        <v>Serv.Prest. 09/03/2026 a 15/03/2026 - PIX: CELULAR - CHAVE: (73) 99977-2721</v>
      </c>
      <c r="I4748" t="str">
        <f t="shared" si="872"/>
        <v>26/03/2026</v>
      </c>
      <c r="J4748" t="str">
        <f t="shared" si="869"/>
        <v>17/03/2026</v>
      </c>
      <c r="K4748" t="str">
        <f>("26/03/2026")</f>
        <v>26/03/2026</v>
      </c>
      <c r="L4748">
        <v>600</v>
      </c>
      <c r="M4748">
        <v>600</v>
      </c>
      <c r="N4748">
        <v>109</v>
      </c>
      <c r="O4748" t="str">
        <f>"PAGAMENTO DE ENTREGADORES"</f>
        <v>PAGAMENTO DE ENTREGADORES</v>
      </c>
      <c r="P4748">
        <v>600</v>
      </c>
      <c r="S4748" t="str">
        <f>"BANCO C6 (149)"</f>
        <v>BANCO C6 (149)</v>
      </c>
      <c r="T4748">
        <v>32005</v>
      </c>
      <c r="U4748">
        <v>35172</v>
      </c>
      <c r="V4748" t="s">
        <v>37</v>
      </c>
    </row>
    <row r="4749" spans="1:22">
      <c r="A4749" t="str">
        <f t="shared" si="870"/>
        <v>26/03/2026</v>
      </c>
      <c r="B4749" t="str">
        <f t="shared" si="871"/>
        <v>SAÍDA</v>
      </c>
      <c r="C4749" t="str">
        <f t="shared" si="873"/>
        <v>PIX</v>
      </c>
      <c r="D4749" t="str">
        <f>"35172"</f>
        <v>35172</v>
      </c>
      <c r="E4749" t="str">
        <f t="shared" si="874"/>
        <v>1</v>
      </c>
      <c r="F4749" t="str">
        <f t="shared" si="875"/>
        <v>COM</v>
      </c>
      <c r="G4749" t="str">
        <f>"OSVALDO DOS SANTOS (163)"</f>
        <v>OSVALDO DOS SANTOS (163)</v>
      </c>
      <c r="H4749" t="s">
        <v>1285</v>
      </c>
      <c r="I4749" t="str">
        <f t="shared" si="872"/>
        <v>26/03/2026</v>
      </c>
      <c r="J4749" t="str">
        <f t="shared" si="869"/>
        <v>17/03/2026</v>
      </c>
      <c r="K4749">
        <v>46107</v>
      </c>
      <c r="N4749">
        <v>109</v>
      </c>
      <c r="O4749" t="s">
        <v>27</v>
      </c>
      <c r="Q4749">
        <v>600</v>
      </c>
      <c r="R4749" t="str">
        <f>"FARMÁCIA INDIANA LJ 35 (10015)"</f>
        <v>FARMÁCIA INDIANA LJ 35 (10015)</v>
      </c>
      <c r="S4749" t="s">
        <v>37</v>
      </c>
      <c r="T4749">
        <v>32005</v>
      </c>
      <c r="U4749">
        <v>35172</v>
      </c>
      <c r="V4749" t="s">
        <v>37</v>
      </c>
    </row>
    <row r="4750" spans="1:22">
      <c r="A4750" t="str">
        <f t="shared" si="870"/>
        <v>26/03/2026</v>
      </c>
      <c r="B4750" t="str">
        <f t="shared" si="871"/>
        <v>SAÍDA</v>
      </c>
      <c r="C4750" t="str">
        <f t="shared" si="873"/>
        <v>PIX</v>
      </c>
      <c r="D4750" t="str">
        <f>"35177"</f>
        <v>35177</v>
      </c>
      <c r="E4750" t="str">
        <f t="shared" si="874"/>
        <v>1</v>
      </c>
      <c r="F4750" t="str">
        <f t="shared" si="875"/>
        <v>COM</v>
      </c>
      <c r="G4750" t="str">
        <f>"VINICIUS SANTOS PEREIRA (633)"</f>
        <v>VINICIUS SANTOS PEREIRA (633)</v>
      </c>
      <c r="H4750" t="str">
        <f>"Serv.Prest. 09/03/2026 a 15/03/2026 - PIX: CELULAR - CHAVE: (73) 99818-9718"</f>
        <v>Serv.Prest. 09/03/2026 a 15/03/2026 - PIX: CELULAR - CHAVE: (73) 99818-9718</v>
      </c>
      <c r="I4750" t="str">
        <f t="shared" si="872"/>
        <v>26/03/2026</v>
      </c>
      <c r="J4750" t="str">
        <f t="shared" ref="J4750:J4813" si="876">("17/03/2026")</f>
        <v>17/03/2026</v>
      </c>
      <c r="K4750" t="str">
        <f>("26/03/2026")</f>
        <v>26/03/2026</v>
      </c>
      <c r="L4750">
        <v>1139</v>
      </c>
      <c r="M4750">
        <v>1139</v>
      </c>
      <c r="N4750">
        <v>109</v>
      </c>
      <c r="O4750" t="str">
        <f>"PAGAMENTO DE ENTREGADORES"</f>
        <v>PAGAMENTO DE ENTREGADORES</v>
      </c>
      <c r="P4750">
        <v>1139</v>
      </c>
      <c r="S4750" t="str">
        <f>"BANCO C6 (149)"</f>
        <v>BANCO C6 (149)</v>
      </c>
      <c r="T4750">
        <v>32006</v>
      </c>
      <c r="U4750">
        <v>35177</v>
      </c>
      <c r="V4750" t="s">
        <v>37</v>
      </c>
    </row>
    <row r="4751" spans="1:22">
      <c r="A4751" t="str">
        <f t="shared" si="870"/>
        <v>26/03/2026</v>
      </c>
      <c r="B4751" t="str">
        <f t="shared" si="871"/>
        <v>SAÍDA</v>
      </c>
      <c r="C4751" t="str">
        <f t="shared" si="873"/>
        <v>PIX</v>
      </c>
      <c r="D4751" t="str">
        <f>"35177"</f>
        <v>35177</v>
      </c>
      <c r="E4751" t="str">
        <f t="shared" si="874"/>
        <v>1</v>
      </c>
      <c r="F4751" t="str">
        <f t="shared" si="875"/>
        <v>COM</v>
      </c>
      <c r="G4751" t="str">
        <f>"VINICIUS SANTOS PEREIRA (633)"</f>
        <v>VINICIUS SANTOS PEREIRA (633)</v>
      </c>
      <c r="H4751" t="s">
        <v>1286</v>
      </c>
      <c r="I4751" t="str">
        <f t="shared" si="872"/>
        <v>26/03/2026</v>
      </c>
      <c r="J4751" t="str">
        <f t="shared" si="876"/>
        <v>17/03/2026</v>
      </c>
      <c r="K4751">
        <v>46107</v>
      </c>
      <c r="N4751">
        <v>109</v>
      </c>
      <c r="O4751" t="s">
        <v>27</v>
      </c>
      <c r="Q4751">
        <v>1139</v>
      </c>
      <c r="R4751" t="str">
        <f>"FARMÁCIA INDIANA LJ 95 (10039)"</f>
        <v>FARMÁCIA INDIANA LJ 95 (10039)</v>
      </c>
      <c r="S4751" t="s">
        <v>37</v>
      </c>
      <c r="T4751">
        <v>32006</v>
      </c>
      <c r="U4751">
        <v>35177</v>
      </c>
      <c r="V4751" t="s">
        <v>37</v>
      </c>
    </row>
    <row r="4752" spans="1:22">
      <c r="A4752" t="str">
        <f t="shared" si="870"/>
        <v>26/03/2026</v>
      </c>
      <c r="B4752" t="str">
        <f t="shared" si="871"/>
        <v>SAÍDA</v>
      </c>
      <c r="C4752" t="str">
        <f t="shared" si="873"/>
        <v>PIX</v>
      </c>
      <c r="D4752" t="str">
        <f>"35178"</f>
        <v>35178</v>
      </c>
      <c r="E4752" t="str">
        <f t="shared" si="874"/>
        <v>1</v>
      </c>
      <c r="F4752" t="str">
        <f t="shared" si="875"/>
        <v>COM</v>
      </c>
      <c r="G4752" t="str">
        <f>"WESLEI GONÇALVES SANTOS (154)"</f>
        <v>WESLEI GONÇALVES SANTOS (154)</v>
      </c>
      <c r="H4752" t="str">
        <f>"Serv.Prest. 09/03/2026 a 15/03/2026 - PIX: CPF - CHAVE: 079.068.045-97"</f>
        <v>Serv.Prest. 09/03/2026 a 15/03/2026 - PIX: CPF - CHAVE: 079.068.045-97</v>
      </c>
      <c r="I4752" t="str">
        <f t="shared" si="872"/>
        <v>26/03/2026</v>
      </c>
      <c r="J4752" t="str">
        <f t="shared" si="876"/>
        <v>17/03/2026</v>
      </c>
      <c r="K4752" t="str">
        <f>("26/03/2026")</f>
        <v>26/03/2026</v>
      </c>
      <c r="L4752">
        <v>600.66</v>
      </c>
      <c r="M4752">
        <v>600.66</v>
      </c>
      <c r="N4752">
        <v>109</v>
      </c>
      <c r="O4752" t="str">
        <f>"PAGAMENTO DE ENTREGADORES"</f>
        <v>PAGAMENTO DE ENTREGADORES</v>
      </c>
      <c r="P4752">
        <v>600.66</v>
      </c>
      <c r="S4752" t="str">
        <f>"BANCO C6 (149)"</f>
        <v>BANCO C6 (149)</v>
      </c>
      <c r="T4752">
        <v>32007</v>
      </c>
      <c r="U4752">
        <v>35178</v>
      </c>
      <c r="V4752" t="s">
        <v>37</v>
      </c>
    </row>
    <row r="4753" spans="1:22">
      <c r="A4753" t="str">
        <f t="shared" si="870"/>
        <v>26/03/2026</v>
      </c>
      <c r="B4753" t="str">
        <f t="shared" si="871"/>
        <v>SAÍDA</v>
      </c>
      <c r="C4753" t="str">
        <f t="shared" si="873"/>
        <v>PIX</v>
      </c>
      <c r="D4753" t="str">
        <f>"35178"</f>
        <v>35178</v>
      </c>
      <c r="E4753" t="str">
        <f t="shared" si="874"/>
        <v>1</v>
      </c>
      <c r="F4753" t="str">
        <f t="shared" si="875"/>
        <v>COM</v>
      </c>
      <c r="G4753" t="str">
        <f>"WESLEI GONÇALVES SANTOS (154)"</f>
        <v>WESLEI GONÇALVES SANTOS (154)</v>
      </c>
      <c r="H4753" t="s">
        <v>1287</v>
      </c>
      <c r="I4753" t="str">
        <f t="shared" si="872"/>
        <v>26/03/2026</v>
      </c>
      <c r="J4753" t="str">
        <f t="shared" si="876"/>
        <v>17/03/2026</v>
      </c>
      <c r="K4753">
        <v>46107</v>
      </c>
      <c r="N4753">
        <v>109</v>
      </c>
      <c r="O4753" t="s">
        <v>27</v>
      </c>
      <c r="Q4753">
        <v>600.66</v>
      </c>
      <c r="R4753" t="str">
        <f>"FARMÁCIA INDIANA LJ 34 (10014)"</f>
        <v>FARMÁCIA INDIANA LJ 34 (10014)</v>
      </c>
      <c r="S4753" t="s">
        <v>37</v>
      </c>
      <c r="T4753">
        <v>32007</v>
      </c>
      <c r="U4753">
        <v>35178</v>
      </c>
      <c r="V4753" t="s">
        <v>37</v>
      </c>
    </row>
    <row r="4754" spans="1:22">
      <c r="A4754" t="str">
        <f t="shared" si="870"/>
        <v>26/03/2026</v>
      </c>
      <c r="B4754" t="str">
        <f t="shared" si="871"/>
        <v>SAÍDA</v>
      </c>
      <c r="C4754" t="str">
        <f t="shared" si="873"/>
        <v>PIX</v>
      </c>
      <c r="D4754" t="str">
        <f>"35179"</f>
        <v>35179</v>
      </c>
      <c r="E4754" t="str">
        <f t="shared" si="874"/>
        <v>1</v>
      </c>
      <c r="F4754" t="str">
        <f t="shared" si="875"/>
        <v>COM</v>
      </c>
      <c r="G4754" t="str">
        <f>"YAN BRENDO CORREIA VIEIRA (861)"</f>
        <v>YAN BRENDO CORREIA VIEIRA (861)</v>
      </c>
      <c r="H4754" t="str">
        <f>"Serv.Prest. 09/03/2026 a 15/03/2026 - PIX: CPF - CHAVE: 096.891.935-97"</f>
        <v>Serv.Prest. 09/03/2026 a 15/03/2026 - PIX: CPF - CHAVE: 096.891.935-97</v>
      </c>
      <c r="I4754" t="str">
        <f t="shared" si="872"/>
        <v>26/03/2026</v>
      </c>
      <c r="J4754" t="str">
        <f t="shared" si="876"/>
        <v>17/03/2026</v>
      </c>
      <c r="K4754" t="str">
        <f>("26/03/2026")</f>
        <v>26/03/2026</v>
      </c>
      <c r="L4754">
        <v>800</v>
      </c>
      <c r="M4754">
        <v>800</v>
      </c>
      <c r="N4754">
        <v>109</v>
      </c>
      <c r="O4754" t="str">
        <f>"PAGAMENTO DE ENTREGADORES"</f>
        <v>PAGAMENTO DE ENTREGADORES</v>
      </c>
      <c r="P4754">
        <v>800</v>
      </c>
      <c r="S4754" t="str">
        <f>"BANCO C6 (149)"</f>
        <v>BANCO C6 (149)</v>
      </c>
      <c r="T4754">
        <v>32008</v>
      </c>
      <c r="U4754">
        <v>35179</v>
      </c>
      <c r="V4754" t="s">
        <v>37</v>
      </c>
    </row>
    <row r="4755" spans="1:22">
      <c r="A4755" t="str">
        <f t="shared" si="870"/>
        <v>26/03/2026</v>
      </c>
      <c r="B4755" t="str">
        <f t="shared" si="871"/>
        <v>SAÍDA</v>
      </c>
      <c r="C4755" t="str">
        <f t="shared" si="873"/>
        <v>PIX</v>
      </c>
      <c r="D4755" t="str">
        <f>"35179"</f>
        <v>35179</v>
      </c>
      <c r="E4755" t="str">
        <f t="shared" si="874"/>
        <v>1</v>
      </c>
      <c r="F4755" t="str">
        <f t="shared" si="875"/>
        <v>COM</v>
      </c>
      <c r="G4755" t="str">
        <f>"YAN BRENDO CORREIA VIEIRA (861)"</f>
        <v>YAN BRENDO CORREIA VIEIRA (861)</v>
      </c>
      <c r="H4755" t="s">
        <v>1288</v>
      </c>
      <c r="I4755" t="str">
        <f t="shared" si="872"/>
        <v>26/03/2026</v>
      </c>
      <c r="J4755" t="str">
        <f t="shared" si="876"/>
        <v>17/03/2026</v>
      </c>
      <c r="K4755">
        <v>46107</v>
      </c>
      <c r="N4755">
        <v>109</v>
      </c>
      <c r="O4755" t="s">
        <v>27</v>
      </c>
      <c r="Q4755">
        <v>800</v>
      </c>
      <c r="R4755" t="str">
        <f>"FARMÁCIA INDIANA LJ 200 (10155)"</f>
        <v>FARMÁCIA INDIANA LJ 200 (10155)</v>
      </c>
      <c r="S4755" t="s">
        <v>37</v>
      </c>
      <c r="T4755">
        <v>32008</v>
      </c>
      <c r="U4755">
        <v>35179</v>
      </c>
      <c r="V4755" t="s">
        <v>37</v>
      </c>
    </row>
    <row r="4756" spans="1:22">
      <c r="A4756" t="str">
        <f t="shared" si="870"/>
        <v>26/03/2026</v>
      </c>
      <c r="B4756" t="str">
        <f t="shared" si="871"/>
        <v>SAÍDA</v>
      </c>
      <c r="C4756" t="str">
        <f t="shared" si="873"/>
        <v>PIX</v>
      </c>
      <c r="D4756" t="str">
        <f>"35181"</f>
        <v>35181</v>
      </c>
      <c r="E4756" t="str">
        <f t="shared" si="874"/>
        <v>1</v>
      </c>
      <c r="F4756" t="str">
        <f t="shared" si="875"/>
        <v>COM</v>
      </c>
      <c r="G4756" t="str">
        <f>"DANILO ROCHA SILVA (162)"</f>
        <v>DANILO ROCHA SILVA (162)</v>
      </c>
      <c r="H4756" t="str">
        <f>"Serv.Prest. 09/03/2026 a 15/03/2026 - PIX: CELULAR - CHAVE: (27) 99811-6850"</f>
        <v>Serv.Prest. 09/03/2026 a 15/03/2026 - PIX: CELULAR - CHAVE: (27) 99811-6850</v>
      </c>
      <c r="I4756" t="str">
        <f t="shared" si="872"/>
        <v>26/03/2026</v>
      </c>
      <c r="J4756" t="str">
        <f t="shared" si="876"/>
        <v>17/03/2026</v>
      </c>
      <c r="K4756" t="str">
        <f>("26/03/2026")</f>
        <v>26/03/2026</v>
      </c>
      <c r="L4756">
        <v>1215</v>
      </c>
      <c r="M4756">
        <v>1215</v>
      </c>
      <c r="N4756">
        <v>109</v>
      </c>
      <c r="O4756" t="str">
        <f>"PAGAMENTO DE ENTREGADORES"</f>
        <v>PAGAMENTO DE ENTREGADORES</v>
      </c>
      <c r="P4756">
        <v>1215</v>
      </c>
      <c r="S4756" t="str">
        <f>"BANCO C6 (149)"</f>
        <v>BANCO C6 (149)</v>
      </c>
      <c r="T4756">
        <v>32009</v>
      </c>
      <c r="U4756">
        <v>35181</v>
      </c>
      <c r="V4756" t="s">
        <v>37</v>
      </c>
    </row>
    <row r="4757" spans="1:22">
      <c r="A4757" t="str">
        <f t="shared" si="870"/>
        <v>26/03/2026</v>
      </c>
      <c r="B4757" t="str">
        <f t="shared" si="871"/>
        <v>SAÍDA</v>
      </c>
      <c r="C4757" t="str">
        <f t="shared" si="873"/>
        <v>PIX</v>
      </c>
      <c r="D4757" t="str">
        <f>"35181"</f>
        <v>35181</v>
      </c>
      <c r="E4757" t="str">
        <f t="shared" si="874"/>
        <v>1</v>
      </c>
      <c r="F4757" t="str">
        <f t="shared" si="875"/>
        <v>COM</v>
      </c>
      <c r="G4757" t="str">
        <f>"DANILO ROCHA SILVA (162)"</f>
        <v>DANILO ROCHA SILVA (162)</v>
      </c>
      <c r="H4757" t="s">
        <v>1289</v>
      </c>
      <c r="I4757" t="str">
        <f t="shared" si="872"/>
        <v>26/03/2026</v>
      </c>
      <c r="J4757" t="str">
        <f t="shared" si="876"/>
        <v>17/03/2026</v>
      </c>
      <c r="K4757">
        <v>46107</v>
      </c>
      <c r="N4757">
        <v>109</v>
      </c>
      <c r="O4757" t="s">
        <v>27</v>
      </c>
      <c r="Q4757">
        <v>1215</v>
      </c>
      <c r="R4757" t="str">
        <f>"FARMÁCIA INDIANA LJ 181 (10078)"</f>
        <v>FARMÁCIA INDIANA LJ 181 (10078)</v>
      </c>
      <c r="S4757" t="s">
        <v>37</v>
      </c>
      <c r="T4757">
        <v>32009</v>
      </c>
      <c r="U4757">
        <v>35181</v>
      </c>
      <c r="V4757" t="s">
        <v>37</v>
      </c>
    </row>
    <row r="4758" spans="1:22">
      <c r="A4758" t="str">
        <f t="shared" si="870"/>
        <v>26/03/2026</v>
      </c>
      <c r="B4758" t="str">
        <f t="shared" si="871"/>
        <v>SAÍDA</v>
      </c>
      <c r="C4758" t="str">
        <f t="shared" si="873"/>
        <v>PIX</v>
      </c>
      <c r="D4758" t="str">
        <f>"35182"</f>
        <v>35182</v>
      </c>
      <c r="E4758" t="str">
        <f t="shared" si="874"/>
        <v>1</v>
      </c>
      <c r="F4758" t="str">
        <f t="shared" si="875"/>
        <v>COM</v>
      </c>
      <c r="G4758" t="str">
        <f>"GABRIEL PRATES DE OLIVEIRA (511)"</f>
        <v>GABRIEL PRATES DE OLIVEIRA (511)</v>
      </c>
      <c r="H4758" t="str">
        <f>"Serv.Prest. 09/03/2026 a 15/03/2026 - PIX: CELULAR - CHAVE: (27) 99869-8144"</f>
        <v>Serv.Prest. 09/03/2026 a 15/03/2026 - PIX: CELULAR - CHAVE: (27) 99869-8144</v>
      </c>
      <c r="I4758" t="str">
        <f t="shared" si="872"/>
        <v>26/03/2026</v>
      </c>
      <c r="J4758" t="str">
        <f t="shared" si="876"/>
        <v>17/03/2026</v>
      </c>
      <c r="K4758" t="str">
        <f>("26/03/2026")</f>
        <v>26/03/2026</v>
      </c>
      <c r="L4758">
        <v>756</v>
      </c>
      <c r="M4758">
        <v>756</v>
      </c>
      <c r="N4758">
        <v>109</v>
      </c>
      <c r="O4758" t="str">
        <f>"PAGAMENTO DE ENTREGADORES"</f>
        <v>PAGAMENTO DE ENTREGADORES</v>
      </c>
      <c r="P4758">
        <v>756</v>
      </c>
      <c r="S4758" t="str">
        <f>"BANCO C6 (149)"</f>
        <v>BANCO C6 (149)</v>
      </c>
      <c r="T4758">
        <v>32010</v>
      </c>
      <c r="U4758">
        <v>35182</v>
      </c>
      <c r="V4758" t="s">
        <v>37</v>
      </c>
    </row>
    <row r="4759" spans="1:22">
      <c r="A4759" t="str">
        <f t="shared" si="870"/>
        <v>26/03/2026</v>
      </c>
      <c r="B4759" t="str">
        <f t="shared" si="871"/>
        <v>SAÍDA</v>
      </c>
      <c r="C4759" t="str">
        <f t="shared" si="873"/>
        <v>PIX</v>
      </c>
      <c r="D4759" t="str">
        <f>"35182"</f>
        <v>35182</v>
      </c>
      <c r="E4759" t="str">
        <f t="shared" si="874"/>
        <v>1</v>
      </c>
      <c r="F4759" t="str">
        <f t="shared" si="875"/>
        <v>COM</v>
      </c>
      <c r="G4759" t="str">
        <f>"GABRIEL PRATES DE OLIVEIRA (511)"</f>
        <v>GABRIEL PRATES DE OLIVEIRA (511)</v>
      </c>
      <c r="H4759" t="s">
        <v>1290</v>
      </c>
      <c r="I4759" t="str">
        <f t="shared" si="872"/>
        <v>26/03/2026</v>
      </c>
      <c r="J4759" t="str">
        <f t="shared" si="876"/>
        <v>17/03/2026</v>
      </c>
      <c r="K4759">
        <v>46107</v>
      </c>
      <c r="N4759">
        <v>109</v>
      </c>
      <c r="O4759" t="s">
        <v>27</v>
      </c>
      <c r="Q4759">
        <v>756</v>
      </c>
      <c r="R4759" t="str">
        <f>"FARMÁCIA INDIANA LJ 163 (10072)"</f>
        <v>FARMÁCIA INDIANA LJ 163 (10072)</v>
      </c>
      <c r="S4759" t="s">
        <v>37</v>
      </c>
      <c r="T4759">
        <v>32010</v>
      </c>
      <c r="U4759">
        <v>35182</v>
      </c>
      <c r="V4759" t="s">
        <v>37</v>
      </c>
    </row>
    <row r="4760" spans="1:22">
      <c r="A4760" t="str">
        <f t="shared" ref="A4760:A4823" si="877">("26/03/2026")</f>
        <v>26/03/2026</v>
      </c>
      <c r="B4760" t="str">
        <f t="shared" si="871"/>
        <v>SAÍDA</v>
      </c>
      <c r="C4760" t="str">
        <f t="shared" si="873"/>
        <v>PIX</v>
      </c>
      <c r="D4760" t="str">
        <f>"35183"</f>
        <v>35183</v>
      </c>
      <c r="E4760" t="str">
        <f t="shared" si="874"/>
        <v>1</v>
      </c>
      <c r="F4760" t="str">
        <f t="shared" si="875"/>
        <v>COM</v>
      </c>
      <c r="G4760" t="str">
        <f>"JACQUES SEBIM SANTNA (918)"</f>
        <v>JACQUES SEBIM SANTNA (918)</v>
      </c>
      <c r="H4760" t="str">
        <f>"Serv.Prest. 09/03/2026 a 15/03/2026 - PIX: CNPJ - CHAVE: 40.359.224/0001-09"</f>
        <v>Serv.Prest. 09/03/2026 a 15/03/2026 - PIX: CNPJ - CHAVE: 40.359.224/0001-09</v>
      </c>
      <c r="I4760" t="str">
        <f t="shared" si="872"/>
        <v>26/03/2026</v>
      </c>
      <c r="J4760" t="str">
        <f t="shared" si="876"/>
        <v>17/03/2026</v>
      </c>
      <c r="K4760" t="str">
        <f>("26/03/2026")</f>
        <v>26/03/2026</v>
      </c>
      <c r="L4760">
        <v>804</v>
      </c>
      <c r="M4760">
        <v>804</v>
      </c>
      <c r="N4760">
        <v>109</v>
      </c>
      <c r="O4760" t="str">
        <f>"PAGAMENTO DE ENTREGADORES"</f>
        <v>PAGAMENTO DE ENTREGADORES</v>
      </c>
      <c r="P4760">
        <v>804</v>
      </c>
      <c r="S4760" t="str">
        <f>"BANCO C6 (149)"</f>
        <v>BANCO C6 (149)</v>
      </c>
      <c r="T4760">
        <v>32011</v>
      </c>
      <c r="U4760">
        <v>35183</v>
      </c>
      <c r="V4760" t="s">
        <v>37</v>
      </c>
    </row>
    <row r="4761" spans="1:22">
      <c r="A4761" t="str">
        <f t="shared" si="877"/>
        <v>26/03/2026</v>
      </c>
      <c r="B4761" t="str">
        <f t="shared" si="871"/>
        <v>SAÍDA</v>
      </c>
      <c r="C4761" t="str">
        <f t="shared" si="873"/>
        <v>PIX</v>
      </c>
      <c r="D4761" t="str">
        <f>"35183"</f>
        <v>35183</v>
      </c>
      <c r="E4761" t="str">
        <f t="shared" si="874"/>
        <v>1</v>
      </c>
      <c r="F4761" t="str">
        <f t="shared" si="875"/>
        <v>COM</v>
      </c>
      <c r="G4761" t="str">
        <f>"JACQUES SEBIM SANTNA (918)"</f>
        <v>JACQUES SEBIM SANTNA (918)</v>
      </c>
      <c r="H4761" t="s">
        <v>1291</v>
      </c>
      <c r="I4761" t="str">
        <f t="shared" si="872"/>
        <v>26/03/2026</v>
      </c>
      <c r="J4761" t="str">
        <f t="shared" si="876"/>
        <v>17/03/2026</v>
      </c>
      <c r="K4761">
        <v>46107</v>
      </c>
      <c r="N4761">
        <v>109</v>
      </c>
      <c r="O4761" t="s">
        <v>27</v>
      </c>
      <c r="Q4761">
        <v>804</v>
      </c>
      <c r="R4761" t="str">
        <f>"FARMÁCIA INDIANA LJ 188 (10176)"</f>
        <v>FARMÁCIA INDIANA LJ 188 (10176)</v>
      </c>
      <c r="S4761" t="s">
        <v>37</v>
      </c>
      <c r="T4761">
        <v>32011</v>
      </c>
      <c r="U4761">
        <v>35183</v>
      </c>
      <c r="V4761" t="s">
        <v>37</v>
      </c>
    </row>
    <row r="4762" spans="1:22">
      <c r="A4762" t="str">
        <f t="shared" si="877"/>
        <v>26/03/2026</v>
      </c>
      <c r="B4762" t="str">
        <f t="shared" si="871"/>
        <v>SAÍDA</v>
      </c>
      <c r="C4762" t="str">
        <f t="shared" si="873"/>
        <v>PIX</v>
      </c>
      <c r="D4762" t="str">
        <f>"35184"</f>
        <v>35184</v>
      </c>
      <c r="E4762" t="str">
        <f t="shared" si="874"/>
        <v>1</v>
      </c>
      <c r="F4762" t="str">
        <f t="shared" si="875"/>
        <v>COM</v>
      </c>
      <c r="G4762" t="str">
        <f>"JAIR BRISON JUNIOR (964)"</f>
        <v>JAIR BRISON JUNIOR (964)</v>
      </c>
      <c r="H4762" t="str">
        <f>"Serv.Prest. 09/03/2026 a 15/03/2026 - PIX: CPF - CHAVE: 096.116.707-61"</f>
        <v>Serv.Prest. 09/03/2026 a 15/03/2026 - PIX: CPF - CHAVE: 096.116.707-61</v>
      </c>
      <c r="I4762" t="str">
        <f t="shared" si="872"/>
        <v>26/03/2026</v>
      </c>
      <c r="J4762" t="str">
        <f t="shared" si="876"/>
        <v>17/03/2026</v>
      </c>
      <c r="K4762" t="str">
        <f>("26/03/2026")</f>
        <v>26/03/2026</v>
      </c>
      <c r="L4762">
        <v>825</v>
      </c>
      <c r="M4762">
        <v>825</v>
      </c>
      <c r="N4762">
        <v>109</v>
      </c>
      <c r="O4762" t="str">
        <f>"PAGAMENTO DE ENTREGADORES"</f>
        <v>PAGAMENTO DE ENTREGADORES</v>
      </c>
      <c r="P4762">
        <v>825</v>
      </c>
      <c r="S4762" t="str">
        <f>"BANCO C6 (149)"</f>
        <v>BANCO C6 (149)</v>
      </c>
      <c r="T4762">
        <v>32012</v>
      </c>
      <c r="U4762">
        <v>35184</v>
      </c>
      <c r="V4762" t="s">
        <v>37</v>
      </c>
    </row>
    <row r="4763" spans="1:22">
      <c r="A4763" t="str">
        <f t="shared" si="877"/>
        <v>26/03/2026</v>
      </c>
      <c r="B4763" t="str">
        <f t="shared" si="871"/>
        <v>SAÍDA</v>
      </c>
      <c r="C4763" t="str">
        <f t="shared" si="873"/>
        <v>PIX</v>
      </c>
      <c r="D4763" t="str">
        <f>"35184"</f>
        <v>35184</v>
      </c>
      <c r="E4763" t="str">
        <f t="shared" si="874"/>
        <v>1</v>
      </c>
      <c r="F4763" t="str">
        <f t="shared" si="875"/>
        <v>COM</v>
      </c>
      <c r="G4763" t="str">
        <f>"JAIR BRISON JUNIOR (964)"</f>
        <v>JAIR BRISON JUNIOR (964)</v>
      </c>
      <c r="H4763" t="s">
        <v>1292</v>
      </c>
      <c r="I4763" t="str">
        <f t="shared" si="872"/>
        <v>26/03/2026</v>
      </c>
      <c r="J4763" t="str">
        <f t="shared" si="876"/>
        <v>17/03/2026</v>
      </c>
      <c r="K4763">
        <v>46107</v>
      </c>
      <c r="N4763">
        <v>109</v>
      </c>
      <c r="O4763" t="s">
        <v>27</v>
      </c>
      <c r="Q4763">
        <v>825</v>
      </c>
      <c r="R4763" t="str">
        <f>"FARMÁCIA INDIANA LJ 119 (10053)"</f>
        <v>FARMÁCIA INDIANA LJ 119 (10053)</v>
      </c>
      <c r="S4763" t="s">
        <v>37</v>
      </c>
      <c r="T4763">
        <v>32012</v>
      </c>
      <c r="U4763">
        <v>35184</v>
      </c>
      <c r="V4763" t="s">
        <v>37</v>
      </c>
    </row>
    <row r="4764" spans="1:22">
      <c r="A4764" t="str">
        <f t="shared" si="877"/>
        <v>26/03/2026</v>
      </c>
      <c r="B4764" t="str">
        <f t="shared" si="871"/>
        <v>SAÍDA</v>
      </c>
      <c r="C4764" t="str">
        <f t="shared" si="873"/>
        <v>PIX</v>
      </c>
      <c r="D4764" t="str">
        <f>"35186"</f>
        <v>35186</v>
      </c>
      <c r="E4764" t="str">
        <f t="shared" si="874"/>
        <v>1</v>
      </c>
      <c r="F4764" t="str">
        <f t="shared" si="875"/>
        <v>COM</v>
      </c>
      <c r="G4764" t="str">
        <f>"ALEXSANDER MESSIAS TEIXEIRA (382)"</f>
        <v>ALEXSANDER MESSIAS TEIXEIRA (382)</v>
      </c>
      <c r="H4764" t="str">
        <f>"Serv.Prest. 09/03/2026 a 15/03/2026 - PIX: CPF - CHAVE: 108.723.916-80"</f>
        <v>Serv.Prest. 09/03/2026 a 15/03/2026 - PIX: CPF - CHAVE: 108.723.916-80</v>
      </c>
      <c r="I4764" t="str">
        <f t="shared" si="872"/>
        <v>26/03/2026</v>
      </c>
      <c r="J4764" t="str">
        <f t="shared" si="876"/>
        <v>17/03/2026</v>
      </c>
      <c r="K4764" t="str">
        <f>("26/03/2026")</f>
        <v>26/03/2026</v>
      </c>
      <c r="L4764">
        <v>600</v>
      </c>
      <c r="M4764">
        <v>600</v>
      </c>
      <c r="N4764">
        <v>109</v>
      </c>
      <c r="O4764" t="str">
        <f>"PAGAMENTO DE ENTREGADORES"</f>
        <v>PAGAMENTO DE ENTREGADORES</v>
      </c>
      <c r="P4764">
        <v>600</v>
      </c>
      <c r="S4764" t="str">
        <f>"BANCO C6 (149)"</f>
        <v>BANCO C6 (149)</v>
      </c>
      <c r="T4764">
        <v>32013</v>
      </c>
      <c r="U4764">
        <v>35186</v>
      </c>
      <c r="V4764" t="s">
        <v>37</v>
      </c>
    </row>
    <row r="4765" spans="1:22">
      <c r="A4765" t="str">
        <f t="shared" si="877"/>
        <v>26/03/2026</v>
      </c>
      <c r="B4765" t="str">
        <f t="shared" si="871"/>
        <v>SAÍDA</v>
      </c>
      <c r="C4765" t="str">
        <f t="shared" si="873"/>
        <v>PIX</v>
      </c>
      <c r="D4765" t="str">
        <f>"35186"</f>
        <v>35186</v>
      </c>
      <c r="E4765" t="str">
        <f t="shared" si="874"/>
        <v>1</v>
      </c>
      <c r="F4765" t="str">
        <f t="shared" si="875"/>
        <v>COM</v>
      </c>
      <c r="G4765" t="str">
        <f>"ALEXSANDER MESSIAS TEIXEIRA (382)"</f>
        <v>ALEXSANDER MESSIAS TEIXEIRA (382)</v>
      </c>
      <c r="H4765" t="s">
        <v>1293</v>
      </c>
      <c r="I4765" t="str">
        <f t="shared" si="872"/>
        <v>26/03/2026</v>
      </c>
      <c r="J4765" t="str">
        <f t="shared" si="876"/>
        <v>17/03/2026</v>
      </c>
      <c r="K4765">
        <v>46107</v>
      </c>
      <c r="N4765">
        <v>109</v>
      </c>
      <c r="O4765" t="s">
        <v>27</v>
      </c>
      <c r="Q4765">
        <v>600</v>
      </c>
      <c r="R4765" t="str">
        <f>"FARMÁCIA INDIANA LJ 110 (10048)"</f>
        <v>FARMÁCIA INDIANA LJ 110 (10048)</v>
      </c>
      <c r="S4765" t="s">
        <v>37</v>
      </c>
      <c r="T4765">
        <v>32013</v>
      </c>
      <c r="U4765">
        <v>35186</v>
      </c>
      <c r="V4765" t="s">
        <v>37</v>
      </c>
    </row>
    <row r="4766" spans="1:22">
      <c r="A4766" t="str">
        <f t="shared" si="877"/>
        <v>26/03/2026</v>
      </c>
      <c r="B4766" t="str">
        <f t="shared" si="871"/>
        <v>SAÍDA</v>
      </c>
      <c r="C4766" t="str">
        <f t="shared" si="873"/>
        <v>PIX</v>
      </c>
      <c r="D4766" t="str">
        <f>"35187"</f>
        <v>35187</v>
      </c>
      <c r="E4766" t="str">
        <f t="shared" si="874"/>
        <v>1</v>
      </c>
      <c r="F4766" t="str">
        <f t="shared" si="875"/>
        <v>COM</v>
      </c>
      <c r="G4766" t="str">
        <f t="shared" ref="G4766:G4771" si="878">"AMANDA VERÍSSIMO FERREIRA (794)"</f>
        <v>AMANDA VERÍSSIMO FERREIRA (794)</v>
      </c>
      <c r="H4766" t="str">
        <f>"Serv.Prest. 09/03/2026 a 15/03/2026 - PIX: CPF - CHAVE: 099.626.666-60"</f>
        <v>Serv.Prest. 09/03/2026 a 15/03/2026 - PIX: CPF - CHAVE: 099.626.666-60</v>
      </c>
      <c r="I4766" t="str">
        <f t="shared" si="872"/>
        <v>26/03/2026</v>
      </c>
      <c r="J4766" t="str">
        <f t="shared" si="876"/>
        <v>17/03/2026</v>
      </c>
      <c r="K4766" t="str">
        <f>("26/03/2026")</f>
        <v>26/03/2026</v>
      </c>
      <c r="L4766">
        <v>378</v>
      </c>
      <c r="M4766">
        <v>378</v>
      </c>
      <c r="N4766">
        <v>109</v>
      </c>
      <c r="O4766" t="str">
        <f>"PAGAMENTO DE ENTREGADORES"</f>
        <v>PAGAMENTO DE ENTREGADORES</v>
      </c>
      <c r="P4766">
        <v>378</v>
      </c>
      <c r="S4766" t="str">
        <f>"BANCO C6 (149)"</f>
        <v>BANCO C6 (149)</v>
      </c>
      <c r="T4766">
        <v>32014</v>
      </c>
      <c r="U4766">
        <v>35187</v>
      </c>
      <c r="V4766" t="s">
        <v>37</v>
      </c>
    </row>
    <row r="4767" spans="1:22">
      <c r="A4767" t="str">
        <f t="shared" si="877"/>
        <v>26/03/2026</v>
      </c>
      <c r="B4767" t="str">
        <f t="shared" si="871"/>
        <v>SAÍDA</v>
      </c>
      <c r="C4767" t="str">
        <f t="shared" si="873"/>
        <v>PIX</v>
      </c>
      <c r="D4767" t="str">
        <f>"35187"</f>
        <v>35187</v>
      </c>
      <c r="E4767" t="str">
        <f t="shared" si="874"/>
        <v>1</v>
      </c>
      <c r="F4767" t="str">
        <f t="shared" si="875"/>
        <v>COM</v>
      </c>
      <c r="G4767" t="str">
        <f t="shared" si="878"/>
        <v>AMANDA VERÍSSIMO FERREIRA (794)</v>
      </c>
      <c r="H4767" t="s">
        <v>1294</v>
      </c>
      <c r="I4767" t="str">
        <f t="shared" si="872"/>
        <v>26/03/2026</v>
      </c>
      <c r="J4767" t="str">
        <f t="shared" si="876"/>
        <v>17/03/2026</v>
      </c>
      <c r="K4767">
        <v>46107</v>
      </c>
      <c r="N4767">
        <v>109</v>
      </c>
      <c r="O4767" t="s">
        <v>27</v>
      </c>
      <c r="Q4767">
        <v>378</v>
      </c>
      <c r="R4767" t="str">
        <f>"FARMÁCIA INDIANA LJ 111 (10049)"</f>
        <v>FARMÁCIA INDIANA LJ 111 (10049)</v>
      </c>
      <c r="S4767" t="s">
        <v>37</v>
      </c>
      <c r="T4767">
        <v>32014</v>
      </c>
      <c r="U4767">
        <v>35187</v>
      </c>
      <c r="V4767" t="s">
        <v>37</v>
      </c>
    </row>
    <row r="4768" spans="1:22">
      <c r="A4768" t="str">
        <f t="shared" si="877"/>
        <v>26/03/2026</v>
      </c>
      <c r="B4768" t="str">
        <f t="shared" si="871"/>
        <v>SAÍDA</v>
      </c>
      <c r="C4768" t="str">
        <f t="shared" si="873"/>
        <v>PIX</v>
      </c>
      <c r="D4768" t="str">
        <f>"35188"</f>
        <v>35188</v>
      </c>
      <c r="E4768" t="str">
        <f t="shared" si="874"/>
        <v>1</v>
      </c>
      <c r="F4768" t="str">
        <f t="shared" si="875"/>
        <v>COM</v>
      </c>
      <c r="G4768" t="str">
        <f t="shared" si="878"/>
        <v>AMANDA VERÍSSIMO FERREIRA (794)</v>
      </c>
      <c r="H4768" t="str">
        <f>"Serv.Prest. 09/03/2026 a 15/03/2026 - PIX: CPF - CHAVE: 099.626.666-60"</f>
        <v>Serv.Prest. 09/03/2026 a 15/03/2026 - PIX: CPF - CHAVE: 099.626.666-60</v>
      </c>
      <c r="I4768" t="str">
        <f t="shared" si="872"/>
        <v>26/03/2026</v>
      </c>
      <c r="J4768" t="str">
        <f t="shared" si="876"/>
        <v>17/03/2026</v>
      </c>
      <c r="K4768" t="str">
        <f>("26/03/2026")</f>
        <v>26/03/2026</v>
      </c>
      <c r="L4768">
        <v>60</v>
      </c>
      <c r="M4768">
        <v>60</v>
      </c>
      <c r="N4768">
        <v>109</v>
      </c>
      <c r="O4768" t="str">
        <f>"PAGAMENTO DE ENTREGADORES"</f>
        <v>PAGAMENTO DE ENTREGADORES</v>
      </c>
      <c r="P4768">
        <v>60</v>
      </c>
      <c r="S4768" t="str">
        <f>"BANCO C6 (149)"</f>
        <v>BANCO C6 (149)</v>
      </c>
      <c r="T4768">
        <v>32015</v>
      </c>
      <c r="U4768">
        <v>35188</v>
      </c>
      <c r="V4768" t="s">
        <v>37</v>
      </c>
    </row>
    <row r="4769" spans="1:22">
      <c r="A4769" t="str">
        <f t="shared" si="877"/>
        <v>26/03/2026</v>
      </c>
      <c r="B4769" t="str">
        <f t="shared" si="871"/>
        <v>SAÍDA</v>
      </c>
      <c r="C4769" t="str">
        <f t="shared" si="873"/>
        <v>PIX</v>
      </c>
      <c r="D4769" t="str">
        <f>"35188"</f>
        <v>35188</v>
      </c>
      <c r="E4769" t="str">
        <f t="shared" si="874"/>
        <v>1</v>
      </c>
      <c r="F4769" t="str">
        <f t="shared" si="875"/>
        <v>COM</v>
      </c>
      <c r="G4769" t="str">
        <f t="shared" si="878"/>
        <v>AMANDA VERÍSSIMO FERREIRA (794)</v>
      </c>
      <c r="H4769" t="s">
        <v>1294</v>
      </c>
      <c r="I4769" t="str">
        <f t="shared" si="872"/>
        <v>26/03/2026</v>
      </c>
      <c r="J4769" t="str">
        <f t="shared" si="876"/>
        <v>17/03/2026</v>
      </c>
      <c r="K4769">
        <v>46107</v>
      </c>
      <c r="N4769">
        <v>109</v>
      </c>
      <c r="O4769" t="s">
        <v>27</v>
      </c>
      <c r="Q4769">
        <v>60</v>
      </c>
      <c r="R4769" t="str">
        <f>"FARMÁCIA INDIANA LJ 97 (10040)"</f>
        <v>FARMÁCIA INDIANA LJ 97 (10040)</v>
      </c>
      <c r="S4769" t="s">
        <v>37</v>
      </c>
      <c r="T4769">
        <v>32015</v>
      </c>
      <c r="U4769">
        <v>35188</v>
      </c>
      <c r="V4769" t="s">
        <v>37</v>
      </c>
    </row>
    <row r="4770" spans="1:22">
      <c r="A4770" t="str">
        <f t="shared" si="877"/>
        <v>26/03/2026</v>
      </c>
      <c r="B4770" t="str">
        <f t="shared" si="871"/>
        <v>SAÍDA</v>
      </c>
      <c r="C4770" t="str">
        <f t="shared" si="873"/>
        <v>PIX</v>
      </c>
      <c r="D4770" t="str">
        <f>"35189"</f>
        <v>35189</v>
      </c>
      <c r="E4770" t="str">
        <f t="shared" si="874"/>
        <v>1</v>
      </c>
      <c r="F4770" t="str">
        <f t="shared" si="875"/>
        <v>COM</v>
      </c>
      <c r="G4770" t="str">
        <f t="shared" si="878"/>
        <v>AMANDA VERÍSSIMO FERREIRA (794)</v>
      </c>
      <c r="H4770" t="str">
        <f>"Serv.Prest. 09/03/2026 a 15/03/2026 - PIX: CPF - CHAVE: 099.626.666-60"</f>
        <v>Serv.Prest. 09/03/2026 a 15/03/2026 - PIX: CPF - CHAVE: 099.626.666-60</v>
      </c>
      <c r="I4770" t="str">
        <f t="shared" si="872"/>
        <v>26/03/2026</v>
      </c>
      <c r="J4770" t="str">
        <f t="shared" si="876"/>
        <v>17/03/2026</v>
      </c>
      <c r="K4770" t="str">
        <f>("26/03/2026")</f>
        <v>26/03/2026</v>
      </c>
      <c r="L4770">
        <v>372</v>
      </c>
      <c r="M4770">
        <v>372</v>
      </c>
      <c r="N4770">
        <v>109</v>
      </c>
      <c r="O4770" t="str">
        <f>"PAGAMENTO DE ENTREGADORES"</f>
        <v>PAGAMENTO DE ENTREGADORES</v>
      </c>
      <c r="P4770">
        <v>372</v>
      </c>
      <c r="S4770" t="str">
        <f>"BANCO C6 (149)"</f>
        <v>BANCO C6 (149)</v>
      </c>
      <c r="T4770">
        <v>32016</v>
      </c>
      <c r="U4770">
        <v>35189</v>
      </c>
      <c r="V4770" t="s">
        <v>37</v>
      </c>
    </row>
    <row r="4771" spans="1:22">
      <c r="A4771" t="str">
        <f t="shared" si="877"/>
        <v>26/03/2026</v>
      </c>
      <c r="B4771" t="str">
        <f t="shared" si="871"/>
        <v>SAÍDA</v>
      </c>
      <c r="C4771" t="str">
        <f t="shared" si="873"/>
        <v>PIX</v>
      </c>
      <c r="D4771" t="str">
        <f>"35189"</f>
        <v>35189</v>
      </c>
      <c r="E4771" t="str">
        <f t="shared" si="874"/>
        <v>1</v>
      </c>
      <c r="F4771" t="str">
        <f t="shared" si="875"/>
        <v>COM</v>
      </c>
      <c r="G4771" t="str">
        <f t="shared" si="878"/>
        <v>AMANDA VERÍSSIMO FERREIRA (794)</v>
      </c>
      <c r="H4771" t="s">
        <v>1294</v>
      </c>
      <c r="I4771" t="str">
        <f t="shared" si="872"/>
        <v>26/03/2026</v>
      </c>
      <c r="J4771" t="str">
        <f t="shared" si="876"/>
        <v>17/03/2026</v>
      </c>
      <c r="K4771">
        <v>46107</v>
      </c>
      <c r="N4771">
        <v>109</v>
      </c>
      <c r="O4771" t="s">
        <v>27</v>
      </c>
      <c r="Q4771">
        <v>372</v>
      </c>
      <c r="R4771" t="str">
        <f>"FARMÁCIA INDIANA LJ 143 (10067)"</f>
        <v>FARMÁCIA INDIANA LJ 143 (10067)</v>
      </c>
      <c r="S4771" t="s">
        <v>37</v>
      </c>
      <c r="T4771">
        <v>32016</v>
      </c>
      <c r="U4771">
        <v>35189</v>
      </c>
      <c r="V4771" t="s">
        <v>37</v>
      </c>
    </row>
    <row r="4772" spans="1:22">
      <c r="A4772" t="str">
        <f t="shared" si="877"/>
        <v>26/03/2026</v>
      </c>
      <c r="B4772" t="str">
        <f t="shared" si="871"/>
        <v>SAÍDA</v>
      </c>
      <c r="C4772" t="str">
        <f t="shared" si="873"/>
        <v>PIX</v>
      </c>
      <c r="D4772" t="str">
        <f>"35190"</f>
        <v>35190</v>
      </c>
      <c r="E4772" t="str">
        <f t="shared" si="874"/>
        <v>1</v>
      </c>
      <c r="F4772" t="str">
        <f t="shared" si="875"/>
        <v>COM</v>
      </c>
      <c r="G4772" t="str">
        <f>"ANDRE LUCAS DA SILVA (1158)"</f>
        <v>ANDRE LUCAS DA SILVA (1158)</v>
      </c>
      <c r="H4772" t="str">
        <f>"Serv.Prest. 09/03/2026 a 15/03/2026 - PIX: CPF - CHAVE: 125.636.656-04"</f>
        <v>Serv.Prest. 09/03/2026 a 15/03/2026 - PIX: CPF - CHAVE: 125.636.656-04</v>
      </c>
      <c r="I4772" t="str">
        <f t="shared" si="872"/>
        <v>26/03/2026</v>
      </c>
      <c r="J4772" t="str">
        <f t="shared" si="876"/>
        <v>17/03/2026</v>
      </c>
      <c r="K4772" t="str">
        <f>("26/03/2026")</f>
        <v>26/03/2026</v>
      </c>
      <c r="L4772">
        <v>572</v>
      </c>
      <c r="M4772">
        <v>572</v>
      </c>
      <c r="N4772">
        <v>109</v>
      </c>
      <c r="O4772" t="str">
        <f>"PAGAMENTO DE ENTREGADORES"</f>
        <v>PAGAMENTO DE ENTREGADORES</v>
      </c>
      <c r="P4772">
        <v>572</v>
      </c>
      <c r="S4772" t="str">
        <f>"BANCO C6 (149)"</f>
        <v>BANCO C6 (149)</v>
      </c>
      <c r="T4772">
        <v>32017</v>
      </c>
      <c r="U4772">
        <v>35190</v>
      </c>
      <c r="V4772" t="s">
        <v>37</v>
      </c>
    </row>
    <row r="4773" spans="1:22">
      <c r="A4773" t="str">
        <f t="shared" si="877"/>
        <v>26/03/2026</v>
      </c>
      <c r="B4773" t="str">
        <f t="shared" si="871"/>
        <v>SAÍDA</v>
      </c>
      <c r="C4773" t="str">
        <f t="shared" si="873"/>
        <v>PIX</v>
      </c>
      <c r="D4773" t="str">
        <f>"35190"</f>
        <v>35190</v>
      </c>
      <c r="E4773" t="str">
        <f t="shared" si="874"/>
        <v>1</v>
      </c>
      <c r="F4773" t="str">
        <f t="shared" si="875"/>
        <v>COM</v>
      </c>
      <c r="G4773" t="str">
        <f>"ANDRE LUCAS DA SILVA (1158)"</f>
        <v>ANDRE LUCAS DA SILVA (1158)</v>
      </c>
      <c r="H4773" t="s">
        <v>912</v>
      </c>
      <c r="I4773" t="str">
        <f t="shared" si="872"/>
        <v>26/03/2026</v>
      </c>
      <c r="J4773" t="str">
        <f t="shared" si="876"/>
        <v>17/03/2026</v>
      </c>
      <c r="K4773">
        <v>46107</v>
      </c>
      <c r="N4773">
        <v>109</v>
      </c>
      <c r="O4773" t="s">
        <v>27</v>
      </c>
      <c r="Q4773">
        <v>572</v>
      </c>
      <c r="R4773" t="str">
        <f>"FARMÁCIA INDIANA LJ 175 (10076)"</f>
        <v>FARMÁCIA INDIANA LJ 175 (10076)</v>
      </c>
      <c r="S4773" t="s">
        <v>37</v>
      </c>
      <c r="T4773">
        <v>32017</v>
      </c>
      <c r="U4773">
        <v>35190</v>
      </c>
      <c r="V4773" t="s">
        <v>37</v>
      </c>
    </row>
    <row r="4774" spans="1:22">
      <c r="A4774" t="str">
        <f t="shared" si="877"/>
        <v>26/03/2026</v>
      </c>
      <c r="B4774" t="str">
        <f t="shared" si="871"/>
        <v>SAÍDA</v>
      </c>
      <c r="C4774" t="str">
        <f t="shared" si="873"/>
        <v>PIX</v>
      </c>
      <c r="D4774" t="str">
        <f>"35191"</f>
        <v>35191</v>
      </c>
      <c r="E4774" t="str">
        <f t="shared" si="874"/>
        <v>1</v>
      </c>
      <c r="F4774" t="str">
        <f t="shared" si="875"/>
        <v>COM</v>
      </c>
      <c r="G4774" t="str">
        <f>"ANISSO ANIDAL DE PAULA (161)"</f>
        <v>ANISSO ANIDAL DE PAULA (161)</v>
      </c>
      <c r="H4774" t="str">
        <f>"Serv.Prest. 09/03/2026 a 15/03/2026 - PIX: CELULAR - CHAVE: (31) 98556-3149"</f>
        <v>Serv.Prest. 09/03/2026 a 15/03/2026 - PIX: CELULAR - CHAVE: (31) 98556-3149</v>
      </c>
      <c r="I4774" t="str">
        <f t="shared" si="872"/>
        <v>26/03/2026</v>
      </c>
      <c r="J4774" t="str">
        <f t="shared" si="876"/>
        <v>17/03/2026</v>
      </c>
      <c r="K4774" t="str">
        <f>("26/03/2026")</f>
        <v>26/03/2026</v>
      </c>
      <c r="L4774">
        <v>1230</v>
      </c>
      <c r="M4774">
        <v>1230</v>
      </c>
      <c r="N4774">
        <v>109</v>
      </c>
      <c r="O4774" t="str">
        <f>"PAGAMENTO DE ENTREGADORES"</f>
        <v>PAGAMENTO DE ENTREGADORES</v>
      </c>
      <c r="P4774">
        <v>1230</v>
      </c>
      <c r="S4774" t="str">
        <f>"BANCO C6 (149)"</f>
        <v>BANCO C6 (149)</v>
      </c>
      <c r="T4774">
        <v>32018</v>
      </c>
      <c r="U4774">
        <v>35191</v>
      </c>
      <c r="V4774" t="s">
        <v>37</v>
      </c>
    </row>
    <row r="4775" spans="1:22">
      <c r="A4775" t="str">
        <f t="shared" si="877"/>
        <v>26/03/2026</v>
      </c>
      <c r="B4775" t="str">
        <f t="shared" si="871"/>
        <v>SAÍDA</v>
      </c>
      <c r="C4775" t="str">
        <f t="shared" si="873"/>
        <v>PIX</v>
      </c>
      <c r="D4775" t="str">
        <f>"35191"</f>
        <v>35191</v>
      </c>
      <c r="E4775" t="str">
        <f t="shared" si="874"/>
        <v>1</v>
      </c>
      <c r="F4775" t="str">
        <f t="shared" si="875"/>
        <v>COM</v>
      </c>
      <c r="G4775" t="str">
        <f>"ANISSO ANIDAL DE PAULA (161)"</f>
        <v>ANISSO ANIDAL DE PAULA (161)</v>
      </c>
      <c r="H4775" t="s">
        <v>1295</v>
      </c>
      <c r="I4775" t="str">
        <f t="shared" si="872"/>
        <v>26/03/2026</v>
      </c>
      <c r="J4775" t="str">
        <f t="shared" si="876"/>
        <v>17/03/2026</v>
      </c>
      <c r="K4775">
        <v>46107</v>
      </c>
      <c r="N4775">
        <v>109</v>
      </c>
      <c r="O4775" t="s">
        <v>27</v>
      </c>
      <c r="Q4775">
        <v>1230</v>
      </c>
      <c r="R4775" t="str">
        <f>"FARMÁCIA INDIANA LJ 18 (10011)"</f>
        <v>FARMÁCIA INDIANA LJ 18 (10011)</v>
      </c>
      <c r="S4775" t="s">
        <v>37</v>
      </c>
      <c r="T4775">
        <v>32018</v>
      </c>
      <c r="U4775">
        <v>35191</v>
      </c>
      <c r="V4775" t="s">
        <v>37</v>
      </c>
    </row>
    <row r="4776" spans="1:22">
      <c r="A4776" t="str">
        <f t="shared" si="877"/>
        <v>26/03/2026</v>
      </c>
      <c r="B4776" t="str">
        <f t="shared" si="871"/>
        <v>SAÍDA</v>
      </c>
      <c r="C4776" t="str">
        <f t="shared" si="873"/>
        <v>PIX</v>
      </c>
      <c r="D4776" t="str">
        <f>"35192"</f>
        <v>35192</v>
      </c>
      <c r="E4776" t="str">
        <f t="shared" si="874"/>
        <v>1</v>
      </c>
      <c r="F4776" t="str">
        <f t="shared" si="875"/>
        <v>COM</v>
      </c>
      <c r="G4776" t="str">
        <f>"ANISSO ANIDAL DE PAULA (161)"</f>
        <v>ANISSO ANIDAL DE PAULA (161)</v>
      </c>
      <c r="H4776" t="str">
        <f>"Serv.Prest. 09/03/2026 a 15/03/2026 - PIX: CELULAR - CHAVE: (31) 98556-3149"</f>
        <v>Serv.Prest. 09/03/2026 a 15/03/2026 - PIX: CELULAR - CHAVE: (31) 98556-3149</v>
      </c>
      <c r="I4776" t="str">
        <f t="shared" si="872"/>
        <v>26/03/2026</v>
      </c>
      <c r="J4776" t="str">
        <f t="shared" si="876"/>
        <v>17/03/2026</v>
      </c>
      <c r="K4776" t="str">
        <f>("26/03/2026")</f>
        <v>26/03/2026</v>
      </c>
      <c r="L4776">
        <v>120</v>
      </c>
      <c r="M4776">
        <v>120</v>
      </c>
      <c r="N4776">
        <v>109</v>
      </c>
      <c r="O4776" t="str">
        <f>"PAGAMENTO DE ENTREGADORES"</f>
        <v>PAGAMENTO DE ENTREGADORES</v>
      </c>
      <c r="P4776">
        <v>120</v>
      </c>
      <c r="S4776" t="str">
        <f>"BANCO C6 (149)"</f>
        <v>BANCO C6 (149)</v>
      </c>
      <c r="T4776">
        <v>32019</v>
      </c>
      <c r="U4776">
        <v>35192</v>
      </c>
      <c r="V4776" t="s">
        <v>37</v>
      </c>
    </row>
    <row r="4777" spans="1:22">
      <c r="A4777" t="str">
        <f t="shared" si="877"/>
        <v>26/03/2026</v>
      </c>
      <c r="B4777" t="str">
        <f t="shared" si="871"/>
        <v>SAÍDA</v>
      </c>
      <c r="C4777" t="str">
        <f t="shared" si="873"/>
        <v>PIX</v>
      </c>
      <c r="D4777" t="str">
        <f>"35192"</f>
        <v>35192</v>
      </c>
      <c r="E4777" t="str">
        <f t="shared" si="874"/>
        <v>1</v>
      </c>
      <c r="F4777" t="str">
        <f t="shared" si="875"/>
        <v>COM</v>
      </c>
      <c r="G4777" t="str">
        <f>"ANISSO ANIDAL DE PAULA (161)"</f>
        <v>ANISSO ANIDAL DE PAULA (161)</v>
      </c>
      <c r="H4777" t="s">
        <v>1295</v>
      </c>
      <c r="I4777" t="str">
        <f t="shared" si="872"/>
        <v>26/03/2026</v>
      </c>
      <c r="J4777" t="str">
        <f t="shared" si="876"/>
        <v>17/03/2026</v>
      </c>
      <c r="K4777">
        <v>46107</v>
      </c>
      <c r="N4777">
        <v>109</v>
      </c>
      <c r="O4777" t="s">
        <v>27</v>
      </c>
      <c r="Q4777">
        <v>120</v>
      </c>
      <c r="R4777" t="str">
        <f>"FARMÁCIA INDIANA LJ 19 (10012)"</f>
        <v>FARMÁCIA INDIANA LJ 19 (10012)</v>
      </c>
      <c r="S4777" t="s">
        <v>37</v>
      </c>
      <c r="T4777">
        <v>32019</v>
      </c>
      <c r="U4777">
        <v>35192</v>
      </c>
      <c r="V4777" t="s">
        <v>37</v>
      </c>
    </row>
    <row r="4778" spans="1:22">
      <c r="A4778" t="str">
        <f t="shared" si="877"/>
        <v>26/03/2026</v>
      </c>
      <c r="B4778" t="str">
        <f t="shared" si="871"/>
        <v>SAÍDA</v>
      </c>
      <c r="C4778" t="str">
        <f t="shared" si="873"/>
        <v>PIX</v>
      </c>
      <c r="D4778" t="str">
        <f>"35193"</f>
        <v>35193</v>
      </c>
      <c r="E4778" t="str">
        <f t="shared" si="874"/>
        <v>1</v>
      </c>
      <c r="F4778" t="str">
        <f t="shared" si="875"/>
        <v>COM</v>
      </c>
      <c r="G4778" t="str">
        <f>"ANTONIO CARLOS GOMES DE SOUZA (1103)"</f>
        <v>ANTONIO CARLOS GOMES DE SOUZA (1103)</v>
      </c>
      <c r="H4778" t="str">
        <f>"Serv.Prest. 09/03/2026 a 15/03/2026 - PIX: CELULAR - CHAVE: (33) 99861-2274"</f>
        <v>Serv.Prest. 09/03/2026 a 15/03/2026 - PIX: CELULAR - CHAVE: (33) 99861-2274</v>
      </c>
      <c r="I4778" t="str">
        <f t="shared" si="872"/>
        <v>26/03/2026</v>
      </c>
      <c r="J4778" t="str">
        <f t="shared" si="876"/>
        <v>17/03/2026</v>
      </c>
      <c r="K4778" t="str">
        <f>("26/03/2026")</f>
        <v>26/03/2026</v>
      </c>
      <c r="L4778">
        <v>636</v>
      </c>
      <c r="M4778">
        <v>636</v>
      </c>
      <c r="N4778">
        <v>109</v>
      </c>
      <c r="O4778" t="str">
        <f>"PAGAMENTO DE ENTREGADORES"</f>
        <v>PAGAMENTO DE ENTREGADORES</v>
      </c>
      <c r="P4778">
        <v>636</v>
      </c>
      <c r="S4778" t="str">
        <f>"BANCO C6 (149)"</f>
        <v>BANCO C6 (149)</v>
      </c>
      <c r="T4778">
        <v>32020</v>
      </c>
      <c r="U4778">
        <v>35193</v>
      </c>
      <c r="V4778" t="s">
        <v>37</v>
      </c>
    </row>
    <row r="4779" spans="1:22">
      <c r="A4779" t="str">
        <f t="shared" si="877"/>
        <v>26/03/2026</v>
      </c>
      <c r="B4779" t="str">
        <f t="shared" si="871"/>
        <v>SAÍDA</v>
      </c>
      <c r="C4779" t="str">
        <f t="shared" si="873"/>
        <v>PIX</v>
      </c>
      <c r="D4779" t="str">
        <f>"35193"</f>
        <v>35193</v>
      </c>
      <c r="E4779" t="str">
        <f t="shared" si="874"/>
        <v>1</v>
      </c>
      <c r="F4779" t="str">
        <f t="shared" si="875"/>
        <v>COM</v>
      </c>
      <c r="G4779" t="str">
        <f>"ANTONIO CARLOS GOMES DE SOUZA (1103)"</f>
        <v>ANTONIO CARLOS GOMES DE SOUZA (1103)</v>
      </c>
      <c r="H4779" t="s">
        <v>1296</v>
      </c>
      <c r="I4779" t="str">
        <f t="shared" si="872"/>
        <v>26/03/2026</v>
      </c>
      <c r="J4779" t="str">
        <f t="shared" si="876"/>
        <v>17/03/2026</v>
      </c>
      <c r="K4779">
        <v>46107</v>
      </c>
      <c r="N4779">
        <v>109</v>
      </c>
      <c r="O4779" t="s">
        <v>27</v>
      </c>
      <c r="Q4779">
        <v>636</v>
      </c>
      <c r="R4779" t="str">
        <f>"FARMÁCIA INDIANA LJ 07 (10007)"</f>
        <v>FARMÁCIA INDIANA LJ 07 (10007)</v>
      </c>
      <c r="S4779" t="s">
        <v>37</v>
      </c>
      <c r="T4779">
        <v>32020</v>
      </c>
      <c r="U4779">
        <v>35193</v>
      </c>
      <c r="V4779" t="s">
        <v>37</v>
      </c>
    </row>
    <row r="4780" spans="1:22">
      <c r="A4780" t="str">
        <f t="shared" si="877"/>
        <v>26/03/2026</v>
      </c>
      <c r="B4780" t="str">
        <f t="shared" si="871"/>
        <v>SAÍDA</v>
      </c>
      <c r="C4780" t="str">
        <f t="shared" si="873"/>
        <v>PIX</v>
      </c>
      <c r="D4780" t="str">
        <f>"35194"</f>
        <v>35194</v>
      </c>
      <c r="E4780" t="str">
        <f t="shared" si="874"/>
        <v>1</v>
      </c>
      <c r="F4780" t="str">
        <f t="shared" si="875"/>
        <v>COM</v>
      </c>
      <c r="G4780" t="str">
        <f>"ARLINDO JOSE MARTINS (909)"</f>
        <v>ARLINDO JOSE MARTINS (909)</v>
      </c>
      <c r="H4780" t="str">
        <f>"Serv.Prest. 09/03/2026 a 15/03/2026 - PIX: CPF - CHAVE: 037.192.076-09"</f>
        <v>Serv.Prest. 09/03/2026 a 15/03/2026 - PIX: CPF - CHAVE: 037.192.076-09</v>
      </c>
      <c r="I4780" t="str">
        <f t="shared" si="872"/>
        <v>26/03/2026</v>
      </c>
      <c r="J4780" t="str">
        <f t="shared" si="876"/>
        <v>17/03/2026</v>
      </c>
      <c r="K4780" t="str">
        <f>("26/03/2026")</f>
        <v>26/03/2026</v>
      </c>
      <c r="L4780">
        <v>33</v>
      </c>
      <c r="M4780">
        <v>33</v>
      </c>
      <c r="N4780">
        <v>109</v>
      </c>
      <c r="O4780" t="str">
        <f>"PAGAMENTO DE ENTREGADORES"</f>
        <v>PAGAMENTO DE ENTREGADORES</v>
      </c>
      <c r="P4780">
        <v>33</v>
      </c>
      <c r="S4780" t="str">
        <f>"BANCO C6 (149)"</f>
        <v>BANCO C6 (149)</v>
      </c>
      <c r="T4780">
        <v>32021</v>
      </c>
      <c r="U4780">
        <v>35194</v>
      </c>
      <c r="V4780" t="s">
        <v>37</v>
      </c>
    </row>
    <row r="4781" spans="1:22">
      <c r="A4781" t="str">
        <f t="shared" si="877"/>
        <v>26/03/2026</v>
      </c>
      <c r="B4781" t="str">
        <f t="shared" si="871"/>
        <v>SAÍDA</v>
      </c>
      <c r="C4781" t="str">
        <f t="shared" si="873"/>
        <v>PIX</v>
      </c>
      <c r="D4781" t="str">
        <f>"35194"</f>
        <v>35194</v>
      </c>
      <c r="E4781" t="str">
        <f t="shared" si="874"/>
        <v>1</v>
      </c>
      <c r="F4781" t="str">
        <f t="shared" si="875"/>
        <v>COM</v>
      </c>
      <c r="G4781" t="str">
        <f>"ARLINDO JOSE MARTINS (909)"</f>
        <v>ARLINDO JOSE MARTINS (909)</v>
      </c>
      <c r="H4781" t="s">
        <v>1297</v>
      </c>
      <c r="I4781" t="str">
        <f t="shared" si="872"/>
        <v>26/03/2026</v>
      </c>
      <c r="J4781" t="str">
        <f t="shared" si="876"/>
        <v>17/03/2026</v>
      </c>
      <c r="K4781">
        <v>46107</v>
      </c>
      <c r="N4781">
        <v>109</v>
      </c>
      <c r="O4781" t="s">
        <v>27</v>
      </c>
      <c r="Q4781">
        <v>33</v>
      </c>
      <c r="R4781" t="str">
        <f>"FARMÁCIA INDIANA LJ 257 (10267)"</f>
        <v>FARMÁCIA INDIANA LJ 257 (10267)</v>
      </c>
      <c r="S4781" t="s">
        <v>37</v>
      </c>
      <c r="T4781">
        <v>32021</v>
      </c>
      <c r="U4781">
        <v>35194</v>
      </c>
      <c r="V4781" t="s">
        <v>37</v>
      </c>
    </row>
    <row r="4782" spans="1:22">
      <c r="A4782" t="str">
        <f t="shared" si="877"/>
        <v>26/03/2026</v>
      </c>
      <c r="B4782" t="str">
        <f t="shared" si="871"/>
        <v>SAÍDA</v>
      </c>
      <c r="C4782" t="str">
        <f t="shared" si="873"/>
        <v>PIX</v>
      </c>
      <c r="D4782" t="str">
        <f>"35195"</f>
        <v>35195</v>
      </c>
      <c r="E4782" t="str">
        <f t="shared" si="874"/>
        <v>1</v>
      </c>
      <c r="F4782" t="str">
        <f t="shared" si="875"/>
        <v>COM</v>
      </c>
      <c r="G4782" t="str">
        <f>"ARLINDO JOSE MARTINS (909)"</f>
        <v>ARLINDO JOSE MARTINS (909)</v>
      </c>
      <c r="H4782" t="str">
        <f>"Serv.Prest. 09/03/2026 a 15/03/2026 - PIX: CPF - CHAVE: 037.192.076-09"</f>
        <v>Serv.Prest. 09/03/2026 a 15/03/2026 - PIX: CPF - CHAVE: 037.192.076-09</v>
      </c>
      <c r="I4782" t="str">
        <f t="shared" si="872"/>
        <v>26/03/2026</v>
      </c>
      <c r="J4782" t="str">
        <f t="shared" si="876"/>
        <v>17/03/2026</v>
      </c>
      <c r="K4782" t="str">
        <f>("26/03/2026")</f>
        <v>26/03/2026</v>
      </c>
      <c r="L4782">
        <v>803</v>
      </c>
      <c r="M4782">
        <v>803</v>
      </c>
      <c r="N4782">
        <v>109</v>
      </c>
      <c r="O4782" t="str">
        <f>"PAGAMENTO DE ENTREGADORES"</f>
        <v>PAGAMENTO DE ENTREGADORES</v>
      </c>
      <c r="P4782">
        <v>803</v>
      </c>
      <c r="S4782" t="str">
        <f>"BANCO C6 (149)"</f>
        <v>BANCO C6 (149)</v>
      </c>
      <c r="T4782">
        <v>32022</v>
      </c>
      <c r="U4782">
        <v>35195</v>
      </c>
      <c r="V4782" t="s">
        <v>37</v>
      </c>
    </row>
    <row r="4783" spans="1:22">
      <c r="A4783" t="str">
        <f t="shared" si="877"/>
        <v>26/03/2026</v>
      </c>
      <c r="B4783" t="str">
        <f t="shared" si="871"/>
        <v>SAÍDA</v>
      </c>
      <c r="C4783" t="str">
        <f t="shared" si="873"/>
        <v>PIX</v>
      </c>
      <c r="D4783" t="str">
        <f>"35195"</f>
        <v>35195</v>
      </c>
      <c r="E4783" t="str">
        <f t="shared" si="874"/>
        <v>1</v>
      </c>
      <c r="F4783" t="str">
        <f t="shared" si="875"/>
        <v>COM</v>
      </c>
      <c r="G4783" t="str">
        <f>"ARLINDO JOSE MARTINS (909)"</f>
        <v>ARLINDO JOSE MARTINS (909)</v>
      </c>
      <c r="H4783" t="s">
        <v>1297</v>
      </c>
      <c r="I4783" t="str">
        <f t="shared" si="872"/>
        <v>26/03/2026</v>
      </c>
      <c r="J4783" t="str">
        <f t="shared" si="876"/>
        <v>17/03/2026</v>
      </c>
      <c r="K4783">
        <v>46107</v>
      </c>
      <c r="N4783">
        <v>109</v>
      </c>
      <c r="O4783" t="s">
        <v>27</v>
      </c>
      <c r="Q4783">
        <v>803</v>
      </c>
      <c r="R4783" t="str">
        <f>"FARMÁCIA INDIANA LJ 185 (10141)"</f>
        <v>FARMÁCIA INDIANA LJ 185 (10141)</v>
      </c>
      <c r="S4783" t="s">
        <v>37</v>
      </c>
      <c r="T4783">
        <v>32022</v>
      </c>
      <c r="U4783">
        <v>35195</v>
      </c>
      <c r="V4783" t="s">
        <v>37</v>
      </c>
    </row>
    <row r="4784" spans="1:22">
      <c r="A4784" t="str">
        <f t="shared" si="877"/>
        <v>26/03/2026</v>
      </c>
      <c r="B4784" t="str">
        <f t="shared" ref="B4784:B4847" si="879">"SAÍDA"</f>
        <v>SAÍDA</v>
      </c>
      <c r="C4784" t="str">
        <f t="shared" si="873"/>
        <v>PIX</v>
      </c>
      <c r="D4784" t="str">
        <f>"35196"</f>
        <v>35196</v>
      </c>
      <c r="E4784" t="str">
        <f t="shared" si="874"/>
        <v>1</v>
      </c>
      <c r="F4784" t="str">
        <f t="shared" si="875"/>
        <v>COM</v>
      </c>
      <c r="G4784" t="str">
        <f>"ARTHUR DANTAS PACHECO (928)"</f>
        <v>ARTHUR DANTAS PACHECO (928)</v>
      </c>
      <c r="H4784" t="str">
        <f>"Serv.Prest. 09/03/2026 a 15/03/2026 - PIX: CELULAR - CHAVE: (33) 99110-6940"</f>
        <v>Serv.Prest. 09/03/2026 a 15/03/2026 - PIX: CELULAR - CHAVE: (33) 99110-6940</v>
      </c>
      <c r="I4784" t="str">
        <f t="shared" ref="I4784:I4847" si="880">("26/03/2026")</f>
        <v>26/03/2026</v>
      </c>
      <c r="J4784" t="str">
        <f t="shared" si="876"/>
        <v>17/03/2026</v>
      </c>
      <c r="K4784" t="str">
        <f>("26/03/2026")</f>
        <v>26/03/2026</v>
      </c>
      <c r="L4784">
        <v>799.5</v>
      </c>
      <c r="M4784">
        <v>799.5</v>
      </c>
      <c r="N4784">
        <v>109</v>
      </c>
      <c r="O4784" t="str">
        <f>"PAGAMENTO DE ENTREGADORES"</f>
        <v>PAGAMENTO DE ENTREGADORES</v>
      </c>
      <c r="P4784">
        <v>799.5</v>
      </c>
      <c r="S4784" t="str">
        <f>"BANCO C6 (149)"</f>
        <v>BANCO C6 (149)</v>
      </c>
      <c r="T4784">
        <v>32023</v>
      </c>
      <c r="U4784">
        <v>35196</v>
      </c>
      <c r="V4784" t="s">
        <v>37</v>
      </c>
    </row>
    <row r="4785" spans="1:22">
      <c r="A4785" t="str">
        <f t="shared" si="877"/>
        <v>26/03/2026</v>
      </c>
      <c r="B4785" t="str">
        <f t="shared" si="879"/>
        <v>SAÍDA</v>
      </c>
      <c r="C4785" t="str">
        <f t="shared" si="873"/>
        <v>PIX</v>
      </c>
      <c r="D4785" t="str">
        <f>"35196"</f>
        <v>35196</v>
      </c>
      <c r="E4785" t="str">
        <f t="shared" si="874"/>
        <v>1</v>
      </c>
      <c r="F4785" t="str">
        <f t="shared" si="875"/>
        <v>COM</v>
      </c>
      <c r="G4785" t="str">
        <f>"ARTHUR DANTAS PACHECO (928)"</f>
        <v>ARTHUR DANTAS PACHECO (928)</v>
      </c>
      <c r="H4785" t="s">
        <v>918</v>
      </c>
      <c r="I4785" t="str">
        <f t="shared" si="880"/>
        <v>26/03/2026</v>
      </c>
      <c r="J4785" t="str">
        <f t="shared" si="876"/>
        <v>17/03/2026</v>
      </c>
      <c r="K4785">
        <v>46107</v>
      </c>
      <c r="N4785">
        <v>109</v>
      </c>
      <c r="O4785" t="s">
        <v>27</v>
      </c>
      <c r="Q4785">
        <v>799.5</v>
      </c>
      <c r="R4785" t="str">
        <f>"FARMÁCIA INDIANA LJ 40 (10016)"</f>
        <v>FARMÁCIA INDIANA LJ 40 (10016)</v>
      </c>
      <c r="S4785" t="s">
        <v>37</v>
      </c>
      <c r="T4785">
        <v>32023</v>
      </c>
      <c r="U4785">
        <v>35196</v>
      </c>
      <c r="V4785" t="s">
        <v>37</v>
      </c>
    </row>
    <row r="4786" spans="1:22">
      <c r="A4786" t="str">
        <f t="shared" si="877"/>
        <v>26/03/2026</v>
      </c>
      <c r="B4786" t="str">
        <f t="shared" si="879"/>
        <v>SAÍDA</v>
      </c>
      <c r="C4786" t="str">
        <f t="shared" si="873"/>
        <v>PIX</v>
      </c>
      <c r="D4786" t="str">
        <f>"35197"</f>
        <v>35197</v>
      </c>
      <c r="E4786" t="str">
        <f t="shared" si="874"/>
        <v>1</v>
      </c>
      <c r="F4786" t="str">
        <f t="shared" si="875"/>
        <v>COM</v>
      </c>
      <c r="G4786" t="str">
        <f>"BRUNO BARBOSA DE MATOS (82)"</f>
        <v>BRUNO BARBOSA DE MATOS (82)</v>
      </c>
      <c r="H4786" t="str">
        <f>"Serv.Prest. 09/03/2026 a 15/03/2026 - PIX: CNPJ - CHAVE: 64.409.849/0001-04"</f>
        <v>Serv.Prest. 09/03/2026 a 15/03/2026 - PIX: CNPJ - CHAVE: 64.409.849/0001-04</v>
      </c>
      <c r="I4786" t="str">
        <f t="shared" si="880"/>
        <v>26/03/2026</v>
      </c>
      <c r="J4786" t="str">
        <f t="shared" si="876"/>
        <v>17/03/2026</v>
      </c>
      <c r="K4786" t="str">
        <f>("26/03/2026")</f>
        <v>26/03/2026</v>
      </c>
      <c r="L4786">
        <v>1356</v>
      </c>
      <c r="M4786">
        <v>1356</v>
      </c>
      <c r="N4786">
        <v>109</v>
      </c>
      <c r="O4786" t="str">
        <f>"PAGAMENTO DE ENTREGADORES"</f>
        <v>PAGAMENTO DE ENTREGADORES</v>
      </c>
      <c r="P4786">
        <v>1356</v>
      </c>
      <c r="S4786" t="str">
        <f>"BANCO C6 (149)"</f>
        <v>BANCO C6 (149)</v>
      </c>
      <c r="T4786">
        <v>32024</v>
      </c>
      <c r="U4786">
        <v>35197</v>
      </c>
      <c r="V4786" t="s">
        <v>37</v>
      </c>
    </row>
    <row r="4787" spans="1:22">
      <c r="A4787" t="str">
        <f t="shared" si="877"/>
        <v>26/03/2026</v>
      </c>
      <c r="B4787" t="str">
        <f t="shared" si="879"/>
        <v>SAÍDA</v>
      </c>
      <c r="C4787" t="str">
        <f t="shared" si="873"/>
        <v>PIX</v>
      </c>
      <c r="D4787" t="str">
        <f>"35197"</f>
        <v>35197</v>
      </c>
      <c r="E4787" t="str">
        <f t="shared" si="874"/>
        <v>1</v>
      </c>
      <c r="F4787" t="str">
        <f t="shared" si="875"/>
        <v>COM</v>
      </c>
      <c r="G4787" t="str">
        <f>"BRUNO BARBOSA DE MATOS (82)"</f>
        <v>BRUNO BARBOSA DE MATOS (82)</v>
      </c>
      <c r="H4787" t="s">
        <v>1298</v>
      </c>
      <c r="I4787" t="str">
        <f t="shared" si="880"/>
        <v>26/03/2026</v>
      </c>
      <c r="J4787" t="str">
        <f t="shared" si="876"/>
        <v>17/03/2026</v>
      </c>
      <c r="K4787">
        <v>46107</v>
      </c>
      <c r="N4787">
        <v>109</v>
      </c>
      <c r="O4787" t="s">
        <v>27</v>
      </c>
      <c r="Q4787">
        <v>1356</v>
      </c>
      <c r="R4787" t="str">
        <f>"FARMÁCIA INDIANA LJ 152 (10069)"</f>
        <v>FARMÁCIA INDIANA LJ 152 (10069)</v>
      </c>
      <c r="S4787" t="s">
        <v>37</v>
      </c>
      <c r="T4787">
        <v>32024</v>
      </c>
      <c r="U4787">
        <v>35197</v>
      </c>
      <c r="V4787" t="s">
        <v>37</v>
      </c>
    </row>
    <row r="4788" spans="1:22">
      <c r="A4788" t="str">
        <f t="shared" si="877"/>
        <v>26/03/2026</v>
      </c>
      <c r="B4788" t="str">
        <f t="shared" si="879"/>
        <v>SAÍDA</v>
      </c>
      <c r="C4788" t="str">
        <f t="shared" si="873"/>
        <v>PIX</v>
      </c>
      <c r="D4788" t="str">
        <f>"35198"</f>
        <v>35198</v>
      </c>
      <c r="E4788" t="str">
        <f t="shared" si="874"/>
        <v>1</v>
      </c>
      <c r="F4788" t="str">
        <f t="shared" si="875"/>
        <v>COM</v>
      </c>
      <c r="G4788" t="str">
        <f>"BRUNO DOS SANTOS MACHADO (702)"</f>
        <v>BRUNO DOS SANTOS MACHADO (702)</v>
      </c>
      <c r="H4788" t="str">
        <f>"Serv.Prest. 09/03/2026 a 15/03/2026 - PIX: CPF - CHAVE: 155.328.666-94"</f>
        <v>Serv.Prest. 09/03/2026 a 15/03/2026 - PIX: CPF - CHAVE: 155.328.666-94</v>
      </c>
      <c r="I4788" t="str">
        <f t="shared" si="880"/>
        <v>26/03/2026</v>
      </c>
      <c r="J4788" t="str">
        <f t="shared" si="876"/>
        <v>17/03/2026</v>
      </c>
      <c r="K4788" t="str">
        <f>("26/03/2026")</f>
        <v>26/03/2026</v>
      </c>
      <c r="L4788">
        <v>5</v>
      </c>
      <c r="M4788">
        <v>5</v>
      </c>
      <c r="N4788">
        <v>109</v>
      </c>
      <c r="O4788" t="str">
        <f>"PAGAMENTO DE ENTREGADORES"</f>
        <v>PAGAMENTO DE ENTREGADORES</v>
      </c>
      <c r="P4788">
        <v>5</v>
      </c>
      <c r="S4788" t="str">
        <f>"BANCO C6 (149)"</f>
        <v>BANCO C6 (149)</v>
      </c>
      <c r="T4788">
        <v>32025</v>
      </c>
      <c r="U4788">
        <v>35198</v>
      </c>
      <c r="V4788" t="s">
        <v>37</v>
      </c>
    </row>
    <row r="4789" spans="1:22">
      <c r="A4789" t="str">
        <f t="shared" si="877"/>
        <v>26/03/2026</v>
      </c>
      <c r="B4789" t="str">
        <f t="shared" si="879"/>
        <v>SAÍDA</v>
      </c>
      <c r="C4789" t="str">
        <f t="shared" si="873"/>
        <v>PIX</v>
      </c>
      <c r="D4789" t="str">
        <f>"35198"</f>
        <v>35198</v>
      </c>
      <c r="E4789" t="str">
        <f t="shared" si="874"/>
        <v>1</v>
      </c>
      <c r="F4789" t="str">
        <f t="shared" si="875"/>
        <v>COM</v>
      </c>
      <c r="G4789" t="str">
        <f>"BRUNO DOS SANTOS MACHADO (702)"</f>
        <v>BRUNO DOS SANTOS MACHADO (702)</v>
      </c>
      <c r="H4789" t="s">
        <v>1299</v>
      </c>
      <c r="I4789" t="str">
        <f t="shared" si="880"/>
        <v>26/03/2026</v>
      </c>
      <c r="J4789" t="str">
        <f t="shared" si="876"/>
        <v>17/03/2026</v>
      </c>
      <c r="K4789">
        <v>46107</v>
      </c>
      <c r="N4789">
        <v>109</v>
      </c>
      <c r="O4789" t="s">
        <v>27</v>
      </c>
      <c r="Q4789">
        <v>5</v>
      </c>
      <c r="R4789" t="str">
        <f>"FARMÁCIA INDIANA LJ 266 (10186)"</f>
        <v>FARMÁCIA INDIANA LJ 266 (10186)</v>
      </c>
      <c r="S4789" t="s">
        <v>37</v>
      </c>
      <c r="T4789">
        <v>32025</v>
      </c>
      <c r="U4789">
        <v>35198</v>
      </c>
      <c r="V4789" t="s">
        <v>37</v>
      </c>
    </row>
    <row r="4790" spans="1:22">
      <c r="A4790" t="str">
        <f t="shared" si="877"/>
        <v>26/03/2026</v>
      </c>
      <c r="B4790" t="str">
        <f t="shared" si="879"/>
        <v>SAÍDA</v>
      </c>
      <c r="C4790" t="str">
        <f t="shared" ref="C4790:C4853" si="881">"PIX"</f>
        <v>PIX</v>
      </c>
      <c r="D4790" t="str">
        <f>"35199"</f>
        <v>35199</v>
      </c>
      <c r="E4790" t="str">
        <f t="shared" si="874"/>
        <v>1</v>
      </c>
      <c r="F4790" t="str">
        <f t="shared" si="875"/>
        <v>COM</v>
      </c>
      <c r="G4790" t="str">
        <f>"BRUNO DOS SANTOS MACHADO (702)"</f>
        <v>BRUNO DOS SANTOS MACHADO (702)</v>
      </c>
      <c r="H4790" t="str">
        <f>"Serv.Prest. 09/03/2026 a 15/03/2026 - PIX: CPF - CHAVE: 155.328.666-94"</f>
        <v>Serv.Prest. 09/03/2026 a 15/03/2026 - PIX: CPF - CHAVE: 155.328.666-94</v>
      </c>
      <c r="I4790" t="str">
        <f t="shared" si="880"/>
        <v>26/03/2026</v>
      </c>
      <c r="J4790" t="str">
        <f t="shared" si="876"/>
        <v>17/03/2026</v>
      </c>
      <c r="K4790" t="str">
        <f>("26/03/2026")</f>
        <v>26/03/2026</v>
      </c>
      <c r="L4790">
        <v>1200</v>
      </c>
      <c r="M4790">
        <v>1200</v>
      </c>
      <c r="N4790">
        <v>109</v>
      </c>
      <c r="O4790" t="str">
        <f>"PAGAMENTO DE ENTREGADORES"</f>
        <v>PAGAMENTO DE ENTREGADORES</v>
      </c>
      <c r="P4790">
        <v>1200</v>
      </c>
      <c r="S4790" t="str">
        <f>"BANCO C6 (149)"</f>
        <v>BANCO C6 (149)</v>
      </c>
      <c r="T4790">
        <v>32026</v>
      </c>
      <c r="U4790">
        <v>35199</v>
      </c>
      <c r="V4790" t="s">
        <v>37</v>
      </c>
    </row>
    <row r="4791" spans="1:22">
      <c r="A4791" t="str">
        <f t="shared" si="877"/>
        <v>26/03/2026</v>
      </c>
      <c r="B4791" t="str">
        <f t="shared" si="879"/>
        <v>SAÍDA</v>
      </c>
      <c r="C4791" t="str">
        <f t="shared" si="881"/>
        <v>PIX</v>
      </c>
      <c r="D4791" t="str">
        <f>"35199"</f>
        <v>35199</v>
      </c>
      <c r="E4791" t="str">
        <f t="shared" si="874"/>
        <v>1</v>
      </c>
      <c r="F4791" t="str">
        <f t="shared" si="875"/>
        <v>COM</v>
      </c>
      <c r="G4791" t="str">
        <f>"BRUNO DOS SANTOS MACHADO (702)"</f>
        <v>BRUNO DOS SANTOS MACHADO (702)</v>
      </c>
      <c r="H4791" t="s">
        <v>1299</v>
      </c>
      <c r="I4791" t="str">
        <f t="shared" si="880"/>
        <v>26/03/2026</v>
      </c>
      <c r="J4791" t="str">
        <f t="shared" si="876"/>
        <v>17/03/2026</v>
      </c>
      <c r="K4791">
        <v>46107</v>
      </c>
      <c r="N4791">
        <v>109</v>
      </c>
      <c r="O4791" t="s">
        <v>27</v>
      </c>
      <c r="Q4791">
        <v>1200</v>
      </c>
      <c r="R4791" t="str">
        <f>"FARMÁCIA INDIANA LJ 204 (10087)"</f>
        <v>FARMÁCIA INDIANA LJ 204 (10087)</v>
      </c>
      <c r="S4791" t="s">
        <v>37</v>
      </c>
      <c r="T4791">
        <v>32026</v>
      </c>
      <c r="U4791">
        <v>35199</v>
      </c>
      <c r="V4791" t="s">
        <v>37</v>
      </c>
    </row>
    <row r="4792" spans="1:22">
      <c r="A4792" t="str">
        <f t="shared" si="877"/>
        <v>26/03/2026</v>
      </c>
      <c r="B4792" t="str">
        <f t="shared" si="879"/>
        <v>SAÍDA</v>
      </c>
      <c r="C4792" t="str">
        <f t="shared" si="881"/>
        <v>PIX</v>
      </c>
      <c r="D4792" t="str">
        <f>"35200"</f>
        <v>35200</v>
      </c>
      <c r="E4792" t="str">
        <f t="shared" ref="E4792:E4855" si="882">"1"</f>
        <v>1</v>
      </c>
      <c r="F4792" t="str">
        <f t="shared" si="875"/>
        <v>COM</v>
      </c>
      <c r="G4792" t="str">
        <f>"BRUNO WAGNER DE CARVALHO OLIVEIRA (84)"</f>
        <v>BRUNO WAGNER DE CARVALHO OLIVEIRA (84)</v>
      </c>
      <c r="H4792" t="str">
        <f>"Serv.Prest. 09/03/2026 a 15/03/2026 - PIX: CELULAR - CHAVE: (32) 98896-0708"</f>
        <v>Serv.Prest. 09/03/2026 a 15/03/2026 - PIX: CELULAR - CHAVE: (32) 98896-0708</v>
      </c>
      <c r="I4792" t="str">
        <f t="shared" si="880"/>
        <v>26/03/2026</v>
      </c>
      <c r="J4792" t="str">
        <f t="shared" si="876"/>
        <v>17/03/2026</v>
      </c>
      <c r="K4792" t="str">
        <f>("26/03/2026")</f>
        <v>26/03/2026</v>
      </c>
      <c r="L4792">
        <v>700</v>
      </c>
      <c r="M4792">
        <v>700</v>
      </c>
      <c r="N4792">
        <v>109</v>
      </c>
      <c r="O4792" t="str">
        <f>"PAGAMENTO DE ENTREGADORES"</f>
        <v>PAGAMENTO DE ENTREGADORES</v>
      </c>
      <c r="P4792">
        <v>700</v>
      </c>
      <c r="S4792" t="str">
        <f>"BANCO C6 (149)"</f>
        <v>BANCO C6 (149)</v>
      </c>
      <c r="T4792">
        <v>32027</v>
      </c>
      <c r="U4792">
        <v>35200</v>
      </c>
      <c r="V4792" t="s">
        <v>37</v>
      </c>
    </row>
    <row r="4793" spans="1:22">
      <c r="A4793" t="str">
        <f t="shared" si="877"/>
        <v>26/03/2026</v>
      </c>
      <c r="B4793" t="str">
        <f t="shared" si="879"/>
        <v>SAÍDA</v>
      </c>
      <c r="C4793" t="str">
        <f t="shared" si="881"/>
        <v>PIX</v>
      </c>
      <c r="D4793" t="str">
        <f>"35200"</f>
        <v>35200</v>
      </c>
      <c r="E4793" t="str">
        <f t="shared" si="882"/>
        <v>1</v>
      </c>
      <c r="F4793" t="str">
        <f t="shared" si="875"/>
        <v>COM</v>
      </c>
      <c r="G4793" t="str">
        <f>"BRUNO WAGNER DE CARVALHO OLIVEIRA (84)"</f>
        <v>BRUNO WAGNER DE CARVALHO OLIVEIRA (84)</v>
      </c>
      <c r="H4793" t="s">
        <v>843</v>
      </c>
      <c r="I4793" t="str">
        <f t="shared" si="880"/>
        <v>26/03/2026</v>
      </c>
      <c r="J4793" t="str">
        <f t="shared" si="876"/>
        <v>17/03/2026</v>
      </c>
      <c r="K4793">
        <v>46107</v>
      </c>
      <c r="N4793">
        <v>109</v>
      </c>
      <c r="O4793" t="s">
        <v>27</v>
      </c>
      <c r="Q4793">
        <v>700</v>
      </c>
      <c r="R4793" t="str">
        <f>"FARMÁCIA INDIANA LJ 186 (10081)"</f>
        <v>FARMÁCIA INDIANA LJ 186 (10081)</v>
      </c>
      <c r="S4793" t="s">
        <v>37</v>
      </c>
      <c r="T4793">
        <v>32027</v>
      </c>
      <c r="U4793">
        <v>35200</v>
      </c>
      <c r="V4793" t="s">
        <v>37</v>
      </c>
    </row>
    <row r="4794" spans="1:22">
      <c r="A4794" t="str">
        <f t="shared" si="877"/>
        <v>26/03/2026</v>
      </c>
      <c r="B4794" t="str">
        <f t="shared" si="879"/>
        <v>SAÍDA</v>
      </c>
      <c r="C4794" t="str">
        <f t="shared" si="881"/>
        <v>PIX</v>
      </c>
      <c r="D4794" t="str">
        <f>"35202"</f>
        <v>35202</v>
      </c>
      <c r="E4794" t="str">
        <f t="shared" si="882"/>
        <v>1</v>
      </c>
      <c r="F4794" t="str">
        <f t="shared" si="875"/>
        <v>COM</v>
      </c>
      <c r="G4794" t="str">
        <f>"CAMILO JEFERSON DA SILVA PACHECO (1242)"</f>
        <v>CAMILO JEFERSON DA SILVA PACHECO (1242)</v>
      </c>
      <c r="H4794" t="str">
        <f>"Serv.Prest. 09/03/2026 a 15/03/2026 - PIX: CELULAR - CHAVE: (33) 98899-5294"</f>
        <v>Serv.Prest. 09/03/2026 a 15/03/2026 - PIX: CELULAR - CHAVE: (33) 98899-5294</v>
      </c>
      <c r="I4794" t="str">
        <f t="shared" si="880"/>
        <v>26/03/2026</v>
      </c>
      <c r="J4794" t="str">
        <f t="shared" si="876"/>
        <v>17/03/2026</v>
      </c>
      <c r="K4794" t="str">
        <f>("26/03/2026")</f>
        <v>26/03/2026</v>
      </c>
      <c r="L4794">
        <v>942</v>
      </c>
      <c r="M4794">
        <v>942</v>
      </c>
      <c r="N4794">
        <v>109</v>
      </c>
      <c r="O4794" t="str">
        <f>"PAGAMENTO DE ENTREGADORES"</f>
        <v>PAGAMENTO DE ENTREGADORES</v>
      </c>
      <c r="P4794">
        <v>942</v>
      </c>
      <c r="S4794" t="str">
        <f>"BANCO C6 (149)"</f>
        <v>BANCO C6 (149)</v>
      </c>
      <c r="T4794">
        <v>32028</v>
      </c>
      <c r="U4794">
        <v>35202</v>
      </c>
      <c r="V4794" t="s">
        <v>37</v>
      </c>
    </row>
    <row r="4795" spans="1:22">
      <c r="A4795" t="str">
        <f t="shared" si="877"/>
        <v>26/03/2026</v>
      </c>
      <c r="B4795" t="str">
        <f t="shared" si="879"/>
        <v>SAÍDA</v>
      </c>
      <c r="C4795" t="str">
        <f t="shared" si="881"/>
        <v>PIX</v>
      </c>
      <c r="D4795" t="str">
        <f>"35202"</f>
        <v>35202</v>
      </c>
      <c r="E4795" t="str">
        <f t="shared" si="882"/>
        <v>1</v>
      </c>
      <c r="F4795" t="str">
        <f t="shared" si="875"/>
        <v>COM</v>
      </c>
      <c r="G4795" t="str">
        <f>"CAMILO JEFERSON DA SILVA PACHECO (1242)"</f>
        <v>CAMILO JEFERSON DA SILVA PACHECO (1242)</v>
      </c>
      <c r="H4795" t="s">
        <v>1300</v>
      </c>
      <c r="I4795" t="str">
        <f t="shared" si="880"/>
        <v>26/03/2026</v>
      </c>
      <c r="J4795" t="str">
        <f t="shared" si="876"/>
        <v>17/03/2026</v>
      </c>
      <c r="K4795">
        <v>46107</v>
      </c>
      <c r="N4795">
        <v>109</v>
      </c>
      <c r="O4795" t="s">
        <v>27</v>
      </c>
      <c r="Q4795">
        <v>942</v>
      </c>
      <c r="R4795" t="str">
        <f>"FARMÁCIA INDIANA LJ 07 (10007)"</f>
        <v>FARMÁCIA INDIANA LJ 07 (10007)</v>
      </c>
      <c r="S4795" t="s">
        <v>37</v>
      </c>
      <c r="T4795">
        <v>32028</v>
      </c>
      <c r="U4795">
        <v>35202</v>
      </c>
      <c r="V4795" t="s">
        <v>37</v>
      </c>
    </row>
    <row r="4796" spans="1:22">
      <c r="A4796" t="str">
        <f t="shared" si="877"/>
        <v>26/03/2026</v>
      </c>
      <c r="B4796" t="str">
        <f t="shared" si="879"/>
        <v>SAÍDA</v>
      </c>
      <c r="C4796" t="str">
        <f t="shared" si="881"/>
        <v>PIX</v>
      </c>
      <c r="D4796" t="str">
        <f>"35203"</f>
        <v>35203</v>
      </c>
      <c r="E4796" t="str">
        <f t="shared" si="882"/>
        <v>1</v>
      </c>
      <c r="F4796" t="str">
        <f t="shared" si="875"/>
        <v>COM</v>
      </c>
      <c r="G4796" t="str">
        <f>"CARLOS ALEXANDRE BADARO CORDEIRO (1137)"</f>
        <v>CARLOS ALEXANDRE BADARO CORDEIRO (1137)</v>
      </c>
      <c r="H4796" t="str">
        <f>"Serv.Prest. 09/03/2026 a 15/03/2026 - PIX: CELULAR - CHAVE: (32) 99928-9092"</f>
        <v>Serv.Prest. 09/03/2026 a 15/03/2026 - PIX: CELULAR - CHAVE: (32) 99928-9092</v>
      </c>
      <c r="I4796" t="str">
        <f t="shared" si="880"/>
        <v>26/03/2026</v>
      </c>
      <c r="J4796" t="str">
        <f t="shared" si="876"/>
        <v>17/03/2026</v>
      </c>
      <c r="K4796" t="str">
        <f>("26/03/2026")</f>
        <v>26/03/2026</v>
      </c>
      <c r="L4796">
        <v>444</v>
      </c>
      <c r="M4796">
        <v>720</v>
      </c>
      <c r="N4796">
        <v>109</v>
      </c>
      <c r="O4796" t="str">
        <f>"PAGAMENTO DE ENTREGADORES"</f>
        <v>PAGAMENTO DE ENTREGADORES</v>
      </c>
      <c r="P4796">
        <v>720</v>
      </c>
      <c r="S4796" t="str">
        <f>"BANCO C6 (149)"</f>
        <v>BANCO C6 (149)</v>
      </c>
      <c r="T4796">
        <v>32029</v>
      </c>
      <c r="U4796">
        <v>35203</v>
      </c>
      <c r="V4796" t="s">
        <v>37</v>
      </c>
    </row>
    <row r="4797" spans="1:22">
      <c r="A4797" t="str">
        <f t="shared" si="877"/>
        <v>26/03/2026</v>
      </c>
      <c r="B4797" t="str">
        <f t="shared" si="879"/>
        <v>SAÍDA</v>
      </c>
      <c r="C4797" t="str">
        <f t="shared" si="881"/>
        <v>PIX</v>
      </c>
      <c r="D4797" t="str">
        <f>"35203"</f>
        <v>35203</v>
      </c>
      <c r="E4797" t="str">
        <f t="shared" si="882"/>
        <v>1</v>
      </c>
      <c r="F4797" t="str">
        <f t="shared" si="875"/>
        <v>COM</v>
      </c>
      <c r="G4797" t="str">
        <f>"CARLOS ALEXANDRE BADARO CORDEIRO (1137)"</f>
        <v>CARLOS ALEXANDRE BADARO CORDEIRO (1137)</v>
      </c>
      <c r="H4797" t="s">
        <v>1301</v>
      </c>
      <c r="I4797" t="str">
        <f t="shared" si="880"/>
        <v>26/03/2026</v>
      </c>
      <c r="J4797" t="str">
        <f t="shared" si="876"/>
        <v>17/03/2026</v>
      </c>
      <c r="K4797">
        <v>46107</v>
      </c>
      <c r="N4797">
        <v>109</v>
      </c>
      <c r="O4797" t="s">
        <v>27</v>
      </c>
      <c r="Q4797">
        <v>720</v>
      </c>
      <c r="R4797" t="str">
        <f>"FARMÁCIA INDIANA LJ 284 (10280)"</f>
        <v>FARMÁCIA INDIANA LJ 284 (10280)</v>
      </c>
      <c r="S4797" t="s">
        <v>37</v>
      </c>
      <c r="T4797">
        <v>32029</v>
      </c>
      <c r="U4797">
        <v>35203</v>
      </c>
      <c r="V4797" t="s">
        <v>37</v>
      </c>
    </row>
    <row r="4798" spans="1:22">
      <c r="A4798" t="str">
        <f t="shared" si="877"/>
        <v>26/03/2026</v>
      </c>
      <c r="B4798" t="str">
        <f t="shared" si="879"/>
        <v>SAÍDA</v>
      </c>
      <c r="C4798" t="str">
        <f t="shared" si="881"/>
        <v>PIX</v>
      </c>
      <c r="D4798" t="str">
        <f>"35204"</f>
        <v>35204</v>
      </c>
      <c r="E4798" t="str">
        <f t="shared" si="882"/>
        <v>1</v>
      </c>
      <c r="F4798" t="str">
        <f t="shared" si="875"/>
        <v>COM</v>
      </c>
      <c r="G4798" t="str">
        <f>"CARLOS ROBERTO BADARÓ MACHADO (78)"</f>
        <v>CARLOS ROBERTO BADARÓ MACHADO (78)</v>
      </c>
      <c r="H4798" t="str">
        <f>"Serv.Prest. 09/03/2026 a 15/03/2026 - PIX: CELULAR - CHAVE: (32) 99166-8238"</f>
        <v>Serv.Prest. 09/03/2026 a 15/03/2026 - PIX: CELULAR - CHAVE: (32) 99166-8238</v>
      </c>
      <c r="I4798" t="str">
        <f t="shared" si="880"/>
        <v>26/03/2026</v>
      </c>
      <c r="J4798" t="str">
        <f t="shared" si="876"/>
        <v>17/03/2026</v>
      </c>
      <c r="K4798" t="str">
        <f>("26/03/2026")</f>
        <v>26/03/2026</v>
      </c>
      <c r="L4798">
        <v>1584</v>
      </c>
      <c r="M4798">
        <v>1584</v>
      </c>
      <c r="N4798">
        <v>109</v>
      </c>
      <c r="O4798" t="str">
        <f>"PAGAMENTO DE ENTREGADORES"</f>
        <v>PAGAMENTO DE ENTREGADORES</v>
      </c>
      <c r="P4798">
        <v>1584</v>
      </c>
      <c r="S4798" t="str">
        <f>"BANCO C6 (149)"</f>
        <v>BANCO C6 (149)</v>
      </c>
      <c r="T4798">
        <v>32030</v>
      </c>
      <c r="U4798">
        <v>35204</v>
      </c>
      <c r="V4798" t="s">
        <v>37</v>
      </c>
    </row>
    <row r="4799" spans="1:22">
      <c r="A4799" t="str">
        <f t="shared" si="877"/>
        <v>26/03/2026</v>
      </c>
      <c r="B4799" t="str">
        <f t="shared" si="879"/>
        <v>SAÍDA</v>
      </c>
      <c r="C4799" t="str">
        <f t="shared" si="881"/>
        <v>PIX</v>
      </c>
      <c r="D4799" t="str">
        <f>"35204"</f>
        <v>35204</v>
      </c>
      <c r="E4799" t="str">
        <f t="shared" si="882"/>
        <v>1</v>
      </c>
      <c r="F4799" t="str">
        <f t="shared" si="875"/>
        <v>COM</v>
      </c>
      <c r="G4799" t="str">
        <f>"CARLOS ROBERTO BADARÓ MACHADO (78)"</f>
        <v>CARLOS ROBERTO BADARÓ MACHADO (78)</v>
      </c>
      <c r="H4799" t="s">
        <v>1302</v>
      </c>
      <c r="I4799" t="str">
        <f t="shared" si="880"/>
        <v>26/03/2026</v>
      </c>
      <c r="J4799" t="str">
        <f t="shared" si="876"/>
        <v>17/03/2026</v>
      </c>
      <c r="K4799">
        <v>46107</v>
      </c>
      <c r="N4799">
        <v>109</v>
      </c>
      <c r="O4799" t="s">
        <v>27</v>
      </c>
      <c r="Q4799">
        <v>1584</v>
      </c>
      <c r="R4799" t="str">
        <f>"FARMÁCIA INDIANA LJ 109 (10047)"</f>
        <v>FARMÁCIA INDIANA LJ 109 (10047)</v>
      </c>
      <c r="S4799" t="s">
        <v>37</v>
      </c>
      <c r="T4799">
        <v>32030</v>
      </c>
      <c r="U4799">
        <v>35204</v>
      </c>
      <c r="V4799" t="s">
        <v>37</v>
      </c>
    </row>
    <row r="4800" spans="1:22">
      <c r="A4800" t="str">
        <f t="shared" si="877"/>
        <v>26/03/2026</v>
      </c>
      <c r="B4800" t="str">
        <f t="shared" si="879"/>
        <v>SAÍDA</v>
      </c>
      <c r="C4800" t="str">
        <f t="shared" si="881"/>
        <v>PIX</v>
      </c>
      <c r="D4800" t="str">
        <f>"35205"</f>
        <v>35205</v>
      </c>
      <c r="E4800" t="str">
        <f t="shared" si="882"/>
        <v>1</v>
      </c>
      <c r="F4800" t="str">
        <f t="shared" si="875"/>
        <v>COM</v>
      </c>
      <c r="G4800" t="str">
        <f>"CARLOS ROBERTO BADARÓ MACHADO (78)"</f>
        <v>CARLOS ROBERTO BADARÓ MACHADO (78)</v>
      </c>
      <c r="H4800" t="str">
        <f>"Serv.Prest. 09/03/2026 a 15/03/2026 - PIX: CELULAR - CHAVE: (32) 99166-8238"</f>
        <v>Serv.Prest. 09/03/2026 a 15/03/2026 - PIX: CELULAR - CHAVE: (32) 99166-8238</v>
      </c>
      <c r="I4800" t="str">
        <f t="shared" si="880"/>
        <v>26/03/2026</v>
      </c>
      <c r="J4800" t="str">
        <f t="shared" si="876"/>
        <v>17/03/2026</v>
      </c>
      <c r="K4800" t="str">
        <f>("26/03/2026")</f>
        <v>26/03/2026</v>
      </c>
      <c r="L4800">
        <v>114</v>
      </c>
      <c r="M4800">
        <v>114</v>
      </c>
      <c r="N4800">
        <v>109</v>
      </c>
      <c r="O4800" t="str">
        <f>"PAGAMENTO DE ENTREGADORES"</f>
        <v>PAGAMENTO DE ENTREGADORES</v>
      </c>
      <c r="P4800">
        <v>114</v>
      </c>
      <c r="S4800" t="str">
        <f>"BANCO C6 (149)"</f>
        <v>BANCO C6 (149)</v>
      </c>
      <c r="T4800">
        <v>32031</v>
      </c>
      <c r="U4800">
        <v>35205</v>
      </c>
      <c r="V4800" t="s">
        <v>37</v>
      </c>
    </row>
    <row r="4801" spans="1:22">
      <c r="A4801" t="str">
        <f t="shared" si="877"/>
        <v>26/03/2026</v>
      </c>
      <c r="B4801" t="str">
        <f t="shared" si="879"/>
        <v>SAÍDA</v>
      </c>
      <c r="C4801" t="str">
        <f t="shared" si="881"/>
        <v>PIX</v>
      </c>
      <c r="D4801" t="str">
        <f>"35205"</f>
        <v>35205</v>
      </c>
      <c r="E4801" t="str">
        <f t="shared" si="882"/>
        <v>1</v>
      </c>
      <c r="F4801" t="str">
        <f t="shared" si="875"/>
        <v>COM</v>
      </c>
      <c r="G4801" t="str">
        <f>"CARLOS ROBERTO BADARÓ MACHADO (78)"</f>
        <v>CARLOS ROBERTO BADARÓ MACHADO (78)</v>
      </c>
      <c r="H4801" t="s">
        <v>1302</v>
      </c>
      <c r="I4801" t="str">
        <f t="shared" si="880"/>
        <v>26/03/2026</v>
      </c>
      <c r="J4801" t="str">
        <f t="shared" si="876"/>
        <v>17/03/2026</v>
      </c>
      <c r="K4801">
        <v>46107</v>
      </c>
      <c r="N4801">
        <v>109</v>
      </c>
      <c r="O4801" t="s">
        <v>27</v>
      </c>
      <c r="Q4801">
        <v>114</v>
      </c>
      <c r="R4801" t="str">
        <f>"FARMÁCIA INDIANA LJ 284 (10280)"</f>
        <v>FARMÁCIA INDIANA LJ 284 (10280)</v>
      </c>
      <c r="S4801" t="s">
        <v>37</v>
      </c>
      <c r="T4801">
        <v>32031</v>
      </c>
      <c r="U4801">
        <v>35205</v>
      </c>
      <c r="V4801" t="s">
        <v>37</v>
      </c>
    </row>
    <row r="4802" spans="1:22">
      <c r="A4802" t="str">
        <f t="shared" si="877"/>
        <v>26/03/2026</v>
      </c>
      <c r="B4802" t="str">
        <f t="shared" si="879"/>
        <v>SAÍDA</v>
      </c>
      <c r="C4802" t="str">
        <f t="shared" si="881"/>
        <v>PIX</v>
      </c>
      <c r="D4802" t="str">
        <f>"35206"</f>
        <v>35206</v>
      </c>
      <c r="E4802" t="str">
        <f t="shared" si="882"/>
        <v>1</v>
      </c>
      <c r="F4802" t="str">
        <f t="shared" ref="F4802:F4865" si="883">"COM"</f>
        <v>COM</v>
      </c>
      <c r="G4802" t="str">
        <f>"CASSIO DIAS RIBEIRO (32)"</f>
        <v>CASSIO DIAS RIBEIRO (32)</v>
      </c>
      <c r="H4802" t="str">
        <f>"Serv.Prest. 09/03/2026 a 15/03/2026 - PIX: CNPJ - CHAVE: 35.986.676/0001-80"</f>
        <v>Serv.Prest. 09/03/2026 a 15/03/2026 - PIX: CNPJ - CHAVE: 35.986.676/0001-80</v>
      </c>
      <c r="I4802" t="str">
        <f t="shared" si="880"/>
        <v>26/03/2026</v>
      </c>
      <c r="J4802" t="str">
        <f t="shared" si="876"/>
        <v>17/03/2026</v>
      </c>
      <c r="K4802" t="str">
        <f>("26/03/2026")</f>
        <v>26/03/2026</v>
      </c>
      <c r="L4802">
        <v>566</v>
      </c>
      <c r="M4802">
        <v>566</v>
      </c>
      <c r="N4802">
        <v>109</v>
      </c>
      <c r="O4802" t="str">
        <f>"PAGAMENTO DE ENTREGADORES"</f>
        <v>PAGAMENTO DE ENTREGADORES</v>
      </c>
      <c r="P4802">
        <v>566</v>
      </c>
      <c r="S4802" t="str">
        <f>"BANCO C6 (149)"</f>
        <v>BANCO C6 (149)</v>
      </c>
      <c r="T4802">
        <v>32032</v>
      </c>
      <c r="U4802">
        <v>35206</v>
      </c>
      <c r="V4802" t="s">
        <v>37</v>
      </c>
    </row>
    <row r="4803" spans="1:22">
      <c r="A4803" t="str">
        <f t="shared" si="877"/>
        <v>26/03/2026</v>
      </c>
      <c r="B4803" t="str">
        <f t="shared" si="879"/>
        <v>SAÍDA</v>
      </c>
      <c r="C4803" t="str">
        <f t="shared" si="881"/>
        <v>PIX</v>
      </c>
      <c r="D4803" t="str">
        <f>"35206"</f>
        <v>35206</v>
      </c>
      <c r="E4803" t="str">
        <f t="shared" si="882"/>
        <v>1</v>
      </c>
      <c r="F4803" t="str">
        <f t="shared" si="883"/>
        <v>COM</v>
      </c>
      <c r="G4803" t="str">
        <f>"CASSIO DIAS RIBEIRO (32)"</f>
        <v>CASSIO DIAS RIBEIRO (32)</v>
      </c>
      <c r="H4803" t="s">
        <v>836</v>
      </c>
      <c r="I4803" t="str">
        <f t="shared" si="880"/>
        <v>26/03/2026</v>
      </c>
      <c r="J4803" t="str">
        <f t="shared" si="876"/>
        <v>17/03/2026</v>
      </c>
      <c r="K4803">
        <v>46107</v>
      </c>
      <c r="N4803">
        <v>109</v>
      </c>
      <c r="O4803" t="s">
        <v>27</v>
      </c>
      <c r="Q4803">
        <v>566</v>
      </c>
      <c r="R4803" t="str">
        <f>"FARMÁCIA INDIANA LJ 11 (10008)"</f>
        <v>FARMÁCIA INDIANA LJ 11 (10008)</v>
      </c>
      <c r="S4803" t="s">
        <v>37</v>
      </c>
      <c r="T4803">
        <v>32032</v>
      </c>
      <c r="U4803">
        <v>35206</v>
      </c>
      <c r="V4803" t="s">
        <v>37</v>
      </c>
    </row>
    <row r="4804" spans="1:22">
      <c r="A4804" t="str">
        <f t="shared" si="877"/>
        <v>26/03/2026</v>
      </c>
      <c r="B4804" t="str">
        <f t="shared" si="879"/>
        <v>SAÍDA</v>
      </c>
      <c r="C4804" t="str">
        <f t="shared" si="881"/>
        <v>PIX</v>
      </c>
      <c r="D4804" t="str">
        <f>"35207"</f>
        <v>35207</v>
      </c>
      <c r="E4804" t="str">
        <f t="shared" si="882"/>
        <v>1</v>
      </c>
      <c r="F4804" t="str">
        <f t="shared" si="883"/>
        <v>COM</v>
      </c>
      <c r="G4804" t="str">
        <f>"CELIO JOSÉ RIBEIRO (189)"</f>
        <v>CELIO JOSÉ RIBEIRO (189)</v>
      </c>
      <c r="H4804" t="str">
        <f>"Serv.Prest. 09/03/2026 a 15/03/2026 - PIX: CELULAR - CHAVE: (33) 98845-4528"</f>
        <v>Serv.Prest. 09/03/2026 a 15/03/2026 - PIX: CELULAR - CHAVE: (33) 98845-4528</v>
      </c>
      <c r="I4804" t="str">
        <f t="shared" si="880"/>
        <v>26/03/2026</v>
      </c>
      <c r="J4804" t="str">
        <f t="shared" si="876"/>
        <v>17/03/2026</v>
      </c>
      <c r="K4804" t="str">
        <f>("26/03/2026")</f>
        <v>26/03/2026</v>
      </c>
      <c r="L4804">
        <v>1080</v>
      </c>
      <c r="M4804">
        <v>1080</v>
      </c>
      <c r="N4804">
        <v>109</v>
      </c>
      <c r="O4804" t="str">
        <f>"PAGAMENTO DE ENTREGADORES"</f>
        <v>PAGAMENTO DE ENTREGADORES</v>
      </c>
      <c r="P4804">
        <v>1080</v>
      </c>
      <c r="S4804" t="str">
        <f>"BANCO C6 (149)"</f>
        <v>BANCO C6 (149)</v>
      </c>
      <c r="T4804">
        <v>32033</v>
      </c>
      <c r="U4804">
        <v>35207</v>
      </c>
      <c r="V4804" t="s">
        <v>37</v>
      </c>
    </row>
    <row r="4805" spans="1:22">
      <c r="A4805" t="str">
        <f t="shared" si="877"/>
        <v>26/03/2026</v>
      </c>
      <c r="B4805" t="str">
        <f t="shared" si="879"/>
        <v>SAÍDA</v>
      </c>
      <c r="C4805" t="str">
        <f t="shared" si="881"/>
        <v>PIX</v>
      </c>
      <c r="D4805" t="str">
        <f>"35207"</f>
        <v>35207</v>
      </c>
      <c r="E4805" t="str">
        <f t="shared" si="882"/>
        <v>1</v>
      </c>
      <c r="F4805" t="str">
        <f t="shared" si="883"/>
        <v>COM</v>
      </c>
      <c r="G4805" t="str">
        <f>"CELIO JOSÉ RIBEIRO (189)"</f>
        <v>CELIO JOSÉ RIBEIRO (189)</v>
      </c>
      <c r="H4805" t="s">
        <v>1303</v>
      </c>
      <c r="I4805" t="str">
        <f t="shared" si="880"/>
        <v>26/03/2026</v>
      </c>
      <c r="J4805" t="str">
        <f t="shared" si="876"/>
        <v>17/03/2026</v>
      </c>
      <c r="K4805">
        <v>46107</v>
      </c>
      <c r="N4805">
        <v>109</v>
      </c>
      <c r="O4805" t="s">
        <v>27</v>
      </c>
      <c r="Q4805">
        <v>1080</v>
      </c>
      <c r="R4805" t="str">
        <f>"FARMÁCIA INDIANA LJ 06 (10006)"</f>
        <v>FARMÁCIA INDIANA LJ 06 (10006)</v>
      </c>
      <c r="S4805" t="s">
        <v>37</v>
      </c>
      <c r="T4805">
        <v>32033</v>
      </c>
      <c r="U4805">
        <v>35207</v>
      </c>
      <c r="V4805" t="s">
        <v>37</v>
      </c>
    </row>
    <row r="4806" spans="1:22">
      <c r="A4806" t="str">
        <f t="shared" si="877"/>
        <v>26/03/2026</v>
      </c>
      <c r="B4806" t="str">
        <f t="shared" si="879"/>
        <v>SAÍDA</v>
      </c>
      <c r="C4806" t="str">
        <f t="shared" si="881"/>
        <v>PIX</v>
      </c>
      <c r="D4806" t="str">
        <f>"35208"</f>
        <v>35208</v>
      </c>
      <c r="E4806" t="str">
        <f t="shared" si="882"/>
        <v>1</v>
      </c>
      <c r="F4806" t="str">
        <f t="shared" si="883"/>
        <v>COM</v>
      </c>
      <c r="G4806" t="str">
        <f>"CLEIDIOMAR RIBEIRO FERREIRA (34)"</f>
        <v>CLEIDIOMAR RIBEIRO FERREIRA (34)</v>
      </c>
      <c r="H4806" t="str">
        <f>"Serv.Prest. 09/03/2026 a 15/03/2026 - PIX: CELULAR - CHAVE: (31) 98511-2851"</f>
        <v>Serv.Prest. 09/03/2026 a 15/03/2026 - PIX: CELULAR - CHAVE: (31) 98511-2851</v>
      </c>
      <c r="I4806" t="str">
        <f t="shared" si="880"/>
        <v>26/03/2026</v>
      </c>
      <c r="J4806" t="str">
        <f t="shared" si="876"/>
        <v>17/03/2026</v>
      </c>
      <c r="K4806" t="str">
        <f>("26/03/2026")</f>
        <v>26/03/2026</v>
      </c>
      <c r="L4806">
        <v>360</v>
      </c>
      <c r="M4806">
        <v>360</v>
      </c>
      <c r="N4806">
        <v>109</v>
      </c>
      <c r="O4806" t="str">
        <f>"PAGAMENTO DE ENTREGADORES"</f>
        <v>PAGAMENTO DE ENTREGADORES</v>
      </c>
      <c r="P4806">
        <v>360</v>
      </c>
      <c r="S4806" t="str">
        <f>"BANCO C6 (149)"</f>
        <v>BANCO C6 (149)</v>
      </c>
      <c r="T4806">
        <v>32034</v>
      </c>
      <c r="U4806">
        <v>35208</v>
      </c>
      <c r="V4806" t="s">
        <v>37</v>
      </c>
    </row>
    <row r="4807" spans="1:22">
      <c r="A4807" t="str">
        <f t="shared" si="877"/>
        <v>26/03/2026</v>
      </c>
      <c r="B4807" t="str">
        <f t="shared" si="879"/>
        <v>SAÍDA</v>
      </c>
      <c r="C4807" t="str">
        <f t="shared" si="881"/>
        <v>PIX</v>
      </c>
      <c r="D4807" t="str">
        <f>"35208"</f>
        <v>35208</v>
      </c>
      <c r="E4807" t="str">
        <f t="shared" si="882"/>
        <v>1</v>
      </c>
      <c r="F4807" t="str">
        <f t="shared" si="883"/>
        <v>COM</v>
      </c>
      <c r="G4807" t="str">
        <f>"CLEIDIOMAR RIBEIRO FERREIRA (34)"</f>
        <v>CLEIDIOMAR RIBEIRO FERREIRA (34)</v>
      </c>
      <c r="H4807" t="s">
        <v>1304</v>
      </c>
      <c r="I4807" t="str">
        <f t="shared" si="880"/>
        <v>26/03/2026</v>
      </c>
      <c r="J4807" t="str">
        <f t="shared" si="876"/>
        <v>17/03/2026</v>
      </c>
      <c r="K4807">
        <v>46107</v>
      </c>
      <c r="N4807">
        <v>109</v>
      </c>
      <c r="O4807" t="s">
        <v>27</v>
      </c>
      <c r="Q4807">
        <v>360</v>
      </c>
      <c r="R4807" t="str">
        <f>"FARMÁCIA INDIANA LJ 11 (10008)"</f>
        <v>FARMÁCIA INDIANA LJ 11 (10008)</v>
      </c>
      <c r="S4807" t="s">
        <v>37</v>
      </c>
      <c r="T4807">
        <v>32034</v>
      </c>
      <c r="U4807">
        <v>35208</v>
      </c>
      <c r="V4807" t="s">
        <v>37</v>
      </c>
    </row>
    <row r="4808" spans="1:22">
      <c r="A4808" t="str">
        <f t="shared" si="877"/>
        <v>26/03/2026</v>
      </c>
      <c r="B4808" t="str">
        <f t="shared" si="879"/>
        <v>SAÍDA</v>
      </c>
      <c r="C4808" t="str">
        <f t="shared" si="881"/>
        <v>PIX</v>
      </c>
      <c r="D4808" t="str">
        <f>"35209"</f>
        <v>35209</v>
      </c>
      <c r="E4808" t="str">
        <f t="shared" si="882"/>
        <v>1</v>
      </c>
      <c r="F4808" t="str">
        <f t="shared" si="883"/>
        <v>COM</v>
      </c>
      <c r="G4808" t="str">
        <f>"CRISTIANO XAVIER DA COSTA (269)"</f>
        <v>CRISTIANO XAVIER DA COSTA (269)</v>
      </c>
      <c r="H4808" t="str">
        <f>"Serv.Prest. 09/03/2026 a 15/03/2026 - PIX: CELULAR - CHAVE: (32) 99177-6167"</f>
        <v>Serv.Prest. 09/03/2026 a 15/03/2026 - PIX: CELULAR - CHAVE: (32) 99177-6167</v>
      </c>
      <c r="I4808" t="str">
        <f t="shared" si="880"/>
        <v>26/03/2026</v>
      </c>
      <c r="J4808" t="str">
        <f t="shared" si="876"/>
        <v>17/03/2026</v>
      </c>
      <c r="K4808" t="str">
        <f>("26/03/2026")</f>
        <v>26/03/2026</v>
      </c>
      <c r="L4808">
        <v>1020</v>
      </c>
      <c r="M4808">
        <v>1020</v>
      </c>
      <c r="N4808">
        <v>109</v>
      </c>
      <c r="O4808" t="str">
        <f>"PAGAMENTO DE ENTREGADORES"</f>
        <v>PAGAMENTO DE ENTREGADORES</v>
      </c>
      <c r="P4808">
        <v>1020</v>
      </c>
      <c r="S4808" t="str">
        <f>"BANCO C6 (149)"</f>
        <v>BANCO C6 (149)</v>
      </c>
      <c r="T4808">
        <v>32035</v>
      </c>
      <c r="U4808">
        <v>35209</v>
      </c>
      <c r="V4808" t="s">
        <v>37</v>
      </c>
    </row>
    <row r="4809" spans="1:22">
      <c r="A4809" t="str">
        <f t="shared" si="877"/>
        <v>26/03/2026</v>
      </c>
      <c r="B4809" t="str">
        <f t="shared" si="879"/>
        <v>SAÍDA</v>
      </c>
      <c r="C4809" t="str">
        <f t="shared" si="881"/>
        <v>PIX</v>
      </c>
      <c r="D4809" t="str">
        <f>"35209"</f>
        <v>35209</v>
      </c>
      <c r="E4809" t="str">
        <f t="shared" si="882"/>
        <v>1</v>
      </c>
      <c r="F4809" t="str">
        <f t="shared" si="883"/>
        <v>COM</v>
      </c>
      <c r="G4809" t="str">
        <f>"CRISTIANO XAVIER DA COSTA (269)"</f>
        <v>CRISTIANO XAVIER DA COSTA (269)</v>
      </c>
      <c r="H4809" t="s">
        <v>1305</v>
      </c>
      <c r="I4809" t="str">
        <f t="shared" si="880"/>
        <v>26/03/2026</v>
      </c>
      <c r="J4809" t="str">
        <f t="shared" si="876"/>
        <v>17/03/2026</v>
      </c>
      <c r="K4809">
        <v>46107</v>
      </c>
      <c r="N4809">
        <v>109</v>
      </c>
      <c r="O4809" t="s">
        <v>27</v>
      </c>
      <c r="Q4809">
        <v>1020</v>
      </c>
      <c r="R4809" t="str">
        <f>"FARMÁCIA INDIANA LJ 207 (10088)"</f>
        <v>FARMÁCIA INDIANA LJ 207 (10088)</v>
      </c>
      <c r="S4809" t="s">
        <v>37</v>
      </c>
      <c r="T4809">
        <v>32035</v>
      </c>
      <c r="U4809">
        <v>35209</v>
      </c>
      <c r="V4809" t="s">
        <v>37</v>
      </c>
    </row>
    <row r="4810" spans="1:22">
      <c r="A4810" t="str">
        <f t="shared" si="877"/>
        <v>26/03/2026</v>
      </c>
      <c r="B4810" t="str">
        <f t="shared" si="879"/>
        <v>SAÍDA</v>
      </c>
      <c r="C4810" t="str">
        <f t="shared" si="881"/>
        <v>PIX</v>
      </c>
      <c r="D4810" t="str">
        <f>"35210"</f>
        <v>35210</v>
      </c>
      <c r="E4810" t="str">
        <f t="shared" si="882"/>
        <v>1</v>
      </c>
      <c r="F4810" t="str">
        <f t="shared" si="883"/>
        <v>COM</v>
      </c>
      <c r="G4810" t="str">
        <f>"CRISTIANO XAVIER DA COSTA (269)"</f>
        <v>CRISTIANO XAVIER DA COSTA (269)</v>
      </c>
      <c r="H4810" t="str">
        <f>"Serv.Prest. 09/03/2026 a 15/03/2026 - PIX: CELULAR - CHAVE: (32) 99177-6167"</f>
        <v>Serv.Prest. 09/03/2026 a 15/03/2026 - PIX: CELULAR - CHAVE: (32) 99177-6167</v>
      </c>
      <c r="I4810" t="str">
        <f t="shared" si="880"/>
        <v>26/03/2026</v>
      </c>
      <c r="J4810" t="str">
        <f t="shared" si="876"/>
        <v>17/03/2026</v>
      </c>
      <c r="K4810" t="str">
        <f>("26/03/2026")</f>
        <v>26/03/2026</v>
      </c>
      <c r="L4810">
        <v>1020</v>
      </c>
      <c r="M4810">
        <v>1020</v>
      </c>
      <c r="N4810">
        <v>109</v>
      </c>
      <c r="O4810" t="str">
        <f>"PAGAMENTO DE ENTREGADORES"</f>
        <v>PAGAMENTO DE ENTREGADORES</v>
      </c>
      <c r="P4810">
        <v>1020</v>
      </c>
      <c r="S4810" t="str">
        <f>"BANCO C6 (149)"</f>
        <v>BANCO C6 (149)</v>
      </c>
      <c r="T4810">
        <v>32036</v>
      </c>
      <c r="U4810">
        <v>35210</v>
      </c>
      <c r="V4810" t="s">
        <v>37</v>
      </c>
    </row>
    <row r="4811" spans="1:22">
      <c r="A4811" t="str">
        <f t="shared" si="877"/>
        <v>26/03/2026</v>
      </c>
      <c r="B4811" t="str">
        <f t="shared" si="879"/>
        <v>SAÍDA</v>
      </c>
      <c r="C4811" t="str">
        <f t="shared" si="881"/>
        <v>PIX</v>
      </c>
      <c r="D4811" t="str">
        <f>"35210"</f>
        <v>35210</v>
      </c>
      <c r="E4811" t="str">
        <f t="shared" si="882"/>
        <v>1</v>
      </c>
      <c r="F4811" t="str">
        <f t="shared" si="883"/>
        <v>COM</v>
      </c>
      <c r="G4811" t="str">
        <f>"CRISTIANO XAVIER DA COSTA (269)"</f>
        <v>CRISTIANO XAVIER DA COSTA (269)</v>
      </c>
      <c r="H4811" t="s">
        <v>1305</v>
      </c>
      <c r="I4811" t="str">
        <f t="shared" si="880"/>
        <v>26/03/2026</v>
      </c>
      <c r="J4811" t="str">
        <f t="shared" si="876"/>
        <v>17/03/2026</v>
      </c>
      <c r="K4811">
        <v>46107</v>
      </c>
      <c r="N4811">
        <v>109</v>
      </c>
      <c r="O4811" t="s">
        <v>27</v>
      </c>
      <c r="Q4811">
        <v>1020</v>
      </c>
      <c r="R4811" t="str">
        <f>"FARMÁCIA INDIANA LJ 209 (10089)"</f>
        <v>FARMÁCIA INDIANA LJ 209 (10089)</v>
      </c>
      <c r="S4811" t="s">
        <v>37</v>
      </c>
      <c r="T4811">
        <v>32036</v>
      </c>
      <c r="U4811">
        <v>35210</v>
      </c>
      <c r="V4811" t="s">
        <v>37</v>
      </c>
    </row>
    <row r="4812" spans="1:22">
      <c r="A4812" t="str">
        <f t="shared" si="877"/>
        <v>26/03/2026</v>
      </c>
      <c r="B4812" t="str">
        <f t="shared" si="879"/>
        <v>SAÍDA</v>
      </c>
      <c r="C4812" t="str">
        <f t="shared" si="881"/>
        <v>PIX</v>
      </c>
      <c r="D4812" t="str">
        <f>"35211"</f>
        <v>35211</v>
      </c>
      <c r="E4812" t="str">
        <f t="shared" si="882"/>
        <v>1</v>
      </c>
      <c r="F4812" t="str">
        <f t="shared" si="883"/>
        <v>COM</v>
      </c>
      <c r="G4812" t="str">
        <f>"DAMÁSIO JOSÉ DO NASCIMENTO NETO (147)"</f>
        <v>DAMÁSIO JOSÉ DO NASCIMENTO NETO (147)</v>
      </c>
      <c r="H4812" t="str">
        <f>"Serv.Prest. 09/03/2026 a 15/03/2026 - PIX: CPF - CHAVE: 110.483.296-82"</f>
        <v>Serv.Prest. 09/03/2026 a 15/03/2026 - PIX: CPF - CHAVE: 110.483.296-82</v>
      </c>
      <c r="I4812" t="str">
        <f t="shared" si="880"/>
        <v>26/03/2026</v>
      </c>
      <c r="J4812" t="str">
        <f t="shared" si="876"/>
        <v>17/03/2026</v>
      </c>
      <c r="K4812" t="str">
        <f>("26/03/2026")</f>
        <v>26/03/2026</v>
      </c>
      <c r="L4812">
        <v>966</v>
      </c>
      <c r="M4812">
        <v>966</v>
      </c>
      <c r="N4812">
        <v>109</v>
      </c>
      <c r="O4812" t="str">
        <f>"PAGAMENTO DE ENTREGADORES"</f>
        <v>PAGAMENTO DE ENTREGADORES</v>
      </c>
      <c r="P4812">
        <v>966</v>
      </c>
      <c r="S4812" t="str">
        <f>"BANCO C6 (149)"</f>
        <v>BANCO C6 (149)</v>
      </c>
      <c r="T4812">
        <v>32037</v>
      </c>
      <c r="U4812">
        <v>35211</v>
      </c>
      <c r="V4812" t="s">
        <v>37</v>
      </c>
    </row>
    <row r="4813" spans="1:22">
      <c r="A4813" t="str">
        <f t="shared" si="877"/>
        <v>26/03/2026</v>
      </c>
      <c r="B4813" t="str">
        <f t="shared" si="879"/>
        <v>SAÍDA</v>
      </c>
      <c r="C4813" t="str">
        <f t="shared" si="881"/>
        <v>PIX</v>
      </c>
      <c r="D4813" t="str">
        <f>"35211"</f>
        <v>35211</v>
      </c>
      <c r="E4813" t="str">
        <f t="shared" si="882"/>
        <v>1</v>
      </c>
      <c r="F4813" t="str">
        <f t="shared" si="883"/>
        <v>COM</v>
      </c>
      <c r="G4813" t="str">
        <f>"DAMÁSIO JOSÉ DO NASCIMENTO NETO (147)"</f>
        <v>DAMÁSIO JOSÉ DO NASCIMENTO NETO (147)</v>
      </c>
      <c r="H4813" t="s">
        <v>1306</v>
      </c>
      <c r="I4813" t="str">
        <f t="shared" si="880"/>
        <v>26/03/2026</v>
      </c>
      <c r="J4813" t="str">
        <f t="shared" si="876"/>
        <v>17/03/2026</v>
      </c>
      <c r="K4813">
        <v>46107</v>
      </c>
      <c r="N4813">
        <v>109</v>
      </c>
      <c r="O4813" t="s">
        <v>27</v>
      </c>
      <c r="Q4813">
        <v>966</v>
      </c>
      <c r="R4813" t="str">
        <f>"FARMÁCIA INDIANA LJ 142 (10066)"</f>
        <v>FARMÁCIA INDIANA LJ 142 (10066)</v>
      </c>
      <c r="S4813" t="s">
        <v>37</v>
      </c>
      <c r="T4813">
        <v>32037</v>
      </c>
      <c r="U4813">
        <v>35211</v>
      </c>
      <c r="V4813" t="s">
        <v>37</v>
      </c>
    </row>
    <row r="4814" spans="1:22">
      <c r="A4814" t="str">
        <f t="shared" si="877"/>
        <v>26/03/2026</v>
      </c>
      <c r="B4814" t="str">
        <f t="shared" si="879"/>
        <v>SAÍDA</v>
      </c>
      <c r="C4814" t="str">
        <f t="shared" si="881"/>
        <v>PIX</v>
      </c>
      <c r="D4814" t="str">
        <f>"35212"</f>
        <v>35212</v>
      </c>
      <c r="E4814" t="str">
        <f t="shared" si="882"/>
        <v>1</v>
      </c>
      <c r="F4814" t="str">
        <f t="shared" si="883"/>
        <v>COM</v>
      </c>
      <c r="G4814" t="str">
        <f>"DANILO VIEIRA DOS REIS (1129)"</f>
        <v>DANILO VIEIRA DOS REIS (1129)</v>
      </c>
      <c r="H4814" t="str">
        <f>"Serv.Prest. 09/03/2026 a 15/03/2026 - PIX: CPF - CHAVE: 162.540.206-61"</f>
        <v>Serv.Prest. 09/03/2026 a 15/03/2026 - PIX: CPF - CHAVE: 162.540.206-61</v>
      </c>
      <c r="I4814" t="str">
        <f t="shared" si="880"/>
        <v>26/03/2026</v>
      </c>
      <c r="J4814" t="str">
        <f t="shared" ref="J4814:J4877" si="884">("17/03/2026")</f>
        <v>17/03/2026</v>
      </c>
      <c r="K4814" t="str">
        <f>("26/03/2026")</f>
        <v>26/03/2026</v>
      </c>
      <c r="L4814">
        <v>172</v>
      </c>
      <c r="M4814">
        <v>172</v>
      </c>
      <c r="N4814">
        <v>109</v>
      </c>
      <c r="O4814" t="str">
        <f>"PAGAMENTO DE ENTREGADORES"</f>
        <v>PAGAMENTO DE ENTREGADORES</v>
      </c>
      <c r="P4814">
        <v>172</v>
      </c>
      <c r="S4814" t="str">
        <f>"BANCO C6 (149)"</f>
        <v>BANCO C6 (149)</v>
      </c>
      <c r="T4814">
        <v>32038</v>
      </c>
      <c r="U4814">
        <v>35212</v>
      </c>
      <c r="V4814" t="s">
        <v>37</v>
      </c>
    </row>
    <row r="4815" spans="1:22">
      <c r="A4815" t="str">
        <f t="shared" si="877"/>
        <v>26/03/2026</v>
      </c>
      <c r="B4815" t="str">
        <f t="shared" si="879"/>
        <v>SAÍDA</v>
      </c>
      <c r="C4815" t="str">
        <f t="shared" si="881"/>
        <v>PIX</v>
      </c>
      <c r="D4815" t="str">
        <f>"35212"</f>
        <v>35212</v>
      </c>
      <c r="E4815" t="str">
        <f t="shared" si="882"/>
        <v>1</v>
      </c>
      <c r="F4815" t="str">
        <f t="shared" si="883"/>
        <v>COM</v>
      </c>
      <c r="G4815" t="str">
        <f>"DANILO VIEIRA DOS REIS (1129)"</f>
        <v>DANILO VIEIRA DOS REIS (1129)</v>
      </c>
      <c r="H4815" t="s">
        <v>1307</v>
      </c>
      <c r="I4815" t="str">
        <f t="shared" si="880"/>
        <v>26/03/2026</v>
      </c>
      <c r="J4815" t="str">
        <f t="shared" si="884"/>
        <v>17/03/2026</v>
      </c>
      <c r="K4815">
        <v>46107</v>
      </c>
      <c r="N4815">
        <v>109</v>
      </c>
      <c r="O4815" t="s">
        <v>27</v>
      </c>
      <c r="Q4815">
        <v>172</v>
      </c>
      <c r="R4815" t="str">
        <f>"FARMÁCIA INDIANA LJ 110 (10048)"</f>
        <v>FARMÁCIA INDIANA LJ 110 (10048)</v>
      </c>
      <c r="S4815" t="s">
        <v>37</v>
      </c>
      <c r="T4815">
        <v>32038</v>
      </c>
      <c r="U4815">
        <v>35212</v>
      </c>
      <c r="V4815" t="s">
        <v>37</v>
      </c>
    </row>
    <row r="4816" spans="1:22">
      <c r="A4816" t="str">
        <f t="shared" si="877"/>
        <v>26/03/2026</v>
      </c>
      <c r="B4816" t="str">
        <f t="shared" si="879"/>
        <v>SAÍDA</v>
      </c>
      <c r="C4816" t="str">
        <f t="shared" si="881"/>
        <v>PIX</v>
      </c>
      <c r="D4816" t="str">
        <f>"35213"</f>
        <v>35213</v>
      </c>
      <c r="E4816" t="str">
        <f t="shared" si="882"/>
        <v>1</v>
      </c>
      <c r="F4816" t="str">
        <f t="shared" si="883"/>
        <v>COM</v>
      </c>
      <c r="G4816" t="str">
        <f>"DANILO WASHINGTON DOS SANTOS (770)"</f>
        <v>DANILO WASHINGTON DOS SANTOS (770)</v>
      </c>
      <c r="H4816" t="str">
        <f>"Serv.Prest. 09/03/2026 a 15/03/2026 - PIX: CELULAR - CHAVE: (33) 98749-5105"</f>
        <v>Serv.Prest. 09/03/2026 a 15/03/2026 - PIX: CELULAR - CHAVE: (33) 98749-5105</v>
      </c>
      <c r="I4816" t="str">
        <f t="shared" si="880"/>
        <v>26/03/2026</v>
      </c>
      <c r="J4816" t="str">
        <f t="shared" si="884"/>
        <v>17/03/2026</v>
      </c>
      <c r="K4816" t="str">
        <f>("26/03/2026")</f>
        <v>26/03/2026</v>
      </c>
      <c r="L4816">
        <v>924</v>
      </c>
      <c r="M4816">
        <v>924</v>
      </c>
      <c r="N4816">
        <v>109</v>
      </c>
      <c r="O4816" t="str">
        <f>"PAGAMENTO DE ENTREGADORES"</f>
        <v>PAGAMENTO DE ENTREGADORES</v>
      </c>
      <c r="P4816">
        <v>924</v>
      </c>
      <c r="S4816" t="str">
        <f>"BANCO C6 (149)"</f>
        <v>BANCO C6 (149)</v>
      </c>
      <c r="T4816">
        <v>32039</v>
      </c>
      <c r="U4816">
        <v>35213</v>
      </c>
      <c r="V4816" t="s">
        <v>37</v>
      </c>
    </row>
    <row r="4817" spans="1:22">
      <c r="A4817" t="str">
        <f t="shared" si="877"/>
        <v>26/03/2026</v>
      </c>
      <c r="B4817" t="str">
        <f t="shared" si="879"/>
        <v>SAÍDA</v>
      </c>
      <c r="C4817" t="str">
        <f t="shared" si="881"/>
        <v>PIX</v>
      </c>
      <c r="D4817" t="str">
        <f>"35213"</f>
        <v>35213</v>
      </c>
      <c r="E4817" t="str">
        <f t="shared" si="882"/>
        <v>1</v>
      </c>
      <c r="F4817" t="str">
        <f t="shared" si="883"/>
        <v>COM</v>
      </c>
      <c r="G4817" t="str">
        <f>"DANILO WASHINGTON DOS SANTOS (770)"</f>
        <v>DANILO WASHINGTON DOS SANTOS (770)</v>
      </c>
      <c r="H4817" t="s">
        <v>1308</v>
      </c>
      <c r="I4817" t="str">
        <f t="shared" si="880"/>
        <v>26/03/2026</v>
      </c>
      <c r="J4817" t="str">
        <f t="shared" si="884"/>
        <v>17/03/2026</v>
      </c>
      <c r="K4817">
        <v>46107</v>
      </c>
      <c r="N4817">
        <v>109</v>
      </c>
      <c r="O4817" t="s">
        <v>27</v>
      </c>
      <c r="Q4817">
        <v>924</v>
      </c>
      <c r="R4817" t="str">
        <f>"FARMÁCIA INDIANA LJ 07 (10007)"</f>
        <v>FARMÁCIA INDIANA LJ 07 (10007)</v>
      </c>
      <c r="S4817" t="s">
        <v>37</v>
      </c>
      <c r="T4817">
        <v>32039</v>
      </c>
      <c r="U4817">
        <v>35213</v>
      </c>
      <c r="V4817" t="s">
        <v>37</v>
      </c>
    </row>
    <row r="4818" spans="1:22">
      <c r="A4818" t="str">
        <f t="shared" si="877"/>
        <v>26/03/2026</v>
      </c>
      <c r="B4818" t="str">
        <f t="shared" si="879"/>
        <v>SAÍDA</v>
      </c>
      <c r="C4818" t="str">
        <f t="shared" si="881"/>
        <v>PIX</v>
      </c>
      <c r="D4818" t="str">
        <f>"35214"</f>
        <v>35214</v>
      </c>
      <c r="E4818" t="str">
        <f t="shared" si="882"/>
        <v>1</v>
      </c>
      <c r="F4818" t="str">
        <f t="shared" si="883"/>
        <v>COM</v>
      </c>
      <c r="G4818" t="str">
        <f>"DANTE SOARES DA SILVA (416)"</f>
        <v>DANTE SOARES DA SILVA (416)</v>
      </c>
      <c r="H4818" t="str">
        <f>"Serv.Prest. 09/03/2026 a 15/03/2026 - PIX: CELULAR - CHAVE: (33) 99802-1883"</f>
        <v>Serv.Prest. 09/03/2026 a 15/03/2026 - PIX: CELULAR - CHAVE: (33) 99802-1883</v>
      </c>
      <c r="I4818" t="str">
        <f t="shared" si="880"/>
        <v>26/03/2026</v>
      </c>
      <c r="J4818" t="str">
        <f t="shared" si="884"/>
        <v>17/03/2026</v>
      </c>
      <c r="K4818" t="str">
        <f>("26/03/2026")</f>
        <v>26/03/2026</v>
      </c>
      <c r="L4818">
        <v>431.2</v>
      </c>
      <c r="M4818">
        <v>431.2</v>
      </c>
      <c r="N4818">
        <v>109</v>
      </c>
      <c r="O4818" t="str">
        <f>"PAGAMENTO DE ENTREGADORES"</f>
        <v>PAGAMENTO DE ENTREGADORES</v>
      </c>
      <c r="P4818">
        <v>431.2</v>
      </c>
      <c r="S4818" t="str">
        <f>"BANCO C6 (149)"</f>
        <v>BANCO C6 (149)</v>
      </c>
      <c r="T4818">
        <v>32040</v>
      </c>
      <c r="U4818">
        <v>35214</v>
      </c>
      <c r="V4818" t="s">
        <v>37</v>
      </c>
    </row>
    <row r="4819" spans="1:22">
      <c r="A4819" t="str">
        <f t="shared" si="877"/>
        <v>26/03/2026</v>
      </c>
      <c r="B4819" t="str">
        <f t="shared" si="879"/>
        <v>SAÍDA</v>
      </c>
      <c r="C4819" t="str">
        <f t="shared" si="881"/>
        <v>PIX</v>
      </c>
      <c r="D4819" t="str">
        <f>"35214"</f>
        <v>35214</v>
      </c>
      <c r="E4819" t="str">
        <f t="shared" si="882"/>
        <v>1</v>
      </c>
      <c r="F4819" t="str">
        <f t="shared" si="883"/>
        <v>COM</v>
      </c>
      <c r="G4819" t="str">
        <f>"DANTE SOARES DA SILVA (416)"</f>
        <v>DANTE SOARES DA SILVA (416)</v>
      </c>
      <c r="H4819" t="s">
        <v>1309</v>
      </c>
      <c r="I4819" t="str">
        <f t="shared" si="880"/>
        <v>26/03/2026</v>
      </c>
      <c r="J4819" t="str">
        <f t="shared" si="884"/>
        <v>17/03/2026</v>
      </c>
      <c r="K4819">
        <v>46107</v>
      </c>
      <c r="N4819">
        <v>109</v>
      </c>
      <c r="O4819" t="s">
        <v>27</v>
      </c>
      <c r="Q4819">
        <v>431.2</v>
      </c>
      <c r="R4819" t="str">
        <f>"FARMÁCIA INDIANA LJ 59 (10026)"</f>
        <v>FARMÁCIA INDIANA LJ 59 (10026)</v>
      </c>
      <c r="S4819" t="s">
        <v>37</v>
      </c>
      <c r="T4819">
        <v>32040</v>
      </c>
      <c r="U4819">
        <v>35214</v>
      </c>
      <c r="V4819" t="s">
        <v>37</v>
      </c>
    </row>
    <row r="4820" spans="1:22">
      <c r="A4820" t="str">
        <f t="shared" si="877"/>
        <v>26/03/2026</v>
      </c>
      <c r="B4820" t="str">
        <f t="shared" si="879"/>
        <v>SAÍDA</v>
      </c>
      <c r="C4820" t="str">
        <f t="shared" si="881"/>
        <v>PIX</v>
      </c>
      <c r="D4820" t="str">
        <f>"35215"</f>
        <v>35215</v>
      </c>
      <c r="E4820" t="str">
        <f t="shared" si="882"/>
        <v>1</v>
      </c>
      <c r="F4820" t="str">
        <f t="shared" si="883"/>
        <v>COM</v>
      </c>
      <c r="G4820" t="str">
        <f>"DEVANILDO PONTES CASAGRANDE (179)"</f>
        <v>DEVANILDO PONTES CASAGRANDE (179)</v>
      </c>
      <c r="H4820" t="str">
        <f>"Serv.Prest. 09/03/2026 a 15/03/2026 - PIX: CELULAR - CHAVE: (31) 99610-7049"</f>
        <v>Serv.Prest. 09/03/2026 a 15/03/2026 - PIX: CELULAR - CHAVE: (31) 99610-7049</v>
      </c>
      <c r="I4820" t="str">
        <f t="shared" si="880"/>
        <v>26/03/2026</v>
      </c>
      <c r="J4820" t="str">
        <f t="shared" si="884"/>
        <v>17/03/2026</v>
      </c>
      <c r="K4820" t="str">
        <f>("26/03/2026")</f>
        <v>26/03/2026</v>
      </c>
      <c r="L4820">
        <v>990</v>
      </c>
      <c r="M4820">
        <v>990</v>
      </c>
      <c r="N4820">
        <v>109</v>
      </c>
      <c r="O4820" t="str">
        <f>"PAGAMENTO DE ENTREGADORES"</f>
        <v>PAGAMENTO DE ENTREGADORES</v>
      </c>
      <c r="P4820">
        <v>990</v>
      </c>
      <c r="S4820" t="str">
        <f>"BANCO C6 (149)"</f>
        <v>BANCO C6 (149)</v>
      </c>
      <c r="T4820">
        <v>32041</v>
      </c>
      <c r="U4820">
        <v>35215</v>
      </c>
      <c r="V4820" t="s">
        <v>37</v>
      </c>
    </row>
    <row r="4821" spans="1:22">
      <c r="A4821" t="str">
        <f t="shared" si="877"/>
        <v>26/03/2026</v>
      </c>
      <c r="B4821" t="str">
        <f t="shared" si="879"/>
        <v>SAÍDA</v>
      </c>
      <c r="C4821" t="str">
        <f t="shared" si="881"/>
        <v>PIX</v>
      </c>
      <c r="D4821" t="str">
        <f>"35215"</f>
        <v>35215</v>
      </c>
      <c r="E4821" t="str">
        <f t="shared" si="882"/>
        <v>1</v>
      </c>
      <c r="F4821" t="str">
        <f t="shared" si="883"/>
        <v>COM</v>
      </c>
      <c r="G4821" t="str">
        <f>"DEVANILDO PONTES CASAGRANDE (179)"</f>
        <v>DEVANILDO PONTES CASAGRANDE (179)</v>
      </c>
      <c r="H4821" t="s">
        <v>1310</v>
      </c>
      <c r="I4821" t="str">
        <f t="shared" si="880"/>
        <v>26/03/2026</v>
      </c>
      <c r="J4821" t="str">
        <f t="shared" si="884"/>
        <v>17/03/2026</v>
      </c>
      <c r="K4821">
        <v>46107</v>
      </c>
      <c r="N4821">
        <v>109</v>
      </c>
      <c r="O4821" t="s">
        <v>27</v>
      </c>
      <c r="Q4821">
        <v>990</v>
      </c>
      <c r="R4821" t="str">
        <f>"FARMÁCIA INDIANA LJ 142 (10066)"</f>
        <v>FARMÁCIA INDIANA LJ 142 (10066)</v>
      </c>
      <c r="S4821" t="s">
        <v>37</v>
      </c>
      <c r="T4821">
        <v>32041</v>
      </c>
      <c r="U4821">
        <v>35215</v>
      </c>
      <c r="V4821" t="s">
        <v>37</v>
      </c>
    </row>
    <row r="4822" spans="1:22">
      <c r="A4822" t="str">
        <f t="shared" si="877"/>
        <v>26/03/2026</v>
      </c>
      <c r="B4822" t="str">
        <f t="shared" si="879"/>
        <v>SAÍDA</v>
      </c>
      <c r="C4822" t="str">
        <f t="shared" si="881"/>
        <v>PIX</v>
      </c>
      <c r="D4822" t="str">
        <f>"35216"</f>
        <v>35216</v>
      </c>
      <c r="E4822" t="str">
        <f t="shared" si="882"/>
        <v>1</v>
      </c>
      <c r="F4822" t="str">
        <f t="shared" si="883"/>
        <v>COM</v>
      </c>
      <c r="G4822" t="str">
        <f>"DIEGO DAYSON FERNANDES VIEIRA (893)"</f>
        <v>DIEGO DAYSON FERNANDES VIEIRA (893)</v>
      </c>
      <c r="H4822" t="str">
        <f>"Serv.Prest. 09/03/2026 a 15/03/2026 - PIX: E-MAIL - CHAVE: turano296801@gmail.com"</f>
        <v>Serv.Prest. 09/03/2026 a 15/03/2026 - PIX: E-MAIL - CHAVE: turano296801@gmail.com</v>
      </c>
      <c r="I4822" t="str">
        <f t="shared" si="880"/>
        <v>26/03/2026</v>
      </c>
      <c r="J4822" t="str">
        <f t="shared" si="884"/>
        <v>17/03/2026</v>
      </c>
      <c r="K4822" t="str">
        <f>("26/03/2026")</f>
        <v>26/03/2026</v>
      </c>
      <c r="L4822">
        <v>800</v>
      </c>
      <c r="M4822">
        <v>800</v>
      </c>
      <c r="N4822">
        <v>109</v>
      </c>
      <c r="O4822" t="str">
        <f>"PAGAMENTO DE ENTREGADORES"</f>
        <v>PAGAMENTO DE ENTREGADORES</v>
      </c>
      <c r="P4822">
        <v>800</v>
      </c>
      <c r="S4822" t="str">
        <f>"BANCO C6 (149)"</f>
        <v>BANCO C6 (149)</v>
      </c>
      <c r="T4822">
        <v>32042</v>
      </c>
      <c r="U4822">
        <v>35216</v>
      </c>
      <c r="V4822" t="s">
        <v>37</v>
      </c>
    </row>
    <row r="4823" spans="1:22">
      <c r="A4823" t="str">
        <f t="shared" si="877"/>
        <v>26/03/2026</v>
      </c>
      <c r="B4823" t="str">
        <f t="shared" si="879"/>
        <v>SAÍDA</v>
      </c>
      <c r="C4823" t="str">
        <f t="shared" si="881"/>
        <v>PIX</v>
      </c>
      <c r="D4823" t="str">
        <f>"35216"</f>
        <v>35216</v>
      </c>
      <c r="E4823" t="str">
        <f t="shared" si="882"/>
        <v>1</v>
      </c>
      <c r="F4823" t="str">
        <f t="shared" si="883"/>
        <v>COM</v>
      </c>
      <c r="G4823" t="str">
        <f>"DIEGO DAYSON FERNANDES VIEIRA (893)"</f>
        <v>DIEGO DAYSON FERNANDES VIEIRA (893)</v>
      </c>
      <c r="H4823" t="s">
        <v>1311</v>
      </c>
      <c r="I4823" t="str">
        <f t="shared" si="880"/>
        <v>26/03/2026</v>
      </c>
      <c r="J4823" t="str">
        <f t="shared" si="884"/>
        <v>17/03/2026</v>
      </c>
      <c r="K4823">
        <v>46107</v>
      </c>
      <c r="N4823">
        <v>109</v>
      </c>
      <c r="O4823" t="s">
        <v>27</v>
      </c>
      <c r="Q4823">
        <v>800</v>
      </c>
      <c r="R4823" t="str">
        <f>"FARMÁCIA INDIANA LJ 205 (10150)"</f>
        <v>FARMÁCIA INDIANA LJ 205 (10150)</v>
      </c>
      <c r="S4823" t="s">
        <v>37</v>
      </c>
      <c r="T4823">
        <v>32042</v>
      </c>
      <c r="U4823">
        <v>35216</v>
      </c>
      <c r="V4823" t="s">
        <v>37</v>
      </c>
    </row>
    <row r="4824" spans="1:22">
      <c r="A4824" t="str">
        <f t="shared" ref="A4824:A4887" si="885">("26/03/2026")</f>
        <v>26/03/2026</v>
      </c>
      <c r="B4824" t="str">
        <f t="shared" si="879"/>
        <v>SAÍDA</v>
      </c>
      <c r="C4824" t="str">
        <f t="shared" si="881"/>
        <v>PIX</v>
      </c>
      <c r="D4824" t="str">
        <f>"35217"</f>
        <v>35217</v>
      </c>
      <c r="E4824" t="str">
        <f t="shared" si="882"/>
        <v>1</v>
      </c>
      <c r="F4824" t="str">
        <f t="shared" si="883"/>
        <v>COM</v>
      </c>
      <c r="G4824" t="str">
        <f>"DIEGO DIRLEY RIBEIRO (38)"</f>
        <v>DIEGO DIRLEY RIBEIRO (38)</v>
      </c>
      <c r="H4824" t="str">
        <f>"Serv.Prest. 09/03/2026 a 15/03/2026 - PIX: CHAVE ALEATÓRIA - CHAVE: fa1cc12c-4f59-4ff9-b237-7274b08cf38e"</f>
        <v>Serv.Prest. 09/03/2026 a 15/03/2026 - PIX: CHAVE ALEATÓRIA - CHAVE: fa1cc12c-4f59-4ff9-b237-7274b08cf38e</v>
      </c>
      <c r="I4824" t="str">
        <f t="shared" si="880"/>
        <v>26/03/2026</v>
      </c>
      <c r="J4824" t="str">
        <f t="shared" si="884"/>
        <v>17/03/2026</v>
      </c>
      <c r="K4824" t="str">
        <f>("26/03/2026")</f>
        <v>26/03/2026</v>
      </c>
      <c r="L4824">
        <v>2130</v>
      </c>
      <c r="M4824">
        <v>2130</v>
      </c>
      <c r="N4824">
        <v>109</v>
      </c>
      <c r="O4824" t="str">
        <f>"PAGAMENTO DE ENTREGADORES"</f>
        <v>PAGAMENTO DE ENTREGADORES</v>
      </c>
      <c r="P4824">
        <v>2130</v>
      </c>
      <c r="S4824" t="str">
        <f>"BANCO C6 (149)"</f>
        <v>BANCO C6 (149)</v>
      </c>
      <c r="T4824">
        <v>32043</v>
      </c>
      <c r="U4824">
        <v>35217</v>
      </c>
      <c r="V4824" t="s">
        <v>37</v>
      </c>
    </row>
    <row r="4825" spans="1:22">
      <c r="A4825" t="str">
        <f t="shared" si="885"/>
        <v>26/03/2026</v>
      </c>
      <c r="B4825" t="str">
        <f t="shared" si="879"/>
        <v>SAÍDA</v>
      </c>
      <c r="C4825" t="str">
        <f t="shared" si="881"/>
        <v>PIX</v>
      </c>
      <c r="D4825" t="str">
        <f>"35217"</f>
        <v>35217</v>
      </c>
      <c r="E4825" t="str">
        <f t="shared" si="882"/>
        <v>1</v>
      </c>
      <c r="F4825" t="str">
        <f t="shared" si="883"/>
        <v>COM</v>
      </c>
      <c r="G4825" t="str">
        <f>"DIEGO DIRLEY RIBEIRO (38)"</f>
        <v>DIEGO DIRLEY RIBEIRO (38)</v>
      </c>
      <c r="H4825" t="s">
        <v>1312</v>
      </c>
      <c r="I4825" t="str">
        <f t="shared" si="880"/>
        <v>26/03/2026</v>
      </c>
      <c r="J4825" t="str">
        <f t="shared" si="884"/>
        <v>17/03/2026</v>
      </c>
      <c r="K4825">
        <v>46107</v>
      </c>
      <c r="N4825">
        <v>109</v>
      </c>
      <c r="O4825" t="s">
        <v>27</v>
      </c>
      <c r="Q4825">
        <v>2130</v>
      </c>
      <c r="R4825" t="str">
        <f>"FARMÁCIA INDIANA LJ 172 (10161)"</f>
        <v>FARMÁCIA INDIANA LJ 172 (10161)</v>
      </c>
      <c r="S4825" t="s">
        <v>37</v>
      </c>
      <c r="T4825">
        <v>32043</v>
      </c>
      <c r="U4825">
        <v>35217</v>
      </c>
      <c r="V4825" t="s">
        <v>37</v>
      </c>
    </row>
    <row r="4826" spans="1:22">
      <c r="A4826" t="str">
        <f t="shared" si="885"/>
        <v>26/03/2026</v>
      </c>
      <c r="B4826" t="str">
        <f t="shared" si="879"/>
        <v>SAÍDA</v>
      </c>
      <c r="C4826" t="str">
        <f t="shared" si="881"/>
        <v>PIX</v>
      </c>
      <c r="D4826" t="str">
        <f>"35218"</f>
        <v>35218</v>
      </c>
      <c r="E4826" t="str">
        <f t="shared" si="882"/>
        <v>1</v>
      </c>
      <c r="F4826" t="str">
        <f t="shared" si="883"/>
        <v>COM</v>
      </c>
      <c r="G4826" t="str">
        <f>"DIEGO FAUSTINO DA SILVA (1076)"</f>
        <v>DIEGO FAUSTINO DA SILVA (1076)</v>
      </c>
      <c r="H4826" t="str">
        <f>"Serv.Prest. 09/03/2026 a 15/03/2026 - PIX: CELULAR - CHAVE: (33) 99874-0376"</f>
        <v>Serv.Prest. 09/03/2026 a 15/03/2026 - PIX: CELULAR - CHAVE: (33) 99874-0376</v>
      </c>
      <c r="I4826" t="str">
        <f t="shared" si="880"/>
        <v>26/03/2026</v>
      </c>
      <c r="J4826" t="str">
        <f t="shared" si="884"/>
        <v>17/03/2026</v>
      </c>
      <c r="K4826" t="str">
        <f>("26/03/2026")</f>
        <v>26/03/2026</v>
      </c>
      <c r="L4826">
        <v>905</v>
      </c>
      <c r="M4826">
        <v>905</v>
      </c>
      <c r="N4826">
        <v>109</v>
      </c>
      <c r="O4826" t="str">
        <f>"PAGAMENTO DE ENTREGADORES"</f>
        <v>PAGAMENTO DE ENTREGADORES</v>
      </c>
      <c r="P4826">
        <v>905</v>
      </c>
      <c r="S4826" t="str">
        <f>"BANCO C6 (149)"</f>
        <v>BANCO C6 (149)</v>
      </c>
      <c r="T4826">
        <v>32044</v>
      </c>
      <c r="U4826">
        <v>35218</v>
      </c>
      <c r="V4826" t="s">
        <v>37</v>
      </c>
    </row>
    <row r="4827" spans="1:22">
      <c r="A4827" t="str">
        <f t="shared" si="885"/>
        <v>26/03/2026</v>
      </c>
      <c r="B4827" t="str">
        <f t="shared" si="879"/>
        <v>SAÍDA</v>
      </c>
      <c r="C4827" t="str">
        <f t="shared" si="881"/>
        <v>PIX</v>
      </c>
      <c r="D4827" t="str">
        <f>"35218"</f>
        <v>35218</v>
      </c>
      <c r="E4827" t="str">
        <f t="shared" si="882"/>
        <v>1</v>
      </c>
      <c r="F4827" t="str">
        <f t="shared" si="883"/>
        <v>COM</v>
      </c>
      <c r="G4827" t="str">
        <f>"DIEGO FAUSTINO DA SILVA (1076)"</f>
        <v>DIEGO FAUSTINO DA SILVA (1076)</v>
      </c>
      <c r="H4827" t="s">
        <v>904</v>
      </c>
      <c r="I4827" t="str">
        <f t="shared" si="880"/>
        <v>26/03/2026</v>
      </c>
      <c r="J4827" t="str">
        <f t="shared" si="884"/>
        <v>17/03/2026</v>
      </c>
      <c r="K4827">
        <v>46107</v>
      </c>
      <c r="N4827">
        <v>109</v>
      </c>
      <c r="O4827" t="s">
        <v>27</v>
      </c>
      <c r="Q4827">
        <v>905</v>
      </c>
      <c r="R4827" t="str">
        <f>"FARMÁCIA INDIANA LJ 152 (10069)"</f>
        <v>FARMÁCIA INDIANA LJ 152 (10069)</v>
      </c>
      <c r="S4827" t="s">
        <v>37</v>
      </c>
      <c r="T4827">
        <v>32044</v>
      </c>
      <c r="U4827">
        <v>35218</v>
      </c>
      <c r="V4827" t="s">
        <v>37</v>
      </c>
    </row>
    <row r="4828" spans="1:22">
      <c r="A4828" t="str">
        <f t="shared" si="885"/>
        <v>26/03/2026</v>
      </c>
      <c r="B4828" t="str">
        <f t="shared" si="879"/>
        <v>SAÍDA</v>
      </c>
      <c r="C4828" t="str">
        <f t="shared" si="881"/>
        <v>PIX</v>
      </c>
      <c r="D4828" t="str">
        <f>"35219"</f>
        <v>35219</v>
      </c>
      <c r="E4828" t="str">
        <f t="shared" si="882"/>
        <v>1</v>
      </c>
      <c r="F4828" t="str">
        <f t="shared" si="883"/>
        <v>COM</v>
      </c>
      <c r="G4828" t="str">
        <f>"EDIONIO CARVALHO DA SILVA (920)"</f>
        <v>EDIONIO CARVALHO DA SILVA (920)</v>
      </c>
      <c r="H4828" t="str">
        <f>"Serv.Prest. 09/03/2026 a 15/03/2026 - PIX: CNPJ - CHAVE: 64.839.868/0001-62"</f>
        <v>Serv.Prest. 09/03/2026 a 15/03/2026 - PIX: CNPJ - CHAVE: 64.839.868/0001-62</v>
      </c>
      <c r="I4828" t="str">
        <f t="shared" si="880"/>
        <v>26/03/2026</v>
      </c>
      <c r="J4828" t="str">
        <f t="shared" si="884"/>
        <v>17/03/2026</v>
      </c>
      <c r="K4828" t="str">
        <f>("26/03/2026")</f>
        <v>26/03/2026</v>
      </c>
      <c r="L4828">
        <v>765</v>
      </c>
      <c r="M4828">
        <v>765</v>
      </c>
      <c r="N4828">
        <v>109</v>
      </c>
      <c r="O4828" t="str">
        <f>"PAGAMENTO DE ENTREGADORES"</f>
        <v>PAGAMENTO DE ENTREGADORES</v>
      </c>
      <c r="P4828">
        <v>765</v>
      </c>
      <c r="S4828" t="str">
        <f>"BANCO C6 (149)"</f>
        <v>BANCO C6 (149)</v>
      </c>
      <c r="T4828">
        <v>32045</v>
      </c>
      <c r="U4828">
        <v>35219</v>
      </c>
      <c r="V4828" t="s">
        <v>37</v>
      </c>
    </row>
    <row r="4829" spans="1:22">
      <c r="A4829" t="str">
        <f t="shared" si="885"/>
        <v>26/03/2026</v>
      </c>
      <c r="B4829" t="str">
        <f t="shared" si="879"/>
        <v>SAÍDA</v>
      </c>
      <c r="C4829" t="str">
        <f t="shared" si="881"/>
        <v>PIX</v>
      </c>
      <c r="D4829" t="str">
        <f>"35219"</f>
        <v>35219</v>
      </c>
      <c r="E4829" t="str">
        <f t="shared" si="882"/>
        <v>1</v>
      </c>
      <c r="F4829" t="str">
        <f t="shared" si="883"/>
        <v>COM</v>
      </c>
      <c r="G4829" t="str">
        <f>"EDIONIO CARVALHO DA SILVA (920)"</f>
        <v>EDIONIO CARVALHO DA SILVA (920)</v>
      </c>
      <c r="H4829" t="s">
        <v>1313</v>
      </c>
      <c r="I4829" t="str">
        <f t="shared" si="880"/>
        <v>26/03/2026</v>
      </c>
      <c r="J4829" t="str">
        <f t="shared" si="884"/>
        <v>17/03/2026</v>
      </c>
      <c r="K4829">
        <v>46107</v>
      </c>
      <c r="N4829">
        <v>109</v>
      </c>
      <c r="O4829" t="s">
        <v>27</v>
      </c>
      <c r="Q4829">
        <v>765</v>
      </c>
      <c r="R4829" t="str">
        <f>"FARMÁCIA INDIANA LJ 171 (10074)"</f>
        <v>FARMÁCIA INDIANA LJ 171 (10074)</v>
      </c>
      <c r="S4829" t="s">
        <v>37</v>
      </c>
      <c r="T4829">
        <v>32045</v>
      </c>
      <c r="U4829">
        <v>35219</v>
      </c>
      <c r="V4829" t="s">
        <v>37</v>
      </c>
    </row>
    <row r="4830" spans="1:22">
      <c r="A4830" t="str">
        <f t="shared" si="885"/>
        <v>26/03/2026</v>
      </c>
      <c r="B4830" t="str">
        <f t="shared" si="879"/>
        <v>SAÍDA</v>
      </c>
      <c r="C4830" t="str">
        <f t="shared" si="881"/>
        <v>PIX</v>
      </c>
      <c r="D4830" t="str">
        <f>"35220"</f>
        <v>35220</v>
      </c>
      <c r="E4830" t="str">
        <f t="shared" si="882"/>
        <v>1</v>
      </c>
      <c r="F4830" t="str">
        <f t="shared" si="883"/>
        <v>COM</v>
      </c>
      <c r="G4830" t="str">
        <f>"EDSON JUNIOR FERREIRA DA SILVA (99)"</f>
        <v>EDSON JUNIOR FERREIRA DA SILVA (99)</v>
      </c>
      <c r="H4830" t="str">
        <f>"Serv.Prest. 09/03/2026 a 15/03/2026 - PIX: CPF - CHAVE: 141.134.256-98"</f>
        <v>Serv.Prest. 09/03/2026 a 15/03/2026 - PIX: CPF - CHAVE: 141.134.256-98</v>
      </c>
      <c r="I4830" t="str">
        <f t="shared" si="880"/>
        <v>26/03/2026</v>
      </c>
      <c r="J4830" t="str">
        <f t="shared" si="884"/>
        <v>17/03/2026</v>
      </c>
      <c r="K4830" t="str">
        <f>("26/03/2026")</f>
        <v>26/03/2026</v>
      </c>
      <c r="L4830">
        <v>700.7</v>
      </c>
      <c r="M4830">
        <v>700.7</v>
      </c>
      <c r="N4830">
        <v>109</v>
      </c>
      <c r="O4830" t="str">
        <f>"PAGAMENTO DE ENTREGADORES"</f>
        <v>PAGAMENTO DE ENTREGADORES</v>
      </c>
      <c r="P4830">
        <v>700.7</v>
      </c>
      <c r="S4830" t="str">
        <f>"BANCO C6 (149)"</f>
        <v>BANCO C6 (149)</v>
      </c>
      <c r="T4830">
        <v>32046</v>
      </c>
      <c r="U4830">
        <v>35220</v>
      </c>
      <c r="V4830" t="s">
        <v>37</v>
      </c>
    </row>
    <row r="4831" spans="1:22">
      <c r="A4831" t="str">
        <f t="shared" si="885"/>
        <v>26/03/2026</v>
      </c>
      <c r="B4831" t="str">
        <f t="shared" si="879"/>
        <v>SAÍDA</v>
      </c>
      <c r="C4831" t="str">
        <f t="shared" si="881"/>
        <v>PIX</v>
      </c>
      <c r="D4831" t="str">
        <f>"35220"</f>
        <v>35220</v>
      </c>
      <c r="E4831" t="str">
        <f t="shared" si="882"/>
        <v>1</v>
      </c>
      <c r="F4831" t="str">
        <f t="shared" si="883"/>
        <v>COM</v>
      </c>
      <c r="G4831" t="str">
        <f>"EDSON JUNIOR FERREIRA DA SILVA (99)"</f>
        <v>EDSON JUNIOR FERREIRA DA SILVA (99)</v>
      </c>
      <c r="H4831" t="s">
        <v>1314</v>
      </c>
      <c r="I4831" t="str">
        <f t="shared" si="880"/>
        <v>26/03/2026</v>
      </c>
      <c r="J4831" t="str">
        <f t="shared" si="884"/>
        <v>17/03/2026</v>
      </c>
      <c r="K4831">
        <v>46107</v>
      </c>
      <c r="N4831">
        <v>109</v>
      </c>
      <c r="O4831" t="s">
        <v>27</v>
      </c>
      <c r="Q4831">
        <v>700.7</v>
      </c>
      <c r="R4831" t="str">
        <f>"FARMÁCIA INDIANA LJ 100 (10042)"</f>
        <v>FARMÁCIA INDIANA LJ 100 (10042)</v>
      </c>
      <c r="S4831" t="s">
        <v>37</v>
      </c>
      <c r="T4831">
        <v>32046</v>
      </c>
      <c r="U4831">
        <v>35220</v>
      </c>
      <c r="V4831" t="s">
        <v>37</v>
      </c>
    </row>
    <row r="4832" spans="1:22">
      <c r="A4832" t="str">
        <f t="shared" si="885"/>
        <v>26/03/2026</v>
      </c>
      <c r="B4832" t="str">
        <f t="shared" si="879"/>
        <v>SAÍDA</v>
      </c>
      <c r="C4832" t="str">
        <f t="shared" si="881"/>
        <v>PIX</v>
      </c>
      <c r="D4832" t="str">
        <f>"35221"</f>
        <v>35221</v>
      </c>
      <c r="E4832" t="str">
        <f t="shared" si="882"/>
        <v>1</v>
      </c>
      <c r="F4832" t="str">
        <f t="shared" si="883"/>
        <v>COM</v>
      </c>
      <c r="G4832" t="str">
        <f>"EMANUEL COSTA NASCIMENTO (1361)"</f>
        <v>EMANUEL COSTA NASCIMENTO (1361)</v>
      </c>
      <c r="H4832" t="str">
        <f>"Serv.Prest. 09/03/2026 a 15/03/2026 - PIX: CPF - CHAVE: 108.982.386-09"</f>
        <v>Serv.Prest. 09/03/2026 a 15/03/2026 - PIX: CPF - CHAVE: 108.982.386-09</v>
      </c>
      <c r="I4832" t="str">
        <f t="shared" si="880"/>
        <v>26/03/2026</v>
      </c>
      <c r="J4832" t="str">
        <f t="shared" si="884"/>
        <v>17/03/2026</v>
      </c>
      <c r="K4832" t="str">
        <f>("26/03/2026")</f>
        <v>26/03/2026</v>
      </c>
      <c r="L4832">
        <v>1080</v>
      </c>
      <c r="M4832">
        <v>1080</v>
      </c>
      <c r="N4832">
        <v>109</v>
      </c>
      <c r="O4832" t="str">
        <f>"PAGAMENTO DE ENTREGADORES"</f>
        <v>PAGAMENTO DE ENTREGADORES</v>
      </c>
      <c r="P4832">
        <v>1080</v>
      </c>
      <c r="S4832" t="str">
        <f>"BANCO C6 (149)"</f>
        <v>BANCO C6 (149)</v>
      </c>
      <c r="T4832">
        <v>32047</v>
      </c>
      <c r="U4832">
        <v>35221</v>
      </c>
      <c r="V4832" t="s">
        <v>37</v>
      </c>
    </row>
    <row r="4833" spans="1:22">
      <c r="A4833" t="str">
        <f t="shared" si="885"/>
        <v>26/03/2026</v>
      </c>
      <c r="B4833" t="str">
        <f t="shared" si="879"/>
        <v>SAÍDA</v>
      </c>
      <c r="C4833" t="str">
        <f t="shared" si="881"/>
        <v>PIX</v>
      </c>
      <c r="D4833" t="str">
        <f>"35221"</f>
        <v>35221</v>
      </c>
      <c r="E4833" t="str">
        <f t="shared" si="882"/>
        <v>1</v>
      </c>
      <c r="F4833" t="str">
        <f t="shared" si="883"/>
        <v>COM</v>
      </c>
      <c r="G4833" t="str">
        <f>"EMANUEL COSTA NASCIMENTO (1361)"</f>
        <v>EMANUEL COSTA NASCIMENTO (1361)</v>
      </c>
      <c r="H4833" t="s">
        <v>1315</v>
      </c>
      <c r="I4833" t="str">
        <f t="shared" si="880"/>
        <v>26/03/2026</v>
      </c>
      <c r="J4833" t="str">
        <f t="shared" si="884"/>
        <v>17/03/2026</v>
      </c>
      <c r="K4833">
        <v>46107</v>
      </c>
      <c r="N4833">
        <v>109</v>
      </c>
      <c r="O4833" t="s">
        <v>27</v>
      </c>
      <c r="Q4833">
        <v>1080</v>
      </c>
      <c r="R4833" t="str">
        <f>"FARMÁCIA INDIANA LJ 06 (10006)"</f>
        <v>FARMÁCIA INDIANA LJ 06 (10006)</v>
      </c>
      <c r="S4833" t="s">
        <v>37</v>
      </c>
      <c r="T4833">
        <v>32047</v>
      </c>
      <c r="U4833">
        <v>35221</v>
      </c>
      <c r="V4833" t="s">
        <v>37</v>
      </c>
    </row>
    <row r="4834" spans="1:22">
      <c r="A4834" t="str">
        <f t="shared" si="885"/>
        <v>26/03/2026</v>
      </c>
      <c r="B4834" t="str">
        <f t="shared" si="879"/>
        <v>SAÍDA</v>
      </c>
      <c r="C4834" t="str">
        <f t="shared" si="881"/>
        <v>PIX</v>
      </c>
      <c r="D4834" t="str">
        <f>"35222"</f>
        <v>35222</v>
      </c>
      <c r="E4834" t="str">
        <f t="shared" si="882"/>
        <v>1</v>
      </c>
      <c r="F4834" t="str">
        <f t="shared" si="883"/>
        <v>COM</v>
      </c>
      <c r="G4834" t="str">
        <f>"EUDES PIMENTA (368)"</f>
        <v>EUDES PIMENTA (368)</v>
      </c>
      <c r="H4834" t="str">
        <f>"Serv.Prest. 09/03/2026 a 15/03/2026 - PIX: CPF - CHAVE: 070.073.316-70"</f>
        <v>Serv.Prest. 09/03/2026 a 15/03/2026 - PIX: CPF - CHAVE: 070.073.316-70</v>
      </c>
      <c r="I4834" t="str">
        <f t="shared" si="880"/>
        <v>26/03/2026</v>
      </c>
      <c r="J4834" t="str">
        <f t="shared" si="884"/>
        <v>17/03/2026</v>
      </c>
      <c r="K4834" t="str">
        <f>("26/03/2026")</f>
        <v>26/03/2026</v>
      </c>
      <c r="L4834">
        <v>1080</v>
      </c>
      <c r="M4834">
        <v>1080</v>
      </c>
      <c r="N4834">
        <v>109</v>
      </c>
      <c r="O4834" t="str">
        <f>"PAGAMENTO DE ENTREGADORES"</f>
        <v>PAGAMENTO DE ENTREGADORES</v>
      </c>
      <c r="P4834">
        <v>1080</v>
      </c>
      <c r="S4834" t="str">
        <f>"BANCO C6 (149)"</f>
        <v>BANCO C6 (149)</v>
      </c>
      <c r="T4834">
        <v>32048</v>
      </c>
      <c r="U4834">
        <v>35222</v>
      </c>
      <c r="V4834" t="s">
        <v>37</v>
      </c>
    </row>
    <row r="4835" spans="1:22">
      <c r="A4835" t="str">
        <f t="shared" si="885"/>
        <v>26/03/2026</v>
      </c>
      <c r="B4835" t="str">
        <f t="shared" si="879"/>
        <v>SAÍDA</v>
      </c>
      <c r="C4835" t="str">
        <f t="shared" si="881"/>
        <v>PIX</v>
      </c>
      <c r="D4835" t="str">
        <f>"35222"</f>
        <v>35222</v>
      </c>
      <c r="E4835" t="str">
        <f t="shared" si="882"/>
        <v>1</v>
      </c>
      <c r="F4835" t="str">
        <f t="shared" si="883"/>
        <v>COM</v>
      </c>
      <c r="G4835" t="str">
        <f>"EUDES PIMENTA (368)"</f>
        <v>EUDES PIMENTA (368)</v>
      </c>
      <c r="H4835" t="s">
        <v>1316</v>
      </c>
      <c r="I4835" t="str">
        <f t="shared" si="880"/>
        <v>26/03/2026</v>
      </c>
      <c r="J4835" t="str">
        <f t="shared" si="884"/>
        <v>17/03/2026</v>
      </c>
      <c r="K4835">
        <v>46107</v>
      </c>
      <c r="N4835">
        <v>109</v>
      </c>
      <c r="O4835" t="s">
        <v>27</v>
      </c>
      <c r="Q4835">
        <v>1080</v>
      </c>
      <c r="R4835" t="str">
        <f>"FARMÁCIA INDIANA LJ 06 (10006)"</f>
        <v>FARMÁCIA INDIANA LJ 06 (10006)</v>
      </c>
      <c r="S4835" t="s">
        <v>37</v>
      </c>
      <c r="T4835">
        <v>32048</v>
      </c>
      <c r="U4835">
        <v>35222</v>
      </c>
      <c r="V4835" t="s">
        <v>37</v>
      </c>
    </row>
    <row r="4836" spans="1:22">
      <c r="A4836" t="str">
        <f t="shared" si="885"/>
        <v>26/03/2026</v>
      </c>
      <c r="B4836" t="str">
        <f t="shared" si="879"/>
        <v>SAÍDA</v>
      </c>
      <c r="C4836" t="str">
        <f t="shared" si="881"/>
        <v>PIX</v>
      </c>
      <c r="D4836" t="str">
        <f>"35223"</f>
        <v>35223</v>
      </c>
      <c r="E4836" t="str">
        <f t="shared" si="882"/>
        <v>1</v>
      </c>
      <c r="F4836" t="str">
        <f t="shared" si="883"/>
        <v>COM</v>
      </c>
      <c r="G4836" t="str">
        <f>"EZEQUIEL CORREA DA SILVA (1093)"</f>
        <v>EZEQUIEL CORREA DA SILVA (1093)</v>
      </c>
      <c r="H4836" t="str">
        <f>"Serv.Prest. 09/03/2026 a 15/03/2026 - PIX: E-MAIL - CHAVE: ezequielcorrea123@gmail.com"</f>
        <v>Serv.Prest. 09/03/2026 a 15/03/2026 - PIX: E-MAIL - CHAVE: ezequielcorrea123@gmail.com</v>
      </c>
      <c r="I4836" t="str">
        <f t="shared" si="880"/>
        <v>26/03/2026</v>
      </c>
      <c r="J4836" t="str">
        <f t="shared" si="884"/>
        <v>17/03/2026</v>
      </c>
      <c r="K4836" t="str">
        <f>("26/03/2026")</f>
        <v>26/03/2026</v>
      </c>
      <c r="L4836">
        <v>600</v>
      </c>
      <c r="M4836">
        <v>600</v>
      </c>
      <c r="N4836">
        <v>109</v>
      </c>
      <c r="O4836" t="str">
        <f>"PAGAMENTO DE ENTREGADORES"</f>
        <v>PAGAMENTO DE ENTREGADORES</v>
      </c>
      <c r="P4836">
        <v>600</v>
      </c>
      <c r="S4836" t="str">
        <f>"BANCO C6 (149)"</f>
        <v>BANCO C6 (149)</v>
      </c>
      <c r="T4836">
        <v>32049</v>
      </c>
      <c r="U4836">
        <v>35223</v>
      </c>
      <c r="V4836" t="s">
        <v>37</v>
      </c>
    </row>
    <row r="4837" spans="1:22">
      <c r="A4837" t="str">
        <f t="shared" si="885"/>
        <v>26/03/2026</v>
      </c>
      <c r="B4837" t="str">
        <f t="shared" si="879"/>
        <v>SAÍDA</v>
      </c>
      <c r="C4837" t="str">
        <f t="shared" si="881"/>
        <v>PIX</v>
      </c>
      <c r="D4837" t="str">
        <f>"35223"</f>
        <v>35223</v>
      </c>
      <c r="E4837" t="str">
        <f t="shared" si="882"/>
        <v>1</v>
      </c>
      <c r="F4837" t="str">
        <f t="shared" si="883"/>
        <v>COM</v>
      </c>
      <c r="G4837" t="str">
        <f>"EZEQUIEL CORREA DA SILVA (1093)"</f>
        <v>EZEQUIEL CORREA DA SILVA (1093)</v>
      </c>
      <c r="H4837" t="s">
        <v>1317</v>
      </c>
      <c r="I4837" t="str">
        <f t="shared" si="880"/>
        <v>26/03/2026</v>
      </c>
      <c r="J4837" t="str">
        <f t="shared" si="884"/>
        <v>17/03/2026</v>
      </c>
      <c r="K4837">
        <v>46107</v>
      </c>
      <c r="N4837">
        <v>109</v>
      </c>
      <c r="O4837" t="s">
        <v>27</v>
      </c>
      <c r="Q4837">
        <v>600</v>
      </c>
      <c r="R4837" t="str">
        <f>"FARMÁCIA INDIANA LJ 64 (10029)"</f>
        <v>FARMÁCIA INDIANA LJ 64 (10029)</v>
      </c>
      <c r="S4837" t="s">
        <v>37</v>
      </c>
      <c r="T4837">
        <v>32049</v>
      </c>
      <c r="U4837">
        <v>35223</v>
      </c>
      <c r="V4837" t="s">
        <v>37</v>
      </c>
    </row>
    <row r="4838" spans="1:22">
      <c r="A4838" t="str">
        <f t="shared" si="885"/>
        <v>26/03/2026</v>
      </c>
      <c r="B4838" t="str">
        <f t="shared" si="879"/>
        <v>SAÍDA</v>
      </c>
      <c r="C4838" t="str">
        <f t="shared" si="881"/>
        <v>PIX</v>
      </c>
      <c r="D4838" t="str">
        <f>"35224"</f>
        <v>35224</v>
      </c>
      <c r="E4838" t="str">
        <f t="shared" si="882"/>
        <v>1</v>
      </c>
      <c r="F4838" t="str">
        <f t="shared" si="883"/>
        <v>COM</v>
      </c>
      <c r="G4838" t="str">
        <f>"FABRICIO RAMON SOARES SANTOS (645)"</f>
        <v>FABRICIO RAMON SOARES SANTOS (645)</v>
      </c>
      <c r="H4838" t="str">
        <f>"Serv.Prest. 09/03/2026 a 15/03/2026 - PIX: CELULAR - CHAVE: (31) 98483-3242"</f>
        <v>Serv.Prest. 09/03/2026 a 15/03/2026 - PIX: CELULAR - CHAVE: (31) 98483-3242</v>
      </c>
      <c r="I4838" t="str">
        <f t="shared" si="880"/>
        <v>26/03/2026</v>
      </c>
      <c r="J4838" t="str">
        <f t="shared" si="884"/>
        <v>17/03/2026</v>
      </c>
      <c r="K4838" t="str">
        <f>("26/03/2026")</f>
        <v>26/03/2026</v>
      </c>
      <c r="L4838">
        <v>2400</v>
      </c>
      <c r="M4838">
        <v>2400</v>
      </c>
      <c r="N4838">
        <v>109</v>
      </c>
      <c r="O4838" t="str">
        <f>"PAGAMENTO DE ENTREGADORES"</f>
        <v>PAGAMENTO DE ENTREGADORES</v>
      </c>
      <c r="P4838">
        <v>2400</v>
      </c>
      <c r="S4838" t="str">
        <f>"BANCO C6 (149)"</f>
        <v>BANCO C6 (149)</v>
      </c>
      <c r="T4838">
        <v>32050</v>
      </c>
      <c r="U4838">
        <v>35224</v>
      </c>
      <c r="V4838" t="s">
        <v>37</v>
      </c>
    </row>
    <row r="4839" spans="1:22">
      <c r="A4839" t="str">
        <f t="shared" si="885"/>
        <v>26/03/2026</v>
      </c>
      <c r="B4839" t="str">
        <f t="shared" si="879"/>
        <v>SAÍDA</v>
      </c>
      <c r="C4839" t="str">
        <f t="shared" si="881"/>
        <v>PIX</v>
      </c>
      <c r="D4839" t="str">
        <f>"35224"</f>
        <v>35224</v>
      </c>
      <c r="E4839" t="str">
        <f t="shared" si="882"/>
        <v>1</v>
      </c>
      <c r="F4839" t="str">
        <f t="shared" si="883"/>
        <v>COM</v>
      </c>
      <c r="G4839" t="str">
        <f>"FABRICIO RAMON SOARES SANTOS (645)"</f>
        <v>FABRICIO RAMON SOARES SANTOS (645)</v>
      </c>
      <c r="H4839" t="s">
        <v>1318</v>
      </c>
      <c r="I4839" t="str">
        <f t="shared" si="880"/>
        <v>26/03/2026</v>
      </c>
      <c r="J4839" t="str">
        <f t="shared" si="884"/>
        <v>17/03/2026</v>
      </c>
      <c r="K4839">
        <v>46107</v>
      </c>
      <c r="N4839">
        <v>109</v>
      </c>
      <c r="O4839" t="s">
        <v>27</v>
      </c>
      <c r="Q4839">
        <v>2400</v>
      </c>
      <c r="R4839" t="str">
        <f>"FARMÁCIA INDIANA LJ 101 (10043)"</f>
        <v>FARMÁCIA INDIANA LJ 101 (10043)</v>
      </c>
      <c r="S4839" t="s">
        <v>37</v>
      </c>
      <c r="T4839">
        <v>32050</v>
      </c>
      <c r="U4839">
        <v>35224</v>
      </c>
      <c r="V4839" t="s">
        <v>37</v>
      </c>
    </row>
    <row r="4840" spans="1:22">
      <c r="A4840" t="str">
        <f t="shared" si="885"/>
        <v>26/03/2026</v>
      </c>
      <c r="B4840" t="str">
        <f t="shared" si="879"/>
        <v>SAÍDA</v>
      </c>
      <c r="C4840" t="str">
        <f t="shared" si="881"/>
        <v>PIX</v>
      </c>
      <c r="D4840" t="str">
        <f>"35225"</f>
        <v>35225</v>
      </c>
      <c r="E4840" t="str">
        <f t="shared" si="882"/>
        <v>1</v>
      </c>
      <c r="F4840" t="str">
        <f t="shared" si="883"/>
        <v>COM</v>
      </c>
      <c r="G4840" t="str">
        <f>"GABRIEL MARINI CAMPOS DE SOUZA (1140)"</f>
        <v>GABRIEL MARINI CAMPOS DE SOUZA (1140)</v>
      </c>
      <c r="H4840" t="str">
        <f>"Serv.Prest. 09/03/2026 a 15/03/2026 - PIX: CPF - CHAVE: 163.440.926-45"</f>
        <v>Serv.Prest. 09/03/2026 a 15/03/2026 - PIX: CPF - CHAVE: 163.440.926-45</v>
      </c>
      <c r="I4840" t="str">
        <f t="shared" si="880"/>
        <v>26/03/2026</v>
      </c>
      <c r="J4840" t="str">
        <f t="shared" si="884"/>
        <v>17/03/2026</v>
      </c>
      <c r="K4840" t="str">
        <f>("26/03/2026")</f>
        <v>26/03/2026</v>
      </c>
      <c r="L4840">
        <v>702</v>
      </c>
      <c r="M4840">
        <v>702</v>
      </c>
      <c r="N4840">
        <v>109</v>
      </c>
      <c r="O4840" t="str">
        <f>"PAGAMENTO DE ENTREGADORES"</f>
        <v>PAGAMENTO DE ENTREGADORES</v>
      </c>
      <c r="P4840">
        <v>702</v>
      </c>
      <c r="S4840" t="str">
        <f>"BANCO C6 (149)"</f>
        <v>BANCO C6 (149)</v>
      </c>
      <c r="T4840">
        <v>32051</v>
      </c>
      <c r="U4840">
        <v>35225</v>
      </c>
      <c r="V4840" t="s">
        <v>37</v>
      </c>
    </row>
    <row r="4841" spans="1:22">
      <c r="A4841" t="str">
        <f t="shared" si="885"/>
        <v>26/03/2026</v>
      </c>
      <c r="B4841" t="str">
        <f t="shared" si="879"/>
        <v>SAÍDA</v>
      </c>
      <c r="C4841" t="str">
        <f t="shared" si="881"/>
        <v>PIX</v>
      </c>
      <c r="D4841" t="str">
        <f>"35225"</f>
        <v>35225</v>
      </c>
      <c r="E4841" t="str">
        <f t="shared" si="882"/>
        <v>1</v>
      </c>
      <c r="F4841" t="str">
        <f t="shared" si="883"/>
        <v>COM</v>
      </c>
      <c r="G4841" t="str">
        <f>"GABRIEL MARINI CAMPOS DE SOUZA (1140)"</f>
        <v>GABRIEL MARINI CAMPOS DE SOUZA (1140)</v>
      </c>
      <c r="H4841" t="s">
        <v>1319</v>
      </c>
      <c r="I4841" t="str">
        <f t="shared" si="880"/>
        <v>26/03/2026</v>
      </c>
      <c r="J4841" t="str">
        <f t="shared" si="884"/>
        <v>17/03/2026</v>
      </c>
      <c r="K4841">
        <v>46107</v>
      </c>
      <c r="N4841">
        <v>109</v>
      </c>
      <c r="O4841" t="s">
        <v>27</v>
      </c>
      <c r="Q4841">
        <v>702</v>
      </c>
      <c r="R4841" t="str">
        <f>"FARMÁCIA INDIANA LJ 134 (10271)"</f>
        <v>FARMÁCIA INDIANA LJ 134 (10271)</v>
      </c>
      <c r="S4841" t="s">
        <v>37</v>
      </c>
      <c r="T4841">
        <v>32051</v>
      </c>
      <c r="U4841">
        <v>35225</v>
      </c>
      <c r="V4841" t="s">
        <v>37</v>
      </c>
    </row>
    <row r="4842" spans="1:22">
      <c r="A4842" t="str">
        <f t="shared" si="885"/>
        <v>26/03/2026</v>
      </c>
      <c r="B4842" t="str">
        <f t="shared" si="879"/>
        <v>SAÍDA</v>
      </c>
      <c r="C4842" t="str">
        <f t="shared" si="881"/>
        <v>PIX</v>
      </c>
      <c r="D4842" t="str">
        <f>"35226"</f>
        <v>35226</v>
      </c>
      <c r="E4842" t="str">
        <f t="shared" si="882"/>
        <v>1</v>
      </c>
      <c r="F4842" t="str">
        <f t="shared" si="883"/>
        <v>COM</v>
      </c>
      <c r="G4842" t="str">
        <f>"GABRIEL SOARES VIEIRA (18)"</f>
        <v>GABRIEL SOARES VIEIRA (18)</v>
      </c>
      <c r="H4842" t="str">
        <f>"Serv.Prest. 09/03/2026 a 15/03/2026 - PIX: CPF - CHAVE: 179.800.027-09"</f>
        <v>Serv.Prest. 09/03/2026 a 15/03/2026 - PIX: CPF - CHAVE: 179.800.027-09</v>
      </c>
      <c r="I4842" t="str">
        <f t="shared" si="880"/>
        <v>26/03/2026</v>
      </c>
      <c r="J4842" t="str">
        <f t="shared" si="884"/>
        <v>17/03/2026</v>
      </c>
      <c r="K4842" t="str">
        <f>("26/03/2026")</f>
        <v>26/03/2026</v>
      </c>
      <c r="L4842">
        <v>1556.5</v>
      </c>
      <c r="M4842">
        <v>1556.5</v>
      </c>
      <c r="N4842">
        <v>109</v>
      </c>
      <c r="O4842" t="str">
        <f>"PAGAMENTO DE ENTREGADORES"</f>
        <v>PAGAMENTO DE ENTREGADORES</v>
      </c>
      <c r="P4842">
        <v>1556.5</v>
      </c>
      <c r="S4842" t="str">
        <f>"BANCO C6 (149)"</f>
        <v>BANCO C6 (149)</v>
      </c>
      <c r="T4842">
        <v>32052</v>
      </c>
      <c r="U4842">
        <v>35226</v>
      </c>
      <c r="V4842" t="s">
        <v>37</v>
      </c>
    </row>
    <row r="4843" spans="1:22">
      <c r="A4843" t="str">
        <f t="shared" si="885"/>
        <v>26/03/2026</v>
      </c>
      <c r="B4843" t="str">
        <f t="shared" si="879"/>
        <v>SAÍDA</v>
      </c>
      <c r="C4843" t="str">
        <f t="shared" si="881"/>
        <v>PIX</v>
      </c>
      <c r="D4843" t="str">
        <f>"35226"</f>
        <v>35226</v>
      </c>
      <c r="E4843" t="str">
        <f t="shared" si="882"/>
        <v>1</v>
      </c>
      <c r="F4843" t="str">
        <f t="shared" si="883"/>
        <v>COM</v>
      </c>
      <c r="G4843" t="str">
        <f>"GABRIEL SOARES VIEIRA (18)"</f>
        <v>GABRIEL SOARES VIEIRA (18)</v>
      </c>
      <c r="H4843" t="s">
        <v>1320</v>
      </c>
      <c r="I4843" t="str">
        <f t="shared" si="880"/>
        <v>26/03/2026</v>
      </c>
      <c r="J4843" t="str">
        <f t="shared" si="884"/>
        <v>17/03/2026</v>
      </c>
      <c r="K4843">
        <v>46107</v>
      </c>
      <c r="N4843">
        <v>109</v>
      </c>
      <c r="O4843" t="s">
        <v>27</v>
      </c>
      <c r="Q4843">
        <v>1556.5</v>
      </c>
      <c r="R4843" t="str">
        <f>"FARMÁCIA INDIANA LJ 40 (10016)"</f>
        <v>FARMÁCIA INDIANA LJ 40 (10016)</v>
      </c>
      <c r="S4843" t="s">
        <v>37</v>
      </c>
      <c r="T4843">
        <v>32052</v>
      </c>
      <c r="U4843">
        <v>35226</v>
      </c>
      <c r="V4843" t="s">
        <v>37</v>
      </c>
    </row>
    <row r="4844" spans="1:22">
      <c r="A4844" t="str">
        <f t="shared" si="885"/>
        <v>26/03/2026</v>
      </c>
      <c r="B4844" t="str">
        <f t="shared" si="879"/>
        <v>SAÍDA</v>
      </c>
      <c r="C4844" t="str">
        <f t="shared" si="881"/>
        <v>PIX</v>
      </c>
      <c r="D4844" t="str">
        <f>"35227"</f>
        <v>35227</v>
      </c>
      <c r="E4844" t="str">
        <f t="shared" si="882"/>
        <v>1</v>
      </c>
      <c r="F4844" t="str">
        <f t="shared" si="883"/>
        <v>COM</v>
      </c>
      <c r="G4844" t="str">
        <f>"GABRIEL VIANA PEREIRA (1097)"</f>
        <v>GABRIEL VIANA PEREIRA (1097)</v>
      </c>
      <c r="H4844" t="str">
        <f>"Serv.Prest. 09/03/2026 a 15/03/2026 - PIX: CELULAR - CHAVE: (33) 98408-4618"</f>
        <v>Serv.Prest. 09/03/2026 a 15/03/2026 - PIX: CELULAR - CHAVE: (33) 98408-4618</v>
      </c>
      <c r="I4844" t="str">
        <f t="shared" si="880"/>
        <v>26/03/2026</v>
      </c>
      <c r="J4844" t="str">
        <f t="shared" si="884"/>
        <v>17/03/2026</v>
      </c>
      <c r="K4844" t="str">
        <f>("26/03/2026")</f>
        <v>26/03/2026</v>
      </c>
      <c r="L4844">
        <v>522</v>
      </c>
      <c r="M4844">
        <v>522</v>
      </c>
      <c r="N4844">
        <v>109</v>
      </c>
      <c r="O4844" t="str">
        <f>"PAGAMENTO DE ENTREGADORES"</f>
        <v>PAGAMENTO DE ENTREGADORES</v>
      </c>
      <c r="P4844">
        <v>522</v>
      </c>
      <c r="S4844" t="str">
        <f>"BANCO C6 (149)"</f>
        <v>BANCO C6 (149)</v>
      </c>
      <c r="T4844">
        <v>32053</v>
      </c>
      <c r="U4844">
        <v>35227</v>
      </c>
      <c r="V4844" t="s">
        <v>37</v>
      </c>
    </row>
    <row r="4845" spans="1:22">
      <c r="A4845" t="str">
        <f t="shared" si="885"/>
        <v>26/03/2026</v>
      </c>
      <c r="B4845" t="str">
        <f t="shared" si="879"/>
        <v>SAÍDA</v>
      </c>
      <c r="C4845" t="str">
        <f t="shared" si="881"/>
        <v>PIX</v>
      </c>
      <c r="D4845" t="str">
        <f>"35227"</f>
        <v>35227</v>
      </c>
      <c r="E4845" t="str">
        <f t="shared" si="882"/>
        <v>1</v>
      </c>
      <c r="F4845" t="str">
        <f t="shared" si="883"/>
        <v>COM</v>
      </c>
      <c r="G4845" t="str">
        <f>"GABRIEL VIANA PEREIRA (1097)"</f>
        <v>GABRIEL VIANA PEREIRA (1097)</v>
      </c>
      <c r="H4845" t="s">
        <v>1321</v>
      </c>
      <c r="I4845" t="str">
        <f t="shared" si="880"/>
        <v>26/03/2026</v>
      </c>
      <c r="J4845" t="str">
        <f t="shared" si="884"/>
        <v>17/03/2026</v>
      </c>
      <c r="K4845">
        <v>46107</v>
      </c>
      <c r="N4845">
        <v>109</v>
      </c>
      <c r="O4845" t="s">
        <v>27</v>
      </c>
      <c r="Q4845">
        <v>522</v>
      </c>
      <c r="R4845" t="str">
        <f>"FARMÁCIA INDIANA LJ 07 (10007)"</f>
        <v>FARMÁCIA INDIANA LJ 07 (10007)</v>
      </c>
      <c r="S4845" t="s">
        <v>37</v>
      </c>
      <c r="T4845">
        <v>32053</v>
      </c>
      <c r="U4845">
        <v>35227</v>
      </c>
      <c r="V4845" t="s">
        <v>37</v>
      </c>
    </row>
    <row r="4846" spans="1:22">
      <c r="A4846" t="str">
        <f t="shared" si="885"/>
        <v>26/03/2026</v>
      </c>
      <c r="B4846" t="str">
        <f t="shared" si="879"/>
        <v>SAÍDA</v>
      </c>
      <c r="C4846" t="str">
        <f t="shared" si="881"/>
        <v>PIX</v>
      </c>
      <c r="D4846" t="str">
        <f>"35228"</f>
        <v>35228</v>
      </c>
      <c r="E4846" t="str">
        <f t="shared" si="882"/>
        <v>1</v>
      </c>
      <c r="F4846" t="str">
        <f t="shared" si="883"/>
        <v>COM</v>
      </c>
      <c r="G4846" t="str">
        <f>"GILDASIO DOMINGOS DOS SANTOS (54)"</f>
        <v>GILDASIO DOMINGOS DOS SANTOS (54)</v>
      </c>
      <c r="H4846" t="str">
        <f>"Serv.Prest. 09/03/2026 a 15/03/2026 - PIX: CNPJ - CHAVE: 41.602.926/0001-34"</f>
        <v>Serv.Prest. 09/03/2026 a 15/03/2026 - PIX: CNPJ - CHAVE: 41.602.926/0001-34</v>
      </c>
      <c r="I4846" t="str">
        <f t="shared" si="880"/>
        <v>26/03/2026</v>
      </c>
      <c r="J4846" t="str">
        <f t="shared" si="884"/>
        <v>17/03/2026</v>
      </c>
      <c r="K4846" t="str">
        <f>("26/03/2026")</f>
        <v>26/03/2026</v>
      </c>
      <c r="L4846">
        <v>1092</v>
      </c>
      <c r="M4846">
        <v>1092</v>
      </c>
      <c r="N4846">
        <v>109</v>
      </c>
      <c r="O4846" t="str">
        <f>"PAGAMENTO DE ENTREGADORES"</f>
        <v>PAGAMENTO DE ENTREGADORES</v>
      </c>
      <c r="P4846">
        <v>1092</v>
      </c>
      <c r="S4846" t="str">
        <f>"BANCO C6 (149)"</f>
        <v>BANCO C6 (149)</v>
      </c>
      <c r="T4846">
        <v>32054</v>
      </c>
      <c r="U4846">
        <v>35228</v>
      </c>
      <c r="V4846" t="s">
        <v>37</v>
      </c>
    </row>
    <row r="4847" spans="1:22">
      <c r="A4847" t="str">
        <f t="shared" si="885"/>
        <v>26/03/2026</v>
      </c>
      <c r="B4847" t="str">
        <f t="shared" si="879"/>
        <v>SAÍDA</v>
      </c>
      <c r="C4847" t="str">
        <f t="shared" si="881"/>
        <v>PIX</v>
      </c>
      <c r="D4847" t="str">
        <f>"35228"</f>
        <v>35228</v>
      </c>
      <c r="E4847" t="str">
        <f t="shared" si="882"/>
        <v>1</v>
      </c>
      <c r="F4847" t="str">
        <f t="shared" si="883"/>
        <v>COM</v>
      </c>
      <c r="G4847" t="str">
        <f>"GILDASIO DOMINGOS DOS SANTOS (54)"</f>
        <v>GILDASIO DOMINGOS DOS SANTOS (54)</v>
      </c>
      <c r="H4847" t="s">
        <v>1322</v>
      </c>
      <c r="I4847" t="str">
        <f t="shared" si="880"/>
        <v>26/03/2026</v>
      </c>
      <c r="J4847" t="str">
        <f t="shared" si="884"/>
        <v>17/03/2026</v>
      </c>
      <c r="K4847">
        <v>46107</v>
      </c>
      <c r="N4847">
        <v>109</v>
      </c>
      <c r="O4847" t="s">
        <v>27</v>
      </c>
      <c r="Q4847">
        <v>1092</v>
      </c>
      <c r="R4847" t="str">
        <f>"FARMÁCIA INDIANA LJ 07 (10007)"</f>
        <v>FARMÁCIA INDIANA LJ 07 (10007)</v>
      </c>
      <c r="S4847" t="s">
        <v>37</v>
      </c>
      <c r="T4847">
        <v>32054</v>
      </c>
      <c r="U4847">
        <v>35228</v>
      </c>
      <c r="V4847" t="s">
        <v>37</v>
      </c>
    </row>
    <row r="4848" spans="1:22">
      <c r="A4848" t="str">
        <f t="shared" si="885"/>
        <v>26/03/2026</v>
      </c>
      <c r="B4848" t="str">
        <f t="shared" ref="B4848:B4911" si="886">"SAÍDA"</f>
        <v>SAÍDA</v>
      </c>
      <c r="C4848" t="str">
        <f t="shared" si="881"/>
        <v>PIX</v>
      </c>
      <c r="D4848" t="str">
        <f>"35229"</f>
        <v>35229</v>
      </c>
      <c r="E4848" t="str">
        <f t="shared" si="882"/>
        <v>1</v>
      </c>
      <c r="F4848" t="str">
        <f t="shared" si="883"/>
        <v>COM</v>
      </c>
      <c r="G4848" t="str">
        <f>"GILNEI MENDES COELHO (195)"</f>
        <v>GILNEI MENDES COELHO (195)</v>
      </c>
      <c r="H4848" t="str">
        <f>"Serv.Prest. 09/03/2026 a 15/03/2026 - PIX: CPF - CHAVE: 386.313.426-53"</f>
        <v>Serv.Prest. 09/03/2026 a 15/03/2026 - PIX: CPF - CHAVE: 386.313.426-53</v>
      </c>
      <c r="I4848" t="str">
        <f t="shared" ref="I4848:I4911" si="887">("26/03/2026")</f>
        <v>26/03/2026</v>
      </c>
      <c r="J4848" t="str">
        <f t="shared" si="884"/>
        <v>17/03/2026</v>
      </c>
      <c r="K4848" t="str">
        <f>("26/03/2026")</f>
        <v>26/03/2026</v>
      </c>
      <c r="L4848">
        <v>1080</v>
      </c>
      <c r="M4848">
        <v>1080</v>
      </c>
      <c r="N4848">
        <v>109</v>
      </c>
      <c r="O4848" t="str">
        <f>"PAGAMENTO DE ENTREGADORES"</f>
        <v>PAGAMENTO DE ENTREGADORES</v>
      </c>
      <c r="P4848">
        <v>1080</v>
      </c>
      <c r="S4848" t="str">
        <f>"BANCO C6 (149)"</f>
        <v>BANCO C6 (149)</v>
      </c>
      <c r="T4848">
        <v>32055</v>
      </c>
      <c r="U4848">
        <v>35229</v>
      </c>
      <c r="V4848" t="s">
        <v>37</v>
      </c>
    </row>
    <row r="4849" spans="1:22">
      <c r="A4849" t="str">
        <f t="shared" si="885"/>
        <v>26/03/2026</v>
      </c>
      <c r="B4849" t="str">
        <f t="shared" si="886"/>
        <v>SAÍDA</v>
      </c>
      <c r="C4849" t="str">
        <f t="shared" si="881"/>
        <v>PIX</v>
      </c>
      <c r="D4849" t="str">
        <f>"35229"</f>
        <v>35229</v>
      </c>
      <c r="E4849" t="str">
        <f t="shared" si="882"/>
        <v>1</v>
      </c>
      <c r="F4849" t="str">
        <f t="shared" si="883"/>
        <v>COM</v>
      </c>
      <c r="G4849" t="str">
        <f>"GILNEI MENDES COELHO (195)"</f>
        <v>GILNEI MENDES COELHO (195)</v>
      </c>
      <c r="H4849" t="s">
        <v>1323</v>
      </c>
      <c r="I4849" t="str">
        <f t="shared" si="887"/>
        <v>26/03/2026</v>
      </c>
      <c r="J4849" t="str">
        <f t="shared" si="884"/>
        <v>17/03/2026</v>
      </c>
      <c r="K4849">
        <v>46107</v>
      </c>
      <c r="N4849">
        <v>109</v>
      </c>
      <c r="O4849" t="s">
        <v>27</v>
      </c>
      <c r="Q4849">
        <v>1080</v>
      </c>
      <c r="R4849" t="str">
        <f>"FARMÁCIA INDIANA LJ 06 (10006)"</f>
        <v>FARMÁCIA INDIANA LJ 06 (10006)</v>
      </c>
      <c r="S4849" t="s">
        <v>37</v>
      </c>
      <c r="T4849">
        <v>32055</v>
      </c>
      <c r="U4849">
        <v>35229</v>
      </c>
      <c r="V4849" t="s">
        <v>37</v>
      </c>
    </row>
    <row r="4850" spans="1:22">
      <c r="A4850" t="str">
        <f t="shared" si="885"/>
        <v>26/03/2026</v>
      </c>
      <c r="B4850" t="str">
        <f t="shared" si="886"/>
        <v>SAÍDA</v>
      </c>
      <c r="C4850" t="str">
        <f t="shared" si="881"/>
        <v>PIX</v>
      </c>
      <c r="D4850" t="str">
        <f>"35231"</f>
        <v>35231</v>
      </c>
      <c r="E4850" t="str">
        <f t="shared" si="882"/>
        <v>1</v>
      </c>
      <c r="F4850" t="str">
        <f t="shared" si="883"/>
        <v>COM</v>
      </c>
      <c r="G4850" t="str">
        <f>"GUILHERME QUINTINO DA ROCHA (199)"</f>
        <v>GUILHERME QUINTINO DA ROCHA (199)</v>
      </c>
      <c r="H4850" t="str">
        <f>"Serv.Prest. 09/03/2026 a 15/03/2026 - PIX: CELULAR - CHAVE: (33) 99706-4860"</f>
        <v>Serv.Prest. 09/03/2026 a 15/03/2026 - PIX: CELULAR - CHAVE: (33) 99706-4860</v>
      </c>
      <c r="I4850" t="str">
        <f t="shared" si="887"/>
        <v>26/03/2026</v>
      </c>
      <c r="J4850" t="str">
        <f t="shared" si="884"/>
        <v>17/03/2026</v>
      </c>
      <c r="K4850" t="str">
        <f>("26/03/2026")</f>
        <v>26/03/2026</v>
      </c>
      <c r="L4850">
        <v>1080</v>
      </c>
      <c r="M4850">
        <v>1080</v>
      </c>
      <c r="N4850">
        <v>109</v>
      </c>
      <c r="O4850" t="str">
        <f>"PAGAMENTO DE ENTREGADORES"</f>
        <v>PAGAMENTO DE ENTREGADORES</v>
      </c>
      <c r="P4850">
        <v>1080</v>
      </c>
      <c r="S4850" t="str">
        <f>"BANCO C6 (149)"</f>
        <v>BANCO C6 (149)</v>
      </c>
      <c r="T4850">
        <v>32056</v>
      </c>
      <c r="U4850">
        <v>35231</v>
      </c>
      <c r="V4850" t="s">
        <v>37</v>
      </c>
    </row>
    <row r="4851" spans="1:22">
      <c r="A4851" t="str">
        <f t="shared" si="885"/>
        <v>26/03/2026</v>
      </c>
      <c r="B4851" t="str">
        <f t="shared" si="886"/>
        <v>SAÍDA</v>
      </c>
      <c r="C4851" t="str">
        <f t="shared" si="881"/>
        <v>PIX</v>
      </c>
      <c r="D4851" t="str">
        <f>"35231"</f>
        <v>35231</v>
      </c>
      <c r="E4851" t="str">
        <f t="shared" si="882"/>
        <v>1</v>
      </c>
      <c r="F4851" t="str">
        <f t="shared" si="883"/>
        <v>COM</v>
      </c>
      <c r="G4851" t="str">
        <f>"GUILHERME QUINTINO DA ROCHA (199)"</f>
        <v>GUILHERME QUINTINO DA ROCHA (199)</v>
      </c>
      <c r="H4851" t="s">
        <v>1324</v>
      </c>
      <c r="I4851" t="str">
        <f t="shared" si="887"/>
        <v>26/03/2026</v>
      </c>
      <c r="J4851" t="str">
        <f t="shared" si="884"/>
        <v>17/03/2026</v>
      </c>
      <c r="K4851">
        <v>46107</v>
      </c>
      <c r="N4851">
        <v>109</v>
      </c>
      <c r="O4851" t="s">
        <v>27</v>
      </c>
      <c r="Q4851">
        <v>1080</v>
      </c>
      <c r="R4851" t="str">
        <f>"FARMÁCIA INDIANA LJ 06 (10006)"</f>
        <v>FARMÁCIA INDIANA LJ 06 (10006)</v>
      </c>
      <c r="S4851" t="s">
        <v>37</v>
      </c>
      <c r="T4851">
        <v>32056</v>
      </c>
      <c r="U4851">
        <v>35231</v>
      </c>
      <c r="V4851" t="s">
        <v>37</v>
      </c>
    </row>
    <row r="4852" spans="1:22">
      <c r="A4852" t="str">
        <f t="shared" si="885"/>
        <v>26/03/2026</v>
      </c>
      <c r="B4852" t="str">
        <f t="shared" si="886"/>
        <v>SAÍDA</v>
      </c>
      <c r="C4852" t="str">
        <f t="shared" si="881"/>
        <v>PIX</v>
      </c>
      <c r="D4852" t="str">
        <f>"35232"</f>
        <v>35232</v>
      </c>
      <c r="E4852" t="str">
        <f t="shared" si="882"/>
        <v>1</v>
      </c>
      <c r="F4852" t="str">
        <f t="shared" si="883"/>
        <v>COM</v>
      </c>
      <c r="G4852" t="str">
        <f>"GUSTAVO HENRIQUE OLIVEIRA (661)"</f>
        <v>GUSTAVO HENRIQUE OLIVEIRA (661)</v>
      </c>
      <c r="H4852" t="str">
        <f>"Serv.Prest. 09/03/2026 a 15/03/2026 - PIX: CPF - CHAVE: 113.084.266-58"</f>
        <v>Serv.Prest. 09/03/2026 a 15/03/2026 - PIX: CPF - CHAVE: 113.084.266-58</v>
      </c>
      <c r="I4852" t="str">
        <f t="shared" si="887"/>
        <v>26/03/2026</v>
      </c>
      <c r="J4852" t="str">
        <f t="shared" si="884"/>
        <v>17/03/2026</v>
      </c>
      <c r="K4852" t="str">
        <f>("26/03/2026")</f>
        <v>26/03/2026</v>
      </c>
      <c r="L4852">
        <v>894</v>
      </c>
      <c r="M4852">
        <v>894</v>
      </c>
      <c r="N4852">
        <v>109</v>
      </c>
      <c r="O4852" t="str">
        <f>"PAGAMENTO DE ENTREGADORES"</f>
        <v>PAGAMENTO DE ENTREGADORES</v>
      </c>
      <c r="P4852">
        <v>894</v>
      </c>
      <c r="S4852" t="str">
        <f>"BANCO C6 (149)"</f>
        <v>BANCO C6 (149)</v>
      </c>
      <c r="T4852">
        <v>32057</v>
      </c>
      <c r="U4852">
        <v>35232</v>
      </c>
      <c r="V4852" t="s">
        <v>37</v>
      </c>
    </row>
    <row r="4853" spans="1:22">
      <c r="A4853" t="str">
        <f t="shared" si="885"/>
        <v>26/03/2026</v>
      </c>
      <c r="B4853" t="str">
        <f t="shared" si="886"/>
        <v>SAÍDA</v>
      </c>
      <c r="C4853" t="str">
        <f t="shared" si="881"/>
        <v>PIX</v>
      </c>
      <c r="D4853" t="str">
        <f>"35232"</f>
        <v>35232</v>
      </c>
      <c r="E4853" t="str">
        <f t="shared" si="882"/>
        <v>1</v>
      </c>
      <c r="F4853" t="str">
        <f t="shared" si="883"/>
        <v>COM</v>
      </c>
      <c r="G4853" t="str">
        <f>"GUSTAVO HENRIQUE OLIVEIRA (661)"</f>
        <v>GUSTAVO HENRIQUE OLIVEIRA (661)</v>
      </c>
      <c r="H4853" t="s">
        <v>1325</v>
      </c>
      <c r="I4853" t="str">
        <f t="shared" si="887"/>
        <v>26/03/2026</v>
      </c>
      <c r="J4853" t="str">
        <f t="shared" si="884"/>
        <v>17/03/2026</v>
      </c>
      <c r="K4853">
        <v>46107</v>
      </c>
      <c r="N4853">
        <v>109</v>
      </c>
      <c r="O4853" t="s">
        <v>27</v>
      </c>
      <c r="Q4853">
        <v>894</v>
      </c>
      <c r="R4853" t="str">
        <f>"FARMÁCIA INDIANA LJ 110 (10048)"</f>
        <v>FARMÁCIA INDIANA LJ 110 (10048)</v>
      </c>
      <c r="S4853" t="s">
        <v>37</v>
      </c>
      <c r="T4853">
        <v>32057</v>
      </c>
      <c r="U4853">
        <v>35232</v>
      </c>
      <c r="V4853" t="s">
        <v>37</v>
      </c>
    </row>
    <row r="4854" spans="1:22">
      <c r="A4854" t="str">
        <f t="shared" si="885"/>
        <v>26/03/2026</v>
      </c>
      <c r="B4854" t="str">
        <f t="shared" si="886"/>
        <v>SAÍDA</v>
      </c>
      <c r="C4854" t="str">
        <f t="shared" ref="C4854:C4917" si="888">"PIX"</f>
        <v>PIX</v>
      </c>
      <c r="D4854" t="str">
        <f>"35233"</f>
        <v>35233</v>
      </c>
      <c r="E4854" t="str">
        <f t="shared" si="882"/>
        <v>1</v>
      </c>
      <c r="F4854" t="str">
        <f t="shared" si="883"/>
        <v>COM</v>
      </c>
      <c r="G4854" t="str">
        <f>"IVAN SOUZA SANTOS (101)"</f>
        <v>IVAN SOUZA SANTOS (101)</v>
      </c>
      <c r="H4854" t="str">
        <f>"Serv.Prest. 09/03/2026 a 15/03/2026 - PIX: CELULAR - CHAVE: (33) 98429-0263"</f>
        <v>Serv.Prest. 09/03/2026 a 15/03/2026 - PIX: CELULAR - CHAVE: (33) 98429-0263</v>
      </c>
      <c r="I4854" t="str">
        <f t="shared" si="887"/>
        <v>26/03/2026</v>
      </c>
      <c r="J4854" t="str">
        <f t="shared" si="884"/>
        <v>17/03/2026</v>
      </c>
      <c r="K4854" t="str">
        <f>("26/03/2026")</f>
        <v>26/03/2026</v>
      </c>
      <c r="L4854">
        <v>1171.0999999999999</v>
      </c>
      <c r="M4854">
        <v>1171.0999999999999</v>
      </c>
      <c r="N4854">
        <v>109</v>
      </c>
      <c r="O4854" t="str">
        <f>"PAGAMENTO DE ENTREGADORES"</f>
        <v>PAGAMENTO DE ENTREGADORES</v>
      </c>
      <c r="P4854">
        <v>1171.0999999999999</v>
      </c>
      <c r="S4854" t="str">
        <f>"BANCO C6 (149)"</f>
        <v>BANCO C6 (149)</v>
      </c>
      <c r="T4854">
        <v>32058</v>
      </c>
      <c r="U4854">
        <v>35233</v>
      </c>
      <c r="V4854" t="s">
        <v>37</v>
      </c>
    </row>
    <row r="4855" spans="1:22">
      <c r="A4855" t="str">
        <f t="shared" si="885"/>
        <v>26/03/2026</v>
      </c>
      <c r="B4855" t="str">
        <f t="shared" si="886"/>
        <v>SAÍDA</v>
      </c>
      <c r="C4855" t="str">
        <f t="shared" si="888"/>
        <v>PIX</v>
      </c>
      <c r="D4855" t="str">
        <f>"35233"</f>
        <v>35233</v>
      </c>
      <c r="E4855" t="str">
        <f t="shared" si="882"/>
        <v>1</v>
      </c>
      <c r="F4855" t="str">
        <f t="shared" si="883"/>
        <v>COM</v>
      </c>
      <c r="G4855" t="str">
        <f>"IVAN SOUZA SANTOS (101)"</f>
        <v>IVAN SOUZA SANTOS (101)</v>
      </c>
      <c r="H4855" t="s">
        <v>1326</v>
      </c>
      <c r="I4855" t="str">
        <f t="shared" si="887"/>
        <v>26/03/2026</v>
      </c>
      <c r="J4855" t="str">
        <f t="shared" si="884"/>
        <v>17/03/2026</v>
      </c>
      <c r="K4855">
        <v>46107</v>
      </c>
      <c r="N4855">
        <v>109</v>
      </c>
      <c r="O4855" t="s">
        <v>27</v>
      </c>
      <c r="Q4855">
        <v>1171.0999999999999</v>
      </c>
      <c r="R4855" t="str">
        <f>"FARMÁCIA INDIANA LJ 59 (10026)"</f>
        <v>FARMÁCIA INDIANA LJ 59 (10026)</v>
      </c>
      <c r="S4855" t="s">
        <v>37</v>
      </c>
      <c r="T4855">
        <v>32058</v>
      </c>
      <c r="U4855">
        <v>35233</v>
      </c>
      <c r="V4855" t="s">
        <v>37</v>
      </c>
    </row>
    <row r="4856" spans="1:22">
      <c r="A4856" t="str">
        <f t="shared" si="885"/>
        <v>26/03/2026</v>
      </c>
      <c r="B4856" t="str">
        <f t="shared" si="886"/>
        <v>SAÍDA</v>
      </c>
      <c r="C4856" t="str">
        <f t="shared" si="888"/>
        <v>PIX</v>
      </c>
      <c r="D4856" t="str">
        <f>"35234"</f>
        <v>35234</v>
      </c>
      <c r="E4856" t="str">
        <f t="shared" ref="E4856:E4919" si="889">"1"</f>
        <v>1</v>
      </c>
      <c r="F4856" t="str">
        <f t="shared" si="883"/>
        <v>COM</v>
      </c>
      <c r="G4856" t="str">
        <f>"JANDERSON SOUZA ARCANJO (28)"</f>
        <v>JANDERSON SOUZA ARCANJO (28)</v>
      </c>
      <c r="H4856" t="str">
        <f>"Serv.Prest. 09/03/2026 a 15/03/2026 - PIX: CPF - CHAVE: 121.297.376-33"</f>
        <v>Serv.Prest. 09/03/2026 a 15/03/2026 - PIX: CPF - CHAVE: 121.297.376-33</v>
      </c>
      <c r="I4856" t="str">
        <f t="shared" si="887"/>
        <v>26/03/2026</v>
      </c>
      <c r="J4856" t="str">
        <f t="shared" si="884"/>
        <v>17/03/2026</v>
      </c>
      <c r="K4856" t="str">
        <f>("26/03/2026")</f>
        <v>26/03/2026</v>
      </c>
      <c r="L4856">
        <v>1419</v>
      </c>
      <c r="M4856">
        <v>1419</v>
      </c>
      <c r="N4856">
        <v>109</v>
      </c>
      <c r="O4856" t="str">
        <f>"PAGAMENTO DE ENTREGADORES"</f>
        <v>PAGAMENTO DE ENTREGADORES</v>
      </c>
      <c r="P4856">
        <v>1419</v>
      </c>
      <c r="S4856" t="str">
        <f>"BANCO C6 (149)"</f>
        <v>BANCO C6 (149)</v>
      </c>
      <c r="T4856">
        <v>32059</v>
      </c>
      <c r="U4856">
        <v>35234</v>
      </c>
      <c r="V4856" t="s">
        <v>37</v>
      </c>
    </row>
    <row r="4857" spans="1:22">
      <c r="A4857" t="str">
        <f t="shared" si="885"/>
        <v>26/03/2026</v>
      </c>
      <c r="B4857" t="str">
        <f t="shared" si="886"/>
        <v>SAÍDA</v>
      </c>
      <c r="C4857" t="str">
        <f t="shared" si="888"/>
        <v>PIX</v>
      </c>
      <c r="D4857" t="str">
        <f>"35234"</f>
        <v>35234</v>
      </c>
      <c r="E4857" t="str">
        <f t="shared" si="889"/>
        <v>1</v>
      </c>
      <c r="F4857" t="str">
        <f t="shared" si="883"/>
        <v>COM</v>
      </c>
      <c r="G4857" t="str">
        <f>"JANDERSON SOUZA ARCANJO (28)"</f>
        <v>JANDERSON SOUZA ARCANJO (28)</v>
      </c>
      <c r="H4857" t="s">
        <v>1327</v>
      </c>
      <c r="I4857" t="str">
        <f t="shared" si="887"/>
        <v>26/03/2026</v>
      </c>
      <c r="J4857" t="str">
        <f t="shared" si="884"/>
        <v>17/03/2026</v>
      </c>
      <c r="K4857">
        <v>46107</v>
      </c>
      <c r="N4857">
        <v>109</v>
      </c>
      <c r="O4857" t="s">
        <v>27</v>
      </c>
      <c r="Q4857">
        <v>1419</v>
      </c>
      <c r="R4857" t="str">
        <f>"FARMÁCIA INDIANA LJ 40 (10016)"</f>
        <v>FARMÁCIA INDIANA LJ 40 (10016)</v>
      </c>
      <c r="S4857" t="s">
        <v>37</v>
      </c>
      <c r="T4857">
        <v>32059</v>
      </c>
      <c r="U4857">
        <v>35234</v>
      </c>
      <c r="V4857" t="s">
        <v>37</v>
      </c>
    </row>
    <row r="4858" spans="1:22">
      <c r="A4858" t="str">
        <f t="shared" si="885"/>
        <v>26/03/2026</v>
      </c>
      <c r="B4858" t="str">
        <f t="shared" si="886"/>
        <v>SAÍDA</v>
      </c>
      <c r="C4858" t="str">
        <f t="shared" si="888"/>
        <v>PIX</v>
      </c>
      <c r="D4858" t="str">
        <f>"35235"</f>
        <v>35235</v>
      </c>
      <c r="E4858" t="str">
        <f t="shared" si="889"/>
        <v>1</v>
      </c>
      <c r="F4858" t="str">
        <f t="shared" si="883"/>
        <v>COM</v>
      </c>
      <c r="G4858" t="str">
        <f>"JEAN ARAÚJO SANTOS GERMANO (551)"</f>
        <v>JEAN ARAÚJO SANTOS GERMANO (551)</v>
      </c>
      <c r="H4858" t="str">
        <f>"Serv.Prest. 09/03/2026 a 15/03/2026 - PIX: CELULAR - CHAVE: (31) 99812-7173"</f>
        <v>Serv.Prest. 09/03/2026 a 15/03/2026 - PIX: CELULAR - CHAVE: (31) 99812-7173</v>
      </c>
      <c r="I4858" t="str">
        <f t="shared" si="887"/>
        <v>26/03/2026</v>
      </c>
      <c r="J4858" t="str">
        <f t="shared" si="884"/>
        <v>17/03/2026</v>
      </c>
      <c r="K4858" t="str">
        <f>("26/03/2026")</f>
        <v>26/03/2026</v>
      </c>
      <c r="L4858">
        <v>864</v>
      </c>
      <c r="M4858">
        <v>864</v>
      </c>
      <c r="N4858">
        <v>109</v>
      </c>
      <c r="O4858" t="str">
        <f>"PAGAMENTO DE ENTREGADORES"</f>
        <v>PAGAMENTO DE ENTREGADORES</v>
      </c>
      <c r="P4858">
        <v>864</v>
      </c>
      <c r="S4858" t="str">
        <f>"BANCO C6 (149)"</f>
        <v>BANCO C6 (149)</v>
      </c>
      <c r="T4858">
        <v>32060</v>
      </c>
      <c r="U4858">
        <v>35235</v>
      </c>
      <c r="V4858" t="s">
        <v>37</v>
      </c>
    </row>
    <row r="4859" spans="1:22">
      <c r="A4859" t="str">
        <f t="shared" si="885"/>
        <v>26/03/2026</v>
      </c>
      <c r="B4859" t="str">
        <f t="shared" si="886"/>
        <v>SAÍDA</v>
      </c>
      <c r="C4859" t="str">
        <f t="shared" si="888"/>
        <v>PIX</v>
      </c>
      <c r="D4859" t="str">
        <f>"35235"</f>
        <v>35235</v>
      </c>
      <c r="E4859" t="str">
        <f t="shared" si="889"/>
        <v>1</v>
      </c>
      <c r="F4859" t="str">
        <f t="shared" si="883"/>
        <v>COM</v>
      </c>
      <c r="G4859" t="str">
        <f>"JEAN ARAÚJO SANTOS GERMANO (551)"</f>
        <v>JEAN ARAÚJO SANTOS GERMANO (551)</v>
      </c>
      <c r="H4859" t="s">
        <v>1328</v>
      </c>
      <c r="I4859" t="str">
        <f t="shared" si="887"/>
        <v>26/03/2026</v>
      </c>
      <c r="J4859" t="str">
        <f t="shared" si="884"/>
        <v>17/03/2026</v>
      </c>
      <c r="K4859">
        <v>46107</v>
      </c>
      <c r="N4859">
        <v>109</v>
      </c>
      <c r="O4859" t="s">
        <v>27</v>
      </c>
      <c r="Q4859">
        <v>864</v>
      </c>
      <c r="R4859" t="str">
        <f>"FARMÁCIA INDIANA LJ 142 (10066)"</f>
        <v>FARMÁCIA INDIANA LJ 142 (10066)</v>
      </c>
      <c r="S4859" t="s">
        <v>37</v>
      </c>
      <c r="T4859">
        <v>32060</v>
      </c>
      <c r="U4859">
        <v>35235</v>
      </c>
      <c r="V4859" t="s">
        <v>37</v>
      </c>
    </row>
    <row r="4860" spans="1:22">
      <c r="A4860" t="str">
        <f t="shared" si="885"/>
        <v>26/03/2026</v>
      </c>
      <c r="B4860" t="str">
        <f t="shared" si="886"/>
        <v>SAÍDA</v>
      </c>
      <c r="C4860" t="str">
        <f t="shared" si="888"/>
        <v>PIX</v>
      </c>
      <c r="D4860" t="str">
        <f>"35236"</f>
        <v>35236</v>
      </c>
      <c r="E4860" t="str">
        <f t="shared" si="889"/>
        <v>1</v>
      </c>
      <c r="F4860" t="str">
        <f t="shared" si="883"/>
        <v>COM</v>
      </c>
      <c r="G4860" t="str">
        <f>"JEFERSON ANDRADE FERREIRA (165)"</f>
        <v>JEFERSON ANDRADE FERREIRA (165)</v>
      </c>
      <c r="H4860" t="str">
        <f>"Serv.Prest. 09/03/2026 a 15/03/2026 - PIX: CPF - CHAVE: 126.873.296-65"</f>
        <v>Serv.Prest. 09/03/2026 a 15/03/2026 - PIX: CPF - CHAVE: 126.873.296-65</v>
      </c>
      <c r="I4860" t="str">
        <f t="shared" si="887"/>
        <v>26/03/2026</v>
      </c>
      <c r="J4860" t="str">
        <f t="shared" si="884"/>
        <v>17/03/2026</v>
      </c>
      <c r="K4860" t="str">
        <f>("26/03/2026")</f>
        <v>26/03/2026</v>
      </c>
      <c r="L4860">
        <v>1182</v>
      </c>
      <c r="M4860">
        <v>1182</v>
      </c>
      <c r="N4860">
        <v>109</v>
      </c>
      <c r="O4860" t="str">
        <f>"PAGAMENTO DE ENTREGADORES"</f>
        <v>PAGAMENTO DE ENTREGADORES</v>
      </c>
      <c r="P4860">
        <v>1182</v>
      </c>
      <c r="S4860" t="str">
        <f>"BANCO C6 (149)"</f>
        <v>BANCO C6 (149)</v>
      </c>
      <c r="T4860">
        <v>32061</v>
      </c>
      <c r="U4860">
        <v>35236</v>
      </c>
      <c r="V4860" t="s">
        <v>37</v>
      </c>
    </row>
    <row r="4861" spans="1:22">
      <c r="A4861" t="str">
        <f t="shared" si="885"/>
        <v>26/03/2026</v>
      </c>
      <c r="B4861" t="str">
        <f t="shared" si="886"/>
        <v>SAÍDA</v>
      </c>
      <c r="C4861" t="str">
        <f t="shared" si="888"/>
        <v>PIX</v>
      </c>
      <c r="D4861" t="str">
        <f>"35236"</f>
        <v>35236</v>
      </c>
      <c r="E4861" t="str">
        <f t="shared" si="889"/>
        <v>1</v>
      </c>
      <c r="F4861" t="str">
        <f t="shared" si="883"/>
        <v>COM</v>
      </c>
      <c r="G4861" t="str">
        <f>"JEFERSON ANDRADE FERREIRA (165)"</f>
        <v>JEFERSON ANDRADE FERREIRA (165)</v>
      </c>
      <c r="H4861" t="s">
        <v>1329</v>
      </c>
      <c r="I4861" t="str">
        <f t="shared" si="887"/>
        <v>26/03/2026</v>
      </c>
      <c r="J4861" t="str">
        <f t="shared" si="884"/>
        <v>17/03/2026</v>
      </c>
      <c r="K4861">
        <v>46107</v>
      </c>
      <c r="N4861">
        <v>109</v>
      </c>
      <c r="O4861" t="s">
        <v>27</v>
      </c>
      <c r="Q4861">
        <v>1182</v>
      </c>
      <c r="R4861" t="str">
        <f>"FARMÁCIA INDIANA LJ 220 (10092)"</f>
        <v>FARMÁCIA INDIANA LJ 220 (10092)</v>
      </c>
      <c r="S4861" t="s">
        <v>37</v>
      </c>
      <c r="T4861">
        <v>32061</v>
      </c>
      <c r="U4861">
        <v>35236</v>
      </c>
      <c r="V4861" t="s">
        <v>37</v>
      </c>
    </row>
    <row r="4862" spans="1:22">
      <c r="A4862" t="str">
        <f t="shared" si="885"/>
        <v>26/03/2026</v>
      </c>
      <c r="B4862" t="str">
        <f t="shared" si="886"/>
        <v>SAÍDA</v>
      </c>
      <c r="C4862" t="str">
        <f t="shared" si="888"/>
        <v>PIX</v>
      </c>
      <c r="D4862" t="str">
        <f>"35237"</f>
        <v>35237</v>
      </c>
      <c r="E4862" t="str">
        <f t="shared" si="889"/>
        <v>1</v>
      </c>
      <c r="F4862" t="str">
        <f t="shared" si="883"/>
        <v>COM</v>
      </c>
      <c r="G4862" t="str">
        <f>"JEFERSON ANDRADE FERREIRA (165)"</f>
        <v>JEFERSON ANDRADE FERREIRA (165)</v>
      </c>
      <c r="H4862" t="str">
        <f>"Serv.Prest. 09/03/2026 a 15/03/2026 - PIX: CPF - CHAVE: 126.873.296-65"</f>
        <v>Serv.Prest. 09/03/2026 a 15/03/2026 - PIX: CPF - CHAVE: 126.873.296-65</v>
      </c>
      <c r="I4862" t="str">
        <f t="shared" si="887"/>
        <v>26/03/2026</v>
      </c>
      <c r="J4862" t="str">
        <f t="shared" si="884"/>
        <v>17/03/2026</v>
      </c>
      <c r="K4862" t="str">
        <f>("26/03/2026")</f>
        <v>26/03/2026</v>
      </c>
      <c r="L4862">
        <v>1392</v>
      </c>
      <c r="M4862">
        <v>1392</v>
      </c>
      <c r="N4862">
        <v>109</v>
      </c>
      <c r="O4862" t="str">
        <f>"PAGAMENTO DE ENTREGADORES"</f>
        <v>PAGAMENTO DE ENTREGADORES</v>
      </c>
      <c r="P4862">
        <v>1392</v>
      </c>
      <c r="S4862" t="str">
        <f>"BANCO C6 (149)"</f>
        <v>BANCO C6 (149)</v>
      </c>
      <c r="T4862">
        <v>32062</v>
      </c>
      <c r="U4862">
        <v>35237</v>
      </c>
      <c r="V4862" t="s">
        <v>37</v>
      </c>
    </row>
    <row r="4863" spans="1:22">
      <c r="A4863" t="str">
        <f t="shared" si="885"/>
        <v>26/03/2026</v>
      </c>
      <c r="B4863" t="str">
        <f t="shared" si="886"/>
        <v>SAÍDA</v>
      </c>
      <c r="C4863" t="str">
        <f t="shared" si="888"/>
        <v>PIX</v>
      </c>
      <c r="D4863" t="str">
        <f>"35237"</f>
        <v>35237</v>
      </c>
      <c r="E4863" t="str">
        <f t="shared" si="889"/>
        <v>1</v>
      </c>
      <c r="F4863" t="str">
        <f t="shared" si="883"/>
        <v>COM</v>
      </c>
      <c r="G4863" t="str">
        <f>"JEFERSON ANDRADE FERREIRA (165)"</f>
        <v>JEFERSON ANDRADE FERREIRA (165)</v>
      </c>
      <c r="H4863" t="s">
        <v>1329</v>
      </c>
      <c r="I4863" t="str">
        <f t="shared" si="887"/>
        <v>26/03/2026</v>
      </c>
      <c r="J4863" t="str">
        <f t="shared" si="884"/>
        <v>17/03/2026</v>
      </c>
      <c r="K4863">
        <v>46107</v>
      </c>
      <c r="N4863">
        <v>109</v>
      </c>
      <c r="O4863" t="s">
        <v>27</v>
      </c>
      <c r="Q4863">
        <v>1392</v>
      </c>
      <c r="R4863" t="str">
        <f>"FARMÁCIA INDIANA LJ 101 (10043)"</f>
        <v>FARMÁCIA INDIANA LJ 101 (10043)</v>
      </c>
      <c r="S4863" t="s">
        <v>37</v>
      </c>
      <c r="T4863">
        <v>32062</v>
      </c>
      <c r="U4863">
        <v>35237</v>
      </c>
      <c r="V4863" t="s">
        <v>37</v>
      </c>
    </row>
    <row r="4864" spans="1:22">
      <c r="A4864" t="str">
        <f t="shared" si="885"/>
        <v>26/03/2026</v>
      </c>
      <c r="B4864" t="str">
        <f t="shared" si="886"/>
        <v>SAÍDA</v>
      </c>
      <c r="C4864" t="str">
        <f t="shared" si="888"/>
        <v>PIX</v>
      </c>
      <c r="D4864" t="str">
        <f>"35238"</f>
        <v>35238</v>
      </c>
      <c r="E4864" t="str">
        <f t="shared" si="889"/>
        <v>1</v>
      </c>
      <c r="F4864" t="str">
        <f t="shared" si="883"/>
        <v>COM</v>
      </c>
      <c r="G4864" t="str">
        <f>"JEFERSON DE JESUS SANTOS (910)"</f>
        <v>JEFERSON DE JESUS SANTOS (910)</v>
      </c>
      <c r="H4864" t="str">
        <f>"Serv.Prest. 09/03/2026 a 15/03/2026 - PIX: CELULAR - CHAVE: (33) 98836-6015"</f>
        <v>Serv.Prest. 09/03/2026 a 15/03/2026 - PIX: CELULAR - CHAVE: (33) 98836-6015</v>
      </c>
      <c r="I4864" t="str">
        <f t="shared" si="887"/>
        <v>26/03/2026</v>
      </c>
      <c r="J4864" t="str">
        <f t="shared" si="884"/>
        <v>17/03/2026</v>
      </c>
      <c r="K4864" t="str">
        <f>("26/03/2026")</f>
        <v>26/03/2026</v>
      </c>
      <c r="L4864">
        <v>762</v>
      </c>
      <c r="M4864">
        <v>762</v>
      </c>
      <c r="N4864">
        <v>109</v>
      </c>
      <c r="O4864" t="str">
        <f>"PAGAMENTO DE ENTREGADORES"</f>
        <v>PAGAMENTO DE ENTREGADORES</v>
      </c>
      <c r="P4864">
        <v>762</v>
      </c>
      <c r="S4864" t="str">
        <f>"BANCO C6 (149)"</f>
        <v>BANCO C6 (149)</v>
      </c>
      <c r="T4864">
        <v>32063</v>
      </c>
      <c r="U4864">
        <v>35238</v>
      </c>
      <c r="V4864" t="s">
        <v>37</v>
      </c>
    </row>
    <row r="4865" spans="1:22">
      <c r="A4865" t="str">
        <f t="shared" si="885"/>
        <v>26/03/2026</v>
      </c>
      <c r="B4865" t="str">
        <f t="shared" si="886"/>
        <v>SAÍDA</v>
      </c>
      <c r="C4865" t="str">
        <f t="shared" si="888"/>
        <v>PIX</v>
      </c>
      <c r="D4865" t="str">
        <f>"35238"</f>
        <v>35238</v>
      </c>
      <c r="E4865" t="str">
        <f t="shared" si="889"/>
        <v>1</v>
      </c>
      <c r="F4865" t="str">
        <f t="shared" si="883"/>
        <v>COM</v>
      </c>
      <c r="G4865" t="str">
        <f>"JEFERSON DE JESUS SANTOS (910)"</f>
        <v>JEFERSON DE JESUS SANTOS (910)</v>
      </c>
      <c r="H4865" t="s">
        <v>1330</v>
      </c>
      <c r="I4865" t="str">
        <f t="shared" si="887"/>
        <v>26/03/2026</v>
      </c>
      <c r="J4865" t="str">
        <f t="shared" si="884"/>
        <v>17/03/2026</v>
      </c>
      <c r="K4865">
        <v>46107</v>
      </c>
      <c r="N4865">
        <v>109</v>
      </c>
      <c r="O4865" t="s">
        <v>27</v>
      </c>
      <c r="Q4865">
        <v>762</v>
      </c>
      <c r="R4865" t="str">
        <f>"FARMÁCIA INDIANA LJ 07 (10007)"</f>
        <v>FARMÁCIA INDIANA LJ 07 (10007)</v>
      </c>
      <c r="S4865" t="s">
        <v>37</v>
      </c>
      <c r="T4865">
        <v>32063</v>
      </c>
      <c r="U4865">
        <v>35238</v>
      </c>
      <c r="V4865" t="s">
        <v>37</v>
      </c>
    </row>
    <row r="4866" spans="1:22">
      <c r="A4866" t="str">
        <f t="shared" si="885"/>
        <v>26/03/2026</v>
      </c>
      <c r="B4866" t="str">
        <f t="shared" si="886"/>
        <v>SAÍDA</v>
      </c>
      <c r="C4866" t="str">
        <f t="shared" si="888"/>
        <v>PIX</v>
      </c>
      <c r="D4866" t="str">
        <f>"35239"</f>
        <v>35239</v>
      </c>
      <c r="E4866" t="str">
        <f t="shared" si="889"/>
        <v>1</v>
      </c>
      <c r="F4866" t="str">
        <f t="shared" ref="F4866:F4929" si="890">"COM"</f>
        <v>COM</v>
      </c>
      <c r="G4866" t="str">
        <f>"JHONANTAN LACERDA DE JESUS (142)"</f>
        <v>JHONANTAN LACERDA DE JESUS (142)</v>
      </c>
      <c r="H4866" t="str">
        <f>"Serv.Prest. 09/03/2026 a 15/03/2026 - PIX: E-MAIL - CHAVE: jhonantanlacerda@gmail.com"</f>
        <v>Serv.Prest. 09/03/2026 a 15/03/2026 - PIX: E-MAIL - CHAVE: jhonantanlacerda@gmail.com</v>
      </c>
      <c r="I4866" t="str">
        <f t="shared" si="887"/>
        <v>26/03/2026</v>
      </c>
      <c r="J4866" t="str">
        <f t="shared" si="884"/>
        <v>17/03/2026</v>
      </c>
      <c r="K4866" t="str">
        <f>("26/03/2026")</f>
        <v>26/03/2026</v>
      </c>
      <c r="L4866">
        <v>966</v>
      </c>
      <c r="M4866">
        <v>966</v>
      </c>
      <c r="N4866">
        <v>109</v>
      </c>
      <c r="O4866" t="str">
        <f>"PAGAMENTO DE ENTREGADORES"</f>
        <v>PAGAMENTO DE ENTREGADORES</v>
      </c>
      <c r="P4866">
        <v>966</v>
      </c>
      <c r="S4866" t="str">
        <f>"BANCO C6 (149)"</f>
        <v>BANCO C6 (149)</v>
      </c>
      <c r="T4866">
        <v>32064</v>
      </c>
      <c r="U4866">
        <v>35239</v>
      </c>
      <c r="V4866" t="s">
        <v>37</v>
      </c>
    </row>
    <row r="4867" spans="1:22">
      <c r="A4867" t="str">
        <f t="shared" si="885"/>
        <v>26/03/2026</v>
      </c>
      <c r="B4867" t="str">
        <f t="shared" si="886"/>
        <v>SAÍDA</v>
      </c>
      <c r="C4867" t="str">
        <f t="shared" si="888"/>
        <v>PIX</v>
      </c>
      <c r="D4867" t="str">
        <f>"35239"</f>
        <v>35239</v>
      </c>
      <c r="E4867" t="str">
        <f t="shared" si="889"/>
        <v>1</v>
      </c>
      <c r="F4867" t="str">
        <f t="shared" si="890"/>
        <v>COM</v>
      </c>
      <c r="G4867" t="str">
        <f>"JHONANTAN LACERDA DE JESUS (142)"</f>
        <v>JHONANTAN LACERDA DE JESUS (142)</v>
      </c>
      <c r="H4867" t="s">
        <v>1331</v>
      </c>
      <c r="I4867" t="str">
        <f t="shared" si="887"/>
        <v>26/03/2026</v>
      </c>
      <c r="J4867" t="str">
        <f t="shared" si="884"/>
        <v>17/03/2026</v>
      </c>
      <c r="K4867">
        <v>46107</v>
      </c>
      <c r="N4867">
        <v>109</v>
      </c>
      <c r="O4867" t="s">
        <v>27</v>
      </c>
      <c r="Q4867">
        <v>966</v>
      </c>
      <c r="R4867" t="str">
        <f>"FARMÁCIA INDIANA LJ 142 (10066)"</f>
        <v>FARMÁCIA INDIANA LJ 142 (10066)</v>
      </c>
      <c r="S4867" t="s">
        <v>37</v>
      </c>
      <c r="T4867">
        <v>32064</v>
      </c>
      <c r="U4867">
        <v>35239</v>
      </c>
      <c r="V4867" t="s">
        <v>37</v>
      </c>
    </row>
    <row r="4868" spans="1:22">
      <c r="A4868" t="str">
        <f t="shared" si="885"/>
        <v>26/03/2026</v>
      </c>
      <c r="B4868" t="str">
        <f t="shared" si="886"/>
        <v>SAÍDA</v>
      </c>
      <c r="C4868" t="str">
        <f t="shared" si="888"/>
        <v>PIX</v>
      </c>
      <c r="D4868" t="str">
        <f>"35240"</f>
        <v>35240</v>
      </c>
      <c r="E4868" t="str">
        <f t="shared" si="889"/>
        <v>1</v>
      </c>
      <c r="F4868" t="str">
        <f t="shared" si="890"/>
        <v>COM</v>
      </c>
      <c r="G4868" t="str">
        <f>"JOCIMAR VAZ FERREIRA (197)"</f>
        <v>JOCIMAR VAZ FERREIRA (197)</v>
      </c>
      <c r="H4868" t="str">
        <f>"Serv.Prest. 09/03/2026 a 15/03/2026 - PIX: CELULAR - CHAVE: (33) 99924-7557"</f>
        <v>Serv.Prest. 09/03/2026 a 15/03/2026 - PIX: CELULAR - CHAVE: (33) 99924-7557</v>
      </c>
      <c r="I4868" t="str">
        <f t="shared" si="887"/>
        <v>26/03/2026</v>
      </c>
      <c r="J4868" t="str">
        <f t="shared" si="884"/>
        <v>17/03/2026</v>
      </c>
      <c r="K4868" t="str">
        <f>("26/03/2026")</f>
        <v>26/03/2026</v>
      </c>
      <c r="L4868">
        <v>1200</v>
      </c>
      <c r="M4868">
        <v>1200</v>
      </c>
      <c r="N4868">
        <v>109</v>
      </c>
      <c r="O4868" t="str">
        <f>"PAGAMENTO DE ENTREGADORES"</f>
        <v>PAGAMENTO DE ENTREGADORES</v>
      </c>
      <c r="P4868">
        <v>1200</v>
      </c>
      <c r="S4868" t="str">
        <f>"BANCO C6 (149)"</f>
        <v>BANCO C6 (149)</v>
      </c>
      <c r="T4868">
        <v>32065</v>
      </c>
      <c r="U4868">
        <v>35240</v>
      </c>
      <c r="V4868" t="s">
        <v>37</v>
      </c>
    </row>
    <row r="4869" spans="1:22">
      <c r="A4869" t="str">
        <f t="shared" si="885"/>
        <v>26/03/2026</v>
      </c>
      <c r="B4869" t="str">
        <f t="shared" si="886"/>
        <v>SAÍDA</v>
      </c>
      <c r="C4869" t="str">
        <f t="shared" si="888"/>
        <v>PIX</v>
      </c>
      <c r="D4869" t="str">
        <f>"35240"</f>
        <v>35240</v>
      </c>
      <c r="E4869" t="str">
        <f t="shared" si="889"/>
        <v>1</v>
      </c>
      <c r="F4869" t="str">
        <f t="shared" si="890"/>
        <v>COM</v>
      </c>
      <c r="G4869" t="str">
        <f>"JOCIMAR VAZ FERREIRA (197)"</f>
        <v>JOCIMAR VAZ FERREIRA (197)</v>
      </c>
      <c r="H4869" t="s">
        <v>1332</v>
      </c>
      <c r="I4869" t="str">
        <f t="shared" si="887"/>
        <v>26/03/2026</v>
      </c>
      <c r="J4869" t="str">
        <f t="shared" si="884"/>
        <v>17/03/2026</v>
      </c>
      <c r="K4869">
        <v>46107</v>
      </c>
      <c r="N4869">
        <v>109</v>
      </c>
      <c r="O4869" t="s">
        <v>27</v>
      </c>
      <c r="Q4869">
        <v>1200</v>
      </c>
      <c r="R4869" t="str">
        <f>"FARMÁCIA INDIANA LJ 14 (10009)"</f>
        <v>FARMÁCIA INDIANA LJ 14 (10009)</v>
      </c>
      <c r="S4869" t="s">
        <v>37</v>
      </c>
      <c r="T4869">
        <v>32065</v>
      </c>
      <c r="U4869">
        <v>35240</v>
      </c>
      <c r="V4869" t="s">
        <v>37</v>
      </c>
    </row>
    <row r="4870" spans="1:22">
      <c r="A4870" t="str">
        <f t="shared" si="885"/>
        <v>26/03/2026</v>
      </c>
      <c r="B4870" t="str">
        <f t="shared" si="886"/>
        <v>SAÍDA</v>
      </c>
      <c r="C4870" t="str">
        <f t="shared" si="888"/>
        <v>PIX</v>
      </c>
      <c r="D4870" t="str">
        <f>"35241"</f>
        <v>35241</v>
      </c>
      <c r="E4870" t="str">
        <f t="shared" si="889"/>
        <v>1</v>
      </c>
      <c r="F4870" t="str">
        <f t="shared" si="890"/>
        <v>COM</v>
      </c>
      <c r="G4870" t="str">
        <f>"JOMAR GONÇALVES DIAS (16)"</f>
        <v>JOMAR GONÇALVES DIAS (16)</v>
      </c>
      <c r="H4870" t="str">
        <f>"Serv.Prest. 09/03/2026 a 15/03/2026 - PIX: CPF - CHAVE: 602.838.315-53"</f>
        <v>Serv.Prest. 09/03/2026 a 15/03/2026 - PIX: CPF - CHAVE: 602.838.315-53</v>
      </c>
      <c r="I4870" t="str">
        <f t="shared" si="887"/>
        <v>26/03/2026</v>
      </c>
      <c r="J4870" t="str">
        <f t="shared" si="884"/>
        <v>17/03/2026</v>
      </c>
      <c r="K4870" t="str">
        <f>("26/03/2026")</f>
        <v>26/03/2026</v>
      </c>
      <c r="L4870">
        <v>896.5</v>
      </c>
      <c r="M4870">
        <v>896.5</v>
      </c>
      <c r="N4870">
        <v>109</v>
      </c>
      <c r="O4870" t="str">
        <f>"PAGAMENTO DE ENTREGADORES"</f>
        <v>PAGAMENTO DE ENTREGADORES</v>
      </c>
      <c r="P4870">
        <v>896.5</v>
      </c>
      <c r="S4870" t="str">
        <f>"BANCO C6 (149)"</f>
        <v>BANCO C6 (149)</v>
      </c>
      <c r="T4870">
        <v>32066</v>
      </c>
      <c r="U4870">
        <v>35241</v>
      </c>
      <c r="V4870" t="s">
        <v>37</v>
      </c>
    </row>
    <row r="4871" spans="1:22">
      <c r="A4871" t="str">
        <f t="shared" si="885"/>
        <v>26/03/2026</v>
      </c>
      <c r="B4871" t="str">
        <f t="shared" si="886"/>
        <v>SAÍDA</v>
      </c>
      <c r="C4871" t="str">
        <f t="shared" si="888"/>
        <v>PIX</v>
      </c>
      <c r="D4871" t="str">
        <f>"35241"</f>
        <v>35241</v>
      </c>
      <c r="E4871" t="str">
        <f t="shared" si="889"/>
        <v>1</v>
      </c>
      <c r="F4871" t="str">
        <f t="shared" si="890"/>
        <v>COM</v>
      </c>
      <c r="G4871" t="str">
        <f>"JOMAR GONÇALVES DIAS (16)"</f>
        <v>JOMAR GONÇALVES DIAS (16)</v>
      </c>
      <c r="H4871" t="s">
        <v>1333</v>
      </c>
      <c r="I4871" t="str">
        <f t="shared" si="887"/>
        <v>26/03/2026</v>
      </c>
      <c r="J4871" t="str">
        <f t="shared" si="884"/>
        <v>17/03/2026</v>
      </c>
      <c r="K4871">
        <v>46107</v>
      </c>
      <c r="N4871">
        <v>109</v>
      </c>
      <c r="O4871" t="s">
        <v>27</v>
      </c>
      <c r="Q4871">
        <v>896.5</v>
      </c>
      <c r="R4871" t="str">
        <f>"FARMÁCIA INDIANA LJ 61 (10027)"</f>
        <v>FARMÁCIA INDIANA LJ 61 (10027)</v>
      </c>
      <c r="S4871" t="s">
        <v>37</v>
      </c>
      <c r="T4871">
        <v>32066</v>
      </c>
      <c r="U4871">
        <v>35241</v>
      </c>
      <c r="V4871" t="s">
        <v>37</v>
      </c>
    </row>
    <row r="4872" spans="1:22">
      <c r="A4872" t="str">
        <f t="shared" si="885"/>
        <v>26/03/2026</v>
      </c>
      <c r="B4872" t="str">
        <f t="shared" si="886"/>
        <v>SAÍDA</v>
      </c>
      <c r="C4872" t="str">
        <f t="shared" si="888"/>
        <v>PIX</v>
      </c>
      <c r="D4872" t="str">
        <f>"35242"</f>
        <v>35242</v>
      </c>
      <c r="E4872" t="str">
        <f t="shared" si="889"/>
        <v>1</v>
      </c>
      <c r="F4872" t="str">
        <f t="shared" si="890"/>
        <v>COM</v>
      </c>
      <c r="G4872" t="str">
        <f>"JOSÉ CARLOS DA COSTA (83)"</f>
        <v>JOSÉ CARLOS DA COSTA (83)</v>
      </c>
      <c r="H4872" t="str">
        <f>"Serv.Prest. 09/03/2026 a 15/03/2026 - PIX: E-MAIL - CHAVE: jcarlosctga36@hotmail.com"</f>
        <v>Serv.Prest. 09/03/2026 a 15/03/2026 - PIX: E-MAIL - CHAVE: jcarlosctga36@hotmail.com</v>
      </c>
      <c r="I4872" t="str">
        <f t="shared" si="887"/>
        <v>26/03/2026</v>
      </c>
      <c r="J4872" t="str">
        <f t="shared" si="884"/>
        <v>17/03/2026</v>
      </c>
      <c r="K4872" t="str">
        <f>("26/03/2026")</f>
        <v>26/03/2026</v>
      </c>
      <c r="L4872">
        <v>612</v>
      </c>
      <c r="M4872">
        <v>612</v>
      </c>
      <c r="N4872">
        <v>109</v>
      </c>
      <c r="O4872" t="str">
        <f>"PAGAMENTO DE ENTREGADORES"</f>
        <v>PAGAMENTO DE ENTREGADORES</v>
      </c>
      <c r="P4872">
        <v>612</v>
      </c>
      <c r="S4872" t="str">
        <f>"BANCO C6 (149)"</f>
        <v>BANCO C6 (149)</v>
      </c>
      <c r="T4872">
        <v>32067</v>
      </c>
      <c r="U4872">
        <v>35242</v>
      </c>
      <c r="V4872" t="s">
        <v>37</v>
      </c>
    </row>
    <row r="4873" spans="1:22">
      <c r="A4873" t="str">
        <f t="shared" si="885"/>
        <v>26/03/2026</v>
      </c>
      <c r="B4873" t="str">
        <f t="shared" si="886"/>
        <v>SAÍDA</v>
      </c>
      <c r="C4873" t="str">
        <f t="shared" si="888"/>
        <v>PIX</v>
      </c>
      <c r="D4873" t="str">
        <f>"35242"</f>
        <v>35242</v>
      </c>
      <c r="E4873" t="str">
        <f t="shared" si="889"/>
        <v>1</v>
      </c>
      <c r="F4873" t="str">
        <f t="shared" si="890"/>
        <v>COM</v>
      </c>
      <c r="G4873" t="str">
        <f>"JOSÉ CARLOS DA COSTA (83)"</f>
        <v>JOSÉ CARLOS DA COSTA (83)</v>
      </c>
      <c r="H4873" t="s">
        <v>1334</v>
      </c>
      <c r="I4873" t="str">
        <f t="shared" si="887"/>
        <v>26/03/2026</v>
      </c>
      <c r="J4873" t="str">
        <f t="shared" si="884"/>
        <v>17/03/2026</v>
      </c>
      <c r="K4873">
        <v>46107</v>
      </c>
      <c r="N4873">
        <v>109</v>
      </c>
      <c r="O4873" t="s">
        <v>27</v>
      </c>
      <c r="Q4873">
        <v>612</v>
      </c>
      <c r="R4873" t="str">
        <f>"FARMÁCIA INDIANA LJ 152 (10069)"</f>
        <v>FARMÁCIA INDIANA LJ 152 (10069)</v>
      </c>
      <c r="S4873" t="s">
        <v>37</v>
      </c>
      <c r="T4873">
        <v>32067</v>
      </c>
      <c r="U4873">
        <v>35242</v>
      </c>
      <c r="V4873" t="s">
        <v>37</v>
      </c>
    </row>
    <row r="4874" spans="1:22">
      <c r="A4874" t="str">
        <f t="shared" si="885"/>
        <v>26/03/2026</v>
      </c>
      <c r="B4874" t="str">
        <f t="shared" si="886"/>
        <v>SAÍDA</v>
      </c>
      <c r="C4874" t="str">
        <f t="shared" si="888"/>
        <v>PIX</v>
      </c>
      <c r="D4874" t="str">
        <f>"35244"</f>
        <v>35244</v>
      </c>
      <c r="E4874" t="str">
        <f t="shared" si="889"/>
        <v>1</v>
      </c>
      <c r="F4874" t="str">
        <f t="shared" si="890"/>
        <v>COM</v>
      </c>
      <c r="G4874" t="str">
        <f>"JUBER FERREIRA SILVA BASTOS (192)"</f>
        <v>JUBER FERREIRA SILVA BASTOS (192)</v>
      </c>
      <c r="H4874" t="str">
        <f>"Serv.Prest. 09/03/2026 a 15/03/2026 - PIX: CPF - CHAVE: 012.459.366-62"</f>
        <v>Serv.Prest. 09/03/2026 a 15/03/2026 - PIX: CPF - CHAVE: 012.459.366-62</v>
      </c>
      <c r="I4874" t="str">
        <f t="shared" si="887"/>
        <v>26/03/2026</v>
      </c>
      <c r="J4874" t="str">
        <f t="shared" si="884"/>
        <v>17/03/2026</v>
      </c>
      <c r="K4874" t="str">
        <f>("26/03/2026")</f>
        <v>26/03/2026</v>
      </c>
      <c r="L4874">
        <v>1050</v>
      </c>
      <c r="M4874">
        <v>1050</v>
      </c>
      <c r="N4874">
        <v>109</v>
      </c>
      <c r="O4874" t="str">
        <f>"PAGAMENTO DE ENTREGADORES"</f>
        <v>PAGAMENTO DE ENTREGADORES</v>
      </c>
      <c r="P4874">
        <v>1050</v>
      </c>
      <c r="S4874" t="str">
        <f>"BANCO C6 (149)"</f>
        <v>BANCO C6 (149)</v>
      </c>
      <c r="T4874">
        <v>32068</v>
      </c>
      <c r="U4874">
        <v>35244</v>
      </c>
      <c r="V4874" t="s">
        <v>37</v>
      </c>
    </row>
    <row r="4875" spans="1:22">
      <c r="A4875" t="str">
        <f t="shared" si="885"/>
        <v>26/03/2026</v>
      </c>
      <c r="B4875" t="str">
        <f t="shared" si="886"/>
        <v>SAÍDA</v>
      </c>
      <c r="C4875" t="str">
        <f t="shared" si="888"/>
        <v>PIX</v>
      </c>
      <c r="D4875" t="str">
        <f>"35244"</f>
        <v>35244</v>
      </c>
      <c r="E4875" t="str">
        <f t="shared" si="889"/>
        <v>1</v>
      </c>
      <c r="F4875" t="str">
        <f t="shared" si="890"/>
        <v>COM</v>
      </c>
      <c r="G4875" t="str">
        <f>"JUBER FERREIRA SILVA BASTOS (192)"</f>
        <v>JUBER FERREIRA SILVA BASTOS (192)</v>
      </c>
      <c r="H4875" t="s">
        <v>1335</v>
      </c>
      <c r="I4875" t="str">
        <f t="shared" si="887"/>
        <v>26/03/2026</v>
      </c>
      <c r="J4875" t="str">
        <f t="shared" si="884"/>
        <v>17/03/2026</v>
      </c>
      <c r="K4875">
        <v>46107</v>
      </c>
      <c r="N4875">
        <v>109</v>
      </c>
      <c r="O4875" t="s">
        <v>27</v>
      </c>
      <c r="Q4875">
        <v>1050</v>
      </c>
      <c r="R4875" t="str">
        <f>"FARMÁCIA INDIANA LJ 14 (10009)"</f>
        <v>FARMÁCIA INDIANA LJ 14 (10009)</v>
      </c>
      <c r="S4875" t="s">
        <v>37</v>
      </c>
      <c r="T4875">
        <v>32068</v>
      </c>
      <c r="U4875">
        <v>35244</v>
      </c>
      <c r="V4875" t="s">
        <v>37</v>
      </c>
    </row>
    <row r="4876" spans="1:22">
      <c r="A4876" t="str">
        <f t="shared" si="885"/>
        <v>26/03/2026</v>
      </c>
      <c r="B4876" t="str">
        <f t="shared" si="886"/>
        <v>SAÍDA</v>
      </c>
      <c r="C4876" t="str">
        <f t="shared" si="888"/>
        <v>PIX</v>
      </c>
      <c r="D4876" t="str">
        <f>"35245"</f>
        <v>35245</v>
      </c>
      <c r="E4876" t="str">
        <f t="shared" si="889"/>
        <v>1</v>
      </c>
      <c r="F4876" t="str">
        <f t="shared" si="890"/>
        <v>COM</v>
      </c>
      <c r="G4876" t="str">
        <f>"JUBER FERREIRA SILVA BASTOS (192)"</f>
        <v>JUBER FERREIRA SILVA BASTOS (192)</v>
      </c>
      <c r="H4876" t="str">
        <f>"Serv.Prest. 09/03/2026 a 15/03/2026 - PIX: CPF - CHAVE: 012.459.366-62"</f>
        <v>Serv.Prest. 09/03/2026 a 15/03/2026 - PIX: CPF - CHAVE: 012.459.366-62</v>
      </c>
      <c r="I4876" t="str">
        <f t="shared" si="887"/>
        <v>26/03/2026</v>
      </c>
      <c r="J4876" t="str">
        <f t="shared" si="884"/>
        <v>17/03/2026</v>
      </c>
      <c r="K4876" t="str">
        <f>("26/03/2026")</f>
        <v>26/03/2026</v>
      </c>
      <c r="L4876">
        <v>60</v>
      </c>
      <c r="M4876">
        <v>60</v>
      </c>
      <c r="N4876">
        <v>109</v>
      </c>
      <c r="O4876" t="str">
        <f>"PAGAMENTO DE ENTREGADORES"</f>
        <v>PAGAMENTO DE ENTREGADORES</v>
      </c>
      <c r="P4876">
        <v>60</v>
      </c>
      <c r="S4876" t="str">
        <f>"BANCO C6 (149)"</f>
        <v>BANCO C6 (149)</v>
      </c>
      <c r="T4876">
        <v>32069</v>
      </c>
      <c r="U4876">
        <v>35245</v>
      </c>
      <c r="V4876" t="s">
        <v>37</v>
      </c>
    </row>
    <row r="4877" spans="1:22">
      <c r="A4877" t="str">
        <f t="shared" si="885"/>
        <v>26/03/2026</v>
      </c>
      <c r="B4877" t="str">
        <f t="shared" si="886"/>
        <v>SAÍDA</v>
      </c>
      <c r="C4877" t="str">
        <f t="shared" si="888"/>
        <v>PIX</v>
      </c>
      <c r="D4877" t="str">
        <f>"35245"</f>
        <v>35245</v>
      </c>
      <c r="E4877" t="str">
        <f t="shared" si="889"/>
        <v>1</v>
      </c>
      <c r="F4877" t="str">
        <f t="shared" si="890"/>
        <v>COM</v>
      </c>
      <c r="G4877" t="str">
        <f>"JUBER FERREIRA SILVA BASTOS (192)"</f>
        <v>JUBER FERREIRA SILVA BASTOS (192)</v>
      </c>
      <c r="H4877" t="s">
        <v>1335</v>
      </c>
      <c r="I4877" t="str">
        <f t="shared" si="887"/>
        <v>26/03/2026</v>
      </c>
      <c r="J4877" t="str">
        <f t="shared" si="884"/>
        <v>17/03/2026</v>
      </c>
      <c r="K4877">
        <v>46107</v>
      </c>
      <c r="N4877">
        <v>109</v>
      </c>
      <c r="O4877" t="s">
        <v>27</v>
      </c>
      <c r="Q4877">
        <v>60</v>
      </c>
      <c r="R4877" t="str">
        <f>"FARMÁCIA INDIANA LJ 06 (10006)"</f>
        <v>FARMÁCIA INDIANA LJ 06 (10006)</v>
      </c>
      <c r="S4877" t="s">
        <v>37</v>
      </c>
      <c r="T4877">
        <v>32069</v>
      </c>
      <c r="U4877">
        <v>35245</v>
      </c>
      <c r="V4877" t="s">
        <v>37</v>
      </c>
    </row>
    <row r="4878" spans="1:22">
      <c r="A4878" t="str">
        <f t="shared" si="885"/>
        <v>26/03/2026</v>
      </c>
      <c r="B4878" t="str">
        <f t="shared" si="886"/>
        <v>SAÍDA</v>
      </c>
      <c r="C4878" t="str">
        <f t="shared" si="888"/>
        <v>PIX</v>
      </c>
      <c r="D4878" t="str">
        <f>"35246"</f>
        <v>35246</v>
      </c>
      <c r="E4878" t="str">
        <f t="shared" si="889"/>
        <v>1</v>
      </c>
      <c r="F4878" t="str">
        <f t="shared" si="890"/>
        <v>COM</v>
      </c>
      <c r="G4878" t="str">
        <f>"JUNIO DE ANDRADE ARRUDA (145)"</f>
        <v>JUNIO DE ANDRADE ARRUDA (145)</v>
      </c>
      <c r="H4878" t="str">
        <f>"Serv.Prest. 09/03/2026 a 15/03/2026 - PIX: CELULAR - CHAVE: (31) 98674-8323"</f>
        <v>Serv.Prest. 09/03/2026 a 15/03/2026 - PIX: CELULAR - CHAVE: (31) 98674-8323</v>
      </c>
      <c r="I4878" t="str">
        <f t="shared" si="887"/>
        <v>26/03/2026</v>
      </c>
      <c r="J4878" t="str">
        <f t="shared" ref="J4878:J4941" si="891">("17/03/2026")</f>
        <v>17/03/2026</v>
      </c>
      <c r="K4878" t="str">
        <f>("26/03/2026")</f>
        <v>26/03/2026</v>
      </c>
      <c r="L4878">
        <v>1188</v>
      </c>
      <c r="M4878">
        <v>1188</v>
      </c>
      <c r="N4878">
        <v>109</v>
      </c>
      <c r="O4878" t="str">
        <f>"PAGAMENTO DE ENTREGADORES"</f>
        <v>PAGAMENTO DE ENTREGADORES</v>
      </c>
      <c r="P4878">
        <v>1188</v>
      </c>
      <c r="S4878" t="str">
        <f>"BANCO C6 (149)"</f>
        <v>BANCO C6 (149)</v>
      </c>
      <c r="T4878">
        <v>32070</v>
      </c>
      <c r="U4878">
        <v>35246</v>
      </c>
      <c r="V4878" t="s">
        <v>37</v>
      </c>
    </row>
    <row r="4879" spans="1:22">
      <c r="A4879" t="str">
        <f t="shared" si="885"/>
        <v>26/03/2026</v>
      </c>
      <c r="B4879" t="str">
        <f t="shared" si="886"/>
        <v>SAÍDA</v>
      </c>
      <c r="C4879" t="str">
        <f t="shared" si="888"/>
        <v>PIX</v>
      </c>
      <c r="D4879" t="str">
        <f>"35246"</f>
        <v>35246</v>
      </c>
      <c r="E4879" t="str">
        <f t="shared" si="889"/>
        <v>1</v>
      </c>
      <c r="F4879" t="str">
        <f t="shared" si="890"/>
        <v>COM</v>
      </c>
      <c r="G4879" t="str">
        <f>"JUNIO DE ANDRADE ARRUDA (145)"</f>
        <v>JUNIO DE ANDRADE ARRUDA (145)</v>
      </c>
      <c r="H4879" t="s">
        <v>1336</v>
      </c>
      <c r="I4879" t="str">
        <f t="shared" si="887"/>
        <v>26/03/2026</v>
      </c>
      <c r="J4879" t="str">
        <f t="shared" si="891"/>
        <v>17/03/2026</v>
      </c>
      <c r="K4879">
        <v>46107</v>
      </c>
      <c r="N4879">
        <v>109</v>
      </c>
      <c r="O4879" t="s">
        <v>27</v>
      </c>
      <c r="Q4879">
        <v>1188</v>
      </c>
      <c r="R4879" t="str">
        <f>"FARMÁCIA INDIANA LJ 19 (10012)"</f>
        <v>FARMÁCIA INDIANA LJ 19 (10012)</v>
      </c>
      <c r="S4879" t="s">
        <v>37</v>
      </c>
      <c r="T4879">
        <v>32070</v>
      </c>
      <c r="U4879">
        <v>35246</v>
      </c>
      <c r="V4879" t="s">
        <v>37</v>
      </c>
    </row>
    <row r="4880" spans="1:22">
      <c r="A4880" t="str">
        <f t="shared" si="885"/>
        <v>26/03/2026</v>
      </c>
      <c r="B4880" t="str">
        <f t="shared" si="886"/>
        <v>SAÍDA</v>
      </c>
      <c r="C4880" t="str">
        <f t="shared" si="888"/>
        <v>PIX</v>
      </c>
      <c r="D4880" t="str">
        <f>"35247"</f>
        <v>35247</v>
      </c>
      <c r="E4880" t="str">
        <f t="shared" si="889"/>
        <v>1</v>
      </c>
      <c r="F4880" t="str">
        <f t="shared" si="890"/>
        <v>COM</v>
      </c>
      <c r="G4880" t="str">
        <f>"JUNIOR DOS SANTOS MACHADO (240)"</f>
        <v>JUNIOR DOS SANTOS MACHADO (240)</v>
      </c>
      <c r="H4880" t="str">
        <f>"Serv.Prest. 09/03/2026 a 15/03/2026 - PIX: E-MAIL - CHAVE: juninhomachado789@gmail.com"</f>
        <v>Serv.Prest. 09/03/2026 a 15/03/2026 - PIX: E-MAIL - CHAVE: juninhomachado789@gmail.com</v>
      </c>
      <c r="I4880" t="str">
        <f t="shared" si="887"/>
        <v>26/03/2026</v>
      </c>
      <c r="J4880" t="str">
        <f t="shared" si="891"/>
        <v>17/03/2026</v>
      </c>
      <c r="K4880" t="str">
        <f>("26/03/2026")</f>
        <v>26/03/2026</v>
      </c>
      <c r="L4880">
        <v>855.5</v>
      </c>
      <c r="M4880">
        <v>855.5</v>
      </c>
      <c r="N4880">
        <v>109</v>
      </c>
      <c r="O4880" t="str">
        <f>"PAGAMENTO DE ENTREGADORES"</f>
        <v>PAGAMENTO DE ENTREGADORES</v>
      </c>
      <c r="P4880">
        <v>855.5</v>
      </c>
      <c r="S4880" t="str">
        <f>"BANCO C6 (149)"</f>
        <v>BANCO C6 (149)</v>
      </c>
      <c r="T4880">
        <v>32071</v>
      </c>
      <c r="U4880">
        <v>35247</v>
      </c>
      <c r="V4880" t="s">
        <v>37</v>
      </c>
    </row>
    <row r="4881" spans="1:22">
      <c r="A4881" t="str">
        <f t="shared" si="885"/>
        <v>26/03/2026</v>
      </c>
      <c r="B4881" t="str">
        <f t="shared" si="886"/>
        <v>SAÍDA</v>
      </c>
      <c r="C4881" t="str">
        <f t="shared" si="888"/>
        <v>PIX</v>
      </c>
      <c r="D4881" t="str">
        <f>"35247"</f>
        <v>35247</v>
      </c>
      <c r="E4881" t="str">
        <f t="shared" si="889"/>
        <v>1</v>
      </c>
      <c r="F4881" t="str">
        <f t="shared" si="890"/>
        <v>COM</v>
      </c>
      <c r="G4881" t="str">
        <f>"JUNIOR DOS SANTOS MACHADO (240)"</f>
        <v>JUNIOR DOS SANTOS MACHADO (240)</v>
      </c>
      <c r="H4881" t="s">
        <v>1202</v>
      </c>
      <c r="I4881" t="str">
        <f t="shared" si="887"/>
        <v>26/03/2026</v>
      </c>
      <c r="J4881" t="str">
        <f t="shared" si="891"/>
        <v>17/03/2026</v>
      </c>
      <c r="K4881">
        <v>46107</v>
      </c>
      <c r="N4881">
        <v>109</v>
      </c>
      <c r="O4881" t="s">
        <v>27</v>
      </c>
      <c r="Q4881">
        <v>855.5</v>
      </c>
      <c r="R4881" t="str">
        <f>"FARMÁCIA INDIANA LJ 62 (10028)"</f>
        <v>FARMÁCIA INDIANA LJ 62 (10028)</v>
      </c>
      <c r="S4881" t="s">
        <v>37</v>
      </c>
      <c r="T4881">
        <v>32071</v>
      </c>
      <c r="U4881">
        <v>35247</v>
      </c>
      <c r="V4881" t="s">
        <v>37</v>
      </c>
    </row>
    <row r="4882" spans="1:22">
      <c r="A4882" t="str">
        <f t="shared" si="885"/>
        <v>26/03/2026</v>
      </c>
      <c r="B4882" t="str">
        <f t="shared" si="886"/>
        <v>SAÍDA</v>
      </c>
      <c r="C4882" t="str">
        <f t="shared" si="888"/>
        <v>PIX</v>
      </c>
      <c r="D4882" t="str">
        <f>"35249"</f>
        <v>35249</v>
      </c>
      <c r="E4882" t="str">
        <f t="shared" si="889"/>
        <v>1</v>
      </c>
      <c r="F4882" t="str">
        <f t="shared" si="890"/>
        <v>COM</v>
      </c>
      <c r="G4882" t="str">
        <f>"KALESSON BARROSO DIAS (216)"</f>
        <v>KALESSON BARROSO DIAS (216)</v>
      </c>
      <c r="H4882" t="str">
        <f>"Serv.Prest. 09/03/2026 a 15/03/2026 - PIX: CELULAR - CHAVE: (33) 99106-9330"</f>
        <v>Serv.Prest. 09/03/2026 a 15/03/2026 - PIX: CELULAR - CHAVE: (33) 99106-9330</v>
      </c>
      <c r="I4882" t="str">
        <f t="shared" si="887"/>
        <v>26/03/2026</v>
      </c>
      <c r="J4882" t="str">
        <f t="shared" si="891"/>
        <v>17/03/2026</v>
      </c>
      <c r="K4882" t="str">
        <f>("26/03/2026")</f>
        <v>26/03/2026</v>
      </c>
      <c r="L4882">
        <v>1080</v>
      </c>
      <c r="M4882">
        <v>1080</v>
      </c>
      <c r="N4882">
        <v>109</v>
      </c>
      <c r="O4882" t="str">
        <f>"PAGAMENTO DE ENTREGADORES"</f>
        <v>PAGAMENTO DE ENTREGADORES</v>
      </c>
      <c r="P4882">
        <v>1080</v>
      </c>
      <c r="S4882" t="str">
        <f>"BANCO C6 (149)"</f>
        <v>BANCO C6 (149)</v>
      </c>
      <c r="T4882">
        <v>32072</v>
      </c>
      <c r="U4882">
        <v>35249</v>
      </c>
      <c r="V4882" t="s">
        <v>37</v>
      </c>
    </row>
    <row r="4883" spans="1:22">
      <c r="A4883" t="str">
        <f t="shared" si="885"/>
        <v>26/03/2026</v>
      </c>
      <c r="B4883" t="str">
        <f t="shared" si="886"/>
        <v>SAÍDA</v>
      </c>
      <c r="C4883" t="str">
        <f t="shared" si="888"/>
        <v>PIX</v>
      </c>
      <c r="D4883" t="str">
        <f>"35249"</f>
        <v>35249</v>
      </c>
      <c r="E4883" t="str">
        <f t="shared" si="889"/>
        <v>1</v>
      </c>
      <c r="F4883" t="str">
        <f t="shared" si="890"/>
        <v>COM</v>
      </c>
      <c r="G4883" t="str">
        <f>"KALESSON BARROSO DIAS (216)"</f>
        <v>KALESSON BARROSO DIAS (216)</v>
      </c>
      <c r="H4883" t="s">
        <v>1337</v>
      </c>
      <c r="I4883" t="str">
        <f t="shared" si="887"/>
        <v>26/03/2026</v>
      </c>
      <c r="J4883" t="str">
        <f t="shared" si="891"/>
        <v>17/03/2026</v>
      </c>
      <c r="K4883">
        <v>46107</v>
      </c>
      <c r="N4883">
        <v>109</v>
      </c>
      <c r="O4883" t="s">
        <v>27</v>
      </c>
      <c r="Q4883">
        <v>1080</v>
      </c>
      <c r="R4883" t="str">
        <f>"FARMÁCIA INDIANA LJ 06 (10006)"</f>
        <v>FARMÁCIA INDIANA LJ 06 (10006)</v>
      </c>
      <c r="S4883" t="s">
        <v>37</v>
      </c>
      <c r="T4883">
        <v>32072</v>
      </c>
      <c r="U4883">
        <v>35249</v>
      </c>
      <c r="V4883" t="s">
        <v>37</v>
      </c>
    </row>
    <row r="4884" spans="1:22">
      <c r="A4884" t="str">
        <f t="shared" si="885"/>
        <v>26/03/2026</v>
      </c>
      <c r="B4884" t="str">
        <f t="shared" si="886"/>
        <v>SAÍDA</v>
      </c>
      <c r="C4884" t="str">
        <f t="shared" si="888"/>
        <v>PIX</v>
      </c>
      <c r="D4884" t="str">
        <f>"35250"</f>
        <v>35250</v>
      </c>
      <c r="E4884" t="str">
        <f t="shared" si="889"/>
        <v>1</v>
      </c>
      <c r="F4884" t="str">
        <f t="shared" si="890"/>
        <v>COM</v>
      </c>
      <c r="G4884" t="str">
        <f>"LAMARK FERREIRA DE AMORIM (625)"</f>
        <v>LAMARK FERREIRA DE AMORIM (625)</v>
      </c>
      <c r="H4884" t="str">
        <f>"Serv.Prest. 09/03/2026 a 15/03/2026 - PIX: CPF - CHAVE: 057.893.536-81"</f>
        <v>Serv.Prest. 09/03/2026 a 15/03/2026 - PIX: CPF - CHAVE: 057.893.536-81</v>
      </c>
      <c r="I4884" t="str">
        <f t="shared" si="887"/>
        <v>26/03/2026</v>
      </c>
      <c r="J4884" t="str">
        <f t="shared" si="891"/>
        <v>17/03/2026</v>
      </c>
      <c r="K4884" t="str">
        <f>("26/03/2026")</f>
        <v>26/03/2026</v>
      </c>
      <c r="L4884">
        <v>1056</v>
      </c>
      <c r="M4884">
        <v>1056</v>
      </c>
      <c r="N4884">
        <v>109</v>
      </c>
      <c r="O4884" t="str">
        <f>"PAGAMENTO DE ENTREGADORES"</f>
        <v>PAGAMENTO DE ENTREGADORES</v>
      </c>
      <c r="P4884">
        <v>1056</v>
      </c>
      <c r="S4884" t="str">
        <f>"BANCO C6 (149)"</f>
        <v>BANCO C6 (149)</v>
      </c>
      <c r="T4884">
        <v>32073</v>
      </c>
      <c r="U4884">
        <v>35250</v>
      </c>
      <c r="V4884" t="s">
        <v>37</v>
      </c>
    </row>
    <row r="4885" spans="1:22">
      <c r="A4885" t="str">
        <f t="shared" si="885"/>
        <v>26/03/2026</v>
      </c>
      <c r="B4885" t="str">
        <f t="shared" si="886"/>
        <v>SAÍDA</v>
      </c>
      <c r="C4885" t="str">
        <f t="shared" si="888"/>
        <v>PIX</v>
      </c>
      <c r="D4885" t="str">
        <f>"35250"</f>
        <v>35250</v>
      </c>
      <c r="E4885" t="str">
        <f t="shared" si="889"/>
        <v>1</v>
      </c>
      <c r="F4885" t="str">
        <f t="shared" si="890"/>
        <v>COM</v>
      </c>
      <c r="G4885" t="str">
        <f>"LAMARK FERREIRA DE AMORIM (625)"</f>
        <v>LAMARK FERREIRA DE AMORIM (625)</v>
      </c>
      <c r="H4885" t="s">
        <v>1338</v>
      </c>
      <c r="I4885" t="str">
        <f t="shared" si="887"/>
        <v>26/03/2026</v>
      </c>
      <c r="J4885" t="str">
        <f t="shared" si="891"/>
        <v>17/03/2026</v>
      </c>
      <c r="K4885">
        <v>46107</v>
      </c>
      <c r="N4885">
        <v>109</v>
      </c>
      <c r="O4885" t="s">
        <v>27</v>
      </c>
      <c r="Q4885">
        <v>1056</v>
      </c>
      <c r="R4885" t="str">
        <f>"FARMÁCIA INDIANA LJ 07 (10007)"</f>
        <v>FARMÁCIA INDIANA LJ 07 (10007)</v>
      </c>
      <c r="S4885" t="s">
        <v>37</v>
      </c>
      <c r="T4885">
        <v>32073</v>
      </c>
      <c r="U4885">
        <v>35250</v>
      </c>
      <c r="V4885" t="s">
        <v>37</v>
      </c>
    </row>
    <row r="4886" spans="1:22">
      <c r="A4886" t="str">
        <f t="shared" si="885"/>
        <v>26/03/2026</v>
      </c>
      <c r="B4886" t="str">
        <f t="shared" si="886"/>
        <v>SAÍDA</v>
      </c>
      <c r="C4886" t="str">
        <f t="shared" si="888"/>
        <v>PIX</v>
      </c>
      <c r="D4886" t="str">
        <f>"35251"</f>
        <v>35251</v>
      </c>
      <c r="E4886" t="str">
        <f t="shared" si="889"/>
        <v>1</v>
      </c>
      <c r="F4886" t="str">
        <f t="shared" si="890"/>
        <v>COM</v>
      </c>
      <c r="G4886" t="str">
        <f>"LEANDRO BARBOSA RIBEIRO (742)"</f>
        <v>LEANDRO BARBOSA RIBEIRO (742)</v>
      </c>
      <c r="H4886" t="str">
        <f>"Serv.Prest. 09/03/2026 a 15/03/2026 - PIX: CELULAR - CHAVE: (31) 97145-0796"</f>
        <v>Serv.Prest. 09/03/2026 a 15/03/2026 - PIX: CELULAR - CHAVE: (31) 97145-0796</v>
      </c>
      <c r="I4886" t="str">
        <f t="shared" si="887"/>
        <v>26/03/2026</v>
      </c>
      <c r="J4886" t="str">
        <f t="shared" si="891"/>
        <v>17/03/2026</v>
      </c>
      <c r="K4886" t="str">
        <f>("26/03/2026")</f>
        <v>26/03/2026</v>
      </c>
      <c r="L4886">
        <v>954</v>
      </c>
      <c r="M4886">
        <v>954</v>
      </c>
      <c r="N4886">
        <v>109</v>
      </c>
      <c r="O4886" t="str">
        <f>"PAGAMENTO DE ENTREGADORES"</f>
        <v>PAGAMENTO DE ENTREGADORES</v>
      </c>
      <c r="P4886">
        <v>954</v>
      </c>
      <c r="S4886" t="str">
        <f>"BANCO C6 (149)"</f>
        <v>BANCO C6 (149)</v>
      </c>
      <c r="T4886">
        <v>32074</v>
      </c>
      <c r="U4886">
        <v>35251</v>
      </c>
      <c r="V4886" t="s">
        <v>37</v>
      </c>
    </row>
    <row r="4887" spans="1:22">
      <c r="A4887" t="str">
        <f t="shared" si="885"/>
        <v>26/03/2026</v>
      </c>
      <c r="B4887" t="str">
        <f t="shared" si="886"/>
        <v>SAÍDA</v>
      </c>
      <c r="C4887" t="str">
        <f t="shared" si="888"/>
        <v>PIX</v>
      </c>
      <c r="D4887" t="str">
        <f>"35251"</f>
        <v>35251</v>
      </c>
      <c r="E4887" t="str">
        <f t="shared" si="889"/>
        <v>1</v>
      </c>
      <c r="F4887" t="str">
        <f t="shared" si="890"/>
        <v>COM</v>
      </c>
      <c r="G4887" t="str">
        <f>"LEANDRO BARBOSA RIBEIRO (742)"</f>
        <v>LEANDRO BARBOSA RIBEIRO (742)</v>
      </c>
      <c r="H4887" t="s">
        <v>1339</v>
      </c>
      <c r="I4887" t="str">
        <f t="shared" si="887"/>
        <v>26/03/2026</v>
      </c>
      <c r="J4887" t="str">
        <f t="shared" si="891"/>
        <v>17/03/2026</v>
      </c>
      <c r="K4887">
        <v>46107</v>
      </c>
      <c r="N4887">
        <v>109</v>
      </c>
      <c r="O4887" t="s">
        <v>27</v>
      </c>
      <c r="Q4887">
        <v>954</v>
      </c>
      <c r="R4887" t="str">
        <f>"FARMÁCIA INDIANA LJ 172 (10161)"</f>
        <v>FARMÁCIA INDIANA LJ 172 (10161)</v>
      </c>
      <c r="S4887" t="s">
        <v>37</v>
      </c>
      <c r="T4887">
        <v>32074</v>
      </c>
      <c r="U4887">
        <v>35251</v>
      </c>
      <c r="V4887" t="s">
        <v>37</v>
      </c>
    </row>
    <row r="4888" spans="1:22">
      <c r="A4888" t="str">
        <f t="shared" ref="A4888:A4951" si="892">("26/03/2026")</f>
        <v>26/03/2026</v>
      </c>
      <c r="B4888" t="str">
        <f t="shared" si="886"/>
        <v>SAÍDA</v>
      </c>
      <c r="C4888" t="str">
        <f t="shared" si="888"/>
        <v>PIX</v>
      </c>
      <c r="D4888" t="str">
        <f>"35252"</f>
        <v>35252</v>
      </c>
      <c r="E4888" t="str">
        <f t="shared" si="889"/>
        <v>1</v>
      </c>
      <c r="F4888" t="str">
        <f t="shared" si="890"/>
        <v>COM</v>
      </c>
      <c r="G4888" t="str">
        <f>"LEANDRO BARBOSA RIBEIRO (742)"</f>
        <v>LEANDRO BARBOSA RIBEIRO (742)</v>
      </c>
      <c r="H4888" t="str">
        <f>"Serv.Prest. 09/03/2026 a 15/03/2026 - PIX: CELULAR - CHAVE: (31) 97145-0796"</f>
        <v>Serv.Prest. 09/03/2026 a 15/03/2026 - PIX: CELULAR - CHAVE: (31) 97145-0796</v>
      </c>
      <c r="I4888" t="str">
        <f t="shared" si="887"/>
        <v>26/03/2026</v>
      </c>
      <c r="J4888" t="str">
        <f t="shared" si="891"/>
        <v>17/03/2026</v>
      </c>
      <c r="K4888" t="str">
        <f>("26/03/2026")</f>
        <v>26/03/2026</v>
      </c>
      <c r="L4888">
        <v>282</v>
      </c>
      <c r="M4888">
        <v>282</v>
      </c>
      <c r="N4888">
        <v>109</v>
      </c>
      <c r="O4888" t="str">
        <f>"PAGAMENTO DE ENTREGADORES"</f>
        <v>PAGAMENTO DE ENTREGADORES</v>
      </c>
      <c r="P4888">
        <v>282</v>
      </c>
      <c r="S4888" t="str">
        <f>"BANCO C6 (149)"</f>
        <v>BANCO C6 (149)</v>
      </c>
      <c r="T4888">
        <v>32075</v>
      </c>
      <c r="U4888">
        <v>35252</v>
      </c>
      <c r="V4888" t="s">
        <v>37</v>
      </c>
    </row>
    <row r="4889" spans="1:22">
      <c r="A4889" t="str">
        <f t="shared" si="892"/>
        <v>26/03/2026</v>
      </c>
      <c r="B4889" t="str">
        <f t="shared" si="886"/>
        <v>SAÍDA</v>
      </c>
      <c r="C4889" t="str">
        <f t="shared" si="888"/>
        <v>PIX</v>
      </c>
      <c r="D4889" t="str">
        <f>"35252"</f>
        <v>35252</v>
      </c>
      <c r="E4889" t="str">
        <f t="shared" si="889"/>
        <v>1</v>
      </c>
      <c r="F4889" t="str">
        <f t="shared" si="890"/>
        <v>COM</v>
      </c>
      <c r="G4889" t="str">
        <f>"LEANDRO BARBOSA RIBEIRO (742)"</f>
        <v>LEANDRO BARBOSA RIBEIRO (742)</v>
      </c>
      <c r="H4889" t="s">
        <v>1339</v>
      </c>
      <c r="I4889" t="str">
        <f t="shared" si="887"/>
        <v>26/03/2026</v>
      </c>
      <c r="J4889" t="str">
        <f t="shared" si="891"/>
        <v>17/03/2026</v>
      </c>
      <c r="K4889">
        <v>46107</v>
      </c>
      <c r="N4889">
        <v>109</v>
      </c>
      <c r="O4889" t="s">
        <v>27</v>
      </c>
      <c r="Q4889">
        <v>282</v>
      </c>
      <c r="R4889" t="str">
        <f>"FARMÁCIA INDIANA LJ 11 (10008)"</f>
        <v>FARMÁCIA INDIANA LJ 11 (10008)</v>
      </c>
      <c r="S4889" t="s">
        <v>37</v>
      </c>
      <c r="T4889">
        <v>32075</v>
      </c>
      <c r="U4889">
        <v>35252</v>
      </c>
      <c r="V4889" t="s">
        <v>37</v>
      </c>
    </row>
    <row r="4890" spans="1:22">
      <c r="A4890" t="str">
        <f t="shared" si="892"/>
        <v>26/03/2026</v>
      </c>
      <c r="B4890" t="str">
        <f t="shared" si="886"/>
        <v>SAÍDA</v>
      </c>
      <c r="C4890" t="str">
        <f t="shared" si="888"/>
        <v>PIX</v>
      </c>
      <c r="D4890" t="str">
        <f>"35253"</f>
        <v>35253</v>
      </c>
      <c r="E4890" t="str">
        <f t="shared" si="889"/>
        <v>1</v>
      </c>
      <c r="F4890" t="str">
        <f t="shared" si="890"/>
        <v>COM</v>
      </c>
      <c r="G4890" t="str">
        <f>"LUAN DOS SANTOS NUNES (719)"</f>
        <v>LUAN DOS SANTOS NUNES (719)</v>
      </c>
      <c r="H4890" t="str">
        <f>"Serv.Prest. 09/03/2026 a 15/03/2026 - PIX: CELULAR - CHAVE: (33) 98749-4693"</f>
        <v>Serv.Prest. 09/03/2026 a 15/03/2026 - PIX: CELULAR - CHAVE: (33) 98749-4693</v>
      </c>
      <c r="I4890" t="str">
        <f t="shared" si="887"/>
        <v>26/03/2026</v>
      </c>
      <c r="J4890" t="str">
        <f t="shared" si="891"/>
        <v>17/03/2026</v>
      </c>
      <c r="K4890" t="str">
        <f>("26/03/2026")</f>
        <v>26/03/2026</v>
      </c>
      <c r="L4890">
        <v>1666</v>
      </c>
      <c r="M4890">
        <v>1666</v>
      </c>
      <c r="N4890">
        <v>109</v>
      </c>
      <c r="O4890" t="str">
        <f>"PAGAMENTO DE ENTREGADORES"</f>
        <v>PAGAMENTO DE ENTREGADORES</v>
      </c>
      <c r="P4890">
        <v>1666</v>
      </c>
      <c r="S4890" t="str">
        <f>"BANCO C6 (149)"</f>
        <v>BANCO C6 (149)</v>
      </c>
      <c r="T4890">
        <v>32076</v>
      </c>
      <c r="U4890">
        <v>35253</v>
      </c>
      <c r="V4890" t="s">
        <v>37</v>
      </c>
    </row>
    <row r="4891" spans="1:22">
      <c r="A4891" t="str">
        <f t="shared" si="892"/>
        <v>26/03/2026</v>
      </c>
      <c r="B4891" t="str">
        <f t="shared" si="886"/>
        <v>SAÍDA</v>
      </c>
      <c r="C4891" t="str">
        <f t="shared" si="888"/>
        <v>PIX</v>
      </c>
      <c r="D4891" t="str">
        <f>"35253"</f>
        <v>35253</v>
      </c>
      <c r="E4891" t="str">
        <f t="shared" si="889"/>
        <v>1</v>
      </c>
      <c r="F4891" t="str">
        <f t="shared" si="890"/>
        <v>COM</v>
      </c>
      <c r="G4891" t="str">
        <f>"LUAN DOS SANTOS NUNES (719)"</f>
        <v>LUAN DOS SANTOS NUNES (719)</v>
      </c>
      <c r="H4891" t="s">
        <v>910</v>
      </c>
      <c r="I4891" t="str">
        <f t="shared" si="887"/>
        <v>26/03/2026</v>
      </c>
      <c r="J4891" t="str">
        <f t="shared" si="891"/>
        <v>17/03/2026</v>
      </c>
      <c r="K4891">
        <v>46107</v>
      </c>
      <c r="N4891">
        <v>109</v>
      </c>
      <c r="O4891" t="s">
        <v>27</v>
      </c>
      <c r="Q4891">
        <v>1666</v>
      </c>
      <c r="R4891" t="str">
        <f>"FARMÁCIA INDIANA LJ 61 (10027)"</f>
        <v>FARMÁCIA INDIANA LJ 61 (10027)</v>
      </c>
      <c r="S4891" t="s">
        <v>37</v>
      </c>
      <c r="T4891">
        <v>32076</v>
      </c>
      <c r="U4891">
        <v>35253</v>
      </c>
      <c r="V4891" t="s">
        <v>37</v>
      </c>
    </row>
    <row r="4892" spans="1:22">
      <c r="A4892" t="str">
        <f t="shared" si="892"/>
        <v>26/03/2026</v>
      </c>
      <c r="B4892" t="str">
        <f t="shared" si="886"/>
        <v>SAÍDA</v>
      </c>
      <c r="C4892" t="str">
        <f t="shared" si="888"/>
        <v>PIX</v>
      </c>
      <c r="D4892" t="str">
        <f>"35254"</f>
        <v>35254</v>
      </c>
      <c r="E4892" t="str">
        <f t="shared" si="889"/>
        <v>1</v>
      </c>
      <c r="F4892" t="str">
        <f t="shared" si="890"/>
        <v>COM</v>
      </c>
      <c r="G4892" t="str">
        <f>"LUAN VICTOR SERQUEIRA DA SILVA (577)"</f>
        <v>LUAN VICTOR SERQUEIRA DA SILVA (577)</v>
      </c>
      <c r="H4892" t="str">
        <f>"Serv.Prest. 09/03/2026 a 15/03/2026 - PIX: CNPJ - CHAVE: 58.302.826/0001-95"</f>
        <v>Serv.Prest. 09/03/2026 a 15/03/2026 - PIX: CNPJ - CHAVE: 58.302.826/0001-95</v>
      </c>
      <c r="I4892" t="str">
        <f t="shared" si="887"/>
        <v>26/03/2026</v>
      </c>
      <c r="J4892" t="str">
        <f t="shared" si="891"/>
        <v>17/03/2026</v>
      </c>
      <c r="K4892" t="str">
        <f>("26/03/2026")</f>
        <v>26/03/2026</v>
      </c>
      <c r="L4892">
        <v>698.5</v>
      </c>
      <c r="M4892">
        <v>698.5</v>
      </c>
      <c r="N4892">
        <v>109</v>
      </c>
      <c r="O4892" t="str">
        <f>"PAGAMENTO DE ENTREGADORES"</f>
        <v>PAGAMENTO DE ENTREGADORES</v>
      </c>
      <c r="P4892">
        <v>698.5</v>
      </c>
      <c r="S4892" t="str">
        <f>"BANCO C6 (149)"</f>
        <v>BANCO C6 (149)</v>
      </c>
      <c r="T4892">
        <v>32077</v>
      </c>
      <c r="U4892">
        <v>35254</v>
      </c>
      <c r="V4892" t="s">
        <v>37</v>
      </c>
    </row>
    <row r="4893" spans="1:22">
      <c r="A4893" t="str">
        <f t="shared" si="892"/>
        <v>26/03/2026</v>
      </c>
      <c r="B4893" t="str">
        <f t="shared" si="886"/>
        <v>SAÍDA</v>
      </c>
      <c r="C4893" t="str">
        <f t="shared" si="888"/>
        <v>PIX</v>
      </c>
      <c r="D4893" t="str">
        <f>"35254"</f>
        <v>35254</v>
      </c>
      <c r="E4893" t="str">
        <f t="shared" si="889"/>
        <v>1</v>
      </c>
      <c r="F4893" t="str">
        <f t="shared" si="890"/>
        <v>COM</v>
      </c>
      <c r="G4893" t="str">
        <f>"LUAN VICTOR SERQUEIRA DA SILVA (577)"</f>
        <v>LUAN VICTOR SERQUEIRA DA SILVA (577)</v>
      </c>
      <c r="H4893" t="s">
        <v>1340</v>
      </c>
      <c r="I4893" t="str">
        <f t="shared" si="887"/>
        <v>26/03/2026</v>
      </c>
      <c r="J4893" t="str">
        <f t="shared" si="891"/>
        <v>17/03/2026</v>
      </c>
      <c r="K4893">
        <v>46107</v>
      </c>
      <c r="N4893">
        <v>109</v>
      </c>
      <c r="O4893" t="s">
        <v>27</v>
      </c>
      <c r="Q4893">
        <v>698.5</v>
      </c>
      <c r="R4893" t="str">
        <f>"FARMÁCIA INDIANA LJ 202 (10085)"</f>
        <v>FARMÁCIA INDIANA LJ 202 (10085)</v>
      </c>
      <c r="S4893" t="s">
        <v>37</v>
      </c>
      <c r="T4893">
        <v>32077</v>
      </c>
      <c r="U4893">
        <v>35254</v>
      </c>
      <c r="V4893" t="s">
        <v>37</v>
      </c>
    </row>
    <row r="4894" spans="1:22">
      <c r="A4894" t="str">
        <f t="shared" si="892"/>
        <v>26/03/2026</v>
      </c>
      <c r="B4894" t="str">
        <f t="shared" si="886"/>
        <v>SAÍDA</v>
      </c>
      <c r="C4894" t="str">
        <f t="shared" si="888"/>
        <v>PIX</v>
      </c>
      <c r="D4894" t="str">
        <f>"35255"</f>
        <v>35255</v>
      </c>
      <c r="E4894" t="str">
        <f t="shared" si="889"/>
        <v>1</v>
      </c>
      <c r="F4894" t="str">
        <f t="shared" si="890"/>
        <v>COM</v>
      </c>
      <c r="G4894" t="str">
        <f>"LUCAS BARBOSA RIBEIRO (1348)"</f>
        <v>LUCAS BARBOSA RIBEIRO (1348)</v>
      </c>
      <c r="H4894" t="str">
        <f>"Serv.Prest. 09/03/2026 a 15/03/2026 - PIX: CPF - CHAVE: 022.635.946-80"</f>
        <v>Serv.Prest. 09/03/2026 a 15/03/2026 - PIX: CPF - CHAVE: 022.635.946-80</v>
      </c>
      <c r="I4894" t="str">
        <f t="shared" si="887"/>
        <v>26/03/2026</v>
      </c>
      <c r="J4894" t="str">
        <f t="shared" si="891"/>
        <v>17/03/2026</v>
      </c>
      <c r="K4894" t="str">
        <f>("26/03/2026")</f>
        <v>26/03/2026</v>
      </c>
      <c r="L4894">
        <v>700.7</v>
      </c>
      <c r="M4894">
        <v>700.7</v>
      </c>
      <c r="N4894">
        <v>109</v>
      </c>
      <c r="O4894" t="str">
        <f>"PAGAMENTO DE ENTREGADORES"</f>
        <v>PAGAMENTO DE ENTREGADORES</v>
      </c>
      <c r="P4894">
        <v>700.7</v>
      </c>
      <c r="S4894" t="str">
        <f>"BANCO C6 (149)"</f>
        <v>BANCO C6 (149)</v>
      </c>
      <c r="T4894">
        <v>32078</v>
      </c>
      <c r="U4894">
        <v>35255</v>
      </c>
      <c r="V4894" t="s">
        <v>37</v>
      </c>
    </row>
    <row r="4895" spans="1:22">
      <c r="A4895" t="str">
        <f t="shared" si="892"/>
        <v>26/03/2026</v>
      </c>
      <c r="B4895" t="str">
        <f t="shared" si="886"/>
        <v>SAÍDA</v>
      </c>
      <c r="C4895" t="str">
        <f t="shared" si="888"/>
        <v>PIX</v>
      </c>
      <c r="D4895" t="str">
        <f>"35255"</f>
        <v>35255</v>
      </c>
      <c r="E4895" t="str">
        <f t="shared" si="889"/>
        <v>1</v>
      </c>
      <c r="F4895" t="str">
        <f t="shared" si="890"/>
        <v>COM</v>
      </c>
      <c r="G4895" t="str">
        <f>"LUCAS BARBOSA RIBEIRO (1348)"</f>
        <v>LUCAS BARBOSA RIBEIRO (1348)</v>
      </c>
      <c r="H4895" t="s">
        <v>1341</v>
      </c>
      <c r="I4895" t="str">
        <f t="shared" si="887"/>
        <v>26/03/2026</v>
      </c>
      <c r="J4895" t="str">
        <f t="shared" si="891"/>
        <v>17/03/2026</v>
      </c>
      <c r="K4895">
        <v>46107</v>
      </c>
      <c r="N4895">
        <v>109</v>
      </c>
      <c r="O4895" t="s">
        <v>27</v>
      </c>
      <c r="Q4895">
        <v>700.7</v>
      </c>
      <c r="R4895" t="str">
        <f>"FARMÁCIA INDIANA LJ 100 (10042)"</f>
        <v>FARMÁCIA INDIANA LJ 100 (10042)</v>
      </c>
      <c r="S4895" t="s">
        <v>37</v>
      </c>
      <c r="T4895">
        <v>32078</v>
      </c>
      <c r="U4895">
        <v>35255</v>
      </c>
      <c r="V4895" t="s">
        <v>37</v>
      </c>
    </row>
    <row r="4896" spans="1:22">
      <c r="A4896" t="str">
        <f t="shared" si="892"/>
        <v>26/03/2026</v>
      </c>
      <c r="B4896" t="str">
        <f t="shared" si="886"/>
        <v>SAÍDA</v>
      </c>
      <c r="C4896" t="str">
        <f t="shared" si="888"/>
        <v>PIX</v>
      </c>
      <c r="D4896" t="str">
        <f>"35256"</f>
        <v>35256</v>
      </c>
      <c r="E4896" t="str">
        <f t="shared" si="889"/>
        <v>1</v>
      </c>
      <c r="F4896" t="str">
        <f t="shared" si="890"/>
        <v>COM</v>
      </c>
      <c r="G4896" t="str">
        <f>"LUCAS FERREIRA DOS SANTOS (868)"</f>
        <v>LUCAS FERREIRA DOS SANTOS (868)</v>
      </c>
      <c r="H4896" t="str">
        <f>"Serv.Prest. 09/03/2026 a 15/03/2026 - PIX: CELULAR - CHAVE: (33) 99172-0627"</f>
        <v>Serv.Prest. 09/03/2026 a 15/03/2026 - PIX: CELULAR - CHAVE: (33) 99172-0627</v>
      </c>
      <c r="I4896" t="str">
        <f t="shared" si="887"/>
        <v>26/03/2026</v>
      </c>
      <c r="J4896" t="str">
        <f t="shared" si="891"/>
        <v>17/03/2026</v>
      </c>
      <c r="K4896" t="str">
        <f>("26/03/2026")</f>
        <v>26/03/2026</v>
      </c>
      <c r="L4896">
        <v>1080</v>
      </c>
      <c r="M4896">
        <v>1080</v>
      </c>
      <c r="N4896">
        <v>109</v>
      </c>
      <c r="O4896" t="str">
        <f>"PAGAMENTO DE ENTREGADORES"</f>
        <v>PAGAMENTO DE ENTREGADORES</v>
      </c>
      <c r="P4896">
        <v>1080</v>
      </c>
      <c r="S4896" t="str">
        <f>"BANCO C6 (149)"</f>
        <v>BANCO C6 (149)</v>
      </c>
      <c r="T4896">
        <v>32079</v>
      </c>
      <c r="U4896">
        <v>35256</v>
      </c>
      <c r="V4896" t="s">
        <v>37</v>
      </c>
    </row>
    <row r="4897" spans="1:22">
      <c r="A4897" t="str">
        <f t="shared" si="892"/>
        <v>26/03/2026</v>
      </c>
      <c r="B4897" t="str">
        <f t="shared" si="886"/>
        <v>SAÍDA</v>
      </c>
      <c r="C4897" t="str">
        <f t="shared" si="888"/>
        <v>PIX</v>
      </c>
      <c r="D4897" t="str">
        <f>"35256"</f>
        <v>35256</v>
      </c>
      <c r="E4897" t="str">
        <f t="shared" si="889"/>
        <v>1</v>
      </c>
      <c r="F4897" t="str">
        <f t="shared" si="890"/>
        <v>COM</v>
      </c>
      <c r="G4897" t="str">
        <f>"LUCAS FERREIRA DOS SANTOS (868)"</f>
        <v>LUCAS FERREIRA DOS SANTOS (868)</v>
      </c>
      <c r="H4897" t="s">
        <v>1342</v>
      </c>
      <c r="I4897" t="str">
        <f t="shared" si="887"/>
        <v>26/03/2026</v>
      </c>
      <c r="J4897" t="str">
        <f t="shared" si="891"/>
        <v>17/03/2026</v>
      </c>
      <c r="K4897">
        <v>46107</v>
      </c>
      <c r="N4897">
        <v>109</v>
      </c>
      <c r="O4897" t="s">
        <v>27</v>
      </c>
      <c r="Q4897">
        <v>1080</v>
      </c>
      <c r="R4897" t="str">
        <f>"FARMÁCIA INDIANA LJ 06 (10006)"</f>
        <v>FARMÁCIA INDIANA LJ 06 (10006)</v>
      </c>
      <c r="S4897" t="s">
        <v>37</v>
      </c>
      <c r="T4897">
        <v>32079</v>
      </c>
      <c r="U4897">
        <v>35256</v>
      </c>
      <c r="V4897" t="s">
        <v>37</v>
      </c>
    </row>
    <row r="4898" spans="1:22">
      <c r="A4898" t="str">
        <f t="shared" si="892"/>
        <v>26/03/2026</v>
      </c>
      <c r="B4898" t="str">
        <f t="shared" si="886"/>
        <v>SAÍDA</v>
      </c>
      <c r="C4898" t="str">
        <f t="shared" si="888"/>
        <v>PIX</v>
      </c>
      <c r="D4898" t="str">
        <f>"35258"</f>
        <v>35258</v>
      </c>
      <c r="E4898" t="str">
        <f t="shared" si="889"/>
        <v>1</v>
      </c>
      <c r="F4898" t="str">
        <f t="shared" si="890"/>
        <v>COM</v>
      </c>
      <c r="G4898" t="str">
        <f>"LUIZ ALVES MARTINS (40)"</f>
        <v>LUIZ ALVES MARTINS (40)</v>
      </c>
      <c r="H4898" t="str">
        <f>"Serv.Prest. 09/03/2026 a 15/03/2026 - PIX: CELULAR - CHAVE: (33) 99981-6650"</f>
        <v>Serv.Prest. 09/03/2026 a 15/03/2026 - PIX: CELULAR - CHAVE: (33) 99981-6650</v>
      </c>
      <c r="I4898" t="str">
        <f t="shared" si="887"/>
        <v>26/03/2026</v>
      </c>
      <c r="J4898" t="str">
        <f t="shared" si="891"/>
        <v>17/03/2026</v>
      </c>
      <c r="K4898" t="str">
        <f>("26/03/2026")</f>
        <v>26/03/2026</v>
      </c>
      <c r="L4898">
        <v>1206</v>
      </c>
      <c r="M4898">
        <v>1206</v>
      </c>
      <c r="N4898">
        <v>109</v>
      </c>
      <c r="O4898" t="str">
        <f>"PAGAMENTO DE ENTREGADORES"</f>
        <v>PAGAMENTO DE ENTREGADORES</v>
      </c>
      <c r="P4898">
        <v>1206</v>
      </c>
      <c r="S4898" t="str">
        <f>"BANCO C6 (149)"</f>
        <v>BANCO C6 (149)</v>
      </c>
      <c r="T4898">
        <v>32080</v>
      </c>
      <c r="U4898">
        <v>35258</v>
      </c>
      <c r="V4898" t="s">
        <v>37</v>
      </c>
    </row>
    <row r="4899" spans="1:22">
      <c r="A4899" t="str">
        <f t="shared" si="892"/>
        <v>26/03/2026</v>
      </c>
      <c r="B4899" t="str">
        <f t="shared" si="886"/>
        <v>SAÍDA</v>
      </c>
      <c r="C4899" t="str">
        <f t="shared" si="888"/>
        <v>PIX</v>
      </c>
      <c r="D4899" t="str">
        <f>"35258"</f>
        <v>35258</v>
      </c>
      <c r="E4899" t="str">
        <f t="shared" si="889"/>
        <v>1</v>
      </c>
      <c r="F4899" t="str">
        <f t="shared" si="890"/>
        <v>COM</v>
      </c>
      <c r="G4899" t="str">
        <f>"LUIZ ALVES MARTINS (40)"</f>
        <v>LUIZ ALVES MARTINS (40)</v>
      </c>
      <c r="H4899" t="s">
        <v>1343</v>
      </c>
      <c r="I4899" t="str">
        <f t="shared" si="887"/>
        <v>26/03/2026</v>
      </c>
      <c r="J4899" t="str">
        <f t="shared" si="891"/>
        <v>17/03/2026</v>
      </c>
      <c r="K4899">
        <v>46107</v>
      </c>
      <c r="N4899">
        <v>109</v>
      </c>
      <c r="O4899" t="s">
        <v>27</v>
      </c>
      <c r="Q4899">
        <v>1206</v>
      </c>
      <c r="R4899" t="str">
        <f>"FARMÁCIA INDIANA LJ 11 (10008)"</f>
        <v>FARMÁCIA INDIANA LJ 11 (10008)</v>
      </c>
      <c r="S4899" t="s">
        <v>37</v>
      </c>
      <c r="T4899">
        <v>32080</v>
      </c>
      <c r="U4899">
        <v>35258</v>
      </c>
      <c r="V4899" t="s">
        <v>37</v>
      </c>
    </row>
    <row r="4900" spans="1:22">
      <c r="A4900" t="str">
        <f t="shared" si="892"/>
        <v>26/03/2026</v>
      </c>
      <c r="B4900" t="str">
        <f t="shared" si="886"/>
        <v>SAÍDA</v>
      </c>
      <c r="C4900" t="str">
        <f t="shared" si="888"/>
        <v>PIX</v>
      </c>
      <c r="D4900" t="str">
        <f>"35259"</f>
        <v>35259</v>
      </c>
      <c r="E4900" t="str">
        <f t="shared" si="889"/>
        <v>1</v>
      </c>
      <c r="F4900" t="str">
        <f t="shared" si="890"/>
        <v>COM</v>
      </c>
      <c r="G4900" t="str">
        <f>"LUIZ EDUARDO VIANA BRITO (878)"</f>
        <v>LUIZ EDUARDO VIANA BRITO (878)</v>
      </c>
      <c r="H4900" t="str">
        <f>"Serv.Prest. 09/03/2026 a 15/03/2026 - PIX: CPF - CHAVE: 101.220.976-88"</f>
        <v>Serv.Prest. 09/03/2026 a 15/03/2026 - PIX: CPF - CHAVE: 101.220.976-88</v>
      </c>
      <c r="I4900" t="str">
        <f t="shared" si="887"/>
        <v>26/03/2026</v>
      </c>
      <c r="J4900" t="str">
        <f t="shared" si="891"/>
        <v>17/03/2026</v>
      </c>
      <c r="K4900" t="str">
        <f>("26/03/2026")</f>
        <v>26/03/2026</v>
      </c>
      <c r="L4900">
        <v>1341.5</v>
      </c>
      <c r="M4900">
        <v>1341.5</v>
      </c>
      <c r="N4900">
        <v>109</v>
      </c>
      <c r="O4900" t="str">
        <f>"PAGAMENTO DE ENTREGADORES"</f>
        <v>PAGAMENTO DE ENTREGADORES</v>
      </c>
      <c r="P4900">
        <v>1341.5</v>
      </c>
      <c r="S4900" t="str">
        <f>"BANCO C6 (149)"</f>
        <v>BANCO C6 (149)</v>
      </c>
      <c r="T4900">
        <v>32081</v>
      </c>
      <c r="U4900">
        <v>35259</v>
      </c>
      <c r="V4900" t="s">
        <v>37</v>
      </c>
    </row>
    <row r="4901" spans="1:22">
      <c r="A4901" t="str">
        <f t="shared" si="892"/>
        <v>26/03/2026</v>
      </c>
      <c r="B4901" t="str">
        <f t="shared" si="886"/>
        <v>SAÍDA</v>
      </c>
      <c r="C4901" t="str">
        <f t="shared" si="888"/>
        <v>PIX</v>
      </c>
      <c r="D4901" t="str">
        <f>"35259"</f>
        <v>35259</v>
      </c>
      <c r="E4901" t="str">
        <f t="shared" si="889"/>
        <v>1</v>
      </c>
      <c r="F4901" t="str">
        <f t="shared" si="890"/>
        <v>COM</v>
      </c>
      <c r="G4901" t="str">
        <f>"LUIZ EDUARDO VIANA BRITO (878)"</f>
        <v>LUIZ EDUARDO VIANA BRITO (878)</v>
      </c>
      <c r="H4901" t="s">
        <v>908</v>
      </c>
      <c r="I4901" t="str">
        <f t="shared" si="887"/>
        <v>26/03/2026</v>
      </c>
      <c r="J4901" t="str">
        <f t="shared" si="891"/>
        <v>17/03/2026</v>
      </c>
      <c r="K4901">
        <v>46107</v>
      </c>
      <c r="N4901">
        <v>109</v>
      </c>
      <c r="O4901" t="s">
        <v>27</v>
      </c>
      <c r="Q4901">
        <v>1341.5</v>
      </c>
      <c r="R4901" t="str">
        <f>"FARMÁCIA INDIANA LJ 40 (10016)"</f>
        <v>FARMÁCIA INDIANA LJ 40 (10016)</v>
      </c>
      <c r="S4901" t="s">
        <v>37</v>
      </c>
      <c r="T4901">
        <v>32081</v>
      </c>
      <c r="U4901">
        <v>35259</v>
      </c>
      <c r="V4901" t="s">
        <v>37</v>
      </c>
    </row>
    <row r="4902" spans="1:22">
      <c r="A4902" t="str">
        <f t="shared" si="892"/>
        <v>26/03/2026</v>
      </c>
      <c r="B4902" t="str">
        <f t="shared" si="886"/>
        <v>SAÍDA</v>
      </c>
      <c r="C4902" t="str">
        <f t="shared" si="888"/>
        <v>PIX</v>
      </c>
      <c r="D4902" t="str">
        <f>"35262"</f>
        <v>35262</v>
      </c>
      <c r="E4902" t="str">
        <f t="shared" si="889"/>
        <v>1</v>
      </c>
      <c r="F4902" t="str">
        <f t="shared" si="890"/>
        <v>COM</v>
      </c>
      <c r="G4902" t="str">
        <f>"MARCIO CLAUDIO DE ARAUJO (204)"</f>
        <v>MARCIO CLAUDIO DE ARAUJO (204)</v>
      </c>
      <c r="H4902" t="str">
        <f>"Serv.Prest. 09/03/2026 a 15/03/2026 - PIX: CELULAR - CHAVE: (33) 98427-3872"</f>
        <v>Serv.Prest. 09/03/2026 a 15/03/2026 - PIX: CELULAR - CHAVE: (33) 98427-3872</v>
      </c>
      <c r="I4902" t="str">
        <f t="shared" si="887"/>
        <v>26/03/2026</v>
      </c>
      <c r="J4902" t="str">
        <f t="shared" si="891"/>
        <v>17/03/2026</v>
      </c>
      <c r="K4902" t="str">
        <f>("26/03/2026")</f>
        <v>26/03/2026</v>
      </c>
      <c r="L4902">
        <v>1080</v>
      </c>
      <c r="M4902">
        <v>1080</v>
      </c>
      <c r="N4902">
        <v>109</v>
      </c>
      <c r="O4902" t="str">
        <f>"PAGAMENTO DE ENTREGADORES"</f>
        <v>PAGAMENTO DE ENTREGADORES</v>
      </c>
      <c r="P4902">
        <v>1080</v>
      </c>
      <c r="S4902" t="str">
        <f>"BANCO C6 (149)"</f>
        <v>BANCO C6 (149)</v>
      </c>
      <c r="T4902">
        <v>32082</v>
      </c>
      <c r="U4902">
        <v>35262</v>
      </c>
      <c r="V4902" t="s">
        <v>37</v>
      </c>
    </row>
    <row r="4903" spans="1:22">
      <c r="A4903" t="str">
        <f t="shared" si="892"/>
        <v>26/03/2026</v>
      </c>
      <c r="B4903" t="str">
        <f t="shared" si="886"/>
        <v>SAÍDA</v>
      </c>
      <c r="C4903" t="str">
        <f t="shared" si="888"/>
        <v>PIX</v>
      </c>
      <c r="D4903" t="str">
        <f>"35262"</f>
        <v>35262</v>
      </c>
      <c r="E4903" t="str">
        <f t="shared" si="889"/>
        <v>1</v>
      </c>
      <c r="F4903" t="str">
        <f t="shared" si="890"/>
        <v>COM</v>
      </c>
      <c r="G4903" t="str">
        <f>"MARCIO CLAUDIO DE ARAUJO (204)"</f>
        <v>MARCIO CLAUDIO DE ARAUJO (204)</v>
      </c>
      <c r="H4903" t="s">
        <v>1344</v>
      </c>
      <c r="I4903" t="str">
        <f t="shared" si="887"/>
        <v>26/03/2026</v>
      </c>
      <c r="J4903" t="str">
        <f t="shared" si="891"/>
        <v>17/03/2026</v>
      </c>
      <c r="K4903">
        <v>46107</v>
      </c>
      <c r="N4903">
        <v>109</v>
      </c>
      <c r="O4903" t="s">
        <v>27</v>
      </c>
      <c r="Q4903">
        <v>1080</v>
      </c>
      <c r="R4903" t="str">
        <f>"FARMÁCIA INDIANA LJ 06 (10006)"</f>
        <v>FARMÁCIA INDIANA LJ 06 (10006)</v>
      </c>
      <c r="S4903" t="s">
        <v>37</v>
      </c>
      <c r="T4903">
        <v>32082</v>
      </c>
      <c r="U4903">
        <v>35262</v>
      </c>
      <c r="V4903" t="s">
        <v>37</v>
      </c>
    </row>
    <row r="4904" spans="1:22">
      <c r="A4904" t="str">
        <f t="shared" si="892"/>
        <v>26/03/2026</v>
      </c>
      <c r="B4904" t="str">
        <f t="shared" si="886"/>
        <v>SAÍDA</v>
      </c>
      <c r="C4904" t="str">
        <f t="shared" si="888"/>
        <v>PIX</v>
      </c>
      <c r="D4904" t="str">
        <f>"35263"</f>
        <v>35263</v>
      </c>
      <c r="E4904" t="str">
        <f t="shared" si="889"/>
        <v>1</v>
      </c>
      <c r="F4904" t="str">
        <f t="shared" si="890"/>
        <v>COM</v>
      </c>
      <c r="G4904" t="str">
        <f>"MARCOS DIONI RODRIGUES GASPAR (506)"</f>
        <v>MARCOS DIONI RODRIGUES GASPAR (506)</v>
      </c>
      <c r="H4904" t="str">
        <f>"Serv.Prest. 09/03/2026 a 15/03/2026 - PIX: E-MAIL - CHAVE: dih.mdr@gmail.com"</f>
        <v>Serv.Prest. 09/03/2026 a 15/03/2026 - PIX: E-MAIL - CHAVE: dih.mdr@gmail.com</v>
      </c>
      <c r="I4904" t="str">
        <f t="shared" si="887"/>
        <v>26/03/2026</v>
      </c>
      <c r="J4904" t="str">
        <f t="shared" si="891"/>
        <v>17/03/2026</v>
      </c>
      <c r="K4904" t="str">
        <f>("26/03/2026")</f>
        <v>26/03/2026</v>
      </c>
      <c r="L4904">
        <v>1080</v>
      </c>
      <c r="M4904">
        <v>1080</v>
      </c>
      <c r="N4904">
        <v>109</v>
      </c>
      <c r="O4904" t="str">
        <f>"PAGAMENTO DE ENTREGADORES"</f>
        <v>PAGAMENTO DE ENTREGADORES</v>
      </c>
      <c r="P4904">
        <v>1080</v>
      </c>
      <c r="S4904" t="str">
        <f>"BANCO C6 (149)"</f>
        <v>BANCO C6 (149)</v>
      </c>
      <c r="T4904">
        <v>32083</v>
      </c>
      <c r="U4904">
        <v>35263</v>
      </c>
      <c r="V4904" t="s">
        <v>37</v>
      </c>
    </row>
    <row r="4905" spans="1:22">
      <c r="A4905" t="str">
        <f t="shared" si="892"/>
        <v>26/03/2026</v>
      </c>
      <c r="B4905" t="str">
        <f t="shared" si="886"/>
        <v>SAÍDA</v>
      </c>
      <c r="C4905" t="str">
        <f t="shared" si="888"/>
        <v>PIX</v>
      </c>
      <c r="D4905" t="str">
        <f>"35263"</f>
        <v>35263</v>
      </c>
      <c r="E4905" t="str">
        <f t="shared" si="889"/>
        <v>1</v>
      </c>
      <c r="F4905" t="str">
        <f t="shared" si="890"/>
        <v>COM</v>
      </c>
      <c r="G4905" t="str">
        <f>"MARCOS DIONI RODRIGUES GASPAR (506)"</f>
        <v>MARCOS DIONI RODRIGUES GASPAR (506)</v>
      </c>
      <c r="H4905" t="s">
        <v>1345</v>
      </c>
      <c r="I4905" t="str">
        <f t="shared" si="887"/>
        <v>26/03/2026</v>
      </c>
      <c r="J4905" t="str">
        <f t="shared" si="891"/>
        <v>17/03/2026</v>
      </c>
      <c r="K4905">
        <v>46107</v>
      </c>
      <c r="N4905">
        <v>109</v>
      </c>
      <c r="O4905" t="s">
        <v>27</v>
      </c>
      <c r="Q4905">
        <v>1080</v>
      </c>
      <c r="R4905" t="str">
        <f>"FARMÁCIA INDIANA LJ 06 (10006)"</f>
        <v>FARMÁCIA INDIANA LJ 06 (10006)</v>
      </c>
      <c r="S4905" t="s">
        <v>37</v>
      </c>
      <c r="T4905">
        <v>32083</v>
      </c>
      <c r="U4905">
        <v>35263</v>
      </c>
      <c r="V4905" t="s">
        <v>37</v>
      </c>
    </row>
    <row r="4906" spans="1:22">
      <c r="A4906" t="str">
        <f t="shared" si="892"/>
        <v>26/03/2026</v>
      </c>
      <c r="B4906" t="str">
        <f t="shared" si="886"/>
        <v>SAÍDA</v>
      </c>
      <c r="C4906" t="str">
        <f t="shared" si="888"/>
        <v>PIX</v>
      </c>
      <c r="D4906" t="str">
        <f>"35264"</f>
        <v>35264</v>
      </c>
      <c r="E4906" t="str">
        <f t="shared" si="889"/>
        <v>1</v>
      </c>
      <c r="F4906" t="str">
        <f t="shared" si="890"/>
        <v>COM</v>
      </c>
      <c r="G4906" t="str">
        <f>"MARCOS RODRIGUES PENA (64)"</f>
        <v>MARCOS RODRIGUES PENA (64)</v>
      </c>
      <c r="H4906" t="str">
        <f>"Serv.Prest. 09/03/2026 a 15/03/2026 - PIX: CELULAR - CHAVE: (33) 99194-2339"</f>
        <v>Serv.Prest. 09/03/2026 a 15/03/2026 - PIX: CELULAR - CHAVE: (33) 99194-2339</v>
      </c>
      <c r="I4906" t="str">
        <f t="shared" si="887"/>
        <v>26/03/2026</v>
      </c>
      <c r="J4906" t="str">
        <f t="shared" si="891"/>
        <v>17/03/2026</v>
      </c>
      <c r="K4906" t="str">
        <f>("26/03/2026")</f>
        <v>26/03/2026</v>
      </c>
      <c r="L4906">
        <v>602.5</v>
      </c>
      <c r="M4906">
        <v>602.5</v>
      </c>
      <c r="N4906">
        <v>109</v>
      </c>
      <c r="O4906" t="str">
        <f>"PAGAMENTO DE ENTREGADORES"</f>
        <v>PAGAMENTO DE ENTREGADORES</v>
      </c>
      <c r="P4906">
        <v>602.5</v>
      </c>
      <c r="S4906" t="str">
        <f>"BANCO C6 (149)"</f>
        <v>BANCO C6 (149)</v>
      </c>
      <c r="T4906">
        <v>32084</v>
      </c>
      <c r="U4906">
        <v>35264</v>
      </c>
      <c r="V4906" t="s">
        <v>37</v>
      </c>
    </row>
    <row r="4907" spans="1:22">
      <c r="A4907" t="str">
        <f t="shared" si="892"/>
        <v>26/03/2026</v>
      </c>
      <c r="B4907" t="str">
        <f t="shared" si="886"/>
        <v>SAÍDA</v>
      </c>
      <c r="C4907" t="str">
        <f t="shared" si="888"/>
        <v>PIX</v>
      </c>
      <c r="D4907" t="str">
        <f>"35264"</f>
        <v>35264</v>
      </c>
      <c r="E4907" t="str">
        <f t="shared" si="889"/>
        <v>1</v>
      </c>
      <c r="F4907" t="str">
        <f t="shared" si="890"/>
        <v>COM</v>
      </c>
      <c r="G4907" t="str">
        <f>"MARCOS RODRIGUES PENA (64)"</f>
        <v>MARCOS RODRIGUES PENA (64)</v>
      </c>
      <c r="H4907" t="s">
        <v>1346</v>
      </c>
      <c r="I4907" t="str">
        <f t="shared" si="887"/>
        <v>26/03/2026</v>
      </c>
      <c r="J4907" t="str">
        <f t="shared" si="891"/>
        <v>17/03/2026</v>
      </c>
      <c r="K4907">
        <v>46107</v>
      </c>
      <c r="N4907">
        <v>109</v>
      </c>
      <c r="O4907" t="s">
        <v>27</v>
      </c>
      <c r="Q4907">
        <v>602.5</v>
      </c>
      <c r="R4907" t="str">
        <f>"FARMÁCIA INDIANA LJ 62 (10028)"</f>
        <v>FARMÁCIA INDIANA LJ 62 (10028)</v>
      </c>
      <c r="S4907" t="s">
        <v>37</v>
      </c>
      <c r="T4907">
        <v>32084</v>
      </c>
      <c r="U4907">
        <v>35264</v>
      </c>
      <c r="V4907" t="s">
        <v>37</v>
      </c>
    </row>
    <row r="4908" spans="1:22">
      <c r="A4908" t="str">
        <f t="shared" si="892"/>
        <v>26/03/2026</v>
      </c>
      <c r="B4908" t="str">
        <f t="shared" si="886"/>
        <v>SAÍDA</v>
      </c>
      <c r="C4908" t="str">
        <f t="shared" si="888"/>
        <v>PIX</v>
      </c>
      <c r="D4908" t="str">
        <f>"35265"</f>
        <v>35265</v>
      </c>
      <c r="E4908" t="str">
        <f t="shared" si="889"/>
        <v>1</v>
      </c>
      <c r="F4908" t="str">
        <f t="shared" si="890"/>
        <v>COM</v>
      </c>
      <c r="G4908" t="str">
        <f>"MATHEUS VIEIRA DA SILVA (886)"</f>
        <v>MATHEUS VIEIRA DA SILVA (886)</v>
      </c>
      <c r="H4908" t="str">
        <f>"Serv.Prest. 09/03/2026 a 15/03/2026 - PIX: CPF - CHAVE: 142.716.106-23"</f>
        <v>Serv.Prest. 09/03/2026 a 15/03/2026 - PIX: CPF - CHAVE: 142.716.106-23</v>
      </c>
      <c r="I4908" t="str">
        <f t="shared" si="887"/>
        <v>26/03/2026</v>
      </c>
      <c r="J4908" t="str">
        <f t="shared" si="891"/>
        <v>17/03/2026</v>
      </c>
      <c r="K4908" t="str">
        <f>("26/03/2026")</f>
        <v>26/03/2026</v>
      </c>
      <c r="L4908">
        <v>18</v>
      </c>
      <c r="M4908">
        <v>18</v>
      </c>
      <c r="N4908">
        <v>109</v>
      </c>
      <c r="O4908" t="str">
        <f>"PAGAMENTO DE ENTREGADORES"</f>
        <v>PAGAMENTO DE ENTREGADORES</v>
      </c>
      <c r="P4908">
        <v>18</v>
      </c>
      <c r="S4908" t="str">
        <f>"BANCO C6 (149)"</f>
        <v>BANCO C6 (149)</v>
      </c>
      <c r="T4908">
        <v>32085</v>
      </c>
      <c r="U4908">
        <v>35265</v>
      </c>
      <c r="V4908" t="s">
        <v>37</v>
      </c>
    </row>
    <row r="4909" spans="1:22">
      <c r="A4909" t="str">
        <f t="shared" si="892"/>
        <v>26/03/2026</v>
      </c>
      <c r="B4909" t="str">
        <f t="shared" si="886"/>
        <v>SAÍDA</v>
      </c>
      <c r="C4909" t="str">
        <f t="shared" si="888"/>
        <v>PIX</v>
      </c>
      <c r="D4909" t="str">
        <f>"35265"</f>
        <v>35265</v>
      </c>
      <c r="E4909" t="str">
        <f t="shared" si="889"/>
        <v>1</v>
      </c>
      <c r="F4909" t="str">
        <f t="shared" si="890"/>
        <v>COM</v>
      </c>
      <c r="G4909" t="str">
        <f>"MATHEUS VIEIRA DA SILVA (886)"</f>
        <v>MATHEUS VIEIRA DA SILVA (886)</v>
      </c>
      <c r="H4909" t="s">
        <v>1347</v>
      </c>
      <c r="I4909" t="str">
        <f t="shared" si="887"/>
        <v>26/03/2026</v>
      </c>
      <c r="J4909" t="str">
        <f t="shared" si="891"/>
        <v>17/03/2026</v>
      </c>
      <c r="K4909">
        <v>46107</v>
      </c>
      <c r="N4909">
        <v>109</v>
      </c>
      <c r="O4909" t="s">
        <v>27</v>
      </c>
      <c r="Q4909">
        <v>18</v>
      </c>
      <c r="R4909" t="str">
        <f>"FARMÁCIA INDIANA LJ 07 (10007)"</f>
        <v>FARMÁCIA INDIANA LJ 07 (10007)</v>
      </c>
      <c r="S4909" t="s">
        <v>37</v>
      </c>
      <c r="T4909">
        <v>32085</v>
      </c>
      <c r="U4909">
        <v>35265</v>
      </c>
      <c r="V4909" t="s">
        <v>37</v>
      </c>
    </row>
    <row r="4910" spans="1:22">
      <c r="A4910" t="str">
        <f t="shared" si="892"/>
        <v>26/03/2026</v>
      </c>
      <c r="B4910" t="str">
        <f t="shared" si="886"/>
        <v>SAÍDA</v>
      </c>
      <c r="C4910" t="str">
        <f t="shared" si="888"/>
        <v>PIX</v>
      </c>
      <c r="D4910" t="str">
        <f>"35266"</f>
        <v>35266</v>
      </c>
      <c r="E4910" t="str">
        <f t="shared" si="889"/>
        <v>1</v>
      </c>
      <c r="F4910" t="str">
        <f t="shared" si="890"/>
        <v>COM</v>
      </c>
      <c r="G4910" t="str">
        <f>"MAURO AUGUSTO MACHADO DE ASSIS (767)"</f>
        <v>MAURO AUGUSTO MACHADO DE ASSIS (767)</v>
      </c>
      <c r="H4910" t="str">
        <f>"Serv.Prest. 09/03/2026 a 15/03/2026 - PIX: CNPJ - CHAVE: 64.142.681/0001-05"</f>
        <v>Serv.Prest. 09/03/2026 a 15/03/2026 - PIX: CNPJ - CHAVE: 64.142.681/0001-05</v>
      </c>
      <c r="I4910" t="str">
        <f t="shared" si="887"/>
        <v>26/03/2026</v>
      </c>
      <c r="J4910" t="str">
        <f t="shared" si="891"/>
        <v>17/03/2026</v>
      </c>
      <c r="K4910" t="str">
        <f>("26/03/2026")</f>
        <v>26/03/2026</v>
      </c>
      <c r="L4910">
        <v>1110</v>
      </c>
      <c r="M4910">
        <v>1110</v>
      </c>
      <c r="N4910">
        <v>109</v>
      </c>
      <c r="O4910" t="str">
        <f>"PAGAMENTO DE ENTREGADORES"</f>
        <v>PAGAMENTO DE ENTREGADORES</v>
      </c>
      <c r="P4910">
        <v>1110</v>
      </c>
      <c r="S4910" t="str">
        <f>"BANCO C6 (149)"</f>
        <v>BANCO C6 (149)</v>
      </c>
      <c r="T4910">
        <v>32086</v>
      </c>
      <c r="U4910">
        <v>35266</v>
      </c>
      <c r="V4910" t="s">
        <v>37</v>
      </c>
    </row>
    <row r="4911" spans="1:22">
      <c r="A4911" t="str">
        <f t="shared" si="892"/>
        <v>26/03/2026</v>
      </c>
      <c r="B4911" t="str">
        <f t="shared" si="886"/>
        <v>SAÍDA</v>
      </c>
      <c r="C4911" t="str">
        <f t="shared" si="888"/>
        <v>PIX</v>
      </c>
      <c r="D4911" t="str">
        <f>"35266"</f>
        <v>35266</v>
      </c>
      <c r="E4911" t="str">
        <f t="shared" si="889"/>
        <v>1</v>
      </c>
      <c r="F4911" t="str">
        <f t="shared" si="890"/>
        <v>COM</v>
      </c>
      <c r="G4911" t="str">
        <f>"MAURO AUGUSTO MACHADO DE ASSIS (767)"</f>
        <v>MAURO AUGUSTO MACHADO DE ASSIS (767)</v>
      </c>
      <c r="H4911" t="s">
        <v>1348</v>
      </c>
      <c r="I4911" t="str">
        <f t="shared" si="887"/>
        <v>26/03/2026</v>
      </c>
      <c r="J4911" t="str">
        <f t="shared" si="891"/>
        <v>17/03/2026</v>
      </c>
      <c r="K4911">
        <v>46107</v>
      </c>
      <c r="N4911">
        <v>109</v>
      </c>
      <c r="O4911" t="s">
        <v>27</v>
      </c>
      <c r="Q4911">
        <v>1110</v>
      </c>
      <c r="R4911" t="str">
        <f>"FARMÁCIA INDIANA LJ 11 (10008)"</f>
        <v>FARMÁCIA INDIANA LJ 11 (10008)</v>
      </c>
      <c r="S4911" t="s">
        <v>37</v>
      </c>
      <c r="T4911">
        <v>32086</v>
      </c>
      <c r="U4911">
        <v>35266</v>
      </c>
      <c r="V4911" t="s">
        <v>37</v>
      </c>
    </row>
    <row r="4912" spans="1:22">
      <c r="A4912" t="str">
        <f t="shared" si="892"/>
        <v>26/03/2026</v>
      </c>
      <c r="B4912" t="str">
        <f t="shared" ref="B4912:B4975" si="893">"SAÍDA"</f>
        <v>SAÍDA</v>
      </c>
      <c r="C4912" t="str">
        <f t="shared" si="888"/>
        <v>PIX</v>
      </c>
      <c r="D4912" t="str">
        <f>"35267"</f>
        <v>35267</v>
      </c>
      <c r="E4912" t="str">
        <f t="shared" si="889"/>
        <v>1</v>
      </c>
      <c r="F4912" t="str">
        <f t="shared" si="890"/>
        <v>COM</v>
      </c>
      <c r="G4912" t="str">
        <f>"MAURO AUGUSTO MACHADO DE ASSIS (767)"</f>
        <v>MAURO AUGUSTO MACHADO DE ASSIS (767)</v>
      </c>
      <c r="H4912" t="str">
        <f>"Serv.Prest. 09/03/2026 a 15/03/2026 - PIX: CNPJ - CHAVE: 64.142.681/0001-05"</f>
        <v>Serv.Prest. 09/03/2026 a 15/03/2026 - PIX: CNPJ - CHAVE: 64.142.681/0001-05</v>
      </c>
      <c r="I4912" t="str">
        <f t="shared" ref="I4912:I4975" si="894">("26/03/2026")</f>
        <v>26/03/2026</v>
      </c>
      <c r="J4912" t="str">
        <f t="shared" si="891"/>
        <v>17/03/2026</v>
      </c>
      <c r="K4912" t="str">
        <f>("26/03/2026")</f>
        <v>26/03/2026</v>
      </c>
      <c r="L4912">
        <v>420</v>
      </c>
      <c r="M4912">
        <v>420</v>
      </c>
      <c r="N4912">
        <v>109</v>
      </c>
      <c r="O4912" t="str">
        <f>"PAGAMENTO DE ENTREGADORES"</f>
        <v>PAGAMENTO DE ENTREGADORES</v>
      </c>
      <c r="P4912">
        <v>420</v>
      </c>
      <c r="S4912" t="str">
        <f>"BANCO C6 (149)"</f>
        <v>BANCO C6 (149)</v>
      </c>
      <c r="T4912">
        <v>32087</v>
      </c>
      <c r="U4912">
        <v>35267</v>
      </c>
      <c r="V4912" t="s">
        <v>37</v>
      </c>
    </row>
    <row r="4913" spans="1:22">
      <c r="A4913" t="str">
        <f t="shared" si="892"/>
        <v>26/03/2026</v>
      </c>
      <c r="B4913" t="str">
        <f t="shared" si="893"/>
        <v>SAÍDA</v>
      </c>
      <c r="C4913" t="str">
        <f t="shared" si="888"/>
        <v>PIX</v>
      </c>
      <c r="D4913" t="str">
        <f>"35267"</f>
        <v>35267</v>
      </c>
      <c r="E4913" t="str">
        <f t="shared" si="889"/>
        <v>1</v>
      </c>
      <c r="F4913" t="str">
        <f t="shared" si="890"/>
        <v>COM</v>
      </c>
      <c r="G4913" t="str">
        <f>"MAURO AUGUSTO MACHADO DE ASSIS (767)"</f>
        <v>MAURO AUGUSTO MACHADO DE ASSIS (767)</v>
      </c>
      <c r="H4913" t="s">
        <v>1348</v>
      </c>
      <c r="I4913" t="str">
        <f t="shared" si="894"/>
        <v>26/03/2026</v>
      </c>
      <c r="J4913" t="str">
        <f t="shared" si="891"/>
        <v>17/03/2026</v>
      </c>
      <c r="K4913">
        <v>46107</v>
      </c>
      <c r="N4913">
        <v>109</v>
      </c>
      <c r="O4913" t="s">
        <v>27</v>
      </c>
      <c r="Q4913">
        <v>420</v>
      </c>
      <c r="R4913" t="str">
        <f>"FARMÁCIA INDIANA LJ 172 (10161)"</f>
        <v>FARMÁCIA INDIANA LJ 172 (10161)</v>
      </c>
      <c r="S4913" t="s">
        <v>37</v>
      </c>
      <c r="T4913">
        <v>32087</v>
      </c>
      <c r="U4913">
        <v>35267</v>
      </c>
      <c r="V4913" t="s">
        <v>37</v>
      </c>
    </row>
    <row r="4914" spans="1:22">
      <c r="A4914" t="str">
        <f t="shared" si="892"/>
        <v>26/03/2026</v>
      </c>
      <c r="B4914" t="str">
        <f t="shared" si="893"/>
        <v>SAÍDA</v>
      </c>
      <c r="C4914" t="str">
        <f t="shared" si="888"/>
        <v>PIX</v>
      </c>
      <c r="D4914" t="str">
        <f>"35268"</f>
        <v>35268</v>
      </c>
      <c r="E4914" t="str">
        <f t="shared" si="889"/>
        <v>1</v>
      </c>
      <c r="F4914" t="str">
        <f t="shared" si="890"/>
        <v>COM</v>
      </c>
      <c r="G4914" t="str">
        <f>"MAYCON GUILHERME DUARTE (541)"</f>
        <v>MAYCON GUILHERME DUARTE (541)</v>
      </c>
      <c r="H4914" t="str">
        <f>"Serv.Prest. 09/03/2026 a 15/03/2026 - PIX: CELULAR - CHAVE: (31) 99076-6539"</f>
        <v>Serv.Prest. 09/03/2026 a 15/03/2026 - PIX: CELULAR - CHAVE: (31) 99076-6539</v>
      </c>
      <c r="I4914" t="str">
        <f t="shared" si="894"/>
        <v>26/03/2026</v>
      </c>
      <c r="J4914" t="str">
        <f t="shared" si="891"/>
        <v>17/03/2026</v>
      </c>
      <c r="K4914" t="str">
        <f>("26/03/2026")</f>
        <v>26/03/2026</v>
      </c>
      <c r="L4914">
        <v>1560</v>
      </c>
      <c r="M4914">
        <v>1560</v>
      </c>
      <c r="N4914">
        <v>109</v>
      </c>
      <c r="O4914" t="str">
        <f>"PAGAMENTO DE ENTREGADORES"</f>
        <v>PAGAMENTO DE ENTREGADORES</v>
      </c>
      <c r="P4914">
        <v>1560</v>
      </c>
      <c r="S4914" t="str">
        <f>"BANCO C6 (149)"</f>
        <v>BANCO C6 (149)</v>
      </c>
      <c r="T4914">
        <v>32088</v>
      </c>
      <c r="U4914">
        <v>35268</v>
      </c>
      <c r="V4914" t="s">
        <v>37</v>
      </c>
    </row>
    <row r="4915" spans="1:22">
      <c r="A4915" t="str">
        <f t="shared" si="892"/>
        <v>26/03/2026</v>
      </c>
      <c r="B4915" t="str">
        <f t="shared" si="893"/>
        <v>SAÍDA</v>
      </c>
      <c r="C4915" t="str">
        <f t="shared" si="888"/>
        <v>PIX</v>
      </c>
      <c r="D4915" t="str">
        <f>"35268"</f>
        <v>35268</v>
      </c>
      <c r="E4915" t="str">
        <f t="shared" si="889"/>
        <v>1</v>
      </c>
      <c r="F4915" t="str">
        <f t="shared" si="890"/>
        <v>COM</v>
      </c>
      <c r="G4915" t="str">
        <f>"MAYCON GUILHERME DUARTE (541)"</f>
        <v>MAYCON GUILHERME DUARTE (541)</v>
      </c>
      <c r="H4915" t="s">
        <v>1349</v>
      </c>
      <c r="I4915" t="str">
        <f t="shared" si="894"/>
        <v>26/03/2026</v>
      </c>
      <c r="J4915" t="str">
        <f t="shared" si="891"/>
        <v>17/03/2026</v>
      </c>
      <c r="K4915">
        <v>46107</v>
      </c>
      <c r="N4915">
        <v>109</v>
      </c>
      <c r="O4915" t="s">
        <v>27</v>
      </c>
      <c r="Q4915">
        <v>1560</v>
      </c>
      <c r="R4915" t="str">
        <f>"FARMÁCIA INDIANA LJ 220 (10092)"</f>
        <v>FARMÁCIA INDIANA LJ 220 (10092)</v>
      </c>
      <c r="S4915" t="s">
        <v>37</v>
      </c>
      <c r="T4915">
        <v>32088</v>
      </c>
      <c r="U4915">
        <v>35268</v>
      </c>
      <c r="V4915" t="s">
        <v>37</v>
      </c>
    </row>
    <row r="4916" spans="1:22">
      <c r="A4916" t="str">
        <f t="shared" si="892"/>
        <v>26/03/2026</v>
      </c>
      <c r="B4916" t="str">
        <f t="shared" si="893"/>
        <v>SAÍDA</v>
      </c>
      <c r="C4916" t="str">
        <f t="shared" si="888"/>
        <v>PIX</v>
      </c>
      <c r="D4916" t="str">
        <f>"35269"</f>
        <v>35269</v>
      </c>
      <c r="E4916" t="str">
        <f t="shared" si="889"/>
        <v>1</v>
      </c>
      <c r="F4916" t="str">
        <f t="shared" si="890"/>
        <v>COM</v>
      </c>
      <c r="G4916" t="str">
        <f>"MIGUEL PESSOA RAMOS (68)"</f>
        <v>MIGUEL PESSOA RAMOS (68)</v>
      </c>
      <c r="H4916" t="str">
        <f>"Serv.Prest. 09/03/2026 a 15/03/2026 - PIX: CELULAR - CHAVE: (33) 99845-0493"</f>
        <v>Serv.Prest. 09/03/2026 a 15/03/2026 - PIX: CELULAR - CHAVE: (33) 99845-0493</v>
      </c>
      <c r="I4916" t="str">
        <f t="shared" si="894"/>
        <v>26/03/2026</v>
      </c>
      <c r="J4916" t="str">
        <f t="shared" si="891"/>
        <v>17/03/2026</v>
      </c>
      <c r="K4916" t="str">
        <f>("26/03/2026")</f>
        <v>26/03/2026</v>
      </c>
      <c r="L4916">
        <v>966</v>
      </c>
      <c r="M4916">
        <v>966</v>
      </c>
      <c r="N4916">
        <v>109</v>
      </c>
      <c r="O4916" t="str">
        <f>"PAGAMENTO DE ENTREGADORES"</f>
        <v>PAGAMENTO DE ENTREGADORES</v>
      </c>
      <c r="P4916">
        <v>966</v>
      </c>
      <c r="S4916" t="str">
        <f>"BANCO C6 (149)"</f>
        <v>BANCO C6 (149)</v>
      </c>
      <c r="T4916">
        <v>32089</v>
      </c>
      <c r="U4916">
        <v>35269</v>
      </c>
      <c r="V4916" t="s">
        <v>37</v>
      </c>
    </row>
    <row r="4917" spans="1:22">
      <c r="A4917" t="str">
        <f t="shared" si="892"/>
        <v>26/03/2026</v>
      </c>
      <c r="B4917" t="str">
        <f t="shared" si="893"/>
        <v>SAÍDA</v>
      </c>
      <c r="C4917" t="str">
        <f t="shared" si="888"/>
        <v>PIX</v>
      </c>
      <c r="D4917" t="str">
        <f>"35269"</f>
        <v>35269</v>
      </c>
      <c r="E4917" t="str">
        <f t="shared" si="889"/>
        <v>1</v>
      </c>
      <c r="F4917" t="str">
        <f t="shared" si="890"/>
        <v>COM</v>
      </c>
      <c r="G4917" t="str">
        <f>"MIGUEL PESSOA RAMOS (68)"</f>
        <v>MIGUEL PESSOA RAMOS (68)</v>
      </c>
      <c r="H4917" t="s">
        <v>1350</v>
      </c>
      <c r="I4917" t="str">
        <f t="shared" si="894"/>
        <v>26/03/2026</v>
      </c>
      <c r="J4917" t="str">
        <f t="shared" si="891"/>
        <v>17/03/2026</v>
      </c>
      <c r="K4917">
        <v>46107</v>
      </c>
      <c r="N4917">
        <v>109</v>
      </c>
      <c r="O4917" t="s">
        <v>27</v>
      </c>
      <c r="Q4917">
        <v>966</v>
      </c>
      <c r="R4917" t="str">
        <f>"FARMÁCIA INDIANA LJ 07 (10007)"</f>
        <v>FARMÁCIA INDIANA LJ 07 (10007)</v>
      </c>
      <c r="S4917" t="s">
        <v>37</v>
      </c>
      <c r="T4917">
        <v>32089</v>
      </c>
      <c r="U4917">
        <v>35269</v>
      </c>
      <c r="V4917" t="s">
        <v>37</v>
      </c>
    </row>
    <row r="4918" spans="1:22">
      <c r="A4918" t="str">
        <f t="shared" si="892"/>
        <v>26/03/2026</v>
      </c>
      <c r="B4918" t="str">
        <f t="shared" si="893"/>
        <v>SAÍDA</v>
      </c>
      <c r="C4918" t="str">
        <f t="shared" ref="C4918:C4981" si="895">"PIX"</f>
        <v>PIX</v>
      </c>
      <c r="D4918" t="str">
        <f>"35270"</f>
        <v>35270</v>
      </c>
      <c r="E4918" t="str">
        <f t="shared" si="889"/>
        <v>1</v>
      </c>
      <c r="F4918" t="str">
        <f t="shared" si="890"/>
        <v>COM</v>
      </c>
      <c r="G4918" t="str">
        <f>"MURILO BARRETO AFONSO (30)"</f>
        <v>MURILO BARRETO AFONSO (30)</v>
      </c>
      <c r="H4918" t="str">
        <f>"Serv.Prest. 09/03/2026 a 15/03/2026 - PIX: CPF - CHAVE: 123.020.026-60"</f>
        <v>Serv.Prest. 09/03/2026 a 15/03/2026 - PIX: CPF - CHAVE: 123.020.026-60</v>
      </c>
      <c r="I4918" t="str">
        <f t="shared" si="894"/>
        <v>26/03/2026</v>
      </c>
      <c r="J4918" t="str">
        <f t="shared" si="891"/>
        <v>17/03/2026</v>
      </c>
      <c r="K4918" t="str">
        <f>("26/03/2026")</f>
        <v>26/03/2026</v>
      </c>
      <c r="L4918">
        <v>598</v>
      </c>
      <c r="M4918">
        <v>598</v>
      </c>
      <c r="N4918">
        <v>109</v>
      </c>
      <c r="O4918" t="str">
        <f>"PAGAMENTO DE ENTREGADORES"</f>
        <v>PAGAMENTO DE ENTREGADORES</v>
      </c>
      <c r="P4918">
        <v>598</v>
      </c>
      <c r="S4918" t="str">
        <f>"BANCO C6 (149)"</f>
        <v>BANCO C6 (149)</v>
      </c>
      <c r="T4918">
        <v>32090</v>
      </c>
      <c r="U4918">
        <v>35270</v>
      </c>
      <c r="V4918" t="s">
        <v>37</v>
      </c>
    </row>
    <row r="4919" spans="1:22">
      <c r="A4919" t="str">
        <f t="shared" si="892"/>
        <v>26/03/2026</v>
      </c>
      <c r="B4919" t="str">
        <f t="shared" si="893"/>
        <v>SAÍDA</v>
      </c>
      <c r="C4919" t="str">
        <f t="shared" si="895"/>
        <v>PIX</v>
      </c>
      <c r="D4919" t="str">
        <f>"35270"</f>
        <v>35270</v>
      </c>
      <c r="E4919" t="str">
        <f t="shared" si="889"/>
        <v>1</v>
      </c>
      <c r="F4919" t="str">
        <f t="shared" si="890"/>
        <v>COM</v>
      </c>
      <c r="G4919" t="str">
        <f>"MURILO BARRETO AFONSO (30)"</f>
        <v>MURILO BARRETO AFONSO (30)</v>
      </c>
      <c r="H4919" t="s">
        <v>1351</v>
      </c>
      <c r="I4919" t="str">
        <f t="shared" si="894"/>
        <v>26/03/2026</v>
      </c>
      <c r="J4919" t="str">
        <f t="shared" si="891"/>
        <v>17/03/2026</v>
      </c>
      <c r="K4919">
        <v>46107</v>
      </c>
      <c r="N4919">
        <v>109</v>
      </c>
      <c r="O4919" t="s">
        <v>27</v>
      </c>
      <c r="Q4919">
        <v>598</v>
      </c>
      <c r="R4919" t="str">
        <f>"FARMÁCIA INDIANA LJ 192 (10082)"</f>
        <v>FARMÁCIA INDIANA LJ 192 (10082)</v>
      </c>
      <c r="S4919" t="s">
        <v>37</v>
      </c>
      <c r="T4919">
        <v>32090</v>
      </c>
      <c r="U4919">
        <v>35270</v>
      </c>
      <c r="V4919" t="s">
        <v>37</v>
      </c>
    </row>
    <row r="4920" spans="1:22">
      <c r="A4920" t="str">
        <f t="shared" si="892"/>
        <v>26/03/2026</v>
      </c>
      <c r="B4920" t="str">
        <f t="shared" si="893"/>
        <v>SAÍDA</v>
      </c>
      <c r="C4920" t="str">
        <f t="shared" si="895"/>
        <v>PIX</v>
      </c>
      <c r="D4920" t="str">
        <f>"35271"</f>
        <v>35271</v>
      </c>
      <c r="E4920" t="str">
        <f t="shared" ref="E4920:E4983" si="896">"1"</f>
        <v>1</v>
      </c>
      <c r="F4920" t="str">
        <f t="shared" si="890"/>
        <v>COM</v>
      </c>
      <c r="G4920" t="str">
        <f>"MURILO BARRETO AFONSO (30)"</f>
        <v>MURILO BARRETO AFONSO (30)</v>
      </c>
      <c r="H4920" t="str">
        <f>"Serv.Prest. 09/03/2026 a 15/03/2026 - PIX: CPF - CHAVE: 123.020.026-60"</f>
        <v>Serv.Prest. 09/03/2026 a 15/03/2026 - PIX: CPF - CHAVE: 123.020.026-60</v>
      </c>
      <c r="I4920" t="str">
        <f t="shared" si="894"/>
        <v>26/03/2026</v>
      </c>
      <c r="J4920" t="str">
        <f t="shared" si="891"/>
        <v>17/03/2026</v>
      </c>
      <c r="K4920" t="str">
        <f>("26/03/2026")</f>
        <v>26/03/2026</v>
      </c>
      <c r="L4920">
        <v>606</v>
      </c>
      <c r="M4920">
        <v>606</v>
      </c>
      <c r="N4920">
        <v>109</v>
      </c>
      <c r="O4920" t="str">
        <f>"PAGAMENTO DE ENTREGADORES"</f>
        <v>PAGAMENTO DE ENTREGADORES</v>
      </c>
      <c r="P4920">
        <v>606</v>
      </c>
      <c r="S4920" t="str">
        <f>"BANCO C6 (149)"</f>
        <v>BANCO C6 (149)</v>
      </c>
      <c r="T4920">
        <v>32091</v>
      </c>
      <c r="U4920">
        <v>35271</v>
      </c>
      <c r="V4920" t="s">
        <v>37</v>
      </c>
    </row>
    <row r="4921" spans="1:22">
      <c r="A4921" t="str">
        <f t="shared" si="892"/>
        <v>26/03/2026</v>
      </c>
      <c r="B4921" t="str">
        <f t="shared" si="893"/>
        <v>SAÍDA</v>
      </c>
      <c r="C4921" t="str">
        <f t="shared" si="895"/>
        <v>PIX</v>
      </c>
      <c r="D4921" t="str">
        <f>"35271"</f>
        <v>35271</v>
      </c>
      <c r="E4921" t="str">
        <f t="shared" si="896"/>
        <v>1</v>
      </c>
      <c r="F4921" t="str">
        <f t="shared" si="890"/>
        <v>COM</v>
      </c>
      <c r="G4921" t="str">
        <f>"MURILO BARRETO AFONSO (30)"</f>
        <v>MURILO BARRETO AFONSO (30)</v>
      </c>
      <c r="H4921" t="s">
        <v>1351</v>
      </c>
      <c r="I4921" t="str">
        <f t="shared" si="894"/>
        <v>26/03/2026</v>
      </c>
      <c r="J4921" t="str">
        <f t="shared" si="891"/>
        <v>17/03/2026</v>
      </c>
      <c r="K4921">
        <v>46107</v>
      </c>
      <c r="N4921">
        <v>109</v>
      </c>
      <c r="O4921" t="s">
        <v>27</v>
      </c>
      <c r="Q4921">
        <v>606</v>
      </c>
      <c r="R4921" t="str">
        <f>"FARMÁCIA INDIANA LJ 118 (10052)"</f>
        <v>FARMÁCIA INDIANA LJ 118 (10052)</v>
      </c>
      <c r="S4921" t="s">
        <v>37</v>
      </c>
      <c r="T4921">
        <v>32091</v>
      </c>
      <c r="U4921">
        <v>35271</v>
      </c>
      <c r="V4921" t="s">
        <v>37</v>
      </c>
    </row>
    <row r="4922" spans="1:22">
      <c r="A4922" t="str">
        <f t="shared" si="892"/>
        <v>26/03/2026</v>
      </c>
      <c r="B4922" t="str">
        <f t="shared" si="893"/>
        <v>SAÍDA</v>
      </c>
      <c r="C4922" t="str">
        <f t="shared" si="895"/>
        <v>PIX</v>
      </c>
      <c r="D4922" t="str">
        <f>"35272"</f>
        <v>35272</v>
      </c>
      <c r="E4922" t="str">
        <f t="shared" si="896"/>
        <v>1</v>
      </c>
      <c r="F4922" t="str">
        <f t="shared" si="890"/>
        <v>COM</v>
      </c>
      <c r="G4922" t="str">
        <f>"NELSON DOS SANTOS RODRIGUES (37)"</f>
        <v>NELSON DOS SANTOS RODRIGUES (37)</v>
      </c>
      <c r="H4922" t="str">
        <f>"Serv.Prest. 09/03/2026 a 15/03/2026 - PIX: CPF - CHAVE: 108.680.396-59"</f>
        <v>Serv.Prest. 09/03/2026 a 15/03/2026 - PIX: CPF - CHAVE: 108.680.396-59</v>
      </c>
      <c r="I4922" t="str">
        <f t="shared" si="894"/>
        <v>26/03/2026</v>
      </c>
      <c r="J4922" t="str">
        <f t="shared" si="891"/>
        <v>17/03/2026</v>
      </c>
      <c r="K4922" t="str">
        <f>("26/03/2026")</f>
        <v>26/03/2026</v>
      </c>
      <c r="L4922">
        <v>1764</v>
      </c>
      <c r="M4922">
        <v>1764</v>
      </c>
      <c r="N4922">
        <v>109</v>
      </c>
      <c r="O4922" t="str">
        <f>"PAGAMENTO DE ENTREGADORES"</f>
        <v>PAGAMENTO DE ENTREGADORES</v>
      </c>
      <c r="P4922">
        <v>1764</v>
      </c>
      <c r="S4922" t="str">
        <f>"BANCO C6 (149)"</f>
        <v>BANCO C6 (149)</v>
      </c>
      <c r="T4922">
        <v>32092</v>
      </c>
      <c r="U4922">
        <v>35272</v>
      </c>
      <c r="V4922" t="s">
        <v>37</v>
      </c>
    </row>
    <row r="4923" spans="1:22">
      <c r="A4923" t="str">
        <f t="shared" si="892"/>
        <v>26/03/2026</v>
      </c>
      <c r="B4923" t="str">
        <f t="shared" si="893"/>
        <v>SAÍDA</v>
      </c>
      <c r="C4923" t="str">
        <f t="shared" si="895"/>
        <v>PIX</v>
      </c>
      <c r="D4923" t="str">
        <f>"35272"</f>
        <v>35272</v>
      </c>
      <c r="E4923" t="str">
        <f t="shared" si="896"/>
        <v>1</v>
      </c>
      <c r="F4923" t="str">
        <f t="shared" si="890"/>
        <v>COM</v>
      </c>
      <c r="G4923" t="str">
        <f>"NELSON DOS SANTOS RODRIGUES (37)"</f>
        <v>NELSON DOS SANTOS RODRIGUES (37)</v>
      </c>
      <c r="H4923" t="s">
        <v>1352</v>
      </c>
      <c r="I4923" t="str">
        <f t="shared" si="894"/>
        <v>26/03/2026</v>
      </c>
      <c r="J4923" t="str">
        <f t="shared" si="891"/>
        <v>17/03/2026</v>
      </c>
      <c r="K4923">
        <v>46107</v>
      </c>
      <c r="N4923">
        <v>109</v>
      </c>
      <c r="O4923" t="s">
        <v>27</v>
      </c>
      <c r="Q4923">
        <v>1764</v>
      </c>
      <c r="R4923" t="str">
        <f>"FARMÁCIA INDIANA LJ 11 (10008)"</f>
        <v>FARMÁCIA INDIANA LJ 11 (10008)</v>
      </c>
      <c r="S4923" t="s">
        <v>37</v>
      </c>
      <c r="T4923">
        <v>32092</v>
      </c>
      <c r="U4923">
        <v>35272</v>
      </c>
      <c r="V4923" t="s">
        <v>37</v>
      </c>
    </row>
    <row r="4924" spans="1:22">
      <c r="A4924" t="str">
        <f t="shared" si="892"/>
        <v>26/03/2026</v>
      </c>
      <c r="B4924" t="str">
        <f t="shared" si="893"/>
        <v>SAÍDA</v>
      </c>
      <c r="C4924" t="str">
        <f t="shared" si="895"/>
        <v>PIX</v>
      </c>
      <c r="D4924" t="str">
        <f>"35273"</f>
        <v>35273</v>
      </c>
      <c r="E4924" t="str">
        <f t="shared" si="896"/>
        <v>1</v>
      </c>
      <c r="F4924" t="str">
        <f t="shared" si="890"/>
        <v>COM</v>
      </c>
      <c r="G4924" t="str">
        <f>"NILTON RODRIGUES DE SOUZA (136)"</f>
        <v>NILTON RODRIGUES DE SOUZA (136)</v>
      </c>
      <c r="H4924" t="str">
        <f>"Serv.Prest. 09/03/2026 a 15/03/2026 - PIX: CPF - CHAVE: 037.974.316-78"</f>
        <v>Serv.Prest. 09/03/2026 a 15/03/2026 - PIX: CPF - CHAVE: 037.974.316-78</v>
      </c>
      <c r="I4924" t="str">
        <f t="shared" si="894"/>
        <v>26/03/2026</v>
      </c>
      <c r="J4924" t="str">
        <f t="shared" si="891"/>
        <v>17/03/2026</v>
      </c>
      <c r="K4924" t="str">
        <f>("26/03/2026")</f>
        <v>26/03/2026</v>
      </c>
      <c r="L4924">
        <v>774</v>
      </c>
      <c r="M4924">
        <v>774</v>
      </c>
      <c r="N4924">
        <v>109</v>
      </c>
      <c r="O4924" t="str">
        <f>"PAGAMENTO DE ENTREGADORES"</f>
        <v>PAGAMENTO DE ENTREGADORES</v>
      </c>
      <c r="P4924">
        <v>774</v>
      </c>
      <c r="S4924" t="str">
        <f>"BANCO C6 (149)"</f>
        <v>BANCO C6 (149)</v>
      </c>
      <c r="T4924">
        <v>32093</v>
      </c>
      <c r="U4924">
        <v>35273</v>
      </c>
      <c r="V4924" t="s">
        <v>37</v>
      </c>
    </row>
    <row r="4925" spans="1:22">
      <c r="A4925" t="str">
        <f t="shared" si="892"/>
        <v>26/03/2026</v>
      </c>
      <c r="B4925" t="str">
        <f t="shared" si="893"/>
        <v>SAÍDA</v>
      </c>
      <c r="C4925" t="str">
        <f t="shared" si="895"/>
        <v>PIX</v>
      </c>
      <c r="D4925" t="str">
        <f>"35273"</f>
        <v>35273</v>
      </c>
      <c r="E4925" t="str">
        <f t="shared" si="896"/>
        <v>1</v>
      </c>
      <c r="F4925" t="str">
        <f t="shared" si="890"/>
        <v>COM</v>
      </c>
      <c r="G4925" t="str">
        <f>"NILTON RODRIGUES DE SOUZA (136)"</f>
        <v>NILTON RODRIGUES DE SOUZA (136)</v>
      </c>
      <c r="H4925" t="s">
        <v>1353</v>
      </c>
      <c r="I4925" t="str">
        <f t="shared" si="894"/>
        <v>26/03/2026</v>
      </c>
      <c r="J4925" t="str">
        <f t="shared" si="891"/>
        <v>17/03/2026</v>
      </c>
      <c r="K4925">
        <v>46107</v>
      </c>
      <c r="N4925">
        <v>109</v>
      </c>
      <c r="O4925" t="s">
        <v>27</v>
      </c>
      <c r="Q4925">
        <v>774</v>
      </c>
      <c r="R4925" t="str">
        <f>"FARMÁCIA INDIANA LJ 18 (10011)"</f>
        <v>FARMÁCIA INDIANA LJ 18 (10011)</v>
      </c>
      <c r="S4925" t="s">
        <v>37</v>
      </c>
      <c r="T4925">
        <v>32093</v>
      </c>
      <c r="U4925">
        <v>35273</v>
      </c>
      <c r="V4925" t="s">
        <v>37</v>
      </c>
    </row>
    <row r="4926" spans="1:22">
      <c r="A4926" t="str">
        <f t="shared" si="892"/>
        <v>26/03/2026</v>
      </c>
      <c r="B4926" t="str">
        <f t="shared" si="893"/>
        <v>SAÍDA</v>
      </c>
      <c r="C4926" t="str">
        <f t="shared" si="895"/>
        <v>PIX</v>
      </c>
      <c r="D4926" t="str">
        <f>"35274"</f>
        <v>35274</v>
      </c>
      <c r="E4926" t="str">
        <f t="shared" si="896"/>
        <v>1</v>
      </c>
      <c r="F4926" t="str">
        <f t="shared" si="890"/>
        <v>COM</v>
      </c>
      <c r="G4926" t="str">
        <f>"NILTON RODRIGUES DE SOUZA (136)"</f>
        <v>NILTON RODRIGUES DE SOUZA (136)</v>
      </c>
      <c r="H4926" t="str">
        <f>"Serv.Prest. 09/03/2026 a 15/03/2026 - PIX: CPF - CHAVE: 037.974.316-78"</f>
        <v>Serv.Prest. 09/03/2026 a 15/03/2026 - PIX: CPF - CHAVE: 037.974.316-78</v>
      </c>
      <c r="I4926" t="str">
        <f t="shared" si="894"/>
        <v>26/03/2026</v>
      </c>
      <c r="J4926" t="str">
        <f t="shared" si="891"/>
        <v>17/03/2026</v>
      </c>
      <c r="K4926" t="str">
        <f>("26/03/2026")</f>
        <v>26/03/2026</v>
      </c>
      <c r="L4926">
        <v>432</v>
      </c>
      <c r="M4926">
        <v>432</v>
      </c>
      <c r="N4926">
        <v>109</v>
      </c>
      <c r="O4926" t="str">
        <f>"PAGAMENTO DE ENTREGADORES"</f>
        <v>PAGAMENTO DE ENTREGADORES</v>
      </c>
      <c r="P4926">
        <v>432</v>
      </c>
      <c r="S4926" t="str">
        <f>"BANCO C6 (149)"</f>
        <v>BANCO C6 (149)</v>
      </c>
      <c r="T4926">
        <v>32094</v>
      </c>
      <c r="U4926">
        <v>35274</v>
      </c>
      <c r="V4926" t="s">
        <v>37</v>
      </c>
    </row>
    <row r="4927" spans="1:22">
      <c r="A4927" t="str">
        <f t="shared" si="892"/>
        <v>26/03/2026</v>
      </c>
      <c r="B4927" t="str">
        <f t="shared" si="893"/>
        <v>SAÍDA</v>
      </c>
      <c r="C4927" t="str">
        <f t="shared" si="895"/>
        <v>PIX</v>
      </c>
      <c r="D4927" t="str">
        <f>"35274"</f>
        <v>35274</v>
      </c>
      <c r="E4927" t="str">
        <f t="shared" si="896"/>
        <v>1</v>
      </c>
      <c r="F4927" t="str">
        <f t="shared" si="890"/>
        <v>COM</v>
      </c>
      <c r="G4927" t="str">
        <f>"NILTON RODRIGUES DE SOUZA (136)"</f>
        <v>NILTON RODRIGUES DE SOUZA (136)</v>
      </c>
      <c r="H4927" t="s">
        <v>1353</v>
      </c>
      <c r="I4927" t="str">
        <f t="shared" si="894"/>
        <v>26/03/2026</v>
      </c>
      <c r="J4927" t="str">
        <f t="shared" si="891"/>
        <v>17/03/2026</v>
      </c>
      <c r="K4927">
        <v>46107</v>
      </c>
      <c r="N4927">
        <v>109</v>
      </c>
      <c r="O4927" t="s">
        <v>27</v>
      </c>
      <c r="Q4927">
        <v>432</v>
      </c>
      <c r="R4927" t="str">
        <f>"FARMÁCIA INDIANA LJ 19 (10012)"</f>
        <v>FARMÁCIA INDIANA LJ 19 (10012)</v>
      </c>
      <c r="S4927" t="s">
        <v>37</v>
      </c>
      <c r="T4927">
        <v>32094</v>
      </c>
      <c r="U4927">
        <v>35274</v>
      </c>
      <c r="V4927" t="s">
        <v>37</v>
      </c>
    </row>
    <row r="4928" spans="1:22">
      <c r="A4928" t="str">
        <f t="shared" si="892"/>
        <v>26/03/2026</v>
      </c>
      <c r="B4928" t="str">
        <f t="shared" si="893"/>
        <v>SAÍDA</v>
      </c>
      <c r="C4928" t="str">
        <f t="shared" si="895"/>
        <v>PIX</v>
      </c>
      <c r="D4928" t="str">
        <f>"35275"</f>
        <v>35275</v>
      </c>
      <c r="E4928" t="str">
        <f t="shared" si="896"/>
        <v>1</v>
      </c>
      <c r="F4928" t="str">
        <f t="shared" si="890"/>
        <v>COM</v>
      </c>
      <c r="G4928" t="str">
        <f>"PATRICK DE SOUZA CORREA (92)"</f>
        <v>PATRICK DE SOUZA CORREA (92)</v>
      </c>
      <c r="H4928" t="str">
        <f>"Serv.Prest. 09/03/2026 a 15/03/2026 - PIX: CELULAR - CHAVE: (31) 99216-8711"</f>
        <v>Serv.Prest. 09/03/2026 a 15/03/2026 - PIX: CELULAR - CHAVE: (31) 99216-8711</v>
      </c>
      <c r="I4928" t="str">
        <f t="shared" si="894"/>
        <v>26/03/2026</v>
      </c>
      <c r="J4928" t="str">
        <f t="shared" si="891"/>
        <v>17/03/2026</v>
      </c>
      <c r="K4928" t="str">
        <f>("26/03/2026")</f>
        <v>26/03/2026</v>
      </c>
      <c r="L4928">
        <v>48</v>
      </c>
      <c r="M4928">
        <v>48</v>
      </c>
      <c r="N4928">
        <v>109</v>
      </c>
      <c r="O4928" t="str">
        <f>"PAGAMENTO DE ENTREGADORES"</f>
        <v>PAGAMENTO DE ENTREGADORES</v>
      </c>
      <c r="P4928">
        <v>48</v>
      </c>
      <c r="S4928" t="str">
        <f>"BANCO C6 (149)"</f>
        <v>BANCO C6 (149)</v>
      </c>
      <c r="T4928">
        <v>32095</v>
      </c>
      <c r="U4928">
        <v>35275</v>
      </c>
      <c r="V4928" t="s">
        <v>37</v>
      </c>
    </row>
    <row r="4929" spans="1:22">
      <c r="A4929" t="str">
        <f t="shared" si="892"/>
        <v>26/03/2026</v>
      </c>
      <c r="B4929" t="str">
        <f t="shared" si="893"/>
        <v>SAÍDA</v>
      </c>
      <c r="C4929" t="str">
        <f t="shared" si="895"/>
        <v>PIX</v>
      </c>
      <c r="D4929" t="str">
        <f>"35275"</f>
        <v>35275</v>
      </c>
      <c r="E4929" t="str">
        <f t="shared" si="896"/>
        <v>1</v>
      </c>
      <c r="F4929" t="str">
        <f t="shared" si="890"/>
        <v>COM</v>
      </c>
      <c r="G4929" t="str">
        <f>"PATRICK DE SOUZA CORREA (92)"</f>
        <v>PATRICK DE SOUZA CORREA (92)</v>
      </c>
      <c r="H4929" t="s">
        <v>1354</v>
      </c>
      <c r="I4929" t="str">
        <f t="shared" si="894"/>
        <v>26/03/2026</v>
      </c>
      <c r="J4929" t="str">
        <f t="shared" si="891"/>
        <v>17/03/2026</v>
      </c>
      <c r="K4929">
        <v>46107</v>
      </c>
      <c r="N4929">
        <v>109</v>
      </c>
      <c r="O4929" t="s">
        <v>27</v>
      </c>
      <c r="Q4929">
        <v>48</v>
      </c>
      <c r="R4929" t="str">
        <f>"FARMÁCIA INDIANA LJ 184 (10080)"</f>
        <v>FARMÁCIA INDIANA LJ 184 (10080)</v>
      </c>
      <c r="S4929" t="s">
        <v>37</v>
      </c>
      <c r="T4929">
        <v>32095</v>
      </c>
      <c r="U4929">
        <v>35275</v>
      </c>
      <c r="V4929" t="s">
        <v>37</v>
      </c>
    </row>
    <row r="4930" spans="1:22">
      <c r="A4930" t="str">
        <f t="shared" si="892"/>
        <v>26/03/2026</v>
      </c>
      <c r="B4930" t="str">
        <f t="shared" si="893"/>
        <v>SAÍDA</v>
      </c>
      <c r="C4930" t="str">
        <f t="shared" si="895"/>
        <v>PIX</v>
      </c>
      <c r="D4930" t="str">
        <f>"35276"</f>
        <v>35276</v>
      </c>
      <c r="E4930" t="str">
        <f t="shared" si="896"/>
        <v>1</v>
      </c>
      <c r="F4930" t="str">
        <f t="shared" ref="F4930:F4993" si="897">"COM"</f>
        <v>COM</v>
      </c>
      <c r="G4930" t="str">
        <f>"PATRICK DE SOUZA CORREA (92)"</f>
        <v>PATRICK DE SOUZA CORREA (92)</v>
      </c>
      <c r="H4930" t="str">
        <f>"Serv.Prest. 09/03/2026 a 15/03/2026 - PIX: CELULAR - CHAVE: (31) 99216-8711"</f>
        <v>Serv.Prest. 09/03/2026 a 15/03/2026 - PIX: CELULAR - CHAVE: (31) 99216-8711</v>
      </c>
      <c r="I4930" t="str">
        <f t="shared" si="894"/>
        <v>26/03/2026</v>
      </c>
      <c r="J4930" t="str">
        <f t="shared" si="891"/>
        <v>17/03/2026</v>
      </c>
      <c r="K4930" t="str">
        <f>("26/03/2026")</f>
        <v>26/03/2026</v>
      </c>
      <c r="L4930">
        <v>30</v>
      </c>
      <c r="M4930">
        <v>30</v>
      </c>
      <c r="N4930">
        <v>109</v>
      </c>
      <c r="O4930" t="str">
        <f>"PAGAMENTO DE ENTREGADORES"</f>
        <v>PAGAMENTO DE ENTREGADORES</v>
      </c>
      <c r="P4930">
        <v>30</v>
      </c>
      <c r="S4930" t="str">
        <f>"BANCO C6 (149)"</f>
        <v>BANCO C6 (149)</v>
      </c>
      <c r="T4930">
        <v>32096</v>
      </c>
      <c r="U4930">
        <v>35276</v>
      </c>
      <c r="V4930" t="s">
        <v>37</v>
      </c>
    </row>
    <row r="4931" spans="1:22">
      <c r="A4931" t="str">
        <f t="shared" si="892"/>
        <v>26/03/2026</v>
      </c>
      <c r="B4931" t="str">
        <f t="shared" si="893"/>
        <v>SAÍDA</v>
      </c>
      <c r="C4931" t="str">
        <f t="shared" si="895"/>
        <v>PIX</v>
      </c>
      <c r="D4931" t="str">
        <f>"35276"</f>
        <v>35276</v>
      </c>
      <c r="E4931" t="str">
        <f t="shared" si="896"/>
        <v>1</v>
      </c>
      <c r="F4931" t="str">
        <f t="shared" si="897"/>
        <v>COM</v>
      </c>
      <c r="G4931" t="str">
        <f>"PATRICK DE SOUZA CORREA (92)"</f>
        <v>PATRICK DE SOUZA CORREA (92)</v>
      </c>
      <c r="H4931" t="s">
        <v>1354</v>
      </c>
      <c r="I4931" t="str">
        <f t="shared" si="894"/>
        <v>26/03/2026</v>
      </c>
      <c r="J4931" t="str">
        <f t="shared" si="891"/>
        <v>17/03/2026</v>
      </c>
      <c r="K4931">
        <v>46107</v>
      </c>
      <c r="N4931">
        <v>109</v>
      </c>
      <c r="O4931" t="s">
        <v>27</v>
      </c>
      <c r="Q4931">
        <v>30</v>
      </c>
      <c r="R4931" t="str">
        <f>"FARMÁCIA INDIANA LJ 195 (10083)"</f>
        <v>FARMÁCIA INDIANA LJ 195 (10083)</v>
      </c>
      <c r="S4931" t="s">
        <v>37</v>
      </c>
      <c r="T4931">
        <v>32096</v>
      </c>
      <c r="U4931">
        <v>35276</v>
      </c>
      <c r="V4931" t="s">
        <v>37</v>
      </c>
    </row>
    <row r="4932" spans="1:22">
      <c r="A4932" t="str">
        <f t="shared" si="892"/>
        <v>26/03/2026</v>
      </c>
      <c r="B4932" t="str">
        <f t="shared" si="893"/>
        <v>SAÍDA</v>
      </c>
      <c r="C4932" t="str">
        <f t="shared" si="895"/>
        <v>PIX</v>
      </c>
      <c r="D4932" t="str">
        <f>"35277"</f>
        <v>35277</v>
      </c>
      <c r="E4932" t="str">
        <f t="shared" si="896"/>
        <v>1</v>
      </c>
      <c r="F4932" t="str">
        <f t="shared" si="897"/>
        <v>COM</v>
      </c>
      <c r="G4932" t="str">
        <f>"PAULO HENRIQUE OLIVEIRA SILVA (39)"</f>
        <v>PAULO HENRIQUE OLIVEIRA SILVA (39)</v>
      </c>
      <c r="H4932" t="str">
        <f>"Serv.Prest. 09/03/2026 a 15/03/2026 - PIX: CELULAR - CHAVE: (31) 97339-3761"</f>
        <v>Serv.Prest. 09/03/2026 a 15/03/2026 - PIX: CELULAR - CHAVE: (31) 97339-3761</v>
      </c>
      <c r="I4932" t="str">
        <f t="shared" si="894"/>
        <v>26/03/2026</v>
      </c>
      <c r="J4932" t="str">
        <f t="shared" si="891"/>
        <v>17/03/2026</v>
      </c>
      <c r="K4932" t="str">
        <f>("26/03/2026")</f>
        <v>26/03/2026</v>
      </c>
      <c r="L4932">
        <v>1338</v>
      </c>
      <c r="M4932">
        <v>1338</v>
      </c>
      <c r="N4932">
        <v>109</v>
      </c>
      <c r="O4932" t="str">
        <f>"PAGAMENTO DE ENTREGADORES"</f>
        <v>PAGAMENTO DE ENTREGADORES</v>
      </c>
      <c r="P4932">
        <v>1338</v>
      </c>
      <c r="S4932" t="str">
        <f>"BANCO C6 (149)"</f>
        <v>BANCO C6 (149)</v>
      </c>
      <c r="T4932">
        <v>32097</v>
      </c>
      <c r="U4932">
        <v>35277</v>
      </c>
      <c r="V4932" t="s">
        <v>37</v>
      </c>
    </row>
    <row r="4933" spans="1:22">
      <c r="A4933" t="str">
        <f t="shared" si="892"/>
        <v>26/03/2026</v>
      </c>
      <c r="B4933" t="str">
        <f t="shared" si="893"/>
        <v>SAÍDA</v>
      </c>
      <c r="C4933" t="str">
        <f t="shared" si="895"/>
        <v>PIX</v>
      </c>
      <c r="D4933" t="str">
        <f>"35277"</f>
        <v>35277</v>
      </c>
      <c r="E4933" t="str">
        <f t="shared" si="896"/>
        <v>1</v>
      </c>
      <c r="F4933" t="str">
        <f t="shared" si="897"/>
        <v>COM</v>
      </c>
      <c r="G4933" t="str">
        <f>"PAULO HENRIQUE OLIVEIRA SILVA (39)"</f>
        <v>PAULO HENRIQUE OLIVEIRA SILVA (39)</v>
      </c>
      <c r="H4933" t="s">
        <v>1355</v>
      </c>
      <c r="I4933" t="str">
        <f t="shared" si="894"/>
        <v>26/03/2026</v>
      </c>
      <c r="J4933" t="str">
        <f t="shared" si="891"/>
        <v>17/03/2026</v>
      </c>
      <c r="K4933">
        <v>46107</v>
      </c>
      <c r="N4933">
        <v>109</v>
      </c>
      <c r="O4933" t="s">
        <v>27</v>
      </c>
      <c r="Q4933">
        <v>1338</v>
      </c>
      <c r="R4933" t="str">
        <f>"FARMÁCIA INDIANA LJ 11 (10008)"</f>
        <v>FARMÁCIA INDIANA LJ 11 (10008)</v>
      </c>
      <c r="S4933" t="s">
        <v>37</v>
      </c>
      <c r="T4933">
        <v>32097</v>
      </c>
      <c r="U4933">
        <v>35277</v>
      </c>
      <c r="V4933" t="s">
        <v>37</v>
      </c>
    </row>
    <row r="4934" spans="1:22">
      <c r="A4934" t="str">
        <f t="shared" si="892"/>
        <v>26/03/2026</v>
      </c>
      <c r="B4934" t="str">
        <f t="shared" si="893"/>
        <v>SAÍDA</v>
      </c>
      <c r="C4934" t="str">
        <f t="shared" si="895"/>
        <v>PIX</v>
      </c>
      <c r="D4934" t="str">
        <f>"35278"</f>
        <v>35278</v>
      </c>
      <c r="E4934" t="str">
        <f t="shared" si="896"/>
        <v>1</v>
      </c>
      <c r="F4934" t="str">
        <f t="shared" si="897"/>
        <v>COM</v>
      </c>
      <c r="G4934" t="str">
        <f>"PHABLO HEINRICK VALADARES FERREIRA (989)"</f>
        <v>PHABLO HEINRICK VALADARES FERREIRA (989)</v>
      </c>
      <c r="H4934" t="str">
        <f>"Serv.Prest. 09/03/2026 a 15/03/2026 - PIX: CPF - CHAVE: 135.640.066-30"</f>
        <v>Serv.Prest. 09/03/2026 a 15/03/2026 - PIX: CPF - CHAVE: 135.640.066-30</v>
      </c>
      <c r="I4934" t="str">
        <f t="shared" si="894"/>
        <v>26/03/2026</v>
      </c>
      <c r="J4934" t="str">
        <f t="shared" si="891"/>
        <v>17/03/2026</v>
      </c>
      <c r="K4934" t="str">
        <f>("26/03/2026")</f>
        <v>26/03/2026</v>
      </c>
      <c r="L4934">
        <v>1350</v>
      </c>
      <c r="M4934">
        <v>1350</v>
      </c>
      <c r="N4934">
        <v>109</v>
      </c>
      <c r="O4934" t="str">
        <f>"PAGAMENTO DE ENTREGADORES"</f>
        <v>PAGAMENTO DE ENTREGADORES</v>
      </c>
      <c r="P4934">
        <v>1350</v>
      </c>
      <c r="S4934" t="str">
        <f>"BANCO C6 (149)"</f>
        <v>BANCO C6 (149)</v>
      </c>
      <c r="T4934">
        <v>32098</v>
      </c>
      <c r="U4934">
        <v>35278</v>
      </c>
      <c r="V4934" t="s">
        <v>37</v>
      </c>
    </row>
    <row r="4935" spans="1:22">
      <c r="A4935" t="str">
        <f t="shared" si="892"/>
        <v>26/03/2026</v>
      </c>
      <c r="B4935" t="str">
        <f t="shared" si="893"/>
        <v>SAÍDA</v>
      </c>
      <c r="C4935" t="str">
        <f t="shared" si="895"/>
        <v>PIX</v>
      </c>
      <c r="D4935" t="str">
        <f>"35278"</f>
        <v>35278</v>
      </c>
      <c r="E4935" t="str">
        <f t="shared" si="896"/>
        <v>1</v>
      </c>
      <c r="F4935" t="str">
        <f t="shared" si="897"/>
        <v>COM</v>
      </c>
      <c r="G4935" t="str">
        <f>"PHABLO HEINRICK VALADARES FERREIRA (989)"</f>
        <v>PHABLO HEINRICK VALADARES FERREIRA (989)</v>
      </c>
      <c r="H4935" t="s">
        <v>1356</v>
      </c>
      <c r="I4935" t="str">
        <f t="shared" si="894"/>
        <v>26/03/2026</v>
      </c>
      <c r="J4935" t="str">
        <f t="shared" si="891"/>
        <v>17/03/2026</v>
      </c>
      <c r="K4935">
        <v>46107</v>
      </c>
      <c r="N4935">
        <v>109</v>
      </c>
      <c r="O4935" t="s">
        <v>27</v>
      </c>
      <c r="Q4935">
        <v>1350</v>
      </c>
      <c r="R4935" t="str">
        <f>"FARMÁCIA INDIANA LJ 101 (10043)"</f>
        <v>FARMÁCIA INDIANA LJ 101 (10043)</v>
      </c>
      <c r="S4935" t="s">
        <v>37</v>
      </c>
      <c r="T4935">
        <v>32098</v>
      </c>
      <c r="U4935">
        <v>35278</v>
      </c>
      <c r="V4935" t="s">
        <v>37</v>
      </c>
    </row>
    <row r="4936" spans="1:22">
      <c r="A4936" t="str">
        <f t="shared" si="892"/>
        <v>26/03/2026</v>
      </c>
      <c r="B4936" t="str">
        <f t="shared" si="893"/>
        <v>SAÍDA</v>
      </c>
      <c r="C4936" t="str">
        <f t="shared" si="895"/>
        <v>PIX</v>
      </c>
      <c r="D4936" t="str">
        <f>"35279"</f>
        <v>35279</v>
      </c>
      <c r="E4936" t="str">
        <f t="shared" si="896"/>
        <v>1</v>
      </c>
      <c r="F4936" t="str">
        <f t="shared" si="897"/>
        <v>COM</v>
      </c>
      <c r="G4936" t="str">
        <f>"RAFAEL MONTEIRO DE CASTRO VITRAL (1038)"</f>
        <v>RAFAEL MONTEIRO DE CASTRO VITRAL (1038)</v>
      </c>
      <c r="H4936" t="str">
        <f>"Serv.Prest. 09/03/2026 a 15/03/2026 - PIX: CELULAR - CHAVE: (24) 99846-2202"</f>
        <v>Serv.Prest. 09/03/2026 a 15/03/2026 - PIX: CELULAR - CHAVE: (24) 99846-2202</v>
      </c>
      <c r="I4936" t="str">
        <f t="shared" si="894"/>
        <v>26/03/2026</v>
      </c>
      <c r="J4936" t="str">
        <f t="shared" si="891"/>
        <v>17/03/2026</v>
      </c>
      <c r="K4936" t="str">
        <f>("26/03/2026")</f>
        <v>26/03/2026</v>
      </c>
      <c r="L4936">
        <v>700</v>
      </c>
      <c r="M4936">
        <v>700</v>
      </c>
      <c r="N4936">
        <v>109</v>
      </c>
      <c r="O4936" t="str">
        <f>"PAGAMENTO DE ENTREGADORES"</f>
        <v>PAGAMENTO DE ENTREGADORES</v>
      </c>
      <c r="P4936">
        <v>700</v>
      </c>
      <c r="S4936" t="str">
        <f>"BANCO C6 (149)"</f>
        <v>BANCO C6 (149)</v>
      </c>
      <c r="T4936">
        <v>32099</v>
      </c>
      <c r="U4936">
        <v>35279</v>
      </c>
      <c r="V4936" t="s">
        <v>37</v>
      </c>
    </row>
    <row r="4937" spans="1:22">
      <c r="A4937" t="str">
        <f t="shared" si="892"/>
        <v>26/03/2026</v>
      </c>
      <c r="B4937" t="str">
        <f t="shared" si="893"/>
        <v>SAÍDA</v>
      </c>
      <c r="C4937" t="str">
        <f t="shared" si="895"/>
        <v>PIX</v>
      </c>
      <c r="D4937" t="str">
        <f>"35279"</f>
        <v>35279</v>
      </c>
      <c r="E4937" t="str">
        <f t="shared" si="896"/>
        <v>1</v>
      </c>
      <c r="F4937" t="str">
        <f t="shared" si="897"/>
        <v>COM</v>
      </c>
      <c r="G4937" t="str">
        <f>"RAFAEL MONTEIRO DE CASTRO VITRAL (1038)"</f>
        <v>RAFAEL MONTEIRO DE CASTRO VITRAL (1038)</v>
      </c>
      <c r="H4937" t="s">
        <v>1357</v>
      </c>
      <c r="I4937" t="str">
        <f t="shared" si="894"/>
        <v>26/03/2026</v>
      </c>
      <c r="J4937" t="str">
        <f t="shared" si="891"/>
        <v>17/03/2026</v>
      </c>
      <c r="K4937">
        <v>46107</v>
      </c>
      <c r="N4937">
        <v>109</v>
      </c>
      <c r="O4937" t="s">
        <v>27</v>
      </c>
      <c r="Q4937">
        <v>700</v>
      </c>
      <c r="R4937" t="str">
        <f>"FARMÁCIA INDIANA LJ 219 (10091)"</f>
        <v>FARMÁCIA INDIANA LJ 219 (10091)</v>
      </c>
      <c r="S4937" t="s">
        <v>37</v>
      </c>
      <c r="T4937">
        <v>32099</v>
      </c>
      <c r="U4937">
        <v>35279</v>
      </c>
      <c r="V4937" t="s">
        <v>37</v>
      </c>
    </row>
    <row r="4938" spans="1:22">
      <c r="A4938" t="str">
        <f t="shared" si="892"/>
        <v>26/03/2026</v>
      </c>
      <c r="B4938" t="str">
        <f t="shared" si="893"/>
        <v>SAÍDA</v>
      </c>
      <c r="C4938" t="str">
        <f t="shared" si="895"/>
        <v>PIX</v>
      </c>
      <c r="D4938" t="str">
        <f>"35280"</f>
        <v>35280</v>
      </c>
      <c r="E4938" t="str">
        <f t="shared" si="896"/>
        <v>1</v>
      </c>
      <c r="F4938" t="str">
        <f t="shared" si="897"/>
        <v>COM</v>
      </c>
      <c r="G4938" t="str">
        <f>"RAISSON VITOR MENDES DE ABREU (705)"</f>
        <v>RAISSON VITOR MENDES DE ABREU (705)</v>
      </c>
      <c r="H4938" t="str">
        <f>"Serv.Prest. 09/03/2026 a 15/03/2026 - PIX: CELULAR - CHAVE: (31) 99959-5414"</f>
        <v>Serv.Prest. 09/03/2026 a 15/03/2026 - PIX: CELULAR - CHAVE: (31) 99959-5414</v>
      </c>
      <c r="I4938" t="str">
        <f t="shared" si="894"/>
        <v>26/03/2026</v>
      </c>
      <c r="J4938" t="str">
        <f t="shared" si="891"/>
        <v>17/03/2026</v>
      </c>
      <c r="K4938" t="str">
        <f>("26/03/2026")</f>
        <v>26/03/2026</v>
      </c>
      <c r="L4938">
        <v>960</v>
      </c>
      <c r="M4938">
        <v>960</v>
      </c>
      <c r="N4938">
        <v>109</v>
      </c>
      <c r="O4938" t="str">
        <f>"PAGAMENTO DE ENTREGADORES"</f>
        <v>PAGAMENTO DE ENTREGADORES</v>
      </c>
      <c r="P4938">
        <v>960</v>
      </c>
      <c r="S4938" t="str">
        <f>"BANCO C6 (149)"</f>
        <v>BANCO C6 (149)</v>
      </c>
      <c r="T4938">
        <v>32100</v>
      </c>
      <c r="U4938">
        <v>35280</v>
      </c>
      <c r="V4938" t="s">
        <v>37</v>
      </c>
    </row>
    <row r="4939" spans="1:22">
      <c r="A4939" t="str">
        <f t="shared" si="892"/>
        <v>26/03/2026</v>
      </c>
      <c r="B4939" t="str">
        <f t="shared" si="893"/>
        <v>SAÍDA</v>
      </c>
      <c r="C4939" t="str">
        <f t="shared" si="895"/>
        <v>PIX</v>
      </c>
      <c r="D4939" t="str">
        <f>"35280"</f>
        <v>35280</v>
      </c>
      <c r="E4939" t="str">
        <f t="shared" si="896"/>
        <v>1</v>
      </c>
      <c r="F4939" t="str">
        <f t="shared" si="897"/>
        <v>COM</v>
      </c>
      <c r="G4939" t="str">
        <f>"RAISSON VITOR MENDES DE ABREU (705)"</f>
        <v>RAISSON VITOR MENDES DE ABREU (705)</v>
      </c>
      <c r="H4939" t="s">
        <v>1358</v>
      </c>
      <c r="I4939" t="str">
        <f t="shared" si="894"/>
        <v>26/03/2026</v>
      </c>
      <c r="J4939" t="str">
        <f t="shared" si="891"/>
        <v>17/03/2026</v>
      </c>
      <c r="K4939">
        <v>46107</v>
      </c>
      <c r="N4939">
        <v>109</v>
      </c>
      <c r="O4939" t="s">
        <v>27</v>
      </c>
      <c r="Q4939">
        <v>960</v>
      </c>
      <c r="R4939" t="str">
        <f>"FARMÁCIA INDIANA LJ 178 (10077)"</f>
        <v>FARMÁCIA INDIANA LJ 178 (10077)</v>
      </c>
      <c r="S4939" t="s">
        <v>37</v>
      </c>
      <c r="T4939">
        <v>32100</v>
      </c>
      <c r="U4939">
        <v>35280</v>
      </c>
      <c r="V4939" t="s">
        <v>37</v>
      </c>
    </row>
    <row r="4940" spans="1:22">
      <c r="A4940" t="str">
        <f t="shared" si="892"/>
        <v>26/03/2026</v>
      </c>
      <c r="B4940" t="str">
        <f t="shared" si="893"/>
        <v>SAÍDA</v>
      </c>
      <c r="C4940" t="str">
        <f t="shared" si="895"/>
        <v>PIX</v>
      </c>
      <c r="D4940" t="str">
        <f>"35281"</f>
        <v>35281</v>
      </c>
      <c r="E4940" t="str">
        <f t="shared" si="896"/>
        <v>1</v>
      </c>
      <c r="F4940" t="str">
        <f t="shared" si="897"/>
        <v>COM</v>
      </c>
      <c r="G4940" t="str">
        <f>"REGINALDO PIRES PORTES (1009)"</f>
        <v>REGINALDO PIRES PORTES (1009)</v>
      </c>
      <c r="H4940" t="str">
        <f>"Serv.Prest. 09/03/2026 a 15/03/2026 - PIX: CPF - CHAVE: 072.968.086-08"</f>
        <v>Serv.Prest. 09/03/2026 a 15/03/2026 - PIX: CPF - CHAVE: 072.968.086-08</v>
      </c>
      <c r="I4940" t="str">
        <f t="shared" si="894"/>
        <v>26/03/2026</v>
      </c>
      <c r="J4940" t="str">
        <f t="shared" si="891"/>
        <v>17/03/2026</v>
      </c>
      <c r="K4940" t="str">
        <f>("26/03/2026")</f>
        <v>26/03/2026</v>
      </c>
      <c r="L4940">
        <v>654</v>
      </c>
      <c r="M4940">
        <v>654</v>
      </c>
      <c r="N4940">
        <v>109</v>
      </c>
      <c r="O4940" t="str">
        <f>"PAGAMENTO DE ENTREGADORES"</f>
        <v>PAGAMENTO DE ENTREGADORES</v>
      </c>
      <c r="P4940">
        <v>654</v>
      </c>
      <c r="S4940" t="str">
        <f>"BANCO C6 (149)"</f>
        <v>BANCO C6 (149)</v>
      </c>
      <c r="T4940">
        <v>32101</v>
      </c>
      <c r="U4940">
        <v>35281</v>
      </c>
      <c r="V4940" t="s">
        <v>37</v>
      </c>
    </row>
    <row r="4941" spans="1:22">
      <c r="A4941" t="str">
        <f t="shared" si="892"/>
        <v>26/03/2026</v>
      </c>
      <c r="B4941" t="str">
        <f t="shared" si="893"/>
        <v>SAÍDA</v>
      </c>
      <c r="C4941" t="str">
        <f t="shared" si="895"/>
        <v>PIX</v>
      </c>
      <c r="D4941" t="str">
        <f>"35281"</f>
        <v>35281</v>
      </c>
      <c r="E4941" t="str">
        <f t="shared" si="896"/>
        <v>1</v>
      </c>
      <c r="F4941" t="str">
        <f t="shared" si="897"/>
        <v>COM</v>
      </c>
      <c r="G4941" t="str">
        <f>"REGINALDO PIRES PORTES (1009)"</f>
        <v>REGINALDO PIRES PORTES (1009)</v>
      </c>
      <c r="H4941" t="s">
        <v>1359</v>
      </c>
      <c r="I4941" t="str">
        <f t="shared" si="894"/>
        <v>26/03/2026</v>
      </c>
      <c r="J4941" t="str">
        <f t="shared" si="891"/>
        <v>17/03/2026</v>
      </c>
      <c r="K4941">
        <v>46107</v>
      </c>
      <c r="N4941">
        <v>109</v>
      </c>
      <c r="O4941" t="s">
        <v>27</v>
      </c>
      <c r="Q4941">
        <v>654</v>
      </c>
      <c r="R4941" t="str">
        <f>"FARMÁCIA INDIANA LJ 19 (10012)"</f>
        <v>FARMÁCIA INDIANA LJ 19 (10012)</v>
      </c>
      <c r="S4941" t="s">
        <v>37</v>
      </c>
      <c r="T4941">
        <v>32101</v>
      </c>
      <c r="U4941">
        <v>35281</v>
      </c>
      <c r="V4941" t="s">
        <v>37</v>
      </c>
    </row>
    <row r="4942" spans="1:22">
      <c r="A4942" t="str">
        <f t="shared" si="892"/>
        <v>26/03/2026</v>
      </c>
      <c r="B4942" t="str">
        <f t="shared" si="893"/>
        <v>SAÍDA</v>
      </c>
      <c r="C4942" t="str">
        <f t="shared" si="895"/>
        <v>PIX</v>
      </c>
      <c r="D4942" t="str">
        <f>"35283"</f>
        <v>35283</v>
      </c>
      <c r="E4942" t="str">
        <f t="shared" si="896"/>
        <v>1</v>
      </c>
      <c r="F4942" t="str">
        <f t="shared" si="897"/>
        <v>COM</v>
      </c>
      <c r="G4942" t="str">
        <f>"RENATO GEORGE GONÇALVES (191)"</f>
        <v>RENATO GEORGE GONÇALVES (191)</v>
      </c>
      <c r="H4942" t="str">
        <f>"Serv.Prest. 09/03/2026 a 15/03/2026 - PIX: CPF - CHAVE: 012.783.036-77"</f>
        <v>Serv.Prest. 09/03/2026 a 15/03/2026 - PIX: CPF - CHAVE: 012.783.036-77</v>
      </c>
      <c r="I4942" t="str">
        <f t="shared" si="894"/>
        <v>26/03/2026</v>
      </c>
      <c r="J4942" t="str">
        <f t="shared" ref="J4942:J5003" si="898">("17/03/2026")</f>
        <v>17/03/2026</v>
      </c>
      <c r="K4942" t="str">
        <f>("26/03/2026")</f>
        <v>26/03/2026</v>
      </c>
      <c r="L4942">
        <v>1080</v>
      </c>
      <c r="M4942">
        <v>1080</v>
      </c>
      <c r="N4942">
        <v>109</v>
      </c>
      <c r="O4942" t="str">
        <f>"PAGAMENTO DE ENTREGADORES"</f>
        <v>PAGAMENTO DE ENTREGADORES</v>
      </c>
      <c r="P4942">
        <v>1080</v>
      </c>
      <c r="S4942" t="str">
        <f>"BANCO C6 (149)"</f>
        <v>BANCO C6 (149)</v>
      </c>
      <c r="T4942">
        <v>32102</v>
      </c>
      <c r="U4942">
        <v>35283</v>
      </c>
      <c r="V4942" t="s">
        <v>37</v>
      </c>
    </row>
    <row r="4943" spans="1:22">
      <c r="A4943" t="str">
        <f t="shared" si="892"/>
        <v>26/03/2026</v>
      </c>
      <c r="B4943" t="str">
        <f t="shared" si="893"/>
        <v>SAÍDA</v>
      </c>
      <c r="C4943" t="str">
        <f t="shared" si="895"/>
        <v>PIX</v>
      </c>
      <c r="D4943" t="str">
        <f>"35283"</f>
        <v>35283</v>
      </c>
      <c r="E4943" t="str">
        <f t="shared" si="896"/>
        <v>1</v>
      </c>
      <c r="F4943" t="str">
        <f t="shared" si="897"/>
        <v>COM</v>
      </c>
      <c r="G4943" t="str">
        <f>"RENATO GEORGE GONÇALVES (191)"</f>
        <v>RENATO GEORGE GONÇALVES (191)</v>
      </c>
      <c r="H4943" t="s">
        <v>1360</v>
      </c>
      <c r="I4943" t="str">
        <f t="shared" si="894"/>
        <v>26/03/2026</v>
      </c>
      <c r="J4943" t="str">
        <f t="shared" si="898"/>
        <v>17/03/2026</v>
      </c>
      <c r="K4943">
        <v>46107</v>
      </c>
      <c r="N4943">
        <v>109</v>
      </c>
      <c r="O4943" t="s">
        <v>27</v>
      </c>
      <c r="Q4943">
        <v>1080</v>
      </c>
      <c r="R4943" t="str">
        <f>"FARMÁCIA INDIANA LJ 06 (10006)"</f>
        <v>FARMÁCIA INDIANA LJ 06 (10006)</v>
      </c>
      <c r="S4943" t="s">
        <v>37</v>
      </c>
      <c r="T4943">
        <v>32102</v>
      </c>
      <c r="U4943">
        <v>35283</v>
      </c>
      <c r="V4943" t="s">
        <v>37</v>
      </c>
    </row>
    <row r="4944" spans="1:22">
      <c r="A4944" t="str">
        <f t="shared" si="892"/>
        <v>26/03/2026</v>
      </c>
      <c r="B4944" t="str">
        <f t="shared" si="893"/>
        <v>SAÍDA</v>
      </c>
      <c r="C4944" t="str">
        <f t="shared" si="895"/>
        <v>PIX</v>
      </c>
      <c r="D4944" t="str">
        <f>"35284"</f>
        <v>35284</v>
      </c>
      <c r="E4944" t="str">
        <f t="shared" si="896"/>
        <v>1</v>
      </c>
      <c r="F4944" t="str">
        <f t="shared" si="897"/>
        <v>COM</v>
      </c>
      <c r="G4944" t="str">
        <f>"ROGÉRIO LAURINDO BORGES (176)"</f>
        <v>ROGÉRIO LAURINDO BORGES (176)</v>
      </c>
      <c r="H4944" t="str">
        <f>"Serv.Prest. 09/03/2026 a 15/03/2026 - PIX: E-MAIL - CHAVE: roger.l.borges04@gmail.com"</f>
        <v>Serv.Prest. 09/03/2026 a 15/03/2026 - PIX: E-MAIL - CHAVE: roger.l.borges04@gmail.com</v>
      </c>
      <c r="I4944" t="str">
        <f t="shared" si="894"/>
        <v>26/03/2026</v>
      </c>
      <c r="J4944" t="str">
        <f t="shared" si="898"/>
        <v>17/03/2026</v>
      </c>
      <c r="K4944" t="str">
        <f>("26/03/2026")</f>
        <v>26/03/2026</v>
      </c>
      <c r="L4944">
        <v>1104</v>
      </c>
      <c r="M4944">
        <v>1104</v>
      </c>
      <c r="N4944">
        <v>109</v>
      </c>
      <c r="O4944" t="str">
        <f>"PAGAMENTO DE ENTREGADORES"</f>
        <v>PAGAMENTO DE ENTREGADORES</v>
      </c>
      <c r="P4944">
        <v>1104</v>
      </c>
      <c r="S4944" t="str">
        <f>"BANCO C6 (149)"</f>
        <v>BANCO C6 (149)</v>
      </c>
      <c r="T4944">
        <v>32103</v>
      </c>
      <c r="U4944">
        <v>35284</v>
      </c>
      <c r="V4944" t="s">
        <v>37</v>
      </c>
    </row>
    <row r="4945" spans="1:22">
      <c r="A4945" t="str">
        <f t="shared" si="892"/>
        <v>26/03/2026</v>
      </c>
      <c r="B4945" t="str">
        <f t="shared" si="893"/>
        <v>SAÍDA</v>
      </c>
      <c r="C4945" t="str">
        <f t="shared" si="895"/>
        <v>PIX</v>
      </c>
      <c r="D4945" t="str">
        <f>"35284"</f>
        <v>35284</v>
      </c>
      <c r="E4945" t="str">
        <f t="shared" si="896"/>
        <v>1</v>
      </c>
      <c r="F4945" t="str">
        <f t="shared" si="897"/>
        <v>COM</v>
      </c>
      <c r="G4945" t="str">
        <f>"ROGÉRIO LAURINDO BORGES (176)"</f>
        <v>ROGÉRIO LAURINDO BORGES (176)</v>
      </c>
      <c r="H4945" t="s">
        <v>1361</v>
      </c>
      <c r="I4945" t="str">
        <f t="shared" si="894"/>
        <v>26/03/2026</v>
      </c>
      <c r="J4945" t="str">
        <f t="shared" si="898"/>
        <v>17/03/2026</v>
      </c>
      <c r="K4945">
        <v>46107</v>
      </c>
      <c r="N4945">
        <v>109</v>
      </c>
      <c r="O4945" t="s">
        <v>27</v>
      </c>
      <c r="Q4945">
        <v>1104</v>
      </c>
      <c r="R4945" t="str">
        <f>"FARMÁCIA INDIANA LJ 142 (10066)"</f>
        <v>FARMÁCIA INDIANA LJ 142 (10066)</v>
      </c>
      <c r="S4945" t="s">
        <v>37</v>
      </c>
      <c r="T4945">
        <v>32103</v>
      </c>
      <c r="U4945">
        <v>35284</v>
      </c>
      <c r="V4945" t="s">
        <v>37</v>
      </c>
    </row>
    <row r="4946" spans="1:22">
      <c r="A4946" t="str">
        <f t="shared" si="892"/>
        <v>26/03/2026</v>
      </c>
      <c r="B4946" t="str">
        <f t="shared" si="893"/>
        <v>SAÍDA</v>
      </c>
      <c r="C4946" t="str">
        <f t="shared" si="895"/>
        <v>PIX</v>
      </c>
      <c r="D4946" t="str">
        <f>"35285"</f>
        <v>35285</v>
      </c>
      <c r="E4946" t="str">
        <f t="shared" si="896"/>
        <v>1</v>
      </c>
      <c r="F4946" t="str">
        <f t="shared" si="897"/>
        <v>COM</v>
      </c>
      <c r="G4946" t="str">
        <f t="shared" ref="G4946:G4953" si="899">"RONY RODRIGUES SOARES (1105)"</f>
        <v>RONY RODRIGUES SOARES (1105)</v>
      </c>
      <c r="H4946" t="str">
        <f>"Serv.Prest. 09/03/2026 a 15/03/2026 - PIX: CPF - CHAVE: 700.147.856-33"</f>
        <v>Serv.Prest. 09/03/2026 a 15/03/2026 - PIX: CPF - CHAVE: 700.147.856-33</v>
      </c>
      <c r="I4946" t="str">
        <f t="shared" si="894"/>
        <v>26/03/2026</v>
      </c>
      <c r="J4946" t="str">
        <f t="shared" si="898"/>
        <v>17/03/2026</v>
      </c>
      <c r="K4946" t="str">
        <f>("26/03/2026")</f>
        <v>26/03/2026</v>
      </c>
      <c r="L4946">
        <v>50</v>
      </c>
      <c r="M4946">
        <v>50</v>
      </c>
      <c r="N4946">
        <v>109</v>
      </c>
      <c r="O4946" t="str">
        <f>"PAGAMENTO DE ENTREGADORES"</f>
        <v>PAGAMENTO DE ENTREGADORES</v>
      </c>
      <c r="P4946">
        <v>50</v>
      </c>
      <c r="S4946" t="str">
        <f>"BANCO C6 (149)"</f>
        <v>BANCO C6 (149)</v>
      </c>
      <c r="T4946">
        <v>32104</v>
      </c>
      <c r="U4946">
        <v>35285</v>
      </c>
      <c r="V4946" t="s">
        <v>37</v>
      </c>
    </row>
    <row r="4947" spans="1:22">
      <c r="A4947" t="str">
        <f t="shared" si="892"/>
        <v>26/03/2026</v>
      </c>
      <c r="B4947" t="str">
        <f t="shared" si="893"/>
        <v>SAÍDA</v>
      </c>
      <c r="C4947" t="str">
        <f t="shared" si="895"/>
        <v>PIX</v>
      </c>
      <c r="D4947" t="str">
        <f>"35285"</f>
        <v>35285</v>
      </c>
      <c r="E4947" t="str">
        <f t="shared" si="896"/>
        <v>1</v>
      </c>
      <c r="F4947" t="str">
        <f t="shared" si="897"/>
        <v>COM</v>
      </c>
      <c r="G4947" t="str">
        <f t="shared" si="899"/>
        <v>RONY RODRIGUES SOARES (1105)</v>
      </c>
      <c r="H4947" t="s">
        <v>1362</v>
      </c>
      <c r="I4947" t="str">
        <f t="shared" si="894"/>
        <v>26/03/2026</v>
      </c>
      <c r="J4947" t="str">
        <f t="shared" si="898"/>
        <v>17/03/2026</v>
      </c>
      <c r="K4947">
        <v>46107</v>
      </c>
      <c r="N4947">
        <v>109</v>
      </c>
      <c r="O4947" t="s">
        <v>27</v>
      </c>
      <c r="Q4947">
        <v>50</v>
      </c>
      <c r="R4947" t="str">
        <f>"FARMÁCIA INDIANA LJ 121 (10054)"</f>
        <v>FARMÁCIA INDIANA LJ 121 (10054)</v>
      </c>
      <c r="S4947" t="s">
        <v>37</v>
      </c>
      <c r="T4947">
        <v>32104</v>
      </c>
      <c r="U4947">
        <v>35285</v>
      </c>
      <c r="V4947" t="s">
        <v>37</v>
      </c>
    </row>
    <row r="4948" spans="1:22">
      <c r="A4948" t="str">
        <f t="shared" si="892"/>
        <v>26/03/2026</v>
      </c>
      <c r="B4948" t="str">
        <f t="shared" si="893"/>
        <v>SAÍDA</v>
      </c>
      <c r="C4948" t="str">
        <f t="shared" si="895"/>
        <v>PIX</v>
      </c>
      <c r="D4948" t="str">
        <f>"35286"</f>
        <v>35286</v>
      </c>
      <c r="E4948" t="str">
        <f t="shared" si="896"/>
        <v>1</v>
      </c>
      <c r="F4948" t="str">
        <f t="shared" si="897"/>
        <v>COM</v>
      </c>
      <c r="G4948" t="str">
        <f t="shared" si="899"/>
        <v>RONY RODRIGUES SOARES (1105)</v>
      </c>
      <c r="H4948" t="str">
        <f>"Serv.Prest. 09/03/2026 a 15/03/2026 - PIX: CPF - CHAVE: 700.147.856-33"</f>
        <v>Serv.Prest. 09/03/2026 a 15/03/2026 - PIX: CPF - CHAVE: 700.147.856-33</v>
      </c>
      <c r="I4948" t="str">
        <f t="shared" si="894"/>
        <v>26/03/2026</v>
      </c>
      <c r="J4948" t="str">
        <f t="shared" si="898"/>
        <v>17/03/2026</v>
      </c>
      <c r="K4948" t="str">
        <f>("26/03/2026")</f>
        <v>26/03/2026</v>
      </c>
      <c r="L4948">
        <v>15</v>
      </c>
      <c r="M4948">
        <v>15</v>
      </c>
      <c r="N4948">
        <v>109</v>
      </c>
      <c r="O4948" t="str">
        <f>"PAGAMENTO DE ENTREGADORES"</f>
        <v>PAGAMENTO DE ENTREGADORES</v>
      </c>
      <c r="P4948">
        <v>15</v>
      </c>
      <c r="S4948" t="str">
        <f>"BANCO C6 (149)"</f>
        <v>BANCO C6 (149)</v>
      </c>
      <c r="T4948">
        <v>32105</v>
      </c>
      <c r="U4948">
        <v>35286</v>
      </c>
      <c r="V4948" t="s">
        <v>37</v>
      </c>
    </row>
    <row r="4949" spans="1:22">
      <c r="A4949" t="str">
        <f t="shared" si="892"/>
        <v>26/03/2026</v>
      </c>
      <c r="B4949" t="str">
        <f t="shared" si="893"/>
        <v>SAÍDA</v>
      </c>
      <c r="C4949" t="str">
        <f t="shared" si="895"/>
        <v>PIX</v>
      </c>
      <c r="D4949" t="str">
        <f>"35286"</f>
        <v>35286</v>
      </c>
      <c r="E4949" t="str">
        <f t="shared" si="896"/>
        <v>1</v>
      </c>
      <c r="F4949" t="str">
        <f t="shared" si="897"/>
        <v>COM</v>
      </c>
      <c r="G4949" t="str">
        <f t="shared" si="899"/>
        <v>RONY RODRIGUES SOARES (1105)</v>
      </c>
      <c r="H4949" t="s">
        <v>1362</v>
      </c>
      <c r="I4949" t="str">
        <f t="shared" si="894"/>
        <v>26/03/2026</v>
      </c>
      <c r="J4949" t="str">
        <f t="shared" si="898"/>
        <v>17/03/2026</v>
      </c>
      <c r="K4949">
        <v>46107</v>
      </c>
      <c r="N4949">
        <v>109</v>
      </c>
      <c r="O4949" t="s">
        <v>27</v>
      </c>
      <c r="Q4949">
        <v>15</v>
      </c>
      <c r="R4949" t="str">
        <f>"FARMÁCIA INDIANA LJ 128 (10057)"</f>
        <v>FARMÁCIA INDIANA LJ 128 (10057)</v>
      </c>
      <c r="S4949" t="s">
        <v>37</v>
      </c>
      <c r="T4949">
        <v>32105</v>
      </c>
      <c r="U4949">
        <v>35286</v>
      </c>
      <c r="V4949" t="s">
        <v>37</v>
      </c>
    </row>
    <row r="4950" spans="1:22">
      <c r="A4950" t="str">
        <f t="shared" si="892"/>
        <v>26/03/2026</v>
      </c>
      <c r="B4950" t="str">
        <f t="shared" si="893"/>
        <v>SAÍDA</v>
      </c>
      <c r="C4950" t="str">
        <f t="shared" si="895"/>
        <v>PIX</v>
      </c>
      <c r="D4950" t="str">
        <f>"35287"</f>
        <v>35287</v>
      </c>
      <c r="E4950" t="str">
        <f t="shared" si="896"/>
        <v>1</v>
      </c>
      <c r="F4950" t="str">
        <f t="shared" si="897"/>
        <v>COM</v>
      </c>
      <c r="G4950" t="str">
        <f t="shared" si="899"/>
        <v>RONY RODRIGUES SOARES (1105)</v>
      </c>
      <c r="H4950" t="str">
        <f>"Serv.Prest. 09/03/2026 a 15/03/2026 - PIX: CPF - CHAVE: 700.147.856-33"</f>
        <v>Serv.Prest. 09/03/2026 a 15/03/2026 - PIX: CPF - CHAVE: 700.147.856-33</v>
      </c>
      <c r="I4950" t="str">
        <f t="shared" si="894"/>
        <v>26/03/2026</v>
      </c>
      <c r="J4950" t="str">
        <f t="shared" si="898"/>
        <v>17/03/2026</v>
      </c>
      <c r="K4950" t="str">
        <f>("26/03/2026")</f>
        <v>26/03/2026</v>
      </c>
      <c r="L4950">
        <v>955</v>
      </c>
      <c r="M4950">
        <v>955</v>
      </c>
      <c r="N4950">
        <v>109</v>
      </c>
      <c r="O4950" t="str">
        <f>"PAGAMENTO DE ENTREGADORES"</f>
        <v>PAGAMENTO DE ENTREGADORES</v>
      </c>
      <c r="P4950">
        <v>955</v>
      </c>
      <c r="S4950" t="str">
        <f>"BANCO C6 (149)"</f>
        <v>BANCO C6 (149)</v>
      </c>
      <c r="T4950">
        <v>32106</v>
      </c>
      <c r="U4950">
        <v>35287</v>
      </c>
      <c r="V4950" t="s">
        <v>37</v>
      </c>
    </row>
    <row r="4951" spans="1:22">
      <c r="A4951" t="str">
        <f t="shared" si="892"/>
        <v>26/03/2026</v>
      </c>
      <c r="B4951" t="str">
        <f t="shared" si="893"/>
        <v>SAÍDA</v>
      </c>
      <c r="C4951" t="str">
        <f t="shared" si="895"/>
        <v>PIX</v>
      </c>
      <c r="D4951" t="str">
        <f>"35287"</f>
        <v>35287</v>
      </c>
      <c r="E4951" t="str">
        <f t="shared" si="896"/>
        <v>1</v>
      </c>
      <c r="F4951" t="str">
        <f t="shared" si="897"/>
        <v>COM</v>
      </c>
      <c r="G4951" t="str">
        <f t="shared" si="899"/>
        <v>RONY RODRIGUES SOARES (1105)</v>
      </c>
      <c r="H4951" t="s">
        <v>1362</v>
      </c>
      <c r="I4951" t="str">
        <f t="shared" si="894"/>
        <v>26/03/2026</v>
      </c>
      <c r="J4951" t="str">
        <f t="shared" si="898"/>
        <v>17/03/2026</v>
      </c>
      <c r="K4951">
        <v>46107</v>
      </c>
      <c r="N4951">
        <v>109</v>
      </c>
      <c r="O4951" t="s">
        <v>27</v>
      </c>
      <c r="Q4951">
        <v>955</v>
      </c>
      <c r="R4951" t="str">
        <f>"FARMÁCIA INDIANA LJ 116 (10051)"</f>
        <v>FARMÁCIA INDIANA LJ 116 (10051)</v>
      </c>
      <c r="S4951" t="s">
        <v>37</v>
      </c>
      <c r="T4951">
        <v>32106</v>
      </c>
      <c r="U4951">
        <v>35287</v>
      </c>
      <c r="V4951" t="s">
        <v>37</v>
      </c>
    </row>
    <row r="4952" spans="1:22">
      <c r="A4952" t="str">
        <f t="shared" ref="A4952:A5015" si="900">("26/03/2026")</f>
        <v>26/03/2026</v>
      </c>
      <c r="B4952" t="str">
        <f t="shared" si="893"/>
        <v>SAÍDA</v>
      </c>
      <c r="C4952" t="str">
        <f t="shared" si="895"/>
        <v>PIX</v>
      </c>
      <c r="D4952" t="str">
        <f>"35288"</f>
        <v>35288</v>
      </c>
      <c r="E4952" t="str">
        <f t="shared" si="896"/>
        <v>1</v>
      </c>
      <c r="F4952" t="str">
        <f t="shared" si="897"/>
        <v>COM</v>
      </c>
      <c r="G4952" t="str">
        <f t="shared" si="899"/>
        <v>RONY RODRIGUES SOARES (1105)</v>
      </c>
      <c r="H4952" t="str">
        <f>"Serv.Prest. 09/03/2026 a 15/03/2026 - PIX: CPF - CHAVE: 700.147.856-33"</f>
        <v>Serv.Prest. 09/03/2026 a 15/03/2026 - PIX: CPF - CHAVE: 700.147.856-33</v>
      </c>
      <c r="I4952" t="str">
        <f t="shared" si="894"/>
        <v>26/03/2026</v>
      </c>
      <c r="J4952" t="str">
        <f t="shared" si="898"/>
        <v>17/03/2026</v>
      </c>
      <c r="K4952" t="str">
        <f>("26/03/2026")</f>
        <v>26/03/2026</v>
      </c>
      <c r="L4952">
        <v>155</v>
      </c>
      <c r="M4952">
        <v>155</v>
      </c>
      <c r="N4952">
        <v>109</v>
      </c>
      <c r="O4952" t="str">
        <f>"PAGAMENTO DE ENTREGADORES"</f>
        <v>PAGAMENTO DE ENTREGADORES</v>
      </c>
      <c r="P4952">
        <v>155</v>
      </c>
      <c r="S4952" t="str">
        <f>"BANCO C6 (149)"</f>
        <v>BANCO C6 (149)</v>
      </c>
      <c r="T4952">
        <v>32107</v>
      </c>
      <c r="U4952">
        <v>35288</v>
      </c>
      <c r="V4952" t="s">
        <v>37</v>
      </c>
    </row>
    <row r="4953" spans="1:22">
      <c r="A4953" t="str">
        <f t="shared" si="900"/>
        <v>26/03/2026</v>
      </c>
      <c r="B4953" t="str">
        <f t="shared" si="893"/>
        <v>SAÍDA</v>
      </c>
      <c r="C4953" t="str">
        <f t="shared" si="895"/>
        <v>PIX</v>
      </c>
      <c r="D4953" t="str">
        <f>"35288"</f>
        <v>35288</v>
      </c>
      <c r="E4953" t="str">
        <f t="shared" si="896"/>
        <v>1</v>
      </c>
      <c r="F4953" t="str">
        <f t="shared" si="897"/>
        <v>COM</v>
      </c>
      <c r="G4953" t="str">
        <f t="shared" si="899"/>
        <v>RONY RODRIGUES SOARES (1105)</v>
      </c>
      <c r="H4953" t="s">
        <v>1362</v>
      </c>
      <c r="I4953" t="str">
        <f t="shared" si="894"/>
        <v>26/03/2026</v>
      </c>
      <c r="J4953" t="str">
        <f t="shared" si="898"/>
        <v>17/03/2026</v>
      </c>
      <c r="K4953">
        <v>46107</v>
      </c>
      <c r="N4953">
        <v>109</v>
      </c>
      <c r="O4953" t="s">
        <v>27</v>
      </c>
      <c r="Q4953">
        <v>155</v>
      </c>
      <c r="R4953" t="str">
        <f>"FARMÁCIA INDIANA LJ 112 (10050)"</f>
        <v>FARMÁCIA INDIANA LJ 112 (10050)</v>
      </c>
      <c r="S4953" t="s">
        <v>37</v>
      </c>
      <c r="T4953">
        <v>32107</v>
      </c>
      <c r="U4953">
        <v>35288</v>
      </c>
      <c r="V4953" t="s">
        <v>37</v>
      </c>
    </row>
    <row r="4954" spans="1:22">
      <c r="A4954" t="str">
        <f t="shared" si="900"/>
        <v>26/03/2026</v>
      </c>
      <c r="B4954" t="str">
        <f t="shared" si="893"/>
        <v>SAÍDA</v>
      </c>
      <c r="C4954" t="str">
        <f t="shared" si="895"/>
        <v>PIX</v>
      </c>
      <c r="D4954" t="str">
        <f>"35289"</f>
        <v>35289</v>
      </c>
      <c r="E4954" t="str">
        <f t="shared" si="896"/>
        <v>1</v>
      </c>
      <c r="F4954" t="str">
        <f t="shared" si="897"/>
        <v>COM</v>
      </c>
      <c r="G4954" t="str">
        <f>"SAMUEL JADSON SANTANA RIBEIRO (55)"</f>
        <v>SAMUEL JADSON SANTANA RIBEIRO (55)</v>
      </c>
      <c r="H4954" t="str">
        <f>"Serv.Prest. 09/03/2026 a 15/03/2026 - PIX: CNPJ - CHAVE: 64.690.606/0001-89"</f>
        <v>Serv.Prest. 09/03/2026 a 15/03/2026 - PIX: CNPJ - CHAVE: 64.690.606/0001-89</v>
      </c>
      <c r="I4954" t="str">
        <f t="shared" si="894"/>
        <v>26/03/2026</v>
      </c>
      <c r="J4954" t="str">
        <f t="shared" si="898"/>
        <v>17/03/2026</v>
      </c>
      <c r="K4954" t="str">
        <f>("26/03/2026")</f>
        <v>26/03/2026</v>
      </c>
      <c r="L4954">
        <v>906</v>
      </c>
      <c r="M4954">
        <v>906</v>
      </c>
      <c r="N4954">
        <v>109</v>
      </c>
      <c r="O4954" t="str">
        <f>"PAGAMENTO DE ENTREGADORES"</f>
        <v>PAGAMENTO DE ENTREGADORES</v>
      </c>
      <c r="P4954">
        <v>906</v>
      </c>
      <c r="S4954" t="str">
        <f>"BANCO C6 (149)"</f>
        <v>BANCO C6 (149)</v>
      </c>
      <c r="T4954">
        <v>32108</v>
      </c>
      <c r="U4954">
        <v>35289</v>
      </c>
      <c r="V4954" t="s">
        <v>37</v>
      </c>
    </row>
    <row r="4955" spans="1:22">
      <c r="A4955" t="str">
        <f t="shared" si="900"/>
        <v>26/03/2026</v>
      </c>
      <c r="B4955" t="str">
        <f t="shared" si="893"/>
        <v>SAÍDA</v>
      </c>
      <c r="C4955" t="str">
        <f t="shared" si="895"/>
        <v>PIX</v>
      </c>
      <c r="D4955" t="str">
        <f>"35289"</f>
        <v>35289</v>
      </c>
      <c r="E4955" t="str">
        <f t="shared" si="896"/>
        <v>1</v>
      </c>
      <c r="F4955" t="str">
        <f t="shared" si="897"/>
        <v>COM</v>
      </c>
      <c r="G4955" t="str">
        <f>"SAMUEL JADSON SANTANA RIBEIRO (55)"</f>
        <v>SAMUEL JADSON SANTANA RIBEIRO (55)</v>
      </c>
      <c r="H4955" t="s">
        <v>1363</v>
      </c>
      <c r="I4955" t="str">
        <f t="shared" si="894"/>
        <v>26/03/2026</v>
      </c>
      <c r="J4955" t="str">
        <f t="shared" si="898"/>
        <v>17/03/2026</v>
      </c>
      <c r="K4955">
        <v>46107</v>
      </c>
      <c r="N4955">
        <v>109</v>
      </c>
      <c r="O4955" t="s">
        <v>27</v>
      </c>
      <c r="Q4955">
        <v>906</v>
      </c>
      <c r="R4955" t="str">
        <f>"FARMÁCIA INDIANA LJ 07 (10007)"</f>
        <v>FARMÁCIA INDIANA LJ 07 (10007)</v>
      </c>
      <c r="S4955" t="s">
        <v>37</v>
      </c>
      <c r="T4955">
        <v>32108</v>
      </c>
      <c r="U4955">
        <v>35289</v>
      </c>
      <c r="V4955" t="s">
        <v>37</v>
      </c>
    </row>
    <row r="4956" spans="1:22">
      <c r="A4956" t="str">
        <f t="shared" si="900"/>
        <v>26/03/2026</v>
      </c>
      <c r="B4956" t="str">
        <f t="shared" si="893"/>
        <v>SAÍDA</v>
      </c>
      <c r="C4956" t="str">
        <f t="shared" si="895"/>
        <v>PIX</v>
      </c>
      <c r="D4956" t="str">
        <f>"35290"</f>
        <v>35290</v>
      </c>
      <c r="E4956" t="str">
        <f t="shared" si="896"/>
        <v>1</v>
      </c>
      <c r="F4956" t="str">
        <f t="shared" si="897"/>
        <v>COM</v>
      </c>
      <c r="G4956" t="str">
        <f t="shared" ref="G4956:G4961" si="901">"SEDNEY GOMES SOARES (87)"</f>
        <v>SEDNEY GOMES SOARES (87)</v>
      </c>
      <c r="H4956" t="str">
        <f>"Serv.Prest. 09/03/2026 a 15/03/2026 - PIX: CPF - CHAVE: 048.151.276-46"</f>
        <v>Serv.Prest. 09/03/2026 a 15/03/2026 - PIX: CPF - CHAVE: 048.151.276-46</v>
      </c>
      <c r="I4956" t="str">
        <f t="shared" si="894"/>
        <v>26/03/2026</v>
      </c>
      <c r="J4956" t="str">
        <f t="shared" si="898"/>
        <v>17/03/2026</v>
      </c>
      <c r="K4956" t="str">
        <f>("26/03/2026")</f>
        <v>26/03/2026</v>
      </c>
      <c r="L4956">
        <v>246</v>
      </c>
      <c r="M4956">
        <v>246</v>
      </c>
      <c r="N4956">
        <v>109</v>
      </c>
      <c r="O4956" t="str">
        <f>"PAGAMENTO DE ENTREGADORES"</f>
        <v>PAGAMENTO DE ENTREGADORES</v>
      </c>
      <c r="P4956">
        <v>246</v>
      </c>
      <c r="S4956" t="str">
        <f>"BANCO C6 (149)"</f>
        <v>BANCO C6 (149)</v>
      </c>
      <c r="T4956">
        <v>32109</v>
      </c>
      <c r="U4956">
        <v>35290</v>
      </c>
      <c r="V4956" t="s">
        <v>37</v>
      </c>
    </row>
    <row r="4957" spans="1:22">
      <c r="A4957" t="str">
        <f t="shared" si="900"/>
        <v>26/03/2026</v>
      </c>
      <c r="B4957" t="str">
        <f t="shared" si="893"/>
        <v>SAÍDA</v>
      </c>
      <c r="C4957" t="str">
        <f t="shared" si="895"/>
        <v>PIX</v>
      </c>
      <c r="D4957" t="str">
        <f>"35290"</f>
        <v>35290</v>
      </c>
      <c r="E4957" t="str">
        <f t="shared" si="896"/>
        <v>1</v>
      </c>
      <c r="F4957" t="str">
        <f t="shared" si="897"/>
        <v>COM</v>
      </c>
      <c r="G4957" t="str">
        <f t="shared" si="901"/>
        <v>SEDNEY GOMES SOARES (87)</v>
      </c>
      <c r="H4957" t="s">
        <v>1364</v>
      </c>
      <c r="I4957" t="str">
        <f t="shared" si="894"/>
        <v>26/03/2026</v>
      </c>
      <c r="J4957" t="str">
        <f t="shared" si="898"/>
        <v>17/03/2026</v>
      </c>
      <c r="K4957">
        <v>46107</v>
      </c>
      <c r="N4957">
        <v>109</v>
      </c>
      <c r="O4957" t="s">
        <v>27</v>
      </c>
      <c r="Q4957">
        <v>246</v>
      </c>
      <c r="R4957" t="str">
        <f>"FARMÁCIA INDIANA LJ 143 (10067)"</f>
        <v>FARMÁCIA INDIANA LJ 143 (10067)</v>
      </c>
      <c r="S4957" t="s">
        <v>37</v>
      </c>
      <c r="T4957">
        <v>32109</v>
      </c>
      <c r="U4957">
        <v>35290</v>
      </c>
      <c r="V4957" t="s">
        <v>37</v>
      </c>
    </row>
    <row r="4958" spans="1:22">
      <c r="A4958" t="str">
        <f t="shared" si="900"/>
        <v>26/03/2026</v>
      </c>
      <c r="B4958" t="str">
        <f t="shared" si="893"/>
        <v>SAÍDA</v>
      </c>
      <c r="C4958" t="str">
        <f t="shared" si="895"/>
        <v>PIX</v>
      </c>
      <c r="D4958" t="str">
        <f>"35291"</f>
        <v>35291</v>
      </c>
      <c r="E4958" t="str">
        <f t="shared" si="896"/>
        <v>1</v>
      </c>
      <c r="F4958" t="str">
        <f t="shared" si="897"/>
        <v>COM</v>
      </c>
      <c r="G4958" t="str">
        <f t="shared" si="901"/>
        <v>SEDNEY GOMES SOARES (87)</v>
      </c>
      <c r="H4958" t="str">
        <f>"Serv.Prest. 09/03/2026 a 15/03/2026 - PIX: CPF - CHAVE: 048.151.276-46"</f>
        <v>Serv.Prest. 09/03/2026 a 15/03/2026 - PIX: CPF - CHAVE: 048.151.276-46</v>
      </c>
      <c r="I4958" t="str">
        <f t="shared" si="894"/>
        <v>26/03/2026</v>
      </c>
      <c r="J4958" t="str">
        <f t="shared" si="898"/>
        <v>17/03/2026</v>
      </c>
      <c r="K4958" t="str">
        <f>("26/03/2026")</f>
        <v>26/03/2026</v>
      </c>
      <c r="L4958">
        <v>258</v>
      </c>
      <c r="M4958">
        <v>258</v>
      </c>
      <c r="N4958">
        <v>109</v>
      </c>
      <c r="O4958" t="str">
        <f>"PAGAMENTO DE ENTREGADORES"</f>
        <v>PAGAMENTO DE ENTREGADORES</v>
      </c>
      <c r="P4958">
        <v>258</v>
      </c>
      <c r="S4958" t="str">
        <f>"BANCO C6 (149)"</f>
        <v>BANCO C6 (149)</v>
      </c>
      <c r="T4958">
        <v>32110</v>
      </c>
      <c r="U4958">
        <v>35291</v>
      </c>
      <c r="V4958" t="s">
        <v>37</v>
      </c>
    </row>
    <row r="4959" spans="1:22">
      <c r="A4959" t="str">
        <f t="shared" si="900"/>
        <v>26/03/2026</v>
      </c>
      <c r="B4959" t="str">
        <f t="shared" si="893"/>
        <v>SAÍDA</v>
      </c>
      <c r="C4959" t="str">
        <f t="shared" si="895"/>
        <v>PIX</v>
      </c>
      <c r="D4959" t="str">
        <f>"35291"</f>
        <v>35291</v>
      </c>
      <c r="E4959" t="str">
        <f t="shared" si="896"/>
        <v>1</v>
      </c>
      <c r="F4959" t="str">
        <f t="shared" si="897"/>
        <v>COM</v>
      </c>
      <c r="G4959" t="str">
        <f t="shared" si="901"/>
        <v>SEDNEY GOMES SOARES (87)</v>
      </c>
      <c r="H4959" t="s">
        <v>1364</v>
      </c>
      <c r="I4959" t="str">
        <f t="shared" si="894"/>
        <v>26/03/2026</v>
      </c>
      <c r="J4959" t="str">
        <f t="shared" si="898"/>
        <v>17/03/2026</v>
      </c>
      <c r="K4959">
        <v>46107</v>
      </c>
      <c r="N4959">
        <v>109</v>
      </c>
      <c r="O4959" t="s">
        <v>27</v>
      </c>
      <c r="Q4959">
        <v>258</v>
      </c>
      <c r="R4959" t="str">
        <f>"FARMÁCIA INDIANA LJ 97 (10040)"</f>
        <v>FARMÁCIA INDIANA LJ 97 (10040)</v>
      </c>
      <c r="S4959" t="s">
        <v>37</v>
      </c>
      <c r="T4959">
        <v>32110</v>
      </c>
      <c r="U4959">
        <v>35291</v>
      </c>
      <c r="V4959" t="s">
        <v>37</v>
      </c>
    </row>
    <row r="4960" spans="1:22">
      <c r="A4960" t="str">
        <f t="shared" si="900"/>
        <v>26/03/2026</v>
      </c>
      <c r="B4960" t="str">
        <f t="shared" si="893"/>
        <v>SAÍDA</v>
      </c>
      <c r="C4960" t="str">
        <f t="shared" si="895"/>
        <v>PIX</v>
      </c>
      <c r="D4960" t="str">
        <f>"35292"</f>
        <v>35292</v>
      </c>
      <c r="E4960" t="str">
        <f t="shared" si="896"/>
        <v>1</v>
      </c>
      <c r="F4960" t="str">
        <f t="shared" si="897"/>
        <v>COM</v>
      </c>
      <c r="G4960" t="str">
        <f t="shared" si="901"/>
        <v>SEDNEY GOMES SOARES (87)</v>
      </c>
      <c r="H4960" t="str">
        <f>"Serv.Prest. 09/03/2026 a 15/03/2026 - PIX: CPF - CHAVE: 048.151.276-46"</f>
        <v>Serv.Prest. 09/03/2026 a 15/03/2026 - PIX: CPF - CHAVE: 048.151.276-46</v>
      </c>
      <c r="I4960" t="str">
        <f t="shared" si="894"/>
        <v>26/03/2026</v>
      </c>
      <c r="J4960" t="str">
        <f t="shared" si="898"/>
        <v>17/03/2026</v>
      </c>
      <c r="K4960" t="str">
        <f>("26/03/2026")</f>
        <v>26/03/2026</v>
      </c>
      <c r="L4960">
        <v>246</v>
      </c>
      <c r="M4960">
        <v>246</v>
      </c>
      <c r="N4960">
        <v>109</v>
      </c>
      <c r="O4960" t="str">
        <f>"PAGAMENTO DE ENTREGADORES"</f>
        <v>PAGAMENTO DE ENTREGADORES</v>
      </c>
      <c r="P4960">
        <v>246</v>
      </c>
      <c r="S4960" t="str">
        <f>"BANCO C6 (149)"</f>
        <v>BANCO C6 (149)</v>
      </c>
      <c r="T4960">
        <v>32111</v>
      </c>
      <c r="U4960">
        <v>35292</v>
      </c>
      <c r="V4960" t="s">
        <v>37</v>
      </c>
    </row>
    <row r="4961" spans="1:22">
      <c r="A4961" t="str">
        <f t="shared" si="900"/>
        <v>26/03/2026</v>
      </c>
      <c r="B4961" t="str">
        <f t="shared" si="893"/>
        <v>SAÍDA</v>
      </c>
      <c r="C4961" t="str">
        <f t="shared" si="895"/>
        <v>PIX</v>
      </c>
      <c r="D4961" t="str">
        <f>"35292"</f>
        <v>35292</v>
      </c>
      <c r="E4961" t="str">
        <f t="shared" si="896"/>
        <v>1</v>
      </c>
      <c r="F4961" t="str">
        <f t="shared" si="897"/>
        <v>COM</v>
      </c>
      <c r="G4961" t="str">
        <f t="shared" si="901"/>
        <v>SEDNEY GOMES SOARES (87)</v>
      </c>
      <c r="H4961" t="s">
        <v>1364</v>
      </c>
      <c r="I4961" t="str">
        <f t="shared" si="894"/>
        <v>26/03/2026</v>
      </c>
      <c r="J4961" t="str">
        <f t="shared" si="898"/>
        <v>17/03/2026</v>
      </c>
      <c r="K4961">
        <v>46107</v>
      </c>
      <c r="N4961">
        <v>109</v>
      </c>
      <c r="O4961" t="s">
        <v>27</v>
      </c>
      <c r="Q4961">
        <v>246</v>
      </c>
      <c r="R4961" t="str">
        <f>"FARMÁCIA INDIANA LJ 111 (10049)"</f>
        <v>FARMÁCIA INDIANA LJ 111 (10049)</v>
      </c>
      <c r="S4961" t="s">
        <v>37</v>
      </c>
      <c r="T4961">
        <v>32111</v>
      </c>
      <c r="U4961">
        <v>35292</v>
      </c>
      <c r="V4961" t="s">
        <v>37</v>
      </c>
    </row>
    <row r="4962" spans="1:22">
      <c r="A4962" t="str">
        <f t="shared" si="900"/>
        <v>26/03/2026</v>
      </c>
      <c r="B4962" t="str">
        <f t="shared" si="893"/>
        <v>SAÍDA</v>
      </c>
      <c r="C4962" t="str">
        <f t="shared" si="895"/>
        <v>PIX</v>
      </c>
      <c r="D4962" t="str">
        <f>"35293"</f>
        <v>35293</v>
      </c>
      <c r="E4962" t="str">
        <f t="shared" si="896"/>
        <v>1</v>
      </c>
      <c r="F4962" t="str">
        <f t="shared" si="897"/>
        <v>COM</v>
      </c>
      <c r="G4962" t="str">
        <f>"SILAS ALVES DE FREITAS (35)"</f>
        <v>SILAS ALVES DE FREITAS (35)</v>
      </c>
      <c r="H4962" t="str">
        <f>"Serv.Prest. 09/03/2026 a 15/03/2026 - PIX: CPF - CHAVE: 097.855.786-74"</f>
        <v>Serv.Prest. 09/03/2026 a 15/03/2026 - PIX: CPF - CHAVE: 097.855.786-74</v>
      </c>
      <c r="I4962" t="str">
        <f t="shared" si="894"/>
        <v>26/03/2026</v>
      </c>
      <c r="J4962" t="str">
        <f t="shared" si="898"/>
        <v>17/03/2026</v>
      </c>
      <c r="K4962" t="str">
        <f>("26/03/2026")</f>
        <v>26/03/2026</v>
      </c>
      <c r="L4962">
        <v>1500</v>
      </c>
      <c r="M4962">
        <v>1500</v>
      </c>
      <c r="N4962">
        <v>109</v>
      </c>
      <c r="O4962" t="str">
        <f>"PAGAMENTO DE ENTREGADORES"</f>
        <v>PAGAMENTO DE ENTREGADORES</v>
      </c>
      <c r="P4962">
        <v>1500</v>
      </c>
      <c r="S4962" t="str">
        <f>"BANCO C6 (149)"</f>
        <v>BANCO C6 (149)</v>
      </c>
      <c r="T4962">
        <v>32112</v>
      </c>
      <c r="U4962">
        <v>35293</v>
      </c>
      <c r="V4962" t="s">
        <v>37</v>
      </c>
    </row>
    <row r="4963" spans="1:22">
      <c r="A4963" t="str">
        <f t="shared" si="900"/>
        <v>26/03/2026</v>
      </c>
      <c r="B4963" t="str">
        <f t="shared" si="893"/>
        <v>SAÍDA</v>
      </c>
      <c r="C4963" t="str">
        <f t="shared" si="895"/>
        <v>PIX</v>
      </c>
      <c r="D4963" t="str">
        <f>"35293"</f>
        <v>35293</v>
      </c>
      <c r="E4963" t="str">
        <f t="shared" si="896"/>
        <v>1</v>
      </c>
      <c r="F4963" t="str">
        <f t="shared" si="897"/>
        <v>COM</v>
      </c>
      <c r="G4963" t="str">
        <f>"SILAS ALVES DE FREITAS (35)"</f>
        <v>SILAS ALVES DE FREITAS (35)</v>
      </c>
      <c r="H4963" t="s">
        <v>1365</v>
      </c>
      <c r="I4963" t="str">
        <f t="shared" si="894"/>
        <v>26/03/2026</v>
      </c>
      <c r="J4963" t="str">
        <f t="shared" si="898"/>
        <v>17/03/2026</v>
      </c>
      <c r="K4963">
        <v>46107</v>
      </c>
      <c r="N4963">
        <v>109</v>
      </c>
      <c r="O4963" t="s">
        <v>27</v>
      </c>
      <c r="Q4963">
        <v>1500</v>
      </c>
      <c r="R4963" t="str">
        <f>"FARMÁCIA INDIANA LJ 172 (10161)"</f>
        <v>FARMÁCIA INDIANA LJ 172 (10161)</v>
      </c>
      <c r="S4963" t="s">
        <v>37</v>
      </c>
      <c r="T4963">
        <v>32112</v>
      </c>
      <c r="U4963">
        <v>35293</v>
      </c>
      <c r="V4963" t="s">
        <v>37</v>
      </c>
    </row>
    <row r="4964" spans="1:22">
      <c r="A4964" t="str">
        <f t="shared" si="900"/>
        <v>26/03/2026</v>
      </c>
      <c r="B4964" t="str">
        <f t="shared" si="893"/>
        <v>SAÍDA</v>
      </c>
      <c r="C4964" t="str">
        <f t="shared" si="895"/>
        <v>PIX</v>
      </c>
      <c r="D4964" t="str">
        <f>"35294"</f>
        <v>35294</v>
      </c>
      <c r="E4964" t="str">
        <f t="shared" si="896"/>
        <v>1</v>
      </c>
      <c r="F4964" t="str">
        <f t="shared" si="897"/>
        <v>COM</v>
      </c>
      <c r="G4964" t="str">
        <f>"THALES VIANA DOS SANTOS (63)"</f>
        <v>THALES VIANA DOS SANTOS (63)</v>
      </c>
      <c r="H4964" t="str">
        <f>"Serv.Prest. 09/03/2026 a 15/03/2026 - PIX: CELULAR - CHAVE: (33) 99880-7941"</f>
        <v>Serv.Prest. 09/03/2026 a 15/03/2026 - PIX: CELULAR - CHAVE: (33) 99880-7941</v>
      </c>
      <c r="I4964" t="str">
        <f t="shared" si="894"/>
        <v>26/03/2026</v>
      </c>
      <c r="J4964" t="str">
        <f t="shared" si="898"/>
        <v>17/03/2026</v>
      </c>
      <c r="K4964" t="str">
        <f>("26/03/2026")</f>
        <v>26/03/2026</v>
      </c>
      <c r="L4964">
        <v>624</v>
      </c>
      <c r="M4964">
        <v>624</v>
      </c>
      <c r="N4964">
        <v>109</v>
      </c>
      <c r="O4964" t="str">
        <f>"PAGAMENTO DE ENTREGADORES"</f>
        <v>PAGAMENTO DE ENTREGADORES</v>
      </c>
      <c r="P4964">
        <v>624</v>
      </c>
      <c r="S4964" t="str">
        <f>"BANCO C6 (149)"</f>
        <v>BANCO C6 (149)</v>
      </c>
      <c r="T4964">
        <v>32113</v>
      </c>
      <c r="U4964">
        <v>35294</v>
      </c>
      <c r="V4964" t="s">
        <v>37</v>
      </c>
    </row>
    <row r="4965" spans="1:22">
      <c r="A4965" t="str">
        <f t="shared" si="900"/>
        <v>26/03/2026</v>
      </c>
      <c r="B4965" t="str">
        <f t="shared" si="893"/>
        <v>SAÍDA</v>
      </c>
      <c r="C4965" t="str">
        <f t="shared" si="895"/>
        <v>PIX</v>
      </c>
      <c r="D4965" t="str">
        <f>"35294"</f>
        <v>35294</v>
      </c>
      <c r="E4965" t="str">
        <f t="shared" si="896"/>
        <v>1</v>
      </c>
      <c r="F4965" t="str">
        <f t="shared" si="897"/>
        <v>COM</v>
      </c>
      <c r="G4965" t="str">
        <f>"THALES VIANA DOS SANTOS (63)"</f>
        <v>THALES VIANA DOS SANTOS (63)</v>
      </c>
      <c r="H4965" t="s">
        <v>1366</v>
      </c>
      <c r="I4965" t="str">
        <f t="shared" si="894"/>
        <v>26/03/2026</v>
      </c>
      <c r="J4965" t="str">
        <f t="shared" si="898"/>
        <v>17/03/2026</v>
      </c>
      <c r="K4965">
        <v>46107</v>
      </c>
      <c r="N4965">
        <v>109</v>
      </c>
      <c r="O4965" t="s">
        <v>27</v>
      </c>
      <c r="Q4965">
        <v>624</v>
      </c>
      <c r="R4965" t="str">
        <f>"FARMÁCIA INDIANA LJ 07 (10007)"</f>
        <v>FARMÁCIA INDIANA LJ 07 (10007)</v>
      </c>
      <c r="S4965" t="s">
        <v>37</v>
      </c>
      <c r="T4965">
        <v>32113</v>
      </c>
      <c r="U4965">
        <v>35294</v>
      </c>
      <c r="V4965" t="s">
        <v>37</v>
      </c>
    </row>
    <row r="4966" spans="1:22">
      <c r="A4966" t="str">
        <f t="shared" si="900"/>
        <v>26/03/2026</v>
      </c>
      <c r="B4966" t="str">
        <f t="shared" si="893"/>
        <v>SAÍDA</v>
      </c>
      <c r="C4966" t="str">
        <f t="shared" si="895"/>
        <v>PIX</v>
      </c>
      <c r="D4966" t="str">
        <f>"35295"</f>
        <v>35295</v>
      </c>
      <c r="E4966" t="str">
        <f t="shared" si="896"/>
        <v>1</v>
      </c>
      <c r="F4966" t="str">
        <f t="shared" si="897"/>
        <v>COM</v>
      </c>
      <c r="G4966" t="str">
        <f>"VICTOR RILLEY CRUZ MESQUITA (1005)"</f>
        <v>VICTOR RILLEY CRUZ MESQUITA (1005)</v>
      </c>
      <c r="H4966" t="str">
        <f>"Serv.Prest. 09/03/2026 a 15/03/2026 - PIX: CELULAR - CHAVE: (33) 99973-4407"</f>
        <v>Serv.Prest. 09/03/2026 a 15/03/2026 - PIX: CELULAR - CHAVE: (33) 99973-4407</v>
      </c>
      <c r="I4966" t="str">
        <f t="shared" si="894"/>
        <v>26/03/2026</v>
      </c>
      <c r="J4966" t="str">
        <f t="shared" si="898"/>
        <v>17/03/2026</v>
      </c>
      <c r="K4966" t="str">
        <f>("26/03/2026")</f>
        <v>26/03/2026</v>
      </c>
      <c r="L4966">
        <v>186</v>
      </c>
      <c r="M4966">
        <v>186</v>
      </c>
      <c r="N4966">
        <v>109</v>
      </c>
      <c r="O4966" t="str">
        <f>"PAGAMENTO DE ENTREGADORES"</f>
        <v>PAGAMENTO DE ENTREGADORES</v>
      </c>
      <c r="P4966">
        <v>186</v>
      </c>
      <c r="S4966" t="str">
        <f>"BANCO C6 (149)"</f>
        <v>BANCO C6 (149)</v>
      </c>
      <c r="T4966">
        <v>32114</v>
      </c>
      <c r="U4966">
        <v>35295</v>
      </c>
      <c r="V4966" t="s">
        <v>37</v>
      </c>
    </row>
    <row r="4967" spans="1:22">
      <c r="A4967" t="str">
        <f t="shared" si="900"/>
        <v>26/03/2026</v>
      </c>
      <c r="B4967" t="str">
        <f t="shared" si="893"/>
        <v>SAÍDA</v>
      </c>
      <c r="C4967" t="str">
        <f t="shared" si="895"/>
        <v>PIX</v>
      </c>
      <c r="D4967" t="str">
        <f>"35295"</f>
        <v>35295</v>
      </c>
      <c r="E4967" t="str">
        <f t="shared" si="896"/>
        <v>1</v>
      </c>
      <c r="F4967" t="str">
        <f t="shared" si="897"/>
        <v>COM</v>
      </c>
      <c r="G4967" t="str">
        <f>"VICTOR RILLEY CRUZ MESQUITA (1005)"</f>
        <v>VICTOR RILLEY CRUZ MESQUITA (1005)</v>
      </c>
      <c r="H4967" t="s">
        <v>1367</v>
      </c>
      <c r="I4967" t="str">
        <f t="shared" si="894"/>
        <v>26/03/2026</v>
      </c>
      <c r="J4967" t="str">
        <f t="shared" si="898"/>
        <v>17/03/2026</v>
      </c>
      <c r="K4967">
        <v>46107</v>
      </c>
      <c r="N4967">
        <v>109</v>
      </c>
      <c r="O4967" t="s">
        <v>27</v>
      </c>
      <c r="Q4967">
        <v>186</v>
      </c>
      <c r="R4967" t="str">
        <f>"FARMÁCIA INDIANA LJ 07 (10007)"</f>
        <v>FARMÁCIA INDIANA LJ 07 (10007)</v>
      </c>
      <c r="S4967" t="s">
        <v>37</v>
      </c>
      <c r="T4967">
        <v>32114</v>
      </c>
      <c r="U4967">
        <v>35295</v>
      </c>
      <c r="V4967" t="s">
        <v>37</v>
      </c>
    </row>
    <row r="4968" spans="1:22">
      <c r="A4968" t="str">
        <f t="shared" si="900"/>
        <v>26/03/2026</v>
      </c>
      <c r="B4968" t="str">
        <f t="shared" si="893"/>
        <v>SAÍDA</v>
      </c>
      <c r="C4968" t="str">
        <f t="shared" si="895"/>
        <v>PIX</v>
      </c>
      <c r="D4968" t="str">
        <f>"35296"</f>
        <v>35296</v>
      </c>
      <c r="E4968" t="str">
        <f t="shared" si="896"/>
        <v>1</v>
      </c>
      <c r="F4968" t="str">
        <f t="shared" si="897"/>
        <v>COM</v>
      </c>
      <c r="G4968" t="str">
        <f>"VINICIUS DE SOUZA ISABEL (658)"</f>
        <v>VINICIUS DE SOUZA ISABEL (658)</v>
      </c>
      <c r="H4968" t="str">
        <f>"Serv.Prest. 09/03/2026 a 15/03/2026 - PIX: CPF - CHAVE: 092.566.416-23"</f>
        <v>Serv.Prest. 09/03/2026 a 15/03/2026 - PIX: CPF - CHAVE: 092.566.416-23</v>
      </c>
      <c r="I4968" t="str">
        <f t="shared" si="894"/>
        <v>26/03/2026</v>
      </c>
      <c r="J4968" t="str">
        <f t="shared" si="898"/>
        <v>17/03/2026</v>
      </c>
      <c r="K4968" t="str">
        <f>("26/03/2026")</f>
        <v>26/03/2026</v>
      </c>
      <c r="L4968">
        <v>700</v>
      </c>
      <c r="M4968">
        <v>700</v>
      </c>
      <c r="N4968">
        <v>109</v>
      </c>
      <c r="O4968" t="str">
        <f>"PAGAMENTO DE ENTREGADORES"</f>
        <v>PAGAMENTO DE ENTREGADORES</v>
      </c>
      <c r="P4968">
        <v>700</v>
      </c>
      <c r="S4968" t="str">
        <f>"BANCO C6 (149)"</f>
        <v>BANCO C6 (149)</v>
      </c>
      <c r="T4968">
        <v>32115</v>
      </c>
      <c r="U4968">
        <v>35296</v>
      </c>
      <c r="V4968" t="s">
        <v>37</v>
      </c>
    </row>
    <row r="4969" spans="1:22">
      <c r="A4969" t="str">
        <f t="shared" si="900"/>
        <v>26/03/2026</v>
      </c>
      <c r="B4969" t="str">
        <f t="shared" si="893"/>
        <v>SAÍDA</v>
      </c>
      <c r="C4969" t="str">
        <f t="shared" si="895"/>
        <v>PIX</v>
      </c>
      <c r="D4969" t="str">
        <f>"35296"</f>
        <v>35296</v>
      </c>
      <c r="E4969" t="str">
        <f t="shared" si="896"/>
        <v>1</v>
      </c>
      <c r="F4969" t="str">
        <f t="shared" si="897"/>
        <v>COM</v>
      </c>
      <c r="G4969" t="str">
        <f>"VINICIUS DE SOUZA ISABEL (658)"</f>
        <v>VINICIUS DE SOUZA ISABEL (658)</v>
      </c>
      <c r="H4969" t="s">
        <v>1368</v>
      </c>
      <c r="I4969" t="str">
        <f t="shared" si="894"/>
        <v>26/03/2026</v>
      </c>
      <c r="J4969" t="str">
        <f t="shared" si="898"/>
        <v>17/03/2026</v>
      </c>
      <c r="K4969">
        <v>46107</v>
      </c>
      <c r="N4969">
        <v>109</v>
      </c>
      <c r="O4969" t="s">
        <v>27</v>
      </c>
      <c r="Q4969">
        <v>700</v>
      </c>
      <c r="R4969" t="str">
        <f>"FARMÁCIA INDIANA LJ 219 (10091)"</f>
        <v>FARMÁCIA INDIANA LJ 219 (10091)</v>
      </c>
      <c r="S4969" t="s">
        <v>37</v>
      </c>
      <c r="T4969">
        <v>32115</v>
      </c>
      <c r="U4969">
        <v>35296</v>
      </c>
      <c r="V4969" t="s">
        <v>37</v>
      </c>
    </row>
    <row r="4970" spans="1:22">
      <c r="A4970" t="str">
        <f t="shared" si="900"/>
        <v>26/03/2026</v>
      </c>
      <c r="B4970" t="str">
        <f t="shared" si="893"/>
        <v>SAÍDA</v>
      </c>
      <c r="C4970" t="str">
        <f t="shared" si="895"/>
        <v>PIX</v>
      </c>
      <c r="D4970" t="str">
        <f>"35297"</f>
        <v>35297</v>
      </c>
      <c r="E4970" t="str">
        <f t="shared" si="896"/>
        <v>1</v>
      </c>
      <c r="F4970" t="str">
        <f t="shared" si="897"/>
        <v>COM</v>
      </c>
      <c r="G4970" t="str">
        <f t="shared" ref="G4970:G4977" si="902">"VITOR DE SOUZA SILVA (360)"</f>
        <v>VITOR DE SOUZA SILVA (360)</v>
      </c>
      <c r="H4970" t="str">
        <f>"Serv.Prest. 09/03/2026 a 15/03/2026 - PIX: CPF - CHAVE: 130.194.566-81"</f>
        <v>Serv.Prest. 09/03/2026 a 15/03/2026 - PIX: CPF - CHAVE: 130.194.566-81</v>
      </c>
      <c r="I4970" t="str">
        <f t="shared" si="894"/>
        <v>26/03/2026</v>
      </c>
      <c r="J4970" t="str">
        <f t="shared" si="898"/>
        <v>17/03/2026</v>
      </c>
      <c r="K4970" t="str">
        <f>("26/03/2026")</f>
        <v>26/03/2026</v>
      </c>
      <c r="L4970">
        <v>155</v>
      </c>
      <c r="M4970">
        <v>155</v>
      </c>
      <c r="N4970">
        <v>109</v>
      </c>
      <c r="O4970" t="str">
        <f>"PAGAMENTO DE ENTREGADORES"</f>
        <v>PAGAMENTO DE ENTREGADORES</v>
      </c>
      <c r="P4970">
        <v>155</v>
      </c>
      <c r="S4970" t="str">
        <f>"BANCO C6 (149)"</f>
        <v>BANCO C6 (149)</v>
      </c>
      <c r="T4970">
        <v>32116</v>
      </c>
      <c r="U4970">
        <v>35297</v>
      </c>
      <c r="V4970" t="s">
        <v>37</v>
      </c>
    </row>
    <row r="4971" spans="1:22">
      <c r="A4971" t="str">
        <f t="shared" si="900"/>
        <v>26/03/2026</v>
      </c>
      <c r="B4971" t="str">
        <f t="shared" si="893"/>
        <v>SAÍDA</v>
      </c>
      <c r="C4971" t="str">
        <f t="shared" si="895"/>
        <v>PIX</v>
      </c>
      <c r="D4971" t="str">
        <f>"35297"</f>
        <v>35297</v>
      </c>
      <c r="E4971" t="str">
        <f t="shared" si="896"/>
        <v>1</v>
      </c>
      <c r="F4971" t="str">
        <f t="shared" si="897"/>
        <v>COM</v>
      </c>
      <c r="G4971" t="str">
        <f t="shared" si="902"/>
        <v>VITOR DE SOUZA SILVA (360)</v>
      </c>
      <c r="H4971" t="s">
        <v>1369</v>
      </c>
      <c r="I4971" t="str">
        <f t="shared" si="894"/>
        <v>26/03/2026</v>
      </c>
      <c r="J4971" t="str">
        <f t="shared" si="898"/>
        <v>17/03/2026</v>
      </c>
      <c r="K4971">
        <v>46107</v>
      </c>
      <c r="N4971">
        <v>109</v>
      </c>
      <c r="O4971" t="s">
        <v>27</v>
      </c>
      <c r="Q4971">
        <v>155</v>
      </c>
      <c r="R4971" t="str">
        <f>"FARMÁCIA INDIANA LJ 112 (10050)"</f>
        <v>FARMÁCIA INDIANA LJ 112 (10050)</v>
      </c>
      <c r="S4971" t="s">
        <v>37</v>
      </c>
      <c r="T4971">
        <v>32116</v>
      </c>
      <c r="U4971">
        <v>35297</v>
      </c>
      <c r="V4971" t="s">
        <v>37</v>
      </c>
    </row>
    <row r="4972" spans="1:22">
      <c r="A4972" t="str">
        <f t="shared" si="900"/>
        <v>26/03/2026</v>
      </c>
      <c r="B4972" t="str">
        <f t="shared" si="893"/>
        <v>SAÍDA</v>
      </c>
      <c r="C4972" t="str">
        <f t="shared" si="895"/>
        <v>PIX</v>
      </c>
      <c r="D4972" t="str">
        <f>"35298"</f>
        <v>35298</v>
      </c>
      <c r="E4972" t="str">
        <f t="shared" si="896"/>
        <v>1</v>
      </c>
      <c r="F4972" t="str">
        <f t="shared" si="897"/>
        <v>COM</v>
      </c>
      <c r="G4972" t="str">
        <f t="shared" si="902"/>
        <v>VITOR DE SOUZA SILVA (360)</v>
      </c>
      <c r="H4972" t="str">
        <f>"Serv.Prest. 09/03/2026 a 15/03/2026 - PIX: CPF - CHAVE: 130.194.566-81"</f>
        <v>Serv.Prest. 09/03/2026 a 15/03/2026 - PIX: CPF - CHAVE: 130.194.566-81</v>
      </c>
      <c r="I4972" t="str">
        <f t="shared" si="894"/>
        <v>26/03/2026</v>
      </c>
      <c r="J4972" t="str">
        <f t="shared" si="898"/>
        <v>17/03/2026</v>
      </c>
      <c r="K4972" t="str">
        <f>("26/03/2026")</f>
        <v>26/03/2026</v>
      </c>
      <c r="L4972">
        <v>550</v>
      </c>
      <c r="M4972">
        <v>550</v>
      </c>
      <c r="N4972">
        <v>109</v>
      </c>
      <c r="O4972" t="str">
        <f>"PAGAMENTO DE ENTREGADORES"</f>
        <v>PAGAMENTO DE ENTREGADORES</v>
      </c>
      <c r="P4972">
        <v>550</v>
      </c>
      <c r="S4972" t="str">
        <f>"BANCO C6 (149)"</f>
        <v>BANCO C6 (149)</v>
      </c>
      <c r="T4972">
        <v>32117</v>
      </c>
      <c r="U4972">
        <v>35298</v>
      </c>
      <c r="V4972" t="s">
        <v>37</v>
      </c>
    </row>
    <row r="4973" spans="1:22">
      <c r="A4973" t="str">
        <f t="shared" si="900"/>
        <v>26/03/2026</v>
      </c>
      <c r="B4973" t="str">
        <f t="shared" si="893"/>
        <v>SAÍDA</v>
      </c>
      <c r="C4973" t="str">
        <f t="shared" si="895"/>
        <v>PIX</v>
      </c>
      <c r="D4973" t="str">
        <f>"35298"</f>
        <v>35298</v>
      </c>
      <c r="E4973" t="str">
        <f t="shared" si="896"/>
        <v>1</v>
      </c>
      <c r="F4973" t="str">
        <f t="shared" si="897"/>
        <v>COM</v>
      </c>
      <c r="G4973" t="str">
        <f t="shared" si="902"/>
        <v>VITOR DE SOUZA SILVA (360)</v>
      </c>
      <c r="H4973" t="s">
        <v>1369</v>
      </c>
      <c r="I4973" t="str">
        <f t="shared" si="894"/>
        <v>26/03/2026</v>
      </c>
      <c r="J4973" t="str">
        <f t="shared" si="898"/>
        <v>17/03/2026</v>
      </c>
      <c r="K4973">
        <v>46107</v>
      </c>
      <c r="N4973">
        <v>109</v>
      </c>
      <c r="O4973" t="s">
        <v>27</v>
      </c>
      <c r="Q4973">
        <v>550</v>
      </c>
      <c r="R4973" t="str">
        <f>"FARMÁCIA INDIANA LJ 116 (10051)"</f>
        <v>FARMÁCIA INDIANA LJ 116 (10051)</v>
      </c>
      <c r="S4973" t="s">
        <v>37</v>
      </c>
      <c r="T4973">
        <v>32117</v>
      </c>
      <c r="U4973">
        <v>35298</v>
      </c>
      <c r="V4973" t="s">
        <v>37</v>
      </c>
    </row>
    <row r="4974" spans="1:22">
      <c r="A4974" t="str">
        <f t="shared" si="900"/>
        <v>26/03/2026</v>
      </c>
      <c r="B4974" t="str">
        <f t="shared" si="893"/>
        <v>SAÍDA</v>
      </c>
      <c r="C4974" t="str">
        <f t="shared" si="895"/>
        <v>PIX</v>
      </c>
      <c r="D4974" t="str">
        <f>"35299"</f>
        <v>35299</v>
      </c>
      <c r="E4974" t="str">
        <f t="shared" si="896"/>
        <v>1</v>
      </c>
      <c r="F4974" t="str">
        <f t="shared" si="897"/>
        <v>COM</v>
      </c>
      <c r="G4974" t="str">
        <f t="shared" si="902"/>
        <v>VITOR DE SOUZA SILVA (360)</v>
      </c>
      <c r="H4974" t="str">
        <f>"Serv.Prest. 09/03/2026 a 15/03/2026 - PIX: CPF - CHAVE: 130.194.566-81"</f>
        <v>Serv.Prest. 09/03/2026 a 15/03/2026 - PIX: CPF - CHAVE: 130.194.566-81</v>
      </c>
      <c r="I4974" t="str">
        <f t="shared" si="894"/>
        <v>26/03/2026</v>
      </c>
      <c r="J4974" t="str">
        <f t="shared" si="898"/>
        <v>17/03/2026</v>
      </c>
      <c r="K4974" t="str">
        <f>("26/03/2026")</f>
        <v>26/03/2026</v>
      </c>
      <c r="L4974">
        <v>135</v>
      </c>
      <c r="M4974">
        <v>135</v>
      </c>
      <c r="N4974">
        <v>109</v>
      </c>
      <c r="O4974" t="str">
        <f>"PAGAMENTO DE ENTREGADORES"</f>
        <v>PAGAMENTO DE ENTREGADORES</v>
      </c>
      <c r="P4974">
        <v>135</v>
      </c>
      <c r="S4974" t="str">
        <f>"BANCO C6 (149)"</f>
        <v>BANCO C6 (149)</v>
      </c>
      <c r="T4974">
        <v>32118</v>
      </c>
      <c r="U4974">
        <v>35299</v>
      </c>
      <c r="V4974" t="s">
        <v>37</v>
      </c>
    </row>
    <row r="4975" spans="1:22">
      <c r="A4975" t="str">
        <f t="shared" si="900"/>
        <v>26/03/2026</v>
      </c>
      <c r="B4975" t="str">
        <f t="shared" si="893"/>
        <v>SAÍDA</v>
      </c>
      <c r="C4975" t="str">
        <f t="shared" si="895"/>
        <v>PIX</v>
      </c>
      <c r="D4975" t="str">
        <f>"35299"</f>
        <v>35299</v>
      </c>
      <c r="E4975" t="str">
        <f t="shared" si="896"/>
        <v>1</v>
      </c>
      <c r="F4975" t="str">
        <f t="shared" si="897"/>
        <v>COM</v>
      </c>
      <c r="G4975" t="str">
        <f t="shared" si="902"/>
        <v>VITOR DE SOUZA SILVA (360)</v>
      </c>
      <c r="H4975" t="s">
        <v>1369</v>
      </c>
      <c r="I4975" t="str">
        <f t="shared" si="894"/>
        <v>26/03/2026</v>
      </c>
      <c r="J4975" t="str">
        <f t="shared" si="898"/>
        <v>17/03/2026</v>
      </c>
      <c r="K4975">
        <v>46107</v>
      </c>
      <c r="N4975">
        <v>109</v>
      </c>
      <c r="O4975" t="s">
        <v>27</v>
      </c>
      <c r="Q4975">
        <v>135</v>
      </c>
      <c r="R4975" t="str">
        <f>"FARMÁCIA INDIANA LJ 128 (10057)"</f>
        <v>FARMÁCIA INDIANA LJ 128 (10057)</v>
      </c>
      <c r="S4975" t="s">
        <v>37</v>
      </c>
      <c r="T4975">
        <v>32118</v>
      </c>
      <c r="U4975">
        <v>35299</v>
      </c>
      <c r="V4975" t="s">
        <v>37</v>
      </c>
    </row>
    <row r="4976" spans="1:22">
      <c r="A4976" t="str">
        <f t="shared" si="900"/>
        <v>26/03/2026</v>
      </c>
      <c r="B4976" t="str">
        <f t="shared" ref="B4976:B5039" si="903">"SAÍDA"</f>
        <v>SAÍDA</v>
      </c>
      <c r="C4976" t="str">
        <f t="shared" si="895"/>
        <v>PIX</v>
      </c>
      <c r="D4976" t="str">
        <f>"35300"</f>
        <v>35300</v>
      </c>
      <c r="E4976" t="str">
        <f t="shared" si="896"/>
        <v>1</v>
      </c>
      <c r="F4976" t="str">
        <f t="shared" si="897"/>
        <v>COM</v>
      </c>
      <c r="G4976" t="str">
        <f t="shared" si="902"/>
        <v>VITOR DE SOUZA SILVA (360)</v>
      </c>
      <c r="H4976" t="str">
        <f>"Serv.Prest. 09/03/2026 a 15/03/2026 - PIX: CPF - CHAVE: 130.194.566-81"</f>
        <v>Serv.Prest. 09/03/2026 a 15/03/2026 - PIX: CPF - CHAVE: 130.194.566-81</v>
      </c>
      <c r="I4976" t="str">
        <f t="shared" ref="I4976:I5039" si="904">("26/03/2026")</f>
        <v>26/03/2026</v>
      </c>
      <c r="J4976" t="str">
        <f t="shared" si="898"/>
        <v>17/03/2026</v>
      </c>
      <c r="K4976" t="str">
        <f>("26/03/2026")</f>
        <v>26/03/2026</v>
      </c>
      <c r="L4976">
        <v>50</v>
      </c>
      <c r="M4976">
        <v>50</v>
      </c>
      <c r="N4976">
        <v>109</v>
      </c>
      <c r="O4976" t="str">
        <f>"PAGAMENTO DE ENTREGADORES"</f>
        <v>PAGAMENTO DE ENTREGADORES</v>
      </c>
      <c r="P4976">
        <v>50</v>
      </c>
      <c r="S4976" t="str">
        <f>"BANCO C6 (149)"</f>
        <v>BANCO C6 (149)</v>
      </c>
      <c r="T4976">
        <v>32119</v>
      </c>
      <c r="U4976">
        <v>35300</v>
      </c>
      <c r="V4976" t="s">
        <v>37</v>
      </c>
    </row>
    <row r="4977" spans="1:22">
      <c r="A4977" t="str">
        <f t="shared" si="900"/>
        <v>26/03/2026</v>
      </c>
      <c r="B4977" t="str">
        <f t="shared" si="903"/>
        <v>SAÍDA</v>
      </c>
      <c r="C4977" t="str">
        <f t="shared" si="895"/>
        <v>PIX</v>
      </c>
      <c r="D4977" t="str">
        <f>"35300"</f>
        <v>35300</v>
      </c>
      <c r="E4977" t="str">
        <f t="shared" si="896"/>
        <v>1</v>
      </c>
      <c r="F4977" t="str">
        <f t="shared" si="897"/>
        <v>COM</v>
      </c>
      <c r="G4977" t="str">
        <f t="shared" si="902"/>
        <v>VITOR DE SOUZA SILVA (360)</v>
      </c>
      <c r="H4977" t="s">
        <v>1369</v>
      </c>
      <c r="I4977" t="str">
        <f t="shared" si="904"/>
        <v>26/03/2026</v>
      </c>
      <c r="J4977" t="str">
        <f t="shared" si="898"/>
        <v>17/03/2026</v>
      </c>
      <c r="K4977">
        <v>46107</v>
      </c>
      <c r="N4977">
        <v>109</v>
      </c>
      <c r="O4977" t="s">
        <v>27</v>
      </c>
      <c r="Q4977">
        <v>50</v>
      </c>
      <c r="R4977" t="str">
        <f>"FARMÁCIA INDIANA LJ 121 (10054)"</f>
        <v>FARMÁCIA INDIANA LJ 121 (10054)</v>
      </c>
      <c r="S4977" t="s">
        <v>37</v>
      </c>
      <c r="T4977">
        <v>32119</v>
      </c>
      <c r="U4977">
        <v>35300</v>
      </c>
      <c r="V4977" t="s">
        <v>37</v>
      </c>
    </row>
    <row r="4978" spans="1:22">
      <c r="A4978" t="str">
        <f t="shared" si="900"/>
        <v>26/03/2026</v>
      </c>
      <c r="B4978" t="str">
        <f t="shared" si="903"/>
        <v>SAÍDA</v>
      </c>
      <c r="C4978" t="str">
        <f t="shared" si="895"/>
        <v>PIX</v>
      </c>
      <c r="D4978" t="str">
        <f>"35301"</f>
        <v>35301</v>
      </c>
      <c r="E4978" t="str">
        <f t="shared" si="896"/>
        <v>1</v>
      </c>
      <c r="F4978" t="str">
        <f t="shared" si="897"/>
        <v>COM</v>
      </c>
      <c r="G4978" t="str">
        <f>"WAGNER DOS SANTOS LIMA (31)"</f>
        <v>WAGNER DOS SANTOS LIMA (31)</v>
      </c>
      <c r="H4978" t="str">
        <f>"Serv.Prest. 09/03/2026 a 15/03/2026 - PIX: CELULAR - CHAVE: (33) 99118-9032"</f>
        <v>Serv.Prest. 09/03/2026 a 15/03/2026 - PIX: CELULAR - CHAVE: (33) 99118-9032</v>
      </c>
      <c r="I4978" t="str">
        <f t="shared" si="904"/>
        <v>26/03/2026</v>
      </c>
      <c r="J4978" t="str">
        <f t="shared" si="898"/>
        <v>17/03/2026</v>
      </c>
      <c r="K4978" t="str">
        <f>("26/03/2026")</f>
        <v>26/03/2026</v>
      </c>
      <c r="L4978">
        <v>918.5</v>
      </c>
      <c r="M4978">
        <v>918.5</v>
      </c>
      <c r="N4978">
        <v>109</v>
      </c>
      <c r="O4978" t="str">
        <f>"PAGAMENTO DE ENTREGADORES"</f>
        <v>PAGAMENTO DE ENTREGADORES</v>
      </c>
      <c r="P4978">
        <v>918.5</v>
      </c>
      <c r="S4978" t="str">
        <f>"BANCO C6 (149)"</f>
        <v>BANCO C6 (149)</v>
      </c>
      <c r="T4978">
        <v>32120</v>
      </c>
      <c r="U4978">
        <v>35301</v>
      </c>
      <c r="V4978" t="s">
        <v>37</v>
      </c>
    </row>
    <row r="4979" spans="1:22">
      <c r="A4979" t="str">
        <f t="shared" si="900"/>
        <v>26/03/2026</v>
      </c>
      <c r="B4979" t="str">
        <f t="shared" si="903"/>
        <v>SAÍDA</v>
      </c>
      <c r="C4979" t="str">
        <f t="shared" si="895"/>
        <v>PIX</v>
      </c>
      <c r="D4979" t="str">
        <f>"35301"</f>
        <v>35301</v>
      </c>
      <c r="E4979" t="str">
        <f t="shared" si="896"/>
        <v>1</v>
      </c>
      <c r="F4979" t="str">
        <f t="shared" si="897"/>
        <v>COM</v>
      </c>
      <c r="G4979" t="str">
        <f>"WAGNER DOS SANTOS LIMA (31)"</f>
        <v>WAGNER DOS SANTOS LIMA (31)</v>
      </c>
      <c r="H4979" t="s">
        <v>1370</v>
      </c>
      <c r="I4979" t="str">
        <f t="shared" si="904"/>
        <v>26/03/2026</v>
      </c>
      <c r="J4979" t="str">
        <f t="shared" si="898"/>
        <v>17/03/2026</v>
      </c>
      <c r="K4979">
        <v>46107</v>
      </c>
      <c r="N4979">
        <v>109</v>
      </c>
      <c r="O4979" t="s">
        <v>27</v>
      </c>
      <c r="Q4979">
        <v>918.5</v>
      </c>
      <c r="R4979" t="str">
        <f>"FARMÁCIA INDIANA LJ 61 (10027)"</f>
        <v>FARMÁCIA INDIANA LJ 61 (10027)</v>
      </c>
      <c r="S4979" t="s">
        <v>37</v>
      </c>
      <c r="T4979">
        <v>32120</v>
      </c>
      <c r="U4979">
        <v>35301</v>
      </c>
      <c r="V4979" t="s">
        <v>37</v>
      </c>
    </row>
    <row r="4980" spans="1:22">
      <c r="A4980" t="str">
        <f t="shared" si="900"/>
        <v>26/03/2026</v>
      </c>
      <c r="B4980" t="str">
        <f t="shared" si="903"/>
        <v>SAÍDA</v>
      </c>
      <c r="C4980" t="str">
        <f t="shared" si="895"/>
        <v>PIX</v>
      </c>
      <c r="D4980" t="str">
        <f>"35302"</f>
        <v>35302</v>
      </c>
      <c r="E4980" t="str">
        <f t="shared" si="896"/>
        <v>1</v>
      </c>
      <c r="F4980" t="str">
        <f t="shared" si="897"/>
        <v>COM</v>
      </c>
      <c r="G4980" t="str">
        <f>"WAGNER DOS SANTOS LIMA (31)"</f>
        <v>WAGNER DOS SANTOS LIMA (31)</v>
      </c>
      <c r="H4980" t="str">
        <f>"Serv.Prest. 09/03/2026 a 15/03/2026 - PIX: CELULAR - CHAVE: (33) 99118-9032"</f>
        <v>Serv.Prest. 09/03/2026 a 15/03/2026 - PIX: CELULAR - CHAVE: (33) 99118-9032</v>
      </c>
      <c r="I4980" t="str">
        <f t="shared" si="904"/>
        <v>26/03/2026</v>
      </c>
      <c r="J4980" t="str">
        <f t="shared" si="898"/>
        <v>17/03/2026</v>
      </c>
      <c r="K4980" t="str">
        <f>("26/03/2026")</f>
        <v>26/03/2026</v>
      </c>
      <c r="L4980">
        <v>38.5</v>
      </c>
      <c r="M4980">
        <v>38.5</v>
      </c>
      <c r="N4980">
        <v>109</v>
      </c>
      <c r="O4980" t="str">
        <f>"PAGAMENTO DE ENTREGADORES"</f>
        <v>PAGAMENTO DE ENTREGADORES</v>
      </c>
      <c r="P4980">
        <v>38.5</v>
      </c>
      <c r="S4980" t="str">
        <f>"BANCO C6 (149)"</f>
        <v>BANCO C6 (149)</v>
      </c>
      <c r="T4980">
        <v>32121</v>
      </c>
      <c r="U4980">
        <v>35302</v>
      </c>
      <c r="V4980" t="s">
        <v>37</v>
      </c>
    </row>
    <row r="4981" spans="1:22">
      <c r="A4981" t="str">
        <f t="shared" si="900"/>
        <v>26/03/2026</v>
      </c>
      <c r="B4981" t="str">
        <f t="shared" si="903"/>
        <v>SAÍDA</v>
      </c>
      <c r="C4981" t="str">
        <f t="shared" si="895"/>
        <v>PIX</v>
      </c>
      <c r="D4981" t="str">
        <f>"35302"</f>
        <v>35302</v>
      </c>
      <c r="E4981" t="str">
        <f t="shared" si="896"/>
        <v>1</v>
      </c>
      <c r="F4981" t="str">
        <f t="shared" si="897"/>
        <v>COM</v>
      </c>
      <c r="G4981" t="str">
        <f>"WAGNER DOS SANTOS LIMA (31)"</f>
        <v>WAGNER DOS SANTOS LIMA (31)</v>
      </c>
      <c r="H4981" t="s">
        <v>1370</v>
      </c>
      <c r="I4981" t="str">
        <f t="shared" si="904"/>
        <v>26/03/2026</v>
      </c>
      <c r="J4981" t="str">
        <f t="shared" si="898"/>
        <v>17/03/2026</v>
      </c>
      <c r="K4981">
        <v>46107</v>
      </c>
      <c r="N4981">
        <v>109</v>
      </c>
      <c r="O4981" t="s">
        <v>27</v>
      </c>
      <c r="Q4981">
        <v>38.5</v>
      </c>
      <c r="R4981" t="str">
        <f>"FARMÁCIA INDIANA LJ 40 (10016)"</f>
        <v>FARMÁCIA INDIANA LJ 40 (10016)</v>
      </c>
      <c r="S4981" t="s">
        <v>37</v>
      </c>
      <c r="T4981">
        <v>32121</v>
      </c>
      <c r="U4981">
        <v>35302</v>
      </c>
      <c r="V4981" t="s">
        <v>37</v>
      </c>
    </row>
    <row r="4982" spans="1:22">
      <c r="A4982" t="str">
        <f t="shared" si="900"/>
        <v>26/03/2026</v>
      </c>
      <c r="B4982" t="str">
        <f t="shared" si="903"/>
        <v>SAÍDA</v>
      </c>
      <c r="C4982" t="str">
        <f t="shared" ref="C4982:C5045" si="905">"PIX"</f>
        <v>PIX</v>
      </c>
      <c r="D4982" t="str">
        <f>"35303"</f>
        <v>35303</v>
      </c>
      <c r="E4982" t="str">
        <f t="shared" si="896"/>
        <v>1</v>
      </c>
      <c r="F4982" t="str">
        <f t="shared" si="897"/>
        <v>COM</v>
      </c>
      <c r="G4982" t="str">
        <f>"WEIGNE SENA CARDOSO (53)"</f>
        <v>WEIGNE SENA CARDOSO (53)</v>
      </c>
      <c r="H4982" t="str">
        <f>"Serv.Prest. 09/03/2026 a 15/03/2026 - PIX: CPF - CHAVE: 097.245.586-81"</f>
        <v>Serv.Prest. 09/03/2026 a 15/03/2026 - PIX: CPF - CHAVE: 097.245.586-81</v>
      </c>
      <c r="I4982" t="str">
        <f t="shared" si="904"/>
        <v>26/03/2026</v>
      </c>
      <c r="J4982" t="str">
        <f t="shared" si="898"/>
        <v>17/03/2026</v>
      </c>
      <c r="K4982" t="str">
        <f>("26/03/2026")</f>
        <v>26/03/2026</v>
      </c>
      <c r="L4982">
        <v>702</v>
      </c>
      <c r="M4982">
        <v>702</v>
      </c>
      <c r="N4982">
        <v>109</v>
      </c>
      <c r="O4982" t="str">
        <f>"PAGAMENTO DE ENTREGADORES"</f>
        <v>PAGAMENTO DE ENTREGADORES</v>
      </c>
      <c r="P4982">
        <v>702</v>
      </c>
      <c r="S4982" t="str">
        <f>"BANCO C6 (149)"</f>
        <v>BANCO C6 (149)</v>
      </c>
      <c r="T4982">
        <v>32122</v>
      </c>
      <c r="U4982">
        <v>35303</v>
      </c>
      <c r="V4982" t="s">
        <v>37</v>
      </c>
    </row>
    <row r="4983" spans="1:22">
      <c r="A4983" t="str">
        <f t="shared" si="900"/>
        <v>26/03/2026</v>
      </c>
      <c r="B4983" t="str">
        <f t="shared" si="903"/>
        <v>SAÍDA</v>
      </c>
      <c r="C4983" t="str">
        <f t="shared" si="905"/>
        <v>PIX</v>
      </c>
      <c r="D4983" t="str">
        <f>"35303"</f>
        <v>35303</v>
      </c>
      <c r="E4983" t="str">
        <f t="shared" si="896"/>
        <v>1</v>
      </c>
      <c r="F4983" t="str">
        <f t="shared" si="897"/>
        <v>COM</v>
      </c>
      <c r="G4983" t="str">
        <f>"WEIGNE SENA CARDOSO (53)"</f>
        <v>WEIGNE SENA CARDOSO (53)</v>
      </c>
      <c r="H4983" t="s">
        <v>1371</v>
      </c>
      <c r="I4983" t="str">
        <f t="shared" si="904"/>
        <v>26/03/2026</v>
      </c>
      <c r="J4983" t="str">
        <f t="shared" si="898"/>
        <v>17/03/2026</v>
      </c>
      <c r="K4983">
        <v>46107</v>
      </c>
      <c r="N4983">
        <v>109</v>
      </c>
      <c r="O4983" t="s">
        <v>27</v>
      </c>
      <c r="Q4983">
        <v>702</v>
      </c>
      <c r="R4983" t="str">
        <f>"FARMÁCIA INDIANA LJ 07 (10007)"</f>
        <v>FARMÁCIA INDIANA LJ 07 (10007)</v>
      </c>
      <c r="S4983" t="s">
        <v>37</v>
      </c>
      <c r="T4983">
        <v>32122</v>
      </c>
      <c r="U4983">
        <v>35303</v>
      </c>
      <c r="V4983" t="s">
        <v>37</v>
      </c>
    </row>
    <row r="4984" spans="1:22">
      <c r="A4984" t="str">
        <f t="shared" si="900"/>
        <v>26/03/2026</v>
      </c>
      <c r="B4984" t="str">
        <f t="shared" si="903"/>
        <v>SAÍDA</v>
      </c>
      <c r="C4984" t="str">
        <f t="shared" si="905"/>
        <v>PIX</v>
      </c>
      <c r="D4984" t="str">
        <f>"35304"</f>
        <v>35304</v>
      </c>
      <c r="E4984" t="str">
        <f t="shared" ref="E4984:E5003" si="906">"1"</f>
        <v>1</v>
      </c>
      <c r="F4984" t="str">
        <f t="shared" si="897"/>
        <v>COM</v>
      </c>
      <c r="G4984" t="str">
        <f>"WELLINGTON DOS SANTOS ALVES (438)"</f>
        <v>WELLINGTON DOS SANTOS ALVES (438)</v>
      </c>
      <c r="H4984" t="str">
        <f>"Serv.Prest. 09/03/2026 a 15/03/2026 - PIX: CELULAR - CHAVE: (32) 99800-1691"</f>
        <v>Serv.Prest. 09/03/2026 a 15/03/2026 - PIX: CELULAR - CHAVE: (32) 99800-1691</v>
      </c>
      <c r="I4984" t="str">
        <f t="shared" si="904"/>
        <v>26/03/2026</v>
      </c>
      <c r="J4984" t="str">
        <f t="shared" si="898"/>
        <v>17/03/2026</v>
      </c>
      <c r="K4984" t="str">
        <f>("26/03/2026")</f>
        <v>26/03/2026</v>
      </c>
      <c r="L4984">
        <v>700.8</v>
      </c>
      <c r="M4984">
        <v>700.8</v>
      </c>
      <c r="N4984">
        <v>109</v>
      </c>
      <c r="O4984" t="str">
        <f>"PAGAMENTO DE ENTREGADORES"</f>
        <v>PAGAMENTO DE ENTREGADORES</v>
      </c>
      <c r="P4984">
        <v>700.8</v>
      </c>
      <c r="S4984" t="str">
        <f>"BANCO C6 (149)"</f>
        <v>BANCO C6 (149)</v>
      </c>
      <c r="T4984">
        <v>32123</v>
      </c>
      <c r="U4984">
        <v>35304</v>
      </c>
      <c r="V4984" t="s">
        <v>37</v>
      </c>
    </row>
    <row r="4985" spans="1:22">
      <c r="A4985" t="str">
        <f t="shared" si="900"/>
        <v>26/03/2026</v>
      </c>
      <c r="B4985" t="str">
        <f t="shared" si="903"/>
        <v>SAÍDA</v>
      </c>
      <c r="C4985" t="str">
        <f t="shared" si="905"/>
        <v>PIX</v>
      </c>
      <c r="D4985" t="str">
        <f>"35304"</f>
        <v>35304</v>
      </c>
      <c r="E4985" t="str">
        <f t="shared" si="906"/>
        <v>1</v>
      </c>
      <c r="F4985" t="str">
        <f t="shared" si="897"/>
        <v>COM</v>
      </c>
      <c r="G4985" t="str">
        <f>"WELLINGTON DOS SANTOS ALVES (438)"</f>
        <v>WELLINGTON DOS SANTOS ALVES (438)</v>
      </c>
      <c r="H4985" t="s">
        <v>1372</v>
      </c>
      <c r="I4985" t="str">
        <f t="shared" si="904"/>
        <v>26/03/2026</v>
      </c>
      <c r="J4985" t="str">
        <f t="shared" si="898"/>
        <v>17/03/2026</v>
      </c>
      <c r="K4985">
        <v>46107</v>
      </c>
      <c r="N4985">
        <v>109</v>
      </c>
      <c r="O4985" t="s">
        <v>27</v>
      </c>
      <c r="Q4985">
        <v>700.8</v>
      </c>
      <c r="R4985" t="str">
        <f>"FARMÁCIA INDIANA LJ 121 (10054)"</f>
        <v>FARMÁCIA INDIANA LJ 121 (10054)</v>
      </c>
      <c r="S4985" t="s">
        <v>37</v>
      </c>
      <c r="T4985">
        <v>32123</v>
      </c>
      <c r="U4985">
        <v>35304</v>
      </c>
      <c r="V4985" t="s">
        <v>37</v>
      </c>
    </row>
    <row r="4986" spans="1:22">
      <c r="A4986" t="str">
        <f t="shared" si="900"/>
        <v>26/03/2026</v>
      </c>
      <c r="B4986" t="str">
        <f t="shared" si="903"/>
        <v>SAÍDA</v>
      </c>
      <c r="C4986" t="str">
        <f t="shared" si="905"/>
        <v>PIX</v>
      </c>
      <c r="D4986" t="str">
        <f>"35305"</f>
        <v>35305</v>
      </c>
      <c r="E4986" t="str">
        <f t="shared" si="906"/>
        <v>1</v>
      </c>
      <c r="F4986" t="str">
        <f t="shared" si="897"/>
        <v>COM</v>
      </c>
      <c r="G4986" t="str">
        <f>"WELVES DA SILVA RAMOS (194)"</f>
        <v>WELVES DA SILVA RAMOS (194)</v>
      </c>
      <c r="H4986" t="str">
        <f>"Serv.Prest. 09/03/2026 a 15/03/2026 - PIX: CPF - CHAVE: 700.454.836-80"</f>
        <v>Serv.Prest. 09/03/2026 a 15/03/2026 - PIX: CPF - CHAVE: 700.454.836-80</v>
      </c>
      <c r="I4986" t="str">
        <f t="shared" si="904"/>
        <v>26/03/2026</v>
      </c>
      <c r="J4986" t="str">
        <f t="shared" si="898"/>
        <v>17/03/2026</v>
      </c>
      <c r="K4986" t="str">
        <f>("26/03/2026")</f>
        <v>26/03/2026</v>
      </c>
      <c r="L4986">
        <v>1080</v>
      </c>
      <c r="M4986">
        <v>1080</v>
      </c>
      <c r="N4986">
        <v>109</v>
      </c>
      <c r="O4986" t="str">
        <f>"PAGAMENTO DE ENTREGADORES"</f>
        <v>PAGAMENTO DE ENTREGADORES</v>
      </c>
      <c r="P4986">
        <v>1080</v>
      </c>
      <c r="S4986" t="str">
        <f>"BANCO C6 (149)"</f>
        <v>BANCO C6 (149)</v>
      </c>
      <c r="T4986">
        <v>32124</v>
      </c>
      <c r="U4986">
        <v>35305</v>
      </c>
      <c r="V4986" t="s">
        <v>37</v>
      </c>
    </row>
    <row r="4987" spans="1:22">
      <c r="A4987" t="str">
        <f t="shared" si="900"/>
        <v>26/03/2026</v>
      </c>
      <c r="B4987" t="str">
        <f t="shared" si="903"/>
        <v>SAÍDA</v>
      </c>
      <c r="C4987" t="str">
        <f t="shared" si="905"/>
        <v>PIX</v>
      </c>
      <c r="D4987" t="str">
        <f>"35305"</f>
        <v>35305</v>
      </c>
      <c r="E4987" t="str">
        <f t="shared" si="906"/>
        <v>1</v>
      </c>
      <c r="F4987" t="str">
        <f t="shared" si="897"/>
        <v>COM</v>
      </c>
      <c r="G4987" t="str">
        <f>"WELVES DA SILVA RAMOS (194)"</f>
        <v>WELVES DA SILVA RAMOS (194)</v>
      </c>
      <c r="H4987" t="s">
        <v>1373</v>
      </c>
      <c r="I4987" t="str">
        <f t="shared" si="904"/>
        <v>26/03/2026</v>
      </c>
      <c r="J4987" t="str">
        <f t="shared" si="898"/>
        <v>17/03/2026</v>
      </c>
      <c r="K4987">
        <v>46107</v>
      </c>
      <c r="N4987">
        <v>109</v>
      </c>
      <c r="O4987" t="s">
        <v>27</v>
      </c>
      <c r="Q4987">
        <v>1080</v>
      </c>
      <c r="R4987" t="str">
        <f>"FARMÁCIA INDIANA LJ 06 (10006)"</f>
        <v>FARMÁCIA INDIANA LJ 06 (10006)</v>
      </c>
      <c r="S4987" t="s">
        <v>37</v>
      </c>
      <c r="T4987">
        <v>32124</v>
      </c>
      <c r="U4987">
        <v>35305</v>
      </c>
      <c r="V4987" t="s">
        <v>37</v>
      </c>
    </row>
    <row r="4988" spans="1:22">
      <c r="A4988" t="str">
        <f t="shared" si="900"/>
        <v>26/03/2026</v>
      </c>
      <c r="B4988" t="str">
        <f t="shared" si="903"/>
        <v>SAÍDA</v>
      </c>
      <c r="C4988" t="str">
        <f t="shared" si="905"/>
        <v>PIX</v>
      </c>
      <c r="D4988" t="str">
        <f>"35306"</f>
        <v>35306</v>
      </c>
      <c r="E4988" t="str">
        <f t="shared" si="906"/>
        <v>1</v>
      </c>
      <c r="F4988" t="str">
        <f t="shared" si="897"/>
        <v>COM</v>
      </c>
      <c r="G4988" t="str">
        <f>"WEMERSON FELIPE LOPES (187)"</f>
        <v>WEMERSON FELIPE LOPES (187)</v>
      </c>
      <c r="H4988" t="str">
        <f>"Serv.Prest. 09/03/2026 a 15/03/2026 - PIX: CELULAR - CHAVE: (33) 98806-5772"</f>
        <v>Serv.Prest. 09/03/2026 a 15/03/2026 - PIX: CELULAR - CHAVE: (33) 98806-5772</v>
      </c>
      <c r="I4988" t="str">
        <f t="shared" si="904"/>
        <v>26/03/2026</v>
      </c>
      <c r="J4988" t="str">
        <f t="shared" si="898"/>
        <v>17/03/2026</v>
      </c>
      <c r="K4988" t="str">
        <f>("26/03/2026")</f>
        <v>26/03/2026</v>
      </c>
      <c r="L4988">
        <v>1080</v>
      </c>
      <c r="M4988">
        <v>1080</v>
      </c>
      <c r="N4988">
        <v>109</v>
      </c>
      <c r="O4988" t="str">
        <f>"PAGAMENTO DE ENTREGADORES"</f>
        <v>PAGAMENTO DE ENTREGADORES</v>
      </c>
      <c r="P4988">
        <v>1080</v>
      </c>
      <c r="S4988" t="str">
        <f>"BANCO C6 (149)"</f>
        <v>BANCO C6 (149)</v>
      </c>
      <c r="T4988">
        <v>32125</v>
      </c>
      <c r="U4988">
        <v>35306</v>
      </c>
      <c r="V4988" t="s">
        <v>37</v>
      </c>
    </row>
    <row r="4989" spans="1:22">
      <c r="A4989" t="str">
        <f t="shared" si="900"/>
        <v>26/03/2026</v>
      </c>
      <c r="B4989" t="str">
        <f t="shared" si="903"/>
        <v>SAÍDA</v>
      </c>
      <c r="C4989" t="str">
        <f t="shared" si="905"/>
        <v>PIX</v>
      </c>
      <c r="D4989" t="str">
        <f>"35306"</f>
        <v>35306</v>
      </c>
      <c r="E4989" t="str">
        <f t="shared" si="906"/>
        <v>1</v>
      </c>
      <c r="F4989" t="str">
        <f t="shared" si="897"/>
        <v>COM</v>
      </c>
      <c r="G4989" t="str">
        <f>"WEMERSON FELIPE LOPES (187)"</f>
        <v>WEMERSON FELIPE LOPES (187)</v>
      </c>
      <c r="H4989" t="s">
        <v>1374</v>
      </c>
      <c r="I4989" t="str">
        <f t="shared" si="904"/>
        <v>26/03/2026</v>
      </c>
      <c r="J4989" t="str">
        <f t="shared" si="898"/>
        <v>17/03/2026</v>
      </c>
      <c r="K4989">
        <v>46107</v>
      </c>
      <c r="N4989">
        <v>109</v>
      </c>
      <c r="O4989" t="s">
        <v>27</v>
      </c>
      <c r="Q4989">
        <v>1080</v>
      </c>
      <c r="R4989" t="str">
        <f>"FARMÁCIA INDIANA LJ 06 (10006)"</f>
        <v>FARMÁCIA INDIANA LJ 06 (10006)</v>
      </c>
      <c r="S4989" t="s">
        <v>37</v>
      </c>
      <c r="T4989">
        <v>32125</v>
      </c>
      <c r="U4989">
        <v>35306</v>
      </c>
      <c r="V4989" t="s">
        <v>37</v>
      </c>
    </row>
    <row r="4990" spans="1:22">
      <c r="A4990" t="str">
        <f t="shared" si="900"/>
        <v>26/03/2026</v>
      </c>
      <c r="B4990" t="str">
        <f t="shared" si="903"/>
        <v>SAÍDA</v>
      </c>
      <c r="C4990" t="str">
        <f t="shared" si="905"/>
        <v>PIX</v>
      </c>
      <c r="D4990" t="str">
        <f>"35307"</f>
        <v>35307</v>
      </c>
      <c r="E4990" t="str">
        <f t="shared" si="906"/>
        <v>1</v>
      </c>
      <c r="F4990" t="str">
        <f t="shared" si="897"/>
        <v>COM</v>
      </c>
      <c r="G4990" t="str">
        <f>"WEMERSON MOREIRA PESSOA (75)"</f>
        <v>WEMERSON MOREIRA PESSOA (75)</v>
      </c>
      <c r="H4990" t="str">
        <f>"Serv.Prest. 09/03/2026 a 15/03/2026 - PIX: CELULAR - CHAVE: (33) 99996-3668"</f>
        <v>Serv.Prest. 09/03/2026 a 15/03/2026 - PIX: CELULAR - CHAVE: (33) 99996-3668</v>
      </c>
      <c r="I4990" t="str">
        <f t="shared" si="904"/>
        <v>26/03/2026</v>
      </c>
      <c r="J4990" t="str">
        <f t="shared" si="898"/>
        <v>17/03/2026</v>
      </c>
      <c r="K4990" t="str">
        <f>("26/03/2026")</f>
        <v>26/03/2026</v>
      </c>
      <c r="L4990">
        <v>666</v>
      </c>
      <c r="M4990">
        <v>666</v>
      </c>
      <c r="N4990">
        <v>109</v>
      </c>
      <c r="O4990" t="str">
        <f>"PAGAMENTO DE ENTREGADORES"</f>
        <v>PAGAMENTO DE ENTREGADORES</v>
      </c>
      <c r="P4990">
        <v>666</v>
      </c>
      <c r="S4990" t="str">
        <f>"BANCO C6 (149)"</f>
        <v>BANCO C6 (149)</v>
      </c>
      <c r="T4990">
        <v>32126</v>
      </c>
      <c r="U4990">
        <v>35307</v>
      </c>
      <c r="V4990" t="s">
        <v>37</v>
      </c>
    </row>
    <row r="4991" spans="1:22">
      <c r="A4991" t="str">
        <f t="shared" si="900"/>
        <v>26/03/2026</v>
      </c>
      <c r="B4991" t="str">
        <f t="shared" si="903"/>
        <v>SAÍDA</v>
      </c>
      <c r="C4991" t="str">
        <f t="shared" si="905"/>
        <v>PIX</v>
      </c>
      <c r="D4991" t="str">
        <f>"35307"</f>
        <v>35307</v>
      </c>
      <c r="E4991" t="str">
        <f t="shared" si="906"/>
        <v>1</v>
      </c>
      <c r="F4991" t="str">
        <f t="shared" si="897"/>
        <v>COM</v>
      </c>
      <c r="G4991" t="str">
        <f>"WEMERSON MOREIRA PESSOA (75)"</f>
        <v>WEMERSON MOREIRA PESSOA (75)</v>
      </c>
      <c r="H4991" t="s">
        <v>1375</v>
      </c>
      <c r="I4991" t="str">
        <f t="shared" si="904"/>
        <v>26/03/2026</v>
      </c>
      <c r="J4991" t="str">
        <f t="shared" si="898"/>
        <v>17/03/2026</v>
      </c>
      <c r="K4991">
        <v>46107</v>
      </c>
      <c r="N4991">
        <v>109</v>
      </c>
      <c r="O4991" t="s">
        <v>27</v>
      </c>
      <c r="Q4991">
        <v>666</v>
      </c>
      <c r="R4991" t="str">
        <f>"FARMÁCIA INDIANA LJ 07 (10007)"</f>
        <v>FARMÁCIA INDIANA LJ 07 (10007)</v>
      </c>
      <c r="S4991" t="s">
        <v>37</v>
      </c>
      <c r="T4991">
        <v>32126</v>
      </c>
      <c r="U4991">
        <v>35307</v>
      </c>
      <c r="V4991" t="s">
        <v>37</v>
      </c>
    </row>
    <row r="4992" spans="1:22">
      <c r="A4992" t="str">
        <f t="shared" si="900"/>
        <v>26/03/2026</v>
      </c>
      <c r="B4992" t="str">
        <f t="shared" si="903"/>
        <v>SAÍDA</v>
      </c>
      <c r="C4992" t="str">
        <f t="shared" si="905"/>
        <v>PIX</v>
      </c>
      <c r="D4992" t="str">
        <f>"35308"</f>
        <v>35308</v>
      </c>
      <c r="E4992" t="str">
        <f t="shared" si="906"/>
        <v>1</v>
      </c>
      <c r="F4992" t="str">
        <f t="shared" si="897"/>
        <v>COM</v>
      </c>
      <c r="G4992" t="str">
        <f>"WENDEL LIMA DE SOUZA (112)"</f>
        <v>WENDEL LIMA DE SOUZA (112)</v>
      </c>
      <c r="H4992" t="str">
        <f>"Serv.Prest. 09/03/2026 a 15/03/2026 - PIX: CELULAR - CHAVE: (31) 99506-2265"</f>
        <v>Serv.Prest. 09/03/2026 a 15/03/2026 - PIX: CELULAR - CHAVE: (31) 99506-2265</v>
      </c>
      <c r="I4992" t="str">
        <f t="shared" si="904"/>
        <v>26/03/2026</v>
      </c>
      <c r="J4992" t="str">
        <f t="shared" si="898"/>
        <v>17/03/2026</v>
      </c>
      <c r="K4992" t="str">
        <f>("26/03/2026")</f>
        <v>26/03/2026</v>
      </c>
      <c r="L4992">
        <v>1824</v>
      </c>
      <c r="M4992">
        <v>1824</v>
      </c>
      <c r="N4992">
        <v>109</v>
      </c>
      <c r="O4992" t="str">
        <f>"PAGAMENTO DE ENTREGADORES"</f>
        <v>PAGAMENTO DE ENTREGADORES</v>
      </c>
      <c r="P4992">
        <v>1824</v>
      </c>
      <c r="S4992" t="str">
        <f>"BANCO C6 (149)"</f>
        <v>BANCO C6 (149)</v>
      </c>
      <c r="T4992">
        <v>32127</v>
      </c>
      <c r="U4992">
        <v>35308</v>
      </c>
      <c r="V4992" t="s">
        <v>37</v>
      </c>
    </row>
    <row r="4993" spans="1:22">
      <c r="A4993" t="str">
        <f t="shared" si="900"/>
        <v>26/03/2026</v>
      </c>
      <c r="B4993" t="str">
        <f t="shared" si="903"/>
        <v>SAÍDA</v>
      </c>
      <c r="C4993" t="str">
        <f t="shared" si="905"/>
        <v>PIX</v>
      </c>
      <c r="D4993" t="str">
        <f>"35308"</f>
        <v>35308</v>
      </c>
      <c r="E4993" t="str">
        <f t="shared" si="906"/>
        <v>1</v>
      </c>
      <c r="F4993" t="str">
        <f t="shared" si="897"/>
        <v>COM</v>
      </c>
      <c r="G4993" t="str">
        <f>"WENDEL LIMA DE SOUZA (112)"</f>
        <v>WENDEL LIMA DE SOUZA (112)</v>
      </c>
      <c r="H4993" t="s">
        <v>1376</v>
      </c>
      <c r="I4993" t="str">
        <f t="shared" si="904"/>
        <v>26/03/2026</v>
      </c>
      <c r="J4993" t="str">
        <f t="shared" si="898"/>
        <v>17/03/2026</v>
      </c>
      <c r="K4993">
        <v>46107</v>
      </c>
      <c r="N4993">
        <v>109</v>
      </c>
      <c r="O4993" t="s">
        <v>27</v>
      </c>
      <c r="Q4993">
        <v>1824</v>
      </c>
      <c r="R4993" t="str">
        <f>"FARMÁCIA INDIANA LJ 11 (10008)"</f>
        <v>FARMÁCIA INDIANA LJ 11 (10008)</v>
      </c>
      <c r="S4993" t="s">
        <v>37</v>
      </c>
      <c r="T4993">
        <v>32127</v>
      </c>
      <c r="U4993">
        <v>35308</v>
      </c>
      <c r="V4993" t="s">
        <v>37</v>
      </c>
    </row>
    <row r="4994" spans="1:22">
      <c r="A4994" t="str">
        <f t="shared" si="900"/>
        <v>26/03/2026</v>
      </c>
      <c r="B4994" t="str">
        <f t="shared" si="903"/>
        <v>SAÍDA</v>
      </c>
      <c r="C4994" t="str">
        <f t="shared" si="905"/>
        <v>PIX</v>
      </c>
      <c r="D4994" t="str">
        <f>"35309"</f>
        <v>35309</v>
      </c>
      <c r="E4994" t="str">
        <f t="shared" si="906"/>
        <v>1</v>
      </c>
      <c r="F4994" t="str">
        <f t="shared" ref="F4994:F5057" si="907">"COM"</f>
        <v>COM</v>
      </c>
      <c r="G4994" t="str">
        <f t="shared" ref="G4994:G5001" si="908">"WILIAN ROSA VIEIRA (488)"</f>
        <v>WILIAN ROSA VIEIRA (488)</v>
      </c>
      <c r="H4994" t="str">
        <f>"Serv.Prest. 09/03/2026 a 15/03/2026 - PIX: E-MAIL - CHAVE: wilianvieirawrv3578@gmail.com"</f>
        <v>Serv.Prest. 09/03/2026 a 15/03/2026 - PIX: E-MAIL - CHAVE: wilianvieirawrv3578@gmail.com</v>
      </c>
      <c r="I4994" t="str">
        <f t="shared" si="904"/>
        <v>26/03/2026</v>
      </c>
      <c r="J4994" t="str">
        <f t="shared" si="898"/>
        <v>17/03/2026</v>
      </c>
      <c r="K4994" t="str">
        <f>("26/03/2026")</f>
        <v>26/03/2026</v>
      </c>
      <c r="L4994">
        <v>234</v>
      </c>
      <c r="M4994">
        <v>234</v>
      </c>
      <c r="N4994">
        <v>109</v>
      </c>
      <c r="O4994" t="str">
        <f>"PAGAMENTO DE ENTREGADORES"</f>
        <v>PAGAMENTO DE ENTREGADORES</v>
      </c>
      <c r="P4994">
        <v>234</v>
      </c>
      <c r="S4994" t="str">
        <f>"BANCO C6 (149)"</f>
        <v>BANCO C6 (149)</v>
      </c>
      <c r="T4994">
        <v>32128</v>
      </c>
      <c r="U4994">
        <v>35309</v>
      </c>
      <c r="V4994" t="s">
        <v>37</v>
      </c>
    </row>
    <row r="4995" spans="1:22">
      <c r="A4995" t="str">
        <f t="shared" si="900"/>
        <v>26/03/2026</v>
      </c>
      <c r="B4995" t="str">
        <f t="shared" si="903"/>
        <v>SAÍDA</v>
      </c>
      <c r="C4995" t="str">
        <f t="shared" si="905"/>
        <v>PIX</v>
      </c>
      <c r="D4995" t="str">
        <f>"35309"</f>
        <v>35309</v>
      </c>
      <c r="E4995" t="str">
        <f t="shared" si="906"/>
        <v>1</v>
      </c>
      <c r="F4995" t="str">
        <f t="shared" si="907"/>
        <v>COM</v>
      </c>
      <c r="G4995" t="str">
        <f t="shared" si="908"/>
        <v>WILIAN ROSA VIEIRA (488)</v>
      </c>
      <c r="H4995" t="s">
        <v>869</v>
      </c>
      <c r="I4995" t="str">
        <f t="shared" si="904"/>
        <v>26/03/2026</v>
      </c>
      <c r="J4995" t="str">
        <f t="shared" si="898"/>
        <v>17/03/2026</v>
      </c>
      <c r="K4995">
        <v>46107</v>
      </c>
      <c r="N4995">
        <v>109</v>
      </c>
      <c r="O4995" t="s">
        <v>27</v>
      </c>
      <c r="Q4995">
        <v>234</v>
      </c>
      <c r="R4995" t="str">
        <f>"FARMÁCIA INDIANA LJ 154 (10070)"</f>
        <v>FARMÁCIA INDIANA LJ 154 (10070)</v>
      </c>
      <c r="S4995" t="s">
        <v>37</v>
      </c>
      <c r="T4995">
        <v>32128</v>
      </c>
      <c r="U4995">
        <v>35309</v>
      </c>
      <c r="V4995" t="s">
        <v>37</v>
      </c>
    </row>
    <row r="4996" spans="1:22">
      <c r="A4996" t="str">
        <f t="shared" si="900"/>
        <v>26/03/2026</v>
      </c>
      <c r="B4996" t="str">
        <f t="shared" si="903"/>
        <v>SAÍDA</v>
      </c>
      <c r="C4996" t="str">
        <f t="shared" si="905"/>
        <v>PIX</v>
      </c>
      <c r="D4996" t="str">
        <f>"35310"</f>
        <v>35310</v>
      </c>
      <c r="E4996" t="str">
        <f t="shared" si="906"/>
        <v>1</v>
      </c>
      <c r="F4996" t="str">
        <f t="shared" si="907"/>
        <v>COM</v>
      </c>
      <c r="G4996" t="str">
        <f t="shared" si="908"/>
        <v>WILIAN ROSA VIEIRA (488)</v>
      </c>
      <c r="H4996" t="str">
        <f>"Serv.Prest. 09/03/2026 a 15/03/2026 - PIX: E-MAIL - CHAVE: wilianvieirawrv3578@gmail.com"</f>
        <v>Serv.Prest. 09/03/2026 a 15/03/2026 - PIX: E-MAIL - CHAVE: wilianvieirawrv3578@gmail.com</v>
      </c>
      <c r="I4996" t="str">
        <f t="shared" si="904"/>
        <v>26/03/2026</v>
      </c>
      <c r="J4996" t="str">
        <f t="shared" si="898"/>
        <v>17/03/2026</v>
      </c>
      <c r="K4996" t="str">
        <f>("26/03/2026")</f>
        <v>26/03/2026</v>
      </c>
      <c r="L4996">
        <v>234</v>
      </c>
      <c r="M4996">
        <v>234</v>
      </c>
      <c r="N4996">
        <v>109</v>
      </c>
      <c r="O4996" t="str">
        <f>"PAGAMENTO DE ENTREGADORES"</f>
        <v>PAGAMENTO DE ENTREGADORES</v>
      </c>
      <c r="P4996">
        <v>234</v>
      </c>
      <c r="S4996" t="str">
        <f>"BANCO C6 (149)"</f>
        <v>BANCO C6 (149)</v>
      </c>
      <c r="T4996">
        <v>32129</v>
      </c>
      <c r="U4996">
        <v>35310</v>
      </c>
      <c r="V4996" t="s">
        <v>37</v>
      </c>
    </row>
    <row r="4997" spans="1:22">
      <c r="A4997" t="str">
        <f t="shared" si="900"/>
        <v>26/03/2026</v>
      </c>
      <c r="B4997" t="str">
        <f t="shared" si="903"/>
        <v>SAÍDA</v>
      </c>
      <c r="C4997" t="str">
        <f t="shared" si="905"/>
        <v>PIX</v>
      </c>
      <c r="D4997" t="str">
        <f>"35310"</f>
        <v>35310</v>
      </c>
      <c r="E4997" t="str">
        <f t="shared" si="906"/>
        <v>1</v>
      </c>
      <c r="F4997" t="str">
        <f t="shared" si="907"/>
        <v>COM</v>
      </c>
      <c r="G4997" t="str">
        <f t="shared" si="908"/>
        <v>WILIAN ROSA VIEIRA (488)</v>
      </c>
      <c r="H4997" t="s">
        <v>869</v>
      </c>
      <c r="I4997" t="str">
        <f t="shared" si="904"/>
        <v>26/03/2026</v>
      </c>
      <c r="J4997" t="str">
        <f t="shared" si="898"/>
        <v>17/03/2026</v>
      </c>
      <c r="K4997">
        <v>46107</v>
      </c>
      <c r="N4997">
        <v>109</v>
      </c>
      <c r="O4997" t="s">
        <v>27</v>
      </c>
      <c r="Q4997">
        <v>234</v>
      </c>
      <c r="R4997" t="str">
        <f>"FARMÁCIA INDIANA LJ 141 (10065)"</f>
        <v>FARMÁCIA INDIANA LJ 141 (10065)</v>
      </c>
      <c r="S4997" t="s">
        <v>37</v>
      </c>
      <c r="T4997">
        <v>32129</v>
      </c>
      <c r="U4997">
        <v>35310</v>
      </c>
      <c r="V4997" t="s">
        <v>37</v>
      </c>
    </row>
    <row r="4998" spans="1:22">
      <c r="A4998" t="str">
        <f t="shared" si="900"/>
        <v>26/03/2026</v>
      </c>
      <c r="B4998" t="str">
        <f t="shared" si="903"/>
        <v>SAÍDA</v>
      </c>
      <c r="C4998" t="str">
        <f t="shared" si="905"/>
        <v>PIX</v>
      </c>
      <c r="D4998" t="str">
        <f>"35311"</f>
        <v>35311</v>
      </c>
      <c r="E4998" t="str">
        <f t="shared" si="906"/>
        <v>1</v>
      </c>
      <c r="F4998" t="str">
        <f t="shared" si="907"/>
        <v>COM</v>
      </c>
      <c r="G4998" t="str">
        <f t="shared" si="908"/>
        <v>WILIAN ROSA VIEIRA (488)</v>
      </c>
      <c r="H4998" t="str">
        <f>"Serv.Prest. 09/03/2026 a 15/03/2026 - PIX: E-MAIL - CHAVE: wilianvieirawrv3578@gmail.com"</f>
        <v>Serv.Prest. 09/03/2026 a 15/03/2026 - PIX: E-MAIL - CHAVE: wilianvieirawrv3578@gmail.com</v>
      </c>
      <c r="I4998" t="str">
        <f t="shared" si="904"/>
        <v>26/03/2026</v>
      </c>
      <c r="J4998" t="str">
        <f t="shared" si="898"/>
        <v>17/03/2026</v>
      </c>
      <c r="K4998" t="str">
        <f>("26/03/2026")</f>
        <v>26/03/2026</v>
      </c>
      <c r="L4998">
        <v>16</v>
      </c>
      <c r="M4998">
        <v>16</v>
      </c>
      <c r="N4998">
        <v>109</v>
      </c>
      <c r="O4998" t="str">
        <f>"PAGAMENTO DE ENTREGADORES"</f>
        <v>PAGAMENTO DE ENTREGADORES</v>
      </c>
      <c r="P4998">
        <v>16</v>
      </c>
      <c r="S4998" t="str">
        <f>"BANCO C6 (149)"</f>
        <v>BANCO C6 (149)</v>
      </c>
      <c r="T4998">
        <v>32130</v>
      </c>
      <c r="U4998">
        <v>35311</v>
      </c>
      <c r="V4998" t="s">
        <v>37</v>
      </c>
    </row>
    <row r="4999" spans="1:22">
      <c r="A4999" t="str">
        <f t="shared" si="900"/>
        <v>26/03/2026</v>
      </c>
      <c r="B4999" t="str">
        <f t="shared" si="903"/>
        <v>SAÍDA</v>
      </c>
      <c r="C4999" t="str">
        <f t="shared" si="905"/>
        <v>PIX</v>
      </c>
      <c r="D4999" t="str">
        <f>"35311"</f>
        <v>35311</v>
      </c>
      <c r="E4999" t="str">
        <f t="shared" si="906"/>
        <v>1</v>
      </c>
      <c r="F4999" t="str">
        <f t="shared" si="907"/>
        <v>COM</v>
      </c>
      <c r="G4999" t="str">
        <f t="shared" si="908"/>
        <v>WILIAN ROSA VIEIRA (488)</v>
      </c>
      <c r="H4999" t="s">
        <v>869</v>
      </c>
      <c r="I4999" t="str">
        <f t="shared" si="904"/>
        <v>26/03/2026</v>
      </c>
      <c r="J4999" t="str">
        <f t="shared" si="898"/>
        <v>17/03/2026</v>
      </c>
      <c r="K4999">
        <v>46107</v>
      </c>
      <c r="N4999">
        <v>109</v>
      </c>
      <c r="O4999" t="s">
        <v>27</v>
      </c>
      <c r="Q4999">
        <v>16</v>
      </c>
      <c r="R4999" t="str">
        <f>"FARMÁCIA INDIANA LJ 103 (10044)"</f>
        <v>FARMÁCIA INDIANA LJ 103 (10044)</v>
      </c>
      <c r="S4999" t="s">
        <v>37</v>
      </c>
      <c r="T4999">
        <v>32130</v>
      </c>
      <c r="U4999">
        <v>35311</v>
      </c>
      <c r="V4999" t="s">
        <v>37</v>
      </c>
    </row>
    <row r="5000" spans="1:22">
      <c r="A5000" t="str">
        <f t="shared" si="900"/>
        <v>26/03/2026</v>
      </c>
      <c r="B5000" t="str">
        <f t="shared" si="903"/>
        <v>SAÍDA</v>
      </c>
      <c r="C5000" t="str">
        <f t="shared" si="905"/>
        <v>PIX</v>
      </c>
      <c r="D5000" t="str">
        <f>"35312"</f>
        <v>35312</v>
      </c>
      <c r="E5000" t="str">
        <f t="shared" si="906"/>
        <v>1</v>
      </c>
      <c r="F5000" t="str">
        <f t="shared" si="907"/>
        <v>COM</v>
      </c>
      <c r="G5000" t="str">
        <f t="shared" si="908"/>
        <v>WILIAN ROSA VIEIRA (488)</v>
      </c>
      <c r="H5000" t="str">
        <f>"Serv.Prest. 09/03/2026 a 15/03/2026 - PIX: E-MAIL - CHAVE: wilianvieirawrv3578@gmail.com"</f>
        <v>Serv.Prest. 09/03/2026 a 15/03/2026 - PIX: E-MAIL - CHAVE: wilianvieirawrv3578@gmail.com</v>
      </c>
      <c r="I5000" t="str">
        <f t="shared" si="904"/>
        <v>26/03/2026</v>
      </c>
      <c r="J5000" t="str">
        <f t="shared" si="898"/>
        <v>17/03/2026</v>
      </c>
      <c r="K5000" t="str">
        <f>("26/03/2026")</f>
        <v>26/03/2026</v>
      </c>
      <c r="L5000">
        <v>234</v>
      </c>
      <c r="M5000">
        <v>234</v>
      </c>
      <c r="N5000">
        <v>109</v>
      </c>
      <c r="O5000" t="str">
        <f>"PAGAMENTO DE ENTREGADORES"</f>
        <v>PAGAMENTO DE ENTREGADORES</v>
      </c>
      <c r="P5000">
        <v>234</v>
      </c>
      <c r="S5000" t="str">
        <f>"BANCO C6 (149)"</f>
        <v>BANCO C6 (149)</v>
      </c>
      <c r="T5000">
        <v>32131</v>
      </c>
      <c r="U5000">
        <v>35312</v>
      </c>
      <c r="V5000" t="s">
        <v>37</v>
      </c>
    </row>
    <row r="5001" spans="1:22">
      <c r="A5001" t="str">
        <f t="shared" si="900"/>
        <v>26/03/2026</v>
      </c>
      <c r="B5001" t="str">
        <f t="shared" si="903"/>
        <v>SAÍDA</v>
      </c>
      <c r="C5001" t="str">
        <f t="shared" si="905"/>
        <v>PIX</v>
      </c>
      <c r="D5001" t="str">
        <f>"35312"</f>
        <v>35312</v>
      </c>
      <c r="E5001" t="str">
        <f t="shared" si="906"/>
        <v>1</v>
      </c>
      <c r="F5001" t="str">
        <f t="shared" si="907"/>
        <v>COM</v>
      </c>
      <c r="G5001" t="str">
        <f t="shared" si="908"/>
        <v>WILIAN ROSA VIEIRA (488)</v>
      </c>
      <c r="H5001" t="s">
        <v>869</v>
      </c>
      <c r="I5001" t="str">
        <f t="shared" si="904"/>
        <v>26/03/2026</v>
      </c>
      <c r="J5001" t="str">
        <f t="shared" si="898"/>
        <v>17/03/2026</v>
      </c>
      <c r="K5001">
        <v>46107</v>
      </c>
      <c r="N5001">
        <v>109</v>
      </c>
      <c r="O5001" t="s">
        <v>27</v>
      </c>
      <c r="Q5001">
        <v>234</v>
      </c>
      <c r="R5001" t="str">
        <f>"FARMÁCIA INDIANA LJ 140 (10064)"</f>
        <v>FARMÁCIA INDIANA LJ 140 (10064)</v>
      </c>
      <c r="S5001" t="s">
        <v>37</v>
      </c>
      <c r="T5001">
        <v>32131</v>
      </c>
      <c r="U5001">
        <v>35312</v>
      </c>
      <c r="V5001" t="s">
        <v>37</v>
      </c>
    </row>
    <row r="5002" spans="1:22">
      <c r="A5002" t="str">
        <f t="shared" si="900"/>
        <v>26/03/2026</v>
      </c>
      <c r="B5002" t="str">
        <f t="shared" si="903"/>
        <v>SAÍDA</v>
      </c>
      <c r="C5002" t="str">
        <f t="shared" si="905"/>
        <v>PIX</v>
      </c>
      <c r="D5002" t="str">
        <f>"35315"</f>
        <v>35315</v>
      </c>
      <c r="E5002" t="str">
        <f t="shared" si="906"/>
        <v>1</v>
      </c>
      <c r="F5002" t="str">
        <f t="shared" si="907"/>
        <v>COM</v>
      </c>
      <c r="G5002" t="str">
        <f>"YAN EVERTON RODRIGUES DE LIMA (875)"</f>
        <v>YAN EVERTON RODRIGUES DE LIMA (875)</v>
      </c>
      <c r="H5002" t="str">
        <f>"Serv.Prest. 09/03/2026 a 15/03/2026 - PIX: CELULAR - CHAVE: (33) 99859-8751"</f>
        <v>Serv.Prest. 09/03/2026 a 15/03/2026 - PIX: CELULAR - CHAVE: (33) 99859-8751</v>
      </c>
      <c r="I5002" t="str">
        <f t="shared" si="904"/>
        <v>26/03/2026</v>
      </c>
      <c r="J5002" t="str">
        <f t="shared" si="898"/>
        <v>17/03/2026</v>
      </c>
      <c r="K5002" t="str">
        <f>("26/03/2026")</f>
        <v>26/03/2026</v>
      </c>
      <c r="L5002">
        <v>1080</v>
      </c>
      <c r="M5002">
        <v>1080</v>
      </c>
      <c r="N5002">
        <v>109</v>
      </c>
      <c r="O5002" t="str">
        <f>"PAGAMENTO DE ENTREGADORES"</f>
        <v>PAGAMENTO DE ENTREGADORES</v>
      </c>
      <c r="P5002">
        <v>1080</v>
      </c>
      <c r="S5002" t="str">
        <f>"BANCO C6 (149)"</f>
        <v>BANCO C6 (149)</v>
      </c>
      <c r="T5002">
        <v>32132</v>
      </c>
      <c r="U5002">
        <v>35315</v>
      </c>
      <c r="V5002" t="s">
        <v>37</v>
      </c>
    </row>
    <row r="5003" spans="1:22">
      <c r="A5003" t="str">
        <f t="shared" si="900"/>
        <v>26/03/2026</v>
      </c>
      <c r="B5003" t="str">
        <f t="shared" si="903"/>
        <v>SAÍDA</v>
      </c>
      <c r="C5003" t="str">
        <f t="shared" si="905"/>
        <v>PIX</v>
      </c>
      <c r="D5003" t="str">
        <f>"35315"</f>
        <v>35315</v>
      </c>
      <c r="E5003" t="str">
        <f t="shared" si="906"/>
        <v>1</v>
      </c>
      <c r="F5003" t="str">
        <f t="shared" si="907"/>
        <v>COM</v>
      </c>
      <c r="G5003" t="str">
        <f>"YAN EVERTON RODRIGUES DE LIMA (875)"</f>
        <v>YAN EVERTON RODRIGUES DE LIMA (875)</v>
      </c>
      <c r="H5003" t="s">
        <v>1377</v>
      </c>
      <c r="I5003" t="str">
        <f t="shared" si="904"/>
        <v>26/03/2026</v>
      </c>
      <c r="J5003" t="str">
        <f t="shared" si="898"/>
        <v>17/03/2026</v>
      </c>
      <c r="K5003">
        <v>46107</v>
      </c>
      <c r="N5003">
        <v>109</v>
      </c>
      <c r="O5003" t="s">
        <v>27</v>
      </c>
      <c r="Q5003">
        <v>1080</v>
      </c>
      <c r="R5003" t="str">
        <f>"FARMÁCIA INDIANA LJ 06 (10006)"</f>
        <v>FARMÁCIA INDIANA LJ 06 (10006)</v>
      </c>
      <c r="S5003" t="s">
        <v>37</v>
      </c>
      <c r="T5003">
        <v>32132</v>
      </c>
      <c r="U5003">
        <v>35315</v>
      </c>
      <c r="V5003" t="s">
        <v>37</v>
      </c>
    </row>
    <row r="5004" spans="1:22">
      <c r="A5004" t="str">
        <f t="shared" si="900"/>
        <v>26/03/2026</v>
      </c>
      <c r="B5004" t="str">
        <f t="shared" si="903"/>
        <v>SAÍDA</v>
      </c>
      <c r="C5004" t="str">
        <f t="shared" si="905"/>
        <v>PIX</v>
      </c>
      <c r="D5004" t="str">
        <f>"34496"</f>
        <v>34496</v>
      </c>
      <c r="E5004" t="str">
        <f>"2"</f>
        <v>2</v>
      </c>
      <c r="F5004" t="str">
        <f t="shared" si="907"/>
        <v>COM</v>
      </c>
      <c r="G5004" t="str">
        <f>"GEOVANI SILVA SANTOS (1340)"</f>
        <v>GEOVANI SILVA SANTOS (1340)</v>
      </c>
      <c r="H5004" t="str">
        <f>"Serv.Prest. 09/03/2026 a 15/03/2026 - PIX: E-MAIL - CHAVE: geovanisilvasantos311@gmail.com"</f>
        <v>Serv.Prest. 09/03/2026 a 15/03/2026 - PIX: E-MAIL - CHAVE: geovanisilvasantos311@gmail.com</v>
      </c>
      <c r="I5004" t="str">
        <f t="shared" si="904"/>
        <v>26/03/2026</v>
      </c>
      <c r="J5004" t="str">
        <f>("10/03/2026")</f>
        <v>10/03/2026</v>
      </c>
      <c r="K5004" t="str">
        <f>("26/03/2026")</f>
        <v>26/03/2026</v>
      </c>
      <c r="L5004">
        <v>324</v>
      </c>
      <c r="M5004">
        <v>324</v>
      </c>
      <c r="N5004">
        <v>109</v>
      </c>
      <c r="O5004" t="str">
        <f>"PAGAMENTO DE ENTREGADORES"</f>
        <v>PAGAMENTO DE ENTREGADORES</v>
      </c>
      <c r="P5004">
        <v>324</v>
      </c>
      <c r="S5004" t="str">
        <f>"BANCO C6 (149)"</f>
        <v>BANCO C6 (149)</v>
      </c>
      <c r="T5004">
        <v>32133</v>
      </c>
      <c r="U5004">
        <v>35326</v>
      </c>
      <c r="V5004" t="s">
        <v>37</v>
      </c>
    </row>
    <row r="5005" spans="1:22">
      <c r="A5005" t="str">
        <f t="shared" si="900"/>
        <v>26/03/2026</v>
      </c>
      <c r="B5005" t="str">
        <f t="shared" si="903"/>
        <v>SAÍDA</v>
      </c>
      <c r="C5005" t="str">
        <f t="shared" si="905"/>
        <v>PIX</v>
      </c>
      <c r="D5005" t="str">
        <f>"34496"</f>
        <v>34496</v>
      </c>
      <c r="E5005" t="str">
        <f>"2"</f>
        <v>2</v>
      </c>
      <c r="F5005" t="str">
        <f t="shared" si="907"/>
        <v>COM</v>
      </c>
      <c r="G5005" t="str">
        <f>"GEOVANI SILVA SANTOS (1340)"</f>
        <v>GEOVANI SILVA SANTOS (1340)</v>
      </c>
      <c r="H5005" t="s">
        <v>1378</v>
      </c>
      <c r="I5005" t="str">
        <f t="shared" si="904"/>
        <v>26/03/2026</v>
      </c>
      <c r="J5005" t="str">
        <f>("10/03/2026")</f>
        <v>10/03/2026</v>
      </c>
      <c r="K5005">
        <v>46107</v>
      </c>
      <c r="N5005">
        <v>109</v>
      </c>
      <c r="O5005" t="s">
        <v>27</v>
      </c>
      <c r="Q5005">
        <v>324</v>
      </c>
      <c r="R5005" t="str">
        <f>"FARMÁCIA INDIANA LJ 173 (10075)"</f>
        <v>FARMÁCIA INDIANA LJ 173 (10075)</v>
      </c>
      <c r="S5005" t="s">
        <v>37</v>
      </c>
      <c r="T5005">
        <v>32133</v>
      </c>
      <c r="U5005">
        <v>35326</v>
      </c>
      <c r="V5005" t="s">
        <v>37</v>
      </c>
    </row>
    <row r="5006" spans="1:22">
      <c r="A5006" t="str">
        <f t="shared" si="900"/>
        <v>26/03/2026</v>
      </c>
      <c r="B5006" t="str">
        <f t="shared" si="903"/>
        <v>SAÍDA</v>
      </c>
      <c r="C5006" t="str">
        <f t="shared" si="905"/>
        <v>PIX</v>
      </c>
      <c r="D5006" t="str">
        <f>"34497"</f>
        <v>34497</v>
      </c>
      <c r="E5006" t="str">
        <f>"2"</f>
        <v>2</v>
      </c>
      <c r="F5006" t="str">
        <f t="shared" si="907"/>
        <v>COM</v>
      </c>
      <c r="G5006" t="str">
        <f>"GEOVANI SILVA SANTOS (1340)"</f>
        <v>GEOVANI SILVA SANTOS (1340)</v>
      </c>
      <c r="H5006" t="str">
        <f>"Serv.Prest. 09/03/2026 a 15/03/2026 - PIX: E-MAIL - CHAVE: geovanisilvasantos311@gmail.com"</f>
        <v>Serv.Prest. 09/03/2026 a 15/03/2026 - PIX: E-MAIL - CHAVE: geovanisilvasantos311@gmail.com</v>
      </c>
      <c r="I5006" t="str">
        <f t="shared" si="904"/>
        <v>26/03/2026</v>
      </c>
      <c r="J5006" t="str">
        <f>("10/03/2026")</f>
        <v>10/03/2026</v>
      </c>
      <c r="K5006" t="str">
        <f>("26/03/2026")</f>
        <v>26/03/2026</v>
      </c>
      <c r="L5006">
        <v>330</v>
      </c>
      <c r="M5006">
        <v>330</v>
      </c>
      <c r="N5006">
        <v>109</v>
      </c>
      <c r="O5006" t="str">
        <f>"PAGAMENTO DE ENTREGADORES"</f>
        <v>PAGAMENTO DE ENTREGADORES</v>
      </c>
      <c r="P5006">
        <v>330</v>
      </c>
      <c r="S5006" t="str">
        <f>"BANCO C6 (149)"</f>
        <v>BANCO C6 (149)</v>
      </c>
      <c r="T5006">
        <v>32134</v>
      </c>
      <c r="U5006">
        <v>35327</v>
      </c>
      <c r="V5006" t="s">
        <v>37</v>
      </c>
    </row>
    <row r="5007" spans="1:22">
      <c r="A5007" t="str">
        <f t="shared" si="900"/>
        <v>26/03/2026</v>
      </c>
      <c r="B5007" t="str">
        <f t="shared" si="903"/>
        <v>SAÍDA</v>
      </c>
      <c r="C5007" t="str">
        <f t="shared" si="905"/>
        <v>PIX</v>
      </c>
      <c r="D5007" t="str">
        <f>"34497"</f>
        <v>34497</v>
      </c>
      <c r="E5007" t="str">
        <f>"2"</f>
        <v>2</v>
      </c>
      <c r="F5007" t="str">
        <f t="shared" si="907"/>
        <v>COM</v>
      </c>
      <c r="G5007" t="str">
        <f>"GEOVANI SILVA SANTOS (1340)"</f>
        <v>GEOVANI SILVA SANTOS (1340)</v>
      </c>
      <c r="H5007" t="s">
        <v>1378</v>
      </c>
      <c r="I5007" t="str">
        <f t="shared" si="904"/>
        <v>26/03/2026</v>
      </c>
      <c r="J5007" t="str">
        <f>("10/03/2026")</f>
        <v>10/03/2026</v>
      </c>
      <c r="K5007">
        <v>46107</v>
      </c>
      <c r="N5007">
        <v>109</v>
      </c>
      <c r="O5007" t="s">
        <v>27</v>
      </c>
      <c r="Q5007">
        <v>330</v>
      </c>
      <c r="R5007" t="str">
        <f>"FARMÁCIA INDIANA LJ 65 (10030)"</f>
        <v>FARMÁCIA INDIANA LJ 65 (10030)</v>
      </c>
      <c r="S5007" t="s">
        <v>37</v>
      </c>
      <c r="T5007">
        <v>32134</v>
      </c>
      <c r="U5007">
        <v>35327</v>
      </c>
      <c r="V5007" t="s">
        <v>37</v>
      </c>
    </row>
    <row r="5008" spans="1:22">
      <c r="A5008" t="str">
        <f t="shared" si="900"/>
        <v>26/03/2026</v>
      </c>
      <c r="B5008" t="str">
        <f t="shared" si="903"/>
        <v>SAÍDA</v>
      </c>
      <c r="C5008" t="str">
        <f t="shared" si="905"/>
        <v>PIX</v>
      </c>
      <c r="D5008" t="str">
        <f>"35850"</f>
        <v>35850</v>
      </c>
      <c r="E5008" t="str">
        <f>"1"</f>
        <v>1</v>
      </c>
      <c r="F5008" t="str">
        <f t="shared" si="907"/>
        <v>COM</v>
      </c>
      <c r="G5008" t="str">
        <f>"HENDRYL SOUZA DA SILVA (1026)"</f>
        <v>HENDRYL SOUZA DA SILVA (1026)</v>
      </c>
      <c r="H5008" t="str">
        <f>"Serv.Prest. 16/03/2026 a 22/03/2026 - PIX: CPF - CHAVE: 499.814.888-52"</f>
        <v>Serv.Prest. 16/03/2026 a 22/03/2026 - PIX: CPF - CHAVE: 499.814.888-52</v>
      </c>
      <c r="I5008" t="str">
        <f t="shared" si="904"/>
        <v>26/03/2026</v>
      </c>
      <c r="J5008" t="str">
        <f t="shared" ref="J5008:J5071" si="909">("23/03/2026")</f>
        <v>23/03/2026</v>
      </c>
      <c r="K5008" t="str">
        <f>("26/03/2026")</f>
        <v>26/03/2026</v>
      </c>
      <c r="L5008">
        <v>170</v>
      </c>
      <c r="M5008">
        <v>170</v>
      </c>
      <c r="N5008">
        <v>109</v>
      </c>
      <c r="O5008" t="str">
        <f>"PAGAMENTO DE ENTREGADORES"</f>
        <v>PAGAMENTO DE ENTREGADORES</v>
      </c>
      <c r="P5008">
        <v>170</v>
      </c>
      <c r="S5008" t="str">
        <f>"BANCO C6 (149)"</f>
        <v>BANCO C6 (149)</v>
      </c>
      <c r="T5008">
        <v>32135</v>
      </c>
      <c r="U5008">
        <v>35850</v>
      </c>
      <c r="V5008" t="s">
        <v>37</v>
      </c>
    </row>
    <row r="5009" spans="1:22">
      <c r="A5009" t="str">
        <f t="shared" si="900"/>
        <v>26/03/2026</v>
      </c>
      <c r="B5009" t="str">
        <f t="shared" si="903"/>
        <v>SAÍDA</v>
      </c>
      <c r="C5009" t="str">
        <f t="shared" si="905"/>
        <v>PIX</v>
      </c>
      <c r="D5009" t="str">
        <f>"35850"</f>
        <v>35850</v>
      </c>
      <c r="E5009" t="str">
        <f>"1"</f>
        <v>1</v>
      </c>
      <c r="F5009" t="str">
        <f t="shared" si="907"/>
        <v>COM</v>
      </c>
      <c r="G5009" t="str">
        <f>"HENDRYL SOUZA DA SILVA (1026)"</f>
        <v>HENDRYL SOUZA DA SILVA (1026)</v>
      </c>
      <c r="H5009" t="s">
        <v>1379</v>
      </c>
      <c r="I5009" t="str">
        <f t="shared" si="904"/>
        <v>26/03/2026</v>
      </c>
      <c r="J5009" t="str">
        <f t="shared" si="909"/>
        <v>23/03/2026</v>
      </c>
      <c r="K5009">
        <v>46107</v>
      </c>
      <c r="N5009">
        <v>109</v>
      </c>
      <c r="O5009" t="s">
        <v>27</v>
      </c>
      <c r="Q5009">
        <v>170</v>
      </c>
      <c r="R5009" t="str">
        <f>"PENSE FARMA 61 (10243)"</f>
        <v>PENSE FARMA 61 (10243)</v>
      </c>
      <c r="S5009" t="s">
        <v>37</v>
      </c>
      <c r="T5009">
        <v>32135</v>
      </c>
      <c r="U5009">
        <v>35850</v>
      </c>
      <c r="V5009" t="s">
        <v>37</v>
      </c>
    </row>
    <row r="5010" spans="1:22">
      <c r="A5010" t="str">
        <f t="shared" si="900"/>
        <v>26/03/2026</v>
      </c>
      <c r="B5010" t="str">
        <f t="shared" si="903"/>
        <v>SAÍDA</v>
      </c>
      <c r="C5010" t="str">
        <f t="shared" si="905"/>
        <v>PIX</v>
      </c>
      <c r="D5010" t="str">
        <f>"26032026"</f>
        <v>26032026</v>
      </c>
      <c r="E5010" t="str">
        <f>""</f>
        <v/>
      </c>
      <c r="F5010" t="str">
        <f t="shared" si="907"/>
        <v>COM</v>
      </c>
      <c r="G5010" t="str">
        <f>"GABRIEL SIQUEIRA DA SILVA (997)"</f>
        <v>GABRIEL SIQUEIRA DA SILVA (997)</v>
      </c>
      <c r="H5010" t="str">
        <f>"Serv.Prest.COMPLEMENTO 09/03/2026 a 15/03/2026 - PIX: CPF - CHAVE: 500.480.978-02"</f>
        <v>Serv.Prest.COMPLEMENTO 09/03/2026 a 15/03/2026 - PIX: CPF - CHAVE: 500.480.978-02</v>
      </c>
      <c r="I5010" t="str">
        <f t="shared" si="904"/>
        <v>26/03/2026</v>
      </c>
      <c r="J5010" t="str">
        <f t="shared" si="909"/>
        <v>23/03/2026</v>
      </c>
      <c r="K5010" t="str">
        <f>("26/03/2026")</f>
        <v>26/03/2026</v>
      </c>
      <c r="L5010">
        <v>225</v>
      </c>
      <c r="M5010">
        <v>225</v>
      </c>
      <c r="N5010">
        <v>109</v>
      </c>
      <c r="O5010" t="str">
        <f>"PAGAMENTO DE ENTREGADORES"</f>
        <v>PAGAMENTO DE ENTREGADORES</v>
      </c>
      <c r="P5010">
        <v>225</v>
      </c>
      <c r="S5010" t="str">
        <f>"BANCO C6 (149)"</f>
        <v>BANCO C6 (149)</v>
      </c>
      <c r="T5010">
        <v>32136</v>
      </c>
      <c r="U5010">
        <v>35799</v>
      </c>
      <c r="V5010" t="s">
        <v>37</v>
      </c>
    </row>
    <row r="5011" spans="1:22">
      <c r="A5011" t="str">
        <f t="shared" si="900"/>
        <v>26/03/2026</v>
      </c>
      <c r="B5011" t="str">
        <f t="shared" si="903"/>
        <v>SAÍDA</v>
      </c>
      <c r="C5011" t="str">
        <f t="shared" si="905"/>
        <v>PIX</v>
      </c>
      <c r="D5011" t="str">
        <f>"26032026"</f>
        <v>26032026</v>
      </c>
      <c r="E5011" t="str">
        <f>""</f>
        <v/>
      </c>
      <c r="F5011" t="str">
        <f t="shared" si="907"/>
        <v>COM</v>
      </c>
      <c r="G5011" t="str">
        <f>"GABRIEL SIQUEIRA DA SILVA (997)"</f>
        <v>GABRIEL SIQUEIRA DA SILVA (997)</v>
      </c>
      <c r="H5011" t="s">
        <v>1380</v>
      </c>
      <c r="I5011" t="str">
        <f t="shared" si="904"/>
        <v>26/03/2026</v>
      </c>
      <c r="J5011" t="str">
        <f t="shared" si="909"/>
        <v>23/03/2026</v>
      </c>
      <c r="K5011">
        <v>46107</v>
      </c>
      <c r="N5011">
        <v>109</v>
      </c>
      <c r="O5011" t="s">
        <v>27</v>
      </c>
      <c r="Q5011">
        <v>225</v>
      </c>
      <c r="R5011" t="str">
        <f>"GABRIEL SIQUEIRA DA SILVA (997)"</f>
        <v>GABRIEL SIQUEIRA DA SILVA (997)</v>
      </c>
      <c r="S5011" t="s">
        <v>37</v>
      </c>
      <c r="T5011">
        <v>32136</v>
      </c>
      <c r="U5011">
        <v>35799</v>
      </c>
      <c r="V5011" t="s">
        <v>37</v>
      </c>
    </row>
    <row r="5012" spans="1:22">
      <c r="A5012" t="str">
        <f t="shared" si="900"/>
        <v>26/03/2026</v>
      </c>
      <c r="B5012" t="str">
        <f t="shared" si="903"/>
        <v>SAÍDA</v>
      </c>
      <c r="C5012" t="str">
        <f t="shared" si="905"/>
        <v>PIX</v>
      </c>
      <c r="D5012" t="str">
        <f>"35802"</f>
        <v>35802</v>
      </c>
      <c r="E5012" t="str">
        <f t="shared" ref="E5012:E5075" si="910">"1"</f>
        <v>1</v>
      </c>
      <c r="F5012" t="str">
        <f t="shared" si="907"/>
        <v>COM</v>
      </c>
      <c r="G5012" t="str">
        <f>"CARLOS ALBERTO FELIX JUNIOR (1312)"</f>
        <v>CARLOS ALBERTO FELIX JUNIOR (1312)</v>
      </c>
      <c r="H5012" t="str">
        <f>"Serv.Prest. 16/03/2026 a 22/03/2026 - PIX: CELULAR - CHAVE: (19) 98985-7796"</f>
        <v>Serv.Prest. 16/03/2026 a 22/03/2026 - PIX: CELULAR - CHAVE: (19) 98985-7796</v>
      </c>
      <c r="I5012" t="str">
        <f t="shared" si="904"/>
        <v>26/03/2026</v>
      </c>
      <c r="J5012" t="str">
        <f t="shared" si="909"/>
        <v>23/03/2026</v>
      </c>
      <c r="K5012" t="str">
        <f>("26/03/2026")</f>
        <v>26/03/2026</v>
      </c>
      <c r="L5012">
        <v>1421</v>
      </c>
      <c r="M5012">
        <v>1421</v>
      </c>
      <c r="N5012">
        <v>109</v>
      </c>
      <c r="O5012" t="str">
        <f>"PAGAMENTO DE ENTREGADORES"</f>
        <v>PAGAMENTO DE ENTREGADORES</v>
      </c>
      <c r="P5012">
        <v>1421</v>
      </c>
      <c r="S5012" t="str">
        <f>"BANCO C6 (149)"</f>
        <v>BANCO C6 (149)</v>
      </c>
      <c r="T5012">
        <v>32137</v>
      </c>
      <c r="U5012">
        <v>35802</v>
      </c>
      <c r="V5012" t="s">
        <v>37</v>
      </c>
    </row>
    <row r="5013" spans="1:22">
      <c r="A5013" t="str">
        <f t="shared" si="900"/>
        <v>26/03/2026</v>
      </c>
      <c r="B5013" t="str">
        <f t="shared" si="903"/>
        <v>SAÍDA</v>
      </c>
      <c r="C5013" t="str">
        <f t="shared" si="905"/>
        <v>PIX</v>
      </c>
      <c r="D5013" t="str">
        <f>"35802"</f>
        <v>35802</v>
      </c>
      <c r="E5013" t="str">
        <f t="shared" si="910"/>
        <v>1</v>
      </c>
      <c r="F5013" t="str">
        <f t="shared" si="907"/>
        <v>COM</v>
      </c>
      <c r="G5013" t="str">
        <f>"CARLOS ALBERTO FELIX JUNIOR (1312)"</f>
        <v>CARLOS ALBERTO FELIX JUNIOR (1312)</v>
      </c>
      <c r="H5013" t="s">
        <v>1381</v>
      </c>
      <c r="I5013" t="str">
        <f t="shared" si="904"/>
        <v>26/03/2026</v>
      </c>
      <c r="J5013" t="str">
        <f t="shared" si="909"/>
        <v>23/03/2026</v>
      </c>
      <c r="K5013">
        <v>46107</v>
      </c>
      <c r="N5013">
        <v>109</v>
      </c>
      <c r="O5013" t="s">
        <v>27</v>
      </c>
      <c r="Q5013">
        <v>1421</v>
      </c>
      <c r="R5013" t="str">
        <f>"BEM TE FAZ LOJA 3 (10287)"</f>
        <v>BEM TE FAZ LOJA 3 (10287)</v>
      </c>
      <c r="S5013" t="s">
        <v>37</v>
      </c>
      <c r="T5013">
        <v>32137</v>
      </c>
      <c r="U5013">
        <v>35802</v>
      </c>
      <c r="V5013" t="s">
        <v>37</v>
      </c>
    </row>
    <row r="5014" spans="1:22">
      <c r="A5014" t="str">
        <f t="shared" si="900"/>
        <v>26/03/2026</v>
      </c>
      <c r="B5014" t="str">
        <f t="shared" si="903"/>
        <v>SAÍDA</v>
      </c>
      <c r="C5014" t="str">
        <f t="shared" si="905"/>
        <v>PIX</v>
      </c>
      <c r="D5014" t="str">
        <f>"35803"</f>
        <v>35803</v>
      </c>
      <c r="E5014" t="str">
        <f t="shared" si="910"/>
        <v>1</v>
      </c>
      <c r="F5014" t="str">
        <f t="shared" si="907"/>
        <v>COM</v>
      </c>
      <c r="G5014" t="str">
        <f>"FELIPE CHARLES SANTANA DEGASPARE (1246)"</f>
        <v>FELIPE CHARLES SANTANA DEGASPARE (1246)</v>
      </c>
      <c r="H5014" t="str">
        <f>"Serv.Prest. 16/03/2026 a 22/03/2026 - PIX: CPF - CHAVE: 373.103.168-00"</f>
        <v>Serv.Prest. 16/03/2026 a 22/03/2026 - PIX: CPF - CHAVE: 373.103.168-00</v>
      </c>
      <c r="I5014" t="str">
        <f t="shared" si="904"/>
        <v>26/03/2026</v>
      </c>
      <c r="J5014" t="str">
        <f t="shared" si="909"/>
        <v>23/03/2026</v>
      </c>
      <c r="K5014" t="str">
        <f>("26/03/2026")</f>
        <v>26/03/2026</v>
      </c>
      <c r="L5014">
        <v>875</v>
      </c>
      <c r="M5014">
        <v>875</v>
      </c>
      <c r="N5014">
        <v>109</v>
      </c>
      <c r="O5014" t="str">
        <f>"PAGAMENTO DE ENTREGADORES"</f>
        <v>PAGAMENTO DE ENTREGADORES</v>
      </c>
      <c r="P5014">
        <v>875</v>
      </c>
      <c r="S5014" t="str">
        <f>"BANCO C6 (149)"</f>
        <v>BANCO C6 (149)</v>
      </c>
      <c r="T5014">
        <v>32138</v>
      </c>
      <c r="U5014">
        <v>35803</v>
      </c>
      <c r="V5014" t="s">
        <v>37</v>
      </c>
    </row>
    <row r="5015" spans="1:22">
      <c r="A5015" t="str">
        <f t="shared" si="900"/>
        <v>26/03/2026</v>
      </c>
      <c r="B5015" t="str">
        <f t="shared" si="903"/>
        <v>SAÍDA</v>
      </c>
      <c r="C5015" t="str">
        <f t="shared" si="905"/>
        <v>PIX</v>
      </c>
      <c r="D5015" t="str">
        <f>"35803"</f>
        <v>35803</v>
      </c>
      <c r="E5015" t="str">
        <f t="shared" si="910"/>
        <v>1</v>
      </c>
      <c r="F5015" t="str">
        <f t="shared" si="907"/>
        <v>COM</v>
      </c>
      <c r="G5015" t="str">
        <f>"FELIPE CHARLES SANTANA DEGASPARE (1246)"</f>
        <v>FELIPE CHARLES SANTANA DEGASPARE (1246)</v>
      </c>
      <c r="H5015" t="s">
        <v>1382</v>
      </c>
      <c r="I5015" t="str">
        <f t="shared" si="904"/>
        <v>26/03/2026</v>
      </c>
      <c r="J5015" t="str">
        <f t="shared" si="909"/>
        <v>23/03/2026</v>
      </c>
      <c r="K5015">
        <v>46107</v>
      </c>
      <c r="N5015">
        <v>109</v>
      </c>
      <c r="O5015" t="s">
        <v>27</v>
      </c>
      <c r="Q5015">
        <v>875</v>
      </c>
      <c r="R5015" t="str">
        <f>"BEM TE FAZ LOJA 3 (10287)"</f>
        <v>BEM TE FAZ LOJA 3 (10287)</v>
      </c>
      <c r="S5015" t="s">
        <v>37</v>
      </c>
      <c r="T5015">
        <v>32138</v>
      </c>
      <c r="U5015">
        <v>35803</v>
      </c>
      <c r="V5015" t="s">
        <v>37</v>
      </c>
    </row>
    <row r="5016" spans="1:22">
      <c r="A5016" t="str">
        <f t="shared" ref="A5016:A5079" si="911">("26/03/2026")</f>
        <v>26/03/2026</v>
      </c>
      <c r="B5016" t="str">
        <f t="shared" si="903"/>
        <v>SAÍDA</v>
      </c>
      <c r="C5016" t="str">
        <f t="shared" si="905"/>
        <v>PIX</v>
      </c>
      <c r="D5016" t="str">
        <f>"35804"</f>
        <v>35804</v>
      </c>
      <c r="E5016" t="str">
        <f t="shared" si="910"/>
        <v>1</v>
      </c>
      <c r="F5016" t="str">
        <f t="shared" si="907"/>
        <v>COM</v>
      </c>
      <c r="G5016" t="str">
        <f t="shared" ref="G5016:G5021" si="912">"HIGOR DE SOUZA MACEDO (1273)"</f>
        <v>HIGOR DE SOUZA MACEDO (1273)</v>
      </c>
      <c r="H5016" t="str">
        <f>"Serv.Prest. 16/03/2026 a 22/03/2026 - PIX: CELULAR - CHAVE: (19) 99893-1311"</f>
        <v>Serv.Prest. 16/03/2026 a 22/03/2026 - PIX: CELULAR - CHAVE: (19) 99893-1311</v>
      </c>
      <c r="I5016" t="str">
        <f t="shared" si="904"/>
        <v>26/03/2026</v>
      </c>
      <c r="J5016" t="str">
        <f t="shared" si="909"/>
        <v>23/03/2026</v>
      </c>
      <c r="K5016" t="str">
        <f>("26/03/2026")</f>
        <v>26/03/2026</v>
      </c>
      <c r="L5016">
        <v>553</v>
      </c>
      <c r="M5016">
        <v>553</v>
      </c>
      <c r="N5016">
        <v>109</v>
      </c>
      <c r="O5016" t="str">
        <f>"PAGAMENTO DE ENTREGADORES"</f>
        <v>PAGAMENTO DE ENTREGADORES</v>
      </c>
      <c r="P5016">
        <v>553</v>
      </c>
      <c r="S5016" t="str">
        <f>"BANCO C6 (149)"</f>
        <v>BANCO C6 (149)</v>
      </c>
      <c r="T5016">
        <v>32139</v>
      </c>
      <c r="U5016">
        <v>35804</v>
      </c>
      <c r="V5016" t="s">
        <v>37</v>
      </c>
    </row>
    <row r="5017" spans="1:22">
      <c r="A5017" t="str">
        <f t="shared" si="911"/>
        <v>26/03/2026</v>
      </c>
      <c r="B5017" t="str">
        <f t="shared" si="903"/>
        <v>SAÍDA</v>
      </c>
      <c r="C5017" t="str">
        <f t="shared" si="905"/>
        <v>PIX</v>
      </c>
      <c r="D5017" t="str">
        <f>"35804"</f>
        <v>35804</v>
      </c>
      <c r="E5017" t="str">
        <f t="shared" si="910"/>
        <v>1</v>
      </c>
      <c r="F5017" t="str">
        <f t="shared" si="907"/>
        <v>COM</v>
      </c>
      <c r="G5017" t="str">
        <f t="shared" si="912"/>
        <v>HIGOR DE SOUZA MACEDO (1273)</v>
      </c>
      <c r="H5017" t="s">
        <v>1383</v>
      </c>
      <c r="I5017" t="str">
        <f t="shared" si="904"/>
        <v>26/03/2026</v>
      </c>
      <c r="J5017" t="str">
        <f t="shared" si="909"/>
        <v>23/03/2026</v>
      </c>
      <c r="K5017">
        <v>46107</v>
      </c>
      <c r="N5017">
        <v>109</v>
      </c>
      <c r="O5017" t="s">
        <v>27</v>
      </c>
      <c r="Q5017">
        <v>553</v>
      </c>
      <c r="R5017" t="str">
        <f>"BEM TE FAZ LOJA 7 (10285)"</f>
        <v>BEM TE FAZ LOJA 7 (10285)</v>
      </c>
      <c r="S5017" t="s">
        <v>37</v>
      </c>
      <c r="T5017">
        <v>32139</v>
      </c>
      <c r="U5017">
        <v>35804</v>
      </c>
      <c r="V5017" t="s">
        <v>37</v>
      </c>
    </row>
    <row r="5018" spans="1:22">
      <c r="A5018" t="str">
        <f t="shared" si="911"/>
        <v>26/03/2026</v>
      </c>
      <c r="B5018" t="str">
        <f t="shared" si="903"/>
        <v>SAÍDA</v>
      </c>
      <c r="C5018" t="str">
        <f t="shared" si="905"/>
        <v>PIX</v>
      </c>
      <c r="D5018" t="str">
        <f>"35805"</f>
        <v>35805</v>
      </c>
      <c r="E5018" t="str">
        <f t="shared" si="910"/>
        <v>1</v>
      </c>
      <c r="F5018" t="str">
        <f t="shared" si="907"/>
        <v>COM</v>
      </c>
      <c r="G5018" t="str">
        <f t="shared" si="912"/>
        <v>HIGOR DE SOUZA MACEDO (1273)</v>
      </c>
      <c r="H5018" t="str">
        <f>"Serv.Prest. 16/03/2026 a 22/03/2026 - PIX: CELULAR - CHAVE: (19) 99893-1311"</f>
        <v>Serv.Prest. 16/03/2026 a 22/03/2026 - PIX: CELULAR - CHAVE: (19) 99893-1311</v>
      </c>
      <c r="I5018" t="str">
        <f t="shared" si="904"/>
        <v>26/03/2026</v>
      </c>
      <c r="J5018" t="str">
        <f t="shared" si="909"/>
        <v>23/03/2026</v>
      </c>
      <c r="K5018" t="str">
        <f>("26/03/2026")</f>
        <v>26/03/2026</v>
      </c>
      <c r="L5018">
        <v>245</v>
      </c>
      <c r="M5018">
        <v>245</v>
      </c>
      <c r="N5018">
        <v>109</v>
      </c>
      <c r="O5018" t="str">
        <f>"PAGAMENTO DE ENTREGADORES"</f>
        <v>PAGAMENTO DE ENTREGADORES</v>
      </c>
      <c r="P5018">
        <v>245</v>
      </c>
      <c r="S5018" t="str">
        <f>"BANCO C6 (149)"</f>
        <v>BANCO C6 (149)</v>
      </c>
      <c r="T5018">
        <v>32140</v>
      </c>
      <c r="U5018">
        <v>35805</v>
      </c>
      <c r="V5018" t="s">
        <v>37</v>
      </c>
    </row>
    <row r="5019" spans="1:22">
      <c r="A5019" t="str">
        <f t="shared" si="911"/>
        <v>26/03/2026</v>
      </c>
      <c r="B5019" t="str">
        <f t="shared" si="903"/>
        <v>SAÍDA</v>
      </c>
      <c r="C5019" t="str">
        <f t="shared" si="905"/>
        <v>PIX</v>
      </c>
      <c r="D5019" t="str">
        <f>"35805"</f>
        <v>35805</v>
      </c>
      <c r="E5019" t="str">
        <f t="shared" si="910"/>
        <v>1</v>
      </c>
      <c r="F5019" t="str">
        <f t="shared" si="907"/>
        <v>COM</v>
      </c>
      <c r="G5019" t="str">
        <f t="shared" si="912"/>
        <v>HIGOR DE SOUZA MACEDO (1273)</v>
      </c>
      <c r="H5019" t="s">
        <v>1383</v>
      </c>
      <c r="I5019" t="str">
        <f t="shared" si="904"/>
        <v>26/03/2026</v>
      </c>
      <c r="J5019" t="str">
        <f t="shared" si="909"/>
        <v>23/03/2026</v>
      </c>
      <c r="K5019">
        <v>46107</v>
      </c>
      <c r="N5019">
        <v>109</v>
      </c>
      <c r="O5019" t="s">
        <v>27</v>
      </c>
      <c r="Q5019">
        <v>245</v>
      </c>
      <c r="R5019" t="str">
        <f>"BEM TE FAZ LOJA 9 (10286)"</f>
        <v>BEM TE FAZ LOJA 9 (10286)</v>
      </c>
      <c r="S5019" t="s">
        <v>37</v>
      </c>
      <c r="T5019">
        <v>32140</v>
      </c>
      <c r="U5019">
        <v>35805</v>
      </c>
      <c r="V5019" t="s">
        <v>37</v>
      </c>
    </row>
    <row r="5020" spans="1:22">
      <c r="A5020" t="str">
        <f t="shared" si="911"/>
        <v>26/03/2026</v>
      </c>
      <c r="B5020" t="str">
        <f t="shared" si="903"/>
        <v>SAÍDA</v>
      </c>
      <c r="C5020" t="str">
        <f t="shared" si="905"/>
        <v>PIX</v>
      </c>
      <c r="D5020" t="str">
        <f>"35806"</f>
        <v>35806</v>
      </c>
      <c r="E5020" t="str">
        <f t="shared" si="910"/>
        <v>1</v>
      </c>
      <c r="F5020" t="str">
        <f t="shared" si="907"/>
        <v>COM</v>
      </c>
      <c r="G5020" t="str">
        <f t="shared" si="912"/>
        <v>HIGOR DE SOUZA MACEDO (1273)</v>
      </c>
      <c r="H5020" t="str">
        <f>"Serv.Prest. 16/03/2026 a 22/03/2026 - PIX: CELULAR - CHAVE: (19) 99893-1311"</f>
        <v>Serv.Prest. 16/03/2026 a 22/03/2026 - PIX: CELULAR - CHAVE: (19) 99893-1311</v>
      </c>
      <c r="I5020" t="str">
        <f t="shared" si="904"/>
        <v>26/03/2026</v>
      </c>
      <c r="J5020" t="str">
        <f t="shared" si="909"/>
        <v>23/03/2026</v>
      </c>
      <c r="K5020" t="str">
        <f>("26/03/2026")</f>
        <v>26/03/2026</v>
      </c>
      <c r="L5020">
        <v>357</v>
      </c>
      <c r="M5020">
        <v>357</v>
      </c>
      <c r="N5020">
        <v>109</v>
      </c>
      <c r="O5020" t="str">
        <f>"PAGAMENTO DE ENTREGADORES"</f>
        <v>PAGAMENTO DE ENTREGADORES</v>
      </c>
      <c r="P5020">
        <v>357</v>
      </c>
      <c r="S5020" t="str">
        <f>"BANCO C6 (149)"</f>
        <v>BANCO C6 (149)</v>
      </c>
      <c r="T5020">
        <v>32141</v>
      </c>
      <c r="U5020">
        <v>35806</v>
      </c>
      <c r="V5020" t="s">
        <v>37</v>
      </c>
    </row>
    <row r="5021" spans="1:22">
      <c r="A5021" t="str">
        <f t="shared" si="911"/>
        <v>26/03/2026</v>
      </c>
      <c r="B5021" t="str">
        <f t="shared" si="903"/>
        <v>SAÍDA</v>
      </c>
      <c r="C5021" t="str">
        <f t="shared" si="905"/>
        <v>PIX</v>
      </c>
      <c r="D5021" t="str">
        <f>"35806"</f>
        <v>35806</v>
      </c>
      <c r="E5021" t="str">
        <f t="shared" si="910"/>
        <v>1</v>
      </c>
      <c r="F5021" t="str">
        <f t="shared" si="907"/>
        <v>COM</v>
      </c>
      <c r="G5021" t="str">
        <f t="shared" si="912"/>
        <v>HIGOR DE SOUZA MACEDO (1273)</v>
      </c>
      <c r="H5021" t="s">
        <v>1383</v>
      </c>
      <c r="I5021" t="str">
        <f t="shared" si="904"/>
        <v>26/03/2026</v>
      </c>
      <c r="J5021" t="str">
        <f t="shared" si="909"/>
        <v>23/03/2026</v>
      </c>
      <c r="K5021">
        <v>46107</v>
      </c>
      <c r="N5021">
        <v>109</v>
      </c>
      <c r="O5021" t="s">
        <v>27</v>
      </c>
      <c r="Q5021">
        <v>357</v>
      </c>
      <c r="R5021" t="str">
        <f>"BEM TE FAZ LOJA 6 (10284)"</f>
        <v>BEM TE FAZ LOJA 6 (10284)</v>
      </c>
      <c r="S5021" t="s">
        <v>37</v>
      </c>
      <c r="T5021">
        <v>32141</v>
      </c>
      <c r="U5021">
        <v>35806</v>
      </c>
      <c r="V5021" t="s">
        <v>37</v>
      </c>
    </row>
    <row r="5022" spans="1:22">
      <c r="A5022" t="str">
        <f t="shared" si="911"/>
        <v>26/03/2026</v>
      </c>
      <c r="B5022" t="str">
        <f t="shared" si="903"/>
        <v>SAÍDA</v>
      </c>
      <c r="C5022" t="str">
        <f t="shared" si="905"/>
        <v>PIX</v>
      </c>
      <c r="D5022" t="str">
        <f>"35807"</f>
        <v>35807</v>
      </c>
      <c r="E5022" t="str">
        <f t="shared" si="910"/>
        <v>1</v>
      </c>
      <c r="F5022" t="str">
        <f t="shared" si="907"/>
        <v>COM</v>
      </c>
      <c r="G5022" t="str">
        <f t="shared" ref="G5022:G5027" si="913">"IVANILDO RODRIGUES CUSTODIO (1198)"</f>
        <v>IVANILDO RODRIGUES CUSTODIO (1198)</v>
      </c>
      <c r="H5022" t="str">
        <f>"Serv.Prest. 16/03/2026 a 22/03/2026 - PIX: CPF - CHAVE: 085.309.406-36"</f>
        <v>Serv.Prest. 16/03/2026 a 22/03/2026 - PIX: CPF - CHAVE: 085.309.406-36</v>
      </c>
      <c r="I5022" t="str">
        <f t="shared" si="904"/>
        <v>26/03/2026</v>
      </c>
      <c r="J5022" t="str">
        <f t="shared" si="909"/>
        <v>23/03/2026</v>
      </c>
      <c r="K5022" t="str">
        <f>("26/03/2026")</f>
        <v>26/03/2026</v>
      </c>
      <c r="L5022">
        <v>175</v>
      </c>
      <c r="M5022">
        <v>175</v>
      </c>
      <c r="N5022">
        <v>109</v>
      </c>
      <c r="O5022" t="str">
        <f>"PAGAMENTO DE ENTREGADORES"</f>
        <v>PAGAMENTO DE ENTREGADORES</v>
      </c>
      <c r="P5022">
        <v>175</v>
      </c>
      <c r="S5022" t="str">
        <f>"BANCO C6 (149)"</f>
        <v>BANCO C6 (149)</v>
      </c>
      <c r="T5022">
        <v>32142</v>
      </c>
      <c r="U5022">
        <v>35807</v>
      </c>
      <c r="V5022" t="s">
        <v>37</v>
      </c>
    </row>
    <row r="5023" spans="1:22">
      <c r="A5023" t="str">
        <f t="shared" si="911"/>
        <v>26/03/2026</v>
      </c>
      <c r="B5023" t="str">
        <f t="shared" si="903"/>
        <v>SAÍDA</v>
      </c>
      <c r="C5023" t="str">
        <f t="shared" si="905"/>
        <v>PIX</v>
      </c>
      <c r="D5023" t="str">
        <f>"35807"</f>
        <v>35807</v>
      </c>
      <c r="E5023" t="str">
        <f t="shared" si="910"/>
        <v>1</v>
      </c>
      <c r="F5023" t="str">
        <f t="shared" si="907"/>
        <v>COM</v>
      </c>
      <c r="G5023" t="str">
        <f t="shared" si="913"/>
        <v>IVANILDO RODRIGUES CUSTODIO (1198)</v>
      </c>
      <c r="H5023" t="s">
        <v>1384</v>
      </c>
      <c r="I5023" t="str">
        <f t="shared" si="904"/>
        <v>26/03/2026</v>
      </c>
      <c r="J5023" t="str">
        <f t="shared" si="909"/>
        <v>23/03/2026</v>
      </c>
      <c r="K5023">
        <v>46107</v>
      </c>
      <c r="N5023">
        <v>109</v>
      </c>
      <c r="O5023" t="s">
        <v>27</v>
      </c>
      <c r="Q5023">
        <v>175</v>
      </c>
      <c r="R5023" t="str">
        <f>"BEM TE FAZ LOJA 9 (10286)"</f>
        <v>BEM TE FAZ LOJA 9 (10286)</v>
      </c>
      <c r="S5023" t="s">
        <v>37</v>
      </c>
      <c r="T5023">
        <v>32142</v>
      </c>
      <c r="U5023">
        <v>35807</v>
      </c>
      <c r="V5023" t="s">
        <v>37</v>
      </c>
    </row>
    <row r="5024" spans="1:22">
      <c r="A5024" t="str">
        <f t="shared" si="911"/>
        <v>26/03/2026</v>
      </c>
      <c r="B5024" t="str">
        <f t="shared" si="903"/>
        <v>SAÍDA</v>
      </c>
      <c r="C5024" t="str">
        <f t="shared" si="905"/>
        <v>PIX</v>
      </c>
      <c r="D5024" t="str">
        <f>"35808"</f>
        <v>35808</v>
      </c>
      <c r="E5024" t="str">
        <f t="shared" si="910"/>
        <v>1</v>
      </c>
      <c r="F5024" t="str">
        <f t="shared" si="907"/>
        <v>COM</v>
      </c>
      <c r="G5024" t="str">
        <f t="shared" si="913"/>
        <v>IVANILDO RODRIGUES CUSTODIO (1198)</v>
      </c>
      <c r="H5024" t="str">
        <f>"Serv.Prest. 16/03/2026 a 22/03/2026 - PIX: CPF - CHAVE: 085.309.406-36"</f>
        <v>Serv.Prest. 16/03/2026 a 22/03/2026 - PIX: CPF - CHAVE: 085.309.406-36</v>
      </c>
      <c r="I5024" t="str">
        <f t="shared" si="904"/>
        <v>26/03/2026</v>
      </c>
      <c r="J5024" t="str">
        <f t="shared" si="909"/>
        <v>23/03/2026</v>
      </c>
      <c r="K5024" t="str">
        <f>("26/03/2026")</f>
        <v>26/03/2026</v>
      </c>
      <c r="L5024">
        <v>189</v>
      </c>
      <c r="M5024">
        <v>189</v>
      </c>
      <c r="N5024">
        <v>109</v>
      </c>
      <c r="O5024" t="str">
        <f>"PAGAMENTO DE ENTREGADORES"</f>
        <v>PAGAMENTO DE ENTREGADORES</v>
      </c>
      <c r="P5024">
        <v>189</v>
      </c>
      <c r="S5024" t="str">
        <f>"BANCO C6 (149)"</f>
        <v>BANCO C6 (149)</v>
      </c>
      <c r="T5024">
        <v>32143</v>
      </c>
      <c r="U5024">
        <v>35808</v>
      </c>
      <c r="V5024" t="s">
        <v>37</v>
      </c>
    </row>
    <row r="5025" spans="1:22">
      <c r="A5025" t="str">
        <f t="shared" si="911"/>
        <v>26/03/2026</v>
      </c>
      <c r="B5025" t="str">
        <f t="shared" si="903"/>
        <v>SAÍDA</v>
      </c>
      <c r="C5025" t="str">
        <f t="shared" si="905"/>
        <v>PIX</v>
      </c>
      <c r="D5025" t="str">
        <f>"35808"</f>
        <v>35808</v>
      </c>
      <c r="E5025" t="str">
        <f t="shared" si="910"/>
        <v>1</v>
      </c>
      <c r="F5025" t="str">
        <f t="shared" si="907"/>
        <v>COM</v>
      </c>
      <c r="G5025" t="str">
        <f t="shared" si="913"/>
        <v>IVANILDO RODRIGUES CUSTODIO (1198)</v>
      </c>
      <c r="H5025" t="s">
        <v>1384</v>
      </c>
      <c r="I5025" t="str">
        <f t="shared" si="904"/>
        <v>26/03/2026</v>
      </c>
      <c r="J5025" t="str">
        <f t="shared" si="909"/>
        <v>23/03/2026</v>
      </c>
      <c r="K5025">
        <v>46107</v>
      </c>
      <c r="N5025">
        <v>109</v>
      </c>
      <c r="O5025" t="s">
        <v>27</v>
      </c>
      <c r="Q5025">
        <v>189</v>
      </c>
      <c r="R5025" t="str">
        <f>"BEM TE FAZ LOJA 7 (10285)"</f>
        <v>BEM TE FAZ LOJA 7 (10285)</v>
      </c>
      <c r="S5025" t="s">
        <v>37</v>
      </c>
      <c r="T5025">
        <v>32143</v>
      </c>
      <c r="U5025">
        <v>35808</v>
      </c>
      <c r="V5025" t="s">
        <v>37</v>
      </c>
    </row>
    <row r="5026" spans="1:22">
      <c r="A5026" t="str">
        <f t="shared" si="911"/>
        <v>26/03/2026</v>
      </c>
      <c r="B5026" t="str">
        <f t="shared" si="903"/>
        <v>SAÍDA</v>
      </c>
      <c r="C5026" t="str">
        <f t="shared" si="905"/>
        <v>PIX</v>
      </c>
      <c r="D5026" t="str">
        <f>"35809"</f>
        <v>35809</v>
      </c>
      <c r="E5026" t="str">
        <f t="shared" si="910"/>
        <v>1</v>
      </c>
      <c r="F5026" t="str">
        <f t="shared" si="907"/>
        <v>COM</v>
      </c>
      <c r="G5026" t="str">
        <f t="shared" si="913"/>
        <v>IVANILDO RODRIGUES CUSTODIO (1198)</v>
      </c>
      <c r="H5026" t="str">
        <f>"Serv.Prest. 16/03/2026 a 22/03/2026 - PIX: CPF - CHAVE: 085.309.406-36"</f>
        <v>Serv.Prest. 16/03/2026 a 22/03/2026 - PIX: CPF - CHAVE: 085.309.406-36</v>
      </c>
      <c r="I5026" t="str">
        <f t="shared" si="904"/>
        <v>26/03/2026</v>
      </c>
      <c r="J5026" t="str">
        <f t="shared" si="909"/>
        <v>23/03/2026</v>
      </c>
      <c r="K5026" t="str">
        <f>("26/03/2026")</f>
        <v>26/03/2026</v>
      </c>
      <c r="L5026">
        <v>532</v>
      </c>
      <c r="M5026">
        <v>532</v>
      </c>
      <c r="N5026">
        <v>109</v>
      </c>
      <c r="O5026" t="str">
        <f>"PAGAMENTO DE ENTREGADORES"</f>
        <v>PAGAMENTO DE ENTREGADORES</v>
      </c>
      <c r="P5026">
        <v>532</v>
      </c>
      <c r="S5026" t="str">
        <f>"BANCO C6 (149)"</f>
        <v>BANCO C6 (149)</v>
      </c>
      <c r="T5026">
        <v>32144</v>
      </c>
      <c r="U5026">
        <v>35809</v>
      </c>
      <c r="V5026" t="s">
        <v>37</v>
      </c>
    </row>
    <row r="5027" spans="1:22">
      <c r="A5027" t="str">
        <f t="shared" si="911"/>
        <v>26/03/2026</v>
      </c>
      <c r="B5027" t="str">
        <f t="shared" si="903"/>
        <v>SAÍDA</v>
      </c>
      <c r="C5027" t="str">
        <f t="shared" si="905"/>
        <v>PIX</v>
      </c>
      <c r="D5027" t="str">
        <f>"35809"</f>
        <v>35809</v>
      </c>
      <c r="E5027" t="str">
        <f t="shared" si="910"/>
        <v>1</v>
      </c>
      <c r="F5027" t="str">
        <f t="shared" si="907"/>
        <v>COM</v>
      </c>
      <c r="G5027" t="str">
        <f t="shared" si="913"/>
        <v>IVANILDO RODRIGUES CUSTODIO (1198)</v>
      </c>
      <c r="H5027" t="s">
        <v>1384</v>
      </c>
      <c r="I5027" t="str">
        <f t="shared" si="904"/>
        <v>26/03/2026</v>
      </c>
      <c r="J5027" t="str">
        <f t="shared" si="909"/>
        <v>23/03/2026</v>
      </c>
      <c r="K5027">
        <v>46107</v>
      </c>
      <c r="N5027">
        <v>109</v>
      </c>
      <c r="O5027" t="s">
        <v>27</v>
      </c>
      <c r="Q5027">
        <v>532</v>
      </c>
      <c r="R5027" t="str">
        <f>"BEM TE FAZ LOJA 6 (10284)"</f>
        <v>BEM TE FAZ LOJA 6 (10284)</v>
      </c>
      <c r="S5027" t="s">
        <v>37</v>
      </c>
      <c r="T5027">
        <v>32144</v>
      </c>
      <c r="U5027">
        <v>35809</v>
      </c>
      <c r="V5027" t="s">
        <v>37</v>
      </c>
    </row>
    <row r="5028" spans="1:22">
      <c r="A5028" t="str">
        <f t="shared" si="911"/>
        <v>26/03/2026</v>
      </c>
      <c r="B5028" t="str">
        <f t="shared" si="903"/>
        <v>SAÍDA</v>
      </c>
      <c r="C5028" t="str">
        <f t="shared" si="905"/>
        <v>PIX</v>
      </c>
      <c r="D5028" t="str">
        <f>"35810"</f>
        <v>35810</v>
      </c>
      <c r="E5028" t="str">
        <f t="shared" si="910"/>
        <v>1</v>
      </c>
      <c r="F5028" t="str">
        <f t="shared" si="907"/>
        <v>COM</v>
      </c>
      <c r="G5028" t="str">
        <f>"JHONATHAN RODRIGUES MOREIRA (1280)"</f>
        <v>JHONATHAN RODRIGUES MOREIRA (1280)</v>
      </c>
      <c r="H5028" t="str">
        <f>"Serv.Prest. 16/03/2026 a 22/03/2026 - PIX: CPF - CHAVE: 397.101.368-60"</f>
        <v>Serv.Prest. 16/03/2026 a 22/03/2026 - PIX: CPF - CHAVE: 397.101.368-60</v>
      </c>
      <c r="I5028" t="str">
        <f t="shared" si="904"/>
        <v>26/03/2026</v>
      </c>
      <c r="J5028" t="str">
        <f t="shared" si="909"/>
        <v>23/03/2026</v>
      </c>
      <c r="K5028" t="str">
        <f>("26/03/2026")</f>
        <v>26/03/2026</v>
      </c>
      <c r="L5028">
        <v>1106</v>
      </c>
      <c r="M5028">
        <v>1106</v>
      </c>
      <c r="N5028">
        <v>109</v>
      </c>
      <c r="O5028" t="str">
        <f>"PAGAMENTO DE ENTREGADORES"</f>
        <v>PAGAMENTO DE ENTREGADORES</v>
      </c>
      <c r="P5028">
        <v>1106</v>
      </c>
      <c r="S5028" t="str">
        <f>"BANCO C6 (149)"</f>
        <v>BANCO C6 (149)</v>
      </c>
      <c r="T5028">
        <v>32145</v>
      </c>
      <c r="U5028">
        <v>35810</v>
      </c>
      <c r="V5028" t="s">
        <v>37</v>
      </c>
    </row>
    <row r="5029" spans="1:22">
      <c r="A5029" t="str">
        <f t="shared" si="911"/>
        <v>26/03/2026</v>
      </c>
      <c r="B5029" t="str">
        <f t="shared" si="903"/>
        <v>SAÍDA</v>
      </c>
      <c r="C5029" t="str">
        <f t="shared" si="905"/>
        <v>PIX</v>
      </c>
      <c r="D5029" t="str">
        <f>"35810"</f>
        <v>35810</v>
      </c>
      <c r="E5029" t="str">
        <f t="shared" si="910"/>
        <v>1</v>
      </c>
      <c r="F5029" t="str">
        <f t="shared" si="907"/>
        <v>COM</v>
      </c>
      <c r="G5029" t="str">
        <f>"JHONATHAN RODRIGUES MOREIRA (1280)"</f>
        <v>JHONATHAN RODRIGUES MOREIRA (1280)</v>
      </c>
      <c r="H5029" t="s">
        <v>1385</v>
      </c>
      <c r="I5029" t="str">
        <f t="shared" si="904"/>
        <v>26/03/2026</v>
      </c>
      <c r="J5029" t="str">
        <f t="shared" si="909"/>
        <v>23/03/2026</v>
      </c>
      <c r="K5029">
        <v>46107</v>
      </c>
      <c r="N5029">
        <v>109</v>
      </c>
      <c r="O5029" t="s">
        <v>27</v>
      </c>
      <c r="Q5029">
        <v>1106</v>
      </c>
      <c r="R5029" t="str">
        <f>"BEM TE FAZ LOJA 3 (10287)"</f>
        <v>BEM TE FAZ LOJA 3 (10287)</v>
      </c>
      <c r="S5029" t="s">
        <v>37</v>
      </c>
      <c r="T5029">
        <v>32145</v>
      </c>
      <c r="U5029">
        <v>35810</v>
      </c>
      <c r="V5029" t="s">
        <v>37</v>
      </c>
    </row>
    <row r="5030" spans="1:22">
      <c r="A5030" t="str">
        <f t="shared" si="911"/>
        <v>26/03/2026</v>
      </c>
      <c r="B5030" t="str">
        <f t="shared" si="903"/>
        <v>SAÍDA</v>
      </c>
      <c r="C5030" t="str">
        <f t="shared" si="905"/>
        <v>PIX</v>
      </c>
      <c r="D5030" t="str">
        <f>"35811"</f>
        <v>35811</v>
      </c>
      <c r="E5030" t="str">
        <f t="shared" si="910"/>
        <v>1</v>
      </c>
      <c r="F5030" t="str">
        <f t="shared" si="907"/>
        <v>COM</v>
      </c>
      <c r="G5030" t="str">
        <f>"JOAO VITOR DA SILVA (1232)"</f>
        <v>JOAO VITOR DA SILVA (1232)</v>
      </c>
      <c r="H5030" t="str">
        <f>"Serv.Prest. 16/03/2026 a 22/03/2026 - PIX: CPF - CHAVE: 438.843.248-29"</f>
        <v>Serv.Prest. 16/03/2026 a 22/03/2026 - PIX: CPF - CHAVE: 438.843.248-29</v>
      </c>
      <c r="I5030" t="str">
        <f t="shared" si="904"/>
        <v>26/03/2026</v>
      </c>
      <c r="J5030" t="str">
        <f t="shared" si="909"/>
        <v>23/03/2026</v>
      </c>
      <c r="K5030" t="str">
        <f>("26/03/2026")</f>
        <v>26/03/2026</v>
      </c>
      <c r="L5030">
        <v>889</v>
      </c>
      <c r="M5030">
        <v>889</v>
      </c>
      <c r="N5030">
        <v>109</v>
      </c>
      <c r="O5030" t="str">
        <f>"PAGAMENTO DE ENTREGADORES"</f>
        <v>PAGAMENTO DE ENTREGADORES</v>
      </c>
      <c r="P5030">
        <v>889</v>
      </c>
      <c r="S5030" t="str">
        <f>"BANCO C6 (149)"</f>
        <v>BANCO C6 (149)</v>
      </c>
      <c r="T5030">
        <v>32146</v>
      </c>
      <c r="U5030">
        <v>35811</v>
      </c>
      <c r="V5030" t="s">
        <v>37</v>
      </c>
    </row>
    <row r="5031" spans="1:22">
      <c r="A5031" t="str">
        <f t="shared" si="911"/>
        <v>26/03/2026</v>
      </c>
      <c r="B5031" t="str">
        <f t="shared" si="903"/>
        <v>SAÍDA</v>
      </c>
      <c r="C5031" t="str">
        <f t="shared" si="905"/>
        <v>PIX</v>
      </c>
      <c r="D5031" t="str">
        <f>"35811"</f>
        <v>35811</v>
      </c>
      <c r="E5031" t="str">
        <f t="shared" si="910"/>
        <v>1</v>
      </c>
      <c r="F5031" t="str">
        <f t="shared" si="907"/>
        <v>COM</v>
      </c>
      <c r="G5031" t="str">
        <f>"JOAO VITOR DA SILVA (1232)"</f>
        <v>JOAO VITOR DA SILVA (1232)</v>
      </c>
      <c r="H5031" t="s">
        <v>1386</v>
      </c>
      <c r="I5031" t="str">
        <f t="shared" si="904"/>
        <v>26/03/2026</v>
      </c>
      <c r="J5031" t="str">
        <f t="shared" si="909"/>
        <v>23/03/2026</v>
      </c>
      <c r="K5031">
        <v>46107</v>
      </c>
      <c r="N5031">
        <v>109</v>
      </c>
      <c r="O5031" t="s">
        <v>27</v>
      </c>
      <c r="Q5031">
        <v>889</v>
      </c>
      <c r="R5031" t="str">
        <f>"BEM TE FAZ LOJA 3 (10287)"</f>
        <v>BEM TE FAZ LOJA 3 (10287)</v>
      </c>
      <c r="S5031" t="s">
        <v>37</v>
      </c>
      <c r="T5031">
        <v>32146</v>
      </c>
      <c r="U5031">
        <v>35811</v>
      </c>
      <c r="V5031" t="s">
        <v>37</v>
      </c>
    </row>
    <row r="5032" spans="1:22">
      <c r="A5032" t="str">
        <f t="shared" si="911"/>
        <v>26/03/2026</v>
      </c>
      <c r="B5032" t="str">
        <f t="shared" si="903"/>
        <v>SAÍDA</v>
      </c>
      <c r="C5032" t="str">
        <f t="shared" si="905"/>
        <v>PIX</v>
      </c>
      <c r="D5032" t="str">
        <f>"35812"</f>
        <v>35812</v>
      </c>
      <c r="E5032" t="str">
        <f t="shared" si="910"/>
        <v>1</v>
      </c>
      <c r="F5032" t="str">
        <f t="shared" si="907"/>
        <v>COM</v>
      </c>
      <c r="G5032" t="str">
        <f t="shared" ref="G5032:G5037" si="914">"JORGE HENRIQUE DA SILVA BRASIL (1203)"</f>
        <v>JORGE HENRIQUE DA SILVA BRASIL (1203)</v>
      </c>
      <c r="H5032" t="str">
        <f>"Serv.Prest. 16/03/2026 a 22/03/2026 - PIX: CELULAR - CHAVE: (19) 99674-2835"</f>
        <v>Serv.Prest. 16/03/2026 a 22/03/2026 - PIX: CELULAR - CHAVE: (19) 99674-2835</v>
      </c>
      <c r="I5032" t="str">
        <f t="shared" si="904"/>
        <v>26/03/2026</v>
      </c>
      <c r="J5032" t="str">
        <f t="shared" si="909"/>
        <v>23/03/2026</v>
      </c>
      <c r="K5032" t="str">
        <f>("26/03/2026")</f>
        <v>26/03/2026</v>
      </c>
      <c r="L5032">
        <v>21</v>
      </c>
      <c r="M5032">
        <v>21</v>
      </c>
      <c r="N5032">
        <v>109</v>
      </c>
      <c r="O5032" t="str">
        <f>"PAGAMENTO DE ENTREGADORES"</f>
        <v>PAGAMENTO DE ENTREGADORES</v>
      </c>
      <c r="P5032">
        <v>21</v>
      </c>
      <c r="S5032" t="str">
        <f>"BANCO C6 (149)"</f>
        <v>BANCO C6 (149)</v>
      </c>
      <c r="T5032">
        <v>32147</v>
      </c>
      <c r="U5032">
        <v>35812</v>
      </c>
      <c r="V5032" t="s">
        <v>37</v>
      </c>
    </row>
    <row r="5033" spans="1:22">
      <c r="A5033" t="str">
        <f t="shared" si="911"/>
        <v>26/03/2026</v>
      </c>
      <c r="B5033" t="str">
        <f t="shared" si="903"/>
        <v>SAÍDA</v>
      </c>
      <c r="C5033" t="str">
        <f t="shared" si="905"/>
        <v>PIX</v>
      </c>
      <c r="D5033" t="str">
        <f>"35812"</f>
        <v>35812</v>
      </c>
      <c r="E5033" t="str">
        <f t="shared" si="910"/>
        <v>1</v>
      </c>
      <c r="F5033" t="str">
        <f t="shared" si="907"/>
        <v>COM</v>
      </c>
      <c r="G5033" t="str">
        <f t="shared" si="914"/>
        <v>JORGE HENRIQUE DA SILVA BRASIL (1203)</v>
      </c>
      <c r="H5033" t="s">
        <v>1387</v>
      </c>
      <c r="I5033" t="str">
        <f t="shared" si="904"/>
        <v>26/03/2026</v>
      </c>
      <c r="J5033" t="str">
        <f t="shared" si="909"/>
        <v>23/03/2026</v>
      </c>
      <c r="K5033">
        <v>46107</v>
      </c>
      <c r="N5033">
        <v>109</v>
      </c>
      <c r="O5033" t="s">
        <v>27</v>
      </c>
      <c r="Q5033">
        <v>21</v>
      </c>
      <c r="R5033" t="str">
        <f>"BEM TE FAZ LOJA 9 (10286)"</f>
        <v>BEM TE FAZ LOJA 9 (10286)</v>
      </c>
      <c r="S5033" t="s">
        <v>37</v>
      </c>
      <c r="T5033">
        <v>32147</v>
      </c>
      <c r="U5033">
        <v>35812</v>
      </c>
      <c r="V5033" t="s">
        <v>37</v>
      </c>
    </row>
    <row r="5034" spans="1:22">
      <c r="A5034" t="str">
        <f t="shared" si="911"/>
        <v>26/03/2026</v>
      </c>
      <c r="B5034" t="str">
        <f t="shared" si="903"/>
        <v>SAÍDA</v>
      </c>
      <c r="C5034" t="str">
        <f t="shared" si="905"/>
        <v>PIX</v>
      </c>
      <c r="D5034" t="str">
        <f>"35813"</f>
        <v>35813</v>
      </c>
      <c r="E5034" t="str">
        <f t="shared" si="910"/>
        <v>1</v>
      </c>
      <c r="F5034" t="str">
        <f t="shared" si="907"/>
        <v>COM</v>
      </c>
      <c r="G5034" t="str">
        <f t="shared" si="914"/>
        <v>JORGE HENRIQUE DA SILVA BRASIL (1203)</v>
      </c>
      <c r="H5034" t="str">
        <f>"Serv.Prest. 16/03/2026 a 22/03/2026 - PIX: CELULAR - CHAVE: (19) 99674-2835"</f>
        <v>Serv.Prest. 16/03/2026 a 22/03/2026 - PIX: CELULAR - CHAVE: (19) 99674-2835</v>
      </c>
      <c r="I5034" t="str">
        <f t="shared" si="904"/>
        <v>26/03/2026</v>
      </c>
      <c r="J5034" t="str">
        <f t="shared" si="909"/>
        <v>23/03/2026</v>
      </c>
      <c r="K5034" t="str">
        <f>("26/03/2026")</f>
        <v>26/03/2026</v>
      </c>
      <c r="L5034">
        <v>42</v>
      </c>
      <c r="M5034">
        <v>42</v>
      </c>
      <c r="N5034">
        <v>109</v>
      </c>
      <c r="O5034" t="str">
        <f>"PAGAMENTO DE ENTREGADORES"</f>
        <v>PAGAMENTO DE ENTREGADORES</v>
      </c>
      <c r="P5034">
        <v>42</v>
      </c>
      <c r="S5034" t="str">
        <f>"BANCO C6 (149)"</f>
        <v>BANCO C6 (149)</v>
      </c>
      <c r="T5034">
        <v>32148</v>
      </c>
      <c r="U5034">
        <v>35813</v>
      </c>
      <c r="V5034" t="s">
        <v>37</v>
      </c>
    </row>
    <row r="5035" spans="1:22">
      <c r="A5035" t="str">
        <f t="shared" si="911"/>
        <v>26/03/2026</v>
      </c>
      <c r="B5035" t="str">
        <f t="shared" si="903"/>
        <v>SAÍDA</v>
      </c>
      <c r="C5035" t="str">
        <f t="shared" si="905"/>
        <v>PIX</v>
      </c>
      <c r="D5035" t="str">
        <f>"35813"</f>
        <v>35813</v>
      </c>
      <c r="E5035" t="str">
        <f t="shared" si="910"/>
        <v>1</v>
      </c>
      <c r="F5035" t="str">
        <f t="shared" si="907"/>
        <v>COM</v>
      </c>
      <c r="G5035" t="str">
        <f t="shared" si="914"/>
        <v>JORGE HENRIQUE DA SILVA BRASIL (1203)</v>
      </c>
      <c r="H5035" t="s">
        <v>1387</v>
      </c>
      <c r="I5035" t="str">
        <f t="shared" si="904"/>
        <v>26/03/2026</v>
      </c>
      <c r="J5035" t="str">
        <f t="shared" si="909"/>
        <v>23/03/2026</v>
      </c>
      <c r="K5035">
        <v>46107</v>
      </c>
      <c r="N5035">
        <v>109</v>
      </c>
      <c r="O5035" t="s">
        <v>27</v>
      </c>
      <c r="Q5035">
        <v>42</v>
      </c>
      <c r="R5035" t="str">
        <f>"BEM TE FAZ LOJA 7 (10285)"</f>
        <v>BEM TE FAZ LOJA 7 (10285)</v>
      </c>
      <c r="S5035" t="s">
        <v>37</v>
      </c>
      <c r="T5035">
        <v>32148</v>
      </c>
      <c r="U5035">
        <v>35813</v>
      </c>
      <c r="V5035" t="s">
        <v>37</v>
      </c>
    </row>
    <row r="5036" spans="1:22">
      <c r="A5036" t="str">
        <f t="shared" si="911"/>
        <v>26/03/2026</v>
      </c>
      <c r="B5036" t="str">
        <f t="shared" si="903"/>
        <v>SAÍDA</v>
      </c>
      <c r="C5036" t="str">
        <f t="shared" si="905"/>
        <v>PIX</v>
      </c>
      <c r="D5036" t="str">
        <f>"35814"</f>
        <v>35814</v>
      </c>
      <c r="E5036" t="str">
        <f t="shared" si="910"/>
        <v>1</v>
      </c>
      <c r="F5036" t="str">
        <f t="shared" si="907"/>
        <v>COM</v>
      </c>
      <c r="G5036" t="str">
        <f t="shared" si="914"/>
        <v>JORGE HENRIQUE DA SILVA BRASIL (1203)</v>
      </c>
      <c r="H5036" t="str">
        <f>"Serv.Prest. 16/03/2026 a 22/03/2026 - PIX: CELULAR - CHAVE: (19) 99674-2835"</f>
        <v>Serv.Prest. 16/03/2026 a 22/03/2026 - PIX: CELULAR - CHAVE: (19) 99674-2835</v>
      </c>
      <c r="I5036" t="str">
        <f t="shared" si="904"/>
        <v>26/03/2026</v>
      </c>
      <c r="J5036" t="str">
        <f t="shared" si="909"/>
        <v>23/03/2026</v>
      </c>
      <c r="K5036" t="str">
        <f>("26/03/2026")</f>
        <v>26/03/2026</v>
      </c>
      <c r="L5036">
        <v>868</v>
      </c>
      <c r="M5036">
        <v>868</v>
      </c>
      <c r="N5036">
        <v>109</v>
      </c>
      <c r="O5036" t="str">
        <f>"PAGAMENTO DE ENTREGADORES"</f>
        <v>PAGAMENTO DE ENTREGADORES</v>
      </c>
      <c r="P5036">
        <v>868</v>
      </c>
      <c r="S5036" t="str">
        <f>"BANCO C6 (149)"</f>
        <v>BANCO C6 (149)</v>
      </c>
      <c r="T5036">
        <v>32149</v>
      </c>
      <c r="U5036">
        <v>35814</v>
      </c>
      <c r="V5036" t="s">
        <v>37</v>
      </c>
    </row>
    <row r="5037" spans="1:22">
      <c r="A5037" t="str">
        <f t="shared" si="911"/>
        <v>26/03/2026</v>
      </c>
      <c r="B5037" t="str">
        <f t="shared" si="903"/>
        <v>SAÍDA</v>
      </c>
      <c r="C5037" t="str">
        <f t="shared" si="905"/>
        <v>PIX</v>
      </c>
      <c r="D5037" t="str">
        <f>"35814"</f>
        <v>35814</v>
      </c>
      <c r="E5037" t="str">
        <f t="shared" si="910"/>
        <v>1</v>
      </c>
      <c r="F5037" t="str">
        <f t="shared" si="907"/>
        <v>COM</v>
      </c>
      <c r="G5037" t="str">
        <f t="shared" si="914"/>
        <v>JORGE HENRIQUE DA SILVA BRASIL (1203)</v>
      </c>
      <c r="H5037" t="s">
        <v>1387</v>
      </c>
      <c r="I5037" t="str">
        <f t="shared" si="904"/>
        <v>26/03/2026</v>
      </c>
      <c r="J5037" t="str">
        <f t="shared" si="909"/>
        <v>23/03/2026</v>
      </c>
      <c r="K5037">
        <v>46107</v>
      </c>
      <c r="N5037">
        <v>109</v>
      </c>
      <c r="O5037" t="s">
        <v>27</v>
      </c>
      <c r="Q5037">
        <v>868</v>
      </c>
      <c r="R5037" t="str">
        <f>"BEM TE FAZ LOJA 6 (10284)"</f>
        <v>BEM TE FAZ LOJA 6 (10284)</v>
      </c>
      <c r="S5037" t="s">
        <v>37</v>
      </c>
      <c r="T5037">
        <v>32149</v>
      </c>
      <c r="U5037">
        <v>35814</v>
      </c>
      <c r="V5037" t="s">
        <v>37</v>
      </c>
    </row>
    <row r="5038" spans="1:22">
      <c r="A5038" t="str">
        <f t="shared" si="911"/>
        <v>26/03/2026</v>
      </c>
      <c r="B5038" t="str">
        <f t="shared" si="903"/>
        <v>SAÍDA</v>
      </c>
      <c r="C5038" t="str">
        <f t="shared" si="905"/>
        <v>PIX</v>
      </c>
      <c r="D5038" t="str">
        <f>"35815"</f>
        <v>35815</v>
      </c>
      <c r="E5038" t="str">
        <f t="shared" si="910"/>
        <v>1</v>
      </c>
      <c r="F5038" t="str">
        <f t="shared" si="907"/>
        <v>COM</v>
      </c>
      <c r="G5038" t="str">
        <f>"LUCAS PAIVA DE OLIVEIRA SOUSA (1226)"</f>
        <v>LUCAS PAIVA DE OLIVEIRA SOUSA (1226)</v>
      </c>
      <c r="H5038" t="str">
        <f>"Serv.Prest. 16/03/2026 a 22/03/2026 - PIX: CELULAR - CHAVE: (19) 98258-0687"</f>
        <v>Serv.Prest. 16/03/2026 a 22/03/2026 - PIX: CELULAR - CHAVE: (19) 98258-0687</v>
      </c>
      <c r="I5038" t="str">
        <f t="shared" si="904"/>
        <v>26/03/2026</v>
      </c>
      <c r="J5038" t="str">
        <f t="shared" si="909"/>
        <v>23/03/2026</v>
      </c>
      <c r="K5038" t="str">
        <f>("26/03/2026")</f>
        <v>26/03/2026</v>
      </c>
      <c r="L5038">
        <v>1512</v>
      </c>
      <c r="M5038">
        <v>1512</v>
      </c>
      <c r="N5038">
        <v>109</v>
      </c>
      <c r="O5038" t="str">
        <f>"PAGAMENTO DE ENTREGADORES"</f>
        <v>PAGAMENTO DE ENTREGADORES</v>
      </c>
      <c r="P5038">
        <v>1512</v>
      </c>
      <c r="S5038" t="str">
        <f>"BANCO C6 (149)"</f>
        <v>BANCO C6 (149)</v>
      </c>
      <c r="T5038">
        <v>32150</v>
      </c>
      <c r="U5038">
        <v>35815</v>
      </c>
      <c r="V5038" t="s">
        <v>37</v>
      </c>
    </row>
    <row r="5039" spans="1:22">
      <c r="A5039" t="str">
        <f t="shared" si="911"/>
        <v>26/03/2026</v>
      </c>
      <c r="B5039" t="str">
        <f t="shared" si="903"/>
        <v>SAÍDA</v>
      </c>
      <c r="C5039" t="str">
        <f t="shared" si="905"/>
        <v>PIX</v>
      </c>
      <c r="D5039" t="str">
        <f>"35815"</f>
        <v>35815</v>
      </c>
      <c r="E5039" t="str">
        <f t="shared" si="910"/>
        <v>1</v>
      </c>
      <c r="F5039" t="str">
        <f t="shared" si="907"/>
        <v>COM</v>
      </c>
      <c r="G5039" t="str">
        <f>"LUCAS PAIVA DE OLIVEIRA SOUSA (1226)"</f>
        <v>LUCAS PAIVA DE OLIVEIRA SOUSA (1226)</v>
      </c>
      <c r="H5039" t="s">
        <v>1388</v>
      </c>
      <c r="I5039" t="str">
        <f t="shared" si="904"/>
        <v>26/03/2026</v>
      </c>
      <c r="J5039" t="str">
        <f t="shared" si="909"/>
        <v>23/03/2026</v>
      </c>
      <c r="K5039">
        <v>46107</v>
      </c>
      <c r="N5039">
        <v>109</v>
      </c>
      <c r="O5039" t="s">
        <v>27</v>
      </c>
      <c r="Q5039">
        <v>1512</v>
      </c>
      <c r="R5039" t="str">
        <f>"BEM TE FAZ LOJA 3 (10287)"</f>
        <v>BEM TE FAZ LOJA 3 (10287)</v>
      </c>
      <c r="S5039" t="s">
        <v>37</v>
      </c>
      <c r="T5039">
        <v>32150</v>
      </c>
      <c r="U5039">
        <v>35815</v>
      </c>
      <c r="V5039" t="s">
        <v>37</v>
      </c>
    </row>
    <row r="5040" spans="1:22">
      <c r="A5040" t="str">
        <f t="shared" si="911"/>
        <v>26/03/2026</v>
      </c>
      <c r="B5040" t="str">
        <f t="shared" ref="B5040:B5103" si="915">"SAÍDA"</f>
        <v>SAÍDA</v>
      </c>
      <c r="C5040" t="str">
        <f t="shared" si="905"/>
        <v>PIX</v>
      </c>
      <c r="D5040" t="str">
        <f>"35817"</f>
        <v>35817</v>
      </c>
      <c r="E5040" t="str">
        <f t="shared" si="910"/>
        <v>1</v>
      </c>
      <c r="F5040" t="str">
        <f t="shared" si="907"/>
        <v>COM</v>
      </c>
      <c r="G5040" t="str">
        <f>"MAICON ALVES DA SILVA (1205)"</f>
        <v>MAICON ALVES DA SILVA (1205)</v>
      </c>
      <c r="H5040" t="str">
        <f>"Serv.Prest. 16/03/2026 a 22/03/2026 - PIX: CNPJ - CHAVE: 48.182.907/0001-45"</f>
        <v>Serv.Prest. 16/03/2026 a 22/03/2026 - PIX: CNPJ - CHAVE: 48.182.907/0001-45</v>
      </c>
      <c r="I5040" t="str">
        <f t="shared" ref="I5040:I5103" si="916">("26/03/2026")</f>
        <v>26/03/2026</v>
      </c>
      <c r="J5040" t="str">
        <f t="shared" si="909"/>
        <v>23/03/2026</v>
      </c>
      <c r="K5040" t="str">
        <f>("26/03/2026")</f>
        <v>26/03/2026</v>
      </c>
      <c r="L5040">
        <v>1358</v>
      </c>
      <c r="M5040">
        <v>1358</v>
      </c>
      <c r="N5040">
        <v>109</v>
      </c>
      <c r="O5040" t="str">
        <f>"PAGAMENTO DE ENTREGADORES"</f>
        <v>PAGAMENTO DE ENTREGADORES</v>
      </c>
      <c r="P5040">
        <v>1358</v>
      </c>
      <c r="S5040" t="str">
        <f>"BANCO C6 (149)"</f>
        <v>BANCO C6 (149)</v>
      </c>
      <c r="T5040">
        <v>32151</v>
      </c>
      <c r="U5040">
        <v>35817</v>
      </c>
      <c r="V5040" t="s">
        <v>37</v>
      </c>
    </row>
    <row r="5041" spans="1:22">
      <c r="A5041" t="str">
        <f t="shared" si="911"/>
        <v>26/03/2026</v>
      </c>
      <c r="B5041" t="str">
        <f t="shared" si="915"/>
        <v>SAÍDA</v>
      </c>
      <c r="C5041" t="str">
        <f t="shared" si="905"/>
        <v>PIX</v>
      </c>
      <c r="D5041" t="str">
        <f>"35817"</f>
        <v>35817</v>
      </c>
      <c r="E5041" t="str">
        <f t="shared" si="910"/>
        <v>1</v>
      </c>
      <c r="F5041" t="str">
        <f t="shared" si="907"/>
        <v>COM</v>
      </c>
      <c r="G5041" t="str">
        <f>"MAICON ALVES DA SILVA (1205)"</f>
        <v>MAICON ALVES DA SILVA (1205)</v>
      </c>
      <c r="H5041" t="s">
        <v>1217</v>
      </c>
      <c r="I5041" t="str">
        <f t="shared" si="916"/>
        <v>26/03/2026</v>
      </c>
      <c r="J5041" t="str">
        <f t="shared" si="909"/>
        <v>23/03/2026</v>
      </c>
      <c r="K5041">
        <v>46107</v>
      </c>
      <c r="N5041">
        <v>109</v>
      </c>
      <c r="O5041" t="s">
        <v>27</v>
      </c>
      <c r="Q5041">
        <v>1358</v>
      </c>
      <c r="R5041" t="str">
        <f>"BEM TE FAZ LOJA 9 (10286)"</f>
        <v>BEM TE FAZ LOJA 9 (10286)</v>
      </c>
      <c r="S5041" t="s">
        <v>37</v>
      </c>
      <c r="T5041">
        <v>32151</v>
      </c>
      <c r="U5041">
        <v>35817</v>
      </c>
      <c r="V5041" t="s">
        <v>37</v>
      </c>
    </row>
    <row r="5042" spans="1:22">
      <c r="A5042" t="str">
        <f t="shared" si="911"/>
        <v>26/03/2026</v>
      </c>
      <c r="B5042" t="str">
        <f t="shared" si="915"/>
        <v>SAÍDA</v>
      </c>
      <c r="C5042" t="str">
        <f t="shared" si="905"/>
        <v>PIX</v>
      </c>
      <c r="D5042" t="str">
        <f>"35818"</f>
        <v>35818</v>
      </c>
      <c r="E5042" t="str">
        <f t="shared" si="910"/>
        <v>1</v>
      </c>
      <c r="F5042" t="str">
        <f t="shared" si="907"/>
        <v>COM</v>
      </c>
      <c r="G5042" t="str">
        <f t="shared" ref="G5042:G5049" si="917">"MICHEL AFONSO BRITO CORREIA (1167)"</f>
        <v>MICHEL AFONSO BRITO CORREIA (1167)</v>
      </c>
      <c r="H5042" t="str">
        <f>"Serv.Prest. 16/03/2026 a 22/03/2026 - PIX: CELULAR - CHAVE: (19) 97145-1624"</f>
        <v>Serv.Prest. 16/03/2026 a 22/03/2026 - PIX: CELULAR - CHAVE: (19) 97145-1624</v>
      </c>
      <c r="I5042" t="str">
        <f t="shared" si="916"/>
        <v>26/03/2026</v>
      </c>
      <c r="J5042" t="str">
        <f t="shared" si="909"/>
        <v>23/03/2026</v>
      </c>
      <c r="K5042" t="str">
        <f>("26/03/2026")</f>
        <v>26/03/2026</v>
      </c>
      <c r="L5042">
        <v>14</v>
      </c>
      <c r="M5042">
        <v>14</v>
      </c>
      <c r="N5042">
        <v>109</v>
      </c>
      <c r="O5042" t="str">
        <f>"PAGAMENTO DE ENTREGADORES"</f>
        <v>PAGAMENTO DE ENTREGADORES</v>
      </c>
      <c r="P5042">
        <v>14</v>
      </c>
      <c r="S5042" t="str">
        <f>"BANCO C6 (149)"</f>
        <v>BANCO C6 (149)</v>
      </c>
      <c r="T5042">
        <v>32152</v>
      </c>
      <c r="U5042">
        <v>35818</v>
      </c>
      <c r="V5042" t="s">
        <v>37</v>
      </c>
    </row>
    <row r="5043" spans="1:22">
      <c r="A5043" t="str">
        <f t="shared" si="911"/>
        <v>26/03/2026</v>
      </c>
      <c r="B5043" t="str">
        <f t="shared" si="915"/>
        <v>SAÍDA</v>
      </c>
      <c r="C5043" t="str">
        <f t="shared" si="905"/>
        <v>PIX</v>
      </c>
      <c r="D5043" t="str">
        <f>"35818"</f>
        <v>35818</v>
      </c>
      <c r="E5043" t="str">
        <f t="shared" si="910"/>
        <v>1</v>
      </c>
      <c r="F5043" t="str">
        <f t="shared" si="907"/>
        <v>COM</v>
      </c>
      <c r="G5043" t="str">
        <f t="shared" si="917"/>
        <v>MICHEL AFONSO BRITO CORREIA (1167)</v>
      </c>
      <c r="H5043" t="s">
        <v>1389</v>
      </c>
      <c r="I5043" t="str">
        <f t="shared" si="916"/>
        <v>26/03/2026</v>
      </c>
      <c r="J5043" t="str">
        <f t="shared" si="909"/>
        <v>23/03/2026</v>
      </c>
      <c r="K5043">
        <v>46107</v>
      </c>
      <c r="N5043">
        <v>109</v>
      </c>
      <c r="O5043" t="s">
        <v>27</v>
      </c>
      <c r="Q5043">
        <v>14</v>
      </c>
      <c r="R5043" t="str">
        <f>"BEM TE FAZ LOJA 6 (10284)"</f>
        <v>BEM TE FAZ LOJA 6 (10284)</v>
      </c>
      <c r="S5043" t="s">
        <v>37</v>
      </c>
      <c r="T5043">
        <v>32152</v>
      </c>
      <c r="U5043">
        <v>35818</v>
      </c>
      <c r="V5043" t="s">
        <v>37</v>
      </c>
    </row>
    <row r="5044" spans="1:22">
      <c r="A5044" t="str">
        <f t="shared" si="911"/>
        <v>26/03/2026</v>
      </c>
      <c r="B5044" t="str">
        <f t="shared" si="915"/>
        <v>SAÍDA</v>
      </c>
      <c r="C5044" t="str">
        <f t="shared" si="905"/>
        <v>PIX</v>
      </c>
      <c r="D5044" t="str">
        <f>"35819"</f>
        <v>35819</v>
      </c>
      <c r="E5044" t="str">
        <f t="shared" si="910"/>
        <v>1</v>
      </c>
      <c r="F5044" t="str">
        <f t="shared" si="907"/>
        <v>COM</v>
      </c>
      <c r="G5044" t="str">
        <f t="shared" si="917"/>
        <v>MICHEL AFONSO BRITO CORREIA (1167)</v>
      </c>
      <c r="H5044" t="str">
        <f>"Serv.Prest. 16/03/2026 a 22/03/2026 - PIX: CELULAR - CHAVE: (19) 97145-1624"</f>
        <v>Serv.Prest. 16/03/2026 a 22/03/2026 - PIX: CELULAR - CHAVE: (19) 97145-1624</v>
      </c>
      <c r="I5044" t="str">
        <f t="shared" si="916"/>
        <v>26/03/2026</v>
      </c>
      <c r="J5044" t="str">
        <f t="shared" si="909"/>
        <v>23/03/2026</v>
      </c>
      <c r="K5044" t="str">
        <f>("26/03/2026")</f>
        <v>26/03/2026</v>
      </c>
      <c r="L5044">
        <v>14</v>
      </c>
      <c r="M5044">
        <v>14</v>
      </c>
      <c r="N5044">
        <v>109</v>
      </c>
      <c r="O5044" t="str">
        <f>"PAGAMENTO DE ENTREGADORES"</f>
        <v>PAGAMENTO DE ENTREGADORES</v>
      </c>
      <c r="P5044">
        <v>14</v>
      </c>
      <c r="S5044" t="str">
        <f>"BANCO C6 (149)"</f>
        <v>BANCO C6 (149)</v>
      </c>
      <c r="T5044">
        <v>32153</v>
      </c>
      <c r="U5044">
        <v>35819</v>
      </c>
      <c r="V5044" t="s">
        <v>37</v>
      </c>
    </row>
    <row r="5045" spans="1:22">
      <c r="A5045" t="str">
        <f t="shared" si="911"/>
        <v>26/03/2026</v>
      </c>
      <c r="B5045" t="str">
        <f t="shared" si="915"/>
        <v>SAÍDA</v>
      </c>
      <c r="C5045" t="str">
        <f t="shared" si="905"/>
        <v>PIX</v>
      </c>
      <c r="D5045" t="str">
        <f>"35819"</f>
        <v>35819</v>
      </c>
      <c r="E5045" t="str">
        <f t="shared" si="910"/>
        <v>1</v>
      </c>
      <c r="F5045" t="str">
        <f t="shared" si="907"/>
        <v>COM</v>
      </c>
      <c r="G5045" t="str">
        <f t="shared" si="917"/>
        <v>MICHEL AFONSO BRITO CORREIA (1167)</v>
      </c>
      <c r="H5045" t="s">
        <v>1389</v>
      </c>
      <c r="I5045" t="str">
        <f t="shared" si="916"/>
        <v>26/03/2026</v>
      </c>
      <c r="J5045" t="str">
        <f t="shared" si="909"/>
        <v>23/03/2026</v>
      </c>
      <c r="K5045">
        <v>46107</v>
      </c>
      <c r="N5045">
        <v>109</v>
      </c>
      <c r="O5045" t="s">
        <v>27</v>
      </c>
      <c r="Q5045">
        <v>14</v>
      </c>
      <c r="R5045" t="str">
        <f>"BEM TE FAZ LOJA 8 (10297)"</f>
        <v>BEM TE FAZ LOJA 8 (10297)</v>
      </c>
      <c r="S5045" t="s">
        <v>37</v>
      </c>
      <c r="T5045">
        <v>32153</v>
      </c>
      <c r="U5045">
        <v>35819</v>
      </c>
      <c r="V5045" t="s">
        <v>37</v>
      </c>
    </row>
    <row r="5046" spans="1:22">
      <c r="A5046" t="str">
        <f t="shared" si="911"/>
        <v>26/03/2026</v>
      </c>
      <c r="B5046" t="str">
        <f t="shared" si="915"/>
        <v>SAÍDA</v>
      </c>
      <c r="C5046" t="str">
        <f t="shared" ref="C5046:C5109" si="918">"PIX"</f>
        <v>PIX</v>
      </c>
      <c r="D5046" t="str">
        <f>"35820"</f>
        <v>35820</v>
      </c>
      <c r="E5046" t="str">
        <f t="shared" si="910"/>
        <v>1</v>
      </c>
      <c r="F5046" t="str">
        <f t="shared" si="907"/>
        <v>COM</v>
      </c>
      <c r="G5046" t="str">
        <f t="shared" si="917"/>
        <v>MICHEL AFONSO BRITO CORREIA (1167)</v>
      </c>
      <c r="H5046" t="str">
        <f>"Serv.Prest. 16/03/2026 a 22/03/2026 - PIX: CELULAR - CHAVE: (19) 97145-1624"</f>
        <v>Serv.Prest. 16/03/2026 a 22/03/2026 - PIX: CELULAR - CHAVE: (19) 97145-1624</v>
      </c>
      <c r="I5046" t="str">
        <f t="shared" si="916"/>
        <v>26/03/2026</v>
      </c>
      <c r="J5046" t="str">
        <f t="shared" si="909"/>
        <v>23/03/2026</v>
      </c>
      <c r="K5046" t="str">
        <f>("26/03/2026")</f>
        <v>26/03/2026</v>
      </c>
      <c r="L5046">
        <v>14</v>
      </c>
      <c r="M5046">
        <v>14</v>
      </c>
      <c r="N5046">
        <v>109</v>
      </c>
      <c r="O5046" t="str">
        <f>"PAGAMENTO DE ENTREGADORES"</f>
        <v>PAGAMENTO DE ENTREGADORES</v>
      </c>
      <c r="P5046">
        <v>14</v>
      </c>
      <c r="S5046" t="str">
        <f>"BANCO C6 (149)"</f>
        <v>BANCO C6 (149)</v>
      </c>
      <c r="T5046">
        <v>32154</v>
      </c>
      <c r="U5046">
        <v>35820</v>
      </c>
      <c r="V5046" t="s">
        <v>37</v>
      </c>
    </row>
    <row r="5047" spans="1:22">
      <c r="A5047" t="str">
        <f t="shared" si="911"/>
        <v>26/03/2026</v>
      </c>
      <c r="B5047" t="str">
        <f t="shared" si="915"/>
        <v>SAÍDA</v>
      </c>
      <c r="C5047" t="str">
        <f t="shared" si="918"/>
        <v>PIX</v>
      </c>
      <c r="D5047" t="str">
        <f>"35820"</f>
        <v>35820</v>
      </c>
      <c r="E5047" t="str">
        <f t="shared" si="910"/>
        <v>1</v>
      </c>
      <c r="F5047" t="str">
        <f t="shared" si="907"/>
        <v>COM</v>
      </c>
      <c r="G5047" t="str">
        <f t="shared" si="917"/>
        <v>MICHEL AFONSO BRITO CORREIA (1167)</v>
      </c>
      <c r="H5047" t="s">
        <v>1389</v>
      </c>
      <c r="I5047" t="str">
        <f t="shared" si="916"/>
        <v>26/03/2026</v>
      </c>
      <c r="J5047" t="str">
        <f t="shared" si="909"/>
        <v>23/03/2026</v>
      </c>
      <c r="K5047">
        <v>46107</v>
      </c>
      <c r="N5047">
        <v>109</v>
      </c>
      <c r="O5047" t="s">
        <v>27</v>
      </c>
      <c r="Q5047">
        <v>14</v>
      </c>
      <c r="R5047" t="str">
        <f>"BEM TE FAZ LOJA 9 (10286)"</f>
        <v>BEM TE FAZ LOJA 9 (10286)</v>
      </c>
      <c r="S5047" t="s">
        <v>37</v>
      </c>
      <c r="T5047">
        <v>32154</v>
      </c>
      <c r="U5047">
        <v>35820</v>
      </c>
      <c r="V5047" t="s">
        <v>37</v>
      </c>
    </row>
    <row r="5048" spans="1:22">
      <c r="A5048" t="str">
        <f t="shared" si="911"/>
        <v>26/03/2026</v>
      </c>
      <c r="B5048" t="str">
        <f t="shared" si="915"/>
        <v>SAÍDA</v>
      </c>
      <c r="C5048" t="str">
        <f t="shared" si="918"/>
        <v>PIX</v>
      </c>
      <c r="D5048" t="str">
        <f>"35821"</f>
        <v>35821</v>
      </c>
      <c r="E5048" t="str">
        <f t="shared" si="910"/>
        <v>1</v>
      </c>
      <c r="F5048" t="str">
        <f t="shared" si="907"/>
        <v>COM</v>
      </c>
      <c r="G5048" t="str">
        <f t="shared" si="917"/>
        <v>MICHEL AFONSO BRITO CORREIA (1167)</v>
      </c>
      <c r="H5048" t="str">
        <f>"Serv.Prest. 16/03/2026 a 22/03/2026 - PIX: CELULAR - CHAVE: (19) 97145-1624"</f>
        <v>Serv.Prest. 16/03/2026 a 22/03/2026 - PIX: CELULAR - CHAVE: (19) 97145-1624</v>
      </c>
      <c r="I5048" t="str">
        <f t="shared" si="916"/>
        <v>26/03/2026</v>
      </c>
      <c r="J5048" t="str">
        <f t="shared" si="909"/>
        <v>23/03/2026</v>
      </c>
      <c r="K5048" t="str">
        <f>("26/03/2026")</f>
        <v>26/03/2026</v>
      </c>
      <c r="L5048">
        <v>966</v>
      </c>
      <c r="M5048">
        <v>966</v>
      </c>
      <c r="N5048">
        <v>109</v>
      </c>
      <c r="O5048" t="str">
        <f>"PAGAMENTO DE ENTREGADORES"</f>
        <v>PAGAMENTO DE ENTREGADORES</v>
      </c>
      <c r="P5048">
        <v>966</v>
      </c>
      <c r="S5048" t="str">
        <f>"BANCO C6 (149)"</f>
        <v>BANCO C6 (149)</v>
      </c>
      <c r="T5048">
        <v>32155</v>
      </c>
      <c r="U5048">
        <v>35821</v>
      </c>
      <c r="V5048" t="s">
        <v>37</v>
      </c>
    </row>
    <row r="5049" spans="1:22">
      <c r="A5049" t="str">
        <f t="shared" si="911"/>
        <v>26/03/2026</v>
      </c>
      <c r="B5049" t="str">
        <f t="shared" si="915"/>
        <v>SAÍDA</v>
      </c>
      <c r="C5049" t="str">
        <f t="shared" si="918"/>
        <v>PIX</v>
      </c>
      <c r="D5049" t="str">
        <f>"35821"</f>
        <v>35821</v>
      </c>
      <c r="E5049" t="str">
        <f t="shared" si="910"/>
        <v>1</v>
      </c>
      <c r="F5049" t="str">
        <f t="shared" si="907"/>
        <v>COM</v>
      </c>
      <c r="G5049" t="str">
        <f t="shared" si="917"/>
        <v>MICHEL AFONSO BRITO CORREIA (1167)</v>
      </c>
      <c r="H5049" t="s">
        <v>1389</v>
      </c>
      <c r="I5049" t="str">
        <f t="shared" si="916"/>
        <v>26/03/2026</v>
      </c>
      <c r="J5049" t="str">
        <f t="shared" si="909"/>
        <v>23/03/2026</v>
      </c>
      <c r="K5049">
        <v>46107</v>
      </c>
      <c r="N5049">
        <v>109</v>
      </c>
      <c r="O5049" t="s">
        <v>27</v>
      </c>
      <c r="Q5049">
        <v>966</v>
      </c>
      <c r="R5049" t="str">
        <f>"BEM TE FAZ LOJA 7 (10285)"</f>
        <v>BEM TE FAZ LOJA 7 (10285)</v>
      </c>
      <c r="S5049" t="s">
        <v>37</v>
      </c>
      <c r="T5049">
        <v>32155</v>
      </c>
      <c r="U5049">
        <v>35821</v>
      </c>
      <c r="V5049" t="s">
        <v>37</v>
      </c>
    </row>
    <row r="5050" spans="1:22">
      <c r="A5050" t="str">
        <f t="shared" si="911"/>
        <v>26/03/2026</v>
      </c>
      <c r="B5050" t="str">
        <f t="shared" si="915"/>
        <v>SAÍDA</v>
      </c>
      <c r="C5050" t="str">
        <f t="shared" si="918"/>
        <v>PIX</v>
      </c>
      <c r="D5050" t="str">
        <f>"35822"</f>
        <v>35822</v>
      </c>
      <c r="E5050" t="str">
        <f t="shared" si="910"/>
        <v>1</v>
      </c>
      <c r="F5050" t="str">
        <f t="shared" si="907"/>
        <v>COM</v>
      </c>
      <c r="G5050" t="str">
        <f>"MIRIAN DE PAULO OLIVEIRA (1237)"</f>
        <v>MIRIAN DE PAULO OLIVEIRA (1237)</v>
      </c>
      <c r="H5050" t="str">
        <f>"Serv.Prest. 16/03/2026 a 22/03/2026 - PIX: CELULAR - CHAVE: (19) 99994-0858"</f>
        <v>Serv.Prest. 16/03/2026 a 22/03/2026 - PIX: CELULAR - CHAVE: (19) 99994-0858</v>
      </c>
      <c r="I5050" t="str">
        <f t="shared" si="916"/>
        <v>26/03/2026</v>
      </c>
      <c r="J5050" t="str">
        <f t="shared" si="909"/>
        <v>23/03/2026</v>
      </c>
      <c r="K5050" t="str">
        <f>("26/03/2026")</f>
        <v>26/03/2026</v>
      </c>
      <c r="L5050">
        <v>1141</v>
      </c>
      <c r="M5050">
        <v>1141</v>
      </c>
      <c r="N5050">
        <v>109</v>
      </c>
      <c r="O5050" t="str">
        <f>"PAGAMENTO DE ENTREGADORES"</f>
        <v>PAGAMENTO DE ENTREGADORES</v>
      </c>
      <c r="P5050">
        <v>1141</v>
      </c>
      <c r="S5050" t="str">
        <f>"BANCO C6 (149)"</f>
        <v>BANCO C6 (149)</v>
      </c>
      <c r="T5050">
        <v>32156</v>
      </c>
      <c r="U5050">
        <v>35822</v>
      </c>
      <c r="V5050" t="s">
        <v>37</v>
      </c>
    </row>
    <row r="5051" spans="1:22">
      <c r="A5051" t="str">
        <f t="shared" si="911"/>
        <v>26/03/2026</v>
      </c>
      <c r="B5051" t="str">
        <f t="shared" si="915"/>
        <v>SAÍDA</v>
      </c>
      <c r="C5051" t="str">
        <f t="shared" si="918"/>
        <v>PIX</v>
      </c>
      <c r="D5051" t="str">
        <f>"35822"</f>
        <v>35822</v>
      </c>
      <c r="E5051" t="str">
        <f t="shared" si="910"/>
        <v>1</v>
      </c>
      <c r="F5051" t="str">
        <f t="shared" si="907"/>
        <v>COM</v>
      </c>
      <c r="G5051" t="str">
        <f>"MIRIAN DE PAULO OLIVEIRA (1237)"</f>
        <v>MIRIAN DE PAULO OLIVEIRA (1237)</v>
      </c>
      <c r="H5051" t="s">
        <v>1390</v>
      </c>
      <c r="I5051" t="str">
        <f t="shared" si="916"/>
        <v>26/03/2026</v>
      </c>
      <c r="J5051" t="str">
        <f t="shared" si="909"/>
        <v>23/03/2026</v>
      </c>
      <c r="K5051">
        <v>46107</v>
      </c>
      <c r="N5051">
        <v>109</v>
      </c>
      <c r="O5051" t="s">
        <v>27</v>
      </c>
      <c r="Q5051">
        <v>1141</v>
      </c>
      <c r="R5051" t="str">
        <f>"BEM TE FAZ LOJA 3 (10287)"</f>
        <v>BEM TE FAZ LOJA 3 (10287)</v>
      </c>
      <c r="S5051" t="s">
        <v>37</v>
      </c>
      <c r="T5051">
        <v>32156</v>
      </c>
      <c r="U5051">
        <v>35822</v>
      </c>
      <c r="V5051" t="s">
        <v>37</v>
      </c>
    </row>
    <row r="5052" spans="1:22">
      <c r="A5052" t="str">
        <f t="shared" si="911"/>
        <v>26/03/2026</v>
      </c>
      <c r="B5052" t="str">
        <f t="shared" si="915"/>
        <v>SAÍDA</v>
      </c>
      <c r="C5052" t="str">
        <f t="shared" si="918"/>
        <v>PIX</v>
      </c>
      <c r="D5052" t="str">
        <f>"35823"</f>
        <v>35823</v>
      </c>
      <c r="E5052" t="str">
        <f t="shared" si="910"/>
        <v>1</v>
      </c>
      <c r="F5052" t="str">
        <f t="shared" si="907"/>
        <v>COM</v>
      </c>
      <c r="G5052" t="str">
        <f>"RICARDO PERIN DE SOUZA (1272)"</f>
        <v>RICARDO PERIN DE SOUZA (1272)</v>
      </c>
      <c r="H5052" t="str">
        <f>"Serv.Prest. 16/03/2026 a 22/03/2026 - PIX: CPF - CHAVE: 472.998.978-30"</f>
        <v>Serv.Prest. 16/03/2026 a 22/03/2026 - PIX: CPF - CHAVE: 472.998.978-30</v>
      </c>
      <c r="I5052" t="str">
        <f t="shared" si="916"/>
        <v>26/03/2026</v>
      </c>
      <c r="J5052" t="str">
        <f t="shared" si="909"/>
        <v>23/03/2026</v>
      </c>
      <c r="K5052" t="str">
        <f>("26/03/2026")</f>
        <v>26/03/2026</v>
      </c>
      <c r="L5052">
        <v>896</v>
      </c>
      <c r="M5052">
        <v>896</v>
      </c>
      <c r="N5052">
        <v>109</v>
      </c>
      <c r="O5052" t="str">
        <f>"PAGAMENTO DE ENTREGADORES"</f>
        <v>PAGAMENTO DE ENTREGADORES</v>
      </c>
      <c r="P5052">
        <v>896</v>
      </c>
      <c r="S5052" t="str">
        <f>"BANCO C6 (149)"</f>
        <v>BANCO C6 (149)</v>
      </c>
      <c r="T5052">
        <v>32157</v>
      </c>
      <c r="U5052">
        <v>35823</v>
      </c>
      <c r="V5052" t="s">
        <v>37</v>
      </c>
    </row>
    <row r="5053" spans="1:22">
      <c r="A5053" t="str">
        <f t="shared" si="911"/>
        <v>26/03/2026</v>
      </c>
      <c r="B5053" t="str">
        <f t="shared" si="915"/>
        <v>SAÍDA</v>
      </c>
      <c r="C5053" t="str">
        <f t="shared" si="918"/>
        <v>PIX</v>
      </c>
      <c r="D5053" t="str">
        <f>"35823"</f>
        <v>35823</v>
      </c>
      <c r="E5053" t="str">
        <f t="shared" si="910"/>
        <v>1</v>
      </c>
      <c r="F5053" t="str">
        <f t="shared" si="907"/>
        <v>COM</v>
      </c>
      <c r="G5053" t="str">
        <f>"RICARDO PERIN DE SOUZA (1272)"</f>
        <v>RICARDO PERIN DE SOUZA (1272)</v>
      </c>
      <c r="H5053" t="s">
        <v>1391</v>
      </c>
      <c r="I5053" t="str">
        <f t="shared" si="916"/>
        <v>26/03/2026</v>
      </c>
      <c r="J5053" t="str">
        <f t="shared" si="909"/>
        <v>23/03/2026</v>
      </c>
      <c r="K5053">
        <v>46107</v>
      </c>
      <c r="N5053">
        <v>109</v>
      </c>
      <c r="O5053" t="s">
        <v>27</v>
      </c>
      <c r="Q5053">
        <v>896</v>
      </c>
      <c r="R5053" t="str">
        <f>"BEM TE FAZ LOJA 3 (10287)"</f>
        <v>BEM TE FAZ LOJA 3 (10287)</v>
      </c>
      <c r="S5053" t="s">
        <v>37</v>
      </c>
      <c r="T5053">
        <v>32157</v>
      </c>
      <c r="U5053">
        <v>35823</v>
      </c>
      <c r="V5053" t="s">
        <v>37</v>
      </c>
    </row>
    <row r="5054" spans="1:22">
      <c r="A5054" t="str">
        <f t="shared" si="911"/>
        <v>26/03/2026</v>
      </c>
      <c r="B5054" t="str">
        <f t="shared" si="915"/>
        <v>SAÍDA</v>
      </c>
      <c r="C5054" t="str">
        <f t="shared" si="918"/>
        <v>PIX</v>
      </c>
      <c r="D5054" t="str">
        <f>"35824"</f>
        <v>35824</v>
      </c>
      <c r="E5054" t="str">
        <f t="shared" si="910"/>
        <v>1</v>
      </c>
      <c r="F5054" t="str">
        <f t="shared" si="907"/>
        <v>COM</v>
      </c>
      <c r="G5054" t="str">
        <f t="shared" ref="G5054:G5059" si="919">"SAMUEL HENRIQUE DE SOUSA (1335)"</f>
        <v>SAMUEL HENRIQUE DE SOUSA (1335)</v>
      </c>
      <c r="H5054" t="str">
        <f>"Serv.Prest. 16/03/2026 a 22/03/2026 - PIX: CPF - CHAVE: 533.495.008-70"</f>
        <v>Serv.Prest. 16/03/2026 a 22/03/2026 - PIX: CPF - CHAVE: 533.495.008-70</v>
      </c>
      <c r="I5054" t="str">
        <f t="shared" si="916"/>
        <v>26/03/2026</v>
      </c>
      <c r="J5054" t="str">
        <f t="shared" si="909"/>
        <v>23/03/2026</v>
      </c>
      <c r="K5054" t="str">
        <f>("26/03/2026")</f>
        <v>26/03/2026</v>
      </c>
      <c r="L5054">
        <v>7</v>
      </c>
      <c r="M5054">
        <v>7</v>
      </c>
      <c r="N5054">
        <v>109</v>
      </c>
      <c r="O5054" t="str">
        <f>"PAGAMENTO DE ENTREGADORES"</f>
        <v>PAGAMENTO DE ENTREGADORES</v>
      </c>
      <c r="P5054">
        <v>7</v>
      </c>
      <c r="S5054" t="str">
        <f>"BANCO C6 (149)"</f>
        <v>BANCO C6 (149)</v>
      </c>
      <c r="T5054">
        <v>32158</v>
      </c>
      <c r="U5054">
        <v>35824</v>
      </c>
      <c r="V5054" t="s">
        <v>37</v>
      </c>
    </row>
    <row r="5055" spans="1:22">
      <c r="A5055" t="str">
        <f t="shared" si="911"/>
        <v>26/03/2026</v>
      </c>
      <c r="B5055" t="str">
        <f t="shared" si="915"/>
        <v>SAÍDA</v>
      </c>
      <c r="C5055" t="str">
        <f t="shared" si="918"/>
        <v>PIX</v>
      </c>
      <c r="D5055" t="str">
        <f>"35824"</f>
        <v>35824</v>
      </c>
      <c r="E5055" t="str">
        <f t="shared" si="910"/>
        <v>1</v>
      </c>
      <c r="F5055" t="str">
        <f t="shared" si="907"/>
        <v>COM</v>
      </c>
      <c r="G5055" t="str">
        <f t="shared" si="919"/>
        <v>SAMUEL HENRIQUE DE SOUSA (1335)</v>
      </c>
      <c r="H5055" t="s">
        <v>1392</v>
      </c>
      <c r="I5055" t="str">
        <f t="shared" si="916"/>
        <v>26/03/2026</v>
      </c>
      <c r="J5055" t="str">
        <f t="shared" si="909"/>
        <v>23/03/2026</v>
      </c>
      <c r="K5055">
        <v>46107</v>
      </c>
      <c r="N5055">
        <v>109</v>
      </c>
      <c r="O5055" t="s">
        <v>27</v>
      </c>
      <c r="Q5055">
        <v>7</v>
      </c>
      <c r="R5055" t="str">
        <f>"BEM TE FAZ LOJA 8 (10297)"</f>
        <v>BEM TE FAZ LOJA 8 (10297)</v>
      </c>
      <c r="S5055" t="s">
        <v>37</v>
      </c>
      <c r="T5055">
        <v>32158</v>
      </c>
      <c r="U5055">
        <v>35824</v>
      </c>
      <c r="V5055" t="s">
        <v>37</v>
      </c>
    </row>
    <row r="5056" spans="1:22">
      <c r="A5056" t="str">
        <f t="shared" si="911"/>
        <v>26/03/2026</v>
      </c>
      <c r="B5056" t="str">
        <f t="shared" si="915"/>
        <v>SAÍDA</v>
      </c>
      <c r="C5056" t="str">
        <f t="shared" si="918"/>
        <v>PIX</v>
      </c>
      <c r="D5056" t="str">
        <f>"35825"</f>
        <v>35825</v>
      </c>
      <c r="E5056" t="str">
        <f t="shared" si="910"/>
        <v>1</v>
      </c>
      <c r="F5056" t="str">
        <f t="shared" si="907"/>
        <v>COM</v>
      </c>
      <c r="G5056" t="str">
        <f t="shared" si="919"/>
        <v>SAMUEL HENRIQUE DE SOUSA (1335)</v>
      </c>
      <c r="H5056" t="str">
        <f>"Serv.Prest. 16/03/2026 a 22/03/2026 - PIX: CPF - CHAVE: 533.495.008-70"</f>
        <v>Serv.Prest. 16/03/2026 a 22/03/2026 - PIX: CPF - CHAVE: 533.495.008-70</v>
      </c>
      <c r="I5056" t="str">
        <f t="shared" si="916"/>
        <v>26/03/2026</v>
      </c>
      <c r="J5056" t="str">
        <f t="shared" si="909"/>
        <v>23/03/2026</v>
      </c>
      <c r="K5056" t="str">
        <f>("26/03/2026")</f>
        <v>26/03/2026</v>
      </c>
      <c r="L5056">
        <v>35</v>
      </c>
      <c r="M5056">
        <v>35</v>
      </c>
      <c r="N5056">
        <v>109</v>
      </c>
      <c r="O5056" t="str">
        <f>"PAGAMENTO DE ENTREGADORES"</f>
        <v>PAGAMENTO DE ENTREGADORES</v>
      </c>
      <c r="P5056">
        <v>35</v>
      </c>
      <c r="S5056" t="str">
        <f>"BANCO C6 (149)"</f>
        <v>BANCO C6 (149)</v>
      </c>
      <c r="T5056">
        <v>32159</v>
      </c>
      <c r="U5056">
        <v>35825</v>
      </c>
      <c r="V5056" t="s">
        <v>37</v>
      </c>
    </row>
    <row r="5057" spans="1:22">
      <c r="A5057" t="str">
        <f t="shared" si="911"/>
        <v>26/03/2026</v>
      </c>
      <c r="B5057" t="str">
        <f t="shared" si="915"/>
        <v>SAÍDA</v>
      </c>
      <c r="C5057" t="str">
        <f t="shared" si="918"/>
        <v>PIX</v>
      </c>
      <c r="D5057" t="str">
        <f>"35825"</f>
        <v>35825</v>
      </c>
      <c r="E5057" t="str">
        <f t="shared" si="910"/>
        <v>1</v>
      </c>
      <c r="F5057" t="str">
        <f t="shared" si="907"/>
        <v>COM</v>
      </c>
      <c r="G5057" t="str">
        <f t="shared" si="919"/>
        <v>SAMUEL HENRIQUE DE SOUSA (1335)</v>
      </c>
      <c r="H5057" t="s">
        <v>1392</v>
      </c>
      <c r="I5057" t="str">
        <f t="shared" si="916"/>
        <v>26/03/2026</v>
      </c>
      <c r="J5057" t="str">
        <f t="shared" si="909"/>
        <v>23/03/2026</v>
      </c>
      <c r="K5057">
        <v>46107</v>
      </c>
      <c r="N5057">
        <v>109</v>
      </c>
      <c r="O5057" t="s">
        <v>27</v>
      </c>
      <c r="Q5057">
        <v>35</v>
      </c>
      <c r="R5057" t="str">
        <f>"BEM TE FAZ LOJA 9 (10286)"</f>
        <v>BEM TE FAZ LOJA 9 (10286)</v>
      </c>
      <c r="S5057" t="s">
        <v>37</v>
      </c>
      <c r="T5057">
        <v>32159</v>
      </c>
      <c r="U5057">
        <v>35825</v>
      </c>
      <c r="V5057" t="s">
        <v>37</v>
      </c>
    </row>
    <row r="5058" spans="1:22">
      <c r="A5058" t="str">
        <f t="shared" si="911"/>
        <v>26/03/2026</v>
      </c>
      <c r="B5058" t="str">
        <f t="shared" si="915"/>
        <v>SAÍDA</v>
      </c>
      <c r="C5058" t="str">
        <f t="shared" si="918"/>
        <v>PIX</v>
      </c>
      <c r="D5058" t="str">
        <f>"35826"</f>
        <v>35826</v>
      </c>
      <c r="E5058" t="str">
        <f t="shared" si="910"/>
        <v>1</v>
      </c>
      <c r="F5058" t="str">
        <f t="shared" ref="F5058:F5121" si="920">"COM"</f>
        <v>COM</v>
      </c>
      <c r="G5058" t="str">
        <f t="shared" si="919"/>
        <v>SAMUEL HENRIQUE DE SOUSA (1335)</v>
      </c>
      <c r="H5058" t="str">
        <f>"Serv.Prest. 16/03/2026 a 22/03/2026 - PIX: CPF - CHAVE: 533.495.008-70"</f>
        <v>Serv.Prest. 16/03/2026 a 22/03/2026 - PIX: CPF - CHAVE: 533.495.008-70</v>
      </c>
      <c r="I5058" t="str">
        <f t="shared" si="916"/>
        <v>26/03/2026</v>
      </c>
      <c r="J5058" t="str">
        <f t="shared" si="909"/>
        <v>23/03/2026</v>
      </c>
      <c r="K5058" t="str">
        <f>("26/03/2026")</f>
        <v>26/03/2026</v>
      </c>
      <c r="L5058">
        <v>868</v>
      </c>
      <c r="M5058">
        <v>868</v>
      </c>
      <c r="N5058">
        <v>109</v>
      </c>
      <c r="O5058" t="str">
        <f>"PAGAMENTO DE ENTREGADORES"</f>
        <v>PAGAMENTO DE ENTREGADORES</v>
      </c>
      <c r="P5058">
        <v>868</v>
      </c>
      <c r="S5058" t="str">
        <f>"BANCO C6 (149)"</f>
        <v>BANCO C6 (149)</v>
      </c>
      <c r="T5058">
        <v>32160</v>
      </c>
      <c r="U5058">
        <v>35826</v>
      </c>
      <c r="V5058" t="s">
        <v>37</v>
      </c>
    </row>
    <row r="5059" spans="1:22">
      <c r="A5059" t="str">
        <f t="shared" si="911"/>
        <v>26/03/2026</v>
      </c>
      <c r="B5059" t="str">
        <f t="shared" si="915"/>
        <v>SAÍDA</v>
      </c>
      <c r="C5059" t="str">
        <f t="shared" si="918"/>
        <v>PIX</v>
      </c>
      <c r="D5059" t="str">
        <f>"35826"</f>
        <v>35826</v>
      </c>
      <c r="E5059" t="str">
        <f t="shared" si="910"/>
        <v>1</v>
      </c>
      <c r="F5059" t="str">
        <f t="shared" si="920"/>
        <v>COM</v>
      </c>
      <c r="G5059" t="str">
        <f t="shared" si="919"/>
        <v>SAMUEL HENRIQUE DE SOUSA (1335)</v>
      </c>
      <c r="H5059" t="s">
        <v>1392</v>
      </c>
      <c r="I5059" t="str">
        <f t="shared" si="916"/>
        <v>26/03/2026</v>
      </c>
      <c r="J5059" t="str">
        <f t="shared" si="909"/>
        <v>23/03/2026</v>
      </c>
      <c r="K5059">
        <v>46107</v>
      </c>
      <c r="N5059">
        <v>109</v>
      </c>
      <c r="O5059" t="s">
        <v>27</v>
      </c>
      <c r="Q5059">
        <v>868</v>
      </c>
      <c r="R5059" t="str">
        <f>"BEM TE FAZ LOJA 7 (10285)"</f>
        <v>BEM TE FAZ LOJA 7 (10285)</v>
      </c>
      <c r="S5059" t="s">
        <v>37</v>
      </c>
      <c r="T5059">
        <v>32160</v>
      </c>
      <c r="U5059">
        <v>35826</v>
      </c>
      <c r="V5059" t="s">
        <v>37</v>
      </c>
    </row>
    <row r="5060" spans="1:22">
      <c r="A5060" t="str">
        <f t="shared" si="911"/>
        <v>26/03/2026</v>
      </c>
      <c r="B5060" t="str">
        <f t="shared" si="915"/>
        <v>SAÍDA</v>
      </c>
      <c r="C5060" t="str">
        <f t="shared" si="918"/>
        <v>PIX</v>
      </c>
      <c r="D5060" t="str">
        <f>"35827"</f>
        <v>35827</v>
      </c>
      <c r="E5060" t="str">
        <f t="shared" si="910"/>
        <v>1</v>
      </c>
      <c r="F5060" t="str">
        <f t="shared" si="920"/>
        <v>COM</v>
      </c>
      <c r="G5060" t="str">
        <f>"STEFANI CRISTINA BERNARDES DOS SANTOS (1374)"</f>
        <v>STEFANI CRISTINA BERNARDES DOS SANTOS (1374)</v>
      </c>
      <c r="H5060" t="str">
        <f>"Serv.Prest. 16/03/2026 a 22/03/2026 - PIX: CELULAR - CHAVE: (19) 99652-4078"</f>
        <v>Serv.Prest. 16/03/2026 a 22/03/2026 - PIX: CELULAR - CHAVE: (19) 99652-4078</v>
      </c>
      <c r="I5060" t="str">
        <f t="shared" si="916"/>
        <v>26/03/2026</v>
      </c>
      <c r="J5060" t="str">
        <f t="shared" si="909"/>
        <v>23/03/2026</v>
      </c>
      <c r="K5060" t="str">
        <f>("26/03/2026")</f>
        <v>26/03/2026</v>
      </c>
      <c r="L5060">
        <v>567</v>
      </c>
      <c r="M5060">
        <v>567</v>
      </c>
      <c r="N5060">
        <v>109</v>
      </c>
      <c r="O5060" t="str">
        <f>"PAGAMENTO DE ENTREGADORES"</f>
        <v>PAGAMENTO DE ENTREGADORES</v>
      </c>
      <c r="P5060">
        <v>567</v>
      </c>
      <c r="S5060" t="str">
        <f>"BANCO C6 (149)"</f>
        <v>BANCO C6 (149)</v>
      </c>
      <c r="T5060">
        <v>32161</v>
      </c>
      <c r="U5060">
        <v>35827</v>
      </c>
      <c r="V5060" t="s">
        <v>37</v>
      </c>
    </row>
    <row r="5061" spans="1:22">
      <c r="A5061" t="str">
        <f t="shared" si="911"/>
        <v>26/03/2026</v>
      </c>
      <c r="B5061" t="str">
        <f t="shared" si="915"/>
        <v>SAÍDA</v>
      </c>
      <c r="C5061" t="str">
        <f t="shared" si="918"/>
        <v>PIX</v>
      </c>
      <c r="D5061" t="str">
        <f>"35827"</f>
        <v>35827</v>
      </c>
      <c r="E5061" t="str">
        <f t="shared" si="910"/>
        <v>1</v>
      </c>
      <c r="F5061" t="str">
        <f t="shared" si="920"/>
        <v>COM</v>
      </c>
      <c r="G5061" t="str">
        <f>"STEFANI CRISTINA BERNARDES DOS SANTOS (1374)"</f>
        <v>STEFANI CRISTINA BERNARDES DOS SANTOS (1374)</v>
      </c>
      <c r="H5061" t="s">
        <v>1393</v>
      </c>
      <c r="I5061" t="str">
        <f t="shared" si="916"/>
        <v>26/03/2026</v>
      </c>
      <c r="J5061" t="str">
        <f t="shared" si="909"/>
        <v>23/03/2026</v>
      </c>
      <c r="K5061">
        <v>46107</v>
      </c>
      <c r="N5061">
        <v>109</v>
      </c>
      <c r="O5061" t="s">
        <v>27</v>
      </c>
      <c r="Q5061">
        <v>567</v>
      </c>
      <c r="R5061" t="str">
        <f>"BEM TE FAZ LOJA 6 (10284)"</f>
        <v>BEM TE FAZ LOJA 6 (10284)</v>
      </c>
      <c r="S5061" t="s">
        <v>37</v>
      </c>
      <c r="T5061">
        <v>32161</v>
      </c>
      <c r="U5061">
        <v>35827</v>
      </c>
      <c r="V5061" t="s">
        <v>37</v>
      </c>
    </row>
    <row r="5062" spans="1:22">
      <c r="A5062" t="str">
        <f t="shared" si="911"/>
        <v>26/03/2026</v>
      </c>
      <c r="B5062" t="str">
        <f t="shared" si="915"/>
        <v>SAÍDA</v>
      </c>
      <c r="C5062" t="str">
        <f t="shared" si="918"/>
        <v>PIX</v>
      </c>
      <c r="D5062" t="str">
        <f>"35828"</f>
        <v>35828</v>
      </c>
      <c r="E5062" t="str">
        <f t="shared" si="910"/>
        <v>1</v>
      </c>
      <c r="F5062" t="str">
        <f t="shared" si="920"/>
        <v>COM</v>
      </c>
      <c r="G5062" t="str">
        <f>"VICTOR RAFAEL MARCULINO DE SOUZA (1250)"</f>
        <v>VICTOR RAFAEL MARCULINO DE SOUZA (1250)</v>
      </c>
      <c r="H5062" t="str">
        <f>"Serv.Prest. 16/03/2026 a 22/03/2026 - PIX: CPF - CHAVE: 241.948.348-01"</f>
        <v>Serv.Prest. 16/03/2026 a 22/03/2026 - PIX: CPF - CHAVE: 241.948.348-01</v>
      </c>
      <c r="I5062" t="str">
        <f t="shared" si="916"/>
        <v>26/03/2026</v>
      </c>
      <c r="J5062" t="str">
        <f t="shared" si="909"/>
        <v>23/03/2026</v>
      </c>
      <c r="K5062" t="str">
        <f>("26/03/2026")</f>
        <v>26/03/2026</v>
      </c>
      <c r="L5062">
        <v>217</v>
      </c>
      <c r="M5062">
        <v>217</v>
      </c>
      <c r="N5062">
        <v>109</v>
      </c>
      <c r="O5062" t="str">
        <f>"PAGAMENTO DE ENTREGADORES"</f>
        <v>PAGAMENTO DE ENTREGADORES</v>
      </c>
      <c r="P5062">
        <v>217</v>
      </c>
      <c r="S5062" t="str">
        <f>"BANCO C6 (149)"</f>
        <v>BANCO C6 (149)</v>
      </c>
      <c r="T5062">
        <v>32162</v>
      </c>
      <c r="U5062">
        <v>35828</v>
      </c>
      <c r="V5062" t="s">
        <v>37</v>
      </c>
    </row>
    <row r="5063" spans="1:22">
      <c r="A5063" t="str">
        <f t="shared" si="911"/>
        <v>26/03/2026</v>
      </c>
      <c r="B5063" t="str">
        <f t="shared" si="915"/>
        <v>SAÍDA</v>
      </c>
      <c r="C5063" t="str">
        <f t="shared" si="918"/>
        <v>PIX</v>
      </c>
      <c r="D5063" t="str">
        <f>"35828"</f>
        <v>35828</v>
      </c>
      <c r="E5063" t="str">
        <f t="shared" si="910"/>
        <v>1</v>
      </c>
      <c r="F5063" t="str">
        <f t="shared" si="920"/>
        <v>COM</v>
      </c>
      <c r="G5063" t="str">
        <f>"VICTOR RAFAEL MARCULINO DE SOUZA (1250)"</f>
        <v>VICTOR RAFAEL MARCULINO DE SOUZA (1250)</v>
      </c>
      <c r="H5063" t="s">
        <v>1394</v>
      </c>
      <c r="I5063" t="str">
        <f t="shared" si="916"/>
        <v>26/03/2026</v>
      </c>
      <c r="J5063" t="str">
        <f t="shared" si="909"/>
        <v>23/03/2026</v>
      </c>
      <c r="K5063">
        <v>46107</v>
      </c>
      <c r="N5063">
        <v>109</v>
      </c>
      <c r="O5063" t="s">
        <v>27</v>
      </c>
      <c r="Q5063">
        <v>217</v>
      </c>
      <c r="R5063" t="str">
        <f>"BEM TE FAZ LOJA 3 (10287)"</f>
        <v>BEM TE FAZ LOJA 3 (10287)</v>
      </c>
      <c r="S5063" t="s">
        <v>37</v>
      </c>
      <c r="T5063">
        <v>32162</v>
      </c>
      <c r="U5063">
        <v>35828</v>
      </c>
      <c r="V5063" t="s">
        <v>37</v>
      </c>
    </row>
    <row r="5064" spans="1:22">
      <c r="A5064" t="str">
        <f t="shared" si="911"/>
        <v>26/03/2026</v>
      </c>
      <c r="B5064" t="str">
        <f t="shared" si="915"/>
        <v>SAÍDA</v>
      </c>
      <c r="C5064" t="str">
        <f t="shared" si="918"/>
        <v>PIX</v>
      </c>
      <c r="D5064" t="str">
        <f>"35829"</f>
        <v>35829</v>
      </c>
      <c r="E5064" t="str">
        <f t="shared" si="910"/>
        <v>1</v>
      </c>
      <c r="F5064" t="str">
        <f t="shared" si="920"/>
        <v>COM</v>
      </c>
      <c r="G5064" t="str">
        <f>"VIRLEY JOSE DA SILVA (1352)"</f>
        <v>VIRLEY JOSE DA SILVA (1352)</v>
      </c>
      <c r="H5064" t="str">
        <f>"Serv.Prest. 16/03/2026 a 22/03/2026 - PIX: CPF - CHAVE: 249.315.678-19"</f>
        <v>Serv.Prest. 16/03/2026 a 22/03/2026 - PIX: CPF - CHAVE: 249.315.678-19</v>
      </c>
      <c r="I5064" t="str">
        <f t="shared" si="916"/>
        <v>26/03/2026</v>
      </c>
      <c r="J5064" t="str">
        <f t="shared" si="909"/>
        <v>23/03/2026</v>
      </c>
      <c r="K5064" t="str">
        <f>("26/03/2026")</f>
        <v>26/03/2026</v>
      </c>
      <c r="L5064">
        <v>1337</v>
      </c>
      <c r="M5064">
        <v>1337</v>
      </c>
      <c r="N5064">
        <v>109</v>
      </c>
      <c r="O5064" t="str">
        <f>"PAGAMENTO DE ENTREGADORES"</f>
        <v>PAGAMENTO DE ENTREGADORES</v>
      </c>
      <c r="P5064">
        <v>1337</v>
      </c>
      <c r="S5064" t="str">
        <f>"BANCO C6 (149)"</f>
        <v>BANCO C6 (149)</v>
      </c>
      <c r="T5064">
        <v>32163</v>
      </c>
      <c r="U5064">
        <v>35829</v>
      </c>
      <c r="V5064" t="s">
        <v>37</v>
      </c>
    </row>
    <row r="5065" spans="1:22">
      <c r="A5065" t="str">
        <f t="shared" si="911"/>
        <v>26/03/2026</v>
      </c>
      <c r="B5065" t="str">
        <f t="shared" si="915"/>
        <v>SAÍDA</v>
      </c>
      <c r="C5065" t="str">
        <f t="shared" si="918"/>
        <v>PIX</v>
      </c>
      <c r="D5065" t="str">
        <f>"35829"</f>
        <v>35829</v>
      </c>
      <c r="E5065" t="str">
        <f t="shared" si="910"/>
        <v>1</v>
      </c>
      <c r="F5065" t="str">
        <f t="shared" si="920"/>
        <v>COM</v>
      </c>
      <c r="G5065" t="str">
        <f>"VIRLEY JOSE DA SILVA (1352)"</f>
        <v>VIRLEY JOSE DA SILVA (1352)</v>
      </c>
      <c r="H5065" t="s">
        <v>1395</v>
      </c>
      <c r="I5065" t="str">
        <f t="shared" si="916"/>
        <v>26/03/2026</v>
      </c>
      <c r="J5065" t="str">
        <f t="shared" si="909"/>
        <v>23/03/2026</v>
      </c>
      <c r="K5065">
        <v>46107</v>
      </c>
      <c r="N5065">
        <v>109</v>
      </c>
      <c r="O5065" t="s">
        <v>27</v>
      </c>
      <c r="Q5065">
        <v>1337</v>
      </c>
      <c r="R5065" t="str">
        <f>"BEM TE FAZ LOJA 6 (10284)"</f>
        <v>BEM TE FAZ LOJA 6 (10284)</v>
      </c>
      <c r="S5065" t="s">
        <v>37</v>
      </c>
      <c r="T5065">
        <v>32163</v>
      </c>
      <c r="U5065">
        <v>35829</v>
      </c>
      <c r="V5065" t="s">
        <v>37</v>
      </c>
    </row>
    <row r="5066" spans="1:22">
      <c r="A5066" t="str">
        <f t="shared" si="911"/>
        <v>26/03/2026</v>
      </c>
      <c r="B5066" t="str">
        <f t="shared" si="915"/>
        <v>SAÍDA</v>
      </c>
      <c r="C5066" t="str">
        <f t="shared" si="918"/>
        <v>PIX</v>
      </c>
      <c r="D5066" t="str">
        <f>"35830"</f>
        <v>35830</v>
      </c>
      <c r="E5066" t="str">
        <f t="shared" si="910"/>
        <v>1</v>
      </c>
      <c r="F5066" t="str">
        <f t="shared" si="920"/>
        <v>COM</v>
      </c>
      <c r="G5066" t="str">
        <f>"VIRLEY JOSE DA SILVA (1352)"</f>
        <v>VIRLEY JOSE DA SILVA (1352)</v>
      </c>
      <c r="H5066" t="str">
        <f>"Serv.Prest. 16/03/2026 a 22/03/2026 - PIX: CPF - CHAVE: 249.315.678-19"</f>
        <v>Serv.Prest. 16/03/2026 a 22/03/2026 - PIX: CPF - CHAVE: 249.315.678-19</v>
      </c>
      <c r="I5066" t="str">
        <f t="shared" si="916"/>
        <v>26/03/2026</v>
      </c>
      <c r="J5066" t="str">
        <f t="shared" si="909"/>
        <v>23/03/2026</v>
      </c>
      <c r="K5066" t="str">
        <f>("26/03/2026")</f>
        <v>26/03/2026</v>
      </c>
      <c r="L5066">
        <v>7</v>
      </c>
      <c r="M5066">
        <v>7</v>
      </c>
      <c r="N5066">
        <v>109</v>
      </c>
      <c r="O5066" t="str">
        <f>"PAGAMENTO DE ENTREGADORES"</f>
        <v>PAGAMENTO DE ENTREGADORES</v>
      </c>
      <c r="P5066">
        <v>7</v>
      </c>
      <c r="S5066" t="str">
        <f>"BANCO C6 (149)"</f>
        <v>BANCO C6 (149)</v>
      </c>
      <c r="T5066">
        <v>32164</v>
      </c>
      <c r="U5066">
        <v>35830</v>
      </c>
      <c r="V5066" t="s">
        <v>37</v>
      </c>
    </row>
    <row r="5067" spans="1:22">
      <c r="A5067" t="str">
        <f t="shared" si="911"/>
        <v>26/03/2026</v>
      </c>
      <c r="B5067" t="str">
        <f t="shared" si="915"/>
        <v>SAÍDA</v>
      </c>
      <c r="C5067" t="str">
        <f t="shared" si="918"/>
        <v>PIX</v>
      </c>
      <c r="D5067" t="str">
        <f>"35830"</f>
        <v>35830</v>
      </c>
      <c r="E5067" t="str">
        <f t="shared" si="910"/>
        <v>1</v>
      </c>
      <c r="F5067" t="str">
        <f t="shared" si="920"/>
        <v>COM</v>
      </c>
      <c r="G5067" t="str">
        <f>"VIRLEY JOSE DA SILVA (1352)"</f>
        <v>VIRLEY JOSE DA SILVA (1352)</v>
      </c>
      <c r="H5067" t="s">
        <v>1395</v>
      </c>
      <c r="I5067" t="str">
        <f t="shared" si="916"/>
        <v>26/03/2026</v>
      </c>
      <c r="J5067" t="str">
        <f t="shared" si="909"/>
        <v>23/03/2026</v>
      </c>
      <c r="K5067">
        <v>46107</v>
      </c>
      <c r="N5067">
        <v>109</v>
      </c>
      <c r="O5067" t="s">
        <v>27</v>
      </c>
      <c r="Q5067">
        <v>7</v>
      </c>
      <c r="R5067" t="str">
        <f>"BEM TE FAZ LOJA 7 (10285)"</f>
        <v>BEM TE FAZ LOJA 7 (10285)</v>
      </c>
      <c r="S5067" t="s">
        <v>37</v>
      </c>
      <c r="T5067">
        <v>32164</v>
      </c>
      <c r="U5067">
        <v>35830</v>
      </c>
      <c r="V5067" t="s">
        <v>37</v>
      </c>
    </row>
    <row r="5068" spans="1:22">
      <c r="A5068" t="str">
        <f t="shared" si="911"/>
        <v>26/03/2026</v>
      </c>
      <c r="B5068" t="str">
        <f t="shared" si="915"/>
        <v>SAÍDA</v>
      </c>
      <c r="C5068" t="str">
        <f t="shared" si="918"/>
        <v>PIX</v>
      </c>
      <c r="D5068" t="str">
        <f>"35834"</f>
        <v>35834</v>
      </c>
      <c r="E5068" t="str">
        <f t="shared" si="910"/>
        <v>1</v>
      </c>
      <c r="F5068" t="str">
        <f t="shared" si="920"/>
        <v>COM</v>
      </c>
      <c r="G5068" t="str">
        <f>"OTAVIO MENDES DOS SANTOS FILHO (1356)"</f>
        <v>OTAVIO MENDES DOS SANTOS FILHO (1356)</v>
      </c>
      <c r="H5068" t="str">
        <f>"Serv.Prest. 16/03/2026 a 22/03/2026 - PIX: CELULAR - CHAVE: (11) 97040-4497"</f>
        <v>Serv.Prest. 16/03/2026 a 22/03/2026 - PIX: CELULAR - CHAVE: (11) 97040-4497</v>
      </c>
      <c r="I5068" t="str">
        <f t="shared" si="916"/>
        <v>26/03/2026</v>
      </c>
      <c r="J5068" t="str">
        <f t="shared" si="909"/>
        <v>23/03/2026</v>
      </c>
      <c r="K5068" t="str">
        <f>("26/03/2026")</f>
        <v>26/03/2026</v>
      </c>
      <c r="L5068">
        <v>600</v>
      </c>
      <c r="M5068">
        <v>600</v>
      </c>
      <c r="N5068">
        <v>109</v>
      </c>
      <c r="O5068" t="str">
        <f>"PAGAMENTO DE ENTREGADORES"</f>
        <v>PAGAMENTO DE ENTREGADORES</v>
      </c>
      <c r="P5068">
        <v>600</v>
      </c>
      <c r="S5068" t="str">
        <f>"BANCO C6 (149)"</f>
        <v>BANCO C6 (149)</v>
      </c>
      <c r="T5068">
        <v>32165</v>
      </c>
      <c r="U5068">
        <v>35834</v>
      </c>
      <c r="V5068" t="s">
        <v>37</v>
      </c>
    </row>
    <row r="5069" spans="1:22">
      <c r="A5069" t="str">
        <f t="shared" si="911"/>
        <v>26/03/2026</v>
      </c>
      <c r="B5069" t="str">
        <f t="shared" si="915"/>
        <v>SAÍDA</v>
      </c>
      <c r="C5069" t="str">
        <f t="shared" si="918"/>
        <v>PIX</v>
      </c>
      <c r="D5069" t="str">
        <f>"35834"</f>
        <v>35834</v>
      </c>
      <c r="E5069" t="str">
        <f t="shared" si="910"/>
        <v>1</v>
      </c>
      <c r="F5069" t="str">
        <f t="shared" si="920"/>
        <v>COM</v>
      </c>
      <c r="G5069" t="str">
        <f>"OTAVIO MENDES DOS SANTOS FILHO (1356)"</f>
        <v>OTAVIO MENDES DOS SANTOS FILHO (1356)</v>
      </c>
      <c r="H5069" t="s">
        <v>1170</v>
      </c>
      <c r="I5069" t="str">
        <f t="shared" si="916"/>
        <v>26/03/2026</v>
      </c>
      <c r="J5069" t="str">
        <f t="shared" si="909"/>
        <v>23/03/2026</v>
      </c>
      <c r="K5069">
        <v>46107</v>
      </c>
      <c r="N5069">
        <v>109</v>
      </c>
      <c r="O5069" t="s">
        <v>27</v>
      </c>
      <c r="Q5069">
        <v>600</v>
      </c>
      <c r="R5069" t="str">
        <f>"PENSE FARMA 46 (10194)"</f>
        <v>PENSE FARMA 46 (10194)</v>
      </c>
      <c r="S5069" t="s">
        <v>37</v>
      </c>
      <c r="T5069">
        <v>32165</v>
      </c>
      <c r="U5069">
        <v>35834</v>
      </c>
      <c r="V5069" t="s">
        <v>37</v>
      </c>
    </row>
    <row r="5070" spans="1:22">
      <c r="A5070" t="str">
        <f t="shared" si="911"/>
        <v>26/03/2026</v>
      </c>
      <c r="B5070" t="str">
        <f t="shared" si="915"/>
        <v>SAÍDA</v>
      </c>
      <c r="C5070" t="str">
        <f t="shared" si="918"/>
        <v>PIX</v>
      </c>
      <c r="D5070" t="str">
        <f>"35837"</f>
        <v>35837</v>
      </c>
      <c r="E5070" t="str">
        <f t="shared" si="910"/>
        <v>1</v>
      </c>
      <c r="F5070" t="str">
        <f t="shared" si="920"/>
        <v>COM</v>
      </c>
      <c r="G5070" t="str">
        <f>"GUILHERME AMARAL PEREIRA (1368)"</f>
        <v>GUILHERME AMARAL PEREIRA (1368)</v>
      </c>
      <c r="H5070" t="str">
        <f>"Serv.Prest. 16/03/2026 a 22/03/2026 - PIX: CPF - CHAVE: 442.268.128-16"</f>
        <v>Serv.Prest. 16/03/2026 a 22/03/2026 - PIX: CPF - CHAVE: 442.268.128-16</v>
      </c>
      <c r="I5070" t="str">
        <f t="shared" si="916"/>
        <v>26/03/2026</v>
      </c>
      <c r="J5070" t="str">
        <f t="shared" si="909"/>
        <v>23/03/2026</v>
      </c>
      <c r="K5070" t="str">
        <f>("26/03/2026")</f>
        <v>26/03/2026</v>
      </c>
      <c r="L5070">
        <v>750</v>
      </c>
      <c r="M5070">
        <v>750</v>
      </c>
      <c r="N5070">
        <v>109</v>
      </c>
      <c r="O5070" t="str">
        <f>"PAGAMENTO DE ENTREGADORES"</f>
        <v>PAGAMENTO DE ENTREGADORES</v>
      </c>
      <c r="P5070">
        <v>750</v>
      </c>
      <c r="S5070" t="str">
        <f>"BANCO C6 (149)"</f>
        <v>BANCO C6 (149)</v>
      </c>
      <c r="T5070">
        <v>32166</v>
      </c>
      <c r="U5070">
        <v>35837</v>
      </c>
      <c r="V5070" t="s">
        <v>37</v>
      </c>
    </row>
    <row r="5071" spans="1:22">
      <c r="A5071" t="str">
        <f t="shared" si="911"/>
        <v>26/03/2026</v>
      </c>
      <c r="B5071" t="str">
        <f t="shared" si="915"/>
        <v>SAÍDA</v>
      </c>
      <c r="C5071" t="str">
        <f t="shared" si="918"/>
        <v>PIX</v>
      </c>
      <c r="D5071" t="str">
        <f>"35837"</f>
        <v>35837</v>
      </c>
      <c r="E5071" t="str">
        <f t="shared" si="910"/>
        <v>1</v>
      </c>
      <c r="F5071" t="str">
        <f t="shared" si="920"/>
        <v>COM</v>
      </c>
      <c r="G5071" t="str">
        <f>"GUILHERME AMARAL PEREIRA (1368)"</f>
        <v>GUILHERME AMARAL PEREIRA (1368)</v>
      </c>
      <c r="H5071" t="s">
        <v>1396</v>
      </c>
      <c r="I5071" t="str">
        <f t="shared" si="916"/>
        <v>26/03/2026</v>
      </c>
      <c r="J5071" t="str">
        <f t="shared" si="909"/>
        <v>23/03/2026</v>
      </c>
      <c r="K5071">
        <v>46107</v>
      </c>
      <c r="N5071">
        <v>109</v>
      </c>
      <c r="O5071" t="s">
        <v>27</v>
      </c>
      <c r="Q5071">
        <v>750</v>
      </c>
      <c r="R5071" t="str">
        <f>"PENSE FARMA 22 (10198)"</f>
        <v>PENSE FARMA 22 (10198)</v>
      </c>
      <c r="S5071" t="s">
        <v>37</v>
      </c>
      <c r="T5071">
        <v>32166</v>
      </c>
      <c r="U5071">
        <v>35837</v>
      </c>
      <c r="V5071" t="s">
        <v>37</v>
      </c>
    </row>
    <row r="5072" spans="1:22">
      <c r="A5072" t="str">
        <f t="shared" si="911"/>
        <v>26/03/2026</v>
      </c>
      <c r="B5072" t="str">
        <f t="shared" si="915"/>
        <v>SAÍDA</v>
      </c>
      <c r="C5072" t="str">
        <f t="shared" si="918"/>
        <v>PIX</v>
      </c>
      <c r="D5072" t="str">
        <f>"35838"</f>
        <v>35838</v>
      </c>
      <c r="E5072" t="str">
        <f t="shared" si="910"/>
        <v>1</v>
      </c>
      <c r="F5072" t="str">
        <f t="shared" si="920"/>
        <v>COM</v>
      </c>
      <c r="G5072" t="str">
        <f>"LUCAS DA VISITACAO DOS (1332)"</f>
        <v>LUCAS DA VISITACAO DOS (1332)</v>
      </c>
      <c r="H5072" t="str">
        <f>"Serv.Prest. 16/03/2026 a 22/03/2026 - PIX: CELULAR - CHAVE: (11) 94139-4820"</f>
        <v>Serv.Prest. 16/03/2026 a 22/03/2026 - PIX: CELULAR - CHAVE: (11) 94139-4820</v>
      </c>
      <c r="I5072" t="str">
        <f t="shared" si="916"/>
        <v>26/03/2026</v>
      </c>
      <c r="J5072" t="str">
        <f t="shared" ref="J5072:J5135" si="921">("23/03/2026")</f>
        <v>23/03/2026</v>
      </c>
      <c r="K5072" t="str">
        <f>("26/03/2026")</f>
        <v>26/03/2026</v>
      </c>
      <c r="L5072">
        <v>900</v>
      </c>
      <c r="M5072">
        <v>900</v>
      </c>
      <c r="N5072">
        <v>109</v>
      </c>
      <c r="O5072" t="str">
        <f>"PAGAMENTO DE ENTREGADORES"</f>
        <v>PAGAMENTO DE ENTREGADORES</v>
      </c>
      <c r="P5072">
        <v>900</v>
      </c>
      <c r="S5072" t="str">
        <f>"BANCO C6 (149)"</f>
        <v>BANCO C6 (149)</v>
      </c>
      <c r="T5072">
        <v>32167</v>
      </c>
      <c r="U5072">
        <v>35838</v>
      </c>
      <c r="V5072" t="s">
        <v>37</v>
      </c>
    </row>
    <row r="5073" spans="1:22">
      <c r="A5073" t="str">
        <f t="shared" si="911"/>
        <v>26/03/2026</v>
      </c>
      <c r="B5073" t="str">
        <f t="shared" si="915"/>
        <v>SAÍDA</v>
      </c>
      <c r="C5073" t="str">
        <f t="shared" si="918"/>
        <v>PIX</v>
      </c>
      <c r="D5073" t="str">
        <f>"35838"</f>
        <v>35838</v>
      </c>
      <c r="E5073" t="str">
        <f t="shared" si="910"/>
        <v>1</v>
      </c>
      <c r="F5073" t="str">
        <f t="shared" si="920"/>
        <v>COM</v>
      </c>
      <c r="G5073" t="str">
        <f>"LUCAS DA VISITACAO DOS (1332)"</f>
        <v>LUCAS DA VISITACAO DOS (1332)</v>
      </c>
      <c r="H5073" t="s">
        <v>1397</v>
      </c>
      <c r="I5073" t="str">
        <f t="shared" si="916"/>
        <v>26/03/2026</v>
      </c>
      <c r="J5073" t="str">
        <f t="shared" si="921"/>
        <v>23/03/2026</v>
      </c>
      <c r="K5073">
        <v>46107</v>
      </c>
      <c r="N5073">
        <v>109</v>
      </c>
      <c r="O5073" t="s">
        <v>27</v>
      </c>
      <c r="Q5073">
        <v>900</v>
      </c>
      <c r="R5073" t="str">
        <f>"PENSE FARMA 22 (10198)"</f>
        <v>PENSE FARMA 22 (10198)</v>
      </c>
      <c r="S5073" t="s">
        <v>37</v>
      </c>
      <c r="T5073">
        <v>32167</v>
      </c>
      <c r="U5073">
        <v>35838</v>
      </c>
      <c r="V5073" t="s">
        <v>37</v>
      </c>
    </row>
    <row r="5074" spans="1:22">
      <c r="A5074" t="str">
        <f t="shared" si="911"/>
        <v>26/03/2026</v>
      </c>
      <c r="B5074" t="str">
        <f t="shared" si="915"/>
        <v>SAÍDA</v>
      </c>
      <c r="C5074" t="str">
        <f t="shared" si="918"/>
        <v>PIX</v>
      </c>
      <c r="D5074" t="str">
        <f>"35839"</f>
        <v>35839</v>
      </c>
      <c r="E5074" t="str">
        <f t="shared" si="910"/>
        <v>1</v>
      </c>
      <c r="F5074" t="str">
        <f t="shared" si="920"/>
        <v>COM</v>
      </c>
      <c r="G5074" t="str">
        <f>"PEDRO HENRIQUE ALVES DA SILVA (1133)"</f>
        <v>PEDRO HENRIQUE ALVES DA SILVA (1133)</v>
      </c>
      <c r="H5074" t="str">
        <f>"Serv.Prest. 16/03/2026 a 22/03/2026 - PIX: CELULAR - CHAVE: (11) 98776-2232"</f>
        <v>Serv.Prest. 16/03/2026 a 22/03/2026 - PIX: CELULAR - CHAVE: (11) 98776-2232</v>
      </c>
      <c r="I5074" t="str">
        <f t="shared" si="916"/>
        <v>26/03/2026</v>
      </c>
      <c r="J5074" t="str">
        <f t="shared" si="921"/>
        <v>23/03/2026</v>
      </c>
      <c r="K5074" t="str">
        <f>("26/03/2026")</f>
        <v>26/03/2026</v>
      </c>
      <c r="L5074">
        <v>1470</v>
      </c>
      <c r="M5074">
        <v>1500</v>
      </c>
      <c r="N5074">
        <v>109</v>
      </c>
      <c r="O5074" t="str">
        <f>"PAGAMENTO DE ENTREGADORES"</f>
        <v>PAGAMENTO DE ENTREGADORES</v>
      </c>
      <c r="P5074">
        <v>1500</v>
      </c>
      <c r="S5074" t="str">
        <f>"BANCO C6 (149)"</f>
        <v>BANCO C6 (149)</v>
      </c>
      <c r="T5074">
        <v>32168</v>
      </c>
      <c r="U5074">
        <v>35839</v>
      </c>
      <c r="V5074" t="s">
        <v>37</v>
      </c>
    </row>
    <row r="5075" spans="1:22">
      <c r="A5075" t="str">
        <f t="shared" si="911"/>
        <v>26/03/2026</v>
      </c>
      <c r="B5075" t="str">
        <f t="shared" si="915"/>
        <v>SAÍDA</v>
      </c>
      <c r="C5075" t="str">
        <f t="shared" si="918"/>
        <v>PIX</v>
      </c>
      <c r="D5075" t="str">
        <f>"35839"</f>
        <v>35839</v>
      </c>
      <c r="E5075" t="str">
        <f t="shared" si="910"/>
        <v>1</v>
      </c>
      <c r="F5075" t="str">
        <f t="shared" si="920"/>
        <v>COM</v>
      </c>
      <c r="G5075" t="str">
        <f>"PEDRO HENRIQUE ALVES DA SILVA (1133)"</f>
        <v>PEDRO HENRIQUE ALVES DA SILVA (1133)</v>
      </c>
      <c r="H5075" t="s">
        <v>1171</v>
      </c>
      <c r="I5075" t="str">
        <f t="shared" si="916"/>
        <v>26/03/2026</v>
      </c>
      <c r="J5075" t="str">
        <f t="shared" si="921"/>
        <v>23/03/2026</v>
      </c>
      <c r="K5075">
        <v>46107</v>
      </c>
      <c r="N5075">
        <v>109</v>
      </c>
      <c r="O5075" t="s">
        <v>27</v>
      </c>
      <c r="Q5075">
        <v>1500</v>
      </c>
      <c r="R5075" t="str">
        <f>"PENSE FARMA 22 (10198)"</f>
        <v>PENSE FARMA 22 (10198)</v>
      </c>
      <c r="S5075" t="s">
        <v>37</v>
      </c>
      <c r="T5075">
        <v>32168</v>
      </c>
      <c r="U5075">
        <v>35839</v>
      </c>
      <c r="V5075" t="s">
        <v>37</v>
      </c>
    </row>
    <row r="5076" spans="1:22">
      <c r="A5076" t="str">
        <f t="shared" si="911"/>
        <v>26/03/2026</v>
      </c>
      <c r="B5076" t="str">
        <f t="shared" si="915"/>
        <v>SAÍDA</v>
      </c>
      <c r="C5076" t="str">
        <f t="shared" si="918"/>
        <v>PIX</v>
      </c>
      <c r="D5076" t="str">
        <f>"35842"</f>
        <v>35842</v>
      </c>
      <c r="E5076" t="str">
        <f t="shared" ref="E5076:E5139" si="922">"1"</f>
        <v>1</v>
      </c>
      <c r="F5076" t="str">
        <f t="shared" si="920"/>
        <v>COM</v>
      </c>
      <c r="G5076" t="str">
        <f t="shared" ref="G5076:G5081" si="923">"ENTREGADOR 1 (1)"</f>
        <v>ENTREGADOR 1 (1)</v>
      </c>
      <c r="H5076" t="str">
        <f>"Serv.Prest. 16/03/2026 a 22/03/2026 - PAGAR PARA ANTONIO MARCOS DIAS PIX: CPF - CHAVE: 001.327.392-24"</f>
        <v>Serv.Prest. 16/03/2026 a 22/03/2026 - PAGAR PARA ANTONIO MARCOS DIAS PIX: CPF - CHAVE: 001.327.392-24</v>
      </c>
      <c r="I5076" t="str">
        <f t="shared" si="916"/>
        <v>26/03/2026</v>
      </c>
      <c r="J5076" t="str">
        <f t="shared" si="921"/>
        <v>23/03/2026</v>
      </c>
      <c r="K5076" t="str">
        <f>("26/03/2026")</f>
        <v>26/03/2026</v>
      </c>
      <c r="L5076">
        <v>140</v>
      </c>
      <c r="M5076">
        <v>140</v>
      </c>
      <c r="N5076">
        <v>109</v>
      </c>
      <c r="O5076" t="str">
        <f>"PAGAMENTO DE ENTREGADORES"</f>
        <v>PAGAMENTO DE ENTREGADORES</v>
      </c>
      <c r="P5076">
        <v>140</v>
      </c>
      <c r="S5076" t="str">
        <f>"BANCO C6 (149)"</f>
        <v>BANCO C6 (149)</v>
      </c>
      <c r="T5076">
        <v>32169</v>
      </c>
      <c r="U5076">
        <v>35842</v>
      </c>
      <c r="V5076" t="s">
        <v>37</v>
      </c>
    </row>
    <row r="5077" spans="1:22">
      <c r="A5077" t="str">
        <f t="shared" si="911"/>
        <v>26/03/2026</v>
      </c>
      <c r="B5077" t="str">
        <f t="shared" si="915"/>
        <v>SAÍDA</v>
      </c>
      <c r="C5077" t="str">
        <f t="shared" si="918"/>
        <v>PIX</v>
      </c>
      <c r="D5077" t="str">
        <f>"35842"</f>
        <v>35842</v>
      </c>
      <c r="E5077" t="str">
        <f t="shared" si="922"/>
        <v>1</v>
      </c>
      <c r="F5077" t="str">
        <f t="shared" si="920"/>
        <v>COM</v>
      </c>
      <c r="G5077" t="str">
        <f t="shared" si="923"/>
        <v>ENTREGADOR 1 (1)</v>
      </c>
      <c r="H5077" t="s">
        <v>1398</v>
      </c>
      <c r="I5077" t="str">
        <f t="shared" si="916"/>
        <v>26/03/2026</v>
      </c>
      <c r="J5077" t="str">
        <f t="shared" si="921"/>
        <v>23/03/2026</v>
      </c>
      <c r="K5077">
        <v>46107</v>
      </c>
      <c r="N5077">
        <v>109</v>
      </c>
      <c r="O5077" t="s">
        <v>27</v>
      </c>
      <c r="Q5077">
        <v>140</v>
      </c>
      <c r="R5077" t="str">
        <f>"PENSE FARMA 07 (10201)"</f>
        <v>PENSE FARMA 07 (10201)</v>
      </c>
      <c r="S5077" t="s">
        <v>37</v>
      </c>
      <c r="T5077">
        <v>32169</v>
      </c>
      <c r="U5077">
        <v>35842</v>
      </c>
      <c r="V5077" t="s">
        <v>37</v>
      </c>
    </row>
    <row r="5078" spans="1:22">
      <c r="A5078" t="str">
        <f t="shared" si="911"/>
        <v>26/03/2026</v>
      </c>
      <c r="B5078" t="str">
        <f t="shared" si="915"/>
        <v>SAÍDA</v>
      </c>
      <c r="C5078" t="str">
        <f t="shared" si="918"/>
        <v>PIX</v>
      </c>
      <c r="D5078" t="str">
        <f>"35843"</f>
        <v>35843</v>
      </c>
      <c r="E5078" t="str">
        <f t="shared" si="922"/>
        <v>1</v>
      </c>
      <c r="F5078" t="str">
        <f t="shared" si="920"/>
        <v>COM</v>
      </c>
      <c r="G5078" t="str">
        <f t="shared" si="923"/>
        <v>ENTREGADOR 1 (1)</v>
      </c>
      <c r="H5078" t="str">
        <f>"Serv.Prest. 16/03/2026 a 22/03/2026  PAGAR PARA ANTONIO MARCOS DIAS PIX: CPF - CHAVE: 001.327.392-24"</f>
        <v>Serv.Prest. 16/03/2026 a 22/03/2026  PAGAR PARA ANTONIO MARCOS DIAS PIX: CPF - CHAVE: 001.327.392-24</v>
      </c>
      <c r="I5078" t="str">
        <f t="shared" si="916"/>
        <v>26/03/2026</v>
      </c>
      <c r="J5078" t="str">
        <f t="shared" si="921"/>
        <v>23/03/2026</v>
      </c>
      <c r="K5078" t="str">
        <f>("26/03/2026")</f>
        <v>26/03/2026</v>
      </c>
      <c r="L5078">
        <v>5</v>
      </c>
      <c r="M5078">
        <v>5</v>
      </c>
      <c r="N5078">
        <v>109</v>
      </c>
      <c r="O5078" t="str">
        <f>"PAGAMENTO DE ENTREGADORES"</f>
        <v>PAGAMENTO DE ENTREGADORES</v>
      </c>
      <c r="P5078">
        <v>5</v>
      </c>
      <c r="S5078" t="str">
        <f>"BANCO C6 (149)"</f>
        <v>BANCO C6 (149)</v>
      </c>
      <c r="T5078">
        <v>32170</v>
      </c>
      <c r="U5078">
        <v>35843</v>
      </c>
      <c r="V5078" t="s">
        <v>37</v>
      </c>
    </row>
    <row r="5079" spans="1:22">
      <c r="A5079" t="str">
        <f t="shared" si="911"/>
        <v>26/03/2026</v>
      </c>
      <c r="B5079" t="str">
        <f t="shared" si="915"/>
        <v>SAÍDA</v>
      </c>
      <c r="C5079" t="str">
        <f t="shared" si="918"/>
        <v>PIX</v>
      </c>
      <c r="D5079" t="str">
        <f>"35843"</f>
        <v>35843</v>
      </c>
      <c r="E5079" t="str">
        <f t="shared" si="922"/>
        <v>1</v>
      </c>
      <c r="F5079" t="str">
        <f t="shared" si="920"/>
        <v>COM</v>
      </c>
      <c r="G5079" t="str">
        <f t="shared" si="923"/>
        <v>ENTREGADOR 1 (1)</v>
      </c>
      <c r="H5079" t="s">
        <v>1399</v>
      </c>
      <c r="I5079" t="str">
        <f t="shared" si="916"/>
        <v>26/03/2026</v>
      </c>
      <c r="J5079" t="str">
        <f t="shared" si="921"/>
        <v>23/03/2026</v>
      </c>
      <c r="K5079">
        <v>46107</v>
      </c>
      <c r="N5079">
        <v>109</v>
      </c>
      <c r="O5079" t="s">
        <v>27</v>
      </c>
      <c r="Q5079">
        <v>5</v>
      </c>
      <c r="R5079" t="str">
        <f>"PENSE FARMA 45 (10209)"</f>
        <v>PENSE FARMA 45 (10209)</v>
      </c>
      <c r="S5079" t="s">
        <v>37</v>
      </c>
      <c r="T5079">
        <v>32170</v>
      </c>
      <c r="U5079">
        <v>35843</v>
      </c>
      <c r="V5079" t="s">
        <v>37</v>
      </c>
    </row>
    <row r="5080" spans="1:22">
      <c r="A5080" t="str">
        <f t="shared" ref="A5080:A5143" si="924">("26/03/2026")</f>
        <v>26/03/2026</v>
      </c>
      <c r="B5080" t="str">
        <f t="shared" si="915"/>
        <v>SAÍDA</v>
      </c>
      <c r="C5080" t="str">
        <f t="shared" si="918"/>
        <v>PIX</v>
      </c>
      <c r="D5080" t="str">
        <f>"35844"</f>
        <v>35844</v>
      </c>
      <c r="E5080" t="str">
        <f t="shared" si="922"/>
        <v>1</v>
      </c>
      <c r="F5080" t="str">
        <f t="shared" si="920"/>
        <v>COM</v>
      </c>
      <c r="G5080" t="str">
        <f t="shared" si="923"/>
        <v>ENTREGADOR 1 (1)</v>
      </c>
      <c r="H5080" t="str">
        <f>"Serv.Prest. 16/03/2026 a 22/03/2026 - PAGAR PARA ANTONIO MARCOS DIAS PIX: CPF - CHAVE: 001.327.392-24"</f>
        <v>Serv.Prest. 16/03/2026 a 22/03/2026 - PAGAR PARA ANTONIO MARCOS DIAS PIX: CPF - CHAVE: 001.327.392-24</v>
      </c>
      <c r="I5080" t="str">
        <f t="shared" si="916"/>
        <v>26/03/2026</v>
      </c>
      <c r="J5080" t="str">
        <f t="shared" si="921"/>
        <v>23/03/2026</v>
      </c>
      <c r="K5080" t="str">
        <f>("26/03/2026")</f>
        <v>26/03/2026</v>
      </c>
      <c r="L5080">
        <v>5</v>
      </c>
      <c r="M5080">
        <v>5</v>
      </c>
      <c r="N5080">
        <v>109</v>
      </c>
      <c r="O5080" t="str">
        <f>"PAGAMENTO DE ENTREGADORES"</f>
        <v>PAGAMENTO DE ENTREGADORES</v>
      </c>
      <c r="P5080">
        <v>5</v>
      </c>
      <c r="S5080" t="str">
        <f>"BANCO C6 (149)"</f>
        <v>BANCO C6 (149)</v>
      </c>
      <c r="T5080">
        <v>32171</v>
      </c>
      <c r="U5080">
        <v>35844</v>
      </c>
      <c r="V5080" t="s">
        <v>37</v>
      </c>
    </row>
    <row r="5081" spans="1:22">
      <c r="A5081" t="str">
        <f t="shared" si="924"/>
        <v>26/03/2026</v>
      </c>
      <c r="B5081" t="str">
        <f t="shared" si="915"/>
        <v>SAÍDA</v>
      </c>
      <c r="C5081" t="str">
        <f t="shared" si="918"/>
        <v>PIX</v>
      </c>
      <c r="D5081" t="str">
        <f>"35844"</f>
        <v>35844</v>
      </c>
      <c r="E5081" t="str">
        <f t="shared" si="922"/>
        <v>1</v>
      </c>
      <c r="F5081" t="str">
        <f t="shared" si="920"/>
        <v>COM</v>
      </c>
      <c r="G5081" t="str">
        <f t="shared" si="923"/>
        <v>ENTREGADOR 1 (1)</v>
      </c>
      <c r="H5081" t="s">
        <v>1398</v>
      </c>
      <c r="I5081" t="str">
        <f t="shared" si="916"/>
        <v>26/03/2026</v>
      </c>
      <c r="J5081" t="str">
        <f t="shared" si="921"/>
        <v>23/03/2026</v>
      </c>
      <c r="K5081">
        <v>46107</v>
      </c>
      <c r="N5081">
        <v>109</v>
      </c>
      <c r="O5081" t="s">
        <v>27</v>
      </c>
      <c r="Q5081">
        <v>5</v>
      </c>
      <c r="R5081" t="str">
        <f>"PENSE FARMA 50 (10210)"</f>
        <v>PENSE FARMA 50 (10210)</v>
      </c>
      <c r="S5081" t="s">
        <v>37</v>
      </c>
      <c r="T5081">
        <v>32171</v>
      </c>
      <c r="U5081">
        <v>35844</v>
      </c>
      <c r="V5081" t="s">
        <v>37</v>
      </c>
    </row>
    <row r="5082" spans="1:22">
      <c r="A5082" t="str">
        <f t="shared" si="924"/>
        <v>26/03/2026</v>
      </c>
      <c r="B5082" t="str">
        <f t="shared" si="915"/>
        <v>SAÍDA</v>
      </c>
      <c r="C5082" t="str">
        <f t="shared" si="918"/>
        <v>PIX</v>
      </c>
      <c r="D5082" t="str">
        <f>"35845"</f>
        <v>35845</v>
      </c>
      <c r="E5082" t="str">
        <f t="shared" si="922"/>
        <v>1</v>
      </c>
      <c r="F5082" t="str">
        <f t="shared" si="920"/>
        <v>COM</v>
      </c>
      <c r="G5082" t="str">
        <f t="shared" ref="G5082:G5087" si="925">"ERIC RODRIGUES TEIXEIRA (939)"</f>
        <v>ERIC RODRIGUES TEIXEIRA (939)</v>
      </c>
      <c r="H5082" t="str">
        <f>"Serv.Prest. 16/03/2026 a 22/03/2026 - PIX: CELULAR - CHAVE: (11) 95038-0621"</f>
        <v>Serv.Prest. 16/03/2026 a 22/03/2026 - PIX: CELULAR - CHAVE: (11) 95038-0621</v>
      </c>
      <c r="I5082" t="str">
        <f t="shared" si="916"/>
        <v>26/03/2026</v>
      </c>
      <c r="J5082" t="str">
        <f t="shared" si="921"/>
        <v>23/03/2026</v>
      </c>
      <c r="K5082" t="str">
        <f>("26/03/2026")</f>
        <v>26/03/2026</v>
      </c>
      <c r="L5082">
        <v>500</v>
      </c>
      <c r="M5082">
        <v>500</v>
      </c>
      <c r="N5082">
        <v>109</v>
      </c>
      <c r="O5082" t="str">
        <f>"PAGAMENTO DE ENTREGADORES"</f>
        <v>PAGAMENTO DE ENTREGADORES</v>
      </c>
      <c r="P5082">
        <v>500</v>
      </c>
      <c r="S5082" t="str">
        <f>"BANCO C6 (149)"</f>
        <v>BANCO C6 (149)</v>
      </c>
      <c r="T5082">
        <v>32172</v>
      </c>
      <c r="U5082">
        <v>35845</v>
      </c>
      <c r="V5082" t="s">
        <v>37</v>
      </c>
    </row>
    <row r="5083" spans="1:22">
      <c r="A5083" t="str">
        <f t="shared" si="924"/>
        <v>26/03/2026</v>
      </c>
      <c r="B5083" t="str">
        <f t="shared" si="915"/>
        <v>SAÍDA</v>
      </c>
      <c r="C5083" t="str">
        <f t="shared" si="918"/>
        <v>PIX</v>
      </c>
      <c r="D5083" t="str">
        <f>"35845"</f>
        <v>35845</v>
      </c>
      <c r="E5083" t="str">
        <f t="shared" si="922"/>
        <v>1</v>
      </c>
      <c r="F5083" t="str">
        <f t="shared" si="920"/>
        <v>COM</v>
      </c>
      <c r="G5083" t="str">
        <f t="shared" si="925"/>
        <v>ERIC RODRIGUES TEIXEIRA (939)</v>
      </c>
      <c r="H5083" t="s">
        <v>1165</v>
      </c>
      <c r="I5083" t="str">
        <f t="shared" si="916"/>
        <v>26/03/2026</v>
      </c>
      <c r="J5083" t="str">
        <f t="shared" si="921"/>
        <v>23/03/2026</v>
      </c>
      <c r="K5083">
        <v>46107</v>
      </c>
      <c r="N5083">
        <v>109</v>
      </c>
      <c r="O5083" t="s">
        <v>27</v>
      </c>
      <c r="Q5083">
        <v>500</v>
      </c>
      <c r="R5083" t="str">
        <f>"PENSE FARMA 07 (10201)"</f>
        <v>PENSE FARMA 07 (10201)</v>
      </c>
      <c r="S5083" t="s">
        <v>37</v>
      </c>
      <c r="T5083">
        <v>32172</v>
      </c>
      <c r="U5083">
        <v>35845</v>
      </c>
      <c r="V5083" t="s">
        <v>37</v>
      </c>
    </row>
    <row r="5084" spans="1:22">
      <c r="A5084" t="str">
        <f t="shared" si="924"/>
        <v>26/03/2026</v>
      </c>
      <c r="B5084" t="str">
        <f t="shared" si="915"/>
        <v>SAÍDA</v>
      </c>
      <c r="C5084" t="str">
        <f t="shared" si="918"/>
        <v>PIX</v>
      </c>
      <c r="D5084" t="str">
        <f>"35846"</f>
        <v>35846</v>
      </c>
      <c r="E5084" t="str">
        <f t="shared" si="922"/>
        <v>1</v>
      </c>
      <c r="F5084" t="str">
        <f t="shared" si="920"/>
        <v>COM</v>
      </c>
      <c r="G5084" t="str">
        <f t="shared" si="925"/>
        <v>ERIC RODRIGUES TEIXEIRA (939)</v>
      </c>
      <c r="H5084" t="str">
        <f>"Serv.Prest. 16/03/2026 a 22/03/2026 - PIX: CELULAR - CHAVE: (11) 95038-0621"</f>
        <v>Serv.Prest. 16/03/2026 a 22/03/2026 - PIX: CELULAR - CHAVE: (11) 95038-0621</v>
      </c>
      <c r="I5084" t="str">
        <f t="shared" si="916"/>
        <v>26/03/2026</v>
      </c>
      <c r="J5084" t="str">
        <f t="shared" si="921"/>
        <v>23/03/2026</v>
      </c>
      <c r="K5084" t="str">
        <f>("26/03/2026")</f>
        <v>26/03/2026</v>
      </c>
      <c r="L5084">
        <v>500</v>
      </c>
      <c r="M5084">
        <v>500</v>
      </c>
      <c r="N5084">
        <v>109</v>
      </c>
      <c r="O5084" t="str">
        <f>"PAGAMENTO DE ENTREGADORES"</f>
        <v>PAGAMENTO DE ENTREGADORES</v>
      </c>
      <c r="P5084">
        <v>500</v>
      </c>
      <c r="S5084" t="str">
        <f>"BANCO C6 (149)"</f>
        <v>BANCO C6 (149)</v>
      </c>
      <c r="T5084">
        <v>32173</v>
      </c>
      <c r="U5084">
        <v>35846</v>
      </c>
      <c r="V5084" t="s">
        <v>37</v>
      </c>
    </row>
    <row r="5085" spans="1:22">
      <c r="A5085" t="str">
        <f t="shared" si="924"/>
        <v>26/03/2026</v>
      </c>
      <c r="B5085" t="str">
        <f t="shared" si="915"/>
        <v>SAÍDA</v>
      </c>
      <c r="C5085" t="str">
        <f t="shared" si="918"/>
        <v>PIX</v>
      </c>
      <c r="D5085" t="str">
        <f>"35846"</f>
        <v>35846</v>
      </c>
      <c r="E5085" t="str">
        <f t="shared" si="922"/>
        <v>1</v>
      </c>
      <c r="F5085" t="str">
        <f t="shared" si="920"/>
        <v>COM</v>
      </c>
      <c r="G5085" t="str">
        <f t="shared" si="925"/>
        <v>ERIC RODRIGUES TEIXEIRA (939)</v>
      </c>
      <c r="H5085" t="s">
        <v>1165</v>
      </c>
      <c r="I5085" t="str">
        <f t="shared" si="916"/>
        <v>26/03/2026</v>
      </c>
      <c r="J5085" t="str">
        <f t="shared" si="921"/>
        <v>23/03/2026</v>
      </c>
      <c r="K5085">
        <v>46107</v>
      </c>
      <c r="N5085">
        <v>109</v>
      </c>
      <c r="O5085" t="s">
        <v>27</v>
      </c>
      <c r="Q5085">
        <v>500</v>
      </c>
      <c r="R5085" t="str">
        <f>"PENSE FARMA 45 (10209)"</f>
        <v>PENSE FARMA 45 (10209)</v>
      </c>
      <c r="S5085" t="s">
        <v>37</v>
      </c>
      <c r="T5085">
        <v>32173</v>
      </c>
      <c r="U5085">
        <v>35846</v>
      </c>
      <c r="V5085" t="s">
        <v>37</v>
      </c>
    </row>
    <row r="5086" spans="1:22">
      <c r="A5086" t="str">
        <f t="shared" si="924"/>
        <v>26/03/2026</v>
      </c>
      <c r="B5086" t="str">
        <f t="shared" si="915"/>
        <v>SAÍDA</v>
      </c>
      <c r="C5086" t="str">
        <f t="shared" si="918"/>
        <v>PIX</v>
      </c>
      <c r="D5086" t="str">
        <f>"35847"</f>
        <v>35847</v>
      </c>
      <c r="E5086" t="str">
        <f t="shared" si="922"/>
        <v>1</v>
      </c>
      <c r="F5086" t="str">
        <f t="shared" si="920"/>
        <v>COM</v>
      </c>
      <c r="G5086" t="str">
        <f t="shared" si="925"/>
        <v>ERIC RODRIGUES TEIXEIRA (939)</v>
      </c>
      <c r="H5086" t="str">
        <f>"Serv.Prest. 16/03/2026 a 22/03/2026 - PIX: CELULAR - CHAVE: (11) 95038-0621"</f>
        <v>Serv.Prest. 16/03/2026 a 22/03/2026 - PIX: CELULAR - CHAVE: (11) 95038-0621</v>
      </c>
      <c r="I5086" t="str">
        <f t="shared" si="916"/>
        <v>26/03/2026</v>
      </c>
      <c r="J5086" t="str">
        <f t="shared" si="921"/>
        <v>23/03/2026</v>
      </c>
      <c r="K5086" t="str">
        <f>("26/03/2026")</f>
        <v>26/03/2026</v>
      </c>
      <c r="L5086">
        <v>70</v>
      </c>
      <c r="M5086">
        <v>72</v>
      </c>
      <c r="N5086">
        <v>109</v>
      </c>
      <c r="O5086" t="str">
        <f>"PAGAMENTO DE ENTREGADORES"</f>
        <v>PAGAMENTO DE ENTREGADORES</v>
      </c>
      <c r="P5086">
        <v>72</v>
      </c>
      <c r="S5086" t="str">
        <f>"BANCO C6 (149)"</f>
        <v>BANCO C6 (149)</v>
      </c>
      <c r="T5086">
        <v>32174</v>
      </c>
      <c r="U5086">
        <v>35847</v>
      </c>
      <c r="V5086" t="s">
        <v>37</v>
      </c>
    </row>
    <row r="5087" spans="1:22">
      <c r="A5087" t="str">
        <f t="shared" si="924"/>
        <v>26/03/2026</v>
      </c>
      <c r="B5087" t="str">
        <f t="shared" si="915"/>
        <v>SAÍDA</v>
      </c>
      <c r="C5087" t="str">
        <f t="shared" si="918"/>
        <v>PIX</v>
      </c>
      <c r="D5087" t="str">
        <f>"35847"</f>
        <v>35847</v>
      </c>
      <c r="E5087" t="str">
        <f t="shared" si="922"/>
        <v>1</v>
      </c>
      <c r="F5087" t="str">
        <f t="shared" si="920"/>
        <v>COM</v>
      </c>
      <c r="G5087" t="str">
        <f t="shared" si="925"/>
        <v>ERIC RODRIGUES TEIXEIRA (939)</v>
      </c>
      <c r="H5087" t="s">
        <v>1165</v>
      </c>
      <c r="I5087" t="str">
        <f t="shared" si="916"/>
        <v>26/03/2026</v>
      </c>
      <c r="J5087" t="str">
        <f t="shared" si="921"/>
        <v>23/03/2026</v>
      </c>
      <c r="K5087">
        <v>46107</v>
      </c>
      <c r="N5087">
        <v>109</v>
      </c>
      <c r="O5087" t="s">
        <v>27</v>
      </c>
      <c r="Q5087">
        <v>72</v>
      </c>
      <c r="R5087" t="str">
        <f>"PENSE FARMA 50 (10210)"</f>
        <v>PENSE FARMA 50 (10210)</v>
      </c>
      <c r="S5087" t="s">
        <v>37</v>
      </c>
      <c r="T5087">
        <v>32174</v>
      </c>
      <c r="U5087">
        <v>35847</v>
      </c>
      <c r="V5087" t="s">
        <v>37</v>
      </c>
    </row>
    <row r="5088" spans="1:22">
      <c r="A5088" t="str">
        <f t="shared" si="924"/>
        <v>26/03/2026</v>
      </c>
      <c r="B5088" t="str">
        <f t="shared" si="915"/>
        <v>SAÍDA</v>
      </c>
      <c r="C5088" t="str">
        <f t="shared" si="918"/>
        <v>PIX</v>
      </c>
      <c r="D5088" t="str">
        <f>"35851"</f>
        <v>35851</v>
      </c>
      <c r="E5088" t="str">
        <f t="shared" si="922"/>
        <v>1</v>
      </c>
      <c r="F5088" t="str">
        <f t="shared" si="920"/>
        <v>COM</v>
      </c>
      <c r="G5088" t="str">
        <f t="shared" ref="G5088:G5093" si="926">"HENDRYL SOUZA DA SILVA (1026)"</f>
        <v>HENDRYL SOUZA DA SILVA (1026)</v>
      </c>
      <c r="H5088" t="str">
        <f>"Serv.Prest. 16/03/2026 a 22/03/2026 - PIX: CPF - CHAVE: 499.814.888-52"</f>
        <v>Serv.Prest. 16/03/2026 a 22/03/2026 - PIX: CPF - CHAVE: 499.814.888-52</v>
      </c>
      <c r="I5088" t="str">
        <f t="shared" si="916"/>
        <v>26/03/2026</v>
      </c>
      <c r="J5088" t="str">
        <f t="shared" si="921"/>
        <v>23/03/2026</v>
      </c>
      <c r="K5088" t="str">
        <f>("26/03/2026")</f>
        <v>26/03/2026</v>
      </c>
      <c r="L5088">
        <v>155</v>
      </c>
      <c r="M5088">
        <v>155</v>
      </c>
      <c r="N5088">
        <v>109</v>
      </c>
      <c r="O5088" t="str">
        <f>"PAGAMENTO DE ENTREGADORES"</f>
        <v>PAGAMENTO DE ENTREGADORES</v>
      </c>
      <c r="P5088">
        <v>155</v>
      </c>
      <c r="S5088" t="str">
        <f>"BANCO C6 (149)"</f>
        <v>BANCO C6 (149)</v>
      </c>
      <c r="T5088">
        <v>32175</v>
      </c>
      <c r="U5088">
        <v>35851</v>
      </c>
      <c r="V5088" t="s">
        <v>37</v>
      </c>
    </row>
    <row r="5089" spans="1:22">
      <c r="A5089" t="str">
        <f t="shared" si="924"/>
        <v>26/03/2026</v>
      </c>
      <c r="B5089" t="str">
        <f t="shared" si="915"/>
        <v>SAÍDA</v>
      </c>
      <c r="C5089" t="str">
        <f t="shared" si="918"/>
        <v>PIX</v>
      </c>
      <c r="D5089" t="str">
        <f>"35851"</f>
        <v>35851</v>
      </c>
      <c r="E5089" t="str">
        <f t="shared" si="922"/>
        <v>1</v>
      </c>
      <c r="F5089" t="str">
        <f t="shared" si="920"/>
        <v>COM</v>
      </c>
      <c r="G5089" t="str">
        <f t="shared" si="926"/>
        <v>HENDRYL SOUZA DA SILVA (1026)</v>
      </c>
      <c r="H5089" t="s">
        <v>1379</v>
      </c>
      <c r="I5089" t="str">
        <f t="shared" si="916"/>
        <v>26/03/2026</v>
      </c>
      <c r="J5089" t="str">
        <f t="shared" si="921"/>
        <v>23/03/2026</v>
      </c>
      <c r="K5089">
        <v>46107</v>
      </c>
      <c r="N5089">
        <v>109</v>
      </c>
      <c r="O5089" t="s">
        <v>27</v>
      </c>
      <c r="Q5089">
        <v>155</v>
      </c>
      <c r="R5089" t="str">
        <f>"PENSE FARMA 60 (10197)"</f>
        <v>PENSE FARMA 60 (10197)</v>
      </c>
      <c r="S5089" t="s">
        <v>37</v>
      </c>
      <c r="T5089">
        <v>32175</v>
      </c>
      <c r="U5089">
        <v>35851</v>
      </c>
      <c r="V5089" t="s">
        <v>37</v>
      </c>
    </row>
    <row r="5090" spans="1:22">
      <c r="A5090" t="str">
        <f t="shared" si="924"/>
        <v>26/03/2026</v>
      </c>
      <c r="B5090" t="str">
        <f t="shared" si="915"/>
        <v>SAÍDA</v>
      </c>
      <c r="C5090" t="str">
        <f t="shared" si="918"/>
        <v>PIX</v>
      </c>
      <c r="D5090" t="str">
        <f>"35852"</f>
        <v>35852</v>
      </c>
      <c r="E5090" t="str">
        <f t="shared" si="922"/>
        <v>1</v>
      </c>
      <c r="F5090" t="str">
        <f t="shared" si="920"/>
        <v>COM</v>
      </c>
      <c r="G5090" t="str">
        <f t="shared" si="926"/>
        <v>HENDRYL SOUZA DA SILVA (1026)</v>
      </c>
      <c r="H5090" t="str">
        <f>"Serv.Prest. 16/03/2026 a 22/03/2026 - PIX: CPF - CHAVE: 499.814.888-52"</f>
        <v>Serv.Prest. 16/03/2026 a 22/03/2026 - PIX: CPF - CHAVE: 499.814.888-52</v>
      </c>
      <c r="I5090" t="str">
        <f t="shared" si="916"/>
        <v>26/03/2026</v>
      </c>
      <c r="J5090" t="str">
        <f t="shared" si="921"/>
        <v>23/03/2026</v>
      </c>
      <c r="K5090" t="str">
        <f>("26/03/2026")</f>
        <v>26/03/2026</v>
      </c>
      <c r="L5090">
        <v>155</v>
      </c>
      <c r="M5090">
        <v>155</v>
      </c>
      <c r="N5090">
        <v>109</v>
      </c>
      <c r="O5090" t="str">
        <f>"PAGAMENTO DE ENTREGADORES"</f>
        <v>PAGAMENTO DE ENTREGADORES</v>
      </c>
      <c r="P5090">
        <v>155</v>
      </c>
      <c r="S5090" t="str">
        <f>"BANCO C6 (149)"</f>
        <v>BANCO C6 (149)</v>
      </c>
      <c r="T5090">
        <v>32176</v>
      </c>
      <c r="U5090">
        <v>35852</v>
      </c>
      <c r="V5090" t="s">
        <v>37</v>
      </c>
    </row>
    <row r="5091" spans="1:22">
      <c r="A5091" t="str">
        <f t="shared" si="924"/>
        <v>26/03/2026</v>
      </c>
      <c r="B5091" t="str">
        <f t="shared" si="915"/>
        <v>SAÍDA</v>
      </c>
      <c r="C5091" t="str">
        <f t="shared" si="918"/>
        <v>PIX</v>
      </c>
      <c r="D5091" t="str">
        <f>"35852"</f>
        <v>35852</v>
      </c>
      <c r="E5091" t="str">
        <f t="shared" si="922"/>
        <v>1</v>
      </c>
      <c r="F5091" t="str">
        <f t="shared" si="920"/>
        <v>COM</v>
      </c>
      <c r="G5091" t="str">
        <f t="shared" si="926"/>
        <v>HENDRYL SOUZA DA SILVA (1026)</v>
      </c>
      <c r="H5091" t="s">
        <v>1379</v>
      </c>
      <c r="I5091" t="str">
        <f t="shared" si="916"/>
        <v>26/03/2026</v>
      </c>
      <c r="J5091" t="str">
        <f t="shared" si="921"/>
        <v>23/03/2026</v>
      </c>
      <c r="K5091">
        <v>46107</v>
      </c>
      <c r="N5091">
        <v>109</v>
      </c>
      <c r="O5091" t="s">
        <v>27</v>
      </c>
      <c r="Q5091">
        <v>155</v>
      </c>
      <c r="R5091" t="str">
        <f>"PENSE FARMA 26 (10196)"</f>
        <v>PENSE FARMA 26 (10196)</v>
      </c>
      <c r="S5091" t="s">
        <v>37</v>
      </c>
      <c r="T5091">
        <v>32176</v>
      </c>
      <c r="U5091">
        <v>35852</v>
      </c>
      <c r="V5091" t="s">
        <v>37</v>
      </c>
    </row>
    <row r="5092" spans="1:22">
      <c r="A5092" t="str">
        <f t="shared" si="924"/>
        <v>26/03/2026</v>
      </c>
      <c r="B5092" t="str">
        <f t="shared" si="915"/>
        <v>SAÍDA</v>
      </c>
      <c r="C5092" t="str">
        <f t="shared" si="918"/>
        <v>PIX</v>
      </c>
      <c r="D5092" t="str">
        <f>"35853"</f>
        <v>35853</v>
      </c>
      <c r="E5092" t="str">
        <f t="shared" si="922"/>
        <v>1</v>
      </c>
      <c r="F5092" t="str">
        <f t="shared" si="920"/>
        <v>COM</v>
      </c>
      <c r="G5092" t="str">
        <f t="shared" si="926"/>
        <v>HENDRYL SOUZA DA SILVA (1026)</v>
      </c>
      <c r="H5092" t="str">
        <f>"Serv.Prest. 16/03/2026 a 22/03/2026 - PIX: CPF - CHAVE: 499.814.888-52"</f>
        <v>Serv.Prest. 16/03/2026 a 22/03/2026 - PIX: CPF - CHAVE: 499.814.888-52</v>
      </c>
      <c r="I5092" t="str">
        <f t="shared" si="916"/>
        <v>26/03/2026</v>
      </c>
      <c r="J5092" t="str">
        <f t="shared" si="921"/>
        <v>23/03/2026</v>
      </c>
      <c r="K5092" t="str">
        <f>("26/03/2026")</f>
        <v>26/03/2026</v>
      </c>
      <c r="L5092">
        <v>155</v>
      </c>
      <c r="M5092">
        <v>155</v>
      </c>
      <c r="N5092">
        <v>109</v>
      </c>
      <c r="O5092" t="str">
        <f>"PAGAMENTO DE ENTREGADORES"</f>
        <v>PAGAMENTO DE ENTREGADORES</v>
      </c>
      <c r="P5092">
        <v>155</v>
      </c>
      <c r="S5092" t="str">
        <f>"BANCO C6 (149)"</f>
        <v>BANCO C6 (149)</v>
      </c>
      <c r="T5092">
        <v>32177</v>
      </c>
      <c r="U5092">
        <v>35853</v>
      </c>
      <c r="V5092" t="s">
        <v>37</v>
      </c>
    </row>
    <row r="5093" spans="1:22">
      <c r="A5093" t="str">
        <f t="shared" si="924"/>
        <v>26/03/2026</v>
      </c>
      <c r="B5093" t="str">
        <f t="shared" si="915"/>
        <v>SAÍDA</v>
      </c>
      <c r="C5093" t="str">
        <f t="shared" si="918"/>
        <v>PIX</v>
      </c>
      <c r="D5093" t="str">
        <f>"35853"</f>
        <v>35853</v>
      </c>
      <c r="E5093" t="str">
        <f t="shared" si="922"/>
        <v>1</v>
      </c>
      <c r="F5093" t="str">
        <f t="shared" si="920"/>
        <v>COM</v>
      </c>
      <c r="G5093" t="str">
        <f t="shared" si="926"/>
        <v>HENDRYL SOUZA DA SILVA (1026)</v>
      </c>
      <c r="H5093" t="s">
        <v>1379</v>
      </c>
      <c r="I5093" t="str">
        <f t="shared" si="916"/>
        <v>26/03/2026</v>
      </c>
      <c r="J5093" t="str">
        <f t="shared" si="921"/>
        <v>23/03/2026</v>
      </c>
      <c r="K5093">
        <v>46107</v>
      </c>
      <c r="N5093">
        <v>109</v>
      </c>
      <c r="O5093" t="s">
        <v>27</v>
      </c>
      <c r="Q5093">
        <v>155</v>
      </c>
      <c r="R5093" t="str">
        <f>"PENSE FARMA 15 (10195)"</f>
        <v>PENSE FARMA 15 (10195)</v>
      </c>
      <c r="S5093" t="s">
        <v>37</v>
      </c>
      <c r="T5093">
        <v>32177</v>
      </c>
      <c r="U5093">
        <v>35853</v>
      </c>
      <c r="V5093" t="s">
        <v>37</v>
      </c>
    </row>
    <row r="5094" spans="1:22">
      <c r="A5094" t="str">
        <f t="shared" si="924"/>
        <v>26/03/2026</v>
      </c>
      <c r="B5094" t="str">
        <f t="shared" si="915"/>
        <v>SAÍDA</v>
      </c>
      <c r="C5094" t="str">
        <f t="shared" si="918"/>
        <v>PIX</v>
      </c>
      <c r="D5094" t="str">
        <f>"35858"</f>
        <v>35858</v>
      </c>
      <c r="E5094" t="str">
        <f t="shared" si="922"/>
        <v>1</v>
      </c>
      <c r="F5094" t="str">
        <f t="shared" si="920"/>
        <v>COM</v>
      </c>
      <c r="G5094" t="str">
        <f t="shared" ref="G5094:G5101" si="927">"JEFFERSON AMORIM DA SILVA (940)"</f>
        <v>JEFFERSON AMORIM DA SILVA (940)</v>
      </c>
      <c r="H5094" t="str">
        <f>"Serv.Prest. 16/03/2026 a 22/03/2026 - PIX: CPF - CHAVE: 423.685.688-32"</f>
        <v>Serv.Prest. 16/03/2026 a 22/03/2026 - PIX: CPF - CHAVE: 423.685.688-32</v>
      </c>
      <c r="I5094" t="str">
        <f t="shared" si="916"/>
        <v>26/03/2026</v>
      </c>
      <c r="J5094" t="str">
        <f t="shared" si="921"/>
        <v>23/03/2026</v>
      </c>
      <c r="K5094" t="str">
        <f>("26/03/2026")</f>
        <v>26/03/2026</v>
      </c>
      <c r="L5094">
        <v>400</v>
      </c>
      <c r="M5094">
        <v>400</v>
      </c>
      <c r="N5094">
        <v>109</v>
      </c>
      <c r="O5094" t="str">
        <f>"PAGAMENTO DE ENTREGADORES"</f>
        <v>PAGAMENTO DE ENTREGADORES</v>
      </c>
      <c r="P5094">
        <v>400</v>
      </c>
      <c r="S5094" t="str">
        <f>"BANCO C6 (149)"</f>
        <v>BANCO C6 (149)</v>
      </c>
      <c r="T5094">
        <v>32178</v>
      </c>
      <c r="U5094">
        <v>35858</v>
      </c>
      <c r="V5094" t="s">
        <v>37</v>
      </c>
    </row>
    <row r="5095" spans="1:22">
      <c r="A5095" t="str">
        <f t="shared" si="924"/>
        <v>26/03/2026</v>
      </c>
      <c r="B5095" t="str">
        <f t="shared" si="915"/>
        <v>SAÍDA</v>
      </c>
      <c r="C5095" t="str">
        <f t="shared" si="918"/>
        <v>PIX</v>
      </c>
      <c r="D5095" t="str">
        <f>"35858"</f>
        <v>35858</v>
      </c>
      <c r="E5095" t="str">
        <f t="shared" si="922"/>
        <v>1</v>
      </c>
      <c r="F5095" t="str">
        <f t="shared" si="920"/>
        <v>COM</v>
      </c>
      <c r="G5095" t="str">
        <f t="shared" si="927"/>
        <v>JEFFERSON AMORIM DA SILVA (940)</v>
      </c>
      <c r="H5095" t="s">
        <v>1174</v>
      </c>
      <c r="I5095" t="str">
        <f t="shared" si="916"/>
        <v>26/03/2026</v>
      </c>
      <c r="J5095" t="str">
        <f t="shared" si="921"/>
        <v>23/03/2026</v>
      </c>
      <c r="K5095">
        <v>46107</v>
      </c>
      <c r="N5095">
        <v>109</v>
      </c>
      <c r="O5095" t="s">
        <v>27</v>
      </c>
      <c r="Q5095">
        <v>400</v>
      </c>
      <c r="R5095" t="str">
        <f>"PENSE FARMA 61 (10243)"</f>
        <v>PENSE FARMA 61 (10243)</v>
      </c>
      <c r="S5095" t="s">
        <v>37</v>
      </c>
      <c r="T5095">
        <v>32178</v>
      </c>
      <c r="U5095">
        <v>35858</v>
      </c>
      <c r="V5095" t="s">
        <v>37</v>
      </c>
    </row>
    <row r="5096" spans="1:22">
      <c r="A5096" t="str">
        <f t="shared" si="924"/>
        <v>26/03/2026</v>
      </c>
      <c r="B5096" t="str">
        <f t="shared" si="915"/>
        <v>SAÍDA</v>
      </c>
      <c r="C5096" t="str">
        <f t="shared" si="918"/>
        <v>PIX</v>
      </c>
      <c r="D5096" t="str">
        <f>"35859"</f>
        <v>35859</v>
      </c>
      <c r="E5096" t="str">
        <f t="shared" si="922"/>
        <v>1</v>
      </c>
      <c r="F5096" t="str">
        <f t="shared" si="920"/>
        <v>COM</v>
      </c>
      <c r="G5096" t="str">
        <f t="shared" si="927"/>
        <v>JEFFERSON AMORIM DA SILVA (940)</v>
      </c>
      <c r="H5096" t="str">
        <f>"Serv.Prest. 16/03/2026 a 22/03/2026 - PIX: CPF - CHAVE: 423.685.688-32"</f>
        <v>Serv.Prest. 16/03/2026 a 22/03/2026 - PIX: CPF - CHAVE: 423.685.688-32</v>
      </c>
      <c r="I5096" t="str">
        <f t="shared" si="916"/>
        <v>26/03/2026</v>
      </c>
      <c r="J5096" t="str">
        <f t="shared" si="921"/>
        <v>23/03/2026</v>
      </c>
      <c r="K5096" t="str">
        <f>("26/03/2026")</f>
        <v>26/03/2026</v>
      </c>
      <c r="L5096">
        <v>400</v>
      </c>
      <c r="M5096">
        <v>400</v>
      </c>
      <c r="N5096">
        <v>109</v>
      </c>
      <c r="O5096" t="str">
        <f>"PAGAMENTO DE ENTREGADORES"</f>
        <v>PAGAMENTO DE ENTREGADORES</v>
      </c>
      <c r="P5096">
        <v>400</v>
      </c>
      <c r="S5096" t="str">
        <f>"BANCO C6 (149)"</f>
        <v>BANCO C6 (149)</v>
      </c>
      <c r="T5096">
        <v>32179</v>
      </c>
      <c r="U5096">
        <v>35859</v>
      </c>
      <c r="V5096" t="s">
        <v>37</v>
      </c>
    </row>
    <row r="5097" spans="1:22">
      <c r="A5097" t="str">
        <f t="shared" si="924"/>
        <v>26/03/2026</v>
      </c>
      <c r="B5097" t="str">
        <f t="shared" si="915"/>
        <v>SAÍDA</v>
      </c>
      <c r="C5097" t="str">
        <f t="shared" si="918"/>
        <v>PIX</v>
      </c>
      <c r="D5097" t="str">
        <f>"35859"</f>
        <v>35859</v>
      </c>
      <c r="E5097" t="str">
        <f t="shared" si="922"/>
        <v>1</v>
      </c>
      <c r="F5097" t="str">
        <f t="shared" si="920"/>
        <v>COM</v>
      </c>
      <c r="G5097" t="str">
        <f t="shared" si="927"/>
        <v>JEFFERSON AMORIM DA SILVA (940)</v>
      </c>
      <c r="H5097" t="s">
        <v>1174</v>
      </c>
      <c r="I5097" t="str">
        <f t="shared" si="916"/>
        <v>26/03/2026</v>
      </c>
      <c r="J5097" t="str">
        <f t="shared" si="921"/>
        <v>23/03/2026</v>
      </c>
      <c r="K5097">
        <v>46107</v>
      </c>
      <c r="N5097">
        <v>109</v>
      </c>
      <c r="O5097" t="s">
        <v>27</v>
      </c>
      <c r="Q5097">
        <v>400</v>
      </c>
      <c r="R5097" t="str">
        <f>"PENSE FARMA 60 (10197)"</f>
        <v>PENSE FARMA 60 (10197)</v>
      </c>
      <c r="S5097" t="s">
        <v>37</v>
      </c>
      <c r="T5097">
        <v>32179</v>
      </c>
      <c r="U5097">
        <v>35859</v>
      </c>
      <c r="V5097" t="s">
        <v>37</v>
      </c>
    </row>
    <row r="5098" spans="1:22">
      <c r="A5098" t="str">
        <f t="shared" si="924"/>
        <v>26/03/2026</v>
      </c>
      <c r="B5098" t="str">
        <f t="shared" si="915"/>
        <v>SAÍDA</v>
      </c>
      <c r="C5098" t="str">
        <f t="shared" si="918"/>
        <v>PIX</v>
      </c>
      <c r="D5098" t="str">
        <f>"35860"</f>
        <v>35860</v>
      </c>
      <c r="E5098" t="str">
        <f t="shared" si="922"/>
        <v>1</v>
      </c>
      <c r="F5098" t="str">
        <f t="shared" si="920"/>
        <v>COM</v>
      </c>
      <c r="G5098" t="str">
        <f t="shared" si="927"/>
        <v>JEFFERSON AMORIM DA SILVA (940)</v>
      </c>
      <c r="H5098" t="str">
        <f>"Serv.Prest. 16/03/2026 a 22/03/2026 - PIX: CPF - CHAVE: 423.685.688-32"</f>
        <v>Serv.Prest. 16/03/2026 a 22/03/2026 - PIX: CPF - CHAVE: 423.685.688-32</v>
      </c>
      <c r="I5098" t="str">
        <f t="shared" si="916"/>
        <v>26/03/2026</v>
      </c>
      <c r="J5098" t="str">
        <f t="shared" si="921"/>
        <v>23/03/2026</v>
      </c>
      <c r="K5098" t="str">
        <f>("26/03/2026")</f>
        <v>26/03/2026</v>
      </c>
      <c r="L5098">
        <v>400</v>
      </c>
      <c r="M5098">
        <v>400</v>
      </c>
      <c r="N5098">
        <v>109</v>
      </c>
      <c r="O5098" t="str">
        <f>"PAGAMENTO DE ENTREGADORES"</f>
        <v>PAGAMENTO DE ENTREGADORES</v>
      </c>
      <c r="P5098">
        <v>400</v>
      </c>
      <c r="S5098" t="str">
        <f>"BANCO C6 (149)"</f>
        <v>BANCO C6 (149)</v>
      </c>
      <c r="T5098">
        <v>32180</v>
      </c>
      <c r="U5098">
        <v>35860</v>
      </c>
      <c r="V5098" t="s">
        <v>37</v>
      </c>
    </row>
    <row r="5099" spans="1:22">
      <c r="A5099" t="str">
        <f t="shared" si="924"/>
        <v>26/03/2026</v>
      </c>
      <c r="B5099" t="str">
        <f t="shared" si="915"/>
        <v>SAÍDA</v>
      </c>
      <c r="C5099" t="str">
        <f t="shared" si="918"/>
        <v>PIX</v>
      </c>
      <c r="D5099" t="str">
        <f>"35860"</f>
        <v>35860</v>
      </c>
      <c r="E5099" t="str">
        <f t="shared" si="922"/>
        <v>1</v>
      </c>
      <c r="F5099" t="str">
        <f t="shared" si="920"/>
        <v>COM</v>
      </c>
      <c r="G5099" t="str">
        <f t="shared" si="927"/>
        <v>JEFFERSON AMORIM DA SILVA (940)</v>
      </c>
      <c r="H5099" t="s">
        <v>1174</v>
      </c>
      <c r="I5099" t="str">
        <f t="shared" si="916"/>
        <v>26/03/2026</v>
      </c>
      <c r="J5099" t="str">
        <f t="shared" si="921"/>
        <v>23/03/2026</v>
      </c>
      <c r="K5099">
        <v>46107</v>
      </c>
      <c r="N5099">
        <v>109</v>
      </c>
      <c r="O5099" t="s">
        <v>27</v>
      </c>
      <c r="Q5099">
        <v>400</v>
      </c>
      <c r="R5099" t="str">
        <f>"PENSE FARMA 26 (10196)"</f>
        <v>PENSE FARMA 26 (10196)</v>
      </c>
      <c r="S5099" t="s">
        <v>37</v>
      </c>
      <c r="T5099">
        <v>32180</v>
      </c>
      <c r="U5099">
        <v>35860</v>
      </c>
      <c r="V5099" t="s">
        <v>37</v>
      </c>
    </row>
    <row r="5100" spans="1:22">
      <c r="A5100" t="str">
        <f t="shared" si="924"/>
        <v>26/03/2026</v>
      </c>
      <c r="B5100" t="str">
        <f t="shared" si="915"/>
        <v>SAÍDA</v>
      </c>
      <c r="C5100" t="str">
        <f t="shared" si="918"/>
        <v>PIX</v>
      </c>
      <c r="D5100" t="str">
        <f>"35861"</f>
        <v>35861</v>
      </c>
      <c r="E5100" t="str">
        <f t="shared" si="922"/>
        <v>1</v>
      </c>
      <c r="F5100" t="str">
        <f t="shared" si="920"/>
        <v>COM</v>
      </c>
      <c r="G5100" t="str">
        <f t="shared" si="927"/>
        <v>JEFFERSON AMORIM DA SILVA (940)</v>
      </c>
      <c r="H5100" t="str">
        <f>"Serv.Prest. 16/03/2026 a 22/03/2026 - PIX: CPF - CHAVE: 423.685.688-32"</f>
        <v>Serv.Prest. 16/03/2026 a 22/03/2026 - PIX: CPF - CHAVE: 423.685.688-32</v>
      </c>
      <c r="I5100" t="str">
        <f t="shared" si="916"/>
        <v>26/03/2026</v>
      </c>
      <c r="J5100" t="str">
        <f t="shared" si="921"/>
        <v>23/03/2026</v>
      </c>
      <c r="K5100" t="str">
        <f>("26/03/2026")</f>
        <v>26/03/2026</v>
      </c>
      <c r="L5100">
        <v>100</v>
      </c>
      <c r="M5100">
        <v>100</v>
      </c>
      <c r="N5100">
        <v>109</v>
      </c>
      <c r="O5100" t="str">
        <f>"PAGAMENTO DE ENTREGADORES"</f>
        <v>PAGAMENTO DE ENTREGADORES</v>
      </c>
      <c r="P5100">
        <v>100</v>
      </c>
      <c r="S5100" t="str">
        <f>"BANCO C6 (149)"</f>
        <v>BANCO C6 (149)</v>
      </c>
      <c r="T5100">
        <v>32181</v>
      </c>
      <c r="U5100">
        <v>35861</v>
      </c>
      <c r="V5100" t="s">
        <v>37</v>
      </c>
    </row>
    <row r="5101" spans="1:22">
      <c r="A5101" t="str">
        <f t="shared" si="924"/>
        <v>26/03/2026</v>
      </c>
      <c r="B5101" t="str">
        <f t="shared" si="915"/>
        <v>SAÍDA</v>
      </c>
      <c r="C5101" t="str">
        <f t="shared" si="918"/>
        <v>PIX</v>
      </c>
      <c r="D5101" t="str">
        <f>"35861"</f>
        <v>35861</v>
      </c>
      <c r="E5101" t="str">
        <f t="shared" si="922"/>
        <v>1</v>
      </c>
      <c r="F5101" t="str">
        <f t="shared" si="920"/>
        <v>COM</v>
      </c>
      <c r="G5101" t="str">
        <f t="shared" si="927"/>
        <v>JEFFERSON AMORIM DA SILVA (940)</v>
      </c>
      <c r="H5101" t="s">
        <v>1174</v>
      </c>
      <c r="I5101" t="str">
        <f t="shared" si="916"/>
        <v>26/03/2026</v>
      </c>
      <c r="J5101" t="str">
        <f t="shared" si="921"/>
        <v>23/03/2026</v>
      </c>
      <c r="K5101">
        <v>46107</v>
      </c>
      <c r="N5101">
        <v>109</v>
      </c>
      <c r="O5101" t="s">
        <v>27</v>
      </c>
      <c r="Q5101">
        <v>100</v>
      </c>
      <c r="R5101" t="str">
        <f>"PENSE FARMA 15 (10195)"</f>
        <v>PENSE FARMA 15 (10195)</v>
      </c>
      <c r="S5101" t="s">
        <v>37</v>
      </c>
      <c r="T5101">
        <v>32181</v>
      </c>
      <c r="U5101">
        <v>35861</v>
      </c>
      <c r="V5101" t="s">
        <v>37</v>
      </c>
    </row>
    <row r="5102" spans="1:22">
      <c r="A5102" t="str">
        <f t="shared" si="924"/>
        <v>26/03/2026</v>
      </c>
      <c r="B5102" t="str">
        <f t="shared" si="915"/>
        <v>SAÍDA</v>
      </c>
      <c r="C5102" t="str">
        <f t="shared" si="918"/>
        <v>PIX</v>
      </c>
      <c r="D5102" t="str">
        <f>"35863"</f>
        <v>35863</v>
      </c>
      <c r="E5102" t="str">
        <f t="shared" si="922"/>
        <v>1</v>
      </c>
      <c r="F5102" t="str">
        <f t="shared" si="920"/>
        <v>COM</v>
      </c>
      <c r="G5102" t="str">
        <f t="shared" ref="G5102:G5111" si="928">"EDUARDO RODRIGUES ALVES STEPHANO (999)"</f>
        <v>EDUARDO RODRIGUES ALVES STEPHANO (999)</v>
      </c>
      <c r="H5102" t="str">
        <f>"Serv.Prest. 16/03/2026 a 22/03/2026 - PIX: CPF - CHAVE: 370.849.948-40"</f>
        <v>Serv.Prest. 16/03/2026 a 22/03/2026 - PIX: CPF - CHAVE: 370.849.948-40</v>
      </c>
      <c r="I5102" t="str">
        <f t="shared" si="916"/>
        <v>26/03/2026</v>
      </c>
      <c r="J5102" t="str">
        <f t="shared" si="921"/>
        <v>23/03/2026</v>
      </c>
      <c r="K5102" t="str">
        <f>("26/03/2026")</f>
        <v>26/03/2026</v>
      </c>
      <c r="L5102">
        <v>270</v>
      </c>
      <c r="M5102">
        <v>270</v>
      </c>
      <c r="N5102">
        <v>109</v>
      </c>
      <c r="O5102" t="str">
        <f>"PAGAMENTO DE ENTREGADORES"</f>
        <v>PAGAMENTO DE ENTREGADORES</v>
      </c>
      <c r="P5102">
        <v>270</v>
      </c>
      <c r="S5102" t="str">
        <f>"BANCO C6 (149)"</f>
        <v>BANCO C6 (149)</v>
      </c>
      <c r="T5102">
        <v>32182</v>
      </c>
      <c r="U5102">
        <v>35863</v>
      </c>
      <c r="V5102" t="s">
        <v>37</v>
      </c>
    </row>
    <row r="5103" spans="1:22">
      <c r="A5103" t="str">
        <f t="shared" si="924"/>
        <v>26/03/2026</v>
      </c>
      <c r="B5103" t="str">
        <f t="shared" si="915"/>
        <v>SAÍDA</v>
      </c>
      <c r="C5103" t="str">
        <f t="shared" si="918"/>
        <v>PIX</v>
      </c>
      <c r="D5103" t="str">
        <f>"35863"</f>
        <v>35863</v>
      </c>
      <c r="E5103" t="str">
        <f t="shared" si="922"/>
        <v>1</v>
      </c>
      <c r="F5103" t="str">
        <f t="shared" si="920"/>
        <v>COM</v>
      </c>
      <c r="G5103" t="str">
        <f t="shared" si="928"/>
        <v>EDUARDO RODRIGUES ALVES STEPHANO (999)</v>
      </c>
      <c r="H5103" t="s">
        <v>1400</v>
      </c>
      <c r="I5103" t="str">
        <f t="shared" si="916"/>
        <v>26/03/2026</v>
      </c>
      <c r="J5103" t="str">
        <f t="shared" si="921"/>
        <v>23/03/2026</v>
      </c>
      <c r="K5103">
        <v>46107</v>
      </c>
      <c r="N5103">
        <v>109</v>
      </c>
      <c r="O5103" t="s">
        <v>27</v>
      </c>
      <c r="Q5103">
        <v>270</v>
      </c>
      <c r="R5103" t="str">
        <f>"PENSE FARMA 08 (10217)"</f>
        <v>PENSE FARMA 08 (10217)</v>
      </c>
      <c r="S5103" t="s">
        <v>37</v>
      </c>
      <c r="T5103">
        <v>32182</v>
      </c>
      <c r="U5103">
        <v>35863</v>
      </c>
      <c r="V5103" t="s">
        <v>37</v>
      </c>
    </row>
    <row r="5104" spans="1:22">
      <c r="A5104" t="str">
        <f t="shared" si="924"/>
        <v>26/03/2026</v>
      </c>
      <c r="B5104" t="str">
        <f t="shared" ref="B5104:B5167" si="929">"SAÍDA"</f>
        <v>SAÍDA</v>
      </c>
      <c r="C5104" t="str">
        <f t="shared" si="918"/>
        <v>PIX</v>
      </c>
      <c r="D5104" t="str">
        <f>"35864"</f>
        <v>35864</v>
      </c>
      <c r="E5104" t="str">
        <f t="shared" si="922"/>
        <v>1</v>
      </c>
      <c r="F5104" t="str">
        <f t="shared" si="920"/>
        <v>COM</v>
      </c>
      <c r="G5104" t="str">
        <f t="shared" si="928"/>
        <v>EDUARDO RODRIGUES ALVES STEPHANO (999)</v>
      </c>
      <c r="H5104" t="str">
        <f>"Serv.Prest. 16/03/2026 a 22/03/2026 - PIX: CPF - CHAVE: 370.849.948-40"</f>
        <v>Serv.Prest. 16/03/2026 a 22/03/2026 - PIX: CPF - CHAVE: 370.849.948-40</v>
      </c>
      <c r="I5104" t="str">
        <f t="shared" ref="I5104:I5167" si="930">("26/03/2026")</f>
        <v>26/03/2026</v>
      </c>
      <c r="J5104" t="str">
        <f t="shared" si="921"/>
        <v>23/03/2026</v>
      </c>
      <c r="K5104" t="str">
        <f>("26/03/2026")</f>
        <v>26/03/2026</v>
      </c>
      <c r="L5104">
        <v>270</v>
      </c>
      <c r="M5104">
        <v>270</v>
      </c>
      <c r="N5104">
        <v>109</v>
      </c>
      <c r="O5104" t="str">
        <f>"PAGAMENTO DE ENTREGADORES"</f>
        <v>PAGAMENTO DE ENTREGADORES</v>
      </c>
      <c r="P5104">
        <v>270</v>
      </c>
      <c r="S5104" t="str">
        <f>"BANCO C6 (149)"</f>
        <v>BANCO C6 (149)</v>
      </c>
      <c r="T5104">
        <v>32183</v>
      </c>
      <c r="U5104">
        <v>35864</v>
      </c>
      <c r="V5104" t="s">
        <v>37</v>
      </c>
    </row>
    <row r="5105" spans="1:22">
      <c r="A5105" t="str">
        <f t="shared" si="924"/>
        <v>26/03/2026</v>
      </c>
      <c r="B5105" t="str">
        <f t="shared" si="929"/>
        <v>SAÍDA</v>
      </c>
      <c r="C5105" t="str">
        <f t="shared" si="918"/>
        <v>PIX</v>
      </c>
      <c r="D5105" t="str">
        <f>"35864"</f>
        <v>35864</v>
      </c>
      <c r="E5105" t="str">
        <f t="shared" si="922"/>
        <v>1</v>
      </c>
      <c r="F5105" t="str">
        <f t="shared" si="920"/>
        <v>COM</v>
      </c>
      <c r="G5105" t="str">
        <f t="shared" si="928"/>
        <v>EDUARDO RODRIGUES ALVES STEPHANO (999)</v>
      </c>
      <c r="H5105" t="s">
        <v>1400</v>
      </c>
      <c r="I5105" t="str">
        <f t="shared" si="930"/>
        <v>26/03/2026</v>
      </c>
      <c r="J5105" t="str">
        <f t="shared" si="921"/>
        <v>23/03/2026</v>
      </c>
      <c r="K5105">
        <v>46107</v>
      </c>
      <c r="N5105">
        <v>109</v>
      </c>
      <c r="O5105" t="s">
        <v>27</v>
      </c>
      <c r="Q5105">
        <v>270</v>
      </c>
      <c r="R5105" t="str">
        <f>"PENSE FARMA 11 (10220)"</f>
        <v>PENSE FARMA 11 (10220)</v>
      </c>
      <c r="S5105" t="s">
        <v>37</v>
      </c>
      <c r="T5105">
        <v>32183</v>
      </c>
      <c r="U5105">
        <v>35864</v>
      </c>
      <c r="V5105" t="s">
        <v>37</v>
      </c>
    </row>
    <row r="5106" spans="1:22">
      <c r="A5106" t="str">
        <f t="shared" si="924"/>
        <v>26/03/2026</v>
      </c>
      <c r="B5106" t="str">
        <f t="shared" si="929"/>
        <v>SAÍDA</v>
      </c>
      <c r="C5106" t="str">
        <f t="shared" si="918"/>
        <v>PIX</v>
      </c>
      <c r="D5106" t="str">
        <f>"35865"</f>
        <v>35865</v>
      </c>
      <c r="E5106" t="str">
        <f t="shared" si="922"/>
        <v>1</v>
      </c>
      <c r="F5106" t="str">
        <f t="shared" si="920"/>
        <v>COM</v>
      </c>
      <c r="G5106" t="str">
        <f t="shared" si="928"/>
        <v>EDUARDO RODRIGUES ALVES STEPHANO (999)</v>
      </c>
      <c r="H5106" t="str">
        <f>"Serv.Prest. 16/03/2026 a 22/03/2026 - PIX: CPF - CHAVE: 370.849.948-40"</f>
        <v>Serv.Prest. 16/03/2026 a 22/03/2026 - PIX: CPF - CHAVE: 370.849.948-40</v>
      </c>
      <c r="I5106" t="str">
        <f t="shared" si="930"/>
        <v>26/03/2026</v>
      </c>
      <c r="J5106" t="str">
        <f t="shared" si="921"/>
        <v>23/03/2026</v>
      </c>
      <c r="K5106" t="str">
        <f>("26/03/2026")</f>
        <v>26/03/2026</v>
      </c>
      <c r="L5106">
        <v>270</v>
      </c>
      <c r="M5106">
        <v>270</v>
      </c>
      <c r="N5106">
        <v>109</v>
      </c>
      <c r="O5106" t="str">
        <f>"PAGAMENTO DE ENTREGADORES"</f>
        <v>PAGAMENTO DE ENTREGADORES</v>
      </c>
      <c r="P5106">
        <v>270</v>
      </c>
      <c r="S5106" t="str">
        <f>"BANCO C6 (149)"</f>
        <v>BANCO C6 (149)</v>
      </c>
      <c r="T5106">
        <v>32184</v>
      </c>
      <c r="U5106">
        <v>35865</v>
      </c>
      <c r="V5106" t="s">
        <v>37</v>
      </c>
    </row>
    <row r="5107" spans="1:22">
      <c r="A5107" t="str">
        <f t="shared" si="924"/>
        <v>26/03/2026</v>
      </c>
      <c r="B5107" t="str">
        <f t="shared" si="929"/>
        <v>SAÍDA</v>
      </c>
      <c r="C5107" t="str">
        <f t="shared" si="918"/>
        <v>PIX</v>
      </c>
      <c r="D5107" t="str">
        <f>"35865"</f>
        <v>35865</v>
      </c>
      <c r="E5107" t="str">
        <f t="shared" si="922"/>
        <v>1</v>
      </c>
      <c r="F5107" t="str">
        <f t="shared" si="920"/>
        <v>COM</v>
      </c>
      <c r="G5107" t="str">
        <f t="shared" si="928"/>
        <v>EDUARDO RODRIGUES ALVES STEPHANO (999)</v>
      </c>
      <c r="H5107" t="s">
        <v>1400</v>
      </c>
      <c r="I5107" t="str">
        <f t="shared" si="930"/>
        <v>26/03/2026</v>
      </c>
      <c r="J5107" t="str">
        <f t="shared" si="921"/>
        <v>23/03/2026</v>
      </c>
      <c r="K5107">
        <v>46107</v>
      </c>
      <c r="N5107">
        <v>109</v>
      </c>
      <c r="O5107" t="s">
        <v>27</v>
      </c>
      <c r="Q5107">
        <v>270</v>
      </c>
      <c r="R5107" t="str">
        <f>"PENSE FARMA 41 (10229)"</f>
        <v>PENSE FARMA 41 (10229)</v>
      </c>
      <c r="S5107" t="s">
        <v>37</v>
      </c>
      <c r="T5107">
        <v>32184</v>
      </c>
      <c r="U5107">
        <v>35865</v>
      </c>
      <c r="V5107" t="s">
        <v>37</v>
      </c>
    </row>
    <row r="5108" spans="1:22">
      <c r="A5108" t="str">
        <f t="shared" si="924"/>
        <v>26/03/2026</v>
      </c>
      <c r="B5108" t="str">
        <f t="shared" si="929"/>
        <v>SAÍDA</v>
      </c>
      <c r="C5108" t="str">
        <f t="shared" si="918"/>
        <v>PIX</v>
      </c>
      <c r="D5108" t="str">
        <f>"35866"</f>
        <v>35866</v>
      </c>
      <c r="E5108" t="str">
        <f t="shared" si="922"/>
        <v>1</v>
      </c>
      <c r="F5108" t="str">
        <f t="shared" si="920"/>
        <v>COM</v>
      </c>
      <c r="G5108" t="str">
        <f t="shared" si="928"/>
        <v>EDUARDO RODRIGUES ALVES STEPHANO (999)</v>
      </c>
      <c r="H5108" t="str">
        <f>"Serv.Prest. 16/03/2026 a 22/03/2026 - PIX: CPF - CHAVE: 370.849.948-40"</f>
        <v>Serv.Prest. 16/03/2026 a 22/03/2026 - PIX: CPF - CHAVE: 370.849.948-40</v>
      </c>
      <c r="I5108" t="str">
        <f t="shared" si="930"/>
        <v>26/03/2026</v>
      </c>
      <c r="J5108" t="str">
        <f t="shared" si="921"/>
        <v>23/03/2026</v>
      </c>
      <c r="K5108" t="str">
        <f>("26/03/2026")</f>
        <v>26/03/2026</v>
      </c>
      <c r="L5108">
        <v>270</v>
      </c>
      <c r="M5108">
        <v>270</v>
      </c>
      <c r="N5108">
        <v>109</v>
      </c>
      <c r="O5108" t="str">
        <f>"PAGAMENTO DE ENTREGADORES"</f>
        <v>PAGAMENTO DE ENTREGADORES</v>
      </c>
      <c r="P5108">
        <v>270</v>
      </c>
      <c r="S5108" t="str">
        <f>"BANCO C6 (149)"</f>
        <v>BANCO C6 (149)</v>
      </c>
      <c r="T5108">
        <v>32185</v>
      </c>
      <c r="U5108">
        <v>35866</v>
      </c>
      <c r="V5108" t="s">
        <v>37</v>
      </c>
    </row>
    <row r="5109" spans="1:22">
      <c r="A5109" t="str">
        <f t="shared" si="924"/>
        <v>26/03/2026</v>
      </c>
      <c r="B5109" t="str">
        <f t="shared" si="929"/>
        <v>SAÍDA</v>
      </c>
      <c r="C5109" t="str">
        <f t="shared" si="918"/>
        <v>PIX</v>
      </c>
      <c r="D5109" t="str">
        <f>"35866"</f>
        <v>35866</v>
      </c>
      <c r="E5109" t="str">
        <f t="shared" si="922"/>
        <v>1</v>
      </c>
      <c r="F5109" t="str">
        <f t="shared" si="920"/>
        <v>COM</v>
      </c>
      <c r="G5109" t="str">
        <f t="shared" si="928"/>
        <v>EDUARDO RODRIGUES ALVES STEPHANO (999)</v>
      </c>
      <c r="H5109" t="s">
        <v>1400</v>
      </c>
      <c r="I5109" t="str">
        <f t="shared" si="930"/>
        <v>26/03/2026</v>
      </c>
      <c r="J5109" t="str">
        <f t="shared" si="921"/>
        <v>23/03/2026</v>
      </c>
      <c r="K5109">
        <v>46107</v>
      </c>
      <c r="N5109">
        <v>109</v>
      </c>
      <c r="O5109" t="s">
        <v>27</v>
      </c>
      <c r="Q5109">
        <v>270</v>
      </c>
      <c r="R5109" t="str">
        <f>"PENSE FARMA 42 (10230)"</f>
        <v>PENSE FARMA 42 (10230)</v>
      </c>
      <c r="S5109" t="s">
        <v>37</v>
      </c>
      <c r="T5109">
        <v>32185</v>
      </c>
      <c r="U5109">
        <v>35866</v>
      </c>
      <c r="V5109" t="s">
        <v>37</v>
      </c>
    </row>
    <row r="5110" spans="1:22">
      <c r="A5110" t="str">
        <f t="shared" si="924"/>
        <v>26/03/2026</v>
      </c>
      <c r="B5110" t="str">
        <f t="shared" si="929"/>
        <v>SAÍDA</v>
      </c>
      <c r="C5110" t="str">
        <f t="shared" ref="C5110:C5173" si="931">"PIX"</f>
        <v>PIX</v>
      </c>
      <c r="D5110" t="str">
        <f>"35867"</f>
        <v>35867</v>
      </c>
      <c r="E5110" t="str">
        <f t="shared" si="922"/>
        <v>1</v>
      </c>
      <c r="F5110" t="str">
        <f t="shared" si="920"/>
        <v>COM</v>
      </c>
      <c r="G5110" t="str">
        <f t="shared" si="928"/>
        <v>EDUARDO RODRIGUES ALVES STEPHANO (999)</v>
      </c>
      <c r="H5110" t="str">
        <f>"Serv.Prest. 16/03/2026 a 22/03/2026 - PIX: CPF - CHAVE: 370.849.948-40"</f>
        <v>Serv.Prest. 16/03/2026 a 22/03/2026 - PIX: CPF - CHAVE: 370.849.948-40</v>
      </c>
      <c r="I5110" t="str">
        <f t="shared" si="930"/>
        <v>26/03/2026</v>
      </c>
      <c r="J5110" t="str">
        <f t="shared" si="921"/>
        <v>23/03/2026</v>
      </c>
      <c r="K5110" t="str">
        <f>("26/03/2026")</f>
        <v>26/03/2026</v>
      </c>
      <c r="L5110">
        <v>290</v>
      </c>
      <c r="M5110">
        <v>290</v>
      </c>
      <c r="N5110">
        <v>109</v>
      </c>
      <c r="O5110" t="str">
        <f>"PAGAMENTO DE ENTREGADORES"</f>
        <v>PAGAMENTO DE ENTREGADORES</v>
      </c>
      <c r="P5110">
        <v>290</v>
      </c>
      <c r="S5110" t="str">
        <f>"BANCO C6 (149)"</f>
        <v>BANCO C6 (149)</v>
      </c>
      <c r="T5110">
        <v>32186</v>
      </c>
      <c r="U5110">
        <v>35867</v>
      </c>
      <c r="V5110" t="s">
        <v>37</v>
      </c>
    </row>
    <row r="5111" spans="1:22">
      <c r="A5111" t="str">
        <f t="shared" si="924"/>
        <v>26/03/2026</v>
      </c>
      <c r="B5111" t="str">
        <f t="shared" si="929"/>
        <v>SAÍDA</v>
      </c>
      <c r="C5111" t="str">
        <f t="shared" si="931"/>
        <v>PIX</v>
      </c>
      <c r="D5111" t="str">
        <f>"35867"</f>
        <v>35867</v>
      </c>
      <c r="E5111" t="str">
        <f t="shared" si="922"/>
        <v>1</v>
      </c>
      <c r="F5111" t="str">
        <f t="shared" si="920"/>
        <v>COM</v>
      </c>
      <c r="G5111" t="str">
        <f t="shared" si="928"/>
        <v>EDUARDO RODRIGUES ALVES STEPHANO (999)</v>
      </c>
      <c r="H5111" t="s">
        <v>1400</v>
      </c>
      <c r="I5111" t="str">
        <f t="shared" si="930"/>
        <v>26/03/2026</v>
      </c>
      <c r="J5111" t="str">
        <f t="shared" si="921"/>
        <v>23/03/2026</v>
      </c>
      <c r="K5111">
        <v>46107</v>
      </c>
      <c r="N5111">
        <v>109</v>
      </c>
      <c r="O5111" t="s">
        <v>27</v>
      </c>
      <c r="Q5111">
        <v>290</v>
      </c>
      <c r="R5111" t="str">
        <f>"PENSE FARMA 52 (10236)"</f>
        <v>PENSE FARMA 52 (10236)</v>
      </c>
      <c r="S5111" t="s">
        <v>37</v>
      </c>
      <c r="T5111">
        <v>32186</v>
      </c>
      <c r="U5111">
        <v>35867</v>
      </c>
      <c r="V5111" t="s">
        <v>37</v>
      </c>
    </row>
    <row r="5112" spans="1:22">
      <c r="A5112" t="str">
        <f t="shared" si="924"/>
        <v>26/03/2026</v>
      </c>
      <c r="B5112" t="str">
        <f t="shared" si="929"/>
        <v>SAÍDA</v>
      </c>
      <c r="C5112" t="str">
        <f t="shared" si="931"/>
        <v>PIX</v>
      </c>
      <c r="D5112" t="str">
        <f>"35873"</f>
        <v>35873</v>
      </c>
      <c r="E5112" t="str">
        <f t="shared" si="922"/>
        <v>1</v>
      </c>
      <c r="F5112" t="str">
        <f t="shared" si="920"/>
        <v>COM</v>
      </c>
      <c r="G5112" t="str">
        <f t="shared" ref="G5112:G5121" si="932">"JONATHAN CARVALHO DE ABREU (1358)"</f>
        <v>JONATHAN CARVALHO DE ABREU (1358)</v>
      </c>
      <c r="H5112" t="str">
        <f>"Serv.Prest. 16/03/2026 a 22/03/2026 - PIX: CPF - CHAVE: 528.279.248-62"</f>
        <v>Serv.Prest. 16/03/2026 a 22/03/2026 - PIX: CPF - CHAVE: 528.279.248-62</v>
      </c>
      <c r="I5112" t="str">
        <f t="shared" si="930"/>
        <v>26/03/2026</v>
      </c>
      <c r="J5112" t="str">
        <f t="shared" si="921"/>
        <v>23/03/2026</v>
      </c>
      <c r="K5112" t="str">
        <f>("26/03/2026")</f>
        <v>26/03/2026</v>
      </c>
      <c r="L5112">
        <v>140</v>
      </c>
      <c r="M5112">
        <v>140</v>
      </c>
      <c r="N5112">
        <v>109</v>
      </c>
      <c r="O5112" t="str">
        <f>"PAGAMENTO DE ENTREGADORES"</f>
        <v>PAGAMENTO DE ENTREGADORES</v>
      </c>
      <c r="P5112">
        <v>140</v>
      </c>
      <c r="S5112" t="str">
        <f>"BANCO C6 (149)"</f>
        <v>BANCO C6 (149)</v>
      </c>
      <c r="T5112">
        <v>32187</v>
      </c>
      <c r="U5112">
        <v>35873</v>
      </c>
      <c r="V5112" t="s">
        <v>37</v>
      </c>
    </row>
    <row r="5113" spans="1:22">
      <c r="A5113" t="str">
        <f t="shared" si="924"/>
        <v>26/03/2026</v>
      </c>
      <c r="B5113" t="str">
        <f t="shared" si="929"/>
        <v>SAÍDA</v>
      </c>
      <c r="C5113" t="str">
        <f t="shared" si="931"/>
        <v>PIX</v>
      </c>
      <c r="D5113" t="str">
        <f>"35873"</f>
        <v>35873</v>
      </c>
      <c r="E5113" t="str">
        <f t="shared" si="922"/>
        <v>1</v>
      </c>
      <c r="F5113" t="str">
        <f t="shared" si="920"/>
        <v>COM</v>
      </c>
      <c r="G5113" t="str">
        <f t="shared" si="932"/>
        <v>JONATHAN CARVALHO DE ABREU (1358)</v>
      </c>
      <c r="H5113" t="s">
        <v>1401</v>
      </c>
      <c r="I5113" t="str">
        <f t="shared" si="930"/>
        <v>26/03/2026</v>
      </c>
      <c r="J5113" t="str">
        <f t="shared" si="921"/>
        <v>23/03/2026</v>
      </c>
      <c r="K5113">
        <v>46107</v>
      </c>
      <c r="N5113">
        <v>109</v>
      </c>
      <c r="O5113" t="s">
        <v>27</v>
      </c>
      <c r="Q5113">
        <v>140</v>
      </c>
      <c r="R5113" t="str">
        <f>"PENSE FARMA 52 (10236)"</f>
        <v>PENSE FARMA 52 (10236)</v>
      </c>
      <c r="S5113" t="s">
        <v>37</v>
      </c>
      <c r="T5113">
        <v>32187</v>
      </c>
      <c r="U5113">
        <v>35873</v>
      </c>
      <c r="V5113" t="s">
        <v>37</v>
      </c>
    </row>
    <row r="5114" spans="1:22">
      <c r="A5114" t="str">
        <f t="shared" si="924"/>
        <v>26/03/2026</v>
      </c>
      <c r="B5114" t="str">
        <f t="shared" si="929"/>
        <v>SAÍDA</v>
      </c>
      <c r="C5114" t="str">
        <f t="shared" si="931"/>
        <v>PIX</v>
      </c>
      <c r="D5114" t="str">
        <f>"35874"</f>
        <v>35874</v>
      </c>
      <c r="E5114" t="str">
        <f t="shared" si="922"/>
        <v>1</v>
      </c>
      <c r="F5114" t="str">
        <f t="shared" si="920"/>
        <v>COM</v>
      </c>
      <c r="G5114" t="str">
        <f t="shared" si="932"/>
        <v>JONATHAN CARVALHO DE ABREU (1358)</v>
      </c>
      <c r="H5114" t="str">
        <f>"Serv.Prest. 16/03/2026 a 22/03/2026 - PIX: CPF - CHAVE: 528.279.248-62"</f>
        <v>Serv.Prest. 16/03/2026 a 22/03/2026 - PIX: CPF - CHAVE: 528.279.248-62</v>
      </c>
      <c r="I5114" t="str">
        <f t="shared" si="930"/>
        <v>26/03/2026</v>
      </c>
      <c r="J5114" t="str">
        <f t="shared" si="921"/>
        <v>23/03/2026</v>
      </c>
      <c r="K5114" t="str">
        <f>("26/03/2026")</f>
        <v>26/03/2026</v>
      </c>
      <c r="L5114">
        <v>140</v>
      </c>
      <c r="M5114">
        <v>140</v>
      </c>
      <c r="N5114">
        <v>109</v>
      </c>
      <c r="O5114" t="str">
        <f>"PAGAMENTO DE ENTREGADORES"</f>
        <v>PAGAMENTO DE ENTREGADORES</v>
      </c>
      <c r="P5114">
        <v>140</v>
      </c>
      <c r="S5114" t="str">
        <f>"BANCO C6 (149)"</f>
        <v>BANCO C6 (149)</v>
      </c>
      <c r="T5114">
        <v>32188</v>
      </c>
      <c r="U5114">
        <v>35874</v>
      </c>
      <c r="V5114" t="s">
        <v>37</v>
      </c>
    </row>
    <row r="5115" spans="1:22">
      <c r="A5115" t="str">
        <f t="shared" si="924"/>
        <v>26/03/2026</v>
      </c>
      <c r="B5115" t="str">
        <f t="shared" si="929"/>
        <v>SAÍDA</v>
      </c>
      <c r="C5115" t="str">
        <f t="shared" si="931"/>
        <v>PIX</v>
      </c>
      <c r="D5115" t="str">
        <f>"35874"</f>
        <v>35874</v>
      </c>
      <c r="E5115" t="str">
        <f t="shared" si="922"/>
        <v>1</v>
      </c>
      <c r="F5115" t="str">
        <f t="shared" si="920"/>
        <v>COM</v>
      </c>
      <c r="G5115" t="str">
        <f t="shared" si="932"/>
        <v>JONATHAN CARVALHO DE ABREU (1358)</v>
      </c>
      <c r="H5115" t="s">
        <v>1401</v>
      </c>
      <c r="I5115" t="str">
        <f t="shared" si="930"/>
        <v>26/03/2026</v>
      </c>
      <c r="J5115" t="str">
        <f t="shared" si="921"/>
        <v>23/03/2026</v>
      </c>
      <c r="K5115">
        <v>46107</v>
      </c>
      <c r="N5115">
        <v>109</v>
      </c>
      <c r="O5115" t="s">
        <v>27</v>
      </c>
      <c r="Q5115">
        <v>140</v>
      </c>
      <c r="R5115" t="str">
        <f>"PENSE FARMA 42 (10230)"</f>
        <v>PENSE FARMA 42 (10230)</v>
      </c>
      <c r="S5115" t="s">
        <v>37</v>
      </c>
      <c r="T5115">
        <v>32188</v>
      </c>
      <c r="U5115">
        <v>35874</v>
      </c>
      <c r="V5115" t="s">
        <v>37</v>
      </c>
    </row>
    <row r="5116" spans="1:22">
      <c r="A5116" t="str">
        <f t="shared" si="924"/>
        <v>26/03/2026</v>
      </c>
      <c r="B5116" t="str">
        <f t="shared" si="929"/>
        <v>SAÍDA</v>
      </c>
      <c r="C5116" t="str">
        <f t="shared" si="931"/>
        <v>PIX</v>
      </c>
      <c r="D5116" t="str">
        <f>"35875"</f>
        <v>35875</v>
      </c>
      <c r="E5116" t="str">
        <f t="shared" si="922"/>
        <v>1</v>
      </c>
      <c r="F5116" t="str">
        <f t="shared" si="920"/>
        <v>COM</v>
      </c>
      <c r="G5116" t="str">
        <f t="shared" si="932"/>
        <v>JONATHAN CARVALHO DE ABREU (1358)</v>
      </c>
      <c r="H5116" t="str">
        <f>"Serv.Prest. 16/03/2026 a 22/03/2026 - PIX: CPF - CHAVE: 528.279.248-62"</f>
        <v>Serv.Prest. 16/03/2026 a 22/03/2026 - PIX: CPF - CHAVE: 528.279.248-62</v>
      </c>
      <c r="I5116" t="str">
        <f t="shared" si="930"/>
        <v>26/03/2026</v>
      </c>
      <c r="J5116" t="str">
        <f t="shared" si="921"/>
        <v>23/03/2026</v>
      </c>
      <c r="K5116" t="str">
        <f>("26/03/2026")</f>
        <v>26/03/2026</v>
      </c>
      <c r="L5116">
        <v>140</v>
      </c>
      <c r="M5116">
        <v>140</v>
      </c>
      <c r="N5116">
        <v>109</v>
      </c>
      <c r="O5116" t="str">
        <f>"PAGAMENTO DE ENTREGADORES"</f>
        <v>PAGAMENTO DE ENTREGADORES</v>
      </c>
      <c r="P5116">
        <v>140</v>
      </c>
      <c r="S5116" t="str">
        <f>"BANCO C6 (149)"</f>
        <v>BANCO C6 (149)</v>
      </c>
      <c r="T5116">
        <v>32189</v>
      </c>
      <c r="U5116">
        <v>35875</v>
      </c>
      <c r="V5116" t="s">
        <v>37</v>
      </c>
    </row>
    <row r="5117" spans="1:22">
      <c r="A5117" t="str">
        <f t="shared" si="924"/>
        <v>26/03/2026</v>
      </c>
      <c r="B5117" t="str">
        <f t="shared" si="929"/>
        <v>SAÍDA</v>
      </c>
      <c r="C5117" t="str">
        <f t="shared" si="931"/>
        <v>PIX</v>
      </c>
      <c r="D5117" t="str">
        <f>"35875"</f>
        <v>35875</v>
      </c>
      <c r="E5117" t="str">
        <f t="shared" si="922"/>
        <v>1</v>
      </c>
      <c r="F5117" t="str">
        <f t="shared" si="920"/>
        <v>COM</v>
      </c>
      <c r="G5117" t="str">
        <f t="shared" si="932"/>
        <v>JONATHAN CARVALHO DE ABREU (1358)</v>
      </c>
      <c r="H5117" t="s">
        <v>1401</v>
      </c>
      <c r="I5117" t="str">
        <f t="shared" si="930"/>
        <v>26/03/2026</v>
      </c>
      <c r="J5117" t="str">
        <f t="shared" si="921"/>
        <v>23/03/2026</v>
      </c>
      <c r="K5117">
        <v>46107</v>
      </c>
      <c r="N5117">
        <v>109</v>
      </c>
      <c r="O5117" t="s">
        <v>27</v>
      </c>
      <c r="Q5117">
        <v>140</v>
      </c>
      <c r="R5117" t="str">
        <f>"PENSE FARMA 41 (10229)"</f>
        <v>PENSE FARMA 41 (10229)</v>
      </c>
      <c r="S5117" t="s">
        <v>37</v>
      </c>
      <c r="T5117">
        <v>32189</v>
      </c>
      <c r="U5117">
        <v>35875</v>
      </c>
      <c r="V5117" t="s">
        <v>37</v>
      </c>
    </row>
    <row r="5118" spans="1:22">
      <c r="A5118" t="str">
        <f t="shared" si="924"/>
        <v>26/03/2026</v>
      </c>
      <c r="B5118" t="str">
        <f t="shared" si="929"/>
        <v>SAÍDA</v>
      </c>
      <c r="C5118" t="str">
        <f t="shared" si="931"/>
        <v>PIX</v>
      </c>
      <c r="D5118" t="str">
        <f>"35876"</f>
        <v>35876</v>
      </c>
      <c r="E5118" t="str">
        <f t="shared" si="922"/>
        <v>1</v>
      </c>
      <c r="F5118" t="str">
        <f t="shared" si="920"/>
        <v>COM</v>
      </c>
      <c r="G5118" t="str">
        <f t="shared" si="932"/>
        <v>JONATHAN CARVALHO DE ABREU (1358)</v>
      </c>
      <c r="H5118" t="str">
        <f>"Serv.Prest. 16/03/2026 a 22/03/2026 - PIX: CPF - CHAVE: 528.279.248-62"</f>
        <v>Serv.Prest. 16/03/2026 a 22/03/2026 - PIX: CPF - CHAVE: 528.279.248-62</v>
      </c>
      <c r="I5118" t="str">
        <f t="shared" si="930"/>
        <v>26/03/2026</v>
      </c>
      <c r="J5118" t="str">
        <f t="shared" si="921"/>
        <v>23/03/2026</v>
      </c>
      <c r="K5118" t="str">
        <f>("26/03/2026")</f>
        <v>26/03/2026</v>
      </c>
      <c r="L5118">
        <v>140</v>
      </c>
      <c r="M5118">
        <v>140</v>
      </c>
      <c r="N5118">
        <v>109</v>
      </c>
      <c r="O5118" t="str">
        <f>"PAGAMENTO DE ENTREGADORES"</f>
        <v>PAGAMENTO DE ENTREGADORES</v>
      </c>
      <c r="P5118">
        <v>140</v>
      </c>
      <c r="S5118" t="str">
        <f>"BANCO C6 (149)"</f>
        <v>BANCO C6 (149)</v>
      </c>
      <c r="T5118">
        <v>32190</v>
      </c>
      <c r="U5118">
        <v>35876</v>
      </c>
      <c r="V5118" t="s">
        <v>37</v>
      </c>
    </row>
    <row r="5119" spans="1:22">
      <c r="A5119" t="str">
        <f t="shared" si="924"/>
        <v>26/03/2026</v>
      </c>
      <c r="B5119" t="str">
        <f t="shared" si="929"/>
        <v>SAÍDA</v>
      </c>
      <c r="C5119" t="str">
        <f t="shared" si="931"/>
        <v>PIX</v>
      </c>
      <c r="D5119" t="str">
        <f>"35876"</f>
        <v>35876</v>
      </c>
      <c r="E5119" t="str">
        <f t="shared" si="922"/>
        <v>1</v>
      </c>
      <c r="F5119" t="str">
        <f t="shared" si="920"/>
        <v>COM</v>
      </c>
      <c r="G5119" t="str">
        <f t="shared" si="932"/>
        <v>JONATHAN CARVALHO DE ABREU (1358)</v>
      </c>
      <c r="H5119" t="s">
        <v>1401</v>
      </c>
      <c r="I5119" t="str">
        <f t="shared" si="930"/>
        <v>26/03/2026</v>
      </c>
      <c r="J5119" t="str">
        <f t="shared" si="921"/>
        <v>23/03/2026</v>
      </c>
      <c r="K5119">
        <v>46107</v>
      </c>
      <c r="N5119">
        <v>109</v>
      </c>
      <c r="O5119" t="s">
        <v>27</v>
      </c>
      <c r="Q5119">
        <v>140</v>
      </c>
      <c r="R5119" t="str">
        <f>"PENSE FARMA 11 (10220)"</f>
        <v>PENSE FARMA 11 (10220)</v>
      </c>
      <c r="S5119" t="s">
        <v>37</v>
      </c>
      <c r="T5119">
        <v>32190</v>
      </c>
      <c r="U5119">
        <v>35876</v>
      </c>
      <c r="V5119" t="s">
        <v>37</v>
      </c>
    </row>
    <row r="5120" spans="1:22">
      <c r="A5120" t="str">
        <f t="shared" si="924"/>
        <v>26/03/2026</v>
      </c>
      <c r="B5120" t="str">
        <f t="shared" si="929"/>
        <v>SAÍDA</v>
      </c>
      <c r="C5120" t="str">
        <f t="shared" si="931"/>
        <v>PIX</v>
      </c>
      <c r="D5120" t="str">
        <f>"35877"</f>
        <v>35877</v>
      </c>
      <c r="E5120" t="str">
        <f t="shared" si="922"/>
        <v>1</v>
      </c>
      <c r="F5120" t="str">
        <f t="shared" si="920"/>
        <v>COM</v>
      </c>
      <c r="G5120" t="str">
        <f t="shared" si="932"/>
        <v>JONATHAN CARVALHO DE ABREU (1358)</v>
      </c>
      <c r="H5120" t="str">
        <f>"Serv.Prest. 16/03/2026 a 22/03/2026 - PIX: CPF - CHAVE: 528.279.248-62"</f>
        <v>Serv.Prest. 16/03/2026 a 22/03/2026 - PIX: CPF - CHAVE: 528.279.248-62</v>
      </c>
      <c r="I5120" t="str">
        <f t="shared" si="930"/>
        <v>26/03/2026</v>
      </c>
      <c r="J5120" t="str">
        <f t="shared" si="921"/>
        <v>23/03/2026</v>
      </c>
      <c r="K5120" t="str">
        <f>("26/03/2026")</f>
        <v>26/03/2026</v>
      </c>
      <c r="L5120">
        <v>140</v>
      </c>
      <c r="M5120">
        <v>140</v>
      </c>
      <c r="N5120">
        <v>109</v>
      </c>
      <c r="O5120" t="str">
        <f>"PAGAMENTO DE ENTREGADORES"</f>
        <v>PAGAMENTO DE ENTREGADORES</v>
      </c>
      <c r="P5120">
        <v>140</v>
      </c>
      <c r="S5120" t="str">
        <f>"BANCO C6 (149)"</f>
        <v>BANCO C6 (149)</v>
      </c>
      <c r="T5120">
        <v>32191</v>
      </c>
      <c r="U5120">
        <v>35877</v>
      </c>
      <c r="V5120" t="s">
        <v>37</v>
      </c>
    </row>
    <row r="5121" spans="1:22">
      <c r="A5121" t="str">
        <f t="shared" si="924"/>
        <v>26/03/2026</v>
      </c>
      <c r="B5121" t="str">
        <f t="shared" si="929"/>
        <v>SAÍDA</v>
      </c>
      <c r="C5121" t="str">
        <f t="shared" si="931"/>
        <v>PIX</v>
      </c>
      <c r="D5121" t="str">
        <f>"35877"</f>
        <v>35877</v>
      </c>
      <c r="E5121" t="str">
        <f t="shared" si="922"/>
        <v>1</v>
      </c>
      <c r="F5121" t="str">
        <f t="shared" si="920"/>
        <v>COM</v>
      </c>
      <c r="G5121" t="str">
        <f t="shared" si="932"/>
        <v>JONATHAN CARVALHO DE ABREU (1358)</v>
      </c>
      <c r="H5121" t="s">
        <v>1401</v>
      </c>
      <c r="I5121" t="str">
        <f t="shared" si="930"/>
        <v>26/03/2026</v>
      </c>
      <c r="J5121" t="str">
        <f t="shared" si="921"/>
        <v>23/03/2026</v>
      </c>
      <c r="K5121">
        <v>46107</v>
      </c>
      <c r="N5121">
        <v>109</v>
      </c>
      <c r="O5121" t="s">
        <v>27</v>
      </c>
      <c r="Q5121">
        <v>140</v>
      </c>
      <c r="R5121" t="str">
        <f>"PENSE FARMA 08 (10217)"</f>
        <v>PENSE FARMA 08 (10217)</v>
      </c>
      <c r="S5121" t="s">
        <v>37</v>
      </c>
      <c r="T5121">
        <v>32191</v>
      </c>
      <c r="U5121">
        <v>35877</v>
      </c>
      <c r="V5121" t="s">
        <v>37</v>
      </c>
    </row>
    <row r="5122" spans="1:22">
      <c r="A5122" t="str">
        <f t="shared" si="924"/>
        <v>26/03/2026</v>
      </c>
      <c r="B5122" t="str">
        <f t="shared" si="929"/>
        <v>SAÍDA</v>
      </c>
      <c r="C5122" t="str">
        <f t="shared" si="931"/>
        <v>PIX</v>
      </c>
      <c r="D5122" t="str">
        <f>"35878"</f>
        <v>35878</v>
      </c>
      <c r="E5122" t="str">
        <f t="shared" si="922"/>
        <v>1</v>
      </c>
      <c r="F5122" t="str">
        <f t="shared" ref="F5122:F5185" si="933">"COM"</f>
        <v>COM</v>
      </c>
      <c r="G5122" t="str">
        <f t="shared" ref="G5122:G5131" si="934">"VITOR RODRIGUES (1366)"</f>
        <v>VITOR RODRIGUES (1366)</v>
      </c>
      <c r="H5122" t="str">
        <f>"Serv.Prest. 16/03/2026 a 22/03/2026 - PIX: E-MAIL - CHAVE: costavitoor77@gmail.com"</f>
        <v>Serv.Prest. 16/03/2026 a 22/03/2026 - PIX: E-MAIL - CHAVE: costavitoor77@gmail.com</v>
      </c>
      <c r="I5122" t="str">
        <f t="shared" si="930"/>
        <v>26/03/2026</v>
      </c>
      <c r="J5122" t="str">
        <f t="shared" si="921"/>
        <v>23/03/2026</v>
      </c>
      <c r="K5122" t="str">
        <f>("26/03/2026")</f>
        <v>26/03/2026</v>
      </c>
      <c r="L5122">
        <v>140</v>
      </c>
      <c r="M5122">
        <v>140</v>
      </c>
      <c r="N5122">
        <v>109</v>
      </c>
      <c r="O5122" t="str">
        <f>"PAGAMENTO DE ENTREGADORES"</f>
        <v>PAGAMENTO DE ENTREGADORES</v>
      </c>
      <c r="P5122">
        <v>140</v>
      </c>
      <c r="S5122" t="str">
        <f>"BANCO C6 (149)"</f>
        <v>BANCO C6 (149)</v>
      </c>
      <c r="T5122">
        <v>32192</v>
      </c>
      <c r="U5122">
        <v>35878</v>
      </c>
      <c r="V5122" t="s">
        <v>37</v>
      </c>
    </row>
    <row r="5123" spans="1:22">
      <c r="A5123" t="str">
        <f t="shared" si="924"/>
        <v>26/03/2026</v>
      </c>
      <c r="B5123" t="str">
        <f t="shared" si="929"/>
        <v>SAÍDA</v>
      </c>
      <c r="C5123" t="str">
        <f t="shared" si="931"/>
        <v>PIX</v>
      </c>
      <c r="D5123" t="str">
        <f>"35878"</f>
        <v>35878</v>
      </c>
      <c r="E5123" t="str">
        <f t="shared" si="922"/>
        <v>1</v>
      </c>
      <c r="F5123" t="str">
        <f t="shared" si="933"/>
        <v>COM</v>
      </c>
      <c r="G5123" t="str">
        <f t="shared" si="934"/>
        <v>VITOR RODRIGUES (1366)</v>
      </c>
      <c r="H5123" t="s">
        <v>1402</v>
      </c>
      <c r="I5123" t="str">
        <f t="shared" si="930"/>
        <v>26/03/2026</v>
      </c>
      <c r="J5123" t="str">
        <f t="shared" si="921"/>
        <v>23/03/2026</v>
      </c>
      <c r="K5123">
        <v>46107</v>
      </c>
      <c r="N5123">
        <v>109</v>
      </c>
      <c r="O5123" t="s">
        <v>27</v>
      </c>
      <c r="Q5123">
        <v>140</v>
      </c>
      <c r="R5123" t="str">
        <f>"PENSE FARMA 08 (10217)"</f>
        <v>PENSE FARMA 08 (10217)</v>
      </c>
      <c r="S5123" t="s">
        <v>37</v>
      </c>
      <c r="T5123">
        <v>32192</v>
      </c>
      <c r="U5123">
        <v>35878</v>
      </c>
      <c r="V5123" t="s">
        <v>37</v>
      </c>
    </row>
    <row r="5124" spans="1:22">
      <c r="A5124" t="str">
        <f t="shared" si="924"/>
        <v>26/03/2026</v>
      </c>
      <c r="B5124" t="str">
        <f t="shared" si="929"/>
        <v>SAÍDA</v>
      </c>
      <c r="C5124" t="str">
        <f t="shared" si="931"/>
        <v>PIX</v>
      </c>
      <c r="D5124" t="str">
        <f>"35879"</f>
        <v>35879</v>
      </c>
      <c r="E5124" t="str">
        <f t="shared" si="922"/>
        <v>1</v>
      </c>
      <c r="F5124" t="str">
        <f t="shared" si="933"/>
        <v>COM</v>
      </c>
      <c r="G5124" t="str">
        <f t="shared" si="934"/>
        <v>VITOR RODRIGUES (1366)</v>
      </c>
      <c r="H5124" t="str">
        <f>"Serv.Prest. 16/03/2026 a 22/03/2026 - PIX: E-MAIL - CHAVE: costavitoor77@gmail.com"</f>
        <v>Serv.Prest. 16/03/2026 a 22/03/2026 - PIX: E-MAIL - CHAVE: costavitoor77@gmail.com</v>
      </c>
      <c r="I5124" t="str">
        <f t="shared" si="930"/>
        <v>26/03/2026</v>
      </c>
      <c r="J5124" t="str">
        <f t="shared" si="921"/>
        <v>23/03/2026</v>
      </c>
      <c r="K5124" t="str">
        <f>("26/03/2026")</f>
        <v>26/03/2026</v>
      </c>
      <c r="L5124">
        <v>140</v>
      </c>
      <c r="M5124">
        <v>140</v>
      </c>
      <c r="N5124">
        <v>109</v>
      </c>
      <c r="O5124" t="str">
        <f>"PAGAMENTO DE ENTREGADORES"</f>
        <v>PAGAMENTO DE ENTREGADORES</v>
      </c>
      <c r="P5124">
        <v>140</v>
      </c>
      <c r="S5124" t="str">
        <f>"BANCO C6 (149)"</f>
        <v>BANCO C6 (149)</v>
      </c>
      <c r="T5124">
        <v>32193</v>
      </c>
      <c r="U5124">
        <v>35879</v>
      </c>
      <c r="V5124" t="s">
        <v>37</v>
      </c>
    </row>
    <row r="5125" spans="1:22">
      <c r="A5125" t="str">
        <f t="shared" si="924"/>
        <v>26/03/2026</v>
      </c>
      <c r="B5125" t="str">
        <f t="shared" si="929"/>
        <v>SAÍDA</v>
      </c>
      <c r="C5125" t="str">
        <f t="shared" si="931"/>
        <v>PIX</v>
      </c>
      <c r="D5125" t="str">
        <f>"35879"</f>
        <v>35879</v>
      </c>
      <c r="E5125" t="str">
        <f t="shared" si="922"/>
        <v>1</v>
      </c>
      <c r="F5125" t="str">
        <f t="shared" si="933"/>
        <v>COM</v>
      </c>
      <c r="G5125" t="str">
        <f t="shared" si="934"/>
        <v>VITOR RODRIGUES (1366)</v>
      </c>
      <c r="H5125" t="s">
        <v>1402</v>
      </c>
      <c r="I5125" t="str">
        <f t="shared" si="930"/>
        <v>26/03/2026</v>
      </c>
      <c r="J5125" t="str">
        <f t="shared" si="921"/>
        <v>23/03/2026</v>
      </c>
      <c r="K5125">
        <v>46107</v>
      </c>
      <c r="N5125">
        <v>109</v>
      </c>
      <c r="O5125" t="s">
        <v>27</v>
      </c>
      <c r="Q5125">
        <v>140</v>
      </c>
      <c r="R5125" t="str">
        <f>"PENSE FARMA 11 (10220)"</f>
        <v>PENSE FARMA 11 (10220)</v>
      </c>
      <c r="S5125" t="s">
        <v>37</v>
      </c>
      <c r="T5125">
        <v>32193</v>
      </c>
      <c r="U5125">
        <v>35879</v>
      </c>
      <c r="V5125" t="s">
        <v>37</v>
      </c>
    </row>
    <row r="5126" spans="1:22">
      <c r="A5126" t="str">
        <f t="shared" si="924"/>
        <v>26/03/2026</v>
      </c>
      <c r="B5126" t="str">
        <f t="shared" si="929"/>
        <v>SAÍDA</v>
      </c>
      <c r="C5126" t="str">
        <f t="shared" si="931"/>
        <v>PIX</v>
      </c>
      <c r="D5126" t="str">
        <f>"35880"</f>
        <v>35880</v>
      </c>
      <c r="E5126" t="str">
        <f t="shared" si="922"/>
        <v>1</v>
      </c>
      <c r="F5126" t="str">
        <f t="shared" si="933"/>
        <v>COM</v>
      </c>
      <c r="G5126" t="str">
        <f t="shared" si="934"/>
        <v>VITOR RODRIGUES (1366)</v>
      </c>
      <c r="H5126" t="str">
        <f>"Serv.Prest. 16/03/2026 a 22/03/2026 - PIX: E-MAIL - CHAVE: costavitoor77@gmail.com"</f>
        <v>Serv.Prest. 16/03/2026 a 22/03/2026 - PIX: E-MAIL - CHAVE: costavitoor77@gmail.com</v>
      </c>
      <c r="I5126" t="str">
        <f t="shared" si="930"/>
        <v>26/03/2026</v>
      </c>
      <c r="J5126" t="str">
        <f t="shared" si="921"/>
        <v>23/03/2026</v>
      </c>
      <c r="K5126" t="str">
        <f>("26/03/2026")</f>
        <v>26/03/2026</v>
      </c>
      <c r="L5126">
        <v>140</v>
      </c>
      <c r="M5126">
        <v>140</v>
      </c>
      <c r="N5126">
        <v>109</v>
      </c>
      <c r="O5126" t="str">
        <f>"PAGAMENTO DE ENTREGADORES"</f>
        <v>PAGAMENTO DE ENTREGADORES</v>
      </c>
      <c r="P5126">
        <v>140</v>
      </c>
      <c r="S5126" t="str">
        <f>"BANCO C6 (149)"</f>
        <v>BANCO C6 (149)</v>
      </c>
      <c r="T5126">
        <v>32194</v>
      </c>
      <c r="U5126">
        <v>35880</v>
      </c>
      <c r="V5126" t="s">
        <v>37</v>
      </c>
    </row>
    <row r="5127" spans="1:22">
      <c r="A5127" t="str">
        <f t="shared" si="924"/>
        <v>26/03/2026</v>
      </c>
      <c r="B5127" t="str">
        <f t="shared" si="929"/>
        <v>SAÍDA</v>
      </c>
      <c r="C5127" t="str">
        <f t="shared" si="931"/>
        <v>PIX</v>
      </c>
      <c r="D5127" t="str">
        <f>"35880"</f>
        <v>35880</v>
      </c>
      <c r="E5127" t="str">
        <f t="shared" si="922"/>
        <v>1</v>
      </c>
      <c r="F5127" t="str">
        <f t="shared" si="933"/>
        <v>COM</v>
      </c>
      <c r="G5127" t="str">
        <f t="shared" si="934"/>
        <v>VITOR RODRIGUES (1366)</v>
      </c>
      <c r="H5127" t="s">
        <v>1402</v>
      </c>
      <c r="I5127" t="str">
        <f t="shared" si="930"/>
        <v>26/03/2026</v>
      </c>
      <c r="J5127" t="str">
        <f t="shared" si="921"/>
        <v>23/03/2026</v>
      </c>
      <c r="K5127">
        <v>46107</v>
      </c>
      <c r="N5127">
        <v>109</v>
      </c>
      <c r="O5127" t="s">
        <v>27</v>
      </c>
      <c r="Q5127">
        <v>140</v>
      </c>
      <c r="R5127" t="str">
        <f>"PENSE FARMA 41 (10229)"</f>
        <v>PENSE FARMA 41 (10229)</v>
      </c>
      <c r="S5127" t="s">
        <v>37</v>
      </c>
      <c r="T5127">
        <v>32194</v>
      </c>
      <c r="U5127">
        <v>35880</v>
      </c>
      <c r="V5127" t="s">
        <v>37</v>
      </c>
    </row>
    <row r="5128" spans="1:22">
      <c r="A5128" t="str">
        <f t="shared" si="924"/>
        <v>26/03/2026</v>
      </c>
      <c r="B5128" t="str">
        <f t="shared" si="929"/>
        <v>SAÍDA</v>
      </c>
      <c r="C5128" t="str">
        <f t="shared" si="931"/>
        <v>PIX</v>
      </c>
      <c r="D5128" t="str">
        <f>"35881"</f>
        <v>35881</v>
      </c>
      <c r="E5128" t="str">
        <f t="shared" si="922"/>
        <v>1</v>
      </c>
      <c r="F5128" t="str">
        <f t="shared" si="933"/>
        <v>COM</v>
      </c>
      <c r="G5128" t="str">
        <f t="shared" si="934"/>
        <v>VITOR RODRIGUES (1366)</v>
      </c>
      <c r="H5128" t="str">
        <f>"Serv.Prest. 16/03/2026 a 22/03/2026 - PIX: E-MAIL - CHAVE: costavitoor77@gmail.com"</f>
        <v>Serv.Prest. 16/03/2026 a 22/03/2026 - PIX: E-MAIL - CHAVE: costavitoor77@gmail.com</v>
      </c>
      <c r="I5128" t="str">
        <f t="shared" si="930"/>
        <v>26/03/2026</v>
      </c>
      <c r="J5128" t="str">
        <f t="shared" si="921"/>
        <v>23/03/2026</v>
      </c>
      <c r="K5128" t="str">
        <f>("26/03/2026")</f>
        <v>26/03/2026</v>
      </c>
      <c r="L5128">
        <v>140</v>
      </c>
      <c r="M5128">
        <v>140</v>
      </c>
      <c r="N5128">
        <v>109</v>
      </c>
      <c r="O5128" t="str">
        <f>"PAGAMENTO DE ENTREGADORES"</f>
        <v>PAGAMENTO DE ENTREGADORES</v>
      </c>
      <c r="P5128">
        <v>140</v>
      </c>
      <c r="S5128" t="str">
        <f>"BANCO C6 (149)"</f>
        <v>BANCO C6 (149)</v>
      </c>
      <c r="T5128">
        <v>32195</v>
      </c>
      <c r="U5128">
        <v>35881</v>
      </c>
      <c r="V5128" t="s">
        <v>37</v>
      </c>
    </row>
    <row r="5129" spans="1:22">
      <c r="A5129" t="str">
        <f t="shared" si="924"/>
        <v>26/03/2026</v>
      </c>
      <c r="B5129" t="str">
        <f t="shared" si="929"/>
        <v>SAÍDA</v>
      </c>
      <c r="C5129" t="str">
        <f t="shared" si="931"/>
        <v>PIX</v>
      </c>
      <c r="D5129" t="str">
        <f>"35881"</f>
        <v>35881</v>
      </c>
      <c r="E5129" t="str">
        <f t="shared" si="922"/>
        <v>1</v>
      </c>
      <c r="F5129" t="str">
        <f t="shared" si="933"/>
        <v>COM</v>
      </c>
      <c r="G5129" t="str">
        <f t="shared" si="934"/>
        <v>VITOR RODRIGUES (1366)</v>
      </c>
      <c r="H5129" t="s">
        <v>1402</v>
      </c>
      <c r="I5129" t="str">
        <f t="shared" si="930"/>
        <v>26/03/2026</v>
      </c>
      <c r="J5129" t="str">
        <f t="shared" si="921"/>
        <v>23/03/2026</v>
      </c>
      <c r="K5129">
        <v>46107</v>
      </c>
      <c r="N5129">
        <v>109</v>
      </c>
      <c r="O5129" t="s">
        <v>27</v>
      </c>
      <c r="Q5129">
        <v>140</v>
      </c>
      <c r="R5129" t="str">
        <f>"PENSE FARMA 42 (10230)"</f>
        <v>PENSE FARMA 42 (10230)</v>
      </c>
      <c r="S5129" t="s">
        <v>37</v>
      </c>
      <c r="T5129">
        <v>32195</v>
      </c>
      <c r="U5129">
        <v>35881</v>
      </c>
      <c r="V5129" t="s">
        <v>37</v>
      </c>
    </row>
    <row r="5130" spans="1:22">
      <c r="A5130" t="str">
        <f t="shared" si="924"/>
        <v>26/03/2026</v>
      </c>
      <c r="B5130" t="str">
        <f t="shared" si="929"/>
        <v>SAÍDA</v>
      </c>
      <c r="C5130" t="str">
        <f t="shared" si="931"/>
        <v>PIX</v>
      </c>
      <c r="D5130" t="str">
        <f>"35882"</f>
        <v>35882</v>
      </c>
      <c r="E5130" t="str">
        <f t="shared" si="922"/>
        <v>1</v>
      </c>
      <c r="F5130" t="str">
        <f t="shared" si="933"/>
        <v>COM</v>
      </c>
      <c r="G5130" t="str">
        <f t="shared" si="934"/>
        <v>VITOR RODRIGUES (1366)</v>
      </c>
      <c r="H5130" t="str">
        <f>"Serv.Prest. 16/03/2026 a 22/03/2026 - PIX: E-MAIL - CHAVE: costavitoor77@gmail.com"</f>
        <v>Serv.Prest. 16/03/2026 a 22/03/2026 - PIX: E-MAIL - CHAVE: costavitoor77@gmail.com</v>
      </c>
      <c r="I5130" t="str">
        <f t="shared" si="930"/>
        <v>26/03/2026</v>
      </c>
      <c r="J5130" t="str">
        <f t="shared" si="921"/>
        <v>23/03/2026</v>
      </c>
      <c r="K5130" t="str">
        <f>("26/03/2026")</f>
        <v>26/03/2026</v>
      </c>
      <c r="L5130">
        <v>140</v>
      </c>
      <c r="M5130">
        <v>140</v>
      </c>
      <c r="N5130">
        <v>109</v>
      </c>
      <c r="O5130" t="str">
        <f>"PAGAMENTO DE ENTREGADORES"</f>
        <v>PAGAMENTO DE ENTREGADORES</v>
      </c>
      <c r="P5130">
        <v>140</v>
      </c>
      <c r="S5130" t="str">
        <f>"BANCO C6 (149)"</f>
        <v>BANCO C6 (149)</v>
      </c>
      <c r="T5130">
        <v>32196</v>
      </c>
      <c r="U5130">
        <v>35882</v>
      </c>
      <c r="V5130" t="s">
        <v>37</v>
      </c>
    </row>
    <row r="5131" spans="1:22">
      <c r="A5131" t="str">
        <f t="shared" si="924"/>
        <v>26/03/2026</v>
      </c>
      <c r="B5131" t="str">
        <f t="shared" si="929"/>
        <v>SAÍDA</v>
      </c>
      <c r="C5131" t="str">
        <f t="shared" si="931"/>
        <v>PIX</v>
      </c>
      <c r="D5131" t="str">
        <f>"35882"</f>
        <v>35882</v>
      </c>
      <c r="E5131" t="str">
        <f t="shared" si="922"/>
        <v>1</v>
      </c>
      <c r="F5131" t="str">
        <f t="shared" si="933"/>
        <v>COM</v>
      </c>
      <c r="G5131" t="str">
        <f t="shared" si="934"/>
        <v>VITOR RODRIGUES (1366)</v>
      </c>
      <c r="H5131" t="s">
        <v>1402</v>
      </c>
      <c r="I5131" t="str">
        <f t="shared" si="930"/>
        <v>26/03/2026</v>
      </c>
      <c r="J5131" t="str">
        <f t="shared" si="921"/>
        <v>23/03/2026</v>
      </c>
      <c r="K5131">
        <v>46107</v>
      </c>
      <c r="N5131">
        <v>109</v>
      </c>
      <c r="O5131" t="s">
        <v>27</v>
      </c>
      <c r="Q5131">
        <v>140</v>
      </c>
      <c r="R5131" t="str">
        <f>"PENSE FARMA 52 (10236)"</f>
        <v>PENSE FARMA 52 (10236)</v>
      </c>
      <c r="S5131" t="s">
        <v>37</v>
      </c>
      <c r="T5131">
        <v>32196</v>
      </c>
      <c r="U5131">
        <v>35882</v>
      </c>
      <c r="V5131" t="s">
        <v>37</v>
      </c>
    </row>
    <row r="5132" spans="1:22">
      <c r="A5132" t="str">
        <f t="shared" si="924"/>
        <v>26/03/2026</v>
      </c>
      <c r="B5132" t="str">
        <f t="shared" si="929"/>
        <v>SAÍDA</v>
      </c>
      <c r="C5132" t="str">
        <f t="shared" si="931"/>
        <v>PIX</v>
      </c>
      <c r="D5132" t="str">
        <f>"35884"</f>
        <v>35884</v>
      </c>
      <c r="E5132" t="str">
        <f t="shared" si="922"/>
        <v>1</v>
      </c>
      <c r="F5132" t="str">
        <f t="shared" si="933"/>
        <v>COM</v>
      </c>
      <c r="G5132" t="str">
        <f>"MARCOS DUARTE CARVALHO (998)"</f>
        <v>MARCOS DUARTE CARVALHO (998)</v>
      </c>
      <c r="H5132" t="str">
        <f>"Serv.Prest. 16/03/2026 a 22/03/2026 - PIX: CPF - CHAVE: 396.877.618-65"</f>
        <v>Serv.Prest. 16/03/2026 a 22/03/2026 - PIX: CPF - CHAVE: 396.877.618-65</v>
      </c>
      <c r="I5132" t="str">
        <f t="shared" si="930"/>
        <v>26/03/2026</v>
      </c>
      <c r="J5132" t="str">
        <f t="shared" si="921"/>
        <v>23/03/2026</v>
      </c>
      <c r="K5132" t="str">
        <f>("26/03/2026")</f>
        <v>26/03/2026</v>
      </c>
      <c r="L5132">
        <v>560</v>
      </c>
      <c r="M5132">
        <v>560</v>
      </c>
      <c r="N5132">
        <v>109</v>
      </c>
      <c r="O5132" t="str">
        <f>"PAGAMENTO DE ENTREGADORES"</f>
        <v>PAGAMENTO DE ENTREGADORES</v>
      </c>
      <c r="P5132">
        <v>560</v>
      </c>
      <c r="S5132" t="str">
        <f>"BANCO C6 (149)"</f>
        <v>BANCO C6 (149)</v>
      </c>
      <c r="T5132">
        <v>32197</v>
      </c>
      <c r="U5132">
        <v>35884</v>
      </c>
      <c r="V5132" t="s">
        <v>37</v>
      </c>
    </row>
    <row r="5133" spans="1:22">
      <c r="A5133" t="str">
        <f t="shared" si="924"/>
        <v>26/03/2026</v>
      </c>
      <c r="B5133" t="str">
        <f t="shared" si="929"/>
        <v>SAÍDA</v>
      </c>
      <c r="C5133" t="str">
        <f t="shared" si="931"/>
        <v>PIX</v>
      </c>
      <c r="D5133" t="str">
        <f>"35884"</f>
        <v>35884</v>
      </c>
      <c r="E5133" t="str">
        <f t="shared" si="922"/>
        <v>1</v>
      </c>
      <c r="F5133" t="str">
        <f t="shared" si="933"/>
        <v>COM</v>
      </c>
      <c r="G5133" t="str">
        <f>"MARCOS DUARTE CARVALHO (998)"</f>
        <v>MARCOS DUARTE CARVALHO (998)</v>
      </c>
      <c r="H5133" t="s">
        <v>1173</v>
      </c>
      <c r="I5133" t="str">
        <f t="shared" si="930"/>
        <v>26/03/2026</v>
      </c>
      <c r="J5133" t="str">
        <f t="shared" si="921"/>
        <v>23/03/2026</v>
      </c>
      <c r="K5133">
        <v>46107</v>
      </c>
      <c r="N5133">
        <v>109</v>
      </c>
      <c r="O5133" t="s">
        <v>27</v>
      </c>
      <c r="Q5133">
        <v>560</v>
      </c>
      <c r="R5133" t="str">
        <f>"PENSE FARMA 09 (10218)"</f>
        <v>PENSE FARMA 09 (10218)</v>
      </c>
      <c r="S5133" t="s">
        <v>37</v>
      </c>
      <c r="T5133">
        <v>32197</v>
      </c>
      <c r="U5133">
        <v>35884</v>
      </c>
      <c r="V5133" t="s">
        <v>37</v>
      </c>
    </row>
    <row r="5134" spans="1:22">
      <c r="A5134" t="str">
        <f t="shared" si="924"/>
        <v>26/03/2026</v>
      </c>
      <c r="B5134" t="str">
        <f t="shared" si="929"/>
        <v>SAÍDA</v>
      </c>
      <c r="C5134" t="str">
        <f t="shared" si="931"/>
        <v>PIX</v>
      </c>
      <c r="D5134" t="str">
        <f>"35885"</f>
        <v>35885</v>
      </c>
      <c r="E5134" t="str">
        <f t="shared" si="922"/>
        <v>1</v>
      </c>
      <c r="F5134" t="str">
        <f t="shared" si="933"/>
        <v>COM</v>
      </c>
      <c r="G5134" t="str">
        <f>"MARCOS DUARTE CARVALHO (998)"</f>
        <v>MARCOS DUARTE CARVALHO (998)</v>
      </c>
      <c r="H5134" t="str">
        <f>"Serv.Prest. 16/03/2026 a 22/03/2026 - PIX: CPF - CHAVE: 396.877.618-65"</f>
        <v>Serv.Prest. 16/03/2026 a 22/03/2026 - PIX: CPF - CHAVE: 396.877.618-65</v>
      </c>
      <c r="I5134" t="str">
        <f t="shared" si="930"/>
        <v>26/03/2026</v>
      </c>
      <c r="J5134" t="str">
        <f t="shared" si="921"/>
        <v>23/03/2026</v>
      </c>
      <c r="K5134" t="str">
        <f>("26/03/2026")</f>
        <v>26/03/2026</v>
      </c>
      <c r="L5134">
        <v>815</v>
      </c>
      <c r="M5134">
        <v>815</v>
      </c>
      <c r="N5134">
        <v>109</v>
      </c>
      <c r="O5134" t="str">
        <f>"PAGAMENTO DE ENTREGADORES"</f>
        <v>PAGAMENTO DE ENTREGADORES</v>
      </c>
      <c r="P5134">
        <v>815</v>
      </c>
      <c r="S5134" t="str">
        <f>"BANCO C6 (149)"</f>
        <v>BANCO C6 (149)</v>
      </c>
      <c r="T5134">
        <v>32198</v>
      </c>
      <c r="U5134">
        <v>35885</v>
      </c>
      <c r="V5134" t="s">
        <v>37</v>
      </c>
    </row>
    <row r="5135" spans="1:22">
      <c r="A5135" t="str">
        <f t="shared" si="924"/>
        <v>26/03/2026</v>
      </c>
      <c r="B5135" t="str">
        <f t="shared" si="929"/>
        <v>SAÍDA</v>
      </c>
      <c r="C5135" t="str">
        <f t="shared" si="931"/>
        <v>PIX</v>
      </c>
      <c r="D5135" t="str">
        <f>"35885"</f>
        <v>35885</v>
      </c>
      <c r="E5135" t="str">
        <f t="shared" si="922"/>
        <v>1</v>
      </c>
      <c r="F5135" t="str">
        <f t="shared" si="933"/>
        <v>COM</v>
      </c>
      <c r="G5135" t="str">
        <f>"MARCOS DUARTE CARVALHO (998)"</f>
        <v>MARCOS DUARTE CARVALHO (998)</v>
      </c>
      <c r="H5135" t="s">
        <v>1173</v>
      </c>
      <c r="I5135" t="str">
        <f t="shared" si="930"/>
        <v>26/03/2026</v>
      </c>
      <c r="J5135" t="str">
        <f t="shared" si="921"/>
        <v>23/03/2026</v>
      </c>
      <c r="K5135">
        <v>46107</v>
      </c>
      <c r="N5135">
        <v>109</v>
      </c>
      <c r="O5135" t="s">
        <v>27</v>
      </c>
      <c r="Q5135">
        <v>815</v>
      </c>
      <c r="R5135" t="str">
        <f>"PENSE FARMA 10 (10219)"</f>
        <v>PENSE FARMA 10 (10219)</v>
      </c>
      <c r="S5135" t="s">
        <v>37</v>
      </c>
      <c r="T5135">
        <v>32198</v>
      </c>
      <c r="U5135">
        <v>35885</v>
      </c>
      <c r="V5135" t="s">
        <v>37</v>
      </c>
    </row>
    <row r="5136" spans="1:22">
      <c r="A5136" t="str">
        <f t="shared" si="924"/>
        <v>26/03/2026</v>
      </c>
      <c r="B5136" t="str">
        <f t="shared" si="929"/>
        <v>SAÍDA</v>
      </c>
      <c r="C5136" t="str">
        <f t="shared" si="931"/>
        <v>PIX</v>
      </c>
      <c r="D5136" t="str">
        <f>"35888"</f>
        <v>35888</v>
      </c>
      <c r="E5136" t="str">
        <f t="shared" si="922"/>
        <v>1</v>
      </c>
      <c r="F5136" t="str">
        <f t="shared" si="933"/>
        <v>COM</v>
      </c>
      <c r="G5136" t="str">
        <f>"ALAN COSTA SILVA (994)"</f>
        <v>ALAN COSTA SILVA (994)</v>
      </c>
      <c r="H5136" t="str">
        <f>"Serv.Prest. 16/03/2026 a 22/03/2026 - PIX: CELULAR - CHAVE: (11) 98484-6837"</f>
        <v>Serv.Prest. 16/03/2026 a 22/03/2026 - PIX: CELULAR - CHAVE: (11) 98484-6837</v>
      </c>
      <c r="I5136" t="str">
        <f t="shared" si="930"/>
        <v>26/03/2026</v>
      </c>
      <c r="J5136" t="str">
        <f t="shared" ref="J5136:J5199" si="935">("23/03/2026")</f>
        <v>23/03/2026</v>
      </c>
      <c r="K5136" t="str">
        <f>("26/03/2026")</f>
        <v>26/03/2026</v>
      </c>
      <c r="L5136">
        <v>1066</v>
      </c>
      <c r="M5136">
        <v>1066</v>
      </c>
      <c r="N5136">
        <v>109</v>
      </c>
      <c r="O5136" t="str">
        <f>"PAGAMENTO DE ENTREGADORES"</f>
        <v>PAGAMENTO DE ENTREGADORES</v>
      </c>
      <c r="P5136">
        <v>1066</v>
      </c>
      <c r="S5136" t="str">
        <f>"BANCO C6 (149)"</f>
        <v>BANCO C6 (149)</v>
      </c>
      <c r="T5136">
        <v>32199</v>
      </c>
      <c r="U5136">
        <v>35888</v>
      </c>
      <c r="V5136" t="s">
        <v>37</v>
      </c>
    </row>
    <row r="5137" spans="1:22">
      <c r="A5137" t="str">
        <f t="shared" si="924"/>
        <v>26/03/2026</v>
      </c>
      <c r="B5137" t="str">
        <f t="shared" si="929"/>
        <v>SAÍDA</v>
      </c>
      <c r="C5137" t="str">
        <f t="shared" si="931"/>
        <v>PIX</v>
      </c>
      <c r="D5137" t="str">
        <f>"35888"</f>
        <v>35888</v>
      </c>
      <c r="E5137" t="str">
        <f t="shared" si="922"/>
        <v>1</v>
      </c>
      <c r="F5137" t="str">
        <f t="shared" si="933"/>
        <v>COM</v>
      </c>
      <c r="G5137" t="str">
        <f>"ALAN COSTA SILVA (994)"</f>
        <v>ALAN COSTA SILVA (994)</v>
      </c>
      <c r="H5137" t="s">
        <v>1211</v>
      </c>
      <c r="I5137" t="str">
        <f t="shared" si="930"/>
        <v>26/03/2026</v>
      </c>
      <c r="J5137" t="str">
        <f t="shared" si="935"/>
        <v>23/03/2026</v>
      </c>
      <c r="K5137">
        <v>46107</v>
      </c>
      <c r="N5137">
        <v>109</v>
      </c>
      <c r="O5137" t="s">
        <v>27</v>
      </c>
      <c r="Q5137">
        <v>1066</v>
      </c>
      <c r="R5137" t="str">
        <f>"PENSE FARMA 19 (10223)"</f>
        <v>PENSE FARMA 19 (10223)</v>
      </c>
      <c r="S5137" t="s">
        <v>37</v>
      </c>
      <c r="T5137">
        <v>32199</v>
      </c>
      <c r="U5137">
        <v>35888</v>
      </c>
      <c r="V5137" t="s">
        <v>37</v>
      </c>
    </row>
    <row r="5138" spans="1:22">
      <c r="A5138" t="str">
        <f t="shared" si="924"/>
        <v>26/03/2026</v>
      </c>
      <c r="B5138" t="str">
        <f t="shared" si="929"/>
        <v>SAÍDA</v>
      </c>
      <c r="C5138" t="str">
        <f t="shared" si="931"/>
        <v>PIX</v>
      </c>
      <c r="D5138" t="str">
        <f>"35889"</f>
        <v>35889</v>
      </c>
      <c r="E5138" t="str">
        <f t="shared" si="922"/>
        <v>1</v>
      </c>
      <c r="F5138" t="str">
        <f t="shared" si="933"/>
        <v>COM</v>
      </c>
      <c r="G5138" t="str">
        <f>"JOSE ANGELO SANTOS (1364)"</f>
        <v>JOSE ANGELO SANTOS (1364)</v>
      </c>
      <c r="H5138" t="str">
        <f>"Serv.Prest. 16/03/2026 a 22/03/2026 - PIX: CPF - CHAVE: 378.967.078-29"</f>
        <v>Serv.Prest. 16/03/2026 a 22/03/2026 - PIX: CPF - CHAVE: 378.967.078-29</v>
      </c>
      <c r="I5138" t="str">
        <f t="shared" si="930"/>
        <v>26/03/2026</v>
      </c>
      <c r="J5138" t="str">
        <f t="shared" si="935"/>
        <v>23/03/2026</v>
      </c>
      <c r="K5138" t="str">
        <f>("26/03/2026")</f>
        <v>26/03/2026</v>
      </c>
      <c r="L5138">
        <v>800</v>
      </c>
      <c r="M5138">
        <v>800</v>
      </c>
      <c r="N5138">
        <v>109</v>
      </c>
      <c r="O5138" t="str">
        <f>"PAGAMENTO DE ENTREGADORES"</f>
        <v>PAGAMENTO DE ENTREGADORES</v>
      </c>
      <c r="P5138">
        <v>800</v>
      </c>
      <c r="S5138" t="str">
        <f>"BANCO C6 (149)"</f>
        <v>BANCO C6 (149)</v>
      </c>
      <c r="T5138">
        <v>32200</v>
      </c>
      <c r="U5138">
        <v>35889</v>
      </c>
      <c r="V5138" t="s">
        <v>37</v>
      </c>
    </row>
    <row r="5139" spans="1:22">
      <c r="A5139" t="str">
        <f t="shared" si="924"/>
        <v>26/03/2026</v>
      </c>
      <c r="B5139" t="str">
        <f t="shared" si="929"/>
        <v>SAÍDA</v>
      </c>
      <c r="C5139" t="str">
        <f t="shared" si="931"/>
        <v>PIX</v>
      </c>
      <c r="D5139" t="str">
        <f>"35889"</f>
        <v>35889</v>
      </c>
      <c r="E5139" t="str">
        <f t="shared" si="922"/>
        <v>1</v>
      </c>
      <c r="F5139" t="str">
        <f t="shared" si="933"/>
        <v>COM</v>
      </c>
      <c r="G5139" t="str">
        <f>"JOSE ANGELO SANTOS (1364)"</f>
        <v>JOSE ANGELO SANTOS (1364)</v>
      </c>
      <c r="H5139" t="s">
        <v>1403</v>
      </c>
      <c r="I5139" t="str">
        <f t="shared" si="930"/>
        <v>26/03/2026</v>
      </c>
      <c r="J5139" t="str">
        <f t="shared" si="935"/>
        <v>23/03/2026</v>
      </c>
      <c r="K5139">
        <v>46107</v>
      </c>
      <c r="N5139">
        <v>109</v>
      </c>
      <c r="O5139" t="s">
        <v>27</v>
      </c>
      <c r="Q5139">
        <v>800</v>
      </c>
      <c r="R5139" t="str">
        <f>"PENSE FARMA 19 (10223)"</f>
        <v>PENSE FARMA 19 (10223)</v>
      </c>
      <c r="S5139" t="s">
        <v>37</v>
      </c>
      <c r="T5139">
        <v>32200</v>
      </c>
      <c r="U5139">
        <v>35889</v>
      </c>
      <c r="V5139" t="s">
        <v>37</v>
      </c>
    </row>
    <row r="5140" spans="1:22">
      <c r="A5140" t="str">
        <f t="shared" si="924"/>
        <v>26/03/2026</v>
      </c>
      <c r="B5140" t="str">
        <f t="shared" si="929"/>
        <v>SAÍDA</v>
      </c>
      <c r="C5140" t="str">
        <f t="shared" si="931"/>
        <v>PIX</v>
      </c>
      <c r="D5140" t="str">
        <f>"35891"</f>
        <v>35891</v>
      </c>
      <c r="E5140" t="str">
        <f t="shared" ref="E5140:E5203" si="936">"1"</f>
        <v>1</v>
      </c>
      <c r="F5140" t="str">
        <f t="shared" si="933"/>
        <v>COM</v>
      </c>
      <c r="G5140" t="str">
        <f>"VAGNER DIEGO DE OLIVEIRA MELO (990)"</f>
        <v>VAGNER DIEGO DE OLIVEIRA MELO (990)</v>
      </c>
      <c r="H5140" t="str">
        <f>"Serv.Prest. 16/03/2026 a 22/03/2026 - PIX: CPF - CHAVE: 419.678.508-52"</f>
        <v>Serv.Prest. 16/03/2026 a 22/03/2026 - PIX: CPF - CHAVE: 419.678.508-52</v>
      </c>
      <c r="I5140" t="str">
        <f t="shared" si="930"/>
        <v>26/03/2026</v>
      </c>
      <c r="J5140" t="str">
        <f t="shared" si="935"/>
        <v>23/03/2026</v>
      </c>
      <c r="K5140" t="str">
        <f>("26/03/2026")</f>
        <v>26/03/2026</v>
      </c>
      <c r="L5140">
        <v>1300</v>
      </c>
      <c r="M5140">
        <v>1300</v>
      </c>
      <c r="N5140">
        <v>109</v>
      </c>
      <c r="O5140" t="str">
        <f>"PAGAMENTO DE ENTREGADORES"</f>
        <v>PAGAMENTO DE ENTREGADORES</v>
      </c>
      <c r="P5140">
        <v>1300</v>
      </c>
      <c r="S5140" t="str">
        <f>"BANCO C6 (149)"</f>
        <v>BANCO C6 (149)</v>
      </c>
      <c r="T5140">
        <v>32201</v>
      </c>
      <c r="U5140">
        <v>35891</v>
      </c>
      <c r="V5140" t="s">
        <v>37</v>
      </c>
    </row>
    <row r="5141" spans="1:22">
      <c r="A5141" t="str">
        <f t="shared" si="924"/>
        <v>26/03/2026</v>
      </c>
      <c r="B5141" t="str">
        <f t="shared" si="929"/>
        <v>SAÍDA</v>
      </c>
      <c r="C5141" t="str">
        <f t="shared" si="931"/>
        <v>PIX</v>
      </c>
      <c r="D5141" t="str">
        <f>"35891"</f>
        <v>35891</v>
      </c>
      <c r="E5141" t="str">
        <f t="shared" si="936"/>
        <v>1</v>
      </c>
      <c r="F5141" t="str">
        <f t="shared" si="933"/>
        <v>COM</v>
      </c>
      <c r="G5141" t="str">
        <f>"VAGNER DIEGO DE OLIVEIRA MELO (990)"</f>
        <v>VAGNER DIEGO DE OLIVEIRA MELO (990)</v>
      </c>
      <c r="H5141" t="s">
        <v>1404</v>
      </c>
      <c r="I5141" t="str">
        <f t="shared" si="930"/>
        <v>26/03/2026</v>
      </c>
      <c r="J5141" t="str">
        <f t="shared" si="935"/>
        <v>23/03/2026</v>
      </c>
      <c r="K5141">
        <v>46107</v>
      </c>
      <c r="N5141">
        <v>109</v>
      </c>
      <c r="O5141" t="s">
        <v>27</v>
      </c>
      <c r="Q5141">
        <v>1300</v>
      </c>
      <c r="R5141" t="str">
        <f>"PENSE FARMA 25 (10224)"</f>
        <v>PENSE FARMA 25 (10224)</v>
      </c>
      <c r="S5141" t="s">
        <v>37</v>
      </c>
      <c r="T5141">
        <v>32201</v>
      </c>
      <c r="U5141">
        <v>35891</v>
      </c>
      <c r="V5141" t="s">
        <v>37</v>
      </c>
    </row>
    <row r="5142" spans="1:22">
      <c r="A5142" t="str">
        <f t="shared" si="924"/>
        <v>26/03/2026</v>
      </c>
      <c r="B5142" t="str">
        <f t="shared" si="929"/>
        <v>SAÍDA</v>
      </c>
      <c r="C5142" t="str">
        <f t="shared" si="931"/>
        <v>PIX</v>
      </c>
      <c r="D5142" t="str">
        <f>"35897"</f>
        <v>35897</v>
      </c>
      <c r="E5142" t="str">
        <f t="shared" si="936"/>
        <v>1</v>
      </c>
      <c r="F5142" t="str">
        <f t="shared" si="933"/>
        <v>COM</v>
      </c>
      <c r="G5142" t="str">
        <f t="shared" ref="G5142:G5147" si="937">"LUAN DOS REIS SILVA (954)"</f>
        <v>LUAN DOS REIS SILVA (954)</v>
      </c>
      <c r="H5142" t="str">
        <f>"Serv.Prest. 16/03/2026 a 22/03/2026 - PIX: CELULAR - CHAVE: (11) 95906-5439"</f>
        <v>Serv.Prest. 16/03/2026 a 22/03/2026 - PIX: CELULAR - CHAVE: (11) 95906-5439</v>
      </c>
      <c r="I5142" t="str">
        <f t="shared" si="930"/>
        <v>26/03/2026</v>
      </c>
      <c r="J5142" t="str">
        <f t="shared" si="935"/>
        <v>23/03/2026</v>
      </c>
      <c r="K5142" t="str">
        <f>("26/03/2026")</f>
        <v>26/03/2026</v>
      </c>
      <c r="L5142">
        <v>415</v>
      </c>
      <c r="M5142">
        <v>415</v>
      </c>
      <c r="N5142">
        <v>109</v>
      </c>
      <c r="O5142" t="str">
        <f>"PAGAMENTO DE ENTREGADORES"</f>
        <v>PAGAMENTO DE ENTREGADORES</v>
      </c>
      <c r="P5142">
        <v>415</v>
      </c>
      <c r="S5142" t="str">
        <f>"BANCO C6 (149)"</f>
        <v>BANCO C6 (149)</v>
      </c>
      <c r="T5142">
        <v>32202</v>
      </c>
      <c r="U5142">
        <v>35897</v>
      </c>
      <c r="V5142" t="s">
        <v>37</v>
      </c>
    </row>
    <row r="5143" spans="1:22">
      <c r="A5143" t="str">
        <f t="shared" si="924"/>
        <v>26/03/2026</v>
      </c>
      <c r="B5143" t="str">
        <f t="shared" si="929"/>
        <v>SAÍDA</v>
      </c>
      <c r="C5143" t="str">
        <f t="shared" si="931"/>
        <v>PIX</v>
      </c>
      <c r="D5143" t="str">
        <f>"35897"</f>
        <v>35897</v>
      </c>
      <c r="E5143" t="str">
        <f t="shared" si="936"/>
        <v>1</v>
      </c>
      <c r="F5143" t="str">
        <f t="shared" si="933"/>
        <v>COM</v>
      </c>
      <c r="G5143" t="str">
        <f t="shared" si="937"/>
        <v>LUAN DOS REIS SILVA (954)</v>
      </c>
      <c r="H5143" t="s">
        <v>1216</v>
      </c>
      <c r="I5143" t="str">
        <f t="shared" si="930"/>
        <v>26/03/2026</v>
      </c>
      <c r="J5143" t="str">
        <f t="shared" si="935"/>
        <v>23/03/2026</v>
      </c>
      <c r="K5143">
        <v>46107</v>
      </c>
      <c r="N5143">
        <v>109</v>
      </c>
      <c r="O5143" t="s">
        <v>27</v>
      </c>
      <c r="Q5143">
        <v>415</v>
      </c>
      <c r="R5143" t="str">
        <f>"PENSE FARMA 05 (10200)"</f>
        <v>PENSE FARMA 05 (10200)</v>
      </c>
      <c r="S5143" t="s">
        <v>37</v>
      </c>
      <c r="T5143">
        <v>32202</v>
      </c>
      <c r="U5143">
        <v>35897</v>
      </c>
      <c r="V5143" t="s">
        <v>37</v>
      </c>
    </row>
    <row r="5144" spans="1:22">
      <c r="A5144" t="str">
        <f t="shared" ref="A5144:A5207" si="938">("26/03/2026")</f>
        <v>26/03/2026</v>
      </c>
      <c r="B5144" t="str">
        <f t="shared" si="929"/>
        <v>SAÍDA</v>
      </c>
      <c r="C5144" t="str">
        <f t="shared" si="931"/>
        <v>PIX</v>
      </c>
      <c r="D5144" t="str">
        <f>"35898"</f>
        <v>35898</v>
      </c>
      <c r="E5144" t="str">
        <f t="shared" si="936"/>
        <v>1</v>
      </c>
      <c r="F5144" t="str">
        <f t="shared" si="933"/>
        <v>COM</v>
      </c>
      <c r="G5144" t="str">
        <f t="shared" si="937"/>
        <v>LUAN DOS REIS SILVA (954)</v>
      </c>
      <c r="H5144" t="str">
        <f>"Serv.Prest. 16/03/2026 a 22/03/2026 - PIX: CELULAR - CHAVE: (11) 95906-5439"</f>
        <v>Serv.Prest. 16/03/2026 a 22/03/2026 - PIX: CELULAR - CHAVE: (11) 95906-5439</v>
      </c>
      <c r="I5144" t="str">
        <f t="shared" si="930"/>
        <v>26/03/2026</v>
      </c>
      <c r="J5144" t="str">
        <f t="shared" si="935"/>
        <v>23/03/2026</v>
      </c>
      <c r="K5144" t="str">
        <f>("26/03/2026")</f>
        <v>26/03/2026</v>
      </c>
      <c r="L5144">
        <v>415</v>
      </c>
      <c r="M5144">
        <v>415</v>
      </c>
      <c r="N5144">
        <v>109</v>
      </c>
      <c r="O5144" t="str">
        <f>"PAGAMENTO DE ENTREGADORES"</f>
        <v>PAGAMENTO DE ENTREGADORES</v>
      </c>
      <c r="P5144">
        <v>415</v>
      </c>
      <c r="S5144" t="str">
        <f>"BANCO C6 (149)"</f>
        <v>BANCO C6 (149)</v>
      </c>
      <c r="T5144">
        <v>32203</v>
      </c>
      <c r="U5144">
        <v>35898</v>
      </c>
      <c r="V5144" t="s">
        <v>37</v>
      </c>
    </row>
    <row r="5145" spans="1:22">
      <c r="A5145" t="str">
        <f t="shared" si="938"/>
        <v>26/03/2026</v>
      </c>
      <c r="B5145" t="str">
        <f t="shared" si="929"/>
        <v>SAÍDA</v>
      </c>
      <c r="C5145" t="str">
        <f t="shared" si="931"/>
        <v>PIX</v>
      </c>
      <c r="D5145" t="str">
        <f>"35898"</f>
        <v>35898</v>
      </c>
      <c r="E5145" t="str">
        <f t="shared" si="936"/>
        <v>1</v>
      </c>
      <c r="F5145" t="str">
        <f t="shared" si="933"/>
        <v>COM</v>
      </c>
      <c r="G5145" t="str">
        <f t="shared" si="937"/>
        <v>LUAN DOS REIS SILVA (954)</v>
      </c>
      <c r="H5145" t="s">
        <v>1216</v>
      </c>
      <c r="I5145" t="str">
        <f t="shared" si="930"/>
        <v>26/03/2026</v>
      </c>
      <c r="J5145" t="str">
        <f t="shared" si="935"/>
        <v>23/03/2026</v>
      </c>
      <c r="K5145">
        <v>46107</v>
      </c>
      <c r="N5145">
        <v>109</v>
      </c>
      <c r="O5145" t="s">
        <v>27</v>
      </c>
      <c r="Q5145">
        <v>415</v>
      </c>
      <c r="R5145" t="str">
        <f>"PENSE FARMA 13 (10202)"</f>
        <v>PENSE FARMA 13 (10202)</v>
      </c>
      <c r="S5145" t="s">
        <v>37</v>
      </c>
      <c r="T5145">
        <v>32203</v>
      </c>
      <c r="U5145">
        <v>35898</v>
      </c>
      <c r="V5145" t="s">
        <v>37</v>
      </c>
    </row>
    <row r="5146" spans="1:22">
      <c r="A5146" t="str">
        <f t="shared" si="938"/>
        <v>26/03/2026</v>
      </c>
      <c r="B5146" t="str">
        <f t="shared" si="929"/>
        <v>SAÍDA</v>
      </c>
      <c r="C5146" t="str">
        <f t="shared" si="931"/>
        <v>PIX</v>
      </c>
      <c r="D5146" t="str">
        <f>"35899"</f>
        <v>35899</v>
      </c>
      <c r="E5146" t="str">
        <f t="shared" si="936"/>
        <v>1</v>
      </c>
      <c r="F5146" t="str">
        <f t="shared" si="933"/>
        <v>COM</v>
      </c>
      <c r="G5146" t="str">
        <f t="shared" si="937"/>
        <v>LUAN DOS REIS SILVA (954)</v>
      </c>
      <c r="H5146" t="str">
        <f>"Serv.Prest. 16/03/2026 a 22/03/2026 - PIX: CELULAR - CHAVE: (11) 95906-5439"</f>
        <v>Serv.Prest. 16/03/2026 a 22/03/2026 - PIX: CELULAR - CHAVE: (11) 95906-5439</v>
      </c>
      <c r="I5146" t="str">
        <f t="shared" si="930"/>
        <v>26/03/2026</v>
      </c>
      <c r="J5146" t="str">
        <f t="shared" si="935"/>
        <v>23/03/2026</v>
      </c>
      <c r="K5146" t="str">
        <f>("26/03/2026")</f>
        <v>26/03/2026</v>
      </c>
      <c r="L5146">
        <v>400</v>
      </c>
      <c r="M5146">
        <v>400</v>
      </c>
      <c r="N5146">
        <v>109</v>
      </c>
      <c r="O5146" t="str">
        <f>"PAGAMENTO DE ENTREGADORES"</f>
        <v>PAGAMENTO DE ENTREGADORES</v>
      </c>
      <c r="P5146">
        <v>400</v>
      </c>
      <c r="S5146" t="str">
        <f>"BANCO C6 (149)"</f>
        <v>BANCO C6 (149)</v>
      </c>
      <c r="T5146">
        <v>32204</v>
      </c>
      <c r="U5146">
        <v>35899</v>
      </c>
      <c r="V5146" t="s">
        <v>37</v>
      </c>
    </row>
    <row r="5147" spans="1:22">
      <c r="A5147" t="str">
        <f t="shared" si="938"/>
        <v>26/03/2026</v>
      </c>
      <c r="B5147" t="str">
        <f t="shared" si="929"/>
        <v>SAÍDA</v>
      </c>
      <c r="C5147" t="str">
        <f t="shared" si="931"/>
        <v>PIX</v>
      </c>
      <c r="D5147" t="str">
        <f>"35899"</f>
        <v>35899</v>
      </c>
      <c r="E5147" t="str">
        <f t="shared" si="936"/>
        <v>1</v>
      </c>
      <c r="F5147" t="str">
        <f t="shared" si="933"/>
        <v>COM</v>
      </c>
      <c r="G5147" t="str">
        <f t="shared" si="937"/>
        <v>LUAN DOS REIS SILVA (954)</v>
      </c>
      <c r="H5147" t="s">
        <v>1216</v>
      </c>
      <c r="I5147" t="str">
        <f t="shared" si="930"/>
        <v>26/03/2026</v>
      </c>
      <c r="J5147" t="str">
        <f t="shared" si="935"/>
        <v>23/03/2026</v>
      </c>
      <c r="K5147">
        <v>46107</v>
      </c>
      <c r="N5147">
        <v>109</v>
      </c>
      <c r="O5147" t="s">
        <v>27</v>
      </c>
      <c r="Q5147">
        <v>400</v>
      </c>
      <c r="R5147" t="str">
        <f>"PENSE FARMA 27 (10204)"</f>
        <v>PENSE FARMA 27 (10204)</v>
      </c>
      <c r="S5147" t="s">
        <v>37</v>
      </c>
      <c r="T5147">
        <v>32204</v>
      </c>
      <c r="U5147">
        <v>35899</v>
      </c>
      <c r="V5147" t="s">
        <v>37</v>
      </c>
    </row>
    <row r="5148" spans="1:22">
      <c r="A5148" t="str">
        <f t="shared" si="938"/>
        <v>26/03/2026</v>
      </c>
      <c r="B5148" t="str">
        <f t="shared" si="929"/>
        <v>SAÍDA</v>
      </c>
      <c r="C5148" t="str">
        <f t="shared" si="931"/>
        <v>PIX</v>
      </c>
      <c r="D5148" t="str">
        <f>"35900"</f>
        <v>35900</v>
      </c>
      <c r="E5148" t="str">
        <f t="shared" si="936"/>
        <v>1</v>
      </c>
      <c r="F5148" t="str">
        <f t="shared" si="933"/>
        <v>COM</v>
      </c>
      <c r="G5148" t="str">
        <f t="shared" ref="G5148:G5153" si="939">"MANOEL DE JESUS ALMEIDA (1017)"</f>
        <v>MANOEL DE JESUS ALMEIDA (1017)</v>
      </c>
      <c r="H5148" t="str">
        <f>"Serv.Prest. 16/03/2026 a 22/03/2026 - PIX: CPF - CHAVE: 026.422.254-70"</f>
        <v>Serv.Prest. 16/03/2026 a 22/03/2026 - PIX: CPF - CHAVE: 026.422.254-70</v>
      </c>
      <c r="I5148" t="str">
        <f t="shared" si="930"/>
        <v>26/03/2026</v>
      </c>
      <c r="J5148" t="str">
        <f t="shared" si="935"/>
        <v>23/03/2026</v>
      </c>
      <c r="K5148" t="str">
        <f>("26/03/2026")</f>
        <v>26/03/2026</v>
      </c>
      <c r="L5148">
        <v>415</v>
      </c>
      <c r="M5148">
        <v>415</v>
      </c>
      <c r="N5148">
        <v>109</v>
      </c>
      <c r="O5148" t="str">
        <f>"PAGAMENTO DE ENTREGADORES"</f>
        <v>PAGAMENTO DE ENTREGADORES</v>
      </c>
      <c r="P5148">
        <v>415</v>
      </c>
      <c r="S5148" t="str">
        <f>"BANCO C6 (149)"</f>
        <v>BANCO C6 (149)</v>
      </c>
      <c r="T5148">
        <v>32205</v>
      </c>
      <c r="U5148">
        <v>35900</v>
      </c>
      <c r="V5148" t="s">
        <v>37</v>
      </c>
    </row>
    <row r="5149" spans="1:22">
      <c r="A5149" t="str">
        <f t="shared" si="938"/>
        <v>26/03/2026</v>
      </c>
      <c r="B5149" t="str">
        <f t="shared" si="929"/>
        <v>SAÍDA</v>
      </c>
      <c r="C5149" t="str">
        <f t="shared" si="931"/>
        <v>PIX</v>
      </c>
      <c r="D5149" t="str">
        <f>"35900"</f>
        <v>35900</v>
      </c>
      <c r="E5149" t="str">
        <f t="shared" si="936"/>
        <v>1</v>
      </c>
      <c r="F5149" t="str">
        <f t="shared" si="933"/>
        <v>COM</v>
      </c>
      <c r="G5149" t="str">
        <f t="shared" si="939"/>
        <v>MANOEL DE JESUS ALMEIDA (1017)</v>
      </c>
      <c r="H5149" t="s">
        <v>1405</v>
      </c>
      <c r="I5149" t="str">
        <f t="shared" si="930"/>
        <v>26/03/2026</v>
      </c>
      <c r="J5149" t="str">
        <f t="shared" si="935"/>
        <v>23/03/2026</v>
      </c>
      <c r="K5149">
        <v>46107</v>
      </c>
      <c r="N5149">
        <v>109</v>
      </c>
      <c r="O5149" t="s">
        <v>27</v>
      </c>
      <c r="Q5149">
        <v>415</v>
      </c>
      <c r="R5149" t="str">
        <f>"PENSE FARMA 05 (10200)"</f>
        <v>PENSE FARMA 05 (10200)</v>
      </c>
      <c r="S5149" t="s">
        <v>37</v>
      </c>
      <c r="T5149">
        <v>32205</v>
      </c>
      <c r="U5149">
        <v>35900</v>
      </c>
      <c r="V5149" t="s">
        <v>37</v>
      </c>
    </row>
    <row r="5150" spans="1:22">
      <c r="A5150" t="str">
        <f t="shared" si="938"/>
        <v>26/03/2026</v>
      </c>
      <c r="B5150" t="str">
        <f t="shared" si="929"/>
        <v>SAÍDA</v>
      </c>
      <c r="C5150" t="str">
        <f t="shared" si="931"/>
        <v>PIX</v>
      </c>
      <c r="D5150" t="str">
        <f>"35901"</f>
        <v>35901</v>
      </c>
      <c r="E5150" t="str">
        <f t="shared" si="936"/>
        <v>1</v>
      </c>
      <c r="F5150" t="str">
        <f t="shared" si="933"/>
        <v>COM</v>
      </c>
      <c r="G5150" t="str">
        <f t="shared" si="939"/>
        <v>MANOEL DE JESUS ALMEIDA (1017)</v>
      </c>
      <c r="H5150" t="str">
        <f>"Serv.Prest. 16/03/2026 a 22/03/2026 - PIX: CPF - CHAVE: 026.422.254-70"</f>
        <v>Serv.Prest. 16/03/2026 a 22/03/2026 - PIX: CPF - CHAVE: 026.422.254-70</v>
      </c>
      <c r="I5150" t="str">
        <f t="shared" si="930"/>
        <v>26/03/2026</v>
      </c>
      <c r="J5150" t="str">
        <f t="shared" si="935"/>
        <v>23/03/2026</v>
      </c>
      <c r="K5150" t="str">
        <f>("26/03/2026")</f>
        <v>26/03/2026</v>
      </c>
      <c r="L5150">
        <v>415</v>
      </c>
      <c r="M5150">
        <v>415</v>
      </c>
      <c r="N5150">
        <v>109</v>
      </c>
      <c r="O5150" t="str">
        <f>"PAGAMENTO DE ENTREGADORES"</f>
        <v>PAGAMENTO DE ENTREGADORES</v>
      </c>
      <c r="P5150">
        <v>415</v>
      </c>
      <c r="S5150" t="str">
        <f>"BANCO C6 (149)"</f>
        <v>BANCO C6 (149)</v>
      </c>
      <c r="T5150">
        <v>32206</v>
      </c>
      <c r="U5150">
        <v>35901</v>
      </c>
      <c r="V5150" t="s">
        <v>37</v>
      </c>
    </row>
    <row r="5151" spans="1:22">
      <c r="A5151" t="str">
        <f t="shared" si="938"/>
        <v>26/03/2026</v>
      </c>
      <c r="B5151" t="str">
        <f t="shared" si="929"/>
        <v>SAÍDA</v>
      </c>
      <c r="C5151" t="str">
        <f t="shared" si="931"/>
        <v>PIX</v>
      </c>
      <c r="D5151" t="str">
        <f>"35901"</f>
        <v>35901</v>
      </c>
      <c r="E5151" t="str">
        <f t="shared" si="936"/>
        <v>1</v>
      </c>
      <c r="F5151" t="str">
        <f t="shared" si="933"/>
        <v>COM</v>
      </c>
      <c r="G5151" t="str">
        <f t="shared" si="939"/>
        <v>MANOEL DE JESUS ALMEIDA (1017)</v>
      </c>
      <c r="H5151" t="s">
        <v>1405</v>
      </c>
      <c r="I5151" t="str">
        <f t="shared" si="930"/>
        <v>26/03/2026</v>
      </c>
      <c r="J5151" t="str">
        <f t="shared" si="935"/>
        <v>23/03/2026</v>
      </c>
      <c r="K5151">
        <v>46107</v>
      </c>
      <c r="N5151">
        <v>109</v>
      </c>
      <c r="O5151" t="s">
        <v>27</v>
      </c>
      <c r="Q5151">
        <v>415</v>
      </c>
      <c r="R5151" t="str">
        <f>"PENSE FARMA 13 (10202)"</f>
        <v>PENSE FARMA 13 (10202)</v>
      </c>
      <c r="S5151" t="s">
        <v>37</v>
      </c>
      <c r="T5151">
        <v>32206</v>
      </c>
      <c r="U5151">
        <v>35901</v>
      </c>
      <c r="V5151" t="s">
        <v>37</v>
      </c>
    </row>
    <row r="5152" spans="1:22">
      <c r="A5152" t="str">
        <f t="shared" si="938"/>
        <v>26/03/2026</v>
      </c>
      <c r="B5152" t="str">
        <f t="shared" si="929"/>
        <v>SAÍDA</v>
      </c>
      <c r="C5152" t="str">
        <f t="shared" si="931"/>
        <v>PIX</v>
      </c>
      <c r="D5152" t="str">
        <f>"35902"</f>
        <v>35902</v>
      </c>
      <c r="E5152" t="str">
        <f t="shared" si="936"/>
        <v>1</v>
      </c>
      <c r="F5152" t="str">
        <f t="shared" si="933"/>
        <v>COM</v>
      </c>
      <c r="G5152" t="str">
        <f t="shared" si="939"/>
        <v>MANOEL DE JESUS ALMEIDA (1017)</v>
      </c>
      <c r="H5152" t="str">
        <f>"Serv.Prest. 16/03/2026 a 22/03/2026 - PIX: CPF - CHAVE: 026.422.254-70"</f>
        <v>Serv.Prest. 16/03/2026 a 22/03/2026 - PIX: CPF - CHAVE: 026.422.254-70</v>
      </c>
      <c r="I5152" t="str">
        <f t="shared" si="930"/>
        <v>26/03/2026</v>
      </c>
      <c r="J5152" t="str">
        <f t="shared" si="935"/>
        <v>23/03/2026</v>
      </c>
      <c r="K5152" t="str">
        <f>("26/03/2026")</f>
        <v>26/03/2026</v>
      </c>
      <c r="L5152">
        <v>420</v>
      </c>
      <c r="M5152">
        <v>420</v>
      </c>
      <c r="N5152">
        <v>109</v>
      </c>
      <c r="O5152" t="str">
        <f>"PAGAMENTO DE ENTREGADORES"</f>
        <v>PAGAMENTO DE ENTREGADORES</v>
      </c>
      <c r="P5152">
        <v>420</v>
      </c>
      <c r="S5152" t="str">
        <f>"BANCO C6 (149)"</f>
        <v>BANCO C6 (149)</v>
      </c>
      <c r="T5152">
        <v>32207</v>
      </c>
      <c r="U5152">
        <v>35902</v>
      </c>
      <c r="V5152" t="s">
        <v>37</v>
      </c>
    </row>
    <row r="5153" spans="1:22">
      <c r="A5153" t="str">
        <f t="shared" si="938"/>
        <v>26/03/2026</v>
      </c>
      <c r="B5153" t="str">
        <f t="shared" si="929"/>
        <v>SAÍDA</v>
      </c>
      <c r="C5153" t="str">
        <f t="shared" si="931"/>
        <v>PIX</v>
      </c>
      <c r="D5153" t="str">
        <f>"35902"</f>
        <v>35902</v>
      </c>
      <c r="E5153" t="str">
        <f t="shared" si="936"/>
        <v>1</v>
      </c>
      <c r="F5153" t="str">
        <f t="shared" si="933"/>
        <v>COM</v>
      </c>
      <c r="G5153" t="str">
        <f t="shared" si="939"/>
        <v>MANOEL DE JESUS ALMEIDA (1017)</v>
      </c>
      <c r="H5153" t="s">
        <v>1405</v>
      </c>
      <c r="I5153" t="str">
        <f t="shared" si="930"/>
        <v>26/03/2026</v>
      </c>
      <c r="J5153" t="str">
        <f t="shared" si="935"/>
        <v>23/03/2026</v>
      </c>
      <c r="K5153">
        <v>46107</v>
      </c>
      <c r="N5153">
        <v>109</v>
      </c>
      <c r="O5153" t="s">
        <v>27</v>
      </c>
      <c r="Q5153">
        <v>420</v>
      </c>
      <c r="R5153" t="str">
        <f>"PENSE FARMA 27 (10204)"</f>
        <v>PENSE FARMA 27 (10204)</v>
      </c>
      <c r="S5153" t="s">
        <v>37</v>
      </c>
      <c r="T5153">
        <v>32207</v>
      </c>
      <c r="U5153">
        <v>35902</v>
      </c>
      <c r="V5153" t="s">
        <v>37</v>
      </c>
    </row>
    <row r="5154" spans="1:22">
      <c r="A5154" t="str">
        <f t="shared" si="938"/>
        <v>26/03/2026</v>
      </c>
      <c r="B5154" t="str">
        <f t="shared" si="929"/>
        <v>SAÍDA</v>
      </c>
      <c r="C5154" t="str">
        <f t="shared" si="931"/>
        <v>PIX</v>
      </c>
      <c r="D5154" t="str">
        <f>"35904"</f>
        <v>35904</v>
      </c>
      <c r="E5154" t="str">
        <f t="shared" si="936"/>
        <v>1</v>
      </c>
      <c r="F5154" t="str">
        <f t="shared" si="933"/>
        <v>COM</v>
      </c>
      <c r="G5154" t="str">
        <f t="shared" ref="G5154:G5161" si="940">"ALINE ALVES DA SILVA (1081)"</f>
        <v>ALINE ALVES DA SILVA (1081)</v>
      </c>
      <c r="H5154" t="str">
        <f>"Serv.Prest. 16/03/2026 a 22/03/2026 - PIX: CELULAR - CHAVE: (11) 98439-2238"</f>
        <v>Serv.Prest. 16/03/2026 a 22/03/2026 - PIX: CELULAR - CHAVE: (11) 98439-2238</v>
      </c>
      <c r="I5154" t="str">
        <f t="shared" si="930"/>
        <v>26/03/2026</v>
      </c>
      <c r="J5154" t="str">
        <f t="shared" si="935"/>
        <v>23/03/2026</v>
      </c>
      <c r="K5154" t="str">
        <f>("26/03/2026")</f>
        <v>26/03/2026</v>
      </c>
      <c r="L5154">
        <v>250</v>
      </c>
      <c r="M5154">
        <v>250</v>
      </c>
      <c r="N5154">
        <v>109</v>
      </c>
      <c r="O5154" t="str">
        <f>"PAGAMENTO DE ENTREGADORES"</f>
        <v>PAGAMENTO DE ENTREGADORES</v>
      </c>
      <c r="P5154">
        <v>250</v>
      </c>
      <c r="S5154" t="str">
        <f>"BANCO C6 (149)"</f>
        <v>BANCO C6 (149)</v>
      </c>
      <c r="T5154">
        <v>32208</v>
      </c>
      <c r="U5154">
        <v>35904</v>
      </c>
      <c r="V5154" t="s">
        <v>37</v>
      </c>
    </row>
    <row r="5155" spans="1:22">
      <c r="A5155" t="str">
        <f t="shared" si="938"/>
        <v>26/03/2026</v>
      </c>
      <c r="B5155" t="str">
        <f t="shared" si="929"/>
        <v>SAÍDA</v>
      </c>
      <c r="C5155" t="str">
        <f t="shared" si="931"/>
        <v>PIX</v>
      </c>
      <c r="D5155" t="str">
        <f>"35904"</f>
        <v>35904</v>
      </c>
      <c r="E5155" t="str">
        <f t="shared" si="936"/>
        <v>1</v>
      </c>
      <c r="F5155" t="str">
        <f t="shared" si="933"/>
        <v>COM</v>
      </c>
      <c r="G5155" t="str">
        <f t="shared" si="940"/>
        <v>ALINE ALVES DA SILVA (1081)</v>
      </c>
      <c r="H5155" t="s">
        <v>1406</v>
      </c>
      <c r="I5155" t="str">
        <f t="shared" si="930"/>
        <v>26/03/2026</v>
      </c>
      <c r="J5155" t="str">
        <f t="shared" si="935"/>
        <v>23/03/2026</v>
      </c>
      <c r="K5155">
        <v>46107</v>
      </c>
      <c r="N5155">
        <v>109</v>
      </c>
      <c r="O5155" t="s">
        <v>27</v>
      </c>
      <c r="Q5155">
        <v>250</v>
      </c>
      <c r="R5155" t="str">
        <f>"PENSE FARMA 31 (10205)"</f>
        <v>PENSE FARMA 31 (10205)</v>
      </c>
      <c r="S5155" t="s">
        <v>37</v>
      </c>
      <c r="T5155">
        <v>32208</v>
      </c>
      <c r="U5155">
        <v>35904</v>
      </c>
      <c r="V5155" t="s">
        <v>37</v>
      </c>
    </row>
    <row r="5156" spans="1:22">
      <c r="A5156" t="str">
        <f t="shared" si="938"/>
        <v>26/03/2026</v>
      </c>
      <c r="B5156" t="str">
        <f t="shared" si="929"/>
        <v>SAÍDA</v>
      </c>
      <c r="C5156" t="str">
        <f t="shared" si="931"/>
        <v>PIX</v>
      </c>
      <c r="D5156" t="str">
        <f>"35905"</f>
        <v>35905</v>
      </c>
      <c r="E5156" t="str">
        <f t="shared" si="936"/>
        <v>1</v>
      </c>
      <c r="F5156" t="str">
        <f t="shared" si="933"/>
        <v>COM</v>
      </c>
      <c r="G5156" t="str">
        <f t="shared" si="940"/>
        <v>ALINE ALVES DA SILVA (1081)</v>
      </c>
      <c r="H5156" t="str">
        <f>"Serv.Prest. 16/03/2026 a 22/03/2026 - PIX: CELULAR - CHAVE: (11) 98439-2238"</f>
        <v>Serv.Prest. 16/03/2026 a 22/03/2026 - PIX: CELULAR - CHAVE: (11) 98439-2238</v>
      </c>
      <c r="I5156" t="str">
        <f t="shared" si="930"/>
        <v>26/03/2026</v>
      </c>
      <c r="J5156" t="str">
        <f t="shared" si="935"/>
        <v>23/03/2026</v>
      </c>
      <c r="K5156" t="str">
        <f>("26/03/2026")</f>
        <v>26/03/2026</v>
      </c>
      <c r="L5156">
        <v>250</v>
      </c>
      <c r="M5156">
        <v>250</v>
      </c>
      <c r="N5156">
        <v>109</v>
      </c>
      <c r="O5156" t="str">
        <f>"PAGAMENTO DE ENTREGADORES"</f>
        <v>PAGAMENTO DE ENTREGADORES</v>
      </c>
      <c r="P5156">
        <v>250</v>
      </c>
      <c r="S5156" t="str">
        <f>"BANCO C6 (149)"</f>
        <v>BANCO C6 (149)</v>
      </c>
      <c r="T5156">
        <v>32209</v>
      </c>
      <c r="U5156">
        <v>35905</v>
      </c>
      <c r="V5156" t="s">
        <v>37</v>
      </c>
    </row>
    <row r="5157" spans="1:22">
      <c r="A5157" t="str">
        <f t="shared" si="938"/>
        <v>26/03/2026</v>
      </c>
      <c r="B5157" t="str">
        <f t="shared" si="929"/>
        <v>SAÍDA</v>
      </c>
      <c r="C5157" t="str">
        <f t="shared" si="931"/>
        <v>PIX</v>
      </c>
      <c r="D5157" t="str">
        <f>"35905"</f>
        <v>35905</v>
      </c>
      <c r="E5157" t="str">
        <f t="shared" si="936"/>
        <v>1</v>
      </c>
      <c r="F5157" t="str">
        <f t="shared" si="933"/>
        <v>COM</v>
      </c>
      <c r="G5157" t="str">
        <f t="shared" si="940"/>
        <v>ALINE ALVES DA SILVA (1081)</v>
      </c>
      <c r="H5157" t="s">
        <v>1406</v>
      </c>
      <c r="I5157" t="str">
        <f t="shared" si="930"/>
        <v>26/03/2026</v>
      </c>
      <c r="J5157" t="str">
        <f t="shared" si="935"/>
        <v>23/03/2026</v>
      </c>
      <c r="K5157">
        <v>46107</v>
      </c>
      <c r="N5157">
        <v>109</v>
      </c>
      <c r="O5157" t="s">
        <v>27</v>
      </c>
      <c r="Q5157">
        <v>250</v>
      </c>
      <c r="R5157" t="str">
        <f>"PENSE FARMA 16 (10221)"</f>
        <v>PENSE FARMA 16 (10221)</v>
      </c>
      <c r="S5157" t="s">
        <v>37</v>
      </c>
      <c r="T5157">
        <v>32209</v>
      </c>
      <c r="U5157">
        <v>35905</v>
      </c>
      <c r="V5157" t="s">
        <v>37</v>
      </c>
    </row>
    <row r="5158" spans="1:22">
      <c r="A5158" t="str">
        <f t="shared" si="938"/>
        <v>26/03/2026</v>
      </c>
      <c r="B5158" t="str">
        <f t="shared" si="929"/>
        <v>SAÍDA</v>
      </c>
      <c r="C5158" t="str">
        <f t="shared" si="931"/>
        <v>PIX</v>
      </c>
      <c r="D5158" t="str">
        <f>"35906"</f>
        <v>35906</v>
      </c>
      <c r="E5158" t="str">
        <f t="shared" si="936"/>
        <v>1</v>
      </c>
      <c r="F5158" t="str">
        <f t="shared" si="933"/>
        <v>COM</v>
      </c>
      <c r="G5158" t="str">
        <f t="shared" si="940"/>
        <v>ALINE ALVES DA SILVA (1081)</v>
      </c>
      <c r="H5158" t="str">
        <f>"Serv.Prest. 16/03/2026 a 22/03/2026 - PIX: CELULAR - CHAVE: (11) 98439-2238"</f>
        <v>Serv.Prest. 16/03/2026 a 22/03/2026 - PIX: CELULAR - CHAVE: (11) 98439-2238</v>
      </c>
      <c r="I5158" t="str">
        <f t="shared" si="930"/>
        <v>26/03/2026</v>
      </c>
      <c r="J5158" t="str">
        <f t="shared" si="935"/>
        <v>23/03/2026</v>
      </c>
      <c r="K5158" t="str">
        <f>("26/03/2026")</f>
        <v>26/03/2026</v>
      </c>
      <c r="L5158">
        <v>250</v>
      </c>
      <c r="M5158">
        <v>250</v>
      </c>
      <c r="N5158">
        <v>109</v>
      </c>
      <c r="O5158" t="str">
        <f>"PAGAMENTO DE ENTREGADORES"</f>
        <v>PAGAMENTO DE ENTREGADORES</v>
      </c>
      <c r="P5158">
        <v>250</v>
      </c>
      <c r="S5158" t="str">
        <f>"BANCO C6 (149)"</f>
        <v>BANCO C6 (149)</v>
      </c>
      <c r="T5158">
        <v>32210</v>
      </c>
      <c r="U5158">
        <v>35906</v>
      </c>
      <c r="V5158" t="s">
        <v>37</v>
      </c>
    </row>
    <row r="5159" spans="1:22">
      <c r="A5159" t="str">
        <f t="shared" si="938"/>
        <v>26/03/2026</v>
      </c>
      <c r="B5159" t="str">
        <f t="shared" si="929"/>
        <v>SAÍDA</v>
      </c>
      <c r="C5159" t="str">
        <f t="shared" si="931"/>
        <v>PIX</v>
      </c>
      <c r="D5159" t="str">
        <f>"35906"</f>
        <v>35906</v>
      </c>
      <c r="E5159" t="str">
        <f t="shared" si="936"/>
        <v>1</v>
      </c>
      <c r="F5159" t="str">
        <f t="shared" si="933"/>
        <v>COM</v>
      </c>
      <c r="G5159" t="str">
        <f t="shared" si="940"/>
        <v>ALINE ALVES DA SILVA (1081)</v>
      </c>
      <c r="H5159" t="s">
        <v>1406</v>
      </c>
      <c r="I5159" t="str">
        <f t="shared" si="930"/>
        <v>26/03/2026</v>
      </c>
      <c r="J5159" t="str">
        <f t="shared" si="935"/>
        <v>23/03/2026</v>
      </c>
      <c r="K5159">
        <v>46107</v>
      </c>
      <c r="N5159">
        <v>109</v>
      </c>
      <c r="O5159" t="s">
        <v>27</v>
      </c>
      <c r="Q5159">
        <v>250</v>
      </c>
      <c r="R5159" t="str">
        <f>"PENSE FARMA 17 (10222)"</f>
        <v>PENSE FARMA 17 (10222)</v>
      </c>
      <c r="S5159" t="s">
        <v>37</v>
      </c>
      <c r="T5159">
        <v>32210</v>
      </c>
      <c r="U5159">
        <v>35906</v>
      </c>
      <c r="V5159" t="s">
        <v>37</v>
      </c>
    </row>
    <row r="5160" spans="1:22">
      <c r="A5160" t="str">
        <f t="shared" si="938"/>
        <v>26/03/2026</v>
      </c>
      <c r="B5160" t="str">
        <f t="shared" si="929"/>
        <v>SAÍDA</v>
      </c>
      <c r="C5160" t="str">
        <f t="shared" si="931"/>
        <v>PIX</v>
      </c>
      <c r="D5160" t="str">
        <f>"35907"</f>
        <v>35907</v>
      </c>
      <c r="E5160" t="str">
        <f t="shared" si="936"/>
        <v>1</v>
      </c>
      <c r="F5160" t="str">
        <f t="shared" si="933"/>
        <v>COM</v>
      </c>
      <c r="G5160" t="str">
        <f t="shared" si="940"/>
        <v>ALINE ALVES DA SILVA (1081)</v>
      </c>
      <c r="H5160" t="str">
        <f>"Serv.Prest. 16/03/2026 a 22/03/2026 - PIX: CELULAR - CHAVE: (11) 98439-2238"</f>
        <v>Serv.Prest. 16/03/2026 a 22/03/2026 - PIX: CELULAR - CHAVE: (11) 98439-2238</v>
      </c>
      <c r="I5160" t="str">
        <f t="shared" si="930"/>
        <v>26/03/2026</v>
      </c>
      <c r="J5160" t="str">
        <f t="shared" si="935"/>
        <v>23/03/2026</v>
      </c>
      <c r="K5160" t="str">
        <f>("26/03/2026")</f>
        <v>26/03/2026</v>
      </c>
      <c r="L5160">
        <v>250</v>
      </c>
      <c r="M5160">
        <v>250</v>
      </c>
      <c r="N5160">
        <v>109</v>
      </c>
      <c r="O5160" t="str">
        <f>"PAGAMENTO DE ENTREGADORES"</f>
        <v>PAGAMENTO DE ENTREGADORES</v>
      </c>
      <c r="P5160">
        <v>250</v>
      </c>
      <c r="S5160" t="str">
        <f>"BANCO C6 (149)"</f>
        <v>BANCO C6 (149)</v>
      </c>
      <c r="T5160">
        <v>32211</v>
      </c>
      <c r="U5160">
        <v>35907</v>
      </c>
      <c r="V5160" t="s">
        <v>37</v>
      </c>
    </row>
    <row r="5161" spans="1:22">
      <c r="A5161" t="str">
        <f t="shared" si="938"/>
        <v>26/03/2026</v>
      </c>
      <c r="B5161" t="str">
        <f t="shared" si="929"/>
        <v>SAÍDA</v>
      </c>
      <c r="C5161" t="str">
        <f t="shared" si="931"/>
        <v>PIX</v>
      </c>
      <c r="D5161" t="str">
        <f>"35907"</f>
        <v>35907</v>
      </c>
      <c r="E5161" t="str">
        <f t="shared" si="936"/>
        <v>1</v>
      </c>
      <c r="F5161" t="str">
        <f t="shared" si="933"/>
        <v>COM</v>
      </c>
      <c r="G5161" t="str">
        <f t="shared" si="940"/>
        <v>ALINE ALVES DA SILVA (1081)</v>
      </c>
      <c r="H5161" t="s">
        <v>1406</v>
      </c>
      <c r="I5161" t="str">
        <f t="shared" si="930"/>
        <v>26/03/2026</v>
      </c>
      <c r="J5161" t="str">
        <f t="shared" si="935"/>
        <v>23/03/2026</v>
      </c>
      <c r="K5161">
        <v>46107</v>
      </c>
      <c r="N5161">
        <v>109</v>
      </c>
      <c r="O5161" t="s">
        <v>27</v>
      </c>
      <c r="Q5161">
        <v>250</v>
      </c>
      <c r="R5161" t="str">
        <f>"PENSE FARMA 62 (10274)"</f>
        <v>PENSE FARMA 62 (10274)</v>
      </c>
      <c r="S5161" t="s">
        <v>37</v>
      </c>
      <c r="T5161">
        <v>32211</v>
      </c>
      <c r="U5161">
        <v>35907</v>
      </c>
      <c r="V5161" t="s">
        <v>37</v>
      </c>
    </row>
    <row r="5162" spans="1:22">
      <c r="A5162" t="str">
        <f t="shared" si="938"/>
        <v>26/03/2026</v>
      </c>
      <c r="B5162" t="str">
        <f t="shared" si="929"/>
        <v>SAÍDA</v>
      </c>
      <c r="C5162" t="str">
        <f t="shared" si="931"/>
        <v>PIX</v>
      </c>
      <c r="D5162" t="str">
        <f>"35908"</f>
        <v>35908</v>
      </c>
      <c r="E5162" t="str">
        <f t="shared" si="936"/>
        <v>1</v>
      </c>
      <c r="F5162" t="str">
        <f t="shared" si="933"/>
        <v>COM</v>
      </c>
      <c r="G5162" t="str">
        <f t="shared" ref="G5162:G5169" si="941">"KENNEDY MALVEIRA POLUCENO (1330)"</f>
        <v>KENNEDY MALVEIRA POLUCENO (1330)</v>
      </c>
      <c r="H5162" t="str">
        <f>"Serv.Prest. 16/03/2026 a 22/03/2026 - PIX: CELULAR - CHAVE: (11) 91097-0937"</f>
        <v>Serv.Prest. 16/03/2026 a 22/03/2026 - PIX: CELULAR - CHAVE: (11) 91097-0937</v>
      </c>
      <c r="I5162" t="str">
        <f t="shared" si="930"/>
        <v>26/03/2026</v>
      </c>
      <c r="J5162" t="str">
        <f t="shared" si="935"/>
        <v>23/03/2026</v>
      </c>
      <c r="K5162" t="str">
        <f>("26/03/2026")</f>
        <v>26/03/2026</v>
      </c>
      <c r="L5162">
        <v>335</v>
      </c>
      <c r="M5162">
        <v>335</v>
      </c>
      <c r="N5162">
        <v>109</v>
      </c>
      <c r="O5162" t="str">
        <f>"PAGAMENTO DE ENTREGADORES"</f>
        <v>PAGAMENTO DE ENTREGADORES</v>
      </c>
      <c r="P5162">
        <v>335</v>
      </c>
      <c r="S5162" t="str">
        <f>"BANCO C6 (149)"</f>
        <v>BANCO C6 (149)</v>
      </c>
      <c r="T5162">
        <v>32212</v>
      </c>
      <c r="U5162">
        <v>35908</v>
      </c>
      <c r="V5162" t="s">
        <v>37</v>
      </c>
    </row>
    <row r="5163" spans="1:22">
      <c r="A5163" t="str">
        <f t="shared" si="938"/>
        <v>26/03/2026</v>
      </c>
      <c r="B5163" t="str">
        <f t="shared" si="929"/>
        <v>SAÍDA</v>
      </c>
      <c r="C5163" t="str">
        <f t="shared" si="931"/>
        <v>PIX</v>
      </c>
      <c r="D5163" t="str">
        <f>"35908"</f>
        <v>35908</v>
      </c>
      <c r="E5163" t="str">
        <f t="shared" si="936"/>
        <v>1</v>
      </c>
      <c r="F5163" t="str">
        <f t="shared" si="933"/>
        <v>COM</v>
      </c>
      <c r="G5163" t="str">
        <f t="shared" si="941"/>
        <v>KENNEDY MALVEIRA POLUCENO (1330)</v>
      </c>
      <c r="H5163" t="s">
        <v>1407</v>
      </c>
      <c r="I5163" t="str">
        <f t="shared" si="930"/>
        <v>26/03/2026</v>
      </c>
      <c r="J5163" t="str">
        <f t="shared" si="935"/>
        <v>23/03/2026</v>
      </c>
      <c r="K5163">
        <v>46107</v>
      </c>
      <c r="N5163">
        <v>109</v>
      </c>
      <c r="O5163" t="s">
        <v>27</v>
      </c>
      <c r="Q5163">
        <v>335</v>
      </c>
      <c r="R5163" t="str">
        <f>"PENSE FARMA 62 (10274)"</f>
        <v>PENSE FARMA 62 (10274)</v>
      </c>
      <c r="S5163" t="s">
        <v>37</v>
      </c>
      <c r="T5163">
        <v>32212</v>
      </c>
      <c r="U5163">
        <v>35908</v>
      </c>
      <c r="V5163" t="s">
        <v>37</v>
      </c>
    </row>
    <row r="5164" spans="1:22">
      <c r="A5164" t="str">
        <f t="shared" si="938"/>
        <v>26/03/2026</v>
      </c>
      <c r="B5164" t="str">
        <f t="shared" si="929"/>
        <v>SAÍDA</v>
      </c>
      <c r="C5164" t="str">
        <f t="shared" si="931"/>
        <v>PIX</v>
      </c>
      <c r="D5164" t="str">
        <f>"35909"</f>
        <v>35909</v>
      </c>
      <c r="E5164" t="str">
        <f t="shared" si="936"/>
        <v>1</v>
      </c>
      <c r="F5164" t="str">
        <f t="shared" si="933"/>
        <v>COM</v>
      </c>
      <c r="G5164" t="str">
        <f t="shared" si="941"/>
        <v>KENNEDY MALVEIRA POLUCENO (1330)</v>
      </c>
      <c r="H5164" t="str">
        <f>"Serv.Prest. 16/03/2026 a 22/03/2026 - PIX: CELULAR - CHAVE: (11) 91097-0937"</f>
        <v>Serv.Prest. 16/03/2026 a 22/03/2026 - PIX: CELULAR - CHAVE: (11) 91097-0937</v>
      </c>
      <c r="I5164" t="str">
        <f t="shared" si="930"/>
        <v>26/03/2026</v>
      </c>
      <c r="J5164" t="str">
        <f t="shared" si="935"/>
        <v>23/03/2026</v>
      </c>
      <c r="K5164" t="str">
        <f>("26/03/2026")</f>
        <v>26/03/2026</v>
      </c>
      <c r="L5164">
        <v>330</v>
      </c>
      <c r="M5164">
        <v>330</v>
      </c>
      <c r="N5164">
        <v>109</v>
      </c>
      <c r="O5164" t="str">
        <f>"PAGAMENTO DE ENTREGADORES"</f>
        <v>PAGAMENTO DE ENTREGADORES</v>
      </c>
      <c r="P5164">
        <v>330</v>
      </c>
      <c r="S5164" t="str">
        <f>"BANCO C6 (149)"</f>
        <v>BANCO C6 (149)</v>
      </c>
      <c r="T5164">
        <v>32213</v>
      </c>
      <c r="U5164">
        <v>35909</v>
      </c>
      <c r="V5164" t="s">
        <v>37</v>
      </c>
    </row>
    <row r="5165" spans="1:22">
      <c r="A5165" t="str">
        <f t="shared" si="938"/>
        <v>26/03/2026</v>
      </c>
      <c r="B5165" t="str">
        <f t="shared" si="929"/>
        <v>SAÍDA</v>
      </c>
      <c r="C5165" t="str">
        <f t="shared" si="931"/>
        <v>PIX</v>
      </c>
      <c r="D5165" t="str">
        <f>"35909"</f>
        <v>35909</v>
      </c>
      <c r="E5165" t="str">
        <f t="shared" si="936"/>
        <v>1</v>
      </c>
      <c r="F5165" t="str">
        <f t="shared" si="933"/>
        <v>COM</v>
      </c>
      <c r="G5165" t="str">
        <f t="shared" si="941"/>
        <v>KENNEDY MALVEIRA POLUCENO (1330)</v>
      </c>
      <c r="H5165" t="s">
        <v>1407</v>
      </c>
      <c r="I5165" t="str">
        <f t="shared" si="930"/>
        <v>26/03/2026</v>
      </c>
      <c r="J5165" t="str">
        <f t="shared" si="935"/>
        <v>23/03/2026</v>
      </c>
      <c r="K5165">
        <v>46107</v>
      </c>
      <c r="N5165">
        <v>109</v>
      </c>
      <c r="O5165" t="s">
        <v>27</v>
      </c>
      <c r="Q5165">
        <v>330</v>
      </c>
      <c r="R5165" t="str">
        <f>"PENSE FARMA 17 (10222)"</f>
        <v>PENSE FARMA 17 (10222)</v>
      </c>
      <c r="S5165" t="s">
        <v>37</v>
      </c>
      <c r="T5165">
        <v>32213</v>
      </c>
      <c r="U5165">
        <v>35909</v>
      </c>
      <c r="V5165" t="s">
        <v>37</v>
      </c>
    </row>
    <row r="5166" spans="1:22">
      <c r="A5166" t="str">
        <f t="shared" si="938"/>
        <v>26/03/2026</v>
      </c>
      <c r="B5166" t="str">
        <f t="shared" si="929"/>
        <v>SAÍDA</v>
      </c>
      <c r="C5166" t="str">
        <f t="shared" si="931"/>
        <v>PIX</v>
      </c>
      <c r="D5166" t="str">
        <f>"35910"</f>
        <v>35910</v>
      </c>
      <c r="E5166" t="str">
        <f t="shared" si="936"/>
        <v>1</v>
      </c>
      <c r="F5166" t="str">
        <f t="shared" si="933"/>
        <v>COM</v>
      </c>
      <c r="G5166" t="str">
        <f t="shared" si="941"/>
        <v>KENNEDY MALVEIRA POLUCENO (1330)</v>
      </c>
      <c r="H5166" t="str">
        <f>"Serv.Prest. 16/03/2026 a 22/03/2026 - PIX: CELULAR - CHAVE: (11) 91097-0937"</f>
        <v>Serv.Prest. 16/03/2026 a 22/03/2026 - PIX: CELULAR - CHAVE: (11) 91097-0937</v>
      </c>
      <c r="I5166" t="str">
        <f t="shared" si="930"/>
        <v>26/03/2026</v>
      </c>
      <c r="J5166" t="str">
        <f t="shared" si="935"/>
        <v>23/03/2026</v>
      </c>
      <c r="K5166" t="str">
        <f>("26/03/2026")</f>
        <v>26/03/2026</v>
      </c>
      <c r="L5166">
        <v>330</v>
      </c>
      <c r="M5166">
        <v>330</v>
      </c>
      <c r="N5166">
        <v>109</v>
      </c>
      <c r="O5166" t="str">
        <f>"PAGAMENTO DE ENTREGADORES"</f>
        <v>PAGAMENTO DE ENTREGADORES</v>
      </c>
      <c r="P5166">
        <v>330</v>
      </c>
      <c r="S5166" t="str">
        <f>"BANCO C6 (149)"</f>
        <v>BANCO C6 (149)</v>
      </c>
      <c r="T5166">
        <v>32214</v>
      </c>
      <c r="U5166">
        <v>35910</v>
      </c>
      <c r="V5166" t="s">
        <v>37</v>
      </c>
    </row>
    <row r="5167" spans="1:22">
      <c r="A5167" t="str">
        <f t="shared" si="938"/>
        <v>26/03/2026</v>
      </c>
      <c r="B5167" t="str">
        <f t="shared" si="929"/>
        <v>SAÍDA</v>
      </c>
      <c r="C5167" t="str">
        <f t="shared" si="931"/>
        <v>PIX</v>
      </c>
      <c r="D5167" t="str">
        <f>"35910"</f>
        <v>35910</v>
      </c>
      <c r="E5167" t="str">
        <f t="shared" si="936"/>
        <v>1</v>
      </c>
      <c r="F5167" t="str">
        <f t="shared" si="933"/>
        <v>COM</v>
      </c>
      <c r="G5167" t="str">
        <f t="shared" si="941"/>
        <v>KENNEDY MALVEIRA POLUCENO (1330)</v>
      </c>
      <c r="H5167" t="s">
        <v>1407</v>
      </c>
      <c r="I5167" t="str">
        <f t="shared" si="930"/>
        <v>26/03/2026</v>
      </c>
      <c r="J5167" t="str">
        <f t="shared" si="935"/>
        <v>23/03/2026</v>
      </c>
      <c r="K5167">
        <v>46107</v>
      </c>
      <c r="N5167">
        <v>109</v>
      </c>
      <c r="O5167" t="s">
        <v>27</v>
      </c>
      <c r="Q5167">
        <v>330</v>
      </c>
      <c r="R5167" t="str">
        <f>"PENSE FARMA 16 (10221)"</f>
        <v>PENSE FARMA 16 (10221)</v>
      </c>
      <c r="S5167" t="s">
        <v>37</v>
      </c>
      <c r="T5167">
        <v>32214</v>
      </c>
      <c r="U5167">
        <v>35910</v>
      </c>
      <c r="V5167" t="s">
        <v>37</v>
      </c>
    </row>
    <row r="5168" spans="1:22">
      <c r="A5168" t="str">
        <f t="shared" si="938"/>
        <v>26/03/2026</v>
      </c>
      <c r="B5168" t="str">
        <f t="shared" ref="B5168:B5231" si="942">"SAÍDA"</f>
        <v>SAÍDA</v>
      </c>
      <c r="C5168" t="str">
        <f t="shared" si="931"/>
        <v>PIX</v>
      </c>
      <c r="D5168" t="str">
        <f>"35911"</f>
        <v>35911</v>
      </c>
      <c r="E5168" t="str">
        <f t="shared" si="936"/>
        <v>1</v>
      </c>
      <c r="F5168" t="str">
        <f t="shared" si="933"/>
        <v>COM</v>
      </c>
      <c r="G5168" t="str">
        <f t="shared" si="941"/>
        <v>KENNEDY MALVEIRA POLUCENO (1330)</v>
      </c>
      <c r="H5168" t="str">
        <f>"Serv.Prest. 16/03/2026 a 22/03/2026 - PIX: CELULAR - CHAVE: (11) 91097-0937"</f>
        <v>Serv.Prest. 16/03/2026 a 22/03/2026 - PIX: CELULAR - CHAVE: (11) 91097-0937</v>
      </c>
      <c r="I5168" t="str">
        <f t="shared" ref="I5168:I5231" si="943">("26/03/2026")</f>
        <v>26/03/2026</v>
      </c>
      <c r="J5168" t="str">
        <f t="shared" si="935"/>
        <v>23/03/2026</v>
      </c>
      <c r="K5168" t="str">
        <f>("26/03/2026")</f>
        <v>26/03/2026</v>
      </c>
      <c r="L5168">
        <v>330</v>
      </c>
      <c r="M5168">
        <v>330</v>
      </c>
      <c r="N5168">
        <v>109</v>
      </c>
      <c r="O5168" t="str">
        <f>"PAGAMENTO DE ENTREGADORES"</f>
        <v>PAGAMENTO DE ENTREGADORES</v>
      </c>
      <c r="P5168">
        <v>330</v>
      </c>
      <c r="S5168" t="str">
        <f>"BANCO C6 (149)"</f>
        <v>BANCO C6 (149)</v>
      </c>
      <c r="T5168">
        <v>32215</v>
      </c>
      <c r="U5168">
        <v>35911</v>
      </c>
      <c r="V5168" t="s">
        <v>37</v>
      </c>
    </row>
    <row r="5169" spans="1:22">
      <c r="A5169" t="str">
        <f t="shared" si="938"/>
        <v>26/03/2026</v>
      </c>
      <c r="B5169" t="str">
        <f t="shared" si="942"/>
        <v>SAÍDA</v>
      </c>
      <c r="C5169" t="str">
        <f t="shared" si="931"/>
        <v>PIX</v>
      </c>
      <c r="D5169" t="str">
        <f>"35911"</f>
        <v>35911</v>
      </c>
      <c r="E5169" t="str">
        <f t="shared" si="936"/>
        <v>1</v>
      </c>
      <c r="F5169" t="str">
        <f t="shared" si="933"/>
        <v>COM</v>
      </c>
      <c r="G5169" t="str">
        <f t="shared" si="941"/>
        <v>KENNEDY MALVEIRA POLUCENO (1330)</v>
      </c>
      <c r="H5169" t="s">
        <v>1407</v>
      </c>
      <c r="I5169" t="str">
        <f t="shared" si="943"/>
        <v>26/03/2026</v>
      </c>
      <c r="J5169" t="str">
        <f t="shared" si="935"/>
        <v>23/03/2026</v>
      </c>
      <c r="K5169">
        <v>46107</v>
      </c>
      <c r="N5169">
        <v>109</v>
      </c>
      <c r="O5169" t="s">
        <v>27</v>
      </c>
      <c r="Q5169">
        <v>330</v>
      </c>
      <c r="R5169" t="str">
        <f>"PENSE FARMA 31 (10205)"</f>
        <v>PENSE FARMA 31 (10205)</v>
      </c>
      <c r="S5169" t="s">
        <v>37</v>
      </c>
      <c r="T5169">
        <v>32215</v>
      </c>
      <c r="U5169">
        <v>35911</v>
      </c>
      <c r="V5169" t="s">
        <v>37</v>
      </c>
    </row>
    <row r="5170" spans="1:22">
      <c r="A5170" t="str">
        <f t="shared" si="938"/>
        <v>26/03/2026</v>
      </c>
      <c r="B5170" t="str">
        <f t="shared" si="942"/>
        <v>SAÍDA</v>
      </c>
      <c r="C5170" t="str">
        <f t="shared" si="931"/>
        <v>PIX</v>
      </c>
      <c r="D5170" t="str">
        <f>"35917"</f>
        <v>35917</v>
      </c>
      <c r="E5170" t="str">
        <f t="shared" si="936"/>
        <v>1</v>
      </c>
      <c r="F5170" t="str">
        <f t="shared" si="933"/>
        <v>COM</v>
      </c>
      <c r="G5170" t="str">
        <f>"PEDRO HENRIQUE XAVIER DOS SANTOS (993)"</f>
        <v>PEDRO HENRIQUE XAVIER DOS SANTOS (993)</v>
      </c>
      <c r="H5170" t="str">
        <f>"Serv.Prest. 16/03/2026 a 22/03/2026 - PIX: CPF - CHAVE: 489.237.478-40"</f>
        <v>Serv.Prest. 16/03/2026 a 22/03/2026 - PIX: CPF - CHAVE: 489.237.478-40</v>
      </c>
      <c r="I5170" t="str">
        <f t="shared" si="943"/>
        <v>26/03/2026</v>
      </c>
      <c r="J5170" t="str">
        <f t="shared" si="935"/>
        <v>23/03/2026</v>
      </c>
      <c r="K5170" t="str">
        <f>("26/03/2026")</f>
        <v>26/03/2026</v>
      </c>
      <c r="L5170">
        <v>800</v>
      </c>
      <c r="M5170">
        <v>800</v>
      </c>
      <c r="N5170">
        <v>109</v>
      </c>
      <c r="O5170" t="str">
        <f>"PAGAMENTO DE ENTREGADORES"</f>
        <v>PAGAMENTO DE ENTREGADORES</v>
      </c>
      <c r="P5170">
        <v>800</v>
      </c>
      <c r="S5170" t="str">
        <f>"BANCO C6 (149)"</f>
        <v>BANCO C6 (149)</v>
      </c>
      <c r="T5170">
        <v>32216</v>
      </c>
      <c r="U5170">
        <v>35917</v>
      </c>
      <c r="V5170" t="s">
        <v>37</v>
      </c>
    </row>
    <row r="5171" spans="1:22">
      <c r="A5171" t="str">
        <f t="shared" si="938"/>
        <v>26/03/2026</v>
      </c>
      <c r="B5171" t="str">
        <f t="shared" si="942"/>
        <v>SAÍDA</v>
      </c>
      <c r="C5171" t="str">
        <f t="shared" si="931"/>
        <v>PIX</v>
      </c>
      <c r="D5171" t="str">
        <f>"35917"</f>
        <v>35917</v>
      </c>
      <c r="E5171" t="str">
        <f t="shared" si="936"/>
        <v>1</v>
      </c>
      <c r="F5171" t="str">
        <f t="shared" si="933"/>
        <v>COM</v>
      </c>
      <c r="G5171" t="str">
        <f>"PEDRO HENRIQUE XAVIER DOS SANTOS (993)"</f>
        <v>PEDRO HENRIQUE XAVIER DOS SANTOS (993)</v>
      </c>
      <c r="H5171" t="s">
        <v>1408</v>
      </c>
      <c r="I5171" t="str">
        <f t="shared" si="943"/>
        <v>26/03/2026</v>
      </c>
      <c r="J5171" t="str">
        <f t="shared" si="935"/>
        <v>23/03/2026</v>
      </c>
      <c r="K5171">
        <v>46107</v>
      </c>
      <c r="N5171">
        <v>109</v>
      </c>
      <c r="O5171" t="s">
        <v>27</v>
      </c>
      <c r="Q5171">
        <v>800</v>
      </c>
      <c r="R5171" t="str">
        <f>"PENSE FARMA 35 (10227)"</f>
        <v>PENSE FARMA 35 (10227)</v>
      </c>
      <c r="S5171" t="s">
        <v>37</v>
      </c>
      <c r="T5171">
        <v>32216</v>
      </c>
      <c r="U5171">
        <v>35917</v>
      </c>
      <c r="V5171" t="s">
        <v>37</v>
      </c>
    </row>
    <row r="5172" spans="1:22">
      <c r="A5172" t="str">
        <f t="shared" si="938"/>
        <v>26/03/2026</v>
      </c>
      <c r="B5172" t="str">
        <f t="shared" si="942"/>
        <v>SAÍDA</v>
      </c>
      <c r="C5172" t="str">
        <f t="shared" si="931"/>
        <v>PIX</v>
      </c>
      <c r="D5172" t="str">
        <f>"35919"</f>
        <v>35919</v>
      </c>
      <c r="E5172" t="str">
        <f t="shared" si="936"/>
        <v>1</v>
      </c>
      <c r="F5172" t="str">
        <f t="shared" si="933"/>
        <v>COM</v>
      </c>
      <c r="G5172" t="str">
        <f t="shared" ref="G5172:G5183" si="944">"FELIPE ALEXANDRE CAMA (976)"</f>
        <v>FELIPE ALEXANDRE CAMA (976)</v>
      </c>
      <c r="H5172" t="str">
        <f>"Serv.Prest. 16/03/2026 a 22/03/2026 - PIX: CPF - CHAVE: 471.142.438-55"</f>
        <v>Serv.Prest. 16/03/2026 a 22/03/2026 - PIX: CPF - CHAVE: 471.142.438-55</v>
      </c>
      <c r="I5172" t="str">
        <f t="shared" si="943"/>
        <v>26/03/2026</v>
      </c>
      <c r="J5172" t="str">
        <f t="shared" si="935"/>
        <v>23/03/2026</v>
      </c>
      <c r="K5172" t="str">
        <f>("26/03/2026")</f>
        <v>26/03/2026</v>
      </c>
      <c r="L5172">
        <v>205</v>
      </c>
      <c r="M5172">
        <v>205</v>
      </c>
      <c r="N5172">
        <v>109</v>
      </c>
      <c r="O5172" t="str">
        <f>"PAGAMENTO DE ENTREGADORES"</f>
        <v>PAGAMENTO DE ENTREGADORES</v>
      </c>
      <c r="P5172">
        <v>205</v>
      </c>
      <c r="S5172" t="str">
        <f>"BANCO C6 (149)"</f>
        <v>BANCO C6 (149)</v>
      </c>
      <c r="T5172">
        <v>32217</v>
      </c>
      <c r="U5172">
        <v>35919</v>
      </c>
      <c r="V5172" t="s">
        <v>37</v>
      </c>
    </row>
    <row r="5173" spans="1:22">
      <c r="A5173" t="str">
        <f t="shared" si="938"/>
        <v>26/03/2026</v>
      </c>
      <c r="B5173" t="str">
        <f t="shared" si="942"/>
        <v>SAÍDA</v>
      </c>
      <c r="C5173" t="str">
        <f t="shared" si="931"/>
        <v>PIX</v>
      </c>
      <c r="D5173" t="str">
        <f>"35919"</f>
        <v>35919</v>
      </c>
      <c r="E5173" t="str">
        <f t="shared" si="936"/>
        <v>1</v>
      </c>
      <c r="F5173" t="str">
        <f t="shared" si="933"/>
        <v>COM</v>
      </c>
      <c r="G5173" t="str">
        <f t="shared" si="944"/>
        <v>FELIPE ALEXANDRE CAMA (976)</v>
      </c>
      <c r="H5173" t="s">
        <v>1213</v>
      </c>
      <c r="I5173" t="str">
        <f t="shared" si="943"/>
        <v>26/03/2026</v>
      </c>
      <c r="J5173" t="str">
        <f t="shared" si="935"/>
        <v>23/03/2026</v>
      </c>
      <c r="K5173">
        <v>46107</v>
      </c>
      <c r="N5173">
        <v>109</v>
      </c>
      <c r="O5173" t="s">
        <v>27</v>
      </c>
      <c r="Q5173">
        <v>205</v>
      </c>
      <c r="R5173" t="str">
        <f>"PENSE FARMA DARK STORE 361 (10212)"</f>
        <v>PENSE FARMA DARK STORE 361 (10212)</v>
      </c>
      <c r="S5173" t="s">
        <v>37</v>
      </c>
      <c r="T5173">
        <v>32217</v>
      </c>
      <c r="U5173">
        <v>35919</v>
      </c>
      <c r="V5173" t="s">
        <v>37</v>
      </c>
    </row>
    <row r="5174" spans="1:22">
      <c r="A5174" t="str">
        <f t="shared" si="938"/>
        <v>26/03/2026</v>
      </c>
      <c r="B5174" t="str">
        <f t="shared" si="942"/>
        <v>SAÍDA</v>
      </c>
      <c r="C5174" t="str">
        <f t="shared" ref="C5174:C5237" si="945">"PIX"</f>
        <v>PIX</v>
      </c>
      <c r="D5174" t="str">
        <f>"35920"</f>
        <v>35920</v>
      </c>
      <c r="E5174" t="str">
        <f t="shared" si="936"/>
        <v>1</v>
      </c>
      <c r="F5174" t="str">
        <f t="shared" si="933"/>
        <v>COM</v>
      </c>
      <c r="G5174" t="str">
        <f t="shared" si="944"/>
        <v>FELIPE ALEXANDRE CAMA (976)</v>
      </c>
      <c r="H5174" t="str">
        <f>"Serv.Prest. 16/03/2026 a 22/03/2026 - PIX: CPF - CHAVE: 471.142.438-55"</f>
        <v>Serv.Prest. 16/03/2026 a 22/03/2026 - PIX: CPF - CHAVE: 471.142.438-55</v>
      </c>
      <c r="I5174" t="str">
        <f t="shared" si="943"/>
        <v>26/03/2026</v>
      </c>
      <c r="J5174" t="str">
        <f t="shared" si="935"/>
        <v>23/03/2026</v>
      </c>
      <c r="K5174" t="str">
        <f>("26/03/2026")</f>
        <v>26/03/2026</v>
      </c>
      <c r="L5174">
        <v>220</v>
      </c>
      <c r="M5174">
        <v>220</v>
      </c>
      <c r="N5174">
        <v>109</v>
      </c>
      <c r="O5174" t="str">
        <f>"PAGAMENTO DE ENTREGADORES"</f>
        <v>PAGAMENTO DE ENTREGADORES</v>
      </c>
      <c r="P5174">
        <v>220</v>
      </c>
      <c r="S5174" t="str">
        <f>"BANCO C6 (149)"</f>
        <v>BANCO C6 (149)</v>
      </c>
      <c r="T5174">
        <v>32218</v>
      </c>
      <c r="U5174">
        <v>35920</v>
      </c>
      <c r="V5174" t="s">
        <v>37</v>
      </c>
    </row>
    <row r="5175" spans="1:22">
      <c r="A5175" t="str">
        <f t="shared" si="938"/>
        <v>26/03/2026</v>
      </c>
      <c r="B5175" t="str">
        <f t="shared" si="942"/>
        <v>SAÍDA</v>
      </c>
      <c r="C5175" t="str">
        <f t="shared" si="945"/>
        <v>PIX</v>
      </c>
      <c r="D5175" t="str">
        <f>"35920"</f>
        <v>35920</v>
      </c>
      <c r="E5175" t="str">
        <f t="shared" si="936"/>
        <v>1</v>
      </c>
      <c r="F5175" t="str">
        <f t="shared" si="933"/>
        <v>COM</v>
      </c>
      <c r="G5175" t="str">
        <f t="shared" si="944"/>
        <v>FELIPE ALEXANDRE CAMA (976)</v>
      </c>
      <c r="H5175" t="s">
        <v>1213</v>
      </c>
      <c r="I5175" t="str">
        <f t="shared" si="943"/>
        <v>26/03/2026</v>
      </c>
      <c r="J5175" t="str">
        <f t="shared" si="935"/>
        <v>23/03/2026</v>
      </c>
      <c r="K5175">
        <v>46107</v>
      </c>
      <c r="N5175">
        <v>109</v>
      </c>
      <c r="O5175" t="s">
        <v>27</v>
      </c>
      <c r="Q5175">
        <v>220</v>
      </c>
      <c r="R5175" t="str">
        <f>"PENSE FARMA 59 (10211)"</f>
        <v>PENSE FARMA 59 (10211)</v>
      </c>
      <c r="S5175" t="s">
        <v>37</v>
      </c>
      <c r="T5175">
        <v>32218</v>
      </c>
      <c r="U5175">
        <v>35920</v>
      </c>
      <c r="V5175" t="s">
        <v>37</v>
      </c>
    </row>
    <row r="5176" spans="1:22">
      <c r="A5176" t="str">
        <f t="shared" si="938"/>
        <v>26/03/2026</v>
      </c>
      <c r="B5176" t="str">
        <f t="shared" si="942"/>
        <v>SAÍDA</v>
      </c>
      <c r="C5176" t="str">
        <f t="shared" si="945"/>
        <v>PIX</v>
      </c>
      <c r="D5176" t="str">
        <f>"35921"</f>
        <v>35921</v>
      </c>
      <c r="E5176" t="str">
        <f t="shared" si="936"/>
        <v>1</v>
      </c>
      <c r="F5176" t="str">
        <f t="shared" si="933"/>
        <v>COM</v>
      </c>
      <c r="G5176" t="str">
        <f t="shared" si="944"/>
        <v>FELIPE ALEXANDRE CAMA (976)</v>
      </c>
      <c r="H5176" t="str">
        <f>"Serv.Prest. 16/03/2026 a 22/03/2026 - PIX: CPF - CHAVE: 471.142.438-55"</f>
        <v>Serv.Prest. 16/03/2026 a 22/03/2026 - PIX: CPF - CHAVE: 471.142.438-55</v>
      </c>
      <c r="I5176" t="str">
        <f t="shared" si="943"/>
        <v>26/03/2026</v>
      </c>
      <c r="J5176" t="str">
        <f t="shared" si="935"/>
        <v>23/03/2026</v>
      </c>
      <c r="K5176" t="str">
        <f>("26/03/2026")</f>
        <v>26/03/2026</v>
      </c>
      <c r="L5176">
        <v>220</v>
      </c>
      <c r="M5176">
        <v>220</v>
      </c>
      <c r="N5176">
        <v>109</v>
      </c>
      <c r="O5176" t="str">
        <f>"PAGAMENTO DE ENTREGADORES"</f>
        <v>PAGAMENTO DE ENTREGADORES</v>
      </c>
      <c r="P5176">
        <v>220</v>
      </c>
      <c r="S5176" t="str">
        <f>"BANCO C6 (149)"</f>
        <v>BANCO C6 (149)</v>
      </c>
      <c r="T5176">
        <v>32219</v>
      </c>
      <c r="U5176">
        <v>35921</v>
      </c>
      <c r="V5176" t="s">
        <v>37</v>
      </c>
    </row>
    <row r="5177" spans="1:22">
      <c r="A5177" t="str">
        <f t="shared" si="938"/>
        <v>26/03/2026</v>
      </c>
      <c r="B5177" t="str">
        <f t="shared" si="942"/>
        <v>SAÍDA</v>
      </c>
      <c r="C5177" t="str">
        <f t="shared" si="945"/>
        <v>PIX</v>
      </c>
      <c r="D5177" t="str">
        <f>"35921"</f>
        <v>35921</v>
      </c>
      <c r="E5177" t="str">
        <f t="shared" si="936"/>
        <v>1</v>
      </c>
      <c r="F5177" t="str">
        <f t="shared" si="933"/>
        <v>COM</v>
      </c>
      <c r="G5177" t="str">
        <f t="shared" si="944"/>
        <v>FELIPE ALEXANDRE CAMA (976)</v>
      </c>
      <c r="H5177" t="s">
        <v>1213</v>
      </c>
      <c r="I5177" t="str">
        <f t="shared" si="943"/>
        <v>26/03/2026</v>
      </c>
      <c r="J5177" t="str">
        <f t="shared" si="935"/>
        <v>23/03/2026</v>
      </c>
      <c r="K5177">
        <v>46107</v>
      </c>
      <c r="N5177">
        <v>109</v>
      </c>
      <c r="O5177" t="s">
        <v>27</v>
      </c>
      <c r="Q5177">
        <v>220</v>
      </c>
      <c r="R5177" t="str">
        <f>"PENSE FARMA 43 (10208)"</f>
        <v>PENSE FARMA 43 (10208)</v>
      </c>
      <c r="S5177" t="s">
        <v>37</v>
      </c>
      <c r="T5177">
        <v>32219</v>
      </c>
      <c r="U5177">
        <v>35921</v>
      </c>
      <c r="V5177" t="s">
        <v>37</v>
      </c>
    </row>
    <row r="5178" spans="1:22">
      <c r="A5178" t="str">
        <f t="shared" si="938"/>
        <v>26/03/2026</v>
      </c>
      <c r="B5178" t="str">
        <f t="shared" si="942"/>
        <v>SAÍDA</v>
      </c>
      <c r="C5178" t="str">
        <f t="shared" si="945"/>
        <v>PIX</v>
      </c>
      <c r="D5178" t="str">
        <f>"35922"</f>
        <v>35922</v>
      </c>
      <c r="E5178" t="str">
        <f t="shared" si="936"/>
        <v>1</v>
      </c>
      <c r="F5178" t="str">
        <f t="shared" si="933"/>
        <v>COM</v>
      </c>
      <c r="G5178" t="str">
        <f t="shared" si="944"/>
        <v>FELIPE ALEXANDRE CAMA (976)</v>
      </c>
      <c r="H5178" t="str">
        <f>"Serv.Prest. 16/03/2026 a 22/03/2026 - PIX: CPF - CHAVE: 471.142.438-55"</f>
        <v>Serv.Prest. 16/03/2026 a 22/03/2026 - PIX: CPF - CHAVE: 471.142.438-55</v>
      </c>
      <c r="I5178" t="str">
        <f t="shared" si="943"/>
        <v>26/03/2026</v>
      </c>
      <c r="J5178" t="str">
        <f t="shared" si="935"/>
        <v>23/03/2026</v>
      </c>
      <c r="K5178" t="str">
        <f>("26/03/2026")</f>
        <v>26/03/2026</v>
      </c>
      <c r="L5178">
        <v>220</v>
      </c>
      <c r="M5178">
        <v>220</v>
      </c>
      <c r="N5178">
        <v>109</v>
      </c>
      <c r="O5178" t="str">
        <f>"PAGAMENTO DE ENTREGADORES"</f>
        <v>PAGAMENTO DE ENTREGADORES</v>
      </c>
      <c r="P5178">
        <v>220</v>
      </c>
      <c r="S5178" t="str">
        <f>"BANCO C6 (149)"</f>
        <v>BANCO C6 (149)</v>
      </c>
      <c r="T5178">
        <v>32220</v>
      </c>
      <c r="U5178">
        <v>35922</v>
      </c>
      <c r="V5178" t="s">
        <v>37</v>
      </c>
    </row>
    <row r="5179" spans="1:22">
      <c r="A5179" t="str">
        <f t="shared" si="938"/>
        <v>26/03/2026</v>
      </c>
      <c r="B5179" t="str">
        <f t="shared" si="942"/>
        <v>SAÍDA</v>
      </c>
      <c r="C5179" t="str">
        <f t="shared" si="945"/>
        <v>PIX</v>
      </c>
      <c r="D5179" t="str">
        <f>"35922"</f>
        <v>35922</v>
      </c>
      <c r="E5179" t="str">
        <f t="shared" si="936"/>
        <v>1</v>
      </c>
      <c r="F5179" t="str">
        <f t="shared" si="933"/>
        <v>COM</v>
      </c>
      <c r="G5179" t="str">
        <f t="shared" si="944"/>
        <v>FELIPE ALEXANDRE CAMA (976)</v>
      </c>
      <c r="H5179" t="s">
        <v>1213</v>
      </c>
      <c r="I5179" t="str">
        <f t="shared" si="943"/>
        <v>26/03/2026</v>
      </c>
      <c r="J5179" t="str">
        <f t="shared" si="935"/>
        <v>23/03/2026</v>
      </c>
      <c r="K5179">
        <v>46107</v>
      </c>
      <c r="N5179">
        <v>109</v>
      </c>
      <c r="O5179" t="s">
        <v>27</v>
      </c>
      <c r="Q5179">
        <v>220</v>
      </c>
      <c r="R5179" t="str">
        <f>"PENSE FARMA 40 (10207)"</f>
        <v>PENSE FARMA 40 (10207)</v>
      </c>
      <c r="S5179" t="s">
        <v>37</v>
      </c>
      <c r="T5179">
        <v>32220</v>
      </c>
      <c r="U5179">
        <v>35922</v>
      </c>
      <c r="V5179" t="s">
        <v>37</v>
      </c>
    </row>
    <row r="5180" spans="1:22">
      <c r="A5180" t="str">
        <f t="shared" si="938"/>
        <v>26/03/2026</v>
      </c>
      <c r="B5180" t="str">
        <f t="shared" si="942"/>
        <v>SAÍDA</v>
      </c>
      <c r="C5180" t="str">
        <f t="shared" si="945"/>
        <v>PIX</v>
      </c>
      <c r="D5180" t="str">
        <f>"35923"</f>
        <v>35923</v>
      </c>
      <c r="E5180" t="str">
        <f t="shared" si="936"/>
        <v>1</v>
      </c>
      <c r="F5180" t="str">
        <f t="shared" si="933"/>
        <v>COM</v>
      </c>
      <c r="G5180" t="str">
        <f t="shared" si="944"/>
        <v>FELIPE ALEXANDRE CAMA (976)</v>
      </c>
      <c r="H5180" t="str">
        <f>"Serv.Prest. 16/03/2026 a 22/03/2026 - PIX: CPF - CHAVE: 471.142.438-55"</f>
        <v>Serv.Prest. 16/03/2026 a 22/03/2026 - PIX: CPF - CHAVE: 471.142.438-55</v>
      </c>
      <c r="I5180" t="str">
        <f t="shared" si="943"/>
        <v>26/03/2026</v>
      </c>
      <c r="J5180" t="str">
        <f t="shared" si="935"/>
        <v>23/03/2026</v>
      </c>
      <c r="K5180" t="str">
        <f>("26/03/2026")</f>
        <v>26/03/2026</v>
      </c>
      <c r="L5180">
        <v>220</v>
      </c>
      <c r="M5180">
        <v>220</v>
      </c>
      <c r="N5180">
        <v>109</v>
      </c>
      <c r="O5180" t="str">
        <f>"PAGAMENTO DE ENTREGADORES"</f>
        <v>PAGAMENTO DE ENTREGADORES</v>
      </c>
      <c r="P5180">
        <v>220</v>
      </c>
      <c r="S5180" t="str">
        <f>"BANCO C6 (149)"</f>
        <v>BANCO C6 (149)</v>
      </c>
      <c r="T5180">
        <v>32221</v>
      </c>
      <c r="U5180">
        <v>35923</v>
      </c>
      <c r="V5180" t="s">
        <v>37</v>
      </c>
    </row>
    <row r="5181" spans="1:22">
      <c r="A5181" t="str">
        <f t="shared" si="938"/>
        <v>26/03/2026</v>
      </c>
      <c r="B5181" t="str">
        <f t="shared" si="942"/>
        <v>SAÍDA</v>
      </c>
      <c r="C5181" t="str">
        <f t="shared" si="945"/>
        <v>PIX</v>
      </c>
      <c r="D5181" t="str">
        <f>"35923"</f>
        <v>35923</v>
      </c>
      <c r="E5181" t="str">
        <f t="shared" si="936"/>
        <v>1</v>
      </c>
      <c r="F5181" t="str">
        <f t="shared" si="933"/>
        <v>COM</v>
      </c>
      <c r="G5181" t="str">
        <f t="shared" si="944"/>
        <v>FELIPE ALEXANDRE CAMA (976)</v>
      </c>
      <c r="H5181" t="s">
        <v>1213</v>
      </c>
      <c r="I5181" t="str">
        <f t="shared" si="943"/>
        <v>26/03/2026</v>
      </c>
      <c r="J5181" t="str">
        <f t="shared" si="935"/>
        <v>23/03/2026</v>
      </c>
      <c r="K5181">
        <v>46107</v>
      </c>
      <c r="N5181">
        <v>109</v>
      </c>
      <c r="O5181" t="s">
        <v>27</v>
      </c>
      <c r="Q5181">
        <v>220</v>
      </c>
      <c r="R5181" t="str">
        <f>"PENSE FARMA 36 (10206)"</f>
        <v>PENSE FARMA 36 (10206)</v>
      </c>
      <c r="S5181" t="s">
        <v>37</v>
      </c>
      <c r="T5181">
        <v>32221</v>
      </c>
      <c r="U5181">
        <v>35923</v>
      </c>
      <c r="V5181" t="s">
        <v>37</v>
      </c>
    </row>
    <row r="5182" spans="1:22">
      <c r="A5182" t="str">
        <f t="shared" si="938"/>
        <v>26/03/2026</v>
      </c>
      <c r="B5182" t="str">
        <f t="shared" si="942"/>
        <v>SAÍDA</v>
      </c>
      <c r="C5182" t="str">
        <f t="shared" si="945"/>
        <v>PIX</v>
      </c>
      <c r="D5182" t="str">
        <f>"35924"</f>
        <v>35924</v>
      </c>
      <c r="E5182" t="str">
        <f t="shared" si="936"/>
        <v>1</v>
      </c>
      <c r="F5182" t="str">
        <f t="shared" si="933"/>
        <v>COM</v>
      </c>
      <c r="G5182" t="str">
        <f t="shared" si="944"/>
        <v>FELIPE ALEXANDRE CAMA (976)</v>
      </c>
      <c r="H5182" t="str">
        <f>"Serv.Prest. 16/03/2026 a 22/03/2026 - PIX: CPF - CHAVE: 471.142.438-55"</f>
        <v>Serv.Prest. 16/03/2026 a 22/03/2026 - PIX: CPF - CHAVE: 471.142.438-55</v>
      </c>
      <c r="I5182" t="str">
        <f t="shared" si="943"/>
        <v>26/03/2026</v>
      </c>
      <c r="J5182" t="str">
        <f t="shared" si="935"/>
        <v>23/03/2026</v>
      </c>
      <c r="K5182" t="str">
        <f>("26/03/2026")</f>
        <v>26/03/2026</v>
      </c>
      <c r="L5182">
        <v>220</v>
      </c>
      <c r="M5182">
        <v>220</v>
      </c>
      <c r="N5182">
        <v>109</v>
      </c>
      <c r="O5182" t="str">
        <f>"PAGAMENTO DE ENTREGADORES"</f>
        <v>PAGAMENTO DE ENTREGADORES</v>
      </c>
      <c r="P5182">
        <v>220</v>
      </c>
      <c r="S5182" t="str">
        <f>"BANCO C6 (149)"</f>
        <v>BANCO C6 (149)</v>
      </c>
      <c r="T5182">
        <v>32222</v>
      </c>
      <c r="U5182">
        <v>35924</v>
      </c>
      <c r="V5182" t="s">
        <v>37</v>
      </c>
    </row>
    <row r="5183" spans="1:22">
      <c r="A5183" t="str">
        <f t="shared" si="938"/>
        <v>26/03/2026</v>
      </c>
      <c r="B5183" t="str">
        <f t="shared" si="942"/>
        <v>SAÍDA</v>
      </c>
      <c r="C5183" t="str">
        <f t="shared" si="945"/>
        <v>PIX</v>
      </c>
      <c r="D5183" t="str">
        <f>"35924"</f>
        <v>35924</v>
      </c>
      <c r="E5183" t="str">
        <f t="shared" si="936"/>
        <v>1</v>
      </c>
      <c r="F5183" t="str">
        <f t="shared" si="933"/>
        <v>COM</v>
      </c>
      <c r="G5183" t="str">
        <f t="shared" si="944"/>
        <v>FELIPE ALEXANDRE CAMA (976)</v>
      </c>
      <c r="H5183" t="s">
        <v>1213</v>
      </c>
      <c r="I5183" t="str">
        <f t="shared" si="943"/>
        <v>26/03/2026</v>
      </c>
      <c r="J5183" t="str">
        <f t="shared" si="935"/>
        <v>23/03/2026</v>
      </c>
      <c r="K5183">
        <v>46107</v>
      </c>
      <c r="N5183">
        <v>109</v>
      </c>
      <c r="O5183" t="s">
        <v>27</v>
      </c>
      <c r="Q5183">
        <v>220</v>
      </c>
      <c r="R5183" t="str">
        <f>"PENSE FARMA 20 (10203)"</f>
        <v>PENSE FARMA 20 (10203)</v>
      </c>
      <c r="S5183" t="s">
        <v>37</v>
      </c>
      <c r="T5183">
        <v>32222</v>
      </c>
      <c r="U5183">
        <v>35924</v>
      </c>
      <c r="V5183" t="s">
        <v>37</v>
      </c>
    </row>
    <row r="5184" spans="1:22">
      <c r="A5184" t="str">
        <f t="shared" si="938"/>
        <v>26/03/2026</v>
      </c>
      <c r="B5184" t="str">
        <f t="shared" si="942"/>
        <v>SAÍDA</v>
      </c>
      <c r="C5184" t="str">
        <f t="shared" si="945"/>
        <v>PIX</v>
      </c>
      <c r="D5184" t="str">
        <f>"35925"</f>
        <v>35925</v>
      </c>
      <c r="E5184" t="str">
        <f t="shared" si="936"/>
        <v>1</v>
      </c>
      <c r="F5184" t="str">
        <f t="shared" si="933"/>
        <v>COM</v>
      </c>
      <c r="G5184" t="str">
        <f t="shared" ref="G5184:G5195" si="946">"JULIO GUIMARAES DOS SANTOS (977)"</f>
        <v>JULIO GUIMARAES DOS SANTOS (977)</v>
      </c>
      <c r="H5184" t="str">
        <f>"Serv.Prest. 16/03/2026 a 22/03/2026 - PIX: CELULAR - CHAVE: (11) 94195-2534"</f>
        <v>Serv.Prest. 16/03/2026 a 22/03/2026 - PIX: CELULAR - CHAVE: (11) 94195-2534</v>
      </c>
      <c r="I5184" t="str">
        <f t="shared" si="943"/>
        <v>26/03/2026</v>
      </c>
      <c r="J5184" t="str">
        <f t="shared" si="935"/>
        <v>23/03/2026</v>
      </c>
      <c r="K5184" t="str">
        <f>("26/03/2026")</f>
        <v>26/03/2026</v>
      </c>
      <c r="L5184">
        <v>194</v>
      </c>
      <c r="M5184">
        <v>194</v>
      </c>
      <c r="N5184">
        <v>109</v>
      </c>
      <c r="O5184" t="str">
        <f>"PAGAMENTO DE ENTREGADORES"</f>
        <v>PAGAMENTO DE ENTREGADORES</v>
      </c>
      <c r="P5184">
        <v>194</v>
      </c>
      <c r="S5184" t="str">
        <f>"BANCO C6 (149)"</f>
        <v>BANCO C6 (149)</v>
      </c>
      <c r="T5184">
        <v>32223</v>
      </c>
      <c r="U5184">
        <v>35925</v>
      </c>
      <c r="V5184" t="s">
        <v>37</v>
      </c>
    </row>
    <row r="5185" spans="1:22">
      <c r="A5185" t="str">
        <f t="shared" si="938"/>
        <v>26/03/2026</v>
      </c>
      <c r="B5185" t="str">
        <f t="shared" si="942"/>
        <v>SAÍDA</v>
      </c>
      <c r="C5185" t="str">
        <f t="shared" si="945"/>
        <v>PIX</v>
      </c>
      <c r="D5185" t="str">
        <f>"35925"</f>
        <v>35925</v>
      </c>
      <c r="E5185" t="str">
        <f t="shared" si="936"/>
        <v>1</v>
      </c>
      <c r="F5185" t="str">
        <f t="shared" si="933"/>
        <v>COM</v>
      </c>
      <c r="G5185" t="str">
        <f t="shared" si="946"/>
        <v>JULIO GUIMARAES DOS SANTOS (977)</v>
      </c>
      <c r="H5185" t="s">
        <v>1214</v>
      </c>
      <c r="I5185" t="str">
        <f t="shared" si="943"/>
        <v>26/03/2026</v>
      </c>
      <c r="J5185" t="str">
        <f t="shared" si="935"/>
        <v>23/03/2026</v>
      </c>
      <c r="K5185">
        <v>46107</v>
      </c>
      <c r="N5185">
        <v>109</v>
      </c>
      <c r="O5185" t="s">
        <v>27</v>
      </c>
      <c r="Q5185">
        <v>194</v>
      </c>
      <c r="R5185" t="str">
        <f>"PENSE FARMA 36 (10206)"</f>
        <v>PENSE FARMA 36 (10206)</v>
      </c>
      <c r="S5185" t="s">
        <v>37</v>
      </c>
      <c r="T5185">
        <v>32223</v>
      </c>
      <c r="U5185">
        <v>35925</v>
      </c>
      <c r="V5185" t="s">
        <v>37</v>
      </c>
    </row>
    <row r="5186" spans="1:22">
      <c r="A5186" t="str">
        <f t="shared" si="938"/>
        <v>26/03/2026</v>
      </c>
      <c r="B5186" t="str">
        <f t="shared" si="942"/>
        <v>SAÍDA</v>
      </c>
      <c r="C5186" t="str">
        <f t="shared" si="945"/>
        <v>PIX</v>
      </c>
      <c r="D5186" t="str">
        <f>"35926"</f>
        <v>35926</v>
      </c>
      <c r="E5186" t="str">
        <f t="shared" si="936"/>
        <v>1</v>
      </c>
      <c r="F5186" t="str">
        <f t="shared" ref="F5186:F5249" si="947">"COM"</f>
        <v>COM</v>
      </c>
      <c r="G5186" t="str">
        <f t="shared" si="946"/>
        <v>JULIO GUIMARAES DOS SANTOS (977)</v>
      </c>
      <c r="H5186" t="str">
        <f>"Serv.Prest. 16/03/2026 a 22/03/2026 - PIX: CELULAR - CHAVE: (11) 94195-2534"</f>
        <v>Serv.Prest. 16/03/2026 a 22/03/2026 - PIX: CELULAR - CHAVE: (11) 94195-2534</v>
      </c>
      <c r="I5186" t="str">
        <f t="shared" si="943"/>
        <v>26/03/2026</v>
      </c>
      <c r="J5186" t="str">
        <f t="shared" si="935"/>
        <v>23/03/2026</v>
      </c>
      <c r="K5186" t="str">
        <f>("26/03/2026")</f>
        <v>26/03/2026</v>
      </c>
      <c r="L5186">
        <v>220</v>
      </c>
      <c r="M5186">
        <v>220</v>
      </c>
      <c r="N5186">
        <v>109</v>
      </c>
      <c r="O5186" t="str">
        <f>"PAGAMENTO DE ENTREGADORES"</f>
        <v>PAGAMENTO DE ENTREGADORES</v>
      </c>
      <c r="P5186">
        <v>220</v>
      </c>
      <c r="S5186" t="str">
        <f>"BANCO C6 (149)"</f>
        <v>BANCO C6 (149)</v>
      </c>
      <c r="T5186">
        <v>32224</v>
      </c>
      <c r="U5186">
        <v>35926</v>
      </c>
      <c r="V5186" t="s">
        <v>37</v>
      </c>
    </row>
    <row r="5187" spans="1:22">
      <c r="A5187" t="str">
        <f t="shared" si="938"/>
        <v>26/03/2026</v>
      </c>
      <c r="B5187" t="str">
        <f t="shared" si="942"/>
        <v>SAÍDA</v>
      </c>
      <c r="C5187" t="str">
        <f t="shared" si="945"/>
        <v>PIX</v>
      </c>
      <c r="D5187" t="str">
        <f>"35926"</f>
        <v>35926</v>
      </c>
      <c r="E5187" t="str">
        <f t="shared" si="936"/>
        <v>1</v>
      </c>
      <c r="F5187" t="str">
        <f t="shared" si="947"/>
        <v>COM</v>
      </c>
      <c r="G5187" t="str">
        <f t="shared" si="946"/>
        <v>JULIO GUIMARAES DOS SANTOS (977)</v>
      </c>
      <c r="H5187" t="s">
        <v>1214</v>
      </c>
      <c r="I5187" t="str">
        <f t="shared" si="943"/>
        <v>26/03/2026</v>
      </c>
      <c r="J5187" t="str">
        <f t="shared" si="935"/>
        <v>23/03/2026</v>
      </c>
      <c r="K5187">
        <v>46107</v>
      </c>
      <c r="N5187">
        <v>109</v>
      </c>
      <c r="O5187" t="s">
        <v>27</v>
      </c>
      <c r="Q5187">
        <v>220</v>
      </c>
      <c r="R5187" t="str">
        <f>"PENSE FARMA 40 (10207)"</f>
        <v>PENSE FARMA 40 (10207)</v>
      </c>
      <c r="S5187" t="s">
        <v>37</v>
      </c>
      <c r="T5187">
        <v>32224</v>
      </c>
      <c r="U5187">
        <v>35926</v>
      </c>
      <c r="V5187" t="s">
        <v>37</v>
      </c>
    </row>
    <row r="5188" spans="1:22">
      <c r="A5188" t="str">
        <f t="shared" si="938"/>
        <v>26/03/2026</v>
      </c>
      <c r="B5188" t="str">
        <f t="shared" si="942"/>
        <v>SAÍDA</v>
      </c>
      <c r="C5188" t="str">
        <f t="shared" si="945"/>
        <v>PIX</v>
      </c>
      <c r="D5188" t="str">
        <f>"35927"</f>
        <v>35927</v>
      </c>
      <c r="E5188" t="str">
        <f t="shared" si="936"/>
        <v>1</v>
      </c>
      <c r="F5188" t="str">
        <f t="shared" si="947"/>
        <v>COM</v>
      </c>
      <c r="G5188" t="str">
        <f t="shared" si="946"/>
        <v>JULIO GUIMARAES DOS SANTOS (977)</v>
      </c>
      <c r="H5188" t="str">
        <f>"Serv.Prest. 16/03/2026 a 22/03/2026 - PIX: CELULAR - CHAVE: (11) 94195-2534"</f>
        <v>Serv.Prest. 16/03/2026 a 22/03/2026 - PIX: CELULAR - CHAVE: (11) 94195-2534</v>
      </c>
      <c r="I5188" t="str">
        <f t="shared" si="943"/>
        <v>26/03/2026</v>
      </c>
      <c r="J5188" t="str">
        <f t="shared" si="935"/>
        <v>23/03/2026</v>
      </c>
      <c r="K5188" t="str">
        <f>("26/03/2026")</f>
        <v>26/03/2026</v>
      </c>
      <c r="L5188">
        <v>220</v>
      </c>
      <c r="M5188">
        <v>220</v>
      </c>
      <c r="N5188">
        <v>109</v>
      </c>
      <c r="O5188" t="str">
        <f>"PAGAMENTO DE ENTREGADORES"</f>
        <v>PAGAMENTO DE ENTREGADORES</v>
      </c>
      <c r="P5188">
        <v>220</v>
      </c>
      <c r="S5188" t="str">
        <f>"BANCO C6 (149)"</f>
        <v>BANCO C6 (149)</v>
      </c>
      <c r="T5188">
        <v>32225</v>
      </c>
      <c r="U5188">
        <v>35927</v>
      </c>
      <c r="V5188" t="s">
        <v>37</v>
      </c>
    </row>
    <row r="5189" spans="1:22">
      <c r="A5189" t="str">
        <f t="shared" si="938"/>
        <v>26/03/2026</v>
      </c>
      <c r="B5189" t="str">
        <f t="shared" si="942"/>
        <v>SAÍDA</v>
      </c>
      <c r="C5189" t="str">
        <f t="shared" si="945"/>
        <v>PIX</v>
      </c>
      <c r="D5189" t="str">
        <f>"35927"</f>
        <v>35927</v>
      </c>
      <c r="E5189" t="str">
        <f t="shared" si="936"/>
        <v>1</v>
      </c>
      <c r="F5189" t="str">
        <f t="shared" si="947"/>
        <v>COM</v>
      </c>
      <c r="G5189" t="str">
        <f t="shared" si="946"/>
        <v>JULIO GUIMARAES DOS SANTOS (977)</v>
      </c>
      <c r="H5189" t="s">
        <v>1214</v>
      </c>
      <c r="I5189" t="str">
        <f t="shared" si="943"/>
        <v>26/03/2026</v>
      </c>
      <c r="J5189" t="str">
        <f t="shared" si="935"/>
        <v>23/03/2026</v>
      </c>
      <c r="K5189">
        <v>46107</v>
      </c>
      <c r="N5189">
        <v>109</v>
      </c>
      <c r="O5189" t="s">
        <v>27</v>
      </c>
      <c r="Q5189">
        <v>220</v>
      </c>
      <c r="R5189" t="str">
        <f>"PENSE FARMA 43 (10208)"</f>
        <v>PENSE FARMA 43 (10208)</v>
      </c>
      <c r="S5189" t="s">
        <v>37</v>
      </c>
      <c r="T5189">
        <v>32225</v>
      </c>
      <c r="U5189">
        <v>35927</v>
      </c>
      <c r="V5189" t="s">
        <v>37</v>
      </c>
    </row>
    <row r="5190" spans="1:22">
      <c r="A5190" t="str">
        <f t="shared" si="938"/>
        <v>26/03/2026</v>
      </c>
      <c r="B5190" t="str">
        <f t="shared" si="942"/>
        <v>SAÍDA</v>
      </c>
      <c r="C5190" t="str">
        <f t="shared" si="945"/>
        <v>PIX</v>
      </c>
      <c r="D5190" t="str">
        <f>"35928"</f>
        <v>35928</v>
      </c>
      <c r="E5190" t="str">
        <f t="shared" si="936"/>
        <v>1</v>
      </c>
      <c r="F5190" t="str">
        <f t="shared" si="947"/>
        <v>COM</v>
      </c>
      <c r="G5190" t="str">
        <f t="shared" si="946"/>
        <v>JULIO GUIMARAES DOS SANTOS (977)</v>
      </c>
      <c r="H5190" t="str">
        <f>"Serv.Prest. 16/03/2026 a 22/03/2026 - PIX: CELULAR - CHAVE: (11) 94195-2534"</f>
        <v>Serv.Prest. 16/03/2026 a 22/03/2026 - PIX: CELULAR - CHAVE: (11) 94195-2534</v>
      </c>
      <c r="I5190" t="str">
        <f t="shared" si="943"/>
        <v>26/03/2026</v>
      </c>
      <c r="J5190" t="str">
        <f t="shared" si="935"/>
        <v>23/03/2026</v>
      </c>
      <c r="K5190" t="str">
        <f>("26/03/2026")</f>
        <v>26/03/2026</v>
      </c>
      <c r="L5190">
        <v>220</v>
      </c>
      <c r="M5190">
        <v>220</v>
      </c>
      <c r="N5190">
        <v>109</v>
      </c>
      <c r="O5190" t="str">
        <f>"PAGAMENTO DE ENTREGADORES"</f>
        <v>PAGAMENTO DE ENTREGADORES</v>
      </c>
      <c r="P5190">
        <v>220</v>
      </c>
      <c r="S5190" t="str">
        <f>"BANCO C6 (149)"</f>
        <v>BANCO C6 (149)</v>
      </c>
      <c r="T5190">
        <v>32226</v>
      </c>
      <c r="U5190">
        <v>35928</v>
      </c>
      <c r="V5190" t="s">
        <v>37</v>
      </c>
    </row>
    <row r="5191" spans="1:22">
      <c r="A5191" t="str">
        <f t="shared" si="938"/>
        <v>26/03/2026</v>
      </c>
      <c r="B5191" t="str">
        <f t="shared" si="942"/>
        <v>SAÍDA</v>
      </c>
      <c r="C5191" t="str">
        <f t="shared" si="945"/>
        <v>PIX</v>
      </c>
      <c r="D5191" t="str">
        <f>"35928"</f>
        <v>35928</v>
      </c>
      <c r="E5191" t="str">
        <f t="shared" si="936"/>
        <v>1</v>
      </c>
      <c r="F5191" t="str">
        <f t="shared" si="947"/>
        <v>COM</v>
      </c>
      <c r="G5191" t="str">
        <f t="shared" si="946"/>
        <v>JULIO GUIMARAES DOS SANTOS (977)</v>
      </c>
      <c r="H5191" t="s">
        <v>1214</v>
      </c>
      <c r="I5191" t="str">
        <f t="shared" si="943"/>
        <v>26/03/2026</v>
      </c>
      <c r="J5191" t="str">
        <f t="shared" si="935"/>
        <v>23/03/2026</v>
      </c>
      <c r="K5191">
        <v>46107</v>
      </c>
      <c r="N5191">
        <v>109</v>
      </c>
      <c r="O5191" t="s">
        <v>27</v>
      </c>
      <c r="Q5191">
        <v>220</v>
      </c>
      <c r="R5191" t="str">
        <f>"PENSE FARMA 59 (10211)"</f>
        <v>PENSE FARMA 59 (10211)</v>
      </c>
      <c r="S5191" t="s">
        <v>37</v>
      </c>
      <c r="T5191">
        <v>32226</v>
      </c>
      <c r="U5191">
        <v>35928</v>
      </c>
      <c r="V5191" t="s">
        <v>37</v>
      </c>
    </row>
    <row r="5192" spans="1:22">
      <c r="A5192" t="str">
        <f t="shared" si="938"/>
        <v>26/03/2026</v>
      </c>
      <c r="B5192" t="str">
        <f t="shared" si="942"/>
        <v>SAÍDA</v>
      </c>
      <c r="C5192" t="str">
        <f t="shared" si="945"/>
        <v>PIX</v>
      </c>
      <c r="D5192" t="str">
        <f>"35929"</f>
        <v>35929</v>
      </c>
      <c r="E5192" t="str">
        <f t="shared" si="936"/>
        <v>1</v>
      </c>
      <c r="F5192" t="str">
        <f t="shared" si="947"/>
        <v>COM</v>
      </c>
      <c r="G5192" t="str">
        <f t="shared" si="946"/>
        <v>JULIO GUIMARAES DOS SANTOS (977)</v>
      </c>
      <c r="H5192" t="str">
        <f>"Serv.Prest. 16/03/2026 a 22/03/2026 - PIX: CELULAR - CHAVE: (11) 94195-2534"</f>
        <v>Serv.Prest. 16/03/2026 a 22/03/2026 - PIX: CELULAR - CHAVE: (11) 94195-2534</v>
      </c>
      <c r="I5192" t="str">
        <f t="shared" si="943"/>
        <v>26/03/2026</v>
      </c>
      <c r="J5192" t="str">
        <f t="shared" si="935"/>
        <v>23/03/2026</v>
      </c>
      <c r="K5192" t="str">
        <f>("26/03/2026")</f>
        <v>26/03/2026</v>
      </c>
      <c r="L5192">
        <v>225</v>
      </c>
      <c r="M5192">
        <v>225</v>
      </c>
      <c r="N5192">
        <v>109</v>
      </c>
      <c r="O5192" t="str">
        <f>"PAGAMENTO DE ENTREGADORES"</f>
        <v>PAGAMENTO DE ENTREGADORES</v>
      </c>
      <c r="P5192">
        <v>225</v>
      </c>
      <c r="S5192" t="str">
        <f>"BANCO C6 (149)"</f>
        <v>BANCO C6 (149)</v>
      </c>
      <c r="T5192">
        <v>32227</v>
      </c>
      <c r="U5192">
        <v>35929</v>
      </c>
      <c r="V5192" t="s">
        <v>37</v>
      </c>
    </row>
    <row r="5193" spans="1:22">
      <c r="A5193" t="str">
        <f t="shared" si="938"/>
        <v>26/03/2026</v>
      </c>
      <c r="B5193" t="str">
        <f t="shared" si="942"/>
        <v>SAÍDA</v>
      </c>
      <c r="C5193" t="str">
        <f t="shared" si="945"/>
        <v>PIX</v>
      </c>
      <c r="D5193" t="str">
        <f>"35929"</f>
        <v>35929</v>
      </c>
      <c r="E5193" t="str">
        <f t="shared" si="936"/>
        <v>1</v>
      </c>
      <c r="F5193" t="str">
        <f t="shared" si="947"/>
        <v>COM</v>
      </c>
      <c r="G5193" t="str">
        <f t="shared" si="946"/>
        <v>JULIO GUIMARAES DOS SANTOS (977)</v>
      </c>
      <c r="H5193" t="s">
        <v>1214</v>
      </c>
      <c r="I5193" t="str">
        <f t="shared" si="943"/>
        <v>26/03/2026</v>
      </c>
      <c r="J5193" t="str">
        <f t="shared" si="935"/>
        <v>23/03/2026</v>
      </c>
      <c r="K5193">
        <v>46107</v>
      </c>
      <c r="N5193">
        <v>109</v>
      </c>
      <c r="O5193" t="s">
        <v>27</v>
      </c>
      <c r="Q5193">
        <v>225</v>
      </c>
      <c r="R5193" t="str">
        <f>"PENSE FARMA DARK STORE 361 (10212)"</f>
        <v>PENSE FARMA DARK STORE 361 (10212)</v>
      </c>
      <c r="S5193" t="s">
        <v>37</v>
      </c>
      <c r="T5193">
        <v>32227</v>
      </c>
      <c r="U5193">
        <v>35929</v>
      </c>
      <c r="V5193" t="s">
        <v>37</v>
      </c>
    </row>
    <row r="5194" spans="1:22">
      <c r="A5194" t="str">
        <f t="shared" si="938"/>
        <v>26/03/2026</v>
      </c>
      <c r="B5194" t="str">
        <f t="shared" si="942"/>
        <v>SAÍDA</v>
      </c>
      <c r="C5194" t="str">
        <f t="shared" si="945"/>
        <v>PIX</v>
      </c>
      <c r="D5194" t="str">
        <f>"35930"</f>
        <v>35930</v>
      </c>
      <c r="E5194" t="str">
        <f t="shared" si="936"/>
        <v>1</v>
      </c>
      <c r="F5194" t="str">
        <f t="shared" si="947"/>
        <v>COM</v>
      </c>
      <c r="G5194" t="str">
        <f t="shared" si="946"/>
        <v>JULIO GUIMARAES DOS SANTOS (977)</v>
      </c>
      <c r="H5194" t="str">
        <f>"Serv.Prest. 16/03/2026 a 22/03/2026 - PIX: CELULAR - CHAVE: (11) 94195-2534"</f>
        <v>Serv.Prest. 16/03/2026 a 22/03/2026 - PIX: CELULAR - CHAVE: (11) 94195-2534</v>
      </c>
      <c r="I5194" t="str">
        <f t="shared" si="943"/>
        <v>26/03/2026</v>
      </c>
      <c r="J5194" t="str">
        <f t="shared" si="935"/>
        <v>23/03/2026</v>
      </c>
      <c r="K5194" t="str">
        <f>("26/03/2026")</f>
        <v>26/03/2026</v>
      </c>
      <c r="L5194">
        <v>220</v>
      </c>
      <c r="M5194">
        <v>220</v>
      </c>
      <c r="N5194">
        <v>109</v>
      </c>
      <c r="O5194" t="str">
        <f>"PAGAMENTO DE ENTREGADORES"</f>
        <v>PAGAMENTO DE ENTREGADORES</v>
      </c>
      <c r="P5194">
        <v>220</v>
      </c>
      <c r="S5194" t="str">
        <f>"BANCO C6 (149)"</f>
        <v>BANCO C6 (149)</v>
      </c>
      <c r="T5194">
        <v>32228</v>
      </c>
      <c r="U5194">
        <v>35930</v>
      </c>
      <c r="V5194" t="s">
        <v>37</v>
      </c>
    </row>
    <row r="5195" spans="1:22">
      <c r="A5195" t="str">
        <f t="shared" si="938"/>
        <v>26/03/2026</v>
      </c>
      <c r="B5195" t="str">
        <f t="shared" si="942"/>
        <v>SAÍDA</v>
      </c>
      <c r="C5195" t="str">
        <f t="shared" si="945"/>
        <v>PIX</v>
      </c>
      <c r="D5195" t="str">
        <f>"35930"</f>
        <v>35930</v>
      </c>
      <c r="E5195" t="str">
        <f t="shared" si="936"/>
        <v>1</v>
      </c>
      <c r="F5195" t="str">
        <f t="shared" si="947"/>
        <v>COM</v>
      </c>
      <c r="G5195" t="str">
        <f t="shared" si="946"/>
        <v>JULIO GUIMARAES DOS SANTOS (977)</v>
      </c>
      <c r="H5195" t="s">
        <v>1214</v>
      </c>
      <c r="I5195" t="str">
        <f t="shared" si="943"/>
        <v>26/03/2026</v>
      </c>
      <c r="J5195" t="str">
        <f t="shared" si="935"/>
        <v>23/03/2026</v>
      </c>
      <c r="K5195">
        <v>46107</v>
      </c>
      <c r="N5195">
        <v>109</v>
      </c>
      <c r="O5195" t="s">
        <v>27</v>
      </c>
      <c r="Q5195">
        <v>220</v>
      </c>
      <c r="R5195" t="str">
        <f>"PENSE FARMA 20 (10203)"</f>
        <v>PENSE FARMA 20 (10203)</v>
      </c>
      <c r="S5195" t="s">
        <v>37</v>
      </c>
      <c r="T5195">
        <v>32228</v>
      </c>
      <c r="U5195">
        <v>35930</v>
      </c>
      <c r="V5195" t="s">
        <v>37</v>
      </c>
    </row>
    <row r="5196" spans="1:22">
      <c r="A5196" t="str">
        <f t="shared" si="938"/>
        <v>26/03/2026</v>
      </c>
      <c r="B5196" t="str">
        <f t="shared" si="942"/>
        <v>SAÍDA</v>
      </c>
      <c r="C5196" t="str">
        <f t="shared" si="945"/>
        <v>PIX</v>
      </c>
      <c r="D5196" t="str">
        <f>"35931"</f>
        <v>35931</v>
      </c>
      <c r="E5196" t="str">
        <f t="shared" si="936"/>
        <v>1</v>
      </c>
      <c r="F5196" t="str">
        <f t="shared" si="947"/>
        <v>COM</v>
      </c>
      <c r="G5196" t="str">
        <f t="shared" ref="G5196:G5207" si="948">"RAFAEL PEDROSO DE CAMARA (975)"</f>
        <v>RAFAEL PEDROSO DE CAMARA (975)</v>
      </c>
      <c r="H5196" t="str">
        <f>"Serv.Prest. 16/03/2026 a 22/03/2026 - PIX: CELULAR - CHAVE: (11) 99270-3082"</f>
        <v>Serv.Prest. 16/03/2026 a 22/03/2026 - PIX: CELULAR - CHAVE: (11) 99270-3082</v>
      </c>
      <c r="I5196" t="str">
        <f t="shared" si="943"/>
        <v>26/03/2026</v>
      </c>
      <c r="J5196" t="str">
        <f t="shared" si="935"/>
        <v>23/03/2026</v>
      </c>
      <c r="K5196" t="str">
        <f>("26/03/2026")</f>
        <v>26/03/2026</v>
      </c>
      <c r="L5196">
        <v>225</v>
      </c>
      <c r="M5196">
        <v>225</v>
      </c>
      <c r="N5196">
        <v>109</v>
      </c>
      <c r="O5196" t="str">
        <f>"PAGAMENTO DE ENTREGADORES"</f>
        <v>PAGAMENTO DE ENTREGADORES</v>
      </c>
      <c r="P5196">
        <v>225</v>
      </c>
      <c r="S5196" t="str">
        <f>"BANCO C6 (149)"</f>
        <v>BANCO C6 (149)</v>
      </c>
      <c r="T5196">
        <v>32229</v>
      </c>
      <c r="U5196">
        <v>35931</v>
      </c>
      <c r="V5196" t="s">
        <v>37</v>
      </c>
    </row>
    <row r="5197" spans="1:22">
      <c r="A5197" t="str">
        <f t="shared" si="938"/>
        <v>26/03/2026</v>
      </c>
      <c r="B5197" t="str">
        <f t="shared" si="942"/>
        <v>SAÍDA</v>
      </c>
      <c r="C5197" t="str">
        <f t="shared" si="945"/>
        <v>PIX</v>
      </c>
      <c r="D5197" t="str">
        <f>"35931"</f>
        <v>35931</v>
      </c>
      <c r="E5197" t="str">
        <f t="shared" si="936"/>
        <v>1</v>
      </c>
      <c r="F5197" t="str">
        <f t="shared" si="947"/>
        <v>COM</v>
      </c>
      <c r="G5197" t="str">
        <f t="shared" si="948"/>
        <v>RAFAEL PEDROSO DE CAMARA (975)</v>
      </c>
      <c r="H5197" t="s">
        <v>1409</v>
      </c>
      <c r="I5197" t="str">
        <f t="shared" si="943"/>
        <v>26/03/2026</v>
      </c>
      <c r="J5197" t="str">
        <f t="shared" si="935"/>
        <v>23/03/2026</v>
      </c>
      <c r="K5197">
        <v>46107</v>
      </c>
      <c r="N5197">
        <v>109</v>
      </c>
      <c r="O5197" t="s">
        <v>27</v>
      </c>
      <c r="Q5197">
        <v>225</v>
      </c>
      <c r="R5197" t="str">
        <f>"PENSE FARMA 20 (10203)"</f>
        <v>PENSE FARMA 20 (10203)</v>
      </c>
      <c r="S5197" t="s">
        <v>37</v>
      </c>
      <c r="T5197">
        <v>32229</v>
      </c>
      <c r="U5197">
        <v>35931</v>
      </c>
      <c r="V5197" t="s">
        <v>37</v>
      </c>
    </row>
    <row r="5198" spans="1:22">
      <c r="A5198" t="str">
        <f t="shared" si="938"/>
        <v>26/03/2026</v>
      </c>
      <c r="B5198" t="str">
        <f t="shared" si="942"/>
        <v>SAÍDA</v>
      </c>
      <c r="C5198" t="str">
        <f t="shared" si="945"/>
        <v>PIX</v>
      </c>
      <c r="D5198" t="str">
        <f>"35932"</f>
        <v>35932</v>
      </c>
      <c r="E5198" t="str">
        <f t="shared" si="936"/>
        <v>1</v>
      </c>
      <c r="F5198" t="str">
        <f t="shared" si="947"/>
        <v>COM</v>
      </c>
      <c r="G5198" t="str">
        <f t="shared" si="948"/>
        <v>RAFAEL PEDROSO DE CAMARA (975)</v>
      </c>
      <c r="H5198" t="str">
        <f>"Serv.Prest. 16/03/2026 a 22/03/2026 - PIX: CELULAR - CHAVE: (11) 99270-3082"</f>
        <v>Serv.Prest. 16/03/2026 a 22/03/2026 - PIX: CELULAR - CHAVE: (11) 99270-3082</v>
      </c>
      <c r="I5198" t="str">
        <f t="shared" si="943"/>
        <v>26/03/2026</v>
      </c>
      <c r="J5198" t="str">
        <f t="shared" si="935"/>
        <v>23/03/2026</v>
      </c>
      <c r="K5198" t="str">
        <f>("26/03/2026")</f>
        <v>26/03/2026</v>
      </c>
      <c r="L5198">
        <v>225</v>
      </c>
      <c r="M5198">
        <v>225</v>
      </c>
      <c r="N5198">
        <v>109</v>
      </c>
      <c r="O5198" t="str">
        <f>"PAGAMENTO DE ENTREGADORES"</f>
        <v>PAGAMENTO DE ENTREGADORES</v>
      </c>
      <c r="P5198">
        <v>225</v>
      </c>
      <c r="S5198" t="str">
        <f>"BANCO C6 (149)"</f>
        <v>BANCO C6 (149)</v>
      </c>
      <c r="T5198">
        <v>32230</v>
      </c>
      <c r="U5198">
        <v>35932</v>
      </c>
      <c r="V5198" t="s">
        <v>37</v>
      </c>
    </row>
    <row r="5199" spans="1:22">
      <c r="A5199" t="str">
        <f t="shared" si="938"/>
        <v>26/03/2026</v>
      </c>
      <c r="B5199" t="str">
        <f t="shared" si="942"/>
        <v>SAÍDA</v>
      </c>
      <c r="C5199" t="str">
        <f t="shared" si="945"/>
        <v>PIX</v>
      </c>
      <c r="D5199" t="str">
        <f>"35932"</f>
        <v>35932</v>
      </c>
      <c r="E5199" t="str">
        <f t="shared" si="936"/>
        <v>1</v>
      </c>
      <c r="F5199" t="str">
        <f t="shared" si="947"/>
        <v>COM</v>
      </c>
      <c r="G5199" t="str">
        <f t="shared" si="948"/>
        <v>RAFAEL PEDROSO DE CAMARA (975)</v>
      </c>
      <c r="H5199" t="s">
        <v>1409</v>
      </c>
      <c r="I5199" t="str">
        <f t="shared" si="943"/>
        <v>26/03/2026</v>
      </c>
      <c r="J5199" t="str">
        <f t="shared" si="935"/>
        <v>23/03/2026</v>
      </c>
      <c r="K5199">
        <v>46107</v>
      </c>
      <c r="N5199">
        <v>109</v>
      </c>
      <c r="O5199" t="s">
        <v>27</v>
      </c>
      <c r="Q5199">
        <v>225</v>
      </c>
      <c r="R5199" t="str">
        <f>"PENSE FARMA 36 (10206)"</f>
        <v>PENSE FARMA 36 (10206)</v>
      </c>
      <c r="S5199" t="s">
        <v>37</v>
      </c>
      <c r="T5199">
        <v>32230</v>
      </c>
      <c r="U5199">
        <v>35932</v>
      </c>
      <c r="V5199" t="s">
        <v>37</v>
      </c>
    </row>
    <row r="5200" spans="1:22">
      <c r="A5200" t="str">
        <f t="shared" si="938"/>
        <v>26/03/2026</v>
      </c>
      <c r="B5200" t="str">
        <f t="shared" si="942"/>
        <v>SAÍDA</v>
      </c>
      <c r="C5200" t="str">
        <f t="shared" si="945"/>
        <v>PIX</v>
      </c>
      <c r="D5200" t="str">
        <f>"35933"</f>
        <v>35933</v>
      </c>
      <c r="E5200" t="str">
        <f t="shared" si="936"/>
        <v>1</v>
      </c>
      <c r="F5200" t="str">
        <f t="shared" si="947"/>
        <v>COM</v>
      </c>
      <c r="G5200" t="str">
        <f t="shared" si="948"/>
        <v>RAFAEL PEDROSO DE CAMARA (975)</v>
      </c>
      <c r="H5200" t="str">
        <f>"Serv.Prest. 16/03/2026 a 22/03/2026 - PIX: CELULAR - CHAVE: (11) 99270-3082"</f>
        <v>Serv.Prest. 16/03/2026 a 22/03/2026 - PIX: CELULAR - CHAVE: (11) 99270-3082</v>
      </c>
      <c r="I5200" t="str">
        <f t="shared" si="943"/>
        <v>26/03/2026</v>
      </c>
      <c r="J5200" t="str">
        <f t="shared" ref="J5200:J5263" si="949">("23/03/2026")</f>
        <v>23/03/2026</v>
      </c>
      <c r="K5200" t="str">
        <f>("26/03/2026")</f>
        <v>26/03/2026</v>
      </c>
      <c r="L5200">
        <v>225</v>
      </c>
      <c r="M5200">
        <v>225</v>
      </c>
      <c r="N5200">
        <v>109</v>
      </c>
      <c r="O5200" t="str">
        <f>"PAGAMENTO DE ENTREGADORES"</f>
        <v>PAGAMENTO DE ENTREGADORES</v>
      </c>
      <c r="P5200">
        <v>225</v>
      </c>
      <c r="S5200" t="str">
        <f>"BANCO C6 (149)"</f>
        <v>BANCO C6 (149)</v>
      </c>
      <c r="T5200">
        <v>32231</v>
      </c>
      <c r="U5200">
        <v>35933</v>
      </c>
      <c r="V5200" t="s">
        <v>37</v>
      </c>
    </row>
    <row r="5201" spans="1:22">
      <c r="A5201" t="str">
        <f t="shared" si="938"/>
        <v>26/03/2026</v>
      </c>
      <c r="B5201" t="str">
        <f t="shared" si="942"/>
        <v>SAÍDA</v>
      </c>
      <c r="C5201" t="str">
        <f t="shared" si="945"/>
        <v>PIX</v>
      </c>
      <c r="D5201" t="str">
        <f>"35933"</f>
        <v>35933</v>
      </c>
      <c r="E5201" t="str">
        <f t="shared" si="936"/>
        <v>1</v>
      </c>
      <c r="F5201" t="str">
        <f t="shared" si="947"/>
        <v>COM</v>
      </c>
      <c r="G5201" t="str">
        <f t="shared" si="948"/>
        <v>RAFAEL PEDROSO DE CAMARA (975)</v>
      </c>
      <c r="H5201" t="s">
        <v>1409</v>
      </c>
      <c r="I5201" t="str">
        <f t="shared" si="943"/>
        <v>26/03/2026</v>
      </c>
      <c r="J5201" t="str">
        <f t="shared" si="949"/>
        <v>23/03/2026</v>
      </c>
      <c r="K5201">
        <v>46107</v>
      </c>
      <c r="N5201">
        <v>109</v>
      </c>
      <c r="O5201" t="s">
        <v>27</v>
      </c>
      <c r="Q5201">
        <v>225</v>
      </c>
      <c r="R5201" t="str">
        <f>"PENSE FARMA 40 (10207)"</f>
        <v>PENSE FARMA 40 (10207)</v>
      </c>
      <c r="S5201" t="s">
        <v>37</v>
      </c>
      <c r="T5201">
        <v>32231</v>
      </c>
      <c r="U5201">
        <v>35933</v>
      </c>
      <c r="V5201" t="s">
        <v>37</v>
      </c>
    </row>
    <row r="5202" spans="1:22">
      <c r="A5202" t="str">
        <f t="shared" si="938"/>
        <v>26/03/2026</v>
      </c>
      <c r="B5202" t="str">
        <f t="shared" si="942"/>
        <v>SAÍDA</v>
      </c>
      <c r="C5202" t="str">
        <f t="shared" si="945"/>
        <v>PIX</v>
      </c>
      <c r="D5202" t="str">
        <f>"35934"</f>
        <v>35934</v>
      </c>
      <c r="E5202" t="str">
        <f t="shared" si="936"/>
        <v>1</v>
      </c>
      <c r="F5202" t="str">
        <f t="shared" si="947"/>
        <v>COM</v>
      </c>
      <c r="G5202" t="str">
        <f t="shared" si="948"/>
        <v>RAFAEL PEDROSO DE CAMARA (975)</v>
      </c>
      <c r="H5202" t="str">
        <f>"Serv.Prest. 16/03/2026 a 22/03/2026 - PIX: CELULAR - CHAVE: (11) 99270-3082"</f>
        <v>Serv.Prest. 16/03/2026 a 22/03/2026 - PIX: CELULAR - CHAVE: (11) 99270-3082</v>
      </c>
      <c r="I5202" t="str">
        <f t="shared" si="943"/>
        <v>26/03/2026</v>
      </c>
      <c r="J5202" t="str">
        <f t="shared" si="949"/>
        <v>23/03/2026</v>
      </c>
      <c r="K5202" t="str">
        <f>("26/03/2026")</f>
        <v>26/03/2026</v>
      </c>
      <c r="L5202">
        <v>225</v>
      </c>
      <c r="M5202">
        <v>225</v>
      </c>
      <c r="N5202">
        <v>109</v>
      </c>
      <c r="O5202" t="str">
        <f>"PAGAMENTO DE ENTREGADORES"</f>
        <v>PAGAMENTO DE ENTREGADORES</v>
      </c>
      <c r="P5202">
        <v>225</v>
      </c>
      <c r="S5202" t="str">
        <f>"BANCO C6 (149)"</f>
        <v>BANCO C6 (149)</v>
      </c>
      <c r="T5202">
        <v>32232</v>
      </c>
      <c r="U5202">
        <v>35934</v>
      </c>
      <c r="V5202" t="s">
        <v>37</v>
      </c>
    </row>
    <row r="5203" spans="1:22">
      <c r="A5203" t="str">
        <f t="shared" si="938"/>
        <v>26/03/2026</v>
      </c>
      <c r="B5203" t="str">
        <f t="shared" si="942"/>
        <v>SAÍDA</v>
      </c>
      <c r="C5203" t="str">
        <f t="shared" si="945"/>
        <v>PIX</v>
      </c>
      <c r="D5203" t="str">
        <f>"35934"</f>
        <v>35934</v>
      </c>
      <c r="E5203" t="str">
        <f t="shared" si="936"/>
        <v>1</v>
      </c>
      <c r="F5203" t="str">
        <f t="shared" si="947"/>
        <v>COM</v>
      </c>
      <c r="G5203" t="str">
        <f t="shared" si="948"/>
        <v>RAFAEL PEDROSO DE CAMARA (975)</v>
      </c>
      <c r="H5203" t="s">
        <v>1409</v>
      </c>
      <c r="I5203" t="str">
        <f t="shared" si="943"/>
        <v>26/03/2026</v>
      </c>
      <c r="J5203" t="str">
        <f t="shared" si="949"/>
        <v>23/03/2026</v>
      </c>
      <c r="K5203">
        <v>46107</v>
      </c>
      <c r="N5203">
        <v>109</v>
      </c>
      <c r="O5203" t="s">
        <v>27</v>
      </c>
      <c r="Q5203">
        <v>225</v>
      </c>
      <c r="R5203" t="str">
        <f>"PENSE FARMA 43 (10208)"</f>
        <v>PENSE FARMA 43 (10208)</v>
      </c>
      <c r="S5203" t="s">
        <v>37</v>
      </c>
      <c r="T5203">
        <v>32232</v>
      </c>
      <c r="U5203">
        <v>35934</v>
      </c>
      <c r="V5203" t="s">
        <v>37</v>
      </c>
    </row>
    <row r="5204" spans="1:22">
      <c r="A5204" t="str">
        <f t="shared" si="938"/>
        <v>26/03/2026</v>
      </c>
      <c r="B5204" t="str">
        <f t="shared" si="942"/>
        <v>SAÍDA</v>
      </c>
      <c r="C5204" t="str">
        <f t="shared" si="945"/>
        <v>PIX</v>
      </c>
      <c r="D5204" t="str">
        <f>"35935"</f>
        <v>35935</v>
      </c>
      <c r="E5204" t="str">
        <f t="shared" ref="E5204:E5267" si="950">"1"</f>
        <v>1</v>
      </c>
      <c r="F5204" t="str">
        <f t="shared" si="947"/>
        <v>COM</v>
      </c>
      <c r="G5204" t="str">
        <f t="shared" si="948"/>
        <v>RAFAEL PEDROSO DE CAMARA (975)</v>
      </c>
      <c r="H5204" t="str">
        <f>"Serv.Prest. 16/03/2026 a 22/03/2026 - PIX: CELULAR - CHAVE: (11) 99270-3082"</f>
        <v>Serv.Prest. 16/03/2026 a 22/03/2026 - PIX: CELULAR - CHAVE: (11) 99270-3082</v>
      </c>
      <c r="I5204" t="str">
        <f t="shared" si="943"/>
        <v>26/03/2026</v>
      </c>
      <c r="J5204" t="str">
        <f t="shared" si="949"/>
        <v>23/03/2026</v>
      </c>
      <c r="K5204" t="str">
        <f>("26/03/2026")</f>
        <v>26/03/2026</v>
      </c>
      <c r="L5204">
        <v>225</v>
      </c>
      <c r="M5204">
        <v>225</v>
      </c>
      <c r="N5204">
        <v>109</v>
      </c>
      <c r="O5204" t="str">
        <f>"PAGAMENTO DE ENTREGADORES"</f>
        <v>PAGAMENTO DE ENTREGADORES</v>
      </c>
      <c r="P5204">
        <v>225</v>
      </c>
      <c r="S5204" t="str">
        <f>"BANCO C6 (149)"</f>
        <v>BANCO C6 (149)</v>
      </c>
      <c r="T5204">
        <v>32233</v>
      </c>
      <c r="U5204">
        <v>35935</v>
      </c>
      <c r="V5204" t="s">
        <v>37</v>
      </c>
    </row>
    <row r="5205" spans="1:22">
      <c r="A5205" t="str">
        <f t="shared" si="938"/>
        <v>26/03/2026</v>
      </c>
      <c r="B5205" t="str">
        <f t="shared" si="942"/>
        <v>SAÍDA</v>
      </c>
      <c r="C5205" t="str">
        <f t="shared" si="945"/>
        <v>PIX</v>
      </c>
      <c r="D5205" t="str">
        <f>"35935"</f>
        <v>35935</v>
      </c>
      <c r="E5205" t="str">
        <f t="shared" si="950"/>
        <v>1</v>
      </c>
      <c r="F5205" t="str">
        <f t="shared" si="947"/>
        <v>COM</v>
      </c>
      <c r="G5205" t="str">
        <f t="shared" si="948"/>
        <v>RAFAEL PEDROSO DE CAMARA (975)</v>
      </c>
      <c r="H5205" t="s">
        <v>1409</v>
      </c>
      <c r="I5205" t="str">
        <f t="shared" si="943"/>
        <v>26/03/2026</v>
      </c>
      <c r="J5205" t="str">
        <f t="shared" si="949"/>
        <v>23/03/2026</v>
      </c>
      <c r="K5205">
        <v>46107</v>
      </c>
      <c r="N5205">
        <v>109</v>
      </c>
      <c r="O5205" t="s">
        <v>27</v>
      </c>
      <c r="Q5205">
        <v>225</v>
      </c>
      <c r="R5205" t="str">
        <f>"PENSE FARMA 59 (10211)"</f>
        <v>PENSE FARMA 59 (10211)</v>
      </c>
      <c r="S5205" t="s">
        <v>37</v>
      </c>
      <c r="T5205">
        <v>32233</v>
      </c>
      <c r="U5205">
        <v>35935</v>
      </c>
      <c r="V5205" t="s">
        <v>37</v>
      </c>
    </row>
    <row r="5206" spans="1:22">
      <c r="A5206" t="str">
        <f t="shared" si="938"/>
        <v>26/03/2026</v>
      </c>
      <c r="B5206" t="str">
        <f t="shared" si="942"/>
        <v>SAÍDA</v>
      </c>
      <c r="C5206" t="str">
        <f t="shared" si="945"/>
        <v>PIX</v>
      </c>
      <c r="D5206" t="str">
        <f>"35936"</f>
        <v>35936</v>
      </c>
      <c r="E5206" t="str">
        <f t="shared" si="950"/>
        <v>1</v>
      </c>
      <c r="F5206" t="str">
        <f t="shared" si="947"/>
        <v>COM</v>
      </c>
      <c r="G5206" t="str">
        <f t="shared" si="948"/>
        <v>RAFAEL PEDROSO DE CAMARA (975)</v>
      </c>
      <c r="H5206" t="str">
        <f>"Serv.Prest. 16/03/2026 a 22/03/2026 - PIX: CELULAR - CHAVE: (11) 99270-3082"</f>
        <v>Serv.Prest. 16/03/2026 a 22/03/2026 - PIX: CELULAR - CHAVE: (11) 99270-3082</v>
      </c>
      <c r="I5206" t="str">
        <f t="shared" si="943"/>
        <v>26/03/2026</v>
      </c>
      <c r="J5206" t="str">
        <f t="shared" si="949"/>
        <v>23/03/2026</v>
      </c>
      <c r="K5206" t="str">
        <f>("26/03/2026")</f>
        <v>26/03/2026</v>
      </c>
      <c r="L5206">
        <v>250</v>
      </c>
      <c r="M5206">
        <v>250</v>
      </c>
      <c r="N5206">
        <v>109</v>
      </c>
      <c r="O5206" t="str">
        <f>"PAGAMENTO DE ENTREGADORES"</f>
        <v>PAGAMENTO DE ENTREGADORES</v>
      </c>
      <c r="P5206">
        <v>250</v>
      </c>
      <c r="S5206" t="str">
        <f>"BANCO C6 (149)"</f>
        <v>BANCO C6 (149)</v>
      </c>
      <c r="T5206">
        <v>32234</v>
      </c>
      <c r="U5206">
        <v>35936</v>
      </c>
      <c r="V5206" t="s">
        <v>37</v>
      </c>
    </row>
    <row r="5207" spans="1:22">
      <c r="A5207" t="str">
        <f t="shared" si="938"/>
        <v>26/03/2026</v>
      </c>
      <c r="B5207" t="str">
        <f t="shared" si="942"/>
        <v>SAÍDA</v>
      </c>
      <c r="C5207" t="str">
        <f t="shared" si="945"/>
        <v>PIX</v>
      </c>
      <c r="D5207" t="str">
        <f>"35936"</f>
        <v>35936</v>
      </c>
      <c r="E5207" t="str">
        <f t="shared" si="950"/>
        <v>1</v>
      </c>
      <c r="F5207" t="str">
        <f t="shared" si="947"/>
        <v>COM</v>
      </c>
      <c r="G5207" t="str">
        <f t="shared" si="948"/>
        <v>RAFAEL PEDROSO DE CAMARA (975)</v>
      </c>
      <c r="H5207" t="s">
        <v>1409</v>
      </c>
      <c r="I5207" t="str">
        <f t="shared" si="943"/>
        <v>26/03/2026</v>
      </c>
      <c r="J5207" t="str">
        <f t="shared" si="949"/>
        <v>23/03/2026</v>
      </c>
      <c r="K5207">
        <v>46107</v>
      </c>
      <c r="N5207">
        <v>109</v>
      </c>
      <c r="O5207" t="s">
        <v>27</v>
      </c>
      <c r="Q5207">
        <v>250</v>
      </c>
      <c r="R5207" t="str">
        <f>"PENSE FARMA DARK STORE 361 (10212)"</f>
        <v>PENSE FARMA DARK STORE 361 (10212)</v>
      </c>
      <c r="S5207" t="s">
        <v>37</v>
      </c>
      <c r="T5207">
        <v>32234</v>
      </c>
      <c r="U5207">
        <v>35936</v>
      </c>
      <c r="V5207" t="s">
        <v>37</v>
      </c>
    </row>
    <row r="5208" spans="1:22">
      <c r="A5208" t="str">
        <f t="shared" ref="A5208:A5271" si="951">("26/03/2026")</f>
        <v>26/03/2026</v>
      </c>
      <c r="B5208" t="str">
        <f t="shared" si="942"/>
        <v>SAÍDA</v>
      </c>
      <c r="C5208" t="str">
        <f t="shared" si="945"/>
        <v>PIX</v>
      </c>
      <c r="D5208" t="str">
        <f>"35943"</f>
        <v>35943</v>
      </c>
      <c r="E5208" t="str">
        <f t="shared" si="950"/>
        <v>1</v>
      </c>
      <c r="F5208" t="str">
        <f t="shared" si="947"/>
        <v>COM</v>
      </c>
      <c r="G5208" t="str">
        <f t="shared" ref="G5208:G5215" si="952">"ALEX GLAUBER PEREIRA (1329)"</f>
        <v>ALEX GLAUBER PEREIRA (1329)</v>
      </c>
      <c r="H5208" t="str">
        <f>"Serv.Prest. 16/03/2026 a 22/03/2026 - PIX: CELULAR - CHAVE: (11) 91487-0314"</f>
        <v>Serv.Prest. 16/03/2026 a 22/03/2026 - PIX: CELULAR - CHAVE: (11) 91487-0314</v>
      </c>
      <c r="I5208" t="str">
        <f t="shared" si="943"/>
        <v>26/03/2026</v>
      </c>
      <c r="J5208" t="str">
        <f t="shared" si="949"/>
        <v>23/03/2026</v>
      </c>
      <c r="K5208" t="str">
        <f>("26/03/2026")</f>
        <v>26/03/2026</v>
      </c>
      <c r="L5208">
        <v>325</v>
      </c>
      <c r="M5208">
        <v>325</v>
      </c>
      <c r="N5208">
        <v>109</v>
      </c>
      <c r="O5208" t="str">
        <f>"PAGAMENTO DE ENTREGADORES"</f>
        <v>PAGAMENTO DE ENTREGADORES</v>
      </c>
      <c r="P5208">
        <v>325</v>
      </c>
      <c r="S5208" t="str">
        <f>"BANCO C6 (149)"</f>
        <v>BANCO C6 (149)</v>
      </c>
      <c r="T5208">
        <v>32235</v>
      </c>
      <c r="U5208">
        <v>35943</v>
      </c>
      <c r="V5208" t="s">
        <v>37</v>
      </c>
    </row>
    <row r="5209" spans="1:22">
      <c r="A5209" t="str">
        <f t="shared" si="951"/>
        <v>26/03/2026</v>
      </c>
      <c r="B5209" t="str">
        <f t="shared" si="942"/>
        <v>SAÍDA</v>
      </c>
      <c r="C5209" t="str">
        <f t="shared" si="945"/>
        <v>PIX</v>
      </c>
      <c r="D5209" t="str">
        <f>"35943"</f>
        <v>35943</v>
      </c>
      <c r="E5209" t="str">
        <f t="shared" si="950"/>
        <v>1</v>
      </c>
      <c r="F5209" t="str">
        <f t="shared" si="947"/>
        <v>COM</v>
      </c>
      <c r="G5209" t="str">
        <f t="shared" si="952"/>
        <v>ALEX GLAUBER PEREIRA (1329)</v>
      </c>
      <c r="H5209" t="s">
        <v>1410</v>
      </c>
      <c r="I5209" t="str">
        <f t="shared" si="943"/>
        <v>26/03/2026</v>
      </c>
      <c r="J5209" t="str">
        <f t="shared" si="949"/>
        <v>23/03/2026</v>
      </c>
      <c r="K5209">
        <v>46107</v>
      </c>
      <c r="N5209">
        <v>109</v>
      </c>
      <c r="O5209" t="s">
        <v>27</v>
      </c>
      <c r="Q5209">
        <v>325</v>
      </c>
      <c r="R5209" t="str">
        <f>"PENSE FARMA 02 (10199)"</f>
        <v>PENSE FARMA 02 (10199)</v>
      </c>
      <c r="S5209" t="s">
        <v>37</v>
      </c>
      <c r="T5209">
        <v>32235</v>
      </c>
      <c r="U5209">
        <v>35943</v>
      </c>
      <c r="V5209" t="s">
        <v>37</v>
      </c>
    </row>
    <row r="5210" spans="1:22">
      <c r="A5210" t="str">
        <f t="shared" si="951"/>
        <v>26/03/2026</v>
      </c>
      <c r="B5210" t="str">
        <f t="shared" si="942"/>
        <v>SAÍDA</v>
      </c>
      <c r="C5210" t="str">
        <f t="shared" si="945"/>
        <v>PIX</v>
      </c>
      <c r="D5210" t="str">
        <f>"35944"</f>
        <v>35944</v>
      </c>
      <c r="E5210" t="str">
        <f t="shared" si="950"/>
        <v>1</v>
      </c>
      <c r="F5210" t="str">
        <f t="shared" si="947"/>
        <v>COM</v>
      </c>
      <c r="G5210" t="str">
        <f t="shared" si="952"/>
        <v>ALEX GLAUBER PEREIRA (1329)</v>
      </c>
      <c r="H5210" t="str">
        <f>"Serv.Prest. 16/03/2026 a 22/03/2026 - PIX: CELULAR - CHAVE: (11) 91487-0314"</f>
        <v>Serv.Prest. 16/03/2026 a 22/03/2026 - PIX: CELULAR - CHAVE: (11) 91487-0314</v>
      </c>
      <c r="I5210" t="str">
        <f t="shared" si="943"/>
        <v>26/03/2026</v>
      </c>
      <c r="J5210" t="str">
        <f t="shared" si="949"/>
        <v>23/03/2026</v>
      </c>
      <c r="K5210" t="str">
        <f>("26/03/2026")</f>
        <v>26/03/2026</v>
      </c>
      <c r="L5210">
        <v>325</v>
      </c>
      <c r="M5210">
        <v>325</v>
      </c>
      <c r="N5210">
        <v>109</v>
      </c>
      <c r="O5210" t="str">
        <f>"PAGAMENTO DE ENTREGADORES"</f>
        <v>PAGAMENTO DE ENTREGADORES</v>
      </c>
      <c r="P5210">
        <v>325</v>
      </c>
      <c r="S5210" t="str">
        <f>"BANCO C6 (149)"</f>
        <v>BANCO C6 (149)</v>
      </c>
      <c r="T5210">
        <v>32236</v>
      </c>
      <c r="U5210">
        <v>35944</v>
      </c>
      <c r="V5210" t="s">
        <v>37</v>
      </c>
    </row>
    <row r="5211" spans="1:22">
      <c r="A5211" t="str">
        <f t="shared" si="951"/>
        <v>26/03/2026</v>
      </c>
      <c r="B5211" t="str">
        <f t="shared" si="942"/>
        <v>SAÍDA</v>
      </c>
      <c r="C5211" t="str">
        <f t="shared" si="945"/>
        <v>PIX</v>
      </c>
      <c r="D5211" t="str">
        <f>"35944"</f>
        <v>35944</v>
      </c>
      <c r="E5211" t="str">
        <f t="shared" si="950"/>
        <v>1</v>
      </c>
      <c r="F5211" t="str">
        <f t="shared" si="947"/>
        <v>COM</v>
      </c>
      <c r="G5211" t="str">
        <f t="shared" si="952"/>
        <v>ALEX GLAUBER PEREIRA (1329)</v>
      </c>
      <c r="H5211" t="s">
        <v>1410</v>
      </c>
      <c r="I5211" t="str">
        <f t="shared" si="943"/>
        <v>26/03/2026</v>
      </c>
      <c r="J5211" t="str">
        <f t="shared" si="949"/>
        <v>23/03/2026</v>
      </c>
      <c r="K5211">
        <v>46107</v>
      </c>
      <c r="N5211">
        <v>109</v>
      </c>
      <c r="O5211" t="s">
        <v>27</v>
      </c>
      <c r="Q5211">
        <v>325</v>
      </c>
      <c r="R5211" t="str">
        <f>"PENSE FARMA 01 (10215)"</f>
        <v>PENSE FARMA 01 (10215)</v>
      </c>
      <c r="S5211" t="s">
        <v>37</v>
      </c>
      <c r="T5211">
        <v>32236</v>
      </c>
      <c r="U5211">
        <v>35944</v>
      </c>
      <c r="V5211" t="s">
        <v>37</v>
      </c>
    </row>
    <row r="5212" spans="1:22">
      <c r="A5212" t="str">
        <f t="shared" si="951"/>
        <v>26/03/2026</v>
      </c>
      <c r="B5212" t="str">
        <f t="shared" si="942"/>
        <v>SAÍDA</v>
      </c>
      <c r="C5212" t="str">
        <f t="shared" si="945"/>
        <v>PIX</v>
      </c>
      <c r="D5212" t="str">
        <f>"35945"</f>
        <v>35945</v>
      </c>
      <c r="E5212" t="str">
        <f t="shared" si="950"/>
        <v>1</v>
      </c>
      <c r="F5212" t="str">
        <f t="shared" si="947"/>
        <v>COM</v>
      </c>
      <c r="G5212" t="str">
        <f t="shared" si="952"/>
        <v>ALEX GLAUBER PEREIRA (1329)</v>
      </c>
      <c r="H5212" t="str">
        <f>"Serv.Prest. 16/03/2026 a 22/03/2026 - PIX: CELULAR - CHAVE: (11) 91487-0314"</f>
        <v>Serv.Prest. 16/03/2026 a 22/03/2026 - PIX: CELULAR - CHAVE: (11) 91487-0314</v>
      </c>
      <c r="I5212" t="str">
        <f t="shared" si="943"/>
        <v>26/03/2026</v>
      </c>
      <c r="J5212" t="str">
        <f t="shared" si="949"/>
        <v>23/03/2026</v>
      </c>
      <c r="K5212" t="str">
        <f>("26/03/2026")</f>
        <v>26/03/2026</v>
      </c>
      <c r="L5212">
        <v>325</v>
      </c>
      <c r="M5212">
        <v>325</v>
      </c>
      <c r="N5212">
        <v>109</v>
      </c>
      <c r="O5212" t="str">
        <f>"PAGAMENTO DE ENTREGADORES"</f>
        <v>PAGAMENTO DE ENTREGADORES</v>
      </c>
      <c r="P5212">
        <v>325</v>
      </c>
      <c r="S5212" t="str">
        <f>"BANCO C6 (149)"</f>
        <v>BANCO C6 (149)</v>
      </c>
      <c r="T5212">
        <v>32237</v>
      </c>
      <c r="U5212">
        <v>35945</v>
      </c>
      <c r="V5212" t="s">
        <v>37</v>
      </c>
    </row>
    <row r="5213" spans="1:22">
      <c r="A5213" t="str">
        <f t="shared" si="951"/>
        <v>26/03/2026</v>
      </c>
      <c r="B5213" t="str">
        <f t="shared" si="942"/>
        <v>SAÍDA</v>
      </c>
      <c r="C5213" t="str">
        <f t="shared" si="945"/>
        <v>PIX</v>
      </c>
      <c r="D5213" t="str">
        <f>"35945"</f>
        <v>35945</v>
      </c>
      <c r="E5213" t="str">
        <f t="shared" si="950"/>
        <v>1</v>
      </c>
      <c r="F5213" t="str">
        <f t="shared" si="947"/>
        <v>COM</v>
      </c>
      <c r="G5213" t="str">
        <f t="shared" si="952"/>
        <v>ALEX GLAUBER PEREIRA (1329)</v>
      </c>
      <c r="H5213" t="s">
        <v>1410</v>
      </c>
      <c r="I5213" t="str">
        <f t="shared" si="943"/>
        <v>26/03/2026</v>
      </c>
      <c r="J5213" t="str">
        <f t="shared" si="949"/>
        <v>23/03/2026</v>
      </c>
      <c r="K5213">
        <v>46107</v>
      </c>
      <c r="N5213">
        <v>109</v>
      </c>
      <c r="O5213" t="s">
        <v>27</v>
      </c>
      <c r="Q5213">
        <v>325</v>
      </c>
      <c r="R5213" t="str">
        <f>"PENSE FARMA 03 (10216)"</f>
        <v>PENSE FARMA 03 (10216)</v>
      </c>
      <c r="S5213" t="s">
        <v>37</v>
      </c>
      <c r="T5213">
        <v>32237</v>
      </c>
      <c r="U5213">
        <v>35945</v>
      </c>
      <c r="V5213" t="s">
        <v>37</v>
      </c>
    </row>
    <row r="5214" spans="1:22">
      <c r="A5214" t="str">
        <f t="shared" si="951"/>
        <v>26/03/2026</v>
      </c>
      <c r="B5214" t="str">
        <f t="shared" si="942"/>
        <v>SAÍDA</v>
      </c>
      <c r="C5214" t="str">
        <f t="shared" si="945"/>
        <v>PIX</v>
      </c>
      <c r="D5214" t="str">
        <f>"35946"</f>
        <v>35946</v>
      </c>
      <c r="E5214" t="str">
        <f t="shared" si="950"/>
        <v>1</v>
      </c>
      <c r="F5214" t="str">
        <f t="shared" si="947"/>
        <v>COM</v>
      </c>
      <c r="G5214" t="str">
        <f t="shared" si="952"/>
        <v>ALEX GLAUBER PEREIRA (1329)</v>
      </c>
      <c r="H5214" t="str">
        <f>"Serv.Prest. 16/03/2026 a 22/03/2026 - PIX: CELULAR - CHAVE: (11) 91487-0314"</f>
        <v>Serv.Prest. 16/03/2026 a 22/03/2026 - PIX: CELULAR - CHAVE: (11) 91487-0314</v>
      </c>
      <c r="I5214" t="str">
        <f t="shared" si="943"/>
        <v>26/03/2026</v>
      </c>
      <c r="J5214" t="str">
        <f t="shared" si="949"/>
        <v>23/03/2026</v>
      </c>
      <c r="K5214" t="str">
        <f>("26/03/2026")</f>
        <v>26/03/2026</v>
      </c>
      <c r="L5214">
        <v>325</v>
      </c>
      <c r="M5214">
        <v>325</v>
      </c>
      <c r="N5214">
        <v>109</v>
      </c>
      <c r="O5214" t="str">
        <f>"PAGAMENTO DE ENTREGADORES"</f>
        <v>PAGAMENTO DE ENTREGADORES</v>
      </c>
      <c r="P5214">
        <v>325</v>
      </c>
      <c r="S5214" t="str">
        <f>"BANCO C6 (149)"</f>
        <v>BANCO C6 (149)</v>
      </c>
      <c r="T5214">
        <v>32238</v>
      </c>
      <c r="U5214">
        <v>35946</v>
      </c>
      <c r="V5214" t="s">
        <v>37</v>
      </c>
    </row>
    <row r="5215" spans="1:22">
      <c r="A5215" t="str">
        <f t="shared" si="951"/>
        <v>26/03/2026</v>
      </c>
      <c r="B5215" t="str">
        <f t="shared" si="942"/>
        <v>SAÍDA</v>
      </c>
      <c r="C5215" t="str">
        <f t="shared" si="945"/>
        <v>PIX</v>
      </c>
      <c r="D5215" t="str">
        <f>"35946"</f>
        <v>35946</v>
      </c>
      <c r="E5215" t="str">
        <f t="shared" si="950"/>
        <v>1</v>
      </c>
      <c r="F5215" t="str">
        <f t="shared" si="947"/>
        <v>COM</v>
      </c>
      <c r="G5215" t="str">
        <f t="shared" si="952"/>
        <v>ALEX GLAUBER PEREIRA (1329)</v>
      </c>
      <c r="H5215" t="s">
        <v>1410</v>
      </c>
      <c r="I5215" t="str">
        <f t="shared" si="943"/>
        <v>26/03/2026</v>
      </c>
      <c r="J5215" t="str">
        <f t="shared" si="949"/>
        <v>23/03/2026</v>
      </c>
      <c r="K5215">
        <v>46107</v>
      </c>
      <c r="N5215">
        <v>109</v>
      </c>
      <c r="O5215" t="s">
        <v>27</v>
      </c>
      <c r="Q5215">
        <v>325</v>
      </c>
      <c r="R5215" t="str">
        <f>"PENSE FARMA 39 (10228)"</f>
        <v>PENSE FARMA 39 (10228)</v>
      </c>
      <c r="S5215" t="s">
        <v>37</v>
      </c>
      <c r="T5215">
        <v>32238</v>
      </c>
      <c r="U5215">
        <v>35946</v>
      </c>
      <c r="V5215" t="s">
        <v>37</v>
      </c>
    </row>
    <row r="5216" spans="1:22">
      <c r="A5216" t="str">
        <f t="shared" si="951"/>
        <v>26/03/2026</v>
      </c>
      <c r="B5216" t="str">
        <f t="shared" si="942"/>
        <v>SAÍDA</v>
      </c>
      <c r="C5216" t="str">
        <f t="shared" si="945"/>
        <v>PIX</v>
      </c>
      <c r="D5216" t="str">
        <f>"35947"</f>
        <v>35947</v>
      </c>
      <c r="E5216" t="str">
        <f t="shared" si="950"/>
        <v>1</v>
      </c>
      <c r="F5216" t="str">
        <f t="shared" si="947"/>
        <v>COM</v>
      </c>
      <c r="G5216" t="str">
        <f t="shared" ref="G5216:G5223" si="953">"IGOR LOPES DA SILVA (991)"</f>
        <v>IGOR LOPES DA SILVA (991)</v>
      </c>
      <c r="H5216" t="str">
        <f>"Serv.Prest. 16/03/2026 a 22/03/2026 - PIX: CELULAR - CHAVE: (11) 95054-2206"</f>
        <v>Serv.Prest. 16/03/2026 a 22/03/2026 - PIX: CELULAR - CHAVE: (11) 95054-2206</v>
      </c>
      <c r="I5216" t="str">
        <f t="shared" si="943"/>
        <v>26/03/2026</v>
      </c>
      <c r="J5216" t="str">
        <f t="shared" si="949"/>
        <v>23/03/2026</v>
      </c>
      <c r="K5216" t="str">
        <f>("26/03/2026")</f>
        <v>26/03/2026</v>
      </c>
      <c r="L5216">
        <v>385</v>
      </c>
      <c r="M5216">
        <v>385</v>
      </c>
      <c r="N5216">
        <v>109</v>
      </c>
      <c r="O5216" t="str">
        <f>"PAGAMENTO DE ENTREGADORES"</f>
        <v>PAGAMENTO DE ENTREGADORES</v>
      </c>
      <c r="P5216">
        <v>385</v>
      </c>
      <c r="S5216" t="str">
        <f>"BANCO C6 (149)"</f>
        <v>BANCO C6 (149)</v>
      </c>
      <c r="T5216">
        <v>32239</v>
      </c>
      <c r="U5216">
        <v>35947</v>
      </c>
      <c r="V5216" t="s">
        <v>37</v>
      </c>
    </row>
    <row r="5217" spans="1:22">
      <c r="A5217" t="str">
        <f t="shared" si="951"/>
        <v>26/03/2026</v>
      </c>
      <c r="B5217" t="str">
        <f t="shared" si="942"/>
        <v>SAÍDA</v>
      </c>
      <c r="C5217" t="str">
        <f t="shared" si="945"/>
        <v>PIX</v>
      </c>
      <c r="D5217" t="str">
        <f>"35947"</f>
        <v>35947</v>
      </c>
      <c r="E5217" t="str">
        <f t="shared" si="950"/>
        <v>1</v>
      </c>
      <c r="F5217" t="str">
        <f t="shared" si="947"/>
        <v>COM</v>
      </c>
      <c r="G5217" t="str">
        <f t="shared" si="953"/>
        <v>IGOR LOPES DA SILVA (991)</v>
      </c>
      <c r="H5217" t="s">
        <v>1178</v>
      </c>
      <c r="I5217" t="str">
        <f t="shared" si="943"/>
        <v>26/03/2026</v>
      </c>
      <c r="J5217" t="str">
        <f t="shared" si="949"/>
        <v>23/03/2026</v>
      </c>
      <c r="K5217">
        <v>46107</v>
      </c>
      <c r="N5217">
        <v>109</v>
      </c>
      <c r="O5217" t="s">
        <v>27</v>
      </c>
      <c r="Q5217">
        <v>385</v>
      </c>
      <c r="R5217" t="str">
        <f>"PENSE FARMA 02 (10199)"</f>
        <v>PENSE FARMA 02 (10199)</v>
      </c>
      <c r="S5217" t="s">
        <v>37</v>
      </c>
      <c r="T5217">
        <v>32239</v>
      </c>
      <c r="U5217">
        <v>35947</v>
      </c>
      <c r="V5217" t="s">
        <v>37</v>
      </c>
    </row>
    <row r="5218" spans="1:22">
      <c r="A5218" t="str">
        <f t="shared" si="951"/>
        <v>26/03/2026</v>
      </c>
      <c r="B5218" t="str">
        <f t="shared" si="942"/>
        <v>SAÍDA</v>
      </c>
      <c r="C5218" t="str">
        <f t="shared" si="945"/>
        <v>PIX</v>
      </c>
      <c r="D5218" t="str">
        <f>"35948"</f>
        <v>35948</v>
      </c>
      <c r="E5218" t="str">
        <f t="shared" si="950"/>
        <v>1</v>
      </c>
      <c r="F5218" t="str">
        <f t="shared" si="947"/>
        <v>COM</v>
      </c>
      <c r="G5218" t="str">
        <f t="shared" si="953"/>
        <v>IGOR LOPES DA SILVA (991)</v>
      </c>
      <c r="H5218" t="str">
        <f>"Serv.Prest. 16/03/2026 a 22/03/2026 - PIX: CELULAR - CHAVE: (11) 95054-2206"</f>
        <v>Serv.Prest. 16/03/2026 a 22/03/2026 - PIX: CELULAR - CHAVE: (11) 95054-2206</v>
      </c>
      <c r="I5218" t="str">
        <f t="shared" si="943"/>
        <v>26/03/2026</v>
      </c>
      <c r="J5218" t="str">
        <f t="shared" si="949"/>
        <v>23/03/2026</v>
      </c>
      <c r="K5218" t="str">
        <f>("26/03/2026")</f>
        <v>26/03/2026</v>
      </c>
      <c r="L5218">
        <v>385</v>
      </c>
      <c r="M5218">
        <v>385</v>
      </c>
      <c r="N5218">
        <v>109</v>
      </c>
      <c r="O5218" t="str">
        <f>"PAGAMENTO DE ENTREGADORES"</f>
        <v>PAGAMENTO DE ENTREGADORES</v>
      </c>
      <c r="P5218">
        <v>385</v>
      </c>
      <c r="S5218" t="str">
        <f>"BANCO C6 (149)"</f>
        <v>BANCO C6 (149)</v>
      </c>
      <c r="T5218">
        <v>32240</v>
      </c>
      <c r="U5218">
        <v>35948</v>
      </c>
      <c r="V5218" t="s">
        <v>37</v>
      </c>
    </row>
    <row r="5219" spans="1:22">
      <c r="A5219" t="str">
        <f t="shared" si="951"/>
        <v>26/03/2026</v>
      </c>
      <c r="B5219" t="str">
        <f t="shared" si="942"/>
        <v>SAÍDA</v>
      </c>
      <c r="C5219" t="str">
        <f t="shared" si="945"/>
        <v>PIX</v>
      </c>
      <c r="D5219" t="str">
        <f>"35948"</f>
        <v>35948</v>
      </c>
      <c r="E5219" t="str">
        <f t="shared" si="950"/>
        <v>1</v>
      </c>
      <c r="F5219" t="str">
        <f t="shared" si="947"/>
        <v>COM</v>
      </c>
      <c r="G5219" t="str">
        <f t="shared" si="953"/>
        <v>IGOR LOPES DA SILVA (991)</v>
      </c>
      <c r="H5219" t="s">
        <v>1178</v>
      </c>
      <c r="I5219" t="str">
        <f t="shared" si="943"/>
        <v>26/03/2026</v>
      </c>
      <c r="J5219" t="str">
        <f t="shared" si="949"/>
        <v>23/03/2026</v>
      </c>
      <c r="K5219">
        <v>46107</v>
      </c>
      <c r="N5219">
        <v>109</v>
      </c>
      <c r="O5219" t="s">
        <v>27</v>
      </c>
      <c r="Q5219">
        <v>385</v>
      </c>
      <c r="R5219" t="str">
        <f>"PENSE FARMA 01 (10215)"</f>
        <v>PENSE FARMA 01 (10215)</v>
      </c>
      <c r="S5219" t="s">
        <v>37</v>
      </c>
      <c r="T5219">
        <v>32240</v>
      </c>
      <c r="U5219">
        <v>35948</v>
      </c>
      <c r="V5219" t="s">
        <v>37</v>
      </c>
    </row>
    <row r="5220" spans="1:22">
      <c r="A5220" t="str">
        <f t="shared" si="951"/>
        <v>26/03/2026</v>
      </c>
      <c r="B5220" t="str">
        <f t="shared" si="942"/>
        <v>SAÍDA</v>
      </c>
      <c r="C5220" t="str">
        <f t="shared" si="945"/>
        <v>PIX</v>
      </c>
      <c r="D5220" t="str">
        <f>"35949"</f>
        <v>35949</v>
      </c>
      <c r="E5220" t="str">
        <f t="shared" si="950"/>
        <v>1</v>
      </c>
      <c r="F5220" t="str">
        <f t="shared" si="947"/>
        <v>COM</v>
      </c>
      <c r="G5220" t="str">
        <f t="shared" si="953"/>
        <v>IGOR LOPES DA SILVA (991)</v>
      </c>
      <c r="H5220" t="str">
        <f>"Serv.Prest. 16/03/2026 a 22/03/2026 - PIX: CELULAR - CHAVE: (11) 95054-2206"</f>
        <v>Serv.Prest. 16/03/2026 a 22/03/2026 - PIX: CELULAR - CHAVE: (11) 95054-2206</v>
      </c>
      <c r="I5220" t="str">
        <f t="shared" si="943"/>
        <v>26/03/2026</v>
      </c>
      <c r="J5220" t="str">
        <f t="shared" si="949"/>
        <v>23/03/2026</v>
      </c>
      <c r="K5220" t="str">
        <f>("26/03/2026")</f>
        <v>26/03/2026</v>
      </c>
      <c r="L5220">
        <v>135</v>
      </c>
      <c r="M5220">
        <v>135</v>
      </c>
      <c r="N5220">
        <v>109</v>
      </c>
      <c r="O5220" t="str">
        <f>"PAGAMENTO DE ENTREGADORES"</f>
        <v>PAGAMENTO DE ENTREGADORES</v>
      </c>
      <c r="P5220">
        <v>135</v>
      </c>
      <c r="S5220" t="str">
        <f>"BANCO C6 (149)"</f>
        <v>BANCO C6 (149)</v>
      </c>
      <c r="T5220">
        <v>32241</v>
      </c>
      <c r="U5220">
        <v>35949</v>
      </c>
      <c r="V5220" t="s">
        <v>37</v>
      </c>
    </row>
    <row r="5221" spans="1:22">
      <c r="A5221" t="str">
        <f t="shared" si="951"/>
        <v>26/03/2026</v>
      </c>
      <c r="B5221" t="str">
        <f t="shared" si="942"/>
        <v>SAÍDA</v>
      </c>
      <c r="C5221" t="str">
        <f t="shared" si="945"/>
        <v>PIX</v>
      </c>
      <c r="D5221" t="str">
        <f>"35949"</f>
        <v>35949</v>
      </c>
      <c r="E5221" t="str">
        <f t="shared" si="950"/>
        <v>1</v>
      </c>
      <c r="F5221" t="str">
        <f t="shared" si="947"/>
        <v>COM</v>
      </c>
      <c r="G5221" t="str">
        <f t="shared" si="953"/>
        <v>IGOR LOPES DA SILVA (991)</v>
      </c>
      <c r="H5221" t="s">
        <v>1178</v>
      </c>
      <c r="I5221" t="str">
        <f t="shared" si="943"/>
        <v>26/03/2026</v>
      </c>
      <c r="J5221" t="str">
        <f t="shared" si="949"/>
        <v>23/03/2026</v>
      </c>
      <c r="K5221">
        <v>46107</v>
      </c>
      <c r="N5221">
        <v>109</v>
      </c>
      <c r="O5221" t="s">
        <v>27</v>
      </c>
      <c r="Q5221">
        <v>135</v>
      </c>
      <c r="R5221" t="str">
        <f>"PENSE FARMA 03 (10216)"</f>
        <v>PENSE FARMA 03 (10216)</v>
      </c>
      <c r="S5221" t="s">
        <v>37</v>
      </c>
      <c r="T5221">
        <v>32241</v>
      </c>
      <c r="U5221">
        <v>35949</v>
      </c>
      <c r="V5221" t="s">
        <v>37</v>
      </c>
    </row>
    <row r="5222" spans="1:22">
      <c r="A5222" t="str">
        <f t="shared" si="951"/>
        <v>26/03/2026</v>
      </c>
      <c r="B5222" t="str">
        <f t="shared" si="942"/>
        <v>SAÍDA</v>
      </c>
      <c r="C5222" t="str">
        <f t="shared" si="945"/>
        <v>PIX</v>
      </c>
      <c r="D5222" t="str">
        <f>"35950"</f>
        <v>35950</v>
      </c>
      <c r="E5222" t="str">
        <f t="shared" si="950"/>
        <v>1</v>
      </c>
      <c r="F5222" t="str">
        <f t="shared" si="947"/>
        <v>COM</v>
      </c>
      <c r="G5222" t="str">
        <f t="shared" si="953"/>
        <v>IGOR LOPES DA SILVA (991)</v>
      </c>
      <c r="H5222" t="str">
        <f>"Serv.Prest. 16/03/2026 a 22/03/2026 - PIX: CELULAR - CHAVE: (11) 95054-2206"</f>
        <v>Serv.Prest. 16/03/2026 a 22/03/2026 - PIX: CELULAR - CHAVE: (11) 95054-2206</v>
      </c>
      <c r="I5222" t="str">
        <f t="shared" si="943"/>
        <v>26/03/2026</v>
      </c>
      <c r="J5222" t="str">
        <f t="shared" si="949"/>
        <v>23/03/2026</v>
      </c>
      <c r="K5222" t="str">
        <f>("26/03/2026")</f>
        <v>26/03/2026</v>
      </c>
      <c r="L5222">
        <v>395</v>
      </c>
      <c r="M5222">
        <v>395</v>
      </c>
      <c r="N5222">
        <v>109</v>
      </c>
      <c r="O5222" t="str">
        <f>"PAGAMENTO DE ENTREGADORES"</f>
        <v>PAGAMENTO DE ENTREGADORES</v>
      </c>
      <c r="P5222">
        <v>395</v>
      </c>
      <c r="S5222" t="str">
        <f>"BANCO C6 (149)"</f>
        <v>BANCO C6 (149)</v>
      </c>
      <c r="T5222">
        <v>32242</v>
      </c>
      <c r="U5222">
        <v>35950</v>
      </c>
      <c r="V5222" t="s">
        <v>37</v>
      </c>
    </row>
    <row r="5223" spans="1:22">
      <c r="A5223" t="str">
        <f t="shared" si="951"/>
        <v>26/03/2026</v>
      </c>
      <c r="B5223" t="str">
        <f t="shared" si="942"/>
        <v>SAÍDA</v>
      </c>
      <c r="C5223" t="str">
        <f t="shared" si="945"/>
        <v>PIX</v>
      </c>
      <c r="D5223" t="str">
        <f>"35950"</f>
        <v>35950</v>
      </c>
      <c r="E5223" t="str">
        <f t="shared" si="950"/>
        <v>1</v>
      </c>
      <c r="F5223" t="str">
        <f t="shared" si="947"/>
        <v>COM</v>
      </c>
      <c r="G5223" t="str">
        <f t="shared" si="953"/>
        <v>IGOR LOPES DA SILVA (991)</v>
      </c>
      <c r="H5223" t="s">
        <v>1178</v>
      </c>
      <c r="I5223" t="str">
        <f t="shared" si="943"/>
        <v>26/03/2026</v>
      </c>
      <c r="J5223" t="str">
        <f t="shared" si="949"/>
        <v>23/03/2026</v>
      </c>
      <c r="K5223">
        <v>46107</v>
      </c>
      <c r="N5223">
        <v>109</v>
      </c>
      <c r="O5223" t="s">
        <v>27</v>
      </c>
      <c r="Q5223">
        <v>395</v>
      </c>
      <c r="R5223" t="str">
        <f>"PENSE FARMA 39 (10228)"</f>
        <v>PENSE FARMA 39 (10228)</v>
      </c>
      <c r="S5223" t="s">
        <v>37</v>
      </c>
      <c r="T5223">
        <v>32242</v>
      </c>
      <c r="U5223">
        <v>35950</v>
      </c>
      <c r="V5223" t="s">
        <v>37</v>
      </c>
    </row>
    <row r="5224" spans="1:22">
      <c r="A5224" t="str">
        <f t="shared" si="951"/>
        <v>26/03/2026</v>
      </c>
      <c r="B5224" t="str">
        <f t="shared" si="942"/>
        <v>SAÍDA</v>
      </c>
      <c r="C5224" t="str">
        <f t="shared" si="945"/>
        <v>PIX</v>
      </c>
      <c r="D5224" t="str">
        <f>"35953"</f>
        <v>35953</v>
      </c>
      <c r="E5224" t="str">
        <f t="shared" si="950"/>
        <v>1</v>
      </c>
      <c r="F5224" t="str">
        <f t="shared" si="947"/>
        <v>COM</v>
      </c>
      <c r="G5224" t="str">
        <f>"MARCOS VINICIUS CORREIA JULI??O (1001)"</f>
        <v>MARCOS VINICIUS CORREIA JULI??O (1001)</v>
      </c>
      <c r="H5224" t="str">
        <f>"Serv.Prest. 16/03/2026 a 22/03/2026 - PIX: CELULAR - CHAVE: (11) 997779726"</f>
        <v>Serv.Prest. 16/03/2026 a 22/03/2026 - PIX: CELULAR - CHAVE: (11) 997779726</v>
      </c>
      <c r="I5224" t="str">
        <f t="shared" si="943"/>
        <v>26/03/2026</v>
      </c>
      <c r="J5224" t="str">
        <f t="shared" si="949"/>
        <v>23/03/2026</v>
      </c>
      <c r="K5224" t="str">
        <f>("26/03/2026")</f>
        <v>26/03/2026</v>
      </c>
      <c r="L5224">
        <v>685</v>
      </c>
      <c r="M5224">
        <v>685</v>
      </c>
      <c r="N5224">
        <v>109</v>
      </c>
      <c r="O5224" t="str">
        <f>"PAGAMENTO DE ENTREGADORES"</f>
        <v>PAGAMENTO DE ENTREGADORES</v>
      </c>
      <c r="P5224">
        <v>685</v>
      </c>
      <c r="S5224" t="str">
        <f>"BANCO C6 (149)"</f>
        <v>BANCO C6 (149)</v>
      </c>
      <c r="T5224">
        <v>32243</v>
      </c>
      <c r="U5224">
        <v>35953</v>
      </c>
      <c r="V5224" t="s">
        <v>37</v>
      </c>
    </row>
    <row r="5225" spans="1:22">
      <c r="A5225" t="str">
        <f t="shared" si="951"/>
        <v>26/03/2026</v>
      </c>
      <c r="B5225" t="str">
        <f t="shared" si="942"/>
        <v>SAÍDA</v>
      </c>
      <c r="C5225" t="str">
        <f t="shared" si="945"/>
        <v>PIX</v>
      </c>
      <c r="D5225" t="str">
        <f>"35953"</f>
        <v>35953</v>
      </c>
      <c r="E5225" t="str">
        <f t="shared" si="950"/>
        <v>1</v>
      </c>
      <c r="F5225" t="str">
        <f t="shared" si="947"/>
        <v>COM</v>
      </c>
      <c r="G5225" t="str">
        <f>"MARCOS VINICIUS CORREIA JULI??O (1001)"</f>
        <v>MARCOS VINICIUS CORREIA JULI??O (1001)</v>
      </c>
      <c r="H5225" t="s">
        <v>1411</v>
      </c>
      <c r="I5225" t="str">
        <f t="shared" si="943"/>
        <v>26/03/2026</v>
      </c>
      <c r="J5225" t="str">
        <f t="shared" si="949"/>
        <v>23/03/2026</v>
      </c>
      <c r="K5225">
        <v>46107</v>
      </c>
      <c r="N5225">
        <v>109</v>
      </c>
      <c r="O5225" t="s">
        <v>27</v>
      </c>
      <c r="Q5225">
        <v>685</v>
      </c>
      <c r="R5225" t="str">
        <f>"PENSE FARMA 44 (10231)"</f>
        <v>PENSE FARMA 44 (10231)</v>
      </c>
      <c r="S5225" t="s">
        <v>37</v>
      </c>
      <c r="T5225">
        <v>32243</v>
      </c>
      <c r="U5225">
        <v>35953</v>
      </c>
      <c r="V5225" t="s">
        <v>37</v>
      </c>
    </row>
    <row r="5226" spans="1:22">
      <c r="A5226" t="str">
        <f t="shared" si="951"/>
        <v>26/03/2026</v>
      </c>
      <c r="B5226" t="str">
        <f t="shared" si="942"/>
        <v>SAÍDA</v>
      </c>
      <c r="C5226" t="str">
        <f t="shared" si="945"/>
        <v>PIX</v>
      </c>
      <c r="D5226" t="str">
        <f>"35954"</f>
        <v>35954</v>
      </c>
      <c r="E5226" t="str">
        <f t="shared" si="950"/>
        <v>1</v>
      </c>
      <c r="F5226" t="str">
        <f t="shared" si="947"/>
        <v>COM</v>
      </c>
      <c r="G5226" t="str">
        <f>"MARCOS VINICIUS CORREIA JULI??O (1001)"</f>
        <v>MARCOS VINICIUS CORREIA JULI??O (1001)</v>
      </c>
      <c r="H5226" t="str">
        <f>"Serv.Prest. 16/03/2026 a 22/03/2026 - PIX: CELULAR - CHAVE: (11) 997779726"</f>
        <v>Serv.Prest. 16/03/2026 a 22/03/2026 - PIX: CELULAR - CHAVE: (11) 997779726</v>
      </c>
      <c r="I5226" t="str">
        <f t="shared" si="943"/>
        <v>26/03/2026</v>
      </c>
      <c r="J5226" t="str">
        <f t="shared" si="949"/>
        <v>23/03/2026</v>
      </c>
      <c r="K5226" t="str">
        <f>("26/03/2026")</f>
        <v>26/03/2026</v>
      </c>
      <c r="L5226">
        <v>690</v>
      </c>
      <c r="M5226">
        <v>690</v>
      </c>
      <c r="N5226">
        <v>109</v>
      </c>
      <c r="O5226" t="str">
        <f>"PAGAMENTO DE ENTREGADORES"</f>
        <v>PAGAMENTO DE ENTREGADORES</v>
      </c>
      <c r="P5226">
        <v>690</v>
      </c>
      <c r="S5226" t="str">
        <f>"BANCO C6 (149)"</f>
        <v>BANCO C6 (149)</v>
      </c>
      <c r="T5226">
        <v>32244</v>
      </c>
      <c r="U5226">
        <v>35954</v>
      </c>
      <c r="V5226" t="s">
        <v>37</v>
      </c>
    </row>
    <row r="5227" spans="1:22">
      <c r="A5227" t="str">
        <f t="shared" si="951"/>
        <v>26/03/2026</v>
      </c>
      <c r="B5227" t="str">
        <f t="shared" si="942"/>
        <v>SAÍDA</v>
      </c>
      <c r="C5227" t="str">
        <f t="shared" si="945"/>
        <v>PIX</v>
      </c>
      <c r="D5227" t="str">
        <f>"35954"</f>
        <v>35954</v>
      </c>
      <c r="E5227" t="str">
        <f t="shared" si="950"/>
        <v>1</v>
      </c>
      <c r="F5227" t="str">
        <f t="shared" si="947"/>
        <v>COM</v>
      </c>
      <c r="G5227" t="str">
        <f>"MARCOS VINICIUS CORREIA JULI??O (1001)"</f>
        <v>MARCOS VINICIUS CORREIA JULI??O (1001)</v>
      </c>
      <c r="H5227" t="s">
        <v>1411</v>
      </c>
      <c r="I5227" t="str">
        <f t="shared" si="943"/>
        <v>26/03/2026</v>
      </c>
      <c r="J5227" t="str">
        <f t="shared" si="949"/>
        <v>23/03/2026</v>
      </c>
      <c r="K5227">
        <v>46107</v>
      </c>
      <c r="N5227">
        <v>109</v>
      </c>
      <c r="O5227" t="s">
        <v>27</v>
      </c>
      <c r="Q5227">
        <v>690</v>
      </c>
      <c r="R5227" t="str">
        <f>"PENSE FARMA 48 (10233)"</f>
        <v>PENSE FARMA 48 (10233)</v>
      </c>
      <c r="S5227" t="s">
        <v>37</v>
      </c>
      <c r="T5227">
        <v>32244</v>
      </c>
      <c r="U5227">
        <v>35954</v>
      </c>
      <c r="V5227" t="s">
        <v>37</v>
      </c>
    </row>
    <row r="5228" spans="1:22">
      <c r="A5228" t="str">
        <f t="shared" si="951"/>
        <v>26/03/2026</v>
      </c>
      <c r="B5228" t="str">
        <f t="shared" si="942"/>
        <v>SAÍDA</v>
      </c>
      <c r="C5228" t="str">
        <f t="shared" si="945"/>
        <v>PIX</v>
      </c>
      <c r="D5228" t="str">
        <f>"35955"</f>
        <v>35955</v>
      </c>
      <c r="E5228" t="str">
        <f t="shared" si="950"/>
        <v>1</v>
      </c>
      <c r="F5228" t="str">
        <f t="shared" si="947"/>
        <v>COM</v>
      </c>
      <c r="G5228" t="str">
        <f>"VICTOR HUGO SOARES DE PAULA (1021)"</f>
        <v>VICTOR HUGO SOARES DE PAULA (1021)</v>
      </c>
      <c r="H5228" t="str">
        <f>"Serv.Prest. 16/03/2026 a 22/03/2026 - PIX: CELULAR - CHAVE: (11) 98281-4526"</f>
        <v>Serv.Prest. 16/03/2026 a 22/03/2026 - PIX: CELULAR - CHAVE: (11) 98281-4526</v>
      </c>
      <c r="I5228" t="str">
        <f t="shared" si="943"/>
        <v>26/03/2026</v>
      </c>
      <c r="J5228" t="str">
        <f t="shared" si="949"/>
        <v>23/03/2026</v>
      </c>
      <c r="K5228" t="str">
        <f>("26/03/2026")</f>
        <v>26/03/2026</v>
      </c>
      <c r="L5228">
        <v>560</v>
      </c>
      <c r="M5228">
        <v>560</v>
      </c>
      <c r="N5228">
        <v>109</v>
      </c>
      <c r="O5228" t="str">
        <f>"PAGAMENTO DE ENTREGADORES"</f>
        <v>PAGAMENTO DE ENTREGADORES</v>
      </c>
      <c r="P5228">
        <v>560</v>
      </c>
      <c r="S5228" t="str">
        <f>"BANCO C6 (149)"</f>
        <v>BANCO C6 (149)</v>
      </c>
      <c r="T5228">
        <v>32245</v>
      </c>
      <c r="U5228">
        <v>35955</v>
      </c>
      <c r="V5228" t="s">
        <v>37</v>
      </c>
    </row>
    <row r="5229" spans="1:22">
      <c r="A5229" t="str">
        <f t="shared" si="951"/>
        <v>26/03/2026</v>
      </c>
      <c r="B5229" t="str">
        <f t="shared" si="942"/>
        <v>SAÍDA</v>
      </c>
      <c r="C5229" t="str">
        <f t="shared" si="945"/>
        <v>PIX</v>
      </c>
      <c r="D5229" t="str">
        <f>"35955"</f>
        <v>35955</v>
      </c>
      <c r="E5229" t="str">
        <f t="shared" si="950"/>
        <v>1</v>
      </c>
      <c r="F5229" t="str">
        <f t="shared" si="947"/>
        <v>COM</v>
      </c>
      <c r="G5229" t="str">
        <f>"VICTOR HUGO SOARES DE PAULA (1021)"</f>
        <v>VICTOR HUGO SOARES DE PAULA (1021)</v>
      </c>
      <c r="H5229" t="s">
        <v>1179</v>
      </c>
      <c r="I5229" t="str">
        <f t="shared" si="943"/>
        <v>26/03/2026</v>
      </c>
      <c r="J5229" t="str">
        <f t="shared" si="949"/>
        <v>23/03/2026</v>
      </c>
      <c r="K5229">
        <v>46107</v>
      </c>
      <c r="N5229">
        <v>109</v>
      </c>
      <c r="O5229" t="s">
        <v>27</v>
      </c>
      <c r="Q5229">
        <v>560</v>
      </c>
      <c r="R5229" t="str">
        <f>"PENSE FARMA 44 (10231)"</f>
        <v>PENSE FARMA 44 (10231)</v>
      </c>
      <c r="S5229" t="s">
        <v>37</v>
      </c>
      <c r="T5229">
        <v>32245</v>
      </c>
      <c r="U5229">
        <v>35955</v>
      </c>
      <c r="V5229" t="s">
        <v>37</v>
      </c>
    </row>
    <row r="5230" spans="1:22">
      <c r="A5230" t="str">
        <f t="shared" si="951"/>
        <v>26/03/2026</v>
      </c>
      <c r="B5230" t="str">
        <f t="shared" si="942"/>
        <v>SAÍDA</v>
      </c>
      <c r="C5230" t="str">
        <f t="shared" si="945"/>
        <v>PIX</v>
      </c>
      <c r="D5230" t="str">
        <f>"35956"</f>
        <v>35956</v>
      </c>
      <c r="E5230" t="str">
        <f t="shared" si="950"/>
        <v>1</v>
      </c>
      <c r="F5230" t="str">
        <f t="shared" si="947"/>
        <v>COM</v>
      </c>
      <c r="G5230" t="str">
        <f>"VICTOR HUGO SOARES DE PAULA (1021)"</f>
        <v>VICTOR HUGO SOARES DE PAULA (1021)</v>
      </c>
      <c r="H5230" t="str">
        <f>"Serv.Prest. 16/03/2026 a 22/03/2026 - PIX: CELULAR - CHAVE: (11) 98281-4526"</f>
        <v>Serv.Prest. 16/03/2026 a 22/03/2026 - PIX: CELULAR - CHAVE: (11) 98281-4526</v>
      </c>
      <c r="I5230" t="str">
        <f t="shared" si="943"/>
        <v>26/03/2026</v>
      </c>
      <c r="J5230" t="str">
        <f t="shared" si="949"/>
        <v>23/03/2026</v>
      </c>
      <c r="K5230" t="str">
        <f>("26/03/2026")</f>
        <v>26/03/2026</v>
      </c>
      <c r="L5230">
        <v>815</v>
      </c>
      <c r="M5230">
        <v>815</v>
      </c>
      <c r="N5230">
        <v>109</v>
      </c>
      <c r="O5230" t="str">
        <f>"PAGAMENTO DE ENTREGADORES"</f>
        <v>PAGAMENTO DE ENTREGADORES</v>
      </c>
      <c r="P5230">
        <v>815</v>
      </c>
      <c r="S5230" t="str">
        <f>"BANCO C6 (149)"</f>
        <v>BANCO C6 (149)</v>
      </c>
      <c r="T5230">
        <v>32246</v>
      </c>
      <c r="U5230">
        <v>35956</v>
      </c>
      <c r="V5230" t="s">
        <v>37</v>
      </c>
    </row>
    <row r="5231" spans="1:22">
      <c r="A5231" t="str">
        <f t="shared" si="951"/>
        <v>26/03/2026</v>
      </c>
      <c r="B5231" t="str">
        <f t="shared" si="942"/>
        <v>SAÍDA</v>
      </c>
      <c r="C5231" t="str">
        <f t="shared" si="945"/>
        <v>PIX</v>
      </c>
      <c r="D5231" t="str">
        <f>"35956"</f>
        <v>35956</v>
      </c>
      <c r="E5231" t="str">
        <f t="shared" si="950"/>
        <v>1</v>
      </c>
      <c r="F5231" t="str">
        <f t="shared" si="947"/>
        <v>COM</v>
      </c>
      <c r="G5231" t="str">
        <f>"VICTOR HUGO SOARES DE PAULA (1021)"</f>
        <v>VICTOR HUGO SOARES DE PAULA (1021)</v>
      </c>
      <c r="H5231" t="s">
        <v>1179</v>
      </c>
      <c r="I5231" t="str">
        <f t="shared" si="943"/>
        <v>26/03/2026</v>
      </c>
      <c r="J5231" t="str">
        <f t="shared" si="949"/>
        <v>23/03/2026</v>
      </c>
      <c r="K5231">
        <v>46107</v>
      </c>
      <c r="N5231">
        <v>109</v>
      </c>
      <c r="O5231" t="s">
        <v>27</v>
      </c>
      <c r="Q5231">
        <v>815</v>
      </c>
      <c r="R5231" t="str">
        <f>"PENSE FARMA 48 (10233)"</f>
        <v>PENSE FARMA 48 (10233)</v>
      </c>
      <c r="S5231" t="s">
        <v>37</v>
      </c>
      <c r="T5231">
        <v>32246</v>
      </c>
      <c r="U5231">
        <v>35956</v>
      </c>
      <c r="V5231" t="s">
        <v>37</v>
      </c>
    </row>
    <row r="5232" spans="1:22">
      <c r="A5232" t="str">
        <f t="shared" si="951"/>
        <v>26/03/2026</v>
      </c>
      <c r="B5232" t="str">
        <f t="shared" ref="B5232:B5295" si="954">"SAÍDA"</f>
        <v>SAÍDA</v>
      </c>
      <c r="C5232" t="str">
        <f t="shared" si="945"/>
        <v>PIX</v>
      </c>
      <c r="D5232" t="str">
        <f>"35963"</f>
        <v>35963</v>
      </c>
      <c r="E5232" t="str">
        <f t="shared" si="950"/>
        <v>1</v>
      </c>
      <c r="F5232" t="str">
        <f t="shared" si="947"/>
        <v>COM</v>
      </c>
      <c r="G5232" t="str">
        <f>"GABRIEL SIQUEIRA DA SILVA (997)"</f>
        <v>GABRIEL SIQUEIRA DA SILVA (997)</v>
      </c>
      <c r="H5232" t="str">
        <f>"Serv.Prest. 16/03/2026 a 22/03/2026 - PIX: CPF - CHAVE: 500.480.978-02"</f>
        <v>Serv.Prest. 16/03/2026 a 22/03/2026 - PIX: CPF - CHAVE: 500.480.978-02</v>
      </c>
      <c r="I5232" t="str">
        <f t="shared" ref="I5232:I5295" si="955">("26/03/2026")</f>
        <v>26/03/2026</v>
      </c>
      <c r="J5232" t="str">
        <f t="shared" si="949"/>
        <v>23/03/2026</v>
      </c>
      <c r="K5232" t="str">
        <f>("26/03/2026")</f>
        <v>26/03/2026</v>
      </c>
      <c r="L5232">
        <v>800</v>
      </c>
      <c r="M5232">
        <v>800</v>
      </c>
      <c r="N5232">
        <v>109</v>
      </c>
      <c r="O5232" t="str">
        <f>"PAGAMENTO DE ENTREGADORES"</f>
        <v>PAGAMENTO DE ENTREGADORES</v>
      </c>
      <c r="P5232">
        <v>800</v>
      </c>
      <c r="S5232" t="str">
        <f>"BANCO C6 (149)"</f>
        <v>BANCO C6 (149)</v>
      </c>
      <c r="T5232">
        <v>32247</v>
      </c>
      <c r="U5232">
        <v>35963</v>
      </c>
      <c r="V5232" t="s">
        <v>37</v>
      </c>
    </row>
    <row r="5233" spans="1:22">
      <c r="A5233" t="str">
        <f t="shared" si="951"/>
        <v>26/03/2026</v>
      </c>
      <c r="B5233" t="str">
        <f t="shared" si="954"/>
        <v>SAÍDA</v>
      </c>
      <c r="C5233" t="str">
        <f t="shared" si="945"/>
        <v>PIX</v>
      </c>
      <c r="D5233" t="str">
        <f>"35963"</f>
        <v>35963</v>
      </c>
      <c r="E5233" t="str">
        <f t="shared" si="950"/>
        <v>1</v>
      </c>
      <c r="F5233" t="str">
        <f t="shared" si="947"/>
        <v>COM</v>
      </c>
      <c r="G5233" t="str">
        <f>"GABRIEL SIQUEIRA DA SILVA (997)"</f>
        <v>GABRIEL SIQUEIRA DA SILVA (997)</v>
      </c>
      <c r="H5233" t="s">
        <v>1412</v>
      </c>
      <c r="I5233" t="str">
        <f t="shared" si="955"/>
        <v>26/03/2026</v>
      </c>
      <c r="J5233" t="str">
        <f t="shared" si="949"/>
        <v>23/03/2026</v>
      </c>
      <c r="K5233">
        <v>46107</v>
      </c>
      <c r="N5233">
        <v>109</v>
      </c>
      <c r="O5233" t="s">
        <v>27</v>
      </c>
      <c r="Q5233">
        <v>800</v>
      </c>
      <c r="R5233" t="str">
        <f>"PENSE FARMA 49 (10234)"</f>
        <v>PENSE FARMA 49 (10234)</v>
      </c>
      <c r="S5233" t="s">
        <v>37</v>
      </c>
      <c r="T5233">
        <v>32247</v>
      </c>
      <c r="U5233">
        <v>35963</v>
      </c>
      <c r="V5233" t="s">
        <v>37</v>
      </c>
    </row>
    <row r="5234" spans="1:22">
      <c r="A5234" t="str">
        <f t="shared" si="951"/>
        <v>26/03/2026</v>
      </c>
      <c r="B5234" t="str">
        <f t="shared" si="954"/>
        <v>SAÍDA</v>
      </c>
      <c r="C5234" t="str">
        <f t="shared" si="945"/>
        <v>PIX</v>
      </c>
      <c r="D5234" t="str">
        <f>"35966"</f>
        <v>35966</v>
      </c>
      <c r="E5234" t="str">
        <f t="shared" si="950"/>
        <v>1</v>
      </c>
      <c r="F5234" t="str">
        <f t="shared" si="947"/>
        <v>COM</v>
      </c>
      <c r="G5234" t="str">
        <f t="shared" ref="G5234:G5239" si="956">"ALYSSON HENRIQUE SOARES DE ARA??JO (1336)"</f>
        <v>ALYSSON HENRIQUE SOARES DE ARA??JO (1336)</v>
      </c>
      <c r="H5234" t="str">
        <f>"Serv.Prest. 16/03/2026 a 22/03/2026 - PIX: CPF - CHAVE: 116.683.686-09"</f>
        <v>Serv.Prest. 16/03/2026 a 22/03/2026 - PIX: CPF - CHAVE: 116.683.686-09</v>
      </c>
      <c r="I5234" t="str">
        <f t="shared" si="955"/>
        <v>26/03/2026</v>
      </c>
      <c r="J5234" t="str">
        <f t="shared" si="949"/>
        <v>23/03/2026</v>
      </c>
      <c r="K5234" t="str">
        <f>("26/03/2026")</f>
        <v>26/03/2026</v>
      </c>
      <c r="L5234">
        <v>354</v>
      </c>
      <c r="M5234">
        <v>354</v>
      </c>
      <c r="N5234">
        <v>109</v>
      </c>
      <c r="O5234" t="str">
        <f>"PAGAMENTO DE ENTREGADORES"</f>
        <v>PAGAMENTO DE ENTREGADORES</v>
      </c>
      <c r="P5234">
        <v>354</v>
      </c>
      <c r="S5234" t="str">
        <f>"BANCO C6 (149)"</f>
        <v>BANCO C6 (149)</v>
      </c>
      <c r="T5234">
        <v>32248</v>
      </c>
      <c r="U5234">
        <v>35966</v>
      </c>
      <c r="V5234" t="s">
        <v>37</v>
      </c>
    </row>
    <row r="5235" spans="1:22">
      <c r="A5235" t="str">
        <f t="shared" si="951"/>
        <v>26/03/2026</v>
      </c>
      <c r="B5235" t="str">
        <f t="shared" si="954"/>
        <v>SAÍDA</v>
      </c>
      <c r="C5235" t="str">
        <f t="shared" si="945"/>
        <v>PIX</v>
      </c>
      <c r="D5235" t="str">
        <f>"35966"</f>
        <v>35966</v>
      </c>
      <c r="E5235" t="str">
        <f t="shared" si="950"/>
        <v>1</v>
      </c>
      <c r="F5235" t="str">
        <f t="shared" si="947"/>
        <v>COM</v>
      </c>
      <c r="G5235" t="str">
        <f t="shared" si="956"/>
        <v>ALYSSON HENRIQUE SOARES DE ARA??JO (1336)</v>
      </c>
      <c r="H5235" t="s">
        <v>1413</v>
      </c>
      <c r="I5235" t="str">
        <f t="shared" si="955"/>
        <v>26/03/2026</v>
      </c>
      <c r="J5235" t="str">
        <f t="shared" si="949"/>
        <v>23/03/2026</v>
      </c>
      <c r="K5235">
        <v>46107</v>
      </c>
      <c r="N5235">
        <v>109</v>
      </c>
      <c r="O5235" t="s">
        <v>27</v>
      </c>
      <c r="Q5235">
        <v>354</v>
      </c>
      <c r="R5235" t="str">
        <f>"PAGUE MENOS 1155 (10307)"</f>
        <v>PAGUE MENOS 1155 (10307)</v>
      </c>
      <c r="S5235" t="s">
        <v>37</v>
      </c>
      <c r="T5235">
        <v>32248</v>
      </c>
      <c r="U5235">
        <v>35966</v>
      </c>
      <c r="V5235" t="s">
        <v>37</v>
      </c>
    </row>
    <row r="5236" spans="1:22">
      <c r="A5236" t="str">
        <f t="shared" si="951"/>
        <v>26/03/2026</v>
      </c>
      <c r="B5236" t="str">
        <f t="shared" si="954"/>
        <v>SAÍDA</v>
      </c>
      <c r="C5236" t="str">
        <f t="shared" si="945"/>
        <v>PIX</v>
      </c>
      <c r="D5236" t="str">
        <f>"35967"</f>
        <v>35967</v>
      </c>
      <c r="E5236" t="str">
        <f t="shared" si="950"/>
        <v>1</v>
      </c>
      <c r="F5236" t="str">
        <f t="shared" si="947"/>
        <v>COM</v>
      </c>
      <c r="G5236" t="str">
        <f t="shared" si="956"/>
        <v>ALYSSON HENRIQUE SOARES DE ARA??JO (1336)</v>
      </c>
      <c r="H5236" t="str">
        <f>"Serv.Prest. 16/03/2026 a 22/03/2026 - PIX: CPF - CHAVE: 116.683.686-09"</f>
        <v>Serv.Prest. 16/03/2026 a 22/03/2026 - PIX: CPF - CHAVE: 116.683.686-09</v>
      </c>
      <c r="I5236" t="str">
        <f t="shared" si="955"/>
        <v>26/03/2026</v>
      </c>
      <c r="J5236" t="str">
        <f t="shared" si="949"/>
        <v>23/03/2026</v>
      </c>
      <c r="K5236" t="str">
        <f>("26/03/2026")</f>
        <v>26/03/2026</v>
      </c>
      <c r="L5236">
        <v>12</v>
      </c>
      <c r="M5236">
        <v>12</v>
      </c>
      <c r="N5236">
        <v>109</v>
      </c>
      <c r="O5236" t="str">
        <f>"PAGAMENTO DE ENTREGADORES"</f>
        <v>PAGAMENTO DE ENTREGADORES</v>
      </c>
      <c r="P5236">
        <v>12</v>
      </c>
      <c r="S5236" t="str">
        <f>"BANCO C6 (149)"</f>
        <v>BANCO C6 (149)</v>
      </c>
      <c r="T5236">
        <v>32249</v>
      </c>
      <c r="U5236">
        <v>35967</v>
      </c>
      <c r="V5236" t="s">
        <v>37</v>
      </c>
    </row>
    <row r="5237" spans="1:22">
      <c r="A5237" t="str">
        <f t="shared" si="951"/>
        <v>26/03/2026</v>
      </c>
      <c r="B5237" t="str">
        <f t="shared" si="954"/>
        <v>SAÍDA</v>
      </c>
      <c r="C5237" t="str">
        <f t="shared" si="945"/>
        <v>PIX</v>
      </c>
      <c r="D5237" t="str">
        <f>"35967"</f>
        <v>35967</v>
      </c>
      <c r="E5237" t="str">
        <f t="shared" si="950"/>
        <v>1</v>
      </c>
      <c r="F5237" t="str">
        <f t="shared" si="947"/>
        <v>COM</v>
      </c>
      <c r="G5237" t="str">
        <f t="shared" si="956"/>
        <v>ALYSSON HENRIQUE SOARES DE ARA??JO (1336)</v>
      </c>
      <c r="H5237" t="s">
        <v>1413</v>
      </c>
      <c r="I5237" t="str">
        <f t="shared" si="955"/>
        <v>26/03/2026</v>
      </c>
      <c r="J5237" t="str">
        <f t="shared" si="949"/>
        <v>23/03/2026</v>
      </c>
      <c r="K5237">
        <v>46107</v>
      </c>
      <c r="N5237">
        <v>109</v>
      </c>
      <c r="O5237" t="s">
        <v>27</v>
      </c>
      <c r="Q5237">
        <v>12</v>
      </c>
      <c r="R5237" t="str">
        <f>"PAGUE MENOS 306 (10298)"</f>
        <v>PAGUE MENOS 306 (10298)</v>
      </c>
      <c r="S5237" t="s">
        <v>37</v>
      </c>
      <c r="T5237">
        <v>32249</v>
      </c>
      <c r="U5237">
        <v>35967</v>
      </c>
      <c r="V5237" t="s">
        <v>37</v>
      </c>
    </row>
    <row r="5238" spans="1:22">
      <c r="A5238" t="str">
        <f t="shared" si="951"/>
        <v>26/03/2026</v>
      </c>
      <c r="B5238" t="str">
        <f t="shared" si="954"/>
        <v>SAÍDA</v>
      </c>
      <c r="C5238" t="str">
        <f t="shared" ref="C5238:C5301" si="957">"PIX"</f>
        <v>PIX</v>
      </c>
      <c r="D5238" t="str">
        <f>"35968"</f>
        <v>35968</v>
      </c>
      <c r="E5238" t="str">
        <f t="shared" si="950"/>
        <v>1</v>
      </c>
      <c r="F5238" t="str">
        <f t="shared" si="947"/>
        <v>COM</v>
      </c>
      <c r="G5238" t="str">
        <f t="shared" si="956"/>
        <v>ALYSSON HENRIQUE SOARES DE ARA??JO (1336)</v>
      </c>
      <c r="H5238" t="str">
        <f>"Serv.Prest. 16/03/2026 a 22/03/2026 - PIX: CPF - CHAVE: 116.683.686-09"</f>
        <v>Serv.Prest. 16/03/2026 a 22/03/2026 - PIX: CPF - CHAVE: 116.683.686-09</v>
      </c>
      <c r="I5238" t="str">
        <f t="shared" si="955"/>
        <v>26/03/2026</v>
      </c>
      <c r="J5238" t="str">
        <f t="shared" si="949"/>
        <v>23/03/2026</v>
      </c>
      <c r="K5238" t="str">
        <f>("26/03/2026")</f>
        <v>26/03/2026</v>
      </c>
      <c r="L5238">
        <v>168</v>
      </c>
      <c r="M5238">
        <v>168</v>
      </c>
      <c r="N5238">
        <v>109</v>
      </c>
      <c r="O5238" t="str">
        <f>"PAGAMENTO DE ENTREGADORES"</f>
        <v>PAGAMENTO DE ENTREGADORES</v>
      </c>
      <c r="P5238">
        <v>168</v>
      </c>
      <c r="S5238" t="str">
        <f>"BANCO C6 (149)"</f>
        <v>BANCO C6 (149)</v>
      </c>
      <c r="T5238">
        <v>32250</v>
      </c>
      <c r="U5238">
        <v>35968</v>
      </c>
      <c r="V5238" t="s">
        <v>37</v>
      </c>
    </row>
    <row r="5239" spans="1:22">
      <c r="A5239" t="str">
        <f t="shared" si="951"/>
        <v>26/03/2026</v>
      </c>
      <c r="B5239" t="str">
        <f t="shared" si="954"/>
        <v>SAÍDA</v>
      </c>
      <c r="C5239" t="str">
        <f t="shared" si="957"/>
        <v>PIX</v>
      </c>
      <c r="D5239" t="str">
        <f>"35968"</f>
        <v>35968</v>
      </c>
      <c r="E5239" t="str">
        <f t="shared" si="950"/>
        <v>1</v>
      </c>
      <c r="F5239" t="str">
        <f t="shared" si="947"/>
        <v>COM</v>
      </c>
      <c r="G5239" t="str">
        <f t="shared" si="956"/>
        <v>ALYSSON HENRIQUE SOARES DE ARA??JO (1336)</v>
      </c>
      <c r="H5239" t="s">
        <v>1413</v>
      </c>
      <c r="I5239" t="str">
        <f t="shared" si="955"/>
        <v>26/03/2026</v>
      </c>
      <c r="J5239" t="str">
        <f t="shared" si="949"/>
        <v>23/03/2026</v>
      </c>
      <c r="K5239">
        <v>46107</v>
      </c>
      <c r="N5239">
        <v>109</v>
      </c>
      <c r="O5239" t="s">
        <v>27</v>
      </c>
      <c r="Q5239">
        <v>168</v>
      </c>
      <c r="R5239" t="str">
        <f>"PAGUE MENOS 377 (10300)"</f>
        <v>PAGUE MENOS 377 (10300)</v>
      </c>
      <c r="S5239" t="s">
        <v>37</v>
      </c>
      <c r="T5239">
        <v>32250</v>
      </c>
      <c r="U5239">
        <v>35968</v>
      </c>
      <c r="V5239" t="s">
        <v>37</v>
      </c>
    </row>
    <row r="5240" spans="1:22">
      <c r="A5240" t="str">
        <f t="shared" si="951"/>
        <v>26/03/2026</v>
      </c>
      <c r="B5240" t="str">
        <f t="shared" si="954"/>
        <v>SAÍDA</v>
      </c>
      <c r="C5240" t="str">
        <f t="shared" si="957"/>
        <v>PIX</v>
      </c>
      <c r="D5240" t="str">
        <f>"35970"</f>
        <v>35970</v>
      </c>
      <c r="E5240" t="str">
        <f t="shared" si="950"/>
        <v>1</v>
      </c>
      <c r="F5240" t="str">
        <f t="shared" si="947"/>
        <v>COM</v>
      </c>
      <c r="G5240" t="str">
        <f t="shared" ref="G5240:G5245" si="958">"EURIPEDES BARSANULFO DE ANDRADE  (25)"</f>
        <v>EURIPEDES BARSANULFO DE ANDRADE  (25)</v>
      </c>
      <c r="H5240" t="str">
        <f>"Serv.Prest. 16/03/2026 a 22/03/2026 - PIX: CPF - CHAVE: 866.153.356-20"</f>
        <v>Serv.Prest. 16/03/2026 a 22/03/2026 - PIX: CPF - CHAVE: 866.153.356-20</v>
      </c>
      <c r="I5240" t="str">
        <f t="shared" si="955"/>
        <v>26/03/2026</v>
      </c>
      <c r="J5240" t="str">
        <f t="shared" si="949"/>
        <v>23/03/2026</v>
      </c>
      <c r="K5240" t="str">
        <f>("26/03/2026")</f>
        <v>26/03/2026</v>
      </c>
      <c r="L5240">
        <v>24</v>
      </c>
      <c r="M5240">
        <v>24</v>
      </c>
      <c r="N5240">
        <v>109</v>
      </c>
      <c r="O5240" t="str">
        <f>"PAGAMENTO DE ENTREGADORES"</f>
        <v>PAGAMENTO DE ENTREGADORES</v>
      </c>
      <c r="P5240">
        <v>24</v>
      </c>
      <c r="S5240" t="str">
        <f>"BANCO C6 (149)"</f>
        <v>BANCO C6 (149)</v>
      </c>
      <c r="T5240">
        <v>32251</v>
      </c>
      <c r="U5240">
        <v>35970</v>
      </c>
      <c r="V5240" t="s">
        <v>37</v>
      </c>
    </row>
    <row r="5241" spans="1:22">
      <c r="A5241" t="str">
        <f t="shared" si="951"/>
        <v>26/03/2026</v>
      </c>
      <c r="B5241" t="str">
        <f t="shared" si="954"/>
        <v>SAÍDA</v>
      </c>
      <c r="C5241" t="str">
        <f t="shared" si="957"/>
        <v>PIX</v>
      </c>
      <c r="D5241" t="str">
        <f>"35970"</f>
        <v>35970</v>
      </c>
      <c r="E5241" t="str">
        <f t="shared" si="950"/>
        <v>1</v>
      </c>
      <c r="F5241" t="str">
        <f t="shared" si="947"/>
        <v>COM</v>
      </c>
      <c r="G5241" t="str">
        <f t="shared" si="958"/>
        <v>EURIPEDES BARSANULFO DE ANDRADE  (25)</v>
      </c>
      <c r="H5241" t="s">
        <v>1205</v>
      </c>
      <c r="I5241" t="str">
        <f t="shared" si="955"/>
        <v>26/03/2026</v>
      </c>
      <c r="J5241" t="str">
        <f t="shared" si="949"/>
        <v>23/03/2026</v>
      </c>
      <c r="K5241">
        <v>46107</v>
      </c>
      <c r="N5241">
        <v>109</v>
      </c>
      <c r="O5241" t="s">
        <v>27</v>
      </c>
      <c r="Q5241">
        <v>24</v>
      </c>
      <c r="R5241" t="str">
        <f>"PAGUE MENOS 306 (10298)"</f>
        <v>PAGUE MENOS 306 (10298)</v>
      </c>
      <c r="S5241" t="s">
        <v>37</v>
      </c>
      <c r="T5241">
        <v>32251</v>
      </c>
      <c r="U5241">
        <v>35970</v>
      </c>
      <c r="V5241" t="s">
        <v>37</v>
      </c>
    </row>
    <row r="5242" spans="1:22">
      <c r="A5242" t="str">
        <f t="shared" si="951"/>
        <v>26/03/2026</v>
      </c>
      <c r="B5242" t="str">
        <f t="shared" si="954"/>
        <v>SAÍDA</v>
      </c>
      <c r="C5242" t="str">
        <f t="shared" si="957"/>
        <v>PIX</v>
      </c>
      <c r="D5242" t="str">
        <f>"35971"</f>
        <v>35971</v>
      </c>
      <c r="E5242" t="str">
        <f t="shared" si="950"/>
        <v>1</v>
      </c>
      <c r="F5242" t="str">
        <f t="shared" si="947"/>
        <v>COM</v>
      </c>
      <c r="G5242" t="str">
        <f t="shared" si="958"/>
        <v>EURIPEDES BARSANULFO DE ANDRADE  (25)</v>
      </c>
      <c r="H5242" t="str">
        <f>"Serv.Prest. 16/03/2026 a 22/03/2026 - PIX: CPF - CHAVE: 866.153.356-20"</f>
        <v>Serv.Prest. 16/03/2026 a 22/03/2026 - PIX: CPF - CHAVE: 866.153.356-20</v>
      </c>
      <c r="I5242" t="str">
        <f t="shared" si="955"/>
        <v>26/03/2026</v>
      </c>
      <c r="J5242" t="str">
        <f t="shared" si="949"/>
        <v>23/03/2026</v>
      </c>
      <c r="K5242" t="str">
        <f>("26/03/2026")</f>
        <v>26/03/2026</v>
      </c>
      <c r="L5242">
        <v>96</v>
      </c>
      <c r="M5242">
        <v>96</v>
      </c>
      <c r="N5242">
        <v>109</v>
      </c>
      <c r="O5242" t="str">
        <f>"PAGAMENTO DE ENTREGADORES"</f>
        <v>PAGAMENTO DE ENTREGADORES</v>
      </c>
      <c r="P5242">
        <v>96</v>
      </c>
      <c r="S5242" t="str">
        <f>"BANCO C6 (149)"</f>
        <v>BANCO C6 (149)</v>
      </c>
      <c r="T5242">
        <v>32252</v>
      </c>
      <c r="U5242">
        <v>35971</v>
      </c>
      <c r="V5242" t="s">
        <v>37</v>
      </c>
    </row>
    <row r="5243" spans="1:22">
      <c r="A5243" t="str">
        <f t="shared" si="951"/>
        <v>26/03/2026</v>
      </c>
      <c r="B5243" t="str">
        <f t="shared" si="954"/>
        <v>SAÍDA</v>
      </c>
      <c r="C5243" t="str">
        <f t="shared" si="957"/>
        <v>PIX</v>
      </c>
      <c r="D5243" t="str">
        <f>"35971"</f>
        <v>35971</v>
      </c>
      <c r="E5243" t="str">
        <f t="shared" si="950"/>
        <v>1</v>
      </c>
      <c r="F5243" t="str">
        <f t="shared" si="947"/>
        <v>COM</v>
      </c>
      <c r="G5243" t="str">
        <f t="shared" si="958"/>
        <v>EURIPEDES BARSANULFO DE ANDRADE  (25)</v>
      </c>
      <c r="H5243" t="s">
        <v>1205</v>
      </c>
      <c r="I5243" t="str">
        <f t="shared" si="955"/>
        <v>26/03/2026</v>
      </c>
      <c r="J5243" t="str">
        <f t="shared" si="949"/>
        <v>23/03/2026</v>
      </c>
      <c r="K5243">
        <v>46107</v>
      </c>
      <c r="N5243">
        <v>109</v>
      </c>
      <c r="O5243" t="s">
        <v>27</v>
      </c>
      <c r="Q5243">
        <v>96</v>
      </c>
      <c r="R5243" t="str">
        <f>"PAGUE MENOS 1156 (10308)"</f>
        <v>PAGUE MENOS 1156 (10308)</v>
      </c>
      <c r="S5243" t="s">
        <v>37</v>
      </c>
      <c r="T5243">
        <v>32252</v>
      </c>
      <c r="U5243">
        <v>35971</v>
      </c>
      <c r="V5243" t="s">
        <v>37</v>
      </c>
    </row>
    <row r="5244" spans="1:22">
      <c r="A5244" t="str">
        <f t="shared" si="951"/>
        <v>26/03/2026</v>
      </c>
      <c r="B5244" t="str">
        <f t="shared" si="954"/>
        <v>SAÍDA</v>
      </c>
      <c r="C5244" t="str">
        <f t="shared" si="957"/>
        <v>PIX</v>
      </c>
      <c r="D5244" t="str">
        <f>"35973"</f>
        <v>35973</v>
      </c>
      <c r="E5244" t="str">
        <f t="shared" si="950"/>
        <v>1</v>
      </c>
      <c r="F5244" t="str">
        <f t="shared" si="947"/>
        <v>COM</v>
      </c>
      <c r="G5244" t="str">
        <f t="shared" si="958"/>
        <v>EURIPEDES BARSANULFO DE ANDRADE  (25)</v>
      </c>
      <c r="H5244" t="str">
        <f>"Serv.Prest. 16/03/2026 a 22/03/2026 - PIX: CPF - CHAVE: 866.153.356-20"</f>
        <v>Serv.Prest. 16/03/2026 a 22/03/2026 - PIX: CPF - CHAVE: 866.153.356-20</v>
      </c>
      <c r="I5244" t="str">
        <f t="shared" si="955"/>
        <v>26/03/2026</v>
      </c>
      <c r="J5244" t="str">
        <f t="shared" si="949"/>
        <v>23/03/2026</v>
      </c>
      <c r="K5244" t="str">
        <f>("26/03/2026")</f>
        <v>26/03/2026</v>
      </c>
      <c r="L5244">
        <v>6</v>
      </c>
      <c r="M5244">
        <v>6</v>
      </c>
      <c r="N5244">
        <v>109</v>
      </c>
      <c r="O5244" t="str">
        <f>"PAGAMENTO DE ENTREGADORES"</f>
        <v>PAGAMENTO DE ENTREGADORES</v>
      </c>
      <c r="P5244">
        <v>6</v>
      </c>
      <c r="S5244" t="str">
        <f>"BANCO C6 (149)"</f>
        <v>BANCO C6 (149)</v>
      </c>
      <c r="T5244">
        <v>32253</v>
      </c>
      <c r="U5244">
        <v>35973</v>
      </c>
      <c r="V5244" t="s">
        <v>37</v>
      </c>
    </row>
    <row r="5245" spans="1:22">
      <c r="A5245" t="str">
        <f t="shared" si="951"/>
        <v>26/03/2026</v>
      </c>
      <c r="B5245" t="str">
        <f t="shared" si="954"/>
        <v>SAÍDA</v>
      </c>
      <c r="C5245" t="str">
        <f t="shared" si="957"/>
        <v>PIX</v>
      </c>
      <c r="D5245" t="str">
        <f>"35973"</f>
        <v>35973</v>
      </c>
      <c r="E5245" t="str">
        <f t="shared" si="950"/>
        <v>1</v>
      </c>
      <c r="F5245" t="str">
        <f t="shared" si="947"/>
        <v>COM</v>
      </c>
      <c r="G5245" t="str">
        <f t="shared" si="958"/>
        <v>EURIPEDES BARSANULFO DE ANDRADE  (25)</v>
      </c>
      <c r="H5245" t="s">
        <v>1205</v>
      </c>
      <c r="I5245" t="str">
        <f t="shared" si="955"/>
        <v>26/03/2026</v>
      </c>
      <c r="J5245" t="str">
        <f t="shared" si="949"/>
        <v>23/03/2026</v>
      </c>
      <c r="K5245">
        <v>46107</v>
      </c>
      <c r="N5245">
        <v>109</v>
      </c>
      <c r="O5245" t="s">
        <v>27</v>
      </c>
      <c r="Q5245">
        <v>6</v>
      </c>
      <c r="R5245" t="str">
        <f>"PAGUE MENOS 548 (10303)"</f>
        <v>PAGUE MENOS 548 (10303)</v>
      </c>
      <c r="S5245" t="s">
        <v>37</v>
      </c>
      <c r="T5245">
        <v>32253</v>
      </c>
      <c r="U5245">
        <v>35973</v>
      </c>
      <c r="V5245" t="s">
        <v>37</v>
      </c>
    </row>
    <row r="5246" spans="1:22">
      <c r="A5246" t="str">
        <f t="shared" si="951"/>
        <v>26/03/2026</v>
      </c>
      <c r="B5246" t="str">
        <f t="shared" si="954"/>
        <v>SAÍDA</v>
      </c>
      <c r="C5246" t="str">
        <f t="shared" si="957"/>
        <v>PIX</v>
      </c>
      <c r="D5246" t="str">
        <f>"35998"</f>
        <v>35998</v>
      </c>
      <c r="E5246" t="str">
        <f t="shared" si="950"/>
        <v>1</v>
      </c>
      <c r="F5246" t="str">
        <f t="shared" si="947"/>
        <v>COM</v>
      </c>
      <c r="G5246" t="str">
        <f>"ALYSSON HENRIQUE SOARES DE ARA??JO (1336)"</f>
        <v>ALYSSON HENRIQUE SOARES DE ARA??JO (1336)</v>
      </c>
      <c r="H5246" t="str">
        <f>"Serv.Prest. 16/03/2026 a 22/03/2026 - PIX: CPF - CHAVE: 116.683.686-09"</f>
        <v>Serv.Prest. 16/03/2026 a 22/03/2026 - PIX: CPF - CHAVE: 116.683.686-09</v>
      </c>
      <c r="I5246" t="str">
        <f t="shared" si="955"/>
        <v>26/03/2026</v>
      </c>
      <c r="J5246" t="str">
        <f t="shared" si="949"/>
        <v>23/03/2026</v>
      </c>
      <c r="K5246" t="str">
        <f>("26/03/2026")</f>
        <v>26/03/2026</v>
      </c>
      <c r="L5246">
        <v>234</v>
      </c>
      <c r="M5246">
        <v>234</v>
      </c>
      <c r="N5246">
        <v>109</v>
      </c>
      <c r="O5246" t="str">
        <f>"PAGAMENTO DE ENTREGADORES"</f>
        <v>PAGAMENTO DE ENTREGADORES</v>
      </c>
      <c r="P5246">
        <v>234</v>
      </c>
      <c r="S5246" t="str">
        <f>"BANCO C6 (149)"</f>
        <v>BANCO C6 (149)</v>
      </c>
      <c r="T5246">
        <v>32254</v>
      </c>
      <c r="U5246">
        <v>35998</v>
      </c>
      <c r="V5246" t="s">
        <v>37</v>
      </c>
    </row>
    <row r="5247" spans="1:22">
      <c r="A5247" t="str">
        <f t="shared" si="951"/>
        <v>26/03/2026</v>
      </c>
      <c r="B5247" t="str">
        <f t="shared" si="954"/>
        <v>SAÍDA</v>
      </c>
      <c r="C5247" t="str">
        <f t="shared" si="957"/>
        <v>PIX</v>
      </c>
      <c r="D5247" t="str">
        <f>"35998"</f>
        <v>35998</v>
      </c>
      <c r="E5247" t="str">
        <f t="shared" si="950"/>
        <v>1</v>
      </c>
      <c r="F5247" t="str">
        <f t="shared" si="947"/>
        <v>COM</v>
      </c>
      <c r="G5247" t="str">
        <f>"ALYSSON HENRIQUE SOARES DE ARA??JO (1336)"</f>
        <v>ALYSSON HENRIQUE SOARES DE ARA??JO (1336)</v>
      </c>
      <c r="H5247" t="s">
        <v>1413</v>
      </c>
      <c r="I5247" t="str">
        <f t="shared" si="955"/>
        <v>26/03/2026</v>
      </c>
      <c r="J5247" t="str">
        <f t="shared" si="949"/>
        <v>23/03/2026</v>
      </c>
      <c r="K5247">
        <v>46107</v>
      </c>
      <c r="N5247">
        <v>109</v>
      </c>
      <c r="O5247" t="s">
        <v>27</v>
      </c>
      <c r="Q5247">
        <v>234</v>
      </c>
      <c r="R5247" t="str">
        <f>"PAGUE MENOS 1156 (10308)"</f>
        <v>PAGUE MENOS 1156 (10308)</v>
      </c>
      <c r="S5247" t="s">
        <v>37</v>
      </c>
      <c r="T5247">
        <v>32254</v>
      </c>
      <c r="U5247">
        <v>35998</v>
      </c>
      <c r="V5247" t="s">
        <v>37</v>
      </c>
    </row>
    <row r="5248" spans="1:22">
      <c r="A5248" t="str">
        <f t="shared" si="951"/>
        <v>26/03/2026</v>
      </c>
      <c r="B5248" t="str">
        <f t="shared" si="954"/>
        <v>SAÍDA</v>
      </c>
      <c r="C5248" t="str">
        <f t="shared" si="957"/>
        <v>PIX</v>
      </c>
      <c r="D5248" t="str">
        <f>"36006"</f>
        <v>36006</v>
      </c>
      <c r="E5248" t="str">
        <f t="shared" si="950"/>
        <v>1</v>
      </c>
      <c r="F5248" t="str">
        <f t="shared" si="947"/>
        <v>COM</v>
      </c>
      <c r="G5248" t="str">
        <f t="shared" ref="G5248:G5255" si="959">"EURIPEDES BARSANULFO DE ANDRADE  (25)"</f>
        <v>EURIPEDES BARSANULFO DE ANDRADE  (25)</v>
      </c>
      <c r="H5248" t="str">
        <f>"Serv.Prest. 16/03/2026 a 22/03/2026 - PIX: CPF - CHAVE: 866.153.356-20"</f>
        <v>Serv.Prest. 16/03/2026 a 22/03/2026 - PIX: CPF - CHAVE: 866.153.356-20</v>
      </c>
      <c r="I5248" t="str">
        <f t="shared" si="955"/>
        <v>26/03/2026</v>
      </c>
      <c r="J5248" t="str">
        <f t="shared" si="949"/>
        <v>23/03/2026</v>
      </c>
      <c r="K5248" t="str">
        <f>("26/03/2026")</f>
        <v>26/03/2026</v>
      </c>
      <c r="L5248">
        <v>96</v>
      </c>
      <c r="M5248">
        <v>96</v>
      </c>
      <c r="N5248">
        <v>109</v>
      </c>
      <c r="O5248" t="str">
        <f>"PAGAMENTO DE ENTREGADORES"</f>
        <v>PAGAMENTO DE ENTREGADORES</v>
      </c>
      <c r="P5248">
        <v>96</v>
      </c>
      <c r="S5248" t="str">
        <f>"BANCO C6 (149)"</f>
        <v>BANCO C6 (149)</v>
      </c>
      <c r="T5248">
        <v>32255</v>
      </c>
      <c r="U5248">
        <v>36006</v>
      </c>
      <c r="V5248" t="s">
        <v>37</v>
      </c>
    </row>
    <row r="5249" spans="1:22">
      <c r="A5249" t="str">
        <f t="shared" si="951"/>
        <v>26/03/2026</v>
      </c>
      <c r="B5249" t="str">
        <f t="shared" si="954"/>
        <v>SAÍDA</v>
      </c>
      <c r="C5249" t="str">
        <f t="shared" si="957"/>
        <v>PIX</v>
      </c>
      <c r="D5249" t="str">
        <f>"36006"</f>
        <v>36006</v>
      </c>
      <c r="E5249" t="str">
        <f t="shared" si="950"/>
        <v>1</v>
      </c>
      <c r="F5249" t="str">
        <f t="shared" si="947"/>
        <v>COM</v>
      </c>
      <c r="G5249" t="str">
        <f t="shared" si="959"/>
        <v>EURIPEDES BARSANULFO DE ANDRADE  (25)</v>
      </c>
      <c r="H5249" t="s">
        <v>1205</v>
      </c>
      <c r="I5249" t="str">
        <f t="shared" si="955"/>
        <v>26/03/2026</v>
      </c>
      <c r="J5249" t="str">
        <f t="shared" si="949"/>
        <v>23/03/2026</v>
      </c>
      <c r="K5249">
        <v>46107</v>
      </c>
      <c r="N5249">
        <v>109</v>
      </c>
      <c r="O5249" t="s">
        <v>27</v>
      </c>
      <c r="Q5249">
        <v>96</v>
      </c>
      <c r="R5249" t="str">
        <f>"PAGUE MENOS 377 (10300)"</f>
        <v>PAGUE MENOS 377 (10300)</v>
      </c>
      <c r="S5249" t="s">
        <v>37</v>
      </c>
      <c r="T5249">
        <v>32255</v>
      </c>
      <c r="U5249">
        <v>36006</v>
      </c>
      <c r="V5249" t="s">
        <v>37</v>
      </c>
    </row>
    <row r="5250" spans="1:22">
      <c r="A5250" t="str">
        <f t="shared" si="951"/>
        <v>26/03/2026</v>
      </c>
      <c r="B5250" t="str">
        <f t="shared" si="954"/>
        <v>SAÍDA</v>
      </c>
      <c r="C5250" t="str">
        <f t="shared" si="957"/>
        <v>PIX</v>
      </c>
      <c r="D5250" t="str">
        <f>"36005"</f>
        <v>36005</v>
      </c>
      <c r="E5250" t="str">
        <f t="shared" si="950"/>
        <v>1</v>
      </c>
      <c r="F5250" t="str">
        <f t="shared" ref="F5250:F5313" si="960">"COM"</f>
        <v>COM</v>
      </c>
      <c r="G5250" t="str">
        <f t="shared" si="959"/>
        <v>EURIPEDES BARSANULFO DE ANDRADE  (25)</v>
      </c>
      <c r="H5250" t="str">
        <f>"Serv.Prest. 16/03/2026 a 22/03/2026 - PIX: CPF - CHAVE: 866.153.356-20"</f>
        <v>Serv.Prest. 16/03/2026 a 22/03/2026 - PIX: CPF - CHAVE: 866.153.356-20</v>
      </c>
      <c r="I5250" t="str">
        <f t="shared" si="955"/>
        <v>26/03/2026</v>
      </c>
      <c r="J5250" t="str">
        <f t="shared" si="949"/>
        <v>23/03/2026</v>
      </c>
      <c r="K5250" t="str">
        <f>("26/03/2026")</f>
        <v>26/03/2026</v>
      </c>
      <c r="L5250">
        <v>6</v>
      </c>
      <c r="M5250">
        <v>6</v>
      </c>
      <c r="N5250">
        <v>109</v>
      </c>
      <c r="O5250" t="str">
        <f>"PAGAMENTO DE ENTREGADORES"</f>
        <v>PAGAMENTO DE ENTREGADORES</v>
      </c>
      <c r="P5250">
        <v>6</v>
      </c>
      <c r="S5250" t="str">
        <f>"BANCO C6 (149)"</f>
        <v>BANCO C6 (149)</v>
      </c>
      <c r="T5250">
        <v>32256</v>
      </c>
      <c r="U5250">
        <v>36005</v>
      </c>
      <c r="V5250" t="s">
        <v>37</v>
      </c>
    </row>
    <row r="5251" spans="1:22">
      <c r="A5251" t="str">
        <f t="shared" si="951"/>
        <v>26/03/2026</v>
      </c>
      <c r="B5251" t="str">
        <f t="shared" si="954"/>
        <v>SAÍDA</v>
      </c>
      <c r="C5251" t="str">
        <f t="shared" si="957"/>
        <v>PIX</v>
      </c>
      <c r="D5251" t="str">
        <f>"36005"</f>
        <v>36005</v>
      </c>
      <c r="E5251" t="str">
        <f t="shared" si="950"/>
        <v>1</v>
      </c>
      <c r="F5251" t="str">
        <f t="shared" si="960"/>
        <v>COM</v>
      </c>
      <c r="G5251" t="str">
        <f t="shared" si="959"/>
        <v>EURIPEDES BARSANULFO DE ANDRADE  (25)</v>
      </c>
      <c r="H5251" t="s">
        <v>1205</v>
      </c>
      <c r="I5251" t="str">
        <f t="shared" si="955"/>
        <v>26/03/2026</v>
      </c>
      <c r="J5251" t="str">
        <f t="shared" si="949"/>
        <v>23/03/2026</v>
      </c>
      <c r="K5251">
        <v>46107</v>
      </c>
      <c r="N5251">
        <v>109</v>
      </c>
      <c r="O5251" t="s">
        <v>27</v>
      </c>
      <c r="Q5251">
        <v>6</v>
      </c>
      <c r="R5251" t="str">
        <f>"PAGUE MENOS 548 (10303)"</f>
        <v>PAGUE MENOS 548 (10303)</v>
      </c>
      <c r="S5251" t="s">
        <v>37</v>
      </c>
      <c r="T5251">
        <v>32256</v>
      </c>
      <c r="U5251">
        <v>36005</v>
      </c>
      <c r="V5251" t="s">
        <v>37</v>
      </c>
    </row>
    <row r="5252" spans="1:22">
      <c r="A5252" t="str">
        <f t="shared" si="951"/>
        <v>26/03/2026</v>
      </c>
      <c r="B5252" t="str">
        <f t="shared" si="954"/>
        <v>SAÍDA</v>
      </c>
      <c r="C5252" t="str">
        <f t="shared" si="957"/>
        <v>PIX</v>
      </c>
      <c r="D5252" t="str">
        <f>"36003"</f>
        <v>36003</v>
      </c>
      <c r="E5252" t="str">
        <f t="shared" si="950"/>
        <v>1</v>
      </c>
      <c r="F5252" t="str">
        <f t="shared" si="960"/>
        <v>COM</v>
      </c>
      <c r="G5252" t="str">
        <f t="shared" si="959"/>
        <v>EURIPEDES BARSANULFO DE ANDRADE  (25)</v>
      </c>
      <c r="H5252" t="str">
        <f>"Serv.Prest. 16/03/2026 a 22/03/2026 - PIX: CPF - CHAVE: 866.153.356-20"</f>
        <v>Serv.Prest. 16/03/2026 a 22/03/2026 - PIX: CPF - CHAVE: 866.153.356-20</v>
      </c>
      <c r="I5252" t="str">
        <f t="shared" si="955"/>
        <v>26/03/2026</v>
      </c>
      <c r="J5252" t="str">
        <f t="shared" si="949"/>
        <v>23/03/2026</v>
      </c>
      <c r="K5252" t="str">
        <f>("26/03/2026")</f>
        <v>26/03/2026</v>
      </c>
      <c r="L5252">
        <v>96</v>
      </c>
      <c r="M5252">
        <v>96</v>
      </c>
      <c r="N5252">
        <v>109</v>
      </c>
      <c r="O5252" t="str">
        <f>"PAGAMENTO DE ENTREGADORES"</f>
        <v>PAGAMENTO DE ENTREGADORES</v>
      </c>
      <c r="P5252">
        <v>96</v>
      </c>
      <c r="S5252" t="str">
        <f>"BANCO C6 (149)"</f>
        <v>BANCO C6 (149)</v>
      </c>
      <c r="T5252">
        <v>32257</v>
      </c>
      <c r="U5252">
        <v>36003</v>
      </c>
      <c r="V5252" t="s">
        <v>37</v>
      </c>
    </row>
    <row r="5253" spans="1:22">
      <c r="A5253" t="str">
        <f t="shared" si="951"/>
        <v>26/03/2026</v>
      </c>
      <c r="B5253" t="str">
        <f t="shared" si="954"/>
        <v>SAÍDA</v>
      </c>
      <c r="C5253" t="str">
        <f t="shared" si="957"/>
        <v>PIX</v>
      </c>
      <c r="D5253" t="str">
        <f>"36003"</f>
        <v>36003</v>
      </c>
      <c r="E5253" t="str">
        <f t="shared" si="950"/>
        <v>1</v>
      </c>
      <c r="F5253" t="str">
        <f t="shared" si="960"/>
        <v>COM</v>
      </c>
      <c r="G5253" t="str">
        <f t="shared" si="959"/>
        <v>EURIPEDES BARSANULFO DE ANDRADE  (25)</v>
      </c>
      <c r="H5253" t="s">
        <v>1205</v>
      </c>
      <c r="I5253" t="str">
        <f t="shared" si="955"/>
        <v>26/03/2026</v>
      </c>
      <c r="J5253" t="str">
        <f t="shared" si="949"/>
        <v>23/03/2026</v>
      </c>
      <c r="K5253">
        <v>46107</v>
      </c>
      <c r="N5253">
        <v>109</v>
      </c>
      <c r="O5253" t="s">
        <v>27</v>
      </c>
      <c r="Q5253">
        <v>96</v>
      </c>
      <c r="R5253" t="str">
        <f>"PAGUE MENOS 1156 (10308)"</f>
        <v>PAGUE MENOS 1156 (10308)</v>
      </c>
      <c r="S5253" t="s">
        <v>37</v>
      </c>
      <c r="T5253">
        <v>32257</v>
      </c>
      <c r="U5253">
        <v>36003</v>
      </c>
      <c r="V5253" t="s">
        <v>37</v>
      </c>
    </row>
    <row r="5254" spans="1:22">
      <c r="A5254" t="str">
        <f t="shared" si="951"/>
        <v>26/03/2026</v>
      </c>
      <c r="B5254" t="str">
        <f t="shared" si="954"/>
        <v>SAÍDA</v>
      </c>
      <c r="C5254" t="str">
        <f t="shared" si="957"/>
        <v>PIX</v>
      </c>
      <c r="D5254" t="str">
        <f>"36004"</f>
        <v>36004</v>
      </c>
      <c r="E5254" t="str">
        <f t="shared" si="950"/>
        <v>1</v>
      </c>
      <c r="F5254" t="str">
        <f t="shared" si="960"/>
        <v>COM</v>
      </c>
      <c r="G5254" t="str">
        <f t="shared" si="959"/>
        <v>EURIPEDES BARSANULFO DE ANDRADE  (25)</v>
      </c>
      <c r="H5254" t="str">
        <f>"Serv.Prest. 16/03/2026 a 22/03/2026 - PIX: CPF - CHAVE: 866.153.356-20"</f>
        <v>Serv.Prest. 16/03/2026 a 22/03/2026 - PIX: CPF - CHAVE: 866.153.356-20</v>
      </c>
      <c r="I5254" t="str">
        <f t="shared" si="955"/>
        <v>26/03/2026</v>
      </c>
      <c r="J5254" t="str">
        <f t="shared" si="949"/>
        <v>23/03/2026</v>
      </c>
      <c r="K5254" t="str">
        <f>("26/03/2026")</f>
        <v>26/03/2026</v>
      </c>
      <c r="L5254">
        <v>150</v>
      </c>
      <c r="M5254">
        <v>150</v>
      </c>
      <c r="N5254">
        <v>109</v>
      </c>
      <c r="O5254" t="str">
        <f>"PAGAMENTO DE ENTREGADORES"</f>
        <v>PAGAMENTO DE ENTREGADORES</v>
      </c>
      <c r="P5254">
        <v>150</v>
      </c>
      <c r="S5254" t="str">
        <f>"BANCO C6 (149)"</f>
        <v>BANCO C6 (149)</v>
      </c>
      <c r="T5254">
        <v>32258</v>
      </c>
      <c r="U5254">
        <v>36004</v>
      </c>
      <c r="V5254" t="s">
        <v>37</v>
      </c>
    </row>
    <row r="5255" spans="1:22">
      <c r="A5255" t="str">
        <f t="shared" si="951"/>
        <v>26/03/2026</v>
      </c>
      <c r="B5255" t="str">
        <f t="shared" si="954"/>
        <v>SAÍDA</v>
      </c>
      <c r="C5255" t="str">
        <f t="shared" si="957"/>
        <v>PIX</v>
      </c>
      <c r="D5255" t="str">
        <f>"36004"</f>
        <v>36004</v>
      </c>
      <c r="E5255" t="str">
        <f t="shared" si="950"/>
        <v>1</v>
      </c>
      <c r="F5255" t="str">
        <f t="shared" si="960"/>
        <v>COM</v>
      </c>
      <c r="G5255" t="str">
        <f t="shared" si="959"/>
        <v>EURIPEDES BARSANULFO DE ANDRADE  (25)</v>
      </c>
      <c r="H5255" t="s">
        <v>1205</v>
      </c>
      <c r="I5255" t="str">
        <f t="shared" si="955"/>
        <v>26/03/2026</v>
      </c>
      <c r="J5255" t="str">
        <f t="shared" si="949"/>
        <v>23/03/2026</v>
      </c>
      <c r="K5255">
        <v>46107</v>
      </c>
      <c r="N5255">
        <v>109</v>
      </c>
      <c r="O5255" t="s">
        <v>27</v>
      </c>
      <c r="Q5255">
        <v>150</v>
      </c>
      <c r="R5255" t="str">
        <f>"PAGUE MENOS 1155 (10307)"</f>
        <v>PAGUE MENOS 1155 (10307)</v>
      </c>
      <c r="S5255" t="s">
        <v>37</v>
      </c>
      <c r="T5255">
        <v>32258</v>
      </c>
      <c r="U5255">
        <v>36004</v>
      </c>
      <c r="V5255" t="s">
        <v>37</v>
      </c>
    </row>
    <row r="5256" spans="1:22">
      <c r="A5256" t="str">
        <f t="shared" si="951"/>
        <v>26/03/2026</v>
      </c>
      <c r="B5256" t="str">
        <f t="shared" si="954"/>
        <v>SAÍDA</v>
      </c>
      <c r="C5256" t="str">
        <f t="shared" si="957"/>
        <v>PIX</v>
      </c>
      <c r="D5256" t="str">
        <f>"36001"</f>
        <v>36001</v>
      </c>
      <c r="E5256" t="str">
        <f t="shared" si="950"/>
        <v>1</v>
      </c>
      <c r="F5256" t="str">
        <f t="shared" si="960"/>
        <v>COM</v>
      </c>
      <c r="G5256" t="str">
        <f>"ALYSSON HENRIQUE SOARES DE ARA??JO (1336)"</f>
        <v>ALYSSON HENRIQUE SOARES DE ARA??JO (1336)</v>
      </c>
      <c r="H5256" t="str">
        <f>"Serv.Prest. 16/03/2026 a 22/03/2026 - PIX: CPF - CHAVE: 116.683.686-09"</f>
        <v>Serv.Prest. 16/03/2026 a 22/03/2026 - PIX: CPF - CHAVE: 116.683.686-09</v>
      </c>
      <c r="I5256" t="str">
        <f t="shared" si="955"/>
        <v>26/03/2026</v>
      </c>
      <c r="J5256" t="str">
        <f t="shared" si="949"/>
        <v>23/03/2026</v>
      </c>
      <c r="K5256" t="str">
        <f>("26/03/2026")</f>
        <v>26/03/2026</v>
      </c>
      <c r="L5256">
        <v>354</v>
      </c>
      <c r="M5256">
        <v>354</v>
      </c>
      <c r="N5256">
        <v>109</v>
      </c>
      <c r="O5256" t="str">
        <f>"PAGAMENTO DE ENTREGADORES"</f>
        <v>PAGAMENTO DE ENTREGADORES</v>
      </c>
      <c r="P5256">
        <v>354</v>
      </c>
      <c r="S5256" t="str">
        <f>"BANCO C6 (149)"</f>
        <v>BANCO C6 (149)</v>
      </c>
      <c r="T5256">
        <v>32259</v>
      </c>
      <c r="U5256">
        <v>36001</v>
      </c>
      <c r="V5256" t="s">
        <v>37</v>
      </c>
    </row>
    <row r="5257" spans="1:22">
      <c r="A5257" t="str">
        <f t="shared" si="951"/>
        <v>26/03/2026</v>
      </c>
      <c r="B5257" t="str">
        <f t="shared" si="954"/>
        <v>SAÍDA</v>
      </c>
      <c r="C5257" t="str">
        <f t="shared" si="957"/>
        <v>PIX</v>
      </c>
      <c r="D5257" t="str">
        <f>"36001"</f>
        <v>36001</v>
      </c>
      <c r="E5257" t="str">
        <f t="shared" si="950"/>
        <v>1</v>
      </c>
      <c r="F5257" t="str">
        <f t="shared" si="960"/>
        <v>COM</v>
      </c>
      <c r="G5257" t="str">
        <f>"ALYSSON HENRIQUE SOARES DE ARA??JO (1336)"</f>
        <v>ALYSSON HENRIQUE SOARES DE ARA??JO (1336)</v>
      </c>
      <c r="H5257" t="s">
        <v>1413</v>
      </c>
      <c r="I5257" t="str">
        <f t="shared" si="955"/>
        <v>26/03/2026</v>
      </c>
      <c r="J5257" t="str">
        <f t="shared" si="949"/>
        <v>23/03/2026</v>
      </c>
      <c r="K5257">
        <v>46107</v>
      </c>
      <c r="N5257">
        <v>109</v>
      </c>
      <c r="O5257" t="s">
        <v>27</v>
      </c>
      <c r="Q5257">
        <v>354</v>
      </c>
      <c r="R5257" t="str">
        <f>"PAGUE MENOS 1155 (10307)"</f>
        <v>PAGUE MENOS 1155 (10307)</v>
      </c>
      <c r="S5257" t="s">
        <v>37</v>
      </c>
      <c r="T5257">
        <v>32259</v>
      </c>
      <c r="U5257">
        <v>36001</v>
      </c>
      <c r="V5257" t="s">
        <v>37</v>
      </c>
    </row>
    <row r="5258" spans="1:22">
      <c r="A5258" t="str">
        <f t="shared" si="951"/>
        <v>26/03/2026</v>
      </c>
      <c r="B5258" t="str">
        <f t="shared" si="954"/>
        <v>SAÍDA</v>
      </c>
      <c r="C5258" t="str">
        <f t="shared" si="957"/>
        <v>PIX</v>
      </c>
      <c r="D5258" t="str">
        <f>"36000"</f>
        <v>36000</v>
      </c>
      <c r="E5258" t="str">
        <f t="shared" si="950"/>
        <v>1</v>
      </c>
      <c r="F5258" t="str">
        <f t="shared" si="960"/>
        <v>COM</v>
      </c>
      <c r="G5258" t="str">
        <f>"ALYSSON HENRIQUE SOARES DE ARA??JO (1336)"</f>
        <v>ALYSSON HENRIQUE SOARES DE ARA??JO (1336)</v>
      </c>
      <c r="H5258" t="str">
        <f>"Serv.Prest. 16/03/2026 a 22/03/2026 - PIX: CPF - CHAVE: 116.683.686-09"</f>
        <v>Serv.Prest. 16/03/2026 a 22/03/2026 - PIX: CPF - CHAVE: 116.683.686-09</v>
      </c>
      <c r="I5258" t="str">
        <f t="shared" si="955"/>
        <v>26/03/2026</v>
      </c>
      <c r="J5258" t="str">
        <f t="shared" si="949"/>
        <v>23/03/2026</v>
      </c>
      <c r="K5258" t="str">
        <f>("26/03/2026")</f>
        <v>26/03/2026</v>
      </c>
      <c r="L5258">
        <v>168</v>
      </c>
      <c r="M5258">
        <v>168</v>
      </c>
      <c r="N5258">
        <v>109</v>
      </c>
      <c r="O5258" t="str">
        <f>"PAGAMENTO DE ENTREGADORES"</f>
        <v>PAGAMENTO DE ENTREGADORES</v>
      </c>
      <c r="P5258">
        <v>168</v>
      </c>
      <c r="S5258" t="str">
        <f>"BANCO C6 (149)"</f>
        <v>BANCO C6 (149)</v>
      </c>
      <c r="T5258">
        <v>32260</v>
      </c>
      <c r="U5258">
        <v>36000</v>
      </c>
      <c r="V5258" t="s">
        <v>37</v>
      </c>
    </row>
    <row r="5259" spans="1:22">
      <c r="A5259" t="str">
        <f t="shared" si="951"/>
        <v>26/03/2026</v>
      </c>
      <c r="B5259" t="str">
        <f t="shared" si="954"/>
        <v>SAÍDA</v>
      </c>
      <c r="C5259" t="str">
        <f t="shared" si="957"/>
        <v>PIX</v>
      </c>
      <c r="D5259" t="str">
        <f>"36000"</f>
        <v>36000</v>
      </c>
      <c r="E5259" t="str">
        <f t="shared" si="950"/>
        <v>1</v>
      </c>
      <c r="F5259" t="str">
        <f t="shared" si="960"/>
        <v>COM</v>
      </c>
      <c r="G5259" t="str">
        <f>"ALYSSON HENRIQUE SOARES DE ARA??JO (1336)"</f>
        <v>ALYSSON HENRIQUE SOARES DE ARA??JO (1336)</v>
      </c>
      <c r="H5259" t="s">
        <v>1413</v>
      </c>
      <c r="I5259" t="str">
        <f t="shared" si="955"/>
        <v>26/03/2026</v>
      </c>
      <c r="J5259" t="str">
        <f t="shared" si="949"/>
        <v>23/03/2026</v>
      </c>
      <c r="K5259">
        <v>46107</v>
      </c>
      <c r="N5259">
        <v>109</v>
      </c>
      <c r="O5259" t="s">
        <v>27</v>
      </c>
      <c r="Q5259">
        <v>168</v>
      </c>
      <c r="R5259" t="str">
        <f>"PAGUE MENOS 377 (10300)"</f>
        <v>PAGUE MENOS 377 (10300)</v>
      </c>
      <c r="S5259" t="s">
        <v>37</v>
      </c>
      <c r="T5259">
        <v>32260</v>
      </c>
      <c r="U5259">
        <v>36000</v>
      </c>
      <c r="V5259" t="s">
        <v>37</v>
      </c>
    </row>
    <row r="5260" spans="1:22">
      <c r="A5260" t="str">
        <f t="shared" si="951"/>
        <v>26/03/2026</v>
      </c>
      <c r="B5260" t="str">
        <f t="shared" si="954"/>
        <v>SAÍDA</v>
      </c>
      <c r="C5260" t="str">
        <f t="shared" si="957"/>
        <v>PIX</v>
      </c>
      <c r="D5260" t="str">
        <f>"35983"</f>
        <v>35983</v>
      </c>
      <c r="E5260" t="str">
        <f t="shared" si="950"/>
        <v>1</v>
      </c>
      <c r="F5260" t="str">
        <f t="shared" si="960"/>
        <v>COM</v>
      </c>
      <c r="G5260" t="str">
        <f>"THAIS SILVA MAIA (1057)"</f>
        <v>THAIS SILVA MAIA (1057)</v>
      </c>
      <c r="H5260" t="str">
        <f>"Serv.Prest. 16/03/2026 a 22/03/2026 - PIX: CELULAR - CHAVE: (34) 99688-5705"</f>
        <v>Serv.Prest. 16/03/2026 a 22/03/2026 - PIX: CELULAR - CHAVE: (34) 99688-5705</v>
      </c>
      <c r="I5260" t="str">
        <f t="shared" si="955"/>
        <v>26/03/2026</v>
      </c>
      <c r="J5260" t="str">
        <f t="shared" si="949"/>
        <v>23/03/2026</v>
      </c>
      <c r="K5260" t="str">
        <f>("26/03/2026")</f>
        <v>26/03/2026</v>
      </c>
      <c r="L5260">
        <v>762</v>
      </c>
      <c r="M5260">
        <v>762</v>
      </c>
      <c r="N5260">
        <v>109</v>
      </c>
      <c r="O5260" t="str">
        <f>"PAGAMENTO DE ENTREGADORES"</f>
        <v>PAGAMENTO DE ENTREGADORES</v>
      </c>
      <c r="P5260">
        <v>762</v>
      </c>
      <c r="S5260" t="str">
        <f>"BANCO C6 (149)"</f>
        <v>BANCO C6 (149)</v>
      </c>
      <c r="T5260">
        <v>32261</v>
      </c>
      <c r="U5260">
        <v>35983</v>
      </c>
      <c r="V5260" t="s">
        <v>37</v>
      </c>
    </row>
    <row r="5261" spans="1:22">
      <c r="A5261" t="str">
        <f t="shared" si="951"/>
        <v>26/03/2026</v>
      </c>
      <c r="B5261" t="str">
        <f t="shared" si="954"/>
        <v>SAÍDA</v>
      </c>
      <c r="C5261" t="str">
        <f t="shared" si="957"/>
        <v>PIX</v>
      </c>
      <c r="D5261" t="str">
        <f>"35983"</f>
        <v>35983</v>
      </c>
      <c r="E5261" t="str">
        <f t="shared" si="950"/>
        <v>1</v>
      </c>
      <c r="F5261" t="str">
        <f t="shared" si="960"/>
        <v>COM</v>
      </c>
      <c r="G5261" t="str">
        <f>"THAIS SILVA MAIA (1057)"</f>
        <v>THAIS SILVA MAIA (1057)</v>
      </c>
      <c r="H5261" t="s">
        <v>1184</v>
      </c>
      <c r="I5261" t="str">
        <f t="shared" si="955"/>
        <v>26/03/2026</v>
      </c>
      <c r="J5261" t="str">
        <f t="shared" si="949"/>
        <v>23/03/2026</v>
      </c>
      <c r="K5261">
        <v>46107</v>
      </c>
      <c r="N5261">
        <v>109</v>
      </c>
      <c r="O5261" t="s">
        <v>27</v>
      </c>
      <c r="Q5261">
        <v>762</v>
      </c>
      <c r="R5261" t="str">
        <f>"PAGMENOS - LJ 768 (10266)"</f>
        <v>PAGMENOS - LJ 768 (10266)</v>
      </c>
      <c r="S5261" t="s">
        <v>37</v>
      </c>
      <c r="T5261">
        <v>32261</v>
      </c>
      <c r="U5261">
        <v>35983</v>
      </c>
      <c r="V5261" t="s">
        <v>37</v>
      </c>
    </row>
    <row r="5262" spans="1:22">
      <c r="A5262" t="str">
        <f t="shared" si="951"/>
        <v>26/03/2026</v>
      </c>
      <c r="B5262" t="str">
        <f t="shared" si="954"/>
        <v>SAÍDA</v>
      </c>
      <c r="C5262" t="str">
        <f t="shared" si="957"/>
        <v>PIX</v>
      </c>
      <c r="D5262" t="str">
        <f>"36012"</f>
        <v>36012</v>
      </c>
      <c r="E5262" t="str">
        <f t="shared" si="950"/>
        <v>1</v>
      </c>
      <c r="F5262" t="str">
        <f t="shared" si="960"/>
        <v>COM</v>
      </c>
      <c r="G5262" t="str">
        <f>"LUCAS EXPEDITO COUTO RODRIGUES (1365)"</f>
        <v>LUCAS EXPEDITO COUTO RODRIGUES (1365)</v>
      </c>
      <c r="H5262" t="str">
        <f>"Serv.Prest. 16/03/2026 a 22/03/2026 - PIX: CELULAR - CHAVE: (32) 99950-0526"</f>
        <v>Serv.Prest. 16/03/2026 a 22/03/2026 - PIX: CELULAR - CHAVE: (32) 99950-0526</v>
      </c>
      <c r="I5262" t="str">
        <f t="shared" si="955"/>
        <v>26/03/2026</v>
      </c>
      <c r="J5262" t="str">
        <f t="shared" si="949"/>
        <v>23/03/2026</v>
      </c>
      <c r="K5262" t="str">
        <f>("26/03/2026")</f>
        <v>26/03/2026</v>
      </c>
      <c r="L5262">
        <v>900</v>
      </c>
      <c r="M5262">
        <v>900</v>
      </c>
      <c r="N5262">
        <v>109</v>
      </c>
      <c r="O5262" t="str">
        <f>"PAGAMENTO DE ENTREGADORES"</f>
        <v>PAGAMENTO DE ENTREGADORES</v>
      </c>
      <c r="P5262">
        <v>900</v>
      </c>
      <c r="S5262" t="str">
        <f>"BANCO C6 (149)"</f>
        <v>BANCO C6 (149)</v>
      </c>
      <c r="T5262">
        <v>32262</v>
      </c>
      <c r="U5262">
        <v>36012</v>
      </c>
      <c r="V5262" t="s">
        <v>37</v>
      </c>
    </row>
    <row r="5263" spans="1:22">
      <c r="A5263" t="str">
        <f t="shared" si="951"/>
        <v>26/03/2026</v>
      </c>
      <c r="B5263" t="str">
        <f t="shared" si="954"/>
        <v>SAÍDA</v>
      </c>
      <c r="C5263" t="str">
        <f t="shared" si="957"/>
        <v>PIX</v>
      </c>
      <c r="D5263" t="str">
        <f>"36012"</f>
        <v>36012</v>
      </c>
      <c r="E5263" t="str">
        <f t="shared" si="950"/>
        <v>1</v>
      </c>
      <c r="F5263" t="str">
        <f t="shared" si="960"/>
        <v>COM</v>
      </c>
      <c r="G5263" t="str">
        <f>"LUCAS EXPEDITO COUTO RODRIGUES (1365)"</f>
        <v>LUCAS EXPEDITO COUTO RODRIGUES (1365)</v>
      </c>
      <c r="H5263" t="s">
        <v>1414</v>
      </c>
      <c r="I5263" t="str">
        <f t="shared" si="955"/>
        <v>26/03/2026</v>
      </c>
      <c r="J5263" t="str">
        <f t="shared" si="949"/>
        <v>23/03/2026</v>
      </c>
      <c r="K5263">
        <v>46107</v>
      </c>
      <c r="N5263">
        <v>109</v>
      </c>
      <c r="O5263" t="s">
        <v>27</v>
      </c>
      <c r="Q5263">
        <v>900</v>
      </c>
      <c r="R5263" t="str">
        <f>"PAGMENOS - LJ 608 (10135)"</f>
        <v>PAGMENOS - LJ 608 (10135)</v>
      </c>
      <c r="S5263" t="s">
        <v>37</v>
      </c>
      <c r="T5263">
        <v>32262</v>
      </c>
      <c r="U5263">
        <v>36012</v>
      </c>
      <c r="V5263" t="s">
        <v>37</v>
      </c>
    </row>
    <row r="5264" spans="1:22">
      <c r="A5264" t="str">
        <f t="shared" si="951"/>
        <v>26/03/2026</v>
      </c>
      <c r="B5264" t="str">
        <f t="shared" si="954"/>
        <v>SAÍDA</v>
      </c>
      <c r="C5264" t="str">
        <f t="shared" si="957"/>
        <v>PIX</v>
      </c>
      <c r="D5264" t="str">
        <f>"35999"</f>
        <v>35999</v>
      </c>
      <c r="E5264" t="str">
        <f t="shared" si="950"/>
        <v>1</v>
      </c>
      <c r="F5264" t="str">
        <f t="shared" si="960"/>
        <v>COM</v>
      </c>
      <c r="G5264" t="str">
        <f>"ALYSSON HENRIQUE SOARES DE ARA??JO (1336)"</f>
        <v>ALYSSON HENRIQUE SOARES DE ARA??JO (1336)</v>
      </c>
      <c r="H5264" t="str">
        <f>"Serv.Prest. 16/03/2026 a 22/03/2026 - PIX: CPF - CHAVE: 116.683.686-09"</f>
        <v>Serv.Prest. 16/03/2026 a 22/03/2026 - PIX: CPF - CHAVE: 116.683.686-09</v>
      </c>
      <c r="I5264" t="str">
        <f t="shared" si="955"/>
        <v>26/03/2026</v>
      </c>
      <c r="J5264" t="str">
        <f t="shared" ref="J5264:J5327" si="961">("23/03/2026")</f>
        <v>23/03/2026</v>
      </c>
      <c r="K5264" t="str">
        <f>("26/03/2026")</f>
        <v>26/03/2026</v>
      </c>
      <c r="L5264">
        <v>72</v>
      </c>
      <c r="M5264">
        <v>72</v>
      </c>
      <c r="N5264">
        <v>109</v>
      </c>
      <c r="O5264" t="str">
        <f>"PAGAMENTO DE ENTREGADORES"</f>
        <v>PAGAMENTO DE ENTREGADORES</v>
      </c>
      <c r="P5264">
        <v>72</v>
      </c>
      <c r="S5264" t="str">
        <f>"BANCO C6 (149)"</f>
        <v>BANCO C6 (149)</v>
      </c>
      <c r="T5264">
        <v>32263</v>
      </c>
      <c r="U5264">
        <v>35999</v>
      </c>
      <c r="V5264" t="s">
        <v>37</v>
      </c>
    </row>
    <row r="5265" spans="1:22">
      <c r="A5265" t="str">
        <f t="shared" si="951"/>
        <v>26/03/2026</v>
      </c>
      <c r="B5265" t="str">
        <f t="shared" si="954"/>
        <v>SAÍDA</v>
      </c>
      <c r="C5265" t="str">
        <f t="shared" si="957"/>
        <v>PIX</v>
      </c>
      <c r="D5265" t="str">
        <f>"35999"</f>
        <v>35999</v>
      </c>
      <c r="E5265" t="str">
        <f t="shared" si="950"/>
        <v>1</v>
      </c>
      <c r="F5265" t="str">
        <f t="shared" si="960"/>
        <v>COM</v>
      </c>
      <c r="G5265" t="str">
        <f>"ALYSSON HENRIQUE SOARES DE ARA??JO (1336)"</f>
        <v>ALYSSON HENRIQUE SOARES DE ARA??JO (1336)</v>
      </c>
      <c r="H5265" t="s">
        <v>1413</v>
      </c>
      <c r="I5265" t="str">
        <f t="shared" si="955"/>
        <v>26/03/2026</v>
      </c>
      <c r="J5265" t="str">
        <f t="shared" si="961"/>
        <v>23/03/2026</v>
      </c>
      <c r="K5265">
        <v>46107</v>
      </c>
      <c r="N5265">
        <v>109</v>
      </c>
      <c r="O5265" t="s">
        <v>27</v>
      </c>
      <c r="Q5265">
        <v>72</v>
      </c>
      <c r="R5265" t="str">
        <f>"PAGUE MENOS 306 (10298)"</f>
        <v>PAGUE MENOS 306 (10298)</v>
      </c>
      <c r="S5265" t="s">
        <v>37</v>
      </c>
      <c r="T5265">
        <v>32263</v>
      </c>
      <c r="U5265">
        <v>35999</v>
      </c>
      <c r="V5265" t="s">
        <v>37</v>
      </c>
    </row>
    <row r="5266" spans="1:22">
      <c r="A5266" t="str">
        <f t="shared" si="951"/>
        <v>26/03/2026</v>
      </c>
      <c r="B5266" t="str">
        <f t="shared" si="954"/>
        <v>SAÍDA</v>
      </c>
      <c r="C5266" t="str">
        <f t="shared" si="957"/>
        <v>PIX</v>
      </c>
      <c r="D5266" t="str">
        <f>"35987"</f>
        <v>35987</v>
      </c>
      <c r="E5266" t="str">
        <f t="shared" si="950"/>
        <v>1</v>
      </c>
      <c r="F5266" t="str">
        <f t="shared" si="960"/>
        <v>COM</v>
      </c>
      <c r="G5266" t="str">
        <f>"WELDER LINHARES ALVES (1306)"</f>
        <v>WELDER LINHARES ALVES (1306)</v>
      </c>
      <c r="H5266" t="str">
        <f>"Serv.Prest. 16/03/2026 a 22/03/2026 - PIX: CHAVE ALEATÓRIA - CHAVE: b7127766-e2b6-47e0-bdc0-95f13babb6f4"</f>
        <v>Serv.Prest. 16/03/2026 a 22/03/2026 - PIX: CHAVE ALEATÓRIA - CHAVE: b7127766-e2b6-47e0-bdc0-95f13babb6f4</v>
      </c>
      <c r="I5266" t="str">
        <f t="shared" si="955"/>
        <v>26/03/2026</v>
      </c>
      <c r="J5266" t="str">
        <f t="shared" si="961"/>
        <v>23/03/2026</v>
      </c>
      <c r="K5266" t="str">
        <f>("26/03/2026")</f>
        <v>26/03/2026</v>
      </c>
      <c r="L5266">
        <v>348</v>
      </c>
      <c r="M5266">
        <v>348</v>
      </c>
      <c r="N5266">
        <v>109</v>
      </c>
      <c r="O5266" t="str">
        <f>"PAGAMENTO DE ENTREGADORES"</f>
        <v>PAGAMENTO DE ENTREGADORES</v>
      </c>
      <c r="P5266">
        <v>348</v>
      </c>
      <c r="S5266" t="str">
        <f>"BANCO C6 (149)"</f>
        <v>BANCO C6 (149)</v>
      </c>
      <c r="T5266">
        <v>32264</v>
      </c>
      <c r="U5266">
        <v>35987</v>
      </c>
      <c r="V5266" t="s">
        <v>37</v>
      </c>
    </row>
    <row r="5267" spans="1:22">
      <c r="A5267" t="str">
        <f t="shared" si="951"/>
        <v>26/03/2026</v>
      </c>
      <c r="B5267" t="str">
        <f t="shared" si="954"/>
        <v>SAÍDA</v>
      </c>
      <c r="C5267" t="str">
        <f t="shared" si="957"/>
        <v>PIX</v>
      </c>
      <c r="D5267" t="str">
        <f>"35987"</f>
        <v>35987</v>
      </c>
      <c r="E5267" t="str">
        <f t="shared" si="950"/>
        <v>1</v>
      </c>
      <c r="F5267" t="str">
        <f t="shared" si="960"/>
        <v>COM</v>
      </c>
      <c r="G5267" t="str">
        <f>"WELDER LINHARES ALVES (1306)"</f>
        <v>WELDER LINHARES ALVES (1306)</v>
      </c>
      <c r="H5267" t="s">
        <v>1415</v>
      </c>
      <c r="I5267" t="str">
        <f t="shared" si="955"/>
        <v>26/03/2026</v>
      </c>
      <c r="J5267" t="str">
        <f t="shared" si="961"/>
        <v>23/03/2026</v>
      </c>
      <c r="K5267">
        <v>46107</v>
      </c>
      <c r="N5267">
        <v>109</v>
      </c>
      <c r="O5267" t="s">
        <v>27</v>
      </c>
      <c r="Q5267">
        <v>348</v>
      </c>
      <c r="R5267" t="str">
        <f>"PAGMENOS - LJ 431 (10265)"</f>
        <v>PAGMENOS - LJ 431 (10265)</v>
      </c>
      <c r="S5267" t="s">
        <v>37</v>
      </c>
      <c r="T5267">
        <v>32264</v>
      </c>
      <c r="U5267">
        <v>35987</v>
      </c>
      <c r="V5267" t="s">
        <v>37</v>
      </c>
    </row>
    <row r="5268" spans="1:22">
      <c r="A5268" t="str">
        <f t="shared" si="951"/>
        <v>26/03/2026</v>
      </c>
      <c r="B5268" t="str">
        <f t="shared" si="954"/>
        <v>SAÍDA</v>
      </c>
      <c r="C5268" t="str">
        <f t="shared" si="957"/>
        <v>PIX</v>
      </c>
      <c r="D5268" t="str">
        <f>"35989"</f>
        <v>35989</v>
      </c>
      <c r="E5268" t="str">
        <f t="shared" ref="E5268:E5331" si="962">"1"</f>
        <v>1</v>
      </c>
      <c r="F5268" t="str">
        <f t="shared" si="960"/>
        <v>COM</v>
      </c>
      <c r="G5268" t="str">
        <f>"WENDERSON SILVA MAIA (1238)"</f>
        <v>WENDERSON SILVA MAIA (1238)</v>
      </c>
      <c r="H5268" t="str">
        <f>"Serv.Prest. 16/03/2026 a 22/03/2026 - PIX: E-MAIL - CHAVE: wender.56@hotmail.com"</f>
        <v>Serv.Prest. 16/03/2026 a 22/03/2026 - PIX: E-MAIL - CHAVE: wender.56@hotmail.com</v>
      </c>
      <c r="I5268" t="str">
        <f t="shared" si="955"/>
        <v>26/03/2026</v>
      </c>
      <c r="J5268" t="str">
        <f t="shared" si="961"/>
        <v>23/03/2026</v>
      </c>
      <c r="K5268" t="str">
        <f>("26/03/2026")</f>
        <v>26/03/2026</v>
      </c>
      <c r="L5268">
        <v>414</v>
      </c>
      <c r="M5268">
        <v>414</v>
      </c>
      <c r="N5268">
        <v>109</v>
      </c>
      <c r="O5268" t="str">
        <f>"PAGAMENTO DE ENTREGADORES"</f>
        <v>PAGAMENTO DE ENTREGADORES</v>
      </c>
      <c r="P5268">
        <v>414</v>
      </c>
      <c r="S5268" t="str">
        <f>"BANCO C6 (149)"</f>
        <v>BANCO C6 (149)</v>
      </c>
      <c r="T5268">
        <v>32265</v>
      </c>
      <c r="U5268">
        <v>35989</v>
      </c>
      <c r="V5268" t="s">
        <v>37</v>
      </c>
    </row>
    <row r="5269" spans="1:22">
      <c r="A5269" t="str">
        <f t="shared" si="951"/>
        <v>26/03/2026</v>
      </c>
      <c r="B5269" t="str">
        <f t="shared" si="954"/>
        <v>SAÍDA</v>
      </c>
      <c r="C5269" t="str">
        <f t="shared" si="957"/>
        <v>PIX</v>
      </c>
      <c r="D5269" t="str">
        <f>"35989"</f>
        <v>35989</v>
      </c>
      <c r="E5269" t="str">
        <f t="shared" si="962"/>
        <v>1</v>
      </c>
      <c r="F5269" t="str">
        <f t="shared" si="960"/>
        <v>COM</v>
      </c>
      <c r="G5269" t="str">
        <f>"WENDERSON SILVA MAIA (1238)"</f>
        <v>WENDERSON SILVA MAIA (1238)</v>
      </c>
      <c r="H5269" t="s">
        <v>1416</v>
      </c>
      <c r="I5269" t="str">
        <f t="shared" si="955"/>
        <v>26/03/2026</v>
      </c>
      <c r="J5269" t="str">
        <f t="shared" si="961"/>
        <v>23/03/2026</v>
      </c>
      <c r="K5269">
        <v>46107</v>
      </c>
      <c r="N5269">
        <v>109</v>
      </c>
      <c r="O5269" t="s">
        <v>27</v>
      </c>
      <c r="Q5269">
        <v>414</v>
      </c>
      <c r="R5269" t="str">
        <f>"PAGMENOS - LJ 768 (10266)"</f>
        <v>PAGMENOS - LJ 768 (10266)</v>
      </c>
      <c r="S5269" t="s">
        <v>37</v>
      </c>
      <c r="T5269">
        <v>32265</v>
      </c>
      <c r="U5269">
        <v>35989</v>
      </c>
      <c r="V5269" t="s">
        <v>37</v>
      </c>
    </row>
    <row r="5270" spans="1:22">
      <c r="A5270" t="str">
        <f t="shared" si="951"/>
        <v>26/03/2026</v>
      </c>
      <c r="B5270" t="str">
        <f t="shared" si="954"/>
        <v>SAÍDA</v>
      </c>
      <c r="C5270" t="str">
        <f t="shared" si="957"/>
        <v>PIX</v>
      </c>
      <c r="D5270" t="str">
        <f>"36007"</f>
        <v>36007</v>
      </c>
      <c r="E5270" t="str">
        <f t="shared" si="962"/>
        <v>1</v>
      </c>
      <c r="F5270" t="str">
        <f t="shared" si="960"/>
        <v>COM</v>
      </c>
      <c r="G5270" t="str">
        <f>"EURIPEDES BARSANULFO DE ANDRADE  (25)"</f>
        <v>EURIPEDES BARSANULFO DE ANDRADE  (25)</v>
      </c>
      <c r="H5270" t="str">
        <f>"Serv.Prest. 16/03/2026 a 22/03/2026 - PIX: CPF - CHAVE: 866.153.356-20"</f>
        <v>Serv.Prest. 16/03/2026 a 22/03/2026 - PIX: CPF - CHAVE: 866.153.356-20</v>
      </c>
      <c r="I5270" t="str">
        <f t="shared" si="955"/>
        <v>26/03/2026</v>
      </c>
      <c r="J5270" t="str">
        <f t="shared" si="961"/>
        <v>23/03/2026</v>
      </c>
      <c r="K5270" t="str">
        <f>("26/03/2026")</f>
        <v>26/03/2026</v>
      </c>
      <c r="L5270">
        <v>24</v>
      </c>
      <c r="M5270">
        <v>526</v>
      </c>
      <c r="N5270">
        <v>109</v>
      </c>
      <c r="O5270" t="str">
        <f>"PAGAMENTO DE ENTREGADORES"</f>
        <v>PAGAMENTO DE ENTREGADORES</v>
      </c>
      <c r="P5270">
        <v>526</v>
      </c>
      <c r="S5270" t="str">
        <f>"BANCO C6 (149)"</f>
        <v>BANCO C6 (149)</v>
      </c>
      <c r="T5270">
        <v>32266</v>
      </c>
      <c r="U5270">
        <v>36007</v>
      </c>
      <c r="V5270" t="s">
        <v>37</v>
      </c>
    </row>
    <row r="5271" spans="1:22">
      <c r="A5271" t="str">
        <f t="shared" si="951"/>
        <v>26/03/2026</v>
      </c>
      <c r="B5271" t="str">
        <f t="shared" si="954"/>
        <v>SAÍDA</v>
      </c>
      <c r="C5271" t="str">
        <f t="shared" si="957"/>
        <v>PIX</v>
      </c>
      <c r="D5271" t="str">
        <f>"36007"</f>
        <v>36007</v>
      </c>
      <c r="E5271" t="str">
        <f t="shared" si="962"/>
        <v>1</v>
      </c>
      <c r="F5271" t="str">
        <f t="shared" si="960"/>
        <v>COM</v>
      </c>
      <c r="G5271" t="str">
        <f>"EURIPEDES BARSANULFO DE ANDRADE  (25)"</f>
        <v>EURIPEDES BARSANULFO DE ANDRADE  (25)</v>
      </c>
      <c r="H5271" t="s">
        <v>1205</v>
      </c>
      <c r="I5271" t="str">
        <f t="shared" si="955"/>
        <v>26/03/2026</v>
      </c>
      <c r="J5271" t="str">
        <f t="shared" si="961"/>
        <v>23/03/2026</v>
      </c>
      <c r="K5271">
        <v>46107</v>
      </c>
      <c r="N5271">
        <v>109</v>
      </c>
      <c r="O5271" t="s">
        <v>27</v>
      </c>
      <c r="Q5271">
        <v>526</v>
      </c>
      <c r="R5271" t="str">
        <f>"PAGUE MENOS 306 (10298)"</f>
        <v>PAGUE MENOS 306 (10298)</v>
      </c>
      <c r="S5271" t="s">
        <v>37</v>
      </c>
      <c r="T5271">
        <v>32266</v>
      </c>
      <c r="U5271">
        <v>36007</v>
      </c>
      <c r="V5271" t="s">
        <v>37</v>
      </c>
    </row>
    <row r="5272" spans="1:22">
      <c r="A5272" t="str">
        <f t="shared" ref="A5272:A5335" si="963">("26/03/2026")</f>
        <v>26/03/2026</v>
      </c>
      <c r="B5272" t="str">
        <f t="shared" si="954"/>
        <v>SAÍDA</v>
      </c>
      <c r="C5272" t="str">
        <f t="shared" si="957"/>
        <v>PIX</v>
      </c>
      <c r="D5272" t="str">
        <f>"36015"</f>
        <v>36015</v>
      </c>
      <c r="E5272" t="str">
        <f t="shared" si="962"/>
        <v>1</v>
      </c>
      <c r="F5272" t="str">
        <f t="shared" si="960"/>
        <v>COM</v>
      </c>
      <c r="G5272" t="str">
        <f>"TALES SILVA MARIANO (431)"</f>
        <v>TALES SILVA MARIANO (431)</v>
      </c>
      <c r="H5272" t="str">
        <f>"Serv.Prest. 16/03/2026 a 22/03/2026 - PIX: CNPJ - CHAVE: 64.735.042/0001-53"</f>
        <v>Serv.Prest. 16/03/2026 a 22/03/2026 - PIX: CNPJ - CHAVE: 64.735.042/0001-53</v>
      </c>
      <c r="I5272" t="str">
        <f t="shared" si="955"/>
        <v>26/03/2026</v>
      </c>
      <c r="J5272" t="str">
        <f t="shared" si="961"/>
        <v>23/03/2026</v>
      </c>
      <c r="K5272" t="str">
        <f>("26/03/2026")</f>
        <v>26/03/2026</v>
      </c>
      <c r="L5272">
        <v>900</v>
      </c>
      <c r="M5272">
        <v>900</v>
      </c>
      <c r="N5272">
        <v>109</v>
      </c>
      <c r="O5272" t="str">
        <f>"PAGAMENTO DE ENTREGADORES"</f>
        <v>PAGAMENTO DE ENTREGADORES</v>
      </c>
      <c r="P5272">
        <v>900</v>
      </c>
      <c r="S5272" t="str">
        <f>"BANCO C6 (149)"</f>
        <v>BANCO C6 (149)</v>
      </c>
      <c r="T5272">
        <v>32267</v>
      </c>
      <c r="U5272">
        <v>36015</v>
      </c>
      <c r="V5272" t="s">
        <v>37</v>
      </c>
    </row>
    <row r="5273" spans="1:22">
      <c r="A5273" t="str">
        <f t="shared" si="963"/>
        <v>26/03/2026</v>
      </c>
      <c r="B5273" t="str">
        <f t="shared" si="954"/>
        <v>SAÍDA</v>
      </c>
      <c r="C5273" t="str">
        <f t="shared" si="957"/>
        <v>PIX</v>
      </c>
      <c r="D5273" t="str">
        <f>"36015"</f>
        <v>36015</v>
      </c>
      <c r="E5273" t="str">
        <f t="shared" si="962"/>
        <v>1</v>
      </c>
      <c r="F5273" t="str">
        <f t="shared" si="960"/>
        <v>COM</v>
      </c>
      <c r="G5273" t="str">
        <f>"TALES SILVA MARIANO (431)"</f>
        <v>TALES SILVA MARIANO (431)</v>
      </c>
      <c r="H5273" t="s">
        <v>1417</v>
      </c>
      <c r="I5273" t="str">
        <f t="shared" si="955"/>
        <v>26/03/2026</v>
      </c>
      <c r="J5273" t="str">
        <f t="shared" si="961"/>
        <v>23/03/2026</v>
      </c>
      <c r="K5273">
        <v>46107</v>
      </c>
      <c r="N5273">
        <v>109</v>
      </c>
      <c r="O5273" t="s">
        <v>27</v>
      </c>
      <c r="Q5273">
        <v>900</v>
      </c>
      <c r="R5273" t="str">
        <f>"PAGMENOS - LJ 608 (10135)"</f>
        <v>PAGMENOS - LJ 608 (10135)</v>
      </c>
      <c r="S5273" t="s">
        <v>37</v>
      </c>
      <c r="T5273">
        <v>32267</v>
      </c>
      <c r="U5273">
        <v>36015</v>
      </c>
      <c r="V5273" t="s">
        <v>37</v>
      </c>
    </row>
    <row r="5274" spans="1:22">
      <c r="A5274" t="str">
        <f t="shared" si="963"/>
        <v>26/03/2026</v>
      </c>
      <c r="B5274" t="str">
        <f t="shared" si="954"/>
        <v>SAÍDA</v>
      </c>
      <c r="C5274" t="str">
        <f t="shared" si="957"/>
        <v>PIX</v>
      </c>
      <c r="D5274" t="str">
        <f>"36016"</f>
        <v>36016</v>
      </c>
      <c r="E5274" t="str">
        <f t="shared" si="962"/>
        <v>1</v>
      </c>
      <c r="F5274" t="str">
        <f t="shared" si="960"/>
        <v>COM</v>
      </c>
      <c r="G5274" t="str">
        <f>"THAIS SILVA MAIA (1057)"</f>
        <v>THAIS SILVA MAIA (1057)</v>
      </c>
      <c r="H5274" t="str">
        <f>"Serv.Prest. 16/03/2026 a 22/03/2026 - PIX: CELULAR - CHAVE: (34) 99688-5705"</f>
        <v>Serv.Prest. 16/03/2026 a 22/03/2026 - PIX: CELULAR - CHAVE: (34) 99688-5705</v>
      </c>
      <c r="I5274" t="str">
        <f t="shared" si="955"/>
        <v>26/03/2026</v>
      </c>
      <c r="J5274" t="str">
        <f t="shared" si="961"/>
        <v>23/03/2026</v>
      </c>
      <c r="K5274" t="str">
        <f>("26/03/2026")</f>
        <v>26/03/2026</v>
      </c>
      <c r="L5274">
        <v>762</v>
      </c>
      <c r="M5274">
        <v>762</v>
      </c>
      <c r="N5274">
        <v>109</v>
      </c>
      <c r="O5274" t="str">
        <f>"PAGAMENTO DE ENTREGADORES"</f>
        <v>PAGAMENTO DE ENTREGADORES</v>
      </c>
      <c r="P5274">
        <v>762</v>
      </c>
      <c r="S5274" t="str">
        <f>"BANCO C6 (149)"</f>
        <v>BANCO C6 (149)</v>
      </c>
      <c r="T5274">
        <v>32268</v>
      </c>
      <c r="U5274">
        <v>36016</v>
      </c>
      <c r="V5274" t="s">
        <v>37</v>
      </c>
    </row>
    <row r="5275" spans="1:22">
      <c r="A5275" t="str">
        <f t="shared" si="963"/>
        <v>26/03/2026</v>
      </c>
      <c r="B5275" t="str">
        <f t="shared" si="954"/>
        <v>SAÍDA</v>
      </c>
      <c r="C5275" t="str">
        <f t="shared" si="957"/>
        <v>PIX</v>
      </c>
      <c r="D5275" t="str">
        <f>"36016"</f>
        <v>36016</v>
      </c>
      <c r="E5275" t="str">
        <f t="shared" si="962"/>
        <v>1</v>
      </c>
      <c r="F5275" t="str">
        <f t="shared" si="960"/>
        <v>COM</v>
      </c>
      <c r="G5275" t="str">
        <f>"THAIS SILVA MAIA (1057)"</f>
        <v>THAIS SILVA MAIA (1057)</v>
      </c>
      <c r="H5275" t="s">
        <v>1184</v>
      </c>
      <c r="I5275" t="str">
        <f t="shared" si="955"/>
        <v>26/03/2026</v>
      </c>
      <c r="J5275" t="str">
        <f t="shared" si="961"/>
        <v>23/03/2026</v>
      </c>
      <c r="K5275">
        <v>46107</v>
      </c>
      <c r="N5275">
        <v>109</v>
      </c>
      <c r="O5275" t="s">
        <v>27</v>
      </c>
      <c r="Q5275">
        <v>762</v>
      </c>
      <c r="R5275" t="str">
        <f>"PAGMENOS - LJ 768 (10266)"</f>
        <v>PAGMENOS - LJ 768 (10266)</v>
      </c>
      <c r="S5275" t="s">
        <v>37</v>
      </c>
      <c r="T5275">
        <v>32268</v>
      </c>
      <c r="U5275">
        <v>36016</v>
      </c>
      <c r="V5275" t="s">
        <v>37</v>
      </c>
    </row>
    <row r="5276" spans="1:22">
      <c r="A5276" t="str">
        <f t="shared" si="963"/>
        <v>26/03/2026</v>
      </c>
      <c r="B5276" t="str">
        <f t="shared" si="954"/>
        <v>SAÍDA</v>
      </c>
      <c r="C5276" t="str">
        <f t="shared" si="957"/>
        <v>PIX</v>
      </c>
      <c r="D5276" t="str">
        <f>"36017"</f>
        <v>36017</v>
      </c>
      <c r="E5276" t="str">
        <f t="shared" si="962"/>
        <v>1</v>
      </c>
      <c r="F5276" t="str">
        <f t="shared" si="960"/>
        <v>COM</v>
      </c>
      <c r="G5276" t="str">
        <f>"THAIS SILVA MAIA (1057)"</f>
        <v>THAIS SILVA MAIA (1057)</v>
      </c>
      <c r="H5276" t="str">
        <f>"Serv.Prest. 16/03/2026 a 22/03/2026 - PIX: CELULAR - CHAVE: (34) 99688-5705"</f>
        <v>Serv.Prest. 16/03/2026 a 22/03/2026 - PIX: CELULAR - CHAVE: (34) 99688-5705</v>
      </c>
      <c r="I5276" t="str">
        <f t="shared" si="955"/>
        <v>26/03/2026</v>
      </c>
      <c r="J5276" t="str">
        <f t="shared" si="961"/>
        <v>23/03/2026</v>
      </c>
      <c r="K5276" t="str">
        <f>("26/03/2026")</f>
        <v>26/03/2026</v>
      </c>
      <c r="L5276">
        <v>642</v>
      </c>
      <c r="M5276">
        <v>642</v>
      </c>
      <c r="N5276">
        <v>109</v>
      </c>
      <c r="O5276" t="str">
        <f>"PAGAMENTO DE ENTREGADORES"</f>
        <v>PAGAMENTO DE ENTREGADORES</v>
      </c>
      <c r="P5276">
        <v>642</v>
      </c>
      <c r="S5276" t="str">
        <f>"BANCO C6 (149)"</f>
        <v>BANCO C6 (149)</v>
      </c>
      <c r="T5276">
        <v>32269</v>
      </c>
      <c r="U5276">
        <v>36017</v>
      </c>
      <c r="V5276" t="s">
        <v>37</v>
      </c>
    </row>
    <row r="5277" spans="1:22">
      <c r="A5277" t="str">
        <f t="shared" si="963"/>
        <v>26/03/2026</v>
      </c>
      <c r="B5277" t="str">
        <f t="shared" si="954"/>
        <v>SAÍDA</v>
      </c>
      <c r="C5277" t="str">
        <f t="shared" si="957"/>
        <v>PIX</v>
      </c>
      <c r="D5277" t="str">
        <f>"36017"</f>
        <v>36017</v>
      </c>
      <c r="E5277" t="str">
        <f t="shared" si="962"/>
        <v>1</v>
      </c>
      <c r="F5277" t="str">
        <f t="shared" si="960"/>
        <v>COM</v>
      </c>
      <c r="G5277" t="str">
        <f>"THAIS SILVA MAIA (1057)"</f>
        <v>THAIS SILVA MAIA (1057)</v>
      </c>
      <c r="H5277" t="s">
        <v>1184</v>
      </c>
      <c r="I5277" t="str">
        <f t="shared" si="955"/>
        <v>26/03/2026</v>
      </c>
      <c r="J5277" t="str">
        <f t="shared" si="961"/>
        <v>23/03/2026</v>
      </c>
      <c r="K5277">
        <v>46107</v>
      </c>
      <c r="N5277">
        <v>109</v>
      </c>
      <c r="O5277" t="s">
        <v>27</v>
      </c>
      <c r="Q5277">
        <v>642</v>
      </c>
      <c r="R5277" t="str">
        <f>"PAGMENOS - LJ 431 (10265)"</f>
        <v>PAGMENOS - LJ 431 (10265)</v>
      </c>
      <c r="S5277" t="s">
        <v>37</v>
      </c>
      <c r="T5277">
        <v>32269</v>
      </c>
      <c r="U5277">
        <v>36017</v>
      </c>
      <c r="V5277" t="s">
        <v>37</v>
      </c>
    </row>
    <row r="5278" spans="1:22">
      <c r="A5278" t="str">
        <f t="shared" si="963"/>
        <v>26/03/2026</v>
      </c>
      <c r="B5278" t="str">
        <f t="shared" si="954"/>
        <v>SAÍDA</v>
      </c>
      <c r="C5278" t="str">
        <f t="shared" si="957"/>
        <v>PIX</v>
      </c>
      <c r="D5278" t="str">
        <f>"36018"</f>
        <v>36018</v>
      </c>
      <c r="E5278" t="str">
        <f t="shared" si="962"/>
        <v>1</v>
      </c>
      <c r="F5278" t="str">
        <f t="shared" si="960"/>
        <v>COM</v>
      </c>
      <c r="G5278" t="str">
        <f>"THALISSON NUNES (1046)"</f>
        <v>THALISSON NUNES (1046)</v>
      </c>
      <c r="H5278" t="str">
        <f>"Serv.Prest. 16/03/2026 a 22/03/2026 - PIX: CELULAR - CHAVE: (34) 99694-0926"</f>
        <v>Serv.Prest. 16/03/2026 a 22/03/2026 - PIX: CELULAR - CHAVE: (34) 99694-0926</v>
      </c>
      <c r="I5278" t="str">
        <f t="shared" si="955"/>
        <v>26/03/2026</v>
      </c>
      <c r="J5278" t="str">
        <f t="shared" si="961"/>
        <v>23/03/2026</v>
      </c>
      <c r="K5278" t="str">
        <f>("26/03/2026")</f>
        <v>26/03/2026</v>
      </c>
      <c r="L5278">
        <v>801</v>
      </c>
      <c r="M5278">
        <v>801</v>
      </c>
      <c r="N5278">
        <v>109</v>
      </c>
      <c r="O5278" t="str">
        <f>"PAGAMENTO DE ENTREGADORES"</f>
        <v>PAGAMENTO DE ENTREGADORES</v>
      </c>
      <c r="P5278">
        <v>801</v>
      </c>
      <c r="S5278" t="str">
        <f>"BANCO C6 (149)"</f>
        <v>BANCO C6 (149)</v>
      </c>
      <c r="T5278">
        <v>32270</v>
      </c>
      <c r="U5278">
        <v>36018</v>
      </c>
      <c r="V5278" t="s">
        <v>37</v>
      </c>
    </row>
    <row r="5279" spans="1:22">
      <c r="A5279" t="str">
        <f t="shared" si="963"/>
        <v>26/03/2026</v>
      </c>
      <c r="B5279" t="str">
        <f t="shared" si="954"/>
        <v>SAÍDA</v>
      </c>
      <c r="C5279" t="str">
        <f t="shared" si="957"/>
        <v>PIX</v>
      </c>
      <c r="D5279" t="str">
        <f>"36018"</f>
        <v>36018</v>
      </c>
      <c r="E5279" t="str">
        <f t="shared" si="962"/>
        <v>1</v>
      </c>
      <c r="F5279" t="str">
        <f t="shared" si="960"/>
        <v>COM</v>
      </c>
      <c r="G5279" t="str">
        <f>"THALISSON NUNES (1046)"</f>
        <v>THALISSON NUNES (1046)</v>
      </c>
      <c r="H5279" t="s">
        <v>1418</v>
      </c>
      <c r="I5279" t="str">
        <f t="shared" si="955"/>
        <v>26/03/2026</v>
      </c>
      <c r="J5279" t="str">
        <f t="shared" si="961"/>
        <v>23/03/2026</v>
      </c>
      <c r="K5279">
        <v>46107</v>
      </c>
      <c r="N5279">
        <v>109</v>
      </c>
      <c r="O5279" t="s">
        <v>27</v>
      </c>
      <c r="Q5279">
        <v>801</v>
      </c>
      <c r="R5279" t="str">
        <f>"PAGMENOS - LJ 326 (10264)"</f>
        <v>PAGMENOS - LJ 326 (10264)</v>
      </c>
      <c r="S5279" t="s">
        <v>37</v>
      </c>
      <c r="T5279">
        <v>32270</v>
      </c>
      <c r="U5279">
        <v>36018</v>
      </c>
      <c r="V5279" t="s">
        <v>37</v>
      </c>
    </row>
    <row r="5280" spans="1:22">
      <c r="A5280" t="str">
        <f t="shared" si="963"/>
        <v>26/03/2026</v>
      </c>
      <c r="B5280" t="str">
        <f t="shared" si="954"/>
        <v>SAÍDA</v>
      </c>
      <c r="C5280" t="str">
        <f t="shared" si="957"/>
        <v>PIX</v>
      </c>
      <c r="D5280" t="str">
        <f>"36020"</f>
        <v>36020</v>
      </c>
      <c r="E5280" t="str">
        <f t="shared" si="962"/>
        <v>1</v>
      </c>
      <c r="F5280" t="str">
        <f t="shared" si="960"/>
        <v>COM</v>
      </c>
      <c r="G5280" t="str">
        <f>"WELDER LINHARES ALVES (1306)"</f>
        <v>WELDER LINHARES ALVES (1306)</v>
      </c>
      <c r="H5280" t="str">
        <f>"Serv.Prest. 16/03/2026 a 22/03/2026 - PIX: CHAVE ALEATÓRIA - CHAVE: b7127766-e2b6-47e0-bdc0-95f13babb6f4"</f>
        <v>Serv.Prest. 16/03/2026 a 22/03/2026 - PIX: CHAVE ALEATÓRIA - CHAVE: b7127766-e2b6-47e0-bdc0-95f13babb6f4</v>
      </c>
      <c r="I5280" t="str">
        <f t="shared" si="955"/>
        <v>26/03/2026</v>
      </c>
      <c r="J5280" t="str">
        <f t="shared" si="961"/>
        <v>23/03/2026</v>
      </c>
      <c r="K5280" t="str">
        <f>("26/03/2026")</f>
        <v>26/03/2026</v>
      </c>
      <c r="L5280">
        <v>348</v>
      </c>
      <c r="M5280">
        <v>348</v>
      </c>
      <c r="N5280">
        <v>109</v>
      </c>
      <c r="O5280" t="str">
        <f>"PAGAMENTO DE ENTREGADORES"</f>
        <v>PAGAMENTO DE ENTREGADORES</v>
      </c>
      <c r="P5280">
        <v>348</v>
      </c>
      <c r="S5280" t="str">
        <f>"BANCO C6 (149)"</f>
        <v>BANCO C6 (149)</v>
      </c>
      <c r="T5280">
        <v>32271</v>
      </c>
      <c r="U5280">
        <v>36020</v>
      </c>
      <c r="V5280" t="s">
        <v>37</v>
      </c>
    </row>
    <row r="5281" spans="1:22">
      <c r="A5281" t="str">
        <f t="shared" si="963"/>
        <v>26/03/2026</v>
      </c>
      <c r="B5281" t="str">
        <f t="shared" si="954"/>
        <v>SAÍDA</v>
      </c>
      <c r="C5281" t="str">
        <f t="shared" si="957"/>
        <v>PIX</v>
      </c>
      <c r="D5281" t="str">
        <f>"36020"</f>
        <v>36020</v>
      </c>
      <c r="E5281" t="str">
        <f t="shared" si="962"/>
        <v>1</v>
      </c>
      <c r="F5281" t="str">
        <f t="shared" si="960"/>
        <v>COM</v>
      </c>
      <c r="G5281" t="str">
        <f>"WELDER LINHARES ALVES (1306)"</f>
        <v>WELDER LINHARES ALVES (1306)</v>
      </c>
      <c r="H5281" t="s">
        <v>1415</v>
      </c>
      <c r="I5281" t="str">
        <f t="shared" si="955"/>
        <v>26/03/2026</v>
      </c>
      <c r="J5281" t="str">
        <f t="shared" si="961"/>
        <v>23/03/2026</v>
      </c>
      <c r="K5281">
        <v>46107</v>
      </c>
      <c r="N5281">
        <v>109</v>
      </c>
      <c r="O5281" t="s">
        <v>27</v>
      </c>
      <c r="Q5281">
        <v>348</v>
      </c>
      <c r="R5281" t="str">
        <f>"PAGMENOS - LJ 431 (10265)"</f>
        <v>PAGMENOS - LJ 431 (10265)</v>
      </c>
      <c r="S5281" t="s">
        <v>37</v>
      </c>
      <c r="T5281">
        <v>32271</v>
      </c>
      <c r="U5281">
        <v>36020</v>
      </c>
      <c r="V5281" t="s">
        <v>37</v>
      </c>
    </row>
    <row r="5282" spans="1:22">
      <c r="A5282" t="str">
        <f t="shared" si="963"/>
        <v>26/03/2026</v>
      </c>
      <c r="B5282" t="str">
        <f t="shared" si="954"/>
        <v>SAÍDA</v>
      </c>
      <c r="C5282" t="str">
        <f t="shared" si="957"/>
        <v>PIX</v>
      </c>
      <c r="D5282" t="str">
        <f>"36021"</f>
        <v>36021</v>
      </c>
      <c r="E5282" t="str">
        <f t="shared" si="962"/>
        <v>1</v>
      </c>
      <c r="F5282" t="str">
        <f t="shared" si="960"/>
        <v>COM</v>
      </c>
      <c r="G5282" t="str">
        <f>"WELDER LINHARES ALVES (1306)"</f>
        <v>WELDER LINHARES ALVES (1306)</v>
      </c>
      <c r="H5282" t="str">
        <f>"Serv.Prest. 16/03/2026 a 22/03/2026 - PIX: CHAVE ALEATÓRIA - CHAVE: b7127766-e2b6-47e0-bdc0-95f13babb6f4"</f>
        <v>Serv.Prest. 16/03/2026 a 22/03/2026 - PIX: CHAVE ALEATÓRIA - CHAVE: b7127766-e2b6-47e0-bdc0-95f13babb6f4</v>
      </c>
      <c r="I5282" t="str">
        <f t="shared" si="955"/>
        <v>26/03/2026</v>
      </c>
      <c r="J5282" t="str">
        <f t="shared" si="961"/>
        <v>23/03/2026</v>
      </c>
      <c r="K5282" t="str">
        <f>("26/03/2026")</f>
        <v>26/03/2026</v>
      </c>
      <c r="L5282">
        <v>348</v>
      </c>
      <c r="M5282">
        <v>348</v>
      </c>
      <c r="N5282">
        <v>109</v>
      </c>
      <c r="O5282" t="str">
        <f>"PAGAMENTO DE ENTREGADORES"</f>
        <v>PAGAMENTO DE ENTREGADORES</v>
      </c>
      <c r="P5282">
        <v>348</v>
      </c>
      <c r="S5282" t="str">
        <f>"BANCO C6 (149)"</f>
        <v>BANCO C6 (149)</v>
      </c>
      <c r="T5282">
        <v>32272</v>
      </c>
      <c r="U5282">
        <v>36021</v>
      </c>
      <c r="V5282" t="s">
        <v>37</v>
      </c>
    </row>
    <row r="5283" spans="1:22">
      <c r="A5283" t="str">
        <f t="shared" si="963"/>
        <v>26/03/2026</v>
      </c>
      <c r="B5283" t="str">
        <f t="shared" si="954"/>
        <v>SAÍDA</v>
      </c>
      <c r="C5283" t="str">
        <f t="shared" si="957"/>
        <v>PIX</v>
      </c>
      <c r="D5283" t="str">
        <f>"36021"</f>
        <v>36021</v>
      </c>
      <c r="E5283" t="str">
        <f t="shared" si="962"/>
        <v>1</v>
      </c>
      <c r="F5283" t="str">
        <f t="shared" si="960"/>
        <v>COM</v>
      </c>
      <c r="G5283" t="str">
        <f>"WELDER LINHARES ALVES (1306)"</f>
        <v>WELDER LINHARES ALVES (1306)</v>
      </c>
      <c r="H5283" t="s">
        <v>1415</v>
      </c>
      <c r="I5283" t="str">
        <f t="shared" si="955"/>
        <v>26/03/2026</v>
      </c>
      <c r="J5283" t="str">
        <f t="shared" si="961"/>
        <v>23/03/2026</v>
      </c>
      <c r="K5283">
        <v>46107</v>
      </c>
      <c r="N5283">
        <v>109</v>
      </c>
      <c r="O5283" t="s">
        <v>27</v>
      </c>
      <c r="Q5283">
        <v>348</v>
      </c>
      <c r="R5283" t="str">
        <f>"PAGMENOS - LJ 768 (10266)"</f>
        <v>PAGMENOS - LJ 768 (10266)</v>
      </c>
      <c r="S5283" t="s">
        <v>37</v>
      </c>
      <c r="T5283">
        <v>32272</v>
      </c>
      <c r="U5283">
        <v>36021</v>
      </c>
      <c r="V5283" t="s">
        <v>37</v>
      </c>
    </row>
    <row r="5284" spans="1:22">
      <c r="A5284" t="str">
        <f t="shared" si="963"/>
        <v>26/03/2026</v>
      </c>
      <c r="B5284" t="str">
        <f t="shared" si="954"/>
        <v>SAÍDA</v>
      </c>
      <c r="C5284" t="str">
        <f t="shared" si="957"/>
        <v>PIX</v>
      </c>
      <c r="D5284" t="str">
        <f>"36022"</f>
        <v>36022</v>
      </c>
      <c r="E5284" t="str">
        <f t="shared" si="962"/>
        <v>1</v>
      </c>
      <c r="F5284" t="str">
        <f t="shared" si="960"/>
        <v>COM</v>
      </c>
      <c r="G5284" t="str">
        <f>"WENDERSON SILVA MAIA (1238)"</f>
        <v>WENDERSON SILVA MAIA (1238)</v>
      </c>
      <c r="H5284" t="str">
        <f>"Serv.Prest. 16/03/2026 a 22/03/2026 - PIX: E-MAIL - CHAVE: wender.56@hotmail.com"</f>
        <v>Serv.Prest. 16/03/2026 a 22/03/2026 - PIX: E-MAIL - CHAVE: wender.56@hotmail.com</v>
      </c>
      <c r="I5284" t="str">
        <f t="shared" si="955"/>
        <v>26/03/2026</v>
      </c>
      <c r="J5284" t="str">
        <f t="shared" si="961"/>
        <v>23/03/2026</v>
      </c>
      <c r="K5284" t="str">
        <f>("26/03/2026")</f>
        <v>26/03/2026</v>
      </c>
      <c r="L5284">
        <v>414</v>
      </c>
      <c r="M5284">
        <v>414</v>
      </c>
      <c r="N5284">
        <v>109</v>
      </c>
      <c r="O5284" t="str">
        <f>"PAGAMENTO DE ENTREGADORES"</f>
        <v>PAGAMENTO DE ENTREGADORES</v>
      </c>
      <c r="P5284">
        <v>414</v>
      </c>
      <c r="S5284" t="str">
        <f>"BANCO C6 (149)"</f>
        <v>BANCO C6 (149)</v>
      </c>
      <c r="T5284">
        <v>32273</v>
      </c>
      <c r="U5284">
        <v>36022</v>
      </c>
      <c r="V5284" t="s">
        <v>37</v>
      </c>
    </row>
    <row r="5285" spans="1:22">
      <c r="A5285" t="str">
        <f t="shared" si="963"/>
        <v>26/03/2026</v>
      </c>
      <c r="B5285" t="str">
        <f t="shared" si="954"/>
        <v>SAÍDA</v>
      </c>
      <c r="C5285" t="str">
        <f t="shared" si="957"/>
        <v>PIX</v>
      </c>
      <c r="D5285" t="str">
        <f>"36022"</f>
        <v>36022</v>
      </c>
      <c r="E5285" t="str">
        <f t="shared" si="962"/>
        <v>1</v>
      </c>
      <c r="F5285" t="str">
        <f t="shared" si="960"/>
        <v>COM</v>
      </c>
      <c r="G5285" t="str">
        <f>"WENDERSON SILVA MAIA (1238)"</f>
        <v>WENDERSON SILVA MAIA (1238)</v>
      </c>
      <c r="H5285" t="s">
        <v>1416</v>
      </c>
      <c r="I5285" t="str">
        <f t="shared" si="955"/>
        <v>26/03/2026</v>
      </c>
      <c r="J5285" t="str">
        <f t="shared" si="961"/>
        <v>23/03/2026</v>
      </c>
      <c r="K5285">
        <v>46107</v>
      </c>
      <c r="N5285">
        <v>109</v>
      </c>
      <c r="O5285" t="s">
        <v>27</v>
      </c>
      <c r="Q5285">
        <v>414</v>
      </c>
      <c r="R5285" t="str">
        <f>"PAGMENOS - LJ 768 (10266)"</f>
        <v>PAGMENOS - LJ 768 (10266)</v>
      </c>
      <c r="S5285" t="s">
        <v>37</v>
      </c>
      <c r="T5285">
        <v>32273</v>
      </c>
      <c r="U5285">
        <v>36022</v>
      </c>
      <c r="V5285" t="s">
        <v>37</v>
      </c>
    </row>
    <row r="5286" spans="1:22">
      <c r="A5286" t="str">
        <f t="shared" si="963"/>
        <v>26/03/2026</v>
      </c>
      <c r="B5286" t="str">
        <f t="shared" si="954"/>
        <v>SAÍDA</v>
      </c>
      <c r="C5286" t="str">
        <f t="shared" si="957"/>
        <v>PIX</v>
      </c>
      <c r="D5286" t="str">
        <f>"36023"</f>
        <v>36023</v>
      </c>
      <c r="E5286" t="str">
        <f t="shared" si="962"/>
        <v>1</v>
      </c>
      <c r="F5286" t="str">
        <f t="shared" si="960"/>
        <v>COM</v>
      </c>
      <c r="G5286" t="str">
        <f>"WENDERSON SILVA MAIA (1238)"</f>
        <v>WENDERSON SILVA MAIA (1238)</v>
      </c>
      <c r="H5286" t="str">
        <f>"Serv.Prest. 16/03/2026 a 22/03/2026 - PIX: E-MAIL - CHAVE: wender.56@hotmail.com"</f>
        <v>Serv.Prest. 16/03/2026 a 22/03/2026 - PIX: E-MAIL - CHAVE: wender.56@hotmail.com</v>
      </c>
      <c r="I5286" t="str">
        <f t="shared" si="955"/>
        <v>26/03/2026</v>
      </c>
      <c r="J5286" t="str">
        <f t="shared" si="961"/>
        <v>23/03/2026</v>
      </c>
      <c r="K5286" t="str">
        <f>("26/03/2026")</f>
        <v>26/03/2026</v>
      </c>
      <c r="L5286">
        <v>348</v>
      </c>
      <c r="M5286">
        <v>348</v>
      </c>
      <c r="N5286">
        <v>109</v>
      </c>
      <c r="O5286" t="str">
        <f>"PAGAMENTO DE ENTREGADORES"</f>
        <v>PAGAMENTO DE ENTREGADORES</v>
      </c>
      <c r="P5286">
        <v>348</v>
      </c>
      <c r="S5286" t="str">
        <f>"BANCO C6 (149)"</f>
        <v>BANCO C6 (149)</v>
      </c>
      <c r="T5286">
        <v>32274</v>
      </c>
      <c r="U5286">
        <v>36023</v>
      </c>
      <c r="V5286" t="s">
        <v>37</v>
      </c>
    </row>
    <row r="5287" spans="1:22">
      <c r="A5287" t="str">
        <f t="shared" si="963"/>
        <v>26/03/2026</v>
      </c>
      <c r="B5287" t="str">
        <f t="shared" si="954"/>
        <v>SAÍDA</v>
      </c>
      <c r="C5287" t="str">
        <f t="shared" si="957"/>
        <v>PIX</v>
      </c>
      <c r="D5287" t="str">
        <f>"36023"</f>
        <v>36023</v>
      </c>
      <c r="E5287" t="str">
        <f t="shared" si="962"/>
        <v>1</v>
      </c>
      <c r="F5287" t="str">
        <f t="shared" si="960"/>
        <v>COM</v>
      </c>
      <c r="G5287" t="str">
        <f>"WENDERSON SILVA MAIA (1238)"</f>
        <v>WENDERSON SILVA MAIA (1238)</v>
      </c>
      <c r="H5287" t="s">
        <v>1416</v>
      </c>
      <c r="I5287" t="str">
        <f t="shared" si="955"/>
        <v>26/03/2026</v>
      </c>
      <c r="J5287" t="str">
        <f t="shared" si="961"/>
        <v>23/03/2026</v>
      </c>
      <c r="K5287">
        <v>46107</v>
      </c>
      <c r="N5287">
        <v>109</v>
      </c>
      <c r="O5287" t="s">
        <v>27</v>
      </c>
      <c r="Q5287">
        <v>348</v>
      </c>
      <c r="R5287" t="str">
        <f>"PAGMENOS - LJ 431 (10265)"</f>
        <v>PAGMENOS - LJ 431 (10265)</v>
      </c>
      <c r="S5287" t="s">
        <v>37</v>
      </c>
      <c r="T5287">
        <v>32274</v>
      </c>
      <c r="U5287">
        <v>36023</v>
      </c>
      <c r="V5287" t="s">
        <v>37</v>
      </c>
    </row>
    <row r="5288" spans="1:22">
      <c r="A5288" t="str">
        <f t="shared" si="963"/>
        <v>26/03/2026</v>
      </c>
      <c r="B5288" t="str">
        <f t="shared" si="954"/>
        <v>SAÍDA</v>
      </c>
      <c r="C5288" t="str">
        <f t="shared" si="957"/>
        <v>PIX</v>
      </c>
      <c r="D5288" t="str">
        <f>"36024"</f>
        <v>36024</v>
      </c>
      <c r="E5288" t="str">
        <f t="shared" si="962"/>
        <v>1</v>
      </c>
      <c r="F5288" t="str">
        <f t="shared" si="960"/>
        <v>COM</v>
      </c>
      <c r="G5288" t="str">
        <f>"WILIANA RODRIGUES E RODRIGUES (398)"</f>
        <v>WILIANA RODRIGUES E RODRIGUES (398)</v>
      </c>
      <c r="H5288" t="str">
        <f>"Serv.Prest. 16/03/2026 a 22/03/2026 - PIX: CPF - CHAVE: 016.203.336-27"</f>
        <v>Serv.Prest. 16/03/2026 a 22/03/2026 - PIX: CPF - CHAVE: 016.203.336-27</v>
      </c>
      <c r="I5288" t="str">
        <f t="shared" si="955"/>
        <v>26/03/2026</v>
      </c>
      <c r="J5288" t="str">
        <f t="shared" si="961"/>
        <v>23/03/2026</v>
      </c>
      <c r="K5288" t="str">
        <f>("26/03/2026")</f>
        <v>26/03/2026</v>
      </c>
      <c r="L5288">
        <v>1200</v>
      </c>
      <c r="M5288">
        <v>1200</v>
      </c>
      <c r="N5288">
        <v>109</v>
      </c>
      <c r="O5288" t="str">
        <f>"PAGAMENTO DE ENTREGADORES"</f>
        <v>PAGAMENTO DE ENTREGADORES</v>
      </c>
      <c r="P5288">
        <v>1200</v>
      </c>
      <c r="S5288" t="str">
        <f>"BANCO C6 (149)"</f>
        <v>BANCO C6 (149)</v>
      </c>
      <c r="T5288">
        <v>32275</v>
      </c>
      <c r="U5288">
        <v>36024</v>
      </c>
      <c r="V5288" t="s">
        <v>37</v>
      </c>
    </row>
    <row r="5289" spans="1:22">
      <c r="A5289" t="str">
        <f t="shared" si="963"/>
        <v>26/03/2026</v>
      </c>
      <c r="B5289" t="str">
        <f t="shared" si="954"/>
        <v>SAÍDA</v>
      </c>
      <c r="C5289" t="str">
        <f t="shared" si="957"/>
        <v>PIX</v>
      </c>
      <c r="D5289" t="str">
        <f>"36024"</f>
        <v>36024</v>
      </c>
      <c r="E5289" t="str">
        <f t="shared" si="962"/>
        <v>1</v>
      </c>
      <c r="F5289" t="str">
        <f t="shared" si="960"/>
        <v>COM</v>
      </c>
      <c r="G5289" t="str">
        <f>"WILIANA RODRIGUES E RODRIGUES (398)"</f>
        <v>WILIANA RODRIGUES E RODRIGUES (398)</v>
      </c>
      <c r="H5289" t="s">
        <v>1419</v>
      </c>
      <c r="I5289" t="str">
        <f t="shared" si="955"/>
        <v>26/03/2026</v>
      </c>
      <c r="J5289" t="str">
        <f t="shared" si="961"/>
        <v>23/03/2026</v>
      </c>
      <c r="K5289">
        <v>46107</v>
      </c>
      <c r="N5289">
        <v>109</v>
      </c>
      <c r="O5289" t="s">
        <v>27</v>
      </c>
      <c r="Q5289">
        <v>1200</v>
      </c>
      <c r="R5289" t="str">
        <f>"PAGMENOS - LJ 657 (10136)"</f>
        <v>PAGMENOS - LJ 657 (10136)</v>
      </c>
      <c r="S5289" t="s">
        <v>37</v>
      </c>
      <c r="T5289">
        <v>32275</v>
      </c>
      <c r="U5289">
        <v>36024</v>
      </c>
      <c r="V5289" t="s">
        <v>37</v>
      </c>
    </row>
    <row r="5290" spans="1:22">
      <c r="A5290" t="str">
        <f t="shared" si="963"/>
        <v>26/03/2026</v>
      </c>
      <c r="B5290" t="str">
        <f t="shared" si="954"/>
        <v>SAÍDA</v>
      </c>
      <c r="C5290" t="str">
        <f t="shared" si="957"/>
        <v>PIX</v>
      </c>
      <c r="D5290" t="str">
        <f>"36028"</f>
        <v>36028</v>
      </c>
      <c r="E5290" t="str">
        <f t="shared" si="962"/>
        <v>1</v>
      </c>
      <c r="F5290" t="str">
        <f t="shared" si="960"/>
        <v>COM</v>
      </c>
      <c r="G5290" t="str">
        <f>"BRENO HENRIQUE DE SOUSA (596)"</f>
        <v>BRENO HENRIQUE DE SOUSA (596)</v>
      </c>
      <c r="H5290" t="str">
        <f>"Serv.Prest. 16/03/2026 a 22/03/2026 - PIX: CELULAR - CHAVE: (37) 99146-2630"</f>
        <v>Serv.Prest. 16/03/2026 a 22/03/2026 - PIX: CELULAR - CHAVE: (37) 99146-2630</v>
      </c>
      <c r="I5290" t="str">
        <f t="shared" si="955"/>
        <v>26/03/2026</v>
      </c>
      <c r="J5290" t="str">
        <f t="shared" si="961"/>
        <v>23/03/2026</v>
      </c>
      <c r="K5290" t="str">
        <f>("26/03/2026")</f>
        <v>26/03/2026</v>
      </c>
      <c r="L5290">
        <v>1200</v>
      </c>
      <c r="M5290">
        <v>1200</v>
      </c>
      <c r="N5290">
        <v>109</v>
      </c>
      <c r="O5290" t="str">
        <f>"PAGAMENTO DE ENTREGADORES"</f>
        <v>PAGAMENTO DE ENTREGADORES</v>
      </c>
      <c r="P5290">
        <v>1200</v>
      </c>
      <c r="S5290" t="str">
        <f>"BANCO C6 (149)"</f>
        <v>BANCO C6 (149)</v>
      </c>
      <c r="T5290">
        <v>32276</v>
      </c>
      <c r="U5290">
        <v>36028</v>
      </c>
      <c r="V5290" t="s">
        <v>37</v>
      </c>
    </row>
    <row r="5291" spans="1:22">
      <c r="A5291" t="str">
        <f t="shared" si="963"/>
        <v>26/03/2026</v>
      </c>
      <c r="B5291" t="str">
        <f t="shared" si="954"/>
        <v>SAÍDA</v>
      </c>
      <c r="C5291" t="str">
        <f t="shared" si="957"/>
        <v>PIX</v>
      </c>
      <c r="D5291" t="str">
        <f>"36028"</f>
        <v>36028</v>
      </c>
      <c r="E5291" t="str">
        <f t="shared" si="962"/>
        <v>1</v>
      </c>
      <c r="F5291" t="str">
        <f t="shared" si="960"/>
        <v>COM</v>
      </c>
      <c r="G5291" t="str">
        <f>"BRENO HENRIQUE DE SOUSA (596)"</f>
        <v>BRENO HENRIQUE DE SOUSA (596)</v>
      </c>
      <c r="H5291" t="s">
        <v>1420</v>
      </c>
      <c r="I5291" t="str">
        <f t="shared" si="955"/>
        <v>26/03/2026</v>
      </c>
      <c r="J5291" t="str">
        <f t="shared" si="961"/>
        <v>23/03/2026</v>
      </c>
      <c r="K5291">
        <v>46107</v>
      </c>
      <c r="N5291">
        <v>109</v>
      </c>
      <c r="O5291" t="s">
        <v>27</v>
      </c>
      <c r="Q5291">
        <v>1200</v>
      </c>
      <c r="R5291" t="str">
        <f>"DROGARIA POUPA MINAS (ULTRAMINAS) 1 (10181)"</f>
        <v>DROGARIA POUPA MINAS (ULTRAMINAS) 1 (10181)</v>
      </c>
      <c r="S5291" t="s">
        <v>37</v>
      </c>
      <c r="T5291">
        <v>32276</v>
      </c>
      <c r="U5291">
        <v>36028</v>
      </c>
      <c r="V5291" t="s">
        <v>37</v>
      </c>
    </row>
    <row r="5292" spans="1:22">
      <c r="A5292" t="str">
        <f t="shared" si="963"/>
        <v>26/03/2026</v>
      </c>
      <c r="B5292" t="str">
        <f t="shared" si="954"/>
        <v>SAÍDA</v>
      </c>
      <c r="C5292" t="str">
        <f t="shared" si="957"/>
        <v>PIX</v>
      </c>
      <c r="D5292" t="str">
        <f>"36029"</f>
        <v>36029</v>
      </c>
      <c r="E5292" t="str">
        <f t="shared" si="962"/>
        <v>1</v>
      </c>
      <c r="F5292" t="str">
        <f t="shared" si="960"/>
        <v>COM</v>
      </c>
      <c r="G5292" t="str">
        <f>"JHONATA SOUSA UCHOA (464)"</f>
        <v>JHONATA SOUSA UCHOA (464)</v>
      </c>
      <c r="H5292" t="str">
        <f>"Serv.Prest. 16/03/2026 a 22/03/2026 - PIX: CPF - CHAVE: 020.590.606-05"</f>
        <v>Serv.Prest. 16/03/2026 a 22/03/2026 - PIX: CPF - CHAVE: 020.590.606-05</v>
      </c>
      <c r="I5292" t="str">
        <f t="shared" si="955"/>
        <v>26/03/2026</v>
      </c>
      <c r="J5292" t="str">
        <f t="shared" si="961"/>
        <v>23/03/2026</v>
      </c>
      <c r="K5292" t="str">
        <f>("26/03/2026")</f>
        <v>26/03/2026</v>
      </c>
      <c r="L5292">
        <v>1290</v>
      </c>
      <c r="M5292">
        <v>1290</v>
      </c>
      <c r="N5292">
        <v>109</v>
      </c>
      <c r="O5292" t="str">
        <f>"PAGAMENTO DE ENTREGADORES"</f>
        <v>PAGAMENTO DE ENTREGADORES</v>
      </c>
      <c r="P5292">
        <v>1290</v>
      </c>
      <c r="S5292" t="str">
        <f>"BANCO C6 (149)"</f>
        <v>BANCO C6 (149)</v>
      </c>
      <c r="T5292">
        <v>32277</v>
      </c>
      <c r="U5292">
        <v>36029</v>
      </c>
      <c r="V5292" t="s">
        <v>37</v>
      </c>
    </row>
    <row r="5293" spans="1:22">
      <c r="A5293" t="str">
        <f t="shared" si="963"/>
        <v>26/03/2026</v>
      </c>
      <c r="B5293" t="str">
        <f t="shared" si="954"/>
        <v>SAÍDA</v>
      </c>
      <c r="C5293" t="str">
        <f t="shared" si="957"/>
        <v>PIX</v>
      </c>
      <c r="D5293" t="str">
        <f>"36029"</f>
        <v>36029</v>
      </c>
      <c r="E5293" t="str">
        <f t="shared" si="962"/>
        <v>1</v>
      </c>
      <c r="F5293" t="str">
        <f t="shared" si="960"/>
        <v>COM</v>
      </c>
      <c r="G5293" t="str">
        <f>"JHONATA SOUSA UCHOA (464)"</f>
        <v>JHONATA SOUSA UCHOA (464)</v>
      </c>
      <c r="H5293" t="s">
        <v>1421</v>
      </c>
      <c r="I5293" t="str">
        <f t="shared" si="955"/>
        <v>26/03/2026</v>
      </c>
      <c r="J5293" t="str">
        <f t="shared" si="961"/>
        <v>23/03/2026</v>
      </c>
      <c r="K5293">
        <v>46107</v>
      </c>
      <c r="N5293">
        <v>109</v>
      </c>
      <c r="O5293" t="s">
        <v>27</v>
      </c>
      <c r="Q5293">
        <v>1290</v>
      </c>
      <c r="R5293" t="str">
        <f>"DROGARIA POUPA MINAS (ULTRAMINAS) 1 (10181)"</f>
        <v>DROGARIA POUPA MINAS (ULTRAMINAS) 1 (10181)</v>
      </c>
      <c r="S5293" t="s">
        <v>37</v>
      </c>
      <c r="T5293">
        <v>32277</v>
      </c>
      <c r="U5293">
        <v>36029</v>
      </c>
      <c r="V5293" t="s">
        <v>37</v>
      </c>
    </row>
    <row r="5294" spans="1:22">
      <c r="A5294" t="str">
        <f t="shared" si="963"/>
        <v>26/03/2026</v>
      </c>
      <c r="B5294" t="str">
        <f t="shared" si="954"/>
        <v>SAÍDA</v>
      </c>
      <c r="C5294" t="str">
        <f t="shared" si="957"/>
        <v>PIX</v>
      </c>
      <c r="D5294" t="str">
        <f>"36030"</f>
        <v>36030</v>
      </c>
      <c r="E5294" t="str">
        <f t="shared" si="962"/>
        <v>1</v>
      </c>
      <c r="F5294" t="str">
        <f t="shared" si="960"/>
        <v>COM</v>
      </c>
      <c r="G5294" t="str">
        <f>"LUIZ PAULO DE OLIVEIRA (712)"</f>
        <v>LUIZ PAULO DE OLIVEIRA (712)</v>
      </c>
      <c r="H5294" t="str">
        <f>"Serv.Prest. 16/03/2026 a 22/03/2026 - PIX: E-MAIL - CHAVE: karinasilvaaparecida1286@gmail.com"</f>
        <v>Serv.Prest. 16/03/2026 a 22/03/2026 - PIX: E-MAIL - CHAVE: karinasilvaaparecida1286@gmail.com</v>
      </c>
      <c r="I5294" t="str">
        <f t="shared" si="955"/>
        <v>26/03/2026</v>
      </c>
      <c r="J5294" t="str">
        <f t="shared" si="961"/>
        <v>23/03/2026</v>
      </c>
      <c r="K5294" t="str">
        <f>("26/03/2026")</f>
        <v>26/03/2026</v>
      </c>
      <c r="L5294">
        <v>1050</v>
      </c>
      <c r="M5294">
        <v>1050</v>
      </c>
      <c r="N5294">
        <v>109</v>
      </c>
      <c r="O5294" t="str">
        <f>"PAGAMENTO DE ENTREGADORES"</f>
        <v>PAGAMENTO DE ENTREGADORES</v>
      </c>
      <c r="P5294">
        <v>1050</v>
      </c>
      <c r="S5294" t="str">
        <f>"BANCO C6 (149)"</f>
        <v>BANCO C6 (149)</v>
      </c>
      <c r="T5294">
        <v>32278</v>
      </c>
      <c r="U5294">
        <v>36030</v>
      </c>
      <c r="V5294" t="s">
        <v>37</v>
      </c>
    </row>
    <row r="5295" spans="1:22">
      <c r="A5295" t="str">
        <f t="shared" si="963"/>
        <v>26/03/2026</v>
      </c>
      <c r="B5295" t="str">
        <f t="shared" si="954"/>
        <v>SAÍDA</v>
      </c>
      <c r="C5295" t="str">
        <f t="shared" si="957"/>
        <v>PIX</v>
      </c>
      <c r="D5295" t="str">
        <f>"36030"</f>
        <v>36030</v>
      </c>
      <c r="E5295" t="str">
        <f t="shared" si="962"/>
        <v>1</v>
      </c>
      <c r="F5295" t="str">
        <f t="shared" si="960"/>
        <v>COM</v>
      </c>
      <c r="G5295" t="str">
        <f>"LUIZ PAULO DE OLIVEIRA (712)"</f>
        <v>LUIZ PAULO DE OLIVEIRA (712)</v>
      </c>
      <c r="H5295" t="s">
        <v>1422</v>
      </c>
      <c r="I5295" t="str">
        <f t="shared" si="955"/>
        <v>26/03/2026</v>
      </c>
      <c r="J5295" t="str">
        <f t="shared" si="961"/>
        <v>23/03/2026</v>
      </c>
      <c r="K5295">
        <v>46107</v>
      </c>
      <c r="N5295">
        <v>109</v>
      </c>
      <c r="O5295" t="s">
        <v>27</v>
      </c>
      <c r="Q5295">
        <v>1050</v>
      </c>
      <c r="R5295" t="str">
        <f>"DROGARIA POUPA MINAS (ULTRAMINAS) 1 (10181)"</f>
        <v>DROGARIA POUPA MINAS (ULTRAMINAS) 1 (10181)</v>
      </c>
      <c r="S5295" t="s">
        <v>37</v>
      </c>
      <c r="T5295">
        <v>32278</v>
      </c>
      <c r="U5295">
        <v>36030</v>
      </c>
      <c r="V5295" t="s">
        <v>37</v>
      </c>
    </row>
    <row r="5296" spans="1:22">
      <c r="A5296" t="str">
        <f t="shared" si="963"/>
        <v>26/03/2026</v>
      </c>
      <c r="B5296" t="str">
        <f t="shared" ref="B5296:B5359" si="964">"SAÍDA"</f>
        <v>SAÍDA</v>
      </c>
      <c r="C5296" t="str">
        <f t="shared" si="957"/>
        <v>PIX</v>
      </c>
      <c r="D5296" t="str">
        <f>"36031"</f>
        <v>36031</v>
      </c>
      <c r="E5296" t="str">
        <f t="shared" si="962"/>
        <v>1</v>
      </c>
      <c r="F5296" t="str">
        <f t="shared" si="960"/>
        <v>COM</v>
      </c>
      <c r="G5296" t="str">
        <f>"RICHARD HENRIQUE DA SILVA (244)"</f>
        <v>RICHARD HENRIQUE DA SILVA (244)</v>
      </c>
      <c r="H5296" t="str">
        <f>"Serv.Prest. 16/03/2026 a 22/03/2026 - PIX: CELULAR - CHAVE: (37) 99197-6834"</f>
        <v>Serv.Prest. 16/03/2026 a 22/03/2026 - PIX: CELULAR - CHAVE: (37) 99197-6834</v>
      </c>
      <c r="I5296" t="str">
        <f t="shared" ref="I5296:I5359" si="965">("26/03/2026")</f>
        <v>26/03/2026</v>
      </c>
      <c r="J5296" t="str">
        <f t="shared" si="961"/>
        <v>23/03/2026</v>
      </c>
      <c r="K5296" t="str">
        <f>("26/03/2026")</f>
        <v>26/03/2026</v>
      </c>
      <c r="L5296">
        <v>1200</v>
      </c>
      <c r="M5296">
        <v>1200</v>
      </c>
      <c r="N5296">
        <v>109</v>
      </c>
      <c r="O5296" t="str">
        <f>"PAGAMENTO DE ENTREGADORES"</f>
        <v>PAGAMENTO DE ENTREGADORES</v>
      </c>
      <c r="P5296">
        <v>1200</v>
      </c>
      <c r="S5296" t="str">
        <f>"BANCO C6 (149)"</f>
        <v>BANCO C6 (149)</v>
      </c>
      <c r="T5296">
        <v>32279</v>
      </c>
      <c r="U5296">
        <v>36031</v>
      </c>
      <c r="V5296" t="s">
        <v>37</v>
      </c>
    </row>
    <row r="5297" spans="1:22">
      <c r="A5297" t="str">
        <f t="shared" si="963"/>
        <v>26/03/2026</v>
      </c>
      <c r="B5297" t="str">
        <f t="shared" si="964"/>
        <v>SAÍDA</v>
      </c>
      <c r="C5297" t="str">
        <f t="shared" si="957"/>
        <v>PIX</v>
      </c>
      <c r="D5297" t="str">
        <f>"36031"</f>
        <v>36031</v>
      </c>
      <c r="E5297" t="str">
        <f t="shared" si="962"/>
        <v>1</v>
      </c>
      <c r="F5297" t="str">
        <f t="shared" si="960"/>
        <v>COM</v>
      </c>
      <c r="G5297" t="str">
        <f>"RICHARD HENRIQUE DA SILVA (244)"</f>
        <v>RICHARD HENRIQUE DA SILVA (244)</v>
      </c>
      <c r="H5297" t="s">
        <v>1423</v>
      </c>
      <c r="I5297" t="str">
        <f t="shared" si="965"/>
        <v>26/03/2026</v>
      </c>
      <c r="J5297" t="str">
        <f t="shared" si="961"/>
        <v>23/03/2026</v>
      </c>
      <c r="K5297">
        <v>46107</v>
      </c>
      <c r="N5297">
        <v>109</v>
      </c>
      <c r="O5297" t="s">
        <v>27</v>
      </c>
      <c r="Q5297">
        <v>1200</v>
      </c>
      <c r="R5297" t="str">
        <f>"DROGARIA POUPA MINAS (ULTRAMINAS) 1 (10181)"</f>
        <v>DROGARIA POUPA MINAS (ULTRAMINAS) 1 (10181)</v>
      </c>
      <c r="S5297" t="s">
        <v>37</v>
      </c>
      <c r="T5297">
        <v>32279</v>
      </c>
      <c r="U5297">
        <v>36031</v>
      </c>
      <c r="V5297" t="s">
        <v>37</v>
      </c>
    </row>
    <row r="5298" spans="1:22">
      <c r="A5298" t="str">
        <f t="shared" si="963"/>
        <v>26/03/2026</v>
      </c>
      <c r="B5298" t="str">
        <f t="shared" si="964"/>
        <v>SAÍDA</v>
      </c>
      <c r="C5298" t="str">
        <f t="shared" si="957"/>
        <v>PIX</v>
      </c>
      <c r="D5298" t="str">
        <f>"36032"</f>
        <v>36032</v>
      </c>
      <c r="E5298" t="str">
        <f t="shared" si="962"/>
        <v>1</v>
      </c>
      <c r="F5298" t="str">
        <f t="shared" si="960"/>
        <v>COM</v>
      </c>
      <c r="G5298" t="str">
        <f>"THALES VINÍCIUS RODRIGUES DE OLIVEIRA (704)"</f>
        <v>THALES VINÍCIUS RODRIGUES DE OLIVEIRA (704)</v>
      </c>
      <c r="H5298" t="str">
        <f>"Serv.Prest. 16/03/2026 a 22/03/2026 - PIX: CELULAR - CHAVE: (37) 99138-1777"</f>
        <v>Serv.Prest. 16/03/2026 a 22/03/2026 - PIX: CELULAR - CHAVE: (37) 99138-1777</v>
      </c>
      <c r="I5298" t="str">
        <f t="shared" si="965"/>
        <v>26/03/2026</v>
      </c>
      <c r="J5298" t="str">
        <f t="shared" si="961"/>
        <v>23/03/2026</v>
      </c>
      <c r="K5298" t="str">
        <f>("26/03/2026")</f>
        <v>26/03/2026</v>
      </c>
      <c r="L5298">
        <v>900</v>
      </c>
      <c r="M5298">
        <v>900</v>
      </c>
      <c r="N5298">
        <v>109</v>
      </c>
      <c r="O5298" t="str">
        <f>"PAGAMENTO DE ENTREGADORES"</f>
        <v>PAGAMENTO DE ENTREGADORES</v>
      </c>
      <c r="P5298">
        <v>900</v>
      </c>
      <c r="S5298" t="str">
        <f>"BANCO C6 (149)"</f>
        <v>BANCO C6 (149)</v>
      </c>
      <c r="T5298">
        <v>32280</v>
      </c>
      <c r="U5298">
        <v>36032</v>
      </c>
      <c r="V5298" t="s">
        <v>37</v>
      </c>
    </row>
    <row r="5299" spans="1:22">
      <c r="A5299" t="str">
        <f t="shared" si="963"/>
        <v>26/03/2026</v>
      </c>
      <c r="B5299" t="str">
        <f t="shared" si="964"/>
        <v>SAÍDA</v>
      </c>
      <c r="C5299" t="str">
        <f t="shared" si="957"/>
        <v>PIX</v>
      </c>
      <c r="D5299" t="str">
        <f>"36032"</f>
        <v>36032</v>
      </c>
      <c r="E5299" t="str">
        <f t="shared" si="962"/>
        <v>1</v>
      </c>
      <c r="F5299" t="str">
        <f t="shared" si="960"/>
        <v>COM</v>
      </c>
      <c r="G5299" t="str">
        <f>"THALES VINÍCIUS RODRIGUES DE OLIVEIRA (704)"</f>
        <v>THALES VINÍCIUS RODRIGUES DE OLIVEIRA (704)</v>
      </c>
      <c r="H5299" t="s">
        <v>1424</v>
      </c>
      <c r="I5299" t="str">
        <f t="shared" si="965"/>
        <v>26/03/2026</v>
      </c>
      <c r="J5299" t="str">
        <f t="shared" si="961"/>
        <v>23/03/2026</v>
      </c>
      <c r="K5299">
        <v>46107</v>
      </c>
      <c r="N5299">
        <v>109</v>
      </c>
      <c r="O5299" t="s">
        <v>27</v>
      </c>
      <c r="Q5299">
        <v>900</v>
      </c>
      <c r="R5299" t="str">
        <f>"DROGARIA POUPA MINAS (ULTRAMINAS) 1 (10181)"</f>
        <v>DROGARIA POUPA MINAS (ULTRAMINAS) 1 (10181)</v>
      </c>
      <c r="S5299" t="s">
        <v>37</v>
      </c>
      <c r="T5299">
        <v>32280</v>
      </c>
      <c r="U5299">
        <v>36032</v>
      </c>
      <c r="V5299" t="s">
        <v>37</v>
      </c>
    </row>
    <row r="5300" spans="1:22">
      <c r="A5300" t="str">
        <f t="shared" si="963"/>
        <v>26/03/2026</v>
      </c>
      <c r="B5300" t="str">
        <f t="shared" si="964"/>
        <v>SAÍDA</v>
      </c>
      <c r="C5300" t="str">
        <f t="shared" si="957"/>
        <v>PIX</v>
      </c>
      <c r="D5300" t="str">
        <f>"36033"</f>
        <v>36033</v>
      </c>
      <c r="E5300" t="str">
        <f t="shared" si="962"/>
        <v>1</v>
      </c>
      <c r="F5300" t="str">
        <f t="shared" si="960"/>
        <v>COM</v>
      </c>
      <c r="G5300" t="str">
        <f>"TIAGO VIEIRA (372)"</f>
        <v>TIAGO VIEIRA (372)</v>
      </c>
      <c r="H5300" t="str">
        <f>"Serv.Prest. 16/03/2026 a 22/03/2026 - PIX: CELULAR - CHAVE: (37) 98841-8571"</f>
        <v>Serv.Prest. 16/03/2026 a 22/03/2026 - PIX: CELULAR - CHAVE: (37) 98841-8571</v>
      </c>
      <c r="I5300" t="str">
        <f t="shared" si="965"/>
        <v>26/03/2026</v>
      </c>
      <c r="J5300" t="str">
        <f t="shared" si="961"/>
        <v>23/03/2026</v>
      </c>
      <c r="K5300" t="str">
        <f>("26/03/2026")</f>
        <v>26/03/2026</v>
      </c>
      <c r="L5300">
        <v>840</v>
      </c>
      <c r="M5300">
        <v>840</v>
      </c>
      <c r="N5300">
        <v>109</v>
      </c>
      <c r="O5300" t="str">
        <f>"PAGAMENTO DE ENTREGADORES"</f>
        <v>PAGAMENTO DE ENTREGADORES</v>
      </c>
      <c r="P5300">
        <v>840</v>
      </c>
      <c r="S5300" t="str">
        <f>"BANCO C6 (149)"</f>
        <v>BANCO C6 (149)</v>
      </c>
      <c r="T5300">
        <v>32281</v>
      </c>
      <c r="U5300">
        <v>36033</v>
      </c>
      <c r="V5300" t="s">
        <v>37</v>
      </c>
    </row>
    <row r="5301" spans="1:22">
      <c r="A5301" t="str">
        <f t="shared" si="963"/>
        <v>26/03/2026</v>
      </c>
      <c r="B5301" t="str">
        <f t="shared" si="964"/>
        <v>SAÍDA</v>
      </c>
      <c r="C5301" t="str">
        <f t="shared" si="957"/>
        <v>PIX</v>
      </c>
      <c r="D5301" t="str">
        <f>"36033"</f>
        <v>36033</v>
      </c>
      <c r="E5301" t="str">
        <f t="shared" si="962"/>
        <v>1</v>
      </c>
      <c r="F5301" t="str">
        <f t="shared" si="960"/>
        <v>COM</v>
      </c>
      <c r="G5301" t="str">
        <f>"TIAGO VIEIRA (372)"</f>
        <v>TIAGO VIEIRA (372)</v>
      </c>
      <c r="H5301" t="s">
        <v>1425</v>
      </c>
      <c r="I5301" t="str">
        <f t="shared" si="965"/>
        <v>26/03/2026</v>
      </c>
      <c r="J5301" t="str">
        <f t="shared" si="961"/>
        <v>23/03/2026</v>
      </c>
      <c r="K5301">
        <v>46107</v>
      </c>
      <c r="N5301">
        <v>109</v>
      </c>
      <c r="O5301" t="s">
        <v>27</v>
      </c>
      <c r="Q5301">
        <v>840</v>
      </c>
      <c r="R5301" t="str">
        <f>"DROGARIA POUPA MINAS (ULTRAMINAS) 1 (10181)"</f>
        <v>DROGARIA POUPA MINAS (ULTRAMINAS) 1 (10181)</v>
      </c>
      <c r="S5301" t="s">
        <v>37</v>
      </c>
      <c r="T5301">
        <v>32281</v>
      </c>
      <c r="U5301">
        <v>36033</v>
      </c>
      <c r="V5301" t="s">
        <v>37</v>
      </c>
    </row>
    <row r="5302" spans="1:22">
      <c r="A5302" t="str">
        <f t="shared" si="963"/>
        <v>26/03/2026</v>
      </c>
      <c r="B5302" t="str">
        <f t="shared" si="964"/>
        <v>SAÍDA</v>
      </c>
      <c r="C5302" t="str">
        <f t="shared" ref="C5302:C5365" si="966">"PIX"</f>
        <v>PIX</v>
      </c>
      <c r="D5302" t="str">
        <f>"36035"</f>
        <v>36035</v>
      </c>
      <c r="E5302" t="str">
        <f t="shared" si="962"/>
        <v>1</v>
      </c>
      <c r="F5302" t="str">
        <f t="shared" si="960"/>
        <v>COM</v>
      </c>
      <c r="G5302" t="str">
        <f>"ARLINDO COSTA FELIX (754)"</f>
        <v>ARLINDO COSTA FELIX (754)</v>
      </c>
      <c r="H5302" t="str">
        <f>"Serv.Prest. 16/03/2026 a 22/03/2026 - PIX: CPF - CHAVE: 103.983.366-79"</f>
        <v>Serv.Prest. 16/03/2026 a 22/03/2026 - PIX: CPF - CHAVE: 103.983.366-79</v>
      </c>
      <c r="I5302" t="str">
        <f t="shared" si="965"/>
        <v>26/03/2026</v>
      </c>
      <c r="J5302" t="str">
        <f t="shared" si="961"/>
        <v>23/03/2026</v>
      </c>
      <c r="K5302" t="str">
        <f>("26/03/2026")</f>
        <v>26/03/2026</v>
      </c>
      <c r="L5302">
        <v>1368</v>
      </c>
      <c r="M5302">
        <v>1368</v>
      </c>
      <c r="N5302">
        <v>109</v>
      </c>
      <c r="O5302" t="str">
        <f>"PAGAMENTO DE ENTREGADORES"</f>
        <v>PAGAMENTO DE ENTREGADORES</v>
      </c>
      <c r="P5302">
        <v>1368</v>
      </c>
      <c r="S5302" t="str">
        <f>"BANCO C6 (149)"</f>
        <v>BANCO C6 (149)</v>
      </c>
      <c r="T5302">
        <v>32282</v>
      </c>
      <c r="U5302">
        <v>36035</v>
      </c>
      <c r="V5302" t="s">
        <v>37</v>
      </c>
    </row>
    <row r="5303" spans="1:22">
      <c r="A5303" t="str">
        <f t="shared" si="963"/>
        <v>26/03/2026</v>
      </c>
      <c r="B5303" t="str">
        <f t="shared" si="964"/>
        <v>SAÍDA</v>
      </c>
      <c r="C5303" t="str">
        <f t="shared" si="966"/>
        <v>PIX</v>
      </c>
      <c r="D5303" t="str">
        <f>"36035"</f>
        <v>36035</v>
      </c>
      <c r="E5303" t="str">
        <f t="shared" si="962"/>
        <v>1</v>
      </c>
      <c r="F5303" t="str">
        <f t="shared" si="960"/>
        <v>COM</v>
      </c>
      <c r="G5303" t="str">
        <f>"ARLINDO COSTA FELIX (754)"</f>
        <v>ARLINDO COSTA FELIX (754)</v>
      </c>
      <c r="H5303" t="s">
        <v>1426</v>
      </c>
      <c r="I5303" t="str">
        <f t="shared" si="965"/>
        <v>26/03/2026</v>
      </c>
      <c r="J5303" t="str">
        <f t="shared" si="961"/>
        <v>23/03/2026</v>
      </c>
      <c r="K5303">
        <v>46107</v>
      </c>
      <c r="N5303">
        <v>109</v>
      </c>
      <c r="O5303" t="s">
        <v>27</v>
      </c>
      <c r="Q5303">
        <v>1368</v>
      </c>
      <c r="R5303" t="str">
        <f>"ENTREFARMA (10164)"</f>
        <v>ENTREFARMA (10164)</v>
      </c>
      <c r="S5303" t="s">
        <v>37</v>
      </c>
      <c r="T5303">
        <v>32282</v>
      </c>
      <c r="U5303">
        <v>36035</v>
      </c>
      <c r="V5303" t="s">
        <v>37</v>
      </c>
    </row>
    <row r="5304" spans="1:22">
      <c r="A5304" t="str">
        <f t="shared" si="963"/>
        <v>26/03/2026</v>
      </c>
      <c r="B5304" t="str">
        <f t="shared" si="964"/>
        <v>SAÍDA</v>
      </c>
      <c r="C5304" t="str">
        <f t="shared" si="966"/>
        <v>PIX</v>
      </c>
      <c r="D5304" t="str">
        <f>"36036"</f>
        <v>36036</v>
      </c>
      <c r="E5304" t="str">
        <f t="shared" si="962"/>
        <v>1</v>
      </c>
      <c r="F5304" t="str">
        <f t="shared" si="960"/>
        <v>COM</v>
      </c>
      <c r="G5304" t="str">
        <f>"BRENO IAGO ALVES SILVA (706)"</f>
        <v>BRENO IAGO ALVES SILVA (706)</v>
      </c>
      <c r="H5304" t="str">
        <f>"Serv.Prest. 16/03/2026 a 22/03/2026 - PIX: CELULAR - CHAVE: (31) 99181-6538"</f>
        <v>Serv.Prest. 16/03/2026 a 22/03/2026 - PIX: CELULAR - CHAVE: (31) 99181-6538</v>
      </c>
      <c r="I5304" t="str">
        <f t="shared" si="965"/>
        <v>26/03/2026</v>
      </c>
      <c r="J5304" t="str">
        <f t="shared" si="961"/>
        <v>23/03/2026</v>
      </c>
      <c r="K5304" t="str">
        <f>("26/03/2026")</f>
        <v>26/03/2026</v>
      </c>
      <c r="L5304">
        <v>1134</v>
      </c>
      <c r="M5304">
        <v>1134</v>
      </c>
      <c r="N5304">
        <v>109</v>
      </c>
      <c r="O5304" t="str">
        <f>"PAGAMENTO DE ENTREGADORES"</f>
        <v>PAGAMENTO DE ENTREGADORES</v>
      </c>
      <c r="P5304">
        <v>1134</v>
      </c>
      <c r="S5304" t="str">
        <f>"BANCO C6 (149)"</f>
        <v>BANCO C6 (149)</v>
      </c>
      <c r="T5304">
        <v>32283</v>
      </c>
      <c r="U5304">
        <v>36036</v>
      </c>
      <c r="V5304" t="s">
        <v>37</v>
      </c>
    </row>
    <row r="5305" spans="1:22">
      <c r="A5305" t="str">
        <f t="shared" si="963"/>
        <v>26/03/2026</v>
      </c>
      <c r="B5305" t="str">
        <f t="shared" si="964"/>
        <v>SAÍDA</v>
      </c>
      <c r="C5305" t="str">
        <f t="shared" si="966"/>
        <v>PIX</v>
      </c>
      <c r="D5305" t="str">
        <f>"36036"</f>
        <v>36036</v>
      </c>
      <c r="E5305" t="str">
        <f t="shared" si="962"/>
        <v>1</v>
      </c>
      <c r="F5305" t="str">
        <f t="shared" si="960"/>
        <v>COM</v>
      </c>
      <c r="G5305" t="str">
        <f>"BRENO IAGO ALVES SILVA (706)"</f>
        <v>BRENO IAGO ALVES SILVA (706)</v>
      </c>
      <c r="H5305" t="s">
        <v>1427</v>
      </c>
      <c r="I5305" t="str">
        <f t="shared" si="965"/>
        <v>26/03/2026</v>
      </c>
      <c r="J5305" t="str">
        <f t="shared" si="961"/>
        <v>23/03/2026</v>
      </c>
      <c r="K5305">
        <v>46107</v>
      </c>
      <c r="N5305">
        <v>109</v>
      </c>
      <c r="O5305" t="s">
        <v>27</v>
      </c>
      <c r="Q5305">
        <v>1134</v>
      </c>
      <c r="R5305" t="str">
        <f>"ENTREFARMA (10164)"</f>
        <v>ENTREFARMA (10164)</v>
      </c>
      <c r="S5305" t="s">
        <v>37</v>
      </c>
      <c r="T5305">
        <v>32283</v>
      </c>
      <c r="U5305">
        <v>36036</v>
      </c>
      <c r="V5305" t="s">
        <v>37</v>
      </c>
    </row>
    <row r="5306" spans="1:22">
      <c r="A5306" t="str">
        <f t="shared" si="963"/>
        <v>26/03/2026</v>
      </c>
      <c r="B5306" t="str">
        <f t="shared" si="964"/>
        <v>SAÍDA</v>
      </c>
      <c r="C5306" t="str">
        <f t="shared" si="966"/>
        <v>PIX</v>
      </c>
      <c r="D5306" t="str">
        <f>"36037"</f>
        <v>36037</v>
      </c>
      <c r="E5306" t="str">
        <f t="shared" si="962"/>
        <v>1</v>
      </c>
      <c r="F5306" t="str">
        <f t="shared" si="960"/>
        <v>COM</v>
      </c>
      <c r="G5306" t="str">
        <f>"LEONICIO CORREA DA SILVA (716)"</f>
        <v>LEONICIO CORREA DA SILVA (716)</v>
      </c>
      <c r="H5306" t="str">
        <f>"Serv.Prest. 16/03/2026 a 22/03/2026 - PIX: CPF - CHAVE: 138.263.636-98"</f>
        <v>Serv.Prest. 16/03/2026 a 22/03/2026 - PIX: CPF - CHAVE: 138.263.636-98</v>
      </c>
      <c r="I5306" t="str">
        <f t="shared" si="965"/>
        <v>26/03/2026</v>
      </c>
      <c r="J5306" t="str">
        <f t="shared" si="961"/>
        <v>23/03/2026</v>
      </c>
      <c r="K5306" t="str">
        <f>("26/03/2026")</f>
        <v>26/03/2026</v>
      </c>
      <c r="L5306">
        <v>2040</v>
      </c>
      <c r="M5306">
        <v>2040</v>
      </c>
      <c r="N5306">
        <v>109</v>
      </c>
      <c r="O5306" t="str">
        <f>"PAGAMENTO DE ENTREGADORES"</f>
        <v>PAGAMENTO DE ENTREGADORES</v>
      </c>
      <c r="P5306">
        <v>2040</v>
      </c>
      <c r="S5306" t="str">
        <f>"BANCO C6 (149)"</f>
        <v>BANCO C6 (149)</v>
      </c>
      <c r="T5306">
        <v>32284</v>
      </c>
      <c r="U5306">
        <v>36037</v>
      </c>
      <c r="V5306" t="s">
        <v>37</v>
      </c>
    </row>
    <row r="5307" spans="1:22">
      <c r="A5307" t="str">
        <f t="shared" si="963"/>
        <v>26/03/2026</v>
      </c>
      <c r="B5307" t="str">
        <f t="shared" si="964"/>
        <v>SAÍDA</v>
      </c>
      <c r="C5307" t="str">
        <f t="shared" si="966"/>
        <v>PIX</v>
      </c>
      <c r="D5307" t="str">
        <f>"36037"</f>
        <v>36037</v>
      </c>
      <c r="E5307" t="str">
        <f t="shared" si="962"/>
        <v>1</v>
      </c>
      <c r="F5307" t="str">
        <f t="shared" si="960"/>
        <v>COM</v>
      </c>
      <c r="G5307" t="str">
        <f>"LEONICIO CORREA DA SILVA (716)"</f>
        <v>LEONICIO CORREA DA SILVA (716)</v>
      </c>
      <c r="H5307" t="s">
        <v>1428</v>
      </c>
      <c r="I5307" t="str">
        <f t="shared" si="965"/>
        <v>26/03/2026</v>
      </c>
      <c r="J5307" t="str">
        <f t="shared" si="961"/>
        <v>23/03/2026</v>
      </c>
      <c r="K5307">
        <v>46107</v>
      </c>
      <c r="N5307">
        <v>109</v>
      </c>
      <c r="O5307" t="s">
        <v>27</v>
      </c>
      <c r="Q5307">
        <v>2040</v>
      </c>
      <c r="R5307" t="str">
        <f>"ENTREFARMA (10164)"</f>
        <v>ENTREFARMA (10164)</v>
      </c>
      <c r="S5307" t="s">
        <v>37</v>
      </c>
      <c r="T5307">
        <v>32284</v>
      </c>
      <c r="U5307">
        <v>36037</v>
      </c>
      <c r="V5307" t="s">
        <v>37</v>
      </c>
    </row>
    <row r="5308" spans="1:22">
      <c r="A5308" t="str">
        <f t="shared" si="963"/>
        <v>26/03/2026</v>
      </c>
      <c r="B5308" t="str">
        <f t="shared" si="964"/>
        <v>SAÍDA</v>
      </c>
      <c r="C5308" t="str">
        <f t="shared" si="966"/>
        <v>PIX</v>
      </c>
      <c r="D5308" t="str">
        <f>"36038"</f>
        <v>36038</v>
      </c>
      <c r="E5308" t="str">
        <f t="shared" si="962"/>
        <v>1</v>
      </c>
      <c r="F5308" t="str">
        <f t="shared" si="960"/>
        <v>COM</v>
      </c>
      <c r="G5308" t="str">
        <f>"SADRAK ENOKES BORGES (725)"</f>
        <v>SADRAK ENOKES BORGES (725)</v>
      </c>
      <c r="H5308" t="str">
        <f>"Serv.Prest. 16/03/2026 a 22/03/2026 - PIX: CPF - CHAVE: 128.367.756-37"</f>
        <v>Serv.Prest. 16/03/2026 a 22/03/2026 - PIX: CPF - CHAVE: 128.367.756-37</v>
      </c>
      <c r="I5308" t="str">
        <f t="shared" si="965"/>
        <v>26/03/2026</v>
      </c>
      <c r="J5308" t="str">
        <f t="shared" si="961"/>
        <v>23/03/2026</v>
      </c>
      <c r="K5308" t="str">
        <f>("26/03/2026")</f>
        <v>26/03/2026</v>
      </c>
      <c r="L5308">
        <v>816</v>
      </c>
      <c r="M5308">
        <v>816</v>
      </c>
      <c r="N5308">
        <v>109</v>
      </c>
      <c r="O5308" t="str">
        <f>"PAGAMENTO DE ENTREGADORES"</f>
        <v>PAGAMENTO DE ENTREGADORES</v>
      </c>
      <c r="P5308">
        <v>816</v>
      </c>
      <c r="S5308" t="str">
        <f>"BANCO C6 (149)"</f>
        <v>BANCO C6 (149)</v>
      </c>
      <c r="T5308">
        <v>32285</v>
      </c>
      <c r="U5308">
        <v>36038</v>
      </c>
      <c r="V5308" t="s">
        <v>37</v>
      </c>
    </row>
    <row r="5309" spans="1:22">
      <c r="A5309" t="str">
        <f t="shared" si="963"/>
        <v>26/03/2026</v>
      </c>
      <c r="B5309" t="str">
        <f t="shared" si="964"/>
        <v>SAÍDA</v>
      </c>
      <c r="C5309" t="str">
        <f t="shared" si="966"/>
        <v>PIX</v>
      </c>
      <c r="D5309" t="str">
        <f>"36038"</f>
        <v>36038</v>
      </c>
      <c r="E5309" t="str">
        <f t="shared" si="962"/>
        <v>1</v>
      </c>
      <c r="F5309" t="str">
        <f t="shared" si="960"/>
        <v>COM</v>
      </c>
      <c r="G5309" t="str">
        <f>"SADRAK ENOKES BORGES (725)"</f>
        <v>SADRAK ENOKES BORGES (725)</v>
      </c>
      <c r="H5309" t="s">
        <v>1429</v>
      </c>
      <c r="I5309" t="str">
        <f t="shared" si="965"/>
        <v>26/03/2026</v>
      </c>
      <c r="J5309" t="str">
        <f t="shared" si="961"/>
        <v>23/03/2026</v>
      </c>
      <c r="K5309">
        <v>46107</v>
      </c>
      <c r="N5309">
        <v>109</v>
      </c>
      <c r="O5309" t="s">
        <v>27</v>
      </c>
      <c r="Q5309">
        <v>816</v>
      </c>
      <c r="R5309" t="str">
        <f>"ENTREFARMA (10164)"</f>
        <v>ENTREFARMA (10164)</v>
      </c>
      <c r="S5309" t="s">
        <v>37</v>
      </c>
      <c r="T5309">
        <v>32285</v>
      </c>
      <c r="U5309">
        <v>36038</v>
      </c>
      <c r="V5309" t="s">
        <v>37</v>
      </c>
    </row>
    <row r="5310" spans="1:22">
      <c r="A5310" t="str">
        <f t="shared" si="963"/>
        <v>26/03/2026</v>
      </c>
      <c r="B5310" t="str">
        <f t="shared" si="964"/>
        <v>SAÍDA</v>
      </c>
      <c r="C5310" t="str">
        <f t="shared" si="966"/>
        <v>PIX</v>
      </c>
      <c r="D5310" t="str">
        <f>"36040"</f>
        <v>36040</v>
      </c>
      <c r="E5310" t="str">
        <f t="shared" si="962"/>
        <v>1</v>
      </c>
      <c r="F5310" t="str">
        <f t="shared" si="960"/>
        <v>COM</v>
      </c>
      <c r="G5310" t="str">
        <f>"EDUARDO COSTA DA SILVA (721)"</f>
        <v>EDUARDO COSTA DA SILVA (721)</v>
      </c>
      <c r="H5310" t="str">
        <f>"Serv.Prest. 16/03/2026 a 22/03/2026 - PIX: CELULAR - CHAVE: (11) 95552-9905"</f>
        <v>Serv.Prest. 16/03/2026 a 22/03/2026 - PIX: CELULAR - CHAVE: (11) 95552-9905</v>
      </c>
      <c r="I5310" t="str">
        <f t="shared" si="965"/>
        <v>26/03/2026</v>
      </c>
      <c r="J5310" t="str">
        <f t="shared" si="961"/>
        <v>23/03/2026</v>
      </c>
      <c r="K5310" t="str">
        <f>("26/03/2026")</f>
        <v>26/03/2026</v>
      </c>
      <c r="L5310">
        <v>1083.5999999999999</v>
      </c>
      <c r="M5310">
        <v>1083.5999999999999</v>
      </c>
      <c r="N5310">
        <v>109</v>
      </c>
      <c r="O5310" t="str">
        <f>"PAGAMENTO DE ENTREGADORES"</f>
        <v>PAGAMENTO DE ENTREGADORES</v>
      </c>
      <c r="P5310">
        <v>1083.5999999999999</v>
      </c>
      <c r="S5310" t="str">
        <f>"BANCO C6 (149)"</f>
        <v>BANCO C6 (149)</v>
      </c>
      <c r="T5310">
        <v>32286</v>
      </c>
      <c r="U5310">
        <v>36040</v>
      </c>
      <c r="V5310" t="s">
        <v>37</v>
      </c>
    </row>
    <row r="5311" spans="1:22">
      <c r="A5311" t="str">
        <f t="shared" si="963"/>
        <v>26/03/2026</v>
      </c>
      <c r="B5311" t="str">
        <f t="shared" si="964"/>
        <v>SAÍDA</v>
      </c>
      <c r="C5311" t="str">
        <f t="shared" si="966"/>
        <v>PIX</v>
      </c>
      <c r="D5311" t="str">
        <f>"36040"</f>
        <v>36040</v>
      </c>
      <c r="E5311" t="str">
        <f t="shared" si="962"/>
        <v>1</v>
      </c>
      <c r="F5311" t="str">
        <f t="shared" si="960"/>
        <v>COM</v>
      </c>
      <c r="G5311" t="str">
        <f>"EDUARDO COSTA DA SILVA (721)"</f>
        <v>EDUARDO COSTA DA SILVA (721)</v>
      </c>
      <c r="H5311" t="s">
        <v>1430</v>
      </c>
      <c r="I5311" t="str">
        <f t="shared" si="965"/>
        <v>26/03/2026</v>
      </c>
      <c r="J5311" t="str">
        <f t="shared" si="961"/>
        <v>23/03/2026</v>
      </c>
      <c r="K5311">
        <v>46107</v>
      </c>
      <c r="N5311">
        <v>109</v>
      </c>
      <c r="O5311" t="s">
        <v>27</v>
      </c>
      <c r="Q5311">
        <v>1083.5999999999999</v>
      </c>
      <c r="R5311" t="str">
        <f>"DROGARIA AGAPEAMA (10167)"</f>
        <v>DROGARIA AGAPEAMA (10167)</v>
      </c>
      <c r="S5311" t="s">
        <v>37</v>
      </c>
      <c r="T5311">
        <v>32286</v>
      </c>
      <c r="U5311">
        <v>36040</v>
      </c>
      <c r="V5311" t="s">
        <v>37</v>
      </c>
    </row>
    <row r="5312" spans="1:22">
      <c r="A5312" t="str">
        <f t="shared" si="963"/>
        <v>26/03/2026</v>
      </c>
      <c r="B5312" t="str">
        <f t="shared" si="964"/>
        <v>SAÍDA</v>
      </c>
      <c r="C5312" t="str">
        <f t="shared" si="966"/>
        <v>PIX</v>
      </c>
      <c r="D5312" t="str">
        <f>"36041"</f>
        <v>36041</v>
      </c>
      <c r="E5312" t="str">
        <f t="shared" si="962"/>
        <v>1</v>
      </c>
      <c r="F5312" t="str">
        <f t="shared" si="960"/>
        <v>COM</v>
      </c>
      <c r="G5312" t="str">
        <f>"GUILHERME DA SILVA GOMES (901)"</f>
        <v>GUILHERME DA SILVA GOMES (901)</v>
      </c>
      <c r="H5312" t="str">
        <f>"Serv.Prest. 16/03/2026 a 22/03/2026 - PIX: CPF - CHAVE: 505.341.528-56"</f>
        <v>Serv.Prest. 16/03/2026 a 22/03/2026 - PIX: CPF - CHAVE: 505.341.528-56</v>
      </c>
      <c r="I5312" t="str">
        <f t="shared" si="965"/>
        <v>26/03/2026</v>
      </c>
      <c r="J5312" t="str">
        <f t="shared" si="961"/>
        <v>23/03/2026</v>
      </c>
      <c r="K5312" t="str">
        <f>("26/03/2026")</f>
        <v>26/03/2026</v>
      </c>
      <c r="L5312">
        <v>844.2</v>
      </c>
      <c r="M5312">
        <v>844.2</v>
      </c>
      <c r="N5312">
        <v>109</v>
      </c>
      <c r="O5312" t="str">
        <f>"PAGAMENTO DE ENTREGADORES"</f>
        <v>PAGAMENTO DE ENTREGADORES</v>
      </c>
      <c r="P5312">
        <v>844.2</v>
      </c>
      <c r="S5312" t="str">
        <f>"BANCO C6 (149)"</f>
        <v>BANCO C6 (149)</v>
      </c>
      <c r="T5312">
        <v>32287</v>
      </c>
      <c r="U5312">
        <v>36041</v>
      </c>
      <c r="V5312" t="s">
        <v>37</v>
      </c>
    </row>
    <row r="5313" spans="1:22">
      <c r="A5313" t="str">
        <f t="shared" si="963"/>
        <v>26/03/2026</v>
      </c>
      <c r="B5313" t="str">
        <f t="shared" si="964"/>
        <v>SAÍDA</v>
      </c>
      <c r="C5313" t="str">
        <f t="shared" si="966"/>
        <v>PIX</v>
      </c>
      <c r="D5313" t="str">
        <f>"36041"</f>
        <v>36041</v>
      </c>
      <c r="E5313" t="str">
        <f t="shared" si="962"/>
        <v>1</v>
      </c>
      <c r="F5313" t="str">
        <f t="shared" si="960"/>
        <v>COM</v>
      </c>
      <c r="G5313" t="str">
        <f>"GUILHERME DA SILVA GOMES (901)"</f>
        <v>GUILHERME DA SILVA GOMES (901)</v>
      </c>
      <c r="H5313" t="s">
        <v>1431</v>
      </c>
      <c r="I5313" t="str">
        <f t="shared" si="965"/>
        <v>26/03/2026</v>
      </c>
      <c r="J5313" t="str">
        <f t="shared" si="961"/>
        <v>23/03/2026</v>
      </c>
      <c r="K5313">
        <v>46107</v>
      </c>
      <c r="N5313">
        <v>109</v>
      </c>
      <c r="O5313" t="s">
        <v>27</v>
      </c>
      <c r="Q5313">
        <v>844.2</v>
      </c>
      <c r="R5313" t="str">
        <f>"DROGARIA AGAPEAMA (10167)"</f>
        <v>DROGARIA AGAPEAMA (10167)</v>
      </c>
      <c r="S5313" t="s">
        <v>37</v>
      </c>
      <c r="T5313">
        <v>32287</v>
      </c>
      <c r="U5313">
        <v>36041</v>
      </c>
      <c r="V5313" t="s">
        <v>37</v>
      </c>
    </row>
    <row r="5314" spans="1:22">
      <c r="A5314" t="str">
        <f t="shared" si="963"/>
        <v>26/03/2026</v>
      </c>
      <c r="B5314" t="str">
        <f t="shared" si="964"/>
        <v>SAÍDA</v>
      </c>
      <c r="C5314" t="str">
        <f t="shared" si="966"/>
        <v>PIX</v>
      </c>
      <c r="D5314" t="str">
        <f>"36042"</f>
        <v>36042</v>
      </c>
      <c r="E5314" t="str">
        <f t="shared" si="962"/>
        <v>1</v>
      </c>
      <c r="F5314" t="str">
        <f t="shared" ref="F5314:F5377" si="967">"COM"</f>
        <v>COM</v>
      </c>
      <c r="G5314" t="str">
        <f>"WESLEY RICARDO DE OLIVEIRA (722)"</f>
        <v>WESLEY RICARDO DE OLIVEIRA (722)</v>
      </c>
      <c r="H5314" t="str">
        <f>"Serv.Prest. 16/03/2026 a 22/03/2026 - PIX: CELULAR - CHAVE: (11) 91214-6176"</f>
        <v>Serv.Prest. 16/03/2026 a 22/03/2026 - PIX: CELULAR - CHAVE: (11) 91214-6176</v>
      </c>
      <c r="I5314" t="str">
        <f t="shared" si="965"/>
        <v>26/03/2026</v>
      </c>
      <c r="J5314" t="str">
        <f t="shared" si="961"/>
        <v>23/03/2026</v>
      </c>
      <c r="K5314" t="str">
        <f>("26/03/2026")</f>
        <v>26/03/2026</v>
      </c>
      <c r="L5314">
        <v>1008</v>
      </c>
      <c r="M5314">
        <v>1008</v>
      </c>
      <c r="N5314">
        <v>109</v>
      </c>
      <c r="O5314" t="str">
        <f>"PAGAMENTO DE ENTREGADORES"</f>
        <v>PAGAMENTO DE ENTREGADORES</v>
      </c>
      <c r="P5314">
        <v>1008</v>
      </c>
      <c r="S5314" t="str">
        <f>"BANCO C6 (149)"</f>
        <v>BANCO C6 (149)</v>
      </c>
      <c r="T5314">
        <v>32288</v>
      </c>
      <c r="U5314">
        <v>36042</v>
      </c>
      <c r="V5314" t="s">
        <v>37</v>
      </c>
    </row>
    <row r="5315" spans="1:22">
      <c r="A5315" t="str">
        <f t="shared" si="963"/>
        <v>26/03/2026</v>
      </c>
      <c r="B5315" t="str">
        <f t="shared" si="964"/>
        <v>SAÍDA</v>
      </c>
      <c r="C5315" t="str">
        <f t="shared" si="966"/>
        <v>PIX</v>
      </c>
      <c r="D5315" t="str">
        <f>"36042"</f>
        <v>36042</v>
      </c>
      <c r="E5315" t="str">
        <f t="shared" si="962"/>
        <v>1</v>
      </c>
      <c r="F5315" t="str">
        <f t="shared" si="967"/>
        <v>COM</v>
      </c>
      <c r="G5315" t="str">
        <f>"WESLEY RICARDO DE OLIVEIRA (722)"</f>
        <v>WESLEY RICARDO DE OLIVEIRA (722)</v>
      </c>
      <c r="H5315" t="s">
        <v>1432</v>
      </c>
      <c r="I5315" t="str">
        <f t="shared" si="965"/>
        <v>26/03/2026</v>
      </c>
      <c r="J5315" t="str">
        <f t="shared" si="961"/>
        <v>23/03/2026</v>
      </c>
      <c r="K5315">
        <v>46107</v>
      </c>
      <c r="N5315">
        <v>109</v>
      </c>
      <c r="O5315" t="s">
        <v>27</v>
      </c>
      <c r="Q5315">
        <v>1008</v>
      </c>
      <c r="R5315" t="str">
        <f>"DROGARIA AGAPEAMA (10167)"</f>
        <v>DROGARIA AGAPEAMA (10167)</v>
      </c>
      <c r="S5315" t="s">
        <v>37</v>
      </c>
      <c r="T5315">
        <v>32288</v>
      </c>
      <c r="U5315">
        <v>36042</v>
      </c>
      <c r="V5315" t="s">
        <v>37</v>
      </c>
    </row>
    <row r="5316" spans="1:22">
      <c r="A5316" t="str">
        <f t="shared" si="963"/>
        <v>26/03/2026</v>
      </c>
      <c r="B5316" t="str">
        <f t="shared" si="964"/>
        <v>SAÍDA</v>
      </c>
      <c r="C5316" t="str">
        <f t="shared" si="966"/>
        <v>PIX</v>
      </c>
      <c r="D5316" t="str">
        <f>"36044"</f>
        <v>36044</v>
      </c>
      <c r="E5316" t="str">
        <f t="shared" si="962"/>
        <v>1</v>
      </c>
      <c r="F5316" t="str">
        <f t="shared" si="967"/>
        <v>COM</v>
      </c>
      <c r="G5316" t="str">
        <f>"ALEXSANDRO HENRIQUE FERREIRA (808)"</f>
        <v>ALEXSANDRO HENRIQUE FERREIRA (808)</v>
      </c>
      <c r="H5316" t="str">
        <f>"Serv.Prest. 16/03/2026 a 22/03/2026 - PIX: CPF - CHAVE: 157.591.436-03"</f>
        <v>Serv.Prest. 16/03/2026 a 22/03/2026 - PIX: CPF - CHAVE: 157.591.436-03</v>
      </c>
      <c r="I5316" t="str">
        <f t="shared" si="965"/>
        <v>26/03/2026</v>
      </c>
      <c r="J5316" t="str">
        <f t="shared" si="961"/>
        <v>23/03/2026</v>
      </c>
      <c r="K5316" t="str">
        <f>("26/03/2026")</f>
        <v>26/03/2026</v>
      </c>
      <c r="L5316">
        <v>904.05</v>
      </c>
      <c r="M5316">
        <v>904.05</v>
      </c>
      <c r="N5316">
        <v>109</v>
      </c>
      <c r="O5316" t="str">
        <f>"PAGAMENTO DE ENTREGADORES"</f>
        <v>PAGAMENTO DE ENTREGADORES</v>
      </c>
      <c r="P5316">
        <v>904.05</v>
      </c>
      <c r="S5316" t="str">
        <f>"BANCO C6 (149)"</f>
        <v>BANCO C6 (149)</v>
      </c>
      <c r="T5316">
        <v>32289</v>
      </c>
      <c r="U5316">
        <v>36044</v>
      </c>
      <c r="V5316" t="s">
        <v>37</v>
      </c>
    </row>
    <row r="5317" spans="1:22">
      <c r="A5317" t="str">
        <f t="shared" si="963"/>
        <v>26/03/2026</v>
      </c>
      <c r="B5317" t="str">
        <f t="shared" si="964"/>
        <v>SAÍDA</v>
      </c>
      <c r="C5317" t="str">
        <f t="shared" si="966"/>
        <v>PIX</v>
      </c>
      <c r="D5317" t="str">
        <f>"36044"</f>
        <v>36044</v>
      </c>
      <c r="E5317" t="str">
        <f t="shared" si="962"/>
        <v>1</v>
      </c>
      <c r="F5317" t="str">
        <f t="shared" si="967"/>
        <v>COM</v>
      </c>
      <c r="G5317" t="str">
        <f>"ALEXSANDRO HENRIQUE FERREIRA (808)"</f>
        <v>ALEXSANDRO HENRIQUE FERREIRA (808)</v>
      </c>
      <c r="H5317" t="s">
        <v>1433</v>
      </c>
      <c r="I5317" t="str">
        <f t="shared" si="965"/>
        <v>26/03/2026</v>
      </c>
      <c r="J5317" t="str">
        <f t="shared" si="961"/>
        <v>23/03/2026</v>
      </c>
      <c r="K5317">
        <v>46107</v>
      </c>
      <c r="N5317">
        <v>109</v>
      </c>
      <c r="O5317" t="s">
        <v>27</v>
      </c>
      <c r="Q5317">
        <v>904.05</v>
      </c>
      <c r="R5317" t="str">
        <f>"DROGARIA ANA VISCONDE DO RIO BRANCO (10182)"</f>
        <v>DROGARIA ANA VISCONDE DO RIO BRANCO (10182)</v>
      </c>
      <c r="S5317" t="s">
        <v>37</v>
      </c>
      <c r="T5317">
        <v>32289</v>
      </c>
      <c r="U5317">
        <v>36044</v>
      </c>
      <c r="V5317" t="s">
        <v>37</v>
      </c>
    </row>
    <row r="5318" spans="1:22">
      <c r="A5318" t="str">
        <f t="shared" si="963"/>
        <v>26/03/2026</v>
      </c>
      <c r="B5318" t="str">
        <f t="shared" si="964"/>
        <v>SAÍDA</v>
      </c>
      <c r="C5318" t="str">
        <f t="shared" si="966"/>
        <v>PIX</v>
      </c>
      <c r="D5318" t="str">
        <f>"36045"</f>
        <v>36045</v>
      </c>
      <c r="E5318" t="str">
        <f t="shared" si="962"/>
        <v>1</v>
      </c>
      <c r="F5318" t="str">
        <f t="shared" si="967"/>
        <v>COM</v>
      </c>
      <c r="G5318" t="str">
        <f>"ANDERSON LUIZ SOARES (807)"</f>
        <v>ANDERSON LUIZ SOARES (807)</v>
      </c>
      <c r="H5318" t="str">
        <f>"Serv.Prest. 16/03/2026 a 22/03/2026 - PIX: CELULAR - CHAVE: (32) 99920-0416"</f>
        <v>Serv.Prest. 16/03/2026 a 22/03/2026 - PIX: CELULAR - CHAVE: (32) 99920-0416</v>
      </c>
      <c r="I5318" t="str">
        <f t="shared" si="965"/>
        <v>26/03/2026</v>
      </c>
      <c r="J5318" t="str">
        <f t="shared" si="961"/>
        <v>23/03/2026</v>
      </c>
      <c r="K5318" t="str">
        <f>("26/03/2026")</f>
        <v>26/03/2026</v>
      </c>
      <c r="L5318">
        <v>702.45</v>
      </c>
      <c r="M5318">
        <v>702.45</v>
      </c>
      <c r="N5318">
        <v>109</v>
      </c>
      <c r="O5318" t="str">
        <f>"PAGAMENTO DE ENTREGADORES"</f>
        <v>PAGAMENTO DE ENTREGADORES</v>
      </c>
      <c r="P5318">
        <v>702.45</v>
      </c>
      <c r="S5318" t="str">
        <f>"BANCO C6 (149)"</f>
        <v>BANCO C6 (149)</v>
      </c>
      <c r="T5318">
        <v>32290</v>
      </c>
      <c r="U5318">
        <v>36045</v>
      </c>
      <c r="V5318" t="s">
        <v>37</v>
      </c>
    </row>
    <row r="5319" spans="1:22">
      <c r="A5319" t="str">
        <f t="shared" si="963"/>
        <v>26/03/2026</v>
      </c>
      <c r="B5319" t="str">
        <f t="shared" si="964"/>
        <v>SAÍDA</v>
      </c>
      <c r="C5319" t="str">
        <f t="shared" si="966"/>
        <v>PIX</v>
      </c>
      <c r="D5319" t="str">
        <f>"36045"</f>
        <v>36045</v>
      </c>
      <c r="E5319" t="str">
        <f t="shared" si="962"/>
        <v>1</v>
      </c>
      <c r="F5319" t="str">
        <f t="shared" si="967"/>
        <v>COM</v>
      </c>
      <c r="G5319" t="str">
        <f>"ANDERSON LUIZ SOARES (807)"</f>
        <v>ANDERSON LUIZ SOARES (807)</v>
      </c>
      <c r="H5319" t="s">
        <v>1434</v>
      </c>
      <c r="I5319" t="str">
        <f t="shared" si="965"/>
        <v>26/03/2026</v>
      </c>
      <c r="J5319" t="str">
        <f t="shared" si="961"/>
        <v>23/03/2026</v>
      </c>
      <c r="K5319">
        <v>46107</v>
      </c>
      <c r="N5319">
        <v>109</v>
      </c>
      <c r="O5319" t="s">
        <v>27</v>
      </c>
      <c r="Q5319">
        <v>702.45</v>
      </c>
      <c r="R5319" t="str">
        <f>"DROGARIA ANA VISCONDE DO RIO BRANCO (10182)"</f>
        <v>DROGARIA ANA VISCONDE DO RIO BRANCO (10182)</v>
      </c>
      <c r="S5319" t="s">
        <v>37</v>
      </c>
      <c r="T5319">
        <v>32290</v>
      </c>
      <c r="U5319">
        <v>36045</v>
      </c>
      <c r="V5319" t="s">
        <v>37</v>
      </c>
    </row>
    <row r="5320" spans="1:22">
      <c r="A5320" t="str">
        <f t="shared" si="963"/>
        <v>26/03/2026</v>
      </c>
      <c r="B5320" t="str">
        <f t="shared" si="964"/>
        <v>SAÍDA</v>
      </c>
      <c r="C5320" t="str">
        <f t="shared" si="966"/>
        <v>PIX</v>
      </c>
      <c r="D5320" t="str">
        <f>"36046"</f>
        <v>36046</v>
      </c>
      <c r="E5320" t="str">
        <f t="shared" si="962"/>
        <v>1</v>
      </c>
      <c r="F5320" t="str">
        <f t="shared" si="967"/>
        <v>COM</v>
      </c>
      <c r="G5320" t="str">
        <f>"BRENO VIANA MONTEIRO RODRIGUES (811)"</f>
        <v>BRENO VIANA MONTEIRO RODRIGUES (811)</v>
      </c>
      <c r="H5320" t="str">
        <f>"Serv.Prest. 16/03/2026 a 22/03/2026 - PIX: CNPJ - CHAVE: 51.676.704/0001-10"</f>
        <v>Serv.Prest. 16/03/2026 a 22/03/2026 - PIX: CNPJ - CHAVE: 51.676.704/0001-10</v>
      </c>
      <c r="I5320" t="str">
        <f t="shared" si="965"/>
        <v>26/03/2026</v>
      </c>
      <c r="J5320" t="str">
        <f t="shared" si="961"/>
        <v>23/03/2026</v>
      </c>
      <c r="K5320" t="str">
        <f>("26/03/2026")</f>
        <v>26/03/2026</v>
      </c>
      <c r="L5320">
        <v>702.45</v>
      </c>
      <c r="M5320">
        <v>702.45</v>
      </c>
      <c r="N5320">
        <v>109</v>
      </c>
      <c r="O5320" t="str">
        <f>"PAGAMENTO DE ENTREGADORES"</f>
        <v>PAGAMENTO DE ENTREGADORES</v>
      </c>
      <c r="P5320">
        <v>702.45</v>
      </c>
      <c r="S5320" t="str">
        <f>"BANCO C6 (149)"</f>
        <v>BANCO C6 (149)</v>
      </c>
      <c r="T5320">
        <v>32291</v>
      </c>
      <c r="U5320">
        <v>36046</v>
      </c>
      <c r="V5320" t="s">
        <v>37</v>
      </c>
    </row>
    <row r="5321" spans="1:22">
      <c r="A5321" t="str">
        <f t="shared" si="963"/>
        <v>26/03/2026</v>
      </c>
      <c r="B5321" t="str">
        <f t="shared" si="964"/>
        <v>SAÍDA</v>
      </c>
      <c r="C5321" t="str">
        <f t="shared" si="966"/>
        <v>PIX</v>
      </c>
      <c r="D5321" t="str">
        <f>"36046"</f>
        <v>36046</v>
      </c>
      <c r="E5321" t="str">
        <f t="shared" si="962"/>
        <v>1</v>
      </c>
      <c r="F5321" t="str">
        <f t="shared" si="967"/>
        <v>COM</v>
      </c>
      <c r="G5321" t="str">
        <f>"BRENO VIANA MONTEIRO RODRIGUES (811)"</f>
        <v>BRENO VIANA MONTEIRO RODRIGUES (811)</v>
      </c>
      <c r="H5321" t="s">
        <v>1435</v>
      </c>
      <c r="I5321" t="str">
        <f t="shared" si="965"/>
        <v>26/03/2026</v>
      </c>
      <c r="J5321" t="str">
        <f t="shared" si="961"/>
        <v>23/03/2026</v>
      </c>
      <c r="K5321">
        <v>46107</v>
      </c>
      <c r="N5321">
        <v>109</v>
      </c>
      <c r="O5321" t="s">
        <v>27</v>
      </c>
      <c r="Q5321">
        <v>702.45</v>
      </c>
      <c r="R5321" t="str">
        <f>"DROGARIA ANA VISCONDE DO RIO BRANCO (10182)"</f>
        <v>DROGARIA ANA VISCONDE DO RIO BRANCO (10182)</v>
      </c>
      <c r="S5321" t="s">
        <v>37</v>
      </c>
      <c r="T5321">
        <v>32291</v>
      </c>
      <c r="U5321">
        <v>36046</v>
      </c>
      <c r="V5321" t="s">
        <v>37</v>
      </c>
    </row>
    <row r="5322" spans="1:22">
      <c r="A5322" t="str">
        <f t="shared" si="963"/>
        <v>26/03/2026</v>
      </c>
      <c r="B5322" t="str">
        <f t="shared" si="964"/>
        <v>SAÍDA</v>
      </c>
      <c r="C5322" t="str">
        <f t="shared" si="966"/>
        <v>PIX</v>
      </c>
      <c r="D5322" t="str">
        <f>"36047"</f>
        <v>36047</v>
      </c>
      <c r="E5322" t="str">
        <f t="shared" si="962"/>
        <v>1</v>
      </c>
      <c r="F5322" t="str">
        <f t="shared" si="967"/>
        <v>COM</v>
      </c>
      <c r="G5322" t="str">
        <f>"GABRIEL PACHECO DE QUEIROZ NARCISO (812)"</f>
        <v>GABRIEL PACHECO DE QUEIROZ NARCISO (812)</v>
      </c>
      <c r="H5322" t="str">
        <f>"Serv.Prest. 16/03/2026 a 22/03/2026 - PIX: CPF - CHAVE: 140.108.466-40"</f>
        <v>Serv.Prest. 16/03/2026 a 22/03/2026 - PIX: CPF - CHAVE: 140.108.466-40</v>
      </c>
      <c r="I5322" t="str">
        <f t="shared" si="965"/>
        <v>26/03/2026</v>
      </c>
      <c r="J5322" t="str">
        <f t="shared" si="961"/>
        <v>23/03/2026</v>
      </c>
      <c r="K5322" t="str">
        <f>("26/03/2026")</f>
        <v>26/03/2026</v>
      </c>
      <c r="L5322">
        <v>702.45</v>
      </c>
      <c r="M5322">
        <v>702.45</v>
      </c>
      <c r="N5322">
        <v>109</v>
      </c>
      <c r="O5322" t="str">
        <f>"PAGAMENTO DE ENTREGADORES"</f>
        <v>PAGAMENTO DE ENTREGADORES</v>
      </c>
      <c r="P5322">
        <v>702.45</v>
      </c>
      <c r="S5322" t="str">
        <f>"BANCO C6 (149)"</f>
        <v>BANCO C6 (149)</v>
      </c>
      <c r="T5322">
        <v>32292</v>
      </c>
      <c r="U5322">
        <v>36047</v>
      </c>
      <c r="V5322" t="s">
        <v>37</v>
      </c>
    </row>
    <row r="5323" spans="1:22">
      <c r="A5323" t="str">
        <f t="shared" si="963"/>
        <v>26/03/2026</v>
      </c>
      <c r="B5323" t="str">
        <f t="shared" si="964"/>
        <v>SAÍDA</v>
      </c>
      <c r="C5323" t="str">
        <f t="shared" si="966"/>
        <v>PIX</v>
      </c>
      <c r="D5323" t="str">
        <f>"36047"</f>
        <v>36047</v>
      </c>
      <c r="E5323" t="str">
        <f t="shared" si="962"/>
        <v>1</v>
      </c>
      <c r="F5323" t="str">
        <f t="shared" si="967"/>
        <v>COM</v>
      </c>
      <c r="G5323" t="str">
        <f>"GABRIEL PACHECO DE QUEIROZ NARCISO (812)"</f>
        <v>GABRIEL PACHECO DE QUEIROZ NARCISO (812)</v>
      </c>
      <c r="H5323" t="s">
        <v>1436</v>
      </c>
      <c r="I5323" t="str">
        <f t="shared" si="965"/>
        <v>26/03/2026</v>
      </c>
      <c r="J5323" t="str">
        <f t="shared" si="961"/>
        <v>23/03/2026</v>
      </c>
      <c r="K5323">
        <v>46107</v>
      </c>
      <c r="N5323">
        <v>109</v>
      </c>
      <c r="O5323" t="s">
        <v>27</v>
      </c>
      <c r="Q5323">
        <v>702.45</v>
      </c>
      <c r="R5323" t="str">
        <f>"DROGARIA ANA VISCONDE DO RIO BRANCO (10182)"</f>
        <v>DROGARIA ANA VISCONDE DO RIO BRANCO (10182)</v>
      </c>
      <c r="S5323" t="s">
        <v>37</v>
      </c>
      <c r="T5323">
        <v>32292</v>
      </c>
      <c r="U5323">
        <v>36047</v>
      </c>
      <c r="V5323" t="s">
        <v>37</v>
      </c>
    </row>
    <row r="5324" spans="1:22">
      <c r="A5324" t="str">
        <f t="shared" si="963"/>
        <v>26/03/2026</v>
      </c>
      <c r="B5324" t="str">
        <f t="shared" si="964"/>
        <v>SAÍDA</v>
      </c>
      <c r="C5324" t="str">
        <f t="shared" si="966"/>
        <v>PIX</v>
      </c>
      <c r="D5324" t="str">
        <f>"36048"</f>
        <v>36048</v>
      </c>
      <c r="E5324" t="str">
        <f t="shared" si="962"/>
        <v>1</v>
      </c>
      <c r="F5324" t="str">
        <f t="shared" si="967"/>
        <v>COM</v>
      </c>
      <c r="G5324" t="str">
        <f>"LUAN APARECIDO JANUARIO (1341)"</f>
        <v>LUAN APARECIDO JANUARIO (1341)</v>
      </c>
      <c r="H5324" t="str">
        <f>"Serv.Prest. 16/03/2026 a 22/03/2026 - PIX: CELULAR - CHAVE: (32) 98452-8837"</f>
        <v>Serv.Prest. 16/03/2026 a 22/03/2026 - PIX: CELULAR - CHAVE: (32) 98452-8837</v>
      </c>
      <c r="I5324" t="str">
        <f t="shared" si="965"/>
        <v>26/03/2026</v>
      </c>
      <c r="J5324" t="str">
        <f t="shared" si="961"/>
        <v>23/03/2026</v>
      </c>
      <c r="K5324" t="str">
        <f>("26/03/2026")</f>
        <v>26/03/2026</v>
      </c>
      <c r="L5324">
        <v>702.45</v>
      </c>
      <c r="M5324">
        <v>702.45</v>
      </c>
      <c r="N5324">
        <v>109</v>
      </c>
      <c r="O5324" t="str">
        <f>"PAGAMENTO DE ENTREGADORES"</f>
        <v>PAGAMENTO DE ENTREGADORES</v>
      </c>
      <c r="P5324">
        <v>702.45</v>
      </c>
      <c r="S5324" t="str">
        <f>"BANCO C6 (149)"</f>
        <v>BANCO C6 (149)</v>
      </c>
      <c r="T5324">
        <v>32293</v>
      </c>
      <c r="U5324">
        <v>36048</v>
      </c>
      <c r="V5324" t="s">
        <v>37</v>
      </c>
    </row>
    <row r="5325" spans="1:22">
      <c r="A5325" t="str">
        <f t="shared" si="963"/>
        <v>26/03/2026</v>
      </c>
      <c r="B5325" t="str">
        <f t="shared" si="964"/>
        <v>SAÍDA</v>
      </c>
      <c r="C5325" t="str">
        <f t="shared" si="966"/>
        <v>PIX</v>
      </c>
      <c r="D5325" t="str">
        <f>"36048"</f>
        <v>36048</v>
      </c>
      <c r="E5325" t="str">
        <f t="shared" si="962"/>
        <v>1</v>
      </c>
      <c r="F5325" t="str">
        <f t="shared" si="967"/>
        <v>COM</v>
      </c>
      <c r="G5325" t="str">
        <f>"LUAN APARECIDO JANUARIO (1341)"</f>
        <v>LUAN APARECIDO JANUARIO (1341)</v>
      </c>
      <c r="H5325" t="s">
        <v>1437</v>
      </c>
      <c r="I5325" t="str">
        <f t="shared" si="965"/>
        <v>26/03/2026</v>
      </c>
      <c r="J5325" t="str">
        <f t="shared" si="961"/>
        <v>23/03/2026</v>
      </c>
      <c r="K5325">
        <v>46107</v>
      </c>
      <c r="N5325">
        <v>109</v>
      </c>
      <c r="O5325" t="s">
        <v>27</v>
      </c>
      <c r="Q5325">
        <v>702.45</v>
      </c>
      <c r="R5325" t="str">
        <f>"DROGARIA ANA VISCONDE DO RIO BRANCO (10182)"</f>
        <v>DROGARIA ANA VISCONDE DO RIO BRANCO (10182)</v>
      </c>
      <c r="S5325" t="s">
        <v>37</v>
      </c>
      <c r="T5325">
        <v>32293</v>
      </c>
      <c r="U5325">
        <v>36048</v>
      </c>
      <c r="V5325" t="s">
        <v>37</v>
      </c>
    </row>
    <row r="5326" spans="1:22">
      <c r="A5326" t="str">
        <f t="shared" si="963"/>
        <v>26/03/2026</v>
      </c>
      <c r="B5326" t="str">
        <f t="shared" si="964"/>
        <v>SAÍDA</v>
      </c>
      <c r="C5326" t="str">
        <f t="shared" si="966"/>
        <v>PIX</v>
      </c>
      <c r="D5326" t="str">
        <f>"36050"</f>
        <v>36050</v>
      </c>
      <c r="E5326" t="str">
        <f t="shared" si="962"/>
        <v>1</v>
      </c>
      <c r="F5326" t="str">
        <f t="shared" si="967"/>
        <v>COM</v>
      </c>
      <c r="G5326" t="str">
        <f>"ISAEL SANTOS ROSA (642)"</f>
        <v>ISAEL SANTOS ROSA (642)</v>
      </c>
      <c r="H5326" t="str">
        <f>"Serv.Prest. 16/03/2026 a 22/03/2026 - PIX: CELULAR - CHAVE: (31) 99376-7989"</f>
        <v>Serv.Prest. 16/03/2026 a 22/03/2026 - PIX: CELULAR - CHAVE: (31) 99376-7989</v>
      </c>
      <c r="I5326" t="str">
        <f t="shared" si="965"/>
        <v>26/03/2026</v>
      </c>
      <c r="J5326" t="str">
        <f t="shared" si="961"/>
        <v>23/03/2026</v>
      </c>
      <c r="K5326" t="str">
        <f>("26/03/2026")</f>
        <v>26/03/2026</v>
      </c>
      <c r="L5326">
        <v>1400</v>
      </c>
      <c r="M5326">
        <v>1400</v>
      </c>
      <c r="N5326">
        <v>109</v>
      </c>
      <c r="O5326" t="str">
        <f>"PAGAMENTO DE ENTREGADORES"</f>
        <v>PAGAMENTO DE ENTREGADORES</v>
      </c>
      <c r="P5326">
        <v>1400</v>
      </c>
      <c r="S5326" t="str">
        <f>"BANCO C6 (149)"</f>
        <v>BANCO C6 (149)</v>
      </c>
      <c r="T5326">
        <v>32294</v>
      </c>
      <c r="U5326">
        <v>36050</v>
      </c>
      <c r="V5326" t="s">
        <v>37</v>
      </c>
    </row>
    <row r="5327" spans="1:22">
      <c r="A5327" t="str">
        <f t="shared" si="963"/>
        <v>26/03/2026</v>
      </c>
      <c r="B5327" t="str">
        <f t="shared" si="964"/>
        <v>SAÍDA</v>
      </c>
      <c r="C5327" t="str">
        <f t="shared" si="966"/>
        <v>PIX</v>
      </c>
      <c r="D5327" t="str">
        <f>"36050"</f>
        <v>36050</v>
      </c>
      <c r="E5327" t="str">
        <f t="shared" si="962"/>
        <v>1</v>
      </c>
      <c r="F5327" t="str">
        <f t="shared" si="967"/>
        <v>COM</v>
      </c>
      <c r="G5327" t="str">
        <f>"ISAEL SANTOS ROSA (642)"</f>
        <v>ISAEL SANTOS ROSA (642)</v>
      </c>
      <c r="H5327" t="s">
        <v>1438</v>
      </c>
      <c r="I5327" t="str">
        <f t="shared" si="965"/>
        <v>26/03/2026</v>
      </c>
      <c r="J5327" t="str">
        <f t="shared" si="961"/>
        <v>23/03/2026</v>
      </c>
      <c r="K5327">
        <v>46107</v>
      </c>
      <c r="N5327">
        <v>109</v>
      </c>
      <c r="O5327" t="s">
        <v>27</v>
      </c>
      <c r="Q5327">
        <v>1400</v>
      </c>
      <c r="R5327" t="str">
        <f>"DROGARIA POUPA MINAS (ULTRAMINAS) 3 (10129)"</f>
        <v>DROGARIA POUPA MINAS (ULTRAMINAS) 3 (10129)</v>
      </c>
      <c r="S5327" t="s">
        <v>37</v>
      </c>
      <c r="T5327">
        <v>32294</v>
      </c>
      <c r="U5327">
        <v>36050</v>
      </c>
      <c r="V5327" t="s">
        <v>37</v>
      </c>
    </row>
    <row r="5328" spans="1:22">
      <c r="A5328" t="str">
        <f t="shared" si="963"/>
        <v>26/03/2026</v>
      </c>
      <c r="B5328" t="str">
        <f t="shared" si="964"/>
        <v>SAÍDA</v>
      </c>
      <c r="C5328" t="str">
        <f t="shared" si="966"/>
        <v>PIX</v>
      </c>
      <c r="D5328" t="str">
        <f>"36052"</f>
        <v>36052</v>
      </c>
      <c r="E5328" t="str">
        <f t="shared" si="962"/>
        <v>1</v>
      </c>
      <c r="F5328" t="str">
        <f t="shared" si="967"/>
        <v>COM</v>
      </c>
      <c r="G5328" t="str">
        <f>"CLAUDIO DOS SANTOS (507)"</f>
        <v>CLAUDIO DOS SANTOS (507)</v>
      </c>
      <c r="H5328" t="str">
        <f>"Serv.Prest. 16/03/2026 a 22/03/2026 - PIX: E-MAIL - CHAVE: claudioverdinho2009@hotmail.com"</f>
        <v>Serv.Prest. 16/03/2026 a 22/03/2026 - PIX: E-MAIL - CHAVE: claudioverdinho2009@hotmail.com</v>
      </c>
      <c r="I5328" t="str">
        <f t="shared" si="965"/>
        <v>26/03/2026</v>
      </c>
      <c r="J5328" t="str">
        <f t="shared" ref="J5328:J5393" si="968">("23/03/2026")</f>
        <v>23/03/2026</v>
      </c>
      <c r="K5328" t="str">
        <f>("26/03/2026")</f>
        <v>26/03/2026</v>
      </c>
      <c r="L5328">
        <v>1099</v>
      </c>
      <c r="M5328">
        <v>1099</v>
      </c>
      <c r="N5328">
        <v>109</v>
      </c>
      <c r="O5328" t="str">
        <f>"PAGAMENTO DE ENTREGADORES"</f>
        <v>PAGAMENTO DE ENTREGADORES</v>
      </c>
      <c r="P5328">
        <v>1099</v>
      </c>
      <c r="S5328" t="str">
        <f>"BANCO C6 (149)"</f>
        <v>BANCO C6 (149)</v>
      </c>
      <c r="T5328">
        <v>32295</v>
      </c>
      <c r="U5328">
        <v>36052</v>
      </c>
      <c r="V5328" t="s">
        <v>37</v>
      </c>
    </row>
    <row r="5329" spans="1:22">
      <c r="A5329" t="str">
        <f t="shared" si="963"/>
        <v>26/03/2026</v>
      </c>
      <c r="B5329" t="str">
        <f t="shared" si="964"/>
        <v>SAÍDA</v>
      </c>
      <c r="C5329" t="str">
        <f t="shared" si="966"/>
        <v>PIX</v>
      </c>
      <c r="D5329" t="str">
        <f>"36052"</f>
        <v>36052</v>
      </c>
      <c r="E5329" t="str">
        <f t="shared" si="962"/>
        <v>1</v>
      </c>
      <c r="F5329" t="str">
        <f t="shared" si="967"/>
        <v>COM</v>
      </c>
      <c r="G5329" t="str">
        <f>"CLAUDIO DOS SANTOS (507)"</f>
        <v>CLAUDIO DOS SANTOS (507)</v>
      </c>
      <c r="H5329" t="s">
        <v>1439</v>
      </c>
      <c r="I5329" t="str">
        <f t="shared" si="965"/>
        <v>26/03/2026</v>
      </c>
      <c r="J5329" t="str">
        <f t="shared" si="968"/>
        <v>23/03/2026</v>
      </c>
      <c r="K5329">
        <v>46107</v>
      </c>
      <c r="N5329">
        <v>109</v>
      </c>
      <c r="O5329" t="s">
        <v>27</v>
      </c>
      <c r="Q5329">
        <v>1099</v>
      </c>
      <c r="R5329" t="str">
        <f>"JAL FARMACIA E DROGARIA LJ 1 (10137)"</f>
        <v>JAL FARMACIA E DROGARIA LJ 1 (10137)</v>
      </c>
      <c r="S5329" t="s">
        <v>37</v>
      </c>
      <c r="T5329">
        <v>32295</v>
      </c>
      <c r="U5329">
        <v>36052</v>
      </c>
      <c r="V5329" t="s">
        <v>37</v>
      </c>
    </row>
    <row r="5330" spans="1:22">
      <c r="A5330" t="str">
        <f t="shared" si="963"/>
        <v>26/03/2026</v>
      </c>
      <c r="B5330" t="str">
        <f t="shared" si="964"/>
        <v>SAÍDA</v>
      </c>
      <c r="C5330" t="str">
        <f t="shared" si="966"/>
        <v>PIX</v>
      </c>
      <c r="D5330" t="str">
        <f>"36053"</f>
        <v>36053</v>
      </c>
      <c r="E5330" t="str">
        <f t="shared" si="962"/>
        <v>1</v>
      </c>
      <c r="F5330" t="str">
        <f t="shared" si="967"/>
        <v>COM</v>
      </c>
      <c r="G5330" t="str">
        <f>"JESSICA BRAHOLKA (837)"</f>
        <v>JESSICA BRAHOLKA (837)</v>
      </c>
      <c r="H5330" t="str">
        <f>"Serv.Prest. 16/03/2026 a 22/03/2026 - PIX: CPF - CHAVE: 124.575.099-20"</f>
        <v>Serv.Prest. 16/03/2026 a 22/03/2026 - PIX: CPF - CHAVE: 124.575.099-20</v>
      </c>
      <c r="I5330" t="str">
        <f t="shared" si="965"/>
        <v>26/03/2026</v>
      </c>
      <c r="J5330" t="str">
        <f t="shared" si="968"/>
        <v>23/03/2026</v>
      </c>
      <c r="K5330" t="str">
        <f>("26/03/2026")</f>
        <v>26/03/2026</v>
      </c>
      <c r="L5330">
        <v>693</v>
      </c>
      <c r="M5330">
        <v>693</v>
      </c>
      <c r="N5330">
        <v>109</v>
      </c>
      <c r="O5330" t="str">
        <f>"PAGAMENTO DE ENTREGADORES"</f>
        <v>PAGAMENTO DE ENTREGADORES</v>
      </c>
      <c r="P5330">
        <v>693</v>
      </c>
      <c r="S5330" t="str">
        <f>"BANCO C6 (149)"</f>
        <v>BANCO C6 (149)</v>
      </c>
      <c r="T5330">
        <v>32296</v>
      </c>
      <c r="U5330">
        <v>36053</v>
      </c>
      <c r="V5330" t="s">
        <v>37</v>
      </c>
    </row>
    <row r="5331" spans="1:22">
      <c r="A5331" t="str">
        <f t="shared" si="963"/>
        <v>26/03/2026</v>
      </c>
      <c r="B5331" t="str">
        <f t="shared" si="964"/>
        <v>SAÍDA</v>
      </c>
      <c r="C5331" t="str">
        <f t="shared" si="966"/>
        <v>PIX</v>
      </c>
      <c r="D5331" t="str">
        <f>"36053"</f>
        <v>36053</v>
      </c>
      <c r="E5331" t="str">
        <f t="shared" si="962"/>
        <v>1</v>
      </c>
      <c r="F5331" t="str">
        <f t="shared" si="967"/>
        <v>COM</v>
      </c>
      <c r="G5331" t="str">
        <f>"JESSICA BRAHOLKA (837)"</f>
        <v>JESSICA BRAHOLKA (837)</v>
      </c>
      <c r="H5331" t="s">
        <v>1440</v>
      </c>
      <c r="I5331" t="str">
        <f t="shared" si="965"/>
        <v>26/03/2026</v>
      </c>
      <c r="J5331" t="str">
        <f t="shared" si="968"/>
        <v>23/03/2026</v>
      </c>
      <c r="K5331">
        <v>46107</v>
      </c>
      <c r="N5331">
        <v>109</v>
      </c>
      <c r="O5331" t="s">
        <v>27</v>
      </c>
      <c r="Q5331">
        <v>693</v>
      </c>
      <c r="R5331" t="str">
        <f>"JAL FARMACIA E DROGARIA LJ 1 (10137)"</f>
        <v>JAL FARMACIA E DROGARIA LJ 1 (10137)</v>
      </c>
      <c r="S5331" t="s">
        <v>37</v>
      </c>
      <c r="T5331">
        <v>32296</v>
      </c>
      <c r="U5331">
        <v>36053</v>
      </c>
      <c r="V5331" t="s">
        <v>37</v>
      </c>
    </row>
    <row r="5332" spans="1:22">
      <c r="A5332" t="str">
        <f t="shared" si="963"/>
        <v>26/03/2026</v>
      </c>
      <c r="B5332" t="str">
        <f t="shared" si="964"/>
        <v>SAÍDA</v>
      </c>
      <c r="C5332" t="str">
        <f t="shared" si="966"/>
        <v>PIX</v>
      </c>
      <c r="D5332" t="str">
        <f>"36054"</f>
        <v>36054</v>
      </c>
      <c r="E5332" t="str">
        <f t="shared" ref="E5332:E5395" si="969">"1"</f>
        <v>1</v>
      </c>
      <c r="F5332" t="str">
        <f t="shared" si="967"/>
        <v>COM</v>
      </c>
      <c r="G5332" t="str">
        <f>"WADSON PABLO PEREIRA GALDINO DA SILVA (1339)"</f>
        <v>WADSON PABLO PEREIRA GALDINO DA SILVA (1339)</v>
      </c>
      <c r="H5332" t="str">
        <f>"Serv.Prest. 16/03/2026 a 22/03/2026 - PIX: CPF - CHAVE: 114.806.766-32"</f>
        <v>Serv.Prest. 16/03/2026 a 22/03/2026 - PIX: CPF - CHAVE: 114.806.766-32</v>
      </c>
      <c r="I5332" t="str">
        <f t="shared" si="965"/>
        <v>26/03/2026</v>
      </c>
      <c r="J5332" t="str">
        <f t="shared" si="968"/>
        <v>23/03/2026</v>
      </c>
      <c r="K5332" t="str">
        <f>("26/03/2026")</f>
        <v>26/03/2026</v>
      </c>
      <c r="L5332">
        <v>252</v>
      </c>
      <c r="M5332">
        <v>252</v>
      </c>
      <c r="N5332">
        <v>109</v>
      </c>
      <c r="O5332" t="str">
        <f>"PAGAMENTO DE ENTREGADORES"</f>
        <v>PAGAMENTO DE ENTREGADORES</v>
      </c>
      <c r="P5332">
        <v>252</v>
      </c>
      <c r="S5332" t="str">
        <f>"BANCO C6 (149)"</f>
        <v>BANCO C6 (149)</v>
      </c>
      <c r="T5332">
        <v>32297</v>
      </c>
      <c r="U5332">
        <v>36054</v>
      </c>
      <c r="V5332" t="s">
        <v>37</v>
      </c>
    </row>
    <row r="5333" spans="1:22">
      <c r="A5333" t="str">
        <f t="shared" si="963"/>
        <v>26/03/2026</v>
      </c>
      <c r="B5333" t="str">
        <f t="shared" si="964"/>
        <v>SAÍDA</v>
      </c>
      <c r="C5333" t="str">
        <f t="shared" si="966"/>
        <v>PIX</v>
      </c>
      <c r="D5333" t="str">
        <f>"36054"</f>
        <v>36054</v>
      </c>
      <c r="E5333" t="str">
        <f t="shared" si="969"/>
        <v>1</v>
      </c>
      <c r="F5333" t="str">
        <f t="shared" si="967"/>
        <v>COM</v>
      </c>
      <c r="G5333" t="str">
        <f>"WADSON PABLO PEREIRA GALDINO DA SILVA (1339)"</f>
        <v>WADSON PABLO PEREIRA GALDINO DA SILVA (1339)</v>
      </c>
      <c r="H5333" t="s">
        <v>1441</v>
      </c>
      <c r="I5333" t="str">
        <f t="shared" si="965"/>
        <v>26/03/2026</v>
      </c>
      <c r="J5333" t="str">
        <f t="shared" si="968"/>
        <v>23/03/2026</v>
      </c>
      <c r="K5333">
        <v>46107</v>
      </c>
      <c r="N5333">
        <v>109</v>
      </c>
      <c r="O5333" t="s">
        <v>27</v>
      </c>
      <c r="Q5333">
        <v>252</v>
      </c>
      <c r="R5333" t="str">
        <f>"JAL FARMACIA E DROGARIA LJ 1 (10137)"</f>
        <v>JAL FARMACIA E DROGARIA LJ 1 (10137)</v>
      </c>
      <c r="S5333" t="s">
        <v>37</v>
      </c>
      <c r="T5333">
        <v>32297</v>
      </c>
      <c r="U5333">
        <v>36054</v>
      </c>
      <c r="V5333" t="s">
        <v>37</v>
      </c>
    </row>
    <row r="5334" spans="1:22">
      <c r="A5334" t="str">
        <f t="shared" si="963"/>
        <v>26/03/2026</v>
      </c>
      <c r="B5334" t="str">
        <f t="shared" si="964"/>
        <v>SAÍDA</v>
      </c>
      <c r="C5334" t="str">
        <f t="shared" si="966"/>
        <v>PIX</v>
      </c>
      <c r="D5334" t="str">
        <f>"36056"</f>
        <v>36056</v>
      </c>
      <c r="E5334" t="str">
        <f t="shared" si="969"/>
        <v>1</v>
      </c>
      <c r="F5334" t="str">
        <f t="shared" si="967"/>
        <v>COM</v>
      </c>
      <c r="G5334" t="str">
        <f>"CLAUDIO DOS SANTOS (507)"</f>
        <v>CLAUDIO DOS SANTOS (507)</v>
      </c>
      <c r="H5334" t="str">
        <f>"Serv.Prest. 16/03/2026 a 22/03/2026 - PIX: E-MAIL - CHAVE: claudioverdinho2009@hotmail.com"</f>
        <v>Serv.Prest. 16/03/2026 a 22/03/2026 - PIX: E-MAIL - CHAVE: claudioverdinho2009@hotmail.com</v>
      </c>
      <c r="I5334" t="str">
        <f t="shared" si="965"/>
        <v>26/03/2026</v>
      </c>
      <c r="J5334" t="str">
        <f t="shared" si="968"/>
        <v>23/03/2026</v>
      </c>
      <c r="K5334" t="str">
        <f>("26/03/2026")</f>
        <v>26/03/2026</v>
      </c>
      <c r="L5334">
        <v>191</v>
      </c>
      <c r="M5334">
        <v>191</v>
      </c>
      <c r="N5334">
        <v>109</v>
      </c>
      <c r="O5334" t="str">
        <f>"PAGAMENTO DE ENTREGADORES"</f>
        <v>PAGAMENTO DE ENTREGADORES</v>
      </c>
      <c r="P5334">
        <v>191</v>
      </c>
      <c r="S5334" t="str">
        <f>"BANCO C6 (149)"</f>
        <v>BANCO C6 (149)</v>
      </c>
      <c r="T5334">
        <v>32298</v>
      </c>
      <c r="U5334">
        <v>36056</v>
      </c>
      <c r="V5334" t="s">
        <v>37</v>
      </c>
    </row>
    <row r="5335" spans="1:22">
      <c r="A5335" t="str">
        <f t="shared" si="963"/>
        <v>26/03/2026</v>
      </c>
      <c r="B5335" t="str">
        <f t="shared" si="964"/>
        <v>SAÍDA</v>
      </c>
      <c r="C5335" t="str">
        <f t="shared" si="966"/>
        <v>PIX</v>
      </c>
      <c r="D5335" t="str">
        <f>"36056"</f>
        <v>36056</v>
      </c>
      <c r="E5335" t="str">
        <f t="shared" si="969"/>
        <v>1</v>
      </c>
      <c r="F5335" t="str">
        <f t="shared" si="967"/>
        <v>COM</v>
      </c>
      <c r="G5335" t="str">
        <f>"CLAUDIO DOS SANTOS (507)"</f>
        <v>CLAUDIO DOS SANTOS (507)</v>
      </c>
      <c r="H5335" t="s">
        <v>1439</v>
      </c>
      <c r="I5335" t="str">
        <f t="shared" si="965"/>
        <v>26/03/2026</v>
      </c>
      <c r="J5335" t="str">
        <f t="shared" si="968"/>
        <v>23/03/2026</v>
      </c>
      <c r="K5335">
        <v>46107</v>
      </c>
      <c r="N5335">
        <v>109</v>
      </c>
      <c r="O5335" t="s">
        <v>27</v>
      </c>
      <c r="Q5335">
        <v>191</v>
      </c>
      <c r="R5335" t="str">
        <f>"JAL FARMACIA E DROGARIA LJ 2 (10138)"</f>
        <v>JAL FARMACIA E DROGARIA LJ 2 (10138)</v>
      </c>
      <c r="S5335" t="s">
        <v>37</v>
      </c>
      <c r="T5335">
        <v>32298</v>
      </c>
      <c r="U5335">
        <v>36056</v>
      </c>
      <c r="V5335" t="s">
        <v>37</v>
      </c>
    </row>
    <row r="5336" spans="1:22">
      <c r="A5336" t="str">
        <f t="shared" ref="A5336:A5399" si="970">("26/03/2026")</f>
        <v>26/03/2026</v>
      </c>
      <c r="B5336" t="str">
        <f t="shared" si="964"/>
        <v>SAÍDA</v>
      </c>
      <c r="C5336" t="str">
        <f t="shared" si="966"/>
        <v>PIX</v>
      </c>
      <c r="D5336" t="str">
        <f>"36057"</f>
        <v>36057</v>
      </c>
      <c r="E5336" t="str">
        <f t="shared" si="969"/>
        <v>1</v>
      </c>
      <c r="F5336" t="str">
        <f t="shared" si="967"/>
        <v>COM</v>
      </c>
      <c r="G5336" t="str">
        <f>"JESSICA BRAHOLKA (837)"</f>
        <v>JESSICA BRAHOLKA (837)</v>
      </c>
      <c r="H5336" t="str">
        <f>"Serv.Prest. 16/03/2026 a 22/03/2026 - PIX: CPF - CHAVE: 124.575.099-20"</f>
        <v>Serv.Prest. 16/03/2026 a 22/03/2026 - PIX: CPF - CHAVE: 124.575.099-20</v>
      </c>
      <c r="I5336" t="str">
        <f t="shared" si="965"/>
        <v>26/03/2026</v>
      </c>
      <c r="J5336" t="str">
        <f t="shared" si="968"/>
        <v>23/03/2026</v>
      </c>
      <c r="K5336" t="str">
        <f>("26/03/2026")</f>
        <v>26/03/2026</v>
      </c>
      <c r="L5336">
        <v>611</v>
      </c>
      <c r="M5336">
        <v>611</v>
      </c>
      <c r="N5336">
        <v>109</v>
      </c>
      <c r="O5336" t="str">
        <f>"PAGAMENTO DE ENTREGADORES"</f>
        <v>PAGAMENTO DE ENTREGADORES</v>
      </c>
      <c r="P5336">
        <v>611</v>
      </c>
      <c r="S5336" t="str">
        <f>"BANCO C6 (149)"</f>
        <v>BANCO C6 (149)</v>
      </c>
      <c r="T5336">
        <v>32299</v>
      </c>
      <c r="U5336">
        <v>36057</v>
      </c>
      <c r="V5336" t="s">
        <v>37</v>
      </c>
    </row>
    <row r="5337" spans="1:22">
      <c r="A5337" t="str">
        <f t="shared" si="970"/>
        <v>26/03/2026</v>
      </c>
      <c r="B5337" t="str">
        <f t="shared" si="964"/>
        <v>SAÍDA</v>
      </c>
      <c r="C5337" t="str">
        <f t="shared" si="966"/>
        <v>PIX</v>
      </c>
      <c r="D5337" t="str">
        <f>"36057"</f>
        <v>36057</v>
      </c>
      <c r="E5337" t="str">
        <f t="shared" si="969"/>
        <v>1</v>
      </c>
      <c r="F5337" t="str">
        <f t="shared" si="967"/>
        <v>COM</v>
      </c>
      <c r="G5337" t="str">
        <f>"JESSICA BRAHOLKA (837)"</f>
        <v>JESSICA BRAHOLKA (837)</v>
      </c>
      <c r="H5337" t="s">
        <v>1440</v>
      </c>
      <c r="I5337" t="str">
        <f t="shared" si="965"/>
        <v>26/03/2026</v>
      </c>
      <c r="J5337" t="str">
        <f t="shared" si="968"/>
        <v>23/03/2026</v>
      </c>
      <c r="K5337">
        <v>46107</v>
      </c>
      <c r="N5337">
        <v>109</v>
      </c>
      <c r="O5337" t="s">
        <v>27</v>
      </c>
      <c r="Q5337">
        <v>611</v>
      </c>
      <c r="R5337" t="str">
        <f>"JAL FARMACIA E DROGARIA LJ 2 (10138)"</f>
        <v>JAL FARMACIA E DROGARIA LJ 2 (10138)</v>
      </c>
      <c r="S5337" t="s">
        <v>37</v>
      </c>
      <c r="T5337">
        <v>32299</v>
      </c>
      <c r="U5337">
        <v>36057</v>
      </c>
      <c r="V5337" t="s">
        <v>37</v>
      </c>
    </row>
    <row r="5338" spans="1:22">
      <c r="A5338" t="str">
        <f t="shared" si="970"/>
        <v>26/03/2026</v>
      </c>
      <c r="B5338" t="str">
        <f t="shared" si="964"/>
        <v>SAÍDA</v>
      </c>
      <c r="C5338" t="str">
        <f t="shared" si="966"/>
        <v>PIX</v>
      </c>
      <c r="D5338" t="str">
        <f>"36058"</f>
        <v>36058</v>
      </c>
      <c r="E5338" t="str">
        <f t="shared" si="969"/>
        <v>1</v>
      </c>
      <c r="F5338" t="str">
        <f t="shared" si="967"/>
        <v>COM</v>
      </c>
      <c r="G5338" t="str">
        <f>"WADSON PABLO PEREIRA GALDINO DA SILVA (1339)"</f>
        <v>WADSON PABLO PEREIRA GALDINO DA SILVA (1339)</v>
      </c>
      <c r="H5338" t="str">
        <f>"Serv.Prest. 16/03/2026 a 22/03/2026 - PIX: CPF - CHAVE: 114.806.766-32"</f>
        <v>Serv.Prest. 16/03/2026 a 22/03/2026 - PIX: CPF - CHAVE: 114.806.766-32</v>
      </c>
      <c r="I5338" t="str">
        <f t="shared" si="965"/>
        <v>26/03/2026</v>
      </c>
      <c r="J5338" t="str">
        <f t="shared" si="968"/>
        <v>23/03/2026</v>
      </c>
      <c r="K5338" t="str">
        <f>("26/03/2026")</f>
        <v>26/03/2026</v>
      </c>
      <c r="L5338">
        <v>548</v>
      </c>
      <c r="M5338">
        <v>548</v>
      </c>
      <c r="N5338">
        <v>109</v>
      </c>
      <c r="O5338" t="str">
        <f>"PAGAMENTO DE ENTREGADORES"</f>
        <v>PAGAMENTO DE ENTREGADORES</v>
      </c>
      <c r="P5338">
        <v>548</v>
      </c>
      <c r="S5338" t="str">
        <f>"BANCO C6 (149)"</f>
        <v>BANCO C6 (149)</v>
      </c>
      <c r="T5338">
        <v>32300</v>
      </c>
      <c r="U5338">
        <v>36058</v>
      </c>
      <c r="V5338" t="s">
        <v>37</v>
      </c>
    </row>
    <row r="5339" spans="1:22">
      <c r="A5339" t="str">
        <f t="shared" si="970"/>
        <v>26/03/2026</v>
      </c>
      <c r="B5339" t="str">
        <f t="shared" si="964"/>
        <v>SAÍDA</v>
      </c>
      <c r="C5339" t="str">
        <f t="shared" si="966"/>
        <v>PIX</v>
      </c>
      <c r="D5339" t="str">
        <f>"36058"</f>
        <v>36058</v>
      </c>
      <c r="E5339" t="str">
        <f t="shared" si="969"/>
        <v>1</v>
      </c>
      <c r="F5339" t="str">
        <f t="shared" si="967"/>
        <v>COM</v>
      </c>
      <c r="G5339" t="str">
        <f>"WADSON PABLO PEREIRA GALDINO DA SILVA (1339)"</f>
        <v>WADSON PABLO PEREIRA GALDINO DA SILVA (1339)</v>
      </c>
      <c r="H5339" t="s">
        <v>1441</v>
      </c>
      <c r="I5339" t="str">
        <f t="shared" si="965"/>
        <v>26/03/2026</v>
      </c>
      <c r="J5339" t="str">
        <f t="shared" si="968"/>
        <v>23/03/2026</v>
      </c>
      <c r="K5339">
        <v>46107</v>
      </c>
      <c r="N5339">
        <v>109</v>
      </c>
      <c r="O5339" t="s">
        <v>27</v>
      </c>
      <c r="Q5339">
        <v>548</v>
      </c>
      <c r="R5339" t="str">
        <f>"JAL FARMACIA E DROGARIA LJ 2 (10138)"</f>
        <v>JAL FARMACIA E DROGARIA LJ 2 (10138)</v>
      </c>
      <c r="S5339" t="s">
        <v>37</v>
      </c>
      <c r="T5339">
        <v>32300</v>
      </c>
      <c r="U5339">
        <v>36058</v>
      </c>
      <c r="V5339" t="s">
        <v>37</v>
      </c>
    </row>
    <row r="5340" spans="1:22">
      <c r="A5340" t="str">
        <f t="shared" si="970"/>
        <v>26/03/2026</v>
      </c>
      <c r="B5340" t="str">
        <f t="shared" si="964"/>
        <v>SAÍDA</v>
      </c>
      <c r="C5340" t="str">
        <f t="shared" si="966"/>
        <v>PIX</v>
      </c>
      <c r="D5340" t="str">
        <f>"36060"</f>
        <v>36060</v>
      </c>
      <c r="E5340" t="str">
        <f t="shared" si="969"/>
        <v>1</v>
      </c>
      <c r="F5340" t="str">
        <f t="shared" si="967"/>
        <v>COM</v>
      </c>
      <c r="G5340" t="str">
        <f>"EDMAR GUIMARAES TEIXEIRA JUNIOR (1367)"</f>
        <v>EDMAR GUIMARAES TEIXEIRA JUNIOR (1367)</v>
      </c>
      <c r="H5340" t="str">
        <f>"Serv.Prest. 16/03/2026 a 22/03/2026 - PIX: CPF - CHAVE: 701.088.016-67"</f>
        <v>Serv.Prest. 16/03/2026 a 22/03/2026 - PIX: CPF - CHAVE: 701.088.016-67</v>
      </c>
      <c r="I5340" t="str">
        <f t="shared" si="965"/>
        <v>26/03/2026</v>
      </c>
      <c r="J5340" t="str">
        <f t="shared" si="968"/>
        <v>23/03/2026</v>
      </c>
      <c r="K5340" t="str">
        <f>("26/03/2026")</f>
        <v>26/03/2026</v>
      </c>
      <c r="L5340">
        <v>700.44</v>
      </c>
      <c r="M5340">
        <v>700.44</v>
      </c>
      <c r="N5340">
        <v>109</v>
      </c>
      <c r="O5340" t="str">
        <f>"PAGAMENTO DE ENTREGADORES"</f>
        <v>PAGAMENTO DE ENTREGADORES</v>
      </c>
      <c r="P5340">
        <v>700.44</v>
      </c>
      <c r="S5340" t="str">
        <f>"BANCO C6 (149)"</f>
        <v>BANCO C6 (149)</v>
      </c>
      <c r="T5340">
        <v>32301</v>
      </c>
      <c r="U5340">
        <v>36060</v>
      </c>
      <c r="V5340" t="s">
        <v>37</v>
      </c>
    </row>
    <row r="5341" spans="1:22">
      <c r="A5341" t="str">
        <f t="shared" si="970"/>
        <v>26/03/2026</v>
      </c>
      <c r="B5341" t="str">
        <f t="shared" si="964"/>
        <v>SAÍDA</v>
      </c>
      <c r="C5341" t="str">
        <f t="shared" si="966"/>
        <v>PIX</v>
      </c>
      <c r="D5341" t="str">
        <f>"36060"</f>
        <v>36060</v>
      </c>
      <c r="E5341" t="str">
        <f t="shared" si="969"/>
        <v>1</v>
      </c>
      <c r="F5341" t="str">
        <f t="shared" si="967"/>
        <v>COM</v>
      </c>
      <c r="G5341" t="str">
        <f>"EDMAR GUIMARAES TEIXEIRA JUNIOR (1367)"</f>
        <v>EDMAR GUIMARAES TEIXEIRA JUNIOR (1367)</v>
      </c>
      <c r="H5341" t="s">
        <v>1442</v>
      </c>
      <c r="I5341" t="str">
        <f t="shared" si="965"/>
        <v>26/03/2026</v>
      </c>
      <c r="J5341" t="str">
        <f t="shared" si="968"/>
        <v>23/03/2026</v>
      </c>
      <c r="K5341">
        <v>46107</v>
      </c>
      <c r="N5341">
        <v>109</v>
      </c>
      <c r="O5341" t="s">
        <v>27</v>
      </c>
      <c r="Q5341">
        <v>700.44</v>
      </c>
      <c r="R5341" t="str">
        <f>"DROGARIA ANA &amp; ANA TIRADENTES (10322)"</f>
        <v>DROGARIA ANA &amp; ANA TIRADENTES (10322)</v>
      </c>
      <c r="S5341" t="s">
        <v>37</v>
      </c>
      <c r="T5341">
        <v>32301</v>
      </c>
      <c r="U5341">
        <v>36060</v>
      </c>
      <c r="V5341" t="s">
        <v>37</v>
      </c>
    </row>
    <row r="5342" spans="1:22">
      <c r="A5342" t="str">
        <f t="shared" si="970"/>
        <v>26/03/2026</v>
      </c>
      <c r="B5342" t="str">
        <f t="shared" si="964"/>
        <v>SAÍDA</v>
      </c>
      <c r="C5342" t="str">
        <f t="shared" si="966"/>
        <v>PIX</v>
      </c>
      <c r="D5342" t="str">
        <f>"36062"</f>
        <v>36062</v>
      </c>
      <c r="E5342" t="str">
        <f t="shared" si="969"/>
        <v>1</v>
      </c>
      <c r="F5342" t="str">
        <f t="shared" si="967"/>
        <v>COM</v>
      </c>
      <c r="G5342" t="str">
        <f t="shared" ref="G5342:G5347" si="971">"FABRICIO QUEIROZ DE OLIVEIRA (788)"</f>
        <v>FABRICIO QUEIROZ DE OLIVEIRA (788)</v>
      </c>
      <c r="H5342" t="str">
        <f>"Serv.Prest. 16/03/2026 a 22/03/2026 - PIX: CPF - CHAVE: 138.798.486-10"</f>
        <v>Serv.Prest. 16/03/2026 a 22/03/2026 - PIX: CPF - CHAVE: 138.798.486-10</v>
      </c>
      <c r="I5342" t="str">
        <f t="shared" si="965"/>
        <v>26/03/2026</v>
      </c>
      <c r="J5342" t="str">
        <f t="shared" si="968"/>
        <v>23/03/2026</v>
      </c>
      <c r="K5342" t="str">
        <f>("26/03/2026")</f>
        <v>26/03/2026</v>
      </c>
      <c r="L5342">
        <v>256.5</v>
      </c>
      <c r="M5342">
        <v>256.5</v>
      </c>
      <c r="N5342">
        <v>109</v>
      </c>
      <c r="O5342" t="str">
        <f>"PAGAMENTO DE ENTREGADORES"</f>
        <v>PAGAMENTO DE ENTREGADORES</v>
      </c>
      <c r="P5342">
        <v>256.5</v>
      </c>
      <c r="S5342" t="str">
        <f>"BANCO C6 (149)"</f>
        <v>BANCO C6 (149)</v>
      </c>
      <c r="T5342">
        <v>32302</v>
      </c>
      <c r="U5342">
        <v>36062</v>
      </c>
      <c r="V5342" t="s">
        <v>37</v>
      </c>
    </row>
    <row r="5343" spans="1:22">
      <c r="A5343" t="str">
        <f t="shared" si="970"/>
        <v>26/03/2026</v>
      </c>
      <c r="B5343" t="str">
        <f t="shared" si="964"/>
        <v>SAÍDA</v>
      </c>
      <c r="C5343" t="str">
        <f t="shared" si="966"/>
        <v>PIX</v>
      </c>
      <c r="D5343" t="str">
        <f>"36062"</f>
        <v>36062</v>
      </c>
      <c r="E5343" t="str">
        <f t="shared" si="969"/>
        <v>1</v>
      </c>
      <c r="F5343" t="str">
        <f t="shared" si="967"/>
        <v>COM</v>
      </c>
      <c r="G5343" t="str">
        <f t="shared" si="971"/>
        <v>FABRICIO QUEIROZ DE OLIVEIRA (788)</v>
      </c>
      <c r="H5343" t="s">
        <v>1443</v>
      </c>
      <c r="I5343" t="str">
        <f t="shared" si="965"/>
        <v>26/03/2026</v>
      </c>
      <c r="J5343" t="str">
        <f t="shared" si="968"/>
        <v>23/03/2026</v>
      </c>
      <c r="K5343">
        <v>46107</v>
      </c>
      <c r="N5343">
        <v>109</v>
      </c>
      <c r="O5343" t="s">
        <v>27</v>
      </c>
      <c r="Q5343">
        <v>256.5</v>
      </c>
      <c r="R5343" t="str">
        <f>"FRAN FARMA (10124)"</f>
        <v>FRAN FARMA (10124)</v>
      </c>
      <c r="S5343" t="s">
        <v>37</v>
      </c>
      <c r="T5343">
        <v>32302</v>
      </c>
      <c r="U5343">
        <v>36062</v>
      </c>
      <c r="V5343" t="s">
        <v>37</v>
      </c>
    </row>
    <row r="5344" spans="1:22">
      <c r="A5344" t="str">
        <f t="shared" si="970"/>
        <v>26/03/2026</v>
      </c>
      <c r="B5344" t="str">
        <f t="shared" si="964"/>
        <v>SAÍDA</v>
      </c>
      <c r="C5344" t="str">
        <f t="shared" si="966"/>
        <v>PIX</v>
      </c>
      <c r="D5344" t="str">
        <f>"36063"</f>
        <v>36063</v>
      </c>
      <c r="E5344" t="str">
        <f t="shared" si="969"/>
        <v>1</v>
      </c>
      <c r="F5344" t="str">
        <f t="shared" si="967"/>
        <v>COM</v>
      </c>
      <c r="G5344" t="str">
        <f t="shared" si="971"/>
        <v>FABRICIO QUEIROZ DE OLIVEIRA (788)</v>
      </c>
      <c r="H5344" t="str">
        <f>"Serv.Prest. 16/03/2026 a 22/03/2026 - PIX: CPF - CHAVE: 138.798.486-10"</f>
        <v>Serv.Prest. 16/03/2026 a 22/03/2026 - PIX: CPF - CHAVE: 138.798.486-10</v>
      </c>
      <c r="I5344" t="str">
        <f t="shared" si="965"/>
        <v>26/03/2026</v>
      </c>
      <c r="J5344" t="str">
        <f t="shared" si="968"/>
        <v>23/03/2026</v>
      </c>
      <c r="K5344" t="str">
        <f>("26/03/2026")</f>
        <v>26/03/2026</v>
      </c>
      <c r="L5344">
        <v>531</v>
      </c>
      <c r="M5344">
        <v>531</v>
      </c>
      <c r="N5344">
        <v>109</v>
      </c>
      <c r="O5344" t="str">
        <f>"PAGAMENTO DE ENTREGADORES"</f>
        <v>PAGAMENTO DE ENTREGADORES</v>
      </c>
      <c r="P5344">
        <v>531</v>
      </c>
      <c r="S5344" t="str">
        <f>"BANCO C6 (149)"</f>
        <v>BANCO C6 (149)</v>
      </c>
      <c r="T5344">
        <v>32303</v>
      </c>
      <c r="U5344">
        <v>36063</v>
      </c>
      <c r="V5344" t="s">
        <v>37</v>
      </c>
    </row>
    <row r="5345" spans="1:22">
      <c r="A5345" t="str">
        <f t="shared" si="970"/>
        <v>26/03/2026</v>
      </c>
      <c r="B5345" t="str">
        <f t="shared" si="964"/>
        <v>SAÍDA</v>
      </c>
      <c r="C5345" t="str">
        <f t="shared" si="966"/>
        <v>PIX</v>
      </c>
      <c r="D5345" t="str">
        <f>"36063"</f>
        <v>36063</v>
      </c>
      <c r="E5345" t="str">
        <f t="shared" si="969"/>
        <v>1</v>
      </c>
      <c r="F5345" t="str">
        <f t="shared" si="967"/>
        <v>COM</v>
      </c>
      <c r="G5345" t="str">
        <f t="shared" si="971"/>
        <v>FABRICIO QUEIROZ DE OLIVEIRA (788)</v>
      </c>
      <c r="H5345" t="s">
        <v>1443</v>
      </c>
      <c r="I5345" t="str">
        <f t="shared" si="965"/>
        <v>26/03/2026</v>
      </c>
      <c r="J5345" t="str">
        <f t="shared" si="968"/>
        <v>23/03/2026</v>
      </c>
      <c r="K5345">
        <v>46107</v>
      </c>
      <c r="N5345">
        <v>109</v>
      </c>
      <c r="O5345" t="s">
        <v>27</v>
      </c>
      <c r="Q5345">
        <v>531</v>
      </c>
      <c r="R5345" t="str">
        <f>"FRAN FARMA LJ 2 (10131)"</f>
        <v>FRAN FARMA LJ 2 (10131)</v>
      </c>
      <c r="S5345" t="s">
        <v>37</v>
      </c>
      <c r="T5345">
        <v>32303</v>
      </c>
      <c r="U5345">
        <v>36063</v>
      </c>
      <c r="V5345" t="s">
        <v>37</v>
      </c>
    </row>
    <row r="5346" spans="1:22">
      <c r="A5346" t="str">
        <f t="shared" si="970"/>
        <v>26/03/2026</v>
      </c>
      <c r="B5346" t="str">
        <f t="shared" si="964"/>
        <v>SAÍDA</v>
      </c>
      <c r="C5346" t="str">
        <f t="shared" si="966"/>
        <v>PIX</v>
      </c>
      <c r="D5346" t="str">
        <f>"36064"</f>
        <v>36064</v>
      </c>
      <c r="E5346" t="str">
        <f t="shared" si="969"/>
        <v>1</v>
      </c>
      <c r="F5346" t="str">
        <f t="shared" si="967"/>
        <v>COM</v>
      </c>
      <c r="G5346" t="str">
        <f t="shared" si="971"/>
        <v>FABRICIO QUEIROZ DE OLIVEIRA (788)</v>
      </c>
      <c r="H5346" t="str">
        <f>"Serv.Prest. 16/03/2026 a 22/03/2026 - PIX: CPF - CHAVE: 138.798.486-10"</f>
        <v>Serv.Prest. 16/03/2026 a 22/03/2026 - PIX: CPF - CHAVE: 138.798.486-10</v>
      </c>
      <c r="I5346" t="str">
        <f t="shared" si="965"/>
        <v>26/03/2026</v>
      </c>
      <c r="J5346" t="str">
        <f t="shared" si="968"/>
        <v>23/03/2026</v>
      </c>
      <c r="K5346" t="str">
        <f>("26/03/2026")</f>
        <v>26/03/2026</v>
      </c>
      <c r="L5346">
        <v>180</v>
      </c>
      <c r="M5346">
        <v>180</v>
      </c>
      <c r="N5346">
        <v>109</v>
      </c>
      <c r="O5346" t="str">
        <f>"PAGAMENTO DE ENTREGADORES"</f>
        <v>PAGAMENTO DE ENTREGADORES</v>
      </c>
      <c r="P5346">
        <v>180</v>
      </c>
      <c r="S5346" t="str">
        <f>"BANCO C6 (149)"</f>
        <v>BANCO C6 (149)</v>
      </c>
      <c r="T5346">
        <v>32304</v>
      </c>
      <c r="U5346">
        <v>36064</v>
      </c>
      <c r="V5346" t="s">
        <v>37</v>
      </c>
    </row>
    <row r="5347" spans="1:22">
      <c r="A5347" t="str">
        <f t="shared" si="970"/>
        <v>26/03/2026</v>
      </c>
      <c r="B5347" t="str">
        <f t="shared" si="964"/>
        <v>SAÍDA</v>
      </c>
      <c r="C5347" t="str">
        <f t="shared" si="966"/>
        <v>PIX</v>
      </c>
      <c r="D5347" t="str">
        <f>"36064"</f>
        <v>36064</v>
      </c>
      <c r="E5347" t="str">
        <f t="shared" si="969"/>
        <v>1</v>
      </c>
      <c r="F5347" t="str">
        <f t="shared" si="967"/>
        <v>COM</v>
      </c>
      <c r="G5347" t="str">
        <f t="shared" si="971"/>
        <v>FABRICIO QUEIROZ DE OLIVEIRA (788)</v>
      </c>
      <c r="H5347" t="s">
        <v>1443</v>
      </c>
      <c r="I5347" t="str">
        <f t="shared" si="965"/>
        <v>26/03/2026</v>
      </c>
      <c r="J5347" t="str">
        <f t="shared" si="968"/>
        <v>23/03/2026</v>
      </c>
      <c r="K5347">
        <v>46107</v>
      </c>
      <c r="N5347">
        <v>109</v>
      </c>
      <c r="O5347" t="s">
        <v>27</v>
      </c>
      <c r="Q5347">
        <v>180</v>
      </c>
      <c r="R5347" t="str">
        <f>"FRAN FARMA LJ 3 (10132)"</f>
        <v>FRAN FARMA LJ 3 (10132)</v>
      </c>
      <c r="S5347" t="s">
        <v>37</v>
      </c>
      <c r="T5347">
        <v>32304</v>
      </c>
      <c r="U5347">
        <v>36064</v>
      </c>
      <c r="V5347" t="s">
        <v>37</v>
      </c>
    </row>
    <row r="5348" spans="1:22">
      <c r="A5348" t="str">
        <f t="shared" si="970"/>
        <v>26/03/2026</v>
      </c>
      <c r="B5348" t="str">
        <f t="shared" si="964"/>
        <v>SAÍDA</v>
      </c>
      <c r="C5348" t="str">
        <f t="shared" si="966"/>
        <v>PIX</v>
      </c>
      <c r="D5348" t="str">
        <f>"36066"</f>
        <v>36066</v>
      </c>
      <c r="E5348" t="str">
        <f t="shared" si="969"/>
        <v>1</v>
      </c>
      <c r="F5348" t="str">
        <f t="shared" si="967"/>
        <v>COM</v>
      </c>
      <c r="G5348" t="str">
        <f>"LUCAS EXPEDITO COUTO RODRIGUES (1365)"</f>
        <v>LUCAS EXPEDITO COUTO RODRIGUES (1365)</v>
      </c>
      <c r="H5348" t="str">
        <f>"Serv.Prest. 16/03/2026 a 22/03/2026 - PIX: CELULAR - CHAVE: (32) 99950-0526"</f>
        <v>Serv.Prest. 16/03/2026 a 22/03/2026 - PIX: CELULAR - CHAVE: (32) 99950-0526</v>
      </c>
      <c r="I5348" t="str">
        <f t="shared" si="965"/>
        <v>26/03/2026</v>
      </c>
      <c r="J5348" t="str">
        <f t="shared" si="968"/>
        <v>23/03/2026</v>
      </c>
      <c r="K5348" t="str">
        <f>("26/03/2026")</f>
        <v>26/03/2026</v>
      </c>
      <c r="L5348">
        <v>432</v>
      </c>
      <c r="M5348">
        <v>432</v>
      </c>
      <c r="N5348">
        <v>109</v>
      </c>
      <c r="O5348" t="str">
        <f>"PAGAMENTO DE ENTREGADORES"</f>
        <v>PAGAMENTO DE ENTREGADORES</v>
      </c>
      <c r="P5348">
        <v>432</v>
      </c>
      <c r="S5348" t="str">
        <f>"BANCO C6 (149)"</f>
        <v>BANCO C6 (149)</v>
      </c>
      <c r="T5348">
        <v>32305</v>
      </c>
      <c r="U5348">
        <v>36066</v>
      </c>
      <c r="V5348" t="s">
        <v>37</v>
      </c>
    </row>
    <row r="5349" spans="1:22">
      <c r="A5349" t="str">
        <f t="shared" si="970"/>
        <v>26/03/2026</v>
      </c>
      <c r="B5349" t="str">
        <f t="shared" si="964"/>
        <v>SAÍDA</v>
      </c>
      <c r="C5349" t="str">
        <f t="shared" si="966"/>
        <v>PIX</v>
      </c>
      <c r="D5349" t="str">
        <f>"36066"</f>
        <v>36066</v>
      </c>
      <c r="E5349" t="str">
        <f t="shared" si="969"/>
        <v>1</v>
      </c>
      <c r="F5349" t="str">
        <f t="shared" si="967"/>
        <v>COM</v>
      </c>
      <c r="G5349" t="str">
        <f>"LUCAS EXPEDITO COUTO RODRIGUES (1365)"</f>
        <v>LUCAS EXPEDITO COUTO RODRIGUES (1365)</v>
      </c>
      <c r="H5349" t="s">
        <v>1414</v>
      </c>
      <c r="I5349" t="str">
        <f t="shared" si="965"/>
        <v>26/03/2026</v>
      </c>
      <c r="J5349" t="str">
        <f t="shared" si="968"/>
        <v>23/03/2026</v>
      </c>
      <c r="K5349">
        <v>46107</v>
      </c>
      <c r="N5349">
        <v>109</v>
      </c>
      <c r="O5349" t="s">
        <v>27</v>
      </c>
      <c r="Q5349">
        <v>432</v>
      </c>
      <c r="R5349" t="str">
        <f>"ULTRA POPULAR  UBA 2 (10214)"</f>
        <v>ULTRA POPULAR  UBA 2 (10214)</v>
      </c>
      <c r="S5349" t="s">
        <v>37</v>
      </c>
      <c r="T5349">
        <v>32305</v>
      </c>
      <c r="U5349">
        <v>36066</v>
      </c>
      <c r="V5349" t="s">
        <v>37</v>
      </c>
    </row>
    <row r="5350" spans="1:22">
      <c r="A5350" t="str">
        <f t="shared" si="970"/>
        <v>26/03/2026</v>
      </c>
      <c r="B5350" t="str">
        <f t="shared" si="964"/>
        <v>SAÍDA</v>
      </c>
      <c r="C5350" t="str">
        <f t="shared" si="966"/>
        <v>PIX</v>
      </c>
      <c r="D5350" t="str">
        <f>"36067"</f>
        <v>36067</v>
      </c>
      <c r="E5350" t="str">
        <f t="shared" si="969"/>
        <v>1</v>
      </c>
      <c r="F5350" t="str">
        <f t="shared" si="967"/>
        <v>COM</v>
      </c>
      <c r="G5350" t="str">
        <f>"TALES SILVA MARIANO (431)"</f>
        <v>TALES SILVA MARIANO (431)</v>
      </c>
      <c r="H5350" t="str">
        <f>"Serv.Prest. 16/03/2026 a 22/03/2026 - PIX: CNPJ - CHAVE: 64.735.042/0001-53"</f>
        <v>Serv.Prest. 16/03/2026 a 22/03/2026 - PIX: CNPJ - CHAVE: 64.735.042/0001-53</v>
      </c>
      <c r="I5350" t="str">
        <f t="shared" si="965"/>
        <v>26/03/2026</v>
      </c>
      <c r="J5350" t="str">
        <f t="shared" si="968"/>
        <v>23/03/2026</v>
      </c>
      <c r="K5350" t="str">
        <f>("26/03/2026")</f>
        <v>26/03/2026</v>
      </c>
      <c r="L5350">
        <v>282</v>
      </c>
      <c r="M5350">
        <v>282</v>
      </c>
      <c r="N5350">
        <v>109</v>
      </c>
      <c r="O5350" t="str">
        <f>"PAGAMENTO DE ENTREGADORES"</f>
        <v>PAGAMENTO DE ENTREGADORES</v>
      </c>
      <c r="P5350">
        <v>282</v>
      </c>
      <c r="S5350" t="str">
        <f>"BANCO C6 (149)"</f>
        <v>BANCO C6 (149)</v>
      </c>
      <c r="T5350">
        <v>32306</v>
      </c>
      <c r="U5350">
        <v>36067</v>
      </c>
      <c r="V5350" t="s">
        <v>37</v>
      </c>
    </row>
    <row r="5351" spans="1:22">
      <c r="A5351" t="str">
        <f t="shared" si="970"/>
        <v>26/03/2026</v>
      </c>
      <c r="B5351" t="str">
        <f t="shared" si="964"/>
        <v>SAÍDA</v>
      </c>
      <c r="C5351" t="str">
        <f t="shared" si="966"/>
        <v>PIX</v>
      </c>
      <c r="D5351" t="str">
        <f>"36067"</f>
        <v>36067</v>
      </c>
      <c r="E5351" t="str">
        <f t="shared" si="969"/>
        <v>1</v>
      </c>
      <c r="F5351" t="str">
        <f t="shared" si="967"/>
        <v>COM</v>
      </c>
      <c r="G5351" t="str">
        <f>"TALES SILVA MARIANO (431)"</f>
        <v>TALES SILVA MARIANO (431)</v>
      </c>
      <c r="H5351" t="s">
        <v>1417</v>
      </c>
      <c r="I5351" t="str">
        <f t="shared" si="965"/>
        <v>26/03/2026</v>
      </c>
      <c r="J5351" t="str">
        <f t="shared" si="968"/>
        <v>23/03/2026</v>
      </c>
      <c r="K5351">
        <v>46107</v>
      </c>
      <c r="N5351">
        <v>109</v>
      </c>
      <c r="O5351" t="s">
        <v>27</v>
      </c>
      <c r="Q5351">
        <v>282</v>
      </c>
      <c r="R5351" t="str">
        <f>"ULTRA POPULAR  UBA 2 (10214)"</f>
        <v>ULTRA POPULAR  UBA 2 (10214)</v>
      </c>
      <c r="S5351" t="s">
        <v>37</v>
      </c>
      <c r="T5351">
        <v>32306</v>
      </c>
      <c r="U5351">
        <v>36067</v>
      </c>
      <c r="V5351" t="s">
        <v>37</v>
      </c>
    </row>
    <row r="5352" spans="1:22">
      <c r="A5352" t="str">
        <f t="shared" si="970"/>
        <v>26/03/2026</v>
      </c>
      <c r="B5352" t="str">
        <f t="shared" si="964"/>
        <v>SAÍDA</v>
      </c>
      <c r="C5352" t="str">
        <f t="shared" si="966"/>
        <v>PIX</v>
      </c>
      <c r="D5352" t="str">
        <f>"36070"</f>
        <v>36070</v>
      </c>
      <c r="E5352" t="str">
        <f t="shared" si="969"/>
        <v>1</v>
      </c>
      <c r="F5352" t="str">
        <f t="shared" si="967"/>
        <v>COM</v>
      </c>
      <c r="G5352" t="str">
        <f>"SAMUEL SOARES DA SILVA (867)"</f>
        <v>SAMUEL SOARES DA SILVA (867)</v>
      </c>
      <c r="H5352" t="str">
        <f>"Serv.Prest. 16/03/2026 a 22/03/2026 - PIX: CPF - CHAVE: 396.124.108-28"</f>
        <v>Serv.Prest. 16/03/2026 a 22/03/2026 - PIX: CPF - CHAVE: 396.124.108-28</v>
      </c>
      <c r="I5352" t="str">
        <f t="shared" si="965"/>
        <v>26/03/2026</v>
      </c>
      <c r="J5352" t="str">
        <f t="shared" si="968"/>
        <v>23/03/2026</v>
      </c>
      <c r="K5352" t="str">
        <f>("26/03/2026")</f>
        <v>26/03/2026</v>
      </c>
      <c r="L5352">
        <v>1400</v>
      </c>
      <c r="M5352">
        <v>1400</v>
      </c>
      <c r="N5352">
        <v>109</v>
      </c>
      <c r="O5352" t="str">
        <f>"PAGAMENTO DE ENTREGADORES"</f>
        <v>PAGAMENTO DE ENTREGADORES</v>
      </c>
      <c r="P5352">
        <v>1400</v>
      </c>
      <c r="S5352" t="str">
        <f>"BANCO C6 (149)"</f>
        <v>BANCO C6 (149)</v>
      </c>
      <c r="T5352">
        <v>32307</v>
      </c>
      <c r="U5352">
        <v>36070</v>
      </c>
      <c r="V5352" t="s">
        <v>37</v>
      </c>
    </row>
    <row r="5353" spans="1:22">
      <c r="A5353" t="str">
        <f t="shared" si="970"/>
        <v>26/03/2026</v>
      </c>
      <c r="B5353" t="str">
        <f t="shared" si="964"/>
        <v>SAÍDA</v>
      </c>
      <c r="C5353" t="str">
        <f t="shared" si="966"/>
        <v>PIX</v>
      </c>
      <c r="D5353" t="str">
        <f>"36070"</f>
        <v>36070</v>
      </c>
      <c r="E5353" t="str">
        <f t="shared" si="969"/>
        <v>1</v>
      </c>
      <c r="F5353" t="str">
        <f t="shared" si="967"/>
        <v>COM</v>
      </c>
      <c r="G5353" t="str">
        <f>"SAMUEL SOARES DA SILVA (867)"</f>
        <v>SAMUEL SOARES DA SILVA (867)</v>
      </c>
      <c r="H5353" t="s">
        <v>1444</v>
      </c>
      <c r="I5353" t="str">
        <f t="shared" si="965"/>
        <v>26/03/2026</v>
      </c>
      <c r="J5353" t="str">
        <f t="shared" si="968"/>
        <v>23/03/2026</v>
      </c>
      <c r="K5353">
        <v>46107</v>
      </c>
      <c r="N5353">
        <v>109</v>
      </c>
      <c r="O5353" t="s">
        <v>27</v>
      </c>
      <c r="Q5353">
        <v>1400</v>
      </c>
      <c r="R5353" t="str">
        <f>"DROGA ELIDA (10121)"</f>
        <v>DROGA ELIDA (10121)</v>
      </c>
      <c r="S5353" t="s">
        <v>37</v>
      </c>
      <c r="T5353">
        <v>32307</v>
      </c>
      <c r="U5353">
        <v>36070</v>
      </c>
      <c r="V5353" t="s">
        <v>37</v>
      </c>
    </row>
    <row r="5354" spans="1:22">
      <c r="A5354" t="str">
        <f t="shared" si="970"/>
        <v>26/03/2026</v>
      </c>
      <c r="B5354" t="str">
        <f t="shared" si="964"/>
        <v>SAÍDA</v>
      </c>
      <c r="C5354" t="str">
        <f t="shared" si="966"/>
        <v>PIX</v>
      </c>
      <c r="D5354" t="str">
        <f>"36072"</f>
        <v>36072</v>
      </c>
      <c r="E5354" t="str">
        <f t="shared" si="969"/>
        <v>1</v>
      </c>
      <c r="F5354" t="str">
        <f t="shared" si="967"/>
        <v>COM</v>
      </c>
      <c r="G5354" t="str">
        <f>"DEIVID FERNANDES COSTA (828)"</f>
        <v>DEIVID FERNANDES COSTA (828)</v>
      </c>
      <c r="H5354" t="str">
        <f>"Serv.Prest. 16/03/2026 a 22/03/2026 - PIX: CELULAR - CHAVE: (62) 99550-3226"</f>
        <v>Serv.Prest. 16/03/2026 a 22/03/2026 - PIX: CELULAR - CHAVE: (62) 99550-3226</v>
      </c>
      <c r="I5354" t="str">
        <f t="shared" si="965"/>
        <v>26/03/2026</v>
      </c>
      <c r="J5354" t="str">
        <f t="shared" si="968"/>
        <v>23/03/2026</v>
      </c>
      <c r="K5354" t="str">
        <f>("26/03/2026")</f>
        <v>26/03/2026</v>
      </c>
      <c r="L5354">
        <v>960</v>
      </c>
      <c r="M5354">
        <v>960</v>
      </c>
      <c r="N5354">
        <v>109</v>
      </c>
      <c r="O5354" t="str">
        <f>"PAGAMENTO DE ENTREGADORES"</f>
        <v>PAGAMENTO DE ENTREGADORES</v>
      </c>
      <c r="P5354">
        <v>960</v>
      </c>
      <c r="S5354" t="str">
        <f>"BANCO C6 (149)"</f>
        <v>BANCO C6 (149)</v>
      </c>
      <c r="T5354">
        <v>32308</v>
      </c>
      <c r="U5354">
        <v>36072</v>
      </c>
      <c r="V5354" t="s">
        <v>37</v>
      </c>
    </row>
    <row r="5355" spans="1:22">
      <c r="A5355" t="str">
        <f t="shared" si="970"/>
        <v>26/03/2026</v>
      </c>
      <c r="B5355" t="str">
        <f t="shared" si="964"/>
        <v>SAÍDA</v>
      </c>
      <c r="C5355" t="str">
        <f t="shared" si="966"/>
        <v>PIX</v>
      </c>
      <c r="D5355" t="str">
        <f>"36072"</f>
        <v>36072</v>
      </c>
      <c r="E5355" t="str">
        <f t="shared" si="969"/>
        <v>1</v>
      </c>
      <c r="F5355" t="str">
        <f t="shared" si="967"/>
        <v>COM</v>
      </c>
      <c r="G5355" t="str">
        <f>"DEIVID FERNANDES COSTA (828)"</f>
        <v>DEIVID FERNANDES COSTA (828)</v>
      </c>
      <c r="H5355" t="s">
        <v>1445</v>
      </c>
      <c r="I5355" t="str">
        <f t="shared" si="965"/>
        <v>26/03/2026</v>
      </c>
      <c r="J5355" t="str">
        <f t="shared" si="968"/>
        <v>23/03/2026</v>
      </c>
      <c r="K5355">
        <v>46107</v>
      </c>
      <c r="N5355">
        <v>109</v>
      </c>
      <c r="O5355" t="s">
        <v>27</v>
      </c>
      <c r="Q5355">
        <v>960</v>
      </c>
      <c r="R5355" t="str">
        <f>"DROGARIA BEM ESTAR (10193)"</f>
        <v>DROGARIA BEM ESTAR (10193)</v>
      </c>
      <c r="S5355" t="s">
        <v>37</v>
      </c>
      <c r="T5355">
        <v>32308</v>
      </c>
      <c r="U5355">
        <v>36072</v>
      </c>
      <c r="V5355" t="s">
        <v>37</v>
      </c>
    </row>
    <row r="5356" spans="1:22">
      <c r="A5356" t="str">
        <f t="shared" si="970"/>
        <v>26/03/2026</v>
      </c>
      <c r="B5356" t="str">
        <f t="shared" si="964"/>
        <v>SAÍDA</v>
      </c>
      <c r="C5356" t="str">
        <f t="shared" si="966"/>
        <v>PIX</v>
      </c>
      <c r="D5356" t="str">
        <f>"36073"</f>
        <v>36073</v>
      </c>
      <c r="E5356" t="str">
        <f t="shared" si="969"/>
        <v>1</v>
      </c>
      <c r="F5356" t="str">
        <f t="shared" si="967"/>
        <v>COM</v>
      </c>
      <c r="G5356" t="str">
        <f>"MARCELO FERNANDES DA SILVA (1041)"</f>
        <v>MARCELO FERNANDES DA SILVA (1041)</v>
      </c>
      <c r="H5356" t="str">
        <f>"Serv.Prest. 16/03/2026 a 22/03/2026 - PIX: E-MAIL - CHAVE: taison10032@hotmail.com"</f>
        <v>Serv.Prest. 16/03/2026 a 22/03/2026 - PIX: E-MAIL - CHAVE: taison10032@hotmail.com</v>
      </c>
      <c r="I5356" t="str">
        <f t="shared" si="965"/>
        <v>26/03/2026</v>
      </c>
      <c r="J5356" t="str">
        <f t="shared" si="968"/>
        <v>23/03/2026</v>
      </c>
      <c r="K5356" t="str">
        <f>("26/03/2026")</f>
        <v>26/03/2026</v>
      </c>
      <c r="L5356">
        <v>570</v>
      </c>
      <c r="M5356">
        <v>570</v>
      </c>
      <c r="N5356">
        <v>109</v>
      </c>
      <c r="O5356" t="str">
        <f>"PAGAMENTO DE ENTREGADORES"</f>
        <v>PAGAMENTO DE ENTREGADORES</v>
      </c>
      <c r="P5356">
        <v>570</v>
      </c>
      <c r="S5356" t="str">
        <f>"BANCO C6 (149)"</f>
        <v>BANCO C6 (149)</v>
      </c>
      <c r="T5356">
        <v>32309</v>
      </c>
      <c r="U5356">
        <v>36073</v>
      </c>
      <c r="V5356" t="s">
        <v>37</v>
      </c>
    </row>
    <row r="5357" spans="1:22">
      <c r="A5357" t="str">
        <f t="shared" si="970"/>
        <v>26/03/2026</v>
      </c>
      <c r="B5357" t="str">
        <f t="shared" si="964"/>
        <v>SAÍDA</v>
      </c>
      <c r="C5357" t="str">
        <f t="shared" si="966"/>
        <v>PIX</v>
      </c>
      <c r="D5357" t="str">
        <f>"36073"</f>
        <v>36073</v>
      </c>
      <c r="E5357" t="str">
        <f t="shared" si="969"/>
        <v>1</v>
      </c>
      <c r="F5357" t="str">
        <f t="shared" si="967"/>
        <v>COM</v>
      </c>
      <c r="G5357" t="str">
        <f>"MARCELO FERNANDES DA SILVA (1041)"</f>
        <v>MARCELO FERNANDES DA SILVA (1041)</v>
      </c>
      <c r="H5357" t="s">
        <v>1446</v>
      </c>
      <c r="I5357" t="str">
        <f t="shared" si="965"/>
        <v>26/03/2026</v>
      </c>
      <c r="J5357" t="str">
        <f t="shared" si="968"/>
        <v>23/03/2026</v>
      </c>
      <c r="K5357">
        <v>46107</v>
      </c>
      <c r="N5357">
        <v>109</v>
      </c>
      <c r="O5357" t="s">
        <v>27</v>
      </c>
      <c r="Q5357">
        <v>570</v>
      </c>
      <c r="R5357" t="str">
        <f>"DROGARIA BEM ESTAR (10193)"</f>
        <v>DROGARIA BEM ESTAR (10193)</v>
      </c>
      <c r="S5357" t="s">
        <v>37</v>
      </c>
      <c r="T5357">
        <v>32309</v>
      </c>
      <c r="U5357">
        <v>36073</v>
      </c>
      <c r="V5357" t="s">
        <v>37</v>
      </c>
    </row>
    <row r="5358" spans="1:22">
      <c r="A5358" t="str">
        <f t="shared" si="970"/>
        <v>26/03/2026</v>
      </c>
      <c r="B5358" t="str">
        <f t="shared" si="964"/>
        <v>SAÍDA</v>
      </c>
      <c r="C5358" t="str">
        <f t="shared" si="966"/>
        <v>PIX</v>
      </c>
      <c r="D5358" t="str">
        <f>"36075"</f>
        <v>36075</v>
      </c>
      <c r="E5358" t="str">
        <f t="shared" si="969"/>
        <v>1</v>
      </c>
      <c r="F5358" t="str">
        <f t="shared" si="967"/>
        <v>COM</v>
      </c>
      <c r="G5358" t="str">
        <f>"MARCOS VINICIUS PEREIRA DANTAS (1363)"</f>
        <v>MARCOS VINICIUS PEREIRA DANTAS (1363)</v>
      </c>
      <c r="H5358" t="str">
        <f>"Serv.Prest. 16/03/2026 a 22/03/2026 - PIX: CPF - CHAVE: 702.454.186-52"</f>
        <v>Serv.Prest. 16/03/2026 a 22/03/2026 - PIX: CPF - CHAVE: 702.454.186-52</v>
      </c>
      <c r="I5358" t="str">
        <f t="shared" si="965"/>
        <v>26/03/2026</v>
      </c>
      <c r="J5358" t="str">
        <f t="shared" si="968"/>
        <v>23/03/2026</v>
      </c>
      <c r="K5358" t="str">
        <f>("26/03/2026")</f>
        <v>26/03/2026</v>
      </c>
      <c r="L5358">
        <v>1176</v>
      </c>
      <c r="M5358">
        <v>1176</v>
      </c>
      <c r="N5358">
        <v>109</v>
      </c>
      <c r="O5358" t="str">
        <f>"PAGAMENTO DE ENTREGADORES"</f>
        <v>PAGAMENTO DE ENTREGADORES</v>
      </c>
      <c r="P5358">
        <v>1176</v>
      </c>
      <c r="S5358" t="str">
        <f>"BANCO C6 (149)"</f>
        <v>BANCO C6 (149)</v>
      </c>
      <c r="T5358">
        <v>32310</v>
      </c>
      <c r="U5358">
        <v>36075</v>
      </c>
      <c r="V5358" t="s">
        <v>37</v>
      </c>
    </row>
    <row r="5359" spans="1:22">
      <c r="A5359" t="str">
        <f t="shared" si="970"/>
        <v>26/03/2026</v>
      </c>
      <c r="B5359" t="str">
        <f t="shared" si="964"/>
        <v>SAÍDA</v>
      </c>
      <c r="C5359" t="str">
        <f t="shared" si="966"/>
        <v>PIX</v>
      </c>
      <c r="D5359" t="str">
        <f>"36075"</f>
        <v>36075</v>
      </c>
      <c r="E5359" t="str">
        <f t="shared" si="969"/>
        <v>1</v>
      </c>
      <c r="F5359" t="str">
        <f t="shared" si="967"/>
        <v>COM</v>
      </c>
      <c r="G5359" t="str">
        <f>"MARCOS VINICIUS PEREIRA DANTAS (1363)"</f>
        <v>MARCOS VINICIUS PEREIRA DANTAS (1363)</v>
      </c>
      <c r="H5359" t="s">
        <v>1447</v>
      </c>
      <c r="I5359" t="str">
        <f t="shared" si="965"/>
        <v>26/03/2026</v>
      </c>
      <c r="J5359" t="str">
        <f t="shared" si="968"/>
        <v>23/03/2026</v>
      </c>
      <c r="K5359">
        <v>46107</v>
      </c>
      <c r="N5359">
        <v>109</v>
      </c>
      <c r="O5359" t="s">
        <v>27</v>
      </c>
      <c r="Q5359">
        <v>1176</v>
      </c>
      <c r="R5359" t="str">
        <f>"DROGARIA NIQUINHO (10257)"</f>
        <v>DROGARIA NIQUINHO (10257)</v>
      </c>
      <c r="S5359" t="s">
        <v>37</v>
      </c>
      <c r="T5359">
        <v>32310</v>
      </c>
      <c r="U5359">
        <v>36075</v>
      </c>
      <c r="V5359" t="s">
        <v>37</v>
      </c>
    </row>
    <row r="5360" spans="1:22">
      <c r="A5360" t="str">
        <f t="shared" si="970"/>
        <v>26/03/2026</v>
      </c>
      <c r="B5360" t="str">
        <f t="shared" ref="B5360:B5423" si="972">"SAÍDA"</f>
        <v>SAÍDA</v>
      </c>
      <c r="C5360" t="str">
        <f t="shared" si="966"/>
        <v>PIX</v>
      </c>
      <c r="D5360" t="str">
        <f>"36076"</f>
        <v>36076</v>
      </c>
      <c r="E5360" t="str">
        <f t="shared" si="969"/>
        <v>1</v>
      </c>
      <c r="F5360" t="str">
        <f t="shared" si="967"/>
        <v>COM</v>
      </c>
      <c r="G5360" t="str">
        <f>"ROBERTO RUELA DE OLIVEIRA (1082)"</f>
        <v>ROBERTO RUELA DE OLIVEIRA (1082)</v>
      </c>
      <c r="H5360" t="str">
        <f>"Serv.Prest. 16/03/2026 a 22/03/2026 - PIX: CPF - CHAVE: 568.250.486-00"</f>
        <v>Serv.Prest. 16/03/2026 a 22/03/2026 - PIX: CPF - CHAVE: 568.250.486-00</v>
      </c>
      <c r="I5360" t="str">
        <f t="shared" ref="I5360:I5423" si="973">("26/03/2026")</f>
        <v>26/03/2026</v>
      </c>
      <c r="J5360" t="str">
        <f t="shared" si="968"/>
        <v>23/03/2026</v>
      </c>
      <c r="K5360" t="str">
        <f>("26/03/2026")</f>
        <v>26/03/2026</v>
      </c>
      <c r="L5360">
        <v>1278</v>
      </c>
      <c r="M5360">
        <v>1278</v>
      </c>
      <c r="N5360">
        <v>109</v>
      </c>
      <c r="O5360" t="str">
        <f>"PAGAMENTO DE ENTREGADORES"</f>
        <v>PAGAMENTO DE ENTREGADORES</v>
      </c>
      <c r="P5360">
        <v>1278</v>
      </c>
      <c r="S5360" t="str">
        <f>"BANCO C6 (149)"</f>
        <v>BANCO C6 (149)</v>
      </c>
      <c r="T5360">
        <v>32311</v>
      </c>
      <c r="U5360">
        <v>36076</v>
      </c>
      <c r="V5360" t="s">
        <v>37</v>
      </c>
    </row>
    <row r="5361" spans="1:22">
      <c r="A5361" t="str">
        <f t="shared" si="970"/>
        <v>26/03/2026</v>
      </c>
      <c r="B5361" t="str">
        <f t="shared" si="972"/>
        <v>SAÍDA</v>
      </c>
      <c r="C5361" t="str">
        <f t="shared" si="966"/>
        <v>PIX</v>
      </c>
      <c r="D5361" t="str">
        <f>"36076"</f>
        <v>36076</v>
      </c>
      <c r="E5361" t="str">
        <f t="shared" si="969"/>
        <v>1</v>
      </c>
      <c r="F5361" t="str">
        <f t="shared" si="967"/>
        <v>COM</v>
      </c>
      <c r="G5361" t="str">
        <f>"ROBERTO RUELA DE OLIVEIRA (1082)"</f>
        <v>ROBERTO RUELA DE OLIVEIRA (1082)</v>
      </c>
      <c r="H5361" t="s">
        <v>1448</v>
      </c>
      <c r="I5361" t="str">
        <f t="shared" si="973"/>
        <v>26/03/2026</v>
      </c>
      <c r="J5361" t="str">
        <f t="shared" si="968"/>
        <v>23/03/2026</v>
      </c>
      <c r="K5361">
        <v>46107</v>
      </c>
      <c r="N5361">
        <v>109</v>
      </c>
      <c r="O5361" t="s">
        <v>27</v>
      </c>
      <c r="Q5361">
        <v>1278</v>
      </c>
      <c r="R5361" t="str">
        <f>"DROGARIA NIQUINHO (10257)"</f>
        <v>DROGARIA NIQUINHO (10257)</v>
      </c>
      <c r="S5361" t="s">
        <v>37</v>
      </c>
      <c r="T5361">
        <v>32311</v>
      </c>
      <c r="U5361">
        <v>36076</v>
      </c>
      <c r="V5361" t="s">
        <v>37</v>
      </c>
    </row>
    <row r="5362" spans="1:22">
      <c r="A5362" t="str">
        <f t="shared" si="970"/>
        <v>26/03/2026</v>
      </c>
      <c r="B5362" t="str">
        <f t="shared" si="972"/>
        <v>SAÍDA</v>
      </c>
      <c r="C5362" t="str">
        <f t="shared" si="966"/>
        <v>PIX</v>
      </c>
      <c r="D5362" t="str">
        <f>"36078"</f>
        <v>36078</v>
      </c>
      <c r="E5362" t="str">
        <f t="shared" si="969"/>
        <v>1</v>
      </c>
      <c r="F5362" t="str">
        <f t="shared" si="967"/>
        <v>COM</v>
      </c>
      <c r="G5362" t="str">
        <f>"FLÁVIO VICTOR NUNES DA SILVA SANTOS (1142)"</f>
        <v>FLÁVIO VICTOR NUNES DA SILVA SANTOS (1142)</v>
      </c>
      <c r="H5362" t="str">
        <f>"Serv.Prest. 16/03/2026 a 22/03/2026 - PIX: E-MAIL - CHAVE: flaviovictorxiaomi@gmail.com"</f>
        <v>Serv.Prest. 16/03/2026 a 22/03/2026 - PIX: E-MAIL - CHAVE: flaviovictorxiaomi@gmail.com</v>
      </c>
      <c r="I5362" t="str">
        <f t="shared" si="973"/>
        <v>26/03/2026</v>
      </c>
      <c r="J5362" t="str">
        <f t="shared" si="968"/>
        <v>23/03/2026</v>
      </c>
      <c r="K5362" t="str">
        <f>("26/03/2026")</f>
        <v>26/03/2026</v>
      </c>
      <c r="L5362">
        <v>1824</v>
      </c>
      <c r="M5362">
        <v>1824</v>
      </c>
      <c r="N5362">
        <v>109</v>
      </c>
      <c r="O5362" t="str">
        <f>"PAGAMENTO DE ENTREGADORES"</f>
        <v>PAGAMENTO DE ENTREGADORES</v>
      </c>
      <c r="P5362">
        <v>1824</v>
      </c>
      <c r="S5362" t="str">
        <f>"BANCO C6 (149)"</f>
        <v>BANCO C6 (149)</v>
      </c>
      <c r="T5362">
        <v>32312</v>
      </c>
      <c r="U5362">
        <v>36078</v>
      </c>
      <c r="V5362" t="s">
        <v>37</v>
      </c>
    </row>
    <row r="5363" spans="1:22">
      <c r="A5363" t="str">
        <f t="shared" si="970"/>
        <v>26/03/2026</v>
      </c>
      <c r="B5363" t="str">
        <f t="shared" si="972"/>
        <v>SAÍDA</v>
      </c>
      <c r="C5363" t="str">
        <f t="shared" si="966"/>
        <v>PIX</v>
      </c>
      <c r="D5363" t="str">
        <f>"36078"</f>
        <v>36078</v>
      </c>
      <c r="E5363" t="str">
        <f t="shared" si="969"/>
        <v>1</v>
      </c>
      <c r="F5363" t="str">
        <f t="shared" si="967"/>
        <v>COM</v>
      </c>
      <c r="G5363" t="str">
        <f>"FLÁVIO VICTOR NUNES DA SILVA SANTOS (1142)"</f>
        <v>FLÁVIO VICTOR NUNES DA SILVA SANTOS (1142)</v>
      </c>
      <c r="H5363" t="s">
        <v>1449</v>
      </c>
      <c r="I5363" t="str">
        <f t="shared" si="973"/>
        <v>26/03/2026</v>
      </c>
      <c r="J5363" t="str">
        <f t="shared" si="968"/>
        <v>23/03/2026</v>
      </c>
      <c r="K5363">
        <v>46107</v>
      </c>
      <c r="N5363">
        <v>109</v>
      </c>
      <c r="O5363" t="s">
        <v>27</v>
      </c>
      <c r="Q5363">
        <v>1824</v>
      </c>
      <c r="R5363" t="str">
        <f>"DROGARIA VAZ (10179)"</f>
        <v>DROGARIA VAZ (10179)</v>
      </c>
      <c r="S5363" t="s">
        <v>37</v>
      </c>
      <c r="T5363">
        <v>32312</v>
      </c>
      <c r="U5363">
        <v>36078</v>
      </c>
      <c r="V5363" t="s">
        <v>37</v>
      </c>
    </row>
    <row r="5364" spans="1:22">
      <c r="A5364" t="str">
        <f t="shared" si="970"/>
        <v>26/03/2026</v>
      </c>
      <c r="B5364" t="str">
        <f t="shared" si="972"/>
        <v>SAÍDA</v>
      </c>
      <c r="C5364" t="str">
        <f t="shared" si="966"/>
        <v>PIX</v>
      </c>
      <c r="D5364" t="str">
        <f>"36080"</f>
        <v>36080</v>
      </c>
      <c r="E5364" t="str">
        <f t="shared" si="969"/>
        <v>1</v>
      </c>
      <c r="F5364" t="str">
        <f t="shared" si="967"/>
        <v>COM</v>
      </c>
      <c r="G5364" t="str">
        <f>"AGATTA DE LOURDES SILVA (1266)"</f>
        <v>AGATTA DE LOURDES SILVA (1266)</v>
      </c>
      <c r="H5364" t="str">
        <f>"Serv.Prest. 16/03/2026 a 22/03/2026 - PIX: CELULAR - CHAVE: (32) 98492-7371"</f>
        <v>Serv.Prest. 16/03/2026 a 22/03/2026 - PIX: CELULAR - CHAVE: (32) 98492-7371</v>
      </c>
      <c r="I5364" t="str">
        <f t="shared" si="973"/>
        <v>26/03/2026</v>
      </c>
      <c r="J5364" t="str">
        <f t="shared" si="968"/>
        <v>23/03/2026</v>
      </c>
      <c r="K5364" t="str">
        <f>("26/03/2026")</f>
        <v>26/03/2026</v>
      </c>
      <c r="L5364">
        <v>816</v>
      </c>
      <c r="M5364">
        <v>816</v>
      </c>
      <c r="N5364">
        <v>109</v>
      </c>
      <c r="O5364" t="str">
        <f>"PAGAMENTO DE ENTREGADORES"</f>
        <v>PAGAMENTO DE ENTREGADORES</v>
      </c>
      <c r="P5364">
        <v>816</v>
      </c>
      <c r="S5364" t="str">
        <f>"BANCO C6 (149)"</f>
        <v>BANCO C6 (149)</v>
      </c>
      <c r="T5364">
        <v>32313</v>
      </c>
      <c r="U5364">
        <v>36080</v>
      </c>
      <c r="V5364" t="s">
        <v>37</v>
      </c>
    </row>
    <row r="5365" spans="1:22">
      <c r="A5365" t="str">
        <f t="shared" si="970"/>
        <v>26/03/2026</v>
      </c>
      <c r="B5365" t="str">
        <f t="shared" si="972"/>
        <v>SAÍDA</v>
      </c>
      <c r="C5365" t="str">
        <f t="shared" si="966"/>
        <v>PIX</v>
      </c>
      <c r="D5365" t="str">
        <f>"36080"</f>
        <v>36080</v>
      </c>
      <c r="E5365" t="str">
        <f t="shared" si="969"/>
        <v>1</v>
      </c>
      <c r="F5365" t="str">
        <f t="shared" si="967"/>
        <v>COM</v>
      </c>
      <c r="G5365" t="str">
        <f>"AGATTA DE LOURDES SILVA (1266)"</f>
        <v>AGATTA DE LOURDES SILVA (1266)</v>
      </c>
      <c r="H5365" t="s">
        <v>1450</v>
      </c>
      <c r="I5365" t="str">
        <f t="shared" si="973"/>
        <v>26/03/2026</v>
      </c>
      <c r="J5365" t="str">
        <f t="shared" si="968"/>
        <v>23/03/2026</v>
      </c>
      <c r="K5365">
        <v>46107</v>
      </c>
      <c r="N5365">
        <v>109</v>
      </c>
      <c r="O5365" t="s">
        <v>27</v>
      </c>
      <c r="Q5365">
        <v>816</v>
      </c>
      <c r="R5365" t="str">
        <f>"FARMA &amp; FORMA (10296)"</f>
        <v>FARMA &amp; FORMA (10296)</v>
      </c>
      <c r="S5365" t="s">
        <v>37</v>
      </c>
      <c r="T5365">
        <v>32313</v>
      </c>
      <c r="U5365">
        <v>36080</v>
      </c>
      <c r="V5365" t="s">
        <v>37</v>
      </c>
    </row>
    <row r="5366" spans="1:22">
      <c r="A5366" t="str">
        <f t="shared" si="970"/>
        <v>26/03/2026</v>
      </c>
      <c r="B5366" t="str">
        <f t="shared" si="972"/>
        <v>SAÍDA</v>
      </c>
      <c r="C5366" t="str">
        <f t="shared" ref="C5366:C5434" si="974">"PIX"</f>
        <v>PIX</v>
      </c>
      <c r="D5366" t="str">
        <f>"36081"</f>
        <v>36081</v>
      </c>
      <c r="E5366" t="str">
        <f t="shared" si="969"/>
        <v>1</v>
      </c>
      <c r="F5366" t="str">
        <f t="shared" si="967"/>
        <v>COM</v>
      </c>
      <c r="G5366" t="str">
        <f>"WILIANA RODRIGUES E RODRIGUES (398)"</f>
        <v>WILIANA RODRIGUES E RODRIGUES (398)</v>
      </c>
      <c r="H5366" t="str">
        <f>"Serv.Prest. 16/03/2026 a 22/03/2026 - PIX: CPF - CHAVE: 016.203.336-27"</f>
        <v>Serv.Prest. 16/03/2026 a 22/03/2026 - PIX: CPF - CHAVE: 016.203.336-27</v>
      </c>
      <c r="I5366" t="str">
        <f t="shared" si="973"/>
        <v>26/03/2026</v>
      </c>
      <c r="J5366" t="str">
        <f t="shared" si="968"/>
        <v>23/03/2026</v>
      </c>
      <c r="K5366" t="str">
        <f>("26/03/2026")</f>
        <v>26/03/2026</v>
      </c>
      <c r="L5366">
        <v>696</v>
      </c>
      <c r="M5366">
        <v>696</v>
      </c>
      <c r="N5366">
        <v>109</v>
      </c>
      <c r="O5366" t="str">
        <f>"PAGAMENTO DE ENTREGADORES"</f>
        <v>PAGAMENTO DE ENTREGADORES</v>
      </c>
      <c r="P5366">
        <v>696</v>
      </c>
      <c r="S5366" t="str">
        <f>"BANCO C6 (149)"</f>
        <v>BANCO C6 (149)</v>
      </c>
      <c r="T5366">
        <v>32314</v>
      </c>
      <c r="U5366">
        <v>36081</v>
      </c>
      <c r="V5366" t="s">
        <v>37</v>
      </c>
    </row>
    <row r="5367" spans="1:22">
      <c r="A5367" t="str">
        <f t="shared" si="970"/>
        <v>26/03/2026</v>
      </c>
      <c r="B5367" t="str">
        <f t="shared" si="972"/>
        <v>SAÍDA</v>
      </c>
      <c r="C5367" t="str">
        <f t="shared" si="974"/>
        <v>PIX</v>
      </c>
      <c r="D5367" t="str">
        <f>"36081"</f>
        <v>36081</v>
      </c>
      <c r="E5367" t="str">
        <f t="shared" si="969"/>
        <v>1</v>
      </c>
      <c r="F5367" t="str">
        <f t="shared" si="967"/>
        <v>COM</v>
      </c>
      <c r="G5367" t="str">
        <f>"WILIANA RODRIGUES E RODRIGUES (398)"</f>
        <v>WILIANA RODRIGUES E RODRIGUES (398)</v>
      </c>
      <c r="H5367" t="s">
        <v>1419</v>
      </c>
      <c r="I5367" t="str">
        <f t="shared" si="973"/>
        <v>26/03/2026</v>
      </c>
      <c r="J5367" t="str">
        <f t="shared" si="968"/>
        <v>23/03/2026</v>
      </c>
      <c r="K5367">
        <v>46107</v>
      </c>
      <c r="N5367">
        <v>109</v>
      </c>
      <c r="O5367" t="s">
        <v>27</v>
      </c>
      <c r="Q5367">
        <v>696</v>
      </c>
      <c r="R5367" t="str">
        <f>"FARMA &amp; FORMA (10296)"</f>
        <v>FARMA &amp; FORMA (10296)</v>
      </c>
      <c r="S5367" t="s">
        <v>37</v>
      </c>
      <c r="T5367">
        <v>32314</v>
      </c>
      <c r="U5367">
        <v>36081</v>
      </c>
      <c r="V5367" t="s">
        <v>37</v>
      </c>
    </row>
    <row r="5368" spans="1:22">
      <c r="A5368" t="str">
        <f t="shared" si="970"/>
        <v>26/03/2026</v>
      </c>
      <c r="B5368" t="str">
        <f t="shared" si="972"/>
        <v>SAÍDA</v>
      </c>
      <c r="C5368" t="str">
        <f t="shared" si="974"/>
        <v>PIX</v>
      </c>
      <c r="D5368" t="str">
        <f>"36083"</f>
        <v>36083</v>
      </c>
      <c r="E5368" t="str">
        <f t="shared" si="969"/>
        <v>1</v>
      </c>
      <c r="F5368" t="str">
        <f t="shared" si="967"/>
        <v>COM</v>
      </c>
      <c r="G5368" t="str">
        <f>"JO??O BARBOSA SANTANA (1235)"</f>
        <v>JO??O BARBOSA SANTANA (1235)</v>
      </c>
      <c r="H5368" t="str">
        <f>"Serv.Prest. 16/03/2026 a 22/03/2026 - PIX: CPF - CHAVE: 121.158.778-96"</f>
        <v>Serv.Prest. 16/03/2026 a 22/03/2026 - PIX: CPF - CHAVE: 121.158.778-96</v>
      </c>
      <c r="I5368" t="str">
        <f t="shared" si="973"/>
        <v>26/03/2026</v>
      </c>
      <c r="J5368" t="str">
        <f t="shared" si="968"/>
        <v>23/03/2026</v>
      </c>
      <c r="K5368" t="str">
        <f>("26/03/2026")</f>
        <v>26/03/2026</v>
      </c>
      <c r="L5368">
        <v>917</v>
      </c>
      <c r="M5368">
        <v>917</v>
      </c>
      <c r="N5368">
        <v>109</v>
      </c>
      <c r="O5368" t="str">
        <f>"PAGAMENTO DE ENTREGADORES"</f>
        <v>PAGAMENTO DE ENTREGADORES</v>
      </c>
      <c r="P5368">
        <v>917</v>
      </c>
      <c r="S5368" t="str">
        <f>"BANCO C6 (149)"</f>
        <v>BANCO C6 (149)</v>
      </c>
      <c r="T5368">
        <v>32315</v>
      </c>
      <c r="U5368">
        <v>36083</v>
      </c>
      <c r="V5368" t="s">
        <v>37</v>
      </c>
    </row>
    <row r="5369" spans="1:22">
      <c r="A5369" t="str">
        <f t="shared" si="970"/>
        <v>26/03/2026</v>
      </c>
      <c r="B5369" t="str">
        <f t="shared" si="972"/>
        <v>SAÍDA</v>
      </c>
      <c r="C5369" t="str">
        <f t="shared" si="974"/>
        <v>PIX</v>
      </c>
      <c r="D5369" t="str">
        <f>"36083"</f>
        <v>36083</v>
      </c>
      <c r="E5369" t="str">
        <f t="shared" si="969"/>
        <v>1</v>
      </c>
      <c r="F5369" t="str">
        <f t="shared" si="967"/>
        <v>COM</v>
      </c>
      <c r="G5369" t="str">
        <f>"JO??O BARBOSA SANTANA (1235)"</f>
        <v>JO??O BARBOSA SANTANA (1235)</v>
      </c>
      <c r="H5369" t="s">
        <v>1451</v>
      </c>
      <c r="I5369" t="str">
        <f t="shared" si="973"/>
        <v>26/03/2026</v>
      </c>
      <c r="J5369" t="str">
        <f t="shared" si="968"/>
        <v>23/03/2026</v>
      </c>
      <c r="K5369">
        <v>46107</v>
      </c>
      <c r="N5369">
        <v>109</v>
      </c>
      <c r="O5369" t="s">
        <v>27</v>
      </c>
      <c r="Q5369">
        <v>917</v>
      </c>
      <c r="R5369" t="str">
        <f>"DROGARIA ISABELLA (10276)"</f>
        <v>DROGARIA ISABELLA (10276)</v>
      </c>
      <c r="S5369" t="s">
        <v>37</v>
      </c>
      <c r="T5369">
        <v>32315</v>
      </c>
      <c r="U5369">
        <v>36083</v>
      </c>
      <c r="V5369" t="s">
        <v>37</v>
      </c>
    </row>
    <row r="5370" spans="1:22">
      <c r="A5370" t="str">
        <f t="shared" si="970"/>
        <v>26/03/2026</v>
      </c>
      <c r="B5370" t="str">
        <f t="shared" si="972"/>
        <v>SAÍDA</v>
      </c>
      <c r="C5370" t="str">
        <f t="shared" si="974"/>
        <v>PIX</v>
      </c>
      <c r="D5370" t="str">
        <f>"36084"</f>
        <v>36084</v>
      </c>
      <c r="E5370" t="str">
        <f t="shared" si="969"/>
        <v>1</v>
      </c>
      <c r="F5370" t="str">
        <f t="shared" si="967"/>
        <v>COM</v>
      </c>
      <c r="G5370" t="str">
        <f>"LUCAS FERREIRA DA SILVA (1245)"</f>
        <v>LUCAS FERREIRA DA SILVA (1245)</v>
      </c>
      <c r="H5370" t="str">
        <f>"Serv.Prest. 16/03/2026 a 22/03/2026 - PIX: CELULAR - CHAVE: (11) 99593-3129"</f>
        <v>Serv.Prest. 16/03/2026 a 22/03/2026 - PIX: CELULAR - CHAVE: (11) 99593-3129</v>
      </c>
      <c r="I5370" t="str">
        <f t="shared" si="973"/>
        <v>26/03/2026</v>
      </c>
      <c r="J5370" t="str">
        <f t="shared" si="968"/>
        <v>23/03/2026</v>
      </c>
      <c r="K5370" t="str">
        <f>("26/03/2026")</f>
        <v>26/03/2026</v>
      </c>
      <c r="L5370">
        <v>224</v>
      </c>
      <c r="M5370">
        <v>224</v>
      </c>
      <c r="N5370">
        <v>109</v>
      </c>
      <c r="O5370" t="str">
        <f>"PAGAMENTO DE ENTREGADORES"</f>
        <v>PAGAMENTO DE ENTREGADORES</v>
      </c>
      <c r="P5370">
        <v>224</v>
      </c>
      <c r="S5370" t="str">
        <f>"BANCO C6 (149)"</f>
        <v>BANCO C6 (149)</v>
      </c>
      <c r="T5370">
        <v>32316</v>
      </c>
      <c r="U5370">
        <v>36084</v>
      </c>
      <c r="V5370" t="s">
        <v>37</v>
      </c>
    </row>
    <row r="5371" spans="1:22">
      <c r="A5371" t="str">
        <f t="shared" si="970"/>
        <v>26/03/2026</v>
      </c>
      <c r="B5371" t="str">
        <f t="shared" si="972"/>
        <v>SAÍDA</v>
      </c>
      <c r="C5371" t="str">
        <f t="shared" si="974"/>
        <v>PIX</v>
      </c>
      <c r="D5371" t="str">
        <f>"36084"</f>
        <v>36084</v>
      </c>
      <c r="E5371" t="str">
        <f t="shared" si="969"/>
        <v>1</v>
      </c>
      <c r="F5371" t="str">
        <f t="shared" si="967"/>
        <v>COM</v>
      </c>
      <c r="G5371" t="str">
        <f>"LUCAS FERREIRA DA SILVA (1245)"</f>
        <v>LUCAS FERREIRA DA SILVA (1245)</v>
      </c>
      <c r="H5371" t="s">
        <v>1452</v>
      </c>
      <c r="I5371" t="str">
        <f t="shared" si="973"/>
        <v>26/03/2026</v>
      </c>
      <c r="J5371" t="str">
        <f t="shared" si="968"/>
        <v>23/03/2026</v>
      </c>
      <c r="K5371">
        <v>46107</v>
      </c>
      <c r="N5371">
        <v>109</v>
      </c>
      <c r="O5371" t="s">
        <v>27</v>
      </c>
      <c r="Q5371">
        <v>224</v>
      </c>
      <c r="R5371" t="str">
        <f>"DROGARIA ISABELLA (10276)"</f>
        <v>DROGARIA ISABELLA (10276)</v>
      </c>
      <c r="S5371" t="s">
        <v>37</v>
      </c>
      <c r="T5371">
        <v>32316</v>
      </c>
      <c r="U5371">
        <v>36084</v>
      </c>
      <c r="V5371" t="s">
        <v>37</v>
      </c>
    </row>
    <row r="5372" spans="1:22">
      <c r="A5372" t="str">
        <f t="shared" si="970"/>
        <v>26/03/2026</v>
      </c>
      <c r="B5372" t="str">
        <f t="shared" si="972"/>
        <v>SAÍDA</v>
      </c>
      <c r="C5372" t="str">
        <f t="shared" si="974"/>
        <v>PIX</v>
      </c>
      <c r="D5372" t="str">
        <f>"36085"</f>
        <v>36085</v>
      </c>
      <c r="E5372" t="str">
        <f t="shared" si="969"/>
        <v>1</v>
      </c>
      <c r="F5372" t="str">
        <f t="shared" si="967"/>
        <v>COM</v>
      </c>
      <c r="G5372" t="str">
        <f>"MARCELO DA CRUZ BEZERRA (1317)"</f>
        <v>MARCELO DA CRUZ BEZERRA (1317)</v>
      </c>
      <c r="H5372" t="str">
        <f>"Serv.Prest. 16/03/2026 a 22/03/2026 - PIX: CPF - CHAVE: 355.445.218-16"</f>
        <v>Serv.Prest. 16/03/2026 a 22/03/2026 - PIX: CPF - CHAVE: 355.445.218-16</v>
      </c>
      <c r="I5372" t="str">
        <f t="shared" si="973"/>
        <v>26/03/2026</v>
      </c>
      <c r="J5372" t="str">
        <f t="shared" si="968"/>
        <v>23/03/2026</v>
      </c>
      <c r="K5372" t="str">
        <f>("26/03/2026")</f>
        <v>26/03/2026</v>
      </c>
      <c r="L5372">
        <v>1169</v>
      </c>
      <c r="M5372">
        <v>1169</v>
      </c>
      <c r="N5372">
        <v>109</v>
      </c>
      <c r="O5372" t="str">
        <f>"PAGAMENTO DE ENTREGADORES"</f>
        <v>PAGAMENTO DE ENTREGADORES</v>
      </c>
      <c r="P5372">
        <v>1169</v>
      </c>
      <c r="S5372" t="str">
        <f>"BANCO C6 (149)"</f>
        <v>BANCO C6 (149)</v>
      </c>
      <c r="T5372">
        <v>32317</v>
      </c>
      <c r="U5372">
        <v>36085</v>
      </c>
      <c r="V5372" t="s">
        <v>37</v>
      </c>
    </row>
    <row r="5373" spans="1:22">
      <c r="A5373" t="str">
        <f t="shared" si="970"/>
        <v>26/03/2026</v>
      </c>
      <c r="B5373" t="str">
        <f t="shared" si="972"/>
        <v>SAÍDA</v>
      </c>
      <c r="C5373" t="str">
        <f t="shared" si="974"/>
        <v>PIX</v>
      </c>
      <c r="D5373" t="str">
        <f>"36085"</f>
        <v>36085</v>
      </c>
      <c r="E5373" t="str">
        <f t="shared" si="969"/>
        <v>1</v>
      </c>
      <c r="F5373" t="str">
        <f t="shared" si="967"/>
        <v>COM</v>
      </c>
      <c r="G5373" t="str">
        <f>"MARCELO DA CRUZ BEZERRA (1317)"</f>
        <v>MARCELO DA CRUZ BEZERRA (1317)</v>
      </c>
      <c r="H5373" t="s">
        <v>1453</v>
      </c>
      <c r="I5373" t="str">
        <f t="shared" si="973"/>
        <v>26/03/2026</v>
      </c>
      <c r="J5373" t="str">
        <f t="shared" si="968"/>
        <v>23/03/2026</v>
      </c>
      <c r="K5373">
        <v>46107</v>
      </c>
      <c r="N5373">
        <v>109</v>
      </c>
      <c r="O5373" t="s">
        <v>27</v>
      </c>
      <c r="Q5373">
        <v>1169</v>
      </c>
      <c r="R5373" t="str">
        <f>"DROGARIA ISABELLA (10276)"</f>
        <v>DROGARIA ISABELLA (10276)</v>
      </c>
      <c r="S5373" t="s">
        <v>37</v>
      </c>
      <c r="T5373">
        <v>32317</v>
      </c>
      <c r="U5373">
        <v>36085</v>
      </c>
      <c r="V5373" t="s">
        <v>37</v>
      </c>
    </row>
    <row r="5374" spans="1:22">
      <c r="A5374" t="str">
        <f t="shared" si="970"/>
        <v>26/03/2026</v>
      </c>
      <c r="B5374" t="str">
        <f t="shared" si="972"/>
        <v>SAÍDA</v>
      </c>
      <c r="C5374" t="str">
        <f t="shared" si="974"/>
        <v>PIX</v>
      </c>
      <c r="D5374" t="str">
        <f>"36086"</f>
        <v>36086</v>
      </c>
      <c r="E5374" t="str">
        <f t="shared" si="969"/>
        <v>1</v>
      </c>
      <c r="F5374" t="str">
        <f t="shared" si="967"/>
        <v>COM</v>
      </c>
      <c r="G5374" t="str">
        <f>"MURILO TURRINI (1126)"</f>
        <v>MURILO TURRINI (1126)</v>
      </c>
      <c r="H5374" t="str">
        <f>"Serv.Prest. 16/03/2026 a 22/03/2026 - PIX: CPF - CHAVE: 480.727.928-90"</f>
        <v>Serv.Prest. 16/03/2026 a 22/03/2026 - PIX: CPF - CHAVE: 480.727.928-90</v>
      </c>
      <c r="I5374" t="str">
        <f t="shared" si="973"/>
        <v>26/03/2026</v>
      </c>
      <c r="J5374" t="str">
        <f t="shared" si="968"/>
        <v>23/03/2026</v>
      </c>
      <c r="K5374" t="str">
        <f>("26/03/2026")</f>
        <v>26/03/2026</v>
      </c>
      <c r="L5374">
        <v>42</v>
      </c>
      <c r="M5374">
        <v>42</v>
      </c>
      <c r="N5374">
        <v>109</v>
      </c>
      <c r="O5374" t="str">
        <f>"PAGAMENTO DE ENTREGADORES"</f>
        <v>PAGAMENTO DE ENTREGADORES</v>
      </c>
      <c r="P5374">
        <v>42</v>
      </c>
      <c r="S5374" t="str">
        <f>"BANCO C6 (149)"</f>
        <v>BANCO C6 (149)</v>
      </c>
      <c r="T5374">
        <v>32318</v>
      </c>
      <c r="U5374">
        <v>36086</v>
      </c>
      <c r="V5374" t="s">
        <v>37</v>
      </c>
    </row>
    <row r="5375" spans="1:22">
      <c r="A5375" t="str">
        <f t="shared" si="970"/>
        <v>26/03/2026</v>
      </c>
      <c r="B5375" t="str">
        <f t="shared" si="972"/>
        <v>SAÍDA</v>
      </c>
      <c r="C5375" t="str">
        <f t="shared" si="974"/>
        <v>PIX</v>
      </c>
      <c r="D5375" t="str">
        <f>"36086"</f>
        <v>36086</v>
      </c>
      <c r="E5375" t="str">
        <f t="shared" si="969"/>
        <v>1</v>
      </c>
      <c r="F5375" t="str">
        <f t="shared" si="967"/>
        <v>COM</v>
      </c>
      <c r="G5375" t="str">
        <f>"MURILO TURRINI (1126)"</f>
        <v>MURILO TURRINI (1126)</v>
      </c>
      <c r="H5375" t="s">
        <v>1454</v>
      </c>
      <c r="I5375" t="str">
        <f t="shared" si="973"/>
        <v>26/03/2026</v>
      </c>
      <c r="J5375" t="str">
        <f t="shared" si="968"/>
        <v>23/03/2026</v>
      </c>
      <c r="K5375">
        <v>46107</v>
      </c>
      <c r="N5375">
        <v>109</v>
      </c>
      <c r="O5375" t="s">
        <v>27</v>
      </c>
      <c r="Q5375">
        <v>42</v>
      </c>
      <c r="R5375" t="str">
        <f>"DROGARIA ISABELLA (10276)"</f>
        <v>DROGARIA ISABELLA (10276)</v>
      </c>
      <c r="S5375" t="s">
        <v>37</v>
      </c>
      <c r="T5375">
        <v>32318</v>
      </c>
      <c r="U5375">
        <v>36086</v>
      </c>
      <c r="V5375" t="s">
        <v>37</v>
      </c>
    </row>
    <row r="5376" spans="1:22">
      <c r="A5376" t="str">
        <f t="shared" si="970"/>
        <v>26/03/2026</v>
      </c>
      <c r="B5376" t="str">
        <f t="shared" si="972"/>
        <v>SAÍDA</v>
      </c>
      <c r="C5376" t="str">
        <f t="shared" si="974"/>
        <v>PIX</v>
      </c>
      <c r="D5376" t="str">
        <f>"36089"</f>
        <v>36089</v>
      </c>
      <c r="E5376" t="str">
        <f t="shared" si="969"/>
        <v>1</v>
      </c>
      <c r="F5376" t="str">
        <f t="shared" si="967"/>
        <v>COM</v>
      </c>
      <c r="G5376" t="str">
        <f>"DOUGLAS RODRIGUES DE FREITAS (1161)"</f>
        <v>DOUGLAS RODRIGUES DE FREITAS (1161)</v>
      </c>
      <c r="H5376" t="str">
        <f>"Serv.Prest. 16/03/2026 a 22/03/2026 - PIX: E-MAIL - CHAVE: doug6866@gmail.com"</f>
        <v>Serv.Prest. 16/03/2026 a 22/03/2026 - PIX: E-MAIL - CHAVE: doug6866@gmail.com</v>
      </c>
      <c r="I5376" t="str">
        <f t="shared" si="973"/>
        <v>26/03/2026</v>
      </c>
      <c r="J5376" t="str">
        <f t="shared" si="968"/>
        <v>23/03/2026</v>
      </c>
      <c r="K5376" t="str">
        <f>("26/03/2026")</f>
        <v>26/03/2026</v>
      </c>
      <c r="L5376">
        <v>1410</v>
      </c>
      <c r="M5376">
        <v>1410</v>
      </c>
      <c r="N5376">
        <v>109</v>
      </c>
      <c r="O5376" t="str">
        <f>"PAGAMENTO DE ENTREGADORES"</f>
        <v>PAGAMENTO DE ENTREGADORES</v>
      </c>
      <c r="P5376">
        <v>1410</v>
      </c>
      <c r="S5376" t="str">
        <f>"BANCO C6 (149)"</f>
        <v>BANCO C6 (149)</v>
      </c>
      <c r="T5376">
        <v>32319</v>
      </c>
      <c r="U5376">
        <v>36089</v>
      </c>
      <c r="V5376" t="s">
        <v>37</v>
      </c>
    </row>
    <row r="5377" spans="1:22">
      <c r="A5377" t="str">
        <f t="shared" si="970"/>
        <v>26/03/2026</v>
      </c>
      <c r="B5377" t="str">
        <f t="shared" si="972"/>
        <v>SAÍDA</v>
      </c>
      <c r="C5377" t="str">
        <f t="shared" si="974"/>
        <v>PIX</v>
      </c>
      <c r="D5377" t="str">
        <f>"36089"</f>
        <v>36089</v>
      </c>
      <c r="E5377" t="str">
        <f t="shared" si="969"/>
        <v>1</v>
      </c>
      <c r="F5377" t="str">
        <f t="shared" si="967"/>
        <v>COM</v>
      </c>
      <c r="G5377" t="str">
        <f>"DOUGLAS RODRIGUES DE FREITAS (1161)"</f>
        <v>DOUGLAS RODRIGUES DE FREITAS (1161)</v>
      </c>
      <c r="H5377" t="s">
        <v>1187</v>
      </c>
      <c r="I5377" t="str">
        <f t="shared" si="973"/>
        <v>26/03/2026</v>
      </c>
      <c r="J5377" t="str">
        <f t="shared" si="968"/>
        <v>23/03/2026</v>
      </c>
      <c r="K5377">
        <v>46107</v>
      </c>
      <c r="N5377">
        <v>109</v>
      </c>
      <c r="O5377" t="s">
        <v>27</v>
      </c>
      <c r="Q5377">
        <v>1410</v>
      </c>
      <c r="R5377" t="str">
        <f>"DROGARIA MEDIC CENTER LTDA (10172)"</f>
        <v>DROGARIA MEDIC CENTER LTDA (10172)</v>
      </c>
      <c r="S5377" t="s">
        <v>37</v>
      </c>
      <c r="T5377">
        <v>32319</v>
      </c>
      <c r="U5377">
        <v>36089</v>
      </c>
      <c r="V5377" t="s">
        <v>37</v>
      </c>
    </row>
    <row r="5378" spans="1:22">
      <c r="A5378" t="str">
        <f t="shared" si="970"/>
        <v>26/03/2026</v>
      </c>
      <c r="B5378" t="str">
        <f t="shared" si="972"/>
        <v>SAÍDA</v>
      </c>
      <c r="C5378" t="str">
        <f t="shared" si="974"/>
        <v>PIX</v>
      </c>
      <c r="D5378" t="str">
        <f>"36092"</f>
        <v>36092</v>
      </c>
      <c r="E5378" t="str">
        <f t="shared" si="969"/>
        <v>1</v>
      </c>
      <c r="F5378" t="str">
        <f t="shared" ref="F5378:F5441" si="975">"COM"</f>
        <v>COM</v>
      </c>
      <c r="G5378" t="str">
        <f>"ALLAN SILVA DAMACENA (790)"</f>
        <v>ALLAN SILVA DAMACENA (790)</v>
      </c>
      <c r="H5378" t="str">
        <f>"Serv.Prest. 16/03/2026 a 22/03/2026 - PIX: CELULAR - CHAVE: (19) 98944-4977"</f>
        <v>Serv.Prest. 16/03/2026 a 22/03/2026 - PIX: CELULAR - CHAVE: (19) 98944-4977</v>
      </c>
      <c r="I5378" t="str">
        <f t="shared" si="973"/>
        <v>26/03/2026</v>
      </c>
      <c r="J5378" t="str">
        <f t="shared" si="968"/>
        <v>23/03/2026</v>
      </c>
      <c r="K5378" t="str">
        <f>("26/03/2026")</f>
        <v>26/03/2026</v>
      </c>
      <c r="L5378">
        <v>868</v>
      </c>
      <c r="M5378">
        <v>868</v>
      </c>
      <c r="N5378">
        <v>109</v>
      </c>
      <c r="O5378" t="str">
        <f>"PAGAMENTO DE ENTREGADORES"</f>
        <v>PAGAMENTO DE ENTREGADORES</v>
      </c>
      <c r="P5378">
        <v>868</v>
      </c>
      <c r="S5378" t="str">
        <f>"BANCO C6 (149)"</f>
        <v>BANCO C6 (149)</v>
      </c>
      <c r="T5378">
        <v>32320</v>
      </c>
      <c r="U5378">
        <v>36092</v>
      </c>
      <c r="V5378" t="s">
        <v>37</v>
      </c>
    </row>
    <row r="5379" spans="1:22">
      <c r="A5379" t="str">
        <f t="shared" si="970"/>
        <v>26/03/2026</v>
      </c>
      <c r="B5379" t="str">
        <f t="shared" si="972"/>
        <v>SAÍDA</v>
      </c>
      <c r="C5379" t="str">
        <f t="shared" si="974"/>
        <v>PIX</v>
      </c>
      <c r="D5379" t="str">
        <f>"36092"</f>
        <v>36092</v>
      </c>
      <c r="E5379" t="str">
        <f t="shared" si="969"/>
        <v>1</v>
      </c>
      <c r="F5379" t="str">
        <f t="shared" si="975"/>
        <v>COM</v>
      </c>
      <c r="G5379" t="str">
        <f>"ALLAN SILVA DAMACENA (790)"</f>
        <v>ALLAN SILVA DAMACENA (790)</v>
      </c>
      <c r="H5379" t="s">
        <v>1455</v>
      </c>
      <c r="I5379" t="str">
        <f t="shared" si="973"/>
        <v>26/03/2026</v>
      </c>
      <c r="J5379" t="str">
        <f t="shared" si="968"/>
        <v>23/03/2026</v>
      </c>
      <c r="K5379">
        <v>46107</v>
      </c>
      <c r="N5379">
        <v>109</v>
      </c>
      <c r="O5379" t="s">
        <v>27</v>
      </c>
      <c r="Q5379">
        <v>868</v>
      </c>
      <c r="R5379" t="str">
        <f>"DROGARIA MORENO LTDA (10171)"</f>
        <v>DROGARIA MORENO LTDA (10171)</v>
      </c>
      <c r="S5379" t="s">
        <v>37</v>
      </c>
      <c r="T5379">
        <v>32320</v>
      </c>
      <c r="U5379">
        <v>36092</v>
      </c>
      <c r="V5379" t="s">
        <v>37</v>
      </c>
    </row>
    <row r="5380" spans="1:22">
      <c r="A5380" t="str">
        <f t="shared" si="970"/>
        <v>26/03/2026</v>
      </c>
      <c r="B5380" t="str">
        <f t="shared" si="972"/>
        <v>SAÍDA</v>
      </c>
      <c r="C5380" t="str">
        <f t="shared" si="974"/>
        <v>PIX</v>
      </c>
      <c r="D5380" t="str">
        <f>"36093"</f>
        <v>36093</v>
      </c>
      <c r="E5380" t="str">
        <f t="shared" si="969"/>
        <v>1</v>
      </c>
      <c r="F5380" t="str">
        <f t="shared" si="975"/>
        <v>COM</v>
      </c>
      <c r="G5380" t="str">
        <f>"EDUARDO MARQUES DOS SANTOS (787)"</f>
        <v>EDUARDO MARQUES DOS SANTOS (787)</v>
      </c>
      <c r="H5380" t="str">
        <f>"Serv.Prest. 16/03/2026 a 22/03/2026 - PIX: CELULAR - CHAVE: (11) 97402-1586"</f>
        <v>Serv.Prest. 16/03/2026 a 22/03/2026 - PIX: CELULAR - CHAVE: (11) 97402-1586</v>
      </c>
      <c r="I5380" t="str">
        <f t="shared" si="973"/>
        <v>26/03/2026</v>
      </c>
      <c r="J5380" t="str">
        <f t="shared" si="968"/>
        <v>23/03/2026</v>
      </c>
      <c r="K5380" t="str">
        <f>("26/03/2026")</f>
        <v>26/03/2026</v>
      </c>
      <c r="L5380">
        <v>973</v>
      </c>
      <c r="M5380">
        <v>973</v>
      </c>
      <c r="N5380">
        <v>109</v>
      </c>
      <c r="O5380" t="str">
        <f>"PAGAMENTO DE ENTREGADORES"</f>
        <v>PAGAMENTO DE ENTREGADORES</v>
      </c>
      <c r="P5380">
        <v>973</v>
      </c>
      <c r="S5380" t="str">
        <f>"BANCO C6 (149)"</f>
        <v>BANCO C6 (149)</v>
      </c>
      <c r="T5380">
        <v>32321</v>
      </c>
      <c r="U5380">
        <v>36093</v>
      </c>
      <c r="V5380" t="s">
        <v>37</v>
      </c>
    </row>
    <row r="5381" spans="1:22">
      <c r="A5381" t="str">
        <f t="shared" si="970"/>
        <v>26/03/2026</v>
      </c>
      <c r="B5381" t="str">
        <f t="shared" si="972"/>
        <v>SAÍDA</v>
      </c>
      <c r="C5381" t="str">
        <f t="shared" si="974"/>
        <v>PIX</v>
      </c>
      <c r="D5381" t="str">
        <f>"36093"</f>
        <v>36093</v>
      </c>
      <c r="E5381" t="str">
        <f t="shared" si="969"/>
        <v>1</v>
      </c>
      <c r="F5381" t="str">
        <f t="shared" si="975"/>
        <v>COM</v>
      </c>
      <c r="G5381" t="str">
        <f>"EDUARDO MARQUES DOS SANTOS (787)"</f>
        <v>EDUARDO MARQUES DOS SANTOS (787)</v>
      </c>
      <c r="H5381" t="s">
        <v>1456</v>
      </c>
      <c r="I5381" t="str">
        <f t="shared" si="973"/>
        <v>26/03/2026</v>
      </c>
      <c r="J5381" t="str">
        <f t="shared" si="968"/>
        <v>23/03/2026</v>
      </c>
      <c r="K5381">
        <v>46107</v>
      </c>
      <c r="N5381">
        <v>109</v>
      </c>
      <c r="O5381" t="s">
        <v>27</v>
      </c>
      <c r="Q5381">
        <v>973</v>
      </c>
      <c r="R5381" t="str">
        <f>"DROGARIA MORENO LTDA (10171)"</f>
        <v>DROGARIA MORENO LTDA (10171)</v>
      </c>
      <c r="S5381" t="s">
        <v>37</v>
      </c>
      <c r="T5381">
        <v>32321</v>
      </c>
      <c r="U5381">
        <v>36093</v>
      </c>
      <c r="V5381" t="s">
        <v>37</v>
      </c>
    </row>
    <row r="5382" spans="1:22">
      <c r="A5382" t="str">
        <f t="shared" si="970"/>
        <v>26/03/2026</v>
      </c>
      <c r="B5382" t="str">
        <f t="shared" si="972"/>
        <v>SAÍDA</v>
      </c>
      <c r="C5382" t="str">
        <f t="shared" si="974"/>
        <v>PIX</v>
      </c>
      <c r="D5382" t="str">
        <f>"36095"</f>
        <v>36095</v>
      </c>
      <c r="E5382" t="str">
        <f t="shared" si="969"/>
        <v>1</v>
      </c>
      <c r="F5382" t="str">
        <f t="shared" si="975"/>
        <v>COM</v>
      </c>
      <c r="G5382" t="str">
        <f>"PAULO CESAR DE FARIA (865)"</f>
        <v>PAULO CESAR DE FARIA (865)</v>
      </c>
      <c r="H5382" t="str">
        <f>"Serv.Prest. 16/03/2026 a 22/03/2026 - PIX: CELULAR - CHAVE: (11) 99992-0816"</f>
        <v>Serv.Prest. 16/03/2026 a 22/03/2026 - PIX: CELULAR - CHAVE: (11) 99992-0816</v>
      </c>
      <c r="I5382" t="str">
        <f t="shared" si="973"/>
        <v>26/03/2026</v>
      </c>
      <c r="J5382" t="str">
        <f t="shared" si="968"/>
        <v>23/03/2026</v>
      </c>
      <c r="K5382" t="str">
        <f>("26/03/2026")</f>
        <v>26/03/2026</v>
      </c>
      <c r="L5382">
        <v>980</v>
      </c>
      <c r="M5382">
        <v>980</v>
      </c>
      <c r="N5382">
        <v>109</v>
      </c>
      <c r="O5382" t="str">
        <f>"PAGAMENTO DE ENTREGADORES"</f>
        <v>PAGAMENTO DE ENTREGADORES</v>
      </c>
      <c r="P5382">
        <v>980</v>
      </c>
      <c r="S5382" t="str">
        <f>"BANCO C6 (149)"</f>
        <v>BANCO C6 (149)</v>
      </c>
      <c r="T5382">
        <v>32322</v>
      </c>
      <c r="U5382">
        <v>36095</v>
      </c>
      <c r="V5382" t="s">
        <v>37</v>
      </c>
    </row>
    <row r="5383" spans="1:22">
      <c r="A5383" t="str">
        <f t="shared" si="970"/>
        <v>26/03/2026</v>
      </c>
      <c r="B5383" t="str">
        <f t="shared" si="972"/>
        <v>SAÍDA</v>
      </c>
      <c r="C5383" t="str">
        <f t="shared" si="974"/>
        <v>PIX</v>
      </c>
      <c r="D5383" t="str">
        <f>"36095"</f>
        <v>36095</v>
      </c>
      <c r="E5383" t="str">
        <f t="shared" si="969"/>
        <v>1</v>
      </c>
      <c r="F5383" t="str">
        <f t="shared" si="975"/>
        <v>COM</v>
      </c>
      <c r="G5383" t="str">
        <f>"PAULO CESAR DE FARIA (865)"</f>
        <v>PAULO CESAR DE FARIA (865)</v>
      </c>
      <c r="H5383" t="s">
        <v>1457</v>
      </c>
      <c r="I5383" t="str">
        <f t="shared" si="973"/>
        <v>26/03/2026</v>
      </c>
      <c r="J5383" t="str">
        <f t="shared" si="968"/>
        <v>23/03/2026</v>
      </c>
      <c r="K5383">
        <v>46107</v>
      </c>
      <c r="N5383">
        <v>109</v>
      </c>
      <c r="O5383" t="s">
        <v>27</v>
      </c>
      <c r="Q5383">
        <v>980</v>
      </c>
      <c r="R5383" t="str">
        <f>"DROGARIA MORENO LTDA (10171)"</f>
        <v>DROGARIA MORENO LTDA (10171)</v>
      </c>
      <c r="S5383" t="s">
        <v>37</v>
      </c>
      <c r="T5383">
        <v>32322</v>
      </c>
      <c r="U5383">
        <v>36095</v>
      </c>
      <c r="V5383" t="s">
        <v>37</v>
      </c>
    </row>
    <row r="5384" spans="1:22">
      <c r="A5384" t="str">
        <f t="shared" si="970"/>
        <v>26/03/2026</v>
      </c>
      <c r="B5384" t="str">
        <f t="shared" si="972"/>
        <v>SAÍDA</v>
      </c>
      <c r="C5384" t="str">
        <f t="shared" si="974"/>
        <v>PIX</v>
      </c>
      <c r="D5384" t="str">
        <f>"36097"</f>
        <v>36097</v>
      </c>
      <c r="E5384" t="str">
        <f t="shared" si="969"/>
        <v>1</v>
      </c>
      <c r="F5384" t="str">
        <f t="shared" si="975"/>
        <v>COM</v>
      </c>
      <c r="G5384" t="str">
        <f>"JOSE CARLOS ALEXANDRE (1315)"</f>
        <v>JOSE CARLOS ALEXANDRE (1315)</v>
      </c>
      <c r="H5384" t="str">
        <f>"Serv.Prest. 16/03/2026 a 22/03/2026 - PIX: CPF - CHAVE: 026.311.016-85"</f>
        <v>Serv.Prest. 16/03/2026 a 22/03/2026 - PIX: CPF - CHAVE: 026.311.016-85</v>
      </c>
      <c r="I5384" t="str">
        <f t="shared" si="973"/>
        <v>26/03/2026</v>
      </c>
      <c r="J5384" t="str">
        <f t="shared" si="968"/>
        <v>23/03/2026</v>
      </c>
      <c r="K5384" t="str">
        <f>("26/03/2026")</f>
        <v>26/03/2026</v>
      </c>
      <c r="L5384">
        <v>473</v>
      </c>
      <c r="M5384">
        <v>473</v>
      </c>
      <c r="N5384">
        <v>109</v>
      </c>
      <c r="O5384" t="str">
        <f>"PAGAMENTO DE ENTREGADORES"</f>
        <v>PAGAMENTO DE ENTREGADORES</v>
      </c>
      <c r="P5384">
        <v>473</v>
      </c>
      <c r="S5384" t="str">
        <f>"BANCO C6 (149)"</f>
        <v>BANCO C6 (149)</v>
      </c>
      <c r="T5384">
        <v>32323</v>
      </c>
      <c r="U5384">
        <v>36097</v>
      </c>
      <c r="V5384" t="s">
        <v>37</v>
      </c>
    </row>
    <row r="5385" spans="1:22">
      <c r="A5385" t="str">
        <f t="shared" si="970"/>
        <v>26/03/2026</v>
      </c>
      <c r="B5385" t="str">
        <f t="shared" si="972"/>
        <v>SAÍDA</v>
      </c>
      <c r="C5385" t="str">
        <f t="shared" si="974"/>
        <v>PIX</v>
      </c>
      <c r="D5385" t="str">
        <f>"36097"</f>
        <v>36097</v>
      </c>
      <c r="E5385" t="str">
        <f t="shared" si="969"/>
        <v>1</v>
      </c>
      <c r="F5385" t="str">
        <f t="shared" si="975"/>
        <v>COM</v>
      </c>
      <c r="G5385" t="str">
        <f>"JOSE CARLOS ALEXANDRE (1315)"</f>
        <v>JOSE CARLOS ALEXANDRE (1315)</v>
      </c>
      <c r="H5385" t="s">
        <v>1215</v>
      </c>
      <c r="I5385" t="str">
        <f t="shared" si="973"/>
        <v>26/03/2026</v>
      </c>
      <c r="J5385" t="str">
        <f t="shared" si="968"/>
        <v>23/03/2026</v>
      </c>
      <c r="K5385">
        <v>46107</v>
      </c>
      <c r="N5385">
        <v>109</v>
      </c>
      <c r="O5385" t="s">
        <v>27</v>
      </c>
      <c r="Q5385">
        <v>473</v>
      </c>
      <c r="R5385" t="str">
        <f>"LBL FARMACIA LTDA (10189)"</f>
        <v>LBL FARMACIA LTDA (10189)</v>
      </c>
      <c r="S5385" t="s">
        <v>37</v>
      </c>
      <c r="T5385">
        <v>32323</v>
      </c>
      <c r="U5385">
        <v>36097</v>
      </c>
      <c r="V5385" t="s">
        <v>37</v>
      </c>
    </row>
    <row r="5386" spans="1:22">
      <c r="A5386" t="str">
        <f t="shared" si="970"/>
        <v>26/03/2026</v>
      </c>
      <c r="B5386" t="str">
        <f t="shared" si="972"/>
        <v>SAÍDA</v>
      </c>
      <c r="C5386" t="str">
        <f t="shared" si="974"/>
        <v>PIX</v>
      </c>
      <c r="D5386" t="str">
        <f>"36099"</f>
        <v>36099</v>
      </c>
      <c r="E5386" t="str">
        <f t="shared" si="969"/>
        <v>1</v>
      </c>
      <c r="F5386" t="str">
        <f t="shared" si="975"/>
        <v>COM</v>
      </c>
      <c r="G5386" t="str">
        <f>"AMANDA LUCIO FERNANDES (1138)"</f>
        <v>AMANDA LUCIO FERNANDES (1138)</v>
      </c>
      <c r="H5386" t="str">
        <f>"Serv.Prest. 16/03/2026 a 22/03/2026 - PIX: CELULAR - CHAVE: (28) 99904-4082"</f>
        <v>Serv.Prest. 16/03/2026 a 22/03/2026 - PIX: CELULAR - CHAVE: (28) 99904-4082</v>
      </c>
      <c r="I5386" t="str">
        <f t="shared" si="973"/>
        <v>26/03/2026</v>
      </c>
      <c r="J5386" t="str">
        <f t="shared" si="968"/>
        <v>23/03/2026</v>
      </c>
      <c r="K5386" t="str">
        <f>("26/03/2026")</f>
        <v>26/03/2026</v>
      </c>
      <c r="L5386">
        <v>800</v>
      </c>
      <c r="M5386">
        <v>800</v>
      </c>
      <c r="N5386">
        <v>109</v>
      </c>
      <c r="O5386" t="str">
        <f>"PAGAMENTO DE ENTREGADORES"</f>
        <v>PAGAMENTO DE ENTREGADORES</v>
      </c>
      <c r="P5386">
        <v>800</v>
      </c>
      <c r="S5386" t="str">
        <f>"BANCO C6 (149)"</f>
        <v>BANCO C6 (149)</v>
      </c>
      <c r="T5386">
        <v>32324</v>
      </c>
      <c r="U5386">
        <v>36099</v>
      </c>
      <c r="V5386" t="s">
        <v>37</v>
      </c>
    </row>
    <row r="5387" spans="1:22">
      <c r="A5387" t="str">
        <f t="shared" si="970"/>
        <v>26/03/2026</v>
      </c>
      <c r="B5387" t="str">
        <f t="shared" si="972"/>
        <v>SAÍDA</v>
      </c>
      <c r="C5387" t="str">
        <f t="shared" si="974"/>
        <v>PIX</v>
      </c>
      <c r="D5387" t="str">
        <f>"36099"</f>
        <v>36099</v>
      </c>
      <c r="E5387" t="str">
        <f t="shared" si="969"/>
        <v>1</v>
      </c>
      <c r="F5387" t="str">
        <f t="shared" si="975"/>
        <v>COM</v>
      </c>
      <c r="G5387" t="str">
        <f>"AMANDA LUCIO FERNANDES (1138)"</f>
        <v>AMANDA LUCIO FERNANDES (1138)</v>
      </c>
      <c r="H5387" t="s">
        <v>1458</v>
      </c>
      <c r="I5387" t="str">
        <f t="shared" si="973"/>
        <v>26/03/2026</v>
      </c>
      <c r="J5387" t="str">
        <f t="shared" si="968"/>
        <v>23/03/2026</v>
      </c>
      <c r="K5387">
        <v>46107</v>
      </c>
      <c r="N5387">
        <v>109</v>
      </c>
      <c r="O5387" t="s">
        <v>27</v>
      </c>
      <c r="Q5387">
        <v>800</v>
      </c>
      <c r="R5387" t="str">
        <f>"LBL FARMACIA LTDA FILIAL (10192)"</f>
        <v>LBL FARMACIA LTDA FILIAL (10192)</v>
      </c>
      <c r="S5387" t="s">
        <v>37</v>
      </c>
      <c r="T5387">
        <v>32324</v>
      </c>
      <c r="U5387">
        <v>36099</v>
      </c>
      <c r="V5387" t="s">
        <v>37</v>
      </c>
    </row>
    <row r="5388" spans="1:22">
      <c r="A5388" t="str">
        <f t="shared" si="970"/>
        <v>26/03/2026</v>
      </c>
      <c r="B5388" t="str">
        <f t="shared" si="972"/>
        <v>SAÍDA</v>
      </c>
      <c r="C5388" t="str">
        <f t="shared" si="974"/>
        <v>PIX</v>
      </c>
      <c r="D5388" t="str">
        <f>"36100"</f>
        <v>36100</v>
      </c>
      <c r="E5388" t="str">
        <f t="shared" si="969"/>
        <v>1</v>
      </c>
      <c r="F5388" t="str">
        <f t="shared" si="975"/>
        <v>COM</v>
      </c>
      <c r="G5388" t="str">
        <f>"YAN FILIPUTI CORA (926)"</f>
        <v>YAN FILIPUTI CORA (926)</v>
      </c>
      <c r="H5388" t="str">
        <f>"Serv.Prest. 16/03/2026 a 22/03/2026 - PIX: CELULAR - CHAVE: (28) 98816-4170"</f>
        <v>Serv.Prest. 16/03/2026 a 22/03/2026 - PIX: CELULAR - CHAVE: (28) 98816-4170</v>
      </c>
      <c r="I5388" t="str">
        <f t="shared" si="973"/>
        <v>26/03/2026</v>
      </c>
      <c r="J5388" t="str">
        <f t="shared" si="968"/>
        <v>23/03/2026</v>
      </c>
      <c r="K5388" t="str">
        <f>("26/03/2026")</f>
        <v>26/03/2026</v>
      </c>
      <c r="L5388">
        <v>800</v>
      </c>
      <c r="M5388">
        <v>800</v>
      </c>
      <c r="N5388">
        <v>109</v>
      </c>
      <c r="O5388" t="str">
        <f>"PAGAMENTO DE ENTREGADORES"</f>
        <v>PAGAMENTO DE ENTREGADORES</v>
      </c>
      <c r="P5388">
        <v>800</v>
      </c>
      <c r="S5388" t="str">
        <f>"BANCO C6 (149)"</f>
        <v>BANCO C6 (149)</v>
      </c>
      <c r="T5388">
        <v>32325</v>
      </c>
      <c r="U5388">
        <v>36100</v>
      </c>
      <c r="V5388" t="s">
        <v>37</v>
      </c>
    </row>
    <row r="5389" spans="1:22">
      <c r="A5389" t="str">
        <f t="shared" si="970"/>
        <v>26/03/2026</v>
      </c>
      <c r="B5389" t="str">
        <f t="shared" si="972"/>
        <v>SAÍDA</v>
      </c>
      <c r="C5389" t="str">
        <f t="shared" si="974"/>
        <v>PIX</v>
      </c>
      <c r="D5389" t="str">
        <f>"36100"</f>
        <v>36100</v>
      </c>
      <c r="E5389" t="str">
        <f t="shared" si="969"/>
        <v>1</v>
      </c>
      <c r="F5389" t="str">
        <f t="shared" si="975"/>
        <v>COM</v>
      </c>
      <c r="G5389" t="str">
        <f>"YAN FILIPUTI CORA (926)"</f>
        <v>YAN FILIPUTI CORA (926)</v>
      </c>
      <c r="H5389" t="s">
        <v>1459</v>
      </c>
      <c r="I5389" t="str">
        <f t="shared" si="973"/>
        <v>26/03/2026</v>
      </c>
      <c r="J5389" t="str">
        <f t="shared" si="968"/>
        <v>23/03/2026</v>
      </c>
      <c r="K5389">
        <v>46107</v>
      </c>
      <c r="N5389">
        <v>109</v>
      </c>
      <c r="O5389" t="s">
        <v>27</v>
      </c>
      <c r="Q5389">
        <v>800</v>
      </c>
      <c r="R5389" t="str">
        <f>"LBL FARMACIA LTDA FILIAL (10192)"</f>
        <v>LBL FARMACIA LTDA FILIAL (10192)</v>
      </c>
      <c r="S5389" t="s">
        <v>37</v>
      </c>
      <c r="T5389">
        <v>32325</v>
      </c>
      <c r="U5389">
        <v>36100</v>
      </c>
      <c r="V5389" t="s">
        <v>37</v>
      </c>
    </row>
    <row r="5390" spans="1:22">
      <c r="A5390" t="str">
        <f t="shared" si="970"/>
        <v>26/03/2026</v>
      </c>
      <c r="B5390" t="str">
        <f t="shared" si="972"/>
        <v>SAÍDA</v>
      </c>
      <c r="C5390" t="str">
        <f t="shared" si="974"/>
        <v>PIX</v>
      </c>
      <c r="D5390" t="str">
        <f>"36103"</f>
        <v>36103</v>
      </c>
      <c r="E5390" t="str">
        <f t="shared" si="969"/>
        <v>1</v>
      </c>
      <c r="F5390" t="str">
        <f t="shared" si="975"/>
        <v>COM</v>
      </c>
      <c r="G5390" t="str">
        <f>"JO??O OTÁVIO GRANZIOL (1309)"</f>
        <v>JO??O OTÁVIO GRANZIOL (1309)</v>
      </c>
      <c r="H5390" t="str">
        <f>"Serv.Prest. 16/03/2026 a 22/03/2026 - PIX: CPF - CHAVE: 491.327.628-01"</f>
        <v>Serv.Prest. 16/03/2026 a 22/03/2026 - PIX: CPF - CHAVE: 491.327.628-01</v>
      </c>
      <c r="I5390" t="str">
        <f t="shared" si="973"/>
        <v>26/03/2026</v>
      </c>
      <c r="J5390" t="str">
        <f t="shared" si="968"/>
        <v>23/03/2026</v>
      </c>
      <c r="K5390" t="str">
        <f>("26/03/2026")</f>
        <v>26/03/2026</v>
      </c>
      <c r="L5390">
        <v>504</v>
      </c>
      <c r="M5390">
        <v>504</v>
      </c>
      <c r="N5390">
        <v>109</v>
      </c>
      <c r="O5390" t="str">
        <f>"PAGAMENTO DE ENTREGADORES"</f>
        <v>PAGAMENTO DE ENTREGADORES</v>
      </c>
      <c r="P5390">
        <v>504</v>
      </c>
      <c r="S5390" t="str">
        <f>"BANCO C6 (149)"</f>
        <v>BANCO C6 (149)</v>
      </c>
      <c r="T5390">
        <v>32326</v>
      </c>
      <c r="U5390">
        <v>36103</v>
      </c>
      <c r="V5390" t="s">
        <v>37</v>
      </c>
    </row>
    <row r="5391" spans="1:22">
      <c r="A5391" t="str">
        <f t="shared" si="970"/>
        <v>26/03/2026</v>
      </c>
      <c r="B5391" t="str">
        <f t="shared" si="972"/>
        <v>SAÍDA</v>
      </c>
      <c r="C5391" t="str">
        <f t="shared" si="974"/>
        <v>PIX</v>
      </c>
      <c r="D5391" t="str">
        <f>"36103"</f>
        <v>36103</v>
      </c>
      <c r="E5391" t="str">
        <f t="shared" si="969"/>
        <v>1</v>
      </c>
      <c r="F5391" t="str">
        <f t="shared" si="975"/>
        <v>COM</v>
      </c>
      <c r="G5391" t="str">
        <f>"JO??O OTÁVIO GRANZIOL (1309)"</f>
        <v>JO??O OTÁVIO GRANZIOL (1309)</v>
      </c>
      <c r="H5391" t="s">
        <v>1460</v>
      </c>
      <c r="I5391" t="str">
        <f t="shared" si="973"/>
        <v>26/03/2026</v>
      </c>
      <c r="J5391" t="str">
        <f t="shared" si="968"/>
        <v>23/03/2026</v>
      </c>
      <c r="K5391">
        <v>46107</v>
      </c>
      <c r="N5391">
        <v>109</v>
      </c>
      <c r="O5391" t="s">
        <v>27</v>
      </c>
      <c r="Q5391">
        <v>504</v>
      </c>
      <c r="R5391" t="str">
        <f>"FARMACIA ROSAS (10288)"</f>
        <v>FARMACIA ROSAS (10288)</v>
      </c>
      <c r="S5391" t="s">
        <v>37</v>
      </c>
      <c r="T5391">
        <v>32326</v>
      </c>
      <c r="U5391">
        <v>36103</v>
      </c>
      <c r="V5391" t="s">
        <v>37</v>
      </c>
    </row>
    <row r="5392" spans="1:22">
      <c r="A5392" t="str">
        <f t="shared" si="970"/>
        <v>26/03/2026</v>
      </c>
      <c r="B5392" t="str">
        <f t="shared" si="972"/>
        <v>SAÍDA</v>
      </c>
      <c r="C5392" t="str">
        <f t="shared" si="974"/>
        <v>PIX</v>
      </c>
      <c r="D5392" t="str">
        <f>"36104"</f>
        <v>36104</v>
      </c>
      <c r="E5392" t="str">
        <f t="shared" si="969"/>
        <v>1</v>
      </c>
      <c r="F5392" t="str">
        <f t="shared" si="975"/>
        <v>COM</v>
      </c>
      <c r="G5392" t="str">
        <f>"UBIRATAN FERREIRA GONCALVES DOS SANTOS (1319)"</f>
        <v>UBIRATAN FERREIRA GONCALVES DOS SANTOS (1319)</v>
      </c>
      <c r="H5392" t="str">
        <f>"Serv.Prest. 16/03/2026 a 22/03/2026 - PIX: CPF - CHAVE: 388.052.378-92"</f>
        <v>Serv.Prest. 16/03/2026 a 22/03/2026 - PIX: CPF - CHAVE: 388.052.378-92</v>
      </c>
      <c r="I5392" t="str">
        <f t="shared" si="973"/>
        <v>26/03/2026</v>
      </c>
      <c r="J5392" t="str">
        <f t="shared" si="968"/>
        <v>23/03/2026</v>
      </c>
      <c r="K5392" t="str">
        <f>("26/03/2026")</f>
        <v>26/03/2026</v>
      </c>
      <c r="L5392">
        <v>700</v>
      </c>
      <c r="M5392">
        <v>700</v>
      </c>
      <c r="N5392">
        <v>109</v>
      </c>
      <c r="O5392" t="str">
        <f>"PAGAMENTO DE ENTREGADORES"</f>
        <v>PAGAMENTO DE ENTREGADORES</v>
      </c>
      <c r="P5392">
        <v>700</v>
      </c>
      <c r="S5392" t="str">
        <f>"BANCO C6 (149)"</f>
        <v>BANCO C6 (149)</v>
      </c>
      <c r="T5392">
        <v>32327</v>
      </c>
      <c r="U5392">
        <v>36104</v>
      </c>
      <c r="V5392" t="s">
        <v>37</v>
      </c>
    </row>
    <row r="5393" spans="1:22">
      <c r="A5393" t="str">
        <f t="shared" si="970"/>
        <v>26/03/2026</v>
      </c>
      <c r="B5393" t="str">
        <f t="shared" si="972"/>
        <v>SAÍDA</v>
      </c>
      <c r="C5393" t="str">
        <f t="shared" si="974"/>
        <v>PIX</v>
      </c>
      <c r="D5393" t="str">
        <f>"36104"</f>
        <v>36104</v>
      </c>
      <c r="E5393" t="str">
        <f t="shared" si="969"/>
        <v>1</v>
      </c>
      <c r="F5393" t="str">
        <f t="shared" si="975"/>
        <v>COM</v>
      </c>
      <c r="G5393" t="str">
        <f>"UBIRATAN FERREIRA GONCALVES DOS SANTOS (1319)"</f>
        <v>UBIRATAN FERREIRA GONCALVES DOS SANTOS (1319)</v>
      </c>
      <c r="H5393" t="s">
        <v>1461</v>
      </c>
      <c r="I5393" t="str">
        <f t="shared" si="973"/>
        <v>26/03/2026</v>
      </c>
      <c r="J5393" t="str">
        <f t="shared" si="968"/>
        <v>23/03/2026</v>
      </c>
      <c r="K5393">
        <v>46107</v>
      </c>
      <c r="N5393">
        <v>109</v>
      </c>
      <c r="O5393" t="s">
        <v>27</v>
      </c>
      <c r="Q5393">
        <v>700</v>
      </c>
      <c r="R5393" t="str">
        <f>"FARMACIA ROSAS (10288)"</f>
        <v>FARMACIA ROSAS (10288)</v>
      </c>
      <c r="S5393" t="s">
        <v>37</v>
      </c>
      <c r="T5393">
        <v>32327</v>
      </c>
      <c r="U5393">
        <v>36104</v>
      </c>
      <c r="V5393" t="s">
        <v>37</v>
      </c>
    </row>
    <row r="5394" spans="1:22">
      <c r="A5394" t="str">
        <f t="shared" si="970"/>
        <v>26/03/2026</v>
      </c>
      <c r="B5394" t="str">
        <f t="shared" si="972"/>
        <v>SAÍDA</v>
      </c>
      <c r="C5394" t="str">
        <f t="shared" si="974"/>
        <v>PIX</v>
      </c>
      <c r="D5394" t="str">
        <f>"36143"</f>
        <v>36143</v>
      </c>
      <c r="E5394" t="str">
        <f t="shared" si="969"/>
        <v>1</v>
      </c>
      <c r="F5394" t="str">
        <f t="shared" si="975"/>
        <v>COM</v>
      </c>
      <c r="G5394" t="str">
        <f>"ROBSON OLIVEIRA DE JESUS (623)"</f>
        <v>ROBSON OLIVEIRA DE JESUS (623)</v>
      </c>
      <c r="H5394" t="str">
        <f>"Serv.Prest. 16/03/2026 a 22/03/2026 - PIX: CELULAR - CHAVE: (73) 98166-3325"</f>
        <v>Serv.Prest. 16/03/2026 a 22/03/2026 - PIX: CELULAR - CHAVE: (73) 98166-3325</v>
      </c>
      <c r="I5394" t="str">
        <f t="shared" si="973"/>
        <v>26/03/2026</v>
      </c>
      <c r="J5394" t="str">
        <f t="shared" ref="J5394:J5411" si="976">("24/03/2026")</f>
        <v>24/03/2026</v>
      </c>
      <c r="K5394" t="str">
        <f>("26/03/2026")</f>
        <v>26/03/2026</v>
      </c>
      <c r="L5394">
        <v>6</v>
      </c>
      <c r="M5394">
        <v>6</v>
      </c>
      <c r="N5394">
        <v>109</v>
      </c>
      <c r="O5394" t="str">
        <f>"PAGAMENTO DE ENTREGADORES"</f>
        <v>PAGAMENTO DE ENTREGADORES</v>
      </c>
      <c r="P5394">
        <v>6</v>
      </c>
      <c r="S5394" t="str">
        <f>"BANCO C6 (149)"</f>
        <v>BANCO C6 (149)</v>
      </c>
      <c r="T5394">
        <v>32328</v>
      </c>
      <c r="U5394">
        <v>36143</v>
      </c>
      <c r="V5394" t="s">
        <v>37</v>
      </c>
    </row>
    <row r="5395" spans="1:22">
      <c r="A5395" t="str">
        <f t="shared" si="970"/>
        <v>26/03/2026</v>
      </c>
      <c r="B5395" t="str">
        <f t="shared" si="972"/>
        <v>SAÍDA</v>
      </c>
      <c r="C5395" t="str">
        <f t="shared" si="974"/>
        <v>PIX</v>
      </c>
      <c r="D5395" t="str">
        <f>"36143"</f>
        <v>36143</v>
      </c>
      <c r="E5395" t="str">
        <f t="shared" si="969"/>
        <v>1</v>
      </c>
      <c r="F5395" t="str">
        <f t="shared" si="975"/>
        <v>COM</v>
      </c>
      <c r="G5395" t="str">
        <f>"ROBSON OLIVEIRA DE JESUS (623)"</f>
        <v>ROBSON OLIVEIRA DE JESUS (623)</v>
      </c>
      <c r="H5395" t="s">
        <v>1218</v>
      </c>
      <c r="I5395" t="str">
        <f t="shared" si="973"/>
        <v>26/03/2026</v>
      </c>
      <c r="J5395" t="str">
        <f t="shared" si="976"/>
        <v>24/03/2026</v>
      </c>
      <c r="K5395">
        <v>46107</v>
      </c>
      <c r="N5395">
        <v>109</v>
      </c>
      <c r="O5395" t="s">
        <v>27</v>
      </c>
      <c r="Q5395">
        <v>6</v>
      </c>
      <c r="R5395" t="str">
        <f>"FARMÁCIA INDIANA LJ 155 (10273)"</f>
        <v>FARMÁCIA INDIANA LJ 155 (10273)</v>
      </c>
      <c r="S5395" t="s">
        <v>37</v>
      </c>
      <c r="T5395">
        <v>32328</v>
      </c>
      <c r="U5395">
        <v>36143</v>
      </c>
      <c r="V5395" t="s">
        <v>37</v>
      </c>
    </row>
    <row r="5396" spans="1:22">
      <c r="A5396" t="str">
        <f t="shared" si="970"/>
        <v>26/03/2026</v>
      </c>
      <c r="B5396" t="str">
        <f t="shared" si="972"/>
        <v>SAÍDA</v>
      </c>
      <c r="C5396" t="str">
        <f t="shared" si="974"/>
        <v>PIX</v>
      </c>
      <c r="D5396" t="str">
        <f>"36144"</f>
        <v>36144</v>
      </c>
      <c r="E5396" t="str">
        <f t="shared" ref="E5396:E5419" si="977">"1"</f>
        <v>1</v>
      </c>
      <c r="F5396" t="str">
        <f t="shared" si="975"/>
        <v>COM</v>
      </c>
      <c r="G5396" t="str">
        <f>"ROBSON OLIVEIRA DE JESUS (623)"</f>
        <v>ROBSON OLIVEIRA DE JESUS (623)</v>
      </c>
      <c r="H5396" t="str">
        <f>"Serv.Prest. 16/03/2026 a 22/03/2026 - PIX: CELULAR - CHAVE: (73) 98166-3325"</f>
        <v>Serv.Prest. 16/03/2026 a 22/03/2026 - PIX: CELULAR - CHAVE: (73) 98166-3325</v>
      </c>
      <c r="I5396" t="str">
        <f t="shared" si="973"/>
        <v>26/03/2026</v>
      </c>
      <c r="J5396" t="str">
        <f t="shared" si="976"/>
        <v>24/03/2026</v>
      </c>
      <c r="K5396" t="str">
        <f>("26/03/2026")</f>
        <v>26/03/2026</v>
      </c>
      <c r="L5396">
        <v>676</v>
      </c>
      <c r="M5396">
        <v>676</v>
      </c>
      <c r="N5396">
        <v>109</v>
      </c>
      <c r="O5396" t="str">
        <f>"PAGAMENTO DE ENTREGADORES"</f>
        <v>PAGAMENTO DE ENTREGADORES</v>
      </c>
      <c r="P5396">
        <v>676</v>
      </c>
      <c r="S5396" t="str">
        <f>"BANCO C6 (149)"</f>
        <v>BANCO C6 (149)</v>
      </c>
      <c r="T5396">
        <v>32329</v>
      </c>
      <c r="U5396">
        <v>36144</v>
      </c>
      <c r="V5396" t="s">
        <v>37</v>
      </c>
    </row>
    <row r="5397" spans="1:22">
      <c r="A5397" t="str">
        <f t="shared" si="970"/>
        <v>26/03/2026</v>
      </c>
      <c r="B5397" t="str">
        <f t="shared" si="972"/>
        <v>SAÍDA</v>
      </c>
      <c r="C5397" t="str">
        <f t="shared" si="974"/>
        <v>PIX</v>
      </c>
      <c r="D5397" t="str">
        <f>"36144"</f>
        <v>36144</v>
      </c>
      <c r="E5397" t="str">
        <f t="shared" si="977"/>
        <v>1</v>
      </c>
      <c r="F5397" t="str">
        <f t="shared" si="975"/>
        <v>COM</v>
      </c>
      <c r="G5397" t="str">
        <f>"ROBSON OLIVEIRA DE JESUS (623)"</f>
        <v>ROBSON OLIVEIRA DE JESUS (623)</v>
      </c>
      <c r="H5397" t="s">
        <v>1218</v>
      </c>
      <c r="I5397" t="str">
        <f t="shared" si="973"/>
        <v>26/03/2026</v>
      </c>
      <c r="J5397" t="str">
        <f t="shared" si="976"/>
        <v>24/03/2026</v>
      </c>
      <c r="K5397">
        <v>46107</v>
      </c>
      <c r="N5397">
        <v>109</v>
      </c>
      <c r="O5397" t="s">
        <v>27</v>
      </c>
      <c r="Q5397">
        <v>676</v>
      </c>
      <c r="R5397" t="str">
        <f>"FARMÁCIA INDIANA LJ 145 (10068)"</f>
        <v>FARMÁCIA INDIANA LJ 145 (10068)</v>
      </c>
      <c r="S5397" t="s">
        <v>37</v>
      </c>
      <c r="T5397">
        <v>32329</v>
      </c>
      <c r="U5397">
        <v>36144</v>
      </c>
      <c r="V5397" t="s">
        <v>37</v>
      </c>
    </row>
    <row r="5398" spans="1:22">
      <c r="A5398" t="str">
        <f t="shared" si="970"/>
        <v>26/03/2026</v>
      </c>
      <c r="B5398" t="str">
        <f t="shared" si="972"/>
        <v>SAÍDA</v>
      </c>
      <c r="C5398" t="str">
        <f t="shared" si="974"/>
        <v>PIX</v>
      </c>
      <c r="D5398" t="str">
        <f>"36145"</f>
        <v>36145</v>
      </c>
      <c r="E5398" t="str">
        <f t="shared" si="977"/>
        <v>1</v>
      </c>
      <c r="F5398" t="str">
        <f t="shared" si="975"/>
        <v>COM</v>
      </c>
      <c r="G5398" t="str">
        <f>"TALES DE JESUS OLIVEIRA (318)"</f>
        <v>TALES DE JESUS OLIVEIRA (318)</v>
      </c>
      <c r="H5398" t="str">
        <f>"Serv.Prest. 16/03/2026 a 22/03/2026 - PIX: CPF - CHAVE: 378.223.888-51"</f>
        <v>Serv.Prest. 16/03/2026 a 22/03/2026 - PIX: CPF - CHAVE: 378.223.888-51</v>
      </c>
      <c r="I5398" t="str">
        <f t="shared" si="973"/>
        <v>26/03/2026</v>
      </c>
      <c r="J5398" t="str">
        <f t="shared" si="976"/>
        <v>24/03/2026</v>
      </c>
      <c r="K5398" t="str">
        <f>("26/03/2026")</f>
        <v>26/03/2026</v>
      </c>
      <c r="L5398">
        <v>354</v>
      </c>
      <c r="M5398">
        <v>354</v>
      </c>
      <c r="N5398">
        <v>109</v>
      </c>
      <c r="O5398" t="str">
        <f>"PAGAMENTO DE ENTREGADORES"</f>
        <v>PAGAMENTO DE ENTREGADORES</v>
      </c>
      <c r="P5398">
        <v>354</v>
      </c>
      <c r="S5398" t="str">
        <f>"BANCO C6 (149)"</f>
        <v>BANCO C6 (149)</v>
      </c>
      <c r="T5398">
        <v>32330</v>
      </c>
      <c r="U5398">
        <v>36145</v>
      </c>
      <c r="V5398" t="s">
        <v>37</v>
      </c>
    </row>
    <row r="5399" spans="1:22">
      <c r="A5399" t="str">
        <f t="shared" si="970"/>
        <v>26/03/2026</v>
      </c>
      <c r="B5399" t="str">
        <f t="shared" si="972"/>
        <v>SAÍDA</v>
      </c>
      <c r="C5399" t="str">
        <f t="shared" si="974"/>
        <v>PIX</v>
      </c>
      <c r="D5399" t="str">
        <f>"36145"</f>
        <v>36145</v>
      </c>
      <c r="E5399" t="str">
        <f t="shared" si="977"/>
        <v>1</v>
      </c>
      <c r="F5399" t="str">
        <f t="shared" si="975"/>
        <v>COM</v>
      </c>
      <c r="G5399" t="str">
        <f>"TALES DE JESUS OLIVEIRA (318)"</f>
        <v>TALES DE JESUS OLIVEIRA (318)</v>
      </c>
      <c r="H5399" t="s">
        <v>1462</v>
      </c>
      <c r="I5399" t="str">
        <f t="shared" si="973"/>
        <v>26/03/2026</v>
      </c>
      <c r="J5399" t="str">
        <f t="shared" si="976"/>
        <v>24/03/2026</v>
      </c>
      <c r="K5399">
        <v>46107</v>
      </c>
      <c r="N5399">
        <v>109</v>
      </c>
      <c r="O5399" t="s">
        <v>27</v>
      </c>
      <c r="Q5399">
        <v>354</v>
      </c>
      <c r="R5399" t="str">
        <f>"FARMÁCIA INDIANA LJ 145 (10068)"</f>
        <v>FARMÁCIA INDIANA LJ 145 (10068)</v>
      </c>
      <c r="S5399" t="s">
        <v>37</v>
      </c>
      <c r="T5399">
        <v>32330</v>
      </c>
      <c r="U5399">
        <v>36145</v>
      </c>
      <c r="V5399" t="s">
        <v>37</v>
      </c>
    </row>
    <row r="5400" spans="1:22">
      <c r="A5400" t="str">
        <f t="shared" ref="A5400:A5440" si="978">("26/03/2026")</f>
        <v>26/03/2026</v>
      </c>
      <c r="B5400" t="str">
        <f t="shared" si="972"/>
        <v>SAÍDA</v>
      </c>
      <c r="C5400" t="str">
        <f t="shared" si="974"/>
        <v>PIX</v>
      </c>
      <c r="D5400" t="str">
        <f>"36146"</f>
        <v>36146</v>
      </c>
      <c r="E5400" t="str">
        <f t="shared" si="977"/>
        <v>1</v>
      </c>
      <c r="F5400" t="str">
        <f t="shared" si="975"/>
        <v>COM</v>
      </c>
      <c r="G5400" t="str">
        <f>"TALES DE JESUS OLIVEIRA (318)"</f>
        <v>TALES DE JESUS OLIVEIRA (318)</v>
      </c>
      <c r="H5400" t="str">
        <f>"Serv.Prest. 16/03/2026 a 22/03/2026 - PIX: CPF - CHAVE: 378.223.888-51"</f>
        <v>Serv.Prest. 16/03/2026 a 22/03/2026 - PIX: CPF - CHAVE: 378.223.888-51</v>
      </c>
      <c r="I5400" t="str">
        <f t="shared" si="973"/>
        <v>26/03/2026</v>
      </c>
      <c r="J5400" t="str">
        <f t="shared" si="976"/>
        <v>24/03/2026</v>
      </c>
      <c r="K5400" t="str">
        <f>("26/03/2026")</f>
        <v>26/03/2026</v>
      </c>
      <c r="L5400">
        <v>348</v>
      </c>
      <c r="M5400">
        <v>348</v>
      </c>
      <c r="N5400">
        <v>109</v>
      </c>
      <c r="O5400" t="str">
        <f>"PAGAMENTO DE ENTREGADORES"</f>
        <v>PAGAMENTO DE ENTREGADORES</v>
      </c>
      <c r="P5400">
        <v>348</v>
      </c>
      <c r="S5400" t="str">
        <f>"BANCO C6 (149)"</f>
        <v>BANCO C6 (149)</v>
      </c>
      <c r="T5400">
        <v>32331</v>
      </c>
      <c r="U5400">
        <v>36146</v>
      </c>
      <c r="V5400" t="s">
        <v>37</v>
      </c>
    </row>
    <row r="5401" spans="1:22">
      <c r="A5401" t="str">
        <f t="shared" si="978"/>
        <v>26/03/2026</v>
      </c>
      <c r="B5401" t="str">
        <f t="shared" si="972"/>
        <v>SAÍDA</v>
      </c>
      <c r="C5401" t="str">
        <f t="shared" si="974"/>
        <v>PIX</v>
      </c>
      <c r="D5401" t="str">
        <f>"36146"</f>
        <v>36146</v>
      </c>
      <c r="E5401" t="str">
        <f t="shared" si="977"/>
        <v>1</v>
      </c>
      <c r="F5401" t="str">
        <f t="shared" si="975"/>
        <v>COM</v>
      </c>
      <c r="G5401" t="str">
        <f>"TALES DE JESUS OLIVEIRA (318)"</f>
        <v>TALES DE JESUS OLIVEIRA (318)</v>
      </c>
      <c r="H5401" t="s">
        <v>1462</v>
      </c>
      <c r="I5401" t="str">
        <f t="shared" si="973"/>
        <v>26/03/2026</v>
      </c>
      <c r="J5401" t="str">
        <f t="shared" si="976"/>
        <v>24/03/2026</v>
      </c>
      <c r="K5401">
        <v>46107</v>
      </c>
      <c r="N5401">
        <v>109</v>
      </c>
      <c r="O5401" t="s">
        <v>27</v>
      </c>
      <c r="Q5401">
        <v>348</v>
      </c>
      <c r="R5401" t="str">
        <f>"FARMÁCIA INDIANA LJ 155 (10273)"</f>
        <v>FARMÁCIA INDIANA LJ 155 (10273)</v>
      </c>
      <c r="S5401" t="s">
        <v>37</v>
      </c>
      <c r="T5401">
        <v>32331</v>
      </c>
      <c r="U5401">
        <v>36146</v>
      </c>
      <c r="V5401" t="s">
        <v>37</v>
      </c>
    </row>
    <row r="5402" spans="1:22">
      <c r="A5402" t="str">
        <f t="shared" si="978"/>
        <v>26/03/2026</v>
      </c>
      <c r="B5402" t="str">
        <f t="shared" si="972"/>
        <v>SAÍDA</v>
      </c>
      <c r="C5402" t="str">
        <f t="shared" si="974"/>
        <v>PIX</v>
      </c>
      <c r="D5402" t="str">
        <f>"36188"</f>
        <v>36188</v>
      </c>
      <c r="E5402" t="str">
        <f t="shared" si="977"/>
        <v>1</v>
      </c>
      <c r="F5402" t="str">
        <f t="shared" si="975"/>
        <v>COM</v>
      </c>
      <c r="G5402" t="str">
        <f>"EDUARDA LEMES SILVA  (300)"</f>
        <v>EDUARDA LEMES SILVA  (300)</v>
      </c>
      <c r="H5402" t="str">
        <f>"Serv.Prest. 16/03/2026 a 22/03/2026 - PIX: CPF - CHAVE: 188.964.706-33"</f>
        <v>Serv.Prest. 16/03/2026 a 22/03/2026 - PIX: CPF - CHAVE: 188.964.706-33</v>
      </c>
      <c r="I5402" t="str">
        <f t="shared" si="973"/>
        <v>26/03/2026</v>
      </c>
      <c r="J5402" t="str">
        <f t="shared" si="976"/>
        <v>24/03/2026</v>
      </c>
      <c r="K5402" t="str">
        <f>("26/03/2026")</f>
        <v>26/03/2026</v>
      </c>
      <c r="L5402">
        <v>474</v>
      </c>
      <c r="M5402">
        <v>474</v>
      </c>
      <c r="N5402">
        <v>109</v>
      </c>
      <c r="O5402" t="str">
        <f>"PAGAMENTO DE ENTREGADORES"</f>
        <v>PAGAMENTO DE ENTREGADORES</v>
      </c>
      <c r="P5402">
        <v>474</v>
      </c>
      <c r="S5402" t="str">
        <f>"BANCO C6 (149)"</f>
        <v>BANCO C6 (149)</v>
      </c>
      <c r="T5402">
        <v>32332</v>
      </c>
      <c r="U5402">
        <v>36188</v>
      </c>
      <c r="V5402" t="s">
        <v>37</v>
      </c>
    </row>
    <row r="5403" spans="1:22">
      <c r="A5403" t="str">
        <f t="shared" si="978"/>
        <v>26/03/2026</v>
      </c>
      <c r="B5403" t="str">
        <f t="shared" si="972"/>
        <v>SAÍDA</v>
      </c>
      <c r="C5403" t="str">
        <f t="shared" si="974"/>
        <v>PIX</v>
      </c>
      <c r="D5403" t="str">
        <f>"36188"</f>
        <v>36188</v>
      </c>
      <c r="E5403" t="str">
        <f t="shared" si="977"/>
        <v>1</v>
      </c>
      <c r="F5403" t="str">
        <f t="shared" si="975"/>
        <v>COM</v>
      </c>
      <c r="G5403" t="str">
        <f>"EDUARDA LEMES SILVA  (300)"</f>
        <v>EDUARDA LEMES SILVA  (300)</v>
      </c>
      <c r="H5403" t="s">
        <v>1463</v>
      </c>
      <c r="I5403" t="str">
        <f t="shared" si="973"/>
        <v>26/03/2026</v>
      </c>
      <c r="J5403" t="str">
        <f t="shared" si="976"/>
        <v>24/03/2026</v>
      </c>
      <c r="K5403">
        <v>46107</v>
      </c>
      <c r="N5403">
        <v>109</v>
      </c>
      <c r="O5403" t="s">
        <v>27</v>
      </c>
      <c r="Q5403">
        <v>474</v>
      </c>
      <c r="R5403" t="str">
        <f>"FARMÁCIA INDIANA LJ 101 (10043)"</f>
        <v>FARMÁCIA INDIANA LJ 101 (10043)</v>
      </c>
      <c r="S5403" t="s">
        <v>37</v>
      </c>
      <c r="T5403">
        <v>32332</v>
      </c>
      <c r="U5403">
        <v>36188</v>
      </c>
      <c r="V5403" t="s">
        <v>37</v>
      </c>
    </row>
    <row r="5404" spans="1:22">
      <c r="A5404" t="str">
        <f t="shared" si="978"/>
        <v>26/03/2026</v>
      </c>
      <c r="B5404" t="str">
        <f t="shared" si="972"/>
        <v>SAÍDA</v>
      </c>
      <c r="C5404" t="str">
        <f t="shared" si="974"/>
        <v>PIX</v>
      </c>
      <c r="D5404" t="str">
        <f>"36189"</f>
        <v>36189</v>
      </c>
      <c r="E5404" t="str">
        <f t="shared" si="977"/>
        <v>1</v>
      </c>
      <c r="F5404" t="str">
        <f t="shared" si="975"/>
        <v>COM</v>
      </c>
      <c r="G5404" t="str">
        <f>"EDUARDA LEMES SILVA  (300)"</f>
        <v>EDUARDA LEMES SILVA  (300)</v>
      </c>
      <c r="H5404" t="str">
        <f>"Serv.Prest. 16/03/2026 a 22/03/2026 - PIX: CPF - CHAVE: 188.964.706-33"</f>
        <v>Serv.Prest. 16/03/2026 a 22/03/2026 - PIX: CPF - CHAVE: 188.964.706-33</v>
      </c>
      <c r="I5404" t="str">
        <f t="shared" si="973"/>
        <v>26/03/2026</v>
      </c>
      <c r="J5404" t="str">
        <f t="shared" si="976"/>
        <v>24/03/2026</v>
      </c>
      <c r="K5404" t="str">
        <f>("26/03/2026")</f>
        <v>26/03/2026</v>
      </c>
      <c r="L5404">
        <v>480</v>
      </c>
      <c r="M5404">
        <v>480</v>
      </c>
      <c r="N5404">
        <v>109</v>
      </c>
      <c r="O5404" t="str">
        <f>"PAGAMENTO DE ENTREGADORES"</f>
        <v>PAGAMENTO DE ENTREGADORES</v>
      </c>
      <c r="P5404">
        <v>480</v>
      </c>
      <c r="S5404" t="str">
        <f>"BANCO C6 (149)"</f>
        <v>BANCO C6 (149)</v>
      </c>
      <c r="T5404">
        <v>32333</v>
      </c>
      <c r="U5404">
        <v>36189</v>
      </c>
      <c r="V5404" t="s">
        <v>37</v>
      </c>
    </row>
    <row r="5405" spans="1:22">
      <c r="A5405" t="str">
        <f t="shared" si="978"/>
        <v>26/03/2026</v>
      </c>
      <c r="B5405" t="str">
        <f t="shared" si="972"/>
        <v>SAÍDA</v>
      </c>
      <c r="C5405" t="str">
        <f t="shared" si="974"/>
        <v>PIX</v>
      </c>
      <c r="D5405" t="str">
        <f>"36189"</f>
        <v>36189</v>
      </c>
      <c r="E5405" t="str">
        <f t="shared" si="977"/>
        <v>1</v>
      </c>
      <c r="F5405" t="str">
        <f t="shared" si="975"/>
        <v>COM</v>
      </c>
      <c r="G5405" t="str">
        <f>"EDUARDA LEMES SILVA  (300)"</f>
        <v>EDUARDA LEMES SILVA  (300)</v>
      </c>
      <c r="H5405" t="s">
        <v>1463</v>
      </c>
      <c r="I5405" t="str">
        <f t="shared" si="973"/>
        <v>26/03/2026</v>
      </c>
      <c r="J5405" t="str">
        <f t="shared" si="976"/>
        <v>24/03/2026</v>
      </c>
      <c r="K5405">
        <v>46107</v>
      </c>
      <c r="N5405">
        <v>109</v>
      </c>
      <c r="O5405" t="s">
        <v>27</v>
      </c>
      <c r="Q5405">
        <v>480</v>
      </c>
      <c r="R5405" t="str">
        <f>"FARMÁCIA INDIANA LJ 220 (10092)"</f>
        <v>FARMÁCIA INDIANA LJ 220 (10092)</v>
      </c>
      <c r="S5405" t="s">
        <v>37</v>
      </c>
      <c r="T5405">
        <v>32333</v>
      </c>
      <c r="U5405">
        <v>36189</v>
      </c>
      <c r="V5405" t="s">
        <v>37</v>
      </c>
    </row>
    <row r="5406" spans="1:22">
      <c r="A5406" t="str">
        <f t="shared" si="978"/>
        <v>26/03/2026</v>
      </c>
      <c r="B5406" t="str">
        <f t="shared" si="972"/>
        <v>SAÍDA</v>
      </c>
      <c r="C5406" t="str">
        <f t="shared" si="974"/>
        <v>PIX</v>
      </c>
      <c r="D5406" t="str">
        <f>"36290"</f>
        <v>36290</v>
      </c>
      <c r="E5406" t="str">
        <f t="shared" si="977"/>
        <v>1</v>
      </c>
      <c r="F5406" t="str">
        <f t="shared" si="975"/>
        <v>COM</v>
      </c>
      <c r="G5406" t="str">
        <f>"JOEL ARAGAO SALES (864)"</f>
        <v>JOEL ARAGAO SALES (864)</v>
      </c>
      <c r="H5406" t="str">
        <f>"Serv.Prest. 16/03/2026 a 22/03/2026 - PIX: CPF - CHAVE: 052.353.883-99"</f>
        <v>Serv.Prest. 16/03/2026 a 22/03/2026 - PIX: CPF - CHAVE: 052.353.883-99</v>
      </c>
      <c r="I5406" t="str">
        <f t="shared" si="973"/>
        <v>26/03/2026</v>
      </c>
      <c r="J5406" t="str">
        <f t="shared" si="976"/>
        <v>24/03/2026</v>
      </c>
      <c r="K5406" t="str">
        <f>("26/03/2026")</f>
        <v>26/03/2026</v>
      </c>
      <c r="L5406">
        <v>553</v>
      </c>
      <c r="M5406">
        <v>553</v>
      </c>
      <c r="N5406">
        <v>109</v>
      </c>
      <c r="O5406" t="str">
        <f>"PAGAMENTO DE ENTREGADORES"</f>
        <v>PAGAMENTO DE ENTREGADORES</v>
      </c>
      <c r="P5406">
        <v>553</v>
      </c>
      <c r="S5406" t="str">
        <f>"BANCO C6 (149)"</f>
        <v>BANCO C6 (149)</v>
      </c>
      <c r="T5406">
        <v>32334</v>
      </c>
      <c r="U5406">
        <v>36290</v>
      </c>
      <c r="V5406" t="s">
        <v>37</v>
      </c>
    </row>
    <row r="5407" spans="1:22">
      <c r="A5407" t="str">
        <f t="shared" si="978"/>
        <v>26/03/2026</v>
      </c>
      <c r="B5407" t="str">
        <f t="shared" si="972"/>
        <v>SAÍDA</v>
      </c>
      <c r="C5407" t="str">
        <f t="shared" si="974"/>
        <v>PIX</v>
      </c>
      <c r="D5407" t="str">
        <f>"36290"</f>
        <v>36290</v>
      </c>
      <c r="E5407" t="str">
        <f t="shared" si="977"/>
        <v>1</v>
      </c>
      <c r="F5407" t="str">
        <f t="shared" si="975"/>
        <v>COM</v>
      </c>
      <c r="G5407" t="str">
        <f>"JOEL ARAGAO SALES (864)"</f>
        <v>JOEL ARAGAO SALES (864)</v>
      </c>
      <c r="H5407" t="s">
        <v>1464</v>
      </c>
      <c r="I5407" t="str">
        <f t="shared" si="973"/>
        <v>26/03/2026</v>
      </c>
      <c r="J5407" t="str">
        <f t="shared" si="976"/>
        <v>24/03/2026</v>
      </c>
      <c r="K5407">
        <v>46107</v>
      </c>
      <c r="N5407">
        <v>109</v>
      </c>
      <c r="O5407" t="s">
        <v>27</v>
      </c>
      <c r="Q5407">
        <v>553</v>
      </c>
      <c r="R5407" t="str">
        <f>"DROGARIA TOTAL JUNDIAI (10177)"</f>
        <v>DROGARIA TOTAL JUNDIAI (10177)</v>
      </c>
      <c r="S5407" t="s">
        <v>37</v>
      </c>
      <c r="T5407">
        <v>32334</v>
      </c>
      <c r="U5407">
        <v>36290</v>
      </c>
      <c r="V5407" t="s">
        <v>37</v>
      </c>
    </row>
    <row r="5408" spans="1:22">
      <c r="A5408" t="str">
        <f t="shared" si="978"/>
        <v>26/03/2026</v>
      </c>
      <c r="B5408" t="str">
        <f t="shared" si="972"/>
        <v>SAÍDA</v>
      </c>
      <c r="C5408" t="str">
        <f t="shared" si="974"/>
        <v>PIX</v>
      </c>
      <c r="D5408" t="str">
        <f>"36275"</f>
        <v>36275</v>
      </c>
      <c r="E5408" t="str">
        <f t="shared" si="977"/>
        <v>1</v>
      </c>
      <c r="F5408" t="str">
        <f t="shared" si="975"/>
        <v>COM</v>
      </c>
      <c r="G5408" t="str">
        <f>"WEIGNE SENA CARDOSO (53)"</f>
        <v>WEIGNE SENA CARDOSO (53)</v>
      </c>
      <c r="H5408" t="str">
        <f>"Serv.Prest. 16/03/2026 a 22/03/2026 - PIX: CPF - CHAVE: 097.245.586-81"</f>
        <v>Serv.Prest. 16/03/2026 a 22/03/2026 - PIX: CPF - CHAVE: 097.245.586-81</v>
      </c>
      <c r="I5408" t="str">
        <f t="shared" si="973"/>
        <v>26/03/2026</v>
      </c>
      <c r="J5408" t="str">
        <f t="shared" si="976"/>
        <v>24/03/2026</v>
      </c>
      <c r="K5408" t="str">
        <f>("26/03/2026")</f>
        <v>26/03/2026</v>
      </c>
      <c r="L5408">
        <v>966</v>
      </c>
      <c r="M5408">
        <v>966</v>
      </c>
      <c r="N5408">
        <v>109</v>
      </c>
      <c r="O5408" t="str">
        <f>"PAGAMENTO DE ENTREGADORES"</f>
        <v>PAGAMENTO DE ENTREGADORES</v>
      </c>
      <c r="P5408">
        <v>966</v>
      </c>
      <c r="S5408" t="str">
        <f>"BANCO C6 (149)"</f>
        <v>BANCO C6 (149)</v>
      </c>
      <c r="T5408">
        <v>32335</v>
      </c>
      <c r="U5408">
        <v>36275</v>
      </c>
      <c r="V5408" t="s">
        <v>37</v>
      </c>
    </row>
    <row r="5409" spans="1:22">
      <c r="A5409" t="str">
        <f t="shared" si="978"/>
        <v>26/03/2026</v>
      </c>
      <c r="B5409" t="str">
        <f t="shared" si="972"/>
        <v>SAÍDA</v>
      </c>
      <c r="C5409" t="str">
        <f t="shared" si="974"/>
        <v>PIX</v>
      </c>
      <c r="D5409" t="str">
        <f>"36275"</f>
        <v>36275</v>
      </c>
      <c r="E5409" t="str">
        <f t="shared" si="977"/>
        <v>1</v>
      </c>
      <c r="F5409" t="str">
        <f t="shared" si="975"/>
        <v>COM</v>
      </c>
      <c r="G5409" t="str">
        <f>"WEIGNE SENA CARDOSO (53)"</f>
        <v>WEIGNE SENA CARDOSO (53)</v>
      </c>
      <c r="H5409" t="s">
        <v>1465</v>
      </c>
      <c r="I5409" t="str">
        <f t="shared" si="973"/>
        <v>26/03/2026</v>
      </c>
      <c r="J5409" t="str">
        <f t="shared" si="976"/>
        <v>24/03/2026</v>
      </c>
      <c r="K5409">
        <v>46107</v>
      </c>
      <c r="N5409">
        <v>109</v>
      </c>
      <c r="O5409" t="s">
        <v>27</v>
      </c>
      <c r="Q5409">
        <v>966</v>
      </c>
      <c r="R5409" t="str">
        <f>"FARMÁCIA INDIANA LJ 07 (10007)"</f>
        <v>FARMÁCIA INDIANA LJ 07 (10007)</v>
      </c>
      <c r="S5409" t="s">
        <v>37</v>
      </c>
      <c r="T5409">
        <v>32335</v>
      </c>
      <c r="U5409">
        <v>36275</v>
      </c>
      <c r="V5409" t="s">
        <v>37</v>
      </c>
    </row>
    <row r="5410" spans="1:22">
      <c r="A5410" t="str">
        <f t="shared" si="978"/>
        <v>26/03/2026</v>
      </c>
      <c r="B5410" t="str">
        <f t="shared" si="972"/>
        <v>SAÍDA</v>
      </c>
      <c r="C5410" t="str">
        <f t="shared" si="974"/>
        <v>PIX</v>
      </c>
      <c r="D5410" t="str">
        <f>"36291"</f>
        <v>36291</v>
      </c>
      <c r="E5410" t="str">
        <f t="shared" si="977"/>
        <v>1</v>
      </c>
      <c r="F5410" t="str">
        <f t="shared" si="975"/>
        <v>COM</v>
      </c>
      <c r="G5410" t="str">
        <f>"VALDIR PEREIRA PINHEIRO (1146)"</f>
        <v>VALDIR PEREIRA PINHEIRO (1146)</v>
      </c>
      <c r="H5410" t="str">
        <f>"Serv.Prest. 16/03/2026 a 22/03/2026 - PIX: CELULAR - CHAVE: (11) 96180-2717"</f>
        <v>Serv.Prest. 16/03/2026 a 22/03/2026 - PIX: CELULAR - CHAVE: (11) 96180-2717</v>
      </c>
      <c r="I5410" t="str">
        <f t="shared" si="973"/>
        <v>26/03/2026</v>
      </c>
      <c r="J5410" t="str">
        <f t="shared" si="976"/>
        <v>24/03/2026</v>
      </c>
      <c r="K5410" t="str">
        <f>("26/03/2026")</f>
        <v>26/03/2026</v>
      </c>
      <c r="L5410">
        <v>301</v>
      </c>
      <c r="M5410">
        <v>301</v>
      </c>
      <c r="N5410">
        <v>109</v>
      </c>
      <c r="O5410" t="str">
        <f>"PAGAMENTO DE ENTREGADORES"</f>
        <v>PAGAMENTO DE ENTREGADORES</v>
      </c>
      <c r="P5410">
        <v>301</v>
      </c>
      <c r="S5410" t="str">
        <f>"BANCO C6 (149)"</f>
        <v>BANCO C6 (149)</v>
      </c>
      <c r="T5410">
        <v>32336</v>
      </c>
      <c r="U5410">
        <v>36291</v>
      </c>
      <c r="V5410" t="s">
        <v>37</v>
      </c>
    </row>
    <row r="5411" spans="1:22">
      <c r="A5411" t="str">
        <f t="shared" si="978"/>
        <v>26/03/2026</v>
      </c>
      <c r="B5411" t="str">
        <f t="shared" si="972"/>
        <v>SAÍDA</v>
      </c>
      <c r="C5411" t="str">
        <f t="shared" si="974"/>
        <v>PIX</v>
      </c>
      <c r="D5411" t="str">
        <f>"36291"</f>
        <v>36291</v>
      </c>
      <c r="E5411" t="str">
        <f t="shared" si="977"/>
        <v>1</v>
      </c>
      <c r="F5411" t="str">
        <f t="shared" si="975"/>
        <v>COM</v>
      </c>
      <c r="G5411" t="str">
        <f>"VALDIR PEREIRA PINHEIRO (1146)"</f>
        <v>VALDIR PEREIRA PINHEIRO (1146)</v>
      </c>
      <c r="H5411" t="s">
        <v>1466</v>
      </c>
      <c r="I5411" t="str">
        <f t="shared" si="973"/>
        <v>26/03/2026</v>
      </c>
      <c r="J5411" t="str">
        <f t="shared" si="976"/>
        <v>24/03/2026</v>
      </c>
      <c r="K5411">
        <v>46107</v>
      </c>
      <c r="N5411">
        <v>109</v>
      </c>
      <c r="O5411" t="s">
        <v>27</v>
      </c>
      <c r="Q5411">
        <v>301</v>
      </c>
      <c r="R5411" t="str">
        <f>"DROGARIA TOTAL JUNDIAI (10177)"</f>
        <v>DROGARIA TOTAL JUNDIAI (10177)</v>
      </c>
      <c r="S5411" t="s">
        <v>37</v>
      </c>
      <c r="T5411">
        <v>32336</v>
      </c>
      <c r="U5411">
        <v>36291</v>
      </c>
      <c r="V5411" t="s">
        <v>37</v>
      </c>
    </row>
    <row r="5412" spans="1:22">
      <c r="A5412" t="str">
        <f t="shared" si="978"/>
        <v>26/03/2026</v>
      </c>
      <c r="B5412" t="str">
        <f t="shared" si="972"/>
        <v>SAÍDA</v>
      </c>
      <c r="C5412" t="str">
        <f t="shared" si="974"/>
        <v>PIX</v>
      </c>
      <c r="D5412" t="str">
        <f>"36301"</f>
        <v>36301</v>
      </c>
      <c r="E5412" t="str">
        <f t="shared" si="977"/>
        <v>1</v>
      </c>
      <c r="F5412" t="str">
        <f t="shared" si="975"/>
        <v>COM</v>
      </c>
      <c r="G5412" t="str">
        <f>"ALBERTO FARIAS DOS SANTOS JUNIOR (800)"</f>
        <v>ALBERTO FARIAS DOS SANTOS JUNIOR (800)</v>
      </c>
      <c r="H5412" t="str">
        <f>"Serv.Prest. 16/03/2026 a 22/03/2026 - PIX: CELULAR - CHAVE: (71) 99696-7530"</f>
        <v>Serv.Prest. 16/03/2026 a 22/03/2026 - PIX: CELULAR - CHAVE: (71) 99696-7530</v>
      </c>
      <c r="I5412" t="str">
        <f t="shared" si="973"/>
        <v>26/03/2026</v>
      </c>
      <c r="J5412" t="str">
        <f t="shared" ref="J5412:J5421" si="979">("25/03/2026")</f>
        <v>25/03/2026</v>
      </c>
      <c r="K5412" t="str">
        <f>("26/03/2026")</f>
        <v>26/03/2026</v>
      </c>
      <c r="L5412">
        <v>720</v>
      </c>
      <c r="M5412">
        <v>720</v>
      </c>
      <c r="N5412">
        <v>109</v>
      </c>
      <c r="O5412" t="str">
        <f>"PAGAMENTO DE ENTREGADORES"</f>
        <v>PAGAMENTO DE ENTREGADORES</v>
      </c>
      <c r="P5412">
        <v>720</v>
      </c>
      <c r="S5412" t="str">
        <f>"BANCO C6 (149)"</f>
        <v>BANCO C6 (149)</v>
      </c>
      <c r="T5412">
        <v>32337</v>
      </c>
      <c r="U5412">
        <v>36301</v>
      </c>
      <c r="V5412" t="s">
        <v>37</v>
      </c>
    </row>
    <row r="5413" spans="1:22">
      <c r="A5413" t="str">
        <f t="shared" si="978"/>
        <v>26/03/2026</v>
      </c>
      <c r="B5413" t="str">
        <f t="shared" si="972"/>
        <v>SAÍDA</v>
      </c>
      <c r="C5413" t="str">
        <f t="shared" si="974"/>
        <v>PIX</v>
      </c>
      <c r="D5413" t="str">
        <f>"36301"</f>
        <v>36301</v>
      </c>
      <c r="E5413" t="str">
        <f t="shared" si="977"/>
        <v>1</v>
      </c>
      <c r="F5413" t="str">
        <f t="shared" si="975"/>
        <v>COM</v>
      </c>
      <c r="G5413" t="str">
        <f>"ALBERTO FARIAS DOS SANTOS JUNIOR (800)"</f>
        <v>ALBERTO FARIAS DOS SANTOS JUNIOR (800)</v>
      </c>
      <c r="H5413" t="s">
        <v>1467</v>
      </c>
      <c r="I5413" t="str">
        <f t="shared" si="973"/>
        <v>26/03/2026</v>
      </c>
      <c r="J5413" t="str">
        <f t="shared" si="979"/>
        <v>25/03/2026</v>
      </c>
      <c r="K5413">
        <v>46107</v>
      </c>
      <c r="N5413">
        <v>109</v>
      </c>
      <c r="O5413" t="s">
        <v>27</v>
      </c>
      <c r="Q5413">
        <v>720</v>
      </c>
      <c r="R5413" t="str">
        <f>"DELTA LOJA 2 (10123)"</f>
        <v>DELTA LOJA 2 (10123)</v>
      </c>
      <c r="S5413" t="s">
        <v>37</v>
      </c>
      <c r="T5413">
        <v>32337</v>
      </c>
      <c r="U5413">
        <v>36301</v>
      </c>
      <c r="V5413" t="s">
        <v>37</v>
      </c>
    </row>
    <row r="5414" spans="1:22">
      <c r="A5414" t="str">
        <f t="shared" si="978"/>
        <v>26/03/2026</v>
      </c>
      <c r="B5414" t="str">
        <f t="shared" si="972"/>
        <v>SAÍDA</v>
      </c>
      <c r="C5414" t="str">
        <f t="shared" si="974"/>
        <v>PIX</v>
      </c>
      <c r="D5414" t="str">
        <f>"36302"</f>
        <v>36302</v>
      </c>
      <c r="E5414" t="str">
        <f t="shared" si="977"/>
        <v>1</v>
      </c>
      <c r="F5414" t="str">
        <f t="shared" si="975"/>
        <v>COM</v>
      </c>
      <c r="G5414" t="str">
        <f>"EDNUBIA RAMOS ALVES OLIVEIRA (899)"</f>
        <v>EDNUBIA RAMOS ALVES OLIVEIRA (899)</v>
      </c>
      <c r="H5414" t="str">
        <f>"Serv.Prest. 16/03/2026 a 22/03/2026 - PIX: CELULAR - CHAVE: (71) 99214-9256"</f>
        <v>Serv.Prest. 16/03/2026 a 22/03/2026 - PIX: CELULAR - CHAVE: (71) 99214-9256</v>
      </c>
      <c r="I5414" t="str">
        <f t="shared" si="973"/>
        <v>26/03/2026</v>
      </c>
      <c r="J5414" t="str">
        <f t="shared" si="979"/>
        <v>25/03/2026</v>
      </c>
      <c r="K5414" t="str">
        <f>("26/03/2026")</f>
        <v>26/03/2026</v>
      </c>
      <c r="L5414">
        <v>710</v>
      </c>
      <c r="M5414">
        <v>710</v>
      </c>
      <c r="N5414">
        <v>109</v>
      </c>
      <c r="O5414" t="str">
        <f>"PAGAMENTO DE ENTREGADORES"</f>
        <v>PAGAMENTO DE ENTREGADORES</v>
      </c>
      <c r="P5414">
        <v>710</v>
      </c>
      <c r="S5414" t="str">
        <f>"BANCO C6 (149)"</f>
        <v>BANCO C6 (149)</v>
      </c>
      <c r="T5414">
        <v>32338</v>
      </c>
      <c r="U5414">
        <v>36302</v>
      </c>
      <c r="V5414" t="s">
        <v>37</v>
      </c>
    </row>
    <row r="5415" spans="1:22">
      <c r="A5415" t="str">
        <f t="shared" si="978"/>
        <v>26/03/2026</v>
      </c>
      <c r="B5415" t="str">
        <f t="shared" si="972"/>
        <v>SAÍDA</v>
      </c>
      <c r="C5415" t="str">
        <f t="shared" si="974"/>
        <v>PIX</v>
      </c>
      <c r="D5415" t="str">
        <f>"36302"</f>
        <v>36302</v>
      </c>
      <c r="E5415" t="str">
        <f t="shared" si="977"/>
        <v>1</v>
      </c>
      <c r="F5415" t="str">
        <f t="shared" si="975"/>
        <v>COM</v>
      </c>
      <c r="G5415" t="str">
        <f>"EDNUBIA RAMOS ALVES OLIVEIRA (899)"</f>
        <v>EDNUBIA RAMOS ALVES OLIVEIRA (899)</v>
      </c>
      <c r="H5415" t="s">
        <v>1212</v>
      </c>
      <c r="I5415" t="str">
        <f t="shared" si="973"/>
        <v>26/03/2026</v>
      </c>
      <c r="J5415" t="str">
        <f t="shared" si="979"/>
        <v>25/03/2026</v>
      </c>
      <c r="K5415">
        <v>46107</v>
      </c>
      <c r="N5415">
        <v>109</v>
      </c>
      <c r="O5415" t="s">
        <v>27</v>
      </c>
      <c r="Q5415">
        <v>710</v>
      </c>
      <c r="R5415" t="str">
        <f>"DELTA LOJA 2 (10123)"</f>
        <v>DELTA LOJA 2 (10123)</v>
      </c>
      <c r="S5415" t="s">
        <v>37</v>
      </c>
      <c r="T5415">
        <v>32338</v>
      </c>
      <c r="U5415">
        <v>36302</v>
      </c>
      <c r="V5415" t="s">
        <v>37</v>
      </c>
    </row>
    <row r="5416" spans="1:22">
      <c r="A5416" t="str">
        <f t="shared" si="978"/>
        <v>26/03/2026</v>
      </c>
      <c r="B5416" t="str">
        <f t="shared" si="972"/>
        <v>SAÍDA</v>
      </c>
      <c r="C5416" t="str">
        <f t="shared" si="974"/>
        <v>PIX</v>
      </c>
      <c r="D5416" t="str">
        <f>"36303"</f>
        <v>36303</v>
      </c>
      <c r="E5416" t="str">
        <f t="shared" si="977"/>
        <v>1</v>
      </c>
      <c r="F5416" t="str">
        <f t="shared" si="975"/>
        <v>COM</v>
      </c>
      <c r="G5416" t="str">
        <f>"EDVAN DA SILVA ALVES (934)"</f>
        <v>EDVAN DA SILVA ALVES (934)</v>
      </c>
      <c r="H5416" t="str">
        <f>"Serv.Prest. 16/03/2026 a 22/03/2026 - PIX: E-MAIL - CHAVE: edvam18.alves@gmail.com"</f>
        <v>Serv.Prest. 16/03/2026 a 22/03/2026 - PIX: E-MAIL - CHAVE: edvam18.alves@gmail.com</v>
      </c>
      <c r="I5416" t="str">
        <f t="shared" si="973"/>
        <v>26/03/2026</v>
      </c>
      <c r="J5416" t="str">
        <f t="shared" si="979"/>
        <v>25/03/2026</v>
      </c>
      <c r="K5416" t="str">
        <f>("26/03/2026")</f>
        <v>26/03/2026</v>
      </c>
      <c r="L5416">
        <v>760</v>
      </c>
      <c r="M5416">
        <v>760</v>
      </c>
      <c r="N5416">
        <v>109</v>
      </c>
      <c r="O5416" t="str">
        <f>"PAGAMENTO DE ENTREGADORES"</f>
        <v>PAGAMENTO DE ENTREGADORES</v>
      </c>
      <c r="P5416">
        <v>760</v>
      </c>
      <c r="S5416" t="str">
        <f>"BANCO C6 (149)"</f>
        <v>BANCO C6 (149)</v>
      </c>
      <c r="T5416">
        <v>32339</v>
      </c>
      <c r="U5416">
        <v>36303</v>
      </c>
      <c r="V5416" t="s">
        <v>37</v>
      </c>
    </row>
    <row r="5417" spans="1:22">
      <c r="A5417" t="str">
        <f t="shared" si="978"/>
        <v>26/03/2026</v>
      </c>
      <c r="B5417" t="str">
        <f t="shared" si="972"/>
        <v>SAÍDA</v>
      </c>
      <c r="C5417" t="str">
        <f t="shared" si="974"/>
        <v>PIX</v>
      </c>
      <c r="D5417" t="str">
        <f>"36303"</f>
        <v>36303</v>
      </c>
      <c r="E5417" t="str">
        <f t="shared" si="977"/>
        <v>1</v>
      </c>
      <c r="F5417" t="str">
        <f t="shared" si="975"/>
        <v>COM</v>
      </c>
      <c r="G5417" t="str">
        <f>"EDVAN DA SILVA ALVES (934)"</f>
        <v>EDVAN DA SILVA ALVES (934)</v>
      </c>
      <c r="H5417" t="s">
        <v>1468</v>
      </c>
      <c r="I5417" t="str">
        <f t="shared" si="973"/>
        <v>26/03/2026</v>
      </c>
      <c r="J5417" t="str">
        <f t="shared" si="979"/>
        <v>25/03/2026</v>
      </c>
      <c r="K5417">
        <v>46107</v>
      </c>
      <c r="N5417">
        <v>109</v>
      </c>
      <c r="O5417" t="s">
        <v>27</v>
      </c>
      <c r="Q5417">
        <v>760</v>
      </c>
      <c r="R5417" t="str">
        <f>"DELTA LOJA 2 (10123)"</f>
        <v>DELTA LOJA 2 (10123)</v>
      </c>
      <c r="S5417" t="s">
        <v>37</v>
      </c>
      <c r="T5417">
        <v>32339</v>
      </c>
      <c r="U5417">
        <v>36303</v>
      </c>
      <c r="V5417" t="s">
        <v>37</v>
      </c>
    </row>
    <row r="5418" spans="1:22">
      <c r="A5418" t="str">
        <f t="shared" si="978"/>
        <v>26/03/2026</v>
      </c>
      <c r="B5418" t="str">
        <f t="shared" si="972"/>
        <v>SAÍDA</v>
      </c>
      <c r="C5418" t="str">
        <f t="shared" si="974"/>
        <v>PIX</v>
      </c>
      <c r="D5418" t="str">
        <f>"36304"</f>
        <v>36304</v>
      </c>
      <c r="E5418" t="str">
        <f t="shared" si="977"/>
        <v>1</v>
      </c>
      <c r="F5418" t="str">
        <f t="shared" si="975"/>
        <v>COM</v>
      </c>
      <c r="G5418" t="str">
        <f>"ELIENAI ROSA DO NASCIMENTO (343)"</f>
        <v>ELIENAI ROSA DO NASCIMENTO (343)</v>
      </c>
      <c r="H5418" t="str">
        <f>"Serv.Prest. 16/03/2026 a 22/03/2026 - PIX: CPF - CHAVE: 048.672.645-20"</f>
        <v>Serv.Prest. 16/03/2026 a 22/03/2026 - PIX: CPF - CHAVE: 048.672.645-20</v>
      </c>
      <c r="I5418" t="str">
        <f t="shared" si="973"/>
        <v>26/03/2026</v>
      </c>
      <c r="J5418" t="str">
        <f t="shared" si="979"/>
        <v>25/03/2026</v>
      </c>
      <c r="K5418" t="str">
        <f>("26/03/2026")</f>
        <v>26/03/2026</v>
      </c>
      <c r="L5418">
        <v>730</v>
      </c>
      <c r="M5418">
        <v>730</v>
      </c>
      <c r="N5418">
        <v>109</v>
      </c>
      <c r="O5418" t="str">
        <f>"PAGAMENTO DE ENTREGADORES"</f>
        <v>PAGAMENTO DE ENTREGADORES</v>
      </c>
      <c r="P5418">
        <v>730</v>
      </c>
      <c r="S5418" t="str">
        <f>"BANCO C6 (149)"</f>
        <v>BANCO C6 (149)</v>
      </c>
      <c r="T5418">
        <v>32340</v>
      </c>
      <c r="U5418">
        <v>36304</v>
      </c>
      <c r="V5418" t="s">
        <v>37</v>
      </c>
    </row>
    <row r="5419" spans="1:22">
      <c r="A5419" t="str">
        <f t="shared" si="978"/>
        <v>26/03/2026</v>
      </c>
      <c r="B5419" t="str">
        <f t="shared" si="972"/>
        <v>SAÍDA</v>
      </c>
      <c r="C5419" t="str">
        <f t="shared" si="974"/>
        <v>PIX</v>
      </c>
      <c r="D5419" t="str">
        <f>"36304"</f>
        <v>36304</v>
      </c>
      <c r="E5419" t="str">
        <f t="shared" si="977"/>
        <v>1</v>
      </c>
      <c r="F5419" t="str">
        <f t="shared" si="975"/>
        <v>COM</v>
      </c>
      <c r="G5419" t="str">
        <f>"ELIENAI ROSA DO NASCIMENTO (343)"</f>
        <v>ELIENAI ROSA DO NASCIMENTO (343)</v>
      </c>
      <c r="H5419" t="s">
        <v>1469</v>
      </c>
      <c r="I5419" t="str">
        <f t="shared" si="973"/>
        <v>26/03/2026</v>
      </c>
      <c r="J5419" t="str">
        <f t="shared" si="979"/>
        <v>25/03/2026</v>
      </c>
      <c r="K5419">
        <v>46107</v>
      </c>
      <c r="N5419">
        <v>109</v>
      </c>
      <c r="O5419" t="s">
        <v>27</v>
      </c>
      <c r="Q5419">
        <v>730</v>
      </c>
      <c r="R5419" t="str">
        <f>"DELTA LOJA 2 (10123)"</f>
        <v>DELTA LOJA 2 (10123)</v>
      </c>
      <c r="S5419" t="s">
        <v>37</v>
      </c>
      <c r="T5419">
        <v>32340</v>
      </c>
      <c r="U5419">
        <v>36304</v>
      </c>
      <c r="V5419" t="s">
        <v>37</v>
      </c>
    </row>
    <row r="5420" spans="1:22">
      <c r="A5420" t="str">
        <f t="shared" si="978"/>
        <v>26/03/2026</v>
      </c>
      <c r="B5420" t="str">
        <f t="shared" si="972"/>
        <v>SAÍDA</v>
      </c>
      <c r="C5420" t="str">
        <f t="shared" si="974"/>
        <v>PIX</v>
      </c>
      <c r="D5420" t="str">
        <f t="shared" ref="D5420:D5425" si="980">"26032026"</f>
        <v>26032026</v>
      </c>
      <c r="E5420" t="str">
        <f>""</f>
        <v/>
      </c>
      <c r="F5420" t="str">
        <f t="shared" si="975"/>
        <v>COM</v>
      </c>
      <c r="G5420" t="str">
        <f>"CASSIO DIAS RIBEIRO (32)"</f>
        <v>CASSIO DIAS RIBEIRO (32)</v>
      </c>
      <c r="H5420" t="str">
        <f>"REEMBOLSO COM DESPESAS FEIRA BH "</f>
        <v xml:space="preserve">REEMBOLSO COM DESPESAS FEIRA BH </v>
      </c>
      <c r="I5420" t="str">
        <f t="shared" si="973"/>
        <v>26/03/2026</v>
      </c>
      <c r="J5420" t="str">
        <f t="shared" si="979"/>
        <v>25/03/2026</v>
      </c>
      <c r="K5420" t="str">
        <f>("26/03/2026")</f>
        <v>26/03/2026</v>
      </c>
      <c r="L5420">
        <v>976.35</v>
      </c>
      <c r="M5420">
        <v>976.35</v>
      </c>
      <c r="N5420">
        <v>110</v>
      </c>
      <c r="O5420" t="str">
        <f>"DESPESAS COM REEMBOLSOS"</f>
        <v>DESPESAS COM REEMBOLSOS</v>
      </c>
      <c r="P5420">
        <v>976.35</v>
      </c>
      <c r="S5420" t="str">
        <f>"BANCO C6 (149)"</f>
        <v>BANCO C6 (149)</v>
      </c>
      <c r="T5420">
        <v>32341</v>
      </c>
      <c r="U5420">
        <v>36327</v>
      </c>
      <c r="V5420" t="s">
        <v>37</v>
      </c>
    </row>
    <row r="5421" spans="1:22">
      <c r="A5421" t="str">
        <f t="shared" si="978"/>
        <v>26/03/2026</v>
      </c>
      <c r="B5421" t="str">
        <f t="shared" si="972"/>
        <v>SAÍDA</v>
      </c>
      <c r="C5421" t="str">
        <f t="shared" si="974"/>
        <v>PIX</v>
      </c>
      <c r="D5421" t="str">
        <f t="shared" si="980"/>
        <v>26032026</v>
      </c>
      <c r="E5421" t="str">
        <f>""</f>
        <v/>
      </c>
      <c r="F5421" t="str">
        <f t="shared" si="975"/>
        <v>COM</v>
      </c>
      <c r="G5421" t="str">
        <f>"CASSIO DIAS RIBEIRO (32)"</f>
        <v>CASSIO DIAS RIBEIRO (32)</v>
      </c>
      <c r="H5421" t="s">
        <v>1470</v>
      </c>
      <c r="I5421" t="str">
        <f t="shared" si="973"/>
        <v>26/03/2026</v>
      </c>
      <c r="J5421" t="str">
        <f t="shared" si="979"/>
        <v>25/03/2026</v>
      </c>
      <c r="K5421">
        <v>46107</v>
      </c>
      <c r="N5421">
        <v>110</v>
      </c>
      <c r="O5421" t="s">
        <v>591</v>
      </c>
      <c r="Q5421">
        <v>976.35</v>
      </c>
      <c r="R5421" t="str">
        <f>"FLUX FARMA (20143)"</f>
        <v>FLUX FARMA (20143)</v>
      </c>
      <c r="S5421" t="s">
        <v>37</v>
      </c>
      <c r="T5421">
        <v>32341</v>
      </c>
      <c r="U5421">
        <v>36327</v>
      </c>
      <c r="V5421" t="s">
        <v>37</v>
      </c>
    </row>
    <row r="5422" spans="1:22">
      <c r="A5422" t="str">
        <f t="shared" si="978"/>
        <v>26/03/2026</v>
      </c>
      <c r="B5422" t="str">
        <f t="shared" si="972"/>
        <v>SAÍDA</v>
      </c>
      <c r="C5422" t="str">
        <f t="shared" si="974"/>
        <v>PIX</v>
      </c>
      <c r="D5422" t="str">
        <f t="shared" si="980"/>
        <v>26032026</v>
      </c>
      <c r="E5422" t="str">
        <f>""</f>
        <v/>
      </c>
      <c r="F5422" t="str">
        <f t="shared" si="975"/>
        <v>COM</v>
      </c>
      <c r="G5422" t="str">
        <f>"JUSSARA CRISTINA FARIA (783)"</f>
        <v>JUSSARA CRISTINA FARIA (783)</v>
      </c>
      <c r="H5422" t="str">
        <f>"Serv.Prest.DIARIA 24/03/2026 - PIX: CELULAR - CHAVE: (31) 99373-5678"</f>
        <v>Serv.Prest.DIARIA 24/03/2026 - PIX: CELULAR - CHAVE: (31) 99373-5678</v>
      </c>
      <c r="I5422" t="str">
        <f t="shared" si="973"/>
        <v>26/03/2026</v>
      </c>
      <c r="J5422" t="str">
        <f>("26/03/2026")</f>
        <v>26/03/2026</v>
      </c>
      <c r="K5422" t="str">
        <f>("26/03/2026")</f>
        <v>26/03/2026</v>
      </c>
      <c r="L5422">
        <v>150</v>
      </c>
      <c r="M5422">
        <v>150</v>
      </c>
      <c r="N5422">
        <v>134</v>
      </c>
      <c r="O5422" t="str">
        <f>"DIARIA DE MOTOBOY"</f>
        <v>DIARIA DE MOTOBOY</v>
      </c>
      <c r="P5422">
        <v>150</v>
      </c>
      <c r="S5422" t="str">
        <f>"BANCO C6 (149)"</f>
        <v>BANCO C6 (149)</v>
      </c>
      <c r="T5422">
        <v>32342</v>
      </c>
      <c r="U5422">
        <v>36328</v>
      </c>
      <c r="V5422" t="s">
        <v>37</v>
      </c>
    </row>
    <row r="5423" spans="1:22">
      <c r="A5423" t="str">
        <f t="shared" si="978"/>
        <v>26/03/2026</v>
      </c>
      <c r="B5423" t="str">
        <f t="shared" si="972"/>
        <v>SAÍDA</v>
      </c>
      <c r="C5423" t="str">
        <f t="shared" si="974"/>
        <v>PIX</v>
      </c>
      <c r="D5423" t="str">
        <f t="shared" si="980"/>
        <v>26032026</v>
      </c>
      <c r="E5423" t="str">
        <f>""</f>
        <v/>
      </c>
      <c r="F5423" t="str">
        <f t="shared" si="975"/>
        <v>COM</v>
      </c>
      <c r="G5423" t="str">
        <f>"JUSSARA CRISTINA FARIA (783)"</f>
        <v>JUSSARA CRISTINA FARIA (783)</v>
      </c>
      <c r="H5423" t="s">
        <v>1471</v>
      </c>
      <c r="I5423" t="str">
        <f t="shared" si="973"/>
        <v>26/03/2026</v>
      </c>
      <c r="J5423" t="str">
        <f>("26/03/2026")</f>
        <v>26/03/2026</v>
      </c>
      <c r="K5423">
        <v>46107</v>
      </c>
      <c r="N5423">
        <v>134</v>
      </c>
      <c r="O5423" t="s">
        <v>30</v>
      </c>
      <c r="Q5423">
        <v>150</v>
      </c>
      <c r="R5423" t="str">
        <f>"FARMÁCIA INDIANA LJ 110 (10048)"</f>
        <v>FARMÁCIA INDIANA LJ 110 (10048)</v>
      </c>
      <c r="S5423" t="s">
        <v>37</v>
      </c>
      <c r="T5423">
        <v>32342</v>
      </c>
      <c r="U5423">
        <v>36328</v>
      </c>
      <c r="V5423" t="s">
        <v>37</v>
      </c>
    </row>
    <row r="5424" spans="1:22">
      <c r="A5424" t="str">
        <f t="shared" si="978"/>
        <v>26/03/2026</v>
      </c>
      <c r="B5424" t="str">
        <f t="shared" ref="B5424:B5434" si="981">"SAÍDA"</f>
        <v>SAÍDA</v>
      </c>
      <c r="C5424" t="str">
        <f t="shared" si="974"/>
        <v>PIX</v>
      </c>
      <c r="D5424" t="str">
        <f t="shared" si="980"/>
        <v>26032026</v>
      </c>
      <c r="E5424" t="str">
        <f>""</f>
        <v/>
      </c>
      <c r="F5424" t="str">
        <f t="shared" si="975"/>
        <v>COM</v>
      </c>
      <c r="G5424" t="str">
        <f>"JOSE ADILSON DA SILVA (1168)"</f>
        <v>JOSE ADILSON DA SILVA (1168)</v>
      </c>
      <c r="H5424" t="str">
        <f>"Serv.Prest.DIARIA 23/03/2026 - PIX: CPF - CHAVE: 142.473.524-66"</f>
        <v>Serv.Prest.DIARIA 23/03/2026 - PIX: CPF - CHAVE: 142.473.524-66</v>
      </c>
      <c r="I5424" t="str">
        <f t="shared" ref="I5424:I5438" si="982">("26/03/2026")</f>
        <v>26/03/2026</v>
      </c>
      <c r="J5424" t="str">
        <f>("26/03/2026")</f>
        <v>26/03/2026</v>
      </c>
      <c r="K5424" t="str">
        <f>("26/03/2026")</f>
        <v>26/03/2026</v>
      </c>
      <c r="L5424">
        <v>150</v>
      </c>
      <c r="M5424">
        <v>150</v>
      </c>
      <c r="N5424">
        <v>134</v>
      </c>
      <c r="O5424" t="str">
        <f>"DIARIA DE MOTOBOY"</f>
        <v>DIARIA DE MOTOBOY</v>
      </c>
      <c r="P5424">
        <v>150</v>
      </c>
      <c r="S5424" t="str">
        <f>"BANCO C6 (149)"</f>
        <v>BANCO C6 (149)</v>
      </c>
      <c r="T5424">
        <v>32343</v>
      </c>
      <c r="U5424">
        <v>36329</v>
      </c>
      <c r="V5424" t="s">
        <v>37</v>
      </c>
    </row>
    <row r="5425" spans="1:22">
      <c r="A5425" t="str">
        <f t="shared" si="978"/>
        <v>26/03/2026</v>
      </c>
      <c r="B5425" t="str">
        <f t="shared" si="981"/>
        <v>SAÍDA</v>
      </c>
      <c r="C5425" t="str">
        <f t="shared" si="974"/>
        <v>PIX</v>
      </c>
      <c r="D5425" t="str">
        <f t="shared" si="980"/>
        <v>26032026</v>
      </c>
      <c r="E5425" t="str">
        <f>""</f>
        <v/>
      </c>
      <c r="F5425" t="str">
        <f t="shared" si="975"/>
        <v>COM</v>
      </c>
      <c r="G5425" t="str">
        <f>"JOSE ADILSON DA SILVA (1168)"</f>
        <v>JOSE ADILSON DA SILVA (1168)</v>
      </c>
      <c r="H5425" t="s">
        <v>1472</v>
      </c>
      <c r="I5425" t="str">
        <f t="shared" si="982"/>
        <v>26/03/2026</v>
      </c>
      <c r="J5425" t="str">
        <f>("26/03/2026")</f>
        <v>26/03/2026</v>
      </c>
      <c r="K5425">
        <v>46107</v>
      </c>
      <c r="N5425">
        <v>134</v>
      </c>
      <c r="O5425" t="s">
        <v>30</v>
      </c>
      <c r="Q5425">
        <v>150</v>
      </c>
      <c r="R5425" t="str">
        <f>"DROGARIA MORENO LTDA (10171)"</f>
        <v>DROGARIA MORENO LTDA (10171)</v>
      </c>
      <c r="S5425" t="s">
        <v>37</v>
      </c>
      <c r="T5425">
        <v>32343</v>
      </c>
      <c r="U5425">
        <v>36329</v>
      </c>
      <c r="V5425" t="s">
        <v>37</v>
      </c>
    </row>
    <row r="5426" spans="1:22">
      <c r="A5426" t="str">
        <f t="shared" si="978"/>
        <v>26/03/2026</v>
      </c>
      <c r="B5426" t="str">
        <f t="shared" si="981"/>
        <v>SAÍDA</v>
      </c>
      <c r="C5426" t="str">
        <f t="shared" si="974"/>
        <v>PIX</v>
      </c>
      <c r="D5426" t="str">
        <f>"36014"</f>
        <v>36014</v>
      </c>
      <c r="E5426" t="str">
        <f t="shared" ref="E5426:E5431" si="983">"2"</f>
        <v>2</v>
      </c>
      <c r="F5426" t="str">
        <f t="shared" si="975"/>
        <v>COM</v>
      </c>
      <c r="G5426" t="str">
        <f>"RICHARD HENRIQUE DA SILVA (244)"</f>
        <v>RICHARD HENRIQUE DA SILVA (244)</v>
      </c>
      <c r="H5426" t="str">
        <f>"Serv.Prest. 09/03/2026 a 15/03/2026 - PIX: CELULAR - CHAVE: (37) 99197-6834"</f>
        <v>Serv.Prest. 09/03/2026 a 15/03/2026 - PIX: CELULAR - CHAVE: (37) 99197-6834</v>
      </c>
      <c r="I5426" t="str">
        <f t="shared" si="982"/>
        <v>26/03/2026</v>
      </c>
      <c r="J5426" t="str">
        <f>("23/03/2026")</f>
        <v>23/03/2026</v>
      </c>
      <c r="K5426" t="str">
        <f>("26/03/2026")</f>
        <v>26/03/2026</v>
      </c>
      <c r="L5426">
        <v>325</v>
      </c>
      <c r="M5426">
        <v>325</v>
      </c>
      <c r="N5426">
        <v>109</v>
      </c>
      <c r="O5426" t="str">
        <f>"PAGAMENTO DE ENTREGADORES"</f>
        <v>PAGAMENTO DE ENTREGADORES</v>
      </c>
      <c r="P5426">
        <v>325</v>
      </c>
      <c r="S5426" t="str">
        <f>"BANCO CORA (102)"</f>
        <v>BANCO CORA (102)</v>
      </c>
      <c r="T5426">
        <v>32344</v>
      </c>
      <c r="U5426">
        <v>36331</v>
      </c>
      <c r="V5426" t="s">
        <v>33</v>
      </c>
    </row>
    <row r="5427" spans="1:22">
      <c r="A5427" t="str">
        <f t="shared" si="978"/>
        <v>26/03/2026</v>
      </c>
      <c r="B5427" t="str">
        <f t="shared" si="981"/>
        <v>SAÍDA</v>
      </c>
      <c r="C5427" t="str">
        <f t="shared" si="974"/>
        <v>PIX</v>
      </c>
      <c r="D5427" t="str">
        <f>"36014"</f>
        <v>36014</v>
      </c>
      <c r="E5427" t="str">
        <f t="shared" si="983"/>
        <v>2</v>
      </c>
      <c r="F5427" t="str">
        <f t="shared" si="975"/>
        <v>COM</v>
      </c>
      <c r="G5427" t="str">
        <f>"RICHARD HENRIQUE DA SILVA (244)"</f>
        <v>RICHARD HENRIQUE DA SILVA (244)</v>
      </c>
      <c r="H5427" t="s">
        <v>963</v>
      </c>
      <c r="I5427" t="str">
        <f t="shared" si="982"/>
        <v>26/03/2026</v>
      </c>
      <c r="J5427" t="str">
        <f>("23/03/2026")</f>
        <v>23/03/2026</v>
      </c>
      <c r="K5427">
        <v>46107</v>
      </c>
      <c r="N5427">
        <v>109</v>
      </c>
      <c r="O5427" t="s">
        <v>27</v>
      </c>
      <c r="Q5427">
        <v>325</v>
      </c>
      <c r="R5427" t="str">
        <f>"PAGUE MENOS 356 (10291)"</f>
        <v>PAGUE MENOS 356 (10291)</v>
      </c>
      <c r="S5427" t="s">
        <v>33</v>
      </c>
      <c r="T5427">
        <v>32344</v>
      </c>
      <c r="U5427">
        <v>36331</v>
      </c>
      <c r="V5427" t="s">
        <v>33</v>
      </c>
    </row>
    <row r="5428" spans="1:22">
      <c r="A5428" t="str">
        <f t="shared" si="978"/>
        <v>26/03/2026</v>
      </c>
      <c r="B5428" t="str">
        <f t="shared" si="981"/>
        <v>SAÍDA</v>
      </c>
      <c r="C5428" t="str">
        <f t="shared" si="974"/>
        <v>PIX</v>
      </c>
      <c r="D5428" t="str">
        <f>"36246"</f>
        <v>36246</v>
      </c>
      <c r="E5428" t="str">
        <f t="shared" si="983"/>
        <v>2</v>
      </c>
      <c r="F5428" t="str">
        <f t="shared" si="975"/>
        <v>COM</v>
      </c>
      <c r="G5428" t="str">
        <f>"PATRICK DE SOUZA CORREA (92)"</f>
        <v>PATRICK DE SOUZA CORREA (92)</v>
      </c>
      <c r="H5428" t="str">
        <f>"Serv.Prest. 09/03/2026 a 15/03/2026 - PIX: CELULAR - CHAVE: (31) 99216-8711"</f>
        <v>Serv.Prest. 09/03/2026 a 15/03/2026 - PIX: CELULAR - CHAVE: (31) 99216-8711</v>
      </c>
      <c r="I5428" t="str">
        <f t="shared" si="982"/>
        <v>26/03/2026</v>
      </c>
      <c r="J5428" t="str">
        <f>("24/03/2026")</f>
        <v>24/03/2026</v>
      </c>
      <c r="K5428" t="str">
        <f>("26/03/2026")</f>
        <v>26/03/2026</v>
      </c>
      <c r="L5428">
        <v>261</v>
      </c>
      <c r="M5428">
        <v>261</v>
      </c>
      <c r="N5428">
        <v>109</v>
      </c>
      <c r="O5428" t="str">
        <f>"PAGAMENTO DE ENTREGADORES"</f>
        <v>PAGAMENTO DE ENTREGADORES</v>
      </c>
      <c r="P5428">
        <v>261</v>
      </c>
      <c r="S5428" t="str">
        <f>"BANCO CORA (102)"</f>
        <v>BANCO CORA (102)</v>
      </c>
      <c r="T5428">
        <v>32345</v>
      </c>
      <c r="U5428">
        <v>36332</v>
      </c>
      <c r="V5428" t="s">
        <v>33</v>
      </c>
    </row>
    <row r="5429" spans="1:22">
      <c r="A5429" t="str">
        <f t="shared" si="978"/>
        <v>26/03/2026</v>
      </c>
      <c r="B5429" t="str">
        <f t="shared" si="981"/>
        <v>SAÍDA</v>
      </c>
      <c r="C5429" t="str">
        <f t="shared" si="974"/>
        <v>PIX</v>
      </c>
      <c r="D5429" t="str">
        <f>"36246"</f>
        <v>36246</v>
      </c>
      <c r="E5429" t="str">
        <f t="shared" si="983"/>
        <v>2</v>
      </c>
      <c r="F5429" t="str">
        <f t="shared" si="975"/>
        <v>COM</v>
      </c>
      <c r="G5429" t="str">
        <f>"PATRICK DE SOUZA CORREA (92)"</f>
        <v>PATRICK DE SOUZA CORREA (92)</v>
      </c>
      <c r="H5429" t="s">
        <v>1354</v>
      </c>
      <c r="I5429" t="str">
        <f t="shared" si="982"/>
        <v>26/03/2026</v>
      </c>
      <c r="J5429" t="str">
        <f>("24/03/2026")</f>
        <v>24/03/2026</v>
      </c>
      <c r="K5429">
        <v>46107</v>
      </c>
      <c r="N5429">
        <v>109</v>
      </c>
      <c r="O5429" t="s">
        <v>27</v>
      </c>
      <c r="Q5429">
        <v>261</v>
      </c>
      <c r="R5429" t="str">
        <f>"FARMÁCIA INDIANA LJ 184 (10080)"</f>
        <v>FARMÁCIA INDIANA LJ 184 (10080)</v>
      </c>
      <c r="S5429" t="s">
        <v>33</v>
      </c>
      <c r="T5429">
        <v>32345</v>
      </c>
      <c r="U5429">
        <v>36332</v>
      </c>
      <c r="V5429" t="s">
        <v>33</v>
      </c>
    </row>
    <row r="5430" spans="1:22">
      <c r="A5430" t="str">
        <f t="shared" si="978"/>
        <v>26/03/2026</v>
      </c>
      <c r="B5430" t="str">
        <f t="shared" si="981"/>
        <v>SAÍDA</v>
      </c>
      <c r="C5430" t="str">
        <f t="shared" si="974"/>
        <v>PIX</v>
      </c>
      <c r="D5430" t="str">
        <f>"36245"</f>
        <v>36245</v>
      </c>
      <c r="E5430" t="str">
        <f t="shared" si="983"/>
        <v>2</v>
      </c>
      <c r="F5430" t="str">
        <f t="shared" si="975"/>
        <v>COM</v>
      </c>
      <c r="G5430" t="str">
        <f>"PATRICK DE SOUZA CORREA (92)"</f>
        <v>PATRICK DE SOUZA CORREA (92)</v>
      </c>
      <c r="H5430" t="str">
        <f>"Serv.Prest. 09/03/2026 a 15/03/2026 - PIX: CELULAR - CHAVE: (31) 99216-8711"</f>
        <v>Serv.Prest. 09/03/2026 a 15/03/2026 - PIX: CELULAR - CHAVE: (31) 99216-8711</v>
      </c>
      <c r="I5430" t="str">
        <f t="shared" si="982"/>
        <v>26/03/2026</v>
      </c>
      <c r="J5430" t="str">
        <f>("24/03/2026")</f>
        <v>24/03/2026</v>
      </c>
      <c r="K5430" t="str">
        <f>("26/03/2026")</f>
        <v>26/03/2026</v>
      </c>
      <c r="L5430">
        <v>261</v>
      </c>
      <c r="M5430">
        <v>261</v>
      </c>
      <c r="N5430">
        <v>109</v>
      </c>
      <c r="O5430" t="str">
        <f>"PAGAMENTO DE ENTREGADORES"</f>
        <v>PAGAMENTO DE ENTREGADORES</v>
      </c>
      <c r="P5430">
        <v>261</v>
      </c>
      <c r="S5430" t="str">
        <f>"BANCO CORA (102)"</f>
        <v>BANCO CORA (102)</v>
      </c>
      <c r="T5430">
        <v>32346</v>
      </c>
      <c r="U5430">
        <v>36333</v>
      </c>
      <c r="V5430" t="s">
        <v>33</v>
      </c>
    </row>
    <row r="5431" spans="1:22">
      <c r="A5431" t="str">
        <f t="shared" si="978"/>
        <v>26/03/2026</v>
      </c>
      <c r="B5431" t="str">
        <f t="shared" si="981"/>
        <v>SAÍDA</v>
      </c>
      <c r="C5431" t="str">
        <f t="shared" si="974"/>
        <v>PIX</v>
      </c>
      <c r="D5431" t="str">
        <f>"36245"</f>
        <v>36245</v>
      </c>
      <c r="E5431" t="str">
        <f t="shared" si="983"/>
        <v>2</v>
      </c>
      <c r="F5431" t="str">
        <f t="shared" si="975"/>
        <v>COM</v>
      </c>
      <c r="G5431" t="str">
        <f>"PATRICK DE SOUZA CORREA (92)"</f>
        <v>PATRICK DE SOUZA CORREA (92)</v>
      </c>
      <c r="H5431" t="s">
        <v>1354</v>
      </c>
      <c r="I5431" t="str">
        <f t="shared" si="982"/>
        <v>26/03/2026</v>
      </c>
      <c r="J5431" t="str">
        <f>("24/03/2026")</f>
        <v>24/03/2026</v>
      </c>
      <c r="K5431">
        <v>46107</v>
      </c>
      <c r="N5431">
        <v>109</v>
      </c>
      <c r="O5431" t="s">
        <v>27</v>
      </c>
      <c r="Q5431">
        <v>261</v>
      </c>
      <c r="R5431" t="str">
        <f>"FARMÁCIA INDIANA LJ 195 (10083)"</f>
        <v>FARMÁCIA INDIANA LJ 195 (10083)</v>
      </c>
      <c r="S5431" t="s">
        <v>33</v>
      </c>
      <c r="T5431">
        <v>32346</v>
      </c>
      <c r="U5431">
        <v>36333</v>
      </c>
      <c r="V5431" t="s">
        <v>33</v>
      </c>
    </row>
    <row r="5432" spans="1:22">
      <c r="A5432" t="str">
        <f t="shared" si="978"/>
        <v>26/03/2026</v>
      </c>
      <c r="B5432" t="str">
        <f t="shared" si="981"/>
        <v>SAÍDA</v>
      </c>
      <c r="C5432" t="str">
        <f t="shared" si="974"/>
        <v>PIX</v>
      </c>
      <c r="D5432" t="str">
        <f>"26032026"</f>
        <v>26032026</v>
      </c>
      <c r="E5432" t="str">
        <f>""</f>
        <v/>
      </c>
      <c r="F5432" t="str">
        <f t="shared" si="975"/>
        <v>COM</v>
      </c>
      <c r="G5432" t="str">
        <f>"DOUGLAS RAFAEL PAULA DE SOUSA (1380)"</f>
        <v>DOUGLAS RAFAEL PAULA DE SOUSA (1380)</v>
      </c>
      <c r="H5432" t="str">
        <f>"DIARIA 23/03/2026 - CHAVE PIX: CPF: 117.658.596-70"</f>
        <v>DIARIA 23/03/2026 - CHAVE PIX: CPF: 117.658.596-70</v>
      </c>
      <c r="I5432" t="str">
        <f t="shared" si="982"/>
        <v>26/03/2026</v>
      </c>
      <c r="J5432" t="str">
        <f>("26/03/2026")</f>
        <v>26/03/2026</v>
      </c>
      <c r="K5432" t="str">
        <f>("26/03/2026")</f>
        <v>26/03/2026</v>
      </c>
      <c r="L5432">
        <v>150</v>
      </c>
      <c r="M5432">
        <v>150</v>
      </c>
      <c r="N5432">
        <v>134</v>
      </c>
      <c r="O5432" t="str">
        <f>"DIARIA DE MOTOBOY"</f>
        <v>DIARIA DE MOTOBOY</v>
      </c>
      <c r="P5432">
        <v>150</v>
      </c>
      <c r="S5432" t="str">
        <f>"BANCO CORA (102)"</f>
        <v>BANCO CORA (102)</v>
      </c>
      <c r="T5432">
        <v>32347</v>
      </c>
      <c r="U5432">
        <v>36334</v>
      </c>
      <c r="V5432" t="s">
        <v>33</v>
      </c>
    </row>
    <row r="5433" spans="1:22">
      <c r="A5433" t="str">
        <f t="shared" si="978"/>
        <v>26/03/2026</v>
      </c>
      <c r="B5433" t="str">
        <f t="shared" si="981"/>
        <v>SAÍDA</v>
      </c>
      <c r="C5433" t="str">
        <f t="shared" si="974"/>
        <v>PIX</v>
      </c>
      <c r="D5433" t="str">
        <f>"26032026"</f>
        <v>26032026</v>
      </c>
      <c r="E5433" t="str">
        <f>""</f>
        <v/>
      </c>
      <c r="F5433" t="str">
        <f t="shared" si="975"/>
        <v>COM</v>
      </c>
      <c r="G5433" t="str">
        <f>"MARCOS HENRIQUE DE SOUZA (1389)"</f>
        <v>MARCOS HENRIQUE DE SOUZA (1389)</v>
      </c>
      <c r="H5433" t="str">
        <f>"DIARIAS 21/03, 22/03/2026 CHAVE PIX: CELULAR: (19) 99938-5703"</f>
        <v>DIARIAS 21/03, 22/03/2026 CHAVE PIX: CELULAR: (19) 99938-5703</v>
      </c>
      <c r="I5433" t="str">
        <f t="shared" si="982"/>
        <v>26/03/2026</v>
      </c>
      <c r="J5433" t="str">
        <f>("26/03/2026")</f>
        <v>26/03/2026</v>
      </c>
      <c r="K5433" t="str">
        <f>("26/03/2026")</f>
        <v>26/03/2026</v>
      </c>
      <c r="L5433">
        <v>273</v>
      </c>
      <c r="M5433">
        <v>273</v>
      </c>
      <c r="N5433">
        <v>134</v>
      </c>
      <c r="O5433" t="str">
        <f>"DIARIA DE MOTOBOY"</f>
        <v>DIARIA DE MOTOBOY</v>
      </c>
      <c r="P5433">
        <v>273</v>
      </c>
      <c r="S5433" t="str">
        <f>"BANCO CORA (102)"</f>
        <v>BANCO CORA (102)</v>
      </c>
      <c r="T5433">
        <v>32348</v>
      </c>
      <c r="U5433">
        <v>36335</v>
      </c>
      <c r="V5433" t="s">
        <v>33</v>
      </c>
    </row>
    <row r="5434" spans="1:22">
      <c r="A5434" t="str">
        <f t="shared" si="978"/>
        <v>26/03/2026</v>
      </c>
      <c r="B5434" t="str">
        <f t="shared" si="981"/>
        <v>SAÍDA</v>
      </c>
      <c r="C5434" t="str">
        <f t="shared" si="974"/>
        <v>PIX</v>
      </c>
      <c r="D5434" t="str">
        <f>"26032026"</f>
        <v>26032026</v>
      </c>
      <c r="E5434" t="str">
        <f>""</f>
        <v/>
      </c>
      <c r="F5434" t="str">
        <f t="shared" si="975"/>
        <v>COM</v>
      </c>
      <c r="G5434" t="str">
        <f>"MARCOS HENRIQUE DE SOUZA (1389)"</f>
        <v>MARCOS HENRIQUE DE SOUZA (1389)</v>
      </c>
      <c r="H5434" t="s">
        <v>1473</v>
      </c>
      <c r="I5434" t="str">
        <f t="shared" si="982"/>
        <v>26/03/2026</v>
      </c>
      <c r="J5434" t="str">
        <f>("26/03/2026")</f>
        <v>26/03/2026</v>
      </c>
      <c r="K5434">
        <v>46107</v>
      </c>
      <c r="N5434">
        <v>134</v>
      </c>
      <c r="O5434" t="s">
        <v>30</v>
      </c>
      <c r="Q5434">
        <v>273</v>
      </c>
      <c r="R5434" t="str">
        <f>"FARMACIA ROSAS (10288)"</f>
        <v>FARMACIA ROSAS (10288)</v>
      </c>
      <c r="S5434" t="s">
        <v>33</v>
      </c>
      <c r="T5434">
        <v>32348</v>
      </c>
      <c r="U5434">
        <v>36335</v>
      </c>
      <c r="V5434" t="s">
        <v>33</v>
      </c>
    </row>
    <row r="5435" spans="1:22">
      <c r="A5435" t="str">
        <f t="shared" si="978"/>
        <v>26/03/2026</v>
      </c>
      <c r="B5435" t="str">
        <f t="shared" ref="B5435:B5440" si="984">"ENTRADA"</f>
        <v>ENTRADA</v>
      </c>
      <c r="C5435" t="str">
        <f t="shared" ref="C5435:C5440" si="985">"NFSE"</f>
        <v>NFSE</v>
      </c>
      <c r="D5435" t="str">
        <f>"582"</f>
        <v>582</v>
      </c>
      <c r="E5435" t="str">
        <f t="shared" ref="E5435:E5466" si="986">"1"</f>
        <v>1</v>
      </c>
      <c r="F5435" t="str">
        <f t="shared" si="975"/>
        <v>COM</v>
      </c>
      <c r="G5435" t="str">
        <f>"DROGARIA POUPA MINAS (DOIS AMIGOS) 5 (10140)"</f>
        <v>DROGARIA POUPA MINAS (DOIS AMIGOS) 5 (10140)</v>
      </c>
      <c r="H5435" t="str">
        <f>"Serv.Prest. 16/03/2026 a 22/03/2026 - RPS: 2510 - NFSe: 582"</f>
        <v>Serv.Prest. 16/03/2026 a 22/03/2026 - RPS: 2510 - NFSe: 582</v>
      </c>
      <c r="I5435" t="str">
        <f t="shared" si="982"/>
        <v>26/03/2026</v>
      </c>
      <c r="J5435" t="str">
        <f>("23/03/2026")</f>
        <v>23/03/2026</v>
      </c>
      <c r="K5435" t="str">
        <f>("26/03/2026")</f>
        <v>26/03/2026</v>
      </c>
      <c r="L5435">
        <v>7284.33</v>
      </c>
      <c r="M5435">
        <v>7284.33</v>
      </c>
      <c r="N5435">
        <v>303</v>
      </c>
      <c r="O5435" t="str">
        <f>"RECEITAS COM ENTREGAS"</f>
        <v>RECEITAS COM ENTREGAS</v>
      </c>
      <c r="P5435">
        <v>7284.33</v>
      </c>
      <c r="S5435" t="str">
        <f>"RECEITAS COM ENTREGAS (303)"</f>
        <v>RECEITAS COM ENTREGAS (303)</v>
      </c>
      <c r="T5435">
        <v>32349</v>
      </c>
      <c r="U5435">
        <v>36027</v>
      </c>
      <c r="V5435" t="s">
        <v>33</v>
      </c>
    </row>
    <row r="5436" spans="1:22">
      <c r="A5436" t="str">
        <f t="shared" si="978"/>
        <v>26/03/2026</v>
      </c>
      <c r="B5436" t="str">
        <f t="shared" si="984"/>
        <v>ENTRADA</v>
      </c>
      <c r="C5436" t="str">
        <f t="shared" si="985"/>
        <v>NFSE</v>
      </c>
      <c r="D5436" t="str">
        <f>"582"</f>
        <v>582</v>
      </c>
      <c r="E5436" t="str">
        <f t="shared" si="986"/>
        <v>1</v>
      </c>
      <c r="F5436" t="str">
        <f t="shared" si="975"/>
        <v>COM</v>
      </c>
      <c r="G5436" t="str">
        <f>"DROGARIA POUPA MINAS (DOIS AMIGOS) 5 (10140)"</f>
        <v>DROGARIA POUPA MINAS (DOIS AMIGOS) 5 (10140)</v>
      </c>
      <c r="H5436" t="s">
        <v>1474</v>
      </c>
      <c r="I5436" t="str">
        <f t="shared" si="982"/>
        <v>26/03/2026</v>
      </c>
      <c r="J5436" t="str">
        <f>("23/03/2026")</f>
        <v>23/03/2026</v>
      </c>
      <c r="K5436">
        <v>46107</v>
      </c>
      <c r="N5436">
        <v>303</v>
      </c>
      <c r="O5436" t="s">
        <v>102</v>
      </c>
      <c r="Q5436">
        <v>7284.33</v>
      </c>
      <c r="R5436" t="str">
        <f>"DROGARIA POUPA MINAS (ULTRAMINAS) 1 (10181)"</f>
        <v>DROGARIA POUPA MINAS (ULTRAMINAS) 1 (10181)</v>
      </c>
      <c r="S5436" t="s">
        <v>103</v>
      </c>
      <c r="T5436">
        <v>32349</v>
      </c>
      <c r="U5436">
        <v>36027</v>
      </c>
      <c r="V5436" t="s">
        <v>33</v>
      </c>
    </row>
    <row r="5437" spans="1:22">
      <c r="A5437" t="str">
        <f t="shared" si="978"/>
        <v>26/03/2026</v>
      </c>
      <c r="B5437" t="str">
        <f t="shared" si="984"/>
        <v>ENTRADA</v>
      </c>
      <c r="C5437" t="str">
        <f t="shared" si="985"/>
        <v>NFSE</v>
      </c>
      <c r="D5437" t="str">
        <f>"608"</f>
        <v>608</v>
      </c>
      <c r="E5437" t="str">
        <f t="shared" si="986"/>
        <v>1</v>
      </c>
      <c r="F5437" t="str">
        <f t="shared" si="975"/>
        <v>COM</v>
      </c>
      <c r="G5437" t="str">
        <f>"DELTA LOJA 2 (10123)"</f>
        <v>DELTA LOJA 2 (10123)</v>
      </c>
      <c r="H5437" t="str">
        <f>"Serv.Prest. 16/03/2026 a 22/03/2026 - RPS: 2536 - NFSe: 608"</f>
        <v>Serv.Prest. 16/03/2026 a 22/03/2026 - RPS: 2536 - NFSe: 608</v>
      </c>
      <c r="I5437" t="str">
        <f t="shared" si="982"/>
        <v>26/03/2026</v>
      </c>
      <c r="J5437" t="str">
        <f>("25/03/2026")</f>
        <v>25/03/2026</v>
      </c>
      <c r="K5437" t="str">
        <f>("26/03/2026")</f>
        <v>26/03/2026</v>
      </c>
      <c r="L5437">
        <v>3570</v>
      </c>
      <c r="M5437">
        <v>3570</v>
      </c>
      <c r="N5437">
        <v>303</v>
      </c>
      <c r="O5437" t="str">
        <f>"RECEITAS COM ENTREGAS"</f>
        <v>RECEITAS COM ENTREGAS</v>
      </c>
      <c r="P5437">
        <v>3570</v>
      </c>
      <c r="S5437" t="str">
        <f>"RECEITAS COM ENTREGAS (303)"</f>
        <v>RECEITAS COM ENTREGAS (303)</v>
      </c>
      <c r="T5437">
        <v>32350</v>
      </c>
      <c r="U5437">
        <v>36300</v>
      </c>
      <c r="V5437" t="s">
        <v>33</v>
      </c>
    </row>
    <row r="5438" spans="1:22">
      <c r="A5438" t="str">
        <f t="shared" si="978"/>
        <v>26/03/2026</v>
      </c>
      <c r="B5438" t="str">
        <f t="shared" si="984"/>
        <v>ENTRADA</v>
      </c>
      <c r="C5438" t="str">
        <f t="shared" si="985"/>
        <v>NFSE</v>
      </c>
      <c r="D5438" t="str">
        <f>"608"</f>
        <v>608</v>
      </c>
      <c r="E5438" t="str">
        <f t="shared" si="986"/>
        <v>1</v>
      </c>
      <c r="F5438" t="str">
        <f t="shared" si="975"/>
        <v>COM</v>
      </c>
      <c r="G5438" t="str">
        <f>"DELTA LOJA 2 (10123)"</f>
        <v>DELTA LOJA 2 (10123)</v>
      </c>
      <c r="H5438" t="s">
        <v>1475</v>
      </c>
      <c r="I5438" t="str">
        <f t="shared" si="982"/>
        <v>26/03/2026</v>
      </c>
      <c r="J5438" t="str">
        <f>("25/03/2026")</f>
        <v>25/03/2026</v>
      </c>
      <c r="K5438">
        <v>46107</v>
      </c>
      <c r="N5438">
        <v>303</v>
      </c>
      <c r="O5438" t="s">
        <v>102</v>
      </c>
      <c r="Q5438">
        <v>3570</v>
      </c>
      <c r="R5438" t="str">
        <f>"DELTA LOJA 2 (10123)"</f>
        <v>DELTA LOJA 2 (10123)</v>
      </c>
      <c r="S5438" t="s">
        <v>103</v>
      </c>
      <c r="T5438">
        <v>32350</v>
      </c>
      <c r="U5438">
        <v>36300</v>
      </c>
      <c r="V5438" t="s">
        <v>33</v>
      </c>
    </row>
    <row r="5439" spans="1:22">
      <c r="A5439" t="str">
        <f t="shared" si="978"/>
        <v>26/03/2026</v>
      </c>
      <c r="B5439" t="str">
        <f t="shared" si="984"/>
        <v>ENTRADA</v>
      </c>
      <c r="C5439" t="str">
        <f t="shared" si="985"/>
        <v>NFSE</v>
      </c>
      <c r="D5439" t="str">
        <f>"586"</f>
        <v>586</v>
      </c>
      <c r="E5439" t="str">
        <f t="shared" si="986"/>
        <v>1</v>
      </c>
      <c r="F5439" t="str">
        <f t="shared" si="975"/>
        <v>COM</v>
      </c>
      <c r="G5439" t="str">
        <f>"DROGARIA POUPA MINAS (ULTRAMINAS) 3 (10129)"</f>
        <v>DROGARIA POUPA MINAS (ULTRAMINAS) 3 (10129)</v>
      </c>
      <c r="H5439" t="str">
        <f>"Serv.Prest. 16/03/2026 a 22/03/2026 - RPS: 2514 - NFSe: 586"</f>
        <v>Serv.Prest. 16/03/2026 a 22/03/2026 - RPS: 2514 - NFSe: 586</v>
      </c>
      <c r="I5439" t="str">
        <f>("25/03/2026")</f>
        <v>25/03/2026</v>
      </c>
      <c r="J5439" t="str">
        <f>("23/03/2026")</f>
        <v>23/03/2026</v>
      </c>
      <c r="K5439" t="str">
        <f>("26/03/2026")</f>
        <v>26/03/2026</v>
      </c>
      <c r="L5439">
        <v>1544.4</v>
      </c>
      <c r="M5439">
        <v>1544.4</v>
      </c>
      <c r="N5439">
        <v>303</v>
      </c>
      <c r="O5439" t="str">
        <f>"RECEITAS COM ENTREGAS"</f>
        <v>RECEITAS COM ENTREGAS</v>
      </c>
      <c r="P5439">
        <v>1544.4</v>
      </c>
      <c r="S5439" t="str">
        <f>"RECEITAS COM ENTREGAS (303)"</f>
        <v>RECEITAS COM ENTREGAS (303)</v>
      </c>
      <c r="T5439">
        <v>32351</v>
      </c>
      <c r="U5439">
        <v>36049</v>
      </c>
      <c r="V5439" t="s">
        <v>33</v>
      </c>
    </row>
    <row r="5440" spans="1:22">
      <c r="A5440" t="str">
        <f t="shared" si="978"/>
        <v>26/03/2026</v>
      </c>
      <c r="B5440" t="str">
        <f t="shared" si="984"/>
        <v>ENTRADA</v>
      </c>
      <c r="C5440" t="str">
        <f t="shared" si="985"/>
        <v>NFSE</v>
      </c>
      <c r="D5440" t="str">
        <f>"586"</f>
        <v>586</v>
      </c>
      <c r="E5440" t="str">
        <f t="shared" si="986"/>
        <v>1</v>
      </c>
      <c r="F5440" t="str">
        <f t="shared" si="975"/>
        <v>COM</v>
      </c>
      <c r="G5440" t="str">
        <f>"DROGARIA POUPA MINAS (ULTRAMINAS) 3 (10129)"</f>
        <v>DROGARIA POUPA MINAS (ULTRAMINAS) 3 (10129)</v>
      </c>
      <c r="H5440" t="s">
        <v>1476</v>
      </c>
      <c r="I5440" t="str">
        <f>("25/03/2026")</f>
        <v>25/03/2026</v>
      </c>
      <c r="J5440" t="str">
        <f>("23/03/2026")</f>
        <v>23/03/2026</v>
      </c>
      <c r="K5440">
        <v>46107</v>
      </c>
      <c r="N5440">
        <v>303</v>
      </c>
      <c r="O5440" t="s">
        <v>102</v>
      </c>
      <c r="Q5440">
        <v>1544.4</v>
      </c>
      <c r="R5440" t="str">
        <f>"DROGARIA POUPA MINAS (ULTRAMINAS) 3 (10129)"</f>
        <v>DROGARIA POUPA MINAS (ULTRAMINAS) 3 (10129)</v>
      </c>
      <c r="S5440" t="s">
        <v>103</v>
      </c>
      <c r="T5440">
        <v>32351</v>
      </c>
      <c r="U5440">
        <v>36049</v>
      </c>
      <c r="V5440" t="s">
        <v>33</v>
      </c>
    </row>
    <row r="5441" spans="1:22">
      <c r="A5441" t="str">
        <f>("27/03/2026")</f>
        <v>27/03/2026</v>
      </c>
      <c r="B5441" t="str">
        <f t="shared" ref="B5441:B5472" si="987">"SAÍDA"</f>
        <v>SAÍDA</v>
      </c>
      <c r="C5441" t="str">
        <f t="shared" ref="C5441:C5472" si="988">"PIX"</f>
        <v>PIX</v>
      </c>
      <c r="D5441" t="str">
        <f>"36368"</f>
        <v>36368</v>
      </c>
      <c r="E5441" t="str">
        <f t="shared" si="986"/>
        <v>1</v>
      </c>
      <c r="F5441" t="str">
        <f t="shared" si="975"/>
        <v>COM</v>
      </c>
      <c r="G5441" t="str">
        <f>"ALEXANDRE PEREIRA DE SOUZA (1252)"</f>
        <v>ALEXANDRE PEREIRA DE SOUZA (1252)</v>
      </c>
      <c r="H5441" t="str">
        <f>"Serv.Prest. 23/03/2026 a 29/03/2026 - PIX: CPF - CHAVE: 497.247.788-19"</f>
        <v>Serv.Prest. 23/03/2026 a 29/03/2026 - PIX: CPF - CHAVE: 497.247.788-19</v>
      </c>
      <c r="I5441" t="str">
        <f t="shared" ref="I5441:I5472" si="989">("31/03/2026")</f>
        <v>31/03/2026</v>
      </c>
      <c r="J5441" t="str">
        <f t="shared" ref="J5441:J5446" si="990">("30/03/2026")</f>
        <v>30/03/2026</v>
      </c>
      <c r="K5441" t="str">
        <f>("27/03/2026")</f>
        <v>27/03/2026</v>
      </c>
      <c r="L5441">
        <v>280</v>
      </c>
      <c r="M5441">
        <v>280</v>
      </c>
      <c r="N5441">
        <v>134</v>
      </c>
      <c r="O5441" t="str">
        <f>"DIARIA DE MOTOBOY"</f>
        <v>DIARIA DE MOTOBOY</v>
      </c>
      <c r="P5441">
        <v>280</v>
      </c>
      <c r="S5441" t="str">
        <f>"BANCO CORA (102)"</f>
        <v>BANCO CORA (102)</v>
      </c>
      <c r="T5441">
        <v>32352</v>
      </c>
      <c r="U5441">
        <v>36398</v>
      </c>
      <c r="V5441" t="s">
        <v>33</v>
      </c>
    </row>
    <row r="5442" spans="1:22">
      <c r="A5442" t="str">
        <f>("27/03/2026")</f>
        <v>27/03/2026</v>
      </c>
      <c r="B5442" t="str">
        <f t="shared" si="987"/>
        <v>SAÍDA</v>
      </c>
      <c r="C5442" t="str">
        <f t="shared" si="988"/>
        <v>PIX</v>
      </c>
      <c r="D5442" t="str">
        <f>"36368"</f>
        <v>36368</v>
      </c>
      <c r="E5442" t="str">
        <f t="shared" si="986"/>
        <v>1</v>
      </c>
      <c r="F5442" t="str">
        <f t="shared" ref="F5442:F5505" si="991">"COM"</f>
        <v>COM</v>
      </c>
      <c r="G5442" t="str">
        <f>"ALEXANDRE PEREIRA DE SOUZA (1252)"</f>
        <v>ALEXANDRE PEREIRA DE SOUZA (1252)</v>
      </c>
      <c r="H5442" t="s">
        <v>1477</v>
      </c>
      <c r="I5442" t="str">
        <f t="shared" si="989"/>
        <v>31/03/2026</v>
      </c>
      <c r="J5442" t="str">
        <f t="shared" si="990"/>
        <v>30/03/2026</v>
      </c>
      <c r="K5442">
        <v>46108</v>
      </c>
      <c r="N5442">
        <v>134</v>
      </c>
      <c r="O5442" t="s">
        <v>30</v>
      </c>
      <c r="Q5442">
        <v>280</v>
      </c>
      <c r="R5442" t="str">
        <f>"BEM TE FAZ LOJA 3 (10287)"</f>
        <v>BEM TE FAZ LOJA 3 (10287)</v>
      </c>
      <c r="S5442" t="s">
        <v>33</v>
      </c>
      <c r="T5442">
        <v>32352</v>
      </c>
      <c r="U5442">
        <v>36398</v>
      </c>
      <c r="V5442" t="s">
        <v>33</v>
      </c>
    </row>
    <row r="5443" spans="1:22">
      <c r="A5443" t="str">
        <f>("27/03/2026")</f>
        <v>27/03/2026</v>
      </c>
      <c r="B5443" t="str">
        <f t="shared" si="987"/>
        <v>SAÍDA</v>
      </c>
      <c r="C5443" t="str">
        <f t="shared" si="988"/>
        <v>PIX</v>
      </c>
      <c r="D5443" t="str">
        <f>"36371"</f>
        <v>36371</v>
      </c>
      <c r="E5443" t="str">
        <f t="shared" si="986"/>
        <v>1</v>
      </c>
      <c r="F5443" t="str">
        <f t="shared" si="991"/>
        <v>COM</v>
      </c>
      <c r="G5443" t="str">
        <f>"GUSTAVO ROCHA DOS SANTOS (1241)"</f>
        <v>GUSTAVO ROCHA DOS SANTOS (1241)</v>
      </c>
      <c r="H5443" t="str">
        <f>"Serv.Prest. 23/03/2026 a 29/03/2026 - PIX: CPF - CHAVE: 461.830.618-16"</f>
        <v>Serv.Prest. 23/03/2026 a 29/03/2026 - PIX: CPF - CHAVE: 461.830.618-16</v>
      </c>
      <c r="I5443" t="str">
        <f t="shared" si="989"/>
        <v>31/03/2026</v>
      </c>
      <c r="J5443" t="str">
        <f t="shared" si="990"/>
        <v>30/03/2026</v>
      </c>
      <c r="K5443" t="str">
        <f>("27/03/2026")</f>
        <v>27/03/2026</v>
      </c>
      <c r="L5443">
        <v>189</v>
      </c>
      <c r="M5443">
        <v>189</v>
      </c>
      <c r="N5443">
        <v>134</v>
      </c>
      <c r="O5443" t="str">
        <f>"DIARIA DE MOTOBOY"</f>
        <v>DIARIA DE MOTOBOY</v>
      </c>
      <c r="P5443">
        <v>189</v>
      </c>
      <c r="S5443" t="str">
        <f>"BANCO CORA (102)"</f>
        <v>BANCO CORA (102)</v>
      </c>
      <c r="T5443">
        <v>32353</v>
      </c>
      <c r="U5443">
        <v>36399</v>
      </c>
      <c r="V5443" t="s">
        <v>33</v>
      </c>
    </row>
    <row r="5444" spans="1:22">
      <c r="A5444" t="str">
        <f>("27/03/2026")</f>
        <v>27/03/2026</v>
      </c>
      <c r="B5444" t="str">
        <f t="shared" si="987"/>
        <v>SAÍDA</v>
      </c>
      <c r="C5444" t="str">
        <f t="shared" si="988"/>
        <v>PIX</v>
      </c>
      <c r="D5444" t="str">
        <f>"36371"</f>
        <v>36371</v>
      </c>
      <c r="E5444" t="str">
        <f t="shared" si="986"/>
        <v>1</v>
      </c>
      <c r="F5444" t="str">
        <f t="shared" si="991"/>
        <v>COM</v>
      </c>
      <c r="G5444" t="str">
        <f>"GUSTAVO ROCHA DOS SANTOS (1241)"</f>
        <v>GUSTAVO ROCHA DOS SANTOS (1241)</v>
      </c>
      <c r="H5444" t="s">
        <v>1478</v>
      </c>
      <c r="I5444" t="str">
        <f t="shared" si="989"/>
        <v>31/03/2026</v>
      </c>
      <c r="J5444" t="str">
        <f t="shared" si="990"/>
        <v>30/03/2026</v>
      </c>
      <c r="K5444">
        <v>46108</v>
      </c>
      <c r="N5444">
        <v>134</v>
      </c>
      <c r="O5444" t="s">
        <v>30</v>
      </c>
      <c r="Q5444">
        <v>189</v>
      </c>
      <c r="R5444" t="str">
        <f>"BEM TE FAZ LOJA 3 (10287)"</f>
        <v>BEM TE FAZ LOJA 3 (10287)</v>
      </c>
      <c r="S5444" t="s">
        <v>33</v>
      </c>
      <c r="T5444">
        <v>32353</v>
      </c>
      <c r="U5444">
        <v>36399</v>
      </c>
      <c r="V5444" t="s">
        <v>33</v>
      </c>
    </row>
    <row r="5445" spans="1:22">
      <c r="A5445" t="str">
        <f t="shared" ref="A5445:A5476" si="992">("31/03/2026")</f>
        <v>31/03/2026</v>
      </c>
      <c r="B5445" t="str">
        <f t="shared" si="987"/>
        <v>SAÍDA</v>
      </c>
      <c r="C5445" t="str">
        <f t="shared" si="988"/>
        <v>PIX</v>
      </c>
      <c r="D5445" t="str">
        <f>"36554"</f>
        <v>36554</v>
      </c>
      <c r="E5445" t="str">
        <f t="shared" si="986"/>
        <v>1</v>
      </c>
      <c r="F5445" t="str">
        <f t="shared" si="991"/>
        <v>COM</v>
      </c>
      <c r="G5445" t="str">
        <f>"MATEUS VIEIRA DE SOUZA (1019)"</f>
        <v>MATEUS VIEIRA DE SOUZA (1019)</v>
      </c>
      <c r="H5445" t="str">
        <f>"Serv.Prest. 23/03/2026 a 29/03/2026 - PIX: CELULAR - CHAVE: (11) 97702-1316"</f>
        <v>Serv.Prest. 23/03/2026 a 29/03/2026 - PIX: CELULAR - CHAVE: (11) 97702-1316</v>
      </c>
      <c r="I5445" t="str">
        <f t="shared" si="989"/>
        <v>31/03/2026</v>
      </c>
      <c r="J5445" t="str">
        <f t="shared" si="990"/>
        <v>30/03/2026</v>
      </c>
      <c r="K5445" t="str">
        <f>("31/03/2026")</f>
        <v>31/03/2026</v>
      </c>
      <c r="L5445">
        <v>250</v>
      </c>
      <c r="M5445">
        <v>250</v>
      </c>
      <c r="N5445">
        <v>134</v>
      </c>
      <c r="O5445" t="str">
        <f>"DIARIA DE MOTOBOY"</f>
        <v>DIARIA DE MOTOBOY</v>
      </c>
      <c r="P5445">
        <v>250</v>
      </c>
      <c r="S5445" t="str">
        <f>"BANCO CORA (102)"</f>
        <v>BANCO CORA (102)</v>
      </c>
      <c r="T5445">
        <v>32354</v>
      </c>
      <c r="U5445">
        <v>36555</v>
      </c>
      <c r="V5445" t="s">
        <v>33</v>
      </c>
    </row>
    <row r="5446" spans="1:22">
      <c r="A5446" t="str">
        <f t="shared" si="992"/>
        <v>31/03/2026</v>
      </c>
      <c r="B5446" t="str">
        <f t="shared" si="987"/>
        <v>SAÍDA</v>
      </c>
      <c r="C5446" t="str">
        <f t="shared" si="988"/>
        <v>PIX</v>
      </c>
      <c r="D5446" t="str">
        <f>"36554"</f>
        <v>36554</v>
      </c>
      <c r="E5446" t="str">
        <f t="shared" si="986"/>
        <v>1</v>
      </c>
      <c r="F5446" t="str">
        <f t="shared" si="991"/>
        <v>COM</v>
      </c>
      <c r="G5446" t="str">
        <f>"MATEUS VIEIRA DE SOUZA (1019)"</f>
        <v>MATEUS VIEIRA DE SOUZA (1019)</v>
      </c>
      <c r="H5446" t="s">
        <v>1479</v>
      </c>
      <c r="I5446" t="str">
        <f t="shared" si="989"/>
        <v>31/03/2026</v>
      </c>
      <c r="J5446" t="str">
        <f t="shared" si="990"/>
        <v>30/03/2026</v>
      </c>
      <c r="K5446">
        <v>46112</v>
      </c>
      <c r="N5446">
        <v>134</v>
      </c>
      <c r="O5446" t="s">
        <v>30</v>
      </c>
      <c r="Q5446">
        <v>250</v>
      </c>
      <c r="R5446" t="str">
        <f>"PENSE FARMA 47 (10232)"</f>
        <v>PENSE FARMA 47 (10232)</v>
      </c>
      <c r="S5446" t="s">
        <v>33</v>
      </c>
      <c r="T5446">
        <v>32354</v>
      </c>
      <c r="U5446">
        <v>36555</v>
      </c>
      <c r="V5446" t="s">
        <v>33</v>
      </c>
    </row>
    <row r="5447" spans="1:22">
      <c r="A5447" t="str">
        <f t="shared" si="992"/>
        <v>31/03/2026</v>
      </c>
      <c r="B5447" t="str">
        <f t="shared" si="987"/>
        <v>SAÍDA</v>
      </c>
      <c r="C5447" t="str">
        <f t="shared" si="988"/>
        <v>PIX</v>
      </c>
      <c r="D5447" t="str">
        <f>"36761"</f>
        <v>36761</v>
      </c>
      <c r="E5447" t="str">
        <f t="shared" si="986"/>
        <v>1</v>
      </c>
      <c r="F5447" t="str">
        <f t="shared" si="991"/>
        <v>COM</v>
      </c>
      <c r="G5447" t="str">
        <f>"HERICK KUSSYOYADA CAMARA (937)"</f>
        <v>HERICK KUSSYOYADA CAMARA (937)</v>
      </c>
      <c r="H5447" t="str">
        <f>"Serv.Prest. 23/03/2026 a 29/03/2026 - PIX: CPF - CHAVE: 427.090.718-51"</f>
        <v>Serv.Prest. 23/03/2026 a 29/03/2026 - PIX: CPF - CHAVE: 427.090.718-51</v>
      </c>
      <c r="I5447" t="str">
        <f t="shared" si="989"/>
        <v>31/03/2026</v>
      </c>
      <c r="J5447" t="str">
        <f>("31/03/2026")</f>
        <v>31/03/2026</v>
      </c>
      <c r="K5447" t="str">
        <f>("31/03/2026")</f>
        <v>31/03/2026</v>
      </c>
      <c r="L5447">
        <v>250</v>
      </c>
      <c r="M5447">
        <v>250</v>
      </c>
      <c r="N5447">
        <v>134</v>
      </c>
      <c r="O5447" t="str">
        <f>"DIARIA DE MOTOBOY"</f>
        <v>DIARIA DE MOTOBOY</v>
      </c>
      <c r="P5447">
        <v>250</v>
      </c>
      <c r="S5447" t="str">
        <f>"BANCO CORA (102)"</f>
        <v>BANCO CORA (102)</v>
      </c>
      <c r="T5447">
        <v>32355</v>
      </c>
      <c r="U5447">
        <v>36761</v>
      </c>
      <c r="V5447" t="s">
        <v>33</v>
      </c>
    </row>
    <row r="5448" spans="1:22">
      <c r="A5448" t="str">
        <f t="shared" si="992"/>
        <v>31/03/2026</v>
      </c>
      <c r="B5448" t="str">
        <f t="shared" si="987"/>
        <v>SAÍDA</v>
      </c>
      <c r="C5448" t="str">
        <f t="shared" si="988"/>
        <v>PIX</v>
      </c>
      <c r="D5448" t="str">
        <f>"36761"</f>
        <v>36761</v>
      </c>
      <c r="E5448" t="str">
        <f t="shared" si="986"/>
        <v>1</v>
      </c>
      <c r="F5448" t="str">
        <f t="shared" si="991"/>
        <v>COM</v>
      </c>
      <c r="G5448" t="str">
        <f>"HERICK KUSSYOYADA CAMARA (937)"</f>
        <v>HERICK KUSSYOYADA CAMARA (937)</v>
      </c>
      <c r="H5448" t="s">
        <v>1480</v>
      </c>
      <c r="I5448" t="str">
        <f t="shared" si="989"/>
        <v>31/03/2026</v>
      </c>
      <c r="J5448" t="str">
        <f>("31/03/2026")</f>
        <v>31/03/2026</v>
      </c>
      <c r="K5448">
        <v>46112</v>
      </c>
      <c r="N5448">
        <v>134</v>
      </c>
      <c r="O5448" t="s">
        <v>30</v>
      </c>
      <c r="Q5448">
        <v>250</v>
      </c>
      <c r="R5448" t="str">
        <f>"PENSE FARMA 46 (10194)"</f>
        <v>PENSE FARMA 46 (10194)</v>
      </c>
      <c r="S5448" t="s">
        <v>33</v>
      </c>
      <c r="T5448">
        <v>32355</v>
      </c>
      <c r="U5448">
        <v>36761</v>
      </c>
      <c r="V5448" t="s">
        <v>33</v>
      </c>
    </row>
    <row r="5449" spans="1:22">
      <c r="A5449" t="str">
        <f t="shared" si="992"/>
        <v>31/03/2026</v>
      </c>
      <c r="B5449" t="str">
        <f t="shared" si="987"/>
        <v>SAÍDA</v>
      </c>
      <c r="C5449" t="str">
        <f t="shared" si="988"/>
        <v>PIX</v>
      </c>
      <c r="D5449" t="str">
        <f>"36366"</f>
        <v>36366</v>
      </c>
      <c r="E5449" t="str">
        <f t="shared" si="986"/>
        <v>1</v>
      </c>
      <c r="F5449" t="str">
        <f t="shared" si="991"/>
        <v>COM</v>
      </c>
      <c r="G5449" t="str">
        <f>"REINALDO APERECIDO GOMES (1375)"</f>
        <v>REINALDO APERECIDO GOMES (1375)</v>
      </c>
      <c r="H5449" t="str">
        <f>"Serv.Prest.DIARIA 23/03/2026 - PIX: CPF - CHAVE: 143.810.496-08"</f>
        <v>Serv.Prest.DIARIA 23/03/2026 - PIX: CPF - CHAVE: 143.810.496-08</v>
      </c>
      <c r="I5449" t="str">
        <f t="shared" si="989"/>
        <v>31/03/2026</v>
      </c>
      <c r="J5449" t="str">
        <f t="shared" ref="J5449:J5480" si="993">("30/03/2026")</f>
        <v>30/03/2026</v>
      </c>
      <c r="K5449" t="str">
        <f>("31/03/2026")</f>
        <v>31/03/2026</v>
      </c>
      <c r="L5449">
        <v>119</v>
      </c>
      <c r="M5449">
        <v>120</v>
      </c>
      <c r="N5449">
        <v>134</v>
      </c>
      <c r="O5449" t="str">
        <f>"DIARIA DE MOTOBOY"</f>
        <v>DIARIA DE MOTOBOY</v>
      </c>
      <c r="P5449">
        <v>120</v>
      </c>
      <c r="S5449" t="str">
        <f>"BANCO C6 (149)"</f>
        <v>BANCO C6 (149)</v>
      </c>
      <c r="T5449">
        <v>32356</v>
      </c>
      <c r="U5449">
        <v>36366</v>
      </c>
      <c r="V5449" t="s">
        <v>37</v>
      </c>
    </row>
    <row r="5450" spans="1:22">
      <c r="A5450" t="str">
        <f t="shared" si="992"/>
        <v>31/03/2026</v>
      </c>
      <c r="B5450" t="str">
        <f t="shared" si="987"/>
        <v>SAÍDA</v>
      </c>
      <c r="C5450" t="str">
        <f t="shared" si="988"/>
        <v>PIX</v>
      </c>
      <c r="D5450" t="str">
        <f>"36366"</f>
        <v>36366</v>
      </c>
      <c r="E5450" t="str">
        <f t="shared" si="986"/>
        <v>1</v>
      </c>
      <c r="F5450" t="str">
        <f t="shared" si="991"/>
        <v>COM</v>
      </c>
      <c r="G5450" t="str">
        <f>"REINALDO APERECIDO GOMES (1375)"</f>
        <v>REINALDO APERECIDO GOMES (1375)</v>
      </c>
      <c r="H5450" t="s">
        <v>1481</v>
      </c>
      <c r="I5450" t="str">
        <f t="shared" si="989"/>
        <v>31/03/2026</v>
      </c>
      <c r="J5450" t="str">
        <f t="shared" si="993"/>
        <v>30/03/2026</v>
      </c>
      <c r="K5450">
        <v>46112</v>
      </c>
      <c r="N5450">
        <v>134</v>
      </c>
      <c r="O5450" t="s">
        <v>30</v>
      </c>
      <c r="Q5450">
        <v>120</v>
      </c>
      <c r="R5450" t="str">
        <f>"DROGARIA ISABELLA (10276)"</f>
        <v>DROGARIA ISABELLA (10276)</v>
      </c>
      <c r="S5450" t="s">
        <v>37</v>
      </c>
      <c r="T5450">
        <v>32356</v>
      </c>
      <c r="U5450">
        <v>36366</v>
      </c>
      <c r="V5450" t="s">
        <v>37</v>
      </c>
    </row>
    <row r="5451" spans="1:22">
      <c r="A5451" t="str">
        <f t="shared" si="992"/>
        <v>31/03/2026</v>
      </c>
      <c r="B5451" t="str">
        <f t="shared" si="987"/>
        <v>SAÍDA</v>
      </c>
      <c r="C5451" t="str">
        <f t="shared" si="988"/>
        <v>PIX</v>
      </c>
      <c r="D5451" t="str">
        <f>"36368"</f>
        <v>36368</v>
      </c>
      <c r="E5451" t="str">
        <f t="shared" si="986"/>
        <v>1</v>
      </c>
      <c r="F5451" t="str">
        <f t="shared" si="991"/>
        <v>COM</v>
      </c>
      <c r="G5451" t="str">
        <f>"ALEXANDRE PEREIRA DE SOUZA (1252)"</f>
        <v>ALEXANDRE PEREIRA DE SOUZA (1252)</v>
      </c>
      <c r="H5451" t="str">
        <f>"Serv.Prest. 23/03/2026 a 29/03/2026 - PIX: CPF - CHAVE: 497.247.788-19"</f>
        <v>Serv.Prest. 23/03/2026 a 29/03/2026 - PIX: CPF - CHAVE: 497.247.788-19</v>
      </c>
      <c r="I5451" t="str">
        <f t="shared" si="989"/>
        <v>31/03/2026</v>
      </c>
      <c r="J5451" t="str">
        <f t="shared" si="993"/>
        <v>30/03/2026</v>
      </c>
      <c r="K5451" t="str">
        <f>("31/03/2026")</f>
        <v>31/03/2026</v>
      </c>
      <c r="L5451">
        <v>1050</v>
      </c>
      <c r="M5451">
        <v>1050</v>
      </c>
      <c r="N5451">
        <v>134</v>
      </c>
      <c r="O5451" t="str">
        <f>"DIARIA DE MOTOBOY"</f>
        <v>DIARIA DE MOTOBOY</v>
      </c>
      <c r="P5451">
        <v>1050</v>
      </c>
      <c r="S5451" t="str">
        <f>"BANCO C6 (149)"</f>
        <v>BANCO C6 (149)</v>
      </c>
      <c r="T5451">
        <v>32357</v>
      </c>
      <c r="U5451">
        <v>36368</v>
      </c>
      <c r="V5451" t="s">
        <v>37</v>
      </c>
    </row>
    <row r="5452" spans="1:22">
      <c r="A5452" t="str">
        <f t="shared" si="992"/>
        <v>31/03/2026</v>
      </c>
      <c r="B5452" t="str">
        <f t="shared" si="987"/>
        <v>SAÍDA</v>
      </c>
      <c r="C5452" t="str">
        <f t="shared" si="988"/>
        <v>PIX</v>
      </c>
      <c r="D5452" t="str">
        <f>"36368"</f>
        <v>36368</v>
      </c>
      <c r="E5452" t="str">
        <f t="shared" si="986"/>
        <v>1</v>
      </c>
      <c r="F5452" t="str">
        <f t="shared" si="991"/>
        <v>COM</v>
      </c>
      <c r="G5452" t="str">
        <f>"ALEXANDRE PEREIRA DE SOUZA (1252)"</f>
        <v>ALEXANDRE PEREIRA DE SOUZA (1252)</v>
      </c>
      <c r="H5452" t="s">
        <v>1477</v>
      </c>
      <c r="I5452" t="str">
        <f t="shared" si="989"/>
        <v>31/03/2026</v>
      </c>
      <c r="J5452" t="str">
        <f t="shared" si="993"/>
        <v>30/03/2026</v>
      </c>
      <c r="K5452">
        <v>46112</v>
      </c>
      <c r="N5452">
        <v>134</v>
      </c>
      <c r="O5452" t="s">
        <v>30</v>
      </c>
      <c r="Q5452">
        <v>1050</v>
      </c>
      <c r="R5452" t="str">
        <f>"BEM TE FAZ LOJA 3 (10287)"</f>
        <v>BEM TE FAZ LOJA 3 (10287)</v>
      </c>
      <c r="S5452" t="s">
        <v>37</v>
      </c>
      <c r="T5452">
        <v>32357</v>
      </c>
      <c r="U5452">
        <v>36368</v>
      </c>
      <c r="V5452" t="s">
        <v>37</v>
      </c>
    </row>
    <row r="5453" spans="1:22">
      <c r="A5453" t="str">
        <f t="shared" si="992"/>
        <v>31/03/2026</v>
      </c>
      <c r="B5453" t="str">
        <f t="shared" si="987"/>
        <v>SAÍDA</v>
      </c>
      <c r="C5453" t="str">
        <f t="shared" si="988"/>
        <v>PIX</v>
      </c>
      <c r="D5453" t="str">
        <f>"36371"</f>
        <v>36371</v>
      </c>
      <c r="E5453" t="str">
        <f t="shared" si="986"/>
        <v>1</v>
      </c>
      <c r="F5453" t="str">
        <f t="shared" si="991"/>
        <v>COM</v>
      </c>
      <c r="G5453" t="str">
        <f>"GUSTAVO ROCHA DOS SANTOS (1241)"</f>
        <v>GUSTAVO ROCHA DOS SANTOS (1241)</v>
      </c>
      <c r="H5453" t="str">
        <f>"Serv.Prest. 23/03/2026 a 29/03/2026 - PIX: CPF - CHAVE: 461.830.618-16"</f>
        <v>Serv.Prest. 23/03/2026 a 29/03/2026 - PIX: CPF - CHAVE: 461.830.618-16</v>
      </c>
      <c r="I5453" t="str">
        <f t="shared" si="989"/>
        <v>31/03/2026</v>
      </c>
      <c r="J5453" t="str">
        <f t="shared" si="993"/>
        <v>30/03/2026</v>
      </c>
      <c r="K5453" t="str">
        <f>("31/03/2026")</f>
        <v>31/03/2026</v>
      </c>
      <c r="L5453">
        <v>56</v>
      </c>
      <c r="M5453">
        <v>56</v>
      </c>
      <c r="N5453">
        <v>134</v>
      </c>
      <c r="O5453" t="str">
        <f>"DIARIA DE MOTOBOY"</f>
        <v>DIARIA DE MOTOBOY</v>
      </c>
      <c r="P5453">
        <v>56</v>
      </c>
      <c r="S5453" t="str">
        <f>"BANCO C6 (149)"</f>
        <v>BANCO C6 (149)</v>
      </c>
      <c r="T5453">
        <v>32358</v>
      </c>
      <c r="U5453">
        <v>36371</v>
      </c>
      <c r="V5453" t="s">
        <v>37</v>
      </c>
    </row>
    <row r="5454" spans="1:22">
      <c r="A5454" t="str">
        <f t="shared" si="992"/>
        <v>31/03/2026</v>
      </c>
      <c r="B5454" t="str">
        <f t="shared" si="987"/>
        <v>SAÍDA</v>
      </c>
      <c r="C5454" t="str">
        <f t="shared" si="988"/>
        <v>PIX</v>
      </c>
      <c r="D5454" t="str">
        <f>"36371"</f>
        <v>36371</v>
      </c>
      <c r="E5454" t="str">
        <f t="shared" si="986"/>
        <v>1</v>
      </c>
      <c r="F5454" t="str">
        <f t="shared" si="991"/>
        <v>COM</v>
      </c>
      <c r="G5454" t="str">
        <f>"GUSTAVO ROCHA DOS SANTOS (1241)"</f>
        <v>GUSTAVO ROCHA DOS SANTOS (1241)</v>
      </c>
      <c r="H5454" t="s">
        <v>1478</v>
      </c>
      <c r="I5454" t="str">
        <f t="shared" si="989"/>
        <v>31/03/2026</v>
      </c>
      <c r="J5454" t="str">
        <f t="shared" si="993"/>
        <v>30/03/2026</v>
      </c>
      <c r="K5454">
        <v>46112</v>
      </c>
      <c r="N5454">
        <v>134</v>
      </c>
      <c r="O5454" t="s">
        <v>30</v>
      </c>
      <c r="Q5454">
        <v>56</v>
      </c>
      <c r="R5454" t="str">
        <f>"BEM TE FAZ LOJA 3 (10287)"</f>
        <v>BEM TE FAZ LOJA 3 (10287)</v>
      </c>
      <c r="S5454" t="s">
        <v>37</v>
      </c>
      <c r="T5454">
        <v>32358</v>
      </c>
      <c r="U5454">
        <v>36371</v>
      </c>
      <c r="V5454" t="s">
        <v>37</v>
      </c>
    </row>
    <row r="5455" spans="1:22">
      <c r="A5455" t="str">
        <f t="shared" si="992"/>
        <v>31/03/2026</v>
      </c>
      <c r="B5455" t="str">
        <f t="shared" si="987"/>
        <v>SAÍDA</v>
      </c>
      <c r="C5455" t="str">
        <f t="shared" si="988"/>
        <v>PIX</v>
      </c>
      <c r="D5455" t="str">
        <f>"36388"</f>
        <v>36388</v>
      </c>
      <c r="E5455" t="str">
        <f t="shared" si="986"/>
        <v>1</v>
      </c>
      <c r="F5455" t="str">
        <f t="shared" si="991"/>
        <v>COM</v>
      </c>
      <c r="G5455" t="str">
        <f>"LUIZ ALBERTO DA SILVA ROMANI (1378)"</f>
        <v>LUIZ ALBERTO DA SILVA ROMANI (1378)</v>
      </c>
      <c r="H5455" t="str">
        <f>"Serv.Prest. 23/03/2026 a 29/03/2026 - PIX: CPF - CHAVE: 360.975.508-39"</f>
        <v>Serv.Prest. 23/03/2026 a 29/03/2026 - PIX: CPF - CHAVE: 360.975.508-39</v>
      </c>
      <c r="I5455" t="str">
        <f t="shared" si="989"/>
        <v>31/03/2026</v>
      </c>
      <c r="J5455" t="str">
        <f t="shared" si="993"/>
        <v>30/03/2026</v>
      </c>
      <c r="K5455" t="str">
        <f>("31/03/2026")</f>
        <v>31/03/2026</v>
      </c>
      <c r="L5455">
        <v>427</v>
      </c>
      <c r="M5455">
        <v>427</v>
      </c>
      <c r="N5455">
        <v>134</v>
      </c>
      <c r="O5455" t="str">
        <f>"DIARIA DE MOTOBOY"</f>
        <v>DIARIA DE MOTOBOY</v>
      </c>
      <c r="P5455">
        <v>427</v>
      </c>
      <c r="S5455" t="str">
        <f>"BANCO C6 (149)"</f>
        <v>BANCO C6 (149)</v>
      </c>
      <c r="T5455">
        <v>32359</v>
      </c>
      <c r="U5455">
        <v>36388</v>
      </c>
      <c r="V5455" t="s">
        <v>37</v>
      </c>
    </row>
    <row r="5456" spans="1:22">
      <c r="A5456" t="str">
        <f t="shared" si="992"/>
        <v>31/03/2026</v>
      </c>
      <c r="B5456" t="str">
        <f t="shared" si="987"/>
        <v>SAÍDA</v>
      </c>
      <c r="C5456" t="str">
        <f t="shared" si="988"/>
        <v>PIX</v>
      </c>
      <c r="D5456" t="str">
        <f>"36388"</f>
        <v>36388</v>
      </c>
      <c r="E5456" t="str">
        <f t="shared" si="986"/>
        <v>1</v>
      </c>
      <c r="F5456" t="str">
        <f t="shared" si="991"/>
        <v>COM</v>
      </c>
      <c r="G5456" t="str">
        <f>"LUIZ ALBERTO DA SILVA ROMANI (1378)"</f>
        <v>LUIZ ALBERTO DA SILVA ROMANI (1378)</v>
      </c>
      <c r="H5456" t="s">
        <v>1482</v>
      </c>
      <c r="I5456" t="str">
        <f t="shared" si="989"/>
        <v>31/03/2026</v>
      </c>
      <c r="J5456" t="str">
        <f t="shared" si="993"/>
        <v>30/03/2026</v>
      </c>
      <c r="K5456">
        <v>46112</v>
      </c>
      <c r="N5456">
        <v>134</v>
      </c>
      <c r="O5456" t="s">
        <v>30</v>
      </c>
      <c r="Q5456">
        <v>427</v>
      </c>
      <c r="R5456" t="str">
        <f>"BEM TE FAZ LOJA 3 (10287)"</f>
        <v>BEM TE FAZ LOJA 3 (10287)</v>
      </c>
      <c r="S5456" t="s">
        <v>37</v>
      </c>
      <c r="T5456">
        <v>32359</v>
      </c>
      <c r="U5456">
        <v>36388</v>
      </c>
      <c r="V5456" t="s">
        <v>37</v>
      </c>
    </row>
    <row r="5457" spans="1:22">
      <c r="A5457" t="str">
        <f t="shared" si="992"/>
        <v>31/03/2026</v>
      </c>
      <c r="B5457" t="str">
        <f t="shared" si="987"/>
        <v>SAÍDA</v>
      </c>
      <c r="C5457" t="str">
        <f t="shared" si="988"/>
        <v>PIX</v>
      </c>
      <c r="D5457" t="str">
        <f>"36406"</f>
        <v>36406</v>
      </c>
      <c r="E5457" t="str">
        <f t="shared" si="986"/>
        <v>1</v>
      </c>
      <c r="F5457" t="str">
        <f t="shared" si="991"/>
        <v>COM</v>
      </c>
      <c r="G5457" t="str">
        <f>"EVERTON DA SILVEIRA SANTOS (834)"</f>
        <v>EVERTON DA SILVEIRA SANTOS (834)</v>
      </c>
      <c r="H5457" t="str">
        <f>"Serv.Prest. 23/03/2026 a 29/03/2026 - PIX: CELULAR - CHAVE: (73) 99982-9939"</f>
        <v>Serv.Prest. 23/03/2026 a 29/03/2026 - PIX: CELULAR - CHAVE: (73) 99982-9939</v>
      </c>
      <c r="I5457" t="str">
        <f t="shared" si="989"/>
        <v>31/03/2026</v>
      </c>
      <c r="J5457" t="str">
        <f t="shared" si="993"/>
        <v>30/03/2026</v>
      </c>
      <c r="K5457" t="str">
        <f>("31/03/2026")</f>
        <v>31/03/2026</v>
      </c>
      <c r="L5457">
        <v>150</v>
      </c>
      <c r="M5457">
        <v>150</v>
      </c>
      <c r="N5457">
        <v>134</v>
      </c>
      <c r="O5457" t="str">
        <f>"DIARIA DE MOTOBOY"</f>
        <v>DIARIA DE MOTOBOY</v>
      </c>
      <c r="P5457">
        <v>150</v>
      </c>
      <c r="S5457" t="str">
        <f>"BANCO C6 (149)"</f>
        <v>BANCO C6 (149)</v>
      </c>
      <c r="T5457">
        <v>32360</v>
      </c>
      <c r="U5457">
        <v>36406</v>
      </c>
      <c r="V5457" t="s">
        <v>37</v>
      </c>
    </row>
    <row r="5458" spans="1:22">
      <c r="A5458" t="str">
        <f t="shared" si="992"/>
        <v>31/03/2026</v>
      </c>
      <c r="B5458" t="str">
        <f t="shared" si="987"/>
        <v>SAÍDA</v>
      </c>
      <c r="C5458" t="str">
        <f t="shared" si="988"/>
        <v>PIX</v>
      </c>
      <c r="D5458" t="str">
        <f>"36406"</f>
        <v>36406</v>
      </c>
      <c r="E5458" t="str">
        <f t="shared" si="986"/>
        <v>1</v>
      </c>
      <c r="F5458" t="str">
        <f t="shared" si="991"/>
        <v>COM</v>
      </c>
      <c r="G5458" t="str">
        <f>"EVERTON DA SILVEIRA SANTOS (834)"</f>
        <v>EVERTON DA SILVEIRA SANTOS (834)</v>
      </c>
      <c r="H5458" t="s">
        <v>1483</v>
      </c>
      <c r="I5458" t="str">
        <f t="shared" si="989"/>
        <v>31/03/2026</v>
      </c>
      <c r="J5458" t="str">
        <f t="shared" si="993"/>
        <v>30/03/2026</v>
      </c>
      <c r="K5458">
        <v>46112</v>
      </c>
      <c r="N5458">
        <v>134</v>
      </c>
      <c r="O5458" t="s">
        <v>30</v>
      </c>
      <c r="Q5458">
        <v>150</v>
      </c>
      <c r="R5458" t="str">
        <f>"FARMACIA INDIANA LJ 201 (10323)"</f>
        <v>FARMACIA INDIANA LJ 201 (10323)</v>
      </c>
      <c r="S5458" t="s">
        <v>37</v>
      </c>
      <c r="T5458">
        <v>32360</v>
      </c>
      <c r="U5458">
        <v>36406</v>
      </c>
      <c r="V5458" t="s">
        <v>37</v>
      </c>
    </row>
    <row r="5459" spans="1:22">
      <c r="A5459" t="str">
        <f t="shared" si="992"/>
        <v>31/03/2026</v>
      </c>
      <c r="B5459" t="str">
        <f t="shared" si="987"/>
        <v>SAÍDA</v>
      </c>
      <c r="C5459" t="str">
        <f t="shared" si="988"/>
        <v>PIX</v>
      </c>
      <c r="D5459" t="str">
        <f>"36435"</f>
        <v>36435</v>
      </c>
      <c r="E5459" t="str">
        <f t="shared" si="986"/>
        <v>1</v>
      </c>
      <c r="F5459" t="str">
        <f t="shared" si="991"/>
        <v>COM</v>
      </c>
      <c r="G5459" t="str">
        <f>"TIAGO CRUZ DOS SANTOS (1359)"</f>
        <v>TIAGO CRUZ DOS SANTOS (1359)</v>
      </c>
      <c r="H5459" t="str">
        <f>"Serv.Prest. 23/03/2026 a 29/03/2026 - PIX: CELULAR - CHAVE: (73) 99949-0087"</f>
        <v>Serv.Prest. 23/03/2026 a 29/03/2026 - PIX: CELULAR - CHAVE: (73) 99949-0087</v>
      </c>
      <c r="I5459" t="str">
        <f t="shared" si="989"/>
        <v>31/03/2026</v>
      </c>
      <c r="J5459" t="str">
        <f t="shared" si="993"/>
        <v>30/03/2026</v>
      </c>
      <c r="K5459" t="str">
        <f>("31/03/2026")</f>
        <v>31/03/2026</v>
      </c>
      <c r="L5459">
        <v>150</v>
      </c>
      <c r="M5459">
        <v>150</v>
      </c>
      <c r="N5459">
        <v>134</v>
      </c>
      <c r="O5459" t="str">
        <f>"DIARIA DE MOTOBOY"</f>
        <v>DIARIA DE MOTOBOY</v>
      </c>
      <c r="P5459">
        <v>150</v>
      </c>
      <c r="S5459" t="str">
        <f>"BANCO C6 (149)"</f>
        <v>BANCO C6 (149)</v>
      </c>
      <c r="T5459">
        <v>32361</v>
      </c>
      <c r="U5459">
        <v>36435</v>
      </c>
      <c r="V5459" t="s">
        <v>37</v>
      </c>
    </row>
    <row r="5460" spans="1:22">
      <c r="A5460" t="str">
        <f t="shared" si="992"/>
        <v>31/03/2026</v>
      </c>
      <c r="B5460" t="str">
        <f t="shared" si="987"/>
        <v>SAÍDA</v>
      </c>
      <c r="C5460" t="str">
        <f t="shared" si="988"/>
        <v>PIX</v>
      </c>
      <c r="D5460" t="str">
        <f>"36435"</f>
        <v>36435</v>
      </c>
      <c r="E5460" t="str">
        <f t="shared" si="986"/>
        <v>1</v>
      </c>
      <c r="F5460" t="str">
        <f t="shared" si="991"/>
        <v>COM</v>
      </c>
      <c r="G5460" t="str">
        <f>"TIAGO CRUZ DOS SANTOS (1359)"</f>
        <v>TIAGO CRUZ DOS SANTOS (1359)</v>
      </c>
      <c r="H5460" t="s">
        <v>1484</v>
      </c>
      <c r="I5460" t="str">
        <f t="shared" si="989"/>
        <v>31/03/2026</v>
      </c>
      <c r="J5460" t="str">
        <f t="shared" si="993"/>
        <v>30/03/2026</v>
      </c>
      <c r="K5460">
        <v>46112</v>
      </c>
      <c r="N5460">
        <v>134</v>
      </c>
      <c r="O5460" t="s">
        <v>30</v>
      </c>
      <c r="Q5460">
        <v>150</v>
      </c>
      <c r="R5460" t="str">
        <f>"FARMÁCIA INDIANA LJ 91 (10037)"</f>
        <v>FARMÁCIA INDIANA LJ 91 (10037)</v>
      </c>
      <c r="S5460" t="s">
        <v>37</v>
      </c>
      <c r="T5460">
        <v>32361</v>
      </c>
      <c r="U5460">
        <v>36435</v>
      </c>
      <c r="V5460" t="s">
        <v>37</v>
      </c>
    </row>
    <row r="5461" spans="1:22">
      <c r="A5461" t="str">
        <f t="shared" si="992"/>
        <v>31/03/2026</v>
      </c>
      <c r="B5461" t="str">
        <f t="shared" si="987"/>
        <v>SAÍDA</v>
      </c>
      <c r="C5461" t="str">
        <f t="shared" si="988"/>
        <v>PIX</v>
      </c>
      <c r="D5461" t="str">
        <f>"36411"</f>
        <v>36411</v>
      </c>
      <c r="E5461" t="str">
        <f t="shared" si="986"/>
        <v>1</v>
      </c>
      <c r="F5461" t="str">
        <f t="shared" si="991"/>
        <v>COM</v>
      </c>
      <c r="G5461" t="str">
        <f>"HELITON MELGACO PIMENTEL JUNIOR (1079)"</f>
        <v>HELITON MELGACO PIMENTEL JUNIOR (1079)</v>
      </c>
      <c r="H5461" t="str">
        <f>"Serv.Prest. 23/03/2026 a 29/03/2026 - PIX: CPF - CHAVE: 768.859.176-72"</f>
        <v>Serv.Prest. 23/03/2026 a 29/03/2026 - PIX: CPF - CHAVE: 768.859.176-72</v>
      </c>
      <c r="I5461" t="str">
        <f t="shared" si="989"/>
        <v>31/03/2026</v>
      </c>
      <c r="J5461" t="str">
        <f t="shared" si="993"/>
        <v>30/03/2026</v>
      </c>
      <c r="K5461" t="str">
        <f>("31/03/2026")</f>
        <v>31/03/2026</v>
      </c>
      <c r="L5461">
        <v>150</v>
      </c>
      <c r="M5461">
        <v>150</v>
      </c>
      <c r="N5461">
        <v>134</v>
      </c>
      <c r="O5461" t="str">
        <f>"DIARIA DE MOTOBOY"</f>
        <v>DIARIA DE MOTOBOY</v>
      </c>
      <c r="P5461">
        <v>150</v>
      </c>
      <c r="S5461" t="str">
        <f>"BANCO C6 (149)"</f>
        <v>BANCO C6 (149)</v>
      </c>
      <c r="T5461">
        <v>32362</v>
      </c>
      <c r="U5461">
        <v>36439</v>
      </c>
      <c r="V5461" t="s">
        <v>37</v>
      </c>
    </row>
    <row r="5462" spans="1:22">
      <c r="A5462" t="str">
        <f t="shared" si="992"/>
        <v>31/03/2026</v>
      </c>
      <c r="B5462" t="str">
        <f t="shared" si="987"/>
        <v>SAÍDA</v>
      </c>
      <c r="C5462" t="str">
        <f t="shared" si="988"/>
        <v>PIX</v>
      </c>
      <c r="D5462" t="str">
        <f>"36411"</f>
        <v>36411</v>
      </c>
      <c r="E5462" t="str">
        <f t="shared" si="986"/>
        <v>1</v>
      </c>
      <c r="F5462" t="str">
        <f t="shared" si="991"/>
        <v>COM</v>
      </c>
      <c r="G5462" t="str">
        <f>"HELITON MELGACO PIMENTEL JUNIOR (1079)"</f>
        <v>HELITON MELGACO PIMENTEL JUNIOR (1079)</v>
      </c>
      <c r="H5462" t="s">
        <v>1485</v>
      </c>
      <c r="I5462" t="str">
        <f t="shared" si="989"/>
        <v>31/03/2026</v>
      </c>
      <c r="J5462" t="str">
        <f t="shared" si="993"/>
        <v>30/03/2026</v>
      </c>
      <c r="K5462">
        <v>46112</v>
      </c>
      <c r="N5462">
        <v>134</v>
      </c>
      <c r="O5462" t="s">
        <v>30</v>
      </c>
      <c r="Q5462">
        <v>150</v>
      </c>
      <c r="R5462" t="str">
        <f>"FARMÁCIA INDIANA LJ 283 (10268)"</f>
        <v>FARMÁCIA INDIANA LJ 283 (10268)</v>
      </c>
      <c r="S5462" t="s">
        <v>37</v>
      </c>
      <c r="T5462">
        <v>32362</v>
      </c>
      <c r="U5462">
        <v>36439</v>
      </c>
      <c r="V5462" t="s">
        <v>37</v>
      </c>
    </row>
    <row r="5463" spans="1:22">
      <c r="A5463" t="str">
        <f t="shared" si="992"/>
        <v>31/03/2026</v>
      </c>
      <c r="B5463" t="str">
        <f t="shared" si="987"/>
        <v>SAÍDA</v>
      </c>
      <c r="C5463" t="str">
        <f t="shared" si="988"/>
        <v>PIX</v>
      </c>
      <c r="D5463" t="str">
        <f>"36443"</f>
        <v>36443</v>
      </c>
      <c r="E5463" t="str">
        <f t="shared" si="986"/>
        <v>1</v>
      </c>
      <c r="F5463" t="str">
        <f t="shared" si="991"/>
        <v>COM</v>
      </c>
      <c r="G5463" t="str">
        <f>"ERIC RODRIGUES TEIXEIRA (939)"</f>
        <v>ERIC RODRIGUES TEIXEIRA (939)</v>
      </c>
      <c r="H5463" t="str">
        <f>"Serv.Prest. 23/03/2026 a 29/03/2026 - PIX: CELULAR - CHAVE: (11) 95038-0621"</f>
        <v>Serv.Prest. 23/03/2026 a 29/03/2026 - PIX: CELULAR - CHAVE: (11) 95038-0621</v>
      </c>
      <c r="I5463" t="str">
        <f t="shared" si="989"/>
        <v>31/03/2026</v>
      </c>
      <c r="J5463" t="str">
        <f t="shared" si="993"/>
        <v>30/03/2026</v>
      </c>
      <c r="K5463" t="str">
        <f>("31/03/2026")</f>
        <v>31/03/2026</v>
      </c>
      <c r="L5463">
        <v>250</v>
      </c>
      <c r="M5463">
        <v>250</v>
      </c>
      <c r="N5463">
        <v>134</v>
      </c>
      <c r="O5463" t="str">
        <f>"DIARIA DE MOTOBOY"</f>
        <v>DIARIA DE MOTOBOY</v>
      </c>
      <c r="P5463">
        <v>250</v>
      </c>
      <c r="S5463" t="str">
        <f>"BANCO C6 (149)"</f>
        <v>BANCO C6 (149)</v>
      </c>
      <c r="T5463">
        <v>32363</v>
      </c>
      <c r="U5463">
        <v>36444</v>
      </c>
      <c r="V5463" t="s">
        <v>37</v>
      </c>
    </row>
    <row r="5464" spans="1:22">
      <c r="A5464" t="str">
        <f t="shared" si="992"/>
        <v>31/03/2026</v>
      </c>
      <c r="B5464" t="str">
        <f t="shared" si="987"/>
        <v>SAÍDA</v>
      </c>
      <c r="C5464" t="str">
        <f t="shared" si="988"/>
        <v>PIX</v>
      </c>
      <c r="D5464" t="str">
        <f>"36443"</f>
        <v>36443</v>
      </c>
      <c r="E5464" t="str">
        <f t="shared" si="986"/>
        <v>1</v>
      </c>
      <c r="F5464" t="str">
        <f t="shared" si="991"/>
        <v>COM</v>
      </c>
      <c r="G5464" t="str">
        <f>"ERIC RODRIGUES TEIXEIRA (939)"</f>
        <v>ERIC RODRIGUES TEIXEIRA (939)</v>
      </c>
      <c r="H5464" t="s">
        <v>1486</v>
      </c>
      <c r="I5464" t="str">
        <f t="shared" si="989"/>
        <v>31/03/2026</v>
      </c>
      <c r="J5464" t="str">
        <f t="shared" si="993"/>
        <v>30/03/2026</v>
      </c>
      <c r="K5464">
        <v>46112</v>
      </c>
      <c r="N5464">
        <v>134</v>
      </c>
      <c r="O5464" t="s">
        <v>30</v>
      </c>
      <c r="Q5464">
        <v>250</v>
      </c>
      <c r="R5464" t="str">
        <f>"PENSE FARMA 50 (10210)"</f>
        <v>PENSE FARMA 50 (10210)</v>
      </c>
      <c r="S5464" t="s">
        <v>37</v>
      </c>
      <c r="T5464">
        <v>32363</v>
      </c>
      <c r="U5464">
        <v>36444</v>
      </c>
      <c r="V5464" t="s">
        <v>37</v>
      </c>
    </row>
    <row r="5465" spans="1:22">
      <c r="A5465" t="str">
        <f t="shared" si="992"/>
        <v>31/03/2026</v>
      </c>
      <c r="B5465" t="str">
        <f t="shared" si="987"/>
        <v>SAÍDA</v>
      </c>
      <c r="C5465" t="str">
        <f t="shared" si="988"/>
        <v>PIX</v>
      </c>
      <c r="D5465" t="str">
        <f>"36451"</f>
        <v>36451</v>
      </c>
      <c r="E5465" t="str">
        <f t="shared" si="986"/>
        <v>1</v>
      </c>
      <c r="F5465" t="str">
        <f t="shared" si="991"/>
        <v>COM</v>
      </c>
      <c r="G5465" t="str">
        <f t="shared" ref="G5465:G5474" si="994">"JEFFERSON DA SILVA LOPES (1037)"</f>
        <v>JEFFERSON DA SILVA LOPES (1037)</v>
      </c>
      <c r="H5465" t="str">
        <f>"Serv.Prest. 23/03/2026 a 29/03/2026 - PIX: CPF - CHAVE: 507.243.348-07"</f>
        <v>Serv.Prest. 23/03/2026 a 29/03/2026 - PIX: CPF - CHAVE: 507.243.348-07</v>
      </c>
      <c r="I5465" t="str">
        <f t="shared" si="989"/>
        <v>31/03/2026</v>
      </c>
      <c r="J5465" t="str">
        <f t="shared" si="993"/>
        <v>30/03/2026</v>
      </c>
      <c r="K5465" t="str">
        <f>("31/03/2026")</f>
        <v>31/03/2026</v>
      </c>
      <c r="L5465">
        <v>50</v>
      </c>
      <c r="M5465">
        <v>50</v>
      </c>
      <c r="N5465">
        <v>134</v>
      </c>
      <c r="O5465" t="str">
        <f>"DIARIA DE MOTOBOY"</f>
        <v>DIARIA DE MOTOBOY</v>
      </c>
      <c r="P5465">
        <v>50</v>
      </c>
      <c r="S5465" t="str">
        <f>"BANCO C6 (149)"</f>
        <v>BANCO C6 (149)</v>
      </c>
      <c r="T5465">
        <v>32364</v>
      </c>
      <c r="U5465">
        <v>36451</v>
      </c>
      <c r="V5465" t="s">
        <v>37</v>
      </c>
    </row>
    <row r="5466" spans="1:22">
      <c r="A5466" t="str">
        <f t="shared" si="992"/>
        <v>31/03/2026</v>
      </c>
      <c r="B5466" t="str">
        <f t="shared" si="987"/>
        <v>SAÍDA</v>
      </c>
      <c r="C5466" t="str">
        <f t="shared" si="988"/>
        <v>PIX</v>
      </c>
      <c r="D5466" t="str">
        <f>"36451"</f>
        <v>36451</v>
      </c>
      <c r="E5466" t="str">
        <f t="shared" si="986"/>
        <v>1</v>
      </c>
      <c r="F5466" t="str">
        <f t="shared" si="991"/>
        <v>COM</v>
      </c>
      <c r="G5466" t="str">
        <f t="shared" si="994"/>
        <v>JEFFERSON DA SILVA LOPES (1037)</v>
      </c>
      <c r="H5466" t="s">
        <v>1487</v>
      </c>
      <c r="I5466" t="str">
        <f t="shared" si="989"/>
        <v>31/03/2026</v>
      </c>
      <c r="J5466" t="str">
        <f t="shared" si="993"/>
        <v>30/03/2026</v>
      </c>
      <c r="K5466">
        <v>46112</v>
      </c>
      <c r="N5466">
        <v>134</v>
      </c>
      <c r="O5466" t="s">
        <v>30</v>
      </c>
      <c r="Q5466">
        <v>50</v>
      </c>
      <c r="R5466" t="str">
        <f>"PENSE FARMA 52 (10236)"</f>
        <v>PENSE FARMA 52 (10236)</v>
      </c>
      <c r="S5466" t="s">
        <v>37</v>
      </c>
      <c r="T5466">
        <v>32364</v>
      </c>
      <c r="U5466">
        <v>36451</v>
      </c>
      <c r="V5466" t="s">
        <v>37</v>
      </c>
    </row>
    <row r="5467" spans="1:22">
      <c r="A5467" t="str">
        <f t="shared" si="992"/>
        <v>31/03/2026</v>
      </c>
      <c r="B5467" t="str">
        <f t="shared" si="987"/>
        <v>SAÍDA</v>
      </c>
      <c r="C5467" t="str">
        <f t="shared" si="988"/>
        <v>PIX</v>
      </c>
      <c r="D5467" t="str">
        <f>"36452"</f>
        <v>36452</v>
      </c>
      <c r="E5467" t="str">
        <f t="shared" ref="E5467:E5498" si="995">"1"</f>
        <v>1</v>
      </c>
      <c r="F5467" t="str">
        <f t="shared" si="991"/>
        <v>COM</v>
      </c>
      <c r="G5467" t="str">
        <f t="shared" si="994"/>
        <v>JEFFERSON DA SILVA LOPES (1037)</v>
      </c>
      <c r="H5467" t="str">
        <f>"Serv.Prest. 23/03/2026 a 29/03/2026 - PIX: CPF - CHAVE: 507.243.348-07"</f>
        <v>Serv.Prest. 23/03/2026 a 29/03/2026 - PIX: CPF - CHAVE: 507.243.348-07</v>
      </c>
      <c r="I5467" t="str">
        <f t="shared" si="989"/>
        <v>31/03/2026</v>
      </c>
      <c r="J5467" t="str">
        <f t="shared" si="993"/>
        <v>30/03/2026</v>
      </c>
      <c r="K5467" t="str">
        <f>("31/03/2026")</f>
        <v>31/03/2026</v>
      </c>
      <c r="L5467">
        <v>50</v>
      </c>
      <c r="M5467">
        <v>50</v>
      </c>
      <c r="N5467">
        <v>134</v>
      </c>
      <c r="O5467" t="str">
        <f>"DIARIA DE MOTOBOY"</f>
        <v>DIARIA DE MOTOBOY</v>
      </c>
      <c r="P5467">
        <v>50</v>
      </c>
      <c r="S5467" t="str">
        <f>"BANCO C6 (149)"</f>
        <v>BANCO C6 (149)</v>
      </c>
      <c r="T5467">
        <v>32365</v>
      </c>
      <c r="U5467">
        <v>36452</v>
      </c>
      <c r="V5467" t="s">
        <v>37</v>
      </c>
    </row>
    <row r="5468" spans="1:22">
      <c r="A5468" t="str">
        <f t="shared" si="992"/>
        <v>31/03/2026</v>
      </c>
      <c r="B5468" t="str">
        <f t="shared" si="987"/>
        <v>SAÍDA</v>
      </c>
      <c r="C5468" t="str">
        <f t="shared" si="988"/>
        <v>PIX</v>
      </c>
      <c r="D5468" t="str">
        <f>"36452"</f>
        <v>36452</v>
      </c>
      <c r="E5468" t="str">
        <f t="shared" si="995"/>
        <v>1</v>
      </c>
      <c r="F5468" t="str">
        <f t="shared" si="991"/>
        <v>COM</v>
      </c>
      <c r="G5468" t="str">
        <f t="shared" si="994"/>
        <v>JEFFERSON DA SILVA LOPES (1037)</v>
      </c>
      <c r="H5468" t="s">
        <v>1487</v>
      </c>
      <c r="I5468" t="str">
        <f t="shared" si="989"/>
        <v>31/03/2026</v>
      </c>
      <c r="J5468" t="str">
        <f t="shared" si="993"/>
        <v>30/03/2026</v>
      </c>
      <c r="K5468">
        <v>46112</v>
      </c>
      <c r="N5468">
        <v>134</v>
      </c>
      <c r="O5468" t="s">
        <v>30</v>
      </c>
      <c r="Q5468">
        <v>50</v>
      </c>
      <c r="R5468" t="str">
        <f>"PENSE FARMA 42 (10230)"</f>
        <v>PENSE FARMA 42 (10230)</v>
      </c>
      <c r="S5468" t="s">
        <v>37</v>
      </c>
      <c r="T5468">
        <v>32365</v>
      </c>
      <c r="U5468">
        <v>36452</v>
      </c>
      <c r="V5468" t="s">
        <v>37</v>
      </c>
    </row>
    <row r="5469" spans="1:22">
      <c r="A5469" t="str">
        <f t="shared" si="992"/>
        <v>31/03/2026</v>
      </c>
      <c r="B5469" t="str">
        <f t="shared" si="987"/>
        <v>SAÍDA</v>
      </c>
      <c r="C5469" t="str">
        <f t="shared" si="988"/>
        <v>PIX</v>
      </c>
      <c r="D5469" t="str">
        <f>"36453"</f>
        <v>36453</v>
      </c>
      <c r="E5469" t="str">
        <f t="shared" si="995"/>
        <v>1</v>
      </c>
      <c r="F5469" t="str">
        <f t="shared" si="991"/>
        <v>COM</v>
      </c>
      <c r="G5469" t="str">
        <f t="shared" si="994"/>
        <v>JEFFERSON DA SILVA LOPES (1037)</v>
      </c>
      <c r="H5469" t="str">
        <f>"Serv.Prest. 23/03/2026 a 29/03/2026 - PIX: CPF - CHAVE: 507.243.348-07"</f>
        <v>Serv.Prest. 23/03/2026 a 29/03/2026 - PIX: CPF - CHAVE: 507.243.348-07</v>
      </c>
      <c r="I5469" t="str">
        <f t="shared" si="989"/>
        <v>31/03/2026</v>
      </c>
      <c r="J5469" t="str">
        <f t="shared" si="993"/>
        <v>30/03/2026</v>
      </c>
      <c r="K5469" t="str">
        <f>("31/03/2026")</f>
        <v>31/03/2026</v>
      </c>
      <c r="L5469">
        <v>50</v>
      </c>
      <c r="M5469">
        <v>50</v>
      </c>
      <c r="N5469">
        <v>134</v>
      </c>
      <c r="O5469" t="str">
        <f>"DIARIA DE MOTOBOY"</f>
        <v>DIARIA DE MOTOBOY</v>
      </c>
      <c r="P5469">
        <v>50</v>
      </c>
      <c r="S5469" t="str">
        <f>"BANCO C6 (149)"</f>
        <v>BANCO C6 (149)</v>
      </c>
      <c r="T5469">
        <v>32366</v>
      </c>
      <c r="U5469">
        <v>36453</v>
      </c>
      <c r="V5469" t="s">
        <v>37</v>
      </c>
    </row>
    <row r="5470" spans="1:22">
      <c r="A5470" t="str">
        <f t="shared" si="992"/>
        <v>31/03/2026</v>
      </c>
      <c r="B5470" t="str">
        <f t="shared" si="987"/>
        <v>SAÍDA</v>
      </c>
      <c r="C5470" t="str">
        <f t="shared" si="988"/>
        <v>PIX</v>
      </c>
      <c r="D5470" t="str">
        <f>"36453"</f>
        <v>36453</v>
      </c>
      <c r="E5470" t="str">
        <f t="shared" si="995"/>
        <v>1</v>
      </c>
      <c r="F5470" t="str">
        <f t="shared" si="991"/>
        <v>COM</v>
      </c>
      <c r="G5470" t="str">
        <f t="shared" si="994"/>
        <v>JEFFERSON DA SILVA LOPES (1037)</v>
      </c>
      <c r="H5470" t="s">
        <v>1487</v>
      </c>
      <c r="I5470" t="str">
        <f t="shared" si="989"/>
        <v>31/03/2026</v>
      </c>
      <c r="J5470" t="str">
        <f t="shared" si="993"/>
        <v>30/03/2026</v>
      </c>
      <c r="K5470">
        <v>46112</v>
      </c>
      <c r="N5470">
        <v>134</v>
      </c>
      <c r="O5470" t="s">
        <v>30</v>
      </c>
      <c r="Q5470">
        <v>50</v>
      </c>
      <c r="R5470" t="str">
        <f>"PENSE FARMA 41 (10229)"</f>
        <v>PENSE FARMA 41 (10229)</v>
      </c>
      <c r="S5470" t="s">
        <v>37</v>
      </c>
      <c r="T5470">
        <v>32366</v>
      </c>
      <c r="U5470">
        <v>36453</v>
      </c>
      <c r="V5470" t="s">
        <v>37</v>
      </c>
    </row>
    <row r="5471" spans="1:22">
      <c r="A5471" t="str">
        <f t="shared" si="992"/>
        <v>31/03/2026</v>
      </c>
      <c r="B5471" t="str">
        <f t="shared" si="987"/>
        <v>SAÍDA</v>
      </c>
      <c r="C5471" t="str">
        <f t="shared" si="988"/>
        <v>PIX</v>
      </c>
      <c r="D5471" t="str">
        <f>"36454"</f>
        <v>36454</v>
      </c>
      <c r="E5471" t="str">
        <f t="shared" si="995"/>
        <v>1</v>
      </c>
      <c r="F5471" t="str">
        <f t="shared" si="991"/>
        <v>COM</v>
      </c>
      <c r="G5471" t="str">
        <f t="shared" si="994"/>
        <v>JEFFERSON DA SILVA LOPES (1037)</v>
      </c>
      <c r="H5471" t="str">
        <f>"Serv.Prest. 23/03/2026 a 29/03/2026 - PIX: CPF - CHAVE: 507.243.348-07"</f>
        <v>Serv.Prest. 23/03/2026 a 29/03/2026 - PIX: CPF - CHAVE: 507.243.348-07</v>
      </c>
      <c r="I5471" t="str">
        <f t="shared" si="989"/>
        <v>31/03/2026</v>
      </c>
      <c r="J5471" t="str">
        <f t="shared" si="993"/>
        <v>30/03/2026</v>
      </c>
      <c r="K5471" t="str">
        <f>("31/03/2026")</f>
        <v>31/03/2026</v>
      </c>
      <c r="L5471">
        <v>50</v>
      </c>
      <c r="M5471">
        <v>50</v>
      </c>
      <c r="N5471">
        <v>134</v>
      </c>
      <c r="O5471" t="str">
        <f>"DIARIA DE MOTOBOY"</f>
        <v>DIARIA DE MOTOBOY</v>
      </c>
      <c r="P5471">
        <v>50</v>
      </c>
      <c r="S5471" t="str">
        <f>"BANCO C6 (149)"</f>
        <v>BANCO C6 (149)</v>
      </c>
      <c r="T5471">
        <v>32367</v>
      </c>
      <c r="U5471">
        <v>36454</v>
      </c>
      <c r="V5471" t="s">
        <v>37</v>
      </c>
    </row>
    <row r="5472" spans="1:22">
      <c r="A5472" t="str">
        <f t="shared" si="992"/>
        <v>31/03/2026</v>
      </c>
      <c r="B5472" t="str">
        <f t="shared" si="987"/>
        <v>SAÍDA</v>
      </c>
      <c r="C5472" t="str">
        <f t="shared" si="988"/>
        <v>PIX</v>
      </c>
      <c r="D5472" t="str">
        <f>"36454"</f>
        <v>36454</v>
      </c>
      <c r="E5472" t="str">
        <f t="shared" si="995"/>
        <v>1</v>
      </c>
      <c r="F5472" t="str">
        <f t="shared" si="991"/>
        <v>COM</v>
      </c>
      <c r="G5472" t="str">
        <f t="shared" si="994"/>
        <v>JEFFERSON DA SILVA LOPES (1037)</v>
      </c>
      <c r="H5472" t="s">
        <v>1487</v>
      </c>
      <c r="I5472" t="str">
        <f t="shared" si="989"/>
        <v>31/03/2026</v>
      </c>
      <c r="J5472" t="str">
        <f t="shared" si="993"/>
        <v>30/03/2026</v>
      </c>
      <c r="K5472">
        <v>46112</v>
      </c>
      <c r="N5472">
        <v>134</v>
      </c>
      <c r="O5472" t="s">
        <v>30</v>
      </c>
      <c r="Q5472">
        <v>50</v>
      </c>
      <c r="R5472" t="str">
        <f>"PENSE FARMA 11 (10220)"</f>
        <v>PENSE FARMA 11 (10220)</v>
      </c>
      <c r="S5472" t="s">
        <v>37</v>
      </c>
      <c r="T5472">
        <v>32367</v>
      </c>
      <c r="U5472">
        <v>36454</v>
      </c>
      <c r="V5472" t="s">
        <v>37</v>
      </c>
    </row>
    <row r="5473" spans="1:22">
      <c r="A5473" t="str">
        <f t="shared" si="992"/>
        <v>31/03/2026</v>
      </c>
      <c r="B5473" t="str">
        <f t="shared" ref="B5473:B5504" si="996">"SAÍDA"</f>
        <v>SAÍDA</v>
      </c>
      <c r="C5473" t="str">
        <f t="shared" ref="C5473:C5504" si="997">"PIX"</f>
        <v>PIX</v>
      </c>
      <c r="D5473" t="str">
        <f>"36455"</f>
        <v>36455</v>
      </c>
      <c r="E5473" t="str">
        <f t="shared" si="995"/>
        <v>1</v>
      </c>
      <c r="F5473" t="str">
        <f t="shared" si="991"/>
        <v>COM</v>
      </c>
      <c r="G5473" t="str">
        <f t="shared" si="994"/>
        <v>JEFFERSON DA SILVA LOPES (1037)</v>
      </c>
      <c r="H5473" t="str">
        <f>"Serv.Prest. 23/03/2026 a 29/03/2026 - PIX: CPF - CHAVE: 507.243.348-07"</f>
        <v>Serv.Prest. 23/03/2026 a 29/03/2026 - PIX: CPF - CHAVE: 507.243.348-07</v>
      </c>
      <c r="I5473" t="str">
        <f t="shared" ref="I5473:I5504" si="998">("31/03/2026")</f>
        <v>31/03/2026</v>
      </c>
      <c r="J5473" t="str">
        <f t="shared" si="993"/>
        <v>30/03/2026</v>
      </c>
      <c r="K5473" t="str">
        <f>("31/03/2026")</f>
        <v>31/03/2026</v>
      </c>
      <c r="L5473">
        <v>50</v>
      </c>
      <c r="M5473">
        <v>50</v>
      </c>
      <c r="N5473">
        <v>134</v>
      </c>
      <c r="O5473" t="str">
        <f>"DIARIA DE MOTOBOY"</f>
        <v>DIARIA DE MOTOBOY</v>
      </c>
      <c r="P5473">
        <v>50</v>
      </c>
      <c r="S5473" t="str">
        <f>"BANCO C6 (149)"</f>
        <v>BANCO C6 (149)</v>
      </c>
      <c r="T5473">
        <v>32368</v>
      </c>
      <c r="U5473">
        <v>36455</v>
      </c>
      <c r="V5473" t="s">
        <v>37</v>
      </c>
    </row>
    <row r="5474" spans="1:22">
      <c r="A5474" t="str">
        <f t="shared" si="992"/>
        <v>31/03/2026</v>
      </c>
      <c r="B5474" t="str">
        <f t="shared" si="996"/>
        <v>SAÍDA</v>
      </c>
      <c r="C5474" t="str">
        <f t="shared" si="997"/>
        <v>PIX</v>
      </c>
      <c r="D5474" t="str">
        <f>"36455"</f>
        <v>36455</v>
      </c>
      <c r="E5474" t="str">
        <f t="shared" si="995"/>
        <v>1</v>
      </c>
      <c r="F5474" t="str">
        <f t="shared" si="991"/>
        <v>COM</v>
      </c>
      <c r="G5474" t="str">
        <f t="shared" si="994"/>
        <v>JEFFERSON DA SILVA LOPES (1037)</v>
      </c>
      <c r="H5474" t="s">
        <v>1487</v>
      </c>
      <c r="I5474" t="str">
        <f t="shared" si="998"/>
        <v>31/03/2026</v>
      </c>
      <c r="J5474" t="str">
        <f t="shared" si="993"/>
        <v>30/03/2026</v>
      </c>
      <c r="K5474">
        <v>46112</v>
      </c>
      <c r="N5474">
        <v>134</v>
      </c>
      <c r="O5474" t="s">
        <v>30</v>
      </c>
      <c r="Q5474">
        <v>50</v>
      </c>
      <c r="R5474" t="str">
        <f>"PENSE FARMA 08 (10217)"</f>
        <v>PENSE FARMA 08 (10217)</v>
      </c>
      <c r="S5474" t="s">
        <v>37</v>
      </c>
      <c r="T5474">
        <v>32368</v>
      </c>
      <c r="U5474">
        <v>36455</v>
      </c>
      <c r="V5474" t="s">
        <v>37</v>
      </c>
    </row>
    <row r="5475" spans="1:22">
      <c r="A5475" t="str">
        <f t="shared" si="992"/>
        <v>31/03/2026</v>
      </c>
      <c r="B5475" t="str">
        <f t="shared" si="996"/>
        <v>SAÍDA</v>
      </c>
      <c r="C5475" t="str">
        <f t="shared" si="997"/>
        <v>PIX</v>
      </c>
      <c r="D5475" t="str">
        <f>"36468"</f>
        <v>36468</v>
      </c>
      <c r="E5475" t="str">
        <f t="shared" si="995"/>
        <v>1</v>
      </c>
      <c r="F5475" t="str">
        <f t="shared" si="991"/>
        <v>COM</v>
      </c>
      <c r="G5475" t="str">
        <f>"MARCOS DUARTE CARVALHO (998)"</f>
        <v>MARCOS DUARTE CARVALHO (998)</v>
      </c>
      <c r="H5475" t="str">
        <f>"Serv.Prest. 23/03/2026 a 29/03/2026 - PIX: CPF - CHAVE: 396.877.618-65"</f>
        <v>Serv.Prest. 23/03/2026 a 29/03/2026 - PIX: CPF - CHAVE: 396.877.618-65</v>
      </c>
      <c r="I5475" t="str">
        <f t="shared" si="998"/>
        <v>31/03/2026</v>
      </c>
      <c r="J5475" t="str">
        <f t="shared" si="993"/>
        <v>30/03/2026</v>
      </c>
      <c r="K5475" t="str">
        <f>("31/03/2026")</f>
        <v>31/03/2026</v>
      </c>
      <c r="L5475">
        <v>250</v>
      </c>
      <c r="M5475">
        <v>250</v>
      </c>
      <c r="N5475">
        <v>134</v>
      </c>
      <c r="O5475" t="str">
        <f>"DIARIA DE MOTOBOY"</f>
        <v>DIARIA DE MOTOBOY</v>
      </c>
      <c r="P5475">
        <v>250</v>
      </c>
      <c r="S5475" t="str">
        <f>"BANCO C6 (149)"</f>
        <v>BANCO C6 (149)</v>
      </c>
      <c r="T5475">
        <v>32369</v>
      </c>
      <c r="U5475">
        <v>36469</v>
      </c>
      <c r="V5475" t="s">
        <v>37</v>
      </c>
    </row>
    <row r="5476" spans="1:22">
      <c r="A5476" t="str">
        <f t="shared" si="992"/>
        <v>31/03/2026</v>
      </c>
      <c r="B5476" t="str">
        <f t="shared" si="996"/>
        <v>SAÍDA</v>
      </c>
      <c r="C5476" t="str">
        <f t="shared" si="997"/>
        <v>PIX</v>
      </c>
      <c r="D5476" t="str">
        <f>"36468"</f>
        <v>36468</v>
      </c>
      <c r="E5476" t="str">
        <f t="shared" si="995"/>
        <v>1</v>
      </c>
      <c r="F5476" t="str">
        <f t="shared" si="991"/>
        <v>COM</v>
      </c>
      <c r="G5476" t="str">
        <f>"MARCOS DUARTE CARVALHO (998)"</f>
        <v>MARCOS DUARTE CARVALHO (998)</v>
      </c>
      <c r="H5476" t="s">
        <v>1488</v>
      </c>
      <c r="I5476" t="str">
        <f t="shared" si="998"/>
        <v>31/03/2026</v>
      </c>
      <c r="J5476" t="str">
        <f t="shared" si="993"/>
        <v>30/03/2026</v>
      </c>
      <c r="K5476">
        <v>46112</v>
      </c>
      <c r="N5476">
        <v>134</v>
      </c>
      <c r="O5476" t="s">
        <v>30</v>
      </c>
      <c r="Q5476">
        <v>250</v>
      </c>
      <c r="R5476" t="str">
        <f>"PENSE FARMA 10 (10219)"</f>
        <v>PENSE FARMA 10 (10219)</v>
      </c>
      <c r="S5476" t="s">
        <v>37</v>
      </c>
      <c r="T5476">
        <v>32369</v>
      </c>
      <c r="U5476">
        <v>36469</v>
      </c>
      <c r="V5476" t="s">
        <v>37</v>
      </c>
    </row>
    <row r="5477" spans="1:22">
      <c r="A5477" t="str">
        <f t="shared" ref="A5477:A5508" si="999">("31/03/2026")</f>
        <v>31/03/2026</v>
      </c>
      <c r="B5477" t="str">
        <f t="shared" si="996"/>
        <v>SAÍDA</v>
      </c>
      <c r="C5477" t="str">
        <f t="shared" si="997"/>
        <v>PIX</v>
      </c>
      <c r="D5477" t="str">
        <f>"36480"</f>
        <v>36480</v>
      </c>
      <c r="E5477" t="str">
        <f t="shared" si="995"/>
        <v>1</v>
      </c>
      <c r="F5477" t="str">
        <f t="shared" si="991"/>
        <v>COM</v>
      </c>
      <c r="G5477" t="str">
        <f>"ALAN COSTA SILVA (994)"</f>
        <v>ALAN COSTA SILVA (994)</v>
      </c>
      <c r="H5477" t="str">
        <f>"Serv.Prest. 23/03/2026 a 29/03/2026 - PIX: CELULAR - CHAVE: (11) 98484-6837"</f>
        <v>Serv.Prest. 23/03/2026 a 29/03/2026 - PIX: CELULAR - CHAVE: (11) 98484-6837</v>
      </c>
      <c r="I5477" t="str">
        <f t="shared" si="998"/>
        <v>31/03/2026</v>
      </c>
      <c r="J5477" t="str">
        <f t="shared" si="993"/>
        <v>30/03/2026</v>
      </c>
      <c r="K5477" t="str">
        <f>("31/03/2026")</f>
        <v>31/03/2026</v>
      </c>
      <c r="L5477">
        <v>250</v>
      </c>
      <c r="M5477">
        <v>250</v>
      </c>
      <c r="N5477">
        <v>134</v>
      </c>
      <c r="O5477" t="str">
        <f>"DIARIA DE MOTOBOY"</f>
        <v>DIARIA DE MOTOBOY</v>
      </c>
      <c r="P5477">
        <v>250</v>
      </c>
      <c r="S5477" t="str">
        <f>"BANCO C6 (149)"</f>
        <v>BANCO C6 (149)</v>
      </c>
      <c r="T5477">
        <v>32370</v>
      </c>
      <c r="U5477">
        <v>36482</v>
      </c>
      <c r="V5477" t="s">
        <v>37</v>
      </c>
    </row>
    <row r="5478" spans="1:22">
      <c r="A5478" t="str">
        <f t="shared" si="999"/>
        <v>31/03/2026</v>
      </c>
      <c r="B5478" t="str">
        <f t="shared" si="996"/>
        <v>SAÍDA</v>
      </c>
      <c r="C5478" t="str">
        <f t="shared" si="997"/>
        <v>PIX</v>
      </c>
      <c r="D5478" t="str">
        <f>"36480"</f>
        <v>36480</v>
      </c>
      <c r="E5478" t="str">
        <f t="shared" si="995"/>
        <v>1</v>
      </c>
      <c r="F5478" t="str">
        <f t="shared" si="991"/>
        <v>COM</v>
      </c>
      <c r="G5478" t="str">
        <f>"ALAN COSTA SILVA (994)"</f>
        <v>ALAN COSTA SILVA (994)</v>
      </c>
      <c r="H5478" t="s">
        <v>1489</v>
      </c>
      <c r="I5478" t="str">
        <f t="shared" si="998"/>
        <v>31/03/2026</v>
      </c>
      <c r="J5478" t="str">
        <f t="shared" si="993"/>
        <v>30/03/2026</v>
      </c>
      <c r="K5478">
        <v>46112</v>
      </c>
      <c r="N5478">
        <v>134</v>
      </c>
      <c r="O5478" t="s">
        <v>30</v>
      </c>
      <c r="Q5478">
        <v>250</v>
      </c>
      <c r="R5478" t="str">
        <f>"PENSE FARMA 19 (10223)"</f>
        <v>PENSE FARMA 19 (10223)</v>
      </c>
      <c r="S5478" t="s">
        <v>37</v>
      </c>
      <c r="T5478">
        <v>32370</v>
      </c>
      <c r="U5478">
        <v>36482</v>
      </c>
      <c r="V5478" t="s">
        <v>37</v>
      </c>
    </row>
    <row r="5479" spans="1:22">
      <c r="A5479" t="str">
        <f t="shared" si="999"/>
        <v>31/03/2026</v>
      </c>
      <c r="B5479" t="str">
        <f t="shared" si="996"/>
        <v>SAÍDA</v>
      </c>
      <c r="C5479" t="str">
        <f t="shared" si="997"/>
        <v>PIX</v>
      </c>
      <c r="D5479" t="str">
        <f>"36484"</f>
        <v>36484</v>
      </c>
      <c r="E5479" t="str">
        <f t="shared" si="995"/>
        <v>1</v>
      </c>
      <c r="F5479" t="str">
        <f t="shared" si="991"/>
        <v>COM</v>
      </c>
      <c r="G5479" t="str">
        <f>"JEFFERSON AMORIM DA SILVA (940)"</f>
        <v>JEFFERSON AMORIM DA SILVA (940)</v>
      </c>
      <c r="H5479" t="str">
        <f>"Serv.Prest. 23/03/2026 a 29/03/2026 - PIX: CPF - CHAVE: 423.685.688-32"</f>
        <v>Serv.Prest. 23/03/2026 a 29/03/2026 - PIX: CPF - CHAVE: 423.685.688-32</v>
      </c>
      <c r="I5479" t="str">
        <f t="shared" si="998"/>
        <v>31/03/2026</v>
      </c>
      <c r="J5479" t="str">
        <f t="shared" si="993"/>
        <v>30/03/2026</v>
      </c>
      <c r="K5479" t="str">
        <f>("31/03/2026")</f>
        <v>31/03/2026</v>
      </c>
      <c r="L5479">
        <v>250</v>
      </c>
      <c r="M5479">
        <v>250</v>
      </c>
      <c r="N5479">
        <v>134</v>
      </c>
      <c r="O5479" t="str">
        <f>"DIARIA DE MOTOBOY"</f>
        <v>DIARIA DE MOTOBOY</v>
      </c>
      <c r="P5479">
        <v>250</v>
      </c>
      <c r="S5479" t="str">
        <f>"BANCO C6 (149)"</f>
        <v>BANCO C6 (149)</v>
      </c>
      <c r="T5479">
        <v>32371</v>
      </c>
      <c r="U5479">
        <v>36484</v>
      </c>
      <c r="V5479" t="s">
        <v>37</v>
      </c>
    </row>
    <row r="5480" spans="1:22">
      <c r="A5480" t="str">
        <f t="shared" si="999"/>
        <v>31/03/2026</v>
      </c>
      <c r="B5480" t="str">
        <f t="shared" si="996"/>
        <v>SAÍDA</v>
      </c>
      <c r="C5480" t="str">
        <f t="shared" si="997"/>
        <v>PIX</v>
      </c>
      <c r="D5480" t="str">
        <f>"36484"</f>
        <v>36484</v>
      </c>
      <c r="E5480" t="str">
        <f t="shared" si="995"/>
        <v>1</v>
      </c>
      <c r="F5480" t="str">
        <f t="shared" si="991"/>
        <v>COM</v>
      </c>
      <c r="G5480" t="str">
        <f>"JEFFERSON AMORIM DA SILVA (940)"</f>
        <v>JEFFERSON AMORIM DA SILVA (940)</v>
      </c>
      <c r="H5480" t="s">
        <v>1490</v>
      </c>
      <c r="I5480" t="str">
        <f t="shared" si="998"/>
        <v>31/03/2026</v>
      </c>
      <c r="J5480" t="str">
        <f t="shared" si="993"/>
        <v>30/03/2026</v>
      </c>
      <c r="K5480">
        <v>46112</v>
      </c>
      <c r="N5480">
        <v>134</v>
      </c>
      <c r="O5480" t="s">
        <v>30</v>
      </c>
      <c r="Q5480">
        <v>250</v>
      </c>
      <c r="R5480" t="str">
        <f>"PENSE FARMA 25 (10224)"</f>
        <v>PENSE FARMA 25 (10224)</v>
      </c>
      <c r="S5480" t="s">
        <v>37</v>
      </c>
      <c r="T5480">
        <v>32371</v>
      </c>
      <c r="U5480">
        <v>36484</v>
      </c>
      <c r="V5480" t="s">
        <v>37</v>
      </c>
    </row>
    <row r="5481" spans="1:22">
      <c r="A5481" t="str">
        <f t="shared" si="999"/>
        <v>31/03/2026</v>
      </c>
      <c r="B5481" t="str">
        <f t="shared" si="996"/>
        <v>SAÍDA</v>
      </c>
      <c r="C5481" t="str">
        <f t="shared" si="997"/>
        <v>PIX</v>
      </c>
      <c r="D5481" t="str">
        <f>"36487"</f>
        <v>36487</v>
      </c>
      <c r="E5481" t="str">
        <f t="shared" si="995"/>
        <v>1</v>
      </c>
      <c r="F5481" t="str">
        <f t="shared" si="991"/>
        <v>COM</v>
      </c>
      <c r="G5481" t="str">
        <f t="shared" ref="G5481:G5486" si="1000">"EDGAR REIS DOS SANTOS (1397)"</f>
        <v>EDGAR REIS DOS SANTOS (1397)</v>
      </c>
      <c r="H5481" t="str">
        <f>"Serv.Prest. 23/03/2026 a 29/03/2026 - PIX: CPF - CHAVE: 353.941.578-55"</f>
        <v>Serv.Prest. 23/03/2026 a 29/03/2026 - PIX: CPF - CHAVE: 353.941.578-55</v>
      </c>
      <c r="I5481" t="str">
        <f t="shared" si="998"/>
        <v>31/03/2026</v>
      </c>
      <c r="J5481" t="str">
        <f t="shared" ref="J5481:J5512" si="1001">("30/03/2026")</f>
        <v>30/03/2026</v>
      </c>
      <c r="K5481" t="str">
        <f>("31/03/2026")</f>
        <v>31/03/2026</v>
      </c>
      <c r="L5481">
        <v>80</v>
      </c>
      <c r="M5481">
        <v>80</v>
      </c>
      <c r="N5481">
        <v>134</v>
      </c>
      <c r="O5481" t="str">
        <f>"DIARIA DE MOTOBOY"</f>
        <v>DIARIA DE MOTOBOY</v>
      </c>
      <c r="P5481">
        <v>80</v>
      </c>
      <c r="S5481" t="str">
        <f>"BANCO C6 (149)"</f>
        <v>BANCO C6 (149)</v>
      </c>
      <c r="T5481">
        <v>32372</v>
      </c>
      <c r="U5481">
        <v>36487</v>
      </c>
      <c r="V5481" t="s">
        <v>37</v>
      </c>
    </row>
    <row r="5482" spans="1:22">
      <c r="A5482" t="str">
        <f t="shared" si="999"/>
        <v>31/03/2026</v>
      </c>
      <c r="B5482" t="str">
        <f t="shared" si="996"/>
        <v>SAÍDA</v>
      </c>
      <c r="C5482" t="str">
        <f t="shared" si="997"/>
        <v>PIX</v>
      </c>
      <c r="D5482" t="str">
        <f>"36487"</f>
        <v>36487</v>
      </c>
      <c r="E5482" t="str">
        <f t="shared" si="995"/>
        <v>1</v>
      </c>
      <c r="F5482" t="str">
        <f t="shared" si="991"/>
        <v>COM</v>
      </c>
      <c r="G5482" t="str">
        <f t="shared" si="1000"/>
        <v>EDGAR REIS DOS SANTOS (1397)</v>
      </c>
      <c r="H5482" t="s">
        <v>1491</v>
      </c>
      <c r="I5482" t="str">
        <f t="shared" si="998"/>
        <v>31/03/2026</v>
      </c>
      <c r="J5482" t="str">
        <f t="shared" si="1001"/>
        <v>30/03/2026</v>
      </c>
      <c r="K5482">
        <v>46112</v>
      </c>
      <c r="N5482">
        <v>134</v>
      </c>
      <c r="O5482" t="s">
        <v>30</v>
      </c>
      <c r="Q5482">
        <v>80</v>
      </c>
      <c r="R5482" t="str">
        <f>"PENSE FARMA 05 (10200)"</f>
        <v>PENSE FARMA 05 (10200)</v>
      </c>
      <c r="S5482" t="s">
        <v>37</v>
      </c>
      <c r="T5482">
        <v>32372</v>
      </c>
      <c r="U5482">
        <v>36487</v>
      </c>
      <c r="V5482" t="s">
        <v>37</v>
      </c>
    </row>
    <row r="5483" spans="1:22">
      <c r="A5483" t="str">
        <f t="shared" si="999"/>
        <v>31/03/2026</v>
      </c>
      <c r="B5483" t="str">
        <f t="shared" si="996"/>
        <v>SAÍDA</v>
      </c>
      <c r="C5483" t="str">
        <f t="shared" si="997"/>
        <v>PIX</v>
      </c>
      <c r="D5483" t="str">
        <f>"36488"</f>
        <v>36488</v>
      </c>
      <c r="E5483" t="str">
        <f t="shared" si="995"/>
        <v>1</v>
      </c>
      <c r="F5483" t="str">
        <f t="shared" si="991"/>
        <v>COM</v>
      </c>
      <c r="G5483" t="str">
        <f t="shared" si="1000"/>
        <v>EDGAR REIS DOS SANTOS (1397)</v>
      </c>
      <c r="H5483" t="str">
        <f>"Serv.Prest. 23/03/2026 a 29/03/2026 - PIX: CPF - CHAVE: 353.941.578-55"</f>
        <v>Serv.Prest. 23/03/2026 a 29/03/2026 - PIX: CPF - CHAVE: 353.941.578-55</v>
      </c>
      <c r="I5483" t="str">
        <f t="shared" si="998"/>
        <v>31/03/2026</v>
      </c>
      <c r="J5483" t="str">
        <f t="shared" si="1001"/>
        <v>30/03/2026</v>
      </c>
      <c r="K5483" t="str">
        <f>("31/03/2026")</f>
        <v>31/03/2026</v>
      </c>
      <c r="L5483">
        <v>80</v>
      </c>
      <c r="M5483">
        <v>80</v>
      </c>
      <c r="N5483">
        <v>134</v>
      </c>
      <c r="O5483" t="str">
        <f>"DIARIA DE MOTOBOY"</f>
        <v>DIARIA DE MOTOBOY</v>
      </c>
      <c r="P5483">
        <v>80</v>
      </c>
      <c r="S5483" t="str">
        <f>"BANCO C6 (149)"</f>
        <v>BANCO C6 (149)</v>
      </c>
      <c r="T5483">
        <v>32373</v>
      </c>
      <c r="U5483">
        <v>36488</v>
      </c>
      <c r="V5483" t="s">
        <v>37</v>
      </c>
    </row>
    <row r="5484" spans="1:22">
      <c r="A5484" t="str">
        <f t="shared" si="999"/>
        <v>31/03/2026</v>
      </c>
      <c r="B5484" t="str">
        <f t="shared" si="996"/>
        <v>SAÍDA</v>
      </c>
      <c r="C5484" t="str">
        <f t="shared" si="997"/>
        <v>PIX</v>
      </c>
      <c r="D5484" t="str">
        <f>"36488"</f>
        <v>36488</v>
      </c>
      <c r="E5484" t="str">
        <f t="shared" si="995"/>
        <v>1</v>
      </c>
      <c r="F5484" t="str">
        <f t="shared" si="991"/>
        <v>COM</v>
      </c>
      <c r="G5484" t="str">
        <f t="shared" si="1000"/>
        <v>EDGAR REIS DOS SANTOS (1397)</v>
      </c>
      <c r="H5484" t="s">
        <v>1491</v>
      </c>
      <c r="I5484" t="str">
        <f t="shared" si="998"/>
        <v>31/03/2026</v>
      </c>
      <c r="J5484" t="str">
        <f t="shared" si="1001"/>
        <v>30/03/2026</v>
      </c>
      <c r="K5484">
        <v>46112</v>
      </c>
      <c r="N5484">
        <v>134</v>
      </c>
      <c r="O5484" t="s">
        <v>30</v>
      </c>
      <c r="Q5484">
        <v>80</v>
      </c>
      <c r="R5484" t="str">
        <f>"PENSE FARMA 13 (10202)"</f>
        <v>PENSE FARMA 13 (10202)</v>
      </c>
      <c r="S5484" t="s">
        <v>37</v>
      </c>
      <c r="T5484">
        <v>32373</v>
      </c>
      <c r="U5484">
        <v>36488</v>
      </c>
      <c r="V5484" t="s">
        <v>37</v>
      </c>
    </row>
    <row r="5485" spans="1:22">
      <c r="A5485" t="str">
        <f t="shared" si="999"/>
        <v>31/03/2026</v>
      </c>
      <c r="B5485" t="str">
        <f t="shared" si="996"/>
        <v>SAÍDA</v>
      </c>
      <c r="C5485" t="str">
        <f t="shared" si="997"/>
        <v>PIX</v>
      </c>
      <c r="D5485" t="str">
        <f>"36489"</f>
        <v>36489</v>
      </c>
      <c r="E5485" t="str">
        <f t="shared" si="995"/>
        <v>1</v>
      </c>
      <c r="F5485" t="str">
        <f t="shared" si="991"/>
        <v>COM</v>
      </c>
      <c r="G5485" t="str">
        <f t="shared" si="1000"/>
        <v>EDGAR REIS DOS SANTOS (1397)</v>
      </c>
      <c r="H5485" t="str">
        <f>"Serv.Prest. 23/03/2026 a 29/03/2026 - PIX: CPF - CHAVE: 353.941.578-55"</f>
        <v>Serv.Prest. 23/03/2026 a 29/03/2026 - PIX: CPF - CHAVE: 353.941.578-55</v>
      </c>
      <c r="I5485" t="str">
        <f t="shared" si="998"/>
        <v>31/03/2026</v>
      </c>
      <c r="J5485" t="str">
        <f t="shared" si="1001"/>
        <v>30/03/2026</v>
      </c>
      <c r="K5485" t="str">
        <f>("31/03/2026")</f>
        <v>31/03/2026</v>
      </c>
      <c r="L5485">
        <v>90</v>
      </c>
      <c r="M5485">
        <v>90</v>
      </c>
      <c r="N5485">
        <v>134</v>
      </c>
      <c r="O5485" t="str">
        <f>"DIARIA DE MOTOBOY"</f>
        <v>DIARIA DE MOTOBOY</v>
      </c>
      <c r="P5485">
        <v>90</v>
      </c>
      <c r="S5485" t="str">
        <f>"BANCO C6 (149)"</f>
        <v>BANCO C6 (149)</v>
      </c>
      <c r="T5485">
        <v>32374</v>
      </c>
      <c r="U5485">
        <v>36489</v>
      </c>
      <c r="V5485" t="s">
        <v>37</v>
      </c>
    </row>
    <row r="5486" spans="1:22">
      <c r="A5486" t="str">
        <f t="shared" si="999"/>
        <v>31/03/2026</v>
      </c>
      <c r="B5486" t="str">
        <f t="shared" si="996"/>
        <v>SAÍDA</v>
      </c>
      <c r="C5486" t="str">
        <f t="shared" si="997"/>
        <v>PIX</v>
      </c>
      <c r="D5486" t="str">
        <f>"36489"</f>
        <v>36489</v>
      </c>
      <c r="E5486" t="str">
        <f t="shared" si="995"/>
        <v>1</v>
      </c>
      <c r="F5486" t="str">
        <f t="shared" si="991"/>
        <v>COM</v>
      </c>
      <c r="G5486" t="str">
        <f t="shared" si="1000"/>
        <v>EDGAR REIS DOS SANTOS (1397)</v>
      </c>
      <c r="H5486" t="s">
        <v>1491</v>
      </c>
      <c r="I5486" t="str">
        <f t="shared" si="998"/>
        <v>31/03/2026</v>
      </c>
      <c r="J5486" t="str">
        <f t="shared" si="1001"/>
        <v>30/03/2026</v>
      </c>
      <c r="K5486">
        <v>46112</v>
      </c>
      <c r="N5486">
        <v>134</v>
      </c>
      <c r="O5486" t="s">
        <v>30</v>
      </c>
      <c r="Q5486">
        <v>90</v>
      </c>
      <c r="R5486" t="str">
        <f>"PENSE FARMA 27 (10204)"</f>
        <v>PENSE FARMA 27 (10204)</v>
      </c>
      <c r="S5486" t="s">
        <v>37</v>
      </c>
      <c r="T5486">
        <v>32374</v>
      </c>
      <c r="U5486">
        <v>36489</v>
      </c>
      <c r="V5486" t="s">
        <v>37</v>
      </c>
    </row>
    <row r="5487" spans="1:22">
      <c r="A5487" t="str">
        <f t="shared" si="999"/>
        <v>31/03/2026</v>
      </c>
      <c r="B5487" t="str">
        <f t="shared" si="996"/>
        <v>SAÍDA</v>
      </c>
      <c r="C5487" t="str">
        <f t="shared" si="997"/>
        <v>PIX</v>
      </c>
      <c r="D5487" t="str">
        <f>"36505"</f>
        <v>36505</v>
      </c>
      <c r="E5487" t="str">
        <f t="shared" si="995"/>
        <v>1</v>
      </c>
      <c r="F5487" t="str">
        <f t="shared" si="991"/>
        <v>COM</v>
      </c>
      <c r="G5487" t="str">
        <f t="shared" ref="G5487:G5494" si="1002">"MILENA MARTINELI BRANCO DA SILVA (1344)"</f>
        <v>MILENA MARTINELI BRANCO DA SILVA (1344)</v>
      </c>
      <c r="H5487" t="str">
        <f>"Serv.Prest. 23/03/2026 a 29/03/2026 - PIX: CPF - CHAVE: 499.340.868-40"</f>
        <v>Serv.Prest. 23/03/2026 a 29/03/2026 - PIX: CPF - CHAVE: 499.340.868-40</v>
      </c>
      <c r="I5487" t="str">
        <f t="shared" si="998"/>
        <v>31/03/2026</v>
      </c>
      <c r="J5487" t="str">
        <f t="shared" si="1001"/>
        <v>30/03/2026</v>
      </c>
      <c r="K5487" t="str">
        <f>("31/03/2026")</f>
        <v>31/03/2026</v>
      </c>
      <c r="L5487">
        <v>60</v>
      </c>
      <c r="M5487">
        <v>60</v>
      </c>
      <c r="N5487">
        <v>134</v>
      </c>
      <c r="O5487" t="str">
        <f>"DIARIA DE MOTOBOY"</f>
        <v>DIARIA DE MOTOBOY</v>
      </c>
      <c r="P5487">
        <v>60</v>
      </c>
      <c r="S5487" t="str">
        <f>"BANCO C6 (149)"</f>
        <v>BANCO C6 (149)</v>
      </c>
      <c r="T5487">
        <v>32375</v>
      </c>
      <c r="U5487">
        <v>36505</v>
      </c>
      <c r="V5487" t="s">
        <v>37</v>
      </c>
    </row>
    <row r="5488" spans="1:22">
      <c r="A5488" t="str">
        <f t="shared" si="999"/>
        <v>31/03/2026</v>
      </c>
      <c r="B5488" t="str">
        <f t="shared" si="996"/>
        <v>SAÍDA</v>
      </c>
      <c r="C5488" t="str">
        <f t="shared" si="997"/>
        <v>PIX</v>
      </c>
      <c r="D5488" t="str">
        <f>"36505"</f>
        <v>36505</v>
      </c>
      <c r="E5488" t="str">
        <f t="shared" si="995"/>
        <v>1</v>
      </c>
      <c r="F5488" t="str">
        <f t="shared" si="991"/>
        <v>COM</v>
      </c>
      <c r="G5488" t="str">
        <f t="shared" si="1002"/>
        <v>MILENA MARTINELI BRANCO DA SILVA (1344)</v>
      </c>
      <c r="H5488" t="s">
        <v>1492</v>
      </c>
      <c r="I5488" t="str">
        <f t="shared" si="998"/>
        <v>31/03/2026</v>
      </c>
      <c r="J5488" t="str">
        <f t="shared" si="1001"/>
        <v>30/03/2026</v>
      </c>
      <c r="K5488">
        <v>46112</v>
      </c>
      <c r="N5488">
        <v>134</v>
      </c>
      <c r="O5488" t="s">
        <v>30</v>
      </c>
      <c r="Q5488">
        <v>60</v>
      </c>
      <c r="R5488" t="str">
        <f>"PENSE FARMA 31 (10205)"</f>
        <v>PENSE FARMA 31 (10205)</v>
      </c>
      <c r="S5488" t="s">
        <v>37</v>
      </c>
      <c r="T5488">
        <v>32375</v>
      </c>
      <c r="U5488">
        <v>36505</v>
      </c>
      <c r="V5488" t="s">
        <v>37</v>
      </c>
    </row>
    <row r="5489" spans="1:22">
      <c r="A5489" t="str">
        <f t="shared" si="999"/>
        <v>31/03/2026</v>
      </c>
      <c r="B5489" t="str">
        <f t="shared" si="996"/>
        <v>SAÍDA</v>
      </c>
      <c r="C5489" t="str">
        <f t="shared" si="997"/>
        <v>PIX</v>
      </c>
      <c r="D5489" t="str">
        <f>"36506"</f>
        <v>36506</v>
      </c>
      <c r="E5489" t="str">
        <f t="shared" si="995"/>
        <v>1</v>
      </c>
      <c r="F5489" t="str">
        <f t="shared" si="991"/>
        <v>COM</v>
      </c>
      <c r="G5489" t="str">
        <f t="shared" si="1002"/>
        <v>MILENA MARTINELI BRANCO DA SILVA (1344)</v>
      </c>
      <c r="H5489" t="str">
        <f>"Serv.Prest. 23/03/2026 a 29/03/2026 - PIX: CPF - CHAVE: 499.340.868-40"</f>
        <v>Serv.Prest. 23/03/2026 a 29/03/2026 - PIX: CPF - CHAVE: 499.340.868-40</v>
      </c>
      <c r="I5489" t="str">
        <f t="shared" si="998"/>
        <v>31/03/2026</v>
      </c>
      <c r="J5489" t="str">
        <f t="shared" si="1001"/>
        <v>30/03/2026</v>
      </c>
      <c r="K5489" t="str">
        <f>("31/03/2026")</f>
        <v>31/03/2026</v>
      </c>
      <c r="L5489">
        <v>60</v>
      </c>
      <c r="M5489">
        <v>60</v>
      </c>
      <c r="N5489">
        <v>134</v>
      </c>
      <c r="O5489" t="str">
        <f>"DIARIA DE MOTOBOY"</f>
        <v>DIARIA DE MOTOBOY</v>
      </c>
      <c r="P5489">
        <v>60</v>
      </c>
      <c r="S5489" t="str">
        <f>"BANCO C6 (149)"</f>
        <v>BANCO C6 (149)</v>
      </c>
      <c r="T5489">
        <v>32376</v>
      </c>
      <c r="U5489">
        <v>36506</v>
      </c>
      <c r="V5489" t="s">
        <v>37</v>
      </c>
    </row>
    <row r="5490" spans="1:22">
      <c r="A5490" t="str">
        <f t="shared" si="999"/>
        <v>31/03/2026</v>
      </c>
      <c r="B5490" t="str">
        <f t="shared" si="996"/>
        <v>SAÍDA</v>
      </c>
      <c r="C5490" t="str">
        <f t="shared" si="997"/>
        <v>PIX</v>
      </c>
      <c r="D5490" t="str">
        <f>"36506"</f>
        <v>36506</v>
      </c>
      <c r="E5490" t="str">
        <f t="shared" si="995"/>
        <v>1</v>
      </c>
      <c r="F5490" t="str">
        <f t="shared" si="991"/>
        <v>COM</v>
      </c>
      <c r="G5490" t="str">
        <f t="shared" si="1002"/>
        <v>MILENA MARTINELI BRANCO DA SILVA (1344)</v>
      </c>
      <c r="H5490" t="s">
        <v>1492</v>
      </c>
      <c r="I5490" t="str">
        <f t="shared" si="998"/>
        <v>31/03/2026</v>
      </c>
      <c r="J5490" t="str">
        <f t="shared" si="1001"/>
        <v>30/03/2026</v>
      </c>
      <c r="K5490">
        <v>46112</v>
      </c>
      <c r="N5490">
        <v>134</v>
      </c>
      <c r="O5490" t="s">
        <v>30</v>
      </c>
      <c r="Q5490">
        <v>60</v>
      </c>
      <c r="R5490" t="str">
        <f>"PENSE FARMA 16 (10221)"</f>
        <v>PENSE FARMA 16 (10221)</v>
      </c>
      <c r="S5490" t="s">
        <v>37</v>
      </c>
      <c r="T5490">
        <v>32376</v>
      </c>
      <c r="U5490">
        <v>36506</v>
      </c>
      <c r="V5490" t="s">
        <v>37</v>
      </c>
    </row>
    <row r="5491" spans="1:22">
      <c r="A5491" t="str">
        <f t="shared" si="999"/>
        <v>31/03/2026</v>
      </c>
      <c r="B5491" t="str">
        <f t="shared" si="996"/>
        <v>SAÍDA</v>
      </c>
      <c r="C5491" t="str">
        <f t="shared" si="997"/>
        <v>PIX</v>
      </c>
      <c r="D5491" t="str">
        <f>"36507"</f>
        <v>36507</v>
      </c>
      <c r="E5491" t="str">
        <f t="shared" si="995"/>
        <v>1</v>
      </c>
      <c r="F5491" t="str">
        <f t="shared" si="991"/>
        <v>COM</v>
      </c>
      <c r="G5491" t="str">
        <f t="shared" si="1002"/>
        <v>MILENA MARTINELI BRANCO DA SILVA (1344)</v>
      </c>
      <c r="H5491" t="str">
        <f>"Serv.Prest. 23/03/2026 a 29/03/2026 - PIX: CPF - CHAVE: 499.340.868-40"</f>
        <v>Serv.Prest. 23/03/2026 a 29/03/2026 - PIX: CPF - CHAVE: 499.340.868-40</v>
      </c>
      <c r="I5491" t="str">
        <f t="shared" si="998"/>
        <v>31/03/2026</v>
      </c>
      <c r="J5491" t="str">
        <f t="shared" si="1001"/>
        <v>30/03/2026</v>
      </c>
      <c r="K5491" t="str">
        <f>("31/03/2026")</f>
        <v>31/03/2026</v>
      </c>
      <c r="L5491">
        <v>60</v>
      </c>
      <c r="M5491">
        <v>60</v>
      </c>
      <c r="N5491">
        <v>134</v>
      </c>
      <c r="O5491" t="str">
        <f>"DIARIA DE MOTOBOY"</f>
        <v>DIARIA DE MOTOBOY</v>
      </c>
      <c r="P5491">
        <v>60</v>
      </c>
      <c r="S5491" t="str">
        <f>"BANCO C6 (149)"</f>
        <v>BANCO C6 (149)</v>
      </c>
      <c r="T5491">
        <v>32377</v>
      </c>
      <c r="U5491">
        <v>36507</v>
      </c>
      <c r="V5491" t="s">
        <v>37</v>
      </c>
    </row>
    <row r="5492" spans="1:22">
      <c r="A5492" t="str">
        <f t="shared" si="999"/>
        <v>31/03/2026</v>
      </c>
      <c r="B5492" t="str">
        <f t="shared" si="996"/>
        <v>SAÍDA</v>
      </c>
      <c r="C5492" t="str">
        <f t="shared" si="997"/>
        <v>PIX</v>
      </c>
      <c r="D5492" t="str">
        <f>"36507"</f>
        <v>36507</v>
      </c>
      <c r="E5492" t="str">
        <f t="shared" si="995"/>
        <v>1</v>
      </c>
      <c r="F5492" t="str">
        <f t="shared" si="991"/>
        <v>COM</v>
      </c>
      <c r="G5492" t="str">
        <f t="shared" si="1002"/>
        <v>MILENA MARTINELI BRANCO DA SILVA (1344)</v>
      </c>
      <c r="H5492" t="s">
        <v>1492</v>
      </c>
      <c r="I5492" t="str">
        <f t="shared" si="998"/>
        <v>31/03/2026</v>
      </c>
      <c r="J5492" t="str">
        <f t="shared" si="1001"/>
        <v>30/03/2026</v>
      </c>
      <c r="K5492">
        <v>46112</v>
      </c>
      <c r="N5492">
        <v>134</v>
      </c>
      <c r="O5492" t="s">
        <v>30</v>
      </c>
      <c r="Q5492">
        <v>60</v>
      </c>
      <c r="R5492" t="str">
        <f>"PENSE FARMA 17 (10222)"</f>
        <v>PENSE FARMA 17 (10222)</v>
      </c>
      <c r="S5492" t="s">
        <v>37</v>
      </c>
      <c r="T5492">
        <v>32377</v>
      </c>
      <c r="U5492">
        <v>36507</v>
      </c>
      <c r="V5492" t="s">
        <v>37</v>
      </c>
    </row>
    <row r="5493" spans="1:22">
      <c r="A5493" t="str">
        <f t="shared" si="999"/>
        <v>31/03/2026</v>
      </c>
      <c r="B5493" t="str">
        <f t="shared" si="996"/>
        <v>SAÍDA</v>
      </c>
      <c r="C5493" t="str">
        <f t="shared" si="997"/>
        <v>PIX</v>
      </c>
      <c r="D5493" t="str">
        <f>"36508"</f>
        <v>36508</v>
      </c>
      <c r="E5493" t="str">
        <f t="shared" si="995"/>
        <v>1</v>
      </c>
      <c r="F5493" t="str">
        <f t="shared" si="991"/>
        <v>COM</v>
      </c>
      <c r="G5493" t="str">
        <f t="shared" si="1002"/>
        <v>MILENA MARTINELI BRANCO DA SILVA (1344)</v>
      </c>
      <c r="H5493" t="str">
        <f>"Serv.Prest. 23/03/2026 a 29/03/2026 - PIX: CPF - CHAVE: 499.340.868-40"</f>
        <v>Serv.Prest. 23/03/2026 a 29/03/2026 - PIX: CPF - CHAVE: 499.340.868-40</v>
      </c>
      <c r="I5493" t="str">
        <f t="shared" si="998"/>
        <v>31/03/2026</v>
      </c>
      <c r="J5493" t="str">
        <f t="shared" si="1001"/>
        <v>30/03/2026</v>
      </c>
      <c r="K5493" t="str">
        <f>("31/03/2026")</f>
        <v>31/03/2026</v>
      </c>
      <c r="L5493">
        <v>70</v>
      </c>
      <c r="M5493">
        <v>70</v>
      </c>
      <c r="N5493">
        <v>134</v>
      </c>
      <c r="O5493" t="str">
        <f>"DIARIA DE MOTOBOY"</f>
        <v>DIARIA DE MOTOBOY</v>
      </c>
      <c r="P5493">
        <v>70</v>
      </c>
      <c r="S5493" t="str">
        <f>"BANCO C6 (149)"</f>
        <v>BANCO C6 (149)</v>
      </c>
      <c r="T5493">
        <v>32378</v>
      </c>
      <c r="U5493">
        <v>36508</v>
      </c>
      <c r="V5493" t="s">
        <v>37</v>
      </c>
    </row>
    <row r="5494" spans="1:22">
      <c r="A5494" t="str">
        <f t="shared" si="999"/>
        <v>31/03/2026</v>
      </c>
      <c r="B5494" t="str">
        <f t="shared" si="996"/>
        <v>SAÍDA</v>
      </c>
      <c r="C5494" t="str">
        <f t="shared" si="997"/>
        <v>PIX</v>
      </c>
      <c r="D5494" t="str">
        <f>"36508"</f>
        <v>36508</v>
      </c>
      <c r="E5494" t="str">
        <f t="shared" si="995"/>
        <v>1</v>
      </c>
      <c r="F5494" t="str">
        <f t="shared" si="991"/>
        <v>COM</v>
      </c>
      <c r="G5494" t="str">
        <f t="shared" si="1002"/>
        <v>MILENA MARTINELI BRANCO DA SILVA (1344)</v>
      </c>
      <c r="H5494" t="s">
        <v>1492</v>
      </c>
      <c r="I5494" t="str">
        <f t="shared" si="998"/>
        <v>31/03/2026</v>
      </c>
      <c r="J5494" t="str">
        <f t="shared" si="1001"/>
        <v>30/03/2026</v>
      </c>
      <c r="K5494">
        <v>46112</v>
      </c>
      <c r="N5494">
        <v>134</v>
      </c>
      <c r="O5494" t="s">
        <v>30</v>
      </c>
      <c r="Q5494">
        <v>70</v>
      </c>
      <c r="R5494" t="str">
        <f>"PENSE FARMA 62 (10274)"</f>
        <v>PENSE FARMA 62 (10274)</v>
      </c>
      <c r="S5494" t="s">
        <v>37</v>
      </c>
      <c r="T5494">
        <v>32378</v>
      </c>
      <c r="U5494">
        <v>36508</v>
      </c>
      <c r="V5494" t="s">
        <v>37</v>
      </c>
    </row>
    <row r="5495" spans="1:22">
      <c r="A5495" t="str">
        <f t="shared" si="999"/>
        <v>31/03/2026</v>
      </c>
      <c r="B5495" t="str">
        <f t="shared" si="996"/>
        <v>SAÍDA</v>
      </c>
      <c r="C5495" t="str">
        <f t="shared" si="997"/>
        <v>PIX</v>
      </c>
      <c r="D5495" t="str">
        <f>"36530"</f>
        <v>36530</v>
      </c>
      <c r="E5495" t="str">
        <f t="shared" si="995"/>
        <v>1</v>
      </c>
      <c r="F5495" t="str">
        <f t="shared" si="991"/>
        <v>COM</v>
      </c>
      <c r="G5495" t="str">
        <f t="shared" ref="G5495:G5506" si="1003">"RODOLFO RAFAEL BALSI LIMA (1077)"</f>
        <v>RODOLFO RAFAEL BALSI LIMA (1077)</v>
      </c>
      <c r="H5495" t="str">
        <f>"Serv.Prest. 23/03/2026 a 29/03/2026 - PIX: CELULAR - CHAVE: (11) 99239-3232"</f>
        <v>Serv.Prest. 23/03/2026 a 29/03/2026 - PIX: CELULAR - CHAVE: (11) 99239-3232</v>
      </c>
      <c r="I5495" t="str">
        <f t="shared" si="998"/>
        <v>31/03/2026</v>
      </c>
      <c r="J5495" t="str">
        <f t="shared" si="1001"/>
        <v>30/03/2026</v>
      </c>
      <c r="K5495" t="str">
        <f>("31/03/2026")</f>
        <v>31/03/2026</v>
      </c>
      <c r="L5495">
        <v>45</v>
      </c>
      <c r="M5495">
        <v>45</v>
      </c>
      <c r="N5495">
        <v>134</v>
      </c>
      <c r="O5495" t="str">
        <f>"DIARIA DE MOTOBOY"</f>
        <v>DIARIA DE MOTOBOY</v>
      </c>
      <c r="P5495">
        <v>45</v>
      </c>
      <c r="S5495" t="str">
        <f>"BANCO C6 (149)"</f>
        <v>BANCO C6 (149)</v>
      </c>
      <c r="T5495">
        <v>32379</v>
      </c>
      <c r="U5495">
        <v>36530</v>
      </c>
      <c r="V5495" t="s">
        <v>37</v>
      </c>
    </row>
    <row r="5496" spans="1:22">
      <c r="A5496" t="str">
        <f t="shared" si="999"/>
        <v>31/03/2026</v>
      </c>
      <c r="B5496" t="str">
        <f t="shared" si="996"/>
        <v>SAÍDA</v>
      </c>
      <c r="C5496" t="str">
        <f t="shared" si="997"/>
        <v>PIX</v>
      </c>
      <c r="D5496" t="str">
        <f>"36530"</f>
        <v>36530</v>
      </c>
      <c r="E5496" t="str">
        <f t="shared" si="995"/>
        <v>1</v>
      </c>
      <c r="F5496" t="str">
        <f t="shared" si="991"/>
        <v>COM</v>
      </c>
      <c r="G5496" t="str">
        <f t="shared" si="1003"/>
        <v>RODOLFO RAFAEL BALSI LIMA (1077)</v>
      </c>
      <c r="H5496" t="s">
        <v>1493</v>
      </c>
      <c r="I5496" t="str">
        <f t="shared" si="998"/>
        <v>31/03/2026</v>
      </c>
      <c r="J5496" t="str">
        <f t="shared" si="1001"/>
        <v>30/03/2026</v>
      </c>
      <c r="K5496">
        <v>46112</v>
      </c>
      <c r="N5496">
        <v>134</v>
      </c>
      <c r="O5496" t="s">
        <v>30</v>
      </c>
      <c r="Q5496">
        <v>45</v>
      </c>
      <c r="R5496" t="str">
        <f>"PENSE FARMA 59 (10211)"</f>
        <v>PENSE FARMA 59 (10211)</v>
      </c>
      <c r="S5496" t="s">
        <v>37</v>
      </c>
      <c r="T5496">
        <v>32379</v>
      </c>
      <c r="U5496">
        <v>36530</v>
      </c>
      <c r="V5496" t="s">
        <v>37</v>
      </c>
    </row>
    <row r="5497" spans="1:22">
      <c r="A5497" t="str">
        <f t="shared" si="999"/>
        <v>31/03/2026</v>
      </c>
      <c r="B5497" t="str">
        <f t="shared" si="996"/>
        <v>SAÍDA</v>
      </c>
      <c r="C5497" t="str">
        <f t="shared" si="997"/>
        <v>PIX</v>
      </c>
      <c r="D5497" t="str">
        <f>"36531"</f>
        <v>36531</v>
      </c>
      <c r="E5497" t="str">
        <f t="shared" si="995"/>
        <v>1</v>
      </c>
      <c r="F5497" t="str">
        <f t="shared" si="991"/>
        <v>COM</v>
      </c>
      <c r="G5497" t="str">
        <f t="shared" si="1003"/>
        <v>RODOLFO RAFAEL BALSI LIMA (1077)</v>
      </c>
      <c r="H5497" t="str">
        <f>"Serv.Prest. 23/03/2026 a 29/03/2026 - PIX: CELULAR - CHAVE: (11) 99239-3232"</f>
        <v>Serv.Prest. 23/03/2026 a 29/03/2026 - PIX: CELULAR - CHAVE: (11) 99239-3232</v>
      </c>
      <c r="I5497" t="str">
        <f t="shared" si="998"/>
        <v>31/03/2026</v>
      </c>
      <c r="J5497" t="str">
        <f t="shared" si="1001"/>
        <v>30/03/2026</v>
      </c>
      <c r="K5497" t="str">
        <f>("31/03/2026")</f>
        <v>31/03/2026</v>
      </c>
      <c r="L5497">
        <v>50</v>
      </c>
      <c r="M5497">
        <v>50</v>
      </c>
      <c r="N5497">
        <v>134</v>
      </c>
      <c r="O5497" t="str">
        <f>"DIARIA DE MOTOBOY"</f>
        <v>DIARIA DE MOTOBOY</v>
      </c>
      <c r="P5497">
        <v>50</v>
      </c>
      <c r="S5497" t="str">
        <f>"BANCO C6 (149)"</f>
        <v>BANCO C6 (149)</v>
      </c>
      <c r="T5497">
        <v>32380</v>
      </c>
      <c r="U5497">
        <v>36531</v>
      </c>
      <c r="V5497" t="s">
        <v>37</v>
      </c>
    </row>
    <row r="5498" spans="1:22">
      <c r="A5498" t="str">
        <f t="shared" si="999"/>
        <v>31/03/2026</v>
      </c>
      <c r="B5498" t="str">
        <f t="shared" si="996"/>
        <v>SAÍDA</v>
      </c>
      <c r="C5498" t="str">
        <f t="shared" si="997"/>
        <v>PIX</v>
      </c>
      <c r="D5498" t="str">
        <f>"36531"</f>
        <v>36531</v>
      </c>
      <c r="E5498" t="str">
        <f t="shared" si="995"/>
        <v>1</v>
      </c>
      <c r="F5498" t="str">
        <f t="shared" si="991"/>
        <v>COM</v>
      </c>
      <c r="G5498" t="str">
        <f t="shared" si="1003"/>
        <v>RODOLFO RAFAEL BALSI LIMA (1077)</v>
      </c>
      <c r="H5498" t="s">
        <v>1493</v>
      </c>
      <c r="I5498" t="str">
        <f t="shared" si="998"/>
        <v>31/03/2026</v>
      </c>
      <c r="J5498" t="str">
        <f t="shared" si="1001"/>
        <v>30/03/2026</v>
      </c>
      <c r="K5498">
        <v>46112</v>
      </c>
      <c r="N5498">
        <v>134</v>
      </c>
      <c r="O5498" t="s">
        <v>30</v>
      </c>
      <c r="Q5498">
        <v>50</v>
      </c>
      <c r="R5498" t="str">
        <f>"PENSE FARMA 43 (10208)"</f>
        <v>PENSE FARMA 43 (10208)</v>
      </c>
      <c r="S5498" t="s">
        <v>37</v>
      </c>
      <c r="T5498">
        <v>32380</v>
      </c>
      <c r="U5498">
        <v>36531</v>
      </c>
      <c r="V5498" t="s">
        <v>37</v>
      </c>
    </row>
    <row r="5499" spans="1:22">
      <c r="A5499" t="str">
        <f t="shared" si="999"/>
        <v>31/03/2026</v>
      </c>
      <c r="B5499" t="str">
        <f t="shared" si="996"/>
        <v>SAÍDA</v>
      </c>
      <c r="C5499" t="str">
        <f t="shared" si="997"/>
        <v>PIX</v>
      </c>
      <c r="D5499" t="str">
        <f>"36532"</f>
        <v>36532</v>
      </c>
      <c r="E5499" t="str">
        <f t="shared" ref="E5499:E5530" si="1004">"1"</f>
        <v>1</v>
      </c>
      <c r="F5499" t="str">
        <f t="shared" si="991"/>
        <v>COM</v>
      </c>
      <c r="G5499" t="str">
        <f t="shared" si="1003"/>
        <v>RODOLFO RAFAEL BALSI LIMA (1077)</v>
      </c>
      <c r="H5499" t="str">
        <f>"Serv.Prest. 23/03/2026 a 29/03/2026 - PIX: CELULAR - CHAVE: (11) 99239-3232"</f>
        <v>Serv.Prest. 23/03/2026 a 29/03/2026 - PIX: CELULAR - CHAVE: (11) 99239-3232</v>
      </c>
      <c r="I5499" t="str">
        <f t="shared" si="998"/>
        <v>31/03/2026</v>
      </c>
      <c r="J5499" t="str">
        <f t="shared" si="1001"/>
        <v>30/03/2026</v>
      </c>
      <c r="K5499" t="str">
        <f>("31/03/2026")</f>
        <v>31/03/2026</v>
      </c>
      <c r="L5499">
        <v>50</v>
      </c>
      <c r="M5499">
        <v>50</v>
      </c>
      <c r="N5499">
        <v>134</v>
      </c>
      <c r="O5499" t="str">
        <f>"DIARIA DE MOTOBOY"</f>
        <v>DIARIA DE MOTOBOY</v>
      </c>
      <c r="P5499">
        <v>50</v>
      </c>
      <c r="S5499" t="str">
        <f>"BANCO C6 (149)"</f>
        <v>BANCO C6 (149)</v>
      </c>
      <c r="T5499">
        <v>32381</v>
      </c>
      <c r="U5499">
        <v>36532</v>
      </c>
      <c r="V5499" t="s">
        <v>37</v>
      </c>
    </row>
    <row r="5500" spans="1:22">
      <c r="A5500" t="str">
        <f t="shared" si="999"/>
        <v>31/03/2026</v>
      </c>
      <c r="B5500" t="str">
        <f t="shared" si="996"/>
        <v>SAÍDA</v>
      </c>
      <c r="C5500" t="str">
        <f t="shared" si="997"/>
        <v>PIX</v>
      </c>
      <c r="D5500" t="str">
        <f>"36532"</f>
        <v>36532</v>
      </c>
      <c r="E5500" t="str">
        <f t="shared" si="1004"/>
        <v>1</v>
      </c>
      <c r="F5500" t="str">
        <f t="shared" si="991"/>
        <v>COM</v>
      </c>
      <c r="G5500" t="str">
        <f t="shared" si="1003"/>
        <v>RODOLFO RAFAEL BALSI LIMA (1077)</v>
      </c>
      <c r="H5500" t="s">
        <v>1493</v>
      </c>
      <c r="I5500" t="str">
        <f t="shared" si="998"/>
        <v>31/03/2026</v>
      </c>
      <c r="J5500" t="str">
        <f t="shared" si="1001"/>
        <v>30/03/2026</v>
      </c>
      <c r="K5500">
        <v>46112</v>
      </c>
      <c r="N5500">
        <v>134</v>
      </c>
      <c r="O5500" t="s">
        <v>30</v>
      </c>
      <c r="Q5500">
        <v>50</v>
      </c>
      <c r="R5500" t="str">
        <f>"PENSE FARMA 40 (10207)"</f>
        <v>PENSE FARMA 40 (10207)</v>
      </c>
      <c r="S5500" t="s">
        <v>37</v>
      </c>
      <c r="T5500">
        <v>32381</v>
      </c>
      <c r="U5500">
        <v>36532</v>
      </c>
      <c r="V5500" t="s">
        <v>37</v>
      </c>
    </row>
    <row r="5501" spans="1:22">
      <c r="A5501" t="str">
        <f t="shared" si="999"/>
        <v>31/03/2026</v>
      </c>
      <c r="B5501" t="str">
        <f t="shared" si="996"/>
        <v>SAÍDA</v>
      </c>
      <c r="C5501" t="str">
        <f t="shared" si="997"/>
        <v>PIX</v>
      </c>
      <c r="D5501" t="str">
        <f>"36533"</f>
        <v>36533</v>
      </c>
      <c r="E5501" t="str">
        <f t="shared" si="1004"/>
        <v>1</v>
      </c>
      <c r="F5501" t="str">
        <f t="shared" si="991"/>
        <v>COM</v>
      </c>
      <c r="G5501" t="str">
        <f t="shared" si="1003"/>
        <v>RODOLFO RAFAEL BALSI LIMA (1077)</v>
      </c>
      <c r="H5501" t="str">
        <f>"Serv.Prest. 23/03/2026 a 29/03/2026 - PIX: CELULAR - CHAVE: (11) 99239-3232"</f>
        <v>Serv.Prest. 23/03/2026 a 29/03/2026 - PIX: CELULAR - CHAVE: (11) 99239-3232</v>
      </c>
      <c r="I5501" t="str">
        <f t="shared" si="998"/>
        <v>31/03/2026</v>
      </c>
      <c r="J5501" t="str">
        <f t="shared" si="1001"/>
        <v>30/03/2026</v>
      </c>
      <c r="K5501" t="str">
        <f>("31/03/2026")</f>
        <v>31/03/2026</v>
      </c>
      <c r="L5501">
        <v>50</v>
      </c>
      <c r="M5501">
        <v>50</v>
      </c>
      <c r="N5501">
        <v>134</v>
      </c>
      <c r="O5501" t="str">
        <f>"DIARIA DE MOTOBOY"</f>
        <v>DIARIA DE MOTOBOY</v>
      </c>
      <c r="P5501">
        <v>50</v>
      </c>
      <c r="S5501" t="str">
        <f>"BANCO C6 (149)"</f>
        <v>BANCO C6 (149)</v>
      </c>
      <c r="T5501">
        <v>32382</v>
      </c>
      <c r="U5501">
        <v>36533</v>
      </c>
      <c r="V5501" t="s">
        <v>37</v>
      </c>
    </row>
    <row r="5502" spans="1:22">
      <c r="A5502" t="str">
        <f t="shared" si="999"/>
        <v>31/03/2026</v>
      </c>
      <c r="B5502" t="str">
        <f t="shared" si="996"/>
        <v>SAÍDA</v>
      </c>
      <c r="C5502" t="str">
        <f t="shared" si="997"/>
        <v>PIX</v>
      </c>
      <c r="D5502" t="str">
        <f>"36533"</f>
        <v>36533</v>
      </c>
      <c r="E5502" t="str">
        <f t="shared" si="1004"/>
        <v>1</v>
      </c>
      <c r="F5502" t="str">
        <f t="shared" si="991"/>
        <v>COM</v>
      </c>
      <c r="G5502" t="str">
        <f t="shared" si="1003"/>
        <v>RODOLFO RAFAEL BALSI LIMA (1077)</v>
      </c>
      <c r="H5502" t="s">
        <v>1493</v>
      </c>
      <c r="I5502" t="str">
        <f t="shared" si="998"/>
        <v>31/03/2026</v>
      </c>
      <c r="J5502" t="str">
        <f t="shared" si="1001"/>
        <v>30/03/2026</v>
      </c>
      <c r="K5502">
        <v>46112</v>
      </c>
      <c r="N5502">
        <v>134</v>
      </c>
      <c r="O5502" t="s">
        <v>30</v>
      </c>
      <c r="Q5502">
        <v>50</v>
      </c>
      <c r="R5502" t="str">
        <f>"PENSE FARMA 36 (10206)"</f>
        <v>PENSE FARMA 36 (10206)</v>
      </c>
      <c r="S5502" t="s">
        <v>37</v>
      </c>
      <c r="T5502">
        <v>32382</v>
      </c>
      <c r="U5502">
        <v>36533</v>
      </c>
      <c r="V5502" t="s">
        <v>37</v>
      </c>
    </row>
    <row r="5503" spans="1:22">
      <c r="A5503" t="str">
        <f t="shared" si="999"/>
        <v>31/03/2026</v>
      </c>
      <c r="B5503" t="str">
        <f t="shared" si="996"/>
        <v>SAÍDA</v>
      </c>
      <c r="C5503" t="str">
        <f t="shared" si="997"/>
        <v>PIX</v>
      </c>
      <c r="D5503" t="str">
        <f>"36534"</f>
        <v>36534</v>
      </c>
      <c r="E5503" t="str">
        <f t="shared" si="1004"/>
        <v>1</v>
      </c>
      <c r="F5503" t="str">
        <f t="shared" si="991"/>
        <v>COM</v>
      </c>
      <c r="G5503" t="str">
        <f t="shared" si="1003"/>
        <v>RODOLFO RAFAEL BALSI LIMA (1077)</v>
      </c>
      <c r="H5503" t="str">
        <f>"Serv.Prest. 23/03/2026 a 29/03/2026 - PIX: CELULAR - CHAVE: (11) 99239-3232"</f>
        <v>Serv.Prest. 23/03/2026 a 29/03/2026 - PIX: CELULAR - CHAVE: (11) 99239-3232</v>
      </c>
      <c r="I5503" t="str">
        <f t="shared" si="998"/>
        <v>31/03/2026</v>
      </c>
      <c r="J5503" t="str">
        <f t="shared" si="1001"/>
        <v>30/03/2026</v>
      </c>
      <c r="K5503" t="str">
        <f>("31/03/2026")</f>
        <v>31/03/2026</v>
      </c>
      <c r="L5503">
        <v>50</v>
      </c>
      <c r="M5503">
        <v>50</v>
      </c>
      <c r="N5503">
        <v>134</v>
      </c>
      <c r="O5503" t="str">
        <f>"DIARIA DE MOTOBOY"</f>
        <v>DIARIA DE MOTOBOY</v>
      </c>
      <c r="P5503">
        <v>50</v>
      </c>
      <c r="S5503" t="str">
        <f>"BANCO C6 (149)"</f>
        <v>BANCO C6 (149)</v>
      </c>
      <c r="T5503">
        <v>32383</v>
      </c>
      <c r="U5503">
        <v>36534</v>
      </c>
      <c r="V5503" t="s">
        <v>37</v>
      </c>
    </row>
    <row r="5504" spans="1:22">
      <c r="A5504" t="str">
        <f t="shared" si="999"/>
        <v>31/03/2026</v>
      </c>
      <c r="B5504" t="str">
        <f t="shared" si="996"/>
        <v>SAÍDA</v>
      </c>
      <c r="C5504" t="str">
        <f t="shared" si="997"/>
        <v>PIX</v>
      </c>
      <c r="D5504" t="str">
        <f>"36534"</f>
        <v>36534</v>
      </c>
      <c r="E5504" t="str">
        <f t="shared" si="1004"/>
        <v>1</v>
      </c>
      <c r="F5504" t="str">
        <f t="shared" si="991"/>
        <v>COM</v>
      </c>
      <c r="G5504" t="str">
        <f t="shared" si="1003"/>
        <v>RODOLFO RAFAEL BALSI LIMA (1077)</v>
      </c>
      <c r="H5504" t="s">
        <v>1493</v>
      </c>
      <c r="I5504" t="str">
        <f t="shared" si="998"/>
        <v>31/03/2026</v>
      </c>
      <c r="J5504" t="str">
        <f t="shared" si="1001"/>
        <v>30/03/2026</v>
      </c>
      <c r="K5504">
        <v>46112</v>
      </c>
      <c r="N5504">
        <v>134</v>
      </c>
      <c r="O5504" t="s">
        <v>30</v>
      </c>
      <c r="Q5504">
        <v>50</v>
      </c>
      <c r="R5504" t="str">
        <f>"PENSE FARMA 20 (10203)"</f>
        <v>PENSE FARMA 20 (10203)</v>
      </c>
      <c r="S5504" t="s">
        <v>37</v>
      </c>
      <c r="T5504">
        <v>32383</v>
      </c>
      <c r="U5504">
        <v>36534</v>
      </c>
      <c r="V5504" t="s">
        <v>37</v>
      </c>
    </row>
    <row r="5505" spans="1:22">
      <c r="A5505" t="str">
        <f t="shared" si="999"/>
        <v>31/03/2026</v>
      </c>
      <c r="B5505" t="str">
        <f t="shared" ref="B5505:B5536" si="1005">"SAÍDA"</f>
        <v>SAÍDA</v>
      </c>
      <c r="C5505" t="str">
        <f t="shared" ref="C5505:C5536" si="1006">"PIX"</f>
        <v>PIX</v>
      </c>
      <c r="D5505" t="str">
        <f>"36535"</f>
        <v>36535</v>
      </c>
      <c r="E5505" t="str">
        <f t="shared" si="1004"/>
        <v>1</v>
      </c>
      <c r="F5505" t="str">
        <f t="shared" si="991"/>
        <v>COM</v>
      </c>
      <c r="G5505" t="str">
        <f t="shared" si="1003"/>
        <v>RODOLFO RAFAEL BALSI LIMA (1077)</v>
      </c>
      <c r="H5505" t="str">
        <f>"Serv.Prest. 23/03/2026 a 29/03/2026 - PIX: CELULAR - CHAVE: (11) 99239-3232"</f>
        <v>Serv.Prest. 23/03/2026 a 29/03/2026 - PIX: CELULAR - CHAVE: (11) 99239-3232</v>
      </c>
      <c r="I5505" t="str">
        <f t="shared" ref="I5505:I5536" si="1007">("31/03/2026")</f>
        <v>31/03/2026</v>
      </c>
      <c r="J5505" t="str">
        <f t="shared" si="1001"/>
        <v>30/03/2026</v>
      </c>
      <c r="K5505" t="str">
        <f>("31/03/2026")</f>
        <v>31/03/2026</v>
      </c>
      <c r="L5505">
        <v>5</v>
      </c>
      <c r="M5505">
        <v>5</v>
      </c>
      <c r="N5505">
        <v>134</v>
      </c>
      <c r="O5505" t="str">
        <f>"DIARIA DE MOTOBOY"</f>
        <v>DIARIA DE MOTOBOY</v>
      </c>
      <c r="P5505">
        <v>5</v>
      </c>
      <c r="S5505" t="str">
        <f>"BANCO C6 (149)"</f>
        <v>BANCO C6 (149)</v>
      </c>
      <c r="T5505">
        <v>32384</v>
      </c>
      <c r="U5505">
        <v>36535</v>
      </c>
      <c r="V5505" t="s">
        <v>37</v>
      </c>
    </row>
    <row r="5506" spans="1:22">
      <c r="A5506" t="str">
        <f t="shared" si="999"/>
        <v>31/03/2026</v>
      </c>
      <c r="B5506" t="str">
        <f t="shared" si="1005"/>
        <v>SAÍDA</v>
      </c>
      <c r="C5506" t="str">
        <f t="shared" si="1006"/>
        <v>PIX</v>
      </c>
      <c r="D5506" t="str">
        <f>"36535"</f>
        <v>36535</v>
      </c>
      <c r="E5506" t="str">
        <f t="shared" si="1004"/>
        <v>1</v>
      </c>
      <c r="F5506" t="str">
        <f t="shared" ref="F5506:F5560" si="1008">"COM"</f>
        <v>COM</v>
      </c>
      <c r="G5506" t="str">
        <f t="shared" si="1003"/>
        <v>RODOLFO RAFAEL BALSI LIMA (1077)</v>
      </c>
      <c r="H5506" t="s">
        <v>1493</v>
      </c>
      <c r="I5506" t="str">
        <f t="shared" si="1007"/>
        <v>31/03/2026</v>
      </c>
      <c r="J5506" t="str">
        <f t="shared" si="1001"/>
        <v>30/03/2026</v>
      </c>
      <c r="K5506">
        <v>46112</v>
      </c>
      <c r="N5506">
        <v>134</v>
      </c>
      <c r="O5506" t="s">
        <v>30</v>
      </c>
      <c r="Q5506">
        <v>5</v>
      </c>
      <c r="R5506" t="str">
        <f>"PENSE FARMA DARK STORE 361 (10212)"</f>
        <v>PENSE FARMA DARK STORE 361 (10212)</v>
      </c>
      <c r="S5506" t="s">
        <v>37</v>
      </c>
      <c r="T5506">
        <v>32384</v>
      </c>
      <c r="U5506">
        <v>36535</v>
      </c>
      <c r="V5506" t="s">
        <v>37</v>
      </c>
    </row>
    <row r="5507" spans="1:22">
      <c r="A5507" t="str">
        <f t="shared" si="999"/>
        <v>31/03/2026</v>
      </c>
      <c r="B5507" t="str">
        <f t="shared" si="1005"/>
        <v>SAÍDA</v>
      </c>
      <c r="C5507" t="str">
        <f t="shared" si="1006"/>
        <v>PIX</v>
      </c>
      <c r="D5507" t="str">
        <f>"36544"</f>
        <v>36544</v>
      </c>
      <c r="E5507" t="str">
        <f t="shared" si="1004"/>
        <v>1</v>
      </c>
      <c r="F5507" t="str">
        <f t="shared" si="1008"/>
        <v>COM</v>
      </c>
      <c r="G5507" t="str">
        <f>"IGOR LOPES DA SILVA (991)"</f>
        <v>IGOR LOPES DA SILVA (991)</v>
      </c>
      <c r="H5507" t="str">
        <f>"Serv.Prest. 23/03/2026 a 29/03/2026 - PIX: CELULAR - CHAVE: (11) 95054-2206"</f>
        <v>Serv.Prest. 23/03/2026 a 29/03/2026 - PIX: CELULAR - CHAVE: (11) 95054-2206</v>
      </c>
      <c r="I5507" t="str">
        <f t="shared" si="1007"/>
        <v>31/03/2026</v>
      </c>
      <c r="J5507" t="str">
        <f t="shared" si="1001"/>
        <v>30/03/2026</v>
      </c>
      <c r="K5507" t="str">
        <f>("31/03/2026")</f>
        <v>31/03/2026</v>
      </c>
      <c r="L5507">
        <v>250</v>
      </c>
      <c r="M5507">
        <v>250</v>
      </c>
      <c r="N5507">
        <v>134</v>
      </c>
      <c r="O5507" t="str">
        <f>"DIARIA DE MOTOBOY"</f>
        <v>DIARIA DE MOTOBOY</v>
      </c>
      <c r="P5507">
        <v>250</v>
      </c>
      <c r="S5507" t="str">
        <f>"BANCO C6 (149)"</f>
        <v>BANCO C6 (149)</v>
      </c>
      <c r="T5507">
        <v>32385</v>
      </c>
      <c r="U5507">
        <v>36545</v>
      </c>
      <c r="V5507" t="s">
        <v>37</v>
      </c>
    </row>
    <row r="5508" spans="1:22">
      <c r="A5508" t="str">
        <f t="shared" si="999"/>
        <v>31/03/2026</v>
      </c>
      <c r="B5508" t="str">
        <f t="shared" si="1005"/>
        <v>SAÍDA</v>
      </c>
      <c r="C5508" t="str">
        <f t="shared" si="1006"/>
        <v>PIX</v>
      </c>
      <c r="D5508" t="str">
        <f>"36544"</f>
        <v>36544</v>
      </c>
      <c r="E5508" t="str">
        <f t="shared" si="1004"/>
        <v>1</v>
      </c>
      <c r="F5508" t="str">
        <f t="shared" si="1008"/>
        <v>COM</v>
      </c>
      <c r="G5508" t="str">
        <f>"IGOR LOPES DA SILVA (991)"</f>
        <v>IGOR LOPES DA SILVA (991)</v>
      </c>
      <c r="H5508" t="s">
        <v>1494</v>
      </c>
      <c r="I5508" t="str">
        <f t="shared" si="1007"/>
        <v>31/03/2026</v>
      </c>
      <c r="J5508" t="str">
        <f t="shared" si="1001"/>
        <v>30/03/2026</v>
      </c>
      <c r="K5508">
        <v>46112</v>
      </c>
      <c r="N5508">
        <v>134</v>
      </c>
      <c r="O5508" t="s">
        <v>30</v>
      </c>
      <c r="Q5508">
        <v>250</v>
      </c>
      <c r="R5508" t="str">
        <f>"PENSE FARMA 39 (10228)"</f>
        <v>PENSE FARMA 39 (10228)</v>
      </c>
      <c r="S5508" t="s">
        <v>37</v>
      </c>
      <c r="T5508">
        <v>32385</v>
      </c>
      <c r="U5508">
        <v>36545</v>
      </c>
      <c r="V5508" t="s">
        <v>37</v>
      </c>
    </row>
    <row r="5509" spans="1:22">
      <c r="A5509" t="str">
        <f t="shared" ref="A5509:A5540" si="1009">("31/03/2026")</f>
        <v>31/03/2026</v>
      </c>
      <c r="B5509" t="str">
        <f t="shared" si="1005"/>
        <v>SAÍDA</v>
      </c>
      <c r="C5509" t="str">
        <f t="shared" si="1006"/>
        <v>PIX</v>
      </c>
      <c r="D5509" t="str">
        <f>"36550"</f>
        <v>36550</v>
      </c>
      <c r="E5509" t="str">
        <f t="shared" si="1004"/>
        <v>1</v>
      </c>
      <c r="F5509" t="str">
        <f t="shared" si="1008"/>
        <v>COM</v>
      </c>
      <c r="G5509" t="str">
        <f>"VICTOR HUGO SOARES DE PAULA (1021)"</f>
        <v>VICTOR HUGO SOARES DE PAULA (1021)</v>
      </c>
      <c r="H5509" t="str">
        <f>"Serv.Prest. 23/03/2026 a 29/03/2026 - PIX: CELULAR - CHAVE: (11) 98281-4526"</f>
        <v>Serv.Prest. 23/03/2026 a 29/03/2026 - PIX: CELULAR - CHAVE: (11) 98281-4526</v>
      </c>
      <c r="I5509" t="str">
        <f t="shared" si="1007"/>
        <v>31/03/2026</v>
      </c>
      <c r="J5509" t="str">
        <f t="shared" si="1001"/>
        <v>30/03/2026</v>
      </c>
      <c r="K5509" t="str">
        <f>("31/03/2026")</f>
        <v>31/03/2026</v>
      </c>
      <c r="L5509">
        <v>250</v>
      </c>
      <c r="M5509">
        <v>250</v>
      </c>
      <c r="N5509">
        <v>134</v>
      </c>
      <c r="O5509" t="str">
        <f>"DIARIA DE MOTOBOY"</f>
        <v>DIARIA DE MOTOBOY</v>
      </c>
      <c r="P5509">
        <v>250</v>
      </c>
      <c r="S5509" t="str">
        <f>"BANCO C6 (149)"</f>
        <v>BANCO C6 (149)</v>
      </c>
      <c r="T5509">
        <v>32386</v>
      </c>
      <c r="U5509">
        <v>36552</v>
      </c>
      <c r="V5509" t="s">
        <v>37</v>
      </c>
    </row>
    <row r="5510" spans="1:22">
      <c r="A5510" t="str">
        <f t="shared" si="1009"/>
        <v>31/03/2026</v>
      </c>
      <c r="B5510" t="str">
        <f t="shared" si="1005"/>
        <v>SAÍDA</v>
      </c>
      <c r="C5510" t="str">
        <f t="shared" si="1006"/>
        <v>PIX</v>
      </c>
      <c r="D5510" t="str">
        <f>"36550"</f>
        <v>36550</v>
      </c>
      <c r="E5510" t="str">
        <f t="shared" si="1004"/>
        <v>1</v>
      </c>
      <c r="F5510" t="str">
        <f t="shared" si="1008"/>
        <v>COM</v>
      </c>
      <c r="G5510" t="str">
        <f>"VICTOR HUGO SOARES DE PAULA (1021)"</f>
        <v>VICTOR HUGO SOARES DE PAULA (1021)</v>
      </c>
      <c r="H5510" t="s">
        <v>1495</v>
      </c>
      <c r="I5510" t="str">
        <f t="shared" si="1007"/>
        <v>31/03/2026</v>
      </c>
      <c r="J5510" t="str">
        <f t="shared" si="1001"/>
        <v>30/03/2026</v>
      </c>
      <c r="K5510">
        <v>46112</v>
      </c>
      <c r="N5510">
        <v>134</v>
      </c>
      <c r="O5510" t="s">
        <v>30</v>
      </c>
      <c r="Q5510">
        <v>250</v>
      </c>
      <c r="R5510" t="str">
        <f>"PENSE FARMA 48 (10233)"</f>
        <v>PENSE FARMA 48 (10233)</v>
      </c>
      <c r="S5510" t="s">
        <v>37</v>
      </c>
      <c r="T5510">
        <v>32386</v>
      </c>
      <c r="U5510">
        <v>36552</v>
      </c>
      <c r="V5510" t="s">
        <v>37</v>
      </c>
    </row>
    <row r="5511" spans="1:22">
      <c r="A5511" t="str">
        <f t="shared" si="1009"/>
        <v>31/03/2026</v>
      </c>
      <c r="B5511" t="str">
        <f t="shared" si="1005"/>
        <v>SAÍDA</v>
      </c>
      <c r="C5511" t="str">
        <f t="shared" si="1006"/>
        <v>PIX</v>
      </c>
      <c r="D5511" t="str">
        <f>"36549"</f>
        <v>36549</v>
      </c>
      <c r="E5511" t="str">
        <f t="shared" si="1004"/>
        <v>1</v>
      </c>
      <c r="F5511" t="str">
        <f t="shared" si="1008"/>
        <v>COM</v>
      </c>
      <c r="G5511" t="str">
        <f>"VICTOR HUGO SOARES DE PAULA (1021)"</f>
        <v>VICTOR HUGO SOARES DE PAULA (1021)</v>
      </c>
      <c r="H5511" t="str">
        <f>"Serv.Prest. 23/03/2026 a 29/03/2026 - PIX: CELULAR - CHAVE: (11) 98281-4526"</f>
        <v>Serv.Prest. 23/03/2026 a 29/03/2026 - PIX: CELULAR - CHAVE: (11) 98281-4526</v>
      </c>
      <c r="I5511" t="str">
        <f t="shared" si="1007"/>
        <v>31/03/2026</v>
      </c>
      <c r="J5511" t="str">
        <f t="shared" si="1001"/>
        <v>30/03/2026</v>
      </c>
      <c r="K5511" t="str">
        <f>("31/03/2026")</f>
        <v>31/03/2026</v>
      </c>
      <c r="L5511">
        <v>180</v>
      </c>
      <c r="M5511">
        <v>180</v>
      </c>
      <c r="N5511">
        <v>134</v>
      </c>
      <c r="O5511" t="str">
        <f>"DIARIA DE MOTOBOY"</f>
        <v>DIARIA DE MOTOBOY</v>
      </c>
      <c r="P5511">
        <v>180</v>
      </c>
      <c r="S5511" t="str">
        <f>"BANCO C6 (149)"</f>
        <v>BANCO C6 (149)</v>
      </c>
      <c r="T5511">
        <v>32387</v>
      </c>
      <c r="U5511">
        <v>36551</v>
      </c>
      <c r="V5511" t="s">
        <v>37</v>
      </c>
    </row>
    <row r="5512" spans="1:22">
      <c r="A5512" t="str">
        <f t="shared" si="1009"/>
        <v>31/03/2026</v>
      </c>
      <c r="B5512" t="str">
        <f t="shared" si="1005"/>
        <v>SAÍDA</v>
      </c>
      <c r="C5512" t="str">
        <f t="shared" si="1006"/>
        <v>PIX</v>
      </c>
      <c r="D5512" t="str">
        <f>"36549"</f>
        <v>36549</v>
      </c>
      <c r="E5512" t="str">
        <f t="shared" si="1004"/>
        <v>1</v>
      </c>
      <c r="F5512" t="str">
        <f t="shared" si="1008"/>
        <v>COM</v>
      </c>
      <c r="G5512" t="str">
        <f>"VICTOR HUGO SOARES DE PAULA (1021)"</f>
        <v>VICTOR HUGO SOARES DE PAULA (1021)</v>
      </c>
      <c r="H5512" t="s">
        <v>1495</v>
      </c>
      <c r="I5512" t="str">
        <f t="shared" si="1007"/>
        <v>31/03/2026</v>
      </c>
      <c r="J5512" t="str">
        <f t="shared" si="1001"/>
        <v>30/03/2026</v>
      </c>
      <c r="K5512">
        <v>46112</v>
      </c>
      <c r="N5512">
        <v>134</v>
      </c>
      <c r="O5512" t="s">
        <v>30</v>
      </c>
      <c r="Q5512">
        <v>180</v>
      </c>
      <c r="R5512" t="str">
        <f>"PENSE FARMA 44 (10231)"</f>
        <v>PENSE FARMA 44 (10231)</v>
      </c>
      <c r="S5512" t="s">
        <v>37</v>
      </c>
      <c r="T5512">
        <v>32387</v>
      </c>
      <c r="U5512">
        <v>36551</v>
      </c>
      <c r="V5512" t="s">
        <v>37</v>
      </c>
    </row>
    <row r="5513" spans="1:22">
      <c r="A5513" t="str">
        <f t="shared" si="1009"/>
        <v>31/03/2026</v>
      </c>
      <c r="B5513" t="str">
        <f t="shared" si="1005"/>
        <v>SAÍDA</v>
      </c>
      <c r="C5513" t="str">
        <f t="shared" si="1006"/>
        <v>PIX</v>
      </c>
      <c r="D5513" t="str">
        <f>"36557"</f>
        <v>36557</v>
      </c>
      <c r="E5513" t="str">
        <f t="shared" si="1004"/>
        <v>1</v>
      </c>
      <c r="F5513" t="str">
        <f t="shared" si="1008"/>
        <v>COM</v>
      </c>
      <c r="G5513" t="str">
        <f>"DANIELE MARIA DE LIMA THEODORO SANTOS (1108)"</f>
        <v>DANIELE MARIA DE LIMA THEODORO SANTOS (1108)</v>
      </c>
      <c r="H5513" t="str">
        <f>"Serv.Prest. 23/03/2026 a 29/03/2026 - PIX: CPF - CHAVE: 530.612.488-70"</f>
        <v>Serv.Prest. 23/03/2026 a 29/03/2026 - PIX: CPF - CHAVE: 530.612.488-70</v>
      </c>
      <c r="I5513" t="str">
        <f t="shared" si="1007"/>
        <v>31/03/2026</v>
      </c>
      <c r="J5513" t="str">
        <f t="shared" ref="J5513:J5518" si="1010">("30/03/2026")</f>
        <v>30/03/2026</v>
      </c>
      <c r="K5513" t="str">
        <f>("31/03/2026")</f>
        <v>31/03/2026</v>
      </c>
      <c r="L5513">
        <v>250</v>
      </c>
      <c r="M5513">
        <v>250</v>
      </c>
      <c r="N5513">
        <v>134</v>
      </c>
      <c r="O5513" t="str">
        <f>"DIARIA DE MOTOBOY"</f>
        <v>DIARIA DE MOTOBOY</v>
      </c>
      <c r="P5513">
        <v>250</v>
      </c>
      <c r="S5513" t="str">
        <f>"BANCO C6 (149)"</f>
        <v>BANCO C6 (149)</v>
      </c>
      <c r="T5513">
        <v>32388</v>
      </c>
      <c r="U5513">
        <v>36557</v>
      </c>
      <c r="V5513" t="s">
        <v>37</v>
      </c>
    </row>
    <row r="5514" spans="1:22">
      <c r="A5514" t="str">
        <f t="shared" si="1009"/>
        <v>31/03/2026</v>
      </c>
      <c r="B5514" t="str">
        <f t="shared" si="1005"/>
        <v>SAÍDA</v>
      </c>
      <c r="C5514" t="str">
        <f t="shared" si="1006"/>
        <v>PIX</v>
      </c>
      <c r="D5514" t="str">
        <f>"36557"</f>
        <v>36557</v>
      </c>
      <c r="E5514" t="str">
        <f t="shared" si="1004"/>
        <v>1</v>
      </c>
      <c r="F5514" t="str">
        <f t="shared" si="1008"/>
        <v>COM</v>
      </c>
      <c r="G5514" t="str">
        <f>"DANIELE MARIA DE LIMA THEODORO SANTOS (1108)"</f>
        <v>DANIELE MARIA DE LIMA THEODORO SANTOS (1108)</v>
      </c>
      <c r="H5514" t="s">
        <v>1496</v>
      </c>
      <c r="I5514" t="str">
        <f t="shared" si="1007"/>
        <v>31/03/2026</v>
      </c>
      <c r="J5514" t="str">
        <f t="shared" si="1010"/>
        <v>30/03/2026</v>
      </c>
      <c r="K5514">
        <v>46112</v>
      </c>
      <c r="N5514">
        <v>134</v>
      </c>
      <c r="O5514" t="s">
        <v>30</v>
      </c>
      <c r="Q5514">
        <v>250</v>
      </c>
      <c r="R5514" t="str">
        <f>"PENSE FARMA 49 (10234)"</f>
        <v>PENSE FARMA 49 (10234)</v>
      </c>
      <c r="S5514" t="s">
        <v>37</v>
      </c>
      <c r="T5514">
        <v>32388</v>
      </c>
      <c r="U5514">
        <v>36557</v>
      </c>
      <c r="V5514" t="s">
        <v>37</v>
      </c>
    </row>
    <row r="5515" spans="1:22">
      <c r="A5515" t="str">
        <f t="shared" si="1009"/>
        <v>31/03/2026</v>
      </c>
      <c r="B5515" t="str">
        <f t="shared" si="1005"/>
        <v>SAÍDA</v>
      </c>
      <c r="C5515" t="str">
        <f t="shared" si="1006"/>
        <v>PIX</v>
      </c>
      <c r="D5515" t="str">
        <f>"36566"</f>
        <v>36566</v>
      </c>
      <c r="E5515" t="str">
        <f t="shared" si="1004"/>
        <v>1</v>
      </c>
      <c r="F5515" t="str">
        <f t="shared" si="1008"/>
        <v>COM</v>
      </c>
      <c r="G5515" t="str">
        <f>"ANDRE NICOLAU (1186)"</f>
        <v>ANDRE NICOLAU (1186)</v>
      </c>
      <c r="H5515" t="str">
        <f>"Serv.Prest. 23/03/2026 a 29/03/2026 - PIX: CELULAR - CHAVE: (11) 98482-0070"</f>
        <v>Serv.Prest. 23/03/2026 a 29/03/2026 - PIX: CELULAR - CHAVE: (11) 98482-0070</v>
      </c>
      <c r="I5515" t="str">
        <f t="shared" si="1007"/>
        <v>31/03/2026</v>
      </c>
      <c r="J5515" t="str">
        <f t="shared" si="1010"/>
        <v>30/03/2026</v>
      </c>
      <c r="K5515" t="str">
        <f>("31/03/2026")</f>
        <v>31/03/2026</v>
      </c>
      <c r="L5515">
        <v>469</v>
      </c>
      <c r="M5515">
        <v>520</v>
      </c>
      <c r="N5515">
        <v>134</v>
      </c>
      <c r="O5515" t="str">
        <f>"DIARIA DE MOTOBOY"</f>
        <v>DIARIA DE MOTOBOY</v>
      </c>
      <c r="P5515">
        <v>520</v>
      </c>
      <c r="S5515" t="str">
        <f>"BANCO C6 (149)"</f>
        <v>BANCO C6 (149)</v>
      </c>
      <c r="T5515">
        <v>32389</v>
      </c>
      <c r="U5515">
        <v>36566</v>
      </c>
      <c r="V5515" t="s">
        <v>37</v>
      </c>
    </row>
    <row r="5516" spans="1:22">
      <c r="A5516" t="str">
        <f t="shared" si="1009"/>
        <v>31/03/2026</v>
      </c>
      <c r="B5516" t="str">
        <f t="shared" si="1005"/>
        <v>SAÍDA</v>
      </c>
      <c r="C5516" t="str">
        <f t="shared" si="1006"/>
        <v>PIX</v>
      </c>
      <c r="D5516" t="str">
        <f>"36566"</f>
        <v>36566</v>
      </c>
      <c r="E5516" t="str">
        <f t="shared" si="1004"/>
        <v>1</v>
      </c>
      <c r="F5516" t="str">
        <f t="shared" si="1008"/>
        <v>COM</v>
      </c>
      <c r="G5516" t="str">
        <f>"ANDRE NICOLAU (1186)"</f>
        <v>ANDRE NICOLAU (1186)</v>
      </c>
      <c r="H5516" t="s">
        <v>1497</v>
      </c>
      <c r="I5516" t="str">
        <f t="shared" si="1007"/>
        <v>31/03/2026</v>
      </c>
      <c r="J5516" t="str">
        <f t="shared" si="1010"/>
        <v>30/03/2026</v>
      </c>
      <c r="K5516">
        <v>46112</v>
      </c>
      <c r="N5516">
        <v>134</v>
      </c>
      <c r="O5516" t="s">
        <v>30</v>
      </c>
      <c r="Q5516">
        <v>520</v>
      </c>
      <c r="R5516" t="str">
        <f>"DROGARIA AGAPEAMA (10167)"</f>
        <v>DROGARIA AGAPEAMA (10167)</v>
      </c>
      <c r="S5516" t="s">
        <v>37</v>
      </c>
      <c r="T5516">
        <v>32389</v>
      </c>
      <c r="U5516">
        <v>36566</v>
      </c>
      <c r="V5516" t="s">
        <v>37</v>
      </c>
    </row>
    <row r="5517" spans="1:22">
      <c r="A5517" t="str">
        <f t="shared" si="1009"/>
        <v>31/03/2026</v>
      </c>
      <c r="B5517" t="str">
        <f t="shared" si="1005"/>
        <v>SAÍDA</v>
      </c>
      <c r="C5517" t="str">
        <f t="shared" si="1006"/>
        <v>PIX</v>
      </c>
      <c r="D5517" t="str">
        <f>"36586"</f>
        <v>36586</v>
      </c>
      <c r="E5517" t="str">
        <f t="shared" si="1004"/>
        <v>1</v>
      </c>
      <c r="F5517" t="str">
        <f t="shared" si="1008"/>
        <v>COM</v>
      </c>
      <c r="G5517" t="str">
        <f>"THIAGO RODRIGUES DA SILVA (1327)"</f>
        <v>THIAGO RODRIGUES DA SILVA (1327)</v>
      </c>
      <c r="H5517" t="str">
        <f>"Serv.Prest. 23/03/2026 a 29/03/2026 - PIX: CPF - CHAVE: 385.908.908-05"</f>
        <v>Serv.Prest. 23/03/2026 a 29/03/2026 - PIX: CPF - CHAVE: 385.908.908-05</v>
      </c>
      <c r="I5517" t="str">
        <f t="shared" si="1007"/>
        <v>31/03/2026</v>
      </c>
      <c r="J5517" t="str">
        <f t="shared" si="1010"/>
        <v>30/03/2026</v>
      </c>
      <c r="K5517" t="str">
        <f>("31/03/2026")</f>
        <v>31/03/2026</v>
      </c>
      <c r="L5517">
        <v>336</v>
      </c>
      <c r="M5517">
        <v>260</v>
      </c>
      <c r="N5517">
        <v>134</v>
      </c>
      <c r="O5517" t="str">
        <f>"DIARIA DE MOTOBOY"</f>
        <v>DIARIA DE MOTOBOY</v>
      </c>
      <c r="P5517">
        <v>260</v>
      </c>
      <c r="S5517" t="str">
        <f>"BANCO C6 (149)"</f>
        <v>BANCO C6 (149)</v>
      </c>
      <c r="T5517">
        <v>32390</v>
      </c>
      <c r="U5517">
        <v>36586</v>
      </c>
      <c r="V5517" t="s">
        <v>37</v>
      </c>
    </row>
    <row r="5518" spans="1:22">
      <c r="A5518" t="str">
        <f t="shared" si="1009"/>
        <v>31/03/2026</v>
      </c>
      <c r="B5518" t="str">
        <f t="shared" si="1005"/>
        <v>SAÍDA</v>
      </c>
      <c r="C5518" t="str">
        <f t="shared" si="1006"/>
        <v>PIX</v>
      </c>
      <c r="D5518" t="str">
        <f>"36586"</f>
        <v>36586</v>
      </c>
      <c r="E5518" t="str">
        <f t="shared" si="1004"/>
        <v>1</v>
      </c>
      <c r="F5518" t="str">
        <f t="shared" si="1008"/>
        <v>COM</v>
      </c>
      <c r="G5518" t="str">
        <f>"THIAGO RODRIGUES DA SILVA (1327)"</f>
        <v>THIAGO RODRIGUES DA SILVA (1327)</v>
      </c>
      <c r="H5518" t="s">
        <v>1498</v>
      </c>
      <c r="I5518" t="str">
        <f t="shared" si="1007"/>
        <v>31/03/2026</v>
      </c>
      <c r="J5518" t="str">
        <f t="shared" si="1010"/>
        <v>30/03/2026</v>
      </c>
      <c r="K5518">
        <v>46112</v>
      </c>
      <c r="N5518">
        <v>134</v>
      </c>
      <c r="O5518" t="s">
        <v>30</v>
      </c>
      <c r="Q5518">
        <v>260</v>
      </c>
      <c r="R5518" t="str">
        <f>"DROGARIA MEDIC CENTER LTDA (10172)"</f>
        <v>DROGARIA MEDIC CENTER LTDA (10172)</v>
      </c>
      <c r="S5518" t="s">
        <v>37</v>
      </c>
      <c r="T5518">
        <v>32390</v>
      </c>
      <c r="U5518">
        <v>36586</v>
      </c>
      <c r="V5518" t="s">
        <v>37</v>
      </c>
    </row>
    <row r="5519" spans="1:22">
      <c r="A5519" t="str">
        <f t="shared" si="1009"/>
        <v>31/03/2026</v>
      </c>
      <c r="B5519" t="str">
        <f t="shared" si="1005"/>
        <v>SAÍDA</v>
      </c>
      <c r="C5519" t="str">
        <f t="shared" si="1006"/>
        <v>PIX</v>
      </c>
      <c r="D5519" t="str">
        <f>"36588"</f>
        <v>36588</v>
      </c>
      <c r="E5519" t="str">
        <f t="shared" si="1004"/>
        <v>1</v>
      </c>
      <c r="F5519" t="str">
        <f t="shared" si="1008"/>
        <v>COM</v>
      </c>
      <c r="G5519" t="str">
        <f>"FRANCISCO LUCIANO DE LIMA (1062)"</f>
        <v>FRANCISCO LUCIANO DE LIMA (1062)</v>
      </c>
      <c r="H5519" t="str">
        <f>"Serv.Prest. 23/03/2026 a 29/03/2026 - PIX: CELULAR - CHAVE: (11) 94910-8689"</f>
        <v>Serv.Prest. 23/03/2026 a 29/03/2026 - PIX: CELULAR - CHAVE: (11) 94910-8689</v>
      </c>
      <c r="I5519" t="str">
        <f t="shared" si="1007"/>
        <v>31/03/2026</v>
      </c>
      <c r="J5519" t="str">
        <f>("31/03/2026")</f>
        <v>31/03/2026</v>
      </c>
      <c r="K5519" t="str">
        <f>("31/03/2026")</f>
        <v>31/03/2026</v>
      </c>
      <c r="L5519">
        <v>140</v>
      </c>
      <c r="M5519">
        <v>140</v>
      </c>
      <c r="N5519">
        <v>134</v>
      </c>
      <c r="O5519" t="str">
        <f>"DIARIA DE MOTOBOY"</f>
        <v>DIARIA DE MOTOBOY</v>
      </c>
      <c r="P5519">
        <v>140</v>
      </c>
      <c r="S5519" t="str">
        <f>"BANCO C6 (149)"</f>
        <v>BANCO C6 (149)</v>
      </c>
      <c r="T5519">
        <v>32391</v>
      </c>
      <c r="U5519">
        <v>36588</v>
      </c>
      <c r="V5519" t="s">
        <v>37</v>
      </c>
    </row>
    <row r="5520" spans="1:22">
      <c r="A5520" t="str">
        <f t="shared" si="1009"/>
        <v>31/03/2026</v>
      </c>
      <c r="B5520" t="str">
        <f t="shared" si="1005"/>
        <v>SAÍDA</v>
      </c>
      <c r="C5520" t="str">
        <f t="shared" si="1006"/>
        <v>PIX</v>
      </c>
      <c r="D5520" t="str">
        <f>"36588"</f>
        <v>36588</v>
      </c>
      <c r="E5520" t="str">
        <f t="shared" si="1004"/>
        <v>1</v>
      </c>
      <c r="F5520" t="str">
        <f t="shared" si="1008"/>
        <v>COM</v>
      </c>
      <c r="G5520" t="str">
        <f>"FRANCISCO LUCIANO DE LIMA (1062)"</f>
        <v>FRANCISCO LUCIANO DE LIMA (1062)</v>
      </c>
      <c r="H5520" t="s">
        <v>1499</v>
      </c>
      <c r="I5520" t="str">
        <f t="shared" si="1007"/>
        <v>31/03/2026</v>
      </c>
      <c r="J5520" t="str">
        <f t="shared" ref="J5520:J5554" si="1011">("31/03/2026")</f>
        <v>31/03/2026</v>
      </c>
      <c r="K5520">
        <v>46112</v>
      </c>
      <c r="N5520">
        <v>134</v>
      </c>
      <c r="O5520" t="s">
        <v>30</v>
      </c>
      <c r="Q5520">
        <v>140</v>
      </c>
      <c r="R5520" t="str">
        <f>"DROGA ELIDA (10121)"</f>
        <v>DROGA ELIDA (10121)</v>
      </c>
      <c r="S5520" t="s">
        <v>37</v>
      </c>
      <c r="T5520">
        <v>32391</v>
      </c>
      <c r="U5520">
        <v>36588</v>
      </c>
      <c r="V5520" t="s">
        <v>37</v>
      </c>
    </row>
    <row r="5521" spans="1:22">
      <c r="A5521" t="str">
        <f t="shared" si="1009"/>
        <v>31/03/2026</v>
      </c>
      <c r="B5521" t="str">
        <f t="shared" si="1005"/>
        <v>SAÍDA</v>
      </c>
      <c r="C5521" t="str">
        <f t="shared" si="1006"/>
        <v>PIX</v>
      </c>
      <c r="D5521" t="str">
        <f>"36608"</f>
        <v>36608</v>
      </c>
      <c r="E5521" t="str">
        <f t="shared" si="1004"/>
        <v>1</v>
      </c>
      <c r="F5521" t="str">
        <f t="shared" si="1008"/>
        <v>COM</v>
      </c>
      <c r="G5521" t="str">
        <f>"JOEL ARAGAO SALES (864)"</f>
        <v>JOEL ARAGAO SALES (864)</v>
      </c>
      <c r="H5521" t="str">
        <f>"Serv.Prest. 23/03/2026 a 29/03/2026 - PIX: CPF - CHAVE: 052.353.883-99"</f>
        <v>Serv.Prest. 23/03/2026 a 29/03/2026 - PIX: CPF - CHAVE: 052.353.883-99</v>
      </c>
      <c r="I5521" t="str">
        <f t="shared" si="1007"/>
        <v>31/03/2026</v>
      </c>
      <c r="J5521" t="str">
        <f t="shared" si="1011"/>
        <v>31/03/2026</v>
      </c>
      <c r="K5521" t="str">
        <f>("31/03/2026")</f>
        <v>31/03/2026</v>
      </c>
      <c r="L5521">
        <v>147</v>
      </c>
      <c r="M5521">
        <v>150</v>
      </c>
      <c r="N5521">
        <v>134</v>
      </c>
      <c r="O5521" t="str">
        <f>"DIARIA DE MOTOBOY"</f>
        <v>DIARIA DE MOTOBOY</v>
      </c>
      <c r="P5521">
        <v>150</v>
      </c>
      <c r="S5521" t="str">
        <f>"BANCO C6 (149)"</f>
        <v>BANCO C6 (149)</v>
      </c>
      <c r="T5521">
        <v>32392</v>
      </c>
      <c r="U5521">
        <v>36608</v>
      </c>
      <c r="V5521" t="s">
        <v>37</v>
      </c>
    </row>
    <row r="5522" spans="1:22">
      <c r="A5522" t="str">
        <f t="shared" si="1009"/>
        <v>31/03/2026</v>
      </c>
      <c r="B5522" t="str">
        <f t="shared" si="1005"/>
        <v>SAÍDA</v>
      </c>
      <c r="C5522" t="str">
        <f t="shared" si="1006"/>
        <v>PIX</v>
      </c>
      <c r="D5522" t="str">
        <f>"36608"</f>
        <v>36608</v>
      </c>
      <c r="E5522" t="str">
        <f t="shared" si="1004"/>
        <v>1</v>
      </c>
      <c r="F5522" t="str">
        <f t="shared" si="1008"/>
        <v>COM</v>
      </c>
      <c r="G5522" t="str">
        <f>"JOEL ARAGAO SALES (864)"</f>
        <v>JOEL ARAGAO SALES (864)</v>
      </c>
      <c r="H5522" t="s">
        <v>1500</v>
      </c>
      <c r="I5522" t="str">
        <f t="shared" si="1007"/>
        <v>31/03/2026</v>
      </c>
      <c r="J5522" t="str">
        <f t="shared" si="1011"/>
        <v>31/03/2026</v>
      </c>
      <c r="K5522">
        <v>46112</v>
      </c>
      <c r="N5522">
        <v>134</v>
      </c>
      <c r="O5522" t="s">
        <v>30</v>
      </c>
      <c r="Q5522">
        <v>150</v>
      </c>
      <c r="R5522" t="str">
        <f>"DROGARIA MORENO LTDA (10171)"</f>
        <v>DROGARIA MORENO LTDA (10171)</v>
      </c>
      <c r="S5522" t="s">
        <v>37</v>
      </c>
      <c r="T5522">
        <v>32392</v>
      </c>
      <c r="U5522">
        <v>36608</v>
      </c>
      <c r="V5522" t="s">
        <v>37</v>
      </c>
    </row>
    <row r="5523" spans="1:22">
      <c r="A5523" t="str">
        <f t="shared" si="1009"/>
        <v>31/03/2026</v>
      </c>
      <c r="B5523" t="str">
        <f t="shared" si="1005"/>
        <v>SAÍDA</v>
      </c>
      <c r="C5523" t="str">
        <f t="shared" si="1006"/>
        <v>PIX</v>
      </c>
      <c r="D5523" t="str">
        <f>"36609"</f>
        <v>36609</v>
      </c>
      <c r="E5523" t="str">
        <f t="shared" si="1004"/>
        <v>1</v>
      </c>
      <c r="F5523" t="str">
        <f t="shared" si="1008"/>
        <v>COM</v>
      </c>
      <c r="G5523" t="str">
        <f>"JOSE ADILSON DA SILVA (1168)"</f>
        <v>JOSE ADILSON DA SILVA (1168)</v>
      </c>
      <c r="H5523" t="str">
        <f>"Serv.Prest. 23/03/2026 a 29/03/2026 - PIX: CPF - CHAVE: 142.473.524-66"</f>
        <v>Serv.Prest. 23/03/2026 a 29/03/2026 - PIX: CPF - CHAVE: 142.473.524-66</v>
      </c>
      <c r="I5523" t="str">
        <f t="shared" si="1007"/>
        <v>31/03/2026</v>
      </c>
      <c r="J5523" t="str">
        <f t="shared" si="1011"/>
        <v>31/03/2026</v>
      </c>
      <c r="K5523" t="str">
        <f>("31/03/2026")</f>
        <v>31/03/2026</v>
      </c>
      <c r="L5523">
        <v>147</v>
      </c>
      <c r="M5523">
        <v>150</v>
      </c>
      <c r="N5523">
        <v>134</v>
      </c>
      <c r="O5523" t="str">
        <f>"DIARIA DE MOTOBOY"</f>
        <v>DIARIA DE MOTOBOY</v>
      </c>
      <c r="P5523">
        <v>150</v>
      </c>
      <c r="S5523" t="str">
        <f>"BANCO C6 (149)"</f>
        <v>BANCO C6 (149)</v>
      </c>
      <c r="T5523">
        <v>32393</v>
      </c>
      <c r="U5523">
        <v>36609</v>
      </c>
      <c r="V5523" t="s">
        <v>37</v>
      </c>
    </row>
    <row r="5524" spans="1:22">
      <c r="A5524" t="str">
        <f t="shared" si="1009"/>
        <v>31/03/2026</v>
      </c>
      <c r="B5524" t="str">
        <f t="shared" si="1005"/>
        <v>SAÍDA</v>
      </c>
      <c r="C5524" t="str">
        <f t="shared" si="1006"/>
        <v>PIX</v>
      </c>
      <c r="D5524" t="str">
        <f>"36609"</f>
        <v>36609</v>
      </c>
      <c r="E5524" t="str">
        <f t="shared" si="1004"/>
        <v>1</v>
      </c>
      <c r="F5524" t="str">
        <f t="shared" si="1008"/>
        <v>COM</v>
      </c>
      <c r="G5524" t="str">
        <f>"JOSE ADILSON DA SILVA (1168)"</f>
        <v>JOSE ADILSON DA SILVA (1168)</v>
      </c>
      <c r="H5524" t="s">
        <v>1501</v>
      </c>
      <c r="I5524" t="str">
        <f t="shared" si="1007"/>
        <v>31/03/2026</v>
      </c>
      <c r="J5524" t="str">
        <f t="shared" si="1011"/>
        <v>31/03/2026</v>
      </c>
      <c r="K5524">
        <v>46112</v>
      </c>
      <c r="N5524">
        <v>134</v>
      </c>
      <c r="O5524" t="s">
        <v>30</v>
      </c>
      <c r="Q5524">
        <v>150</v>
      </c>
      <c r="R5524" t="str">
        <f>"DROGARIA MORENO LTDA (10171)"</f>
        <v>DROGARIA MORENO LTDA (10171)</v>
      </c>
      <c r="S5524" t="s">
        <v>37</v>
      </c>
      <c r="T5524">
        <v>32393</v>
      </c>
      <c r="U5524">
        <v>36609</v>
      </c>
      <c r="V5524" t="s">
        <v>37</v>
      </c>
    </row>
    <row r="5525" spans="1:22">
      <c r="A5525" t="str">
        <f t="shared" si="1009"/>
        <v>31/03/2026</v>
      </c>
      <c r="B5525" t="str">
        <f t="shared" si="1005"/>
        <v>SAÍDA</v>
      </c>
      <c r="C5525" t="str">
        <f t="shared" si="1006"/>
        <v>PIX</v>
      </c>
      <c r="D5525" t="str">
        <f>"36606"</f>
        <v>36606</v>
      </c>
      <c r="E5525" t="str">
        <f t="shared" si="1004"/>
        <v>1</v>
      </c>
      <c r="F5525" t="str">
        <f t="shared" si="1008"/>
        <v>COM</v>
      </c>
      <c r="G5525" t="str">
        <f>"ALLAN SILVA DAMACENA (790)"</f>
        <v>ALLAN SILVA DAMACENA (790)</v>
      </c>
      <c r="H5525" t="str">
        <f>"Serv.Prest.DIARIA 29/03/2026 - PIX: CELULAR - CHAVE: (19) 98944-4977"</f>
        <v>Serv.Prest.DIARIA 29/03/2026 - PIX: CELULAR - CHAVE: (19) 98944-4977</v>
      </c>
      <c r="I5525" t="str">
        <f t="shared" si="1007"/>
        <v>31/03/2026</v>
      </c>
      <c r="J5525" t="str">
        <f t="shared" si="1011"/>
        <v>31/03/2026</v>
      </c>
      <c r="K5525" t="str">
        <f>("31/03/2026")</f>
        <v>31/03/2026</v>
      </c>
      <c r="L5525">
        <v>445</v>
      </c>
      <c r="M5525">
        <v>445</v>
      </c>
      <c r="N5525">
        <v>134</v>
      </c>
      <c r="O5525" t="str">
        <f>"DIARIA DE MOTOBOY"</f>
        <v>DIARIA DE MOTOBOY</v>
      </c>
      <c r="P5525">
        <v>445</v>
      </c>
      <c r="S5525" t="str">
        <f>"BANCO C6 (149)"</f>
        <v>BANCO C6 (149)</v>
      </c>
      <c r="T5525">
        <v>32394</v>
      </c>
      <c r="U5525">
        <v>36611</v>
      </c>
      <c r="V5525" t="s">
        <v>37</v>
      </c>
    </row>
    <row r="5526" spans="1:22">
      <c r="A5526" t="str">
        <f t="shared" si="1009"/>
        <v>31/03/2026</v>
      </c>
      <c r="B5526" t="str">
        <f t="shared" si="1005"/>
        <v>SAÍDA</v>
      </c>
      <c r="C5526" t="str">
        <f t="shared" si="1006"/>
        <v>PIX</v>
      </c>
      <c r="D5526" t="str">
        <f>"36606"</f>
        <v>36606</v>
      </c>
      <c r="E5526" t="str">
        <f t="shared" si="1004"/>
        <v>1</v>
      </c>
      <c r="F5526" t="str">
        <f t="shared" si="1008"/>
        <v>COM</v>
      </c>
      <c r="G5526" t="str">
        <f>"ALLAN SILVA DAMACENA (790)"</f>
        <v>ALLAN SILVA DAMACENA (790)</v>
      </c>
      <c r="H5526" t="s">
        <v>1502</v>
      </c>
      <c r="I5526" t="str">
        <f t="shared" si="1007"/>
        <v>31/03/2026</v>
      </c>
      <c r="J5526" t="str">
        <f t="shared" si="1011"/>
        <v>31/03/2026</v>
      </c>
      <c r="K5526">
        <v>46112</v>
      </c>
      <c r="N5526">
        <v>134</v>
      </c>
      <c r="O5526" t="s">
        <v>30</v>
      </c>
      <c r="Q5526">
        <v>445</v>
      </c>
      <c r="R5526" t="str">
        <f>"DROGARIA MORENO LTDA (10171)"</f>
        <v>DROGARIA MORENO LTDA (10171)</v>
      </c>
      <c r="S5526" t="s">
        <v>37</v>
      </c>
      <c r="T5526">
        <v>32394</v>
      </c>
      <c r="U5526">
        <v>36611</v>
      </c>
      <c r="V5526" t="s">
        <v>37</v>
      </c>
    </row>
    <row r="5527" spans="1:22">
      <c r="A5527" t="str">
        <f t="shared" si="1009"/>
        <v>31/03/2026</v>
      </c>
      <c r="B5527" t="str">
        <f t="shared" si="1005"/>
        <v>SAÍDA</v>
      </c>
      <c r="C5527" t="str">
        <f t="shared" si="1006"/>
        <v>PIX</v>
      </c>
      <c r="D5527" t="str">
        <f>"36617"</f>
        <v>36617</v>
      </c>
      <c r="E5527" t="str">
        <f t="shared" si="1004"/>
        <v>1</v>
      </c>
      <c r="F5527" t="str">
        <f t="shared" si="1008"/>
        <v>COM</v>
      </c>
      <c r="G5527" t="str">
        <f>"VICTOR HENRIQUE GOUVEA (1360)"</f>
        <v>VICTOR HENRIQUE GOUVEA (1360)</v>
      </c>
      <c r="H5527" t="str">
        <f>"Serv.Prest. 23/03/2026 a 29/03/2026 - PIX: E-MAIL - CHAVE: gouveavictor4@gmail.com"</f>
        <v>Serv.Prest. 23/03/2026 a 29/03/2026 - PIX: E-MAIL - CHAVE: gouveavictor4@gmail.com</v>
      </c>
      <c r="I5527" t="str">
        <f t="shared" si="1007"/>
        <v>31/03/2026</v>
      </c>
      <c r="J5527" t="str">
        <f t="shared" si="1011"/>
        <v>31/03/2026</v>
      </c>
      <c r="K5527" t="str">
        <f>("31/03/2026")</f>
        <v>31/03/2026</v>
      </c>
      <c r="L5527">
        <v>259</v>
      </c>
      <c r="M5527">
        <v>260</v>
      </c>
      <c r="N5527">
        <v>134</v>
      </c>
      <c r="O5527" t="str">
        <f>"DIARIA DE MOTOBOY"</f>
        <v>DIARIA DE MOTOBOY</v>
      </c>
      <c r="P5527">
        <v>260</v>
      </c>
      <c r="S5527" t="str">
        <f>"BANCO C6 (149)"</f>
        <v>BANCO C6 (149)</v>
      </c>
      <c r="T5527">
        <v>32395</v>
      </c>
      <c r="U5527">
        <v>36617</v>
      </c>
      <c r="V5527" t="s">
        <v>37</v>
      </c>
    </row>
    <row r="5528" spans="1:22">
      <c r="A5528" t="str">
        <f t="shared" si="1009"/>
        <v>31/03/2026</v>
      </c>
      <c r="B5528" t="str">
        <f t="shared" si="1005"/>
        <v>SAÍDA</v>
      </c>
      <c r="C5528" t="str">
        <f t="shared" si="1006"/>
        <v>PIX</v>
      </c>
      <c r="D5528" t="str">
        <f>"36617"</f>
        <v>36617</v>
      </c>
      <c r="E5528" t="str">
        <f t="shared" si="1004"/>
        <v>1</v>
      </c>
      <c r="F5528" t="str">
        <f t="shared" si="1008"/>
        <v>COM</v>
      </c>
      <c r="G5528" t="str">
        <f>"VICTOR HENRIQUE GOUVEA (1360)"</f>
        <v>VICTOR HENRIQUE GOUVEA (1360)</v>
      </c>
      <c r="H5528" t="s">
        <v>1503</v>
      </c>
      <c r="I5528" t="str">
        <f t="shared" si="1007"/>
        <v>31/03/2026</v>
      </c>
      <c r="J5528" t="str">
        <f t="shared" si="1011"/>
        <v>31/03/2026</v>
      </c>
      <c r="K5528">
        <v>46112</v>
      </c>
      <c r="N5528">
        <v>134</v>
      </c>
      <c r="O5528" t="s">
        <v>30</v>
      </c>
      <c r="Q5528">
        <v>260</v>
      </c>
      <c r="R5528" t="str">
        <f>"FARMACIA ROSAS (10288)"</f>
        <v>FARMACIA ROSAS (10288)</v>
      </c>
      <c r="S5528" t="s">
        <v>37</v>
      </c>
      <c r="T5528">
        <v>32395</v>
      </c>
      <c r="U5528">
        <v>36617</v>
      </c>
      <c r="V5528" t="s">
        <v>37</v>
      </c>
    </row>
    <row r="5529" spans="1:22">
      <c r="A5529" t="str">
        <f t="shared" si="1009"/>
        <v>31/03/2026</v>
      </c>
      <c r="B5529" t="str">
        <f t="shared" si="1005"/>
        <v>SAÍDA</v>
      </c>
      <c r="C5529" t="str">
        <f t="shared" si="1006"/>
        <v>PIX</v>
      </c>
      <c r="D5529" t="str">
        <f>"36640"</f>
        <v>36640</v>
      </c>
      <c r="E5529" t="str">
        <f t="shared" si="1004"/>
        <v>1</v>
      </c>
      <c r="F5529" t="str">
        <f t="shared" si="1008"/>
        <v>COM</v>
      </c>
      <c r="G5529" t="str">
        <f>"CHRISTINEY NOLASCO (1385)"</f>
        <v>CHRISTINEY NOLASCO (1385)</v>
      </c>
      <c r="H5529" t="str">
        <f>"Serv.Prest. 23/03/2026 a 29/03/2026 - PIX: CELULAR - CHAVE: (32) 99910-8064"</f>
        <v>Serv.Prest. 23/03/2026 a 29/03/2026 - PIX: CELULAR - CHAVE: (32) 99910-8064</v>
      </c>
      <c r="I5529" t="str">
        <f t="shared" si="1007"/>
        <v>31/03/2026</v>
      </c>
      <c r="J5529" t="str">
        <f t="shared" si="1011"/>
        <v>31/03/2026</v>
      </c>
      <c r="K5529" t="str">
        <f>("31/03/2026")</f>
        <v>31/03/2026</v>
      </c>
      <c r="L5529">
        <v>78</v>
      </c>
      <c r="M5529">
        <v>78</v>
      </c>
      <c r="N5529">
        <v>134</v>
      </c>
      <c r="O5529" t="str">
        <f>"DIARIA DE MOTOBOY"</f>
        <v>DIARIA DE MOTOBOY</v>
      </c>
      <c r="P5529">
        <v>78</v>
      </c>
      <c r="S5529" t="str">
        <f>"BANCO C6 (149)"</f>
        <v>BANCO C6 (149)</v>
      </c>
      <c r="T5529">
        <v>32396</v>
      </c>
      <c r="U5529">
        <v>36640</v>
      </c>
      <c r="V5529" t="s">
        <v>37</v>
      </c>
    </row>
    <row r="5530" spans="1:22">
      <c r="A5530" t="str">
        <f t="shared" si="1009"/>
        <v>31/03/2026</v>
      </c>
      <c r="B5530" t="str">
        <f t="shared" si="1005"/>
        <v>SAÍDA</v>
      </c>
      <c r="C5530" t="str">
        <f t="shared" si="1006"/>
        <v>PIX</v>
      </c>
      <c r="D5530" t="str">
        <f>"36640"</f>
        <v>36640</v>
      </c>
      <c r="E5530" t="str">
        <f t="shared" si="1004"/>
        <v>1</v>
      </c>
      <c r="F5530" t="str">
        <f t="shared" si="1008"/>
        <v>COM</v>
      </c>
      <c r="G5530" t="str">
        <f>"CHRISTINEY NOLASCO (1385)"</f>
        <v>CHRISTINEY NOLASCO (1385)</v>
      </c>
      <c r="H5530" t="s">
        <v>1504</v>
      </c>
      <c r="I5530" t="str">
        <f t="shared" si="1007"/>
        <v>31/03/2026</v>
      </c>
      <c r="J5530" t="str">
        <f t="shared" si="1011"/>
        <v>31/03/2026</v>
      </c>
      <c r="K5530">
        <v>46112</v>
      </c>
      <c r="N5530">
        <v>134</v>
      </c>
      <c r="O5530" t="s">
        <v>30</v>
      </c>
      <c r="Q5530">
        <v>78</v>
      </c>
      <c r="R5530" t="str">
        <f>"FARMÁCIA INDIANA LJ 284 (10280)"</f>
        <v>FARMÁCIA INDIANA LJ 284 (10280)</v>
      </c>
      <c r="S5530" t="s">
        <v>37</v>
      </c>
      <c r="T5530">
        <v>32396</v>
      </c>
      <c r="U5530">
        <v>36640</v>
      </c>
      <c r="V5530" t="s">
        <v>37</v>
      </c>
    </row>
    <row r="5531" spans="1:22">
      <c r="A5531" t="str">
        <f t="shared" si="1009"/>
        <v>31/03/2026</v>
      </c>
      <c r="B5531" t="str">
        <f t="shared" si="1005"/>
        <v>SAÍDA</v>
      </c>
      <c r="C5531" t="str">
        <f t="shared" si="1006"/>
        <v>PIX</v>
      </c>
      <c r="D5531" t="str">
        <f>"36641"</f>
        <v>36641</v>
      </c>
      <c r="E5531" t="str">
        <f t="shared" ref="E5531:E5554" si="1012">"1"</f>
        <v>1</v>
      </c>
      <c r="F5531" t="str">
        <f t="shared" si="1008"/>
        <v>COM</v>
      </c>
      <c r="G5531" t="str">
        <f>"CHRISTINEY NOLASCO (1385)"</f>
        <v>CHRISTINEY NOLASCO (1385)</v>
      </c>
      <c r="H5531" t="str">
        <f>"Serv.Prest. 23/03/2026 a 29/03/2026 - PIX: CELULAR - CHAVE: (32) 99910-8064"</f>
        <v>Serv.Prest. 23/03/2026 a 29/03/2026 - PIX: CELULAR - CHAVE: (32) 99910-8064</v>
      </c>
      <c r="I5531" t="str">
        <f t="shared" si="1007"/>
        <v>31/03/2026</v>
      </c>
      <c r="J5531" t="str">
        <f t="shared" si="1011"/>
        <v>31/03/2026</v>
      </c>
      <c r="K5531" t="str">
        <f>("31/03/2026")</f>
        <v>31/03/2026</v>
      </c>
      <c r="L5531">
        <v>60</v>
      </c>
      <c r="M5531">
        <v>60</v>
      </c>
      <c r="N5531">
        <v>134</v>
      </c>
      <c r="O5531" t="str">
        <f>"DIARIA DE MOTOBOY"</f>
        <v>DIARIA DE MOTOBOY</v>
      </c>
      <c r="P5531">
        <v>60</v>
      </c>
      <c r="S5531" t="str">
        <f>"BANCO C6 (149)"</f>
        <v>BANCO C6 (149)</v>
      </c>
      <c r="T5531">
        <v>32397</v>
      </c>
      <c r="U5531">
        <v>36641</v>
      </c>
      <c r="V5531" t="s">
        <v>37</v>
      </c>
    </row>
    <row r="5532" spans="1:22">
      <c r="A5532" t="str">
        <f t="shared" si="1009"/>
        <v>31/03/2026</v>
      </c>
      <c r="B5532" t="str">
        <f t="shared" si="1005"/>
        <v>SAÍDA</v>
      </c>
      <c r="C5532" t="str">
        <f t="shared" si="1006"/>
        <v>PIX</v>
      </c>
      <c r="D5532" t="str">
        <f>"36641"</f>
        <v>36641</v>
      </c>
      <c r="E5532" t="str">
        <f t="shared" si="1012"/>
        <v>1</v>
      </c>
      <c r="F5532" t="str">
        <f t="shared" si="1008"/>
        <v>COM</v>
      </c>
      <c r="G5532" t="str">
        <f>"CHRISTINEY NOLASCO (1385)"</f>
        <v>CHRISTINEY NOLASCO (1385)</v>
      </c>
      <c r="H5532" t="s">
        <v>1504</v>
      </c>
      <c r="I5532" t="str">
        <f t="shared" si="1007"/>
        <v>31/03/2026</v>
      </c>
      <c r="J5532" t="str">
        <f t="shared" si="1011"/>
        <v>31/03/2026</v>
      </c>
      <c r="K5532">
        <v>46112</v>
      </c>
      <c r="N5532">
        <v>134</v>
      </c>
      <c r="O5532" t="s">
        <v>30</v>
      </c>
      <c r="Q5532">
        <v>60</v>
      </c>
      <c r="R5532" t="str">
        <f>"FARMÁCIA INDIANA LJ 109 (10047)"</f>
        <v>FARMÁCIA INDIANA LJ 109 (10047)</v>
      </c>
      <c r="S5532" t="s">
        <v>37</v>
      </c>
      <c r="T5532">
        <v>32397</v>
      </c>
      <c r="U5532">
        <v>36641</v>
      </c>
      <c r="V5532" t="s">
        <v>37</v>
      </c>
    </row>
    <row r="5533" spans="1:22">
      <c r="A5533" t="str">
        <f t="shared" si="1009"/>
        <v>31/03/2026</v>
      </c>
      <c r="B5533" t="str">
        <f t="shared" si="1005"/>
        <v>SAÍDA</v>
      </c>
      <c r="C5533" t="str">
        <f t="shared" si="1006"/>
        <v>PIX</v>
      </c>
      <c r="D5533" t="str">
        <f>"36663"</f>
        <v>36663</v>
      </c>
      <c r="E5533" t="str">
        <f t="shared" si="1012"/>
        <v>1</v>
      </c>
      <c r="F5533" t="str">
        <f t="shared" si="1008"/>
        <v>COM</v>
      </c>
      <c r="G5533" t="str">
        <f t="shared" ref="G5533:G5540" si="1013">"GUILHERME DO CARMO CAZARIM (1268)"</f>
        <v>GUILHERME DO CARMO CAZARIM (1268)</v>
      </c>
      <c r="H5533" t="str">
        <f>"Serv.Prest. 23/03/2026 a 29/03/2026 - PIX: CELULAR - CHAVE: (32) 99841-7315"</f>
        <v>Serv.Prest. 23/03/2026 a 29/03/2026 - PIX: CELULAR - CHAVE: (32) 99841-7315</v>
      </c>
      <c r="I5533" t="str">
        <f t="shared" si="1007"/>
        <v>31/03/2026</v>
      </c>
      <c r="J5533" t="str">
        <f t="shared" si="1011"/>
        <v>31/03/2026</v>
      </c>
      <c r="K5533" t="str">
        <f>("31/03/2026")</f>
        <v>31/03/2026</v>
      </c>
      <c r="L5533">
        <v>36</v>
      </c>
      <c r="M5533">
        <v>36</v>
      </c>
      <c r="N5533">
        <v>134</v>
      </c>
      <c r="O5533" t="str">
        <f>"DIARIA DE MOTOBOY"</f>
        <v>DIARIA DE MOTOBOY</v>
      </c>
      <c r="P5533">
        <v>36</v>
      </c>
      <c r="S5533" t="str">
        <f>"BANCO C6 (149)"</f>
        <v>BANCO C6 (149)</v>
      </c>
      <c r="T5533">
        <v>32398</v>
      </c>
      <c r="U5533">
        <v>36663</v>
      </c>
      <c r="V5533" t="s">
        <v>37</v>
      </c>
    </row>
    <row r="5534" spans="1:22">
      <c r="A5534" t="str">
        <f t="shared" si="1009"/>
        <v>31/03/2026</v>
      </c>
      <c r="B5534" t="str">
        <f t="shared" si="1005"/>
        <v>SAÍDA</v>
      </c>
      <c r="C5534" t="str">
        <f t="shared" si="1006"/>
        <v>PIX</v>
      </c>
      <c r="D5534" t="str">
        <f>"36663"</f>
        <v>36663</v>
      </c>
      <c r="E5534" t="str">
        <f t="shared" si="1012"/>
        <v>1</v>
      </c>
      <c r="F5534" t="str">
        <f t="shared" si="1008"/>
        <v>COM</v>
      </c>
      <c r="G5534" t="str">
        <f t="shared" si="1013"/>
        <v>GUILHERME DO CARMO CAZARIM (1268)</v>
      </c>
      <c r="H5534" t="s">
        <v>1505</v>
      </c>
      <c r="I5534" t="str">
        <f t="shared" si="1007"/>
        <v>31/03/2026</v>
      </c>
      <c r="J5534" t="str">
        <f t="shared" si="1011"/>
        <v>31/03/2026</v>
      </c>
      <c r="K5534">
        <v>46112</v>
      </c>
      <c r="N5534">
        <v>134</v>
      </c>
      <c r="O5534" t="s">
        <v>30</v>
      </c>
      <c r="Q5534">
        <v>36</v>
      </c>
      <c r="R5534" t="str">
        <f>"FARMÁCIA INDIANA LJ 112 (10050)"</f>
        <v>FARMÁCIA INDIANA LJ 112 (10050)</v>
      </c>
      <c r="S5534" t="s">
        <v>37</v>
      </c>
      <c r="T5534">
        <v>32398</v>
      </c>
      <c r="U5534">
        <v>36663</v>
      </c>
      <c r="V5534" t="s">
        <v>37</v>
      </c>
    </row>
    <row r="5535" spans="1:22">
      <c r="A5535" t="str">
        <f t="shared" si="1009"/>
        <v>31/03/2026</v>
      </c>
      <c r="B5535" t="str">
        <f t="shared" si="1005"/>
        <v>SAÍDA</v>
      </c>
      <c r="C5535" t="str">
        <f t="shared" si="1006"/>
        <v>PIX</v>
      </c>
      <c r="D5535" t="str">
        <f>"36664"</f>
        <v>36664</v>
      </c>
      <c r="E5535" t="str">
        <f t="shared" si="1012"/>
        <v>1</v>
      </c>
      <c r="F5535" t="str">
        <f t="shared" si="1008"/>
        <v>COM</v>
      </c>
      <c r="G5535" t="str">
        <f t="shared" si="1013"/>
        <v>GUILHERME DO CARMO CAZARIM (1268)</v>
      </c>
      <c r="H5535" t="str">
        <f>"Serv.Prest. 23/03/2026 a 29/03/2026 - PIX: CELULAR - CHAVE: (32) 99841-7315"</f>
        <v>Serv.Prest. 23/03/2026 a 29/03/2026 - PIX: CELULAR - CHAVE: (32) 99841-7315</v>
      </c>
      <c r="I5535" t="str">
        <f t="shared" si="1007"/>
        <v>31/03/2026</v>
      </c>
      <c r="J5535" t="str">
        <f t="shared" si="1011"/>
        <v>31/03/2026</v>
      </c>
      <c r="K5535" t="str">
        <f>("31/03/2026")</f>
        <v>31/03/2026</v>
      </c>
      <c r="L5535">
        <v>36</v>
      </c>
      <c r="M5535">
        <v>36</v>
      </c>
      <c r="N5535">
        <v>134</v>
      </c>
      <c r="O5535" t="str">
        <f>"DIARIA DE MOTOBOY"</f>
        <v>DIARIA DE MOTOBOY</v>
      </c>
      <c r="P5535">
        <v>36</v>
      </c>
      <c r="S5535" t="str">
        <f>"BANCO C6 (149)"</f>
        <v>BANCO C6 (149)</v>
      </c>
      <c r="T5535">
        <v>32399</v>
      </c>
      <c r="U5535">
        <v>36664</v>
      </c>
      <c r="V5535" t="s">
        <v>37</v>
      </c>
    </row>
    <row r="5536" spans="1:22">
      <c r="A5536" t="str">
        <f t="shared" si="1009"/>
        <v>31/03/2026</v>
      </c>
      <c r="B5536" t="str">
        <f t="shared" si="1005"/>
        <v>SAÍDA</v>
      </c>
      <c r="C5536" t="str">
        <f t="shared" si="1006"/>
        <v>PIX</v>
      </c>
      <c r="D5536" t="str">
        <f>"36664"</f>
        <v>36664</v>
      </c>
      <c r="E5536" t="str">
        <f t="shared" si="1012"/>
        <v>1</v>
      </c>
      <c r="F5536" t="str">
        <f t="shared" si="1008"/>
        <v>COM</v>
      </c>
      <c r="G5536" t="str">
        <f t="shared" si="1013"/>
        <v>GUILHERME DO CARMO CAZARIM (1268)</v>
      </c>
      <c r="H5536" t="s">
        <v>1505</v>
      </c>
      <c r="I5536" t="str">
        <f t="shared" si="1007"/>
        <v>31/03/2026</v>
      </c>
      <c r="J5536" t="str">
        <f t="shared" si="1011"/>
        <v>31/03/2026</v>
      </c>
      <c r="K5536">
        <v>46112</v>
      </c>
      <c r="N5536">
        <v>134</v>
      </c>
      <c r="O5536" t="s">
        <v>30</v>
      </c>
      <c r="Q5536">
        <v>36</v>
      </c>
      <c r="R5536" t="str">
        <f>"FARMÁCIA INDIANA LJ 121 (10054)"</f>
        <v>FARMÁCIA INDIANA LJ 121 (10054)</v>
      </c>
      <c r="S5536" t="s">
        <v>37</v>
      </c>
      <c r="T5536">
        <v>32399</v>
      </c>
      <c r="U5536">
        <v>36664</v>
      </c>
      <c r="V5536" t="s">
        <v>37</v>
      </c>
    </row>
    <row r="5537" spans="1:22">
      <c r="A5537" t="str">
        <f t="shared" si="1009"/>
        <v>31/03/2026</v>
      </c>
      <c r="B5537" t="str">
        <f t="shared" ref="B5537:B5560" si="1014">"SAÍDA"</f>
        <v>SAÍDA</v>
      </c>
      <c r="C5537" t="str">
        <f t="shared" ref="C5537:C5560" si="1015">"PIX"</f>
        <v>PIX</v>
      </c>
      <c r="D5537" t="str">
        <f>"36665"</f>
        <v>36665</v>
      </c>
      <c r="E5537" t="str">
        <f t="shared" si="1012"/>
        <v>1</v>
      </c>
      <c r="F5537" t="str">
        <f t="shared" si="1008"/>
        <v>COM</v>
      </c>
      <c r="G5537" t="str">
        <f t="shared" si="1013"/>
        <v>GUILHERME DO CARMO CAZARIM (1268)</v>
      </c>
      <c r="H5537" t="str">
        <f>"Serv.Prest. 23/03/2026 a 29/03/2026 - PIX: CELULAR - CHAVE: (32) 99841-7315"</f>
        <v>Serv.Prest. 23/03/2026 a 29/03/2026 - PIX: CELULAR - CHAVE: (32) 99841-7315</v>
      </c>
      <c r="I5537" t="str">
        <f t="shared" ref="I5537:I5554" si="1016">("31/03/2026")</f>
        <v>31/03/2026</v>
      </c>
      <c r="J5537" t="str">
        <f t="shared" si="1011"/>
        <v>31/03/2026</v>
      </c>
      <c r="K5537" t="str">
        <f>("31/03/2026")</f>
        <v>31/03/2026</v>
      </c>
      <c r="L5537">
        <v>36</v>
      </c>
      <c r="M5537">
        <v>36</v>
      </c>
      <c r="N5537">
        <v>134</v>
      </c>
      <c r="O5537" t="str">
        <f>"DIARIA DE MOTOBOY"</f>
        <v>DIARIA DE MOTOBOY</v>
      </c>
      <c r="P5537">
        <v>36</v>
      </c>
      <c r="S5537" t="str">
        <f>"BANCO C6 (149)"</f>
        <v>BANCO C6 (149)</v>
      </c>
      <c r="T5537">
        <v>32400</v>
      </c>
      <c r="U5537">
        <v>36665</v>
      </c>
      <c r="V5537" t="s">
        <v>37</v>
      </c>
    </row>
    <row r="5538" spans="1:22">
      <c r="A5538" t="str">
        <f t="shared" si="1009"/>
        <v>31/03/2026</v>
      </c>
      <c r="B5538" t="str">
        <f t="shared" si="1014"/>
        <v>SAÍDA</v>
      </c>
      <c r="C5538" t="str">
        <f t="shared" si="1015"/>
        <v>PIX</v>
      </c>
      <c r="D5538" t="str">
        <f>"36665"</f>
        <v>36665</v>
      </c>
      <c r="E5538" t="str">
        <f t="shared" si="1012"/>
        <v>1</v>
      </c>
      <c r="F5538" t="str">
        <f t="shared" si="1008"/>
        <v>COM</v>
      </c>
      <c r="G5538" t="str">
        <f t="shared" si="1013"/>
        <v>GUILHERME DO CARMO CAZARIM (1268)</v>
      </c>
      <c r="H5538" t="s">
        <v>1505</v>
      </c>
      <c r="I5538" t="str">
        <f t="shared" si="1016"/>
        <v>31/03/2026</v>
      </c>
      <c r="J5538" t="str">
        <f t="shared" si="1011"/>
        <v>31/03/2026</v>
      </c>
      <c r="K5538">
        <v>46112</v>
      </c>
      <c r="N5538">
        <v>134</v>
      </c>
      <c r="O5538" t="s">
        <v>30</v>
      </c>
      <c r="Q5538">
        <v>36</v>
      </c>
      <c r="R5538" t="str">
        <f>"FARMÁCIA INDIANA LJ 128 (10057)"</f>
        <v>FARMÁCIA INDIANA LJ 128 (10057)</v>
      </c>
      <c r="S5538" t="s">
        <v>37</v>
      </c>
      <c r="T5538">
        <v>32400</v>
      </c>
      <c r="U5538">
        <v>36665</v>
      </c>
      <c r="V5538" t="s">
        <v>37</v>
      </c>
    </row>
    <row r="5539" spans="1:22">
      <c r="A5539" t="str">
        <f t="shared" si="1009"/>
        <v>31/03/2026</v>
      </c>
      <c r="B5539" t="str">
        <f t="shared" si="1014"/>
        <v>SAÍDA</v>
      </c>
      <c r="C5539" t="str">
        <f t="shared" si="1015"/>
        <v>PIX</v>
      </c>
      <c r="D5539" t="str">
        <f>"36666"</f>
        <v>36666</v>
      </c>
      <c r="E5539" t="str">
        <f t="shared" si="1012"/>
        <v>1</v>
      </c>
      <c r="F5539" t="str">
        <f t="shared" si="1008"/>
        <v>COM</v>
      </c>
      <c r="G5539" t="str">
        <f t="shared" si="1013"/>
        <v>GUILHERME DO CARMO CAZARIM (1268)</v>
      </c>
      <c r="H5539" t="str">
        <f>"Serv.Prest. 23/03/2026 a 29/03/2026 - PIX: CELULAR - CHAVE: (32) 99841-7315"</f>
        <v>Serv.Prest. 23/03/2026 a 29/03/2026 - PIX: CELULAR - CHAVE: (32) 99841-7315</v>
      </c>
      <c r="I5539" t="str">
        <f t="shared" si="1016"/>
        <v>31/03/2026</v>
      </c>
      <c r="J5539" t="str">
        <f t="shared" si="1011"/>
        <v>31/03/2026</v>
      </c>
      <c r="K5539" t="str">
        <f>("31/03/2026")</f>
        <v>31/03/2026</v>
      </c>
      <c r="L5539">
        <v>36</v>
      </c>
      <c r="M5539">
        <v>36</v>
      </c>
      <c r="N5539">
        <v>134</v>
      </c>
      <c r="O5539" t="str">
        <f>"DIARIA DE MOTOBOY"</f>
        <v>DIARIA DE MOTOBOY</v>
      </c>
      <c r="P5539">
        <v>36</v>
      </c>
      <c r="S5539" t="str">
        <f>"BANCO C6 (149)"</f>
        <v>BANCO C6 (149)</v>
      </c>
      <c r="T5539">
        <v>32401</v>
      </c>
      <c r="U5539">
        <v>36666</v>
      </c>
      <c r="V5539" t="s">
        <v>37</v>
      </c>
    </row>
    <row r="5540" spans="1:22">
      <c r="A5540" t="str">
        <f t="shared" si="1009"/>
        <v>31/03/2026</v>
      </c>
      <c r="B5540" t="str">
        <f t="shared" si="1014"/>
        <v>SAÍDA</v>
      </c>
      <c r="C5540" t="str">
        <f t="shared" si="1015"/>
        <v>PIX</v>
      </c>
      <c r="D5540" t="str">
        <f>"36666"</f>
        <v>36666</v>
      </c>
      <c r="E5540" t="str">
        <f t="shared" si="1012"/>
        <v>1</v>
      </c>
      <c r="F5540" t="str">
        <f t="shared" si="1008"/>
        <v>COM</v>
      </c>
      <c r="G5540" t="str">
        <f t="shared" si="1013"/>
        <v>GUILHERME DO CARMO CAZARIM (1268)</v>
      </c>
      <c r="H5540" t="s">
        <v>1505</v>
      </c>
      <c r="I5540" t="str">
        <f t="shared" si="1016"/>
        <v>31/03/2026</v>
      </c>
      <c r="J5540" t="str">
        <f t="shared" si="1011"/>
        <v>31/03/2026</v>
      </c>
      <c r="K5540">
        <v>46112</v>
      </c>
      <c r="N5540">
        <v>134</v>
      </c>
      <c r="O5540" t="s">
        <v>30</v>
      </c>
      <c r="Q5540">
        <v>36</v>
      </c>
      <c r="R5540" t="str">
        <f>"FARMÁCIA INDIANA LJ 116 (10051)"</f>
        <v>FARMÁCIA INDIANA LJ 116 (10051)</v>
      </c>
      <c r="S5540" t="s">
        <v>37</v>
      </c>
      <c r="T5540">
        <v>32401</v>
      </c>
      <c r="U5540">
        <v>36666</v>
      </c>
      <c r="V5540" t="s">
        <v>37</v>
      </c>
    </row>
    <row r="5541" spans="1:22">
      <c r="A5541" t="str">
        <f t="shared" ref="A5541:A5560" si="1017">("31/03/2026")</f>
        <v>31/03/2026</v>
      </c>
      <c r="B5541" t="str">
        <f t="shared" si="1014"/>
        <v>SAÍDA</v>
      </c>
      <c r="C5541" t="str">
        <f t="shared" si="1015"/>
        <v>PIX</v>
      </c>
      <c r="D5541" t="str">
        <f>"36681"</f>
        <v>36681</v>
      </c>
      <c r="E5541" t="str">
        <f t="shared" si="1012"/>
        <v>1</v>
      </c>
      <c r="F5541" t="str">
        <f t="shared" si="1008"/>
        <v>COM</v>
      </c>
      <c r="G5541" t="str">
        <f>"JOSE ERIC SILVA MACENA (854)"</f>
        <v>JOSE ERIC SILVA MACENA (854)</v>
      </c>
      <c r="H5541" t="str">
        <f>"Serv.Prest. 23/03/2026 a 29/03/2026 - PIX: E-MAIL - CHAVE: ericsilva8marcena@gmail.com"</f>
        <v>Serv.Prest. 23/03/2026 a 29/03/2026 - PIX: E-MAIL - CHAVE: ericsilva8marcena@gmail.com</v>
      </c>
      <c r="I5541" t="str">
        <f t="shared" si="1016"/>
        <v>31/03/2026</v>
      </c>
      <c r="J5541" t="str">
        <f t="shared" si="1011"/>
        <v>31/03/2026</v>
      </c>
      <c r="K5541" t="str">
        <f>("31/03/2026")</f>
        <v>31/03/2026</v>
      </c>
      <c r="L5541">
        <v>180</v>
      </c>
      <c r="M5541">
        <v>180</v>
      </c>
      <c r="N5541">
        <v>134</v>
      </c>
      <c r="O5541" t="str">
        <f>"DIARIA DE MOTOBOY"</f>
        <v>DIARIA DE MOTOBOY</v>
      </c>
      <c r="P5541">
        <v>180</v>
      </c>
      <c r="S5541" t="str">
        <f>"BANCO C6 (149)"</f>
        <v>BANCO C6 (149)</v>
      </c>
      <c r="T5541">
        <v>32402</v>
      </c>
      <c r="U5541">
        <v>36681</v>
      </c>
      <c r="V5541" t="s">
        <v>37</v>
      </c>
    </row>
    <row r="5542" spans="1:22">
      <c r="A5542" t="str">
        <f t="shared" si="1017"/>
        <v>31/03/2026</v>
      </c>
      <c r="B5542" t="str">
        <f t="shared" si="1014"/>
        <v>SAÍDA</v>
      </c>
      <c r="C5542" t="str">
        <f t="shared" si="1015"/>
        <v>PIX</v>
      </c>
      <c r="D5542" t="str">
        <f>"36681"</f>
        <v>36681</v>
      </c>
      <c r="E5542" t="str">
        <f t="shared" si="1012"/>
        <v>1</v>
      </c>
      <c r="F5542" t="str">
        <f t="shared" si="1008"/>
        <v>COM</v>
      </c>
      <c r="G5542" t="str">
        <f>"JOSE ERIC SILVA MACENA (854)"</f>
        <v>JOSE ERIC SILVA MACENA (854)</v>
      </c>
      <c r="H5542" t="s">
        <v>1506</v>
      </c>
      <c r="I5542" t="str">
        <f t="shared" si="1016"/>
        <v>31/03/2026</v>
      </c>
      <c r="J5542" t="str">
        <f t="shared" si="1011"/>
        <v>31/03/2026</v>
      </c>
      <c r="K5542">
        <v>46112</v>
      </c>
      <c r="N5542">
        <v>134</v>
      </c>
      <c r="O5542" t="s">
        <v>30</v>
      </c>
      <c r="Q5542">
        <v>180</v>
      </c>
      <c r="R5542" t="str">
        <f>"FARMÁCIA INDIANA LJ 220 (10092)"</f>
        <v>FARMÁCIA INDIANA LJ 220 (10092)</v>
      </c>
      <c r="S5542" t="s">
        <v>37</v>
      </c>
      <c r="T5542">
        <v>32402</v>
      </c>
      <c r="U5542">
        <v>36681</v>
      </c>
      <c r="V5542" t="s">
        <v>37</v>
      </c>
    </row>
    <row r="5543" spans="1:22">
      <c r="A5543" t="str">
        <f t="shared" si="1017"/>
        <v>31/03/2026</v>
      </c>
      <c r="B5543" t="str">
        <f t="shared" si="1014"/>
        <v>SAÍDA</v>
      </c>
      <c r="C5543" t="str">
        <f t="shared" si="1015"/>
        <v>PIX</v>
      </c>
      <c r="D5543" t="str">
        <f>"36693"</f>
        <v>36693</v>
      </c>
      <c r="E5543" t="str">
        <f t="shared" si="1012"/>
        <v>1</v>
      </c>
      <c r="F5543" t="str">
        <f t="shared" si="1008"/>
        <v>COM</v>
      </c>
      <c r="G5543" t="str">
        <f>"LUCAS RODRIGO LAGE ARRUDA (1052)"</f>
        <v>LUCAS RODRIGO LAGE ARRUDA (1052)</v>
      </c>
      <c r="H5543" t="str">
        <f>"Serv.Prest. 23/03/2026 a 29/03/2026 - PIX: CELULAR - CHAVE: (31) 99607-6585"</f>
        <v>Serv.Prest. 23/03/2026 a 29/03/2026 - PIX: CELULAR - CHAVE: (31) 99607-6585</v>
      </c>
      <c r="I5543" t="str">
        <f t="shared" si="1016"/>
        <v>31/03/2026</v>
      </c>
      <c r="J5543" t="str">
        <f t="shared" si="1011"/>
        <v>31/03/2026</v>
      </c>
      <c r="K5543" t="str">
        <f>("31/03/2026")</f>
        <v>31/03/2026</v>
      </c>
      <c r="L5543">
        <v>360</v>
      </c>
      <c r="M5543">
        <v>360</v>
      </c>
      <c r="N5543">
        <v>134</v>
      </c>
      <c r="O5543" t="str">
        <f>"DIARIA DE MOTOBOY"</f>
        <v>DIARIA DE MOTOBOY</v>
      </c>
      <c r="P5543">
        <v>360</v>
      </c>
      <c r="S5543" t="str">
        <f>"BANCO C6 (149)"</f>
        <v>BANCO C6 (149)</v>
      </c>
      <c r="T5543">
        <v>32403</v>
      </c>
      <c r="U5543">
        <v>36693</v>
      </c>
      <c r="V5543" t="s">
        <v>37</v>
      </c>
    </row>
    <row r="5544" spans="1:22">
      <c r="A5544" t="str">
        <f t="shared" si="1017"/>
        <v>31/03/2026</v>
      </c>
      <c r="B5544" t="str">
        <f t="shared" si="1014"/>
        <v>SAÍDA</v>
      </c>
      <c r="C5544" t="str">
        <f t="shared" si="1015"/>
        <v>PIX</v>
      </c>
      <c r="D5544" t="str">
        <f>"36693"</f>
        <v>36693</v>
      </c>
      <c r="E5544" t="str">
        <f t="shared" si="1012"/>
        <v>1</v>
      </c>
      <c r="F5544" t="str">
        <f t="shared" si="1008"/>
        <v>COM</v>
      </c>
      <c r="G5544" t="str">
        <f>"LUCAS RODRIGO LAGE ARRUDA (1052)"</f>
        <v>LUCAS RODRIGO LAGE ARRUDA (1052)</v>
      </c>
      <c r="H5544" t="s">
        <v>1507</v>
      </c>
      <c r="I5544" t="str">
        <f t="shared" si="1016"/>
        <v>31/03/2026</v>
      </c>
      <c r="J5544" t="str">
        <f t="shared" si="1011"/>
        <v>31/03/2026</v>
      </c>
      <c r="K5544">
        <v>46112</v>
      </c>
      <c r="N5544">
        <v>134</v>
      </c>
      <c r="O5544" t="s">
        <v>30</v>
      </c>
      <c r="Q5544">
        <v>360</v>
      </c>
      <c r="R5544" t="str">
        <f>"FARMÁCIA INDIANA LJ 101 (10043)"</f>
        <v>FARMÁCIA INDIANA LJ 101 (10043)</v>
      </c>
      <c r="S5544" t="s">
        <v>37</v>
      </c>
      <c r="T5544">
        <v>32403</v>
      </c>
      <c r="U5544">
        <v>36693</v>
      </c>
      <c r="V5544" t="s">
        <v>37</v>
      </c>
    </row>
    <row r="5545" spans="1:22">
      <c r="A5545" t="str">
        <f t="shared" si="1017"/>
        <v>31/03/2026</v>
      </c>
      <c r="B5545" t="str">
        <f t="shared" si="1014"/>
        <v>SAÍDA</v>
      </c>
      <c r="C5545" t="str">
        <f t="shared" si="1015"/>
        <v>PIX</v>
      </c>
      <c r="D5545" t="str">
        <f>"36696"</f>
        <v>36696</v>
      </c>
      <c r="E5545" t="str">
        <f t="shared" si="1012"/>
        <v>1</v>
      </c>
      <c r="F5545" t="str">
        <f t="shared" si="1008"/>
        <v>COM</v>
      </c>
      <c r="G5545" t="str">
        <f>"LUIZ FERNANDO SILVA VICENTE (1166)"</f>
        <v>LUIZ FERNANDO SILVA VICENTE (1166)</v>
      </c>
      <c r="H5545" t="str">
        <f>"Serv.Prest. 23/03/2026 a 29/03/2026 - PIX: CPF - CHAVE: 105.020.076-48"</f>
        <v>Serv.Prest. 23/03/2026 a 29/03/2026 - PIX: CPF - CHAVE: 105.020.076-48</v>
      </c>
      <c r="I5545" t="str">
        <f t="shared" si="1016"/>
        <v>31/03/2026</v>
      </c>
      <c r="J5545" t="str">
        <f t="shared" si="1011"/>
        <v>31/03/2026</v>
      </c>
      <c r="K5545" t="str">
        <f>("31/03/2026")</f>
        <v>31/03/2026</v>
      </c>
      <c r="L5545">
        <v>150</v>
      </c>
      <c r="M5545">
        <v>150</v>
      </c>
      <c r="N5545">
        <v>134</v>
      </c>
      <c r="O5545" t="str">
        <f>"DIARIA DE MOTOBOY"</f>
        <v>DIARIA DE MOTOBOY</v>
      </c>
      <c r="P5545">
        <v>150</v>
      </c>
      <c r="S5545" t="str">
        <f>"BANCO C6 (149)"</f>
        <v>BANCO C6 (149)</v>
      </c>
      <c r="T5545">
        <v>32404</v>
      </c>
      <c r="U5545">
        <v>36696</v>
      </c>
      <c r="V5545" t="s">
        <v>37</v>
      </c>
    </row>
    <row r="5546" spans="1:22">
      <c r="A5546" t="str">
        <f t="shared" si="1017"/>
        <v>31/03/2026</v>
      </c>
      <c r="B5546" t="str">
        <f t="shared" si="1014"/>
        <v>SAÍDA</v>
      </c>
      <c r="C5546" t="str">
        <f t="shared" si="1015"/>
        <v>PIX</v>
      </c>
      <c r="D5546" t="str">
        <f>"36696"</f>
        <v>36696</v>
      </c>
      <c r="E5546" t="str">
        <f t="shared" si="1012"/>
        <v>1</v>
      </c>
      <c r="F5546" t="str">
        <f t="shared" si="1008"/>
        <v>COM</v>
      </c>
      <c r="G5546" t="str">
        <f>"LUIZ FERNANDO SILVA VICENTE (1166)"</f>
        <v>LUIZ FERNANDO SILVA VICENTE (1166)</v>
      </c>
      <c r="H5546" t="s">
        <v>1508</v>
      </c>
      <c r="I5546" t="str">
        <f t="shared" si="1016"/>
        <v>31/03/2026</v>
      </c>
      <c r="J5546" t="str">
        <f t="shared" si="1011"/>
        <v>31/03/2026</v>
      </c>
      <c r="K5546">
        <v>46112</v>
      </c>
      <c r="N5546">
        <v>134</v>
      </c>
      <c r="O5546" t="s">
        <v>30</v>
      </c>
      <c r="Q5546">
        <v>150</v>
      </c>
      <c r="R5546" t="str">
        <f>"FARMÁCIA INDIANA LJ 134 (10271)"</f>
        <v>FARMÁCIA INDIANA LJ 134 (10271)</v>
      </c>
      <c r="S5546" t="s">
        <v>37</v>
      </c>
      <c r="T5546">
        <v>32404</v>
      </c>
      <c r="U5546">
        <v>36696</v>
      </c>
      <c r="V5546" t="s">
        <v>37</v>
      </c>
    </row>
    <row r="5547" spans="1:22">
      <c r="A5547" t="str">
        <f t="shared" si="1017"/>
        <v>31/03/2026</v>
      </c>
      <c r="B5547" t="str">
        <f t="shared" si="1014"/>
        <v>SAÍDA</v>
      </c>
      <c r="C5547" t="str">
        <f t="shared" si="1015"/>
        <v>PIX</v>
      </c>
      <c r="D5547" t="str">
        <f>"36716"</f>
        <v>36716</v>
      </c>
      <c r="E5547" t="str">
        <f t="shared" si="1012"/>
        <v>1</v>
      </c>
      <c r="F5547" t="str">
        <f t="shared" si="1008"/>
        <v>COM</v>
      </c>
      <c r="G5547" t="str">
        <f>"RENAN PABLO PEREIRA FERNANDES (1119)"</f>
        <v>RENAN PABLO PEREIRA FERNANDES (1119)</v>
      </c>
      <c r="H5547" t="str">
        <f>"Serv.Prest. 23/03/2026 a 29/03/2026 - PIX: CPF - CHAVE: 152.577.816-11"</f>
        <v>Serv.Prest. 23/03/2026 a 29/03/2026 - PIX: CPF - CHAVE: 152.577.816-11</v>
      </c>
      <c r="I5547" t="str">
        <f t="shared" si="1016"/>
        <v>31/03/2026</v>
      </c>
      <c r="J5547" t="str">
        <f t="shared" si="1011"/>
        <v>31/03/2026</v>
      </c>
      <c r="K5547" t="str">
        <f>("31/03/2026")</f>
        <v>31/03/2026</v>
      </c>
      <c r="L5547">
        <v>168</v>
      </c>
      <c r="M5547">
        <v>170</v>
      </c>
      <c r="N5547">
        <v>134</v>
      </c>
      <c r="O5547" t="str">
        <f>"DIARIA DE MOTOBOY"</f>
        <v>DIARIA DE MOTOBOY</v>
      </c>
      <c r="P5547">
        <v>170</v>
      </c>
      <c r="S5547" t="str">
        <f>"BANCO C6 (149)"</f>
        <v>BANCO C6 (149)</v>
      </c>
      <c r="T5547">
        <v>32405</v>
      </c>
      <c r="U5547">
        <v>36716</v>
      </c>
      <c r="V5547" t="s">
        <v>37</v>
      </c>
    </row>
    <row r="5548" spans="1:22">
      <c r="A5548" t="str">
        <f t="shared" si="1017"/>
        <v>31/03/2026</v>
      </c>
      <c r="B5548" t="str">
        <f t="shared" si="1014"/>
        <v>SAÍDA</v>
      </c>
      <c r="C5548" t="str">
        <f t="shared" si="1015"/>
        <v>PIX</v>
      </c>
      <c r="D5548" t="str">
        <f>"36716"</f>
        <v>36716</v>
      </c>
      <c r="E5548" t="str">
        <f t="shared" si="1012"/>
        <v>1</v>
      </c>
      <c r="F5548" t="str">
        <f t="shared" si="1008"/>
        <v>COM</v>
      </c>
      <c r="G5548" t="str">
        <f>"RENAN PABLO PEREIRA FERNANDES (1119)"</f>
        <v>RENAN PABLO PEREIRA FERNANDES (1119)</v>
      </c>
      <c r="H5548" t="s">
        <v>1509</v>
      </c>
      <c r="I5548" t="str">
        <f t="shared" si="1016"/>
        <v>31/03/2026</v>
      </c>
      <c r="J5548" t="str">
        <f t="shared" si="1011"/>
        <v>31/03/2026</v>
      </c>
      <c r="K5548">
        <v>46112</v>
      </c>
      <c r="N5548">
        <v>134</v>
      </c>
      <c r="O5548" t="s">
        <v>30</v>
      </c>
      <c r="Q5548">
        <v>170</v>
      </c>
      <c r="R5548" t="str">
        <f>"FARMÁCIA INDIANA LJ 118 (10052)"</f>
        <v>FARMÁCIA INDIANA LJ 118 (10052)</v>
      </c>
      <c r="S5548" t="s">
        <v>37</v>
      </c>
      <c r="T5548">
        <v>32405</v>
      </c>
      <c r="U5548">
        <v>36716</v>
      </c>
      <c r="V5548" t="s">
        <v>37</v>
      </c>
    </row>
    <row r="5549" spans="1:22">
      <c r="A5549" t="str">
        <f t="shared" si="1017"/>
        <v>31/03/2026</v>
      </c>
      <c r="B5549" t="str">
        <f t="shared" si="1014"/>
        <v>SAÍDA</v>
      </c>
      <c r="C5549" t="str">
        <f t="shared" si="1015"/>
        <v>PIX</v>
      </c>
      <c r="D5549" t="str">
        <f>"36717"</f>
        <v>36717</v>
      </c>
      <c r="E5549" t="str">
        <f t="shared" si="1012"/>
        <v>1</v>
      </c>
      <c r="F5549" t="str">
        <f t="shared" si="1008"/>
        <v>COM</v>
      </c>
      <c r="G5549" t="str">
        <f>"RENATO DE SOUZA HADDAD (1059)"</f>
        <v>RENATO DE SOUZA HADDAD (1059)</v>
      </c>
      <c r="H5549" t="str">
        <f>"Serv.Prest. 23/03/2026 a 29/03/2026 - PIX: CELULAR - CHAVE: (32) 98703-8039"</f>
        <v>Serv.Prest. 23/03/2026 a 29/03/2026 - PIX: CELULAR - CHAVE: (32) 98703-8039</v>
      </c>
      <c r="I5549" t="str">
        <f t="shared" si="1016"/>
        <v>31/03/2026</v>
      </c>
      <c r="J5549" t="str">
        <f t="shared" si="1011"/>
        <v>31/03/2026</v>
      </c>
      <c r="K5549" t="str">
        <f>("31/03/2026")</f>
        <v>31/03/2026</v>
      </c>
      <c r="L5549">
        <v>119</v>
      </c>
      <c r="M5549">
        <v>120</v>
      </c>
      <c r="N5549">
        <v>134</v>
      </c>
      <c r="O5549" t="str">
        <f>"DIARIA DE MOTOBOY"</f>
        <v>DIARIA DE MOTOBOY</v>
      </c>
      <c r="P5549">
        <v>120</v>
      </c>
      <c r="S5549" t="str">
        <f>"BANCO C6 (149)"</f>
        <v>BANCO C6 (149)</v>
      </c>
      <c r="T5549">
        <v>32406</v>
      </c>
      <c r="U5549">
        <v>36717</v>
      </c>
      <c r="V5549" t="s">
        <v>37</v>
      </c>
    </row>
    <row r="5550" spans="1:22">
      <c r="A5550" t="str">
        <f t="shared" si="1017"/>
        <v>31/03/2026</v>
      </c>
      <c r="B5550" t="str">
        <f t="shared" si="1014"/>
        <v>SAÍDA</v>
      </c>
      <c r="C5550" t="str">
        <f t="shared" si="1015"/>
        <v>PIX</v>
      </c>
      <c r="D5550" t="str">
        <f>"36717"</f>
        <v>36717</v>
      </c>
      <c r="E5550" t="str">
        <f t="shared" si="1012"/>
        <v>1</v>
      </c>
      <c r="F5550" t="str">
        <f t="shared" si="1008"/>
        <v>COM</v>
      </c>
      <c r="G5550" t="str">
        <f>"RENATO DE SOUZA HADDAD (1059)"</f>
        <v>RENATO DE SOUZA HADDAD (1059)</v>
      </c>
      <c r="H5550" t="s">
        <v>1510</v>
      </c>
      <c r="I5550" t="str">
        <f t="shared" si="1016"/>
        <v>31/03/2026</v>
      </c>
      <c r="J5550" t="str">
        <f t="shared" si="1011"/>
        <v>31/03/2026</v>
      </c>
      <c r="K5550">
        <v>46112</v>
      </c>
      <c r="N5550">
        <v>134</v>
      </c>
      <c r="O5550" t="s">
        <v>30</v>
      </c>
      <c r="Q5550">
        <v>120</v>
      </c>
      <c r="R5550" t="str">
        <f>"FARMÁCIA INDIANA LJ 219 (10091)"</f>
        <v>FARMÁCIA INDIANA LJ 219 (10091)</v>
      </c>
      <c r="S5550" t="s">
        <v>37</v>
      </c>
      <c r="T5550">
        <v>32406</v>
      </c>
      <c r="U5550">
        <v>36717</v>
      </c>
      <c r="V5550" t="s">
        <v>37</v>
      </c>
    </row>
    <row r="5551" spans="1:22">
      <c r="A5551" t="str">
        <f t="shared" si="1017"/>
        <v>31/03/2026</v>
      </c>
      <c r="B5551" t="str">
        <f t="shared" si="1014"/>
        <v>SAÍDA</v>
      </c>
      <c r="C5551" t="str">
        <f t="shared" si="1015"/>
        <v>PIX</v>
      </c>
      <c r="D5551" t="str">
        <f>"36699"</f>
        <v>36699</v>
      </c>
      <c r="E5551" t="str">
        <f t="shared" si="1012"/>
        <v>1</v>
      </c>
      <c r="F5551" t="str">
        <f t="shared" si="1008"/>
        <v>COM</v>
      </c>
      <c r="G5551" t="str">
        <f>"MARCOS RODRIGUES PENA (64)"</f>
        <v>MARCOS RODRIGUES PENA (64)</v>
      </c>
      <c r="H5551" t="str">
        <f>"Serv.Prest. 23/03/2026 a 29/03/2026 - PIX: CELULAR - CHAVE: (33) 99194-2339"</f>
        <v>Serv.Prest. 23/03/2026 a 29/03/2026 - PIX: CELULAR - CHAVE: (33) 99194-2339</v>
      </c>
      <c r="I5551" t="str">
        <f t="shared" si="1016"/>
        <v>31/03/2026</v>
      </c>
      <c r="J5551" t="str">
        <f t="shared" si="1011"/>
        <v>31/03/2026</v>
      </c>
      <c r="K5551" t="str">
        <f>("31/03/2026")</f>
        <v>31/03/2026</v>
      </c>
      <c r="L5551">
        <v>140</v>
      </c>
      <c r="M5551">
        <v>140</v>
      </c>
      <c r="N5551">
        <v>134</v>
      </c>
      <c r="O5551" t="str">
        <f>"DIARIA DE MOTOBOY"</f>
        <v>DIARIA DE MOTOBOY</v>
      </c>
      <c r="P5551">
        <v>140</v>
      </c>
      <c r="S5551" t="str">
        <f>"BANCO C6 (149)"</f>
        <v>BANCO C6 (149)</v>
      </c>
      <c r="T5551">
        <v>32407</v>
      </c>
      <c r="U5551">
        <v>36751</v>
      </c>
      <c r="V5551" t="s">
        <v>37</v>
      </c>
    </row>
    <row r="5552" spans="1:22">
      <c r="A5552" t="str">
        <f t="shared" si="1017"/>
        <v>31/03/2026</v>
      </c>
      <c r="B5552" t="str">
        <f t="shared" si="1014"/>
        <v>SAÍDA</v>
      </c>
      <c r="C5552" t="str">
        <f t="shared" si="1015"/>
        <v>PIX</v>
      </c>
      <c r="D5552" t="str">
        <f>"36699"</f>
        <v>36699</v>
      </c>
      <c r="E5552" t="str">
        <f t="shared" si="1012"/>
        <v>1</v>
      </c>
      <c r="F5552" t="str">
        <f t="shared" si="1008"/>
        <v>COM</v>
      </c>
      <c r="G5552" t="str">
        <f>"MARCOS RODRIGUES PENA (64)"</f>
        <v>MARCOS RODRIGUES PENA (64)</v>
      </c>
      <c r="H5552" t="s">
        <v>1511</v>
      </c>
      <c r="I5552" t="str">
        <f t="shared" si="1016"/>
        <v>31/03/2026</v>
      </c>
      <c r="J5552" t="str">
        <f t="shared" si="1011"/>
        <v>31/03/2026</v>
      </c>
      <c r="K5552">
        <v>46112</v>
      </c>
      <c r="N5552">
        <v>134</v>
      </c>
      <c r="O5552" t="s">
        <v>30</v>
      </c>
      <c r="Q5552">
        <v>140</v>
      </c>
      <c r="R5552" t="str">
        <f>"FARMÁCIA INDIANA LJ 62 (10028)"</f>
        <v>FARMÁCIA INDIANA LJ 62 (10028)</v>
      </c>
      <c r="S5552" t="s">
        <v>37</v>
      </c>
      <c r="T5552">
        <v>32407</v>
      </c>
      <c r="U5552">
        <v>36751</v>
      </c>
      <c r="V5552" t="s">
        <v>37</v>
      </c>
    </row>
    <row r="5553" spans="1:22">
      <c r="A5553" t="str">
        <f t="shared" si="1017"/>
        <v>31/03/2026</v>
      </c>
      <c r="B5553" t="str">
        <f t="shared" si="1014"/>
        <v>SAÍDA</v>
      </c>
      <c r="C5553" t="str">
        <f t="shared" si="1015"/>
        <v>PIX</v>
      </c>
      <c r="D5553" t="str">
        <f>"36620"</f>
        <v>36620</v>
      </c>
      <c r="E5553" t="str">
        <f t="shared" si="1012"/>
        <v>1</v>
      </c>
      <c r="F5553" t="str">
        <f t="shared" si="1008"/>
        <v>COM</v>
      </c>
      <c r="G5553" t="str">
        <f>"ALEXSANDER MESSIAS TEIXEIRA (382)"</f>
        <v>ALEXSANDER MESSIAS TEIXEIRA (382)</v>
      </c>
      <c r="H5553" t="str">
        <f>"Serv.Prest. 23/03/2026 a 29/03/2026 - PIX: CPF - CHAVE: 108.723.916-80"</f>
        <v>Serv.Prest. 23/03/2026 a 29/03/2026 - PIX: CPF - CHAVE: 108.723.916-80</v>
      </c>
      <c r="I5553" t="str">
        <f t="shared" si="1016"/>
        <v>31/03/2026</v>
      </c>
      <c r="J5553" t="str">
        <f t="shared" si="1011"/>
        <v>31/03/2026</v>
      </c>
      <c r="K5553" t="str">
        <f>("31/03/2026")</f>
        <v>31/03/2026</v>
      </c>
      <c r="L5553">
        <v>450</v>
      </c>
      <c r="M5553">
        <v>450</v>
      </c>
      <c r="N5553">
        <v>134</v>
      </c>
      <c r="O5553" t="str">
        <f>"DIARIA DE MOTOBOY"</f>
        <v>DIARIA DE MOTOBOY</v>
      </c>
      <c r="P5553">
        <v>450</v>
      </c>
      <c r="S5553" t="str">
        <f>"BANCO C6 (149)"</f>
        <v>BANCO C6 (149)</v>
      </c>
      <c r="T5553">
        <v>32408</v>
      </c>
      <c r="U5553">
        <v>36752</v>
      </c>
      <c r="V5553" t="s">
        <v>37</v>
      </c>
    </row>
    <row r="5554" spans="1:22">
      <c r="A5554" t="str">
        <f t="shared" si="1017"/>
        <v>31/03/2026</v>
      </c>
      <c r="B5554" t="str">
        <f t="shared" si="1014"/>
        <v>SAÍDA</v>
      </c>
      <c r="C5554" t="str">
        <f t="shared" si="1015"/>
        <v>PIX</v>
      </c>
      <c r="D5554" t="str">
        <f>"36620"</f>
        <v>36620</v>
      </c>
      <c r="E5554" t="str">
        <f t="shared" si="1012"/>
        <v>1</v>
      </c>
      <c r="F5554" t="str">
        <f t="shared" si="1008"/>
        <v>COM</v>
      </c>
      <c r="G5554" t="str">
        <f>"ALEXSANDER MESSIAS TEIXEIRA (382)"</f>
        <v>ALEXSANDER MESSIAS TEIXEIRA (382)</v>
      </c>
      <c r="H5554" t="s">
        <v>1512</v>
      </c>
      <c r="I5554" t="str">
        <f t="shared" si="1016"/>
        <v>31/03/2026</v>
      </c>
      <c r="J5554" t="str">
        <f t="shared" si="1011"/>
        <v>31/03/2026</v>
      </c>
      <c r="K5554">
        <v>46112</v>
      </c>
      <c r="N5554">
        <v>134</v>
      </c>
      <c r="O5554" t="s">
        <v>30</v>
      </c>
      <c r="Q5554">
        <v>450</v>
      </c>
      <c r="R5554" t="str">
        <f>"FARMÁCIA INDIANA LJ 110 (10048)"</f>
        <v>FARMÁCIA INDIANA LJ 110 (10048)</v>
      </c>
      <c r="S5554" t="s">
        <v>37</v>
      </c>
      <c r="T5554">
        <v>32408</v>
      </c>
      <c r="U5554">
        <v>36752</v>
      </c>
      <c r="V5554" t="s">
        <v>37</v>
      </c>
    </row>
    <row r="5555" spans="1:22">
      <c r="A5555" t="str">
        <f t="shared" si="1017"/>
        <v>31/03/2026</v>
      </c>
      <c r="B5555" t="str">
        <f t="shared" si="1014"/>
        <v>SAÍDA</v>
      </c>
      <c r="C5555" t="str">
        <f t="shared" si="1015"/>
        <v>PIX</v>
      </c>
      <c r="D5555" t="str">
        <f>"476"</f>
        <v>476</v>
      </c>
      <c r="E5555" t="str">
        <f>""</f>
        <v/>
      </c>
      <c r="F5555" t="str">
        <f t="shared" si="1008"/>
        <v>COM</v>
      </c>
      <c r="G5555" t="str">
        <f>"SYSTEM DESIGN INFORMATICA LTDA (20039)"</f>
        <v>SYSTEM DESIGN INFORMATICA LTDA (20039)</v>
      </c>
      <c r="H5555" t="str">
        <f>"MANUTENÇÃO SERVIDOR SD "</f>
        <v xml:space="preserve">MANUTENÇÃO SERVIDOR SD </v>
      </c>
      <c r="I5555" t="str">
        <f>("30/03/2026")</f>
        <v>30/03/2026</v>
      </c>
      <c r="J5555" t="str">
        <f>("16/03/2026")</f>
        <v>16/03/2026</v>
      </c>
      <c r="K5555" t="str">
        <f>("31/03/2026")</f>
        <v>31/03/2026</v>
      </c>
      <c r="L5555">
        <v>921</v>
      </c>
      <c r="M5555">
        <v>921</v>
      </c>
      <c r="N5555">
        <v>104</v>
      </c>
      <c r="O5555" t="str">
        <f>"SOFTWARE / LICENÇAS"</f>
        <v>SOFTWARE / LICENÇAS</v>
      </c>
      <c r="P5555">
        <v>921</v>
      </c>
      <c r="S5555" t="str">
        <f>"BANCO CORA (102)"</f>
        <v>BANCO CORA (102)</v>
      </c>
      <c r="T5555">
        <v>32409</v>
      </c>
      <c r="U5555">
        <v>35316</v>
      </c>
      <c r="V5555" t="s">
        <v>33</v>
      </c>
    </row>
    <row r="5556" spans="1:22">
      <c r="A5556" t="str">
        <f t="shared" si="1017"/>
        <v>31/03/2026</v>
      </c>
      <c r="B5556" t="str">
        <f t="shared" si="1014"/>
        <v>SAÍDA</v>
      </c>
      <c r="C5556" t="str">
        <f t="shared" si="1015"/>
        <v>PIX</v>
      </c>
      <c r="D5556" t="str">
        <f>"476"</f>
        <v>476</v>
      </c>
      <c r="E5556" t="str">
        <f>""</f>
        <v/>
      </c>
      <c r="F5556" t="str">
        <f t="shared" si="1008"/>
        <v>COM</v>
      </c>
      <c r="G5556" t="str">
        <f>"SYSTEM DESIGN INFORMATICA LTDA (20039)"</f>
        <v>SYSTEM DESIGN INFORMATICA LTDA (20039)</v>
      </c>
      <c r="H5556" t="s">
        <v>1153</v>
      </c>
      <c r="I5556" t="str">
        <f>("30/03/2026")</f>
        <v>30/03/2026</v>
      </c>
      <c r="J5556" t="str">
        <f>("16/03/2026")</f>
        <v>16/03/2026</v>
      </c>
      <c r="K5556">
        <v>46112</v>
      </c>
      <c r="N5556">
        <v>104</v>
      </c>
      <c r="O5556" t="s">
        <v>39</v>
      </c>
      <c r="Q5556">
        <v>921</v>
      </c>
      <c r="R5556" t="str">
        <f>"SYSTEM DESIGN INFORMATICA LTDA (20039)"</f>
        <v>SYSTEM DESIGN INFORMATICA LTDA (20039)</v>
      </c>
      <c r="S5556" t="s">
        <v>33</v>
      </c>
      <c r="T5556">
        <v>32409</v>
      </c>
      <c r="U5556">
        <v>35316</v>
      </c>
      <c r="V5556" t="s">
        <v>33</v>
      </c>
    </row>
    <row r="5557" spans="1:22">
      <c r="A5557" t="str">
        <f t="shared" si="1017"/>
        <v>31/03/2026</v>
      </c>
      <c r="B5557" t="str">
        <f t="shared" si="1014"/>
        <v>SAÍDA</v>
      </c>
      <c r="C5557" t="str">
        <f t="shared" si="1015"/>
        <v>PIX</v>
      </c>
      <c r="D5557" t="str">
        <f>"15022025"</f>
        <v>15022025</v>
      </c>
      <c r="E5557" t="str">
        <f>"39"</f>
        <v>39</v>
      </c>
      <c r="F5557" t="str">
        <f t="shared" si="1008"/>
        <v>COM</v>
      </c>
      <c r="G5557" t="str">
        <f>"ALBERTO KENNEDY ALMEIDA DE JESUS (20026)"</f>
        <v>ALBERTO KENNEDY ALMEIDA DE JESUS (20026)</v>
      </c>
      <c r="H5557" t="str">
        <f>"PAGAMENTO PRESTACAO DE SERVICO"</f>
        <v>PAGAMENTO PRESTACAO DE SERVICO</v>
      </c>
      <c r="I5557" t="str">
        <f>("15/04/2026")</f>
        <v>15/04/2026</v>
      </c>
      <c r="J5557" t="str">
        <f>("14/02/2025")</f>
        <v>14/02/2025</v>
      </c>
      <c r="K5557" t="str">
        <f>("31/03/2026")</f>
        <v>31/03/2026</v>
      </c>
      <c r="L5557">
        <v>390</v>
      </c>
      <c r="M5557">
        <v>390</v>
      </c>
      <c r="N5557">
        <v>103</v>
      </c>
      <c r="O5557" t="str">
        <f>"PAGAMENTO DE FUNCIONÁRIOS"</f>
        <v>PAGAMENTO DE FUNCIONÁRIOS</v>
      </c>
      <c r="P5557">
        <v>390</v>
      </c>
      <c r="S5557" t="str">
        <f>"BANCO CORA (102)"</f>
        <v>BANCO CORA (102)</v>
      </c>
      <c r="T5557">
        <v>32410</v>
      </c>
      <c r="U5557">
        <v>36792</v>
      </c>
      <c r="V5557" t="s">
        <v>33</v>
      </c>
    </row>
    <row r="5558" spans="1:22">
      <c r="A5558" t="str">
        <f t="shared" si="1017"/>
        <v>31/03/2026</v>
      </c>
      <c r="B5558" t="str">
        <f t="shared" si="1014"/>
        <v>SAÍDA</v>
      </c>
      <c r="C5558" t="str">
        <f t="shared" si="1015"/>
        <v>PIX</v>
      </c>
      <c r="D5558" t="str">
        <f>"15022025"</f>
        <v>15022025</v>
      </c>
      <c r="E5558" t="str">
        <f>"39"</f>
        <v>39</v>
      </c>
      <c r="F5558" t="str">
        <f t="shared" si="1008"/>
        <v>COM</v>
      </c>
      <c r="G5558" t="str">
        <f>"ALBERTO KENNEDY ALMEIDA DE JESUS (20026)"</f>
        <v>ALBERTO KENNEDY ALMEIDA DE JESUS (20026)</v>
      </c>
      <c r="H5558" t="s">
        <v>1513</v>
      </c>
      <c r="I5558" t="str">
        <f>("15/04/2026")</f>
        <v>15/04/2026</v>
      </c>
      <c r="J5558" t="str">
        <f>("14/02/2025")</f>
        <v>14/02/2025</v>
      </c>
      <c r="K5558">
        <v>46112</v>
      </c>
      <c r="N5558">
        <v>103</v>
      </c>
      <c r="O5558" t="s">
        <v>151</v>
      </c>
      <c r="Q5558">
        <v>390</v>
      </c>
      <c r="R5558" t="str">
        <f>"ALBERTO KENNEDY ALMEIDA DE JESUS (20026)"</f>
        <v>ALBERTO KENNEDY ALMEIDA DE JESUS (20026)</v>
      </c>
      <c r="S5558" t="s">
        <v>33</v>
      </c>
      <c r="T5558">
        <v>32410</v>
      </c>
      <c r="U5558">
        <v>36792</v>
      </c>
      <c r="V5558" t="s">
        <v>33</v>
      </c>
    </row>
    <row r="5559" spans="1:22">
      <c r="A5559" t="str">
        <f t="shared" si="1017"/>
        <v>31/03/2026</v>
      </c>
      <c r="B5559" t="str">
        <f t="shared" si="1014"/>
        <v>SAÍDA</v>
      </c>
      <c r="C5559" t="str">
        <f t="shared" si="1015"/>
        <v>PIX</v>
      </c>
      <c r="D5559" t="str">
        <f>"15022025"</f>
        <v>15022025</v>
      </c>
      <c r="E5559" t="str">
        <f>"40"</f>
        <v>40</v>
      </c>
      <c r="F5559" t="str">
        <f t="shared" si="1008"/>
        <v>COM</v>
      </c>
      <c r="G5559" t="str">
        <f>"ALBERTO KENNEDY ALMEIDA DE JESUS (20026)"</f>
        <v>ALBERTO KENNEDY ALMEIDA DE JESUS (20026)</v>
      </c>
      <c r="H5559" t="str">
        <f>"PAGAMENTO PRESTACAO DE SERVICO"</f>
        <v>PAGAMENTO PRESTACAO DE SERVICO</v>
      </c>
      <c r="I5559" t="str">
        <f>("15/05/2026")</f>
        <v>15/05/2026</v>
      </c>
      <c r="J5559" t="str">
        <f>("14/02/2025")</f>
        <v>14/02/2025</v>
      </c>
      <c r="K5559" t="str">
        <f>("31/03/2026")</f>
        <v>31/03/2026</v>
      </c>
      <c r="L5559">
        <v>390</v>
      </c>
      <c r="M5559">
        <v>390</v>
      </c>
      <c r="N5559">
        <v>103</v>
      </c>
      <c r="O5559" t="str">
        <f>"PAGAMENTO DE FUNCIONÁRIOS"</f>
        <v>PAGAMENTO DE FUNCIONÁRIOS</v>
      </c>
      <c r="P5559">
        <v>390</v>
      </c>
      <c r="S5559" t="str">
        <f>"BANCO CORA (102)"</f>
        <v>BANCO CORA (102)</v>
      </c>
      <c r="T5559">
        <v>32411</v>
      </c>
      <c r="U5559">
        <v>36793</v>
      </c>
      <c r="V5559" t="s">
        <v>33</v>
      </c>
    </row>
    <row r="5560" spans="1:22">
      <c r="A5560" t="str">
        <f t="shared" si="1017"/>
        <v>31/03/2026</v>
      </c>
      <c r="B5560" t="str">
        <f t="shared" si="1014"/>
        <v>SAÍDA</v>
      </c>
      <c r="C5560" t="str">
        <f t="shared" si="1015"/>
        <v>PIX</v>
      </c>
      <c r="D5560" t="str">
        <f>"15022025"</f>
        <v>15022025</v>
      </c>
      <c r="E5560" t="str">
        <f>"40"</f>
        <v>40</v>
      </c>
      <c r="F5560" t="str">
        <f t="shared" si="1008"/>
        <v>COM</v>
      </c>
      <c r="G5560" t="str">
        <f>"ALBERTO KENNEDY ALMEIDA DE JESUS (20026)"</f>
        <v>ALBERTO KENNEDY ALMEIDA DE JESUS (20026)</v>
      </c>
      <c r="H5560" t="s">
        <v>1513</v>
      </c>
      <c r="I5560" t="str">
        <f>("15/05/2026")</f>
        <v>15/05/2026</v>
      </c>
      <c r="J5560" t="str">
        <f>("14/02/2025")</f>
        <v>14/02/2025</v>
      </c>
      <c r="K5560">
        <v>46112</v>
      </c>
      <c r="N5560">
        <v>103</v>
      </c>
      <c r="O5560" t="s">
        <v>151</v>
      </c>
      <c r="Q5560">
        <v>390</v>
      </c>
      <c r="R5560" t="str">
        <f>"ALBERTO KENNEDY ALMEIDA DE JESUS (20026)"</f>
        <v>ALBERTO KENNEDY ALMEIDA DE JESUS (20026)</v>
      </c>
      <c r="S5560" t="s">
        <v>33</v>
      </c>
      <c r="T5560">
        <v>32411</v>
      </c>
      <c r="U5560">
        <v>36793</v>
      </c>
      <c r="V5560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Francinne</dc:creator>
  <cp:lastModifiedBy>Robert Magdiel</cp:lastModifiedBy>
  <dcterms:created xsi:type="dcterms:W3CDTF">2026-04-02T18:56:40Z</dcterms:created>
  <dcterms:modified xsi:type="dcterms:W3CDTF">2026-04-02T18:59:09Z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1046-11.2.0.9363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2026-04-02T18:59:08Z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31f5bc76-ef0a-4a69-b4b4-c5f83a2d53a4</vt:lpwstr>
  </property>
  <property fmtid="{D5CDD505-2E9C-101B-9397-08002B2CF9AE}" pid="8" name="MSIP_Label_defa4170-0d19-0005-0004-bc88714345d2_ActionId">
    <vt:lpwstr>4e8a32fc-1831-4e36-9dc7-7ee2be55fcdc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